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eedstechnology-my.sharepoint.com/personal/victoria_drummond_gleeds_com/Documents/Documents/Learning/Onyx challenges/"/>
    </mc:Choice>
  </mc:AlternateContent>
  <xr:revisionPtr revIDLastSave="320" documentId="8_{F46EECE8-C717-4A59-8A5B-43EB4AB61E9A}" xr6:coauthVersionLast="47" xr6:coauthVersionMax="47" xr10:uidLastSave="{C288A92C-FF54-48BF-8F44-AC97A47016B7}"/>
  <bookViews>
    <workbookView xWindow="-120" yWindow="-120" windowWidth="29040" windowHeight="15840" activeTab="1" xr2:uid="{19B3FB57-98D5-4111-B5C7-C9B1E2551190}"/>
  </bookViews>
  <sheets>
    <sheet name="Sheet2" sheetId="4" r:id="rId1"/>
    <sheet name="Fitness_Membership_Analytics_Da" sheetId="1" r:id="rId2"/>
    <sheet name="Sheet1" sheetId="2" r:id="rId3"/>
  </sheets>
  <definedNames>
    <definedName name="_xlnm._FilterDatabase" localSheetId="1" hidden="1">Fitness_Membership_Analytics_Da!$A$1:$Z$1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" i="1"/>
  <c r="AM2" i="1" a="1"/>
  <c r="AM2" i="1" s="1"/>
  <c r="AN2" i="1"/>
  <c r="AM3" i="1" a="1"/>
  <c r="AM3" i="1" s="1"/>
  <c r="AN3" i="1"/>
  <c r="AM4" i="1" a="1"/>
  <c r="AM4" i="1" s="1"/>
  <c r="AN4" i="1"/>
  <c r="AM5" i="1" a="1"/>
  <c r="AM5" i="1" s="1"/>
  <c r="AN5" i="1"/>
  <c r="AM6" i="1" a="1"/>
  <c r="AM6" i="1" s="1"/>
  <c r="AN6" i="1"/>
  <c r="AO6" i="1" s="1"/>
  <c r="AM7" i="1" a="1"/>
  <c r="AM7" i="1" s="1"/>
  <c r="AN7" i="1"/>
  <c r="AM8" i="1" a="1"/>
  <c r="AM8" i="1" s="1"/>
  <c r="AN8" i="1"/>
  <c r="AM9" i="1" a="1"/>
  <c r="AM9" i="1" s="1"/>
  <c r="AN9" i="1"/>
  <c r="AM10" i="1" a="1"/>
  <c r="AM10" i="1" s="1"/>
  <c r="AN10" i="1"/>
  <c r="AM11" i="1" a="1"/>
  <c r="AM11" i="1" s="1"/>
  <c r="AN11" i="1"/>
  <c r="AM12" i="1" a="1"/>
  <c r="AM12" i="1" s="1"/>
  <c r="AN12" i="1"/>
  <c r="AM13" i="1" a="1"/>
  <c r="AM13" i="1"/>
  <c r="AN13" i="1"/>
  <c r="AM14" i="1" a="1"/>
  <c r="AM14" i="1" s="1"/>
  <c r="AN14" i="1"/>
  <c r="AM15" i="1" a="1"/>
  <c r="AM15" i="1" s="1"/>
  <c r="AN15" i="1"/>
  <c r="AM16" i="1" a="1"/>
  <c r="AM16" i="1" s="1"/>
  <c r="AN16" i="1"/>
  <c r="AM17" i="1" a="1"/>
  <c r="AM17" i="1"/>
  <c r="AN17" i="1"/>
  <c r="AM18" i="1" a="1"/>
  <c r="AM18" i="1" s="1"/>
  <c r="AN18" i="1"/>
  <c r="AM19" i="1" a="1"/>
  <c r="AM19" i="1"/>
  <c r="AN19" i="1"/>
  <c r="AM20" i="1" a="1"/>
  <c r="AM20" i="1" s="1"/>
  <c r="AN20" i="1"/>
  <c r="AM21" i="1" a="1"/>
  <c r="AM21" i="1" s="1"/>
  <c r="AN21" i="1"/>
  <c r="AM22" i="1" a="1"/>
  <c r="AM22" i="1" s="1"/>
  <c r="AN22" i="1"/>
  <c r="AM23" i="1" a="1"/>
  <c r="AM23" i="1"/>
  <c r="AN23" i="1"/>
  <c r="AM24" i="1" a="1"/>
  <c r="AM24" i="1" s="1"/>
  <c r="AN24" i="1"/>
  <c r="AM25" i="1" a="1"/>
  <c r="AM25" i="1" s="1"/>
  <c r="AN25" i="1"/>
  <c r="AO25" i="1" s="1"/>
  <c r="AM26" i="1" a="1"/>
  <c r="AM26" i="1" s="1"/>
  <c r="AN26" i="1"/>
  <c r="AM27" i="1" a="1"/>
  <c r="AM27" i="1"/>
  <c r="AN27" i="1"/>
  <c r="AM28" i="1" a="1"/>
  <c r="AM28" i="1" s="1"/>
  <c r="AN28" i="1"/>
  <c r="AM29" i="1" a="1"/>
  <c r="AM29" i="1"/>
  <c r="AN29" i="1"/>
  <c r="AM30" i="1" a="1"/>
  <c r="AM30" i="1" s="1"/>
  <c r="AN30" i="1"/>
  <c r="AM31" i="1" a="1"/>
  <c r="AM31" i="1"/>
  <c r="AN31" i="1"/>
  <c r="AM32" i="1" a="1"/>
  <c r="AM32" i="1" s="1"/>
  <c r="AN32" i="1"/>
  <c r="AM33" i="1" a="1"/>
  <c r="AM33" i="1" s="1"/>
  <c r="AN33" i="1"/>
  <c r="AM34" i="1" a="1"/>
  <c r="AM34" i="1" s="1"/>
  <c r="AN34" i="1"/>
  <c r="AM35" i="1" a="1"/>
  <c r="AM35" i="1" s="1"/>
  <c r="AN35" i="1"/>
  <c r="AM36" i="1" a="1"/>
  <c r="AM36" i="1" s="1"/>
  <c r="AN36" i="1"/>
  <c r="AM37" i="1" a="1"/>
  <c r="AM37" i="1" s="1"/>
  <c r="AN37" i="1"/>
  <c r="AM38" i="1" a="1"/>
  <c r="AM38" i="1" s="1"/>
  <c r="AN38" i="1"/>
  <c r="AM39" i="1" a="1"/>
  <c r="AM39" i="1" s="1"/>
  <c r="AN39" i="1"/>
  <c r="AM40" i="1" a="1"/>
  <c r="AM40" i="1" s="1"/>
  <c r="AN40" i="1"/>
  <c r="AM41" i="1" a="1"/>
  <c r="AM41" i="1" s="1"/>
  <c r="AN41" i="1"/>
  <c r="AM42" i="1" a="1"/>
  <c r="AM42" i="1" s="1"/>
  <c r="AN42" i="1"/>
  <c r="AM43" i="1" a="1"/>
  <c r="AM43" i="1"/>
  <c r="AN43" i="1"/>
  <c r="AM44" i="1" a="1"/>
  <c r="AM44" i="1" s="1"/>
  <c r="AN44" i="1"/>
  <c r="AM45" i="1" a="1"/>
  <c r="AM45" i="1" s="1"/>
  <c r="AN45" i="1"/>
  <c r="AM46" i="1" a="1"/>
  <c r="AM46" i="1" s="1"/>
  <c r="AN46" i="1"/>
  <c r="AM47" i="1" a="1"/>
  <c r="AM47" i="1" s="1"/>
  <c r="AN47" i="1"/>
  <c r="AM48" i="1" a="1"/>
  <c r="AM48" i="1" s="1"/>
  <c r="AN48" i="1"/>
  <c r="AM49" i="1" a="1"/>
  <c r="AM49" i="1" s="1"/>
  <c r="AN49" i="1"/>
  <c r="AO49" i="1" s="1"/>
  <c r="AM50" i="1" a="1"/>
  <c r="AM50" i="1" s="1"/>
  <c r="AN50" i="1"/>
  <c r="AM51" i="1" a="1"/>
  <c r="AM51" i="1" s="1"/>
  <c r="AN51" i="1"/>
  <c r="AM52" i="1" a="1"/>
  <c r="AM52" i="1" s="1"/>
  <c r="AN52" i="1"/>
  <c r="AM53" i="1" a="1"/>
  <c r="AM53" i="1"/>
  <c r="AN53" i="1"/>
  <c r="AM54" i="1" a="1"/>
  <c r="AM54" i="1" s="1"/>
  <c r="AN54" i="1"/>
  <c r="AM55" i="1" a="1"/>
  <c r="AM55" i="1"/>
  <c r="AN55" i="1"/>
  <c r="AM56" i="1" a="1"/>
  <c r="AM56" i="1" s="1"/>
  <c r="AN56" i="1"/>
  <c r="AM57" i="1" a="1"/>
  <c r="AM57" i="1" s="1"/>
  <c r="AN57" i="1"/>
  <c r="AM58" i="1" a="1"/>
  <c r="AM58" i="1" s="1"/>
  <c r="AN58" i="1"/>
  <c r="AM59" i="1" a="1"/>
  <c r="AM59" i="1" s="1"/>
  <c r="AN59" i="1"/>
  <c r="AM60" i="1" a="1"/>
  <c r="AM60" i="1" s="1"/>
  <c r="AN60" i="1"/>
  <c r="AM61" i="1" a="1"/>
  <c r="AM61" i="1" s="1"/>
  <c r="AN61" i="1"/>
  <c r="AM62" i="1" a="1"/>
  <c r="AM62" i="1" s="1"/>
  <c r="AN62" i="1"/>
  <c r="AM63" i="1" a="1"/>
  <c r="AM63" i="1" s="1"/>
  <c r="AN63" i="1"/>
  <c r="AO63" i="1" s="1"/>
  <c r="AM64" i="1" a="1"/>
  <c r="AM64" i="1" s="1"/>
  <c r="AN64" i="1"/>
  <c r="AM65" i="1" a="1"/>
  <c r="AM65" i="1" s="1"/>
  <c r="AN65" i="1"/>
  <c r="AM66" i="1" a="1"/>
  <c r="AM66" i="1" s="1"/>
  <c r="AN66" i="1"/>
  <c r="AM67" i="1" a="1"/>
  <c r="AM67" i="1" s="1"/>
  <c r="AN67" i="1"/>
  <c r="AM68" i="1" a="1"/>
  <c r="AM68" i="1" s="1"/>
  <c r="AN68" i="1"/>
  <c r="AM69" i="1" a="1"/>
  <c r="AM69" i="1" s="1"/>
  <c r="AN69" i="1"/>
  <c r="AM70" i="1" a="1"/>
  <c r="AM70" i="1" s="1"/>
  <c r="AN70" i="1"/>
  <c r="AM71" i="1" a="1"/>
  <c r="AM71" i="1"/>
  <c r="AN71" i="1"/>
  <c r="AM72" i="1" a="1"/>
  <c r="AM72" i="1" s="1"/>
  <c r="AN72" i="1"/>
  <c r="AM73" i="1" a="1"/>
  <c r="AM73" i="1"/>
  <c r="AN73" i="1"/>
  <c r="AO73" i="1" s="1"/>
  <c r="AM74" i="1" a="1"/>
  <c r="AM74" i="1" s="1"/>
  <c r="AN74" i="1"/>
  <c r="AM75" i="1" a="1"/>
  <c r="AM75" i="1"/>
  <c r="AN75" i="1"/>
  <c r="AM76" i="1" a="1"/>
  <c r="AM76" i="1" s="1"/>
  <c r="AN76" i="1"/>
  <c r="AM77" i="1" a="1"/>
  <c r="AM77" i="1"/>
  <c r="AN77" i="1"/>
  <c r="AM78" i="1" a="1"/>
  <c r="AM78" i="1" s="1"/>
  <c r="AN78" i="1"/>
  <c r="AM79" i="1" a="1"/>
  <c r="AM79" i="1" s="1"/>
  <c r="AN79" i="1"/>
  <c r="AM80" i="1" a="1"/>
  <c r="AM80" i="1" s="1"/>
  <c r="AN80" i="1"/>
  <c r="AM81" i="1" a="1"/>
  <c r="AM81" i="1" s="1"/>
  <c r="AN81" i="1"/>
  <c r="AM82" i="1" a="1"/>
  <c r="AM82" i="1" s="1"/>
  <c r="AN82" i="1"/>
  <c r="AM83" i="1" a="1"/>
  <c r="AM83" i="1" s="1"/>
  <c r="AN83" i="1"/>
  <c r="AM84" i="1" a="1"/>
  <c r="AM84" i="1" s="1"/>
  <c r="AN84" i="1"/>
  <c r="AM85" i="1" a="1"/>
  <c r="AM85" i="1" s="1"/>
  <c r="AN85" i="1"/>
  <c r="AM86" i="1" a="1"/>
  <c r="AM86" i="1" s="1"/>
  <c r="AN86" i="1"/>
  <c r="AM87" i="1" a="1"/>
  <c r="AM87" i="1" s="1"/>
  <c r="AN87" i="1"/>
  <c r="AM88" i="1" a="1"/>
  <c r="AM88" i="1" s="1"/>
  <c r="AN88" i="1"/>
  <c r="AM89" i="1" a="1"/>
  <c r="AM89" i="1"/>
  <c r="AN89" i="1"/>
  <c r="AM90" i="1" a="1"/>
  <c r="AM90" i="1" s="1"/>
  <c r="AN90" i="1"/>
  <c r="AM91" i="1" a="1"/>
  <c r="AM91" i="1" s="1"/>
  <c r="AN91" i="1"/>
  <c r="AM92" i="1" a="1"/>
  <c r="AM92" i="1" s="1"/>
  <c r="AN92" i="1"/>
  <c r="AM93" i="1" a="1"/>
  <c r="AM93" i="1" s="1"/>
  <c r="AN93" i="1"/>
  <c r="AM94" i="1" a="1"/>
  <c r="AM94" i="1" s="1"/>
  <c r="AN94" i="1"/>
  <c r="AM95" i="1" a="1"/>
  <c r="AM95" i="1" s="1"/>
  <c r="AN95" i="1"/>
  <c r="AM96" i="1" a="1"/>
  <c r="AM96" i="1" s="1"/>
  <c r="AN96" i="1"/>
  <c r="AM97" i="1" a="1"/>
  <c r="AM97" i="1" s="1"/>
  <c r="AN97" i="1"/>
  <c r="AO97" i="1" s="1"/>
  <c r="AM98" i="1" a="1"/>
  <c r="AM98" i="1" s="1"/>
  <c r="AN98" i="1"/>
  <c r="AM99" i="1" a="1"/>
  <c r="AM99" i="1" s="1"/>
  <c r="AN99" i="1"/>
  <c r="AM100" i="1" a="1"/>
  <c r="AM100" i="1" s="1"/>
  <c r="AN100" i="1"/>
  <c r="AM101" i="1" a="1"/>
  <c r="AM101" i="1" s="1"/>
  <c r="AN101" i="1"/>
  <c r="AO101" i="1" s="1"/>
  <c r="AM102" i="1" a="1"/>
  <c r="AM102" i="1" s="1"/>
  <c r="AN102" i="1"/>
  <c r="AM103" i="1" a="1"/>
  <c r="AM103" i="1"/>
  <c r="AN103" i="1"/>
  <c r="AM104" i="1" a="1"/>
  <c r="AM104" i="1" s="1"/>
  <c r="AN104" i="1"/>
  <c r="AM105" i="1" a="1"/>
  <c r="AM105" i="1" s="1"/>
  <c r="AN105" i="1"/>
  <c r="AM106" i="1" a="1"/>
  <c r="AM106" i="1" s="1"/>
  <c r="AN106" i="1"/>
  <c r="AM107" i="1" a="1"/>
  <c r="AM107" i="1" s="1"/>
  <c r="AN107" i="1"/>
  <c r="AM108" i="1" a="1"/>
  <c r="AM108" i="1" s="1"/>
  <c r="AN108" i="1"/>
  <c r="AM109" i="1" a="1"/>
  <c r="AM109" i="1" s="1"/>
  <c r="AN109" i="1"/>
  <c r="AM110" i="1" a="1"/>
  <c r="AM110" i="1" s="1"/>
  <c r="AN110" i="1"/>
  <c r="AM111" i="1" a="1"/>
  <c r="AM111" i="1" s="1"/>
  <c r="AN111" i="1"/>
  <c r="AM112" i="1" a="1"/>
  <c r="AM112" i="1" s="1"/>
  <c r="AN112" i="1"/>
  <c r="AM113" i="1" a="1"/>
  <c r="AM113" i="1"/>
  <c r="AN113" i="1"/>
  <c r="AM114" i="1" a="1"/>
  <c r="AM114" i="1" s="1"/>
  <c r="AN114" i="1"/>
  <c r="AM115" i="1" a="1"/>
  <c r="AM115" i="1" s="1"/>
  <c r="AN115" i="1"/>
  <c r="AM116" i="1" a="1"/>
  <c r="AM116" i="1" s="1"/>
  <c r="AN116" i="1"/>
  <c r="AM117" i="1" a="1"/>
  <c r="AM117" i="1" s="1"/>
  <c r="AN117" i="1"/>
  <c r="AM118" i="1" a="1"/>
  <c r="AM118" i="1" s="1"/>
  <c r="AN118" i="1"/>
  <c r="AM119" i="1" a="1"/>
  <c r="AM119" i="1" s="1"/>
  <c r="AN119" i="1"/>
  <c r="AM120" i="1" a="1"/>
  <c r="AM120" i="1" s="1"/>
  <c r="AN120" i="1"/>
  <c r="AM121" i="1" a="1"/>
  <c r="AM121" i="1"/>
  <c r="AN121" i="1"/>
  <c r="AO121" i="1" s="1"/>
  <c r="AM122" i="1" a="1"/>
  <c r="AM122" i="1" s="1"/>
  <c r="AN122" i="1"/>
  <c r="AM123" i="1" a="1"/>
  <c r="AM123" i="1"/>
  <c r="AN123" i="1"/>
  <c r="AM124" i="1" a="1"/>
  <c r="AM124" i="1" s="1"/>
  <c r="AN124" i="1"/>
  <c r="AM125" i="1" a="1"/>
  <c r="AM125" i="1" s="1"/>
  <c r="AN125" i="1"/>
  <c r="AM126" i="1" a="1"/>
  <c r="AM126" i="1" s="1"/>
  <c r="AN126" i="1"/>
  <c r="AO126" i="1" s="1"/>
  <c r="AM127" i="1" a="1"/>
  <c r="AM127" i="1" s="1"/>
  <c r="AN127" i="1"/>
  <c r="AM128" i="1" a="1"/>
  <c r="AM128" i="1" s="1"/>
  <c r="AN128" i="1"/>
  <c r="AM129" i="1" a="1"/>
  <c r="AM129" i="1" s="1"/>
  <c r="AN129" i="1"/>
  <c r="AM130" i="1" a="1"/>
  <c r="AM130" i="1" s="1"/>
  <c r="AN130" i="1"/>
  <c r="AM131" i="1" a="1"/>
  <c r="AM131" i="1" s="1"/>
  <c r="AN131" i="1"/>
  <c r="AM132" i="1" a="1"/>
  <c r="AM132" i="1" s="1"/>
  <c r="AN132" i="1"/>
  <c r="AM133" i="1" a="1"/>
  <c r="AM133" i="1"/>
  <c r="AN133" i="1"/>
  <c r="AM134" i="1" a="1"/>
  <c r="AM134" i="1" s="1"/>
  <c r="AN134" i="1"/>
  <c r="AM135" i="1" a="1"/>
  <c r="AM135" i="1" s="1"/>
  <c r="AN135" i="1"/>
  <c r="AM136" i="1" a="1"/>
  <c r="AM136" i="1" s="1"/>
  <c r="AN136" i="1"/>
  <c r="AM137" i="1" a="1"/>
  <c r="AM137" i="1"/>
  <c r="AN137" i="1"/>
  <c r="AM138" i="1" a="1"/>
  <c r="AM138" i="1" s="1"/>
  <c r="AN138" i="1"/>
  <c r="AM139" i="1" a="1"/>
  <c r="AM139" i="1" s="1"/>
  <c r="AN139" i="1"/>
  <c r="AM140" i="1" a="1"/>
  <c r="AM140" i="1" s="1"/>
  <c r="AN140" i="1"/>
  <c r="AM141" i="1" a="1"/>
  <c r="AM141" i="1" s="1"/>
  <c r="AN141" i="1"/>
  <c r="AM142" i="1" a="1"/>
  <c r="AM142" i="1" s="1"/>
  <c r="AN142" i="1"/>
  <c r="AM143" i="1" a="1"/>
  <c r="AM143" i="1"/>
  <c r="AN143" i="1"/>
  <c r="AM144" i="1" a="1"/>
  <c r="AM144" i="1" s="1"/>
  <c r="AN144" i="1"/>
  <c r="AM145" i="1" a="1"/>
  <c r="AM145" i="1" s="1"/>
  <c r="AN145" i="1"/>
  <c r="AO145" i="1" s="1"/>
  <c r="AM146" i="1" a="1"/>
  <c r="AM146" i="1" s="1"/>
  <c r="AN146" i="1"/>
  <c r="AM147" i="1" a="1"/>
  <c r="AM147" i="1"/>
  <c r="AN147" i="1"/>
  <c r="AM148" i="1" a="1"/>
  <c r="AM148" i="1" s="1"/>
  <c r="AN148" i="1"/>
  <c r="AM149" i="1" a="1"/>
  <c r="AM149" i="1" s="1"/>
  <c r="AN149" i="1"/>
  <c r="AM150" i="1" a="1"/>
  <c r="AM150" i="1" s="1"/>
  <c r="AN150" i="1"/>
  <c r="AM151" i="1" a="1"/>
  <c r="AM151" i="1"/>
  <c r="AN151" i="1"/>
  <c r="AM152" i="1" a="1"/>
  <c r="AM152" i="1" s="1"/>
  <c r="AN152" i="1"/>
  <c r="AM153" i="1" a="1"/>
  <c r="AM153" i="1"/>
  <c r="AN153" i="1"/>
  <c r="AM154" i="1" a="1"/>
  <c r="AM154" i="1" s="1"/>
  <c r="AN154" i="1"/>
  <c r="AM155" i="1" a="1"/>
  <c r="AM155" i="1" s="1"/>
  <c r="AN155" i="1"/>
  <c r="AM156" i="1" a="1"/>
  <c r="AM156" i="1" s="1"/>
  <c r="AN156" i="1"/>
  <c r="AM157" i="1" a="1"/>
  <c r="AM157" i="1" s="1"/>
  <c r="AN157" i="1"/>
  <c r="AM158" i="1" a="1"/>
  <c r="AM158" i="1" s="1"/>
  <c r="AN158" i="1"/>
  <c r="AM159" i="1" a="1"/>
  <c r="AM159" i="1"/>
  <c r="AN159" i="1"/>
  <c r="AM160" i="1" a="1"/>
  <c r="AM160" i="1" s="1"/>
  <c r="AN160" i="1"/>
  <c r="AM161" i="1" a="1"/>
  <c r="AM161" i="1" s="1"/>
  <c r="AN161" i="1"/>
  <c r="AM162" i="1" a="1"/>
  <c r="AM162" i="1" s="1"/>
  <c r="AN162" i="1"/>
  <c r="AM163" i="1" a="1"/>
  <c r="AM163" i="1" s="1"/>
  <c r="AN163" i="1"/>
  <c r="AM164" i="1" a="1"/>
  <c r="AM164" i="1" s="1"/>
  <c r="AN164" i="1"/>
  <c r="AM165" i="1" a="1"/>
  <c r="AM165" i="1" s="1"/>
  <c r="AN165" i="1"/>
  <c r="AM166" i="1" a="1"/>
  <c r="AM166" i="1" s="1"/>
  <c r="AN166" i="1"/>
  <c r="AM167" i="1" a="1"/>
  <c r="AM167" i="1"/>
  <c r="AN167" i="1"/>
  <c r="AM168" i="1" a="1"/>
  <c r="AM168" i="1" s="1"/>
  <c r="AN168" i="1"/>
  <c r="AM169" i="1" a="1"/>
  <c r="AM169" i="1" s="1"/>
  <c r="AN169" i="1"/>
  <c r="AO169" i="1" s="1"/>
  <c r="AM170" i="1" a="1"/>
  <c r="AM170" i="1" s="1"/>
  <c r="AN170" i="1"/>
  <c r="AM171" i="1" a="1"/>
  <c r="AM171" i="1" s="1"/>
  <c r="AN171" i="1"/>
  <c r="AM172" i="1" a="1"/>
  <c r="AM172" i="1" s="1"/>
  <c r="AN172" i="1"/>
  <c r="AM173" i="1" a="1"/>
  <c r="AM173" i="1" s="1"/>
  <c r="AN173" i="1"/>
  <c r="AO173" i="1" s="1"/>
  <c r="AM174" i="1" a="1"/>
  <c r="AM174" i="1" s="1"/>
  <c r="AN174" i="1"/>
  <c r="AM175" i="1" a="1"/>
  <c r="AM175" i="1"/>
  <c r="AN175" i="1"/>
  <c r="AM176" i="1" a="1"/>
  <c r="AM176" i="1" s="1"/>
  <c r="AN176" i="1"/>
  <c r="AM177" i="1" a="1"/>
  <c r="AM177" i="1"/>
  <c r="AN177" i="1"/>
  <c r="AM178" i="1" a="1"/>
  <c r="AM178" i="1" s="1"/>
  <c r="AN178" i="1"/>
  <c r="AM179" i="1" a="1"/>
  <c r="AM179" i="1" s="1"/>
  <c r="AN179" i="1"/>
  <c r="AM180" i="1" a="1"/>
  <c r="AM180" i="1" s="1"/>
  <c r="AN180" i="1"/>
  <c r="AM181" i="1" a="1"/>
  <c r="AM181" i="1"/>
  <c r="AN181" i="1"/>
  <c r="AM182" i="1" a="1"/>
  <c r="AM182" i="1" s="1"/>
  <c r="AN182" i="1"/>
  <c r="AM183" i="1" a="1"/>
  <c r="AM183" i="1"/>
  <c r="AN183" i="1"/>
  <c r="AM184" i="1" a="1"/>
  <c r="AM184" i="1" s="1"/>
  <c r="AN184" i="1"/>
  <c r="AM185" i="1" a="1"/>
  <c r="AM185" i="1" s="1"/>
  <c r="AN185" i="1"/>
  <c r="AM186" i="1" a="1"/>
  <c r="AM186" i="1" s="1"/>
  <c r="AN186" i="1"/>
  <c r="AM187" i="1" a="1"/>
  <c r="AM187" i="1" s="1"/>
  <c r="AN187" i="1"/>
  <c r="AM188" i="1" a="1"/>
  <c r="AM188" i="1" s="1"/>
  <c r="AN188" i="1"/>
  <c r="AO188" i="1" s="1"/>
  <c r="AM189" i="1" a="1"/>
  <c r="AM189" i="1" s="1"/>
  <c r="AN189" i="1"/>
  <c r="AM190" i="1" a="1"/>
  <c r="AM190" i="1" s="1"/>
  <c r="AN190" i="1"/>
  <c r="AM191" i="1" a="1"/>
  <c r="AM191" i="1" s="1"/>
  <c r="AN191" i="1"/>
  <c r="AM192" i="1" a="1"/>
  <c r="AM192" i="1" s="1"/>
  <c r="AN192" i="1"/>
  <c r="AM193" i="1" a="1"/>
  <c r="AM193" i="1" s="1"/>
  <c r="AN193" i="1"/>
  <c r="AO193" i="1" s="1"/>
  <c r="AM194" i="1" a="1"/>
  <c r="AM194" i="1" s="1"/>
  <c r="AN194" i="1"/>
  <c r="AM195" i="1" a="1"/>
  <c r="AM195" i="1"/>
  <c r="AN195" i="1"/>
  <c r="AM196" i="1" a="1"/>
  <c r="AM196" i="1" s="1"/>
  <c r="AN196" i="1"/>
  <c r="AM197" i="1" a="1"/>
  <c r="AM197" i="1"/>
  <c r="AN197" i="1"/>
  <c r="AM198" i="1" a="1"/>
  <c r="AM198" i="1" s="1"/>
  <c r="AN198" i="1"/>
  <c r="AO198" i="1" s="1"/>
  <c r="AM199" i="1" a="1"/>
  <c r="AM199" i="1" s="1"/>
  <c r="AN199" i="1"/>
  <c r="AM200" i="1" a="1"/>
  <c r="AM200" i="1" s="1"/>
  <c r="AN200" i="1"/>
  <c r="AM201" i="1" a="1"/>
  <c r="AM201" i="1"/>
  <c r="AN201" i="1"/>
  <c r="AM202" i="1" a="1"/>
  <c r="AM202" i="1" s="1"/>
  <c r="AN202" i="1"/>
  <c r="AM203" i="1" a="1"/>
  <c r="AM203" i="1"/>
  <c r="AN203" i="1"/>
  <c r="AM204" i="1" a="1"/>
  <c r="AM204" i="1" s="1"/>
  <c r="AN204" i="1"/>
  <c r="AM205" i="1" a="1"/>
  <c r="AM205" i="1" s="1"/>
  <c r="AN205" i="1"/>
  <c r="AM206" i="1" a="1"/>
  <c r="AM206" i="1" s="1"/>
  <c r="AN206" i="1"/>
  <c r="AM207" i="1" a="1"/>
  <c r="AM207" i="1"/>
  <c r="AN207" i="1"/>
  <c r="AM208" i="1" a="1"/>
  <c r="AM208" i="1" s="1"/>
  <c r="AN208" i="1"/>
  <c r="AM209" i="1" a="1"/>
  <c r="AM209" i="1"/>
  <c r="AN209" i="1"/>
  <c r="AM210" i="1" a="1"/>
  <c r="AM210" i="1" s="1"/>
  <c r="AN210" i="1"/>
  <c r="AM211" i="1" a="1"/>
  <c r="AM211" i="1" s="1"/>
  <c r="AN211" i="1"/>
  <c r="AM212" i="1" a="1"/>
  <c r="AM212" i="1" s="1"/>
  <c r="AN212" i="1"/>
  <c r="AM213" i="1" a="1"/>
  <c r="AM213" i="1" s="1"/>
  <c r="AN213" i="1"/>
  <c r="AM214" i="1" a="1"/>
  <c r="AM214" i="1" s="1"/>
  <c r="AN214" i="1"/>
  <c r="AM215" i="1" a="1"/>
  <c r="AM215" i="1"/>
  <c r="AN215" i="1"/>
  <c r="AM216" i="1" a="1"/>
  <c r="AM216" i="1" s="1"/>
  <c r="AN216" i="1"/>
  <c r="AM217" i="1" a="1"/>
  <c r="AM217" i="1" s="1"/>
  <c r="AN217" i="1"/>
  <c r="AO217" i="1" s="1"/>
  <c r="AM218" i="1" a="1"/>
  <c r="AM218" i="1" s="1"/>
  <c r="AN218" i="1"/>
  <c r="AM219" i="1" a="1"/>
  <c r="AM219" i="1"/>
  <c r="AN219" i="1"/>
  <c r="AM220" i="1" a="1"/>
  <c r="AM220" i="1" s="1"/>
  <c r="AN220" i="1"/>
  <c r="AM221" i="1" a="1"/>
  <c r="AM221" i="1" s="1"/>
  <c r="AN221" i="1"/>
  <c r="AM222" i="1" a="1"/>
  <c r="AM222" i="1" s="1"/>
  <c r="AN222" i="1"/>
  <c r="AM223" i="1" a="1"/>
  <c r="AM223" i="1" s="1"/>
  <c r="AN223" i="1"/>
  <c r="AM224" i="1" a="1"/>
  <c r="AM224" i="1" s="1"/>
  <c r="AN224" i="1"/>
  <c r="AM225" i="1" a="1"/>
  <c r="AM225" i="1" s="1"/>
  <c r="AN225" i="1"/>
  <c r="AM226" i="1" a="1"/>
  <c r="AM226" i="1" s="1"/>
  <c r="AN226" i="1"/>
  <c r="AM227" i="1" a="1"/>
  <c r="AM227" i="1" s="1"/>
  <c r="AN227" i="1"/>
  <c r="AM228" i="1" a="1"/>
  <c r="AM228" i="1" s="1"/>
  <c r="AN228" i="1"/>
  <c r="AO228" i="1" s="1"/>
  <c r="AM229" i="1" a="1"/>
  <c r="AM229" i="1"/>
  <c r="AN229" i="1"/>
  <c r="AM230" i="1" a="1"/>
  <c r="AM230" i="1"/>
  <c r="AN230" i="1"/>
  <c r="AM231" i="1" a="1"/>
  <c r="AM231" i="1" s="1"/>
  <c r="AN231" i="1"/>
  <c r="AM232" i="1" a="1"/>
  <c r="AM232" i="1" s="1"/>
  <c r="AN232" i="1"/>
  <c r="AM233" i="1" a="1"/>
  <c r="AM233" i="1" s="1"/>
  <c r="AN233" i="1"/>
  <c r="AM234" i="1" a="1"/>
  <c r="AM234" i="1"/>
  <c r="AN234" i="1"/>
  <c r="AM235" i="1" a="1"/>
  <c r="AM235" i="1" s="1"/>
  <c r="AN235" i="1"/>
  <c r="AM236" i="1" a="1"/>
  <c r="AM236" i="1" s="1"/>
  <c r="AN236" i="1"/>
  <c r="AM237" i="1" a="1"/>
  <c r="AM237" i="1" s="1"/>
  <c r="AN237" i="1"/>
  <c r="AM238" i="1" a="1"/>
  <c r="AM238" i="1" s="1"/>
  <c r="AN238" i="1"/>
  <c r="AM239" i="1" a="1"/>
  <c r="AM239" i="1" s="1"/>
  <c r="AN239" i="1"/>
  <c r="AO239" i="1" s="1"/>
  <c r="AM240" i="1" a="1"/>
  <c r="AM240" i="1" s="1"/>
  <c r="AN240" i="1"/>
  <c r="AO240" i="1" s="1"/>
  <c r="AM241" i="1" a="1"/>
  <c r="AM241" i="1"/>
  <c r="AN241" i="1"/>
  <c r="AM242" i="1" a="1"/>
  <c r="AM242" i="1"/>
  <c r="AN242" i="1"/>
  <c r="AM243" i="1" a="1"/>
  <c r="AM243" i="1"/>
  <c r="AN243" i="1"/>
  <c r="AM244" i="1" a="1"/>
  <c r="AM244" i="1" s="1"/>
  <c r="AN244" i="1"/>
  <c r="AM245" i="1" a="1"/>
  <c r="AM245" i="1" s="1"/>
  <c r="AN245" i="1"/>
  <c r="AM246" i="1" a="1"/>
  <c r="AM246" i="1" s="1"/>
  <c r="AN246" i="1"/>
  <c r="AM247" i="1" a="1"/>
  <c r="AM247" i="1"/>
  <c r="AN247" i="1"/>
  <c r="AM248" i="1" a="1"/>
  <c r="AM248" i="1" s="1"/>
  <c r="AN248" i="1"/>
  <c r="AM249" i="1" a="1"/>
  <c r="AM249" i="1"/>
  <c r="AN249" i="1"/>
  <c r="AM250" i="1" a="1"/>
  <c r="AM250" i="1" s="1"/>
  <c r="AN250" i="1"/>
  <c r="AM251" i="1" a="1"/>
  <c r="AM251" i="1" s="1"/>
  <c r="AN251" i="1"/>
  <c r="AM252" i="1" a="1"/>
  <c r="AM252" i="1" s="1"/>
  <c r="AN252" i="1"/>
  <c r="AO252" i="1" s="1"/>
  <c r="AM253" i="1" a="1"/>
  <c r="AM253" i="1" s="1"/>
  <c r="AN253" i="1"/>
  <c r="AM254" i="1" a="1"/>
  <c r="AM254" i="1" s="1"/>
  <c r="AN254" i="1"/>
  <c r="AM255" i="1" a="1"/>
  <c r="AM255" i="1" s="1"/>
  <c r="AN255" i="1"/>
  <c r="AM256" i="1" a="1"/>
  <c r="AM256" i="1" s="1"/>
  <c r="AN256" i="1"/>
  <c r="AM257" i="1" a="1"/>
  <c r="AM257" i="1"/>
  <c r="AN257" i="1"/>
  <c r="AM258" i="1" a="1"/>
  <c r="AM258" i="1" s="1"/>
  <c r="AN258" i="1"/>
  <c r="AM259" i="1" a="1"/>
  <c r="AM259" i="1" s="1"/>
  <c r="AN259" i="1"/>
  <c r="AM260" i="1" a="1"/>
  <c r="AM260" i="1" s="1"/>
  <c r="AN260" i="1"/>
  <c r="AM261" i="1" a="1"/>
  <c r="AM261" i="1" s="1"/>
  <c r="AN261" i="1"/>
  <c r="AM262" i="1" a="1"/>
  <c r="AM262" i="1" s="1"/>
  <c r="AN262" i="1"/>
  <c r="AM263" i="1" a="1"/>
  <c r="AM263" i="1" s="1"/>
  <c r="AN263" i="1"/>
  <c r="AM264" i="1" a="1"/>
  <c r="AM264" i="1" s="1"/>
  <c r="AN264" i="1"/>
  <c r="AM265" i="1" a="1"/>
  <c r="AM265" i="1"/>
  <c r="AN265" i="1"/>
  <c r="AO265" i="1" s="1"/>
  <c r="AM266" i="1" a="1"/>
  <c r="AM266" i="1" s="1"/>
  <c r="AN266" i="1"/>
  <c r="AM267" i="1" a="1"/>
  <c r="AM267" i="1" s="1"/>
  <c r="AN267" i="1"/>
  <c r="AM268" i="1" a="1"/>
  <c r="AM268" i="1" s="1"/>
  <c r="AN268" i="1"/>
  <c r="AM269" i="1" a="1"/>
  <c r="AM269" i="1" s="1"/>
  <c r="AN269" i="1"/>
  <c r="AM270" i="1" a="1"/>
  <c r="AM270" i="1" s="1"/>
  <c r="AN270" i="1"/>
  <c r="AM271" i="1" a="1"/>
  <c r="AM271" i="1" s="1"/>
  <c r="AN271" i="1"/>
  <c r="AM272" i="1" a="1"/>
  <c r="AM272" i="1" s="1"/>
  <c r="AN272" i="1"/>
  <c r="AM273" i="1" a="1"/>
  <c r="AM273" i="1" s="1"/>
  <c r="AN273" i="1"/>
  <c r="AM274" i="1" a="1"/>
  <c r="AM274" i="1" s="1"/>
  <c r="AN274" i="1"/>
  <c r="AO274" i="1" s="1"/>
  <c r="AM275" i="1" a="1"/>
  <c r="AM275" i="1" s="1"/>
  <c r="AN275" i="1"/>
  <c r="AM276" i="1" a="1"/>
  <c r="AM276" i="1" s="1"/>
  <c r="AN276" i="1"/>
  <c r="AO276" i="1" s="1"/>
  <c r="AM277" i="1" a="1"/>
  <c r="AM277" i="1"/>
  <c r="AN277" i="1"/>
  <c r="AM278" i="1" a="1"/>
  <c r="AM278" i="1"/>
  <c r="AN278" i="1"/>
  <c r="AO278" i="1" s="1"/>
  <c r="AM279" i="1" a="1"/>
  <c r="AM279" i="1" s="1"/>
  <c r="AN279" i="1"/>
  <c r="AM280" i="1" a="1"/>
  <c r="AM280" i="1" s="1"/>
  <c r="AN280" i="1"/>
  <c r="AM281" i="1" a="1"/>
  <c r="AM281" i="1" s="1"/>
  <c r="AN281" i="1"/>
  <c r="AM282" i="1" a="1"/>
  <c r="AM282" i="1"/>
  <c r="AN282" i="1"/>
  <c r="AM283" i="1" a="1"/>
  <c r="AM283" i="1" s="1"/>
  <c r="AN283" i="1"/>
  <c r="AM284" i="1" a="1"/>
  <c r="AM284" i="1" s="1"/>
  <c r="AN284" i="1"/>
  <c r="AM285" i="1" a="1"/>
  <c r="AM285" i="1" s="1"/>
  <c r="AN285" i="1"/>
  <c r="AM286" i="1" a="1"/>
  <c r="AM286" i="1" s="1"/>
  <c r="AN286" i="1"/>
  <c r="AM287" i="1" a="1"/>
  <c r="AM287" i="1" s="1"/>
  <c r="AN287" i="1"/>
  <c r="AM288" i="1" a="1"/>
  <c r="AM288" i="1" s="1"/>
  <c r="AN288" i="1"/>
  <c r="AO288" i="1" s="1"/>
  <c r="AM289" i="1" a="1"/>
  <c r="AM289" i="1"/>
  <c r="AN289" i="1"/>
  <c r="AM290" i="1" a="1"/>
  <c r="AM290" i="1" s="1"/>
  <c r="AN290" i="1"/>
  <c r="AM291" i="1" a="1"/>
  <c r="AM291" i="1" s="1"/>
  <c r="AN291" i="1"/>
  <c r="AM292" i="1" a="1"/>
  <c r="AM292" i="1" s="1"/>
  <c r="AN292" i="1"/>
  <c r="AM293" i="1" a="1"/>
  <c r="AM293" i="1" s="1"/>
  <c r="AN293" i="1"/>
  <c r="AM294" i="1" a="1"/>
  <c r="AM294" i="1" s="1"/>
  <c r="AN294" i="1"/>
  <c r="AM295" i="1" a="1"/>
  <c r="AM295" i="1"/>
  <c r="AN295" i="1"/>
  <c r="AM296" i="1" a="1"/>
  <c r="AM296" i="1" s="1"/>
  <c r="AN296" i="1"/>
  <c r="AM297" i="1" a="1"/>
  <c r="AM297" i="1" s="1"/>
  <c r="AN297" i="1"/>
  <c r="AM298" i="1" a="1"/>
  <c r="AM298" i="1" s="1"/>
  <c r="AN298" i="1"/>
  <c r="AM299" i="1" a="1"/>
  <c r="AM299" i="1" s="1"/>
  <c r="AN299" i="1"/>
  <c r="AM300" i="1" a="1"/>
  <c r="AM300" i="1" s="1"/>
  <c r="AN300" i="1"/>
  <c r="AO300" i="1" s="1"/>
  <c r="AM301" i="1" a="1"/>
  <c r="AM301" i="1" s="1"/>
  <c r="AN301" i="1"/>
  <c r="AM302" i="1" a="1"/>
  <c r="AM302" i="1" s="1"/>
  <c r="AN302" i="1"/>
  <c r="AM303" i="1" a="1"/>
  <c r="AM303" i="1" s="1"/>
  <c r="AN303" i="1"/>
  <c r="AM304" i="1" a="1"/>
  <c r="AM304" i="1" s="1"/>
  <c r="AN304" i="1"/>
  <c r="AM305" i="1" a="1"/>
  <c r="AM305" i="1" s="1"/>
  <c r="AN305" i="1"/>
  <c r="AO305" i="1" s="1"/>
  <c r="AM306" i="1" a="1"/>
  <c r="AM306" i="1" s="1"/>
  <c r="AN306" i="1"/>
  <c r="AM307" i="1" a="1"/>
  <c r="AM307" i="1" s="1"/>
  <c r="AN307" i="1"/>
  <c r="AM308" i="1" a="1"/>
  <c r="AM308" i="1" s="1"/>
  <c r="AN308" i="1"/>
  <c r="AM309" i="1" a="1"/>
  <c r="AM309" i="1"/>
  <c r="AN309" i="1"/>
  <c r="AM310" i="1" a="1"/>
  <c r="AM310" i="1" s="1"/>
  <c r="AN310" i="1"/>
  <c r="AM311" i="1" a="1"/>
  <c r="AM311" i="1"/>
  <c r="AN311" i="1"/>
  <c r="AO311" i="1" s="1"/>
  <c r="AM312" i="1" a="1"/>
  <c r="AM312" i="1" s="1"/>
  <c r="AN312" i="1"/>
  <c r="AM313" i="1" a="1"/>
  <c r="AM313" i="1"/>
  <c r="AN313" i="1"/>
  <c r="AM314" i="1" a="1"/>
  <c r="AM314" i="1" s="1"/>
  <c r="AN314" i="1"/>
  <c r="AM315" i="1" a="1"/>
  <c r="AM315" i="1" s="1"/>
  <c r="AN315" i="1"/>
  <c r="AM316" i="1" a="1"/>
  <c r="AM316" i="1" s="1"/>
  <c r="AN316" i="1"/>
  <c r="AM317" i="1" a="1"/>
  <c r="AM317" i="1" s="1"/>
  <c r="AN317" i="1"/>
  <c r="AM318" i="1" a="1"/>
  <c r="AM318" i="1" s="1"/>
  <c r="AN318" i="1"/>
  <c r="AM319" i="1" a="1"/>
  <c r="AM319" i="1" s="1"/>
  <c r="AN319" i="1"/>
  <c r="AO319" i="1" s="1"/>
  <c r="AM320" i="1" a="1"/>
  <c r="AM320" i="1" s="1"/>
  <c r="AN320" i="1"/>
  <c r="AM321" i="1" a="1"/>
  <c r="AM321" i="1" s="1"/>
  <c r="AN321" i="1"/>
  <c r="AM322" i="1" a="1"/>
  <c r="AM322" i="1" s="1"/>
  <c r="AN322" i="1"/>
  <c r="AM323" i="1" a="1"/>
  <c r="AM323" i="1" s="1"/>
  <c r="AN323" i="1"/>
  <c r="AM324" i="1" a="1"/>
  <c r="AM324" i="1" s="1"/>
  <c r="AN324" i="1"/>
  <c r="AO324" i="1" s="1"/>
  <c r="AM325" i="1" a="1"/>
  <c r="AM325" i="1" s="1"/>
  <c r="AN325" i="1"/>
  <c r="AM326" i="1" a="1"/>
  <c r="AM326" i="1" s="1"/>
  <c r="AN326" i="1"/>
  <c r="AM327" i="1" a="1"/>
  <c r="AM327" i="1" s="1"/>
  <c r="AN327" i="1"/>
  <c r="AM328" i="1" a="1"/>
  <c r="AM328" i="1" s="1"/>
  <c r="AN328" i="1"/>
  <c r="AM329" i="1" a="1"/>
  <c r="AM329" i="1"/>
  <c r="AN329" i="1"/>
  <c r="AO329" i="1" s="1"/>
  <c r="AM330" i="1" a="1"/>
  <c r="AM330" i="1" s="1"/>
  <c r="AN330" i="1"/>
  <c r="AM331" i="1" a="1"/>
  <c r="AM331" i="1" s="1"/>
  <c r="AN331" i="1"/>
  <c r="AM332" i="1" a="1"/>
  <c r="AM332" i="1" s="1"/>
  <c r="AN332" i="1"/>
  <c r="AM333" i="1" a="1"/>
  <c r="AM333" i="1" s="1"/>
  <c r="AN333" i="1"/>
  <c r="AM334" i="1" a="1"/>
  <c r="AM334" i="1" s="1"/>
  <c r="AN334" i="1"/>
  <c r="AM335" i="1" a="1"/>
  <c r="AM335" i="1" s="1"/>
  <c r="AN335" i="1"/>
  <c r="AM336" i="1" a="1"/>
  <c r="AM336" i="1" s="1"/>
  <c r="AN336" i="1"/>
  <c r="AO336" i="1" s="1"/>
  <c r="AM337" i="1" a="1"/>
  <c r="AM337" i="1" s="1"/>
  <c r="AN337" i="1"/>
  <c r="AM338" i="1" a="1"/>
  <c r="AM338" i="1" s="1"/>
  <c r="AN338" i="1"/>
  <c r="AM339" i="1" a="1"/>
  <c r="AM339" i="1"/>
  <c r="AN339" i="1"/>
  <c r="AM340" i="1" a="1"/>
  <c r="AM340" i="1" s="1"/>
  <c r="AN340" i="1"/>
  <c r="AM341" i="1" a="1"/>
  <c r="AM341" i="1" s="1"/>
  <c r="AN341" i="1"/>
  <c r="AM342" i="1" a="1"/>
  <c r="AM342" i="1" s="1"/>
  <c r="AN342" i="1"/>
  <c r="AO342" i="1" s="1"/>
  <c r="AM343" i="1" a="1"/>
  <c r="AM343" i="1" s="1"/>
  <c r="AN343" i="1"/>
  <c r="AM344" i="1" a="1"/>
  <c r="AM344" i="1" s="1"/>
  <c r="AN344" i="1"/>
  <c r="AM345" i="1" a="1"/>
  <c r="AM345" i="1" s="1"/>
  <c r="AN345" i="1"/>
  <c r="AM346" i="1" a="1"/>
  <c r="AM346" i="1" s="1"/>
  <c r="AN346" i="1"/>
  <c r="AM347" i="1" a="1"/>
  <c r="AM347" i="1" s="1"/>
  <c r="AN347" i="1"/>
  <c r="AM348" i="1" a="1"/>
  <c r="AM348" i="1" s="1"/>
  <c r="AN348" i="1"/>
  <c r="AO348" i="1" s="1"/>
  <c r="AM349" i="1" a="1"/>
  <c r="AM349" i="1" s="1"/>
  <c r="AN349" i="1"/>
  <c r="AM350" i="1" a="1"/>
  <c r="AM350" i="1" s="1"/>
  <c r="AN350" i="1"/>
  <c r="AM351" i="1" a="1"/>
  <c r="AM351" i="1" s="1"/>
  <c r="AN351" i="1"/>
  <c r="AM352" i="1" a="1"/>
  <c r="AM352" i="1" s="1"/>
  <c r="AN352" i="1"/>
  <c r="AO352" i="1" s="1"/>
  <c r="AM353" i="1" a="1"/>
  <c r="AM353" i="1" s="1"/>
  <c r="AN353" i="1"/>
  <c r="AM354" i="1" a="1"/>
  <c r="AM354" i="1" s="1"/>
  <c r="AN354" i="1"/>
  <c r="AO354" i="1" s="1"/>
  <c r="AM355" i="1" a="1"/>
  <c r="AM355" i="1" s="1"/>
  <c r="AN355" i="1"/>
  <c r="AM356" i="1" a="1"/>
  <c r="AM356" i="1" s="1"/>
  <c r="AN356" i="1"/>
  <c r="AM357" i="1" a="1"/>
  <c r="AM357" i="1" s="1"/>
  <c r="AN357" i="1"/>
  <c r="AM358" i="1" a="1"/>
  <c r="AM358" i="1" s="1"/>
  <c r="AN358" i="1"/>
  <c r="AM359" i="1" a="1"/>
  <c r="AM359" i="1" s="1"/>
  <c r="AN359" i="1"/>
  <c r="AM360" i="1" a="1"/>
  <c r="AM360" i="1" s="1"/>
  <c r="AN360" i="1"/>
  <c r="AO360" i="1" s="1"/>
  <c r="AM361" i="1" a="1"/>
  <c r="AM361" i="1" s="1"/>
  <c r="AN361" i="1"/>
  <c r="AM362" i="1" a="1"/>
  <c r="AM362" i="1" s="1"/>
  <c r="AN362" i="1"/>
  <c r="AM363" i="1" a="1"/>
  <c r="AM363" i="1" s="1"/>
  <c r="AN363" i="1"/>
  <c r="AM364" i="1" a="1"/>
  <c r="AM364" i="1" s="1"/>
  <c r="AN364" i="1"/>
  <c r="AM365" i="1" a="1"/>
  <c r="AM365" i="1" s="1"/>
  <c r="AN365" i="1"/>
  <c r="AO365" i="1" s="1"/>
  <c r="AM366" i="1" a="1"/>
  <c r="AM366" i="1" s="1"/>
  <c r="AN366" i="1"/>
  <c r="AM367" i="1" a="1"/>
  <c r="AM367" i="1" s="1"/>
  <c r="AN367" i="1"/>
  <c r="AM368" i="1" a="1"/>
  <c r="AM368" i="1" s="1"/>
  <c r="AN368" i="1"/>
  <c r="AO368" i="1" s="1"/>
  <c r="AM369" i="1" a="1"/>
  <c r="AM369" i="1" s="1"/>
  <c r="AN369" i="1"/>
  <c r="AO369" i="1" s="1"/>
  <c r="AM370" i="1" a="1"/>
  <c r="AM370" i="1" s="1"/>
  <c r="AN370" i="1"/>
  <c r="AM371" i="1" a="1"/>
  <c r="AM371" i="1" s="1"/>
  <c r="AN371" i="1"/>
  <c r="AM372" i="1" a="1"/>
  <c r="AM372" i="1" s="1"/>
  <c r="AN372" i="1"/>
  <c r="AO372" i="1" s="1"/>
  <c r="AM373" i="1" a="1"/>
  <c r="AM373" i="1" s="1"/>
  <c r="AN373" i="1"/>
  <c r="AM374" i="1" a="1"/>
  <c r="AM374" i="1" s="1"/>
  <c r="AN374" i="1"/>
  <c r="AM375" i="1" a="1"/>
  <c r="AM375" i="1" s="1"/>
  <c r="AN375" i="1"/>
  <c r="AM376" i="1" a="1"/>
  <c r="AM376" i="1" s="1"/>
  <c r="AN376" i="1"/>
  <c r="AM377" i="1" a="1"/>
  <c r="AM377" i="1" s="1"/>
  <c r="AN377" i="1"/>
  <c r="AM378" i="1" a="1"/>
  <c r="AM378" i="1" s="1"/>
  <c r="AN378" i="1"/>
  <c r="AM379" i="1" a="1"/>
  <c r="AM379" i="1" s="1"/>
  <c r="AN379" i="1"/>
  <c r="AM380" i="1" a="1"/>
  <c r="AM380" i="1" s="1"/>
  <c r="AN380" i="1"/>
  <c r="AM381" i="1" a="1"/>
  <c r="AM381" i="1" s="1"/>
  <c r="AN381" i="1"/>
  <c r="AO381" i="1" s="1"/>
  <c r="AM382" i="1" a="1"/>
  <c r="AM382" i="1" s="1"/>
  <c r="AN382" i="1"/>
  <c r="AM383" i="1" a="1"/>
  <c r="AM383" i="1" s="1"/>
  <c r="AN383" i="1"/>
  <c r="AM384" i="1" a="1"/>
  <c r="AM384" i="1" s="1"/>
  <c r="AN384" i="1"/>
  <c r="AO384" i="1" s="1"/>
  <c r="AM385" i="1" a="1"/>
  <c r="AM385" i="1" s="1"/>
  <c r="AN385" i="1"/>
  <c r="AM386" i="1" a="1"/>
  <c r="AM386" i="1" s="1"/>
  <c r="AN386" i="1"/>
  <c r="AM387" i="1" a="1"/>
  <c r="AM387" i="1" s="1"/>
  <c r="AN387" i="1"/>
  <c r="AM388" i="1" a="1"/>
  <c r="AM388" i="1" s="1"/>
  <c r="AN388" i="1"/>
  <c r="AM389" i="1" a="1"/>
  <c r="AM389" i="1" s="1"/>
  <c r="AN389" i="1"/>
  <c r="AM390" i="1" a="1"/>
  <c r="AM390" i="1" s="1"/>
  <c r="AN390" i="1"/>
  <c r="AM391" i="1" a="1"/>
  <c r="AM391" i="1" s="1"/>
  <c r="AN391" i="1"/>
  <c r="AO391" i="1" s="1"/>
  <c r="AM392" i="1" a="1"/>
  <c r="AM392" i="1" s="1"/>
  <c r="AN392" i="1"/>
  <c r="AM393" i="1" a="1"/>
  <c r="AM393" i="1" s="1"/>
  <c r="AN393" i="1"/>
  <c r="AO393" i="1" s="1"/>
  <c r="AM394" i="1" a="1"/>
  <c r="AM394" i="1" s="1"/>
  <c r="AN394" i="1"/>
  <c r="AO394" i="1" s="1"/>
  <c r="AM395" i="1" a="1"/>
  <c r="AM395" i="1" s="1"/>
  <c r="AN395" i="1"/>
  <c r="AM396" i="1" a="1"/>
  <c r="AM396" i="1" s="1"/>
  <c r="AN396" i="1"/>
  <c r="AO396" i="1" s="1"/>
  <c r="AM397" i="1" a="1"/>
  <c r="AM397" i="1" s="1"/>
  <c r="AN397" i="1"/>
  <c r="AM398" i="1" a="1"/>
  <c r="AM398" i="1" s="1"/>
  <c r="AN398" i="1"/>
  <c r="AM399" i="1" a="1"/>
  <c r="AM399" i="1" s="1"/>
  <c r="AN399" i="1"/>
  <c r="AO399" i="1" s="1"/>
  <c r="AM400" i="1" a="1"/>
  <c r="AM400" i="1" s="1"/>
  <c r="AN400" i="1"/>
  <c r="AM401" i="1" a="1"/>
  <c r="AM401" i="1" s="1"/>
  <c r="AN401" i="1"/>
  <c r="AM402" i="1" a="1"/>
  <c r="AM402" i="1" s="1"/>
  <c r="AN402" i="1"/>
  <c r="AM403" i="1" a="1"/>
  <c r="AM403" i="1" s="1"/>
  <c r="AN403" i="1"/>
  <c r="AM404" i="1" a="1"/>
  <c r="AM404" i="1" s="1"/>
  <c r="AN404" i="1"/>
  <c r="AM405" i="1" a="1"/>
  <c r="AM405" i="1" s="1"/>
  <c r="AN405" i="1"/>
  <c r="AM406" i="1" a="1"/>
  <c r="AM406" i="1" s="1"/>
  <c r="AN406" i="1"/>
  <c r="AM407" i="1" a="1"/>
  <c r="AM407" i="1" s="1"/>
  <c r="AN407" i="1"/>
  <c r="AO407" i="1" s="1"/>
  <c r="AM408" i="1" a="1"/>
  <c r="AM408" i="1" s="1"/>
  <c r="AN408" i="1"/>
  <c r="AO408" i="1" s="1"/>
  <c r="AM409" i="1" a="1"/>
  <c r="AM409" i="1" s="1"/>
  <c r="AN409" i="1"/>
  <c r="AO409" i="1" s="1"/>
  <c r="AM410" i="1" a="1"/>
  <c r="AM410" i="1" s="1"/>
  <c r="AN410" i="1"/>
  <c r="AM411" i="1" a="1"/>
  <c r="AM411" i="1" s="1"/>
  <c r="AN411" i="1"/>
  <c r="AO411" i="1" s="1"/>
  <c r="AM412" i="1" a="1"/>
  <c r="AM412" i="1" s="1"/>
  <c r="AN412" i="1"/>
  <c r="AM413" i="1" a="1"/>
  <c r="AM413" i="1" s="1"/>
  <c r="AN413" i="1"/>
  <c r="AM414" i="1" a="1"/>
  <c r="AM414" i="1" s="1"/>
  <c r="AN414" i="1"/>
  <c r="AO414" i="1" s="1"/>
  <c r="AM415" i="1" a="1"/>
  <c r="AM415" i="1" s="1"/>
  <c r="AN415" i="1"/>
  <c r="AO415" i="1" s="1"/>
  <c r="AM416" i="1" a="1"/>
  <c r="AM416" i="1" s="1"/>
  <c r="AN416" i="1"/>
  <c r="AM417" i="1" a="1"/>
  <c r="AM417" i="1" s="1"/>
  <c r="AN417" i="1"/>
  <c r="AM418" i="1" a="1"/>
  <c r="AM418" i="1" s="1"/>
  <c r="AN418" i="1"/>
  <c r="AO418" i="1" s="1"/>
  <c r="AM419" i="1" a="1"/>
  <c r="AM419" i="1" s="1"/>
  <c r="AN419" i="1"/>
  <c r="AO419" i="1" s="1"/>
  <c r="AM420" i="1" a="1"/>
  <c r="AM420" i="1" s="1"/>
  <c r="AN420" i="1"/>
  <c r="AO420" i="1" s="1"/>
  <c r="AM421" i="1" a="1"/>
  <c r="AM421" i="1" s="1"/>
  <c r="AN421" i="1"/>
  <c r="AO421" i="1" s="1"/>
  <c r="AM422" i="1" a="1"/>
  <c r="AM422" i="1" s="1"/>
  <c r="AN422" i="1"/>
  <c r="AM423" i="1" a="1"/>
  <c r="AM423" i="1" s="1"/>
  <c r="AN423" i="1"/>
  <c r="AO423" i="1" s="1"/>
  <c r="AM424" i="1" a="1"/>
  <c r="AM424" i="1" s="1"/>
  <c r="AN424" i="1"/>
  <c r="AM425" i="1" a="1"/>
  <c r="AM425" i="1" s="1"/>
  <c r="AN425" i="1"/>
  <c r="AM426" i="1" a="1"/>
  <c r="AM426" i="1" s="1"/>
  <c r="AN426" i="1"/>
  <c r="AM427" i="1" a="1"/>
  <c r="AM427" i="1" s="1"/>
  <c r="AN427" i="1"/>
  <c r="AO427" i="1" s="1"/>
  <c r="AM428" i="1" a="1"/>
  <c r="AM428" i="1" s="1"/>
  <c r="AN428" i="1"/>
  <c r="AM429" i="1" a="1"/>
  <c r="AM429" i="1" s="1"/>
  <c r="AN429" i="1"/>
  <c r="AO429" i="1" s="1"/>
  <c r="AM430" i="1" a="1"/>
  <c r="AM430" i="1" s="1"/>
  <c r="AN430" i="1"/>
  <c r="AM431" i="1" a="1"/>
  <c r="AM431" i="1" s="1"/>
  <c r="AN431" i="1"/>
  <c r="AO431" i="1" s="1"/>
  <c r="AM432" i="1" a="1"/>
  <c r="AM432" i="1" s="1"/>
  <c r="AN432" i="1"/>
  <c r="AO432" i="1" s="1"/>
  <c r="AM433" i="1" a="1"/>
  <c r="AM433" i="1" s="1"/>
  <c r="AN433" i="1"/>
  <c r="AM434" i="1" a="1"/>
  <c r="AM434" i="1" s="1"/>
  <c r="AN434" i="1"/>
  <c r="AO434" i="1" s="1"/>
  <c r="AM435" i="1" a="1"/>
  <c r="AM435" i="1" s="1"/>
  <c r="AN435" i="1"/>
  <c r="AO435" i="1" s="1"/>
  <c r="AM436" i="1" a="1"/>
  <c r="AM436" i="1" s="1"/>
  <c r="AN436" i="1"/>
  <c r="AO436" i="1" s="1"/>
  <c r="AM437" i="1" a="1"/>
  <c r="AM437" i="1" s="1"/>
  <c r="AN437" i="1"/>
  <c r="AO437" i="1" s="1"/>
  <c r="AM438" i="1" a="1"/>
  <c r="AM438" i="1" s="1"/>
  <c r="AN438" i="1"/>
  <c r="AM439" i="1" a="1"/>
  <c r="AM439" i="1" s="1"/>
  <c r="AN439" i="1"/>
  <c r="AO439" i="1" s="1"/>
  <c r="AM440" i="1" a="1"/>
  <c r="AM440" i="1" s="1"/>
  <c r="AN440" i="1"/>
  <c r="AM441" i="1" a="1"/>
  <c r="AM441" i="1" s="1"/>
  <c r="AN441" i="1"/>
  <c r="AM442" i="1" a="1"/>
  <c r="AM442" i="1" s="1"/>
  <c r="AN442" i="1"/>
  <c r="AM443" i="1" a="1"/>
  <c r="AM443" i="1" s="1"/>
  <c r="AN443" i="1"/>
  <c r="AM444" i="1" a="1"/>
  <c r="AM444" i="1" s="1"/>
  <c r="AN444" i="1"/>
  <c r="AO444" i="1" s="1"/>
  <c r="AM445" i="1" a="1"/>
  <c r="AM445" i="1" s="1"/>
  <c r="AN445" i="1"/>
  <c r="AO445" i="1" s="1"/>
  <c r="AM446" i="1" a="1"/>
  <c r="AM446" i="1" s="1"/>
  <c r="AN446" i="1"/>
  <c r="AM447" i="1" a="1"/>
  <c r="AM447" i="1" s="1"/>
  <c r="AN447" i="1"/>
  <c r="AO447" i="1" s="1"/>
  <c r="AM448" i="1" a="1"/>
  <c r="AM448" i="1" s="1"/>
  <c r="AN448" i="1"/>
  <c r="AM449" i="1" a="1"/>
  <c r="AM449" i="1" s="1"/>
  <c r="AN449" i="1"/>
  <c r="AM450" i="1" a="1"/>
  <c r="AM450" i="1" s="1"/>
  <c r="AN450" i="1"/>
  <c r="AM451" i="1" a="1"/>
  <c r="AM451" i="1" s="1"/>
  <c r="AN451" i="1"/>
  <c r="AO451" i="1" s="1"/>
  <c r="AM452" i="1" a="1"/>
  <c r="AM452" i="1"/>
  <c r="AN452" i="1"/>
  <c r="AM453" i="1" a="1"/>
  <c r="AM453" i="1"/>
  <c r="AN453" i="1"/>
  <c r="AO453" i="1" s="1"/>
  <c r="AM454" i="1" a="1"/>
  <c r="AM454" i="1" s="1"/>
  <c r="AN454" i="1"/>
  <c r="AM455" i="1" a="1"/>
  <c r="AM455" i="1"/>
  <c r="AN455" i="1"/>
  <c r="AM456" i="1" a="1"/>
  <c r="AM456" i="1"/>
  <c r="AN456" i="1"/>
  <c r="AO456" i="1" s="1"/>
  <c r="AM457" i="1" a="1"/>
  <c r="AM457" i="1"/>
  <c r="AN457" i="1"/>
  <c r="AM458" i="1" a="1"/>
  <c r="AM458" i="1" s="1"/>
  <c r="AN458" i="1"/>
  <c r="AM459" i="1" a="1"/>
  <c r="AM459" i="1" s="1"/>
  <c r="AN459" i="1"/>
  <c r="AM460" i="1" a="1"/>
  <c r="AM460" i="1" s="1"/>
  <c r="AN460" i="1"/>
  <c r="AO460" i="1" s="1"/>
  <c r="AM461" i="1" a="1"/>
  <c r="AM461" i="1" s="1"/>
  <c r="AN461" i="1"/>
  <c r="AO461" i="1" s="1"/>
  <c r="AM462" i="1" a="1"/>
  <c r="AM462" i="1" s="1"/>
  <c r="AN462" i="1"/>
  <c r="AM463" i="1" a="1"/>
  <c r="AM463" i="1" s="1"/>
  <c r="AN463" i="1"/>
  <c r="AM464" i="1" a="1"/>
  <c r="AM464" i="1" s="1"/>
  <c r="AN464" i="1"/>
  <c r="AM465" i="1" a="1"/>
  <c r="AM465" i="1"/>
  <c r="AN465" i="1"/>
  <c r="AO465" i="1" s="1"/>
  <c r="AM466" i="1" a="1"/>
  <c r="AM466" i="1" s="1"/>
  <c r="AN466" i="1"/>
  <c r="AM467" i="1" a="1"/>
  <c r="AM467" i="1"/>
  <c r="AN467" i="1"/>
  <c r="AM468" i="1" a="1"/>
  <c r="AM468" i="1"/>
  <c r="AN468" i="1"/>
  <c r="AO468" i="1" s="1"/>
  <c r="AM469" i="1" a="1"/>
  <c r="AM469" i="1"/>
  <c r="AN469" i="1"/>
  <c r="AO469" i="1" s="1"/>
  <c r="AM470" i="1" a="1"/>
  <c r="AM470" i="1" s="1"/>
  <c r="AN470" i="1"/>
  <c r="AO470" i="1" s="1"/>
  <c r="AM471" i="1" a="1"/>
  <c r="AM471" i="1" s="1"/>
  <c r="AN471" i="1"/>
  <c r="AM472" i="1" a="1"/>
  <c r="AM472" i="1" s="1"/>
  <c r="AN472" i="1"/>
  <c r="AM473" i="1" a="1"/>
  <c r="AM473" i="1" s="1"/>
  <c r="AN473" i="1"/>
  <c r="AO473" i="1" s="1"/>
  <c r="AM474" i="1" a="1"/>
  <c r="AM474" i="1" s="1"/>
  <c r="AN474" i="1"/>
  <c r="AM475" i="1" a="1"/>
  <c r="AM475" i="1"/>
  <c r="AN475" i="1"/>
  <c r="AM476" i="1" a="1"/>
  <c r="AM476" i="1" s="1"/>
  <c r="AN476" i="1"/>
  <c r="AO476" i="1" s="1"/>
  <c r="AM477" i="1" a="1"/>
  <c r="AM477" i="1" s="1"/>
  <c r="AN477" i="1"/>
  <c r="AM478" i="1" a="1"/>
  <c r="AM478" i="1" s="1"/>
  <c r="AN478" i="1"/>
  <c r="AO478" i="1" s="1"/>
  <c r="AM479" i="1" a="1"/>
  <c r="AM479" i="1"/>
  <c r="AN479" i="1"/>
  <c r="AO479" i="1" s="1"/>
  <c r="AM480" i="1" a="1"/>
  <c r="AM480" i="1"/>
  <c r="AN480" i="1"/>
  <c r="AO480" i="1" s="1"/>
  <c r="AM481" i="1" a="1"/>
  <c r="AM481" i="1"/>
  <c r="AN481" i="1"/>
  <c r="AM482" i="1" a="1"/>
  <c r="AM482" i="1" s="1"/>
  <c r="AN482" i="1"/>
  <c r="AO482" i="1" s="1"/>
  <c r="AM483" i="1" a="1"/>
  <c r="AM483" i="1" s="1"/>
  <c r="AN483" i="1"/>
  <c r="AM484" i="1" a="1"/>
  <c r="AM484" i="1" s="1"/>
  <c r="AN484" i="1"/>
  <c r="AM485" i="1" a="1"/>
  <c r="AM485" i="1" s="1"/>
  <c r="AN485" i="1"/>
  <c r="AM486" i="1" a="1"/>
  <c r="AM486" i="1" s="1"/>
  <c r="AN486" i="1"/>
  <c r="AO486" i="1" s="1"/>
  <c r="AM487" i="1" a="1"/>
  <c r="AM487" i="1"/>
  <c r="AN487" i="1"/>
  <c r="AO487" i="1" s="1"/>
  <c r="AM488" i="1" a="1"/>
  <c r="AM488" i="1"/>
  <c r="AN488" i="1"/>
  <c r="AM489" i="1" a="1"/>
  <c r="AM489" i="1" s="1"/>
  <c r="AN489" i="1"/>
  <c r="AM490" i="1" a="1"/>
  <c r="AM490" i="1" s="1"/>
  <c r="AN490" i="1"/>
  <c r="AM491" i="1" a="1"/>
  <c r="AM491" i="1"/>
  <c r="AN491" i="1"/>
  <c r="AO491" i="1" s="1"/>
  <c r="AM492" i="1" a="1"/>
  <c r="AM492" i="1"/>
  <c r="AN492" i="1"/>
  <c r="AO492" i="1" s="1"/>
  <c r="AM493" i="1" a="1"/>
  <c r="AM493" i="1"/>
  <c r="AN493" i="1"/>
  <c r="AM494" i="1" a="1"/>
  <c r="AM494" i="1" s="1"/>
  <c r="AN494" i="1"/>
  <c r="AO494" i="1" s="1"/>
  <c r="AM495" i="1" a="1"/>
  <c r="AM495" i="1" s="1"/>
  <c r="AN495" i="1"/>
  <c r="AO495" i="1" s="1"/>
  <c r="AM496" i="1" a="1"/>
  <c r="AM496" i="1" s="1"/>
  <c r="AN496" i="1"/>
  <c r="AM497" i="1" a="1"/>
  <c r="AM497" i="1" s="1"/>
  <c r="AN497" i="1"/>
  <c r="AM498" i="1" a="1"/>
  <c r="AM498" i="1" s="1"/>
  <c r="AN498" i="1"/>
  <c r="AM499" i="1" a="1"/>
  <c r="AM499" i="1" s="1"/>
  <c r="AN499" i="1"/>
  <c r="AO499" i="1" s="1"/>
  <c r="AM500" i="1" a="1"/>
  <c r="AM500" i="1"/>
  <c r="AN500" i="1"/>
  <c r="AM501" i="1" a="1"/>
  <c r="AM501" i="1"/>
  <c r="AN501" i="1"/>
  <c r="AM502" i="1" a="1"/>
  <c r="AM502" i="1" s="1"/>
  <c r="AN502" i="1"/>
  <c r="AM503" i="1" a="1"/>
  <c r="AM503" i="1"/>
  <c r="AN503" i="1"/>
  <c r="AO503" i="1" s="1"/>
  <c r="AM504" i="1" a="1"/>
  <c r="AM504" i="1"/>
  <c r="AN504" i="1"/>
  <c r="AO504" i="1" s="1"/>
  <c r="AM505" i="1" a="1"/>
  <c r="AM505" i="1"/>
  <c r="AN505" i="1"/>
  <c r="AM506" i="1" a="1"/>
  <c r="AM506" i="1" s="1"/>
  <c r="AN506" i="1"/>
  <c r="AM507" i="1" a="1"/>
  <c r="AM507" i="1" s="1"/>
  <c r="AN507" i="1"/>
  <c r="AO507" i="1" s="1"/>
  <c r="AM508" i="1" a="1"/>
  <c r="AM508" i="1" s="1"/>
  <c r="AN508" i="1"/>
  <c r="AO508" i="1" s="1"/>
  <c r="AM509" i="1" a="1"/>
  <c r="AM509" i="1" s="1"/>
  <c r="AN509" i="1"/>
  <c r="AM510" i="1" a="1"/>
  <c r="AM510" i="1" s="1"/>
  <c r="AN510" i="1"/>
  <c r="AM511" i="1" a="1"/>
  <c r="AM511" i="1" s="1"/>
  <c r="AN511" i="1"/>
  <c r="AM512" i="1" a="1"/>
  <c r="AM512" i="1" s="1"/>
  <c r="AN512" i="1"/>
  <c r="AO512" i="1" s="1"/>
  <c r="AM513" i="1" a="1"/>
  <c r="AM513" i="1"/>
  <c r="AN513" i="1"/>
  <c r="AM514" i="1" a="1"/>
  <c r="AM514" i="1" s="1"/>
  <c r="AN514" i="1"/>
  <c r="AM515" i="1" a="1"/>
  <c r="AM515" i="1"/>
  <c r="AN515" i="1"/>
  <c r="AM516" i="1" a="1"/>
  <c r="AM516" i="1"/>
  <c r="AN516" i="1"/>
  <c r="AO516" i="1" s="1"/>
  <c r="AM517" i="1" a="1"/>
  <c r="AM517" i="1"/>
  <c r="AN517" i="1"/>
  <c r="AO517" i="1" s="1"/>
  <c r="AM518" i="1" a="1"/>
  <c r="AM518" i="1" s="1"/>
  <c r="AN518" i="1"/>
  <c r="AM519" i="1" a="1"/>
  <c r="AM519" i="1" s="1"/>
  <c r="AN519" i="1"/>
  <c r="AM520" i="1" a="1"/>
  <c r="AM520" i="1" s="1"/>
  <c r="AN520" i="1"/>
  <c r="AO520" i="1" s="1"/>
  <c r="AM521" i="1" a="1"/>
  <c r="AM521" i="1" s="1"/>
  <c r="AN521" i="1"/>
  <c r="AO521" i="1" s="1"/>
  <c r="AM522" i="1" a="1"/>
  <c r="AM522" i="1" s="1"/>
  <c r="AN522" i="1"/>
  <c r="AO522" i="1" s="1"/>
  <c r="AM523" i="1" a="1"/>
  <c r="AM523" i="1"/>
  <c r="AN523" i="1"/>
  <c r="AO523" i="1" s="1"/>
  <c r="AM524" i="1" a="1"/>
  <c r="AM524" i="1" s="1"/>
  <c r="AN524" i="1"/>
  <c r="AM525" i="1" a="1"/>
  <c r="AM525" i="1" s="1"/>
  <c r="AN525" i="1"/>
  <c r="AO525" i="1" s="1"/>
  <c r="AM526" i="1" a="1"/>
  <c r="AM526" i="1" s="1"/>
  <c r="AN526" i="1"/>
  <c r="AO526" i="1" s="1"/>
  <c r="AM527" i="1" a="1"/>
  <c r="AM527" i="1"/>
  <c r="AN527" i="1"/>
  <c r="AM528" i="1" a="1"/>
  <c r="AM528" i="1"/>
  <c r="AN528" i="1"/>
  <c r="AO528" i="1" s="1"/>
  <c r="AM529" i="1" a="1"/>
  <c r="AM529" i="1"/>
  <c r="AN529" i="1"/>
  <c r="AM530" i="1" a="1"/>
  <c r="AM530" i="1" s="1"/>
  <c r="AN530" i="1"/>
  <c r="AO530" i="1" s="1"/>
  <c r="AM531" i="1" a="1"/>
  <c r="AM531" i="1" s="1"/>
  <c r="AN531" i="1"/>
  <c r="AM532" i="1" a="1"/>
  <c r="AM532" i="1" s="1"/>
  <c r="AN532" i="1"/>
  <c r="AM533" i="1" a="1"/>
  <c r="AM533" i="1" s="1"/>
  <c r="AN533" i="1"/>
  <c r="AM534" i="1" a="1"/>
  <c r="AM534" i="1" s="1"/>
  <c r="AN534" i="1"/>
  <c r="AM535" i="1" a="1"/>
  <c r="AM535" i="1"/>
  <c r="AN535" i="1"/>
  <c r="AM536" i="1" a="1"/>
  <c r="AM536" i="1"/>
  <c r="AN536" i="1"/>
  <c r="AO536" i="1" s="1"/>
  <c r="AM537" i="1" a="1"/>
  <c r="AM537" i="1" s="1"/>
  <c r="AN537" i="1"/>
  <c r="AO537" i="1" s="1"/>
  <c r="AM538" i="1" a="1"/>
  <c r="AM538" i="1" s="1"/>
  <c r="AN538" i="1"/>
  <c r="AO538" i="1" s="1"/>
  <c r="AM539" i="1" a="1"/>
  <c r="AM539" i="1"/>
  <c r="AN539" i="1"/>
  <c r="AO539" i="1" s="1"/>
  <c r="AM540" i="1" a="1"/>
  <c r="AM540" i="1"/>
  <c r="AN540" i="1"/>
  <c r="AO540" i="1" s="1"/>
  <c r="AM541" i="1" a="1"/>
  <c r="AM541" i="1"/>
  <c r="AN541" i="1"/>
  <c r="AM542" i="1" a="1"/>
  <c r="AM542" i="1" s="1"/>
  <c r="AN542" i="1"/>
  <c r="AM543" i="1" a="1"/>
  <c r="AM543" i="1" s="1"/>
  <c r="AN543" i="1"/>
  <c r="AO543" i="1" s="1"/>
  <c r="AM544" i="1" a="1"/>
  <c r="AM544" i="1" s="1"/>
  <c r="AN544" i="1"/>
  <c r="AM545" i="1" a="1"/>
  <c r="AM545" i="1" s="1"/>
  <c r="AN545" i="1"/>
  <c r="AM546" i="1" a="1"/>
  <c r="AM546" i="1" s="1"/>
  <c r="AN546" i="1"/>
  <c r="AM547" i="1" a="1"/>
  <c r="AM547" i="1" s="1"/>
  <c r="AN547" i="1"/>
  <c r="AM548" i="1" a="1"/>
  <c r="AM548" i="1"/>
  <c r="AN548" i="1"/>
  <c r="AM549" i="1" a="1"/>
  <c r="AM549" i="1"/>
  <c r="AN549" i="1"/>
  <c r="AM550" i="1" a="1"/>
  <c r="AM550" i="1" s="1"/>
  <c r="AN550" i="1"/>
  <c r="AO550" i="1" s="1"/>
  <c r="AM551" i="1" a="1"/>
  <c r="AM551" i="1"/>
  <c r="AN551" i="1"/>
  <c r="AO551" i="1" s="1"/>
  <c r="AM552" i="1" a="1"/>
  <c r="AM552" i="1"/>
  <c r="AN552" i="1"/>
  <c r="AO552" i="1" s="1"/>
  <c r="AM553" i="1" a="1"/>
  <c r="AM553" i="1"/>
  <c r="AN553" i="1"/>
  <c r="AM554" i="1" a="1"/>
  <c r="AM554" i="1" s="1"/>
  <c r="AN554" i="1"/>
  <c r="AM555" i="1" a="1"/>
  <c r="AM555" i="1" s="1"/>
  <c r="AN555" i="1"/>
  <c r="AO555" i="1" s="1"/>
  <c r="AM556" i="1" a="1"/>
  <c r="AM556" i="1" s="1"/>
  <c r="AN556" i="1"/>
  <c r="AO556" i="1" s="1"/>
  <c r="AM557" i="1" a="1"/>
  <c r="AM557" i="1" s="1"/>
  <c r="AN557" i="1"/>
  <c r="AM558" i="1" a="1"/>
  <c r="AM558" i="1" s="1"/>
  <c r="AN558" i="1"/>
  <c r="AM559" i="1" a="1"/>
  <c r="AM559" i="1" s="1"/>
  <c r="AN559" i="1"/>
  <c r="AM560" i="1" a="1"/>
  <c r="AM560" i="1" s="1"/>
  <c r="AN560" i="1"/>
  <c r="AM561" i="1" a="1"/>
  <c r="AM561" i="1"/>
  <c r="AN561" i="1"/>
  <c r="AM562" i="1" a="1"/>
  <c r="AM562" i="1" s="1"/>
  <c r="AN562" i="1"/>
  <c r="AM563" i="1" a="1"/>
  <c r="AM563" i="1"/>
  <c r="AN563" i="1"/>
  <c r="AM564" i="1" a="1"/>
  <c r="AM564" i="1"/>
  <c r="AN564" i="1"/>
  <c r="AO564" i="1" s="1"/>
  <c r="AM565" i="1" a="1"/>
  <c r="AM565" i="1"/>
  <c r="AN565" i="1"/>
  <c r="AO565" i="1" s="1"/>
  <c r="AM566" i="1" a="1"/>
  <c r="AM566" i="1" s="1"/>
  <c r="AN566" i="1"/>
  <c r="AO566" i="1" s="1"/>
  <c r="AM567" i="1" a="1"/>
  <c r="AM567" i="1" s="1"/>
  <c r="AN567" i="1"/>
  <c r="AM568" i="1" a="1"/>
  <c r="AM568" i="1" s="1"/>
  <c r="AN568" i="1"/>
  <c r="AM569" i="1" a="1"/>
  <c r="AM569" i="1" s="1"/>
  <c r="AN569" i="1"/>
  <c r="AO569" i="1" s="1"/>
  <c r="AM570" i="1" a="1"/>
  <c r="AM570" i="1" s="1"/>
  <c r="AN570" i="1"/>
  <c r="AO570" i="1" s="1"/>
  <c r="AM571" i="1" a="1"/>
  <c r="AM571" i="1"/>
  <c r="AN571" i="1"/>
  <c r="AM572" i="1" a="1"/>
  <c r="AM572" i="1" s="1"/>
  <c r="AN572" i="1"/>
  <c r="AO572" i="1" s="1"/>
  <c r="AM573" i="1" a="1"/>
  <c r="AM573" i="1" s="1"/>
  <c r="AN573" i="1"/>
  <c r="AM574" i="1" a="1"/>
  <c r="AM574" i="1" s="1"/>
  <c r="AN574" i="1"/>
  <c r="AO574" i="1" s="1"/>
  <c r="AM575" i="1" a="1"/>
  <c r="AM575" i="1"/>
  <c r="AN575" i="1"/>
  <c r="AM576" i="1" a="1"/>
  <c r="AM576" i="1"/>
  <c r="AN576" i="1"/>
  <c r="AO576" i="1" s="1"/>
  <c r="AM577" i="1" a="1"/>
  <c r="AM577" i="1"/>
  <c r="AN577" i="1"/>
  <c r="AM578" i="1" a="1"/>
  <c r="AM578" i="1" s="1"/>
  <c r="AN578" i="1"/>
  <c r="AO578" i="1" s="1"/>
  <c r="AM579" i="1" a="1"/>
  <c r="AM579" i="1" s="1"/>
  <c r="AN579" i="1"/>
  <c r="AM580" i="1" a="1"/>
  <c r="AM580" i="1" s="1"/>
  <c r="AN580" i="1"/>
  <c r="AO580" i="1" s="1"/>
  <c r="AM581" i="1" a="1"/>
  <c r="AM581" i="1" s="1"/>
  <c r="AN581" i="1"/>
  <c r="AM582" i="1" a="1"/>
  <c r="AM582" i="1" s="1"/>
  <c r="AN582" i="1"/>
  <c r="AM583" i="1" a="1"/>
  <c r="AM583" i="1"/>
  <c r="AN583" i="1"/>
  <c r="AM584" i="1" a="1"/>
  <c r="AM584" i="1"/>
  <c r="AN584" i="1"/>
  <c r="AM585" i="1" a="1"/>
  <c r="AM585" i="1" s="1"/>
  <c r="AN585" i="1"/>
  <c r="AO585" i="1" s="1"/>
  <c r="AM586" i="1" a="1"/>
  <c r="AM586" i="1" s="1"/>
  <c r="AN586" i="1"/>
  <c r="AM587" i="1" a="1"/>
  <c r="AM587" i="1"/>
  <c r="AN587" i="1"/>
  <c r="AO587" i="1" s="1"/>
  <c r="AM588" i="1" a="1"/>
  <c r="AM588" i="1"/>
  <c r="AN588" i="1"/>
  <c r="AO588" i="1" s="1"/>
  <c r="AM589" i="1" a="1"/>
  <c r="AM589" i="1"/>
  <c r="AN589" i="1"/>
  <c r="AO589" i="1" s="1"/>
  <c r="AM590" i="1" a="1"/>
  <c r="AM590" i="1" s="1"/>
  <c r="AN590" i="1"/>
  <c r="AM591" i="1" a="1"/>
  <c r="AM591" i="1" s="1"/>
  <c r="AN591" i="1"/>
  <c r="AO591" i="1" s="1"/>
  <c r="AM592" i="1" a="1"/>
  <c r="AM592" i="1" s="1"/>
  <c r="AN592" i="1"/>
  <c r="AM593" i="1" a="1"/>
  <c r="AM593" i="1" s="1"/>
  <c r="AN593" i="1"/>
  <c r="AM594" i="1" a="1"/>
  <c r="AM594" i="1" s="1"/>
  <c r="AN594" i="1"/>
  <c r="AO594" i="1" s="1"/>
  <c r="AM595" i="1" a="1"/>
  <c r="AM595" i="1" s="1"/>
  <c r="AN595" i="1"/>
  <c r="AM596" i="1" a="1"/>
  <c r="AM596" i="1"/>
  <c r="AN596" i="1"/>
  <c r="AM597" i="1" a="1"/>
  <c r="AM597" i="1" s="1"/>
  <c r="AN597" i="1"/>
  <c r="AM598" i="1" a="1"/>
  <c r="AM598" i="1" s="1"/>
  <c r="AN598" i="1"/>
  <c r="AM599" i="1" a="1"/>
  <c r="AM599" i="1"/>
  <c r="AN599" i="1"/>
  <c r="AM600" i="1" a="1"/>
  <c r="AM600" i="1"/>
  <c r="AN600" i="1"/>
  <c r="AO600" i="1" s="1"/>
  <c r="AM601" i="1" a="1"/>
  <c r="AM601" i="1"/>
  <c r="AN601" i="1"/>
  <c r="AO601" i="1" s="1"/>
  <c r="AM602" i="1" a="1"/>
  <c r="AM602" i="1" s="1"/>
  <c r="AN602" i="1"/>
  <c r="AM603" i="1" a="1"/>
  <c r="AM603" i="1" s="1"/>
  <c r="AN603" i="1"/>
  <c r="AM604" i="1" a="1"/>
  <c r="AM604" i="1" s="1"/>
  <c r="AN604" i="1"/>
  <c r="AO604" i="1" s="1"/>
  <c r="AM605" i="1" a="1"/>
  <c r="AM605" i="1" s="1"/>
  <c r="AN605" i="1"/>
  <c r="AM606" i="1" a="1"/>
  <c r="AM606" i="1" s="1"/>
  <c r="AN606" i="1"/>
  <c r="AO606" i="1" s="1"/>
  <c r="AM607" i="1" a="1"/>
  <c r="AM607" i="1" s="1"/>
  <c r="AN607" i="1"/>
  <c r="AM608" i="1" a="1"/>
  <c r="AM608" i="1" s="1"/>
  <c r="AN608" i="1"/>
  <c r="AO608" i="1" s="1"/>
  <c r="AM609" i="1" a="1"/>
  <c r="AM609" i="1"/>
  <c r="AN609" i="1"/>
  <c r="AM610" i="1" a="1"/>
  <c r="AM610" i="1" s="1"/>
  <c r="AN610" i="1"/>
  <c r="AM611" i="1" a="1"/>
  <c r="AM611" i="1"/>
  <c r="AN611" i="1"/>
  <c r="AM612" i="1" a="1"/>
  <c r="AM612" i="1"/>
  <c r="AN612" i="1"/>
  <c r="AO612" i="1" s="1"/>
  <c r="AM613" i="1" a="1"/>
  <c r="AM613" i="1"/>
  <c r="AN613" i="1"/>
  <c r="AO613" i="1" s="1"/>
  <c r="AM614" i="1" a="1"/>
  <c r="AM614" i="1" s="1"/>
  <c r="AN614" i="1"/>
  <c r="AM615" i="1" a="1"/>
  <c r="AM615" i="1" s="1"/>
  <c r="AN615" i="1"/>
  <c r="AM616" i="1" a="1"/>
  <c r="AM616" i="1" s="1"/>
  <c r="AN616" i="1"/>
  <c r="AO616" i="1" s="1"/>
  <c r="AM617" i="1" a="1"/>
  <c r="AM617" i="1" s="1"/>
  <c r="AN617" i="1"/>
  <c r="AO617" i="1" s="1"/>
  <c r="AM618" i="1" a="1"/>
  <c r="AM618" i="1" s="1"/>
  <c r="AN618" i="1"/>
  <c r="AM619" i="1" a="1"/>
  <c r="AM619" i="1" s="1"/>
  <c r="AN619" i="1"/>
  <c r="AM620" i="1" a="1"/>
  <c r="AM620" i="1" s="1"/>
  <c r="AN620" i="1"/>
  <c r="AM621" i="1" a="1"/>
  <c r="AM621" i="1" s="1"/>
  <c r="AN621" i="1"/>
  <c r="AM622" i="1" a="1"/>
  <c r="AM622" i="1" s="1"/>
  <c r="AN622" i="1"/>
  <c r="AO622" i="1" s="1"/>
  <c r="AM623" i="1" a="1"/>
  <c r="AM623" i="1"/>
  <c r="AN623" i="1"/>
  <c r="AO623" i="1" s="1"/>
  <c r="AM624" i="1" a="1"/>
  <c r="AM624" i="1"/>
  <c r="AN624" i="1"/>
  <c r="AO624" i="1" s="1"/>
  <c r="AM625" i="1" a="1"/>
  <c r="AM625" i="1"/>
  <c r="AN625" i="1"/>
  <c r="AM626" i="1" a="1"/>
  <c r="AM626" i="1" s="1"/>
  <c r="AN626" i="1"/>
  <c r="AM627" i="1" a="1"/>
  <c r="AM627" i="1" s="1"/>
  <c r="AN627" i="1"/>
  <c r="AM628" i="1" a="1"/>
  <c r="AM628" i="1" s="1"/>
  <c r="AN628" i="1"/>
  <c r="AM629" i="1" a="1"/>
  <c r="AM629" i="1" s="1"/>
  <c r="AN629" i="1"/>
  <c r="AM630" i="1" a="1"/>
  <c r="AM630" i="1" s="1"/>
  <c r="AN630" i="1"/>
  <c r="AO630" i="1" s="1"/>
  <c r="AM631" i="1" a="1"/>
  <c r="AM631" i="1"/>
  <c r="AN631" i="1"/>
  <c r="AM632" i="1" a="1"/>
  <c r="AM632" i="1"/>
  <c r="AN632" i="1"/>
  <c r="AO632" i="1" s="1"/>
  <c r="AM633" i="1" a="1"/>
  <c r="AM633" i="1" s="1"/>
  <c r="AN633" i="1"/>
  <c r="AM634" i="1" a="1"/>
  <c r="AM634" i="1" s="1"/>
  <c r="AN634" i="1"/>
  <c r="AM635" i="1" a="1"/>
  <c r="AM635" i="1"/>
  <c r="AN635" i="1"/>
  <c r="AO635" i="1" s="1"/>
  <c r="AM636" i="1" a="1"/>
  <c r="AM636" i="1"/>
  <c r="AN636" i="1"/>
  <c r="AO636" i="1" s="1"/>
  <c r="AM637" i="1" a="1"/>
  <c r="AM637" i="1"/>
  <c r="AN637" i="1"/>
  <c r="AO637" i="1" s="1"/>
  <c r="AM638" i="1" a="1"/>
  <c r="AM638" i="1" s="1"/>
  <c r="AN638" i="1"/>
  <c r="AM639" i="1" a="1"/>
  <c r="AM639" i="1" s="1"/>
  <c r="AN639" i="1"/>
  <c r="AO639" i="1" s="1"/>
  <c r="AM640" i="1" a="1"/>
  <c r="AM640" i="1" s="1"/>
  <c r="AN640" i="1"/>
  <c r="AO640" i="1" s="1"/>
  <c r="AM641" i="1" a="1"/>
  <c r="AM641" i="1" s="1"/>
  <c r="AN641" i="1"/>
  <c r="AM642" i="1" a="1"/>
  <c r="AM642" i="1" s="1"/>
  <c r="AN642" i="1"/>
  <c r="AM643" i="1" a="1"/>
  <c r="AM643" i="1" s="1"/>
  <c r="AN643" i="1"/>
  <c r="AO643" i="1" s="1"/>
  <c r="AM644" i="1" a="1"/>
  <c r="AM644" i="1"/>
  <c r="AN644" i="1"/>
  <c r="AM645" i="1" a="1"/>
  <c r="AM645" i="1"/>
  <c r="AN645" i="1"/>
  <c r="AM646" i="1" a="1"/>
  <c r="AM646" i="1" s="1"/>
  <c r="AN646" i="1"/>
  <c r="AM647" i="1" a="1"/>
  <c r="AM647" i="1"/>
  <c r="AN647" i="1"/>
  <c r="AO647" i="1" s="1"/>
  <c r="AM648" i="1" a="1"/>
  <c r="AM648" i="1"/>
  <c r="AN648" i="1"/>
  <c r="AO648" i="1" s="1"/>
  <c r="AM649" i="1" a="1"/>
  <c r="AM649" i="1"/>
  <c r="AN649" i="1"/>
  <c r="AM650" i="1" a="1"/>
  <c r="AM650" i="1" s="1"/>
  <c r="AN650" i="1"/>
  <c r="AM651" i="1" a="1"/>
  <c r="AM651" i="1" s="1"/>
  <c r="AN651" i="1"/>
  <c r="AO651" i="1" s="1"/>
  <c r="AM652" i="1" a="1"/>
  <c r="AM652" i="1" s="1"/>
  <c r="AN652" i="1"/>
  <c r="AO652" i="1" s="1"/>
  <c r="AM653" i="1" a="1"/>
  <c r="AM653" i="1" s="1"/>
  <c r="AN653" i="1"/>
  <c r="AM654" i="1" a="1"/>
  <c r="AM654" i="1" s="1"/>
  <c r="AN654" i="1"/>
  <c r="AM655" i="1" a="1"/>
  <c r="AM655" i="1" s="1"/>
  <c r="AN655" i="1"/>
  <c r="AM656" i="1" a="1"/>
  <c r="AM656" i="1" s="1"/>
  <c r="AN656" i="1"/>
  <c r="AO656" i="1" s="1"/>
  <c r="AM657" i="1" a="1"/>
  <c r="AM657" i="1"/>
  <c r="AN657" i="1"/>
  <c r="AO657" i="1" s="1"/>
  <c r="AM658" i="1" a="1"/>
  <c r="AM658" i="1" s="1"/>
  <c r="AN658" i="1"/>
  <c r="AM659" i="1" a="1"/>
  <c r="AM659" i="1"/>
  <c r="AN659" i="1"/>
  <c r="AM660" i="1" a="1"/>
  <c r="AM660" i="1"/>
  <c r="AN660" i="1"/>
  <c r="AO660" i="1" s="1"/>
  <c r="AM661" i="1" a="1"/>
  <c r="AM661" i="1"/>
  <c r="AN661" i="1"/>
  <c r="AO661" i="1" s="1"/>
  <c r="AM662" i="1" a="1"/>
  <c r="AM662" i="1" s="1"/>
  <c r="AN662" i="1"/>
  <c r="AM663" i="1" a="1"/>
  <c r="AM663" i="1" s="1"/>
  <c r="AN663" i="1"/>
  <c r="AO663" i="1" s="1"/>
  <c r="AM664" i="1" a="1"/>
  <c r="AM664" i="1" s="1"/>
  <c r="AN664" i="1"/>
  <c r="AM665" i="1" a="1"/>
  <c r="AM665" i="1" s="1"/>
  <c r="AN665" i="1"/>
  <c r="AO665" i="1" s="1"/>
  <c r="AM666" i="1" a="1"/>
  <c r="AM666" i="1" s="1"/>
  <c r="AN666" i="1"/>
  <c r="AM667" i="1" a="1"/>
  <c r="AM667" i="1"/>
  <c r="AN667" i="1"/>
  <c r="AM668" i="1" a="1"/>
  <c r="AM668" i="1" s="1"/>
  <c r="AN668" i="1"/>
  <c r="AM669" i="1" a="1"/>
  <c r="AM669" i="1" s="1"/>
  <c r="AN669" i="1"/>
  <c r="AO669" i="1" s="1"/>
  <c r="AM670" i="1" a="1"/>
  <c r="AM670" i="1" s="1"/>
  <c r="AN670" i="1"/>
  <c r="AO670" i="1" s="1"/>
  <c r="AM671" i="1" a="1"/>
  <c r="AM671" i="1"/>
  <c r="AN671" i="1"/>
  <c r="AM672" i="1" a="1"/>
  <c r="AM672" i="1"/>
  <c r="AN672" i="1"/>
  <c r="AO672" i="1" s="1"/>
  <c r="AM673" i="1" a="1"/>
  <c r="AM673" i="1"/>
  <c r="AN673" i="1"/>
  <c r="AM674" i="1" a="1"/>
  <c r="AM674" i="1" s="1"/>
  <c r="AN674" i="1"/>
  <c r="AO674" i="1" s="1"/>
  <c r="AM675" i="1" a="1"/>
  <c r="AM675" i="1" s="1"/>
  <c r="AN675" i="1"/>
  <c r="AM676" i="1" a="1"/>
  <c r="AM676" i="1" s="1"/>
  <c r="AN676" i="1"/>
  <c r="AM677" i="1" a="1"/>
  <c r="AM677" i="1" s="1"/>
  <c r="AN677" i="1"/>
  <c r="AM678" i="1" a="1"/>
  <c r="AM678" i="1" s="1"/>
  <c r="AN678" i="1"/>
  <c r="AO678" i="1" s="1"/>
  <c r="AM679" i="1" a="1"/>
  <c r="AM679" i="1"/>
  <c r="AN679" i="1"/>
  <c r="AO679" i="1" s="1"/>
  <c r="AM680" i="1" a="1"/>
  <c r="AM680" i="1"/>
  <c r="AN680" i="1"/>
  <c r="AM681" i="1" a="1"/>
  <c r="AM681" i="1" s="1"/>
  <c r="AN681" i="1"/>
  <c r="AM682" i="1" a="1"/>
  <c r="AM682" i="1" s="1"/>
  <c r="AN682" i="1"/>
  <c r="AO682" i="1" s="1"/>
  <c r="AM683" i="1" a="1"/>
  <c r="AM683" i="1"/>
  <c r="AN683" i="1"/>
  <c r="AO683" i="1" s="1"/>
  <c r="AM684" i="1" a="1"/>
  <c r="AM684" i="1"/>
  <c r="AN684" i="1"/>
  <c r="AO684" i="1" s="1"/>
  <c r="AM685" i="1" a="1"/>
  <c r="AM685" i="1"/>
  <c r="AN685" i="1"/>
  <c r="AM686" i="1" a="1"/>
  <c r="AM686" i="1" s="1"/>
  <c r="AN686" i="1"/>
  <c r="AM687" i="1" a="1"/>
  <c r="AM687" i="1" s="1"/>
  <c r="AN687" i="1"/>
  <c r="AO687" i="1" s="1"/>
  <c r="AM688" i="1" a="1"/>
  <c r="AM688" i="1" s="1"/>
  <c r="AN688" i="1"/>
  <c r="AM689" i="1" a="1"/>
  <c r="AM689" i="1" s="1"/>
  <c r="AN689" i="1"/>
  <c r="AM690" i="1" a="1"/>
  <c r="AM690" i="1" s="1"/>
  <c r="AN690" i="1"/>
  <c r="AO690" i="1" s="1"/>
  <c r="AM691" i="1" a="1"/>
  <c r="AM691" i="1" s="1"/>
  <c r="AN691" i="1"/>
  <c r="AM692" i="1" a="1"/>
  <c r="AM692" i="1"/>
  <c r="AN692" i="1"/>
  <c r="AM693" i="1" a="1"/>
  <c r="AM693" i="1"/>
  <c r="AN693" i="1"/>
  <c r="AO693" i="1" s="1"/>
  <c r="AM694" i="1" a="1"/>
  <c r="AM694" i="1" s="1"/>
  <c r="AN694" i="1"/>
  <c r="AO694" i="1" s="1"/>
  <c r="AM695" i="1" a="1"/>
  <c r="AM695" i="1"/>
  <c r="AN695" i="1"/>
  <c r="AO695" i="1" s="1"/>
  <c r="AM696" i="1" a="1"/>
  <c r="AM696" i="1"/>
  <c r="AN696" i="1"/>
  <c r="AO696" i="1" s="1"/>
  <c r="AM697" i="1" a="1"/>
  <c r="AM697" i="1"/>
  <c r="AN697" i="1"/>
  <c r="AM698" i="1" a="1"/>
  <c r="AM698" i="1" s="1"/>
  <c r="AN698" i="1"/>
  <c r="AM699" i="1" a="1"/>
  <c r="AM699" i="1" s="1"/>
  <c r="AN699" i="1"/>
  <c r="AM700" i="1" a="1"/>
  <c r="AM700" i="1" s="1"/>
  <c r="AN700" i="1"/>
  <c r="AM701" i="1" a="1"/>
  <c r="AM701" i="1" s="1"/>
  <c r="AN701" i="1"/>
  <c r="AM702" i="1" a="1"/>
  <c r="AM702" i="1" s="1"/>
  <c r="AN702" i="1"/>
  <c r="AM703" i="1" a="1"/>
  <c r="AM703" i="1" s="1"/>
  <c r="AN703" i="1"/>
  <c r="AM704" i="1" a="1"/>
  <c r="AM704" i="1" s="1"/>
  <c r="AN704" i="1"/>
  <c r="AM705" i="1" a="1"/>
  <c r="AM705" i="1"/>
  <c r="AN705" i="1"/>
  <c r="AM706" i="1" a="1"/>
  <c r="AM706" i="1" s="1"/>
  <c r="AN706" i="1"/>
  <c r="AO706" i="1" s="1"/>
  <c r="AM707" i="1" a="1"/>
  <c r="AM707" i="1"/>
  <c r="AN707" i="1"/>
  <c r="AO707" i="1" s="1"/>
  <c r="AM708" i="1" a="1"/>
  <c r="AM708" i="1"/>
  <c r="AN708" i="1"/>
  <c r="AO708" i="1" s="1"/>
  <c r="AM709" i="1" a="1"/>
  <c r="AM709" i="1"/>
  <c r="AN709" i="1"/>
  <c r="AO709" i="1" s="1"/>
  <c r="AM710" i="1" a="1"/>
  <c r="AM710" i="1" s="1"/>
  <c r="AN710" i="1"/>
  <c r="AM711" i="1" a="1"/>
  <c r="AM711" i="1" s="1"/>
  <c r="AN711" i="1"/>
  <c r="AO711" i="1" s="1"/>
  <c r="AM712" i="1" a="1"/>
  <c r="AM712" i="1" s="1"/>
  <c r="AN712" i="1"/>
  <c r="AM713" i="1" a="1"/>
  <c r="AM713" i="1" s="1"/>
  <c r="AN713" i="1"/>
  <c r="AO713" i="1" s="1"/>
  <c r="AM714" i="1" a="1"/>
  <c r="AM714" i="1" s="1"/>
  <c r="AN714" i="1"/>
  <c r="AM715" i="1" a="1"/>
  <c r="AM715" i="1"/>
  <c r="AN715" i="1"/>
  <c r="AM716" i="1" a="1"/>
  <c r="AM716" i="1" s="1"/>
  <c r="AN716" i="1"/>
  <c r="AM717" i="1" a="1"/>
  <c r="AM717" i="1" s="1"/>
  <c r="AN717" i="1"/>
  <c r="AM718" i="1" a="1"/>
  <c r="AM718" i="1"/>
  <c r="AN718" i="1"/>
  <c r="AM719" i="1" a="1"/>
  <c r="AM719" i="1"/>
  <c r="AN719" i="1"/>
  <c r="AM720" i="1" a="1"/>
  <c r="AM720" i="1"/>
  <c r="AN720" i="1"/>
  <c r="AO720" i="1" s="1"/>
  <c r="AM721" i="1" a="1"/>
  <c r="AM721" i="1" s="1"/>
  <c r="AN721" i="1"/>
  <c r="AM722" i="1" a="1"/>
  <c r="AM722" i="1" s="1"/>
  <c r="AN722" i="1"/>
  <c r="AO722" i="1" s="1"/>
  <c r="AM723" i="1" a="1"/>
  <c r="AM723" i="1" s="1"/>
  <c r="AN723" i="1"/>
  <c r="AO723" i="1" s="1"/>
  <c r="AM724" i="1" a="1"/>
  <c r="AM724" i="1" s="1"/>
  <c r="AN724" i="1"/>
  <c r="AM725" i="1" a="1"/>
  <c r="AM725" i="1" s="1"/>
  <c r="AN725" i="1"/>
  <c r="AO725" i="1" s="1"/>
  <c r="AM726" i="1" a="1"/>
  <c r="AM726" i="1" s="1"/>
  <c r="AN726" i="1"/>
  <c r="AO726" i="1" s="1"/>
  <c r="AM727" i="1" a="1"/>
  <c r="AM727" i="1" s="1"/>
  <c r="AN727" i="1"/>
  <c r="AM728" i="1" a="1"/>
  <c r="AM728" i="1" s="1"/>
  <c r="AN728" i="1"/>
  <c r="AM729" i="1" a="1"/>
  <c r="AM729" i="1" s="1"/>
  <c r="AN729" i="1"/>
  <c r="AM730" i="1" a="1"/>
  <c r="AM730" i="1" s="1"/>
  <c r="AN730" i="1"/>
  <c r="AM731" i="1" a="1"/>
  <c r="AM731" i="1" s="1"/>
  <c r="AN731" i="1"/>
  <c r="AM732" i="1" a="1"/>
  <c r="AM732" i="1" s="1"/>
  <c r="AN732" i="1"/>
  <c r="AO732" i="1" s="1"/>
  <c r="AM733" i="1" a="1"/>
  <c r="AM733" i="1" s="1"/>
  <c r="AN733" i="1"/>
  <c r="AM734" i="1" a="1"/>
  <c r="AM734" i="1" s="1"/>
  <c r="AN734" i="1"/>
  <c r="AM735" i="1" a="1"/>
  <c r="AM735" i="1" s="1"/>
  <c r="AN735" i="1"/>
  <c r="AO735" i="1" s="1"/>
  <c r="AM736" i="1" a="1"/>
  <c r="AM736" i="1"/>
  <c r="AN736" i="1"/>
  <c r="AM737" i="1" a="1"/>
  <c r="AM737" i="1" s="1"/>
  <c r="AN737" i="1"/>
  <c r="AO737" i="1" s="1"/>
  <c r="AM738" i="1" a="1"/>
  <c r="AM738" i="1" s="1"/>
  <c r="AN738" i="1"/>
  <c r="AM739" i="1" a="1"/>
  <c r="AM739" i="1" s="1"/>
  <c r="AN739" i="1"/>
  <c r="AM740" i="1" a="1"/>
  <c r="AM740" i="1" s="1"/>
  <c r="AN740" i="1"/>
  <c r="AM741" i="1" a="1"/>
  <c r="AM741" i="1" s="1"/>
  <c r="AN741" i="1"/>
  <c r="AO741" i="1" s="1"/>
  <c r="AM742" i="1" a="1"/>
  <c r="AM742" i="1" s="1"/>
  <c r="AN742" i="1"/>
  <c r="AM743" i="1" a="1"/>
  <c r="AM743" i="1"/>
  <c r="AN743" i="1"/>
  <c r="AM744" i="1" a="1"/>
  <c r="AM744" i="1"/>
  <c r="AN744" i="1"/>
  <c r="AO744" i="1" s="1"/>
  <c r="AM745" i="1" a="1"/>
  <c r="AM745" i="1" s="1"/>
  <c r="AN745" i="1"/>
  <c r="AM746" i="1" a="1"/>
  <c r="AM746" i="1" s="1"/>
  <c r="AN746" i="1"/>
  <c r="AM747" i="1" a="1"/>
  <c r="AM747" i="1" s="1"/>
  <c r="AN747" i="1"/>
  <c r="AM748" i="1" a="1"/>
  <c r="AM748" i="1" s="1"/>
  <c r="AN748" i="1"/>
  <c r="AO748" i="1" s="1"/>
  <c r="AM749" i="1" a="1"/>
  <c r="AM749" i="1" s="1"/>
  <c r="AN749" i="1"/>
  <c r="AM750" i="1" a="1"/>
  <c r="AM750" i="1" s="1"/>
  <c r="AN750" i="1"/>
  <c r="AM751" i="1" a="1"/>
  <c r="AM751" i="1"/>
  <c r="AN751" i="1"/>
  <c r="AO751" i="1" s="1"/>
  <c r="AM752" i="1" a="1"/>
  <c r="AM752" i="1"/>
  <c r="AN752" i="1"/>
  <c r="AM753" i="1" a="1"/>
  <c r="AM753" i="1" s="1"/>
  <c r="AN753" i="1"/>
  <c r="AM754" i="1" a="1"/>
  <c r="AM754" i="1" s="1"/>
  <c r="AN754" i="1"/>
  <c r="AM755" i="1" a="1"/>
  <c r="AM755" i="1"/>
  <c r="AN755" i="1"/>
  <c r="AM756" i="1" a="1"/>
  <c r="AM756" i="1"/>
  <c r="AN756" i="1"/>
  <c r="AO756" i="1" s="1"/>
  <c r="AM757" i="1" a="1"/>
  <c r="AM757" i="1" s="1"/>
  <c r="AN757" i="1"/>
  <c r="AO757" i="1" s="1"/>
  <c r="AM758" i="1" a="1"/>
  <c r="AM758" i="1"/>
  <c r="AN758" i="1"/>
  <c r="AM759" i="1" a="1"/>
  <c r="AM759" i="1"/>
  <c r="AN759" i="1"/>
  <c r="AO759" i="1" s="1"/>
  <c r="AM760" i="1" a="1"/>
  <c r="AM760" i="1"/>
  <c r="AN760" i="1"/>
  <c r="AM761" i="1" a="1"/>
  <c r="AM761" i="1" s="1"/>
  <c r="AN761" i="1"/>
  <c r="AO761" i="1" s="1"/>
  <c r="AM762" i="1" a="1"/>
  <c r="AM762" i="1" s="1"/>
  <c r="AN762" i="1"/>
  <c r="AM763" i="1" a="1"/>
  <c r="AM763" i="1" s="1"/>
  <c r="AN763" i="1"/>
  <c r="AM764" i="1" a="1"/>
  <c r="AM764" i="1" s="1"/>
  <c r="AN764" i="1"/>
  <c r="AM765" i="1" a="1"/>
  <c r="AM765" i="1" s="1"/>
  <c r="AN765" i="1"/>
  <c r="AO765" i="1" s="1"/>
  <c r="AM766" i="1" a="1"/>
  <c r="AM766" i="1" s="1"/>
  <c r="AN766" i="1"/>
  <c r="AM767" i="1" a="1"/>
  <c r="AM767" i="1" s="1"/>
  <c r="AN767" i="1"/>
  <c r="AM768" i="1" a="1"/>
  <c r="AM768" i="1" s="1"/>
  <c r="AN768" i="1"/>
  <c r="AO768" i="1" s="1"/>
  <c r="AM769" i="1" a="1"/>
  <c r="AM769" i="1" s="1"/>
  <c r="AN769" i="1"/>
  <c r="AM770" i="1" a="1"/>
  <c r="AM770" i="1"/>
  <c r="AN770" i="1"/>
  <c r="AM771" i="1" a="1"/>
  <c r="AM771" i="1" s="1"/>
  <c r="AN771" i="1"/>
  <c r="AM772" i="1" a="1"/>
  <c r="AM772" i="1" s="1"/>
  <c r="AN772" i="1"/>
  <c r="AO772" i="1" s="1"/>
  <c r="AM773" i="1" a="1"/>
  <c r="AM773" i="1" s="1"/>
  <c r="AN773" i="1"/>
  <c r="AM774" i="1" a="1"/>
  <c r="AM774" i="1" s="1"/>
  <c r="AN774" i="1"/>
  <c r="AO774" i="1" s="1"/>
  <c r="AM775" i="1" a="1"/>
  <c r="AM775" i="1" s="1"/>
  <c r="AN775" i="1"/>
  <c r="AM776" i="1" a="1"/>
  <c r="AM776" i="1" s="1"/>
  <c r="AN776" i="1"/>
  <c r="AO776" i="1" s="1"/>
  <c r="AM777" i="1" a="1"/>
  <c r="AM777" i="1" s="1"/>
  <c r="AN777" i="1"/>
  <c r="AM778" i="1" a="1"/>
  <c r="AM778" i="1" s="1"/>
  <c r="AN778" i="1"/>
  <c r="AM779" i="1" a="1"/>
  <c r="AM779" i="1"/>
  <c r="AN779" i="1"/>
  <c r="AO779" i="1" s="1"/>
  <c r="AM780" i="1" a="1"/>
  <c r="AM780" i="1"/>
  <c r="AN780" i="1"/>
  <c r="AO780" i="1" s="1"/>
  <c r="AM781" i="1" a="1"/>
  <c r="AM781" i="1" s="1"/>
  <c r="AN781" i="1"/>
  <c r="AM782" i="1" a="1"/>
  <c r="AM782" i="1" s="1"/>
  <c r="AN782" i="1"/>
  <c r="AM783" i="1" a="1"/>
  <c r="AM783" i="1" s="1"/>
  <c r="AN783" i="1"/>
  <c r="AM784" i="1" a="1"/>
  <c r="AM784" i="1" s="1"/>
  <c r="AN784" i="1"/>
  <c r="AM785" i="1" a="1"/>
  <c r="AM785" i="1" s="1"/>
  <c r="AN785" i="1"/>
  <c r="AM786" i="1" a="1"/>
  <c r="AM786" i="1" s="1"/>
  <c r="AN786" i="1"/>
  <c r="AM787" i="1" a="1"/>
  <c r="AM787" i="1"/>
  <c r="AN787" i="1"/>
  <c r="AO787" i="1" s="1"/>
  <c r="AM788" i="1" a="1"/>
  <c r="AM788" i="1"/>
  <c r="AN788" i="1"/>
  <c r="AO788" i="1" s="1"/>
  <c r="AM789" i="1" a="1"/>
  <c r="AM789" i="1" s="1"/>
  <c r="AN789" i="1"/>
  <c r="AM790" i="1" a="1"/>
  <c r="AM790" i="1" s="1"/>
  <c r="AN790" i="1"/>
  <c r="AM791" i="1" a="1"/>
  <c r="AM791" i="1" s="1"/>
  <c r="AN791" i="1"/>
  <c r="AM792" i="1" a="1"/>
  <c r="AM792" i="1"/>
  <c r="AN792" i="1"/>
  <c r="AO792" i="1" s="1"/>
  <c r="AM793" i="1" a="1"/>
  <c r="AM793" i="1" s="1"/>
  <c r="AN793" i="1"/>
  <c r="AM794" i="1" a="1"/>
  <c r="AM794" i="1"/>
  <c r="AN794" i="1"/>
  <c r="AO794" i="1" s="1"/>
  <c r="AM795" i="1" a="1"/>
  <c r="AM795" i="1"/>
  <c r="AN795" i="1"/>
  <c r="AM796" i="1" a="1"/>
  <c r="AM796" i="1"/>
  <c r="AN796" i="1"/>
  <c r="AM797" i="1" a="1"/>
  <c r="AM797" i="1" s="1"/>
  <c r="AN797" i="1"/>
  <c r="AM798" i="1" a="1"/>
  <c r="AM798" i="1" s="1"/>
  <c r="AN798" i="1"/>
  <c r="AM799" i="1" a="1"/>
  <c r="AM799" i="1" s="1"/>
  <c r="AN799" i="1"/>
  <c r="AM800" i="1" a="1"/>
  <c r="AM800" i="1" s="1"/>
  <c r="AN800" i="1"/>
  <c r="AO800" i="1" s="1"/>
  <c r="AM801" i="1" a="1"/>
  <c r="AM801" i="1" s="1"/>
  <c r="AN801" i="1"/>
  <c r="AM802" i="1" a="1"/>
  <c r="AM802" i="1" s="1"/>
  <c r="AN802" i="1"/>
  <c r="AM803" i="1" a="1"/>
  <c r="AM803" i="1" s="1"/>
  <c r="AN803" i="1"/>
  <c r="AO803" i="1" s="1"/>
  <c r="AM804" i="1" a="1"/>
  <c r="AM804" i="1" s="1"/>
  <c r="AN804" i="1"/>
  <c r="AO804" i="1" s="1"/>
  <c r="AM805" i="1" a="1"/>
  <c r="AM805" i="1" s="1"/>
  <c r="AN805" i="1"/>
  <c r="AM806" i="1" a="1"/>
  <c r="AM806" i="1" s="1"/>
  <c r="AN806" i="1"/>
  <c r="AM807" i="1" a="1"/>
  <c r="AM807" i="1"/>
  <c r="AN807" i="1"/>
  <c r="AM808" i="1" a="1"/>
  <c r="AM808" i="1" s="1"/>
  <c r="AN808" i="1"/>
  <c r="AO808" i="1" s="1"/>
  <c r="AM809" i="1" a="1"/>
  <c r="AM809" i="1" s="1"/>
  <c r="AN809" i="1"/>
  <c r="AO809" i="1" s="1"/>
  <c r="AM810" i="1" a="1"/>
  <c r="AM810" i="1" s="1"/>
  <c r="AN810" i="1"/>
  <c r="AO810" i="1" s="1"/>
  <c r="AM811" i="1" a="1"/>
  <c r="AM811" i="1" s="1"/>
  <c r="AN811" i="1"/>
  <c r="AM812" i="1" a="1"/>
  <c r="AM812" i="1" s="1"/>
  <c r="AN812" i="1"/>
  <c r="AM813" i="1" a="1"/>
  <c r="AM813" i="1" s="1"/>
  <c r="AN813" i="1"/>
  <c r="AO813" i="1" s="1"/>
  <c r="AM814" i="1" a="1"/>
  <c r="AM814" i="1" s="1"/>
  <c r="AN814" i="1"/>
  <c r="AM815" i="1" a="1"/>
  <c r="AM815" i="1"/>
  <c r="AN815" i="1"/>
  <c r="AM816" i="1" a="1"/>
  <c r="AM816" i="1"/>
  <c r="AN816" i="1"/>
  <c r="AO816" i="1" s="1"/>
  <c r="AM817" i="1" a="1"/>
  <c r="AM817" i="1" s="1"/>
  <c r="AN817" i="1"/>
  <c r="AM818" i="1" a="1"/>
  <c r="AM818" i="1" s="1"/>
  <c r="AN818" i="1"/>
  <c r="AO818" i="1" s="1"/>
  <c r="AM819" i="1" a="1"/>
  <c r="AM819" i="1" s="1"/>
  <c r="AN819" i="1"/>
  <c r="AO819" i="1" s="1"/>
  <c r="AM820" i="1" a="1"/>
  <c r="AM820" i="1" s="1"/>
  <c r="AN820" i="1"/>
  <c r="AM821" i="1" a="1"/>
  <c r="AM821" i="1" s="1"/>
  <c r="AN821" i="1"/>
  <c r="AM822" i="1" a="1"/>
  <c r="AM822" i="1" s="1"/>
  <c r="AN822" i="1"/>
  <c r="AO822" i="1" s="1"/>
  <c r="AM823" i="1" a="1"/>
  <c r="AM823" i="1"/>
  <c r="AN823" i="1"/>
  <c r="AM824" i="1" a="1"/>
  <c r="AM824" i="1"/>
  <c r="AN824" i="1"/>
  <c r="AM825" i="1" a="1"/>
  <c r="AM825" i="1" s="1"/>
  <c r="AN825" i="1"/>
  <c r="AM826" i="1" a="1"/>
  <c r="AM826" i="1" s="1"/>
  <c r="AN826" i="1"/>
  <c r="AO826" i="1" s="1"/>
  <c r="AM827" i="1" a="1"/>
  <c r="AM827" i="1" s="1"/>
  <c r="AN827" i="1"/>
  <c r="AM828" i="1" a="1"/>
  <c r="AM828" i="1" s="1"/>
  <c r="AN828" i="1"/>
  <c r="AO828" i="1" s="1"/>
  <c r="AM829" i="1" a="1"/>
  <c r="AM829" i="1" s="1"/>
  <c r="AN829" i="1"/>
  <c r="AM830" i="1" a="1"/>
  <c r="AM830" i="1"/>
  <c r="AN830" i="1"/>
  <c r="AM831" i="1" a="1"/>
  <c r="AM831" i="1"/>
  <c r="AN831" i="1"/>
  <c r="AM832" i="1" a="1"/>
  <c r="AM832" i="1"/>
  <c r="AN832" i="1"/>
  <c r="AM833" i="1" a="1"/>
  <c r="AM833" i="1" s="1"/>
  <c r="AN833" i="1"/>
  <c r="AM834" i="1" a="1"/>
  <c r="AM834" i="1" s="1"/>
  <c r="AN834" i="1"/>
  <c r="AO834" i="1" s="1"/>
  <c r="AM835" i="1" a="1"/>
  <c r="AM835" i="1" s="1"/>
  <c r="AN835" i="1"/>
  <c r="AM836" i="1" a="1"/>
  <c r="AM836" i="1" s="1"/>
  <c r="AN836" i="1"/>
  <c r="AO836" i="1" s="1"/>
  <c r="AM837" i="1" a="1"/>
  <c r="AM837" i="1" s="1"/>
  <c r="AN837" i="1"/>
  <c r="AM838" i="1" a="1"/>
  <c r="AM838" i="1" s="1"/>
  <c r="AN838" i="1"/>
  <c r="AM839" i="1" a="1"/>
  <c r="AM839" i="1" s="1"/>
  <c r="AN839" i="1"/>
  <c r="AO839" i="1" s="1"/>
  <c r="AM840" i="1" a="1"/>
  <c r="AM840" i="1" s="1"/>
  <c r="AN840" i="1"/>
  <c r="AO840" i="1" s="1"/>
  <c r="AM841" i="1" a="1"/>
  <c r="AM841" i="1" s="1"/>
  <c r="AN841" i="1"/>
  <c r="AM842" i="1" a="1"/>
  <c r="AM842" i="1" s="1"/>
  <c r="AN842" i="1"/>
  <c r="AM843" i="1" a="1"/>
  <c r="AM843" i="1" s="1"/>
  <c r="AN843" i="1"/>
  <c r="AM844" i="1" a="1"/>
  <c r="AM844" i="1" s="1"/>
  <c r="AN844" i="1"/>
  <c r="AO844" i="1" s="1"/>
  <c r="AM845" i="1" a="1"/>
  <c r="AM845" i="1" s="1"/>
  <c r="AN845" i="1"/>
  <c r="AO845" i="1" s="1"/>
  <c r="AM846" i="1" a="1"/>
  <c r="AM846" i="1" s="1"/>
  <c r="AN846" i="1"/>
  <c r="AM847" i="1" a="1"/>
  <c r="AM847" i="1" s="1"/>
  <c r="AN847" i="1"/>
  <c r="AM848" i="1" a="1"/>
  <c r="AM848" i="1" s="1"/>
  <c r="AN848" i="1"/>
  <c r="AM849" i="1" a="1"/>
  <c r="AM849" i="1" s="1"/>
  <c r="AN849" i="1"/>
  <c r="AO849" i="1" s="1"/>
  <c r="AM850" i="1" a="1"/>
  <c r="AM850" i="1" s="1"/>
  <c r="AN850" i="1"/>
  <c r="AO850" i="1" s="1"/>
  <c r="AM851" i="1" a="1"/>
  <c r="AM851" i="1"/>
  <c r="AN851" i="1"/>
  <c r="AM852" i="1" a="1"/>
  <c r="AM852" i="1"/>
  <c r="AN852" i="1"/>
  <c r="AO852" i="1" s="1"/>
  <c r="AM853" i="1" a="1"/>
  <c r="AM853" i="1" s="1"/>
  <c r="AN853" i="1"/>
  <c r="AO853" i="1" s="1"/>
  <c r="AM854" i="1" a="1"/>
  <c r="AM854" i="1" s="1"/>
  <c r="AN854" i="1"/>
  <c r="AM855" i="1" a="1"/>
  <c r="AM855" i="1" s="1"/>
  <c r="AN855" i="1"/>
  <c r="AM856" i="1" a="1"/>
  <c r="AM856" i="1" s="1"/>
  <c r="AN856" i="1"/>
  <c r="AM857" i="1" a="1"/>
  <c r="AM857" i="1" s="1"/>
  <c r="AN857" i="1"/>
  <c r="AM858" i="1" a="1"/>
  <c r="AM858" i="1" s="1"/>
  <c r="AN858" i="1"/>
  <c r="AM859" i="1" a="1"/>
  <c r="AM859" i="1"/>
  <c r="AN859" i="1"/>
  <c r="AO859" i="1" s="1"/>
  <c r="AM860" i="1" a="1"/>
  <c r="AM860" i="1"/>
  <c r="AN860" i="1"/>
  <c r="AO860" i="1" s="1"/>
  <c r="AM861" i="1" a="1"/>
  <c r="AM861" i="1" s="1"/>
  <c r="AN861" i="1"/>
  <c r="AM862" i="1" a="1"/>
  <c r="AM862" i="1" s="1"/>
  <c r="AN862" i="1"/>
  <c r="AM863" i="1" a="1"/>
  <c r="AM863" i="1"/>
  <c r="AN863" i="1"/>
  <c r="AM864" i="1" a="1"/>
  <c r="AM864" i="1" s="1"/>
  <c r="AN864" i="1"/>
  <c r="AO864" i="1" s="1"/>
  <c r="AM865" i="1" a="1"/>
  <c r="AM865" i="1" s="1"/>
  <c r="AN865" i="1"/>
  <c r="AO865" i="1" s="1"/>
  <c r="AM866" i="1" a="1"/>
  <c r="AM866" i="1"/>
  <c r="AN866" i="1"/>
  <c r="AO866" i="1" s="1"/>
  <c r="AM867" i="1" a="1"/>
  <c r="AM867" i="1"/>
  <c r="AN867" i="1"/>
  <c r="AO867" i="1" s="1"/>
  <c r="AM868" i="1" a="1"/>
  <c r="AM868" i="1"/>
  <c r="AN868" i="1"/>
  <c r="AM869" i="1" a="1"/>
  <c r="AM869" i="1" s="1"/>
  <c r="AN869" i="1"/>
  <c r="AO869" i="1" s="1"/>
  <c r="AM870" i="1" a="1"/>
  <c r="AM870" i="1" s="1"/>
  <c r="AN870" i="1"/>
  <c r="AM871" i="1" a="1"/>
  <c r="AM871" i="1" s="1"/>
  <c r="AN871" i="1"/>
  <c r="AM872" i="1" a="1"/>
  <c r="AM872" i="1"/>
  <c r="AN872" i="1"/>
  <c r="AM873" i="1" a="1"/>
  <c r="AM873" i="1" s="1"/>
  <c r="AN873" i="1"/>
  <c r="AM874" i="1" a="1"/>
  <c r="AM874" i="1" s="1"/>
  <c r="AN874" i="1"/>
  <c r="AM875" i="1" a="1"/>
  <c r="AM875" i="1" s="1"/>
  <c r="AN875" i="1"/>
  <c r="AM876" i="1" a="1"/>
  <c r="AM876" i="1" s="1"/>
  <c r="AN876" i="1"/>
  <c r="AO876" i="1" s="1"/>
  <c r="AM877" i="1" a="1"/>
  <c r="AM877" i="1" s="1"/>
  <c r="AN877" i="1"/>
  <c r="AO877" i="1" s="1"/>
  <c r="AM878" i="1" a="1"/>
  <c r="AM878" i="1"/>
  <c r="AN878" i="1"/>
  <c r="AM879" i="1" a="1"/>
  <c r="AM879" i="1" s="1"/>
  <c r="AN879" i="1"/>
  <c r="AO879" i="1" s="1"/>
  <c r="AM880" i="1" a="1"/>
  <c r="AM880" i="1"/>
  <c r="AN880" i="1"/>
  <c r="AO880" i="1" s="1"/>
  <c r="AM881" i="1" a="1"/>
  <c r="AM881" i="1" s="1"/>
  <c r="AN881" i="1"/>
  <c r="AM882" i="1" a="1"/>
  <c r="AM882" i="1" s="1"/>
  <c r="AN882" i="1"/>
  <c r="AO882" i="1" s="1"/>
  <c r="AM883" i="1" a="1"/>
  <c r="AM883" i="1" s="1"/>
  <c r="AN883" i="1"/>
  <c r="AO883" i="1" s="1"/>
  <c r="AM884" i="1" a="1"/>
  <c r="AM884" i="1" s="1"/>
  <c r="AN884" i="1"/>
  <c r="AM885" i="1" a="1"/>
  <c r="AM885" i="1" s="1"/>
  <c r="AN885" i="1"/>
  <c r="AM886" i="1" a="1"/>
  <c r="AM886" i="1" s="1"/>
  <c r="AN886" i="1"/>
  <c r="AM887" i="1" a="1"/>
  <c r="AM887" i="1"/>
  <c r="AN887" i="1"/>
  <c r="AM888" i="1" a="1"/>
  <c r="AM888" i="1"/>
  <c r="AN888" i="1"/>
  <c r="AO888" i="1" s="1"/>
  <c r="AM889" i="1" a="1"/>
  <c r="AM889" i="1" s="1"/>
  <c r="AN889" i="1"/>
  <c r="AM890" i="1" a="1"/>
  <c r="AM890" i="1"/>
  <c r="AN890" i="1"/>
  <c r="AM891" i="1" a="1"/>
  <c r="AM891" i="1" s="1"/>
  <c r="AN891" i="1"/>
  <c r="AM892" i="1" a="1"/>
  <c r="AM892" i="1" s="1"/>
  <c r="AN892" i="1"/>
  <c r="AO892" i="1" s="1"/>
  <c r="AM893" i="1" a="1"/>
  <c r="AM893" i="1" s="1"/>
  <c r="AN893" i="1"/>
  <c r="AM894" i="1" a="1"/>
  <c r="AM894" i="1" s="1"/>
  <c r="AN894" i="1"/>
  <c r="AO894" i="1" s="1"/>
  <c r="AM895" i="1" a="1"/>
  <c r="AM895" i="1" s="1"/>
  <c r="AN895" i="1"/>
  <c r="AO895" i="1" s="1"/>
  <c r="AM896" i="1" a="1"/>
  <c r="AM896" i="1"/>
  <c r="AN896" i="1"/>
  <c r="AM897" i="1" a="1"/>
  <c r="AM897" i="1" s="1"/>
  <c r="AN897" i="1"/>
  <c r="AO897" i="1" s="1"/>
  <c r="AM898" i="1" a="1"/>
  <c r="AM898" i="1" s="1"/>
  <c r="AN898" i="1"/>
  <c r="AM899" i="1" a="1"/>
  <c r="AM899" i="1" s="1"/>
  <c r="AN899" i="1"/>
  <c r="AM900" i="1" a="1"/>
  <c r="AM900" i="1"/>
  <c r="AN900" i="1"/>
  <c r="AO900" i="1" s="1"/>
  <c r="AM901" i="1" a="1"/>
  <c r="AM901" i="1" s="1"/>
  <c r="AN901" i="1"/>
  <c r="AM902" i="1" a="1"/>
  <c r="AM902" i="1" s="1"/>
  <c r="AN902" i="1"/>
  <c r="AM903" i="1" a="1"/>
  <c r="AM903" i="1" s="1"/>
  <c r="AN903" i="1"/>
  <c r="AM904" i="1" a="1"/>
  <c r="AM904" i="1" s="1"/>
  <c r="AN904" i="1"/>
  <c r="AM905" i="1" a="1"/>
  <c r="AM905" i="1" s="1"/>
  <c r="AN905" i="1"/>
  <c r="AO905" i="1" s="1"/>
  <c r="AM906" i="1" a="1"/>
  <c r="AM906" i="1" s="1"/>
  <c r="AN906" i="1"/>
  <c r="AM907" i="1" a="1"/>
  <c r="AM907" i="1" s="1"/>
  <c r="AN907" i="1"/>
  <c r="AM908" i="1" a="1"/>
  <c r="AM908" i="1"/>
  <c r="AN908" i="1"/>
  <c r="AO908" i="1" s="1"/>
  <c r="AM909" i="1" a="1"/>
  <c r="AM909" i="1" s="1"/>
  <c r="AN909" i="1"/>
  <c r="AM910" i="1" a="1"/>
  <c r="AM910" i="1" s="1"/>
  <c r="AN910" i="1"/>
  <c r="AM911" i="1" a="1"/>
  <c r="AM911" i="1" s="1"/>
  <c r="AN911" i="1"/>
  <c r="AM912" i="1" a="1"/>
  <c r="AM912" i="1" s="1"/>
  <c r="AN912" i="1"/>
  <c r="AO912" i="1" s="1"/>
  <c r="AM913" i="1" a="1"/>
  <c r="AM913" i="1" s="1"/>
  <c r="AN913" i="1"/>
  <c r="AO913" i="1" s="1"/>
  <c r="AM914" i="1" a="1"/>
  <c r="AM914" i="1"/>
  <c r="AN914" i="1"/>
  <c r="AM915" i="1" a="1"/>
  <c r="AM915" i="1" s="1"/>
  <c r="AN915" i="1"/>
  <c r="AM916" i="1" a="1"/>
  <c r="AM916" i="1" s="1"/>
  <c r="AN916" i="1"/>
  <c r="AM917" i="1" a="1"/>
  <c r="AM917" i="1" s="1"/>
  <c r="AN917" i="1"/>
  <c r="AM918" i="1" a="1"/>
  <c r="AM918" i="1" s="1"/>
  <c r="AN918" i="1"/>
  <c r="AO918" i="1" s="1"/>
  <c r="AM919" i="1" a="1"/>
  <c r="AM919" i="1" s="1"/>
  <c r="AN919" i="1"/>
  <c r="AO919" i="1" s="1"/>
  <c r="AM920" i="1" a="1"/>
  <c r="AM920" i="1" s="1"/>
  <c r="AN920" i="1"/>
  <c r="AM921" i="1" a="1"/>
  <c r="AM921" i="1" s="1"/>
  <c r="AN921" i="1"/>
  <c r="AM922" i="1" a="1"/>
  <c r="AM922" i="1" s="1"/>
  <c r="AN922" i="1"/>
  <c r="AO922" i="1" s="1"/>
  <c r="AM923" i="1" a="1"/>
  <c r="AM923" i="1" s="1"/>
  <c r="AN923" i="1"/>
  <c r="AM924" i="1" a="1"/>
  <c r="AM924" i="1"/>
  <c r="AN924" i="1"/>
  <c r="AO924" i="1" s="1"/>
  <c r="AM925" i="1" a="1"/>
  <c r="AM925" i="1" s="1"/>
  <c r="AN925" i="1"/>
  <c r="AM926" i="1" a="1"/>
  <c r="AM926" i="1" s="1"/>
  <c r="AN926" i="1"/>
  <c r="AM927" i="1" a="1"/>
  <c r="AM927" i="1" s="1"/>
  <c r="AN927" i="1"/>
  <c r="AM928" i="1" a="1"/>
  <c r="AM928" i="1" s="1"/>
  <c r="AN928" i="1"/>
  <c r="AO928" i="1" s="1"/>
  <c r="AM929" i="1" a="1"/>
  <c r="AM929" i="1" s="1"/>
  <c r="AN929" i="1"/>
  <c r="AO929" i="1" s="1"/>
  <c r="AM930" i="1" a="1"/>
  <c r="AM930" i="1" s="1"/>
  <c r="AN930" i="1"/>
  <c r="AM931" i="1" a="1"/>
  <c r="AM931" i="1" s="1"/>
  <c r="AN931" i="1"/>
  <c r="AO931" i="1" s="1"/>
  <c r="AM932" i="1" a="1"/>
  <c r="AM932" i="1" s="1"/>
  <c r="AN932" i="1"/>
  <c r="AM933" i="1" a="1"/>
  <c r="AM933" i="1" s="1"/>
  <c r="AN933" i="1"/>
  <c r="AM934" i="1" a="1"/>
  <c r="AM934" i="1" s="1"/>
  <c r="AN934" i="1"/>
  <c r="AM935" i="1" a="1"/>
  <c r="AM935" i="1" s="1"/>
  <c r="AN935" i="1"/>
  <c r="AM936" i="1" a="1"/>
  <c r="AM936" i="1" s="1"/>
  <c r="AN936" i="1"/>
  <c r="AO936" i="1" s="1"/>
  <c r="AM937" i="1" a="1"/>
  <c r="AM937" i="1" s="1"/>
  <c r="AN937" i="1"/>
  <c r="AO937" i="1" s="1"/>
  <c r="AM938" i="1" a="1"/>
  <c r="AM938" i="1" s="1"/>
  <c r="AN938" i="1"/>
  <c r="AM939" i="1" a="1"/>
  <c r="AM939" i="1" s="1"/>
  <c r="AN939" i="1"/>
  <c r="AM940" i="1" a="1"/>
  <c r="AM940" i="1" s="1"/>
  <c r="AN940" i="1"/>
  <c r="AO940" i="1" s="1"/>
  <c r="AM941" i="1" a="1"/>
  <c r="AM941" i="1" s="1"/>
  <c r="AN941" i="1"/>
  <c r="AO941" i="1" s="1"/>
  <c r="AM942" i="1" a="1"/>
  <c r="AM942" i="1" s="1"/>
  <c r="AN942" i="1"/>
  <c r="AM943" i="1" a="1"/>
  <c r="AM943" i="1" s="1"/>
  <c r="AN943" i="1"/>
  <c r="AO943" i="1" s="1"/>
  <c r="AM944" i="1" a="1"/>
  <c r="AM944" i="1"/>
  <c r="AN944" i="1"/>
  <c r="AO944" i="1" s="1"/>
  <c r="AM945" i="1" a="1"/>
  <c r="AM945" i="1" s="1"/>
  <c r="AN945" i="1"/>
  <c r="AO945" i="1" s="1"/>
  <c r="AM946" i="1" a="1"/>
  <c r="AM946" i="1" s="1"/>
  <c r="AN946" i="1"/>
  <c r="AM947" i="1" a="1"/>
  <c r="AM947" i="1" s="1"/>
  <c r="AN947" i="1"/>
  <c r="AM948" i="1" a="1"/>
  <c r="AM948" i="1" s="1"/>
  <c r="AN948" i="1"/>
  <c r="AO948" i="1" s="1"/>
  <c r="AM949" i="1" a="1"/>
  <c r="AM949" i="1" s="1"/>
  <c r="AN949" i="1"/>
  <c r="AM950" i="1" a="1"/>
  <c r="AM950" i="1" s="1"/>
  <c r="AN950" i="1"/>
  <c r="AO950" i="1" s="1"/>
  <c r="AM951" i="1" a="1"/>
  <c r="AM951" i="1" s="1"/>
  <c r="AN951" i="1"/>
  <c r="AO951" i="1" s="1"/>
  <c r="AM952" i="1" a="1"/>
  <c r="AM952" i="1" s="1"/>
  <c r="AN952" i="1"/>
  <c r="AM953" i="1" a="1"/>
  <c r="AM953" i="1" s="1"/>
  <c r="AN953" i="1"/>
  <c r="AM954" i="1" a="1"/>
  <c r="AM954" i="1" s="1"/>
  <c r="AN954" i="1"/>
  <c r="AM955" i="1" a="1"/>
  <c r="AM955" i="1"/>
  <c r="AN955" i="1"/>
  <c r="AM956" i="1" a="1"/>
  <c r="AM956" i="1" s="1"/>
  <c r="AN956" i="1"/>
  <c r="AO956" i="1" s="1"/>
  <c r="AM957" i="1" a="1"/>
  <c r="AM957" i="1" s="1"/>
  <c r="AN957" i="1"/>
  <c r="AO957" i="1" s="1"/>
  <c r="AM958" i="1" a="1"/>
  <c r="AM958" i="1"/>
  <c r="AN958" i="1"/>
  <c r="AM959" i="1" a="1"/>
  <c r="AM959" i="1"/>
  <c r="AN959" i="1"/>
  <c r="AO959" i="1" s="1"/>
  <c r="AM960" i="1" a="1"/>
  <c r="AM960" i="1" s="1"/>
  <c r="AN960" i="1"/>
  <c r="AO960" i="1" s="1"/>
  <c r="AM961" i="1" a="1"/>
  <c r="AM961" i="1" s="1"/>
  <c r="AN961" i="1"/>
  <c r="AM962" i="1" a="1"/>
  <c r="AM962" i="1" s="1"/>
  <c r="AN962" i="1"/>
  <c r="AO962" i="1" s="1"/>
  <c r="AM963" i="1" a="1"/>
  <c r="AM963" i="1"/>
  <c r="AN963" i="1"/>
  <c r="AO963" i="1" s="1"/>
  <c r="AM964" i="1" a="1"/>
  <c r="AM964" i="1"/>
  <c r="AN964" i="1"/>
  <c r="AM965" i="1" a="1"/>
  <c r="AM965" i="1" s="1"/>
  <c r="AN965" i="1"/>
  <c r="AO965" i="1" s="1"/>
  <c r="AM966" i="1" a="1"/>
  <c r="AM966" i="1" s="1"/>
  <c r="AN966" i="1"/>
  <c r="AM967" i="1" a="1"/>
  <c r="AM967" i="1"/>
  <c r="AN967" i="1"/>
  <c r="AM968" i="1" a="1"/>
  <c r="AM968" i="1" s="1"/>
  <c r="AN968" i="1"/>
  <c r="AM969" i="1" a="1"/>
  <c r="AM969" i="1" s="1"/>
  <c r="AN969" i="1"/>
  <c r="AM970" i="1" a="1"/>
  <c r="AM970" i="1" s="1"/>
  <c r="AN970" i="1"/>
  <c r="AO970" i="1" s="1"/>
  <c r="AM971" i="1" a="1"/>
  <c r="AM971" i="1"/>
  <c r="AN971" i="1"/>
  <c r="AO971" i="1" s="1"/>
  <c r="AM972" i="1" a="1"/>
  <c r="AM972" i="1"/>
  <c r="AN972" i="1"/>
  <c r="AO972" i="1" s="1"/>
  <c r="AM973" i="1" a="1"/>
  <c r="AM973" i="1" s="1"/>
  <c r="AN973" i="1"/>
  <c r="AM974" i="1" a="1"/>
  <c r="AM974" i="1" s="1"/>
  <c r="AN974" i="1"/>
  <c r="AM975" i="1" a="1"/>
  <c r="AM975" i="1" s="1"/>
  <c r="AN975" i="1"/>
  <c r="AO975" i="1" s="1"/>
  <c r="AM976" i="1" a="1"/>
  <c r="AM976" i="1"/>
  <c r="AN976" i="1"/>
  <c r="AO976" i="1" s="1"/>
  <c r="AM977" i="1" a="1"/>
  <c r="AM977" i="1" s="1"/>
  <c r="AN977" i="1"/>
  <c r="AM978" i="1" a="1"/>
  <c r="AM978" i="1" s="1"/>
  <c r="AN978" i="1"/>
  <c r="AM979" i="1" a="1"/>
  <c r="AM979" i="1" s="1"/>
  <c r="AN979" i="1"/>
  <c r="AO979" i="1" s="1"/>
  <c r="AM980" i="1" a="1"/>
  <c r="AM980" i="1"/>
  <c r="AN980" i="1"/>
  <c r="AO980" i="1" s="1"/>
  <c r="AM981" i="1" a="1"/>
  <c r="AM981" i="1" s="1"/>
  <c r="AN981" i="1"/>
  <c r="AM982" i="1" a="1"/>
  <c r="AM982" i="1"/>
  <c r="AN982" i="1"/>
  <c r="AM983" i="1" a="1"/>
  <c r="AM983" i="1"/>
  <c r="AN983" i="1"/>
  <c r="AO983" i="1" s="1"/>
  <c r="AM984" i="1" a="1"/>
  <c r="AM984" i="1" s="1"/>
  <c r="AN984" i="1"/>
  <c r="AO984" i="1" s="1"/>
  <c r="AM985" i="1" a="1"/>
  <c r="AM985" i="1" s="1"/>
  <c r="AN985" i="1"/>
  <c r="AM986" i="1" a="1"/>
  <c r="AM986" i="1"/>
  <c r="AN986" i="1"/>
  <c r="AM987" i="1" a="1"/>
  <c r="AM987" i="1" s="1"/>
  <c r="AN987" i="1"/>
  <c r="AM988" i="1" a="1"/>
  <c r="AM988" i="1" s="1"/>
  <c r="AN988" i="1"/>
  <c r="AM989" i="1" a="1"/>
  <c r="AM989" i="1" s="1"/>
  <c r="AN989" i="1"/>
  <c r="AO989" i="1" s="1"/>
  <c r="AM990" i="1" a="1"/>
  <c r="AM990" i="1" s="1"/>
  <c r="AN990" i="1"/>
  <c r="AO990" i="1" s="1"/>
  <c r="AM991" i="1" a="1"/>
  <c r="AM991" i="1" s="1"/>
  <c r="AN991" i="1"/>
  <c r="AM992" i="1" a="1"/>
  <c r="AM992" i="1"/>
  <c r="AN992" i="1"/>
  <c r="AM993" i="1" a="1"/>
  <c r="AM993" i="1" s="1"/>
  <c r="AN993" i="1"/>
  <c r="AO993" i="1" s="1"/>
  <c r="AM994" i="1" a="1"/>
  <c r="AM994" i="1" s="1"/>
  <c r="AN994" i="1"/>
  <c r="AM995" i="1" a="1"/>
  <c r="AM995" i="1"/>
  <c r="AN995" i="1"/>
  <c r="AM996" i="1" a="1"/>
  <c r="AM996" i="1"/>
  <c r="AN996" i="1"/>
  <c r="AO996" i="1" s="1"/>
  <c r="AM997" i="1" a="1"/>
  <c r="AM997" i="1" s="1"/>
  <c r="AN997" i="1"/>
  <c r="AO997" i="1" s="1"/>
  <c r="AM998" i="1" a="1"/>
  <c r="AM998" i="1" s="1"/>
  <c r="AN998" i="1"/>
  <c r="AO998" i="1" s="1"/>
  <c r="AM999" i="1" a="1"/>
  <c r="AM999" i="1" s="1"/>
  <c r="AN999" i="1"/>
  <c r="AM1000" i="1" a="1"/>
  <c r="AM1000" i="1" s="1"/>
  <c r="AN1000" i="1"/>
  <c r="AM1001" i="1" a="1"/>
  <c r="AM1001" i="1" s="1"/>
  <c r="AN1001" i="1"/>
  <c r="AM1002" i="1" a="1"/>
  <c r="AM1002" i="1"/>
  <c r="AN1002" i="1"/>
  <c r="AO1002" i="1" s="1"/>
  <c r="AM1003" i="1" a="1"/>
  <c r="AM1003" i="1" s="1"/>
  <c r="AN1003" i="1"/>
  <c r="AM1004" i="1" a="1"/>
  <c r="AM1004" i="1"/>
  <c r="AN1004" i="1"/>
  <c r="AM1005" i="1" a="1"/>
  <c r="AM1005" i="1" s="1"/>
  <c r="AN1005" i="1"/>
  <c r="AO1005" i="1" s="1"/>
  <c r="AM1006" i="1" a="1"/>
  <c r="AM1006" i="1" s="1"/>
  <c r="AN1006" i="1"/>
  <c r="AM1007" i="1" a="1"/>
  <c r="AM1007" i="1"/>
  <c r="AN1007" i="1"/>
  <c r="AO1007" i="1" s="1"/>
  <c r="AM1008" i="1" a="1"/>
  <c r="AM1008" i="1" s="1"/>
  <c r="AN1008" i="1"/>
  <c r="AO1008" i="1" s="1"/>
  <c r="AM1009" i="1" a="1"/>
  <c r="AM1009" i="1" s="1"/>
  <c r="AN1009" i="1"/>
  <c r="AO1009" i="1" s="1"/>
  <c r="AM1010" i="1" a="1"/>
  <c r="AM1010" i="1" s="1"/>
  <c r="AN1010" i="1"/>
  <c r="AO1010" i="1" s="1"/>
  <c r="AM1011" i="1" a="1"/>
  <c r="AM1011" i="1"/>
  <c r="AN1011" i="1"/>
  <c r="AM1012" i="1" a="1"/>
  <c r="AM1012" i="1"/>
  <c r="AN1012" i="1"/>
  <c r="AM1013" i="1" a="1"/>
  <c r="AM1013" i="1" s="1"/>
  <c r="AN1013" i="1"/>
  <c r="AM1014" i="1" a="1"/>
  <c r="AM1014" i="1"/>
  <c r="AN1014" i="1"/>
  <c r="AO1014" i="1" s="1"/>
  <c r="AM1015" i="1" a="1"/>
  <c r="AM1015" i="1" s="1"/>
  <c r="AN1015" i="1"/>
  <c r="AM1016" i="1" a="1"/>
  <c r="AM1016" i="1"/>
  <c r="AN1016" i="1"/>
  <c r="AM1017" i="1" a="1"/>
  <c r="AM1017" i="1" s="1"/>
  <c r="AN1017" i="1"/>
  <c r="AM1018" i="1" a="1"/>
  <c r="AM1018" i="1"/>
  <c r="AN1018" i="1"/>
  <c r="AM1019" i="1" a="1"/>
  <c r="AM1019" i="1"/>
  <c r="AN1019" i="1"/>
  <c r="AM1020" i="1" a="1"/>
  <c r="AM1020" i="1" s="1"/>
  <c r="AN1020" i="1"/>
  <c r="AO1020" i="1" s="1"/>
  <c r="AM1021" i="1" a="1"/>
  <c r="AM1021" i="1" s="1"/>
  <c r="AN1021" i="1"/>
  <c r="AO1021" i="1" s="1"/>
  <c r="AM1022" i="1" a="1"/>
  <c r="AM1022" i="1" s="1"/>
  <c r="AN1022" i="1"/>
  <c r="AO1022" i="1" s="1"/>
  <c r="AM1023" i="1" a="1"/>
  <c r="AM1023" i="1"/>
  <c r="AN1023" i="1"/>
  <c r="AO1023" i="1" s="1"/>
  <c r="AM1024" i="1" a="1"/>
  <c r="AM1024" i="1" s="1"/>
  <c r="AN1024" i="1"/>
  <c r="AM1025" i="1" a="1"/>
  <c r="AM1025" i="1" s="1"/>
  <c r="AN1025" i="1"/>
  <c r="AM1026" i="1" a="1"/>
  <c r="AM1026" i="1" s="1"/>
  <c r="AN1026" i="1"/>
  <c r="AM1027" i="1" a="1"/>
  <c r="AM1027" i="1"/>
  <c r="AN1027" i="1"/>
  <c r="AO1027" i="1" s="1"/>
  <c r="AM1028" i="1" a="1"/>
  <c r="AM1028" i="1"/>
  <c r="AN1028" i="1"/>
  <c r="AO1028" i="1" s="1"/>
  <c r="AM1029" i="1" a="1"/>
  <c r="AM1029" i="1" s="1"/>
  <c r="AN1029" i="1"/>
  <c r="AM1030" i="1" a="1"/>
  <c r="AM1030" i="1"/>
  <c r="AN1030" i="1"/>
  <c r="AO1030" i="1" s="1"/>
  <c r="AM1031" i="1" a="1"/>
  <c r="AM1031" i="1"/>
  <c r="AN1031" i="1"/>
  <c r="AO1031" i="1" s="1"/>
  <c r="AM1032" i="1" a="1"/>
  <c r="AM1032" i="1" s="1"/>
  <c r="AN1032" i="1"/>
  <c r="AO1032" i="1" s="1"/>
  <c r="AM1033" i="1" a="1"/>
  <c r="AM1033" i="1" s="1"/>
  <c r="AN1033" i="1"/>
  <c r="AM1034" i="1" a="1"/>
  <c r="AM1034" i="1"/>
  <c r="AN1034" i="1"/>
  <c r="AM1035" i="1" a="1"/>
  <c r="AM1035" i="1" s="1"/>
  <c r="AN1035" i="1"/>
  <c r="AO1035" i="1" s="1"/>
  <c r="AM1036" i="1" a="1"/>
  <c r="AM1036" i="1"/>
  <c r="AN1036" i="1"/>
  <c r="AO1036" i="1" s="1"/>
  <c r="AM1037" i="1" a="1"/>
  <c r="AM1037" i="1" s="1"/>
  <c r="AN1037" i="1"/>
  <c r="AO1037" i="1" s="1"/>
  <c r="AM1038" i="1" a="1"/>
  <c r="AM1038" i="1" s="1"/>
  <c r="AN1038" i="1"/>
  <c r="AO1038" i="1" s="1"/>
  <c r="AM1039" i="1" a="1"/>
  <c r="AM1039" i="1"/>
  <c r="AN1039" i="1"/>
  <c r="AM1040" i="1" a="1"/>
  <c r="AM1040" i="1"/>
  <c r="AN1040" i="1"/>
  <c r="AM1041" i="1" a="1"/>
  <c r="AM1041" i="1" s="1"/>
  <c r="AN1041" i="1"/>
  <c r="AO1041" i="1" s="1"/>
  <c r="AM1042" i="1" a="1"/>
  <c r="AM1042" i="1"/>
  <c r="AN1042" i="1"/>
  <c r="AM1043" i="1" a="1"/>
  <c r="AM1043" i="1" s="1"/>
  <c r="AN1043" i="1"/>
  <c r="AM1044" i="1" a="1"/>
  <c r="AM1044" i="1" s="1"/>
  <c r="AN1044" i="1"/>
  <c r="AO1044" i="1" s="1"/>
  <c r="AM1045" i="1" a="1"/>
  <c r="AM1045" i="1" s="1"/>
  <c r="AN1045" i="1"/>
  <c r="AO1045" i="1" s="1"/>
  <c r="AM1046" i="1" a="1"/>
  <c r="AM1046" i="1" s="1"/>
  <c r="AN1046" i="1"/>
  <c r="AO1046" i="1" s="1"/>
  <c r="AM1047" i="1" a="1"/>
  <c r="AM1047" i="1"/>
  <c r="AN1047" i="1"/>
  <c r="AO1047" i="1" s="1"/>
  <c r="AM1048" i="1" a="1"/>
  <c r="AM1048" i="1" s="1"/>
  <c r="AN1048" i="1"/>
  <c r="AM1049" i="1" a="1"/>
  <c r="AM1049" i="1" s="1"/>
  <c r="AN1049" i="1"/>
  <c r="AO1049" i="1" s="1"/>
  <c r="AM1050" i="1" a="1"/>
  <c r="AM1050" i="1" s="1"/>
  <c r="AN1050" i="1"/>
  <c r="AO1050" i="1" s="1"/>
  <c r="AM1051" i="1" a="1"/>
  <c r="AM1051" i="1" s="1"/>
  <c r="AN1051" i="1"/>
  <c r="AO1051" i="1" s="1"/>
  <c r="AM1052" i="1" a="1"/>
  <c r="AM1052" i="1"/>
  <c r="AN1052" i="1"/>
  <c r="AM1053" i="1" a="1"/>
  <c r="AM1053" i="1" s="1"/>
  <c r="AN1053" i="1"/>
  <c r="AO1053" i="1" s="1"/>
  <c r="AM1054" i="1" a="1"/>
  <c r="AM1054" i="1" s="1"/>
  <c r="AN1054" i="1"/>
  <c r="AM1055" i="1" a="1"/>
  <c r="AM1055" i="1"/>
  <c r="AN1055" i="1"/>
  <c r="AO1055" i="1" s="1"/>
  <c r="AM1056" i="1" a="1"/>
  <c r="AM1056" i="1" s="1"/>
  <c r="AN1056" i="1"/>
  <c r="AO1056" i="1" s="1"/>
  <c r="AM1057" i="1" a="1"/>
  <c r="AM1057" i="1" s="1"/>
  <c r="AN1057" i="1"/>
  <c r="AO1057" i="1" s="1"/>
  <c r="AM1058" i="1" a="1"/>
  <c r="AM1058" i="1" s="1"/>
  <c r="AN1058" i="1"/>
  <c r="AM1059" i="1" a="1"/>
  <c r="AM1059" i="1"/>
  <c r="AN1059" i="1"/>
  <c r="AM1060" i="1" a="1"/>
  <c r="AM1060" i="1"/>
  <c r="AN1060" i="1"/>
  <c r="AO1060" i="1" s="1"/>
  <c r="AM1061" i="1" a="1"/>
  <c r="AM1061" i="1" s="1"/>
  <c r="AN1061" i="1"/>
  <c r="AO1061" i="1" s="1"/>
  <c r="AM1062" i="1" a="1"/>
  <c r="AM1062" i="1"/>
  <c r="AN1062" i="1"/>
  <c r="AO1062" i="1" s="1"/>
  <c r="AM1063" i="1" a="1"/>
  <c r="AM1063" i="1" s="1"/>
  <c r="AN1063" i="1"/>
  <c r="AO1063" i="1" s="1"/>
  <c r="AM1064" i="1" a="1"/>
  <c r="AM1064" i="1" s="1"/>
  <c r="AN1064" i="1"/>
  <c r="AO1064" i="1" s="1"/>
  <c r="AM1065" i="1" a="1"/>
  <c r="AM1065" i="1" s="1"/>
  <c r="AN1065" i="1"/>
  <c r="AO1065" i="1" s="1"/>
  <c r="AM1066" i="1" a="1"/>
  <c r="AM1066" i="1"/>
  <c r="AN1066" i="1"/>
  <c r="AO1066" i="1" s="1"/>
  <c r="AM1067" i="1" a="1"/>
  <c r="AM1067" i="1" s="1"/>
  <c r="AN1067" i="1"/>
  <c r="AO1067" i="1" s="1"/>
  <c r="AM1068" i="1" a="1"/>
  <c r="AM1068" i="1"/>
  <c r="AN1068" i="1"/>
  <c r="AO1068" i="1" s="1"/>
  <c r="AM1069" i="1" a="1"/>
  <c r="AM1069" i="1" s="1"/>
  <c r="AN1069" i="1"/>
  <c r="AO1069" i="1" s="1"/>
  <c r="AM1070" i="1" a="1"/>
  <c r="AM1070" i="1" s="1"/>
  <c r="AN1070" i="1"/>
  <c r="AO1070" i="1" s="1"/>
  <c r="AM1071" i="1" a="1"/>
  <c r="AM1071" i="1" s="1"/>
  <c r="AN1071" i="1"/>
  <c r="AM1072" i="1" a="1"/>
  <c r="AM1072" i="1"/>
  <c r="AN1072" i="1"/>
  <c r="AO1072" i="1" s="1"/>
  <c r="AM1073" i="1" a="1"/>
  <c r="AM1073" i="1" s="1"/>
  <c r="AN1073" i="1"/>
  <c r="AO1073" i="1" s="1"/>
  <c r="AM1074" i="1" a="1"/>
  <c r="AM1074" i="1"/>
  <c r="AN1074" i="1"/>
  <c r="AO1074" i="1" s="1"/>
  <c r="AM1075" i="1" a="1"/>
  <c r="AM1075" i="1"/>
  <c r="AN1075" i="1"/>
  <c r="AO1075" i="1" s="1"/>
  <c r="AM1076" i="1" a="1"/>
  <c r="AM1076" i="1" s="1"/>
  <c r="AN1076" i="1"/>
  <c r="AM1077" i="1" a="1"/>
  <c r="AM1077" i="1" s="1"/>
  <c r="AN1077" i="1"/>
  <c r="AM1078" i="1" a="1"/>
  <c r="AM1078" i="1" s="1"/>
  <c r="AN1078" i="1"/>
  <c r="AO1078" i="1" s="1"/>
  <c r="AM1079" i="1" a="1"/>
  <c r="AM1079" i="1"/>
  <c r="AN1079" i="1"/>
  <c r="AO1079" i="1" s="1"/>
  <c r="AM1080" i="1" a="1"/>
  <c r="AM1080" i="1" s="1"/>
  <c r="AN1080" i="1"/>
  <c r="AO1080" i="1" s="1"/>
  <c r="AM1081" i="1" a="1"/>
  <c r="AM1081" i="1" s="1"/>
  <c r="AN1081" i="1"/>
  <c r="AO1081" i="1" s="1"/>
  <c r="AM1082" i="1" a="1"/>
  <c r="AM1082" i="1"/>
  <c r="AN1082" i="1"/>
  <c r="AO1082" i="1" s="1"/>
  <c r="AM1083" i="1" a="1"/>
  <c r="AM1083" i="1" s="1"/>
  <c r="AN1083" i="1"/>
  <c r="AO1083" i="1" s="1"/>
  <c r="AM1084" i="1" a="1"/>
  <c r="AM1084" i="1" s="1"/>
  <c r="AN1084" i="1"/>
  <c r="AO1084" i="1" s="1"/>
  <c r="AM1085" i="1" a="1"/>
  <c r="AM1085" i="1" s="1"/>
  <c r="AN1085" i="1"/>
  <c r="AO1085" i="1" s="1"/>
  <c r="AM1086" i="1" a="1"/>
  <c r="AM1086" i="1" s="1"/>
  <c r="AN1086" i="1"/>
  <c r="AM1087" i="1" a="1"/>
  <c r="AM1087" i="1"/>
  <c r="AN1087" i="1"/>
  <c r="AO1087" i="1" s="1"/>
  <c r="AM1088" i="1" a="1"/>
  <c r="AM1088" i="1"/>
  <c r="AN1088" i="1"/>
  <c r="AO1088" i="1" s="1"/>
  <c r="AM1089" i="1" a="1"/>
  <c r="AM1089" i="1" s="1"/>
  <c r="AN1089" i="1"/>
  <c r="AO1089" i="1" s="1"/>
  <c r="AM1090" i="1" a="1"/>
  <c r="AM1090" i="1"/>
  <c r="AN1090" i="1"/>
  <c r="AO1090" i="1" s="1"/>
  <c r="AM1091" i="1" a="1"/>
  <c r="AM1091" i="1" s="1"/>
  <c r="AN1091" i="1"/>
  <c r="AO1091" i="1" s="1"/>
  <c r="AM1092" i="1" a="1"/>
  <c r="AM1092" i="1"/>
  <c r="AN1092" i="1"/>
  <c r="AO1092" i="1" s="1"/>
  <c r="AM1093" i="1" a="1"/>
  <c r="AM1093" i="1" s="1"/>
  <c r="AN1093" i="1"/>
  <c r="AM1094" i="1" a="1"/>
  <c r="AM1094" i="1"/>
  <c r="AN1094" i="1"/>
  <c r="AO1094" i="1" s="1"/>
  <c r="AM1095" i="1" a="1"/>
  <c r="AM1095" i="1"/>
  <c r="AN1095" i="1"/>
  <c r="AO1095" i="1" s="1"/>
  <c r="AM1096" i="1" a="1"/>
  <c r="AM1096" i="1" s="1"/>
  <c r="AN1096" i="1"/>
  <c r="AO1096" i="1" s="1"/>
  <c r="AM1097" i="1" a="1"/>
  <c r="AM1097" i="1" s="1"/>
  <c r="AN1097" i="1"/>
  <c r="AO1097" i="1" s="1"/>
  <c r="AM1098" i="1" a="1"/>
  <c r="AM1098" i="1" s="1"/>
  <c r="AN1098" i="1"/>
  <c r="AO1098" i="1" s="1"/>
  <c r="AM1099" i="1" a="1"/>
  <c r="AM1099" i="1" s="1"/>
  <c r="AN1099" i="1"/>
  <c r="AO1099" i="1" s="1"/>
  <c r="AM1100" i="1" a="1"/>
  <c r="AM1100" i="1"/>
  <c r="AN1100" i="1"/>
  <c r="AM1101" i="1" a="1"/>
  <c r="AM1101" i="1" s="1"/>
  <c r="AN1101" i="1"/>
  <c r="AO1101" i="1" s="1"/>
  <c r="AM1102" i="1" a="1"/>
  <c r="AM1102" i="1" s="1"/>
  <c r="AN1102" i="1"/>
  <c r="AO1102" i="1" s="1"/>
  <c r="AM1103" i="1" a="1"/>
  <c r="AM1103" i="1"/>
  <c r="AN1103" i="1"/>
  <c r="AO1103" i="1" s="1"/>
  <c r="AM1104" i="1" a="1"/>
  <c r="AM1104" i="1" s="1"/>
  <c r="AN1104" i="1"/>
  <c r="AO1104" i="1" s="1"/>
  <c r="AM1105" i="1" a="1"/>
  <c r="AM1105" i="1" s="1"/>
  <c r="AN1105" i="1"/>
  <c r="AO1105" i="1" s="1"/>
  <c r="AM1106" i="1" a="1"/>
  <c r="AM1106" i="1" s="1"/>
  <c r="AN1106" i="1"/>
  <c r="AO1106" i="1" s="1"/>
  <c r="AM1107" i="1" a="1"/>
  <c r="AM1107" i="1"/>
  <c r="AN1107" i="1"/>
  <c r="AO1107" i="1" s="1"/>
  <c r="AM1108" i="1" a="1"/>
  <c r="AM1108" i="1"/>
  <c r="AN1108" i="1"/>
  <c r="AO1108" i="1" s="1"/>
  <c r="AM1109" i="1" a="1"/>
  <c r="AM1109" i="1" s="1"/>
  <c r="AN1109" i="1"/>
  <c r="AM1110" i="1" a="1"/>
  <c r="AM1110" i="1" s="1"/>
  <c r="AN1110" i="1"/>
  <c r="AO1110" i="1" s="1"/>
  <c r="AM1111" i="1" a="1"/>
  <c r="AM1111" i="1" s="1"/>
  <c r="AN1111" i="1"/>
  <c r="AM1112" i="1" a="1"/>
  <c r="AM1112" i="1" s="1"/>
  <c r="AN1112" i="1"/>
  <c r="AO1112" i="1" s="1"/>
  <c r="AM1113" i="1" a="1"/>
  <c r="AM1113" i="1" s="1"/>
  <c r="AN1113" i="1"/>
  <c r="AM1114" i="1" a="1"/>
  <c r="AM1114" i="1"/>
  <c r="AN1114" i="1"/>
  <c r="AO1114" i="1" s="1"/>
  <c r="AM1115" i="1" a="1"/>
  <c r="AM1115" i="1" s="1"/>
  <c r="AN1115" i="1"/>
  <c r="AO1115" i="1" s="1"/>
  <c r="AM1116" i="1" a="1"/>
  <c r="AM1116" i="1"/>
  <c r="AN1116" i="1"/>
  <c r="AO1116" i="1" s="1"/>
  <c r="AM1117" i="1" a="1"/>
  <c r="AM1117" i="1" s="1"/>
  <c r="AN1117" i="1"/>
  <c r="AO1117" i="1" s="1"/>
  <c r="AM1118" i="1" a="1"/>
  <c r="AM1118" i="1" s="1"/>
  <c r="AN1118" i="1"/>
  <c r="AO1118" i="1" s="1"/>
  <c r="AM1119" i="1" a="1"/>
  <c r="AM1119" i="1" s="1"/>
  <c r="AN1119" i="1"/>
  <c r="AO1119" i="1" s="1"/>
  <c r="AM1120" i="1" a="1"/>
  <c r="AM1120" i="1"/>
  <c r="AN1120" i="1"/>
  <c r="AO1120" i="1" s="1"/>
  <c r="AM1121" i="1" a="1"/>
  <c r="AM1121" i="1" s="1"/>
  <c r="AN1121" i="1"/>
  <c r="AO1121" i="1" s="1"/>
  <c r="AM1122" i="1" a="1"/>
  <c r="AM1122" i="1"/>
  <c r="AN1122" i="1"/>
  <c r="AO1122" i="1" s="1"/>
  <c r="AM1123" i="1" a="1"/>
  <c r="AM1123" i="1" s="1"/>
  <c r="AN1123" i="1"/>
  <c r="AO1123" i="1" s="1"/>
  <c r="AM1124" i="1" a="1"/>
  <c r="AM1124" i="1" s="1"/>
  <c r="AN1124" i="1"/>
  <c r="AO1124" i="1" s="1"/>
  <c r="AM1125" i="1" a="1"/>
  <c r="AM1125" i="1" s="1"/>
  <c r="AN1125" i="1"/>
  <c r="AM1126" i="1" a="1"/>
  <c r="AM1126" i="1" s="1"/>
  <c r="AN1126" i="1"/>
  <c r="AO1126" i="1" s="1"/>
  <c r="AM1127" i="1" a="1"/>
  <c r="AM1127" i="1"/>
  <c r="AN1127" i="1"/>
  <c r="AO1127" i="1" s="1"/>
  <c r="AM1128" i="1" a="1"/>
  <c r="AM1128" i="1" s="1"/>
  <c r="AN1128" i="1"/>
  <c r="AO1128" i="1" s="1"/>
  <c r="AM1129" i="1" a="1"/>
  <c r="AM1129" i="1" s="1"/>
  <c r="AN1129" i="1"/>
  <c r="AO1129" i="1" s="1"/>
  <c r="AM1130" i="1" a="1"/>
  <c r="AM1130" i="1"/>
  <c r="AN1130" i="1"/>
  <c r="AO1130" i="1" s="1"/>
  <c r="AM1131" i="1" a="1"/>
  <c r="AM1131" i="1" s="1"/>
  <c r="AN1131" i="1"/>
  <c r="AO1131" i="1" s="1"/>
  <c r="AM1132" i="1" a="1"/>
  <c r="AM1132" i="1" s="1"/>
  <c r="AN1132" i="1"/>
  <c r="AM1133" i="1" a="1"/>
  <c r="AM1133" i="1" s="1"/>
  <c r="AN1133" i="1"/>
  <c r="AO1133" i="1" s="1"/>
  <c r="AM1134" i="1" a="1"/>
  <c r="AM1134" i="1" s="1"/>
  <c r="AN1134" i="1"/>
  <c r="AO1134" i="1" s="1"/>
  <c r="AM1135" i="1" a="1"/>
  <c r="AM1135" i="1"/>
  <c r="AN1135" i="1"/>
  <c r="AO1135" i="1" s="1"/>
  <c r="AM1136" i="1" a="1"/>
  <c r="AM1136" i="1"/>
  <c r="AN1136" i="1"/>
  <c r="AO1136" i="1" s="1"/>
  <c r="AM1137" i="1" a="1"/>
  <c r="AM1137" i="1" s="1"/>
  <c r="AN1137" i="1"/>
  <c r="AO1137" i="1" s="1"/>
  <c r="AM1138" i="1" a="1"/>
  <c r="AM1138" i="1"/>
  <c r="AN1138" i="1"/>
  <c r="AO1138" i="1" s="1"/>
  <c r="AM1139" i="1" a="1"/>
  <c r="AM1139" i="1" s="1"/>
  <c r="AN1139" i="1"/>
  <c r="AO1139" i="1" s="1"/>
  <c r="AM1140" i="1" a="1"/>
  <c r="AM1140" i="1"/>
  <c r="AN1140" i="1"/>
  <c r="AO1140" i="1" s="1"/>
  <c r="AM1141" i="1" a="1"/>
  <c r="AM1141" i="1" s="1"/>
  <c r="AN1141" i="1"/>
  <c r="AO1141" i="1" s="1"/>
  <c r="AM1142" i="1" a="1"/>
  <c r="AM1142" i="1"/>
  <c r="AN1142" i="1"/>
  <c r="AM1143" i="1" a="1"/>
  <c r="AM1143" i="1"/>
  <c r="AN1143" i="1"/>
  <c r="AO1143" i="1" s="1"/>
  <c r="AM1144" i="1" a="1"/>
  <c r="AM1144" i="1" s="1"/>
  <c r="AN1144" i="1"/>
  <c r="AO1144" i="1" s="1"/>
  <c r="AM1145" i="1" a="1"/>
  <c r="AM1145" i="1" s="1"/>
  <c r="AN1145" i="1"/>
  <c r="AO1145" i="1" s="1"/>
  <c r="AM1146" i="1" a="1"/>
  <c r="AM1146" i="1" s="1"/>
  <c r="AN1146" i="1"/>
  <c r="AO1146" i="1" s="1"/>
  <c r="AM1147" i="1" a="1"/>
  <c r="AM1147" i="1" s="1"/>
  <c r="AN1147" i="1"/>
  <c r="AO1147" i="1" s="1"/>
  <c r="AM1148" i="1" a="1"/>
  <c r="AM1148" i="1"/>
  <c r="AN1148" i="1"/>
  <c r="AM1149" i="1" a="1"/>
  <c r="AM1149" i="1" s="1"/>
  <c r="AN1149" i="1"/>
  <c r="AO1149" i="1" s="1"/>
  <c r="AM1150" i="1" a="1"/>
  <c r="AM1150" i="1" s="1"/>
  <c r="AN1150" i="1"/>
  <c r="AO1150" i="1" s="1"/>
  <c r="AM1151" i="1" a="1"/>
  <c r="AM1151" i="1"/>
  <c r="AN1151" i="1"/>
  <c r="AO1151" i="1" s="1"/>
  <c r="AM1152" i="1" a="1"/>
  <c r="AM1152" i="1" s="1"/>
  <c r="AN1152" i="1"/>
  <c r="AO1152" i="1" s="1"/>
  <c r="AM1153" i="1" a="1"/>
  <c r="AM1153" i="1" s="1"/>
  <c r="AN1153" i="1"/>
  <c r="AO1153" i="1" s="1"/>
  <c r="AM1154" i="1" a="1"/>
  <c r="AM1154" i="1"/>
  <c r="AN1154" i="1"/>
  <c r="AO1154" i="1" s="1"/>
  <c r="AM1155" i="1" a="1"/>
  <c r="AM1155" i="1"/>
  <c r="AN1155" i="1"/>
  <c r="AO1155" i="1" s="1"/>
  <c r="AM1156" i="1" a="1"/>
  <c r="AM1156" i="1"/>
  <c r="AN1156" i="1"/>
  <c r="AM1157" i="1" a="1"/>
  <c r="AM1157" i="1" s="1"/>
  <c r="AN1157" i="1"/>
  <c r="AO1157" i="1" s="1"/>
  <c r="AM1158" i="1" a="1"/>
  <c r="AM1158" i="1" s="1"/>
  <c r="AN1158" i="1"/>
  <c r="AO1158" i="1" s="1"/>
  <c r="AM1159" i="1" a="1"/>
  <c r="AM1159" i="1" s="1"/>
  <c r="AN1159" i="1"/>
  <c r="AO1159" i="1" s="1"/>
  <c r="AM1160" i="1" a="1"/>
  <c r="AM1160" i="1" s="1"/>
  <c r="AN1160" i="1"/>
  <c r="AO1160" i="1" s="1"/>
  <c r="AM1161" i="1" a="1"/>
  <c r="AM1161" i="1" s="1"/>
  <c r="AN1161" i="1"/>
  <c r="AO1161" i="1" s="1"/>
  <c r="AM1162" i="1" a="1"/>
  <c r="AM1162" i="1"/>
  <c r="AN1162" i="1"/>
  <c r="AO1162" i="1" s="1"/>
  <c r="AM1163" i="1" a="1"/>
  <c r="AM1163" i="1" s="1"/>
  <c r="AN1163" i="1"/>
  <c r="AM1164" i="1" a="1"/>
  <c r="AM1164" i="1"/>
  <c r="AN1164" i="1"/>
  <c r="AO1164" i="1" s="1"/>
  <c r="AM1165" i="1" a="1"/>
  <c r="AM1165" i="1" s="1"/>
  <c r="AN1165" i="1"/>
  <c r="AO1165" i="1" s="1"/>
  <c r="AM1166" i="1" a="1"/>
  <c r="AM1166" i="1" s="1"/>
  <c r="AN1166" i="1"/>
  <c r="AO1166" i="1" s="1"/>
  <c r="AM1167" i="1" a="1"/>
  <c r="AM1167" i="1"/>
  <c r="AN1167" i="1"/>
  <c r="AO1167" i="1" s="1"/>
  <c r="AM1168" i="1" a="1"/>
  <c r="AM1168" i="1"/>
  <c r="AN1168" i="1"/>
  <c r="AO1168" i="1" s="1"/>
  <c r="AM1169" i="1" a="1"/>
  <c r="AM1169" i="1" s="1"/>
  <c r="AN1169" i="1"/>
  <c r="AO1169" i="1" s="1"/>
  <c r="AM1170" i="1" a="1"/>
  <c r="AM1170" i="1"/>
  <c r="AN1170" i="1"/>
  <c r="AO1170" i="1" s="1"/>
  <c r="AM1171" i="1" a="1"/>
  <c r="AM1171" i="1" s="1"/>
  <c r="AN1171" i="1"/>
  <c r="AM1172" i="1" a="1"/>
  <c r="AM1172" i="1" s="1"/>
  <c r="AN1172" i="1"/>
  <c r="AO1172" i="1" s="1"/>
  <c r="AM1173" i="1" a="1"/>
  <c r="AM1173" i="1" s="1"/>
  <c r="AN1173" i="1"/>
  <c r="AM1174" i="1" a="1"/>
  <c r="AM1174" i="1" s="1"/>
  <c r="AN1174" i="1"/>
  <c r="AO1174" i="1" s="1"/>
  <c r="AM1175" i="1" a="1"/>
  <c r="AM1175" i="1"/>
  <c r="AN1175" i="1"/>
  <c r="AO1175" i="1" s="1"/>
  <c r="AM1176" i="1" a="1"/>
  <c r="AM1176" i="1" s="1"/>
  <c r="AN1176" i="1"/>
  <c r="AO1176" i="1" s="1"/>
  <c r="AM1177" i="1" a="1"/>
  <c r="AM1177" i="1" s="1"/>
  <c r="AN1177" i="1"/>
  <c r="AO1177" i="1" s="1"/>
  <c r="AM1178" i="1" a="1"/>
  <c r="AM1178" i="1"/>
  <c r="AN1178" i="1"/>
  <c r="AO1178" i="1" s="1"/>
  <c r="AM1179" i="1" a="1"/>
  <c r="AM1179" i="1" s="1"/>
  <c r="AN1179" i="1"/>
  <c r="AO1179" i="1" s="1"/>
  <c r="AM1180" i="1" a="1"/>
  <c r="AM1180" i="1" s="1"/>
  <c r="AN1180" i="1"/>
  <c r="AO1180" i="1" s="1"/>
  <c r="AM1181" i="1" a="1"/>
  <c r="AM1181" i="1" s="1"/>
  <c r="AN1181" i="1"/>
  <c r="AO1181" i="1" s="1"/>
  <c r="AM1182" i="1" a="1"/>
  <c r="AM1182" i="1" s="1"/>
  <c r="AN1182" i="1"/>
  <c r="AM1183" i="1" a="1"/>
  <c r="AM1183" i="1" s="1"/>
  <c r="AN1183" i="1"/>
  <c r="AO1183" i="1" s="1"/>
  <c r="AM1184" i="1" a="1"/>
  <c r="AM1184" i="1"/>
  <c r="AN1184" i="1"/>
  <c r="AO1184" i="1" s="1"/>
  <c r="AM1185" i="1" a="1"/>
  <c r="AM1185" i="1" s="1"/>
  <c r="AN1185" i="1"/>
  <c r="AO1185" i="1" s="1"/>
  <c r="AM1186" i="1" a="1"/>
  <c r="AM1186" i="1"/>
  <c r="AN1186" i="1"/>
  <c r="AO1186" i="1" s="1"/>
  <c r="AM1187" i="1" a="1"/>
  <c r="AM1187" i="1"/>
  <c r="AN1187" i="1"/>
  <c r="AM1188" i="1" a="1"/>
  <c r="AM1188" i="1"/>
  <c r="AN1188" i="1"/>
  <c r="AO1188" i="1" s="1"/>
  <c r="AM1189" i="1" a="1"/>
  <c r="AM1189" i="1" s="1"/>
  <c r="AN1189" i="1"/>
  <c r="AO1189" i="1" s="1"/>
  <c r="AM1190" i="1" a="1"/>
  <c r="AM1190" i="1"/>
  <c r="AN1190" i="1"/>
  <c r="AO1190" i="1" s="1"/>
  <c r="AM1191" i="1" a="1"/>
  <c r="AM1191" i="1" s="1"/>
  <c r="AN1191" i="1"/>
  <c r="AO1191" i="1" s="1"/>
  <c r="AM1192" i="1" a="1"/>
  <c r="AM1192" i="1" s="1"/>
  <c r="AN1192" i="1"/>
  <c r="AO1192" i="1" s="1"/>
  <c r="AM1193" i="1" a="1"/>
  <c r="AM1193" i="1" s="1"/>
  <c r="AN1193" i="1"/>
  <c r="AO1193" i="1" s="1"/>
  <c r="AM1194" i="1" a="1"/>
  <c r="AM1194" i="1" s="1"/>
  <c r="AN1194" i="1"/>
  <c r="AO1194" i="1" s="1"/>
  <c r="AM1195" i="1" a="1"/>
  <c r="AM1195" i="1"/>
  <c r="AN1195" i="1"/>
  <c r="AO1195" i="1" s="1"/>
  <c r="AM1196" i="1" a="1"/>
  <c r="AM1196" i="1" s="1"/>
  <c r="AN1196" i="1"/>
  <c r="AO1196" i="1" s="1"/>
  <c r="AM1197" i="1" a="1"/>
  <c r="AM1197" i="1" s="1"/>
  <c r="AN1197" i="1"/>
  <c r="AM1198" i="1" a="1"/>
  <c r="AM1198" i="1"/>
  <c r="AN1198" i="1"/>
  <c r="AO1198" i="1" s="1"/>
  <c r="AM1199" i="1" a="1"/>
  <c r="AM1199" i="1"/>
  <c r="AN1199" i="1"/>
  <c r="AO1199" i="1" s="1"/>
  <c r="AM1200" i="1" a="1"/>
  <c r="AM1200" i="1" s="1"/>
  <c r="AN1200" i="1"/>
  <c r="AO1200" i="1" s="1"/>
  <c r="AM1201" i="1" a="1"/>
  <c r="AM1201" i="1" s="1"/>
  <c r="AN1201" i="1"/>
  <c r="AO1201" i="1" s="1"/>
  <c r="AM1202" i="1" a="1"/>
  <c r="AM1202" i="1"/>
  <c r="AN1202" i="1"/>
  <c r="AO1202" i="1" s="1"/>
  <c r="AM1203" i="1" a="1"/>
  <c r="AM1203" i="1"/>
  <c r="AN1203" i="1"/>
  <c r="AO1203" i="1" s="1"/>
  <c r="AM1204" i="1" a="1"/>
  <c r="AM1204" i="1"/>
  <c r="AN1204" i="1"/>
  <c r="AM1205" i="1" a="1"/>
  <c r="AM1205" i="1" s="1"/>
  <c r="AN1205" i="1"/>
  <c r="AO1205" i="1" s="1"/>
  <c r="AM1206" i="1" a="1"/>
  <c r="AM1206" i="1" s="1"/>
  <c r="AN1206" i="1"/>
  <c r="AO1206" i="1" s="1"/>
  <c r="AM1207" i="1" a="1"/>
  <c r="AM1207" i="1" s="1"/>
  <c r="AN1207" i="1"/>
  <c r="AO1207" i="1" s="1"/>
  <c r="AM1208" i="1" a="1"/>
  <c r="AM1208" i="1" s="1"/>
  <c r="AN1208" i="1"/>
  <c r="AO1208" i="1" s="1"/>
  <c r="AM1209" i="1" a="1"/>
  <c r="AM1209" i="1" s="1"/>
  <c r="AN1209" i="1"/>
  <c r="AO1209" i="1" s="1"/>
  <c r="AM1210" i="1" a="1"/>
  <c r="AM1210" i="1"/>
  <c r="AN1210" i="1"/>
  <c r="AO1210" i="1" s="1"/>
  <c r="AM1211" i="1" a="1"/>
  <c r="AM1211" i="1"/>
  <c r="AN1211" i="1"/>
  <c r="AM1212" i="1" a="1"/>
  <c r="AM1212" i="1"/>
  <c r="AN1212" i="1"/>
  <c r="AO1212" i="1" s="1"/>
  <c r="AM1213" i="1" a="1"/>
  <c r="AM1213" i="1" s="1"/>
  <c r="AN1213" i="1"/>
  <c r="AO1213" i="1" s="1"/>
  <c r="AM1214" i="1" a="1"/>
  <c r="AM1214" i="1" s="1"/>
  <c r="AN1214" i="1"/>
  <c r="AO1214" i="1" s="1"/>
  <c r="AM1215" i="1" a="1"/>
  <c r="AM1215" i="1"/>
  <c r="AN1215" i="1"/>
  <c r="AO1215" i="1" s="1"/>
  <c r="AM1216" i="1" a="1"/>
  <c r="AM1216" i="1"/>
  <c r="AN1216" i="1"/>
  <c r="AO1216" i="1" s="1"/>
  <c r="AM1217" i="1" a="1"/>
  <c r="AM1217" i="1" s="1"/>
  <c r="AN1217" i="1"/>
  <c r="AO1217" i="1" s="1"/>
  <c r="AM1218" i="1" a="1"/>
  <c r="AM1218" i="1"/>
  <c r="AN1218" i="1"/>
  <c r="AO1218" i="1" s="1"/>
  <c r="AM1219" i="1" a="1"/>
  <c r="AM1219" i="1"/>
  <c r="AN1219" i="1"/>
  <c r="AO1219" i="1" s="1"/>
  <c r="AM1220" i="1" a="1"/>
  <c r="AM1220" i="1" s="1"/>
  <c r="AN1220" i="1"/>
  <c r="AM1221" i="1" a="1"/>
  <c r="AM1221" i="1" s="1"/>
  <c r="AN1221" i="1"/>
  <c r="AO1221" i="1" s="1"/>
  <c r="AM1222" i="1" a="1"/>
  <c r="AM1222" i="1" s="1"/>
  <c r="AN1222" i="1"/>
  <c r="AO1222" i="1" s="1"/>
  <c r="AM1223" i="1" a="1"/>
  <c r="AM1223" i="1"/>
  <c r="AN1223" i="1"/>
  <c r="AO1223" i="1" s="1"/>
  <c r="AM1224" i="1" a="1"/>
  <c r="AM1224" i="1"/>
  <c r="AN1224" i="1"/>
  <c r="AO1224" i="1" s="1"/>
  <c r="AM1225" i="1" a="1"/>
  <c r="AM1225" i="1" s="1"/>
  <c r="AN1225" i="1"/>
  <c r="AO1225" i="1" s="1"/>
  <c r="AM1226" i="1" a="1"/>
  <c r="AM1226" i="1"/>
  <c r="AN1226" i="1"/>
  <c r="AO1226" i="1" s="1"/>
  <c r="AM1227" i="1" a="1"/>
  <c r="AM1227" i="1" s="1"/>
  <c r="AN1227" i="1"/>
  <c r="AM1228" i="1" a="1"/>
  <c r="AM1228" i="1" s="1"/>
  <c r="AN1228" i="1"/>
  <c r="AO1228" i="1" s="1"/>
  <c r="AM1229" i="1" a="1"/>
  <c r="AM1229" i="1" s="1"/>
  <c r="AN1229" i="1"/>
  <c r="AO1229" i="1" s="1"/>
  <c r="AM1230" i="1" a="1"/>
  <c r="AM1230" i="1"/>
  <c r="AN1230" i="1"/>
  <c r="AO1230" i="1" s="1"/>
  <c r="AM1231" i="1" a="1"/>
  <c r="AM1231" i="1" s="1"/>
  <c r="AN1231" i="1"/>
  <c r="AO1231" i="1" s="1"/>
  <c r="AM1232" i="1" a="1"/>
  <c r="AM1232" i="1" s="1"/>
  <c r="AN1232" i="1"/>
  <c r="AO1232" i="1" s="1"/>
  <c r="AM1233" i="1" a="1"/>
  <c r="AM1233" i="1" s="1"/>
  <c r="AN1233" i="1"/>
  <c r="AO1233" i="1" s="1"/>
  <c r="AM1234" i="1" a="1"/>
  <c r="AM1234" i="1"/>
  <c r="AN1234" i="1"/>
  <c r="AO1234" i="1" s="1"/>
  <c r="AM1235" i="1" a="1"/>
  <c r="AM1235" i="1"/>
  <c r="AN1235" i="1"/>
  <c r="AO1235" i="1" s="1"/>
  <c r="AM1236" i="1" a="1"/>
  <c r="AM1236" i="1"/>
  <c r="AN1236" i="1"/>
  <c r="AO1236" i="1" s="1"/>
  <c r="AM1237" i="1" a="1"/>
  <c r="AM1237" i="1" s="1"/>
  <c r="AN1237" i="1"/>
  <c r="AO1237" i="1" s="1"/>
  <c r="AM1238" i="1" a="1"/>
  <c r="AM1238" i="1" s="1"/>
  <c r="AN1238" i="1"/>
  <c r="AM1239" i="1" a="1"/>
  <c r="AM1239" i="1" s="1"/>
  <c r="AN1239" i="1"/>
  <c r="AO1239" i="1" s="1"/>
  <c r="AM1240" i="1" a="1"/>
  <c r="AM1240" i="1"/>
  <c r="AN1240" i="1"/>
  <c r="AO1240" i="1" s="1"/>
  <c r="AM1241" i="1" a="1"/>
  <c r="AM1241" i="1" s="1"/>
  <c r="AN1241" i="1"/>
  <c r="AO1241" i="1" s="1"/>
  <c r="AM1242" i="1" a="1"/>
  <c r="AM1242" i="1" s="1"/>
  <c r="AN1242" i="1"/>
  <c r="AO1242" i="1" s="1"/>
  <c r="AM1243" i="1" a="1"/>
  <c r="AM1243" i="1"/>
  <c r="AN1243" i="1"/>
  <c r="AM1244" i="1" a="1"/>
  <c r="AM1244" i="1" s="1"/>
  <c r="AN1244" i="1"/>
  <c r="AO1244" i="1" s="1"/>
  <c r="AM1245" i="1" a="1"/>
  <c r="AM1245" i="1" s="1"/>
  <c r="AN1245" i="1"/>
  <c r="AO1245" i="1" s="1"/>
  <c r="AM1246" i="1" a="1"/>
  <c r="AM1246" i="1"/>
  <c r="AN1246" i="1"/>
  <c r="AO1246" i="1" s="1"/>
  <c r="AM1247" i="1" a="1"/>
  <c r="AM1247" i="1"/>
  <c r="AN1247" i="1"/>
  <c r="AO1247" i="1" s="1"/>
  <c r="AM1248" i="1" a="1"/>
  <c r="AM1248" i="1"/>
  <c r="AN1248" i="1"/>
  <c r="AO1248" i="1" s="1"/>
  <c r="AM1249" i="1" a="1"/>
  <c r="AM1249" i="1" s="1"/>
  <c r="AN1249" i="1"/>
  <c r="AO1249" i="1" s="1"/>
  <c r="AM1250" i="1" a="1"/>
  <c r="AM1250" i="1" s="1"/>
  <c r="AN1250" i="1"/>
  <c r="AO1250" i="1" s="1"/>
  <c r="AM1251" i="1" a="1"/>
  <c r="AM1251" i="1" s="1"/>
  <c r="AN1251" i="1"/>
  <c r="AO1251" i="1" s="1"/>
  <c r="AM1252" i="1" a="1"/>
  <c r="AM1252" i="1"/>
  <c r="AN1252" i="1"/>
  <c r="AO1252" i="1" s="1"/>
  <c r="AM1253" i="1" a="1"/>
  <c r="AM1253" i="1" s="1"/>
  <c r="AN1253" i="1"/>
  <c r="AM1254" i="1" a="1"/>
  <c r="AM1254" i="1" s="1"/>
  <c r="AN1254" i="1"/>
  <c r="AO1254" i="1" s="1"/>
  <c r="AM1255" i="1" a="1"/>
  <c r="AM1255" i="1" s="1"/>
  <c r="AN1255" i="1"/>
  <c r="AO1255" i="1" s="1"/>
  <c r="AM1256" i="1" a="1"/>
  <c r="AM1256" i="1"/>
  <c r="AN1256" i="1"/>
  <c r="AO1256" i="1" s="1"/>
  <c r="AM1257" i="1" a="1"/>
  <c r="AM1257" i="1" s="1"/>
  <c r="AN1257" i="1"/>
  <c r="AO1257" i="1" s="1"/>
  <c r="AM1258" i="1" a="1"/>
  <c r="AM1258" i="1"/>
  <c r="AN1258" i="1"/>
  <c r="AO1258" i="1" s="1"/>
  <c r="AM1259" i="1" a="1"/>
  <c r="AM1259" i="1"/>
  <c r="AN1259" i="1"/>
  <c r="AO1259" i="1" s="1"/>
  <c r="AM1260" i="1" a="1"/>
  <c r="AM1260" i="1"/>
  <c r="AN1260" i="1"/>
  <c r="AO1260" i="1" s="1"/>
  <c r="AM1261" i="1" a="1"/>
  <c r="AM1261" i="1" s="1"/>
  <c r="AN1261" i="1"/>
  <c r="AM1262" i="1" a="1"/>
  <c r="AM1262" i="1"/>
  <c r="AN1262" i="1"/>
  <c r="AO1262" i="1" s="1"/>
  <c r="AM1263" i="1" a="1"/>
  <c r="AM1263" i="1" s="1"/>
  <c r="AN1263" i="1"/>
  <c r="AO1263" i="1" s="1"/>
  <c r="AM1264" i="1" a="1"/>
  <c r="AM1264" i="1" s="1"/>
  <c r="AN1264" i="1"/>
  <c r="AO1264" i="1" s="1"/>
  <c r="AM1265" i="1" a="1"/>
  <c r="AM1265" i="1" s="1"/>
  <c r="AN1265" i="1"/>
  <c r="AO1265" i="1" s="1"/>
  <c r="AM1266" i="1" a="1"/>
  <c r="AM1266" i="1" s="1"/>
  <c r="AN1266" i="1"/>
  <c r="AM1267" i="1" a="1"/>
  <c r="AM1267" i="1" s="1"/>
  <c r="AN1267" i="1"/>
  <c r="AO1267" i="1" s="1"/>
  <c r="AM1268" i="1" a="1"/>
  <c r="AM1268" i="1" s="1"/>
  <c r="AN1268" i="1"/>
  <c r="AO1268" i="1" s="1"/>
  <c r="AM1269" i="1" a="1"/>
  <c r="AM1269" i="1" s="1"/>
  <c r="AN1269" i="1"/>
  <c r="AO1269" i="1" s="1"/>
  <c r="AM1270" i="1" a="1"/>
  <c r="AM1270" i="1"/>
  <c r="AN1270" i="1"/>
  <c r="AO1270" i="1" s="1"/>
  <c r="AM1271" i="1" a="1"/>
  <c r="AM1271" i="1"/>
  <c r="AN1271" i="1"/>
  <c r="AO1271" i="1" s="1"/>
  <c r="AM1272" i="1" a="1"/>
  <c r="AM1272" i="1"/>
  <c r="AN1272" i="1"/>
  <c r="AO1272" i="1" s="1"/>
  <c r="AM1273" i="1" a="1"/>
  <c r="AM1273" i="1" s="1"/>
  <c r="AN1273" i="1"/>
  <c r="AO1273" i="1" s="1"/>
  <c r="AM1274" i="1" a="1"/>
  <c r="AM1274" i="1" s="1"/>
  <c r="AN1274" i="1"/>
  <c r="AO1274" i="1" s="1"/>
  <c r="AM1275" i="1" a="1"/>
  <c r="AM1275" i="1"/>
  <c r="AN1275" i="1"/>
  <c r="AO1275" i="1" s="1"/>
  <c r="AM1276" i="1" a="1"/>
  <c r="AM1276" i="1" s="1"/>
  <c r="AN1276" i="1"/>
  <c r="AM1277" i="1" a="1"/>
  <c r="AM1277" i="1" s="1"/>
  <c r="AN1277" i="1"/>
  <c r="AO1277" i="1" s="1"/>
  <c r="AM1278" i="1" a="1"/>
  <c r="AM1278" i="1"/>
  <c r="AN1278" i="1"/>
  <c r="AO1278" i="1" s="1"/>
  <c r="AM1279" i="1" a="1"/>
  <c r="AM1279" i="1" s="1"/>
  <c r="AN1279" i="1"/>
  <c r="AO1279" i="1" s="1"/>
  <c r="AM1280" i="1" a="1"/>
  <c r="AM1280" i="1" s="1"/>
  <c r="AN1280" i="1"/>
  <c r="AO1280" i="1" s="1"/>
  <c r="AM1281" i="1" a="1"/>
  <c r="AM1281" i="1" s="1"/>
  <c r="AN1281" i="1"/>
  <c r="AM1282" i="1" a="1"/>
  <c r="AM1282" i="1"/>
  <c r="AN1282" i="1"/>
  <c r="AO1282" i="1" s="1"/>
  <c r="AM1283" i="1" a="1"/>
  <c r="AM1283" i="1"/>
  <c r="AN1283" i="1"/>
  <c r="AO1283" i="1" s="1"/>
  <c r="AM1284" i="1" a="1"/>
  <c r="AM1284" i="1"/>
  <c r="AN1284" i="1"/>
  <c r="AO1284" i="1" s="1"/>
  <c r="AM1285" i="1" a="1"/>
  <c r="AM1285" i="1" s="1"/>
  <c r="AN1285" i="1"/>
  <c r="AO1285" i="1" s="1"/>
  <c r="AM1286" i="1" a="1"/>
  <c r="AM1286" i="1" s="1"/>
  <c r="AN1286" i="1"/>
  <c r="AO1286" i="1" s="1"/>
  <c r="AM1287" i="1" a="1"/>
  <c r="AM1287" i="1" s="1"/>
  <c r="AN1287" i="1"/>
  <c r="AO1287" i="1" s="1"/>
  <c r="AM1288" i="1" a="1"/>
  <c r="AM1288" i="1"/>
  <c r="AN1288" i="1"/>
  <c r="AO1288" i="1" s="1"/>
  <c r="AM1289" i="1" a="1"/>
  <c r="AM1289" i="1" s="1"/>
  <c r="AN1289" i="1"/>
  <c r="AO1289" i="1" s="1"/>
  <c r="AM1290" i="1" a="1"/>
  <c r="AM1290" i="1" s="1"/>
  <c r="AN1290" i="1"/>
  <c r="AO1290" i="1" s="1"/>
  <c r="AM1291" i="1" a="1"/>
  <c r="AM1291" i="1"/>
  <c r="AN1291" i="1"/>
  <c r="AO1291" i="1" s="1"/>
  <c r="AM1292" i="1" a="1"/>
  <c r="AM1292" i="1" s="1"/>
  <c r="AN1292" i="1"/>
  <c r="AM1293" i="1" a="1"/>
  <c r="AM1293" i="1" s="1"/>
  <c r="AN1293" i="1"/>
  <c r="AO1293" i="1" s="1"/>
  <c r="AM1294" i="1" a="1"/>
  <c r="AM1294" i="1"/>
  <c r="AN1294" i="1"/>
  <c r="AO1294" i="1" s="1"/>
  <c r="AM1295" i="1" a="1"/>
  <c r="AM1295" i="1"/>
  <c r="AN1295" i="1"/>
  <c r="AO1295" i="1" s="1"/>
  <c r="AM1296" i="1" a="1"/>
  <c r="AM1296" i="1"/>
  <c r="AN1296" i="1"/>
  <c r="AO1296" i="1" s="1"/>
  <c r="AM1297" i="1" a="1"/>
  <c r="AM1297" i="1" s="1"/>
  <c r="AN1297" i="1"/>
  <c r="AO1297" i="1" s="1"/>
  <c r="AM1298" i="1" a="1"/>
  <c r="AM1298" i="1" s="1"/>
  <c r="AN1298" i="1"/>
  <c r="AM1299" i="1" a="1"/>
  <c r="AM1299" i="1" s="1"/>
  <c r="AN1299" i="1"/>
  <c r="AO1299" i="1" s="1"/>
  <c r="AM1300" i="1" a="1"/>
  <c r="AM1300" i="1" s="1"/>
  <c r="AN1300" i="1"/>
  <c r="AO1300" i="1" s="1"/>
  <c r="AM1301" i="1" a="1"/>
  <c r="AM1301" i="1" s="1"/>
  <c r="AN1301" i="1"/>
  <c r="AO1301" i="1" s="1"/>
  <c r="AM1302" i="1" a="1"/>
  <c r="AM1302" i="1" s="1"/>
  <c r="AN1302" i="1"/>
  <c r="AO1302" i="1" s="1"/>
  <c r="AM1303" i="1" a="1"/>
  <c r="AM1303" i="1" s="1"/>
  <c r="AN1303" i="1"/>
  <c r="AO1303" i="1" s="1"/>
  <c r="AM1304" i="1" a="1"/>
  <c r="AM1304" i="1"/>
  <c r="AN1304" i="1"/>
  <c r="AO1304" i="1" s="1"/>
  <c r="AM1305" i="1" a="1"/>
  <c r="AM1305" i="1" s="1"/>
  <c r="AN1305" i="1"/>
  <c r="AO1305" i="1" s="1"/>
  <c r="AM1306" i="1" a="1"/>
  <c r="AM1306" i="1"/>
  <c r="AN1306" i="1"/>
  <c r="AO1306" i="1" s="1"/>
  <c r="AM1307" i="1" a="1"/>
  <c r="AM1307" i="1"/>
  <c r="AN1307" i="1"/>
  <c r="AM1308" i="1" a="1"/>
  <c r="AM1308" i="1"/>
  <c r="AN1308" i="1"/>
  <c r="AO1308" i="1" s="1"/>
  <c r="AM1309" i="1" a="1"/>
  <c r="AM1309" i="1" s="1"/>
  <c r="AN1309" i="1"/>
  <c r="AO1309" i="1" s="1"/>
  <c r="AM1310" i="1" a="1"/>
  <c r="AM1310" i="1" s="1"/>
  <c r="AN1310" i="1"/>
  <c r="AO1310" i="1" s="1"/>
  <c r="AM1311" i="1" a="1"/>
  <c r="AM1311" i="1" s="1"/>
  <c r="AN1311" i="1"/>
  <c r="AO1311" i="1" s="1"/>
  <c r="AM1312" i="1" a="1"/>
  <c r="AM1312" i="1" s="1"/>
  <c r="AN1312" i="1"/>
  <c r="AO1312" i="1" s="1"/>
  <c r="AM1313" i="1" a="1"/>
  <c r="AM1313" i="1" s="1"/>
  <c r="AN1313" i="1"/>
  <c r="AM1314" i="1" a="1"/>
  <c r="AM1314" i="1"/>
  <c r="AN1314" i="1"/>
  <c r="AO1314" i="1" s="1"/>
  <c r="AM1315" i="1" a="1"/>
  <c r="AM1315" i="1" s="1"/>
  <c r="AN1315" i="1"/>
  <c r="AO1315" i="1" s="1"/>
  <c r="AM1316" i="1" a="1"/>
  <c r="AM1316" i="1" s="1"/>
  <c r="AN1316" i="1"/>
  <c r="AO1316" i="1" s="1"/>
  <c r="AM1317" i="1" a="1"/>
  <c r="AM1317" i="1" s="1"/>
  <c r="AN1317" i="1"/>
  <c r="AO1317" i="1" s="1"/>
  <c r="AM1318" i="1" a="1"/>
  <c r="AM1318" i="1"/>
  <c r="AN1318" i="1"/>
  <c r="AO1318" i="1" s="1"/>
  <c r="AM1319" i="1" a="1"/>
  <c r="AM1319" i="1"/>
  <c r="AN1319" i="1"/>
  <c r="AO1319" i="1" s="1"/>
  <c r="AM1320" i="1" a="1"/>
  <c r="AM1320" i="1"/>
  <c r="AN1320" i="1"/>
  <c r="AO1320" i="1" s="1"/>
  <c r="AM1321" i="1" a="1"/>
  <c r="AM1321" i="1" s="1"/>
  <c r="AN1321" i="1"/>
  <c r="AM1322" i="1" a="1"/>
  <c r="AM1322" i="1" s="1"/>
  <c r="AN1322" i="1"/>
  <c r="AO1322" i="1" s="1"/>
  <c r="AM1323" i="1" a="1"/>
  <c r="AM1323" i="1" s="1"/>
  <c r="AN1323" i="1"/>
  <c r="AO1323" i="1" s="1"/>
  <c r="AM1324" i="1" a="1"/>
  <c r="AM1324" i="1" s="1"/>
  <c r="AN1324" i="1"/>
  <c r="AO1324" i="1" s="1"/>
  <c r="AM1325" i="1" a="1"/>
  <c r="AM1325" i="1" s="1"/>
  <c r="AN1325" i="1"/>
  <c r="AO1325" i="1" s="1"/>
  <c r="AM1326" i="1" a="1"/>
  <c r="AM1326" i="1"/>
  <c r="AN1326" i="1"/>
  <c r="AO1326" i="1" s="1"/>
  <c r="AM1327" i="1" a="1"/>
  <c r="AM1327" i="1"/>
  <c r="AN1327" i="1"/>
  <c r="AM1328" i="1" a="1"/>
  <c r="AM1328" i="1" s="1"/>
  <c r="AN1328" i="1"/>
  <c r="AO1328" i="1" s="1"/>
  <c r="AM1329" i="1" a="1"/>
  <c r="AM1329" i="1" s="1"/>
  <c r="AN1329" i="1"/>
  <c r="AO1329" i="1" s="1"/>
  <c r="AM1330" i="1" a="1"/>
  <c r="AM1330" i="1"/>
  <c r="AN1330" i="1"/>
  <c r="AO1330" i="1" s="1"/>
  <c r="AM1331" i="1" a="1"/>
  <c r="AM1331" i="1"/>
  <c r="AN1331" i="1"/>
  <c r="AO1331" i="1" s="1"/>
  <c r="AM1332" i="1" a="1"/>
  <c r="AM1332" i="1"/>
  <c r="AN1332" i="1"/>
  <c r="AO1332" i="1" s="1"/>
  <c r="AM1333" i="1" a="1"/>
  <c r="AM1333" i="1" s="1"/>
  <c r="AN1333" i="1"/>
  <c r="AO1333" i="1" s="1"/>
  <c r="AM1334" i="1" a="1"/>
  <c r="AM1334" i="1" s="1"/>
  <c r="AN1334" i="1"/>
  <c r="AO1334" i="1" s="1"/>
  <c r="AM1335" i="1" a="1"/>
  <c r="AM1335" i="1" s="1"/>
  <c r="AN1335" i="1"/>
  <c r="AM1336" i="1" a="1"/>
  <c r="AM1336" i="1" s="1"/>
  <c r="AN1336" i="1"/>
  <c r="AO1336" i="1" s="1"/>
  <c r="AM1337" i="1" a="1"/>
  <c r="AM1337" i="1" s="1"/>
  <c r="AN1337" i="1"/>
  <c r="AO1337" i="1" s="1"/>
  <c r="AM1338" i="1" a="1"/>
  <c r="AM1338" i="1"/>
  <c r="AN1338" i="1"/>
  <c r="AO1338" i="1" s="1"/>
  <c r="AM1339" i="1" a="1"/>
  <c r="AM1339" i="1"/>
  <c r="AN1339" i="1"/>
  <c r="AO1339" i="1" s="1"/>
  <c r="AM1340" i="1" a="1"/>
  <c r="AM1340" i="1"/>
  <c r="AN1340" i="1"/>
  <c r="AO1340" i="1" s="1"/>
  <c r="AM1341" i="1" a="1"/>
  <c r="AM1341" i="1" s="1"/>
  <c r="AN1341" i="1"/>
  <c r="AO1341" i="1" s="1"/>
  <c r="AM1342" i="1" a="1"/>
  <c r="AM1342" i="1"/>
  <c r="AN1342" i="1"/>
  <c r="AM1343" i="1" a="1"/>
  <c r="AM1343" i="1"/>
  <c r="AN1343" i="1"/>
  <c r="AO1343" i="1" s="1"/>
  <c r="AM1344" i="1" a="1"/>
  <c r="AM1344" i="1"/>
  <c r="AN1344" i="1"/>
  <c r="AO1344" i="1" s="1"/>
  <c r="AM1345" i="1" a="1"/>
  <c r="AM1345" i="1" s="1"/>
  <c r="AN1345" i="1"/>
  <c r="AO1345" i="1" s="1"/>
  <c r="AM1346" i="1" a="1"/>
  <c r="AM1346" i="1" s="1"/>
  <c r="AN1346" i="1"/>
  <c r="AO1346" i="1" s="1"/>
  <c r="AM1347" i="1" a="1"/>
  <c r="AM1347" i="1" s="1"/>
  <c r="AN1347" i="1"/>
  <c r="AO1347" i="1" s="1"/>
  <c r="AM1348" i="1" a="1"/>
  <c r="AM1348" i="1" s="1"/>
  <c r="AN1348" i="1"/>
  <c r="AO1348" i="1" s="1"/>
  <c r="AM1349" i="1" a="1"/>
  <c r="AM1349" i="1" s="1"/>
  <c r="AN1349" i="1"/>
  <c r="AO1349" i="1" s="1"/>
  <c r="AM1350" i="1" a="1"/>
  <c r="AM1350" i="1" s="1"/>
  <c r="AN1350" i="1"/>
  <c r="AM1351" i="1" a="1"/>
  <c r="AM1351" i="1"/>
  <c r="AN1351" i="1"/>
  <c r="AO1351" i="1" s="1"/>
  <c r="AM1352" i="1" a="1"/>
  <c r="AM1352" i="1"/>
  <c r="AN1352" i="1"/>
  <c r="AO1352" i="1" s="1"/>
  <c r="AM1353" i="1" a="1"/>
  <c r="AM1353" i="1" s="1"/>
  <c r="AN1353" i="1"/>
  <c r="AO1353" i="1" s="1"/>
  <c r="AM1354" i="1" a="1"/>
  <c r="AM1354" i="1"/>
  <c r="AN1354" i="1"/>
  <c r="AO1354" i="1" s="1"/>
  <c r="AM1355" i="1" a="1"/>
  <c r="AM1355" i="1"/>
  <c r="AN1355" i="1"/>
  <c r="AO1355" i="1" s="1"/>
  <c r="AM1356" i="1" a="1"/>
  <c r="AM1356" i="1"/>
  <c r="AN1356" i="1"/>
  <c r="AO1356" i="1" s="1"/>
  <c r="AM1357" i="1" a="1"/>
  <c r="AM1357" i="1" s="1"/>
  <c r="AN1357" i="1"/>
  <c r="AM1358" i="1" a="1"/>
  <c r="AM1358" i="1" s="1"/>
  <c r="AN1358" i="1"/>
  <c r="AO1358" i="1" s="1"/>
  <c r="AM1359" i="1" a="1"/>
  <c r="AM1359" i="1" s="1"/>
  <c r="AN1359" i="1"/>
  <c r="AO1359" i="1" s="1"/>
  <c r="AM1360" i="1" a="1"/>
  <c r="AM1360" i="1" s="1"/>
  <c r="AN1360" i="1"/>
  <c r="AO1360" i="1" s="1"/>
  <c r="AM1361" i="1" a="1"/>
  <c r="AM1361" i="1" s="1"/>
  <c r="AN1361" i="1"/>
  <c r="AO1361" i="1" s="1"/>
  <c r="AM1362" i="1" a="1"/>
  <c r="AM1362" i="1"/>
  <c r="AN1362" i="1"/>
  <c r="AO1362" i="1" s="1"/>
  <c r="AM1363" i="1" a="1"/>
  <c r="AM1363" i="1" s="1"/>
  <c r="AN1363" i="1"/>
  <c r="AO1363" i="1" s="1"/>
  <c r="AM1364" i="1" a="1"/>
  <c r="AM1364" i="1" s="1"/>
  <c r="AN1364" i="1"/>
  <c r="AO1364" i="1" s="1"/>
  <c r="AM1365" i="1" a="1"/>
  <c r="AM1365" i="1" s="1"/>
  <c r="AN1365" i="1"/>
  <c r="AM1366" i="1" a="1"/>
  <c r="AM1366" i="1"/>
  <c r="AN1366" i="1"/>
  <c r="AO1366" i="1" s="1"/>
  <c r="AM1367" i="1" a="1"/>
  <c r="AM1367" i="1"/>
  <c r="AN1367" i="1"/>
  <c r="AO1367" i="1" s="1"/>
  <c r="AM1368" i="1" a="1"/>
  <c r="AM1368" i="1"/>
  <c r="AN1368" i="1"/>
  <c r="AO1368" i="1" s="1"/>
  <c r="AM1369" i="1" a="1"/>
  <c r="AM1369" i="1" s="1"/>
  <c r="AN1369" i="1"/>
  <c r="AO1369" i="1" s="1"/>
  <c r="AM1370" i="1" a="1"/>
  <c r="AM1370" i="1" s="1"/>
  <c r="AN1370" i="1"/>
  <c r="AM1371" i="1" a="1"/>
  <c r="AM1371" i="1" s="1"/>
  <c r="AN1371" i="1"/>
  <c r="AO1371" i="1" s="1"/>
  <c r="AM1372" i="1" a="1"/>
  <c r="AM1372" i="1" s="1"/>
  <c r="AN1372" i="1"/>
  <c r="AO1372" i="1" s="1"/>
  <c r="AM1373" i="1" a="1"/>
  <c r="AM1373" i="1" s="1"/>
  <c r="AN1373" i="1"/>
  <c r="AO1373" i="1" s="1"/>
  <c r="AM1374" i="1" a="1"/>
  <c r="AM1374" i="1"/>
  <c r="AN1374" i="1"/>
  <c r="AO1374" i="1" s="1"/>
  <c r="AM1375" i="1" a="1"/>
  <c r="AM1375" i="1"/>
  <c r="AN1375" i="1"/>
  <c r="AO1375" i="1" s="1"/>
  <c r="AM1376" i="1" a="1"/>
  <c r="AM1376" i="1" s="1"/>
  <c r="AN1376" i="1"/>
  <c r="AO1376" i="1" s="1"/>
  <c r="AM1377" i="1" a="1"/>
  <c r="AM1377" i="1" s="1"/>
  <c r="AN1377" i="1"/>
  <c r="AO1377" i="1" s="1"/>
  <c r="AM1378" i="1" a="1"/>
  <c r="AM1378" i="1" s="1"/>
  <c r="AN1378" i="1"/>
  <c r="AM1379" i="1" a="1"/>
  <c r="AM1379" i="1"/>
  <c r="AN1379" i="1"/>
  <c r="AO1379" i="1" s="1"/>
  <c r="AM1380" i="1" a="1"/>
  <c r="AM1380" i="1"/>
  <c r="AN1380" i="1"/>
  <c r="AO1380" i="1" s="1"/>
  <c r="AM1381" i="1" a="1"/>
  <c r="AM1381" i="1" s="1"/>
  <c r="AN1381" i="1"/>
  <c r="AO1381" i="1" s="1"/>
  <c r="AM1382" i="1" a="1"/>
  <c r="AM1382" i="1" s="1"/>
  <c r="AN1382" i="1"/>
  <c r="AO1382" i="1" s="1"/>
  <c r="AM1383" i="1" a="1"/>
  <c r="AM1383" i="1" s="1"/>
  <c r="AN1383" i="1"/>
  <c r="AO1383" i="1" s="1"/>
  <c r="AM1384" i="1" a="1"/>
  <c r="AM1384" i="1" s="1"/>
  <c r="AN1384" i="1"/>
  <c r="AM1385" i="1" a="1"/>
  <c r="AM1385" i="1" s="1"/>
  <c r="AN1385" i="1"/>
  <c r="AO1385" i="1" s="1"/>
  <c r="AM1386" i="1" a="1"/>
  <c r="AM1386" i="1" s="1"/>
  <c r="AN1386" i="1"/>
  <c r="AO1386" i="1" s="1"/>
  <c r="AM1387" i="1" a="1"/>
  <c r="AM1387" i="1"/>
  <c r="AN1387" i="1"/>
  <c r="AO1387" i="1" s="1"/>
  <c r="AM1388" i="1" a="1"/>
  <c r="AM1388" i="1"/>
  <c r="AN1388" i="1"/>
  <c r="AO1388" i="1" s="1"/>
  <c r="AM1389" i="1" a="1"/>
  <c r="AM1389" i="1" s="1"/>
  <c r="AN1389" i="1"/>
  <c r="AO1389" i="1" s="1"/>
  <c r="AM1390" i="1" a="1"/>
  <c r="AM1390" i="1"/>
  <c r="AN1390" i="1"/>
  <c r="AO1390" i="1" s="1"/>
  <c r="AM1391" i="1" a="1"/>
  <c r="AM1391" i="1" s="1"/>
  <c r="AN1391" i="1"/>
  <c r="AO1391" i="1" s="1"/>
  <c r="AM1392" i="1" a="1"/>
  <c r="AM1392" i="1"/>
  <c r="AN1392" i="1"/>
  <c r="AO1392" i="1" s="1"/>
  <c r="AM1393" i="1" a="1"/>
  <c r="AM1393" i="1" s="1"/>
  <c r="AN1393" i="1"/>
  <c r="AO1393" i="1" s="1"/>
  <c r="AM1394" i="1" a="1"/>
  <c r="AM1394" i="1" s="1"/>
  <c r="AN1394" i="1"/>
  <c r="AM1395" i="1" a="1"/>
  <c r="AM1395" i="1" s="1"/>
  <c r="AN1395" i="1"/>
  <c r="AO1395" i="1" s="1"/>
  <c r="AM1396" i="1" a="1"/>
  <c r="AM1396" i="1" s="1"/>
  <c r="AN1396" i="1"/>
  <c r="AO1396" i="1" s="1"/>
  <c r="AM1397" i="1" a="1"/>
  <c r="AM1397" i="1" s="1"/>
  <c r="AN1397" i="1"/>
  <c r="AO1397" i="1" s="1"/>
  <c r="AM1398" i="1" a="1"/>
  <c r="AM1398" i="1" s="1"/>
  <c r="AN1398" i="1"/>
  <c r="AO1398" i="1" s="1"/>
  <c r="AM1399" i="1" a="1"/>
  <c r="AM1399" i="1" s="1"/>
  <c r="AN1399" i="1"/>
  <c r="AO1399" i="1" s="1"/>
  <c r="AM1400" i="1" a="1"/>
  <c r="AM1400" i="1"/>
  <c r="AN1400" i="1"/>
  <c r="AM1401" i="1" a="1"/>
  <c r="AM1401" i="1" s="1"/>
  <c r="AN1401" i="1"/>
  <c r="AO1401" i="1" s="1"/>
  <c r="AM1402" i="1" a="1"/>
  <c r="AM1402" i="1"/>
  <c r="AN1402" i="1"/>
  <c r="AO1402" i="1" s="1"/>
  <c r="AM1403" i="1" a="1"/>
  <c r="AM1403" i="1"/>
  <c r="AN1403" i="1"/>
  <c r="AO1403" i="1" s="1"/>
  <c r="AM1404" i="1" a="1"/>
  <c r="AM1404" i="1" s="1"/>
  <c r="AN1404" i="1"/>
  <c r="AO1404" i="1" s="1"/>
  <c r="AM1405" i="1" a="1"/>
  <c r="AM1405" i="1" s="1"/>
  <c r="AN1405" i="1"/>
  <c r="AO1405" i="1" s="1"/>
  <c r="AM1406" i="1" a="1"/>
  <c r="AM1406" i="1" s="1"/>
  <c r="AN1406" i="1"/>
  <c r="AO1406" i="1" s="1"/>
  <c r="AM1407" i="1" a="1"/>
  <c r="AM1407" i="1" s="1"/>
  <c r="AN1407" i="1"/>
  <c r="AO1407" i="1" s="1"/>
  <c r="AM1408" i="1" a="1"/>
  <c r="AM1408" i="1" s="1"/>
  <c r="AN1408" i="1"/>
  <c r="AM1409" i="1" a="1"/>
  <c r="AM1409" i="1" s="1"/>
  <c r="AN1409" i="1"/>
  <c r="AO1409" i="1" s="1"/>
  <c r="AM1410" i="1" a="1"/>
  <c r="AM1410" i="1"/>
  <c r="AN1410" i="1"/>
  <c r="AO1410" i="1" s="1"/>
  <c r="AM1411" i="1" a="1"/>
  <c r="AM1411" i="1" s="1"/>
  <c r="AN1411" i="1"/>
  <c r="AO1411" i="1" s="1"/>
  <c r="AM1412" i="1" a="1"/>
  <c r="AM1412" i="1" s="1"/>
  <c r="AN1412" i="1"/>
  <c r="AO1412" i="1" s="1"/>
  <c r="AM1413" i="1" a="1"/>
  <c r="AM1413" i="1" s="1"/>
  <c r="AN1413" i="1"/>
  <c r="AO1413" i="1" s="1"/>
  <c r="AM1414" i="1" a="1"/>
  <c r="AM1414" i="1"/>
  <c r="AN1414" i="1"/>
  <c r="AO1414" i="1" s="1"/>
  <c r="AM1415" i="1" a="1"/>
  <c r="AM1415" i="1"/>
  <c r="AN1415" i="1"/>
  <c r="AO1415" i="1" s="1"/>
  <c r="AM1416" i="1" a="1"/>
  <c r="AM1416" i="1"/>
  <c r="AN1416" i="1"/>
  <c r="AO1416" i="1" s="1"/>
  <c r="AM1417" i="1" a="1"/>
  <c r="AM1417" i="1" s="1"/>
  <c r="AN1417" i="1"/>
  <c r="AM1418" i="1" a="1"/>
  <c r="AM1418" i="1" s="1"/>
  <c r="AN1418" i="1"/>
  <c r="AO1418" i="1" s="1"/>
  <c r="AM1419" i="1" a="1"/>
  <c r="AM1419" i="1" s="1"/>
  <c r="AN1419" i="1"/>
  <c r="AO1419" i="1" s="1"/>
  <c r="AM1420" i="1" a="1"/>
  <c r="AM1420" i="1" s="1"/>
  <c r="AN1420" i="1"/>
  <c r="AO1420" i="1" s="1"/>
  <c r="AM1421" i="1" a="1"/>
  <c r="AM1421" i="1" s="1"/>
  <c r="AN1421" i="1"/>
  <c r="AM1422" i="1" a="1"/>
  <c r="AM1422" i="1"/>
  <c r="AN1422" i="1"/>
  <c r="AO1422" i="1" s="1"/>
  <c r="AM1423" i="1" a="1"/>
  <c r="AM1423" i="1" s="1"/>
  <c r="AN1423" i="1"/>
  <c r="AO1423" i="1" s="1"/>
  <c r="AM1424" i="1" a="1"/>
  <c r="AM1424" i="1" s="1"/>
  <c r="AN1424" i="1"/>
  <c r="AO1424" i="1" s="1"/>
  <c r="AM1425" i="1" a="1"/>
  <c r="AM1425" i="1" s="1"/>
  <c r="AN1425" i="1"/>
  <c r="AO1425" i="1" s="1"/>
  <c r="AM1426" i="1" a="1"/>
  <c r="AM1426" i="1" s="1"/>
  <c r="AN1426" i="1"/>
  <c r="AO1426" i="1" s="1"/>
  <c r="AM1427" i="1" a="1"/>
  <c r="AM1427" i="1"/>
  <c r="AN1427" i="1"/>
  <c r="AO1427" i="1" s="1"/>
  <c r="AM1428" i="1" a="1"/>
  <c r="AM1428" i="1"/>
  <c r="AN1428" i="1"/>
  <c r="AO1428" i="1" s="1"/>
  <c r="AM1429" i="1" a="1"/>
  <c r="AM1429" i="1" s="1"/>
  <c r="AN1429" i="1"/>
  <c r="AO1429" i="1" s="1"/>
  <c r="AM1430" i="1" a="1"/>
  <c r="AM1430" i="1" s="1"/>
  <c r="AN1430" i="1"/>
  <c r="AO1430" i="1" s="1"/>
  <c r="AM1431" i="1" a="1"/>
  <c r="AM1431" i="1" s="1"/>
  <c r="AN1431" i="1"/>
  <c r="AM1432" i="1" a="1"/>
  <c r="AM1432" i="1" s="1"/>
  <c r="AN1432" i="1"/>
  <c r="AO1432" i="1" s="1"/>
  <c r="AM1433" i="1" a="1"/>
  <c r="AM1433" i="1" s="1"/>
  <c r="AN1433" i="1"/>
  <c r="AO1433" i="1" s="1"/>
  <c r="AM1434" i="1" a="1"/>
  <c r="AM1434" i="1" s="1"/>
  <c r="AN1434" i="1"/>
  <c r="AO1434" i="1" s="1"/>
  <c r="AM1435" i="1" a="1"/>
  <c r="AM1435" i="1"/>
  <c r="AN1435" i="1"/>
  <c r="AM1436" i="1" a="1"/>
  <c r="AM1436" i="1"/>
  <c r="AN1436" i="1"/>
  <c r="AO1436" i="1" s="1"/>
  <c r="AM1437" i="1" a="1"/>
  <c r="AM1437" i="1" s="1"/>
  <c r="AN1437" i="1"/>
  <c r="AO1437" i="1" s="1"/>
  <c r="AM1438" i="1" a="1"/>
  <c r="AM1438" i="1"/>
  <c r="AN1438" i="1"/>
  <c r="AO1438" i="1" s="1"/>
  <c r="AM1439" i="1" a="1"/>
  <c r="AM1439" i="1" s="1"/>
  <c r="AN1439" i="1"/>
  <c r="AO1439" i="1" s="1"/>
  <c r="AM1440" i="1" a="1"/>
  <c r="AM1440" i="1" s="1"/>
  <c r="AN1440" i="1"/>
  <c r="AO1440" i="1" s="1"/>
  <c r="AM1441" i="1" a="1"/>
  <c r="AM1441" i="1" s="1"/>
  <c r="AN1441" i="1"/>
  <c r="AO1441" i="1" s="1"/>
  <c r="AM1442" i="1" a="1"/>
  <c r="AM1442" i="1" s="1"/>
  <c r="AN1442" i="1"/>
  <c r="AO1442" i="1" s="1"/>
  <c r="AM1443" i="1" a="1"/>
  <c r="AM1443" i="1"/>
  <c r="AN1443" i="1"/>
  <c r="AO1443" i="1" s="1"/>
  <c r="AM1444" i="1" a="1"/>
  <c r="AM1444" i="1"/>
  <c r="AN1444" i="1"/>
  <c r="AO1444" i="1" s="1"/>
  <c r="AM1445" i="1" a="1"/>
  <c r="AM1445" i="1" s="1"/>
  <c r="AN1445" i="1"/>
  <c r="AO1445" i="1" s="1"/>
  <c r="AM1446" i="1" a="1"/>
  <c r="AM1446" i="1" s="1"/>
  <c r="AN1446" i="1"/>
  <c r="AM1447" i="1" a="1"/>
  <c r="AM1447" i="1" s="1"/>
  <c r="AN1447" i="1"/>
  <c r="AO1447" i="1" s="1"/>
  <c r="AM1448" i="1" a="1"/>
  <c r="AM1448" i="1"/>
  <c r="AN1448" i="1"/>
  <c r="AO1448" i="1" s="1"/>
  <c r="AM1449" i="1" a="1"/>
  <c r="AM1449" i="1" s="1"/>
  <c r="AN1449" i="1"/>
  <c r="AO1449" i="1" s="1"/>
  <c r="AM1450" i="1" a="1"/>
  <c r="AM1450" i="1"/>
  <c r="AN1450" i="1"/>
  <c r="AO1450" i="1" s="1"/>
  <c r="AM1451" i="1" a="1"/>
  <c r="AM1451" i="1"/>
  <c r="AN1451" i="1"/>
  <c r="AM1452" i="1" a="1"/>
  <c r="AM1452" i="1" s="1"/>
  <c r="AN1452" i="1"/>
  <c r="AO1452" i="1" s="1"/>
  <c r="AM1453" i="1" a="1"/>
  <c r="AM1453" i="1" s="1"/>
  <c r="AN1453" i="1"/>
  <c r="AO1453" i="1" s="1"/>
  <c r="AM1454" i="1" a="1"/>
  <c r="AM1454" i="1" s="1"/>
  <c r="AN1454" i="1"/>
  <c r="AO1454" i="1" s="1"/>
  <c r="AM1455" i="1" a="1"/>
  <c r="AM1455" i="1" s="1"/>
  <c r="AN1455" i="1"/>
  <c r="AO1455" i="1" s="1"/>
  <c r="AM1456" i="1" a="1"/>
  <c r="AM1456" i="1"/>
  <c r="AN1456" i="1"/>
  <c r="AO1456" i="1" s="1"/>
  <c r="AM1457" i="1" a="1"/>
  <c r="AM1457" i="1" s="1"/>
  <c r="AN1457" i="1"/>
  <c r="AO1457" i="1" s="1"/>
  <c r="AM1458" i="1" a="1"/>
  <c r="AM1458" i="1"/>
  <c r="AN1458" i="1"/>
  <c r="AO1458" i="1" s="1"/>
  <c r="AM1459" i="1" a="1"/>
  <c r="AM1459" i="1" s="1"/>
  <c r="AN1459" i="1"/>
  <c r="AO1459" i="1" s="1"/>
  <c r="AM1460" i="1" a="1"/>
  <c r="AM1460" i="1" s="1"/>
  <c r="AN1460" i="1"/>
  <c r="AM1461" i="1" a="1"/>
  <c r="AM1461" i="1" s="1"/>
  <c r="AN1461" i="1"/>
  <c r="AO1461" i="1" s="1"/>
  <c r="AM1462" i="1" a="1"/>
  <c r="AM1462" i="1" s="1"/>
  <c r="AN1462" i="1"/>
  <c r="AO1462" i="1" s="1"/>
  <c r="AM1463" i="1" a="1"/>
  <c r="AM1463" i="1"/>
  <c r="AN1463" i="1"/>
  <c r="AO1463" i="1" s="1"/>
  <c r="AM1464" i="1" a="1"/>
  <c r="AM1464" i="1"/>
  <c r="AN1464" i="1"/>
  <c r="AO1464" i="1" s="1"/>
  <c r="AM1465" i="1" a="1"/>
  <c r="AM1465" i="1" s="1"/>
  <c r="AN1465" i="1"/>
  <c r="AO1465" i="1" s="1"/>
  <c r="AM1466" i="1" a="1"/>
  <c r="AM1466" i="1"/>
  <c r="AN1466" i="1"/>
  <c r="AO1466" i="1" s="1"/>
  <c r="AM1467" i="1" a="1"/>
  <c r="AM1467" i="1" s="1"/>
  <c r="AN1467" i="1"/>
  <c r="AM1468" i="1" a="1"/>
  <c r="AM1468" i="1" s="1"/>
  <c r="AN1468" i="1"/>
  <c r="AO1468" i="1" s="1"/>
  <c r="AM1469" i="1" a="1"/>
  <c r="AM1469" i="1" s="1"/>
  <c r="AN1469" i="1"/>
  <c r="AO1469" i="1" s="1"/>
  <c r="AM1470" i="1" a="1"/>
  <c r="AM1470" i="1"/>
  <c r="AN1470" i="1"/>
  <c r="AO1470" i="1" s="1"/>
  <c r="AM1471" i="1" a="1"/>
  <c r="AM1471" i="1"/>
  <c r="AN1471" i="1"/>
  <c r="AM1472" i="1" a="1"/>
  <c r="AM1472" i="1" s="1"/>
  <c r="AN1472" i="1"/>
  <c r="AO1472" i="1" s="1"/>
  <c r="AM1473" i="1" a="1"/>
  <c r="AM1473" i="1" s="1"/>
  <c r="AN1473" i="1"/>
  <c r="AO1473" i="1" s="1"/>
  <c r="AM1474" i="1" a="1"/>
  <c r="AM1474" i="1" s="1"/>
  <c r="AN1474" i="1"/>
  <c r="AO1474" i="1" s="1"/>
  <c r="AM1475" i="1" a="1"/>
  <c r="AM1475" i="1" s="1"/>
  <c r="AN1475" i="1"/>
  <c r="AO1475" i="1" s="1"/>
  <c r="AM1476" i="1" a="1"/>
  <c r="AM1476" i="1"/>
  <c r="AN1476" i="1"/>
  <c r="AO1476" i="1" s="1"/>
  <c r="AM1477" i="1" a="1"/>
  <c r="AM1477" i="1" s="1"/>
  <c r="AN1477" i="1"/>
  <c r="AO1477" i="1" s="1"/>
  <c r="AM1478" i="1" a="1"/>
  <c r="AM1478" i="1"/>
  <c r="AN1478" i="1"/>
  <c r="AO1478" i="1" s="1"/>
  <c r="AM1479" i="1" a="1"/>
  <c r="AM1479" i="1" s="1"/>
  <c r="AN1479" i="1"/>
  <c r="AO1479" i="1" s="1"/>
  <c r="AM1480" i="1" a="1"/>
  <c r="AM1480" i="1" s="1"/>
  <c r="AN1480" i="1"/>
  <c r="AO1480" i="1" s="1"/>
  <c r="AM1481" i="1" a="1"/>
  <c r="AM1481" i="1" s="1"/>
  <c r="AN1481" i="1"/>
  <c r="AM1482" i="1" a="1"/>
  <c r="AM1482" i="1" s="1"/>
  <c r="AN1482" i="1"/>
  <c r="AO1482" i="1" s="1"/>
  <c r="AM1483" i="1" a="1"/>
  <c r="AM1483" i="1"/>
  <c r="AN1483" i="1"/>
  <c r="AO1483" i="1" s="1"/>
  <c r="AM1484" i="1" a="1"/>
  <c r="AM1484" i="1" s="1"/>
  <c r="AN1484" i="1"/>
  <c r="AO1484" i="1" s="1"/>
  <c r="AM1485" i="1" a="1"/>
  <c r="AM1485" i="1" s="1"/>
  <c r="AN1485" i="1"/>
  <c r="AM1486" i="1" a="1"/>
  <c r="AM1486" i="1"/>
  <c r="AN1486" i="1"/>
  <c r="AO1486" i="1" s="1"/>
  <c r="AM1487" i="1" a="1"/>
  <c r="AM1487" i="1" s="1"/>
  <c r="AN1487" i="1"/>
  <c r="AO1487" i="1" s="1"/>
  <c r="AM1488" i="1" a="1"/>
  <c r="AM1488" i="1" s="1"/>
  <c r="AN1488" i="1"/>
  <c r="AO1488" i="1" s="1"/>
  <c r="AM1489" i="1" a="1"/>
  <c r="AM1489" i="1" s="1"/>
  <c r="AN1489" i="1"/>
  <c r="AO1489" i="1" s="1"/>
  <c r="AM1490" i="1" a="1"/>
  <c r="AM1490" i="1" s="1"/>
  <c r="AN1490" i="1"/>
  <c r="AO1490" i="1" s="1"/>
  <c r="AM1491" i="1" a="1"/>
  <c r="AM1491" i="1"/>
  <c r="AN1491" i="1"/>
  <c r="AO1491" i="1" s="1"/>
  <c r="AM1492" i="1" a="1"/>
  <c r="AM1492" i="1"/>
  <c r="AN1492" i="1"/>
  <c r="AO1492" i="1" s="1"/>
  <c r="AM1493" i="1" a="1"/>
  <c r="AM1493" i="1" s="1"/>
  <c r="AN1493" i="1"/>
  <c r="AO1493" i="1" s="1"/>
  <c r="AM1494" i="1" a="1"/>
  <c r="AM1494" i="1" s="1"/>
  <c r="AN1494" i="1"/>
  <c r="AO1494" i="1" s="1"/>
  <c r="AM1495" i="1" a="1"/>
  <c r="AM1495" i="1"/>
  <c r="AN1495" i="1"/>
  <c r="AO1495" i="1" s="1"/>
  <c r="AM1496" i="1" a="1"/>
  <c r="AM1496" i="1"/>
  <c r="AN1496" i="1"/>
  <c r="AM1497" i="1" a="1"/>
  <c r="AM1497" i="1" s="1"/>
  <c r="AN1497" i="1"/>
  <c r="AO1497" i="1" s="1"/>
  <c r="AM1498" i="1" a="1"/>
  <c r="AM1498" i="1" s="1"/>
  <c r="AN1498" i="1"/>
  <c r="AO1498" i="1" s="1"/>
  <c r="AM1499" i="1" a="1"/>
  <c r="AM1499" i="1"/>
  <c r="AN1499" i="1"/>
  <c r="AO1499" i="1" s="1"/>
  <c r="AM1500" i="1" a="1"/>
  <c r="AM1500" i="1"/>
  <c r="AN1500" i="1"/>
  <c r="AO1500" i="1" s="1"/>
  <c r="AM1501" i="1" a="1"/>
  <c r="AM1501" i="1" s="1"/>
  <c r="AN1501" i="1"/>
  <c r="AO1501" i="1" s="1"/>
  <c r="AM1502" i="1" a="1"/>
  <c r="AM1502" i="1" s="1"/>
  <c r="AN1502" i="1"/>
  <c r="AO1502" i="1" s="1"/>
  <c r="AM1503" i="1" a="1"/>
  <c r="AM1503" i="1"/>
  <c r="AN1503" i="1"/>
  <c r="AO1503" i="1" s="1"/>
  <c r="AM1504" i="1" a="1"/>
  <c r="AM1504" i="1"/>
  <c r="AN1504" i="1"/>
  <c r="AO1504" i="1" s="1"/>
  <c r="AM1505" i="1" a="1"/>
  <c r="AM1505" i="1" s="1"/>
  <c r="AN1505" i="1"/>
  <c r="AO1505" i="1" s="1"/>
  <c r="AM1506" i="1" a="1"/>
  <c r="AM1506" i="1" s="1"/>
  <c r="AN1506" i="1"/>
  <c r="AO1506" i="1" s="1"/>
  <c r="AM1507" i="1" a="1"/>
  <c r="AM1507" i="1"/>
  <c r="AN1507" i="1"/>
  <c r="AO1507" i="1" s="1"/>
  <c r="AM1508" i="1" a="1"/>
  <c r="AM1508" i="1" s="1"/>
  <c r="AN1508" i="1"/>
  <c r="AO1508" i="1" s="1"/>
  <c r="AM1509" i="1" a="1"/>
  <c r="AM1509" i="1" s="1"/>
  <c r="AN1509" i="1"/>
  <c r="AO1509" i="1" s="1"/>
  <c r="AM1510" i="1" a="1"/>
  <c r="AM1510" i="1" s="1"/>
  <c r="AN1510" i="1"/>
  <c r="AM1511" i="1" a="1"/>
  <c r="AM1511" i="1"/>
  <c r="AN1511" i="1"/>
  <c r="AO1511" i="1" s="1"/>
  <c r="AM1512" i="1" a="1"/>
  <c r="AM1512" i="1" s="1"/>
  <c r="AN1512" i="1"/>
  <c r="AO1512" i="1" s="1"/>
  <c r="AM1513" i="1" a="1"/>
  <c r="AM1513" i="1" s="1"/>
  <c r="AN1513" i="1"/>
  <c r="AO1513" i="1" s="1"/>
  <c r="AM1514" i="1" a="1"/>
  <c r="AM1514" i="1" s="1"/>
  <c r="AN1514" i="1"/>
  <c r="AO1514" i="1" s="1"/>
  <c r="AM1515" i="1" a="1"/>
  <c r="AM1515" i="1"/>
  <c r="AN1515" i="1"/>
  <c r="AO1515" i="1" s="1"/>
  <c r="AM1516" i="1" a="1"/>
  <c r="AM1516" i="1" s="1"/>
  <c r="AN1516" i="1"/>
  <c r="AO1516" i="1" s="1"/>
  <c r="AM1517" i="1" a="1"/>
  <c r="AM1517" i="1" s="1"/>
  <c r="AN1517" i="1"/>
  <c r="AM1518" i="1" a="1"/>
  <c r="AM1518" i="1" s="1"/>
  <c r="AN1518" i="1"/>
  <c r="AO1518" i="1" s="1"/>
  <c r="AM1519" i="1" a="1"/>
  <c r="AM1519" i="1"/>
  <c r="AN1519" i="1"/>
  <c r="AO1519" i="1" s="1"/>
  <c r="AM1520" i="1" a="1"/>
  <c r="AM1520" i="1"/>
  <c r="AN1520" i="1"/>
  <c r="AO1520" i="1" s="1"/>
  <c r="AM1521" i="1" a="1"/>
  <c r="AM1521" i="1" s="1"/>
  <c r="AN1521" i="1"/>
  <c r="AO1521" i="1" s="1"/>
  <c r="AM1522" i="1" a="1"/>
  <c r="AM1522" i="1" s="1"/>
  <c r="AN1522" i="1"/>
  <c r="AM1523" i="1" a="1"/>
  <c r="AM1523" i="1"/>
  <c r="AN1523" i="1"/>
  <c r="AO1523" i="1" s="1"/>
  <c r="AM1524" i="1" a="1"/>
  <c r="AM1524" i="1"/>
  <c r="AN1524" i="1"/>
  <c r="AO1524" i="1" s="1"/>
  <c r="AM1525" i="1" a="1"/>
  <c r="AM1525" i="1" s="1"/>
  <c r="AN1525" i="1"/>
  <c r="AO1525" i="1" s="1"/>
  <c r="AM1526" i="1" a="1"/>
  <c r="AM1526" i="1" s="1"/>
  <c r="AN1526" i="1"/>
  <c r="AO1526" i="1" s="1"/>
  <c r="AM1527" i="1" a="1"/>
  <c r="AM1527" i="1"/>
  <c r="AN1527" i="1"/>
  <c r="AO1527" i="1" s="1"/>
  <c r="AM1528" i="1" a="1"/>
  <c r="AM1528" i="1" s="1"/>
  <c r="AN1528" i="1"/>
  <c r="AO1528" i="1" s="1"/>
  <c r="AM1529" i="1" a="1"/>
  <c r="AM1529" i="1" s="1"/>
  <c r="AN1529" i="1"/>
  <c r="AO1529" i="1" s="1"/>
  <c r="AM1530" i="1" a="1"/>
  <c r="AM1530" i="1" s="1"/>
  <c r="AN1530" i="1"/>
  <c r="AM1531" i="1" a="1"/>
  <c r="AM1531" i="1"/>
  <c r="AN1531" i="1"/>
  <c r="AO1531" i="1" s="1"/>
  <c r="AM1532" i="1" a="1"/>
  <c r="AM1532" i="1" s="1"/>
  <c r="AN1532" i="1"/>
  <c r="AO1532" i="1" s="1"/>
  <c r="AM1533" i="1" a="1"/>
  <c r="AM1533" i="1" s="1"/>
  <c r="AN1533" i="1"/>
  <c r="AO1533" i="1" s="1"/>
  <c r="AM1534" i="1" a="1"/>
  <c r="AM1534" i="1" s="1"/>
  <c r="AN1534" i="1"/>
  <c r="AO1534" i="1" s="1"/>
  <c r="AM1535" i="1" a="1"/>
  <c r="AM1535" i="1"/>
  <c r="AN1535" i="1"/>
  <c r="AM1536" i="1" a="1"/>
  <c r="AM1536" i="1" s="1"/>
  <c r="AN1536" i="1"/>
  <c r="AO1536" i="1" s="1"/>
  <c r="AM1537" i="1" a="1"/>
  <c r="AM1537" i="1" s="1"/>
  <c r="AN1537" i="1"/>
  <c r="AO1537" i="1" s="1"/>
  <c r="AM1538" i="1" a="1"/>
  <c r="AM1538" i="1" s="1"/>
  <c r="AN1538" i="1"/>
  <c r="AO1538" i="1" s="1"/>
  <c r="AM1539" i="1" a="1"/>
  <c r="AM1539" i="1" s="1"/>
  <c r="AN1539" i="1"/>
  <c r="AO1539" i="1" s="1"/>
  <c r="AM1540" i="1" a="1"/>
  <c r="AM1540" i="1" s="1"/>
  <c r="AN1540" i="1"/>
  <c r="AO1540" i="1" s="1"/>
  <c r="AM1541" i="1" a="1"/>
  <c r="AM1541" i="1" s="1"/>
  <c r="AN1541" i="1"/>
  <c r="AO1541" i="1" s="1"/>
  <c r="AM1542" i="1" a="1"/>
  <c r="AM1542" i="1" s="1"/>
  <c r="AN1542" i="1"/>
  <c r="AO1542" i="1" s="1"/>
  <c r="AM1543" i="1" a="1"/>
  <c r="AM1543" i="1"/>
  <c r="AN1543" i="1"/>
  <c r="AO1543" i="1" s="1"/>
  <c r="AM1544" i="1" a="1"/>
  <c r="AM1544" i="1"/>
  <c r="AN1544" i="1"/>
  <c r="AM1545" i="1" a="1"/>
  <c r="AM1545" i="1" s="1"/>
  <c r="AN1545" i="1"/>
  <c r="AO1545" i="1" s="1"/>
  <c r="AM1546" i="1" a="1"/>
  <c r="AM1546" i="1" s="1"/>
  <c r="AN1546" i="1"/>
  <c r="AO1546" i="1" s="1"/>
  <c r="AM1547" i="1" a="1"/>
  <c r="AM1547" i="1"/>
  <c r="AN1547" i="1"/>
  <c r="AO1547" i="1" s="1"/>
  <c r="AM1548" i="1" a="1"/>
  <c r="AM1548" i="1"/>
  <c r="AN1548" i="1"/>
  <c r="AO1548" i="1" s="1"/>
  <c r="AM1549" i="1" a="1"/>
  <c r="AM1549" i="1" s="1"/>
  <c r="AN1549" i="1"/>
  <c r="AO1549" i="1" s="1"/>
  <c r="AM1550" i="1" a="1"/>
  <c r="AM1550" i="1" s="1"/>
  <c r="AN1550" i="1"/>
  <c r="AM1551" i="1" a="1"/>
  <c r="AM1551" i="1"/>
  <c r="AN1551" i="1"/>
  <c r="AO1551" i="1" s="1"/>
  <c r="AM1552" i="1" a="1"/>
  <c r="AM1552" i="1" s="1"/>
  <c r="AN1552" i="1"/>
  <c r="AO1552" i="1" s="1"/>
  <c r="AM1553" i="1" a="1"/>
  <c r="AM1553" i="1" s="1"/>
  <c r="AN1553" i="1"/>
  <c r="AO1553" i="1" s="1"/>
  <c r="AM1554" i="1" a="1"/>
  <c r="AM1554" i="1" s="1"/>
  <c r="AN1554" i="1"/>
  <c r="AO1554" i="1" s="1"/>
  <c r="AM1555" i="1" a="1"/>
  <c r="AM1555" i="1"/>
  <c r="AN1555" i="1"/>
  <c r="AO1555" i="1" s="1"/>
  <c r="AM1556" i="1" a="1"/>
  <c r="AM1556" i="1" s="1"/>
  <c r="AN1556" i="1"/>
  <c r="AO1556" i="1" s="1"/>
  <c r="AM1557" i="1" a="1"/>
  <c r="AM1557" i="1" s="1"/>
  <c r="AN1557" i="1"/>
  <c r="AM1558" i="1" a="1"/>
  <c r="AM1558" i="1" s="1"/>
  <c r="AN1558" i="1"/>
  <c r="AO1558" i="1" s="1"/>
  <c r="AM1559" i="1" a="1"/>
  <c r="AM1559" i="1"/>
  <c r="AN1559" i="1"/>
  <c r="AO1559" i="1" s="1"/>
  <c r="AM1560" i="1" a="1"/>
  <c r="AM1560" i="1" s="1"/>
  <c r="AN1560" i="1"/>
  <c r="AO1560" i="1" s="1"/>
  <c r="AM1561" i="1" a="1"/>
  <c r="AM1561" i="1" s="1"/>
  <c r="AN1561" i="1"/>
  <c r="AO1561" i="1" s="1"/>
  <c r="AM1562" i="1" a="1"/>
  <c r="AM1562" i="1" s="1"/>
  <c r="AN1562" i="1"/>
  <c r="AO1562" i="1" s="1"/>
  <c r="AM1563" i="1" a="1"/>
  <c r="AM1563" i="1" s="1"/>
  <c r="AN1563" i="1"/>
  <c r="AO1563" i="1" s="1"/>
  <c r="AM1564" i="1" a="1"/>
  <c r="AM1564" i="1" s="1"/>
  <c r="AN1564" i="1"/>
  <c r="AM1565" i="1" a="1"/>
  <c r="AM1565" i="1" s="1"/>
  <c r="AN1565" i="1"/>
  <c r="AO1565" i="1" s="1"/>
  <c r="AM1566" i="1" a="1"/>
  <c r="AM1566" i="1" s="1"/>
  <c r="AN1566" i="1"/>
  <c r="AO1566" i="1" s="1"/>
  <c r="AM1567" i="1" a="1"/>
  <c r="AM1567" i="1"/>
  <c r="AN1567" i="1"/>
  <c r="AO1567" i="1" s="1"/>
  <c r="AM1568" i="1" a="1"/>
  <c r="AM1568" i="1" s="1"/>
  <c r="AN1568" i="1"/>
  <c r="AO1568" i="1" s="1"/>
  <c r="AM1569" i="1" a="1"/>
  <c r="AM1569" i="1" s="1"/>
  <c r="AN1569" i="1"/>
  <c r="AM1570" i="1" a="1"/>
  <c r="AM1570" i="1" s="1"/>
  <c r="AN1570" i="1"/>
  <c r="AO1570" i="1" s="1"/>
  <c r="AM1571" i="1" a="1"/>
  <c r="AM1571" i="1"/>
  <c r="AN1571" i="1"/>
  <c r="AO1571" i="1" s="1"/>
  <c r="AM1572" i="1" a="1"/>
  <c r="AM1572" i="1"/>
  <c r="AN1572" i="1"/>
  <c r="AO1572" i="1" s="1"/>
  <c r="AM1573" i="1" a="1"/>
  <c r="AM1573" i="1" s="1"/>
  <c r="AN1573" i="1"/>
  <c r="AO1573" i="1" s="1"/>
  <c r="AM1574" i="1" a="1"/>
  <c r="AM1574" i="1" s="1"/>
  <c r="AN1574" i="1"/>
  <c r="AO1574" i="1" s="1"/>
  <c r="AM1575" i="1" a="1"/>
  <c r="AM1575" i="1"/>
  <c r="AN1575" i="1"/>
  <c r="AO1575" i="1" s="1"/>
  <c r="AM1576" i="1" a="1"/>
  <c r="AM1576" i="1" s="1"/>
  <c r="AN1576" i="1"/>
  <c r="AO1576" i="1" s="1"/>
  <c r="AM1577" i="1" a="1"/>
  <c r="AM1577" i="1" s="1"/>
  <c r="AN1577" i="1"/>
  <c r="AM1578" i="1" a="1"/>
  <c r="AM1578" i="1" s="1"/>
  <c r="AN1578" i="1"/>
  <c r="AO1578" i="1" s="1"/>
  <c r="AM1579" i="1" a="1"/>
  <c r="AM1579" i="1"/>
  <c r="AN1579" i="1"/>
  <c r="AO1579" i="1" s="1"/>
  <c r="AM1580" i="1" a="1"/>
  <c r="AM1580" i="1" s="1"/>
  <c r="AN1580" i="1"/>
  <c r="AO1580" i="1" s="1"/>
  <c r="AM1581" i="1" a="1"/>
  <c r="AM1581" i="1" s="1"/>
  <c r="AN1581" i="1"/>
  <c r="AO1581" i="1" s="1"/>
  <c r="AM1582" i="1" a="1"/>
  <c r="AM1582" i="1" s="1"/>
  <c r="AN1582" i="1"/>
  <c r="AO1582" i="1" s="1"/>
  <c r="AM1583" i="1" a="1"/>
  <c r="AM1583" i="1"/>
  <c r="AN1583" i="1"/>
  <c r="AO1583" i="1" s="1"/>
  <c r="AM1584" i="1" a="1"/>
  <c r="AM1584" i="1" s="1"/>
  <c r="AN1584" i="1"/>
  <c r="AO1584" i="1" s="1"/>
  <c r="AM1585" i="1" a="1"/>
  <c r="AM1585" i="1" s="1"/>
  <c r="AN1585" i="1"/>
  <c r="AO1585" i="1" s="1"/>
  <c r="AM1586" i="1" a="1"/>
  <c r="AM1586" i="1" s="1"/>
  <c r="AN1586" i="1"/>
  <c r="AO1586" i="1" s="1"/>
  <c r="AM1587" i="1" a="1"/>
  <c r="AM1587" i="1" s="1"/>
  <c r="AN1587" i="1"/>
  <c r="AO1587" i="1" s="1"/>
  <c r="AM1588" i="1" a="1"/>
  <c r="AM1588" i="1" s="1"/>
  <c r="AN1588" i="1"/>
  <c r="AO1588" i="1" s="1"/>
  <c r="AM1589" i="1" a="1"/>
  <c r="AM1589" i="1" s="1"/>
  <c r="AN1589" i="1"/>
  <c r="AO1589" i="1" s="1"/>
  <c r="AM1590" i="1" a="1"/>
  <c r="AM1590" i="1" s="1"/>
  <c r="AN1590" i="1"/>
  <c r="AO1590" i="1" s="1"/>
  <c r="AM1591" i="1" a="1"/>
  <c r="AM1591" i="1"/>
  <c r="AN1591" i="1"/>
  <c r="AM1592" i="1" a="1"/>
  <c r="AM1592" i="1" s="1"/>
  <c r="AN1592" i="1"/>
  <c r="AO1592" i="1" s="1"/>
  <c r="AM1593" i="1" a="1"/>
  <c r="AM1593" i="1" s="1"/>
  <c r="AN1593" i="1"/>
  <c r="AO1593" i="1" s="1"/>
  <c r="AM1594" i="1" a="1"/>
  <c r="AM1594" i="1" s="1"/>
  <c r="AN1594" i="1"/>
  <c r="AO1594" i="1" s="1"/>
  <c r="AM1595" i="1" a="1"/>
  <c r="AM1595" i="1"/>
  <c r="AN1595" i="1"/>
  <c r="AO1595" i="1" s="1"/>
  <c r="AM1596" i="1" a="1"/>
  <c r="AM1596" i="1"/>
  <c r="AN1596" i="1"/>
  <c r="AO1596" i="1" s="1"/>
  <c r="AM1597" i="1" a="1"/>
  <c r="AM1597" i="1" s="1"/>
  <c r="AN1597" i="1"/>
  <c r="AM1598" i="1" a="1"/>
  <c r="AM1598" i="1" s="1"/>
  <c r="AN1598" i="1"/>
  <c r="AO1598" i="1" s="1"/>
  <c r="AM1599" i="1" a="1"/>
  <c r="AM1599" i="1"/>
  <c r="AN1599" i="1"/>
  <c r="AO1599" i="1" s="1"/>
  <c r="AM1600" i="1" a="1"/>
  <c r="AM1600" i="1" s="1"/>
  <c r="AN1600" i="1"/>
  <c r="AO1600" i="1" s="1"/>
  <c r="AM1601" i="1" a="1"/>
  <c r="AM1601" i="1" s="1"/>
  <c r="AN1601" i="1"/>
  <c r="AO1601" i="1" s="1"/>
  <c r="AM1602" i="1" a="1"/>
  <c r="AM1602" i="1" s="1"/>
  <c r="AN1602" i="1"/>
  <c r="AO1602" i="1" s="1"/>
  <c r="AM1603" i="1" a="1"/>
  <c r="AM1603" i="1"/>
  <c r="AN1603" i="1"/>
  <c r="AM1604" i="1" a="1"/>
  <c r="AM1604" i="1" s="1"/>
  <c r="AN1604" i="1"/>
  <c r="AO1604" i="1" s="1"/>
  <c r="AM1605" i="1" a="1"/>
  <c r="AM1605" i="1" s="1"/>
  <c r="AN1605" i="1"/>
  <c r="AO1605" i="1" s="1"/>
  <c r="AM1606" i="1" a="1"/>
  <c r="AM1606" i="1" s="1"/>
  <c r="AN1606" i="1"/>
  <c r="AO1606" i="1" s="1"/>
  <c r="AM1607" i="1" a="1"/>
  <c r="AM1607" i="1"/>
  <c r="AN1607" i="1"/>
  <c r="AO1607" i="1" s="1"/>
  <c r="AM1608" i="1" a="1"/>
  <c r="AM1608" i="1" s="1"/>
  <c r="AN1608" i="1"/>
  <c r="AO1608" i="1" s="1"/>
  <c r="AM1609" i="1" a="1"/>
  <c r="AM1609" i="1" s="1"/>
  <c r="AN1609" i="1"/>
  <c r="AO1609" i="1" s="1"/>
  <c r="AM1610" i="1" a="1"/>
  <c r="AM1610" i="1" s="1"/>
  <c r="AN1610" i="1"/>
  <c r="AM1611" i="1" a="1"/>
  <c r="AM1611" i="1" s="1"/>
  <c r="AN1611" i="1"/>
  <c r="AO1611" i="1" s="1"/>
  <c r="AM1612" i="1" a="1"/>
  <c r="AM1612" i="1" s="1"/>
  <c r="AN1612" i="1"/>
  <c r="AO1612" i="1" s="1"/>
  <c r="AM1613" i="1" a="1"/>
  <c r="AM1613" i="1" s="1"/>
  <c r="AN1613" i="1"/>
  <c r="AO1613" i="1" s="1"/>
  <c r="AM1614" i="1" a="1"/>
  <c r="AM1614" i="1" s="1"/>
  <c r="AN1614" i="1"/>
  <c r="AM1615" i="1" a="1"/>
  <c r="AM1615" i="1"/>
  <c r="AN1615" i="1"/>
  <c r="AO1615" i="1" s="1"/>
  <c r="AM1616" i="1" a="1"/>
  <c r="AM1616" i="1" s="1"/>
  <c r="AN1616" i="1"/>
  <c r="AO1616" i="1" s="1"/>
  <c r="AM1617" i="1" a="1"/>
  <c r="AM1617" i="1" s="1"/>
  <c r="AN1617" i="1"/>
  <c r="AO1617" i="1" s="1"/>
  <c r="AM1618" i="1" a="1"/>
  <c r="AM1618" i="1" s="1"/>
  <c r="AN1618" i="1"/>
  <c r="AO1618" i="1" s="1"/>
  <c r="AM1619" i="1" a="1"/>
  <c r="AM1619" i="1"/>
  <c r="AN1619" i="1"/>
  <c r="AO1619" i="1" s="1"/>
  <c r="AM1620" i="1" a="1"/>
  <c r="AM1620" i="1"/>
  <c r="AN1620" i="1"/>
  <c r="AO1620" i="1" s="1"/>
  <c r="AM1621" i="1" a="1"/>
  <c r="AM1621" i="1" s="1"/>
  <c r="AN1621" i="1"/>
  <c r="AO1621" i="1" s="1"/>
  <c r="AM1622" i="1" a="1"/>
  <c r="AM1622" i="1" s="1"/>
  <c r="AN1622" i="1"/>
  <c r="AM1623" i="1" a="1"/>
  <c r="AM1623" i="1"/>
  <c r="AN1623" i="1"/>
  <c r="AO1623" i="1" s="1"/>
  <c r="AM1624" i="1" a="1"/>
  <c r="AM1624" i="1" s="1"/>
  <c r="AN1624" i="1"/>
  <c r="AO1624" i="1" s="1"/>
  <c r="AM1625" i="1" a="1"/>
  <c r="AM1625" i="1" s="1"/>
  <c r="AN1625" i="1"/>
  <c r="AO1625" i="1" s="1"/>
  <c r="AM1626" i="1" a="1"/>
  <c r="AM1626" i="1" s="1"/>
  <c r="AN1626" i="1"/>
  <c r="AM1627" i="1" a="1"/>
  <c r="AM1627" i="1"/>
  <c r="AN1627" i="1"/>
  <c r="AO1627" i="1" s="1"/>
  <c r="AM1628" i="1" a="1"/>
  <c r="AM1628" i="1" s="1"/>
  <c r="AN1628" i="1"/>
  <c r="AO1628" i="1" s="1"/>
  <c r="AM1629" i="1" a="1"/>
  <c r="AM1629" i="1" s="1"/>
  <c r="AN1629" i="1"/>
  <c r="AO1629" i="1" s="1"/>
  <c r="AM1630" i="1" a="1"/>
  <c r="AM1630" i="1" s="1"/>
  <c r="AN1630" i="1"/>
  <c r="AO1630" i="1" s="1"/>
  <c r="AM1631" i="1" a="1"/>
  <c r="AM1631" i="1"/>
  <c r="AN1631" i="1"/>
  <c r="AO1631" i="1" s="1"/>
  <c r="AM1632" i="1" a="1"/>
  <c r="AM1632" i="1" s="1"/>
  <c r="AN1632" i="1"/>
  <c r="AO1632" i="1" s="1"/>
  <c r="AM1633" i="1" a="1"/>
  <c r="AM1633" i="1" s="1"/>
  <c r="AN1633" i="1"/>
  <c r="AO1633" i="1" s="1"/>
  <c r="AM1634" i="1" a="1"/>
  <c r="AM1634" i="1" s="1"/>
  <c r="AN1634" i="1"/>
  <c r="AO1634" i="1" s="1"/>
  <c r="AM1635" i="1" a="1"/>
  <c r="AM1635" i="1" s="1"/>
  <c r="AN1635" i="1"/>
  <c r="AM1636" i="1" a="1"/>
  <c r="AM1636" i="1" s="1"/>
  <c r="AN1636" i="1"/>
  <c r="AO1636" i="1" s="1"/>
  <c r="AM1637" i="1" a="1"/>
  <c r="AM1637" i="1" s="1"/>
  <c r="AN1637" i="1"/>
  <c r="AO1637" i="1" s="1"/>
  <c r="AM1638" i="1" a="1"/>
  <c r="AM1638" i="1" s="1"/>
  <c r="AN1638" i="1"/>
  <c r="AO1638" i="1" s="1"/>
  <c r="AM1639" i="1" a="1"/>
  <c r="AM1639" i="1"/>
  <c r="AN1639" i="1"/>
  <c r="AM1640" i="1" a="1"/>
  <c r="AM1640" i="1" s="1"/>
  <c r="AN1640" i="1"/>
  <c r="AO1640" i="1" s="1"/>
  <c r="AM1641" i="1" a="1"/>
  <c r="AM1641" i="1" s="1"/>
  <c r="AN1641" i="1"/>
  <c r="AO1641" i="1" s="1"/>
  <c r="AM1642" i="1" a="1"/>
  <c r="AM1642" i="1" s="1"/>
  <c r="AN1642" i="1"/>
  <c r="AO1642" i="1" s="1"/>
  <c r="AM1643" i="1" a="1"/>
  <c r="AM1643" i="1"/>
  <c r="AN1643" i="1"/>
  <c r="AO1643" i="1" s="1"/>
  <c r="AM1644" i="1" a="1"/>
  <c r="AM1644" i="1"/>
  <c r="AN1644" i="1"/>
  <c r="AO1644" i="1" s="1"/>
  <c r="AM1645" i="1" a="1"/>
  <c r="AM1645" i="1" s="1"/>
  <c r="AN1645" i="1"/>
  <c r="AO1645" i="1" s="1"/>
  <c r="AM1646" i="1" a="1"/>
  <c r="AM1646" i="1" s="1"/>
  <c r="AN1646" i="1"/>
  <c r="AO1646" i="1" s="1"/>
  <c r="AM1647" i="1" a="1"/>
  <c r="AM1647" i="1"/>
  <c r="AN1647" i="1"/>
  <c r="AM1648" i="1" a="1"/>
  <c r="AM1648" i="1" s="1"/>
  <c r="AN1648" i="1"/>
  <c r="AO1648" i="1" s="1"/>
  <c r="AM1649" i="1" a="1"/>
  <c r="AM1649" i="1" s="1"/>
  <c r="AN1649" i="1"/>
  <c r="AO1649" i="1" s="1"/>
  <c r="AM1650" i="1" a="1"/>
  <c r="AM1650" i="1" s="1"/>
  <c r="AN1650" i="1"/>
  <c r="AO1650" i="1" s="1"/>
  <c r="AM1651" i="1" a="1"/>
  <c r="AM1651" i="1"/>
  <c r="AN1651" i="1"/>
  <c r="AO1651" i="1" s="1"/>
  <c r="AM1652" i="1" a="1"/>
  <c r="AM1652" i="1" s="1"/>
  <c r="AN1652" i="1"/>
  <c r="AM1653" i="1" a="1"/>
  <c r="AM1653" i="1" s="1"/>
  <c r="AN1653" i="1"/>
  <c r="AO1653" i="1" s="1"/>
  <c r="AM1654" i="1" a="1"/>
  <c r="AM1654" i="1" s="1"/>
  <c r="AN1654" i="1"/>
  <c r="AO1654" i="1" s="1"/>
  <c r="AM1655" i="1" a="1"/>
  <c r="AM1655" i="1"/>
  <c r="AN1655" i="1"/>
  <c r="AO1655" i="1" s="1"/>
  <c r="AM1656" i="1" a="1"/>
  <c r="AM1656" i="1" s="1"/>
  <c r="AN1656" i="1"/>
  <c r="AO1656" i="1" s="1"/>
  <c r="AM1657" i="1" a="1"/>
  <c r="AM1657" i="1" s="1"/>
  <c r="AN1657" i="1"/>
  <c r="AO1657" i="1" s="1"/>
  <c r="AM1658" i="1" a="1"/>
  <c r="AM1658" i="1" s="1"/>
  <c r="AN1658" i="1"/>
  <c r="AO1658" i="1" s="1"/>
  <c r="AM1659" i="1" a="1"/>
  <c r="AM1659" i="1" s="1"/>
  <c r="AN1659" i="1"/>
  <c r="AO1659" i="1" s="1"/>
  <c r="AM1660" i="1" a="1"/>
  <c r="AM1660" i="1" s="1"/>
  <c r="AN1660" i="1"/>
  <c r="AO1660" i="1" s="1"/>
  <c r="AM1661" i="1" a="1"/>
  <c r="AM1661" i="1" s="1"/>
  <c r="AN1661" i="1"/>
  <c r="AO1661" i="1" s="1"/>
  <c r="AM1662" i="1" a="1"/>
  <c r="AM1662" i="1" s="1"/>
  <c r="AN1662" i="1"/>
  <c r="AO1662" i="1" s="1"/>
  <c r="AM1663" i="1" a="1"/>
  <c r="AM1663" i="1"/>
  <c r="AN1663" i="1"/>
  <c r="AO1663" i="1" s="1"/>
  <c r="AM1664" i="1" a="1"/>
  <c r="AM1664" i="1" s="1"/>
  <c r="AN1664" i="1"/>
  <c r="AM1665" i="1" a="1"/>
  <c r="AM1665" i="1" s="1"/>
  <c r="AN1665" i="1"/>
  <c r="AO1665" i="1" s="1"/>
  <c r="AM1666" i="1" a="1"/>
  <c r="AM1666" i="1" s="1"/>
  <c r="AN1666" i="1"/>
  <c r="AO1666" i="1" s="1"/>
  <c r="AM1667" i="1" a="1"/>
  <c r="AM1667" i="1"/>
  <c r="AN1667" i="1"/>
  <c r="AO1667" i="1" s="1"/>
  <c r="AM1668" i="1" a="1"/>
  <c r="AM1668" i="1"/>
  <c r="AN1668" i="1"/>
  <c r="AO1668" i="1" s="1"/>
  <c r="AM1669" i="1" a="1"/>
  <c r="AM1669" i="1" s="1"/>
  <c r="AN1669" i="1"/>
  <c r="AM1670" i="1" a="1"/>
  <c r="AM1670" i="1" s="1"/>
  <c r="AN1670" i="1"/>
  <c r="AO1670" i="1" s="1"/>
  <c r="AM1671" i="1" a="1"/>
  <c r="AM1671" i="1"/>
  <c r="AN1671" i="1"/>
  <c r="AO1671" i="1" s="1"/>
  <c r="AM1672" i="1" a="1"/>
  <c r="AM1672" i="1" s="1"/>
  <c r="AN1672" i="1"/>
  <c r="AO1672" i="1" s="1"/>
  <c r="AM1673" i="1" a="1"/>
  <c r="AM1673" i="1" s="1"/>
  <c r="AN1673" i="1"/>
  <c r="AO1673" i="1" s="1"/>
  <c r="AM1674" i="1" a="1"/>
  <c r="AM1674" i="1" s="1"/>
  <c r="AN1674" i="1"/>
  <c r="AO1674" i="1" s="1"/>
  <c r="AM1675" i="1" a="1"/>
  <c r="AM1675" i="1"/>
  <c r="AN1675" i="1"/>
  <c r="AO1675" i="1" s="1"/>
  <c r="AM1676" i="1" a="1"/>
  <c r="AM1676" i="1" s="1"/>
  <c r="AN1676" i="1"/>
  <c r="AO1676" i="1" s="1"/>
  <c r="AM1677" i="1" a="1"/>
  <c r="AM1677" i="1" s="1"/>
  <c r="AN1677" i="1"/>
  <c r="AM1678" i="1" a="1"/>
  <c r="AM1678" i="1" s="1"/>
  <c r="AN1678" i="1"/>
  <c r="AO1678" i="1" s="1"/>
  <c r="AM1679" i="1" a="1"/>
  <c r="AM1679" i="1"/>
  <c r="AN1679" i="1"/>
  <c r="AO1679" i="1" s="1"/>
  <c r="AM1680" i="1" a="1"/>
  <c r="AM1680" i="1" s="1"/>
  <c r="AN1680" i="1"/>
  <c r="AO1680" i="1" s="1"/>
  <c r="AM1681" i="1" a="1"/>
  <c r="AM1681" i="1" s="1"/>
  <c r="AN1681" i="1"/>
  <c r="AO1681" i="1" s="1"/>
  <c r="AM1682" i="1" a="1"/>
  <c r="AM1682" i="1" s="1"/>
  <c r="AN1682" i="1"/>
  <c r="AM1683" i="1" a="1"/>
  <c r="AM1683" i="1" s="1"/>
  <c r="AN1683" i="1"/>
  <c r="AO1683" i="1" s="1"/>
  <c r="AM1684" i="1" a="1"/>
  <c r="AM1684" i="1" s="1"/>
  <c r="AN1684" i="1"/>
  <c r="AO1684" i="1" s="1"/>
  <c r="AM1685" i="1" a="1"/>
  <c r="AM1685" i="1" s="1"/>
  <c r="AN1685" i="1"/>
  <c r="AO1685" i="1" s="1"/>
  <c r="AM1686" i="1" a="1"/>
  <c r="AM1686" i="1" s="1"/>
  <c r="AN1686" i="1"/>
  <c r="AO1686" i="1" s="1"/>
  <c r="AM1687" i="1" a="1"/>
  <c r="AM1687" i="1"/>
  <c r="AN1687" i="1"/>
  <c r="AO1687" i="1" s="1"/>
  <c r="AM1688" i="1" a="1"/>
  <c r="AM1688" i="1" s="1"/>
  <c r="AN1688" i="1"/>
  <c r="AO1688" i="1" s="1"/>
  <c r="AM1689" i="1" a="1"/>
  <c r="AM1689" i="1" s="1"/>
  <c r="AN1689" i="1"/>
  <c r="AM1690" i="1" a="1"/>
  <c r="AM1690" i="1" s="1"/>
  <c r="AN1690" i="1"/>
  <c r="AO1690" i="1" s="1"/>
  <c r="AM1691" i="1" a="1"/>
  <c r="AM1691" i="1"/>
  <c r="AN1691" i="1"/>
  <c r="AO1691" i="1" s="1"/>
  <c r="AM1692" i="1" a="1"/>
  <c r="AM1692" i="1"/>
  <c r="AN1692" i="1"/>
  <c r="AO1692" i="1" s="1"/>
  <c r="AM1693" i="1" a="1"/>
  <c r="AM1693" i="1" s="1"/>
  <c r="AN1693" i="1"/>
  <c r="AO1693" i="1" s="1"/>
  <c r="AM1694" i="1" a="1"/>
  <c r="AM1694" i="1" s="1"/>
  <c r="AN1694" i="1"/>
  <c r="AO1694" i="1" s="1"/>
  <c r="AM1695" i="1" a="1"/>
  <c r="AM1695" i="1"/>
  <c r="AN1695" i="1"/>
  <c r="AM1696" i="1" a="1"/>
  <c r="AM1696" i="1" s="1"/>
  <c r="AN1696" i="1"/>
  <c r="AO1696" i="1" s="1"/>
  <c r="AM1697" i="1" a="1"/>
  <c r="AM1697" i="1" s="1"/>
  <c r="AN1697" i="1"/>
  <c r="AO1697" i="1" s="1"/>
  <c r="AM1698" i="1" a="1"/>
  <c r="AM1698" i="1" s="1"/>
  <c r="AN1698" i="1"/>
  <c r="AO1698" i="1" s="1"/>
  <c r="AM1699" i="1" a="1"/>
  <c r="AM1699" i="1"/>
  <c r="AN1699" i="1"/>
  <c r="AO1699" i="1" s="1"/>
  <c r="AM1700" i="1" a="1"/>
  <c r="AM1700" i="1" s="1"/>
  <c r="AN1700" i="1"/>
  <c r="AO1700" i="1" s="1"/>
  <c r="AM1701" i="1" a="1"/>
  <c r="AM1701" i="1" s="1"/>
  <c r="AN1701" i="1"/>
  <c r="AO1701" i="1" s="1"/>
  <c r="AM1702" i="1" a="1"/>
  <c r="AM1702" i="1" s="1"/>
  <c r="AN1702" i="1"/>
  <c r="AO1702" i="1" s="1"/>
  <c r="AM1703" i="1" a="1"/>
  <c r="AM1703" i="1"/>
  <c r="AN1703" i="1"/>
  <c r="AO1703" i="1" s="1"/>
  <c r="AM1704" i="1" a="1"/>
  <c r="AM1704" i="1" s="1"/>
  <c r="AN1704" i="1"/>
  <c r="AO1704" i="1" s="1"/>
  <c r="AM1705" i="1" a="1"/>
  <c r="AM1705" i="1" s="1"/>
  <c r="AN1705" i="1"/>
  <c r="AO1705" i="1" s="1"/>
  <c r="AM1706" i="1" a="1"/>
  <c r="AM1706" i="1" s="1"/>
  <c r="AN1706" i="1"/>
  <c r="AO1706" i="1" s="1"/>
  <c r="AM1707" i="1" a="1"/>
  <c r="AM1707" i="1" s="1"/>
  <c r="AN1707" i="1"/>
  <c r="AM1708" i="1" a="1"/>
  <c r="AM1708" i="1" s="1"/>
  <c r="AN1708" i="1"/>
  <c r="AO1708" i="1" s="1"/>
  <c r="AM1709" i="1" a="1"/>
  <c r="AM1709" i="1" s="1"/>
  <c r="AN1709" i="1"/>
  <c r="AO1709" i="1" s="1"/>
  <c r="AM1710" i="1" a="1"/>
  <c r="AM1710" i="1" s="1"/>
  <c r="AN1710" i="1"/>
  <c r="AO1710" i="1" s="1"/>
  <c r="AM1711" i="1" a="1"/>
  <c r="AM1711" i="1"/>
  <c r="AN1711" i="1"/>
  <c r="AO1711" i="1" s="1"/>
  <c r="AM1712" i="1" a="1"/>
  <c r="AM1712" i="1" s="1"/>
  <c r="AN1712" i="1"/>
  <c r="AM1713" i="1" a="1"/>
  <c r="AM1713" i="1" s="1"/>
  <c r="AN1713" i="1"/>
  <c r="AO1713" i="1" s="1"/>
  <c r="AM1714" i="1" a="1"/>
  <c r="AM1714" i="1" s="1"/>
  <c r="AN1714" i="1"/>
  <c r="AO1714" i="1" s="1"/>
  <c r="AM1715" i="1" a="1"/>
  <c r="AM1715" i="1"/>
  <c r="AN1715" i="1"/>
  <c r="AO1715" i="1" s="1"/>
  <c r="AM1716" i="1" a="1"/>
  <c r="AM1716" i="1"/>
  <c r="AN1716" i="1"/>
  <c r="AO1716" i="1" s="1"/>
  <c r="AM1717" i="1" a="1"/>
  <c r="AM1717" i="1" s="1"/>
  <c r="AN1717" i="1"/>
  <c r="AO1717" i="1" s="1"/>
  <c r="AM1718" i="1" a="1"/>
  <c r="AM1718" i="1" s="1"/>
  <c r="AN1718" i="1"/>
  <c r="AO1718" i="1" s="1"/>
  <c r="AM1719" i="1" a="1"/>
  <c r="AM1719" i="1"/>
  <c r="AN1719" i="1"/>
  <c r="AO1719" i="1" s="1"/>
  <c r="AM1720" i="1" a="1"/>
  <c r="AM1720" i="1" s="1"/>
  <c r="AN1720" i="1"/>
  <c r="AO1720" i="1" s="1"/>
  <c r="AM1721" i="1" a="1"/>
  <c r="AM1721" i="1" s="1"/>
  <c r="AN1721" i="1"/>
  <c r="AO1721" i="1" s="1"/>
  <c r="AM1722" i="1" a="1"/>
  <c r="AM1722" i="1" s="1"/>
  <c r="AN1722" i="1"/>
  <c r="AO1722" i="1" s="1"/>
  <c r="AM1723" i="1" a="1"/>
  <c r="AM1723" i="1"/>
  <c r="AN1723" i="1"/>
  <c r="AO1723" i="1" s="1"/>
  <c r="AM1724" i="1" a="1"/>
  <c r="AM1724" i="1" s="1"/>
  <c r="AN1724" i="1"/>
  <c r="AO1724" i="1" s="1"/>
  <c r="AM1725" i="1" a="1"/>
  <c r="AM1725" i="1" s="1"/>
  <c r="AN1725" i="1"/>
  <c r="AM1726" i="1" a="1"/>
  <c r="AM1726" i="1" s="1"/>
  <c r="AN1726" i="1"/>
  <c r="AO1726" i="1" s="1"/>
  <c r="AM1727" i="1" a="1"/>
  <c r="AM1727" i="1"/>
  <c r="AN1727" i="1"/>
  <c r="AO1727" i="1" s="1"/>
  <c r="AM1728" i="1" a="1"/>
  <c r="AM1728" i="1" s="1"/>
  <c r="AN1728" i="1"/>
  <c r="AO1728" i="1" s="1"/>
  <c r="AM1729" i="1" a="1"/>
  <c r="AM1729" i="1" s="1"/>
  <c r="AN1729" i="1"/>
  <c r="AO1729" i="1" s="1"/>
  <c r="AM1730" i="1" a="1"/>
  <c r="AM1730" i="1" s="1"/>
  <c r="AN1730" i="1"/>
  <c r="AO1730" i="1" s="1"/>
  <c r="AM1731" i="1" a="1"/>
  <c r="AM1731" i="1" s="1"/>
  <c r="AN1731" i="1"/>
  <c r="AO1731" i="1" s="1"/>
  <c r="AM1732" i="1" a="1"/>
  <c r="AM1732" i="1" s="1"/>
  <c r="AN1732" i="1"/>
  <c r="AM1733" i="1" a="1"/>
  <c r="AM1733" i="1" s="1"/>
  <c r="AN1733" i="1"/>
  <c r="AO1733" i="1" s="1"/>
  <c r="AM1734" i="1" a="1"/>
  <c r="AM1734" i="1" s="1"/>
  <c r="AN1734" i="1"/>
  <c r="AO1734" i="1" s="1"/>
  <c r="AM1735" i="1" a="1"/>
  <c r="AM1735" i="1"/>
  <c r="AN1735" i="1"/>
  <c r="AO1735" i="1" s="1"/>
  <c r="AM1736" i="1" a="1"/>
  <c r="AM1736" i="1" s="1"/>
  <c r="AN1736" i="1"/>
  <c r="AO1736" i="1" s="1"/>
  <c r="AM1737" i="1" a="1"/>
  <c r="AM1737" i="1" s="1"/>
  <c r="AN1737" i="1"/>
  <c r="AO1737" i="1" s="1"/>
  <c r="AM1738" i="1" a="1"/>
  <c r="AM1738" i="1" s="1"/>
  <c r="AN1738" i="1"/>
  <c r="AO1738" i="1" s="1"/>
  <c r="AM1739" i="1" a="1"/>
  <c r="AM1739" i="1"/>
  <c r="AN1739" i="1"/>
  <c r="AO1739" i="1" s="1"/>
  <c r="AM1740" i="1" a="1"/>
  <c r="AM1740" i="1"/>
  <c r="AN1740" i="1"/>
  <c r="AO1740" i="1" s="1"/>
  <c r="AM1741" i="1" a="1"/>
  <c r="AM1741" i="1" s="1"/>
  <c r="AN1741" i="1"/>
  <c r="AO1741" i="1" s="1"/>
  <c r="AM1742" i="1" a="1"/>
  <c r="AM1742" i="1" s="1"/>
  <c r="AN1742" i="1"/>
  <c r="AO1742" i="1" s="1"/>
  <c r="AM1743" i="1" a="1"/>
  <c r="AM1743" i="1"/>
  <c r="AN1743" i="1"/>
  <c r="AM1744" i="1" a="1"/>
  <c r="AM1744" i="1" s="1"/>
  <c r="AN1744" i="1"/>
  <c r="AO1744" i="1" s="1"/>
  <c r="AM1745" i="1" a="1"/>
  <c r="AM1745" i="1" s="1"/>
  <c r="AN1745" i="1"/>
  <c r="AO1745" i="1" s="1"/>
  <c r="AM1746" i="1" a="1"/>
  <c r="AM1746" i="1" s="1"/>
  <c r="AN1746" i="1"/>
  <c r="AO1746" i="1" s="1"/>
  <c r="AM1747" i="1" a="1"/>
  <c r="AM1747" i="1"/>
  <c r="AN1747" i="1"/>
  <c r="AO1747" i="1" s="1"/>
  <c r="AM1748" i="1" a="1"/>
  <c r="AM1748" i="1" s="1"/>
  <c r="AN1748" i="1"/>
  <c r="AO1748" i="1" s="1"/>
  <c r="AM1749" i="1" a="1"/>
  <c r="AM1749" i="1" s="1"/>
  <c r="AN1749" i="1"/>
  <c r="AM1750" i="1" a="1"/>
  <c r="AM1750" i="1" s="1"/>
  <c r="AN1750" i="1"/>
  <c r="AO1750" i="1" s="1"/>
  <c r="AM1751" i="1" a="1"/>
  <c r="AM1751" i="1"/>
  <c r="AN1751" i="1"/>
  <c r="AO1751" i="1" s="1"/>
  <c r="AM1752" i="1" a="1"/>
  <c r="AM1752" i="1" s="1"/>
  <c r="AN1752" i="1"/>
  <c r="AO1752" i="1" s="1"/>
  <c r="AM1753" i="1" a="1"/>
  <c r="AM1753" i="1" s="1"/>
  <c r="AN1753" i="1"/>
  <c r="AO1753" i="1" s="1"/>
  <c r="AM1754" i="1" a="1"/>
  <c r="AM1754" i="1" s="1"/>
  <c r="AN1754" i="1"/>
  <c r="AM1755" i="1" a="1"/>
  <c r="AM1755" i="1" s="1"/>
  <c r="AN1755" i="1"/>
  <c r="AO1755" i="1" s="1"/>
  <c r="AM1756" i="1" a="1"/>
  <c r="AM1756" i="1" s="1"/>
  <c r="AN1756" i="1"/>
  <c r="AO1756" i="1" s="1"/>
  <c r="AM1757" i="1" a="1"/>
  <c r="AM1757" i="1" s="1"/>
  <c r="AN1757" i="1"/>
  <c r="AO1757" i="1" s="1"/>
  <c r="AM1758" i="1" a="1"/>
  <c r="AM1758" i="1" s="1"/>
  <c r="AN1758" i="1"/>
  <c r="AO1758" i="1" s="1"/>
  <c r="AM1759" i="1" a="1"/>
  <c r="AM1759" i="1"/>
  <c r="AN1759" i="1"/>
  <c r="AO1759" i="1" s="1"/>
  <c r="AM1760" i="1" a="1"/>
  <c r="AM1760" i="1" s="1"/>
  <c r="AN1760" i="1"/>
  <c r="AO1760" i="1" s="1"/>
  <c r="AM1761" i="1" a="1"/>
  <c r="AM1761" i="1" s="1"/>
  <c r="AN1761" i="1"/>
  <c r="AO1761" i="1" s="1"/>
  <c r="AM1762" i="1" a="1"/>
  <c r="AM1762" i="1" s="1"/>
  <c r="AN1762" i="1"/>
  <c r="AO1762" i="1" s="1"/>
  <c r="AM1763" i="1" a="1"/>
  <c r="AM1763" i="1"/>
  <c r="AN1763" i="1"/>
  <c r="AO1763" i="1" s="1"/>
  <c r="AM1764" i="1" a="1"/>
  <c r="AM1764" i="1"/>
  <c r="AN1764" i="1"/>
  <c r="AO1764" i="1" s="1"/>
  <c r="AM1765" i="1" a="1"/>
  <c r="AM1765" i="1" s="1"/>
  <c r="AN1765" i="1"/>
  <c r="AO1765" i="1" s="1"/>
  <c r="AM1766" i="1" a="1"/>
  <c r="AM1766" i="1" s="1"/>
  <c r="AN1766" i="1"/>
  <c r="AM1767" i="1" a="1"/>
  <c r="AM1767" i="1"/>
  <c r="AN1767" i="1"/>
  <c r="AO1767" i="1" s="1"/>
  <c r="AM1768" i="1" a="1"/>
  <c r="AM1768" i="1" s="1"/>
  <c r="AN1768" i="1"/>
  <c r="AO1768" i="1" s="1"/>
  <c r="AM1769" i="1" a="1"/>
  <c r="AM1769" i="1" s="1"/>
  <c r="AN1769" i="1"/>
  <c r="AO1769" i="1" s="1"/>
  <c r="AM1770" i="1" a="1"/>
  <c r="AM1770" i="1" s="1"/>
  <c r="AN1770" i="1"/>
  <c r="AO1770" i="1" s="1"/>
  <c r="AM1771" i="1" a="1"/>
  <c r="AM1771" i="1"/>
  <c r="AN1771" i="1"/>
  <c r="AO1771" i="1" s="1"/>
  <c r="AM1772" i="1" a="1"/>
  <c r="AM1772" i="1" s="1"/>
  <c r="AN1772" i="1"/>
  <c r="AO1772" i="1" s="1"/>
  <c r="AM1773" i="1" a="1"/>
  <c r="AM1773" i="1" s="1"/>
  <c r="AN1773" i="1"/>
  <c r="AO1773" i="1" s="1"/>
  <c r="AM1774" i="1" a="1"/>
  <c r="AM1774" i="1" s="1"/>
  <c r="AN1774" i="1"/>
  <c r="AO1774" i="1" s="1"/>
  <c r="AM1775" i="1" a="1"/>
  <c r="AM1775" i="1"/>
  <c r="AN1775" i="1"/>
  <c r="AO1775" i="1" s="1"/>
  <c r="AM1776" i="1" a="1"/>
  <c r="AM1776" i="1" s="1"/>
  <c r="AN1776" i="1"/>
  <c r="AO1776" i="1" s="1"/>
  <c r="AM1777" i="1" a="1"/>
  <c r="AM1777" i="1" s="1"/>
  <c r="AN1777" i="1"/>
  <c r="AO1777" i="1" s="1"/>
  <c r="AM1778" i="1" a="1"/>
  <c r="AM1778" i="1" s="1"/>
  <c r="AN1778" i="1"/>
  <c r="AO1778" i="1" s="1"/>
  <c r="AM1779" i="1" a="1"/>
  <c r="AM1779" i="1" s="1"/>
  <c r="AN1779" i="1"/>
  <c r="AO1779" i="1" s="1"/>
  <c r="AM1780" i="1" a="1"/>
  <c r="AM1780" i="1" s="1"/>
  <c r="AN1780" i="1"/>
  <c r="AO1780" i="1" s="1"/>
  <c r="AM1781" i="1" a="1"/>
  <c r="AM1781" i="1" s="1"/>
  <c r="AN1781" i="1"/>
  <c r="AO1781" i="1" s="1"/>
  <c r="AM1782" i="1" a="1"/>
  <c r="AM1782" i="1" s="1"/>
  <c r="AN1782" i="1"/>
  <c r="AM1783" i="1" a="1"/>
  <c r="AM1783" i="1"/>
  <c r="AN1783" i="1"/>
  <c r="AO1783" i="1" s="1"/>
  <c r="AM1784" i="1" a="1"/>
  <c r="AM1784" i="1" s="1"/>
  <c r="AN1784" i="1"/>
  <c r="AO1784" i="1" s="1"/>
  <c r="AM1785" i="1" a="1"/>
  <c r="AM1785" i="1"/>
  <c r="AN1785" i="1"/>
  <c r="AO1785" i="1" s="1"/>
  <c r="AM1786" i="1" a="1"/>
  <c r="AM1786" i="1" s="1"/>
  <c r="AN1786" i="1"/>
  <c r="AO1786" i="1" s="1"/>
  <c r="AM1787" i="1" a="1"/>
  <c r="AM1787" i="1" s="1"/>
  <c r="AN1787" i="1"/>
  <c r="AO1787" i="1" s="1"/>
  <c r="AM1788" i="1" a="1"/>
  <c r="AM1788" i="1" s="1"/>
  <c r="AN1788" i="1"/>
  <c r="AO1788" i="1" s="1"/>
  <c r="AM1789" i="1" a="1"/>
  <c r="AM1789" i="1" s="1"/>
  <c r="AN1789" i="1"/>
  <c r="AO1789" i="1" s="1"/>
  <c r="AM1790" i="1" a="1"/>
  <c r="AM1790" i="1" s="1"/>
  <c r="AN1790" i="1"/>
  <c r="AO1790" i="1" s="1"/>
  <c r="AM1791" i="1" a="1"/>
  <c r="AM1791" i="1"/>
  <c r="AN1791" i="1"/>
  <c r="AO1791" i="1" s="1"/>
  <c r="AM1792" i="1" a="1"/>
  <c r="AM1792" i="1"/>
  <c r="AN1792" i="1"/>
  <c r="AO1792" i="1" s="1"/>
  <c r="AM1793" i="1" a="1"/>
  <c r="AM1793" i="1"/>
  <c r="AN1793" i="1"/>
  <c r="AM1794" i="1" a="1"/>
  <c r="AM1794" i="1" s="1"/>
  <c r="AN1794" i="1"/>
  <c r="AO1794" i="1" s="1"/>
  <c r="AM1795" i="1" a="1"/>
  <c r="AM1795" i="1" s="1"/>
  <c r="AN1795" i="1"/>
  <c r="AO1795" i="1" s="1"/>
  <c r="AM1796" i="1" a="1"/>
  <c r="AM1796" i="1"/>
  <c r="AN1796" i="1"/>
  <c r="AO1796" i="1" s="1"/>
  <c r="AM1797" i="1" a="1"/>
  <c r="AM1797" i="1" s="1"/>
  <c r="AN1797" i="1"/>
  <c r="AO1797" i="1" s="1"/>
  <c r="AM1798" i="1" a="1"/>
  <c r="AM1798" i="1" s="1"/>
  <c r="AN1798" i="1"/>
  <c r="AO1798" i="1" s="1"/>
  <c r="AM1799" i="1" a="1"/>
  <c r="AM1799" i="1"/>
  <c r="AN1799" i="1"/>
  <c r="AO1799" i="1" s="1"/>
  <c r="AM1800" i="1" a="1"/>
  <c r="AM1800" i="1" s="1"/>
  <c r="AN1800" i="1"/>
  <c r="AO1800" i="1" s="1"/>
  <c r="AM1801" i="1" a="1"/>
  <c r="AM1801" i="1" s="1"/>
  <c r="AN1801" i="1"/>
  <c r="AM1802" i="1" a="1"/>
  <c r="AM1802" i="1" s="1"/>
  <c r="AN1802" i="1"/>
  <c r="AO1802" i="1" s="1"/>
  <c r="AM1803" i="1" a="1"/>
  <c r="AM1803" i="1" s="1"/>
  <c r="AN1803" i="1"/>
  <c r="AO1803" i="1" s="1"/>
  <c r="AM1804" i="1" a="1"/>
  <c r="AM1804" i="1"/>
  <c r="AN1804" i="1"/>
  <c r="AO1804" i="1" s="1"/>
  <c r="AM1805" i="1" a="1"/>
  <c r="AM1805" i="1"/>
  <c r="AN1805" i="1"/>
  <c r="AM1806" i="1" a="1"/>
  <c r="AM1806" i="1" s="1"/>
  <c r="AN1806" i="1"/>
  <c r="AO1806" i="1" s="1"/>
  <c r="AM1807" i="1" a="1"/>
  <c r="AM1807" i="1"/>
  <c r="AN1807" i="1"/>
  <c r="AO1807" i="1" s="1"/>
  <c r="AM1808" i="1" a="1"/>
  <c r="AM1808" i="1" s="1"/>
  <c r="AN1808" i="1"/>
  <c r="AO1808" i="1" s="1"/>
  <c r="AM1809" i="1" a="1"/>
  <c r="AM1809" i="1"/>
  <c r="AN1809" i="1"/>
  <c r="AO1809" i="1" s="1"/>
  <c r="AM1810" i="1" a="1"/>
  <c r="AM1810" i="1" s="1"/>
  <c r="AN1810" i="1"/>
  <c r="AO1810" i="1" s="1"/>
  <c r="AM1811" i="1" a="1"/>
  <c r="AM1811" i="1" s="1"/>
  <c r="AN1811" i="1"/>
  <c r="AO1811" i="1" s="1"/>
  <c r="AM1812" i="1" a="1"/>
  <c r="AM1812" i="1"/>
  <c r="AN1812" i="1"/>
  <c r="AO1812" i="1" s="1"/>
  <c r="AM1813" i="1" a="1"/>
  <c r="AM1813" i="1" s="1"/>
  <c r="AN1813" i="1"/>
  <c r="AO1813" i="1" s="1"/>
  <c r="AM1814" i="1" a="1"/>
  <c r="AM1814" i="1" s="1"/>
  <c r="AN1814" i="1"/>
  <c r="AO1814" i="1" s="1"/>
  <c r="AM1815" i="1" a="1"/>
  <c r="AM1815" i="1"/>
  <c r="AN1815" i="1"/>
  <c r="AO1815" i="1" s="1"/>
  <c r="AM1816" i="1" a="1"/>
  <c r="AM1816" i="1" s="1"/>
  <c r="AN1816" i="1"/>
  <c r="AO1816" i="1" s="1"/>
  <c r="AM1817" i="1" a="1"/>
  <c r="AM1817" i="1"/>
  <c r="AN1817" i="1"/>
  <c r="AM1818" i="1" a="1"/>
  <c r="AM1818" i="1" s="1"/>
  <c r="AN1818" i="1"/>
  <c r="AO1818" i="1" s="1"/>
  <c r="AM1819" i="1" a="1"/>
  <c r="AM1819" i="1" s="1"/>
  <c r="AN1819" i="1"/>
  <c r="AO1819" i="1" s="1"/>
  <c r="AM1820" i="1" a="1"/>
  <c r="AM1820" i="1"/>
  <c r="AN1820" i="1"/>
  <c r="AO1820" i="1" s="1"/>
  <c r="AM1821" i="1" a="1"/>
  <c r="AM1821" i="1" s="1"/>
  <c r="AN1821" i="1"/>
  <c r="AM1822" i="1" a="1"/>
  <c r="AM1822" i="1" s="1"/>
  <c r="AN1822" i="1"/>
  <c r="AO1822" i="1" s="1"/>
  <c r="AM1823" i="1" a="1"/>
  <c r="AM1823" i="1"/>
  <c r="AN1823" i="1"/>
  <c r="AO1823" i="1" s="1"/>
  <c r="AM1824" i="1" a="1"/>
  <c r="AM1824" i="1" s="1"/>
  <c r="AN1824" i="1"/>
  <c r="AO1824" i="1" s="1"/>
  <c r="AM1825" i="1" a="1"/>
  <c r="AM1825" i="1"/>
  <c r="AN1825" i="1"/>
  <c r="AO1825" i="1" s="1"/>
  <c r="AM1826" i="1" a="1"/>
  <c r="AM1826" i="1" s="1"/>
  <c r="AN1826" i="1"/>
  <c r="AO1826" i="1" s="1"/>
  <c r="AM1827" i="1" a="1"/>
  <c r="AM1827" i="1"/>
  <c r="AN1827" i="1"/>
  <c r="AO1827" i="1" s="1"/>
  <c r="AM1828" i="1" a="1"/>
  <c r="AM1828" i="1"/>
  <c r="AN1828" i="1"/>
  <c r="AM1829" i="1" a="1"/>
  <c r="AM1829" i="1" s="1"/>
  <c r="AN1829" i="1"/>
  <c r="AO1829" i="1" s="1"/>
  <c r="AM1830" i="1" a="1"/>
  <c r="AM1830" i="1" s="1"/>
  <c r="AN1830" i="1"/>
  <c r="AO1830" i="1" s="1"/>
  <c r="AM1831" i="1" a="1"/>
  <c r="AM1831" i="1"/>
  <c r="AN1831" i="1"/>
  <c r="AO1831" i="1" s="1"/>
  <c r="AM1832" i="1" a="1"/>
  <c r="AM1832" i="1" s="1"/>
  <c r="AN1832" i="1"/>
  <c r="AM1833" i="1" a="1"/>
  <c r="AM1833" i="1"/>
  <c r="AN1833" i="1"/>
  <c r="AO1833" i="1" s="1"/>
  <c r="AM1834" i="1" a="1"/>
  <c r="AM1834" i="1" s="1"/>
  <c r="AN1834" i="1"/>
  <c r="AO1834" i="1" s="1"/>
  <c r="AM1835" i="1" a="1"/>
  <c r="AM1835" i="1" s="1"/>
  <c r="AN1835" i="1"/>
  <c r="AO1835" i="1" s="1"/>
  <c r="AM1836" i="1" a="1"/>
  <c r="AM1836" i="1" s="1"/>
  <c r="AN1836" i="1"/>
  <c r="AO1836" i="1" s="1"/>
  <c r="AM1837" i="1" a="1"/>
  <c r="AM1837" i="1" s="1"/>
  <c r="AN1837" i="1"/>
  <c r="AO1837" i="1" s="1"/>
  <c r="AM1838" i="1" a="1"/>
  <c r="AM1838" i="1" s="1"/>
  <c r="AN1838" i="1"/>
  <c r="AO1838" i="1" s="1"/>
  <c r="AM1839" i="1" a="1"/>
  <c r="AM1839" i="1"/>
  <c r="AN1839" i="1"/>
  <c r="AO1839" i="1" s="1"/>
  <c r="AM1840" i="1" a="1"/>
  <c r="AM1840" i="1"/>
  <c r="AN1840" i="1"/>
  <c r="AO1840" i="1" s="1"/>
  <c r="AM1841" i="1" a="1"/>
  <c r="AM1841" i="1"/>
  <c r="AN1841" i="1"/>
  <c r="AO1841" i="1" s="1"/>
  <c r="AM1842" i="1" a="1"/>
  <c r="AM1842" i="1" s="1"/>
  <c r="AN1842" i="1"/>
  <c r="AO1842" i="1" s="1"/>
  <c r="AM1843" i="1" a="1"/>
  <c r="AM1843" i="1" s="1"/>
  <c r="AN1843" i="1"/>
  <c r="AO1843" i="1" s="1"/>
  <c r="AM1844" i="1" a="1"/>
  <c r="AM1844" i="1"/>
  <c r="AN1844" i="1"/>
  <c r="AO1844" i="1" s="1"/>
  <c r="AM1845" i="1" a="1"/>
  <c r="AM1845" i="1" s="1"/>
  <c r="AN1845" i="1"/>
  <c r="AO1845" i="1" s="1"/>
  <c r="AM1846" i="1" a="1"/>
  <c r="AM1846" i="1" s="1"/>
  <c r="AN1846" i="1"/>
  <c r="AO1846" i="1" s="1"/>
  <c r="AM1847" i="1" a="1"/>
  <c r="AM1847" i="1"/>
  <c r="AN1847" i="1"/>
  <c r="AO1847" i="1" s="1"/>
  <c r="AM1848" i="1" a="1"/>
  <c r="AM1848" i="1" s="1"/>
  <c r="AN1848" i="1"/>
  <c r="AO1848" i="1" s="1"/>
  <c r="AM1849" i="1" a="1"/>
  <c r="AM1849" i="1" s="1"/>
  <c r="AN1849" i="1"/>
  <c r="AO1849" i="1" s="1"/>
  <c r="AM1850" i="1" a="1"/>
  <c r="AM1850" i="1" s="1"/>
  <c r="AN1850" i="1"/>
  <c r="AO1850" i="1" s="1"/>
  <c r="AM1851" i="1" a="1"/>
  <c r="AM1851" i="1" s="1"/>
  <c r="AN1851" i="1"/>
  <c r="AM1852" i="1" a="1"/>
  <c r="AM1852" i="1"/>
  <c r="AN1852" i="1"/>
  <c r="AO1852" i="1" s="1"/>
  <c r="AM1853" i="1" a="1"/>
  <c r="AM1853" i="1"/>
  <c r="AN1853" i="1"/>
  <c r="AO1853" i="1" s="1"/>
  <c r="AM1854" i="1" a="1"/>
  <c r="AM1854" i="1" s="1"/>
  <c r="AN1854" i="1"/>
  <c r="AO1854" i="1" s="1"/>
  <c r="AM1855" i="1" a="1"/>
  <c r="AM1855" i="1"/>
  <c r="AN1855" i="1"/>
  <c r="AO1855" i="1" s="1"/>
  <c r="AM1856" i="1" a="1"/>
  <c r="AM1856" i="1" s="1"/>
  <c r="AN1856" i="1"/>
  <c r="AO1856" i="1" s="1"/>
  <c r="AM1857" i="1" a="1"/>
  <c r="AM1857" i="1"/>
  <c r="AN1857" i="1"/>
  <c r="AO1857" i="1" s="1"/>
  <c r="AM1858" i="1" a="1"/>
  <c r="AM1858" i="1" s="1"/>
  <c r="AN1858" i="1"/>
  <c r="AO1858" i="1" s="1"/>
  <c r="AM1859" i="1" a="1"/>
  <c r="AM1859" i="1" s="1"/>
  <c r="AN1859" i="1"/>
  <c r="AO1859" i="1" s="1"/>
  <c r="AM1860" i="1" a="1"/>
  <c r="AM1860" i="1"/>
  <c r="AN1860" i="1"/>
  <c r="AO1860" i="1" s="1"/>
  <c r="AM1861" i="1" a="1"/>
  <c r="AM1861" i="1" s="1"/>
  <c r="AN1861" i="1"/>
  <c r="AM1862" i="1" a="1"/>
  <c r="AM1862" i="1" s="1"/>
  <c r="AN1862" i="1"/>
  <c r="AO1862" i="1" s="1"/>
  <c r="AM1863" i="1" a="1"/>
  <c r="AM1863" i="1"/>
  <c r="AN1863" i="1"/>
  <c r="AO1863" i="1" s="1"/>
  <c r="AM1864" i="1" a="1"/>
  <c r="AM1864" i="1" s="1"/>
  <c r="AN1864" i="1"/>
  <c r="AO1864" i="1" s="1"/>
  <c r="AM1865" i="1" a="1"/>
  <c r="AM1865" i="1"/>
  <c r="AN1865" i="1"/>
  <c r="AO1865" i="1" s="1"/>
  <c r="AM1866" i="1" a="1"/>
  <c r="AM1866" i="1" s="1"/>
  <c r="AN1866" i="1"/>
  <c r="AO1866" i="1" s="1"/>
  <c r="AM1867" i="1" a="1"/>
  <c r="AM1867" i="1" s="1"/>
  <c r="AN1867" i="1"/>
  <c r="AO1867" i="1" s="1"/>
  <c r="AM1868" i="1" a="1"/>
  <c r="AM1868" i="1"/>
  <c r="AN1868" i="1"/>
  <c r="AO1868" i="1" s="1"/>
  <c r="AM1869" i="1" a="1"/>
  <c r="AM1869" i="1" s="1"/>
  <c r="AN1869" i="1"/>
  <c r="AO1869" i="1" s="1"/>
  <c r="AM1870" i="1" a="1"/>
  <c r="AM1870" i="1" s="1"/>
  <c r="AN1870" i="1"/>
  <c r="AO1870" i="1" s="1"/>
  <c r="AM1871" i="1" a="1"/>
  <c r="AM1871" i="1"/>
  <c r="AN1871" i="1"/>
  <c r="AM1872" i="1" a="1"/>
  <c r="AM1872" i="1" s="1"/>
  <c r="AN1872" i="1"/>
  <c r="AO1872" i="1" s="1"/>
  <c r="AM1873" i="1" a="1"/>
  <c r="AM1873" i="1"/>
  <c r="AN1873" i="1"/>
  <c r="AO1873" i="1" s="1"/>
  <c r="AM1874" i="1" a="1"/>
  <c r="AM1874" i="1" s="1"/>
  <c r="AN1874" i="1"/>
  <c r="AO1874" i="1" s="1"/>
  <c r="AM1875" i="1" a="1"/>
  <c r="AM1875" i="1"/>
  <c r="AN1875" i="1"/>
  <c r="AO1875" i="1" s="1"/>
  <c r="AM1876" i="1" a="1"/>
  <c r="AM1876" i="1"/>
  <c r="AN1876" i="1"/>
  <c r="AO1876" i="1" s="1"/>
  <c r="AM1877" i="1" a="1"/>
  <c r="AM1877" i="1" s="1"/>
  <c r="AN1877" i="1"/>
  <c r="AO1877" i="1" s="1"/>
  <c r="AM1878" i="1" a="1"/>
  <c r="AM1878" i="1" s="1"/>
  <c r="AN1878" i="1"/>
  <c r="AO1878" i="1" s="1"/>
  <c r="AM1879" i="1" a="1"/>
  <c r="AM1879" i="1"/>
  <c r="AN1879" i="1"/>
  <c r="AO1879" i="1" s="1"/>
  <c r="AM1880" i="1" a="1"/>
  <c r="AM1880" i="1" s="1"/>
  <c r="AN1880" i="1"/>
  <c r="AO1880" i="1" s="1"/>
  <c r="AM1881" i="1" a="1"/>
  <c r="AM1881" i="1"/>
  <c r="AN1881" i="1"/>
  <c r="AO1881" i="1" s="1"/>
  <c r="AM1882" i="1" a="1"/>
  <c r="AM1882" i="1" s="1"/>
  <c r="AN1882" i="1"/>
  <c r="AO1882" i="1" s="1"/>
  <c r="AM1883" i="1" a="1"/>
  <c r="AM1883" i="1" s="1"/>
  <c r="AN1883" i="1"/>
  <c r="AO1883" i="1" s="1"/>
  <c r="AM1884" i="1" a="1"/>
  <c r="AM1884" i="1"/>
  <c r="AN1884" i="1"/>
  <c r="AO1884" i="1" s="1"/>
  <c r="AM1885" i="1" a="1"/>
  <c r="AM1885" i="1" s="1"/>
  <c r="AN1885" i="1"/>
  <c r="AO1885" i="1" s="1"/>
  <c r="AM1886" i="1" a="1"/>
  <c r="AM1886" i="1" s="1"/>
  <c r="AN1886" i="1"/>
  <c r="AO1886" i="1" s="1"/>
  <c r="AM1887" i="1" a="1"/>
  <c r="AM1887" i="1"/>
  <c r="AN1887" i="1"/>
  <c r="AO1887" i="1" s="1"/>
  <c r="AM1888" i="1" a="1"/>
  <c r="AM1888" i="1"/>
  <c r="AN1888" i="1"/>
  <c r="AO1888" i="1" s="1"/>
  <c r="AM1889" i="1" a="1"/>
  <c r="AM1889" i="1"/>
  <c r="AN1889" i="1"/>
  <c r="AO1889" i="1" s="1"/>
  <c r="AM1890" i="1" a="1"/>
  <c r="AM1890" i="1" s="1"/>
  <c r="AN1890" i="1"/>
  <c r="AM1891" i="1" a="1"/>
  <c r="AM1891" i="1" s="1"/>
  <c r="AN1891" i="1"/>
  <c r="AO1891" i="1" s="1"/>
  <c r="AM1892" i="1" a="1"/>
  <c r="AM1892" i="1"/>
  <c r="AN1892" i="1"/>
  <c r="AO1892" i="1" s="1"/>
  <c r="AM1893" i="1" a="1"/>
  <c r="AM1893" i="1" s="1"/>
  <c r="AN1893" i="1"/>
  <c r="AO1893" i="1" s="1"/>
  <c r="AM1894" i="1" a="1"/>
  <c r="AM1894" i="1" s="1"/>
  <c r="AN1894" i="1"/>
  <c r="AO1894" i="1" s="1"/>
  <c r="AM1895" i="1" a="1"/>
  <c r="AM1895" i="1"/>
  <c r="AN1895" i="1"/>
  <c r="AM1896" i="1" a="1"/>
  <c r="AM1896" i="1" s="1"/>
  <c r="AN1896" i="1"/>
  <c r="AO1896" i="1" s="1"/>
  <c r="AM1897" i="1" a="1"/>
  <c r="AM1897" i="1"/>
  <c r="AN1897" i="1"/>
  <c r="AO1897" i="1" s="1"/>
  <c r="AM1898" i="1" a="1"/>
  <c r="AM1898" i="1" s="1"/>
  <c r="AN1898" i="1"/>
  <c r="AO1898" i="1" s="1"/>
  <c r="AM1899" i="1" a="1"/>
  <c r="AM1899" i="1" s="1"/>
  <c r="AN1899" i="1"/>
  <c r="AO1899" i="1" s="1"/>
  <c r="AM1900" i="1" a="1"/>
  <c r="AM1900" i="1"/>
  <c r="AN1900" i="1"/>
  <c r="AO1900" i="1" s="1"/>
  <c r="AM1901" i="1" a="1"/>
  <c r="AM1901" i="1"/>
  <c r="AN1901" i="1"/>
  <c r="AO1901" i="1" s="1"/>
  <c r="AM1902" i="1" a="1"/>
  <c r="AM1902" i="1" s="1"/>
  <c r="AN1902" i="1"/>
  <c r="AO1902" i="1" s="1"/>
  <c r="AM1903" i="1" a="1"/>
  <c r="AM1903" i="1"/>
  <c r="AN1903" i="1"/>
  <c r="AO1903" i="1" s="1"/>
  <c r="AM1904" i="1" a="1"/>
  <c r="AM1904" i="1" s="1"/>
  <c r="AN1904" i="1"/>
  <c r="AO1904" i="1" s="1"/>
  <c r="AM1905" i="1" a="1"/>
  <c r="AM1905" i="1"/>
  <c r="AN1905" i="1"/>
  <c r="AO1905" i="1" s="1"/>
  <c r="AM1906" i="1" a="1"/>
  <c r="AM1906" i="1" s="1"/>
  <c r="AN1906" i="1"/>
  <c r="AO1906" i="1" s="1"/>
  <c r="AM1907" i="1" a="1"/>
  <c r="AM1907" i="1" s="1"/>
  <c r="AN1907" i="1"/>
  <c r="AO1907" i="1" s="1"/>
  <c r="AM1908" i="1" a="1"/>
  <c r="AM1908" i="1"/>
  <c r="AN1908" i="1"/>
  <c r="AO1908" i="1" s="1"/>
  <c r="AM1909" i="1" a="1"/>
  <c r="AM1909" i="1" s="1"/>
  <c r="AN1909" i="1"/>
  <c r="AO1909" i="1" s="1"/>
  <c r="AM1910" i="1" a="1"/>
  <c r="AM1910" i="1" s="1"/>
  <c r="AN1910" i="1"/>
  <c r="AO1910" i="1" s="1"/>
  <c r="AM1911" i="1" a="1"/>
  <c r="AM1911" i="1"/>
  <c r="AN1911" i="1"/>
  <c r="AM1912" i="1" a="1"/>
  <c r="AM1912" i="1" s="1"/>
  <c r="AN1912" i="1"/>
  <c r="AO1912" i="1" s="1"/>
  <c r="AM1913" i="1" a="1"/>
  <c r="AM1913" i="1"/>
  <c r="AN1913" i="1"/>
  <c r="AO1913" i="1" s="1"/>
  <c r="AM1914" i="1" a="1"/>
  <c r="AM1914" i="1" s="1"/>
  <c r="AN1914" i="1"/>
  <c r="AO1914" i="1" s="1"/>
  <c r="AM1915" i="1" a="1"/>
  <c r="AM1915" i="1" s="1"/>
  <c r="AN1915" i="1"/>
  <c r="AO1915" i="1" s="1"/>
  <c r="AM1916" i="1" a="1"/>
  <c r="AM1916" i="1"/>
  <c r="AN1916" i="1"/>
  <c r="AO1916" i="1" s="1"/>
  <c r="AM1917" i="1" a="1"/>
  <c r="AM1917" i="1" s="1"/>
  <c r="AN1917" i="1"/>
  <c r="AO1917" i="1" s="1"/>
  <c r="AM1918" i="1" a="1"/>
  <c r="AM1918" i="1" s="1"/>
  <c r="AN1918" i="1"/>
  <c r="AM1919" i="1" a="1"/>
  <c r="AM1919" i="1"/>
  <c r="AN1919" i="1"/>
  <c r="AO1919" i="1" s="1"/>
  <c r="AM1920" i="1" a="1"/>
  <c r="AM1920" i="1" s="1"/>
  <c r="AN1920" i="1"/>
  <c r="AO1920" i="1" s="1"/>
  <c r="AM1921" i="1" a="1"/>
  <c r="AM1921" i="1"/>
  <c r="AN1921" i="1"/>
  <c r="AO1921" i="1" s="1"/>
  <c r="AM1922" i="1" a="1"/>
  <c r="AM1922" i="1" s="1"/>
  <c r="AN1922" i="1"/>
  <c r="AO1922" i="1" s="1"/>
  <c r="AM1923" i="1" a="1"/>
  <c r="AM1923" i="1"/>
  <c r="AN1923" i="1"/>
  <c r="AM1924" i="1" a="1"/>
  <c r="AM1924" i="1"/>
  <c r="AN1924" i="1"/>
  <c r="AO1924" i="1" s="1"/>
  <c r="AM1925" i="1" a="1"/>
  <c r="AM1925" i="1" s="1"/>
  <c r="AN1925" i="1"/>
  <c r="AO1925" i="1" s="1"/>
  <c r="AM1926" i="1" a="1"/>
  <c r="AM1926" i="1" s="1"/>
  <c r="AN1926" i="1"/>
  <c r="AO1926" i="1" s="1"/>
  <c r="AM1927" i="1" a="1"/>
  <c r="AM1927" i="1"/>
  <c r="AN1927" i="1"/>
  <c r="AO1927" i="1" s="1"/>
  <c r="AM1928" i="1" a="1"/>
  <c r="AM1928" i="1" s="1"/>
  <c r="AN1928" i="1"/>
  <c r="AO1928" i="1" s="1"/>
  <c r="AM1929" i="1" a="1"/>
  <c r="AM1929" i="1"/>
  <c r="AN1929" i="1"/>
  <c r="AO1929" i="1" s="1"/>
  <c r="AM1930" i="1" a="1"/>
  <c r="AM1930" i="1" s="1"/>
  <c r="AN1930" i="1"/>
  <c r="AO1930" i="1" s="1"/>
  <c r="AM1931" i="1" a="1"/>
  <c r="AM1931" i="1" s="1"/>
  <c r="AN1931" i="1"/>
  <c r="AO1931" i="1" s="1"/>
  <c r="AM1932" i="1" a="1"/>
  <c r="AM1932" i="1"/>
  <c r="AN1932" i="1"/>
  <c r="AO1932" i="1" s="1"/>
  <c r="AM1933" i="1" a="1"/>
  <c r="AM1933" i="1" s="1"/>
  <c r="AN1933" i="1"/>
  <c r="AO1933" i="1" s="1"/>
  <c r="AM1934" i="1" a="1"/>
  <c r="AM1934" i="1" s="1"/>
  <c r="AN1934" i="1"/>
  <c r="AO1934" i="1" s="1"/>
  <c r="AM1935" i="1" a="1"/>
  <c r="AM1935" i="1"/>
  <c r="AN1935" i="1"/>
  <c r="AM1936" i="1" a="1"/>
  <c r="AM1936" i="1"/>
  <c r="AN1936" i="1"/>
  <c r="AO1936" i="1" s="1"/>
  <c r="AM1937" i="1" a="1"/>
  <c r="AM1937" i="1"/>
  <c r="AN1937" i="1"/>
  <c r="AO1937" i="1" s="1"/>
  <c r="AM1938" i="1" a="1"/>
  <c r="AM1938" i="1" s="1"/>
  <c r="AN1938" i="1"/>
  <c r="AO1938" i="1" s="1"/>
  <c r="AM1939" i="1" a="1"/>
  <c r="AM1939" i="1" s="1"/>
  <c r="AN1939" i="1"/>
  <c r="AO1939" i="1" s="1"/>
  <c r="AM1940" i="1" a="1"/>
  <c r="AM1940" i="1"/>
  <c r="AN1940" i="1"/>
  <c r="AO1940" i="1" s="1"/>
  <c r="AM1941" i="1" a="1"/>
  <c r="AM1941" i="1" s="1"/>
  <c r="AN1941" i="1"/>
  <c r="AO1941" i="1" s="1"/>
  <c r="AM1942" i="1" a="1"/>
  <c r="AM1942" i="1" s="1"/>
  <c r="AN1942" i="1"/>
  <c r="AO1942" i="1" s="1"/>
  <c r="AM1943" i="1" a="1"/>
  <c r="AM1943" i="1"/>
  <c r="AN1943" i="1"/>
  <c r="AO1943" i="1" s="1"/>
  <c r="AM1944" i="1" a="1"/>
  <c r="AM1944" i="1" s="1"/>
  <c r="AN1944" i="1"/>
  <c r="AO1944" i="1" s="1"/>
  <c r="AM1945" i="1" a="1"/>
  <c r="AM1945" i="1"/>
  <c r="AN1945" i="1"/>
  <c r="AO1945" i="1" s="1"/>
  <c r="AM1946" i="1" a="1"/>
  <c r="AM1946" i="1" s="1"/>
  <c r="AN1946" i="1"/>
  <c r="AM1947" i="1" a="1"/>
  <c r="AM1947" i="1" s="1"/>
  <c r="AN1947" i="1"/>
  <c r="AO1947" i="1" s="1"/>
  <c r="AM1948" i="1" a="1"/>
  <c r="AM1948" i="1"/>
  <c r="AN1948" i="1"/>
  <c r="AO1948" i="1" s="1"/>
  <c r="AM1949" i="1" a="1"/>
  <c r="AM1949" i="1"/>
  <c r="AN1949" i="1"/>
  <c r="AO1949" i="1" s="1"/>
  <c r="AM1950" i="1" a="1"/>
  <c r="AM1950" i="1" s="1"/>
  <c r="AN1950" i="1"/>
  <c r="AO1950" i="1" s="1"/>
  <c r="AM1951" i="1" a="1"/>
  <c r="AM1951" i="1"/>
  <c r="AN1951" i="1"/>
  <c r="AO1951" i="1" s="1"/>
  <c r="AM1952" i="1" a="1"/>
  <c r="AM1952" i="1" s="1"/>
  <c r="AN1952" i="1"/>
  <c r="AO1952" i="1" s="1"/>
  <c r="AM1953" i="1" a="1"/>
  <c r="AM1953" i="1"/>
  <c r="AN1953" i="1"/>
  <c r="AO1953" i="1" s="1"/>
  <c r="AM1954" i="1" a="1"/>
  <c r="AM1954" i="1" s="1"/>
  <c r="AN1954" i="1"/>
  <c r="AO1954" i="1" s="1"/>
  <c r="AM1955" i="1" a="1"/>
  <c r="AM1955" i="1" s="1"/>
  <c r="AN1955" i="1"/>
  <c r="AO1955" i="1" s="1"/>
  <c r="AM1956" i="1" a="1"/>
  <c r="AM1956" i="1"/>
  <c r="AN1956" i="1"/>
  <c r="AO1956" i="1" s="1"/>
  <c r="AM1957" i="1" a="1"/>
  <c r="AM1957" i="1" s="1"/>
  <c r="AN1957" i="1"/>
  <c r="AO1957" i="1" s="1"/>
  <c r="AM1958" i="1" a="1"/>
  <c r="AM1958" i="1" s="1"/>
  <c r="AN1958" i="1"/>
  <c r="AO1958" i="1" s="1"/>
  <c r="AM1959" i="1" a="1"/>
  <c r="AM1959" i="1"/>
  <c r="AN1959" i="1"/>
  <c r="AO1959" i="1" s="1"/>
  <c r="AM1960" i="1" a="1"/>
  <c r="AM1960" i="1" s="1"/>
  <c r="AN1960" i="1"/>
  <c r="AO1960" i="1" s="1"/>
  <c r="AM1961" i="1" a="1"/>
  <c r="AM1961" i="1"/>
  <c r="AN1961" i="1"/>
  <c r="AO1961" i="1" s="1"/>
  <c r="AM1962" i="1" a="1"/>
  <c r="AM1962" i="1" s="1"/>
  <c r="AN1962" i="1"/>
  <c r="AO1962" i="1" s="1"/>
  <c r="AM1963" i="1" a="1"/>
  <c r="AM1963" i="1" s="1"/>
  <c r="AN1963" i="1"/>
  <c r="AO1963" i="1" s="1"/>
  <c r="AM1964" i="1" a="1"/>
  <c r="AM1964" i="1"/>
  <c r="AN1964" i="1"/>
  <c r="AO1964" i="1" s="1"/>
  <c r="AM1965" i="1" a="1"/>
  <c r="AM1965" i="1" s="1"/>
  <c r="AN1965" i="1"/>
  <c r="AO1965" i="1" s="1"/>
  <c r="AM1966" i="1" a="1"/>
  <c r="AM1966" i="1" s="1"/>
  <c r="AN1966" i="1"/>
  <c r="AO1966" i="1" s="1"/>
  <c r="AM1967" i="1" a="1"/>
  <c r="AM1967" i="1"/>
  <c r="AN1967" i="1"/>
  <c r="AO1967" i="1" s="1"/>
  <c r="AM1968" i="1" a="1"/>
  <c r="AM1968" i="1" s="1"/>
  <c r="AN1968" i="1"/>
  <c r="AO1968" i="1" s="1"/>
  <c r="AM1969" i="1" a="1"/>
  <c r="AM1969" i="1"/>
  <c r="AN1969" i="1"/>
  <c r="AM1970" i="1" a="1"/>
  <c r="AM1970" i="1" s="1"/>
  <c r="AN1970" i="1"/>
  <c r="AO1970" i="1" s="1"/>
  <c r="AM1971" i="1" a="1"/>
  <c r="AM1971" i="1"/>
  <c r="AN1971" i="1"/>
  <c r="AO1971" i="1" s="1"/>
  <c r="AM1972" i="1" a="1"/>
  <c r="AM1972" i="1"/>
  <c r="AN1972" i="1"/>
  <c r="AO1972" i="1" s="1"/>
  <c r="AM1973" i="1" a="1"/>
  <c r="AM1973" i="1" s="1"/>
  <c r="AN1973" i="1"/>
  <c r="AO1973" i="1" s="1"/>
  <c r="AM1974" i="1" a="1"/>
  <c r="AM1974" i="1" s="1"/>
  <c r="AN1974" i="1"/>
  <c r="AO1974" i="1" s="1"/>
  <c r="AM1975" i="1" a="1"/>
  <c r="AM1975" i="1"/>
  <c r="AN1975" i="1"/>
  <c r="AO1975" i="1" s="1"/>
  <c r="AM1976" i="1" a="1"/>
  <c r="AM1976" i="1" s="1"/>
  <c r="AN1976" i="1"/>
  <c r="AO1976" i="1" s="1"/>
  <c r="AM1977" i="1" a="1"/>
  <c r="AM1977" i="1"/>
  <c r="AN1977" i="1"/>
  <c r="AO1977" i="1" s="1"/>
  <c r="AM1978" i="1" a="1"/>
  <c r="AM1978" i="1" s="1"/>
  <c r="AN1978" i="1"/>
  <c r="AO1978" i="1" s="1"/>
  <c r="AM1979" i="1" a="1"/>
  <c r="AM1979" i="1" s="1"/>
  <c r="AN1979" i="1"/>
  <c r="AO1979" i="1" s="1"/>
  <c r="AM1980" i="1" a="1"/>
  <c r="AM1980" i="1"/>
  <c r="AN1980" i="1"/>
  <c r="AO1980" i="1" s="1"/>
  <c r="AM1981" i="1" a="1"/>
  <c r="AM1981" i="1" s="1"/>
  <c r="AN1981" i="1"/>
  <c r="AO1981" i="1" s="1"/>
  <c r="AM1982" i="1" a="1"/>
  <c r="AM1982" i="1" s="1"/>
  <c r="AN1982" i="1"/>
  <c r="AO1982" i="1" s="1"/>
  <c r="AM1983" i="1" a="1"/>
  <c r="AM1983" i="1"/>
  <c r="AN1983" i="1"/>
  <c r="AO1983" i="1" s="1"/>
  <c r="AM1984" i="1" a="1"/>
  <c r="AM1984" i="1"/>
  <c r="AN1984" i="1"/>
  <c r="AO1984" i="1" s="1"/>
  <c r="AM1985" i="1" a="1"/>
  <c r="AM1985" i="1"/>
  <c r="AN1985" i="1"/>
  <c r="AO1985" i="1" s="1"/>
  <c r="AM1986" i="1" a="1"/>
  <c r="AM1986" i="1" s="1"/>
  <c r="AN1986" i="1"/>
  <c r="AO1986" i="1" s="1"/>
  <c r="AM1987" i="1" a="1"/>
  <c r="AM1987" i="1" s="1"/>
  <c r="AN1987" i="1"/>
  <c r="AO1987" i="1" s="1"/>
  <c r="AM1988" i="1" a="1"/>
  <c r="AM1988" i="1"/>
  <c r="AN1988" i="1"/>
  <c r="AO1988" i="1" s="1"/>
  <c r="AM1989" i="1" a="1"/>
  <c r="AM1989" i="1" s="1"/>
  <c r="AN1989" i="1"/>
  <c r="AM1990" i="1" a="1"/>
  <c r="AM1990" i="1" s="1"/>
  <c r="AN1990" i="1"/>
  <c r="AO1990" i="1" s="1"/>
  <c r="AM1991" i="1" a="1"/>
  <c r="AM1991" i="1"/>
  <c r="AN1991" i="1"/>
  <c r="AO1991" i="1" s="1"/>
  <c r="AM1992" i="1" a="1"/>
  <c r="AM1992" i="1" s="1"/>
  <c r="AN1992" i="1"/>
  <c r="AO1992" i="1" s="1"/>
  <c r="AM1993" i="1" a="1"/>
  <c r="AM1993" i="1"/>
  <c r="AN1993" i="1"/>
  <c r="AO1993" i="1" s="1"/>
  <c r="AM1994" i="1" a="1"/>
  <c r="AM1994" i="1" s="1"/>
  <c r="AN1994" i="1"/>
  <c r="AO1994" i="1" s="1"/>
  <c r="AM1995" i="1" a="1"/>
  <c r="AM1995" i="1" s="1"/>
  <c r="AN1995" i="1"/>
  <c r="AO1995" i="1" s="1"/>
  <c r="AM1996" i="1" a="1"/>
  <c r="AM1996" i="1"/>
  <c r="AN1996" i="1"/>
  <c r="AO1996" i="1" s="1"/>
  <c r="AM1997" i="1" a="1"/>
  <c r="AM1997" i="1"/>
  <c r="AN1997" i="1"/>
  <c r="AO1997" i="1" s="1"/>
  <c r="AM1998" i="1" a="1"/>
  <c r="AM1998" i="1" s="1"/>
  <c r="AN1998" i="1"/>
  <c r="AO1998" i="1" s="1"/>
  <c r="AM1999" i="1" a="1"/>
  <c r="AM1999" i="1"/>
  <c r="AN1999" i="1"/>
  <c r="AO1999" i="1" s="1"/>
  <c r="AO3" i="1"/>
  <c r="AO4" i="1"/>
  <c r="AO5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4" i="1"/>
  <c r="AO65" i="1"/>
  <c r="AO66" i="1"/>
  <c r="AO67" i="1"/>
  <c r="AO68" i="1"/>
  <c r="AO69" i="1"/>
  <c r="AO70" i="1"/>
  <c r="AO71" i="1"/>
  <c r="AO72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8" i="1"/>
  <c r="AO99" i="1"/>
  <c r="AO100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2" i="1"/>
  <c r="AO123" i="1"/>
  <c r="AO124" i="1"/>
  <c r="AO125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70" i="1"/>
  <c r="AO171" i="1"/>
  <c r="AO172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9" i="1"/>
  <c r="AO190" i="1"/>
  <c r="AO191" i="1"/>
  <c r="AO192" i="1"/>
  <c r="AO194" i="1"/>
  <c r="AO195" i="1"/>
  <c r="AO196" i="1"/>
  <c r="AO197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8" i="1"/>
  <c r="AO219" i="1"/>
  <c r="AO220" i="1"/>
  <c r="AO221" i="1"/>
  <c r="AO222" i="1"/>
  <c r="AO223" i="1"/>
  <c r="AO224" i="1"/>
  <c r="AO225" i="1"/>
  <c r="AO226" i="1"/>
  <c r="AO227" i="1"/>
  <c r="AO229" i="1"/>
  <c r="AO230" i="1"/>
  <c r="AO231" i="1"/>
  <c r="AO232" i="1"/>
  <c r="AO233" i="1"/>
  <c r="AO234" i="1"/>
  <c r="AO235" i="1"/>
  <c r="AO236" i="1"/>
  <c r="AO237" i="1"/>
  <c r="AO238" i="1"/>
  <c r="AO241" i="1"/>
  <c r="AO242" i="1"/>
  <c r="AO243" i="1"/>
  <c r="AO244" i="1"/>
  <c r="AO245" i="1"/>
  <c r="AO246" i="1"/>
  <c r="AO247" i="1"/>
  <c r="AO248" i="1"/>
  <c r="AO249" i="1"/>
  <c r="AO250" i="1"/>
  <c r="AO251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6" i="1"/>
  <c r="AO267" i="1"/>
  <c r="AO268" i="1"/>
  <c r="AO269" i="1"/>
  <c r="AO270" i="1"/>
  <c r="AO271" i="1"/>
  <c r="AO272" i="1"/>
  <c r="AO273" i="1"/>
  <c r="AO275" i="1"/>
  <c r="AO277" i="1"/>
  <c r="AO279" i="1"/>
  <c r="AO280" i="1"/>
  <c r="AO281" i="1"/>
  <c r="AO282" i="1"/>
  <c r="AO283" i="1"/>
  <c r="AO284" i="1"/>
  <c r="AO285" i="1"/>
  <c r="AO286" i="1"/>
  <c r="AO287" i="1"/>
  <c r="AO289" i="1"/>
  <c r="AO290" i="1"/>
  <c r="AO291" i="1"/>
  <c r="AO292" i="1"/>
  <c r="AO293" i="1"/>
  <c r="AO294" i="1"/>
  <c r="AO295" i="1"/>
  <c r="AO296" i="1"/>
  <c r="AO297" i="1"/>
  <c r="AO298" i="1"/>
  <c r="AO299" i="1"/>
  <c r="AO301" i="1"/>
  <c r="AO302" i="1"/>
  <c r="AO303" i="1"/>
  <c r="AO304" i="1"/>
  <c r="AO306" i="1"/>
  <c r="AO307" i="1"/>
  <c r="AO308" i="1"/>
  <c r="AO309" i="1"/>
  <c r="AO310" i="1"/>
  <c r="AO312" i="1"/>
  <c r="AO313" i="1"/>
  <c r="AO314" i="1"/>
  <c r="AO315" i="1"/>
  <c r="AO316" i="1"/>
  <c r="AO317" i="1"/>
  <c r="AO318" i="1"/>
  <c r="AO320" i="1"/>
  <c r="AO321" i="1"/>
  <c r="AO322" i="1"/>
  <c r="AO323" i="1"/>
  <c r="AO325" i="1"/>
  <c r="AO326" i="1"/>
  <c r="AO327" i="1"/>
  <c r="AO328" i="1"/>
  <c r="AO330" i="1"/>
  <c r="AO331" i="1"/>
  <c r="AO332" i="1"/>
  <c r="AO333" i="1"/>
  <c r="AO334" i="1"/>
  <c r="AO335" i="1"/>
  <c r="AO337" i="1"/>
  <c r="AO338" i="1"/>
  <c r="AO339" i="1"/>
  <c r="AO340" i="1"/>
  <c r="AO341" i="1"/>
  <c r="AO343" i="1"/>
  <c r="AO344" i="1"/>
  <c r="AO345" i="1"/>
  <c r="AO346" i="1"/>
  <c r="AO347" i="1"/>
  <c r="AO349" i="1"/>
  <c r="AO350" i="1"/>
  <c r="AO351" i="1"/>
  <c r="AO353" i="1"/>
  <c r="AO355" i="1"/>
  <c r="AO356" i="1"/>
  <c r="AO357" i="1"/>
  <c r="AO358" i="1"/>
  <c r="AO359" i="1"/>
  <c r="AO361" i="1"/>
  <c r="AO362" i="1"/>
  <c r="AO363" i="1"/>
  <c r="AO364" i="1"/>
  <c r="AO366" i="1"/>
  <c r="AO367" i="1"/>
  <c r="AO370" i="1"/>
  <c r="AO371" i="1"/>
  <c r="AO373" i="1"/>
  <c r="AO374" i="1"/>
  <c r="AO375" i="1"/>
  <c r="AO376" i="1"/>
  <c r="AO377" i="1"/>
  <c r="AO378" i="1"/>
  <c r="AO379" i="1"/>
  <c r="AO380" i="1"/>
  <c r="AO382" i="1"/>
  <c r="AO383" i="1"/>
  <c r="AO385" i="1"/>
  <c r="AO386" i="1"/>
  <c r="AO387" i="1"/>
  <c r="AO388" i="1"/>
  <c r="AO389" i="1"/>
  <c r="AO390" i="1"/>
  <c r="AO392" i="1"/>
  <c r="AO395" i="1"/>
  <c r="AO397" i="1"/>
  <c r="AO398" i="1"/>
  <c r="AO400" i="1"/>
  <c r="AO401" i="1"/>
  <c r="AO402" i="1"/>
  <c r="AO403" i="1"/>
  <c r="AO404" i="1"/>
  <c r="AO405" i="1"/>
  <c r="AO406" i="1"/>
  <c r="AO410" i="1"/>
  <c r="AO412" i="1"/>
  <c r="AO413" i="1"/>
  <c r="AO416" i="1"/>
  <c r="AO417" i="1"/>
  <c r="AO422" i="1"/>
  <c r="AO424" i="1"/>
  <c r="AO425" i="1"/>
  <c r="AO426" i="1"/>
  <c r="AO428" i="1"/>
  <c r="AO430" i="1"/>
  <c r="AO433" i="1"/>
  <c r="AO438" i="1"/>
  <c r="AO440" i="1"/>
  <c r="AO441" i="1"/>
  <c r="AO442" i="1"/>
  <c r="AO443" i="1"/>
  <c r="AO446" i="1"/>
  <c r="AO448" i="1"/>
  <c r="AO449" i="1"/>
  <c r="AO450" i="1"/>
  <c r="AO452" i="1"/>
  <c r="AO454" i="1"/>
  <c r="AO455" i="1"/>
  <c r="AO457" i="1"/>
  <c r="AO458" i="1"/>
  <c r="AO459" i="1"/>
  <c r="AO462" i="1"/>
  <c r="AO463" i="1"/>
  <c r="AO464" i="1"/>
  <c r="AO466" i="1"/>
  <c r="AO467" i="1"/>
  <c r="AO471" i="1"/>
  <c r="AO472" i="1"/>
  <c r="AO474" i="1"/>
  <c r="AO475" i="1"/>
  <c r="AO477" i="1"/>
  <c r="AO481" i="1"/>
  <c r="AO483" i="1"/>
  <c r="AO484" i="1"/>
  <c r="AO485" i="1"/>
  <c r="AO488" i="1"/>
  <c r="AO489" i="1"/>
  <c r="AO490" i="1"/>
  <c r="AO493" i="1"/>
  <c r="AO496" i="1"/>
  <c r="AO497" i="1"/>
  <c r="AO498" i="1"/>
  <c r="AO500" i="1"/>
  <c r="AO501" i="1"/>
  <c r="AO502" i="1"/>
  <c r="AO505" i="1"/>
  <c r="AO506" i="1"/>
  <c r="AO509" i="1"/>
  <c r="AO510" i="1"/>
  <c r="AO511" i="1"/>
  <c r="AO513" i="1"/>
  <c r="AO514" i="1"/>
  <c r="AO515" i="1"/>
  <c r="AO518" i="1"/>
  <c r="AO519" i="1"/>
  <c r="AO524" i="1"/>
  <c r="AO527" i="1"/>
  <c r="AO529" i="1"/>
  <c r="AO531" i="1"/>
  <c r="AO532" i="1"/>
  <c r="AO533" i="1"/>
  <c r="AO534" i="1"/>
  <c r="AO535" i="1"/>
  <c r="AO541" i="1"/>
  <c r="AO542" i="1"/>
  <c r="AO544" i="1"/>
  <c r="AO545" i="1"/>
  <c r="AO546" i="1"/>
  <c r="AO547" i="1"/>
  <c r="AO548" i="1"/>
  <c r="AO549" i="1"/>
  <c r="AO553" i="1"/>
  <c r="AO554" i="1"/>
  <c r="AO557" i="1"/>
  <c r="AO558" i="1"/>
  <c r="AO559" i="1"/>
  <c r="AO560" i="1"/>
  <c r="AO561" i="1"/>
  <c r="AO562" i="1"/>
  <c r="AO563" i="1"/>
  <c r="AO567" i="1"/>
  <c r="AO568" i="1"/>
  <c r="AO571" i="1"/>
  <c r="AO573" i="1"/>
  <c r="AO575" i="1"/>
  <c r="AO577" i="1"/>
  <c r="AO579" i="1"/>
  <c r="AO581" i="1"/>
  <c r="AO582" i="1"/>
  <c r="AO583" i="1"/>
  <c r="AO584" i="1"/>
  <c r="AO586" i="1"/>
  <c r="AO590" i="1"/>
  <c r="AO592" i="1"/>
  <c r="AO593" i="1"/>
  <c r="AO595" i="1"/>
  <c r="AO596" i="1"/>
  <c r="AO597" i="1"/>
  <c r="AO598" i="1"/>
  <c r="AO599" i="1"/>
  <c r="AO602" i="1"/>
  <c r="AO603" i="1"/>
  <c r="AO605" i="1"/>
  <c r="AO607" i="1"/>
  <c r="AO609" i="1"/>
  <c r="AO610" i="1"/>
  <c r="AO611" i="1"/>
  <c r="AO614" i="1"/>
  <c r="AO615" i="1"/>
  <c r="AO618" i="1"/>
  <c r="AO619" i="1"/>
  <c r="AO620" i="1"/>
  <c r="AO621" i="1"/>
  <c r="AO625" i="1"/>
  <c r="AO626" i="1"/>
  <c r="AO627" i="1"/>
  <c r="AO628" i="1"/>
  <c r="AO629" i="1"/>
  <c r="AO631" i="1"/>
  <c r="AO633" i="1"/>
  <c r="AO634" i="1"/>
  <c r="AO638" i="1"/>
  <c r="AO641" i="1"/>
  <c r="AO642" i="1"/>
  <c r="AO644" i="1"/>
  <c r="AO645" i="1"/>
  <c r="AO646" i="1"/>
  <c r="AO649" i="1"/>
  <c r="AO650" i="1"/>
  <c r="AO653" i="1"/>
  <c r="AO654" i="1"/>
  <c r="AO655" i="1"/>
  <c r="AO658" i="1"/>
  <c r="AO659" i="1"/>
  <c r="AO662" i="1"/>
  <c r="AO664" i="1"/>
  <c r="AO666" i="1"/>
  <c r="AO667" i="1"/>
  <c r="AO668" i="1"/>
  <c r="AO671" i="1"/>
  <c r="AO673" i="1"/>
  <c r="AO675" i="1"/>
  <c r="AO676" i="1"/>
  <c r="AO677" i="1"/>
  <c r="AO680" i="1"/>
  <c r="AO681" i="1"/>
  <c r="AO685" i="1"/>
  <c r="AO686" i="1"/>
  <c r="AO688" i="1"/>
  <c r="AO689" i="1"/>
  <c r="AO691" i="1"/>
  <c r="AO692" i="1"/>
  <c r="AO697" i="1"/>
  <c r="AO698" i="1"/>
  <c r="AO699" i="1"/>
  <c r="AO700" i="1"/>
  <c r="AO701" i="1"/>
  <c r="AO702" i="1"/>
  <c r="AO703" i="1"/>
  <c r="AO704" i="1"/>
  <c r="AO705" i="1"/>
  <c r="AO710" i="1"/>
  <c r="AO712" i="1"/>
  <c r="AO714" i="1"/>
  <c r="AO715" i="1"/>
  <c r="AO716" i="1"/>
  <c r="AO717" i="1"/>
  <c r="AO718" i="1"/>
  <c r="AO719" i="1"/>
  <c r="AO721" i="1"/>
  <c r="AO724" i="1"/>
  <c r="AO727" i="1"/>
  <c r="AO728" i="1"/>
  <c r="AO729" i="1"/>
  <c r="AO730" i="1"/>
  <c r="AO731" i="1"/>
  <c r="AO733" i="1"/>
  <c r="AO734" i="1"/>
  <c r="AO736" i="1"/>
  <c r="AO738" i="1"/>
  <c r="AO739" i="1"/>
  <c r="AO740" i="1"/>
  <c r="AO742" i="1"/>
  <c r="AO743" i="1"/>
  <c r="AO745" i="1"/>
  <c r="AO746" i="1"/>
  <c r="AO747" i="1"/>
  <c r="AO749" i="1"/>
  <c r="AO750" i="1"/>
  <c r="AO752" i="1"/>
  <c r="AO753" i="1"/>
  <c r="AO754" i="1"/>
  <c r="AO755" i="1"/>
  <c r="AO758" i="1"/>
  <c r="AO760" i="1"/>
  <c r="AO762" i="1"/>
  <c r="AO763" i="1"/>
  <c r="AO764" i="1"/>
  <c r="AO766" i="1"/>
  <c r="AO767" i="1"/>
  <c r="AO769" i="1"/>
  <c r="AO770" i="1"/>
  <c r="AO771" i="1"/>
  <c r="AO773" i="1"/>
  <c r="AO775" i="1"/>
  <c r="AO777" i="1"/>
  <c r="AO778" i="1"/>
  <c r="AO781" i="1"/>
  <c r="AO782" i="1"/>
  <c r="AO783" i="1"/>
  <c r="AO784" i="1"/>
  <c r="AO785" i="1"/>
  <c r="AO786" i="1"/>
  <c r="AO789" i="1"/>
  <c r="AO790" i="1"/>
  <c r="AO791" i="1"/>
  <c r="AO793" i="1"/>
  <c r="AO795" i="1"/>
  <c r="AO796" i="1"/>
  <c r="AO797" i="1"/>
  <c r="AO798" i="1"/>
  <c r="AO799" i="1"/>
  <c r="AO801" i="1"/>
  <c r="AO802" i="1"/>
  <c r="AO805" i="1"/>
  <c r="AO806" i="1"/>
  <c r="AO807" i="1"/>
  <c r="AO811" i="1"/>
  <c r="AO812" i="1"/>
  <c r="AO814" i="1"/>
  <c r="AO815" i="1"/>
  <c r="AO817" i="1"/>
  <c r="AO820" i="1"/>
  <c r="AO821" i="1"/>
  <c r="AO823" i="1"/>
  <c r="AO824" i="1"/>
  <c r="AO825" i="1"/>
  <c r="AO827" i="1"/>
  <c r="AO829" i="1"/>
  <c r="AO830" i="1"/>
  <c r="AO831" i="1"/>
  <c r="AO832" i="1"/>
  <c r="AO833" i="1"/>
  <c r="AO835" i="1"/>
  <c r="AO837" i="1"/>
  <c r="AO838" i="1"/>
  <c r="AO841" i="1"/>
  <c r="AO842" i="1"/>
  <c r="AO843" i="1"/>
  <c r="AO846" i="1"/>
  <c r="AO847" i="1"/>
  <c r="AO848" i="1"/>
  <c r="AO851" i="1"/>
  <c r="AO854" i="1"/>
  <c r="AO855" i="1"/>
  <c r="AO856" i="1"/>
  <c r="AO857" i="1"/>
  <c r="AO858" i="1"/>
  <c r="AO861" i="1"/>
  <c r="AO862" i="1"/>
  <c r="AO863" i="1"/>
  <c r="AO868" i="1"/>
  <c r="AO870" i="1"/>
  <c r="AO871" i="1"/>
  <c r="AO872" i="1"/>
  <c r="AO873" i="1"/>
  <c r="AO874" i="1"/>
  <c r="AO875" i="1"/>
  <c r="AO878" i="1"/>
  <c r="AO881" i="1"/>
  <c r="AO884" i="1"/>
  <c r="AO885" i="1"/>
  <c r="AO886" i="1"/>
  <c r="AO887" i="1"/>
  <c r="AO889" i="1"/>
  <c r="AO890" i="1"/>
  <c r="AO891" i="1"/>
  <c r="AO893" i="1"/>
  <c r="AO896" i="1"/>
  <c r="AO898" i="1"/>
  <c r="AO899" i="1"/>
  <c r="AO901" i="1"/>
  <c r="AO902" i="1"/>
  <c r="AO903" i="1"/>
  <c r="AO904" i="1"/>
  <c r="AO906" i="1"/>
  <c r="AO907" i="1"/>
  <c r="AO909" i="1"/>
  <c r="AO910" i="1"/>
  <c r="AO911" i="1"/>
  <c r="AO914" i="1"/>
  <c r="AO915" i="1"/>
  <c r="AO916" i="1"/>
  <c r="AO917" i="1"/>
  <c r="AO920" i="1"/>
  <c r="AO921" i="1"/>
  <c r="AO923" i="1"/>
  <c r="AO925" i="1"/>
  <c r="AO926" i="1"/>
  <c r="AO927" i="1"/>
  <c r="AO930" i="1"/>
  <c r="AO932" i="1"/>
  <c r="AO933" i="1"/>
  <c r="AO934" i="1"/>
  <c r="AO935" i="1"/>
  <c r="AO938" i="1"/>
  <c r="AO939" i="1"/>
  <c r="AO942" i="1"/>
  <c r="AO946" i="1"/>
  <c r="AO947" i="1"/>
  <c r="AO949" i="1"/>
  <c r="AO952" i="1"/>
  <c r="AO953" i="1"/>
  <c r="AO954" i="1"/>
  <c r="AO955" i="1"/>
  <c r="AO958" i="1"/>
  <c r="AO961" i="1"/>
  <c r="AO964" i="1"/>
  <c r="AO966" i="1"/>
  <c r="AO967" i="1"/>
  <c r="AO968" i="1"/>
  <c r="AO969" i="1"/>
  <c r="AO973" i="1"/>
  <c r="AO974" i="1"/>
  <c r="AO977" i="1"/>
  <c r="AO978" i="1"/>
  <c r="AO981" i="1"/>
  <c r="AO982" i="1"/>
  <c r="AO985" i="1"/>
  <c r="AO986" i="1"/>
  <c r="AO987" i="1"/>
  <c r="AO988" i="1"/>
  <c r="AO991" i="1"/>
  <c r="AO992" i="1"/>
  <c r="AO994" i="1"/>
  <c r="AO995" i="1"/>
  <c r="AO999" i="1"/>
  <c r="AO1000" i="1"/>
  <c r="AO1001" i="1"/>
  <c r="AO1003" i="1"/>
  <c r="AO1004" i="1"/>
  <c r="AO1006" i="1"/>
  <c r="AO1011" i="1"/>
  <c r="AO1012" i="1"/>
  <c r="AO1013" i="1"/>
  <c r="AO1015" i="1"/>
  <c r="AO1016" i="1"/>
  <c r="AO1017" i="1"/>
  <c r="AO1018" i="1"/>
  <c r="AO1019" i="1"/>
  <c r="AO1024" i="1"/>
  <c r="AO1025" i="1"/>
  <c r="AO1026" i="1"/>
  <c r="AO1029" i="1"/>
  <c r="AO1033" i="1"/>
  <c r="AO1034" i="1"/>
  <c r="AO1039" i="1"/>
  <c r="AO1040" i="1"/>
  <c r="AO1042" i="1"/>
  <c r="AO1043" i="1"/>
  <c r="AO1048" i="1"/>
  <c r="AO1052" i="1"/>
  <c r="AO1054" i="1"/>
  <c r="AO1058" i="1"/>
  <c r="AO1059" i="1"/>
  <c r="AO1071" i="1"/>
  <c r="AO1076" i="1"/>
  <c r="AO1077" i="1"/>
  <c r="AO1086" i="1"/>
  <c r="AO1093" i="1"/>
  <c r="AO1100" i="1"/>
  <c r="AO1109" i="1"/>
  <c r="AO1111" i="1"/>
  <c r="AO1113" i="1"/>
  <c r="AO1125" i="1"/>
  <c r="AO1132" i="1"/>
  <c r="AO1142" i="1"/>
  <c r="AO1148" i="1"/>
  <c r="AO1156" i="1"/>
  <c r="AO1163" i="1"/>
  <c r="AO1171" i="1"/>
  <c r="AO1173" i="1"/>
  <c r="AO1182" i="1"/>
  <c r="AO1187" i="1"/>
  <c r="AO1197" i="1"/>
  <c r="AO1204" i="1"/>
  <c r="AO1211" i="1"/>
  <c r="AO1220" i="1"/>
  <c r="AO1227" i="1"/>
  <c r="AO1238" i="1"/>
  <c r="AO1243" i="1"/>
  <c r="AO1253" i="1"/>
  <c r="AO1261" i="1"/>
  <c r="AO1266" i="1"/>
  <c r="AO1276" i="1"/>
  <c r="AO1281" i="1"/>
  <c r="AO1292" i="1"/>
  <c r="AO1298" i="1"/>
  <c r="AO1307" i="1"/>
  <c r="AO1313" i="1"/>
  <c r="AO1321" i="1"/>
  <c r="AO1327" i="1"/>
  <c r="AO1335" i="1"/>
  <c r="AO1342" i="1"/>
  <c r="AO1350" i="1"/>
  <c r="AO1357" i="1"/>
  <c r="AO1365" i="1"/>
  <c r="AO1370" i="1"/>
  <c r="AO1378" i="1"/>
  <c r="AO1384" i="1"/>
  <c r="AO1394" i="1"/>
  <c r="AO1400" i="1"/>
  <c r="AO1408" i="1"/>
  <c r="AO1417" i="1"/>
  <c r="AO1421" i="1"/>
  <c r="AO1431" i="1"/>
  <c r="AO1435" i="1"/>
  <c r="AO1446" i="1"/>
  <c r="AO1451" i="1"/>
  <c r="AO1460" i="1"/>
  <c r="AO1467" i="1"/>
  <c r="AO1471" i="1"/>
  <c r="AO1481" i="1"/>
  <c r="AO1485" i="1"/>
  <c r="AO1496" i="1"/>
  <c r="AO1510" i="1"/>
  <c r="AO1517" i="1"/>
  <c r="AO1522" i="1"/>
  <c r="AO1530" i="1"/>
  <c r="AO1535" i="1"/>
  <c r="AO1544" i="1"/>
  <c r="AO1550" i="1"/>
  <c r="AO1557" i="1"/>
  <c r="AO1564" i="1"/>
  <c r="AO1569" i="1"/>
  <c r="AO1577" i="1"/>
  <c r="AO1591" i="1"/>
  <c r="AO1597" i="1"/>
  <c r="AO1603" i="1"/>
  <c r="AO1610" i="1"/>
  <c r="AO1614" i="1"/>
  <c r="AO1622" i="1"/>
  <c r="AO1626" i="1"/>
  <c r="AO1635" i="1"/>
  <c r="AO1639" i="1"/>
  <c r="AO1647" i="1"/>
  <c r="AO1652" i="1"/>
  <c r="AO1664" i="1"/>
  <c r="AO1669" i="1"/>
  <c r="AO1677" i="1"/>
  <c r="AO1682" i="1"/>
  <c r="AO1689" i="1"/>
  <c r="AO1695" i="1"/>
  <c r="AO1707" i="1"/>
  <c r="AO1712" i="1"/>
  <c r="AO1725" i="1"/>
  <c r="AO1732" i="1"/>
  <c r="AO1743" i="1"/>
  <c r="AO1749" i="1"/>
  <c r="AO1754" i="1"/>
  <c r="AO1766" i="1"/>
  <c r="AO1782" i="1"/>
  <c r="AO1793" i="1"/>
  <c r="AO1801" i="1"/>
  <c r="AO1805" i="1"/>
  <c r="AO1817" i="1"/>
  <c r="AO1821" i="1"/>
  <c r="AO1828" i="1"/>
  <c r="AO1832" i="1"/>
  <c r="AO1851" i="1"/>
  <c r="AO1861" i="1"/>
  <c r="AO1871" i="1"/>
  <c r="AO1890" i="1"/>
  <c r="AO1895" i="1"/>
  <c r="AO1911" i="1"/>
  <c r="AO1918" i="1"/>
  <c r="AO1923" i="1"/>
  <c r="AO1935" i="1"/>
  <c r="AO1946" i="1"/>
  <c r="AO1969" i="1"/>
  <c r="AO1989" i="1"/>
  <c r="AO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" i="1"/>
  <c r="AC3" i="1"/>
  <c r="AD3" i="1"/>
  <c r="AE3" i="1"/>
  <c r="AF3" i="1"/>
  <c r="AG3" i="1"/>
  <c r="AH3" i="1"/>
  <c r="AI3" i="1"/>
  <c r="AC4" i="1"/>
  <c r="AD4" i="1"/>
  <c r="AE4" i="1"/>
  <c r="AF4" i="1"/>
  <c r="AG4" i="1"/>
  <c r="AH4" i="1"/>
  <c r="AI4" i="1"/>
  <c r="AC5" i="1"/>
  <c r="AD5" i="1"/>
  <c r="AE5" i="1"/>
  <c r="AF5" i="1"/>
  <c r="AG5" i="1"/>
  <c r="AH5" i="1"/>
  <c r="AI5" i="1"/>
  <c r="AC6" i="1"/>
  <c r="AD6" i="1"/>
  <c r="AE6" i="1"/>
  <c r="AF6" i="1"/>
  <c r="AG6" i="1"/>
  <c r="AH6" i="1"/>
  <c r="AI6" i="1"/>
  <c r="AC7" i="1"/>
  <c r="AD7" i="1"/>
  <c r="AE7" i="1"/>
  <c r="AF7" i="1"/>
  <c r="AG7" i="1"/>
  <c r="AH7" i="1"/>
  <c r="AI7" i="1"/>
  <c r="AC8" i="1"/>
  <c r="AD8" i="1"/>
  <c r="AE8" i="1"/>
  <c r="AF8" i="1"/>
  <c r="AG8" i="1"/>
  <c r="AH8" i="1"/>
  <c r="AI8" i="1"/>
  <c r="AC9" i="1"/>
  <c r="AD9" i="1"/>
  <c r="AE9" i="1"/>
  <c r="AF9" i="1"/>
  <c r="AG9" i="1"/>
  <c r="AH9" i="1"/>
  <c r="AI9" i="1"/>
  <c r="AC10" i="1"/>
  <c r="AD10" i="1"/>
  <c r="AE10" i="1"/>
  <c r="AF10" i="1"/>
  <c r="AG10" i="1"/>
  <c r="AH10" i="1"/>
  <c r="AI10" i="1"/>
  <c r="AC11" i="1"/>
  <c r="AD11" i="1"/>
  <c r="AE11" i="1"/>
  <c r="AF11" i="1"/>
  <c r="AG11" i="1"/>
  <c r="AH11" i="1"/>
  <c r="AI11" i="1"/>
  <c r="AC12" i="1"/>
  <c r="AD12" i="1"/>
  <c r="AE12" i="1"/>
  <c r="AF12" i="1"/>
  <c r="AG12" i="1"/>
  <c r="AH12" i="1"/>
  <c r="AI12" i="1"/>
  <c r="AC13" i="1"/>
  <c r="AD13" i="1"/>
  <c r="AE13" i="1"/>
  <c r="AF13" i="1"/>
  <c r="AG13" i="1"/>
  <c r="AH13" i="1"/>
  <c r="AI13" i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C21" i="1"/>
  <c r="AD21" i="1"/>
  <c r="AE21" i="1"/>
  <c r="AF21" i="1"/>
  <c r="AG21" i="1"/>
  <c r="AH21" i="1"/>
  <c r="AI21" i="1"/>
  <c r="AC22" i="1"/>
  <c r="AD22" i="1"/>
  <c r="AE22" i="1"/>
  <c r="AF22" i="1"/>
  <c r="AG22" i="1"/>
  <c r="AH22" i="1"/>
  <c r="AI22" i="1"/>
  <c r="AC23" i="1"/>
  <c r="AD23" i="1"/>
  <c r="AE23" i="1"/>
  <c r="AF23" i="1"/>
  <c r="AG23" i="1"/>
  <c r="AH23" i="1"/>
  <c r="AI23" i="1"/>
  <c r="AC24" i="1"/>
  <c r="AD24" i="1"/>
  <c r="AE24" i="1"/>
  <c r="AF24" i="1"/>
  <c r="AG24" i="1"/>
  <c r="AH24" i="1"/>
  <c r="AI24" i="1"/>
  <c r="AC25" i="1"/>
  <c r="AD25" i="1"/>
  <c r="AE25" i="1"/>
  <c r="AF25" i="1"/>
  <c r="AG25" i="1"/>
  <c r="AH25" i="1"/>
  <c r="AI25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C40" i="1"/>
  <c r="AD40" i="1"/>
  <c r="AE40" i="1"/>
  <c r="AF40" i="1"/>
  <c r="AG40" i="1"/>
  <c r="AH40" i="1"/>
  <c r="AI40" i="1"/>
  <c r="AC41" i="1"/>
  <c r="AD41" i="1"/>
  <c r="AE41" i="1"/>
  <c r="AF41" i="1"/>
  <c r="AG41" i="1"/>
  <c r="AH41" i="1"/>
  <c r="AI41" i="1"/>
  <c r="AC42" i="1"/>
  <c r="AD42" i="1"/>
  <c r="AE42" i="1"/>
  <c r="AF42" i="1"/>
  <c r="AG42" i="1"/>
  <c r="AH42" i="1"/>
  <c r="AI42" i="1"/>
  <c r="AC43" i="1"/>
  <c r="AD43" i="1"/>
  <c r="AE43" i="1"/>
  <c r="AF43" i="1"/>
  <c r="AG43" i="1"/>
  <c r="AH43" i="1"/>
  <c r="AI43" i="1"/>
  <c r="AC44" i="1"/>
  <c r="AD44" i="1"/>
  <c r="AE44" i="1"/>
  <c r="AF44" i="1"/>
  <c r="AG44" i="1"/>
  <c r="AH44" i="1"/>
  <c r="AI44" i="1"/>
  <c r="AC45" i="1"/>
  <c r="AD45" i="1"/>
  <c r="AE45" i="1"/>
  <c r="AF45" i="1"/>
  <c r="AG45" i="1"/>
  <c r="AH45" i="1"/>
  <c r="AI45" i="1"/>
  <c r="AC46" i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C59" i="1"/>
  <c r="AD59" i="1"/>
  <c r="AE59" i="1"/>
  <c r="AF59" i="1"/>
  <c r="AG59" i="1"/>
  <c r="AH59" i="1"/>
  <c r="AI59" i="1"/>
  <c r="AC60" i="1"/>
  <c r="AD60" i="1"/>
  <c r="AE60" i="1"/>
  <c r="AF60" i="1"/>
  <c r="AG60" i="1"/>
  <c r="AH60" i="1"/>
  <c r="AI60" i="1"/>
  <c r="AC61" i="1"/>
  <c r="AD61" i="1"/>
  <c r="AE61" i="1"/>
  <c r="AF61" i="1"/>
  <c r="AG61" i="1"/>
  <c r="AH61" i="1"/>
  <c r="AI61" i="1"/>
  <c r="AC62" i="1"/>
  <c r="AD62" i="1"/>
  <c r="AE62" i="1"/>
  <c r="AF62" i="1"/>
  <c r="AG62" i="1"/>
  <c r="AH62" i="1"/>
  <c r="AI62" i="1"/>
  <c r="AC63" i="1"/>
  <c r="AD63" i="1"/>
  <c r="AE63" i="1"/>
  <c r="AF63" i="1"/>
  <c r="AG63" i="1"/>
  <c r="AH63" i="1"/>
  <c r="AI63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C66" i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C78" i="1"/>
  <c r="AD78" i="1"/>
  <c r="AE78" i="1"/>
  <c r="AF78" i="1"/>
  <c r="AG78" i="1"/>
  <c r="AH78" i="1"/>
  <c r="AI78" i="1"/>
  <c r="AC79" i="1"/>
  <c r="AD79" i="1"/>
  <c r="AE79" i="1"/>
  <c r="AF79" i="1"/>
  <c r="AG79" i="1"/>
  <c r="AH79" i="1"/>
  <c r="AI79" i="1"/>
  <c r="AC80" i="1"/>
  <c r="AD80" i="1"/>
  <c r="AE80" i="1"/>
  <c r="AF80" i="1"/>
  <c r="AG80" i="1"/>
  <c r="AH80" i="1"/>
  <c r="AI80" i="1"/>
  <c r="AC81" i="1"/>
  <c r="AD81" i="1"/>
  <c r="AE81" i="1"/>
  <c r="AF81" i="1"/>
  <c r="AG81" i="1"/>
  <c r="AH81" i="1"/>
  <c r="AI81" i="1"/>
  <c r="AC82" i="1"/>
  <c r="AD82" i="1"/>
  <c r="AE82" i="1"/>
  <c r="AF82" i="1"/>
  <c r="AG82" i="1"/>
  <c r="AH82" i="1"/>
  <c r="AI82" i="1"/>
  <c r="AC83" i="1"/>
  <c r="AD83" i="1"/>
  <c r="AE83" i="1"/>
  <c r="AF83" i="1"/>
  <c r="AG83" i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E96" i="1"/>
  <c r="AF96" i="1"/>
  <c r="AG96" i="1"/>
  <c r="AH96" i="1"/>
  <c r="AI96" i="1"/>
  <c r="AC97" i="1"/>
  <c r="AD97" i="1"/>
  <c r="AE97" i="1"/>
  <c r="AF97" i="1"/>
  <c r="AG97" i="1"/>
  <c r="AH97" i="1"/>
  <c r="AI97" i="1"/>
  <c r="AC98" i="1"/>
  <c r="AD98" i="1"/>
  <c r="AE98" i="1"/>
  <c r="AF98" i="1"/>
  <c r="AG98" i="1"/>
  <c r="AH98" i="1"/>
  <c r="AI98" i="1"/>
  <c r="AC99" i="1"/>
  <c r="AD99" i="1"/>
  <c r="AE99" i="1"/>
  <c r="AF99" i="1"/>
  <c r="AG99" i="1"/>
  <c r="AH99" i="1"/>
  <c r="AI99" i="1"/>
  <c r="AC100" i="1"/>
  <c r="AD100" i="1"/>
  <c r="AE100" i="1"/>
  <c r="AF100" i="1"/>
  <c r="AG100" i="1"/>
  <c r="AH100" i="1"/>
  <c r="AI100" i="1"/>
  <c r="AC101" i="1"/>
  <c r="AD101" i="1"/>
  <c r="AE101" i="1"/>
  <c r="AF101" i="1"/>
  <c r="AG101" i="1"/>
  <c r="AH101" i="1"/>
  <c r="AI101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C107" i="1"/>
  <c r="AD107" i="1"/>
  <c r="AE107" i="1"/>
  <c r="AF107" i="1"/>
  <c r="AG107" i="1"/>
  <c r="AH107" i="1"/>
  <c r="AI107" i="1"/>
  <c r="AC108" i="1"/>
  <c r="AD108" i="1"/>
  <c r="AE108" i="1"/>
  <c r="AF108" i="1"/>
  <c r="AG108" i="1"/>
  <c r="AH108" i="1"/>
  <c r="AI108" i="1"/>
  <c r="AC109" i="1"/>
  <c r="AD109" i="1"/>
  <c r="AE109" i="1"/>
  <c r="AF109" i="1"/>
  <c r="AG109" i="1"/>
  <c r="AH109" i="1"/>
  <c r="AI109" i="1"/>
  <c r="AC110" i="1"/>
  <c r="AD110" i="1"/>
  <c r="AE110" i="1"/>
  <c r="AF110" i="1"/>
  <c r="AG110" i="1"/>
  <c r="AH110" i="1"/>
  <c r="AI110" i="1"/>
  <c r="AC111" i="1"/>
  <c r="AD111" i="1"/>
  <c r="AE111" i="1"/>
  <c r="AF111" i="1"/>
  <c r="AG111" i="1"/>
  <c r="AH111" i="1"/>
  <c r="AI111" i="1"/>
  <c r="AC112" i="1"/>
  <c r="AD112" i="1"/>
  <c r="AE112" i="1"/>
  <c r="AF112" i="1"/>
  <c r="AG112" i="1"/>
  <c r="AH112" i="1"/>
  <c r="AI112" i="1"/>
  <c r="AC113" i="1"/>
  <c r="AD113" i="1"/>
  <c r="AE113" i="1"/>
  <c r="AF113" i="1"/>
  <c r="AG113" i="1"/>
  <c r="AH113" i="1"/>
  <c r="AI113" i="1"/>
  <c r="AC114" i="1"/>
  <c r="AD114" i="1"/>
  <c r="AE114" i="1"/>
  <c r="AF114" i="1"/>
  <c r="AG114" i="1"/>
  <c r="AH114" i="1"/>
  <c r="AI114" i="1"/>
  <c r="AC115" i="1"/>
  <c r="AD115" i="1"/>
  <c r="AE115" i="1"/>
  <c r="AF115" i="1"/>
  <c r="AG115" i="1"/>
  <c r="AH115" i="1"/>
  <c r="AI115" i="1"/>
  <c r="AC116" i="1"/>
  <c r="AD116" i="1"/>
  <c r="AE116" i="1"/>
  <c r="AF116" i="1"/>
  <c r="AG116" i="1"/>
  <c r="AH116" i="1"/>
  <c r="AI116" i="1"/>
  <c r="AC117" i="1"/>
  <c r="AD117" i="1"/>
  <c r="AE117" i="1"/>
  <c r="AF117" i="1"/>
  <c r="AG117" i="1"/>
  <c r="AH117" i="1"/>
  <c r="AI117" i="1"/>
  <c r="AC118" i="1"/>
  <c r="AD118" i="1"/>
  <c r="AE118" i="1"/>
  <c r="AF118" i="1"/>
  <c r="AG118" i="1"/>
  <c r="AH118" i="1"/>
  <c r="AI118" i="1"/>
  <c r="AC119" i="1"/>
  <c r="AD119" i="1"/>
  <c r="AE119" i="1"/>
  <c r="AF119" i="1"/>
  <c r="AG119" i="1"/>
  <c r="AH119" i="1"/>
  <c r="AI119" i="1"/>
  <c r="AC120" i="1"/>
  <c r="AD120" i="1"/>
  <c r="AE120" i="1"/>
  <c r="AF120" i="1"/>
  <c r="AG120" i="1"/>
  <c r="AH120" i="1"/>
  <c r="AI120" i="1"/>
  <c r="AC121" i="1"/>
  <c r="AD121" i="1"/>
  <c r="AE121" i="1"/>
  <c r="AF121" i="1"/>
  <c r="AG121" i="1"/>
  <c r="AH121" i="1"/>
  <c r="AI121" i="1"/>
  <c r="AC122" i="1"/>
  <c r="AD122" i="1"/>
  <c r="AE122" i="1"/>
  <c r="AF122" i="1"/>
  <c r="AG122" i="1"/>
  <c r="AH122" i="1"/>
  <c r="AI122" i="1"/>
  <c r="AC123" i="1"/>
  <c r="AD123" i="1"/>
  <c r="AE123" i="1"/>
  <c r="AF123" i="1"/>
  <c r="AG123" i="1"/>
  <c r="AH123" i="1"/>
  <c r="AI123" i="1"/>
  <c r="AC124" i="1"/>
  <c r="AD124" i="1"/>
  <c r="AE124" i="1"/>
  <c r="AF124" i="1"/>
  <c r="AG124" i="1"/>
  <c r="AH124" i="1"/>
  <c r="AI124" i="1"/>
  <c r="AC125" i="1"/>
  <c r="AD125" i="1"/>
  <c r="AE125" i="1"/>
  <c r="AF125" i="1"/>
  <c r="AG125" i="1"/>
  <c r="AH125" i="1"/>
  <c r="AI125" i="1"/>
  <c r="AC126" i="1"/>
  <c r="AD126" i="1"/>
  <c r="AE126" i="1"/>
  <c r="AF126" i="1"/>
  <c r="AG126" i="1"/>
  <c r="AH126" i="1"/>
  <c r="AI126" i="1"/>
  <c r="AC127" i="1"/>
  <c r="AD127" i="1"/>
  <c r="AE127" i="1"/>
  <c r="AF127" i="1"/>
  <c r="AG127" i="1"/>
  <c r="AH127" i="1"/>
  <c r="AI127" i="1"/>
  <c r="AC128" i="1"/>
  <c r="AD128" i="1"/>
  <c r="AE128" i="1"/>
  <c r="AF128" i="1"/>
  <c r="AG128" i="1"/>
  <c r="AH128" i="1"/>
  <c r="AI128" i="1"/>
  <c r="AC129" i="1"/>
  <c r="AD129" i="1"/>
  <c r="AE129" i="1"/>
  <c r="AF129" i="1"/>
  <c r="AG129" i="1"/>
  <c r="AH129" i="1"/>
  <c r="AI129" i="1"/>
  <c r="AC130" i="1"/>
  <c r="AD130" i="1"/>
  <c r="AE130" i="1"/>
  <c r="AF130" i="1"/>
  <c r="AG130" i="1"/>
  <c r="AH130" i="1"/>
  <c r="AI130" i="1"/>
  <c r="AC131" i="1"/>
  <c r="AD131" i="1"/>
  <c r="AE131" i="1"/>
  <c r="AF131" i="1"/>
  <c r="AG131" i="1"/>
  <c r="AH131" i="1"/>
  <c r="AI131" i="1"/>
  <c r="AC132" i="1"/>
  <c r="AD132" i="1"/>
  <c r="AE132" i="1"/>
  <c r="AF132" i="1"/>
  <c r="AG132" i="1"/>
  <c r="AH132" i="1"/>
  <c r="AI132" i="1"/>
  <c r="AC133" i="1"/>
  <c r="AD133" i="1"/>
  <c r="AE133" i="1"/>
  <c r="AF133" i="1"/>
  <c r="AG133" i="1"/>
  <c r="AH133" i="1"/>
  <c r="AI133" i="1"/>
  <c r="AC134" i="1"/>
  <c r="AD134" i="1"/>
  <c r="AE134" i="1"/>
  <c r="AF134" i="1"/>
  <c r="AG134" i="1"/>
  <c r="AH134" i="1"/>
  <c r="AI134" i="1"/>
  <c r="AC135" i="1"/>
  <c r="AD135" i="1"/>
  <c r="AE135" i="1"/>
  <c r="AF135" i="1"/>
  <c r="AG135" i="1"/>
  <c r="AH135" i="1"/>
  <c r="AI135" i="1"/>
  <c r="AC136" i="1"/>
  <c r="AD136" i="1"/>
  <c r="AE136" i="1"/>
  <c r="AF136" i="1"/>
  <c r="AG136" i="1"/>
  <c r="AH136" i="1"/>
  <c r="AI136" i="1"/>
  <c r="AC137" i="1"/>
  <c r="AD137" i="1"/>
  <c r="AE137" i="1"/>
  <c r="AF137" i="1"/>
  <c r="AG137" i="1"/>
  <c r="AH137" i="1"/>
  <c r="AI137" i="1"/>
  <c r="AC138" i="1"/>
  <c r="AD138" i="1"/>
  <c r="AE138" i="1"/>
  <c r="AF138" i="1"/>
  <c r="AG138" i="1"/>
  <c r="AH138" i="1"/>
  <c r="AI138" i="1"/>
  <c r="AC139" i="1"/>
  <c r="AD139" i="1"/>
  <c r="AE139" i="1"/>
  <c r="AF139" i="1"/>
  <c r="AG139" i="1"/>
  <c r="AH139" i="1"/>
  <c r="AI139" i="1"/>
  <c r="AC140" i="1"/>
  <c r="AD140" i="1"/>
  <c r="AE140" i="1"/>
  <c r="AF140" i="1"/>
  <c r="AG140" i="1"/>
  <c r="AH140" i="1"/>
  <c r="AI140" i="1"/>
  <c r="AC141" i="1"/>
  <c r="AD141" i="1"/>
  <c r="AE141" i="1"/>
  <c r="AF141" i="1"/>
  <c r="AG141" i="1"/>
  <c r="AH141" i="1"/>
  <c r="AI141" i="1"/>
  <c r="AC142" i="1"/>
  <c r="AD142" i="1"/>
  <c r="AE142" i="1"/>
  <c r="AF142" i="1"/>
  <c r="AG142" i="1"/>
  <c r="AH142" i="1"/>
  <c r="AI142" i="1"/>
  <c r="AC143" i="1"/>
  <c r="AD143" i="1"/>
  <c r="AE143" i="1"/>
  <c r="AF143" i="1"/>
  <c r="AG143" i="1"/>
  <c r="AH143" i="1"/>
  <c r="AI143" i="1"/>
  <c r="AC144" i="1"/>
  <c r="AD144" i="1"/>
  <c r="AE144" i="1"/>
  <c r="AF144" i="1"/>
  <c r="AG144" i="1"/>
  <c r="AH144" i="1"/>
  <c r="AI144" i="1"/>
  <c r="AC145" i="1"/>
  <c r="AD145" i="1"/>
  <c r="AE145" i="1"/>
  <c r="AF145" i="1"/>
  <c r="AG145" i="1"/>
  <c r="AH145" i="1"/>
  <c r="AI145" i="1"/>
  <c r="AC146" i="1"/>
  <c r="AD146" i="1"/>
  <c r="AE146" i="1"/>
  <c r="AF146" i="1"/>
  <c r="AG146" i="1"/>
  <c r="AH146" i="1"/>
  <c r="AI146" i="1"/>
  <c r="AC147" i="1"/>
  <c r="AD147" i="1"/>
  <c r="AE147" i="1"/>
  <c r="AF147" i="1"/>
  <c r="AG147" i="1"/>
  <c r="AH147" i="1"/>
  <c r="AI147" i="1"/>
  <c r="AC148" i="1"/>
  <c r="AD148" i="1"/>
  <c r="AE148" i="1"/>
  <c r="AF148" i="1"/>
  <c r="AG148" i="1"/>
  <c r="AH148" i="1"/>
  <c r="AI148" i="1"/>
  <c r="AC149" i="1"/>
  <c r="AD149" i="1"/>
  <c r="AE149" i="1"/>
  <c r="AF149" i="1"/>
  <c r="AG149" i="1"/>
  <c r="AH149" i="1"/>
  <c r="AI149" i="1"/>
  <c r="AC150" i="1"/>
  <c r="AD150" i="1"/>
  <c r="AE150" i="1"/>
  <c r="AF150" i="1"/>
  <c r="AG150" i="1"/>
  <c r="AH150" i="1"/>
  <c r="AI150" i="1"/>
  <c r="AC151" i="1"/>
  <c r="AD151" i="1"/>
  <c r="AE151" i="1"/>
  <c r="AF151" i="1"/>
  <c r="AG151" i="1"/>
  <c r="AH151" i="1"/>
  <c r="AI151" i="1"/>
  <c r="AC152" i="1"/>
  <c r="AD152" i="1"/>
  <c r="AE152" i="1"/>
  <c r="AF152" i="1"/>
  <c r="AG152" i="1"/>
  <c r="AH152" i="1"/>
  <c r="AI152" i="1"/>
  <c r="AC153" i="1"/>
  <c r="AD153" i="1"/>
  <c r="AE153" i="1"/>
  <c r="AF153" i="1"/>
  <c r="AG153" i="1"/>
  <c r="AH153" i="1"/>
  <c r="AI153" i="1"/>
  <c r="AC154" i="1"/>
  <c r="AD154" i="1"/>
  <c r="AE154" i="1"/>
  <c r="AF154" i="1"/>
  <c r="AG154" i="1"/>
  <c r="AH154" i="1"/>
  <c r="AI154" i="1"/>
  <c r="AC155" i="1"/>
  <c r="AD155" i="1"/>
  <c r="AE155" i="1"/>
  <c r="AF155" i="1"/>
  <c r="AG155" i="1"/>
  <c r="AH155" i="1"/>
  <c r="AI155" i="1"/>
  <c r="AC156" i="1"/>
  <c r="AD156" i="1"/>
  <c r="AE156" i="1"/>
  <c r="AF156" i="1"/>
  <c r="AG156" i="1"/>
  <c r="AH156" i="1"/>
  <c r="AI156" i="1"/>
  <c r="AC157" i="1"/>
  <c r="AD157" i="1"/>
  <c r="AE157" i="1"/>
  <c r="AF157" i="1"/>
  <c r="AG157" i="1"/>
  <c r="AH157" i="1"/>
  <c r="AI157" i="1"/>
  <c r="AC158" i="1"/>
  <c r="AD158" i="1"/>
  <c r="AE158" i="1"/>
  <c r="AF158" i="1"/>
  <c r="AG158" i="1"/>
  <c r="AH158" i="1"/>
  <c r="AI158" i="1"/>
  <c r="AC159" i="1"/>
  <c r="AD159" i="1"/>
  <c r="AE159" i="1"/>
  <c r="AF159" i="1"/>
  <c r="AG159" i="1"/>
  <c r="AH159" i="1"/>
  <c r="AI159" i="1"/>
  <c r="AC160" i="1"/>
  <c r="AD160" i="1"/>
  <c r="AE160" i="1"/>
  <c r="AF160" i="1"/>
  <c r="AG160" i="1"/>
  <c r="AH160" i="1"/>
  <c r="AI160" i="1"/>
  <c r="AC161" i="1"/>
  <c r="AD161" i="1"/>
  <c r="AE161" i="1"/>
  <c r="AF161" i="1"/>
  <c r="AG161" i="1"/>
  <c r="AH161" i="1"/>
  <c r="AI161" i="1"/>
  <c r="AC162" i="1"/>
  <c r="AD162" i="1"/>
  <c r="AE162" i="1"/>
  <c r="AF162" i="1"/>
  <c r="AG162" i="1"/>
  <c r="AH162" i="1"/>
  <c r="AI162" i="1"/>
  <c r="AC163" i="1"/>
  <c r="AD163" i="1"/>
  <c r="AE163" i="1"/>
  <c r="AF163" i="1"/>
  <c r="AG163" i="1"/>
  <c r="AH163" i="1"/>
  <c r="AI163" i="1"/>
  <c r="AC164" i="1"/>
  <c r="AD164" i="1"/>
  <c r="AE164" i="1"/>
  <c r="AF164" i="1"/>
  <c r="AG164" i="1"/>
  <c r="AH164" i="1"/>
  <c r="AI164" i="1"/>
  <c r="AC165" i="1"/>
  <c r="AD165" i="1"/>
  <c r="AE165" i="1"/>
  <c r="AF165" i="1"/>
  <c r="AG165" i="1"/>
  <c r="AH165" i="1"/>
  <c r="AI165" i="1"/>
  <c r="AC166" i="1"/>
  <c r="AD166" i="1"/>
  <c r="AE166" i="1"/>
  <c r="AF166" i="1"/>
  <c r="AG166" i="1"/>
  <c r="AH166" i="1"/>
  <c r="AI166" i="1"/>
  <c r="AC167" i="1"/>
  <c r="AD167" i="1"/>
  <c r="AE167" i="1"/>
  <c r="AF167" i="1"/>
  <c r="AG167" i="1"/>
  <c r="AH167" i="1"/>
  <c r="AI167" i="1"/>
  <c r="AC168" i="1"/>
  <c r="AD168" i="1"/>
  <c r="AE168" i="1"/>
  <c r="AF168" i="1"/>
  <c r="AG168" i="1"/>
  <c r="AH168" i="1"/>
  <c r="AI168" i="1"/>
  <c r="AC169" i="1"/>
  <c r="AD169" i="1"/>
  <c r="AE169" i="1"/>
  <c r="AF169" i="1"/>
  <c r="AG169" i="1"/>
  <c r="AH169" i="1"/>
  <c r="AI169" i="1"/>
  <c r="AC170" i="1"/>
  <c r="AD170" i="1"/>
  <c r="AE170" i="1"/>
  <c r="AF170" i="1"/>
  <c r="AG170" i="1"/>
  <c r="AH170" i="1"/>
  <c r="AI170" i="1"/>
  <c r="AC171" i="1"/>
  <c r="AD171" i="1"/>
  <c r="AE171" i="1"/>
  <c r="AF171" i="1"/>
  <c r="AG171" i="1"/>
  <c r="AH171" i="1"/>
  <c r="AI171" i="1"/>
  <c r="AC172" i="1"/>
  <c r="AD172" i="1"/>
  <c r="AE172" i="1"/>
  <c r="AF172" i="1"/>
  <c r="AG172" i="1"/>
  <c r="AH172" i="1"/>
  <c r="AI172" i="1"/>
  <c r="AC173" i="1"/>
  <c r="AD173" i="1"/>
  <c r="AE173" i="1"/>
  <c r="AF173" i="1"/>
  <c r="AG173" i="1"/>
  <c r="AH173" i="1"/>
  <c r="AI173" i="1"/>
  <c r="AC174" i="1"/>
  <c r="AD174" i="1"/>
  <c r="AE174" i="1"/>
  <c r="AF174" i="1"/>
  <c r="AG174" i="1"/>
  <c r="AH174" i="1"/>
  <c r="AI174" i="1"/>
  <c r="AC175" i="1"/>
  <c r="AD175" i="1"/>
  <c r="AE175" i="1"/>
  <c r="AF175" i="1"/>
  <c r="AG175" i="1"/>
  <c r="AH175" i="1"/>
  <c r="AI175" i="1"/>
  <c r="AC176" i="1"/>
  <c r="AD176" i="1"/>
  <c r="AE176" i="1"/>
  <c r="AF176" i="1"/>
  <c r="AG176" i="1"/>
  <c r="AH176" i="1"/>
  <c r="AI176" i="1"/>
  <c r="AC177" i="1"/>
  <c r="AD177" i="1"/>
  <c r="AE177" i="1"/>
  <c r="AF177" i="1"/>
  <c r="AG177" i="1"/>
  <c r="AH177" i="1"/>
  <c r="AI177" i="1"/>
  <c r="AC178" i="1"/>
  <c r="AD178" i="1"/>
  <c r="AE178" i="1"/>
  <c r="AF178" i="1"/>
  <c r="AG178" i="1"/>
  <c r="AH178" i="1"/>
  <c r="AI178" i="1"/>
  <c r="AC179" i="1"/>
  <c r="AD179" i="1"/>
  <c r="AE179" i="1"/>
  <c r="AF179" i="1"/>
  <c r="AG179" i="1"/>
  <c r="AH179" i="1"/>
  <c r="AI179" i="1"/>
  <c r="AC180" i="1"/>
  <c r="AD180" i="1"/>
  <c r="AE180" i="1"/>
  <c r="AF180" i="1"/>
  <c r="AG180" i="1"/>
  <c r="AH180" i="1"/>
  <c r="AI180" i="1"/>
  <c r="AC181" i="1"/>
  <c r="AD181" i="1"/>
  <c r="AE181" i="1"/>
  <c r="AF181" i="1"/>
  <c r="AG181" i="1"/>
  <c r="AH181" i="1"/>
  <c r="AI181" i="1"/>
  <c r="AC182" i="1"/>
  <c r="AD182" i="1"/>
  <c r="AE182" i="1"/>
  <c r="AF182" i="1"/>
  <c r="AG182" i="1"/>
  <c r="AH182" i="1"/>
  <c r="AI182" i="1"/>
  <c r="AC183" i="1"/>
  <c r="AD183" i="1"/>
  <c r="AE183" i="1"/>
  <c r="AF183" i="1"/>
  <c r="AG183" i="1"/>
  <c r="AH183" i="1"/>
  <c r="AI183" i="1"/>
  <c r="AC184" i="1"/>
  <c r="AD184" i="1"/>
  <c r="AE184" i="1"/>
  <c r="AF184" i="1"/>
  <c r="AG184" i="1"/>
  <c r="AH184" i="1"/>
  <c r="AI184" i="1"/>
  <c r="AC185" i="1"/>
  <c r="AD185" i="1"/>
  <c r="AE185" i="1"/>
  <c r="AF185" i="1"/>
  <c r="AG185" i="1"/>
  <c r="AH185" i="1"/>
  <c r="AI185" i="1"/>
  <c r="AC186" i="1"/>
  <c r="AD186" i="1"/>
  <c r="AE186" i="1"/>
  <c r="AF186" i="1"/>
  <c r="AG186" i="1"/>
  <c r="AH186" i="1"/>
  <c r="AI186" i="1"/>
  <c r="AC187" i="1"/>
  <c r="AD187" i="1"/>
  <c r="AE187" i="1"/>
  <c r="AF187" i="1"/>
  <c r="AG187" i="1"/>
  <c r="AH187" i="1"/>
  <c r="AI187" i="1"/>
  <c r="AC188" i="1"/>
  <c r="AD188" i="1"/>
  <c r="AE188" i="1"/>
  <c r="AF188" i="1"/>
  <c r="AG188" i="1"/>
  <c r="AH188" i="1"/>
  <c r="AI188" i="1"/>
  <c r="AC189" i="1"/>
  <c r="AD189" i="1"/>
  <c r="AE189" i="1"/>
  <c r="AF189" i="1"/>
  <c r="AG189" i="1"/>
  <c r="AH189" i="1"/>
  <c r="AI189" i="1"/>
  <c r="AC190" i="1"/>
  <c r="AD190" i="1"/>
  <c r="AE190" i="1"/>
  <c r="AF190" i="1"/>
  <c r="AG190" i="1"/>
  <c r="AH190" i="1"/>
  <c r="AI190" i="1"/>
  <c r="AC191" i="1"/>
  <c r="AD191" i="1"/>
  <c r="AE191" i="1"/>
  <c r="AF191" i="1"/>
  <c r="AG191" i="1"/>
  <c r="AH191" i="1"/>
  <c r="AI191" i="1"/>
  <c r="AC192" i="1"/>
  <c r="AD192" i="1"/>
  <c r="AE192" i="1"/>
  <c r="AF192" i="1"/>
  <c r="AG192" i="1"/>
  <c r="AH192" i="1"/>
  <c r="AI192" i="1"/>
  <c r="AC193" i="1"/>
  <c r="AD193" i="1"/>
  <c r="AE193" i="1"/>
  <c r="AF193" i="1"/>
  <c r="AG193" i="1"/>
  <c r="AH193" i="1"/>
  <c r="AI193" i="1"/>
  <c r="AC194" i="1"/>
  <c r="AD194" i="1"/>
  <c r="AE194" i="1"/>
  <c r="AF194" i="1"/>
  <c r="AG194" i="1"/>
  <c r="AH194" i="1"/>
  <c r="AI194" i="1"/>
  <c r="AC195" i="1"/>
  <c r="AD195" i="1"/>
  <c r="AE195" i="1"/>
  <c r="AF195" i="1"/>
  <c r="AG195" i="1"/>
  <c r="AH195" i="1"/>
  <c r="AI195" i="1"/>
  <c r="AC196" i="1"/>
  <c r="AD196" i="1"/>
  <c r="AE196" i="1"/>
  <c r="AF196" i="1"/>
  <c r="AG196" i="1"/>
  <c r="AH196" i="1"/>
  <c r="AI196" i="1"/>
  <c r="AC197" i="1"/>
  <c r="AD197" i="1"/>
  <c r="AE197" i="1"/>
  <c r="AF197" i="1"/>
  <c r="AG197" i="1"/>
  <c r="AH197" i="1"/>
  <c r="AI197" i="1"/>
  <c r="AC198" i="1"/>
  <c r="AD198" i="1"/>
  <c r="AE198" i="1"/>
  <c r="AF198" i="1"/>
  <c r="AG198" i="1"/>
  <c r="AH198" i="1"/>
  <c r="AI198" i="1"/>
  <c r="AC199" i="1"/>
  <c r="AD199" i="1"/>
  <c r="AE199" i="1"/>
  <c r="AF199" i="1"/>
  <c r="AG199" i="1"/>
  <c r="AH199" i="1"/>
  <c r="AI199" i="1"/>
  <c r="AC200" i="1"/>
  <c r="AD200" i="1"/>
  <c r="AE200" i="1"/>
  <c r="AF200" i="1"/>
  <c r="AG200" i="1"/>
  <c r="AH200" i="1"/>
  <c r="AI200" i="1"/>
  <c r="AC201" i="1"/>
  <c r="AD201" i="1"/>
  <c r="AE201" i="1"/>
  <c r="AF201" i="1"/>
  <c r="AG201" i="1"/>
  <c r="AH201" i="1"/>
  <c r="AI201" i="1"/>
  <c r="AC202" i="1"/>
  <c r="AD202" i="1"/>
  <c r="AE202" i="1"/>
  <c r="AF202" i="1"/>
  <c r="AG202" i="1"/>
  <c r="AH202" i="1"/>
  <c r="AI202" i="1"/>
  <c r="AC203" i="1"/>
  <c r="AD203" i="1"/>
  <c r="AE203" i="1"/>
  <c r="AF203" i="1"/>
  <c r="AG203" i="1"/>
  <c r="AH203" i="1"/>
  <c r="AI203" i="1"/>
  <c r="AC204" i="1"/>
  <c r="AD204" i="1"/>
  <c r="AE204" i="1"/>
  <c r="AF204" i="1"/>
  <c r="AG204" i="1"/>
  <c r="AH204" i="1"/>
  <c r="AI204" i="1"/>
  <c r="AC205" i="1"/>
  <c r="AD205" i="1"/>
  <c r="AE205" i="1"/>
  <c r="AF205" i="1"/>
  <c r="AG205" i="1"/>
  <c r="AH205" i="1"/>
  <c r="AI205" i="1"/>
  <c r="AC206" i="1"/>
  <c r="AD206" i="1"/>
  <c r="AE206" i="1"/>
  <c r="AF206" i="1"/>
  <c r="AG206" i="1"/>
  <c r="AH206" i="1"/>
  <c r="AI206" i="1"/>
  <c r="AC207" i="1"/>
  <c r="AD207" i="1"/>
  <c r="AE207" i="1"/>
  <c r="AF207" i="1"/>
  <c r="AG207" i="1"/>
  <c r="AH207" i="1"/>
  <c r="AI207" i="1"/>
  <c r="AC208" i="1"/>
  <c r="AD208" i="1"/>
  <c r="AE208" i="1"/>
  <c r="AF208" i="1"/>
  <c r="AG208" i="1"/>
  <c r="AH208" i="1"/>
  <c r="AI208" i="1"/>
  <c r="AC209" i="1"/>
  <c r="AD209" i="1"/>
  <c r="AE209" i="1"/>
  <c r="AF209" i="1"/>
  <c r="AG209" i="1"/>
  <c r="AH209" i="1"/>
  <c r="AI209" i="1"/>
  <c r="AC210" i="1"/>
  <c r="AD210" i="1"/>
  <c r="AE210" i="1"/>
  <c r="AF210" i="1"/>
  <c r="AG210" i="1"/>
  <c r="AH210" i="1"/>
  <c r="AI210" i="1"/>
  <c r="AC211" i="1"/>
  <c r="AD211" i="1"/>
  <c r="AE211" i="1"/>
  <c r="AF211" i="1"/>
  <c r="AG211" i="1"/>
  <c r="AH211" i="1"/>
  <c r="AI211" i="1"/>
  <c r="AC212" i="1"/>
  <c r="AD212" i="1"/>
  <c r="AE212" i="1"/>
  <c r="AF212" i="1"/>
  <c r="AG212" i="1"/>
  <c r="AH212" i="1"/>
  <c r="AI212" i="1"/>
  <c r="AC213" i="1"/>
  <c r="AD213" i="1"/>
  <c r="AE213" i="1"/>
  <c r="AF213" i="1"/>
  <c r="AG213" i="1"/>
  <c r="AH213" i="1"/>
  <c r="AI213" i="1"/>
  <c r="AC214" i="1"/>
  <c r="AD214" i="1"/>
  <c r="AE214" i="1"/>
  <c r="AF214" i="1"/>
  <c r="AG214" i="1"/>
  <c r="AH214" i="1"/>
  <c r="AI214" i="1"/>
  <c r="AC215" i="1"/>
  <c r="AD215" i="1"/>
  <c r="AE215" i="1"/>
  <c r="AF215" i="1"/>
  <c r="AG215" i="1"/>
  <c r="AH215" i="1"/>
  <c r="AI215" i="1"/>
  <c r="AC216" i="1"/>
  <c r="AD216" i="1"/>
  <c r="AE216" i="1"/>
  <c r="AF216" i="1"/>
  <c r="AG216" i="1"/>
  <c r="AH216" i="1"/>
  <c r="AI216" i="1"/>
  <c r="AC217" i="1"/>
  <c r="AD217" i="1"/>
  <c r="AE217" i="1"/>
  <c r="AF217" i="1"/>
  <c r="AG217" i="1"/>
  <c r="AH217" i="1"/>
  <c r="AI217" i="1"/>
  <c r="AC218" i="1"/>
  <c r="AD218" i="1"/>
  <c r="AE218" i="1"/>
  <c r="AF218" i="1"/>
  <c r="AG218" i="1"/>
  <c r="AH218" i="1"/>
  <c r="AI218" i="1"/>
  <c r="AC219" i="1"/>
  <c r="AD219" i="1"/>
  <c r="AE219" i="1"/>
  <c r="AF219" i="1"/>
  <c r="AG219" i="1"/>
  <c r="AH219" i="1"/>
  <c r="AI219" i="1"/>
  <c r="AC220" i="1"/>
  <c r="AD220" i="1"/>
  <c r="AE220" i="1"/>
  <c r="AF220" i="1"/>
  <c r="AG220" i="1"/>
  <c r="AH220" i="1"/>
  <c r="AI220" i="1"/>
  <c r="AC221" i="1"/>
  <c r="AD221" i="1"/>
  <c r="AE221" i="1"/>
  <c r="AF221" i="1"/>
  <c r="AG221" i="1"/>
  <c r="AH221" i="1"/>
  <c r="AI221" i="1"/>
  <c r="AC222" i="1"/>
  <c r="AD222" i="1"/>
  <c r="AE222" i="1"/>
  <c r="AF222" i="1"/>
  <c r="AG222" i="1"/>
  <c r="AH222" i="1"/>
  <c r="AI222" i="1"/>
  <c r="AC223" i="1"/>
  <c r="AD223" i="1"/>
  <c r="AE223" i="1"/>
  <c r="AF223" i="1"/>
  <c r="AG223" i="1"/>
  <c r="AH223" i="1"/>
  <c r="AI223" i="1"/>
  <c r="AC224" i="1"/>
  <c r="AD224" i="1"/>
  <c r="AE224" i="1"/>
  <c r="AF224" i="1"/>
  <c r="AG224" i="1"/>
  <c r="AH224" i="1"/>
  <c r="AI224" i="1"/>
  <c r="AC225" i="1"/>
  <c r="AD225" i="1"/>
  <c r="AE225" i="1"/>
  <c r="AF225" i="1"/>
  <c r="AG225" i="1"/>
  <c r="AH225" i="1"/>
  <c r="AI225" i="1"/>
  <c r="AC226" i="1"/>
  <c r="AD226" i="1"/>
  <c r="AE226" i="1"/>
  <c r="AF226" i="1"/>
  <c r="AG226" i="1"/>
  <c r="AH226" i="1"/>
  <c r="AI226" i="1"/>
  <c r="AC227" i="1"/>
  <c r="AD227" i="1"/>
  <c r="AE227" i="1"/>
  <c r="AF227" i="1"/>
  <c r="AG227" i="1"/>
  <c r="AH227" i="1"/>
  <c r="AI227" i="1"/>
  <c r="AC228" i="1"/>
  <c r="AD228" i="1"/>
  <c r="AE228" i="1"/>
  <c r="AF228" i="1"/>
  <c r="AG228" i="1"/>
  <c r="AH228" i="1"/>
  <c r="AI228" i="1"/>
  <c r="AC229" i="1"/>
  <c r="AD229" i="1"/>
  <c r="AE229" i="1"/>
  <c r="AF229" i="1"/>
  <c r="AG229" i="1"/>
  <c r="AH229" i="1"/>
  <c r="AI229" i="1"/>
  <c r="AC230" i="1"/>
  <c r="AD230" i="1"/>
  <c r="AE230" i="1"/>
  <c r="AF230" i="1"/>
  <c r="AG230" i="1"/>
  <c r="AH230" i="1"/>
  <c r="AI230" i="1"/>
  <c r="AC231" i="1"/>
  <c r="AD231" i="1"/>
  <c r="AE231" i="1"/>
  <c r="AF231" i="1"/>
  <c r="AG231" i="1"/>
  <c r="AH231" i="1"/>
  <c r="AI231" i="1"/>
  <c r="AC232" i="1"/>
  <c r="AD232" i="1"/>
  <c r="AE232" i="1"/>
  <c r="AF232" i="1"/>
  <c r="AG232" i="1"/>
  <c r="AH232" i="1"/>
  <c r="AI232" i="1"/>
  <c r="AC233" i="1"/>
  <c r="AD233" i="1"/>
  <c r="AE233" i="1"/>
  <c r="AF233" i="1"/>
  <c r="AG233" i="1"/>
  <c r="AH233" i="1"/>
  <c r="AI233" i="1"/>
  <c r="AC234" i="1"/>
  <c r="AD234" i="1"/>
  <c r="AE234" i="1"/>
  <c r="AF234" i="1"/>
  <c r="AG234" i="1"/>
  <c r="AH234" i="1"/>
  <c r="AI234" i="1"/>
  <c r="AC235" i="1"/>
  <c r="AD235" i="1"/>
  <c r="AE235" i="1"/>
  <c r="AF235" i="1"/>
  <c r="AG235" i="1"/>
  <c r="AH235" i="1"/>
  <c r="AI235" i="1"/>
  <c r="AC236" i="1"/>
  <c r="AD236" i="1"/>
  <c r="AE236" i="1"/>
  <c r="AF236" i="1"/>
  <c r="AG236" i="1"/>
  <c r="AH236" i="1"/>
  <c r="AI236" i="1"/>
  <c r="AC237" i="1"/>
  <c r="AD237" i="1"/>
  <c r="AE237" i="1"/>
  <c r="AF237" i="1"/>
  <c r="AG237" i="1"/>
  <c r="AH237" i="1"/>
  <c r="AI237" i="1"/>
  <c r="AC238" i="1"/>
  <c r="AD238" i="1"/>
  <c r="AE238" i="1"/>
  <c r="AF238" i="1"/>
  <c r="AG238" i="1"/>
  <c r="AH238" i="1"/>
  <c r="AI238" i="1"/>
  <c r="AC239" i="1"/>
  <c r="AD239" i="1"/>
  <c r="AE239" i="1"/>
  <c r="AF239" i="1"/>
  <c r="AG239" i="1"/>
  <c r="AH239" i="1"/>
  <c r="AI239" i="1"/>
  <c r="AC240" i="1"/>
  <c r="AD240" i="1"/>
  <c r="AE240" i="1"/>
  <c r="AF240" i="1"/>
  <c r="AG240" i="1"/>
  <c r="AH240" i="1"/>
  <c r="AI240" i="1"/>
  <c r="AC241" i="1"/>
  <c r="AD241" i="1"/>
  <c r="AE241" i="1"/>
  <c r="AF241" i="1"/>
  <c r="AG241" i="1"/>
  <c r="AH241" i="1"/>
  <c r="AI241" i="1"/>
  <c r="AC242" i="1"/>
  <c r="AD242" i="1"/>
  <c r="AE242" i="1"/>
  <c r="AF242" i="1"/>
  <c r="AG242" i="1"/>
  <c r="AH242" i="1"/>
  <c r="AI242" i="1"/>
  <c r="AC243" i="1"/>
  <c r="AD243" i="1"/>
  <c r="AE243" i="1"/>
  <c r="AF243" i="1"/>
  <c r="AG243" i="1"/>
  <c r="AH243" i="1"/>
  <c r="AI243" i="1"/>
  <c r="AC244" i="1"/>
  <c r="AD244" i="1"/>
  <c r="AE244" i="1"/>
  <c r="AF244" i="1"/>
  <c r="AG244" i="1"/>
  <c r="AH244" i="1"/>
  <c r="AI244" i="1"/>
  <c r="AC245" i="1"/>
  <c r="AD245" i="1"/>
  <c r="AE245" i="1"/>
  <c r="AF245" i="1"/>
  <c r="AG245" i="1"/>
  <c r="AH245" i="1"/>
  <c r="AI245" i="1"/>
  <c r="AC246" i="1"/>
  <c r="AD246" i="1"/>
  <c r="AE246" i="1"/>
  <c r="AF246" i="1"/>
  <c r="AG246" i="1"/>
  <c r="AH246" i="1"/>
  <c r="AI246" i="1"/>
  <c r="AC247" i="1"/>
  <c r="AD247" i="1"/>
  <c r="AE247" i="1"/>
  <c r="AF247" i="1"/>
  <c r="AG247" i="1"/>
  <c r="AH247" i="1"/>
  <c r="AI247" i="1"/>
  <c r="AC248" i="1"/>
  <c r="AD248" i="1"/>
  <c r="AE248" i="1"/>
  <c r="AF248" i="1"/>
  <c r="AG248" i="1"/>
  <c r="AH248" i="1"/>
  <c r="AI248" i="1"/>
  <c r="AC249" i="1"/>
  <c r="AD249" i="1"/>
  <c r="AE249" i="1"/>
  <c r="AF249" i="1"/>
  <c r="AG249" i="1"/>
  <c r="AH249" i="1"/>
  <c r="AI249" i="1"/>
  <c r="AC250" i="1"/>
  <c r="AD250" i="1"/>
  <c r="AE250" i="1"/>
  <c r="AF250" i="1"/>
  <c r="AG250" i="1"/>
  <c r="AH250" i="1"/>
  <c r="AI250" i="1"/>
  <c r="AC251" i="1"/>
  <c r="AD251" i="1"/>
  <c r="AE251" i="1"/>
  <c r="AF251" i="1"/>
  <c r="AG251" i="1"/>
  <c r="AH251" i="1"/>
  <c r="AI251" i="1"/>
  <c r="AC252" i="1"/>
  <c r="AD252" i="1"/>
  <c r="AE252" i="1"/>
  <c r="AF252" i="1"/>
  <c r="AG252" i="1"/>
  <c r="AH252" i="1"/>
  <c r="AI252" i="1"/>
  <c r="AC253" i="1"/>
  <c r="AD253" i="1"/>
  <c r="AE253" i="1"/>
  <c r="AF253" i="1"/>
  <c r="AG253" i="1"/>
  <c r="AH253" i="1"/>
  <c r="AI253" i="1"/>
  <c r="AC254" i="1"/>
  <c r="AD254" i="1"/>
  <c r="AE254" i="1"/>
  <c r="AF254" i="1"/>
  <c r="AG254" i="1"/>
  <c r="AH254" i="1"/>
  <c r="AI254" i="1"/>
  <c r="AC255" i="1"/>
  <c r="AD255" i="1"/>
  <c r="AE255" i="1"/>
  <c r="AF255" i="1"/>
  <c r="AG255" i="1"/>
  <c r="AH255" i="1"/>
  <c r="AI255" i="1"/>
  <c r="AC256" i="1"/>
  <c r="AD256" i="1"/>
  <c r="AE256" i="1"/>
  <c r="AF256" i="1"/>
  <c r="AG256" i="1"/>
  <c r="AH256" i="1"/>
  <c r="AI256" i="1"/>
  <c r="AC257" i="1"/>
  <c r="AD257" i="1"/>
  <c r="AE257" i="1"/>
  <c r="AF257" i="1"/>
  <c r="AG257" i="1"/>
  <c r="AH257" i="1"/>
  <c r="AI257" i="1"/>
  <c r="AC258" i="1"/>
  <c r="AD258" i="1"/>
  <c r="AE258" i="1"/>
  <c r="AF258" i="1"/>
  <c r="AG258" i="1"/>
  <c r="AH258" i="1"/>
  <c r="AI258" i="1"/>
  <c r="AC259" i="1"/>
  <c r="AD259" i="1"/>
  <c r="AE259" i="1"/>
  <c r="AF259" i="1"/>
  <c r="AG259" i="1"/>
  <c r="AH259" i="1"/>
  <c r="AI259" i="1"/>
  <c r="AC260" i="1"/>
  <c r="AD260" i="1"/>
  <c r="AE260" i="1"/>
  <c r="AF260" i="1"/>
  <c r="AG260" i="1"/>
  <c r="AH260" i="1"/>
  <c r="AI260" i="1"/>
  <c r="AC261" i="1"/>
  <c r="AD261" i="1"/>
  <c r="AE261" i="1"/>
  <c r="AF261" i="1"/>
  <c r="AG261" i="1"/>
  <c r="AH261" i="1"/>
  <c r="AI261" i="1"/>
  <c r="AC262" i="1"/>
  <c r="AD262" i="1"/>
  <c r="AE262" i="1"/>
  <c r="AF262" i="1"/>
  <c r="AG262" i="1"/>
  <c r="AH262" i="1"/>
  <c r="AI262" i="1"/>
  <c r="AC263" i="1"/>
  <c r="AD263" i="1"/>
  <c r="AE263" i="1"/>
  <c r="AF263" i="1"/>
  <c r="AG263" i="1"/>
  <c r="AH263" i="1"/>
  <c r="AI263" i="1"/>
  <c r="AC264" i="1"/>
  <c r="AD264" i="1"/>
  <c r="AE264" i="1"/>
  <c r="AF264" i="1"/>
  <c r="AG264" i="1"/>
  <c r="AH264" i="1"/>
  <c r="AI264" i="1"/>
  <c r="AC265" i="1"/>
  <c r="AD265" i="1"/>
  <c r="AE265" i="1"/>
  <c r="AF265" i="1"/>
  <c r="AG265" i="1"/>
  <c r="AH265" i="1"/>
  <c r="AI265" i="1"/>
  <c r="AC266" i="1"/>
  <c r="AD266" i="1"/>
  <c r="AE266" i="1"/>
  <c r="AF266" i="1"/>
  <c r="AG266" i="1"/>
  <c r="AH266" i="1"/>
  <c r="AI266" i="1"/>
  <c r="AC267" i="1"/>
  <c r="AD267" i="1"/>
  <c r="AE267" i="1"/>
  <c r="AF267" i="1"/>
  <c r="AG267" i="1"/>
  <c r="AH267" i="1"/>
  <c r="AI267" i="1"/>
  <c r="AC268" i="1"/>
  <c r="AD268" i="1"/>
  <c r="AE268" i="1"/>
  <c r="AF268" i="1"/>
  <c r="AG268" i="1"/>
  <c r="AH268" i="1"/>
  <c r="AI268" i="1"/>
  <c r="AC269" i="1"/>
  <c r="AD269" i="1"/>
  <c r="AE269" i="1"/>
  <c r="AF269" i="1"/>
  <c r="AG269" i="1"/>
  <c r="AH269" i="1"/>
  <c r="AI269" i="1"/>
  <c r="AC270" i="1"/>
  <c r="AD270" i="1"/>
  <c r="AE270" i="1"/>
  <c r="AF270" i="1"/>
  <c r="AG270" i="1"/>
  <c r="AH270" i="1"/>
  <c r="AI270" i="1"/>
  <c r="AC271" i="1"/>
  <c r="AD271" i="1"/>
  <c r="AE271" i="1"/>
  <c r="AF271" i="1"/>
  <c r="AG271" i="1"/>
  <c r="AH271" i="1"/>
  <c r="AI271" i="1"/>
  <c r="AC272" i="1"/>
  <c r="AD272" i="1"/>
  <c r="AE272" i="1"/>
  <c r="AF272" i="1"/>
  <c r="AG272" i="1"/>
  <c r="AH272" i="1"/>
  <c r="AI272" i="1"/>
  <c r="AC273" i="1"/>
  <c r="AD273" i="1"/>
  <c r="AE273" i="1"/>
  <c r="AF273" i="1"/>
  <c r="AG273" i="1"/>
  <c r="AH273" i="1"/>
  <c r="AI273" i="1"/>
  <c r="AC274" i="1"/>
  <c r="AD274" i="1"/>
  <c r="AE274" i="1"/>
  <c r="AF274" i="1"/>
  <c r="AG274" i="1"/>
  <c r="AH274" i="1"/>
  <c r="AI274" i="1"/>
  <c r="AC275" i="1"/>
  <c r="AD275" i="1"/>
  <c r="AE275" i="1"/>
  <c r="AF275" i="1"/>
  <c r="AG275" i="1"/>
  <c r="AH275" i="1"/>
  <c r="AI275" i="1"/>
  <c r="AC276" i="1"/>
  <c r="AD276" i="1"/>
  <c r="AE276" i="1"/>
  <c r="AF276" i="1"/>
  <c r="AG276" i="1"/>
  <c r="AH276" i="1"/>
  <c r="AI276" i="1"/>
  <c r="AC277" i="1"/>
  <c r="AD277" i="1"/>
  <c r="AE277" i="1"/>
  <c r="AF277" i="1"/>
  <c r="AG277" i="1"/>
  <c r="AH277" i="1"/>
  <c r="AI277" i="1"/>
  <c r="AC278" i="1"/>
  <c r="AD278" i="1"/>
  <c r="AE278" i="1"/>
  <c r="AF278" i="1"/>
  <c r="AG278" i="1"/>
  <c r="AH278" i="1"/>
  <c r="AI278" i="1"/>
  <c r="AC279" i="1"/>
  <c r="AD279" i="1"/>
  <c r="AE279" i="1"/>
  <c r="AF279" i="1"/>
  <c r="AG279" i="1"/>
  <c r="AH279" i="1"/>
  <c r="AI279" i="1"/>
  <c r="AC280" i="1"/>
  <c r="AD280" i="1"/>
  <c r="AE280" i="1"/>
  <c r="AF280" i="1"/>
  <c r="AG280" i="1"/>
  <c r="AH280" i="1"/>
  <c r="AI280" i="1"/>
  <c r="AC281" i="1"/>
  <c r="AD281" i="1"/>
  <c r="AE281" i="1"/>
  <c r="AF281" i="1"/>
  <c r="AG281" i="1"/>
  <c r="AH281" i="1"/>
  <c r="AI281" i="1"/>
  <c r="AC282" i="1"/>
  <c r="AD282" i="1"/>
  <c r="AE282" i="1"/>
  <c r="AF282" i="1"/>
  <c r="AG282" i="1"/>
  <c r="AH282" i="1"/>
  <c r="AI282" i="1"/>
  <c r="AC283" i="1"/>
  <c r="AD283" i="1"/>
  <c r="AE283" i="1"/>
  <c r="AF283" i="1"/>
  <c r="AG283" i="1"/>
  <c r="AH283" i="1"/>
  <c r="AI283" i="1"/>
  <c r="AC284" i="1"/>
  <c r="AD284" i="1"/>
  <c r="AE284" i="1"/>
  <c r="AF284" i="1"/>
  <c r="AG284" i="1"/>
  <c r="AH284" i="1"/>
  <c r="AI284" i="1"/>
  <c r="AC285" i="1"/>
  <c r="AD285" i="1"/>
  <c r="AE285" i="1"/>
  <c r="AF285" i="1"/>
  <c r="AG285" i="1"/>
  <c r="AH285" i="1"/>
  <c r="AI285" i="1"/>
  <c r="AC286" i="1"/>
  <c r="AD286" i="1"/>
  <c r="AE286" i="1"/>
  <c r="AF286" i="1"/>
  <c r="AG286" i="1"/>
  <c r="AH286" i="1"/>
  <c r="AI286" i="1"/>
  <c r="AC287" i="1"/>
  <c r="AD287" i="1"/>
  <c r="AE287" i="1"/>
  <c r="AF287" i="1"/>
  <c r="AG287" i="1"/>
  <c r="AH287" i="1"/>
  <c r="AI287" i="1"/>
  <c r="AC288" i="1"/>
  <c r="AD288" i="1"/>
  <c r="AE288" i="1"/>
  <c r="AF288" i="1"/>
  <c r="AG288" i="1"/>
  <c r="AH288" i="1"/>
  <c r="AI288" i="1"/>
  <c r="AC289" i="1"/>
  <c r="AD289" i="1"/>
  <c r="AE289" i="1"/>
  <c r="AF289" i="1"/>
  <c r="AG289" i="1"/>
  <c r="AH289" i="1"/>
  <c r="AI289" i="1"/>
  <c r="AC290" i="1"/>
  <c r="AD290" i="1"/>
  <c r="AE290" i="1"/>
  <c r="AF290" i="1"/>
  <c r="AG290" i="1"/>
  <c r="AH290" i="1"/>
  <c r="AI290" i="1"/>
  <c r="AC291" i="1"/>
  <c r="AD291" i="1"/>
  <c r="AE291" i="1"/>
  <c r="AF291" i="1"/>
  <c r="AG291" i="1"/>
  <c r="AH291" i="1"/>
  <c r="AI291" i="1"/>
  <c r="AC292" i="1"/>
  <c r="AD292" i="1"/>
  <c r="AE292" i="1"/>
  <c r="AF292" i="1"/>
  <c r="AG292" i="1"/>
  <c r="AH292" i="1"/>
  <c r="AI292" i="1"/>
  <c r="AC293" i="1"/>
  <c r="AD293" i="1"/>
  <c r="AE293" i="1"/>
  <c r="AF293" i="1"/>
  <c r="AG293" i="1"/>
  <c r="AH293" i="1"/>
  <c r="AI293" i="1"/>
  <c r="AC294" i="1"/>
  <c r="AD294" i="1"/>
  <c r="AE294" i="1"/>
  <c r="AF294" i="1"/>
  <c r="AG294" i="1"/>
  <c r="AH294" i="1"/>
  <c r="AI294" i="1"/>
  <c r="AC295" i="1"/>
  <c r="AD295" i="1"/>
  <c r="AE295" i="1"/>
  <c r="AF295" i="1"/>
  <c r="AG295" i="1"/>
  <c r="AH295" i="1"/>
  <c r="AI295" i="1"/>
  <c r="AC296" i="1"/>
  <c r="AD296" i="1"/>
  <c r="AE296" i="1"/>
  <c r="AF296" i="1"/>
  <c r="AG296" i="1"/>
  <c r="AH296" i="1"/>
  <c r="AI296" i="1"/>
  <c r="AC297" i="1"/>
  <c r="AD297" i="1"/>
  <c r="AE297" i="1"/>
  <c r="AF297" i="1"/>
  <c r="AG297" i="1"/>
  <c r="AH297" i="1"/>
  <c r="AI297" i="1"/>
  <c r="AC298" i="1"/>
  <c r="AD298" i="1"/>
  <c r="AE298" i="1"/>
  <c r="AF298" i="1"/>
  <c r="AG298" i="1"/>
  <c r="AH298" i="1"/>
  <c r="AI298" i="1"/>
  <c r="AC299" i="1"/>
  <c r="AD299" i="1"/>
  <c r="AE299" i="1"/>
  <c r="AF299" i="1"/>
  <c r="AG299" i="1"/>
  <c r="AH299" i="1"/>
  <c r="AI299" i="1"/>
  <c r="AC300" i="1"/>
  <c r="AD300" i="1"/>
  <c r="AE300" i="1"/>
  <c r="AF300" i="1"/>
  <c r="AG300" i="1"/>
  <c r="AH300" i="1"/>
  <c r="AI300" i="1"/>
  <c r="AC301" i="1"/>
  <c r="AD301" i="1"/>
  <c r="AE301" i="1"/>
  <c r="AF301" i="1"/>
  <c r="AG301" i="1"/>
  <c r="AH301" i="1"/>
  <c r="AI301" i="1"/>
  <c r="AC302" i="1"/>
  <c r="AD302" i="1"/>
  <c r="AE302" i="1"/>
  <c r="AF302" i="1"/>
  <c r="AG302" i="1"/>
  <c r="AH302" i="1"/>
  <c r="AI302" i="1"/>
  <c r="AC303" i="1"/>
  <c r="AD303" i="1"/>
  <c r="AE303" i="1"/>
  <c r="AF303" i="1"/>
  <c r="AG303" i="1"/>
  <c r="AH303" i="1"/>
  <c r="AI303" i="1"/>
  <c r="AC304" i="1"/>
  <c r="AD304" i="1"/>
  <c r="AE304" i="1"/>
  <c r="AF304" i="1"/>
  <c r="AG304" i="1"/>
  <c r="AH304" i="1"/>
  <c r="AI304" i="1"/>
  <c r="AC305" i="1"/>
  <c r="AD305" i="1"/>
  <c r="AE305" i="1"/>
  <c r="AF305" i="1"/>
  <c r="AG305" i="1"/>
  <c r="AH305" i="1"/>
  <c r="AI305" i="1"/>
  <c r="AC306" i="1"/>
  <c r="AD306" i="1"/>
  <c r="AE306" i="1"/>
  <c r="AF306" i="1"/>
  <c r="AG306" i="1"/>
  <c r="AH306" i="1"/>
  <c r="AI306" i="1"/>
  <c r="AC307" i="1"/>
  <c r="AD307" i="1"/>
  <c r="AE307" i="1"/>
  <c r="AF307" i="1"/>
  <c r="AG307" i="1"/>
  <c r="AH307" i="1"/>
  <c r="AI307" i="1"/>
  <c r="AC308" i="1"/>
  <c r="AD308" i="1"/>
  <c r="AE308" i="1"/>
  <c r="AF308" i="1"/>
  <c r="AG308" i="1"/>
  <c r="AH308" i="1"/>
  <c r="AI308" i="1"/>
  <c r="AC309" i="1"/>
  <c r="AD309" i="1"/>
  <c r="AE309" i="1"/>
  <c r="AF309" i="1"/>
  <c r="AG309" i="1"/>
  <c r="AH309" i="1"/>
  <c r="AI309" i="1"/>
  <c r="AC310" i="1"/>
  <c r="AD310" i="1"/>
  <c r="AE310" i="1"/>
  <c r="AF310" i="1"/>
  <c r="AG310" i="1"/>
  <c r="AH310" i="1"/>
  <c r="AI310" i="1"/>
  <c r="AC311" i="1"/>
  <c r="AD311" i="1"/>
  <c r="AE311" i="1"/>
  <c r="AF311" i="1"/>
  <c r="AG311" i="1"/>
  <c r="AH311" i="1"/>
  <c r="AI311" i="1"/>
  <c r="AC312" i="1"/>
  <c r="AD312" i="1"/>
  <c r="AE312" i="1"/>
  <c r="AF312" i="1"/>
  <c r="AG312" i="1"/>
  <c r="AH312" i="1"/>
  <c r="AI312" i="1"/>
  <c r="AC313" i="1"/>
  <c r="AD313" i="1"/>
  <c r="AE313" i="1"/>
  <c r="AF313" i="1"/>
  <c r="AG313" i="1"/>
  <c r="AH313" i="1"/>
  <c r="AI313" i="1"/>
  <c r="AC314" i="1"/>
  <c r="AD314" i="1"/>
  <c r="AE314" i="1"/>
  <c r="AF314" i="1"/>
  <c r="AG314" i="1"/>
  <c r="AH314" i="1"/>
  <c r="AI314" i="1"/>
  <c r="AC315" i="1"/>
  <c r="AD315" i="1"/>
  <c r="AE315" i="1"/>
  <c r="AF315" i="1"/>
  <c r="AG315" i="1"/>
  <c r="AH315" i="1"/>
  <c r="AI315" i="1"/>
  <c r="AC316" i="1"/>
  <c r="AD316" i="1"/>
  <c r="AE316" i="1"/>
  <c r="AF316" i="1"/>
  <c r="AG316" i="1"/>
  <c r="AH316" i="1"/>
  <c r="AI316" i="1"/>
  <c r="AC317" i="1"/>
  <c r="AD317" i="1"/>
  <c r="AE317" i="1"/>
  <c r="AF317" i="1"/>
  <c r="AG317" i="1"/>
  <c r="AH317" i="1"/>
  <c r="AI317" i="1"/>
  <c r="AC318" i="1"/>
  <c r="AD318" i="1"/>
  <c r="AE318" i="1"/>
  <c r="AF318" i="1"/>
  <c r="AG318" i="1"/>
  <c r="AH318" i="1"/>
  <c r="AI318" i="1"/>
  <c r="AC319" i="1"/>
  <c r="AD319" i="1"/>
  <c r="AE319" i="1"/>
  <c r="AF319" i="1"/>
  <c r="AG319" i="1"/>
  <c r="AH319" i="1"/>
  <c r="AI319" i="1"/>
  <c r="AC320" i="1"/>
  <c r="AD320" i="1"/>
  <c r="AE320" i="1"/>
  <c r="AF320" i="1"/>
  <c r="AG320" i="1"/>
  <c r="AH320" i="1"/>
  <c r="AI320" i="1"/>
  <c r="AC321" i="1"/>
  <c r="AD321" i="1"/>
  <c r="AE321" i="1"/>
  <c r="AF321" i="1"/>
  <c r="AG321" i="1"/>
  <c r="AH321" i="1"/>
  <c r="AI321" i="1"/>
  <c r="AC322" i="1"/>
  <c r="AD322" i="1"/>
  <c r="AE322" i="1"/>
  <c r="AF322" i="1"/>
  <c r="AG322" i="1"/>
  <c r="AH322" i="1"/>
  <c r="AI322" i="1"/>
  <c r="AC323" i="1"/>
  <c r="AD323" i="1"/>
  <c r="AE323" i="1"/>
  <c r="AF323" i="1"/>
  <c r="AG323" i="1"/>
  <c r="AH323" i="1"/>
  <c r="AI323" i="1"/>
  <c r="AC324" i="1"/>
  <c r="AD324" i="1"/>
  <c r="AE324" i="1"/>
  <c r="AF324" i="1"/>
  <c r="AG324" i="1"/>
  <c r="AH324" i="1"/>
  <c r="AI324" i="1"/>
  <c r="AC325" i="1"/>
  <c r="AD325" i="1"/>
  <c r="AE325" i="1"/>
  <c r="AF325" i="1"/>
  <c r="AG325" i="1"/>
  <c r="AH325" i="1"/>
  <c r="AI325" i="1"/>
  <c r="AC326" i="1"/>
  <c r="AD326" i="1"/>
  <c r="AE326" i="1"/>
  <c r="AF326" i="1"/>
  <c r="AG326" i="1"/>
  <c r="AH326" i="1"/>
  <c r="AI326" i="1"/>
  <c r="AC327" i="1"/>
  <c r="AD327" i="1"/>
  <c r="AE327" i="1"/>
  <c r="AF327" i="1"/>
  <c r="AG327" i="1"/>
  <c r="AH327" i="1"/>
  <c r="AI327" i="1"/>
  <c r="AC328" i="1"/>
  <c r="AD328" i="1"/>
  <c r="AE328" i="1"/>
  <c r="AF328" i="1"/>
  <c r="AG328" i="1"/>
  <c r="AH328" i="1"/>
  <c r="AI328" i="1"/>
  <c r="AC329" i="1"/>
  <c r="AD329" i="1"/>
  <c r="AE329" i="1"/>
  <c r="AF329" i="1"/>
  <c r="AG329" i="1"/>
  <c r="AH329" i="1"/>
  <c r="AI329" i="1"/>
  <c r="AC330" i="1"/>
  <c r="AD330" i="1"/>
  <c r="AE330" i="1"/>
  <c r="AF330" i="1"/>
  <c r="AG330" i="1"/>
  <c r="AH330" i="1"/>
  <c r="AI330" i="1"/>
  <c r="AC331" i="1"/>
  <c r="AD331" i="1"/>
  <c r="AE331" i="1"/>
  <c r="AF331" i="1"/>
  <c r="AG331" i="1"/>
  <c r="AH331" i="1"/>
  <c r="AI331" i="1"/>
  <c r="AC332" i="1"/>
  <c r="AD332" i="1"/>
  <c r="AE332" i="1"/>
  <c r="AF332" i="1"/>
  <c r="AG332" i="1"/>
  <c r="AH332" i="1"/>
  <c r="AI332" i="1"/>
  <c r="AC333" i="1"/>
  <c r="AD333" i="1"/>
  <c r="AE333" i="1"/>
  <c r="AF333" i="1"/>
  <c r="AG333" i="1"/>
  <c r="AH333" i="1"/>
  <c r="AI333" i="1"/>
  <c r="AC334" i="1"/>
  <c r="AD334" i="1"/>
  <c r="AE334" i="1"/>
  <c r="AF334" i="1"/>
  <c r="AG334" i="1"/>
  <c r="AH334" i="1"/>
  <c r="AI334" i="1"/>
  <c r="AC335" i="1"/>
  <c r="AD335" i="1"/>
  <c r="AE335" i="1"/>
  <c r="AF335" i="1"/>
  <c r="AG335" i="1"/>
  <c r="AH335" i="1"/>
  <c r="AI335" i="1"/>
  <c r="AC336" i="1"/>
  <c r="AD336" i="1"/>
  <c r="AE336" i="1"/>
  <c r="AF336" i="1"/>
  <c r="AG336" i="1"/>
  <c r="AH336" i="1"/>
  <c r="AI336" i="1"/>
  <c r="AC337" i="1"/>
  <c r="AD337" i="1"/>
  <c r="AE337" i="1"/>
  <c r="AF337" i="1"/>
  <c r="AG337" i="1"/>
  <c r="AH337" i="1"/>
  <c r="AI337" i="1"/>
  <c r="AC338" i="1"/>
  <c r="AD338" i="1"/>
  <c r="AE338" i="1"/>
  <c r="AF338" i="1"/>
  <c r="AG338" i="1"/>
  <c r="AH338" i="1"/>
  <c r="AI338" i="1"/>
  <c r="AC339" i="1"/>
  <c r="AD339" i="1"/>
  <c r="AE339" i="1"/>
  <c r="AF339" i="1"/>
  <c r="AG339" i="1"/>
  <c r="AH339" i="1"/>
  <c r="AI339" i="1"/>
  <c r="AC340" i="1"/>
  <c r="AD340" i="1"/>
  <c r="AE340" i="1"/>
  <c r="AF340" i="1"/>
  <c r="AG340" i="1"/>
  <c r="AH340" i="1"/>
  <c r="AI340" i="1"/>
  <c r="AC341" i="1"/>
  <c r="AD341" i="1"/>
  <c r="AE341" i="1"/>
  <c r="AF341" i="1"/>
  <c r="AG341" i="1"/>
  <c r="AH341" i="1"/>
  <c r="AI341" i="1"/>
  <c r="AC342" i="1"/>
  <c r="AD342" i="1"/>
  <c r="AE342" i="1"/>
  <c r="AF342" i="1"/>
  <c r="AG342" i="1"/>
  <c r="AH342" i="1"/>
  <c r="AI342" i="1"/>
  <c r="AC343" i="1"/>
  <c r="AD343" i="1"/>
  <c r="AE343" i="1"/>
  <c r="AF343" i="1"/>
  <c r="AG343" i="1"/>
  <c r="AH343" i="1"/>
  <c r="AI343" i="1"/>
  <c r="AC344" i="1"/>
  <c r="AD344" i="1"/>
  <c r="AE344" i="1"/>
  <c r="AF344" i="1"/>
  <c r="AG344" i="1"/>
  <c r="AH344" i="1"/>
  <c r="AI344" i="1"/>
  <c r="AC345" i="1"/>
  <c r="AD345" i="1"/>
  <c r="AE345" i="1"/>
  <c r="AF345" i="1"/>
  <c r="AG345" i="1"/>
  <c r="AH345" i="1"/>
  <c r="AI345" i="1"/>
  <c r="AC346" i="1"/>
  <c r="AD346" i="1"/>
  <c r="AE346" i="1"/>
  <c r="AF346" i="1"/>
  <c r="AG346" i="1"/>
  <c r="AH346" i="1"/>
  <c r="AI346" i="1"/>
  <c r="AC347" i="1"/>
  <c r="AD347" i="1"/>
  <c r="AE347" i="1"/>
  <c r="AF347" i="1"/>
  <c r="AG347" i="1"/>
  <c r="AH347" i="1"/>
  <c r="AI347" i="1"/>
  <c r="AC348" i="1"/>
  <c r="AD348" i="1"/>
  <c r="AE348" i="1"/>
  <c r="AF348" i="1"/>
  <c r="AG348" i="1"/>
  <c r="AH348" i="1"/>
  <c r="AI348" i="1"/>
  <c r="AC349" i="1"/>
  <c r="AD349" i="1"/>
  <c r="AE349" i="1"/>
  <c r="AF349" i="1"/>
  <c r="AG349" i="1"/>
  <c r="AH349" i="1"/>
  <c r="AI349" i="1"/>
  <c r="AC350" i="1"/>
  <c r="AD350" i="1"/>
  <c r="AE350" i="1"/>
  <c r="AF350" i="1"/>
  <c r="AG350" i="1"/>
  <c r="AH350" i="1"/>
  <c r="AI350" i="1"/>
  <c r="AC351" i="1"/>
  <c r="AD351" i="1"/>
  <c r="AE351" i="1"/>
  <c r="AF351" i="1"/>
  <c r="AG351" i="1"/>
  <c r="AH351" i="1"/>
  <c r="AI351" i="1"/>
  <c r="AC352" i="1"/>
  <c r="AD352" i="1"/>
  <c r="AE352" i="1"/>
  <c r="AF352" i="1"/>
  <c r="AG352" i="1"/>
  <c r="AH352" i="1"/>
  <c r="AI352" i="1"/>
  <c r="AC353" i="1"/>
  <c r="AD353" i="1"/>
  <c r="AE353" i="1"/>
  <c r="AF353" i="1"/>
  <c r="AG353" i="1"/>
  <c r="AH353" i="1"/>
  <c r="AI353" i="1"/>
  <c r="AC354" i="1"/>
  <c r="AD354" i="1"/>
  <c r="AE354" i="1"/>
  <c r="AF354" i="1"/>
  <c r="AG354" i="1"/>
  <c r="AH354" i="1"/>
  <c r="AI354" i="1"/>
  <c r="AC355" i="1"/>
  <c r="AD355" i="1"/>
  <c r="AE355" i="1"/>
  <c r="AF355" i="1"/>
  <c r="AG355" i="1"/>
  <c r="AH355" i="1"/>
  <c r="AI355" i="1"/>
  <c r="AC356" i="1"/>
  <c r="AD356" i="1"/>
  <c r="AE356" i="1"/>
  <c r="AF356" i="1"/>
  <c r="AG356" i="1"/>
  <c r="AH356" i="1"/>
  <c r="AI356" i="1"/>
  <c r="AC357" i="1"/>
  <c r="AD357" i="1"/>
  <c r="AE357" i="1"/>
  <c r="AF357" i="1"/>
  <c r="AG357" i="1"/>
  <c r="AH357" i="1"/>
  <c r="AI357" i="1"/>
  <c r="AC358" i="1"/>
  <c r="AD358" i="1"/>
  <c r="AE358" i="1"/>
  <c r="AF358" i="1"/>
  <c r="AG358" i="1"/>
  <c r="AH358" i="1"/>
  <c r="AI358" i="1"/>
  <c r="AC359" i="1"/>
  <c r="AD359" i="1"/>
  <c r="AE359" i="1"/>
  <c r="AF359" i="1"/>
  <c r="AG359" i="1"/>
  <c r="AH359" i="1"/>
  <c r="AI359" i="1"/>
  <c r="AC360" i="1"/>
  <c r="AD360" i="1"/>
  <c r="AE360" i="1"/>
  <c r="AF360" i="1"/>
  <c r="AG360" i="1"/>
  <c r="AH360" i="1"/>
  <c r="AI360" i="1"/>
  <c r="AC361" i="1"/>
  <c r="AD361" i="1"/>
  <c r="AE361" i="1"/>
  <c r="AF361" i="1"/>
  <c r="AG361" i="1"/>
  <c r="AH361" i="1"/>
  <c r="AI361" i="1"/>
  <c r="AC362" i="1"/>
  <c r="AD362" i="1"/>
  <c r="AE362" i="1"/>
  <c r="AF362" i="1"/>
  <c r="AG362" i="1"/>
  <c r="AH362" i="1"/>
  <c r="AI362" i="1"/>
  <c r="AC363" i="1"/>
  <c r="AD363" i="1"/>
  <c r="AE363" i="1"/>
  <c r="AF363" i="1"/>
  <c r="AG363" i="1"/>
  <c r="AH363" i="1"/>
  <c r="AI363" i="1"/>
  <c r="AC364" i="1"/>
  <c r="AD364" i="1"/>
  <c r="AE364" i="1"/>
  <c r="AF364" i="1"/>
  <c r="AG364" i="1"/>
  <c r="AH364" i="1"/>
  <c r="AI364" i="1"/>
  <c r="AC365" i="1"/>
  <c r="AD365" i="1"/>
  <c r="AE365" i="1"/>
  <c r="AF365" i="1"/>
  <c r="AG365" i="1"/>
  <c r="AH365" i="1"/>
  <c r="AI365" i="1"/>
  <c r="AC366" i="1"/>
  <c r="AD366" i="1"/>
  <c r="AE366" i="1"/>
  <c r="AF366" i="1"/>
  <c r="AG366" i="1"/>
  <c r="AH366" i="1"/>
  <c r="AI366" i="1"/>
  <c r="AC367" i="1"/>
  <c r="AD367" i="1"/>
  <c r="AE367" i="1"/>
  <c r="AF367" i="1"/>
  <c r="AG367" i="1"/>
  <c r="AH367" i="1"/>
  <c r="AI367" i="1"/>
  <c r="AC368" i="1"/>
  <c r="AD368" i="1"/>
  <c r="AE368" i="1"/>
  <c r="AF368" i="1"/>
  <c r="AG368" i="1"/>
  <c r="AH368" i="1"/>
  <c r="AI368" i="1"/>
  <c r="AC369" i="1"/>
  <c r="AD369" i="1"/>
  <c r="AE369" i="1"/>
  <c r="AF369" i="1"/>
  <c r="AG369" i="1"/>
  <c r="AH369" i="1"/>
  <c r="AI369" i="1"/>
  <c r="AC370" i="1"/>
  <c r="AD370" i="1"/>
  <c r="AE370" i="1"/>
  <c r="AF370" i="1"/>
  <c r="AG370" i="1"/>
  <c r="AH370" i="1"/>
  <c r="AI370" i="1"/>
  <c r="AC371" i="1"/>
  <c r="AD371" i="1"/>
  <c r="AE371" i="1"/>
  <c r="AF371" i="1"/>
  <c r="AG371" i="1"/>
  <c r="AH371" i="1"/>
  <c r="AI371" i="1"/>
  <c r="AC372" i="1"/>
  <c r="AD372" i="1"/>
  <c r="AE372" i="1"/>
  <c r="AF372" i="1"/>
  <c r="AG372" i="1"/>
  <c r="AH372" i="1"/>
  <c r="AI372" i="1"/>
  <c r="AC373" i="1"/>
  <c r="AD373" i="1"/>
  <c r="AE373" i="1"/>
  <c r="AF373" i="1"/>
  <c r="AG373" i="1"/>
  <c r="AH373" i="1"/>
  <c r="AI373" i="1"/>
  <c r="AC374" i="1"/>
  <c r="AD374" i="1"/>
  <c r="AE374" i="1"/>
  <c r="AF374" i="1"/>
  <c r="AG374" i="1"/>
  <c r="AH374" i="1"/>
  <c r="AI374" i="1"/>
  <c r="AC375" i="1"/>
  <c r="AD375" i="1"/>
  <c r="AE375" i="1"/>
  <c r="AF375" i="1"/>
  <c r="AG375" i="1"/>
  <c r="AH375" i="1"/>
  <c r="AI375" i="1"/>
  <c r="AC376" i="1"/>
  <c r="AD376" i="1"/>
  <c r="AE376" i="1"/>
  <c r="AF376" i="1"/>
  <c r="AG376" i="1"/>
  <c r="AH376" i="1"/>
  <c r="AI376" i="1"/>
  <c r="AC377" i="1"/>
  <c r="AD377" i="1"/>
  <c r="AE377" i="1"/>
  <c r="AF377" i="1"/>
  <c r="AG377" i="1"/>
  <c r="AH377" i="1"/>
  <c r="AI377" i="1"/>
  <c r="AC378" i="1"/>
  <c r="AD378" i="1"/>
  <c r="AE378" i="1"/>
  <c r="AF378" i="1"/>
  <c r="AG378" i="1"/>
  <c r="AH378" i="1"/>
  <c r="AI378" i="1"/>
  <c r="AC379" i="1"/>
  <c r="AD379" i="1"/>
  <c r="AE379" i="1"/>
  <c r="AF379" i="1"/>
  <c r="AG379" i="1"/>
  <c r="AH379" i="1"/>
  <c r="AI379" i="1"/>
  <c r="AC380" i="1"/>
  <c r="AD380" i="1"/>
  <c r="AE380" i="1"/>
  <c r="AF380" i="1"/>
  <c r="AG380" i="1"/>
  <c r="AH380" i="1"/>
  <c r="AI380" i="1"/>
  <c r="AC381" i="1"/>
  <c r="AD381" i="1"/>
  <c r="AE381" i="1"/>
  <c r="AF381" i="1"/>
  <c r="AG381" i="1"/>
  <c r="AH381" i="1"/>
  <c r="AI381" i="1"/>
  <c r="AC382" i="1"/>
  <c r="AD382" i="1"/>
  <c r="AE382" i="1"/>
  <c r="AF382" i="1"/>
  <c r="AG382" i="1"/>
  <c r="AH382" i="1"/>
  <c r="AI382" i="1"/>
  <c r="AC383" i="1"/>
  <c r="AD383" i="1"/>
  <c r="AE383" i="1"/>
  <c r="AF383" i="1"/>
  <c r="AG383" i="1"/>
  <c r="AH383" i="1"/>
  <c r="AI383" i="1"/>
  <c r="AC384" i="1"/>
  <c r="AD384" i="1"/>
  <c r="AE384" i="1"/>
  <c r="AF384" i="1"/>
  <c r="AG384" i="1"/>
  <c r="AH384" i="1"/>
  <c r="AI384" i="1"/>
  <c r="AC385" i="1"/>
  <c r="AD385" i="1"/>
  <c r="AE385" i="1"/>
  <c r="AF385" i="1"/>
  <c r="AG385" i="1"/>
  <c r="AH385" i="1"/>
  <c r="AI385" i="1"/>
  <c r="AC386" i="1"/>
  <c r="AD386" i="1"/>
  <c r="AE386" i="1"/>
  <c r="AF386" i="1"/>
  <c r="AG386" i="1"/>
  <c r="AH386" i="1"/>
  <c r="AI386" i="1"/>
  <c r="AC387" i="1"/>
  <c r="AD387" i="1"/>
  <c r="AE387" i="1"/>
  <c r="AF387" i="1"/>
  <c r="AG387" i="1"/>
  <c r="AH387" i="1"/>
  <c r="AI387" i="1"/>
  <c r="AC388" i="1"/>
  <c r="AD388" i="1"/>
  <c r="AE388" i="1"/>
  <c r="AF388" i="1"/>
  <c r="AG388" i="1"/>
  <c r="AH388" i="1"/>
  <c r="AI388" i="1"/>
  <c r="AC389" i="1"/>
  <c r="AD389" i="1"/>
  <c r="AE389" i="1"/>
  <c r="AF389" i="1"/>
  <c r="AG389" i="1"/>
  <c r="AH389" i="1"/>
  <c r="AI389" i="1"/>
  <c r="AC390" i="1"/>
  <c r="AD390" i="1"/>
  <c r="AE390" i="1"/>
  <c r="AF390" i="1"/>
  <c r="AG390" i="1"/>
  <c r="AH390" i="1"/>
  <c r="AI390" i="1"/>
  <c r="AC391" i="1"/>
  <c r="AD391" i="1"/>
  <c r="AE391" i="1"/>
  <c r="AF391" i="1"/>
  <c r="AG391" i="1"/>
  <c r="AH391" i="1"/>
  <c r="AI391" i="1"/>
  <c r="AC392" i="1"/>
  <c r="AD392" i="1"/>
  <c r="AE392" i="1"/>
  <c r="AF392" i="1"/>
  <c r="AG392" i="1"/>
  <c r="AH392" i="1"/>
  <c r="AI392" i="1"/>
  <c r="AC393" i="1"/>
  <c r="AD393" i="1"/>
  <c r="AE393" i="1"/>
  <c r="AF393" i="1"/>
  <c r="AG393" i="1"/>
  <c r="AH393" i="1"/>
  <c r="AI393" i="1"/>
  <c r="AC394" i="1"/>
  <c r="AD394" i="1"/>
  <c r="AE394" i="1"/>
  <c r="AF394" i="1"/>
  <c r="AG394" i="1"/>
  <c r="AH394" i="1"/>
  <c r="AI394" i="1"/>
  <c r="AC395" i="1"/>
  <c r="AD395" i="1"/>
  <c r="AE395" i="1"/>
  <c r="AF395" i="1"/>
  <c r="AG395" i="1"/>
  <c r="AH395" i="1"/>
  <c r="AI395" i="1"/>
  <c r="AC396" i="1"/>
  <c r="AD396" i="1"/>
  <c r="AE396" i="1"/>
  <c r="AF396" i="1"/>
  <c r="AG396" i="1"/>
  <c r="AH396" i="1"/>
  <c r="AI396" i="1"/>
  <c r="AC397" i="1"/>
  <c r="AD397" i="1"/>
  <c r="AE397" i="1"/>
  <c r="AF397" i="1"/>
  <c r="AG397" i="1"/>
  <c r="AH397" i="1"/>
  <c r="AI397" i="1"/>
  <c r="AC398" i="1"/>
  <c r="AD398" i="1"/>
  <c r="AE398" i="1"/>
  <c r="AF398" i="1"/>
  <c r="AG398" i="1"/>
  <c r="AH398" i="1"/>
  <c r="AI398" i="1"/>
  <c r="AC399" i="1"/>
  <c r="AD399" i="1"/>
  <c r="AE399" i="1"/>
  <c r="AF399" i="1"/>
  <c r="AG399" i="1"/>
  <c r="AH399" i="1"/>
  <c r="AI399" i="1"/>
  <c r="AC400" i="1"/>
  <c r="AD400" i="1"/>
  <c r="AE400" i="1"/>
  <c r="AF400" i="1"/>
  <c r="AG400" i="1"/>
  <c r="AH400" i="1"/>
  <c r="AI400" i="1"/>
  <c r="AC401" i="1"/>
  <c r="AD401" i="1"/>
  <c r="AE401" i="1"/>
  <c r="AF401" i="1"/>
  <c r="AG401" i="1"/>
  <c r="AH401" i="1"/>
  <c r="AI401" i="1"/>
  <c r="AC402" i="1"/>
  <c r="AD402" i="1"/>
  <c r="AE402" i="1"/>
  <c r="AF402" i="1"/>
  <c r="AG402" i="1"/>
  <c r="AH402" i="1"/>
  <c r="AI402" i="1"/>
  <c r="AC403" i="1"/>
  <c r="AD403" i="1"/>
  <c r="AE403" i="1"/>
  <c r="AF403" i="1"/>
  <c r="AG403" i="1"/>
  <c r="AH403" i="1"/>
  <c r="AI403" i="1"/>
  <c r="AC404" i="1"/>
  <c r="AD404" i="1"/>
  <c r="AE404" i="1"/>
  <c r="AF404" i="1"/>
  <c r="AG404" i="1"/>
  <c r="AH404" i="1"/>
  <c r="AI404" i="1"/>
  <c r="AC405" i="1"/>
  <c r="AD405" i="1"/>
  <c r="AE405" i="1"/>
  <c r="AF405" i="1"/>
  <c r="AG405" i="1"/>
  <c r="AH405" i="1"/>
  <c r="AI405" i="1"/>
  <c r="AC406" i="1"/>
  <c r="AD406" i="1"/>
  <c r="AE406" i="1"/>
  <c r="AF406" i="1"/>
  <c r="AG406" i="1"/>
  <c r="AH406" i="1"/>
  <c r="AI406" i="1"/>
  <c r="AC407" i="1"/>
  <c r="AD407" i="1"/>
  <c r="AE407" i="1"/>
  <c r="AF407" i="1"/>
  <c r="AG407" i="1"/>
  <c r="AH407" i="1"/>
  <c r="AI407" i="1"/>
  <c r="AC408" i="1"/>
  <c r="AD408" i="1"/>
  <c r="AE408" i="1"/>
  <c r="AF408" i="1"/>
  <c r="AG408" i="1"/>
  <c r="AH408" i="1"/>
  <c r="AI408" i="1"/>
  <c r="AC409" i="1"/>
  <c r="AD409" i="1"/>
  <c r="AE409" i="1"/>
  <c r="AF409" i="1"/>
  <c r="AG409" i="1"/>
  <c r="AH409" i="1"/>
  <c r="AI409" i="1"/>
  <c r="AC410" i="1"/>
  <c r="AD410" i="1"/>
  <c r="AE410" i="1"/>
  <c r="AF410" i="1"/>
  <c r="AG410" i="1"/>
  <c r="AH410" i="1"/>
  <c r="AI410" i="1"/>
  <c r="AC411" i="1"/>
  <c r="AD411" i="1"/>
  <c r="AE411" i="1"/>
  <c r="AF411" i="1"/>
  <c r="AG411" i="1"/>
  <c r="AH411" i="1"/>
  <c r="AI411" i="1"/>
  <c r="AC412" i="1"/>
  <c r="AD412" i="1"/>
  <c r="AE412" i="1"/>
  <c r="AF412" i="1"/>
  <c r="AG412" i="1"/>
  <c r="AH412" i="1"/>
  <c r="AI412" i="1"/>
  <c r="AC413" i="1"/>
  <c r="AD413" i="1"/>
  <c r="AE413" i="1"/>
  <c r="AF413" i="1"/>
  <c r="AG413" i="1"/>
  <c r="AH413" i="1"/>
  <c r="AI413" i="1"/>
  <c r="AC414" i="1"/>
  <c r="AD414" i="1"/>
  <c r="AE414" i="1"/>
  <c r="AF414" i="1"/>
  <c r="AG414" i="1"/>
  <c r="AH414" i="1"/>
  <c r="AI414" i="1"/>
  <c r="AC415" i="1"/>
  <c r="AD415" i="1"/>
  <c r="AE415" i="1"/>
  <c r="AF415" i="1"/>
  <c r="AG415" i="1"/>
  <c r="AH415" i="1"/>
  <c r="AI415" i="1"/>
  <c r="AC416" i="1"/>
  <c r="AD416" i="1"/>
  <c r="AE416" i="1"/>
  <c r="AF416" i="1"/>
  <c r="AG416" i="1"/>
  <c r="AH416" i="1"/>
  <c r="AI416" i="1"/>
  <c r="AC417" i="1"/>
  <c r="AD417" i="1"/>
  <c r="AE417" i="1"/>
  <c r="AF417" i="1"/>
  <c r="AG417" i="1"/>
  <c r="AH417" i="1"/>
  <c r="AI417" i="1"/>
  <c r="AC418" i="1"/>
  <c r="AD418" i="1"/>
  <c r="AE418" i="1"/>
  <c r="AF418" i="1"/>
  <c r="AG418" i="1"/>
  <c r="AH418" i="1"/>
  <c r="AI418" i="1"/>
  <c r="AC419" i="1"/>
  <c r="AD419" i="1"/>
  <c r="AE419" i="1"/>
  <c r="AF419" i="1"/>
  <c r="AG419" i="1"/>
  <c r="AH419" i="1"/>
  <c r="AI419" i="1"/>
  <c r="AC420" i="1"/>
  <c r="AD420" i="1"/>
  <c r="AE420" i="1"/>
  <c r="AF420" i="1"/>
  <c r="AG420" i="1"/>
  <c r="AH420" i="1"/>
  <c r="AI420" i="1"/>
  <c r="AC421" i="1"/>
  <c r="AD421" i="1"/>
  <c r="AE421" i="1"/>
  <c r="AF421" i="1"/>
  <c r="AG421" i="1"/>
  <c r="AH421" i="1"/>
  <c r="AI421" i="1"/>
  <c r="AC422" i="1"/>
  <c r="AD422" i="1"/>
  <c r="AE422" i="1"/>
  <c r="AF422" i="1"/>
  <c r="AG422" i="1"/>
  <c r="AH422" i="1"/>
  <c r="AI422" i="1"/>
  <c r="AC423" i="1"/>
  <c r="AD423" i="1"/>
  <c r="AE423" i="1"/>
  <c r="AF423" i="1"/>
  <c r="AG423" i="1"/>
  <c r="AH423" i="1"/>
  <c r="AI423" i="1"/>
  <c r="AC424" i="1"/>
  <c r="AD424" i="1"/>
  <c r="AE424" i="1"/>
  <c r="AF424" i="1"/>
  <c r="AG424" i="1"/>
  <c r="AH424" i="1"/>
  <c r="AI424" i="1"/>
  <c r="AC425" i="1"/>
  <c r="AD425" i="1"/>
  <c r="AE425" i="1"/>
  <c r="AF425" i="1"/>
  <c r="AG425" i="1"/>
  <c r="AH425" i="1"/>
  <c r="AI425" i="1"/>
  <c r="AC426" i="1"/>
  <c r="AD426" i="1"/>
  <c r="AE426" i="1"/>
  <c r="AF426" i="1"/>
  <c r="AG426" i="1"/>
  <c r="AH426" i="1"/>
  <c r="AI426" i="1"/>
  <c r="AC427" i="1"/>
  <c r="AD427" i="1"/>
  <c r="AE427" i="1"/>
  <c r="AF427" i="1"/>
  <c r="AG427" i="1"/>
  <c r="AH427" i="1"/>
  <c r="AI427" i="1"/>
  <c r="AC428" i="1"/>
  <c r="AD428" i="1"/>
  <c r="AE428" i="1"/>
  <c r="AF428" i="1"/>
  <c r="AG428" i="1"/>
  <c r="AH428" i="1"/>
  <c r="AI428" i="1"/>
  <c r="AC429" i="1"/>
  <c r="AD429" i="1"/>
  <c r="AE429" i="1"/>
  <c r="AF429" i="1"/>
  <c r="AG429" i="1"/>
  <c r="AH429" i="1"/>
  <c r="AI429" i="1"/>
  <c r="AC430" i="1"/>
  <c r="AD430" i="1"/>
  <c r="AE430" i="1"/>
  <c r="AF430" i="1"/>
  <c r="AG430" i="1"/>
  <c r="AH430" i="1"/>
  <c r="AI430" i="1"/>
  <c r="AC431" i="1"/>
  <c r="AD431" i="1"/>
  <c r="AE431" i="1"/>
  <c r="AF431" i="1"/>
  <c r="AG431" i="1"/>
  <c r="AH431" i="1"/>
  <c r="AI431" i="1"/>
  <c r="AC432" i="1"/>
  <c r="AD432" i="1"/>
  <c r="AE432" i="1"/>
  <c r="AF432" i="1"/>
  <c r="AG432" i="1"/>
  <c r="AH432" i="1"/>
  <c r="AI432" i="1"/>
  <c r="AC433" i="1"/>
  <c r="AD433" i="1"/>
  <c r="AE433" i="1"/>
  <c r="AF433" i="1"/>
  <c r="AG433" i="1"/>
  <c r="AH433" i="1"/>
  <c r="AI433" i="1"/>
  <c r="AC434" i="1"/>
  <c r="AD434" i="1"/>
  <c r="AE434" i="1"/>
  <c r="AF434" i="1"/>
  <c r="AG434" i="1"/>
  <c r="AH434" i="1"/>
  <c r="AI434" i="1"/>
  <c r="AC435" i="1"/>
  <c r="AD435" i="1"/>
  <c r="AE435" i="1"/>
  <c r="AF435" i="1"/>
  <c r="AG435" i="1"/>
  <c r="AH435" i="1"/>
  <c r="AI435" i="1"/>
  <c r="AC436" i="1"/>
  <c r="AD436" i="1"/>
  <c r="AE436" i="1"/>
  <c r="AF436" i="1"/>
  <c r="AG436" i="1"/>
  <c r="AH436" i="1"/>
  <c r="AI436" i="1"/>
  <c r="AC437" i="1"/>
  <c r="AD437" i="1"/>
  <c r="AE437" i="1"/>
  <c r="AF437" i="1"/>
  <c r="AG437" i="1"/>
  <c r="AH437" i="1"/>
  <c r="AI437" i="1"/>
  <c r="AC438" i="1"/>
  <c r="AD438" i="1"/>
  <c r="AE438" i="1"/>
  <c r="AF438" i="1"/>
  <c r="AG438" i="1"/>
  <c r="AH438" i="1"/>
  <c r="AI438" i="1"/>
  <c r="AC439" i="1"/>
  <c r="AD439" i="1"/>
  <c r="AE439" i="1"/>
  <c r="AF439" i="1"/>
  <c r="AG439" i="1"/>
  <c r="AH439" i="1"/>
  <c r="AI439" i="1"/>
  <c r="AC440" i="1"/>
  <c r="AD440" i="1"/>
  <c r="AE440" i="1"/>
  <c r="AF440" i="1"/>
  <c r="AG440" i="1"/>
  <c r="AH440" i="1"/>
  <c r="AI440" i="1"/>
  <c r="AC441" i="1"/>
  <c r="AD441" i="1"/>
  <c r="AE441" i="1"/>
  <c r="AF441" i="1"/>
  <c r="AG441" i="1"/>
  <c r="AH441" i="1"/>
  <c r="AI441" i="1"/>
  <c r="AC442" i="1"/>
  <c r="AD442" i="1"/>
  <c r="AE442" i="1"/>
  <c r="AF442" i="1"/>
  <c r="AG442" i="1"/>
  <c r="AH442" i="1"/>
  <c r="AI442" i="1"/>
  <c r="AC443" i="1"/>
  <c r="AD443" i="1"/>
  <c r="AE443" i="1"/>
  <c r="AF443" i="1"/>
  <c r="AG443" i="1"/>
  <c r="AH443" i="1"/>
  <c r="AI443" i="1"/>
  <c r="AC444" i="1"/>
  <c r="AD444" i="1"/>
  <c r="AE444" i="1"/>
  <c r="AF444" i="1"/>
  <c r="AG444" i="1"/>
  <c r="AH444" i="1"/>
  <c r="AI444" i="1"/>
  <c r="AC445" i="1"/>
  <c r="AD445" i="1"/>
  <c r="AE445" i="1"/>
  <c r="AF445" i="1"/>
  <c r="AG445" i="1"/>
  <c r="AH445" i="1"/>
  <c r="AI445" i="1"/>
  <c r="AC446" i="1"/>
  <c r="AD446" i="1"/>
  <c r="AE446" i="1"/>
  <c r="AF446" i="1"/>
  <c r="AG446" i="1"/>
  <c r="AH446" i="1"/>
  <c r="AI446" i="1"/>
  <c r="AC447" i="1"/>
  <c r="AD447" i="1"/>
  <c r="AE447" i="1"/>
  <c r="AF447" i="1"/>
  <c r="AG447" i="1"/>
  <c r="AH447" i="1"/>
  <c r="AI447" i="1"/>
  <c r="AC448" i="1"/>
  <c r="AD448" i="1"/>
  <c r="AE448" i="1"/>
  <c r="AF448" i="1"/>
  <c r="AG448" i="1"/>
  <c r="AH448" i="1"/>
  <c r="AI448" i="1"/>
  <c r="AC449" i="1"/>
  <c r="AD449" i="1"/>
  <c r="AE449" i="1"/>
  <c r="AF449" i="1"/>
  <c r="AG449" i="1"/>
  <c r="AH449" i="1"/>
  <c r="AI449" i="1"/>
  <c r="AC450" i="1"/>
  <c r="AD450" i="1"/>
  <c r="AE450" i="1"/>
  <c r="AF450" i="1"/>
  <c r="AG450" i="1"/>
  <c r="AH450" i="1"/>
  <c r="AI450" i="1"/>
  <c r="AC451" i="1"/>
  <c r="AD451" i="1"/>
  <c r="AE451" i="1"/>
  <c r="AF451" i="1"/>
  <c r="AG451" i="1"/>
  <c r="AH451" i="1"/>
  <c r="AI451" i="1"/>
  <c r="AC452" i="1"/>
  <c r="AD452" i="1"/>
  <c r="AE452" i="1"/>
  <c r="AF452" i="1"/>
  <c r="AG452" i="1"/>
  <c r="AH452" i="1"/>
  <c r="AI452" i="1"/>
  <c r="AC453" i="1"/>
  <c r="AD453" i="1"/>
  <c r="AE453" i="1"/>
  <c r="AF453" i="1"/>
  <c r="AG453" i="1"/>
  <c r="AH453" i="1"/>
  <c r="AI453" i="1"/>
  <c r="AC454" i="1"/>
  <c r="AD454" i="1"/>
  <c r="AE454" i="1"/>
  <c r="AF454" i="1"/>
  <c r="AG454" i="1"/>
  <c r="AH454" i="1"/>
  <c r="AI454" i="1"/>
  <c r="AC455" i="1"/>
  <c r="AD455" i="1"/>
  <c r="AE455" i="1"/>
  <c r="AF455" i="1"/>
  <c r="AG455" i="1"/>
  <c r="AH455" i="1"/>
  <c r="AI455" i="1"/>
  <c r="AC456" i="1"/>
  <c r="AD456" i="1"/>
  <c r="AE456" i="1"/>
  <c r="AF456" i="1"/>
  <c r="AG456" i="1"/>
  <c r="AH456" i="1"/>
  <c r="AI456" i="1"/>
  <c r="AC457" i="1"/>
  <c r="AD457" i="1"/>
  <c r="AE457" i="1"/>
  <c r="AF457" i="1"/>
  <c r="AG457" i="1"/>
  <c r="AH457" i="1"/>
  <c r="AI457" i="1"/>
  <c r="AC458" i="1"/>
  <c r="AD458" i="1"/>
  <c r="AE458" i="1"/>
  <c r="AF458" i="1"/>
  <c r="AG458" i="1"/>
  <c r="AH458" i="1"/>
  <c r="AI458" i="1"/>
  <c r="AC459" i="1"/>
  <c r="AD459" i="1"/>
  <c r="AE459" i="1"/>
  <c r="AF459" i="1"/>
  <c r="AG459" i="1"/>
  <c r="AH459" i="1"/>
  <c r="AI459" i="1"/>
  <c r="AC460" i="1"/>
  <c r="AD460" i="1"/>
  <c r="AE460" i="1"/>
  <c r="AF460" i="1"/>
  <c r="AG460" i="1"/>
  <c r="AH460" i="1"/>
  <c r="AI460" i="1"/>
  <c r="AC461" i="1"/>
  <c r="AD461" i="1"/>
  <c r="AE461" i="1"/>
  <c r="AF461" i="1"/>
  <c r="AG461" i="1"/>
  <c r="AH461" i="1"/>
  <c r="AI461" i="1"/>
  <c r="AC462" i="1"/>
  <c r="AD462" i="1"/>
  <c r="AE462" i="1"/>
  <c r="AF462" i="1"/>
  <c r="AG462" i="1"/>
  <c r="AH462" i="1"/>
  <c r="AI462" i="1"/>
  <c r="AC463" i="1"/>
  <c r="AD463" i="1"/>
  <c r="AE463" i="1"/>
  <c r="AF463" i="1"/>
  <c r="AG463" i="1"/>
  <c r="AH463" i="1"/>
  <c r="AI463" i="1"/>
  <c r="AC464" i="1"/>
  <c r="AD464" i="1"/>
  <c r="AE464" i="1"/>
  <c r="AF464" i="1"/>
  <c r="AG464" i="1"/>
  <c r="AH464" i="1"/>
  <c r="AI464" i="1"/>
  <c r="AC465" i="1"/>
  <c r="AD465" i="1"/>
  <c r="AE465" i="1"/>
  <c r="AF465" i="1"/>
  <c r="AG465" i="1"/>
  <c r="AH465" i="1"/>
  <c r="AI465" i="1"/>
  <c r="AC466" i="1"/>
  <c r="AD466" i="1"/>
  <c r="AE466" i="1"/>
  <c r="AF466" i="1"/>
  <c r="AG466" i="1"/>
  <c r="AH466" i="1"/>
  <c r="AI466" i="1"/>
  <c r="AC467" i="1"/>
  <c r="AD467" i="1"/>
  <c r="AE467" i="1"/>
  <c r="AF467" i="1"/>
  <c r="AG467" i="1"/>
  <c r="AH467" i="1"/>
  <c r="AI467" i="1"/>
  <c r="AC468" i="1"/>
  <c r="AD468" i="1"/>
  <c r="AE468" i="1"/>
  <c r="AF468" i="1"/>
  <c r="AG468" i="1"/>
  <c r="AH468" i="1"/>
  <c r="AI468" i="1"/>
  <c r="AC469" i="1"/>
  <c r="AD469" i="1"/>
  <c r="AE469" i="1"/>
  <c r="AF469" i="1"/>
  <c r="AG469" i="1"/>
  <c r="AH469" i="1"/>
  <c r="AI469" i="1"/>
  <c r="AC470" i="1"/>
  <c r="AD470" i="1"/>
  <c r="AE470" i="1"/>
  <c r="AF470" i="1"/>
  <c r="AG470" i="1"/>
  <c r="AH470" i="1"/>
  <c r="AI470" i="1"/>
  <c r="AC471" i="1"/>
  <c r="AD471" i="1"/>
  <c r="AE471" i="1"/>
  <c r="AF471" i="1"/>
  <c r="AG471" i="1"/>
  <c r="AH471" i="1"/>
  <c r="AI471" i="1"/>
  <c r="AC472" i="1"/>
  <c r="AD472" i="1"/>
  <c r="AE472" i="1"/>
  <c r="AF472" i="1"/>
  <c r="AG472" i="1"/>
  <c r="AH472" i="1"/>
  <c r="AI472" i="1"/>
  <c r="AC473" i="1"/>
  <c r="AD473" i="1"/>
  <c r="AE473" i="1"/>
  <c r="AF473" i="1"/>
  <c r="AG473" i="1"/>
  <c r="AH473" i="1"/>
  <c r="AI473" i="1"/>
  <c r="AC474" i="1"/>
  <c r="AD474" i="1"/>
  <c r="AE474" i="1"/>
  <c r="AF474" i="1"/>
  <c r="AG474" i="1"/>
  <c r="AH474" i="1"/>
  <c r="AI474" i="1"/>
  <c r="AC475" i="1"/>
  <c r="AD475" i="1"/>
  <c r="AE475" i="1"/>
  <c r="AF475" i="1"/>
  <c r="AG475" i="1"/>
  <c r="AH475" i="1"/>
  <c r="AI475" i="1"/>
  <c r="AC476" i="1"/>
  <c r="AD476" i="1"/>
  <c r="AE476" i="1"/>
  <c r="AF476" i="1"/>
  <c r="AG476" i="1"/>
  <c r="AH476" i="1"/>
  <c r="AI476" i="1"/>
  <c r="AC477" i="1"/>
  <c r="AD477" i="1"/>
  <c r="AE477" i="1"/>
  <c r="AF477" i="1"/>
  <c r="AG477" i="1"/>
  <c r="AH477" i="1"/>
  <c r="AI477" i="1"/>
  <c r="AC478" i="1"/>
  <c r="AD478" i="1"/>
  <c r="AE478" i="1"/>
  <c r="AF478" i="1"/>
  <c r="AG478" i="1"/>
  <c r="AH478" i="1"/>
  <c r="AI478" i="1"/>
  <c r="AC479" i="1"/>
  <c r="AD479" i="1"/>
  <c r="AE479" i="1"/>
  <c r="AF479" i="1"/>
  <c r="AG479" i="1"/>
  <c r="AH479" i="1"/>
  <c r="AI479" i="1"/>
  <c r="AC480" i="1"/>
  <c r="AD480" i="1"/>
  <c r="AE480" i="1"/>
  <c r="AF480" i="1"/>
  <c r="AG480" i="1"/>
  <c r="AH480" i="1"/>
  <c r="AI480" i="1"/>
  <c r="AC481" i="1"/>
  <c r="AD481" i="1"/>
  <c r="AE481" i="1"/>
  <c r="AF481" i="1"/>
  <c r="AG481" i="1"/>
  <c r="AH481" i="1"/>
  <c r="AI481" i="1"/>
  <c r="AC482" i="1"/>
  <c r="AD482" i="1"/>
  <c r="AE482" i="1"/>
  <c r="AF482" i="1"/>
  <c r="AG482" i="1"/>
  <c r="AH482" i="1"/>
  <c r="AI482" i="1"/>
  <c r="AC483" i="1"/>
  <c r="AD483" i="1"/>
  <c r="AE483" i="1"/>
  <c r="AF483" i="1"/>
  <c r="AG483" i="1"/>
  <c r="AH483" i="1"/>
  <c r="AI483" i="1"/>
  <c r="AC484" i="1"/>
  <c r="AD484" i="1"/>
  <c r="AE484" i="1"/>
  <c r="AF484" i="1"/>
  <c r="AG484" i="1"/>
  <c r="AH484" i="1"/>
  <c r="AI484" i="1"/>
  <c r="AC485" i="1"/>
  <c r="AD485" i="1"/>
  <c r="AE485" i="1"/>
  <c r="AF485" i="1"/>
  <c r="AG485" i="1"/>
  <c r="AH485" i="1"/>
  <c r="AI485" i="1"/>
  <c r="AC486" i="1"/>
  <c r="AD486" i="1"/>
  <c r="AE486" i="1"/>
  <c r="AF486" i="1"/>
  <c r="AG486" i="1"/>
  <c r="AH486" i="1"/>
  <c r="AI486" i="1"/>
  <c r="AC487" i="1"/>
  <c r="AD487" i="1"/>
  <c r="AE487" i="1"/>
  <c r="AF487" i="1"/>
  <c r="AG487" i="1"/>
  <c r="AH487" i="1"/>
  <c r="AI487" i="1"/>
  <c r="AC488" i="1"/>
  <c r="AD488" i="1"/>
  <c r="AE488" i="1"/>
  <c r="AF488" i="1"/>
  <c r="AG488" i="1"/>
  <c r="AH488" i="1"/>
  <c r="AI488" i="1"/>
  <c r="AC489" i="1"/>
  <c r="AD489" i="1"/>
  <c r="AE489" i="1"/>
  <c r="AF489" i="1"/>
  <c r="AG489" i="1"/>
  <c r="AH489" i="1"/>
  <c r="AI489" i="1"/>
  <c r="AC490" i="1"/>
  <c r="AD490" i="1"/>
  <c r="AE490" i="1"/>
  <c r="AF490" i="1"/>
  <c r="AG490" i="1"/>
  <c r="AH490" i="1"/>
  <c r="AI490" i="1"/>
  <c r="AC491" i="1"/>
  <c r="AD491" i="1"/>
  <c r="AE491" i="1"/>
  <c r="AF491" i="1"/>
  <c r="AG491" i="1"/>
  <c r="AH491" i="1"/>
  <c r="AI491" i="1"/>
  <c r="AC492" i="1"/>
  <c r="AD492" i="1"/>
  <c r="AE492" i="1"/>
  <c r="AF492" i="1"/>
  <c r="AG492" i="1"/>
  <c r="AH492" i="1"/>
  <c r="AI492" i="1"/>
  <c r="AC493" i="1"/>
  <c r="AD493" i="1"/>
  <c r="AE493" i="1"/>
  <c r="AF493" i="1"/>
  <c r="AG493" i="1"/>
  <c r="AH493" i="1"/>
  <c r="AI493" i="1"/>
  <c r="AC494" i="1"/>
  <c r="AD494" i="1"/>
  <c r="AE494" i="1"/>
  <c r="AF494" i="1"/>
  <c r="AG494" i="1"/>
  <c r="AH494" i="1"/>
  <c r="AI494" i="1"/>
  <c r="AC495" i="1"/>
  <c r="AD495" i="1"/>
  <c r="AE495" i="1"/>
  <c r="AF495" i="1"/>
  <c r="AG495" i="1"/>
  <c r="AH495" i="1"/>
  <c r="AI495" i="1"/>
  <c r="AC496" i="1"/>
  <c r="AD496" i="1"/>
  <c r="AE496" i="1"/>
  <c r="AF496" i="1"/>
  <c r="AG496" i="1"/>
  <c r="AH496" i="1"/>
  <c r="AI496" i="1"/>
  <c r="AC497" i="1"/>
  <c r="AD497" i="1"/>
  <c r="AE497" i="1"/>
  <c r="AF497" i="1"/>
  <c r="AG497" i="1"/>
  <c r="AH497" i="1"/>
  <c r="AI497" i="1"/>
  <c r="AC498" i="1"/>
  <c r="AD498" i="1"/>
  <c r="AE498" i="1"/>
  <c r="AF498" i="1"/>
  <c r="AG498" i="1"/>
  <c r="AH498" i="1"/>
  <c r="AI498" i="1"/>
  <c r="AC499" i="1"/>
  <c r="AD499" i="1"/>
  <c r="AE499" i="1"/>
  <c r="AF499" i="1"/>
  <c r="AG499" i="1"/>
  <c r="AH499" i="1"/>
  <c r="AI499" i="1"/>
  <c r="AC500" i="1"/>
  <c r="AD500" i="1"/>
  <c r="AE500" i="1"/>
  <c r="AF500" i="1"/>
  <c r="AG500" i="1"/>
  <c r="AH500" i="1"/>
  <c r="AI500" i="1"/>
  <c r="AC501" i="1"/>
  <c r="AD501" i="1"/>
  <c r="AE501" i="1"/>
  <c r="AF501" i="1"/>
  <c r="AG501" i="1"/>
  <c r="AH501" i="1"/>
  <c r="AI501" i="1"/>
  <c r="AC502" i="1"/>
  <c r="AD502" i="1"/>
  <c r="AE502" i="1"/>
  <c r="AF502" i="1"/>
  <c r="AG502" i="1"/>
  <c r="AH502" i="1"/>
  <c r="AI502" i="1"/>
  <c r="AC503" i="1"/>
  <c r="AD503" i="1"/>
  <c r="AE503" i="1"/>
  <c r="AF503" i="1"/>
  <c r="AG503" i="1"/>
  <c r="AH503" i="1"/>
  <c r="AI503" i="1"/>
  <c r="AC504" i="1"/>
  <c r="AD504" i="1"/>
  <c r="AE504" i="1"/>
  <c r="AF504" i="1"/>
  <c r="AG504" i="1"/>
  <c r="AH504" i="1"/>
  <c r="AI504" i="1"/>
  <c r="AC505" i="1"/>
  <c r="AD505" i="1"/>
  <c r="AE505" i="1"/>
  <c r="AF505" i="1"/>
  <c r="AG505" i="1"/>
  <c r="AH505" i="1"/>
  <c r="AI505" i="1"/>
  <c r="AC506" i="1"/>
  <c r="AD506" i="1"/>
  <c r="AE506" i="1"/>
  <c r="AF506" i="1"/>
  <c r="AG506" i="1"/>
  <c r="AH506" i="1"/>
  <c r="AI506" i="1"/>
  <c r="AC507" i="1"/>
  <c r="AD507" i="1"/>
  <c r="AE507" i="1"/>
  <c r="AF507" i="1"/>
  <c r="AG507" i="1"/>
  <c r="AH507" i="1"/>
  <c r="AI507" i="1"/>
  <c r="AC508" i="1"/>
  <c r="AD508" i="1"/>
  <c r="AE508" i="1"/>
  <c r="AF508" i="1"/>
  <c r="AG508" i="1"/>
  <c r="AH508" i="1"/>
  <c r="AI508" i="1"/>
  <c r="AC509" i="1"/>
  <c r="AD509" i="1"/>
  <c r="AE509" i="1"/>
  <c r="AF509" i="1"/>
  <c r="AG509" i="1"/>
  <c r="AH509" i="1"/>
  <c r="AI509" i="1"/>
  <c r="AC510" i="1"/>
  <c r="AD510" i="1"/>
  <c r="AE510" i="1"/>
  <c r="AF510" i="1"/>
  <c r="AG510" i="1"/>
  <c r="AH510" i="1"/>
  <c r="AI510" i="1"/>
  <c r="AC511" i="1"/>
  <c r="AD511" i="1"/>
  <c r="AE511" i="1"/>
  <c r="AF511" i="1"/>
  <c r="AG511" i="1"/>
  <c r="AH511" i="1"/>
  <c r="AI511" i="1"/>
  <c r="AC512" i="1"/>
  <c r="AD512" i="1"/>
  <c r="AE512" i="1"/>
  <c r="AF512" i="1"/>
  <c r="AG512" i="1"/>
  <c r="AH512" i="1"/>
  <c r="AI512" i="1"/>
  <c r="AC513" i="1"/>
  <c r="AD513" i="1"/>
  <c r="AE513" i="1"/>
  <c r="AF513" i="1"/>
  <c r="AG513" i="1"/>
  <c r="AH513" i="1"/>
  <c r="AI513" i="1"/>
  <c r="AC514" i="1"/>
  <c r="AD514" i="1"/>
  <c r="AE514" i="1"/>
  <c r="AF514" i="1"/>
  <c r="AG514" i="1"/>
  <c r="AH514" i="1"/>
  <c r="AI514" i="1"/>
  <c r="AC515" i="1"/>
  <c r="AD515" i="1"/>
  <c r="AE515" i="1"/>
  <c r="AF515" i="1"/>
  <c r="AG515" i="1"/>
  <c r="AH515" i="1"/>
  <c r="AI515" i="1"/>
  <c r="AC516" i="1"/>
  <c r="AD516" i="1"/>
  <c r="AE516" i="1"/>
  <c r="AF516" i="1"/>
  <c r="AG516" i="1"/>
  <c r="AH516" i="1"/>
  <c r="AI516" i="1"/>
  <c r="AC517" i="1"/>
  <c r="AD517" i="1"/>
  <c r="AE517" i="1"/>
  <c r="AF517" i="1"/>
  <c r="AG517" i="1"/>
  <c r="AH517" i="1"/>
  <c r="AI517" i="1"/>
  <c r="AC518" i="1"/>
  <c r="AD518" i="1"/>
  <c r="AE518" i="1"/>
  <c r="AF518" i="1"/>
  <c r="AG518" i="1"/>
  <c r="AH518" i="1"/>
  <c r="AI518" i="1"/>
  <c r="AC519" i="1"/>
  <c r="AD519" i="1"/>
  <c r="AE519" i="1"/>
  <c r="AF519" i="1"/>
  <c r="AG519" i="1"/>
  <c r="AH519" i="1"/>
  <c r="AI519" i="1"/>
  <c r="AC520" i="1"/>
  <c r="AD520" i="1"/>
  <c r="AE520" i="1"/>
  <c r="AF520" i="1"/>
  <c r="AG520" i="1"/>
  <c r="AH520" i="1"/>
  <c r="AI520" i="1"/>
  <c r="AC521" i="1"/>
  <c r="AD521" i="1"/>
  <c r="AE521" i="1"/>
  <c r="AF521" i="1"/>
  <c r="AG521" i="1"/>
  <c r="AH521" i="1"/>
  <c r="AI521" i="1"/>
  <c r="AC522" i="1"/>
  <c r="AD522" i="1"/>
  <c r="AE522" i="1"/>
  <c r="AF522" i="1"/>
  <c r="AG522" i="1"/>
  <c r="AH522" i="1"/>
  <c r="AI522" i="1"/>
  <c r="AC523" i="1"/>
  <c r="AD523" i="1"/>
  <c r="AE523" i="1"/>
  <c r="AF523" i="1"/>
  <c r="AG523" i="1"/>
  <c r="AH523" i="1"/>
  <c r="AI523" i="1"/>
  <c r="AC524" i="1"/>
  <c r="AD524" i="1"/>
  <c r="AE524" i="1"/>
  <c r="AF524" i="1"/>
  <c r="AG524" i="1"/>
  <c r="AH524" i="1"/>
  <c r="AI524" i="1"/>
  <c r="AC525" i="1"/>
  <c r="AD525" i="1"/>
  <c r="AE525" i="1"/>
  <c r="AF525" i="1"/>
  <c r="AG525" i="1"/>
  <c r="AH525" i="1"/>
  <c r="AI525" i="1"/>
  <c r="AC526" i="1"/>
  <c r="AD526" i="1"/>
  <c r="AE526" i="1"/>
  <c r="AF526" i="1"/>
  <c r="AG526" i="1"/>
  <c r="AH526" i="1"/>
  <c r="AI526" i="1"/>
  <c r="AC527" i="1"/>
  <c r="AD527" i="1"/>
  <c r="AE527" i="1"/>
  <c r="AF527" i="1"/>
  <c r="AG527" i="1"/>
  <c r="AH527" i="1"/>
  <c r="AI527" i="1"/>
  <c r="AC528" i="1"/>
  <c r="AD528" i="1"/>
  <c r="AE528" i="1"/>
  <c r="AF528" i="1"/>
  <c r="AG528" i="1"/>
  <c r="AH528" i="1"/>
  <c r="AI528" i="1"/>
  <c r="AC529" i="1"/>
  <c r="AD529" i="1"/>
  <c r="AE529" i="1"/>
  <c r="AF529" i="1"/>
  <c r="AG529" i="1"/>
  <c r="AH529" i="1"/>
  <c r="AI529" i="1"/>
  <c r="AC530" i="1"/>
  <c r="AD530" i="1"/>
  <c r="AE530" i="1"/>
  <c r="AF530" i="1"/>
  <c r="AG530" i="1"/>
  <c r="AH530" i="1"/>
  <c r="AI530" i="1"/>
  <c r="AC531" i="1"/>
  <c r="AD531" i="1"/>
  <c r="AE531" i="1"/>
  <c r="AF531" i="1"/>
  <c r="AG531" i="1"/>
  <c r="AH531" i="1"/>
  <c r="AI531" i="1"/>
  <c r="AC532" i="1"/>
  <c r="AD532" i="1"/>
  <c r="AE532" i="1"/>
  <c r="AF532" i="1"/>
  <c r="AG532" i="1"/>
  <c r="AH532" i="1"/>
  <c r="AI532" i="1"/>
  <c r="AC533" i="1"/>
  <c r="AD533" i="1"/>
  <c r="AE533" i="1"/>
  <c r="AF533" i="1"/>
  <c r="AG533" i="1"/>
  <c r="AH533" i="1"/>
  <c r="AI533" i="1"/>
  <c r="AC534" i="1"/>
  <c r="AD534" i="1"/>
  <c r="AE534" i="1"/>
  <c r="AF534" i="1"/>
  <c r="AG534" i="1"/>
  <c r="AH534" i="1"/>
  <c r="AI534" i="1"/>
  <c r="AC535" i="1"/>
  <c r="AD535" i="1"/>
  <c r="AE535" i="1"/>
  <c r="AF535" i="1"/>
  <c r="AG535" i="1"/>
  <c r="AH535" i="1"/>
  <c r="AI535" i="1"/>
  <c r="AC536" i="1"/>
  <c r="AD536" i="1"/>
  <c r="AE536" i="1"/>
  <c r="AF536" i="1"/>
  <c r="AG536" i="1"/>
  <c r="AH536" i="1"/>
  <c r="AI536" i="1"/>
  <c r="AC537" i="1"/>
  <c r="AD537" i="1"/>
  <c r="AE537" i="1"/>
  <c r="AF537" i="1"/>
  <c r="AG537" i="1"/>
  <c r="AH537" i="1"/>
  <c r="AI537" i="1"/>
  <c r="AC538" i="1"/>
  <c r="AD538" i="1"/>
  <c r="AE538" i="1"/>
  <c r="AF538" i="1"/>
  <c r="AG538" i="1"/>
  <c r="AH538" i="1"/>
  <c r="AI538" i="1"/>
  <c r="AC539" i="1"/>
  <c r="AD539" i="1"/>
  <c r="AE539" i="1"/>
  <c r="AF539" i="1"/>
  <c r="AG539" i="1"/>
  <c r="AH539" i="1"/>
  <c r="AI539" i="1"/>
  <c r="AC540" i="1"/>
  <c r="AD540" i="1"/>
  <c r="AE540" i="1"/>
  <c r="AF540" i="1"/>
  <c r="AG540" i="1"/>
  <c r="AH540" i="1"/>
  <c r="AI540" i="1"/>
  <c r="AC541" i="1"/>
  <c r="AD541" i="1"/>
  <c r="AE541" i="1"/>
  <c r="AF541" i="1"/>
  <c r="AG541" i="1"/>
  <c r="AH541" i="1"/>
  <c r="AI541" i="1"/>
  <c r="AC542" i="1"/>
  <c r="AD542" i="1"/>
  <c r="AE542" i="1"/>
  <c r="AF542" i="1"/>
  <c r="AG542" i="1"/>
  <c r="AH542" i="1"/>
  <c r="AI542" i="1"/>
  <c r="AC543" i="1"/>
  <c r="AD543" i="1"/>
  <c r="AE543" i="1"/>
  <c r="AF543" i="1"/>
  <c r="AG543" i="1"/>
  <c r="AH543" i="1"/>
  <c r="AI543" i="1"/>
  <c r="AC544" i="1"/>
  <c r="AD544" i="1"/>
  <c r="AE544" i="1"/>
  <c r="AF544" i="1"/>
  <c r="AG544" i="1"/>
  <c r="AH544" i="1"/>
  <c r="AI544" i="1"/>
  <c r="AC545" i="1"/>
  <c r="AD545" i="1"/>
  <c r="AE545" i="1"/>
  <c r="AF545" i="1"/>
  <c r="AG545" i="1"/>
  <c r="AH545" i="1"/>
  <c r="AI545" i="1"/>
  <c r="AC546" i="1"/>
  <c r="AD546" i="1"/>
  <c r="AE546" i="1"/>
  <c r="AF546" i="1"/>
  <c r="AG546" i="1"/>
  <c r="AH546" i="1"/>
  <c r="AI546" i="1"/>
  <c r="AC547" i="1"/>
  <c r="AD547" i="1"/>
  <c r="AE547" i="1"/>
  <c r="AF547" i="1"/>
  <c r="AG547" i="1"/>
  <c r="AH547" i="1"/>
  <c r="AI547" i="1"/>
  <c r="AC548" i="1"/>
  <c r="AD548" i="1"/>
  <c r="AE548" i="1"/>
  <c r="AF548" i="1"/>
  <c r="AG548" i="1"/>
  <c r="AH548" i="1"/>
  <c r="AI548" i="1"/>
  <c r="AC549" i="1"/>
  <c r="AD549" i="1"/>
  <c r="AE549" i="1"/>
  <c r="AF549" i="1"/>
  <c r="AG549" i="1"/>
  <c r="AH549" i="1"/>
  <c r="AI549" i="1"/>
  <c r="AC550" i="1"/>
  <c r="AD550" i="1"/>
  <c r="AE550" i="1"/>
  <c r="AF550" i="1"/>
  <c r="AG550" i="1"/>
  <c r="AH550" i="1"/>
  <c r="AI550" i="1"/>
  <c r="AC551" i="1"/>
  <c r="AD551" i="1"/>
  <c r="AE551" i="1"/>
  <c r="AF551" i="1"/>
  <c r="AG551" i="1"/>
  <c r="AH551" i="1"/>
  <c r="AI551" i="1"/>
  <c r="AC552" i="1"/>
  <c r="AD552" i="1"/>
  <c r="AE552" i="1"/>
  <c r="AF552" i="1"/>
  <c r="AG552" i="1"/>
  <c r="AH552" i="1"/>
  <c r="AI552" i="1"/>
  <c r="AC553" i="1"/>
  <c r="AD553" i="1"/>
  <c r="AE553" i="1"/>
  <c r="AF553" i="1"/>
  <c r="AG553" i="1"/>
  <c r="AH553" i="1"/>
  <c r="AI553" i="1"/>
  <c r="AC554" i="1"/>
  <c r="AD554" i="1"/>
  <c r="AE554" i="1"/>
  <c r="AF554" i="1"/>
  <c r="AG554" i="1"/>
  <c r="AH554" i="1"/>
  <c r="AI554" i="1"/>
  <c r="AC555" i="1"/>
  <c r="AD555" i="1"/>
  <c r="AE555" i="1"/>
  <c r="AF555" i="1"/>
  <c r="AG555" i="1"/>
  <c r="AH555" i="1"/>
  <c r="AI555" i="1"/>
  <c r="AC556" i="1"/>
  <c r="AD556" i="1"/>
  <c r="AE556" i="1"/>
  <c r="AF556" i="1"/>
  <c r="AG556" i="1"/>
  <c r="AH556" i="1"/>
  <c r="AI556" i="1"/>
  <c r="AC557" i="1"/>
  <c r="AD557" i="1"/>
  <c r="AE557" i="1"/>
  <c r="AF557" i="1"/>
  <c r="AG557" i="1"/>
  <c r="AH557" i="1"/>
  <c r="AI557" i="1"/>
  <c r="AC558" i="1"/>
  <c r="AD558" i="1"/>
  <c r="AE558" i="1"/>
  <c r="AF558" i="1"/>
  <c r="AG558" i="1"/>
  <c r="AH558" i="1"/>
  <c r="AI558" i="1"/>
  <c r="AC559" i="1"/>
  <c r="AD559" i="1"/>
  <c r="AE559" i="1"/>
  <c r="AF559" i="1"/>
  <c r="AG559" i="1"/>
  <c r="AH559" i="1"/>
  <c r="AI559" i="1"/>
  <c r="AC560" i="1"/>
  <c r="AD560" i="1"/>
  <c r="AE560" i="1"/>
  <c r="AF560" i="1"/>
  <c r="AG560" i="1"/>
  <c r="AH560" i="1"/>
  <c r="AI560" i="1"/>
  <c r="AC561" i="1"/>
  <c r="AD561" i="1"/>
  <c r="AE561" i="1"/>
  <c r="AF561" i="1"/>
  <c r="AG561" i="1"/>
  <c r="AH561" i="1"/>
  <c r="AI561" i="1"/>
  <c r="AC562" i="1"/>
  <c r="AD562" i="1"/>
  <c r="AE562" i="1"/>
  <c r="AF562" i="1"/>
  <c r="AG562" i="1"/>
  <c r="AH562" i="1"/>
  <c r="AI562" i="1"/>
  <c r="AC563" i="1"/>
  <c r="AD563" i="1"/>
  <c r="AE563" i="1"/>
  <c r="AF563" i="1"/>
  <c r="AG563" i="1"/>
  <c r="AH563" i="1"/>
  <c r="AI563" i="1"/>
  <c r="AC564" i="1"/>
  <c r="AD564" i="1"/>
  <c r="AE564" i="1"/>
  <c r="AF564" i="1"/>
  <c r="AG564" i="1"/>
  <c r="AH564" i="1"/>
  <c r="AI564" i="1"/>
  <c r="AC565" i="1"/>
  <c r="AD565" i="1"/>
  <c r="AE565" i="1"/>
  <c r="AF565" i="1"/>
  <c r="AG565" i="1"/>
  <c r="AH565" i="1"/>
  <c r="AI565" i="1"/>
  <c r="AC566" i="1"/>
  <c r="AD566" i="1"/>
  <c r="AE566" i="1"/>
  <c r="AF566" i="1"/>
  <c r="AG566" i="1"/>
  <c r="AH566" i="1"/>
  <c r="AI566" i="1"/>
  <c r="AC567" i="1"/>
  <c r="AD567" i="1"/>
  <c r="AE567" i="1"/>
  <c r="AF567" i="1"/>
  <c r="AG567" i="1"/>
  <c r="AH567" i="1"/>
  <c r="AI567" i="1"/>
  <c r="AC568" i="1"/>
  <c r="AD568" i="1"/>
  <c r="AE568" i="1"/>
  <c r="AF568" i="1"/>
  <c r="AG568" i="1"/>
  <c r="AH568" i="1"/>
  <c r="AI568" i="1"/>
  <c r="AC569" i="1"/>
  <c r="AD569" i="1"/>
  <c r="AE569" i="1"/>
  <c r="AF569" i="1"/>
  <c r="AG569" i="1"/>
  <c r="AH569" i="1"/>
  <c r="AI569" i="1"/>
  <c r="AC570" i="1"/>
  <c r="AD570" i="1"/>
  <c r="AE570" i="1"/>
  <c r="AF570" i="1"/>
  <c r="AG570" i="1"/>
  <c r="AH570" i="1"/>
  <c r="AI570" i="1"/>
  <c r="AC571" i="1"/>
  <c r="AD571" i="1"/>
  <c r="AE571" i="1"/>
  <c r="AF571" i="1"/>
  <c r="AG571" i="1"/>
  <c r="AH571" i="1"/>
  <c r="AI571" i="1"/>
  <c r="AC572" i="1"/>
  <c r="AD572" i="1"/>
  <c r="AE572" i="1"/>
  <c r="AF572" i="1"/>
  <c r="AG572" i="1"/>
  <c r="AH572" i="1"/>
  <c r="AI572" i="1"/>
  <c r="AC573" i="1"/>
  <c r="AD573" i="1"/>
  <c r="AE573" i="1"/>
  <c r="AF573" i="1"/>
  <c r="AG573" i="1"/>
  <c r="AH573" i="1"/>
  <c r="AI573" i="1"/>
  <c r="AC574" i="1"/>
  <c r="AD574" i="1"/>
  <c r="AE574" i="1"/>
  <c r="AF574" i="1"/>
  <c r="AG574" i="1"/>
  <c r="AH574" i="1"/>
  <c r="AI574" i="1"/>
  <c r="AC575" i="1"/>
  <c r="AD575" i="1"/>
  <c r="AE575" i="1"/>
  <c r="AF575" i="1"/>
  <c r="AG575" i="1"/>
  <c r="AH575" i="1"/>
  <c r="AI575" i="1"/>
  <c r="AC576" i="1"/>
  <c r="AD576" i="1"/>
  <c r="AE576" i="1"/>
  <c r="AF576" i="1"/>
  <c r="AG576" i="1"/>
  <c r="AH576" i="1"/>
  <c r="AI576" i="1"/>
  <c r="AC577" i="1"/>
  <c r="AD577" i="1"/>
  <c r="AE577" i="1"/>
  <c r="AF577" i="1"/>
  <c r="AG577" i="1"/>
  <c r="AH577" i="1"/>
  <c r="AI577" i="1"/>
  <c r="AC578" i="1"/>
  <c r="AD578" i="1"/>
  <c r="AE578" i="1"/>
  <c r="AF578" i="1"/>
  <c r="AG578" i="1"/>
  <c r="AH578" i="1"/>
  <c r="AI578" i="1"/>
  <c r="AC579" i="1"/>
  <c r="AD579" i="1"/>
  <c r="AE579" i="1"/>
  <c r="AF579" i="1"/>
  <c r="AG579" i="1"/>
  <c r="AH579" i="1"/>
  <c r="AI579" i="1"/>
  <c r="AC580" i="1"/>
  <c r="AD580" i="1"/>
  <c r="AE580" i="1"/>
  <c r="AF580" i="1"/>
  <c r="AG580" i="1"/>
  <c r="AH580" i="1"/>
  <c r="AI580" i="1"/>
  <c r="AC581" i="1"/>
  <c r="AD581" i="1"/>
  <c r="AE581" i="1"/>
  <c r="AF581" i="1"/>
  <c r="AG581" i="1"/>
  <c r="AH581" i="1"/>
  <c r="AI581" i="1"/>
  <c r="AC582" i="1"/>
  <c r="AD582" i="1"/>
  <c r="AE582" i="1"/>
  <c r="AF582" i="1"/>
  <c r="AG582" i="1"/>
  <c r="AH582" i="1"/>
  <c r="AI582" i="1"/>
  <c r="AC583" i="1"/>
  <c r="AD583" i="1"/>
  <c r="AE583" i="1"/>
  <c r="AF583" i="1"/>
  <c r="AG583" i="1"/>
  <c r="AH583" i="1"/>
  <c r="AI583" i="1"/>
  <c r="AC584" i="1"/>
  <c r="AD584" i="1"/>
  <c r="AE584" i="1"/>
  <c r="AF584" i="1"/>
  <c r="AG584" i="1"/>
  <c r="AH584" i="1"/>
  <c r="AI584" i="1"/>
  <c r="AC585" i="1"/>
  <c r="AD585" i="1"/>
  <c r="AE585" i="1"/>
  <c r="AF585" i="1"/>
  <c r="AG585" i="1"/>
  <c r="AH585" i="1"/>
  <c r="AI585" i="1"/>
  <c r="AC586" i="1"/>
  <c r="AD586" i="1"/>
  <c r="AE586" i="1"/>
  <c r="AF586" i="1"/>
  <c r="AG586" i="1"/>
  <c r="AH586" i="1"/>
  <c r="AI586" i="1"/>
  <c r="AC587" i="1"/>
  <c r="AD587" i="1"/>
  <c r="AE587" i="1"/>
  <c r="AF587" i="1"/>
  <c r="AG587" i="1"/>
  <c r="AH587" i="1"/>
  <c r="AI587" i="1"/>
  <c r="AC588" i="1"/>
  <c r="AD588" i="1"/>
  <c r="AE588" i="1"/>
  <c r="AF588" i="1"/>
  <c r="AG588" i="1"/>
  <c r="AH588" i="1"/>
  <c r="AI588" i="1"/>
  <c r="AC589" i="1"/>
  <c r="AD589" i="1"/>
  <c r="AE589" i="1"/>
  <c r="AF589" i="1"/>
  <c r="AG589" i="1"/>
  <c r="AH589" i="1"/>
  <c r="AI589" i="1"/>
  <c r="AC590" i="1"/>
  <c r="AD590" i="1"/>
  <c r="AE590" i="1"/>
  <c r="AF590" i="1"/>
  <c r="AG590" i="1"/>
  <c r="AH590" i="1"/>
  <c r="AI590" i="1"/>
  <c r="AC591" i="1"/>
  <c r="AD591" i="1"/>
  <c r="AE591" i="1"/>
  <c r="AF591" i="1"/>
  <c r="AG591" i="1"/>
  <c r="AH591" i="1"/>
  <c r="AI591" i="1"/>
  <c r="AC592" i="1"/>
  <c r="AD592" i="1"/>
  <c r="AE592" i="1"/>
  <c r="AF592" i="1"/>
  <c r="AG592" i="1"/>
  <c r="AH592" i="1"/>
  <c r="AI592" i="1"/>
  <c r="AC593" i="1"/>
  <c r="AD593" i="1"/>
  <c r="AE593" i="1"/>
  <c r="AF593" i="1"/>
  <c r="AG593" i="1"/>
  <c r="AH593" i="1"/>
  <c r="AI593" i="1"/>
  <c r="AC594" i="1"/>
  <c r="AD594" i="1"/>
  <c r="AE594" i="1"/>
  <c r="AF594" i="1"/>
  <c r="AG594" i="1"/>
  <c r="AH594" i="1"/>
  <c r="AI594" i="1"/>
  <c r="AC595" i="1"/>
  <c r="AD595" i="1"/>
  <c r="AE595" i="1"/>
  <c r="AF595" i="1"/>
  <c r="AG595" i="1"/>
  <c r="AH595" i="1"/>
  <c r="AI595" i="1"/>
  <c r="AC596" i="1"/>
  <c r="AD596" i="1"/>
  <c r="AE596" i="1"/>
  <c r="AF596" i="1"/>
  <c r="AG596" i="1"/>
  <c r="AH596" i="1"/>
  <c r="AI596" i="1"/>
  <c r="AC597" i="1"/>
  <c r="AD597" i="1"/>
  <c r="AE597" i="1"/>
  <c r="AF597" i="1"/>
  <c r="AG597" i="1"/>
  <c r="AH597" i="1"/>
  <c r="AI597" i="1"/>
  <c r="AC598" i="1"/>
  <c r="AD598" i="1"/>
  <c r="AE598" i="1"/>
  <c r="AF598" i="1"/>
  <c r="AG598" i="1"/>
  <c r="AH598" i="1"/>
  <c r="AI598" i="1"/>
  <c r="AC599" i="1"/>
  <c r="AD599" i="1"/>
  <c r="AE599" i="1"/>
  <c r="AF599" i="1"/>
  <c r="AG599" i="1"/>
  <c r="AH599" i="1"/>
  <c r="AI599" i="1"/>
  <c r="AC600" i="1"/>
  <c r="AD600" i="1"/>
  <c r="AE600" i="1"/>
  <c r="AF600" i="1"/>
  <c r="AG600" i="1"/>
  <c r="AH600" i="1"/>
  <c r="AI600" i="1"/>
  <c r="AC601" i="1"/>
  <c r="AD601" i="1"/>
  <c r="AE601" i="1"/>
  <c r="AF601" i="1"/>
  <c r="AG601" i="1"/>
  <c r="AH601" i="1"/>
  <c r="AI601" i="1"/>
  <c r="AC602" i="1"/>
  <c r="AD602" i="1"/>
  <c r="AE602" i="1"/>
  <c r="AF602" i="1"/>
  <c r="AG602" i="1"/>
  <c r="AH602" i="1"/>
  <c r="AI602" i="1"/>
  <c r="AC603" i="1"/>
  <c r="AD603" i="1"/>
  <c r="AE603" i="1"/>
  <c r="AF603" i="1"/>
  <c r="AG603" i="1"/>
  <c r="AH603" i="1"/>
  <c r="AI603" i="1"/>
  <c r="AC604" i="1"/>
  <c r="AD604" i="1"/>
  <c r="AE604" i="1"/>
  <c r="AF604" i="1"/>
  <c r="AG604" i="1"/>
  <c r="AH604" i="1"/>
  <c r="AI604" i="1"/>
  <c r="AC605" i="1"/>
  <c r="AD605" i="1"/>
  <c r="AE605" i="1"/>
  <c r="AF605" i="1"/>
  <c r="AG605" i="1"/>
  <c r="AH605" i="1"/>
  <c r="AI605" i="1"/>
  <c r="AC606" i="1"/>
  <c r="AD606" i="1"/>
  <c r="AE606" i="1"/>
  <c r="AF606" i="1"/>
  <c r="AG606" i="1"/>
  <c r="AH606" i="1"/>
  <c r="AI606" i="1"/>
  <c r="AC607" i="1"/>
  <c r="AD607" i="1"/>
  <c r="AE607" i="1"/>
  <c r="AF607" i="1"/>
  <c r="AG607" i="1"/>
  <c r="AH607" i="1"/>
  <c r="AI607" i="1"/>
  <c r="AC608" i="1"/>
  <c r="AD608" i="1"/>
  <c r="AE608" i="1"/>
  <c r="AF608" i="1"/>
  <c r="AG608" i="1"/>
  <c r="AH608" i="1"/>
  <c r="AI608" i="1"/>
  <c r="AC609" i="1"/>
  <c r="AD609" i="1"/>
  <c r="AE609" i="1"/>
  <c r="AF609" i="1"/>
  <c r="AG609" i="1"/>
  <c r="AH609" i="1"/>
  <c r="AI609" i="1"/>
  <c r="AC610" i="1"/>
  <c r="AD610" i="1"/>
  <c r="AE610" i="1"/>
  <c r="AF610" i="1"/>
  <c r="AG610" i="1"/>
  <c r="AH610" i="1"/>
  <c r="AI610" i="1"/>
  <c r="AC611" i="1"/>
  <c r="AD611" i="1"/>
  <c r="AE611" i="1"/>
  <c r="AF611" i="1"/>
  <c r="AG611" i="1"/>
  <c r="AH611" i="1"/>
  <c r="AI611" i="1"/>
  <c r="AC612" i="1"/>
  <c r="AD612" i="1"/>
  <c r="AE612" i="1"/>
  <c r="AF612" i="1"/>
  <c r="AG612" i="1"/>
  <c r="AH612" i="1"/>
  <c r="AI612" i="1"/>
  <c r="AC613" i="1"/>
  <c r="AD613" i="1"/>
  <c r="AE613" i="1"/>
  <c r="AF613" i="1"/>
  <c r="AG613" i="1"/>
  <c r="AH613" i="1"/>
  <c r="AI613" i="1"/>
  <c r="AC614" i="1"/>
  <c r="AD614" i="1"/>
  <c r="AE614" i="1"/>
  <c r="AF614" i="1"/>
  <c r="AG614" i="1"/>
  <c r="AH614" i="1"/>
  <c r="AI614" i="1"/>
  <c r="AC615" i="1"/>
  <c r="AD615" i="1"/>
  <c r="AE615" i="1"/>
  <c r="AF615" i="1"/>
  <c r="AG615" i="1"/>
  <c r="AH615" i="1"/>
  <c r="AI615" i="1"/>
  <c r="AC616" i="1"/>
  <c r="AD616" i="1"/>
  <c r="AE616" i="1"/>
  <c r="AF616" i="1"/>
  <c r="AG616" i="1"/>
  <c r="AH616" i="1"/>
  <c r="AI616" i="1"/>
  <c r="AC617" i="1"/>
  <c r="AD617" i="1"/>
  <c r="AE617" i="1"/>
  <c r="AF617" i="1"/>
  <c r="AG617" i="1"/>
  <c r="AH617" i="1"/>
  <c r="AI617" i="1"/>
  <c r="AC618" i="1"/>
  <c r="AD618" i="1"/>
  <c r="AE618" i="1"/>
  <c r="AF618" i="1"/>
  <c r="AG618" i="1"/>
  <c r="AH618" i="1"/>
  <c r="AI618" i="1"/>
  <c r="AC619" i="1"/>
  <c r="AD619" i="1"/>
  <c r="AE619" i="1"/>
  <c r="AF619" i="1"/>
  <c r="AG619" i="1"/>
  <c r="AH619" i="1"/>
  <c r="AI619" i="1"/>
  <c r="AC620" i="1"/>
  <c r="AD620" i="1"/>
  <c r="AE620" i="1"/>
  <c r="AF620" i="1"/>
  <c r="AG620" i="1"/>
  <c r="AH620" i="1"/>
  <c r="AI620" i="1"/>
  <c r="AC621" i="1"/>
  <c r="AD621" i="1"/>
  <c r="AE621" i="1"/>
  <c r="AF621" i="1"/>
  <c r="AG621" i="1"/>
  <c r="AH621" i="1"/>
  <c r="AI621" i="1"/>
  <c r="AC622" i="1"/>
  <c r="AD622" i="1"/>
  <c r="AE622" i="1"/>
  <c r="AF622" i="1"/>
  <c r="AG622" i="1"/>
  <c r="AH622" i="1"/>
  <c r="AI622" i="1"/>
  <c r="AC623" i="1"/>
  <c r="AD623" i="1"/>
  <c r="AE623" i="1"/>
  <c r="AF623" i="1"/>
  <c r="AG623" i="1"/>
  <c r="AH623" i="1"/>
  <c r="AI623" i="1"/>
  <c r="AC624" i="1"/>
  <c r="AD624" i="1"/>
  <c r="AE624" i="1"/>
  <c r="AF624" i="1"/>
  <c r="AG624" i="1"/>
  <c r="AH624" i="1"/>
  <c r="AI624" i="1"/>
  <c r="AC625" i="1"/>
  <c r="AD625" i="1"/>
  <c r="AE625" i="1"/>
  <c r="AF625" i="1"/>
  <c r="AG625" i="1"/>
  <c r="AH625" i="1"/>
  <c r="AI625" i="1"/>
  <c r="AC626" i="1"/>
  <c r="AD626" i="1"/>
  <c r="AE626" i="1"/>
  <c r="AF626" i="1"/>
  <c r="AG626" i="1"/>
  <c r="AH626" i="1"/>
  <c r="AI626" i="1"/>
  <c r="AC627" i="1"/>
  <c r="AD627" i="1"/>
  <c r="AE627" i="1"/>
  <c r="AF627" i="1"/>
  <c r="AG627" i="1"/>
  <c r="AH627" i="1"/>
  <c r="AI627" i="1"/>
  <c r="AC628" i="1"/>
  <c r="AD628" i="1"/>
  <c r="AE628" i="1"/>
  <c r="AF628" i="1"/>
  <c r="AG628" i="1"/>
  <c r="AH628" i="1"/>
  <c r="AI628" i="1"/>
  <c r="AC629" i="1"/>
  <c r="AD629" i="1"/>
  <c r="AE629" i="1"/>
  <c r="AF629" i="1"/>
  <c r="AG629" i="1"/>
  <c r="AH629" i="1"/>
  <c r="AI629" i="1"/>
  <c r="AC630" i="1"/>
  <c r="AD630" i="1"/>
  <c r="AE630" i="1"/>
  <c r="AF630" i="1"/>
  <c r="AG630" i="1"/>
  <c r="AH630" i="1"/>
  <c r="AI630" i="1"/>
  <c r="AC631" i="1"/>
  <c r="AD631" i="1"/>
  <c r="AE631" i="1"/>
  <c r="AF631" i="1"/>
  <c r="AG631" i="1"/>
  <c r="AH631" i="1"/>
  <c r="AI631" i="1"/>
  <c r="AC632" i="1"/>
  <c r="AD632" i="1"/>
  <c r="AE632" i="1"/>
  <c r="AF632" i="1"/>
  <c r="AG632" i="1"/>
  <c r="AH632" i="1"/>
  <c r="AI632" i="1"/>
  <c r="AC633" i="1"/>
  <c r="AD633" i="1"/>
  <c r="AE633" i="1"/>
  <c r="AF633" i="1"/>
  <c r="AG633" i="1"/>
  <c r="AH633" i="1"/>
  <c r="AI633" i="1"/>
  <c r="AC634" i="1"/>
  <c r="AD634" i="1"/>
  <c r="AE634" i="1"/>
  <c r="AF634" i="1"/>
  <c r="AG634" i="1"/>
  <c r="AH634" i="1"/>
  <c r="AI634" i="1"/>
  <c r="AC635" i="1"/>
  <c r="AD635" i="1"/>
  <c r="AE635" i="1"/>
  <c r="AF635" i="1"/>
  <c r="AG635" i="1"/>
  <c r="AH635" i="1"/>
  <c r="AI635" i="1"/>
  <c r="AC636" i="1"/>
  <c r="AD636" i="1"/>
  <c r="AE636" i="1"/>
  <c r="AF636" i="1"/>
  <c r="AG636" i="1"/>
  <c r="AH636" i="1"/>
  <c r="AI636" i="1"/>
  <c r="AC637" i="1"/>
  <c r="AD637" i="1"/>
  <c r="AE637" i="1"/>
  <c r="AF637" i="1"/>
  <c r="AG637" i="1"/>
  <c r="AH637" i="1"/>
  <c r="AI637" i="1"/>
  <c r="AC638" i="1"/>
  <c r="AD638" i="1"/>
  <c r="AE638" i="1"/>
  <c r="AF638" i="1"/>
  <c r="AG638" i="1"/>
  <c r="AH638" i="1"/>
  <c r="AI638" i="1"/>
  <c r="AC639" i="1"/>
  <c r="AD639" i="1"/>
  <c r="AE639" i="1"/>
  <c r="AF639" i="1"/>
  <c r="AG639" i="1"/>
  <c r="AH639" i="1"/>
  <c r="AI639" i="1"/>
  <c r="AC640" i="1"/>
  <c r="AD640" i="1"/>
  <c r="AE640" i="1"/>
  <c r="AF640" i="1"/>
  <c r="AG640" i="1"/>
  <c r="AH640" i="1"/>
  <c r="AI640" i="1"/>
  <c r="AC641" i="1"/>
  <c r="AD641" i="1"/>
  <c r="AE641" i="1"/>
  <c r="AF641" i="1"/>
  <c r="AG641" i="1"/>
  <c r="AH641" i="1"/>
  <c r="AI641" i="1"/>
  <c r="AC642" i="1"/>
  <c r="AD642" i="1"/>
  <c r="AE642" i="1"/>
  <c r="AF642" i="1"/>
  <c r="AG642" i="1"/>
  <c r="AH642" i="1"/>
  <c r="AI642" i="1"/>
  <c r="AC643" i="1"/>
  <c r="AD643" i="1"/>
  <c r="AE643" i="1"/>
  <c r="AF643" i="1"/>
  <c r="AG643" i="1"/>
  <c r="AH643" i="1"/>
  <c r="AI643" i="1"/>
  <c r="AC644" i="1"/>
  <c r="AD644" i="1"/>
  <c r="AE644" i="1"/>
  <c r="AF644" i="1"/>
  <c r="AG644" i="1"/>
  <c r="AH644" i="1"/>
  <c r="AI644" i="1"/>
  <c r="AC645" i="1"/>
  <c r="AD645" i="1"/>
  <c r="AE645" i="1"/>
  <c r="AF645" i="1"/>
  <c r="AG645" i="1"/>
  <c r="AH645" i="1"/>
  <c r="AI645" i="1"/>
  <c r="AC646" i="1"/>
  <c r="AD646" i="1"/>
  <c r="AE646" i="1"/>
  <c r="AF646" i="1"/>
  <c r="AG646" i="1"/>
  <c r="AH646" i="1"/>
  <c r="AI646" i="1"/>
  <c r="AC647" i="1"/>
  <c r="AD647" i="1"/>
  <c r="AE647" i="1"/>
  <c r="AF647" i="1"/>
  <c r="AG647" i="1"/>
  <c r="AH647" i="1"/>
  <c r="AI647" i="1"/>
  <c r="AC648" i="1"/>
  <c r="AD648" i="1"/>
  <c r="AE648" i="1"/>
  <c r="AF648" i="1"/>
  <c r="AG648" i="1"/>
  <c r="AH648" i="1"/>
  <c r="AI648" i="1"/>
  <c r="AC649" i="1"/>
  <c r="AD649" i="1"/>
  <c r="AE649" i="1"/>
  <c r="AF649" i="1"/>
  <c r="AG649" i="1"/>
  <c r="AH649" i="1"/>
  <c r="AI649" i="1"/>
  <c r="AC650" i="1"/>
  <c r="AD650" i="1"/>
  <c r="AE650" i="1"/>
  <c r="AF650" i="1"/>
  <c r="AG650" i="1"/>
  <c r="AH650" i="1"/>
  <c r="AI650" i="1"/>
  <c r="AC651" i="1"/>
  <c r="AD651" i="1"/>
  <c r="AE651" i="1"/>
  <c r="AF651" i="1"/>
  <c r="AG651" i="1"/>
  <c r="AH651" i="1"/>
  <c r="AI651" i="1"/>
  <c r="AC652" i="1"/>
  <c r="AD652" i="1"/>
  <c r="AE652" i="1"/>
  <c r="AF652" i="1"/>
  <c r="AG652" i="1"/>
  <c r="AH652" i="1"/>
  <c r="AI652" i="1"/>
  <c r="AC653" i="1"/>
  <c r="AD653" i="1"/>
  <c r="AE653" i="1"/>
  <c r="AF653" i="1"/>
  <c r="AG653" i="1"/>
  <c r="AH653" i="1"/>
  <c r="AI653" i="1"/>
  <c r="AC654" i="1"/>
  <c r="AD654" i="1"/>
  <c r="AE654" i="1"/>
  <c r="AF654" i="1"/>
  <c r="AG654" i="1"/>
  <c r="AH654" i="1"/>
  <c r="AI654" i="1"/>
  <c r="AC655" i="1"/>
  <c r="AD655" i="1"/>
  <c r="AE655" i="1"/>
  <c r="AF655" i="1"/>
  <c r="AG655" i="1"/>
  <c r="AH655" i="1"/>
  <c r="AI655" i="1"/>
  <c r="AC656" i="1"/>
  <c r="AD656" i="1"/>
  <c r="AE656" i="1"/>
  <c r="AF656" i="1"/>
  <c r="AG656" i="1"/>
  <c r="AH656" i="1"/>
  <c r="AI656" i="1"/>
  <c r="AC657" i="1"/>
  <c r="AD657" i="1"/>
  <c r="AE657" i="1"/>
  <c r="AF657" i="1"/>
  <c r="AG657" i="1"/>
  <c r="AH657" i="1"/>
  <c r="AI657" i="1"/>
  <c r="AC658" i="1"/>
  <c r="AD658" i="1"/>
  <c r="AE658" i="1"/>
  <c r="AF658" i="1"/>
  <c r="AG658" i="1"/>
  <c r="AH658" i="1"/>
  <c r="AI658" i="1"/>
  <c r="AC659" i="1"/>
  <c r="AD659" i="1"/>
  <c r="AE659" i="1"/>
  <c r="AF659" i="1"/>
  <c r="AG659" i="1"/>
  <c r="AH659" i="1"/>
  <c r="AI659" i="1"/>
  <c r="AC660" i="1"/>
  <c r="AD660" i="1"/>
  <c r="AE660" i="1"/>
  <c r="AF660" i="1"/>
  <c r="AG660" i="1"/>
  <c r="AH660" i="1"/>
  <c r="AI660" i="1"/>
  <c r="AC661" i="1"/>
  <c r="AD661" i="1"/>
  <c r="AE661" i="1"/>
  <c r="AF661" i="1"/>
  <c r="AG661" i="1"/>
  <c r="AH661" i="1"/>
  <c r="AI661" i="1"/>
  <c r="AC662" i="1"/>
  <c r="AD662" i="1"/>
  <c r="AE662" i="1"/>
  <c r="AF662" i="1"/>
  <c r="AG662" i="1"/>
  <c r="AH662" i="1"/>
  <c r="AI662" i="1"/>
  <c r="AC663" i="1"/>
  <c r="AD663" i="1"/>
  <c r="AE663" i="1"/>
  <c r="AF663" i="1"/>
  <c r="AG663" i="1"/>
  <c r="AH663" i="1"/>
  <c r="AI663" i="1"/>
  <c r="AC664" i="1"/>
  <c r="AD664" i="1"/>
  <c r="AE664" i="1"/>
  <c r="AF664" i="1"/>
  <c r="AG664" i="1"/>
  <c r="AH664" i="1"/>
  <c r="AI664" i="1"/>
  <c r="AC665" i="1"/>
  <c r="AD665" i="1"/>
  <c r="AE665" i="1"/>
  <c r="AF665" i="1"/>
  <c r="AG665" i="1"/>
  <c r="AH665" i="1"/>
  <c r="AI665" i="1"/>
  <c r="AC666" i="1"/>
  <c r="AD666" i="1"/>
  <c r="AE666" i="1"/>
  <c r="AF666" i="1"/>
  <c r="AG666" i="1"/>
  <c r="AH666" i="1"/>
  <c r="AI666" i="1"/>
  <c r="AC667" i="1"/>
  <c r="AD667" i="1"/>
  <c r="AE667" i="1"/>
  <c r="AF667" i="1"/>
  <c r="AG667" i="1"/>
  <c r="AH667" i="1"/>
  <c r="AI667" i="1"/>
  <c r="AC668" i="1"/>
  <c r="AD668" i="1"/>
  <c r="AE668" i="1"/>
  <c r="AF668" i="1"/>
  <c r="AG668" i="1"/>
  <c r="AH668" i="1"/>
  <c r="AI668" i="1"/>
  <c r="AC669" i="1"/>
  <c r="AD669" i="1"/>
  <c r="AE669" i="1"/>
  <c r="AF669" i="1"/>
  <c r="AG669" i="1"/>
  <c r="AH669" i="1"/>
  <c r="AI669" i="1"/>
  <c r="AC670" i="1"/>
  <c r="AD670" i="1"/>
  <c r="AE670" i="1"/>
  <c r="AF670" i="1"/>
  <c r="AG670" i="1"/>
  <c r="AH670" i="1"/>
  <c r="AI670" i="1"/>
  <c r="AC671" i="1"/>
  <c r="AD671" i="1"/>
  <c r="AE671" i="1"/>
  <c r="AF671" i="1"/>
  <c r="AG671" i="1"/>
  <c r="AH671" i="1"/>
  <c r="AI671" i="1"/>
  <c r="AC672" i="1"/>
  <c r="AD672" i="1"/>
  <c r="AE672" i="1"/>
  <c r="AF672" i="1"/>
  <c r="AG672" i="1"/>
  <c r="AH672" i="1"/>
  <c r="AI672" i="1"/>
  <c r="AC673" i="1"/>
  <c r="AD673" i="1"/>
  <c r="AE673" i="1"/>
  <c r="AF673" i="1"/>
  <c r="AG673" i="1"/>
  <c r="AH673" i="1"/>
  <c r="AI673" i="1"/>
  <c r="AC674" i="1"/>
  <c r="AD674" i="1"/>
  <c r="AE674" i="1"/>
  <c r="AF674" i="1"/>
  <c r="AG674" i="1"/>
  <c r="AH674" i="1"/>
  <c r="AI674" i="1"/>
  <c r="AC675" i="1"/>
  <c r="AD675" i="1"/>
  <c r="AE675" i="1"/>
  <c r="AF675" i="1"/>
  <c r="AG675" i="1"/>
  <c r="AH675" i="1"/>
  <c r="AI675" i="1"/>
  <c r="AC676" i="1"/>
  <c r="AD676" i="1"/>
  <c r="AE676" i="1"/>
  <c r="AF676" i="1"/>
  <c r="AG676" i="1"/>
  <c r="AH676" i="1"/>
  <c r="AI676" i="1"/>
  <c r="AC677" i="1"/>
  <c r="AD677" i="1"/>
  <c r="AE677" i="1"/>
  <c r="AF677" i="1"/>
  <c r="AG677" i="1"/>
  <c r="AH677" i="1"/>
  <c r="AI677" i="1"/>
  <c r="AC678" i="1"/>
  <c r="AD678" i="1"/>
  <c r="AE678" i="1"/>
  <c r="AF678" i="1"/>
  <c r="AG678" i="1"/>
  <c r="AH678" i="1"/>
  <c r="AI678" i="1"/>
  <c r="AC679" i="1"/>
  <c r="AD679" i="1"/>
  <c r="AE679" i="1"/>
  <c r="AF679" i="1"/>
  <c r="AG679" i="1"/>
  <c r="AH679" i="1"/>
  <c r="AI679" i="1"/>
  <c r="AC680" i="1"/>
  <c r="AD680" i="1"/>
  <c r="AE680" i="1"/>
  <c r="AF680" i="1"/>
  <c r="AG680" i="1"/>
  <c r="AH680" i="1"/>
  <c r="AI680" i="1"/>
  <c r="AC681" i="1"/>
  <c r="AD681" i="1"/>
  <c r="AE681" i="1"/>
  <c r="AF681" i="1"/>
  <c r="AG681" i="1"/>
  <c r="AH681" i="1"/>
  <c r="AI681" i="1"/>
  <c r="AC682" i="1"/>
  <c r="AD682" i="1"/>
  <c r="AE682" i="1"/>
  <c r="AF682" i="1"/>
  <c r="AG682" i="1"/>
  <c r="AH682" i="1"/>
  <c r="AI682" i="1"/>
  <c r="AC683" i="1"/>
  <c r="AD683" i="1"/>
  <c r="AE683" i="1"/>
  <c r="AF683" i="1"/>
  <c r="AG683" i="1"/>
  <c r="AH683" i="1"/>
  <c r="AI683" i="1"/>
  <c r="AC684" i="1"/>
  <c r="AD684" i="1"/>
  <c r="AE684" i="1"/>
  <c r="AF684" i="1"/>
  <c r="AG684" i="1"/>
  <c r="AH684" i="1"/>
  <c r="AI684" i="1"/>
  <c r="AC685" i="1"/>
  <c r="AD685" i="1"/>
  <c r="AE685" i="1"/>
  <c r="AF685" i="1"/>
  <c r="AG685" i="1"/>
  <c r="AH685" i="1"/>
  <c r="AI685" i="1"/>
  <c r="AC686" i="1"/>
  <c r="AD686" i="1"/>
  <c r="AE686" i="1"/>
  <c r="AF686" i="1"/>
  <c r="AG686" i="1"/>
  <c r="AH686" i="1"/>
  <c r="AI686" i="1"/>
  <c r="AC687" i="1"/>
  <c r="AD687" i="1"/>
  <c r="AE687" i="1"/>
  <c r="AF687" i="1"/>
  <c r="AG687" i="1"/>
  <c r="AH687" i="1"/>
  <c r="AI687" i="1"/>
  <c r="AC688" i="1"/>
  <c r="AD688" i="1"/>
  <c r="AE688" i="1"/>
  <c r="AF688" i="1"/>
  <c r="AG688" i="1"/>
  <c r="AH688" i="1"/>
  <c r="AI688" i="1"/>
  <c r="AC689" i="1"/>
  <c r="AD689" i="1"/>
  <c r="AE689" i="1"/>
  <c r="AF689" i="1"/>
  <c r="AG689" i="1"/>
  <c r="AH689" i="1"/>
  <c r="AI689" i="1"/>
  <c r="AC690" i="1"/>
  <c r="AD690" i="1"/>
  <c r="AE690" i="1"/>
  <c r="AF690" i="1"/>
  <c r="AG690" i="1"/>
  <c r="AH690" i="1"/>
  <c r="AI690" i="1"/>
  <c r="AC691" i="1"/>
  <c r="AD691" i="1"/>
  <c r="AE691" i="1"/>
  <c r="AF691" i="1"/>
  <c r="AG691" i="1"/>
  <c r="AH691" i="1"/>
  <c r="AI691" i="1"/>
  <c r="AC692" i="1"/>
  <c r="AD692" i="1"/>
  <c r="AE692" i="1"/>
  <c r="AF692" i="1"/>
  <c r="AG692" i="1"/>
  <c r="AH692" i="1"/>
  <c r="AI692" i="1"/>
  <c r="AC693" i="1"/>
  <c r="AD693" i="1"/>
  <c r="AE693" i="1"/>
  <c r="AF693" i="1"/>
  <c r="AG693" i="1"/>
  <c r="AH693" i="1"/>
  <c r="AI693" i="1"/>
  <c r="AC694" i="1"/>
  <c r="AD694" i="1"/>
  <c r="AE694" i="1"/>
  <c r="AF694" i="1"/>
  <c r="AG694" i="1"/>
  <c r="AH694" i="1"/>
  <c r="AI694" i="1"/>
  <c r="AC695" i="1"/>
  <c r="AD695" i="1"/>
  <c r="AE695" i="1"/>
  <c r="AF695" i="1"/>
  <c r="AG695" i="1"/>
  <c r="AH695" i="1"/>
  <c r="AI695" i="1"/>
  <c r="AC696" i="1"/>
  <c r="AD696" i="1"/>
  <c r="AE696" i="1"/>
  <c r="AF696" i="1"/>
  <c r="AG696" i="1"/>
  <c r="AH696" i="1"/>
  <c r="AI696" i="1"/>
  <c r="AC697" i="1"/>
  <c r="AD697" i="1"/>
  <c r="AE697" i="1"/>
  <c r="AF697" i="1"/>
  <c r="AG697" i="1"/>
  <c r="AH697" i="1"/>
  <c r="AI697" i="1"/>
  <c r="AC698" i="1"/>
  <c r="AD698" i="1"/>
  <c r="AE698" i="1"/>
  <c r="AF698" i="1"/>
  <c r="AG698" i="1"/>
  <c r="AH698" i="1"/>
  <c r="AI698" i="1"/>
  <c r="AC699" i="1"/>
  <c r="AD699" i="1"/>
  <c r="AE699" i="1"/>
  <c r="AF699" i="1"/>
  <c r="AG699" i="1"/>
  <c r="AH699" i="1"/>
  <c r="AI699" i="1"/>
  <c r="AC700" i="1"/>
  <c r="AD700" i="1"/>
  <c r="AE700" i="1"/>
  <c r="AF700" i="1"/>
  <c r="AG700" i="1"/>
  <c r="AH700" i="1"/>
  <c r="AI700" i="1"/>
  <c r="AC701" i="1"/>
  <c r="AD701" i="1"/>
  <c r="AE701" i="1"/>
  <c r="AF701" i="1"/>
  <c r="AG701" i="1"/>
  <c r="AH701" i="1"/>
  <c r="AI701" i="1"/>
  <c r="AC702" i="1"/>
  <c r="AD702" i="1"/>
  <c r="AE702" i="1"/>
  <c r="AF702" i="1"/>
  <c r="AG702" i="1"/>
  <c r="AH702" i="1"/>
  <c r="AI702" i="1"/>
  <c r="AC703" i="1"/>
  <c r="AD703" i="1"/>
  <c r="AE703" i="1"/>
  <c r="AF703" i="1"/>
  <c r="AG703" i="1"/>
  <c r="AH703" i="1"/>
  <c r="AI703" i="1"/>
  <c r="AC704" i="1"/>
  <c r="AD704" i="1"/>
  <c r="AE704" i="1"/>
  <c r="AF704" i="1"/>
  <c r="AG704" i="1"/>
  <c r="AH704" i="1"/>
  <c r="AI704" i="1"/>
  <c r="AC705" i="1"/>
  <c r="AD705" i="1"/>
  <c r="AE705" i="1"/>
  <c r="AF705" i="1"/>
  <c r="AG705" i="1"/>
  <c r="AH705" i="1"/>
  <c r="AI705" i="1"/>
  <c r="AC706" i="1"/>
  <c r="AD706" i="1"/>
  <c r="AE706" i="1"/>
  <c r="AF706" i="1"/>
  <c r="AG706" i="1"/>
  <c r="AH706" i="1"/>
  <c r="AI706" i="1"/>
  <c r="AC707" i="1"/>
  <c r="AD707" i="1"/>
  <c r="AE707" i="1"/>
  <c r="AF707" i="1"/>
  <c r="AG707" i="1"/>
  <c r="AH707" i="1"/>
  <c r="AI707" i="1"/>
  <c r="AC708" i="1"/>
  <c r="AD708" i="1"/>
  <c r="AE708" i="1"/>
  <c r="AF708" i="1"/>
  <c r="AG708" i="1"/>
  <c r="AH708" i="1"/>
  <c r="AI708" i="1"/>
  <c r="AC709" i="1"/>
  <c r="AD709" i="1"/>
  <c r="AE709" i="1"/>
  <c r="AF709" i="1"/>
  <c r="AG709" i="1"/>
  <c r="AH709" i="1"/>
  <c r="AI709" i="1"/>
  <c r="AC710" i="1"/>
  <c r="AD710" i="1"/>
  <c r="AE710" i="1"/>
  <c r="AF710" i="1"/>
  <c r="AG710" i="1"/>
  <c r="AH710" i="1"/>
  <c r="AI710" i="1"/>
  <c r="AC711" i="1"/>
  <c r="AD711" i="1"/>
  <c r="AE711" i="1"/>
  <c r="AF711" i="1"/>
  <c r="AG711" i="1"/>
  <c r="AH711" i="1"/>
  <c r="AI711" i="1"/>
  <c r="AC712" i="1"/>
  <c r="AD712" i="1"/>
  <c r="AE712" i="1"/>
  <c r="AF712" i="1"/>
  <c r="AG712" i="1"/>
  <c r="AH712" i="1"/>
  <c r="AI712" i="1"/>
  <c r="AC713" i="1"/>
  <c r="AD713" i="1"/>
  <c r="AE713" i="1"/>
  <c r="AF713" i="1"/>
  <c r="AG713" i="1"/>
  <c r="AH713" i="1"/>
  <c r="AI713" i="1"/>
  <c r="AC714" i="1"/>
  <c r="AD714" i="1"/>
  <c r="AE714" i="1"/>
  <c r="AF714" i="1"/>
  <c r="AG714" i="1"/>
  <c r="AH714" i="1"/>
  <c r="AI714" i="1"/>
  <c r="AC715" i="1"/>
  <c r="AD715" i="1"/>
  <c r="AE715" i="1"/>
  <c r="AF715" i="1"/>
  <c r="AG715" i="1"/>
  <c r="AH715" i="1"/>
  <c r="AI715" i="1"/>
  <c r="AC716" i="1"/>
  <c r="AD716" i="1"/>
  <c r="AE716" i="1"/>
  <c r="AF716" i="1"/>
  <c r="AG716" i="1"/>
  <c r="AH716" i="1"/>
  <c r="AI716" i="1"/>
  <c r="AC717" i="1"/>
  <c r="AD717" i="1"/>
  <c r="AE717" i="1"/>
  <c r="AF717" i="1"/>
  <c r="AG717" i="1"/>
  <c r="AH717" i="1"/>
  <c r="AI717" i="1"/>
  <c r="AC718" i="1"/>
  <c r="AD718" i="1"/>
  <c r="AE718" i="1"/>
  <c r="AF718" i="1"/>
  <c r="AG718" i="1"/>
  <c r="AH718" i="1"/>
  <c r="AI718" i="1"/>
  <c r="AC719" i="1"/>
  <c r="AD719" i="1"/>
  <c r="AE719" i="1"/>
  <c r="AF719" i="1"/>
  <c r="AG719" i="1"/>
  <c r="AH719" i="1"/>
  <c r="AI719" i="1"/>
  <c r="AC720" i="1"/>
  <c r="AD720" i="1"/>
  <c r="AE720" i="1"/>
  <c r="AF720" i="1"/>
  <c r="AG720" i="1"/>
  <c r="AH720" i="1"/>
  <c r="AI720" i="1"/>
  <c r="AC721" i="1"/>
  <c r="AD721" i="1"/>
  <c r="AE721" i="1"/>
  <c r="AF721" i="1"/>
  <c r="AG721" i="1"/>
  <c r="AH721" i="1"/>
  <c r="AI721" i="1"/>
  <c r="AC722" i="1"/>
  <c r="AD722" i="1"/>
  <c r="AE722" i="1"/>
  <c r="AF722" i="1"/>
  <c r="AG722" i="1"/>
  <c r="AH722" i="1"/>
  <c r="AI722" i="1"/>
  <c r="AC723" i="1"/>
  <c r="AD723" i="1"/>
  <c r="AE723" i="1"/>
  <c r="AF723" i="1"/>
  <c r="AG723" i="1"/>
  <c r="AH723" i="1"/>
  <c r="AI723" i="1"/>
  <c r="AC724" i="1"/>
  <c r="AD724" i="1"/>
  <c r="AE724" i="1"/>
  <c r="AF724" i="1"/>
  <c r="AG724" i="1"/>
  <c r="AH724" i="1"/>
  <c r="AI724" i="1"/>
  <c r="AC725" i="1"/>
  <c r="AD725" i="1"/>
  <c r="AE725" i="1"/>
  <c r="AF725" i="1"/>
  <c r="AG725" i="1"/>
  <c r="AH725" i="1"/>
  <c r="AI725" i="1"/>
  <c r="AC726" i="1"/>
  <c r="AD726" i="1"/>
  <c r="AE726" i="1"/>
  <c r="AF726" i="1"/>
  <c r="AG726" i="1"/>
  <c r="AH726" i="1"/>
  <c r="AI726" i="1"/>
  <c r="AC727" i="1"/>
  <c r="AD727" i="1"/>
  <c r="AE727" i="1"/>
  <c r="AF727" i="1"/>
  <c r="AG727" i="1"/>
  <c r="AH727" i="1"/>
  <c r="AI727" i="1"/>
  <c r="AC728" i="1"/>
  <c r="AD728" i="1"/>
  <c r="AE728" i="1"/>
  <c r="AF728" i="1"/>
  <c r="AG728" i="1"/>
  <c r="AH728" i="1"/>
  <c r="AI728" i="1"/>
  <c r="AC729" i="1"/>
  <c r="AD729" i="1"/>
  <c r="AE729" i="1"/>
  <c r="AF729" i="1"/>
  <c r="AG729" i="1"/>
  <c r="AH729" i="1"/>
  <c r="AI729" i="1"/>
  <c r="AC730" i="1"/>
  <c r="AD730" i="1"/>
  <c r="AE730" i="1"/>
  <c r="AF730" i="1"/>
  <c r="AG730" i="1"/>
  <c r="AH730" i="1"/>
  <c r="AI730" i="1"/>
  <c r="AC731" i="1"/>
  <c r="AD731" i="1"/>
  <c r="AE731" i="1"/>
  <c r="AF731" i="1"/>
  <c r="AG731" i="1"/>
  <c r="AH731" i="1"/>
  <c r="AI731" i="1"/>
  <c r="AC732" i="1"/>
  <c r="AD732" i="1"/>
  <c r="AE732" i="1"/>
  <c r="AF732" i="1"/>
  <c r="AG732" i="1"/>
  <c r="AH732" i="1"/>
  <c r="AI732" i="1"/>
  <c r="AC733" i="1"/>
  <c r="AD733" i="1"/>
  <c r="AE733" i="1"/>
  <c r="AF733" i="1"/>
  <c r="AG733" i="1"/>
  <c r="AH733" i="1"/>
  <c r="AI733" i="1"/>
  <c r="AC734" i="1"/>
  <c r="AD734" i="1"/>
  <c r="AE734" i="1"/>
  <c r="AF734" i="1"/>
  <c r="AG734" i="1"/>
  <c r="AH734" i="1"/>
  <c r="AI734" i="1"/>
  <c r="AC735" i="1"/>
  <c r="AD735" i="1"/>
  <c r="AE735" i="1"/>
  <c r="AF735" i="1"/>
  <c r="AG735" i="1"/>
  <c r="AH735" i="1"/>
  <c r="AI735" i="1"/>
  <c r="AC736" i="1"/>
  <c r="AD736" i="1"/>
  <c r="AE736" i="1"/>
  <c r="AF736" i="1"/>
  <c r="AG736" i="1"/>
  <c r="AH736" i="1"/>
  <c r="AI736" i="1"/>
  <c r="AC737" i="1"/>
  <c r="AD737" i="1"/>
  <c r="AE737" i="1"/>
  <c r="AF737" i="1"/>
  <c r="AG737" i="1"/>
  <c r="AH737" i="1"/>
  <c r="AI737" i="1"/>
  <c r="AC738" i="1"/>
  <c r="AD738" i="1"/>
  <c r="AE738" i="1"/>
  <c r="AF738" i="1"/>
  <c r="AG738" i="1"/>
  <c r="AH738" i="1"/>
  <c r="AI738" i="1"/>
  <c r="AC739" i="1"/>
  <c r="AD739" i="1"/>
  <c r="AE739" i="1"/>
  <c r="AF739" i="1"/>
  <c r="AG739" i="1"/>
  <c r="AH739" i="1"/>
  <c r="AI739" i="1"/>
  <c r="AC740" i="1"/>
  <c r="AD740" i="1"/>
  <c r="AE740" i="1"/>
  <c r="AF740" i="1"/>
  <c r="AG740" i="1"/>
  <c r="AH740" i="1"/>
  <c r="AI740" i="1"/>
  <c r="AC741" i="1"/>
  <c r="AD741" i="1"/>
  <c r="AE741" i="1"/>
  <c r="AF741" i="1"/>
  <c r="AG741" i="1"/>
  <c r="AH741" i="1"/>
  <c r="AI741" i="1"/>
  <c r="AC742" i="1"/>
  <c r="AD742" i="1"/>
  <c r="AE742" i="1"/>
  <c r="AF742" i="1"/>
  <c r="AG742" i="1"/>
  <c r="AH742" i="1"/>
  <c r="AI742" i="1"/>
  <c r="AC743" i="1"/>
  <c r="AD743" i="1"/>
  <c r="AE743" i="1"/>
  <c r="AF743" i="1"/>
  <c r="AG743" i="1"/>
  <c r="AH743" i="1"/>
  <c r="AI743" i="1"/>
  <c r="AC744" i="1"/>
  <c r="AD744" i="1"/>
  <c r="AE744" i="1"/>
  <c r="AF744" i="1"/>
  <c r="AG744" i="1"/>
  <c r="AH744" i="1"/>
  <c r="AI744" i="1"/>
  <c r="AC745" i="1"/>
  <c r="AD745" i="1"/>
  <c r="AE745" i="1"/>
  <c r="AF745" i="1"/>
  <c r="AG745" i="1"/>
  <c r="AH745" i="1"/>
  <c r="AI745" i="1"/>
  <c r="AC746" i="1"/>
  <c r="AD746" i="1"/>
  <c r="AE746" i="1"/>
  <c r="AF746" i="1"/>
  <c r="AG746" i="1"/>
  <c r="AH746" i="1"/>
  <c r="AI746" i="1"/>
  <c r="AC747" i="1"/>
  <c r="AD747" i="1"/>
  <c r="AE747" i="1"/>
  <c r="AF747" i="1"/>
  <c r="AG747" i="1"/>
  <c r="AH747" i="1"/>
  <c r="AI747" i="1"/>
  <c r="AC748" i="1"/>
  <c r="AD748" i="1"/>
  <c r="AE748" i="1"/>
  <c r="AF748" i="1"/>
  <c r="AG748" i="1"/>
  <c r="AH748" i="1"/>
  <c r="AI748" i="1"/>
  <c r="AC749" i="1"/>
  <c r="AD749" i="1"/>
  <c r="AE749" i="1"/>
  <c r="AF749" i="1"/>
  <c r="AG749" i="1"/>
  <c r="AH749" i="1"/>
  <c r="AI749" i="1"/>
  <c r="AC750" i="1"/>
  <c r="AD750" i="1"/>
  <c r="AE750" i="1"/>
  <c r="AF750" i="1"/>
  <c r="AG750" i="1"/>
  <c r="AH750" i="1"/>
  <c r="AI750" i="1"/>
  <c r="AC751" i="1"/>
  <c r="AD751" i="1"/>
  <c r="AE751" i="1"/>
  <c r="AF751" i="1"/>
  <c r="AG751" i="1"/>
  <c r="AH751" i="1"/>
  <c r="AI751" i="1"/>
  <c r="AC752" i="1"/>
  <c r="AD752" i="1"/>
  <c r="AE752" i="1"/>
  <c r="AF752" i="1"/>
  <c r="AG752" i="1"/>
  <c r="AH752" i="1"/>
  <c r="AI752" i="1"/>
  <c r="AC753" i="1"/>
  <c r="AD753" i="1"/>
  <c r="AE753" i="1"/>
  <c r="AF753" i="1"/>
  <c r="AG753" i="1"/>
  <c r="AH753" i="1"/>
  <c r="AI753" i="1"/>
  <c r="AC754" i="1"/>
  <c r="AD754" i="1"/>
  <c r="AE754" i="1"/>
  <c r="AF754" i="1"/>
  <c r="AG754" i="1"/>
  <c r="AH754" i="1"/>
  <c r="AI754" i="1"/>
  <c r="AC755" i="1"/>
  <c r="AD755" i="1"/>
  <c r="AE755" i="1"/>
  <c r="AF755" i="1"/>
  <c r="AG755" i="1"/>
  <c r="AH755" i="1"/>
  <c r="AI755" i="1"/>
  <c r="AC756" i="1"/>
  <c r="AD756" i="1"/>
  <c r="AE756" i="1"/>
  <c r="AF756" i="1"/>
  <c r="AG756" i="1"/>
  <c r="AH756" i="1"/>
  <c r="AI756" i="1"/>
  <c r="AC757" i="1"/>
  <c r="AD757" i="1"/>
  <c r="AE757" i="1"/>
  <c r="AF757" i="1"/>
  <c r="AG757" i="1"/>
  <c r="AH757" i="1"/>
  <c r="AI757" i="1"/>
  <c r="AC758" i="1"/>
  <c r="AD758" i="1"/>
  <c r="AE758" i="1"/>
  <c r="AF758" i="1"/>
  <c r="AG758" i="1"/>
  <c r="AH758" i="1"/>
  <c r="AI758" i="1"/>
  <c r="AC759" i="1"/>
  <c r="AD759" i="1"/>
  <c r="AE759" i="1"/>
  <c r="AF759" i="1"/>
  <c r="AG759" i="1"/>
  <c r="AH759" i="1"/>
  <c r="AI759" i="1"/>
  <c r="AC760" i="1"/>
  <c r="AD760" i="1"/>
  <c r="AE760" i="1"/>
  <c r="AF760" i="1"/>
  <c r="AG760" i="1"/>
  <c r="AH760" i="1"/>
  <c r="AI760" i="1"/>
  <c r="AC761" i="1"/>
  <c r="AD761" i="1"/>
  <c r="AE761" i="1"/>
  <c r="AF761" i="1"/>
  <c r="AG761" i="1"/>
  <c r="AH761" i="1"/>
  <c r="AI761" i="1"/>
  <c r="AC762" i="1"/>
  <c r="AD762" i="1"/>
  <c r="AE762" i="1"/>
  <c r="AF762" i="1"/>
  <c r="AG762" i="1"/>
  <c r="AH762" i="1"/>
  <c r="AI762" i="1"/>
  <c r="AC763" i="1"/>
  <c r="AD763" i="1"/>
  <c r="AE763" i="1"/>
  <c r="AF763" i="1"/>
  <c r="AG763" i="1"/>
  <c r="AH763" i="1"/>
  <c r="AI763" i="1"/>
  <c r="AC764" i="1"/>
  <c r="AD764" i="1"/>
  <c r="AE764" i="1"/>
  <c r="AF764" i="1"/>
  <c r="AG764" i="1"/>
  <c r="AH764" i="1"/>
  <c r="AI764" i="1"/>
  <c r="AC765" i="1"/>
  <c r="AD765" i="1"/>
  <c r="AE765" i="1"/>
  <c r="AF765" i="1"/>
  <c r="AG765" i="1"/>
  <c r="AH765" i="1"/>
  <c r="AI765" i="1"/>
  <c r="AC766" i="1"/>
  <c r="AD766" i="1"/>
  <c r="AE766" i="1"/>
  <c r="AF766" i="1"/>
  <c r="AG766" i="1"/>
  <c r="AH766" i="1"/>
  <c r="AI766" i="1"/>
  <c r="AC767" i="1"/>
  <c r="AD767" i="1"/>
  <c r="AE767" i="1"/>
  <c r="AF767" i="1"/>
  <c r="AG767" i="1"/>
  <c r="AH767" i="1"/>
  <c r="AI767" i="1"/>
  <c r="AC768" i="1"/>
  <c r="AD768" i="1"/>
  <c r="AE768" i="1"/>
  <c r="AF768" i="1"/>
  <c r="AG768" i="1"/>
  <c r="AH768" i="1"/>
  <c r="AI768" i="1"/>
  <c r="AC769" i="1"/>
  <c r="AD769" i="1"/>
  <c r="AE769" i="1"/>
  <c r="AF769" i="1"/>
  <c r="AG769" i="1"/>
  <c r="AH769" i="1"/>
  <c r="AI769" i="1"/>
  <c r="AC770" i="1"/>
  <c r="AD770" i="1"/>
  <c r="AE770" i="1"/>
  <c r="AF770" i="1"/>
  <c r="AG770" i="1"/>
  <c r="AH770" i="1"/>
  <c r="AI770" i="1"/>
  <c r="AC771" i="1"/>
  <c r="AD771" i="1"/>
  <c r="AE771" i="1"/>
  <c r="AF771" i="1"/>
  <c r="AG771" i="1"/>
  <c r="AH771" i="1"/>
  <c r="AI771" i="1"/>
  <c r="AC772" i="1"/>
  <c r="AD772" i="1"/>
  <c r="AE772" i="1"/>
  <c r="AF772" i="1"/>
  <c r="AG772" i="1"/>
  <c r="AH772" i="1"/>
  <c r="AI772" i="1"/>
  <c r="AC773" i="1"/>
  <c r="AD773" i="1"/>
  <c r="AE773" i="1"/>
  <c r="AF773" i="1"/>
  <c r="AG773" i="1"/>
  <c r="AH773" i="1"/>
  <c r="AI773" i="1"/>
  <c r="AC774" i="1"/>
  <c r="AD774" i="1"/>
  <c r="AE774" i="1"/>
  <c r="AF774" i="1"/>
  <c r="AG774" i="1"/>
  <c r="AH774" i="1"/>
  <c r="AI774" i="1"/>
  <c r="AC775" i="1"/>
  <c r="AD775" i="1"/>
  <c r="AE775" i="1"/>
  <c r="AF775" i="1"/>
  <c r="AG775" i="1"/>
  <c r="AH775" i="1"/>
  <c r="AI775" i="1"/>
  <c r="AC776" i="1"/>
  <c r="AD776" i="1"/>
  <c r="AE776" i="1"/>
  <c r="AF776" i="1"/>
  <c r="AG776" i="1"/>
  <c r="AH776" i="1"/>
  <c r="AI776" i="1"/>
  <c r="AC777" i="1"/>
  <c r="AD777" i="1"/>
  <c r="AE777" i="1"/>
  <c r="AF777" i="1"/>
  <c r="AG777" i="1"/>
  <c r="AH777" i="1"/>
  <c r="AI777" i="1"/>
  <c r="AC778" i="1"/>
  <c r="AD778" i="1"/>
  <c r="AE778" i="1"/>
  <c r="AF778" i="1"/>
  <c r="AG778" i="1"/>
  <c r="AH778" i="1"/>
  <c r="AI778" i="1"/>
  <c r="AC779" i="1"/>
  <c r="AD779" i="1"/>
  <c r="AE779" i="1"/>
  <c r="AF779" i="1"/>
  <c r="AG779" i="1"/>
  <c r="AH779" i="1"/>
  <c r="AI779" i="1"/>
  <c r="AC780" i="1"/>
  <c r="AD780" i="1"/>
  <c r="AE780" i="1"/>
  <c r="AF780" i="1"/>
  <c r="AG780" i="1"/>
  <c r="AH780" i="1"/>
  <c r="AI780" i="1"/>
  <c r="AC781" i="1"/>
  <c r="AD781" i="1"/>
  <c r="AE781" i="1"/>
  <c r="AF781" i="1"/>
  <c r="AG781" i="1"/>
  <c r="AH781" i="1"/>
  <c r="AI781" i="1"/>
  <c r="AC782" i="1"/>
  <c r="AD782" i="1"/>
  <c r="AE782" i="1"/>
  <c r="AF782" i="1"/>
  <c r="AG782" i="1"/>
  <c r="AH782" i="1"/>
  <c r="AI782" i="1"/>
  <c r="AC783" i="1"/>
  <c r="AD783" i="1"/>
  <c r="AE783" i="1"/>
  <c r="AF783" i="1"/>
  <c r="AG783" i="1"/>
  <c r="AH783" i="1"/>
  <c r="AI783" i="1"/>
  <c r="AC784" i="1"/>
  <c r="AD784" i="1"/>
  <c r="AE784" i="1"/>
  <c r="AF784" i="1"/>
  <c r="AG784" i="1"/>
  <c r="AH784" i="1"/>
  <c r="AI784" i="1"/>
  <c r="AC785" i="1"/>
  <c r="AD785" i="1"/>
  <c r="AE785" i="1"/>
  <c r="AF785" i="1"/>
  <c r="AG785" i="1"/>
  <c r="AH785" i="1"/>
  <c r="AI785" i="1"/>
  <c r="AC786" i="1"/>
  <c r="AD786" i="1"/>
  <c r="AE786" i="1"/>
  <c r="AF786" i="1"/>
  <c r="AG786" i="1"/>
  <c r="AH786" i="1"/>
  <c r="AI786" i="1"/>
  <c r="AC787" i="1"/>
  <c r="AD787" i="1"/>
  <c r="AE787" i="1"/>
  <c r="AF787" i="1"/>
  <c r="AG787" i="1"/>
  <c r="AH787" i="1"/>
  <c r="AI787" i="1"/>
  <c r="AC788" i="1"/>
  <c r="AD788" i="1"/>
  <c r="AE788" i="1"/>
  <c r="AF788" i="1"/>
  <c r="AG788" i="1"/>
  <c r="AH788" i="1"/>
  <c r="AI788" i="1"/>
  <c r="AC789" i="1"/>
  <c r="AD789" i="1"/>
  <c r="AE789" i="1"/>
  <c r="AF789" i="1"/>
  <c r="AG789" i="1"/>
  <c r="AH789" i="1"/>
  <c r="AI789" i="1"/>
  <c r="AC790" i="1"/>
  <c r="AD790" i="1"/>
  <c r="AE790" i="1"/>
  <c r="AF790" i="1"/>
  <c r="AG790" i="1"/>
  <c r="AH790" i="1"/>
  <c r="AI790" i="1"/>
  <c r="AC791" i="1"/>
  <c r="AD791" i="1"/>
  <c r="AE791" i="1"/>
  <c r="AF791" i="1"/>
  <c r="AG791" i="1"/>
  <c r="AH791" i="1"/>
  <c r="AI791" i="1"/>
  <c r="AC792" i="1"/>
  <c r="AD792" i="1"/>
  <c r="AE792" i="1"/>
  <c r="AF792" i="1"/>
  <c r="AG792" i="1"/>
  <c r="AH792" i="1"/>
  <c r="AI792" i="1"/>
  <c r="AC793" i="1"/>
  <c r="AD793" i="1"/>
  <c r="AE793" i="1"/>
  <c r="AF793" i="1"/>
  <c r="AG793" i="1"/>
  <c r="AH793" i="1"/>
  <c r="AI793" i="1"/>
  <c r="AC794" i="1"/>
  <c r="AD794" i="1"/>
  <c r="AE794" i="1"/>
  <c r="AF794" i="1"/>
  <c r="AG794" i="1"/>
  <c r="AH794" i="1"/>
  <c r="AI794" i="1"/>
  <c r="AC795" i="1"/>
  <c r="AD795" i="1"/>
  <c r="AE795" i="1"/>
  <c r="AF795" i="1"/>
  <c r="AG795" i="1"/>
  <c r="AH795" i="1"/>
  <c r="AI795" i="1"/>
  <c r="AC796" i="1"/>
  <c r="AD796" i="1"/>
  <c r="AE796" i="1"/>
  <c r="AF796" i="1"/>
  <c r="AG796" i="1"/>
  <c r="AH796" i="1"/>
  <c r="AI796" i="1"/>
  <c r="AC797" i="1"/>
  <c r="AD797" i="1"/>
  <c r="AE797" i="1"/>
  <c r="AF797" i="1"/>
  <c r="AG797" i="1"/>
  <c r="AH797" i="1"/>
  <c r="AI797" i="1"/>
  <c r="AC798" i="1"/>
  <c r="AD798" i="1"/>
  <c r="AE798" i="1"/>
  <c r="AF798" i="1"/>
  <c r="AG798" i="1"/>
  <c r="AH798" i="1"/>
  <c r="AI798" i="1"/>
  <c r="AC799" i="1"/>
  <c r="AD799" i="1"/>
  <c r="AE799" i="1"/>
  <c r="AF799" i="1"/>
  <c r="AG799" i="1"/>
  <c r="AH799" i="1"/>
  <c r="AI799" i="1"/>
  <c r="AC800" i="1"/>
  <c r="AD800" i="1"/>
  <c r="AE800" i="1"/>
  <c r="AF800" i="1"/>
  <c r="AG800" i="1"/>
  <c r="AH800" i="1"/>
  <c r="AI800" i="1"/>
  <c r="AC801" i="1"/>
  <c r="AD801" i="1"/>
  <c r="AE801" i="1"/>
  <c r="AF801" i="1"/>
  <c r="AG801" i="1"/>
  <c r="AH801" i="1"/>
  <c r="AI801" i="1"/>
  <c r="AC802" i="1"/>
  <c r="AD802" i="1"/>
  <c r="AE802" i="1"/>
  <c r="AF802" i="1"/>
  <c r="AG802" i="1"/>
  <c r="AH802" i="1"/>
  <c r="AI802" i="1"/>
  <c r="AC803" i="1"/>
  <c r="AD803" i="1"/>
  <c r="AE803" i="1"/>
  <c r="AF803" i="1"/>
  <c r="AG803" i="1"/>
  <c r="AH803" i="1"/>
  <c r="AI803" i="1"/>
  <c r="AC804" i="1"/>
  <c r="AD804" i="1"/>
  <c r="AE804" i="1"/>
  <c r="AF804" i="1"/>
  <c r="AG804" i="1"/>
  <c r="AH804" i="1"/>
  <c r="AI804" i="1"/>
  <c r="AC805" i="1"/>
  <c r="AD805" i="1"/>
  <c r="AE805" i="1"/>
  <c r="AF805" i="1"/>
  <c r="AG805" i="1"/>
  <c r="AH805" i="1"/>
  <c r="AI805" i="1"/>
  <c r="AC806" i="1"/>
  <c r="AD806" i="1"/>
  <c r="AE806" i="1"/>
  <c r="AF806" i="1"/>
  <c r="AG806" i="1"/>
  <c r="AH806" i="1"/>
  <c r="AI806" i="1"/>
  <c r="AC807" i="1"/>
  <c r="AD807" i="1"/>
  <c r="AE807" i="1"/>
  <c r="AF807" i="1"/>
  <c r="AG807" i="1"/>
  <c r="AH807" i="1"/>
  <c r="AI807" i="1"/>
  <c r="AC808" i="1"/>
  <c r="AD808" i="1"/>
  <c r="AE808" i="1"/>
  <c r="AF808" i="1"/>
  <c r="AG808" i="1"/>
  <c r="AH808" i="1"/>
  <c r="AI808" i="1"/>
  <c r="AC809" i="1"/>
  <c r="AD809" i="1"/>
  <c r="AE809" i="1"/>
  <c r="AF809" i="1"/>
  <c r="AG809" i="1"/>
  <c r="AH809" i="1"/>
  <c r="AI809" i="1"/>
  <c r="AC810" i="1"/>
  <c r="AD810" i="1"/>
  <c r="AE810" i="1"/>
  <c r="AF810" i="1"/>
  <c r="AG810" i="1"/>
  <c r="AH810" i="1"/>
  <c r="AI810" i="1"/>
  <c r="AC811" i="1"/>
  <c r="AD811" i="1"/>
  <c r="AE811" i="1"/>
  <c r="AF811" i="1"/>
  <c r="AG811" i="1"/>
  <c r="AH811" i="1"/>
  <c r="AI811" i="1"/>
  <c r="AC812" i="1"/>
  <c r="AD812" i="1"/>
  <c r="AE812" i="1"/>
  <c r="AF812" i="1"/>
  <c r="AG812" i="1"/>
  <c r="AH812" i="1"/>
  <c r="AI812" i="1"/>
  <c r="AC813" i="1"/>
  <c r="AD813" i="1"/>
  <c r="AE813" i="1"/>
  <c r="AF813" i="1"/>
  <c r="AG813" i="1"/>
  <c r="AH813" i="1"/>
  <c r="AI813" i="1"/>
  <c r="AC814" i="1"/>
  <c r="AD814" i="1"/>
  <c r="AE814" i="1"/>
  <c r="AF814" i="1"/>
  <c r="AG814" i="1"/>
  <c r="AH814" i="1"/>
  <c r="AI814" i="1"/>
  <c r="AC815" i="1"/>
  <c r="AD815" i="1"/>
  <c r="AE815" i="1"/>
  <c r="AF815" i="1"/>
  <c r="AG815" i="1"/>
  <c r="AH815" i="1"/>
  <c r="AI815" i="1"/>
  <c r="AC816" i="1"/>
  <c r="AD816" i="1"/>
  <c r="AE816" i="1"/>
  <c r="AF816" i="1"/>
  <c r="AG816" i="1"/>
  <c r="AH816" i="1"/>
  <c r="AI816" i="1"/>
  <c r="AC817" i="1"/>
  <c r="AD817" i="1"/>
  <c r="AE817" i="1"/>
  <c r="AF817" i="1"/>
  <c r="AG817" i="1"/>
  <c r="AH817" i="1"/>
  <c r="AI817" i="1"/>
  <c r="AC818" i="1"/>
  <c r="AD818" i="1"/>
  <c r="AE818" i="1"/>
  <c r="AF818" i="1"/>
  <c r="AG818" i="1"/>
  <c r="AH818" i="1"/>
  <c r="AI818" i="1"/>
  <c r="AC819" i="1"/>
  <c r="AD819" i="1"/>
  <c r="AE819" i="1"/>
  <c r="AF819" i="1"/>
  <c r="AG819" i="1"/>
  <c r="AH819" i="1"/>
  <c r="AI819" i="1"/>
  <c r="AC820" i="1"/>
  <c r="AD820" i="1"/>
  <c r="AE820" i="1"/>
  <c r="AF820" i="1"/>
  <c r="AG820" i="1"/>
  <c r="AH820" i="1"/>
  <c r="AI820" i="1"/>
  <c r="AC821" i="1"/>
  <c r="AD821" i="1"/>
  <c r="AE821" i="1"/>
  <c r="AF821" i="1"/>
  <c r="AG821" i="1"/>
  <c r="AH821" i="1"/>
  <c r="AI821" i="1"/>
  <c r="AC822" i="1"/>
  <c r="AD822" i="1"/>
  <c r="AE822" i="1"/>
  <c r="AF822" i="1"/>
  <c r="AG822" i="1"/>
  <c r="AH822" i="1"/>
  <c r="AI822" i="1"/>
  <c r="AC823" i="1"/>
  <c r="AD823" i="1"/>
  <c r="AE823" i="1"/>
  <c r="AF823" i="1"/>
  <c r="AG823" i="1"/>
  <c r="AH823" i="1"/>
  <c r="AI823" i="1"/>
  <c r="AC824" i="1"/>
  <c r="AD824" i="1"/>
  <c r="AE824" i="1"/>
  <c r="AF824" i="1"/>
  <c r="AG824" i="1"/>
  <c r="AH824" i="1"/>
  <c r="AI824" i="1"/>
  <c r="AC825" i="1"/>
  <c r="AD825" i="1"/>
  <c r="AE825" i="1"/>
  <c r="AF825" i="1"/>
  <c r="AG825" i="1"/>
  <c r="AH825" i="1"/>
  <c r="AI825" i="1"/>
  <c r="AC826" i="1"/>
  <c r="AD826" i="1"/>
  <c r="AE826" i="1"/>
  <c r="AF826" i="1"/>
  <c r="AG826" i="1"/>
  <c r="AH826" i="1"/>
  <c r="AI826" i="1"/>
  <c r="AC827" i="1"/>
  <c r="AD827" i="1"/>
  <c r="AE827" i="1"/>
  <c r="AF827" i="1"/>
  <c r="AG827" i="1"/>
  <c r="AH827" i="1"/>
  <c r="AI827" i="1"/>
  <c r="AC828" i="1"/>
  <c r="AD828" i="1"/>
  <c r="AE828" i="1"/>
  <c r="AF828" i="1"/>
  <c r="AG828" i="1"/>
  <c r="AH828" i="1"/>
  <c r="AI828" i="1"/>
  <c r="AC829" i="1"/>
  <c r="AD829" i="1"/>
  <c r="AE829" i="1"/>
  <c r="AF829" i="1"/>
  <c r="AG829" i="1"/>
  <c r="AH829" i="1"/>
  <c r="AI829" i="1"/>
  <c r="AC830" i="1"/>
  <c r="AD830" i="1"/>
  <c r="AE830" i="1"/>
  <c r="AF830" i="1"/>
  <c r="AG830" i="1"/>
  <c r="AH830" i="1"/>
  <c r="AI830" i="1"/>
  <c r="AC831" i="1"/>
  <c r="AD831" i="1"/>
  <c r="AE831" i="1"/>
  <c r="AF831" i="1"/>
  <c r="AG831" i="1"/>
  <c r="AH831" i="1"/>
  <c r="AI831" i="1"/>
  <c r="AC832" i="1"/>
  <c r="AD832" i="1"/>
  <c r="AE832" i="1"/>
  <c r="AF832" i="1"/>
  <c r="AG832" i="1"/>
  <c r="AH832" i="1"/>
  <c r="AI832" i="1"/>
  <c r="AC833" i="1"/>
  <c r="AD833" i="1"/>
  <c r="AE833" i="1"/>
  <c r="AF833" i="1"/>
  <c r="AG833" i="1"/>
  <c r="AH833" i="1"/>
  <c r="AI833" i="1"/>
  <c r="AC834" i="1"/>
  <c r="AD834" i="1"/>
  <c r="AE834" i="1"/>
  <c r="AF834" i="1"/>
  <c r="AG834" i="1"/>
  <c r="AH834" i="1"/>
  <c r="AI834" i="1"/>
  <c r="AC835" i="1"/>
  <c r="AD835" i="1"/>
  <c r="AE835" i="1"/>
  <c r="AF835" i="1"/>
  <c r="AG835" i="1"/>
  <c r="AH835" i="1"/>
  <c r="AI835" i="1"/>
  <c r="AC836" i="1"/>
  <c r="AD836" i="1"/>
  <c r="AE836" i="1"/>
  <c r="AF836" i="1"/>
  <c r="AG836" i="1"/>
  <c r="AH836" i="1"/>
  <c r="AI836" i="1"/>
  <c r="AC837" i="1"/>
  <c r="AD837" i="1"/>
  <c r="AE837" i="1"/>
  <c r="AF837" i="1"/>
  <c r="AG837" i="1"/>
  <c r="AH837" i="1"/>
  <c r="AI837" i="1"/>
  <c r="AC838" i="1"/>
  <c r="AD838" i="1"/>
  <c r="AE838" i="1"/>
  <c r="AF838" i="1"/>
  <c r="AG838" i="1"/>
  <c r="AH838" i="1"/>
  <c r="AI838" i="1"/>
  <c r="AC839" i="1"/>
  <c r="AD839" i="1"/>
  <c r="AE839" i="1"/>
  <c r="AF839" i="1"/>
  <c r="AG839" i="1"/>
  <c r="AH839" i="1"/>
  <c r="AI839" i="1"/>
  <c r="AC840" i="1"/>
  <c r="AD840" i="1"/>
  <c r="AE840" i="1"/>
  <c r="AF840" i="1"/>
  <c r="AG840" i="1"/>
  <c r="AH840" i="1"/>
  <c r="AI840" i="1"/>
  <c r="AC841" i="1"/>
  <c r="AD841" i="1"/>
  <c r="AE841" i="1"/>
  <c r="AF841" i="1"/>
  <c r="AG841" i="1"/>
  <c r="AH841" i="1"/>
  <c r="AI841" i="1"/>
  <c r="AC842" i="1"/>
  <c r="AD842" i="1"/>
  <c r="AE842" i="1"/>
  <c r="AF842" i="1"/>
  <c r="AG842" i="1"/>
  <c r="AH842" i="1"/>
  <c r="AI842" i="1"/>
  <c r="AC843" i="1"/>
  <c r="AD843" i="1"/>
  <c r="AE843" i="1"/>
  <c r="AF843" i="1"/>
  <c r="AG843" i="1"/>
  <c r="AH843" i="1"/>
  <c r="AI843" i="1"/>
  <c r="AC844" i="1"/>
  <c r="AD844" i="1"/>
  <c r="AE844" i="1"/>
  <c r="AF844" i="1"/>
  <c r="AG844" i="1"/>
  <c r="AH844" i="1"/>
  <c r="AI844" i="1"/>
  <c r="AC845" i="1"/>
  <c r="AD845" i="1"/>
  <c r="AE845" i="1"/>
  <c r="AF845" i="1"/>
  <c r="AG845" i="1"/>
  <c r="AH845" i="1"/>
  <c r="AI845" i="1"/>
  <c r="AC846" i="1"/>
  <c r="AD846" i="1"/>
  <c r="AE846" i="1"/>
  <c r="AF846" i="1"/>
  <c r="AG846" i="1"/>
  <c r="AH846" i="1"/>
  <c r="AI846" i="1"/>
  <c r="AC847" i="1"/>
  <c r="AD847" i="1"/>
  <c r="AE847" i="1"/>
  <c r="AF847" i="1"/>
  <c r="AG847" i="1"/>
  <c r="AH847" i="1"/>
  <c r="AI847" i="1"/>
  <c r="AC848" i="1"/>
  <c r="AD848" i="1"/>
  <c r="AE848" i="1"/>
  <c r="AF848" i="1"/>
  <c r="AG848" i="1"/>
  <c r="AH848" i="1"/>
  <c r="AI848" i="1"/>
  <c r="AC849" i="1"/>
  <c r="AD849" i="1"/>
  <c r="AE849" i="1"/>
  <c r="AF849" i="1"/>
  <c r="AG849" i="1"/>
  <c r="AH849" i="1"/>
  <c r="AI849" i="1"/>
  <c r="AC850" i="1"/>
  <c r="AD850" i="1"/>
  <c r="AE850" i="1"/>
  <c r="AF850" i="1"/>
  <c r="AG850" i="1"/>
  <c r="AH850" i="1"/>
  <c r="AI850" i="1"/>
  <c r="AC851" i="1"/>
  <c r="AD851" i="1"/>
  <c r="AE851" i="1"/>
  <c r="AF851" i="1"/>
  <c r="AG851" i="1"/>
  <c r="AH851" i="1"/>
  <c r="AI851" i="1"/>
  <c r="AC852" i="1"/>
  <c r="AD852" i="1"/>
  <c r="AE852" i="1"/>
  <c r="AF852" i="1"/>
  <c r="AG852" i="1"/>
  <c r="AH852" i="1"/>
  <c r="AI852" i="1"/>
  <c r="AC853" i="1"/>
  <c r="AD853" i="1"/>
  <c r="AE853" i="1"/>
  <c r="AF853" i="1"/>
  <c r="AG853" i="1"/>
  <c r="AH853" i="1"/>
  <c r="AI853" i="1"/>
  <c r="AC854" i="1"/>
  <c r="AD854" i="1"/>
  <c r="AE854" i="1"/>
  <c r="AF854" i="1"/>
  <c r="AG854" i="1"/>
  <c r="AH854" i="1"/>
  <c r="AI854" i="1"/>
  <c r="AC855" i="1"/>
  <c r="AD855" i="1"/>
  <c r="AE855" i="1"/>
  <c r="AF855" i="1"/>
  <c r="AG855" i="1"/>
  <c r="AH855" i="1"/>
  <c r="AI855" i="1"/>
  <c r="AC856" i="1"/>
  <c r="AD856" i="1"/>
  <c r="AE856" i="1"/>
  <c r="AF856" i="1"/>
  <c r="AG856" i="1"/>
  <c r="AH856" i="1"/>
  <c r="AI856" i="1"/>
  <c r="AC857" i="1"/>
  <c r="AD857" i="1"/>
  <c r="AE857" i="1"/>
  <c r="AF857" i="1"/>
  <c r="AG857" i="1"/>
  <c r="AH857" i="1"/>
  <c r="AI857" i="1"/>
  <c r="AC858" i="1"/>
  <c r="AD858" i="1"/>
  <c r="AE858" i="1"/>
  <c r="AF858" i="1"/>
  <c r="AG858" i="1"/>
  <c r="AH858" i="1"/>
  <c r="AI858" i="1"/>
  <c r="AC859" i="1"/>
  <c r="AD859" i="1"/>
  <c r="AE859" i="1"/>
  <c r="AF859" i="1"/>
  <c r="AG859" i="1"/>
  <c r="AH859" i="1"/>
  <c r="AI859" i="1"/>
  <c r="AC860" i="1"/>
  <c r="AD860" i="1"/>
  <c r="AE860" i="1"/>
  <c r="AF860" i="1"/>
  <c r="AG860" i="1"/>
  <c r="AH860" i="1"/>
  <c r="AI860" i="1"/>
  <c r="AC861" i="1"/>
  <c r="AD861" i="1"/>
  <c r="AE861" i="1"/>
  <c r="AF861" i="1"/>
  <c r="AG861" i="1"/>
  <c r="AH861" i="1"/>
  <c r="AI861" i="1"/>
  <c r="AC862" i="1"/>
  <c r="AD862" i="1"/>
  <c r="AE862" i="1"/>
  <c r="AF862" i="1"/>
  <c r="AG862" i="1"/>
  <c r="AH862" i="1"/>
  <c r="AI862" i="1"/>
  <c r="AC863" i="1"/>
  <c r="AD863" i="1"/>
  <c r="AE863" i="1"/>
  <c r="AF863" i="1"/>
  <c r="AG863" i="1"/>
  <c r="AH863" i="1"/>
  <c r="AI863" i="1"/>
  <c r="AC864" i="1"/>
  <c r="AD864" i="1"/>
  <c r="AE864" i="1"/>
  <c r="AF864" i="1"/>
  <c r="AG864" i="1"/>
  <c r="AH864" i="1"/>
  <c r="AI864" i="1"/>
  <c r="AC865" i="1"/>
  <c r="AD865" i="1"/>
  <c r="AE865" i="1"/>
  <c r="AF865" i="1"/>
  <c r="AG865" i="1"/>
  <c r="AH865" i="1"/>
  <c r="AI865" i="1"/>
  <c r="AC866" i="1"/>
  <c r="AD866" i="1"/>
  <c r="AE866" i="1"/>
  <c r="AF866" i="1"/>
  <c r="AG866" i="1"/>
  <c r="AH866" i="1"/>
  <c r="AI866" i="1"/>
  <c r="AC867" i="1"/>
  <c r="AD867" i="1"/>
  <c r="AE867" i="1"/>
  <c r="AF867" i="1"/>
  <c r="AG867" i="1"/>
  <c r="AH867" i="1"/>
  <c r="AI867" i="1"/>
  <c r="AC868" i="1"/>
  <c r="AD868" i="1"/>
  <c r="AE868" i="1"/>
  <c r="AF868" i="1"/>
  <c r="AG868" i="1"/>
  <c r="AH868" i="1"/>
  <c r="AI868" i="1"/>
  <c r="AC869" i="1"/>
  <c r="AD869" i="1"/>
  <c r="AE869" i="1"/>
  <c r="AF869" i="1"/>
  <c r="AG869" i="1"/>
  <c r="AH869" i="1"/>
  <c r="AI869" i="1"/>
  <c r="AC870" i="1"/>
  <c r="AD870" i="1"/>
  <c r="AE870" i="1"/>
  <c r="AF870" i="1"/>
  <c r="AG870" i="1"/>
  <c r="AH870" i="1"/>
  <c r="AI870" i="1"/>
  <c r="AC871" i="1"/>
  <c r="AD871" i="1"/>
  <c r="AE871" i="1"/>
  <c r="AF871" i="1"/>
  <c r="AG871" i="1"/>
  <c r="AH871" i="1"/>
  <c r="AI871" i="1"/>
  <c r="AC872" i="1"/>
  <c r="AD872" i="1"/>
  <c r="AE872" i="1"/>
  <c r="AF872" i="1"/>
  <c r="AG872" i="1"/>
  <c r="AH872" i="1"/>
  <c r="AI872" i="1"/>
  <c r="AC873" i="1"/>
  <c r="AD873" i="1"/>
  <c r="AE873" i="1"/>
  <c r="AF873" i="1"/>
  <c r="AG873" i="1"/>
  <c r="AH873" i="1"/>
  <c r="AI873" i="1"/>
  <c r="AC874" i="1"/>
  <c r="AD874" i="1"/>
  <c r="AE874" i="1"/>
  <c r="AF874" i="1"/>
  <c r="AG874" i="1"/>
  <c r="AH874" i="1"/>
  <c r="AI874" i="1"/>
  <c r="AC875" i="1"/>
  <c r="AD875" i="1"/>
  <c r="AE875" i="1"/>
  <c r="AF875" i="1"/>
  <c r="AG875" i="1"/>
  <c r="AH875" i="1"/>
  <c r="AI875" i="1"/>
  <c r="AC876" i="1"/>
  <c r="AD876" i="1"/>
  <c r="AE876" i="1"/>
  <c r="AF876" i="1"/>
  <c r="AG876" i="1"/>
  <c r="AH876" i="1"/>
  <c r="AI876" i="1"/>
  <c r="AC877" i="1"/>
  <c r="AD877" i="1"/>
  <c r="AE877" i="1"/>
  <c r="AF877" i="1"/>
  <c r="AG877" i="1"/>
  <c r="AH877" i="1"/>
  <c r="AI877" i="1"/>
  <c r="AC878" i="1"/>
  <c r="AD878" i="1"/>
  <c r="AE878" i="1"/>
  <c r="AF878" i="1"/>
  <c r="AG878" i="1"/>
  <c r="AH878" i="1"/>
  <c r="AI878" i="1"/>
  <c r="AC879" i="1"/>
  <c r="AD879" i="1"/>
  <c r="AE879" i="1"/>
  <c r="AF879" i="1"/>
  <c r="AG879" i="1"/>
  <c r="AH879" i="1"/>
  <c r="AI879" i="1"/>
  <c r="AC880" i="1"/>
  <c r="AD880" i="1"/>
  <c r="AE880" i="1"/>
  <c r="AF880" i="1"/>
  <c r="AG880" i="1"/>
  <c r="AH880" i="1"/>
  <c r="AI880" i="1"/>
  <c r="AC881" i="1"/>
  <c r="AD881" i="1"/>
  <c r="AE881" i="1"/>
  <c r="AF881" i="1"/>
  <c r="AG881" i="1"/>
  <c r="AH881" i="1"/>
  <c r="AI881" i="1"/>
  <c r="AC882" i="1"/>
  <c r="AD882" i="1"/>
  <c r="AE882" i="1"/>
  <c r="AF882" i="1"/>
  <c r="AG882" i="1"/>
  <c r="AH882" i="1"/>
  <c r="AI882" i="1"/>
  <c r="AC883" i="1"/>
  <c r="AD883" i="1"/>
  <c r="AE883" i="1"/>
  <c r="AF883" i="1"/>
  <c r="AG883" i="1"/>
  <c r="AH883" i="1"/>
  <c r="AI883" i="1"/>
  <c r="AC884" i="1"/>
  <c r="AD884" i="1"/>
  <c r="AE884" i="1"/>
  <c r="AF884" i="1"/>
  <c r="AG884" i="1"/>
  <c r="AH884" i="1"/>
  <c r="AI884" i="1"/>
  <c r="AC885" i="1"/>
  <c r="AD885" i="1"/>
  <c r="AE885" i="1"/>
  <c r="AF885" i="1"/>
  <c r="AG885" i="1"/>
  <c r="AH885" i="1"/>
  <c r="AI885" i="1"/>
  <c r="AC886" i="1"/>
  <c r="AD886" i="1"/>
  <c r="AE886" i="1"/>
  <c r="AF886" i="1"/>
  <c r="AG886" i="1"/>
  <c r="AH886" i="1"/>
  <c r="AI886" i="1"/>
  <c r="AC887" i="1"/>
  <c r="AD887" i="1"/>
  <c r="AE887" i="1"/>
  <c r="AF887" i="1"/>
  <c r="AG887" i="1"/>
  <c r="AH887" i="1"/>
  <c r="AI887" i="1"/>
  <c r="AC888" i="1"/>
  <c r="AD888" i="1"/>
  <c r="AE888" i="1"/>
  <c r="AF888" i="1"/>
  <c r="AG888" i="1"/>
  <c r="AH888" i="1"/>
  <c r="AI888" i="1"/>
  <c r="AC889" i="1"/>
  <c r="AD889" i="1"/>
  <c r="AE889" i="1"/>
  <c r="AF889" i="1"/>
  <c r="AG889" i="1"/>
  <c r="AH889" i="1"/>
  <c r="AI889" i="1"/>
  <c r="AC890" i="1"/>
  <c r="AD890" i="1"/>
  <c r="AE890" i="1"/>
  <c r="AF890" i="1"/>
  <c r="AG890" i="1"/>
  <c r="AH890" i="1"/>
  <c r="AI890" i="1"/>
  <c r="AC891" i="1"/>
  <c r="AD891" i="1"/>
  <c r="AE891" i="1"/>
  <c r="AF891" i="1"/>
  <c r="AG891" i="1"/>
  <c r="AH891" i="1"/>
  <c r="AI891" i="1"/>
  <c r="AC892" i="1"/>
  <c r="AD892" i="1"/>
  <c r="AE892" i="1"/>
  <c r="AF892" i="1"/>
  <c r="AG892" i="1"/>
  <c r="AH892" i="1"/>
  <c r="AI892" i="1"/>
  <c r="AC893" i="1"/>
  <c r="AD893" i="1"/>
  <c r="AE893" i="1"/>
  <c r="AF893" i="1"/>
  <c r="AG893" i="1"/>
  <c r="AH893" i="1"/>
  <c r="AI893" i="1"/>
  <c r="AC894" i="1"/>
  <c r="AD894" i="1"/>
  <c r="AE894" i="1"/>
  <c r="AF894" i="1"/>
  <c r="AG894" i="1"/>
  <c r="AH894" i="1"/>
  <c r="AI894" i="1"/>
  <c r="AC895" i="1"/>
  <c r="AD895" i="1"/>
  <c r="AE895" i="1"/>
  <c r="AF895" i="1"/>
  <c r="AG895" i="1"/>
  <c r="AH895" i="1"/>
  <c r="AI895" i="1"/>
  <c r="AC896" i="1"/>
  <c r="AD896" i="1"/>
  <c r="AE896" i="1"/>
  <c r="AF896" i="1"/>
  <c r="AG896" i="1"/>
  <c r="AH896" i="1"/>
  <c r="AI896" i="1"/>
  <c r="AC897" i="1"/>
  <c r="AD897" i="1"/>
  <c r="AE897" i="1"/>
  <c r="AF897" i="1"/>
  <c r="AG897" i="1"/>
  <c r="AH897" i="1"/>
  <c r="AI897" i="1"/>
  <c r="AC898" i="1"/>
  <c r="AD898" i="1"/>
  <c r="AE898" i="1"/>
  <c r="AF898" i="1"/>
  <c r="AG898" i="1"/>
  <c r="AH898" i="1"/>
  <c r="AI898" i="1"/>
  <c r="AC899" i="1"/>
  <c r="AD899" i="1"/>
  <c r="AE899" i="1"/>
  <c r="AF899" i="1"/>
  <c r="AG899" i="1"/>
  <c r="AH899" i="1"/>
  <c r="AI899" i="1"/>
  <c r="AC900" i="1"/>
  <c r="AD900" i="1"/>
  <c r="AE900" i="1"/>
  <c r="AF900" i="1"/>
  <c r="AG900" i="1"/>
  <c r="AH900" i="1"/>
  <c r="AI900" i="1"/>
  <c r="AC901" i="1"/>
  <c r="AD901" i="1"/>
  <c r="AE901" i="1"/>
  <c r="AF901" i="1"/>
  <c r="AG901" i="1"/>
  <c r="AH901" i="1"/>
  <c r="AI901" i="1"/>
  <c r="AC902" i="1"/>
  <c r="AD902" i="1"/>
  <c r="AE902" i="1"/>
  <c r="AF902" i="1"/>
  <c r="AG902" i="1"/>
  <c r="AH902" i="1"/>
  <c r="AI902" i="1"/>
  <c r="AC903" i="1"/>
  <c r="AD903" i="1"/>
  <c r="AE903" i="1"/>
  <c r="AF903" i="1"/>
  <c r="AG903" i="1"/>
  <c r="AH903" i="1"/>
  <c r="AI903" i="1"/>
  <c r="AC904" i="1"/>
  <c r="AD904" i="1"/>
  <c r="AE904" i="1"/>
  <c r="AF904" i="1"/>
  <c r="AG904" i="1"/>
  <c r="AH904" i="1"/>
  <c r="AI904" i="1"/>
  <c r="AC905" i="1"/>
  <c r="AD905" i="1"/>
  <c r="AE905" i="1"/>
  <c r="AF905" i="1"/>
  <c r="AG905" i="1"/>
  <c r="AH905" i="1"/>
  <c r="AI905" i="1"/>
  <c r="AC906" i="1"/>
  <c r="AD906" i="1"/>
  <c r="AE906" i="1"/>
  <c r="AF906" i="1"/>
  <c r="AG906" i="1"/>
  <c r="AH906" i="1"/>
  <c r="AI906" i="1"/>
  <c r="AC907" i="1"/>
  <c r="AD907" i="1"/>
  <c r="AE907" i="1"/>
  <c r="AF907" i="1"/>
  <c r="AG907" i="1"/>
  <c r="AH907" i="1"/>
  <c r="AI907" i="1"/>
  <c r="AC908" i="1"/>
  <c r="AD908" i="1"/>
  <c r="AE908" i="1"/>
  <c r="AF908" i="1"/>
  <c r="AG908" i="1"/>
  <c r="AH908" i="1"/>
  <c r="AI908" i="1"/>
  <c r="AC909" i="1"/>
  <c r="AD909" i="1"/>
  <c r="AE909" i="1"/>
  <c r="AF909" i="1"/>
  <c r="AG909" i="1"/>
  <c r="AH909" i="1"/>
  <c r="AI909" i="1"/>
  <c r="AC910" i="1"/>
  <c r="AD910" i="1"/>
  <c r="AE910" i="1"/>
  <c r="AF910" i="1"/>
  <c r="AG910" i="1"/>
  <c r="AH910" i="1"/>
  <c r="AI910" i="1"/>
  <c r="AC911" i="1"/>
  <c r="AD911" i="1"/>
  <c r="AE911" i="1"/>
  <c r="AF911" i="1"/>
  <c r="AG911" i="1"/>
  <c r="AH911" i="1"/>
  <c r="AI911" i="1"/>
  <c r="AC912" i="1"/>
  <c r="AD912" i="1"/>
  <c r="AE912" i="1"/>
  <c r="AF912" i="1"/>
  <c r="AG912" i="1"/>
  <c r="AH912" i="1"/>
  <c r="AI912" i="1"/>
  <c r="AC913" i="1"/>
  <c r="AD913" i="1"/>
  <c r="AE913" i="1"/>
  <c r="AF913" i="1"/>
  <c r="AG913" i="1"/>
  <c r="AH913" i="1"/>
  <c r="AI913" i="1"/>
  <c r="AC914" i="1"/>
  <c r="AD914" i="1"/>
  <c r="AE914" i="1"/>
  <c r="AF914" i="1"/>
  <c r="AG914" i="1"/>
  <c r="AH914" i="1"/>
  <c r="AI914" i="1"/>
  <c r="AC915" i="1"/>
  <c r="AD915" i="1"/>
  <c r="AE915" i="1"/>
  <c r="AF915" i="1"/>
  <c r="AG915" i="1"/>
  <c r="AH915" i="1"/>
  <c r="AI915" i="1"/>
  <c r="AC916" i="1"/>
  <c r="AD916" i="1"/>
  <c r="AE916" i="1"/>
  <c r="AF916" i="1"/>
  <c r="AG916" i="1"/>
  <c r="AH916" i="1"/>
  <c r="AI916" i="1"/>
  <c r="AC917" i="1"/>
  <c r="AD917" i="1"/>
  <c r="AE917" i="1"/>
  <c r="AF917" i="1"/>
  <c r="AG917" i="1"/>
  <c r="AH917" i="1"/>
  <c r="AI917" i="1"/>
  <c r="AC918" i="1"/>
  <c r="AD918" i="1"/>
  <c r="AE918" i="1"/>
  <c r="AF918" i="1"/>
  <c r="AG918" i="1"/>
  <c r="AH918" i="1"/>
  <c r="AI918" i="1"/>
  <c r="AC919" i="1"/>
  <c r="AD919" i="1"/>
  <c r="AE919" i="1"/>
  <c r="AF919" i="1"/>
  <c r="AG919" i="1"/>
  <c r="AH919" i="1"/>
  <c r="AI919" i="1"/>
  <c r="AC920" i="1"/>
  <c r="AD920" i="1"/>
  <c r="AE920" i="1"/>
  <c r="AF920" i="1"/>
  <c r="AG920" i="1"/>
  <c r="AH920" i="1"/>
  <c r="AI920" i="1"/>
  <c r="AC921" i="1"/>
  <c r="AD921" i="1"/>
  <c r="AE921" i="1"/>
  <c r="AF921" i="1"/>
  <c r="AG921" i="1"/>
  <c r="AH921" i="1"/>
  <c r="AI921" i="1"/>
  <c r="AC922" i="1"/>
  <c r="AD922" i="1"/>
  <c r="AE922" i="1"/>
  <c r="AF922" i="1"/>
  <c r="AG922" i="1"/>
  <c r="AH922" i="1"/>
  <c r="AI922" i="1"/>
  <c r="AC923" i="1"/>
  <c r="AD923" i="1"/>
  <c r="AE923" i="1"/>
  <c r="AF923" i="1"/>
  <c r="AG923" i="1"/>
  <c r="AH923" i="1"/>
  <c r="AI923" i="1"/>
  <c r="AC924" i="1"/>
  <c r="AD924" i="1"/>
  <c r="AE924" i="1"/>
  <c r="AF924" i="1"/>
  <c r="AG924" i="1"/>
  <c r="AH924" i="1"/>
  <c r="AI924" i="1"/>
  <c r="AC925" i="1"/>
  <c r="AD925" i="1"/>
  <c r="AE925" i="1"/>
  <c r="AF925" i="1"/>
  <c r="AG925" i="1"/>
  <c r="AH925" i="1"/>
  <c r="AI925" i="1"/>
  <c r="AC926" i="1"/>
  <c r="AD926" i="1"/>
  <c r="AE926" i="1"/>
  <c r="AF926" i="1"/>
  <c r="AG926" i="1"/>
  <c r="AH926" i="1"/>
  <c r="AI926" i="1"/>
  <c r="AC927" i="1"/>
  <c r="AD927" i="1"/>
  <c r="AE927" i="1"/>
  <c r="AF927" i="1"/>
  <c r="AG927" i="1"/>
  <c r="AH927" i="1"/>
  <c r="AI927" i="1"/>
  <c r="AC928" i="1"/>
  <c r="AD928" i="1"/>
  <c r="AE928" i="1"/>
  <c r="AF928" i="1"/>
  <c r="AG928" i="1"/>
  <c r="AH928" i="1"/>
  <c r="AI928" i="1"/>
  <c r="AC929" i="1"/>
  <c r="AD929" i="1"/>
  <c r="AE929" i="1"/>
  <c r="AF929" i="1"/>
  <c r="AG929" i="1"/>
  <c r="AH929" i="1"/>
  <c r="AI929" i="1"/>
  <c r="AC930" i="1"/>
  <c r="AD930" i="1"/>
  <c r="AE930" i="1"/>
  <c r="AF930" i="1"/>
  <c r="AG930" i="1"/>
  <c r="AH930" i="1"/>
  <c r="AI930" i="1"/>
  <c r="AC931" i="1"/>
  <c r="AD931" i="1"/>
  <c r="AE931" i="1"/>
  <c r="AF931" i="1"/>
  <c r="AG931" i="1"/>
  <c r="AH931" i="1"/>
  <c r="AI931" i="1"/>
  <c r="AC932" i="1"/>
  <c r="AD932" i="1"/>
  <c r="AE932" i="1"/>
  <c r="AF932" i="1"/>
  <c r="AG932" i="1"/>
  <c r="AH932" i="1"/>
  <c r="AI932" i="1"/>
  <c r="AC933" i="1"/>
  <c r="AD933" i="1"/>
  <c r="AE933" i="1"/>
  <c r="AF933" i="1"/>
  <c r="AG933" i="1"/>
  <c r="AH933" i="1"/>
  <c r="AI933" i="1"/>
  <c r="AC934" i="1"/>
  <c r="AD934" i="1"/>
  <c r="AE934" i="1"/>
  <c r="AF934" i="1"/>
  <c r="AG934" i="1"/>
  <c r="AH934" i="1"/>
  <c r="AI934" i="1"/>
  <c r="AC935" i="1"/>
  <c r="AD935" i="1"/>
  <c r="AE935" i="1"/>
  <c r="AF935" i="1"/>
  <c r="AG935" i="1"/>
  <c r="AH935" i="1"/>
  <c r="AI935" i="1"/>
  <c r="AC936" i="1"/>
  <c r="AD936" i="1"/>
  <c r="AE936" i="1"/>
  <c r="AF936" i="1"/>
  <c r="AG936" i="1"/>
  <c r="AH936" i="1"/>
  <c r="AI936" i="1"/>
  <c r="AC937" i="1"/>
  <c r="AD937" i="1"/>
  <c r="AE937" i="1"/>
  <c r="AF937" i="1"/>
  <c r="AG937" i="1"/>
  <c r="AH937" i="1"/>
  <c r="AI937" i="1"/>
  <c r="AC938" i="1"/>
  <c r="AD938" i="1"/>
  <c r="AE938" i="1"/>
  <c r="AF938" i="1"/>
  <c r="AG938" i="1"/>
  <c r="AH938" i="1"/>
  <c r="AI938" i="1"/>
  <c r="AC939" i="1"/>
  <c r="AD939" i="1"/>
  <c r="AE939" i="1"/>
  <c r="AF939" i="1"/>
  <c r="AG939" i="1"/>
  <c r="AH939" i="1"/>
  <c r="AI939" i="1"/>
  <c r="AC940" i="1"/>
  <c r="AD940" i="1"/>
  <c r="AE940" i="1"/>
  <c r="AF940" i="1"/>
  <c r="AG940" i="1"/>
  <c r="AH940" i="1"/>
  <c r="AI940" i="1"/>
  <c r="AC941" i="1"/>
  <c r="AD941" i="1"/>
  <c r="AE941" i="1"/>
  <c r="AF941" i="1"/>
  <c r="AG941" i="1"/>
  <c r="AH941" i="1"/>
  <c r="AI941" i="1"/>
  <c r="AC942" i="1"/>
  <c r="AD942" i="1"/>
  <c r="AE942" i="1"/>
  <c r="AF942" i="1"/>
  <c r="AG942" i="1"/>
  <c r="AH942" i="1"/>
  <c r="AI942" i="1"/>
  <c r="AC943" i="1"/>
  <c r="AD943" i="1"/>
  <c r="AE943" i="1"/>
  <c r="AF943" i="1"/>
  <c r="AG943" i="1"/>
  <c r="AH943" i="1"/>
  <c r="AI943" i="1"/>
  <c r="AC944" i="1"/>
  <c r="AD944" i="1"/>
  <c r="AE944" i="1"/>
  <c r="AF944" i="1"/>
  <c r="AG944" i="1"/>
  <c r="AH944" i="1"/>
  <c r="AI944" i="1"/>
  <c r="AC945" i="1"/>
  <c r="AD945" i="1"/>
  <c r="AE945" i="1"/>
  <c r="AF945" i="1"/>
  <c r="AG945" i="1"/>
  <c r="AH945" i="1"/>
  <c r="AI945" i="1"/>
  <c r="AC946" i="1"/>
  <c r="AD946" i="1"/>
  <c r="AE946" i="1"/>
  <c r="AF946" i="1"/>
  <c r="AG946" i="1"/>
  <c r="AH946" i="1"/>
  <c r="AI946" i="1"/>
  <c r="AC947" i="1"/>
  <c r="AD947" i="1"/>
  <c r="AE947" i="1"/>
  <c r="AF947" i="1"/>
  <c r="AG947" i="1"/>
  <c r="AH947" i="1"/>
  <c r="AI947" i="1"/>
  <c r="AC948" i="1"/>
  <c r="AD948" i="1"/>
  <c r="AE948" i="1"/>
  <c r="AF948" i="1"/>
  <c r="AG948" i="1"/>
  <c r="AH948" i="1"/>
  <c r="AI948" i="1"/>
  <c r="AC949" i="1"/>
  <c r="AD949" i="1"/>
  <c r="AE949" i="1"/>
  <c r="AF949" i="1"/>
  <c r="AG949" i="1"/>
  <c r="AH949" i="1"/>
  <c r="AI949" i="1"/>
  <c r="AC950" i="1"/>
  <c r="AD950" i="1"/>
  <c r="AE950" i="1"/>
  <c r="AF950" i="1"/>
  <c r="AG950" i="1"/>
  <c r="AH950" i="1"/>
  <c r="AI950" i="1"/>
  <c r="AC951" i="1"/>
  <c r="AD951" i="1"/>
  <c r="AE951" i="1"/>
  <c r="AF951" i="1"/>
  <c r="AG951" i="1"/>
  <c r="AH951" i="1"/>
  <c r="AI951" i="1"/>
  <c r="AC952" i="1"/>
  <c r="AD952" i="1"/>
  <c r="AE952" i="1"/>
  <c r="AF952" i="1"/>
  <c r="AG952" i="1"/>
  <c r="AH952" i="1"/>
  <c r="AI952" i="1"/>
  <c r="AC953" i="1"/>
  <c r="AD953" i="1"/>
  <c r="AE953" i="1"/>
  <c r="AF953" i="1"/>
  <c r="AG953" i="1"/>
  <c r="AH953" i="1"/>
  <c r="AI953" i="1"/>
  <c r="AC954" i="1"/>
  <c r="AD954" i="1"/>
  <c r="AE954" i="1"/>
  <c r="AF954" i="1"/>
  <c r="AG954" i="1"/>
  <c r="AH954" i="1"/>
  <c r="AI954" i="1"/>
  <c r="AC955" i="1"/>
  <c r="AD955" i="1"/>
  <c r="AE955" i="1"/>
  <c r="AF955" i="1"/>
  <c r="AG955" i="1"/>
  <c r="AH955" i="1"/>
  <c r="AI955" i="1"/>
  <c r="AC956" i="1"/>
  <c r="AD956" i="1"/>
  <c r="AE956" i="1"/>
  <c r="AF956" i="1"/>
  <c r="AG956" i="1"/>
  <c r="AH956" i="1"/>
  <c r="AI956" i="1"/>
  <c r="AC957" i="1"/>
  <c r="AD957" i="1"/>
  <c r="AE957" i="1"/>
  <c r="AF957" i="1"/>
  <c r="AG957" i="1"/>
  <c r="AH957" i="1"/>
  <c r="AI957" i="1"/>
  <c r="AC958" i="1"/>
  <c r="AD958" i="1"/>
  <c r="AE958" i="1"/>
  <c r="AF958" i="1"/>
  <c r="AG958" i="1"/>
  <c r="AH958" i="1"/>
  <c r="AI958" i="1"/>
  <c r="AC959" i="1"/>
  <c r="AD959" i="1"/>
  <c r="AE959" i="1"/>
  <c r="AF959" i="1"/>
  <c r="AG959" i="1"/>
  <c r="AH959" i="1"/>
  <c r="AI959" i="1"/>
  <c r="AC960" i="1"/>
  <c r="AD960" i="1"/>
  <c r="AE960" i="1"/>
  <c r="AF960" i="1"/>
  <c r="AG960" i="1"/>
  <c r="AH960" i="1"/>
  <c r="AI960" i="1"/>
  <c r="AC961" i="1"/>
  <c r="AD961" i="1"/>
  <c r="AE961" i="1"/>
  <c r="AF961" i="1"/>
  <c r="AG961" i="1"/>
  <c r="AH961" i="1"/>
  <c r="AI961" i="1"/>
  <c r="AC962" i="1"/>
  <c r="AD962" i="1"/>
  <c r="AE962" i="1"/>
  <c r="AF962" i="1"/>
  <c r="AG962" i="1"/>
  <c r="AH962" i="1"/>
  <c r="AI962" i="1"/>
  <c r="AC963" i="1"/>
  <c r="AD963" i="1"/>
  <c r="AE963" i="1"/>
  <c r="AF963" i="1"/>
  <c r="AG963" i="1"/>
  <c r="AH963" i="1"/>
  <c r="AI963" i="1"/>
  <c r="AC964" i="1"/>
  <c r="AD964" i="1"/>
  <c r="AE964" i="1"/>
  <c r="AF964" i="1"/>
  <c r="AG964" i="1"/>
  <c r="AH964" i="1"/>
  <c r="AI964" i="1"/>
  <c r="AC965" i="1"/>
  <c r="AD965" i="1"/>
  <c r="AE965" i="1"/>
  <c r="AF965" i="1"/>
  <c r="AG965" i="1"/>
  <c r="AH965" i="1"/>
  <c r="AI965" i="1"/>
  <c r="AC966" i="1"/>
  <c r="AD966" i="1"/>
  <c r="AE966" i="1"/>
  <c r="AF966" i="1"/>
  <c r="AG966" i="1"/>
  <c r="AH966" i="1"/>
  <c r="AI966" i="1"/>
  <c r="AC967" i="1"/>
  <c r="AD967" i="1"/>
  <c r="AE967" i="1"/>
  <c r="AF967" i="1"/>
  <c r="AG967" i="1"/>
  <c r="AH967" i="1"/>
  <c r="AI967" i="1"/>
  <c r="AC968" i="1"/>
  <c r="AD968" i="1"/>
  <c r="AE968" i="1"/>
  <c r="AF968" i="1"/>
  <c r="AG968" i="1"/>
  <c r="AH968" i="1"/>
  <c r="AI968" i="1"/>
  <c r="AC969" i="1"/>
  <c r="AD969" i="1"/>
  <c r="AE969" i="1"/>
  <c r="AF969" i="1"/>
  <c r="AG969" i="1"/>
  <c r="AH969" i="1"/>
  <c r="AI969" i="1"/>
  <c r="AC970" i="1"/>
  <c r="AD970" i="1"/>
  <c r="AE970" i="1"/>
  <c r="AF970" i="1"/>
  <c r="AG970" i="1"/>
  <c r="AH970" i="1"/>
  <c r="AI970" i="1"/>
  <c r="AC971" i="1"/>
  <c r="AD971" i="1"/>
  <c r="AE971" i="1"/>
  <c r="AF971" i="1"/>
  <c r="AG971" i="1"/>
  <c r="AH971" i="1"/>
  <c r="AI971" i="1"/>
  <c r="AC972" i="1"/>
  <c r="AD972" i="1"/>
  <c r="AE972" i="1"/>
  <c r="AF972" i="1"/>
  <c r="AG972" i="1"/>
  <c r="AH972" i="1"/>
  <c r="AI972" i="1"/>
  <c r="AC973" i="1"/>
  <c r="AD973" i="1"/>
  <c r="AE973" i="1"/>
  <c r="AF973" i="1"/>
  <c r="AG973" i="1"/>
  <c r="AH973" i="1"/>
  <c r="AI973" i="1"/>
  <c r="AC974" i="1"/>
  <c r="AD974" i="1"/>
  <c r="AE974" i="1"/>
  <c r="AF974" i="1"/>
  <c r="AG974" i="1"/>
  <c r="AH974" i="1"/>
  <c r="AI974" i="1"/>
  <c r="AC975" i="1"/>
  <c r="AD975" i="1"/>
  <c r="AE975" i="1"/>
  <c r="AF975" i="1"/>
  <c r="AG975" i="1"/>
  <c r="AH975" i="1"/>
  <c r="AI975" i="1"/>
  <c r="AC976" i="1"/>
  <c r="AD976" i="1"/>
  <c r="AE976" i="1"/>
  <c r="AF976" i="1"/>
  <c r="AG976" i="1"/>
  <c r="AH976" i="1"/>
  <c r="AI976" i="1"/>
  <c r="AC977" i="1"/>
  <c r="AD977" i="1"/>
  <c r="AE977" i="1"/>
  <c r="AF977" i="1"/>
  <c r="AG977" i="1"/>
  <c r="AH977" i="1"/>
  <c r="AI977" i="1"/>
  <c r="AC978" i="1"/>
  <c r="AD978" i="1"/>
  <c r="AE978" i="1"/>
  <c r="AF978" i="1"/>
  <c r="AG978" i="1"/>
  <c r="AH978" i="1"/>
  <c r="AI978" i="1"/>
  <c r="AC979" i="1"/>
  <c r="AD979" i="1"/>
  <c r="AE979" i="1"/>
  <c r="AF979" i="1"/>
  <c r="AG979" i="1"/>
  <c r="AH979" i="1"/>
  <c r="AI979" i="1"/>
  <c r="AC980" i="1"/>
  <c r="AD980" i="1"/>
  <c r="AE980" i="1"/>
  <c r="AF980" i="1"/>
  <c r="AG980" i="1"/>
  <c r="AH980" i="1"/>
  <c r="AI980" i="1"/>
  <c r="AC981" i="1"/>
  <c r="AD981" i="1"/>
  <c r="AE981" i="1"/>
  <c r="AF981" i="1"/>
  <c r="AG981" i="1"/>
  <c r="AH981" i="1"/>
  <c r="AI981" i="1"/>
  <c r="AC982" i="1"/>
  <c r="AD982" i="1"/>
  <c r="AE982" i="1"/>
  <c r="AF982" i="1"/>
  <c r="AG982" i="1"/>
  <c r="AH982" i="1"/>
  <c r="AI982" i="1"/>
  <c r="AC983" i="1"/>
  <c r="AD983" i="1"/>
  <c r="AE983" i="1"/>
  <c r="AF983" i="1"/>
  <c r="AG983" i="1"/>
  <c r="AH983" i="1"/>
  <c r="AI983" i="1"/>
  <c r="AC984" i="1"/>
  <c r="AD984" i="1"/>
  <c r="AE984" i="1"/>
  <c r="AF984" i="1"/>
  <c r="AG984" i="1"/>
  <c r="AH984" i="1"/>
  <c r="AI984" i="1"/>
  <c r="AC985" i="1"/>
  <c r="AD985" i="1"/>
  <c r="AE985" i="1"/>
  <c r="AF985" i="1"/>
  <c r="AG985" i="1"/>
  <c r="AH985" i="1"/>
  <c r="AI985" i="1"/>
  <c r="AC986" i="1"/>
  <c r="AD986" i="1"/>
  <c r="AE986" i="1"/>
  <c r="AF986" i="1"/>
  <c r="AG986" i="1"/>
  <c r="AH986" i="1"/>
  <c r="AI986" i="1"/>
  <c r="AC987" i="1"/>
  <c r="AD987" i="1"/>
  <c r="AE987" i="1"/>
  <c r="AF987" i="1"/>
  <c r="AG987" i="1"/>
  <c r="AH987" i="1"/>
  <c r="AI987" i="1"/>
  <c r="AC988" i="1"/>
  <c r="AD988" i="1"/>
  <c r="AE988" i="1"/>
  <c r="AF988" i="1"/>
  <c r="AG988" i="1"/>
  <c r="AH988" i="1"/>
  <c r="AI988" i="1"/>
  <c r="AC989" i="1"/>
  <c r="AD989" i="1"/>
  <c r="AE989" i="1"/>
  <c r="AF989" i="1"/>
  <c r="AG989" i="1"/>
  <c r="AH989" i="1"/>
  <c r="AI989" i="1"/>
  <c r="AC990" i="1"/>
  <c r="AD990" i="1"/>
  <c r="AE990" i="1"/>
  <c r="AF990" i="1"/>
  <c r="AG990" i="1"/>
  <c r="AH990" i="1"/>
  <c r="AI990" i="1"/>
  <c r="AC991" i="1"/>
  <c r="AD991" i="1"/>
  <c r="AE991" i="1"/>
  <c r="AF991" i="1"/>
  <c r="AG991" i="1"/>
  <c r="AH991" i="1"/>
  <c r="AI991" i="1"/>
  <c r="AC992" i="1"/>
  <c r="AD992" i="1"/>
  <c r="AE992" i="1"/>
  <c r="AF992" i="1"/>
  <c r="AG992" i="1"/>
  <c r="AH992" i="1"/>
  <c r="AI992" i="1"/>
  <c r="AC993" i="1"/>
  <c r="AD993" i="1"/>
  <c r="AE993" i="1"/>
  <c r="AF993" i="1"/>
  <c r="AG993" i="1"/>
  <c r="AH993" i="1"/>
  <c r="AI993" i="1"/>
  <c r="AC994" i="1"/>
  <c r="AD994" i="1"/>
  <c r="AE994" i="1"/>
  <c r="AF994" i="1"/>
  <c r="AG994" i="1"/>
  <c r="AH994" i="1"/>
  <c r="AI994" i="1"/>
  <c r="AC995" i="1"/>
  <c r="AD995" i="1"/>
  <c r="AE995" i="1"/>
  <c r="AF995" i="1"/>
  <c r="AG995" i="1"/>
  <c r="AH995" i="1"/>
  <c r="AI995" i="1"/>
  <c r="AC996" i="1"/>
  <c r="AD996" i="1"/>
  <c r="AE996" i="1"/>
  <c r="AF996" i="1"/>
  <c r="AG996" i="1"/>
  <c r="AH996" i="1"/>
  <c r="AI996" i="1"/>
  <c r="AC997" i="1"/>
  <c r="AD997" i="1"/>
  <c r="AE997" i="1"/>
  <c r="AF997" i="1"/>
  <c r="AG997" i="1"/>
  <c r="AH997" i="1"/>
  <c r="AI997" i="1"/>
  <c r="AC998" i="1"/>
  <c r="AD998" i="1"/>
  <c r="AE998" i="1"/>
  <c r="AF998" i="1"/>
  <c r="AG998" i="1"/>
  <c r="AH998" i="1"/>
  <c r="AI998" i="1"/>
  <c r="AC999" i="1"/>
  <c r="AD999" i="1"/>
  <c r="AE999" i="1"/>
  <c r="AF999" i="1"/>
  <c r="AG999" i="1"/>
  <c r="AH999" i="1"/>
  <c r="AI999" i="1"/>
  <c r="AC1000" i="1"/>
  <c r="AD1000" i="1"/>
  <c r="AE1000" i="1"/>
  <c r="AF1000" i="1"/>
  <c r="AG1000" i="1"/>
  <c r="AH1000" i="1"/>
  <c r="AI1000" i="1"/>
  <c r="AC1001" i="1"/>
  <c r="AD1001" i="1"/>
  <c r="AE1001" i="1"/>
  <c r="AF1001" i="1"/>
  <c r="AG1001" i="1"/>
  <c r="AH1001" i="1"/>
  <c r="AI1001" i="1"/>
  <c r="AC1002" i="1"/>
  <c r="AD1002" i="1"/>
  <c r="AE1002" i="1"/>
  <c r="AF1002" i="1"/>
  <c r="AG1002" i="1"/>
  <c r="AH1002" i="1"/>
  <c r="AI1002" i="1"/>
  <c r="AC1003" i="1"/>
  <c r="AD1003" i="1"/>
  <c r="AE1003" i="1"/>
  <c r="AF1003" i="1"/>
  <c r="AG1003" i="1"/>
  <c r="AH1003" i="1"/>
  <c r="AI1003" i="1"/>
  <c r="AC1004" i="1"/>
  <c r="AD1004" i="1"/>
  <c r="AE1004" i="1"/>
  <c r="AF1004" i="1"/>
  <c r="AG1004" i="1"/>
  <c r="AH1004" i="1"/>
  <c r="AI1004" i="1"/>
  <c r="AC1005" i="1"/>
  <c r="AD1005" i="1"/>
  <c r="AE1005" i="1"/>
  <c r="AF1005" i="1"/>
  <c r="AG1005" i="1"/>
  <c r="AH1005" i="1"/>
  <c r="AI1005" i="1"/>
  <c r="AC1006" i="1"/>
  <c r="AD1006" i="1"/>
  <c r="AE1006" i="1"/>
  <c r="AF1006" i="1"/>
  <c r="AG1006" i="1"/>
  <c r="AH1006" i="1"/>
  <c r="AI1006" i="1"/>
  <c r="AC1007" i="1"/>
  <c r="AD1007" i="1"/>
  <c r="AE1007" i="1"/>
  <c r="AF1007" i="1"/>
  <c r="AG1007" i="1"/>
  <c r="AH1007" i="1"/>
  <c r="AI1007" i="1"/>
  <c r="AC1008" i="1"/>
  <c r="AD1008" i="1"/>
  <c r="AE1008" i="1"/>
  <c r="AF1008" i="1"/>
  <c r="AG1008" i="1"/>
  <c r="AH1008" i="1"/>
  <c r="AI1008" i="1"/>
  <c r="AC1009" i="1"/>
  <c r="AD1009" i="1"/>
  <c r="AE1009" i="1"/>
  <c r="AF1009" i="1"/>
  <c r="AG1009" i="1"/>
  <c r="AH1009" i="1"/>
  <c r="AI1009" i="1"/>
  <c r="AC1010" i="1"/>
  <c r="AD1010" i="1"/>
  <c r="AE1010" i="1"/>
  <c r="AF1010" i="1"/>
  <c r="AG1010" i="1"/>
  <c r="AH1010" i="1"/>
  <c r="AI1010" i="1"/>
  <c r="AC1011" i="1"/>
  <c r="AD1011" i="1"/>
  <c r="AE1011" i="1"/>
  <c r="AF1011" i="1"/>
  <c r="AG1011" i="1"/>
  <c r="AH1011" i="1"/>
  <c r="AI1011" i="1"/>
  <c r="AC1012" i="1"/>
  <c r="AD1012" i="1"/>
  <c r="AE1012" i="1"/>
  <c r="AF1012" i="1"/>
  <c r="AG1012" i="1"/>
  <c r="AH1012" i="1"/>
  <c r="AI1012" i="1"/>
  <c r="AC1013" i="1"/>
  <c r="AD1013" i="1"/>
  <c r="AE1013" i="1"/>
  <c r="AF1013" i="1"/>
  <c r="AG1013" i="1"/>
  <c r="AH1013" i="1"/>
  <c r="AI1013" i="1"/>
  <c r="AC1014" i="1"/>
  <c r="AD1014" i="1"/>
  <c r="AE1014" i="1"/>
  <c r="AF1014" i="1"/>
  <c r="AG1014" i="1"/>
  <c r="AH1014" i="1"/>
  <c r="AI1014" i="1"/>
  <c r="AC1015" i="1"/>
  <c r="AD1015" i="1"/>
  <c r="AE1015" i="1"/>
  <c r="AF1015" i="1"/>
  <c r="AG1015" i="1"/>
  <c r="AH1015" i="1"/>
  <c r="AI1015" i="1"/>
  <c r="AC1016" i="1"/>
  <c r="AD1016" i="1"/>
  <c r="AE1016" i="1"/>
  <c r="AF1016" i="1"/>
  <c r="AG1016" i="1"/>
  <c r="AH1016" i="1"/>
  <c r="AI1016" i="1"/>
  <c r="AC1017" i="1"/>
  <c r="AD1017" i="1"/>
  <c r="AE1017" i="1"/>
  <c r="AF1017" i="1"/>
  <c r="AG1017" i="1"/>
  <c r="AH1017" i="1"/>
  <c r="AI1017" i="1"/>
  <c r="AC1018" i="1"/>
  <c r="AD1018" i="1"/>
  <c r="AE1018" i="1"/>
  <c r="AF1018" i="1"/>
  <c r="AG1018" i="1"/>
  <c r="AH1018" i="1"/>
  <c r="AI1018" i="1"/>
  <c r="AC1019" i="1"/>
  <c r="AD1019" i="1"/>
  <c r="AE1019" i="1"/>
  <c r="AF1019" i="1"/>
  <c r="AG1019" i="1"/>
  <c r="AH1019" i="1"/>
  <c r="AI1019" i="1"/>
  <c r="AC1020" i="1"/>
  <c r="AD1020" i="1"/>
  <c r="AE1020" i="1"/>
  <c r="AF1020" i="1"/>
  <c r="AG1020" i="1"/>
  <c r="AH1020" i="1"/>
  <c r="AI1020" i="1"/>
  <c r="AC1021" i="1"/>
  <c r="AD1021" i="1"/>
  <c r="AE1021" i="1"/>
  <c r="AF1021" i="1"/>
  <c r="AG1021" i="1"/>
  <c r="AH1021" i="1"/>
  <c r="AI1021" i="1"/>
  <c r="AC1022" i="1"/>
  <c r="AD1022" i="1"/>
  <c r="AE1022" i="1"/>
  <c r="AF1022" i="1"/>
  <c r="AG1022" i="1"/>
  <c r="AH1022" i="1"/>
  <c r="AI1022" i="1"/>
  <c r="AC1023" i="1"/>
  <c r="AD1023" i="1"/>
  <c r="AE1023" i="1"/>
  <c r="AF1023" i="1"/>
  <c r="AG1023" i="1"/>
  <c r="AH1023" i="1"/>
  <c r="AI1023" i="1"/>
  <c r="AC1024" i="1"/>
  <c r="AD1024" i="1"/>
  <c r="AE1024" i="1"/>
  <c r="AF1024" i="1"/>
  <c r="AG1024" i="1"/>
  <c r="AH1024" i="1"/>
  <c r="AI1024" i="1"/>
  <c r="AC1025" i="1"/>
  <c r="AD1025" i="1"/>
  <c r="AE1025" i="1"/>
  <c r="AF1025" i="1"/>
  <c r="AG1025" i="1"/>
  <c r="AH1025" i="1"/>
  <c r="AI1025" i="1"/>
  <c r="AC1026" i="1"/>
  <c r="AD1026" i="1"/>
  <c r="AE1026" i="1"/>
  <c r="AF1026" i="1"/>
  <c r="AG1026" i="1"/>
  <c r="AH1026" i="1"/>
  <c r="AI1026" i="1"/>
  <c r="AC1027" i="1"/>
  <c r="AD1027" i="1"/>
  <c r="AE1027" i="1"/>
  <c r="AF1027" i="1"/>
  <c r="AG1027" i="1"/>
  <c r="AH1027" i="1"/>
  <c r="AI1027" i="1"/>
  <c r="AC1028" i="1"/>
  <c r="AD1028" i="1"/>
  <c r="AE1028" i="1"/>
  <c r="AF1028" i="1"/>
  <c r="AG1028" i="1"/>
  <c r="AH1028" i="1"/>
  <c r="AI1028" i="1"/>
  <c r="AC1029" i="1"/>
  <c r="AD1029" i="1"/>
  <c r="AE1029" i="1"/>
  <c r="AF1029" i="1"/>
  <c r="AG1029" i="1"/>
  <c r="AH1029" i="1"/>
  <c r="AI1029" i="1"/>
  <c r="AC1030" i="1"/>
  <c r="AD1030" i="1"/>
  <c r="AE1030" i="1"/>
  <c r="AF1030" i="1"/>
  <c r="AG1030" i="1"/>
  <c r="AH1030" i="1"/>
  <c r="AI1030" i="1"/>
  <c r="AC1031" i="1"/>
  <c r="AD1031" i="1"/>
  <c r="AE1031" i="1"/>
  <c r="AF1031" i="1"/>
  <c r="AG1031" i="1"/>
  <c r="AH1031" i="1"/>
  <c r="AI1031" i="1"/>
  <c r="AC1032" i="1"/>
  <c r="AD1032" i="1"/>
  <c r="AE1032" i="1"/>
  <c r="AF1032" i="1"/>
  <c r="AG1032" i="1"/>
  <c r="AH1032" i="1"/>
  <c r="AI1032" i="1"/>
  <c r="AC1033" i="1"/>
  <c r="AD1033" i="1"/>
  <c r="AE1033" i="1"/>
  <c r="AF1033" i="1"/>
  <c r="AG1033" i="1"/>
  <c r="AH1033" i="1"/>
  <c r="AI1033" i="1"/>
  <c r="AC1034" i="1"/>
  <c r="AD1034" i="1"/>
  <c r="AE1034" i="1"/>
  <c r="AF1034" i="1"/>
  <c r="AG1034" i="1"/>
  <c r="AH1034" i="1"/>
  <c r="AI1034" i="1"/>
  <c r="AC1035" i="1"/>
  <c r="AD1035" i="1"/>
  <c r="AE1035" i="1"/>
  <c r="AF1035" i="1"/>
  <c r="AG1035" i="1"/>
  <c r="AH1035" i="1"/>
  <c r="AI1035" i="1"/>
  <c r="AC1036" i="1"/>
  <c r="AD1036" i="1"/>
  <c r="AE1036" i="1"/>
  <c r="AF1036" i="1"/>
  <c r="AG1036" i="1"/>
  <c r="AH1036" i="1"/>
  <c r="AI1036" i="1"/>
  <c r="AC1037" i="1"/>
  <c r="AD1037" i="1"/>
  <c r="AE1037" i="1"/>
  <c r="AF1037" i="1"/>
  <c r="AG1037" i="1"/>
  <c r="AH1037" i="1"/>
  <c r="AI1037" i="1"/>
  <c r="AC1038" i="1"/>
  <c r="AD1038" i="1"/>
  <c r="AE1038" i="1"/>
  <c r="AF1038" i="1"/>
  <c r="AG1038" i="1"/>
  <c r="AH1038" i="1"/>
  <c r="AI1038" i="1"/>
  <c r="AC1039" i="1"/>
  <c r="AD1039" i="1"/>
  <c r="AE1039" i="1"/>
  <c r="AF1039" i="1"/>
  <c r="AG1039" i="1"/>
  <c r="AH1039" i="1"/>
  <c r="AI1039" i="1"/>
  <c r="AC1040" i="1"/>
  <c r="AD1040" i="1"/>
  <c r="AE1040" i="1"/>
  <c r="AF1040" i="1"/>
  <c r="AG1040" i="1"/>
  <c r="AH1040" i="1"/>
  <c r="AI1040" i="1"/>
  <c r="AC1041" i="1"/>
  <c r="AD1041" i="1"/>
  <c r="AE1041" i="1"/>
  <c r="AF1041" i="1"/>
  <c r="AG1041" i="1"/>
  <c r="AH1041" i="1"/>
  <c r="AI1041" i="1"/>
  <c r="AC1042" i="1"/>
  <c r="AD1042" i="1"/>
  <c r="AE1042" i="1"/>
  <c r="AF1042" i="1"/>
  <c r="AG1042" i="1"/>
  <c r="AH1042" i="1"/>
  <c r="AI1042" i="1"/>
  <c r="AC1043" i="1"/>
  <c r="AD1043" i="1"/>
  <c r="AE1043" i="1"/>
  <c r="AF1043" i="1"/>
  <c r="AG1043" i="1"/>
  <c r="AH1043" i="1"/>
  <c r="AI1043" i="1"/>
  <c r="AC1044" i="1"/>
  <c r="AD1044" i="1"/>
  <c r="AE1044" i="1"/>
  <c r="AF1044" i="1"/>
  <c r="AG1044" i="1"/>
  <c r="AH1044" i="1"/>
  <c r="AI1044" i="1"/>
  <c r="AC1045" i="1"/>
  <c r="AD1045" i="1"/>
  <c r="AE1045" i="1"/>
  <c r="AF1045" i="1"/>
  <c r="AG1045" i="1"/>
  <c r="AH1045" i="1"/>
  <c r="AI1045" i="1"/>
  <c r="AC1046" i="1"/>
  <c r="AD1046" i="1"/>
  <c r="AE1046" i="1"/>
  <c r="AF1046" i="1"/>
  <c r="AG1046" i="1"/>
  <c r="AH1046" i="1"/>
  <c r="AI1046" i="1"/>
  <c r="AC1047" i="1"/>
  <c r="AD1047" i="1"/>
  <c r="AE1047" i="1"/>
  <c r="AF1047" i="1"/>
  <c r="AG1047" i="1"/>
  <c r="AH1047" i="1"/>
  <c r="AI1047" i="1"/>
  <c r="AC1048" i="1"/>
  <c r="AD1048" i="1"/>
  <c r="AE1048" i="1"/>
  <c r="AF1048" i="1"/>
  <c r="AG1048" i="1"/>
  <c r="AH1048" i="1"/>
  <c r="AI1048" i="1"/>
  <c r="AC1049" i="1"/>
  <c r="AD1049" i="1"/>
  <c r="AE1049" i="1"/>
  <c r="AF1049" i="1"/>
  <c r="AG1049" i="1"/>
  <c r="AH1049" i="1"/>
  <c r="AI1049" i="1"/>
  <c r="AC1050" i="1"/>
  <c r="AD1050" i="1"/>
  <c r="AE1050" i="1"/>
  <c r="AF1050" i="1"/>
  <c r="AG1050" i="1"/>
  <c r="AH1050" i="1"/>
  <c r="AI1050" i="1"/>
  <c r="AC1051" i="1"/>
  <c r="AD1051" i="1"/>
  <c r="AE1051" i="1"/>
  <c r="AF1051" i="1"/>
  <c r="AG1051" i="1"/>
  <c r="AH1051" i="1"/>
  <c r="AI1051" i="1"/>
  <c r="AC1052" i="1"/>
  <c r="AD1052" i="1"/>
  <c r="AE1052" i="1"/>
  <c r="AF1052" i="1"/>
  <c r="AG1052" i="1"/>
  <c r="AH1052" i="1"/>
  <c r="AI1052" i="1"/>
  <c r="AC1053" i="1"/>
  <c r="AD1053" i="1"/>
  <c r="AE1053" i="1"/>
  <c r="AF1053" i="1"/>
  <c r="AG1053" i="1"/>
  <c r="AH1053" i="1"/>
  <c r="AI1053" i="1"/>
  <c r="AC1054" i="1"/>
  <c r="AD1054" i="1"/>
  <c r="AE1054" i="1"/>
  <c r="AF1054" i="1"/>
  <c r="AG1054" i="1"/>
  <c r="AH1054" i="1"/>
  <c r="AI1054" i="1"/>
  <c r="AC1055" i="1"/>
  <c r="AD1055" i="1"/>
  <c r="AE1055" i="1"/>
  <c r="AF1055" i="1"/>
  <c r="AG1055" i="1"/>
  <c r="AH1055" i="1"/>
  <c r="AI1055" i="1"/>
  <c r="AC1056" i="1"/>
  <c r="AD1056" i="1"/>
  <c r="AE1056" i="1"/>
  <c r="AF1056" i="1"/>
  <c r="AG1056" i="1"/>
  <c r="AH1056" i="1"/>
  <c r="AI1056" i="1"/>
  <c r="AC1057" i="1"/>
  <c r="AD1057" i="1"/>
  <c r="AE1057" i="1"/>
  <c r="AF1057" i="1"/>
  <c r="AG1057" i="1"/>
  <c r="AH1057" i="1"/>
  <c r="AI1057" i="1"/>
  <c r="AC1058" i="1"/>
  <c r="AD1058" i="1"/>
  <c r="AE1058" i="1"/>
  <c r="AF1058" i="1"/>
  <c r="AG1058" i="1"/>
  <c r="AH1058" i="1"/>
  <c r="AI1058" i="1"/>
  <c r="AC1059" i="1"/>
  <c r="AD1059" i="1"/>
  <c r="AE1059" i="1"/>
  <c r="AF1059" i="1"/>
  <c r="AG1059" i="1"/>
  <c r="AH1059" i="1"/>
  <c r="AI1059" i="1"/>
  <c r="AC1060" i="1"/>
  <c r="AD1060" i="1"/>
  <c r="AE1060" i="1"/>
  <c r="AF1060" i="1"/>
  <c r="AG1060" i="1"/>
  <c r="AH1060" i="1"/>
  <c r="AI1060" i="1"/>
  <c r="AC1061" i="1"/>
  <c r="AD1061" i="1"/>
  <c r="AE1061" i="1"/>
  <c r="AF1061" i="1"/>
  <c r="AG1061" i="1"/>
  <c r="AH1061" i="1"/>
  <c r="AI1061" i="1"/>
  <c r="AC1062" i="1"/>
  <c r="AD1062" i="1"/>
  <c r="AE1062" i="1"/>
  <c r="AF1062" i="1"/>
  <c r="AG1062" i="1"/>
  <c r="AH1062" i="1"/>
  <c r="AI1062" i="1"/>
  <c r="AC1063" i="1"/>
  <c r="AD1063" i="1"/>
  <c r="AE1063" i="1"/>
  <c r="AF1063" i="1"/>
  <c r="AG1063" i="1"/>
  <c r="AH1063" i="1"/>
  <c r="AI1063" i="1"/>
  <c r="AC1064" i="1"/>
  <c r="AD1064" i="1"/>
  <c r="AE1064" i="1"/>
  <c r="AF1064" i="1"/>
  <c r="AG1064" i="1"/>
  <c r="AH1064" i="1"/>
  <c r="AI1064" i="1"/>
  <c r="AC1065" i="1"/>
  <c r="AD1065" i="1"/>
  <c r="AE1065" i="1"/>
  <c r="AF1065" i="1"/>
  <c r="AG1065" i="1"/>
  <c r="AH1065" i="1"/>
  <c r="AI1065" i="1"/>
  <c r="AC1066" i="1"/>
  <c r="AD1066" i="1"/>
  <c r="AE1066" i="1"/>
  <c r="AF1066" i="1"/>
  <c r="AG1066" i="1"/>
  <c r="AH1066" i="1"/>
  <c r="AI1066" i="1"/>
  <c r="AC1067" i="1"/>
  <c r="AD1067" i="1"/>
  <c r="AE1067" i="1"/>
  <c r="AF1067" i="1"/>
  <c r="AG1067" i="1"/>
  <c r="AH1067" i="1"/>
  <c r="AI1067" i="1"/>
  <c r="AC1068" i="1"/>
  <c r="AD1068" i="1"/>
  <c r="AE1068" i="1"/>
  <c r="AF1068" i="1"/>
  <c r="AG1068" i="1"/>
  <c r="AH1068" i="1"/>
  <c r="AI1068" i="1"/>
  <c r="AC1069" i="1"/>
  <c r="AD1069" i="1"/>
  <c r="AE1069" i="1"/>
  <c r="AF1069" i="1"/>
  <c r="AG1069" i="1"/>
  <c r="AH1069" i="1"/>
  <c r="AI1069" i="1"/>
  <c r="AC1070" i="1"/>
  <c r="AD1070" i="1"/>
  <c r="AE1070" i="1"/>
  <c r="AF1070" i="1"/>
  <c r="AG1070" i="1"/>
  <c r="AH1070" i="1"/>
  <c r="AI1070" i="1"/>
  <c r="AC1071" i="1"/>
  <c r="AD1071" i="1"/>
  <c r="AE1071" i="1"/>
  <c r="AF1071" i="1"/>
  <c r="AG1071" i="1"/>
  <c r="AH1071" i="1"/>
  <c r="AI1071" i="1"/>
  <c r="AC1072" i="1"/>
  <c r="AD1072" i="1"/>
  <c r="AE1072" i="1"/>
  <c r="AF1072" i="1"/>
  <c r="AG1072" i="1"/>
  <c r="AH1072" i="1"/>
  <c r="AI1072" i="1"/>
  <c r="AC1073" i="1"/>
  <c r="AD1073" i="1"/>
  <c r="AE1073" i="1"/>
  <c r="AF1073" i="1"/>
  <c r="AG1073" i="1"/>
  <c r="AH1073" i="1"/>
  <c r="AI1073" i="1"/>
  <c r="AC1074" i="1"/>
  <c r="AD1074" i="1"/>
  <c r="AE1074" i="1"/>
  <c r="AF1074" i="1"/>
  <c r="AG1074" i="1"/>
  <c r="AH1074" i="1"/>
  <c r="AI1074" i="1"/>
  <c r="AC1075" i="1"/>
  <c r="AD1075" i="1"/>
  <c r="AE1075" i="1"/>
  <c r="AF1075" i="1"/>
  <c r="AG1075" i="1"/>
  <c r="AH1075" i="1"/>
  <c r="AI1075" i="1"/>
  <c r="AC1076" i="1"/>
  <c r="AD1076" i="1"/>
  <c r="AE1076" i="1"/>
  <c r="AF1076" i="1"/>
  <c r="AG1076" i="1"/>
  <c r="AH1076" i="1"/>
  <c r="AI1076" i="1"/>
  <c r="AC1077" i="1"/>
  <c r="AD1077" i="1"/>
  <c r="AE1077" i="1"/>
  <c r="AF1077" i="1"/>
  <c r="AG1077" i="1"/>
  <c r="AH1077" i="1"/>
  <c r="AI1077" i="1"/>
  <c r="AC1078" i="1"/>
  <c r="AD1078" i="1"/>
  <c r="AE1078" i="1"/>
  <c r="AF1078" i="1"/>
  <c r="AG1078" i="1"/>
  <c r="AH1078" i="1"/>
  <c r="AI1078" i="1"/>
  <c r="AC1079" i="1"/>
  <c r="AD1079" i="1"/>
  <c r="AE1079" i="1"/>
  <c r="AF1079" i="1"/>
  <c r="AG1079" i="1"/>
  <c r="AH1079" i="1"/>
  <c r="AI1079" i="1"/>
  <c r="AC1080" i="1"/>
  <c r="AD1080" i="1"/>
  <c r="AE1080" i="1"/>
  <c r="AF1080" i="1"/>
  <c r="AG1080" i="1"/>
  <c r="AH1080" i="1"/>
  <c r="AI1080" i="1"/>
  <c r="AC1081" i="1"/>
  <c r="AD1081" i="1"/>
  <c r="AE1081" i="1"/>
  <c r="AF1081" i="1"/>
  <c r="AG1081" i="1"/>
  <c r="AH1081" i="1"/>
  <c r="AI1081" i="1"/>
  <c r="AC1082" i="1"/>
  <c r="AD1082" i="1"/>
  <c r="AE1082" i="1"/>
  <c r="AF1082" i="1"/>
  <c r="AG1082" i="1"/>
  <c r="AH1082" i="1"/>
  <c r="AI1082" i="1"/>
  <c r="AC1083" i="1"/>
  <c r="AD1083" i="1"/>
  <c r="AE1083" i="1"/>
  <c r="AF1083" i="1"/>
  <c r="AG1083" i="1"/>
  <c r="AH1083" i="1"/>
  <c r="AI1083" i="1"/>
  <c r="AC1084" i="1"/>
  <c r="AD1084" i="1"/>
  <c r="AE1084" i="1"/>
  <c r="AF1084" i="1"/>
  <c r="AG1084" i="1"/>
  <c r="AH1084" i="1"/>
  <c r="AI1084" i="1"/>
  <c r="AC1085" i="1"/>
  <c r="AD1085" i="1"/>
  <c r="AE1085" i="1"/>
  <c r="AF1085" i="1"/>
  <c r="AG1085" i="1"/>
  <c r="AH1085" i="1"/>
  <c r="AI1085" i="1"/>
  <c r="AC1086" i="1"/>
  <c r="AD1086" i="1"/>
  <c r="AE1086" i="1"/>
  <c r="AF1086" i="1"/>
  <c r="AG1086" i="1"/>
  <c r="AH1086" i="1"/>
  <c r="AI1086" i="1"/>
  <c r="AC1087" i="1"/>
  <c r="AD1087" i="1"/>
  <c r="AE1087" i="1"/>
  <c r="AF1087" i="1"/>
  <c r="AG1087" i="1"/>
  <c r="AH1087" i="1"/>
  <c r="AI1087" i="1"/>
  <c r="AC1088" i="1"/>
  <c r="AD1088" i="1"/>
  <c r="AE1088" i="1"/>
  <c r="AF1088" i="1"/>
  <c r="AG1088" i="1"/>
  <c r="AH1088" i="1"/>
  <c r="AI1088" i="1"/>
  <c r="AC1089" i="1"/>
  <c r="AD1089" i="1"/>
  <c r="AE1089" i="1"/>
  <c r="AF1089" i="1"/>
  <c r="AG1089" i="1"/>
  <c r="AH1089" i="1"/>
  <c r="AI1089" i="1"/>
  <c r="AC1090" i="1"/>
  <c r="AD1090" i="1"/>
  <c r="AE1090" i="1"/>
  <c r="AF1090" i="1"/>
  <c r="AG1090" i="1"/>
  <c r="AH1090" i="1"/>
  <c r="AI1090" i="1"/>
  <c r="AC1091" i="1"/>
  <c r="AD1091" i="1"/>
  <c r="AE1091" i="1"/>
  <c r="AF1091" i="1"/>
  <c r="AG1091" i="1"/>
  <c r="AH1091" i="1"/>
  <c r="AI1091" i="1"/>
  <c r="AC1092" i="1"/>
  <c r="AD1092" i="1"/>
  <c r="AE1092" i="1"/>
  <c r="AF1092" i="1"/>
  <c r="AG1092" i="1"/>
  <c r="AH1092" i="1"/>
  <c r="AI1092" i="1"/>
  <c r="AC1093" i="1"/>
  <c r="AD1093" i="1"/>
  <c r="AE1093" i="1"/>
  <c r="AF1093" i="1"/>
  <c r="AG1093" i="1"/>
  <c r="AH1093" i="1"/>
  <c r="AI1093" i="1"/>
  <c r="AC1094" i="1"/>
  <c r="AD1094" i="1"/>
  <c r="AE1094" i="1"/>
  <c r="AF1094" i="1"/>
  <c r="AG1094" i="1"/>
  <c r="AH1094" i="1"/>
  <c r="AI1094" i="1"/>
  <c r="AC1095" i="1"/>
  <c r="AD1095" i="1"/>
  <c r="AE1095" i="1"/>
  <c r="AF1095" i="1"/>
  <c r="AG1095" i="1"/>
  <c r="AH1095" i="1"/>
  <c r="AI1095" i="1"/>
  <c r="AC1096" i="1"/>
  <c r="AD1096" i="1"/>
  <c r="AE1096" i="1"/>
  <c r="AF1096" i="1"/>
  <c r="AG1096" i="1"/>
  <c r="AH1096" i="1"/>
  <c r="AI1096" i="1"/>
  <c r="AC1097" i="1"/>
  <c r="AD1097" i="1"/>
  <c r="AE1097" i="1"/>
  <c r="AF1097" i="1"/>
  <c r="AG1097" i="1"/>
  <c r="AH1097" i="1"/>
  <c r="AI1097" i="1"/>
  <c r="AC1098" i="1"/>
  <c r="AD1098" i="1"/>
  <c r="AE1098" i="1"/>
  <c r="AF1098" i="1"/>
  <c r="AG1098" i="1"/>
  <c r="AH1098" i="1"/>
  <c r="AI1098" i="1"/>
  <c r="AC1099" i="1"/>
  <c r="AD1099" i="1"/>
  <c r="AE1099" i="1"/>
  <c r="AF1099" i="1"/>
  <c r="AG1099" i="1"/>
  <c r="AH1099" i="1"/>
  <c r="AI1099" i="1"/>
  <c r="AC1100" i="1"/>
  <c r="AD1100" i="1"/>
  <c r="AE1100" i="1"/>
  <c r="AF1100" i="1"/>
  <c r="AG1100" i="1"/>
  <c r="AH1100" i="1"/>
  <c r="AI1100" i="1"/>
  <c r="AC1101" i="1"/>
  <c r="AD1101" i="1"/>
  <c r="AE1101" i="1"/>
  <c r="AF1101" i="1"/>
  <c r="AG1101" i="1"/>
  <c r="AH1101" i="1"/>
  <c r="AI1101" i="1"/>
  <c r="AC1102" i="1"/>
  <c r="AD1102" i="1"/>
  <c r="AE1102" i="1"/>
  <c r="AF1102" i="1"/>
  <c r="AG1102" i="1"/>
  <c r="AH1102" i="1"/>
  <c r="AI1102" i="1"/>
  <c r="AC1103" i="1"/>
  <c r="AD1103" i="1"/>
  <c r="AE1103" i="1"/>
  <c r="AF1103" i="1"/>
  <c r="AG1103" i="1"/>
  <c r="AH1103" i="1"/>
  <c r="AI1103" i="1"/>
  <c r="AC1104" i="1"/>
  <c r="AD1104" i="1"/>
  <c r="AE1104" i="1"/>
  <c r="AF1104" i="1"/>
  <c r="AG1104" i="1"/>
  <c r="AH1104" i="1"/>
  <c r="AI1104" i="1"/>
  <c r="AC1105" i="1"/>
  <c r="AD1105" i="1"/>
  <c r="AE1105" i="1"/>
  <c r="AF1105" i="1"/>
  <c r="AG1105" i="1"/>
  <c r="AH1105" i="1"/>
  <c r="AI1105" i="1"/>
  <c r="AC1106" i="1"/>
  <c r="AD1106" i="1"/>
  <c r="AE1106" i="1"/>
  <c r="AF1106" i="1"/>
  <c r="AG1106" i="1"/>
  <c r="AH1106" i="1"/>
  <c r="AI1106" i="1"/>
  <c r="AC1107" i="1"/>
  <c r="AD1107" i="1"/>
  <c r="AE1107" i="1"/>
  <c r="AF1107" i="1"/>
  <c r="AG1107" i="1"/>
  <c r="AH1107" i="1"/>
  <c r="AI1107" i="1"/>
  <c r="AC1108" i="1"/>
  <c r="AD1108" i="1"/>
  <c r="AE1108" i="1"/>
  <c r="AF1108" i="1"/>
  <c r="AG1108" i="1"/>
  <c r="AH1108" i="1"/>
  <c r="AI1108" i="1"/>
  <c r="AC1109" i="1"/>
  <c r="AD1109" i="1"/>
  <c r="AE1109" i="1"/>
  <c r="AF1109" i="1"/>
  <c r="AG1109" i="1"/>
  <c r="AH1109" i="1"/>
  <c r="AI1109" i="1"/>
  <c r="AC1110" i="1"/>
  <c r="AD1110" i="1"/>
  <c r="AE1110" i="1"/>
  <c r="AF1110" i="1"/>
  <c r="AG1110" i="1"/>
  <c r="AH1110" i="1"/>
  <c r="AI1110" i="1"/>
  <c r="AC1111" i="1"/>
  <c r="AD1111" i="1"/>
  <c r="AE1111" i="1"/>
  <c r="AF1111" i="1"/>
  <c r="AG1111" i="1"/>
  <c r="AH1111" i="1"/>
  <c r="AI1111" i="1"/>
  <c r="AC1112" i="1"/>
  <c r="AD1112" i="1"/>
  <c r="AE1112" i="1"/>
  <c r="AF1112" i="1"/>
  <c r="AG1112" i="1"/>
  <c r="AH1112" i="1"/>
  <c r="AI1112" i="1"/>
  <c r="AC1113" i="1"/>
  <c r="AD1113" i="1"/>
  <c r="AE1113" i="1"/>
  <c r="AF1113" i="1"/>
  <c r="AG1113" i="1"/>
  <c r="AH1113" i="1"/>
  <c r="AI1113" i="1"/>
  <c r="AC1114" i="1"/>
  <c r="AD1114" i="1"/>
  <c r="AE1114" i="1"/>
  <c r="AF1114" i="1"/>
  <c r="AG1114" i="1"/>
  <c r="AH1114" i="1"/>
  <c r="AI1114" i="1"/>
  <c r="AC1115" i="1"/>
  <c r="AD1115" i="1"/>
  <c r="AE1115" i="1"/>
  <c r="AF1115" i="1"/>
  <c r="AG1115" i="1"/>
  <c r="AH1115" i="1"/>
  <c r="AI1115" i="1"/>
  <c r="AC1116" i="1"/>
  <c r="AD1116" i="1"/>
  <c r="AE1116" i="1"/>
  <c r="AF1116" i="1"/>
  <c r="AG1116" i="1"/>
  <c r="AH1116" i="1"/>
  <c r="AI1116" i="1"/>
  <c r="AC1117" i="1"/>
  <c r="AD1117" i="1"/>
  <c r="AE1117" i="1"/>
  <c r="AF1117" i="1"/>
  <c r="AG1117" i="1"/>
  <c r="AH1117" i="1"/>
  <c r="AI1117" i="1"/>
  <c r="AC1118" i="1"/>
  <c r="AD1118" i="1"/>
  <c r="AE1118" i="1"/>
  <c r="AF1118" i="1"/>
  <c r="AG1118" i="1"/>
  <c r="AH1118" i="1"/>
  <c r="AI1118" i="1"/>
  <c r="AC1119" i="1"/>
  <c r="AD1119" i="1"/>
  <c r="AE1119" i="1"/>
  <c r="AF1119" i="1"/>
  <c r="AG1119" i="1"/>
  <c r="AH1119" i="1"/>
  <c r="AI1119" i="1"/>
  <c r="AC1120" i="1"/>
  <c r="AD1120" i="1"/>
  <c r="AE1120" i="1"/>
  <c r="AF1120" i="1"/>
  <c r="AG1120" i="1"/>
  <c r="AH1120" i="1"/>
  <c r="AI1120" i="1"/>
  <c r="AC1121" i="1"/>
  <c r="AD1121" i="1"/>
  <c r="AE1121" i="1"/>
  <c r="AF1121" i="1"/>
  <c r="AG1121" i="1"/>
  <c r="AH1121" i="1"/>
  <c r="AI1121" i="1"/>
  <c r="AC1122" i="1"/>
  <c r="AD1122" i="1"/>
  <c r="AE1122" i="1"/>
  <c r="AF1122" i="1"/>
  <c r="AG1122" i="1"/>
  <c r="AH1122" i="1"/>
  <c r="AI1122" i="1"/>
  <c r="AC1123" i="1"/>
  <c r="AD1123" i="1"/>
  <c r="AE1123" i="1"/>
  <c r="AF1123" i="1"/>
  <c r="AG1123" i="1"/>
  <c r="AH1123" i="1"/>
  <c r="AI1123" i="1"/>
  <c r="AC1124" i="1"/>
  <c r="AD1124" i="1"/>
  <c r="AE1124" i="1"/>
  <c r="AF1124" i="1"/>
  <c r="AG1124" i="1"/>
  <c r="AH1124" i="1"/>
  <c r="AI1124" i="1"/>
  <c r="AC1125" i="1"/>
  <c r="AD1125" i="1"/>
  <c r="AE1125" i="1"/>
  <c r="AF1125" i="1"/>
  <c r="AG1125" i="1"/>
  <c r="AH1125" i="1"/>
  <c r="AI1125" i="1"/>
  <c r="AC1126" i="1"/>
  <c r="AD1126" i="1"/>
  <c r="AE1126" i="1"/>
  <c r="AF1126" i="1"/>
  <c r="AG1126" i="1"/>
  <c r="AH1126" i="1"/>
  <c r="AI1126" i="1"/>
  <c r="AC1127" i="1"/>
  <c r="AD1127" i="1"/>
  <c r="AE1127" i="1"/>
  <c r="AF1127" i="1"/>
  <c r="AG1127" i="1"/>
  <c r="AH1127" i="1"/>
  <c r="AI1127" i="1"/>
  <c r="AC1128" i="1"/>
  <c r="AD1128" i="1"/>
  <c r="AE1128" i="1"/>
  <c r="AF1128" i="1"/>
  <c r="AG1128" i="1"/>
  <c r="AH1128" i="1"/>
  <c r="AI1128" i="1"/>
  <c r="AC1129" i="1"/>
  <c r="AD1129" i="1"/>
  <c r="AE1129" i="1"/>
  <c r="AF1129" i="1"/>
  <c r="AG1129" i="1"/>
  <c r="AH1129" i="1"/>
  <c r="AI1129" i="1"/>
  <c r="AC1130" i="1"/>
  <c r="AD1130" i="1"/>
  <c r="AE1130" i="1"/>
  <c r="AF1130" i="1"/>
  <c r="AG1130" i="1"/>
  <c r="AH1130" i="1"/>
  <c r="AI1130" i="1"/>
  <c r="AC1131" i="1"/>
  <c r="AD1131" i="1"/>
  <c r="AE1131" i="1"/>
  <c r="AF1131" i="1"/>
  <c r="AG1131" i="1"/>
  <c r="AH1131" i="1"/>
  <c r="AI1131" i="1"/>
  <c r="AC1132" i="1"/>
  <c r="AD1132" i="1"/>
  <c r="AE1132" i="1"/>
  <c r="AF1132" i="1"/>
  <c r="AG1132" i="1"/>
  <c r="AH1132" i="1"/>
  <c r="AI1132" i="1"/>
  <c r="AC1133" i="1"/>
  <c r="AD1133" i="1"/>
  <c r="AE1133" i="1"/>
  <c r="AF1133" i="1"/>
  <c r="AG1133" i="1"/>
  <c r="AH1133" i="1"/>
  <c r="AI1133" i="1"/>
  <c r="AC1134" i="1"/>
  <c r="AD1134" i="1"/>
  <c r="AE1134" i="1"/>
  <c r="AF1134" i="1"/>
  <c r="AG1134" i="1"/>
  <c r="AH1134" i="1"/>
  <c r="AI1134" i="1"/>
  <c r="AC1135" i="1"/>
  <c r="AD1135" i="1"/>
  <c r="AE1135" i="1"/>
  <c r="AF1135" i="1"/>
  <c r="AG1135" i="1"/>
  <c r="AH1135" i="1"/>
  <c r="AI1135" i="1"/>
  <c r="AC1136" i="1"/>
  <c r="AD1136" i="1"/>
  <c r="AE1136" i="1"/>
  <c r="AF1136" i="1"/>
  <c r="AG1136" i="1"/>
  <c r="AH1136" i="1"/>
  <c r="AI1136" i="1"/>
  <c r="AC1137" i="1"/>
  <c r="AD1137" i="1"/>
  <c r="AE1137" i="1"/>
  <c r="AF1137" i="1"/>
  <c r="AG1137" i="1"/>
  <c r="AH1137" i="1"/>
  <c r="AI1137" i="1"/>
  <c r="AC1138" i="1"/>
  <c r="AD1138" i="1"/>
  <c r="AE1138" i="1"/>
  <c r="AF1138" i="1"/>
  <c r="AG1138" i="1"/>
  <c r="AH1138" i="1"/>
  <c r="AI1138" i="1"/>
  <c r="AC1139" i="1"/>
  <c r="AD1139" i="1"/>
  <c r="AE1139" i="1"/>
  <c r="AF1139" i="1"/>
  <c r="AG1139" i="1"/>
  <c r="AH1139" i="1"/>
  <c r="AI1139" i="1"/>
  <c r="AC1140" i="1"/>
  <c r="AD1140" i="1"/>
  <c r="AE1140" i="1"/>
  <c r="AF1140" i="1"/>
  <c r="AG1140" i="1"/>
  <c r="AH1140" i="1"/>
  <c r="AI1140" i="1"/>
  <c r="AC1141" i="1"/>
  <c r="AD1141" i="1"/>
  <c r="AE1141" i="1"/>
  <c r="AF1141" i="1"/>
  <c r="AG1141" i="1"/>
  <c r="AH1141" i="1"/>
  <c r="AI1141" i="1"/>
  <c r="AC1142" i="1"/>
  <c r="AD1142" i="1"/>
  <c r="AE1142" i="1"/>
  <c r="AF1142" i="1"/>
  <c r="AG1142" i="1"/>
  <c r="AH1142" i="1"/>
  <c r="AI1142" i="1"/>
  <c r="AC1143" i="1"/>
  <c r="AD1143" i="1"/>
  <c r="AE1143" i="1"/>
  <c r="AF1143" i="1"/>
  <c r="AG1143" i="1"/>
  <c r="AH1143" i="1"/>
  <c r="AI1143" i="1"/>
  <c r="AC1144" i="1"/>
  <c r="AD1144" i="1"/>
  <c r="AE1144" i="1"/>
  <c r="AF1144" i="1"/>
  <c r="AG1144" i="1"/>
  <c r="AH1144" i="1"/>
  <c r="AI1144" i="1"/>
  <c r="AC1145" i="1"/>
  <c r="AD1145" i="1"/>
  <c r="AE1145" i="1"/>
  <c r="AF1145" i="1"/>
  <c r="AG1145" i="1"/>
  <c r="AH1145" i="1"/>
  <c r="AI1145" i="1"/>
  <c r="AC1146" i="1"/>
  <c r="AD1146" i="1"/>
  <c r="AE1146" i="1"/>
  <c r="AF1146" i="1"/>
  <c r="AG1146" i="1"/>
  <c r="AH1146" i="1"/>
  <c r="AI1146" i="1"/>
  <c r="AC1147" i="1"/>
  <c r="AD1147" i="1"/>
  <c r="AE1147" i="1"/>
  <c r="AF1147" i="1"/>
  <c r="AG1147" i="1"/>
  <c r="AH1147" i="1"/>
  <c r="AI1147" i="1"/>
  <c r="AC1148" i="1"/>
  <c r="AD1148" i="1"/>
  <c r="AE1148" i="1"/>
  <c r="AF1148" i="1"/>
  <c r="AG1148" i="1"/>
  <c r="AH1148" i="1"/>
  <c r="AI1148" i="1"/>
  <c r="AC1149" i="1"/>
  <c r="AD1149" i="1"/>
  <c r="AE1149" i="1"/>
  <c r="AF1149" i="1"/>
  <c r="AG1149" i="1"/>
  <c r="AH1149" i="1"/>
  <c r="AI1149" i="1"/>
  <c r="AC1150" i="1"/>
  <c r="AD1150" i="1"/>
  <c r="AE1150" i="1"/>
  <c r="AF1150" i="1"/>
  <c r="AG1150" i="1"/>
  <c r="AH1150" i="1"/>
  <c r="AI1150" i="1"/>
  <c r="AC1151" i="1"/>
  <c r="AD1151" i="1"/>
  <c r="AE1151" i="1"/>
  <c r="AF1151" i="1"/>
  <c r="AG1151" i="1"/>
  <c r="AH1151" i="1"/>
  <c r="AI1151" i="1"/>
  <c r="AC1152" i="1"/>
  <c r="AD1152" i="1"/>
  <c r="AE1152" i="1"/>
  <c r="AF1152" i="1"/>
  <c r="AG1152" i="1"/>
  <c r="AH1152" i="1"/>
  <c r="AI1152" i="1"/>
  <c r="AC1153" i="1"/>
  <c r="AD1153" i="1"/>
  <c r="AE1153" i="1"/>
  <c r="AF1153" i="1"/>
  <c r="AG1153" i="1"/>
  <c r="AH1153" i="1"/>
  <c r="AI1153" i="1"/>
  <c r="AC1154" i="1"/>
  <c r="AD1154" i="1"/>
  <c r="AE1154" i="1"/>
  <c r="AF1154" i="1"/>
  <c r="AG1154" i="1"/>
  <c r="AH1154" i="1"/>
  <c r="AI1154" i="1"/>
  <c r="AC1155" i="1"/>
  <c r="AD1155" i="1"/>
  <c r="AE1155" i="1"/>
  <c r="AF1155" i="1"/>
  <c r="AG1155" i="1"/>
  <c r="AH1155" i="1"/>
  <c r="AI1155" i="1"/>
  <c r="AC1156" i="1"/>
  <c r="AD1156" i="1"/>
  <c r="AE1156" i="1"/>
  <c r="AF1156" i="1"/>
  <c r="AG1156" i="1"/>
  <c r="AH1156" i="1"/>
  <c r="AI1156" i="1"/>
  <c r="AC1157" i="1"/>
  <c r="AD1157" i="1"/>
  <c r="AE1157" i="1"/>
  <c r="AF1157" i="1"/>
  <c r="AG1157" i="1"/>
  <c r="AH1157" i="1"/>
  <c r="AI1157" i="1"/>
  <c r="AC1158" i="1"/>
  <c r="AD1158" i="1"/>
  <c r="AE1158" i="1"/>
  <c r="AF1158" i="1"/>
  <c r="AG1158" i="1"/>
  <c r="AH1158" i="1"/>
  <c r="AI1158" i="1"/>
  <c r="AC1159" i="1"/>
  <c r="AD1159" i="1"/>
  <c r="AE1159" i="1"/>
  <c r="AF1159" i="1"/>
  <c r="AG1159" i="1"/>
  <c r="AH1159" i="1"/>
  <c r="AI1159" i="1"/>
  <c r="AC1160" i="1"/>
  <c r="AD1160" i="1"/>
  <c r="AE1160" i="1"/>
  <c r="AF1160" i="1"/>
  <c r="AG1160" i="1"/>
  <c r="AH1160" i="1"/>
  <c r="AI1160" i="1"/>
  <c r="AC1161" i="1"/>
  <c r="AD1161" i="1"/>
  <c r="AE1161" i="1"/>
  <c r="AF1161" i="1"/>
  <c r="AG1161" i="1"/>
  <c r="AH1161" i="1"/>
  <c r="AI1161" i="1"/>
  <c r="AC1162" i="1"/>
  <c r="AD1162" i="1"/>
  <c r="AE1162" i="1"/>
  <c r="AF1162" i="1"/>
  <c r="AG1162" i="1"/>
  <c r="AH1162" i="1"/>
  <c r="AI1162" i="1"/>
  <c r="AC1163" i="1"/>
  <c r="AD1163" i="1"/>
  <c r="AE1163" i="1"/>
  <c r="AF1163" i="1"/>
  <c r="AG1163" i="1"/>
  <c r="AH1163" i="1"/>
  <c r="AI1163" i="1"/>
  <c r="AC1164" i="1"/>
  <c r="AD1164" i="1"/>
  <c r="AE1164" i="1"/>
  <c r="AF1164" i="1"/>
  <c r="AG1164" i="1"/>
  <c r="AH1164" i="1"/>
  <c r="AI1164" i="1"/>
  <c r="AC1165" i="1"/>
  <c r="AD1165" i="1"/>
  <c r="AE1165" i="1"/>
  <c r="AF1165" i="1"/>
  <c r="AG1165" i="1"/>
  <c r="AH1165" i="1"/>
  <c r="AI1165" i="1"/>
  <c r="AC1166" i="1"/>
  <c r="AD1166" i="1"/>
  <c r="AE1166" i="1"/>
  <c r="AF1166" i="1"/>
  <c r="AG1166" i="1"/>
  <c r="AH1166" i="1"/>
  <c r="AI1166" i="1"/>
  <c r="AC1167" i="1"/>
  <c r="AD1167" i="1"/>
  <c r="AE1167" i="1"/>
  <c r="AF1167" i="1"/>
  <c r="AG1167" i="1"/>
  <c r="AH1167" i="1"/>
  <c r="AI1167" i="1"/>
  <c r="AC1168" i="1"/>
  <c r="AD1168" i="1"/>
  <c r="AE1168" i="1"/>
  <c r="AF1168" i="1"/>
  <c r="AG1168" i="1"/>
  <c r="AH1168" i="1"/>
  <c r="AI1168" i="1"/>
  <c r="AC1169" i="1"/>
  <c r="AD1169" i="1"/>
  <c r="AE1169" i="1"/>
  <c r="AF1169" i="1"/>
  <c r="AG1169" i="1"/>
  <c r="AH1169" i="1"/>
  <c r="AI1169" i="1"/>
  <c r="AC1170" i="1"/>
  <c r="AD1170" i="1"/>
  <c r="AE1170" i="1"/>
  <c r="AF1170" i="1"/>
  <c r="AG1170" i="1"/>
  <c r="AH1170" i="1"/>
  <c r="AI1170" i="1"/>
  <c r="AC1171" i="1"/>
  <c r="AD1171" i="1"/>
  <c r="AE1171" i="1"/>
  <c r="AF1171" i="1"/>
  <c r="AG1171" i="1"/>
  <c r="AH1171" i="1"/>
  <c r="AI1171" i="1"/>
  <c r="AC1172" i="1"/>
  <c r="AD1172" i="1"/>
  <c r="AE1172" i="1"/>
  <c r="AF1172" i="1"/>
  <c r="AG1172" i="1"/>
  <c r="AH1172" i="1"/>
  <c r="AI1172" i="1"/>
  <c r="AC1173" i="1"/>
  <c r="AD1173" i="1"/>
  <c r="AE1173" i="1"/>
  <c r="AF1173" i="1"/>
  <c r="AG1173" i="1"/>
  <c r="AH1173" i="1"/>
  <c r="AI1173" i="1"/>
  <c r="AC1174" i="1"/>
  <c r="AD1174" i="1"/>
  <c r="AE1174" i="1"/>
  <c r="AF1174" i="1"/>
  <c r="AG1174" i="1"/>
  <c r="AH1174" i="1"/>
  <c r="AI1174" i="1"/>
  <c r="AC1175" i="1"/>
  <c r="AD1175" i="1"/>
  <c r="AE1175" i="1"/>
  <c r="AF1175" i="1"/>
  <c r="AG1175" i="1"/>
  <c r="AH1175" i="1"/>
  <c r="AI1175" i="1"/>
  <c r="AC1176" i="1"/>
  <c r="AD1176" i="1"/>
  <c r="AE1176" i="1"/>
  <c r="AF1176" i="1"/>
  <c r="AG1176" i="1"/>
  <c r="AH1176" i="1"/>
  <c r="AI1176" i="1"/>
  <c r="AC1177" i="1"/>
  <c r="AD1177" i="1"/>
  <c r="AE1177" i="1"/>
  <c r="AF1177" i="1"/>
  <c r="AG1177" i="1"/>
  <c r="AH1177" i="1"/>
  <c r="AI1177" i="1"/>
  <c r="AC1178" i="1"/>
  <c r="AD1178" i="1"/>
  <c r="AE1178" i="1"/>
  <c r="AF1178" i="1"/>
  <c r="AG1178" i="1"/>
  <c r="AH1178" i="1"/>
  <c r="AI1178" i="1"/>
  <c r="AC1179" i="1"/>
  <c r="AD1179" i="1"/>
  <c r="AE1179" i="1"/>
  <c r="AF1179" i="1"/>
  <c r="AG1179" i="1"/>
  <c r="AH1179" i="1"/>
  <c r="AI1179" i="1"/>
  <c r="AC1180" i="1"/>
  <c r="AD1180" i="1"/>
  <c r="AE1180" i="1"/>
  <c r="AF1180" i="1"/>
  <c r="AG1180" i="1"/>
  <c r="AH1180" i="1"/>
  <c r="AI1180" i="1"/>
  <c r="AC1181" i="1"/>
  <c r="AD1181" i="1"/>
  <c r="AE1181" i="1"/>
  <c r="AF1181" i="1"/>
  <c r="AG1181" i="1"/>
  <c r="AH1181" i="1"/>
  <c r="AI1181" i="1"/>
  <c r="AC1182" i="1"/>
  <c r="AD1182" i="1"/>
  <c r="AE1182" i="1"/>
  <c r="AF1182" i="1"/>
  <c r="AG1182" i="1"/>
  <c r="AH1182" i="1"/>
  <c r="AI1182" i="1"/>
  <c r="AC1183" i="1"/>
  <c r="AD1183" i="1"/>
  <c r="AE1183" i="1"/>
  <c r="AF1183" i="1"/>
  <c r="AG1183" i="1"/>
  <c r="AH1183" i="1"/>
  <c r="AI1183" i="1"/>
  <c r="AC1184" i="1"/>
  <c r="AD1184" i="1"/>
  <c r="AE1184" i="1"/>
  <c r="AF1184" i="1"/>
  <c r="AG1184" i="1"/>
  <c r="AH1184" i="1"/>
  <c r="AI1184" i="1"/>
  <c r="AC1185" i="1"/>
  <c r="AD1185" i="1"/>
  <c r="AE1185" i="1"/>
  <c r="AF1185" i="1"/>
  <c r="AG1185" i="1"/>
  <c r="AH1185" i="1"/>
  <c r="AI1185" i="1"/>
  <c r="AC1186" i="1"/>
  <c r="AD1186" i="1"/>
  <c r="AE1186" i="1"/>
  <c r="AF1186" i="1"/>
  <c r="AG1186" i="1"/>
  <c r="AH1186" i="1"/>
  <c r="AI1186" i="1"/>
  <c r="AC1187" i="1"/>
  <c r="AD1187" i="1"/>
  <c r="AE1187" i="1"/>
  <c r="AF1187" i="1"/>
  <c r="AG1187" i="1"/>
  <c r="AH1187" i="1"/>
  <c r="AI1187" i="1"/>
  <c r="AC1188" i="1"/>
  <c r="AD1188" i="1"/>
  <c r="AE1188" i="1"/>
  <c r="AF1188" i="1"/>
  <c r="AG1188" i="1"/>
  <c r="AH1188" i="1"/>
  <c r="AI1188" i="1"/>
  <c r="AC1189" i="1"/>
  <c r="AD1189" i="1"/>
  <c r="AE1189" i="1"/>
  <c r="AF1189" i="1"/>
  <c r="AG1189" i="1"/>
  <c r="AH1189" i="1"/>
  <c r="AI1189" i="1"/>
  <c r="AC1190" i="1"/>
  <c r="AD1190" i="1"/>
  <c r="AE1190" i="1"/>
  <c r="AF1190" i="1"/>
  <c r="AG1190" i="1"/>
  <c r="AH1190" i="1"/>
  <c r="AI1190" i="1"/>
  <c r="AC1191" i="1"/>
  <c r="AD1191" i="1"/>
  <c r="AE1191" i="1"/>
  <c r="AF1191" i="1"/>
  <c r="AG1191" i="1"/>
  <c r="AH1191" i="1"/>
  <c r="AI1191" i="1"/>
  <c r="AC1192" i="1"/>
  <c r="AD1192" i="1"/>
  <c r="AE1192" i="1"/>
  <c r="AF1192" i="1"/>
  <c r="AG1192" i="1"/>
  <c r="AH1192" i="1"/>
  <c r="AI1192" i="1"/>
  <c r="AC1193" i="1"/>
  <c r="AD1193" i="1"/>
  <c r="AE1193" i="1"/>
  <c r="AF1193" i="1"/>
  <c r="AG1193" i="1"/>
  <c r="AH1193" i="1"/>
  <c r="AI1193" i="1"/>
  <c r="AC1194" i="1"/>
  <c r="AD1194" i="1"/>
  <c r="AE1194" i="1"/>
  <c r="AF1194" i="1"/>
  <c r="AG1194" i="1"/>
  <c r="AH1194" i="1"/>
  <c r="AI1194" i="1"/>
  <c r="AC1195" i="1"/>
  <c r="AD1195" i="1"/>
  <c r="AE1195" i="1"/>
  <c r="AF1195" i="1"/>
  <c r="AG1195" i="1"/>
  <c r="AH1195" i="1"/>
  <c r="AI1195" i="1"/>
  <c r="AC1196" i="1"/>
  <c r="AD1196" i="1"/>
  <c r="AE1196" i="1"/>
  <c r="AF1196" i="1"/>
  <c r="AG1196" i="1"/>
  <c r="AH1196" i="1"/>
  <c r="AI1196" i="1"/>
  <c r="AC1197" i="1"/>
  <c r="AD1197" i="1"/>
  <c r="AE1197" i="1"/>
  <c r="AF1197" i="1"/>
  <c r="AG1197" i="1"/>
  <c r="AH1197" i="1"/>
  <c r="AI1197" i="1"/>
  <c r="AC1198" i="1"/>
  <c r="AD1198" i="1"/>
  <c r="AE1198" i="1"/>
  <c r="AF1198" i="1"/>
  <c r="AG1198" i="1"/>
  <c r="AH1198" i="1"/>
  <c r="AI1198" i="1"/>
  <c r="AC1199" i="1"/>
  <c r="AD1199" i="1"/>
  <c r="AE1199" i="1"/>
  <c r="AF1199" i="1"/>
  <c r="AG1199" i="1"/>
  <c r="AH1199" i="1"/>
  <c r="AI1199" i="1"/>
  <c r="AC1200" i="1"/>
  <c r="AD1200" i="1"/>
  <c r="AE1200" i="1"/>
  <c r="AF1200" i="1"/>
  <c r="AG1200" i="1"/>
  <c r="AH1200" i="1"/>
  <c r="AI1200" i="1"/>
  <c r="AC1201" i="1"/>
  <c r="AD1201" i="1"/>
  <c r="AE1201" i="1"/>
  <c r="AF1201" i="1"/>
  <c r="AG1201" i="1"/>
  <c r="AH1201" i="1"/>
  <c r="AI1201" i="1"/>
  <c r="AC1202" i="1"/>
  <c r="AD1202" i="1"/>
  <c r="AE1202" i="1"/>
  <c r="AF1202" i="1"/>
  <c r="AG1202" i="1"/>
  <c r="AH1202" i="1"/>
  <c r="AI1202" i="1"/>
  <c r="AC1203" i="1"/>
  <c r="AD1203" i="1"/>
  <c r="AE1203" i="1"/>
  <c r="AF1203" i="1"/>
  <c r="AG1203" i="1"/>
  <c r="AH1203" i="1"/>
  <c r="AI1203" i="1"/>
  <c r="AC1204" i="1"/>
  <c r="AD1204" i="1"/>
  <c r="AE1204" i="1"/>
  <c r="AF1204" i="1"/>
  <c r="AG1204" i="1"/>
  <c r="AH1204" i="1"/>
  <c r="AI1204" i="1"/>
  <c r="AC1205" i="1"/>
  <c r="AD1205" i="1"/>
  <c r="AE1205" i="1"/>
  <c r="AF1205" i="1"/>
  <c r="AG1205" i="1"/>
  <c r="AH1205" i="1"/>
  <c r="AI1205" i="1"/>
  <c r="AC1206" i="1"/>
  <c r="AD1206" i="1"/>
  <c r="AE1206" i="1"/>
  <c r="AF1206" i="1"/>
  <c r="AG1206" i="1"/>
  <c r="AH1206" i="1"/>
  <c r="AI1206" i="1"/>
  <c r="AC1207" i="1"/>
  <c r="AD1207" i="1"/>
  <c r="AE1207" i="1"/>
  <c r="AF1207" i="1"/>
  <c r="AG1207" i="1"/>
  <c r="AH1207" i="1"/>
  <c r="AI1207" i="1"/>
  <c r="AC1208" i="1"/>
  <c r="AD1208" i="1"/>
  <c r="AE1208" i="1"/>
  <c r="AF1208" i="1"/>
  <c r="AG1208" i="1"/>
  <c r="AH1208" i="1"/>
  <c r="AI1208" i="1"/>
  <c r="AC1209" i="1"/>
  <c r="AD1209" i="1"/>
  <c r="AE1209" i="1"/>
  <c r="AF1209" i="1"/>
  <c r="AG1209" i="1"/>
  <c r="AH1209" i="1"/>
  <c r="AI1209" i="1"/>
  <c r="AC1210" i="1"/>
  <c r="AD1210" i="1"/>
  <c r="AE1210" i="1"/>
  <c r="AF1210" i="1"/>
  <c r="AG1210" i="1"/>
  <c r="AH1210" i="1"/>
  <c r="AI1210" i="1"/>
  <c r="AC1211" i="1"/>
  <c r="AD1211" i="1"/>
  <c r="AE1211" i="1"/>
  <c r="AF1211" i="1"/>
  <c r="AG1211" i="1"/>
  <c r="AH1211" i="1"/>
  <c r="AI1211" i="1"/>
  <c r="AC1212" i="1"/>
  <c r="AD1212" i="1"/>
  <c r="AE1212" i="1"/>
  <c r="AF1212" i="1"/>
  <c r="AG1212" i="1"/>
  <c r="AH1212" i="1"/>
  <c r="AI1212" i="1"/>
  <c r="AC1213" i="1"/>
  <c r="AD1213" i="1"/>
  <c r="AE1213" i="1"/>
  <c r="AF1213" i="1"/>
  <c r="AG1213" i="1"/>
  <c r="AH1213" i="1"/>
  <c r="AI1213" i="1"/>
  <c r="AC1214" i="1"/>
  <c r="AD1214" i="1"/>
  <c r="AE1214" i="1"/>
  <c r="AF1214" i="1"/>
  <c r="AG1214" i="1"/>
  <c r="AH1214" i="1"/>
  <c r="AI1214" i="1"/>
  <c r="AC1215" i="1"/>
  <c r="AD1215" i="1"/>
  <c r="AE1215" i="1"/>
  <c r="AF1215" i="1"/>
  <c r="AG1215" i="1"/>
  <c r="AH1215" i="1"/>
  <c r="AI1215" i="1"/>
  <c r="AC1216" i="1"/>
  <c r="AD1216" i="1"/>
  <c r="AE1216" i="1"/>
  <c r="AF1216" i="1"/>
  <c r="AG1216" i="1"/>
  <c r="AH1216" i="1"/>
  <c r="AI1216" i="1"/>
  <c r="AC1217" i="1"/>
  <c r="AD1217" i="1"/>
  <c r="AE1217" i="1"/>
  <c r="AF1217" i="1"/>
  <c r="AG1217" i="1"/>
  <c r="AH1217" i="1"/>
  <c r="AI1217" i="1"/>
  <c r="AC1218" i="1"/>
  <c r="AD1218" i="1"/>
  <c r="AE1218" i="1"/>
  <c r="AF1218" i="1"/>
  <c r="AG1218" i="1"/>
  <c r="AH1218" i="1"/>
  <c r="AI1218" i="1"/>
  <c r="AC1219" i="1"/>
  <c r="AD1219" i="1"/>
  <c r="AE1219" i="1"/>
  <c r="AF1219" i="1"/>
  <c r="AG1219" i="1"/>
  <c r="AH1219" i="1"/>
  <c r="AI1219" i="1"/>
  <c r="AC1220" i="1"/>
  <c r="AD1220" i="1"/>
  <c r="AE1220" i="1"/>
  <c r="AF1220" i="1"/>
  <c r="AG1220" i="1"/>
  <c r="AH1220" i="1"/>
  <c r="AI1220" i="1"/>
  <c r="AC1221" i="1"/>
  <c r="AD1221" i="1"/>
  <c r="AE1221" i="1"/>
  <c r="AF1221" i="1"/>
  <c r="AG1221" i="1"/>
  <c r="AH1221" i="1"/>
  <c r="AI1221" i="1"/>
  <c r="AC1222" i="1"/>
  <c r="AD1222" i="1"/>
  <c r="AE1222" i="1"/>
  <c r="AF1222" i="1"/>
  <c r="AG1222" i="1"/>
  <c r="AH1222" i="1"/>
  <c r="AI1222" i="1"/>
  <c r="AC1223" i="1"/>
  <c r="AD1223" i="1"/>
  <c r="AE1223" i="1"/>
  <c r="AF1223" i="1"/>
  <c r="AG1223" i="1"/>
  <c r="AH1223" i="1"/>
  <c r="AI1223" i="1"/>
  <c r="AC1224" i="1"/>
  <c r="AD1224" i="1"/>
  <c r="AE1224" i="1"/>
  <c r="AF1224" i="1"/>
  <c r="AG1224" i="1"/>
  <c r="AH1224" i="1"/>
  <c r="AI1224" i="1"/>
  <c r="AC1225" i="1"/>
  <c r="AD1225" i="1"/>
  <c r="AE1225" i="1"/>
  <c r="AF1225" i="1"/>
  <c r="AG1225" i="1"/>
  <c r="AH1225" i="1"/>
  <c r="AI1225" i="1"/>
  <c r="AC1226" i="1"/>
  <c r="AD1226" i="1"/>
  <c r="AE1226" i="1"/>
  <c r="AF1226" i="1"/>
  <c r="AG1226" i="1"/>
  <c r="AH1226" i="1"/>
  <c r="AI1226" i="1"/>
  <c r="AC1227" i="1"/>
  <c r="AD1227" i="1"/>
  <c r="AE1227" i="1"/>
  <c r="AF1227" i="1"/>
  <c r="AG1227" i="1"/>
  <c r="AH1227" i="1"/>
  <c r="AI1227" i="1"/>
  <c r="AC1228" i="1"/>
  <c r="AD1228" i="1"/>
  <c r="AE1228" i="1"/>
  <c r="AF1228" i="1"/>
  <c r="AG1228" i="1"/>
  <c r="AH1228" i="1"/>
  <c r="AI1228" i="1"/>
  <c r="AC1229" i="1"/>
  <c r="AD1229" i="1"/>
  <c r="AE1229" i="1"/>
  <c r="AF1229" i="1"/>
  <c r="AG1229" i="1"/>
  <c r="AH1229" i="1"/>
  <c r="AI1229" i="1"/>
  <c r="AC1230" i="1"/>
  <c r="AD1230" i="1"/>
  <c r="AE1230" i="1"/>
  <c r="AF1230" i="1"/>
  <c r="AG1230" i="1"/>
  <c r="AH1230" i="1"/>
  <c r="AI1230" i="1"/>
  <c r="AC1231" i="1"/>
  <c r="AD1231" i="1"/>
  <c r="AE1231" i="1"/>
  <c r="AF1231" i="1"/>
  <c r="AG1231" i="1"/>
  <c r="AH1231" i="1"/>
  <c r="AI1231" i="1"/>
  <c r="AC1232" i="1"/>
  <c r="AD1232" i="1"/>
  <c r="AE1232" i="1"/>
  <c r="AF1232" i="1"/>
  <c r="AG1232" i="1"/>
  <c r="AH1232" i="1"/>
  <c r="AI1232" i="1"/>
  <c r="AC1233" i="1"/>
  <c r="AD1233" i="1"/>
  <c r="AE1233" i="1"/>
  <c r="AF1233" i="1"/>
  <c r="AG1233" i="1"/>
  <c r="AH1233" i="1"/>
  <c r="AI1233" i="1"/>
  <c r="AC1234" i="1"/>
  <c r="AD1234" i="1"/>
  <c r="AE1234" i="1"/>
  <c r="AF1234" i="1"/>
  <c r="AG1234" i="1"/>
  <c r="AH1234" i="1"/>
  <c r="AI1234" i="1"/>
  <c r="AC1235" i="1"/>
  <c r="AD1235" i="1"/>
  <c r="AE1235" i="1"/>
  <c r="AF1235" i="1"/>
  <c r="AG1235" i="1"/>
  <c r="AH1235" i="1"/>
  <c r="AI1235" i="1"/>
  <c r="AC1236" i="1"/>
  <c r="AD1236" i="1"/>
  <c r="AE1236" i="1"/>
  <c r="AF1236" i="1"/>
  <c r="AG1236" i="1"/>
  <c r="AH1236" i="1"/>
  <c r="AI1236" i="1"/>
  <c r="AC1237" i="1"/>
  <c r="AD1237" i="1"/>
  <c r="AE1237" i="1"/>
  <c r="AF1237" i="1"/>
  <c r="AG1237" i="1"/>
  <c r="AH1237" i="1"/>
  <c r="AI1237" i="1"/>
  <c r="AC1238" i="1"/>
  <c r="AD1238" i="1"/>
  <c r="AE1238" i="1"/>
  <c r="AF1238" i="1"/>
  <c r="AG1238" i="1"/>
  <c r="AH1238" i="1"/>
  <c r="AI1238" i="1"/>
  <c r="AC1239" i="1"/>
  <c r="AD1239" i="1"/>
  <c r="AE1239" i="1"/>
  <c r="AF1239" i="1"/>
  <c r="AG1239" i="1"/>
  <c r="AH1239" i="1"/>
  <c r="AI1239" i="1"/>
  <c r="AC1240" i="1"/>
  <c r="AD1240" i="1"/>
  <c r="AE1240" i="1"/>
  <c r="AF1240" i="1"/>
  <c r="AG1240" i="1"/>
  <c r="AH1240" i="1"/>
  <c r="AI1240" i="1"/>
  <c r="AC1241" i="1"/>
  <c r="AD1241" i="1"/>
  <c r="AE1241" i="1"/>
  <c r="AF1241" i="1"/>
  <c r="AG1241" i="1"/>
  <c r="AH1241" i="1"/>
  <c r="AI1241" i="1"/>
  <c r="AC1242" i="1"/>
  <c r="AD1242" i="1"/>
  <c r="AE1242" i="1"/>
  <c r="AF1242" i="1"/>
  <c r="AG1242" i="1"/>
  <c r="AH1242" i="1"/>
  <c r="AI1242" i="1"/>
  <c r="AC1243" i="1"/>
  <c r="AD1243" i="1"/>
  <c r="AE1243" i="1"/>
  <c r="AF1243" i="1"/>
  <c r="AG1243" i="1"/>
  <c r="AH1243" i="1"/>
  <c r="AI1243" i="1"/>
  <c r="AC1244" i="1"/>
  <c r="AD1244" i="1"/>
  <c r="AE1244" i="1"/>
  <c r="AF1244" i="1"/>
  <c r="AG1244" i="1"/>
  <c r="AH1244" i="1"/>
  <c r="AI1244" i="1"/>
  <c r="AC1245" i="1"/>
  <c r="AD1245" i="1"/>
  <c r="AE1245" i="1"/>
  <c r="AF1245" i="1"/>
  <c r="AG1245" i="1"/>
  <c r="AH1245" i="1"/>
  <c r="AI1245" i="1"/>
  <c r="AC1246" i="1"/>
  <c r="AD1246" i="1"/>
  <c r="AE1246" i="1"/>
  <c r="AF1246" i="1"/>
  <c r="AG1246" i="1"/>
  <c r="AH1246" i="1"/>
  <c r="AI1246" i="1"/>
  <c r="AC1247" i="1"/>
  <c r="AD1247" i="1"/>
  <c r="AE1247" i="1"/>
  <c r="AF1247" i="1"/>
  <c r="AG1247" i="1"/>
  <c r="AH1247" i="1"/>
  <c r="AI1247" i="1"/>
  <c r="AC1248" i="1"/>
  <c r="AD1248" i="1"/>
  <c r="AE1248" i="1"/>
  <c r="AF1248" i="1"/>
  <c r="AG1248" i="1"/>
  <c r="AH1248" i="1"/>
  <c r="AI1248" i="1"/>
  <c r="AC1249" i="1"/>
  <c r="AD1249" i="1"/>
  <c r="AE1249" i="1"/>
  <c r="AF1249" i="1"/>
  <c r="AG1249" i="1"/>
  <c r="AH1249" i="1"/>
  <c r="AI1249" i="1"/>
  <c r="AC1250" i="1"/>
  <c r="AD1250" i="1"/>
  <c r="AE1250" i="1"/>
  <c r="AF1250" i="1"/>
  <c r="AG1250" i="1"/>
  <c r="AH1250" i="1"/>
  <c r="AI1250" i="1"/>
  <c r="AC1251" i="1"/>
  <c r="AD1251" i="1"/>
  <c r="AE1251" i="1"/>
  <c r="AF1251" i="1"/>
  <c r="AG1251" i="1"/>
  <c r="AH1251" i="1"/>
  <c r="AI1251" i="1"/>
  <c r="AC1252" i="1"/>
  <c r="AD1252" i="1"/>
  <c r="AE1252" i="1"/>
  <c r="AF1252" i="1"/>
  <c r="AG1252" i="1"/>
  <c r="AH1252" i="1"/>
  <c r="AI1252" i="1"/>
  <c r="AC1253" i="1"/>
  <c r="AD1253" i="1"/>
  <c r="AE1253" i="1"/>
  <c r="AF1253" i="1"/>
  <c r="AG1253" i="1"/>
  <c r="AH1253" i="1"/>
  <c r="AI1253" i="1"/>
  <c r="AC1254" i="1"/>
  <c r="AD1254" i="1"/>
  <c r="AE1254" i="1"/>
  <c r="AF1254" i="1"/>
  <c r="AG1254" i="1"/>
  <c r="AH1254" i="1"/>
  <c r="AI1254" i="1"/>
  <c r="AC1255" i="1"/>
  <c r="AD1255" i="1"/>
  <c r="AE1255" i="1"/>
  <c r="AF1255" i="1"/>
  <c r="AG1255" i="1"/>
  <c r="AH1255" i="1"/>
  <c r="AI1255" i="1"/>
  <c r="AC1256" i="1"/>
  <c r="AD1256" i="1"/>
  <c r="AE1256" i="1"/>
  <c r="AF1256" i="1"/>
  <c r="AG1256" i="1"/>
  <c r="AH1256" i="1"/>
  <c r="AI1256" i="1"/>
  <c r="AC1257" i="1"/>
  <c r="AD1257" i="1"/>
  <c r="AE1257" i="1"/>
  <c r="AF1257" i="1"/>
  <c r="AG1257" i="1"/>
  <c r="AH1257" i="1"/>
  <c r="AI1257" i="1"/>
  <c r="AC1258" i="1"/>
  <c r="AD1258" i="1"/>
  <c r="AE1258" i="1"/>
  <c r="AF1258" i="1"/>
  <c r="AG1258" i="1"/>
  <c r="AH1258" i="1"/>
  <c r="AI1258" i="1"/>
  <c r="AC1259" i="1"/>
  <c r="AD1259" i="1"/>
  <c r="AE1259" i="1"/>
  <c r="AF1259" i="1"/>
  <c r="AG1259" i="1"/>
  <c r="AH1259" i="1"/>
  <c r="AI1259" i="1"/>
  <c r="AC1260" i="1"/>
  <c r="AD1260" i="1"/>
  <c r="AE1260" i="1"/>
  <c r="AF1260" i="1"/>
  <c r="AG1260" i="1"/>
  <c r="AH1260" i="1"/>
  <c r="AI1260" i="1"/>
  <c r="AC1261" i="1"/>
  <c r="AD1261" i="1"/>
  <c r="AE1261" i="1"/>
  <c r="AF1261" i="1"/>
  <c r="AG1261" i="1"/>
  <c r="AH1261" i="1"/>
  <c r="AI1261" i="1"/>
  <c r="AC1262" i="1"/>
  <c r="AD1262" i="1"/>
  <c r="AE1262" i="1"/>
  <c r="AF1262" i="1"/>
  <c r="AG1262" i="1"/>
  <c r="AH1262" i="1"/>
  <c r="AI1262" i="1"/>
  <c r="AC1263" i="1"/>
  <c r="AD1263" i="1"/>
  <c r="AE1263" i="1"/>
  <c r="AF1263" i="1"/>
  <c r="AG1263" i="1"/>
  <c r="AH1263" i="1"/>
  <c r="AI1263" i="1"/>
  <c r="AC1264" i="1"/>
  <c r="AD1264" i="1"/>
  <c r="AE1264" i="1"/>
  <c r="AF1264" i="1"/>
  <c r="AG1264" i="1"/>
  <c r="AH1264" i="1"/>
  <c r="AI1264" i="1"/>
  <c r="AC1265" i="1"/>
  <c r="AD1265" i="1"/>
  <c r="AE1265" i="1"/>
  <c r="AF1265" i="1"/>
  <c r="AG1265" i="1"/>
  <c r="AH1265" i="1"/>
  <c r="AI1265" i="1"/>
  <c r="AC1266" i="1"/>
  <c r="AD1266" i="1"/>
  <c r="AE1266" i="1"/>
  <c r="AF1266" i="1"/>
  <c r="AG1266" i="1"/>
  <c r="AH1266" i="1"/>
  <c r="AI1266" i="1"/>
  <c r="AC1267" i="1"/>
  <c r="AD1267" i="1"/>
  <c r="AE1267" i="1"/>
  <c r="AF1267" i="1"/>
  <c r="AG1267" i="1"/>
  <c r="AH1267" i="1"/>
  <c r="AI1267" i="1"/>
  <c r="AC1268" i="1"/>
  <c r="AD1268" i="1"/>
  <c r="AE1268" i="1"/>
  <c r="AF1268" i="1"/>
  <c r="AG1268" i="1"/>
  <c r="AH1268" i="1"/>
  <c r="AI1268" i="1"/>
  <c r="AC1269" i="1"/>
  <c r="AD1269" i="1"/>
  <c r="AE1269" i="1"/>
  <c r="AF1269" i="1"/>
  <c r="AG1269" i="1"/>
  <c r="AH1269" i="1"/>
  <c r="AI1269" i="1"/>
  <c r="AC1270" i="1"/>
  <c r="AD1270" i="1"/>
  <c r="AE1270" i="1"/>
  <c r="AF1270" i="1"/>
  <c r="AG1270" i="1"/>
  <c r="AH1270" i="1"/>
  <c r="AI1270" i="1"/>
  <c r="AC1271" i="1"/>
  <c r="AD1271" i="1"/>
  <c r="AE1271" i="1"/>
  <c r="AF1271" i="1"/>
  <c r="AG1271" i="1"/>
  <c r="AH1271" i="1"/>
  <c r="AI1271" i="1"/>
  <c r="AC1272" i="1"/>
  <c r="AD1272" i="1"/>
  <c r="AE1272" i="1"/>
  <c r="AF1272" i="1"/>
  <c r="AG1272" i="1"/>
  <c r="AH1272" i="1"/>
  <c r="AI1272" i="1"/>
  <c r="AC1273" i="1"/>
  <c r="AD1273" i="1"/>
  <c r="AE1273" i="1"/>
  <c r="AF1273" i="1"/>
  <c r="AG1273" i="1"/>
  <c r="AH1273" i="1"/>
  <c r="AI1273" i="1"/>
  <c r="AC1274" i="1"/>
  <c r="AD1274" i="1"/>
  <c r="AE1274" i="1"/>
  <c r="AF1274" i="1"/>
  <c r="AG1274" i="1"/>
  <c r="AH1274" i="1"/>
  <c r="AI1274" i="1"/>
  <c r="AC1275" i="1"/>
  <c r="AD1275" i="1"/>
  <c r="AE1275" i="1"/>
  <c r="AF1275" i="1"/>
  <c r="AG1275" i="1"/>
  <c r="AH1275" i="1"/>
  <c r="AI1275" i="1"/>
  <c r="AC1276" i="1"/>
  <c r="AD1276" i="1"/>
  <c r="AE1276" i="1"/>
  <c r="AF1276" i="1"/>
  <c r="AG1276" i="1"/>
  <c r="AH1276" i="1"/>
  <c r="AI1276" i="1"/>
  <c r="AC1277" i="1"/>
  <c r="AD1277" i="1"/>
  <c r="AE1277" i="1"/>
  <c r="AF1277" i="1"/>
  <c r="AG1277" i="1"/>
  <c r="AH1277" i="1"/>
  <c r="AI1277" i="1"/>
  <c r="AC1278" i="1"/>
  <c r="AD1278" i="1"/>
  <c r="AE1278" i="1"/>
  <c r="AF1278" i="1"/>
  <c r="AG1278" i="1"/>
  <c r="AH1278" i="1"/>
  <c r="AI1278" i="1"/>
  <c r="AC1279" i="1"/>
  <c r="AD1279" i="1"/>
  <c r="AE1279" i="1"/>
  <c r="AF1279" i="1"/>
  <c r="AG1279" i="1"/>
  <c r="AH1279" i="1"/>
  <c r="AI1279" i="1"/>
  <c r="AC1280" i="1"/>
  <c r="AD1280" i="1"/>
  <c r="AE1280" i="1"/>
  <c r="AF1280" i="1"/>
  <c r="AG1280" i="1"/>
  <c r="AH1280" i="1"/>
  <c r="AI1280" i="1"/>
  <c r="AC1281" i="1"/>
  <c r="AD1281" i="1"/>
  <c r="AE1281" i="1"/>
  <c r="AF1281" i="1"/>
  <c r="AG1281" i="1"/>
  <c r="AH1281" i="1"/>
  <c r="AI1281" i="1"/>
  <c r="AC1282" i="1"/>
  <c r="AD1282" i="1"/>
  <c r="AE1282" i="1"/>
  <c r="AF1282" i="1"/>
  <c r="AG1282" i="1"/>
  <c r="AH1282" i="1"/>
  <c r="AI1282" i="1"/>
  <c r="AC1283" i="1"/>
  <c r="AD1283" i="1"/>
  <c r="AE1283" i="1"/>
  <c r="AF1283" i="1"/>
  <c r="AG1283" i="1"/>
  <c r="AH1283" i="1"/>
  <c r="AI1283" i="1"/>
  <c r="AC1284" i="1"/>
  <c r="AD1284" i="1"/>
  <c r="AE1284" i="1"/>
  <c r="AF1284" i="1"/>
  <c r="AG1284" i="1"/>
  <c r="AH1284" i="1"/>
  <c r="AI1284" i="1"/>
  <c r="AC1285" i="1"/>
  <c r="AD1285" i="1"/>
  <c r="AE1285" i="1"/>
  <c r="AF1285" i="1"/>
  <c r="AG1285" i="1"/>
  <c r="AH1285" i="1"/>
  <c r="AI1285" i="1"/>
  <c r="AC1286" i="1"/>
  <c r="AD1286" i="1"/>
  <c r="AE1286" i="1"/>
  <c r="AF1286" i="1"/>
  <c r="AG1286" i="1"/>
  <c r="AH1286" i="1"/>
  <c r="AI1286" i="1"/>
  <c r="AC1287" i="1"/>
  <c r="AD1287" i="1"/>
  <c r="AE1287" i="1"/>
  <c r="AF1287" i="1"/>
  <c r="AG1287" i="1"/>
  <c r="AH1287" i="1"/>
  <c r="AI1287" i="1"/>
  <c r="AC1288" i="1"/>
  <c r="AD1288" i="1"/>
  <c r="AE1288" i="1"/>
  <c r="AF1288" i="1"/>
  <c r="AG1288" i="1"/>
  <c r="AH1288" i="1"/>
  <c r="AI1288" i="1"/>
  <c r="AC1289" i="1"/>
  <c r="AD1289" i="1"/>
  <c r="AE1289" i="1"/>
  <c r="AF1289" i="1"/>
  <c r="AG1289" i="1"/>
  <c r="AH1289" i="1"/>
  <c r="AI1289" i="1"/>
  <c r="AC1290" i="1"/>
  <c r="AD1290" i="1"/>
  <c r="AE1290" i="1"/>
  <c r="AF1290" i="1"/>
  <c r="AG1290" i="1"/>
  <c r="AH1290" i="1"/>
  <c r="AI1290" i="1"/>
  <c r="AC1291" i="1"/>
  <c r="AD1291" i="1"/>
  <c r="AE1291" i="1"/>
  <c r="AF1291" i="1"/>
  <c r="AG1291" i="1"/>
  <c r="AH1291" i="1"/>
  <c r="AI1291" i="1"/>
  <c r="AC1292" i="1"/>
  <c r="AD1292" i="1"/>
  <c r="AE1292" i="1"/>
  <c r="AF1292" i="1"/>
  <c r="AG1292" i="1"/>
  <c r="AH1292" i="1"/>
  <c r="AI1292" i="1"/>
  <c r="AC1293" i="1"/>
  <c r="AD1293" i="1"/>
  <c r="AE1293" i="1"/>
  <c r="AF1293" i="1"/>
  <c r="AG1293" i="1"/>
  <c r="AH1293" i="1"/>
  <c r="AI1293" i="1"/>
  <c r="AC1294" i="1"/>
  <c r="AD1294" i="1"/>
  <c r="AE1294" i="1"/>
  <c r="AF1294" i="1"/>
  <c r="AG1294" i="1"/>
  <c r="AH1294" i="1"/>
  <c r="AI1294" i="1"/>
  <c r="AC1295" i="1"/>
  <c r="AD1295" i="1"/>
  <c r="AE1295" i="1"/>
  <c r="AF1295" i="1"/>
  <c r="AG1295" i="1"/>
  <c r="AH1295" i="1"/>
  <c r="AI1295" i="1"/>
  <c r="AC1296" i="1"/>
  <c r="AD1296" i="1"/>
  <c r="AE1296" i="1"/>
  <c r="AF1296" i="1"/>
  <c r="AG1296" i="1"/>
  <c r="AH1296" i="1"/>
  <c r="AI1296" i="1"/>
  <c r="AC1297" i="1"/>
  <c r="AD1297" i="1"/>
  <c r="AE1297" i="1"/>
  <c r="AF1297" i="1"/>
  <c r="AG1297" i="1"/>
  <c r="AH1297" i="1"/>
  <c r="AI1297" i="1"/>
  <c r="AC1298" i="1"/>
  <c r="AD1298" i="1"/>
  <c r="AE1298" i="1"/>
  <c r="AF1298" i="1"/>
  <c r="AG1298" i="1"/>
  <c r="AH1298" i="1"/>
  <c r="AI1298" i="1"/>
  <c r="AC1299" i="1"/>
  <c r="AD1299" i="1"/>
  <c r="AE1299" i="1"/>
  <c r="AF1299" i="1"/>
  <c r="AG1299" i="1"/>
  <c r="AH1299" i="1"/>
  <c r="AI1299" i="1"/>
  <c r="AC1300" i="1"/>
  <c r="AD1300" i="1"/>
  <c r="AE1300" i="1"/>
  <c r="AF1300" i="1"/>
  <c r="AG1300" i="1"/>
  <c r="AH1300" i="1"/>
  <c r="AI1300" i="1"/>
  <c r="AC1301" i="1"/>
  <c r="AD1301" i="1"/>
  <c r="AE1301" i="1"/>
  <c r="AF1301" i="1"/>
  <c r="AG1301" i="1"/>
  <c r="AH1301" i="1"/>
  <c r="AI1301" i="1"/>
  <c r="AC1302" i="1"/>
  <c r="AD1302" i="1"/>
  <c r="AE1302" i="1"/>
  <c r="AF1302" i="1"/>
  <c r="AG1302" i="1"/>
  <c r="AH1302" i="1"/>
  <c r="AI1302" i="1"/>
  <c r="AC1303" i="1"/>
  <c r="AD1303" i="1"/>
  <c r="AE1303" i="1"/>
  <c r="AF1303" i="1"/>
  <c r="AG1303" i="1"/>
  <c r="AH1303" i="1"/>
  <c r="AI1303" i="1"/>
  <c r="AC1304" i="1"/>
  <c r="AD1304" i="1"/>
  <c r="AE1304" i="1"/>
  <c r="AF1304" i="1"/>
  <c r="AG1304" i="1"/>
  <c r="AH1304" i="1"/>
  <c r="AI1304" i="1"/>
  <c r="AC1305" i="1"/>
  <c r="AD1305" i="1"/>
  <c r="AE1305" i="1"/>
  <c r="AF1305" i="1"/>
  <c r="AG1305" i="1"/>
  <c r="AH1305" i="1"/>
  <c r="AI1305" i="1"/>
  <c r="AC1306" i="1"/>
  <c r="AD1306" i="1"/>
  <c r="AE1306" i="1"/>
  <c r="AF1306" i="1"/>
  <c r="AG1306" i="1"/>
  <c r="AH1306" i="1"/>
  <c r="AI1306" i="1"/>
  <c r="AC1307" i="1"/>
  <c r="AD1307" i="1"/>
  <c r="AE1307" i="1"/>
  <c r="AF1307" i="1"/>
  <c r="AG1307" i="1"/>
  <c r="AH1307" i="1"/>
  <c r="AI1307" i="1"/>
  <c r="AC1308" i="1"/>
  <c r="AD1308" i="1"/>
  <c r="AE1308" i="1"/>
  <c r="AF1308" i="1"/>
  <c r="AG1308" i="1"/>
  <c r="AH1308" i="1"/>
  <c r="AI1308" i="1"/>
  <c r="AC1309" i="1"/>
  <c r="AD1309" i="1"/>
  <c r="AE1309" i="1"/>
  <c r="AF1309" i="1"/>
  <c r="AG1309" i="1"/>
  <c r="AH1309" i="1"/>
  <c r="AI1309" i="1"/>
  <c r="AC1310" i="1"/>
  <c r="AD1310" i="1"/>
  <c r="AE1310" i="1"/>
  <c r="AF1310" i="1"/>
  <c r="AG1310" i="1"/>
  <c r="AH1310" i="1"/>
  <c r="AI1310" i="1"/>
  <c r="AC1311" i="1"/>
  <c r="AD1311" i="1"/>
  <c r="AE1311" i="1"/>
  <c r="AF1311" i="1"/>
  <c r="AG1311" i="1"/>
  <c r="AH1311" i="1"/>
  <c r="AI1311" i="1"/>
  <c r="AC1312" i="1"/>
  <c r="AD1312" i="1"/>
  <c r="AE1312" i="1"/>
  <c r="AF1312" i="1"/>
  <c r="AG1312" i="1"/>
  <c r="AH1312" i="1"/>
  <c r="AI1312" i="1"/>
  <c r="AC1313" i="1"/>
  <c r="AD1313" i="1"/>
  <c r="AE1313" i="1"/>
  <c r="AF1313" i="1"/>
  <c r="AG1313" i="1"/>
  <c r="AH1313" i="1"/>
  <c r="AI1313" i="1"/>
  <c r="AC1314" i="1"/>
  <c r="AD1314" i="1"/>
  <c r="AE1314" i="1"/>
  <c r="AF1314" i="1"/>
  <c r="AG1314" i="1"/>
  <c r="AH1314" i="1"/>
  <c r="AI1314" i="1"/>
  <c r="AC1315" i="1"/>
  <c r="AD1315" i="1"/>
  <c r="AE1315" i="1"/>
  <c r="AF1315" i="1"/>
  <c r="AG1315" i="1"/>
  <c r="AH1315" i="1"/>
  <c r="AI1315" i="1"/>
  <c r="AC1316" i="1"/>
  <c r="AD1316" i="1"/>
  <c r="AE1316" i="1"/>
  <c r="AF1316" i="1"/>
  <c r="AG1316" i="1"/>
  <c r="AH1316" i="1"/>
  <c r="AI1316" i="1"/>
  <c r="AC1317" i="1"/>
  <c r="AD1317" i="1"/>
  <c r="AE1317" i="1"/>
  <c r="AF1317" i="1"/>
  <c r="AG1317" i="1"/>
  <c r="AH1317" i="1"/>
  <c r="AI1317" i="1"/>
  <c r="AC1318" i="1"/>
  <c r="AD1318" i="1"/>
  <c r="AE1318" i="1"/>
  <c r="AF1318" i="1"/>
  <c r="AG1318" i="1"/>
  <c r="AH1318" i="1"/>
  <c r="AI1318" i="1"/>
  <c r="AC1319" i="1"/>
  <c r="AD1319" i="1"/>
  <c r="AE1319" i="1"/>
  <c r="AF1319" i="1"/>
  <c r="AG1319" i="1"/>
  <c r="AH1319" i="1"/>
  <c r="AI1319" i="1"/>
  <c r="AC1320" i="1"/>
  <c r="AD1320" i="1"/>
  <c r="AE1320" i="1"/>
  <c r="AF1320" i="1"/>
  <c r="AG1320" i="1"/>
  <c r="AH1320" i="1"/>
  <c r="AI1320" i="1"/>
  <c r="AC1321" i="1"/>
  <c r="AD1321" i="1"/>
  <c r="AE1321" i="1"/>
  <c r="AF1321" i="1"/>
  <c r="AG1321" i="1"/>
  <c r="AH1321" i="1"/>
  <c r="AI1321" i="1"/>
  <c r="AC1322" i="1"/>
  <c r="AD1322" i="1"/>
  <c r="AE1322" i="1"/>
  <c r="AF1322" i="1"/>
  <c r="AG1322" i="1"/>
  <c r="AH1322" i="1"/>
  <c r="AI1322" i="1"/>
  <c r="AC1323" i="1"/>
  <c r="AD1323" i="1"/>
  <c r="AE1323" i="1"/>
  <c r="AF1323" i="1"/>
  <c r="AG1323" i="1"/>
  <c r="AH1323" i="1"/>
  <c r="AI1323" i="1"/>
  <c r="AC1324" i="1"/>
  <c r="AD1324" i="1"/>
  <c r="AE1324" i="1"/>
  <c r="AF1324" i="1"/>
  <c r="AG1324" i="1"/>
  <c r="AH1324" i="1"/>
  <c r="AI1324" i="1"/>
  <c r="AC1325" i="1"/>
  <c r="AD1325" i="1"/>
  <c r="AE1325" i="1"/>
  <c r="AF1325" i="1"/>
  <c r="AG1325" i="1"/>
  <c r="AH1325" i="1"/>
  <c r="AI1325" i="1"/>
  <c r="AC1326" i="1"/>
  <c r="AD1326" i="1"/>
  <c r="AE1326" i="1"/>
  <c r="AF1326" i="1"/>
  <c r="AG1326" i="1"/>
  <c r="AH1326" i="1"/>
  <c r="AI1326" i="1"/>
  <c r="AC1327" i="1"/>
  <c r="AD1327" i="1"/>
  <c r="AE1327" i="1"/>
  <c r="AF1327" i="1"/>
  <c r="AG1327" i="1"/>
  <c r="AH1327" i="1"/>
  <c r="AI1327" i="1"/>
  <c r="AC1328" i="1"/>
  <c r="AD1328" i="1"/>
  <c r="AE1328" i="1"/>
  <c r="AF1328" i="1"/>
  <c r="AG1328" i="1"/>
  <c r="AH1328" i="1"/>
  <c r="AI1328" i="1"/>
  <c r="AC1329" i="1"/>
  <c r="AD1329" i="1"/>
  <c r="AE1329" i="1"/>
  <c r="AF1329" i="1"/>
  <c r="AG1329" i="1"/>
  <c r="AH1329" i="1"/>
  <c r="AI1329" i="1"/>
  <c r="AC1330" i="1"/>
  <c r="AD1330" i="1"/>
  <c r="AE1330" i="1"/>
  <c r="AF1330" i="1"/>
  <c r="AG1330" i="1"/>
  <c r="AH1330" i="1"/>
  <c r="AI1330" i="1"/>
  <c r="AC1331" i="1"/>
  <c r="AD1331" i="1"/>
  <c r="AE1331" i="1"/>
  <c r="AF1331" i="1"/>
  <c r="AG1331" i="1"/>
  <c r="AH1331" i="1"/>
  <c r="AI1331" i="1"/>
  <c r="AC1332" i="1"/>
  <c r="AD1332" i="1"/>
  <c r="AE1332" i="1"/>
  <c r="AF1332" i="1"/>
  <c r="AG1332" i="1"/>
  <c r="AH1332" i="1"/>
  <c r="AI1332" i="1"/>
  <c r="AC1333" i="1"/>
  <c r="AD1333" i="1"/>
  <c r="AE1333" i="1"/>
  <c r="AF1333" i="1"/>
  <c r="AG1333" i="1"/>
  <c r="AH1333" i="1"/>
  <c r="AI1333" i="1"/>
  <c r="AC1334" i="1"/>
  <c r="AD1334" i="1"/>
  <c r="AE1334" i="1"/>
  <c r="AF1334" i="1"/>
  <c r="AG1334" i="1"/>
  <c r="AH1334" i="1"/>
  <c r="AI1334" i="1"/>
  <c r="AC1335" i="1"/>
  <c r="AD1335" i="1"/>
  <c r="AE1335" i="1"/>
  <c r="AF1335" i="1"/>
  <c r="AG1335" i="1"/>
  <c r="AH1335" i="1"/>
  <c r="AI1335" i="1"/>
  <c r="AC1336" i="1"/>
  <c r="AD1336" i="1"/>
  <c r="AE1336" i="1"/>
  <c r="AF1336" i="1"/>
  <c r="AG1336" i="1"/>
  <c r="AH1336" i="1"/>
  <c r="AI1336" i="1"/>
  <c r="AC1337" i="1"/>
  <c r="AD1337" i="1"/>
  <c r="AE1337" i="1"/>
  <c r="AF1337" i="1"/>
  <c r="AG1337" i="1"/>
  <c r="AH1337" i="1"/>
  <c r="AI1337" i="1"/>
  <c r="AC1338" i="1"/>
  <c r="AD1338" i="1"/>
  <c r="AE1338" i="1"/>
  <c r="AF1338" i="1"/>
  <c r="AG1338" i="1"/>
  <c r="AH1338" i="1"/>
  <c r="AI1338" i="1"/>
  <c r="AC1339" i="1"/>
  <c r="AD1339" i="1"/>
  <c r="AE1339" i="1"/>
  <c r="AF1339" i="1"/>
  <c r="AG1339" i="1"/>
  <c r="AH1339" i="1"/>
  <c r="AI1339" i="1"/>
  <c r="AC1340" i="1"/>
  <c r="AD1340" i="1"/>
  <c r="AE1340" i="1"/>
  <c r="AF1340" i="1"/>
  <c r="AG1340" i="1"/>
  <c r="AH1340" i="1"/>
  <c r="AI1340" i="1"/>
  <c r="AC1341" i="1"/>
  <c r="AD1341" i="1"/>
  <c r="AE1341" i="1"/>
  <c r="AF1341" i="1"/>
  <c r="AG1341" i="1"/>
  <c r="AH1341" i="1"/>
  <c r="AI1341" i="1"/>
  <c r="AC1342" i="1"/>
  <c r="AD1342" i="1"/>
  <c r="AE1342" i="1"/>
  <c r="AF1342" i="1"/>
  <c r="AG1342" i="1"/>
  <c r="AH1342" i="1"/>
  <c r="AI1342" i="1"/>
  <c r="AC1343" i="1"/>
  <c r="AD1343" i="1"/>
  <c r="AE1343" i="1"/>
  <c r="AF1343" i="1"/>
  <c r="AG1343" i="1"/>
  <c r="AH1343" i="1"/>
  <c r="AI1343" i="1"/>
  <c r="AC1344" i="1"/>
  <c r="AD1344" i="1"/>
  <c r="AE1344" i="1"/>
  <c r="AF1344" i="1"/>
  <c r="AG1344" i="1"/>
  <c r="AH1344" i="1"/>
  <c r="AI1344" i="1"/>
  <c r="AC1345" i="1"/>
  <c r="AD1345" i="1"/>
  <c r="AE1345" i="1"/>
  <c r="AF1345" i="1"/>
  <c r="AG1345" i="1"/>
  <c r="AH1345" i="1"/>
  <c r="AI1345" i="1"/>
  <c r="AC1346" i="1"/>
  <c r="AD1346" i="1"/>
  <c r="AE1346" i="1"/>
  <c r="AF1346" i="1"/>
  <c r="AG1346" i="1"/>
  <c r="AH1346" i="1"/>
  <c r="AI1346" i="1"/>
  <c r="AC1347" i="1"/>
  <c r="AD1347" i="1"/>
  <c r="AE1347" i="1"/>
  <c r="AF1347" i="1"/>
  <c r="AG1347" i="1"/>
  <c r="AH1347" i="1"/>
  <c r="AI1347" i="1"/>
  <c r="AC1348" i="1"/>
  <c r="AD1348" i="1"/>
  <c r="AE1348" i="1"/>
  <c r="AF1348" i="1"/>
  <c r="AG1348" i="1"/>
  <c r="AH1348" i="1"/>
  <c r="AI1348" i="1"/>
  <c r="AC1349" i="1"/>
  <c r="AD1349" i="1"/>
  <c r="AE1349" i="1"/>
  <c r="AF1349" i="1"/>
  <c r="AG1349" i="1"/>
  <c r="AH1349" i="1"/>
  <c r="AI1349" i="1"/>
  <c r="AC1350" i="1"/>
  <c r="AD1350" i="1"/>
  <c r="AE1350" i="1"/>
  <c r="AF1350" i="1"/>
  <c r="AG1350" i="1"/>
  <c r="AH1350" i="1"/>
  <c r="AI1350" i="1"/>
  <c r="AC1351" i="1"/>
  <c r="AD1351" i="1"/>
  <c r="AE1351" i="1"/>
  <c r="AF1351" i="1"/>
  <c r="AG1351" i="1"/>
  <c r="AH1351" i="1"/>
  <c r="AI1351" i="1"/>
  <c r="AC1352" i="1"/>
  <c r="AD1352" i="1"/>
  <c r="AE1352" i="1"/>
  <c r="AF1352" i="1"/>
  <c r="AG1352" i="1"/>
  <c r="AH1352" i="1"/>
  <c r="AI1352" i="1"/>
  <c r="AC1353" i="1"/>
  <c r="AD1353" i="1"/>
  <c r="AE1353" i="1"/>
  <c r="AF1353" i="1"/>
  <c r="AG1353" i="1"/>
  <c r="AH1353" i="1"/>
  <c r="AI1353" i="1"/>
  <c r="AC1354" i="1"/>
  <c r="AD1354" i="1"/>
  <c r="AE1354" i="1"/>
  <c r="AF1354" i="1"/>
  <c r="AG1354" i="1"/>
  <c r="AH1354" i="1"/>
  <c r="AI1354" i="1"/>
  <c r="AC1355" i="1"/>
  <c r="AD1355" i="1"/>
  <c r="AE1355" i="1"/>
  <c r="AF1355" i="1"/>
  <c r="AG1355" i="1"/>
  <c r="AH1355" i="1"/>
  <c r="AI1355" i="1"/>
  <c r="AC1356" i="1"/>
  <c r="AD1356" i="1"/>
  <c r="AE1356" i="1"/>
  <c r="AF1356" i="1"/>
  <c r="AG1356" i="1"/>
  <c r="AH1356" i="1"/>
  <c r="AI1356" i="1"/>
  <c r="AC1357" i="1"/>
  <c r="AD1357" i="1"/>
  <c r="AE1357" i="1"/>
  <c r="AF1357" i="1"/>
  <c r="AG1357" i="1"/>
  <c r="AH1357" i="1"/>
  <c r="AI1357" i="1"/>
  <c r="AC1358" i="1"/>
  <c r="AD1358" i="1"/>
  <c r="AE1358" i="1"/>
  <c r="AF1358" i="1"/>
  <c r="AG1358" i="1"/>
  <c r="AH1358" i="1"/>
  <c r="AI1358" i="1"/>
  <c r="AC1359" i="1"/>
  <c r="AD1359" i="1"/>
  <c r="AE1359" i="1"/>
  <c r="AF1359" i="1"/>
  <c r="AG1359" i="1"/>
  <c r="AH1359" i="1"/>
  <c r="AI1359" i="1"/>
  <c r="AC1360" i="1"/>
  <c r="AD1360" i="1"/>
  <c r="AE1360" i="1"/>
  <c r="AF1360" i="1"/>
  <c r="AG1360" i="1"/>
  <c r="AH1360" i="1"/>
  <c r="AI1360" i="1"/>
  <c r="AC1361" i="1"/>
  <c r="AD1361" i="1"/>
  <c r="AE1361" i="1"/>
  <c r="AF1361" i="1"/>
  <c r="AG1361" i="1"/>
  <c r="AH1361" i="1"/>
  <c r="AI1361" i="1"/>
  <c r="AC1362" i="1"/>
  <c r="AD1362" i="1"/>
  <c r="AE1362" i="1"/>
  <c r="AF1362" i="1"/>
  <c r="AG1362" i="1"/>
  <c r="AH1362" i="1"/>
  <c r="AI1362" i="1"/>
  <c r="AC1363" i="1"/>
  <c r="AD1363" i="1"/>
  <c r="AE1363" i="1"/>
  <c r="AF1363" i="1"/>
  <c r="AG1363" i="1"/>
  <c r="AH1363" i="1"/>
  <c r="AI1363" i="1"/>
  <c r="AC1364" i="1"/>
  <c r="AD1364" i="1"/>
  <c r="AE1364" i="1"/>
  <c r="AF1364" i="1"/>
  <c r="AG1364" i="1"/>
  <c r="AH1364" i="1"/>
  <c r="AI1364" i="1"/>
  <c r="AC1365" i="1"/>
  <c r="AD1365" i="1"/>
  <c r="AE1365" i="1"/>
  <c r="AF1365" i="1"/>
  <c r="AG1365" i="1"/>
  <c r="AH1365" i="1"/>
  <c r="AI1365" i="1"/>
  <c r="AC1366" i="1"/>
  <c r="AD1366" i="1"/>
  <c r="AE1366" i="1"/>
  <c r="AF1366" i="1"/>
  <c r="AG1366" i="1"/>
  <c r="AH1366" i="1"/>
  <c r="AI1366" i="1"/>
  <c r="AC1367" i="1"/>
  <c r="AD1367" i="1"/>
  <c r="AE1367" i="1"/>
  <c r="AF1367" i="1"/>
  <c r="AG1367" i="1"/>
  <c r="AH1367" i="1"/>
  <c r="AI1367" i="1"/>
  <c r="AC1368" i="1"/>
  <c r="AD1368" i="1"/>
  <c r="AE1368" i="1"/>
  <c r="AF1368" i="1"/>
  <c r="AG1368" i="1"/>
  <c r="AH1368" i="1"/>
  <c r="AI1368" i="1"/>
  <c r="AC1369" i="1"/>
  <c r="AD1369" i="1"/>
  <c r="AE1369" i="1"/>
  <c r="AF1369" i="1"/>
  <c r="AG1369" i="1"/>
  <c r="AH1369" i="1"/>
  <c r="AI1369" i="1"/>
  <c r="AC1370" i="1"/>
  <c r="AD1370" i="1"/>
  <c r="AE1370" i="1"/>
  <c r="AF1370" i="1"/>
  <c r="AG1370" i="1"/>
  <c r="AH1370" i="1"/>
  <c r="AI1370" i="1"/>
  <c r="AC1371" i="1"/>
  <c r="AD1371" i="1"/>
  <c r="AE1371" i="1"/>
  <c r="AF1371" i="1"/>
  <c r="AG1371" i="1"/>
  <c r="AH1371" i="1"/>
  <c r="AI1371" i="1"/>
  <c r="AC1372" i="1"/>
  <c r="AD1372" i="1"/>
  <c r="AE1372" i="1"/>
  <c r="AF1372" i="1"/>
  <c r="AG1372" i="1"/>
  <c r="AH1372" i="1"/>
  <c r="AI1372" i="1"/>
  <c r="AC1373" i="1"/>
  <c r="AD1373" i="1"/>
  <c r="AE1373" i="1"/>
  <c r="AF1373" i="1"/>
  <c r="AG1373" i="1"/>
  <c r="AH1373" i="1"/>
  <c r="AI1373" i="1"/>
  <c r="AC1374" i="1"/>
  <c r="AD1374" i="1"/>
  <c r="AE1374" i="1"/>
  <c r="AF1374" i="1"/>
  <c r="AG1374" i="1"/>
  <c r="AH1374" i="1"/>
  <c r="AI1374" i="1"/>
  <c r="AC1375" i="1"/>
  <c r="AD1375" i="1"/>
  <c r="AE1375" i="1"/>
  <c r="AF1375" i="1"/>
  <c r="AG1375" i="1"/>
  <c r="AH1375" i="1"/>
  <c r="AI1375" i="1"/>
  <c r="AC1376" i="1"/>
  <c r="AD1376" i="1"/>
  <c r="AE1376" i="1"/>
  <c r="AF1376" i="1"/>
  <c r="AG1376" i="1"/>
  <c r="AH1376" i="1"/>
  <c r="AI1376" i="1"/>
  <c r="AC1377" i="1"/>
  <c r="AD1377" i="1"/>
  <c r="AE1377" i="1"/>
  <c r="AF1377" i="1"/>
  <c r="AG1377" i="1"/>
  <c r="AH1377" i="1"/>
  <c r="AI1377" i="1"/>
  <c r="AC1378" i="1"/>
  <c r="AD1378" i="1"/>
  <c r="AE1378" i="1"/>
  <c r="AF1378" i="1"/>
  <c r="AG1378" i="1"/>
  <c r="AH1378" i="1"/>
  <c r="AI1378" i="1"/>
  <c r="AC1379" i="1"/>
  <c r="AD1379" i="1"/>
  <c r="AE1379" i="1"/>
  <c r="AF1379" i="1"/>
  <c r="AG1379" i="1"/>
  <c r="AH1379" i="1"/>
  <c r="AI1379" i="1"/>
  <c r="AC1380" i="1"/>
  <c r="AD1380" i="1"/>
  <c r="AE1380" i="1"/>
  <c r="AF1380" i="1"/>
  <c r="AG1380" i="1"/>
  <c r="AH1380" i="1"/>
  <c r="AI1380" i="1"/>
  <c r="AC1381" i="1"/>
  <c r="AD1381" i="1"/>
  <c r="AE1381" i="1"/>
  <c r="AF1381" i="1"/>
  <c r="AG1381" i="1"/>
  <c r="AH1381" i="1"/>
  <c r="AI1381" i="1"/>
  <c r="AC1382" i="1"/>
  <c r="AD1382" i="1"/>
  <c r="AE1382" i="1"/>
  <c r="AF1382" i="1"/>
  <c r="AG1382" i="1"/>
  <c r="AH1382" i="1"/>
  <c r="AI1382" i="1"/>
  <c r="AC1383" i="1"/>
  <c r="AD1383" i="1"/>
  <c r="AE1383" i="1"/>
  <c r="AF1383" i="1"/>
  <c r="AG1383" i="1"/>
  <c r="AH1383" i="1"/>
  <c r="AI1383" i="1"/>
  <c r="AC1384" i="1"/>
  <c r="AD1384" i="1"/>
  <c r="AE1384" i="1"/>
  <c r="AF1384" i="1"/>
  <c r="AG1384" i="1"/>
  <c r="AH1384" i="1"/>
  <c r="AI1384" i="1"/>
  <c r="AC1385" i="1"/>
  <c r="AD1385" i="1"/>
  <c r="AE1385" i="1"/>
  <c r="AF1385" i="1"/>
  <c r="AG1385" i="1"/>
  <c r="AH1385" i="1"/>
  <c r="AI1385" i="1"/>
  <c r="AC1386" i="1"/>
  <c r="AD1386" i="1"/>
  <c r="AE1386" i="1"/>
  <c r="AF1386" i="1"/>
  <c r="AG1386" i="1"/>
  <c r="AH1386" i="1"/>
  <c r="AI1386" i="1"/>
  <c r="AC1387" i="1"/>
  <c r="AD1387" i="1"/>
  <c r="AE1387" i="1"/>
  <c r="AF1387" i="1"/>
  <c r="AG1387" i="1"/>
  <c r="AH1387" i="1"/>
  <c r="AI1387" i="1"/>
  <c r="AC1388" i="1"/>
  <c r="AD1388" i="1"/>
  <c r="AE1388" i="1"/>
  <c r="AF1388" i="1"/>
  <c r="AG1388" i="1"/>
  <c r="AH1388" i="1"/>
  <c r="AI1388" i="1"/>
  <c r="AC1389" i="1"/>
  <c r="AD1389" i="1"/>
  <c r="AE1389" i="1"/>
  <c r="AF1389" i="1"/>
  <c r="AG1389" i="1"/>
  <c r="AH1389" i="1"/>
  <c r="AI1389" i="1"/>
  <c r="AC1390" i="1"/>
  <c r="AD1390" i="1"/>
  <c r="AE1390" i="1"/>
  <c r="AF1390" i="1"/>
  <c r="AG1390" i="1"/>
  <c r="AH1390" i="1"/>
  <c r="AI1390" i="1"/>
  <c r="AC1391" i="1"/>
  <c r="AD1391" i="1"/>
  <c r="AE1391" i="1"/>
  <c r="AF1391" i="1"/>
  <c r="AG1391" i="1"/>
  <c r="AH1391" i="1"/>
  <c r="AI1391" i="1"/>
  <c r="AC1392" i="1"/>
  <c r="AD1392" i="1"/>
  <c r="AE1392" i="1"/>
  <c r="AF1392" i="1"/>
  <c r="AG1392" i="1"/>
  <c r="AH1392" i="1"/>
  <c r="AI1392" i="1"/>
  <c r="AC1393" i="1"/>
  <c r="AD1393" i="1"/>
  <c r="AE1393" i="1"/>
  <c r="AF1393" i="1"/>
  <c r="AG1393" i="1"/>
  <c r="AH1393" i="1"/>
  <c r="AI1393" i="1"/>
  <c r="AC1394" i="1"/>
  <c r="AD1394" i="1"/>
  <c r="AE1394" i="1"/>
  <c r="AF1394" i="1"/>
  <c r="AG1394" i="1"/>
  <c r="AH1394" i="1"/>
  <c r="AI1394" i="1"/>
  <c r="AC1395" i="1"/>
  <c r="AD1395" i="1"/>
  <c r="AE1395" i="1"/>
  <c r="AF1395" i="1"/>
  <c r="AG1395" i="1"/>
  <c r="AH1395" i="1"/>
  <c r="AI1395" i="1"/>
  <c r="AC1396" i="1"/>
  <c r="AD1396" i="1"/>
  <c r="AE1396" i="1"/>
  <c r="AF1396" i="1"/>
  <c r="AG1396" i="1"/>
  <c r="AH1396" i="1"/>
  <c r="AI1396" i="1"/>
  <c r="AC1397" i="1"/>
  <c r="AD1397" i="1"/>
  <c r="AE1397" i="1"/>
  <c r="AF1397" i="1"/>
  <c r="AG1397" i="1"/>
  <c r="AH1397" i="1"/>
  <c r="AI1397" i="1"/>
  <c r="AC1398" i="1"/>
  <c r="AD1398" i="1"/>
  <c r="AE1398" i="1"/>
  <c r="AF1398" i="1"/>
  <c r="AG1398" i="1"/>
  <c r="AH1398" i="1"/>
  <c r="AI1398" i="1"/>
  <c r="AC1399" i="1"/>
  <c r="AD1399" i="1"/>
  <c r="AE1399" i="1"/>
  <c r="AF1399" i="1"/>
  <c r="AG1399" i="1"/>
  <c r="AH1399" i="1"/>
  <c r="AI1399" i="1"/>
  <c r="AC1400" i="1"/>
  <c r="AD1400" i="1"/>
  <c r="AE1400" i="1"/>
  <c r="AF1400" i="1"/>
  <c r="AG1400" i="1"/>
  <c r="AH1400" i="1"/>
  <c r="AI1400" i="1"/>
  <c r="AC1401" i="1"/>
  <c r="AD1401" i="1"/>
  <c r="AE1401" i="1"/>
  <c r="AF1401" i="1"/>
  <c r="AG1401" i="1"/>
  <c r="AH1401" i="1"/>
  <c r="AI1401" i="1"/>
  <c r="AC1402" i="1"/>
  <c r="AD1402" i="1"/>
  <c r="AE1402" i="1"/>
  <c r="AF1402" i="1"/>
  <c r="AG1402" i="1"/>
  <c r="AH1402" i="1"/>
  <c r="AI1402" i="1"/>
  <c r="AC1403" i="1"/>
  <c r="AD1403" i="1"/>
  <c r="AE1403" i="1"/>
  <c r="AF1403" i="1"/>
  <c r="AG1403" i="1"/>
  <c r="AH1403" i="1"/>
  <c r="AI1403" i="1"/>
  <c r="AC1404" i="1"/>
  <c r="AD1404" i="1"/>
  <c r="AE1404" i="1"/>
  <c r="AF1404" i="1"/>
  <c r="AG1404" i="1"/>
  <c r="AH1404" i="1"/>
  <c r="AI1404" i="1"/>
  <c r="AC1405" i="1"/>
  <c r="AD1405" i="1"/>
  <c r="AE1405" i="1"/>
  <c r="AF1405" i="1"/>
  <c r="AG1405" i="1"/>
  <c r="AH1405" i="1"/>
  <c r="AI1405" i="1"/>
  <c r="AC1406" i="1"/>
  <c r="AD1406" i="1"/>
  <c r="AE1406" i="1"/>
  <c r="AF1406" i="1"/>
  <c r="AG1406" i="1"/>
  <c r="AH1406" i="1"/>
  <c r="AI1406" i="1"/>
  <c r="AC1407" i="1"/>
  <c r="AD1407" i="1"/>
  <c r="AE1407" i="1"/>
  <c r="AF1407" i="1"/>
  <c r="AG1407" i="1"/>
  <c r="AH1407" i="1"/>
  <c r="AI1407" i="1"/>
  <c r="AC1408" i="1"/>
  <c r="AD1408" i="1"/>
  <c r="AE1408" i="1"/>
  <c r="AF1408" i="1"/>
  <c r="AG1408" i="1"/>
  <c r="AH1408" i="1"/>
  <c r="AI1408" i="1"/>
  <c r="AC1409" i="1"/>
  <c r="AD1409" i="1"/>
  <c r="AE1409" i="1"/>
  <c r="AF1409" i="1"/>
  <c r="AG1409" i="1"/>
  <c r="AH1409" i="1"/>
  <c r="AI1409" i="1"/>
  <c r="AC1410" i="1"/>
  <c r="AD1410" i="1"/>
  <c r="AE1410" i="1"/>
  <c r="AF1410" i="1"/>
  <c r="AG1410" i="1"/>
  <c r="AH1410" i="1"/>
  <c r="AI1410" i="1"/>
  <c r="AC1411" i="1"/>
  <c r="AD1411" i="1"/>
  <c r="AE1411" i="1"/>
  <c r="AF1411" i="1"/>
  <c r="AG1411" i="1"/>
  <c r="AH1411" i="1"/>
  <c r="AI1411" i="1"/>
  <c r="AC1412" i="1"/>
  <c r="AD1412" i="1"/>
  <c r="AE1412" i="1"/>
  <c r="AF1412" i="1"/>
  <c r="AG1412" i="1"/>
  <c r="AH1412" i="1"/>
  <c r="AI1412" i="1"/>
  <c r="AC1413" i="1"/>
  <c r="AD1413" i="1"/>
  <c r="AE1413" i="1"/>
  <c r="AF1413" i="1"/>
  <c r="AG1413" i="1"/>
  <c r="AH1413" i="1"/>
  <c r="AI1413" i="1"/>
  <c r="AC1414" i="1"/>
  <c r="AD1414" i="1"/>
  <c r="AE1414" i="1"/>
  <c r="AF1414" i="1"/>
  <c r="AG1414" i="1"/>
  <c r="AH1414" i="1"/>
  <c r="AI1414" i="1"/>
  <c r="AC1415" i="1"/>
  <c r="AD1415" i="1"/>
  <c r="AE1415" i="1"/>
  <c r="AF1415" i="1"/>
  <c r="AG1415" i="1"/>
  <c r="AH1415" i="1"/>
  <c r="AI1415" i="1"/>
  <c r="AC1416" i="1"/>
  <c r="AD1416" i="1"/>
  <c r="AE1416" i="1"/>
  <c r="AF1416" i="1"/>
  <c r="AG1416" i="1"/>
  <c r="AH1416" i="1"/>
  <c r="AI1416" i="1"/>
  <c r="AC1417" i="1"/>
  <c r="AD1417" i="1"/>
  <c r="AE1417" i="1"/>
  <c r="AF1417" i="1"/>
  <c r="AG1417" i="1"/>
  <c r="AH1417" i="1"/>
  <c r="AI1417" i="1"/>
  <c r="AC1418" i="1"/>
  <c r="AD1418" i="1"/>
  <c r="AE1418" i="1"/>
  <c r="AF1418" i="1"/>
  <c r="AG1418" i="1"/>
  <c r="AH1418" i="1"/>
  <c r="AI1418" i="1"/>
  <c r="AC1419" i="1"/>
  <c r="AD1419" i="1"/>
  <c r="AE1419" i="1"/>
  <c r="AF1419" i="1"/>
  <c r="AG1419" i="1"/>
  <c r="AH1419" i="1"/>
  <c r="AI1419" i="1"/>
  <c r="AC1420" i="1"/>
  <c r="AD1420" i="1"/>
  <c r="AE1420" i="1"/>
  <c r="AF1420" i="1"/>
  <c r="AG1420" i="1"/>
  <c r="AH1420" i="1"/>
  <c r="AI1420" i="1"/>
  <c r="AC1421" i="1"/>
  <c r="AD1421" i="1"/>
  <c r="AE1421" i="1"/>
  <c r="AF1421" i="1"/>
  <c r="AG1421" i="1"/>
  <c r="AH1421" i="1"/>
  <c r="AI1421" i="1"/>
  <c r="AC1422" i="1"/>
  <c r="AD1422" i="1"/>
  <c r="AE1422" i="1"/>
  <c r="AF1422" i="1"/>
  <c r="AG1422" i="1"/>
  <c r="AH1422" i="1"/>
  <c r="AI1422" i="1"/>
  <c r="AC1423" i="1"/>
  <c r="AD1423" i="1"/>
  <c r="AE1423" i="1"/>
  <c r="AF1423" i="1"/>
  <c r="AG1423" i="1"/>
  <c r="AH1423" i="1"/>
  <c r="AI1423" i="1"/>
  <c r="AC1424" i="1"/>
  <c r="AD1424" i="1"/>
  <c r="AE1424" i="1"/>
  <c r="AF1424" i="1"/>
  <c r="AG1424" i="1"/>
  <c r="AH1424" i="1"/>
  <c r="AI1424" i="1"/>
  <c r="AC1425" i="1"/>
  <c r="AD1425" i="1"/>
  <c r="AE1425" i="1"/>
  <c r="AF1425" i="1"/>
  <c r="AG1425" i="1"/>
  <c r="AH1425" i="1"/>
  <c r="AI1425" i="1"/>
  <c r="AC1426" i="1"/>
  <c r="AD1426" i="1"/>
  <c r="AE1426" i="1"/>
  <c r="AF1426" i="1"/>
  <c r="AG1426" i="1"/>
  <c r="AH1426" i="1"/>
  <c r="AI1426" i="1"/>
  <c r="AC1427" i="1"/>
  <c r="AD1427" i="1"/>
  <c r="AE1427" i="1"/>
  <c r="AF1427" i="1"/>
  <c r="AG1427" i="1"/>
  <c r="AH1427" i="1"/>
  <c r="AI1427" i="1"/>
  <c r="AC1428" i="1"/>
  <c r="AD1428" i="1"/>
  <c r="AE1428" i="1"/>
  <c r="AF1428" i="1"/>
  <c r="AG1428" i="1"/>
  <c r="AH1428" i="1"/>
  <c r="AI1428" i="1"/>
  <c r="AC1429" i="1"/>
  <c r="AD1429" i="1"/>
  <c r="AE1429" i="1"/>
  <c r="AF1429" i="1"/>
  <c r="AG1429" i="1"/>
  <c r="AH1429" i="1"/>
  <c r="AI1429" i="1"/>
  <c r="AC1430" i="1"/>
  <c r="AD1430" i="1"/>
  <c r="AE1430" i="1"/>
  <c r="AF1430" i="1"/>
  <c r="AG1430" i="1"/>
  <c r="AH1430" i="1"/>
  <c r="AI1430" i="1"/>
  <c r="AC1431" i="1"/>
  <c r="AD1431" i="1"/>
  <c r="AE1431" i="1"/>
  <c r="AF1431" i="1"/>
  <c r="AG1431" i="1"/>
  <c r="AH1431" i="1"/>
  <c r="AI1431" i="1"/>
  <c r="AC1432" i="1"/>
  <c r="AD1432" i="1"/>
  <c r="AE1432" i="1"/>
  <c r="AF1432" i="1"/>
  <c r="AG1432" i="1"/>
  <c r="AH1432" i="1"/>
  <c r="AI1432" i="1"/>
  <c r="AC1433" i="1"/>
  <c r="AD1433" i="1"/>
  <c r="AE1433" i="1"/>
  <c r="AF1433" i="1"/>
  <c r="AG1433" i="1"/>
  <c r="AH1433" i="1"/>
  <c r="AI1433" i="1"/>
  <c r="AC1434" i="1"/>
  <c r="AD1434" i="1"/>
  <c r="AE1434" i="1"/>
  <c r="AF1434" i="1"/>
  <c r="AG1434" i="1"/>
  <c r="AH1434" i="1"/>
  <c r="AI1434" i="1"/>
  <c r="AC1435" i="1"/>
  <c r="AD1435" i="1"/>
  <c r="AE1435" i="1"/>
  <c r="AF1435" i="1"/>
  <c r="AG1435" i="1"/>
  <c r="AH1435" i="1"/>
  <c r="AI1435" i="1"/>
  <c r="AC1436" i="1"/>
  <c r="AD1436" i="1"/>
  <c r="AE1436" i="1"/>
  <c r="AF1436" i="1"/>
  <c r="AG1436" i="1"/>
  <c r="AH1436" i="1"/>
  <c r="AI1436" i="1"/>
  <c r="AC1437" i="1"/>
  <c r="AD1437" i="1"/>
  <c r="AE1437" i="1"/>
  <c r="AF1437" i="1"/>
  <c r="AG1437" i="1"/>
  <c r="AH1437" i="1"/>
  <c r="AI1437" i="1"/>
  <c r="AC1438" i="1"/>
  <c r="AD1438" i="1"/>
  <c r="AE1438" i="1"/>
  <c r="AF1438" i="1"/>
  <c r="AG1438" i="1"/>
  <c r="AH1438" i="1"/>
  <c r="AI1438" i="1"/>
  <c r="AC1439" i="1"/>
  <c r="AD1439" i="1"/>
  <c r="AE1439" i="1"/>
  <c r="AF1439" i="1"/>
  <c r="AG1439" i="1"/>
  <c r="AH1439" i="1"/>
  <c r="AI1439" i="1"/>
  <c r="AC1440" i="1"/>
  <c r="AD1440" i="1"/>
  <c r="AE1440" i="1"/>
  <c r="AF1440" i="1"/>
  <c r="AG1440" i="1"/>
  <c r="AH1440" i="1"/>
  <c r="AI1440" i="1"/>
  <c r="AC1441" i="1"/>
  <c r="AD1441" i="1"/>
  <c r="AE1441" i="1"/>
  <c r="AF1441" i="1"/>
  <c r="AG1441" i="1"/>
  <c r="AH1441" i="1"/>
  <c r="AI1441" i="1"/>
  <c r="AC1442" i="1"/>
  <c r="AD1442" i="1"/>
  <c r="AE1442" i="1"/>
  <c r="AF1442" i="1"/>
  <c r="AG1442" i="1"/>
  <c r="AH1442" i="1"/>
  <c r="AI1442" i="1"/>
  <c r="AC1443" i="1"/>
  <c r="AD1443" i="1"/>
  <c r="AE1443" i="1"/>
  <c r="AF1443" i="1"/>
  <c r="AG1443" i="1"/>
  <c r="AH1443" i="1"/>
  <c r="AI1443" i="1"/>
  <c r="AC1444" i="1"/>
  <c r="AD1444" i="1"/>
  <c r="AE1444" i="1"/>
  <c r="AF1444" i="1"/>
  <c r="AG1444" i="1"/>
  <c r="AH1444" i="1"/>
  <c r="AI1444" i="1"/>
  <c r="AC1445" i="1"/>
  <c r="AD1445" i="1"/>
  <c r="AE1445" i="1"/>
  <c r="AF1445" i="1"/>
  <c r="AG1445" i="1"/>
  <c r="AH1445" i="1"/>
  <c r="AI1445" i="1"/>
  <c r="AC1446" i="1"/>
  <c r="AD1446" i="1"/>
  <c r="AE1446" i="1"/>
  <c r="AF1446" i="1"/>
  <c r="AG1446" i="1"/>
  <c r="AH1446" i="1"/>
  <c r="AI1446" i="1"/>
  <c r="AC1447" i="1"/>
  <c r="AD1447" i="1"/>
  <c r="AE1447" i="1"/>
  <c r="AF1447" i="1"/>
  <c r="AG1447" i="1"/>
  <c r="AH1447" i="1"/>
  <c r="AI1447" i="1"/>
  <c r="AC1448" i="1"/>
  <c r="AD1448" i="1"/>
  <c r="AE1448" i="1"/>
  <c r="AF1448" i="1"/>
  <c r="AG1448" i="1"/>
  <c r="AH1448" i="1"/>
  <c r="AI1448" i="1"/>
  <c r="AC1449" i="1"/>
  <c r="AD1449" i="1"/>
  <c r="AE1449" i="1"/>
  <c r="AF1449" i="1"/>
  <c r="AG1449" i="1"/>
  <c r="AH1449" i="1"/>
  <c r="AI1449" i="1"/>
  <c r="AC1450" i="1"/>
  <c r="AD1450" i="1"/>
  <c r="AE1450" i="1"/>
  <c r="AF1450" i="1"/>
  <c r="AG1450" i="1"/>
  <c r="AH1450" i="1"/>
  <c r="AI1450" i="1"/>
  <c r="AC1451" i="1"/>
  <c r="AD1451" i="1"/>
  <c r="AE1451" i="1"/>
  <c r="AF1451" i="1"/>
  <c r="AG1451" i="1"/>
  <c r="AH1451" i="1"/>
  <c r="AI1451" i="1"/>
  <c r="AC1452" i="1"/>
  <c r="AD1452" i="1"/>
  <c r="AE1452" i="1"/>
  <c r="AF1452" i="1"/>
  <c r="AG1452" i="1"/>
  <c r="AH1452" i="1"/>
  <c r="AI1452" i="1"/>
  <c r="AC1453" i="1"/>
  <c r="AD1453" i="1"/>
  <c r="AE1453" i="1"/>
  <c r="AF1453" i="1"/>
  <c r="AG1453" i="1"/>
  <c r="AH1453" i="1"/>
  <c r="AI1453" i="1"/>
  <c r="AC1454" i="1"/>
  <c r="AD1454" i="1"/>
  <c r="AE1454" i="1"/>
  <c r="AF1454" i="1"/>
  <c r="AG1454" i="1"/>
  <c r="AH1454" i="1"/>
  <c r="AI1454" i="1"/>
  <c r="AC1455" i="1"/>
  <c r="AD1455" i="1"/>
  <c r="AE1455" i="1"/>
  <c r="AF1455" i="1"/>
  <c r="AG1455" i="1"/>
  <c r="AH1455" i="1"/>
  <c r="AI1455" i="1"/>
  <c r="AC1456" i="1"/>
  <c r="AD1456" i="1"/>
  <c r="AE1456" i="1"/>
  <c r="AF1456" i="1"/>
  <c r="AG1456" i="1"/>
  <c r="AH1456" i="1"/>
  <c r="AI1456" i="1"/>
  <c r="AC1457" i="1"/>
  <c r="AD1457" i="1"/>
  <c r="AE1457" i="1"/>
  <c r="AF1457" i="1"/>
  <c r="AG1457" i="1"/>
  <c r="AH1457" i="1"/>
  <c r="AI1457" i="1"/>
  <c r="AC1458" i="1"/>
  <c r="AD1458" i="1"/>
  <c r="AE1458" i="1"/>
  <c r="AF1458" i="1"/>
  <c r="AG1458" i="1"/>
  <c r="AH1458" i="1"/>
  <c r="AI1458" i="1"/>
  <c r="AC1459" i="1"/>
  <c r="AD1459" i="1"/>
  <c r="AE1459" i="1"/>
  <c r="AF1459" i="1"/>
  <c r="AG1459" i="1"/>
  <c r="AH1459" i="1"/>
  <c r="AI1459" i="1"/>
  <c r="AC1460" i="1"/>
  <c r="AD1460" i="1"/>
  <c r="AE1460" i="1"/>
  <c r="AF1460" i="1"/>
  <c r="AG1460" i="1"/>
  <c r="AH1460" i="1"/>
  <c r="AI1460" i="1"/>
  <c r="AC1461" i="1"/>
  <c r="AD1461" i="1"/>
  <c r="AE1461" i="1"/>
  <c r="AF1461" i="1"/>
  <c r="AG1461" i="1"/>
  <c r="AH1461" i="1"/>
  <c r="AI1461" i="1"/>
  <c r="AC1462" i="1"/>
  <c r="AD1462" i="1"/>
  <c r="AE1462" i="1"/>
  <c r="AF1462" i="1"/>
  <c r="AG1462" i="1"/>
  <c r="AH1462" i="1"/>
  <c r="AI1462" i="1"/>
  <c r="AC1463" i="1"/>
  <c r="AD1463" i="1"/>
  <c r="AE1463" i="1"/>
  <c r="AF1463" i="1"/>
  <c r="AG1463" i="1"/>
  <c r="AH1463" i="1"/>
  <c r="AI1463" i="1"/>
  <c r="AC1464" i="1"/>
  <c r="AD1464" i="1"/>
  <c r="AE1464" i="1"/>
  <c r="AF1464" i="1"/>
  <c r="AG1464" i="1"/>
  <c r="AH1464" i="1"/>
  <c r="AI1464" i="1"/>
  <c r="AC1465" i="1"/>
  <c r="AD1465" i="1"/>
  <c r="AE1465" i="1"/>
  <c r="AF1465" i="1"/>
  <c r="AG1465" i="1"/>
  <c r="AH1465" i="1"/>
  <c r="AI1465" i="1"/>
  <c r="AC1466" i="1"/>
  <c r="AD1466" i="1"/>
  <c r="AE1466" i="1"/>
  <c r="AF1466" i="1"/>
  <c r="AG1466" i="1"/>
  <c r="AH1466" i="1"/>
  <c r="AI1466" i="1"/>
  <c r="AC1467" i="1"/>
  <c r="AD1467" i="1"/>
  <c r="AE1467" i="1"/>
  <c r="AF1467" i="1"/>
  <c r="AG1467" i="1"/>
  <c r="AH1467" i="1"/>
  <c r="AI1467" i="1"/>
  <c r="AC1468" i="1"/>
  <c r="AD1468" i="1"/>
  <c r="AE1468" i="1"/>
  <c r="AF1468" i="1"/>
  <c r="AG1468" i="1"/>
  <c r="AH1468" i="1"/>
  <c r="AI1468" i="1"/>
  <c r="AC1469" i="1"/>
  <c r="AD1469" i="1"/>
  <c r="AE1469" i="1"/>
  <c r="AF1469" i="1"/>
  <c r="AG1469" i="1"/>
  <c r="AH1469" i="1"/>
  <c r="AI1469" i="1"/>
  <c r="AC1470" i="1"/>
  <c r="AD1470" i="1"/>
  <c r="AE1470" i="1"/>
  <c r="AF1470" i="1"/>
  <c r="AG1470" i="1"/>
  <c r="AH1470" i="1"/>
  <c r="AI1470" i="1"/>
  <c r="AC1471" i="1"/>
  <c r="AD1471" i="1"/>
  <c r="AE1471" i="1"/>
  <c r="AF1471" i="1"/>
  <c r="AG1471" i="1"/>
  <c r="AH1471" i="1"/>
  <c r="AI1471" i="1"/>
  <c r="AC1472" i="1"/>
  <c r="AD1472" i="1"/>
  <c r="AE1472" i="1"/>
  <c r="AF1472" i="1"/>
  <c r="AG1472" i="1"/>
  <c r="AH1472" i="1"/>
  <c r="AI1472" i="1"/>
  <c r="AC1473" i="1"/>
  <c r="AD1473" i="1"/>
  <c r="AE1473" i="1"/>
  <c r="AF1473" i="1"/>
  <c r="AG1473" i="1"/>
  <c r="AH1473" i="1"/>
  <c r="AI1473" i="1"/>
  <c r="AC1474" i="1"/>
  <c r="AD1474" i="1"/>
  <c r="AE1474" i="1"/>
  <c r="AF1474" i="1"/>
  <c r="AG1474" i="1"/>
  <c r="AH1474" i="1"/>
  <c r="AI1474" i="1"/>
  <c r="AC1475" i="1"/>
  <c r="AD1475" i="1"/>
  <c r="AE1475" i="1"/>
  <c r="AF1475" i="1"/>
  <c r="AG1475" i="1"/>
  <c r="AH1475" i="1"/>
  <c r="AI1475" i="1"/>
  <c r="AC1476" i="1"/>
  <c r="AD1476" i="1"/>
  <c r="AE1476" i="1"/>
  <c r="AF1476" i="1"/>
  <c r="AG1476" i="1"/>
  <c r="AH1476" i="1"/>
  <c r="AI1476" i="1"/>
  <c r="AC1477" i="1"/>
  <c r="AD1477" i="1"/>
  <c r="AE1477" i="1"/>
  <c r="AF1477" i="1"/>
  <c r="AG1477" i="1"/>
  <c r="AH1477" i="1"/>
  <c r="AI1477" i="1"/>
  <c r="AC1478" i="1"/>
  <c r="AD1478" i="1"/>
  <c r="AE1478" i="1"/>
  <c r="AF1478" i="1"/>
  <c r="AG1478" i="1"/>
  <c r="AH1478" i="1"/>
  <c r="AI1478" i="1"/>
  <c r="AC1479" i="1"/>
  <c r="AD1479" i="1"/>
  <c r="AE1479" i="1"/>
  <c r="AF1479" i="1"/>
  <c r="AG1479" i="1"/>
  <c r="AH1479" i="1"/>
  <c r="AI1479" i="1"/>
  <c r="AC1480" i="1"/>
  <c r="AD1480" i="1"/>
  <c r="AE1480" i="1"/>
  <c r="AF1480" i="1"/>
  <c r="AG1480" i="1"/>
  <c r="AH1480" i="1"/>
  <c r="AI1480" i="1"/>
  <c r="AC1481" i="1"/>
  <c r="AD1481" i="1"/>
  <c r="AE1481" i="1"/>
  <c r="AF1481" i="1"/>
  <c r="AG1481" i="1"/>
  <c r="AH1481" i="1"/>
  <c r="AI1481" i="1"/>
  <c r="AC1482" i="1"/>
  <c r="AD1482" i="1"/>
  <c r="AE1482" i="1"/>
  <c r="AF1482" i="1"/>
  <c r="AG1482" i="1"/>
  <c r="AH1482" i="1"/>
  <c r="AI1482" i="1"/>
  <c r="AC1483" i="1"/>
  <c r="AD1483" i="1"/>
  <c r="AE1483" i="1"/>
  <c r="AF1483" i="1"/>
  <c r="AG1483" i="1"/>
  <c r="AH1483" i="1"/>
  <c r="AI1483" i="1"/>
  <c r="AC1484" i="1"/>
  <c r="AD1484" i="1"/>
  <c r="AE1484" i="1"/>
  <c r="AF1484" i="1"/>
  <c r="AG1484" i="1"/>
  <c r="AH1484" i="1"/>
  <c r="AI1484" i="1"/>
  <c r="AC1485" i="1"/>
  <c r="AD1485" i="1"/>
  <c r="AE1485" i="1"/>
  <c r="AF1485" i="1"/>
  <c r="AG1485" i="1"/>
  <c r="AH1485" i="1"/>
  <c r="AI1485" i="1"/>
  <c r="AC1486" i="1"/>
  <c r="AD1486" i="1"/>
  <c r="AE1486" i="1"/>
  <c r="AF1486" i="1"/>
  <c r="AG1486" i="1"/>
  <c r="AH1486" i="1"/>
  <c r="AI1486" i="1"/>
  <c r="AC1487" i="1"/>
  <c r="AD1487" i="1"/>
  <c r="AE1487" i="1"/>
  <c r="AF1487" i="1"/>
  <c r="AG1487" i="1"/>
  <c r="AH1487" i="1"/>
  <c r="AI1487" i="1"/>
  <c r="AC1488" i="1"/>
  <c r="AD1488" i="1"/>
  <c r="AE1488" i="1"/>
  <c r="AF1488" i="1"/>
  <c r="AG1488" i="1"/>
  <c r="AH1488" i="1"/>
  <c r="AI1488" i="1"/>
  <c r="AC1489" i="1"/>
  <c r="AD1489" i="1"/>
  <c r="AE1489" i="1"/>
  <c r="AF1489" i="1"/>
  <c r="AG1489" i="1"/>
  <c r="AH1489" i="1"/>
  <c r="AI1489" i="1"/>
  <c r="AC1490" i="1"/>
  <c r="AD1490" i="1"/>
  <c r="AE1490" i="1"/>
  <c r="AF1490" i="1"/>
  <c r="AG1490" i="1"/>
  <c r="AH1490" i="1"/>
  <c r="AI1490" i="1"/>
  <c r="AC1491" i="1"/>
  <c r="AD1491" i="1"/>
  <c r="AE1491" i="1"/>
  <c r="AF1491" i="1"/>
  <c r="AG1491" i="1"/>
  <c r="AH1491" i="1"/>
  <c r="AI1491" i="1"/>
  <c r="AC1492" i="1"/>
  <c r="AD1492" i="1"/>
  <c r="AE1492" i="1"/>
  <c r="AF1492" i="1"/>
  <c r="AG1492" i="1"/>
  <c r="AH1492" i="1"/>
  <c r="AI1492" i="1"/>
  <c r="AC1493" i="1"/>
  <c r="AD1493" i="1"/>
  <c r="AE1493" i="1"/>
  <c r="AF1493" i="1"/>
  <c r="AG1493" i="1"/>
  <c r="AH1493" i="1"/>
  <c r="AI1493" i="1"/>
  <c r="AC1494" i="1"/>
  <c r="AD1494" i="1"/>
  <c r="AE1494" i="1"/>
  <c r="AF1494" i="1"/>
  <c r="AG1494" i="1"/>
  <c r="AH1494" i="1"/>
  <c r="AI1494" i="1"/>
  <c r="AC1495" i="1"/>
  <c r="AD1495" i="1"/>
  <c r="AE1495" i="1"/>
  <c r="AF1495" i="1"/>
  <c r="AG1495" i="1"/>
  <c r="AH1495" i="1"/>
  <c r="AI1495" i="1"/>
  <c r="AC1496" i="1"/>
  <c r="AD1496" i="1"/>
  <c r="AE1496" i="1"/>
  <c r="AF1496" i="1"/>
  <c r="AG1496" i="1"/>
  <c r="AH1496" i="1"/>
  <c r="AI1496" i="1"/>
  <c r="AC1497" i="1"/>
  <c r="AD1497" i="1"/>
  <c r="AE1497" i="1"/>
  <c r="AF1497" i="1"/>
  <c r="AG1497" i="1"/>
  <c r="AH1497" i="1"/>
  <c r="AI1497" i="1"/>
  <c r="AC1498" i="1"/>
  <c r="AD1498" i="1"/>
  <c r="AE1498" i="1"/>
  <c r="AF1498" i="1"/>
  <c r="AG1498" i="1"/>
  <c r="AH1498" i="1"/>
  <c r="AI1498" i="1"/>
  <c r="AC1499" i="1"/>
  <c r="AD1499" i="1"/>
  <c r="AE1499" i="1"/>
  <c r="AF1499" i="1"/>
  <c r="AG1499" i="1"/>
  <c r="AH1499" i="1"/>
  <c r="AI1499" i="1"/>
  <c r="AC1500" i="1"/>
  <c r="AD1500" i="1"/>
  <c r="AE1500" i="1"/>
  <c r="AF1500" i="1"/>
  <c r="AG1500" i="1"/>
  <c r="AH1500" i="1"/>
  <c r="AI1500" i="1"/>
  <c r="AC1501" i="1"/>
  <c r="AD1501" i="1"/>
  <c r="AE1501" i="1"/>
  <c r="AF1501" i="1"/>
  <c r="AG1501" i="1"/>
  <c r="AH1501" i="1"/>
  <c r="AI1501" i="1"/>
  <c r="AC1502" i="1"/>
  <c r="AD1502" i="1"/>
  <c r="AE1502" i="1"/>
  <c r="AF1502" i="1"/>
  <c r="AG1502" i="1"/>
  <c r="AH1502" i="1"/>
  <c r="AI1502" i="1"/>
  <c r="AC1503" i="1"/>
  <c r="AD1503" i="1"/>
  <c r="AE1503" i="1"/>
  <c r="AF1503" i="1"/>
  <c r="AG1503" i="1"/>
  <c r="AH1503" i="1"/>
  <c r="AI1503" i="1"/>
  <c r="AC1504" i="1"/>
  <c r="AD1504" i="1"/>
  <c r="AE1504" i="1"/>
  <c r="AF1504" i="1"/>
  <c r="AG1504" i="1"/>
  <c r="AH1504" i="1"/>
  <c r="AI1504" i="1"/>
  <c r="AC1505" i="1"/>
  <c r="AD1505" i="1"/>
  <c r="AE1505" i="1"/>
  <c r="AF1505" i="1"/>
  <c r="AG1505" i="1"/>
  <c r="AH1505" i="1"/>
  <c r="AI1505" i="1"/>
  <c r="AC1506" i="1"/>
  <c r="AD1506" i="1"/>
  <c r="AE1506" i="1"/>
  <c r="AF1506" i="1"/>
  <c r="AG1506" i="1"/>
  <c r="AH1506" i="1"/>
  <c r="AI1506" i="1"/>
  <c r="AC1507" i="1"/>
  <c r="AD1507" i="1"/>
  <c r="AE1507" i="1"/>
  <c r="AF1507" i="1"/>
  <c r="AG1507" i="1"/>
  <c r="AH1507" i="1"/>
  <c r="AI1507" i="1"/>
  <c r="AC1508" i="1"/>
  <c r="AD1508" i="1"/>
  <c r="AE1508" i="1"/>
  <c r="AF1508" i="1"/>
  <c r="AG1508" i="1"/>
  <c r="AH1508" i="1"/>
  <c r="AI1508" i="1"/>
  <c r="AC1509" i="1"/>
  <c r="AD1509" i="1"/>
  <c r="AE1509" i="1"/>
  <c r="AF1509" i="1"/>
  <c r="AG1509" i="1"/>
  <c r="AH1509" i="1"/>
  <c r="AI1509" i="1"/>
  <c r="AC1510" i="1"/>
  <c r="AD1510" i="1"/>
  <c r="AE1510" i="1"/>
  <c r="AF1510" i="1"/>
  <c r="AG1510" i="1"/>
  <c r="AH1510" i="1"/>
  <c r="AI1510" i="1"/>
  <c r="AC1511" i="1"/>
  <c r="AD1511" i="1"/>
  <c r="AE1511" i="1"/>
  <c r="AF1511" i="1"/>
  <c r="AG1511" i="1"/>
  <c r="AH1511" i="1"/>
  <c r="AI1511" i="1"/>
  <c r="AC1512" i="1"/>
  <c r="AD1512" i="1"/>
  <c r="AE1512" i="1"/>
  <c r="AF1512" i="1"/>
  <c r="AG1512" i="1"/>
  <c r="AH1512" i="1"/>
  <c r="AI1512" i="1"/>
  <c r="AC1513" i="1"/>
  <c r="AD1513" i="1"/>
  <c r="AE1513" i="1"/>
  <c r="AF1513" i="1"/>
  <c r="AG1513" i="1"/>
  <c r="AH1513" i="1"/>
  <c r="AI1513" i="1"/>
  <c r="AC1514" i="1"/>
  <c r="AD1514" i="1"/>
  <c r="AE1514" i="1"/>
  <c r="AF1514" i="1"/>
  <c r="AG1514" i="1"/>
  <c r="AH1514" i="1"/>
  <c r="AI1514" i="1"/>
  <c r="AC1515" i="1"/>
  <c r="AD1515" i="1"/>
  <c r="AE1515" i="1"/>
  <c r="AF1515" i="1"/>
  <c r="AG1515" i="1"/>
  <c r="AH1515" i="1"/>
  <c r="AI1515" i="1"/>
  <c r="AC1516" i="1"/>
  <c r="AD1516" i="1"/>
  <c r="AE1516" i="1"/>
  <c r="AF1516" i="1"/>
  <c r="AG1516" i="1"/>
  <c r="AH1516" i="1"/>
  <c r="AI1516" i="1"/>
  <c r="AC1517" i="1"/>
  <c r="AD1517" i="1"/>
  <c r="AE1517" i="1"/>
  <c r="AF1517" i="1"/>
  <c r="AG1517" i="1"/>
  <c r="AH1517" i="1"/>
  <c r="AI1517" i="1"/>
  <c r="AC1518" i="1"/>
  <c r="AD1518" i="1"/>
  <c r="AE1518" i="1"/>
  <c r="AF1518" i="1"/>
  <c r="AG1518" i="1"/>
  <c r="AH1518" i="1"/>
  <c r="AI1518" i="1"/>
  <c r="AC1519" i="1"/>
  <c r="AD1519" i="1"/>
  <c r="AE1519" i="1"/>
  <c r="AF1519" i="1"/>
  <c r="AG1519" i="1"/>
  <c r="AH1519" i="1"/>
  <c r="AI1519" i="1"/>
  <c r="AC1520" i="1"/>
  <c r="AD1520" i="1"/>
  <c r="AE1520" i="1"/>
  <c r="AF1520" i="1"/>
  <c r="AG1520" i="1"/>
  <c r="AH1520" i="1"/>
  <c r="AI1520" i="1"/>
  <c r="AC1521" i="1"/>
  <c r="AD1521" i="1"/>
  <c r="AE1521" i="1"/>
  <c r="AF1521" i="1"/>
  <c r="AG1521" i="1"/>
  <c r="AH1521" i="1"/>
  <c r="AI1521" i="1"/>
  <c r="AC1522" i="1"/>
  <c r="AD1522" i="1"/>
  <c r="AE1522" i="1"/>
  <c r="AF1522" i="1"/>
  <c r="AG1522" i="1"/>
  <c r="AH1522" i="1"/>
  <c r="AI1522" i="1"/>
  <c r="AC1523" i="1"/>
  <c r="AD1523" i="1"/>
  <c r="AE1523" i="1"/>
  <c r="AF1523" i="1"/>
  <c r="AG1523" i="1"/>
  <c r="AH1523" i="1"/>
  <c r="AI1523" i="1"/>
  <c r="AC1524" i="1"/>
  <c r="AD1524" i="1"/>
  <c r="AE1524" i="1"/>
  <c r="AF1524" i="1"/>
  <c r="AG1524" i="1"/>
  <c r="AH1524" i="1"/>
  <c r="AI1524" i="1"/>
  <c r="AC1525" i="1"/>
  <c r="AD1525" i="1"/>
  <c r="AE1525" i="1"/>
  <c r="AF1525" i="1"/>
  <c r="AG1525" i="1"/>
  <c r="AH1525" i="1"/>
  <c r="AI1525" i="1"/>
  <c r="AC1526" i="1"/>
  <c r="AD1526" i="1"/>
  <c r="AE1526" i="1"/>
  <c r="AF1526" i="1"/>
  <c r="AG1526" i="1"/>
  <c r="AH1526" i="1"/>
  <c r="AI1526" i="1"/>
  <c r="AC1527" i="1"/>
  <c r="AD1527" i="1"/>
  <c r="AE1527" i="1"/>
  <c r="AF1527" i="1"/>
  <c r="AG1527" i="1"/>
  <c r="AH1527" i="1"/>
  <c r="AI1527" i="1"/>
  <c r="AC1528" i="1"/>
  <c r="AD1528" i="1"/>
  <c r="AE1528" i="1"/>
  <c r="AF1528" i="1"/>
  <c r="AG1528" i="1"/>
  <c r="AH1528" i="1"/>
  <c r="AI1528" i="1"/>
  <c r="AC1529" i="1"/>
  <c r="AD1529" i="1"/>
  <c r="AE1529" i="1"/>
  <c r="AF1529" i="1"/>
  <c r="AG1529" i="1"/>
  <c r="AH1529" i="1"/>
  <c r="AI1529" i="1"/>
  <c r="AC1530" i="1"/>
  <c r="AD1530" i="1"/>
  <c r="AE1530" i="1"/>
  <c r="AF1530" i="1"/>
  <c r="AG1530" i="1"/>
  <c r="AH1530" i="1"/>
  <c r="AI1530" i="1"/>
  <c r="AC1531" i="1"/>
  <c r="AD1531" i="1"/>
  <c r="AE1531" i="1"/>
  <c r="AF1531" i="1"/>
  <c r="AG1531" i="1"/>
  <c r="AH1531" i="1"/>
  <c r="AI1531" i="1"/>
  <c r="AC1532" i="1"/>
  <c r="AD1532" i="1"/>
  <c r="AE1532" i="1"/>
  <c r="AF1532" i="1"/>
  <c r="AG1532" i="1"/>
  <c r="AH1532" i="1"/>
  <c r="AI1532" i="1"/>
  <c r="AC1533" i="1"/>
  <c r="AD1533" i="1"/>
  <c r="AE1533" i="1"/>
  <c r="AF1533" i="1"/>
  <c r="AG1533" i="1"/>
  <c r="AH1533" i="1"/>
  <c r="AI1533" i="1"/>
  <c r="AC1534" i="1"/>
  <c r="AD1534" i="1"/>
  <c r="AE1534" i="1"/>
  <c r="AF1534" i="1"/>
  <c r="AG1534" i="1"/>
  <c r="AH1534" i="1"/>
  <c r="AI1534" i="1"/>
  <c r="AC1535" i="1"/>
  <c r="AD1535" i="1"/>
  <c r="AE1535" i="1"/>
  <c r="AF1535" i="1"/>
  <c r="AG1535" i="1"/>
  <c r="AH1535" i="1"/>
  <c r="AI1535" i="1"/>
  <c r="AC1536" i="1"/>
  <c r="AD1536" i="1"/>
  <c r="AE1536" i="1"/>
  <c r="AF1536" i="1"/>
  <c r="AG1536" i="1"/>
  <c r="AH1536" i="1"/>
  <c r="AI1536" i="1"/>
  <c r="AC1537" i="1"/>
  <c r="AD1537" i="1"/>
  <c r="AE1537" i="1"/>
  <c r="AF1537" i="1"/>
  <c r="AG1537" i="1"/>
  <c r="AH1537" i="1"/>
  <c r="AI1537" i="1"/>
  <c r="AC1538" i="1"/>
  <c r="AD1538" i="1"/>
  <c r="AE1538" i="1"/>
  <c r="AF1538" i="1"/>
  <c r="AG1538" i="1"/>
  <c r="AH1538" i="1"/>
  <c r="AI1538" i="1"/>
  <c r="AC1539" i="1"/>
  <c r="AD1539" i="1"/>
  <c r="AE1539" i="1"/>
  <c r="AF1539" i="1"/>
  <c r="AG1539" i="1"/>
  <c r="AH1539" i="1"/>
  <c r="AI1539" i="1"/>
  <c r="AC1540" i="1"/>
  <c r="AD1540" i="1"/>
  <c r="AE1540" i="1"/>
  <c r="AF1540" i="1"/>
  <c r="AG1540" i="1"/>
  <c r="AH1540" i="1"/>
  <c r="AI1540" i="1"/>
  <c r="AC1541" i="1"/>
  <c r="AD1541" i="1"/>
  <c r="AE1541" i="1"/>
  <c r="AF1541" i="1"/>
  <c r="AG1541" i="1"/>
  <c r="AH1541" i="1"/>
  <c r="AI1541" i="1"/>
  <c r="AC1542" i="1"/>
  <c r="AD1542" i="1"/>
  <c r="AE1542" i="1"/>
  <c r="AF1542" i="1"/>
  <c r="AG1542" i="1"/>
  <c r="AH1542" i="1"/>
  <c r="AI1542" i="1"/>
  <c r="AC1543" i="1"/>
  <c r="AD1543" i="1"/>
  <c r="AE1543" i="1"/>
  <c r="AF1543" i="1"/>
  <c r="AG1543" i="1"/>
  <c r="AH1543" i="1"/>
  <c r="AI1543" i="1"/>
  <c r="AC1544" i="1"/>
  <c r="AD1544" i="1"/>
  <c r="AE1544" i="1"/>
  <c r="AF1544" i="1"/>
  <c r="AG1544" i="1"/>
  <c r="AH1544" i="1"/>
  <c r="AI1544" i="1"/>
  <c r="AC1545" i="1"/>
  <c r="AD1545" i="1"/>
  <c r="AE1545" i="1"/>
  <c r="AF1545" i="1"/>
  <c r="AG1545" i="1"/>
  <c r="AH1545" i="1"/>
  <c r="AI1545" i="1"/>
  <c r="AC1546" i="1"/>
  <c r="AD1546" i="1"/>
  <c r="AE1546" i="1"/>
  <c r="AF1546" i="1"/>
  <c r="AG1546" i="1"/>
  <c r="AH1546" i="1"/>
  <c r="AI1546" i="1"/>
  <c r="AC1547" i="1"/>
  <c r="AD1547" i="1"/>
  <c r="AE1547" i="1"/>
  <c r="AF1547" i="1"/>
  <c r="AG1547" i="1"/>
  <c r="AH1547" i="1"/>
  <c r="AI1547" i="1"/>
  <c r="AC1548" i="1"/>
  <c r="AD1548" i="1"/>
  <c r="AE1548" i="1"/>
  <c r="AF1548" i="1"/>
  <c r="AG1548" i="1"/>
  <c r="AH1548" i="1"/>
  <c r="AI1548" i="1"/>
  <c r="AC1549" i="1"/>
  <c r="AD1549" i="1"/>
  <c r="AE1549" i="1"/>
  <c r="AF1549" i="1"/>
  <c r="AG1549" i="1"/>
  <c r="AH1549" i="1"/>
  <c r="AI1549" i="1"/>
  <c r="AC1550" i="1"/>
  <c r="AD1550" i="1"/>
  <c r="AE1550" i="1"/>
  <c r="AF1550" i="1"/>
  <c r="AG1550" i="1"/>
  <c r="AH1550" i="1"/>
  <c r="AI1550" i="1"/>
  <c r="AC1551" i="1"/>
  <c r="AD1551" i="1"/>
  <c r="AE1551" i="1"/>
  <c r="AF1551" i="1"/>
  <c r="AG1551" i="1"/>
  <c r="AH1551" i="1"/>
  <c r="AI1551" i="1"/>
  <c r="AC1552" i="1"/>
  <c r="AD1552" i="1"/>
  <c r="AE1552" i="1"/>
  <c r="AF1552" i="1"/>
  <c r="AG1552" i="1"/>
  <c r="AH1552" i="1"/>
  <c r="AI1552" i="1"/>
  <c r="AC1553" i="1"/>
  <c r="AD1553" i="1"/>
  <c r="AE1553" i="1"/>
  <c r="AF1553" i="1"/>
  <c r="AG1553" i="1"/>
  <c r="AH1553" i="1"/>
  <c r="AI1553" i="1"/>
  <c r="AC1554" i="1"/>
  <c r="AD1554" i="1"/>
  <c r="AE1554" i="1"/>
  <c r="AF1554" i="1"/>
  <c r="AG1554" i="1"/>
  <c r="AH1554" i="1"/>
  <c r="AI1554" i="1"/>
  <c r="AC1555" i="1"/>
  <c r="AD1555" i="1"/>
  <c r="AE1555" i="1"/>
  <c r="AF1555" i="1"/>
  <c r="AG1555" i="1"/>
  <c r="AH1555" i="1"/>
  <c r="AI1555" i="1"/>
  <c r="AC1556" i="1"/>
  <c r="AD1556" i="1"/>
  <c r="AE1556" i="1"/>
  <c r="AF1556" i="1"/>
  <c r="AG1556" i="1"/>
  <c r="AH1556" i="1"/>
  <c r="AI1556" i="1"/>
  <c r="AC1557" i="1"/>
  <c r="AD1557" i="1"/>
  <c r="AE1557" i="1"/>
  <c r="AF1557" i="1"/>
  <c r="AG1557" i="1"/>
  <c r="AH1557" i="1"/>
  <c r="AI1557" i="1"/>
  <c r="AC1558" i="1"/>
  <c r="AD1558" i="1"/>
  <c r="AE1558" i="1"/>
  <c r="AF1558" i="1"/>
  <c r="AG1558" i="1"/>
  <c r="AH1558" i="1"/>
  <c r="AI1558" i="1"/>
  <c r="AC1559" i="1"/>
  <c r="AD1559" i="1"/>
  <c r="AE1559" i="1"/>
  <c r="AF1559" i="1"/>
  <c r="AG1559" i="1"/>
  <c r="AH1559" i="1"/>
  <c r="AI1559" i="1"/>
  <c r="AC1560" i="1"/>
  <c r="AD1560" i="1"/>
  <c r="AE1560" i="1"/>
  <c r="AF1560" i="1"/>
  <c r="AG1560" i="1"/>
  <c r="AH1560" i="1"/>
  <c r="AI1560" i="1"/>
  <c r="AC1561" i="1"/>
  <c r="AD1561" i="1"/>
  <c r="AE1561" i="1"/>
  <c r="AF1561" i="1"/>
  <c r="AG1561" i="1"/>
  <c r="AH1561" i="1"/>
  <c r="AI1561" i="1"/>
  <c r="AC1562" i="1"/>
  <c r="AD1562" i="1"/>
  <c r="AE1562" i="1"/>
  <c r="AF1562" i="1"/>
  <c r="AG1562" i="1"/>
  <c r="AH1562" i="1"/>
  <c r="AI1562" i="1"/>
  <c r="AC1563" i="1"/>
  <c r="AD1563" i="1"/>
  <c r="AE1563" i="1"/>
  <c r="AF1563" i="1"/>
  <c r="AG1563" i="1"/>
  <c r="AH1563" i="1"/>
  <c r="AI1563" i="1"/>
  <c r="AC1564" i="1"/>
  <c r="AD1564" i="1"/>
  <c r="AE1564" i="1"/>
  <c r="AF1564" i="1"/>
  <c r="AG1564" i="1"/>
  <c r="AH1564" i="1"/>
  <c r="AI1564" i="1"/>
  <c r="AC1565" i="1"/>
  <c r="AD1565" i="1"/>
  <c r="AE1565" i="1"/>
  <c r="AF1565" i="1"/>
  <c r="AG1565" i="1"/>
  <c r="AH1565" i="1"/>
  <c r="AI1565" i="1"/>
  <c r="AC1566" i="1"/>
  <c r="AD1566" i="1"/>
  <c r="AE1566" i="1"/>
  <c r="AF1566" i="1"/>
  <c r="AG1566" i="1"/>
  <c r="AH1566" i="1"/>
  <c r="AI1566" i="1"/>
  <c r="AC1567" i="1"/>
  <c r="AD1567" i="1"/>
  <c r="AE1567" i="1"/>
  <c r="AF1567" i="1"/>
  <c r="AG1567" i="1"/>
  <c r="AH1567" i="1"/>
  <c r="AI1567" i="1"/>
  <c r="AC1568" i="1"/>
  <c r="AD1568" i="1"/>
  <c r="AE1568" i="1"/>
  <c r="AF1568" i="1"/>
  <c r="AG1568" i="1"/>
  <c r="AH1568" i="1"/>
  <c r="AI1568" i="1"/>
  <c r="AC1569" i="1"/>
  <c r="AD1569" i="1"/>
  <c r="AE1569" i="1"/>
  <c r="AF1569" i="1"/>
  <c r="AG1569" i="1"/>
  <c r="AH1569" i="1"/>
  <c r="AI1569" i="1"/>
  <c r="AC1570" i="1"/>
  <c r="AD1570" i="1"/>
  <c r="AE1570" i="1"/>
  <c r="AF1570" i="1"/>
  <c r="AG1570" i="1"/>
  <c r="AH1570" i="1"/>
  <c r="AI1570" i="1"/>
  <c r="AC1571" i="1"/>
  <c r="AD1571" i="1"/>
  <c r="AE1571" i="1"/>
  <c r="AF1571" i="1"/>
  <c r="AG1571" i="1"/>
  <c r="AH1571" i="1"/>
  <c r="AI1571" i="1"/>
  <c r="AC1572" i="1"/>
  <c r="AD1572" i="1"/>
  <c r="AE1572" i="1"/>
  <c r="AF1572" i="1"/>
  <c r="AG1572" i="1"/>
  <c r="AH1572" i="1"/>
  <c r="AI1572" i="1"/>
  <c r="AC1573" i="1"/>
  <c r="AD1573" i="1"/>
  <c r="AE1573" i="1"/>
  <c r="AF1573" i="1"/>
  <c r="AG1573" i="1"/>
  <c r="AH1573" i="1"/>
  <c r="AI1573" i="1"/>
  <c r="AC1574" i="1"/>
  <c r="AD1574" i="1"/>
  <c r="AE1574" i="1"/>
  <c r="AF1574" i="1"/>
  <c r="AG1574" i="1"/>
  <c r="AH1574" i="1"/>
  <c r="AI1574" i="1"/>
  <c r="AC1575" i="1"/>
  <c r="AD1575" i="1"/>
  <c r="AE1575" i="1"/>
  <c r="AF1575" i="1"/>
  <c r="AG1575" i="1"/>
  <c r="AH1575" i="1"/>
  <c r="AI1575" i="1"/>
  <c r="AC1576" i="1"/>
  <c r="AD1576" i="1"/>
  <c r="AE1576" i="1"/>
  <c r="AF1576" i="1"/>
  <c r="AG1576" i="1"/>
  <c r="AH1576" i="1"/>
  <c r="AI1576" i="1"/>
  <c r="AC1577" i="1"/>
  <c r="AD1577" i="1"/>
  <c r="AE1577" i="1"/>
  <c r="AF1577" i="1"/>
  <c r="AG1577" i="1"/>
  <c r="AH1577" i="1"/>
  <c r="AI1577" i="1"/>
  <c r="AC1578" i="1"/>
  <c r="AD1578" i="1"/>
  <c r="AE1578" i="1"/>
  <c r="AF1578" i="1"/>
  <c r="AG1578" i="1"/>
  <c r="AH1578" i="1"/>
  <c r="AI1578" i="1"/>
  <c r="AC1579" i="1"/>
  <c r="AD1579" i="1"/>
  <c r="AE1579" i="1"/>
  <c r="AF1579" i="1"/>
  <c r="AG1579" i="1"/>
  <c r="AH1579" i="1"/>
  <c r="AI1579" i="1"/>
  <c r="AC1580" i="1"/>
  <c r="AD1580" i="1"/>
  <c r="AE1580" i="1"/>
  <c r="AF1580" i="1"/>
  <c r="AG1580" i="1"/>
  <c r="AH1580" i="1"/>
  <c r="AI1580" i="1"/>
  <c r="AC1581" i="1"/>
  <c r="AD1581" i="1"/>
  <c r="AE1581" i="1"/>
  <c r="AF1581" i="1"/>
  <c r="AG1581" i="1"/>
  <c r="AH1581" i="1"/>
  <c r="AI1581" i="1"/>
  <c r="AC1582" i="1"/>
  <c r="AD1582" i="1"/>
  <c r="AE1582" i="1"/>
  <c r="AF1582" i="1"/>
  <c r="AG1582" i="1"/>
  <c r="AH1582" i="1"/>
  <c r="AI1582" i="1"/>
  <c r="AC1583" i="1"/>
  <c r="AD1583" i="1"/>
  <c r="AE1583" i="1"/>
  <c r="AF1583" i="1"/>
  <c r="AG1583" i="1"/>
  <c r="AH1583" i="1"/>
  <c r="AI1583" i="1"/>
  <c r="AC1584" i="1"/>
  <c r="AD1584" i="1"/>
  <c r="AE1584" i="1"/>
  <c r="AF1584" i="1"/>
  <c r="AG1584" i="1"/>
  <c r="AH1584" i="1"/>
  <c r="AI1584" i="1"/>
  <c r="AC1585" i="1"/>
  <c r="AD1585" i="1"/>
  <c r="AE1585" i="1"/>
  <c r="AF1585" i="1"/>
  <c r="AG1585" i="1"/>
  <c r="AH1585" i="1"/>
  <c r="AI1585" i="1"/>
  <c r="AC1586" i="1"/>
  <c r="AD1586" i="1"/>
  <c r="AE1586" i="1"/>
  <c r="AF1586" i="1"/>
  <c r="AG1586" i="1"/>
  <c r="AH1586" i="1"/>
  <c r="AI1586" i="1"/>
  <c r="AC1587" i="1"/>
  <c r="AD1587" i="1"/>
  <c r="AE1587" i="1"/>
  <c r="AF1587" i="1"/>
  <c r="AG1587" i="1"/>
  <c r="AH1587" i="1"/>
  <c r="AI1587" i="1"/>
  <c r="AC1588" i="1"/>
  <c r="AD1588" i="1"/>
  <c r="AE1588" i="1"/>
  <c r="AF1588" i="1"/>
  <c r="AG1588" i="1"/>
  <c r="AH1588" i="1"/>
  <c r="AI1588" i="1"/>
  <c r="AC1589" i="1"/>
  <c r="AD1589" i="1"/>
  <c r="AE1589" i="1"/>
  <c r="AF1589" i="1"/>
  <c r="AG1589" i="1"/>
  <c r="AH1589" i="1"/>
  <c r="AI1589" i="1"/>
  <c r="AC1590" i="1"/>
  <c r="AD1590" i="1"/>
  <c r="AE1590" i="1"/>
  <c r="AF1590" i="1"/>
  <c r="AG1590" i="1"/>
  <c r="AH1590" i="1"/>
  <c r="AI1590" i="1"/>
  <c r="AC1591" i="1"/>
  <c r="AD1591" i="1"/>
  <c r="AE1591" i="1"/>
  <c r="AF1591" i="1"/>
  <c r="AG1591" i="1"/>
  <c r="AH1591" i="1"/>
  <c r="AI1591" i="1"/>
  <c r="AC1592" i="1"/>
  <c r="AD1592" i="1"/>
  <c r="AE1592" i="1"/>
  <c r="AF1592" i="1"/>
  <c r="AG1592" i="1"/>
  <c r="AH1592" i="1"/>
  <c r="AI1592" i="1"/>
  <c r="AC1593" i="1"/>
  <c r="AD1593" i="1"/>
  <c r="AE1593" i="1"/>
  <c r="AF1593" i="1"/>
  <c r="AG1593" i="1"/>
  <c r="AH1593" i="1"/>
  <c r="AI1593" i="1"/>
  <c r="AC1594" i="1"/>
  <c r="AD1594" i="1"/>
  <c r="AE1594" i="1"/>
  <c r="AF1594" i="1"/>
  <c r="AG1594" i="1"/>
  <c r="AH1594" i="1"/>
  <c r="AI1594" i="1"/>
  <c r="AC1595" i="1"/>
  <c r="AD1595" i="1"/>
  <c r="AE1595" i="1"/>
  <c r="AF1595" i="1"/>
  <c r="AG1595" i="1"/>
  <c r="AH1595" i="1"/>
  <c r="AI1595" i="1"/>
  <c r="AC1596" i="1"/>
  <c r="AD1596" i="1"/>
  <c r="AE1596" i="1"/>
  <c r="AF1596" i="1"/>
  <c r="AG1596" i="1"/>
  <c r="AH1596" i="1"/>
  <c r="AI1596" i="1"/>
  <c r="AC1597" i="1"/>
  <c r="AD1597" i="1"/>
  <c r="AE1597" i="1"/>
  <c r="AF1597" i="1"/>
  <c r="AG1597" i="1"/>
  <c r="AH1597" i="1"/>
  <c r="AI1597" i="1"/>
  <c r="AC1598" i="1"/>
  <c r="AD1598" i="1"/>
  <c r="AE1598" i="1"/>
  <c r="AF1598" i="1"/>
  <c r="AG1598" i="1"/>
  <c r="AH1598" i="1"/>
  <c r="AI1598" i="1"/>
  <c r="AC1599" i="1"/>
  <c r="AD1599" i="1"/>
  <c r="AE1599" i="1"/>
  <c r="AF1599" i="1"/>
  <c r="AG1599" i="1"/>
  <c r="AH1599" i="1"/>
  <c r="AI1599" i="1"/>
  <c r="AC1600" i="1"/>
  <c r="AD1600" i="1"/>
  <c r="AE1600" i="1"/>
  <c r="AF1600" i="1"/>
  <c r="AG1600" i="1"/>
  <c r="AH1600" i="1"/>
  <c r="AI1600" i="1"/>
  <c r="AC1601" i="1"/>
  <c r="AD1601" i="1"/>
  <c r="AE1601" i="1"/>
  <c r="AF1601" i="1"/>
  <c r="AG1601" i="1"/>
  <c r="AH1601" i="1"/>
  <c r="AI1601" i="1"/>
  <c r="AC1602" i="1"/>
  <c r="AD1602" i="1"/>
  <c r="AE1602" i="1"/>
  <c r="AF1602" i="1"/>
  <c r="AG1602" i="1"/>
  <c r="AH1602" i="1"/>
  <c r="AI1602" i="1"/>
  <c r="AC1603" i="1"/>
  <c r="AD1603" i="1"/>
  <c r="AE1603" i="1"/>
  <c r="AF1603" i="1"/>
  <c r="AG1603" i="1"/>
  <c r="AH1603" i="1"/>
  <c r="AI1603" i="1"/>
  <c r="AC1604" i="1"/>
  <c r="AD1604" i="1"/>
  <c r="AE1604" i="1"/>
  <c r="AF1604" i="1"/>
  <c r="AG1604" i="1"/>
  <c r="AH1604" i="1"/>
  <c r="AI1604" i="1"/>
  <c r="AC1605" i="1"/>
  <c r="AD1605" i="1"/>
  <c r="AE1605" i="1"/>
  <c r="AF1605" i="1"/>
  <c r="AG1605" i="1"/>
  <c r="AH1605" i="1"/>
  <c r="AI1605" i="1"/>
  <c r="AC1606" i="1"/>
  <c r="AD1606" i="1"/>
  <c r="AE1606" i="1"/>
  <c r="AF1606" i="1"/>
  <c r="AG1606" i="1"/>
  <c r="AH1606" i="1"/>
  <c r="AI1606" i="1"/>
  <c r="AC1607" i="1"/>
  <c r="AD1607" i="1"/>
  <c r="AE1607" i="1"/>
  <c r="AF1607" i="1"/>
  <c r="AG1607" i="1"/>
  <c r="AH1607" i="1"/>
  <c r="AI1607" i="1"/>
  <c r="AC1608" i="1"/>
  <c r="AD1608" i="1"/>
  <c r="AE1608" i="1"/>
  <c r="AF1608" i="1"/>
  <c r="AG1608" i="1"/>
  <c r="AH1608" i="1"/>
  <c r="AI1608" i="1"/>
  <c r="AC1609" i="1"/>
  <c r="AD1609" i="1"/>
  <c r="AE1609" i="1"/>
  <c r="AF1609" i="1"/>
  <c r="AG1609" i="1"/>
  <c r="AH1609" i="1"/>
  <c r="AI1609" i="1"/>
  <c r="AC1610" i="1"/>
  <c r="AD1610" i="1"/>
  <c r="AE1610" i="1"/>
  <c r="AF1610" i="1"/>
  <c r="AG1610" i="1"/>
  <c r="AH1610" i="1"/>
  <c r="AI1610" i="1"/>
  <c r="AC1611" i="1"/>
  <c r="AD1611" i="1"/>
  <c r="AE1611" i="1"/>
  <c r="AF1611" i="1"/>
  <c r="AG1611" i="1"/>
  <c r="AH1611" i="1"/>
  <c r="AI1611" i="1"/>
  <c r="AC1612" i="1"/>
  <c r="AD1612" i="1"/>
  <c r="AE1612" i="1"/>
  <c r="AF1612" i="1"/>
  <c r="AG1612" i="1"/>
  <c r="AH1612" i="1"/>
  <c r="AI1612" i="1"/>
  <c r="AC1613" i="1"/>
  <c r="AD1613" i="1"/>
  <c r="AE1613" i="1"/>
  <c r="AF1613" i="1"/>
  <c r="AG1613" i="1"/>
  <c r="AH1613" i="1"/>
  <c r="AI1613" i="1"/>
  <c r="AC1614" i="1"/>
  <c r="AD1614" i="1"/>
  <c r="AE1614" i="1"/>
  <c r="AF1614" i="1"/>
  <c r="AG1614" i="1"/>
  <c r="AH1614" i="1"/>
  <c r="AI1614" i="1"/>
  <c r="AC1615" i="1"/>
  <c r="AD1615" i="1"/>
  <c r="AE1615" i="1"/>
  <c r="AF1615" i="1"/>
  <c r="AG1615" i="1"/>
  <c r="AH1615" i="1"/>
  <c r="AI1615" i="1"/>
  <c r="AC1616" i="1"/>
  <c r="AD1616" i="1"/>
  <c r="AE1616" i="1"/>
  <c r="AF1616" i="1"/>
  <c r="AG1616" i="1"/>
  <c r="AH1616" i="1"/>
  <c r="AI1616" i="1"/>
  <c r="AC1617" i="1"/>
  <c r="AD1617" i="1"/>
  <c r="AE1617" i="1"/>
  <c r="AF1617" i="1"/>
  <c r="AG1617" i="1"/>
  <c r="AH1617" i="1"/>
  <c r="AI1617" i="1"/>
  <c r="AC1618" i="1"/>
  <c r="AD1618" i="1"/>
  <c r="AE1618" i="1"/>
  <c r="AF1618" i="1"/>
  <c r="AG1618" i="1"/>
  <c r="AH1618" i="1"/>
  <c r="AI1618" i="1"/>
  <c r="AC1619" i="1"/>
  <c r="AD1619" i="1"/>
  <c r="AE1619" i="1"/>
  <c r="AF1619" i="1"/>
  <c r="AG1619" i="1"/>
  <c r="AH1619" i="1"/>
  <c r="AI1619" i="1"/>
  <c r="AC1620" i="1"/>
  <c r="AD1620" i="1"/>
  <c r="AE1620" i="1"/>
  <c r="AF1620" i="1"/>
  <c r="AG1620" i="1"/>
  <c r="AH1620" i="1"/>
  <c r="AI1620" i="1"/>
  <c r="AC1621" i="1"/>
  <c r="AD1621" i="1"/>
  <c r="AE1621" i="1"/>
  <c r="AF1621" i="1"/>
  <c r="AG1621" i="1"/>
  <c r="AH1621" i="1"/>
  <c r="AI1621" i="1"/>
  <c r="AC1622" i="1"/>
  <c r="AD1622" i="1"/>
  <c r="AE1622" i="1"/>
  <c r="AF1622" i="1"/>
  <c r="AG1622" i="1"/>
  <c r="AH1622" i="1"/>
  <c r="AI1622" i="1"/>
  <c r="AC1623" i="1"/>
  <c r="AD1623" i="1"/>
  <c r="AE1623" i="1"/>
  <c r="AF1623" i="1"/>
  <c r="AG1623" i="1"/>
  <c r="AH1623" i="1"/>
  <c r="AI1623" i="1"/>
  <c r="AC1624" i="1"/>
  <c r="AD1624" i="1"/>
  <c r="AE1624" i="1"/>
  <c r="AF1624" i="1"/>
  <c r="AG1624" i="1"/>
  <c r="AH1624" i="1"/>
  <c r="AI1624" i="1"/>
  <c r="AC1625" i="1"/>
  <c r="AD1625" i="1"/>
  <c r="AE1625" i="1"/>
  <c r="AF1625" i="1"/>
  <c r="AG1625" i="1"/>
  <c r="AH1625" i="1"/>
  <c r="AI1625" i="1"/>
  <c r="AC1626" i="1"/>
  <c r="AD1626" i="1"/>
  <c r="AE1626" i="1"/>
  <c r="AF1626" i="1"/>
  <c r="AG1626" i="1"/>
  <c r="AH1626" i="1"/>
  <c r="AI1626" i="1"/>
  <c r="AC1627" i="1"/>
  <c r="AD1627" i="1"/>
  <c r="AE1627" i="1"/>
  <c r="AF1627" i="1"/>
  <c r="AG1627" i="1"/>
  <c r="AH1627" i="1"/>
  <c r="AI1627" i="1"/>
  <c r="AC1628" i="1"/>
  <c r="AD1628" i="1"/>
  <c r="AE1628" i="1"/>
  <c r="AF1628" i="1"/>
  <c r="AG1628" i="1"/>
  <c r="AH1628" i="1"/>
  <c r="AI1628" i="1"/>
  <c r="AC1629" i="1"/>
  <c r="AD1629" i="1"/>
  <c r="AE1629" i="1"/>
  <c r="AF1629" i="1"/>
  <c r="AG1629" i="1"/>
  <c r="AH1629" i="1"/>
  <c r="AI1629" i="1"/>
  <c r="AC1630" i="1"/>
  <c r="AD1630" i="1"/>
  <c r="AE1630" i="1"/>
  <c r="AF1630" i="1"/>
  <c r="AG1630" i="1"/>
  <c r="AH1630" i="1"/>
  <c r="AI1630" i="1"/>
  <c r="AC1631" i="1"/>
  <c r="AD1631" i="1"/>
  <c r="AE1631" i="1"/>
  <c r="AF1631" i="1"/>
  <c r="AG1631" i="1"/>
  <c r="AH1631" i="1"/>
  <c r="AI1631" i="1"/>
  <c r="AC1632" i="1"/>
  <c r="AD1632" i="1"/>
  <c r="AE1632" i="1"/>
  <c r="AF1632" i="1"/>
  <c r="AG1632" i="1"/>
  <c r="AH1632" i="1"/>
  <c r="AI1632" i="1"/>
  <c r="AC1633" i="1"/>
  <c r="AD1633" i="1"/>
  <c r="AE1633" i="1"/>
  <c r="AF1633" i="1"/>
  <c r="AG1633" i="1"/>
  <c r="AH1633" i="1"/>
  <c r="AI1633" i="1"/>
  <c r="AC1634" i="1"/>
  <c r="AD1634" i="1"/>
  <c r="AE1634" i="1"/>
  <c r="AF1634" i="1"/>
  <c r="AG1634" i="1"/>
  <c r="AH1634" i="1"/>
  <c r="AI1634" i="1"/>
  <c r="AC1635" i="1"/>
  <c r="AD1635" i="1"/>
  <c r="AE1635" i="1"/>
  <c r="AF1635" i="1"/>
  <c r="AG1635" i="1"/>
  <c r="AH1635" i="1"/>
  <c r="AI1635" i="1"/>
  <c r="AC1636" i="1"/>
  <c r="AD1636" i="1"/>
  <c r="AE1636" i="1"/>
  <c r="AF1636" i="1"/>
  <c r="AG1636" i="1"/>
  <c r="AH1636" i="1"/>
  <c r="AI1636" i="1"/>
  <c r="AC1637" i="1"/>
  <c r="AD1637" i="1"/>
  <c r="AE1637" i="1"/>
  <c r="AF1637" i="1"/>
  <c r="AG1637" i="1"/>
  <c r="AH1637" i="1"/>
  <c r="AI1637" i="1"/>
  <c r="AC1638" i="1"/>
  <c r="AD1638" i="1"/>
  <c r="AE1638" i="1"/>
  <c r="AF1638" i="1"/>
  <c r="AG1638" i="1"/>
  <c r="AH1638" i="1"/>
  <c r="AI1638" i="1"/>
  <c r="AC1639" i="1"/>
  <c r="AD1639" i="1"/>
  <c r="AE1639" i="1"/>
  <c r="AF1639" i="1"/>
  <c r="AG1639" i="1"/>
  <c r="AH1639" i="1"/>
  <c r="AI1639" i="1"/>
  <c r="AC1640" i="1"/>
  <c r="AD1640" i="1"/>
  <c r="AE1640" i="1"/>
  <c r="AF1640" i="1"/>
  <c r="AG1640" i="1"/>
  <c r="AH1640" i="1"/>
  <c r="AI1640" i="1"/>
  <c r="AC1641" i="1"/>
  <c r="AD1641" i="1"/>
  <c r="AE1641" i="1"/>
  <c r="AF1641" i="1"/>
  <c r="AG1641" i="1"/>
  <c r="AH1641" i="1"/>
  <c r="AI1641" i="1"/>
  <c r="AC1642" i="1"/>
  <c r="AD1642" i="1"/>
  <c r="AE1642" i="1"/>
  <c r="AF1642" i="1"/>
  <c r="AG1642" i="1"/>
  <c r="AH1642" i="1"/>
  <c r="AI1642" i="1"/>
  <c r="AC1643" i="1"/>
  <c r="AD1643" i="1"/>
  <c r="AE1643" i="1"/>
  <c r="AF1643" i="1"/>
  <c r="AG1643" i="1"/>
  <c r="AH1643" i="1"/>
  <c r="AI1643" i="1"/>
  <c r="AC1644" i="1"/>
  <c r="AD1644" i="1"/>
  <c r="AE1644" i="1"/>
  <c r="AF1644" i="1"/>
  <c r="AG1644" i="1"/>
  <c r="AH1644" i="1"/>
  <c r="AI1644" i="1"/>
  <c r="AC1645" i="1"/>
  <c r="AD1645" i="1"/>
  <c r="AE1645" i="1"/>
  <c r="AF1645" i="1"/>
  <c r="AG1645" i="1"/>
  <c r="AH1645" i="1"/>
  <c r="AI1645" i="1"/>
  <c r="AC1646" i="1"/>
  <c r="AD1646" i="1"/>
  <c r="AE1646" i="1"/>
  <c r="AF1646" i="1"/>
  <c r="AG1646" i="1"/>
  <c r="AH1646" i="1"/>
  <c r="AI1646" i="1"/>
  <c r="AC1647" i="1"/>
  <c r="AD1647" i="1"/>
  <c r="AE1647" i="1"/>
  <c r="AF1647" i="1"/>
  <c r="AG1647" i="1"/>
  <c r="AH1647" i="1"/>
  <c r="AI1647" i="1"/>
  <c r="AC1648" i="1"/>
  <c r="AD1648" i="1"/>
  <c r="AE1648" i="1"/>
  <c r="AF1648" i="1"/>
  <c r="AG1648" i="1"/>
  <c r="AH1648" i="1"/>
  <c r="AI1648" i="1"/>
  <c r="AC1649" i="1"/>
  <c r="AD1649" i="1"/>
  <c r="AE1649" i="1"/>
  <c r="AF1649" i="1"/>
  <c r="AG1649" i="1"/>
  <c r="AH1649" i="1"/>
  <c r="AI1649" i="1"/>
  <c r="AC1650" i="1"/>
  <c r="AD1650" i="1"/>
  <c r="AE1650" i="1"/>
  <c r="AF1650" i="1"/>
  <c r="AG1650" i="1"/>
  <c r="AH1650" i="1"/>
  <c r="AI1650" i="1"/>
  <c r="AC1651" i="1"/>
  <c r="AD1651" i="1"/>
  <c r="AE1651" i="1"/>
  <c r="AF1651" i="1"/>
  <c r="AG1651" i="1"/>
  <c r="AH1651" i="1"/>
  <c r="AI1651" i="1"/>
  <c r="AC1652" i="1"/>
  <c r="AD1652" i="1"/>
  <c r="AE1652" i="1"/>
  <c r="AF1652" i="1"/>
  <c r="AG1652" i="1"/>
  <c r="AH1652" i="1"/>
  <c r="AI1652" i="1"/>
  <c r="AC1653" i="1"/>
  <c r="AD1653" i="1"/>
  <c r="AE1653" i="1"/>
  <c r="AF1653" i="1"/>
  <c r="AG1653" i="1"/>
  <c r="AH1653" i="1"/>
  <c r="AI1653" i="1"/>
  <c r="AC1654" i="1"/>
  <c r="AD1654" i="1"/>
  <c r="AE1654" i="1"/>
  <c r="AF1654" i="1"/>
  <c r="AG1654" i="1"/>
  <c r="AH1654" i="1"/>
  <c r="AI1654" i="1"/>
  <c r="AC1655" i="1"/>
  <c r="AD1655" i="1"/>
  <c r="AE1655" i="1"/>
  <c r="AF1655" i="1"/>
  <c r="AG1655" i="1"/>
  <c r="AH1655" i="1"/>
  <c r="AI1655" i="1"/>
  <c r="AC1656" i="1"/>
  <c r="AD1656" i="1"/>
  <c r="AE1656" i="1"/>
  <c r="AF1656" i="1"/>
  <c r="AG1656" i="1"/>
  <c r="AH1656" i="1"/>
  <c r="AI1656" i="1"/>
  <c r="AC1657" i="1"/>
  <c r="AD1657" i="1"/>
  <c r="AE1657" i="1"/>
  <c r="AF1657" i="1"/>
  <c r="AG1657" i="1"/>
  <c r="AH1657" i="1"/>
  <c r="AI1657" i="1"/>
  <c r="AC1658" i="1"/>
  <c r="AD1658" i="1"/>
  <c r="AE1658" i="1"/>
  <c r="AF1658" i="1"/>
  <c r="AG1658" i="1"/>
  <c r="AH1658" i="1"/>
  <c r="AI1658" i="1"/>
  <c r="AC1659" i="1"/>
  <c r="AD1659" i="1"/>
  <c r="AE1659" i="1"/>
  <c r="AF1659" i="1"/>
  <c r="AG1659" i="1"/>
  <c r="AH1659" i="1"/>
  <c r="AI1659" i="1"/>
  <c r="AC1660" i="1"/>
  <c r="AD1660" i="1"/>
  <c r="AE1660" i="1"/>
  <c r="AF1660" i="1"/>
  <c r="AG1660" i="1"/>
  <c r="AH1660" i="1"/>
  <c r="AI1660" i="1"/>
  <c r="AC1661" i="1"/>
  <c r="AD1661" i="1"/>
  <c r="AE1661" i="1"/>
  <c r="AF1661" i="1"/>
  <c r="AG1661" i="1"/>
  <c r="AH1661" i="1"/>
  <c r="AI1661" i="1"/>
  <c r="AC1662" i="1"/>
  <c r="AD1662" i="1"/>
  <c r="AE1662" i="1"/>
  <c r="AF1662" i="1"/>
  <c r="AG1662" i="1"/>
  <c r="AH1662" i="1"/>
  <c r="AI1662" i="1"/>
  <c r="AC1663" i="1"/>
  <c r="AD1663" i="1"/>
  <c r="AE1663" i="1"/>
  <c r="AF1663" i="1"/>
  <c r="AG1663" i="1"/>
  <c r="AH1663" i="1"/>
  <c r="AI1663" i="1"/>
  <c r="AC1664" i="1"/>
  <c r="AD1664" i="1"/>
  <c r="AE1664" i="1"/>
  <c r="AF1664" i="1"/>
  <c r="AG1664" i="1"/>
  <c r="AH1664" i="1"/>
  <c r="AI1664" i="1"/>
  <c r="AC1665" i="1"/>
  <c r="AD1665" i="1"/>
  <c r="AE1665" i="1"/>
  <c r="AF1665" i="1"/>
  <c r="AG1665" i="1"/>
  <c r="AH1665" i="1"/>
  <c r="AI1665" i="1"/>
  <c r="AC1666" i="1"/>
  <c r="AD1666" i="1"/>
  <c r="AE1666" i="1"/>
  <c r="AF1666" i="1"/>
  <c r="AG1666" i="1"/>
  <c r="AH1666" i="1"/>
  <c r="AI1666" i="1"/>
  <c r="AC1667" i="1"/>
  <c r="AD1667" i="1"/>
  <c r="AE1667" i="1"/>
  <c r="AF1667" i="1"/>
  <c r="AG1667" i="1"/>
  <c r="AH1667" i="1"/>
  <c r="AI1667" i="1"/>
  <c r="AC1668" i="1"/>
  <c r="AD1668" i="1"/>
  <c r="AE1668" i="1"/>
  <c r="AF1668" i="1"/>
  <c r="AG1668" i="1"/>
  <c r="AH1668" i="1"/>
  <c r="AI1668" i="1"/>
  <c r="AC1669" i="1"/>
  <c r="AD1669" i="1"/>
  <c r="AE1669" i="1"/>
  <c r="AF1669" i="1"/>
  <c r="AG1669" i="1"/>
  <c r="AH1669" i="1"/>
  <c r="AI1669" i="1"/>
  <c r="AC1670" i="1"/>
  <c r="AD1670" i="1"/>
  <c r="AE1670" i="1"/>
  <c r="AF1670" i="1"/>
  <c r="AG1670" i="1"/>
  <c r="AH1670" i="1"/>
  <c r="AI1670" i="1"/>
  <c r="AC1671" i="1"/>
  <c r="AD1671" i="1"/>
  <c r="AE1671" i="1"/>
  <c r="AF1671" i="1"/>
  <c r="AG1671" i="1"/>
  <c r="AH1671" i="1"/>
  <c r="AI1671" i="1"/>
  <c r="AC1672" i="1"/>
  <c r="AD1672" i="1"/>
  <c r="AE1672" i="1"/>
  <c r="AF1672" i="1"/>
  <c r="AG1672" i="1"/>
  <c r="AH1672" i="1"/>
  <c r="AI1672" i="1"/>
  <c r="AC1673" i="1"/>
  <c r="AD1673" i="1"/>
  <c r="AE1673" i="1"/>
  <c r="AF1673" i="1"/>
  <c r="AG1673" i="1"/>
  <c r="AH1673" i="1"/>
  <c r="AI1673" i="1"/>
  <c r="AC1674" i="1"/>
  <c r="AD1674" i="1"/>
  <c r="AE1674" i="1"/>
  <c r="AF1674" i="1"/>
  <c r="AG1674" i="1"/>
  <c r="AH1674" i="1"/>
  <c r="AI1674" i="1"/>
  <c r="AC1675" i="1"/>
  <c r="AD1675" i="1"/>
  <c r="AE1675" i="1"/>
  <c r="AF1675" i="1"/>
  <c r="AG1675" i="1"/>
  <c r="AH1675" i="1"/>
  <c r="AI1675" i="1"/>
  <c r="AC1676" i="1"/>
  <c r="AD1676" i="1"/>
  <c r="AE1676" i="1"/>
  <c r="AF1676" i="1"/>
  <c r="AG1676" i="1"/>
  <c r="AH1676" i="1"/>
  <c r="AI1676" i="1"/>
  <c r="AC1677" i="1"/>
  <c r="AD1677" i="1"/>
  <c r="AE1677" i="1"/>
  <c r="AF1677" i="1"/>
  <c r="AG1677" i="1"/>
  <c r="AH1677" i="1"/>
  <c r="AI1677" i="1"/>
  <c r="AC1678" i="1"/>
  <c r="AD1678" i="1"/>
  <c r="AE1678" i="1"/>
  <c r="AF1678" i="1"/>
  <c r="AG1678" i="1"/>
  <c r="AH1678" i="1"/>
  <c r="AI1678" i="1"/>
  <c r="AC1679" i="1"/>
  <c r="AD1679" i="1"/>
  <c r="AE1679" i="1"/>
  <c r="AF1679" i="1"/>
  <c r="AG1679" i="1"/>
  <c r="AH1679" i="1"/>
  <c r="AI1679" i="1"/>
  <c r="AC1680" i="1"/>
  <c r="AD1680" i="1"/>
  <c r="AE1680" i="1"/>
  <c r="AF1680" i="1"/>
  <c r="AG1680" i="1"/>
  <c r="AH1680" i="1"/>
  <c r="AI1680" i="1"/>
  <c r="AC1681" i="1"/>
  <c r="AD1681" i="1"/>
  <c r="AE1681" i="1"/>
  <c r="AF1681" i="1"/>
  <c r="AG1681" i="1"/>
  <c r="AH1681" i="1"/>
  <c r="AI1681" i="1"/>
  <c r="AC1682" i="1"/>
  <c r="AD1682" i="1"/>
  <c r="AE1682" i="1"/>
  <c r="AF1682" i="1"/>
  <c r="AG1682" i="1"/>
  <c r="AH1682" i="1"/>
  <c r="AI1682" i="1"/>
  <c r="AC1683" i="1"/>
  <c r="AD1683" i="1"/>
  <c r="AE1683" i="1"/>
  <c r="AF1683" i="1"/>
  <c r="AG1683" i="1"/>
  <c r="AH1683" i="1"/>
  <c r="AI1683" i="1"/>
  <c r="AC1684" i="1"/>
  <c r="AD1684" i="1"/>
  <c r="AE1684" i="1"/>
  <c r="AF1684" i="1"/>
  <c r="AG1684" i="1"/>
  <c r="AH1684" i="1"/>
  <c r="AI1684" i="1"/>
  <c r="AC1685" i="1"/>
  <c r="AD1685" i="1"/>
  <c r="AE1685" i="1"/>
  <c r="AF1685" i="1"/>
  <c r="AG1685" i="1"/>
  <c r="AH1685" i="1"/>
  <c r="AI1685" i="1"/>
  <c r="AC1686" i="1"/>
  <c r="AD1686" i="1"/>
  <c r="AE1686" i="1"/>
  <c r="AF1686" i="1"/>
  <c r="AG1686" i="1"/>
  <c r="AH1686" i="1"/>
  <c r="AI1686" i="1"/>
  <c r="AC1687" i="1"/>
  <c r="AD1687" i="1"/>
  <c r="AE1687" i="1"/>
  <c r="AF1687" i="1"/>
  <c r="AG1687" i="1"/>
  <c r="AH1687" i="1"/>
  <c r="AI1687" i="1"/>
  <c r="AC1688" i="1"/>
  <c r="AD1688" i="1"/>
  <c r="AE1688" i="1"/>
  <c r="AF1688" i="1"/>
  <c r="AG1688" i="1"/>
  <c r="AH1688" i="1"/>
  <c r="AI1688" i="1"/>
  <c r="AC1689" i="1"/>
  <c r="AD1689" i="1"/>
  <c r="AE1689" i="1"/>
  <c r="AF1689" i="1"/>
  <c r="AG1689" i="1"/>
  <c r="AH1689" i="1"/>
  <c r="AI1689" i="1"/>
  <c r="AC1690" i="1"/>
  <c r="AD1690" i="1"/>
  <c r="AE1690" i="1"/>
  <c r="AF1690" i="1"/>
  <c r="AG1690" i="1"/>
  <c r="AH1690" i="1"/>
  <c r="AI1690" i="1"/>
  <c r="AC1691" i="1"/>
  <c r="AD1691" i="1"/>
  <c r="AE1691" i="1"/>
  <c r="AF1691" i="1"/>
  <c r="AG1691" i="1"/>
  <c r="AH1691" i="1"/>
  <c r="AI1691" i="1"/>
  <c r="AC1692" i="1"/>
  <c r="AD1692" i="1"/>
  <c r="AE1692" i="1"/>
  <c r="AF1692" i="1"/>
  <c r="AG1692" i="1"/>
  <c r="AH1692" i="1"/>
  <c r="AI1692" i="1"/>
  <c r="AC1693" i="1"/>
  <c r="AD1693" i="1"/>
  <c r="AE1693" i="1"/>
  <c r="AF1693" i="1"/>
  <c r="AG1693" i="1"/>
  <c r="AH1693" i="1"/>
  <c r="AI1693" i="1"/>
  <c r="AC1694" i="1"/>
  <c r="AD1694" i="1"/>
  <c r="AE1694" i="1"/>
  <c r="AF1694" i="1"/>
  <c r="AG1694" i="1"/>
  <c r="AH1694" i="1"/>
  <c r="AI1694" i="1"/>
  <c r="AC1695" i="1"/>
  <c r="AD1695" i="1"/>
  <c r="AE1695" i="1"/>
  <c r="AF1695" i="1"/>
  <c r="AG1695" i="1"/>
  <c r="AH1695" i="1"/>
  <c r="AI1695" i="1"/>
  <c r="AC1696" i="1"/>
  <c r="AD1696" i="1"/>
  <c r="AE1696" i="1"/>
  <c r="AF1696" i="1"/>
  <c r="AG1696" i="1"/>
  <c r="AH1696" i="1"/>
  <c r="AI1696" i="1"/>
  <c r="AC1697" i="1"/>
  <c r="AD1697" i="1"/>
  <c r="AE1697" i="1"/>
  <c r="AF1697" i="1"/>
  <c r="AG1697" i="1"/>
  <c r="AH1697" i="1"/>
  <c r="AI1697" i="1"/>
  <c r="AC1698" i="1"/>
  <c r="AD1698" i="1"/>
  <c r="AE1698" i="1"/>
  <c r="AF1698" i="1"/>
  <c r="AG1698" i="1"/>
  <c r="AH1698" i="1"/>
  <c r="AI1698" i="1"/>
  <c r="AC1699" i="1"/>
  <c r="AD1699" i="1"/>
  <c r="AE1699" i="1"/>
  <c r="AF1699" i="1"/>
  <c r="AG1699" i="1"/>
  <c r="AH1699" i="1"/>
  <c r="AI1699" i="1"/>
  <c r="AC1700" i="1"/>
  <c r="AD1700" i="1"/>
  <c r="AE1700" i="1"/>
  <c r="AF1700" i="1"/>
  <c r="AG1700" i="1"/>
  <c r="AH1700" i="1"/>
  <c r="AI1700" i="1"/>
  <c r="AC1701" i="1"/>
  <c r="AD1701" i="1"/>
  <c r="AE1701" i="1"/>
  <c r="AF1701" i="1"/>
  <c r="AG1701" i="1"/>
  <c r="AH1701" i="1"/>
  <c r="AI1701" i="1"/>
  <c r="AC1702" i="1"/>
  <c r="AD1702" i="1"/>
  <c r="AE1702" i="1"/>
  <c r="AF1702" i="1"/>
  <c r="AG1702" i="1"/>
  <c r="AH1702" i="1"/>
  <c r="AI1702" i="1"/>
  <c r="AC1703" i="1"/>
  <c r="AD1703" i="1"/>
  <c r="AE1703" i="1"/>
  <c r="AF1703" i="1"/>
  <c r="AG1703" i="1"/>
  <c r="AH1703" i="1"/>
  <c r="AI1703" i="1"/>
  <c r="AC1704" i="1"/>
  <c r="AD1704" i="1"/>
  <c r="AE1704" i="1"/>
  <c r="AF1704" i="1"/>
  <c r="AG1704" i="1"/>
  <c r="AH1704" i="1"/>
  <c r="AI1704" i="1"/>
  <c r="AC1705" i="1"/>
  <c r="AD1705" i="1"/>
  <c r="AE1705" i="1"/>
  <c r="AF1705" i="1"/>
  <c r="AG1705" i="1"/>
  <c r="AH1705" i="1"/>
  <c r="AI1705" i="1"/>
  <c r="AC1706" i="1"/>
  <c r="AD1706" i="1"/>
  <c r="AE1706" i="1"/>
  <c r="AF1706" i="1"/>
  <c r="AG1706" i="1"/>
  <c r="AH1706" i="1"/>
  <c r="AI1706" i="1"/>
  <c r="AC1707" i="1"/>
  <c r="AD1707" i="1"/>
  <c r="AE1707" i="1"/>
  <c r="AF1707" i="1"/>
  <c r="AG1707" i="1"/>
  <c r="AH1707" i="1"/>
  <c r="AI1707" i="1"/>
  <c r="AC1708" i="1"/>
  <c r="AD1708" i="1"/>
  <c r="AE1708" i="1"/>
  <c r="AF1708" i="1"/>
  <c r="AG1708" i="1"/>
  <c r="AH1708" i="1"/>
  <c r="AI1708" i="1"/>
  <c r="AC1709" i="1"/>
  <c r="AD1709" i="1"/>
  <c r="AE1709" i="1"/>
  <c r="AF1709" i="1"/>
  <c r="AG1709" i="1"/>
  <c r="AH1709" i="1"/>
  <c r="AI1709" i="1"/>
  <c r="AC1710" i="1"/>
  <c r="AD1710" i="1"/>
  <c r="AE1710" i="1"/>
  <c r="AF1710" i="1"/>
  <c r="AG1710" i="1"/>
  <c r="AH1710" i="1"/>
  <c r="AI1710" i="1"/>
  <c r="AC1711" i="1"/>
  <c r="AD1711" i="1"/>
  <c r="AE1711" i="1"/>
  <c r="AF1711" i="1"/>
  <c r="AG1711" i="1"/>
  <c r="AH1711" i="1"/>
  <c r="AI1711" i="1"/>
  <c r="AC1712" i="1"/>
  <c r="AD1712" i="1"/>
  <c r="AE1712" i="1"/>
  <c r="AF1712" i="1"/>
  <c r="AG1712" i="1"/>
  <c r="AH1712" i="1"/>
  <c r="AI1712" i="1"/>
  <c r="AC1713" i="1"/>
  <c r="AD1713" i="1"/>
  <c r="AE1713" i="1"/>
  <c r="AF1713" i="1"/>
  <c r="AG1713" i="1"/>
  <c r="AH1713" i="1"/>
  <c r="AI1713" i="1"/>
  <c r="AC1714" i="1"/>
  <c r="AD1714" i="1"/>
  <c r="AE1714" i="1"/>
  <c r="AF1714" i="1"/>
  <c r="AG1714" i="1"/>
  <c r="AH1714" i="1"/>
  <c r="AI1714" i="1"/>
  <c r="AC1715" i="1"/>
  <c r="AD1715" i="1"/>
  <c r="AE1715" i="1"/>
  <c r="AF1715" i="1"/>
  <c r="AG1715" i="1"/>
  <c r="AH1715" i="1"/>
  <c r="AI1715" i="1"/>
  <c r="AC1716" i="1"/>
  <c r="AD1716" i="1"/>
  <c r="AE1716" i="1"/>
  <c r="AF1716" i="1"/>
  <c r="AG1716" i="1"/>
  <c r="AH1716" i="1"/>
  <c r="AI1716" i="1"/>
  <c r="AC1717" i="1"/>
  <c r="AD1717" i="1"/>
  <c r="AE1717" i="1"/>
  <c r="AF1717" i="1"/>
  <c r="AG1717" i="1"/>
  <c r="AH1717" i="1"/>
  <c r="AI1717" i="1"/>
  <c r="AC1718" i="1"/>
  <c r="AD1718" i="1"/>
  <c r="AE1718" i="1"/>
  <c r="AF1718" i="1"/>
  <c r="AG1718" i="1"/>
  <c r="AH1718" i="1"/>
  <c r="AI1718" i="1"/>
  <c r="AC1719" i="1"/>
  <c r="AD1719" i="1"/>
  <c r="AE1719" i="1"/>
  <c r="AF1719" i="1"/>
  <c r="AG1719" i="1"/>
  <c r="AH1719" i="1"/>
  <c r="AI1719" i="1"/>
  <c r="AC1720" i="1"/>
  <c r="AD1720" i="1"/>
  <c r="AE1720" i="1"/>
  <c r="AF1720" i="1"/>
  <c r="AG1720" i="1"/>
  <c r="AH1720" i="1"/>
  <c r="AI1720" i="1"/>
  <c r="AC1721" i="1"/>
  <c r="AD1721" i="1"/>
  <c r="AE1721" i="1"/>
  <c r="AF1721" i="1"/>
  <c r="AG1721" i="1"/>
  <c r="AH1721" i="1"/>
  <c r="AI1721" i="1"/>
  <c r="AC1722" i="1"/>
  <c r="AD1722" i="1"/>
  <c r="AE1722" i="1"/>
  <c r="AF1722" i="1"/>
  <c r="AG1722" i="1"/>
  <c r="AH1722" i="1"/>
  <c r="AI1722" i="1"/>
  <c r="AC1723" i="1"/>
  <c r="AD1723" i="1"/>
  <c r="AE1723" i="1"/>
  <c r="AF1723" i="1"/>
  <c r="AG1723" i="1"/>
  <c r="AH1723" i="1"/>
  <c r="AI1723" i="1"/>
  <c r="AC1724" i="1"/>
  <c r="AD1724" i="1"/>
  <c r="AE1724" i="1"/>
  <c r="AF1724" i="1"/>
  <c r="AG1724" i="1"/>
  <c r="AH1724" i="1"/>
  <c r="AI1724" i="1"/>
  <c r="AC1725" i="1"/>
  <c r="AD1725" i="1"/>
  <c r="AE1725" i="1"/>
  <c r="AF1725" i="1"/>
  <c r="AG1725" i="1"/>
  <c r="AH1725" i="1"/>
  <c r="AI1725" i="1"/>
  <c r="AC1726" i="1"/>
  <c r="AD1726" i="1"/>
  <c r="AE1726" i="1"/>
  <c r="AF1726" i="1"/>
  <c r="AG1726" i="1"/>
  <c r="AH1726" i="1"/>
  <c r="AI1726" i="1"/>
  <c r="AC1727" i="1"/>
  <c r="AD1727" i="1"/>
  <c r="AE1727" i="1"/>
  <c r="AF1727" i="1"/>
  <c r="AG1727" i="1"/>
  <c r="AH1727" i="1"/>
  <c r="AI1727" i="1"/>
  <c r="AC1728" i="1"/>
  <c r="AD1728" i="1"/>
  <c r="AE1728" i="1"/>
  <c r="AF1728" i="1"/>
  <c r="AG1728" i="1"/>
  <c r="AH1728" i="1"/>
  <c r="AI1728" i="1"/>
  <c r="AC1729" i="1"/>
  <c r="AD1729" i="1"/>
  <c r="AE1729" i="1"/>
  <c r="AF1729" i="1"/>
  <c r="AG1729" i="1"/>
  <c r="AH1729" i="1"/>
  <c r="AI1729" i="1"/>
  <c r="AC1730" i="1"/>
  <c r="AD1730" i="1"/>
  <c r="AE1730" i="1"/>
  <c r="AF1730" i="1"/>
  <c r="AG1730" i="1"/>
  <c r="AH1730" i="1"/>
  <c r="AI1730" i="1"/>
  <c r="AC1731" i="1"/>
  <c r="AD1731" i="1"/>
  <c r="AE1731" i="1"/>
  <c r="AF1731" i="1"/>
  <c r="AG1731" i="1"/>
  <c r="AH1731" i="1"/>
  <c r="AI1731" i="1"/>
  <c r="AC1732" i="1"/>
  <c r="AD1732" i="1"/>
  <c r="AE1732" i="1"/>
  <c r="AF1732" i="1"/>
  <c r="AG1732" i="1"/>
  <c r="AH1732" i="1"/>
  <c r="AI1732" i="1"/>
  <c r="AC1733" i="1"/>
  <c r="AD1733" i="1"/>
  <c r="AE1733" i="1"/>
  <c r="AF1733" i="1"/>
  <c r="AG1733" i="1"/>
  <c r="AH1733" i="1"/>
  <c r="AI1733" i="1"/>
  <c r="AC1734" i="1"/>
  <c r="AD1734" i="1"/>
  <c r="AE1734" i="1"/>
  <c r="AF1734" i="1"/>
  <c r="AG1734" i="1"/>
  <c r="AH1734" i="1"/>
  <c r="AI1734" i="1"/>
  <c r="AC1735" i="1"/>
  <c r="AD1735" i="1"/>
  <c r="AE1735" i="1"/>
  <c r="AF1735" i="1"/>
  <c r="AG1735" i="1"/>
  <c r="AH1735" i="1"/>
  <c r="AI1735" i="1"/>
  <c r="AC1736" i="1"/>
  <c r="AD1736" i="1"/>
  <c r="AE1736" i="1"/>
  <c r="AF1736" i="1"/>
  <c r="AG1736" i="1"/>
  <c r="AH1736" i="1"/>
  <c r="AI1736" i="1"/>
  <c r="AC1737" i="1"/>
  <c r="AD1737" i="1"/>
  <c r="AE1737" i="1"/>
  <c r="AF1737" i="1"/>
  <c r="AG1737" i="1"/>
  <c r="AH1737" i="1"/>
  <c r="AI1737" i="1"/>
  <c r="AC1738" i="1"/>
  <c r="AD1738" i="1"/>
  <c r="AE1738" i="1"/>
  <c r="AF1738" i="1"/>
  <c r="AG1738" i="1"/>
  <c r="AH1738" i="1"/>
  <c r="AI1738" i="1"/>
  <c r="AC1739" i="1"/>
  <c r="AD1739" i="1"/>
  <c r="AE1739" i="1"/>
  <c r="AF1739" i="1"/>
  <c r="AG1739" i="1"/>
  <c r="AH1739" i="1"/>
  <c r="AI1739" i="1"/>
  <c r="AC1740" i="1"/>
  <c r="AD1740" i="1"/>
  <c r="AE1740" i="1"/>
  <c r="AF1740" i="1"/>
  <c r="AG1740" i="1"/>
  <c r="AH1740" i="1"/>
  <c r="AI1740" i="1"/>
  <c r="AC1741" i="1"/>
  <c r="AD1741" i="1"/>
  <c r="AE1741" i="1"/>
  <c r="AF1741" i="1"/>
  <c r="AG1741" i="1"/>
  <c r="AH1741" i="1"/>
  <c r="AI1741" i="1"/>
  <c r="AC1742" i="1"/>
  <c r="AD1742" i="1"/>
  <c r="AE1742" i="1"/>
  <c r="AF1742" i="1"/>
  <c r="AG1742" i="1"/>
  <c r="AH1742" i="1"/>
  <c r="AI1742" i="1"/>
  <c r="AC1743" i="1"/>
  <c r="AD1743" i="1"/>
  <c r="AE1743" i="1"/>
  <c r="AF1743" i="1"/>
  <c r="AG1743" i="1"/>
  <c r="AH1743" i="1"/>
  <c r="AI1743" i="1"/>
  <c r="AC1744" i="1"/>
  <c r="AD1744" i="1"/>
  <c r="AE1744" i="1"/>
  <c r="AF1744" i="1"/>
  <c r="AG1744" i="1"/>
  <c r="AH1744" i="1"/>
  <c r="AI1744" i="1"/>
  <c r="AC1745" i="1"/>
  <c r="AD1745" i="1"/>
  <c r="AE1745" i="1"/>
  <c r="AF1745" i="1"/>
  <c r="AG1745" i="1"/>
  <c r="AH1745" i="1"/>
  <c r="AI1745" i="1"/>
  <c r="AC1746" i="1"/>
  <c r="AD1746" i="1"/>
  <c r="AE1746" i="1"/>
  <c r="AF1746" i="1"/>
  <c r="AG1746" i="1"/>
  <c r="AH1746" i="1"/>
  <c r="AI1746" i="1"/>
  <c r="AC1747" i="1"/>
  <c r="AD1747" i="1"/>
  <c r="AE1747" i="1"/>
  <c r="AF1747" i="1"/>
  <c r="AG1747" i="1"/>
  <c r="AH1747" i="1"/>
  <c r="AI1747" i="1"/>
  <c r="AC1748" i="1"/>
  <c r="AD1748" i="1"/>
  <c r="AE1748" i="1"/>
  <c r="AF1748" i="1"/>
  <c r="AG1748" i="1"/>
  <c r="AH1748" i="1"/>
  <c r="AI1748" i="1"/>
  <c r="AC1749" i="1"/>
  <c r="AD1749" i="1"/>
  <c r="AE1749" i="1"/>
  <c r="AF1749" i="1"/>
  <c r="AG1749" i="1"/>
  <c r="AH1749" i="1"/>
  <c r="AI1749" i="1"/>
  <c r="AC1750" i="1"/>
  <c r="AD1750" i="1"/>
  <c r="AE1750" i="1"/>
  <c r="AF1750" i="1"/>
  <c r="AG1750" i="1"/>
  <c r="AH1750" i="1"/>
  <c r="AI1750" i="1"/>
  <c r="AC1751" i="1"/>
  <c r="AD1751" i="1"/>
  <c r="AE1751" i="1"/>
  <c r="AF1751" i="1"/>
  <c r="AG1751" i="1"/>
  <c r="AH1751" i="1"/>
  <c r="AI1751" i="1"/>
  <c r="AC1752" i="1"/>
  <c r="AD1752" i="1"/>
  <c r="AE1752" i="1"/>
  <c r="AF1752" i="1"/>
  <c r="AG1752" i="1"/>
  <c r="AH1752" i="1"/>
  <c r="AI1752" i="1"/>
  <c r="AC1753" i="1"/>
  <c r="AD1753" i="1"/>
  <c r="AE1753" i="1"/>
  <c r="AF1753" i="1"/>
  <c r="AG1753" i="1"/>
  <c r="AH1753" i="1"/>
  <c r="AI1753" i="1"/>
  <c r="AC1754" i="1"/>
  <c r="AD1754" i="1"/>
  <c r="AE1754" i="1"/>
  <c r="AF1754" i="1"/>
  <c r="AG1754" i="1"/>
  <c r="AH1754" i="1"/>
  <c r="AI1754" i="1"/>
  <c r="AC1755" i="1"/>
  <c r="AD1755" i="1"/>
  <c r="AE1755" i="1"/>
  <c r="AF1755" i="1"/>
  <c r="AG1755" i="1"/>
  <c r="AH1755" i="1"/>
  <c r="AI1755" i="1"/>
  <c r="AC1756" i="1"/>
  <c r="AD1756" i="1"/>
  <c r="AE1756" i="1"/>
  <c r="AF1756" i="1"/>
  <c r="AG1756" i="1"/>
  <c r="AH1756" i="1"/>
  <c r="AI1756" i="1"/>
  <c r="AC1757" i="1"/>
  <c r="AD1757" i="1"/>
  <c r="AE1757" i="1"/>
  <c r="AF1757" i="1"/>
  <c r="AG1757" i="1"/>
  <c r="AH1757" i="1"/>
  <c r="AI1757" i="1"/>
  <c r="AC1758" i="1"/>
  <c r="AD1758" i="1"/>
  <c r="AE1758" i="1"/>
  <c r="AF1758" i="1"/>
  <c r="AG1758" i="1"/>
  <c r="AH1758" i="1"/>
  <c r="AI1758" i="1"/>
  <c r="AC1759" i="1"/>
  <c r="AD1759" i="1"/>
  <c r="AE1759" i="1"/>
  <c r="AF1759" i="1"/>
  <c r="AG1759" i="1"/>
  <c r="AH1759" i="1"/>
  <c r="AI1759" i="1"/>
  <c r="AC1760" i="1"/>
  <c r="AD1760" i="1"/>
  <c r="AE1760" i="1"/>
  <c r="AF1760" i="1"/>
  <c r="AG1760" i="1"/>
  <c r="AH1760" i="1"/>
  <c r="AI1760" i="1"/>
  <c r="AC1761" i="1"/>
  <c r="AD1761" i="1"/>
  <c r="AE1761" i="1"/>
  <c r="AF1761" i="1"/>
  <c r="AG1761" i="1"/>
  <c r="AH1761" i="1"/>
  <c r="AI1761" i="1"/>
  <c r="AC1762" i="1"/>
  <c r="AD1762" i="1"/>
  <c r="AE1762" i="1"/>
  <c r="AF1762" i="1"/>
  <c r="AG1762" i="1"/>
  <c r="AH1762" i="1"/>
  <c r="AI1762" i="1"/>
  <c r="AC1763" i="1"/>
  <c r="AD1763" i="1"/>
  <c r="AE1763" i="1"/>
  <c r="AF1763" i="1"/>
  <c r="AG1763" i="1"/>
  <c r="AH1763" i="1"/>
  <c r="AI1763" i="1"/>
  <c r="AC1764" i="1"/>
  <c r="AD1764" i="1"/>
  <c r="AE1764" i="1"/>
  <c r="AF1764" i="1"/>
  <c r="AG1764" i="1"/>
  <c r="AH1764" i="1"/>
  <c r="AI1764" i="1"/>
  <c r="AC1765" i="1"/>
  <c r="AD1765" i="1"/>
  <c r="AE1765" i="1"/>
  <c r="AF1765" i="1"/>
  <c r="AG1765" i="1"/>
  <c r="AH1765" i="1"/>
  <c r="AI1765" i="1"/>
  <c r="AC1766" i="1"/>
  <c r="AD1766" i="1"/>
  <c r="AE1766" i="1"/>
  <c r="AF1766" i="1"/>
  <c r="AG1766" i="1"/>
  <c r="AH1766" i="1"/>
  <c r="AI1766" i="1"/>
  <c r="AC1767" i="1"/>
  <c r="AD1767" i="1"/>
  <c r="AE1767" i="1"/>
  <c r="AF1767" i="1"/>
  <c r="AG1767" i="1"/>
  <c r="AH1767" i="1"/>
  <c r="AI1767" i="1"/>
  <c r="AC1768" i="1"/>
  <c r="AD1768" i="1"/>
  <c r="AE1768" i="1"/>
  <c r="AF1768" i="1"/>
  <c r="AG1768" i="1"/>
  <c r="AH1768" i="1"/>
  <c r="AI1768" i="1"/>
  <c r="AC1769" i="1"/>
  <c r="AD1769" i="1"/>
  <c r="AE1769" i="1"/>
  <c r="AF1769" i="1"/>
  <c r="AG1769" i="1"/>
  <c r="AH1769" i="1"/>
  <c r="AI1769" i="1"/>
  <c r="AC1770" i="1"/>
  <c r="AD1770" i="1"/>
  <c r="AE1770" i="1"/>
  <c r="AF1770" i="1"/>
  <c r="AG1770" i="1"/>
  <c r="AH1770" i="1"/>
  <c r="AI1770" i="1"/>
  <c r="AC1771" i="1"/>
  <c r="AD1771" i="1"/>
  <c r="AE1771" i="1"/>
  <c r="AF1771" i="1"/>
  <c r="AG1771" i="1"/>
  <c r="AH1771" i="1"/>
  <c r="AI1771" i="1"/>
  <c r="AC1772" i="1"/>
  <c r="AD1772" i="1"/>
  <c r="AE1772" i="1"/>
  <c r="AF1772" i="1"/>
  <c r="AG1772" i="1"/>
  <c r="AH1772" i="1"/>
  <c r="AI1772" i="1"/>
  <c r="AC1773" i="1"/>
  <c r="AD1773" i="1"/>
  <c r="AE1773" i="1"/>
  <c r="AF1773" i="1"/>
  <c r="AG1773" i="1"/>
  <c r="AH1773" i="1"/>
  <c r="AI1773" i="1"/>
  <c r="AC1774" i="1"/>
  <c r="AD1774" i="1"/>
  <c r="AE1774" i="1"/>
  <c r="AF1774" i="1"/>
  <c r="AG1774" i="1"/>
  <c r="AH1774" i="1"/>
  <c r="AI1774" i="1"/>
  <c r="AC1775" i="1"/>
  <c r="AD1775" i="1"/>
  <c r="AE1775" i="1"/>
  <c r="AF1775" i="1"/>
  <c r="AG1775" i="1"/>
  <c r="AH1775" i="1"/>
  <c r="AI1775" i="1"/>
  <c r="AC1776" i="1"/>
  <c r="AD1776" i="1"/>
  <c r="AE1776" i="1"/>
  <c r="AF1776" i="1"/>
  <c r="AG1776" i="1"/>
  <c r="AH1776" i="1"/>
  <c r="AI1776" i="1"/>
  <c r="AC1777" i="1"/>
  <c r="AD1777" i="1"/>
  <c r="AE1777" i="1"/>
  <c r="AF1777" i="1"/>
  <c r="AG1777" i="1"/>
  <c r="AH1777" i="1"/>
  <c r="AI1777" i="1"/>
  <c r="AC1778" i="1"/>
  <c r="AD1778" i="1"/>
  <c r="AE1778" i="1"/>
  <c r="AF1778" i="1"/>
  <c r="AG1778" i="1"/>
  <c r="AH1778" i="1"/>
  <c r="AI1778" i="1"/>
  <c r="AC1779" i="1"/>
  <c r="AD1779" i="1"/>
  <c r="AE1779" i="1"/>
  <c r="AF1779" i="1"/>
  <c r="AG1779" i="1"/>
  <c r="AH1779" i="1"/>
  <c r="AI1779" i="1"/>
  <c r="AC1780" i="1"/>
  <c r="AD1780" i="1"/>
  <c r="AE1780" i="1"/>
  <c r="AF1780" i="1"/>
  <c r="AG1780" i="1"/>
  <c r="AH1780" i="1"/>
  <c r="AI1780" i="1"/>
  <c r="AC1781" i="1"/>
  <c r="AD1781" i="1"/>
  <c r="AE1781" i="1"/>
  <c r="AF1781" i="1"/>
  <c r="AG1781" i="1"/>
  <c r="AH1781" i="1"/>
  <c r="AI1781" i="1"/>
  <c r="AC1782" i="1"/>
  <c r="AD1782" i="1"/>
  <c r="AE1782" i="1"/>
  <c r="AF1782" i="1"/>
  <c r="AG1782" i="1"/>
  <c r="AH1782" i="1"/>
  <c r="AI1782" i="1"/>
  <c r="AC1783" i="1"/>
  <c r="AD1783" i="1"/>
  <c r="AE1783" i="1"/>
  <c r="AF1783" i="1"/>
  <c r="AG1783" i="1"/>
  <c r="AH1783" i="1"/>
  <c r="AI1783" i="1"/>
  <c r="AC1784" i="1"/>
  <c r="AD1784" i="1"/>
  <c r="AE1784" i="1"/>
  <c r="AF1784" i="1"/>
  <c r="AG1784" i="1"/>
  <c r="AH1784" i="1"/>
  <c r="AI1784" i="1"/>
  <c r="AC1785" i="1"/>
  <c r="AD1785" i="1"/>
  <c r="AE1785" i="1"/>
  <c r="AF1785" i="1"/>
  <c r="AG1785" i="1"/>
  <c r="AH1785" i="1"/>
  <c r="AI1785" i="1"/>
  <c r="AC1786" i="1"/>
  <c r="AD1786" i="1"/>
  <c r="AE1786" i="1"/>
  <c r="AF1786" i="1"/>
  <c r="AG1786" i="1"/>
  <c r="AH1786" i="1"/>
  <c r="AI1786" i="1"/>
  <c r="AC1787" i="1"/>
  <c r="AD1787" i="1"/>
  <c r="AE1787" i="1"/>
  <c r="AF1787" i="1"/>
  <c r="AG1787" i="1"/>
  <c r="AH1787" i="1"/>
  <c r="AI1787" i="1"/>
  <c r="AC1788" i="1"/>
  <c r="AD1788" i="1"/>
  <c r="AE1788" i="1"/>
  <c r="AF1788" i="1"/>
  <c r="AG1788" i="1"/>
  <c r="AH1788" i="1"/>
  <c r="AI1788" i="1"/>
  <c r="AC1789" i="1"/>
  <c r="AD1789" i="1"/>
  <c r="AE1789" i="1"/>
  <c r="AF1789" i="1"/>
  <c r="AG1789" i="1"/>
  <c r="AH1789" i="1"/>
  <c r="AI1789" i="1"/>
  <c r="AC1790" i="1"/>
  <c r="AD1790" i="1"/>
  <c r="AE1790" i="1"/>
  <c r="AF1790" i="1"/>
  <c r="AG1790" i="1"/>
  <c r="AH1790" i="1"/>
  <c r="AI1790" i="1"/>
  <c r="AC1791" i="1"/>
  <c r="AD1791" i="1"/>
  <c r="AE1791" i="1"/>
  <c r="AF1791" i="1"/>
  <c r="AG1791" i="1"/>
  <c r="AH1791" i="1"/>
  <c r="AI1791" i="1"/>
  <c r="AC1792" i="1"/>
  <c r="AD1792" i="1"/>
  <c r="AE1792" i="1"/>
  <c r="AF1792" i="1"/>
  <c r="AG1792" i="1"/>
  <c r="AH1792" i="1"/>
  <c r="AI1792" i="1"/>
  <c r="AC1793" i="1"/>
  <c r="AD1793" i="1"/>
  <c r="AE1793" i="1"/>
  <c r="AF1793" i="1"/>
  <c r="AG1793" i="1"/>
  <c r="AH1793" i="1"/>
  <c r="AI1793" i="1"/>
  <c r="AC1794" i="1"/>
  <c r="AD1794" i="1"/>
  <c r="AE1794" i="1"/>
  <c r="AF1794" i="1"/>
  <c r="AG1794" i="1"/>
  <c r="AH1794" i="1"/>
  <c r="AI1794" i="1"/>
  <c r="AC1795" i="1"/>
  <c r="AD1795" i="1"/>
  <c r="AE1795" i="1"/>
  <c r="AF1795" i="1"/>
  <c r="AG1795" i="1"/>
  <c r="AH1795" i="1"/>
  <c r="AI1795" i="1"/>
  <c r="AC1796" i="1"/>
  <c r="AD1796" i="1"/>
  <c r="AE1796" i="1"/>
  <c r="AF1796" i="1"/>
  <c r="AG1796" i="1"/>
  <c r="AH1796" i="1"/>
  <c r="AI1796" i="1"/>
  <c r="AC1797" i="1"/>
  <c r="AD1797" i="1"/>
  <c r="AE1797" i="1"/>
  <c r="AF1797" i="1"/>
  <c r="AG1797" i="1"/>
  <c r="AH1797" i="1"/>
  <c r="AI1797" i="1"/>
  <c r="AC1798" i="1"/>
  <c r="AD1798" i="1"/>
  <c r="AE1798" i="1"/>
  <c r="AF1798" i="1"/>
  <c r="AG1798" i="1"/>
  <c r="AH1798" i="1"/>
  <c r="AI1798" i="1"/>
  <c r="AC1799" i="1"/>
  <c r="AD1799" i="1"/>
  <c r="AE1799" i="1"/>
  <c r="AF1799" i="1"/>
  <c r="AG1799" i="1"/>
  <c r="AH1799" i="1"/>
  <c r="AI1799" i="1"/>
  <c r="AC1800" i="1"/>
  <c r="AD1800" i="1"/>
  <c r="AE1800" i="1"/>
  <c r="AF1800" i="1"/>
  <c r="AG1800" i="1"/>
  <c r="AH1800" i="1"/>
  <c r="AI1800" i="1"/>
  <c r="AC1801" i="1"/>
  <c r="AD1801" i="1"/>
  <c r="AE1801" i="1"/>
  <c r="AF1801" i="1"/>
  <c r="AG1801" i="1"/>
  <c r="AH1801" i="1"/>
  <c r="AI1801" i="1"/>
  <c r="AC1802" i="1"/>
  <c r="AD1802" i="1"/>
  <c r="AE1802" i="1"/>
  <c r="AF1802" i="1"/>
  <c r="AG1802" i="1"/>
  <c r="AH1802" i="1"/>
  <c r="AI1802" i="1"/>
  <c r="AC1803" i="1"/>
  <c r="AD1803" i="1"/>
  <c r="AE1803" i="1"/>
  <c r="AF1803" i="1"/>
  <c r="AG1803" i="1"/>
  <c r="AH1803" i="1"/>
  <c r="AI1803" i="1"/>
  <c r="AC1804" i="1"/>
  <c r="AD1804" i="1"/>
  <c r="AE1804" i="1"/>
  <c r="AF1804" i="1"/>
  <c r="AG1804" i="1"/>
  <c r="AH1804" i="1"/>
  <c r="AI1804" i="1"/>
  <c r="AC1805" i="1"/>
  <c r="AD1805" i="1"/>
  <c r="AE1805" i="1"/>
  <c r="AF1805" i="1"/>
  <c r="AG1805" i="1"/>
  <c r="AH1805" i="1"/>
  <c r="AI1805" i="1"/>
  <c r="AC1806" i="1"/>
  <c r="AD1806" i="1"/>
  <c r="AE1806" i="1"/>
  <c r="AF1806" i="1"/>
  <c r="AG1806" i="1"/>
  <c r="AH1806" i="1"/>
  <c r="AI1806" i="1"/>
  <c r="AC1807" i="1"/>
  <c r="AD1807" i="1"/>
  <c r="AE1807" i="1"/>
  <c r="AF1807" i="1"/>
  <c r="AG1807" i="1"/>
  <c r="AH1807" i="1"/>
  <c r="AI1807" i="1"/>
  <c r="AC1808" i="1"/>
  <c r="AD1808" i="1"/>
  <c r="AE1808" i="1"/>
  <c r="AF1808" i="1"/>
  <c r="AG1808" i="1"/>
  <c r="AH1808" i="1"/>
  <c r="AI1808" i="1"/>
  <c r="AC1809" i="1"/>
  <c r="AD1809" i="1"/>
  <c r="AE1809" i="1"/>
  <c r="AF1809" i="1"/>
  <c r="AG1809" i="1"/>
  <c r="AH1809" i="1"/>
  <c r="AI1809" i="1"/>
  <c r="AC1810" i="1"/>
  <c r="AD1810" i="1"/>
  <c r="AE1810" i="1"/>
  <c r="AF1810" i="1"/>
  <c r="AG1810" i="1"/>
  <c r="AH1810" i="1"/>
  <c r="AI1810" i="1"/>
  <c r="AC1811" i="1"/>
  <c r="AD1811" i="1"/>
  <c r="AE1811" i="1"/>
  <c r="AF1811" i="1"/>
  <c r="AG1811" i="1"/>
  <c r="AH1811" i="1"/>
  <c r="AI1811" i="1"/>
  <c r="AC1812" i="1"/>
  <c r="AD1812" i="1"/>
  <c r="AE1812" i="1"/>
  <c r="AF1812" i="1"/>
  <c r="AG1812" i="1"/>
  <c r="AH1812" i="1"/>
  <c r="AI1812" i="1"/>
  <c r="AC1813" i="1"/>
  <c r="AD1813" i="1"/>
  <c r="AE1813" i="1"/>
  <c r="AF1813" i="1"/>
  <c r="AG1813" i="1"/>
  <c r="AH1813" i="1"/>
  <c r="AI1813" i="1"/>
  <c r="AC1814" i="1"/>
  <c r="AD1814" i="1"/>
  <c r="AE1814" i="1"/>
  <c r="AF1814" i="1"/>
  <c r="AG1814" i="1"/>
  <c r="AH1814" i="1"/>
  <c r="AI1814" i="1"/>
  <c r="AC1815" i="1"/>
  <c r="AD1815" i="1"/>
  <c r="AE1815" i="1"/>
  <c r="AF1815" i="1"/>
  <c r="AG1815" i="1"/>
  <c r="AH1815" i="1"/>
  <c r="AI1815" i="1"/>
  <c r="AC1816" i="1"/>
  <c r="AD1816" i="1"/>
  <c r="AE1816" i="1"/>
  <c r="AF1816" i="1"/>
  <c r="AG1816" i="1"/>
  <c r="AH1816" i="1"/>
  <c r="AI1816" i="1"/>
  <c r="AC1817" i="1"/>
  <c r="AD1817" i="1"/>
  <c r="AE1817" i="1"/>
  <c r="AF1817" i="1"/>
  <c r="AG1817" i="1"/>
  <c r="AH1817" i="1"/>
  <c r="AI1817" i="1"/>
  <c r="AC1818" i="1"/>
  <c r="AD1818" i="1"/>
  <c r="AE1818" i="1"/>
  <c r="AF1818" i="1"/>
  <c r="AG1818" i="1"/>
  <c r="AH1818" i="1"/>
  <c r="AI1818" i="1"/>
  <c r="AC1819" i="1"/>
  <c r="AD1819" i="1"/>
  <c r="AE1819" i="1"/>
  <c r="AF1819" i="1"/>
  <c r="AG1819" i="1"/>
  <c r="AH1819" i="1"/>
  <c r="AI1819" i="1"/>
  <c r="AC1820" i="1"/>
  <c r="AD1820" i="1"/>
  <c r="AE1820" i="1"/>
  <c r="AF1820" i="1"/>
  <c r="AG1820" i="1"/>
  <c r="AH1820" i="1"/>
  <c r="AI1820" i="1"/>
  <c r="AC1821" i="1"/>
  <c r="AD1821" i="1"/>
  <c r="AE1821" i="1"/>
  <c r="AF1821" i="1"/>
  <c r="AG1821" i="1"/>
  <c r="AH1821" i="1"/>
  <c r="AI1821" i="1"/>
  <c r="AC1822" i="1"/>
  <c r="AD1822" i="1"/>
  <c r="AE1822" i="1"/>
  <c r="AF1822" i="1"/>
  <c r="AG1822" i="1"/>
  <c r="AH1822" i="1"/>
  <c r="AI1822" i="1"/>
  <c r="AC1823" i="1"/>
  <c r="AD1823" i="1"/>
  <c r="AE1823" i="1"/>
  <c r="AF1823" i="1"/>
  <c r="AG1823" i="1"/>
  <c r="AH1823" i="1"/>
  <c r="AI1823" i="1"/>
  <c r="AC1824" i="1"/>
  <c r="AD1824" i="1"/>
  <c r="AE1824" i="1"/>
  <c r="AF1824" i="1"/>
  <c r="AG1824" i="1"/>
  <c r="AH1824" i="1"/>
  <c r="AI1824" i="1"/>
  <c r="AC1825" i="1"/>
  <c r="AD1825" i="1"/>
  <c r="AE1825" i="1"/>
  <c r="AF1825" i="1"/>
  <c r="AG1825" i="1"/>
  <c r="AH1825" i="1"/>
  <c r="AI1825" i="1"/>
  <c r="AC1826" i="1"/>
  <c r="AD1826" i="1"/>
  <c r="AE1826" i="1"/>
  <c r="AF1826" i="1"/>
  <c r="AG1826" i="1"/>
  <c r="AH1826" i="1"/>
  <c r="AI1826" i="1"/>
  <c r="AC1827" i="1"/>
  <c r="AD1827" i="1"/>
  <c r="AE1827" i="1"/>
  <c r="AF1827" i="1"/>
  <c r="AG1827" i="1"/>
  <c r="AH1827" i="1"/>
  <c r="AI1827" i="1"/>
  <c r="AC1828" i="1"/>
  <c r="AD1828" i="1"/>
  <c r="AE1828" i="1"/>
  <c r="AF1828" i="1"/>
  <c r="AG1828" i="1"/>
  <c r="AH1828" i="1"/>
  <c r="AI1828" i="1"/>
  <c r="AC1829" i="1"/>
  <c r="AD1829" i="1"/>
  <c r="AE1829" i="1"/>
  <c r="AF1829" i="1"/>
  <c r="AG1829" i="1"/>
  <c r="AH1829" i="1"/>
  <c r="AI1829" i="1"/>
  <c r="AC1830" i="1"/>
  <c r="AD1830" i="1"/>
  <c r="AE1830" i="1"/>
  <c r="AF1830" i="1"/>
  <c r="AG1830" i="1"/>
  <c r="AH1830" i="1"/>
  <c r="AI1830" i="1"/>
  <c r="AC1831" i="1"/>
  <c r="AD1831" i="1"/>
  <c r="AE1831" i="1"/>
  <c r="AF1831" i="1"/>
  <c r="AG1831" i="1"/>
  <c r="AH1831" i="1"/>
  <c r="AI1831" i="1"/>
  <c r="AC1832" i="1"/>
  <c r="AD1832" i="1"/>
  <c r="AE1832" i="1"/>
  <c r="AF1832" i="1"/>
  <c r="AG1832" i="1"/>
  <c r="AH1832" i="1"/>
  <c r="AI1832" i="1"/>
  <c r="AC1833" i="1"/>
  <c r="AD1833" i="1"/>
  <c r="AE1833" i="1"/>
  <c r="AF1833" i="1"/>
  <c r="AG1833" i="1"/>
  <c r="AH1833" i="1"/>
  <c r="AI1833" i="1"/>
  <c r="AC1834" i="1"/>
  <c r="AD1834" i="1"/>
  <c r="AE1834" i="1"/>
  <c r="AF1834" i="1"/>
  <c r="AG1834" i="1"/>
  <c r="AH1834" i="1"/>
  <c r="AI1834" i="1"/>
  <c r="AC1835" i="1"/>
  <c r="AD1835" i="1"/>
  <c r="AE1835" i="1"/>
  <c r="AF1835" i="1"/>
  <c r="AG1835" i="1"/>
  <c r="AH1835" i="1"/>
  <c r="AI1835" i="1"/>
  <c r="AC1836" i="1"/>
  <c r="AD1836" i="1"/>
  <c r="AE1836" i="1"/>
  <c r="AF1836" i="1"/>
  <c r="AG1836" i="1"/>
  <c r="AH1836" i="1"/>
  <c r="AI1836" i="1"/>
  <c r="AC1837" i="1"/>
  <c r="AD1837" i="1"/>
  <c r="AE1837" i="1"/>
  <c r="AF1837" i="1"/>
  <c r="AG1837" i="1"/>
  <c r="AH1837" i="1"/>
  <c r="AI1837" i="1"/>
  <c r="AC1838" i="1"/>
  <c r="AD1838" i="1"/>
  <c r="AE1838" i="1"/>
  <c r="AF1838" i="1"/>
  <c r="AG1838" i="1"/>
  <c r="AH1838" i="1"/>
  <c r="AI1838" i="1"/>
  <c r="AC1839" i="1"/>
  <c r="AD1839" i="1"/>
  <c r="AE1839" i="1"/>
  <c r="AF1839" i="1"/>
  <c r="AG1839" i="1"/>
  <c r="AH1839" i="1"/>
  <c r="AI1839" i="1"/>
  <c r="AC1840" i="1"/>
  <c r="AD1840" i="1"/>
  <c r="AE1840" i="1"/>
  <c r="AF1840" i="1"/>
  <c r="AG1840" i="1"/>
  <c r="AH1840" i="1"/>
  <c r="AI1840" i="1"/>
  <c r="AC1841" i="1"/>
  <c r="AD1841" i="1"/>
  <c r="AE1841" i="1"/>
  <c r="AF1841" i="1"/>
  <c r="AG1841" i="1"/>
  <c r="AH1841" i="1"/>
  <c r="AI1841" i="1"/>
  <c r="AC1842" i="1"/>
  <c r="AD1842" i="1"/>
  <c r="AE1842" i="1"/>
  <c r="AF1842" i="1"/>
  <c r="AG1842" i="1"/>
  <c r="AH1842" i="1"/>
  <c r="AI1842" i="1"/>
  <c r="AC1843" i="1"/>
  <c r="AD1843" i="1"/>
  <c r="AE1843" i="1"/>
  <c r="AF1843" i="1"/>
  <c r="AG1843" i="1"/>
  <c r="AH1843" i="1"/>
  <c r="AI1843" i="1"/>
  <c r="AC1844" i="1"/>
  <c r="AD1844" i="1"/>
  <c r="AE1844" i="1"/>
  <c r="AF1844" i="1"/>
  <c r="AG1844" i="1"/>
  <c r="AH1844" i="1"/>
  <c r="AI1844" i="1"/>
  <c r="AC1845" i="1"/>
  <c r="AD1845" i="1"/>
  <c r="AE1845" i="1"/>
  <c r="AF1845" i="1"/>
  <c r="AG1845" i="1"/>
  <c r="AH1845" i="1"/>
  <c r="AI1845" i="1"/>
  <c r="AC1846" i="1"/>
  <c r="AD1846" i="1"/>
  <c r="AE1846" i="1"/>
  <c r="AF1846" i="1"/>
  <c r="AG1846" i="1"/>
  <c r="AH1846" i="1"/>
  <c r="AI1846" i="1"/>
  <c r="AC1847" i="1"/>
  <c r="AD1847" i="1"/>
  <c r="AE1847" i="1"/>
  <c r="AF1847" i="1"/>
  <c r="AG1847" i="1"/>
  <c r="AH1847" i="1"/>
  <c r="AI1847" i="1"/>
  <c r="AC1848" i="1"/>
  <c r="AD1848" i="1"/>
  <c r="AE1848" i="1"/>
  <c r="AF1848" i="1"/>
  <c r="AG1848" i="1"/>
  <c r="AH1848" i="1"/>
  <c r="AI1848" i="1"/>
  <c r="AC1849" i="1"/>
  <c r="AD1849" i="1"/>
  <c r="AE1849" i="1"/>
  <c r="AF1849" i="1"/>
  <c r="AG1849" i="1"/>
  <c r="AH1849" i="1"/>
  <c r="AI1849" i="1"/>
  <c r="AC1850" i="1"/>
  <c r="AD1850" i="1"/>
  <c r="AE1850" i="1"/>
  <c r="AF1850" i="1"/>
  <c r="AG1850" i="1"/>
  <c r="AH1850" i="1"/>
  <c r="AI1850" i="1"/>
  <c r="AC1851" i="1"/>
  <c r="AD1851" i="1"/>
  <c r="AE1851" i="1"/>
  <c r="AF1851" i="1"/>
  <c r="AG1851" i="1"/>
  <c r="AH1851" i="1"/>
  <c r="AI1851" i="1"/>
  <c r="AC1852" i="1"/>
  <c r="AD1852" i="1"/>
  <c r="AE1852" i="1"/>
  <c r="AF1852" i="1"/>
  <c r="AG1852" i="1"/>
  <c r="AH1852" i="1"/>
  <c r="AI1852" i="1"/>
  <c r="AC1853" i="1"/>
  <c r="AD1853" i="1"/>
  <c r="AE1853" i="1"/>
  <c r="AF1853" i="1"/>
  <c r="AG1853" i="1"/>
  <c r="AH1853" i="1"/>
  <c r="AI1853" i="1"/>
  <c r="AC1854" i="1"/>
  <c r="AD1854" i="1"/>
  <c r="AE1854" i="1"/>
  <c r="AF1854" i="1"/>
  <c r="AG1854" i="1"/>
  <c r="AH1854" i="1"/>
  <c r="AI1854" i="1"/>
  <c r="AC1855" i="1"/>
  <c r="AD1855" i="1"/>
  <c r="AE1855" i="1"/>
  <c r="AF1855" i="1"/>
  <c r="AG1855" i="1"/>
  <c r="AH1855" i="1"/>
  <c r="AI1855" i="1"/>
  <c r="AC1856" i="1"/>
  <c r="AD1856" i="1"/>
  <c r="AE1856" i="1"/>
  <c r="AF1856" i="1"/>
  <c r="AG1856" i="1"/>
  <c r="AH1856" i="1"/>
  <c r="AI1856" i="1"/>
  <c r="AC1857" i="1"/>
  <c r="AD1857" i="1"/>
  <c r="AE1857" i="1"/>
  <c r="AF1857" i="1"/>
  <c r="AG1857" i="1"/>
  <c r="AH1857" i="1"/>
  <c r="AI1857" i="1"/>
  <c r="AC1858" i="1"/>
  <c r="AD1858" i="1"/>
  <c r="AE1858" i="1"/>
  <c r="AF1858" i="1"/>
  <c r="AG1858" i="1"/>
  <c r="AH1858" i="1"/>
  <c r="AI1858" i="1"/>
  <c r="AC1859" i="1"/>
  <c r="AD1859" i="1"/>
  <c r="AE1859" i="1"/>
  <c r="AF1859" i="1"/>
  <c r="AG1859" i="1"/>
  <c r="AH1859" i="1"/>
  <c r="AI1859" i="1"/>
  <c r="AC1860" i="1"/>
  <c r="AD1860" i="1"/>
  <c r="AE1860" i="1"/>
  <c r="AF1860" i="1"/>
  <c r="AG1860" i="1"/>
  <c r="AH1860" i="1"/>
  <c r="AI1860" i="1"/>
  <c r="AC1861" i="1"/>
  <c r="AD1861" i="1"/>
  <c r="AE1861" i="1"/>
  <c r="AF1861" i="1"/>
  <c r="AG1861" i="1"/>
  <c r="AH1861" i="1"/>
  <c r="AI1861" i="1"/>
  <c r="AC1862" i="1"/>
  <c r="AD1862" i="1"/>
  <c r="AE1862" i="1"/>
  <c r="AF1862" i="1"/>
  <c r="AG1862" i="1"/>
  <c r="AH1862" i="1"/>
  <c r="AI1862" i="1"/>
  <c r="AC1863" i="1"/>
  <c r="AD1863" i="1"/>
  <c r="AE1863" i="1"/>
  <c r="AF1863" i="1"/>
  <c r="AG1863" i="1"/>
  <c r="AH1863" i="1"/>
  <c r="AI1863" i="1"/>
  <c r="AC1864" i="1"/>
  <c r="AD1864" i="1"/>
  <c r="AE1864" i="1"/>
  <c r="AF1864" i="1"/>
  <c r="AG1864" i="1"/>
  <c r="AH1864" i="1"/>
  <c r="AI1864" i="1"/>
  <c r="AC1865" i="1"/>
  <c r="AD1865" i="1"/>
  <c r="AE1865" i="1"/>
  <c r="AF1865" i="1"/>
  <c r="AG1865" i="1"/>
  <c r="AH1865" i="1"/>
  <c r="AI1865" i="1"/>
  <c r="AC1866" i="1"/>
  <c r="AD1866" i="1"/>
  <c r="AE1866" i="1"/>
  <c r="AF1866" i="1"/>
  <c r="AG1866" i="1"/>
  <c r="AH1866" i="1"/>
  <c r="AI1866" i="1"/>
  <c r="AC1867" i="1"/>
  <c r="AD1867" i="1"/>
  <c r="AE1867" i="1"/>
  <c r="AF1867" i="1"/>
  <c r="AG1867" i="1"/>
  <c r="AH1867" i="1"/>
  <c r="AI1867" i="1"/>
  <c r="AC1868" i="1"/>
  <c r="AD1868" i="1"/>
  <c r="AE1868" i="1"/>
  <c r="AF1868" i="1"/>
  <c r="AG1868" i="1"/>
  <c r="AH1868" i="1"/>
  <c r="AI1868" i="1"/>
  <c r="AC1869" i="1"/>
  <c r="AD1869" i="1"/>
  <c r="AE1869" i="1"/>
  <c r="AF1869" i="1"/>
  <c r="AG1869" i="1"/>
  <c r="AH1869" i="1"/>
  <c r="AI1869" i="1"/>
  <c r="AC1870" i="1"/>
  <c r="AD1870" i="1"/>
  <c r="AE1870" i="1"/>
  <c r="AF1870" i="1"/>
  <c r="AG1870" i="1"/>
  <c r="AH1870" i="1"/>
  <c r="AI1870" i="1"/>
  <c r="AC1871" i="1"/>
  <c r="AD1871" i="1"/>
  <c r="AE1871" i="1"/>
  <c r="AF1871" i="1"/>
  <c r="AG1871" i="1"/>
  <c r="AH1871" i="1"/>
  <c r="AI1871" i="1"/>
  <c r="AC1872" i="1"/>
  <c r="AD1872" i="1"/>
  <c r="AE1872" i="1"/>
  <c r="AF1872" i="1"/>
  <c r="AG1872" i="1"/>
  <c r="AH1872" i="1"/>
  <c r="AI1872" i="1"/>
  <c r="AC1873" i="1"/>
  <c r="AD1873" i="1"/>
  <c r="AE1873" i="1"/>
  <c r="AF1873" i="1"/>
  <c r="AG1873" i="1"/>
  <c r="AH1873" i="1"/>
  <c r="AI1873" i="1"/>
  <c r="AC1874" i="1"/>
  <c r="AD1874" i="1"/>
  <c r="AE1874" i="1"/>
  <c r="AF1874" i="1"/>
  <c r="AG1874" i="1"/>
  <c r="AH1874" i="1"/>
  <c r="AI1874" i="1"/>
  <c r="AC1875" i="1"/>
  <c r="AD1875" i="1"/>
  <c r="AE1875" i="1"/>
  <c r="AF1875" i="1"/>
  <c r="AG1875" i="1"/>
  <c r="AH1875" i="1"/>
  <c r="AI1875" i="1"/>
  <c r="AC1876" i="1"/>
  <c r="AD1876" i="1"/>
  <c r="AE1876" i="1"/>
  <c r="AF1876" i="1"/>
  <c r="AG1876" i="1"/>
  <c r="AH1876" i="1"/>
  <c r="AI1876" i="1"/>
  <c r="AC1877" i="1"/>
  <c r="AD1877" i="1"/>
  <c r="AE1877" i="1"/>
  <c r="AF1877" i="1"/>
  <c r="AG1877" i="1"/>
  <c r="AH1877" i="1"/>
  <c r="AI1877" i="1"/>
  <c r="AC1878" i="1"/>
  <c r="AD1878" i="1"/>
  <c r="AE1878" i="1"/>
  <c r="AF1878" i="1"/>
  <c r="AG1878" i="1"/>
  <c r="AH1878" i="1"/>
  <c r="AI1878" i="1"/>
  <c r="AC1879" i="1"/>
  <c r="AD1879" i="1"/>
  <c r="AE1879" i="1"/>
  <c r="AF1879" i="1"/>
  <c r="AG1879" i="1"/>
  <c r="AH1879" i="1"/>
  <c r="AI1879" i="1"/>
  <c r="AC1880" i="1"/>
  <c r="AD1880" i="1"/>
  <c r="AE1880" i="1"/>
  <c r="AF1880" i="1"/>
  <c r="AG1880" i="1"/>
  <c r="AH1880" i="1"/>
  <c r="AI1880" i="1"/>
  <c r="AC1881" i="1"/>
  <c r="AD1881" i="1"/>
  <c r="AE1881" i="1"/>
  <c r="AF1881" i="1"/>
  <c r="AG1881" i="1"/>
  <c r="AH1881" i="1"/>
  <c r="AI1881" i="1"/>
  <c r="AC1882" i="1"/>
  <c r="AD1882" i="1"/>
  <c r="AE1882" i="1"/>
  <c r="AF1882" i="1"/>
  <c r="AG1882" i="1"/>
  <c r="AH1882" i="1"/>
  <c r="AI1882" i="1"/>
  <c r="AC1883" i="1"/>
  <c r="AD1883" i="1"/>
  <c r="AE1883" i="1"/>
  <c r="AF1883" i="1"/>
  <c r="AG1883" i="1"/>
  <c r="AH1883" i="1"/>
  <c r="AI1883" i="1"/>
  <c r="AC1884" i="1"/>
  <c r="AD1884" i="1"/>
  <c r="AE1884" i="1"/>
  <c r="AF1884" i="1"/>
  <c r="AG1884" i="1"/>
  <c r="AH1884" i="1"/>
  <c r="AI1884" i="1"/>
  <c r="AC1885" i="1"/>
  <c r="AD1885" i="1"/>
  <c r="AE1885" i="1"/>
  <c r="AF1885" i="1"/>
  <c r="AG1885" i="1"/>
  <c r="AH1885" i="1"/>
  <c r="AI1885" i="1"/>
  <c r="AC1886" i="1"/>
  <c r="AD1886" i="1"/>
  <c r="AE1886" i="1"/>
  <c r="AF1886" i="1"/>
  <c r="AG1886" i="1"/>
  <c r="AH1886" i="1"/>
  <c r="AI1886" i="1"/>
  <c r="AC1887" i="1"/>
  <c r="AD1887" i="1"/>
  <c r="AE1887" i="1"/>
  <c r="AF1887" i="1"/>
  <c r="AG1887" i="1"/>
  <c r="AH1887" i="1"/>
  <c r="AI1887" i="1"/>
  <c r="AC1888" i="1"/>
  <c r="AD1888" i="1"/>
  <c r="AE1888" i="1"/>
  <c r="AF1888" i="1"/>
  <c r="AG1888" i="1"/>
  <c r="AH1888" i="1"/>
  <c r="AI1888" i="1"/>
  <c r="AC1889" i="1"/>
  <c r="AD1889" i="1"/>
  <c r="AE1889" i="1"/>
  <c r="AF1889" i="1"/>
  <c r="AG1889" i="1"/>
  <c r="AH1889" i="1"/>
  <c r="AI1889" i="1"/>
  <c r="AC1890" i="1"/>
  <c r="AD1890" i="1"/>
  <c r="AE1890" i="1"/>
  <c r="AF1890" i="1"/>
  <c r="AG1890" i="1"/>
  <c r="AH1890" i="1"/>
  <c r="AI1890" i="1"/>
  <c r="AC1891" i="1"/>
  <c r="AD1891" i="1"/>
  <c r="AE1891" i="1"/>
  <c r="AF1891" i="1"/>
  <c r="AG1891" i="1"/>
  <c r="AH1891" i="1"/>
  <c r="AI1891" i="1"/>
  <c r="AC1892" i="1"/>
  <c r="AD1892" i="1"/>
  <c r="AE1892" i="1"/>
  <c r="AF1892" i="1"/>
  <c r="AG1892" i="1"/>
  <c r="AH1892" i="1"/>
  <c r="AI1892" i="1"/>
  <c r="AC1893" i="1"/>
  <c r="AD1893" i="1"/>
  <c r="AE1893" i="1"/>
  <c r="AF1893" i="1"/>
  <c r="AG1893" i="1"/>
  <c r="AH1893" i="1"/>
  <c r="AI1893" i="1"/>
  <c r="AC1894" i="1"/>
  <c r="AD1894" i="1"/>
  <c r="AE1894" i="1"/>
  <c r="AF1894" i="1"/>
  <c r="AG1894" i="1"/>
  <c r="AH1894" i="1"/>
  <c r="AI1894" i="1"/>
  <c r="AC1895" i="1"/>
  <c r="AD1895" i="1"/>
  <c r="AE1895" i="1"/>
  <c r="AF1895" i="1"/>
  <c r="AG1895" i="1"/>
  <c r="AH1895" i="1"/>
  <c r="AI1895" i="1"/>
  <c r="AC1896" i="1"/>
  <c r="AD1896" i="1"/>
  <c r="AE1896" i="1"/>
  <c r="AF1896" i="1"/>
  <c r="AG1896" i="1"/>
  <c r="AH1896" i="1"/>
  <c r="AI1896" i="1"/>
  <c r="AC1897" i="1"/>
  <c r="AD1897" i="1"/>
  <c r="AE1897" i="1"/>
  <c r="AF1897" i="1"/>
  <c r="AG1897" i="1"/>
  <c r="AH1897" i="1"/>
  <c r="AI1897" i="1"/>
  <c r="AC1898" i="1"/>
  <c r="AD1898" i="1"/>
  <c r="AE1898" i="1"/>
  <c r="AF1898" i="1"/>
  <c r="AG1898" i="1"/>
  <c r="AH1898" i="1"/>
  <c r="AI1898" i="1"/>
  <c r="AC1899" i="1"/>
  <c r="AD1899" i="1"/>
  <c r="AE1899" i="1"/>
  <c r="AF1899" i="1"/>
  <c r="AG1899" i="1"/>
  <c r="AH1899" i="1"/>
  <c r="AI1899" i="1"/>
  <c r="AC1900" i="1"/>
  <c r="AD1900" i="1"/>
  <c r="AE1900" i="1"/>
  <c r="AF1900" i="1"/>
  <c r="AG1900" i="1"/>
  <c r="AH1900" i="1"/>
  <c r="AI1900" i="1"/>
  <c r="AC1901" i="1"/>
  <c r="AD1901" i="1"/>
  <c r="AE1901" i="1"/>
  <c r="AF1901" i="1"/>
  <c r="AG1901" i="1"/>
  <c r="AH1901" i="1"/>
  <c r="AI1901" i="1"/>
  <c r="AC1902" i="1"/>
  <c r="AD1902" i="1"/>
  <c r="AE1902" i="1"/>
  <c r="AF1902" i="1"/>
  <c r="AG1902" i="1"/>
  <c r="AH1902" i="1"/>
  <c r="AI1902" i="1"/>
  <c r="AC1903" i="1"/>
  <c r="AD1903" i="1"/>
  <c r="AE1903" i="1"/>
  <c r="AF1903" i="1"/>
  <c r="AG1903" i="1"/>
  <c r="AH1903" i="1"/>
  <c r="AI1903" i="1"/>
  <c r="AC1904" i="1"/>
  <c r="AD1904" i="1"/>
  <c r="AE1904" i="1"/>
  <c r="AF1904" i="1"/>
  <c r="AG1904" i="1"/>
  <c r="AH1904" i="1"/>
  <c r="AI1904" i="1"/>
  <c r="AC1905" i="1"/>
  <c r="AD1905" i="1"/>
  <c r="AE1905" i="1"/>
  <c r="AF1905" i="1"/>
  <c r="AG1905" i="1"/>
  <c r="AH1905" i="1"/>
  <c r="AI1905" i="1"/>
  <c r="AC1906" i="1"/>
  <c r="AD1906" i="1"/>
  <c r="AE1906" i="1"/>
  <c r="AF1906" i="1"/>
  <c r="AG1906" i="1"/>
  <c r="AH1906" i="1"/>
  <c r="AI1906" i="1"/>
  <c r="AC1907" i="1"/>
  <c r="AD1907" i="1"/>
  <c r="AE1907" i="1"/>
  <c r="AF1907" i="1"/>
  <c r="AG1907" i="1"/>
  <c r="AH1907" i="1"/>
  <c r="AI1907" i="1"/>
  <c r="AC1908" i="1"/>
  <c r="AD1908" i="1"/>
  <c r="AE1908" i="1"/>
  <c r="AF1908" i="1"/>
  <c r="AG1908" i="1"/>
  <c r="AH1908" i="1"/>
  <c r="AI1908" i="1"/>
  <c r="AC1909" i="1"/>
  <c r="AD1909" i="1"/>
  <c r="AE1909" i="1"/>
  <c r="AF1909" i="1"/>
  <c r="AG1909" i="1"/>
  <c r="AH1909" i="1"/>
  <c r="AI1909" i="1"/>
  <c r="AC1910" i="1"/>
  <c r="AD1910" i="1"/>
  <c r="AE1910" i="1"/>
  <c r="AF1910" i="1"/>
  <c r="AG1910" i="1"/>
  <c r="AH1910" i="1"/>
  <c r="AI1910" i="1"/>
  <c r="AC1911" i="1"/>
  <c r="AD1911" i="1"/>
  <c r="AE1911" i="1"/>
  <c r="AF1911" i="1"/>
  <c r="AG1911" i="1"/>
  <c r="AH1911" i="1"/>
  <c r="AI1911" i="1"/>
  <c r="AC1912" i="1"/>
  <c r="AD1912" i="1"/>
  <c r="AE1912" i="1"/>
  <c r="AF1912" i="1"/>
  <c r="AG1912" i="1"/>
  <c r="AH1912" i="1"/>
  <c r="AI1912" i="1"/>
  <c r="AC1913" i="1"/>
  <c r="AD1913" i="1"/>
  <c r="AE1913" i="1"/>
  <c r="AF1913" i="1"/>
  <c r="AG1913" i="1"/>
  <c r="AH1913" i="1"/>
  <c r="AI1913" i="1"/>
  <c r="AC1914" i="1"/>
  <c r="AD1914" i="1"/>
  <c r="AE1914" i="1"/>
  <c r="AF1914" i="1"/>
  <c r="AG1914" i="1"/>
  <c r="AH1914" i="1"/>
  <c r="AI1914" i="1"/>
  <c r="AC1915" i="1"/>
  <c r="AD1915" i="1"/>
  <c r="AE1915" i="1"/>
  <c r="AF1915" i="1"/>
  <c r="AG1915" i="1"/>
  <c r="AH1915" i="1"/>
  <c r="AI1915" i="1"/>
  <c r="AC1916" i="1"/>
  <c r="AD1916" i="1"/>
  <c r="AE1916" i="1"/>
  <c r="AF1916" i="1"/>
  <c r="AG1916" i="1"/>
  <c r="AH1916" i="1"/>
  <c r="AI1916" i="1"/>
  <c r="AC1917" i="1"/>
  <c r="AD1917" i="1"/>
  <c r="AE1917" i="1"/>
  <c r="AF1917" i="1"/>
  <c r="AG1917" i="1"/>
  <c r="AH1917" i="1"/>
  <c r="AI1917" i="1"/>
  <c r="AC1918" i="1"/>
  <c r="AD1918" i="1"/>
  <c r="AE1918" i="1"/>
  <c r="AF1918" i="1"/>
  <c r="AG1918" i="1"/>
  <c r="AH1918" i="1"/>
  <c r="AI1918" i="1"/>
  <c r="AC1919" i="1"/>
  <c r="AD1919" i="1"/>
  <c r="AE1919" i="1"/>
  <c r="AF1919" i="1"/>
  <c r="AG1919" i="1"/>
  <c r="AH1919" i="1"/>
  <c r="AI1919" i="1"/>
  <c r="AC1920" i="1"/>
  <c r="AD1920" i="1"/>
  <c r="AE1920" i="1"/>
  <c r="AF1920" i="1"/>
  <c r="AG1920" i="1"/>
  <c r="AH1920" i="1"/>
  <c r="AI1920" i="1"/>
  <c r="AC1921" i="1"/>
  <c r="AD1921" i="1"/>
  <c r="AE1921" i="1"/>
  <c r="AF1921" i="1"/>
  <c r="AG1921" i="1"/>
  <c r="AH1921" i="1"/>
  <c r="AI1921" i="1"/>
  <c r="AC1922" i="1"/>
  <c r="AD1922" i="1"/>
  <c r="AE1922" i="1"/>
  <c r="AF1922" i="1"/>
  <c r="AG1922" i="1"/>
  <c r="AH1922" i="1"/>
  <c r="AI1922" i="1"/>
  <c r="AC1923" i="1"/>
  <c r="AD1923" i="1"/>
  <c r="AE1923" i="1"/>
  <c r="AF1923" i="1"/>
  <c r="AG1923" i="1"/>
  <c r="AH1923" i="1"/>
  <c r="AI1923" i="1"/>
  <c r="AC1924" i="1"/>
  <c r="AD1924" i="1"/>
  <c r="AE1924" i="1"/>
  <c r="AF1924" i="1"/>
  <c r="AG1924" i="1"/>
  <c r="AH1924" i="1"/>
  <c r="AI1924" i="1"/>
  <c r="AC1925" i="1"/>
  <c r="AD1925" i="1"/>
  <c r="AE1925" i="1"/>
  <c r="AF1925" i="1"/>
  <c r="AG1925" i="1"/>
  <c r="AH1925" i="1"/>
  <c r="AI1925" i="1"/>
  <c r="AC1926" i="1"/>
  <c r="AD1926" i="1"/>
  <c r="AE1926" i="1"/>
  <c r="AF1926" i="1"/>
  <c r="AG1926" i="1"/>
  <c r="AH1926" i="1"/>
  <c r="AI1926" i="1"/>
  <c r="AC1927" i="1"/>
  <c r="AD1927" i="1"/>
  <c r="AE1927" i="1"/>
  <c r="AF1927" i="1"/>
  <c r="AG1927" i="1"/>
  <c r="AH1927" i="1"/>
  <c r="AI1927" i="1"/>
  <c r="AC1928" i="1"/>
  <c r="AD1928" i="1"/>
  <c r="AE1928" i="1"/>
  <c r="AF1928" i="1"/>
  <c r="AG1928" i="1"/>
  <c r="AH1928" i="1"/>
  <c r="AI1928" i="1"/>
  <c r="AC1929" i="1"/>
  <c r="AD1929" i="1"/>
  <c r="AE1929" i="1"/>
  <c r="AF1929" i="1"/>
  <c r="AG1929" i="1"/>
  <c r="AH1929" i="1"/>
  <c r="AI1929" i="1"/>
  <c r="AC1930" i="1"/>
  <c r="AD1930" i="1"/>
  <c r="AE1930" i="1"/>
  <c r="AF1930" i="1"/>
  <c r="AG1930" i="1"/>
  <c r="AH1930" i="1"/>
  <c r="AI1930" i="1"/>
  <c r="AC1931" i="1"/>
  <c r="AD1931" i="1"/>
  <c r="AE1931" i="1"/>
  <c r="AF1931" i="1"/>
  <c r="AG1931" i="1"/>
  <c r="AH1931" i="1"/>
  <c r="AI1931" i="1"/>
  <c r="AC1932" i="1"/>
  <c r="AD1932" i="1"/>
  <c r="AE1932" i="1"/>
  <c r="AF1932" i="1"/>
  <c r="AG1932" i="1"/>
  <c r="AH1932" i="1"/>
  <c r="AI1932" i="1"/>
  <c r="AC1933" i="1"/>
  <c r="AD1933" i="1"/>
  <c r="AE1933" i="1"/>
  <c r="AF1933" i="1"/>
  <c r="AG1933" i="1"/>
  <c r="AH1933" i="1"/>
  <c r="AI1933" i="1"/>
  <c r="AC1934" i="1"/>
  <c r="AD1934" i="1"/>
  <c r="AE1934" i="1"/>
  <c r="AF1934" i="1"/>
  <c r="AG1934" i="1"/>
  <c r="AH1934" i="1"/>
  <c r="AI1934" i="1"/>
  <c r="AC1935" i="1"/>
  <c r="AD1935" i="1"/>
  <c r="AE1935" i="1"/>
  <c r="AF1935" i="1"/>
  <c r="AG1935" i="1"/>
  <c r="AH1935" i="1"/>
  <c r="AI1935" i="1"/>
  <c r="AC1936" i="1"/>
  <c r="AD1936" i="1"/>
  <c r="AE1936" i="1"/>
  <c r="AF1936" i="1"/>
  <c r="AG1936" i="1"/>
  <c r="AH1936" i="1"/>
  <c r="AI1936" i="1"/>
  <c r="AC1937" i="1"/>
  <c r="AD1937" i="1"/>
  <c r="AE1937" i="1"/>
  <c r="AF1937" i="1"/>
  <c r="AG1937" i="1"/>
  <c r="AH1937" i="1"/>
  <c r="AI1937" i="1"/>
  <c r="AC1938" i="1"/>
  <c r="AD1938" i="1"/>
  <c r="AE1938" i="1"/>
  <c r="AF1938" i="1"/>
  <c r="AG1938" i="1"/>
  <c r="AH1938" i="1"/>
  <c r="AI1938" i="1"/>
  <c r="AC1939" i="1"/>
  <c r="AD1939" i="1"/>
  <c r="AE1939" i="1"/>
  <c r="AF1939" i="1"/>
  <c r="AG1939" i="1"/>
  <c r="AH1939" i="1"/>
  <c r="AI1939" i="1"/>
  <c r="AC1940" i="1"/>
  <c r="AD1940" i="1"/>
  <c r="AE1940" i="1"/>
  <c r="AF1940" i="1"/>
  <c r="AG1940" i="1"/>
  <c r="AH1940" i="1"/>
  <c r="AI1940" i="1"/>
  <c r="AC1941" i="1"/>
  <c r="AD1941" i="1"/>
  <c r="AE1941" i="1"/>
  <c r="AF1941" i="1"/>
  <c r="AG1941" i="1"/>
  <c r="AH1941" i="1"/>
  <c r="AI1941" i="1"/>
  <c r="AC1942" i="1"/>
  <c r="AD1942" i="1"/>
  <c r="AE1942" i="1"/>
  <c r="AF1942" i="1"/>
  <c r="AG1942" i="1"/>
  <c r="AH1942" i="1"/>
  <c r="AI1942" i="1"/>
  <c r="AC1943" i="1"/>
  <c r="AD1943" i="1"/>
  <c r="AE1943" i="1"/>
  <c r="AF1943" i="1"/>
  <c r="AG1943" i="1"/>
  <c r="AH1943" i="1"/>
  <c r="AI1943" i="1"/>
  <c r="AC1944" i="1"/>
  <c r="AD1944" i="1"/>
  <c r="AE1944" i="1"/>
  <c r="AF1944" i="1"/>
  <c r="AG1944" i="1"/>
  <c r="AH1944" i="1"/>
  <c r="AI1944" i="1"/>
  <c r="AC1945" i="1"/>
  <c r="AD1945" i="1"/>
  <c r="AE1945" i="1"/>
  <c r="AF1945" i="1"/>
  <c r="AG1945" i="1"/>
  <c r="AH1945" i="1"/>
  <c r="AI1945" i="1"/>
  <c r="AC1946" i="1"/>
  <c r="AD1946" i="1"/>
  <c r="AE1946" i="1"/>
  <c r="AF1946" i="1"/>
  <c r="AG1946" i="1"/>
  <c r="AH1946" i="1"/>
  <c r="AI1946" i="1"/>
  <c r="AC1947" i="1"/>
  <c r="AD1947" i="1"/>
  <c r="AE1947" i="1"/>
  <c r="AF1947" i="1"/>
  <c r="AG1947" i="1"/>
  <c r="AH1947" i="1"/>
  <c r="AI1947" i="1"/>
  <c r="AC1948" i="1"/>
  <c r="AD1948" i="1"/>
  <c r="AE1948" i="1"/>
  <c r="AF1948" i="1"/>
  <c r="AG1948" i="1"/>
  <c r="AH1948" i="1"/>
  <c r="AI1948" i="1"/>
  <c r="AC1949" i="1"/>
  <c r="AD1949" i="1"/>
  <c r="AE1949" i="1"/>
  <c r="AF1949" i="1"/>
  <c r="AG1949" i="1"/>
  <c r="AH1949" i="1"/>
  <c r="AI1949" i="1"/>
  <c r="AC1950" i="1"/>
  <c r="AD1950" i="1"/>
  <c r="AE1950" i="1"/>
  <c r="AF1950" i="1"/>
  <c r="AG1950" i="1"/>
  <c r="AH1950" i="1"/>
  <c r="AI1950" i="1"/>
  <c r="AC1951" i="1"/>
  <c r="AD1951" i="1"/>
  <c r="AE1951" i="1"/>
  <c r="AF1951" i="1"/>
  <c r="AG1951" i="1"/>
  <c r="AH1951" i="1"/>
  <c r="AI1951" i="1"/>
  <c r="AC1952" i="1"/>
  <c r="AD1952" i="1"/>
  <c r="AE1952" i="1"/>
  <c r="AF1952" i="1"/>
  <c r="AG1952" i="1"/>
  <c r="AH1952" i="1"/>
  <c r="AI1952" i="1"/>
  <c r="AC1953" i="1"/>
  <c r="AD1953" i="1"/>
  <c r="AE1953" i="1"/>
  <c r="AF1953" i="1"/>
  <c r="AG1953" i="1"/>
  <c r="AH1953" i="1"/>
  <c r="AI1953" i="1"/>
  <c r="AC1954" i="1"/>
  <c r="AD1954" i="1"/>
  <c r="AE1954" i="1"/>
  <c r="AF1954" i="1"/>
  <c r="AG1954" i="1"/>
  <c r="AH1954" i="1"/>
  <c r="AI1954" i="1"/>
  <c r="AC1955" i="1"/>
  <c r="AD1955" i="1"/>
  <c r="AE1955" i="1"/>
  <c r="AF1955" i="1"/>
  <c r="AG1955" i="1"/>
  <c r="AH1955" i="1"/>
  <c r="AI1955" i="1"/>
  <c r="AC1956" i="1"/>
  <c r="AD1956" i="1"/>
  <c r="AE1956" i="1"/>
  <c r="AF1956" i="1"/>
  <c r="AG1956" i="1"/>
  <c r="AH1956" i="1"/>
  <c r="AI1956" i="1"/>
  <c r="AC1957" i="1"/>
  <c r="AD1957" i="1"/>
  <c r="AE1957" i="1"/>
  <c r="AF1957" i="1"/>
  <c r="AG1957" i="1"/>
  <c r="AH1957" i="1"/>
  <c r="AI1957" i="1"/>
  <c r="AC1958" i="1"/>
  <c r="AD1958" i="1"/>
  <c r="AE1958" i="1"/>
  <c r="AF1958" i="1"/>
  <c r="AG1958" i="1"/>
  <c r="AH1958" i="1"/>
  <c r="AI1958" i="1"/>
  <c r="AC1959" i="1"/>
  <c r="AD1959" i="1"/>
  <c r="AE1959" i="1"/>
  <c r="AF1959" i="1"/>
  <c r="AG1959" i="1"/>
  <c r="AH1959" i="1"/>
  <c r="AI1959" i="1"/>
  <c r="AC1960" i="1"/>
  <c r="AD1960" i="1"/>
  <c r="AE1960" i="1"/>
  <c r="AF1960" i="1"/>
  <c r="AG1960" i="1"/>
  <c r="AH1960" i="1"/>
  <c r="AI1960" i="1"/>
  <c r="AC1961" i="1"/>
  <c r="AD1961" i="1"/>
  <c r="AE1961" i="1"/>
  <c r="AF1961" i="1"/>
  <c r="AG1961" i="1"/>
  <c r="AH1961" i="1"/>
  <c r="AI1961" i="1"/>
  <c r="AC1962" i="1"/>
  <c r="AD1962" i="1"/>
  <c r="AE1962" i="1"/>
  <c r="AF1962" i="1"/>
  <c r="AG1962" i="1"/>
  <c r="AH1962" i="1"/>
  <c r="AI1962" i="1"/>
  <c r="AC1963" i="1"/>
  <c r="AD1963" i="1"/>
  <c r="AE1963" i="1"/>
  <c r="AF1963" i="1"/>
  <c r="AG1963" i="1"/>
  <c r="AH1963" i="1"/>
  <c r="AI1963" i="1"/>
  <c r="AC1964" i="1"/>
  <c r="AD1964" i="1"/>
  <c r="AE1964" i="1"/>
  <c r="AF1964" i="1"/>
  <c r="AG1964" i="1"/>
  <c r="AH1964" i="1"/>
  <c r="AI1964" i="1"/>
  <c r="AC1965" i="1"/>
  <c r="AD1965" i="1"/>
  <c r="AE1965" i="1"/>
  <c r="AF1965" i="1"/>
  <c r="AG1965" i="1"/>
  <c r="AH1965" i="1"/>
  <c r="AI1965" i="1"/>
  <c r="AC1966" i="1"/>
  <c r="AD1966" i="1"/>
  <c r="AE1966" i="1"/>
  <c r="AF1966" i="1"/>
  <c r="AG1966" i="1"/>
  <c r="AH1966" i="1"/>
  <c r="AI1966" i="1"/>
  <c r="AC1967" i="1"/>
  <c r="AD1967" i="1"/>
  <c r="AE1967" i="1"/>
  <c r="AF1967" i="1"/>
  <c r="AG1967" i="1"/>
  <c r="AH1967" i="1"/>
  <c r="AI1967" i="1"/>
  <c r="AC1968" i="1"/>
  <c r="AD1968" i="1"/>
  <c r="AE1968" i="1"/>
  <c r="AF1968" i="1"/>
  <c r="AG1968" i="1"/>
  <c r="AH1968" i="1"/>
  <c r="AI1968" i="1"/>
  <c r="AC1969" i="1"/>
  <c r="AD1969" i="1"/>
  <c r="AE1969" i="1"/>
  <c r="AF1969" i="1"/>
  <c r="AG1969" i="1"/>
  <c r="AH1969" i="1"/>
  <c r="AI1969" i="1"/>
  <c r="AC1970" i="1"/>
  <c r="AD1970" i="1"/>
  <c r="AE1970" i="1"/>
  <c r="AF1970" i="1"/>
  <c r="AG1970" i="1"/>
  <c r="AH1970" i="1"/>
  <c r="AI1970" i="1"/>
  <c r="AC1971" i="1"/>
  <c r="AD1971" i="1"/>
  <c r="AE1971" i="1"/>
  <c r="AF1971" i="1"/>
  <c r="AG1971" i="1"/>
  <c r="AH1971" i="1"/>
  <c r="AI1971" i="1"/>
  <c r="AC1972" i="1"/>
  <c r="AD1972" i="1"/>
  <c r="AE1972" i="1"/>
  <c r="AF1972" i="1"/>
  <c r="AG1972" i="1"/>
  <c r="AH1972" i="1"/>
  <c r="AI1972" i="1"/>
  <c r="AC1973" i="1"/>
  <c r="AD1973" i="1"/>
  <c r="AE1973" i="1"/>
  <c r="AF1973" i="1"/>
  <c r="AG1973" i="1"/>
  <c r="AH1973" i="1"/>
  <c r="AI1973" i="1"/>
  <c r="AC1974" i="1"/>
  <c r="AD1974" i="1"/>
  <c r="AE1974" i="1"/>
  <c r="AF1974" i="1"/>
  <c r="AG1974" i="1"/>
  <c r="AH1974" i="1"/>
  <c r="AI1974" i="1"/>
  <c r="AC1975" i="1"/>
  <c r="AD1975" i="1"/>
  <c r="AE1975" i="1"/>
  <c r="AF1975" i="1"/>
  <c r="AG1975" i="1"/>
  <c r="AH1975" i="1"/>
  <c r="AI1975" i="1"/>
  <c r="AC1976" i="1"/>
  <c r="AD1976" i="1"/>
  <c r="AE1976" i="1"/>
  <c r="AF1976" i="1"/>
  <c r="AG1976" i="1"/>
  <c r="AH1976" i="1"/>
  <c r="AI1976" i="1"/>
  <c r="AC1977" i="1"/>
  <c r="AD1977" i="1"/>
  <c r="AE1977" i="1"/>
  <c r="AF1977" i="1"/>
  <c r="AG1977" i="1"/>
  <c r="AH1977" i="1"/>
  <c r="AI1977" i="1"/>
  <c r="AC1978" i="1"/>
  <c r="AD1978" i="1"/>
  <c r="AE1978" i="1"/>
  <c r="AF1978" i="1"/>
  <c r="AG1978" i="1"/>
  <c r="AH1978" i="1"/>
  <c r="AI1978" i="1"/>
  <c r="AC1979" i="1"/>
  <c r="AD1979" i="1"/>
  <c r="AE1979" i="1"/>
  <c r="AF1979" i="1"/>
  <c r="AG1979" i="1"/>
  <c r="AH1979" i="1"/>
  <c r="AI1979" i="1"/>
  <c r="AC1980" i="1"/>
  <c r="AD1980" i="1"/>
  <c r="AE1980" i="1"/>
  <c r="AF1980" i="1"/>
  <c r="AG1980" i="1"/>
  <c r="AH1980" i="1"/>
  <c r="AI1980" i="1"/>
  <c r="AC1981" i="1"/>
  <c r="AD1981" i="1"/>
  <c r="AE1981" i="1"/>
  <c r="AF1981" i="1"/>
  <c r="AG1981" i="1"/>
  <c r="AH1981" i="1"/>
  <c r="AI1981" i="1"/>
  <c r="AC1982" i="1"/>
  <c r="AD1982" i="1"/>
  <c r="AE1982" i="1"/>
  <c r="AF1982" i="1"/>
  <c r="AG1982" i="1"/>
  <c r="AH1982" i="1"/>
  <c r="AI1982" i="1"/>
  <c r="AC1983" i="1"/>
  <c r="AD1983" i="1"/>
  <c r="AE1983" i="1"/>
  <c r="AF1983" i="1"/>
  <c r="AG1983" i="1"/>
  <c r="AH1983" i="1"/>
  <c r="AI1983" i="1"/>
  <c r="AC1984" i="1"/>
  <c r="AD1984" i="1"/>
  <c r="AE1984" i="1"/>
  <c r="AF1984" i="1"/>
  <c r="AG1984" i="1"/>
  <c r="AH1984" i="1"/>
  <c r="AI1984" i="1"/>
  <c r="AC1985" i="1"/>
  <c r="AD1985" i="1"/>
  <c r="AE1985" i="1"/>
  <c r="AF1985" i="1"/>
  <c r="AG1985" i="1"/>
  <c r="AH1985" i="1"/>
  <c r="AI1985" i="1"/>
  <c r="AC1986" i="1"/>
  <c r="AD1986" i="1"/>
  <c r="AE1986" i="1"/>
  <c r="AF1986" i="1"/>
  <c r="AG1986" i="1"/>
  <c r="AH1986" i="1"/>
  <c r="AI1986" i="1"/>
  <c r="AC1987" i="1"/>
  <c r="AD1987" i="1"/>
  <c r="AE1987" i="1"/>
  <c r="AF1987" i="1"/>
  <c r="AG1987" i="1"/>
  <c r="AH1987" i="1"/>
  <c r="AI1987" i="1"/>
  <c r="AC1988" i="1"/>
  <c r="AD1988" i="1"/>
  <c r="AE1988" i="1"/>
  <c r="AF1988" i="1"/>
  <c r="AG1988" i="1"/>
  <c r="AH1988" i="1"/>
  <c r="AI1988" i="1"/>
  <c r="AC1989" i="1"/>
  <c r="AD1989" i="1"/>
  <c r="AE1989" i="1"/>
  <c r="AF1989" i="1"/>
  <c r="AG1989" i="1"/>
  <c r="AH1989" i="1"/>
  <c r="AI1989" i="1"/>
  <c r="AC1990" i="1"/>
  <c r="AD1990" i="1"/>
  <c r="AE1990" i="1"/>
  <c r="AF1990" i="1"/>
  <c r="AG1990" i="1"/>
  <c r="AH1990" i="1"/>
  <c r="AI1990" i="1"/>
  <c r="AC1991" i="1"/>
  <c r="AD1991" i="1"/>
  <c r="AE1991" i="1"/>
  <c r="AF1991" i="1"/>
  <c r="AG1991" i="1"/>
  <c r="AH1991" i="1"/>
  <c r="AI1991" i="1"/>
  <c r="AC1992" i="1"/>
  <c r="AD1992" i="1"/>
  <c r="AE1992" i="1"/>
  <c r="AF1992" i="1"/>
  <c r="AG1992" i="1"/>
  <c r="AH1992" i="1"/>
  <c r="AI1992" i="1"/>
  <c r="AC1993" i="1"/>
  <c r="AD1993" i="1"/>
  <c r="AE1993" i="1"/>
  <c r="AF1993" i="1"/>
  <c r="AG1993" i="1"/>
  <c r="AH1993" i="1"/>
  <c r="AI1993" i="1"/>
  <c r="AC1994" i="1"/>
  <c r="AD1994" i="1"/>
  <c r="AE1994" i="1"/>
  <c r="AF1994" i="1"/>
  <c r="AG1994" i="1"/>
  <c r="AH1994" i="1"/>
  <c r="AI1994" i="1"/>
  <c r="AC1995" i="1"/>
  <c r="AD1995" i="1"/>
  <c r="AE1995" i="1"/>
  <c r="AF1995" i="1"/>
  <c r="AG1995" i="1"/>
  <c r="AH1995" i="1"/>
  <c r="AI1995" i="1"/>
  <c r="AC1996" i="1"/>
  <c r="AD1996" i="1"/>
  <c r="AE1996" i="1"/>
  <c r="AF1996" i="1"/>
  <c r="AG1996" i="1"/>
  <c r="AH1996" i="1"/>
  <c r="AI1996" i="1"/>
  <c r="AC1997" i="1"/>
  <c r="AD1997" i="1"/>
  <c r="AE1997" i="1"/>
  <c r="AF1997" i="1"/>
  <c r="AG1997" i="1"/>
  <c r="AH1997" i="1"/>
  <c r="AI1997" i="1"/>
  <c r="AC1998" i="1"/>
  <c r="AD1998" i="1"/>
  <c r="AE1998" i="1"/>
  <c r="AF1998" i="1"/>
  <c r="AG1998" i="1"/>
  <c r="AH1998" i="1"/>
  <c r="AI1998" i="1"/>
  <c r="AC1999" i="1"/>
  <c r="AD1999" i="1"/>
  <c r="AE1999" i="1"/>
  <c r="AF1999" i="1"/>
  <c r="AG1999" i="1"/>
  <c r="AH1999" i="1"/>
  <c r="AI1999" i="1"/>
  <c r="AI2" i="1"/>
  <c r="AH2" i="1"/>
  <c r="AG2" i="1"/>
  <c r="AF2" i="1"/>
  <c r="AE2" i="1"/>
  <c r="AD2" i="1"/>
  <c r="AC2" i="1"/>
  <c r="AB34" i="1"/>
  <c r="AB912" i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3" i="1"/>
  <c r="AB163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0" i="1"/>
  <c r="AB170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1" i="1"/>
  <c r="AB181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7" i="1"/>
  <c r="AB187" i="1" s="1"/>
  <c r="AA188" i="1"/>
  <c r="AB188" i="1" s="1"/>
  <c r="AA189" i="1"/>
  <c r="AB189" i="1" s="1"/>
  <c r="AA190" i="1"/>
  <c r="AB190" i="1" s="1"/>
  <c r="AA191" i="1"/>
  <c r="AB191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199" i="1"/>
  <c r="AB199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8" i="1"/>
  <c r="AB218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2" i="1"/>
  <c r="AB232" i="1" s="1"/>
  <c r="AA233" i="1"/>
  <c r="AB233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39" i="1"/>
  <c r="AB239" i="1" s="1"/>
  <c r="AA240" i="1"/>
  <c r="AB240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5" i="1"/>
  <c r="AB295" i="1" s="1"/>
  <c r="AA296" i="1"/>
  <c r="AB296" i="1" s="1"/>
  <c r="AA297" i="1"/>
  <c r="AB297" i="1" s="1"/>
  <c r="AA298" i="1"/>
  <c r="AB298" i="1" s="1"/>
  <c r="AA299" i="1"/>
  <c r="AB299" i="1" s="1"/>
  <c r="AA300" i="1"/>
  <c r="AB300" i="1" s="1"/>
  <c r="AA301" i="1"/>
  <c r="AB301" i="1" s="1"/>
  <c r="AA302" i="1"/>
  <c r="AB302" i="1" s="1"/>
  <c r="AA303" i="1"/>
  <c r="AB303" i="1" s="1"/>
  <c r="AA304" i="1"/>
  <c r="AB304" i="1" s="1"/>
  <c r="AA305" i="1"/>
  <c r="AB305" i="1" s="1"/>
  <c r="AA306" i="1"/>
  <c r="AB306" i="1" s="1"/>
  <c r="AA307" i="1"/>
  <c r="AB307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3" i="1"/>
  <c r="AB313" i="1" s="1"/>
  <c r="AA314" i="1"/>
  <c r="AB314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3" i="1"/>
  <c r="AB323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4" i="1"/>
  <c r="AB354" i="1" s="1"/>
  <c r="AA355" i="1"/>
  <c r="AB355" i="1" s="1"/>
  <c r="AA356" i="1"/>
  <c r="AB356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2" i="1"/>
  <c r="AB372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6" i="1"/>
  <c r="AB396" i="1" s="1"/>
  <c r="AA397" i="1"/>
  <c r="AB397" i="1" s="1"/>
  <c r="AA398" i="1"/>
  <c r="AB398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3" i="1"/>
  <c r="AB413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4" i="1"/>
  <c r="AB424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4" i="1"/>
  <c r="AB434" i="1" s="1"/>
  <c r="AA435" i="1"/>
  <c r="AB435" i="1" s="1"/>
  <c r="AA436" i="1"/>
  <c r="AB436" i="1" s="1"/>
  <c r="AA437" i="1"/>
  <c r="AB437" i="1" s="1"/>
  <c r="AA438" i="1"/>
  <c r="AB438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1" i="1"/>
  <c r="AB451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3" i="1"/>
  <c r="AB463" i="1" s="1"/>
  <c r="AA464" i="1"/>
  <c r="AB464" i="1" s="1"/>
  <c r="AA465" i="1"/>
  <c r="AB465" i="1" s="1"/>
  <c r="AA466" i="1"/>
  <c r="AB466" i="1" s="1"/>
  <c r="AA467" i="1"/>
  <c r="AB467" i="1" s="1"/>
  <c r="AA468" i="1"/>
  <c r="AB468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1" i="1"/>
  <c r="AB511" i="1" s="1"/>
  <c r="AA512" i="1"/>
  <c r="AB512" i="1" s="1"/>
  <c r="AA513" i="1"/>
  <c r="AB513" i="1" s="1"/>
  <c r="AA514" i="1"/>
  <c r="AB514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1" i="1"/>
  <c r="AB521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39" i="1"/>
  <c r="AB539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59" i="1"/>
  <c r="AB559" i="1" s="1"/>
  <c r="AA560" i="1"/>
  <c r="AB560" i="1" s="1"/>
  <c r="AA561" i="1"/>
  <c r="AB561" i="1" s="1"/>
  <c r="AA562" i="1"/>
  <c r="AB562" i="1" s="1"/>
  <c r="AA563" i="1"/>
  <c r="AB563" i="1" s="1"/>
  <c r="AA564" i="1"/>
  <c r="AB564" i="1" s="1"/>
  <c r="AA565" i="1"/>
  <c r="AB565" i="1" s="1"/>
  <c r="AA566" i="1"/>
  <c r="AB566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2" i="1"/>
  <c r="AB592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AA601" i="1"/>
  <c r="AB601" i="1" s="1"/>
  <c r="AA602" i="1"/>
  <c r="AB602" i="1" s="1"/>
  <c r="AA603" i="1"/>
  <c r="AB603" i="1" s="1"/>
  <c r="AA604" i="1"/>
  <c r="AB604" i="1" s="1"/>
  <c r="AA605" i="1"/>
  <c r="AB605" i="1" s="1"/>
  <c r="AA606" i="1"/>
  <c r="AB606" i="1" s="1"/>
  <c r="AA607" i="1"/>
  <c r="AB607" i="1" s="1"/>
  <c r="AA608" i="1"/>
  <c r="AB608" i="1" s="1"/>
  <c r="AA609" i="1"/>
  <c r="AB609" i="1" s="1"/>
  <c r="AA610" i="1"/>
  <c r="AB610" i="1" s="1"/>
  <c r="AA611" i="1"/>
  <c r="AB611" i="1" s="1"/>
  <c r="AA612" i="1"/>
  <c r="AB612" i="1" s="1"/>
  <c r="AA613" i="1"/>
  <c r="AB613" i="1" s="1"/>
  <c r="AA614" i="1"/>
  <c r="AB614" i="1" s="1"/>
  <c r="AA615" i="1"/>
  <c r="AB615" i="1" s="1"/>
  <c r="AA616" i="1"/>
  <c r="AB616" i="1" s="1"/>
  <c r="AA617" i="1"/>
  <c r="AB617" i="1" s="1"/>
  <c r="AA618" i="1"/>
  <c r="AB618" i="1" s="1"/>
  <c r="AA619" i="1"/>
  <c r="AB619" i="1" s="1"/>
  <c r="AA620" i="1"/>
  <c r="AB620" i="1" s="1"/>
  <c r="AA621" i="1"/>
  <c r="AB621" i="1" s="1"/>
  <c r="AA622" i="1"/>
  <c r="AB622" i="1" s="1"/>
  <c r="AA623" i="1"/>
  <c r="AB623" i="1" s="1"/>
  <c r="AA624" i="1"/>
  <c r="AB624" i="1" s="1"/>
  <c r="AA625" i="1"/>
  <c r="AB625" i="1" s="1"/>
  <c r="AA626" i="1"/>
  <c r="AB626" i="1" s="1"/>
  <c r="AA627" i="1"/>
  <c r="AB627" i="1" s="1"/>
  <c r="AA628" i="1"/>
  <c r="AB628" i="1" s="1"/>
  <c r="AA629" i="1"/>
  <c r="AB629" i="1" s="1"/>
  <c r="AA630" i="1"/>
  <c r="AB630" i="1" s="1"/>
  <c r="AA631" i="1"/>
  <c r="AB631" i="1" s="1"/>
  <c r="AA632" i="1"/>
  <c r="AB632" i="1" s="1"/>
  <c r="AA633" i="1"/>
  <c r="AB633" i="1" s="1"/>
  <c r="AA634" i="1"/>
  <c r="AB634" i="1" s="1"/>
  <c r="AA635" i="1"/>
  <c r="AB635" i="1" s="1"/>
  <c r="AA636" i="1"/>
  <c r="AB636" i="1" s="1"/>
  <c r="AA637" i="1"/>
  <c r="AB637" i="1" s="1"/>
  <c r="AA638" i="1"/>
  <c r="AB638" i="1" s="1"/>
  <c r="AA639" i="1"/>
  <c r="AB639" i="1" s="1"/>
  <c r="AA640" i="1"/>
  <c r="AB640" i="1" s="1"/>
  <c r="AA641" i="1"/>
  <c r="AB641" i="1" s="1"/>
  <c r="AA642" i="1"/>
  <c r="AB642" i="1" s="1"/>
  <c r="AA643" i="1"/>
  <c r="AB643" i="1" s="1"/>
  <c r="AA644" i="1"/>
  <c r="AB644" i="1" s="1"/>
  <c r="AA645" i="1"/>
  <c r="AB645" i="1" s="1"/>
  <c r="AA646" i="1"/>
  <c r="AB646" i="1" s="1"/>
  <c r="AA647" i="1"/>
  <c r="AB647" i="1" s="1"/>
  <c r="AA648" i="1"/>
  <c r="AB648" i="1" s="1"/>
  <c r="AA649" i="1"/>
  <c r="AB649" i="1" s="1"/>
  <c r="AA650" i="1"/>
  <c r="AB650" i="1" s="1"/>
  <c r="AA651" i="1"/>
  <c r="AB651" i="1" s="1"/>
  <c r="AA652" i="1"/>
  <c r="AB652" i="1" s="1"/>
  <c r="AA653" i="1"/>
  <c r="AB653" i="1" s="1"/>
  <c r="AA654" i="1"/>
  <c r="AB654" i="1" s="1"/>
  <c r="AA655" i="1"/>
  <c r="AB655" i="1" s="1"/>
  <c r="AA656" i="1"/>
  <c r="AB656" i="1" s="1"/>
  <c r="AA657" i="1"/>
  <c r="AB657" i="1" s="1"/>
  <c r="AA658" i="1"/>
  <c r="AB658" i="1" s="1"/>
  <c r="AA659" i="1"/>
  <c r="AB659" i="1" s="1"/>
  <c r="AA660" i="1"/>
  <c r="AB660" i="1" s="1"/>
  <c r="AA661" i="1"/>
  <c r="AB661" i="1" s="1"/>
  <c r="AA662" i="1"/>
  <c r="AB662" i="1" s="1"/>
  <c r="AA663" i="1"/>
  <c r="AB663" i="1" s="1"/>
  <c r="AA664" i="1"/>
  <c r="AB664" i="1" s="1"/>
  <c r="AA665" i="1"/>
  <c r="AB665" i="1" s="1"/>
  <c r="AA666" i="1"/>
  <c r="AB666" i="1" s="1"/>
  <c r="AA667" i="1"/>
  <c r="AB667" i="1" s="1"/>
  <c r="AA668" i="1"/>
  <c r="AB668" i="1" s="1"/>
  <c r="AA669" i="1"/>
  <c r="AB669" i="1" s="1"/>
  <c r="AA670" i="1"/>
  <c r="AB670" i="1" s="1"/>
  <c r="AA671" i="1"/>
  <c r="AB671" i="1" s="1"/>
  <c r="AA672" i="1"/>
  <c r="AB672" i="1" s="1"/>
  <c r="AA673" i="1"/>
  <c r="AB673" i="1" s="1"/>
  <c r="AA674" i="1"/>
  <c r="AB674" i="1" s="1"/>
  <c r="AA675" i="1"/>
  <c r="AB675" i="1" s="1"/>
  <c r="AA676" i="1"/>
  <c r="AB676" i="1" s="1"/>
  <c r="AA677" i="1"/>
  <c r="AB677" i="1" s="1"/>
  <c r="AA678" i="1"/>
  <c r="AB678" i="1" s="1"/>
  <c r="AA679" i="1"/>
  <c r="AB679" i="1" s="1"/>
  <c r="AA680" i="1"/>
  <c r="AB680" i="1" s="1"/>
  <c r="AA681" i="1"/>
  <c r="AB681" i="1" s="1"/>
  <c r="AA682" i="1"/>
  <c r="AB682" i="1" s="1"/>
  <c r="AA683" i="1"/>
  <c r="AB683" i="1" s="1"/>
  <c r="AA684" i="1"/>
  <c r="AB684" i="1" s="1"/>
  <c r="AA685" i="1"/>
  <c r="AB685" i="1" s="1"/>
  <c r="AA686" i="1"/>
  <c r="AB686" i="1" s="1"/>
  <c r="AA687" i="1"/>
  <c r="AB687" i="1" s="1"/>
  <c r="AA688" i="1"/>
  <c r="AB688" i="1" s="1"/>
  <c r="AA689" i="1"/>
  <c r="AB689" i="1" s="1"/>
  <c r="AA690" i="1"/>
  <c r="AB690" i="1" s="1"/>
  <c r="AA691" i="1"/>
  <c r="AB691" i="1" s="1"/>
  <c r="AA692" i="1"/>
  <c r="AB692" i="1" s="1"/>
  <c r="AA693" i="1"/>
  <c r="AB693" i="1" s="1"/>
  <c r="AA694" i="1"/>
  <c r="AB694" i="1" s="1"/>
  <c r="AA695" i="1"/>
  <c r="AB695" i="1" s="1"/>
  <c r="AA696" i="1"/>
  <c r="AB696" i="1" s="1"/>
  <c r="AA697" i="1"/>
  <c r="AB697" i="1" s="1"/>
  <c r="AA698" i="1"/>
  <c r="AB698" i="1" s="1"/>
  <c r="AA699" i="1"/>
  <c r="AB699" i="1" s="1"/>
  <c r="AA700" i="1"/>
  <c r="AB700" i="1" s="1"/>
  <c r="AA701" i="1"/>
  <c r="AB701" i="1" s="1"/>
  <c r="AA702" i="1"/>
  <c r="AB702" i="1" s="1"/>
  <c r="AA703" i="1"/>
  <c r="AB703" i="1" s="1"/>
  <c r="AA704" i="1"/>
  <c r="AB704" i="1" s="1"/>
  <c r="AA705" i="1"/>
  <c r="AB705" i="1" s="1"/>
  <c r="AA706" i="1"/>
  <c r="AB706" i="1" s="1"/>
  <c r="AA707" i="1"/>
  <c r="AB707" i="1" s="1"/>
  <c r="AA708" i="1"/>
  <c r="AB708" i="1" s="1"/>
  <c r="AA709" i="1"/>
  <c r="AB709" i="1" s="1"/>
  <c r="AA710" i="1"/>
  <c r="AB710" i="1" s="1"/>
  <c r="AA711" i="1"/>
  <c r="AB711" i="1" s="1"/>
  <c r="AA712" i="1"/>
  <c r="AB712" i="1" s="1"/>
  <c r="AA713" i="1"/>
  <c r="AB713" i="1" s="1"/>
  <c r="AA714" i="1"/>
  <c r="AB714" i="1" s="1"/>
  <c r="AA715" i="1"/>
  <c r="AB715" i="1" s="1"/>
  <c r="AA716" i="1"/>
  <c r="AB716" i="1" s="1"/>
  <c r="AA717" i="1"/>
  <c r="AB717" i="1" s="1"/>
  <c r="AA718" i="1"/>
  <c r="AB718" i="1" s="1"/>
  <c r="AA719" i="1"/>
  <c r="AB719" i="1" s="1"/>
  <c r="AA720" i="1"/>
  <c r="AB720" i="1" s="1"/>
  <c r="AA721" i="1"/>
  <c r="AB721" i="1" s="1"/>
  <c r="AA722" i="1"/>
  <c r="AB722" i="1" s="1"/>
  <c r="AA723" i="1"/>
  <c r="AB723" i="1" s="1"/>
  <c r="AA724" i="1"/>
  <c r="AB724" i="1" s="1"/>
  <c r="AA725" i="1"/>
  <c r="AB725" i="1" s="1"/>
  <c r="AA726" i="1"/>
  <c r="AB726" i="1" s="1"/>
  <c r="AA727" i="1"/>
  <c r="AB727" i="1" s="1"/>
  <c r="AA728" i="1"/>
  <c r="AB728" i="1" s="1"/>
  <c r="AA729" i="1"/>
  <c r="AB729" i="1" s="1"/>
  <c r="AA730" i="1"/>
  <c r="AB730" i="1" s="1"/>
  <c r="AA731" i="1"/>
  <c r="AB731" i="1" s="1"/>
  <c r="AA732" i="1"/>
  <c r="AB732" i="1" s="1"/>
  <c r="AA733" i="1"/>
  <c r="AB733" i="1" s="1"/>
  <c r="AA734" i="1"/>
  <c r="AB734" i="1" s="1"/>
  <c r="AA735" i="1"/>
  <c r="AB735" i="1" s="1"/>
  <c r="AA736" i="1"/>
  <c r="AB736" i="1" s="1"/>
  <c r="AA737" i="1"/>
  <c r="AB737" i="1" s="1"/>
  <c r="AA738" i="1"/>
  <c r="AB738" i="1" s="1"/>
  <c r="AA739" i="1"/>
  <c r="AB739" i="1" s="1"/>
  <c r="AA740" i="1"/>
  <c r="AB740" i="1" s="1"/>
  <c r="AA741" i="1"/>
  <c r="AB741" i="1" s="1"/>
  <c r="AA742" i="1"/>
  <c r="AB742" i="1" s="1"/>
  <c r="AA743" i="1"/>
  <c r="AB743" i="1" s="1"/>
  <c r="AA744" i="1"/>
  <c r="AB744" i="1" s="1"/>
  <c r="AA745" i="1"/>
  <c r="AB745" i="1" s="1"/>
  <c r="AA746" i="1"/>
  <c r="AB746" i="1" s="1"/>
  <c r="AA747" i="1"/>
  <c r="AB747" i="1" s="1"/>
  <c r="AA748" i="1"/>
  <c r="AB748" i="1" s="1"/>
  <c r="AA749" i="1"/>
  <c r="AB749" i="1" s="1"/>
  <c r="AA750" i="1"/>
  <c r="AB750" i="1" s="1"/>
  <c r="AA751" i="1"/>
  <c r="AB751" i="1" s="1"/>
  <c r="AA752" i="1"/>
  <c r="AB752" i="1" s="1"/>
  <c r="AA753" i="1"/>
  <c r="AB753" i="1" s="1"/>
  <c r="AA754" i="1"/>
  <c r="AB754" i="1" s="1"/>
  <c r="AA755" i="1"/>
  <c r="AB755" i="1" s="1"/>
  <c r="AA756" i="1"/>
  <c r="AB756" i="1" s="1"/>
  <c r="AA757" i="1"/>
  <c r="AB757" i="1" s="1"/>
  <c r="AA758" i="1"/>
  <c r="AB758" i="1" s="1"/>
  <c r="AA759" i="1"/>
  <c r="AB759" i="1" s="1"/>
  <c r="AA760" i="1"/>
  <c r="AB760" i="1" s="1"/>
  <c r="AA761" i="1"/>
  <c r="AB761" i="1" s="1"/>
  <c r="AA762" i="1"/>
  <c r="AB762" i="1" s="1"/>
  <c r="AA763" i="1"/>
  <c r="AB763" i="1" s="1"/>
  <c r="AA764" i="1"/>
  <c r="AB764" i="1" s="1"/>
  <c r="AA765" i="1"/>
  <c r="AB765" i="1" s="1"/>
  <c r="AA766" i="1"/>
  <c r="AB766" i="1" s="1"/>
  <c r="AA767" i="1"/>
  <c r="AB767" i="1" s="1"/>
  <c r="AA768" i="1"/>
  <c r="AB768" i="1" s="1"/>
  <c r="AA769" i="1"/>
  <c r="AB769" i="1" s="1"/>
  <c r="AA770" i="1"/>
  <c r="AB770" i="1" s="1"/>
  <c r="AA771" i="1"/>
  <c r="AB771" i="1" s="1"/>
  <c r="AA772" i="1"/>
  <c r="AB772" i="1" s="1"/>
  <c r="AA773" i="1"/>
  <c r="AB773" i="1" s="1"/>
  <c r="AA774" i="1"/>
  <c r="AB774" i="1" s="1"/>
  <c r="AA775" i="1"/>
  <c r="AB775" i="1" s="1"/>
  <c r="AA776" i="1"/>
  <c r="AB776" i="1" s="1"/>
  <c r="AA777" i="1"/>
  <c r="AB777" i="1" s="1"/>
  <c r="AA778" i="1"/>
  <c r="AB778" i="1" s="1"/>
  <c r="AA779" i="1"/>
  <c r="AB779" i="1" s="1"/>
  <c r="AA780" i="1"/>
  <c r="AB780" i="1" s="1"/>
  <c r="AA781" i="1"/>
  <c r="AB781" i="1" s="1"/>
  <c r="AA782" i="1"/>
  <c r="AB782" i="1" s="1"/>
  <c r="AA783" i="1"/>
  <c r="AB783" i="1" s="1"/>
  <c r="AA784" i="1"/>
  <c r="AB784" i="1" s="1"/>
  <c r="AA785" i="1"/>
  <c r="AB785" i="1" s="1"/>
  <c r="AA786" i="1"/>
  <c r="AB786" i="1" s="1"/>
  <c r="AA787" i="1"/>
  <c r="AB787" i="1" s="1"/>
  <c r="AA788" i="1"/>
  <c r="AB788" i="1" s="1"/>
  <c r="AA789" i="1"/>
  <c r="AB789" i="1" s="1"/>
  <c r="AA790" i="1"/>
  <c r="AB790" i="1" s="1"/>
  <c r="AA791" i="1"/>
  <c r="AB791" i="1" s="1"/>
  <c r="AA792" i="1"/>
  <c r="AB792" i="1" s="1"/>
  <c r="AA793" i="1"/>
  <c r="AB793" i="1" s="1"/>
  <c r="AA794" i="1"/>
  <c r="AB794" i="1" s="1"/>
  <c r="AA795" i="1"/>
  <c r="AB795" i="1" s="1"/>
  <c r="AA796" i="1"/>
  <c r="AB796" i="1" s="1"/>
  <c r="AA797" i="1"/>
  <c r="AB797" i="1" s="1"/>
  <c r="AA798" i="1"/>
  <c r="AB798" i="1" s="1"/>
  <c r="AA799" i="1"/>
  <c r="AB799" i="1" s="1"/>
  <c r="AA800" i="1"/>
  <c r="AB800" i="1" s="1"/>
  <c r="AA801" i="1"/>
  <c r="AB801" i="1" s="1"/>
  <c r="AA802" i="1"/>
  <c r="AB802" i="1" s="1"/>
  <c r="AA803" i="1"/>
  <c r="AB803" i="1" s="1"/>
  <c r="AA804" i="1"/>
  <c r="AB804" i="1" s="1"/>
  <c r="AA805" i="1"/>
  <c r="AB805" i="1" s="1"/>
  <c r="AA806" i="1"/>
  <c r="AB806" i="1" s="1"/>
  <c r="AA807" i="1"/>
  <c r="AB807" i="1" s="1"/>
  <c r="AA808" i="1"/>
  <c r="AB808" i="1" s="1"/>
  <c r="AA809" i="1"/>
  <c r="AB809" i="1" s="1"/>
  <c r="AA810" i="1"/>
  <c r="AB810" i="1" s="1"/>
  <c r="AA811" i="1"/>
  <c r="AB811" i="1" s="1"/>
  <c r="AA812" i="1"/>
  <c r="AB812" i="1" s="1"/>
  <c r="AA813" i="1"/>
  <c r="AB813" i="1" s="1"/>
  <c r="AA814" i="1"/>
  <c r="AB814" i="1" s="1"/>
  <c r="AA815" i="1"/>
  <c r="AB815" i="1" s="1"/>
  <c r="AA816" i="1"/>
  <c r="AB816" i="1" s="1"/>
  <c r="AA817" i="1"/>
  <c r="AB817" i="1" s="1"/>
  <c r="AA818" i="1"/>
  <c r="AB818" i="1" s="1"/>
  <c r="AA819" i="1"/>
  <c r="AB819" i="1" s="1"/>
  <c r="AA820" i="1"/>
  <c r="AB820" i="1" s="1"/>
  <c r="AA821" i="1"/>
  <c r="AB821" i="1" s="1"/>
  <c r="AA822" i="1"/>
  <c r="AB822" i="1" s="1"/>
  <c r="AA823" i="1"/>
  <c r="AB823" i="1" s="1"/>
  <c r="AA824" i="1"/>
  <c r="AB824" i="1" s="1"/>
  <c r="AA825" i="1"/>
  <c r="AB825" i="1" s="1"/>
  <c r="AA826" i="1"/>
  <c r="AB826" i="1" s="1"/>
  <c r="AA827" i="1"/>
  <c r="AB827" i="1" s="1"/>
  <c r="AA828" i="1"/>
  <c r="AB828" i="1" s="1"/>
  <c r="AA829" i="1"/>
  <c r="AB829" i="1" s="1"/>
  <c r="AA830" i="1"/>
  <c r="AB830" i="1" s="1"/>
  <c r="AA831" i="1"/>
  <c r="AB831" i="1" s="1"/>
  <c r="AA832" i="1"/>
  <c r="AB832" i="1" s="1"/>
  <c r="AA833" i="1"/>
  <c r="AB833" i="1" s="1"/>
  <c r="AA834" i="1"/>
  <c r="AB834" i="1" s="1"/>
  <c r="AA835" i="1"/>
  <c r="AB835" i="1" s="1"/>
  <c r="AA836" i="1"/>
  <c r="AB836" i="1" s="1"/>
  <c r="AA837" i="1"/>
  <c r="AB837" i="1" s="1"/>
  <c r="AA838" i="1"/>
  <c r="AB838" i="1" s="1"/>
  <c r="AA839" i="1"/>
  <c r="AB839" i="1" s="1"/>
  <c r="AA840" i="1"/>
  <c r="AB840" i="1" s="1"/>
  <c r="AA841" i="1"/>
  <c r="AB841" i="1" s="1"/>
  <c r="AA842" i="1"/>
  <c r="AB842" i="1" s="1"/>
  <c r="AA843" i="1"/>
  <c r="AB843" i="1" s="1"/>
  <c r="AA844" i="1"/>
  <c r="AB844" i="1" s="1"/>
  <c r="AA845" i="1"/>
  <c r="AB845" i="1" s="1"/>
  <c r="AA846" i="1"/>
  <c r="AB846" i="1" s="1"/>
  <c r="AA847" i="1"/>
  <c r="AB847" i="1" s="1"/>
  <c r="AA848" i="1"/>
  <c r="AB848" i="1" s="1"/>
  <c r="AA849" i="1"/>
  <c r="AB849" i="1" s="1"/>
  <c r="AA850" i="1"/>
  <c r="AB850" i="1" s="1"/>
  <c r="AA851" i="1"/>
  <c r="AB851" i="1" s="1"/>
  <c r="AA852" i="1"/>
  <c r="AB852" i="1" s="1"/>
  <c r="AA853" i="1"/>
  <c r="AB853" i="1" s="1"/>
  <c r="AA854" i="1"/>
  <c r="AB854" i="1" s="1"/>
  <c r="AA855" i="1"/>
  <c r="AB855" i="1" s="1"/>
  <c r="AA856" i="1"/>
  <c r="AB856" i="1" s="1"/>
  <c r="AA857" i="1"/>
  <c r="AB857" i="1" s="1"/>
  <c r="AA858" i="1"/>
  <c r="AB858" i="1" s="1"/>
  <c r="AA859" i="1"/>
  <c r="AB859" i="1" s="1"/>
  <c r="AA860" i="1"/>
  <c r="AB860" i="1" s="1"/>
  <c r="AA861" i="1"/>
  <c r="AB861" i="1" s="1"/>
  <c r="AA862" i="1"/>
  <c r="AB862" i="1" s="1"/>
  <c r="AA863" i="1"/>
  <c r="AB863" i="1" s="1"/>
  <c r="AA864" i="1"/>
  <c r="AB864" i="1" s="1"/>
  <c r="AA865" i="1"/>
  <c r="AB865" i="1" s="1"/>
  <c r="AA866" i="1"/>
  <c r="AB866" i="1" s="1"/>
  <c r="AA867" i="1"/>
  <c r="AB867" i="1" s="1"/>
  <c r="AA868" i="1"/>
  <c r="AB868" i="1" s="1"/>
  <c r="AA869" i="1"/>
  <c r="AB869" i="1" s="1"/>
  <c r="AA870" i="1"/>
  <c r="AB870" i="1" s="1"/>
  <c r="AA871" i="1"/>
  <c r="AB871" i="1" s="1"/>
  <c r="AA872" i="1"/>
  <c r="AB872" i="1" s="1"/>
  <c r="AA873" i="1"/>
  <c r="AB873" i="1" s="1"/>
  <c r="AA874" i="1"/>
  <c r="AB874" i="1" s="1"/>
  <c r="AA875" i="1"/>
  <c r="AB875" i="1" s="1"/>
  <c r="AA876" i="1"/>
  <c r="AB876" i="1" s="1"/>
  <c r="AA877" i="1"/>
  <c r="AB877" i="1" s="1"/>
  <c r="AA878" i="1"/>
  <c r="AB878" i="1" s="1"/>
  <c r="AA879" i="1"/>
  <c r="AB879" i="1" s="1"/>
  <c r="AA880" i="1"/>
  <c r="AB880" i="1" s="1"/>
  <c r="AA881" i="1"/>
  <c r="AB881" i="1" s="1"/>
  <c r="AA882" i="1"/>
  <c r="AB882" i="1" s="1"/>
  <c r="AA883" i="1"/>
  <c r="AB883" i="1" s="1"/>
  <c r="AA884" i="1"/>
  <c r="AB884" i="1" s="1"/>
  <c r="AA885" i="1"/>
  <c r="AB885" i="1" s="1"/>
  <c r="AA886" i="1"/>
  <c r="AB886" i="1" s="1"/>
  <c r="AA887" i="1"/>
  <c r="AB887" i="1" s="1"/>
  <c r="AA888" i="1"/>
  <c r="AB888" i="1" s="1"/>
  <c r="AA889" i="1"/>
  <c r="AB889" i="1" s="1"/>
  <c r="AA890" i="1"/>
  <c r="AB890" i="1" s="1"/>
  <c r="AA891" i="1"/>
  <c r="AB891" i="1" s="1"/>
  <c r="AA892" i="1"/>
  <c r="AB892" i="1" s="1"/>
  <c r="AA893" i="1"/>
  <c r="AB893" i="1" s="1"/>
  <c r="AA894" i="1"/>
  <c r="AB894" i="1" s="1"/>
  <c r="AA895" i="1"/>
  <c r="AB895" i="1" s="1"/>
  <c r="AA896" i="1"/>
  <c r="AB896" i="1" s="1"/>
  <c r="AA897" i="1"/>
  <c r="AB897" i="1" s="1"/>
  <c r="AA898" i="1"/>
  <c r="AB898" i="1" s="1"/>
  <c r="AA899" i="1"/>
  <c r="AB899" i="1" s="1"/>
  <c r="AA900" i="1"/>
  <c r="AB900" i="1" s="1"/>
  <c r="AA901" i="1"/>
  <c r="AB901" i="1" s="1"/>
  <c r="AA902" i="1"/>
  <c r="AB902" i="1" s="1"/>
  <c r="AA903" i="1"/>
  <c r="AB903" i="1" s="1"/>
  <c r="AA904" i="1"/>
  <c r="AB904" i="1" s="1"/>
  <c r="AA905" i="1"/>
  <c r="AB905" i="1" s="1"/>
  <c r="AA906" i="1"/>
  <c r="AB906" i="1" s="1"/>
  <c r="AA907" i="1"/>
  <c r="AB907" i="1" s="1"/>
  <c r="AA908" i="1"/>
  <c r="AB908" i="1" s="1"/>
  <c r="AA909" i="1"/>
  <c r="AB909" i="1" s="1"/>
  <c r="AA910" i="1"/>
  <c r="AB910" i="1" s="1"/>
  <c r="AA911" i="1"/>
  <c r="AB911" i="1" s="1"/>
  <c r="AA912" i="1"/>
  <c r="AA913" i="1"/>
  <c r="AB913" i="1" s="1"/>
  <c r="AA914" i="1"/>
  <c r="AB914" i="1" s="1"/>
  <c r="AA915" i="1"/>
  <c r="AB915" i="1" s="1"/>
  <c r="AA916" i="1"/>
  <c r="AB916" i="1" s="1"/>
  <c r="AA917" i="1"/>
  <c r="AB917" i="1" s="1"/>
  <c r="AA918" i="1"/>
  <c r="AB918" i="1" s="1"/>
  <c r="AA919" i="1"/>
  <c r="AB919" i="1" s="1"/>
  <c r="AA920" i="1"/>
  <c r="AB920" i="1" s="1"/>
  <c r="AA921" i="1"/>
  <c r="AB921" i="1" s="1"/>
  <c r="AA922" i="1"/>
  <c r="AB922" i="1" s="1"/>
  <c r="AA923" i="1"/>
  <c r="AB923" i="1" s="1"/>
  <c r="AA924" i="1"/>
  <c r="AB924" i="1" s="1"/>
  <c r="AA925" i="1"/>
  <c r="AB925" i="1" s="1"/>
  <c r="AA926" i="1"/>
  <c r="AB926" i="1" s="1"/>
  <c r="AA927" i="1"/>
  <c r="AB927" i="1" s="1"/>
  <c r="AA928" i="1"/>
  <c r="AB928" i="1" s="1"/>
  <c r="AA929" i="1"/>
  <c r="AB929" i="1" s="1"/>
  <c r="AA930" i="1"/>
  <c r="AB930" i="1" s="1"/>
  <c r="AA931" i="1"/>
  <c r="AB931" i="1" s="1"/>
  <c r="AA932" i="1"/>
  <c r="AB932" i="1" s="1"/>
  <c r="AA933" i="1"/>
  <c r="AB933" i="1" s="1"/>
  <c r="AA934" i="1"/>
  <c r="AB934" i="1" s="1"/>
  <c r="AA935" i="1"/>
  <c r="AB935" i="1" s="1"/>
  <c r="AA936" i="1"/>
  <c r="AB936" i="1" s="1"/>
  <c r="AA937" i="1"/>
  <c r="AB937" i="1" s="1"/>
  <c r="AA938" i="1"/>
  <c r="AB938" i="1" s="1"/>
  <c r="AA939" i="1"/>
  <c r="AB939" i="1" s="1"/>
  <c r="AA940" i="1"/>
  <c r="AB940" i="1" s="1"/>
  <c r="AA941" i="1"/>
  <c r="AB941" i="1" s="1"/>
  <c r="AA942" i="1"/>
  <c r="AB942" i="1" s="1"/>
  <c r="AA943" i="1"/>
  <c r="AB943" i="1" s="1"/>
  <c r="AA944" i="1"/>
  <c r="AB944" i="1" s="1"/>
  <c r="AA945" i="1"/>
  <c r="AB945" i="1" s="1"/>
  <c r="AA946" i="1"/>
  <c r="AB946" i="1" s="1"/>
  <c r="AA947" i="1"/>
  <c r="AB947" i="1" s="1"/>
  <c r="AA948" i="1"/>
  <c r="AB948" i="1" s="1"/>
  <c r="AA949" i="1"/>
  <c r="AB949" i="1" s="1"/>
  <c r="AA950" i="1"/>
  <c r="AB950" i="1" s="1"/>
  <c r="AA951" i="1"/>
  <c r="AB951" i="1" s="1"/>
  <c r="AA952" i="1"/>
  <c r="AB952" i="1" s="1"/>
  <c r="AA953" i="1"/>
  <c r="AB953" i="1" s="1"/>
  <c r="AA954" i="1"/>
  <c r="AB954" i="1" s="1"/>
  <c r="AA955" i="1"/>
  <c r="AB955" i="1" s="1"/>
  <c r="AA956" i="1"/>
  <c r="AB956" i="1" s="1"/>
  <c r="AA957" i="1"/>
  <c r="AB957" i="1" s="1"/>
  <c r="AA958" i="1"/>
  <c r="AB958" i="1" s="1"/>
  <c r="AA959" i="1"/>
  <c r="AB959" i="1" s="1"/>
  <c r="AA960" i="1"/>
  <c r="AB960" i="1" s="1"/>
  <c r="AA961" i="1"/>
  <c r="AB961" i="1" s="1"/>
  <c r="AA962" i="1"/>
  <c r="AB962" i="1" s="1"/>
  <c r="AA963" i="1"/>
  <c r="AB963" i="1" s="1"/>
  <c r="AA964" i="1"/>
  <c r="AB964" i="1" s="1"/>
  <c r="AA965" i="1"/>
  <c r="AB965" i="1" s="1"/>
  <c r="AA966" i="1"/>
  <c r="AB966" i="1" s="1"/>
  <c r="AA967" i="1"/>
  <c r="AB967" i="1" s="1"/>
  <c r="AA968" i="1"/>
  <c r="AB968" i="1" s="1"/>
  <c r="AA969" i="1"/>
  <c r="AB969" i="1" s="1"/>
  <c r="AA970" i="1"/>
  <c r="AB970" i="1" s="1"/>
  <c r="AA971" i="1"/>
  <c r="AB971" i="1" s="1"/>
  <c r="AA972" i="1"/>
  <c r="AB972" i="1" s="1"/>
  <c r="AA973" i="1"/>
  <c r="AB973" i="1" s="1"/>
  <c r="AA974" i="1"/>
  <c r="AB974" i="1" s="1"/>
  <c r="AA975" i="1"/>
  <c r="AB975" i="1" s="1"/>
  <c r="AA976" i="1"/>
  <c r="AB976" i="1" s="1"/>
  <c r="AA977" i="1"/>
  <c r="AB977" i="1" s="1"/>
  <c r="AA978" i="1"/>
  <c r="AB978" i="1" s="1"/>
  <c r="AA979" i="1"/>
  <c r="AB979" i="1" s="1"/>
  <c r="AA980" i="1"/>
  <c r="AB980" i="1" s="1"/>
  <c r="AA981" i="1"/>
  <c r="AB981" i="1" s="1"/>
  <c r="AA982" i="1"/>
  <c r="AB982" i="1" s="1"/>
  <c r="AA983" i="1"/>
  <c r="AB983" i="1" s="1"/>
  <c r="AA984" i="1"/>
  <c r="AB984" i="1" s="1"/>
  <c r="AA985" i="1"/>
  <c r="AB985" i="1" s="1"/>
  <c r="AA986" i="1"/>
  <c r="AB986" i="1" s="1"/>
  <c r="AA987" i="1"/>
  <c r="AB987" i="1" s="1"/>
  <c r="AA988" i="1"/>
  <c r="AB988" i="1" s="1"/>
  <c r="AA989" i="1"/>
  <c r="AB989" i="1" s="1"/>
  <c r="AA990" i="1"/>
  <c r="AB990" i="1" s="1"/>
  <c r="AA991" i="1"/>
  <c r="AB991" i="1" s="1"/>
  <c r="AA992" i="1"/>
  <c r="AB992" i="1" s="1"/>
  <c r="AA993" i="1"/>
  <c r="AB993" i="1" s="1"/>
  <c r="AA994" i="1"/>
  <c r="AB994" i="1" s="1"/>
  <c r="AA995" i="1"/>
  <c r="AB995" i="1" s="1"/>
  <c r="AA996" i="1"/>
  <c r="AB996" i="1" s="1"/>
  <c r="AA997" i="1"/>
  <c r="AB997" i="1" s="1"/>
  <c r="AA998" i="1"/>
  <c r="AB998" i="1" s="1"/>
  <c r="AA999" i="1"/>
  <c r="AB999" i="1" s="1"/>
  <c r="AA1000" i="1"/>
  <c r="AB1000" i="1" s="1"/>
  <c r="AA1001" i="1"/>
  <c r="AB1001" i="1" s="1"/>
  <c r="AA1002" i="1"/>
  <c r="AB1002" i="1" s="1"/>
  <c r="AA1003" i="1"/>
  <c r="AB1003" i="1" s="1"/>
  <c r="AA1004" i="1"/>
  <c r="AB1004" i="1" s="1"/>
  <c r="AA1005" i="1"/>
  <c r="AB1005" i="1" s="1"/>
  <c r="AA1006" i="1"/>
  <c r="AB1006" i="1" s="1"/>
  <c r="AA1007" i="1"/>
  <c r="AB1007" i="1" s="1"/>
  <c r="AA1008" i="1"/>
  <c r="AB1008" i="1" s="1"/>
  <c r="AA1009" i="1"/>
  <c r="AB1009" i="1" s="1"/>
  <c r="AA1010" i="1"/>
  <c r="AB1010" i="1" s="1"/>
  <c r="AA1011" i="1"/>
  <c r="AB1011" i="1" s="1"/>
  <c r="AA1012" i="1"/>
  <c r="AB1012" i="1" s="1"/>
  <c r="AA1013" i="1"/>
  <c r="AB1013" i="1" s="1"/>
  <c r="AA1014" i="1"/>
  <c r="AB1014" i="1" s="1"/>
  <c r="AA1015" i="1"/>
  <c r="AB1015" i="1" s="1"/>
  <c r="AA1016" i="1"/>
  <c r="AB1016" i="1" s="1"/>
  <c r="AA1017" i="1"/>
  <c r="AB1017" i="1" s="1"/>
  <c r="AA1018" i="1"/>
  <c r="AB1018" i="1" s="1"/>
  <c r="AA1019" i="1"/>
  <c r="AB1019" i="1" s="1"/>
  <c r="AA1020" i="1"/>
  <c r="AB1020" i="1" s="1"/>
  <c r="AA1021" i="1"/>
  <c r="AB1021" i="1" s="1"/>
  <c r="AA1022" i="1"/>
  <c r="AB1022" i="1" s="1"/>
  <c r="AA1023" i="1"/>
  <c r="AB1023" i="1" s="1"/>
  <c r="AA1024" i="1"/>
  <c r="AB1024" i="1" s="1"/>
  <c r="AA1025" i="1"/>
  <c r="AB1025" i="1" s="1"/>
  <c r="AA1026" i="1"/>
  <c r="AB1026" i="1" s="1"/>
  <c r="AA1027" i="1"/>
  <c r="AB1027" i="1" s="1"/>
  <c r="AA1028" i="1"/>
  <c r="AB1028" i="1" s="1"/>
  <c r="AA1029" i="1"/>
  <c r="AB1029" i="1" s="1"/>
  <c r="AA1030" i="1"/>
  <c r="AB1030" i="1" s="1"/>
  <c r="AA1031" i="1"/>
  <c r="AB1031" i="1" s="1"/>
  <c r="AA1032" i="1"/>
  <c r="AB1032" i="1" s="1"/>
  <c r="AA1033" i="1"/>
  <c r="AB1033" i="1" s="1"/>
  <c r="AA1034" i="1"/>
  <c r="AB1034" i="1" s="1"/>
  <c r="AA1035" i="1"/>
  <c r="AB1035" i="1" s="1"/>
  <c r="AA1036" i="1"/>
  <c r="AB1036" i="1" s="1"/>
  <c r="AA1037" i="1"/>
  <c r="AB1037" i="1" s="1"/>
  <c r="AA1038" i="1"/>
  <c r="AB1038" i="1" s="1"/>
  <c r="AA1039" i="1"/>
  <c r="AB1039" i="1" s="1"/>
  <c r="AA1040" i="1"/>
  <c r="AB1040" i="1" s="1"/>
  <c r="AA1041" i="1"/>
  <c r="AB1041" i="1" s="1"/>
  <c r="AA1042" i="1"/>
  <c r="AB1042" i="1" s="1"/>
  <c r="AA1043" i="1"/>
  <c r="AB1043" i="1" s="1"/>
  <c r="AA1044" i="1"/>
  <c r="AB1044" i="1" s="1"/>
  <c r="AA1045" i="1"/>
  <c r="AB1045" i="1" s="1"/>
  <c r="AA1046" i="1"/>
  <c r="AB1046" i="1" s="1"/>
  <c r="AA1047" i="1"/>
  <c r="AB1047" i="1" s="1"/>
  <c r="AA1048" i="1"/>
  <c r="AB1048" i="1" s="1"/>
  <c r="AA1049" i="1"/>
  <c r="AB1049" i="1" s="1"/>
  <c r="AA1050" i="1"/>
  <c r="AB1050" i="1" s="1"/>
  <c r="AA1051" i="1"/>
  <c r="AB1051" i="1" s="1"/>
  <c r="AA1052" i="1"/>
  <c r="AB1052" i="1" s="1"/>
  <c r="AA1053" i="1"/>
  <c r="AB1053" i="1" s="1"/>
  <c r="AA1054" i="1"/>
  <c r="AB1054" i="1" s="1"/>
  <c r="AA1055" i="1"/>
  <c r="AB1055" i="1" s="1"/>
  <c r="AA1056" i="1"/>
  <c r="AB1056" i="1" s="1"/>
  <c r="AA1057" i="1"/>
  <c r="AB1057" i="1" s="1"/>
  <c r="AA1058" i="1"/>
  <c r="AB1058" i="1" s="1"/>
  <c r="AA1059" i="1"/>
  <c r="AB1059" i="1" s="1"/>
  <c r="AA1060" i="1"/>
  <c r="AB1060" i="1" s="1"/>
  <c r="AA1061" i="1"/>
  <c r="AB1061" i="1" s="1"/>
  <c r="AA1062" i="1"/>
  <c r="AB1062" i="1" s="1"/>
  <c r="AA1063" i="1"/>
  <c r="AB1063" i="1" s="1"/>
  <c r="AA1064" i="1"/>
  <c r="AB1064" i="1" s="1"/>
  <c r="AA1065" i="1"/>
  <c r="AB1065" i="1" s="1"/>
  <c r="AA1066" i="1"/>
  <c r="AB1066" i="1" s="1"/>
  <c r="AA1067" i="1"/>
  <c r="AB1067" i="1" s="1"/>
  <c r="AA1068" i="1"/>
  <c r="AB1068" i="1" s="1"/>
  <c r="AA1069" i="1"/>
  <c r="AB1069" i="1" s="1"/>
  <c r="AA1070" i="1"/>
  <c r="AB1070" i="1" s="1"/>
  <c r="AA1071" i="1"/>
  <c r="AB1071" i="1" s="1"/>
  <c r="AA1072" i="1"/>
  <c r="AB1072" i="1" s="1"/>
  <c r="AA1073" i="1"/>
  <c r="AB1073" i="1" s="1"/>
  <c r="AA1074" i="1"/>
  <c r="AB1074" i="1" s="1"/>
  <c r="AA1075" i="1"/>
  <c r="AB1075" i="1" s="1"/>
  <c r="AA1076" i="1"/>
  <c r="AB1076" i="1" s="1"/>
  <c r="AA1077" i="1"/>
  <c r="AB1077" i="1" s="1"/>
  <c r="AA1078" i="1"/>
  <c r="AB1078" i="1" s="1"/>
  <c r="AA1079" i="1"/>
  <c r="AB1079" i="1" s="1"/>
  <c r="AA1080" i="1"/>
  <c r="AB1080" i="1" s="1"/>
  <c r="AA1081" i="1"/>
  <c r="AB1081" i="1" s="1"/>
  <c r="AA1082" i="1"/>
  <c r="AB1082" i="1" s="1"/>
  <c r="AA1083" i="1"/>
  <c r="AB1083" i="1" s="1"/>
  <c r="AA1084" i="1"/>
  <c r="AB1084" i="1" s="1"/>
  <c r="AA1085" i="1"/>
  <c r="AB1085" i="1" s="1"/>
  <c r="AA1086" i="1"/>
  <c r="AB1086" i="1" s="1"/>
  <c r="AA1087" i="1"/>
  <c r="AB1087" i="1" s="1"/>
  <c r="AA1088" i="1"/>
  <c r="AB1088" i="1" s="1"/>
  <c r="AA1089" i="1"/>
  <c r="AB1089" i="1" s="1"/>
  <c r="AA1090" i="1"/>
  <c r="AB1090" i="1" s="1"/>
  <c r="AA1091" i="1"/>
  <c r="AB1091" i="1" s="1"/>
  <c r="AA1092" i="1"/>
  <c r="AB1092" i="1" s="1"/>
  <c r="AA1093" i="1"/>
  <c r="AB1093" i="1" s="1"/>
  <c r="AA1094" i="1"/>
  <c r="AB1094" i="1" s="1"/>
  <c r="AA1095" i="1"/>
  <c r="AB1095" i="1" s="1"/>
  <c r="AA1096" i="1"/>
  <c r="AB1096" i="1" s="1"/>
  <c r="AA1097" i="1"/>
  <c r="AB1097" i="1" s="1"/>
  <c r="AA1098" i="1"/>
  <c r="AB1098" i="1" s="1"/>
  <c r="AA1099" i="1"/>
  <c r="AB1099" i="1" s="1"/>
  <c r="AA1100" i="1"/>
  <c r="AB1100" i="1" s="1"/>
  <c r="AA1101" i="1"/>
  <c r="AB1101" i="1" s="1"/>
  <c r="AA1102" i="1"/>
  <c r="AB1102" i="1" s="1"/>
  <c r="AA1103" i="1"/>
  <c r="AB1103" i="1" s="1"/>
  <c r="AA1104" i="1"/>
  <c r="AB1104" i="1" s="1"/>
  <c r="AA1105" i="1"/>
  <c r="AB1105" i="1" s="1"/>
  <c r="AA1106" i="1"/>
  <c r="AB1106" i="1" s="1"/>
  <c r="AA1107" i="1"/>
  <c r="AB1107" i="1" s="1"/>
  <c r="AA1108" i="1"/>
  <c r="AB1108" i="1" s="1"/>
  <c r="AA1109" i="1"/>
  <c r="AB1109" i="1" s="1"/>
  <c r="AA1110" i="1"/>
  <c r="AB1110" i="1" s="1"/>
  <c r="AA1111" i="1"/>
  <c r="AB1111" i="1" s="1"/>
  <c r="AA1112" i="1"/>
  <c r="AB1112" i="1" s="1"/>
  <c r="AA1113" i="1"/>
  <c r="AB1113" i="1" s="1"/>
  <c r="AA1114" i="1"/>
  <c r="AB1114" i="1" s="1"/>
  <c r="AA1115" i="1"/>
  <c r="AB1115" i="1" s="1"/>
  <c r="AA1116" i="1"/>
  <c r="AB1116" i="1" s="1"/>
  <c r="AA1117" i="1"/>
  <c r="AB1117" i="1" s="1"/>
  <c r="AA1118" i="1"/>
  <c r="AB1118" i="1" s="1"/>
  <c r="AA1119" i="1"/>
  <c r="AB1119" i="1" s="1"/>
  <c r="AA1120" i="1"/>
  <c r="AB1120" i="1" s="1"/>
  <c r="AA1121" i="1"/>
  <c r="AB1121" i="1" s="1"/>
  <c r="AA1122" i="1"/>
  <c r="AB1122" i="1" s="1"/>
  <c r="AA1123" i="1"/>
  <c r="AB1123" i="1" s="1"/>
  <c r="AA1124" i="1"/>
  <c r="AB1124" i="1" s="1"/>
  <c r="AA1125" i="1"/>
  <c r="AB1125" i="1" s="1"/>
  <c r="AA1126" i="1"/>
  <c r="AB1126" i="1" s="1"/>
  <c r="AA1127" i="1"/>
  <c r="AB1127" i="1" s="1"/>
  <c r="AA1128" i="1"/>
  <c r="AB1128" i="1" s="1"/>
  <c r="AA1129" i="1"/>
  <c r="AB1129" i="1" s="1"/>
  <c r="AA1130" i="1"/>
  <c r="AB1130" i="1" s="1"/>
  <c r="AA1131" i="1"/>
  <c r="AB1131" i="1" s="1"/>
  <c r="AA1132" i="1"/>
  <c r="AB1132" i="1" s="1"/>
  <c r="AA1133" i="1"/>
  <c r="AB1133" i="1" s="1"/>
  <c r="AA1134" i="1"/>
  <c r="AB1134" i="1" s="1"/>
  <c r="AA1135" i="1"/>
  <c r="AB1135" i="1" s="1"/>
  <c r="AA1136" i="1"/>
  <c r="AB1136" i="1" s="1"/>
  <c r="AA1137" i="1"/>
  <c r="AB1137" i="1" s="1"/>
  <c r="AA1138" i="1"/>
  <c r="AB1138" i="1" s="1"/>
  <c r="AA1139" i="1"/>
  <c r="AB1139" i="1" s="1"/>
  <c r="AA1140" i="1"/>
  <c r="AB1140" i="1" s="1"/>
  <c r="AA1141" i="1"/>
  <c r="AB1141" i="1" s="1"/>
  <c r="AA1142" i="1"/>
  <c r="AB1142" i="1" s="1"/>
  <c r="AA1143" i="1"/>
  <c r="AB1143" i="1" s="1"/>
  <c r="AA1144" i="1"/>
  <c r="AB1144" i="1" s="1"/>
  <c r="AA1145" i="1"/>
  <c r="AB1145" i="1" s="1"/>
  <c r="AA1146" i="1"/>
  <c r="AB1146" i="1" s="1"/>
  <c r="AA1147" i="1"/>
  <c r="AB1147" i="1" s="1"/>
  <c r="AA1148" i="1"/>
  <c r="AB1148" i="1" s="1"/>
  <c r="AA1149" i="1"/>
  <c r="AB1149" i="1" s="1"/>
  <c r="AA1150" i="1"/>
  <c r="AB1150" i="1" s="1"/>
  <c r="AA1151" i="1"/>
  <c r="AB1151" i="1" s="1"/>
  <c r="AA1152" i="1"/>
  <c r="AB1152" i="1" s="1"/>
  <c r="AA1153" i="1"/>
  <c r="AB1153" i="1" s="1"/>
  <c r="AA1154" i="1"/>
  <c r="AB1154" i="1" s="1"/>
  <c r="AA1155" i="1"/>
  <c r="AB1155" i="1" s="1"/>
  <c r="AA1156" i="1"/>
  <c r="AB1156" i="1" s="1"/>
  <c r="AA1157" i="1"/>
  <c r="AB1157" i="1" s="1"/>
  <c r="AA1158" i="1"/>
  <c r="AB1158" i="1" s="1"/>
  <c r="AA1159" i="1"/>
  <c r="AB1159" i="1" s="1"/>
  <c r="AA1160" i="1"/>
  <c r="AB1160" i="1" s="1"/>
  <c r="AA1161" i="1"/>
  <c r="AB1161" i="1" s="1"/>
  <c r="AA1162" i="1"/>
  <c r="AB1162" i="1" s="1"/>
  <c r="AA1163" i="1"/>
  <c r="AB1163" i="1" s="1"/>
  <c r="AA1164" i="1"/>
  <c r="AB1164" i="1" s="1"/>
  <c r="AA1165" i="1"/>
  <c r="AB1165" i="1" s="1"/>
  <c r="AA1166" i="1"/>
  <c r="AB1166" i="1" s="1"/>
  <c r="AA1167" i="1"/>
  <c r="AB1167" i="1" s="1"/>
  <c r="AA1168" i="1"/>
  <c r="AB1168" i="1" s="1"/>
  <c r="AA1169" i="1"/>
  <c r="AB1169" i="1" s="1"/>
  <c r="AA1170" i="1"/>
  <c r="AB1170" i="1" s="1"/>
  <c r="AA1171" i="1"/>
  <c r="AB1171" i="1" s="1"/>
  <c r="AA1172" i="1"/>
  <c r="AB1172" i="1" s="1"/>
  <c r="AA1173" i="1"/>
  <c r="AB1173" i="1" s="1"/>
  <c r="AA1174" i="1"/>
  <c r="AB1174" i="1" s="1"/>
  <c r="AA1175" i="1"/>
  <c r="AB1175" i="1" s="1"/>
  <c r="AA1176" i="1"/>
  <c r="AB1176" i="1" s="1"/>
  <c r="AA1177" i="1"/>
  <c r="AB1177" i="1" s="1"/>
  <c r="AA1178" i="1"/>
  <c r="AB1178" i="1" s="1"/>
  <c r="AA1179" i="1"/>
  <c r="AB1179" i="1" s="1"/>
  <c r="AA1180" i="1"/>
  <c r="AB1180" i="1" s="1"/>
  <c r="AA1181" i="1"/>
  <c r="AB1181" i="1" s="1"/>
  <c r="AA1182" i="1"/>
  <c r="AB1182" i="1" s="1"/>
  <c r="AA1183" i="1"/>
  <c r="AB1183" i="1" s="1"/>
  <c r="AA1184" i="1"/>
  <c r="AB1184" i="1" s="1"/>
  <c r="AA1185" i="1"/>
  <c r="AB1185" i="1" s="1"/>
  <c r="AA1186" i="1"/>
  <c r="AB1186" i="1" s="1"/>
  <c r="AA1187" i="1"/>
  <c r="AB1187" i="1" s="1"/>
  <c r="AA1188" i="1"/>
  <c r="AB1188" i="1" s="1"/>
  <c r="AA1189" i="1"/>
  <c r="AB1189" i="1" s="1"/>
  <c r="AA1190" i="1"/>
  <c r="AB1190" i="1" s="1"/>
  <c r="AA1191" i="1"/>
  <c r="AB1191" i="1" s="1"/>
  <c r="AA1192" i="1"/>
  <c r="AB1192" i="1" s="1"/>
  <c r="AA1193" i="1"/>
  <c r="AB1193" i="1" s="1"/>
  <c r="AA1194" i="1"/>
  <c r="AB1194" i="1" s="1"/>
  <c r="AA1195" i="1"/>
  <c r="AB1195" i="1" s="1"/>
  <c r="AA1196" i="1"/>
  <c r="AB1196" i="1" s="1"/>
  <c r="AA1197" i="1"/>
  <c r="AB1197" i="1" s="1"/>
  <c r="AA1198" i="1"/>
  <c r="AB1198" i="1" s="1"/>
  <c r="AA1199" i="1"/>
  <c r="AB1199" i="1" s="1"/>
  <c r="AA1200" i="1"/>
  <c r="AB1200" i="1" s="1"/>
  <c r="AA1201" i="1"/>
  <c r="AB1201" i="1" s="1"/>
  <c r="AA1202" i="1"/>
  <c r="AB1202" i="1" s="1"/>
  <c r="AA1203" i="1"/>
  <c r="AB1203" i="1" s="1"/>
  <c r="AA1204" i="1"/>
  <c r="AB1204" i="1" s="1"/>
  <c r="AA1205" i="1"/>
  <c r="AB1205" i="1" s="1"/>
  <c r="AA1206" i="1"/>
  <c r="AB1206" i="1" s="1"/>
  <c r="AA1207" i="1"/>
  <c r="AB1207" i="1" s="1"/>
  <c r="AA1208" i="1"/>
  <c r="AB1208" i="1" s="1"/>
  <c r="AA1209" i="1"/>
  <c r="AB1209" i="1" s="1"/>
  <c r="AA1210" i="1"/>
  <c r="AB1210" i="1" s="1"/>
  <c r="AA1211" i="1"/>
  <c r="AB1211" i="1" s="1"/>
  <c r="AA1212" i="1"/>
  <c r="AB1212" i="1" s="1"/>
  <c r="AA1213" i="1"/>
  <c r="AB1213" i="1" s="1"/>
  <c r="AA1214" i="1"/>
  <c r="AB1214" i="1" s="1"/>
  <c r="AA1215" i="1"/>
  <c r="AB1215" i="1" s="1"/>
  <c r="AA1216" i="1"/>
  <c r="AB1216" i="1" s="1"/>
  <c r="AA1217" i="1"/>
  <c r="AB1217" i="1" s="1"/>
  <c r="AA1218" i="1"/>
  <c r="AB1218" i="1" s="1"/>
  <c r="AA1219" i="1"/>
  <c r="AB1219" i="1" s="1"/>
  <c r="AA1220" i="1"/>
  <c r="AB1220" i="1" s="1"/>
  <c r="AA1221" i="1"/>
  <c r="AB1221" i="1" s="1"/>
  <c r="AA1222" i="1"/>
  <c r="AB1222" i="1" s="1"/>
  <c r="AA1223" i="1"/>
  <c r="AB1223" i="1" s="1"/>
  <c r="AA1224" i="1"/>
  <c r="AB1224" i="1" s="1"/>
  <c r="AA1225" i="1"/>
  <c r="AB1225" i="1" s="1"/>
  <c r="AA1226" i="1"/>
  <c r="AB1226" i="1" s="1"/>
  <c r="AA1227" i="1"/>
  <c r="AB1227" i="1" s="1"/>
  <c r="AA1228" i="1"/>
  <c r="AB1228" i="1" s="1"/>
  <c r="AA1229" i="1"/>
  <c r="AB1229" i="1" s="1"/>
  <c r="AA1230" i="1"/>
  <c r="AB1230" i="1" s="1"/>
  <c r="AA1231" i="1"/>
  <c r="AB1231" i="1" s="1"/>
  <c r="AA1232" i="1"/>
  <c r="AB1232" i="1" s="1"/>
  <c r="AA1233" i="1"/>
  <c r="AB1233" i="1" s="1"/>
  <c r="AA1234" i="1"/>
  <c r="AB1234" i="1" s="1"/>
  <c r="AA1235" i="1"/>
  <c r="AB1235" i="1" s="1"/>
  <c r="AA1236" i="1"/>
  <c r="AB1236" i="1" s="1"/>
  <c r="AA1237" i="1"/>
  <c r="AB1237" i="1" s="1"/>
  <c r="AA1238" i="1"/>
  <c r="AB1238" i="1" s="1"/>
  <c r="AA1239" i="1"/>
  <c r="AB1239" i="1" s="1"/>
  <c r="AA1240" i="1"/>
  <c r="AB1240" i="1" s="1"/>
  <c r="AA1241" i="1"/>
  <c r="AB1241" i="1" s="1"/>
  <c r="AA1242" i="1"/>
  <c r="AB1242" i="1" s="1"/>
  <c r="AA1243" i="1"/>
  <c r="AB1243" i="1" s="1"/>
  <c r="AA1244" i="1"/>
  <c r="AB1244" i="1" s="1"/>
  <c r="AA1245" i="1"/>
  <c r="AB1245" i="1" s="1"/>
  <c r="AA1246" i="1"/>
  <c r="AB1246" i="1" s="1"/>
  <c r="AA1247" i="1"/>
  <c r="AB1247" i="1" s="1"/>
  <c r="AA1248" i="1"/>
  <c r="AB1248" i="1" s="1"/>
  <c r="AA1249" i="1"/>
  <c r="AB1249" i="1" s="1"/>
  <c r="AA1250" i="1"/>
  <c r="AB1250" i="1" s="1"/>
  <c r="AA1251" i="1"/>
  <c r="AB1251" i="1" s="1"/>
  <c r="AA1252" i="1"/>
  <c r="AB1252" i="1" s="1"/>
  <c r="AA1253" i="1"/>
  <c r="AB1253" i="1" s="1"/>
  <c r="AA1254" i="1"/>
  <c r="AB1254" i="1" s="1"/>
  <c r="AA1255" i="1"/>
  <c r="AB1255" i="1" s="1"/>
  <c r="AA1256" i="1"/>
  <c r="AB1256" i="1" s="1"/>
  <c r="AA1257" i="1"/>
  <c r="AB1257" i="1" s="1"/>
  <c r="AA1258" i="1"/>
  <c r="AB1258" i="1" s="1"/>
  <c r="AA1259" i="1"/>
  <c r="AB1259" i="1" s="1"/>
  <c r="AA1260" i="1"/>
  <c r="AB1260" i="1" s="1"/>
  <c r="AA1261" i="1"/>
  <c r="AB1261" i="1" s="1"/>
  <c r="AA1262" i="1"/>
  <c r="AB1262" i="1" s="1"/>
  <c r="AA1263" i="1"/>
  <c r="AB1263" i="1" s="1"/>
  <c r="AA1264" i="1"/>
  <c r="AB1264" i="1" s="1"/>
  <c r="AA1265" i="1"/>
  <c r="AB1265" i="1" s="1"/>
  <c r="AA1266" i="1"/>
  <c r="AB1266" i="1" s="1"/>
  <c r="AA1267" i="1"/>
  <c r="AB1267" i="1" s="1"/>
  <c r="AA1268" i="1"/>
  <c r="AB1268" i="1" s="1"/>
  <c r="AA1269" i="1"/>
  <c r="AB1269" i="1" s="1"/>
  <c r="AA1270" i="1"/>
  <c r="AB1270" i="1" s="1"/>
  <c r="AA1271" i="1"/>
  <c r="AB1271" i="1" s="1"/>
  <c r="AA1272" i="1"/>
  <c r="AB1272" i="1" s="1"/>
  <c r="AA1273" i="1"/>
  <c r="AB1273" i="1" s="1"/>
  <c r="AA1274" i="1"/>
  <c r="AB1274" i="1" s="1"/>
  <c r="AA1275" i="1"/>
  <c r="AB1275" i="1" s="1"/>
  <c r="AA1276" i="1"/>
  <c r="AB1276" i="1" s="1"/>
  <c r="AA1277" i="1"/>
  <c r="AB1277" i="1" s="1"/>
  <c r="AA1278" i="1"/>
  <c r="AB1278" i="1" s="1"/>
  <c r="AA1279" i="1"/>
  <c r="AB1279" i="1" s="1"/>
  <c r="AA1280" i="1"/>
  <c r="AB1280" i="1" s="1"/>
  <c r="AA1281" i="1"/>
  <c r="AB1281" i="1" s="1"/>
  <c r="AA1282" i="1"/>
  <c r="AB1282" i="1" s="1"/>
  <c r="AA1283" i="1"/>
  <c r="AB1283" i="1" s="1"/>
  <c r="AA1284" i="1"/>
  <c r="AB1284" i="1" s="1"/>
  <c r="AA1285" i="1"/>
  <c r="AB1285" i="1" s="1"/>
  <c r="AA1286" i="1"/>
  <c r="AB1286" i="1" s="1"/>
  <c r="AA1287" i="1"/>
  <c r="AB1287" i="1" s="1"/>
  <c r="AA1288" i="1"/>
  <c r="AB1288" i="1" s="1"/>
  <c r="AA1289" i="1"/>
  <c r="AB1289" i="1" s="1"/>
  <c r="AA1290" i="1"/>
  <c r="AB1290" i="1" s="1"/>
  <c r="AA1291" i="1"/>
  <c r="AB1291" i="1" s="1"/>
  <c r="AA1292" i="1"/>
  <c r="AB1292" i="1" s="1"/>
  <c r="AA1293" i="1"/>
  <c r="AB1293" i="1" s="1"/>
  <c r="AA1294" i="1"/>
  <c r="AB1294" i="1" s="1"/>
  <c r="AA1295" i="1"/>
  <c r="AB1295" i="1" s="1"/>
  <c r="AA1296" i="1"/>
  <c r="AB1296" i="1" s="1"/>
  <c r="AA1297" i="1"/>
  <c r="AB1297" i="1" s="1"/>
  <c r="AA1298" i="1"/>
  <c r="AB1298" i="1" s="1"/>
  <c r="AA1299" i="1"/>
  <c r="AB1299" i="1" s="1"/>
  <c r="AA1300" i="1"/>
  <c r="AB1300" i="1" s="1"/>
  <c r="AA1301" i="1"/>
  <c r="AB1301" i="1" s="1"/>
  <c r="AA1302" i="1"/>
  <c r="AB1302" i="1" s="1"/>
  <c r="AA1303" i="1"/>
  <c r="AB1303" i="1" s="1"/>
  <c r="AA1304" i="1"/>
  <c r="AB1304" i="1" s="1"/>
  <c r="AA1305" i="1"/>
  <c r="AB1305" i="1" s="1"/>
  <c r="AA1306" i="1"/>
  <c r="AB1306" i="1" s="1"/>
  <c r="AA1307" i="1"/>
  <c r="AB1307" i="1" s="1"/>
  <c r="AA1308" i="1"/>
  <c r="AB1308" i="1" s="1"/>
  <c r="AA1309" i="1"/>
  <c r="AB1309" i="1" s="1"/>
  <c r="AA1310" i="1"/>
  <c r="AB1310" i="1" s="1"/>
  <c r="AA1311" i="1"/>
  <c r="AB1311" i="1" s="1"/>
  <c r="AA1312" i="1"/>
  <c r="AB1312" i="1" s="1"/>
  <c r="AA1313" i="1"/>
  <c r="AB1313" i="1" s="1"/>
  <c r="AA1314" i="1"/>
  <c r="AB1314" i="1" s="1"/>
  <c r="AA1315" i="1"/>
  <c r="AB1315" i="1" s="1"/>
  <c r="AA1316" i="1"/>
  <c r="AB1316" i="1" s="1"/>
  <c r="AA1317" i="1"/>
  <c r="AB1317" i="1" s="1"/>
  <c r="AA1318" i="1"/>
  <c r="AB1318" i="1" s="1"/>
  <c r="AA1319" i="1"/>
  <c r="AB1319" i="1" s="1"/>
  <c r="AA1320" i="1"/>
  <c r="AB1320" i="1" s="1"/>
  <c r="AA1321" i="1"/>
  <c r="AB1321" i="1" s="1"/>
  <c r="AA1322" i="1"/>
  <c r="AB1322" i="1" s="1"/>
  <c r="AA1323" i="1"/>
  <c r="AB1323" i="1" s="1"/>
  <c r="AA1324" i="1"/>
  <c r="AB1324" i="1" s="1"/>
  <c r="AA1325" i="1"/>
  <c r="AB1325" i="1" s="1"/>
  <c r="AA1326" i="1"/>
  <c r="AB1326" i="1" s="1"/>
  <c r="AA1327" i="1"/>
  <c r="AB1327" i="1" s="1"/>
  <c r="AA1328" i="1"/>
  <c r="AB1328" i="1" s="1"/>
  <c r="AA1329" i="1"/>
  <c r="AB1329" i="1" s="1"/>
  <c r="AA1330" i="1"/>
  <c r="AB1330" i="1" s="1"/>
  <c r="AA1331" i="1"/>
  <c r="AB1331" i="1" s="1"/>
  <c r="AA1332" i="1"/>
  <c r="AB1332" i="1" s="1"/>
  <c r="AA1333" i="1"/>
  <c r="AB1333" i="1" s="1"/>
  <c r="AA1334" i="1"/>
  <c r="AB1334" i="1" s="1"/>
  <c r="AA1335" i="1"/>
  <c r="AB1335" i="1" s="1"/>
  <c r="AA1336" i="1"/>
  <c r="AB1336" i="1" s="1"/>
  <c r="AA1337" i="1"/>
  <c r="AB1337" i="1" s="1"/>
  <c r="AA1338" i="1"/>
  <c r="AB1338" i="1" s="1"/>
  <c r="AA1339" i="1"/>
  <c r="AB1339" i="1" s="1"/>
  <c r="AA1340" i="1"/>
  <c r="AB1340" i="1" s="1"/>
  <c r="AA1341" i="1"/>
  <c r="AB1341" i="1" s="1"/>
  <c r="AA1342" i="1"/>
  <c r="AB1342" i="1" s="1"/>
  <c r="AA1343" i="1"/>
  <c r="AB1343" i="1" s="1"/>
  <c r="AA1344" i="1"/>
  <c r="AB1344" i="1" s="1"/>
  <c r="AA1345" i="1"/>
  <c r="AB1345" i="1" s="1"/>
  <c r="AA1346" i="1"/>
  <c r="AB1346" i="1" s="1"/>
  <c r="AA1347" i="1"/>
  <c r="AB1347" i="1" s="1"/>
  <c r="AA1348" i="1"/>
  <c r="AB1348" i="1" s="1"/>
  <c r="AA1349" i="1"/>
  <c r="AB1349" i="1" s="1"/>
  <c r="AA1350" i="1"/>
  <c r="AB1350" i="1" s="1"/>
  <c r="AA1351" i="1"/>
  <c r="AB1351" i="1" s="1"/>
  <c r="AA1352" i="1"/>
  <c r="AB1352" i="1" s="1"/>
  <c r="AA1353" i="1"/>
  <c r="AB1353" i="1" s="1"/>
  <c r="AA1354" i="1"/>
  <c r="AB1354" i="1" s="1"/>
  <c r="AA1355" i="1"/>
  <c r="AB1355" i="1" s="1"/>
  <c r="AA1356" i="1"/>
  <c r="AB1356" i="1" s="1"/>
  <c r="AA1357" i="1"/>
  <c r="AB1357" i="1" s="1"/>
  <c r="AA1358" i="1"/>
  <c r="AB1358" i="1" s="1"/>
  <c r="AA1359" i="1"/>
  <c r="AB1359" i="1" s="1"/>
  <c r="AA1360" i="1"/>
  <c r="AB1360" i="1" s="1"/>
  <c r="AA1361" i="1"/>
  <c r="AB1361" i="1" s="1"/>
  <c r="AA1362" i="1"/>
  <c r="AB1362" i="1" s="1"/>
  <c r="AA1363" i="1"/>
  <c r="AB1363" i="1" s="1"/>
  <c r="AA1364" i="1"/>
  <c r="AB1364" i="1" s="1"/>
  <c r="AA1365" i="1"/>
  <c r="AB1365" i="1" s="1"/>
  <c r="AA1366" i="1"/>
  <c r="AB1366" i="1" s="1"/>
  <c r="AA1367" i="1"/>
  <c r="AB1367" i="1" s="1"/>
  <c r="AA1368" i="1"/>
  <c r="AB1368" i="1" s="1"/>
  <c r="AA1369" i="1"/>
  <c r="AB1369" i="1" s="1"/>
  <c r="AA1370" i="1"/>
  <c r="AB1370" i="1" s="1"/>
  <c r="AA1371" i="1"/>
  <c r="AB1371" i="1" s="1"/>
  <c r="AA1372" i="1"/>
  <c r="AB1372" i="1" s="1"/>
  <c r="AA1373" i="1"/>
  <c r="AB1373" i="1" s="1"/>
  <c r="AA1374" i="1"/>
  <c r="AB1374" i="1" s="1"/>
  <c r="AA1375" i="1"/>
  <c r="AB1375" i="1" s="1"/>
  <c r="AA1376" i="1"/>
  <c r="AB1376" i="1" s="1"/>
  <c r="AA1377" i="1"/>
  <c r="AB1377" i="1" s="1"/>
  <c r="AA1378" i="1"/>
  <c r="AB1378" i="1" s="1"/>
  <c r="AA1379" i="1"/>
  <c r="AB1379" i="1" s="1"/>
  <c r="AA1380" i="1"/>
  <c r="AB1380" i="1" s="1"/>
  <c r="AA1381" i="1"/>
  <c r="AB1381" i="1" s="1"/>
  <c r="AA1382" i="1"/>
  <c r="AB1382" i="1" s="1"/>
  <c r="AA1383" i="1"/>
  <c r="AB1383" i="1" s="1"/>
  <c r="AA1384" i="1"/>
  <c r="AB1384" i="1" s="1"/>
  <c r="AA1385" i="1"/>
  <c r="AB1385" i="1" s="1"/>
  <c r="AA1386" i="1"/>
  <c r="AB1386" i="1" s="1"/>
  <c r="AA1387" i="1"/>
  <c r="AB1387" i="1" s="1"/>
  <c r="AA1388" i="1"/>
  <c r="AB1388" i="1" s="1"/>
  <c r="AA1389" i="1"/>
  <c r="AB1389" i="1" s="1"/>
  <c r="AA1390" i="1"/>
  <c r="AB1390" i="1" s="1"/>
  <c r="AA1391" i="1"/>
  <c r="AB1391" i="1" s="1"/>
  <c r="AA1392" i="1"/>
  <c r="AB1392" i="1" s="1"/>
  <c r="AA1393" i="1"/>
  <c r="AB1393" i="1" s="1"/>
  <c r="AA1394" i="1"/>
  <c r="AB1394" i="1" s="1"/>
  <c r="AA1395" i="1"/>
  <c r="AB1395" i="1" s="1"/>
  <c r="AA1396" i="1"/>
  <c r="AB1396" i="1" s="1"/>
  <c r="AA1397" i="1"/>
  <c r="AB1397" i="1" s="1"/>
  <c r="AA1398" i="1"/>
  <c r="AB1398" i="1" s="1"/>
  <c r="AA1399" i="1"/>
  <c r="AB1399" i="1" s="1"/>
  <c r="AA1400" i="1"/>
  <c r="AB1400" i="1" s="1"/>
  <c r="AA1401" i="1"/>
  <c r="AB1401" i="1" s="1"/>
  <c r="AA1402" i="1"/>
  <c r="AB1402" i="1" s="1"/>
  <c r="AA1403" i="1"/>
  <c r="AB1403" i="1" s="1"/>
  <c r="AA1404" i="1"/>
  <c r="AB1404" i="1" s="1"/>
  <c r="AA1405" i="1"/>
  <c r="AB1405" i="1" s="1"/>
  <c r="AA1406" i="1"/>
  <c r="AB1406" i="1" s="1"/>
  <c r="AA1407" i="1"/>
  <c r="AB1407" i="1" s="1"/>
  <c r="AA1408" i="1"/>
  <c r="AB1408" i="1" s="1"/>
  <c r="AA1409" i="1"/>
  <c r="AB1409" i="1" s="1"/>
  <c r="AA1410" i="1"/>
  <c r="AB1410" i="1" s="1"/>
  <c r="AA1411" i="1"/>
  <c r="AB1411" i="1" s="1"/>
  <c r="AA1412" i="1"/>
  <c r="AB1412" i="1" s="1"/>
  <c r="AA1413" i="1"/>
  <c r="AB1413" i="1" s="1"/>
  <c r="AA1414" i="1"/>
  <c r="AB1414" i="1" s="1"/>
  <c r="AA1415" i="1"/>
  <c r="AB1415" i="1" s="1"/>
  <c r="AA1416" i="1"/>
  <c r="AB1416" i="1" s="1"/>
  <c r="AA1417" i="1"/>
  <c r="AB1417" i="1" s="1"/>
  <c r="AA1418" i="1"/>
  <c r="AB1418" i="1" s="1"/>
  <c r="AA1419" i="1"/>
  <c r="AB1419" i="1" s="1"/>
  <c r="AA1420" i="1"/>
  <c r="AB1420" i="1" s="1"/>
  <c r="AA1421" i="1"/>
  <c r="AB1421" i="1" s="1"/>
  <c r="AA1422" i="1"/>
  <c r="AB1422" i="1" s="1"/>
  <c r="AA1423" i="1"/>
  <c r="AB1423" i="1" s="1"/>
  <c r="AA1424" i="1"/>
  <c r="AB1424" i="1" s="1"/>
  <c r="AA1425" i="1"/>
  <c r="AB1425" i="1" s="1"/>
  <c r="AA1426" i="1"/>
  <c r="AB1426" i="1" s="1"/>
  <c r="AA1427" i="1"/>
  <c r="AB1427" i="1" s="1"/>
  <c r="AA1428" i="1"/>
  <c r="AB1428" i="1" s="1"/>
  <c r="AA1429" i="1"/>
  <c r="AB1429" i="1" s="1"/>
  <c r="AA1430" i="1"/>
  <c r="AB1430" i="1" s="1"/>
  <c r="AA1431" i="1"/>
  <c r="AB1431" i="1" s="1"/>
  <c r="AA1432" i="1"/>
  <c r="AB1432" i="1" s="1"/>
  <c r="AA1433" i="1"/>
  <c r="AB1433" i="1" s="1"/>
  <c r="AA1434" i="1"/>
  <c r="AB1434" i="1" s="1"/>
  <c r="AA1435" i="1"/>
  <c r="AB1435" i="1" s="1"/>
  <c r="AA1436" i="1"/>
  <c r="AB1436" i="1" s="1"/>
  <c r="AA1437" i="1"/>
  <c r="AB1437" i="1" s="1"/>
  <c r="AA1438" i="1"/>
  <c r="AB1438" i="1" s="1"/>
  <c r="AA1439" i="1"/>
  <c r="AB1439" i="1" s="1"/>
  <c r="AA1440" i="1"/>
  <c r="AB1440" i="1" s="1"/>
  <c r="AA1441" i="1"/>
  <c r="AB1441" i="1" s="1"/>
  <c r="AA1442" i="1"/>
  <c r="AB1442" i="1" s="1"/>
  <c r="AA1443" i="1"/>
  <c r="AB1443" i="1" s="1"/>
  <c r="AA1444" i="1"/>
  <c r="AB1444" i="1" s="1"/>
  <c r="AA1445" i="1"/>
  <c r="AB1445" i="1" s="1"/>
  <c r="AA1446" i="1"/>
  <c r="AB1446" i="1" s="1"/>
  <c r="AA1447" i="1"/>
  <c r="AB1447" i="1" s="1"/>
  <c r="AA1448" i="1"/>
  <c r="AB1448" i="1" s="1"/>
  <c r="AA1449" i="1"/>
  <c r="AB1449" i="1" s="1"/>
  <c r="AA1450" i="1"/>
  <c r="AB1450" i="1" s="1"/>
  <c r="AA1451" i="1"/>
  <c r="AB1451" i="1" s="1"/>
  <c r="AA1452" i="1"/>
  <c r="AB1452" i="1" s="1"/>
  <c r="AA1453" i="1"/>
  <c r="AB1453" i="1" s="1"/>
  <c r="AA1454" i="1"/>
  <c r="AB1454" i="1" s="1"/>
  <c r="AA1455" i="1"/>
  <c r="AB1455" i="1" s="1"/>
  <c r="AA1456" i="1"/>
  <c r="AB1456" i="1" s="1"/>
  <c r="AA1457" i="1"/>
  <c r="AB1457" i="1" s="1"/>
  <c r="AA1458" i="1"/>
  <c r="AB1458" i="1" s="1"/>
  <c r="AA1459" i="1"/>
  <c r="AB1459" i="1" s="1"/>
  <c r="AA1460" i="1"/>
  <c r="AB1460" i="1" s="1"/>
  <c r="AA1461" i="1"/>
  <c r="AB1461" i="1" s="1"/>
  <c r="AA1462" i="1"/>
  <c r="AB1462" i="1" s="1"/>
  <c r="AA1463" i="1"/>
  <c r="AB1463" i="1" s="1"/>
  <c r="AA1464" i="1"/>
  <c r="AB1464" i="1" s="1"/>
  <c r="AA1465" i="1"/>
  <c r="AB1465" i="1" s="1"/>
  <c r="AA1466" i="1"/>
  <c r="AB1466" i="1" s="1"/>
  <c r="AA1467" i="1"/>
  <c r="AB1467" i="1" s="1"/>
  <c r="AA1468" i="1"/>
  <c r="AB1468" i="1" s="1"/>
  <c r="AA1469" i="1"/>
  <c r="AB1469" i="1" s="1"/>
  <c r="AA1470" i="1"/>
  <c r="AB1470" i="1" s="1"/>
  <c r="AA1471" i="1"/>
  <c r="AB1471" i="1" s="1"/>
  <c r="AA1472" i="1"/>
  <c r="AB1472" i="1" s="1"/>
  <c r="AA1473" i="1"/>
  <c r="AB1473" i="1" s="1"/>
  <c r="AA1474" i="1"/>
  <c r="AB1474" i="1" s="1"/>
  <c r="AA1475" i="1"/>
  <c r="AB1475" i="1" s="1"/>
  <c r="AA1476" i="1"/>
  <c r="AB1476" i="1" s="1"/>
  <c r="AA1477" i="1"/>
  <c r="AB1477" i="1" s="1"/>
  <c r="AA1478" i="1"/>
  <c r="AB1478" i="1" s="1"/>
  <c r="AA1479" i="1"/>
  <c r="AB1479" i="1" s="1"/>
  <c r="AA1480" i="1"/>
  <c r="AB1480" i="1" s="1"/>
  <c r="AA1481" i="1"/>
  <c r="AB1481" i="1" s="1"/>
  <c r="AA1482" i="1"/>
  <c r="AB1482" i="1" s="1"/>
  <c r="AA1483" i="1"/>
  <c r="AB1483" i="1" s="1"/>
  <c r="AA1484" i="1"/>
  <c r="AB1484" i="1" s="1"/>
  <c r="AA1485" i="1"/>
  <c r="AB1485" i="1" s="1"/>
  <c r="AA1486" i="1"/>
  <c r="AB1486" i="1" s="1"/>
  <c r="AA1487" i="1"/>
  <c r="AB1487" i="1" s="1"/>
  <c r="AA1488" i="1"/>
  <c r="AB1488" i="1" s="1"/>
  <c r="AA1489" i="1"/>
  <c r="AB1489" i="1" s="1"/>
  <c r="AA1490" i="1"/>
  <c r="AB1490" i="1" s="1"/>
  <c r="AA1491" i="1"/>
  <c r="AB1491" i="1" s="1"/>
  <c r="AA1492" i="1"/>
  <c r="AB1492" i="1" s="1"/>
  <c r="AA1493" i="1"/>
  <c r="AB1493" i="1" s="1"/>
  <c r="AA1494" i="1"/>
  <c r="AB1494" i="1" s="1"/>
  <c r="AA1495" i="1"/>
  <c r="AB1495" i="1" s="1"/>
  <c r="AA1496" i="1"/>
  <c r="AB1496" i="1" s="1"/>
  <c r="AA1497" i="1"/>
  <c r="AB1497" i="1" s="1"/>
  <c r="AA1498" i="1"/>
  <c r="AB1498" i="1" s="1"/>
  <c r="AA1499" i="1"/>
  <c r="AB1499" i="1" s="1"/>
  <c r="AA1500" i="1"/>
  <c r="AB1500" i="1" s="1"/>
  <c r="AA1501" i="1"/>
  <c r="AB1501" i="1" s="1"/>
  <c r="AA1502" i="1"/>
  <c r="AB1502" i="1" s="1"/>
  <c r="AA1503" i="1"/>
  <c r="AB1503" i="1" s="1"/>
  <c r="AA1504" i="1"/>
  <c r="AB1504" i="1" s="1"/>
  <c r="AA1505" i="1"/>
  <c r="AB1505" i="1" s="1"/>
  <c r="AA1506" i="1"/>
  <c r="AB1506" i="1" s="1"/>
  <c r="AA1507" i="1"/>
  <c r="AB1507" i="1" s="1"/>
  <c r="AA1508" i="1"/>
  <c r="AB1508" i="1" s="1"/>
  <c r="AA1509" i="1"/>
  <c r="AB1509" i="1" s="1"/>
  <c r="AA1510" i="1"/>
  <c r="AB1510" i="1" s="1"/>
  <c r="AA1511" i="1"/>
  <c r="AB1511" i="1" s="1"/>
  <c r="AA1512" i="1"/>
  <c r="AB1512" i="1" s="1"/>
  <c r="AA1513" i="1"/>
  <c r="AB1513" i="1" s="1"/>
  <c r="AA1514" i="1"/>
  <c r="AB1514" i="1" s="1"/>
  <c r="AA1515" i="1"/>
  <c r="AB1515" i="1" s="1"/>
  <c r="AA1516" i="1"/>
  <c r="AB1516" i="1" s="1"/>
  <c r="AA1517" i="1"/>
  <c r="AB1517" i="1" s="1"/>
  <c r="AA1518" i="1"/>
  <c r="AB1518" i="1" s="1"/>
  <c r="AA1519" i="1"/>
  <c r="AB1519" i="1" s="1"/>
  <c r="AA1520" i="1"/>
  <c r="AB1520" i="1" s="1"/>
  <c r="AA1521" i="1"/>
  <c r="AB1521" i="1" s="1"/>
  <c r="AA1522" i="1"/>
  <c r="AB1522" i="1" s="1"/>
  <c r="AA1523" i="1"/>
  <c r="AB1523" i="1" s="1"/>
  <c r="AA1524" i="1"/>
  <c r="AB1524" i="1" s="1"/>
  <c r="AA1525" i="1"/>
  <c r="AB1525" i="1" s="1"/>
  <c r="AA1526" i="1"/>
  <c r="AB1526" i="1" s="1"/>
  <c r="AA1527" i="1"/>
  <c r="AB1527" i="1" s="1"/>
  <c r="AA1528" i="1"/>
  <c r="AB1528" i="1" s="1"/>
  <c r="AA1529" i="1"/>
  <c r="AB1529" i="1" s="1"/>
  <c r="AA1530" i="1"/>
  <c r="AB1530" i="1" s="1"/>
  <c r="AA1531" i="1"/>
  <c r="AB1531" i="1" s="1"/>
  <c r="AA1532" i="1"/>
  <c r="AB1532" i="1" s="1"/>
  <c r="AA1533" i="1"/>
  <c r="AB1533" i="1" s="1"/>
  <c r="AA1534" i="1"/>
  <c r="AB1534" i="1" s="1"/>
  <c r="AA1535" i="1"/>
  <c r="AB1535" i="1" s="1"/>
  <c r="AA1536" i="1"/>
  <c r="AB1536" i="1" s="1"/>
  <c r="AA1537" i="1"/>
  <c r="AB1537" i="1" s="1"/>
  <c r="AA1538" i="1"/>
  <c r="AB1538" i="1" s="1"/>
  <c r="AA1539" i="1"/>
  <c r="AB1539" i="1" s="1"/>
  <c r="AA1540" i="1"/>
  <c r="AB1540" i="1" s="1"/>
  <c r="AA1541" i="1"/>
  <c r="AB1541" i="1" s="1"/>
  <c r="AA1542" i="1"/>
  <c r="AB1542" i="1" s="1"/>
  <c r="AA1543" i="1"/>
  <c r="AB1543" i="1" s="1"/>
  <c r="AA1544" i="1"/>
  <c r="AB1544" i="1" s="1"/>
  <c r="AA1545" i="1"/>
  <c r="AB1545" i="1" s="1"/>
  <c r="AA1546" i="1"/>
  <c r="AB1546" i="1" s="1"/>
  <c r="AA1547" i="1"/>
  <c r="AB1547" i="1" s="1"/>
  <c r="AA1548" i="1"/>
  <c r="AB1548" i="1" s="1"/>
  <c r="AA1549" i="1"/>
  <c r="AB1549" i="1" s="1"/>
  <c r="AA1550" i="1"/>
  <c r="AB1550" i="1" s="1"/>
  <c r="AA1551" i="1"/>
  <c r="AB1551" i="1" s="1"/>
  <c r="AA1552" i="1"/>
  <c r="AB1552" i="1" s="1"/>
  <c r="AA1553" i="1"/>
  <c r="AB1553" i="1" s="1"/>
  <c r="AA1554" i="1"/>
  <c r="AB1554" i="1" s="1"/>
  <c r="AA1555" i="1"/>
  <c r="AB1555" i="1" s="1"/>
  <c r="AA1556" i="1"/>
  <c r="AB1556" i="1" s="1"/>
  <c r="AA1557" i="1"/>
  <c r="AB1557" i="1" s="1"/>
  <c r="AA1558" i="1"/>
  <c r="AB1558" i="1" s="1"/>
  <c r="AA1559" i="1"/>
  <c r="AB1559" i="1" s="1"/>
  <c r="AA1560" i="1"/>
  <c r="AB1560" i="1" s="1"/>
  <c r="AA1561" i="1"/>
  <c r="AB1561" i="1" s="1"/>
  <c r="AA1562" i="1"/>
  <c r="AB1562" i="1" s="1"/>
  <c r="AA1563" i="1"/>
  <c r="AB1563" i="1" s="1"/>
  <c r="AA1564" i="1"/>
  <c r="AB1564" i="1" s="1"/>
  <c r="AA1565" i="1"/>
  <c r="AB1565" i="1" s="1"/>
  <c r="AA1566" i="1"/>
  <c r="AB1566" i="1" s="1"/>
  <c r="AA1567" i="1"/>
  <c r="AB1567" i="1" s="1"/>
  <c r="AA1568" i="1"/>
  <c r="AB1568" i="1" s="1"/>
  <c r="AA1569" i="1"/>
  <c r="AB1569" i="1" s="1"/>
  <c r="AA1570" i="1"/>
  <c r="AB1570" i="1" s="1"/>
  <c r="AA1571" i="1"/>
  <c r="AB1571" i="1" s="1"/>
  <c r="AA1572" i="1"/>
  <c r="AB1572" i="1" s="1"/>
  <c r="AA1573" i="1"/>
  <c r="AB1573" i="1" s="1"/>
  <c r="AA1574" i="1"/>
  <c r="AB1574" i="1" s="1"/>
  <c r="AA1575" i="1"/>
  <c r="AB1575" i="1" s="1"/>
  <c r="AA1576" i="1"/>
  <c r="AB1576" i="1" s="1"/>
  <c r="AA1577" i="1"/>
  <c r="AB1577" i="1" s="1"/>
  <c r="AA1578" i="1"/>
  <c r="AB1578" i="1" s="1"/>
  <c r="AA1579" i="1"/>
  <c r="AB1579" i="1" s="1"/>
  <c r="AA1580" i="1"/>
  <c r="AB1580" i="1" s="1"/>
  <c r="AA1581" i="1"/>
  <c r="AB1581" i="1" s="1"/>
  <c r="AA1582" i="1"/>
  <c r="AB1582" i="1" s="1"/>
  <c r="AA1583" i="1"/>
  <c r="AB1583" i="1" s="1"/>
  <c r="AA1584" i="1"/>
  <c r="AB1584" i="1" s="1"/>
  <c r="AA1585" i="1"/>
  <c r="AB1585" i="1" s="1"/>
  <c r="AA1586" i="1"/>
  <c r="AB1586" i="1" s="1"/>
  <c r="AA1587" i="1"/>
  <c r="AB1587" i="1" s="1"/>
  <c r="AA1588" i="1"/>
  <c r="AB1588" i="1" s="1"/>
  <c r="AA1589" i="1"/>
  <c r="AB1589" i="1" s="1"/>
  <c r="AA1590" i="1"/>
  <c r="AB1590" i="1" s="1"/>
  <c r="AA1591" i="1"/>
  <c r="AB1591" i="1" s="1"/>
  <c r="AA1592" i="1"/>
  <c r="AB1592" i="1" s="1"/>
  <c r="AA1593" i="1"/>
  <c r="AB1593" i="1" s="1"/>
  <c r="AA1594" i="1"/>
  <c r="AB1594" i="1" s="1"/>
  <c r="AA1595" i="1"/>
  <c r="AB1595" i="1" s="1"/>
  <c r="AA1596" i="1"/>
  <c r="AB1596" i="1" s="1"/>
  <c r="AA1597" i="1"/>
  <c r="AB1597" i="1" s="1"/>
  <c r="AA1598" i="1"/>
  <c r="AB1598" i="1" s="1"/>
  <c r="AA1599" i="1"/>
  <c r="AB1599" i="1" s="1"/>
  <c r="AA1600" i="1"/>
  <c r="AB1600" i="1" s="1"/>
  <c r="AA1601" i="1"/>
  <c r="AB1601" i="1" s="1"/>
  <c r="AA1602" i="1"/>
  <c r="AB1602" i="1" s="1"/>
  <c r="AA1603" i="1"/>
  <c r="AB1603" i="1" s="1"/>
  <c r="AA1604" i="1"/>
  <c r="AB1604" i="1" s="1"/>
  <c r="AA1605" i="1"/>
  <c r="AB1605" i="1" s="1"/>
  <c r="AA1606" i="1"/>
  <c r="AB1606" i="1" s="1"/>
  <c r="AA1607" i="1"/>
  <c r="AB1607" i="1" s="1"/>
  <c r="AA1608" i="1"/>
  <c r="AB1608" i="1" s="1"/>
  <c r="AA1609" i="1"/>
  <c r="AB1609" i="1" s="1"/>
  <c r="AA1610" i="1"/>
  <c r="AB1610" i="1" s="1"/>
  <c r="AA1611" i="1"/>
  <c r="AB1611" i="1" s="1"/>
  <c r="AA1612" i="1"/>
  <c r="AB1612" i="1" s="1"/>
  <c r="AA1613" i="1"/>
  <c r="AB1613" i="1" s="1"/>
  <c r="AA1614" i="1"/>
  <c r="AB1614" i="1" s="1"/>
  <c r="AA1615" i="1"/>
  <c r="AB1615" i="1" s="1"/>
  <c r="AA1616" i="1"/>
  <c r="AB1616" i="1" s="1"/>
  <c r="AA1617" i="1"/>
  <c r="AB1617" i="1" s="1"/>
  <c r="AA1618" i="1"/>
  <c r="AB1618" i="1" s="1"/>
  <c r="AA1619" i="1"/>
  <c r="AB1619" i="1" s="1"/>
  <c r="AA1620" i="1"/>
  <c r="AB1620" i="1" s="1"/>
  <c r="AA1621" i="1"/>
  <c r="AB1621" i="1" s="1"/>
  <c r="AA1622" i="1"/>
  <c r="AB1622" i="1" s="1"/>
  <c r="AA1623" i="1"/>
  <c r="AB1623" i="1" s="1"/>
  <c r="AA1624" i="1"/>
  <c r="AB1624" i="1" s="1"/>
  <c r="AA1625" i="1"/>
  <c r="AB1625" i="1" s="1"/>
  <c r="AA1626" i="1"/>
  <c r="AB1626" i="1" s="1"/>
  <c r="AA1627" i="1"/>
  <c r="AB1627" i="1" s="1"/>
  <c r="AA1628" i="1"/>
  <c r="AB1628" i="1" s="1"/>
  <c r="AA1629" i="1"/>
  <c r="AB1629" i="1" s="1"/>
  <c r="AA1630" i="1"/>
  <c r="AB1630" i="1" s="1"/>
  <c r="AA1631" i="1"/>
  <c r="AB1631" i="1" s="1"/>
  <c r="AA1632" i="1"/>
  <c r="AB1632" i="1" s="1"/>
  <c r="AA1633" i="1"/>
  <c r="AB1633" i="1" s="1"/>
  <c r="AA1634" i="1"/>
  <c r="AB1634" i="1" s="1"/>
  <c r="AA1635" i="1"/>
  <c r="AB1635" i="1" s="1"/>
  <c r="AA1636" i="1"/>
  <c r="AB1636" i="1" s="1"/>
  <c r="AA1637" i="1"/>
  <c r="AB1637" i="1" s="1"/>
  <c r="AA1638" i="1"/>
  <c r="AB1638" i="1" s="1"/>
  <c r="AA1639" i="1"/>
  <c r="AB1639" i="1" s="1"/>
  <c r="AA1640" i="1"/>
  <c r="AB1640" i="1" s="1"/>
  <c r="AA1641" i="1"/>
  <c r="AB1641" i="1" s="1"/>
  <c r="AA1642" i="1"/>
  <c r="AB1642" i="1" s="1"/>
  <c r="AA1643" i="1"/>
  <c r="AB1643" i="1" s="1"/>
  <c r="AA1644" i="1"/>
  <c r="AB1644" i="1" s="1"/>
  <c r="AA1645" i="1"/>
  <c r="AB1645" i="1" s="1"/>
  <c r="AA1646" i="1"/>
  <c r="AB1646" i="1" s="1"/>
  <c r="AA1647" i="1"/>
  <c r="AB1647" i="1" s="1"/>
  <c r="AA1648" i="1"/>
  <c r="AB1648" i="1" s="1"/>
  <c r="AA1649" i="1"/>
  <c r="AB1649" i="1" s="1"/>
  <c r="AA1650" i="1"/>
  <c r="AB1650" i="1" s="1"/>
  <c r="AA1651" i="1"/>
  <c r="AB1651" i="1" s="1"/>
  <c r="AA1652" i="1"/>
  <c r="AB1652" i="1" s="1"/>
  <c r="AA1653" i="1"/>
  <c r="AB1653" i="1" s="1"/>
  <c r="AA1654" i="1"/>
  <c r="AB1654" i="1" s="1"/>
  <c r="AA1655" i="1"/>
  <c r="AB1655" i="1" s="1"/>
  <c r="AA1656" i="1"/>
  <c r="AB1656" i="1" s="1"/>
  <c r="AA1657" i="1"/>
  <c r="AB1657" i="1" s="1"/>
  <c r="AA1658" i="1"/>
  <c r="AB1658" i="1" s="1"/>
  <c r="AA1659" i="1"/>
  <c r="AB1659" i="1" s="1"/>
  <c r="AA1660" i="1"/>
  <c r="AB1660" i="1" s="1"/>
  <c r="AA1661" i="1"/>
  <c r="AB1661" i="1" s="1"/>
  <c r="AA1662" i="1"/>
  <c r="AB1662" i="1" s="1"/>
  <c r="AA1663" i="1"/>
  <c r="AB1663" i="1" s="1"/>
  <c r="AA1664" i="1"/>
  <c r="AB1664" i="1" s="1"/>
  <c r="AA1665" i="1"/>
  <c r="AB1665" i="1" s="1"/>
  <c r="AA1666" i="1"/>
  <c r="AB1666" i="1" s="1"/>
  <c r="AA1667" i="1"/>
  <c r="AB1667" i="1" s="1"/>
  <c r="AA1668" i="1"/>
  <c r="AB1668" i="1" s="1"/>
  <c r="AA1669" i="1"/>
  <c r="AB1669" i="1" s="1"/>
  <c r="AA1670" i="1"/>
  <c r="AB1670" i="1" s="1"/>
  <c r="AA1671" i="1"/>
  <c r="AB1671" i="1" s="1"/>
  <c r="AA1672" i="1"/>
  <c r="AB1672" i="1" s="1"/>
  <c r="AA1673" i="1"/>
  <c r="AB1673" i="1" s="1"/>
  <c r="AA1674" i="1"/>
  <c r="AB1674" i="1" s="1"/>
  <c r="AA1675" i="1"/>
  <c r="AB1675" i="1" s="1"/>
  <c r="AA1676" i="1"/>
  <c r="AB1676" i="1" s="1"/>
  <c r="AA1677" i="1"/>
  <c r="AB1677" i="1" s="1"/>
  <c r="AA1678" i="1"/>
  <c r="AB1678" i="1" s="1"/>
  <c r="AA1679" i="1"/>
  <c r="AB1679" i="1" s="1"/>
  <c r="AA1680" i="1"/>
  <c r="AB1680" i="1" s="1"/>
  <c r="AA1681" i="1"/>
  <c r="AB1681" i="1" s="1"/>
  <c r="AA1682" i="1"/>
  <c r="AB1682" i="1" s="1"/>
  <c r="AA1683" i="1"/>
  <c r="AB1683" i="1" s="1"/>
  <c r="AA1684" i="1"/>
  <c r="AB1684" i="1" s="1"/>
  <c r="AA1685" i="1"/>
  <c r="AB1685" i="1" s="1"/>
  <c r="AA1686" i="1"/>
  <c r="AB1686" i="1" s="1"/>
  <c r="AA1687" i="1"/>
  <c r="AB1687" i="1" s="1"/>
  <c r="AA1688" i="1"/>
  <c r="AB1688" i="1" s="1"/>
  <c r="AA1689" i="1"/>
  <c r="AB1689" i="1" s="1"/>
  <c r="AA1690" i="1"/>
  <c r="AB1690" i="1" s="1"/>
  <c r="AA1691" i="1"/>
  <c r="AB1691" i="1" s="1"/>
  <c r="AA1692" i="1"/>
  <c r="AB1692" i="1" s="1"/>
  <c r="AA1693" i="1"/>
  <c r="AB1693" i="1" s="1"/>
  <c r="AA1694" i="1"/>
  <c r="AB1694" i="1" s="1"/>
  <c r="AA1695" i="1"/>
  <c r="AB1695" i="1" s="1"/>
  <c r="AA1696" i="1"/>
  <c r="AB1696" i="1" s="1"/>
  <c r="AA1697" i="1"/>
  <c r="AB1697" i="1" s="1"/>
  <c r="AA1698" i="1"/>
  <c r="AB1698" i="1" s="1"/>
  <c r="AA1699" i="1"/>
  <c r="AB1699" i="1" s="1"/>
  <c r="AA1700" i="1"/>
  <c r="AB1700" i="1" s="1"/>
  <c r="AA1701" i="1"/>
  <c r="AB1701" i="1" s="1"/>
  <c r="AA1702" i="1"/>
  <c r="AB1702" i="1" s="1"/>
  <c r="AA1703" i="1"/>
  <c r="AB1703" i="1" s="1"/>
  <c r="AA1704" i="1"/>
  <c r="AB1704" i="1" s="1"/>
  <c r="AA1705" i="1"/>
  <c r="AB1705" i="1" s="1"/>
  <c r="AA1706" i="1"/>
  <c r="AB1706" i="1" s="1"/>
  <c r="AA1707" i="1"/>
  <c r="AB1707" i="1" s="1"/>
  <c r="AA1708" i="1"/>
  <c r="AB1708" i="1" s="1"/>
  <c r="AA1709" i="1"/>
  <c r="AB1709" i="1" s="1"/>
  <c r="AA1710" i="1"/>
  <c r="AB1710" i="1" s="1"/>
  <c r="AA1711" i="1"/>
  <c r="AB1711" i="1" s="1"/>
  <c r="AA1712" i="1"/>
  <c r="AB1712" i="1" s="1"/>
  <c r="AA1713" i="1"/>
  <c r="AB1713" i="1" s="1"/>
  <c r="AA1714" i="1"/>
  <c r="AB1714" i="1" s="1"/>
  <c r="AA1715" i="1"/>
  <c r="AB1715" i="1" s="1"/>
  <c r="AA1716" i="1"/>
  <c r="AB1716" i="1" s="1"/>
  <c r="AA1717" i="1"/>
  <c r="AB1717" i="1" s="1"/>
  <c r="AA1718" i="1"/>
  <c r="AB1718" i="1" s="1"/>
  <c r="AA1719" i="1"/>
  <c r="AB1719" i="1" s="1"/>
  <c r="AA1720" i="1"/>
  <c r="AB1720" i="1" s="1"/>
  <c r="AA1721" i="1"/>
  <c r="AB1721" i="1" s="1"/>
  <c r="AA1722" i="1"/>
  <c r="AB1722" i="1" s="1"/>
  <c r="AA1723" i="1"/>
  <c r="AB1723" i="1" s="1"/>
  <c r="AA1724" i="1"/>
  <c r="AB1724" i="1" s="1"/>
  <c r="AA1725" i="1"/>
  <c r="AB1725" i="1" s="1"/>
  <c r="AA1726" i="1"/>
  <c r="AB1726" i="1" s="1"/>
  <c r="AA1727" i="1"/>
  <c r="AB1727" i="1" s="1"/>
  <c r="AA1728" i="1"/>
  <c r="AB1728" i="1" s="1"/>
  <c r="AA1729" i="1"/>
  <c r="AB1729" i="1" s="1"/>
  <c r="AA1730" i="1"/>
  <c r="AB1730" i="1" s="1"/>
  <c r="AA1731" i="1"/>
  <c r="AB1731" i="1" s="1"/>
  <c r="AA1732" i="1"/>
  <c r="AB1732" i="1" s="1"/>
  <c r="AA1733" i="1"/>
  <c r="AB1733" i="1" s="1"/>
  <c r="AA1734" i="1"/>
  <c r="AB1734" i="1" s="1"/>
  <c r="AA1735" i="1"/>
  <c r="AB1735" i="1" s="1"/>
  <c r="AA1736" i="1"/>
  <c r="AB1736" i="1" s="1"/>
  <c r="AA1737" i="1"/>
  <c r="AB1737" i="1" s="1"/>
  <c r="AA1738" i="1"/>
  <c r="AB1738" i="1" s="1"/>
  <c r="AA1739" i="1"/>
  <c r="AB1739" i="1" s="1"/>
  <c r="AA1740" i="1"/>
  <c r="AB1740" i="1" s="1"/>
  <c r="AA1741" i="1"/>
  <c r="AB1741" i="1" s="1"/>
  <c r="AA1742" i="1"/>
  <c r="AB1742" i="1" s="1"/>
  <c r="AA1743" i="1"/>
  <c r="AB1743" i="1" s="1"/>
  <c r="AA1744" i="1"/>
  <c r="AB1744" i="1" s="1"/>
  <c r="AA1745" i="1"/>
  <c r="AB1745" i="1" s="1"/>
  <c r="AA1746" i="1"/>
  <c r="AB1746" i="1" s="1"/>
  <c r="AA1747" i="1"/>
  <c r="AB1747" i="1" s="1"/>
  <c r="AA1748" i="1"/>
  <c r="AB1748" i="1" s="1"/>
  <c r="AA1749" i="1"/>
  <c r="AB1749" i="1" s="1"/>
  <c r="AA1750" i="1"/>
  <c r="AB1750" i="1" s="1"/>
  <c r="AA1751" i="1"/>
  <c r="AB1751" i="1" s="1"/>
  <c r="AA1752" i="1"/>
  <c r="AB1752" i="1" s="1"/>
  <c r="AA1753" i="1"/>
  <c r="AB1753" i="1" s="1"/>
  <c r="AA1754" i="1"/>
  <c r="AB1754" i="1" s="1"/>
  <c r="AA1755" i="1"/>
  <c r="AB1755" i="1" s="1"/>
  <c r="AA1756" i="1"/>
  <c r="AB1756" i="1" s="1"/>
  <c r="AA1757" i="1"/>
  <c r="AB1757" i="1" s="1"/>
  <c r="AA1758" i="1"/>
  <c r="AB1758" i="1" s="1"/>
  <c r="AA1759" i="1"/>
  <c r="AB1759" i="1" s="1"/>
  <c r="AA1760" i="1"/>
  <c r="AB1760" i="1" s="1"/>
  <c r="AA1761" i="1"/>
  <c r="AB1761" i="1" s="1"/>
  <c r="AA1762" i="1"/>
  <c r="AB1762" i="1" s="1"/>
  <c r="AA1763" i="1"/>
  <c r="AB1763" i="1" s="1"/>
  <c r="AA1764" i="1"/>
  <c r="AB1764" i="1" s="1"/>
  <c r="AA1765" i="1"/>
  <c r="AB1765" i="1" s="1"/>
  <c r="AA1766" i="1"/>
  <c r="AB1766" i="1" s="1"/>
  <c r="AA1767" i="1"/>
  <c r="AB1767" i="1" s="1"/>
  <c r="AA1768" i="1"/>
  <c r="AB1768" i="1" s="1"/>
  <c r="AA1769" i="1"/>
  <c r="AB1769" i="1" s="1"/>
  <c r="AA1770" i="1"/>
  <c r="AB1770" i="1" s="1"/>
  <c r="AA1771" i="1"/>
  <c r="AB1771" i="1" s="1"/>
  <c r="AA1772" i="1"/>
  <c r="AB1772" i="1" s="1"/>
  <c r="AA1773" i="1"/>
  <c r="AB1773" i="1" s="1"/>
  <c r="AA1774" i="1"/>
  <c r="AB1774" i="1" s="1"/>
  <c r="AA1775" i="1"/>
  <c r="AB1775" i="1" s="1"/>
  <c r="AA1776" i="1"/>
  <c r="AB1776" i="1" s="1"/>
  <c r="AA1777" i="1"/>
  <c r="AB1777" i="1" s="1"/>
  <c r="AA1778" i="1"/>
  <c r="AB1778" i="1" s="1"/>
  <c r="AA1779" i="1"/>
  <c r="AB1779" i="1" s="1"/>
  <c r="AA1780" i="1"/>
  <c r="AB1780" i="1" s="1"/>
  <c r="AA1781" i="1"/>
  <c r="AB1781" i="1" s="1"/>
  <c r="AA1782" i="1"/>
  <c r="AB1782" i="1" s="1"/>
  <c r="AA1783" i="1"/>
  <c r="AB1783" i="1" s="1"/>
  <c r="AA1784" i="1"/>
  <c r="AB1784" i="1" s="1"/>
  <c r="AA1785" i="1"/>
  <c r="AB1785" i="1" s="1"/>
  <c r="AA1786" i="1"/>
  <c r="AB1786" i="1" s="1"/>
  <c r="AA1787" i="1"/>
  <c r="AB1787" i="1" s="1"/>
  <c r="AA1788" i="1"/>
  <c r="AB1788" i="1" s="1"/>
  <c r="AA1789" i="1"/>
  <c r="AB1789" i="1" s="1"/>
  <c r="AA1790" i="1"/>
  <c r="AB1790" i="1" s="1"/>
  <c r="AA1791" i="1"/>
  <c r="AB1791" i="1" s="1"/>
  <c r="AA1792" i="1"/>
  <c r="AB1792" i="1" s="1"/>
  <c r="AA1793" i="1"/>
  <c r="AB1793" i="1" s="1"/>
  <c r="AA1794" i="1"/>
  <c r="AB1794" i="1" s="1"/>
  <c r="AA1795" i="1"/>
  <c r="AB1795" i="1" s="1"/>
  <c r="AA1796" i="1"/>
  <c r="AB1796" i="1" s="1"/>
  <c r="AA1797" i="1"/>
  <c r="AB1797" i="1" s="1"/>
  <c r="AA1798" i="1"/>
  <c r="AB1798" i="1" s="1"/>
  <c r="AA1799" i="1"/>
  <c r="AB1799" i="1" s="1"/>
  <c r="AA1800" i="1"/>
  <c r="AB1800" i="1" s="1"/>
  <c r="AA1801" i="1"/>
  <c r="AB1801" i="1" s="1"/>
  <c r="AA1802" i="1"/>
  <c r="AB1802" i="1" s="1"/>
  <c r="AA1803" i="1"/>
  <c r="AB1803" i="1" s="1"/>
  <c r="AA1804" i="1"/>
  <c r="AB1804" i="1" s="1"/>
  <c r="AA1805" i="1"/>
  <c r="AB1805" i="1" s="1"/>
  <c r="AA1806" i="1"/>
  <c r="AB1806" i="1" s="1"/>
  <c r="AA1807" i="1"/>
  <c r="AB1807" i="1" s="1"/>
  <c r="AA1808" i="1"/>
  <c r="AB1808" i="1" s="1"/>
  <c r="AA1809" i="1"/>
  <c r="AB1809" i="1" s="1"/>
  <c r="AA1810" i="1"/>
  <c r="AB1810" i="1" s="1"/>
  <c r="AA1811" i="1"/>
  <c r="AB1811" i="1" s="1"/>
  <c r="AA1812" i="1"/>
  <c r="AB1812" i="1" s="1"/>
  <c r="AA1813" i="1"/>
  <c r="AB1813" i="1" s="1"/>
  <c r="AA1814" i="1"/>
  <c r="AB1814" i="1" s="1"/>
  <c r="AA1815" i="1"/>
  <c r="AB1815" i="1" s="1"/>
  <c r="AA1816" i="1"/>
  <c r="AB1816" i="1" s="1"/>
  <c r="AA1817" i="1"/>
  <c r="AB1817" i="1" s="1"/>
  <c r="AA1818" i="1"/>
  <c r="AB1818" i="1" s="1"/>
  <c r="AA1819" i="1"/>
  <c r="AB1819" i="1" s="1"/>
  <c r="AA1820" i="1"/>
  <c r="AB1820" i="1" s="1"/>
  <c r="AA1821" i="1"/>
  <c r="AB1821" i="1" s="1"/>
  <c r="AA1822" i="1"/>
  <c r="AB1822" i="1" s="1"/>
  <c r="AA1823" i="1"/>
  <c r="AB1823" i="1" s="1"/>
  <c r="AA1824" i="1"/>
  <c r="AB1824" i="1" s="1"/>
  <c r="AA1825" i="1"/>
  <c r="AB1825" i="1" s="1"/>
  <c r="AA1826" i="1"/>
  <c r="AB1826" i="1" s="1"/>
  <c r="AA1827" i="1"/>
  <c r="AB1827" i="1" s="1"/>
  <c r="AA1828" i="1"/>
  <c r="AB1828" i="1" s="1"/>
  <c r="AA1829" i="1"/>
  <c r="AB1829" i="1" s="1"/>
  <c r="AA1830" i="1"/>
  <c r="AB1830" i="1" s="1"/>
  <c r="AA1831" i="1"/>
  <c r="AB1831" i="1" s="1"/>
  <c r="AA1832" i="1"/>
  <c r="AB1832" i="1" s="1"/>
  <c r="AA1833" i="1"/>
  <c r="AB1833" i="1" s="1"/>
  <c r="AA1834" i="1"/>
  <c r="AB1834" i="1" s="1"/>
  <c r="AA1835" i="1"/>
  <c r="AB1835" i="1" s="1"/>
  <c r="AA1836" i="1"/>
  <c r="AB1836" i="1" s="1"/>
  <c r="AA1837" i="1"/>
  <c r="AB1837" i="1" s="1"/>
  <c r="AA1838" i="1"/>
  <c r="AB1838" i="1" s="1"/>
  <c r="AA1839" i="1"/>
  <c r="AB1839" i="1" s="1"/>
  <c r="AA1840" i="1"/>
  <c r="AB1840" i="1" s="1"/>
  <c r="AA1841" i="1"/>
  <c r="AB1841" i="1" s="1"/>
  <c r="AA1842" i="1"/>
  <c r="AB1842" i="1" s="1"/>
  <c r="AA1843" i="1"/>
  <c r="AB1843" i="1" s="1"/>
  <c r="AA1844" i="1"/>
  <c r="AB1844" i="1" s="1"/>
  <c r="AA1845" i="1"/>
  <c r="AB1845" i="1" s="1"/>
  <c r="AA1846" i="1"/>
  <c r="AB1846" i="1" s="1"/>
  <c r="AA1847" i="1"/>
  <c r="AB1847" i="1" s="1"/>
  <c r="AA1848" i="1"/>
  <c r="AB1848" i="1" s="1"/>
  <c r="AA1849" i="1"/>
  <c r="AB1849" i="1" s="1"/>
  <c r="AA1850" i="1"/>
  <c r="AB1850" i="1" s="1"/>
  <c r="AA1851" i="1"/>
  <c r="AB1851" i="1" s="1"/>
  <c r="AA1852" i="1"/>
  <c r="AB1852" i="1" s="1"/>
  <c r="AA1853" i="1"/>
  <c r="AB1853" i="1" s="1"/>
  <c r="AA1854" i="1"/>
  <c r="AB1854" i="1" s="1"/>
  <c r="AA1855" i="1"/>
  <c r="AB1855" i="1" s="1"/>
  <c r="AA1856" i="1"/>
  <c r="AB1856" i="1" s="1"/>
  <c r="AA1857" i="1"/>
  <c r="AB1857" i="1" s="1"/>
  <c r="AA1858" i="1"/>
  <c r="AB1858" i="1" s="1"/>
  <c r="AA1859" i="1"/>
  <c r="AB1859" i="1" s="1"/>
  <c r="AA1860" i="1"/>
  <c r="AB1860" i="1" s="1"/>
  <c r="AA1861" i="1"/>
  <c r="AB1861" i="1" s="1"/>
  <c r="AA1862" i="1"/>
  <c r="AB1862" i="1" s="1"/>
  <c r="AA1863" i="1"/>
  <c r="AB1863" i="1" s="1"/>
  <c r="AA1864" i="1"/>
  <c r="AB1864" i="1" s="1"/>
  <c r="AA1865" i="1"/>
  <c r="AB1865" i="1" s="1"/>
  <c r="AA1866" i="1"/>
  <c r="AB1866" i="1" s="1"/>
  <c r="AA1867" i="1"/>
  <c r="AB1867" i="1" s="1"/>
  <c r="AA1868" i="1"/>
  <c r="AB1868" i="1" s="1"/>
  <c r="AA1869" i="1"/>
  <c r="AB1869" i="1" s="1"/>
  <c r="AA1870" i="1"/>
  <c r="AB1870" i="1" s="1"/>
  <c r="AA1871" i="1"/>
  <c r="AB1871" i="1" s="1"/>
  <c r="AA1872" i="1"/>
  <c r="AB1872" i="1" s="1"/>
  <c r="AA1873" i="1"/>
  <c r="AB1873" i="1" s="1"/>
  <c r="AA1874" i="1"/>
  <c r="AB1874" i="1" s="1"/>
  <c r="AA1875" i="1"/>
  <c r="AB1875" i="1" s="1"/>
  <c r="AA1876" i="1"/>
  <c r="AB1876" i="1" s="1"/>
  <c r="AA1877" i="1"/>
  <c r="AB1877" i="1" s="1"/>
  <c r="AA1878" i="1"/>
  <c r="AB1878" i="1" s="1"/>
  <c r="AA1879" i="1"/>
  <c r="AB1879" i="1" s="1"/>
  <c r="AA1880" i="1"/>
  <c r="AB1880" i="1" s="1"/>
  <c r="AA1881" i="1"/>
  <c r="AB1881" i="1" s="1"/>
  <c r="AA1882" i="1"/>
  <c r="AB1882" i="1" s="1"/>
  <c r="AA1883" i="1"/>
  <c r="AB1883" i="1" s="1"/>
  <c r="AA1884" i="1"/>
  <c r="AB1884" i="1" s="1"/>
  <c r="AA1885" i="1"/>
  <c r="AB1885" i="1" s="1"/>
  <c r="AA1886" i="1"/>
  <c r="AB1886" i="1" s="1"/>
  <c r="AA1887" i="1"/>
  <c r="AB1887" i="1" s="1"/>
  <c r="AA1888" i="1"/>
  <c r="AB1888" i="1" s="1"/>
  <c r="AA1889" i="1"/>
  <c r="AB1889" i="1" s="1"/>
  <c r="AA1890" i="1"/>
  <c r="AB1890" i="1" s="1"/>
  <c r="AA1891" i="1"/>
  <c r="AB1891" i="1" s="1"/>
  <c r="AA1892" i="1"/>
  <c r="AB1892" i="1" s="1"/>
  <c r="AA1893" i="1"/>
  <c r="AB1893" i="1" s="1"/>
  <c r="AA1894" i="1"/>
  <c r="AB1894" i="1" s="1"/>
  <c r="AA1895" i="1"/>
  <c r="AB1895" i="1" s="1"/>
  <c r="AA1896" i="1"/>
  <c r="AB1896" i="1" s="1"/>
  <c r="AA1897" i="1"/>
  <c r="AB1897" i="1" s="1"/>
  <c r="AA1898" i="1"/>
  <c r="AB1898" i="1" s="1"/>
  <c r="AA1899" i="1"/>
  <c r="AB1899" i="1" s="1"/>
  <c r="AA1900" i="1"/>
  <c r="AB1900" i="1" s="1"/>
  <c r="AA1901" i="1"/>
  <c r="AB1901" i="1" s="1"/>
  <c r="AA1902" i="1"/>
  <c r="AB1902" i="1" s="1"/>
  <c r="AA1903" i="1"/>
  <c r="AB1903" i="1" s="1"/>
  <c r="AA1904" i="1"/>
  <c r="AB1904" i="1" s="1"/>
  <c r="AA1905" i="1"/>
  <c r="AB1905" i="1" s="1"/>
  <c r="AA1906" i="1"/>
  <c r="AB1906" i="1" s="1"/>
  <c r="AA1907" i="1"/>
  <c r="AB1907" i="1" s="1"/>
  <c r="AA1908" i="1"/>
  <c r="AB1908" i="1" s="1"/>
  <c r="AA1909" i="1"/>
  <c r="AB1909" i="1" s="1"/>
  <c r="AA1910" i="1"/>
  <c r="AB1910" i="1" s="1"/>
  <c r="AA1911" i="1"/>
  <c r="AB1911" i="1" s="1"/>
  <c r="AA1912" i="1"/>
  <c r="AB1912" i="1" s="1"/>
  <c r="AA1913" i="1"/>
  <c r="AB1913" i="1" s="1"/>
  <c r="AA1914" i="1"/>
  <c r="AB1914" i="1" s="1"/>
  <c r="AA1915" i="1"/>
  <c r="AB1915" i="1" s="1"/>
  <c r="AA1916" i="1"/>
  <c r="AB1916" i="1" s="1"/>
  <c r="AA1917" i="1"/>
  <c r="AB1917" i="1" s="1"/>
  <c r="AA1918" i="1"/>
  <c r="AB1918" i="1" s="1"/>
  <c r="AA1919" i="1"/>
  <c r="AB1919" i="1" s="1"/>
  <c r="AA1920" i="1"/>
  <c r="AB1920" i="1" s="1"/>
  <c r="AA1921" i="1"/>
  <c r="AB1921" i="1" s="1"/>
  <c r="AA1922" i="1"/>
  <c r="AB1922" i="1" s="1"/>
  <c r="AA1923" i="1"/>
  <c r="AB1923" i="1" s="1"/>
  <c r="AA1924" i="1"/>
  <c r="AB1924" i="1" s="1"/>
  <c r="AA1925" i="1"/>
  <c r="AB1925" i="1" s="1"/>
  <c r="AA1926" i="1"/>
  <c r="AB1926" i="1" s="1"/>
  <c r="AA1927" i="1"/>
  <c r="AB1927" i="1" s="1"/>
  <c r="AA1928" i="1"/>
  <c r="AB1928" i="1" s="1"/>
  <c r="AA1929" i="1"/>
  <c r="AB1929" i="1" s="1"/>
  <c r="AA1930" i="1"/>
  <c r="AB1930" i="1" s="1"/>
  <c r="AA1931" i="1"/>
  <c r="AB1931" i="1" s="1"/>
  <c r="AA1932" i="1"/>
  <c r="AB1932" i="1" s="1"/>
  <c r="AA1933" i="1"/>
  <c r="AB1933" i="1" s="1"/>
  <c r="AA1934" i="1"/>
  <c r="AB1934" i="1" s="1"/>
  <c r="AA1935" i="1"/>
  <c r="AB1935" i="1" s="1"/>
  <c r="AA1936" i="1"/>
  <c r="AB1936" i="1" s="1"/>
  <c r="AA1937" i="1"/>
  <c r="AB1937" i="1" s="1"/>
  <c r="AA1938" i="1"/>
  <c r="AB1938" i="1" s="1"/>
  <c r="AA1939" i="1"/>
  <c r="AB1939" i="1" s="1"/>
  <c r="AA1940" i="1"/>
  <c r="AB1940" i="1" s="1"/>
  <c r="AA1941" i="1"/>
  <c r="AB1941" i="1" s="1"/>
  <c r="AA1942" i="1"/>
  <c r="AB1942" i="1" s="1"/>
  <c r="AA1943" i="1"/>
  <c r="AB1943" i="1" s="1"/>
  <c r="AA1944" i="1"/>
  <c r="AB1944" i="1" s="1"/>
  <c r="AA1945" i="1"/>
  <c r="AB1945" i="1" s="1"/>
  <c r="AA1946" i="1"/>
  <c r="AB1946" i="1" s="1"/>
  <c r="AA1947" i="1"/>
  <c r="AB1947" i="1" s="1"/>
  <c r="AA1948" i="1"/>
  <c r="AB1948" i="1" s="1"/>
  <c r="AA1949" i="1"/>
  <c r="AB1949" i="1" s="1"/>
  <c r="AA1950" i="1"/>
  <c r="AB1950" i="1" s="1"/>
  <c r="AA1951" i="1"/>
  <c r="AB1951" i="1" s="1"/>
  <c r="AA1952" i="1"/>
  <c r="AB1952" i="1" s="1"/>
  <c r="AA1953" i="1"/>
  <c r="AB1953" i="1" s="1"/>
  <c r="AA1954" i="1"/>
  <c r="AB1954" i="1" s="1"/>
  <c r="AA1955" i="1"/>
  <c r="AB1955" i="1" s="1"/>
  <c r="AA1956" i="1"/>
  <c r="AB1956" i="1" s="1"/>
  <c r="AA1957" i="1"/>
  <c r="AB1957" i="1" s="1"/>
  <c r="AA1958" i="1"/>
  <c r="AB1958" i="1" s="1"/>
  <c r="AA1959" i="1"/>
  <c r="AB1959" i="1" s="1"/>
  <c r="AA1960" i="1"/>
  <c r="AB1960" i="1" s="1"/>
  <c r="AA1961" i="1"/>
  <c r="AB1961" i="1" s="1"/>
  <c r="AA1962" i="1"/>
  <c r="AB1962" i="1" s="1"/>
  <c r="AA1963" i="1"/>
  <c r="AB1963" i="1" s="1"/>
  <c r="AA1964" i="1"/>
  <c r="AB1964" i="1" s="1"/>
  <c r="AA1965" i="1"/>
  <c r="AB1965" i="1" s="1"/>
  <c r="AA1966" i="1"/>
  <c r="AB1966" i="1" s="1"/>
  <c r="AA1967" i="1"/>
  <c r="AB1967" i="1" s="1"/>
  <c r="AA1968" i="1"/>
  <c r="AB1968" i="1" s="1"/>
  <c r="AA1969" i="1"/>
  <c r="AB1969" i="1" s="1"/>
  <c r="AA1970" i="1"/>
  <c r="AB1970" i="1" s="1"/>
  <c r="AA1971" i="1"/>
  <c r="AB1971" i="1" s="1"/>
  <c r="AA1972" i="1"/>
  <c r="AB1972" i="1" s="1"/>
  <c r="AA1973" i="1"/>
  <c r="AB1973" i="1" s="1"/>
  <c r="AA1974" i="1"/>
  <c r="AB1974" i="1" s="1"/>
  <c r="AA1975" i="1"/>
  <c r="AB1975" i="1" s="1"/>
  <c r="AA1976" i="1"/>
  <c r="AB1976" i="1" s="1"/>
  <c r="AA1977" i="1"/>
  <c r="AB1977" i="1" s="1"/>
  <c r="AA1978" i="1"/>
  <c r="AB1978" i="1" s="1"/>
  <c r="AA1979" i="1"/>
  <c r="AB1979" i="1" s="1"/>
  <c r="AA1980" i="1"/>
  <c r="AB1980" i="1" s="1"/>
  <c r="AA1981" i="1"/>
  <c r="AB1981" i="1" s="1"/>
  <c r="AA1982" i="1"/>
  <c r="AB1982" i="1" s="1"/>
  <c r="AA1983" i="1"/>
  <c r="AB1983" i="1" s="1"/>
  <c r="AA1984" i="1"/>
  <c r="AB1984" i="1" s="1"/>
  <c r="AA1985" i="1"/>
  <c r="AB1985" i="1" s="1"/>
  <c r="AA1986" i="1"/>
  <c r="AB1986" i="1" s="1"/>
  <c r="AA1987" i="1"/>
  <c r="AB1987" i="1" s="1"/>
  <c r="AA1988" i="1"/>
  <c r="AB1988" i="1" s="1"/>
  <c r="AA1989" i="1"/>
  <c r="AB1989" i="1" s="1"/>
  <c r="AA1990" i="1"/>
  <c r="AB1990" i="1" s="1"/>
  <c r="AA1991" i="1"/>
  <c r="AB1991" i="1" s="1"/>
  <c r="AA1992" i="1"/>
  <c r="AB1992" i="1" s="1"/>
  <c r="AA1993" i="1"/>
  <c r="AB1993" i="1" s="1"/>
  <c r="AA1994" i="1"/>
  <c r="AB1994" i="1" s="1"/>
  <c r="AA1995" i="1"/>
  <c r="AB1995" i="1" s="1"/>
  <c r="AA1996" i="1"/>
  <c r="AB1996" i="1" s="1"/>
  <c r="AA1997" i="1"/>
  <c r="AB1997" i="1" s="1"/>
  <c r="AA1998" i="1"/>
  <c r="AB1998" i="1" s="1"/>
  <c r="AA1999" i="1"/>
  <c r="AB1999" i="1" s="1"/>
  <c r="AA2" i="1"/>
  <c r="A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<sst xmlns="http://schemas.openxmlformats.org/spreadsheetml/2006/main" count="14094" uniqueCount="201">
  <si>
    <t>age</t>
  </si>
  <si>
    <t>membership_type</t>
  </si>
  <si>
    <t>visit_per_week</t>
  </si>
  <si>
    <t>days_per_week</t>
  </si>
  <si>
    <t>attend_group_lesson</t>
  </si>
  <si>
    <t>avg_time_check_in</t>
  </si>
  <si>
    <t>avg_time_check_out</t>
  </si>
  <si>
    <t>duration_in_gym_minutes</t>
  </si>
  <si>
    <t>has_drink_subscription</t>
  </si>
  <si>
    <t>personal_training</t>
  </si>
  <si>
    <t>uses_sauna</t>
  </si>
  <si>
    <t>self_identified_gender</t>
  </si>
  <si>
    <t>subscription_price</t>
  </si>
  <si>
    <t>subscription_model</t>
  </si>
  <si>
    <t>adjusted_price</t>
  </si>
  <si>
    <t>discount_type</t>
  </si>
  <si>
    <t>discount_rate</t>
  </si>
  <si>
    <t>final_price</t>
  </si>
  <si>
    <t>access_hours</t>
  </si>
  <si>
    <t>home_gym_location</t>
  </si>
  <si>
    <t>latitude</t>
  </si>
  <si>
    <t>longitude</t>
  </si>
  <si>
    <t>join_date</t>
  </si>
  <si>
    <t>personal_training_hours</t>
  </si>
  <si>
    <t>multi_location_access</t>
  </si>
  <si>
    <t>last_visit_date</t>
  </si>
  <si>
    <t>Premium</t>
  </si>
  <si>
    <t>Sat, Thu</t>
  </si>
  <si>
    <t>Male</t>
  </si>
  <si>
    <t>Monthly</t>
  </si>
  <si>
    <t>Promo</t>
  </si>
  <si>
    <t>All hours</t>
  </si>
  <si>
    <t>San Jose, CA</t>
  </si>
  <si>
    <t>Standard</t>
  </si>
  <si>
    <t>Fri, Sat, Thu, Tue, Wed</t>
  </si>
  <si>
    <t>Non-binary</t>
  </si>
  <si>
    <t>None</t>
  </si>
  <si>
    <t>Weekdays only</t>
  </si>
  <si>
    <t>Fresno, CA</t>
  </si>
  <si>
    <t>Sun, Thu, Tue, Wed</t>
  </si>
  <si>
    <t>Loyalty</t>
  </si>
  <si>
    <t>Oakland, CA</t>
  </si>
  <si>
    <t>Basic</t>
  </si>
  <si>
    <t>Mon, Tue</t>
  </si>
  <si>
    <t>Off-peak only</t>
  </si>
  <si>
    <t>Anaheim, CA</t>
  </si>
  <si>
    <t>Sun, Wed</t>
  </si>
  <si>
    <t>Prefer not to say</t>
  </si>
  <si>
    <t>Sacramento, CA</t>
  </si>
  <si>
    <t>Sun</t>
  </si>
  <si>
    <t>Los Angeles, CA</t>
  </si>
  <si>
    <t>Elite</t>
  </si>
  <si>
    <t>Fri, Mon, Sun, Thu</t>
  </si>
  <si>
    <t>All hours + Priority access</t>
  </si>
  <si>
    <t>San Diego, CA</t>
  </si>
  <si>
    <t>Fri, Sun, Thu</t>
  </si>
  <si>
    <t>Bakersfield, CA</t>
  </si>
  <si>
    <t>Sat, Thu, Wed</t>
  </si>
  <si>
    <t>Other (self-described)</t>
  </si>
  <si>
    <t>San Francisco, CA</t>
  </si>
  <si>
    <t>Sat, Sun, Wed</t>
  </si>
  <si>
    <t>Sat, Tue</t>
  </si>
  <si>
    <t>Female</t>
  </si>
  <si>
    <t>Wed</t>
  </si>
  <si>
    <t>Early Bird (Annual)</t>
  </si>
  <si>
    <t>Long Beach, CA</t>
  </si>
  <si>
    <t>Fri, Mon, Sun, Tue, Wed</t>
  </si>
  <si>
    <t>Thu</t>
  </si>
  <si>
    <t>Fri, Mon, Sat, Thu, Tue</t>
  </si>
  <si>
    <t>Mon, Sat, Sun, Thu, Wed</t>
  </si>
  <si>
    <t>Thu, Wed</t>
  </si>
  <si>
    <t>Tue</t>
  </si>
  <si>
    <t>Fri, Mon, Sun, Thu, Wed</t>
  </si>
  <si>
    <t>Fri, Tue</t>
  </si>
  <si>
    <t>Student</t>
  </si>
  <si>
    <t>Fri</t>
  </si>
  <si>
    <t>Mon, Sun, Thu, Tue, Wed</t>
  </si>
  <si>
    <t>Fri, Sun, Thu, Tue, Wed</t>
  </si>
  <si>
    <t>Quarterly</t>
  </si>
  <si>
    <t>Fri, Sat</t>
  </si>
  <si>
    <t>Mon, Sat, Sun</t>
  </si>
  <si>
    <t>Fri, Mon, Wed</t>
  </si>
  <si>
    <t>Fri, Sat, Sun</t>
  </si>
  <si>
    <t>Sat, Tue, Wed</t>
  </si>
  <si>
    <t>Sun, Tue</t>
  </si>
  <si>
    <t>Sat, Sun, Thu, Tue</t>
  </si>
  <si>
    <t>Fri, Sat, Tue</t>
  </si>
  <si>
    <t>Fri, Sat, Sun, Tue, Wed</t>
  </si>
  <si>
    <t>Mon, Wed</t>
  </si>
  <si>
    <t>Mon, Sat, Tue</t>
  </si>
  <si>
    <t>Sat, Sun, Tue</t>
  </si>
  <si>
    <t>Mon, Sat, Thu</t>
  </si>
  <si>
    <t>Fri, Sun</t>
  </si>
  <si>
    <t>Mon, Thu, Tue</t>
  </si>
  <si>
    <t>Sat, Sun</t>
  </si>
  <si>
    <t>Sat</t>
  </si>
  <si>
    <t>Fri, Thu</t>
  </si>
  <si>
    <t>Mon</t>
  </si>
  <si>
    <t>Mon, Sat, Tue, Wed</t>
  </si>
  <si>
    <t>Fri, Sat, Sun, Wed</t>
  </si>
  <si>
    <t>Fri, Sun, Wed</t>
  </si>
  <si>
    <t>Fri, Mon</t>
  </si>
  <si>
    <t>Fri, Sat, Thu</t>
  </si>
  <si>
    <t>Mon, Sun</t>
  </si>
  <si>
    <t>Sat, Sun, Thu, Tue, Wed</t>
  </si>
  <si>
    <t>Mon, Thu, Tue, Wed</t>
  </si>
  <si>
    <t>Fri, Thu, Wed</t>
  </si>
  <si>
    <t>Fri, Sat, Sun, Tue</t>
  </si>
  <si>
    <t>Thu, Tue</t>
  </si>
  <si>
    <t>Fri, Thu, Tue</t>
  </si>
  <si>
    <t>Mon, Sat, Thu, Tue, Wed</t>
  </si>
  <si>
    <t>Fri, Mon, Thu, Tue</t>
  </si>
  <si>
    <t>Fri, Mon, Sat, Sun, Thu</t>
  </si>
  <si>
    <t>Mon, Sat, Sun, Thu</t>
  </si>
  <si>
    <t>Mon, Tue, Wed</t>
  </si>
  <si>
    <t>Fri, Mon, Sat, Sun, Wed</t>
  </si>
  <si>
    <t>Sun, Thu</t>
  </si>
  <si>
    <t>Sun, Thu, Wed</t>
  </si>
  <si>
    <t>Fri, Mon, Sat, Thu, Wed</t>
  </si>
  <si>
    <t>Fri, Mon, Sun, Wed</t>
  </si>
  <si>
    <t>Fri, Mon, Sun, Thu, Tue</t>
  </si>
  <si>
    <t>Mon, Sun, Tue</t>
  </si>
  <si>
    <t>Fri, Sun, Tue</t>
  </si>
  <si>
    <t>Mon, Sat</t>
  </si>
  <si>
    <t>Fri, Mon, Thu</t>
  </si>
  <si>
    <t>Sat, Sun, Thu</t>
  </si>
  <si>
    <t>Tue, Wed</t>
  </si>
  <si>
    <t>Fri, Mon, Sat, Sun, Tue</t>
  </si>
  <si>
    <t>Mon, Sun, Thu</t>
  </si>
  <si>
    <t>Sun, Tue, Wed</t>
  </si>
  <si>
    <t>Mon, Thu</t>
  </si>
  <si>
    <t>Fri, Mon, Sun</t>
  </si>
  <si>
    <t>Mon, Sat, Thu, Wed</t>
  </si>
  <si>
    <t>Fri, Tue, Wed</t>
  </si>
  <si>
    <t>Sat, Thu, Tue</t>
  </si>
  <si>
    <t>Thu, Tue, Wed</t>
  </si>
  <si>
    <t>Fri, Mon, Sat</t>
  </si>
  <si>
    <t>Mon, Sat, Sun, Tue, Wed</t>
  </si>
  <si>
    <t>Sun, Thu, Tue</t>
  </si>
  <si>
    <t>Sat, Wed</t>
  </si>
  <si>
    <t>Fri, Mon, Tue</t>
  </si>
  <si>
    <t>Fri, Wed</t>
  </si>
  <si>
    <t>Mon, Sun, Wed</t>
  </si>
  <si>
    <t>Fri, Mon, Tue, Wed</t>
  </si>
  <si>
    <t>Fri, Mon, Thu, Wed</t>
  </si>
  <si>
    <t>Fri, Mon, Thu, Tue, Wed</t>
  </si>
  <si>
    <t>Fri, Sat, Sun, Thu</t>
  </si>
  <si>
    <t>Fri, Mon, Sat, Thu</t>
  </si>
  <si>
    <t>Fri, Sat, Sun, Thu, Wed</t>
  </si>
  <si>
    <t>Fri, Sat, Wed</t>
  </si>
  <si>
    <t>Fri, Sat, Sun, Thu, Tue</t>
  </si>
  <si>
    <t>Fri, Thu, Tue, Wed</t>
  </si>
  <si>
    <t>Fri, Mon, Sat, Tue, Wed</t>
  </si>
  <si>
    <t>Mon, Sat, Wed</t>
  </si>
  <si>
    <t>Fri, Sun, Thu, Wed</t>
  </si>
  <si>
    <t>Mon, Thu, Wed</t>
  </si>
  <si>
    <t>Sat, Thu, Tue, Wed</t>
  </si>
  <si>
    <t>Fri, Mon, Sat, Wed</t>
  </si>
  <si>
    <t>Fri, Sun, Thu, Tue</t>
  </si>
  <si>
    <t>Mon, Sun, Thu, Tue</t>
  </si>
  <si>
    <t>Mon, Sat, Sun, Thu, Tue</t>
  </si>
  <si>
    <t>Mon, Sun, Thu, Wed</t>
  </si>
  <si>
    <t>Mon, Sun, Tue, Wed</t>
  </si>
  <si>
    <t>Sat, Sun, Tue, Wed</t>
  </si>
  <si>
    <t>Fri, Sat, Thu, Wed</t>
  </si>
  <si>
    <t>Mon, Sat, Sun, Wed</t>
  </si>
  <si>
    <t>Fri, Mon, Sat, Tue</t>
  </si>
  <si>
    <t>Mon, Sat, Sun, Tue</t>
  </si>
  <si>
    <t>PivotTable sources for charts</t>
  </si>
  <si>
    <t>Sum of visit_per_week</t>
  </si>
  <si>
    <t>Grand Total</t>
  </si>
  <si>
    <t>Sum of subscription_price</t>
  </si>
  <si>
    <t>Average of age</t>
  </si>
  <si>
    <t>FALSE</t>
  </si>
  <si>
    <t>TRUE</t>
  </si>
  <si>
    <t>Sum of personal_training_hours</t>
  </si>
  <si>
    <t>Age group</t>
  </si>
  <si>
    <t>20–29</t>
  </si>
  <si>
    <t>30–39</t>
  </si>
  <si>
    <t>40–49</t>
  </si>
  <si>
    <t>(blank)</t>
  </si>
  <si>
    <t>Updated Age group</t>
  </si>
  <si>
    <t>16–19</t>
  </si>
  <si>
    <t>Under 16</t>
  </si>
  <si>
    <t>Count of Updated Age group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</si>
  <si>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</si>
  <si>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</si>
  <si>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</si>
  <si>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</si>
  <si>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</si>
  <si>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</si>
  <si>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</si>
  <si>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</si>
  <si>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Count of access_hours</t>
  </si>
  <si>
    <t>Unique ID</t>
  </si>
  <si>
    <t>Membership Type ID</t>
  </si>
  <si>
    <t>Discount ID</t>
  </si>
  <si>
    <t>Location ID</t>
  </si>
  <si>
    <t>Location Identifier</t>
  </si>
  <si>
    <t>Short location identifier</t>
  </si>
  <si>
    <t>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</si>
</sst>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595959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vertical="center"/>
    </xf>
    <xf numFmtId="0" fontId="0" fillId="0" borderId="0" xfId="0" pivotButton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numFmt numFmtId="164" formatCode="yyyy\-mm\-dd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'visit_per_week' by 'last_visit_date'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Sheet1!$D$53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Sheet1!$C$54:$C$114</c:f>
              <c:strCache>
                <c:ptCount val="60"/>
                <c:pt idx="0">
                  <c:v>24/05/2025</c:v>
                </c:pt>
                <c:pt idx="1">
                  <c:v>25/05/2025</c:v>
                </c:pt>
                <c:pt idx="2">
                  <c:v>26/05/2025</c:v>
                </c:pt>
                <c:pt idx="3">
                  <c:v>27/05/2025</c:v>
                </c:pt>
                <c:pt idx="4">
                  <c:v>28/05/2025</c:v>
                </c:pt>
                <c:pt idx="5">
                  <c:v>29/05/2025</c:v>
                </c:pt>
                <c:pt idx="6">
                  <c:v>30/05/2025</c:v>
                </c:pt>
                <c:pt idx="7">
                  <c:v>31/05/2025</c:v>
                </c:pt>
                <c:pt idx="8">
                  <c:v>01/06/2025</c:v>
                </c:pt>
                <c:pt idx="9">
                  <c:v>02/06/2025</c:v>
                </c:pt>
                <c:pt idx="10">
                  <c:v>03/06/2025</c:v>
                </c:pt>
                <c:pt idx="11">
                  <c:v>04/06/2025</c:v>
                </c:pt>
                <c:pt idx="12">
                  <c:v>05/06/2025</c:v>
                </c:pt>
                <c:pt idx="13">
                  <c:v>06/06/2025</c:v>
                </c:pt>
                <c:pt idx="14">
                  <c:v>07/06/2025</c:v>
                </c:pt>
                <c:pt idx="15">
                  <c:v>08/06/2025</c:v>
                </c:pt>
                <c:pt idx="16">
                  <c:v>09/06/2025</c:v>
                </c:pt>
                <c:pt idx="17">
                  <c:v>10/06/2025</c:v>
                </c:pt>
                <c:pt idx="18">
                  <c:v>11/06/2025</c:v>
                </c:pt>
                <c:pt idx="19">
                  <c:v>12/06/2025</c:v>
                </c:pt>
                <c:pt idx="20">
                  <c:v>13/06/2025</c:v>
                </c:pt>
                <c:pt idx="21">
                  <c:v>14/06/2025</c:v>
                </c:pt>
                <c:pt idx="22">
                  <c:v>15/06/2025</c:v>
                </c:pt>
                <c:pt idx="23">
                  <c:v>16/06/2025</c:v>
                </c:pt>
                <c:pt idx="24">
                  <c:v>17/06/2025</c:v>
                </c:pt>
                <c:pt idx="25">
                  <c:v>18/06/2025</c:v>
                </c:pt>
                <c:pt idx="26">
                  <c:v>19/06/2025</c:v>
                </c:pt>
                <c:pt idx="27">
                  <c:v>20/06/2025</c:v>
                </c:pt>
                <c:pt idx="28">
                  <c:v>21/06/2025</c:v>
                </c:pt>
                <c:pt idx="29">
                  <c:v>22/06/2025</c:v>
                </c:pt>
                <c:pt idx="30">
                  <c:v>23/06/2025</c:v>
                </c:pt>
                <c:pt idx="31">
                  <c:v>24/06/2025</c:v>
                </c:pt>
                <c:pt idx="32">
                  <c:v>25/06/2025</c:v>
                </c:pt>
                <c:pt idx="33">
                  <c:v>26/06/2025</c:v>
                </c:pt>
                <c:pt idx="34">
                  <c:v>27/06/2025</c:v>
                </c:pt>
                <c:pt idx="35">
                  <c:v>28/06/2025</c:v>
                </c:pt>
                <c:pt idx="36">
                  <c:v>29/06/2025</c:v>
                </c:pt>
                <c:pt idx="37">
                  <c:v>30/06/2025</c:v>
                </c:pt>
                <c:pt idx="38">
                  <c:v>01/07/2025</c:v>
                </c:pt>
                <c:pt idx="39">
                  <c:v>02/07/2025</c:v>
                </c:pt>
                <c:pt idx="40">
                  <c:v>03/07/2025</c:v>
                </c:pt>
                <c:pt idx="41">
                  <c:v>04/07/2025</c:v>
                </c:pt>
                <c:pt idx="42">
                  <c:v>05/07/2025</c:v>
                </c:pt>
                <c:pt idx="43">
                  <c:v>06/07/2025</c:v>
                </c:pt>
                <c:pt idx="44">
                  <c:v>07/07/2025</c:v>
                </c:pt>
                <c:pt idx="45">
                  <c:v>08/07/2025</c:v>
                </c:pt>
                <c:pt idx="46">
                  <c:v>09/07/2025</c:v>
                </c:pt>
                <c:pt idx="47">
                  <c:v>10/07/2025</c:v>
                </c:pt>
                <c:pt idx="48">
                  <c:v>11/07/2025</c:v>
                </c:pt>
                <c:pt idx="49">
                  <c:v>12/07/2025</c:v>
                </c:pt>
                <c:pt idx="50">
                  <c:v>13/07/2025</c:v>
                </c:pt>
                <c:pt idx="51">
                  <c:v>14/07/2025</c:v>
                </c:pt>
                <c:pt idx="52">
                  <c:v>15/07/2025</c:v>
                </c:pt>
                <c:pt idx="53">
                  <c:v>16/07/2025</c:v>
                </c:pt>
                <c:pt idx="54">
                  <c:v>17/07/2025</c:v>
                </c:pt>
                <c:pt idx="55">
                  <c:v>18/07/2025</c:v>
                </c:pt>
                <c:pt idx="56">
                  <c:v>19/07/2025</c:v>
                </c:pt>
                <c:pt idx="57">
                  <c:v>20/07/2025</c:v>
                </c:pt>
                <c:pt idx="58">
                  <c:v>21/07/2025</c:v>
                </c:pt>
                <c:pt idx="59">
                  <c:v>22/07/2025</c:v>
                </c:pt>
              </c:strCache>
            </c:strRef>
          </c:cat>
          <c:val>
            <c:numRef>
              <c:f>Sheet1!$D$54:$D$114</c:f>
              <c:numCache>
                <c:formatCode>General</c:formatCode>
                <c:ptCount val="60"/>
                <c:pt idx="0">
                  <c:v>120</c:v>
                </c:pt>
                <c:pt idx="1">
                  <c:v>72</c:v>
                </c:pt>
                <c:pt idx="2">
                  <c:v>102</c:v>
                </c:pt>
                <c:pt idx="3">
                  <c:v>90</c:v>
                </c:pt>
                <c:pt idx="4">
                  <c:v>73</c:v>
                </c:pt>
                <c:pt idx="5">
                  <c:v>82</c:v>
                </c:pt>
                <c:pt idx="6">
                  <c:v>107</c:v>
                </c:pt>
                <c:pt idx="7">
                  <c:v>115</c:v>
                </c:pt>
                <c:pt idx="8">
                  <c:v>72</c:v>
                </c:pt>
                <c:pt idx="9">
                  <c:v>69</c:v>
                </c:pt>
                <c:pt idx="10">
                  <c:v>80</c:v>
                </c:pt>
                <c:pt idx="11">
                  <c:v>111</c:v>
                </c:pt>
                <c:pt idx="12">
                  <c:v>93</c:v>
                </c:pt>
                <c:pt idx="13">
                  <c:v>86</c:v>
                </c:pt>
                <c:pt idx="14">
                  <c:v>84</c:v>
                </c:pt>
                <c:pt idx="15">
                  <c:v>74</c:v>
                </c:pt>
                <c:pt idx="16">
                  <c:v>101</c:v>
                </c:pt>
                <c:pt idx="17">
                  <c:v>72</c:v>
                </c:pt>
                <c:pt idx="18">
                  <c:v>88</c:v>
                </c:pt>
                <c:pt idx="19">
                  <c:v>96</c:v>
                </c:pt>
                <c:pt idx="20">
                  <c:v>96</c:v>
                </c:pt>
                <c:pt idx="21">
                  <c:v>116</c:v>
                </c:pt>
                <c:pt idx="22">
                  <c:v>113</c:v>
                </c:pt>
                <c:pt idx="23">
                  <c:v>95</c:v>
                </c:pt>
                <c:pt idx="24">
                  <c:v>99</c:v>
                </c:pt>
                <c:pt idx="25">
                  <c:v>83</c:v>
                </c:pt>
                <c:pt idx="26">
                  <c:v>86</c:v>
                </c:pt>
                <c:pt idx="27">
                  <c:v>86</c:v>
                </c:pt>
                <c:pt idx="28">
                  <c:v>97</c:v>
                </c:pt>
                <c:pt idx="29">
                  <c:v>86</c:v>
                </c:pt>
                <c:pt idx="30">
                  <c:v>93</c:v>
                </c:pt>
                <c:pt idx="31">
                  <c:v>67</c:v>
                </c:pt>
                <c:pt idx="32">
                  <c:v>94</c:v>
                </c:pt>
                <c:pt idx="33">
                  <c:v>76</c:v>
                </c:pt>
                <c:pt idx="34">
                  <c:v>102</c:v>
                </c:pt>
                <c:pt idx="35">
                  <c:v>71</c:v>
                </c:pt>
                <c:pt idx="36">
                  <c:v>82</c:v>
                </c:pt>
                <c:pt idx="37">
                  <c:v>86</c:v>
                </c:pt>
                <c:pt idx="38">
                  <c:v>91</c:v>
                </c:pt>
                <c:pt idx="39">
                  <c:v>104</c:v>
                </c:pt>
                <c:pt idx="40">
                  <c:v>84</c:v>
                </c:pt>
                <c:pt idx="41">
                  <c:v>60</c:v>
                </c:pt>
                <c:pt idx="42">
                  <c:v>76</c:v>
                </c:pt>
                <c:pt idx="43">
                  <c:v>94</c:v>
                </c:pt>
                <c:pt idx="44">
                  <c:v>66</c:v>
                </c:pt>
                <c:pt idx="45">
                  <c:v>85</c:v>
                </c:pt>
                <c:pt idx="46">
                  <c:v>89</c:v>
                </c:pt>
                <c:pt idx="47">
                  <c:v>74</c:v>
                </c:pt>
                <c:pt idx="48">
                  <c:v>67</c:v>
                </c:pt>
                <c:pt idx="49">
                  <c:v>117</c:v>
                </c:pt>
                <c:pt idx="50">
                  <c:v>86</c:v>
                </c:pt>
                <c:pt idx="51">
                  <c:v>83</c:v>
                </c:pt>
                <c:pt idx="52">
                  <c:v>108</c:v>
                </c:pt>
                <c:pt idx="53">
                  <c:v>100</c:v>
                </c:pt>
                <c:pt idx="54">
                  <c:v>108</c:v>
                </c:pt>
                <c:pt idx="55">
                  <c:v>107</c:v>
                </c:pt>
                <c:pt idx="56">
                  <c:v>72</c:v>
                </c:pt>
                <c:pt idx="57">
                  <c:v>92</c:v>
                </c:pt>
                <c:pt idx="58">
                  <c:v>105</c:v>
                </c:pt>
                <c:pt idx="5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5-49D3-93D0-94EC3F9B3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11680"/>
        <c:axId val="1101612160"/>
      </c:lineChart>
      <c:catAx>
        <c:axId val="1101611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last_visit_date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12160"/>
        <c:crosses val="autoZero"/>
        <c:auto val="1"/>
        <c:lblAlgn val="ctr"/>
        <c:lblOffset val="100"/>
        <c:noMultiLvlLbl val="0"/>
      </c:catAx>
      <c:valAx>
        <c:axId val="11016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visit_per_week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1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'subscription_price' by 'membership_type'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Sheet1!$F$54:$F$58</c:f>
              <c:strCache>
                <c:ptCount val="4"/>
                <c:pt idx="0">
                  <c:v>Premium</c:v>
                </c:pt>
                <c:pt idx="1">
                  <c:v>Standard</c:v>
                </c:pt>
                <c:pt idx="2">
                  <c:v>Elite</c:v>
                </c:pt>
                <c:pt idx="3">
                  <c:v>Basic</c:v>
                </c:pt>
              </c:strCache>
            </c:strRef>
          </c:cat>
          <c:val>
            <c:numRef>
              <c:f>Sheet1!$G$54:$G$58</c:f>
              <c:numCache>
                <c:formatCode>General</c:formatCode>
                <c:ptCount val="4"/>
                <c:pt idx="0">
                  <c:v>40600</c:v>
                </c:pt>
                <c:pt idx="1">
                  <c:v>17790</c:v>
                </c:pt>
                <c:pt idx="2">
                  <c:v>13930</c:v>
                </c:pt>
                <c:pt idx="3">
                  <c:v>7880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2-4F48-9343-AE45030D0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314719776"/>
        <c:axId val="1820181792"/>
      </c:barChart>
      <c:catAx>
        <c:axId val="131471977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membership_type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181792"/>
        <c:crosses val="autoZero"/>
        <c:auto val="1"/>
        <c:lblAlgn val="ctr"/>
        <c:lblOffset val="100"/>
        <c:noMultiLvlLbl val="0"/>
      </c:catAx>
      <c:valAx>
        <c:axId val="182018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subscription_price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719776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'age' by 'uses_sauna' and 'multi_location_access'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Sheet1!$J$53:$J$54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Sheet1!$I$55:$I$57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Sheet1!$J$55:$J$57</c:f>
              <c:numCache>
                <c:formatCode>General</c:formatCode>
                <c:ptCount val="2"/>
                <c:pt idx="0">
                  <c:v>30.287330316742082</c:v>
                </c:pt>
                <c:pt idx="1">
                  <c:v>31.103603603603602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7-4162-AD9B-62B844EF86AA}"/>
            </c:ext>
          </c:extLst>
        </c:ser>
        <c:ser>
          <c:idx val="1"/>
          <c:order val="1"/>
          <c:tx>
            <c:strRef>
              <c:f>Sheet1!$K$53:$K$54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Sheet1!$I$55:$I$57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Sheet1!$K$55:$K$57</c:f>
              <c:numCache>
                <c:formatCode>General</c:formatCode>
                <c:ptCount val="2"/>
                <c:pt idx="0">
                  <c:v>29.942379182156134</c:v>
                </c:pt>
                <c:pt idx="1">
                  <c:v>31.036585365853657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7-4162-AD9B-62B844EF8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103002304"/>
        <c:axId val="1102999904"/>
      </c:barChart>
      <c:catAx>
        <c:axId val="1103002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uses_sauna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99904"/>
        <c:crosses val="autoZero"/>
        <c:auto val="1"/>
        <c:lblAlgn val="ctr"/>
        <c:lblOffset val="100"/>
        <c:noMultiLvlLbl val="0"/>
      </c:catAx>
      <c:valAx>
        <c:axId val="11029999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023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'discount_type': </a:t>
            </a:r>
            <a:r>
              <a:rPr lang="en-US">
                <a:solidFill>
                  <a:srgbClr val="DD5A13"/>
                </a:solidFill>
              </a:rPr>
              <a:t>None</a:t>
            </a:r>
            <a:r>
              <a:rPr lang="en-US"/>
              <a:t> has noticeably higher 'visit_per_week'.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60-4206-BCDD-324FD554202B}"/>
              </c:ext>
            </c:extLst>
          </c:dPt>
          <c:cat>
            <c:strRef>
              <c:f>Sheet1!$N$54:$N$58</c:f>
              <c:strCache>
                <c:ptCount val="4"/>
                <c:pt idx="0">
                  <c:v>None</c:v>
                </c:pt>
                <c:pt idx="1">
                  <c:v>Loyalty</c:v>
                </c:pt>
                <c:pt idx="2">
                  <c:v>Student</c:v>
                </c:pt>
                <c:pt idx="3">
                  <c:v>Promo</c:v>
                </c:pt>
              </c:strCache>
            </c:strRef>
          </c:cat>
          <c:val>
            <c:numRef>
              <c:f>Sheet1!$O$54:$O$58</c:f>
              <c:numCache>
                <c:formatCode>General</c:formatCode>
                <c:ptCount val="4"/>
                <c:pt idx="0">
                  <c:v>2214</c:v>
                </c:pt>
                <c:pt idx="1">
                  <c:v>1080</c:v>
                </c:pt>
                <c:pt idx="2">
                  <c:v>1074</c:v>
                </c:pt>
                <c:pt idx="3">
                  <c:v>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0-4206-BCDD-324FD5542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077559904"/>
        <c:axId val="1077559424"/>
      </c:barChart>
      <c:catAx>
        <c:axId val="10775599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discount_type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59424"/>
        <c:crosses val="autoZero"/>
        <c:auto val="1"/>
        <c:lblAlgn val="ctr"/>
        <c:lblOffset val="100"/>
        <c:noMultiLvlLbl val="0"/>
      </c:catAx>
      <c:valAx>
        <c:axId val="107755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visit_per_week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599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'self_identified_gender': </a:t>
            </a:r>
            <a:r>
              <a:rPr lang="en-US">
                <a:solidFill>
                  <a:srgbClr val="DD5A13"/>
                </a:solidFill>
              </a:rPr>
              <a:t>Male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Female</a:t>
            </a:r>
            <a:r>
              <a:rPr lang="en-US"/>
              <a:t> have noticeably higher 'visit_per_week'.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Sheet1!$R$53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EA-4DB8-B2F6-DB359C8F1B0F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DEA-4DB8-B2F6-DB359C8F1B0F}"/>
              </c:ext>
            </c:extLst>
          </c:dPt>
          <c:cat>
            <c:strRef>
              <c:f>Sheet1!$Q$54:$Q$59</c:f>
              <c:strCache>
                <c:ptCount val="5"/>
                <c:pt idx="0">
                  <c:v>Male</c:v>
                </c:pt>
                <c:pt idx="1">
                  <c:v>Female</c:v>
                </c:pt>
                <c:pt idx="2">
                  <c:v>Non-binary</c:v>
                </c:pt>
                <c:pt idx="3">
                  <c:v>Prefer not to say</c:v>
                </c:pt>
                <c:pt idx="4">
                  <c:v>Other (self-described)</c:v>
                </c:pt>
              </c:strCache>
            </c:strRef>
          </c:cat>
          <c:val>
            <c:numRef>
              <c:f>Sheet1!$R$54:$R$59</c:f>
              <c:numCache>
                <c:formatCode>General</c:formatCode>
                <c:ptCount val="5"/>
                <c:pt idx="0">
                  <c:v>2053</c:v>
                </c:pt>
                <c:pt idx="1">
                  <c:v>1857</c:v>
                </c:pt>
                <c:pt idx="2">
                  <c:v>712</c:v>
                </c:pt>
                <c:pt idx="3">
                  <c:v>527</c:v>
                </c:pt>
                <c:pt idx="4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A-4DB8-B2F6-DB359C8F1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071599120"/>
        <c:axId val="1071599600"/>
      </c:barChart>
      <c:catAx>
        <c:axId val="107159912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self_identified_gender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599600"/>
        <c:crosses val="autoZero"/>
        <c:auto val="1"/>
        <c:lblAlgn val="ctr"/>
        <c:lblOffset val="100"/>
        <c:noMultiLvlLbl val="0"/>
      </c:catAx>
      <c:valAx>
        <c:axId val="107159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visit_per_week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59912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[Onyx data.xlsx]Sheet1!PivotTable6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'subscription_model': </a:t>
            </a:r>
            <a:r>
              <a:rPr lang="en-US">
                <a:solidFill>
                  <a:srgbClr val="DD5A13"/>
                </a:solidFill>
              </a:rPr>
              <a:t>Monthly</a:t>
            </a:r>
            <a:r>
              <a:rPr lang="en-US"/>
              <a:t> accounts for the majority of 'personal_training_hours'.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Sheet1!$U$53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0-4371-B66C-8099A94D3A05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70-44BF-8D05-6A0A9D8D475D}"/>
              </c:ext>
            </c:extLst>
          </c:dPt>
          <c:dPt>
            <c:idx val="2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70-44BF-8D05-6A0A9D8D475D}"/>
              </c:ext>
            </c:extLst>
          </c:dPt>
          <c:cat>
            <c:strRef>
              <c:f>Sheet1!$T$54:$T$57</c:f>
              <c:strCache>
                <c:ptCount val="3"/>
                <c:pt idx="0">
                  <c:v>Monthly</c:v>
                </c:pt>
                <c:pt idx="1">
                  <c:v>Early Bird (Annual)</c:v>
                </c:pt>
                <c:pt idx="2">
                  <c:v>Quarterly</c:v>
                </c:pt>
              </c:strCache>
            </c:strRef>
          </c:cat>
          <c:val>
            <c:numRef>
              <c:f>Sheet1!$U$54:$U$57</c:f>
              <c:numCache>
                <c:formatCode>General</c:formatCode>
                <c:ptCount val="3"/>
                <c:pt idx="0">
                  <c:v>2849</c:v>
                </c:pt>
                <c:pt idx="1">
                  <c:v>1340</c:v>
                </c:pt>
                <c:pt idx="2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0-4371-B66C-8099A94D3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7</xdr:col>
      <xdr:colOff>0</xdr:colOff>
      <xdr:row>16</xdr:row>
      <xdr:rowOff>0</xdr:rowOff>
    </xdr:to>
    <xdr:graphicFrame macro="">
      <xdr:nvGraphicFramePr>
        <xdr:cNvPr id="2" name="Chart 1" descr="Chart type: Line. 'visit_per_week' by 'last_visit_date'&#10;&#10;Description automatically generated">
          <a:extLst>
            <a:ext uri="{FF2B5EF4-FFF2-40B4-BE49-F238E27FC236}">
              <a16:creationId xmlns:a16="http://schemas.microsoft.com/office/drawing/2014/main" id="{74DEF497-78DB-F0C7-34A8-8F26ED93F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 descr="Chart type: Clustered Bar. 'subscription_price' by 'membership_type'&#10;&#10;Description automatically generated">
          <a:extLst>
            <a:ext uri="{FF2B5EF4-FFF2-40B4-BE49-F238E27FC236}">
              <a16:creationId xmlns:a16="http://schemas.microsoft.com/office/drawing/2014/main" id="{1866C7AF-0C6E-745F-A59C-72393FA2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17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4" name="Chart 3" descr="Chart type: Clustered Bar. 'age' by 'uses_sauna' and 'multi_location_access'&#10;&#10;Description automatically generated">
          <a:extLst>
            <a:ext uri="{FF2B5EF4-FFF2-40B4-BE49-F238E27FC236}">
              <a16:creationId xmlns:a16="http://schemas.microsoft.com/office/drawing/2014/main" id="{8FDDAEDB-1661-4238-F081-FA308EE19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5" name="Chart 4" descr="Chart type: Clustered Bar. 'discount_type': None has noticeably higher 'visit_per_week'.&#10;&#10;Description automatically generated">
          <a:extLst>
            <a:ext uri="{FF2B5EF4-FFF2-40B4-BE49-F238E27FC236}">
              <a16:creationId xmlns:a16="http://schemas.microsoft.com/office/drawing/2014/main" id="{D15EACA0-EBC8-693B-29A7-A2B9D92D3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7</xdr:col>
      <xdr:colOff>0</xdr:colOff>
      <xdr:row>46</xdr:row>
      <xdr:rowOff>0</xdr:rowOff>
    </xdr:to>
    <xdr:graphicFrame macro="">
      <xdr:nvGraphicFramePr>
        <xdr:cNvPr id="6" name="Chart 5" descr="Chart type: Stacked Bar. 'self_identified_gender': Male and Female have noticeably higher 'visit_per_week'.&#10;&#10;Description automatically generated">
          <a:extLst>
            <a:ext uri="{FF2B5EF4-FFF2-40B4-BE49-F238E27FC236}">
              <a16:creationId xmlns:a16="http://schemas.microsoft.com/office/drawing/2014/main" id="{E1310A55-2260-77E1-D6BF-C2C508ED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7" name="Chart 6" descr="Chart type: Doughnut. 'subscription_model': Monthly accounts for the majority of 'personal_training_hours'.&#10;&#10;Description automatically generated">
          <a:extLst>
            <a:ext uri="{FF2B5EF4-FFF2-40B4-BE49-F238E27FC236}">
              <a16:creationId xmlns:a16="http://schemas.microsoft.com/office/drawing/2014/main" id="{5E7C65CE-459A-3BCA-C7B8-B10B679C9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kie Drummond" refreshedDate="45881.530811342593" createdVersion="8" refreshedVersion="8" minRefreshableVersion="3" recordCount="1998" xr:uid="{BC406C6B-3284-4192-BBD7-FECA707DA8F6}">
  <cacheSource type="worksheet">
    <worksheetSource ref="A1:Z1999" sheet="Fitness_Membership_Analytics_Da"/>
  </cacheSource>
  <cacheFields count="26">
    <cacheField name="age" numFmtId="0">
      <sharedItems containsSemiMixedTypes="0" containsString="0" containsNumber="1" containsInteger="1" minValue="12" maxValue="49"/>
    </cacheField>
    <cacheField name="membership_type" numFmtId="0">
      <sharedItems count="4">
        <s v="Premium"/>
        <s v="Standard"/>
        <s v="Basic"/>
        <s v="Elite"/>
      </sharedItems>
    </cacheField>
    <cacheField name="visit_per_week" numFmtId="0">
      <sharedItems containsSemiMixedTypes="0" containsString="0" containsNumber="1" containsInteger="1" minValue="1" maxValue="5"/>
    </cacheField>
    <cacheField name="days_per_week" numFmtId="0">
      <sharedItems/>
    </cacheField>
    <cacheField name="attend_group_lesson" numFmtId="0">
      <sharedItems/>
    </cacheField>
    <cacheField name="avg_time_check_in" numFmtId="21">
      <sharedItems containsSemiMixedTypes="0" containsNonDate="0" containsDate="1" containsString="0" minDate="1899-12-30T08:01:00" maxDate="1899-12-30T20:58:00"/>
    </cacheField>
    <cacheField name="avg_time_check_out" numFmtId="21">
      <sharedItems containsSemiMixedTypes="0" containsNonDate="0" containsDate="1" containsString="0" minDate="1899-12-30T08:47:00" maxDate="1899-12-30T23:49:00"/>
    </cacheField>
    <cacheField name="duration_in_gym_minutes" numFmtId="0">
      <sharedItems containsSemiMixedTypes="0" containsString="0" containsNumber="1" containsInteger="1" minValue="30" maxValue="180"/>
    </cacheField>
    <cacheField name="has_drink_subscription" numFmtId="0">
      <sharedItems/>
    </cacheField>
    <cacheField name="personal_training" numFmtId="0">
      <sharedItems/>
    </cacheField>
    <cacheField name="uses_sauna" numFmtId="0">
      <sharedItems count="2">
        <b v="0"/>
        <b v="1"/>
      </sharedItems>
    </cacheField>
    <cacheField name="self_identified_gender" numFmtId="0">
      <sharedItems count="5">
        <s v="Male"/>
        <s v="Non-binary"/>
        <s v="Prefer not to say"/>
        <s v="Other (self-described)"/>
        <s v="Female"/>
      </sharedItems>
    </cacheField>
    <cacheField name="subscription_price" numFmtId="0">
      <sharedItems containsSemiMixedTypes="0" containsString="0" containsNumber="1" containsInteger="1" minValue="20" maxValue="70"/>
    </cacheField>
    <cacheField name="subscription_model" numFmtId="0">
      <sharedItems count="3">
        <s v="Monthly"/>
        <s v="Early Bird (Annual)"/>
        <s v="Quarterly"/>
      </sharedItems>
    </cacheField>
    <cacheField name="adjusted_price" numFmtId="0">
      <sharedItems containsSemiMixedTypes="0" containsString="0" containsNumber="1" minValue="15" maxValue="70"/>
    </cacheField>
    <cacheField name="discount_type" numFmtId="0">
      <sharedItems count="4">
        <s v="Promo"/>
        <s v="None"/>
        <s v="Loyalty"/>
        <s v="Student"/>
      </sharedItems>
    </cacheField>
    <cacheField name="discount_rate" numFmtId="0">
      <sharedItems containsSemiMixedTypes="0" containsString="0" containsNumber="1" minValue="0" maxValue="0.15"/>
    </cacheField>
    <cacheField name="final_price" numFmtId="0">
      <sharedItems containsSemiMixedTypes="0" containsString="0" containsNumber="1" minValue="12.75" maxValue="70"/>
    </cacheField>
    <cacheField name="access_hours" numFmtId="0">
      <sharedItems/>
    </cacheField>
    <cacheField name="home_gym_location" numFmtId="0">
      <sharedItems/>
    </cacheField>
    <cacheField name="latitude" numFmtId="0">
      <sharedItems containsSemiMixedTypes="0" containsString="0" containsNumber="1" minValue="32.715699999999998" maxValue="38.581600000000002"/>
    </cacheField>
    <cacheField name="longitude" numFmtId="0">
      <sharedItems containsSemiMixedTypes="0" containsString="0" containsNumber="1" minValue="-122.4194" maxValue="-117.1611"/>
    </cacheField>
    <cacheField name="join_date" numFmtId="14">
      <sharedItems containsSemiMixedTypes="0" containsNonDate="0" containsDate="1" containsString="0" minDate="2022-07-24T00:00:00" maxDate="2025-06-20T00:00:00"/>
    </cacheField>
    <cacheField name="personal_training_hours" numFmtId="0">
      <sharedItems containsSemiMixedTypes="0" containsString="0" containsNumber="1" containsInteger="1" minValue="0" maxValue="8"/>
    </cacheField>
    <cacheField name="multi_location_access" numFmtId="0">
      <sharedItems count="2">
        <b v="1"/>
        <b v="0"/>
      </sharedItems>
    </cacheField>
    <cacheField name="last_visit_date" numFmtId="14">
      <sharedItems containsSemiMixedTypes="0" containsNonDate="0" containsDate="1" containsString="0" minDate="2025-05-24T00:00:00" maxDate="2025-07-23T00:00:00" count="60">
        <d v="2025-06-30T00:00:00"/>
        <d v="2025-05-26T00:00:00"/>
        <d v="2025-06-09T00:00:00"/>
        <d v="2025-06-17T00:00:00"/>
        <d v="2025-07-13T00:00:00"/>
        <d v="2025-07-19T00:00:00"/>
        <d v="2025-06-01T00:00:00"/>
        <d v="2025-06-16T00:00:00"/>
        <d v="2025-06-10T00:00:00"/>
        <d v="2025-07-21T00:00:00"/>
        <d v="2025-05-25T00:00:00"/>
        <d v="2025-06-03T00:00:00"/>
        <d v="2025-07-10T00:00:00"/>
        <d v="2025-07-12T00:00:00"/>
        <d v="2025-07-11T00:00:00"/>
        <d v="2025-07-04T00:00:00"/>
        <d v="2025-06-21T00:00:00"/>
        <d v="2025-06-27T00:00:00"/>
        <d v="2025-07-05T00:00:00"/>
        <d v="2025-07-14T00:00:00"/>
        <d v="2025-07-01T00:00:00"/>
        <d v="2025-06-25T00:00:00"/>
        <d v="2025-06-05T00:00:00"/>
        <d v="2025-06-22T00:00:00"/>
        <d v="2025-07-20T00:00:00"/>
        <d v="2025-05-27T00:00:00"/>
        <d v="2025-06-04T00:00:00"/>
        <d v="2025-07-17T00:00:00"/>
        <d v="2025-06-11T00:00:00"/>
        <d v="2025-06-26T00:00:00"/>
        <d v="2025-07-15T00:00:00"/>
        <d v="2025-06-23T00:00:00"/>
        <d v="2025-05-29T00:00:00"/>
        <d v="2025-07-07T00:00:00"/>
        <d v="2025-06-13T00:00:00"/>
        <d v="2025-06-20T00:00:00"/>
        <d v="2025-06-06T00:00:00"/>
        <d v="2025-05-30T00:00:00"/>
        <d v="2025-05-28T00:00:00"/>
        <d v="2025-07-03T00:00:00"/>
        <d v="2025-06-29T00:00:00"/>
        <d v="2025-07-06T00:00:00"/>
        <d v="2025-07-18T00:00:00"/>
        <d v="2025-05-24T00:00:00"/>
        <d v="2025-07-22T00:00:00"/>
        <d v="2025-07-16T00:00:00"/>
        <d v="2025-06-15T00:00:00"/>
        <d v="2025-06-14T00:00:00"/>
        <d v="2025-06-24T00:00:00"/>
        <d v="2025-06-07T00:00:00"/>
        <d v="2025-06-19T00:00:00"/>
        <d v="2025-07-08T00:00:00"/>
        <d v="2025-06-28T00:00:00"/>
        <d v="2025-07-09T00:00:00"/>
        <d v="2025-05-31T00:00:00"/>
        <d v="2025-07-02T00:00:00"/>
        <d v="2025-06-12T00:00:00"/>
        <d v="2025-06-02T00:00:00"/>
        <d v="2025-06-08T00:00:00"/>
        <d v="2025-06-18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kie Drummond" refreshedDate="45882.368516087961" createdVersion="8" refreshedVersion="8" minRefreshableVersion="3" recordCount="1999" xr:uid="{5FC0D362-32FC-4484-AB71-ED644F6F8D2A}">
  <cacheSource type="worksheet">
    <worksheetSource ref="E1:AB1048576" sheet="Fitness_Membership_Analytics_Da"/>
  </cacheSource>
  <cacheFields count="24">
    <cacheField name="attend_group_lesson" numFmtId="0">
      <sharedItems containsBlank="1"/>
    </cacheField>
    <cacheField name="avg_time_check_in" numFmtId="0">
      <sharedItems containsNonDate="0" containsDate="1" containsString="0" containsBlank="1" minDate="1899-12-30T08:01:00" maxDate="1899-12-30T20:58:00"/>
    </cacheField>
    <cacheField name="avg_time_check_out" numFmtId="0">
      <sharedItems containsNonDate="0" containsDate="1" containsString="0" containsBlank="1" minDate="1899-12-30T08:47:00" maxDate="1899-12-30T23:49:00"/>
    </cacheField>
    <cacheField name="duration_in_gym_minutes" numFmtId="0">
      <sharedItems containsString="0" containsBlank="1" containsNumber="1" containsInteger="1" minValue="30" maxValue="180"/>
    </cacheField>
    <cacheField name="has_drink_subscription" numFmtId="0">
      <sharedItems containsBlank="1" count="3">
        <b v="0"/>
        <b v="1"/>
        <m/>
      </sharedItems>
    </cacheField>
    <cacheField name="personal_training" numFmtId="0">
      <sharedItems containsBlank="1"/>
    </cacheField>
    <cacheField name="uses_sauna" numFmtId="0">
      <sharedItems containsBlank="1"/>
    </cacheField>
    <cacheField name="self_identified_gender" numFmtId="0">
      <sharedItems containsBlank="1" count="6">
        <s v="Male"/>
        <s v="Non-binary"/>
        <s v="Prefer not to say"/>
        <s v="Other (self-described)"/>
        <s v="Female"/>
        <m/>
      </sharedItems>
    </cacheField>
    <cacheField name="subscription_price" numFmtId="0">
      <sharedItems containsString="0" containsBlank="1" containsNumber="1" containsInteger="1" minValue="20" maxValue="70" count="5">
        <n v="50"/>
        <n v="30"/>
        <n v="20"/>
        <n v="70"/>
        <m/>
      </sharedItems>
    </cacheField>
    <cacheField name="subscription_model" numFmtId="0">
      <sharedItems containsBlank="1" count="4">
        <s v="Monthly"/>
        <s v="Early Bird (Annual)"/>
        <s v="Quarterly"/>
        <m/>
      </sharedItems>
    </cacheField>
    <cacheField name="adjusted_price" numFmtId="0">
      <sharedItems containsString="0" containsBlank="1" containsNumber="1" minValue="15" maxValue="70" count="13">
        <n v="50"/>
        <n v="30"/>
        <n v="20"/>
        <n v="70"/>
        <n v="22.5"/>
        <n v="15"/>
        <n v="37.5"/>
        <n v="18"/>
        <n v="27"/>
        <n v="63"/>
        <n v="45"/>
        <n v="52.5"/>
        <m/>
      </sharedItems>
    </cacheField>
    <cacheField name="discount_type" numFmtId="0">
      <sharedItems containsBlank="1" count="5">
        <s v="Promo"/>
        <s v="None"/>
        <s v="Loyalty"/>
        <s v="Student"/>
        <m/>
      </sharedItems>
    </cacheField>
    <cacheField name="discount_rate" numFmtId="0">
      <sharedItems containsString="0" containsBlank="1" containsNumber="1" minValue="0" maxValue="0.15"/>
    </cacheField>
    <cacheField name="final_price" numFmtId="0">
      <sharedItems containsString="0" containsBlank="1" containsNumber="1" minValue="12.75" maxValue="70" count="44">
        <n v="47.5"/>
        <n v="30"/>
        <n v="27"/>
        <n v="20"/>
        <n v="70"/>
        <n v="50"/>
        <n v="18"/>
        <n v="28.5"/>
        <n v="22.5"/>
        <n v="14.25"/>
        <n v="35.625"/>
        <n v="21.375"/>
        <n v="37.5"/>
        <n v="12.75"/>
        <n v="15"/>
        <n v="25.5"/>
        <n v="45"/>
        <n v="17"/>
        <n v="19"/>
        <n v="53.55"/>
        <n v="13.5"/>
        <n v="17.100000000000001"/>
        <n v="63"/>
        <n v="66.5"/>
        <n v="22.95"/>
        <n v="38.25"/>
        <n v="20.25"/>
        <n v="42.5"/>
        <n v="31.875"/>
        <n v="19.125"/>
        <n v="33.75"/>
        <n v="25.65"/>
        <n v="47.25"/>
        <n v="24.3"/>
        <n v="40.5"/>
        <n v="16.2"/>
        <n v="49.875"/>
        <n v="15.3"/>
        <n v="52.5"/>
        <n v="44.625"/>
        <n v="59.5"/>
        <n v="56.7"/>
        <n v="42.75"/>
        <m/>
      </sharedItems>
    </cacheField>
    <cacheField name="access_hours" numFmtId="0">
      <sharedItems containsBlank="1"/>
    </cacheField>
    <cacheField name="home_gym_location" numFmtId="0">
      <sharedItems containsBlank="1"/>
    </cacheField>
    <cacheField name="latitude" numFmtId="0">
      <sharedItems containsString="0" containsBlank="1" containsNumber="1" minValue="32.715699999999998" maxValue="38.581600000000002"/>
    </cacheField>
    <cacheField name="longitude" numFmtId="0">
      <sharedItems containsString="0" containsBlank="1" containsNumber="1" minValue="-122.4194" maxValue="-117.1611"/>
    </cacheField>
    <cacheField name="join_date" numFmtId="0">
      <sharedItems containsNonDate="0" containsDate="1" containsString="0" containsBlank="1" minDate="2022-07-24T00:00:00" maxDate="2025-06-20T00:00:00"/>
    </cacheField>
    <cacheField name="personal_training_hours" numFmtId="0">
      <sharedItems containsString="0" containsBlank="1" containsNumber="1" containsInteger="1" minValue="0" maxValue="8"/>
    </cacheField>
    <cacheField name="multi_location_access" numFmtId="0">
      <sharedItems containsBlank="1"/>
    </cacheField>
    <cacheField name="last_visit_date" numFmtId="0">
      <sharedItems containsNonDate="0" containsDate="1" containsString="0" containsBlank="1" minDate="2025-05-24T00:00:00" maxDate="2025-07-23T00:00:00"/>
    </cacheField>
    <cacheField name="Age group" numFmtId="0">
      <sharedItems containsBlank="1" count="5">
        <s v="40–49"/>
        <s v="30–39"/>
        <s v="10–19"/>
        <s v="20–29"/>
        <m/>
      </sharedItems>
    </cacheField>
    <cacheField name="Updated Age group" numFmtId="0">
      <sharedItems containsBlank="1" count="6">
        <s v="40–49"/>
        <s v="30–39"/>
        <s v="16–19"/>
        <s v="20–29"/>
        <s v="Under 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kie Drummond" refreshedDate="45882.384091782405" createdVersion="8" refreshedVersion="8" minRefreshableVersion="3" recordCount="1999" xr:uid="{088186B7-D8D4-4C81-9BB7-D866965A3D20}">
  <cacheSource type="worksheet">
    <worksheetSource ref="A1:AB1048576" sheet="Fitness_Membership_Analytics_Da"/>
  </cacheSource>
  <cacheFields count="28">
    <cacheField name="age" numFmtId="0">
      <sharedItems containsString="0" containsBlank="1" containsNumber="1" containsInteger="1" minValue="12" maxValue="49"/>
    </cacheField>
    <cacheField name="membership_type" numFmtId="0">
      <sharedItems containsBlank="1" count="5">
        <s v="Premium"/>
        <s v="Standard"/>
        <s v="Basic"/>
        <s v="Elite"/>
        <m/>
      </sharedItems>
    </cacheField>
    <cacheField name="visit_per_week" numFmtId="0">
      <sharedItems containsString="0" containsBlank="1" containsNumber="1" containsInteger="1" minValue="1" maxValue="5"/>
    </cacheField>
    <cacheField name="days_per_week" numFmtId="0">
      <sharedItems containsBlank="1"/>
    </cacheField>
    <cacheField name="attend_group_lesson" numFmtId="0">
      <sharedItems containsBlank="1"/>
    </cacheField>
    <cacheField name="avg_time_check_in" numFmtId="0">
      <sharedItems containsNonDate="0" containsDate="1" containsString="0" containsBlank="1" minDate="1899-12-30T08:01:00" maxDate="1899-12-30T20:58:00"/>
    </cacheField>
    <cacheField name="avg_time_check_out" numFmtId="0">
      <sharedItems containsNonDate="0" containsDate="1" containsString="0" containsBlank="1" minDate="1899-12-30T08:47:00" maxDate="1899-12-30T23:49:00"/>
    </cacheField>
    <cacheField name="duration_in_gym_minutes" numFmtId="0">
      <sharedItems containsString="0" containsBlank="1" containsNumber="1" containsInteger="1" minValue="30" maxValue="180"/>
    </cacheField>
    <cacheField name="has_drink_subscription" numFmtId="0">
      <sharedItems containsBlank="1" count="3">
        <b v="0"/>
        <b v="1"/>
        <m/>
      </sharedItems>
    </cacheField>
    <cacheField name="personal_training" numFmtId="0">
      <sharedItems containsBlank="1"/>
    </cacheField>
    <cacheField name="uses_sauna" numFmtId="0">
      <sharedItems containsBlank="1"/>
    </cacheField>
    <cacheField name="self_identified_gender" numFmtId="0">
      <sharedItems containsBlank="1"/>
    </cacheField>
    <cacheField name="subscription_price" numFmtId="0">
      <sharedItems containsString="0" containsBlank="1" containsNumber="1" containsInteger="1" minValue="20" maxValue="70" count="5">
        <n v="50"/>
        <n v="30"/>
        <n v="20"/>
        <n v="70"/>
        <m/>
      </sharedItems>
    </cacheField>
    <cacheField name="subscription_model" numFmtId="0">
      <sharedItems containsBlank="1" count="4">
        <s v="Monthly"/>
        <s v="Early Bird (Annual)"/>
        <s v="Quarterly"/>
        <m/>
      </sharedItems>
    </cacheField>
    <cacheField name="adjusted_price" numFmtId="0">
      <sharedItems containsString="0" containsBlank="1" containsNumber="1" minValue="15" maxValue="70"/>
    </cacheField>
    <cacheField name="discount_type" numFmtId="0">
      <sharedItems containsBlank="1" count="5">
        <s v="Promo"/>
        <s v="None"/>
        <s v="Loyalty"/>
        <s v="Student"/>
        <m/>
      </sharedItems>
    </cacheField>
    <cacheField name="discount_rate" numFmtId="0">
      <sharedItems containsString="0" containsBlank="1" containsNumber="1" minValue="0" maxValue="0.15"/>
    </cacheField>
    <cacheField name="final_price" numFmtId="0">
      <sharedItems containsString="0" containsBlank="1" containsNumber="1" minValue="12.75" maxValue="70"/>
    </cacheField>
    <cacheField name="access_hours" numFmtId="0">
      <sharedItems containsBlank="1" count="5">
        <s v="All hours"/>
        <s v="Weekdays only"/>
        <s v="Off-peak only"/>
        <s v="All hours + Priority access"/>
        <m/>
      </sharedItems>
    </cacheField>
    <cacheField name="home_gym_location" numFmtId="0">
      <sharedItems containsBlank="1"/>
    </cacheField>
    <cacheField name="latitude" numFmtId="0">
      <sharedItems containsString="0" containsBlank="1" containsNumber="1" minValue="32.715699999999998" maxValue="38.581600000000002"/>
    </cacheField>
    <cacheField name="longitude" numFmtId="0">
      <sharedItems containsString="0" containsBlank="1" containsNumber="1" minValue="-122.4194" maxValue="-117.1611"/>
    </cacheField>
    <cacheField name="join_date" numFmtId="0">
      <sharedItems containsNonDate="0" containsDate="1" containsString="0" containsBlank="1" minDate="2022-07-24T00:00:00" maxDate="2025-06-20T00:00:00"/>
    </cacheField>
    <cacheField name="personal_training_hours" numFmtId="0">
      <sharedItems containsString="0" containsBlank="1" containsNumber="1" containsInteger="1" minValue="0" maxValue="8"/>
    </cacheField>
    <cacheField name="multi_location_access" numFmtId="0">
      <sharedItems containsBlank="1" count="3">
        <b v="1"/>
        <b v="0"/>
        <m/>
      </sharedItems>
    </cacheField>
    <cacheField name="last_visit_date" numFmtId="0">
      <sharedItems containsNonDate="0" containsDate="1" containsString="0" containsBlank="1" minDate="2025-05-24T00:00:00" maxDate="2025-07-23T00:00:00"/>
    </cacheField>
    <cacheField name="Age group" numFmtId="0">
      <sharedItems containsBlank="1"/>
    </cacheField>
    <cacheField name="Updated Age 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">
  <r>
    <n v="40"/>
    <x v="0"/>
    <n v="2"/>
    <s v="Sat, Thu"/>
    <b v="0"/>
    <d v="1899-12-30T08:39:00"/>
    <d v="1899-12-30T10:37:00"/>
    <n v="118"/>
    <b v="0"/>
    <b v="0"/>
    <x v="0"/>
    <x v="0"/>
    <n v="50"/>
    <x v="0"/>
    <n v="50"/>
    <x v="0"/>
    <n v="0.05"/>
    <n v="47.5"/>
    <s v="All hours"/>
    <s v="San Jose, CA"/>
    <n v="37.338200000000001"/>
    <n v="-121.88630000000001"/>
    <d v="2024-05-20T00:00:00"/>
    <n v="0"/>
    <x v="0"/>
    <x v="0"/>
  </r>
  <r>
    <n v="35"/>
    <x v="1"/>
    <n v="5"/>
    <s v="Fri, Sat, Thu, Tue, Wed"/>
    <b v="1"/>
    <d v="1899-12-30T15:45:00"/>
    <d v="1899-12-30T18:43:00"/>
    <n v="178"/>
    <b v="0"/>
    <b v="0"/>
    <x v="0"/>
    <x v="1"/>
    <n v="30"/>
    <x v="0"/>
    <n v="30"/>
    <x v="1"/>
    <n v="0"/>
    <n v="30"/>
    <s v="Weekdays only"/>
    <s v="Fresno, CA"/>
    <n v="36.7378"/>
    <n v="-119.7871"/>
    <d v="2022-09-14T00:00:00"/>
    <n v="0"/>
    <x v="1"/>
    <x v="1"/>
  </r>
  <r>
    <n v="39"/>
    <x v="1"/>
    <n v="4"/>
    <s v="Sun, Thu, Tue, Wed"/>
    <b v="1"/>
    <d v="1899-12-30T13:35:00"/>
    <d v="1899-12-30T14:37:00"/>
    <n v="62"/>
    <b v="1"/>
    <b v="1"/>
    <x v="1"/>
    <x v="0"/>
    <n v="30"/>
    <x v="0"/>
    <n v="30"/>
    <x v="2"/>
    <n v="0.1"/>
    <n v="27"/>
    <s v="Weekdays only"/>
    <s v="Oakland, CA"/>
    <n v="37.804400000000001"/>
    <n v="-122.27119999999999"/>
    <d v="2023-05-05T00:00:00"/>
    <n v="4"/>
    <x v="1"/>
    <x v="2"/>
  </r>
  <r>
    <n v="35"/>
    <x v="2"/>
    <n v="2"/>
    <s v="Mon, Tue"/>
    <b v="0"/>
    <d v="1899-12-30T17:06:00"/>
    <d v="1899-12-30T18:39:00"/>
    <n v="93"/>
    <b v="1"/>
    <b v="1"/>
    <x v="0"/>
    <x v="0"/>
    <n v="20"/>
    <x v="0"/>
    <n v="20"/>
    <x v="1"/>
    <n v="0"/>
    <n v="20"/>
    <s v="Off-peak only"/>
    <s v="Anaheim, CA"/>
    <n v="33.836599999999997"/>
    <n v="-117.9143"/>
    <d v="2023-09-24T00:00:00"/>
    <n v="7"/>
    <x v="1"/>
    <x v="3"/>
  </r>
  <r>
    <n v="18"/>
    <x v="1"/>
    <n v="2"/>
    <s v="Sun, Wed"/>
    <b v="0"/>
    <d v="1899-12-30T14:16:00"/>
    <d v="1899-12-30T16:57:00"/>
    <n v="161"/>
    <b v="1"/>
    <b v="1"/>
    <x v="0"/>
    <x v="2"/>
    <n v="30"/>
    <x v="0"/>
    <n v="30"/>
    <x v="2"/>
    <n v="0.1"/>
    <n v="27"/>
    <s v="Weekdays only"/>
    <s v="Sacramento, CA"/>
    <n v="38.581600000000002"/>
    <n v="-121.4944"/>
    <d v="2025-01-07T00:00:00"/>
    <n v="3"/>
    <x v="0"/>
    <x v="4"/>
  </r>
  <r>
    <n v="43"/>
    <x v="1"/>
    <n v="1"/>
    <s v="Sun"/>
    <b v="0"/>
    <d v="1899-12-30T09:22:00"/>
    <d v="1899-12-30T10:15:00"/>
    <n v="53"/>
    <b v="0"/>
    <b v="1"/>
    <x v="0"/>
    <x v="2"/>
    <n v="30"/>
    <x v="0"/>
    <n v="30"/>
    <x v="2"/>
    <n v="0.1"/>
    <n v="27"/>
    <s v="Weekdays only"/>
    <s v="Los Angeles, CA"/>
    <n v="34.052199999999999"/>
    <n v="-118.2437"/>
    <d v="2025-01-07T00:00:00"/>
    <n v="7"/>
    <x v="0"/>
    <x v="4"/>
  </r>
  <r>
    <n v="29"/>
    <x v="3"/>
    <n v="4"/>
    <s v="Fri, Mon, Sun, Thu"/>
    <b v="1"/>
    <d v="1899-12-30T18:15:00"/>
    <d v="1899-12-30T18:54:00"/>
    <n v="39"/>
    <b v="0"/>
    <b v="1"/>
    <x v="1"/>
    <x v="2"/>
    <n v="70"/>
    <x v="0"/>
    <n v="70"/>
    <x v="1"/>
    <n v="0"/>
    <n v="70"/>
    <s v="All hours + Priority access"/>
    <s v="San Diego, CA"/>
    <n v="32.715699999999998"/>
    <n v="-117.1611"/>
    <d v="2025-04-22T00:00:00"/>
    <n v="4"/>
    <x v="0"/>
    <x v="5"/>
  </r>
  <r>
    <n v="49"/>
    <x v="0"/>
    <n v="3"/>
    <s v="Fri, Sun, Thu"/>
    <b v="0"/>
    <d v="1899-12-30T17:16:00"/>
    <d v="1899-12-30T19:52:00"/>
    <n v="156"/>
    <b v="1"/>
    <b v="0"/>
    <x v="0"/>
    <x v="2"/>
    <n v="50"/>
    <x v="0"/>
    <n v="50"/>
    <x v="1"/>
    <n v="0"/>
    <n v="50"/>
    <s v="All hours"/>
    <s v="Bakersfield, CA"/>
    <n v="35.3733"/>
    <n v="-119.0187"/>
    <d v="2022-12-13T00:00:00"/>
    <n v="0"/>
    <x v="1"/>
    <x v="6"/>
  </r>
  <r>
    <n v="24"/>
    <x v="2"/>
    <n v="3"/>
    <s v="Sat, Thu, Wed"/>
    <b v="1"/>
    <d v="1899-12-30T12:00:00"/>
    <d v="1899-12-30T14:08:00"/>
    <n v="128"/>
    <b v="1"/>
    <b v="0"/>
    <x v="1"/>
    <x v="3"/>
    <n v="20"/>
    <x v="0"/>
    <n v="20"/>
    <x v="2"/>
    <n v="0.1"/>
    <n v="18"/>
    <s v="Off-peak only"/>
    <s v="San Francisco, CA"/>
    <n v="37.774900000000002"/>
    <n v="-122.4194"/>
    <d v="2023-09-21T00:00:00"/>
    <n v="0"/>
    <x v="0"/>
    <x v="7"/>
  </r>
  <r>
    <n v="33"/>
    <x v="2"/>
    <n v="4"/>
    <s v="Fri, Mon, Sun, Thu"/>
    <b v="0"/>
    <d v="1899-12-30T10:24:00"/>
    <d v="1899-12-30T11:48:00"/>
    <n v="84"/>
    <b v="1"/>
    <b v="0"/>
    <x v="0"/>
    <x v="0"/>
    <n v="20"/>
    <x v="0"/>
    <n v="20"/>
    <x v="2"/>
    <n v="0.1"/>
    <n v="18"/>
    <s v="Off-peak only"/>
    <s v="San Diego, CA"/>
    <n v="32.715699999999998"/>
    <n v="-117.1611"/>
    <d v="2023-05-30T00:00:00"/>
    <n v="0"/>
    <x v="0"/>
    <x v="8"/>
  </r>
  <r>
    <n v="14"/>
    <x v="1"/>
    <n v="3"/>
    <s v="Sat, Sun, Wed"/>
    <b v="0"/>
    <d v="1899-12-30T10:11:00"/>
    <d v="1899-12-30T11:56:00"/>
    <n v="105"/>
    <b v="1"/>
    <b v="0"/>
    <x v="1"/>
    <x v="0"/>
    <n v="30"/>
    <x v="0"/>
    <n v="30"/>
    <x v="1"/>
    <n v="0"/>
    <n v="30"/>
    <s v="Weekdays only"/>
    <s v="San Francisco, CA"/>
    <n v="37.774900000000002"/>
    <n v="-122.4194"/>
    <d v="2025-06-01T00:00:00"/>
    <n v="0"/>
    <x v="1"/>
    <x v="9"/>
  </r>
  <r>
    <n v="43"/>
    <x v="1"/>
    <n v="2"/>
    <s v="Sat, Tue"/>
    <b v="0"/>
    <d v="1899-12-30T19:40:00"/>
    <d v="1899-12-30T22:32:00"/>
    <n v="172"/>
    <b v="0"/>
    <b v="1"/>
    <x v="0"/>
    <x v="4"/>
    <n v="30"/>
    <x v="0"/>
    <n v="30"/>
    <x v="0"/>
    <n v="0.05"/>
    <n v="28.5"/>
    <s v="Weekdays only"/>
    <s v="Los Angeles, CA"/>
    <n v="34.052199999999999"/>
    <n v="-118.2437"/>
    <d v="2022-08-25T00:00:00"/>
    <n v="6"/>
    <x v="0"/>
    <x v="10"/>
  </r>
  <r>
    <n v="33"/>
    <x v="1"/>
    <n v="1"/>
    <s v="Wed"/>
    <b v="1"/>
    <d v="1899-12-30T16:41:00"/>
    <d v="1899-12-30T18:29:00"/>
    <n v="108"/>
    <b v="0"/>
    <b v="0"/>
    <x v="1"/>
    <x v="1"/>
    <n v="30"/>
    <x v="1"/>
    <n v="22.5"/>
    <x v="1"/>
    <n v="0"/>
    <n v="22.5"/>
    <s v="Weekdays only"/>
    <s v="Oakland, CA"/>
    <n v="37.804400000000001"/>
    <n v="-122.27119999999999"/>
    <d v="2023-01-18T00:00:00"/>
    <n v="0"/>
    <x v="1"/>
    <x v="11"/>
  </r>
  <r>
    <n v="28"/>
    <x v="1"/>
    <n v="3"/>
    <s v="Sat, Thu, Wed"/>
    <b v="0"/>
    <d v="1899-12-30T10:48:00"/>
    <d v="1899-12-30T12:09:00"/>
    <n v="81"/>
    <b v="0"/>
    <b v="0"/>
    <x v="0"/>
    <x v="0"/>
    <n v="30"/>
    <x v="0"/>
    <n v="30"/>
    <x v="0"/>
    <n v="0.05"/>
    <n v="28.5"/>
    <s v="Weekdays only"/>
    <s v="Long Beach, CA"/>
    <n v="33.770099999999999"/>
    <n v="-118.19370000000001"/>
    <d v="2024-11-08T00:00:00"/>
    <n v="0"/>
    <x v="1"/>
    <x v="12"/>
  </r>
  <r>
    <n v="49"/>
    <x v="2"/>
    <n v="5"/>
    <s v="Fri, Mon, Sun, Tue, Wed"/>
    <b v="1"/>
    <d v="1899-12-30T10:28:00"/>
    <d v="1899-12-30T11:19:00"/>
    <n v="51"/>
    <b v="0"/>
    <b v="0"/>
    <x v="0"/>
    <x v="4"/>
    <n v="20"/>
    <x v="1"/>
    <n v="15"/>
    <x v="0"/>
    <n v="0.05"/>
    <n v="14.25"/>
    <s v="Off-peak only"/>
    <s v="Fresno, CA"/>
    <n v="36.7378"/>
    <n v="-119.7871"/>
    <d v="2024-12-11T00:00:00"/>
    <n v="0"/>
    <x v="1"/>
    <x v="13"/>
  </r>
  <r>
    <n v="27"/>
    <x v="0"/>
    <n v="1"/>
    <s v="Thu"/>
    <b v="0"/>
    <d v="1899-12-30T14:17:00"/>
    <d v="1899-12-30T15:42:00"/>
    <n v="85"/>
    <b v="0"/>
    <b v="0"/>
    <x v="0"/>
    <x v="2"/>
    <n v="50"/>
    <x v="1"/>
    <n v="37.5"/>
    <x v="0"/>
    <n v="0.05"/>
    <n v="35.625"/>
    <s v="All hours"/>
    <s v="Bakersfield, CA"/>
    <n v="35.3733"/>
    <n v="-119.0187"/>
    <d v="2024-12-09T00:00:00"/>
    <n v="0"/>
    <x v="0"/>
    <x v="14"/>
  </r>
  <r>
    <n v="26"/>
    <x v="1"/>
    <n v="5"/>
    <s v="Fri, Mon, Sat, Thu, Tue"/>
    <b v="0"/>
    <d v="1899-12-30T13:34:00"/>
    <d v="1899-12-30T15:19:00"/>
    <n v="105"/>
    <b v="1"/>
    <b v="0"/>
    <x v="1"/>
    <x v="3"/>
    <n v="30"/>
    <x v="0"/>
    <n v="30"/>
    <x v="1"/>
    <n v="0"/>
    <n v="30"/>
    <s v="Weekdays only"/>
    <s v="San Jose, CA"/>
    <n v="37.338200000000001"/>
    <n v="-121.88630000000001"/>
    <d v="2024-08-02T00:00:00"/>
    <n v="0"/>
    <x v="0"/>
    <x v="15"/>
  </r>
  <r>
    <n v="25"/>
    <x v="0"/>
    <n v="5"/>
    <s v="Mon, Sat, Sun, Thu, Wed"/>
    <b v="1"/>
    <d v="1899-12-30T12:25:00"/>
    <d v="1899-12-30T13:40:00"/>
    <n v="75"/>
    <b v="1"/>
    <b v="0"/>
    <x v="1"/>
    <x v="0"/>
    <n v="50"/>
    <x v="0"/>
    <n v="50"/>
    <x v="1"/>
    <n v="0"/>
    <n v="50"/>
    <s v="All hours"/>
    <s v="San Jose, CA"/>
    <n v="37.338200000000001"/>
    <n v="-121.88630000000001"/>
    <d v="2023-12-12T00:00:00"/>
    <n v="0"/>
    <x v="0"/>
    <x v="16"/>
  </r>
  <r>
    <n v="13"/>
    <x v="0"/>
    <n v="2"/>
    <s v="Mon, Tue"/>
    <b v="0"/>
    <d v="1899-12-30T17:27:00"/>
    <d v="1899-12-30T19:12:00"/>
    <n v="105"/>
    <b v="0"/>
    <b v="0"/>
    <x v="0"/>
    <x v="2"/>
    <n v="50"/>
    <x v="1"/>
    <n v="37.5"/>
    <x v="0"/>
    <n v="0.05"/>
    <n v="35.625"/>
    <s v="All hours"/>
    <s v="San Jose, CA"/>
    <n v="37.338200000000001"/>
    <n v="-121.88630000000001"/>
    <d v="2024-03-19T00:00:00"/>
    <n v="0"/>
    <x v="1"/>
    <x v="17"/>
  </r>
  <r>
    <n v="25"/>
    <x v="1"/>
    <n v="2"/>
    <s v="Thu, Wed"/>
    <b v="0"/>
    <d v="1899-12-30T10:38:00"/>
    <d v="1899-12-30T12:32:00"/>
    <n v="114"/>
    <b v="1"/>
    <b v="1"/>
    <x v="0"/>
    <x v="1"/>
    <n v="30"/>
    <x v="1"/>
    <n v="22.5"/>
    <x v="0"/>
    <n v="0.05"/>
    <n v="21.375"/>
    <s v="Weekdays only"/>
    <s v="Sacramento, CA"/>
    <n v="38.581600000000002"/>
    <n v="-121.4944"/>
    <d v="2024-08-16T00:00:00"/>
    <n v="8"/>
    <x v="1"/>
    <x v="18"/>
  </r>
  <r>
    <n v="21"/>
    <x v="0"/>
    <n v="1"/>
    <s v="Sun"/>
    <b v="1"/>
    <d v="1899-12-30T14:34:00"/>
    <d v="1899-12-30T15:04:00"/>
    <n v="30"/>
    <b v="1"/>
    <b v="1"/>
    <x v="1"/>
    <x v="0"/>
    <n v="50"/>
    <x v="1"/>
    <n v="37.5"/>
    <x v="1"/>
    <n v="0"/>
    <n v="37.5"/>
    <s v="All hours"/>
    <s v="Long Beach, CA"/>
    <n v="33.770099999999999"/>
    <n v="-118.19370000000001"/>
    <d v="2023-09-10T00:00:00"/>
    <n v="2"/>
    <x v="0"/>
    <x v="7"/>
  </r>
  <r>
    <n v="37"/>
    <x v="1"/>
    <n v="1"/>
    <s v="Tue"/>
    <b v="1"/>
    <d v="1899-12-30T18:06:00"/>
    <d v="1899-12-30T19:59:00"/>
    <n v="113"/>
    <b v="0"/>
    <b v="0"/>
    <x v="0"/>
    <x v="4"/>
    <n v="30"/>
    <x v="0"/>
    <n v="30"/>
    <x v="1"/>
    <n v="0"/>
    <n v="30"/>
    <s v="Weekdays only"/>
    <s v="San Francisco, CA"/>
    <n v="37.774900000000002"/>
    <n v="-122.4194"/>
    <d v="2025-01-25T00:00:00"/>
    <n v="0"/>
    <x v="1"/>
    <x v="19"/>
  </r>
  <r>
    <n v="23"/>
    <x v="1"/>
    <n v="1"/>
    <s v="Wed"/>
    <b v="1"/>
    <d v="1899-12-30T19:00:00"/>
    <d v="1899-12-30T19:49:00"/>
    <n v="49"/>
    <b v="1"/>
    <b v="0"/>
    <x v="1"/>
    <x v="4"/>
    <n v="30"/>
    <x v="0"/>
    <n v="30"/>
    <x v="0"/>
    <n v="0.05"/>
    <n v="28.5"/>
    <s v="Weekdays only"/>
    <s v="Bakersfield, CA"/>
    <n v="35.3733"/>
    <n v="-119.0187"/>
    <d v="2024-08-15T00:00:00"/>
    <n v="0"/>
    <x v="1"/>
    <x v="18"/>
  </r>
  <r>
    <n v="34"/>
    <x v="0"/>
    <n v="2"/>
    <s v="Sat, Thu"/>
    <b v="1"/>
    <d v="1899-12-30T13:39:00"/>
    <d v="1899-12-30T14:34:00"/>
    <n v="55"/>
    <b v="0"/>
    <b v="1"/>
    <x v="0"/>
    <x v="0"/>
    <n v="50"/>
    <x v="0"/>
    <n v="50"/>
    <x v="0"/>
    <n v="0.05"/>
    <n v="47.5"/>
    <s v="All hours"/>
    <s v="San Diego, CA"/>
    <n v="32.715699999999998"/>
    <n v="-117.1611"/>
    <d v="2024-05-28T00:00:00"/>
    <n v="8"/>
    <x v="0"/>
    <x v="20"/>
  </r>
  <r>
    <n v="12"/>
    <x v="1"/>
    <n v="5"/>
    <s v="Fri, Mon, Sun, Thu, Wed"/>
    <b v="0"/>
    <d v="1899-12-30T10:25:00"/>
    <d v="1899-12-30T12:18:00"/>
    <n v="113"/>
    <b v="0"/>
    <b v="0"/>
    <x v="1"/>
    <x v="0"/>
    <n v="30"/>
    <x v="0"/>
    <n v="30"/>
    <x v="1"/>
    <n v="0"/>
    <n v="30"/>
    <s v="Weekdays only"/>
    <s v="Los Angeles, CA"/>
    <n v="34.052199999999999"/>
    <n v="-118.2437"/>
    <d v="2024-02-23T00:00:00"/>
    <n v="0"/>
    <x v="1"/>
    <x v="21"/>
  </r>
  <r>
    <n v="40"/>
    <x v="2"/>
    <n v="2"/>
    <s v="Fri, Tue"/>
    <b v="1"/>
    <d v="1899-12-30T14:33:00"/>
    <d v="1899-12-30T15:40:00"/>
    <n v="67"/>
    <b v="1"/>
    <b v="1"/>
    <x v="0"/>
    <x v="2"/>
    <n v="20"/>
    <x v="1"/>
    <n v="15"/>
    <x v="3"/>
    <n v="0.15"/>
    <n v="12.75"/>
    <s v="Off-peak only"/>
    <s v="Oakland, CA"/>
    <n v="37.804400000000001"/>
    <n v="-122.27119999999999"/>
    <d v="2023-03-09T00:00:00"/>
    <n v="8"/>
    <x v="1"/>
    <x v="22"/>
  </r>
  <r>
    <n v="49"/>
    <x v="1"/>
    <n v="1"/>
    <s v="Fri"/>
    <b v="1"/>
    <d v="1899-12-30T08:06:00"/>
    <d v="1899-12-30T10:41:00"/>
    <n v="155"/>
    <b v="0"/>
    <b v="1"/>
    <x v="0"/>
    <x v="4"/>
    <n v="30"/>
    <x v="0"/>
    <n v="30"/>
    <x v="1"/>
    <n v="0"/>
    <n v="30"/>
    <s v="Weekdays only"/>
    <s v="Anaheim, CA"/>
    <n v="33.836599999999997"/>
    <n v="-117.9143"/>
    <d v="2024-11-22T00:00:00"/>
    <n v="6"/>
    <x v="1"/>
    <x v="14"/>
  </r>
  <r>
    <n v="39"/>
    <x v="2"/>
    <n v="5"/>
    <s v="Mon, Sun, Thu, Tue, Wed"/>
    <b v="1"/>
    <d v="1899-12-30T19:04:00"/>
    <d v="1899-12-30T20:02:00"/>
    <n v="58"/>
    <b v="1"/>
    <b v="0"/>
    <x v="1"/>
    <x v="0"/>
    <n v="20"/>
    <x v="1"/>
    <n v="15"/>
    <x v="1"/>
    <n v="0"/>
    <n v="15"/>
    <s v="Off-peak only"/>
    <s v="Sacramento, CA"/>
    <n v="38.581600000000002"/>
    <n v="-121.4944"/>
    <d v="2023-12-23T00:00:00"/>
    <n v="0"/>
    <x v="0"/>
    <x v="23"/>
  </r>
  <r>
    <n v="22"/>
    <x v="2"/>
    <n v="5"/>
    <s v="Fri, Sun, Thu, Tue, Wed"/>
    <b v="0"/>
    <d v="1899-12-30T09:16:00"/>
    <d v="1899-12-30T12:08:00"/>
    <n v="172"/>
    <b v="0"/>
    <b v="1"/>
    <x v="0"/>
    <x v="0"/>
    <n v="20"/>
    <x v="2"/>
    <n v="18"/>
    <x v="1"/>
    <n v="0"/>
    <n v="18"/>
    <s v="Off-peak only"/>
    <s v="Oakland, CA"/>
    <n v="37.804400000000001"/>
    <n v="-122.27119999999999"/>
    <d v="2023-10-01T00:00:00"/>
    <n v="7"/>
    <x v="1"/>
    <x v="3"/>
  </r>
  <r>
    <n v="17"/>
    <x v="0"/>
    <n v="2"/>
    <s v="Fri, Sat"/>
    <b v="0"/>
    <d v="1899-12-30T08:38:00"/>
    <d v="1899-12-30T11:24:00"/>
    <n v="166"/>
    <b v="0"/>
    <b v="1"/>
    <x v="1"/>
    <x v="1"/>
    <n v="50"/>
    <x v="1"/>
    <n v="37.5"/>
    <x v="1"/>
    <n v="0"/>
    <n v="37.5"/>
    <s v="All hours"/>
    <s v="Bakersfield, CA"/>
    <n v="35.3733"/>
    <n v="-119.0187"/>
    <d v="2025-05-04T00:00:00"/>
    <n v="2"/>
    <x v="0"/>
    <x v="24"/>
  </r>
  <r>
    <n v="16"/>
    <x v="0"/>
    <n v="5"/>
    <s v="Fri, Sat, Thu, Tue, Wed"/>
    <b v="0"/>
    <d v="1899-12-30T18:39:00"/>
    <d v="1899-12-30T20:06:00"/>
    <n v="87"/>
    <b v="0"/>
    <b v="1"/>
    <x v="1"/>
    <x v="0"/>
    <n v="50"/>
    <x v="0"/>
    <n v="50"/>
    <x v="1"/>
    <n v="0"/>
    <n v="50"/>
    <s v="All hours"/>
    <s v="Oakland, CA"/>
    <n v="37.804400000000001"/>
    <n v="-122.27119999999999"/>
    <d v="2023-09-14T00:00:00"/>
    <n v="1"/>
    <x v="0"/>
    <x v="7"/>
  </r>
  <r>
    <n v="49"/>
    <x v="1"/>
    <n v="3"/>
    <s v="Mon, Sat, Sun"/>
    <b v="0"/>
    <d v="1899-12-30T15:25:00"/>
    <d v="1899-12-30T18:05:00"/>
    <n v="160"/>
    <b v="1"/>
    <b v="0"/>
    <x v="1"/>
    <x v="4"/>
    <n v="30"/>
    <x v="0"/>
    <n v="30"/>
    <x v="2"/>
    <n v="0.1"/>
    <n v="27"/>
    <s v="Weekdays only"/>
    <s v="Los Angeles, CA"/>
    <n v="34.052199999999999"/>
    <n v="-118.2437"/>
    <d v="2024-12-23T00:00:00"/>
    <n v="0"/>
    <x v="1"/>
    <x v="13"/>
  </r>
  <r>
    <n v="49"/>
    <x v="1"/>
    <n v="3"/>
    <s v="Fri, Mon, Wed"/>
    <b v="0"/>
    <d v="1899-12-30T12:37:00"/>
    <d v="1899-12-30T13:15:00"/>
    <n v="38"/>
    <b v="1"/>
    <b v="1"/>
    <x v="0"/>
    <x v="0"/>
    <n v="30"/>
    <x v="0"/>
    <n v="30"/>
    <x v="1"/>
    <n v="0"/>
    <n v="30"/>
    <s v="Weekdays only"/>
    <s v="San Jose, CA"/>
    <n v="37.338200000000001"/>
    <n v="-121.88630000000001"/>
    <d v="2025-04-14T00:00:00"/>
    <n v="5"/>
    <x v="0"/>
    <x v="5"/>
  </r>
  <r>
    <n v="37"/>
    <x v="1"/>
    <n v="1"/>
    <s v="Fri"/>
    <b v="1"/>
    <d v="1899-12-30T16:04:00"/>
    <d v="1899-12-30T18:16:00"/>
    <n v="132"/>
    <b v="1"/>
    <b v="1"/>
    <x v="1"/>
    <x v="0"/>
    <n v="30"/>
    <x v="1"/>
    <n v="22.5"/>
    <x v="1"/>
    <n v="0"/>
    <n v="22.5"/>
    <s v="Weekdays only"/>
    <s v="Anaheim, CA"/>
    <n v="33.836599999999997"/>
    <n v="-117.9143"/>
    <d v="2022-09-16T00:00:00"/>
    <n v="6"/>
    <x v="1"/>
    <x v="25"/>
  </r>
  <r>
    <n v="33"/>
    <x v="1"/>
    <n v="3"/>
    <s v="Fri, Sat, Sun"/>
    <b v="0"/>
    <d v="1899-12-30T15:13:00"/>
    <d v="1899-12-30T16:46:00"/>
    <n v="93"/>
    <b v="0"/>
    <b v="1"/>
    <x v="1"/>
    <x v="0"/>
    <n v="30"/>
    <x v="0"/>
    <n v="30"/>
    <x v="3"/>
    <n v="0.15"/>
    <n v="25.5"/>
    <s v="Weekdays only"/>
    <s v="Los Angeles, CA"/>
    <n v="34.052199999999999"/>
    <n v="-118.2437"/>
    <d v="2022-08-29T00:00:00"/>
    <n v="4"/>
    <x v="0"/>
    <x v="1"/>
  </r>
  <r>
    <n v="23"/>
    <x v="1"/>
    <n v="3"/>
    <s v="Sat, Tue, Wed"/>
    <b v="1"/>
    <d v="1899-12-30T12:33:00"/>
    <d v="1899-12-30T14:41:00"/>
    <n v="128"/>
    <b v="0"/>
    <b v="0"/>
    <x v="0"/>
    <x v="1"/>
    <n v="30"/>
    <x v="2"/>
    <n v="27"/>
    <x v="1"/>
    <n v="0"/>
    <n v="27"/>
    <s v="Weekdays only"/>
    <s v="Bakersfield, CA"/>
    <n v="35.3733"/>
    <n v="-119.0187"/>
    <d v="2023-02-13T00:00:00"/>
    <n v="0"/>
    <x v="1"/>
    <x v="26"/>
  </r>
  <r>
    <n v="14"/>
    <x v="0"/>
    <n v="2"/>
    <s v="Sun, Tue"/>
    <b v="0"/>
    <d v="1899-12-30T12:23:00"/>
    <d v="1899-12-30T14:44:00"/>
    <n v="141"/>
    <b v="1"/>
    <b v="1"/>
    <x v="1"/>
    <x v="3"/>
    <n v="50"/>
    <x v="0"/>
    <n v="50"/>
    <x v="2"/>
    <n v="0.1"/>
    <n v="45"/>
    <s v="All hours"/>
    <s v="Oakland, CA"/>
    <n v="37.804400000000001"/>
    <n v="-122.27119999999999"/>
    <d v="2024-08-02T00:00:00"/>
    <n v="1"/>
    <x v="1"/>
    <x v="15"/>
  </r>
  <r>
    <n v="45"/>
    <x v="3"/>
    <n v="4"/>
    <s v="Sat, Sun, Thu, Tue"/>
    <b v="0"/>
    <d v="1899-12-30T11:19:00"/>
    <d v="1899-12-30T12:16:00"/>
    <n v="57"/>
    <b v="0"/>
    <b v="1"/>
    <x v="1"/>
    <x v="4"/>
    <n v="70"/>
    <x v="0"/>
    <n v="70"/>
    <x v="1"/>
    <n v="0"/>
    <n v="70"/>
    <s v="All hours + Priority access"/>
    <s v="Fresno, CA"/>
    <n v="36.7378"/>
    <n v="-119.7871"/>
    <d v="2025-03-10T00:00:00"/>
    <n v="5"/>
    <x v="0"/>
    <x v="27"/>
  </r>
  <r>
    <n v="47"/>
    <x v="0"/>
    <n v="3"/>
    <s v="Fri, Sat, Tue"/>
    <b v="1"/>
    <d v="1899-12-30T12:51:00"/>
    <d v="1899-12-30T14:37:00"/>
    <n v="106"/>
    <b v="0"/>
    <b v="1"/>
    <x v="1"/>
    <x v="1"/>
    <n v="50"/>
    <x v="0"/>
    <n v="50"/>
    <x v="2"/>
    <n v="0.1"/>
    <n v="45"/>
    <s v="All hours"/>
    <s v="Oakland, CA"/>
    <n v="37.804400000000001"/>
    <n v="-122.27119999999999"/>
    <d v="2023-06-25T00:00:00"/>
    <n v="4"/>
    <x v="1"/>
    <x v="28"/>
  </r>
  <r>
    <n v="22"/>
    <x v="1"/>
    <n v="5"/>
    <s v="Fri, Sat, Sun, Tue, Wed"/>
    <b v="1"/>
    <d v="1899-12-30T08:13:00"/>
    <d v="1899-12-30T09:46:00"/>
    <n v="93"/>
    <b v="0"/>
    <b v="0"/>
    <x v="1"/>
    <x v="0"/>
    <n v="30"/>
    <x v="0"/>
    <n v="30"/>
    <x v="0"/>
    <n v="0.05"/>
    <n v="28.5"/>
    <s v="Weekdays only"/>
    <s v="San Jose, CA"/>
    <n v="37.338200000000001"/>
    <n v="-121.88630000000001"/>
    <d v="2024-03-11T00:00:00"/>
    <n v="0"/>
    <x v="1"/>
    <x v="29"/>
  </r>
  <r>
    <n v="17"/>
    <x v="0"/>
    <n v="2"/>
    <s v="Fri, Tue"/>
    <b v="0"/>
    <d v="1899-12-30T09:30:00"/>
    <d v="1899-12-30T12:24:00"/>
    <n v="174"/>
    <b v="1"/>
    <b v="1"/>
    <x v="1"/>
    <x v="1"/>
    <n v="50"/>
    <x v="0"/>
    <n v="50"/>
    <x v="1"/>
    <n v="0"/>
    <n v="50"/>
    <s v="All hours"/>
    <s v="Los Angeles, CA"/>
    <n v="34.052199999999999"/>
    <n v="-118.2437"/>
    <d v="2025-02-13T00:00:00"/>
    <n v="8"/>
    <x v="0"/>
    <x v="30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4-01-12T00:00:00"/>
    <n v="0"/>
    <x v="0"/>
    <x v="31"/>
  </r>
  <r>
    <n v="12"/>
    <x v="2"/>
    <n v="5"/>
    <s v="Mon, Sat, Sun, Thu, Wed"/>
    <b v="1"/>
    <d v="1899-12-30T09:36:00"/>
    <d v="1899-12-30T12:09:00"/>
    <n v="153"/>
    <b v="1"/>
    <b v="1"/>
    <x v="1"/>
    <x v="0"/>
    <n v="20"/>
    <x v="0"/>
    <n v="20"/>
    <x v="3"/>
    <n v="0.15"/>
    <n v="17"/>
    <s v="Off-peak only"/>
    <s v="Sacramento, CA"/>
    <n v="38.581600000000002"/>
    <n v="-121.4944"/>
    <d v="2025-05-17T00:00:00"/>
    <n v="3"/>
    <x v="1"/>
    <x v="24"/>
  </r>
  <r>
    <n v="42"/>
    <x v="1"/>
    <n v="5"/>
    <s v="Mon, Sat, Sun, Thu, Wed"/>
    <b v="1"/>
    <d v="1899-12-30T12:05:00"/>
    <d v="1899-12-30T14:14:00"/>
    <n v="129"/>
    <b v="1"/>
    <b v="1"/>
    <x v="0"/>
    <x v="4"/>
    <n v="30"/>
    <x v="0"/>
    <n v="30"/>
    <x v="1"/>
    <n v="0"/>
    <n v="30"/>
    <s v="Weekdays only"/>
    <s v="San Francisco, CA"/>
    <n v="37.774900000000002"/>
    <n v="-122.4194"/>
    <d v="2022-10-28T00:00:00"/>
    <n v="4"/>
    <x v="1"/>
    <x v="32"/>
  </r>
  <r>
    <n v="18"/>
    <x v="1"/>
    <n v="3"/>
    <s v="Mon, Sat, Tue"/>
    <b v="1"/>
    <d v="1899-12-30T17:46:00"/>
    <d v="1899-12-30T20:29:00"/>
    <n v="163"/>
    <b v="0"/>
    <b v="1"/>
    <x v="0"/>
    <x v="1"/>
    <n v="30"/>
    <x v="1"/>
    <n v="22.5"/>
    <x v="1"/>
    <n v="0"/>
    <n v="22.5"/>
    <s v="Weekdays only"/>
    <s v="Fresno, CA"/>
    <n v="36.7378"/>
    <n v="-119.7871"/>
    <d v="2024-09-20T00:00:00"/>
    <n v="2"/>
    <x v="1"/>
    <x v="33"/>
  </r>
  <r>
    <n v="36"/>
    <x v="0"/>
    <n v="1"/>
    <s v="Sun"/>
    <b v="0"/>
    <d v="1899-12-30T19:20:00"/>
    <d v="1899-12-30T21:58:00"/>
    <n v="158"/>
    <b v="1"/>
    <b v="0"/>
    <x v="0"/>
    <x v="3"/>
    <n v="50"/>
    <x v="1"/>
    <n v="37.5"/>
    <x v="1"/>
    <n v="0"/>
    <n v="37.5"/>
    <s v="All hours"/>
    <s v="Bakersfield, CA"/>
    <n v="35.3733"/>
    <n v="-119.0187"/>
    <d v="2023-07-18T00:00:00"/>
    <n v="0"/>
    <x v="0"/>
    <x v="34"/>
  </r>
  <r>
    <n v="23"/>
    <x v="2"/>
    <n v="3"/>
    <s v="Fri, Mon, Wed"/>
    <b v="1"/>
    <d v="1899-12-30T12:43:00"/>
    <d v="1899-12-30T13:13:00"/>
    <n v="30"/>
    <b v="1"/>
    <b v="0"/>
    <x v="0"/>
    <x v="2"/>
    <n v="20"/>
    <x v="0"/>
    <n v="20"/>
    <x v="0"/>
    <n v="0.05"/>
    <n v="19"/>
    <s v="Off-peak only"/>
    <s v="Fresno, CA"/>
    <n v="36.7378"/>
    <n v="-119.7871"/>
    <d v="2024-07-26T00:00:00"/>
    <n v="0"/>
    <x v="0"/>
    <x v="15"/>
  </r>
  <r>
    <n v="36"/>
    <x v="0"/>
    <n v="3"/>
    <s v="Sat, Sun, Tue"/>
    <b v="1"/>
    <d v="1899-12-30T09:39:00"/>
    <d v="1899-12-30T11:08:00"/>
    <n v="89"/>
    <b v="0"/>
    <b v="0"/>
    <x v="1"/>
    <x v="0"/>
    <n v="50"/>
    <x v="0"/>
    <n v="50"/>
    <x v="1"/>
    <n v="0"/>
    <n v="50"/>
    <s v="All hours"/>
    <s v="Fresno, CA"/>
    <n v="36.7378"/>
    <n v="-119.7871"/>
    <d v="2023-12-17T00:00:00"/>
    <n v="0"/>
    <x v="0"/>
    <x v="16"/>
  </r>
  <r>
    <n v="36"/>
    <x v="0"/>
    <n v="3"/>
    <s v="Mon, Sat, Thu"/>
    <b v="0"/>
    <d v="1899-12-30T11:06:00"/>
    <d v="1899-12-30T11:44:00"/>
    <n v="38"/>
    <b v="1"/>
    <b v="1"/>
    <x v="0"/>
    <x v="4"/>
    <n v="50"/>
    <x v="0"/>
    <n v="50"/>
    <x v="2"/>
    <n v="0.1"/>
    <n v="45"/>
    <s v="All hours"/>
    <s v="Anaheim, CA"/>
    <n v="33.836599999999997"/>
    <n v="-117.9143"/>
    <d v="2023-11-18T00:00:00"/>
    <n v="2"/>
    <x v="0"/>
    <x v="35"/>
  </r>
  <r>
    <n v="17"/>
    <x v="3"/>
    <n v="2"/>
    <s v="Fri, Sun"/>
    <b v="0"/>
    <d v="1899-12-30T17:44:00"/>
    <d v="1899-12-30T18:20:00"/>
    <n v="36"/>
    <b v="1"/>
    <b v="1"/>
    <x v="0"/>
    <x v="0"/>
    <n v="70"/>
    <x v="2"/>
    <n v="63"/>
    <x v="3"/>
    <n v="0.15"/>
    <n v="53.55"/>
    <s v="All hours + Priority access"/>
    <s v="Anaheim, CA"/>
    <n v="33.836599999999997"/>
    <n v="-117.9143"/>
    <d v="2024-12-08T00:00:00"/>
    <n v="3"/>
    <x v="0"/>
    <x v="14"/>
  </r>
  <r>
    <n v="32"/>
    <x v="2"/>
    <n v="5"/>
    <s v="Fri, Sun, Thu, Tue, Wed"/>
    <b v="0"/>
    <d v="1899-12-30T19:52:00"/>
    <d v="1899-12-30T21:17:00"/>
    <n v="85"/>
    <b v="1"/>
    <b v="1"/>
    <x v="1"/>
    <x v="2"/>
    <n v="20"/>
    <x v="1"/>
    <n v="15"/>
    <x v="3"/>
    <n v="0.15"/>
    <n v="12.75"/>
    <s v="Off-peak only"/>
    <s v="Fresno, CA"/>
    <n v="36.7378"/>
    <n v="-119.7871"/>
    <d v="2022-08-25T00:00:00"/>
    <n v="1"/>
    <x v="0"/>
    <x v="10"/>
  </r>
  <r>
    <n v="40"/>
    <x v="0"/>
    <n v="3"/>
    <s v="Mon, Thu, Tue"/>
    <b v="0"/>
    <d v="1899-12-30T19:38:00"/>
    <d v="1899-12-30T21:10:00"/>
    <n v="92"/>
    <b v="1"/>
    <b v="1"/>
    <x v="1"/>
    <x v="0"/>
    <n v="50"/>
    <x v="0"/>
    <n v="50"/>
    <x v="1"/>
    <n v="0"/>
    <n v="50"/>
    <s v="All hours"/>
    <s v="Long Beach, CA"/>
    <n v="33.770099999999999"/>
    <n v="-118.19370000000001"/>
    <d v="2023-03-20T00:00:00"/>
    <n v="5"/>
    <x v="1"/>
    <x v="36"/>
  </r>
  <r>
    <n v="46"/>
    <x v="1"/>
    <n v="1"/>
    <s v="Sun"/>
    <b v="0"/>
    <d v="1899-12-30T14:38:00"/>
    <d v="1899-12-30T17:21:00"/>
    <n v="163"/>
    <b v="1"/>
    <b v="0"/>
    <x v="1"/>
    <x v="1"/>
    <n v="30"/>
    <x v="0"/>
    <n v="30"/>
    <x v="1"/>
    <n v="0"/>
    <n v="30"/>
    <s v="Weekdays only"/>
    <s v="San Francisco, CA"/>
    <n v="37.774900000000002"/>
    <n v="-122.4194"/>
    <d v="2022-09-26T00:00:00"/>
    <n v="0"/>
    <x v="1"/>
    <x v="25"/>
  </r>
  <r>
    <n v="39"/>
    <x v="0"/>
    <n v="2"/>
    <s v="Sat, Sun"/>
    <b v="0"/>
    <d v="1899-12-30T16:53:00"/>
    <d v="1899-12-30T18:08:00"/>
    <n v="75"/>
    <b v="0"/>
    <b v="1"/>
    <x v="0"/>
    <x v="1"/>
    <n v="50"/>
    <x v="1"/>
    <n v="37.5"/>
    <x v="0"/>
    <n v="0.05"/>
    <n v="35.625"/>
    <s v="All hours"/>
    <s v="San Francisco, CA"/>
    <n v="37.774900000000002"/>
    <n v="-122.4194"/>
    <d v="2022-11-13T00:00:00"/>
    <n v="4"/>
    <x v="0"/>
    <x v="37"/>
  </r>
  <r>
    <n v="30"/>
    <x v="0"/>
    <n v="5"/>
    <s v="Fri, Mon, Sun, Tue, Wed"/>
    <b v="1"/>
    <d v="1899-12-30T10:56:00"/>
    <d v="1899-12-30T13:40:00"/>
    <n v="164"/>
    <b v="0"/>
    <b v="1"/>
    <x v="1"/>
    <x v="1"/>
    <n v="50"/>
    <x v="1"/>
    <n v="37.5"/>
    <x v="0"/>
    <n v="0.05"/>
    <n v="35.625"/>
    <s v="All hours"/>
    <s v="San Jose, CA"/>
    <n v="37.338200000000001"/>
    <n v="-121.88630000000001"/>
    <d v="2023-09-25T00:00:00"/>
    <n v="2"/>
    <x v="1"/>
    <x v="3"/>
  </r>
  <r>
    <n v="24"/>
    <x v="0"/>
    <n v="1"/>
    <s v="Sat"/>
    <b v="0"/>
    <d v="1899-12-30T16:51:00"/>
    <d v="1899-12-30T18:31:00"/>
    <n v="100"/>
    <b v="0"/>
    <b v="1"/>
    <x v="1"/>
    <x v="4"/>
    <n v="50"/>
    <x v="0"/>
    <n v="50"/>
    <x v="1"/>
    <n v="0"/>
    <n v="50"/>
    <s v="All hours"/>
    <s v="Sacramento, CA"/>
    <n v="38.581600000000002"/>
    <n v="-121.4944"/>
    <d v="2022-10-15T00:00:00"/>
    <n v="1"/>
    <x v="0"/>
    <x v="38"/>
  </r>
  <r>
    <n v="41"/>
    <x v="0"/>
    <n v="1"/>
    <s v="Wed"/>
    <b v="0"/>
    <d v="1899-12-30T16:21:00"/>
    <d v="1899-12-30T18:39:00"/>
    <n v="138"/>
    <b v="1"/>
    <b v="1"/>
    <x v="0"/>
    <x v="0"/>
    <n v="50"/>
    <x v="0"/>
    <n v="50"/>
    <x v="2"/>
    <n v="0.1"/>
    <n v="45"/>
    <s v="All hours"/>
    <s v="San Diego, CA"/>
    <n v="32.715699999999998"/>
    <n v="-117.1611"/>
    <d v="2025-03-20T00:00:00"/>
    <n v="3"/>
    <x v="0"/>
    <x v="27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4-11-26T00:00:00"/>
    <n v="7"/>
    <x v="0"/>
    <x v="14"/>
  </r>
  <r>
    <n v="17"/>
    <x v="1"/>
    <n v="1"/>
    <s v="Wed"/>
    <b v="0"/>
    <d v="1899-12-30T10:30:00"/>
    <d v="1899-12-30T13:27:00"/>
    <n v="177"/>
    <b v="1"/>
    <b v="1"/>
    <x v="1"/>
    <x v="0"/>
    <n v="30"/>
    <x v="0"/>
    <n v="30"/>
    <x v="3"/>
    <n v="0.15"/>
    <n v="25.5"/>
    <s v="Weekdays only"/>
    <s v="Long Beach, CA"/>
    <n v="33.770099999999999"/>
    <n v="-118.19370000000001"/>
    <d v="2025-05-05T00:00:00"/>
    <n v="6"/>
    <x v="1"/>
    <x v="24"/>
  </r>
  <r>
    <n v="19"/>
    <x v="2"/>
    <n v="2"/>
    <s v="Fri, Sat"/>
    <b v="1"/>
    <d v="1899-12-30T20:23:00"/>
    <d v="1899-12-30T21:49:00"/>
    <n v="86"/>
    <b v="0"/>
    <b v="1"/>
    <x v="0"/>
    <x v="0"/>
    <n v="20"/>
    <x v="1"/>
    <n v="15"/>
    <x v="2"/>
    <n v="0.1"/>
    <n v="13.5"/>
    <s v="Off-peak only"/>
    <s v="San Diego, CA"/>
    <n v="32.715699999999998"/>
    <n v="-117.1611"/>
    <d v="2024-07-11T00:00:00"/>
    <n v="7"/>
    <x v="1"/>
    <x v="39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4-05-05T00:00:00"/>
    <n v="7"/>
    <x v="1"/>
    <x v="40"/>
  </r>
  <r>
    <n v="18"/>
    <x v="0"/>
    <n v="4"/>
    <s v="Sun, Thu, Tue, Wed"/>
    <b v="0"/>
    <d v="1899-12-30T11:23:00"/>
    <d v="1899-12-30T14:03:00"/>
    <n v="160"/>
    <b v="1"/>
    <b v="0"/>
    <x v="0"/>
    <x v="2"/>
    <n v="50"/>
    <x v="1"/>
    <n v="37.5"/>
    <x v="1"/>
    <n v="0"/>
    <n v="37.5"/>
    <s v="All hours"/>
    <s v="Fresno, CA"/>
    <n v="36.7378"/>
    <n v="-119.7871"/>
    <d v="2024-09-07T00:00:00"/>
    <n v="0"/>
    <x v="0"/>
    <x v="41"/>
  </r>
  <r>
    <n v="38"/>
    <x v="1"/>
    <n v="1"/>
    <s v="Tue"/>
    <b v="1"/>
    <d v="1899-12-30T12:52:00"/>
    <d v="1899-12-30T15:23:00"/>
    <n v="151"/>
    <b v="1"/>
    <b v="0"/>
    <x v="0"/>
    <x v="0"/>
    <n v="30"/>
    <x v="1"/>
    <n v="22.5"/>
    <x v="0"/>
    <n v="0.05"/>
    <n v="21.375"/>
    <s v="Weekdays only"/>
    <s v="San Diego, CA"/>
    <n v="32.715699999999998"/>
    <n v="-117.1611"/>
    <d v="2023-01-22T00:00:00"/>
    <n v="0"/>
    <x v="1"/>
    <x v="11"/>
  </r>
  <r>
    <n v="36"/>
    <x v="0"/>
    <n v="1"/>
    <s v="Sun"/>
    <b v="0"/>
    <d v="1899-12-30T19:20:00"/>
    <d v="1899-12-30T21:58:00"/>
    <n v="158"/>
    <b v="1"/>
    <b v="0"/>
    <x v="0"/>
    <x v="3"/>
    <n v="50"/>
    <x v="1"/>
    <n v="37.5"/>
    <x v="1"/>
    <n v="0"/>
    <n v="37.5"/>
    <s v="All hours"/>
    <s v="Bakersfield, CA"/>
    <n v="35.3733"/>
    <n v="-119.0187"/>
    <d v="2024-06-08T00:00:00"/>
    <n v="0"/>
    <x v="0"/>
    <x v="20"/>
  </r>
  <r>
    <n v="48"/>
    <x v="2"/>
    <n v="1"/>
    <s v="Wed"/>
    <b v="1"/>
    <d v="1899-12-30T14:44:00"/>
    <d v="1899-12-30T17:01:00"/>
    <n v="137"/>
    <b v="0"/>
    <b v="1"/>
    <x v="0"/>
    <x v="0"/>
    <n v="20"/>
    <x v="2"/>
    <n v="18"/>
    <x v="0"/>
    <n v="0.05"/>
    <n v="17.100000000000001"/>
    <s v="Off-peak only"/>
    <s v="Long Beach, CA"/>
    <n v="33.770099999999999"/>
    <n v="-118.19370000000001"/>
    <d v="2024-08-27T00:00:00"/>
    <n v="2"/>
    <x v="1"/>
    <x v="41"/>
  </r>
  <r>
    <n v="14"/>
    <x v="0"/>
    <n v="1"/>
    <s v="Mon"/>
    <b v="1"/>
    <d v="1899-12-30T11:56:00"/>
    <d v="1899-12-30T13:37:00"/>
    <n v="10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3-11-23T00:00:00"/>
    <n v="0"/>
    <x v="0"/>
    <x v="35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5-01-23T00:00:00"/>
    <n v="0"/>
    <x v="0"/>
    <x v="19"/>
  </r>
  <r>
    <n v="43"/>
    <x v="1"/>
    <n v="4"/>
    <s v="Mon, Sat, Tue, Wed"/>
    <b v="1"/>
    <d v="1899-12-30T10:38:00"/>
    <d v="1899-12-30T11:41:00"/>
    <n v="63"/>
    <b v="1"/>
    <b v="1"/>
    <x v="1"/>
    <x v="0"/>
    <n v="30"/>
    <x v="1"/>
    <n v="22.5"/>
    <x v="0"/>
    <n v="0.05"/>
    <n v="21.375"/>
    <s v="Weekdays only"/>
    <s v="Bakersfield, CA"/>
    <n v="35.3733"/>
    <n v="-119.0187"/>
    <d v="2023-02-19T00:00:00"/>
    <n v="8"/>
    <x v="1"/>
    <x v="26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5-04-04T00:00:00"/>
    <n v="8"/>
    <x v="0"/>
    <x v="42"/>
  </r>
  <r>
    <n v="15"/>
    <x v="1"/>
    <n v="4"/>
    <s v="Fri, Sat, Sun, Wed"/>
    <b v="0"/>
    <d v="1899-12-30T14:06:00"/>
    <d v="1899-12-30T15:54:00"/>
    <n v="108"/>
    <b v="1"/>
    <b v="0"/>
    <x v="1"/>
    <x v="0"/>
    <n v="30"/>
    <x v="0"/>
    <n v="30"/>
    <x v="1"/>
    <n v="0"/>
    <n v="30"/>
    <s v="Weekdays only"/>
    <s v="Oakland, CA"/>
    <n v="37.804400000000001"/>
    <n v="-122.27119999999999"/>
    <d v="2022-08-06T00:00:00"/>
    <n v="0"/>
    <x v="0"/>
    <x v="43"/>
  </r>
  <r>
    <n v="19"/>
    <x v="0"/>
    <n v="3"/>
    <s v="Fri, Sun, Wed"/>
    <b v="1"/>
    <d v="1899-12-30T15:01:00"/>
    <d v="1899-12-30T16:59:00"/>
    <n v="118"/>
    <b v="1"/>
    <b v="0"/>
    <x v="0"/>
    <x v="0"/>
    <n v="50"/>
    <x v="1"/>
    <n v="37.5"/>
    <x v="0"/>
    <n v="0.05"/>
    <n v="35.625"/>
    <s v="All hours"/>
    <s v="San Diego, CA"/>
    <n v="32.715699999999998"/>
    <n v="-117.1611"/>
    <d v="2023-03-23T00:00:00"/>
    <n v="0"/>
    <x v="0"/>
    <x v="36"/>
  </r>
  <r>
    <n v="38"/>
    <x v="1"/>
    <n v="3"/>
    <s v="Sat, Sun, Wed"/>
    <b v="1"/>
    <d v="1899-12-30T13:20:00"/>
    <d v="1899-12-30T14:42:00"/>
    <n v="82"/>
    <b v="0"/>
    <b v="0"/>
    <x v="0"/>
    <x v="1"/>
    <n v="30"/>
    <x v="2"/>
    <n v="27"/>
    <x v="1"/>
    <n v="0"/>
    <n v="27"/>
    <s v="Weekdays only"/>
    <s v="San Diego, CA"/>
    <n v="32.715699999999998"/>
    <n v="-117.1611"/>
    <d v="2024-11-23T00:00:00"/>
    <n v="0"/>
    <x v="0"/>
    <x v="14"/>
  </r>
  <r>
    <n v="42"/>
    <x v="2"/>
    <n v="2"/>
    <s v="Fri, Mon"/>
    <b v="0"/>
    <d v="1899-12-30T18:22:00"/>
    <d v="1899-12-30T20:18:00"/>
    <n v="116"/>
    <b v="1"/>
    <b v="1"/>
    <x v="0"/>
    <x v="2"/>
    <n v="20"/>
    <x v="0"/>
    <n v="20"/>
    <x v="0"/>
    <n v="0.05"/>
    <n v="19"/>
    <s v="Off-peak only"/>
    <s v="Fresno, CA"/>
    <n v="36.7378"/>
    <n v="-119.7871"/>
    <d v="2025-06-17T00:00:00"/>
    <n v="3"/>
    <x v="1"/>
    <x v="44"/>
  </r>
  <r>
    <n v="48"/>
    <x v="2"/>
    <n v="3"/>
    <s v="Fri, Sat, Thu"/>
    <b v="1"/>
    <d v="1899-12-30T15:30:00"/>
    <d v="1899-12-30T16:26:00"/>
    <n v="56"/>
    <b v="1"/>
    <b v="1"/>
    <x v="0"/>
    <x v="0"/>
    <n v="20"/>
    <x v="1"/>
    <n v="15"/>
    <x v="1"/>
    <n v="0"/>
    <n v="15"/>
    <s v="Off-peak only"/>
    <s v="Long Beach, CA"/>
    <n v="33.770099999999999"/>
    <n v="-118.19370000000001"/>
    <d v="2023-02-05T00:00:00"/>
    <n v="4"/>
    <x v="1"/>
    <x v="26"/>
  </r>
  <r>
    <n v="49"/>
    <x v="0"/>
    <n v="1"/>
    <s v="Tue"/>
    <b v="1"/>
    <d v="1899-12-30T16:18:00"/>
    <d v="1899-12-30T17:35:00"/>
    <n v="77"/>
    <b v="1"/>
    <b v="0"/>
    <x v="0"/>
    <x v="0"/>
    <n v="50"/>
    <x v="0"/>
    <n v="50"/>
    <x v="1"/>
    <n v="0"/>
    <n v="50"/>
    <s v="All hours"/>
    <s v="San Jose, CA"/>
    <n v="37.338200000000001"/>
    <n v="-121.88630000000001"/>
    <d v="2023-06-01T00:00:00"/>
    <n v="0"/>
    <x v="1"/>
    <x v="8"/>
  </r>
  <r>
    <n v="34"/>
    <x v="2"/>
    <n v="2"/>
    <s v="Mon, Sun"/>
    <b v="0"/>
    <d v="1899-12-30T19:17:00"/>
    <d v="1899-12-30T20:30:00"/>
    <n v="73"/>
    <b v="0"/>
    <b v="1"/>
    <x v="1"/>
    <x v="0"/>
    <n v="20"/>
    <x v="0"/>
    <n v="20"/>
    <x v="1"/>
    <n v="0"/>
    <n v="20"/>
    <s v="Off-peak only"/>
    <s v="Bakersfield, CA"/>
    <n v="35.3733"/>
    <n v="-119.0187"/>
    <d v="2023-05-08T00:00:00"/>
    <n v="8"/>
    <x v="1"/>
    <x v="2"/>
  </r>
  <r>
    <n v="14"/>
    <x v="3"/>
    <n v="5"/>
    <s v="Sat, Sun, Thu, Tue, Wed"/>
    <b v="1"/>
    <d v="1899-12-30T08:25:00"/>
    <d v="1899-12-30T10:08:00"/>
    <n v="103"/>
    <b v="0"/>
    <b v="1"/>
    <x v="1"/>
    <x v="0"/>
    <n v="70"/>
    <x v="0"/>
    <n v="70"/>
    <x v="2"/>
    <n v="0.1"/>
    <n v="63"/>
    <s v="All hours + Priority access"/>
    <s v="Oakland, CA"/>
    <n v="37.804400000000001"/>
    <n v="-122.27119999999999"/>
    <d v="2023-03-24T00:00:00"/>
    <n v="7"/>
    <x v="0"/>
    <x v="36"/>
  </r>
  <r>
    <n v="36"/>
    <x v="3"/>
    <n v="4"/>
    <s v="Mon, Thu, Tue, Wed"/>
    <b v="1"/>
    <d v="1899-12-30T17:28:00"/>
    <d v="1899-12-30T18:29:00"/>
    <n v="61"/>
    <b v="0"/>
    <b v="0"/>
    <x v="0"/>
    <x v="0"/>
    <n v="70"/>
    <x v="0"/>
    <n v="70"/>
    <x v="1"/>
    <n v="0"/>
    <n v="70"/>
    <s v="All hours + Priority access"/>
    <s v="San Diego, CA"/>
    <n v="32.715699999999998"/>
    <n v="-117.1611"/>
    <d v="2025-04-05T00:00:00"/>
    <n v="0"/>
    <x v="0"/>
    <x v="42"/>
  </r>
  <r>
    <n v="41"/>
    <x v="1"/>
    <n v="2"/>
    <s v="Sun, Tue"/>
    <b v="0"/>
    <d v="1899-12-30T13:55:00"/>
    <d v="1899-12-30T16:22:00"/>
    <n v="147"/>
    <b v="0"/>
    <b v="0"/>
    <x v="1"/>
    <x v="0"/>
    <n v="30"/>
    <x v="0"/>
    <n v="30"/>
    <x v="3"/>
    <n v="0.15"/>
    <n v="25.5"/>
    <s v="Weekdays only"/>
    <s v="Long Beach, CA"/>
    <n v="33.770099999999999"/>
    <n v="-118.19370000000001"/>
    <d v="2024-06-06T00:00:00"/>
    <n v="0"/>
    <x v="1"/>
    <x v="20"/>
  </r>
  <r>
    <n v="14"/>
    <x v="3"/>
    <n v="2"/>
    <s v="Mon, Tue"/>
    <b v="0"/>
    <d v="1899-12-30T13:53:00"/>
    <d v="1899-12-30T16:06:00"/>
    <n v="133"/>
    <b v="1"/>
    <b v="1"/>
    <x v="0"/>
    <x v="1"/>
    <n v="70"/>
    <x v="0"/>
    <n v="70"/>
    <x v="0"/>
    <n v="0.05"/>
    <n v="66.5"/>
    <s v="All hours + Priority access"/>
    <s v="Fresno, CA"/>
    <n v="36.7378"/>
    <n v="-119.7871"/>
    <d v="2025-02-19T00:00:00"/>
    <n v="8"/>
    <x v="0"/>
    <x v="45"/>
  </r>
  <r>
    <n v="35"/>
    <x v="1"/>
    <n v="1"/>
    <s v="Fri"/>
    <b v="1"/>
    <d v="1899-12-30T13:12:00"/>
    <d v="1899-12-30T14:54:00"/>
    <n v="102"/>
    <b v="1"/>
    <b v="1"/>
    <x v="0"/>
    <x v="1"/>
    <n v="30"/>
    <x v="0"/>
    <n v="30"/>
    <x v="1"/>
    <n v="0"/>
    <n v="30"/>
    <s v="Weekdays only"/>
    <s v="Long Beach, CA"/>
    <n v="33.770099999999999"/>
    <n v="-118.19370000000001"/>
    <d v="2022-12-16T00:00:00"/>
    <n v="7"/>
    <x v="1"/>
    <x v="6"/>
  </r>
  <r>
    <n v="23"/>
    <x v="3"/>
    <n v="1"/>
    <s v="Sun"/>
    <b v="1"/>
    <d v="1899-12-30T20:41:00"/>
    <d v="1899-12-30T23:00:00"/>
    <n v="139"/>
    <b v="0"/>
    <b v="1"/>
    <x v="0"/>
    <x v="2"/>
    <n v="70"/>
    <x v="0"/>
    <n v="70"/>
    <x v="1"/>
    <n v="0"/>
    <n v="70"/>
    <s v="All hours + Priority access"/>
    <s v="Long Beach, CA"/>
    <n v="33.770099999999999"/>
    <n v="-118.19370000000001"/>
    <d v="2023-08-29T00:00:00"/>
    <n v="5"/>
    <x v="0"/>
    <x v="46"/>
  </r>
  <r>
    <n v="20"/>
    <x v="1"/>
    <n v="3"/>
    <s v="Fri, Thu, Wed"/>
    <b v="0"/>
    <d v="1899-12-30T15:28:00"/>
    <d v="1899-12-30T17:58:00"/>
    <n v="150"/>
    <b v="1"/>
    <b v="0"/>
    <x v="1"/>
    <x v="4"/>
    <n v="30"/>
    <x v="2"/>
    <n v="27"/>
    <x v="3"/>
    <n v="0.15"/>
    <n v="22.95"/>
    <s v="Weekdays only"/>
    <s v="Fresno, CA"/>
    <n v="36.7378"/>
    <n v="-119.7871"/>
    <d v="2024-07-05T00:00:00"/>
    <n v="0"/>
    <x v="0"/>
    <x v="39"/>
  </r>
  <r>
    <n v="45"/>
    <x v="0"/>
    <n v="1"/>
    <s v="Mon"/>
    <b v="1"/>
    <d v="1899-12-30T09:31:00"/>
    <d v="1899-12-30T10:42:00"/>
    <n v="71"/>
    <b v="1"/>
    <b v="0"/>
    <x v="1"/>
    <x v="3"/>
    <n v="50"/>
    <x v="2"/>
    <n v="45"/>
    <x v="3"/>
    <n v="0.15"/>
    <n v="38.25"/>
    <s v="All hours"/>
    <s v="Bakersfield, CA"/>
    <n v="35.3733"/>
    <n v="-119.0187"/>
    <d v="2025-04-16T00:00:00"/>
    <n v="0"/>
    <x v="0"/>
    <x v="5"/>
  </r>
  <r>
    <n v="14"/>
    <x v="2"/>
    <n v="2"/>
    <s v="Sat, Sun"/>
    <b v="0"/>
    <d v="1899-12-30T10:09:00"/>
    <d v="1899-12-30T11:15:00"/>
    <n v="66"/>
    <b v="0"/>
    <b v="1"/>
    <x v="1"/>
    <x v="4"/>
    <n v="20"/>
    <x v="0"/>
    <n v="20"/>
    <x v="1"/>
    <n v="0"/>
    <n v="20"/>
    <s v="Off-peak only"/>
    <s v="San Francisco, CA"/>
    <n v="37.774900000000002"/>
    <n v="-122.4194"/>
    <d v="2024-07-26T00:00:00"/>
    <n v="2"/>
    <x v="0"/>
    <x v="15"/>
  </r>
  <r>
    <n v="21"/>
    <x v="0"/>
    <n v="2"/>
    <s v="Fri, Sat"/>
    <b v="1"/>
    <d v="1899-12-30T14:55:00"/>
    <d v="1899-12-30T15:28:00"/>
    <n v="33"/>
    <b v="1"/>
    <b v="1"/>
    <x v="0"/>
    <x v="4"/>
    <n v="50"/>
    <x v="0"/>
    <n v="50"/>
    <x v="0"/>
    <n v="0.05"/>
    <n v="47.5"/>
    <s v="All hours"/>
    <s v="San Jose, CA"/>
    <n v="37.338200000000001"/>
    <n v="-121.88630000000001"/>
    <d v="2024-07-11T00:00:00"/>
    <n v="2"/>
    <x v="0"/>
    <x v="39"/>
  </r>
  <r>
    <n v="19"/>
    <x v="0"/>
    <n v="2"/>
    <s v="Mon, Wed"/>
    <b v="1"/>
    <d v="1899-12-30T10:42:00"/>
    <d v="1899-12-30T13:29:00"/>
    <n v="167"/>
    <b v="0"/>
    <b v="1"/>
    <x v="0"/>
    <x v="0"/>
    <n v="50"/>
    <x v="0"/>
    <n v="50"/>
    <x v="2"/>
    <n v="0.1"/>
    <n v="45"/>
    <s v="All hours"/>
    <s v="Sacramento, CA"/>
    <n v="38.581600000000002"/>
    <n v="-121.4944"/>
    <d v="2023-05-07T00:00:00"/>
    <n v="4"/>
    <x v="0"/>
    <x v="2"/>
  </r>
  <r>
    <n v="24"/>
    <x v="3"/>
    <n v="4"/>
    <s v="Fri, Sat, Sun, Tue"/>
    <b v="0"/>
    <d v="1899-12-30T15:28:00"/>
    <d v="1899-12-30T16:34:00"/>
    <n v="66"/>
    <b v="0"/>
    <b v="1"/>
    <x v="0"/>
    <x v="0"/>
    <n v="70"/>
    <x v="0"/>
    <n v="70"/>
    <x v="2"/>
    <n v="0.1"/>
    <n v="63"/>
    <s v="All hours + Priority access"/>
    <s v="Fresno, CA"/>
    <n v="36.7378"/>
    <n v="-119.7871"/>
    <d v="2023-08-14T00:00:00"/>
    <n v="8"/>
    <x v="0"/>
    <x v="47"/>
  </r>
  <r>
    <n v="13"/>
    <x v="3"/>
    <n v="2"/>
    <s v="Mon, Tue"/>
    <b v="1"/>
    <d v="1899-12-30T20:56:00"/>
    <d v="1899-12-30T23:36:00"/>
    <n v="160"/>
    <b v="1"/>
    <b v="1"/>
    <x v="0"/>
    <x v="0"/>
    <n v="70"/>
    <x v="2"/>
    <n v="63"/>
    <x v="3"/>
    <n v="0.15"/>
    <n v="53.55"/>
    <s v="All hours + Priority access"/>
    <s v="Sacramento, CA"/>
    <n v="38.581600000000002"/>
    <n v="-121.4944"/>
    <d v="2022-11-21T00:00:00"/>
    <n v="8"/>
    <x v="0"/>
    <x v="37"/>
  </r>
  <r>
    <n v="46"/>
    <x v="1"/>
    <n v="3"/>
    <s v="Mon, Thu, Tue"/>
    <b v="1"/>
    <d v="1899-12-30T20:17:00"/>
    <d v="1899-12-30T21:11:00"/>
    <n v="54"/>
    <b v="0"/>
    <b v="0"/>
    <x v="1"/>
    <x v="1"/>
    <n v="30"/>
    <x v="0"/>
    <n v="30"/>
    <x v="2"/>
    <n v="0.1"/>
    <n v="27"/>
    <s v="Weekdays only"/>
    <s v="Oakland, CA"/>
    <n v="37.804400000000001"/>
    <n v="-122.27119999999999"/>
    <d v="2024-02-06T00:00:00"/>
    <n v="0"/>
    <x v="0"/>
    <x v="48"/>
  </r>
  <r>
    <n v="23"/>
    <x v="1"/>
    <n v="2"/>
    <s v="Mon, Wed"/>
    <b v="1"/>
    <d v="1899-12-30T18:01:00"/>
    <d v="1899-12-30T19:30:00"/>
    <n v="89"/>
    <b v="0"/>
    <b v="1"/>
    <x v="1"/>
    <x v="1"/>
    <n v="30"/>
    <x v="0"/>
    <n v="30"/>
    <x v="1"/>
    <n v="0"/>
    <n v="30"/>
    <s v="Weekdays only"/>
    <s v="Oakland, CA"/>
    <n v="37.804400000000001"/>
    <n v="-122.27119999999999"/>
    <d v="2025-02-15T00:00:00"/>
    <n v="6"/>
    <x v="0"/>
    <x v="30"/>
  </r>
  <r>
    <n v="18"/>
    <x v="1"/>
    <n v="2"/>
    <s v="Thu, Tue"/>
    <b v="0"/>
    <d v="1899-12-30T16:41:00"/>
    <d v="1899-12-30T19:00:00"/>
    <n v="139"/>
    <b v="1"/>
    <b v="0"/>
    <x v="0"/>
    <x v="4"/>
    <n v="30"/>
    <x v="1"/>
    <n v="22.5"/>
    <x v="1"/>
    <n v="0"/>
    <n v="22.5"/>
    <s v="Weekdays only"/>
    <s v="Bakersfield, CA"/>
    <n v="35.3733"/>
    <n v="-119.0187"/>
    <d v="2023-05-25T00:00:00"/>
    <n v="0"/>
    <x v="1"/>
    <x v="8"/>
  </r>
  <r>
    <n v="19"/>
    <x v="2"/>
    <n v="3"/>
    <s v="Fri, Thu, Tue"/>
    <b v="0"/>
    <d v="1899-12-30T10:58:00"/>
    <d v="1899-12-30T12:22:00"/>
    <n v="84"/>
    <b v="0"/>
    <b v="1"/>
    <x v="1"/>
    <x v="1"/>
    <n v="20"/>
    <x v="1"/>
    <n v="15"/>
    <x v="3"/>
    <n v="0.15"/>
    <n v="12.75"/>
    <s v="Off-peak only"/>
    <s v="Sacramento, CA"/>
    <n v="38.581600000000002"/>
    <n v="-121.4944"/>
    <d v="2023-04-04T00:00:00"/>
    <n v="1"/>
    <x v="0"/>
    <x v="49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3-11-03T00:00:00"/>
    <n v="5"/>
    <x v="1"/>
    <x v="50"/>
  </r>
  <r>
    <n v="45"/>
    <x v="1"/>
    <n v="2"/>
    <s v="Mon, Wed"/>
    <b v="1"/>
    <d v="1899-12-30T14:20:00"/>
    <d v="1899-12-30T17:20:00"/>
    <n v="180"/>
    <b v="1"/>
    <b v="1"/>
    <x v="1"/>
    <x v="4"/>
    <n v="30"/>
    <x v="1"/>
    <n v="22.5"/>
    <x v="2"/>
    <n v="0.1"/>
    <n v="20.25"/>
    <s v="Weekdays only"/>
    <s v="Anaheim, CA"/>
    <n v="33.836599999999997"/>
    <n v="-117.9143"/>
    <d v="2023-03-24T00:00:00"/>
    <n v="2"/>
    <x v="0"/>
    <x v="36"/>
  </r>
  <r>
    <n v="17"/>
    <x v="3"/>
    <n v="2"/>
    <s v="Fri, Sun"/>
    <b v="1"/>
    <d v="1899-12-30T20:55:00"/>
    <d v="1899-12-30T22:18:00"/>
    <n v="83"/>
    <b v="1"/>
    <b v="0"/>
    <x v="0"/>
    <x v="0"/>
    <n v="70"/>
    <x v="2"/>
    <n v="63"/>
    <x v="3"/>
    <n v="0.15"/>
    <n v="53.55"/>
    <s v="All hours + Priority access"/>
    <s v="Sacramento, CA"/>
    <n v="38.581600000000002"/>
    <n v="-121.4944"/>
    <d v="2024-01-14T00:00:00"/>
    <n v="0"/>
    <x v="0"/>
    <x v="31"/>
  </r>
  <r>
    <n v="20"/>
    <x v="0"/>
    <n v="2"/>
    <s v="Fri, Sat"/>
    <b v="0"/>
    <d v="1899-12-30T18:54:00"/>
    <d v="1899-12-30T19:37:00"/>
    <n v="43"/>
    <b v="1"/>
    <b v="1"/>
    <x v="1"/>
    <x v="0"/>
    <n v="50"/>
    <x v="0"/>
    <n v="50"/>
    <x v="3"/>
    <n v="0.15"/>
    <n v="42.5"/>
    <s v="All hours"/>
    <s v="Oakland, CA"/>
    <n v="37.804400000000001"/>
    <n v="-122.27119999999999"/>
    <d v="2023-12-14T00:00:00"/>
    <n v="5"/>
    <x v="0"/>
    <x v="16"/>
  </r>
  <r>
    <n v="41"/>
    <x v="0"/>
    <n v="5"/>
    <s v="Fri, Sat, Thu, Tue, Wed"/>
    <b v="0"/>
    <d v="1899-12-30T13:53:00"/>
    <d v="1899-12-30T16:05:00"/>
    <n v="132"/>
    <b v="0"/>
    <b v="0"/>
    <x v="1"/>
    <x v="4"/>
    <n v="50"/>
    <x v="0"/>
    <n v="50"/>
    <x v="1"/>
    <n v="0"/>
    <n v="50"/>
    <s v="All hours"/>
    <s v="San Francisco, CA"/>
    <n v="37.774900000000002"/>
    <n v="-122.4194"/>
    <d v="2024-03-24T00:00:00"/>
    <n v="0"/>
    <x v="0"/>
    <x v="17"/>
  </r>
  <r>
    <n v="36"/>
    <x v="0"/>
    <n v="1"/>
    <s v="Sun"/>
    <b v="0"/>
    <d v="1899-12-30T19:20:00"/>
    <d v="1899-12-30T21:58:00"/>
    <n v="158"/>
    <b v="1"/>
    <b v="0"/>
    <x v="0"/>
    <x v="3"/>
    <n v="50"/>
    <x v="1"/>
    <n v="37.5"/>
    <x v="1"/>
    <n v="0"/>
    <n v="37.5"/>
    <s v="All hours"/>
    <s v="Bakersfield, CA"/>
    <n v="35.3733"/>
    <n v="-119.0187"/>
    <d v="2025-05-26T00:00:00"/>
    <n v="0"/>
    <x v="0"/>
    <x v="9"/>
  </r>
  <r>
    <n v="46"/>
    <x v="0"/>
    <n v="5"/>
    <s v="Mon, Sat, Thu, Tue, Wed"/>
    <b v="0"/>
    <d v="1899-12-30T20:46:00"/>
    <d v="1899-12-30T22:09:00"/>
    <n v="83"/>
    <b v="1"/>
    <b v="1"/>
    <x v="1"/>
    <x v="4"/>
    <n v="50"/>
    <x v="1"/>
    <n v="37.5"/>
    <x v="3"/>
    <n v="0.15"/>
    <n v="31.875"/>
    <s v="All hours"/>
    <s v="Bakersfield, CA"/>
    <n v="35.3733"/>
    <n v="-119.0187"/>
    <d v="2025-02-28T00:00:00"/>
    <n v="2"/>
    <x v="0"/>
    <x v="45"/>
  </r>
  <r>
    <n v="42"/>
    <x v="0"/>
    <n v="4"/>
    <s v="Fri, Mon, Thu, Tue"/>
    <b v="1"/>
    <d v="1899-12-30T09:55:00"/>
    <d v="1899-12-30T10:59:00"/>
    <n v="64"/>
    <b v="0"/>
    <b v="0"/>
    <x v="1"/>
    <x v="0"/>
    <n v="50"/>
    <x v="1"/>
    <n v="37.5"/>
    <x v="0"/>
    <n v="0.05"/>
    <n v="35.625"/>
    <s v="All hours"/>
    <s v="San Jose, CA"/>
    <n v="37.338200000000001"/>
    <n v="-121.88630000000001"/>
    <d v="2025-05-20T00:00:00"/>
    <n v="0"/>
    <x v="0"/>
    <x v="9"/>
  </r>
  <r>
    <n v="22"/>
    <x v="0"/>
    <n v="5"/>
    <s v="Fri, Mon, Sun, Tue, Wed"/>
    <b v="0"/>
    <d v="1899-12-30T13:50:00"/>
    <d v="1899-12-30T15:37:00"/>
    <n v="107"/>
    <b v="0"/>
    <b v="0"/>
    <x v="0"/>
    <x v="1"/>
    <n v="50"/>
    <x v="0"/>
    <n v="50"/>
    <x v="2"/>
    <n v="0.1"/>
    <n v="45"/>
    <s v="All hours"/>
    <s v="San Diego, CA"/>
    <n v="32.715699999999998"/>
    <n v="-117.1611"/>
    <d v="2023-08-15T00:00:00"/>
    <n v="0"/>
    <x v="1"/>
    <x v="47"/>
  </r>
  <r>
    <n v="20"/>
    <x v="2"/>
    <n v="3"/>
    <s v="Mon, Sat, Tue"/>
    <b v="1"/>
    <d v="1899-12-30T08:53:00"/>
    <d v="1899-12-30T11:11:00"/>
    <n v="138"/>
    <b v="0"/>
    <b v="1"/>
    <x v="1"/>
    <x v="0"/>
    <n v="20"/>
    <x v="0"/>
    <n v="20"/>
    <x v="0"/>
    <n v="0.05"/>
    <n v="19"/>
    <s v="Off-peak only"/>
    <s v="Fresno, CA"/>
    <n v="36.7378"/>
    <n v="-119.7871"/>
    <d v="2024-07-23T00:00:00"/>
    <n v="5"/>
    <x v="1"/>
    <x v="15"/>
  </r>
  <r>
    <n v="19"/>
    <x v="1"/>
    <n v="3"/>
    <s v="Sat, Tue, Wed"/>
    <b v="1"/>
    <d v="1899-12-30T10:33:00"/>
    <d v="1899-12-30T11:32:00"/>
    <n v="59"/>
    <b v="0"/>
    <b v="0"/>
    <x v="0"/>
    <x v="4"/>
    <n v="30"/>
    <x v="0"/>
    <n v="30"/>
    <x v="1"/>
    <n v="0"/>
    <n v="30"/>
    <s v="Weekdays only"/>
    <s v="Sacramento, CA"/>
    <n v="38.581600000000002"/>
    <n v="-121.4944"/>
    <d v="2023-12-29T00:00:00"/>
    <n v="0"/>
    <x v="1"/>
    <x v="23"/>
  </r>
  <r>
    <n v="37"/>
    <x v="1"/>
    <n v="1"/>
    <s v="Sat"/>
    <b v="1"/>
    <d v="1899-12-30T08:37:00"/>
    <d v="1899-12-30T10:12:00"/>
    <n v="95"/>
    <b v="1"/>
    <b v="1"/>
    <x v="0"/>
    <x v="1"/>
    <n v="30"/>
    <x v="0"/>
    <n v="30"/>
    <x v="3"/>
    <n v="0.15"/>
    <n v="25.5"/>
    <s v="Weekdays only"/>
    <s v="Anaheim, CA"/>
    <n v="33.836599999999997"/>
    <n v="-117.9143"/>
    <d v="2022-10-30T00:00:00"/>
    <n v="3"/>
    <x v="1"/>
    <x v="32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4-09-30T00:00:00"/>
    <n v="7"/>
    <x v="1"/>
    <x v="51"/>
  </r>
  <r>
    <n v="13"/>
    <x v="3"/>
    <n v="5"/>
    <s v="Fri, Mon, Sat, Sun, Thu"/>
    <b v="1"/>
    <d v="1899-12-30T17:13:00"/>
    <d v="1899-12-30T19:00:00"/>
    <n v="107"/>
    <b v="0"/>
    <b v="0"/>
    <x v="0"/>
    <x v="0"/>
    <n v="70"/>
    <x v="0"/>
    <n v="70"/>
    <x v="1"/>
    <n v="0"/>
    <n v="70"/>
    <s v="All hours + Priority access"/>
    <s v="Bakersfield, CA"/>
    <n v="35.3733"/>
    <n v="-119.0187"/>
    <d v="2024-04-11T00:00:00"/>
    <n v="0"/>
    <x v="1"/>
    <x v="52"/>
  </r>
  <r>
    <n v="30"/>
    <x v="1"/>
    <n v="3"/>
    <s v="Fri, Thu, Tue"/>
    <b v="0"/>
    <d v="1899-12-30T08:05:00"/>
    <d v="1899-12-30T09:06:00"/>
    <n v="61"/>
    <b v="1"/>
    <b v="1"/>
    <x v="0"/>
    <x v="2"/>
    <n v="30"/>
    <x v="1"/>
    <n v="22.5"/>
    <x v="0"/>
    <n v="0.05"/>
    <n v="21.375"/>
    <s v="Weekdays only"/>
    <s v="Long Beach, CA"/>
    <n v="33.770099999999999"/>
    <n v="-118.19370000000001"/>
    <d v="2023-04-10T00:00:00"/>
    <n v="2"/>
    <x v="1"/>
    <x v="49"/>
  </r>
  <r>
    <n v="16"/>
    <x v="2"/>
    <n v="2"/>
    <s v="Sat, Sun"/>
    <b v="0"/>
    <d v="1899-12-30T11:29:00"/>
    <d v="1899-12-30T13:03:00"/>
    <n v="94"/>
    <b v="1"/>
    <b v="0"/>
    <x v="1"/>
    <x v="4"/>
    <n v="20"/>
    <x v="1"/>
    <n v="15"/>
    <x v="1"/>
    <n v="0"/>
    <n v="15"/>
    <s v="Off-peak only"/>
    <s v="San Francisco, CA"/>
    <n v="37.774900000000002"/>
    <n v="-122.4194"/>
    <d v="2024-10-22T00:00:00"/>
    <n v="0"/>
    <x v="1"/>
    <x v="53"/>
  </r>
  <r>
    <n v="24"/>
    <x v="0"/>
    <n v="4"/>
    <s v="Mon, Sat, Sun, Thu"/>
    <b v="0"/>
    <d v="1899-12-30T17:17:00"/>
    <d v="1899-12-30T20:05:00"/>
    <n v="168"/>
    <b v="1"/>
    <b v="0"/>
    <x v="0"/>
    <x v="4"/>
    <n v="50"/>
    <x v="0"/>
    <n v="50"/>
    <x v="3"/>
    <n v="0.15"/>
    <n v="42.5"/>
    <s v="All hours"/>
    <s v="Long Beach, CA"/>
    <n v="33.770099999999999"/>
    <n v="-118.19370000000001"/>
    <d v="2025-04-02T00:00:00"/>
    <n v="0"/>
    <x v="0"/>
    <x v="42"/>
  </r>
  <r>
    <n v="13"/>
    <x v="1"/>
    <n v="3"/>
    <s v="Mon, Tue, Wed"/>
    <b v="0"/>
    <d v="1899-12-30T13:36:00"/>
    <d v="1899-12-30T14:08:00"/>
    <n v="32"/>
    <b v="0"/>
    <b v="1"/>
    <x v="0"/>
    <x v="0"/>
    <n v="30"/>
    <x v="0"/>
    <n v="30"/>
    <x v="1"/>
    <n v="0"/>
    <n v="30"/>
    <s v="Weekdays only"/>
    <s v="Oakland, CA"/>
    <n v="37.804400000000001"/>
    <n v="-122.27119999999999"/>
    <d v="2024-08-18T00:00:00"/>
    <n v="5"/>
    <x v="1"/>
    <x v="18"/>
  </r>
  <r>
    <n v="17"/>
    <x v="0"/>
    <n v="5"/>
    <s v="Fri, Mon, Sat, Sun, Wed"/>
    <b v="1"/>
    <d v="1899-12-30T13:50:00"/>
    <d v="1899-12-30T14:29:00"/>
    <n v="39"/>
    <b v="1"/>
    <b v="1"/>
    <x v="1"/>
    <x v="4"/>
    <n v="50"/>
    <x v="2"/>
    <n v="45"/>
    <x v="3"/>
    <n v="0.15"/>
    <n v="38.25"/>
    <s v="All hours"/>
    <s v="Sacramento, CA"/>
    <n v="38.581600000000002"/>
    <n v="-121.4944"/>
    <d v="2025-01-02T00:00:00"/>
    <n v="8"/>
    <x v="0"/>
    <x v="4"/>
  </r>
  <r>
    <n v="39"/>
    <x v="3"/>
    <n v="2"/>
    <s v="Sun, Thu"/>
    <b v="0"/>
    <d v="1899-12-30T12:53:00"/>
    <d v="1899-12-30T14:54:00"/>
    <n v="121"/>
    <b v="0"/>
    <b v="1"/>
    <x v="0"/>
    <x v="4"/>
    <n v="70"/>
    <x v="0"/>
    <n v="70"/>
    <x v="1"/>
    <n v="0"/>
    <n v="70"/>
    <s v="All hours + Priority access"/>
    <s v="Los Angeles, CA"/>
    <n v="34.052199999999999"/>
    <n v="-118.2437"/>
    <d v="2022-10-06T00:00:00"/>
    <n v="1"/>
    <x v="0"/>
    <x v="38"/>
  </r>
  <r>
    <n v="26"/>
    <x v="0"/>
    <n v="5"/>
    <s v="Fri, Sat, Sun, Tue, Wed"/>
    <b v="1"/>
    <d v="1899-12-30T15:57:00"/>
    <d v="1899-12-30T17:38:00"/>
    <n v="101"/>
    <b v="0"/>
    <b v="0"/>
    <x v="1"/>
    <x v="0"/>
    <n v="50"/>
    <x v="0"/>
    <n v="50"/>
    <x v="2"/>
    <n v="0.1"/>
    <n v="45"/>
    <s v="All hours"/>
    <s v="Oakland, CA"/>
    <n v="37.804400000000001"/>
    <n v="-122.27119999999999"/>
    <d v="2023-02-13T00:00:00"/>
    <n v="0"/>
    <x v="0"/>
    <x v="26"/>
  </r>
  <r>
    <n v="31"/>
    <x v="2"/>
    <n v="2"/>
    <s v="Mon, Wed"/>
    <b v="0"/>
    <d v="1899-12-30T13:48:00"/>
    <d v="1899-12-30T16:42:00"/>
    <n v="174"/>
    <b v="0"/>
    <b v="0"/>
    <x v="0"/>
    <x v="0"/>
    <n v="20"/>
    <x v="0"/>
    <n v="20"/>
    <x v="1"/>
    <n v="0"/>
    <n v="20"/>
    <s v="Off-peak only"/>
    <s v="Sacramento, CA"/>
    <n v="38.581600000000002"/>
    <n v="-121.4944"/>
    <d v="2023-08-18T00:00:00"/>
    <n v="0"/>
    <x v="1"/>
    <x v="47"/>
  </r>
  <r>
    <n v="42"/>
    <x v="2"/>
    <n v="3"/>
    <s v="Sun, Thu, Wed"/>
    <b v="0"/>
    <d v="1899-12-30T13:32:00"/>
    <d v="1899-12-30T14:56:00"/>
    <n v="84"/>
    <b v="0"/>
    <b v="1"/>
    <x v="1"/>
    <x v="4"/>
    <n v="20"/>
    <x v="0"/>
    <n v="20"/>
    <x v="2"/>
    <n v="0.1"/>
    <n v="18"/>
    <s v="Off-peak only"/>
    <s v="Anaheim, CA"/>
    <n v="33.836599999999997"/>
    <n v="-117.9143"/>
    <d v="2022-12-07T00:00:00"/>
    <n v="3"/>
    <x v="0"/>
    <x v="54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3-02-18T00:00:00"/>
    <n v="0"/>
    <x v="0"/>
    <x v="26"/>
  </r>
  <r>
    <n v="40"/>
    <x v="0"/>
    <n v="3"/>
    <s v="Mon, Thu, Tue"/>
    <b v="0"/>
    <d v="1899-12-30T19:38:00"/>
    <d v="1899-12-30T21:10:00"/>
    <n v="92"/>
    <b v="1"/>
    <b v="1"/>
    <x v="1"/>
    <x v="0"/>
    <n v="50"/>
    <x v="0"/>
    <n v="50"/>
    <x v="1"/>
    <n v="0"/>
    <n v="50"/>
    <s v="All hours"/>
    <s v="Long Beach, CA"/>
    <n v="33.770099999999999"/>
    <n v="-118.19370000000001"/>
    <d v="2024-12-06T00:00:00"/>
    <n v="3"/>
    <x v="0"/>
    <x v="14"/>
  </r>
  <r>
    <n v="27"/>
    <x v="0"/>
    <n v="2"/>
    <s v="Thu, Wed"/>
    <b v="0"/>
    <d v="1899-12-30T20:44:00"/>
    <d v="1899-12-30T21:57:00"/>
    <n v="73"/>
    <b v="0"/>
    <b v="1"/>
    <x v="1"/>
    <x v="0"/>
    <n v="50"/>
    <x v="0"/>
    <n v="50"/>
    <x v="1"/>
    <n v="0"/>
    <n v="50"/>
    <s v="All hours"/>
    <s v="Sacramento, CA"/>
    <n v="38.581600000000002"/>
    <n v="-121.4944"/>
    <d v="2022-11-15T00:00:00"/>
    <n v="1"/>
    <x v="0"/>
    <x v="37"/>
  </r>
  <r>
    <n v="24"/>
    <x v="2"/>
    <n v="4"/>
    <s v="Mon, Sat, Sun, Thu"/>
    <b v="1"/>
    <d v="1899-12-30T11:43:00"/>
    <d v="1899-12-30T12:27:00"/>
    <n v="44"/>
    <b v="1"/>
    <b v="0"/>
    <x v="0"/>
    <x v="4"/>
    <n v="20"/>
    <x v="0"/>
    <n v="20"/>
    <x v="1"/>
    <n v="0"/>
    <n v="20"/>
    <s v="Off-peak only"/>
    <s v="San Jose, CA"/>
    <n v="37.338200000000001"/>
    <n v="-121.88630000000001"/>
    <d v="2023-11-26T00:00:00"/>
    <n v="0"/>
    <x v="1"/>
    <x v="35"/>
  </r>
  <r>
    <n v="23"/>
    <x v="2"/>
    <n v="2"/>
    <s v="Fri, Sat"/>
    <b v="0"/>
    <d v="1899-12-30T20:18:00"/>
    <d v="1899-12-30T20:55:00"/>
    <n v="37"/>
    <b v="0"/>
    <b v="1"/>
    <x v="0"/>
    <x v="1"/>
    <n v="20"/>
    <x v="1"/>
    <n v="15"/>
    <x v="1"/>
    <n v="0"/>
    <n v="15"/>
    <s v="Off-peak only"/>
    <s v="Fresno, CA"/>
    <n v="36.7378"/>
    <n v="-119.7871"/>
    <d v="2023-02-14T00:00:00"/>
    <n v="5"/>
    <x v="1"/>
    <x v="26"/>
  </r>
  <r>
    <n v="28"/>
    <x v="1"/>
    <n v="1"/>
    <s v="Tue"/>
    <b v="1"/>
    <d v="1899-12-30T13:08:00"/>
    <d v="1899-12-30T14:35:00"/>
    <n v="87"/>
    <b v="1"/>
    <b v="1"/>
    <x v="1"/>
    <x v="0"/>
    <n v="30"/>
    <x v="1"/>
    <n v="22.5"/>
    <x v="3"/>
    <n v="0.15"/>
    <n v="19.125"/>
    <s v="Weekdays only"/>
    <s v="Sacramento, CA"/>
    <n v="38.581600000000002"/>
    <n v="-121.4944"/>
    <d v="2022-11-11T00:00:00"/>
    <n v="8"/>
    <x v="1"/>
    <x v="37"/>
  </r>
  <r>
    <n v="45"/>
    <x v="1"/>
    <n v="2"/>
    <s v="Sat, Tue"/>
    <b v="1"/>
    <d v="1899-12-30T15:59:00"/>
    <d v="1899-12-30T18:46:00"/>
    <n v="167"/>
    <b v="0"/>
    <b v="1"/>
    <x v="1"/>
    <x v="4"/>
    <n v="30"/>
    <x v="0"/>
    <n v="30"/>
    <x v="3"/>
    <n v="0.15"/>
    <n v="25.5"/>
    <s v="Weekdays only"/>
    <s v="San Francisco, CA"/>
    <n v="37.774900000000002"/>
    <n v="-122.4194"/>
    <d v="2024-07-19T00:00:00"/>
    <n v="4"/>
    <x v="1"/>
    <x v="39"/>
  </r>
  <r>
    <n v="29"/>
    <x v="0"/>
    <n v="2"/>
    <s v="Fri, Tue"/>
    <b v="0"/>
    <d v="1899-12-30T20:52:00"/>
    <d v="1899-12-30T22:40:00"/>
    <n v="108"/>
    <b v="0"/>
    <b v="1"/>
    <x v="0"/>
    <x v="1"/>
    <n v="50"/>
    <x v="0"/>
    <n v="50"/>
    <x v="0"/>
    <n v="0.05"/>
    <n v="47.5"/>
    <s v="All hours"/>
    <s v="San Francisco, CA"/>
    <n v="37.774900000000002"/>
    <n v="-122.4194"/>
    <d v="2025-02-25T00:00:00"/>
    <n v="1"/>
    <x v="0"/>
    <x v="45"/>
  </r>
  <r>
    <n v="36"/>
    <x v="0"/>
    <n v="3"/>
    <s v="Sat, Sun, Tue"/>
    <b v="1"/>
    <d v="1899-12-30T09:39:00"/>
    <d v="1899-12-30T11:08:00"/>
    <n v="89"/>
    <b v="0"/>
    <b v="0"/>
    <x v="1"/>
    <x v="0"/>
    <n v="50"/>
    <x v="0"/>
    <n v="50"/>
    <x v="1"/>
    <n v="0"/>
    <n v="50"/>
    <s v="All hours"/>
    <s v="Fresno, CA"/>
    <n v="36.7378"/>
    <n v="-119.7871"/>
    <d v="2024-10-23T00:00:00"/>
    <n v="0"/>
    <x v="0"/>
    <x v="53"/>
  </r>
  <r>
    <n v="20"/>
    <x v="2"/>
    <n v="4"/>
    <s v="Fri, Mon, Sun, Wed"/>
    <b v="0"/>
    <d v="1899-12-30T17:12:00"/>
    <d v="1899-12-30T18:19:00"/>
    <n v="67"/>
    <b v="0"/>
    <b v="0"/>
    <x v="1"/>
    <x v="0"/>
    <n v="20"/>
    <x v="1"/>
    <n v="15"/>
    <x v="1"/>
    <n v="0"/>
    <n v="15"/>
    <s v="Off-peak only"/>
    <s v="San Diego, CA"/>
    <n v="32.715699999999998"/>
    <n v="-117.1611"/>
    <d v="2024-03-25T00:00:00"/>
    <n v="0"/>
    <x v="1"/>
    <x v="17"/>
  </r>
  <r>
    <n v="25"/>
    <x v="0"/>
    <n v="2"/>
    <s v="Thu, Tue"/>
    <b v="0"/>
    <d v="1899-12-30T10:55:00"/>
    <d v="1899-12-30T13:51:00"/>
    <n v="176"/>
    <b v="1"/>
    <b v="0"/>
    <x v="1"/>
    <x v="4"/>
    <n v="50"/>
    <x v="1"/>
    <n v="37.5"/>
    <x v="1"/>
    <n v="0"/>
    <n v="37.5"/>
    <s v="All hours"/>
    <s v="Sacramento, CA"/>
    <n v="38.581600000000002"/>
    <n v="-121.4944"/>
    <d v="2023-02-02T00:00:00"/>
    <n v="0"/>
    <x v="0"/>
    <x v="11"/>
  </r>
  <r>
    <n v="12"/>
    <x v="0"/>
    <n v="5"/>
    <s v="Fri, Mon, Sun, Thu, Tue"/>
    <b v="1"/>
    <d v="1899-12-30T09:35:00"/>
    <d v="1899-12-30T11:45:00"/>
    <n v="130"/>
    <b v="1"/>
    <b v="0"/>
    <x v="0"/>
    <x v="1"/>
    <n v="50"/>
    <x v="0"/>
    <n v="50"/>
    <x v="3"/>
    <n v="0.15"/>
    <n v="42.5"/>
    <s v="All hours"/>
    <s v="Bakersfield, CA"/>
    <n v="35.3733"/>
    <n v="-119.0187"/>
    <d v="2022-12-19T00:00:00"/>
    <n v="0"/>
    <x v="0"/>
    <x v="6"/>
  </r>
  <r>
    <n v="42"/>
    <x v="0"/>
    <n v="1"/>
    <s v="Thu"/>
    <b v="1"/>
    <d v="1899-12-30T12:52:00"/>
    <d v="1899-12-30T14:18:00"/>
    <n v="86"/>
    <b v="0"/>
    <b v="0"/>
    <x v="0"/>
    <x v="4"/>
    <n v="50"/>
    <x v="0"/>
    <n v="50"/>
    <x v="2"/>
    <n v="0.1"/>
    <n v="45"/>
    <s v="All hours"/>
    <s v="Long Beach, CA"/>
    <n v="33.770099999999999"/>
    <n v="-118.19370000000001"/>
    <d v="2025-06-15T00:00:00"/>
    <n v="0"/>
    <x v="0"/>
    <x v="44"/>
  </r>
  <r>
    <n v="26"/>
    <x v="0"/>
    <n v="1"/>
    <s v="Fri"/>
    <b v="1"/>
    <d v="1899-12-30T12:45:00"/>
    <d v="1899-12-30T14:09:00"/>
    <n v="84"/>
    <b v="1"/>
    <b v="1"/>
    <x v="1"/>
    <x v="3"/>
    <n v="50"/>
    <x v="0"/>
    <n v="50"/>
    <x v="1"/>
    <n v="0"/>
    <n v="50"/>
    <s v="All hours"/>
    <s v="Bakersfield, CA"/>
    <n v="35.3733"/>
    <n v="-119.0187"/>
    <d v="2023-12-27T00:00:00"/>
    <n v="5"/>
    <x v="1"/>
    <x v="23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4-04-04T00:00:00"/>
    <n v="1"/>
    <x v="1"/>
    <x v="17"/>
  </r>
  <r>
    <n v="21"/>
    <x v="2"/>
    <n v="1"/>
    <s v="Mon"/>
    <b v="0"/>
    <d v="1899-12-30T08:29:00"/>
    <d v="1899-12-30T09:53:00"/>
    <n v="84"/>
    <b v="1"/>
    <b v="0"/>
    <x v="0"/>
    <x v="0"/>
    <n v="20"/>
    <x v="1"/>
    <n v="15"/>
    <x v="0"/>
    <n v="0.05"/>
    <n v="14.25"/>
    <s v="Off-peak only"/>
    <s v="Oakland, CA"/>
    <n v="37.804400000000001"/>
    <n v="-122.27119999999999"/>
    <d v="2024-10-29T00:00:00"/>
    <n v="0"/>
    <x v="1"/>
    <x v="53"/>
  </r>
  <r>
    <n v="15"/>
    <x v="1"/>
    <n v="4"/>
    <s v="Fri, Sat, Sun, Wed"/>
    <b v="0"/>
    <d v="1899-12-30T14:06:00"/>
    <d v="1899-12-30T15:54:00"/>
    <n v="108"/>
    <b v="1"/>
    <b v="0"/>
    <x v="1"/>
    <x v="0"/>
    <n v="30"/>
    <x v="0"/>
    <n v="30"/>
    <x v="1"/>
    <n v="0"/>
    <n v="30"/>
    <s v="Weekdays only"/>
    <s v="Oakland, CA"/>
    <n v="37.804400000000001"/>
    <n v="-122.27119999999999"/>
    <d v="2025-02-15T00:00:00"/>
    <n v="0"/>
    <x v="1"/>
    <x v="30"/>
  </r>
  <r>
    <n v="47"/>
    <x v="1"/>
    <n v="3"/>
    <s v="Mon, Sun, Tue"/>
    <b v="0"/>
    <d v="1899-12-30T10:48:00"/>
    <d v="1899-12-30T12:33:00"/>
    <n v="105"/>
    <b v="1"/>
    <b v="0"/>
    <x v="1"/>
    <x v="4"/>
    <n v="30"/>
    <x v="0"/>
    <n v="30"/>
    <x v="2"/>
    <n v="0.1"/>
    <n v="27"/>
    <s v="Weekdays only"/>
    <s v="Long Beach, CA"/>
    <n v="33.770099999999999"/>
    <n v="-118.19370000000001"/>
    <d v="2024-06-28T00:00:00"/>
    <n v="0"/>
    <x v="0"/>
    <x v="55"/>
  </r>
  <r>
    <n v="19"/>
    <x v="0"/>
    <n v="1"/>
    <s v="Sat"/>
    <b v="0"/>
    <d v="1899-12-30T16:10:00"/>
    <d v="1899-12-30T17:20:00"/>
    <n v="70"/>
    <b v="0"/>
    <b v="1"/>
    <x v="1"/>
    <x v="0"/>
    <n v="50"/>
    <x v="1"/>
    <n v="37.5"/>
    <x v="2"/>
    <n v="0.1"/>
    <n v="33.75"/>
    <s v="All hours"/>
    <s v="Oakland, CA"/>
    <n v="37.804400000000001"/>
    <n v="-122.27119999999999"/>
    <d v="2022-09-22T00:00:00"/>
    <n v="1"/>
    <x v="0"/>
    <x v="25"/>
  </r>
  <r>
    <n v="29"/>
    <x v="3"/>
    <n v="4"/>
    <s v="Fri, Mon, Sun, Thu"/>
    <b v="1"/>
    <d v="1899-12-30T18:15:00"/>
    <d v="1899-12-30T18:54:00"/>
    <n v="39"/>
    <b v="0"/>
    <b v="1"/>
    <x v="1"/>
    <x v="2"/>
    <n v="70"/>
    <x v="0"/>
    <n v="70"/>
    <x v="1"/>
    <n v="0"/>
    <n v="70"/>
    <s v="All hours + Priority access"/>
    <s v="San Diego, CA"/>
    <n v="32.715699999999998"/>
    <n v="-117.1611"/>
    <d v="2024-07-13T00:00:00"/>
    <n v="2"/>
    <x v="0"/>
    <x v="39"/>
  </r>
  <r>
    <n v="48"/>
    <x v="1"/>
    <n v="5"/>
    <s v="Fri, Mon, Sat, Sun, Thu"/>
    <b v="0"/>
    <d v="1899-12-30T15:42:00"/>
    <d v="1899-12-30T18:35:00"/>
    <n v="173"/>
    <b v="0"/>
    <b v="1"/>
    <x v="1"/>
    <x v="4"/>
    <n v="30"/>
    <x v="0"/>
    <n v="30"/>
    <x v="1"/>
    <n v="0"/>
    <n v="30"/>
    <s v="Weekdays only"/>
    <s v="Sacramento, CA"/>
    <n v="38.581600000000002"/>
    <n v="-121.4944"/>
    <d v="2023-12-18T00:00:00"/>
    <n v="5"/>
    <x v="0"/>
    <x v="16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3-06-05T00:00:00"/>
    <n v="4"/>
    <x v="0"/>
    <x v="8"/>
  </r>
  <r>
    <n v="37"/>
    <x v="0"/>
    <n v="3"/>
    <s v="Sun, Thu, Wed"/>
    <b v="1"/>
    <d v="1899-12-30T10:37:00"/>
    <d v="1899-12-30T12:40:00"/>
    <n v="123"/>
    <b v="0"/>
    <b v="1"/>
    <x v="0"/>
    <x v="4"/>
    <n v="50"/>
    <x v="0"/>
    <n v="50"/>
    <x v="3"/>
    <n v="0.15"/>
    <n v="42.5"/>
    <s v="All hours"/>
    <s v="San Jose, CA"/>
    <n v="37.338200000000001"/>
    <n v="-121.88630000000001"/>
    <d v="2024-05-31T00:00:00"/>
    <n v="7"/>
    <x v="0"/>
    <x v="20"/>
  </r>
  <r>
    <n v="20"/>
    <x v="1"/>
    <n v="1"/>
    <s v="Sun"/>
    <b v="0"/>
    <d v="1899-12-30T15:33:00"/>
    <d v="1899-12-30T17:01:00"/>
    <n v="88"/>
    <b v="0"/>
    <b v="1"/>
    <x v="1"/>
    <x v="1"/>
    <n v="30"/>
    <x v="1"/>
    <n v="22.5"/>
    <x v="0"/>
    <n v="0.05"/>
    <n v="21.375"/>
    <s v="Weekdays only"/>
    <s v="Los Angeles, CA"/>
    <n v="34.052199999999999"/>
    <n v="-118.2437"/>
    <d v="2022-08-23T00:00:00"/>
    <n v="2"/>
    <x v="1"/>
    <x v="10"/>
  </r>
  <r>
    <n v="40"/>
    <x v="1"/>
    <n v="3"/>
    <s v="Fri, Sun, Tue"/>
    <b v="0"/>
    <d v="1899-12-30T11:18:00"/>
    <d v="1899-12-30T14:09:00"/>
    <n v="171"/>
    <b v="0"/>
    <b v="1"/>
    <x v="1"/>
    <x v="0"/>
    <n v="30"/>
    <x v="1"/>
    <n v="22.5"/>
    <x v="1"/>
    <n v="0"/>
    <n v="22.5"/>
    <s v="Weekdays only"/>
    <s v="Anaheim, CA"/>
    <n v="33.836599999999997"/>
    <n v="-117.9143"/>
    <d v="2022-09-01T00:00:00"/>
    <n v="1"/>
    <x v="1"/>
    <x v="1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4-09-27T00:00:00"/>
    <n v="7"/>
    <x v="0"/>
    <x v="33"/>
  </r>
  <r>
    <n v="39"/>
    <x v="0"/>
    <n v="4"/>
    <s v="Mon, Thu, Tue, Wed"/>
    <b v="0"/>
    <d v="1899-12-30T18:58:00"/>
    <d v="1899-12-30T20:43:00"/>
    <n v="105"/>
    <b v="0"/>
    <b v="0"/>
    <x v="0"/>
    <x v="3"/>
    <n v="50"/>
    <x v="0"/>
    <n v="50"/>
    <x v="1"/>
    <n v="0"/>
    <n v="50"/>
    <s v="All hours"/>
    <s v="San Jose, CA"/>
    <n v="37.338200000000001"/>
    <n v="-121.88630000000001"/>
    <d v="2024-01-10T00:00:00"/>
    <n v="0"/>
    <x v="0"/>
    <x v="31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4-08-06T00:00:00"/>
    <n v="6"/>
    <x v="0"/>
    <x v="15"/>
  </r>
  <r>
    <n v="35"/>
    <x v="2"/>
    <n v="1"/>
    <s v="Thu"/>
    <b v="1"/>
    <d v="1899-12-30T16:27:00"/>
    <d v="1899-12-30T17:25:00"/>
    <n v="58"/>
    <b v="0"/>
    <b v="1"/>
    <x v="1"/>
    <x v="4"/>
    <n v="20"/>
    <x v="0"/>
    <n v="20"/>
    <x v="1"/>
    <n v="0"/>
    <n v="20"/>
    <s v="Off-peak only"/>
    <s v="San Diego, CA"/>
    <n v="32.715699999999998"/>
    <n v="-117.1611"/>
    <d v="2024-08-23T00:00:00"/>
    <n v="7"/>
    <x v="1"/>
    <x v="18"/>
  </r>
  <r>
    <n v="14"/>
    <x v="1"/>
    <n v="2"/>
    <s v="Mon, Wed"/>
    <b v="0"/>
    <d v="1899-12-30T09:46:00"/>
    <d v="1899-12-30T10:56:00"/>
    <n v="70"/>
    <b v="0"/>
    <b v="0"/>
    <x v="1"/>
    <x v="0"/>
    <n v="30"/>
    <x v="2"/>
    <n v="27"/>
    <x v="1"/>
    <n v="0"/>
    <n v="27"/>
    <s v="Weekdays only"/>
    <s v="Anaheim, CA"/>
    <n v="33.836599999999997"/>
    <n v="-117.9143"/>
    <d v="2025-05-14T00:00:00"/>
    <n v="0"/>
    <x v="0"/>
    <x v="24"/>
  </r>
  <r>
    <n v="34"/>
    <x v="1"/>
    <n v="2"/>
    <s v="Mon, Sat"/>
    <b v="0"/>
    <d v="1899-12-30T18:44:00"/>
    <d v="1899-12-30T19:47:00"/>
    <n v="63"/>
    <b v="1"/>
    <b v="0"/>
    <x v="1"/>
    <x v="0"/>
    <n v="30"/>
    <x v="0"/>
    <n v="30"/>
    <x v="0"/>
    <n v="0.05"/>
    <n v="28.5"/>
    <s v="Weekdays only"/>
    <s v="Long Beach, CA"/>
    <n v="33.770099999999999"/>
    <n v="-118.19370000000001"/>
    <d v="2023-09-12T00:00:00"/>
    <n v="0"/>
    <x v="1"/>
    <x v="7"/>
  </r>
  <r>
    <n v="27"/>
    <x v="2"/>
    <n v="1"/>
    <s v="Sun"/>
    <b v="1"/>
    <d v="1899-12-30T15:34:00"/>
    <d v="1899-12-30T17:58:00"/>
    <n v="144"/>
    <b v="1"/>
    <b v="1"/>
    <x v="1"/>
    <x v="2"/>
    <n v="20"/>
    <x v="0"/>
    <n v="20"/>
    <x v="3"/>
    <n v="0.15"/>
    <n v="17"/>
    <s v="Off-peak only"/>
    <s v="San Francisco, CA"/>
    <n v="37.774900000000002"/>
    <n v="-122.4194"/>
    <d v="2024-01-04T00:00:00"/>
    <n v="1"/>
    <x v="1"/>
    <x v="23"/>
  </r>
  <r>
    <n v="14"/>
    <x v="0"/>
    <n v="1"/>
    <s v="Mon"/>
    <b v="1"/>
    <d v="1899-12-30T11:56:00"/>
    <d v="1899-12-30T13:37:00"/>
    <n v="10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5-04-29T00:00:00"/>
    <n v="0"/>
    <x v="0"/>
    <x v="5"/>
  </r>
  <r>
    <n v="40"/>
    <x v="1"/>
    <n v="1"/>
    <s v="Fri"/>
    <b v="0"/>
    <d v="1899-12-30T18:30:00"/>
    <d v="1899-12-30T19:44:00"/>
    <n v="74"/>
    <b v="1"/>
    <b v="0"/>
    <x v="1"/>
    <x v="0"/>
    <n v="30"/>
    <x v="2"/>
    <n v="27"/>
    <x v="0"/>
    <n v="0.05"/>
    <n v="25.65"/>
    <s v="Weekdays only"/>
    <s v="San Jose, CA"/>
    <n v="37.338200000000001"/>
    <n v="-121.88630000000001"/>
    <d v="2024-08-30T00:00:00"/>
    <n v="0"/>
    <x v="0"/>
    <x v="41"/>
  </r>
  <r>
    <n v="28"/>
    <x v="2"/>
    <n v="3"/>
    <s v="Fri, Mon, Thu"/>
    <b v="0"/>
    <d v="1899-12-30T10:11:00"/>
    <d v="1899-12-30T12:26:00"/>
    <n v="135"/>
    <b v="1"/>
    <b v="0"/>
    <x v="1"/>
    <x v="4"/>
    <n v="20"/>
    <x v="0"/>
    <n v="20"/>
    <x v="1"/>
    <n v="0"/>
    <n v="20"/>
    <s v="Off-peak only"/>
    <s v="San Diego, CA"/>
    <n v="32.715699999999998"/>
    <n v="-117.1611"/>
    <d v="2022-10-29T00:00:00"/>
    <n v="0"/>
    <x v="1"/>
    <x v="32"/>
  </r>
  <r>
    <n v="27"/>
    <x v="0"/>
    <n v="1"/>
    <s v="Thu"/>
    <b v="0"/>
    <d v="1899-12-30T14:17:00"/>
    <d v="1899-12-30T15:42:00"/>
    <n v="85"/>
    <b v="0"/>
    <b v="0"/>
    <x v="0"/>
    <x v="2"/>
    <n v="50"/>
    <x v="1"/>
    <n v="37.5"/>
    <x v="0"/>
    <n v="0.05"/>
    <n v="35.625"/>
    <s v="All hours"/>
    <s v="Bakersfield, CA"/>
    <n v="35.3733"/>
    <n v="-119.0187"/>
    <d v="2024-10-10T00:00:00"/>
    <n v="0"/>
    <x v="0"/>
    <x v="51"/>
  </r>
  <r>
    <n v="27"/>
    <x v="1"/>
    <n v="2"/>
    <s v="Mon, Tue"/>
    <b v="1"/>
    <d v="1899-12-30T09:10:00"/>
    <d v="1899-12-30T11:36:00"/>
    <n v="146"/>
    <b v="0"/>
    <b v="1"/>
    <x v="1"/>
    <x v="4"/>
    <n v="30"/>
    <x v="1"/>
    <n v="22.5"/>
    <x v="1"/>
    <n v="0"/>
    <n v="22.5"/>
    <s v="Weekdays only"/>
    <s v="San Diego, CA"/>
    <n v="32.715699999999998"/>
    <n v="-117.1611"/>
    <d v="2025-01-19T00:00:00"/>
    <n v="1"/>
    <x v="1"/>
    <x v="19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4-01-18T00:00:00"/>
    <n v="0"/>
    <x v="1"/>
    <x v="31"/>
  </r>
  <r>
    <n v="39"/>
    <x v="1"/>
    <n v="3"/>
    <s v="Sat, Thu, Wed"/>
    <b v="1"/>
    <d v="1899-12-30T15:19:00"/>
    <d v="1899-12-30T17:35:00"/>
    <n v="136"/>
    <b v="0"/>
    <b v="1"/>
    <x v="1"/>
    <x v="0"/>
    <n v="30"/>
    <x v="0"/>
    <n v="30"/>
    <x v="3"/>
    <n v="0.15"/>
    <n v="25.5"/>
    <s v="Weekdays only"/>
    <s v="Oakland, CA"/>
    <n v="37.804400000000001"/>
    <n v="-122.27119999999999"/>
    <d v="2022-08-08T00:00:00"/>
    <n v="8"/>
    <x v="1"/>
    <x v="43"/>
  </r>
  <r>
    <n v="41"/>
    <x v="1"/>
    <n v="1"/>
    <s v="Fri"/>
    <b v="0"/>
    <d v="1899-12-30T13:50:00"/>
    <d v="1899-12-30T14:26:00"/>
    <n v="36"/>
    <b v="0"/>
    <b v="1"/>
    <x v="0"/>
    <x v="0"/>
    <n v="30"/>
    <x v="0"/>
    <n v="30"/>
    <x v="2"/>
    <n v="0.1"/>
    <n v="27"/>
    <s v="Weekdays only"/>
    <s v="Fresno, CA"/>
    <n v="36.7378"/>
    <n v="-119.7871"/>
    <d v="2024-10-08T00:00:00"/>
    <n v="5"/>
    <x v="1"/>
    <x v="51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3-07-08T00:00:00"/>
    <n v="5"/>
    <x v="0"/>
    <x v="56"/>
  </r>
  <r>
    <n v="40"/>
    <x v="0"/>
    <n v="2"/>
    <s v="Sat, Tue"/>
    <b v="1"/>
    <d v="1899-12-30T20:33:00"/>
    <d v="1899-12-30T21:52:00"/>
    <n v="79"/>
    <b v="1"/>
    <b v="1"/>
    <x v="1"/>
    <x v="1"/>
    <n v="50"/>
    <x v="1"/>
    <n v="37.5"/>
    <x v="3"/>
    <n v="0.15"/>
    <n v="31.875"/>
    <s v="All hours"/>
    <s v="Bakersfield, CA"/>
    <n v="35.3733"/>
    <n v="-119.0187"/>
    <d v="2023-04-03T00:00:00"/>
    <n v="2"/>
    <x v="1"/>
    <x v="49"/>
  </r>
  <r>
    <n v="33"/>
    <x v="0"/>
    <n v="2"/>
    <s v="Sat, Thu"/>
    <b v="1"/>
    <d v="1899-12-30T14:56:00"/>
    <d v="1899-12-30T15:57:00"/>
    <n v="61"/>
    <b v="1"/>
    <b v="1"/>
    <x v="1"/>
    <x v="4"/>
    <n v="50"/>
    <x v="0"/>
    <n v="50"/>
    <x v="1"/>
    <n v="0"/>
    <n v="50"/>
    <s v="All hours"/>
    <s v="Fresno, CA"/>
    <n v="36.7378"/>
    <n v="-119.7871"/>
    <d v="2024-10-12T00:00:00"/>
    <n v="4"/>
    <x v="0"/>
    <x v="51"/>
  </r>
  <r>
    <n v="14"/>
    <x v="2"/>
    <n v="2"/>
    <s v="Sat, Sun"/>
    <b v="0"/>
    <d v="1899-12-30T10:09:00"/>
    <d v="1899-12-30T11:15:00"/>
    <n v="66"/>
    <b v="0"/>
    <b v="1"/>
    <x v="1"/>
    <x v="4"/>
    <n v="20"/>
    <x v="0"/>
    <n v="20"/>
    <x v="1"/>
    <n v="0"/>
    <n v="20"/>
    <s v="Off-peak only"/>
    <s v="San Francisco, CA"/>
    <n v="37.774900000000002"/>
    <n v="-122.4194"/>
    <d v="2023-05-09T00:00:00"/>
    <n v="2"/>
    <x v="1"/>
    <x v="2"/>
  </r>
  <r>
    <n v="27"/>
    <x v="3"/>
    <n v="3"/>
    <s v="Sat, Thu, Wed"/>
    <b v="0"/>
    <d v="1899-12-30T20:18:00"/>
    <d v="1899-12-30T22:20:00"/>
    <n v="122"/>
    <b v="1"/>
    <b v="1"/>
    <x v="0"/>
    <x v="0"/>
    <n v="70"/>
    <x v="1"/>
    <n v="52.5"/>
    <x v="2"/>
    <n v="0.1"/>
    <n v="47.25"/>
    <s v="All hours + Priority access"/>
    <s v="Bakersfield, CA"/>
    <n v="35.3733"/>
    <n v="-119.0187"/>
    <d v="2024-05-27T00:00:00"/>
    <n v="3"/>
    <x v="0"/>
    <x v="0"/>
  </r>
  <r>
    <n v="47"/>
    <x v="0"/>
    <n v="2"/>
    <s v="Fri, Tue"/>
    <b v="1"/>
    <d v="1899-12-30T16:41:00"/>
    <d v="1899-12-30T18:02:00"/>
    <n v="81"/>
    <b v="1"/>
    <b v="1"/>
    <x v="1"/>
    <x v="0"/>
    <n v="50"/>
    <x v="1"/>
    <n v="37.5"/>
    <x v="3"/>
    <n v="0.15"/>
    <n v="31.875"/>
    <s v="All hours"/>
    <s v="Sacramento, CA"/>
    <n v="38.581600000000002"/>
    <n v="-121.4944"/>
    <d v="2023-08-19T00:00:00"/>
    <n v="1"/>
    <x v="0"/>
    <x v="46"/>
  </r>
  <r>
    <n v="43"/>
    <x v="2"/>
    <n v="3"/>
    <s v="Fri, Sun, Tue"/>
    <b v="0"/>
    <d v="1899-12-30T12:02:00"/>
    <d v="1899-12-30T14:07:00"/>
    <n v="125"/>
    <b v="1"/>
    <b v="1"/>
    <x v="1"/>
    <x v="0"/>
    <n v="20"/>
    <x v="0"/>
    <n v="20"/>
    <x v="0"/>
    <n v="0.05"/>
    <n v="19"/>
    <s v="Off-peak only"/>
    <s v="Anaheim, CA"/>
    <n v="33.836599999999997"/>
    <n v="-117.9143"/>
    <d v="2023-08-18T00:00:00"/>
    <n v="7"/>
    <x v="1"/>
    <x v="47"/>
  </r>
  <r>
    <n v="22"/>
    <x v="0"/>
    <n v="1"/>
    <s v="Thu"/>
    <b v="0"/>
    <d v="1899-12-30T09:43:00"/>
    <d v="1899-12-30T10:37:00"/>
    <n v="54"/>
    <b v="1"/>
    <b v="0"/>
    <x v="0"/>
    <x v="0"/>
    <n v="50"/>
    <x v="0"/>
    <n v="50"/>
    <x v="0"/>
    <n v="0.05"/>
    <n v="47.5"/>
    <s v="All hours"/>
    <s v="Bakersfield, CA"/>
    <n v="35.3733"/>
    <n v="-119.0187"/>
    <d v="2023-11-30T00:00:00"/>
    <n v="0"/>
    <x v="0"/>
    <x v="35"/>
  </r>
  <r>
    <n v="14"/>
    <x v="0"/>
    <n v="3"/>
    <s v="Sat, Sun, Thu"/>
    <b v="1"/>
    <d v="1899-12-30T17:02:00"/>
    <d v="1899-12-30T17:32:00"/>
    <n v="30"/>
    <b v="0"/>
    <b v="0"/>
    <x v="0"/>
    <x v="4"/>
    <n v="50"/>
    <x v="0"/>
    <n v="50"/>
    <x v="2"/>
    <n v="0.1"/>
    <n v="45"/>
    <s v="All hours"/>
    <s v="Bakersfield, CA"/>
    <n v="35.3733"/>
    <n v="-119.0187"/>
    <d v="2025-03-18T00:00:00"/>
    <n v="0"/>
    <x v="1"/>
    <x v="27"/>
  </r>
  <r>
    <n v="16"/>
    <x v="2"/>
    <n v="3"/>
    <s v="Fri, Sun, Wed"/>
    <b v="1"/>
    <d v="1899-12-30T14:53:00"/>
    <d v="1899-12-30T17:02:00"/>
    <n v="129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3-01-15T00:00:00"/>
    <n v="0"/>
    <x v="0"/>
    <x v="57"/>
  </r>
  <r>
    <n v="40"/>
    <x v="0"/>
    <n v="3"/>
    <s v="Mon, Thu, Tue"/>
    <b v="1"/>
    <d v="1899-12-30T19:59:00"/>
    <d v="1899-12-30T21:04:00"/>
    <n v="65"/>
    <b v="0"/>
    <b v="1"/>
    <x v="0"/>
    <x v="3"/>
    <n v="50"/>
    <x v="1"/>
    <n v="37.5"/>
    <x v="1"/>
    <n v="0"/>
    <n v="37.5"/>
    <s v="All hours"/>
    <s v="Oakland, CA"/>
    <n v="37.804400000000001"/>
    <n v="-122.27119999999999"/>
    <d v="2024-07-16T00:00:00"/>
    <n v="6"/>
    <x v="0"/>
    <x v="39"/>
  </r>
  <r>
    <n v="23"/>
    <x v="0"/>
    <n v="1"/>
    <s v="Tue"/>
    <b v="0"/>
    <d v="1899-12-30T16:54:00"/>
    <d v="1899-12-30T19:49:00"/>
    <n v="175"/>
    <b v="1"/>
    <b v="0"/>
    <x v="0"/>
    <x v="4"/>
    <n v="50"/>
    <x v="0"/>
    <n v="50"/>
    <x v="1"/>
    <n v="0"/>
    <n v="50"/>
    <s v="All hours"/>
    <s v="Bakersfield, CA"/>
    <n v="35.3733"/>
    <n v="-119.0187"/>
    <d v="2024-12-06T00:00:00"/>
    <n v="0"/>
    <x v="0"/>
    <x v="14"/>
  </r>
  <r>
    <n v="42"/>
    <x v="2"/>
    <n v="3"/>
    <s v="Mon, Sat, Thu"/>
    <b v="0"/>
    <d v="1899-12-30T16:20:00"/>
    <d v="1899-12-30T17:20:00"/>
    <n v="60"/>
    <b v="1"/>
    <b v="1"/>
    <x v="0"/>
    <x v="0"/>
    <n v="20"/>
    <x v="0"/>
    <n v="20"/>
    <x v="0"/>
    <n v="0.05"/>
    <n v="19"/>
    <s v="Off-peak only"/>
    <s v="San Jose, CA"/>
    <n v="37.338200000000001"/>
    <n v="-121.88630000000001"/>
    <d v="2025-05-10T00:00:00"/>
    <n v="1"/>
    <x v="0"/>
    <x v="24"/>
  </r>
  <r>
    <n v="27"/>
    <x v="0"/>
    <n v="3"/>
    <s v="Mon, Sat, Thu"/>
    <b v="0"/>
    <d v="1899-12-30T18:16:00"/>
    <d v="1899-12-30T20:37:00"/>
    <n v="141"/>
    <b v="0"/>
    <b v="0"/>
    <x v="0"/>
    <x v="4"/>
    <n v="50"/>
    <x v="0"/>
    <n v="50"/>
    <x v="0"/>
    <n v="0.05"/>
    <n v="47.5"/>
    <s v="All hours"/>
    <s v="Los Angeles, CA"/>
    <n v="34.052199999999999"/>
    <n v="-118.2437"/>
    <d v="2023-10-02T00:00:00"/>
    <n v="0"/>
    <x v="0"/>
    <x v="3"/>
  </r>
  <r>
    <n v="28"/>
    <x v="1"/>
    <n v="3"/>
    <s v="Fri, Sun, Tue"/>
    <b v="0"/>
    <d v="1899-12-30T09:55:00"/>
    <d v="1899-12-30T10:55:00"/>
    <n v="60"/>
    <b v="0"/>
    <b v="1"/>
    <x v="0"/>
    <x v="2"/>
    <n v="30"/>
    <x v="0"/>
    <n v="30"/>
    <x v="2"/>
    <n v="0.1"/>
    <n v="27"/>
    <s v="Weekdays only"/>
    <s v="Los Angeles, CA"/>
    <n v="34.052199999999999"/>
    <n v="-118.2437"/>
    <d v="2023-07-02T00:00:00"/>
    <n v="1"/>
    <x v="1"/>
    <x v="56"/>
  </r>
  <r>
    <n v="47"/>
    <x v="0"/>
    <n v="2"/>
    <s v="Fri, Tue"/>
    <b v="1"/>
    <d v="1899-12-30T16:41:00"/>
    <d v="1899-12-30T18:02:00"/>
    <n v="81"/>
    <b v="1"/>
    <b v="1"/>
    <x v="1"/>
    <x v="0"/>
    <n v="50"/>
    <x v="1"/>
    <n v="37.5"/>
    <x v="3"/>
    <n v="0.15"/>
    <n v="31.875"/>
    <s v="All hours"/>
    <s v="Sacramento, CA"/>
    <n v="38.581600000000002"/>
    <n v="-121.4944"/>
    <d v="2025-06-05T00:00:00"/>
    <n v="2"/>
    <x v="0"/>
    <x v="44"/>
  </r>
  <r>
    <n v="41"/>
    <x v="2"/>
    <n v="3"/>
    <s v="Sun, Thu, Wed"/>
    <b v="1"/>
    <d v="1899-12-30T15:40:00"/>
    <d v="1899-12-30T17:21:00"/>
    <n v="101"/>
    <b v="1"/>
    <b v="1"/>
    <x v="0"/>
    <x v="4"/>
    <n v="20"/>
    <x v="0"/>
    <n v="20"/>
    <x v="2"/>
    <n v="0.1"/>
    <n v="18"/>
    <s v="Off-peak only"/>
    <s v="Los Angeles, CA"/>
    <n v="34.052199999999999"/>
    <n v="-118.2437"/>
    <d v="2023-12-25T00:00:00"/>
    <n v="6"/>
    <x v="1"/>
    <x v="23"/>
  </r>
  <r>
    <n v="49"/>
    <x v="0"/>
    <n v="1"/>
    <s v="Tue"/>
    <b v="1"/>
    <d v="1899-12-30T16:18:00"/>
    <d v="1899-12-30T17:35:00"/>
    <n v="77"/>
    <b v="1"/>
    <b v="0"/>
    <x v="0"/>
    <x v="0"/>
    <n v="50"/>
    <x v="0"/>
    <n v="50"/>
    <x v="1"/>
    <n v="0"/>
    <n v="50"/>
    <s v="All hours"/>
    <s v="San Jose, CA"/>
    <n v="37.338200000000001"/>
    <n v="-121.88630000000001"/>
    <d v="2024-10-24T00:00:00"/>
    <n v="0"/>
    <x v="0"/>
    <x v="53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8-05T00:00:00"/>
    <n v="6"/>
    <x v="0"/>
    <x v="47"/>
  </r>
  <r>
    <n v="34"/>
    <x v="0"/>
    <n v="3"/>
    <s v="Fri, Thu, Tue"/>
    <b v="0"/>
    <d v="1899-12-30T15:41:00"/>
    <d v="1899-12-30T17:04:00"/>
    <n v="83"/>
    <b v="1"/>
    <b v="1"/>
    <x v="0"/>
    <x v="4"/>
    <n v="50"/>
    <x v="0"/>
    <n v="50"/>
    <x v="0"/>
    <n v="0.05"/>
    <n v="47.5"/>
    <s v="All hours"/>
    <s v="San Diego, CA"/>
    <n v="32.715699999999998"/>
    <n v="-117.1611"/>
    <d v="2024-12-19T00:00:00"/>
    <n v="6"/>
    <x v="0"/>
    <x v="13"/>
  </r>
  <r>
    <n v="39"/>
    <x v="1"/>
    <n v="2"/>
    <s v="Tue, Wed"/>
    <b v="1"/>
    <d v="1899-12-30T15:14:00"/>
    <d v="1899-12-30T17:39:00"/>
    <n v="145"/>
    <b v="1"/>
    <b v="0"/>
    <x v="0"/>
    <x v="0"/>
    <n v="30"/>
    <x v="1"/>
    <n v="22.5"/>
    <x v="0"/>
    <n v="0.05"/>
    <n v="21.375"/>
    <s v="Weekdays only"/>
    <s v="Sacramento, CA"/>
    <n v="38.581600000000002"/>
    <n v="-121.4944"/>
    <d v="2023-06-18T00:00:00"/>
    <n v="0"/>
    <x v="1"/>
    <x v="28"/>
  </r>
  <r>
    <n v="47"/>
    <x v="0"/>
    <n v="1"/>
    <s v="Tue"/>
    <b v="1"/>
    <d v="1899-12-30T18:15:00"/>
    <d v="1899-12-30T19:59:00"/>
    <n v="104"/>
    <b v="1"/>
    <b v="0"/>
    <x v="1"/>
    <x v="4"/>
    <n v="50"/>
    <x v="0"/>
    <n v="50"/>
    <x v="2"/>
    <n v="0.1"/>
    <n v="45"/>
    <s v="All hours"/>
    <s v="San Diego, CA"/>
    <n v="32.715699999999998"/>
    <n v="-117.1611"/>
    <d v="2024-05-07T00:00:00"/>
    <n v="0"/>
    <x v="1"/>
    <x v="40"/>
  </r>
  <r>
    <n v="37"/>
    <x v="0"/>
    <n v="2"/>
    <s v="Tue, Wed"/>
    <b v="0"/>
    <d v="1899-12-30T11:30:00"/>
    <d v="1899-12-30T12:10:00"/>
    <n v="40"/>
    <b v="1"/>
    <b v="0"/>
    <x v="0"/>
    <x v="2"/>
    <n v="50"/>
    <x v="0"/>
    <n v="50"/>
    <x v="1"/>
    <n v="0"/>
    <n v="50"/>
    <s v="All hours"/>
    <s v="Bakersfield, CA"/>
    <n v="35.3733"/>
    <n v="-119.0187"/>
    <d v="2022-09-29T00:00:00"/>
    <n v="0"/>
    <x v="0"/>
    <x v="25"/>
  </r>
  <r>
    <n v="39"/>
    <x v="2"/>
    <n v="5"/>
    <s v="Sat, Sun, Thu, Tue, Wed"/>
    <b v="1"/>
    <d v="1899-12-30T16:05:00"/>
    <d v="1899-12-30T18:42:00"/>
    <n v="157"/>
    <b v="0"/>
    <b v="1"/>
    <x v="0"/>
    <x v="0"/>
    <n v="20"/>
    <x v="0"/>
    <n v="20"/>
    <x v="2"/>
    <n v="0.1"/>
    <n v="18"/>
    <s v="Off-peak only"/>
    <s v="San Jose, CA"/>
    <n v="37.338200000000001"/>
    <n v="-121.88630000000001"/>
    <d v="2025-01-27T00:00:00"/>
    <n v="2"/>
    <x v="1"/>
    <x v="19"/>
  </r>
  <r>
    <n v="36"/>
    <x v="1"/>
    <n v="5"/>
    <s v="Fri, Mon, Sat, Sun, Tue"/>
    <b v="0"/>
    <d v="1899-12-30T11:33:00"/>
    <d v="1899-12-30T12:40:00"/>
    <n v="67"/>
    <b v="1"/>
    <b v="0"/>
    <x v="1"/>
    <x v="4"/>
    <n v="30"/>
    <x v="0"/>
    <n v="30"/>
    <x v="2"/>
    <n v="0.1"/>
    <n v="27"/>
    <s v="Weekdays only"/>
    <s v="Anaheim, CA"/>
    <n v="33.836599999999997"/>
    <n v="-117.9143"/>
    <d v="2024-06-24T00:00:00"/>
    <n v="0"/>
    <x v="1"/>
    <x v="55"/>
  </r>
  <r>
    <n v="27"/>
    <x v="1"/>
    <n v="1"/>
    <s v="Mon"/>
    <b v="0"/>
    <d v="1899-12-30T12:30:00"/>
    <d v="1899-12-30T13:08:00"/>
    <n v="38"/>
    <b v="1"/>
    <b v="0"/>
    <x v="0"/>
    <x v="0"/>
    <n v="30"/>
    <x v="2"/>
    <n v="27"/>
    <x v="1"/>
    <n v="0"/>
    <n v="27"/>
    <s v="Weekdays only"/>
    <s v="San Diego, CA"/>
    <n v="32.715699999999998"/>
    <n v="-117.1611"/>
    <d v="2025-02-22T00:00:00"/>
    <n v="0"/>
    <x v="1"/>
    <x v="45"/>
  </r>
  <r>
    <n v="45"/>
    <x v="3"/>
    <n v="4"/>
    <s v="Sat, Sun, Thu, Tue"/>
    <b v="0"/>
    <d v="1899-12-30T11:19:00"/>
    <d v="1899-12-30T12:16:00"/>
    <n v="57"/>
    <b v="0"/>
    <b v="1"/>
    <x v="1"/>
    <x v="4"/>
    <n v="70"/>
    <x v="0"/>
    <n v="70"/>
    <x v="1"/>
    <n v="0"/>
    <n v="70"/>
    <s v="All hours + Priority access"/>
    <s v="Fresno, CA"/>
    <n v="36.7378"/>
    <n v="-119.7871"/>
    <d v="2022-10-12T00:00:00"/>
    <n v="1"/>
    <x v="0"/>
    <x v="38"/>
  </r>
  <r>
    <n v="28"/>
    <x v="1"/>
    <n v="3"/>
    <s v="Fri, Sun, Tue"/>
    <b v="0"/>
    <d v="1899-12-30T09:55:00"/>
    <d v="1899-12-30T10:55:00"/>
    <n v="60"/>
    <b v="0"/>
    <b v="1"/>
    <x v="0"/>
    <x v="2"/>
    <n v="30"/>
    <x v="0"/>
    <n v="30"/>
    <x v="2"/>
    <n v="0.1"/>
    <n v="27"/>
    <s v="Weekdays only"/>
    <s v="Los Angeles, CA"/>
    <n v="34.052199999999999"/>
    <n v="-118.2437"/>
    <d v="2022-12-01T00:00:00"/>
    <n v="2"/>
    <x v="1"/>
    <x v="54"/>
  </r>
  <r>
    <n v="17"/>
    <x v="1"/>
    <n v="2"/>
    <s v="Tue, Wed"/>
    <b v="0"/>
    <d v="1899-12-30T08:06:00"/>
    <d v="1899-12-30T08:47:00"/>
    <n v="41"/>
    <b v="1"/>
    <b v="0"/>
    <x v="1"/>
    <x v="0"/>
    <n v="30"/>
    <x v="1"/>
    <n v="22.5"/>
    <x v="2"/>
    <n v="0.1"/>
    <n v="20.25"/>
    <s v="Weekdays only"/>
    <s v="Long Beach, CA"/>
    <n v="33.770099999999999"/>
    <n v="-118.19370000000001"/>
    <d v="2024-09-21T00:00:00"/>
    <n v="0"/>
    <x v="1"/>
    <x v="33"/>
  </r>
  <r>
    <n v="48"/>
    <x v="0"/>
    <n v="1"/>
    <s v="Fri"/>
    <b v="0"/>
    <d v="1899-12-30T10:42:00"/>
    <d v="1899-12-30T11:57:00"/>
    <n v="75"/>
    <b v="1"/>
    <b v="1"/>
    <x v="1"/>
    <x v="0"/>
    <n v="50"/>
    <x v="0"/>
    <n v="50"/>
    <x v="1"/>
    <n v="0"/>
    <n v="50"/>
    <s v="All hours"/>
    <s v="San Jose, CA"/>
    <n v="37.338200000000001"/>
    <n v="-121.88630000000001"/>
    <d v="2023-07-21T00:00:00"/>
    <n v="5"/>
    <x v="0"/>
    <x v="34"/>
  </r>
  <r>
    <n v="15"/>
    <x v="0"/>
    <n v="3"/>
    <s v="Mon, Thu, Tue"/>
    <b v="0"/>
    <d v="1899-12-30T09:55:00"/>
    <d v="1899-12-30T11:07:00"/>
    <n v="72"/>
    <b v="1"/>
    <b v="1"/>
    <x v="1"/>
    <x v="2"/>
    <n v="50"/>
    <x v="0"/>
    <n v="50"/>
    <x v="1"/>
    <n v="0"/>
    <n v="50"/>
    <s v="All hours"/>
    <s v="San Jose, CA"/>
    <n v="37.338200000000001"/>
    <n v="-121.88630000000001"/>
    <d v="2023-02-03T00:00:00"/>
    <n v="5"/>
    <x v="0"/>
    <x v="11"/>
  </r>
  <r>
    <n v="28"/>
    <x v="0"/>
    <n v="5"/>
    <s v="Mon, Sat, Sun, Thu, Wed"/>
    <b v="1"/>
    <d v="1899-12-30T13:31:00"/>
    <d v="1899-12-30T15:39:00"/>
    <n v="128"/>
    <b v="0"/>
    <b v="1"/>
    <x v="1"/>
    <x v="0"/>
    <n v="50"/>
    <x v="0"/>
    <n v="50"/>
    <x v="3"/>
    <n v="0.15"/>
    <n v="42.5"/>
    <s v="All hours"/>
    <s v="Fresno, CA"/>
    <n v="36.7378"/>
    <n v="-119.7871"/>
    <d v="2023-11-09T00:00:00"/>
    <n v="2"/>
    <x v="0"/>
    <x v="50"/>
  </r>
  <r>
    <n v="22"/>
    <x v="0"/>
    <n v="5"/>
    <s v="Fri, Mon, Sun, Tue, Wed"/>
    <b v="0"/>
    <d v="1899-12-30T13:52:00"/>
    <d v="1899-12-30T14:43:00"/>
    <n v="51"/>
    <b v="0"/>
    <b v="0"/>
    <x v="1"/>
    <x v="4"/>
    <n v="50"/>
    <x v="0"/>
    <n v="50"/>
    <x v="2"/>
    <n v="0.1"/>
    <n v="45"/>
    <s v="All hours"/>
    <s v="Los Angeles, CA"/>
    <n v="34.052199999999999"/>
    <n v="-118.2437"/>
    <d v="2023-12-06T00:00:00"/>
    <n v="0"/>
    <x v="1"/>
    <x v="16"/>
  </r>
  <r>
    <n v="18"/>
    <x v="1"/>
    <n v="2"/>
    <s v="Thu, Tue"/>
    <b v="0"/>
    <d v="1899-12-30T16:41:00"/>
    <d v="1899-12-30T19:00:00"/>
    <n v="139"/>
    <b v="1"/>
    <b v="0"/>
    <x v="0"/>
    <x v="4"/>
    <n v="30"/>
    <x v="1"/>
    <n v="22.5"/>
    <x v="1"/>
    <n v="0"/>
    <n v="22.5"/>
    <s v="Weekdays only"/>
    <s v="Bakersfield, CA"/>
    <n v="35.3733"/>
    <n v="-119.0187"/>
    <d v="2024-10-08T00:00:00"/>
    <n v="0"/>
    <x v="0"/>
    <x v="51"/>
  </r>
  <r>
    <n v="23"/>
    <x v="0"/>
    <n v="3"/>
    <s v="Mon, Sun, Thu"/>
    <b v="0"/>
    <d v="1899-12-30T09:56:00"/>
    <d v="1899-12-30T11:20:00"/>
    <n v="84"/>
    <b v="1"/>
    <b v="1"/>
    <x v="0"/>
    <x v="4"/>
    <n v="50"/>
    <x v="0"/>
    <n v="50"/>
    <x v="3"/>
    <n v="0.15"/>
    <n v="42.5"/>
    <s v="All hours"/>
    <s v="Fresno, CA"/>
    <n v="36.7378"/>
    <n v="-119.7871"/>
    <d v="2025-03-15T00:00:00"/>
    <n v="6"/>
    <x v="0"/>
    <x v="27"/>
  </r>
  <r>
    <n v="44"/>
    <x v="0"/>
    <n v="4"/>
    <s v="Mon, Thu, Tue, Wed"/>
    <b v="1"/>
    <d v="1899-12-30T19:09:00"/>
    <d v="1899-12-30T21:55:00"/>
    <n v="166"/>
    <b v="1"/>
    <b v="0"/>
    <x v="1"/>
    <x v="4"/>
    <n v="50"/>
    <x v="0"/>
    <n v="50"/>
    <x v="2"/>
    <n v="0.1"/>
    <n v="45"/>
    <s v="All hours"/>
    <s v="San Jose, CA"/>
    <n v="37.338200000000001"/>
    <n v="-121.88630000000001"/>
    <d v="2022-11-10T00:00:00"/>
    <n v="0"/>
    <x v="0"/>
    <x v="37"/>
  </r>
  <r>
    <n v="36"/>
    <x v="3"/>
    <n v="4"/>
    <s v="Mon, Thu, Tue, Wed"/>
    <b v="1"/>
    <d v="1899-12-30T17:28:00"/>
    <d v="1899-12-30T18:29:00"/>
    <n v="61"/>
    <b v="0"/>
    <b v="0"/>
    <x v="0"/>
    <x v="0"/>
    <n v="70"/>
    <x v="0"/>
    <n v="70"/>
    <x v="1"/>
    <n v="0"/>
    <n v="70"/>
    <s v="All hours + Priority access"/>
    <s v="San Diego, CA"/>
    <n v="32.715699999999998"/>
    <n v="-117.1611"/>
    <d v="2022-11-07T00:00:00"/>
    <n v="0"/>
    <x v="0"/>
    <x v="32"/>
  </r>
  <r>
    <n v="40"/>
    <x v="2"/>
    <n v="1"/>
    <s v="Sun"/>
    <b v="1"/>
    <d v="1899-12-30T16:03:00"/>
    <d v="1899-12-30T17:49:00"/>
    <n v="106"/>
    <b v="0"/>
    <b v="0"/>
    <x v="1"/>
    <x v="0"/>
    <n v="20"/>
    <x v="1"/>
    <n v="15"/>
    <x v="1"/>
    <n v="0"/>
    <n v="15"/>
    <s v="Off-peak only"/>
    <s v="Fresno, CA"/>
    <n v="36.7378"/>
    <n v="-119.7871"/>
    <d v="2023-08-18T00:00:00"/>
    <n v="0"/>
    <x v="1"/>
    <x v="46"/>
  </r>
  <r>
    <n v="17"/>
    <x v="2"/>
    <n v="2"/>
    <s v="Fri, Thu"/>
    <b v="1"/>
    <d v="1899-12-30T16:58:00"/>
    <d v="1899-12-30T19:40:00"/>
    <n v="162"/>
    <b v="1"/>
    <b v="0"/>
    <x v="1"/>
    <x v="2"/>
    <n v="20"/>
    <x v="0"/>
    <n v="20"/>
    <x v="1"/>
    <n v="0"/>
    <n v="20"/>
    <s v="Off-peak only"/>
    <s v="Long Beach, CA"/>
    <n v="33.770099999999999"/>
    <n v="-118.19370000000001"/>
    <d v="2024-06-26T00:00:00"/>
    <n v="0"/>
    <x v="1"/>
    <x v="55"/>
  </r>
  <r>
    <n v="37"/>
    <x v="0"/>
    <n v="1"/>
    <s v="Sun"/>
    <b v="0"/>
    <d v="1899-12-30T16:39:00"/>
    <d v="1899-12-30T19:05:00"/>
    <n v="146"/>
    <b v="1"/>
    <b v="1"/>
    <x v="0"/>
    <x v="4"/>
    <n v="50"/>
    <x v="1"/>
    <n v="37.5"/>
    <x v="3"/>
    <n v="0.15"/>
    <n v="31.875"/>
    <s v="All hours"/>
    <s v="Fresno, CA"/>
    <n v="36.7378"/>
    <n v="-119.7871"/>
    <d v="2024-06-16T00:00:00"/>
    <n v="8"/>
    <x v="0"/>
    <x v="55"/>
  </r>
  <r>
    <n v="26"/>
    <x v="0"/>
    <n v="2"/>
    <s v="Fri, Mon"/>
    <b v="0"/>
    <d v="1899-12-30T08:19:00"/>
    <d v="1899-12-30T10:45:00"/>
    <n v="146"/>
    <b v="0"/>
    <b v="1"/>
    <x v="0"/>
    <x v="4"/>
    <n v="50"/>
    <x v="2"/>
    <n v="45"/>
    <x v="1"/>
    <n v="0"/>
    <n v="45"/>
    <s v="All hours"/>
    <s v="Fresno, CA"/>
    <n v="36.7378"/>
    <n v="-119.7871"/>
    <d v="2023-05-11T00:00:00"/>
    <n v="1"/>
    <x v="0"/>
    <x v="2"/>
  </r>
  <r>
    <n v="28"/>
    <x v="0"/>
    <n v="3"/>
    <s v="Sat, Thu, Wed"/>
    <b v="0"/>
    <d v="1899-12-30T08:50:00"/>
    <d v="1899-12-30T11:20:00"/>
    <n v="150"/>
    <b v="0"/>
    <b v="1"/>
    <x v="0"/>
    <x v="1"/>
    <n v="50"/>
    <x v="1"/>
    <n v="37.5"/>
    <x v="3"/>
    <n v="0.15"/>
    <n v="31.875"/>
    <s v="All hours"/>
    <s v="Oakland, CA"/>
    <n v="37.804400000000001"/>
    <n v="-122.27119999999999"/>
    <d v="2022-11-10T00:00:00"/>
    <n v="2"/>
    <x v="0"/>
    <x v="37"/>
  </r>
  <r>
    <n v="48"/>
    <x v="0"/>
    <n v="2"/>
    <s v="Thu, Wed"/>
    <b v="0"/>
    <d v="1899-12-30T17:14:00"/>
    <d v="1899-12-30T20:05:00"/>
    <n v="171"/>
    <b v="0"/>
    <b v="1"/>
    <x v="1"/>
    <x v="0"/>
    <n v="50"/>
    <x v="1"/>
    <n v="37.5"/>
    <x v="1"/>
    <n v="0"/>
    <n v="37.5"/>
    <s v="All hours"/>
    <s v="San Francisco, CA"/>
    <n v="37.774900000000002"/>
    <n v="-122.4194"/>
    <d v="2022-11-21T00:00:00"/>
    <n v="2"/>
    <x v="0"/>
    <x v="37"/>
  </r>
  <r>
    <n v="29"/>
    <x v="2"/>
    <n v="4"/>
    <s v="Fri, Mon, Sun, Wed"/>
    <b v="0"/>
    <d v="1899-12-30T10:43:00"/>
    <d v="1899-12-30T11:52:00"/>
    <n v="69"/>
    <b v="1"/>
    <b v="1"/>
    <x v="0"/>
    <x v="1"/>
    <n v="20"/>
    <x v="1"/>
    <n v="15"/>
    <x v="1"/>
    <n v="0"/>
    <n v="15"/>
    <s v="Off-peak only"/>
    <s v="Anaheim, CA"/>
    <n v="33.836599999999997"/>
    <n v="-117.9143"/>
    <d v="2023-03-15T00:00:00"/>
    <n v="2"/>
    <x v="1"/>
    <x v="36"/>
  </r>
  <r>
    <n v="49"/>
    <x v="1"/>
    <n v="3"/>
    <s v="Sun, Tue, Wed"/>
    <b v="1"/>
    <d v="1899-12-30T17:10:00"/>
    <d v="1899-12-30T18:03:00"/>
    <n v="53"/>
    <b v="1"/>
    <b v="1"/>
    <x v="1"/>
    <x v="2"/>
    <n v="30"/>
    <x v="2"/>
    <n v="27"/>
    <x v="2"/>
    <n v="0.1"/>
    <n v="24.3"/>
    <s v="Weekdays only"/>
    <s v="Los Angeles, CA"/>
    <n v="34.052199999999999"/>
    <n v="-118.2437"/>
    <d v="2023-08-09T00:00:00"/>
    <n v="8"/>
    <x v="1"/>
    <x v="47"/>
  </r>
  <r>
    <n v="30"/>
    <x v="2"/>
    <n v="3"/>
    <s v="Sat, Sun, Wed"/>
    <b v="1"/>
    <d v="1899-12-30T11:09:00"/>
    <d v="1899-12-30T12:25:00"/>
    <n v="76"/>
    <b v="1"/>
    <b v="0"/>
    <x v="1"/>
    <x v="4"/>
    <n v="20"/>
    <x v="0"/>
    <n v="20"/>
    <x v="1"/>
    <n v="0"/>
    <n v="20"/>
    <s v="Off-peak only"/>
    <s v="Sacramento, CA"/>
    <n v="38.581600000000002"/>
    <n v="-121.4944"/>
    <d v="2025-03-25T00:00:00"/>
    <n v="0"/>
    <x v="1"/>
    <x v="27"/>
  </r>
  <r>
    <n v="29"/>
    <x v="1"/>
    <n v="2"/>
    <s v="Sat, Tue"/>
    <b v="1"/>
    <d v="1899-12-30T20:00:00"/>
    <d v="1899-12-30T21:50:00"/>
    <n v="110"/>
    <b v="1"/>
    <b v="1"/>
    <x v="0"/>
    <x v="4"/>
    <n v="30"/>
    <x v="0"/>
    <n v="30"/>
    <x v="1"/>
    <n v="0"/>
    <n v="30"/>
    <s v="Weekdays only"/>
    <s v="San Diego, CA"/>
    <n v="32.715699999999998"/>
    <n v="-117.1611"/>
    <d v="2025-01-01T00:00:00"/>
    <n v="8"/>
    <x v="0"/>
    <x v="4"/>
  </r>
  <r>
    <n v="34"/>
    <x v="0"/>
    <n v="2"/>
    <s v="Mon, Thu"/>
    <b v="1"/>
    <d v="1899-12-30T14:03:00"/>
    <d v="1899-12-30T16:10:00"/>
    <n v="127"/>
    <b v="1"/>
    <b v="0"/>
    <x v="1"/>
    <x v="4"/>
    <n v="50"/>
    <x v="0"/>
    <n v="50"/>
    <x v="0"/>
    <n v="0.05"/>
    <n v="47.5"/>
    <s v="All hours"/>
    <s v="San Francisco, CA"/>
    <n v="37.774900000000002"/>
    <n v="-122.4194"/>
    <d v="2022-11-09T00:00:00"/>
    <n v="0"/>
    <x v="1"/>
    <x v="37"/>
  </r>
  <r>
    <n v="19"/>
    <x v="2"/>
    <n v="2"/>
    <s v="Thu, Tue"/>
    <b v="0"/>
    <d v="1899-12-30T16:40:00"/>
    <d v="1899-12-30T17:37:00"/>
    <n v="57"/>
    <b v="0"/>
    <b v="1"/>
    <x v="1"/>
    <x v="0"/>
    <n v="20"/>
    <x v="0"/>
    <n v="20"/>
    <x v="1"/>
    <n v="0"/>
    <n v="20"/>
    <s v="Off-peak only"/>
    <s v="San Jose, CA"/>
    <n v="37.338200000000001"/>
    <n v="-121.88630000000001"/>
    <d v="2023-09-16T00:00:00"/>
    <n v="3"/>
    <x v="1"/>
    <x v="7"/>
  </r>
  <r>
    <n v="39"/>
    <x v="0"/>
    <n v="3"/>
    <s v="Fri, Mon, Sun"/>
    <b v="1"/>
    <d v="1899-12-30T12:16:00"/>
    <d v="1899-12-30T12:49:00"/>
    <n v="33"/>
    <b v="0"/>
    <b v="0"/>
    <x v="0"/>
    <x v="0"/>
    <n v="50"/>
    <x v="0"/>
    <n v="50"/>
    <x v="3"/>
    <n v="0.15"/>
    <n v="42.5"/>
    <s v="All hours"/>
    <s v="Bakersfield, CA"/>
    <n v="35.3733"/>
    <n v="-119.0187"/>
    <d v="2025-06-13T00:00:00"/>
    <n v="0"/>
    <x v="0"/>
    <x v="44"/>
  </r>
  <r>
    <n v="41"/>
    <x v="1"/>
    <n v="1"/>
    <s v="Fri"/>
    <b v="0"/>
    <d v="1899-12-30T13:50:00"/>
    <d v="1899-12-30T14:26:00"/>
    <n v="36"/>
    <b v="0"/>
    <b v="1"/>
    <x v="0"/>
    <x v="0"/>
    <n v="30"/>
    <x v="0"/>
    <n v="30"/>
    <x v="2"/>
    <n v="0.1"/>
    <n v="27"/>
    <s v="Weekdays only"/>
    <s v="Fresno, CA"/>
    <n v="36.7378"/>
    <n v="-119.7871"/>
    <d v="2025-03-06T00:00:00"/>
    <n v="5"/>
    <x v="1"/>
    <x v="45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3-07-17T00:00:00"/>
    <n v="0"/>
    <x v="1"/>
    <x v="34"/>
  </r>
  <r>
    <n v="17"/>
    <x v="3"/>
    <n v="1"/>
    <s v="Mon"/>
    <b v="0"/>
    <d v="1899-12-30T17:58:00"/>
    <d v="1899-12-30T20:04:00"/>
    <n v="126"/>
    <b v="0"/>
    <b v="1"/>
    <x v="0"/>
    <x v="2"/>
    <n v="70"/>
    <x v="0"/>
    <n v="70"/>
    <x v="1"/>
    <n v="0"/>
    <n v="70"/>
    <s v="All hours + Priority access"/>
    <s v="San Jose, CA"/>
    <n v="37.338200000000001"/>
    <n v="-121.88630000000001"/>
    <d v="2025-06-17T00:00:00"/>
    <n v="7"/>
    <x v="0"/>
    <x v="44"/>
  </r>
  <r>
    <n v="40"/>
    <x v="0"/>
    <n v="2"/>
    <s v="Sun, Thu"/>
    <b v="0"/>
    <d v="1899-12-30T11:37:00"/>
    <d v="1899-12-30T14:23:00"/>
    <n v="166"/>
    <b v="0"/>
    <b v="1"/>
    <x v="1"/>
    <x v="0"/>
    <n v="50"/>
    <x v="0"/>
    <n v="50"/>
    <x v="1"/>
    <n v="0"/>
    <n v="50"/>
    <s v="All hours"/>
    <s v="San Jose, CA"/>
    <n v="37.338200000000001"/>
    <n v="-121.88630000000001"/>
    <d v="2025-01-02T00:00:00"/>
    <n v="6"/>
    <x v="0"/>
    <x v="4"/>
  </r>
  <r>
    <n v="31"/>
    <x v="0"/>
    <n v="2"/>
    <s v="Mon, Wed"/>
    <b v="1"/>
    <d v="1899-12-30T20:28:00"/>
    <d v="1899-12-30T21:52:00"/>
    <n v="84"/>
    <b v="1"/>
    <b v="1"/>
    <x v="0"/>
    <x v="2"/>
    <n v="50"/>
    <x v="1"/>
    <n v="37.5"/>
    <x v="3"/>
    <n v="0.15"/>
    <n v="31.875"/>
    <s v="All hours"/>
    <s v="Oakland, CA"/>
    <n v="37.804400000000001"/>
    <n v="-122.27119999999999"/>
    <d v="2023-11-16T00:00:00"/>
    <n v="4"/>
    <x v="0"/>
    <x v="35"/>
  </r>
  <r>
    <n v="39"/>
    <x v="0"/>
    <n v="5"/>
    <s v="Mon, Sun, Thu, Tue, Wed"/>
    <b v="0"/>
    <d v="1899-12-30T15:28:00"/>
    <d v="1899-12-30T16:30:00"/>
    <n v="62"/>
    <b v="0"/>
    <b v="1"/>
    <x v="1"/>
    <x v="0"/>
    <n v="50"/>
    <x v="0"/>
    <n v="50"/>
    <x v="2"/>
    <n v="0.1"/>
    <n v="45"/>
    <s v="All hours"/>
    <s v="Fresno, CA"/>
    <n v="36.7378"/>
    <n v="-119.7871"/>
    <d v="2023-06-17T00:00:00"/>
    <n v="8"/>
    <x v="0"/>
    <x v="28"/>
  </r>
  <r>
    <n v="26"/>
    <x v="1"/>
    <n v="4"/>
    <s v="Mon, Sat, Thu, Wed"/>
    <b v="1"/>
    <d v="1899-12-30T13:03:00"/>
    <d v="1899-12-30T15:39:00"/>
    <n v="156"/>
    <b v="0"/>
    <b v="1"/>
    <x v="1"/>
    <x v="2"/>
    <n v="30"/>
    <x v="1"/>
    <n v="22.5"/>
    <x v="0"/>
    <n v="0.05"/>
    <n v="21.375"/>
    <s v="Weekdays only"/>
    <s v="Sacramento, CA"/>
    <n v="38.581600000000002"/>
    <n v="-121.4944"/>
    <d v="2023-07-29T00:00:00"/>
    <n v="7"/>
    <x v="1"/>
    <x v="34"/>
  </r>
  <r>
    <n v="39"/>
    <x v="1"/>
    <n v="5"/>
    <s v="Fri, Mon, Sat, Thu, Wed"/>
    <b v="1"/>
    <d v="1899-12-30T15:16:00"/>
    <d v="1899-12-30T17:15:00"/>
    <n v="119"/>
    <b v="1"/>
    <b v="1"/>
    <x v="0"/>
    <x v="4"/>
    <n v="30"/>
    <x v="0"/>
    <n v="30"/>
    <x v="3"/>
    <n v="0.15"/>
    <n v="25.5"/>
    <s v="Weekdays only"/>
    <s v="Sacramento, CA"/>
    <n v="38.581600000000002"/>
    <n v="-121.4944"/>
    <d v="2024-10-27T00:00:00"/>
    <n v="8"/>
    <x v="1"/>
    <x v="53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3-05-26T00:00:00"/>
    <n v="0"/>
    <x v="1"/>
    <x v="8"/>
  </r>
  <r>
    <n v="27"/>
    <x v="1"/>
    <n v="2"/>
    <s v="Tue, Wed"/>
    <b v="0"/>
    <d v="1899-12-30T18:28:00"/>
    <d v="1899-12-30T20:20:00"/>
    <n v="112"/>
    <b v="1"/>
    <b v="0"/>
    <x v="0"/>
    <x v="0"/>
    <n v="30"/>
    <x v="0"/>
    <n v="30"/>
    <x v="3"/>
    <n v="0.15"/>
    <n v="25.5"/>
    <s v="Weekdays only"/>
    <s v="Sacramento, CA"/>
    <n v="38.581600000000002"/>
    <n v="-121.4944"/>
    <d v="2024-10-13T00:00:00"/>
    <n v="0"/>
    <x v="0"/>
    <x v="51"/>
  </r>
  <r>
    <n v="32"/>
    <x v="0"/>
    <n v="3"/>
    <s v="Fri, Tue, Wed"/>
    <b v="1"/>
    <d v="1899-12-30T17:47:00"/>
    <d v="1899-12-30T19:28:00"/>
    <n v="101"/>
    <b v="0"/>
    <b v="0"/>
    <x v="1"/>
    <x v="4"/>
    <n v="50"/>
    <x v="2"/>
    <n v="45"/>
    <x v="2"/>
    <n v="0.1"/>
    <n v="40.5"/>
    <s v="All hours"/>
    <s v="Fresno, CA"/>
    <n v="36.7378"/>
    <n v="-119.7871"/>
    <d v="2024-07-11T00:00:00"/>
    <n v="0"/>
    <x v="1"/>
    <x v="39"/>
  </r>
  <r>
    <n v="35"/>
    <x v="1"/>
    <n v="1"/>
    <s v="Fri"/>
    <b v="1"/>
    <d v="1899-12-30T13:12:00"/>
    <d v="1899-12-30T14:54:00"/>
    <n v="102"/>
    <b v="1"/>
    <b v="1"/>
    <x v="0"/>
    <x v="1"/>
    <n v="30"/>
    <x v="0"/>
    <n v="30"/>
    <x v="1"/>
    <n v="0"/>
    <n v="30"/>
    <s v="Weekdays only"/>
    <s v="Long Beach, CA"/>
    <n v="33.770099999999999"/>
    <n v="-118.19370000000001"/>
    <d v="2023-04-19T00:00:00"/>
    <n v="6"/>
    <x v="1"/>
    <x v="58"/>
  </r>
  <r>
    <n v="43"/>
    <x v="1"/>
    <n v="4"/>
    <s v="Mon, Sat, Tue, Wed"/>
    <b v="1"/>
    <d v="1899-12-30T10:38:00"/>
    <d v="1899-12-30T11:41:00"/>
    <n v="63"/>
    <b v="1"/>
    <b v="1"/>
    <x v="1"/>
    <x v="0"/>
    <n v="30"/>
    <x v="1"/>
    <n v="22.5"/>
    <x v="0"/>
    <n v="0.05"/>
    <n v="21.375"/>
    <s v="Weekdays only"/>
    <s v="Bakersfield, CA"/>
    <n v="35.3733"/>
    <n v="-119.0187"/>
    <d v="2023-08-01T00:00:00"/>
    <n v="4"/>
    <x v="1"/>
    <x v="47"/>
  </r>
  <r>
    <n v="24"/>
    <x v="1"/>
    <n v="3"/>
    <s v="Mon, Sat, Sun"/>
    <b v="1"/>
    <d v="1899-12-30T20:53:00"/>
    <d v="1899-12-30T21:33:00"/>
    <n v="40"/>
    <b v="0"/>
    <b v="0"/>
    <x v="1"/>
    <x v="4"/>
    <n v="30"/>
    <x v="0"/>
    <n v="30"/>
    <x v="1"/>
    <n v="0"/>
    <n v="30"/>
    <s v="Weekdays only"/>
    <s v="Sacramento, CA"/>
    <n v="38.581600000000002"/>
    <n v="-121.4944"/>
    <d v="2022-12-31T00:00:00"/>
    <n v="0"/>
    <x v="1"/>
    <x v="57"/>
  </r>
  <r>
    <n v="22"/>
    <x v="1"/>
    <n v="5"/>
    <s v="Fri, Sat, Sun, Tue, Wed"/>
    <b v="1"/>
    <d v="1899-12-30T08:13:00"/>
    <d v="1899-12-30T09:46:00"/>
    <n v="93"/>
    <b v="0"/>
    <b v="0"/>
    <x v="1"/>
    <x v="0"/>
    <n v="30"/>
    <x v="0"/>
    <n v="30"/>
    <x v="0"/>
    <n v="0.05"/>
    <n v="28.5"/>
    <s v="Weekdays only"/>
    <s v="San Jose, CA"/>
    <n v="37.338200000000001"/>
    <n v="-121.88630000000001"/>
    <d v="2023-07-23T00:00:00"/>
    <n v="0"/>
    <x v="1"/>
    <x v="34"/>
  </r>
  <r>
    <n v="23"/>
    <x v="2"/>
    <n v="2"/>
    <s v="Mon, Sun"/>
    <b v="1"/>
    <d v="1899-12-30T12:58:00"/>
    <d v="1899-12-30T15:46:00"/>
    <n v="168"/>
    <b v="0"/>
    <b v="0"/>
    <x v="0"/>
    <x v="4"/>
    <n v="20"/>
    <x v="0"/>
    <n v="20"/>
    <x v="1"/>
    <n v="0"/>
    <n v="20"/>
    <s v="Off-peak only"/>
    <s v="San Diego, CA"/>
    <n v="32.715699999999998"/>
    <n v="-117.1611"/>
    <d v="2023-10-26T00:00:00"/>
    <n v="0"/>
    <x v="1"/>
    <x v="59"/>
  </r>
  <r>
    <n v="17"/>
    <x v="2"/>
    <n v="3"/>
    <s v="Sat, Thu, Tue"/>
    <b v="0"/>
    <d v="1899-12-30T11:02:00"/>
    <d v="1899-12-30T12:24:00"/>
    <n v="82"/>
    <b v="0"/>
    <b v="1"/>
    <x v="1"/>
    <x v="0"/>
    <n v="20"/>
    <x v="0"/>
    <n v="20"/>
    <x v="3"/>
    <n v="0.15"/>
    <n v="17"/>
    <s v="Off-peak only"/>
    <s v="Los Angeles, CA"/>
    <n v="34.052199999999999"/>
    <n v="-118.2437"/>
    <d v="2025-03-15T00:00:00"/>
    <n v="3"/>
    <x v="0"/>
    <x v="27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4-05-27T00:00:00"/>
    <n v="2"/>
    <x v="0"/>
    <x v="0"/>
  </r>
  <r>
    <n v="24"/>
    <x v="2"/>
    <n v="2"/>
    <s v="Sun, Tue"/>
    <b v="1"/>
    <d v="1899-12-30T18:58:00"/>
    <d v="1899-12-30T19:40:00"/>
    <n v="42"/>
    <b v="1"/>
    <b v="0"/>
    <x v="1"/>
    <x v="4"/>
    <n v="20"/>
    <x v="2"/>
    <n v="18"/>
    <x v="2"/>
    <n v="0.1"/>
    <n v="16.2"/>
    <s v="Off-peak only"/>
    <s v="Los Angeles, CA"/>
    <n v="34.052199999999999"/>
    <n v="-118.2437"/>
    <d v="2024-09-13T00:00:00"/>
    <n v="0"/>
    <x v="0"/>
    <x v="33"/>
  </r>
  <r>
    <n v="27"/>
    <x v="0"/>
    <n v="2"/>
    <s v="Mon, Thu"/>
    <b v="1"/>
    <d v="1899-12-30T20:32:00"/>
    <d v="1899-12-30T22:20:00"/>
    <n v="108"/>
    <b v="1"/>
    <b v="0"/>
    <x v="0"/>
    <x v="3"/>
    <n v="50"/>
    <x v="2"/>
    <n v="45"/>
    <x v="1"/>
    <n v="0"/>
    <n v="45"/>
    <s v="All hours"/>
    <s v="Long Beach, CA"/>
    <n v="33.770099999999999"/>
    <n v="-118.19370000000001"/>
    <d v="2024-10-06T00:00:00"/>
    <n v="0"/>
    <x v="0"/>
    <x v="51"/>
  </r>
  <r>
    <n v="22"/>
    <x v="2"/>
    <n v="5"/>
    <s v="Fri, Sat, Sun, Tue, Wed"/>
    <b v="1"/>
    <d v="1899-12-30T10:31:00"/>
    <d v="1899-12-30T11:48:00"/>
    <n v="77"/>
    <b v="1"/>
    <b v="1"/>
    <x v="0"/>
    <x v="0"/>
    <n v="20"/>
    <x v="1"/>
    <n v="15"/>
    <x v="0"/>
    <n v="0.05"/>
    <n v="14.25"/>
    <s v="Off-peak only"/>
    <s v="Anaheim, CA"/>
    <n v="33.836599999999997"/>
    <n v="-117.9143"/>
    <d v="2022-08-21T00:00:00"/>
    <n v="3"/>
    <x v="0"/>
    <x v="10"/>
  </r>
  <r>
    <n v="14"/>
    <x v="3"/>
    <n v="2"/>
    <s v="Sat, Sun"/>
    <b v="1"/>
    <d v="1899-12-30T14:18:00"/>
    <d v="1899-12-30T15:13:00"/>
    <n v="55"/>
    <b v="1"/>
    <b v="0"/>
    <x v="1"/>
    <x v="4"/>
    <n v="70"/>
    <x v="1"/>
    <n v="52.5"/>
    <x v="0"/>
    <n v="0.05"/>
    <n v="49.875"/>
    <s v="All hours + Priority access"/>
    <s v="San Francisco, CA"/>
    <n v="37.774900000000002"/>
    <n v="-122.4194"/>
    <d v="2024-04-30T00:00:00"/>
    <n v="0"/>
    <x v="0"/>
    <x v="40"/>
  </r>
  <r>
    <n v="47"/>
    <x v="0"/>
    <n v="1"/>
    <s v="Mon"/>
    <b v="0"/>
    <d v="1899-12-30T19:32:00"/>
    <d v="1899-12-30T20:22:00"/>
    <n v="50"/>
    <b v="1"/>
    <b v="0"/>
    <x v="0"/>
    <x v="0"/>
    <n v="50"/>
    <x v="0"/>
    <n v="50"/>
    <x v="1"/>
    <n v="0"/>
    <n v="50"/>
    <s v="All hours"/>
    <s v="San Francisco, CA"/>
    <n v="37.774900000000002"/>
    <n v="-122.4194"/>
    <d v="2022-11-15T00:00:00"/>
    <n v="0"/>
    <x v="0"/>
    <x v="37"/>
  </r>
  <r>
    <n v="26"/>
    <x v="2"/>
    <n v="3"/>
    <s v="Sat, Sun, Wed"/>
    <b v="1"/>
    <d v="1899-12-30T10:22:00"/>
    <d v="1899-12-30T11:36:00"/>
    <n v="74"/>
    <b v="0"/>
    <b v="1"/>
    <x v="0"/>
    <x v="1"/>
    <n v="20"/>
    <x v="1"/>
    <n v="15"/>
    <x v="1"/>
    <n v="0"/>
    <n v="15"/>
    <s v="Off-peak only"/>
    <s v="Bakersfield, CA"/>
    <n v="35.3733"/>
    <n v="-119.0187"/>
    <d v="2023-08-20T00:00:00"/>
    <n v="8"/>
    <x v="1"/>
    <x v="46"/>
  </r>
  <r>
    <n v="36"/>
    <x v="1"/>
    <n v="1"/>
    <s v="Tue"/>
    <b v="0"/>
    <d v="1899-12-30T20:55:00"/>
    <d v="1899-12-30T22:44:00"/>
    <n v="109"/>
    <b v="1"/>
    <b v="0"/>
    <x v="1"/>
    <x v="1"/>
    <n v="30"/>
    <x v="1"/>
    <n v="22.5"/>
    <x v="3"/>
    <n v="0.15"/>
    <n v="19.125"/>
    <s v="Weekdays only"/>
    <s v="San Jose, CA"/>
    <n v="37.338200000000001"/>
    <n v="-121.88630000000001"/>
    <d v="2023-02-27T00:00:00"/>
    <n v="0"/>
    <x v="0"/>
    <x v="22"/>
  </r>
  <r>
    <n v="30"/>
    <x v="1"/>
    <n v="4"/>
    <s v="Fri, Sat, Sun, Wed"/>
    <b v="1"/>
    <d v="1899-12-30T14:27:00"/>
    <d v="1899-12-30T16:09:00"/>
    <n v="102"/>
    <b v="0"/>
    <b v="1"/>
    <x v="0"/>
    <x v="1"/>
    <n v="30"/>
    <x v="0"/>
    <n v="30"/>
    <x v="2"/>
    <n v="0.1"/>
    <n v="27"/>
    <s v="Weekdays only"/>
    <s v="San Diego, CA"/>
    <n v="32.715699999999998"/>
    <n v="-117.1611"/>
    <d v="2024-01-04T00:00:00"/>
    <n v="3"/>
    <x v="1"/>
    <x v="23"/>
  </r>
  <r>
    <n v="12"/>
    <x v="2"/>
    <n v="1"/>
    <s v="Tue"/>
    <b v="0"/>
    <d v="1899-12-30T15:47:00"/>
    <d v="1899-12-30T16:28:00"/>
    <n v="41"/>
    <b v="1"/>
    <b v="1"/>
    <x v="1"/>
    <x v="1"/>
    <n v="20"/>
    <x v="0"/>
    <n v="20"/>
    <x v="1"/>
    <n v="0"/>
    <n v="20"/>
    <s v="Off-peak only"/>
    <s v="Bakersfield, CA"/>
    <n v="35.3733"/>
    <n v="-119.0187"/>
    <d v="2023-10-17T00:00:00"/>
    <n v="7"/>
    <x v="1"/>
    <x v="59"/>
  </r>
  <r>
    <n v="49"/>
    <x v="2"/>
    <n v="3"/>
    <s v="Mon, Sat, Sun"/>
    <b v="0"/>
    <d v="1899-12-30T19:44:00"/>
    <d v="1899-12-30T20:26:00"/>
    <n v="42"/>
    <b v="1"/>
    <b v="1"/>
    <x v="1"/>
    <x v="0"/>
    <n v="20"/>
    <x v="0"/>
    <n v="20"/>
    <x v="1"/>
    <n v="0"/>
    <n v="20"/>
    <s v="Off-peak only"/>
    <s v="Sacramento, CA"/>
    <n v="38.581600000000002"/>
    <n v="-121.4944"/>
    <d v="2024-01-15T00:00:00"/>
    <n v="1"/>
    <x v="1"/>
    <x v="31"/>
  </r>
  <r>
    <n v="47"/>
    <x v="1"/>
    <n v="3"/>
    <s v="Mon, Sun, Tue"/>
    <b v="0"/>
    <d v="1899-12-30T18:24:00"/>
    <d v="1899-12-30T19:13:00"/>
    <n v="49"/>
    <b v="1"/>
    <b v="0"/>
    <x v="0"/>
    <x v="1"/>
    <n v="30"/>
    <x v="2"/>
    <n v="27"/>
    <x v="3"/>
    <n v="0.15"/>
    <n v="22.95"/>
    <s v="Weekdays only"/>
    <s v="Long Beach, CA"/>
    <n v="33.770099999999999"/>
    <n v="-118.19370000000001"/>
    <d v="2024-11-27T00:00:00"/>
    <n v="0"/>
    <x v="1"/>
    <x v="14"/>
  </r>
  <r>
    <n v="26"/>
    <x v="1"/>
    <n v="3"/>
    <s v="Thu, Tue, Wed"/>
    <b v="0"/>
    <d v="1899-12-30T14:54:00"/>
    <d v="1899-12-30T16:46:00"/>
    <n v="112"/>
    <b v="1"/>
    <b v="1"/>
    <x v="1"/>
    <x v="1"/>
    <n v="30"/>
    <x v="0"/>
    <n v="30"/>
    <x v="3"/>
    <n v="0.15"/>
    <n v="25.5"/>
    <s v="Weekdays only"/>
    <s v="Sacramento, CA"/>
    <n v="38.581600000000002"/>
    <n v="-121.4944"/>
    <d v="2023-05-15T00:00:00"/>
    <n v="8"/>
    <x v="0"/>
    <x v="2"/>
  </r>
  <r>
    <n v="35"/>
    <x v="0"/>
    <n v="2"/>
    <s v="Sat, Sun"/>
    <b v="1"/>
    <d v="1899-12-30T12:59:00"/>
    <d v="1899-12-30T14:42:00"/>
    <n v="103"/>
    <b v="0"/>
    <b v="0"/>
    <x v="0"/>
    <x v="2"/>
    <n v="50"/>
    <x v="0"/>
    <n v="50"/>
    <x v="1"/>
    <n v="0"/>
    <n v="50"/>
    <s v="All hours"/>
    <s v="Los Angeles, CA"/>
    <n v="34.052199999999999"/>
    <n v="-118.2437"/>
    <d v="2024-08-27T00:00:00"/>
    <n v="0"/>
    <x v="0"/>
    <x v="41"/>
  </r>
  <r>
    <n v="41"/>
    <x v="1"/>
    <n v="1"/>
    <s v="Sun"/>
    <b v="1"/>
    <d v="1899-12-30T13:41:00"/>
    <d v="1899-12-30T16:17:00"/>
    <n v="156"/>
    <b v="1"/>
    <b v="1"/>
    <x v="0"/>
    <x v="0"/>
    <n v="30"/>
    <x v="0"/>
    <n v="30"/>
    <x v="1"/>
    <n v="0"/>
    <n v="30"/>
    <s v="Weekdays only"/>
    <s v="Sacramento, CA"/>
    <n v="38.581600000000002"/>
    <n v="-121.4944"/>
    <d v="2025-05-28T00:00:00"/>
    <n v="8"/>
    <x v="1"/>
    <x v="9"/>
  </r>
  <r>
    <n v="26"/>
    <x v="1"/>
    <n v="3"/>
    <s v="Fri, Mon, Sat"/>
    <b v="1"/>
    <d v="1899-12-30T15:06:00"/>
    <d v="1899-12-30T17:40:00"/>
    <n v="154"/>
    <b v="1"/>
    <b v="0"/>
    <x v="1"/>
    <x v="0"/>
    <n v="30"/>
    <x v="0"/>
    <n v="30"/>
    <x v="2"/>
    <n v="0.1"/>
    <n v="27"/>
    <s v="Weekdays only"/>
    <s v="Sacramento, CA"/>
    <n v="38.581600000000002"/>
    <n v="-121.4944"/>
    <d v="2023-08-05T00:00:00"/>
    <n v="0"/>
    <x v="0"/>
    <x v="47"/>
  </r>
  <r>
    <n v="30"/>
    <x v="2"/>
    <n v="5"/>
    <s v="Fri, Mon, Sun, Thu, Wed"/>
    <b v="0"/>
    <d v="1899-12-30T17:29:00"/>
    <d v="1899-12-30T18:25:00"/>
    <n v="56"/>
    <b v="0"/>
    <b v="1"/>
    <x v="0"/>
    <x v="1"/>
    <n v="20"/>
    <x v="0"/>
    <n v="20"/>
    <x v="3"/>
    <n v="0.15"/>
    <n v="17"/>
    <s v="Off-peak only"/>
    <s v="Fresno, CA"/>
    <n v="36.7378"/>
    <n v="-119.7871"/>
    <d v="2024-12-16T00:00:00"/>
    <n v="7"/>
    <x v="1"/>
    <x v="13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2-09-25T00:00:00"/>
    <n v="5"/>
    <x v="1"/>
    <x v="25"/>
  </r>
  <r>
    <n v="36"/>
    <x v="1"/>
    <n v="5"/>
    <s v="Fri, Mon, Sun, Thu, Tue"/>
    <b v="0"/>
    <d v="1899-12-30T20:57:00"/>
    <d v="1899-12-30T22:15:00"/>
    <n v="78"/>
    <b v="1"/>
    <b v="1"/>
    <x v="0"/>
    <x v="1"/>
    <n v="30"/>
    <x v="0"/>
    <n v="30"/>
    <x v="3"/>
    <n v="0.15"/>
    <n v="25.5"/>
    <s v="Weekdays only"/>
    <s v="Sacramento, CA"/>
    <n v="38.581600000000002"/>
    <n v="-121.4944"/>
    <d v="2022-09-11T00:00:00"/>
    <n v="4"/>
    <x v="1"/>
    <x v="1"/>
  </r>
  <r>
    <n v="45"/>
    <x v="0"/>
    <n v="3"/>
    <s v="Mon, Sat, Tue"/>
    <b v="0"/>
    <d v="1899-12-30T13:10:00"/>
    <d v="1899-12-30T15:15:00"/>
    <n v="125"/>
    <b v="1"/>
    <b v="0"/>
    <x v="1"/>
    <x v="0"/>
    <n v="50"/>
    <x v="0"/>
    <n v="50"/>
    <x v="1"/>
    <n v="0"/>
    <n v="50"/>
    <s v="All hours"/>
    <s v="Bakersfield, CA"/>
    <n v="35.3733"/>
    <n v="-119.0187"/>
    <d v="2022-10-22T00:00:00"/>
    <n v="0"/>
    <x v="0"/>
    <x v="32"/>
  </r>
  <r>
    <n v="28"/>
    <x v="1"/>
    <n v="1"/>
    <s v="Tue"/>
    <b v="1"/>
    <d v="1899-12-30T13:08:00"/>
    <d v="1899-12-30T14:35:00"/>
    <n v="87"/>
    <b v="1"/>
    <b v="1"/>
    <x v="1"/>
    <x v="0"/>
    <n v="30"/>
    <x v="1"/>
    <n v="22.5"/>
    <x v="3"/>
    <n v="0.15"/>
    <n v="19.125"/>
    <s v="Weekdays only"/>
    <s v="Sacramento, CA"/>
    <n v="38.581600000000002"/>
    <n v="-121.4944"/>
    <d v="2024-05-24T00:00:00"/>
    <n v="2"/>
    <x v="0"/>
    <x v="0"/>
  </r>
  <r>
    <n v="35"/>
    <x v="0"/>
    <n v="1"/>
    <s v="Sat"/>
    <b v="0"/>
    <d v="1899-12-30T13:53:00"/>
    <d v="1899-12-30T14:33:00"/>
    <n v="40"/>
    <b v="0"/>
    <b v="0"/>
    <x v="0"/>
    <x v="4"/>
    <n v="50"/>
    <x v="0"/>
    <n v="50"/>
    <x v="1"/>
    <n v="0"/>
    <n v="50"/>
    <s v="All hours"/>
    <s v="Bakersfield, CA"/>
    <n v="35.3733"/>
    <n v="-119.0187"/>
    <d v="2025-06-06T00:00:00"/>
    <n v="0"/>
    <x v="0"/>
    <x v="44"/>
  </r>
  <r>
    <n v="25"/>
    <x v="0"/>
    <n v="2"/>
    <s v="Thu, Tue"/>
    <b v="0"/>
    <d v="1899-12-30T10:55:00"/>
    <d v="1899-12-30T13:51:00"/>
    <n v="176"/>
    <b v="1"/>
    <b v="0"/>
    <x v="1"/>
    <x v="4"/>
    <n v="50"/>
    <x v="1"/>
    <n v="37.5"/>
    <x v="1"/>
    <n v="0"/>
    <n v="37.5"/>
    <s v="All hours"/>
    <s v="Sacramento, CA"/>
    <n v="38.581600000000002"/>
    <n v="-121.4944"/>
    <d v="2022-10-08T00:00:00"/>
    <n v="0"/>
    <x v="0"/>
    <x v="38"/>
  </r>
  <r>
    <n v="41"/>
    <x v="3"/>
    <n v="5"/>
    <s v="Mon, Sat, Sun, Tue, Wed"/>
    <b v="0"/>
    <d v="1899-12-30T16:21:00"/>
    <d v="1899-12-30T18:38:00"/>
    <n v="137"/>
    <b v="0"/>
    <b v="1"/>
    <x v="0"/>
    <x v="0"/>
    <n v="70"/>
    <x v="0"/>
    <n v="70"/>
    <x v="0"/>
    <n v="0.05"/>
    <n v="66.5"/>
    <s v="All hours + Priority access"/>
    <s v="Fresno, CA"/>
    <n v="36.7378"/>
    <n v="-119.7871"/>
    <d v="2024-03-23T00:00:00"/>
    <n v="7"/>
    <x v="0"/>
    <x v="17"/>
  </r>
  <r>
    <n v="18"/>
    <x v="2"/>
    <n v="2"/>
    <s v="Fri, Tue"/>
    <b v="0"/>
    <d v="1899-12-30T18:15:00"/>
    <d v="1899-12-30T20:59:00"/>
    <n v="164"/>
    <b v="0"/>
    <b v="0"/>
    <x v="0"/>
    <x v="1"/>
    <n v="20"/>
    <x v="1"/>
    <n v="15"/>
    <x v="3"/>
    <n v="0.15"/>
    <n v="12.75"/>
    <s v="Off-peak only"/>
    <s v="Sacramento, CA"/>
    <n v="38.581600000000002"/>
    <n v="-121.4944"/>
    <d v="2022-08-28T00:00:00"/>
    <n v="0"/>
    <x v="0"/>
    <x v="1"/>
  </r>
  <r>
    <n v="48"/>
    <x v="1"/>
    <n v="3"/>
    <s v="Mon, Tue, Wed"/>
    <b v="0"/>
    <d v="1899-12-30T15:32:00"/>
    <d v="1899-12-30T16:25:00"/>
    <n v="53"/>
    <b v="1"/>
    <b v="1"/>
    <x v="1"/>
    <x v="0"/>
    <n v="30"/>
    <x v="0"/>
    <n v="30"/>
    <x v="2"/>
    <n v="0.1"/>
    <n v="27"/>
    <s v="Weekdays only"/>
    <s v="Fresno, CA"/>
    <n v="36.7378"/>
    <n v="-119.7871"/>
    <d v="2022-08-31T00:00:00"/>
    <n v="4"/>
    <x v="1"/>
    <x v="1"/>
  </r>
  <r>
    <n v="40"/>
    <x v="1"/>
    <n v="3"/>
    <s v="Fri, Sun, Thu"/>
    <b v="1"/>
    <d v="1899-12-30T17:05:00"/>
    <d v="1899-12-30T19:39:00"/>
    <n v="154"/>
    <b v="0"/>
    <b v="1"/>
    <x v="0"/>
    <x v="0"/>
    <n v="30"/>
    <x v="0"/>
    <n v="30"/>
    <x v="1"/>
    <n v="0"/>
    <n v="30"/>
    <s v="Weekdays only"/>
    <s v="Fresno, CA"/>
    <n v="36.7378"/>
    <n v="-119.7871"/>
    <d v="2022-12-27T00:00:00"/>
    <n v="6"/>
    <x v="1"/>
    <x v="6"/>
  </r>
  <r>
    <n v="40"/>
    <x v="0"/>
    <n v="2"/>
    <s v="Mon, Sat"/>
    <b v="1"/>
    <d v="1899-12-30T14:58:00"/>
    <d v="1899-12-30T16:42:00"/>
    <n v="104"/>
    <b v="0"/>
    <b v="0"/>
    <x v="1"/>
    <x v="0"/>
    <n v="50"/>
    <x v="1"/>
    <n v="37.5"/>
    <x v="1"/>
    <n v="0"/>
    <n v="37.5"/>
    <s v="All hours"/>
    <s v="Fresno, CA"/>
    <n v="36.7378"/>
    <n v="-119.7871"/>
    <d v="2024-08-13T00:00:00"/>
    <n v="0"/>
    <x v="0"/>
    <x v="18"/>
  </r>
  <r>
    <n v="13"/>
    <x v="0"/>
    <n v="3"/>
    <s v="Sat, Thu, Wed"/>
    <b v="1"/>
    <d v="1899-12-30T13:47:00"/>
    <d v="1899-12-30T15:04:00"/>
    <n v="77"/>
    <b v="1"/>
    <b v="0"/>
    <x v="0"/>
    <x v="4"/>
    <n v="50"/>
    <x v="0"/>
    <n v="50"/>
    <x v="0"/>
    <n v="0.05"/>
    <n v="47.5"/>
    <s v="All hours"/>
    <s v="Los Angeles, CA"/>
    <n v="34.052199999999999"/>
    <n v="-118.2437"/>
    <d v="2024-05-08T00:00:00"/>
    <n v="0"/>
    <x v="0"/>
    <x v="40"/>
  </r>
  <r>
    <n v="27"/>
    <x v="0"/>
    <n v="4"/>
    <s v="Sun, Thu, Tue, Wed"/>
    <b v="0"/>
    <d v="1899-12-30T11:49:00"/>
    <d v="1899-12-30T14:25:00"/>
    <n v="156"/>
    <b v="1"/>
    <b v="1"/>
    <x v="0"/>
    <x v="0"/>
    <n v="50"/>
    <x v="1"/>
    <n v="37.5"/>
    <x v="1"/>
    <n v="0"/>
    <n v="37.5"/>
    <s v="All hours"/>
    <s v="San Diego, CA"/>
    <n v="32.715699999999998"/>
    <n v="-117.1611"/>
    <d v="2022-12-29T00:00:00"/>
    <n v="4"/>
    <x v="0"/>
    <x v="6"/>
  </r>
  <r>
    <n v="48"/>
    <x v="1"/>
    <n v="3"/>
    <s v="Mon, Tue, Wed"/>
    <b v="0"/>
    <d v="1899-12-30T15:32:00"/>
    <d v="1899-12-30T16:25:00"/>
    <n v="53"/>
    <b v="1"/>
    <b v="1"/>
    <x v="1"/>
    <x v="0"/>
    <n v="30"/>
    <x v="0"/>
    <n v="30"/>
    <x v="2"/>
    <n v="0.1"/>
    <n v="27"/>
    <s v="Weekdays only"/>
    <s v="Fresno, CA"/>
    <n v="36.7378"/>
    <n v="-119.7871"/>
    <d v="2024-07-20T00:00:00"/>
    <n v="6"/>
    <x v="0"/>
    <x v="39"/>
  </r>
  <r>
    <n v="39"/>
    <x v="0"/>
    <n v="4"/>
    <s v="Sat, Sun, Thu, Tue"/>
    <b v="1"/>
    <d v="1899-12-30T16:21:00"/>
    <d v="1899-12-30T17:34:00"/>
    <n v="73"/>
    <b v="1"/>
    <b v="1"/>
    <x v="0"/>
    <x v="4"/>
    <n v="50"/>
    <x v="2"/>
    <n v="45"/>
    <x v="3"/>
    <n v="0.15"/>
    <n v="38.25"/>
    <s v="All hours"/>
    <s v="Anaheim, CA"/>
    <n v="33.836599999999997"/>
    <n v="-117.9143"/>
    <d v="2024-12-24T00:00:00"/>
    <n v="7"/>
    <x v="0"/>
    <x v="13"/>
  </r>
  <r>
    <n v="37"/>
    <x v="2"/>
    <n v="3"/>
    <s v="Sun, Thu, Tue"/>
    <b v="0"/>
    <d v="1899-12-30T14:33:00"/>
    <d v="1899-12-30T15:10:00"/>
    <n v="37"/>
    <b v="0"/>
    <b v="0"/>
    <x v="0"/>
    <x v="1"/>
    <n v="20"/>
    <x v="0"/>
    <n v="20"/>
    <x v="0"/>
    <n v="0.05"/>
    <n v="19"/>
    <s v="Off-peak only"/>
    <s v="Sacramento, CA"/>
    <n v="38.581600000000002"/>
    <n v="-121.4944"/>
    <d v="2023-11-08T00:00:00"/>
    <n v="0"/>
    <x v="1"/>
    <x v="50"/>
  </r>
  <r>
    <n v="26"/>
    <x v="0"/>
    <n v="5"/>
    <s v="Mon, Sat, Sun, Thu, Wed"/>
    <b v="1"/>
    <d v="1899-12-30T17:11:00"/>
    <d v="1899-12-30T18:02:00"/>
    <n v="51"/>
    <b v="0"/>
    <b v="1"/>
    <x v="1"/>
    <x v="4"/>
    <n v="50"/>
    <x v="1"/>
    <n v="37.5"/>
    <x v="3"/>
    <n v="0.15"/>
    <n v="31.875"/>
    <s v="All hours"/>
    <s v="Long Beach, CA"/>
    <n v="33.770099999999999"/>
    <n v="-118.19370000000001"/>
    <d v="2022-09-29T00:00:00"/>
    <n v="8"/>
    <x v="0"/>
    <x v="25"/>
  </r>
  <r>
    <n v="48"/>
    <x v="1"/>
    <n v="3"/>
    <s v="Fri, Sun, Wed"/>
    <b v="0"/>
    <d v="1899-12-30T11:07:00"/>
    <d v="1899-12-30T12:43:00"/>
    <n v="96"/>
    <b v="1"/>
    <b v="1"/>
    <x v="1"/>
    <x v="0"/>
    <n v="30"/>
    <x v="0"/>
    <n v="30"/>
    <x v="1"/>
    <n v="0"/>
    <n v="30"/>
    <s v="Weekdays only"/>
    <s v="San Diego, CA"/>
    <n v="32.715699999999998"/>
    <n v="-117.1611"/>
    <d v="2023-06-12T00:00:00"/>
    <n v="8"/>
    <x v="1"/>
    <x v="28"/>
  </r>
  <r>
    <n v="42"/>
    <x v="2"/>
    <n v="3"/>
    <s v="Sun, Thu, Wed"/>
    <b v="0"/>
    <d v="1899-12-30T13:32:00"/>
    <d v="1899-12-30T14:56:00"/>
    <n v="84"/>
    <b v="0"/>
    <b v="1"/>
    <x v="1"/>
    <x v="4"/>
    <n v="20"/>
    <x v="0"/>
    <n v="20"/>
    <x v="2"/>
    <n v="0.1"/>
    <n v="18"/>
    <s v="Off-peak only"/>
    <s v="Anaheim, CA"/>
    <n v="33.836599999999997"/>
    <n v="-117.9143"/>
    <d v="2023-10-24T00:00:00"/>
    <n v="5"/>
    <x v="1"/>
    <x v="59"/>
  </r>
  <r>
    <n v="16"/>
    <x v="0"/>
    <n v="3"/>
    <s v="Sun, Thu, Wed"/>
    <b v="1"/>
    <d v="1899-12-30T12:45:00"/>
    <d v="1899-12-30T14:42:00"/>
    <n v="117"/>
    <b v="1"/>
    <b v="1"/>
    <x v="0"/>
    <x v="1"/>
    <n v="50"/>
    <x v="0"/>
    <n v="50"/>
    <x v="1"/>
    <n v="0"/>
    <n v="50"/>
    <s v="All hours"/>
    <s v="Oakland, CA"/>
    <n v="37.804400000000001"/>
    <n v="-122.27119999999999"/>
    <d v="2025-03-11T00:00:00"/>
    <n v="7"/>
    <x v="0"/>
    <x v="27"/>
  </r>
  <r>
    <n v="29"/>
    <x v="2"/>
    <n v="1"/>
    <s v="Sun"/>
    <b v="1"/>
    <d v="1899-12-30T12:26:00"/>
    <d v="1899-12-30T13:45:00"/>
    <n v="79"/>
    <b v="0"/>
    <b v="0"/>
    <x v="0"/>
    <x v="4"/>
    <n v="20"/>
    <x v="0"/>
    <n v="20"/>
    <x v="1"/>
    <n v="0"/>
    <n v="20"/>
    <s v="Off-peak only"/>
    <s v="Fresno, CA"/>
    <n v="36.7378"/>
    <n v="-119.7871"/>
    <d v="2023-09-07T00:00:00"/>
    <n v="0"/>
    <x v="0"/>
    <x v="7"/>
  </r>
  <r>
    <n v="22"/>
    <x v="1"/>
    <n v="3"/>
    <s v="Fri, Sat, Sun"/>
    <b v="0"/>
    <d v="1899-12-30T10:41:00"/>
    <d v="1899-12-30T11:38:00"/>
    <n v="57"/>
    <b v="1"/>
    <b v="1"/>
    <x v="1"/>
    <x v="4"/>
    <n v="30"/>
    <x v="0"/>
    <n v="30"/>
    <x v="3"/>
    <n v="0.15"/>
    <n v="25.5"/>
    <s v="Weekdays only"/>
    <s v="Los Angeles, CA"/>
    <n v="34.052199999999999"/>
    <n v="-118.2437"/>
    <d v="2022-08-03T00:00:00"/>
    <n v="6"/>
    <x v="1"/>
    <x v="43"/>
  </r>
  <r>
    <n v="43"/>
    <x v="0"/>
    <n v="3"/>
    <s v="Fri, Sat, Thu"/>
    <b v="1"/>
    <d v="1899-12-30T13:40:00"/>
    <d v="1899-12-30T16:26:00"/>
    <n v="166"/>
    <b v="1"/>
    <b v="1"/>
    <x v="1"/>
    <x v="3"/>
    <n v="50"/>
    <x v="2"/>
    <n v="45"/>
    <x v="2"/>
    <n v="0.1"/>
    <n v="40.5"/>
    <s v="All hours"/>
    <s v="Los Angeles, CA"/>
    <n v="34.052199999999999"/>
    <n v="-118.2437"/>
    <d v="2025-01-24T00:00:00"/>
    <n v="4"/>
    <x v="0"/>
    <x v="19"/>
  </r>
  <r>
    <n v="13"/>
    <x v="0"/>
    <n v="2"/>
    <s v="Sat, Wed"/>
    <b v="1"/>
    <d v="1899-12-30T16:36:00"/>
    <d v="1899-12-30T17:32:00"/>
    <n v="56"/>
    <b v="1"/>
    <b v="0"/>
    <x v="0"/>
    <x v="4"/>
    <n v="50"/>
    <x v="0"/>
    <n v="50"/>
    <x v="2"/>
    <n v="0.1"/>
    <n v="45"/>
    <s v="All hours"/>
    <s v="Los Angeles, CA"/>
    <n v="34.052199999999999"/>
    <n v="-118.2437"/>
    <d v="2023-12-18T00:00:00"/>
    <n v="0"/>
    <x v="0"/>
    <x v="16"/>
  </r>
  <r>
    <n v="22"/>
    <x v="1"/>
    <n v="5"/>
    <s v="Fri, Mon, Sat, Sun, Wed"/>
    <b v="1"/>
    <d v="1899-12-30T15:44:00"/>
    <d v="1899-12-30T17:05:00"/>
    <n v="81"/>
    <b v="0"/>
    <b v="1"/>
    <x v="0"/>
    <x v="4"/>
    <n v="30"/>
    <x v="2"/>
    <n v="27"/>
    <x v="1"/>
    <n v="0"/>
    <n v="27"/>
    <s v="Weekdays only"/>
    <s v="Fresno, CA"/>
    <n v="36.7378"/>
    <n v="-119.7871"/>
    <d v="2022-12-01T00:00:00"/>
    <n v="4"/>
    <x v="1"/>
    <x v="54"/>
  </r>
  <r>
    <n v="43"/>
    <x v="0"/>
    <n v="3"/>
    <s v="Fri, Mon, Tue"/>
    <b v="0"/>
    <d v="1899-12-30T11:56:00"/>
    <d v="1899-12-30T12:35:00"/>
    <n v="39"/>
    <b v="0"/>
    <b v="1"/>
    <x v="1"/>
    <x v="4"/>
    <n v="50"/>
    <x v="1"/>
    <n v="37.5"/>
    <x v="2"/>
    <n v="0.1"/>
    <n v="33.75"/>
    <s v="All hours"/>
    <s v="Fresno, CA"/>
    <n v="36.7378"/>
    <n v="-119.7871"/>
    <d v="2023-04-26T00:00:00"/>
    <n v="6"/>
    <x v="1"/>
    <x v="58"/>
  </r>
  <r>
    <n v="20"/>
    <x v="1"/>
    <n v="1"/>
    <s v="Tue"/>
    <b v="0"/>
    <d v="1899-12-30T08:55:00"/>
    <d v="1899-12-30T10:23:00"/>
    <n v="88"/>
    <b v="1"/>
    <b v="1"/>
    <x v="1"/>
    <x v="4"/>
    <n v="30"/>
    <x v="0"/>
    <n v="30"/>
    <x v="1"/>
    <n v="0"/>
    <n v="30"/>
    <s v="Weekdays only"/>
    <s v="San Francisco, CA"/>
    <n v="37.774900000000002"/>
    <n v="-122.4194"/>
    <d v="2023-06-11T00:00:00"/>
    <n v="3"/>
    <x v="1"/>
    <x v="28"/>
  </r>
  <r>
    <n v="25"/>
    <x v="0"/>
    <n v="2"/>
    <s v="Thu, Wed"/>
    <b v="1"/>
    <d v="1899-12-30T20:31:00"/>
    <d v="1899-12-30T21:08:00"/>
    <n v="37"/>
    <b v="0"/>
    <b v="1"/>
    <x v="1"/>
    <x v="0"/>
    <n v="50"/>
    <x v="1"/>
    <n v="37.5"/>
    <x v="2"/>
    <n v="0.1"/>
    <n v="33.75"/>
    <s v="All hours"/>
    <s v="Bakersfield, CA"/>
    <n v="35.3733"/>
    <n v="-119.0187"/>
    <d v="2023-06-05T00:00:00"/>
    <n v="5"/>
    <x v="1"/>
    <x v="8"/>
  </r>
  <r>
    <n v="34"/>
    <x v="0"/>
    <n v="2"/>
    <s v="Sat, Thu"/>
    <b v="1"/>
    <d v="1899-12-30T13:39:00"/>
    <d v="1899-12-30T14:34:00"/>
    <n v="55"/>
    <b v="0"/>
    <b v="1"/>
    <x v="0"/>
    <x v="0"/>
    <n v="50"/>
    <x v="0"/>
    <n v="50"/>
    <x v="0"/>
    <n v="0.05"/>
    <n v="47.5"/>
    <s v="All hours"/>
    <s v="San Diego, CA"/>
    <n v="32.715699999999998"/>
    <n v="-117.1611"/>
    <d v="2024-06-05T00:00:00"/>
    <n v="1"/>
    <x v="0"/>
    <x v="20"/>
  </r>
  <r>
    <n v="46"/>
    <x v="0"/>
    <n v="5"/>
    <s v="Mon, Sat, Thu, Tue, Wed"/>
    <b v="0"/>
    <d v="1899-12-30T20:46:00"/>
    <d v="1899-12-30T22:09:00"/>
    <n v="83"/>
    <b v="1"/>
    <b v="1"/>
    <x v="1"/>
    <x v="4"/>
    <n v="50"/>
    <x v="1"/>
    <n v="37.5"/>
    <x v="3"/>
    <n v="0.15"/>
    <n v="31.875"/>
    <s v="All hours"/>
    <s v="Bakersfield, CA"/>
    <n v="35.3733"/>
    <n v="-119.0187"/>
    <d v="2024-08-14T00:00:00"/>
    <n v="8"/>
    <x v="1"/>
    <x v="18"/>
  </r>
  <r>
    <n v="48"/>
    <x v="0"/>
    <n v="3"/>
    <s v="Fri, Thu, Tue"/>
    <b v="1"/>
    <d v="1899-12-30T11:56:00"/>
    <d v="1899-12-30T14:13:00"/>
    <n v="137"/>
    <b v="0"/>
    <b v="1"/>
    <x v="1"/>
    <x v="4"/>
    <n v="50"/>
    <x v="0"/>
    <n v="50"/>
    <x v="1"/>
    <n v="0"/>
    <n v="50"/>
    <s v="All hours"/>
    <s v="Long Beach, CA"/>
    <n v="33.770099999999999"/>
    <n v="-118.19370000000001"/>
    <d v="2023-02-12T00:00:00"/>
    <n v="2"/>
    <x v="0"/>
    <x v="26"/>
  </r>
  <r>
    <n v="28"/>
    <x v="0"/>
    <n v="4"/>
    <s v="Fri, Sat, Sun, Wed"/>
    <b v="0"/>
    <d v="1899-12-30T16:33:00"/>
    <d v="1899-12-30T17:11:00"/>
    <n v="38"/>
    <b v="0"/>
    <b v="0"/>
    <x v="1"/>
    <x v="0"/>
    <n v="50"/>
    <x v="1"/>
    <n v="37.5"/>
    <x v="0"/>
    <n v="0.05"/>
    <n v="35.625"/>
    <s v="All hours"/>
    <s v="San Diego, CA"/>
    <n v="32.715699999999998"/>
    <n v="-117.1611"/>
    <d v="2023-02-11T00:00:00"/>
    <n v="0"/>
    <x v="1"/>
    <x v="26"/>
  </r>
  <r>
    <n v="20"/>
    <x v="2"/>
    <n v="3"/>
    <s v="Mon, Sat, Tue"/>
    <b v="1"/>
    <d v="1899-12-30T08:53:00"/>
    <d v="1899-12-30T11:11:00"/>
    <n v="138"/>
    <b v="0"/>
    <b v="1"/>
    <x v="1"/>
    <x v="0"/>
    <n v="20"/>
    <x v="0"/>
    <n v="20"/>
    <x v="0"/>
    <n v="0.05"/>
    <n v="19"/>
    <s v="Off-peak only"/>
    <s v="Fresno, CA"/>
    <n v="36.7378"/>
    <n v="-119.7871"/>
    <d v="2022-12-12T00:00:00"/>
    <n v="4"/>
    <x v="1"/>
    <x v="54"/>
  </r>
  <r>
    <n v="20"/>
    <x v="2"/>
    <n v="4"/>
    <s v="Fri, Mon, Sun, Wed"/>
    <b v="0"/>
    <d v="1899-12-30T17:12:00"/>
    <d v="1899-12-30T18:19:00"/>
    <n v="67"/>
    <b v="0"/>
    <b v="0"/>
    <x v="1"/>
    <x v="0"/>
    <n v="20"/>
    <x v="1"/>
    <n v="15"/>
    <x v="1"/>
    <n v="0"/>
    <n v="15"/>
    <s v="Off-peak only"/>
    <s v="San Diego, CA"/>
    <n v="32.715699999999998"/>
    <n v="-117.1611"/>
    <d v="2022-10-24T00:00:00"/>
    <n v="0"/>
    <x v="1"/>
    <x v="32"/>
  </r>
  <r>
    <n v="39"/>
    <x v="2"/>
    <n v="5"/>
    <s v="Mon, Sun, Thu, Tue, Wed"/>
    <b v="1"/>
    <d v="1899-12-30T19:04:00"/>
    <d v="1899-12-30T20:02:00"/>
    <n v="58"/>
    <b v="1"/>
    <b v="0"/>
    <x v="1"/>
    <x v="0"/>
    <n v="20"/>
    <x v="1"/>
    <n v="15"/>
    <x v="1"/>
    <n v="0"/>
    <n v="15"/>
    <s v="Off-peak only"/>
    <s v="Sacramento, CA"/>
    <n v="38.581600000000002"/>
    <n v="-121.4944"/>
    <d v="2023-12-26T00:00:00"/>
    <n v="0"/>
    <x v="1"/>
    <x v="23"/>
  </r>
  <r>
    <n v="22"/>
    <x v="1"/>
    <n v="3"/>
    <s v="Fri, Sun, Tue"/>
    <b v="0"/>
    <d v="1899-12-30T17:13:00"/>
    <d v="1899-12-30T18:24:00"/>
    <n v="71"/>
    <b v="0"/>
    <b v="0"/>
    <x v="1"/>
    <x v="2"/>
    <n v="30"/>
    <x v="1"/>
    <n v="22.5"/>
    <x v="0"/>
    <n v="0.05"/>
    <n v="21.375"/>
    <s v="Weekdays only"/>
    <s v="San Diego, CA"/>
    <n v="32.715699999999998"/>
    <n v="-117.1611"/>
    <d v="2024-01-05T00:00:00"/>
    <n v="0"/>
    <x v="1"/>
    <x v="23"/>
  </r>
  <r>
    <n v="27"/>
    <x v="1"/>
    <n v="1"/>
    <s v="Mon"/>
    <b v="1"/>
    <d v="1899-12-30T18:22:00"/>
    <d v="1899-12-30T21:20:00"/>
    <n v="178"/>
    <b v="1"/>
    <b v="0"/>
    <x v="1"/>
    <x v="0"/>
    <n v="30"/>
    <x v="1"/>
    <n v="22.5"/>
    <x v="0"/>
    <n v="0.05"/>
    <n v="21.375"/>
    <s v="Weekdays only"/>
    <s v="Los Angeles, CA"/>
    <n v="34.052199999999999"/>
    <n v="-118.2437"/>
    <d v="2023-02-23T00:00:00"/>
    <n v="0"/>
    <x v="0"/>
    <x v="22"/>
  </r>
  <r>
    <n v="42"/>
    <x v="1"/>
    <n v="5"/>
    <s v="Fri, Mon, Sat, Thu, Tue"/>
    <b v="0"/>
    <d v="1899-12-30T17:30:00"/>
    <d v="1899-12-30T20:15:00"/>
    <n v="165"/>
    <b v="1"/>
    <b v="0"/>
    <x v="1"/>
    <x v="4"/>
    <n v="30"/>
    <x v="0"/>
    <n v="30"/>
    <x v="0"/>
    <n v="0.05"/>
    <n v="28.5"/>
    <s v="Weekdays only"/>
    <s v="Fresno, CA"/>
    <n v="36.7378"/>
    <n v="-119.7871"/>
    <d v="2023-07-31T00:00:00"/>
    <n v="0"/>
    <x v="1"/>
    <x v="47"/>
  </r>
  <r>
    <n v="27"/>
    <x v="1"/>
    <n v="1"/>
    <s v="Wed"/>
    <b v="0"/>
    <d v="1899-12-30T11:25:00"/>
    <d v="1899-12-30T12:56:00"/>
    <n v="91"/>
    <b v="1"/>
    <b v="0"/>
    <x v="1"/>
    <x v="4"/>
    <n v="30"/>
    <x v="0"/>
    <n v="30"/>
    <x v="3"/>
    <n v="0.15"/>
    <n v="25.5"/>
    <s v="Weekdays only"/>
    <s v="Fresno, CA"/>
    <n v="36.7378"/>
    <n v="-119.7871"/>
    <d v="2023-06-06T00:00:00"/>
    <n v="0"/>
    <x v="1"/>
    <x v="8"/>
  </r>
  <r>
    <n v="19"/>
    <x v="1"/>
    <n v="5"/>
    <s v="Fri, Mon, Sun, Thu, Tue"/>
    <b v="0"/>
    <d v="1899-12-30T20:23:00"/>
    <d v="1899-12-30T21:52:00"/>
    <n v="89"/>
    <b v="1"/>
    <b v="0"/>
    <x v="0"/>
    <x v="0"/>
    <n v="30"/>
    <x v="0"/>
    <n v="30"/>
    <x v="1"/>
    <n v="0"/>
    <n v="30"/>
    <s v="Weekdays only"/>
    <s v="San Diego, CA"/>
    <n v="32.715699999999998"/>
    <n v="-117.1611"/>
    <d v="2023-02-26T00:00:00"/>
    <n v="0"/>
    <x v="0"/>
    <x v="22"/>
  </r>
  <r>
    <n v="35"/>
    <x v="0"/>
    <n v="2"/>
    <s v="Mon, Wed"/>
    <b v="1"/>
    <d v="1899-12-30T16:36:00"/>
    <d v="1899-12-30T17:42:00"/>
    <n v="66"/>
    <b v="1"/>
    <b v="0"/>
    <x v="0"/>
    <x v="4"/>
    <n v="50"/>
    <x v="0"/>
    <n v="50"/>
    <x v="3"/>
    <n v="0.15"/>
    <n v="42.5"/>
    <s v="All hours"/>
    <s v="Bakersfield, CA"/>
    <n v="35.3733"/>
    <n v="-119.0187"/>
    <d v="2022-11-18T00:00:00"/>
    <n v="0"/>
    <x v="0"/>
    <x v="37"/>
  </r>
  <r>
    <n v="20"/>
    <x v="0"/>
    <n v="3"/>
    <s v="Sat, Sun, Thu"/>
    <b v="0"/>
    <d v="1899-12-30T10:32:00"/>
    <d v="1899-12-30T11:09:00"/>
    <n v="37"/>
    <b v="0"/>
    <b v="0"/>
    <x v="1"/>
    <x v="4"/>
    <n v="50"/>
    <x v="0"/>
    <n v="50"/>
    <x v="3"/>
    <n v="0.15"/>
    <n v="42.5"/>
    <s v="All hours"/>
    <s v="San Francisco, CA"/>
    <n v="37.774900000000002"/>
    <n v="-122.4194"/>
    <d v="2024-06-28T00:00:00"/>
    <n v="0"/>
    <x v="1"/>
    <x v="55"/>
  </r>
  <r>
    <n v="20"/>
    <x v="2"/>
    <n v="2"/>
    <s v="Fri, Wed"/>
    <b v="1"/>
    <d v="1899-12-30T17:52:00"/>
    <d v="1899-12-30T20:41:00"/>
    <n v="169"/>
    <b v="0"/>
    <b v="0"/>
    <x v="1"/>
    <x v="0"/>
    <n v="20"/>
    <x v="2"/>
    <n v="18"/>
    <x v="3"/>
    <n v="0.15"/>
    <n v="15.3"/>
    <s v="Off-peak only"/>
    <s v="Fresno, CA"/>
    <n v="36.7378"/>
    <n v="-119.7871"/>
    <d v="2024-05-19T00:00:00"/>
    <n v="0"/>
    <x v="0"/>
    <x v="0"/>
  </r>
  <r>
    <n v="45"/>
    <x v="0"/>
    <n v="3"/>
    <s v="Mon, Sun, Wed"/>
    <b v="0"/>
    <d v="1899-12-30T13:42:00"/>
    <d v="1899-12-30T15:54:00"/>
    <n v="132"/>
    <b v="0"/>
    <b v="0"/>
    <x v="0"/>
    <x v="1"/>
    <n v="50"/>
    <x v="0"/>
    <n v="50"/>
    <x v="1"/>
    <n v="0"/>
    <n v="50"/>
    <s v="All hours"/>
    <s v="Anaheim, CA"/>
    <n v="33.836599999999997"/>
    <n v="-117.9143"/>
    <d v="2025-03-14T00:00:00"/>
    <n v="0"/>
    <x v="0"/>
    <x v="27"/>
  </r>
  <r>
    <n v="42"/>
    <x v="1"/>
    <n v="3"/>
    <s v="Sat, Sun, Tue"/>
    <b v="1"/>
    <d v="1899-12-30T10:23:00"/>
    <d v="1899-12-30T12:01:00"/>
    <n v="98"/>
    <b v="0"/>
    <b v="1"/>
    <x v="1"/>
    <x v="0"/>
    <n v="30"/>
    <x v="0"/>
    <n v="30"/>
    <x v="3"/>
    <n v="0.15"/>
    <n v="25.5"/>
    <s v="Weekdays only"/>
    <s v="Sacramento, CA"/>
    <n v="38.581600000000002"/>
    <n v="-121.4944"/>
    <d v="2023-10-16T00:00:00"/>
    <n v="2"/>
    <x v="1"/>
    <x v="59"/>
  </r>
  <r>
    <n v="31"/>
    <x v="2"/>
    <n v="4"/>
    <s v="Fri, Mon, Tue, Wed"/>
    <b v="0"/>
    <d v="1899-12-30T20:33:00"/>
    <d v="1899-12-30T22:56:00"/>
    <n v="143"/>
    <b v="1"/>
    <b v="0"/>
    <x v="0"/>
    <x v="4"/>
    <n v="20"/>
    <x v="1"/>
    <n v="15"/>
    <x v="1"/>
    <n v="0"/>
    <n v="15"/>
    <s v="Off-peak only"/>
    <s v="San Francisco, CA"/>
    <n v="37.774900000000002"/>
    <n v="-122.4194"/>
    <d v="2025-05-15T00:00:00"/>
    <n v="0"/>
    <x v="1"/>
    <x v="24"/>
  </r>
  <r>
    <n v="48"/>
    <x v="1"/>
    <n v="1"/>
    <s v="Fri"/>
    <b v="0"/>
    <d v="1899-12-30T18:52:00"/>
    <d v="1899-12-30T20:11:00"/>
    <n v="79"/>
    <b v="1"/>
    <b v="1"/>
    <x v="0"/>
    <x v="4"/>
    <n v="30"/>
    <x v="0"/>
    <n v="30"/>
    <x v="1"/>
    <n v="0"/>
    <n v="30"/>
    <s v="Weekdays only"/>
    <s v="San Jose, CA"/>
    <n v="37.338200000000001"/>
    <n v="-121.88630000000001"/>
    <d v="2024-02-13T00:00:00"/>
    <n v="1"/>
    <x v="1"/>
    <x v="21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3-11-23T00:00:00"/>
    <n v="7"/>
    <x v="0"/>
    <x v="35"/>
  </r>
  <r>
    <n v="16"/>
    <x v="0"/>
    <n v="5"/>
    <s v="Fri, Sat, Thu, Tue, Wed"/>
    <b v="0"/>
    <d v="1899-12-30T18:39:00"/>
    <d v="1899-12-30T20:06:00"/>
    <n v="87"/>
    <b v="0"/>
    <b v="1"/>
    <x v="1"/>
    <x v="0"/>
    <n v="50"/>
    <x v="0"/>
    <n v="50"/>
    <x v="1"/>
    <n v="0"/>
    <n v="50"/>
    <s v="All hours"/>
    <s v="Oakland, CA"/>
    <n v="37.804400000000001"/>
    <n v="-122.27119999999999"/>
    <d v="2024-08-21T00:00:00"/>
    <n v="2"/>
    <x v="1"/>
    <x v="18"/>
  </r>
  <r>
    <n v="43"/>
    <x v="3"/>
    <n v="3"/>
    <s v="Sat, Sun, Wed"/>
    <b v="1"/>
    <d v="1899-12-30T10:17:00"/>
    <d v="1899-12-30T12:00:00"/>
    <n v="103"/>
    <b v="0"/>
    <b v="1"/>
    <x v="0"/>
    <x v="4"/>
    <n v="70"/>
    <x v="1"/>
    <n v="52.5"/>
    <x v="1"/>
    <n v="0"/>
    <n v="52.5"/>
    <s v="All hours + Priority access"/>
    <s v="Long Beach, CA"/>
    <n v="33.770099999999999"/>
    <n v="-118.19370000000001"/>
    <d v="2023-10-02T00:00:00"/>
    <n v="1"/>
    <x v="0"/>
    <x v="3"/>
  </r>
  <r>
    <n v="43"/>
    <x v="1"/>
    <n v="3"/>
    <s v="Fri, Sun, Tue"/>
    <b v="0"/>
    <d v="1899-12-30T12:12:00"/>
    <d v="1899-12-30T13:08:00"/>
    <n v="56"/>
    <b v="1"/>
    <b v="1"/>
    <x v="0"/>
    <x v="4"/>
    <n v="30"/>
    <x v="0"/>
    <n v="30"/>
    <x v="2"/>
    <n v="0.1"/>
    <n v="27"/>
    <s v="Weekdays only"/>
    <s v="Long Beach, CA"/>
    <n v="33.770099999999999"/>
    <n v="-118.19370000000001"/>
    <d v="2025-05-21T00:00:00"/>
    <n v="8"/>
    <x v="0"/>
    <x v="9"/>
  </r>
  <r>
    <n v="24"/>
    <x v="0"/>
    <n v="2"/>
    <s v="Sun, Tue"/>
    <b v="1"/>
    <d v="1899-12-30T17:44:00"/>
    <d v="1899-12-30T20:02:00"/>
    <n v="138"/>
    <b v="0"/>
    <b v="1"/>
    <x v="1"/>
    <x v="0"/>
    <n v="50"/>
    <x v="0"/>
    <n v="50"/>
    <x v="0"/>
    <n v="0.05"/>
    <n v="47.5"/>
    <s v="All hours"/>
    <s v="Fresno, CA"/>
    <n v="36.7378"/>
    <n v="-119.7871"/>
    <d v="2025-05-14T00:00:00"/>
    <n v="6"/>
    <x v="0"/>
    <x v="24"/>
  </r>
  <r>
    <n v="41"/>
    <x v="1"/>
    <n v="1"/>
    <s v="Thu"/>
    <b v="0"/>
    <d v="1899-12-30T10:52:00"/>
    <d v="1899-12-30T12:25:00"/>
    <n v="93"/>
    <b v="1"/>
    <b v="0"/>
    <x v="1"/>
    <x v="0"/>
    <n v="30"/>
    <x v="1"/>
    <n v="22.5"/>
    <x v="3"/>
    <n v="0.15"/>
    <n v="19.125"/>
    <s v="Weekdays only"/>
    <s v="San Diego, CA"/>
    <n v="32.715699999999998"/>
    <n v="-117.1611"/>
    <d v="2023-01-28T00:00:00"/>
    <n v="0"/>
    <x v="1"/>
    <x v="11"/>
  </r>
  <r>
    <n v="25"/>
    <x v="1"/>
    <n v="3"/>
    <s v="Sat, Sun, Tue"/>
    <b v="0"/>
    <d v="1899-12-30T17:21:00"/>
    <d v="1899-12-30T18:17:00"/>
    <n v="56"/>
    <b v="0"/>
    <b v="0"/>
    <x v="1"/>
    <x v="4"/>
    <n v="30"/>
    <x v="1"/>
    <n v="22.5"/>
    <x v="3"/>
    <n v="0.15"/>
    <n v="19.125"/>
    <s v="Weekdays only"/>
    <s v="Sacramento, CA"/>
    <n v="38.581600000000002"/>
    <n v="-121.4944"/>
    <d v="2024-06-04T00:00:00"/>
    <n v="0"/>
    <x v="0"/>
    <x v="20"/>
  </r>
  <r>
    <n v="16"/>
    <x v="3"/>
    <n v="1"/>
    <s v="Fri"/>
    <b v="0"/>
    <d v="1899-12-30T08:42:00"/>
    <d v="1899-12-30T10:34:00"/>
    <n v="112"/>
    <b v="0"/>
    <b v="0"/>
    <x v="0"/>
    <x v="4"/>
    <n v="70"/>
    <x v="0"/>
    <n v="70"/>
    <x v="1"/>
    <n v="0"/>
    <n v="70"/>
    <s v="All hours + Priority access"/>
    <s v="Bakersfield, CA"/>
    <n v="35.3733"/>
    <n v="-119.0187"/>
    <d v="2025-02-07T00:00:00"/>
    <n v="0"/>
    <x v="0"/>
    <x v="30"/>
  </r>
  <r>
    <n v="30"/>
    <x v="0"/>
    <n v="3"/>
    <s v="Sun, Thu, Tue"/>
    <b v="0"/>
    <d v="1899-12-30T13:51:00"/>
    <d v="1899-12-30T16:13:00"/>
    <n v="142"/>
    <b v="0"/>
    <b v="1"/>
    <x v="1"/>
    <x v="1"/>
    <n v="50"/>
    <x v="1"/>
    <n v="37.5"/>
    <x v="1"/>
    <n v="0"/>
    <n v="37.5"/>
    <s v="All hours"/>
    <s v="San Francisco, CA"/>
    <n v="37.774900000000002"/>
    <n v="-122.4194"/>
    <d v="2023-12-14T00:00:00"/>
    <n v="3"/>
    <x v="0"/>
    <x v="16"/>
  </r>
  <r>
    <n v="41"/>
    <x v="2"/>
    <n v="4"/>
    <s v="Fri, Mon, Thu, Wed"/>
    <b v="0"/>
    <d v="1899-12-30T17:08:00"/>
    <d v="1899-12-30T18:16:00"/>
    <n v="68"/>
    <b v="1"/>
    <b v="1"/>
    <x v="0"/>
    <x v="4"/>
    <n v="20"/>
    <x v="2"/>
    <n v="18"/>
    <x v="1"/>
    <n v="0"/>
    <n v="18"/>
    <s v="Off-peak only"/>
    <s v="Long Beach, CA"/>
    <n v="33.770099999999999"/>
    <n v="-118.19370000000001"/>
    <d v="2023-03-25T00:00:00"/>
    <n v="8"/>
    <x v="0"/>
    <x v="36"/>
  </r>
  <r>
    <n v="48"/>
    <x v="0"/>
    <n v="2"/>
    <s v="Tue, Wed"/>
    <b v="0"/>
    <d v="1899-12-30T09:57:00"/>
    <d v="1899-12-30T12:35:00"/>
    <n v="158"/>
    <b v="0"/>
    <b v="1"/>
    <x v="1"/>
    <x v="0"/>
    <n v="50"/>
    <x v="1"/>
    <n v="37.5"/>
    <x v="3"/>
    <n v="0.15"/>
    <n v="31.875"/>
    <s v="All hours"/>
    <s v="San Francisco, CA"/>
    <n v="37.774900000000002"/>
    <n v="-122.4194"/>
    <d v="2024-11-05T00:00:00"/>
    <n v="4"/>
    <x v="0"/>
    <x v="12"/>
  </r>
  <r>
    <n v="49"/>
    <x v="0"/>
    <n v="2"/>
    <s v="Fri, Tue"/>
    <b v="1"/>
    <d v="1899-12-30T13:20:00"/>
    <d v="1899-12-30T14:26:00"/>
    <n v="66"/>
    <b v="0"/>
    <b v="1"/>
    <x v="1"/>
    <x v="1"/>
    <n v="50"/>
    <x v="0"/>
    <n v="50"/>
    <x v="1"/>
    <n v="0"/>
    <n v="50"/>
    <s v="All hours"/>
    <s v="Sacramento, CA"/>
    <n v="38.581600000000002"/>
    <n v="-121.4944"/>
    <d v="2023-08-29T00:00:00"/>
    <n v="1"/>
    <x v="0"/>
    <x v="46"/>
  </r>
  <r>
    <n v="39"/>
    <x v="1"/>
    <n v="3"/>
    <s v="Sun, Thu, Wed"/>
    <b v="0"/>
    <d v="1899-12-30T12:36:00"/>
    <d v="1899-12-30T14:19:00"/>
    <n v="103"/>
    <b v="0"/>
    <b v="1"/>
    <x v="0"/>
    <x v="0"/>
    <n v="30"/>
    <x v="1"/>
    <n v="22.5"/>
    <x v="1"/>
    <n v="0"/>
    <n v="22.5"/>
    <s v="Weekdays only"/>
    <s v="Sacramento, CA"/>
    <n v="38.581600000000002"/>
    <n v="-121.4944"/>
    <d v="2025-03-24T00:00:00"/>
    <n v="2"/>
    <x v="1"/>
    <x v="27"/>
  </r>
  <r>
    <n v="23"/>
    <x v="0"/>
    <n v="2"/>
    <s v="Tue, Wed"/>
    <b v="1"/>
    <d v="1899-12-30T17:37:00"/>
    <d v="1899-12-30T19:57:00"/>
    <n v="140"/>
    <b v="1"/>
    <b v="1"/>
    <x v="1"/>
    <x v="3"/>
    <n v="50"/>
    <x v="1"/>
    <n v="37.5"/>
    <x v="0"/>
    <n v="0.05"/>
    <n v="35.625"/>
    <s v="All hours"/>
    <s v="San Francisco, CA"/>
    <n v="37.774900000000002"/>
    <n v="-122.4194"/>
    <d v="2025-04-28T00:00:00"/>
    <n v="4"/>
    <x v="0"/>
    <x v="5"/>
  </r>
  <r>
    <n v="24"/>
    <x v="1"/>
    <n v="3"/>
    <s v="Mon, Sat, Sun"/>
    <b v="1"/>
    <d v="1899-12-30T20:53:00"/>
    <d v="1899-12-30T21:33:00"/>
    <n v="40"/>
    <b v="0"/>
    <b v="0"/>
    <x v="1"/>
    <x v="4"/>
    <n v="30"/>
    <x v="0"/>
    <n v="30"/>
    <x v="1"/>
    <n v="0"/>
    <n v="30"/>
    <s v="Weekdays only"/>
    <s v="Sacramento, CA"/>
    <n v="38.581600000000002"/>
    <n v="-121.4944"/>
    <d v="2023-12-05T00:00:00"/>
    <n v="0"/>
    <x v="0"/>
    <x v="16"/>
  </r>
  <r>
    <n v="19"/>
    <x v="0"/>
    <n v="3"/>
    <s v="Mon, Sun, Wed"/>
    <b v="0"/>
    <d v="1899-12-30T14:34:00"/>
    <d v="1899-12-30T15:34:00"/>
    <n v="60"/>
    <b v="1"/>
    <b v="0"/>
    <x v="1"/>
    <x v="3"/>
    <n v="50"/>
    <x v="0"/>
    <n v="50"/>
    <x v="3"/>
    <n v="0.15"/>
    <n v="42.5"/>
    <s v="All hours"/>
    <s v="San Francisco, CA"/>
    <n v="37.774900000000002"/>
    <n v="-122.4194"/>
    <d v="2023-11-25T00:00:00"/>
    <n v="0"/>
    <x v="0"/>
    <x v="35"/>
  </r>
  <r>
    <n v="48"/>
    <x v="0"/>
    <n v="3"/>
    <s v="Mon, Sat, Tue"/>
    <b v="0"/>
    <d v="1899-12-30T19:44:00"/>
    <d v="1899-12-30T20:51:00"/>
    <n v="67"/>
    <b v="1"/>
    <b v="0"/>
    <x v="0"/>
    <x v="4"/>
    <n v="50"/>
    <x v="0"/>
    <n v="50"/>
    <x v="2"/>
    <n v="0.1"/>
    <n v="45"/>
    <s v="All hours"/>
    <s v="Oakland, CA"/>
    <n v="37.804400000000001"/>
    <n v="-122.27119999999999"/>
    <d v="2023-08-14T00:00:00"/>
    <n v="0"/>
    <x v="1"/>
    <x v="47"/>
  </r>
  <r>
    <n v="32"/>
    <x v="1"/>
    <n v="5"/>
    <s v="Fri, Mon, Thu, Tue, Wed"/>
    <b v="1"/>
    <d v="1899-12-30T10:17:00"/>
    <d v="1899-12-30T13:05:00"/>
    <n v="168"/>
    <b v="1"/>
    <b v="0"/>
    <x v="0"/>
    <x v="4"/>
    <n v="30"/>
    <x v="2"/>
    <n v="27"/>
    <x v="1"/>
    <n v="0"/>
    <n v="27"/>
    <s v="Weekdays only"/>
    <s v="Sacramento, CA"/>
    <n v="38.581600000000002"/>
    <n v="-121.4944"/>
    <d v="2023-05-11T00:00:00"/>
    <n v="0"/>
    <x v="0"/>
    <x v="2"/>
  </r>
  <r>
    <n v="48"/>
    <x v="1"/>
    <n v="2"/>
    <s v="Fri, Tue"/>
    <b v="1"/>
    <d v="1899-12-30T11:46:00"/>
    <d v="1899-12-30T13:17:00"/>
    <n v="91"/>
    <b v="1"/>
    <b v="0"/>
    <x v="1"/>
    <x v="0"/>
    <n v="30"/>
    <x v="0"/>
    <n v="30"/>
    <x v="0"/>
    <n v="0.05"/>
    <n v="28.5"/>
    <s v="Weekdays only"/>
    <s v="San Francisco, CA"/>
    <n v="37.774900000000002"/>
    <n v="-122.4194"/>
    <d v="2022-08-18T00:00:00"/>
    <n v="0"/>
    <x v="1"/>
    <x v="10"/>
  </r>
  <r>
    <n v="35"/>
    <x v="1"/>
    <n v="5"/>
    <s v="Fri, Sat, Thu, Tue, Wed"/>
    <b v="1"/>
    <d v="1899-12-30T15:45:00"/>
    <d v="1899-12-30T18:43:00"/>
    <n v="178"/>
    <b v="0"/>
    <b v="0"/>
    <x v="0"/>
    <x v="1"/>
    <n v="30"/>
    <x v="0"/>
    <n v="30"/>
    <x v="1"/>
    <n v="0"/>
    <n v="30"/>
    <s v="Weekdays only"/>
    <s v="Fresno, CA"/>
    <n v="36.7378"/>
    <n v="-119.7871"/>
    <d v="2023-12-21T00:00:00"/>
    <n v="0"/>
    <x v="0"/>
    <x v="23"/>
  </r>
  <r>
    <n v="47"/>
    <x v="0"/>
    <n v="3"/>
    <s v="Fri, Sat, Tue"/>
    <b v="1"/>
    <d v="1899-12-30T12:51:00"/>
    <d v="1899-12-30T14:37:00"/>
    <n v="106"/>
    <b v="0"/>
    <b v="1"/>
    <x v="1"/>
    <x v="1"/>
    <n v="50"/>
    <x v="0"/>
    <n v="50"/>
    <x v="2"/>
    <n v="0.1"/>
    <n v="45"/>
    <s v="All hours"/>
    <s v="Oakland, CA"/>
    <n v="37.804400000000001"/>
    <n v="-122.27119999999999"/>
    <d v="2024-07-14T00:00:00"/>
    <n v="3"/>
    <x v="0"/>
    <x v="39"/>
  </r>
  <r>
    <n v="39"/>
    <x v="2"/>
    <n v="2"/>
    <s v="Thu, Wed"/>
    <b v="1"/>
    <d v="1899-12-30T08:25:00"/>
    <d v="1899-12-30T10:10:00"/>
    <n v="105"/>
    <b v="0"/>
    <b v="1"/>
    <x v="0"/>
    <x v="4"/>
    <n v="20"/>
    <x v="0"/>
    <n v="20"/>
    <x v="0"/>
    <n v="0.05"/>
    <n v="19"/>
    <s v="Off-peak only"/>
    <s v="Bakersfield, CA"/>
    <n v="35.3733"/>
    <n v="-119.0187"/>
    <d v="2023-02-27T00:00:00"/>
    <n v="6"/>
    <x v="1"/>
    <x v="22"/>
  </r>
  <r>
    <n v="19"/>
    <x v="1"/>
    <n v="4"/>
    <s v="Fri, Sat, Sun, Thu"/>
    <b v="0"/>
    <d v="1899-12-30T11:16:00"/>
    <d v="1899-12-30T12:38:00"/>
    <n v="82"/>
    <b v="0"/>
    <b v="0"/>
    <x v="1"/>
    <x v="4"/>
    <n v="30"/>
    <x v="0"/>
    <n v="30"/>
    <x v="2"/>
    <n v="0.1"/>
    <n v="27"/>
    <s v="Weekdays only"/>
    <s v="San Diego, CA"/>
    <n v="32.715699999999998"/>
    <n v="-117.1611"/>
    <d v="2024-09-07T00:00:00"/>
    <n v="0"/>
    <x v="1"/>
    <x v="41"/>
  </r>
  <r>
    <n v="43"/>
    <x v="0"/>
    <n v="4"/>
    <s v="Fri, Mon, Sat, Thu"/>
    <b v="1"/>
    <d v="1899-12-30T20:36:00"/>
    <d v="1899-12-30T23:17:00"/>
    <n v="161"/>
    <b v="1"/>
    <b v="1"/>
    <x v="0"/>
    <x v="2"/>
    <n v="50"/>
    <x v="2"/>
    <n v="45"/>
    <x v="1"/>
    <n v="0"/>
    <n v="45"/>
    <s v="All hours"/>
    <s v="Bakersfield, CA"/>
    <n v="35.3733"/>
    <n v="-119.0187"/>
    <d v="2024-03-12T00:00:00"/>
    <n v="7"/>
    <x v="0"/>
    <x v="29"/>
  </r>
  <r>
    <n v="30"/>
    <x v="0"/>
    <n v="5"/>
    <s v="Fri, Mon, Sun, Tue, Wed"/>
    <b v="1"/>
    <d v="1899-12-30T10:56:00"/>
    <d v="1899-12-30T13:40:00"/>
    <n v="164"/>
    <b v="0"/>
    <b v="1"/>
    <x v="1"/>
    <x v="1"/>
    <n v="50"/>
    <x v="1"/>
    <n v="37.5"/>
    <x v="0"/>
    <n v="0.05"/>
    <n v="35.625"/>
    <s v="All hours"/>
    <s v="San Jose, CA"/>
    <n v="37.338200000000001"/>
    <n v="-121.88630000000001"/>
    <d v="2025-03-31T00:00:00"/>
    <n v="4"/>
    <x v="0"/>
    <x v="42"/>
  </r>
  <r>
    <n v="21"/>
    <x v="1"/>
    <n v="3"/>
    <s v="Mon, Sun, Thu"/>
    <b v="0"/>
    <d v="1899-12-30T10:39:00"/>
    <d v="1899-12-30T12:37:00"/>
    <n v="118"/>
    <b v="1"/>
    <b v="1"/>
    <x v="0"/>
    <x v="0"/>
    <n v="30"/>
    <x v="0"/>
    <n v="30"/>
    <x v="2"/>
    <n v="0.1"/>
    <n v="27"/>
    <s v="Weekdays only"/>
    <s v="Fresno, CA"/>
    <n v="36.7378"/>
    <n v="-119.7871"/>
    <d v="2025-05-27T00:00:00"/>
    <n v="7"/>
    <x v="0"/>
    <x v="9"/>
  </r>
  <r>
    <n v="35"/>
    <x v="0"/>
    <n v="1"/>
    <s v="Tue"/>
    <b v="0"/>
    <d v="1899-12-30T12:12:00"/>
    <d v="1899-12-30T14:48:00"/>
    <n v="156"/>
    <b v="1"/>
    <b v="0"/>
    <x v="0"/>
    <x v="1"/>
    <n v="50"/>
    <x v="0"/>
    <n v="50"/>
    <x v="0"/>
    <n v="0.05"/>
    <n v="47.5"/>
    <s v="All hours"/>
    <s v="San Jose, CA"/>
    <n v="37.338200000000001"/>
    <n v="-121.88630000000001"/>
    <d v="2022-09-01T00:00:00"/>
    <n v="0"/>
    <x v="0"/>
    <x v="1"/>
  </r>
  <r>
    <n v="41"/>
    <x v="0"/>
    <n v="1"/>
    <s v="Wed"/>
    <b v="1"/>
    <d v="1899-12-30T19:23:00"/>
    <d v="1899-12-30T20:27:00"/>
    <n v="64"/>
    <b v="0"/>
    <b v="0"/>
    <x v="0"/>
    <x v="1"/>
    <n v="50"/>
    <x v="0"/>
    <n v="50"/>
    <x v="1"/>
    <n v="0"/>
    <n v="50"/>
    <s v="All hours"/>
    <s v="Fresno, CA"/>
    <n v="36.7378"/>
    <n v="-119.7871"/>
    <d v="2023-01-14T00:00:00"/>
    <n v="0"/>
    <x v="0"/>
    <x v="57"/>
  </r>
  <r>
    <n v="42"/>
    <x v="1"/>
    <n v="5"/>
    <s v="Fri, Sat, Sun, Thu, Wed"/>
    <b v="0"/>
    <d v="1899-12-30T09:49:00"/>
    <d v="1899-12-30T12:43:00"/>
    <n v="174"/>
    <b v="1"/>
    <b v="0"/>
    <x v="1"/>
    <x v="0"/>
    <n v="30"/>
    <x v="1"/>
    <n v="22.5"/>
    <x v="1"/>
    <n v="0"/>
    <n v="22.5"/>
    <s v="Weekdays only"/>
    <s v="Sacramento, CA"/>
    <n v="38.581600000000002"/>
    <n v="-121.4944"/>
    <d v="2023-06-12T00:00:00"/>
    <n v="0"/>
    <x v="0"/>
    <x v="28"/>
  </r>
  <r>
    <n v="44"/>
    <x v="2"/>
    <n v="3"/>
    <s v="Sat, Sun, Wed"/>
    <b v="1"/>
    <d v="1899-12-30T10:11:00"/>
    <d v="1899-12-30T11:30:00"/>
    <n v="79"/>
    <b v="1"/>
    <b v="1"/>
    <x v="1"/>
    <x v="0"/>
    <n v="20"/>
    <x v="2"/>
    <n v="18"/>
    <x v="1"/>
    <n v="0"/>
    <n v="18"/>
    <s v="Off-peak only"/>
    <s v="Anaheim, CA"/>
    <n v="33.836599999999997"/>
    <n v="-117.9143"/>
    <d v="2024-04-13T00:00:00"/>
    <n v="1"/>
    <x v="0"/>
    <x v="52"/>
  </r>
  <r>
    <n v="15"/>
    <x v="0"/>
    <n v="2"/>
    <s v="Mon, Sun"/>
    <b v="1"/>
    <d v="1899-12-30T20:07:00"/>
    <d v="1899-12-30T21:39:00"/>
    <n v="92"/>
    <b v="1"/>
    <b v="0"/>
    <x v="0"/>
    <x v="4"/>
    <n v="50"/>
    <x v="0"/>
    <n v="50"/>
    <x v="0"/>
    <n v="0.05"/>
    <n v="47.5"/>
    <s v="All hours"/>
    <s v="Oakland, CA"/>
    <n v="37.804400000000001"/>
    <n v="-122.27119999999999"/>
    <d v="2024-12-20T00:00:00"/>
    <n v="0"/>
    <x v="0"/>
    <x v="13"/>
  </r>
  <r>
    <n v="47"/>
    <x v="3"/>
    <n v="2"/>
    <s v="Fri, Tue"/>
    <b v="1"/>
    <d v="1899-12-30T19:19:00"/>
    <d v="1899-12-30T20:50:00"/>
    <n v="91"/>
    <b v="0"/>
    <b v="0"/>
    <x v="0"/>
    <x v="1"/>
    <n v="70"/>
    <x v="1"/>
    <n v="52.5"/>
    <x v="1"/>
    <n v="0"/>
    <n v="52.5"/>
    <s v="All hours + Priority access"/>
    <s v="San Diego, CA"/>
    <n v="32.715699999999998"/>
    <n v="-117.1611"/>
    <d v="2025-01-07T00:00:00"/>
    <n v="0"/>
    <x v="1"/>
    <x v="4"/>
  </r>
  <r>
    <n v="24"/>
    <x v="0"/>
    <n v="1"/>
    <s v="Fri"/>
    <b v="1"/>
    <d v="1899-12-30T15:05:00"/>
    <d v="1899-12-30T17:23:00"/>
    <n v="138"/>
    <b v="0"/>
    <b v="0"/>
    <x v="0"/>
    <x v="4"/>
    <n v="50"/>
    <x v="1"/>
    <n v="37.5"/>
    <x v="1"/>
    <n v="0"/>
    <n v="37.5"/>
    <s v="All hours"/>
    <s v="Long Beach, CA"/>
    <n v="33.770099999999999"/>
    <n v="-118.19370000000001"/>
    <d v="2024-09-29T00:00:00"/>
    <n v="0"/>
    <x v="1"/>
    <x v="33"/>
  </r>
  <r>
    <n v="39"/>
    <x v="0"/>
    <n v="4"/>
    <s v="Sat, Sun, Thu, Tue"/>
    <b v="1"/>
    <d v="1899-12-30T16:21:00"/>
    <d v="1899-12-30T17:34:00"/>
    <n v="73"/>
    <b v="1"/>
    <b v="1"/>
    <x v="0"/>
    <x v="4"/>
    <n v="50"/>
    <x v="2"/>
    <n v="45"/>
    <x v="3"/>
    <n v="0.15"/>
    <n v="38.25"/>
    <s v="All hours"/>
    <s v="Anaheim, CA"/>
    <n v="33.836599999999997"/>
    <n v="-117.9143"/>
    <d v="2023-11-16T00:00:00"/>
    <n v="3"/>
    <x v="0"/>
    <x v="35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3-05-23T00:00:00"/>
    <n v="0"/>
    <x v="0"/>
    <x v="8"/>
  </r>
  <r>
    <n v="47"/>
    <x v="2"/>
    <n v="2"/>
    <s v="Mon, Tue"/>
    <b v="1"/>
    <d v="1899-12-30T19:06:00"/>
    <d v="1899-12-30T19:43:00"/>
    <n v="37"/>
    <b v="0"/>
    <b v="1"/>
    <x v="1"/>
    <x v="1"/>
    <n v="20"/>
    <x v="0"/>
    <n v="20"/>
    <x v="1"/>
    <n v="0"/>
    <n v="20"/>
    <s v="Off-peak only"/>
    <s v="San Francisco, CA"/>
    <n v="37.774900000000002"/>
    <n v="-122.4194"/>
    <d v="2023-07-20T00:00:00"/>
    <n v="2"/>
    <x v="1"/>
    <x v="34"/>
  </r>
  <r>
    <n v="22"/>
    <x v="1"/>
    <n v="3"/>
    <s v="Fri, Sun, Wed"/>
    <b v="1"/>
    <d v="1899-12-30T16:31:00"/>
    <d v="1899-12-30T18:39:00"/>
    <n v="128"/>
    <b v="0"/>
    <b v="0"/>
    <x v="0"/>
    <x v="4"/>
    <n v="30"/>
    <x v="0"/>
    <n v="30"/>
    <x v="1"/>
    <n v="0"/>
    <n v="30"/>
    <s v="Weekdays only"/>
    <s v="Bakersfield, CA"/>
    <n v="35.3733"/>
    <n v="-119.0187"/>
    <d v="2024-08-28T00:00:00"/>
    <n v="0"/>
    <x v="1"/>
    <x v="41"/>
  </r>
  <r>
    <n v="42"/>
    <x v="2"/>
    <n v="3"/>
    <s v="Mon, Sat, Thu"/>
    <b v="0"/>
    <d v="1899-12-30T16:20:00"/>
    <d v="1899-12-30T17:20:00"/>
    <n v="60"/>
    <b v="1"/>
    <b v="1"/>
    <x v="0"/>
    <x v="0"/>
    <n v="20"/>
    <x v="0"/>
    <n v="20"/>
    <x v="0"/>
    <n v="0.05"/>
    <n v="19"/>
    <s v="Off-peak only"/>
    <s v="San Jose, CA"/>
    <n v="37.338200000000001"/>
    <n v="-121.88630000000001"/>
    <d v="2022-09-10T00:00:00"/>
    <n v="3"/>
    <x v="1"/>
    <x v="1"/>
  </r>
  <r>
    <n v="42"/>
    <x v="0"/>
    <n v="4"/>
    <s v="Fri, Mon, Thu, Tue"/>
    <b v="1"/>
    <d v="1899-12-30T09:55:00"/>
    <d v="1899-12-30T10:59:00"/>
    <n v="64"/>
    <b v="0"/>
    <b v="0"/>
    <x v="1"/>
    <x v="0"/>
    <n v="50"/>
    <x v="1"/>
    <n v="37.5"/>
    <x v="0"/>
    <n v="0.05"/>
    <n v="35.625"/>
    <s v="All hours"/>
    <s v="San Jose, CA"/>
    <n v="37.338200000000001"/>
    <n v="-121.88630000000001"/>
    <d v="2023-04-29T00:00:00"/>
    <n v="0"/>
    <x v="1"/>
    <x v="58"/>
  </r>
  <r>
    <n v="13"/>
    <x v="1"/>
    <n v="3"/>
    <s v="Mon, Thu, Tue"/>
    <b v="0"/>
    <d v="1899-12-30T20:25:00"/>
    <d v="1899-12-30T22:44:00"/>
    <n v="139"/>
    <b v="0"/>
    <b v="1"/>
    <x v="0"/>
    <x v="0"/>
    <n v="30"/>
    <x v="0"/>
    <n v="30"/>
    <x v="1"/>
    <n v="0"/>
    <n v="30"/>
    <s v="Weekdays only"/>
    <s v="Anaheim, CA"/>
    <n v="33.836599999999997"/>
    <n v="-117.9143"/>
    <d v="2023-11-10T00:00:00"/>
    <n v="3"/>
    <x v="1"/>
    <x v="50"/>
  </r>
  <r>
    <n v="39"/>
    <x v="1"/>
    <n v="5"/>
    <s v="Fri, Mon, Sat, Thu, Wed"/>
    <b v="1"/>
    <d v="1899-12-30T15:16:00"/>
    <d v="1899-12-30T17:15:00"/>
    <n v="119"/>
    <b v="1"/>
    <b v="1"/>
    <x v="0"/>
    <x v="4"/>
    <n v="30"/>
    <x v="0"/>
    <n v="30"/>
    <x v="3"/>
    <n v="0.15"/>
    <n v="25.5"/>
    <s v="Weekdays only"/>
    <s v="Sacramento, CA"/>
    <n v="38.581600000000002"/>
    <n v="-121.4944"/>
    <d v="2023-09-10T00:00:00"/>
    <n v="5"/>
    <x v="1"/>
    <x v="7"/>
  </r>
  <r>
    <n v="40"/>
    <x v="2"/>
    <n v="1"/>
    <s v="Sun"/>
    <b v="1"/>
    <d v="1899-12-30T16:03:00"/>
    <d v="1899-12-30T17:49:00"/>
    <n v="106"/>
    <b v="0"/>
    <b v="0"/>
    <x v="1"/>
    <x v="0"/>
    <n v="20"/>
    <x v="1"/>
    <n v="15"/>
    <x v="1"/>
    <n v="0"/>
    <n v="15"/>
    <s v="Off-peak only"/>
    <s v="Fresno, CA"/>
    <n v="36.7378"/>
    <n v="-119.7871"/>
    <d v="2024-04-02T00:00:00"/>
    <n v="0"/>
    <x v="1"/>
    <x v="17"/>
  </r>
  <r>
    <n v="36"/>
    <x v="3"/>
    <n v="2"/>
    <s v="Fri, Tue"/>
    <b v="1"/>
    <d v="1899-12-30T18:19:00"/>
    <d v="1899-12-30T20:02:00"/>
    <n v="103"/>
    <b v="0"/>
    <b v="1"/>
    <x v="1"/>
    <x v="0"/>
    <n v="70"/>
    <x v="1"/>
    <n v="52.5"/>
    <x v="0"/>
    <n v="0.05"/>
    <n v="49.875"/>
    <s v="All hours + Priority access"/>
    <s v="Long Beach, CA"/>
    <n v="33.770099999999999"/>
    <n v="-118.19370000000001"/>
    <d v="2024-10-02T00:00:00"/>
    <n v="3"/>
    <x v="0"/>
    <x v="51"/>
  </r>
  <r>
    <n v="16"/>
    <x v="2"/>
    <n v="2"/>
    <s v="Fri, Wed"/>
    <b v="1"/>
    <d v="1899-12-30T12:40:00"/>
    <d v="1899-12-30T13:52:00"/>
    <n v="72"/>
    <b v="1"/>
    <b v="1"/>
    <x v="0"/>
    <x v="2"/>
    <n v="20"/>
    <x v="1"/>
    <n v="15"/>
    <x v="1"/>
    <n v="0"/>
    <n v="15"/>
    <s v="Off-peak only"/>
    <s v="San Diego, CA"/>
    <n v="32.715699999999998"/>
    <n v="-117.1611"/>
    <d v="2024-06-08T00:00:00"/>
    <n v="3"/>
    <x v="0"/>
    <x v="20"/>
  </r>
  <r>
    <n v="29"/>
    <x v="0"/>
    <n v="2"/>
    <s v="Fri, Sat"/>
    <b v="0"/>
    <d v="1899-12-30T15:39:00"/>
    <d v="1899-12-30T17:59:00"/>
    <n v="140"/>
    <b v="0"/>
    <b v="1"/>
    <x v="1"/>
    <x v="4"/>
    <n v="50"/>
    <x v="1"/>
    <n v="37.5"/>
    <x v="3"/>
    <n v="0.15"/>
    <n v="31.875"/>
    <s v="All hours"/>
    <s v="Bakersfield, CA"/>
    <n v="35.3733"/>
    <n v="-119.0187"/>
    <d v="2023-04-07T00:00:00"/>
    <n v="8"/>
    <x v="0"/>
    <x v="49"/>
  </r>
  <r>
    <n v="16"/>
    <x v="2"/>
    <n v="2"/>
    <s v="Sat, Sun"/>
    <b v="0"/>
    <d v="1899-12-30T11:29:00"/>
    <d v="1899-12-30T13:03:00"/>
    <n v="94"/>
    <b v="1"/>
    <b v="0"/>
    <x v="1"/>
    <x v="4"/>
    <n v="20"/>
    <x v="1"/>
    <n v="15"/>
    <x v="1"/>
    <n v="0"/>
    <n v="15"/>
    <s v="Off-peak only"/>
    <s v="San Francisco, CA"/>
    <n v="37.774900000000002"/>
    <n v="-122.4194"/>
    <d v="2025-06-07T00:00:00"/>
    <n v="0"/>
    <x v="1"/>
    <x v="44"/>
  </r>
  <r>
    <n v="16"/>
    <x v="2"/>
    <n v="3"/>
    <s v="Fri, Sun, Wed"/>
    <b v="1"/>
    <d v="1899-12-30T14:53:00"/>
    <d v="1899-12-30T17:02:00"/>
    <n v="129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5-02-19T00:00:00"/>
    <n v="0"/>
    <x v="1"/>
    <x v="45"/>
  </r>
  <r>
    <n v="30"/>
    <x v="0"/>
    <n v="2"/>
    <s v="Sat, Thu"/>
    <b v="0"/>
    <d v="1899-12-30T11:18:00"/>
    <d v="1899-12-30T13:15:00"/>
    <n v="117"/>
    <b v="0"/>
    <b v="1"/>
    <x v="0"/>
    <x v="3"/>
    <n v="50"/>
    <x v="0"/>
    <n v="50"/>
    <x v="3"/>
    <n v="0.15"/>
    <n v="42.5"/>
    <s v="All hours"/>
    <s v="Anaheim, CA"/>
    <n v="33.836599999999997"/>
    <n v="-117.9143"/>
    <d v="2025-05-05T00:00:00"/>
    <n v="4"/>
    <x v="0"/>
    <x v="24"/>
  </r>
  <r>
    <n v="43"/>
    <x v="2"/>
    <n v="3"/>
    <s v="Fri, Sun, Tue"/>
    <b v="0"/>
    <d v="1899-12-30T12:02:00"/>
    <d v="1899-12-30T14:07:00"/>
    <n v="125"/>
    <b v="1"/>
    <b v="1"/>
    <x v="1"/>
    <x v="0"/>
    <n v="20"/>
    <x v="0"/>
    <n v="20"/>
    <x v="0"/>
    <n v="0.05"/>
    <n v="19"/>
    <s v="Off-peak only"/>
    <s v="Anaheim, CA"/>
    <n v="33.836599999999997"/>
    <n v="-117.9143"/>
    <d v="2025-05-10T00:00:00"/>
    <n v="2"/>
    <x v="0"/>
    <x v="24"/>
  </r>
  <r>
    <n v="28"/>
    <x v="0"/>
    <n v="5"/>
    <s v="Mon, Sat, Sun, Thu, Wed"/>
    <b v="1"/>
    <d v="1899-12-30T13:31:00"/>
    <d v="1899-12-30T15:39:00"/>
    <n v="128"/>
    <b v="0"/>
    <b v="1"/>
    <x v="1"/>
    <x v="0"/>
    <n v="50"/>
    <x v="0"/>
    <n v="50"/>
    <x v="3"/>
    <n v="0.15"/>
    <n v="42.5"/>
    <s v="All hours"/>
    <s v="Fresno, CA"/>
    <n v="36.7378"/>
    <n v="-119.7871"/>
    <d v="2022-12-24T00:00:00"/>
    <n v="8"/>
    <x v="1"/>
    <x v="6"/>
  </r>
  <r>
    <n v="40"/>
    <x v="0"/>
    <n v="3"/>
    <s v="Mon, Thu, Tue"/>
    <b v="0"/>
    <d v="1899-12-30T19:38:00"/>
    <d v="1899-12-30T21:10:00"/>
    <n v="92"/>
    <b v="1"/>
    <b v="1"/>
    <x v="1"/>
    <x v="0"/>
    <n v="50"/>
    <x v="0"/>
    <n v="50"/>
    <x v="1"/>
    <n v="0"/>
    <n v="50"/>
    <s v="All hours"/>
    <s v="Long Beach, CA"/>
    <n v="33.770099999999999"/>
    <n v="-118.19370000000001"/>
    <d v="2023-06-04T00:00:00"/>
    <n v="8"/>
    <x v="0"/>
    <x v="8"/>
  </r>
  <r>
    <n v="20"/>
    <x v="1"/>
    <n v="3"/>
    <s v="Fri, Thu, Wed"/>
    <b v="0"/>
    <d v="1899-12-30T15:28:00"/>
    <d v="1899-12-30T17:58:00"/>
    <n v="150"/>
    <b v="1"/>
    <b v="0"/>
    <x v="1"/>
    <x v="4"/>
    <n v="30"/>
    <x v="2"/>
    <n v="27"/>
    <x v="3"/>
    <n v="0.15"/>
    <n v="22.95"/>
    <s v="Weekdays only"/>
    <s v="Fresno, CA"/>
    <n v="36.7378"/>
    <n v="-119.7871"/>
    <d v="2024-02-04T00:00:00"/>
    <n v="0"/>
    <x v="1"/>
    <x v="48"/>
  </r>
  <r>
    <n v="39"/>
    <x v="1"/>
    <n v="3"/>
    <s v="Sun, Thu, Wed"/>
    <b v="0"/>
    <d v="1899-12-30T12:36:00"/>
    <d v="1899-12-30T14:19:00"/>
    <n v="103"/>
    <b v="0"/>
    <b v="1"/>
    <x v="0"/>
    <x v="0"/>
    <n v="30"/>
    <x v="1"/>
    <n v="22.5"/>
    <x v="1"/>
    <n v="0"/>
    <n v="22.5"/>
    <s v="Weekdays only"/>
    <s v="Sacramento, CA"/>
    <n v="38.581600000000002"/>
    <n v="-121.4944"/>
    <d v="2025-03-10T00:00:00"/>
    <n v="4"/>
    <x v="0"/>
    <x v="27"/>
  </r>
  <r>
    <n v="25"/>
    <x v="1"/>
    <n v="4"/>
    <s v="Fri, Mon, Tue, Wed"/>
    <b v="0"/>
    <d v="1899-12-30T19:23:00"/>
    <d v="1899-12-30T20:48:00"/>
    <n v="85"/>
    <b v="0"/>
    <b v="0"/>
    <x v="1"/>
    <x v="4"/>
    <n v="30"/>
    <x v="1"/>
    <n v="22.5"/>
    <x v="2"/>
    <n v="0.1"/>
    <n v="20.25"/>
    <s v="Weekdays only"/>
    <s v="San Jose, CA"/>
    <n v="37.338200000000001"/>
    <n v="-121.88630000000001"/>
    <d v="2024-01-16T00:00:00"/>
    <n v="0"/>
    <x v="0"/>
    <x v="31"/>
  </r>
  <r>
    <n v="29"/>
    <x v="3"/>
    <n v="3"/>
    <s v="Fri, Sat, Wed"/>
    <b v="0"/>
    <d v="1899-12-30T10:34:00"/>
    <d v="1899-12-30T11:13:00"/>
    <n v="39"/>
    <b v="0"/>
    <b v="0"/>
    <x v="1"/>
    <x v="3"/>
    <n v="70"/>
    <x v="1"/>
    <n v="52.5"/>
    <x v="3"/>
    <n v="0.15"/>
    <n v="44.625"/>
    <s v="All hours + Priority access"/>
    <s v="Anaheim, CA"/>
    <n v="33.836599999999997"/>
    <n v="-117.9143"/>
    <d v="2024-02-04T00:00:00"/>
    <n v="0"/>
    <x v="0"/>
    <x v="48"/>
  </r>
  <r>
    <n v="24"/>
    <x v="0"/>
    <n v="2"/>
    <s v="Sun, Tue"/>
    <b v="1"/>
    <d v="1899-12-30T17:44:00"/>
    <d v="1899-12-30T20:02:00"/>
    <n v="138"/>
    <b v="0"/>
    <b v="1"/>
    <x v="1"/>
    <x v="0"/>
    <n v="50"/>
    <x v="0"/>
    <n v="50"/>
    <x v="0"/>
    <n v="0.05"/>
    <n v="47.5"/>
    <s v="All hours"/>
    <s v="Fresno, CA"/>
    <n v="36.7378"/>
    <n v="-119.7871"/>
    <d v="2024-12-20T00:00:00"/>
    <n v="4"/>
    <x v="0"/>
    <x v="13"/>
  </r>
  <r>
    <n v="36"/>
    <x v="1"/>
    <n v="2"/>
    <s v="Fri, Tue"/>
    <b v="1"/>
    <d v="1899-12-30T11:28:00"/>
    <d v="1899-12-30T14:14:00"/>
    <n v="166"/>
    <b v="0"/>
    <b v="0"/>
    <x v="1"/>
    <x v="4"/>
    <n v="30"/>
    <x v="1"/>
    <n v="22.5"/>
    <x v="0"/>
    <n v="0.05"/>
    <n v="21.375"/>
    <s v="Weekdays only"/>
    <s v="Long Beach, CA"/>
    <n v="33.770099999999999"/>
    <n v="-118.19370000000001"/>
    <d v="2024-03-17T00:00:00"/>
    <n v="0"/>
    <x v="1"/>
    <x v="29"/>
  </r>
  <r>
    <n v="19"/>
    <x v="0"/>
    <n v="2"/>
    <s v="Sun, Tue"/>
    <b v="1"/>
    <d v="1899-12-30T19:22:00"/>
    <d v="1899-12-30T20:25:00"/>
    <n v="63"/>
    <b v="0"/>
    <b v="0"/>
    <x v="0"/>
    <x v="4"/>
    <n v="50"/>
    <x v="1"/>
    <n v="37.5"/>
    <x v="1"/>
    <n v="0"/>
    <n v="37.5"/>
    <s v="All hours"/>
    <s v="Bakersfield, CA"/>
    <n v="35.3733"/>
    <n v="-119.0187"/>
    <d v="2024-04-24T00:00:00"/>
    <n v="0"/>
    <x v="0"/>
    <x v="40"/>
  </r>
  <r>
    <n v="18"/>
    <x v="0"/>
    <n v="3"/>
    <s v="Fri, Mon, Thu"/>
    <b v="1"/>
    <d v="1899-12-30T11:47:00"/>
    <d v="1899-12-30T14:00:00"/>
    <n v="133"/>
    <b v="0"/>
    <b v="1"/>
    <x v="0"/>
    <x v="0"/>
    <n v="50"/>
    <x v="0"/>
    <n v="50"/>
    <x v="0"/>
    <n v="0.05"/>
    <n v="47.5"/>
    <s v="All hours"/>
    <s v="Fresno, CA"/>
    <n v="36.7378"/>
    <n v="-119.7871"/>
    <d v="2023-09-06T00:00:00"/>
    <n v="1"/>
    <x v="1"/>
    <x v="7"/>
  </r>
  <r>
    <n v="14"/>
    <x v="0"/>
    <n v="5"/>
    <s v="Fri, Sat, Sun, Thu, Tue"/>
    <b v="1"/>
    <d v="1899-12-30T20:23:00"/>
    <d v="1899-12-30T21:30:00"/>
    <n v="67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3-08-16T00:00:00"/>
    <n v="4"/>
    <x v="0"/>
    <x v="47"/>
  </r>
  <r>
    <n v="14"/>
    <x v="0"/>
    <n v="3"/>
    <s v="Mon, Sun, Thu"/>
    <b v="1"/>
    <d v="1899-12-30T12:27:00"/>
    <d v="1899-12-30T14:16:00"/>
    <n v="109"/>
    <b v="0"/>
    <b v="0"/>
    <x v="1"/>
    <x v="0"/>
    <n v="50"/>
    <x v="0"/>
    <n v="50"/>
    <x v="1"/>
    <n v="0"/>
    <n v="50"/>
    <s v="All hours"/>
    <s v="Oakland, CA"/>
    <n v="37.804400000000001"/>
    <n v="-122.27119999999999"/>
    <d v="2025-05-05T00:00:00"/>
    <n v="0"/>
    <x v="0"/>
    <x v="24"/>
  </r>
  <r>
    <n v="20"/>
    <x v="0"/>
    <n v="5"/>
    <s v="Mon, Sat, Thu, Tue, Wed"/>
    <b v="0"/>
    <d v="1899-12-30T17:41:00"/>
    <d v="1899-12-30T20:22:00"/>
    <n v="161"/>
    <b v="0"/>
    <b v="0"/>
    <x v="0"/>
    <x v="4"/>
    <n v="50"/>
    <x v="1"/>
    <n v="37.5"/>
    <x v="2"/>
    <n v="0.1"/>
    <n v="33.75"/>
    <s v="All hours"/>
    <s v="Long Beach, CA"/>
    <n v="33.770099999999999"/>
    <n v="-118.19370000000001"/>
    <d v="2024-05-20T00:00:00"/>
    <n v="0"/>
    <x v="0"/>
    <x v="0"/>
  </r>
  <r>
    <n v="44"/>
    <x v="2"/>
    <n v="3"/>
    <s v="Mon, Sat, Thu"/>
    <b v="0"/>
    <d v="1899-12-30T17:47:00"/>
    <d v="1899-12-30T18:30:00"/>
    <n v="43"/>
    <b v="1"/>
    <b v="1"/>
    <x v="1"/>
    <x v="4"/>
    <n v="20"/>
    <x v="0"/>
    <n v="20"/>
    <x v="3"/>
    <n v="0.15"/>
    <n v="17"/>
    <s v="Off-peak only"/>
    <s v="San Diego, CA"/>
    <n v="32.715699999999998"/>
    <n v="-117.1611"/>
    <d v="2023-08-26T00:00:00"/>
    <n v="5"/>
    <x v="1"/>
    <x v="46"/>
  </r>
  <r>
    <n v="39"/>
    <x v="2"/>
    <n v="5"/>
    <s v="Mon, Sun, Thu, Tue, Wed"/>
    <b v="1"/>
    <d v="1899-12-30T19:04:00"/>
    <d v="1899-12-30T20:02:00"/>
    <n v="58"/>
    <b v="1"/>
    <b v="0"/>
    <x v="1"/>
    <x v="0"/>
    <n v="20"/>
    <x v="1"/>
    <n v="15"/>
    <x v="1"/>
    <n v="0"/>
    <n v="15"/>
    <s v="Off-peak only"/>
    <s v="Sacramento, CA"/>
    <n v="38.581600000000002"/>
    <n v="-121.4944"/>
    <d v="2024-01-04T00:00:00"/>
    <n v="0"/>
    <x v="1"/>
    <x v="23"/>
  </r>
  <r>
    <n v="32"/>
    <x v="3"/>
    <n v="3"/>
    <s v="Sat, Sun, Thu"/>
    <b v="0"/>
    <d v="1899-12-30T14:01:00"/>
    <d v="1899-12-30T16:17:00"/>
    <n v="136"/>
    <b v="0"/>
    <b v="0"/>
    <x v="0"/>
    <x v="4"/>
    <n v="70"/>
    <x v="0"/>
    <n v="70"/>
    <x v="1"/>
    <n v="0"/>
    <n v="70"/>
    <s v="All hours + Priority access"/>
    <s v="Anaheim, CA"/>
    <n v="33.836599999999997"/>
    <n v="-117.9143"/>
    <d v="2022-12-23T00:00:00"/>
    <n v="0"/>
    <x v="0"/>
    <x v="6"/>
  </r>
  <r>
    <n v="40"/>
    <x v="0"/>
    <n v="4"/>
    <s v="Sat, Sun, Thu, Tue"/>
    <b v="1"/>
    <d v="1899-12-30T19:35:00"/>
    <d v="1899-12-30T21:08:00"/>
    <n v="93"/>
    <b v="0"/>
    <b v="0"/>
    <x v="0"/>
    <x v="2"/>
    <n v="50"/>
    <x v="1"/>
    <n v="37.5"/>
    <x v="2"/>
    <n v="0.1"/>
    <n v="33.75"/>
    <s v="All hours"/>
    <s v="Fresno, CA"/>
    <n v="36.7378"/>
    <n v="-119.7871"/>
    <d v="2023-07-22T00:00:00"/>
    <n v="0"/>
    <x v="0"/>
    <x v="34"/>
  </r>
  <r>
    <n v="34"/>
    <x v="3"/>
    <n v="3"/>
    <s v="Fri, Sun, Tue"/>
    <b v="0"/>
    <d v="1899-12-30T10:54:00"/>
    <d v="1899-12-30T12:49:00"/>
    <n v="115"/>
    <b v="1"/>
    <b v="1"/>
    <x v="1"/>
    <x v="0"/>
    <n v="70"/>
    <x v="1"/>
    <n v="52.5"/>
    <x v="1"/>
    <n v="0"/>
    <n v="52.5"/>
    <s v="All hours + Priority access"/>
    <s v="Long Beach, CA"/>
    <n v="33.770099999999999"/>
    <n v="-118.19370000000001"/>
    <d v="2024-12-31T00:00:00"/>
    <n v="5"/>
    <x v="1"/>
    <x v="4"/>
  </r>
  <r>
    <n v="46"/>
    <x v="1"/>
    <n v="3"/>
    <s v="Sat, Thu, Tue"/>
    <b v="0"/>
    <d v="1899-12-30T18:28:00"/>
    <d v="1899-12-30T19:40:00"/>
    <n v="72"/>
    <b v="0"/>
    <b v="1"/>
    <x v="0"/>
    <x v="0"/>
    <n v="30"/>
    <x v="0"/>
    <n v="30"/>
    <x v="3"/>
    <n v="0.15"/>
    <n v="25.5"/>
    <s v="Weekdays only"/>
    <s v="Oakland, CA"/>
    <n v="37.804400000000001"/>
    <n v="-122.27119999999999"/>
    <d v="2025-04-08T00:00:00"/>
    <n v="8"/>
    <x v="1"/>
    <x v="42"/>
  </r>
  <r>
    <n v="27"/>
    <x v="0"/>
    <n v="2"/>
    <s v="Mon, Thu"/>
    <b v="1"/>
    <d v="1899-12-30T20:32:00"/>
    <d v="1899-12-30T22:20:00"/>
    <n v="108"/>
    <b v="1"/>
    <b v="0"/>
    <x v="0"/>
    <x v="3"/>
    <n v="50"/>
    <x v="2"/>
    <n v="45"/>
    <x v="1"/>
    <n v="0"/>
    <n v="45"/>
    <s v="All hours"/>
    <s v="Long Beach, CA"/>
    <n v="33.770099999999999"/>
    <n v="-118.19370000000001"/>
    <d v="2023-08-08T00:00:00"/>
    <n v="0"/>
    <x v="1"/>
    <x v="47"/>
  </r>
  <r>
    <n v="13"/>
    <x v="2"/>
    <n v="3"/>
    <s v="Mon, Sun, Thu"/>
    <b v="0"/>
    <d v="1899-12-30T14:01:00"/>
    <d v="1899-12-30T16:23:00"/>
    <n v="142"/>
    <b v="1"/>
    <b v="0"/>
    <x v="1"/>
    <x v="4"/>
    <n v="20"/>
    <x v="1"/>
    <n v="15"/>
    <x v="0"/>
    <n v="0.05"/>
    <n v="14.25"/>
    <s v="Off-peak only"/>
    <s v="Fresno, CA"/>
    <n v="36.7378"/>
    <n v="-119.7871"/>
    <d v="2025-05-25T00:00:00"/>
    <n v="0"/>
    <x v="1"/>
    <x v="9"/>
  </r>
  <r>
    <n v="19"/>
    <x v="0"/>
    <n v="2"/>
    <s v="Mon, Wed"/>
    <b v="1"/>
    <d v="1899-12-30T10:42:00"/>
    <d v="1899-12-30T13:29:00"/>
    <n v="167"/>
    <b v="0"/>
    <b v="1"/>
    <x v="0"/>
    <x v="0"/>
    <n v="50"/>
    <x v="0"/>
    <n v="50"/>
    <x v="2"/>
    <n v="0.1"/>
    <n v="45"/>
    <s v="All hours"/>
    <s v="Sacramento, CA"/>
    <n v="38.581600000000002"/>
    <n v="-121.4944"/>
    <d v="2023-10-08T00:00:00"/>
    <n v="7"/>
    <x v="0"/>
    <x v="3"/>
  </r>
  <r>
    <n v="37"/>
    <x v="0"/>
    <n v="3"/>
    <s v="Fri, Sat, Sun"/>
    <b v="0"/>
    <d v="1899-12-30T17:53:00"/>
    <d v="1899-12-30T20:14:00"/>
    <n v="141"/>
    <b v="0"/>
    <b v="0"/>
    <x v="1"/>
    <x v="1"/>
    <n v="50"/>
    <x v="1"/>
    <n v="37.5"/>
    <x v="2"/>
    <n v="0.1"/>
    <n v="33.75"/>
    <s v="All hours"/>
    <s v="Long Beach, CA"/>
    <n v="33.770099999999999"/>
    <n v="-118.19370000000001"/>
    <d v="2022-09-25T00:00:00"/>
    <n v="0"/>
    <x v="0"/>
    <x v="25"/>
  </r>
  <r>
    <n v="42"/>
    <x v="0"/>
    <n v="2"/>
    <s v="Mon, Wed"/>
    <b v="0"/>
    <d v="1899-12-30T11:03:00"/>
    <d v="1899-12-30T13:34:00"/>
    <n v="151"/>
    <b v="1"/>
    <b v="1"/>
    <x v="0"/>
    <x v="2"/>
    <n v="50"/>
    <x v="1"/>
    <n v="37.5"/>
    <x v="2"/>
    <n v="0.1"/>
    <n v="33.75"/>
    <s v="All hours"/>
    <s v="Fresno, CA"/>
    <n v="36.7378"/>
    <n v="-119.7871"/>
    <d v="2023-10-19T00:00:00"/>
    <n v="1"/>
    <x v="0"/>
    <x v="59"/>
  </r>
  <r>
    <n v="48"/>
    <x v="0"/>
    <n v="3"/>
    <s v="Fri, Thu, Tue"/>
    <b v="1"/>
    <d v="1899-12-30T11:56:00"/>
    <d v="1899-12-30T14:13:00"/>
    <n v="137"/>
    <b v="0"/>
    <b v="1"/>
    <x v="1"/>
    <x v="4"/>
    <n v="50"/>
    <x v="0"/>
    <n v="50"/>
    <x v="1"/>
    <n v="0"/>
    <n v="50"/>
    <s v="All hours"/>
    <s v="Long Beach, CA"/>
    <n v="33.770099999999999"/>
    <n v="-118.19370000000001"/>
    <d v="2024-05-05T00:00:00"/>
    <n v="7"/>
    <x v="0"/>
    <x v="40"/>
  </r>
  <r>
    <n v="28"/>
    <x v="2"/>
    <n v="3"/>
    <s v="Sun, Thu, Tue"/>
    <b v="0"/>
    <d v="1899-12-30T10:17:00"/>
    <d v="1899-12-30T11:47:00"/>
    <n v="90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3-08-07T00:00:00"/>
    <n v="7"/>
    <x v="1"/>
    <x v="47"/>
  </r>
  <r>
    <n v="21"/>
    <x v="0"/>
    <n v="3"/>
    <s v="Fri, Sat, Tue"/>
    <b v="0"/>
    <d v="1899-12-30T09:22:00"/>
    <d v="1899-12-30T10:52:00"/>
    <n v="90"/>
    <b v="1"/>
    <b v="1"/>
    <x v="0"/>
    <x v="0"/>
    <n v="50"/>
    <x v="0"/>
    <n v="50"/>
    <x v="1"/>
    <n v="0"/>
    <n v="50"/>
    <s v="All hours"/>
    <s v="Bakersfield, CA"/>
    <n v="35.3733"/>
    <n v="-119.0187"/>
    <d v="2024-02-20T00:00:00"/>
    <n v="8"/>
    <x v="0"/>
    <x v="21"/>
  </r>
  <r>
    <n v="23"/>
    <x v="2"/>
    <n v="3"/>
    <s v="Fri, Sat, Thu"/>
    <b v="1"/>
    <d v="1899-12-30T13:06:00"/>
    <d v="1899-12-30T14:35:00"/>
    <n v="89"/>
    <b v="1"/>
    <b v="1"/>
    <x v="0"/>
    <x v="0"/>
    <n v="20"/>
    <x v="1"/>
    <n v="15"/>
    <x v="2"/>
    <n v="0.1"/>
    <n v="13.5"/>
    <s v="Off-peak only"/>
    <s v="San Francisco, CA"/>
    <n v="37.774900000000002"/>
    <n v="-122.4194"/>
    <d v="2023-11-19T00:00:00"/>
    <n v="6"/>
    <x v="1"/>
    <x v="35"/>
  </r>
  <r>
    <n v="37"/>
    <x v="0"/>
    <n v="3"/>
    <s v="Mon, Tue, Wed"/>
    <b v="0"/>
    <d v="1899-12-30T20:35:00"/>
    <d v="1899-12-30T22:58:00"/>
    <n v="143"/>
    <b v="0"/>
    <b v="1"/>
    <x v="0"/>
    <x v="0"/>
    <n v="50"/>
    <x v="0"/>
    <n v="50"/>
    <x v="0"/>
    <n v="0.05"/>
    <n v="47.5"/>
    <s v="All hours"/>
    <s v="Fresno, CA"/>
    <n v="36.7378"/>
    <n v="-119.7871"/>
    <d v="2022-09-24T00:00:00"/>
    <n v="8"/>
    <x v="1"/>
    <x v="25"/>
  </r>
  <r>
    <n v="14"/>
    <x v="0"/>
    <n v="1"/>
    <s v="Fri"/>
    <b v="0"/>
    <d v="1899-12-30T13:06:00"/>
    <d v="1899-12-30T14:29:00"/>
    <n v="83"/>
    <b v="0"/>
    <b v="0"/>
    <x v="1"/>
    <x v="2"/>
    <n v="50"/>
    <x v="0"/>
    <n v="50"/>
    <x v="1"/>
    <n v="0"/>
    <n v="50"/>
    <s v="All hours"/>
    <s v="Los Angeles, CA"/>
    <n v="34.052199999999999"/>
    <n v="-118.2437"/>
    <d v="2024-05-07T00:00:00"/>
    <n v="0"/>
    <x v="0"/>
    <x v="40"/>
  </r>
  <r>
    <n v="45"/>
    <x v="1"/>
    <n v="2"/>
    <s v="Mon, Wed"/>
    <b v="1"/>
    <d v="1899-12-30T08:12:00"/>
    <d v="1899-12-30T10:09:00"/>
    <n v="117"/>
    <b v="1"/>
    <b v="0"/>
    <x v="0"/>
    <x v="2"/>
    <n v="30"/>
    <x v="0"/>
    <n v="30"/>
    <x v="3"/>
    <n v="0.15"/>
    <n v="25.5"/>
    <s v="Weekdays only"/>
    <s v="Long Beach, CA"/>
    <n v="33.770099999999999"/>
    <n v="-118.19370000000001"/>
    <d v="2022-09-03T00:00:00"/>
    <n v="0"/>
    <x v="0"/>
    <x v="1"/>
  </r>
  <r>
    <n v="19"/>
    <x v="0"/>
    <n v="5"/>
    <s v="Fri, Sat, Thu, Tue, Wed"/>
    <b v="1"/>
    <d v="1899-12-30T09:53:00"/>
    <d v="1899-12-30T12:49:00"/>
    <n v="176"/>
    <b v="0"/>
    <b v="1"/>
    <x v="1"/>
    <x v="0"/>
    <n v="50"/>
    <x v="0"/>
    <n v="50"/>
    <x v="3"/>
    <n v="0.15"/>
    <n v="42.5"/>
    <s v="All hours"/>
    <s v="Sacramento, CA"/>
    <n v="38.581600000000002"/>
    <n v="-121.4944"/>
    <d v="2022-11-01T00:00:00"/>
    <n v="2"/>
    <x v="0"/>
    <x v="32"/>
  </r>
  <r>
    <n v="23"/>
    <x v="1"/>
    <n v="3"/>
    <s v="Sat, Tue, Wed"/>
    <b v="1"/>
    <d v="1899-12-30T12:33:00"/>
    <d v="1899-12-30T14:41:00"/>
    <n v="128"/>
    <b v="0"/>
    <b v="0"/>
    <x v="0"/>
    <x v="1"/>
    <n v="30"/>
    <x v="2"/>
    <n v="27"/>
    <x v="1"/>
    <n v="0"/>
    <n v="27"/>
    <s v="Weekdays only"/>
    <s v="Bakersfield, CA"/>
    <n v="35.3733"/>
    <n v="-119.0187"/>
    <d v="2024-11-26T00:00:00"/>
    <n v="0"/>
    <x v="1"/>
    <x v="14"/>
  </r>
  <r>
    <n v="38"/>
    <x v="0"/>
    <n v="1"/>
    <s v="Fri"/>
    <b v="1"/>
    <d v="1899-12-30T18:29:00"/>
    <d v="1899-12-30T20:58:00"/>
    <n v="149"/>
    <b v="0"/>
    <b v="0"/>
    <x v="1"/>
    <x v="0"/>
    <n v="50"/>
    <x v="1"/>
    <n v="37.5"/>
    <x v="0"/>
    <n v="0.05"/>
    <n v="35.625"/>
    <s v="All hours"/>
    <s v="Anaheim, CA"/>
    <n v="33.836599999999997"/>
    <n v="-117.9143"/>
    <d v="2025-04-10T00:00:00"/>
    <n v="0"/>
    <x v="0"/>
    <x v="42"/>
  </r>
  <r>
    <n v="14"/>
    <x v="2"/>
    <n v="2"/>
    <s v="Thu, Tue"/>
    <b v="1"/>
    <d v="1899-12-30T11:21:00"/>
    <d v="1899-12-30T14:18:00"/>
    <n v="177"/>
    <b v="0"/>
    <b v="0"/>
    <x v="1"/>
    <x v="4"/>
    <n v="20"/>
    <x v="1"/>
    <n v="15"/>
    <x v="0"/>
    <n v="0.05"/>
    <n v="14.25"/>
    <s v="Off-peak only"/>
    <s v="Long Beach, CA"/>
    <n v="33.770099999999999"/>
    <n v="-118.19370000000001"/>
    <d v="2025-03-07T00:00:00"/>
    <n v="0"/>
    <x v="1"/>
    <x v="45"/>
  </r>
  <r>
    <n v="46"/>
    <x v="1"/>
    <n v="3"/>
    <s v="Mon, Thu, Tue"/>
    <b v="1"/>
    <d v="1899-12-30T20:17:00"/>
    <d v="1899-12-30T21:11:00"/>
    <n v="54"/>
    <b v="0"/>
    <b v="0"/>
    <x v="1"/>
    <x v="1"/>
    <n v="30"/>
    <x v="0"/>
    <n v="30"/>
    <x v="2"/>
    <n v="0.1"/>
    <n v="27"/>
    <s v="Weekdays only"/>
    <s v="Oakland, CA"/>
    <n v="37.804400000000001"/>
    <n v="-122.27119999999999"/>
    <d v="2025-06-03T00:00:00"/>
    <n v="0"/>
    <x v="1"/>
    <x v="9"/>
  </r>
  <r>
    <n v="22"/>
    <x v="2"/>
    <n v="4"/>
    <s v="Fri, Thu, Tue, Wed"/>
    <b v="0"/>
    <d v="1899-12-30T19:28:00"/>
    <d v="1899-12-30T22:18:00"/>
    <n v="170"/>
    <b v="1"/>
    <b v="1"/>
    <x v="0"/>
    <x v="4"/>
    <n v="20"/>
    <x v="0"/>
    <n v="20"/>
    <x v="1"/>
    <n v="0"/>
    <n v="20"/>
    <s v="Off-peak only"/>
    <s v="Los Angeles, CA"/>
    <n v="34.052199999999999"/>
    <n v="-118.2437"/>
    <d v="2025-03-14T00:00:00"/>
    <n v="2"/>
    <x v="1"/>
    <x v="27"/>
  </r>
  <r>
    <n v="47"/>
    <x v="0"/>
    <n v="1"/>
    <s v="Tue"/>
    <b v="1"/>
    <d v="1899-12-30T18:15:00"/>
    <d v="1899-12-30T19:59:00"/>
    <n v="104"/>
    <b v="1"/>
    <b v="0"/>
    <x v="1"/>
    <x v="4"/>
    <n v="50"/>
    <x v="0"/>
    <n v="50"/>
    <x v="2"/>
    <n v="0.1"/>
    <n v="45"/>
    <s v="All hours"/>
    <s v="San Diego, CA"/>
    <n v="32.715699999999998"/>
    <n v="-117.1611"/>
    <d v="2023-06-26T00:00:00"/>
    <n v="0"/>
    <x v="0"/>
    <x v="56"/>
  </r>
  <r>
    <n v="28"/>
    <x v="0"/>
    <n v="2"/>
    <s v="Sat, Wed"/>
    <b v="1"/>
    <d v="1899-12-30T20:58:00"/>
    <d v="1899-12-30T22:20:00"/>
    <n v="82"/>
    <b v="0"/>
    <b v="0"/>
    <x v="1"/>
    <x v="1"/>
    <n v="50"/>
    <x v="0"/>
    <n v="50"/>
    <x v="2"/>
    <n v="0.1"/>
    <n v="45"/>
    <s v="All hours"/>
    <s v="Anaheim, CA"/>
    <n v="33.836599999999997"/>
    <n v="-117.9143"/>
    <d v="2025-04-08T00:00:00"/>
    <n v="0"/>
    <x v="0"/>
    <x v="42"/>
  </r>
  <r>
    <n v="29"/>
    <x v="0"/>
    <n v="2"/>
    <s v="Fri, Sun"/>
    <b v="0"/>
    <d v="1899-12-30T11:02:00"/>
    <d v="1899-12-30T12:22:00"/>
    <n v="80"/>
    <b v="1"/>
    <b v="1"/>
    <x v="1"/>
    <x v="0"/>
    <n v="50"/>
    <x v="0"/>
    <n v="50"/>
    <x v="1"/>
    <n v="0"/>
    <n v="50"/>
    <s v="All hours"/>
    <s v="Los Angeles, CA"/>
    <n v="34.052199999999999"/>
    <n v="-118.2437"/>
    <d v="2024-07-18T00:00:00"/>
    <n v="4"/>
    <x v="0"/>
    <x v="39"/>
  </r>
  <r>
    <n v="31"/>
    <x v="1"/>
    <n v="5"/>
    <s v="Fri, Sun, Thu, Tue, Wed"/>
    <b v="0"/>
    <d v="1899-12-30T19:28:00"/>
    <d v="1899-12-30T20:10:00"/>
    <n v="42"/>
    <b v="0"/>
    <b v="0"/>
    <x v="0"/>
    <x v="4"/>
    <n v="30"/>
    <x v="0"/>
    <n v="30"/>
    <x v="2"/>
    <n v="0.1"/>
    <n v="27"/>
    <s v="Weekdays only"/>
    <s v="Sacramento, CA"/>
    <n v="38.581600000000002"/>
    <n v="-121.4944"/>
    <d v="2023-01-05T00:00:00"/>
    <n v="0"/>
    <x v="1"/>
    <x v="57"/>
  </r>
  <r>
    <n v="14"/>
    <x v="0"/>
    <n v="3"/>
    <s v="Fri, Sat, Wed"/>
    <b v="0"/>
    <d v="1899-12-30T14:40:00"/>
    <d v="1899-12-30T15:53:00"/>
    <n v="73"/>
    <b v="0"/>
    <b v="1"/>
    <x v="0"/>
    <x v="0"/>
    <n v="50"/>
    <x v="0"/>
    <n v="50"/>
    <x v="2"/>
    <n v="0.1"/>
    <n v="45"/>
    <s v="All hours"/>
    <s v="Anaheim, CA"/>
    <n v="33.836599999999997"/>
    <n v="-117.9143"/>
    <d v="2025-05-29T00:00:00"/>
    <n v="4"/>
    <x v="0"/>
    <x v="9"/>
  </r>
  <r>
    <n v="29"/>
    <x v="3"/>
    <n v="3"/>
    <s v="Fri, Sat, Wed"/>
    <b v="0"/>
    <d v="1899-12-30T10:34:00"/>
    <d v="1899-12-30T11:13:00"/>
    <n v="39"/>
    <b v="0"/>
    <b v="0"/>
    <x v="1"/>
    <x v="3"/>
    <n v="70"/>
    <x v="1"/>
    <n v="52.5"/>
    <x v="3"/>
    <n v="0.15"/>
    <n v="44.625"/>
    <s v="All hours + Priority access"/>
    <s v="Anaheim, CA"/>
    <n v="33.836599999999997"/>
    <n v="-117.9143"/>
    <d v="2023-02-06T00:00:00"/>
    <n v="0"/>
    <x v="1"/>
    <x v="26"/>
  </r>
  <r>
    <n v="22"/>
    <x v="0"/>
    <n v="1"/>
    <s v="Fri"/>
    <b v="0"/>
    <d v="1899-12-30T11:31:00"/>
    <d v="1899-12-30T12:13:00"/>
    <n v="42"/>
    <b v="1"/>
    <b v="1"/>
    <x v="1"/>
    <x v="0"/>
    <n v="50"/>
    <x v="0"/>
    <n v="50"/>
    <x v="0"/>
    <n v="0.05"/>
    <n v="47.5"/>
    <s v="All hours"/>
    <s v="San Jose, CA"/>
    <n v="37.338200000000001"/>
    <n v="-121.88630000000001"/>
    <d v="2024-08-26T00:00:00"/>
    <n v="6"/>
    <x v="0"/>
    <x v="41"/>
  </r>
  <r>
    <n v="47"/>
    <x v="0"/>
    <n v="3"/>
    <s v="Fri, Mon, Sun"/>
    <b v="0"/>
    <d v="1899-12-30T10:08:00"/>
    <d v="1899-12-30T11:02:00"/>
    <n v="54"/>
    <b v="0"/>
    <b v="1"/>
    <x v="0"/>
    <x v="1"/>
    <n v="50"/>
    <x v="0"/>
    <n v="50"/>
    <x v="1"/>
    <n v="0"/>
    <n v="50"/>
    <s v="All hours"/>
    <s v="Oakland, CA"/>
    <n v="37.804400000000001"/>
    <n v="-122.27119999999999"/>
    <d v="2025-02-17T00:00:00"/>
    <n v="4"/>
    <x v="0"/>
    <x v="30"/>
  </r>
  <r>
    <n v="35"/>
    <x v="0"/>
    <n v="2"/>
    <s v="Sat, Wed"/>
    <b v="1"/>
    <d v="1899-12-30T20:14:00"/>
    <d v="1899-12-30T22:30:00"/>
    <n v="136"/>
    <b v="1"/>
    <b v="1"/>
    <x v="1"/>
    <x v="0"/>
    <n v="50"/>
    <x v="0"/>
    <n v="50"/>
    <x v="0"/>
    <n v="0.05"/>
    <n v="47.5"/>
    <s v="All hours"/>
    <s v="Sacramento, CA"/>
    <n v="38.581600000000002"/>
    <n v="-121.4944"/>
    <d v="2023-06-11T00:00:00"/>
    <n v="2"/>
    <x v="0"/>
    <x v="28"/>
  </r>
  <r>
    <n v="28"/>
    <x v="1"/>
    <n v="5"/>
    <s v="Fri, Mon, Sat, Tue, Wed"/>
    <b v="0"/>
    <d v="1899-12-30T14:53:00"/>
    <d v="1899-12-30T16:53:00"/>
    <n v="120"/>
    <b v="1"/>
    <b v="0"/>
    <x v="0"/>
    <x v="4"/>
    <n v="30"/>
    <x v="0"/>
    <n v="30"/>
    <x v="1"/>
    <n v="0"/>
    <n v="30"/>
    <s v="Weekdays only"/>
    <s v="Anaheim, CA"/>
    <n v="33.836599999999997"/>
    <n v="-117.9143"/>
    <d v="2023-08-23T00:00:00"/>
    <n v="0"/>
    <x v="0"/>
    <x v="46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2-12-01T00:00:00"/>
    <n v="0"/>
    <x v="0"/>
    <x v="54"/>
  </r>
  <r>
    <n v="26"/>
    <x v="2"/>
    <n v="5"/>
    <s v="Fri, Mon, Sun, Tue, Wed"/>
    <b v="0"/>
    <d v="1899-12-30T18:01:00"/>
    <d v="1899-12-30T18:43:00"/>
    <n v="42"/>
    <b v="1"/>
    <b v="0"/>
    <x v="0"/>
    <x v="0"/>
    <n v="20"/>
    <x v="1"/>
    <n v="15"/>
    <x v="1"/>
    <n v="0"/>
    <n v="15"/>
    <s v="Off-peak only"/>
    <s v="Long Beach, CA"/>
    <n v="33.770099999999999"/>
    <n v="-118.19370000000001"/>
    <d v="2023-05-02T00:00:00"/>
    <n v="0"/>
    <x v="1"/>
    <x v="58"/>
  </r>
  <r>
    <n v="21"/>
    <x v="1"/>
    <n v="1"/>
    <s v="Wed"/>
    <b v="0"/>
    <d v="1899-12-30T18:11:00"/>
    <d v="1899-12-30T20:51:00"/>
    <n v="160"/>
    <b v="1"/>
    <b v="1"/>
    <x v="1"/>
    <x v="0"/>
    <n v="30"/>
    <x v="0"/>
    <n v="30"/>
    <x v="0"/>
    <n v="0.05"/>
    <n v="28.5"/>
    <s v="Weekdays only"/>
    <s v="Sacramento, CA"/>
    <n v="38.581600000000002"/>
    <n v="-121.4944"/>
    <d v="2023-02-18T00:00:00"/>
    <n v="7"/>
    <x v="0"/>
    <x v="26"/>
  </r>
  <r>
    <n v="38"/>
    <x v="3"/>
    <n v="3"/>
    <s v="Thu, Tue, Wed"/>
    <b v="1"/>
    <d v="1899-12-30T16:41:00"/>
    <d v="1899-12-30T17:48:00"/>
    <n v="67"/>
    <b v="1"/>
    <b v="0"/>
    <x v="1"/>
    <x v="0"/>
    <n v="70"/>
    <x v="0"/>
    <n v="70"/>
    <x v="1"/>
    <n v="0"/>
    <n v="70"/>
    <s v="All hours + Priority access"/>
    <s v="San Jose, CA"/>
    <n v="37.338200000000001"/>
    <n v="-121.88630000000001"/>
    <d v="2024-08-26T00:00:00"/>
    <n v="0"/>
    <x v="0"/>
    <x v="41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4-12-16T00:00:00"/>
    <n v="0"/>
    <x v="0"/>
    <x v="13"/>
  </r>
  <r>
    <n v="19"/>
    <x v="1"/>
    <n v="4"/>
    <s v="Fri, Mon, Tue, Wed"/>
    <b v="0"/>
    <d v="1899-12-30T19:07:00"/>
    <d v="1899-12-30T20:06:00"/>
    <n v="59"/>
    <b v="1"/>
    <b v="1"/>
    <x v="0"/>
    <x v="0"/>
    <n v="30"/>
    <x v="0"/>
    <n v="30"/>
    <x v="2"/>
    <n v="0.1"/>
    <n v="27"/>
    <s v="Weekdays only"/>
    <s v="Fresno, CA"/>
    <n v="36.7378"/>
    <n v="-119.7871"/>
    <d v="2023-04-15T00:00:00"/>
    <n v="8"/>
    <x v="0"/>
    <x v="49"/>
  </r>
  <r>
    <n v="40"/>
    <x v="0"/>
    <n v="3"/>
    <s v="Sun, Thu, Wed"/>
    <b v="0"/>
    <d v="1899-12-30T11:58:00"/>
    <d v="1899-12-30T14:31:00"/>
    <n v="153"/>
    <b v="1"/>
    <b v="1"/>
    <x v="0"/>
    <x v="4"/>
    <n v="50"/>
    <x v="0"/>
    <n v="50"/>
    <x v="1"/>
    <n v="0"/>
    <n v="50"/>
    <s v="All hours"/>
    <s v="Long Beach, CA"/>
    <n v="33.770099999999999"/>
    <n v="-118.19370000000001"/>
    <d v="2023-02-14T00:00:00"/>
    <n v="3"/>
    <x v="1"/>
    <x v="26"/>
  </r>
  <r>
    <n v="44"/>
    <x v="0"/>
    <n v="4"/>
    <s v="Mon, Thu, Tue, Wed"/>
    <b v="1"/>
    <d v="1899-12-30T19:09:00"/>
    <d v="1899-12-30T21:55:00"/>
    <n v="166"/>
    <b v="1"/>
    <b v="0"/>
    <x v="1"/>
    <x v="4"/>
    <n v="50"/>
    <x v="0"/>
    <n v="50"/>
    <x v="2"/>
    <n v="0.1"/>
    <n v="45"/>
    <s v="All hours"/>
    <s v="San Jose, CA"/>
    <n v="37.338200000000001"/>
    <n v="-121.88630000000001"/>
    <d v="2022-08-03T00:00:00"/>
    <n v="0"/>
    <x v="0"/>
    <x v="43"/>
  </r>
  <r>
    <n v="16"/>
    <x v="3"/>
    <n v="5"/>
    <s v="Fri, Mon, Thu, Tue, Wed"/>
    <b v="0"/>
    <d v="1899-12-30T16:39:00"/>
    <d v="1899-12-30T18:30:00"/>
    <n v="111"/>
    <b v="1"/>
    <b v="0"/>
    <x v="0"/>
    <x v="0"/>
    <n v="70"/>
    <x v="0"/>
    <n v="70"/>
    <x v="0"/>
    <n v="0.05"/>
    <n v="66.5"/>
    <s v="All hours + Priority access"/>
    <s v="Fresno, CA"/>
    <n v="36.7378"/>
    <n v="-119.7871"/>
    <d v="2024-04-09T00:00:00"/>
    <n v="0"/>
    <x v="0"/>
    <x v="52"/>
  </r>
  <r>
    <n v="28"/>
    <x v="1"/>
    <n v="3"/>
    <s v="Sat, Thu, Wed"/>
    <b v="0"/>
    <d v="1899-12-30T10:48:00"/>
    <d v="1899-12-30T12:09:00"/>
    <n v="81"/>
    <b v="0"/>
    <b v="0"/>
    <x v="0"/>
    <x v="0"/>
    <n v="30"/>
    <x v="0"/>
    <n v="30"/>
    <x v="0"/>
    <n v="0.05"/>
    <n v="28.5"/>
    <s v="Weekdays only"/>
    <s v="Long Beach, CA"/>
    <n v="33.770099999999999"/>
    <n v="-118.19370000000001"/>
    <d v="2024-05-22T00:00:00"/>
    <n v="0"/>
    <x v="1"/>
    <x v="0"/>
  </r>
  <r>
    <n v="27"/>
    <x v="0"/>
    <n v="1"/>
    <s v="Thu"/>
    <b v="0"/>
    <d v="1899-12-30T14:17:00"/>
    <d v="1899-12-30T15:42:00"/>
    <n v="85"/>
    <b v="0"/>
    <b v="0"/>
    <x v="0"/>
    <x v="2"/>
    <n v="50"/>
    <x v="1"/>
    <n v="37.5"/>
    <x v="0"/>
    <n v="0.05"/>
    <n v="35.625"/>
    <s v="All hours"/>
    <s v="Bakersfield, CA"/>
    <n v="35.3733"/>
    <n v="-119.0187"/>
    <d v="2023-03-19T00:00:00"/>
    <n v="0"/>
    <x v="0"/>
    <x v="36"/>
  </r>
  <r>
    <n v="34"/>
    <x v="1"/>
    <n v="3"/>
    <s v="Mon, Tue, Wed"/>
    <b v="0"/>
    <d v="1899-12-30T11:15:00"/>
    <d v="1899-12-30T13:24:00"/>
    <n v="129"/>
    <b v="1"/>
    <b v="1"/>
    <x v="1"/>
    <x v="4"/>
    <n v="30"/>
    <x v="0"/>
    <n v="30"/>
    <x v="0"/>
    <n v="0.05"/>
    <n v="28.5"/>
    <s v="Weekdays only"/>
    <s v="San Francisco, CA"/>
    <n v="37.774900000000002"/>
    <n v="-122.4194"/>
    <d v="2024-06-25T00:00:00"/>
    <n v="5"/>
    <x v="0"/>
    <x v="55"/>
  </r>
  <r>
    <n v="27"/>
    <x v="0"/>
    <n v="2"/>
    <s v="Mon, Thu"/>
    <b v="1"/>
    <d v="1899-12-30T20:32:00"/>
    <d v="1899-12-30T22:20:00"/>
    <n v="108"/>
    <b v="1"/>
    <b v="0"/>
    <x v="0"/>
    <x v="3"/>
    <n v="50"/>
    <x v="2"/>
    <n v="45"/>
    <x v="1"/>
    <n v="0"/>
    <n v="45"/>
    <s v="All hours"/>
    <s v="Long Beach, CA"/>
    <n v="33.770099999999999"/>
    <n v="-118.19370000000001"/>
    <d v="2022-10-05T00:00:00"/>
    <n v="0"/>
    <x v="0"/>
    <x v="38"/>
  </r>
  <r>
    <n v="49"/>
    <x v="0"/>
    <n v="3"/>
    <s v="Fri, Thu, Wed"/>
    <b v="1"/>
    <d v="1899-12-30T20:30:00"/>
    <d v="1899-12-30T21:24:00"/>
    <n v="54"/>
    <b v="1"/>
    <b v="1"/>
    <x v="1"/>
    <x v="0"/>
    <n v="50"/>
    <x v="0"/>
    <n v="50"/>
    <x v="2"/>
    <n v="0.1"/>
    <n v="45"/>
    <s v="All hours"/>
    <s v="San Jose, CA"/>
    <n v="37.338200000000001"/>
    <n v="-121.88630000000001"/>
    <d v="2022-12-21T00:00:00"/>
    <n v="3"/>
    <x v="1"/>
    <x v="6"/>
  </r>
  <r>
    <n v="45"/>
    <x v="0"/>
    <n v="3"/>
    <s v="Sun, Tue, Wed"/>
    <b v="0"/>
    <d v="1899-12-30T11:20:00"/>
    <d v="1899-12-30T14:08:00"/>
    <n v="168"/>
    <b v="0"/>
    <b v="1"/>
    <x v="1"/>
    <x v="0"/>
    <n v="50"/>
    <x v="0"/>
    <n v="50"/>
    <x v="1"/>
    <n v="0"/>
    <n v="50"/>
    <s v="All hours"/>
    <s v="San Francisco, CA"/>
    <n v="37.774900000000002"/>
    <n v="-122.4194"/>
    <d v="2024-03-23T00:00:00"/>
    <n v="3"/>
    <x v="0"/>
    <x v="17"/>
  </r>
  <r>
    <n v="49"/>
    <x v="2"/>
    <n v="3"/>
    <s v="Mon, Sat, Sun"/>
    <b v="0"/>
    <d v="1899-12-30T19:44:00"/>
    <d v="1899-12-30T20:26:00"/>
    <n v="42"/>
    <b v="1"/>
    <b v="1"/>
    <x v="1"/>
    <x v="0"/>
    <n v="20"/>
    <x v="0"/>
    <n v="20"/>
    <x v="1"/>
    <n v="0"/>
    <n v="20"/>
    <s v="Off-peak only"/>
    <s v="Sacramento, CA"/>
    <n v="38.581600000000002"/>
    <n v="-121.4944"/>
    <d v="2023-04-15T00:00:00"/>
    <n v="2"/>
    <x v="1"/>
    <x v="49"/>
  </r>
  <r>
    <n v="42"/>
    <x v="0"/>
    <n v="2"/>
    <s v="Thu, Tue"/>
    <b v="0"/>
    <d v="1899-12-30T19:18:00"/>
    <d v="1899-12-30T21:39:00"/>
    <n v="141"/>
    <b v="0"/>
    <b v="1"/>
    <x v="1"/>
    <x v="4"/>
    <n v="50"/>
    <x v="0"/>
    <n v="50"/>
    <x v="1"/>
    <n v="0"/>
    <n v="50"/>
    <s v="All hours"/>
    <s v="Bakersfield, CA"/>
    <n v="35.3733"/>
    <n v="-119.0187"/>
    <d v="2023-04-11T00:00:00"/>
    <n v="3"/>
    <x v="0"/>
    <x v="49"/>
  </r>
  <r>
    <n v="27"/>
    <x v="1"/>
    <n v="2"/>
    <s v="Tue, Wed"/>
    <b v="0"/>
    <d v="1899-12-30T18:28:00"/>
    <d v="1899-12-30T20:20:00"/>
    <n v="112"/>
    <b v="1"/>
    <b v="0"/>
    <x v="0"/>
    <x v="0"/>
    <n v="30"/>
    <x v="0"/>
    <n v="30"/>
    <x v="3"/>
    <n v="0.15"/>
    <n v="25.5"/>
    <s v="Weekdays only"/>
    <s v="Sacramento, CA"/>
    <n v="38.581600000000002"/>
    <n v="-121.4944"/>
    <d v="2025-03-05T00:00:00"/>
    <n v="0"/>
    <x v="1"/>
    <x v="45"/>
  </r>
  <r>
    <n v="38"/>
    <x v="3"/>
    <n v="3"/>
    <s v="Fri, Tue, Wed"/>
    <b v="1"/>
    <d v="1899-12-30T12:46:00"/>
    <d v="1899-12-30T13:49:00"/>
    <n v="63"/>
    <b v="1"/>
    <b v="1"/>
    <x v="1"/>
    <x v="4"/>
    <n v="70"/>
    <x v="2"/>
    <n v="63"/>
    <x v="1"/>
    <n v="0"/>
    <n v="63"/>
    <s v="All hours + Priority access"/>
    <s v="Sacramento, CA"/>
    <n v="38.581600000000002"/>
    <n v="-121.4944"/>
    <d v="2022-11-04T00:00:00"/>
    <n v="8"/>
    <x v="0"/>
    <x v="32"/>
  </r>
  <r>
    <n v="21"/>
    <x v="0"/>
    <n v="2"/>
    <s v="Fri, Thu"/>
    <b v="1"/>
    <d v="1899-12-30T19:59:00"/>
    <d v="1899-12-30T20:43:00"/>
    <n v="44"/>
    <b v="0"/>
    <b v="1"/>
    <x v="0"/>
    <x v="1"/>
    <n v="50"/>
    <x v="0"/>
    <n v="50"/>
    <x v="0"/>
    <n v="0.05"/>
    <n v="47.5"/>
    <s v="All hours"/>
    <s v="San Diego, CA"/>
    <n v="32.715699999999998"/>
    <n v="-117.1611"/>
    <d v="2024-01-01T00:00:00"/>
    <n v="6"/>
    <x v="0"/>
    <x v="23"/>
  </r>
  <r>
    <n v="29"/>
    <x v="1"/>
    <n v="2"/>
    <s v="Sat, Tue"/>
    <b v="1"/>
    <d v="1899-12-30T20:00:00"/>
    <d v="1899-12-30T21:50:00"/>
    <n v="110"/>
    <b v="1"/>
    <b v="1"/>
    <x v="0"/>
    <x v="4"/>
    <n v="30"/>
    <x v="0"/>
    <n v="30"/>
    <x v="1"/>
    <n v="0"/>
    <n v="30"/>
    <s v="Weekdays only"/>
    <s v="San Diego, CA"/>
    <n v="32.715699999999998"/>
    <n v="-117.1611"/>
    <d v="2023-01-24T00:00:00"/>
    <n v="1"/>
    <x v="1"/>
    <x v="11"/>
  </r>
  <r>
    <n v="33"/>
    <x v="0"/>
    <n v="3"/>
    <s v="Fri, Mon, Wed"/>
    <b v="1"/>
    <d v="1899-12-30T13:11:00"/>
    <d v="1899-12-30T15:56:00"/>
    <n v="165"/>
    <b v="1"/>
    <b v="0"/>
    <x v="0"/>
    <x v="0"/>
    <n v="50"/>
    <x v="0"/>
    <n v="50"/>
    <x v="0"/>
    <n v="0.05"/>
    <n v="47.5"/>
    <s v="All hours"/>
    <s v="Sacramento, CA"/>
    <n v="38.581600000000002"/>
    <n v="-121.4944"/>
    <d v="2024-07-17T00:00:00"/>
    <n v="0"/>
    <x v="0"/>
    <x v="39"/>
  </r>
  <r>
    <n v="22"/>
    <x v="2"/>
    <n v="5"/>
    <s v="Fri, Sun, Thu, Tue, Wed"/>
    <b v="0"/>
    <d v="1899-12-30T09:16:00"/>
    <d v="1899-12-30T12:08:00"/>
    <n v="172"/>
    <b v="0"/>
    <b v="1"/>
    <x v="0"/>
    <x v="0"/>
    <n v="20"/>
    <x v="2"/>
    <n v="18"/>
    <x v="1"/>
    <n v="0"/>
    <n v="18"/>
    <s v="Off-peak only"/>
    <s v="Oakland, CA"/>
    <n v="37.804400000000001"/>
    <n v="-122.27119999999999"/>
    <d v="2022-11-12T00:00:00"/>
    <n v="4"/>
    <x v="1"/>
    <x v="37"/>
  </r>
  <r>
    <n v="37"/>
    <x v="0"/>
    <n v="1"/>
    <s v="Fri"/>
    <b v="1"/>
    <d v="1899-12-30T10:36:00"/>
    <d v="1899-12-30T11:56:00"/>
    <n v="80"/>
    <b v="1"/>
    <b v="0"/>
    <x v="1"/>
    <x v="0"/>
    <n v="50"/>
    <x v="0"/>
    <n v="50"/>
    <x v="1"/>
    <n v="0"/>
    <n v="50"/>
    <s v="All hours"/>
    <s v="Oakland, CA"/>
    <n v="37.804400000000001"/>
    <n v="-122.27119999999999"/>
    <d v="2024-05-04T00:00:00"/>
    <n v="0"/>
    <x v="0"/>
    <x v="40"/>
  </r>
  <r>
    <n v="40"/>
    <x v="0"/>
    <n v="2"/>
    <s v="Sat, Thu"/>
    <b v="0"/>
    <d v="1899-12-30T08:39:00"/>
    <d v="1899-12-30T10:37:00"/>
    <n v="118"/>
    <b v="0"/>
    <b v="0"/>
    <x v="0"/>
    <x v="0"/>
    <n v="50"/>
    <x v="0"/>
    <n v="50"/>
    <x v="0"/>
    <n v="0.05"/>
    <n v="47.5"/>
    <s v="All hours"/>
    <s v="San Jose, CA"/>
    <n v="37.338200000000001"/>
    <n v="-121.88630000000001"/>
    <d v="2025-06-11T00:00:00"/>
    <n v="0"/>
    <x v="0"/>
    <x v="44"/>
  </r>
  <r>
    <n v="29"/>
    <x v="0"/>
    <n v="2"/>
    <s v="Fri, Mon"/>
    <b v="1"/>
    <d v="1899-12-30T20:15:00"/>
    <d v="1899-12-30T22:05:00"/>
    <n v="110"/>
    <b v="0"/>
    <b v="0"/>
    <x v="1"/>
    <x v="2"/>
    <n v="50"/>
    <x v="0"/>
    <n v="50"/>
    <x v="3"/>
    <n v="0.15"/>
    <n v="42.5"/>
    <s v="All hours"/>
    <s v="Fresno, CA"/>
    <n v="36.7378"/>
    <n v="-119.7871"/>
    <d v="2022-11-01T00:00:00"/>
    <n v="0"/>
    <x v="1"/>
    <x v="32"/>
  </r>
  <r>
    <n v="23"/>
    <x v="0"/>
    <n v="2"/>
    <s v="Tue, Wed"/>
    <b v="1"/>
    <d v="1899-12-30T17:37:00"/>
    <d v="1899-12-30T19:57:00"/>
    <n v="140"/>
    <b v="1"/>
    <b v="1"/>
    <x v="1"/>
    <x v="3"/>
    <n v="50"/>
    <x v="1"/>
    <n v="37.5"/>
    <x v="0"/>
    <n v="0.05"/>
    <n v="35.625"/>
    <s v="All hours"/>
    <s v="San Francisco, CA"/>
    <n v="37.774900000000002"/>
    <n v="-122.4194"/>
    <d v="2025-03-17T00:00:00"/>
    <n v="1"/>
    <x v="1"/>
    <x v="27"/>
  </r>
  <r>
    <n v="12"/>
    <x v="1"/>
    <n v="2"/>
    <s v="Sat, Wed"/>
    <b v="1"/>
    <d v="1899-12-30T13:58:00"/>
    <d v="1899-12-30T15:56:00"/>
    <n v="118"/>
    <b v="1"/>
    <b v="1"/>
    <x v="1"/>
    <x v="1"/>
    <n v="30"/>
    <x v="0"/>
    <n v="30"/>
    <x v="0"/>
    <n v="0.05"/>
    <n v="28.5"/>
    <s v="Weekdays only"/>
    <s v="Anaheim, CA"/>
    <n v="33.836599999999997"/>
    <n v="-117.9143"/>
    <d v="2024-07-17T00:00:00"/>
    <n v="7"/>
    <x v="1"/>
    <x v="39"/>
  </r>
  <r>
    <n v="40"/>
    <x v="1"/>
    <n v="3"/>
    <s v="Fri, Sun, Tue"/>
    <b v="0"/>
    <d v="1899-12-30T11:18:00"/>
    <d v="1899-12-30T14:09:00"/>
    <n v="171"/>
    <b v="0"/>
    <b v="1"/>
    <x v="1"/>
    <x v="0"/>
    <n v="30"/>
    <x v="1"/>
    <n v="22.5"/>
    <x v="1"/>
    <n v="0"/>
    <n v="22.5"/>
    <s v="Weekdays only"/>
    <s v="Anaheim, CA"/>
    <n v="33.836599999999997"/>
    <n v="-117.9143"/>
    <d v="2022-09-15T00:00:00"/>
    <n v="8"/>
    <x v="1"/>
    <x v="1"/>
  </r>
  <r>
    <n v="27"/>
    <x v="1"/>
    <n v="5"/>
    <s v="Fri, Mon, Sun, Tue, Wed"/>
    <b v="0"/>
    <d v="1899-12-30T18:22:00"/>
    <d v="1899-12-30T19:04:00"/>
    <n v="42"/>
    <b v="0"/>
    <b v="0"/>
    <x v="0"/>
    <x v="1"/>
    <n v="30"/>
    <x v="1"/>
    <n v="22.5"/>
    <x v="1"/>
    <n v="0"/>
    <n v="22.5"/>
    <s v="Weekdays only"/>
    <s v="Long Beach, CA"/>
    <n v="33.770099999999999"/>
    <n v="-118.19370000000001"/>
    <d v="2022-09-14T00:00:00"/>
    <n v="0"/>
    <x v="1"/>
    <x v="1"/>
  </r>
  <r>
    <n v="34"/>
    <x v="1"/>
    <n v="3"/>
    <s v="Fri, Tue, Wed"/>
    <b v="0"/>
    <d v="1899-12-30T14:36:00"/>
    <d v="1899-12-30T15:56:00"/>
    <n v="80"/>
    <b v="0"/>
    <b v="1"/>
    <x v="0"/>
    <x v="1"/>
    <n v="30"/>
    <x v="0"/>
    <n v="30"/>
    <x v="3"/>
    <n v="0.15"/>
    <n v="25.5"/>
    <s v="Weekdays only"/>
    <s v="Long Beach, CA"/>
    <n v="33.770099999999999"/>
    <n v="-118.19370000000001"/>
    <d v="2023-10-21T00:00:00"/>
    <n v="8"/>
    <x v="1"/>
    <x v="59"/>
  </r>
  <r>
    <n v="14"/>
    <x v="0"/>
    <n v="3"/>
    <s v="Fri, Tue, Wed"/>
    <b v="0"/>
    <d v="1899-12-30T20:52:00"/>
    <d v="1899-12-30T22:02:00"/>
    <n v="70"/>
    <b v="1"/>
    <b v="1"/>
    <x v="1"/>
    <x v="4"/>
    <n v="50"/>
    <x v="0"/>
    <n v="50"/>
    <x v="3"/>
    <n v="0.15"/>
    <n v="42.5"/>
    <s v="All hours"/>
    <s v="Fresno, CA"/>
    <n v="36.7378"/>
    <n v="-119.7871"/>
    <d v="2023-08-20T00:00:00"/>
    <n v="5"/>
    <x v="0"/>
    <x v="46"/>
  </r>
  <r>
    <n v="43"/>
    <x v="0"/>
    <n v="1"/>
    <s v="Mon"/>
    <b v="0"/>
    <d v="1899-12-30T15:04:00"/>
    <d v="1899-12-30T17:05:00"/>
    <n v="121"/>
    <b v="0"/>
    <b v="1"/>
    <x v="0"/>
    <x v="2"/>
    <n v="50"/>
    <x v="1"/>
    <n v="37.5"/>
    <x v="3"/>
    <n v="0.15"/>
    <n v="31.875"/>
    <s v="All hours"/>
    <s v="Oakland, CA"/>
    <n v="37.804400000000001"/>
    <n v="-122.27119999999999"/>
    <d v="2024-03-02T00:00:00"/>
    <n v="8"/>
    <x v="0"/>
    <x v="29"/>
  </r>
  <r>
    <n v="33"/>
    <x v="1"/>
    <n v="1"/>
    <s v="Wed"/>
    <b v="1"/>
    <d v="1899-12-30T16:41:00"/>
    <d v="1899-12-30T18:29:00"/>
    <n v="108"/>
    <b v="0"/>
    <b v="0"/>
    <x v="1"/>
    <x v="1"/>
    <n v="30"/>
    <x v="1"/>
    <n v="22.5"/>
    <x v="1"/>
    <n v="0"/>
    <n v="22.5"/>
    <s v="Weekdays only"/>
    <s v="Oakland, CA"/>
    <n v="37.804400000000001"/>
    <n v="-122.27119999999999"/>
    <d v="2024-08-14T00:00:00"/>
    <n v="0"/>
    <x v="1"/>
    <x v="18"/>
  </r>
  <r>
    <n v="13"/>
    <x v="1"/>
    <n v="3"/>
    <s v="Mon, Tue, Wed"/>
    <b v="0"/>
    <d v="1899-12-30T13:36:00"/>
    <d v="1899-12-30T14:08:00"/>
    <n v="32"/>
    <b v="0"/>
    <b v="1"/>
    <x v="0"/>
    <x v="0"/>
    <n v="30"/>
    <x v="0"/>
    <n v="30"/>
    <x v="1"/>
    <n v="0"/>
    <n v="30"/>
    <s v="Weekdays only"/>
    <s v="Oakland, CA"/>
    <n v="37.804400000000001"/>
    <n v="-122.27119999999999"/>
    <d v="2024-07-07T00:00:00"/>
    <n v="4"/>
    <x v="1"/>
    <x v="39"/>
  </r>
  <r>
    <n v="23"/>
    <x v="3"/>
    <n v="5"/>
    <s v="Mon, Sun, Thu, Tue, Wed"/>
    <b v="1"/>
    <d v="1899-12-30T20:57:00"/>
    <d v="1899-12-30T23:35:00"/>
    <n v="158"/>
    <b v="0"/>
    <b v="0"/>
    <x v="1"/>
    <x v="1"/>
    <n v="70"/>
    <x v="0"/>
    <n v="70"/>
    <x v="1"/>
    <n v="0"/>
    <n v="70"/>
    <s v="All hours + Priority access"/>
    <s v="Anaheim, CA"/>
    <n v="33.836599999999997"/>
    <n v="-117.9143"/>
    <d v="2023-07-07T00:00:00"/>
    <n v="0"/>
    <x v="0"/>
    <x v="56"/>
  </r>
  <r>
    <n v="22"/>
    <x v="2"/>
    <n v="1"/>
    <s v="Sun"/>
    <b v="1"/>
    <d v="1899-12-30T12:27:00"/>
    <d v="1899-12-30T14:03:00"/>
    <n v="96"/>
    <b v="1"/>
    <b v="0"/>
    <x v="1"/>
    <x v="4"/>
    <n v="20"/>
    <x v="0"/>
    <n v="20"/>
    <x v="1"/>
    <n v="0"/>
    <n v="20"/>
    <s v="Off-peak only"/>
    <s v="Oakland, CA"/>
    <n v="37.804400000000001"/>
    <n v="-122.27119999999999"/>
    <d v="2023-04-13T00:00:00"/>
    <n v="0"/>
    <x v="1"/>
    <x v="49"/>
  </r>
  <r>
    <n v="18"/>
    <x v="2"/>
    <n v="2"/>
    <s v="Mon, Sat"/>
    <b v="0"/>
    <d v="1899-12-30T19:45:00"/>
    <d v="1899-12-30T22:44:00"/>
    <n v="179"/>
    <b v="0"/>
    <b v="1"/>
    <x v="0"/>
    <x v="0"/>
    <n v="20"/>
    <x v="1"/>
    <n v="15"/>
    <x v="1"/>
    <n v="0"/>
    <n v="15"/>
    <s v="Off-peak only"/>
    <s v="Bakersfield, CA"/>
    <n v="35.3733"/>
    <n v="-119.0187"/>
    <d v="2023-03-02T00:00:00"/>
    <n v="8"/>
    <x v="1"/>
    <x v="22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3-03-05T00:00:00"/>
    <n v="3"/>
    <x v="1"/>
    <x v="22"/>
  </r>
  <r>
    <n v="15"/>
    <x v="1"/>
    <n v="2"/>
    <s v="Mon, Thu"/>
    <b v="1"/>
    <d v="1899-12-30T19:07:00"/>
    <d v="1899-12-30T22:02:00"/>
    <n v="175"/>
    <b v="1"/>
    <b v="0"/>
    <x v="1"/>
    <x v="0"/>
    <n v="30"/>
    <x v="2"/>
    <n v="27"/>
    <x v="1"/>
    <n v="0"/>
    <n v="27"/>
    <s v="Weekdays only"/>
    <s v="Anaheim, CA"/>
    <n v="33.836599999999997"/>
    <n v="-117.9143"/>
    <d v="2025-03-17T00:00:00"/>
    <n v="0"/>
    <x v="0"/>
    <x v="27"/>
  </r>
  <r>
    <n v="14"/>
    <x v="0"/>
    <n v="3"/>
    <s v="Fri, Mon, Tue"/>
    <b v="1"/>
    <d v="1899-12-30T15:31:00"/>
    <d v="1899-12-30T18:22:00"/>
    <n v="171"/>
    <b v="0"/>
    <b v="0"/>
    <x v="1"/>
    <x v="0"/>
    <n v="50"/>
    <x v="0"/>
    <n v="50"/>
    <x v="0"/>
    <n v="0.05"/>
    <n v="47.5"/>
    <s v="All hours"/>
    <s v="San Jose, CA"/>
    <n v="37.338200000000001"/>
    <n v="-121.88630000000001"/>
    <d v="2024-01-13T00:00:00"/>
    <n v="0"/>
    <x v="0"/>
    <x v="31"/>
  </r>
  <r>
    <n v="40"/>
    <x v="0"/>
    <n v="4"/>
    <s v="Sat, Sun, Thu, Tue"/>
    <b v="1"/>
    <d v="1899-12-30T19:35:00"/>
    <d v="1899-12-30T21:08:00"/>
    <n v="93"/>
    <b v="0"/>
    <b v="0"/>
    <x v="0"/>
    <x v="2"/>
    <n v="50"/>
    <x v="1"/>
    <n v="37.5"/>
    <x v="2"/>
    <n v="0.1"/>
    <n v="33.75"/>
    <s v="All hours"/>
    <s v="Fresno, CA"/>
    <n v="36.7378"/>
    <n v="-119.7871"/>
    <d v="2025-04-22T00:00:00"/>
    <n v="0"/>
    <x v="0"/>
    <x v="5"/>
  </r>
  <r>
    <n v="35"/>
    <x v="1"/>
    <n v="2"/>
    <s v="Tue, Wed"/>
    <b v="0"/>
    <d v="1899-12-30T18:42:00"/>
    <d v="1899-12-30T21:41:00"/>
    <n v="179"/>
    <b v="0"/>
    <b v="1"/>
    <x v="1"/>
    <x v="0"/>
    <n v="30"/>
    <x v="0"/>
    <n v="30"/>
    <x v="1"/>
    <n v="0"/>
    <n v="30"/>
    <s v="Weekdays only"/>
    <s v="Sacramento, CA"/>
    <n v="38.581600000000002"/>
    <n v="-121.4944"/>
    <d v="2023-11-15T00:00:00"/>
    <n v="5"/>
    <x v="0"/>
    <x v="35"/>
  </r>
  <r>
    <n v="22"/>
    <x v="2"/>
    <n v="4"/>
    <s v="Fri, Thu, Tue, Wed"/>
    <b v="0"/>
    <d v="1899-12-30T19:28:00"/>
    <d v="1899-12-30T22:18:00"/>
    <n v="170"/>
    <b v="1"/>
    <b v="1"/>
    <x v="0"/>
    <x v="4"/>
    <n v="20"/>
    <x v="0"/>
    <n v="20"/>
    <x v="1"/>
    <n v="0"/>
    <n v="20"/>
    <s v="Off-peak only"/>
    <s v="Los Angeles, CA"/>
    <n v="34.052199999999999"/>
    <n v="-118.2437"/>
    <d v="2024-03-09T00:00:00"/>
    <n v="4"/>
    <x v="1"/>
    <x v="29"/>
  </r>
  <r>
    <n v="20"/>
    <x v="2"/>
    <n v="4"/>
    <s v="Fri, Mon, Sun, Wed"/>
    <b v="0"/>
    <d v="1899-12-30T17:12:00"/>
    <d v="1899-12-30T18:19:00"/>
    <n v="67"/>
    <b v="0"/>
    <b v="0"/>
    <x v="1"/>
    <x v="0"/>
    <n v="20"/>
    <x v="1"/>
    <n v="15"/>
    <x v="1"/>
    <n v="0"/>
    <n v="15"/>
    <s v="Off-peak only"/>
    <s v="San Diego, CA"/>
    <n v="32.715699999999998"/>
    <n v="-117.1611"/>
    <d v="2022-11-20T00:00:00"/>
    <n v="0"/>
    <x v="1"/>
    <x v="37"/>
  </r>
  <r>
    <n v="49"/>
    <x v="1"/>
    <n v="3"/>
    <s v="Fri, Sat, Thu"/>
    <b v="1"/>
    <d v="1899-12-30T20:40:00"/>
    <d v="1899-12-30T21:24:00"/>
    <n v="44"/>
    <b v="0"/>
    <b v="1"/>
    <x v="0"/>
    <x v="4"/>
    <n v="30"/>
    <x v="0"/>
    <n v="30"/>
    <x v="1"/>
    <n v="0"/>
    <n v="30"/>
    <s v="Weekdays only"/>
    <s v="San Diego, CA"/>
    <n v="32.715699999999998"/>
    <n v="-117.1611"/>
    <d v="2024-06-14T00:00:00"/>
    <n v="6"/>
    <x v="0"/>
    <x v="20"/>
  </r>
  <r>
    <n v="20"/>
    <x v="1"/>
    <n v="3"/>
    <s v="Fri, Thu, Wed"/>
    <b v="0"/>
    <d v="1899-12-30T15:28:00"/>
    <d v="1899-12-30T17:58:00"/>
    <n v="150"/>
    <b v="1"/>
    <b v="0"/>
    <x v="1"/>
    <x v="4"/>
    <n v="30"/>
    <x v="2"/>
    <n v="27"/>
    <x v="3"/>
    <n v="0.15"/>
    <n v="22.95"/>
    <s v="Weekdays only"/>
    <s v="Fresno, CA"/>
    <n v="36.7378"/>
    <n v="-119.7871"/>
    <d v="2025-02-18T00:00:00"/>
    <n v="0"/>
    <x v="1"/>
    <x v="30"/>
  </r>
  <r>
    <n v="49"/>
    <x v="2"/>
    <n v="3"/>
    <s v="Mon, Sun, Wed"/>
    <b v="0"/>
    <d v="1899-12-30T19:37:00"/>
    <d v="1899-12-30T21:31:00"/>
    <n v="114"/>
    <b v="1"/>
    <b v="0"/>
    <x v="0"/>
    <x v="0"/>
    <n v="20"/>
    <x v="0"/>
    <n v="20"/>
    <x v="3"/>
    <n v="0.15"/>
    <n v="17"/>
    <s v="Off-peak only"/>
    <s v="Anaheim, CA"/>
    <n v="33.836599999999997"/>
    <n v="-117.9143"/>
    <d v="2025-01-21T00:00:00"/>
    <n v="0"/>
    <x v="1"/>
    <x v="19"/>
  </r>
  <r>
    <n v="49"/>
    <x v="3"/>
    <n v="5"/>
    <s v="Sat, Sun, Thu, Tue, Wed"/>
    <b v="1"/>
    <d v="1899-12-30T08:15:00"/>
    <d v="1899-12-30T08:50:00"/>
    <n v="35"/>
    <b v="0"/>
    <b v="0"/>
    <x v="0"/>
    <x v="0"/>
    <n v="70"/>
    <x v="0"/>
    <n v="70"/>
    <x v="1"/>
    <n v="0"/>
    <n v="70"/>
    <s v="All hours + Priority access"/>
    <s v="Los Angeles, CA"/>
    <n v="34.052199999999999"/>
    <n v="-118.2437"/>
    <d v="2023-04-03T00:00:00"/>
    <n v="0"/>
    <x v="0"/>
    <x v="49"/>
  </r>
  <r>
    <n v="44"/>
    <x v="1"/>
    <n v="2"/>
    <s v="Tue, Wed"/>
    <b v="0"/>
    <d v="1899-12-30T11:53:00"/>
    <d v="1899-12-30T12:48:00"/>
    <n v="55"/>
    <b v="0"/>
    <b v="0"/>
    <x v="0"/>
    <x v="0"/>
    <n v="30"/>
    <x v="1"/>
    <n v="22.5"/>
    <x v="2"/>
    <n v="0.1"/>
    <n v="20.25"/>
    <s v="Weekdays only"/>
    <s v="San Diego, CA"/>
    <n v="32.715699999999998"/>
    <n v="-117.1611"/>
    <d v="2023-09-03T00:00:00"/>
    <n v="0"/>
    <x v="1"/>
    <x v="46"/>
  </r>
  <r>
    <n v="22"/>
    <x v="2"/>
    <n v="5"/>
    <s v="Fri, Sat, Sun, Tue, Wed"/>
    <b v="1"/>
    <d v="1899-12-30T10:31:00"/>
    <d v="1899-12-30T11:48:00"/>
    <n v="77"/>
    <b v="1"/>
    <b v="1"/>
    <x v="0"/>
    <x v="0"/>
    <n v="20"/>
    <x v="1"/>
    <n v="15"/>
    <x v="0"/>
    <n v="0.05"/>
    <n v="14.25"/>
    <s v="Off-peak only"/>
    <s v="Anaheim, CA"/>
    <n v="33.836599999999997"/>
    <n v="-117.9143"/>
    <d v="2025-03-07T00:00:00"/>
    <n v="6"/>
    <x v="1"/>
    <x v="45"/>
  </r>
  <r>
    <n v="36"/>
    <x v="0"/>
    <n v="2"/>
    <s v="Sat, Wed"/>
    <b v="0"/>
    <d v="1899-12-30T16:49:00"/>
    <d v="1899-12-30T19:10:00"/>
    <n v="141"/>
    <b v="0"/>
    <b v="1"/>
    <x v="1"/>
    <x v="4"/>
    <n v="50"/>
    <x v="1"/>
    <n v="37.5"/>
    <x v="3"/>
    <n v="0.15"/>
    <n v="31.875"/>
    <s v="All hours"/>
    <s v="Oakland, CA"/>
    <n v="37.804400000000001"/>
    <n v="-122.27119999999999"/>
    <d v="2025-03-25T00:00:00"/>
    <n v="6"/>
    <x v="0"/>
    <x v="27"/>
  </r>
  <r>
    <n v="32"/>
    <x v="2"/>
    <n v="3"/>
    <s v="Fri, Mon, Thu"/>
    <b v="0"/>
    <d v="1899-12-30T08:13:00"/>
    <d v="1899-12-30T09:06:00"/>
    <n v="53"/>
    <b v="1"/>
    <b v="0"/>
    <x v="0"/>
    <x v="0"/>
    <n v="20"/>
    <x v="1"/>
    <n v="15"/>
    <x v="1"/>
    <n v="0"/>
    <n v="15"/>
    <s v="Off-peak only"/>
    <s v="San Francisco, CA"/>
    <n v="37.774900000000002"/>
    <n v="-122.4194"/>
    <d v="2023-06-07T00:00:00"/>
    <n v="0"/>
    <x v="1"/>
    <x v="8"/>
  </r>
  <r>
    <n v="29"/>
    <x v="1"/>
    <n v="3"/>
    <s v="Mon, Sat, Thu"/>
    <b v="0"/>
    <d v="1899-12-30T15:05:00"/>
    <d v="1899-12-30T16:19:00"/>
    <n v="74"/>
    <b v="0"/>
    <b v="1"/>
    <x v="1"/>
    <x v="1"/>
    <n v="30"/>
    <x v="0"/>
    <n v="30"/>
    <x v="1"/>
    <n v="0"/>
    <n v="30"/>
    <s v="Weekdays only"/>
    <s v="San Diego, CA"/>
    <n v="32.715699999999998"/>
    <n v="-117.1611"/>
    <d v="2025-04-06T00:00:00"/>
    <n v="6"/>
    <x v="1"/>
    <x v="42"/>
  </r>
  <r>
    <n v="49"/>
    <x v="1"/>
    <n v="2"/>
    <s v="Sat, Wed"/>
    <b v="0"/>
    <d v="1899-12-30T15:41:00"/>
    <d v="1899-12-30T17:45:00"/>
    <n v="124"/>
    <b v="1"/>
    <b v="0"/>
    <x v="0"/>
    <x v="0"/>
    <n v="30"/>
    <x v="0"/>
    <n v="30"/>
    <x v="2"/>
    <n v="0.1"/>
    <n v="27"/>
    <s v="Weekdays only"/>
    <s v="Los Angeles, CA"/>
    <n v="34.052199999999999"/>
    <n v="-118.2437"/>
    <d v="2023-01-29T00:00:00"/>
    <n v="0"/>
    <x v="1"/>
    <x v="11"/>
  </r>
  <r>
    <n v="24"/>
    <x v="0"/>
    <n v="1"/>
    <s v="Thu"/>
    <b v="1"/>
    <d v="1899-12-30T08:58:00"/>
    <d v="1899-12-30T11:53:00"/>
    <n v="175"/>
    <b v="0"/>
    <b v="1"/>
    <x v="1"/>
    <x v="0"/>
    <n v="50"/>
    <x v="1"/>
    <n v="37.5"/>
    <x v="1"/>
    <n v="0"/>
    <n v="37.5"/>
    <s v="All hours"/>
    <s v="Long Beach, CA"/>
    <n v="33.770099999999999"/>
    <n v="-118.19370000000001"/>
    <d v="2023-06-01T00:00:00"/>
    <n v="3"/>
    <x v="0"/>
    <x v="8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5-03-28T00:00:00"/>
    <n v="8"/>
    <x v="0"/>
    <x v="42"/>
  </r>
  <r>
    <n v="47"/>
    <x v="0"/>
    <n v="3"/>
    <s v="Mon, Sat, Wed"/>
    <b v="0"/>
    <d v="1899-12-30T19:31:00"/>
    <d v="1899-12-30T20:19:00"/>
    <n v="48"/>
    <b v="0"/>
    <b v="1"/>
    <x v="0"/>
    <x v="3"/>
    <n v="50"/>
    <x v="0"/>
    <n v="50"/>
    <x v="3"/>
    <n v="0.15"/>
    <n v="42.5"/>
    <s v="All hours"/>
    <s v="San Jose, CA"/>
    <n v="37.338200000000001"/>
    <n v="-121.88630000000001"/>
    <d v="2025-03-24T00:00:00"/>
    <n v="1"/>
    <x v="1"/>
    <x v="27"/>
  </r>
  <r>
    <n v="41"/>
    <x v="2"/>
    <n v="3"/>
    <s v="Sun, Thu, Wed"/>
    <b v="1"/>
    <d v="1899-12-30T15:40:00"/>
    <d v="1899-12-30T17:21:00"/>
    <n v="101"/>
    <b v="1"/>
    <b v="1"/>
    <x v="0"/>
    <x v="4"/>
    <n v="20"/>
    <x v="0"/>
    <n v="20"/>
    <x v="2"/>
    <n v="0.1"/>
    <n v="18"/>
    <s v="Off-peak only"/>
    <s v="Los Angeles, CA"/>
    <n v="34.052199999999999"/>
    <n v="-118.2437"/>
    <d v="2022-08-07T00:00:00"/>
    <n v="4"/>
    <x v="0"/>
    <x v="43"/>
  </r>
  <r>
    <n v="32"/>
    <x v="1"/>
    <n v="3"/>
    <s v="Fri, Sun, Thu"/>
    <b v="0"/>
    <d v="1899-12-30T14:23:00"/>
    <d v="1899-12-30T15:48:00"/>
    <n v="85"/>
    <b v="1"/>
    <b v="0"/>
    <x v="0"/>
    <x v="2"/>
    <n v="30"/>
    <x v="0"/>
    <n v="30"/>
    <x v="1"/>
    <n v="0"/>
    <n v="30"/>
    <s v="Weekdays only"/>
    <s v="Long Beach, CA"/>
    <n v="33.770099999999999"/>
    <n v="-118.19370000000001"/>
    <d v="2024-05-20T00:00:00"/>
    <n v="0"/>
    <x v="1"/>
    <x v="0"/>
  </r>
  <r>
    <n v="42"/>
    <x v="2"/>
    <n v="3"/>
    <s v="Mon, Sat, Thu"/>
    <b v="0"/>
    <d v="1899-12-30T16:20:00"/>
    <d v="1899-12-30T17:20:00"/>
    <n v="60"/>
    <b v="1"/>
    <b v="1"/>
    <x v="0"/>
    <x v="0"/>
    <n v="20"/>
    <x v="0"/>
    <n v="20"/>
    <x v="0"/>
    <n v="0.05"/>
    <n v="19"/>
    <s v="Off-peak only"/>
    <s v="San Jose, CA"/>
    <n v="37.338200000000001"/>
    <n v="-121.88630000000001"/>
    <d v="2024-05-24T00:00:00"/>
    <n v="3"/>
    <x v="0"/>
    <x v="0"/>
  </r>
  <r>
    <n v="39"/>
    <x v="0"/>
    <n v="5"/>
    <s v="Mon, Sat, Sun, Tue, Wed"/>
    <b v="1"/>
    <d v="1899-12-30T09:42:00"/>
    <d v="1899-12-30T12:23:00"/>
    <n v="161"/>
    <b v="1"/>
    <b v="1"/>
    <x v="0"/>
    <x v="0"/>
    <n v="50"/>
    <x v="0"/>
    <n v="50"/>
    <x v="3"/>
    <n v="0.15"/>
    <n v="42.5"/>
    <s v="All hours"/>
    <s v="Bakersfield, CA"/>
    <n v="35.3733"/>
    <n v="-119.0187"/>
    <d v="2023-02-08T00:00:00"/>
    <n v="6"/>
    <x v="0"/>
    <x v="26"/>
  </r>
  <r>
    <n v="44"/>
    <x v="1"/>
    <n v="2"/>
    <s v="Tue, Wed"/>
    <b v="0"/>
    <d v="1899-12-30T11:53:00"/>
    <d v="1899-12-30T12:48:00"/>
    <n v="55"/>
    <b v="0"/>
    <b v="0"/>
    <x v="0"/>
    <x v="0"/>
    <n v="30"/>
    <x v="1"/>
    <n v="22.5"/>
    <x v="2"/>
    <n v="0.1"/>
    <n v="20.25"/>
    <s v="Weekdays only"/>
    <s v="San Diego, CA"/>
    <n v="32.715699999999998"/>
    <n v="-117.1611"/>
    <d v="2022-09-18T00:00:00"/>
    <n v="0"/>
    <x v="1"/>
    <x v="25"/>
  </r>
  <r>
    <n v="39"/>
    <x v="0"/>
    <n v="3"/>
    <s v="Fri, Mon, Sun"/>
    <b v="1"/>
    <d v="1899-12-30T12:16:00"/>
    <d v="1899-12-30T12:49:00"/>
    <n v="33"/>
    <b v="0"/>
    <b v="0"/>
    <x v="0"/>
    <x v="0"/>
    <n v="50"/>
    <x v="0"/>
    <n v="50"/>
    <x v="3"/>
    <n v="0.15"/>
    <n v="42.5"/>
    <s v="All hours"/>
    <s v="Bakersfield, CA"/>
    <n v="35.3733"/>
    <n v="-119.0187"/>
    <d v="2022-08-07T00:00:00"/>
    <n v="0"/>
    <x v="1"/>
    <x v="43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3-04-12T00:00:00"/>
    <n v="7"/>
    <x v="1"/>
    <x v="49"/>
  </r>
  <r>
    <n v="14"/>
    <x v="1"/>
    <n v="2"/>
    <s v="Mon, Wed"/>
    <b v="0"/>
    <d v="1899-12-30T09:46:00"/>
    <d v="1899-12-30T10:56:00"/>
    <n v="70"/>
    <b v="0"/>
    <b v="0"/>
    <x v="1"/>
    <x v="0"/>
    <n v="30"/>
    <x v="2"/>
    <n v="27"/>
    <x v="1"/>
    <n v="0"/>
    <n v="27"/>
    <s v="Weekdays only"/>
    <s v="Anaheim, CA"/>
    <n v="33.836599999999997"/>
    <n v="-117.9143"/>
    <d v="2024-05-18T00:00:00"/>
    <n v="0"/>
    <x v="1"/>
    <x v="0"/>
  </r>
  <r>
    <n v="41"/>
    <x v="1"/>
    <n v="2"/>
    <s v="Sun, Tue"/>
    <b v="0"/>
    <d v="1899-12-30T13:55:00"/>
    <d v="1899-12-30T16:22:00"/>
    <n v="147"/>
    <b v="0"/>
    <b v="0"/>
    <x v="1"/>
    <x v="0"/>
    <n v="30"/>
    <x v="0"/>
    <n v="30"/>
    <x v="3"/>
    <n v="0.15"/>
    <n v="25.5"/>
    <s v="Weekdays only"/>
    <s v="Long Beach, CA"/>
    <n v="33.770099999999999"/>
    <n v="-118.19370000000001"/>
    <d v="2025-03-26T00:00:00"/>
    <n v="0"/>
    <x v="1"/>
    <x v="27"/>
  </r>
  <r>
    <n v="29"/>
    <x v="0"/>
    <n v="2"/>
    <s v="Fri, Mon"/>
    <b v="1"/>
    <d v="1899-12-30T20:15:00"/>
    <d v="1899-12-30T22:05:00"/>
    <n v="110"/>
    <b v="0"/>
    <b v="0"/>
    <x v="1"/>
    <x v="2"/>
    <n v="50"/>
    <x v="0"/>
    <n v="50"/>
    <x v="3"/>
    <n v="0.15"/>
    <n v="42.5"/>
    <s v="All hours"/>
    <s v="Fresno, CA"/>
    <n v="36.7378"/>
    <n v="-119.7871"/>
    <d v="2023-03-18T00:00:00"/>
    <n v="0"/>
    <x v="0"/>
    <x v="36"/>
  </r>
  <r>
    <n v="36"/>
    <x v="0"/>
    <n v="1"/>
    <s v="Fri"/>
    <b v="1"/>
    <d v="1899-12-30T14:49:00"/>
    <d v="1899-12-30T16:32:00"/>
    <n v="103"/>
    <b v="1"/>
    <b v="1"/>
    <x v="0"/>
    <x v="0"/>
    <n v="50"/>
    <x v="1"/>
    <n v="37.5"/>
    <x v="2"/>
    <n v="0.1"/>
    <n v="33.75"/>
    <s v="All hours"/>
    <s v="Bakersfield, CA"/>
    <n v="35.3733"/>
    <n v="-119.0187"/>
    <d v="2023-11-06T00:00:00"/>
    <n v="8"/>
    <x v="1"/>
    <x v="50"/>
  </r>
  <r>
    <n v="38"/>
    <x v="1"/>
    <n v="3"/>
    <s v="Sat, Sun, Wed"/>
    <b v="1"/>
    <d v="1899-12-30T13:20:00"/>
    <d v="1899-12-30T14:42:00"/>
    <n v="82"/>
    <b v="0"/>
    <b v="0"/>
    <x v="0"/>
    <x v="1"/>
    <n v="30"/>
    <x v="2"/>
    <n v="27"/>
    <x v="1"/>
    <n v="0"/>
    <n v="27"/>
    <s v="Weekdays only"/>
    <s v="San Diego, CA"/>
    <n v="32.715699999999998"/>
    <n v="-117.1611"/>
    <d v="2024-03-28T00:00:00"/>
    <n v="0"/>
    <x v="1"/>
    <x v="17"/>
  </r>
  <r>
    <n v="14"/>
    <x v="0"/>
    <n v="5"/>
    <s v="Fri, Mon, Sat, Sun, Wed"/>
    <b v="1"/>
    <d v="1899-12-30T12:54:00"/>
    <d v="1899-12-30T15:10:00"/>
    <n v="136"/>
    <b v="1"/>
    <b v="1"/>
    <x v="1"/>
    <x v="0"/>
    <n v="50"/>
    <x v="1"/>
    <n v="37.5"/>
    <x v="2"/>
    <n v="0.1"/>
    <n v="33.75"/>
    <s v="All hours"/>
    <s v="Fresno, CA"/>
    <n v="36.7378"/>
    <n v="-119.7871"/>
    <d v="2022-10-31T00:00:00"/>
    <n v="1"/>
    <x v="0"/>
    <x v="32"/>
  </r>
  <r>
    <n v="30"/>
    <x v="1"/>
    <n v="5"/>
    <s v="Fri, Mon, Sat, Sun, Tue"/>
    <b v="1"/>
    <d v="1899-12-30T13:04:00"/>
    <d v="1899-12-30T13:58:00"/>
    <n v="54"/>
    <b v="0"/>
    <b v="1"/>
    <x v="1"/>
    <x v="1"/>
    <n v="30"/>
    <x v="1"/>
    <n v="22.5"/>
    <x v="3"/>
    <n v="0.15"/>
    <n v="19.125"/>
    <s v="Weekdays only"/>
    <s v="Sacramento, CA"/>
    <n v="38.581600000000002"/>
    <n v="-121.4944"/>
    <d v="2025-02-24T00:00:00"/>
    <n v="7"/>
    <x v="0"/>
    <x v="45"/>
  </r>
  <r>
    <n v="26"/>
    <x v="1"/>
    <n v="3"/>
    <s v="Mon, Sun, Thu"/>
    <b v="0"/>
    <d v="1899-12-30T13:11:00"/>
    <d v="1899-12-30T14:21:00"/>
    <n v="70"/>
    <b v="0"/>
    <b v="0"/>
    <x v="0"/>
    <x v="4"/>
    <n v="30"/>
    <x v="0"/>
    <n v="30"/>
    <x v="0"/>
    <n v="0.05"/>
    <n v="28.5"/>
    <s v="Weekdays only"/>
    <s v="Long Beach, CA"/>
    <n v="33.770099999999999"/>
    <n v="-118.19370000000001"/>
    <d v="2024-01-15T00:00:00"/>
    <n v="0"/>
    <x v="1"/>
    <x v="31"/>
  </r>
  <r>
    <n v="23"/>
    <x v="1"/>
    <n v="4"/>
    <s v="Fri, Sun, Thu, Wed"/>
    <b v="0"/>
    <d v="1899-12-30T10:17:00"/>
    <d v="1899-12-30T12:21:00"/>
    <n v="124"/>
    <b v="1"/>
    <b v="0"/>
    <x v="1"/>
    <x v="4"/>
    <n v="30"/>
    <x v="0"/>
    <n v="30"/>
    <x v="1"/>
    <n v="0"/>
    <n v="30"/>
    <s v="Weekdays only"/>
    <s v="Anaheim, CA"/>
    <n v="33.836599999999997"/>
    <n v="-117.9143"/>
    <d v="2025-06-10T00:00:00"/>
    <n v="0"/>
    <x v="1"/>
    <x v="44"/>
  </r>
  <r>
    <n v="37"/>
    <x v="0"/>
    <n v="3"/>
    <s v="Fri, Sat, Sun"/>
    <b v="0"/>
    <d v="1899-12-30T17:53:00"/>
    <d v="1899-12-30T20:14:00"/>
    <n v="141"/>
    <b v="0"/>
    <b v="0"/>
    <x v="1"/>
    <x v="1"/>
    <n v="50"/>
    <x v="1"/>
    <n v="37.5"/>
    <x v="2"/>
    <n v="0.1"/>
    <n v="33.75"/>
    <s v="All hours"/>
    <s v="Long Beach, CA"/>
    <n v="33.770099999999999"/>
    <n v="-118.19370000000001"/>
    <d v="2024-02-09T00:00:00"/>
    <n v="0"/>
    <x v="0"/>
    <x v="48"/>
  </r>
  <r>
    <n v="18"/>
    <x v="0"/>
    <n v="3"/>
    <s v="Sun, Thu, Tue"/>
    <b v="1"/>
    <d v="1899-12-30T09:15:00"/>
    <d v="1899-12-30T10:04:00"/>
    <n v="49"/>
    <b v="1"/>
    <b v="0"/>
    <x v="0"/>
    <x v="0"/>
    <n v="50"/>
    <x v="2"/>
    <n v="45"/>
    <x v="2"/>
    <n v="0.1"/>
    <n v="40.5"/>
    <s v="All hours"/>
    <s v="Sacramento, CA"/>
    <n v="38.581600000000002"/>
    <n v="-121.4944"/>
    <d v="2025-04-24T00:00:00"/>
    <n v="0"/>
    <x v="0"/>
    <x v="5"/>
  </r>
  <r>
    <n v="30"/>
    <x v="1"/>
    <n v="3"/>
    <s v="Fri, Thu, Tue"/>
    <b v="0"/>
    <d v="1899-12-30T08:05:00"/>
    <d v="1899-12-30T09:06:00"/>
    <n v="61"/>
    <b v="1"/>
    <b v="1"/>
    <x v="0"/>
    <x v="2"/>
    <n v="30"/>
    <x v="1"/>
    <n v="22.5"/>
    <x v="0"/>
    <n v="0.05"/>
    <n v="21.375"/>
    <s v="Weekdays only"/>
    <s v="Long Beach, CA"/>
    <n v="33.770099999999999"/>
    <n v="-118.19370000000001"/>
    <d v="2025-02-16T00:00:00"/>
    <n v="5"/>
    <x v="1"/>
    <x v="30"/>
  </r>
  <r>
    <n v="23"/>
    <x v="0"/>
    <n v="3"/>
    <s v="Mon, Sun, Thu"/>
    <b v="0"/>
    <d v="1899-12-30T09:56:00"/>
    <d v="1899-12-30T11:20:00"/>
    <n v="84"/>
    <b v="1"/>
    <b v="1"/>
    <x v="0"/>
    <x v="4"/>
    <n v="50"/>
    <x v="0"/>
    <n v="50"/>
    <x v="3"/>
    <n v="0.15"/>
    <n v="42.5"/>
    <s v="All hours"/>
    <s v="Fresno, CA"/>
    <n v="36.7378"/>
    <n v="-119.7871"/>
    <d v="2025-02-17T00:00:00"/>
    <n v="7"/>
    <x v="0"/>
    <x v="30"/>
  </r>
  <r>
    <n v="40"/>
    <x v="0"/>
    <n v="2"/>
    <s v="Sun, Thu"/>
    <b v="0"/>
    <d v="1899-12-30T11:37:00"/>
    <d v="1899-12-30T14:23:00"/>
    <n v="166"/>
    <b v="0"/>
    <b v="1"/>
    <x v="1"/>
    <x v="0"/>
    <n v="50"/>
    <x v="0"/>
    <n v="50"/>
    <x v="1"/>
    <n v="0"/>
    <n v="50"/>
    <s v="All hours"/>
    <s v="San Jose, CA"/>
    <n v="37.338200000000001"/>
    <n v="-121.88630000000001"/>
    <d v="2023-08-01T00:00:00"/>
    <n v="5"/>
    <x v="0"/>
    <x v="47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3-04-20T00:00:00"/>
    <n v="5"/>
    <x v="1"/>
    <x v="58"/>
  </r>
  <r>
    <n v="20"/>
    <x v="3"/>
    <n v="2"/>
    <s v="Sun, Tue"/>
    <b v="0"/>
    <d v="1899-12-30T14:03:00"/>
    <d v="1899-12-30T16:48:00"/>
    <n v="165"/>
    <b v="1"/>
    <b v="1"/>
    <x v="1"/>
    <x v="4"/>
    <n v="70"/>
    <x v="1"/>
    <n v="52.5"/>
    <x v="1"/>
    <n v="0"/>
    <n v="52.5"/>
    <s v="All hours + Priority access"/>
    <s v="San Diego, CA"/>
    <n v="32.715699999999998"/>
    <n v="-117.1611"/>
    <d v="2023-10-10T00:00:00"/>
    <n v="6"/>
    <x v="0"/>
    <x v="3"/>
  </r>
  <r>
    <n v="29"/>
    <x v="2"/>
    <n v="2"/>
    <s v="Fri, Sat"/>
    <b v="1"/>
    <d v="1899-12-30T14:45:00"/>
    <d v="1899-12-30T17:41:00"/>
    <n v="176"/>
    <b v="0"/>
    <b v="1"/>
    <x v="1"/>
    <x v="0"/>
    <n v="20"/>
    <x v="0"/>
    <n v="20"/>
    <x v="1"/>
    <n v="0"/>
    <n v="20"/>
    <s v="Off-peak only"/>
    <s v="San Jose, CA"/>
    <n v="37.338200000000001"/>
    <n v="-121.88630000000001"/>
    <d v="2022-09-02T00:00:00"/>
    <n v="5"/>
    <x v="0"/>
    <x v="1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4-05-19T00:00:00"/>
    <n v="2"/>
    <x v="1"/>
    <x v="0"/>
  </r>
  <r>
    <n v="22"/>
    <x v="0"/>
    <n v="3"/>
    <s v="Sat, Thu, Tue"/>
    <b v="1"/>
    <d v="1899-12-30T17:29:00"/>
    <d v="1899-12-30T19:06:00"/>
    <n v="97"/>
    <b v="1"/>
    <b v="0"/>
    <x v="0"/>
    <x v="4"/>
    <n v="50"/>
    <x v="0"/>
    <n v="50"/>
    <x v="0"/>
    <n v="0.05"/>
    <n v="47.5"/>
    <s v="All hours"/>
    <s v="Long Beach, CA"/>
    <n v="33.770099999999999"/>
    <n v="-118.19370000000001"/>
    <d v="2024-08-22T00:00:00"/>
    <n v="0"/>
    <x v="1"/>
    <x v="18"/>
  </r>
  <r>
    <n v="30"/>
    <x v="1"/>
    <n v="4"/>
    <s v="Fri, Sat, Sun, Wed"/>
    <b v="1"/>
    <d v="1899-12-30T14:27:00"/>
    <d v="1899-12-30T16:09:00"/>
    <n v="102"/>
    <b v="0"/>
    <b v="1"/>
    <x v="0"/>
    <x v="1"/>
    <n v="30"/>
    <x v="0"/>
    <n v="30"/>
    <x v="2"/>
    <n v="0.1"/>
    <n v="27"/>
    <s v="Weekdays only"/>
    <s v="San Diego, CA"/>
    <n v="32.715699999999998"/>
    <n v="-117.1611"/>
    <d v="2022-12-10T00:00:00"/>
    <n v="4"/>
    <x v="1"/>
    <x v="54"/>
  </r>
  <r>
    <n v="18"/>
    <x v="3"/>
    <n v="1"/>
    <s v="Fri"/>
    <b v="0"/>
    <d v="1899-12-30T09:13:00"/>
    <d v="1899-12-30T11:43:00"/>
    <n v="150"/>
    <b v="1"/>
    <b v="1"/>
    <x v="1"/>
    <x v="0"/>
    <n v="70"/>
    <x v="1"/>
    <n v="52.5"/>
    <x v="1"/>
    <n v="0"/>
    <n v="52.5"/>
    <s v="All hours + Priority access"/>
    <s v="Bakersfield, CA"/>
    <n v="35.3733"/>
    <n v="-119.0187"/>
    <d v="2024-10-27T00:00:00"/>
    <n v="4"/>
    <x v="1"/>
    <x v="53"/>
  </r>
  <r>
    <n v="22"/>
    <x v="0"/>
    <n v="1"/>
    <s v="Thu"/>
    <b v="0"/>
    <d v="1899-12-30T09:43:00"/>
    <d v="1899-12-30T10:37:00"/>
    <n v="54"/>
    <b v="1"/>
    <b v="0"/>
    <x v="0"/>
    <x v="0"/>
    <n v="50"/>
    <x v="0"/>
    <n v="50"/>
    <x v="0"/>
    <n v="0.05"/>
    <n v="47.5"/>
    <s v="All hours"/>
    <s v="Bakersfield, CA"/>
    <n v="35.3733"/>
    <n v="-119.0187"/>
    <d v="2022-09-01T00:00:00"/>
    <n v="0"/>
    <x v="0"/>
    <x v="1"/>
  </r>
  <r>
    <n v="18"/>
    <x v="0"/>
    <n v="3"/>
    <s v="Fri, Mon, Sun"/>
    <b v="0"/>
    <d v="1899-12-30T13:26:00"/>
    <d v="1899-12-30T16:15:00"/>
    <n v="169"/>
    <b v="0"/>
    <b v="0"/>
    <x v="0"/>
    <x v="2"/>
    <n v="50"/>
    <x v="0"/>
    <n v="50"/>
    <x v="3"/>
    <n v="0.15"/>
    <n v="42.5"/>
    <s v="All hours"/>
    <s v="Long Beach, CA"/>
    <n v="33.770099999999999"/>
    <n v="-118.19370000000001"/>
    <d v="2025-06-10T00:00:00"/>
    <n v="0"/>
    <x v="0"/>
    <x v="44"/>
  </r>
  <r>
    <n v="49"/>
    <x v="1"/>
    <n v="1"/>
    <s v="Fri"/>
    <b v="1"/>
    <d v="1899-12-30T08:06:00"/>
    <d v="1899-12-30T10:41:00"/>
    <n v="155"/>
    <b v="0"/>
    <b v="1"/>
    <x v="0"/>
    <x v="4"/>
    <n v="30"/>
    <x v="0"/>
    <n v="30"/>
    <x v="1"/>
    <n v="0"/>
    <n v="30"/>
    <s v="Weekdays only"/>
    <s v="Anaheim, CA"/>
    <n v="33.836599999999997"/>
    <n v="-117.9143"/>
    <d v="2022-08-25T00:00:00"/>
    <n v="6"/>
    <x v="1"/>
    <x v="10"/>
  </r>
  <r>
    <n v="31"/>
    <x v="0"/>
    <n v="1"/>
    <s v="Wed"/>
    <b v="1"/>
    <d v="1899-12-30T09:42:00"/>
    <d v="1899-12-30T12:25:00"/>
    <n v="163"/>
    <b v="0"/>
    <b v="0"/>
    <x v="0"/>
    <x v="2"/>
    <n v="50"/>
    <x v="2"/>
    <n v="45"/>
    <x v="2"/>
    <n v="0.1"/>
    <n v="40.5"/>
    <s v="All hours"/>
    <s v="Bakersfield, CA"/>
    <n v="35.3733"/>
    <n v="-119.0187"/>
    <d v="2025-05-08T00:00:00"/>
    <n v="0"/>
    <x v="1"/>
    <x v="24"/>
  </r>
  <r>
    <n v="33"/>
    <x v="1"/>
    <n v="2"/>
    <s v="Thu, Wed"/>
    <b v="0"/>
    <d v="1899-12-30T09:56:00"/>
    <d v="1899-12-30T12:52:00"/>
    <n v="176"/>
    <b v="0"/>
    <b v="1"/>
    <x v="1"/>
    <x v="4"/>
    <n v="30"/>
    <x v="0"/>
    <n v="30"/>
    <x v="3"/>
    <n v="0.15"/>
    <n v="25.5"/>
    <s v="Weekdays only"/>
    <s v="Fresno, CA"/>
    <n v="36.7378"/>
    <n v="-119.7871"/>
    <d v="2022-11-16T00:00:00"/>
    <n v="2"/>
    <x v="0"/>
    <x v="37"/>
  </r>
  <r>
    <n v="43"/>
    <x v="1"/>
    <n v="1"/>
    <s v="Sun"/>
    <b v="0"/>
    <d v="1899-12-30T09:22:00"/>
    <d v="1899-12-30T10:15:00"/>
    <n v="53"/>
    <b v="0"/>
    <b v="1"/>
    <x v="0"/>
    <x v="2"/>
    <n v="30"/>
    <x v="0"/>
    <n v="30"/>
    <x v="2"/>
    <n v="0.1"/>
    <n v="27"/>
    <s v="Weekdays only"/>
    <s v="Los Angeles, CA"/>
    <n v="34.052199999999999"/>
    <n v="-118.2437"/>
    <d v="2023-12-08T00:00:00"/>
    <n v="7"/>
    <x v="1"/>
    <x v="16"/>
  </r>
  <r>
    <n v="34"/>
    <x v="3"/>
    <n v="3"/>
    <s v="Fri, Sun, Tue"/>
    <b v="0"/>
    <d v="1899-12-30T10:54:00"/>
    <d v="1899-12-30T12:49:00"/>
    <n v="115"/>
    <b v="1"/>
    <b v="1"/>
    <x v="1"/>
    <x v="0"/>
    <n v="70"/>
    <x v="1"/>
    <n v="52.5"/>
    <x v="1"/>
    <n v="0"/>
    <n v="52.5"/>
    <s v="All hours + Priority access"/>
    <s v="Long Beach, CA"/>
    <n v="33.770099999999999"/>
    <n v="-118.19370000000001"/>
    <d v="2022-07-31T00:00:00"/>
    <n v="3"/>
    <x v="0"/>
    <x v="43"/>
  </r>
  <r>
    <n v="30"/>
    <x v="2"/>
    <n v="1"/>
    <s v="Sat"/>
    <b v="0"/>
    <d v="1899-12-30T14:08:00"/>
    <d v="1899-12-30T17:08:00"/>
    <n v="180"/>
    <b v="0"/>
    <b v="1"/>
    <x v="0"/>
    <x v="3"/>
    <n v="20"/>
    <x v="0"/>
    <n v="20"/>
    <x v="2"/>
    <n v="0.1"/>
    <n v="18"/>
    <s v="Off-peak only"/>
    <s v="Long Beach, CA"/>
    <n v="33.770099999999999"/>
    <n v="-118.19370000000001"/>
    <d v="2025-04-05T00:00:00"/>
    <n v="7"/>
    <x v="1"/>
    <x v="42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3-11-11T00:00:00"/>
    <n v="0"/>
    <x v="0"/>
    <x v="50"/>
  </r>
  <r>
    <n v="44"/>
    <x v="2"/>
    <n v="3"/>
    <s v="Fri, Mon, Tue"/>
    <b v="0"/>
    <d v="1899-12-30T10:31:00"/>
    <d v="1899-12-30T12:28:00"/>
    <n v="117"/>
    <b v="1"/>
    <b v="1"/>
    <x v="0"/>
    <x v="4"/>
    <n v="20"/>
    <x v="0"/>
    <n v="20"/>
    <x v="3"/>
    <n v="0.15"/>
    <n v="17"/>
    <s v="Off-peak only"/>
    <s v="Long Beach, CA"/>
    <n v="33.770099999999999"/>
    <n v="-118.19370000000001"/>
    <d v="2022-08-25T00:00:00"/>
    <n v="8"/>
    <x v="1"/>
    <x v="10"/>
  </r>
  <r>
    <n v="19"/>
    <x v="2"/>
    <n v="3"/>
    <s v="Sat, Thu, Tue"/>
    <b v="1"/>
    <d v="1899-12-30T13:19:00"/>
    <d v="1899-12-30T14:44:00"/>
    <n v="85"/>
    <b v="1"/>
    <b v="0"/>
    <x v="0"/>
    <x v="2"/>
    <n v="20"/>
    <x v="1"/>
    <n v="15"/>
    <x v="2"/>
    <n v="0.1"/>
    <n v="13.5"/>
    <s v="Off-peak only"/>
    <s v="Oakland, CA"/>
    <n v="37.804400000000001"/>
    <n v="-122.27119999999999"/>
    <d v="2023-12-13T00:00:00"/>
    <n v="0"/>
    <x v="0"/>
    <x v="16"/>
  </r>
  <r>
    <n v="24"/>
    <x v="1"/>
    <n v="3"/>
    <s v="Mon, Thu, Wed"/>
    <b v="0"/>
    <d v="1899-12-30T09:13:00"/>
    <d v="1899-12-30T11:37:00"/>
    <n v="144"/>
    <b v="0"/>
    <b v="0"/>
    <x v="0"/>
    <x v="4"/>
    <n v="30"/>
    <x v="2"/>
    <n v="27"/>
    <x v="2"/>
    <n v="0.1"/>
    <n v="24.3"/>
    <s v="Weekdays only"/>
    <s v="San Francisco, CA"/>
    <n v="37.774900000000002"/>
    <n v="-122.4194"/>
    <d v="2023-08-22T00:00:00"/>
    <n v="0"/>
    <x v="1"/>
    <x v="46"/>
  </r>
  <r>
    <n v="20"/>
    <x v="3"/>
    <n v="1"/>
    <s v="Sun"/>
    <b v="0"/>
    <d v="1899-12-30T11:23:00"/>
    <d v="1899-12-30T14:01:00"/>
    <n v="158"/>
    <b v="1"/>
    <b v="0"/>
    <x v="1"/>
    <x v="4"/>
    <n v="70"/>
    <x v="0"/>
    <n v="70"/>
    <x v="1"/>
    <n v="0"/>
    <n v="70"/>
    <s v="All hours + Priority access"/>
    <s v="Oakland, CA"/>
    <n v="37.804400000000001"/>
    <n v="-122.27119999999999"/>
    <d v="2023-06-13T00:00:00"/>
    <n v="0"/>
    <x v="0"/>
    <x v="28"/>
  </r>
  <r>
    <n v="44"/>
    <x v="2"/>
    <n v="4"/>
    <s v="Sat, Thu, Tue, Wed"/>
    <b v="0"/>
    <d v="1899-12-30T11:10:00"/>
    <d v="1899-12-30T11:44:00"/>
    <n v="34"/>
    <b v="0"/>
    <b v="0"/>
    <x v="1"/>
    <x v="1"/>
    <n v="20"/>
    <x v="1"/>
    <n v="15"/>
    <x v="1"/>
    <n v="0"/>
    <n v="15"/>
    <s v="Off-peak only"/>
    <s v="San Jose, CA"/>
    <n v="37.338200000000001"/>
    <n v="-121.88630000000001"/>
    <d v="2024-02-24T00:00:00"/>
    <n v="0"/>
    <x v="1"/>
    <x v="21"/>
  </r>
  <r>
    <n v="17"/>
    <x v="1"/>
    <n v="2"/>
    <s v="Tue, Wed"/>
    <b v="0"/>
    <d v="1899-12-30T08:06:00"/>
    <d v="1899-12-30T08:47:00"/>
    <n v="41"/>
    <b v="1"/>
    <b v="0"/>
    <x v="1"/>
    <x v="0"/>
    <n v="30"/>
    <x v="1"/>
    <n v="22.5"/>
    <x v="2"/>
    <n v="0.1"/>
    <n v="20.25"/>
    <s v="Weekdays only"/>
    <s v="Long Beach, CA"/>
    <n v="33.770099999999999"/>
    <n v="-118.19370000000001"/>
    <d v="2023-08-24T00:00:00"/>
    <n v="0"/>
    <x v="1"/>
    <x v="46"/>
  </r>
  <r>
    <n v="17"/>
    <x v="0"/>
    <n v="1"/>
    <s v="Tue"/>
    <b v="1"/>
    <d v="1899-12-30T12:17:00"/>
    <d v="1899-12-30T15:14:00"/>
    <n v="177"/>
    <b v="1"/>
    <b v="1"/>
    <x v="0"/>
    <x v="4"/>
    <n v="50"/>
    <x v="0"/>
    <n v="50"/>
    <x v="3"/>
    <n v="0.15"/>
    <n v="42.5"/>
    <s v="All hours"/>
    <s v="Sacramento, CA"/>
    <n v="38.581600000000002"/>
    <n v="-121.4944"/>
    <d v="2023-10-09T00:00:00"/>
    <n v="3"/>
    <x v="0"/>
    <x v="3"/>
  </r>
  <r>
    <n v="12"/>
    <x v="1"/>
    <n v="5"/>
    <s v="Fri, Mon, Sun, Thu, Wed"/>
    <b v="0"/>
    <d v="1899-12-30T10:25:00"/>
    <d v="1899-12-30T12:18:00"/>
    <n v="113"/>
    <b v="0"/>
    <b v="0"/>
    <x v="1"/>
    <x v="0"/>
    <n v="30"/>
    <x v="0"/>
    <n v="30"/>
    <x v="1"/>
    <n v="0"/>
    <n v="30"/>
    <s v="Weekdays only"/>
    <s v="Los Angeles, CA"/>
    <n v="34.052199999999999"/>
    <n v="-118.2437"/>
    <d v="2022-11-06T00:00:00"/>
    <n v="0"/>
    <x v="0"/>
    <x v="32"/>
  </r>
  <r>
    <n v="12"/>
    <x v="2"/>
    <n v="3"/>
    <s v="Fri, Sun, Thu"/>
    <b v="1"/>
    <d v="1899-12-30T19:57:00"/>
    <d v="1899-12-30T21:28:00"/>
    <n v="91"/>
    <b v="1"/>
    <b v="0"/>
    <x v="0"/>
    <x v="0"/>
    <n v="20"/>
    <x v="0"/>
    <n v="20"/>
    <x v="2"/>
    <n v="0.1"/>
    <n v="18"/>
    <s v="Off-peak only"/>
    <s v="Bakersfield, CA"/>
    <n v="35.3733"/>
    <n v="-119.0187"/>
    <d v="2025-05-05T00:00:00"/>
    <n v="0"/>
    <x v="1"/>
    <x v="24"/>
  </r>
  <r>
    <n v="43"/>
    <x v="1"/>
    <n v="5"/>
    <s v="Fri, Sat, Sun, Tue, Wed"/>
    <b v="0"/>
    <d v="1899-12-30T09:02:00"/>
    <d v="1899-12-30T10:21:00"/>
    <n v="79"/>
    <b v="0"/>
    <b v="0"/>
    <x v="0"/>
    <x v="0"/>
    <n v="30"/>
    <x v="0"/>
    <n v="30"/>
    <x v="2"/>
    <n v="0.1"/>
    <n v="27"/>
    <s v="Weekdays only"/>
    <s v="San Francisco, CA"/>
    <n v="37.774900000000002"/>
    <n v="-122.4194"/>
    <d v="2024-08-27T00:00:00"/>
    <n v="0"/>
    <x v="1"/>
    <x v="41"/>
  </r>
  <r>
    <n v="47"/>
    <x v="1"/>
    <n v="1"/>
    <s v="Sun"/>
    <b v="0"/>
    <d v="1899-12-30T16:23:00"/>
    <d v="1899-12-30T18:07:00"/>
    <n v="104"/>
    <b v="0"/>
    <b v="1"/>
    <x v="0"/>
    <x v="2"/>
    <n v="30"/>
    <x v="0"/>
    <n v="30"/>
    <x v="3"/>
    <n v="0.15"/>
    <n v="25.5"/>
    <s v="Weekdays only"/>
    <s v="Sacramento, CA"/>
    <n v="38.581600000000002"/>
    <n v="-121.4944"/>
    <d v="2022-09-14T00:00:00"/>
    <n v="5"/>
    <x v="1"/>
    <x v="1"/>
  </r>
  <r>
    <n v="14"/>
    <x v="1"/>
    <n v="3"/>
    <s v="Sat, Sun, Wed"/>
    <b v="0"/>
    <d v="1899-12-30T10:11:00"/>
    <d v="1899-12-30T11:56:00"/>
    <n v="105"/>
    <b v="1"/>
    <b v="0"/>
    <x v="1"/>
    <x v="0"/>
    <n v="30"/>
    <x v="0"/>
    <n v="30"/>
    <x v="1"/>
    <n v="0"/>
    <n v="30"/>
    <s v="Weekdays only"/>
    <s v="San Francisco, CA"/>
    <n v="37.774900000000002"/>
    <n v="-122.4194"/>
    <d v="2022-11-17T00:00:00"/>
    <n v="0"/>
    <x v="1"/>
    <x v="37"/>
  </r>
  <r>
    <n v="22"/>
    <x v="0"/>
    <n v="3"/>
    <s v="Sat, Sun, Wed"/>
    <b v="1"/>
    <d v="1899-12-30T17:57:00"/>
    <d v="1899-12-30T19:46:00"/>
    <n v="109"/>
    <b v="0"/>
    <b v="1"/>
    <x v="0"/>
    <x v="0"/>
    <n v="50"/>
    <x v="0"/>
    <n v="50"/>
    <x v="0"/>
    <n v="0.05"/>
    <n v="47.5"/>
    <s v="All hours"/>
    <s v="Sacramento, CA"/>
    <n v="38.581600000000002"/>
    <n v="-121.4944"/>
    <d v="2024-02-23T00:00:00"/>
    <n v="1"/>
    <x v="0"/>
    <x v="21"/>
  </r>
  <r>
    <n v="33"/>
    <x v="0"/>
    <n v="4"/>
    <s v="Fri, Thu, Tue, Wed"/>
    <b v="0"/>
    <d v="1899-12-30T19:08:00"/>
    <d v="1899-12-30T22:06:00"/>
    <n v="178"/>
    <b v="1"/>
    <b v="0"/>
    <x v="1"/>
    <x v="2"/>
    <n v="50"/>
    <x v="0"/>
    <n v="50"/>
    <x v="0"/>
    <n v="0.05"/>
    <n v="47.5"/>
    <s v="All hours"/>
    <s v="San Francisco, CA"/>
    <n v="37.774900000000002"/>
    <n v="-122.4194"/>
    <d v="2023-09-01T00:00:00"/>
    <n v="0"/>
    <x v="0"/>
    <x v="46"/>
  </r>
  <r>
    <n v="48"/>
    <x v="0"/>
    <n v="3"/>
    <s v="Mon, Sun, Tue"/>
    <b v="0"/>
    <d v="1899-12-30T14:29:00"/>
    <d v="1899-12-30T15:10:00"/>
    <n v="41"/>
    <b v="0"/>
    <b v="1"/>
    <x v="0"/>
    <x v="1"/>
    <n v="50"/>
    <x v="1"/>
    <n v="37.5"/>
    <x v="3"/>
    <n v="0.15"/>
    <n v="31.875"/>
    <s v="All hours"/>
    <s v="San Francisco, CA"/>
    <n v="37.774900000000002"/>
    <n v="-122.4194"/>
    <d v="2024-08-31T00:00:00"/>
    <n v="3"/>
    <x v="0"/>
    <x v="41"/>
  </r>
  <r>
    <n v="23"/>
    <x v="2"/>
    <n v="2"/>
    <s v="Mon, Sun"/>
    <b v="1"/>
    <d v="1899-12-30T12:58:00"/>
    <d v="1899-12-30T15:46:00"/>
    <n v="168"/>
    <b v="0"/>
    <b v="0"/>
    <x v="0"/>
    <x v="4"/>
    <n v="20"/>
    <x v="0"/>
    <n v="20"/>
    <x v="1"/>
    <n v="0"/>
    <n v="20"/>
    <s v="Off-peak only"/>
    <s v="San Diego, CA"/>
    <n v="32.715699999999998"/>
    <n v="-117.1611"/>
    <d v="2024-12-04T00:00:00"/>
    <n v="0"/>
    <x v="1"/>
    <x v="14"/>
  </r>
  <r>
    <n v="44"/>
    <x v="0"/>
    <n v="5"/>
    <s v="Fri, Sat, Sun, Thu, Tue"/>
    <b v="1"/>
    <d v="1899-12-30T15:27:00"/>
    <d v="1899-12-30T17:39:00"/>
    <n v="132"/>
    <b v="0"/>
    <b v="1"/>
    <x v="1"/>
    <x v="2"/>
    <n v="50"/>
    <x v="0"/>
    <n v="50"/>
    <x v="1"/>
    <n v="0"/>
    <n v="50"/>
    <s v="All hours"/>
    <s v="Los Angeles, CA"/>
    <n v="34.052199999999999"/>
    <n v="-118.2437"/>
    <d v="2024-02-15T00:00:00"/>
    <n v="1"/>
    <x v="0"/>
    <x v="21"/>
  </r>
  <r>
    <n v="18"/>
    <x v="1"/>
    <n v="4"/>
    <s v="Mon, Sat, Thu, Wed"/>
    <b v="0"/>
    <d v="1899-12-30T08:59:00"/>
    <d v="1899-12-30T10:43:00"/>
    <n v="104"/>
    <b v="0"/>
    <b v="1"/>
    <x v="0"/>
    <x v="4"/>
    <n v="30"/>
    <x v="2"/>
    <n v="27"/>
    <x v="0"/>
    <n v="0.05"/>
    <n v="25.65"/>
    <s v="Weekdays only"/>
    <s v="Oakland, CA"/>
    <n v="37.804400000000001"/>
    <n v="-122.27119999999999"/>
    <d v="2024-06-11T00:00:00"/>
    <n v="4"/>
    <x v="1"/>
    <x v="20"/>
  </r>
  <r>
    <n v="39"/>
    <x v="3"/>
    <n v="2"/>
    <s v="Fri, Sat"/>
    <b v="0"/>
    <d v="1899-12-30T20:04:00"/>
    <d v="1899-12-30T20:43:00"/>
    <n v="39"/>
    <b v="0"/>
    <b v="0"/>
    <x v="0"/>
    <x v="4"/>
    <n v="70"/>
    <x v="2"/>
    <n v="63"/>
    <x v="3"/>
    <n v="0.15"/>
    <n v="53.55"/>
    <s v="All hours + Priority access"/>
    <s v="San Francisco, CA"/>
    <n v="37.774900000000002"/>
    <n v="-122.4194"/>
    <d v="2023-10-10T00:00:00"/>
    <n v="0"/>
    <x v="0"/>
    <x v="3"/>
  </r>
  <r>
    <n v="27"/>
    <x v="0"/>
    <n v="3"/>
    <s v="Mon, Thu, Wed"/>
    <b v="1"/>
    <d v="1899-12-30T10:06:00"/>
    <d v="1899-12-30T11:38:00"/>
    <n v="92"/>
    <b v="1"/>
    <b v="0"/>
    <x v="0"/>
    <x v="1"/>
    <n v="50"/>
    <x v="0"/>
    <n v="50"/>
    <x v="3"/>
    <n v="0.15"/>
    <n v="42.5"/>
    <s v="All hours"/>
    <s v="Sacramento, CA"/>
    <n v="38.581600000000002"/>
    <n v="-121.4944"/>
    <d v="2025-04-01T00:00:00"/>
    <n v="0"/>
    <x v="0"/>
    <x v="42"/>
  </r>
  <r>
    <n v="36"/>
    <x v="1"/>
    <n v="1"/>
    <s v="Wed"/>
    <b v="0"/>
    <d v="1899-12-30T20:00:00"/>
    <d v="1899-12-30T21:49:00"/>
    <n v="109"/>
    <b v="0"/>
    <b v="1"/>
    <x v="1"/>
    <x v="0"/>
    <n v="30"/>
    <x v="0"/>
    <n v="30"/>
    <x v="2"/>
    <n v="0.1"/>
    <n v="27"/>
    <s v="Weekdays only"/>
    <s v="Oakland, CA"/>
    <n v="37.804400000000001"/>
    <n v="-122.27119999999999"/>
    <d v="2022-08-20T00:00:00"/>
    <n v="1"/>
    <x v="1"/>
    <x v="10"/>
  </r>
  <r>
    <n v="35"/>
    <x v="0"/>
    <n v="1"/>
    <s v="Wed"/>
    <b v="0"/>
    <d v="1899-12-30T08:34:00"/>
    <d v="1899-12-30T09:27:00"/>
    <n v="53"/>
    <b v="0"/>
    <b v="1"/>
    <x v="0"/>
    <x v="0"/>
    <n v="50"/>
    <x v="2"/>
    <n v="45"/>
    <x v="3"/>
    <n v="0.15"/>
    <n v="38.25"/>
    <s v="All hours"/>
    <s v="Los Angeles, CA"/>
    <n v="34.052199999999999"/>
    <n v="-118.2437"/>
    <d v="2022-08-07T00:00:00"/>
    <n v="4"/>
    <x v="0"/>
    <x v="43"/>
  </r>
  <r>
    <n v="41"/>
    <x v="0"/>
    <n v="2"/>
    <s v="Tue, Wed"/>
    <b v="1"/>
    <d v="1899-12-30T16:43:00"/>
    <d v="1899-12-30T18:46:00"/>
    <n v="123"/>
    <b v="1"/>
    <b v="1"/>
    <x v="1"/>
    <x v="4"/>
    <n v="50"/>
    <x v="0"/>
    <n v="50"/>
    <x v="0"/>
    <n v="0.05"/>
    <n v="47.5"/>
    <s v="All hours"/>
    <s v="San Francisco, CA"/>
    <n v="37.774900000000002"/>
    <n v="-122.4194"/>
    <d v="2023-06-10T00:00:00"/>
    <n v="2"/>
    <x v="0"/>
    <x v="28"/>
  </r>
  <r>
    <n v="29"/>
    <x v="2"/>
    <n v="2"/>
    <s v="Fri, Sat"/>
    <b v="1"/>
    <d v="1899-12-30T14:45:00"/>
    <d v="1899-12-30T17:41:00"/>
    <n v="176"/>
    <b v="0"/>
    <b v="1"/>
    <x v="1"/>
    <x v="0"/>
    <n v="20"/>
    <x v="0"/>
    <n v="20"/>
    <x v="1"/>
    <n v="0"/>
    <n v="20"/>
    <s v="Off-peak only"/>
    <s v="San Jose, CA"/>
    <n v="37.338200000000001"/>
    <n v="-121.88630000000001"/>
    <d v="2023-11-30T00:00:00"/>
    <n v="2"/>
    <x v="0"/>
    <x v="35"/>
  </r>
  <r>
    <n v="48"/>
    <x v="2"/>
    <n v="3"/>
    <s v="Fri, Sat, Thu"/>
    <b v="1"/>
    <d v="1899-12-30T15:30:00"/>
    <d v="1899-12-30T16:26:00"/>
    <n v="56"/>
    <b v="1"/>
    <b v="1"/>
    <x v="0"/>
    <x v="0"/>
    <n v="20"/>
    <x v="1"/>
    <n v="15"/>
    <x v="1"/>
    <n v="0"/>
    <n v="15"/>
    <s v="Off-peak only"/>
    <s v="Long Beach, CA"/>
    <n v="33.770099999999999"/>
    <n v="-118.19370000000001"/>
    <d v="2024-07-28T00:00:00"/>
    <n v="6"/>
    <x v="1"/>
    <x v="15"/>
  </r>
  <r>
    <n v="42"/>
    <x v="2"/>
    <n v="3"/>
    <s v="Sun, Thu, Wed"/>
    <b v="0"/>
    <d v="1899-12-30T13:32:00"/>
    <d v="1899-12-30T14:56:00"/>
    <n v="84"/>
    <b v="0"/>
    <b v="1"/>
    <x v="1"/>
    <x v="4"/>
    <n v="20"/>
    <x v="0"/>
    <n v="20"/>
    <x v="2"/>
    <n v="0.1"/>
    <n v="18"/>
    <s v="Off-peak only"/>
    <s v="Anaheim, CA"/>
    <n v="33.836599999999997"/>
    <n v="-117.9143"/>
    <d v="2023-02-07T00:00:00"/>
    <n v="6"/>
    <x v="0"/>
    <x v="26"/>
  </r>
  <r>
    <n v="39"/>
    <x v="0"/>
    <n v="3"/>
    <s v="Sat, Tue, Wed"/>
    <b v="1"/>
    <d v="1899-12-30T16:37:00"/>
    <d v="1899-12-30T17:45:00"/>
    <n v="68"/>
    <b v="0"/>
    <b v="1"/>
    <x v="0"/>
    <x v="4"/>
    <n v="50"/>
    <x v="0"/>
    <n v="50"/>
    <x v="3"/>
    <n v="0.15"/>
    <n v="42.5"/>
    <s v="All hours"/>
    <s v="San Francisco, CA"/>
    <n v="37.774900000000002"/>
    <n v="-122.4194"/>
    <d v="2023-06-24T00:00:00"/>
    <n v="5"/>
    <x v="0"/>
    <x v="28"/>
  </r>
  <r>
    <n v="30"/>
    <x v="2"/>
    <n v="4"/>
    <s v="Fri, Mon, Sat, Wed"/>
    <b v="1"/>
    <d v="1899-12-30T09:21:00"/>
    <d v="1899-12-30T11:31:00"/>
    <n v="130"/>
    <b v="1"/>
    <b v="1"/>
    <x v="1"/>
    <x v="2"/>
    <n v="20"/>
    <x v="0"/>
    <n v="20"/>
    <x v="3"/>
    <n v="0.15"/>
    <n v="17"/>
    <s v="Off-peak only"/>
    <s v="Los Angeles, CA"/>
    <n v="34.052199999999999"/>
    <n v="-118.2437"/>
    <d v="2024-12-31T00:00:00"/>
    <n v="3"/>
    <x v="1"/>
    <x v="4"/>
  </r>
  <r>
    <n v="33"/>
    <x v="0"/>
    <n v="4"/>
    <s v="Fri, Sat, Sun, Tue"/>
    <b v="1"/>
    <d v="1899-12-30T09:15:00"/>
    <d v="1899-12-30T10:04:00"/>
    <n v="49"/>
    <b v="0"/>
    <b v="0"/>
    <x v="1"/>
    <x v="4"/>
    <n v="50"/>
    <x v="1"/>
    <n v="37.5"/>
    <x v="1"/>
    <n v="0"/>
    <n v="37.5"/>
    <s v="All hours"/>
    <s v="San Francisco, CA"/>
    <n v="37.774900000000002"/>
    <n v="-122.4194"/>
    <d v="2022-10-26T00:00:00"/>
    <n v="0"/>
    <x v="0"/>
    <x v="32"/>
  </r>
  <r>
    <n v="48"/>
    <x v="0"/>
    <n v="2"/>
    <s v="Mon, Thu"/>
    <b v="0"/>
    <d v="1899-12-30T16:59:00"/>
    <d v="1899-12-30T18:18:00"/>
    <n v="79"/>
    <b v="0"/>
    <b v="0"/>
    <x v="0"/>
    <x v="3"/>
    <n v="50"/>
    <x v="1"/>
    <n v="37.5"/>
    <x v="1"/>
    <n v="0"/>
    <n v="37.5"/>
    <s v="All hours"/>
    <s v="Fresno, CA"/>
    <n v="36.7378"/>
    <n v="-119.7871"/>
    <d v="2023-01-28T00:00:00"/>
    <n v="0"/>
    <x v="0"/>
    <x v="11"/>
  </r>
  <r>
    <n v="25"/>
    <x v="0"/>
    <n v="2"/>
    <s v="Thu, Wed"/>
    <b v="1"/>
    <d v="1899-12-30T20:31:00"/>
    <d v="1899-12-30T21:08:00"/>
    <n v="37"/>
    <b v="0"/>
    <b v="1"/>
    <x v="1"/>
    <x v="0"/>
    <n v="50"/>
    <x v="1"/>
    <n v="37.5"/>
    <x v="2"/>
    <n v="0.1"/>
    <n v="33.75"/>
    <s v="All hours"/>
    <s v="Bakersfield, CA"/>
    <n v="35.3733"/>
    <n v="-119.0187"/>
    <d v="2022-09-15T00:00:00"/>
    <n v="5"/>
    <x v="0"/>
    <x v="25"/>
  </r>
  <r>
    <n v="19"/>
    <x v="1"/>
    <n v="4"/>
    <s v="Fri, Sat, Sun, Thu"/>
    <b v="0"/>
    <d v="1899-12-30T11:16:00"/>
    <d v="1899-12-30T12:38:00"/>
    <n v="82"/>
    <b v="0"/>
    <b v="0"/>
    <x v="1"/>
    <x v="4"/>
    <n v="30"/>
    <x v="0"/>
    <n v="30"/>
    <x v="2"/>
    <n v="0.1"/>
    <n v="27"/>
    <s v="Weekdays only"/>
    <s v="San Diego, CA"/>
    <n v="32.715699999999998"/>
    <n v="-117.1611"/>
    <d v="2023-05-12T00:00:00"/>
    <n v="0"/>
    <x v="1"/>
    <x v="2"/>
  </r>
  <r>
    <n v="45"/>
    <x v="1"/>
    <n v="2"/>
    <s v="Mon, Thu"/>
    <b v="1"/>
    <d v="1899-12-30T10:37:00"/>
    <d v="1899-12-30T13:10:00"/>
    <n v="153"/>
    <b v="1"/>
    <b v="1"/>
    <x v="1"/>
    <x v="4"/>
    <n v="30"/>
    <x v="0"/>
    <n v="30"/>
    <x v="0"/>
    <n v="0.05"/>
    <n v="28.5"/>
    <s v="Weekdays only"/>
    <s v="Long Beach, CA"/>
    <n v="33.770099999999999"/>
    <n v="-118.19370000000001"/>
    <d v="2023-09-08T00:00:00"/>
    <n v="4"/>
    <x v="1"/>
    <x v="7"/>
  </r>
  <r>
    <n v="39"/>
    <x v="3"/>
    <n v="2"/>
    <s v="Fri, Sat"/>
    <b v="0"/>
    <d v="1899-12-30T20:04:00"/>
    <d v="1899-12-30T20:43:00"/>
    <n v="39"/>
    <b v="0"/>
    <b v="0"/>
    <x v="0"/>
    <x v="4"/>
    <n v="70"/>
    <x v="2"/>
    <n v="63"/>
    <x v="3"/>
    <n v="0.15"/>
    <n v="53.55"/>
    <s v="All hours + Priority access"/>
    <s v="San Francisco, CA"/>
    <n v="37.774900000000002"/>
    <n v="-122.4194"/>
    <d v="2024-04-03T00:00:00"/>
    <n v="0"/>
    <x v="0"/>
    <x v="17"/>
  </r>
  <r>
    <n v="27"/>
    <x v="3"/>
    <n v="3"/>
    <s v="Sat, Thu, Wed"/>
    <b v="0"/>
    <d v="1899-12-30T20:18:00"/>
    <d v="1899-12-30T22:20:00"/>
    <n v="122"/>
    <b v="1"/>
    <b v="1"/>
    <x v="0"/>
    <x v="0"/>
    <n v="70"/>
    <x v="1"/>
    <n v="52.5"/>
    <x v="2"/>
    <n v="0.1"/>
    <n v="47.25"/>
    <s v="All hours + Priority access"/>
    <s v="Bakersfield, CA"/>
    <n v="35.3733"/>
    <n v="-119.0187"/>
    <d v="2022-10-03T00:00:00"/>
    <n v="5"/>
    <x v="0"/>
    <x v="38"/>
  </r>
  <r>
    <n v="26"/>
    <x v="0"/>
    <n v="1"/>
    <s v="Thu"/>
    <b v="1"/>
    <d v="1899-12-30T16:31:00"/>
    <d v="1899-12-30T17:47:00"/>
    <n v="76"/>
    <b v="1"/>
    <b v="1"/>
    <x v="1"/>
    <x v="1"/>
    <n v="50"/>
    <x v="0"/>
    <n v="50"/>
    <x v="1"/>
    <n v="0"/>
    <n v="50"/>
    <s v="All hours"/>
    <s v="Sacramento, CA"/>
    <n v="38.581600000000002"/>
    <n v="-121.4944"/>
    <d v="2022-12-13T00:00:00"/>
    <n v="1"/>
    <x v="0"/>
    <x v="6"/>
  </r>
  <r>
    <n v="15"/>
    <x v="0"/>
    <n v="2"/>
    <s v="Mon, Sun"/>
    <b v="1"/>
    <d v="1899-12-30T20:07:00"/>
    <d v="1899-12-30T21:39:00"/>
    <n v="92"/>
    <b v="1"/>
    <b v="0"/>
    <x v="0"/>
    <x v="4"/>
    <n v="50"/>
    <x v="0"/>
    <n v="50"/>
    <x v="0"/>
    <n v="0.05"/>
    <n v="47.5"/>
    <s v="All hours"/>
    <s v="Oakland, CA"/>
    <n v="37.804400000000001"/>
    <n v="-122.27119999999999"/>
    <d v="2025-05-05T00:00:00"/>
    <n v="0"/>
    <x v="0"/>
    <x v="24"/>
  </r>
  <r>
    <n v="35"/>
    <x v="2"/>
    <n v="3"/>
    <s v="Fri, Thu, Tue"/>
    <b v="1"/>
    <d v="1899-12-30T13:32:00"/>
    <d v="1899-12-30T16:19:00"/>
    <n v="167"/>
    <b v="0"/>
    <b v="0"/>
    <x v="0"/>
    <x v="0"/>
    <n v="20"/>
    <x v="1"/>
    <n v="15"/>
    <x v="3"/>
    <n v="0.15"/>
    <n v="12.75"/>
    <s v="Off-peak only"/>
    <s v="San Diego, CA"/>
    <n v="32.715699999999998"/>
    <n v="-117.1611"/>
    <d v="2025-05-25T00:00:00"/>
    <n v="0"/>
    <x v="1"/>
    <x v="9"/>
  </r>
  <r>
    <n v="38"/>
    <x v="3"/>
    <n v="1"/>
    <s v="Tue"/>
    <b v="1"/>
    <d v="1899-12-30T10:01:00"/>
    <d v="1899-12-30T12:48:00"/>
    <n v="167"/>
    <b v="1"/>
    <b v="1"/>
    <x v="1"/>
    <x v="4"/>
    <n v="70"/>
    <x v="0"/>
    <n v="70"/>
    <x v="1"/>
    <n v="0"/>
    <n v="70"/>
    <s v="All hours + Priority access"/>
    <s v="Fresno, CA"/>
    <n v="36.7378"/>
    <n v="-119.7871"/>
    <d v="2024-05-18T00:00:00"/>
    <n v="4"/>
    <x v="0"/>
    <x v="0"/>
  </r>
  <r>
    <n v="31"/>
    <x v="0"/>
    <n v="1"/>
    <s v="Thu"/>
    <b v="0"/>
    <d v="1899-12-30T15:01:00"/>
    <d v="1899-12-30T17:43:00"/>
    <n v="162"/>
    <b v="0"/>
    <b v="0"/>
    <x v="0"/>
    <x v="0"/>
    <n v="50"/>
    <x v="0"/>
    <n v="50"/>
    <x v="0"/>
    <n v="0.05"/>
    <n v="47.5"/>
    <s v="All hours"/>
    <s v="San Diego, CA"/>
    <n v="32.715699999999998"/>
    <n v="-117.1611"/>
    <d v="2023-02-10T00:00:00"/>
    <n v="0"/>
    <x v="0"/>
    <x v="26"/>
  </r>
  <r>
    <n v="15"/>
    <x v="0"/>
    <n v="2"/>
    <s v="Sun, Wed"/>
    <b v="0"/>
    <d v="1899-12-30T12:35:00"/>
    <d v="1899-12-30T14:06:00"/>
    <n v="91"/>
    <b v="0"/>
    <b v="0"/>
    <x v="0"/>
    <x v="0"/>
    <n v="50"/>
    <x v="1"/>
    <n v="37.5"/>
    <x v="1"/>
    <n v="0"/>
    <n v="37.5"/>
    <s v="All hours"/>
    <s v="Long Beach, CA"/>
    <n v="33.770099999999999"/>
    <n v="-118.19370000000001"/>
    <d v="2022-08-06T00:00:00"/>
    <n v="0"/>
    <x v="0"/>
    <x v="43"/>
  </r>
  <r>
    <n v="12"/>
    <x v="2"/>
    <n v="5"/>
    <s v="Mon, Sat, Sun, Thu, Wed"/>
    <b v="1"/>
    <d v="1899-12-30T09:36:00"/>
    <d v="1899-12-30T12:09:00"/>
    <n v="153"/>
    <b v="1"/>
    <b v="1"/>
    <x v="1"/>
    <x v="0"/>
    <n v="20"/>
    <x v="0"/>
    <n v="20"/>
    <x v="3"/>
    <n v="0.15"/>
    <n v="17"/>
    <s v="Off-peak only"/>
    <s v="Sacramento, CA"/>
    <n v="38.581600000000002"/>
    <n v="-121.4944"/>
    <d v="2025-01-13T00:00:00"/>
    <n v="6"/>
    <x v="1"/>
    <x v="4"/>
  </r>
  <r>
    <n v="19"/>
    <x v="0"/>
    <n v="3"/>
    <s v="Mon, Sun, Wed"/>
    <b v="0"/>
    <d v="1899-12-30T14:34:00"/>
    <d v="1899-12-30T15:34:00"/>
    <n v="60"/>
    <b v="1"/>
    <b v="0"/>
    <x v="1"/>
    <x v="3"/>
    <n v="50"/>
    <x v="0"/>
    <n v="50"/>
    <x v="3"/>
    <n v="0.15"/>
    <n v="42.5"/>
    <s v="All hours"/>
    <s v="San Francisco, CA"/>
    <n v="37.774900000000002"/>
    <n v="-122.4194"/>
    <d v="2023-09-29T00:00:00"/>
    <n v="0"/>
    <x v="1"/>
    <x v="3"/>
  </r>
  <r>
    <n v="46"/>
    <x v="0"/>
    <n v="2"/>
    <s v="Mon, Tue"/>
    <b v="0"/>
    <d v="1899-12-30T17:54:00"/>
    <d v="1899-12-30T19:17:00"/>
    <n v="83"/>
    <b v="0"/>
    <b v="0"/>
    <x v="1"/>
    <x v="1"/>
    <n v="50"/>
    <x v="0"/>
    <n v="50"/>
    <x v="1"/>
    <n v="0"/>
    <n v="50"/>
    <s v="All hours"/>
    <s v="Long Beach, CA"/>
    <n v="33.770099999999999"/>
    <n v="-118.19370000000001"/>
    <d v="2024-05-13T00:00:00"/>
    <n v="0"/>
    <x v="0"/>
    <x v="0"/>
  </r>
  <r>
    <n v="44"/>
    <x v="3"/>
    <n v="5"/>
    <s v="Fri, Sun, Thu, Tue, Wed"/>
    <b v="1"/>
    <d v="1899-12-30T20:04:00"/>
    <d v="1899-12-30T22:29:00"/>
    <n v="145"/>
    <b v="0"/>
    <b v="1"/>
    <x v="1"/>
    <x v="4"/>
    <n v="70"/>
    <x v="0"/>
    <n v="70"/>
    <x v="3"/>
    <n v="0.15"/>
    <n v="59.5"/>
    <s v="All hours + Priority access"/>
    <s v="San Francisco, CA"/>
    <n v="37.774900000000002"/>
    <n v="-122.4194"/>
    <d v="2022-08-25T00:00:00"/>
    <n v="2"/>
    <x v="0"/>
    <x v="10"/>
  </r>
  <r>
    <n v="46"/>
    <x v="0"/>
    <n v="3"/>
    <s v="Sun, Thu, Wed"/>
    <b v="1"/>
    <d v="1899-12-30T18:01:00"/>
    <d v="1899-12-30T18:36:00"/>
    <n v="35"/>
    <b v="1"/>
    <b v="0"/>
    <x v="0"/>
    <x v="1"/>
    <n v="50"/>
    <x v="0"/>
    <n v="50"/>
    <x v="1"/>
    <n v="0"/>
    <n v="50"/>
    <s v="All hours"/>
    <s v="Los Angeles, CA"/>
    <n v="34.052199999999999"/>
    <n v="-118.2437"/>
    <d v="2023-01-08T00:00:00"/>
    <n v="0"/>
    <x v="0"/>
    <x v="57"/>
  </r>
  <r>
    <n v="18"/>
    <x v="1"/>
    <n v="2"/>
    <s v="Thu, Tue"/>
    <b v="0"/>
    <d v="1899-12-30T16:41:00"/>
    <d v="1899-12-30T19:00:00"/>
    <n v="139"/>
    <b v="1"/>
    <b v="0"/>
    <x v="0"/>
    <x v="4"/>
    <n v="30"/>
    <x v="1"/>
    <n v="22.5"/>
    <x v="1"/>
    <n v="0"/>
    <n v="22.5"/>
    <s v="Weekdays only"/>
    <s v="Bakersfield, CA"/>
    <n v="35.3733"/>
    <n v="-119.0187"/>
    <d v="2023-01-12T00:00:00"/>
    <n v="0"/>
    <x v="1"/>
    <x v="57"/>
  </r>
  <r>
    <n v="47"/>
    <x v="1"/>
    <n v="1"/>
    <s v="Sun"/>
    <b v="0"/>
    <d v="1899-12-30T16:23:00"/>
    <d v="1899-12-30T18:07:00"/>
    <n v="104"/>
    <b v="0"/>
    <b v="1"/>
    <x v="0"/>
    <x v="2"/>
    <n v="30"/>
    <x v="0"/>
    <n v="30"/>
    <x v="3"/>
    <n v="0.15"/>
    <n v="25.5"/>
    <s v="Weekdays only"/>
    <s v="Sacramento, CA"/>
    <n v="38.581600000000002"/>
    <n v="-121.4944"/>
    <d v="2024-02-09T00:00:00"/>
    <n v="6"/>
    <x v="0"/>
    <x v="48"/>
  </r>
  <r>
    <n v="23"/>
    <x v="0"/>
    <n v="3"/>
    <s v="Sun, Tue, Wed"/>
    <b v="1"/>
    <d v="1899-12-30T19:02:00"/>
    <d v="1899-12-30T21:09:00"/>
    <n v="127"/>
    <b v="0"/>
    <b v="0"/>
    <x v="0"/>
    <x v="4"/>
    <n v="50"/>
    <x v="1"/>
    <n v="37.5"/>
    <x v="1"/>
    <n v="0"/>
    <n v="37.5"/>
    <s v="All hours"/>
    <s v="Anaheim, CA"/>
    <n v="33.836599999999997"/>
    <n v="-117.9143"/>
    <d v="2024-04-07T00:00:00"/>
    <n v="0"/>
    <x v="0"/>
    <x v="52"/>
  </r>
  <r>
    <n v="37"/>
    <x v="1"/>
    <n v="1"/>
    <s v="Tue"/>
    <b v="1"/>
    <d v="1899-12-30T18:06:00"/>
    <d v="1899-12-30T19:59:00"/>
    <n v="113"/>
    <b v="0"/>
    <b v="0"/>
    <x v="0"/>
    <x v="4"/>
    <n v="30"/>
    <x v="0"/>
    <n v="30"/>
    <x v="1"/>
    <n v="0"/>
    <n v="30"/>
    <s v="Weekdays only"/>
    <s v="San Francisco, CA"/>
    <n v="37.774900000000002"/>
    <n v="-122.4194"/>
    <d v="2024-09-04T00:00:00"/>
    <n v="0"/>
    <x v="1"/>
    <x v="41"/>
  </r>
  <r>
    <n v="21"/>
    <x v="2"/>
    <n v="1"/>
    <s v="Mon"/>
    <b v="0"/>
    <d v="1899-12-30T08:29:00"/>
    <d v="1899-12-30T09:53:00"/>
    <n v="84"/>
    <b v="1"/>
    <b v="0"/>
    <x v="0"/>
    <x v="0"/>
    <n v="20"/>
    <x v="1"/>
    <n v="15"/>
    <x v="0"/>
    <n v="0.05"/>
    <n v="14.25"/>
    <s v="Off-peak only"/>
    <s v="Oakland, CA"/>
    <n v="37.804400000000001"/>
    <n v="-122.27119999999999"/>
    <d v="2025-04-23T00:00:00"/>
    <n v="0"/>
    <x v="1"/>
    <x v="5"/>
  </r>
  <r>
    <n v="34"/>
    <x v="0"/>
    <n v="2"/>
    <s v="Fri, Mon"/>
    <b v="0"/>
    <d v="1899-12-30T09:35:00"/>
    <d v="1899-12-30T12:00:00"/>
    <n v="145"/>
    <b v="0"/>
    <b v="1"/>
    <x v="1"/>
    <x v="0"/>
    <n v="50"/>
    <x v="1"/>
    <n v="37.5"/>
    <x v="1"/>
    <n v="0"/>
    <n v="37.5"/>
    <s v="All hours"/>
    <s v="Fresno, CA"/>
    <n v="36.7378"/>
    <n v="-119.7871"/>
    <d v="2022-12-15T00:00:00"/>
    <n v="3"/>
    <x v="0"/>
    <x v="6"/>
  </r>
  <r>
    <n v="46"/>
    <x v="0"/>
    <n v="5"/>
    <s v="Fri, Mon, Sat, Tue, Wed"/>
    <b v="1"/>
    <d v="1899-12-30T09:41:00"/>
    <d v="1899-12-30T12:38:00"/>
    <n v="177"/>
    <b v="1"/>
    <b v="1"/>
    <x v="1"/>
    <x v="2"/>
    <n v="50"/>
    <x v="0"/>
    <n v="50"/>
    <x v="2"/>
    <n v="0.1"/>
    <n v="45"/>
    <s v="All hours"/>
    <s v="Oakland, CA"/>
    <n v="37.804400000000001"/>
    <n v="-122.27119999999999"/>
    <d v="2023-02-08T00:00:00"/>
    <n v="4"/>
    <x v="0"/>
    <x v="26"/>
  </r>
  <r>
    <n v="34"/>
    <x v="3"/>
    <n v="5"/>
    <s v="Fri, Mon, Sun, Thu, Tue"/>
    <b v="0"/>
    <d v="1899-12-30T08:33:00"/>
    <d v="1899-12-30T10:29:00"/>
    <n v="116"/>
    <b v="0"/>
    <b v="0"/>
    <x v="0"/>
    <x v="0"/>
    <n v="70"/>
    <x v="1"/>
    <n v="52.5"/>
    <x v="2"/>
    <n v="0.1"/>
    <n v="47.25"/>
    <s v="All hours + Priority access"/>
    <s v="Bakersfield, CA"/>
    <n v="35.3733"/>
    <n v="-119.0187"/>
    <d v="2022-07-24T00:00:00"/>
    <n v="0"/>
    <x v="0"/>
    <x v="43"/>
  </r>
  <r>
    <n v="29"/>
    <x v="3"/>
    <n v="4"/>
    <s v="Fri, Mon, Sun, Thu"/>
    <b v="1"/>
    <d v="1899-12-30T18:15:00"/>
    <d v="1899-12-30T18:54:00"/>
    <n v="39"/>
    <b v="0"/>
    <b v="1"/>
    <x v="1"/>
    <x v="2"/>
    <n v="70"/>
    <x v="0"/>
    <n v="70"/>
    <x v="1"/>
    <n v="0"/>
    <n v="70"/>
    <s v="All hours + Priority access"/>
    <s v="San Diego, CA"/>
    <n v="32.715699999999998"/>
    <n v="-117.1611"/>
    <d v="2022-07-27T00:00:00"/>
    <n v="4"/>
    <x v="0"/>
    <x v="43"/>
  </r>
  <r>
    <n v="25"/>
    <x v="0"/>
    <n v="2"/>
    <s v="Mon, Tue"/>
    <b v="1"/>
    <d v="1899-12-30T13:59:00"/>
    <d v="1899-12-30T15:29:00"/>
    <n v="90"/>
    <b v="0"/>
    <b v="1"/>
    <x v="1"/>
    <x v="4"/>
    <n v="50"/>
    <x v="1"/>
    <n v="37.5"/>
    <x v="1"/>
    <n v="0"/>
    <n v="37.5"/>
    <s v="All hours"/>
    <s v="San Jose, CA"/>
    <n v="37.338200000000001"/>
    <n v="-121.88630000000001"/>
    <d v="2023-11-09T00:00:00"/>
    <n v="1"/>
    <x v="0"/>
    <x v="50"/>
  </r>
  <r>
    <n v="49"/>
    <x v="0"/>
    <n v="1"/>
    <s v="Tue"/>
    <b v="1"/>
    <d v="1899-12-30T20:23:00"/>
    <d v="1899-12-30T21:08:00"/>
    <n v="45"/>
    <b v="1"/>
    <b v="0"/>
    <x v="1"/>
    <x v="0"/>
    <n v="50"/>
    <x v="0"/>
    <n v="50"/>
    <x v="3"/>
    <n v="0.15"/>
    <n v="42.5"/>
    <s v="All hours"/>
    <s v="San Jose, CA"/>
    <n v="37.338200000000001"/>
    <n v="-121.88630000000001"/>
    <d v="2023-03-27T00:00:00"/>
    <n v="0"/>
    <x v="0"/>
    <x v="36"/>
  </r>
  <r>
    <n v="29"/>
    <x v="2"/>
    <n v="1"/>
    <s v="Tue"/>
    <b v="1"/>
    <d v="1899-12-30T12:59:00"/>
    <d v="1899-12-30T14:02:00"/>
    <n v="63"/>
    <b v="0"/>
    <b v="1"/>
    <x v="1"/>
    <x v="0"/>
    <n v="20"/>
    <x v="0"/>
    <n v="20"/>
    <x v="1"/>
    <n v="0"/>
    <n v="20"/>
    <s v="Off-peak only"/>
    <s v="Bakersfield, CA"/>
    <n v="35.3733"/>
    <n v="-119.0187"/>
    <d v="2022-09-20T00:00:00"/>
    <n v="3"/>
    <x v="0"/>
    <x v="25"/>
  </r>
  <r>
    <n v="14"/>
    <x v="1"/>
    <n v="3"/>
    <s v="Sat, Sun, Tue"/>
    <b v="0"/>
    <d v="1899-12-30T08:34:00"/>
    <d v="1899-12-30T10:49:00"/>
    <n v="135"/>
    <b v="0"/>
    <b v="0"/>
    <x v="1"/>
    <x v="4"/>
    <n v="30"/>
    <x v="2"/>
    <n v="27"/>
    <x v="1"/>
    <n v="0"/>
    <n v="27"/>
    <s v="Weekdays only"/>
    <s v="San Diego, CA"/>
    <n v="32.715699999999998"/>
    <n v="-117.1611"/>
    <d v="2022-12-31T00:00:00"/>
    <n v="0"/>
    <x v="0"/>
    <x v="57"/>
  </r>
  <r>
    <n v="18"/>
    <x v="0"/>
    <n v="4"/>
    <s v="Sun, Thu, Tue, Wed"/>
    <b v="0"/>
    <d v="1899-12-30T11:23:00"/>
    <d v="1899-12-30T14:03:00"/>
    <n v="160"/>
    <b v="1"/>
    <b v="0"/>
    <x v="0"/>
    <x v="2"/>
    <n v="50"/>
    <x v="1"/>
    <n v="37.5"/>
    <x v="1"/>
    <n v="0"/>
    <n v="37.5"/>
    <s v="All hours"/>
    <s v="Fresno, CA"/>
    <n v="36.7378"/>
    <n v="-119.7871"/>
    <d v="2024-10-02T00:00:00"/>
    <n v="0"/>
    <x v="0"/>
    <x v="51"/>
  </r>
  <r>
    <n v="49"/>
    <x v="0"/>
    <n v="2"/>
    <s v="Tue, Wed"/>
    <b v="0"/>
    <d v="1899-12-30T10:11:00"/>
    <d v="1899-12-30T11:28:00"/>
    <n v="77"/>
    <b v="1"/>
    <b v="1"/>
    <x v="0"/>
    <x v="4"/>
    <n v="50"/>
    <x v="0"/>
    <n v="50"/>
    <x v="1"/>
    <n v="0"/>
    <n v="50"/>
    <s v="All hours"/>
    <s v="Bakersfield, CA"/>
    <n v="35.3733"/>
    <n v="-119.0187"/>
    <d v="2024-02-29T00:00:00"/>
    <n v="2"/>
    <x v="1"/>
    <x v="21"/>
  </r>
  <r>
    <n v="45"/>
    <x v="0"/>
    <n v="4"/>
    <s v="Fri, Sun, Thu, Tue"/>
    <b v="0"/>
    <d v="1899-12-30T10:05:00"/>
    <d v="1899-12-30T10:55:00"/>
    <n v="50"/>
    <b v="1"/>
    <b v="1"/>
    <x v="1"/>
    <x v="0"/>
    <n v="50"/>
    <x v="1"/>
    <n v="37.5"/>
    <x v="0"/>
    <n v="0.05"/>
    <n v="35.625"/>
    <s v="All hours"/>
    <s v="Sacramento, CA"/>
    <n v="38.581600000000002"/>
    <n v="-121.4944"/>
    <d v="2025-02-05T00:00:00"/>
    <n v="7"/>
    <x v="0"/>
    <x v="30"/>
  </r>
  <r>
    <n v="20"/>
    <x v="2"/>
    <n v="1"/>
    <s v="Wed"/>
    <b v="0"/>
    <d v="1899-12-30T17:52:00"/>
    <d v="1899-12-30T18:49:00"/>
    <n v="57"/>
    <b v="1"/>
    <b v="1"/>
    <x v="1"/>
    <x v="0"/>
    <n v="20"/>
    <x v="0"/>
    <n v="20"/>
    <x v="1"/>
    <n v="0"/>
    <n v="20"/>
    <s v="Off-peak only"/>
    <s v="San Jose, CA"/>
    <n v="37.338200000000001"/>
    <n v="-121.88630000000001"/>
    <d v="2022-09-10T00:00:00"/>
    <n v="4"/>
    <x v="0"/>
    <x v="1"/>
  </r>
  <r>
    <n v="34"/>
    <x v="1"/>
    <n v="1"/>
    <s v="Sun"/>
    <b v="1"/>
    <d v="1899-12-30T09:14:00"/>
    <d v="1899-12-30T11:52:00"/>
    <n v="158"/>
    <b v="0"/>
    <b v="1"/>
    <x v="0"/>
    <x v="0"/>
    <n v="30"/>
    <x v="1"/>
    <n v="22.5"/>
    <x v="1"/>
    <n v="0"/>
    <n v="22.5"/>
    <s v="Weekdays only"/>
    <s v="Anaheim, CA"/>
    <n v="33.836599999999997"/>
    <n v="-117.9143"/>
    <d v="2023-09-16T00:00:00"/>
    <n v="4"/>
    <x v="0"/>
    <x v="7"/>
  </r>
  <r>
    <n v="18"/>
    <x v="0"/>
    <n v="1"/>
    <s v="Sat"/>
    <b v="0"/>
    <d v="1899-12-30T18:01:00"/>
    <d v="1899-12-30T18:36:00"/>
    <n v="35"/>
    <b v="1"/>
    <b v="1"/>
    <x v="0"/>
    <x v="1"/>
    <n v="50"/>
    <x v="0"/>
    <n v="50"/>
    <x v="2"/>
    <n v="0.1"/>
    <n v="45"/>
    <s v="All hours"/>
    <s v="Sacramento, CA"/>
    <n v="38.581600000000002"/>
    <n v="-121.4944"/>
    <d v="2024-10-22T00:00:00"/>
    <n v="1"/>
    <x v="1"/>
    <x v="53"/>
  </r>
  <r>
    <n v="21"/>
    <x v="1"/>
    <n v="5"/>
    <s v="Fri, Mon, Sat, Sun, Thu"/>
    <b v="1"/>
    <d v="1899-12-30T20:15:00"/>
    <d v="1899-12-30T23:14:00"/>
    <n v="179"/>
    <b v="1"/>
    <b v="0"/>
    <x v="1"/>
    <x v="0"/>
    <n v="30"/>
    <x v="0"/>
    <n v="30"/>
    <x v="0"/>
    <n v="0.05"/>
    <n v="28.5"/>
    <s v="Weekdays only"/>
    <s v="Fresno, CA"/>
    <n v="36.7378"/>
    <n v="-119.7871"/>
    <d v="2023-07-08T00:00:00"/>
    <n v="0"/>
    <x v="0"/>
    <x v="56"/>
  </r>
  <r>
    <n v="33"/>
    <x v="1"/>
    <n v="2"/>
    <s v="Sun, Tue"/>
    <b v="0"/>
    <d v="1899-12-30T12:42:00"/>
    <d v="1899-12-30T15:01:00"/>
    <n v="139"/>
    <b v="1"/>
    <b v="1"/>
    <x v="0"/>
    <x v="3"/>
    <n v="30"/>
    <x v="0"/>
    <n v="30"/>
    <x v="1"/>
    <n v="0"/>
    <n v="30"/>
    <s v="Weekdays only"/>
    <s v="Bakersfield, CA"/>
    <n v="35.3733"/>
    <n v="-119.0187"/>
    <d v="2023-09-03T00:00:00"/>
    <n v="5"/>
    <x v="0"/>
    <x v="46"/>
  </r>
  <r>
    <n v="27"/>
    <x v="0"/>
    <n v="4"/>
    <s v="Sun, Thu, Tue, Wed"/>
    <b v="0"/>
    <d v="1899-12-30T11:49:00"/>
    <d v="1899-12-30T14:25:00"/>
    <n v="156"/>
    <b v="1"/>
    <b v="1"/>
    <x v="0"/>
    <x v="0"/>
    <n v="50"/>
    <x v="1"/>
    <n v="37.5"/>
    <x v="1"/>
    <n v="0"/>
    <n v="37.5"/>
    <s v="All hours"/>
    <s v="San Diego, CA"/>
    <n v="32.715699999999998"/>
    <n v="-117.1611"/>
    <d v="2024-06-06T00:00:00"/>
    <n v="8"/>
    <x v="0"/>
    <x v="20"/>
  </r>
  <r>
    <n v="24"/>
    <x v="0"/>
    <n v="3"/>
    <s v="Mon, Sat, Sun"/>
    <b v="0"/>
    <d v="1899-12-30T13:20:00"/>
    <d v="1899-12-30T14:54:00"/>
    <n v="94"/>
    <b v="0"/>
    <b v="0"/>
    <x v="1"/>
    <x v="4"/>
    <n v="50"/>
    <x v="0"/>
    <n v="50"/>
    <x v="0"/>
    <n v="0.05"/>
    <n v="47.5"/>
    <s v="All hours"/>
    <s v="San Diego, CA"/>
    <n v="32.715699999999998"/>
    <n v="-117.1611"/>
    <d v="2025-02-22T00:00:00"/>
    <n v="0"/>
    <x v="0"/>
    <x v="45"/>
  </r>
  <r>
    <n v="45"/>
    <x v="1"/>
    <n v="5"/>
    <s v="Fri, Sat, Sun, Thu, Tue"/>
    <b v="0"/>
    <d v="1899-12-30T19:43:00"/>
    <d v="1899-12-30T21:01:00"/>
    <n v="78"/>
    <b v="1"/>
    <b v="0"/>
    <x v="0"/>
    <x v="1"/>
    <n v="30"/>
    <x v="0"/>
    <n v="30"/>
    <x v="3"/>
    <n v="0.15"/>
    <n v="25.5"/>
    <s v="Weekdays only"/>
    <s v="San Francisco, CA"/>
    <n v="37.774900000000002"/>
    <n v="-122.4194"/>
    <d v="2023-07-08T00:00:00"/>
    <n v="0"/>
    <x v="1"/>
    <x v="56"/>
  </r>
  <r>
    <n v="13"/>
    <x v="1"/>
    <n v="2"/>
    <s v="Sun, Tue"/>
    <b v="1"/>
    <d v="1899-12-30T10:34:00"/>
    <d v="1899-12-30T12:49:00"/>
    <n v="135"/>
    <b v="1"/>
    <b v="0"/>
    <x v="0"/>
    <x v="3"/>
    <n v="30"/>
    <x v="1"/>
    <n v="22.5"/>
    <x v="1"/>
    <n v="0"/>
    <n v="22.5"/>
    <s v="Weekdays only"/>
    <s v="Sacramento, CA"/>
    <n v="38.581600000000002"/>
    <n v="-121.4944"/>
    <d v="2023-12-16T00:00:00"/>
    <n v="0"/>
    <x v="0"/>
    <x v="16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3-03-23T00:00:00"/>
    <n v="0"/>
    <x v="0"/>
    <x v="36"/>
  </r>
  <r>
    <n v="28"/>
    <x v="2"/>
    <n v="2"/>
    <s v="Fri, Mon"/>
    <b v="0"/>
    <d v="1899-12-30T09:20:00"/>
    <d v="1899-12-30T11:57:00"/>
    <n v="157"/>
    <b v="0"/>
    <b v="1"/>
    <x v="1"/>
    <x v="4"/>
    <n v="20"/>
    <x v="1"/>
    <n v="15"/>
    <x v="1"/>
    <n v="0"/>
    <n v="15"/>
    <s v="Off-peak only"/>
    <s v="San Francisco, CA"/>
    <n v="37.774900000000002"/>
    <n v="-122.4194"/>
    <d v="2023-12-17T00:00:00"/>
    <n v="2"/>
    <x v="1"/>
    <x v="16"/>
  </r>
  <r>
    <n v="44"/>
    <x v="2"/>
    <n v="3"/>
    <s v="Sat, Sun, Wed"/>
    <b v="1"/>
    <d v="1899-12-30T10:11:00"/>
    <d v="1899-12-30T11:30:00"/>
    <n v="79"/>
    <b v="1"/>
    <b v="1"/>
    <x v="1"/>
    <x v="0"/>
    <n v="20"/>
    <x v="2"/>
    <n v="18"/>
    <x v="1"/>
    <n v="0"/>
    <n v="18"/>
    <s v="Off-peak only"/>
    <s v="Anaheim, CA"/>
    <n v="33.836599999999997"/>
    <n v="-117.9143"/>
    <d v="2022-12-28T00:00:00"/>
    <n v="6"/>
    <x v="0"/>
    <x v="6"/>
  </r>
  <r>
    <n v="38"/>
    <x v="0"/>
    <n v="4"/>
    <s v="Fri, Mon, Sun, Thu"/>
    <b v="1"/>
    <d v="1899-12-30T12:50:00"/>
    <d v="1899-12-30T14:19:00"/>
    <n v="89"/>
    <b v="0"/>
    <b v="0"/>
    <x v="1"/>
    <x v="4"/>
    <n v="50"/>
    <x v="0"/>
    <n v="50"/>
    <x v="1"/>
    <n v="0"/>
    <n v="50"/>
    <s v="All hours"/>
    <s v="Los Angeles, CA"/>
    <n v="34.052199999999999"/>
    <n v="-118.2437"/>
    <d v="2023-11-13T00:00:00"/>
    <n v="0"/>
    <x v="0"/>
    <x v="50"/>
  </r>
  <r>
    <n v="19"/>
    <x v="1"/>
    <n v="2"/>
    <s v="Thu, Wed"/>
    <b v="1"/>
    <d v="1899-12-30T17:13:00"/>
    <d v="1899-12-30T19:26:00"/>
    <n v="133"/>
    <b v="1"/>
    <b v="1"/>
    <x v="0"/>
    <x v="2"/>
    <n v="30"/>
    <x v="0"/>
    <n v="30"/>
    <x v="0"/>
    <n v="0.05"/>
    <n v="28.5"/>
    <s v="Weekdays only"/>
    <s v="Sacramento, CA"/>
    <n v="38.581600000000002"/>
    <n v="-121.4944"/>
    <d v="2023-11-03T00:00:00"/>
    <n v="3"/>
    <x v="1"/>
    <x v="50"/>
  </r>
  <r>
    <n v="27"/>
    <x v="0"/>
    <n v="3"/>
    <s v="Fri, Sat, Thu"/>
    <b v="1"/>
    <d v="1899-12-30T10:48:00"/>
    <d v="1899-12-30T13:15:00"/>
    <n v="147"/>
    <b v="1"/>
    <b v="0"/>
    <x v="0"/>
    <x v="1"/>
    <n v="50"/>
    <x v="1"/>
    <n v="37.5"/>
    <x v="1"/>
    <n v="0"/>
    <n v="37.5"/>
    <s v="All hours"/>
    <s v="Anaheim, CA"/>
    <n v="33.836599999999997"/>
    <n v="-117.9143"/>
    <d v="2022-12-02T00:00:00"/>
    <n v="0"/>
    <x v="0"/>
    <x v="54"/>
  </r>
  <r>
    <n v="35"/>
    <x v="0"/>
    <n v="2"/>
    <s v="Sat, Wed"/>
    <b v="1"/>
    <d v="1899-12-30T20:14:00"/>
    <d v="1899-12-30T22:30:00"/>
    <n v="136"/>
    <b v="1"/>
    <b v="1"/>
    <x v="1"/>
    <x v="0"/>
    <n v="50"/>
    <x v="0"/>
    <n v="50"/>
    <x v="0"/>
    <n v="0.05"/>
    <n v="47.5"/>
    <s v="All hours"/>
    <s v="Sacramento, CA"/>
    <n v="38.581600000000002"/>
    <n v="-121.4944"/>
    <d v="2024-04-19T00:00:00"/>
    <n v="4"/>
    <x v="0"/>
    <x v="52"/>
  </r>
  <r>
    <n v="43"/>
    <x v="0"/>
    <n v="1"/>
    <s v="Wed"/>
    <b v="0"/>
    <d v="1899-12-30T19:38:00"/>
    <d v="1899-12-30T20:56:00"/>
    <n v="78"/>
    <b v="1"/>
    <b v="0"/>
    <x v="0"/>
    <x v="0"/>
    <n v="50"/>
    <x v="1"/>
    <n v="37.5"/>
    <x v="3"/>
    <n v="0.15"/>
    <n v="31.875"/>
    <s v="All hours"/>
    <s v="Anaheim, CA"/>
    <n v="33.836599999999997"/>
    <n v="-117.9143"/>
    <d v="2025-01-31T00:00:00"/>
    <n v="0"/>
    <x v="0"/>
    <x v="19"/>
  </r>
  <r>
    <n v="37"/>
    <x v="3"/>
    <n v="1"/>
    <s v="Wed"/>
    <b v="1"/>
    <d v="1899-12-30T15:26:00"/>
    <d v="1899-12-30T16:15:00"/>
    <n v="49"/>
    <b v="1"/>
    <b v="0"/>
    <x v="0"/>
    <x v="4"/>
    <n v="70"/>
    <x v="0"/>
    <n v="70"/>
    <x v="0"/>
    <n v="0.05"/>
    <n v="66.5"/>
    <s v="All hours + Priority access"/>
    <s v="San Diego, CA"/>
    <n v="32.715699999999998"/>
    <n v="-117.1611"/>
    <d v="2025-05-23T00:00:00"/>
    <n v="0"/>
    <x v="0"/>
    <x v="9"/>
  </r>
  <r>
    <n v="13"/>
    <x v="0"/>
    <n v="2"/>
    <s v="Sat, Sun"/>
    <b v="1"/>
    <d v="1899-12-30T08:25:00"/>
    <d v="1899-12-30T09:16:00"/>
    <n v="51"/>
    <b v="1"/>
    <b v="1"/>
    <x v="0"/>
    <x v="4"/>
    <n v="50"/>
    <x v="0"/>
    <n v="50"/>
    <x v="1"/>
    <n v="0"/>
    <n v="50"/>
    <s v="All hours"/>
    <s v="San Jose, CA"/>
    <n v="37.338200000000001"/>
    <n v="-121.88630000000001"/>
    <d v="2023-04-10T00:00:00"/>
    <n v="4"/>
    <x v="1"/>
    <x v="49"/>
  </r>
  <r>
    <n v="24"/>
    <x v="0"/>
    <n v="2"/>
    <s v="Sat, Thu"/>
    <b v="1"/>
    <d v="1899-12-30T18:33:00"/>
    <d v="1899-12-30T20:28:00"/>
    <n v="115"/>
    <b v="1"/>
    <b v="0"/>
    <x v="0"/>
    <x v="0"/>
    <n v="50"/>
    <x v="0"/>
    <n v="50"/>
    <x v="0"/>
    <n v="0.05"/>
    <n v="47.5"/>
    <s v="All hours"/>
    <s v="Bakersfield, CA"/>
    <n v="35.3733"/>
    <n v="-119.0187"/>
    <d v="2023-09-01T00:00:00"/>
    <n v="0"/>
    <x v="1"/>
    <x v="46"/>
  </r>
  <r>
    <n v="45"/>
    <x v="0"/>
    <n v="3"/>
    <s v="Mon, Sat, Tue"/>
    <b v="0"/>
    <d v="1899-12-30T13:10:00"/>
    <d v="1899-12-30T15:15:00"/>
    <n v="125"/>
    <b v="1"/>
    <b v="0"/>
    <x v="1"/>
    <x v="0"/>
    <n v="50"/>
    <x v="0"/>
    <n v="50"/>
    <x v="1"/>
    <n v="0"/>
    <n v="50"/>
    <s v="All hours"/>
    <s v="Bakersfield, CA"/>
    <n v="35.3733"/>
    <n v="-119.0187"/>
    <d v="2023-06-04T00:00:00"/>
    <n v="0"/>
    <x v="0"/>
    <x v="8"/>
  </r>
  <r>
    <n v="23"/>
    <x v="2"/>
    <n v="4"/>
    <s v="Mon, Sun, Thu, Tue"/>
    <b v="1"/>
    <d v="1899-12-30T10:23:00"/>
    <d v="1899-12-30T12:29:00"/>
    <n v="126"/>
    <b v="1"/>
    <b v="1"/>
    <x v="0"/>
    <x v="3"/>
    <n v="20"/>
    <x v="0"/>
    <n v="20"/>
    <x v="2"/>
    <n v="0.1"/>
    <n v="18"/>
    <s v="Off-peak only"/>
    <s v="San Diego, CA"/>
    <n v="32.715699999999998"/>
    <n v="-117.1611"/>
    <d v="2024-11-08T00:00:00"/>
    <n v="6"/>
    <x v="0"/>
    <x v="12"/>
  </r>
  <r>
    <n v="47"/>
    <x v="2"/>
    <n v="5"/>
    <s v="Sat, Sun, Thu, Tue, Wed"/>
    <b v="0"/>
    <d v="1899-12-30T11:26:00"/>
    <d v="1899-12-30T12:55:00"/>
    <n v="89"/>
    <b v="0"/>
    <b v="0"/>
    <x v="1"/>
    <x v="1"/>
    <n v="20"/>
    <x v="0"/>
    <n v="20"/>
    <x v="3"/>
    <n v="0.15"/>
    <n v="17"/>
    <s v="Off-peak only"/>
    <s v="San Jose, CA"/>
    <n v="37.338200000000001"/>
    <n v="-121.88630000000001"/>
    <d v="2025-01-28T00:00:00"/>
    <n v="0"/>
    <x v="1"/>
    <x v="19"/>
  </r>
  <r>
    <n v="47"/>
    <x v="1"/>
    <n v="1"/>
    <s v="Sun"/>
    <b v="1"/>
    <d v="1899-12-30T12:24:00"/>
    <d v="1899-12-30T13:14:00"/>
    <n v="50"/>
    <b v="0"/>
    <b v="1"/>
    <x v="1"/>
    <x v="0"/>
    <n v="30"/>
    <x v="1"/>
    <n v="22.5"/>
    <x v="0"/>
    <n v="0.05"/>
    <n v="21.375"/>
    <s v="Weekdays only"/>
    <s v="San Francisco, CA"/>
    <n v="37.774900000000002"/>
    <n v="-122.4194"/>
    <d v="2025-06-07T00:00:00"/>
    <n v="2"/>
    <x v="1"/>
    <x v="44"/>
  </r>
  <r>
    <n v="32"/>
    <x v="3"/>
    <n v="3"/>
    <s v="Sat, Sun, Thu"/>
    <b v="0"/>
    <d v="1899-12-30T14:01:00"/>
    <d v="1899-12-30T16:17:00"/>
    <n v="136"/>
    <b v="0"/>
    <b v="0"/>
    <x v="0"/>
    <x v="4"/>
    <n v="70"/>
    <x v="0"/>
    <n v="70"/>
    <x v="1"/>
    <n v="0"/>
    <n v="70"/>
    <s v="All hours + Priority access"/>
    <s v="Anaheim, CA"/>
    <n v="33.836599999999997"/>
    <n v="-117.9143"/>
    <d v="2024-06-14T00:00:00"/>
    <n v="0"/>
    <x v="1"/>
    <x v="20"/>
  </r>
  <r>
    <n v="19"/>
    <x v="2"/>
    <n v="2"/>
    <s v="Sat, Tue"/>
    <b v="0"/>
    <d v="1899-12-30T16:57:00"/>
    <d v="1899-12-30T18:54:00"/>
    <n v="117"/>
    <b v="1"/>
    <b v="1"/>
    <x v="0"/>
    <x v="4"/>
    <n v="20"/>
    <x v="1"/>
    <n v="15"/>
    <x v="1"/>
    <n v="0"/>
    <n v="15"/>
    <s v="Off-peak only"/>
    <s v="Sacramento, CA"/>
    <n v="38.581600000000002"/>
    <n v="-121.4944"/>
    <d v="2023-10-03T00:00:00"/>
    <n v="8"/>
    <x v="0"/>
    <x v="3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4-05-01T00:00:00"/>
    <n v="5"/>
    <x v="1"/>
    <x v="40"/>
  </r>
  <r>
    <n v="24"/>
    <x v="2"/>
    <n v="5"/>
    <s v="Fri, Sat, Sun, Thu, Wed"/>
    <b v="1"/>
    <d v="1899-12-30T09:06:00"/>
    <d v="1899-12-30T10:19:00"/>
    <n v="73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4-03-14T00:00:00"/>
    <n v="0"/>
    <x v="1"/>
    <x v="29"/>
  </r>
  <r>
    <n v="23"/>
    <x v="1"/>
    <n v="1"/>
    <s v="Wed"/>
    <b v="1"/>
    <d v="1899-12-30T19:00:00"/>
    <d v="1899-12-30T19:49:00"/>
    <n v="49"/>
    <b v="1"/>
    <b v="0"/>
    <x v="1"/>
    <x v="4"/>
    <n v="30"/>
    <x v="0"/>
    <n v="30"/>
    <x v="0"/>
    <n v="0.05"/>
    <n v="28.5"/>
    <s v="Weekdays only"/>
    <s v="Bakersfield, CA"/>
    <n v="35.3733"/>
    <n v="-119.0187"/>
    <d v="2022-11-03T00:00:00"/>
    <n v="0"/>
    <x v="1"/>
    <x v="32"/>
  </r>
  <r>
    <n v="30"/>
    <x v="2"/>
    <n v="4"/>
    <s v="Fri, Mon, Sat, Wed"/>
    <b v="1"/>
    <d v="1899-12-30T09:21:00"/>
    <d v="1899-12-30T11:31:00"/>
    <n v="130"/>
    <b v="1"/>
    <b v="1"/>
    <x v="1"/>
    <x v="2"/>
    <n v="20"/>
    <x v="0"/>
    <n v="20"/>
    <x v="3"/>
    <n v="0.15"/>
    <n v="17"/>
    <s v="Off-peak only"/>
    <s v="Los Angeles, CA"/>
    <n v="34.052199999999999"/>
    <n v="-118.2437"/>
    <d v="2024-06-17T00:00:00"/>
    <n v="4"/>
    <x v="1"/>
    <x v="55"/>
  </r>
  <r>
    <n v="49"/>
    <x v="1"/>
    <n v="3"/>
    <s v="Sun, Tue, Wed"/>
    <b v="1"/>
    <d v="1899-12-30T17:10:00"/>
    <d v="1899-12-30T18:03:00"/>
    <n v="53"/>
    <b v="1"/>
    <b v="1"/>
    <x v="1"/>
    <x v="2"/>
    <n v="30"/>
    <x v="2"/>
    <n v="27"/>
    <x v="2"/>
    <n v="0.1"/>
    <n v="24.3"/>
    <s v="Weekdays only"/>
    <s v="Los Angeles, CA"/>
    <n v="34.052199999999999"/>
    <n v="-118.2437"/>
    <d v="2023-03-11T00:00:00"/>
    <n v="8"/>
    <x v="1"/>
    <x v="22"/>
  </r>
  <r>
    <n v="42"/>
    <x v="0"/>
    <n v="1"/>
    <s v="Thu"/>
    <b v="1"/>
    <d v="1899-12-30T12:52:00"/>
    <d v="1899-12-30T14:18:00"/>
    <n v="86"/>
    <b v="0"/>
    <b v="0"/>
    <x v="0"/>
    <x v="4"/>
    <n v="50"/>
    <x v="0"/>
    <n v="50"/>
    <x v="2"/>
    <n v="0.1"/>
    <n v="45"/>
    <s v="All hours"/>
    <s v="Long Beach, CA"/>
    <n v="33.770099999999999"/>
    <n v="-118.19370000000001"/>
    <d v="2024-04-26T00:00:00"/>
    <n v="0"/>
    <x v="0"/>
    <x v="40"/>
  </r>
  <r>
    <n v="39"/>
    <x v="1"/>
    <n v="3"/>
    <s v="Mon, Thu, Tue"/>
    <b v="0"/>
    <d v="1899-12-30T18:07:00"/>
    <d v="1899-12-30T20:59:00"/>
    <n v="172"/>
    <b v="1"/>
    <b v="0"/>
    <x v="0"/>
    <x v="2"/>
    <n v="30"/>
    <x v="0"/>
    <n v="30"/>
    <x v="1"/>
    <n v="0"/>
    <n v="30"/>
    <s v="Weekdays only"/>
    <s v="Fresno, CA"/>
    <n v="36.7378"/>
    <n v="-119.7871"/>
    <d v="2023-08-30T00:00:00"/>
    <n v="0"/>
    <x v="1"/>
    <x v="46"/>
  </r>
  <r>
    <n v="29"/>
    <x v="1"/>
    <n v="3"/>
    <s v="Mon, Sat, Thu"/>
    <b v="1"/>
    <d v="1899-12-30T20:43:00"/>
    <d v="1899-12-30T21:23:00"/>
    <n v="40"/>
    <b v="1"/>
    <b v="0"/>
    <x v="0"/>
    <x v="3"/>
    <n v="30"/>
    <x v="2"/>
    <n v="27"/>
    <x v="1"/>
    <n v="0"/>
    <n v="27"/>
    <s v="Weekdays only"/>
    <s v="San Francisco, CA"/>
    <n v="37.774900000000002"/>
    <n v="-122.4194"/>
    <d v="2022-12-17T00:00:00"/>
    <n v="0"/>
    <x v="1"/>
    <x v="6"/>
  </r>
  <r>
    <n v="33"/>
    <x v="2"/>
    <n v="2"/>
    <s v="Fri, Tue"/>
    <b v="1"/>
    <d v="1899-12-30T09:24:00"/>
    <d v="1899-12-30T12:24:00"/>
    <n v="180"/>
    <b v="0"/>
    <b v="1"/>
    <x v="0"/>
    <x v="4"/>
    <n v="20"/>
    <x v="2"/>
    <n v="18"/>
    <x v="1"/>
    <n v="0"/>
    <n v="18"/>
    <s v="Off-peak only"/>
    <s v="Fresno, CA"/>
    <n v="36.7378"/>
    <n v="-119.7871"/>
    <d v="2022-09-15T00:00:00"/>
    <n v="2"/>
    <x v="1"/>
    <x v="25"/>
  </r>
  <r>
    <n v="40"/>
    <x v="0"/>
    <n v="2"/>
    <s v="Sat, Thu"/>
    <b v="1"/>
    <d v="1899-12-30T18:52:00"/>
    <d v="1899-12-30T19:42:00"/>
    <n v="50"/>
    <b v="1"/>
    <b v="0"/>
    <x v="1"/>
    <x v="0"/>
    <n v="50"/>
    <x v="1"/>
    <n v="37.5"/>
    <x v="1"/>
    <n v="0"/>
    <n v="37.5"/>
    <s v="All hours"/>
    <s v="Los Angeles, CA"/>
    <n v="34.052199999999999"/>
    <n v="-118.2437"/>
    <d v="2025-01-17T00:00:00"/>
    <n v="0"/>
    <x v="1"/>
    <x v="19"/>
  </r>
  <r>
    <n v="20"/>
    <x v="0"/>
    <n v="3"/>
    <s v="Fri, Thu, Tue"/>
    <b v="0"/>
    <d v="1899-12-30T08:23:00"/>
    <d v="1899-12-30T11:22:00"/>
    <n v="179"/>
    <b v="0"/>
    <b v="0"/>
    <x v="0"/>
    <x v="0"/>
    <n v="50"/>
    <x v="0"/>
    <n v="50"/>
    <x v="0"/>
    <n v="0.05"/>
    <n v="47.5"/>
    <s v="All hours"/>
    <s v="San Diego, CA"/>
    <n v="32.715699999999998"/>
    <n v="-117.1611"/>
    <d v="2022-10-10T00:00:00"/>
    <n v="0"/>
    <x v="0"/>
    <x v="38"/>
  </r>
  <r>
    <n v="38"/>
    <x v="2"/>
    <n v="1"/>
    <s v="Tue"/>
    <b v="0"/>
    <d v="1899-12-30T14:12:00"/>
    <d v="1899-12-30T14:59:00"/>
    <n v="47"/>
    <b v="0"/>
    <b v="0"/>
    <x v="0"/>
    <x v="2"/>
    <n v="20"/>
    <x v="0"/>
    <n v="20"/>
    <x v="1"/>
    <n v="0"/>
    <n v="20"/>
    <s v="Off-peak only"/>
    <s v="Sacramento, CA"/>
    <n v="38.581600000000002"/>
    <n v="-121.4944"/>
    <d v="2024-01-15T00:00:00"/>
    <n v="0"/>
    <x v="1"/>
    <x v="31"/>
  </r>
  <r>
    <n v="33"/>
    <x v="3"/>
    <n v="3"/>
    <s v="Mon, Sat, Thu"/>
    <b v="0"/>
    <d v="1899-12-30T19:30:00"/>
    <d v="1899-12-30T21:59:00"/>
    <n v="149"/>
    <b v="1"/>
    <b v="0"/>
    <x v="1"/>
    <x v="0"/>
    <n v="70"/>
    <x v="1"/>
    <n v="52.5"/>
    <x v="1"/>
    <n v="0"/>
    <n v="52.5"/>
    <s v="All hours + Priority access"/>
    <s v="Fresno, CA"/>
    <n v="36.7378"/>
    <n v="-119.7871"/>
    <d v="2024-09-20T00:00:00"/>
    <n v="0"/>
    <x v="1"/>
    <x v="33"/>
  </r>
  <r>
    <n v="26"/>
    <x v="0"/>
    <n v="1"/>
    <s v="Fri"/>
    <b v="1"/>
    <d v="1899-12-30T12:45:00"/>
    <d v="1899-12-30T14:09:00"/>
    <n v="84"/>
    <b v="1"/>
    <b v="1"/>
    <x v="1"/>
    <x v="3"/>
    <n v="50"/>
    <x v="0"/>
    <n v="50"/>
    <x v="1"/>
    <n v="0"/>
    <n v="50"/>
    <s v="All hours"/>
    <s v="Bakersfield, CA"/>
    <n v="35.3733"/>
    <n v="-119.0187"/>
    <d v="2024-02-20T00:00:00"/>
    <n v="6"/>
    <x v="0"/>
    <x v="21"/>
  </r>
  <r>
    <n v="27"/>
    <x v="0"/>
    <n v="2"/>
    <s v="Sun, Thu"/>
    <b v="0"/>
    <d v="1899-12-30T11:23:00"/>
    <d v="1899-12-30T13:00:00"/>
    <n v="97"/>
    <b v="0"/>
    <b v="1"/>
    <x v="1"/>
    <x v="2"/>
    <n v="50"/>
    <x v="0"/>
    <n v="50"/>
    <x v="3"/>
    <n v="0.15"/>
    <n v="42.5"/>
    <s v="All hours"/>
    <s v="Fresno, CA"/>
    <n v="36.7378"/>
    <n v="-119.7871"/>
    <d v="2022-08-14T00:00:00"/>
    <n v="1"/>
    <x v="0"/>
    <x v="10"/>
  </r>
  <r>
    <n v="20"/>
    <x v="2"/>
    <n v="3"/>
    <s v="Mon, Thu, Wed"/>
    <b v="1"/>
    <d v="1899-12-30T10:42:00"/>
    <d v="1899-12-30T13:13:00"/>
    <n v="151"/>
    <b v="1"/>
    <b v="1"/>
    <x v="0"/>
    <x v="4"/>
    <n v="20"/>
    <x v="0"/>
    <n v="20"/>
    <x v="1"/>
    <n v="0"/>
    <n v="20"/>
    <s v="Off-peak only"/>
    <s v="Bakersfield, CA"/>
    <n v="35.3733"/>
    <n v="-119.0187"/>
    <d v="2024-01-15T00:00:00"/>
    <n v="5"/>
    <x v="1"/>
    <x v="31"/>
  </r>
  <r>
    <n v="23"/>
    <x v="0"/>
    <n v="4"/>
    <s v="Fri, Sat, Sun, Tue"/>
    <b v="1"/>
    <d v="1899-12-30T09:17:00"/>
    <d v="1899-12-30T09:49:00"/>
    <n v="32"/>
    <b v="0"/>
    <b v="0"/>
    <x v="0"/>
    <x v="0"/>
    <n v="50"/>
    <x v="0"/>
    <n v="50"/>
    <x v="2"/>
    <n v="0.1"/>
    <n v="45"/>
    <s v="All hours"/>
    <s v="Bakersfield, CA"/>
    <n v="35.3733"/>
    <n v="-119.0187"/>
    <d v="2024-07-07T00:00:00"/>
    <n v="0"/>
    <x v="0"/>
    <x v="39"/>
  </r>
  <r>
    <n v="12"/>
    <x v="1"/>
    <n v="5"/>
    <s v="Fri, Mon, Sun, Thu, Wed"/>
    <b v="0"/>
    <d v="1899-12-30T10:25:00"/>
    <d v="1899-12-30T12:18:00"/>
    <n v="113"/>
    <b v="0"/>
    <b v="0"/>
    <x v="1"/>
    <x v="0"/>
    <n v="30"/>
    <x v="0"/>
    <n v="30"/>
    <x v="1"/>
    <n v="0"/>
    <n v="30"/>
    <s v="Weekdays only"/>
    <s v="Los Angeles, CA"/>
    <n v="34.052199999999999"/>
    <n v="-118.2437"/>
    <d v="2023-08-18T00:00:00"/>
    <n v="0"/>
    <x v="1"/>
    <x v="47"/>
  </r>
  <r>
    <n v="41"/>
    <x v="2"/>
    <n v="2"/>
    <s v="Sun, Tue"/>
    <b v="1"/>
    <d v="1899-12-30T14:06:00"/>
    <d v="1899-12-30T16:06:00"/>
    <n v="120"/>
    <b v="1"/>
    <b v="1"/>
    <x v="1"/>
    <x v="2"/>
    <n v="20"/>
    <x v="0"/>
    <n v="20"/>
    <x v="3"/>
    <n v="0.15"/>
    <n v="17"/>
    <s v="Off-peak only"/>
    <s v="Anaheim, CA"/>
    <n v="33.836599999999997"/>
    <n v="-117.9143"/>
    <d v="2024-10-10T00:00:00"/>
    <n v="3"/>
    <x v="1"/>
    <x v="51"/>
  </r>
  <r>
    <n v="32"/>
    <x v="1"/>
    <n v="3"/>
    <s v="Fri, Sun, Tue"/>
    <b v="1"/>
    <d v="1899-12-30T12:16:00"/>
    <d v="1899-12-30T13:03:00"/>
    <n v="47"/>
    <b v="0"/>
    <b v="1"/>
    <x v="0"/>
    <x v="0"/>
    <n v="30"/>
    <x v="2"/>
    <n v="27"/>
    <x v="1"/>
    <n v="0"/>
    <n v="27"/>
    <s v="Weekdays only"/>
    <s v="Fresno, CA"/>
    <n v="36.7378"/>
    <n v="-119.7871"/>
    <d v="2025-04-03T00:00:00"/>
    <n v="4"/>
    <x v="1"/>
    <x v="42"/>
  </r>
  <r>
    <n v="44"/>
    <x v="3"/>
    <n v="5"/>
    <s v="Fri, Sun, Thu, Tue, Wed"/>
    <b v="1"/>
    <d v="1899-12-30T20:04:00"/>
    <d v="1899-12-30T22:29:00"/>
    <n v="145"/>
    <b v="0"/>
    <b v="1"/>
    <x v="1"/>
    <x v="4"/>
    <n v="70"/>
    <x v="0"/>
    <n v="70"/>
    <x v="3"/>
    <n v="0.15"/>
    <n v="59.5"/>
    <s v="All hours + Priority access"/>
    <s v="San Francisco, CA"/>
    <n v="37.774900000000002"/>
    <n v="-122.4194"/>
    <d v="2025-02-05T00:00:00"/>
    <n v="2"/>
    <x v="0"/>
    <x v="30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5-02-06T00:00:00"/>
    <n v="1"/>
    <x v="0"/>
    <x v="30"/>
  </r>
  <r>
    <n v="20"/>
    <x v="0"/>
    <n v="3"/>
    <s v="Sat, Sun, Thu"/>
    <b v="0"/>
    <d v="1899-12-30T10:32:00"/>
    <d v="1899-12-30T11:09:00"/>
    <n v="37"/>
    <b v="0"/>
    <b v="0"/>
    <x v="1"/>
    <x v="4"/>
    <n v="50"/>
    <x v="0"/>
    <n v="50"/>
    <x v="3"/>
    <n v="0.15"/>
    <n v="42.5"/>
    <s v="All hours"/>
    <s v="San Francisco, CA"/>
    <n v="37.774900000000002"/>
    <n v="-122.4194"/>
    <d v="2025-01-12T00:00:00"/>
    <n v="0"/>
    <x v="0"/>
    <x v="4"/>
  </r>
  <r>
    <n v="35"/>
    <x v="2"/>
    <n v="3"/>
    <s v="Fri, Thu, Tue"/>
    <b v="1"/>
    <d v="1899-12-30T13:32:00"/>
    <d v="1899-12-30T16:19:00"/>
    <n v="167"/>
    <b v="0"/>
    <b v="0"/>
    <x v="0"/>
    <x v="0"/>
    <n v="20"/>
    <x v="1"/>
    <n v="15"/>
    <x v="3"/>
    <n v="0.15"/>
    <n v="12.75"/>
    <s v="Off-peak only"/>
    <s v="San Diego, CA"/>
    <n v="32.715699999999998"/>
    <n v="-117.1611"/>
    <d v="2025-01-26T00:00:00"/>
    <n v="0"/>
    <x v="0"/>
    <x v="19"/>
  </r>
  <r>
    <n v="48"/>
    <x v="0"/>
    <n v="2"/>
    <s v="Thu, Wed"/>
    <b v="0"/>
    <d v="1899-12-30T17:14:00"/>
    <d v="1899-12-30T20:05:00"/>
    <n v="171"/>
    <b v="0"/>
    <b v="1"/>
    <x v="1"/>
    <x v="0"/>
    <n v="50"/>
    <x v="1"/>
    <n v="37.5"/>
    <x v="1"/>
    <n v="0"/>
    <n v="37.5"/>
    <s v="All hours"/>
    <s v="San Francisco, CA"/>
    <n v="37.774900000000002"/>
    <n v="-122.4194"/>
    <d v="2023-08-10T00:00:00"/>
    <n v="3"/>
    <x v="0"/>
    <x v="47"/>
  </r>
  <r>
    <n v="22"/>
    <x v="0"/>
    <n v="3"/>
    <s v="Sat, Sun, Wed"/>
    <b v="1"/>
    <d v="1899-12-30T17:57:00"/>
    <d v="1899-12-30T19:46:00"/>
    <n v="109"/>
    <b v="0"/>
    <b v="1"/>
    <x v="0"/>
    <x v="0"/>
    <n v="50"/>
    <x v="0"/>
    <n v="50"/>
    <x v="0"/>
    <n v="0.05"/>
    <n v="47.5"/>
    <s v="All hours"/>
    <s v="Sacramento, CA"/>
    <n v="38.581600000000002"/>
    <n v="-121.4944"/>
    <d v="2024-12-11T00:00:00"/>
    <n v="7"/>
    <x v="0"/>
    <x v="13"/>
  </r>
  <r>
    <n v="22"/>
    <x v="0"/>
    <n v="1"/>
    <s v="Fri"/>
    <b v="0"/>
    <d v="1899-12-30T11:31:00"/>
    <d v="1899-12-30T12:13:00"/>
    <n v="42"/>
    <b v="1"/>
    <b v="1"/>
    <x v="1"/>
    <x v="0"/>
    <n v="50"/>
    <x v="0"/>
    <n v="50"/>
    <x v="0"/>
    <n v="0.05"/>
    <n v="47.5"/>
    <s v="All hours"/>
    <s v="San Jose, CA"/>
    <n v="37.338200000000001"/>
    <n v="-121.88630000000001"/>
    <d v="2024-06-19T00:00:00"/>
    <n v="2"/>
    <x v="0"/>
    <x v="55"/>
  </r>
  <r>
    <n v="30"/>
    <x v="1"/>
    <n v="4"/>
    <s v="Fri, Sat, Sun, Wed"/>
    <b v="1"/>
    <d v="1899-12-30T14:27:00"/>
    <d v="1899-12-30T16:09:00"/>
    <n v="102"/>
    <b v="0"/>
    <b v="1"/>
    <x v="0"/>
    <x v="1"/>
    <n v="30"/>
    <x v="0"/>
    <n v="30"/>
    <x v="2"/>
    <n v="0.1"/>
    <n v="27"/>
    <s v="Weekdays only"/>
    <s v="San Diego, CA"/>
    <n v="32.715699999999998"/>
    <n v="-117.1611"/>
    <d v="2022-11-10T00:00:00"/>
    <n v="2"/>
    <x v="0"/>
    <x v="37"/>
  </r>
  <r>
    <n v="47"/>
    <x v="0"/>
    <n v="1"/>
    <s v="Tue"/>
    <b v="1"/>
    <d v="1899-12-30T18:15:00"/>
    <d v="1899-12-30T19:59:00"/>
    <n v="104"/>
    <b v="1"/>
    <b v="0"/>
    <x v="1"/>
    <x v="4"/>
    <n v="50"/>
    <x v="0"/>
    <n v="50"/>
    <x v="2"/>
    <n v="0.1"/>
    <n v="45"/>
    <s v="All hours"/>
    <s v="San Diego, CA"/>
    <n v="32.715699999999998"/>
    <n v="-117.1611"/>
    <d v="2024-02-04T00:00:00"/>
    <n v="0"/>
    <x v="0"/>
    <x v="48"/>
  </r>
  <r>
    <n v="32"/>
    <x v="1"/>
    <n v="3"/>
    <s v="Mon, Sat, Wed"/>
    <b v="1"/>
    <d v="1899-12-30T17:29:00"/>
    <d v="1899-12-30T18:47:00"/>
    <n v="78"/>
    <b v="1"/>
    <b v="0"/>
    <x v="1"/>
    <x v="0"/>
    <n v="30"/>
    <x v="1"/>
    <n v="22.5"/>
    <x v="0"/>
    <n v="0.05"/>
    <n v="21.375"/>
    <s v="Weekdays only"/>
    <s v="Long Beach, CA"/>
    <n v="33.770099999999999"/>
    <n v="-118.19370000000001"/>
    <d v="2023-07-13T00:00:00"/>
    <n v="0"/>
    <x v="0"/>
    <x v="56"/>
  </r>
  <r>
    <n v="20"/>
    <x v="2"/>
    <n v="3"/>
    <s v="Mon, Thu, Wed"/>
    <b v="1"/>
    <d v="1899-12-30T10:42:00"/>
    <d v="1899-12-30T13:13:00"/>
    <n v="151"/>
    <b v="1"/>
    <b v="1"/>
    <x v="0"/>
    <x v="4"/>
    <n v="20"/>
    <x v="0"/>
    <n v="20"/>
    <x v="1"/>
    <n v="0"/>
    <n v="20"/>
    <s v="Off-peak only"/>
    <s v="Bakersfield, CA"/>
    <n v="35.3733"/>
    <n v="-119.0187"/>
    <d v="2024-12-21T00:00:00"/>
    <n v="3"/>
    <x v="0"/>
    <x v="13"/>
  </r>
  <r>
    <n v="40"/>
    <x v="0"/>
    <n v="3"/>
    <s v="Mon, Thu, Tue"/>
    <b v="1"/>
    <d v="1899-12-30T19:59:00"/>
    <d v="1899-12-30T21:04:00"/>
    <n v="65"/>
    <b v="0"/>
    <b v="1"/>
    <x v="0"/>
    <x v="3"/>
    <n v="50"/>
    <x v="1"/>
    <n v="37.5"/>
    <x v="1"/>
    <n v="0"/>
    <n v="37.5"/>
    <s v="All hours"/>
    <s v="Oakland, CA"/>
    <n v="37.804400000000001"/>
    <n v="-122.27119999999999"/>
    <d v="2024-11-30T00:00:00"/>
    <n v="1"/>
    <x v="1"/>
    <x v="14"/>
  </r>
  <r>
    <n v="25"/>
    <x v="1"/>
    <n v="4"/>
    <s v="Fri, Mon, Tue, Wed"/>
    <b v="0"/>
    <d v="1899-12-30T19:23:00"/>
    <d v="1899-12-30T20:48:00"/>
    <n v="85"/>
    <b v="0"/>
    <b v="0"/>
    <x v="1"/>
    <x v="4"/>
    <n v="30"/>
    <x v="1"/>
    <n v="22.5"/>
    <x v="2"/>
    <n v="0.1"/>
    <n v="20.25"/>
    <s v="Weekdays only"/>
    <s v="San Jose, CA"/>
    <n v="37.338200000000001"/>
    <n v="-121.88630000000001"/>
    <d v="2025-05-10T00:00:00"/>
    <n v="0"/>
    <x v="1"/>
    <x v="24"/>
  </r>
  <r>
    <n v="45"/>
    <x v="2"/>
    <n v="3"/>
    <s v="Fri, Mon, Wed"/>
    <b v="1"/>
    <d v="1899-12-30T15:39:00"/>
    <d v="1899-12-30T17:34:00"/>
    <n v="115"/>
    <b v="1"/>
    <b v="1"/>
    <x v="1"/>
    <x v="0"/>
    <n v="20"/>
    <x v="1"/>
    <n v="15"/>
    <x v="2"/>
    <n v="0.1"/>
    <n v="13.5"/>
    <s v="Off-peak only"/>
    <s v="Anaheim, CA"/>
    <n v="33.836599999999997"/>
    <n v="-117.9143"/>
    <d v="2024-12-25T00:00:00"/>
    <n v="7"/>
    <x v="0"/>
    <x v="13"/>
  </r>
  <r>
    <n v="49"/>
    <x v="2"/>
    <n v="3"/>
    <s v="Mon, Sun, Wed"/>
    <b v="0"/>
    <d v="1899-12-30T19:37:00"/>
    <d v="1899-12-30T21:31:00"/>
    <n v="114"/>
    <b v="1"/>
    <b v="0"/>
    <x v="0"/>
    <x v="0"/>
    <n v="20"/>
    <x v="0"/>
    <n v="20"/>
    <x v="3"/>
    <n v="0.15"/>
    <n v="17"/>
    <s v="Off-peak only"/>
    <s v="Anaheim, CA"/>
    <n v="33.836599999999997"/>
    <n v="-117.9143"/>
    <d v="2024-08-30T00:00:00"/>
    <n v="0"/>
    <x v="0"/>
    <x v="41"/>
  </r>
  <r>
    <n v="30"/>
    <x v="1"/>
    <n v="1"/>
    <s v="Fri"/>
    <b v="0"/>
    <d v="1899-12-30T17:59:00"/>
    <d v="1899-12-30T20:47:00"/>
    <n v="168"/>
    <b v="0"/>
    <b v="1"/>
    <x v="1"/>
    <x v="3"/>
    <n v="30"/>
    <x v="0"/>
    <n v="30"/>
    <x v="1"/>
    <n v="0"/>
    <n v="30"/>
    <s v="Weekdays only"/>
    <s v="San Francisco, CA"/>
    <n v="37.774900000000002"/>
    <n v="-122.4194"/>
    <d v="2024-12-16T00:00:00"/>
    <n v="8"/>
    <x v="0"/>
    <x v="13"/>
  </r>
  <r>
    <n v="27"/>
    <x v="1"/>
    <n v="1"/>
    <s v="Wed"/>
    <b v="0"/>
    <d v="1899-12-30T11:25:00"/>
    <d v="1899-12-30T12:56:00"/>
    <n v="91"/>
    <b v="1"/>
    <b v="0"/>
    <x v="1"/>
    <x v="4"/>
    <n v="30"/>
    <x v="0"/>
    <n v="30"/>
    <x v="3"/>
    <n v="0.15"/>
    <n v="25.5"/>
    <s v="Weekdays only"/>
    <s v="Fresno, CA"/>
    <n v="36.7378"/>
    <n v="-119.7871"/>
    <d v="2025-03-20T00:00:00"/>
    <n v="0"/>
    <x v="0"/>
    <x v="27"/>
  </r>
  <r>
    <n v="30"/>
    <x v="0"/>
    <n v="3"/>
    <s v="Fri, Sat, Thu"/>
    <b v="1"/>
    <d v="1899-12-30T14:44:00"/>
    <d v="1899-12-30T16:00:00"/>
    <n v="76"/>
    <b v="1"/>
    <b v="1"/>
    <x v="1"/>
    <x v="2"/>
    <n v="50"/>
    <x v="0"/>
    <n v="50"/>
    <x v="2"/>
    <n v="0.1"/>
    <n v="45"/>
    <s v="All hours"/>
    <s v="Los Angeles, CA"/>
    <n v="34.052199999999999"/>
    <n v="-118.2437"/>
    <d v="2025-02-14T00:00:00"/>
    <n v="8"/>
    <x v="0"/>
    <x v="30"/>
  </r>
  <r>
    <n v="40"/>
    <x v="2"/>
    <n v="1"/>
    <s v="Sun"/>
    <b v="1"/>
    <d v="1899-12-30T16:03:00"/>
    <d v="1899-12-30T17:49:00"/>
    <n v="106"/>
    <b v="0"/>
    <b v="0"/>
    <x v="1"/>
    <x v="0"/>
    <n v="20"/>
    <x v="1"/>
    <n v="15"/>
    <x v="1"/>
    <n v="0"/>
    <n v="15"/>
    <s v="Off-peak only"/>
    <s v="Fresno, CA"/>
    <n v="36.7378"/>
    <n v="-119.7871"/>
    <d v="2024-02-18T00:00:00"/>
    <n v="0"/>
    <x v="0"/>
    <x v="21"/>
  </r>
  <r>
    <n v="33"/>
    <x v="0"/>
    <n v="2"/>
    <s v="Sat, Thu"/>
    <b v="1"/>
    <d v="1899-12-30T14:56:00"/>
    <d v="1899-12-30T15:57:00"/>
    <n v="61"/>
    <b v="1"/>
    <b v="1"/>
    <x v="1"/>
    <x v="4"/>
    <n v="50"/>
    <x v="0"/>
    <n v="50"/>
    <x v="1"/>
    <n v="0"/>
    <n v="50"/>
    <s v="All hours"/>
    <s v="Fresno, CA"/>
    <n v="36.7378"/>
    <n v="-119.7871"/>
    <d v="2024-11-15T00:00:00"/>
    <n v="6"/>
    <x v="0"/>
    <x v="12"/>
  </r>
  <r>
    <n v="49"/>
    <x v="0"/>
    <n v="3"/>
    <s v="Fri, Sun, Thu"/>
    <b v="0"/>
    <d v="1899-12-30T17:16:00"/>
    <d v="1899-12-30T19:52:00"/>
    <n v="156"/>
    <b v="1"/>
    <b v="0"/>
    <x v="0"/>
    <x v="2"/>
    <n v="50"/>
    <x v="0"/>
    <n v="50"/>
    <x v="1"/>
    <n v="0"/>
    <n v="50"/>
    <s v="All hours"/>
    <s v="Bakersfield, CA"/>
    <n v="35.3733"/>
    <n v="-119.0187"/>
    <d v="2024-05-31T00:00:00"/>
    <n v="0"/>
    <x v="0"/>
    <x v="20"/>
  </r>
  <r>
    <n v="27"/>
    <x v="3"/>
    <n v="3"/>
    <s v="Sat, Thu, Wed"/>
    <b v="0"/>
    <d v="1899-12-30T20:18:00"/>
    <d v="1899-12-30T22:20:00"/>
    <n v="122"/>
    <b v="1"/>
    <b v="1"/>
    <x v="0"/>
    <x v="0"/>
    <n v="70"/>
    <x v="1"/>
    <n v="52.5"/>
    <x v="2"/>
    <n v="0.1"/>
    <n v="47.25"/>
    <s v="All hours + Priority access"/>
    <s v="Bakersfield, CA"/>
    <n v="35.3733"/>
    <n v="-119.0187"/>
    <d v="2024-01-03T00:00:00"/>
    <n v="1"/>
    <x v="0"/>
    <x v="23"/>
  </r>
  <r>
    <n v="29"/>
    <x v="1"/>
    <n v="1"/>
    <s v="Thu"/>
    <b v="1"/>
    <d v="1899-12-30T10:25:00"/>
    <d v="1899-12-30T12:04:00"/>
    <n v="99"/>
    <b v="1"/>
    <b v="1"/>
    <x v="0"/>
    <x v="0"/>
    <n v="30"/>
    <x v="0"/>
    <n v="30"/>
    <x v="1"/>
    <n v="0"/>
    <n v="30"/>
    <s v="Weekdays only"/>
    <s v="Anaheim, CA"/>
    <n v="33.836599999999997"/>
    <n v="-117.9143"/>
    <d v="2023-06-18T00:00:00"/>
    <n v="5"/>
    <x v="1"/>
    <x v="28"/>
  </r>
  <r>
    <n v="38"/>
    <x v="2"/>
    <n v="5"/>
    <s v="Mon, Sat, Sun, Thu, Tue"/>
    <b v="0"/>
    <d v="1899-12-30T08:35:00"/>
    <d v="1899-12-30T10:56:00"/>
    <n v="141"/>
    <b v="1"/>
    <b v="1"/>
    <x v="0"/>
    <x v="0"/>
    <n v="20"/>
    <x v="0"/>
    <n v="20"/>
    <x v="1"/>
    <n v="0"/>
    <n v="20"/>
    <s v="Off-peak only"/>
    <s v="San Jose, CA"/>
    <n v="37.338200000000001"/>
    <n v="-121.88630000000001"/>
    <d v="2025-05-12T00:00:00"/>
    <n v="4"/>
    <x v="0"/>
    <x v="24"/>
  </r>
  <r>
    <n v="34"/>
    <x v="1"/>
    <n v="2"/>
    <s v="Fri, Mon"/>
    <b v="0"/>
    <d v="1899-12-30T17:01:00"/>
    <d v="1899-12-30T19:09:00"/>
    <n v="128"/>
    <b v="0"/>
    <b v="1"/>
    <x v="0"/>
    <x v="2"/>
    <n v="30"/>
    <x v="0"/>
    <n v="30"/>
    <x v="1"/>
    <n v="0"/>
    <n v="30"/>
    <s v="Weekdays only"/>
    <s v="Fresno, CA"/>
    <n v="36.7378"/>
    <n v="-119.7871"/>
    <d v="2023-02-22T00:00:00"/>
    <n v="3"/>
    <x v="1"/>
    <x v="22"/>
  </r>
  <r>
    <n v="32"/>
    <x v="0"/>
    <n v="1"/>
    <s v="Sat"/>
    <b v="0"/>
    <d v="1899-12-30T17:58:00"/>
    <d v="1899-12-30T19:58:00"/>
    <n v="120"/>
    <b v="1"/>
    <b v="0"/>
    <x v="1"/>
    <x v="2"/>
    <n v="50"/>
    <x v="1"/>
    <n v="37.5"/>
    <x v="1"/>
    <n v="0"/>
    <n v="37.5"/>
    <s v="All hours"/>
    <s v="Oakland, CA"/>
    <n v="37.804400000000001"/>
    <n v="-122.27119999999999"/>
    <d v="2023-08-24T00:00:00"/>
    <n v="0"/>
    <x v="1"/>
    <x v="46"/>
  </r>
  <r>
    <n v="48"/>
    <x v="0"/>
    <n v="1"/>
    <s v="Tue"/>
    <b v="1"/>
    <d v="1899-12-30T19:29:00"/>
    <d v="1899-12-30T22:21:00"/>
    <n v="172"/>
    <b v="1"/>
    <b v="0"/>
    <x v="1"/>
    <x v="0"/>
    <n v="50"/>
    <x v="0"/>
    <n v="50"/>
    <x v="3"/>
    <n v="0.15"/>
    <n v="42.5"/>
    <s v="All hours"/>
    <s v="Oakland, CA"/>
    <n v="37.804400000000001"/>
    <n v="-122.27119999999999"/>
    <d v="2025-03-27T00:00:00"/>
    <n v="0"/>
    <x v="1"/>
    <x v="42"/>
  </r>
  <r>
    <n v="39"/>
    <x v="0"/>
    <n v="5"/>
    <s v="Fri, Mon, Sun, Thu, Wed"/>
    <b v="1"/>
    <d v="1899-12-30T12:50:00"/>
    <d v="1899-12-30T14:58:00"/>
    <n v="128"/>
    <b v="0"/>
    <b v="1"/>
    <x v="1"/>
    <x v="0"/>
    <n v="50"/>
    <x v="1"/>
    <n v="37.5"/>
    <x v="0"/>
    <n v="0.05"/>
    <n v="35.625"/>
    <s v="All hours"/>
    <s v="Anaheim, CA"/>
    <n v="33.836599999999997"/>
    <n v="-117.9143"/>
    <d v="2022-12-05T00:00:00"/>
    <n v="6"/>
    <x v="1"/>
    <x v="54"/>
  </r>
  <r>
    <n v="40"/>
    <x v="1"/>
    <n v="3"/>
    <s v="Fri, Sun, Thu"/>
    <b v="1"/>
    <d v="1899-12-30T17:05:00"/>
    <d v="1899-12-30T19:39:00"/>
    <n v="154"/>
    <b v="0"/>
    <b v="1"/>
    <x v="0"/>
    <x v="0"/>
    <n v="30"/>
    <x v="0"/>
    <n v="30"/>
    <x v="1"/>
    <n v="0"/>
    <n v="30"/>
    <s v="Weekdays only"/>
    <s v="Fresno, CA"/>
    <n v="36.7378"/>
    <n v="-119.7871"/>
    <d v="2022-10-16T00:00:00"/>
    <n v="7"/>
    <x v="1"/>
    <x v="38"/>
  </r>
  <r>
    <n v="39"/>
    <x v="1"/>
    <n v="2"/>
    <s v="Sun, Tue"/>
    <b v="1"/>
    <d v="1899-12-30T17:43:00"/>
    <d v="1899-12-30T18:36:00"/>
    <n v="53"/>
    <b v="0"/>
    <b v="1"/>
    <x v="1"/>
    <x v="4"/>
    <n v="30"/>
    <x v="0"/>
    <n v="30"/>
    <x v="3"/>
    <n v="0.15"/>
    <n v="25.5"/>
    <s v="Weekdays only"/>
    <s v="San Francisco, CA"/>
    <n v="37.774900000000002"/>
    <n v="-122.4194"/>
    <d v="2025-04-18T00:00:00"/>
    <n v="3"/>
    <x v="1"/>
    <x v="5"/>
  </r>
  <r>
    <n v="19"/>
    <x v="2"/>
    <n v="1"/>
    <s v="Sun"/>
    <b v="0"/>
    <d v="1899-12-30T11:29:00"/>
    <d v="1899-12-30T14:26:00"/>
    <n v="177"/>
    <b v="1"/>
    <b v="1"/>
    <x v="0"/>
    <x v="0"/>
    <n v="20"/>
    <x v="1"/>
    <n v="15"/>
    <x v="0"/>
    <n v="0.05"/>
    <n v="14.25"/>
    <s v="Off-peak only"/>
    <s v="Long Beach, CA"/>
    <n v="33.770099999999999"/>
    <n v="-118.19370000000001"/>
    <d v="2024-09-01T00:00:00"/>
    <n v="3"/>
    <x v="0"/>
    <x v="41"/>
  </r>
  <r>
    <n v="48"/>
    <x v="3"/>
    <n v="2"/>
    <s v="Thu, Wed"/>
    <b v="1"/>
    <d v="1899-12-30T15:12:00"/>
    <d v="1899-12-30T17:17:00"/>
    <n v="125"/>
    <b v="1"/>
    <b v="0"/>
    <x v="0"/>
    <x v="1"/>
    <n v="70"/>
    <x v="2"/>
    <n v="63"/>
    <x v="2"/>
    <n v="0.1"/>
    <n v="56.7"/>
    <s v="All hours + Priority access"/>
    <s v="Los Angeles, CA"/>
    <n v="34.052199999999999"/>
    <n v="-118.2437"/>
    <d v="2023-02-15T00:00:00"/>
    <n v="0"/>
    <x v="0"/>
    <x v="26"/>
  </r>
  <r>
    <n v="37"/>
    <x v="0"/>
    <n v="3"/>
    <s v="Sun, Thu, Wed"/>
    <b v="1"/>
    <d v="1899-12-30T10:37:00"/>
    <d v="1899-12-30T12:40:00"/>
    <n v="123"/>
    <b v="0"/>
    <b v="1"/>
    <x v="0"/>
    <x v="4"/>
    <n v="50"/>
    <x v="0"/>
    <n v="50"/>
    <x v="3"/>
    <n v="0.15"/>
    <n v="42.5"/>
    <s v="All hours"/>
    <s v="San Jose, CA"/>
    <n v="37.338200000000001"/>
    <n v="-121.88630000000001"/>
    <d v="2023-04-18T00:00:00"/>
    <n v="1"/>
    <x v="0"/>
    <x v="58"/>
  </r>
  <r>
    <n v="39"/>
    <x v="1"/>
    <n v="3"/>
    <s v="Sat, Sun, Tue"/>
    <b v="0"/>
    <d v="1899-12-30T17:06:00"/>
    <d v="1899-12-30T18:10:00"/>
    <n v="64"/>
    <b v="1"/>
    <b v="1"/>
    <x v="0"/>
    <x v="4"/>
    <n v="30"/>
    <x v="0"/>
    <n v="30"/>
    <x v="1"/>
    <n v="0"/>
    <n v="30"/>
    <s v="Weekdays only"/>
    <s v="Bakersfield, CA"/>
    <n v="35.3733"/>
    <n v="-119.0187"/>
    <d v="2024-12-08T00:00:00"/>
    <n v="4"/>
    <x v="1"/>
    <x v="14"/>
  </r>
  <r>
    <n v="13"/>
    <x v="1"/>
    <n v="1"/>
    <s v="Fri"/>
    <b v="0"/>
    <d v="1899-12-30T16:10:00"/>
    <d v="1899-12-30T16:40:00"/>
    <n v="30"/>
    <b v="1"/>
    <b v="0"/>
    <x v="0"/>
    <x v="4"/>
    <n v="30"/>
    <x v="1"/>
    <n v="22.5"/>
    <x v="0"/>
    <n v="0.05"/>
    <n v="21.375"/>
    <s v="Weekdays only"/>
    <s v="San Diego, CA"/>
    <n v="32.715699999999998"/>
    <n v="-117.1611"/>
    <d v="2024-11-12T00:00:00"/>
    <n v="0"/>
    <x v="1"/>
    <x v="12"/>
  </r>
  <r>
    <n v="48"/>
    <x v="0"/>
    <n v="3"/>
    <s v="Mon, Sat, Tue"/>
    <b v="0"/>
    <d v="1899-12-30T19:44:00"/>
    <d v="1899-12-30T20:51:00"/>
    <n v="67"/>
    <b v="1"/>
    <b v="0"/>
    <x v="0"/>
    <x v="4"/>
    <n v="50"/>
    <x v="0"/>
    <n v="50"/>
    <x v="2"/>
    <n v="0.1"/>
    <n v="45"/>
    <s v="All hours"/>
    <s v="Oakland, CA"/>
    <n v="37.804400000000001"/>
    <n v="-122.27119999999999"/>
    <d v="2024-05-24T00:00:00"/>
    <n v="0"/>
    <x v="0"/>
    <x v="0"/>
  </r>
  <r>
    <n v="33"/>
    <x v="1"/>
    <n v="3"/>
    <s v="Fri, Sat, Sun"/>
    <b v="0"/>
    <d v="1899-12-30T08:47:00"/>
    <d v="1899-12-30T09:52:00"/>
    <n v="65"/>
    <b v="0"/>
    <b v="0"/>
    <x v="1"/>
    <x v="2"/>
    <n v="30"/>
    <x v="0"/>
    <n v="30"/>
    <x v="0"/>
    <n v="0.05"/>
    <n v="28.5"/>
    <s v="Weekdays only"/>
    <s v="Fresno, CA"/>
    <n v="36.7378"/>
    <n v="-119.7871"/>
    <d v="2024-01-23T00:00:00"/>
    <n v="0"/>
    <x v="1"/>
    <x v="31"/>
  </r>
  <r>
    <n v="39"/>
    <x v="0"/>
    <n v="2"/>
    <s v="Tue, Wed"/>
    <b v="1"/>
    <d v="1899-12-30T11:18:00"/>
    <d v="1899-12-30T13:28:00"/>
    <n v="130"/>
    <b v="1"/>
    <b v="1"/>
    <x v="0"/>
    <x v="4"/>
    <n v="50"/>
    <x v="1"/>
    <n v="37.5"/>
    <x v="2"/>
    <n v="0.1"/>
    <n v="33.75"/>
    <s v="All hours"/>
    <s v="Fresno, CA"/>
    <n v="36.7378"/>
    <n v="-119.7871"/>
    <d v="2023-09-03T00:00:00"/>
    <n v="5"/>
    <x v="1"/>
    <x v="46"/>
  </r>
  <r>
    <n v="15"/>
    <x v="3"/>
    <n v="3"/>
    <s v="Mon, Sat, Sun"/>
    <b v="0"/>
    <d v="1899-12-30T17:29:00"/>
    <d v="1899-12-30T18:03:00"/>
    <n v="34"/>
    <b v="0"/>
    <b v="0"/>
    <x v="1"/>
    <x v="0"/>
    <n v="70"/>
    <x v="1"/>
    <n v="52.5"/>
    <x v="1"/>
    <n v="0"/>
    <n v="52.5"/>
    <s v="All hours + Priority access"/>
    <s v="Bakersfield, CA"/>
    <n v="35.3733"/>
    <n v="-119.0187"/>
    <d v="2024-05-26T00:00:00"/>
    <n v="0"/>
    <x v="0"/>
    <x v="0"/>
  </r>
  <r>
    <n v="38"/>
    <x v="0"/>
    <n v="1"/>
    <s v="Fri"/>
    <b v="1"/>
    <d v="1899-12-30T18:29:00"/>
    <d v="1899-12-30T20:58:00"/>
    <n v="149"/>
    <b v="0"/>
    <b v="0"/>
    <x v="1"/>
    <x v="0"/>
    <n v="50"/>
    <x v="1"/>
    <n v="37.5"/>
    <x v="0"/>
    <n v="0.05"/>
    <n v="35.625"/>
    <s v="All hours"/>
    <s v="Anaheim, CA"/>
    <n v="33.836599999999997"/>
    <n v="-117.9143"/>
    <d v="2024-02-16T00:00:00"/>
    <n v="0"/>
    <x v="0"/>
    <x v="21"/>
  </r>
  <r>
    <n v="44"/>
    <x v="1"/>
    <n v="2"/>
    <s v="Thu, Tue"/>
    <b v="0"/>
    <d v="1899-12-30T12:01:00"/>
    <d v="1899-12-30T14:07:00"/>
    <n v="126"/>
    <b v="0"/>
    <b v="0"/>
    <x v="1"/>
    <x v="4"/>
    <n v="30"/>
    <x v="1"/>
    <n v="22.5"/>
    <x v="1"/>
    <n v="0"/>
    <n v="22.5"/>
    <s v="Weekdays only"/>
    <s v="San Francisco, CA"/>
    <n v="37.774900000000002"/>
    <n v="-122.4194"/>
    <d v="2023-04-18T00:00:00"/>
    <n v="0"/>
    <x v="0"/>
    <x v="58"/>
  </r>
  <r>
    <n v="49"/>
    <x v="2"/>
    <n v="1"/>
    <s v="Fri"/>
    <b v="1"/>
    <d v="1899-12-30T15:17:00"/>
    <d v="1899-12-30T17:00:00"/>
    <n v="103"/>
    <b v="1"/>
    <b v="0"/>
    <x v="0"/>
    <x v="1"/>
    <n v="20"/>
    <x v="0"/>
    <n v="20"/>
    <x v="0"/>
    <n v="0.05"/>
    <n v="19"/>
    <s v="Off-peak only"/>
    <s v="San Francisco, CA"/>
    <n v="37.774900000000002"/>
    <n v="-122.4194"/>
    <d v="2025-05-14T00:00:00"/>
    <n v="0"/>
    <x v="1"/>
    <x v="24"/>
  </r>
  <r>
    <n v="23"/>
    <x v="2"/>
    <n v="2"/>
    <s v="Fri, Tue"/>
    <b v="0"/>
    <d v="1899-12-30T19:04:00"/>
    <d v="1899-12-30T19:56:00"/>
    <n v="52"/>
    <b v="1"/>
    <b v="0"/>
    <x v="1"/>
    <x v="4"/>
    <n v="20"/>
    <x v="0"/>
    <n v="20"/>
    <x v="0"/>
    <n v="0.05"/>
    <n v="19"/>
    <s v="Off-peak only"/>
    <s v="Bakersfield, CA"/>
    <n v="35.3733"/>
    <n v="-119.0187"/>
    <d v="2024-09-27T00:00:00"/>
    <n v="0"/>
    <x v="1"/>
    <x v="33"/>
  </r>
  <r>
    <n v="35"/>
    <x v="3"/>
    <n v="3"/>
    <s v="Fri, Mon, Sun"/>
    <b v="1"/>
    <d v="1899-12-30T15:00:00"/>
    <d v="1899-12-30T17:29:00"/>
    <n v="149"/>
    <b v="1"/>
    <b v="0"/>
    <x v="1"/>
    <x v="0"/>
    <n v="70"/>
    <x v="1"/>
    <n v="52.5"/>
    <x v="1"/>
    <n v="0"/>
    <n v="52.5"/>
    <s v="All hours + Priority access"/>
    <s v="Oakland, CA"/>
    <n v="37.804400000000001"/>
    <n v="-122.27119999999999"/>
    <d v="2023-05-25T00:00:00"/>
    <n v="0"/>
    <x v="0"/>
    <x v="8"/>
  </r>
  <r>
    <n v="18"/>
    <x v="1"/>
    <n v="4"/>
    <s v="Fri, Mon, Sat, Thu"/>
    <b v="0"/>
    <d v="1899-12-30T09:42:00"/>
    <d v="1899-12-30T10:46:00"/>
    <n v="64"/>
    <b v="0"/>
    <b v="1"/>
    <x v="1"/>
    <x v="0"/>
    <n v="30"/>
    <x v="0"/>
    <n v="30"/>
    <x v="3"/>
    <n v="0.15"/>
    <n v="25.5"/>
    <s v="Weekdays only"/>
    <s v="Long Beach, CA"/>
    <n v="33.770099999999999"/>
    <n v="-118.19370000000001"/>
    <d v="2022-11-12T00:00:00"/>
    <n v="8"/>
    <x v="1"/>
    <x v="37"/>
  </r>
  <r>
    <n v="23"/>
    <x v="2"/>
    <n v="2"/>
    <s v="Fri, Tue"/>
    <b v="0"/>
    <d v="1899-12-30T19:11:00"/>
    <d v="1899-12-30T20:19:00"/>
    <n v="68"/>
    <b v="1"/>
    <b v="1"/>
    <x v="1"/>
    <x v="2"/>
    <n v="20"/>
    <x v="2"/>
    <n v="18"/>
    <x v="0"/>
    <n v="0.05"/>
    <n v="17.100000000000001"/>
    <s v="Off-peak only"/>
    <s v="Oakland, CA"/>
    <n v="37.804400000000001"/>
    <n v="-122.27119999999999"/>
    <d v="2023-12-26T00:00:00"/>
    <n v="2"/>
    <x v="1"/>
    <x v="23"/>
  </r>
  <r>
    <n v="14"/>
    <x v="0"/>
    <n v="5"/>
    <s v="Fri, Mon, Sat, Sun, Wed"/>
    <b v="1"/>
    <d v="1899-12-30T12:54:00"/>
    <d v="1899-12-30T15:10:00"/>
    <n v="136"/>
    <b v="1"/>
    <b v="1"/>
    <x v="1"/>
    <x v="0"/>
    <n v="50"/>
    <x v="1"/>
    <n v="37.5"/>
    <x v="2"/>
    <n v="0.1"/>
    <n v="33.75"/>
    <s v="All hours"/>
    <s v="Fresno, CA"/>
    <n v="36.7378"/>
    <n v="-119.7871"/>
    <d v="2023-12-04T00:00:00"/>
    <n v="2"/>
    <x v="0"/>
    <x v="16"/>
  </r>
  <r>
    <n v="15"/>
    <x v="3"/>
    <n v="3"/>
    <s v="Fri, Sat, Sun"/>
    <b v="1"/>
    <d v="1899-12-30T18:06:00"/>
    <d v="1899-12-30T20:42:00"/>
    <n v="156"/>
    <b v="0"/>
    <b v="1"/>
    <x v="1"/>
    <x v="0"/>
    <n v="70"/>
    <x v="1"/>
    <n v="52.5"/>
    <x v="0"/>
    <n v="0.05"/>
    <n v="49.875"/>
    <s v="All hours + Priority access"/>
    <s v="Oakland, CA"/>
    <n v="37.804400000000001"/>
    <n v="-122.27119999999999"/>
    <d v="2025-02-28T00:00:00"/>
    <n v="3"/>
    <x v="0"/>
    <x v="45"/>
  </r>
  <r>
    <n v="27"/>
    <x v="1"/>
    <n v="5"/>
    <s v="Fri, Mon, Sun, Tue, Wed"/>
    <b v="0"/>
    <d v="1899-12-30T18:22:00"/>
    <d v="1899-12-30T19:04:00"/>
    <n v="42"/>
    <b v="0"/>
    <b v="0"/>
    <x v="0"/>
    <x v="1"/>
    <n v="30"/>
    <x v="1"/>
    <n v="22.5"/>
    <x v="1"/>
    <n v="0"/>
    <n v="22.5"/>
    <s v="Weekdays only"/>
    <s v="Long Beach, CA"/>
    <n v="33.770099999999999"/>
    <n v="-118.19370000000001"/>
    <d v="2024-03-03T00:00:00"/>
    <n v="0"/>
    <x v="1"/>
    <x v="29"/>
  </r>
  <r>
    <n v="34"/>
    <x v="0"/>
    <n v="3"/>
    <s v="Fri, Thu, Tue"/>
    <b v="0"/>
    <d v="1899-12-30T15:41:00"/>
    <d v="1899-12-30T17:04:00"/>
    <n v="83"/>
    <b v="1"/>
    <b v="1"/>
    <x v="0"/>
    <x v="4"/>
    <n v="50"/>
    <x v="0"/>
    <n v="50"/>
    <x v="0"/>
    <n v="0.05"/>
    <n v="47.5"/>
    <s v="All hours"/>
    <s v="San Diego, CA"/>
    <n v="32.715699999999998"/>
    <n v="-117.1611"/>
    <d v="2023-12-03T00:00:00"/>
    <n v="8"/>
    <x v="0"/>
    <x v="16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4-10-07T00:00:00"/>
    <n v="8"/>
    <x v="0"/>
    <x v="51"/>
  </r>
  <r>
    <n v="15"/>
    <x v="1"/>
    <n v="2"/>
    <s v="Fri, Mon"/>
    <b v="0"/>
    <d v="1899-12-30T13:37:00"/>
    <d v="1899-12-30T14:50:00"/>
    <n v="73"/>
    <b v="1"/>
    <b v="1"/>
    <x v="1"/>
    <x v="4"/>
    <n v="30"/>
    <x v="1"/>
    <n v="22.5"/>
    <x v="0"/>
    <n v="0.05"/>
    <n v="21.375"/>
    <s v="Weekdays only"/>
    <s v="San Diego, CA"/>
    <n v="32.715699999999998"/>
    <n v="-117.1611"/>
    <d v="2024-09-09T00:00:00"/>
    <n v="4"/>
    <x v="1"/>
    <x v="41"/>
  </r>
  <r>
    <n v="45"/>
    <x v="3"/>
    <n v="4"/>
    <s v="Sat, Sun, Thu, Tue"/>
    <b v="0"/>
    <d v="1899-12-30T11:19:00"/>
    <d v="1899-12-30T12:16:00"/>
    <n v="57"/>
    <b v="0"/>
    <b v="1"/>
    <x v="1"/>
    <x v="4"/>
    <n v="70"/>
    <x v="0"/>
    <n v="70"/>
    <x v="1"/>
    <n v="0"/>
    <n v="70"/>
    <s v="All hours + Priority access"/>
    <s v="Fresno, CA"/>
    <n v="36.7378"/>
    <n v="-119.7871"/>
    <d v="2024-05-17T00:00:00"/>
    <n v="7"/>
    <x v="1"/>
    <x v="0"/>
  </r>
  <r>
    <n v="40"/>
    <x v="0"/>
    <n v="2"/>
    <s v="Sun, Thu"/>
    <b v="0"/>
    <d v="1899-12-30T11:37:00"/>
    <d v="1899-12-30T14:23:00"/>
    <n v="166"/>
    <b v="0"/>
    <b v="1"/>
    <x v="1"/>
    <x v="0"/>
    <n v="50"/>
    <x v="0"/>
    <n v="50"/>
    <x v="1"/>
    <n v="0"/>
    <n v="50"/>
    <s v="All hours"/>
    <s v="San Jose, CA"/>
    <n v="37.338200000000001"/>
    <n v="-121.88630000000001"/>
    <d v="2025-06-01T00:00:00"/>
    <n v="7"/>
    <x v="0"/>
    <x v="9"/>
  </r>
  <r>
    <n v="29"/>
    <x v="0"/>
    <n v="3"/>
    <s v="Fri, Sat, Thu"/>
    <b v="1"/>
    <d v="1899-12-30T13:02:00"/>
    <d v="1899-12-30T14:08:00"/>
    <n v="66"/>
    <b v="0"/>
    <b v="0"/>
    <x v="1"/>
    <x v="1"/>
    <n v="50"/>
    <x v="1"/>
    <n v="37.5"/>
    <x v="2"/>
    <n v="0.1"/>
    <n v="33.75"/>
    <s v="All hours"/>
    <s v="Fresno, CA"/>
    <n v="36.7378"/>
    <n v="-119.7871"/>
    <d v="2024-07-14T00:00:00"/>
    <n v="0"/>
    <x v="1"/>
    <x v="39"/>
  </r>
  <r>
    <n v="17"/>
    <x v="3"/>
    <n v="2"/>
    <s v="Fri, Sun"/>
    <b v="1"/>
    <d v="1899-12-30T20:55:00"/>
    <d v="1899-12-30T22:18:00"/>
    <n v="83"/>
    <b v="1"/>
    <b v="0"/>
    <x v="0"/>
    <x v="0"/>
    <n v="70"/>
    <x v="2"/>
    <n v="63"/>
    <x v="3"/>
    <n v="0.15"/>
    <n v="53.55"/>
    <s v="All hours + Priority access"/>
    <s v="Sacramento, CA"/>
    <n v="38.581600000000002"/>
    <n v="-121.4944"/>
    <d v="2024-11-09T00:00:00"/>
    <n v="0"/>
    <x v="0"/>
    <x v="12"/>
  </r>
  <r>
    <n v="47"/>
    <x v="0"/>
    <n v="2"/>
    <s v="Sun, Tue"/>
    <b v="1"/>
    <d v="1899-12-30T15:09:00"/>
    <d v="1899-12-30T16:18:00"/>
    <n v="69"/>
    <b v="1"/>
    <b v="1"/>
    <x v="1"/>
    <x v="2"/>
    <n v="50"/>
    <x v="1"/>
    <n v="37.5"/>
    <x v="0"/>
    <n v="0.05"/>
    <n v="35.625"/>
    <s v="All hours"/>
    <s v="Los Angeles, CA"/>
    <n v="34.052199999999999"/>
    <n v="-118.2437"/>
    <d v="2024-07-09T00:00:00"/>
    <n v="6"/>
    <x v="0"/>
    <x v="39"/>
  </r>
  <r>
    <n v="29"/>
    <x v="1"/>
    <n v="1"/>
    <s v="Wed"/>
    <b v="1"/>
    <d v="1899-12-30T19:10:00"/>
    <d v="1899-12-30T21:32:00"/>
    <n v="142"/>
    <b v="1"/>
    <b v="1"/>
    <x v="0"/>
    <x v="0"/>
    <n v="30"/>
    <x v="2"/>
    <n v="27"/>
    <x v="2"/>
    <n v="0.1"/>
    <n v="24.3"/>
    <s v="Weekdays only"/>
    <s v="Sacramento, CA"/>
    <n v="38.581600000000002"/>
    <n v="-121.4944"/>
    <d v="2025-02-15T00:00:00"/>
    <n v="1"/>
    <x v="0"/>
    <x v="30"/>
  </r>
  <r>
    <n v="39"/>
    <x v="1"/>
    <n v="4"/>
    <s v="Sun, Thu, Tue, Wed"/>
    <b v="1"/>
    <d v="1899-12-30T13:35:00"/>
    <d v="1899-12-30T14:37:00"/>
    <n v="62"/>
    <b v="1"/>
    <b v="1"/>
    <x v="1"/>
    <x v="0"/>
    <n v="30"/>
    <x v="0"/>
    <n v="30"/>
    <x v="2"/>
    <n v="0.1"/>
    <n v="27"/>
    <s v="Weekdays only"/>
    <s v="Oakland, CA"/>
    <n v="37.804400000000001"/>
    <n v="-122.27119999999999"/>
    <d v="2022-11-17T00:00:00"/>
    <n v="4"/>
    <x v="1"/>
    <x v="37"/>
  </r>
  <r>
    <n v="23"/>
    <x v="1"/>
    <n v="1"/>
    <s v="Wed"/>
    <b v="1"/>
    <d v="1899-12-30T19:00:00"/>
    <d v="1899-12-30T19:49:00"/>
    <n v="49"/>
    <b v="1"/>
    <b v="0"/>
    <x v="1"/>
    <x v="4"/>
    <n v="30"/>
    <x v="0"/>
    <n v="30"/>
    <x v="0"/>
    <n v="0.05"/>
    <n v="28.5"/>
    <s v="Weekdays only"/>
    <s v="Bakersfield, CA"/>
    <n v="35.3733"/>
    <n v="-119.0187"/>
    <d v="2023-09-29T00:00:00"/>
    <n v="0"/>
    <x v="1"/>
    <x v="3"/>
  </r>
  <r>
    <n v="22"/>
    <x v="0"/>
    <n v="3"/>
    <s v="Sat, Sun, Wed"/>
    <b v="1"/>
    <d v="1899-12-30T17:57:00"/>
    <d v="1899-12-30T19:46:00"/>
    <n v="109"/>
    <b v="0"/>
    <b v="1"/>
    <x v="0"/>
    <x v="0"/>
    <n v="50"/>
    <x v="0"/>
    <n v="50"/>
    <x v="0"/>
    <n v="0.05"/>
    <n v="47.5"/>
    <s v="All hours"/>
    <s v="Sacramento, CA"/>
    <n v="38.581600000000002"/>
    <n v="-121.4944"/>
    <d v="2023-06-30T00:00:00"/>
    <n v="4"/>
    <x v="0"/>
    <x v="56"/>
  </r>
  <r>
    <n v="14"/>
    <x v="3"/>
    <n v="2"/>
    <s v="Sat, Sun"/>
    <b v="1"/>
    <d v="1899-12-30T14:18:00"/>
    <d v="1899-12-30T15:13:00"/>
    <n v="55"/>
    <b v="1"/>
    <b v="0"/>
    <x v="1"/>
    <x v="4"/>
    <n v="70"/>
    <x v="1"/>
    <n v="52.5"/>
    <x v="0"/>
    <n v="0.05"/>
    <n v="49.875"/>
    <s v="All hours + Priority access"/>
    <s v="San Francisco, CA"/>
    <n v="37.774900000000002"/>
    <n v="-122.4194"/>
    <d v="2023-03-05T00:00:00"/>
    <n v="0"/>
    <x v="0"/>
    <x v="22"/>
  </r>
  <r>
    <n v="49"/>
    <x v="0"/>
    <n v="3"/>
    <s v="Fri, Sun, Thu"/>
    <b v="0"/>
    <d v="1899-12-30T17:16:00"/>
    <d v="1899-12-30T19:52:00"/>
    <n v="156"/>
    <b v="1"/>
    <b v="0"/>
    <x v="0"/>
    <x v="2"/>
    <n v="50"/>
    <x v="0"/>
    <n v="50"/>
    <x v="1"/>
    <n v="0"/>
    <n v="50"/>
    <s v="All hours"/>
    <s v="Bakersfield, CA"/>
    <n v="35.3733"/>
    <n v="-119.0187"/>
    <d v="2024-01-09T00:00:00"/>
    <n v="0"/>
    <x v="1"/>
    <x v="31"/>
  </r>
  <r>
    <n v="14"/>
    <x v="1"/>
    <n v="3"/>
    <s v="Sat, Sun, Wed"/>
    <b v="0"/>
    <d v="1899-12-30T10:11:00"/>
    <d v="1899-12-30T11:56:00"/>
    <n v="105"/>
    <b v="1"/>
    <b v="0"/>
    <x v="1"/>
    <x v="0"/>
    <n v="30"/>
    <x v="0"/>
    <n v="30"/>
    <x v="1"/>
    <n v="0"/>
    <n v="30"/>
    <s v="Weekdays only"/>
    <s v="San Francisco, CA"/>
    <n v="37.774900000000002"/>
    <n v="-122.4194"/>
    <d v="2025-03-22T00:00:00"/>
    <n v="0"/>
    <x v="0"/>
    <x v="27"/>
  </r>
  <r>
    <n v="48"/>
    <x v="0"/>
    <n v="3"/>
    <s v="Fri, Sat, Sun"/>
    <b v="1"/>
    <d v="1899-12-30T16:01:00"/>
    <d v="1899-12-30T18:16:00"/>
    <n v="135"/>
    <b v="0"/>
    <b v="1"/>
    <x v="1"/>
    <x v="4"/>
    <n v="50"/>
    <x v="0"/>
    <n v="50"/>
    <x v="1"/>
    <n v="0"/>
    <n v="50"/>
    <s v="All hours"/>
    <s v="San Jose, CA"/>
    <n v="37.338200000000001"/>
    <n v="-121.88630000000001"/>
    <d v="2023-11-28T00:00:00"/>
    <n v="1"/>
    <x v="0"/>
    <x v="35"/>
  </r>
  <r>
    <n v="36"/>
    <x v="1"/>
    <n v="3"/>
    <s v="Fri, Thu, Tue"/>
    <b v="1"/>
    <d v="1899-12-30T17:33:00"/>
    <d v="1899-12-30T19:16:00"/>
    <n v="103"/>
    <b v="0"/>
    <b v="0"/>
    <x v="1"/>
    <x v="4"/>
    <n v="30"/>
    <x v="1"/>
    <n v="22.5"/>
    <x v="0"/>
    <n v="0.05"/>
    <n v="21.375"/>
    <s v="Weekdays only"/>
    <s v="Bakersfield, CA"/>
    <n v="35.3733"/>
    <n v="-119.0187"/>
    <d v="2023-10-07T00:00:00"/>
    <n v="0"/>
    <x v="1"/>
    <x v="3"/>
  </r>
  <r>
    <n v="19"/>
    <x v="0"/>
    <n v="3"/>
    <s v="Sat, Sun, Thu"/>
    <b v="0"/>
    <d v="1899-12-30T17:43:00"/>
    <d v="1899-12-30T18:34:00"/>
    <n v="51"/>
    <b v="0"/>
    <b v="1"/>
    <x v="1"/>
    <x v="4"/>
    <n v="50"/>
    <x v="1"/>
    <n v="37.5"/>
    <x v="0"/>
    <n v="0.05"/>
    <n v="35.625"/>
    <s v="All hours"/>
    <s v="San Jose, CA"/>
    <n v="37.338200000000001"/>
    <n v="-121.88630000000001"/>
    <d v="2023-04-21T00:00:00"/>
    <n v="8"/>
    <x v="0"/>
    <x v="58"/>
  </r>
  <r>
    <n v="16"/>
    <x v="3"/>
    <n v="3"/>
    <s v="Sat, Sun, Wed"/>
    <b v="1"/>
    <d v="1899-12-30T14:06:00"/>
    <d v="1899-12-30T16:15:00"/>
    <n v="129"/>
    <b v="1"/>
    <b v="0"/>
    <x v="0"/>
    <x v="2"/>
    <n v="70"/>
    <x v="2"/>
    <n v="63"/>
    <x v="3"/>
    <n v="0.15"/>
    <n v="53.55"/>
    <s v="All hours + Priority access"/>
    <s v="Anaheim, CA"/>
    <n v="33.836599999999997"/>
    <n v="-117.9143"/>
    <d v="2024-03-20T00:00:00"/>
    <n v="0"/>
    <x v="0"/>
    <x v="17"/>
  </r>
  <r>
    <n v="12"/>
    <x v="0"/>
    <n v="2"/>
    <s v="Sun, Thu"/>
    <b v="1"/>
    <d v="1899-12-30T10:42:00"/>
    <d v="1899-12-30T12:12:00"/>
    <n v="90"/>
    <b v="0"/>
    <b v="0"/>
    <x v="0"/>
    <x v="2"/>
    <n v="50"/>
    <x v="1"/>
    <n v="37.5"/>
    <x v="2"/>
    <n v="0.1"/>
    <n v="33.75"/>
    <s v="All hours"/>
    <s v="San Diego, CA"/>
    <n v="32.715699999999998"/>
    <n v="-117.1611"/>
    <d v="2025-02-07T00:00:00"/>
    <n v="0"/>
    <x v="0"/>
    <x v="30"/>
  </r>
  <r>
    <n v="42"/>
    <x v="1"/>
    <n v="5"/>
    <s v="Fri, Mon, Sat, Thu, Tue"/>
    <b v="0"/>
    <d v="1899-12-30T17:30:00"/>
    <d v="1899-12-30T20:15:00"/>
    <n v="165"/>
    <b v="1"/>
    <b v="0"/>
    <x v="1"/>
    <x v="4"/>
    <n v="30"/>
    <x v="0"/>
    <n v="30"/>
    <x v="0"/>
    <n v="0.05"/>
    <n v="28.5"/>
    <s v="Weekdays only"/>
    <s v="Fresno, CA"/>
    <n v="36.7378"/>
    <n v="-119.7871"/>
    <d v="2024-08-24T00:00:00"/>
    <n v="0"/>
    <x v="0"/>
    <x v="18"/>
  </r>
  <r>
    <n v="43"/>
    <x v="1"/>
    <n v="1"/>
    <s v="Sat"/>
    <b v="0"/>
    <d v="1899-12-30T19:43:00"/>
    <d v="1899-12-30T20:24:00"/>
    <n v="41"/>
    <b v="0"/>
    <b v="1"/>
    <x v="1"/>
    <x v="4"/>
    <n v="30"/>
    <x v="0"/>
    <n v="30"/>
    <x v="2"/>
    <n v="0.1"/>
    <n v="27"/>
    <s v="Weekdays only"/>
    <s v="Los Angeles, CA"/>
    <n v="34.052199999999999"/>
    <n v="-118.2437"/>
    <d v="2024-06-01T00:00:00"/>
    <n v="7"/>
    <x v="0"/>
    <x v="20"/>
  </r>
  <r>
    <n v="45"/>
    <x v="0"/>
    <n v="3"/>
    <s v="Mon, Sun, Wed"/>
    <b v="0"/>
    <d v="1899-12-30T13:42:00"/>
    <d v="1899-12-30T15:54:00"/>
    <n v="132"/>
    <b v="0"/>
    <b v="0"/>
    <x v="0"/>
    <x v="1"/>
    <n v="50"/>
    <x v="0"/>
    <n v="50"/>
    <x v="1"/>
    <n v="0"/>
    <n v="50"/>
    <s v="All hours"/>
    <s v="Anaheim, CA"/>
    <n v="33.836599999999997"/>
    <n v="-117.9143"/>
    <d v="2023-08-05T00:00:00"/>
    <n v="0"/>
    <x v="0"/>
    <x v="47"/>
  </r>
  <r>
    <n v="23"/>
    <x v="2"/>
    <n v="3"/>
    <s v="Fri, Sat, Thu"/>
    <b v="1"/>
    <d v="1899-12-30T13:06:00"/>
    <d v="1899-12-30T14:35:00"/>
    <n v="89"/>
    <b v="1"/>
    <b v="1"/>
    <x v="0"/>
    <x v="0"/>
    <n v="20"/>
    <x v="1"/>
    <n v="15"/>
    <x v="2"/>
    <n v="0.1"/>
    <n v="13.5"/>
    <s v="Off-peak only"/>
    <s v="San Francisco, CA"/>
    <n v="37.774900000000002"/>
    <n v="-122.4194"/>
    <d v="2023-10-24T00:00:00"/>
    <n v="7"/>
    <x v="1"/>
    <x v="59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4-06-08T00:00:00"/>
    <n v="0"/>
    <x v="1"/>
    <x v="20"/>
  </r>
  <r>
    <n v="21"/>
    <x v="0"/>
    <n v="3"/>
    <s v="Fri, Sat, Tue"/>
    <b v="0"/>
    <d v="1899-12-30T09:22:00"/>
    <d v="1899-12-30T10:52:00"/>
    <n v="90"/>
    <b v="1"/>
    <b v="1"/>
    <x v="0"/>
    <x v="0"/>
    <n v="50"/>
    <x v="0"/>
    <n v="50"/>
    <x v="1"/>
    <n v="0"/>
    <n v="50"/>
    <s v="All hours"/>
    <s v="Bakersfield, CA"/>
    <n v="35.3733"/>
    <n v="-119.0187"/>
    <d v="2022-08-07T00:00:00"/>
    <n v="8"/>
    <x v="1"/>
    <x v="43"/>
  </r>
  <r>
    <n v="24"/>
    <x v="2"/>
    <n v="3"/>
    <s v="Sat, Thu, Wed"/>
    <b v="1"/>
    <d v="1899-12-30T12:00:00"/>
    <d v="1899-12-30T14:08:00"/>
    <n v="128"/>
    <b v="1"/>
    <b v="0"/>
    <x v="1"/>
    <x v="3"/>
    <n v="20"/>
    <x v="0"/>
    <n v="20"/>
    <x v="2"/>
    <n v="0.1"/>
    <n v="18"/>
    <s v="Off-peak only"/>
    <s v="San Francisco, CA"/>
    <n v="37.774900000000002"/>
    <n v="-122.4194"/>
    <d v="2023-09-16T00:00:00"/>
    <n v="0"/>
    <x v="1"/>
    <x v="7"/>
  </r>
  <r>
    <n v="28"/>
    <x v="1"/>
    <n v="5"/>
    <s v="Fri, Mon, Sat, Tue, Wed"/>
    <b v="0"/>
    <d v="1899-12-30T14:53:00"/>
    <d v="1899-12-30T16:53:00"/>
    <n v="120"/>
    <b v="1"/>
    <b v="0"/>
    <x v="0"/>
    <x v="4"/>
    <n v="30"/>
    <x v="0"/>
    <n v="30"/>
    <x v="1"/>
    <n v="0"/>
    <n v="30"/>
    <s v="Weekdays only"/>
    <s v="Anaheim, CA"/>
    <n v="33.836599999999997"/>
    <n v="-117.9143"/>
    <d v="2024-10-13T00:00:00"/>
    <n v="0"/>
    <x v="0"/>
    <x v="51"/>
  </r>
  <r>
    <n v="24"/>
    <x v="0"/>
    <n v="1"/>
    <s v="Fri"/>
    <b v="1"/>
    <d v="1899-12-30T15:05:00"/>
    <d v="1899-12-30T17:23:00"/>
    <n v="138"/>
    <b v="0"/>
    <b v="0"/>
    <x v="0"/>
    <x v="4"/>
    <n v="50"/>
    <x v="1"/>
    <n v="37.5"/>
    <x v="1"/>
    <n v="0"/>
    <n v="37.5"/>
    <s v="All hours"/>
    <s v="Long Beach, CA"/>
    <n v="33.770099999999999"/>
    <n v="-118.19370000000001"/>
    <d v="2025-03-06T00:00:00"/>
    <n v="0"/>
    <x v="0"/>
    <x v="45"/>
  </r>
  <r>
    <n v="45"/>
    <x v="1"/>
    <n v="2"/>
    <s v="Sat, Tue"/>
    <b v="1"/>
    <d v="1899-12-30T15:59:00"/>
    <d v="1899-12-30T18:46:00"/>
    <n v="167"/>
    <b v="0"/>
    <b v="1"/>
    <x v="1"/>
    <x v="4"/>
    <n v="30"/>
    <x v="0"/>
    <n v="30"/>
    <x v="3"/>
    <n v="0.15"/>
    <n v="25.5"/>
    <s v="Weekdays only"/>
    <s v="San Francisco, CA"/>
    <n v="37.774900000000002"/>
    <n v="-122.4194"/>
    <d v="2025-01-11T00:00:00"/>
    <n v="7"/>
    <x v="1"/>
    <x v="4"/>
  </r>
  <r>
    <n v="20"/>
    <x v="1"/>
    <n v="1"/>
    <s v="Tue"/>
    <b v="0"/>
    <d v="1899-12-30T08:55:00"/>
    <d v="1899-12-30T10:23:00"/>
    <n v="88"/>
    <b v="1"/>
    <b v="1"/>
    <x v="1"/>
    <x v="4"/>
    <n v="30"/>
    <x v="0"/>
    <n v="30"/>
    <x v="1"/>
    <n v="0"/>
    <n v="30"/>
    <s v="Weekdays only"/>
    <s v="San Francisco, CA"/>
    <n v="37.774900000000002"/>
    <n v="-122.4194"/>
    <d v="2024-10-04T00:00:00"/>
    <n v="3"/>
    <x v="0"/>
    <x v="51"/>
  </r>
  <r>
    <n v="44"/>
    <x v="0"/>
    <n v="2"/>
    <s v="Thu, Wed"/>
    <b v="1"/>
    <d v="1899-12-30T08:29:00"/>
    <d v="1899-12-30T09:19:00"/>
    <n v="50"/>
    <b v="0"/>
    <b v="1"/>
    <x v="0"/>
    <x v="0"/>
    <n v="50"/>
    <x v="0"/>
    <n v="50"/>
    <x v="2"/>
    <n v="0.1"/>
    <n v="45"/>
    <s v="All hours"/>
    <s v="Sacramento, CA"/>
    <n v="38.581600000000002"/>
    <n v="-121.4944"/>
    <d v="2025-01-02T00:00:00"/>
    <n v="4"/>
    <x v="0"/>
    <x v="4"/>
  </r>
  <r>
    <n v="37"/>
    <x v="0"/>
    <n v="1"/>
    <s v="Sun"/>
    <b v="1"/>
    <d v="1899-12-30T15:55:00"/>
    <d v="1899-12-30T16:33:00"/>
    <n v="38"/>
    <b v="0"/>
    <b v="0"/>
    <x v="0"/>
    <x v="2"/>
    <n v="50"/>
    <x v="0"/>
    <n v="50"/>
    <x v="1"/>
    <n v="0"/>
    <n v="50"/>
    <s v="All hours"/>
    <s v="San Jose, CA"/>
    <n v="37.338200000000001"/>
    <n v="-121.88630000000001"/>
    <d v="2024-12-06T00:00:00"/>
    <n v="0"/>
    <x v="0"/>
    <x v="14"/>
  </r>
  <r>
    <n v="14"/>
    <x v="0"/>
    <n v="3"/>
    <s v="Sat, Sun, Tue"/>
    <b v="0"/>
    <d v="1899-12-30T14:09:00"/>
    <d v="1899-12-30T16:34:00"/>
    <n v="145"/>
    <b v="0"/>
    <b v="1"/>
    <x v="0"/>
    <x v="0"/>
    <n v="50"/>
    <x v="2"/>
    <n v="45"/>
    <x v="3"/>
    <n v="0.15"/>
    <n v="38.25"/>
    <s v="All hours"/>
    <s v="Bakersfield, CA"/>
    <n v="35.3733"/>
    <n v="-119.0187"/>
    <d v="2024-08-23T00:00:00"/>
    <n v="2"/>
    <x v="0"/>
    <x v="18"/>
  </r>
  <r>
    <n v="20"/>
    <x v="2"/>
    <n v="5"/>
    <s v="Mon, Sat, Sun, Thu, Wed"/>
    <b v="1"/>
    <d v="1899-12-30T13:04:00"/>
    <d v="1899-12-30T13:37:00"/>
    <n v="33"/>
    <b v="1"/>
    <b v="1"/>
    <x v="1"/>
    <x v="1"/>
    <n v="20"/>
    <x v="0"/>
    <n v="20"/>
    <x v="0"/>
    <n v="0.05"/>
    <n v="19"/>
    <s v="Off-peak only"/>
    <s v="Los Angeles, CA"/>
    <n v="34.052199999999999"/>
    <n v="-118.2437"/>
    <d v="2024-12-20T00:00:00"/>
    <n v="1"/>
    <x v="1"/>
    <x v="13"/>
  </r>
  <r>
    <n v="36"/>
    <x v="1"/>
    <n v="3"/>
    <s v="Sat, Thu, Wed"/>
    <b v="0"/>
    <d v="1899-12-30T08:42:00"/>
    <d v="1899-12-30T11:31:00"/>
    <n v="169"/>
    <b v="1"/>
    <b v="1"/>
    <x v="1"/>
    <x v="4"/>
    <n v="30"/>
    <x v="0"/>
    <n v="30"/>
    <x v="1"/>
    <n v="0"/>
    <n v="30"/>
    <s v="Weekdays only"/>
    <s v="San Diego, CA"/>
    <n v="32.715699999999998"/>
    <n v="-117.1611"/>
    <d v="2022-11-10T00:00:00"/>
    <n v="7"/>
    <x v="1"/>
    <x v="37"/>
  </r>
  <r>
    <n v="36"/>
    <x v="1"/>
    <n v="3"/>
    <s v="Sat, Thu, Wed"/>
    <b v="0"/>
    <d v="1899-12-30T08:42:00"/>
    <d v="1899-12-30T11:31:00"/>
    <n v="169"/>
    <b v="1"/>
    <b v="1"/>
    <x v="1"/>
    <x v="4"/>
    <n v="30"/>
    <x v="0"/>
    <n v="30"/>
    <x v="1"/>
    <n v="0"/>
    <n v="30"/>
    <s v="Weekdays only"/>
    <s v="San Diego, CA"/>
    <n v="32.715699999999998"/>
    <n v="-117.1611"/>
    <d v="2025-03-29T00:00:00"/>
    <n v="6"/>
    <x v="1"/>
    <x v="42"/>
  </r>
  <r>
    <n v="29"/>
    <x v="1"/>
    <n v="1"/>
    <s v="Thu"/>
    <b v="1"/>
    <d v="1899-12-30T10:25:00"/>
    <d v="1899-12-30T12:04:00"/>
    <n v="99"/>
    <b v="1"/>
    <b v="1"/>
    <x v="0"/>
    <x v="0"/>
    <n v="30"/>
    <x v="0"/>
    <n v="30"/>
    <x v="1"/>
    <n v="0"/>
    <n v="30"/>
    <s v="Weekdays only"/>
    <s v="Anaheim, CA"/>
    <n v="33.836599999999997"/>
    <n v="-117.9143"/>
    <d v="2023-12-12T00:00:00"/>
    <n v="7"/>
    <x v="1"/>
    <x v="16"/>
  </r>
  <r>
    <n v="29"/>
    <x v="2"/>
    <n v="1"/>
    <s v="Thu"/>
    <b v="0"/>
    <d v="1899-12-30T20:43:00"/>
    <d v="1899-12-30T21:57:00"/>
    <n v="74"/>
    <b v="0"/>
    <b v="1"/>
    <x v="1"/>
    <x v="0"/>
    <n v="20"/>
    <x v="1"/>
    <n v="15"/>
    <x v="0"/>
    <n v="0.05"/>
    <n v="14.25"/>
    <s v="Off-peak only"/>
    <s v="Bakersfield, CA"/>
    <n v="35.3733"/>
    <n v="-119.0187"/>
    <d v="2024-04-11T00:00:00"/>
    <n v="7"/>
    <x v="1"/>
    <x v="52"/>
  </r>
  <r>
    <n v="27"/>
    <x v="1"/>
    <n v="1"/>
    <s v="Mon"/>
    <b v="1"/>
    <d v="1899-12-30T18:22:00"/>
    <d v="1899-12-30T21:20:00"/>
    <n v="178"/>
    <b v="1"/>
    <b v="0"/>
    <x v="1"/>
    <x v="0"/>
    <n v="30"/>
    <x v="1"/>
    <n v="22.5"/>
    <x v="0"/>
    <n v="0.05"/>
    <n v="21.375"/>
    <s v="Weekdays only"/>
    <s v="Los Angeles, CA"/>
    <n v="34.052199999999999"/>
    <n v="-118.2437"/>
    <d v="2022-08-11T00:00:00"/>
    <n v="0"/>
    <x v="1"/>
    <x v="10"/>
  </r>
  <r>
    <n v="33"/>
    <x v="0"/>
    <n v="5"/>
    <s v="Fri, Sat, Sun, Thu, Tue"/>
    <b v="1"/>
    <d v="1899-12-30T12:21:00"/>
    <d v="1899-12-30T14:23:00"/>
    <n v="122"/>
    <b v="1"/>
    <b v="0"/>
    <x v="1"/>
    <x v="4"/>
    <n v="50"/>
    <x v="1"/>
    <n v="37.5"/>
    <x v="1"/>
    <n v="0"/>
    <n v="37.5"/>
    <s v="All hours"/>
    <s v="Los Angeles, CA"/>
    <n v="34.052199999999999"/>
    <n v="-118.2437"/>
    <d v="2025-02-23T00:00:00"/>
    <n v="0"/>
    <x v="0"/>
    <x v="45"/>
  </r>
  <r>
    <n v="44"/>
    <x v="2"/>
    <n v="1"/>
    <s v="Wed"/>
    <b v="0"/>
    <d v="1899-12-30T20:43:00"/>
    <d v="1899-12-30T22:58:00"/>
    <n v="135"/>
    <b v="1"/>
    <b v="0"/>
    <x v="0"/>
    <x v="4"/>
    <n v="20"/>
    <x v="0"/>
    <n v="20"/>
    <x v="1"/>
    <n v="0"/>
    <n v="20"/>
    <s v="Off-peak only"/>
    <s v="Sacramento, CA"/>
    <n v="38.581600000000002"/>
    <n v="-121.4944"/>
    <d v="2024-04-25T00:00:00"/>
    <n v="0"/>
    <x v="1"/>
    <x v="40"/>
  </r>
  <r>
    <n v="14"/>
    <x v="1"/>
    <n v="3"/>
    <s v="Sun, Thu, Tue"/>
    <b v="0"/>
    <d v="1899-12-30T08:29:00"/>
    <d v="1899-12-30T10:35:00"/>
    <n v="126"/>
    <b v="0"/>
    <b v="0"/>
    <x v="0"/>
    <x v="1"/>
    <n v="30"/>
    <x v="0"/>
    <n v="30"/>
    <x v="1"/>
    <n v="0"/>
    <n v="30"/>
    <s v="Weekdays only"/>
    <s v="Anaheim, CA"/>
    <n v="33.836599999999997"/>
    <n v="-117.9143"/>
    <d v="2022-08-25T00:00:00"/>
    <n v="0"/>
    <x v="1"/>
    <x v="10"/>
  </r>
  <r>
    <n v="13"/>
    <x v="0"/>
    <n v="5"/>
    <s v="Fri, Sun, Thu, Tue, Wed"/>
    <b v="0"/>
    <d v="1899-12-30T09:47:00"/>
    <d v="1899-12-30T12:16:00"/>
    <n v="149"/>
    <b v="0"/>
    <b v="1"/>
    <x v="0"/>
    <x v="1"/>
    <n v="50"/>
    <x v="0"/>
    <n v="50"/>
    <x v="1"/>
    <n v="0"/>
    <n v="50"/>
    <s v="All hours"/>
    <s v="Anaheim, CA"/>
    <n v="33.836599999999997"/>
    <n v="-117.9143"/>
    <d v="2022-12-14T00:00:00"/>
    <n v="5"/>
    <x v="1"/>
    <x v="6"/>
  </r>
  <r>
    <n v="33"/>
    <x v="0"/>
    <n v="3"/>
    <s v="Mon, Sat, Thu"/>
    <b v="0"/>
    <d v="1899-12-30T09:46:00"/>
    <d v="1899-12-30T12:17:00"/>
    <n v="151"/>
    <b v="0"/>
    <b v="0"/>
    <x v="0"/>
    <x v="0"/>
    <n v="50"/>
    <x v="2"/>
    <n v="45"/>
    <x v="1"/>
    <n v="0"/>
    <n v="45"/>
    <s v="All hours"/>
    <s v="Bakersfield, CA"/>
    <n v="35.3733"/>
    <n v="-119.0187"/>
    <d v="2023-02-03T00:00:00"/>
    <n v="0"/>
    <x v="1"/>
    <x v="11"/>
  </r>
  <r>
    <n v="19"/>
    <x v="2"/>
    <n v="1"/>
    <s v="Sun"/>
    <b v="0"/>
    <d v="1899-12-30T11:29:00"/>
    <d v="1899-12-30T14:26:00"/>
    <n v="177"/>
    <b v="1"/>
    <b v="1"/>
    <x v="0"/>
    <x v="0"/>
    <n v="20"/>
    <x v="1"/>
    <n v="15"/>
    <x v="0"/>
    <n v="0.05"/>
    <n v="14.25"/>
    <s v="Off-peak only"/>
    <s v="Long Beach, CA"/>
    <n v="33.770099999999999"/>
    <n v="-118.19370000000001"/>
    <d v="2024-09-21T00:00:00"/>
    <n v="3"/>
    <x v="0"/>
    <x v="33"/>
  </r>
  <r>
    <n v="36"/>
    <x v="0"/>
    <n v="1"/>
    <s v="Sat"/>
    <b v="1"/>
    <d v="1899-12-30T11:56:00"/>
    <d v="1899-12-30T12:58:00"/>
    <n v="62"/>
    <b v="1"/>
    <b v="1"/>
    <x v="1"/>
    <x v="4"/>
    <n v="50"/>
    <x v="0"/>
    <n v="50"/>
    <x v="1"/>
    <n v="0"/>
    <n v="50"/>
    <s v="All hours"/>
    <s v="San Diego, CA"/>
    <n v="32.715699999999998"/>
    <n v="-117.1611"/>
    <d v="2024-12-23T00:00:00"/>
    <n v="1"/>
    <x v="0"/>
    <x v="13"/>
  </r>
  <r>
    <n v="36"/>
    <x v="3"/>
    <n v="4"/>
    <s v="Mon, Sun, Thu, Wed"/>
    <b v="0"/>
    <d v="1899-12-30T12:32:00"/>
    <d v="1899-12-30T13:02:00"/>
    <n v="30"/>
    <b v="0"/>
    <b v="0"/>
    <x v="0"/>
    <x v="4"/>
    <n v="70"/>
    <x v="0"/>
    <n v="70"/>
    <x v="3"/>
    <n v="0.15"/>
    <n v="59.5"/>
    <s v="All hours + Priority access"/>
    <s v="Fresno, CA"/>
    <n v="36.7378"/>
    <n v="-119.7871"/>
    <d v="2023-07-11T00:00:00"/>
    <n v="0"/>
    <x v="0"/>
    <x v="56"/>
  </r>
  <r>
    <n v="47"/>
    <x v="0"/>
    <n v="2"/>
    <s v="Sun, Tue"/>
    <b v="1"/>
    <d v="1899-12-30T15:09:00"/>
    <d v="1899-12-30T16:18:00"/>
    <n v="69"/>
    <b v="1"/>
    <b v="1"/>
    <x v="1"/>
    <x v="2"/>
    <n v="50"/>
    <x v="1"/>
    <n v="37.5"/>
    <x v="0"/>
    <n v="0.05"/>
    <n v="35.625"/>
    <s v="All hours"/>
    <s v="Los Angeles, CA"/>
    <n v="34.052199999999999"/>
    <n v="-118.2437"/>
    <d v="2022-10-07T00:00:00"/>
    <n v="5"/>
    <x v="0"/>
    <x v="38"/>
  </r>
  <r>
    <n v="37"/>
    <x v="0"/>
    <n v="3"/>
    <s v="Fri, Sat, Sun"/>
    <b v="0"/>
    <d v="1899-12-30T17:53:00"/>
    <d v="1899-12-30T20:14:00"/>
    <n v="141"/>
    <b v="0"/>
    <b v="0"/>
    <x v="1"/>
    <x v="1"/>
    <n v="50"/>
    <x v="1"/>
    <n v="37.5"/>
    <x v="2"/>
    <n v="0.1"/>
    <n v="33.75"/>
    <s v="All hours"/>
    <s v="Long Beach, CA"/>
    <n v="33.770099999999999"/>
    <n v="-118.19370000000001"/>
    <d v="2023-11-08T00:00:00"/>
    <n v="0"/>
    <x v="0"/>
    <x v="50"/>
  </r>
  <r>
    <n v="36"/>
    <x v="1"/>
    <n v="5"/>
    <s v="Fri, Mon, Sun, Thu, Tue"/>
    <b v="0"/>
    <d v="1899-12-30T20:57:00"/>
    <d v="1899-12-30T22:15:00"/>
    <n v="78"/>
    <b v="1"/>
    <b v="1"/>
    <x v="0"/>
    <x v="1"/>
    <n v="30"/>
    <x v="0"/>
    <n v="30"/>
    <x v="3"/>
    <n v="0.15"/>
    <n v="25.5"/>
    <s v="Weekdays only"/>
    <s v="Sacramento, CA"/>
    <n v="38.581600000000002"/>
    <n v="-121.4944"/>
    <d v="2023-10-23T00:00:00"/>
    <n v="5"/>
    <x v="1"/>
    <x v="59"/>
  </r>
  <r>
    <n v="13"/>
    <x v="1"/>
    <n v="1"/>
    <s v="Fri"/>
    <b v="0"/>
    <d v="1899-12-30T16:10:00"/>
    <d v="1899-12-30T16:40:00"/>
    <n v="30"/>
    <b v="1"/>
    <b v="0"/>
    <x v="0"/>
    <x v="4"/>
    <n v="30"/>
    <x v="1"/>
    <n v="22.5"/>
    <x v="0"/>
    <n v="0.05"/>
    <n v="21.375"/>
    <s v="Weekdays only"/>
    <s v="San Diego, CA"/>
    <n v="32.715699999999998"/>
    <n v="-117.1611"/>
    <d v="2024-08-28T00:00:00"/>
    <n v="0"/>
    <x v="1"/>
    <x v="41"/>
  </r>
  <r>
    <n v="41"/>
    <x v="2"/>
    <n v="4"/>
    <s v="Mon, Sun, Tue, Wed"/>
    <b v="1"/>
    <d v="1899-12-30T10:09:00"/>
    <d v="1899-12-30T10:57:00"/>
    <n v="48"/>
    <b v="1"/>
    <b v="0"/>
    <x v="0"/>
    <x v="4"/>
    <n v="20"/>
    <x v="0"/>
    <n v="20"/>
    <x v="0"/>
    <n v="0.05"/>
    <n v="19"/>
    <s v="Off-peak only"/>
    <s v="Anaheim, CA"/>
    <n v="33.836599999999997"/>
    <n v="-117.9143"/>
    <d v="2023-03-26T00:00:00"/>
    <n v="0"/>
    <x v="1"/>
    <x v="36"/>
  </r>
  <r>
    <n v="30"/>
    <x v="2"/>
    <n v="5"/>
    <s v="Fri, Mon, Sun, Thu, Wed"/>
    <b v="0"/>
    <d v="1899-12-30T17:29:00"/>
    <d v="1899-12-30T18:25:00"/>
    <n v="56"/>
    <b v="0"/>
    <b v="1"/>
    <x v="0"/>
    <x v="1"/>
    <n v="20"/>
    <x v="0"/>
    <n v="20"/>
    <x v="3"/>
    <n v="0.15"/>
    <n v="17"/>
    <s v="Off-peak only"/>
    <s v="Fresno, CA"/>
    <n v="36.7378"/>
    <n v="-119.7871"/>
    <d v="2024-12-05T00:00:00"/>
    <n v="6"/>
    <x v="1"/>
    <x v="14"/>
  </r>
  <r>
    <n v="30"/>
    <x v="3"/>
    <n v="3"/>
    <s v="Fri, Sun, Wed"/>
    <b v="1"/>
    <d v="1899-12-30T13:00:00"/>
    <d v="1899-12-30T15:43:00"/>
    <n v="163"/>
    <b v="1"/>
    <b v="1"/>
    <x v="1"/>
    <x v="2"/>
    <n v="70"/>
    <x v="1"/>
    <n v="52.5"/>
    <x v="0"/>
    <n v="0.05"/>
    <n v="49.875"/>
    <s v="All hours + Priority access"/>
    <s v="San Francisco, CA"/>
    <n v="37.774900000000002"/>
    <n v="-122.4194"/>
    <d v="2024-07-13T00:00:00"/>
    <n v="4"/>
    <x v="0"/>
    <x v="39"/>
  </r>
  <r>
    <n v="17"/>
    <x v="0"/>
    <n v="2"/>
    <s v="Fri, Wed"/>
    <b v="1"/>
    <d v="1899-12-30T08:24:00"/>
    <d v="1899-12-30T09:57:00"/>
    <n v="93"/>
    <b v="0"/>
    <b v="0"/>
    <x v="0"/>
    <x v="1"/>
    <n v="50"/>
    <x v="0"/>
    <n v="50"/>
    <x v="1"/>
    <n v="0"/>
    <n v="50"/>
    <s v="All hours"/>
    <s v="Bakersfield, CA"/>
    <n v="35.3733"/>
    <n v="-119.0187"/>
    <d v="2024-03-26T00:00:00"/>
    <n v="0"/>
    <x v="0"/>
    <x v="17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3-12-30T00:00:00"/>
    <n v="0"/>
    <x v="0"/>
    <x v="23"/>
  </r>
  <r>
    <n v="18"/>
    <x v="2"/>
    <n v="2"/>
    <s v="Fri, Tue"/>
    <b v="0"/>
    <d v="1899-12-30T18:15:00"/>
    <d v="1899-12-30T20:59:00"/>
    <n v="164"/>
    <b v="0"/>
    <b v="0"/>
    <x v="0"/>
    <x v="1"/>
    <n v="20"/>
    <x v="1"/>
    <n v="15"/>
    <x v="3"/>
    <n v="0.15"/>
    <n v="12.75"/>
    <s v="Off-peak only"/>
    <s v="Sacramento, CA"/>
    <n v="38.581600000000002"/>
    <n v="-121.4944"/>
    <d v="2024-10-07T00:00:00"/>
    <n v="0"/>
    <x v="0"/>
    <x v="51"/>
  </r>
  <r>
    <n v="25"/>
    <x v="0"/>
    <n v="5"/>
    <s v="Fri, Sat, Sun, Thu, Tue"/>
    <b v="0"/>
    <d v="1899-12-30T16:13:00"/>
    <d v="1899-12-30T18:45:00"/>
    <n v="152"/>
    <b v="0"/>
    <b v="0"/>
    <x v="0"/>
    <x v="1"/>
    <n v="50"/>
    <x v="2"/>
    <n v="45"/>
    <x v="0"/>
    <n v="0.05"/>
    <n v="42.75"/>
    <s v="All hours"/>
    <s v="Los Angeles, CA"/>
    <n v="34.052199999999999"/>
    <n v="-118.2437"/>
    <d v="2025-02-20T00:00:00"/>
    <n v="0"/>
    <x v="0"/>
    <x v="45"/>
  </r>
  <r>
    <n v="23"/>
    <x v="0"/>
    <n v="2"/>
    <s v="Thu, Tue"/>
    <b v="1"/>
    <d v="1899-12-30T14:42:00"/>
    <d v="1899-12-30T16:56:00"/>
    <n v="134"/>
    <b v="1"/>
    <b v="1"/>
    <x v="0"/>
    <x v="4"/>
    <n v="50"/>
    <x v="0"/>
    <n v="50"/>
    <x v="0"/>
    <n v="0.05"/>
    <n v="47.5"/>
    <s v="All hours"/>
    <s v="San Francisco, CA"/>
    <n v="37.774900000000002"/>
    <n v="-122.4194"/>
    <d v="2023-09-11T00:00:00"/>
    <n v="6"/>
    <x v="0"/>
    <x v="7"/>
  </r>
  <r>
    <n v="23"/>
    <x v="3"/>
    <n v="3"/>
    <s v="Mon, Sat, Sun"/>
    <b v="0"/>
    <d v="1899-12-30T13:42:00"/>
    <d v="1899-12-30T14:33:00"/>
    <n v="51"/>
    <b v="0"/>
    <b v="0"/>
    <x v="1"/>
    <x v="0"/>
    <n v="70"/>
    <x v="0"/>
    <n v="70"/>
    <x v="0"/>
    <n v="0.05"/>
    <n v="66.5"/>
    <s v="All hours + Priority access"/>
    <s v="Long Beach, CA"/>
    <n v="33.770099999999999"/>
    <n v="-118.19370000000001"/>
    <d v="2024-08-19T00:00:00"/>
    <n v="0"/>
    <x v="0"/>
    <x v="18"/>
  </r>
  <r>
    <n v="20"/>
    <x v="1"/>
    <n v="1"/>
    <s v="Tue"/>
    <b v="0"/>
    <d v="1899-12-30T08:55:00"/>
    <d v="1899-12-30T10:23:00"/>
    <n v="88"/>
    <b v="1"/>
    <b v="1"/>
    <x v="1"/>
    <x v="4"/>
    <n v="30"/>
    <x v="0"/>
    <n v="30"/>
    <x v="1"/>
    <n v="0"/>
    <n v="30"/>
    <s v="Weekdays only"/>
    <s v="San Francisco, CA"/>
    <n v="37.774900000000002"/>
    <n v="-122.4194"/>
    <d v="2023-10-12T00:00:00"/>
    <n v="4"/>
    <x v="0"/>
    <x v="59"/>
  </r>
  <r>
    <n v="24"/>
    <x v="0"/>
    <n v="1"/>
    <s v="Thu"/>
    <b v="1"/>
    <d v="1899-12-30T08:58:00"/>
    <d v="1899-12-30T11:53:00"/>
    <n v="175"/>
    <b v="0"/>
    <b v="1"/>
    <x v="1"/>
    <x v="0"/>
    <n v="50"/>
    <x v="1"/>
    <n v="37.5"/>
    <x v="1"/>
    <n v="0"/>
    <n v="37.5"/>
    <s v="All hours"/>
    <s v="Long Beach, CA"/>
    <n v="33.770099999999999"/>
    <n v="-118.19370000000001"/>
    <d v="2025-01-09T00:00:00"/>
    <n v="4"/>
    <x v="0"/>
    <x v="4"/>
  </r>
  <r>
    <n v="16"/>
    <x v="0"/>
    <n v="4"/>
    <s v="Mon, Sun, Thu, Tue"/>
    <b v="1"/>
    <d v="1899-12-30T16:21:00"/>
    <d v="1899-12-30T17:38:00"/>
    <n v="77"/>
    <b v="0"/>
    <b v="1"/>
    <x v="0"/>
    <x v="4"/>
    <n v="50"/>
    <x v="0"/>
    <n v="50"/>
    <x v="2"/>
    <n v="0.1"/>
    <n v="45"/>
    <s v="All hours"/>
    <s v="San Diego, CA"/>
    <n v="32.715699999999998"/>
    <n v="-117.1611"/>
    <d v="2024-01-27T00:00:00"/>
    <n v="1"/>
    <x v="0"/>
    <x v="48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3-12-03T00:00:00"/>
    <n v="7"/>
    <x v="0"/>
    <x v="16"/>
  </r>
  <r>
    <n v="36"/>
    <x v="2"/>
    <n v="3"/>
    <s v="Sun, Thu, Wed"/>
    <b v="0"/>
    <d v="1899-12-30T10:01:00"/>
    <d v="1899-12-30T12:11:00"/>
    <n v="130"/>
    <b v="0"/>
    <b v="1"/>
    <x v="1"/>
    <x v="4"/>
    <n v="20"/>
    <x v="0"/>
    <n v="20"/>
    <x v="1"/>
    <n v="0"/>
    <n v="20"/>
    <s v="Off-peak only"/>
    <s v="Sacramento, CA"/>
    <n v="38.581600000000002"/>
    <n v="-121.4944"/>
    <d v="2025-04-28T00:00:00"/>
    <n v="1"/>
    <x v="1"/>
    <x v="5"/>
  </r>
  <r>
    <n v="33"/>
    <x v="2"/>
    <n v="2"/>
    <s v="Mon, Wed"/>
    <b v="1"/>
    <d v="1899-12-30T20:25:00"/>
    <d v="1899-12-30T23:16:00"/>
    <n v="171"/>
    <b v="1"/>
    <b v="0"/>
    <x v="0"/>
    <x v="4"/>
    <n v="20"/>
    <x v="0"/>
    <n v="20"/>
    <x v="2"/>
    <n v="0.1"/>
    <n v="18"/>
    <s v="Off-peak only"/>
    <s v="Anaheim, CA"/>
    <n v="33.836599999999997"/>
    <n v="-117.9143"/>
    <d v="2024-06-29T00:00:00"/>
    <n v="0"/>
    <x v="1"/>
    <x v="55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5-01-30T00:00:00"/>
    <n v="0"/>
    <x v="0"/>
    <x v="19"/>
  </r>
  <r>
    <n v="24"/>
    <x v="1"/>
    <n v="1"/>
    <s v="Mon"/>
    <b v="0"/>
    <d v="1899-12-30T13:05:00"/>
    <d v="1899-12-30T15:29:00"/>
    <n v="144"/>
    <b v="0"/>
    <b v="1"/>
    <x v="1"/>
    <x v="1"/>
    <n v="30"/>
    <x v="0"/>
    <n v="30"/>
    <x v="1"/>
    <n v="0"/>
    <n v="30"/>
    <s v="Weekdays only"/>
    <s v="San Francisco, CA"/>
    <n v="37.774900000000002"/>
    <n v="-122.4194"/>
    <d v="2025-04-16T00:00:00"/>
    <n v="3"/>
    <x v="0"/>
    <x v="5"/>
  </r>
  <r>
    <n v="41"/>
    <x v="0"/>
    <n v="1"/>
    <s v="Fri"/>
    <b v="1"/>
    <d v="1899-12-30T09:46:00"/>
    <d v="1899-12-30T11:10:00"/>
    <n v="84"/>
    <b v="1"/>
    <b v="1"/>
    <x v="0"/>
    <x v="4"/>
    <n v="50"/>
    <x v="2"/>
    <n v="45"/>
    <x v="1"/>
    <n v="0"/>
    <n v="45"/>
    <s v="All hours"/>
    <s v="Long Beach, CA"/>
    <n v="33.770099999999999"/>
    <n v="-118.19370000000001"/>
    <d v="2022-08-03T00:00:00"/>
    <n v="4"/>
    <x v="0"/>
    <x v="43"/>
  </r>
  <r>
    <n v="29"/>
    <x v="0"/>
    <n v="2"/>
    <s v="Fri, Tue"/>
    <b v="0"/>
    <d v="1899-12-30T20:52:00"/>
    <d v="1899-12-30T22:40:00"/>
    <n v="108"/>
    <b v="0"/>
    <b v="1"/>
    <x v="0"/>
    <x v="1"/>
    <n v="50"/>
    <x v="0"/>
    <n v="50"/>
    <x v="0"/>
    <n v="0.05"/>
    <n v="47.5"/>
    <s v="All hours"/>
    <s v="San Francisco, CA"/>
    <n v="37.774900000000002"/>
    <n v="-122.4194"/>
    <d v="2024-07-14T00:00:00"/>
    <n v="5"/>
    <x v="0"/>
    <x v="39"/>
  </r>
  <r>
    <n v="43"/>
    <x v="1"/>
    <n v="3"/>
    <s v="Fri, Sun, Tue"/>
    <b v="0"/>
    <d v="1899-12-30T18:37:00"/>
    <d v="1899-12-30T20:15:00"/>
    <n v="98"/>
    <b v="0"/>
    <b v="1"/>
    <x v="1"/>
    <x v="4"/>
    <n v="30"/>
    <x v="2"/>
    <n v="27"/>
    <x v="2"/>
    <n v="0.1"/>
    <n v="24.3"/>
    <s v="Weekdays only"/>
    <s v="Fresno, CA"/>
    <n v="36.7378"/>
    <n v="-119.7871"/>
    <d v="2023-02-11T00:00:00"/>
    <n v="7"/>
    <x v="0"/>
    <x v="26"/>
  </r>
  <r>
    <n v="28"/>
    <x v="0"/>
    <n v="4"/>
    <s v="Fri, Sat, Sun, Wed"/>
    <b v="0"/>
    <d v="1899-12-30T16:33:00"/>
    <d v="1899-12-30T17:11:00"/>
    <n v="38"/>
    <b v="0"/>
    <b v="0"/>
    <x v="1"/>
    <x v="0"/>
    <n v="50"/>
    <x v="1"/>
    <n v="37.5"/>
    <x v="0"/>
    <n v="0.05"/>
    <n v="35.625"/>
    <s v="All hours"/>
    <s v="San Diego, CA"/>
    <n v="32.715699999999998"/>
    <n v="-117.1611"/>
    <d v="2024-09-24T00:00:00"/>
    <n v="0"/>
    <x v="1"/>
    <x v="33"/>
  </r>
  <r>
    <n v="44"/>
    <x v="0"/>
    <n v="2"/>
    <s v="Fri, Mon"/>
    <b v="1"/>
    <d v="1899-12-30T17:13:00"/>
    <d v="1899-12-30T18:15:00"/>
    <n v="62"/>
    <b v="0"/>
    <b v="0"/>
    <x v="1"/>
    <x v="0"/>
    <n v="50"/>
    <x v="1"/>
    <n v="37.5"/>
    <x v="2"/>
    <n v="0.1"/>
    <n v="33.75"/>
    <s v="All hours"/>
    <s v="Oakland, CA"/>
    <n v="37.804400000000001"/>
    <n v="-122.27119999999999"/>
    <d v="2023-06-28T00:00:00"/>
    <n v="0"/>
    <x v="0"/>
    <x v="56"/>
  </r>
  <r>
    <n v="31"/>
    <x v="0"/>
    <n v="3"/>
    <s v="Fri, Sat, Tue"/>
    <b v="0"/>
    <d v="1899-12-30T10:14:00"/>
    <d v="1899-12-30T13:13:00"/>
    <n v="179"/>
    <b v="0"/>
    <b v="1"/>
    <x v="1"/>
    <x v="1"/>
    <n v="50"/>
    <x v="1"/>
    <n v="37.5"/>
    <x v="1"/>
    <n v="0"/>
    <n v="37.5"/>
    <s v="All hours"/>
    <s v="Anaheim, CA"/>
    <n v="33.836599999999997"/>
    <n v="-117.9143"/>
    <d v="2023-04-05T00:00:00"/>
    <n v="2"/>
    <x v="0"/>
    <x v="49"/>
  </r>
  <r>
    <n v="17"/>
    <x v="1"/>
    <n v="1"/>
    <s v="Mon"/>
    <b v="1"/>
    <d v="1899-12-30T19:05:00"/>
    <d v="1899-12-30T21:55:00"/>
    <n v="170"/>
    <b v="1"/>
    <b v="1"/>
    <x v="0"/>
    <x v="4"/>
    <n v="30"/>
    <x v="0"/>
    <n v="30"/>
    <x v="1"/>
    <n v="0"/>
    <n v="30"/>
    <s v="Weekdays only"/>
    <s v="Sacramento, CA"/>
    <n v="38.581600000000002"/>
    <n v="-121.4944"/>
    <d v="2023-09-27T00:00:00"/>
    <n v="3"/>
    <x v="0"/>
    <x v="3"/>
  </r>
  <r>
    <n v="26"/>
    <x v="2"/>
    <n v="5"/>
    <s v="Fri, Sun, Thu, Tue, Wed"/>
    <b v="0"/>
    <d v="1899-12-30T19:51:00"/>
    <d v="1899-12-30T21:23:00"/>
    <n v="92"/>
    <b v="1"/>
    <b v="1"/>
    <x v="1"/>
    <x v="0"/>
    <n v="20"/>
    <x v="0"/>
    <n v="20"/>
    <x v="2"/>
    <n v="0.1"/>
    <n v="18"/>
    <s v="Off-peak only"/>
    <s v="San Francisco, CA"/>
    <n v="37.774900000000002"/>
    <n v="-122.4194"/>
    <d v="2024-02-06T00:00:00"/>
    <n v="1"/>
    <x v="0"/>
    <x v="48"/>
  </r>
  <r>
    <n v="48"/>
    <x v="1"/>
    <n v="4"/>
    <s v="Mon, Sun, Thu, Wed"/>
    <b v="0"/>
    <d v="1899-12-30T13:33:00"/>
    <d v="1899-12-30T14:08:00"/>
    <n v="35"/>
    <b v="1"/>
    <b v="0"/>
    <x v="0"/>
    <x v="4"/>
    <n v="30"/>
    <x v="0"/>
    <n v="30"/>
    <x v="2"/>
    <n v="0.1"/>
    <n v="27"/>
    <s v="Weekdays only"/>
    <s v="Oakland, CA"/>
    <n v="37.804400000000001"/>
    <n v="-122.27119999999999"/>
    <d v="2024-04-10T00:00:00"/>
    <n v="0"/>
    <x v="1"/>
    <x v="52"/>
  </r>
  <r>
    <n v="39"/>
    <x v="1"/>
    <n v="4"/>
    <s v="Sat, Sun, Tue, Wed"/>
    <b v="0"/>
    <d v="1899-12-30T13:57:00"/>
    <d v="1899-12-30T15:41:00"/>
    <n v="104"/>
    <b v="1"/>
    <b v="1"/>
    <x v="1"/>
    <x v="4"/>
    <n v="30"/>
    <x v="0"/>
    <n v="30"/>
    <x v="1"/>
    <n v="0"/>
    <n v="30"/>
    <s v="Weekdays only"/>
    <s v="San Diego, CA"/>
    <n v="32.715699999999998"/>
    <n v="-117.1611"/>
    <d v="2024-06-16T00:00:00"/>
    <n v="6"/>
    <x v="1"/>
    <x v="55"/>
  </r>
  <r>
    <n v="18"/>
    <x v="3"/>
    <n v="3"/>
    <s v="Fri, Thu, Wed"/>
    <b v="1"/>
    <d v="1899-12-30T18:43:00"/>
    <d v="1899-12-30T21:06:00"/>
    <n v="143"/>
    <b v="1"/>
    <b v="0"/>
    <x v="1"/>
    <x v="4"/>
    <n v="70"/>
    <x v="0"/>
    <n v="70"/>
    <x v="2"/>
    <n v="0.1"/>
    <n v="63"/>
    <s v="All hours + Priority access"/>
    <s v="Long Beach, CA"/>
    <n v="33.770099999999999"/>
    <n v="-118.19370000000001"/>
    <d v="2022-10-07T00:00:00"/>
    <n v="0"/>
    <x v="0"/>
    <x v="38"/>
  </r>
  <r>
    <n v="34"/>
    <x v="0"/>
    <n v="4"/>
    <s v="Fri, Thu, Tue, Wed"/>
    <b v="0"/>
    <d v="1899-12-30T12:46:00"/>
    <d v="1899-12-30T13:55:00"/>
    <n v="69"/>
    <b v="0"/>
    <b v="0"/>
    <x v="0"/>
    <x v="1"/>
    <n v="50"/>
    <x v="0"/>
    <n v="50"/>
    <x v="3"/>
    <n v="0.15"/>
    <n v="42.5"/>
    <s v="All hours"/>
    <s v="Los Angeles, CA"/>
    <n v="34.052199999999999"/>
    <n v="-118.2437"/>
    <d v="2023-01-20T00:00:00"/>
    <n v="0"/>
    <x v="0"/>
    <x v="11"/>
  </r>
  <r>
    <n v="27"/>
    <x v="0"/>
    <n v="3"/>
    <s v="Sat, Thu, Wed"/>
    <b v="0"/>
    <d v="1899-12-30T11:50:00"/>
    <d v="1899-12-30T12:54:00"/>
    <n v="64"/>
    <b v="0"/>
    <b v="0"/>
    <x v="0"/>
    <x v="1"/>
    <n v="50"/>
    <x v="1"/>
    <n v="37.5"/>
    <x v="0"/>
    <n v="0.05"/>
    <n v="35.625"/>
    <s v="All hours"/>
    <s v="Los Angeles, CA"/>
    <n v="34.052199999999999"/>
    <n v="-118.2437"/>
    <d v="2022-08-30T00:00:00"/>
    <n v="0"/>
    <x v="0"/>
    <x v="1"/>
  </r>
  <r>
    <n v="16"/>
    <x v="2"/>
    <n v="3"/>
    <s v="Sat, Sun, Tue"/>
    <b v="0"/>
    <d v="1899-12-30T15:15:00"/>
    <d v="1899-12-30T15:46:00"/>
    <n v="31"/>
    <b v="1"/>
    <b v="1"/>
    <x v="0"/>
    <x v="4"/>
    <n v="20"/>
    <x v="0"/>
    <n v="20"/>
    <x v="0"/>
    <n v="0.05"/>
    <n v="19"/>
    <s v="Off-peak only"/>
    <s v="Los Angeles, CA"/>
    <n v="34.052199999999999"/>
    <n v="-118.2437"/>
    <d v="2025-02-10T00:00:00"/>
    <n v="3"/>
    <x v="0"/>
    <x v="30"/>
  </r>
  <r>
    <n v="23"/>
    <x v="3"/>
    <n v="3"/>
    <s v="Mon, Sat, Sun"/>
    <b v="0"/>
    <d v="1899-12-30T13:42:00"/>
    <d v="1899-12-30T14:33:00"/>
    <n v="51"/>
    <b v="0"/>
    <b v="0"/>
    <x v="1"/>
    <x v="0"/>
    <n v="70"/>
    <x v="0"/>
    <n v="70"/>
    <x v="0"/>
    <n v="0.05"/>
    <n v="66.5"/>
    <s v="All hours + Priority access"/>
    <s v="Long Beach, CA"/>
    <n v="33.770099999999999"/>
    <n v="-118.19370000000001"/>
    <d v="2023-05-06T00:00:00"/>
    <n v="0"/>
    <x v="0"/>
    <x v="2"/>
  </r>
  <r>
    <n v="32"/>
    <x v="0"/>
    <n v="2"/>
    <s v="Sat, Wed"/>
    <b v="1"/>
    <d v="1899-12-30T17:04:00"/>
    <d v="1899-12-30T19:46:00"/>
    <n v="162"/>
    <b v="0"/>
    <b v="1"/>
    <x v="0"/>
    <x v="4"/>
    <n v="50"/>
    <x v="0"/>
    <n v="50"/>
    <x v="3"/>
    <n v="0.15"/>
    <n v="42.5"/>
    <s v="All hours"/>
    <s v="Bakersfield, CA"/>
    <n v="35.3733"/>
    <n v="-119.0187"/>
    <d v="2022-09-27T00:00:00"/>
    <n v="3"/>
    <x v="1"/>
    <x v="25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4-12-11T00:00:00"/>
    <n v="7"/>
    <x v="1"/>
    <x v="13"/>
  </r>
  <r>
    <n v="34"/>
    <x v="1"/>
    <n v="1"/>
    <s v="Sun"/>
    <b v="1"/>
    <d v="1899-12-30T09:14:00"/>
    <d v="1899-12-30T11:52:00"/>
    <n v="158"/>
    <b v="0"/>
    <b v="1"/>
    <x v="0"/>
    <x v="0"/>
    <n v="30"/>
    <x v="1"/>
    <n v="22.5"/>
    <x v="1"/>
    <n v="0"/>
    <n v="22.5"/>
    <s v="Weekdays only"/>
    <s v="Anaheim, CA"/>
    <n v="33.836599999999997"/>
    <n v="-117.9143"/>
    <d v="2025-04-13T00:00:00"/>
    <n v="3"/>
    <x v="1"/>
    <x v="5"/>
  </r>
  <r>
    <n v="20"/>
    <x v="3"/>
    <n v="2"/>
    <s v="Sun, Thu"/>
    <b v="1"/>
    <d v="1899-12-30T09:26:00"/>
    <d v="1899-12-30T10:35:00"/>
    <n v="69"/>
    <b v="0"/>
    <b v="0"/>
    <x v="0"/>
    <x v="2"/>
    <n v="70"/>
    <x v="0"/>
    <n v="70"/>
    <x v="1"/>
    <n v="0"/>
    <n v="70"/>
    <s v="All hours + Priority access"/>
    <s v="San Diego, CA"/>
    <n v="32.715699999999998"/>
    <n v="-117.1611"/>
    <d v="2023-04-25T00:00:00"/>
    <n v="0"/>
    <x v="0"/>
    <x v="58"/>
  </r>
  <r>
    <n v="28"/>
    <x v="1"/>
    <n v="3"/>
    <s v="Sat, Thu, Wed"/>
    <b v="0"/>
    <d v="1899-12-30T19:59:00"/>
    <d v="1899-12-30T20:40:00"/>
    <n v="41"/>
    <b v="0"/>
    <b v="1"/>
    <x v="0"/>
    <x v="0"/>
    <n v="30"/>
    <x v="1"/>
    <n v="22.5"/>
    <x v="0"/>
    <n v="0.05"/>
    <n v="21.375"/>
    <s v="Weekdays only"/>
    <s v="Anaheim, CA"/>
    <n v="33.836599999999997"/>
    <n v="-117.9143"/>
    <d v="2023-10-20T00:00:00"/>
    <n v="3"/>
    <x v="1"/>
    <x v="59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3-01-08T00:00:00"/>
    <n v="0"/>
    <x v="0"/>
    <x v="57"/>
  </r>
  <r>
    <n v="38"/>
    <x v="2"/>
    <n v="1"/>
    <s v="Tue"/>
    <b v="0"/>
    <d v="1899-12-30T14:12:00"/>
    <d v="1899-12-30T14:59:00"/>
    <n v="47"/>
    <b v="0"/>
    <b v="0"/>
    <x v="0"/>
    <x v="2"/>
    <n v="20"/>
    <x v="0"/>
    <n v="20"/>
    <x v="1"/>
    <n v="0"/>
    <n v="20"/>
    <s v="Off-peak only"/>
    <s v="Sacramento, CA"/>
    <n v="38.581600000000002"/>
    <n v="-121.4944"/>
    <d v="2025-01-25T00:00:00"/>
    <n v="0"/>
    <x v="1"/>
    <x v="19"/>
  </r>
  <r>
    <n v="22"/>
    <x v="1"/>
    <n v="3"/>
    <s v="Fri, Sat, Sun"/>
    <b v="0"/>
    <d v="1899-12-30T10:41:00"/>
    <d v="1899-12-30T11:38:00"/>
    <n v="57"/>
    <b v="1"/>
    <b v="1"/>
    <x v="1"/>
    <x v="4"/>
    <n v="30"/>
    <x v="0"/>
    <n v="30"/>
    <x v="3"/>
    <n v="0.15"/>
    <n v="25.5"/>
    <s v="Weekdays only"/>
    <s v="Los Angeles, CA"/>
    <n v="34.052199999999999"/>
    <n v="-118.2437"/>
    <d v="2023-02-27T00:00:00"/>
    <n v="2"/>
    <x v="1"/>
    <x v="22"/>
  </r>
  <r>
    <n v="26"/>
    <x v="1"/>
    <n v="3"/>
    <s v="Sun, Tue, Wed"/>
    <b v="1"/>
    <d v="1899-12-30T13:24:00"/>
    <d v="1899-12-30T15:53:00"/>
    <n v="149"/>
    <b v="1"/>
    <b v="1"/>
    <x v="0"/>
    <x v="4"/>
    <n v="30"/>
    <x v="1"/>
    <n v="22.5"/>
    <x v="2"/>
    <n v="0.1"/>
    <n v="20.25"/>
    <s v="Weekdays only"/>
    <s v="Los Angeles, CA"/>
    <n v="34.052199999999999"/>
    <n v="-118.2437"/>
    <d v="2024-11-20T00:00:00"/>
    <n v="8"/>
    <x v="0"/>
    <x v="12"/>
  </r>
  <r>
    <n v="24"/>
    <x v="1"/>
    <n v="3"/>
    <s v="Mon, Thu, Wed"/>
    <b v="0"/>
    <d v="1899-12-30T09:13:00"/>
    <d v="1899-12-30T11:37:00"/>
    <n v="144"/>
    <b v="0"/>
    <b v="0"/>
    <x v="0"/>
    <x v="4"/>
    <n v="30"/>
    <x v="2"/>
    <n v="27"/>
    <x v="2"/>
    <n v="0.1"/>
    <n v="24.3"/>
    <s v="Weekdays only"/>
    <s v="San Francisco, CA"/>
    <n v="37.774900000000002"/>
    <n v="-122.4194"/>
    <d v="2024-12-30T00:00:00"/>
    <n v="0"/>
    <x v="1"/>
    <x v="4"/>
  </r>
  <r>
    <n v="17"/>
    <x v="1"/>
    <n v="3"/>
    <s v="Fri, Sat, Sun"/>
    <b v="0"/>
    <d v="1899-12-30T18:02:00"/>
    <d v="1899-12-30T19:49:00"/>
    <n v="107"/>
    <b v="0"/>
    <b v="0"/>
    <x v="1"/>
    <x v="4"/>
    <n v="30"/>
    <x v="0"/>
    <n v="30"/>
    <x v="3"/>
    <n v="0.15"/>
    <n v="25.5"/>
    <s v="Weekdays only"/>
    <s v="Anaheim, CA"/>
    <n v="33.836599999999997"/>
    <n v="-117.9143"/>
    <d v="2024-12-30T00:00:00"/>
    <n v="0"/>
    <x v="1"/>
    <x v="4"/>
  </r>
  <r>
    <n v="15"/>
    <x v="0"/>
    <n v="1"/>
    <s v="Fri"/>
    <b v="1"/>
    <d v="1899-12-30T19:06:00"/>
    <d v="1899-12-30T21:17:00"/>
    <n v="131"/>
    <b v="1"/>
    <b v="1"/>
    <x v="0"/>
    <x v="3"/>
    <n v="50"/>
    <x v="0"/>
    <n v="50"/>
    <x v="3"/>
    <n v="0.15"/>
    <n v="42.5"/>
    <s v="All hours"/>
    <s v="Los Angeles, CA"/>
    <n v="34.052199999999999"/>
    <n v="-118.2437"/>
    <d v="2023-02-06T00:00:00"/>
    <n v="6"/>
    <x v="1"/>
    <x v="26"/>
  </r>
  <r>
    <n v="22"/>
    <x v="0"/>
    <n v="2"/>
    <s v="Fri, Sat"/>
    <b v="0"/>
    <d v="1899-12-30T14:12:00"/>
    <d v="1899-12-30T16:43:00"/>
    <n v="151"/>
    <b v="1"/>
    <b v="1"/>
    <x v="1"/>
    <x v="1"/>
    <n v="50"/>
    <x v="0"/>
    <n v="50"/>
    <x v="1"/>
    <n v="0"/>
    <n v="50"/>
    <s v="All hours"/>
    <s v="Los Angeles, CA"/>
    <n v="34.052199999999999"/>
    <n v="-118.2437"/>
    <d v="2023-07-15T00:00:00"/>
    <n v="6"/>
    <x v="0"/>
    <x v="34"/>
  </r>
  <r>
    <n v="35"/>
    <x v="1"/>
    <n v="1"/>
    <s v="Tue"/>
    <b v="0"/>
    <d v="1899-12-30T16:19:00"/>
    <d v="1899-12-30T19:13:00"/>
    <n v="174"/>
    <b v="1"/>
    <b v="0"/>
    <x v="0"/>
    <x v="4"/>
    <n v="30"/>
    <x v="0"/>
    <n v="30"/>
    <x v="0"/>
    <n v="0.05"/>
    <n v="28.5"/>
    <s v="Weekdays only"/>
    <s v="Oakland, CA"/>
    <n v="37.804400000000001"/>
    <n v="-122.27119999999999"/>
    <d v="2023-12-13T00:00:00"/>
    <n v="0"/>
    <x v="1"/>
    <x v="16"/>
  </r>
  <r>
    <n v="18"/>
    <x v="1"/>
    <n v="2"/>
    <s v="Mon, Tue"/>
    <b v="1"/>
    <d v="1899-12-30T10:26:00"/>
    <d v="1899-12-30T12:13:00"/>
    <n v="107"/>
    <b v="1"/>
    <b v="0"/>
    <x v="1"/>
    <x v="4"/>
    <n v="30"/>
    <x v="0"/>
    <n v="30"/>
    <x v="2"/>
    <n v="0.1"/>
    <n v="27"/>
    <s v="Weekdays only"/>
    <s v="Long Beach, CA"/>
    <n v="33.770099999999999"/>
    <n v="-118.19370000000001"/>
    <d v="2024-06-05T00:00:00"/>
    <n v="0"/>
    <x v="0"/>
    <x v="20"/>
  </r>
  <r>
    <n v="46"/>
    <x v="0"/>
    <n v="5"/>
    <s v="Fri, Mon, Sat, Tue, Wed"/>
    <b v="1"/>
    <d v="1899-12-30T09:41:00"/>
    <d v="1899-12-30T12:38:00"/>
    <n v="177"/>
    <b v="1"/>
    <b v="1"/>
    <x v="1"/>
    <x v="2"/>
    <n v="50"/>
    <x v="0"/>
    <n v="50"/>
    <x v="2"/>
    <n v="0.1"/>
    <n v="45"/>
    <s v="All hours"/>
    <s v="Oakland, CA"/>
    <n v="37.804400000000001"/>
    <n v="-122.27119999999999"/>
    <d v="2022-12-01T00:00:00"/>
    <n v="6"/>
    <x v="0"/>
    <x v="54"/>
  </r>
  <r>
    <n v="44"/>
    <x v="0"/>
    <n v="4"/>
    <s v="Mon, Thu, Tue, Wed"/>
    <b v="1"/>
    <d v="1899-12-30T19:09:00"/>
    <d v="1899-12-30T21:55:00"/>
    <n v="166"/>
    <b v="1"/>
    <b v="0"/>
    <x v="1"/>
    <x v="4"/>
    <n v="50"/>
    <x v="0"/>
    <n v="50"/>
    <x v="2"/>
    <n v="0.1"/>
    <n v="45"/>
    <s v="All hours"/>
    <s v="San Jose, CA"/>
    <n v="37.338200000000001"/>
    <n v="-121.88630000000001"/>
    <d v="2024-05-01T00:00:00"/>
    <n v="0"/>
    <x v="0"/>
    <x v="40"/>
  </r>
  <r>
    <n v="21"/>
    <x v="0"/>
    <n v="3"/>
    <s v="Fri, Mon, Thu"/>
    <b v="1"/>
    <d v="1899-12-30T20:15:00"/>
    <d v="1899-12-30T21:36:00"/>
    <n v="81"/>
    <b v="1"/>
    <b v="0"/>
    <x v="1"/>
    <x v="0"/>
    <n v="50"/>
    <x v="1"/>
    <n v="37.5"/>
    <x v="3"/>
    <n v="0.15"/>
    <n v="31.875"/>
    <s v="All hours"/>
    <s v="Fresno, CA"/>
    <n v="36.7378"/>
    <n v="-119.7871"/>
    <d v="2023-02-04T00:00:00"/>
    <n v="0"/>
    <x v="0"/>
    <x v="26"/>
  </r>
  <r>
    <n v="17"/>
    <x v="3"/>
    <n v="1"/>
    <s v="Mon"/>
    <b v="0"/>
    <d v="1899-12-30T17:58:00"/>
    <d v="1899-12-30T20:04:00"/>
    <n v="126"/>
    <b v="0"/>
    <b v="1"/>
    <x v="0"/>
    <x v="2"/>
    <n v="70"/>
    <x v="0"/>
    <n v="70"/>
    <x v="1"/>
    <n v="0"/>
    <n v="70"/>
    <s v="All hours + Priority access"/>
    <s v="San Jose, CA"/>
    <n v="37.338200000000001"/>
    <n v="-121.88630000000001"/>
    <d v="2024-03-12T00:00:00"/>
    <n v="4"/>
    <x v="0"/>
    <x v="29"/>
  </r>
  <r>
    <n v="32"/>
    <x v="0"/>
    <n v="2"/>
    <s v="Sat, Wed"/>
    <b v="1"/>
    <d v="1899-12-30T17:04:00"/>
    <d v="1899-12-30T19:46:00"/>
    <n v="162"/>
    <b v="0"/>
    <b v="1"/>
    <x v="0"/>
    <x v="4"/>
    <n v="50"/>
    <x v="0"/>
    <n v="50"/>
    <x v="3"/>
    <n v="0.15"/>
    <n v="42.5"/>
    <s v="All hours"/>
    <s v="Bakersfield, CA"/>
    <n v="35.3733"/>
    <n v="-119.0187"/>
    <d v="2024-05-17T00:00:00"/>
    <n v="5"/>
    <x v="0"/>
    <x v="0"/>
  </r>
  <r>
    <n v="39"/>
    <x v="1"/>
    <n v="3"/>
    <s v="Mon, Tue, Wed"/>
    <b v="0"/>
    <d v="1899-12-30T16:51:00"/>
    <d v="1899-12-30T18:36:00"/>
    <n v="105"/>
    <b v="0"/>
    <b v="0"/>
    <x v="1"/>
    <x v="4"/>
    <n v="30"/>
    <x v="1"/>
    <n v="22.5"/>
    <x v="1"/>
    <n v="0"/>
    <n v="22.5"/>
    <s v="Weekdays only"/>
    <s v="Anaheim, CA"/>
    <n v="33.836599999999997"/>
    <n v="-117.9143"/>
    <d v="2024-02-16T00:00:00"/>
    <n v="0"/>
    <x v="0"/>
    <x v="21"/>
  </r>
  <r>
    <n v="39"/>
    <x v="1"/>
    <n v="2"/>
    <s v="Mon, Thu"/>
    <b v="0"/>
    <d v="1899-12-30T17:57:00"/>
    <d v="1899-12-30T19:45:00"/>
    <n v="108"/>
    <b v="1"/>
    <b v="1"/>
    <x v="1"/>
    <x v="1"/>
    <n v="30"/>
    <x v="0"/>
    <n v="30"/>
    <x v="1"/>
    <n v="0"/>
    <n v="30"/>
    <s v="Weekdays only"/>
    <s v="Oakland, CA"/>
    <n v="37.804400000000001"/>
    <n v="-122.27119999999999"/>
    <d v="2024-08-06T00:00:00"/>
    <n v="8"/>
    <x v="1"/>
    <x v="15"/>
  </r>
  <r>
    <n v="19"/>
    <x v="0"/>
    <n v="3"/>
    <s v="Sat, Sun, Thu"/>
    <b v="0"/>
    <d v="1899-12-30T17:43:00"/>
    <d v="1899-12-30T18:34:00"/>
    <n v="51"/>
    <b v="0"/>
    <b v="1"/>
    <x v="1"/>
    <x v="4"/>
    <n v="50"/>
    <x v="1"/>
    <n v="37.5"/>
    <x v="0"/>
    <n v="0.05"/>
    <n v="35.625"/>
    <s v="All hours"/>
    <s v="San Jose, CA"/>
    <n v="37.338200000000001"/>
    <n v="-121.88630000000001"/>
    <d v="2023-04-18T00:00:00"/>
    <n v="6"/>
    <x v="1"/>
    <x v="58"/>
  </r>
  <r>
    <n v="14"/>
    <x v="0"/>
    <n v="2"/>
    <s v="Fri, Tue"/>
    <b v="1"/>
    <d v="1899-12-30T13:45:00"/>
    <d v="1899-12-30T16:26:00"/>
    <n v="16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4-01-04T00:00:00"/>
    <n v="0"/>
    <x v="0"/>
    <x v="23"/>
  </r>
  <r>
    <n v="33"/>
    <x v="1"/>
    <n v="3"/>
    <s v="Fri, Sat, Sun"/>
    <b v="0"/>
    <d v="1899-12-30T08:47:00"/>
    <d v="1899-12-30T09:52:00"/>
    <n v="65"/>
    <b v="0"/>
    <b v="0"/>
    <x v="1"/>
    <x v="2"/>
    <n v="30"/>
    <x v="0"/>
    <n v="30"/>
    <x v="0"/>
    <n v="0.05"/>
    <n v="28.5"/>
    <s v="Weekdays only"/>
    <s v="Fresno, CA"/>
    <n v="36.7378"/>
    <n v="-119.7871"/>
    <d v="2024-10-18T00:00:00"/>
    <n v="0"/>
    <x v="1"/>
    <x v="53"/>
  </r>
  <r>
    <n v="14"/>
    <x v="0"/>
    <n v="5"/>
    <s v="Fri, Sat, Sun, Thu, Tue"/>
    <b v="1"/>
    <d v="1899-12-30T20:23:00"/>
    <d v="1899-12-30T21:30:00"/>
    <n v="67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2-11-07T00:00:00"/>
    <n v="3"/>
    <x v="0"/>
    <x v="37"/>
  </r>
  <r>
    <n v="17"/>
    <x v="1"/>
    <n v="1"/>
    <s v="Wed"/>
    <b v="0"/>
    <d v="1899-12-30T10:30:00"/>
    <d v="1899-12-30T13:27:00"/>
    <n v="177"/>
    <b v="1"/>
    <b v="1"/>
    <x v="1"/>
    <x v="0"/>
    <n v="30"/>
    <x v="0"/>
    <n v="30"/>
    <x v="3"/>
    <n v="0.15"/>
    <n v="25.5"/>
    <s v="Weekdays only"/>
    <s v="Long Beach, CA"/>
    <n v="33.770099999999999"/>
    <n v="-118.19370000000001"/>
    <d v="2024-05-10T00:00:00"/>
    <n v="3"/>
    <x v="0"/>
    <x v="40"/>
  </r>
  <r>
    <n v="35"/>
    <x v="1"/>
    <n v="2"/>
    <s v="Tue, Wed"/>
    <b v="0"/>
    <d v="1899-12-30T18:42:00"/>
    <d v="1899-12-30T21:41:00"/>
    <n v="179"/>
    <b v="0"/>
    <b v="1"/>
    <x v="1"/>
    <x v="0"/>
    <n v="30"/>
    <x v="0"/>
    <n v="30"/>
    <x v="1"/>
    <n v="0"/>
    <n v="30"/>
    <s v="Weekdays only"/>
    <s v="Sacramento, CA"/>
    <n v="38.581600000000002"/>
    <n v="-121.4944"/>
    <d v="2023-11-22T00:00:00"/>
    <n v="6"/>
    <x v="1"/>
    <x v="35"/>
  </r>
  <r>
    <n v="14"/>
    <x v="2"/>
    <n v="2"/>
    <s v="Sat, Sun"/>
    <b v="0"/>
    <d v="1899-12-30T10:09:00"/>
    <d v="1899-12-30T11:15:00"/>
    <n v="66"/>
    <b v="0"/>
    <b v="1"/>
    <x v="1"/>
    <x v="4"/>
    <n v="20"/>
    <x v="0"/>
    <n v="20"/>
    <x v="1"/>
    <n v="0"/>
    <n v="20"/>
    <s v="Off-peak only"/>
    <s v="San Francisco, CA"/>
    <n v="37.774900000000002"/>
    <n v="-122.4194"/>
    <d v="2022-10-31T00:00:00"/>
    <n v="7"/>
    <x v="0"/>
    <x v="32"/>
  </r>
  <r>
    <n v="26"/>
    <x v="2"/>
    <n v="5"/>
    <s v="Fri, Mon, Sun, Tue, Wed"/>
    <b v="0"/>
    <d v="1899-12-30T18:01:00"/>
    <d v="1899-12-30T18:43:00"/>
    <n v="42"/>
    <b v="1"/>
    <b v="0"/>
    <x v="0"/>
    <x v="0"/>
    <n v="20"/>
    <x v="1"/>
    <n v="15"/>
    <x v="1"/>
    <n v="0"/>
    <n v="15"/>
    <s v="Off-peak only"/>
    <s v="Long Beach, CA"/>
    <n v="33.770099999999999"/>
    <n v="-118.19370000000001"/>
    <d v="2023-08-28T00:00:00"/>
    <n v="0"/>
    <x v="1"/>
    <x v="46"/>
  </r>
  <r>
    <n v="41"/>
    <x v="1"/>
    <n v="3"/>
    <s v="Fri, Sat, Sun"/>
    <b v="0"/>
    <d v="1899-12-30T09:56:00"/>
    <d v="1899-12-30T11:39:00"/>
    <n v="103"/>
    <b v="0"/>
    <b v="1"/>
    <x v="1"/>
    <x v="2"/>
    <n v="30"/>
    <x v="0"/>
    <n v="30"/>
    <x v="3"/>
    <n v="0.15"/>
    <n v="25.5"/>
    <s v="Weekdays only"/>
    <s v="Long Beach, CA"/>
    <n v="33.770099999999999"/>
    <n v="-118.19370000000001"/>
    <d v="2025-02-18T00:00:00"/>
    <n v="6"/>
    <x v="1"/>
    <x v="30"/>
  </r>
  <r>
    <n v="39"/>
    <x v="2"/>
    <n v="2"/>
    <s v="Mon, Tue"/>
    <b v="1"/>
    <d v="1899-12-30T09:20:00"/>
    <d v="1899-12-30T09:52:00"/>
    <n v="32"/>
    <b v="1"/>
    <b v="0"/>
    <x v="0"/>
    <x v="0"/>
    <n v="20"/>
    <x v="1"/>
    <n v="15"/>
    <x v="2"/>
    <n v="0.1"/>
    <n v="13.5"/>
    <s v="Off-peak only"/>
    <s v="San Diego, CA"/>
    <n v="32.715699999999998"/>
    <n v="-117.1611"/>
    <d v="2022-09-26T00:00:00"/>
    <n v="0"/>
    <x v="1"/>
    <x v="25"/>
  </r>
  <r>
    <n v="17"/>
    <x v="1"/>
    <n v="2"/>
    <s v="Fri, Sat"/>
    <b v="0"/>
    <d v="1899-12-30T16:59:00"/>
    <d v="1899-12-30T19:27:00"/>
    <n v="148"/>
    <b v="0"/>
    <b v="0"/>
    <x v="1"/>
    <x v="0"/>
    <n v="30"/>
    <x v="0"/>
    <n v="30"/>
    <x v="2"/>
    <n v="0.1"/>
    <n v="27"/>
    <s v="Weekdays only"/>
    <s v="Long Beach, CA"/>
    <n v="33.770099999999999"/>
    <n v="-118.19370000000001"/>
    <d v="2023-08-24T00:00:00"/>
    <n v="0"/>
    <x v="1"/>
    <x v="46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4-07-01T00:00:00"/>
    <n v="0"/>
    <x v="0"/>
    <x v="55"/>
  </r>
  <r>
    <n v="44"/>
    <x v="2"/>
    <n v="4"/>
    <s v="Sat, Thu, Tue, Wed"/>
    <b v="0"/>
    <d v="1899-12-30T11:10:00"/>
    <d v="1899-12-30T11:44:00"/>
    <n v="34"/>
    <b v="0"/>
    <b v="0"/>
    <x v="1"/>
    <x v="1"/>
    <n v="20"/>
    <x v="1"/>
    <n v="15"/>
    <x v="1"/>
    <n v="0"/>
    <n v="15"/>
    <s v="Off-peak only"/>
    <s v="San Jose, CA"/>
    <n v="37.338200000000001"/>
    <n v="-121.88630000000001"/>
    <d v="2025-01-25T00:00:00"/>
    <n v="0"/>
    <x v="0"/>
    <x v="19"/>
  </r>
  <r>
    <n v="33"/>
    <x v="1"/>
    <n v="1"/>
    <s v="Sun"/>
    <b v="0"/>
    <d v="1899-12-30T16:29:00"/>
    <d v="1899-12-30T17:07:00"/>
    <n v="38"/>
    <b v="0"/>
    <b v="1"/>
    <x v="0"/>
    <x v="2"/>
    <n v="30"/>
    <x v="0"/>
    <n v="30"/>
    <x v="0"/>
    <n v="0.05"/>
    <n v="28.5"/>
    <s v="Weekdays only"/>
    <s v="Long Beach, CA"/>
    <n v="33.770099999999999"/>
    <n v="-118.19370000000001"/>
    <d v="2023-02-28T00:00:00"/>
    <n v="3"/>
    <x v="1"/>
    <x v="22"/>
  </r>
  <r>
    <n v="33"/>
    <x v="0"/>
    <n v="5"/>
    <s v="Fri, Sat, Sun, Thu, Wed"/>
    <b v="1"/>
    <d v="1899-12-30T10:29:00"/>
    <d v="1899-12-30T11:18:00"/>
    <n v="49"/>
    <b v="1"/>
    <b v="1"/>
    <x v="0"/>
    <x v="0"/>
    <n v="50"/>
    <x v="0"/>
    <n v="50"/>
    <x v="0"/>
    <n v="0.05"/>
    <n v="47.5"/>
    <s v="All hours"/>
    <s v="Oakland, CA"/>
    <n v="37.804400000000001"/>
    <n v="-122.27119999999999"/>
    <d v="2023-09-01T00:00:00"/>
    <n v="4"/>
    <x v="0"/>
    <x v="46"/>
  </r>
  <r>
    <n v="48"/>
    <x v="0"/>
    <n v="3"/>
    <s v="Fri, Sat, Thu"/>
    <b v="1"/>
    <d v="1899-12-30T08:33:00"/>
    <d v="1899-12-30T10:13:00"/>
    <n v="100"/>
    <b v="1"/>
    <b v="1"/>
    <x v="1"/>
    <x v="0"/>
    <n v="50"/>
    <x v="0"/>
    <n v="50"/>
    <x v="3"/>
    <n v="0.15"/>
    <n v="42.5"/>
    <s v="All hours"/>
    <s v="Sacramento, CA"/>
    <n v="38.581600000000002"/>
    <n v="-121.4944"/>
    <d v="2023-12-02T00:00:00"/>
    <n v="1"/>
    <x v="1"/>
    <x v="35"/>
  </r>
  <r>
    <n v="36"/>
    <x v="1"/>
    <n v="3"/>
    <s v="Fri, Thu, Tue"/>
    <b v="1"/>
    <d v="1899-12-30T17:33:00"/>
    <d v="1899-12-30T19:16:00"/>
    <n v="103"/>
    <b v="0"/>
    <b v="0"/>
    <x v="1"/>
    <x v="4"/>
    <n v="30"/>
    <x v="1"/>
    <n v="22.5"/>
    <x v="0"/>
    <n v="0.05"/>
    <n v="21.375"/>
    <s v="Weekdays only"/>
    <s v="Bakersfield, CA"/>
    <n v="35.3733"/>
    <n v="-119.0187"/>
    <d v="2022-11-14T00:00:00"/>
    <n v="0"/>
    <x v="1"/>
    <x v="37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3-03-06T00:00:00"/>
    <n v="1"/>
    <x v="1"/>
    <x v="22"/>
  </r>
  <r>
    <n v="29"/>
    <x v="0"/>
    <n v="2"/>
    <s v="Fri, Mon"/>
    <b v="1"/>
    <d v="1899-12-30T20:15:00"/>
    <d v="1899-12-30T22:05:00"/>
    <n v="110"/>
    <b v="0"/>
    <b v="0"/>
    <x v="1"/>
    <x v="2"/>
    <n v="50"/>
    <x v="0"/>
    <n v="50"/>
    <x v="3"/>
    <n v="0.15"/>
    <n v="42.5"/>
    <s v="All hours"/>
    <s v="Fresno, CA"/>
    <n v="36.7378"/>
    <n v="-119.7871"/>
    <d v="2025-01-12T00:00:00"/>
    <n v="0"/>
    <x v="0"/>
    <x v="4"/>
  </r>
  <r>
    <n v="47"/>
    <x v="0"/>
    <n v="2"/>
    <s v="Mon, Sat"/>
    <b v="1"/>
    <d v="1899-12-30T08:39:00"/>
    <d v="1899-12-30T09:38:00"/>
    <n v="59"/>
    <b v="1"/>
    <b v="1"/>
    <x v="1"/>
    <x v="3"/>
    <n v="50"/>
    <x v="1"/>
    <n v="37.5"/>
    <x v="2"/>
    <n v="0.1"/>
    <n v="33.75"/>
    <s v="All hours"/>
    <s v="San Diego, CA"/>
    <n v="32.715699999999998"/>
    <n v="-117.1611"/>
    <d v="2024-07-26T00:00:00"/>
    <n v="8"/>
    <x v="0"/>
    <x v="15"/>
  </r>
  <r>
    <n v="23"/>
    <x v="0"/>
    <n v="2"/>
    <s v="Tue, Wed"/>
    <b v="1"/>
    <d v="1899-12-30T17:37:00"/>
    <d v="1899-12-30T19:57:00"/>
    <n v="140"/>
    <b v="1"/>
    <b v="1"/>
    <x v="1"/>
    <x v="3"/>
    <n v="50"/>
    <x v="1"/>
    <n v="37.5"/>
    <x v="0"/>
    <n v="0.05"/>
    <n v="35.625"/>
    <s v="All hours"/>
    <s v="San Francisco, CA"/>
    <n v="37.774900000000002"/>
    <n v="-122.4194"/>
    <d v="2024-10-01T00:00:00"/>
    <n v="8"/>
    <x v="0"/>
    <x v="51"/>
  </r>
  <r>
    <n v="40"/>
    <x v="2"/>
    <n v="1"/>
    <s v="Sat"/>
    <b v="0"/>
    <d v="1899-12-30T10:28:00"/>
    <d v="1899-12-30T13:25:00"/>
    <n v="177"/>
    <b v="0"/>
    <b v="0"/>
    <x v="1"/>
    <x v="4"/>
    <n v="20"/>
    <x v="1"/>
    <n v="15"/>
    <x v="3"/>
    <n v="0.15"/>
    <n v="12.75"/>
    <s v="Off-peak only"/>
    <s v="San Francisco, CA"/>
    <n v="37.774900000000002"/>
    <n v="-122.4194"/>
    <d v="2023-04-22T00:00:00"/>
    <n v="0"/>
    <x v="1"/>
    <x v="58"/>
  </r>
  <r>
    <n v="37"/>
    <x v="1"/>
    <n v="4"/>
    <s v="Fri, Mon, Thu, Tue"/>
    <b v="1"/>
    <d v="1899-12-30T11:51:00"/>
    <d v="1899-12-30T13:57:00"/>
    <n v="126"/>
    <b v="1"/>
    <b v="0"/>
    <x v="0"/>
    <x v="4"/>
    <n v="30"/>
    <x v="0"/>
    <n v="30"/>
    <x v="1"/>
    <n v="0"/>
    <n v="30"/>
    <s v="Weekdays only"/>
    <s v="San Diego, CA"/>
    <n v="32.715699999999998"/>
    <n v="-117.1611"/>
    <d v="2025-05-18T00:00:00"/>
    <n v="0"/>
    <x v="0"/>
    <x v="24"/>
  </r>
  <r>
    <n v="22"/>
    <x v="0"/>
    <n v="3"/>
    <s v="Sat, Thu, Tue"/>
    <b v="1"/>
    <d v="1899-12-30T17:29:00"/>
    <d v="1899-12-30T19:06:00"/>
    <n v="97"/>
    <b v="1"/>
    <b v="0"/>
    <x v="0"/>
    <x v="4"/>
    <n v="50"/>
    <x v="0"/>
    <n v="50"/>
    <x v="0"/>
    <n v="0.05"/>
    <n v="47.5"/>
    <s v="All hours"/>
    <s v="Long Beach, CA"/>
    <n v="33.770099999999999"/>
    <n v="-118.19370000000001"/>
    <d v="2023-10-25T00:00:00"/>
    <n v="0"/>
    <x v="1"/>
    <x v="59"/>
  </r>
  <r>
    <n v="44"/>
    <x v="2"/>
    <n v="4"/>
    <s v="Sat, Thu, Tue, Wed"/>
    <b v="0"/>
    <d v="1899-12-30T11:10:00"/>
    <d v="1899-12-30T11:44:00"/>
    <n v="34"/>
    <b v="0"/>
    <b v="0"/>
    <x v="1"/>
    <x v="1"/>
    <n v="20"/>
    <x v="1"/>
    <n v="15"/>
    <x v="1"/>
    <n v="0"/>
    <n v="15"/>
    <s v="Off-peak only"/>
    <s v="San Jose, CA"/>
    <n v="37.338200000000001"/>
    <n v="-121.88630000000001"/>
    <d v="2023-04-02T00:00:00"/>
    <n v="0"/>
    <x v="1"/>
    <x v="49"/>
  </r>
  <r>
    <n v="49"/>
    <x v="2"/>
    <n v="1"/>
    <s v="Tue"/>
    <b v="1"/>
    <d v="1899-12-30T18:02:00"/>
    <d v="1899-12-30T18:44:00"/>
    <n v="42"/>
    <b v="1"/>
    <b v="0"/>
    <x v="0"/>
    <x v="1"/>
    <n v="20"/>
    <x v="0"/>
    <n v="20"/>
    <x v="3"/>
    <n v="0.15"/>
    <n v="17"/>
    <s v="Off-peak only"/>
    <s v="Anaheim, CA"/>
    <n v="33.836599999999997"/>
    <n v="-117.9143"/>
    <d v="2022-12-02T00:00:00"/>
    <n v="0"/>
    <x v="1"/>
    <x v="54"/>
  </r>
  <r>
    <n v="44"/>
    <x v="2"/>
    <n v="3"/>
    <s v="Fri, Mon, Tue"/>
    <b v="0"/>
    <d v="1899-12-30T10:31:00"/>
    <d v="1899-12-30T12:28:00"/>
    <n v="117"/>
    <b v="1"/>
    <b v="1"/>
    <x v="0"/>
    <x v="4"/>
    <n v="20"/>
    <x v="0"/>
    <n v="20"/>
    <x v="3"/>
    <n v="0.15"/>
    <n v="17"/>
    <s v="Off-peak only"/>
    <s v="Long Beach, CA"/>
    <n v="33.770099999999999"/>
    <n v="-118.19370000000001"/>
    <d v="2024-06-23T00:00:00"/>
    <n v="6"/>
    <x v="0"/>
    <x v="55"/>
  </r>
  <r>
    <n v="13"/>
    <x v="3"/>
    <n v="2"/>
    <s v="Mon, Tue"/>
    <b v="1"/>
    <d v="1899-12-30T20:56:00"/>
    <d v="1899-12-30T23:36:00"/>
    <n v="160"/>
    <b v="1"/>
    <b v="1"/>
    <x v="0"/>
    <x v="0"/>
    <n v="70"/>
    <x v="2"/>
    <n v="63"/>
    <x v="3"/>
    <n v="0.15"/>
    <n v="53.55"/>
    <s v="All hours + Priority access"/>
    <s v="Sacramento, CA"/>
    <n v="38.581600000000002"/>
    <n v="-121.4944"/>
    <d v="2023-01-30T00:00:00"/>
    <n v="2"/>
    <x v="0"/>
    <x v="11"/>
  </r>
  <r>
    <n v="23"/>
    <x v="2"/>
    <n v="4"/>
    <s v="Mon, Sun, Thu, Tue"/>
    <b v="1"/>
    <d v="1899-12-30T10:23:00"/>
    <d v="1899-12-30T12:29:00"/>
    <n v="126"/>
    <b v="1"/>
    <b v="1"/>
    <x v="0"/>
    <x v="3"/>
    <n v="20"/>
    <x v="0"/>
    <n v="20"/>
    <x v="2"/>
    <n v="0.1"/>
    <n v="18"/>
    <s v="Off-peak only"/>
    <s v="San Diego, CA"/>
    <n v="32.715699999999998"/>
    <n v="-117.1611"/>
    <d v="2025-02-25T00:00:00"/>
    <n v="6"/>
    <x v="1"/>
    <x v="45"/>
  </r>
  <r>
    <n v="16"/>
    <x v="2"/>
    <n v="3"/>
    <s v="Sat, Sun, Tue"/>
    <b v="0"/>
    <d v="1899-12-30T15:15:00"/>
    <d v="1899-12-30T15:46:00"/>
    <n v="31"/>
    <b v="1"/>
    <b v="1"/>
    <x v="0"/>
    <x v="4"/>
    <n v="20"/>
    <x v="0"/>
    <n v="20"/>
    <x v="0"/>
    <n v="0.05"/>
    <n v="19"/>
    <s v="Off-peak only"/>
    <s v="Los Angeles, CA"/>
    <n v="34.052199999999999"/>
    <n v="-118.2437"/>
    <d v="2023-01-03T00:00:00"/>
    <n v="7"/>
    <x v="1"/>
    <x v="57"/>
  </r>
  <r>
    <n v="49"/>
    <x v="2"/>
    <n v="3"/>
    <s v="Fri, Sun, Thu"/>
    <b v="1"/>
    <d v="1899-12-30T20:01:00"/>
    <d v="1899-12-30T22:34:00"/>
    <n v="153"/>
    <b v="0"/>
    <b v="1"/>
    <x v="0"/>
    <x v="4"/>
    <n v="20"/>
    <x v="0"/>
    <n v="20"/>
    <x v="1"/>
    <n v="0"/>
    <n v="20"/>
    <s v="Off-peak only"/>
    <s v="Oakland, CA"/>
    <n v="37.804400000000001"/>
    <n v="-122.27119999999999"/>
    <d v="2025-02-07T00:00:00"/>
    <n v="6"/>
    <x v="0"/>
    <x v="30"/>
  </r>
  <r>
    <n v="20"/>
    <x v="0"/>
    <n v="5"/>
    <s v="Fri, Mon, Sat, Sun, Tue"/>
    <b v="0"/>
    <d v="1899-12-30T20:16:00"/>
    <d v="1899-12-30T21:52:00"/>
    <n v="96"/>
    <b v="1"/>
    <b v="1"/>
    <x v="0"/>
    <x v="0"/>
    <n v="50"/>
    <x v="0"/>
    <n v="50"/>
    <x v="1"/>
    <n v="0"/>
    <n v="50"/>
    <s v="All hours"/>
    <s v="Bakersfield, CA"/>
    <n v="35.3733"/>
    <n v="-119.0187"/>
    <d v="2024-04-25T00:00:00"/>
    <n v="8"/>
    <x v="0"/>
    <x v="40"/>
  </r>
  <r>
    <n v="38"/>
    <x v="3"/>
    <n v="1"/>
    <s v="Tue"/>
    <b v="1"/>
    <d v="1899-12-30T10:01:00"/>
    <d v="1899-12-30T12:48:00"/>
    <n v="167"/>
    <b v="1"/>
    <b v="1"/>
    <x v="1"/>
    <x v="4"/>
    <n v="70"/>
    <x v="0"/>
    <n v="70"/>
    <x v="1"/>
    <n v="0"/>
    <n v="70"/>
    <s v="All hours + Priority access"/>
    <s v="Fresno, CA"/>
    <n v="36.7378"/>
    <n v="-119.7871"/>
    <d v="2023-02-24T00:00:00"/>
    <n v="1"/>
    <x v="1"/>
    <x v="22"/>
  </r>
  <r>
    <n v="20"/>
    <x v="3"/>
    <n v="2"/>
    <s v="Sun, Thu"/>
    <b v="1"/>
    <d v="1899-12-30T09:26:00"/>
    <d v="1899-12-30T10:35:00"/>
    <n v="69"/>
    <b v="0"/>
    <b v="0"/>
    <x v="0"/>
    <x v="2"/>
    <n v="70"/>
    <x v="0"/>
    <n v="70"/>
    <x v="1"/>
    <n v="0"/>
    <n v="70"/>
    <s v="All hours + Priority access"/>
    <s v="San Diego, CA"/>
    <n v="32.715699999999998"/>
    <n v="-117.1611"/>
    <d v="2025-01-14T00:00:00"/>
    <n v="0"/>
    <x v="0"/>
    <x v="19"/>
  </r>
  <r>
    <n v="33"/>
    <x v="0"/>
    <n v="3"/>
    <s v="Mon, Sat, Thu"/>
    <b v="0"/>
    <d v="1899-12-30T09:46:00"/>
    <d v="1899-12-30T12:17:00"/>
    <n v="151"/>
    <b v="0"/>
    <b v="0"/>
    <x v="0"/>
    <x v="0"/>
    <n v="50"/>
    <x v="2"/>
    <n v="45"/>
    <x v="1"/>
    <n v="0"/>
    <n v="45"/>
    <s v="All hours"/>
    <s v="Bakersfield, CA"/>
    <n v="35.3733"/>
    <n v="-119.0187"/>
    <d v="2024-10-21T00:00:00"/>
    <n v="0"/>
    <x v="0"/>
    <x v="53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3-05-15T00:00:00"/>
    <n v="3"/>
    <x v="1"/>
    <x v="2"/>
  </r>
  <r>
    <n v="20"/>
    <x v="0"/>
    <n v="2"/>
    <s v="Fri, Sun"/>
    <b v="1"/>
    <d v="1899-12-30T11:47:00"/>
    <d v="1899-12-30T14:10:00"/>
    <n v="143"/>
    <b v="1"/>
    <b v="1"/>
    <x v="1"/>
    <x v="3"/>
    <n v="50"/>
    <x v="0"/>
    <n v="50"/>
    <x v="1"/>
    <n v="0"/>
    <n v="50"/>
    <s v="All hours"/>
    <s v="San Diego, CA"/>
    <n v="32.715699999999998"/>
    <n v="-117.1611"/>
    <d v="2023-05-18T00:00:00"/>
    <n v="6"/>
    <x v="0"/>
    <x v="2"/>
  </r>
  <r>
    <n v="20"/>
    <x v="1"/>
    <n v="3"/>
    <s v="Fri, Thu, Wed"/>
    <b v="0"/>
    <d v="1899-12-30T15:28:00"/>
    <d v="1899-12-30T17:58:00"/>
    <n v="150"/>
    <b v="1"/>
    <b v="0"/>
    <x v="1"/>
    <x v="4"/>
    <n v="30"/>
    <x v="2"/>
    <n v="27"/>
    <x v="3"/>
    <n v="0.15"/>
    <n v="22.95"/>
    <s v="Weekdays only"/>
    <s v="Fresno, CA"/>
    <n v="36.7378"/>
    <n v="-119.7871"/>
    <d v="2023-08-10T00:00:00"/>
    <n v="0"/>
    <x v="1"/>
    <x v="47"/>
  </r>
  <r>
    <n v="41"/>
    <x v="1"/>
    <n v="3"/>
    <s v="Fri, Sat, Sun"/>
    <b v="0"/>
    <d v="1899-12-30T09:56:00"/>
    <d v="1899-12-30T11:39:00"/>
    <n v="103"/>
    <b v="0"/>
    <b v="1"/>
    <x v="1"/>
    <x v="2"/>
    <n v="30"/>
    <x v="0"/>
    <n v="30"/>
    <x v="3"/>
    <n v="0.15"/>
    <n v="25.5"/>
    <s v="Weekdays only"/>
    <s v="Long Beach, CA"/>
    <n v="33.770099999999999"/>
    <n v="-118.19370000000001"/>
    <d v="2023-06-14T00:00:00"/>
    <n v="3"/>
    <x v="0"/>
    <x v="28"/>
  </r>
  <r>
    <n v="40"/>
    <x v="0"/>
    <n v="2"/>
    <s v="Sat, Thu"/>
    <b v="1"/>
    <d v="1899-12-30T18:52:00"/>
    <d v="1899-12-30T19:42:00"/>
    <n v="50"/>
    <b v="1"/>
    <b v="0"/>
    <x v="1"/>
    <x v="0"/>
    <n v="50"/>
    <x v="1"/>
    <n v="37.5"/>
    <x v="1"/>
    <n v="0"/>
    <n v="37.5"/>
    <s v="All hours"/>
    <s v="Los Angeles, CA"/>
    <n v="34.052199999999999"/>
    <n v="-118.2437"/>
    <d v="2023-11-22T00:00:00"/>
    <n v="0"/>
    <x v="0"/>
    <x v="35"/>
  </r>
  <r>
    <n v="24"/>
    <x v="1"/>
    <n v="3"/>
    <s v="Mon, Thu, Wed"/>
    <b v="0"/>
    <d v="1899-12-30T09:13:00"/>
    <d v="1899-12-30T11:37:00"/>
    <n v="144"/>
    <b v="0"/>
    <b v="0"/>
    <x v="0"/>
    <x v="4"/>
    <n v="30"/>
    <x v="2"/>
    <n v="27"/>
    <x v="2"/>
    <n v="0.1"/>
    <n v="24.3"/>
    <s v="Weekdays only"/>
    <s v="San Francisco, CA"/>
    <n v="37.774900000000002"/>
    <n v="-122.4194"/>
    <d v="2024-09-27T00:00:00"/>
    <n v="0"/>
    <x v="1"/>
    <x v="33"/>
  </r>
  <r>
    <n v="49"/>
    <x v="1"/>
    <n v="1"/>
    <s v="Sat"/>
    <b v="0"/>
    <d v="1899-12-30T11:21:00"/>
    <d v="1899-12-30T12:46:00"/>
    <n v="85"/>
    <b v="0"/>
    <b v="0"/>
    <x v="1"/>
    <x v="0"/>
    <n v="30"/>
    <x v="1"/>
    <n v="22.5"/>
    <x v="1"/>
    <n v="0"/>
    <n v="22.5"/>
    <s v="Weekdays only"/>
    <s v="Long Beach, CA"/>
    <n v="33.770099999999999"/>
    <n v="-118.19370000000001"/>
    <d v="2024-06-19T00:00:00"/>
    <n v="0"/>
    <x v="1"/>
    <x v="55"/>
  </r>
  <r>
    <n v="43"/>
    <x v="1"/>
    <n v="1"/>
    <s v="Sat"/>
    <b v="0"/>
    <d v="1899-12-30T19:43:00"/>
    <d v="1899-12-30T20:24:00"/>
    <n v="41"/>
    <b v="0"/>
    <b v="1"/>
    <x v="1"/>
    <x v="4"/>
    <n v="30"/>
    <x v="0"/>
    <n v="30"/>
    <x v="2"/>
    <n v="0.1"/>
    <n v="27"/>
    <s v="Weekdays only"/>
    <s v="Los Angeles, CA"/>
    <n v="34.052199999999999"/>
    <n v="-118.2437"/>
    <d v="2024-12-11T00:00:00"/>
    <n v="3"/>
    <x v="1"/>
    <x v="13"/>
  </r>
  <r>
    <n v="24"/>
    <x v="2"/>
    <n v="2"/>
    <s v="Mon, Tue"/>
    <b v="1"/>
    <d v="1899-12-30T11:39:00"/>
    <d v="1899-12-30T13:24:00"/>
    <n v="105"/>
    <b v="0"/>
    <b v="0"/>
    <x v="0"/>
    <x v="2"/>
    <n v="20"/>
    <x v="0"/>
    <n v="20"/>
    <x v="3"/>
    <n v="0.15"/>
    <n v="17"/>
    <s v="Off-peak only"/>
    <s v="Oakland, CA"/>
    <n v="37.804400000000001"/>
    <n v="-122.27119999999999"/>
    <d v="2022-10-29T00:00:00"/>
    <n v="0"/>
    <x v="1"/>
    <x v="32"/>
  </r>
  <r>
    <n v="19"/>
    <x v="0"/>
    <n v="5"/>
    <s v="Fri, Sat, Thu, Tue, Wed"/>
    <b v="1"/>
    <d v="1899-12-30T09:53:00"/>
    <d v="1899-12-30T12:49:00"/>
    <n v="176"/>
    <b v="0"/>
    <b v="1"/>
    <x v="1"/>
    <x v="0"/>
    <n v="50"/>
    <x v="0"/>
    <n v="50"/>
    <x v="3"/>
    <n v="0.15"/>
    <n v="42.5"/>
    <s v="All hours"/>
    <s v="Sacramento, CA"/>
    <n v="38.581600000000002"/>
    <n v="-121.4944"/>
    <d v="2023-10-10T00:00:00"/>
    <n v="2"/>
    <x v="0"/>
    <x v="3"/>
  </r>
  <r>
    <n v="26"/>
    <x v="0"/>
    <n v="3"/>
    <s v="Thu, Tue, Wed"/>
    <b v="0"/>
    <d v="1899-12-30T09:38:00"/>
    <d v="1899-12-30T10:45:00"/>
    <n v="67"/>
    <b v="0"/>
    <b v="1"/>
    <x v="1"/>
    <x v="0"/>
    <n v="50"/>
    <x v="1"/>
    <n v="37.5"/>
    <x v="0"/>
    <n v="0.05"/>
    <n v="35.625"/>
    <s v="All hours"/>
    <s v="San Diego, CA"/>
    <n v="32.715699999999998"/>
    <n v="-117.1611"/>
    <d v="2024-04-22T00:00:00"/>
    <n v="3"/>
    <x v="0"/>
    <x v="52"/>
  </r>
  <r>
    <n v="12"/>
    <x v="2"/>
    <n v="1"/>
    <s v="Tue"/>
    <b v="0"/>
    <d v="1899-12-30T15:47:00"/>
    <d v="1899-12-30T16:28:00"/>
    <n v="41"/>
    <b v="1"/>
    <b v="1"/>
    <x v="1"/>
    <x v="1"/>
    <n v="20"/>
    <x v="0"/>
    <n v="20"/>
    <x v="1"/>
    <n v="0"/>
    <n v="20"/>
    <s v="Off-peak only"/>
    <s v="Bakersfield, CA"/>
    <n v="35.3733"/>
    <n v="-119.0187"/>
    <d v="2024-02-16T00:00:00"/>
    <n v="1"/>
    <x v="1"/>
    <x v="21"/>
  </r>
  <r>
    <n v="13"/>
    <x v="0"/>
    <n v="5"/>
    <s v="Fri, Sun, Thu, Tue, Wed"/>
    <b v="0"/>
    <d v="1899-12-30T09:47:00"/>
    <d v="1899-12-30T12:16:00"/>
    <n v="149"/>
    <b v="0"/>
    <b v="1"/>
    <x v="0"/>
    <x v="1"/>
    <n v="50"/>
    <x v="0"/>
    <n v="50"/>
    <x v="1"/>
    <n v="0"/>
    <n v="50"/>
    <s v="All hours"/>
    <s v="Anaheim, CA"/>
    <n v="33.836599999999997"/>
    <n v="-117.9143"/>
    <d v="2022-09-18T00:00:00"/>
    <n v="4"/>
    <x v="0"/>
    <x v="25"/>
  </r>
  <r>
    <n v="30"/>
    <x v="1"/>
    <n v="1"/>
    <s v="Sun"/>
    <b v="1"/>
    <d v="1899-12-30T08:38:00"/>
    <d v="1899-12-30T10:08:00"/>
    <n v="90"/>
    <b v="0"/>
    <b v="1"/>
    <x v="1"/>
    <x v="3"/>
    <n v="30"/>
    <x v="0"/>
    <n v="30"/>
    <x v="1"/>
    <n v="0"/>
    <n v="30"/>
    <s v="Weekdays only"/>
    <s v="San Francisco, CA"/>
    <n v="37.774900000000002"/>
    <n v="-122.4194"/>
    <d v="2025-01-10T00:00:00"/>
    <n v="4"/>
    <x v="0"/>
    <x v="4"/>
  </r>
  <r>
    <n v="47"/>
    <x v="2"/>
    <n v="2"/>
    <s v="Mon, Tue"/>
    <b v="1"/>
    <d v="1899-12-30T19:06:00"/>
    <d v="1899-12-30T19:43:00"/>
    <n v="37"/>
    <b v="0"/>
    <b v="1"/>
    <x v="1"/>
    <x v="1"/>
    <n v="20"/>
    <x v="0"/>
    <n v="20"/>
    <x v="1"/>
    <n v="0"/>
    <n v="20"/>
    <s v="Off-peak only"/>
    <s v="San Francisco, CA"/>
    <n v="37.774900000000002"/>
    <n v="-122.4194"/>
    <d v="2023-10-07T00:00:00"/>
    <n v="5"/>
    <x v="1"/>
    <x v="3"/>
  </r>
  <r>
    <n v="30"/>
    <x v="2"/>
    <n v="4"/>
    <s v="Fri, Mon, Sat, Wed"/>
    <b v="1"/>
    <d v="1899-12-30T09:21:00"/>
    <d v="1899-12-30T11:31:00"/>
    <n v="130"/>
    <b v="1"/>
    <b v="1"/>
    <x v="1"/>
    <x v="2"/>
    <n v="20"/>
    <x v="0"/>
    <n v="20"/>
    <x v="3"/>
    <n v="0.15"/>
    <n v="17"/>
    <s v="Off-peak only"/>
    <s v="Los Angeles, CA"/>
    <n v="34.052199999999999"/>
    <n v="-118.2437"/>
    <d v="2024-01-01T00:00:00"/>
    <n v="7"/>
    <x v="1"/>
    <x v="23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3-09-10T00:00:00"/>
    <n v="6"/>
    <x v="0"/>
    <x v="7"/>
  </r>
  <r>
    <n v="36"/>
    <x v="0"/>
    <n v="2"/>
    <s v="Mon, Sat"/>
    <b v="1"/>
    <d v="1899-12-30T09:08:00"/>
    <d v="1899-12-30T11:19:00"/>
    <n v="131"/>
    <b v="1"/>
    <b v="1"/>
    <x v="0"/>
    <x v="4"/>
    <n v="50"/>
    <x v="0"/>
    <n v="50"/>
    <x v="3"/>
    <n v="0.15"/>
    <n v="42.5"/>
    <s v="All hours"/>
    <s v="Anaheim, CA"/>
    <n v="33.836599999999997"/>
    <n v="-117.9143"/>
    <d v="2025-06-03T00:00:00"/>
    <n v="7"/>
    <x v="0"/>
    <x v="9"/>
  </r>
  <r>
    <n v="43"/>
    <x v="3"/>
    <n v="3"/>
    <s v="Sat, Sun, Wed"/>
    <b v="1"/>
    <d v="1899-12-30T10:17:00"/>
    <d v="1899-12-30T12:00:00"/>
    <n v="103"/>
    <b v="0"/>
    <b v="1"/>
    <x v="0"/>
    <x v="4"/>
    <n v="70"/>
    <x v="1"/>
    <n v="52.5"/>
    <x v="1"/>
    <n v="0"/>
    <n v="52.5"/>
    <s v="All hours + Priority access"/>
    <s v="Long Beach, CA"/>
    <n v="33.770099999999999"/>
    <n v="-118.19370000000001"/>
    <d v="2022-12-07T00:00:00"/>
    <n v="1"/>
    <x v="0"/>
    <x v="54"/>
  </r>
  <r>
    <n v="45"/>
    <x v="3"/>
    <n v="2"/>
    <s v="Thu, Wed"/>
    <b v="0"/>
    <d v="1899-12-30T08:54:00"/>
    <d v="1899-12-30T10:19:00"/>
    <n v="85"/>
    <b v="0"/>
    <b v="1"/>
    <x v="1"/>
    <x v="4"/>
    <n v="70"/>
    <x v="1"/>
    <n v="52.5"/>
    <x v="0"/>
    <n v="0.05"/>
    <n v="49.875"/>
    <s v="All hours + Priority access"/>
    <s v="Bakersfield, CA"/>
    <n v="35.3733"/>
    <n v="-119.0187"/>
    <d v="2022-10-04T00:00:00"/>
    <n v="3"/>
    <x v="0"/>
    <x v="38"/>
  </r>
  <r>
    <n v="39"/>
    <x v="0"/>
    <n v="2"/>
    <s v="Mon, Sat"/>
    <b v="0"/>
    <d v="1899-12-30T14:30:00"/>
    <d v="1899-12-30T16:14:00"/>
    <n v="104"/>
    <b v="0"/>
    <b v="1"/>
    <x v="0"/>
    <x v="4"/>
    <n v="50"/>
    <x v="2"/>
    <n v="45"/>
    <x v="2"/>
    <n v="0.1"/>
    <n v="40.5"/>
    <s v="All hours"/>
    <s v="Sacramento, CA"/>
    <n v="38.581600000000002"/>
    <n v="-121.4944"/>
    <d v="2023-10-30T00:00:00"/>
    <n v="4"/>
    <x v="0"/>
    <x v="50"/>
  </r>
  <r>
    <n v="38"/>
    <x v="0"/>
    <n v="3"/>
    <s v="Fri, Thu, Wed"/>
    <b v="1"/>
    <d v="1899-12-30T08:17:00"/>
    <d v="1899-12-30T10:38:00"/>
    <n v="141"/>
    <b v="0"/>
    <b v="0"/>
    <x v="1"/>
    <x v="1"/>
    <n v="50"/>
    <x v="1"/>
    <n v="37.5"/>
    <x v="1"/>
    <n v="0"/>
    <n v="37.5"/>
    <s v="All hours"/>
    <s v="Anaheim, CA"/>
    <n v="33.836599999999997"/>
    <n v="-117.9143"/>
    <d v="2023-06-12T00:00:00"/>
    <n v="0"/>
    <x v="0"/>
    <x v="28"/>
  </r>
  <r>
    <n v="15"/>
    <x v="2"/>
    <n v="2"/>
    <s v="Fri, Sun"/>
    <b v="1"/>
    <d v="1899-12-30T14:20:00"/>
    <d v="1899-12-30T17:01:00"/>
    <n v="161"/>
    <b v="0"/>
    <b v="0"/>
    <x v="0"/>
    <x v="1"/>
    <n v="20"/>
    <x v="0"/>
    <n v="20"/>
    <x v="1"/>
    <n v="0"/>
    <n v="20"/>
    <s v="Off-peak only"/>
    <s v="Anaheim, CA"/>
    <n v="33.836599999999997"/>
    <n v="-117.9143"/>
    <d v="2022-10-14T00:00:00"/>
    <n v="0"/>
    <x v="1"/>
    <x v="38"/>
  </r>
  <r>
    <n v="22"/>
    <x v="1"/>
    <n v="3"/>
    <s v="Fri, Sun, Wed"/>
    <b v="1"/>
    <d v="1899-12-30T16:31:00"/>
    <d v="1899-12-30T18:39:00"/>
    <n v="128"/>
    <b v="0"/>
    <b v="0"/>
    <x v="0"/>
    <x v="4"/>
    <n v="30"/>
    <x v="0"/>
    <n v="30"/>
    <x v="1"/>
    <n v="0"/>
    <n v="30"/>
    <s v="Weekdays only"/>
    <s v="Bakersfield, CA"/>
    <n v="35.3733"/>
    <n v="-119.0187"/>
    <d v="2023-05-31T00:00:00"/>
    <n v="0"/>
    <x v="0"/>
    <x v="8"/>
  </r>
  <r>
    <n v="18"/>
    <x v="0"/>
    <n v="4"/>
    <s v="Fri, Sat, Sun, Tue"/>
    <b v="1"/>
    <d v="1899-12-30T19:08:00"/>
    <d v="1899-12-30T21:32:00"/>
    <n v="144"/>
    <b v="1"/>
    <b v="0"/>
    <x v="0"/>
    <x v="0"/>
    <n v="50"/>
    <x v="0"/>
    <n v="50"/>
    <x v="1"/>
    <n v="0"/>
    <n v="50"/>
    <s v="All hours"/>
    <s v="San Diego, CA"/>
    <n v="32.715699999999998"/>
    <n v="-117.1611"/>
    <d v="2025-01-11T00:00:00"/>
    <n v="0"/>
    <x v="1"/>
    <x v="4"/>
  </r>
  <r>
    <n v="29"/>
    <x v="0"/>
    <n v="3"/>
    <s v="Fri, Mon, Thu"/>
    <b v="1"/>
    <d v="1899-12-30T20:39:00"/>
    <d v="1899-12-30T22:09:00"/>
    <n v="90"/>
    <b v="0"/>
    <b v="1"/>
    <x v="0"/>
    <x v="4"/>
    <n v="50"/>
    <x v="0"/>
    <n v="50"/>
    <x v="1"/>
    <n v="0"/>
    <n v="50"/>
    <s v="All hours"/>
    <s v="Fresno, CA"/>
    <n v="36.7378"/>
    <n v="-119.7871"/>
    <d v="2023-10-18T00:00:00"/>
    <n v="7"/>
    <x v="0"/>
    <x v="59"/>
  </r>
  <r>
    <n v="49"/>
    <x v="0"/>
    <n v="2"/>
    <s v="Fri, Tue"/>
    <b v="1"/>
    <d v="1899-12-30T13:20:00"/>
    <d v="1899-12-30T14:26:00"/>
    <n v="66"/>
    <b v="0"/>
    <b v="1"/>
    <x v="1"/>
    <x v="1"/>
    <n v="50"/>
    <x v="0"/>
    <n v="50"/>
    <x v="1"/>
    <n v="0"/>
    <n v="50"/>
    <s v="All hours"/>
    <s v="Sacramento, CA"/>
    <n v="38.581600000000002"/>
    <n v="-121.4944"/>
    <d v="2023-09-15T00:00:00"/>
    <n v="1"/>
    <x v="0"/>
    <x v="7"/>
  </r>
  <r>
    <n v="16"/>
    <x v="0"/>
    <n v="4"/>
    <s v="Mon, Sun, Thu, Tue"/>
    <b v="1"/>
    <d v="1899-12-30T16:21:00"/>
    <d v="1899-12-30T17:38:00"/>
    <n v="77"/>
    <b v="0"/>
    <b v="1"/>
    <x v="0"/>
    <x v="4"/>
    <n v="50"/>
    <x v="0"/>
    <n v="50"/>
    <x v="2"/>
    <n v="0.1"/>
    <n v="45"/>
    <s v="All hours"/>
    <s v="San Diego, CA"/>
    <n v="32.715699999999998"/>
    <n v="-117.1611"/>
    <d v="2024-03-28T00:00:00"/>
    <n v="4"/>
    <x v="0"/>
    <x v="17"/>
  </r>
  <r>
    <n v="36"/>
    <x v="0"/>
    <n v="2"/>
    <s v="Mon, Tue"/>
    <b v="0"/>
    <d v="1899-12-30T10:16:00"/>
    <d v="1899-12-30T13:07:00"/>
    <n v="171"/>
    <b v="1"/>
    <b v="0"/>
    <x v="1"/>
    <x v="4"/>
    <n v="50"/>
    <x v="0"/>
    <n v="50"/>
    <x v="2"/>
    <n v="0.1"/>
    <n v="45"/>
    <s v="All hours"/>
    <s v="Fresno, CA"/>
    <n v="36.7378"/>
    <n v="-119.7871"/>
    <d v="2023-04-30T00:00:00"/>
    <n v="0"/>
    <x v="0"/>
    <x v="58"/>
  </r>
  <r>
    <n v="14"/>
    <x v="3"/>
    <n v="1"/>
    <s v="Fri"/>
    <b v="0"/>
    <d v="1899-12-30T12:10:00"/>
    <d v="1899-12-30T13:42:00"/>
    <n v="92"/>
    <b v="1"/>
    <b v="0"/>
    <x v="1"/>
    <x v="0"/>
    <n v="70"/>
    <x v="0"/>
    <n v="70"/>
    <x v="3"/>
    <n v="0.15"/>
    <n v="59.5"/>
    <s v="All hours + Priority access"/>
    <s v="Oakland, CA"/>
    <n v="37.804400000000001"/>
    <n v="-122.27119999999999"/>
    <d v="2022-10-01T00:00:00"/>
    <n v="0"/>
    <x v="0"/>
    <x v="25"/>
  </r>
  <r>
    <n v="48"/>
    <x v="1"/>
    <n v="3"/>
    <s v="Mon, Tue, Wed"/>
    <b v="0"/>
    <d v="1899-12-30T15:32:00"/>
    <d v="1899-12-30T16:25:00"/>
    <n v="53"/>
    <b v="1"/>
    <b v="1"/>
    <x v="1"/>
    <x v="0"/>
    <n v="30"/>
    <x v="0"/>
    <n v="30"/>
    <x v="2"/>
    <n v="0.1"/>
    <n v="27"/>
    <s v="Weekdays only"/>
    <s v="Fresno, CA"/>
    <n v="36.7378"/>
    <n v="-119.7871"/>
    <d v="2022-10-11T00:00:00"/>
    <n v="3"/>
    <x v="1"/>
    <x v="38"/>
  </r>
  <r>
    <n v="46"/>
    <x v="2"/>
    <n v="5"/>
    <s v="Fri, Sun, Thu, Tue, Wed"/>
    <b v="1"/>
    <d v="1899-12-30T11:18:00"/>
    <d v="1899-12-30T14:06:00"/>
    <n v="168"/>
    <b v="1"/>
    <b v="1"/>
    <x v="1"/>
    <x v="0"/>
    <n v="20"/>
    <x v="1"/>
    <n v="15"/>
    <x v="2"/>
    <n v="0.1"/>
    <n v="13.5"/>
    <s v="Off-peak only"/>
    <s v="San Francisco, CA"/>
    <n v="37.774900000000002"/>
    <n v="-122.4194"/>
    <d v="2024-02-28T00:00:00"/>
    <n v="7"/>
    <x v="1"/>
    <x v="21"/>
  </r>
  <r>
    <n v="27"/>
    <x v="0"/>
    <n v="2"/>
    <s v="Fri, Tue"/>
    <b v="0"/>
    <d v="1899-12-30T17:22:00"/>
    <d v="1899-12-30T19:32:00"/>
    <n v="130"/>
    <b v="1"/>
    <b v="0"/>
    <x v="0"/>
    <x v="1"/>
    <n v="50"/>
    <x v="0"/>
    <n v="50"/>
    <x v="3"/>
    <n v="0.15"/>
    <n v="42.5"/>
    <s v="All hours"/>
    <s v="Anaheim, CA"/>
    <n v="33.836599999999997"/>
    <n v="-117.9143"/>
    <d v="2025-02-22T00:00:00"/>
    <n v="0"/>
    <x v="1"/>
    <x v="45"/>
  </r>
  <r>
    <n v="43"/>
    <x v="1"/>
    <n v="5"/>
    <s v="Mon, Sat, Sun, Tue, Wed"/>
    <b v="0"/>
    <d v="1899-12-30T12:50:00"/>
    <d v="1899-12-30T15:20:00"/>
    <n v="150"/>
    <b v="1"/>
    <b v="1"/>
    <x v="1"/>
    <x v="0"/>
    <n v="30"/>
    <x v="2"/>
    <n v="27"/>
    <x v="1"/>
    <n v="0"/>
    <n v="27"/>
    <s v="Weekdays only"/>
    <s v="San Francisco, CA"/>
    <n v="37.774900000000002"/>
    <n v="-122.4194"/>
    <d v="2022-08-09T00:00:00"/>
    <n v="4"/>
    <x v="1"/>
    <x v="43"/>
  </r>
  <r>
    <n v="32"/>
    <x v="3"/>
    <n v="3"/>
    <s v="Sat, Sun, Thu"/>
    <b v="0"/>
    <d v="1899-12-30T14:01:00"/>
    <d v="1899-12-30T16:17:00"/>
    <n v="136"/>
    <b v="0"/>
    <b v="0"/>
    <x v="0"/>
    <x v="4"/>
    <n v="70"/>
    <x v="0"/>
    <n v="70"/>
    <x v="1"/>
    <n v="0"/>
    <n v="70"/>
    <s v="All hours + Priority access"/>
    <s v="Anaheim, CA"/>
    <n v="33.836599999999997"/>
    <n v="-117.9143"/>
    <d v="2023-01-11T00:00:00"/>
    <n v="0"/>
    <x v="0"/>
    <x v="57"/>
  </r>
  <r>
    <n v="20"/>
    <x v="2"/>
    <n v="2"/>
    <s v="Fri, Wed"/>
    <b v="1"/>
    <d v="1899-12-30T17:52:00"/>
    <d v="1899-12-30T20:41:00"/>
    <n v="169"/>
    <b v="0"/>
    <b v="0"/>
    <x v="1"/>
    <x v="0"/>
    <n v="20"/>
    <x v="2"/>
    <n v="18"/>
    <x v="3"/>
    <n v="0.15"/>
    <n v="15.3"/>
    <s v="Off-peak only"/>
    <s v="Fresno, CA"/>
    <n v="36.7378"/>
    <n v="-119.7871"/>
    <d v="2025-02-10T00:00:00"/>
    <n v="0"/>
    <x v="1"/>
    <x v="30"/>
  </r>
  <r>
    <n v="37"/>
    <x v="0"/>
    <n v="2"/>
    <s v="Tue, Wed"/>
    <b v="0"/>
    <d v="1899-12-30T11:30:00"/>
    <d v="1899-12-30T12:10:00"/>
    <n v="40"/>
    <b v="1"/>
    <b v="0"/>
    <x v="0"/>
    <x v="2"/>
    <n v="50"/>
    <x v="0"/>
    <n v="50"/>
    <x v="1"/>
    <n v="0"/>
    <n v="50"/>
    <s v="All hours"/>
    <s v="Bakersfield, CA"/>
    <n v="35.3733"/>
    <n v="-119.0187"/>
    <d v="2022-10-16T00:00:00"/>
    <n v="0"/>
    <x v="0"/>
    <x v="38"/>
  </r>
  <r>
    <n v="14"/>
    <x v="3"/>
    <n v="5"/>
    <s v="Sat, Sun, Thu, Tue, Wed"/>
    <b v="1"/>
    <d v="1899-12-30T08:25:00"/>
    <d v="1899-12-30T10:08:00"/>
    <n v="103"/>
    <b v="0"/>
    <b v="1"/>
    <x v="1"/>
    <x v="0"/>
    <n v="70"/>
    <x v="0"/>
    <n v="70"/>
    <x v="2"/>
    <n v="0.1"/>
    <n v="63"/>
    <s v="All hours + Priority access"/>
    <s v="Oakland, CA"/>
    <n v="37.804400000000001"/>
    <n v="-122.27119999999999"/>
    <d v="2022-12-09T00:00:00"/>
    <n v="6"/>
    <x v="0"/>
    <x v="54"/>
  </r>
  <r>
    <n v="35"/>
    <x v="2"/>
    <n v="3"/>
    <s v="Fri, Thu, Tue"/>
    <b v="1"/>
    <d v="1899-12-30T13:32:00"/>
    <d v="1899-12-30T16:19:00"/>
    <n v="167"/>
    <b v="0"/>
    <b v="0"/>
    <x v="0"/>
    <x v="0"/>
    <n v="20"/>
    <x v="1"/>
    <n v="15"/>
    <x v="3"/>
    <n v="0.15"/>
    <n v="12.75"/>
    <s v="Off-peak only"/>
    <s v="San Diego, CA"/>
    <n v="32.715699999999998"/>
    <n v="-117.1611"/>
    <d v="2023-12-18T00:00:00"/>
    <n v="0"/>
    <x v="0"/>
    <x v="16"/>
  </r>
  <r>
    <n v="43"/>
    <x v="2"/>
    <n v="2"/>
    <s v="Tue, Wed"/>
    <b v="0"/>
    <d v="1899-12-30T18:35:00"/>
    <d v="1899-12-30T21:16:00"/>
    <n v="161"/>
    <b v="0"/>
    <b v="1"/>
    <x v="1"/>
    <x v="2"/>
    <n v="20"/>
    <x v="0"/>
    <n v="20"/>
    <x v="3"/>
    <n v="0.15"/>
    <n v="17"/>
    <s v="Off-peak only"/>
    <s v="San Francisco, CA"/>
    <n v="37.774900000000002"/>
    <n v="-122.4194"/>
    <d v="2023-10-02T00:00:00"/>
    <n v="8"/>
    <x v="0"/>
    <x v="3"/>
  </r>
  <r>
    <n v="34"/>
    <x v="3"/>
    <n v="1"/>
    <s v="Sun"/>
    <b v="1"/>
    <d v="1899-12-30T14:47:00"/>
    <d v="1899-12-30T16:49:00"/>
    <n v="122"/>
    <b v="1"/>
    <b v="0"/>
    <x v="0"/>
    <x v="4"/>
    <n v="70"/>
    <x v="1"/>
    <n v="52.5"/>
    <x v="1"/>
    <n v="0"/>
    <n v="52.5"/>
    <s v="All hours + Priority access"/>
    <s v="Los Angeles, CA"/>
    <n v="34.052199999999999"/>
    <n v="-118.2437"/>
    <d v="2024-04-24T00:00:00"/>
    <n v="0"/>
    <x v="1"/>
    <x v="40"/>
  </r>
  <r>
    <n v="44"/>
    <x v="2"/>
    <n v="2"/>
    <s v="Fri, Sun"/>
    <b v="1"/>
    <d v="1899-12-30T19:30:00"/>
    <d v="1899-12-30T22:04:00"/>
    <n v="154"/>
    <b v="0"/>
    <b v="0"/>
    <x v="0"/>
    <x v="2"/>
    <n v="20"/>
    <x v="1"/>
    <n v="15"/>
    <x v="2"/>
    <n v="0.1"/>
    <n v="13.5"/>
    <s v="Off-peak only"/>
    <s v="Oakland, CA"/>
    <n v="37.804400000000001"/>
    <n v="-122.27119999999999"/>
    <d v="2025-04-25T00:00:00"/>
    <n v="0"/>
    <x v="1"/>
    <x v="5"/>
  </r>
  <r>
    <n v="12"/>
    <x v="0"/>
    <n v="5"/>
    <s v="Mon, Sun, Thu, Tue, Wed"/>
    <b v="1"/>
    <d v="1899-12-30T18:32:00"/>
    <d v="1899-12-30T19:28:00"/>
    <n v="56"/>
    <b v="1"/>
    <b v="0"/>
    <x v="1"/>
    <x v="0"/>
    <n v="50"/>
    <x v="0"/>
    <n v="50"/>
    <x v="2"/>
    <n v="0.1"/>
    <n v="45"/>
    <s v="All hours"/>
    <s v="San Jose, CA"/>
    <n v="37.338200000000001"/>
    <n v="-121.88630000000001"/>
    <d v="2024-07-01T00:00:00"/>
    <n v="0"/>
    <x v="1"/>
    <x v="55"/>
  </r>
  <r>
    <n v="39"/>
    <x v="2"/>
    <n v="2"/>
    <s v="Sun, Wed"/>
    <b v="0"/>
    <d v="1899-12-30T12:10:00"/>
    <d v="1899-12-30T12:42:00"/>
    <n v="32"/>
    <b v="1"/>
    <b v="1"/>
    <x v="0"/>
    <x v="0"/>
    <n v="20"/>
    <x v="1"/>
    <n v="15"/>
    <x v="1"/>
    <n v="0"/>
    <n v="15"/>
    <s v="Off-peak only"/>
    <s v="Oakland, CA"/>
    <n v="37.804400000000001"/>
    <n v="-122.27119999999999"/>
    <d v="2023-02-18T00:00:00"/>
    <n v="6"/>
    <x v="1"/>
    <x v="26"/>
  </r>
  <r>
    <n v="37"/>
    <x v="0"/>
    <n v="3"/>
    <s v="Fri, Sat, Sun"/>
    <b v="0"/>
    <d v="1899-12-30T17:53:00"/>
    <d v="1899-12-30T20:14:00"/>
    <n v="141"/>
    <b v="0"/>
    <b v="0"/>
    <x v="1"/>
    <x v="1"/>
    <n v="50"/>
    <x v="1"/>
    <n v="37.5"/>
    <x v="2"/>
    <n v="0.1"/>
    <n v="33.75"/>
    <s v="All hours"/>
    <s v="Long Beach, CA"/>
    <n v="33.770099999999999"/>
    <n v="-118.19370000000001"/>
    <d v="2025-06-18T00:00:00"/>
    <n v="0"/>
    <x v="0"/>
    <x v="44"/>
  </r>
  <r>
    <n v="36"/>
    <x v="0"/>
    <n v="3"/>
    <s v="Sat, Sun, Tue"/>
    <b v="1"/>
    <d v="1899-12-30T09:39:00"/>
    <d v="1899-12-30T11:08:00"/>
    <n v="89"/>
    <b v="0"/>
    <b v="0"/>
    <x v="1"/>
    <x v="0"/>
    <n v="50"/>
    <x v="0"/>
    <n v="50"/>
    <x v="1"/>
    <n v="0"/>
    <n v="50"/>
    <s v="All hours"/>
    <s v="Fresno, CA"/>
    <n v="36.7378"/>
    <n v="-119.7871"/>
    <d v="2024-07-02T00:00:00"/>
    <n v="0"/>
    <x v="0"/>
    <x v="55"/>
  </r>
  <r>
    <n v="42"/>
    <x v="0"/>
    <n v="2"/>
    <s v="Mon, Wed"/>
    <b v="0"/>
    <d v="1899-12-30T11:03:00"/>
    <d v="1899-12-30T13:34:00"/>
    <n v="151"/>
    <b v="1"/>
    <b v="1"/>
    <x v="0"/>
    <x v="2"/>
    <n v="50"/>
    <x v="1"/>
    <n v="37.5"/>
    <x v="2"/>
    <n v="0.1"/>
    <n v="33.75"/>
    <s v="All hours"/>
    <s v="Fresno, CA"/>
    <n v="36.7378"/>
    <n v="-119.7871"/>
    <d v="2024-04-24T00:00:00"/>
    <n v="5"/>
    <x v="1"/>
    <x v="40"/>
  </r>
  <r>
    <n v="44"/>
    <x v="0"/>
    <n v="2"/>
    <s v="Fri, Mon"/>
    <b v="1"/>
    <d v="1899-12-30T17:13:00"/>
    <d v="1899-12-30T18:15:00"/>
    <n v="62"/>
    <b v="0"/>
    <b v="0"/>
    <x v="1"/>
    <x v="0"/>
    <n v="50"/>
    <x v="1"/>
    <n v="37.5"/>
    <x v="2"/>
    <n v="0.1"/>
    <n v="33.75"/>
    <s v="All hours"/>
    <s v="Oakland, CA"/>
    <n v="37.804400000000001"/>
    <n v="-122.27119999999999"/>
    <d v="2023-11-28T00:00:00"/>
    <n v="0"/>
    <x v="0"/>
    <x v="35"/>
  </r>
  <r>
    <n v="29"/>
    <x v="1"/>
    <n v="1"/>
    <s v="Mon"/>
    <b v="0"/>
    <d v="1899-12-30T08:33:00"/>
    <d v="1899-12-30T09:57:00"/>
    <n v="84"/>
    <b v="1"/>
    <b v="0"/>
    <x v="0"/>
    <x v="0"/>
    <n v="30"/>
    <x v="0"/>
    <n v="30"/>
    <x v="1"/>
    <n v="0"/>
    <n v="30"/>
    <s v="Weekdays only"/>
    <s v="Oakland, CA"/>
    <n v="37.804400000000001"/>
    <n v="-122.27119999999999"/>
    <d v="2022-10-17T00:00:00"/>
    <n v="0"/>
    <x v="1"/>
    <x v="38"/>
  </r>
  <r>
    <n v="34"/>
    <x v="1"/>
    <n v="2"/>
    <s v="Fri, Tue"/>
    <b v="0"/>
    <d v="1899-12-30T17:02:00"/>
    <d v="1899-12-30T18:36:00"/>
    <n v="94"/>
    <b v="1"/>
    <b v="1"/>
    <x v="1"/>
    <x v="0"/>
    <n v="30"/>
    <x v="0"/>
    <n v="30"/>
    <x v="3"/>
    <n v="0.15"/>
    <n v="25.5"/>
    <s v="Weekdays only"/>
    <s v="San Jose, CA"/>
    <n v="37.338200000000001"/>
    <n v="-121.88630000000001"/>
    <d v="2024-06-19T00:00:00"/>
    <n v="5"/>
    <x v="0"/>
    <x v="55"/>
  </r>
  <r>
    <n v="13"/>
    <x v="1"/>
    <n v="3"/>
    <s v="Mon, Tue, Wed"/>
    <b v="0"/>
    <d v="1899-12-30T13:36:00"/>
    <d v="1899-12-30T14:08:00"/>
    <n v="32"/>
    <b v="0"/>
    <b v="1"/>
    <x v="0"/>
    <x v="0"/>
    <n v="30"/>
    <x v="0"/>
    <n v="30"/>
    <x v="1"/>
    <n v="0"/>
    <n v="30"/>
    <s v="Weekdays only"/>
    <s v="Oakland, CA"/>
    <n v="37.804400000000001"/>
    <n v="-122.27119999999999"/>
    <d v="2024-06-18T00:00:00"/>
    <n v="4"/>
    <x v="1"/>
    <x v="55"/>
  </r>
  <r>
    <n v="19"/>
    <x v="0"/>
    <n v="2"/>
    <s v="Sun, Tue"/>
    <b v="1"/>
    <d v="1899-12-30T19:22:00"/>
    <d v="1899-12-30T20:25:00"/>
    <n v="63"/>
    <b v="0"/>
    <b v="0"/>
    <x v="0"/>
    <x v="4"/>
    <n v="50"/>
    <x v="1"/>
    <n v="37.5"/>
    <x v="1"/>
    <n v="0"/>
    <n v="37.5"/>
    <s v="All hours"/>
    <s v="Bakersfield, CA"/>
    <n v="35.3733"/>
    <n v="-119.0187"/>
    <d v="2023-04-29T00:00:00"/>
    <n v="0"/>
    <x v="0"/>
    <x v="58"/>
  </r>
  <r>
    <n v="35"/>
    <x v="0"/>
    <n v="1"/>
    <s v="Sat"/>
    <b v="0"/>
    <d v="1899-12-30T20:12:00"/>
    <d v="1899-12-30T22:37:00"/>
    <n v="145"/>
    <b v="1"/>
    <b v="1"/>
    <x v="0"/>
    <x v="0"/>
    <n v="50"/>
    <x v="0"/>
    <n v="50"/>
    <x v="3"/>
    <n v="0.15"/>
    <n v="42.5"/>
    <s v="All hours"/>
    <s v="Sacramento, CA"/>
    <n v="38.581600000000002"/>
    <n v="-121.4944"/>
    <d v="2024-02-27T00:00:00"/>
    <n v="8"/>
    <x v="0"/>
    <x v="21"/>
  </r>
  <r>
    <n v="24"/>
    <x v="2"/>
    <n v="5"/>
    <s v="Fri, Sat, Sun, Thu, Wed"/>
    <b v="1"/>
    <d v="1899-12-30T09:06:00"/>
    <d v="1899-12-30T10:19:00"/>
    <n v="73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4-10-26T00:00:00"/>
    <n v="0"/>
    <x v="0"/>
    <x v="53"/>
  </r>
  <r>
    <n v="19"/>
    <x v="0"/>
    <n v="3"/>
    <s v="Fri, Sun, Wed"/>
    <b v="1"/>
    <d v="1899-12-30T15:01:00"/>
    <d v="1899-12-30T16:59:00"/>
    <n v="118"/>
    <b v="1"/>
    <b v="0"/>
    <x v="0"/>
    <x v="0"/>
    <n v="50"/>
    <x v="1"/>
    <n v="37.5"/>
    <x v="0"/>
    <n v="0.05"/>
    <n v="35.625"/>
    <s v="All hours"/>
    <s v="San Diego, CA"/>
    <n v="32.715699999999998"/>
    <n v="-117.1611"/>
    <d v="2024-02-27T00:00:00"/>
    <n v="0"/>
    <x v="0"/>
    <x v="21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5-01-23T00:00:00"/>
    <n v="0"/>
    <x v="0"/>
    <x v="19"/>
  </r>
  <r>
    <n v="36"/>
    <x v="2"/>
    <n v="1"/>
    <s v="Fri"/>
    <b v="0"/>
    <d v="1899-12-30T11:05:00"/>
    <d v="1899-12-30T12:28:00"/>
    <n v="83"/>
    <b v="1"/>
    <b v="0"/>
    <x v="1"/>
    <x v="2"/>
    <n v="20"/>
    <x v="0"/>
    <n v="20"/>
    <x v="0"/>
    <n v="0.05"/>
    <n v="19"/>
    <s v="Off-peak only"/>
    <s v="Fresno, CA"/>
    <n v="36.7378"/>
    <n v="-119.7871"/>
    <d v="2024-12-17T00:00:00"/>
    <n v="0"/>
    <x v="0"/>
    <x v="13"/>
  </r>
  <r>
    <n v="48"/>
    <x v="0"/>
    <n v="2"/>
    <s v="Thu, Wed"/>
    <b v="0"/>
    <d v="1899-12-30T17:14:00"/>
    <d v="1899-12-30T20:05:00"/>
    <n v="171"/>
    <b v="0"/>
    <b v="1"/>
    <x v="1"/>
    <x v="0"/>
    <n v="50"/>
    <x v="1"/>
    <n v="37.5"/>
    <x v="1"/>
    <n v="0"/>
    <n v="37.5"/>
    <s v="All hours"/>
    <s v="San Francisco, CA"/>
    <n v="37.774900000000002"/>
    <n v="-122.4194"/>
    <d v="2024-01-09T00:00:00"/>
    <n v="1"/>
    <x v="0"/>
    <x v="31"/>
  </r>
  <r>
    <n v="39"/>
    <x v="0"/>
    <n v="2"/>
    <s v="Mon, Sat"/>
    <b v="0"/>
    <d v="1899-12-30T14:30:00"/>
    <d v="1899-12-30T16:14:00"/>
    <n v="104"/>
    <b v="0"/>
    <b v="1"/>
    <x v="0"/>
    <x v="4"/>
    <n v="50"/>
    <x v="2"/>
    <n v="45"/>
    <x v="2"/>
    <n v="0.1"/>
    <n v="40.5"/>
    <s v="All hours"/>
    <s v="Sacramento, CA"/>
    <n v="38.581600000000002"/>
    <n v="-121.4944"/>
    <d v="2024-04-02T00:00:00"/>
    <n v="6"/>
    <x v="1"/>
    <x v="17"/>
  </r>
  <r>
    <n v="13"/>
    <x v="1"/>
    <n v="1"/>
    <s v="Fri"/>
    <b v="0"/>
    <d v="1899-12-30T16:10:00"/>
    <d v="1899-12-30T16:40:00"/>
    <n v="30"/>
    <b v="1"/>
    <b v="0"/>
    <x v="0"/>
    <x v="4"/>
    <n v="30"/>
    <x v="1"/>
    <n v="22.5"/>
    <x v="0"/>
    <n v="0.05"/>
    <n v="21.375"/>
    <s v="Weekdays only"/>
    <s v="San Diego, CA"/>
    <n v="32.715699999999998"/>
    <n v="-117.1611"/>
    <d v="2022-10-22T00:00:00"/>
    <n v="0"/>
    <x v="1"/>
    <x v="32"/>
  </r>
  <r>
    <n v="13"/>
    <x v="3"/>
    <n v="2"/>
    <s v="Mon, Tue"/>
    <b v="1"/>
    <d v="1899-12-30T20:56:00"/>
    <d v="1899-12-30T23:36:00"/>
    <n v="160"/>
    <b v="1"/>
    <b v="1"/>
    <x v="0"/>
    <x v="0"/>
    <n v="70"/>
    <x v="2"/>
    <n v="63"/>
    <x v="3"/>
    <n v="0.15"/>
    <n v="53.55"/>
    <s v="All hours + Priority access"/>
    <s v="Sacramento, CA"/>
    <n v="38.581600000000002"/>
    <n v="-121.4944"/>
    <d v="2024-06-02T00:00:00"/>
    <n v="1"/>
    <x v="0"/>
    <x v="20"/>
  </r>
  <r>
    <n v="41"/>
    <x v="1"/>
    <n v="3"/>
    <s v="Fri, Mon, Wed"/>
    <b v="0"/>
    <d v="1899-12-30T09:26:00"/>
    <d v="1899-12-30T10:35:00"/>
    <n v="69"/>
    <b v="1"/>
    <b v="0"/>
    <x v="1"/>
    <x v="4"/>
    <n v="30"/>
    <x v="2"/>
    <n v="27"/>
    <x v="0"/>
    <n v="0.05"/>
    <n v="25.65"/>
    <s v="Weekdays only"/>
    <s v="Fresno, CA"/>
    <n v="36.7378"/>
    <n v="-119.7871"/>
    <d v="2023-10-13T00:00:00"/>
    <n v="0"/>
    <x v="0"/>
    <x v="59"/>
  </r>
  <r>
    <n v="32"/>
    <x v="2"/>
    <n v="5"/>
    <s v="Sat, Sun, Thu, Tue, Wed"/>
    <b v="0"/>
    <d v="1899-12-30T11:08:00"/>
    <d v="1899-12-30T13:20:00"/>
    <n v="132"/>
    <b v="1"/>
    <b v="0"/>
    <x v="1"/>
    <x v="4"/>
    <n v="20"/>
    <x v="2"/>
    <n v="18"/>
    <x v="1"/>
    <n v="0"/>
    <n v="18"/>
    <s v="Off-peak only"/>
    <s v="San Jose, CA"/>
    <n v="37.338200000000001"/>
    <n v="-121.88630000000001"/>
    <d v="2023-08-19T00:00:00"/>
    <n v="0"/>
    <x v="1"/>
    <x v="46"/>
  </r>
  <r>
    <n v="28"/>
    <x v="1"/>
    <n v="5"/>
    <s v="Fri, Mon, Sat, Tue, Wed"/>
    <b v="0"/>
    <d v="1899-12-30T14:53:00"/>
    <d v="1899-12-30T16:53:00"/>
    <n v="120"/>
    <b v="1"/>
    <b v="0"/>
    <x v="0"/>
    <x v="4"/>
    <n v="30"/>
    <x v="0"/>
    <n v="30"/>
    <x v="1"/>
    <n v="0"/>
    <n v="30"/>
    <s v="Weekdays only"/>
    <s v="Anaheim, CA"/>
    <n v="33.836599999999997"/>
    <n v="-117.9143"/>
    <d v="2025-06-09T00:00:00"/>
    <n v="0"/>
    <x v="1"/>
    <x v="44"/>
  </r>
  <r>
    <n v="14"/>
    <x v="3"/>
    <n v="2"/>
    <s v="Mon, Tue"/>
    <b v="0"/>
    <d v="1899-12-30T13:53:00"/>
    <d v="1899-12-30T16:06:00"/>
    <n v="133"/>
    <b v="1"/>
    <b v="1"/>
    <x v="0"/>
    <x v="1"/>
    <n v="70"/>
    <x v="0"/>
    <n v="70"/>
    <x v="0"/>
    <n v="0.05"/>
    <n v="66.5"/>
    <s v="All hours + Priority access"/>
    <s v="Fresno, CA"/>
    <n v="36.7378"/>
    <n v="-119.7871"/>
    <d v="2023-07-17T00:00:00"/>
    <n v="8"/>
    <x v="1"/>
    <x v="34"/>
  </r>
  <r>
    <n v="43"/>
    <x v="1"/>
    <n v="3"/>
    <s v="Fri, Sun, Tue"/>
    <b v="0"/>
    <d v="1899-12-30T18:37:00"/>
    <d v="1899-12-30T20:15:00"/>
    <n v="98"/>
    <b v="0"/>
    <b v="1"/>
    <x v="1"/>
    <x v="4"/>
    <n v="30"/>
    <x v="2"/>
    <n v="27"/>
    <x v="2"/>
    <n v="0.1"/>
    <n v="24.3"/>
    <s v="Weekdays only"/>
    <s v="Fresno, CA"/>
    <n v="36.7378"/>
    <n v="-119.7871"/>
    <d v="2024-12-15T00:00:00"/>
    <n v="1"/>
    <x v="1"/>
    <x v="13"/>
  </r>
  <r>
    <n v="13"/>
    <x v="0"/>
    <n v="5"/>
    <s v="Fri, Sun, Thu, Tue, Wed"/>
    <b v="0"/>
    <d v="1899-12-30T09:47:00"/>
    <d v="1899-12-30T12:16:00"/>
    <n v="149"/>
    <b v="0"/>
    <b v="1"/>
    <x v="0"/>
    <x v="1"/>
    <n v="50"/>
    <x v="0"/>
    <n v="50"/>
    <x v="1"/>
    <n v="0"/>
    <n v="50"/>
    <s v="All hours"/>
    <s v="Anaheim, CA"/>
    <n v="33.836599999999997"/>
    <n v="-117.9143"/>
    <d v="2022-09-03T00:00:00"/>
    <n v="8"/>
    <x v="0"/>
    <x v="1"/>
  </r>
  <r>
    <n v="46"/>
    <x v="1"/>
    <n v="3"/>
    <s v="Mon, Sun, Wed"/>
    <b v="1"/>
    <d v="1899-12-30T13:30:00"/>
    <d v="1899-12-30T14:37:00"/>
    <n v="67"/>
    <b v="0"/>
    <b v="1"/>
    <x v="0"/>
    <x v="2"/>
    <n v="30"/>
    <x v="0"/>
    <n v="30"/>
    <x v="1"/>
    <n v="0"/>
    <n v="30"/>
    <s v="Weekdays only"/>
    <s v="San Francisco, CA"/>
    <n v="37.774900000000002"/>
    <n v="-122.4194"/>
    <d v="2025-01-15T00:00:00"/>
    <n v="4"/>
    <x v="0"/>
    <x v="19"/>
  </r>
  <r>
    <n v="36"/>
    <x v="0"/>
    <n v="3"/>
    <s v="Fri, Sat, Tue"/>
    <b v="1"/>
    <d v="1899-12-30T18:19:00"/>
    <d v="1899-12-30T19:47:00"/>
    <n v="88"/>
    <b v="0"/>
    <b v="0"/>
    <x v="0"/>
    <x v="4"/>
    <n v="50"/>
    <x v="0"/>
    <n v="50"/>
    <x v="0"/>
    <n v="0.05"/>
    <n v="47.5"/>
    <s v="All hours"/>
    <s v="San Francisco, CA"/>
    <n v="37.774900000000002"/>
    <n v="-122.4194"/>
    <d v="2024-04-07T00:00:00"/>
    <n v="0"/>
    <x v="0"/>
    <x v="52"/>
  </r>
  <r>
    <n v="44"/>
    <x v="0"/>
    <n v="2"/>
    <s v="Fri, Mon"/>
    <b v="1"/>
    <d v="1899-12-30T17:13:00"/>
    <d v="1899-12-30T18:15:00"/>
    <n v="62"/>
    <b v="0"/>
    <b v="0"/>
    <x v="1"/>
    <x v="0"/>
    <n v="50"/>
    <x v="1"/>
    <n v="37.5"/>
    <x v="2"/>
    <n v="0.1"/>
    <n v="33.75"/>
    <s v="All hours"/>
    <s v="Oakland, CA"/>
    <n v="37.804400000000001"/>
    <n v="-122.27119999999999"/>
    <d v="2025-03-24T00:00:00"/>
    <n v="0"/>
    <x v="0"/>
    <x v="27"/>
  </r>
  <r>
    <n v="18"/>
    <x v="1"/>
    <n v="3"/>
    <s v="Mon, Sat, Sun"/>
    <b v="0"/>
    <d v="1899-12-30T11:06:00"/>
    <d v="1899-12-30T13:25:00"/>
    <n v="139"/>
    <b v="0"/>
    <b v="0"/>
    <x v="0"/>
    <x v="4"/>
    <n v="30"/>
    <x v="0"/>
    <n v="30"/>
    <x v="1"/>
    <n v="0"/>
    <n v="30"/>
    <s v="Weekdays only"/>
    <s v="Oakland, CA"/>
    <n v="37.804400000000001"/>
    <n v="-122.27119999999999"/>
    <d v="2022-07-27T00:00:00"/>
    <n v="0"/>
    <x v="1"/>
    <x v="43"/>
  </r>
  <r>
    <n v="18"/>
    <x v="1"/>
    <n v="3"/>
    <s v="Mon, Sat, Sun"/>
    <b v="0"/>
    <d v="1899-12-30T11:06:00"/>
    <d v="1899-12-30T13:25:00"/>
    <n v="139"/>
    <b v="0"/>
    <b v="0"/>
    <x v="0"/>
    <x v="4"/>
    <n v="30"/>
    <x v="0"/>
    <n v="30"/>
    <x v="1"/>
    <n v="0"/>
    <n v="30"/>
    <s v="Weekdays only"/>
    <s v="Oakland, CA"/>
    <n v="37.804400000000001"/>
    <n v="-122.27119999999999"/>
    <d v="2024-01-05T00:00:00"/>
    <n v="0"/>
    <x v="1"/>
    <x v="23"/>
  </r>
  <r>
    <n v="40"/>
    <x v="0"/>
    <n v="2"/>
    <s v="Sat, Thu"/>
    <b v="1"/>
    <d v="1899-12-30T18:52:00"/>
    <d v="1899-12-30T19:42:00"/>
    <n v="50"/>
    <b v="1"/>
    <b v="0"/>
    <x v="1"/>
    <x v="0"/>
    <n v="50"/>
    <x v="1"/>
    <n v="37.5"/>
    <x v="1"/>
    <n v="0"/>
    <n v="37.5"/>
    <s v="All hours"/>
    <s v="Los Angeles, CA"/>
    <n v="34.052199999999999"/>
    <n v="-118.2437"/>
    <d v="2023-09-27T00:00:00"/>
    <n v="0"/>
    <x v="0"/>
    <x v="3"/>
  </r>
  <r>
    <n v="27"/>
    <x v="1"/>
    <n v="2"/>
    <s v="Fri, Thu"/>
    <b v="1"/>
    <d v="1899-12-30T16:29:00"/>
    <d v="1899-12-30T19:08:00"/>
    <n v="159"/>
    <b v="1"/>
    <b v="0"/>
    <x v="1"/>
    <x v="0"/>
    <n v="30"/>
    <x v="0"/>
    <n v="30"/>
    <x v="1"/>
    <n v="0"/>
    <n v="30"/>
    <s v="Weekdays only"/>
    <s v="Los Angeles, CA"/>
    <n v="34.052199999999999"/>
    <n v="-118.2437"/>
    <d v="2025-04-12T00:00:00"/>
    <n v="0"/>
    <x v="0"/>
    <x v="42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3-04-16T00:00:00"/>
    <n v="1"/>
    <x v="0"/>
    <x v="58"/>
  </r>
  <r>
    <n v="49"/>
    <x v="1"/>
    <n v="3"/>
    <s v="Mon, Sat, Sun"/>
    <b v="0"/>
    <d v="1899-12-30T15:25:00"/>
    <d v="1899-12-30T18:05:00"/>
    <n v="160"/>
    <b v="1"/>
    <b v="0"/>
    <x v="1"/>
    <x v="4"/>
    <n v="30"/>
    <x v="0"/>
    <n v="30"/>
    <x v="2"/>
    <n v="0.1"/>
    <n v="27"/>
    <s v="Weekdays only"/>
    <s v="Los Angeles, CA"/>
    <n v="34.052199999999999"/>
    <n v="-118.2437"/>
    <d v="2024-11-11T00:00:00"/>
    <n v="0"/>
    <x v="1"/>
    <x v="12"/>
  </r>
  <r>
    <n v="49"/>
    <x v="1"/>
    <n v="1"/>
    <s v="Sat"/>
    <b v="0"/>
    <d v="1899-12-30T11:21:00"/>
    <d v="1899-12-30T12:46:00"/>
    <n v="85"/>
    <b v="0"/>
    <b v="0"/>
    <x v="1"/>
    <x v="0"/>
    <n v="30"/>
    <x v="1"/>
    <n v="22.5"/>
    <x v="1"/>
    <n v="0"/>
    <n v="22.5"/>
    <s v="Weekdays only"/>
    <s v="Long Beach, CA"/>
    <n v="33.770099999999999"/>
    <n v="-118.19370000000001"/>
    <d v="2022-11-09T00:00:00"/>
    <n v="0"/>
    <x v="0"/>
    <x v="37"/>
  </r>
  <r>
    <n v="12"/>
    <x v="1"/>
    <n v="3"/>
    <s v="Sun, Thu, Tue"/>
    <b v="1"/>
    <d v="1899-12-30T13:57:00"/>
    <d v="1899-12-30T15:10:00"/>
    <n v="73"/>
    <b v="0"/>
    <b v="0"/>
    <x v="1"/>
    <x v="2"/>
    <n v="30"/>
    <x v="1"/>
    <n v="22.5"/>
    <x v="0"/>
    <n v="0.05"/>
    <n v="21.375"/>
    <s v="Weekdays only"/>
    <s v="San Jose, CA"/>
    <n v="37.338200000000001"/>
    <n v="-121.88630000000001"/>
    <d v="2024-11-16T00:00:00"/>
    <n v="0"/>
    <x v="1"/>
    <x v="12"/>
  </r>
  <r>
    <n v="46"/>
    <x v="1"/>
    <n v="1"/>
    <s v="Sat"/>
    <b v="0"/>
    <d v="1899-12-30T11:13:00"/>
    <d v="1899-12-30T13:19:00"/>
    <n v="126"/>
    <b v="1"/>
    <b v="0"/>
    <x v="1"/>
    <x v="4"/>
    <n v="30"/>
    <x v="0"/>
    <n v="30"/>
    <x v="1"/>
    <n v="0"/>
    <n v="30"/>
    <s v="Weekdays only"/>
    <s v="San Diego, CA"/>
    <n v="32.715699999999998"/>
    <n v="-117.1611"/>
    <d v="2024-12-01T00:00:00"/>
    <n v="0"/>
    <x v="0"/>
    <x v="14"/>
  </r>
  <r>
    <n v="37"/>
    <x v="0"/>
    <n v="3"/>
    <s v="Fri, Thu, Wed"/>
    <b v="1"/>
    <d v="1899-12-30T18:23:00"/>
    <d v="1899-12-30T20:28:00"/>
    <n v="125"/>
    <b v="0"/>
    <b v="0"/>
    <x v="0"/>
    <x v="4"/>
    <n v="50"/>
    <x v="1"/>
    <n v="37.5"/>
    <x v="2"/>
    <n v="0.1"/>
    <n v="33.75"/>
    <s v="All hours"/>
    <s v="Anaheim, CA"/>
    <n v="33.836599999999997"/>
    <n v="-117.9143"/>
    <d v="2025-05-15T00:00:00"/>
    <n v="0"/>
    <x v="0"/>
    <x v="24"/>
  </r>
  <r>
    <n v="34"/>
    <x v="1"/>
    <n v="2"/>
    <s v="Mon, Sat"/>
    <b v="0"/>
    <d v="1899-12-30T18:44:00"/>
    <d v="1899-12-30T19:47:00"/>
    <n v="63"/>
    <b v="1"/>
    <b v="0"/>
    <x v="1"/>
    <x v="0"/>
    <n v="30"/>
    <x v="0"/>
    <n v="30"/>
    <x v="0"/>
    <n v="0.05"/>
    <n v="28.5"/>
    <s v="Weekdays only"/>
    <s v="Long Beach, CA"/>
    <n v="33.770099999999999"/>
    <n v="-118.19370000000001"/>
    <d v="2024-02-06T00:00:00"/>
    <n v="0"/>
    <x v="1"/>
    <x v="48"/>
  </r>
  <r>
    <n v="34"/>
    <x v="1"/>
    <n v="2"/>
    <s v="Mon, Sat"/>
    <b v="0"/>
    <d v="1899-12-30T18:44:00"/>
    <d v="1899-12-30T19:47:00"/>
    <n v="63"/>
    <b v="1"/>
    <b v="0"/>
    <x v="1"/>
    <x v="0"/>
    <n v="30"/>
    <x v="0"/>
    <n v="30"/>
    <x v="0"/>
    <n v="0.05"/>
    <n v="28.5"/>
    <s v="Weekdays only"/>
    <s v="Long Beach, CA"/>
    <n v="33.770099999999999"/>
    <n v="-118.19370000000001"/>
    <d v="2023-10-30T00:00:00"/>
    <n v="0"/>
    <x v="1"/>
    <x v="50"/>
  </r>
  <r>
    <n v="37"/>
    <x v="2"/>
    <n v="4"/>
    <s v="Fri, Sat, Thu, Wed"/>
    <b v="1"/>
    <d v="1899-12-30T18:44:00"/>
    <d v="1899-12-30T20:56:00"/>
    <n v="132"/>
    <b v="1"/>
    <b v="0"/>
    <x v="1"/>
    <x v="4"/>
    <n v="20"/>
    <x v="0"/>
    <n v="20"/>
    <x v="2"/>
    <n v="0.1"/>
    <n v="18"/>
    <s v="Off-peak only"/>
    <s v="Anaheim, CA"/>
    <n v="33.836599999999997"/>
    <n v="-117.9143"/>
    <d v="2025-04-14T00:00:00"/>
    <n v="0"/>
    <x v="1"/>
    <x v="5"/>
  </r>
  <r>
    <n v="26"/>
    <x v="2"/>
    <n v="2"/>
    <s v="Sun, Tue"/>
    <b v="1"/>
    <d v="1899-12-30T15:52:00"/>
    <d v="1899-12-30T18:05:00"/>
    <n v="133"/>
    <b v="0"/>
    <b v="0"/>
    <x v="0"/>
    <x v="4"/>
    <n v="20"/>
    <x v="0"/>
    <n v="20"/>
    <x v="1"/>
    <n v="0"/>
    <n v="20"/>
    <s v="Off-peak only"/>
    <s v="Bakersfield, CA"/>
    <n v="35.3733"/>
    <n v="-119.0187"/>
    <d v="2023-03-20T00:00:00"/>
    <n v="0"/>
    <x v="0"/>
    <x v="36"/>
  </r>
  <r>
    <n v="49"/>
    <x v="0"/>
    <n v="2"/>
    <s v="Tue, Wed"/>
    <b v="0"/>
    <d v="1899-12-30T10:11:00"/>
    <d v="1899-12-30T11:28:00"/>
    <n v="77"/>
    <b v="1"/>
    <b v="1"/>
    <x v="0"/>
    <x v="4"/>
    <n v="50"/>
    <x v="0"/>
    <n v="50"/>
    <x v="1"/>
    <n v="0"/>
    <n v="50"/>
    <s v="All hours"/>
    <s v="Bakersfield, CA"/>
    <n v="35.3733"/>
    <n v="-119.0187"/>
    <d v="2024-02-26T00:00:00"/>
    <n v="6"/>
    <x v="0"/>
    <x v="21"/>
  </r>
  <r>
    <n v="48"/>
    <x v="1"/>
    <n v="5"/>
    <s v="Fri, Mon, Sat, Sun, Thu"/>
    <b v="0"/>
    <d v="1899-12-30T15:42:00"/>
    <d v="1899-12-30T18:35:00"/>
    <n v="173"/>
    <b v="0"/>
    <b v="1"/>
    <x v="1"/>
    <x v="4"/>
    <n v="30"/>
    <x v="0"/>
    <n v="30"/>
    <x v="1"/>
    <n v="0"/>
    <n v="30"/>
    <s v="Weekdays only"/>
    <s v="Sacramento, CA"/>
    <n v="38.581600000000002"/>
    <n v="-121.4944"/>
    <d v="2023-12-12T00:00:00"/>
    <n v="3"/>
    <x v="1"/>
    <x v="16"/>
  </r>
  <r>
    <n v="36"/>
    <x v="1"/>
    <n v="3"/>
    <s v="Sat, Thu, Wed"/>
    <b v="0"/>
    <d v="1899-12-30T08:42:00"/>
    <d v="1899-12-30T11:31:00"/>
    <n v="169"/>
    <b v="1"/>
    <b v="1"/>
    <x v="1"/>
    <x v="4"/>
    <n v="30"/>
    <x v="0"/>
    <n v="30"/>
    <x v="1"/>
    <n v="0"/>
    <n v="30"/>
    <s v="Weekdays only"/>
    <s v="San Diego, CA"/>
    <n v="32.715699999999998"/>
    <n v="-117.1611"/>
    <d v="2024-03-10T00:00:00"/>
    <n v="5"/>
    <x v="1"/>
    <x v="29"/>
  </r>
  <r>
    <n v="27"/>
    <x v="2"/>
    <n v="2"/>
    <s v="Fri, Tue"/>
    <b v="1"/>
    <d v="1899-12-30T11:35:00"/>
    <d v="1899-12-30T13:34:00"/>
    <n v="119"/>
    <b v="1"/>
    <b v="0"/>
    <x v="1"/>
    <x v="0"/>
    <n v="20"/>
    <x v="0"/>
    <n v="20"/>
    <x v="0"/>
    <n v="0.05"/>
    <n v="19"/>
    <s v="Off-peak only"/>
    <s v="Oakland, CA"/>
    <n v="37.804400000000001"/>
    <n v="-122.27119999999999"/>
    <d v="2024-04-22T00:00:00"/>
    <n v="0"/>
    <x v="1"/>
    <x v="52"/>
  </r>
  <r>
    <n v="12"/>
    <x v="1"/>
    <n v="3"/>
    <s v="Mon, Sat, Tue"/>
    <b v="0"/>
    <d v="1899-12-30T08:59:00"/>
    <d v="1899-12-30T10:26:00"/>
    <n v="87"/>
    <b v="0"/>
    <b v="1"/>
    <x v="0"/>
    <x v="1"/>
    <n v="30"/>
    <x v="1"/>
    <n v="22.5"/>
    <x v="3"/>
    <n v="0.15"/>
    <n v="19.125"/>
    <s v="Weekdays only"/>
    <s v="San Francisco, CA"/>
    <n v="37.774900000000002"/>
    <n v="-122.4194"/>
    <d v="2023-11-04T00:00:00"/>
    <n v="3"/>
    <x v="0"/>
    <x v="50"/>
  </r>
  <r>
    <n v="14"/>
    <x v="1"/>
    <n v="3"/>
    <s v="Fri, Sun, Thu"/>
    <b v="1"/>
    <d v="1899-12-30T13:59:00"/>
    <d v="1899-12-30T16:41:00"/>
    <n v="162"/>
    <b v="1"/>
    <b v="0"/>
    <x v="1"/>
    <x v="0"/>
    <n v="30"/>
    <x v="1"/>
    <n v="22.5"/>
    <x v="2"/>
    <n v="0.1"/>
    <n v="20.25"/>
    <s v="Weekdays only"/>
    <s v="Anaheim, CA"/>
    <n v="33.836599999999997"/>
    <n v="-117.9143"/>
    <d v="2025-01-08T00:00:00"/>
    <n v="0"/>
    <x v="0"/>
    <x v="4"/>
  </r>
  <r>
    <n v="46"/>
    <x v="1"/>
    <n v="3"/>
    <s v="Mon, Sun, Wed"/>
    <b v="1"/>
    <d v="1899-12-30T13:30:00"/>
    <d v="1899-12-30T14:37:00"/>
    <n v="67"/>
    <b v="0"/>
    <b v="1"/>
    <x v="0"/>
    <x v="2"/>
    <n v="30"/>
    <x v="0"/>
    <n v="30"/>
    <x v="1"/>
    <n v="0"/>
    <n v="30"/>
    <s v="Weekdays only"/>
    <s v="San Francisco, CA"/>
    <n v="37.774900000000002"/>
    <n v="-122.4194"/>
    <d v="2024-12-11T00:00:00"/>
    <n v="1"/>
    <x v="0"/>
    <x v="13"/>
  </r>
  <r>
    <n v="14"/>
    <x v="1"/>
    <n v="2"/>
    <s v="Mon, Wed"/>
    <b v="0"/>
    <d v="1899-12-30T09:46:00"/>
    <d v="1899-12-30T10:56:00"/>
    <n v="70"/>
    <b v="0"/>
    <b v="0"/>
    <x v="1"/>
    <x v="0"/>
    <n v="30"/>
    <x v="2"/>
    <n v="27"/>
    <x v="1"/>
    <n v="0"/>
    <n v="27"/>
    <s v="Weekdays only"/>
    <s v="Anaheim, CA"/>
    <n v="33.836599999999997"/>
    <n v="-117.9143"/>
    <d v="2022-12-18T00:00:00"/>
    <n v="0"/>
    <x v="1"/>
    <x v="6"/>
  </r>
  <r>
    <n v="13"/>
    <x v="0"/>
    <n v="2"/>
    <s v="Mon, Tue"/>
    <b v="0"/>
    <d v="1899-12-30T17:27:00"/>
    <d v="1899-12-30T19:12:00"/>
    <n v="105"/>
    <b v="0"/>
    <b v="0"/>
    <x v="0"/>
    <x v="2"/>
    <n v="50"/>
    <x v="1"/>
    <n v="37.5"/>
    <x v="0"/>
    <n v="0.05"/>
    <n v="35.625"/>
    <s v="All hours"/>
    <s v="San Jose, CA"/>
    <n v="37.338200000000001"/>
    <n v="-121.88630000000001"/>
    <d v="2022-09-19T00:00:00"/>
    <n v="0"/>
    <x v="0"/>
    <x v="25"/>
  </r>
  <r>
    <n v="15"/>
    <x v="1"/>
    <n v="4"/>
    <s v="Fri, Sat, Sun, Wed"/>
    <b v="0"/>
    <d v="1899-12-30T14:06:00"/>
    <d v="1899-12-30T15:54:00"/>
    <n v="108"/>
    <b v="1"/>
    <b v="0"/>
    <x v="1"/>
    <x v="0"/>
    <n v="30"/>
    <x v="0"/>
    <n v="30"/>
    <x v="1"/>
    <n v="0"/>
    <n v="30"/>
    <s v="Weekdays only"/>
    <s v="Oakland, CA"/>
    <n v="37.804400000000001"/>
    <n v="-122.27119999999999"/>
    <d v="2024-05-21T00:00:00"/>
    <n v="0"/>
    <x v="1"/>
    <x v="0"/>
  </r>
  <r>
    <n v="25"/>
    <x v="0"/>
    <n v="2"/>
    <s v="Mon, Thu"/>
    <b v="0"/>
    <d v="1899-12-30T15:12:00"/>
    <d v="1899-12-30T15:57:00"/>
    <n v="45"/>
    <b v="1"/>
    <b v="1"/>
    <x v="0"/>
    <x v="0"/>
    <n v="50"/>
    <x v="1"/>
    <n v="37.5"/>
    <x v="2"/>
    <n v="0.1"/>
    <n v="33.75"/>
    <s v="All hours"/>
    <s v="Long Beach, CA"/>
    <n v="33.770099999999999"/>
    <n v="-118.19370000000001"/>
    <d v="2024-09-07T00:00:00"/>
    <n v="3"/>
    <x v="0"/>
    <x v="41"/>
  </r>
  <r>
    <n v="21"/>
    <x v="0"/>
    <n v="1"/>
    <s v="Sun"/>
    <b v="1"/>
    <d v="1899-12-30T14:34:00"/>
    <d v="1899-12-30T15:04:00"/>
    <n v="30"/>
    <b v="1"/>
    <b v="1"/>
    <x v="1"/>
    <x v="0"/>
    <n v="50"/>
    <x v="1"/>
    <n v="37.5"/>
    <x v="1"/>
    <n v="0"/>
    <n v="37.5"/>
    <s v="All hours"/>
    <s v="Long Beach, CA"/>
    <n v="33.770099999999999"/>
    <n v="-118.19370000000001"/>
    <d v="2023-08-07T00:00:00"/>
    <n v="6"/>
    <x v="0"/>
    <x v="47"/>
  </r>
  <r>
    <n v="15"/>
    <x v="1"/>
    <n v="2"/>
    <s v="Fri, Mon"/>
    <b v="0"/>
    <d v="1899-12-30T13:37:00"/>
    <d v="1899-12-30T14:50:00"/>
    <n v="73"/>
    <b v="1"/>
    <b v="1"/>
    <x v="1"/>
    <x v="4"/>
    <n v="30"/>
    <x v="1"/>
    <n v="22.5"/>
    <x v="0"/>
    <n v="0.05"/>
    <n v="21.375"/>
    <s v="Weekdays only"/>
    <s v="San Diego, CA"/>
    <n v="32.715699999999998"/>
    <n v="-117.1611"/>
    <d v="2024-04-13T00:00:00"/>
    <n v="6"/>
    <x v="1"/>
    <x v="52"/>
  </r>
  <r>
    <n v="18"/>
    <x v="0"/>
    <n v="4"/>
    <s v="Sun, Thu, Tue, Wed"/>
    <b v="0"/>
    <d v="1899-12-30T11:23:00"/>
    <d v="1899-12-30T14:03:00"/>
    <n v="160"/>
    <b v="1"/>
    <b v="0"/>
    <x v="0"/>
    <x v="2"/>
    <n v="50"/>
    <x v="1"/>
    <n v="37.5"/>
    <x v="1"/>
    <n v="0"/>
    <n v="37.5"/>
    <s v="All hours"/>
    <s v="Fresno, CA"/>
    <n v="36.7378"/>
    <n v="-119.7871"/>
    <d v="2025-05-26T00:00:00"/>
    <n v="0"/>
    <x v="1"/>
    <x v="9"/>
  </r>
  <r>
    <n v="14"/>
    <x v="0"/>
    <n v="3"/>
    <s v="Sat, Sun, Tue"/>
    <b v="0"/>
    <d v="1899-12-30T14:36:00"/>
    <d v="1899-12-30T15:11:00"/>
    <n v="35"/>
    <b v="0"/>
    <b v="1"/>
    <x v="0"/>
    <x v="4"/>
    <n v="50"/>
    <x v="1"/>
    <n v="37.5"/>
    <x v="1"/>
    <n v="0"/>
    <n v="37.5"/>
    <s v="All hours"/>
    <s v="Bakersfield, CA"/>
    <n v="35.3733"/>
    <n v="-119.0187"/>
    <d v="2025-01-07T00:00:00"/>
    <n v="1"/>
    <x v="1"/>
    <x v="4"/>
  </r>
  <r>
    <n v="45"/>
    <x v="1"/>
    <n v="2"/>
    <s v="Mon, Wed"/>
    <b v="1"/>
    <d v="1899-12-30T14:20:00"/>
    <d v="1899-12-30T17:20:00"/>
    <n v="180"/>
    <b v="1"/>
    <b v="1"/>
    <x v="1"/>
    <x v="4"/>
    <n v="30"/>
    <x v="1"/>
    <n v="22.5"/>
    <x v="2"/>
    <n v="0.1"/>
    <n v="20.25"/>
    <s v="Weekdays only"/>
    <s v="Anaheim, CA"/>
    <n v="33.836599999999997"/>
    <n v="-117.9143"/>
    <d v="2023-05-22T00:00:00"/>
    <n v="4"/>
    <x v="1"/>
    <x v="8"/>
  </r>
  <r>
    <n v="40"/>
    <x v="0"/>
    <n v="4"/>
    <s v="Mon, Sat, Sun, Wed"/>
    <b v="1"/>
    <d v="1899-12-30T09:55:00"/>
    <d v="1899-12-30T10:43:00"/>
    <n v="48"/>
    <b v="0"/>
    <b v="0"/>
    <x v="1"/>
    <x v="1"/>
    <n v="50"/>
    <x v="0"/>
    <n v="50"/>
    <x v="1"/>
    <n v="0"/>
    <n v="50"/>
    <s v="All hours"/>
    <s v="Fresno, CA"/>
    <n v="36.7378"/>
    <n v="-119.7871"/>
    <d v="2023-07-22T00:00:00"/>
    <n v="0"/>
    <x v="1"/>
    <x v="34"/>
  </r>
  <r>
    <n v="22"/>
    <x v="0"/>
    <n v="5"/>
    <s v="Fri, Mon, Sun, Tue, Wed"/>
    <b v="0"/>
    <d v="1899-12-30T13:52:00"/>
    <d v="1899-12-30T14:43:00"/>
    <n v="51"/>
    <b v="0"/>
    <b v="0"/>
    <x v="1"/>
    <x v="4"/>
    <n v="50"/>
    <x v="0"/>
    <n v="50"/>
    <x v="2"/>
    <n v="0.1"/>
    <n v="45"/>
    <s v="All hours"/>
    <s v="Los Angeles, CA"/>
    <n v="34.052199999999999"/>
    <n v="-118.2437"/>
    <d v="2025-05-25T00:00:00"/>
    <n v="0"/>
    <x v="1"/>
    <x v="9"/>
  </r>
  <r>
    <n v="47"/>
    <x v="0"/>
    <n v="1"/>
    <s v="Tue"/>
    <b v="1"/>
    <d v="1899-12-30T18:15:00"/>
    <d v="1899-12-30T19:59:00"/>
    <n v="104"/>
    <b v="1"/>
    <b v="0"/>
    <x v="1"/>
    <x v="4"/>
    <n v="50"/>
    <x v="0"/>
    <n v="50"/>
    <x v="2"/>
    <n v="0.1"/>
    <n v="45"/>
    <s v="All hours"/>
    <s v="San Diego, CA"/>
    <n v="32.715699999999998"/>
    <n v="-117.1611"/>
    <d v="2024-10-29T00:00:00"/>
    <n v="0"/>
    <x v="1"/>
    <x v="53"/>
  </r>
  <r>
    <n v="30"/>
    <x v="1"/>
    <n v="3"/>
    <s v="Fri, Thu, Tue"/>
    <b v="0"/>
    <d v="1899-12-30T08:05:00"/>
    <d v="1899-12-30T09:06:00"/>
    <n v="61"/>
    <b v="1"/>
    <b v="1"/>
    <x v="0"/>
    <x v="2"/>
    <n v="30"/>
    <x v="1"/>
    <n v="22.5"/>
    <x v="0"/>
    <n v="0.05"/>
    <n v="21.375"/>
    <s v="Weekdays only"/>
    <s v="Long Beach, CA"/>
    <n v="33.770099999999999"/>
    <n v="-118.19370000000001"/>
    <d v="2024-10-19T00:00:00"/>
    <n v="3"/>
    <x v="1"/>
    <x v="53"/>
  </r>
  <r>
    <n v="19"/>
    <x v="0"/>
    <n v="2"/>
    <s v="Mon, Wed"/>
    <b v="1"/>
    <d v="1899-12-30T10:42:00"/>
    <d v="1899-12-30T13:29:00"/>
    <n v="167"/>
    <b v="0"/>
    <b v="1"/>
    <x v="0"/>
    <x v="0"/>
    <n v="50"/>
    <x v="0"/>
    <n v="50"/>
    <x v="2"/>
    <n v="0.1"/>
    <n v="45"/>
    <s v="All hours"/>
    <s v="Sacramento, CA"/>
    <n v="38.581600000000002"/>
    <n v="-121.4944"/>
    <d v="2023-07-08T00:00:00"/>
    <n v="4"/>
    <x v="0"/>
    <x v="56"/>
  </r>
  <r>
    <n v="28"/>
    <x v="1"/>
    <n v="3"/>
    <s v="Fri, Sun, Tue"/>
    <b v="0"/>
    <d v="1899-12-30T09:55:00"/>
    <d v="1899-12-30T10:55:00"/>
    <n v="60"/>
    <b v="0"/>
    <b v="1"/>
    <x v="0"/>
    <x v="2"/>
    <n v="30"/>
    <x v="0"/>
    <n v="30"/>
    <x v="2"/>
    <n v="0.1"/>
    <n v="27"/>
    <s v="Weekdays only"/>
    <s v="Los Angeles, CA"/>
    <n v="34.052199999999999"/>
    <n v="-118.2437"/>
    <d v="2025-06-02T00:00:00"/>
    <n v="4"/>
    <x v="1"/>
    <x v="9"/>
  </r>
  <r>
    <n v="24"/>
    <x v="2"/>
    <n v="1"/>
    <s v="Sun"/>
    <b v="0"/>
    <d v="1899-12-30T14:59:00"/>
    <d v="1899-12-30T17:17:00"/>
    <n v="138"/>
    <b v="0"/>
    <b v="1"/>
    <x v="1"/>
    <x v="3"/>
    <n v="20"/>
    <x v="1"/>
    <n v="15"/>
    <x v="2"/>
    <n v="0.1"/>
    <n v="13.5"/>
    <s v="Off-peak only"/>
    <s v="San Diego, CA"/>
    <n v="32.715699999999998"/>
    <n v="-117.1611"/>
    <d v="2025-03-04T00:00:00"/>
    <n v="8"/>
    <x v="0"/>
    <x v="45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2-22T00:00:00"/>
    <n v="2"/>
    <x v="0"/>
    <x v="22"/>
  </r>
  <r>
    <n v="47"/>
    <x v="0"/>
    <n v="3"/>
    <s v="Mon, Sat, Wed"/>
    <b v="0"/>
    <d v="1899-12-30T19:31:00"/>
    <d v="1899-12-30T20:19:00"/>
    <n v="48"/>
    <b v="0"/>
    <b v="1"/>
    <x v="0"/>
    <x v="3"/>
    <n v="50"/>
    <x v="0"/>
    <n v="50"/>
    <x v="3"/>
    <n v="0.15"/>
    <n v="42.5"/>
    <s v="All hours"/>
    <s v="San Jose, CA"/>
    <n v="37.338200000000001"/>
    <n v="-121.88630000000001"/>
    <d v="2024-12-14T00:00:00"/>
    <n v="1"/>
    <x v="1"/>
    <x v="13"/>
  </r>
  <r>
    <n v="39"/>
    <x v="1"/>
    <n v="3"/>
    <s v="Sat, Thu, Wed"/>
    <b v="1"/>
    <d v="1899-12-30T15:19:00"/>
    <d v="1899-12-30T17:35:00"/>
    <n v="136"/>
    <b v="0"/>
    <b v="1"/>
    <x v="1"/>
    <x v="0"/>
    <n v="30"/>
    <x v="0"/>
    <n v="30"/>
    <x v="3"/>
    <n v="0.15"/>
    <n v="25.5"/>
    <s v="Weekdays only"/>
    <s v="Oakland, CA"/>
    <n v="37.804400000000001"/>
    <n v="-122.27119999999999"/>
    <d v="2023-07-28T00:00:00"/>
    <n v="5"/>
    <x v="1"/>
    <x v="34"/>
  </r>
  <r>
    <n v="49"/>
    <x v="2"/>
    <n v="1"/>
    <s v="Tue"/>
    <b v="1"/>
    <d v="1899-12-30T18:02:00"/>
    <d v="1899-12-30T18:44:00"/>
    <n v="42"/>
    <b v="1"/>
    <b v="0"/>
    <x v="0"/>
    <x v="1"/>
    <n v="20"/>
    <x v="0"/>
    <n v="20"/>
    <x v="3"/>
    <n v="0.15"/>
    <n v="17"/>
    <s v="Off-peak only"/>
    <s v="Anaheim, CA"/>
    <n v="33.836599999999997"/>
    <n v="-117.9143"/>
    <d v="2024-10-12T00:00:00"/>
    <n v="0"/>
    <x v="1"/>
    <x v="51"/>
  </r>
  <r>
    <n v="44"/>
    <x v="2"/>
    <n v="1"/>
    <s v="Wed"/>
    <b v="0"/>
    <d v="1899-12-30T20:43:00"/>
    <d v="1899-12-30T22:58:00"/>
    <n v="135"/>
    <b v="1"/>
    <b v="0"/>
    <x v="0"/>
    <x v="4"/>
    <n v="20"/>
    <x v="0"/>
    <n v="20"/>
    <x v="1"/>
    <n v="0"/>
    <n v="20"/>
    <s v="Off-peak only"/>
    <s v="Sacramento, CA"/>
    <n v="38.581600000000002"/>
    <n v="-121.4944"/>
    <d v="2025-03-09T00:00:00"/>
    <n v="0"/>
    <x v="1"/>
    <x v="27"/>
  </r>
  <r>
    <n v="35"/>
    <x v="0"/>
    <n v="1"/>
    <s v="Wed"/>
    <b v="0"/>
    <d v="1899-12-30T08:34:00"/>
    <d v="1899-12-30T09:27:00"/>
    <n v="53"/>
    <b v="0"/>
    <b v="1"/>
    <x v="0"/>
    <x v="0"/>
    <n v="50"/>
    <x v="2"/>
    <n v="45"/>
    <x v="3"/>
    <n v="0.15"/>
    <n v="38.25"/>
    <s v="All hours"/>
    <s v="Los Angeles, CA"/>
    <n v="34.052199999999999"/>
    <n v="-118.2437"/>
    <d v="2024-10-07T00:00:00"/>
    <n v="6"/>
    <x v="1"/>
    <x v="51"/>
  </r>
  <r>
    <n v="39"/>
    <x v="2"/>
    <n v="2"/>
    <s v="Sun, Tue"/>
    <b v="1"/>
    <d v="1899-12-30T19:02:00"/>
    <d v="1899-12-30T19:47:00"/>
    <n v="45"/>
    <b v="1"/>
    <b v="1"/>
    <x v="0"/>
    <x v="3"/>
    <n v="20"/>
    <x v="0"/>
    <n v="20"/>
    <x v="1"/>
    <n v="0"/>
    <n v="20"/>
    <s v="Off-peak only"/>
    <s v="Long Beach, CA"/>
    <n v="33.770099999999999"/>
    <n v="-118.19370000000001"/>
    <d v="2023-05-15T00:00:00"/>
    <n v="6"/>
    <x v="1"/>
    <x v="2"/>
  </r>
  <r>
    <n v="37"/>
    <x v="2"/>
    <n v="1"/>
    <s v="Wed"/>
    <b v="1"/>
    <d v="1899-12-30T09:10:00"/>
    <d v="1899-12-30T10:30:00"/>
    <n v="80"/>
    <b v="1"/>
    <b v="0"/>
    <x v="0"/>
    <x v="3"/>
    <n v="20"/>
    <x v="0"/>
    <n v="20"/>
    <x v="0"/>
    <n v="0.05"/>
    <n v="19"/>
    <s v="Off-peak only"/>
    <s v="Bakersfield, CA"/>
    <n v="35.3733"/>
    <n v="-119.0187"/>
    <d v="2022-12-24T00:00:00"/>
    <n v="0"/>
    <x v="0"/>
    <x v="6"/>
  </r>
  <r>
    <n v="32"/>
    <x v="2"/>
    <n v="3"/>
    <s v="Fri, Sun, Wed"/>
    <b v="1"/>
    <d v="1899-12-30T14:52:00"/>
    <d v="1899-12-30T17:32:00"/>
    <n v="160"/>
    <b v="0"/>
    <b v="0"/>
    <x v="0"/>
    <x v="0"/>
    <n v="20"/>
    <x v="0"/>
    <n v="20"/>
    <x v="0"/>
    <n v="0.05"/>
    <n v="19"/>
    <s v="Off-peak only"/>
    <s v="Sacramento, CA"/>
    <n v="38.581600000000002"/>
    <n v="-121.4944"/>
    <d v="2023-01-20T00:00:00"/>
    <n v="0"/>
    <x v="0"/>
    <x v="11"/>
  </r>
  <r>
    <n v="29"/>
    <x v="2"/>
    <n v="1"/>
    <s v="Sun"/>
    <b v="0"/>
    <d v="1899-12-30T17:00:00"/>
    <d v="1899-12-30T18:33:00"/>
    <n v="93"/>
    <b v="1"/>
    <b v="0"/>
    <x v="1"/>
    <x v="4"/>
    <n v="20"/>
    <x v="1"/>
    <n v="15"/>
    <x v="1"/>
    <n v="0"/>
    <n v="15"/>
    <s v="Off-peak only"/>
    <s v="Fresno, CA"/>
    <n v="36.7378"/>
    <n v="-119.7871"/>
    <d v="2024-04-25T00:00:00"/>
    <n v="0"/>
    <x v="1"/>
    <x v="40"/>
  </r>
  <r>
    <n v="27"/>
    <x v="1"/>
    <n v="2"/>
    <s v="Fri, Sun"/>
    <b v="0"/>
    <d v="1899-12-30T17:22:00"/>
    <d v="1899-12-30T18:50:00"/>
    <n v="88"/>
    <b v="1"/>
    <b v="1"/>
    <x v="0"/>
    <x v="1"/>
    <n v="30"/>
    <x v="1"/>
    <n v="22.5"/>
    <x v="1"/>
    <n v="0"/>
    <n v="22.5"/>
    <s v="Weekdays only"/>
    <s v="Fresno, CA"/>
    <n v="36.7378"/>
    <n v="-119.7871"/>
    <d v="2023-07-12T00:00:00"/>
    <n v="1"/>
    <x v="0"/>
    <x v="56"/>
  </r>
  <r>
    <n v="36"/>
    <x v="3"/>
    <n v="3"/>
    <s v="Sat, Sun, Wed"/>
    <b v="1"/>
    <d v="1899-12-30T19:37:00"/>
    <d v="1899-12-30T20:38:00"/>
    <n v="61"/>
    <b v="0"/>
    <b v="0"/>
    <x v="1"/>
    <x v="4"/>
    <n v="70"/>
    <x v="2"/>
    <n v="63"/>
    <x v="2"/>
    <n v="0.1"/>
    <n v="56.7"/>
    <s v="All hours + Priority access"/>
    <s v="Anaheim, CA"/>
    <n v="33.836599999999997"/>
    <n v="-117.9143"/>
    <d v="2024-11-16T00:00:00"/>
    <n v="0"/>
    <x v="0"/>
    <x v="12"/>
  </r>
  <r>
    <n v="24"/>
    <x v="0"/>
    <n v="4"/>
    <s v="Sun, Thu, Tue, Wed"/>
    <b v="0"/>
    <d v="1899-12-30T09:12:00"/>
    <d v="1899-12-30T11:17:00"/>
    <n v="125"/>
    <b v="0"/>
    <b v="0"/>
    <x v="0"/>
    <x v="2"/>
    <n v="50"/>
    <x v="0"/>
    <n v="50"/>
    <x v="1"/>
    <n v="0"/>
    <n v="50"/>
    <s v="All hours"/>
    <s v="Anaheim, CA"/>
    <n v="33.836599999999997"/>
    <n v="-117.9143"/>
    <d v="2024-08-14T00:00:00"/>
    <n v="0"/>
    <x v="0"/>
    <x v="18"/>
  </r>
  <r>
    <n v="30"/>
    <x v="0"/>
    <n v="3"/>
    <s v="Sun, Thu, Tue"/>
    <b v="0"/>
    <d v="1899-12-30T13:51:00"/>
    <d v="1899-12-30T16:13:00"/>
    <n v="142"/>
    <b v="0"/>
    <b v="1"/>
    <x v="1"/>
    <x v="1"/>
    <n v="50"/>
    <x v="1"/>
    <n v="37.5"/>
    <x v="1"/>
    <n v="0"/>
    <n v="37.5"/>
    <s v="All hours"/>
    <s v="San Francisco, CA"/>
    <n v="37.774900000000002"/>
    <n v="-122.4194"/>
    <d v="2022-11-11T00:00:00"/>
    <n v="8"/>
    <x v="0"/>
    <x v="37"/>
  </r>
  <r>
    <n v="29"/>
    <x v="1"/>
    <n v="2"/>
    <s v="Sat, Tue"/>
    <b v="1"/>
    <d v="1899-12-30T20:00:00"/>
    <d v="1899-12-30T21:50:00"/>
    <n v="110"/>
    <b v="1"/>
    <b v="1"/>
    <x v="0"/>
    <x v="4"/>
    <n v="30"/>
    <x v="0"/>
    <n v="30"/>
    <x v="1"/>
    <n v="0"/>
    <n v="30"/>
    <s v="Weekdays only"/>
    <s v="San Diego, CA"/>
    <n v="32.715699999999998"/>
    <n v="-117.1611"/>
    <d v="2025-06-09T00:00:00"/>
    <n v="7"/>
    <x v="1"/>
    <x v="44"/>
  </r>
  <r>
    <n v="36"/>
    <x v="0"/>
    <n v="3"/>
    <s v="Fri, Thu, Wed"/>
    <b v="0"/>
    <d v="1899-12-30T15:28:00"/>
    <d v="1899-12-30T17:57:00"/>
    <n v="149"/>
    <b v="1"/>
    <b v="0"/>
    <x v="0"/>
    <x v="0"/>
    <n v="50"/>
    <x v="0"/>
    <n v="50"/>
    <x v="0"/>
    <n v="0.05"/>
    <n v="47.5"/>
    <s v="All hours"/>
    <s v="Long Beach, CA"/>
    <n v="33.770099999999999"/>
    <n v="-118.19370000000001"/>
    <d v="2025-03-23T00:00:00"/>
    <n v="0"/>
    <x v="0"/>
    <x v="27"/>
  </r>
  <r>
    <n v="27"/>
    <x v="1"/>
    <n v="1"/>
    <s v="Wed"/>
    <b v="0"/>
    <d v="1899-12-30T11:25:00"/>
    <d v="1899-12-30T12:56:00"/>
    <n v="91"/>
    <b v="1"/>
    <b v="0"/>
    <x v="1"/>
    <x v="4"/>
    <n v="30"/>
    <x v="0"/>
    <n v="30"/>
    <x v="3"/>
    <n v="0.15"/>
    <n v="25.5"/>
    <s v="Weekdays only"/>
    <s v="Fresno, CA"/>
    <n v="36.7378"/>
    <n v="-119.7871"/>
    <d v="2024-11-13T00:00:00"/>
    <n v="0"/>
    <x v="1"/>
    <x v="12"/>
  </r>
  <r>
    <n v="29"/>
    <x v="3"/>
    <n v="4"/>
    <s v="Fri, Mon, Sun, Thu"/>
    <b v="1"/>
    <d v="1899-12-30T18:15:00"/>
    <d v="1899-12-30T18:54:00"/>
    <n v="39"/>
    <b v="0"/>
    <b v="1"/>
    <x v="1"/>
    <x v="2"/>
    <n v="70"/>
    <x v="0"/>
    <n v="70"/>
    <x v="1"/>
    <n v="0"/>
    <n v="70"/>
    <s v="All hours + Priority access"/>
    <s v="San Diego, CA"/>
    <n v="32.715699999999998"/>
    <n v="-117.1611"/>
    <d v="2025-05-25T00:00:00"/>
    <n v="7"/>
    <x v="0"/>
    <x v="9"/>
  </r>
  <r>
    <n v="29"/>
    <x v="1"/>
    <n v="2"/>
    <s v="Sat, Tue"/>
    <b v="1"/>
    <d v="1899-12-30T20:00:00"/>
    <d v="1899-12-30T21:50:00"/>
    <n v="110"/>
    <b v="1"/>
    <b v="1"/>
    <x v="0"/>
    <x v="4"/>
    <n v="30"/>
    <x v="0"/>
    <n v="30"/>
    <x v="1"/>
    <n v="0"/>
    <n v="30"/>
    <s v="Weekdays only"/>
    <s v="San Diego, CA"/>
    <n v="32.715699999999998"/>
    <n v="-117.1611"/>
    <d v="2024-12-11T00:00:00"/>
    <n v="7"/>
    <x v="0"/>
    <x v="13"/>
  </r>
  <r>
    <n v="45"/>
    <x v="2"/>
    <n v="2"/>
    <s v="Fri, Wed"/>
    <b v="1"/>
    <d v="1899-12-30T18:26:00"/>
    <d v="1899-12-30T21:21:00"/>
    <n v="175"/>
    <b v="1"/>
    <b v="1"/>
    <x v="0"/>
    <x v="0"/>
    <n v="20"/>
    <x v="1"/>
    <n v="15"/>
    <x v="3"/>
    <n v="0.15"/>
    <n v="12.75"/>
    <s v="Off-peak only"/>
    <s v="San Francisco, CA"/>
    <n v="37.774900000000002"/>
    <n v="-122.4194"/>
    <d v="2023-10-11T00:00:00"/>
    <n v="8"/>
    <x v="1"/>
    <x v="59"/>
  </r>
  <r>
    <n v="24"/>
    <x v="0"/>
    <n v="5"/>
    <s v="Fri, Mon, Sat, Sun, Wed"/>
    <b v="0"/>
    <d v="1899-12-30T20:53:00"/>
    <d v="1899-12-30T23:33:00"/>
    <n v="160"/>
    <b v="1"/>
    <b v="0"/>
    <x v="0"/>
    <x v="0"/>
    <n v="50"/>
    <x v="0"/>
    <n v="50"/>
    <x v="2"/>
    <n v="0.1"/>
    <n v="45"/>
    <s v="All hours"/>
    <s v="Bakersfield, CA"/>
    <n v="35.3733"/>
    <n v="-119.0187"/>
    <d v="2024-03-31T00:00:00"/>
    <n v="0"/>
    <x v="0"/>
    <x v="17"/>
  </r>
  <r>
    <n v="48"/>
    <x v="0"/>
    <n v="3"/>
    <s v="Fri, Sat, Thu"/>
    <b v="1"/>
    <d v="1899-12-30T08:33:00"/>
    <d v="1899-12-30T10:13:00"/>
    <n v="100"/>
    <b v="1"/>
    <b v="1"/>
    <x v="1"/>
    <x v="0"/>
    <n v="50"/>
    <x v="0"/>
    <n v="50"/>
    <x v="3"/>
    <n v="0.15"/>
    <n v="42.5"/>
    <s v="All hours"/>
    <s v="Sacramento, CA"/>
    <n v="38.581600000000002"/>
    <n v="-121.4944"/>
    <d v="2022-11-15T00:00:00"/>
    <n v="5"/>
    <x v="0"/>
    <x v="37"/>
  </r>
  <r>
    <n v="22"/>
    <x v="1"/>
    <n v="1"/>
    <s v="Sun"/>
    <b v="1"/>
    <d v="1899-12-30T08:18:00"/>
    <d v="1899-12-30T11:08:00"/>
    <n v="170"/>
    <b v="0"/>
    <b v="0"/>
    <x v="0"/>
    <x v="0"/>
    <n v="30"/>
    <x v="0"/>
    <n v="30"/>
    <x v="1"/>
    <n v="0"/>
    <n v="30"/>
    <s v="Weekdays only"/>
    <s v="Oakland, CA"/>
    <n v="37.804400000000001"/>
    <n v="-122.27119999999999"/>
    <d v="2023-02-03T00:00:00"/>
    <n v="0"/>
    <x v="0"/>
    <x v="11"/>
  </r>
  <r>
    <n v="41"/>
    <x v="0"/>
    <n v="1"/>
    <s v="Fri"/>
    <b v="1"/>
    <d v="1899-12-30T09:46:00"/>
    <d v="1899-12-30T11:10:00"/>
    <n v="84"/>
    <b v="1"/>
    <b v="1"/>
    <x v="0"/>
    <x v="4"/>
    <n v="50"/>
    <x v="2"/>
    <n v="45"/>
    <x v="1"/>
    <n v="0"/>
    <n v="45"/>
    <s v="All hours"/>
    <s v="Long Beach, CA"/>
    <n v="33.770099999999999"/>
    <n v="-118.19370000000001"/>
    <d v="2024-06-23T00:00:00"/>
    <n v="6"/>
    <x v="1"/>
    <x v="55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4-09-19T00:00:00"/>
    <n v="0"/>
    <x v="0"/>
    <x v="33"/>
  </r>
  <r>
    <n v="29"/>
    <x v="1"/>
    <n v="1"/>
    <s v="Wed"/>
    <b v="1"/>
    <d v="1899-12-30T19:10:00"/>
    <d v="1899-12-30T21:32:00"/>
    <n v="142"/>
    <b v="1"/>
    <b v="1"/>
    <x v="0"/>
    <x v="0"/>
    <n v="30"/>
    <x v="2"/>
    <n v="27"/>
    <x v="2"/>
    <n v="0.1"/>
    <n v="24.3"/>
    <s v="Weekdays only"/>
    <s v="Sacramento, CA"/>
    <n v="38.581600000000002"/>
    <n v="-121.4944"/>
    <d v="2024-05-14T00:00:00"/>
    <n v="1"/>
    <x v="1"/>
    <x v="0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3-10-03T00:00:00"/>
    <n v="0"/>
    <x v="0"/>
    <x v="3"/>
  </r>
  <r>
    <n v="17"/>
    <x v="2"/>
    <n v="4"/>
    <s v="Mon, Sun, Thu, Tue"/>
    <b v="1"/>
    <d v="1899-12-30T19:50:00"/>
    <d v="1899-12-30T22:43:00"/>
    <n v="173"/>
    <b v="1"/>
    <b v="1"/>
    <x v="0"/>
    <x v="4"/>
    <n v="20"/>
    <x v="0"/>
    <n v="20"/>
    <x v="1"/>
    <n v="0"/>
    <n v="20"/>
    <s v="Off-peak only"/>
    <s v="Oakland, CA"/>
    <n v="37.804400000000001"/>
    <n v="-122.27119999999999"/>
    <d v="2024-09-10T00:00:00"/>
    <n v="8"/>
    <x v="1"/>
    <x v="41"/>
  </r>
  <r>
    <n v="36"/>
    <x v="3"/>
    <n v="4"/>
    <s v="Mon, Sun, Thu, Wed"/>
    <b v="0"/>
    <d v="1899-12-30T12:32:00"/>
    <d v="1899-12-30T13:02:00"/>
    <n v="30"/>
    <b v="0"/>
    <b v="0"/>
    <x v="0"/>
    <x v="4"/>
    <n v="70"/>
    <x v="0"/>
    <n v="70"/>
    <x v="3"/>
    <n v="0.15"/>
    <n v="59.5"/>
    <s v="All hours + Priority access"/>
    <s v="Fresno, CA"/>
    <n v="36.7378"/>
    <n v="-119.7871"/>
    <d v="2023-08-28T00:00:00"/>
    <n v="0"/>
    <x v="0"/>
    <x v="46"/>
  </r>
  <r>
    <n v="27"/>
    <x v="2"/>
    <n v="4"/>
    <s v="Mon, Sat, Tue, Wed"/>
    <b v="1"/>
    <d v="1899-12-30T19:31:00"/>
    <d v="1899-12-30T21:27:00"/>
    <n v="116"/>
    <b v="0"/>
    <b v="0"/>
    <x v="1"/>
    <x v="4"/>
    <n v="20"/>
    <x v="0"/>
    <n v="20"/>
    <x v="3"/>
    <n v="0.15"/>
    <n v="17"/>
    <s v="Off-peak only"/>
    <s v="Anaheim, CA"/>
    <n v="33.836599999999997"/>
    <n v="-117.9143"/>
    <d v="2024-04-12T00:00:00"/>
    <n v="0"/>
    <x v="1"/>
    <x v="52"/>
  </r>
  <r>
    <n v="41"/>
    <x v="0"/>
    <n v="5"/>
    <s v="Fri, Sat, Thu, Tue, Wed"/>
    <b v="0"/>
    <d v="1899-12-30T13:53:00"/>
    <d v="1899-12-30T16:05:00"/>
    <n v="132"/>
    <b v="0"/>
    <b v="0"/>
    <x v="1"/>
    <x v="4"/>
    <n v="50"/>
    <x v="0"/>
    <n v="50"/>
    <x v="1"/>
    <n v="0"/>
    <n v="50"/>
    <s v="All hours"/>
    <s v="San Francisco, CA"/>
    <n v="37.774900000000002"/>
    <n v="-122.4194"/>
    <d v="2023-11-13T00:00:00"/>
    <n v="0"/>
    <x v="1"/>
    <x v="50"/>
  </r>
  <r>
    <n v="28"/>
    <x v="0"/>
    <n v="2"/>
    <s v="Thu, Tue"/>
    <b v="1"/>
    <d v="1899-12-30T20:22:00"/>
    <d v="1899-12-30T22:56:00"/>
    <n v="154"/>
    <b v="1"/>
    <b v="0"/>
    <x v="0"/>
    <x v="3"/>
    <n v="50"/>
    <x v="0"/>
    <n v="50"/>
    <x v="1"/>
    <n v="0"/>
    <n v="50"/>
    <s v="All hours"/>
    <s v="Anaheim, CA"/>
    <n v="33.836599999999997"/>
    <n v="-117.9143"/>
    <d v="2024-03-15T00:00:00"/>
    <n v="0"/>
    <x v="0"/>
    <x v="29"/>
  </r>
  <r>
    <n v="29"/>
    <x v="1"/>
    <n v="3"/>
    <s v="Mon, Sat, Sun"/>
    <b v="0"/>
    <d v="1899-12-30T11:00:00"/>
    <d v="1899-12-30T12:12:00"/>
    <n v="72"/>
    <b v="1"/>
    <b v="0"/>
    <x v="0"/>
    <x v="0"/>
    <n v="30"/>
    <x v="0"/>
    <n v="30"/>
    <x v="2"/>
    <n v="0.1"/>
    <n v="27"/>
    <s v="Weekdays only"/>
    <s v="Oakland, CA"/>
    <n v="37.804400000000001"/>
    <n v="-122.27119999999999"/>
    <d v="2024-08-13T00:00:00"/>
    <n v="0"/>
    <x v="1"/>
    <x v="18"/>
  </r>
  <r>
    <n v="16"/>
    <x v="3"/>
    <n v="3"/>
    <s v="Sat, Sun, Wed"/>
    <b v="1"/>
    <d v="1899-12-30T14:06:00"/>
    <d v="1899-12-30T16:15:00"/>
    <n v="129"/>
    <b v="1"/>
    <b v="0"/>
    <x v="0"/>
    <x v="2"/>
    <n v="70"/>
    <x v="2"/>
    <n v="63"/>
    <x v="3"/>
    <n v="0.15"/>
    <n v="53.55"/>
    <s v="All hours + Priority access"/>
    <s v="Anaheim, CA"/>
    <n v="33.836599999999997"/>
    <n v="-117.9143"/>
    <d v="2022-09-16T00:00:00"/>
    <n v="0"/>
    <x v="0"/>
    <x v="25"/>
  </r>
  <r>
    <n v="21"/>
    <x v="0"/>
    <n v="2"/>
    <s v="Mon, Wed"/>
    <b v="1"/>
    <d v="1899-12-30T18:40:00"/>
    <d v="1899-12-30T21:21:00"/>
    <n v="161"/>
    <b v="1"/>
    <b v="1"/>
    <x v="1"/>
    <x v="2"/>
    <n v="50"/>
    <x v="0"/>
    <n v="50"/>
    <x v="0"/>
    <n v="0.05"/>
    <n v="47.5"/>
    <s v="All hours"/>
    <s v="Los Angeles, CA"/>
    <n v="34.052199999999999"/>
    <n v="-118.2437"/>
    <d v="2023-04-01T00:00:00"/>
    <n v="6"/>
    <x v="0"/>
    <x v="49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5-01-24T00:00:00"/>
    <n v="0"/>
    <x v="0"/>
    <x v="19"/>
  </r>
  <r>
    <n v="14"/>
    <x v="1"/>
    <n v="3"/>
    <s v="Sat, Sun, Wed"/>
    <b v="0"/>
    <d v="1899-12-30T10:11:00"/>
    <d v="1899-12-30T11:56:00"/>
    <n v="105"/>
    <b v="1"/>
    <b v="0"/>
    <x v="1"/>
    <x v="0"/>
    <n v="30"/>
    <x v="0"/>
    <n v="30"/>
    <x v="1"/>
    <n v="0"/>
    <n v="30"/>
    <s v="Weekdays only"/>
    <s v="San Francisco, CA"/>
    <n v="37.774900000000002"/>
    <n v="-122.4194"/>
    <d v="2022-12-11T00:00:00"/>
    <n v="0"/>
    <x v="1"/>
    <x v="54"/>
  </r>
  <r>
    <n v="45"/>
    <x v="1"/>
    <n v="2"/>
    <s v="Mon, Wed"/>
    <b v="1"/>
    <d v="1899-12-30T14:20:00"/>
    <d v="1899-12-30T17:20:00"/>
    <n v="180"/>
    <b v="1"/>
    <b v="1"/>
    <x v="1"/>
    <x v="4"/>
    <n v="30"/>
    <x v="1"/>
    <n v="22.5"/>
    <x v="2"/>
    <n v="0.1"/>
    <n v="20.25"/>
    <s v="Weekdays only"/>
    <s v="Anaheim, CA"/>
    <n v="33.836599999999997"/>
    <n v="-117.9143"/>
    <d v="2024-01-20T00:00:00"/>
    <n v="4"/>
    <x v="1"/>
    <x v="31"/>
  </r>
  <r>
    <n v="45"/>
    <x v="3"/>
    <n v="4"/>
    <s v="Sat, Sun, Thu, Tue"/>
    <b v="0"/>
    <d v="1899-12-30T11:19:00"/>
    <d v="1899-12-30T12:16:00"/>
    <n v="57"/>
    <b v="0"/>
    <b v="1"/>
    <x v="1"/>
    <x v="4"/>
    <n v="70"/>
    <x v="0"/>
    <n v="70"/>
    <x v="1"/>
    <n v="0"/>
    <n v="70"/>
    <s v="All hours + Priority access"/>
    <s v="Fresno, CA"/>
    <n v="36.7378"/>
    <n v="-119.7871"/>
    <d v="2022-11-13T00:00:00"/>
    <n v="3"/>
    <x v="1"/>
    <x v="37"/>
  </r>
  <r>
    <n v="24"/>
    <x v="1"/>
    <n v="3"/>
    <s v="Fri, Mon, Sun"/>
    <b v="0"/>
    <d v="1899-12-30T20:08:00"/>
    <d v="1899-12-30T22:44:00"/>
    <n v="156"/>
    <b v="1"/>
    <b v="0"/>
    <x v="0"/>
    <x v="0"/>
    <n v="30"/>
    <x v="0"/>
    <n v="30"/>
    <x v="1"/>
    <n v="0"/>
    <n v="30"/>
    <s v="Weekdays only"/>
    <s v="San Diego, CA"/>
    <n v="32.715699999999998"/>
    <n v="-117.1611"/>
    <d v="2023-02-22T00:00:00"/>
    <n v="0"/>
    <x v="1"/>
    <x v="22"/>
  </r>
  <r>
    <n v="34"/>
    <x v="2"/>
    <n v="2"/>
    <s v="Mon, Sun"/>
    <b v="0"/>
    <d v="1899-12-30T19:17:00"/>
    <d v="1899-12-30T20:30:00"/>
    <n v="73"/>
    <b v="0"/>
    <b v="1"/>
    <x v="1"/>
    <x v="0"/>
    <n v="20"/>
    <x v="0"/>
    <n v="20"/>
    <x v="1"/>
    <n v="0"/>
    <n v="20"/>
    <s v="Off-peak only"/>
    <s v="Bakersfield, CA"/>
    <n v="35.3733"/>
    <n v="-119.0187"/>
    <d v="2024-03-27T00:00:00"/>
    <n v="3"/>
    <x v="1"/>
    <x v="17"/>
  </r>
  <r>
    <n v="47"/>
    <x v="0"/>
    <n v="2"/>
    <s v="Fri, Tue"/>
    <b v="1"/>
    <d v="1899-12-30T16:41:00"/>
    <d v="1899-12-30T18:02:00"/>
    <n v="81"/>
    <b v="1"/>
    <b v="1"/>
    <x v="1"/>
    <x v="0"/>
    <n v="50"/>
    <x v="1"/>
    <n v="37.5"/>
    <x v="3"/>
    <n v="0.15"/>
    <n v="31.875"/>
    <s v="All hours"/>
    <s v="Sacramento, CA"/>
    <n v="38.581600000000002"/>
    <n v="-121.4944"/>
    <d v="2025-05-30T00:00:00"/>
    <n v="8"/>
    <x v="0"/>
    <x v="9"/>
  </r>
  <r>
    <n v="32"/>
    <x v="3"/>
    <n v="2"/>
    <s v="Fri, Sun"/>
    <b v="1"/>
    <d v="1899-12-30T13:19:00"/>
    <d v="1899-12-30T14:52:00"/>
    <n v="93"/>
    <b v="1"/>
    <b v="1"/>
    <x v="1"/>
    <x v="4"/>
    <n v="70"/>
    <x v="0"/>
    <n v="70"/>
    <x v="2"/>
    <n v="0.1"/>
    <n v="63"/>
    <s v="All hours + Priority access"/>
    <s v="Bakersfield, CA"/>
    <n v="35.3733"/>
    <n v="-119.0187"/>
    <d v="2024-09-09T00:00:00"/>
    <n v="6"/>
    <x v="1"/>
    <x v="41"/>
  </r>
  <r>
    <n v="39"/>
    <x v="1"/>
    <n v="2"/>
    <s v="Mon, Thu"/>
    <b v="0"/>
    <d v="1899-12-30T17:57:00"/>
    <d v="1899-12-30T19:45:00"/>
    <n v="108"/>
    <b v="1"/>
    <b v="1"/>
    <x v="1"/>
    <x v="1"/>
    <n v="30"/>
    <x v="0"/>
    <n v="30"/>
    <x v="1"/>
    <n v="0"/>
    <n v="30"/>
    <s v="Weekdays only"/>
    <s v="Oakland, CA"/>
    <n v="37.804400000000001"/>
    <n v="-122.27119999999999"/>
    <d v="2023-11-24T00:00:00"/>
    <n v="2"/>
    <x v="1"/>
    <x v="35"/>
  </r>
  <r>
    <n v="35"/>
    <x v="1"/>
    <n v="3"/>
    <s v="Sun, Tue, Wed"/>
    <b v="0"/>
    <d v="1899-12-30T15:02:00"/>
    <d v="1899-12-30T16:29:00"/>
    <n v="87"/>
    <b v="0"/>
    <b v="0"/>
    <x v="0"/>
    <x v="0"/>
    <n v="30"/>
    <x v="0"/>
    <n v="30"/>
    <x v="2"/>
    <n v="0.1"/>
    <n v="27"/>
    <s v="Weekdays only"/>
    <s v="Bakersfield, CA"/>
    <n v="35.3733"/>
    <n v="-119.0187"/>
    <d v="2023-08-18T00:00:00"/>
    <n v="0"/>
    <x v="1"/>
    <x v="47"/>
  </r>
  <r>
    <n v="17"/>
    <x v="2"/>
    <n v="1"/>
    <s v="Fri"/>
    <b v="0"/>
    <d v="1899-12-30T16:59:00"/>
    <d v="1899-12-30T18:41:00"/>
    <n v="102"/>
    <b v="1"/>
    <b v="0"/>
    <x v="0"/>
    <x v="0"/>
    <n v="20"/>
    <x v="0"/>
    <n v="20"/>
    <x v="0"/>
    <n v="0.05"/>
    <n v="19"/>
    <s v="Off-peak only"/>
    <s v="Fresno, CA"/>
    <n v="36.7378"/>
    <n v="-119.7871"/>
    <d v="2024-09-21T00:00:00"/>
    <n v="0"/>
    <x v="1"/>
    <x v="33"/>
  </r>
  <r>
    <n v="32"/>
    <x v="2"/>
    <n v="3"/>
    <s v="Sat, Sun, Wed"/>
    <b v="0"/>
    <d v="1899-12-30T10:38:00"/>
    <d v="1899-12-30T13:05:00"/>
    <n v="147"/>
    <b v="1"/>
    <b v="0"/>
    <x v="0"/>
    <x v="0"/>
    <n v="20"/>
    <x v="0"/>
    <n v="20"/>
    <x v="0"/>
    <n v="0.05"/>
    <n v="19"/>
    <s v="Off-peak only"/>
    <s v="Fresno, CA"/>
    <n v="36.7378"/>
    <n v="-119.7871"/>
    <d v="2025-01-25T00:00:00"/>
    <n v="0"/>
    <x v="1"/>
    <x v="19"/>
  </r>
  <r>
    <n v="33"/>
    <x v="1"/>
    <n v="1"/>
    <s v="Wed"/>
    <b v="1"/>
    <d v="1899-12-30T09:04:00"/>
    <d v="1899-12-30T09:47:00"/>
    <n v="43"/>
    <b v="1"/>
    <b v="0"/>
    <x v="0"/>
    <x v="0"/>
    <n v="30"/>
    <x v="0"/>
    <n v="30"/>
    <x v="1"/>
    <n v="0"/>
    <n v="30"/>
    <s v="Weekdays only"/>
    <s v="Long Beach, CA"/>
    <n v="33.770099999999999"/>
    <n v="-118.19370000000001"/>
    <d v="2023-01-15T00:00:00"/>
    <n v="0"/>
    <x v="1"/>
    <x v="57"/>
  </r>
  <r>
    <n v="32"/>
    <x v="2"/>
    <n v="3"/>
    <s v="Sat, Sun, Wed"/>
    <b v="0"/>
    <d v="1899-12-30T10:38:00"/>
    <d v="1899-12-30T13:05:00"/>
    <n v="147"/>
    <b v="1"/>
    <b v="0"/>
    <x v="0"/>
    <x v="0"/>
    <n v="20"/>
    <x v="0"/>
    <n v="20"/>
    <x v="0"/>
    <n v="0.05"/>
    <n v="19"/>
    <s v="Off-peak only"/>
    <s v="Fresno, CA"/>
    <n v="36.7378"/>
    <n v="-119.7871"/>
    <d v="2022-08-09T00:00:00"/>
    <n v="0"/>
    <x v="0"/>
    <x v="43"/>
  </r>
  <r>
    <n v="20"/>
    <x v="1"/>
    <n v="1"/>
    <s v="Tue"/>
    <b v="1"/>
    <d v="1899-12-30T15:06:00"/>
    <d v="1899-12-30T16:40:00"/>
    <n v="94"/>
    <b v="0"/>
    <b v="0"/>
    <x v="0"/>
    <x v="4"/>
    <n v="30"/>
    <x v="1"/>
    <n v="22.5"/>
    <x v="2"/>
    <n v="0.1"/>
    <n v="20.25"/>
    <s v="Weekdays only"/>
    <s v="San Francisco, CA"/>
    <n v="37.774900000000002"/>
    <n v="-122.4194"/>
    <d v="2023-12-11T00:00:00"/>
    <n v="0"/>
    <x v="1"/>
    <x v="16"/>
  </r>
  <r>
    <n v="37"/>
    <x v="3"/>
    <n v="1"/>
    <s v="Wed"/>
    <b v="1"/>
    <d v="1899-12-30T15:26:00"/>
    <d v="1899-12-30T16:15:00"/>
    <n v="49"/>
    <b v="1"/>
    <b v="0"/>
    <x v="0"/>
    <x v="4"/>
    <n v="70"/>
    <x v="0"/>
    <n v="70"/>
    <x v="0"/>
    <n v="0.05"/>
    <n v="66.5"/>
    <s v="All hours + Priority access"/>
    <s v="San Diego, CA"/>
    <n v="32.715699999999998"/>
    <n v="-117.1611"/>
    <d v="2024-12-22T00:00:00"/>
    <n v="0"/>
    <x v="0"/>
    <x v="13"/>
  </r>
  <r>
    <n v="18"/>
    <x v="0"/>
    <n v="3"/>
    <s v="Fri, Mon, Sun"/>
    <b v="0"/>
    <d v="1899-12-30T13:26:00"/>
    <d v="1899-12-30T16:15:00"/>
    <n v="169"/>
    <b v="0"/>
    <b v="0"/>
    <x v="0"/>
    <x v="2"/>
    <n v="50"/>
    <x v="0"/>
    <n v="50"/>
    <x v="3"/>
    <n v="0.15"/>
    <n v="42.5"/>
    <s v="All hours"/>
    <s v="Long Beach, CA"/>
    <n v="33.770099999999999"/>
    <n v="-118.19370000000001"/>
    <d v="2024-09-05T00:00:00"/>
    <n v="0"/>
    <x v="0"/>
    <x v="41"/>
  </r>
  <r>
    <n v="43"/>
    <x v="0"/>
    <n v="4"/>
    <s v="Fri, Mon, Sat, Tue"/>
    <b v="1"/>
    <d v="1899-12-30T18:41:00"/>
    <d v="1899-12-30T21:36:00"/>
    <n v="175"/>
    <b v="0"/>
    <b v="1"/>
    <x v="0"/>
    <x v="4"/>
    <n v="50"/>
    <x v="1"/>
    <n v="37.5"/>
    <x v="3"/>
    <n v="0.15"/>
    <n v="31.875"/>
    <s v="All hours"/>
    <s v="Anaheim, CA"/>
    <n v="33.836599999999997"/>
    <n v="-117.9143"/>
    <d v="2025-06-03T00:00:00"/>
    <n v="5"/>
    <x v="0"/>
    <x v="9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2-10-23T00:00:00"/>
    <n v="0"/>
    <x v="1"/>
    <x v="32"/>
  </r>
  <r>
    <n v="25"/>
    <x v="1"/>
    <n v="3"/>
    <s v="Fri, Sun, Tue"/>
    <b v="0"/>
    <d v="1899-12-30T15:21:00"/>
    <d v="1899-12-30T16:26:00"/>
    <n v="65"/>
    <b v="0"/>
    <b v="1"/>
    <x v="0"/>
    <x v="2"/>
    <n v="30"/>
    <x v="0"/>
    <n v="30"/>
    <x v="0"/>
    <n v="0.05"/>
    <n v="28.5"/>
    <s v="Weekdays only"/>
    <s v="Sacramento, CA"/>
    <n v="38.581600000000002"/>
    <n v="-121.4944"/>
    <d v="2025-02-17T00:00:00"/>
    <n v="7"/>
    <x v="0"/>
    <x v="30"/>
  </r>
  <r>
    <n v="46"/>
    <x v="2"/>
    <n v="5"/>
    <s v="Fri, Sun, Thu, Tue, Wed"/>
    <b v="1"/>
    <d v="1899-12-30T11:18:00"/>
    <d v="1899-12-30T14:06:00"/>
    <n v="168"/>
    <b v="1"/>
    <b v="1"/>
    <x v="1"/>
    <x v="0"/>
    <n v="20"/>
    <x v="1"/>
    <n v="15"/>
    <x v="2"/>
    <n v="0.1"/>
    <n v="13.5"/>
    <s v="Off-peak only"/>
    <s v="San Francisco, CA"/>
    <n v="37.774900000000002"/>
    <n v="-122.4194"/>
    <d v="2023-10-18T00:00:00"/>
    <n v="5"/>
    <x v="1"/>
    <x v="59"/>
  </r>
  <r>
    <n v="43"/>
    <x v="1"/>
    <n v="5"/>
    <s v="Mon, Sat, Sun, Tue, Wed"/>
    <b v="0"/>
    <d v="1899-12-30T12:50:00"/>
    <d v="1899-12-30T15:20:00"/>
    <n v="150"/>
    <b v="1"/>
    <b v="1"/>
    <x v="1"/>
    <x v="0"/>
    <n v="30"/>
    <x v="2"/>
    <n v="27"/>
    <x v="1"/>
    <n v="0"/>
    <n v="27"/>
    <s v="Weekdays only"/>
    <s v="San Francisco, CA"/>
    <n v="37.774900000000002"/>
    <n v="-122.4194"/>
    <d v="2024-09-04T00:00:00"/>
    <n v="5"/>
    <x v="1"/>
    <x v="41"/>
  </r>
  <r>
    <n v="46"/>
    <x v="1"/>
    <n v="5"/>
    <s v="Fri, Mon, Sat, Thu, Tue"/>
    <b v="1"/>
    <d v="1899-12-30T12:19:00"/>
    <d v="1899-12-30T12:49:00"/>
    <n v="30"/>
    <b v="0"/>
    <b v="1"/>
    <x v="1"/>
    <x v="0"/>
    <n v="30"/>
    <x v="0"/>
    <n v="30"/>
    <x v="1"/>
    <n v="0"/>
    <n v="30"/>
    <s v="Weekdays only"/>
    <s v="San Francisco, CA"/>
    <n v="37.774900000000002"/>
    <n v="-122.4194"/>
    <d v="2023-11-10T00:00:00"/>
    <n v="8"/>
    <x v="1"/>
    <x v="50"/>
  </r>
  <r>
    <n v="19"/>
    <x v="0"/>
    <n v="2"/>
    <s v="Mon, Wed"/>
    <b v="1"/>
    <d v="1899-12-30T10:42:00"/>
    <d v="1899-12-30T13:29:00"/>
    <n v="167"/>
    <b v="0"/>
    <b v="1"/>
    <x v="0"/>
    <x v="0"/>
    <n v="50"/>
    <x v="0"/>
    <n v="50"/>
    <x v="2"/>
    <n v="0.1"/>
    <n v="45"/>
    <s v="All hours"/>
    <s v="Sacramento, CA"/>
    <n v="38.581600000000002"/>
    <n v="-121.4944"/>
    <d v="2023-07-30T00:00:00"/>
    <n v="4"/>
    <x v="0"/>
    <x v="34"/>
  </r>
  <r>
    <n v="47"/>
    <x v="3"/>
    <n v="2"/>
    <s v="Fri, Tue"/>
    <b v="1"/>
    <d v="1899-12-30T19:19:00"/>
    <d v="1899-12-30T20:50:00"/>
    <n v="91"/>
    <b v="0"/>
    <b v="0"/>
    <x v="0"/>
    <x v="1"/>
    <n v="70"/>
    <x v="1"/>
    <n v="52.5"/>
    <x v="1"/>
    <n v="0"/>
    <n v="52.5"/>
    <s v="All hours + Priority access"/>
    <s v="San Diego, CA"/>
    <n v="32.715699999999998"/>
    <n v="-117.1611"/>
    <d v="2023-01-21T00:00:00"/>
    <n v="0"/>
    <x v="0"/>
    <x v="11"/>
  </r>
  <r>
    <n v="44"/>
    <x v="3"/>
    <n v="5"/>
    <s v="Fri, Sun, Thu, Tue, Wed"/>
    <b v="1"/>
    <d v="1899-12-30T20:04:00"/>
    <d v="1899-12-30T22:29:00"/>
    <n v="145"/>
    <b v="0"/>
    <b v="1"/>
    <x v="1"/>
    <x v="4"/>
    <n v="70"/>
    <x v="0"/>
    <n v="70"/>
    <x v="3"/>
    <n v="0.15"/>
    <n v="59.5"/>
    <s v="All hours + Priority access"/>
    <s v="San Francisco, CA"/>
    <n v="37.774900000000002"/>
    <n v="-122.4194"/>
    <d v="2024-11-15T00:00:00"/>
    <n v="5"/>
    <x v="0"/>
    <x v="12"/>
  </r>
  <r>
    <n v="47"/>
    <x v="2"/>
    <n v="2"/>
    <s v="Mon, Sat"/>
    <b v="1"/>
    <d v="1899-12-30T14:42:00"/>
    <d v="1899-12-30T16:08:00"/>
    <n v="86"/>
    <b v="0"/>
    <b v="1"/>
    <x v="1"/>
    <x v="2"/>
    <n v="20"/>
    <x v="2"/>
    <n v="18"/>
    <x v="1"/>
    <n v="0"/>
    <n v="18"/>
    <s v="Off-peak only"/>
    <s v="Bakersfield, CA"/>
    <n v="35.3733"/>
    <n v="-119.0187"/>
    <d v="2025-06-11T00:00:00"/>
    <n v="3"/>
    <x v="1"/>
    <x v="44"/>
  </r>
  <r>
    <n v="16"/>
    <x v="2"/>
    <n v="3"/>
    <s v="Mon, Sat, Thu"/>
    <b v="0"/>
    <d v="1899-12-30T15:10:00"/>
    <d v="1899-12-30T16:06:00"/>
    <n v="56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5-01-28T00:00:00"/>
    <n v="4"/>
    <x v="1"/>
    <x v="19"/>
  </r>
  <r>
    <n v="24"/>
    <x v="2"/>
    <n v="2"/>
    <s v="Sun, Tue"/>
    <b v="1"/>
    <d v="1899-12-30T18:58:00"/>
    <d v="1899-12-30T19:40:00"/>
    <n v="42"/>
    <b v="1"/>
    <b v="0"/>
    <x v="1"/>
    <x v="4"/>
    <n v="20"/>
    <x v="2"/>
    <n v="18"/>
    <x v="2"/>
    <n v="0.1"/>
    <n v="16.2"/>
    <s v="Off-peak only"/>
    <s v="Los Angeles, CA"/>
    <n v="34.052199999999999"/>
    <n v="-118.2437"/>
    <d v="2022-11-07T00:00:00"/>
    <n v="0"/>
    <x v="0"/>
    <x v="32"/>
  </r>
  <r>
    <n v="23"/>
    <x v="0"/>
    <n v="1"/>
    <s v="Tue"/>
    <b v="0"/>
    <d v="1899-12-30T16:54:00"/>
    <d v="1899-12-30T19:49:00"/>
    <n v="175"/>
    <b v="1"/>
    <b v="0"/>
    <x v="0"/>
    <x v="4"/>
    <n v="50"/>
    <x v="0"/>
    <n v="50"/>
    <x v="1"/>
    <n v="0"/>
    <n v="50"/>
    <s v="All hours"/>
    <s v="Bakersfield, CA"/>
    <n v="35.3733"/>
    <n v="-119.0187"/>
    <d v="2022-12-05T00:00:00"/>
    <n v="0"/>
    <x v="0"/>
    <x v="54"/>
  </r>
  <r>
    <n v="31"/>
    <x v="0"/>
    <n v="4"/>
    <s v="Fri, Mon, Sat, Thu"/>
    <b v="0"/>
    <d v="1899-12-30T11:54:00"/>
    <d v="1899-12-30T13:21:00"/>
    <n v="87"/>
    <b v="0"/>
    <b v="0"/>
    <x v="1"/>
    <x v="0"/>
    <n v="50"/>
    <x v="1"/>
    <n v="37.5"/>
    <x v="1"/>
    <n v="0"/>
    <n v="37.5"/>
    <s v="All hours"/>
    <s v="Sacramento, CA"/>
    <n v="38.581600000000002"/>
    <n v="-121.4944"/>
    <d v="2023-09-25T00:00:00"/>
    <n v="0"/>
    <x v="0"/>
    <x v="3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3-09-22T00:00:00"/>
    <n v="1"/>
    <x v="1"/>
    <x v="7"/>
  </r>
  <r>
    <n v="39"/>
    <x v="2"/>
    <n v="2"/>
    <s v="Thu, Wed"/>
    <b v="1"/>
    <d v="1899-12-30T08:25:00"/>
    <d v="1899-12-30T10:10:00"/>
    <n v="105"/>
    <b v="0"/>
    <b v="1"/>
    <x v="0"/>
    <x v="4"/>
    <n v="20"/>
    <x v="0"/>
    <n v="20"/>
    <x v="0"/>
    <n v="0.05"/>
    <n v="19"/>
    <s v="Off-peak only"/>
    <s v="Bakersfield, CA"/>
    <n v="35.3733"/>
    <n v="-119.0187"/>
    <d v="2023-07-15T00:00:00"/>
    <n v="5"/>
    <x v="1"/>
    <x v="34"/>
  </r>
  <r>
    <n v="32"/>
    <x v="1"/>
    <n v="5"/>
    <s v="Fri, Mon, Thu, Tue, Wed"/>
    <b v="1"/>
    <d v="1899-12-30T10:17:00"/>
    <d v="1899-12-30T13:05:00"/>
    <n v="168"/>
    <b v="1"/>
    <b v="0"/>
    <x v="0"/>
    <x v="4"/>
    <n v="30"/>
    <x v="2"/>
    <n v="27"/>
    <x v="1"/>
    <n v="0"/>
    <n v="27"/>
    <s v="Weekdays only"/>
    <s v="Sacramento, CA"/>
    <n v="38.581600000000002"/>
    <n v="-121.4944"/>
    <d v="2024-12-18T00:00:00"/>
    <n v="0"/>
    <x v="0"/>
    <x v="13"/>
  </r>
  <r>
    <n v="22"/>
    <x v="1"/>
    <n v="5"/>
    <s v="Fri, Sat, Sun, Tue, Wed"/>
    <b v="1"/>
    <d v="1899-12-30T08:13:00"/>
    <d v="1899-12-30T09:46:00"/>
    <n v="93"/>
    <b v="0"/>
    <b v="0"/>
    <x v="1"/>
    <x v="0"/>
    <n v="30"/>
    <x v="0"/>
    <n v="30"/>
    <x v="0"/>
    <n v="0.05"/>
    <n v="28.5"/>
    <s v="Weekdays only"/>
    <s v="San Jose, CA"/>
    <n v="37.338200000000001"/>
    <n v="-121.88630000000001"/>
    <d v="2022-10-23T00:00:00"/>
    <n v="0"/>
    <x v="0"/>
    <x v="32"/>
  </r>
  <r>
    <n v="32"/>
    <x v="1"/>
    <n v="3"/>
    <s v="Fri, Sun, Thu"/>
    <b v="0"/>
    <d v="1899-12-30T14:23:00"/>
    <d v="1899-12-30T15:48:00"/>
    <n v="85"/>
    <b v="1"/>
    <b v="0"/>
    <x v="0"/>
    <x v="2"/>
    <n v="30"/>
    <x v="0"/>
    <n v="30"/>
    <x v="1"/>
    <n v="0"/>
    <n v="30"/>
    <s v="Weekdays only"/>
    <s v="Long Beach, CA"/>
    <n v="33.770099999999999"/>
    <n v="-118.19370000000001"/>
    <d v="2024-04-03T00:00:00"/>
    <n v="0"/>
    <x v="1"/>
    <x v="17"/>
  </r>
  <r>
    <n v="19"/>
    <x v="2"/>
    <n v="2"/>
    <s v="Fri, Sat"/>
    <b v="1"/>
    <d v="1899-12-30T20:23:00"/>
    <d v="1899-12-30T21:49:00"/>
    <n v="86"/>
    <b v="0"/>
    <b v="1"/>
    <x v="0"/>
    <x v="0"/>
    <n v="20"/>
    <x v="1"/>
    <n v="15"/>
    <x v="2"/>
    <n v="0.1"/>
    <n v="13.5"/>
    <s v="Off-peak only"/>
    <s v="San Diego, CA"/>
    <n v="32.715699999999998"/>
    <n v="-117.1611"/>
    <d v="2024-05-10T00:00:00"/>
    <n v="5"/>
    <x v="1"/>
    <x v="0"/>
  </r>
  <r>
    <n v="30"/>
    <x v="1"/>
    <n v="1"/>
    <s v="Sun"/>
    <b v="1"/>
    <d v="1899-12-30T08:38:00"/>
    <d v="1899-12-30T10:08:00"/>
    <n v="90"/>
    <b v="0"/>
    <b v="1"/>
    <x v="1"/>
    <x v="3"/>
    <n v="30"/>
    <x v="0"/>
    <n v="30"/>
    <x v="1"/>
    <n v="0"/>
    <n v="30"/>
    <s v="Weekdays only"/>
    <s v="San Francisco, CA"/>
    <n v="37.774900000000002"/>
    <n v="-122.4194"/>
    <d v="2023-12-18T00:00:00"/>
    <n v="1"/>
    <x v="1"/>
    <x v="16"/>
  </r>
  <r>
    <n v="13"/>
    <x v="3"/>
    <n v="5"/>
    <s v="Fri, Mon, Sat, Sun, Thu"/>
    <b v="1"/>
    <d v="1899-12-30T17:13:00"/>
    <d v="1899-12-30T19:00:00"/>
    <n v="107"/>
    <b v="0"/>
    <b v="0"/>
    <x v="0"/>
    <x v="0"/>
    <n v="70"/>
    <x v="0"/>
    <n v="70"/>
    <x v="1"/>
    <n v="0"/>
    <n v="70"/>
    <s v="All hours + Priority access"/>
    <s v="Bakersfield, CA"/>
    <n v="35.3733"/>
    <n v="-119.0187"/>
    <d v="2025-05-03T00:00:00"/>
    <n v="0"/>
    <x v="1"/>
    <x v="24"/>
  </r>
  <r>
    <n v="36"/>
    <x v="2"/>
    <n v="1"/>
    <s v="Tue"/>
    <b v="1"/>
    <d v="1899-12-30T20:44:00"/>
    <d v="1899-12-30T22:22:00"/>
    <n v="98"/>
    <b v="1"/>
    <b v="1"/>
    <x v="1"/>
    <x v="4"/>
    <n v="20"/>
    <x v="1"/>
    <n v="15"/>
    <x v="1"/>
    <n v="0"/>
    <n v="15"/>
    <s v="Off-peak only"/>
    <s v="Oakland, CA"/>
    <n v="37.804400000000001"/>
    <n v="-122.27119999999999"/>
    <d v="2024-12-27T00:00:00"/>
    <n v="5"/>
    <x v="1"/>
    <x v="4"/>
  </r>
  <r>
    <n v="35"/>
    <x v="0"/>
    <n v="2"/>
    <s v="Sun, Wed"/>
    <b v="0"/>
    <d v="1899-12-30T19:50:00"/>
    <d v="1899-12-30T22:24:00"/>
    <n v="154"/>
    <b v="0"/>
    <b v="1"/>
    <x v="1"/>
    <x v="4"/>
    <n v="50"/>
    <x v="0"/>
    <n v="50"/>
    <x v="3"/>
    <n v="0.15"/>
    <n v="42.5"/>
    <s v="All hours"/>
    <s v="San Francisco, CA"/>
    <n v="37.774900000000002"/>
    <n v="-122.4194"/>
    <d v="2023-04-28T00:00:00"/>
    <n v="1"/>
    <x v="1"/>
    <x v="58"/>
  </r>
  <r>
    <n v="30"/>
    <x v="1"/>
    <n v="3"/>
    <s v="Fri, Thu, Tue"/>
    <b v="0"/>
    <d v="1899-12-30T08:05:00"/>
    <d v="1899-12-30T09:06:00"/>
    <n v="61"/>
    <b v="1"/>
    <b v="1"/>
    <x v="0"/>
    <x v="2"/>
    <n v="30"/>
    <x v="1"/>
    <n v="22.5"/>
    <x v="0"/>
    <n v="0.05"/>
    <n v="21.375"/>
    <s v="Weekdays only"/>
    <s v="Long Beach, CA"/>
    <n v="33.770099999999999"/>
    <n v="-118.19370000000001"/>
    <d v="2025-03-26T00:00:00"/>
    <n v="4"/>
    <x v="1"/>
    <x v="42"/>
  </r>
  <r>
    <n v="29"/>
    <x v="3"/>
    <n v="3"/>
    <s v="Sat, Tue, Wed"/>
    <b v="0"/>
    <d v="1899-12-30T10:28:00"/>
    <d v="1899-12-30T11:36:00"/>
    <n v="68"/>
    <b v="0"/>
    <b v="1"/>
    <x v="1"/>
    <x v="0"/>
    <n v="70"/>
    <x v="0"/>
    <n v="70"/>
    <x v="1"/>
    <n v="0"/>
    <n v="70"/>
    <s v="All hours + Priority access"/>
    <s v="San Francisco, CA"/>
    <n v="37.774900000000002"/>
    <n v="-122.4194"/>
    <d v="2023-09-19T00:00:00"/>
    <n v="3"/>
    <x v="0"/>
    <x v="7"/>
  </r>
  <r>
    <n v="47"/>
    <x v="2"/>
    <n v="2"/>
    <s v="Mon, Tue"/>
    <b v="1"/>
    <d v="1899-12-30T19:06:00"/>
    <d v="1899-12-30T19:43:00"/>
    <n v="37"/>
    <b v="0"/>
    <b v="1"/>
    <x v="1"/>
    <x v="1"/>
    <n v="20"/>
    <x v="0"/>
    <n v="20"/>
    <x v="1"/>
    <n v="0"/>
    <n v="20"/>
    <s v="Off-peak only"/>
    <s v="San Francisco, CA"/>
    <n v="37.774900000000002"/>
    <n v="-122.4194"/>
    <d v="2024-10-04T00:00:00"/>
    <n v="1"/>
    <x v="1"/>
    <x v="51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4-05-04T00:00:00"/>
    <n v="0"/>
    <x v="0"/>
    <x v="40"/>
  </r>
  <r>
    <n v="49"/>
    <x v="0"/>
    <n v="2"/>
    <s v="Tue, Wed"/>
    <b v="0"/>
    <d v="1899-12-30T10:11:00"/>
    <d v="1899-12-30T11:28:00"/>
    <n v="77"/>
    <b v="1"/>
    <b v="1"/>
    <x v="0"/>
    <x v="4"/>
    <n v="50"/>
    <x v="0"/>
    <n v="50"/>
    <x v="1"/>
    <n v="0"/>
    <n v="50"/>
    <s v="All hours"/>
    <s v="Bakersfield, CA"/>
    <n v="35.3733"/>
    <n v="-119.0187"/>
    <d v="2024-08-19T00:00:00"/>
    <n v="2"/>
    <x v="0"/>
    <x v="18"/>
  </r>
  <r>
    <n v="16"/>
    <x v="0"/>
    <n v="3"/>
    <s v="Sat, Sun, Wed"/>
    <b v="1"/>
    <d v="1899-12-30T13:30:00"/>
    <d v="1899-12-30T14:20:00"/>
    <n v="50"/>
    <b v="1"/>
    <b v="0"/>
    <x v="1"/>
    <x v="4"/>
    <n v="50"/>
    <x v="1"/>
    <n v="37.5"/>
    <x v="1"/>
    <n v="0"/>
    <n v="37.5"/>
    <s v="All hours"/>
    <s v="San Diego, CA"/>
    <n v="32.715699999999998"/>
    <n v="-117.1611"/>
    <d v="2024-06-09T00:00:00"/>
    <n v="0"/>
    <x v="0"/>
    <x v="20"/>
  </r>
  <r>
    <n v="13"/>
    <x v="1"/>
    <n v="3"/>
    <s v="Fri, Sat, Wed"/>
    <b v="1"/>
    <d v="1899-12-30T13:37:00"/>
    <d v="1899-12-30T14:09:00"/>
    <n v="32"/>
    <b v="1"/>
    <b v="0"/>
    <x v="0"/>
    <x v="0"/>
    <n v="30"/>
    <x v="1"/>
    <n v="22.5"/>
    <x v="1"/>
    <n v="0"/>
    <n v="22.5"/>
    <s v="Weekdays only"/>
    <s v="Long Beach, CA"/>
    <n v="33.770099999999999"/>
    <n v="-118.19370000000001"/>
    <d v="2023-05-19T00:00:00"/>
    <n v="0"/>
    <x v="1"/>
    <x v="2"/>
  </r>
  <r>
    <n v="47"/>
    <x v="0"/>
    <n v="2"/>
    <s v="Sun, Tue"/>
    <b v="1"/>
    <d v="1899-12-30T15:09:00"/>
    <d v="1899-12-30T16:18:00"/>
    <n v="69"/>
    <b v="1"/>
    <b v="1"/>
    <x v="1"/>
    <x v="2"/>
    <n v="50"/>
    <x v="1"/>
    <n v="37.5"/>
    <x v="0"/>
    <n v="0.05"/>
    <n v="35.625"/>
    <s v="All hours"/>
    <s v="Los Angeles, CA"/>
    <n v="34.052199999999999"/>
    <n v="-118.2437"/>
    <d v="2024-08-10T00:00:00"/>
    <n v="8"/>
    <x v="0"/>
    <x v="18"/>
  </r>
  <r>
    <n v="23"/>
    <x v="0"/>
    <n v="5"/>
    <s v="Fri, Mon, Sun, Tue, Wed"/>
    <b v="0"/>
    <d v="1899-12-30T16:33:00"/>
    <d v="1899-12-30T18:03:00"/>
    <n v="90"/>
    <b v="0"/>
    <b v="0"/>
    <x v="0"/>
    <x v="0"/>
    <n v="50"/>
    <x v="0"/>
    <n v="50"/>
    <x v="0"/>
    <n v="0.05"/>
    <n v="47.5"/>
    <s v="All hours"/>
    <s v="Long Beach, CA"/>
    <n v="33.770099999999999"/>
    <n v="-118.19370000000001"/>
    <d v="2023-10-28T00:00:00"/>
    <n v="0"/>
    <x v="0"/>
    <x v="50"/>
  </r>
  <r>
    <n v="29"/>
    <x v="2"/>
    <n v="4"/>
    <s v="Mon, Sat, Tue, Wed"/>
    <b v="1"/>
    <d v="1899-12-30T09:11:00"/>
    <d v="1899-12-30T10:48:00"/>
    <n v="97"/>
    <b v="0"/>
    <b v="0"/>
    <x v="1"/>
    <x v="4"/>
    <n v="20"/>
    <x v="2"/>
    <n v="18"/>
    <x v="1"/>
    <n v="0"/>
    <n v="18"/>
    <s v="Off-peak only"/>
    <s v="Fresno, CA"/>
    <n v="36.7378"/>
    <n v="-119.7871"/>
    <d v="2024-02-02T00:00:00"/>
    <n v="0"/>
    <x v="1"/>
    <x v="48"/>
  </r>
  <r>
    <n v="49"/>
    <x v="3"/>
    <n v="3"/>
    <s v="Fri, Sun, Wed"/>
    <b v="0"/>
    <d v="1899-12-30T17:42:00"/>
    <d v="1899-12-30T19:00:00"/>
    <n v="78"/>
    <b v="1"/>
    <b v="1"/>
    <x v="1"/>
    <x v="4"/>
    <n v="70"/>
    <x v="2"/>
    <n v="63"/>
    <x v="2"/>
    <n v="0.1"/>
    <n v="56.7"/>
    <s v="All hours + Priority access"/>
    <s v="Los Angeles, CA"/>
    <n v="34.052199999999999"/>
    <n v="-118.2437"/>
    <d v="2023-07-17T00:00:00"/>
    <n v="8"/>
    <x v="0"/>
    <x v="34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2-09-29T00:00:00"/>
    <n v="0"/>
    <x v="0"/>
    <x v="25"/>
  </r>
  <r>
    <n v="21"/>
    <x v="0"/>
    <n v="3"/>
    <s v="Mon, Sat, Wed"/>
    <b v="0"/>
    <d v="1899-12-30T13:49:00"/>
    <d v="1899-12-30T14:55:00"/>
    <n v="66"/>
    <b v="0"/>
    <b v="1"/>
    <x v="1"/>
    <x v="0"/>
    <n v="50"/>
    <x v="0"/>
    <n v="50"/>
    <x v="1"/>
    <n v="0"/>
    <n v="50"/>
    <s v="All hours"/>
    <s v="Anaheim, CA"/>
    <n v="33.836599999999997"/>
    <n v="-117.9143"/>
    <d v="2023-05-04T00:00:00"/>
    <n v="1"/>
    <x v="0"/>
    <x v="2"/>
  </r>
  <r>
    <n v="27"/>
    <x v="0"/>
    <n v="1"/>
    <s v="Thu"/>
    <b v="0"/>
    <d v="1899-12-30T14:17:00"/>
    <d v="1899-12-30T15:42:00"/>
    <n v="85"/>
    <b v="0"/>
    <b v="0"/>
    <x v="0"/>
    <x v="2"/>
    <n v="50"/>
    <x v="1"/>
    <n v="37.5"/>
    <x v="0"/>
    <n v="0.05"/>
    <n v="35.625"/>
    <s v="All hours"/>
    <s v="Bakersfield, CA"/>
    <n v="35.3733"/>
    <n v="-119.0187"/>
    <d v="2024-11-06T00:00:00"/>
    <n v="0"/>
    <x v="0"/>
    <x v="12"/>
  </r>
  <r>
    <n v="38"/>
    <x v="2"/>
    <n v="1"/>
    <s v="Tue"/>
    <b v="0"/>
    <d v="1899-12-30T14:12:00"/>
    <d v="1899-12-30T14:59:00"/>
    <n v="47"/>
    <b v="0"/>
    <b v="0"/>
    <x v="0"/>
    <x v="2"/>
    <n v="20"/>
    <x v="0"/>
    <n v="20"/>
    <x v="1"/>
    <n v="0"/>
    <n v="20"/>
    <s v="Off-peak only"/>
    <s v="Sacramento, CA"/>
    <n v="38.581600000000002"/>
    <n v="-121.4944"/>
    <d v="2025-05-20T00:00:00"/>
    <n v="0"/>
    <x v="1"/>
    <x v="9"/>
  </r>
  <r>
    <n v="22"/>
    <x v="2"/>
    <n v="3"/>
    <s v="Sat, Thu, Tue"/>
    <b v="1"/>
    <d v="1899-12-30T18:51:00"/>
    <d v="1899-12-30T21:17:00"/>
    <n v="146"/>
    <b v="0"/>
    <b v="1"/>
    <x v="0"/>
    <x v="0"/>
    <n v="20"/>
    <x v="0"/>
    <n v="20"/>
    <x v="3"/>
    <n v="0.15"/>
    <n v="17"/>
    <s v="Off-peak only"/>
    <s v="Los Angeles, CA"/>
    <n v="34.052199999999999"/>
    <n v="-118.2437"/>
    <d v="2024-09-16T00:00:00"/>
    <n v="8"/>
    <x v="1"/>
    <x v="33"/>
  </r>
  <r>
    <n v="30"/>
    <x v="2"/>
    <n v="2"/>
    <s v="Sun, Wed"/>
    <b v="1"/>
    <d v="1899-12-30T14:19:00"/>
    <d v="1899-12-30T16:18:00"/>
    <n v="119"/>
    <b v="1"/>
    <b v="1"/>
    <x v="0"/>
    <x v="0"/>
    <n v="20"/>
    <x v="1"/>
    <n v="15"/>
    <x v="1"/>
    <n v="0"/>
    <n v="15"/>
    <s v="Off-peak only"/>
    <s v="Bakersfield, CA"/>
    <n v="35.3733"/>
    <n v="-119.0187"/>
    <d v="2023-09-28T00:00:00"/>
    <n v="5"/>
    <x v="1"/>
    <x v="3"/>
  </r>
  <r>
    <n v="25"/>
    <x v="1"/>
    <n v="2"/>
    <s v="Thu, Wed"/>
    <b v="0"/>
    <d v="1899-12-30T10:38:00"/>
    <d v="1899-12-30T12:32:00"/>
    <n v="114"/>
    <b v="1"/>
    <b v="1"/>
    <x v="0"/>
    <x v="1"/>
    <n v="30"/>
    <x v="1"/>
    <n v="22.5"/>
    <x v="0"/>
    <n v="0.05"/>
    <n v="21.375"/>
    <s v="Weekdays only"/>
    <s v="Sacramento, CA"/>
    <n v="38.581600000000002"/>
    <n v="-121.4944"/>
    <d v="2025-04-29T00:00:00"/>
    <n v="7"/>
    <x v="1"/>
    <x v="5"/>
  </r>
  <r>
    <n v="35"/>
    <x v="1"/>
    <n v="1"/>
    <s v="Tue"/>
    <b v="0"/>
    <d v="1899-12-30T16:19:00"/>
    <d v="1899-12-30T19:13:00"/>
    <n v="174"/>
    <b v="1"/>
    <b v="0"/>
    <x v="0"/>
    <x v="4"/>
    <n v="30"/>
    <x v="0"/>
    <n v="30"/>
    <x v="0"/>
    <n v="0.05"/>
    <n v="28.5"/>
    <s v="Weekdays only"/>
    <s v="Oakland, CA"/>
    <n v="37.804400000000001"/>
    <n v="-122.27119999999999"/>
    <d v="2024-01-11T00:00:00"/>
    <n v="0"/>
    <x v="0"/>
    <x v="31"/>
  </r>
  <r>
    <n v="16"/>
    <x v="0"/>
    <n v="3"/>
    <s v="Mon, Sun, Tue"/>
    <b v="0"/>
    <d v="1899-12-30T16:04:00"/>
    <d v="1899-12-30T17:51:00"/>
    <n v="107"/>
    <b v="1"/>
    <b v="1"/>
    <x v="1"/>
    <x v="0"/>
    <n v="50"/>
    <x v="1"/>
    <n v="37.5"/>
    <x v="1"/>
    <n v="0"/>
    <n v="37.5"/>
    <s v="All hours"/>
    <s v="San Jose, CA"/>
    <n v="37.338200000000001"/>
    <n v="-121.88630000000001"/>
    <d v="2023-09-26T00:00:00"/>
    <n v="7"/>
    <x v="1"/>
    <x v="3"/>
  </r>
  <r>
    <n v="18"/>
    <x v="0"/>
    <n v="3"/>
    <s v="Fri, Mon, Thu"/>
    <b v="1"/>
    <d v="1899-12-30T11:41:00"/>
    <d v="1899-12-30T13:08:00"/>
    <n v="87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4-07-02T00:00:00"/>
    <n v="0"/>
    <x v="1"/>
    <x v="55"/>
  </r>
  <r>
    <n v="36"/>
    <x v="0"/>
    <n v="1"/>
    <s v="Sat"/>
    <b v="1"/>
    <d v="1899-12-30T11:56:00"/>
    <d v="1899-12-30T12:58:00"/>
    <n v="62"/>
    <b v="1"/>
    <b v="1"/>
    <x v="1"/>
    <x v="4"/>
    <n v="50"/>
    <x v="0"/>
    <n v="50"/>
    <x v="1"/>
    <n v="0"/>
    <n v="50"/>
    <s v="All hours"/>
    <s v="San Diego, CA"/>
    <n v="32.715699999999998"/>
    <n v="-117.1611"/>
    <d v="2023-03-24T00:00:00"/>
    <n v="8"/>
    <x v="0"/>
    <x v="36"/>
  </r>
  <r>
    <n v="30"/>
    <x v="0"/>
    <n v="3"/>
    <s v="Sat, Sun, Wed"/>
    <b v="1"/>
    <d v="1899-12-30T17:43:00"/>
    <d v="1899-12-30T18:23:00"/>
    <n v="40"/>
    <b v="0"/>
    <b v="0"/>
    <x v="0"/>
    <x v="0"/>
    <n v="50"/>
    <x v="0"/>
    <n v="50"/>
    <x v="3"/>
    <n v="0.15"/>
    <n v="42.5"/>
    <s v="All hours"/>
    <s v="Fresno, CA"/>
    <n v="36.7378"/>
    <n v="-119.7871"/>
    <d v="2025-03-01T00:00:00"/>
    <n v="0"/>
    <x v="0"/>
    <x v="45"/>
  </r>
  <r>
    <n v="43"/>
    <x v="2"/>
    <n v="1"/>
    <s v="Sat"/>
    <b v="1"/>
    <d v="1899-12-30T14:44:00"/>
    <d v="1899-12-30T16:44:00"/>
    <n v="120"/>
    <b v="1"/>
    <b v="1"/>
    <x v="1"/>
    <x v="0"/>
    <n v="20"/>
    <x v="2"/>
    <n v="18"/>
    <x v="3"/>
    <n v="0.15"/>
    <n v="15.3"/>
    <s v="Off-peak only"/>
    <s v="San Diego, CA"/>
    <n v="32.715699999999998"/>
    <n v="-117.1611"/>
    <d v="2025-04-03T00:00:00"/>
    <n v="4"/>
    <x v="0"/>
    <x v="42"/>
  </r>
  <r>
    <n v="16"/>
    <x v="2"/>
    <n v="3"/>
    <s v="Mon, Sat, Thu"/>
    <b v="0"/>
    <d v="1899-12-30T15:10:00"/>
    <d v="1899-12-30T16:06:00"/>
    <n v="56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3-05-09T00:00:00"/>
    <n v="6"/>
    <x v="1"/>
    <x v="2"/>
  </r>
  <r>
    <n v="27"/>
    <x v="2"/>
    <n v="2"/>
    <s v="Fri, Tue"/>
    <b v="1"/>
    <d v="1899-12-30T11:35:00"/>
    <d v="1899-12-30T13:34:00"/>
    <n v="119"/>
    <b v="1"/>
    <b v="0"/>
    <x v="1"/>
    <x v="0"/>
    <n v="20"/>
    <x v="0"/>
    <n v="20"/>
    <x v="0"/>
    <n v="0.05"/>
    <n v="19"/>
    <s v="Off-peak only"/>
    <s v="Oakland, CA"/>
    <n v="37.804400000000001"/>
    <n v="-122.27119999999999"/>
    <d v="2024-01-12T00:00:00"/>
    <n v="0"/>
    <x v="1"/>
    <x v="31"/>
  </r>
  <r>
    <n v="37"/>
    <x v="2"/>
    <n v="3"/>
    <s v="Mon, Tue, Wed"/>
    <b v="1"/>
    <d v="1899-12-30T18:07:00"/>
    <d v="1899-12-30T20:01:00"/>
    <n v="114"/>
    <b v="0"/>
    <b v="0"/>
    <x v="1"/>
    <x v="1"/>
    <n v="20"/>
    <x v="1"/>
    <n v="15"/>
    <x v="1"/>
    <n v="0"/>
    <n v="15"/>
    <s v="Off-peak only"/>
    <s v="Los Angeles, CA"/>
    <n v="34.052199999999999"/>
    <n v="-118.2437"/>
    <d v="2023-06-20T00:00:00"/>
    <n v="0"/>
    <x v="0"/>
    <x v="28"/>
  </r>
  <r>
    <n v="14"/>
    <x v="0"/>
    <n v="3"/>
    <s v="Sat, Sun, Tue"/>
    <b v="0"/>
    <d v="1899-12-30T14:09:00"/>
    <d v="1899-12-30T16:34:00"/>
    <n v="145"/>
    <b v="0"/>
    <b v="1"/>
    <x v="0"/>
    <x v="0"/>
    <n v="50"/>
    <x v="2"/>
    <n v="45"/>
    <x v="3"/>
    <n v="0.15"/>
    <n v="38.25"/>
    <s v="All hours"/>
    <s v="Bakersfield, CA"/>
    <n v="35.3733"/>
    <n v="-119.0187"/>
    <d v="2024-03-16T00:00:00"/>
    <n v="4"/>
    <x v="1"/>
    <x v="29"/>
  </r>
  <r>
    <n v="16"/>
    <x v="0"/>
    <n v="3"/>
    <s v="Sun, Thu, Wed"/>
    <b v="1"/>
    <d v="1899-12-30T12:45:00"/>
    <d v="1899-12-30T14:42:00"/>
    <n v="117"/>
    <b v="1"/>
    <b v="1"/>
    <x v="0"/>
    <x v="1"/>
    <n v="50"/>
    <x v="0"/>
    <n v="50"/>
    <x v="1"/>
    <n v="0"/>
    <n v="50"/>
    <s v="All hours"/>
    <s v="Oakland, CA"/>
    <n v="37.804400000000001"/>
    <n v="-122.27119999999999"/>
    <d v="2024-10-03T00:00:00"/>
    <n v="6"/>
    <x v="0"/>
    <x v="51"/>
  </r>
  <r>
    <n v="45"/>
    <x v="0"/>
    <n v="5"/>
    <s v="Fri, Mon, Sun, Tue, Wed"/>
    <b v="1"/>
    <d v="1899-12-30T14:59:00"/>
    <d v="1899-12-30T16:59:00"/>
    <n v="120"/>
    <b v="0"/>
    <b v="0"/>
    <x v="1"/>
    <x v="4"/>
    <n v="50"/>
    <x v="1"/>
    <n v="37.5"/>
    <x v="3"/>
    <n v="0.15"/>
    <n v="31.875"/>
    <s v="All hours"/>
    <s v="San Francisco, CA"/>
    <n v="37.774900000000002"/>
    <n v="-122.4194"/>
    <d v="2023-02-01T00:00:00"/>
    <n v="0"/>
    <x v="1"/>
    <x v="11"/>
  </r>
  <r>
    <n v="26"/>
    <x v="1"/>
    <n v="4"/>
    <s v="Mon, Sat, Thu, Wed"/>
    <b v="1"/>
    <d v="1899-12-30T13:03:00"/>
    <d v="1899-12-30T15:39:00"/>
    <n v="156"/>
    <b v="0"/>
    <b v="1"/>
    <x v="1"/>
    <x v="2"/>
    <n v="30"/>
    <x v="1"/>
    <n v="22.5"/>
    <x v="0"/>
    <n v="0.05"/>
    <n v="21.375"/>
    <s v="Weekdays only"/>
    <s v="Sacramento, CA"/>
    <n v="38.581600000000002"/>
    <n v="-121.4944"/>
    <d v="2023-02-22T00:00:00"/>
    <n v="7"/>
    <x v="1"/>
    <x v="22"/>
  </r>
  <r>
    <n v="45"/>
    <x v="0"/>
    <n v="1"/>
    <s v="Mon"/>
    <b v="0"/>
    <d v="1899-12-30T19:23:00"/>
    <d v="1899-12-30T20:50:00"/>
    <n v="87"/>
    <b v="0"/>
    <b v="1"/>
    <x v="1"/>
    <x v="1"/>
    <n v="50"/>
    <x v="0"/>
    <n v="50"/>
    <x v="2"/>
    <n v="0.1"/>
    <n v="45"/>
    <s v="All hours"/>
    <s v="Sacramento, CA"/>
    <n v="38.581600000000002"/>
    <n v="-121.4944"/>
    <d v="2023-06-14T00:00:00"/>
    <n v="7"/>
    <x v="1"/>
    <x v="28"/>
  </r>
  <r>
    <n v="27"/>
    <x v="3"/>
    <n v="5"/>
    <s v="Fri, Mon, Sat, Thu, Tue"/>
    <b v="0"/>
    <d v="1899-12-30T09:57:00"/>
    <d v="1899-12-30T12:22:00"/>
    <n v="145"/>
    <b v="0"/>
    <b v="0"/>
    <x v="0"/>
    <x v="1"/>
    <n v="70"/>
    <x v="1"/>
    <n v="52.5"/>
    <x v="2"/>
    <n v="0.1"/>
    <n v="47.25"/>
    <s v="All hours + Priority access"/>
    <s v="Los Angeles, CA"/>
    <n v="34.052199999999999"/>
    <n v="-118.2437"/>
    <d v="2024-09-06T00:00:00"/>
    <n v="0"/>
    <x v="0"/>
    <x v="41"/>
  </r>
  <r>
    <n v="19"/>
    <x v="0"/>
    <n v="1"/>
    <s v="Sat"/>
    <b v="0"/>
    <d v="1899-12-30T16:10:00"/>
    <d v="1899-12-30T17:20:00"/>
    <n v="70"/>
    <b v="0"/>
    <b v="1"/>
    <x v="1"/>
    <x v="0"/>
    <n v="50"/>
    <x v="1"/>
    <n v="37.5"/>
    <x v="2"/>
    <n v="0.1"/>
    <n v="33.75"/>
    <s v="All hours"/>
    <s v="Oakland, CA"/>
    <n v="37.804400000000001"/>
    <n v="-122.27119999999999"/>
    <d v="2023-10-03T00:00:00"/>
    <n v="1"/>
    <x v="0"/>
    <x v="3"/>
  </r>
  <r>
    <n v="37"/>
    <x v="2"/>
    <n v="4"/>
    <s v="Fri, Sat, Thu, Wed"/>
    <b v="1"/>
    <d v="1899-12-30T18:44:00"/>
    <d v="1899-12-30T20:56:00"/>
    <n v="132"/>
    <b v="1"/>
    <b v="0"/>
    <x v="1"/>
    <x v="4"/>
    <n v="20"/>
    <x v="0"/>
    <n v="20"/>
    <x v="2"/>
    <n v="0.1"/>
    <n v="18"/>
    <s v="Off-peak only"/>
    <s v="Anaheim, CA"/>
    <n v="33.836599999999997"/>
    <n v="-117.9143"/>
    <d v="2024-06-03T00:00:00"/>
    <n v="0"/>
    <x v="0"/>
    <x v="20"/>
  </r>
  <r>
    <n v="49"/>
    <x v="2"/>
    <n v="3"/>
    <s v="Mon, Sun, Wed"/>
    <b v="0"/>
    <d v="1899-12-30T19:37:00"/>
    <d v="1899-12-30T21:31:00"/>
    <n v="114"/>
    <b v="1"/>
    <b v="0"/>
    <x v="0"/>
    <x v="0"/>
    <n v="20"/>
    <x v="0"/>
    <n v="20"/>
    <x v="3"/>
    <n v="0.15"/>
    <n v="17"/>
    <s v="Off-peak only"/>
    <s v="Anaheim, CA"/>
    <n v="33.836599999999997"/>
    <n v="-117.9143"/>
    <d v="2025-03-17T00:00:00"/>
    <n v="0"/>
    <x v="1"/>
    <x v="27"/>
  </r>
  <r>
    <n v="34"/>
    <x v="1"/>
    <n v="2"/>
    <s v="Fri, Tue"/>
    <b v="0"/>
    <d v="1899-12-30T17:02:00"/>
    <d v="1899-12-30T18:36:00"/>
    <n v="94"/>
    <b v="1"/>
    <b v="1"/>
    <x v="1"/>
    <x v="0"/>
    <n v="30"/>
    <x v="0"/>
    <n v="30"/>
    <x v="3"/>
    <n v="0.15"/>
    <n v="25.5"/>
    <s v="Weekdays only"/>
    <s v="San Jose, CA"/>
    <n v="37.338200000000001"/>
    <n v="-121.88630000000001"/>
    <d v="2022-10-20T00:00:00"/>
    <n v="3"/>
    <x v="1"/>
    <x v="38"/>
  </r>
  <r>
    <n v="42"/>
    <x v="0"/>
    <n v="4"/>
    <s v="Fri, Mon, Thu, Tue"/>
    <b v="1"/>
    <d v="1899-12-30T09:55:00"/>
    <d v="1899-12-30T10:59:00"/>
    <n v="64"/>
    <b v="0"/>
    <b v="0"/>
    <x v="1"/>
    <x v="0"/>
    <n v="50"/>
    <x v="1"/>
    <n v="37.5"/>
    <x v="0"/>
    <n v="0.05"/>
    <n v="35.625"/>
    <s v="All hours"/>
    <s v="San Jose, CA"/>
    <n v="37.338200000000001"/>
    <n v="-121.88630000000001"/>
    <d v="2025-01-28T00:00:00"/>
    <n v="0"/>
    <x v="1"/>
    <x v="19"/>
  </r>
  <r>
    <n v="25"/>
    <x v="0"/>
    <n v="5"/>
    <s v="Fri, Sat, Sun, Thu, Tue"/>
    <b v="0"/>
    <d v="1899-12-30T16:13:00"/>
    <d v="1899-12-30T18:45:00"/>
    <n v="152"/>
    <b v="0"/>
    <b v="0"/>
    <x v="0"/>
    <x v="1"/>
    <n v="50"/>
    <x v="2"/>
    <n v="45"/>
    <x v="0"/>
    <n v="0.05"/>
    <n v="42.75"/>
    <s v="All hours"/>
    <s v="Los Angeles, CA"/>
    <n v="34.052199999999999"/>
    <n v="-118.2437"/>
    <d v="2022-09-14T00:00:00"/>
    <n v="0"/>
    <x v="1"/>
    <x v="1"/>
  </r>
  <r>
    <n v="39"/>
    <x v="1"/>
    <n v="2"/>
    <s v="Fri, Wed"/>
    <b v="0"/>
    <d v="1899-12-30T10:32:00"/>
    <d v="1899-12-30T12:28:00"/>
    <n v="116"/>
    <b v="0"/>
    <b v="0"/>
    <x v="1"/>
    <x v="4"/>
    <n v="30"/>
    <x v="2"/>
    <n v="27"/>
    <x v="3"/>
    <n v="0.15"/>
    <n v="22.95"/>
    <s v="Weekdays only"/>
    <s v="San Diego, CA"/>
    <n v="32.715699999999998"/>
    <n v="-117.1611"/>
    <d v="2024-03-05T00:00:00"/>
    <n v="0"/>
    <x v="0"/>
    <x v="29"/>
  </r>
  <r>
    <n v="47"/>
    <x v="3"/>
    <n v="2"/>
    <s v="Sat, Tue"/>
    <b v="0"/>
    <d v="1899-12-30T13:19:00"/>
    <d v="1899-12-30T14:50:00"/>
    <n v="91"/>
    <b v="1"/>
    <b v="1"/>
    <x v="1"/>
    <x v="4"/>
    <n v="70"/>
    <x v="1"/>
    <n v="52.5"/>
    <x v="2"/>
    <n v="0.1"/>
    <n v="47.25"/>
    <s v="All hours + Priority access"/>
    <s v="Los Angeles, CA"/>
    <n v="34.052199999999999"/>
    <n v="-118.2437"/>
    <d v="2024-12-07T00:00:00"/>
    <n v="2"/>
    <x v="0"/>
    <x v="14"/>
  </r>
  <r>
    <n v="20"/>
    <x v="1"/>
    <n v="1"/>
    <s v="Tue"/>
    <b v="0"/>
    <d v="1899-12-30T08:55:00"/>
    <d v="1899-12-30T10:23:00"/>
    <n v="88"/>
    <b v="1"/>
    <b v="1"/>
    <x v="1"/>
    <x v="4"/>
    <n v="30"/>
    <x v="0"/>
    <n v="30"/>
    <x v="1"/>
    <n v="0"/>
    <n v="30"/>
    <s v="Weekdays only"/>
    <s v="San Francisco, CA"/>
    <n v="37.774900000000002"/>
    <n v="-122.4194"/>
    <d v="2023-11-23T00:00:00"/>
    <n v="4"/>
    <x v="0"/>
    <x v="35"/>
  </r>
  <r>
    <n v="40"/>
    <x v="2"/>
    <n v="1"/>
    <s v="Sat"/>
    <b v="0"/>
    <d v="1899-12-30T10:28:00"/>
    <d v="1899-12-30T13:25:00"/>
    <n v="177"/>
    <b v="0"/>
    <b v="0"/>
    <x v="1"/>
    <x v="4"/>
    <n v="20"/>
    <x v="1"/>
    <n v="15"/>
    <x v="3"/>
    <n v="0.15"/>
    <n v="12.75"/>
    <s v="Off-peak only"/>
    <s v="San Francisco, CA"/>
    <n v="37.774900000000002"/>
    <n v="-122.4194"/>
    <d v="2022-12-06T00:00:00"/>
    <n v="0"/>
    <x v="0"/>
    <x v="54"/>
  </r>
  <r>
    <n v="39"/>
    <x v="3"/>
    <n v="2"/>
    <s v="Fri, Sat"/>
    <b v="0"/>
    <d v="1899-12-30T20:04:00"/>
    <d v="1899-12-30T20:43:00"/>
    <n v="39"/>
    <b v="0"/>
    <b v="0"/>
    <x v="0"/>
    <x v="4"/>
    <n v="70"/>
    <x v="2"/>
    <n v="63"/>
    <x v="3"/>
    <n v="0.15"/>
    <n v="53.55"/>
    <s v="All hours + Priority access"/>
    <s v="San Francisco, CA"/>
    <n v="37.774900000000002"/>
    <n v="-122.4194"/>
    <d v="2023-05-05T00:00:00"/>
    <n v="0"/>
    <x v="0"/>
    <x v="2"/>
  </r>
  <r>
    <n v="12"/>
    <x v="2"/>
    <n v="1"/>
    <s v="Tue"/>
    <b v="0"/>
    <d v="1899-12-30T15:47:00"/>
    <d v="1899-12-30T16:28:00"/>
    <n v="41"/>
    <b v="1"/>
    <b v="1"/>
    <x v="1"/>
    <x v="1"/>
    <n v="20"/>
    <x v="0"/>
    <n v="20"/>
    <x v="1"/>
    <n v="0"/>
    <n v="20"/>
    <s v="Off-peak only"/>
    <s v="Bakersfield, CA"/>
    <n v="35.3733"/>
    <n v="-119.0187"/>
    <d v="2023-02-15T00:00:00"/>
    <n v="5"/>
    <x v="1"/>
    <x v="26"/>
  </r>
  <r>
    <n v="36"/>
    <x v="1"/>
    <n v="3"/>
    <s v="Fri, Sun, Tue"/>
    <b v="0"/>
    <d v="1899-12-30T11:11:00"/>
    <d v="1899-12-30T13:56:00"/>
    <n v="165"/>
    <b v="0"/>
    <b v="0"/>
    <x v="1"/>
    <x v="3"/>
    <n v="30"/>
    <x v="0"/>
    <n v="30"/>
    <x v="3"/>
    <n v="0.15"/>
    <n v="25.5"/>
    <s v="Weekdays only"/>
    <s v="San Jose, CA"/>
    <n v="37.338200000000001"/>
    <n v="-121.88630000000001"/>
    <d v="2023-07-22T00:00:00"/>
    <n v="0"/>
    <x v="0"/>
    <x v="34"/>
  </r>
  <r>
    <n v="41"/>
    <x v="2"/>
    <n v="2"/>
    <s v="Sat, Sun"/>
    <b v="1"/>
    <d v="1899-12-30T09:57:00"/>
    <d v="1899-12-30T11:42:00"/>
    <n v="105"/>
    <b v="1"/>
    <b v="0"/>
    <x v="0"/>
    <x v="1"/>
    <n v="20"/>
    <x v="1"/>
    <n v="15"/>
    <x v="1"/>
    <n v="0"/>
    <n v="15"/>
    <s v="Off-peak only"/>
    <s v="Oakland, CA"/>
    <n v="37.804400000000001"/>
    <n v="-122.27119999999999"/>
    <d v="2023-06-16T00:00:00"/>
    <n v="0"/>
    <x v="0"/>
    <x v="28"/>
  </r>
  <r>
    <n v="14"/>
    <x v="3"/>
    <n v="3"/>
    <s v="Sat, Tue, Wed"/>
    <b v="0"/>
    <d v="1899-12-30T14:34:00"/>
    <d v="1899-12-30T16:33:00"/>
    <n v="119"/>
    <b v="1"/>
    <b v="1"/>
    <x v="1"/>
    <x v="4"/>
    <n v="70"/>
    <x v="0"/>
    <n v="70"/>
    <x v="1"/>
    <n v="0"/>
    <n v="70"/>
    <s v="All hours + Priority access"/>
    <s v="Sacramento, CA"/>
    <n v="38.581600000000002"/>
    <n v="-121.4944"/>
    <d v="2022-12-31T00:00:00"/>
    <n v="6"/>
    <x v="0"/>
    <x v="57"/>
  </r>
  <r>
    <n v="39"/>
    <x v="0"/>
    <n v="4"/>
    <s v="Fri, Sat, Sun, Wed"/>
    <b v="1"/>
    <d v="1899-12-30T11:51:00"/>
    <d v="1899-12-30T12:22:00"/>
    <n v="31"/>
    <b v="0"/>
    <b v="0"/>
    <x v="1"/>
    <x v="0"/>
    <n v="50"/>
    <x v="0"/>
    <n v="50"/>
    <x v="1"/>
    <n v="0"/>
    <n v="50"/>
    <s v="All hours"/>
    <s v="Long Beach, CA"/>
    <n v="33.770099999999999"/>
    <n v="-118.19370000000001"/>
    <d v="2024-09-30T00:00:00"/>
    <n v="0"/>
    <x v="0"/>
    <x v="51"/>
  </r>
  <r>
    <n v="21"/>
    <x v="1"/>
    <n v="2"/>
    <s v="Fri, Mon"/>
    <b v="0"/>
    <d v="1899-12-30T20:13:00"/>
    <d v="1899-12-30T21:48:00"/>
    <n v="95"/>
    <b v="1"/>
    <b v="0"/>
    <x v="0"/>
    <x v="4"/>
    <n v="30"/>
    <x v="1"/>
    <n v="22.5"/>
    <x v="3"/>
    <n v="0.15"/>
    <n v="19.125"/>
    <s v="Weekdays only"/>
    <s v="Fresno, CA"/>
    <n v="36.7378"/>
    <n v="-119.7871"/>
    <d v="2024-01-18T00:00:00"/>
    <n v="0"/>
    <x v="1"/>
    <x v="31"/>
  </r>
  <r>
    <n v="18"/>
    <x v="1"/>
    <n v="2"/>
    <s v="Mon, Tue"/>
    <b v="1"/>
    <d v="1899-12-30T10:26:00"/>
    <d v="1899-12-30T12:13:00"/>
    <n v="107"/>
    <b v="1"/>
    <b v="0"/>
    <x v="1"/>
    <x v="4"/>
    <n v="30"/>
    <x v="0"/>
    <n v="30"/>
    <x v="2"/>
    <n v="0.1"/>
    <n v="27"/>
    <s v="Weekdays only"/>
    <s v="Long Beach, CA"/>
    <n v="33.770099999999999"/>
    <n v="-118.19370000000001"/>
    <d v="2024-10-30T00:00:00"/>
    <n v="0"/>
    <x v="1"/>
    <x v="53"/>
  </r>
  <r>
    <n v="24"/>
    <x v="0"/>
    <n v="5"/>
    <s v="Fri, Mon, Sat, Sun, Wed"/>
    <b v="0"/>
    <d v="1899-12-30T20:53:00"/>
    <d v="1899-12-30T23:33:00"/>
    <n v="160"/>
    <b v="1"/>
    <b v="0"/>
    <x v="0"/>
    <x v="0"/>
    <n v="50"/>
    <x v="0"/>
    <n v="50"/>
    <x v="2"/>
    <n v="0.1"/>
    <n v="45"/>
    <s v="All hours"/>
    <s v="Bakersfield, CA"/>
    <n v="35.3733"/>
    <n v="-119.0187"/>
    <d v="2022-08-06T00:00:00"/>
    <n v="0"/>
    <x v="1"/>
    <x v="43"/>
  </r>
  <r>
    <n v="41"/>
    <x v="0"/>
    <n v="1"/>
    <s v="Wed"/>
    <b v="1"/>
    <d v="1899-12-30T13:14:00"/>
    <d v="1899-12-30T15:34:00"/>
    <n v="140"/>
    <b v="0"/>
    <b v="0"/>
    <x v="0"/>
    <x v="4"/>
    <n v="50"/>
    <x v="0"/>
    <n v="50"/>
    <x v="2"/>
    <n v="0.1"/>
    <n v="45"/>
    <s v="All hours"/>
    <s v="Los Angeles, CA"/>
    <n v="34.052199999999999"/>
    <n v="-118.2437"/>
    <d v="2022-09-21T00:00:00"/>
    <n v="0"/>
    <x v="0"/>
    <x v="25"/>
  </r>
  <r>
    <n v="44"/>
    <x v="2"/>
    <n v="1"/>
    <s v="Wed"/>
    <b v="0"/>
    <d v="1899-12-30T20:43:00"/>
    <d v="1899-12-30T22:58:00"/>
    <n v="135"/>
    <b v="1"/>
    <b v="0"/>
    <x v="0"/>
    <x v="4"/>
    <n v="20"/>
    <x v="0"/>
    <n v="20"/>
    <x v="1"/>
    <n v="0"/>
    <n v="20"/>
    <s v="Off-peak only"/>
    <s v="Sacramento, CA"/>
    <n v="38.581600000000002"/>
    <n v="-121.4944"/>
    <d v="2025-05-12T00:00:00"/>
    <n v="0"/>
    <x v="0"/>
    <x v="24"/>
  </r>
  <r>
    <n v="39"/>
    <x v="2"/>
    <n v="2"/>
    <s v="Mon, Tue"/>
    <b v="1"/>
    <d v="1899-12-30T09:20:00"/>
    <d v="1899-12-30T09:52:00"/>
    <n v="32"/>
    <b v="1"/>
    <b v="0"/>
    <x v="0"/>
    <x v="0"/>
    <n v="20"/>
    <x v="1"/>
    <n v="15"/>
    <x v="2"/>
    <n v="0.1"/>
    <n v="13.5"/>
    <s v="Off-peak only"/>
    <s v="San Diego, CA"/>
    <n v="32.715699999999998"/>
    <n v="-117.1611"/>
    <d v="2023-06-02T00:00:00"/>
    <n v="0"/>
    <x v="1"/>
    <x v="8"/>
  </r>
  <r>
    <n v="40"/>
    <x v="1"/>
    <n v="3"/>
    <s v="Fri, Sun, Thu"/>
    <b v="1"/>
    <d v="1899-12-30T17:05:00"/>
    <d v="1899-12-30T19:39:00"/>
    <n v="154"/>
    <b v="0"/>
    <b v="1"/>
    <x v="0"/>
    <x v="0"/>
    <n v="30"/>
    <x v="0"/>
    <n v="30"/>
    <x v="1"/>
    <n v="0"/>
    <n v="30"/>
    <s v="Weekdays only"/>
    <s v="Fresno, CA"/>
    <n v="36.7378"/>
    <n v="-119.7871"/>
    <d v="2022-10-11T00:00:00"/>
    <n v="8"/>
    <x v="1"/>
    <x v="38"/>
  </r>
  <r>
    <n v="13"/>
    <x v="0"/>
    <n v="3"/>
    <s v="Sat, Thu, Wed"/>
    <b v="1"/>
    <d v="1899-12-30T13:47:00"/>
    <d v="1899-12-30T15:04:00"/>
    <n v="77"/>
    <b v="1"/>
    <b v="0"/>
    <x v="0"/>
    <x v="4"/>
    <n v="50"/>
    <x v="0"/>
    <n v="50"/>
    <x v="0"/>
    <n v="0.05"/>
    <n v="47.5"/>
    <s v="All hours"/>
    <s v="Los Angeles, CA"/>
    <n v="34.052199999999999"/>
    <n v="-118.2437"/>
    <d v="2024-12-12T00:00:00"/>
    <n v="0"/>
    <x v="0"/>
    <x v="13"/>
  </r>
  <r>
    <n v="26"/>
    <x v="1"/>
    <n v="3"/>
    <s v="Thu, Tue, Wed"/>
    <b v="0"/>
    <d v="1899-12-30T14:54:00"/>
    <d v="1899-12-30T16:46:00"/>
    <n v="112"/>
    <b v="1"/>
    <b v="1"/>
    <x v="1"/>
    <x v="1"/>
    <n v="30"/>
    <x v="0"/>
    <n v="30"/>
    <x v="3"/>
    <n v="0.15"/>
    <n v="25.5"/>
    <s v="Weekdays only"/>
    <s v="Sacramento, CA"/>
    <n v="38.581600000000002"/>
    <n v="-121.4944"/>
    <d v="2023-10-27T00:00:00"/>
    <n v="5"/>
    <x v="0"/>
    <x v="59"/>
  </r>
  <r>
    <n v="35"/>
    <x v="0"/>
    <n v="2"/>
    <s v="Sun, Wed"/>
    <b v="0"/>
    <d v="1899-12-30T19:50:00"/>
    <d v="1899-12-30T22:24:00"/>
    <n v="154"/>
    <b v="0"/>
    <b v="1"/>
    <x v="1"/>
    <x v="4"/>
    <n v="50"/>
    <x v="0"/>
    <n v="50"/>
    <x v="3"/>
    <n v="0.15"/>
    <n v="42.5"/>
    <s v="All hours"/>
    <s v="San Francisco, CA"/>
    <n v="37.774900000000002"/>
    <n v="-122.4194"/>
    <d v="2022-10-22T00:00:00"/>
    <n v="3"/>
    <x v="0"/>
    <x v="32"/>
  </r>
  <r>
    <n v="37"/>
    <x v="1"/>
    <n v="1"/>
    <s v="Sat"/>
    <b v="1"/>
    <d v="1899-12-30T08:37:00"/>
    <d v="1899-12-30T10:12:00"/>
    <n v="95"/>
    <b v="1"/>
    <b v="1"/>
    <x v="0"/>
    <x v="1"/>
    <n v="30"/>
    <x v="0"/>
    <n v="30"/>
    <x v="3"/>
    <n v="0.15"/>
    <n v="25.5"/>
    <s v="Weekdays only"/>
    <s v="Anaheim, CA"/>
    <n v="33.836599999999997"/>
    <n v="-117.9143"/>
    <d v="2025-05-17T00:00:00"/>
    <n v="6"/>
    <x v="0"/>
    <x v="24"/>
  </r>
  <r>
    <n v="34"/>
    <x v="0"/>
    <n v="2"/>
    <s v="Sat, Thu"/>
    <b v="1"/>
    <d v="1899-12-30T13:39:00"/>
    <d v="1899-12-30T14:34:00"/>
    <n v="55"/>
    <b v="0"/>
    <b v="1"/>
    <x v="0"/>
    <x v="0"/>
    <n v="50"/>
    <x v="0"/>
    <n v="50"/>
    <x v="0"/>
    <n v="0.05"/>
    <n v="47.5"/>
    <s v="All hours"/>
    <s v="San Diego, CA"/>
    <n v="32.715699999999998"/>
    <n v="-117.1611"/>
    <d v="2023-06-11T00:00:00"/>
    <n v="4"/>
    <x v="0"/>
    <x v="28"/>
  </r>
  <r>
    <n v="36"/>
    <x v="0"/>
    <n v="3"/>
    <s v="Sat, Sun, Tue"/>
    <b v="1"/>
    <d v="1899-12-30T09:39:00"/>
    <d v="1899-12-30T11:08:00"/>
    <n v="89"/>
    <b v="0"/>
    <b v="0"/>
    <x v="1"/>
    <x v="0"/>
    <n v="50"/>
    <x v="0"/>
    <n v="50"/>
    <x v="1"/>
    <n v="0"/>
    <n v="50"/>
    <s v="All hours"/>
    <s v="Fresno, CA"/>
    <n v="36.7378"/>
    <n v="-119.7871"/>
    <d v="2024-08-10T00:00:00"/>
    <n v="0"/>
    <x v="0"/>
    <x v="18"/>
  </r>
  <r>
    <n v="37"/>
    <x v="2"/>
    <n v="3"/>
    <s v="Fri, Sat, Sun"/>
    <b v="0"/>
    <d v="1899-12-30T09:25:00"/>
    <d v="1899-12-30T12:06:00"/>
    <n v="161"/>
    <b v="0"/>
    <b v="1"/>
    <x v="1"/>
    <x v="0"/>
    <n v="20"/>
    <x v="0"/>
    <n v="20"/>
    <x v="3"/>
    <n v="0.15"/>
    <n v="17"/>
    <s v="Off-peak only"/>
    <s v="Long Beach, CA"/>
    <n v="33.770099999999999"/>
    <n v="-118.19370000000001"/>
    <d v="2022-10-12T00:00:00"/>
    <n v="1"/>
    <x v="0"/>
    <x v="38"/>
  </r>
  <r>
    <n v="29"/>
    <x v="2"/>
    <n v="4"/>
    <s v="Mon, Sat, Tue, Wed"/>
    <b v="1"/>
    <d v="1899-12-30T09:11:00"/>
    <d v="1899-12-30T10:48:00"/>
    <n v="97"/>
    <b v="0"/>
    <b v="0"/>
    <x v="1"/>
    <x v="4"/>
    <n v="20"/>
    <x v="2"/>
    <n v="18"/>
    <x v="1"/>
    <n v="0"/>
    <n v="18"/>
    <s v="Off-peak only"/>
    <s v="Fresno, CA"/>
    <n v="36.7378"/>
    <n v="-119.7871"/>
    <d v="2022-08-23T00:00:00"/>
    <n v="0"/>
    <x v="0"/>
    <x v="10"/>
  </r>
  <r>
    <n v="24"/>
    <x v="0"/>
    <n v="3"/>
    <s v="Fri, Sat, Wed"/>
    <b v="0"/>
    <d v="1899-12-30T19:13:00"/>
    <d v="1899-12-30T20:02:00"/>
    <n v="49"/>
    <b v="0"/>
    <b v="1"/>
    <x v="1"/>
    <x v="0"/>
    <n v="50"/>
    <x v="0"/>
    <n v="50"/>
    <x v="0"/>
    <n v="0.05"/>
    <n v="47.5"/>
    <s v="All hours"/>
    <s v="San Francisco, CA"/>
    <n v="37.774900000000002"/>
    <n v="-122.4194"/>
    <d v="2022-09-21T00:00:00"/>
    <n v="5"/>
    <x v="1"/>
    <x v="25"/>
  </r>
  <r>
    <n v="27"/>
    <x v="0"/>
    <n v="1"/>
    <s v="Thu"/>
    <b v="0"/>
    <d v="1899-12-30T14:17:00"/>
    <d v="1899-12-30T15:42:00"/>
    <n v="85"/>
    <b v="0"/>
    <b v="0"/>
    <x v="0"/>
    <x v="2"/>
    <n v="50"/>
    <x v="1"/>
    <n v="37.5"/>
    <x v="0"/>
    <n v="0.05"/>
    <n v="35.625"/>
    <s v="All hours"/>
    <s v="Bakersfield, CA"/>
    <n v="35.3733"/>
    <n v="-119.0187"/>
    <d v="2024-02-03T00:00:00"/>
    <n v="0"/>
    <x v="0"/>
    <x v="48"/>
  </r>
  <r>
    <n v="48"/>
    <x v="1"/>
    <n v="3"/>
    <s v="Fri, Sun, Wed"/>
    <b v="0"/>
    <d v="1899-12-30T11:07:00"/>
    <d v="1899-12-30T12:43:00"/>
    <n v="96"/>
    <b v="1"/>
    <b v="1"/>
    <x v="1"/>
    <x v="0"/>
    <n v="30"/>
    <x v="0"/>
    <n v="30"/>
    <x v="1"/>
    <n v="0"/>
    <n v="30"/>
    <s v="Weekdays only"/>
    <s v="San Diego, CA"/>
    <n v="32.715699999999998"/>
    <n v="-117.1611"/>
    <d v="2022-12-17T00:00:00"/>
    <n v="3"/>
    <x v="1"/>
    <x v="6"/>
  </r>
  <r>
    <n v="15"/>
    <x v="0"/>
    <n v="2"/>
    <s v="Fri, Sun"/>
    <b v="0"/>
    <d v="1899-12-30T09:12:00"/>
    <d v="1899-12-30T11:42:00"/>
    <n v="150"/>
    <b v="0"/>
    <b v="1"/>
    <x v="0"/>
    <x v="1"/>
    <n v="50"/>
    <x v="0"/>
    <n v="50"/>
    <x v="1"/>
    <n v="0"/>
    <n v="50"/>
    <s v="All hours"/>
    <s v="Long Beach, CA"/>
    <n v="33.770099999999999"/>
    <n v="-118.19370000000001"/>
    <d v="2023-01-05T00:00:00"/>
    <n v="4"/>
    <x v="1"/>
    <x v="57"/>
  </r>
  <r>
    <n v="35"/>
    <x v="0"/>
    <n v="3"/>
    <s v="Sat, Tue, Wed"/>
    <b v="0"/>
    <d v="1899-12-30T16:35:00"/>
    <d v="1899-12-30T17:35:00"/>
    <n v="60"/>
    <b v="1"/>
    <b v="0"/>
    <x v="0"/>
    <x v="4"/>
    <n v="50"/>
    <x v="1"/>
    <n v="37.5"/>
    <x v="1"/>
    <n v="0"/>
    <n v="37.5"/>
    <s v="All hours"/>
    <s v="San Jose, CA"/>
    <n v="37.338200000000001"/>
    <n v="-121.88630000000001"/>
    <d v="2024-07-18T00:00:00"/>
    <n v="0"/>
    <x v="0"/>
    <x v="39"/>
  </r>
  <r>
    <n v="33"/>
    <x v="1"/>
    <n v="2"/>
    <s v="Thu, Wed"/>
    <b v="0"/>
    <d v="1899-12-30T09:56:00"/>
    <d v="1899-12-30T12:52:00"/>
    <n v="176"/>
    <b v="0"/>
    <b v="1"/>
    <x v="1"/>
    <x v="4"/>
    <n v="30"/>
    <x v="0"/>
    <n v="30"/>
    <x v="3"/>
    <n v="0.15"/>
    <n v="25.5"/>
    <s v="Weekdays only"/>
    <s v="Fresno, CA"/>
    <n v="36.7378"/>
    <n v="-119.7871"/>
    <d v="2023-01-22T00:00:00"/>
    <n v="7"/>
    <x v="0"/>
    <x v="11"/>
  </r>
  <r>
    <n v="43"/>
    <x v="3"/>
    <n v="1"/>
    <s v="Fri"/>
    <b v="1"/>
    <d v="1899-12-30T20:09:00"/>
    <d v="1899-12-30T21:57:00"/>
    <n v="108"/>
    <b v="0"/>
    <b v="0"/>
    <x v="1"/>
    <x v="2"/>
    <n v="70"/>
    <x v="0"/>
    <n v="70"/>
    <x v="1"/>
    <n v="0"/>
    <n v="70"/>
    <s v="All hours + Priority access"/>
    <s v="Anaheim, CA"/>
    <n v="33.836599999999997"/>
    <n v="-117.9143"/>
    <d v="2025-05-14T00:00:00"/>
    <n v="0"/>
    <x v="0"/>
    <x v="24"/>
  </r>
  <r>
    <n v="28"/>
    <x v="2"/>
    <n v="3"/>
    <s v="Fri, Mon, Thu"/>
    <b v="0"/>
    <d v="1899-12-30T10:11:00"/>
    <d v="1899-12-30T12:26:00"/>
    <n v="135"/>
    <b v="1"/>
    <b v="0"/>
    <x v="1"/>
    <x v="4"/>
    <n v="20"/>
    <x v="0"/>
    <n v="20"/>
    <x v="1"/>
    <n v="0"/>
    <n v="20"/>
    <s v="Off-peak only"/>
    <s v="San Diego, CA"/>
    <n v="32.715699999999998"/>
    <n v="-117.1611"/>
    <d v="2023-09-26T00:00:00"/>
    <n v="0"/>
    <x v="1"/>
    <x v="3"/>
  </r>
  <r>
    <n v="17"/>
    <x v="0"/>
    <n v="5"/>
    <s v="Fri, Mon, Sat, Sun, Wed"/>
    <b v="1"/>
    <d v="1899-12-30T13:50:00"/>
    <d v="1899-12-30T14:29:00"/>
    <n v="39"/>
    <b v="1"/>
    <b v="1"/>
    <x v="1"/>
    <x v="4"/>
    <n v="50"/>
    <x v="2"/>
    <n v="45"/>
    <x v="3"/>
    <n v="0.15"/>
    <n v="38.25"/>
    <s v="All hours"/>
    <s v="Sacramento, CA"/>
    <n v="38.581600000000002"/>
    <n v="-121.4944"/>
    <d v="2024-10-21T00:00:00"/>
    <n v="7"/>
    <x v="0"/>
    <x v="53"/>
  </r>
  <r>
    <n v="23"/>
    <x v="2"/>
    <n v="2"/>
    <s v="Fri, Tue"/>
    <b v="0"/>
    <d v="1899-12-30T19:04:00"/>
    <d v="1899-12-30T19:56:00"/>
    <n v="52"/>
    <b v="1"/>
    <b v="0"/>
    <x v="1"/>
    <x v="4"/>
    <n v="20"/>
    <x v="0"/>
    <n v="20"/>
    <x v="0"/>
    <n v="0.05"/>
    <n v="19"/>
    <s v="Off-peak only"/>
    <s v="Bakersfield, CA"/>
    <n v="35.3733"/>
    <n v="-119.0187"/>
    <d v="2025-02-14T00:00:00"/>
    <n v="0"/>
    <x v="1"/>
    <x v="30"/>
  </r>
  <r>
    <n v="36"/>
    <x v="0"/>
    <n v="2"/>
    <s v="Sat, Wed"/>
    <b v="0"/>
    <d v="1899-12-30T16:49:00"/>
    <d v="1899-12-30T19:10:00"/>
    <n v="141"/>
    <b v="0"/>
    <b v="1"/>
    <x v="1"/>
    <x v="4"/>
    <n v="50"/>
    <x v="1"/>
    <n v="37.5"/>
    <x v="3"/>
    <n v="0.15"/>
    <n v="31.875"/>
    <s v="All hours"/>
    <s v="Oakland, CA"/>
    <n v="37.804400000000001"/>
    <n v="-122.27119999999999"/>
    <d v="2025-04-02T00:00:00"/>
    <n v="4"/>
    <x v="0"/>
    <x v="42"/>
  </r>
  <r>
    <n v="17"/>
    <x v="0"/>
    <n v="3"/>
    <s v="Fri, Mon, Tue"/>
    <b v="1"/>
    <d v="1899-12-30T11:51:00"/>
    <d v="1899-12-30T14:30:00"/>
    <n v="159"/>
    <b v="0"/>
    <b v="0"/>
    <x v="1"/>
    <x v="4"/>
    <n v="50"/>
    <x v="0"/>
    <n v="50"/>
    <x v="0"/>
    <n v="0.05"/>
    <n v="47.5"/>
    <s v="All hours"/>
    <s v="Los Angeles, CA"/>
    <n v="34.052199999999999"/>
    <n v="-118.2437"/>
    <d v="2023-06-12T00:00:00"/>
    <n v="0"/>
    <x v="0"/>
    <x v="28"/>
  </r>
  <r>
    <n v="46"/>
    <x v="1"/>
    <n v="3"/>
    <s v="Sat, Thu, Tue"/>
    <b v="0"/>
    <d v="1899-12-30T18:28:00"/>
    <d v="1899-12-30T19:40:00"/>
    <n v="72"/>
    <b v="0"/>
    <b v="1"/>
    <x v="0"/>
    <x v="0"/>
    <n v="30"/>
    <x v="0"/>
    <n v="30"/>
    <x v="3"/>
    <n v="0.15"/>
    <n v="25.5"/>
    <s v="Weekdays only"/>
    <s v="Oakland, CA"/>
    <n v="37.804400000000001"/>
    <n v="-122.27119999999999"/>
    <d v="2024-06-26T00:00:00"/>
    <n v="4"/>
    <x v="1"/>
    <x v="55"/>
  </r>
  <r>
    <n v="12"/>
    <x v="0"/>
    <n v="5"/>
    <s v="Mon, Sun, Thu, Tue, Wed"/>
    <b v="1"/>
    <d v="1899-12-30T18:32:00"/>
    <d v="1899-12-30T19:28:00"/>
    <n v="56"/>
    <b v="1"/>
    <b v="0"/>
    <x v="1"/>
    <x v="0"/>
    <n v="50"/>
    <x v="0"/>
    <n v="50"/>
    <x v="2"/>
    <n v="0.1"/>
    <n v="45"/>
    <s v="All hours"/>
    <s v="San Jose, CA"/>
    <n v="37.338200000000001"/>
    <n v="-121.88630000000001"/>
    <d v="2023-05-13T00:00:00"/>
    <n v="0"/>
    <x v="0"/>
    <x v="2"/>
  </r>
  <r>
    <n v="29"/>
    <x v="3"/>
    <n v="3"/>
    <s v="Mon, Sat, Sun"/>
    <b v="1"/>
    <d v="1899-12-30T09:13:00"/>
    <d v="1899-12-30T11:27:00"/>
    <n v="134"/>
    <b v="0"/>
    <b v="0"/>
    <x v="1"/>
    <x v="4"/>
    <n v="70"/>
    <x v="0"/>
    <n v="70"/>
    <x v="0"/>
    <n v="0.05"/>
    <n v="66.5"/>
    <s v="All hours + Priority access"/>
    <s v="Sacramento, CA"/>
    <n v="38.581600000000002"/>
    <n v="-121.4944"/>
    <d v="2025-04-14T00:00:00"/>
    <n v="0"/>
    <x v="0"/>
    <x v="5"/>
  </r>
  <r>
    <n v="20"/>
    <x v="0"/>
    <n v="2"/>
    <s v="Fri, Sat"/>
    <b v="0"/>
    <d v="1899-12-30T18:54:00"/>
    <d v="1899-12-30T19:37:00"/>
    <n v="43"/>
    <b v="1"/>
    <b v="1"/>
    <x v="1"/>
    <x v="0"/>
    <n v="50"/>
    <x v="0"/>
    <n v="50"/>
    <x v="3"/>
    <n v="0.15"/>
    <n v="42.5"/>
    <s v="All hours"/>
    <s v="Oakland, CA"/>
    <n v="37.804400000000001"/>
    <n v="-122.27119999999999"/>
    <d v="2024-07-22T00:00:00"/>
    <n v="4"/>
    <x v="0"/>
    <x v="15"/>
  </r>
  <r>
    <n v="14"/>
    <x v="0"/>
    <n v="5"/>
    <s v="Sat, Sun, Thu, Tue, Wed"/>
    <b v="1"/>
    <d v="1899-12-30T20:16:00"/>
    <d v="1899-12-30T22:33:00"/>
    <n v="137"/>
    <b v="0"/>
    <b v="0"/>
    <x v="1"/>
    <x v="4"/>
    <n v="50"/>
    <x v="0"/>
    <n v="50"/>
    <x v="1"/>
    <n v="0"/>
    <n v="50"/>
    <s v="All hours"/>
    <s v="Bakersfield, CA"/>
    <n v="35.3733"/>
    <n v="-119.0187"/>
    <d v="2023-11-26T00:00:00"/>
    <n v="0"/>
    <x v="0"/>
    <x v="35"/>
  </r>
  <r>
    <n v="29"/>
    <x v="1"/>
    <n v="3"/>
    <s v="Mon, Sat, Sun"/>
    <b v="0"/>
    <d v="1899-12-30T11:00:00"/>
    <d v="1899-12-30T12:12:00"/>
    <n v="72"/>
    <b v="1"/>
    <b v="0"/>
    <x v="0"/>
    <x v="0"/>
    <n v="30"/>
    <x v="0"/>
    <n v="30"/>
    <x v="2"/>
    <n v="0.1"/>
    <n v="27"/>
    <s v="Weekdays only"/>
    <s v="Oakland, CA"/>
    <n v="37.804400000000001"/>
    <n v="-122.27119999999999"/>
    <d v="2023-03-03T00:00:00"/>
    <n v="0"/>
    <x v="0"/>
    <x v="22"/>
  </r>
  <r>
    <n v="49"/>
    <x v="1"/>
    <n v="3"/>
    <s v="Mon, Sat, Sun"/>
    <b v="0"/>
    <d v="1899-12-30T15:25:00"/>
    <d v="1899-12-30T18:05:00"/>
    <n v="160"/>
    <b v="1"/>
    <b v="0"/>
    <x v="1"/>
    <x v="4"/>
    <n v="30"/>
    <x v="0"/>
    <n v="30"/>
    <x v="2"/>
    <n v="0.1"/>
    <n v="27"/>
    <s v="Weekdays only"/>
    <s v="Los Angeles, CA"/>
    <n v="34.052199999999999"/>
    <n v="-118.2437"/>
    <d v="2024-07-18T00:00:00"/>
    <n v="0"/>
    <x v="1"/>
    <x v="39"/>
  </r>
  <r>
    <n v="37"/>
    <x v="0"/>
    <n v="1"/>
    <s v="Sun"/>
    <b v="1"/>
    <d v="1899-12-30T15:55:00"/>
    <d v="1899-12-30T16:33:00"/>
    <n v="38"/>
    <b v="0"/>
    <b v="0"/>
    <x v="0"/>
    <x v="2"/>
    <n v="50"/>
    <x v="0"/>
    <n v="50"/>
    <x v="1"/>
    <n v="0"/>
    <n v="50"/>
    <s v="All hours"/>
    <s v="San Jose, CA"/>
    <n v="37.338200000000001"/>
    <n v="-121.88630000000001"/>
    <d v="2023-08-26T00:00:00"/>
    <n v="0"/>
    <x v="0"/>
    <x v="46"/>
  </r>
  <r>
    <n v="29"/>
    <x v="0"/>
    <n v="5"/>
    <s v="Fri, Mon, Sat, Thu, Wed"/>
    <b v="1"/>
    <d v="1899-12-30T09:38:00"/>
    <d v="1899-12-30T10:39:00"/>
    <n v="61"/>
    <b v="0"/>
    <b v="0"/>
    <x v="1"/>
    <x v="4"/>
    <n v="50"/>
    <x v="1"/>
    <n v="37.5"/>
    <x v="3"/>
    <n v="0.15"/>
    <n v="31.875"/>
    <s v="All hours"/>
    <s v="Los Angeles, CA"/>
    <n v="34.052199999999999"/>
    <n v="-118.2437"/>
    <d v="2022-11-22T00:00:00"/>
    <n v="0"/>
    <x v="1"/>
    <x v="37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9-06T00:00:00"/>
    <n v="6"/>
    <x v="0"/>
    <x v="7"/>
  </r>
  <r>
    <n v="14"/>
    <x v="2"/>
    <n v="2"/>
    <s v="Sat, Sun"/>
    <b v="0"/>
    <d v="1899-12-30T10:09:00"/>
    <d v="1899-12-30T11:15:00"/>
    <n v="66"/>
    <b v="0"/>
    <b v="1"/>
    <x v="1"/>
    <x v="4"/>
    <n v="20"/>
    <x v="0"/>
    <n v="20"/>
    <x v="1"/>
    <n v="0"/>
    <n v="20"/>
    <s v="Off-peak only"/>
    <s v="San Francisco, CA"/>
    <n v="37.774900000000002"/>
    <n v="-122.4194"/>
    <d v="2024-10-17T00:00:00"/>
    <n v="4"/>
    <x v="1"/>
    <x v="53"/>
  </r>
  <r>
    <n v="20"/>
    <x v="1"/>
    <n v="1"/>
    <s v="Tue"/>
    <b v="0"/>
    <d v="1899-12-30T08:55:00"/>
    <d v="1899-12-30T10:23:00"/>
    <n v="88"/>
    <b v="1"/>
    <b v="1"/>
    <x v="1"/>
    <x v="4"/>
    <n v="30"/>
    <x v="0"/>
    <n v="30"/>
    <x v="1"/>
    <n v="0"/>
    <n v="30"/>
    <s v="Weekdays only"/>
    <s v="San Francisco, CA"/>
    <n v="37.774900000000002"/>
    <n v="-122.4194"/>
    <d v="2025-05-28T00:00:00"/>
    <n v="5"/>
    <x v="1"/>
    <x v="9"/>
  </r>
  <r>
    <n v="21"/>
    <x v="0"/>
    <n v="3"/>
    <s v="Fri, Sat, Tue"/>
    <b v="0"/>
    <d v="1899-12-30T09:22:00"/>
    <d v="1899-12-30T10:52:00"/>
    <n v="90"/>
    <b v="1"/>
    <b v="1"/>
    <x v="0"/>
    <x v="0"/>
    <n v="50"/>
    <x v="0"/>
    <n v="50"/>
    <x v="1"/>
    <n v="0"/>
    <n v="50"/>
    <s v="All hours"/>
    <s v="Bakersfield, CA"/>
    <n v="35.3733"/>
    <n v="-119.0187"/>
    <d v="2022-12-09T00:00:00"/>
    <n v="3"/>
    <x v="0"/>
    <x v="54"/>
  </r>
  <r>
    <n v="32"/>
    <x v="1"/>
    <n v="3"/>
    <s v="Fri, Sun, Tue"/>
    <b v="1"/>
    <d v="1899-12-30T12:16:00"/>
    <d v="1899-12-30T13:03:00"/>
    <n v="47"/>
    <b v="0"/>
    <b v="1"/>
    <x v="0"/>
    <x v="0"/>
    <n v="30"/>
    <x v="2"/>
    <n v="27"/>
    <x v="1"/>
    <n v="0"/>
    <n v="27"/>
    <s v="Weekdays only"/>
    <s v="Fresno, CA"/>
    <n v="36.7378"/>
    <n v="-119.7871"/>
    <d v="2025-05-31T00:00:00"/>
    <n v="6"/>
    <x v="1"/>
    <x v="9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2-12-04T00:00:00"/>
    <n v="4"/>
    <x v="0"/>
    <x v="54"/>
  </r>
  <r>
    <n v="33"/>
    <x v="2"/>
    <n v="2"/>
    <s v="Mon, Wed"/>
    <b v="1"/>
    <d v="1899-12-30T20:25:00"/>
    <d v="1899-12-30T23:16:00"/>
    <n v="171"/>
    <b v="1"/>
    <b v="0"/>
    <x v="0"/>
    <x v="4"/>
    <n v="20"/>
    <x v="0"/>
    <n v="20"/>
    <x v="2"/>
    <n v="0.1"/>
    <n v="18"/>
    <s v="Off-peak only"/>
    <s v="Anaheim, CA"/>
    <n v="33.836599999999997"/>
    <n v="-117.9143"/>
    <d v="2023-12-07T00:00:00"/>
    <n v="0"/>
    <x v="1"/>
    <x v="16"/>
  </r>
  <r>
    <n v="29"/>
    <x v="3"/>
    <n v="3"/>
    <s v="Sat, Tue, Wed"/>
    <b v="0"/>
    <d v="1899-12-30T10:28:00"/>
    <d v="1899-12-30T11:36:00"/>
    <n v="68"/>
    <b v="0"/>
    <b v="1"/>
    <x v="1"/>
    <x v="0"/>
    <n v="70"/>
    <x v="0"/>
    <n v="70"/>
    <x v="1"/>
    <n v="0"/>
    <n v="70"/>
    <s v="All hours + Priority access"/>
    <s v="San Francisco, CA"/>
    <n v="37.774900000000002"/>
    <n v="-122.4194"/>
    <d v="2022-09-26T00:00:00"/>
    <n v="2"/>
    <x v="1"/>
    <x v="25"/>
  </r>
  <r>
    <n v="25"/>
    <x v="0"/>
    <n v="2"/>
    <s v="Tue, Wed"/>
    <b v="0"/>
    <d v="1899-12-30T20:20:00"/>
    <d v="1899-12-30T23:10:00"/>
    <n v="170"/>
    <b v="1"/>
    <b v="0"/>
    <x v="0"/>
    <x v="2"/>
    <n v="50"/>
    <x v="2"/>
    <n v="45"/>
    <x v="0"/>
    <n v="0.05"/>
    <n v="42.75"/>
    <s v="All hours"/>
    <s v="Fresno, CA"/>
    <n v="36.7378"/>
    <n v="-119.7871"/>
    <d v="2023-02-23T00:00:00"/>
    <n v="0"/>
    <x v="0"/>
    <x v="22"/>
  </r>
  <r>
    <n v="35"/>
    <x v="2"/>
    <n v="1"/>
    <s v="Thu"/>
    <b v="1"/>
    <d v="1899-12-30T16:27:00"/>
    <d v="1899-12-30T17:25:00"/>
    <n v="58"/>
    <b v="0"/>
    <b v="1"/>
    <x v="1"/>
    <x v="4"/>
    <n v="20"/>
    <x v="0"/>
    <n v="20"/>
    <x v="1"/>
    <n v="0"/>
    <n v="20"/>
    <s v="Off-peak only"/>
    <s v="San Diego, CA"/>
    <n v="32.715699999999998"/>
    <n v="-117.1611"/>
    <d v="2022-07-26T00:00:00"/>
    <n v="8"/>
    <x v="1"/>
    <x v="43"/>
  </r>
  <r>
    <n v="46"/>
    <x v="2"/>
    <n v="4"/>
    <s v="Mon, Sat, Thu, Wed"/>
    <b v="1"/>
    <d v="1899-12-30T16:32:00"/>
    <d v="1899-12-30T18:14:00"/>
    <n v="102"/>
    <b v="1"/>
    <b v="1"/>
    <x v="1"/>
    <x v="4"/>
    <n v="20"/>
    <x v="0"/>
    <n v="20"/>
    <x v="1"/>
    <n v="0"/>
    <n v="20"/>
    <s v="Off-peak only"/>
    <s v="San Francisco, CA"/>
    <n v="37.774900000000002"/>
    <n v="-122.4194"/>
    <d v="2024-06-14T00:00:00"/>
    <n v="2"/>
    <x v="1"/>
    <x v="20"/>
  </r>
  <r>
    <n v="47"/>
    <x v="0"/>
    <n v="2"/>
    <s v="Sun, Tue"/>
    <b v="1"/>
    <d v="1899-12-30T15:09:00"/>
    <d v="1899-12-30T16:18:00"/>
    <n v="69"/>
    <b v="1"/>
    <b v="1"/>
    <x v="1"/>
    <x v="2"/>
    <n v="50"/>
    <x v="1"/>
    <n v="37.5"/>
    <x v="0"/>
    <n v="0.05"/>
    <n v="35.625"/>
    <s v="All hours"/>
    <s v="Los Angeles, CA"/>
    <n v="34.052199999999999"/>
    <n v="-118.2437"/>
    <d v="2023-03-28T00:00:00"/>
    <n v="3"/>
    <x v="1"/>
    <x v="36"/>
  </r>
  <r>
    <n v="34"/>
    <x v="0"/>
    <n v="2"/>
    <s v="Tue, Wed"/>
    <b v="0"/>
    <d v="1899-12-30T17:18:00"/>
    <d v="1899-12-30T18:57:00"/>
    <n v="99"/>
    <b v="1"/>
    <b v="1"/>
    <x v="0"/>
    <x v="1"/>
    <n v="50"/>
    <x v="0"/>
    <n v="50"/>
    <x v="2"/>
    <n v="0.1"/>
    <n v="45"/>
    <s v="All hours"/>
    <s v="Bakersfield, CA"/>
    <n v="35.3733"/>
    <n v="-119.0187"/>
    <d v="2024-04-20T00:00:00"/>
    <n v="7"/>
    <x v="1"/>
    <x v="52"/>
  </r>
  <r>
    <n v="23"/>
    <x v="2"/>
    <n v="2"/>
    <s v="Fri, Tue"/>
    <b v="0"/>
    <d v="1899-12-30T19:04:00"/>
    <d v="1899-12-30T19:56:00"/>
    <n v="52"/>
    <b v="1"/>
    <b v="0"/>
    <x v="1"/>
    <x v="4"/>
    <n v="20"/>
    <x v="0"/>
    <n v="20"/>
    <x v="0"/>
    <n v="0.05"/>
    <n v="19"/>
    <s v="Off-peak only"/>
    <s v="Bakersfield, CA"/>
    <n v="35.3733"/>
    <n v="-119.0187"/>
    <d v="2024-01-28T00:00:00"/>
    <n v="0"/>
    <x v="1"/>
    <x v="48"/>
  </r>
  <r>
    <n v="21"/>
    <x v="0"/>
    <n v="2"/>
    <s v="Fri, Sat"/>
    <b v="1"/>
    <d v="1899-12-30T14:55:00"/>
    <d v="1899-12-30T15:28:00"/>
    <n v="33"/>
    <b v="1"/>
    <b v="1"/>
    <x v="0"/>
    <x v="4"/>
    <n v="50"/>
    <x v="0"/>
    <n v="50"/>
    <x v="0"/>
    <n v="0.05"/>
    <n v="47.5"/>
    <s v="All hours"/>
    <s v="San Jose, CA"/>
    <n v="37.338200000000001"/>
    <n v="-121.88630000000001"/>
    <d v="2023-08-24T00:00:00"/>
    <n v="1"/>
    <x v="0"/>
    <x v="46"/>
  </r>
  <r>
    <n v="17"/>
    <x v="1"/>
    <n v="2"/>
    <s v="Tue, Wed"/>
    <b v="0"/>
    <d v="1899-12-30T08:06:00"/>
    <d v="1899-12-30T08:47:00"/>
    <n v="41"/>
    <b v="1"/>
    <b v="0"/>
    <x v="1"/>
    <x v="0"/>
    <n v="30"/>
    <x v="1"/>
    <n v="22.5"/>
    <x v="2"/>
    <n v="0.1"/>
    <n v="20.25"/>
    <s v="Weekdays only"/>
    <s v="Long Beach, CA"/>
    <n v="33.770099999999999"/>
    <n v="-118.19370000000001"/>
    <d v="2022-12-05T00:00:00"/>
    <n v="0"/>
    <x v="1"/>
    <x v="54"/>
  </r>
  <r>
    <n v="40"/>
    <x v="2"/>
    <n v="2"/>
    <s v="Fri, Tue"/>
    <b v="0"/>
    <d v="1899-12-30T17:21:00"/>
    <d v="1899-12-30T19:53:00"/>
    <n v="152"/>
    <b v="1"/>
    <b v="1"/>
    <x v="1"/>
    <x v="0"/>
    <n v="20"/>
    <x v="0"/>
    <n v="20"/>
    <x v="1"/>
    <n v="0"/>
    <n v="20"/>
    <s v="Off-peak only"/>
    <s v="Long Beach, CA"/>
    <n v="33.770099999999999"/>
    <n v="-118.19370000000001"/>
    <d v="2022-08-09T00:00:00"/>
    <n v="1"/>
    <x v="1"/>
    <x v="43"/>
  </r>
  <r>
    <n v="45"/>
    <x v="2"/>
    <n v="3"/>
    <s v="Fri, Mon, Wed"/>
    <b v="1"/>
    <d v="1899-12-30T15:39:00"/>
    <d v="1899-12-30T17:34:00"/>
    <n v="115"/>
    <b v="1"/>
    <b v="1"/>
    <x v="1"/>
    <x v="0"/>
    <n v="20"/>
    <x v="1"/>
    <n v="15"/>
    <x v="2"/>
    <n v="0.1"/>
    <n v="13.5"/>
    <s v="Off-peak only"/>
    <s v="Anaheim, CA"/>
    <n v="33.836599999999997"/>
    <n v="-117.9143"/>
    <d v="2023-03-27T00:00:00"/>
    <n v="8"/>
    <x v="1"/>
    <x v="36"/>
  </r>
  <r>
    <n v="45"/>
    <x v="0"/>
    <n v="4"/>
    <s v="Fri, Sun, Thu, Tue"/>
    <b v="0"/>
    <d v="1899-12-30T10:05:00"/>
    <d v="1899-12-30T10:55:00"/>
    <n v="50"/>
    <b v="1"/>
    <b v="1"/>
    <x v="1"/>
    <x v="0"/>
    <n v="50"/>
    <x v="1"/>
    <n v="37.5"/>
    <x v="0"/>
    <n v="0.05"/>
    <n v="35.625"/>
    <s v="All hours"/>
    <s v="Sacramento, CA"/>
    <n v="38.581600000000002"/>
    <n v="-121.4944"/>
    <d v="2024-04-04T00:00:00"/>
    <n v="7"/>
    <x v="0"/>
    <x v="17"/>
  </r>
  <r>
    <n v="28"/>
    <x v="2"/>
    <n v="2"/>
    <s v="Fri, Tue"/>
    <b v="0"/>
    <d v="1899-12-30T14:12:00"/>
    <d v="1899-12-30T15:26:00"/>
    <n v="74"/>
    <b v="1"/>
    <b v="0"/>
    <x v="0"/>
    <x v="4"/>
    <n v="20"/>
    <x v="0"/>
    <n v="20"/>
    <x v="0"/>
    <n v="0.05"/>
    <n v="19"/>
    <s v="Off-peak only"/>
    <s v="Oakland, CA"/>
    <n v="37.804400000000001"/>
    <n v="-122.27119999999999"/>
    <d v="2024-03-31T00:00:00"/>
    <n v="0"/>
    <x v="1"/>
    <x v="17"/>
  </r>
  <r>
    <n v="27"/>
    <x v="1"/>
    <n v="5"/>
    <s v="Fri, Mon, Sun, Tue, Wed"/>
    <b v="0"/>
    <d v="1899-12-30T18:22:00"/>
    <d v="1899-12-30T19:04:00"/>
    <n v="42"/>
    <b v="0"/>
    <b v="0"/>
    <x v="0"/>
    <x v="1"/>
    <n v="30"/>
    <x v="1"/>
    <n v="22.5"/>
    <x v="1"/>
    <n v="0"/>
    <n v="22.5"/>
    <s v="Weekdays only"/>
    <s v="Long Beach, CA"/>
    <n v="33.770099999999999"/>
    <n v="-118.19370000000001"/>
    <d v="2023-04-29T00:00:00"/>
    <n v="0"/>
    <x v="1"/>
    <x v="58"/>
  </r>
  <r>
    <n v="17"/>
    <x v="1"/>
    <n v="2"/>
    <s v="Sat, Tue"/>
    <b v="1"/>
    <d v="1899-12-30T10:09:00"/>
    <d v="1899-12-30T11:05:00"/>
    <n v="56"/>
    <b v="0"/>
    <b v="0"/>
    <x v="1"/>
    <x v="2"/>
    <n v="30"/>
    <x v="1"/>
    <n v="22.5"/>
    <x v="1"/>
    <n v="0"/>
    <n v="22.5"/>
    <s v="Weekdays only"/>
    <s v="San Diego, CA"/>
    <n v="32.715699999999998"/>
    <n v="-117.1611"/>
    <d v="2024-10-11T00:00:00"/>
    <n v="0"/>
    <x v="1"/>
    <x v="51"/>
  </r>
  <r>
    <n v="45"/>
    <x v="2"/>
    <n v="2"/>
    <s v="Fri, Wed"/>
    <b v="1"/>
    <d v="1899-12-30T18:26:00"/>
    <d v="1899-12-30T21:21:00"/>
    <n v="175"/>
    <b v="1"/>
    <b v="1"/>
    <x v="0"/>
    <x v="0"/>
    <n v="20"/>
    <x v="1"/>
    <n v="15"/>
    <x v="3"/>
    <n v="0.15"/>
    <n v="12.75"/>
    <s v="Off-peak only"/>
    <s v="San Francisco, CA"/>
    <n v="37.774900000000002"/>
    <n v="-122.4194"/>
    <d v="2025-02-25T00:00:00"/>
    <n v="6"/>
    <x v="1"/>
    <x v="45"/>
  </r>
  <r>
    <n v="25"/>
    <x v="0"/>
    <n v="5"/>
    <s v="Mon, Sat, Sun, Thu, Wed"/>
    <b v="1"/>
    <d v="1899-12-30T12:25:00"/>
    <d v="1899-12-30T13:40:00"/>
    <n v="75"/>
    <b v="1"/>
    <b v="0"/>
    <x v="1"/>
    <x v="0"/>
    <n v="50"/>
    <x v="0"/>
    <n v="50"/>
    <x v="1"/>
    <n v="0"/>
    <n v="50"/>
    <s v="All hours"/>
    <s v="San Jose, CA"/>
    <n v="37.338200000000001"/>
    <n v="-121.88630000000001"/>
    <d v="2024-06-10T00:00:00"/>
    <n v="0"/>
    <x v="0"/>
    <x v="20"/>
  </r>
  <r>
    <n v="27"/>
    <x v="0"/>
    <n v="1"/>
    <s v="Sun"/>
    <b v="0"/>
    <d v="1899-12-30T18:02:00"/>
    <d v="1899-12-30T19:46:00"/>
    <n v="104"/>
    <b v="1"/>
    <b v="0"/>
    <x v="0"/>
    <x v="0"/>
    <n v="50"/>
    <x v="0"/>
    <n v="50"/>
    <x v="0"/>
    <n v="0.05"/>
    <n v="47.5"/>
    <s v="All hours"/>
    <s v="Bakersfield, CA"/>
    <n v="35.3733"/>
    <n v="-119.0187"/>
    <d v="2024-08-21T00:00:00"/>
    <n v="0"/>
    <x v="0"/>
    <x v="18"/>
  </r>
  <r>
    <n v="49"/>
    <x v="1"/>
    <n v="1"/>
    <s v="Fri"/>
    <b v="1"/>
    <d v="1899-12-30T13:06:00"/>
    <d v="1899-12-30T14:29:00"/>
    <n v="83"/>
    <b v="0"/>
    <b v="1"/>
    <x v="1"/>
    <x v="1"/>
    <n v="30"/>
    <x v="0"/>
    <n v="30"/>
    <x v="0"/>
    <n v="0.05"/>
    <n v="28.5"/>
    <s v="Weekdays only"/>
    <s v="Oakland, CA"/>
    <n v="37.804400000000001"/>
    <n v="-122.27119999999999"/>
    <d v="2024-08-11T00:00:00"/>
    <n v="6"/>
    <x v="1"/>
    <x v="18"/>
  </r>
  <r>
    <n v="39"/>
    <x v="1"/>
    <n v="2"/>
    <s v="Tue, Wed"/>
    <b v="1"/>
    <d v="1899-12-30T15:14:00"/>
    <d v="1899-12-30T17:39:00"/>
    <n v="145"/>
    <b v="1"/>
    <b v="0"/>
    <x v="0"/>
    <x v="0"/>
    <n v="30"/>
    <x v="1"/>
    <n v="22.5"/>
    <x v="0"/>
    <n v="0.05"/>
    <n v="21.375"/>
    <s v="Weekdays only"/>
    <s v="Sacramento, CA"/>
    <n v="38.581600000000002"/>
    <n v="-121.4944"/>
    <d v="2024-10-17T00:00:00"/>
    <n v="0"/>
    <x v="0"/>
    <x v="51"/>
  </r>
  <r>
    <n v="34"/>
    <x v="3"/>
    <n v="3"/>
    <s v="Fri, Sun, Tue"/>
    <b v="0"/>
    <d v="1899-12-30T10:54:00"/>
    <d v="1899-12-30T12:49:00"/>
    <n v="115"/>
    <b v="1"/>
    <b v="1"/>
    <x v="1"/>
    <x v="0"/>
    <n v="70"/>
    <x v="1"/>
    <n v="52.5"/>
    <x v="1"/>
    <n v="0"/>
    <n v="52.5"/>
    <s v="All hours + Priority access"/>
    <s v="Long Beach, CA"/>
    <n v="33.770099999999999"/>
    <n v="-118.19370000000001"/>
    <d v="2025-05-09T00:00:00"/>
    <n v="6"/>
    <x v="0"/>
    <x v="24"/>
  </r>
  <r>
    <n v="24"/>
    <x v="0"/>
    <n v="2"/>
    <s v="Thu, Wed"/>
    <b v="1"/>
    <d v="1899-12-30T10:26:00"/>
    <d v="1899-12-30T10:58:00"/>
    <n v="32"/>
    <b v="1"/>
    <b v="0"/>
    <x v="0"/>
    <x v="1"/>
    <n v="50"/>
    <x v="0"/>
    <n v="50"/>
    <x v="1"/>
    <n v="0"/>
    <n v="50"/>
    <s v="All hours"/>
    <s v="Oakland, CA"/>
    <n v="37.804400000000001"/>
    <n v="-122.27119999999999"/>
    <d v="2025-06-03T00:00:00"/>
    <n v="0"/>
    <x v="1"/>
    <x v="9"/>
  </r>
  <r>
    <n v="35"/>
    <x v="2"/>
    <n v="5"/>
    <s v="Sat, Sun, Thu, Tue, Wed"/>
    <b v="0"/>
    <d v="1899-12-30T10:41:00"/>
    <d v="1899-12-30T13:41:00"/>
    <n v="180"/>
    <b v="0"/>
    <b v="0"/>
    <x v="1"/>
    <x v="4"/>
    <n v="20"/>
    <x v="0"/>
    <n v="20"/>
    <x v="3"/>
    <n v="0.15"/>
    <n v="17"/>
    <s v="Off-peak only"/>
    <s v="Anaheim, CA"/>
    <n v="33.836599999999997"/>
    <n v="-117.9143"/>
    <d v="2022-08-06T00:00:00"/>
    <n v="0"/>
    <x v="0"/>
    <x v="43"/>
  </r>
  <r>
    <n v="35"/>
    <x v="2"/>
    <n v="5"/>
    <s v="Sat, Sun, Thu, Tue, Wed"/>
    <b v="0"/>
    <d v="1899-12-30T10:41:00"/>
    <d v="1899-12-30T13:41:00"/>
    <n v="180"/>
    <b v="0"/>
    <b v="0"/>
    <x v="1"/>
    <x v="4"/>
    <n v="20"/>
    <x v="0"/>
    <n v="20"/>
    <x v="3"/>
    <n v="0.15"/>
    <n v="17"/>
    <s v="Off-peak only"/>
    <s v="Anaheim, CA"/>
    <n v="33.836599999999997"/>
    <n v="-117.9143"/>
    <d v="2024-03-24T00:00:00"/>
    <n v="0"/>
    <x v="1"/>
    <x v="17"/>
  </r>
  <r>
    <n v="18"/>
    <x v="3"/>
    <n v="3"/>
    <s v="Fri, Thu, Wed"/>
    <b v="1"/>
    <d v="1899-12-30T18:43:00"/>
    <d v="1899-12-30T21:06:00"/>
    <n v="143"/>
    <b v="1"/>
    <b v="0"/>
    <x v="1"/>
    <x v="4"/>
    <n v="70"/>
    <x v="0"/>
    <n v="70"/>
    <x v="2"/>
    <n v="0.1"/>
    <n v="63"/>
    <s v="All hours + Priority access"/>
    <s v="Long Beach, CA"/>
    <n v="33.770099999999999"/>
    <n v="-118.19370000000001"/>
    <d v="2024-05-09T00:00:00"/>
    <n v="0"/>
    <x v="0"/>
    <x v="40"/>
  </r>
  <r>
    <n v="13"/>
    <x v="3"/>
    <n v="5"/>
    <s v="Fri, Mon, Sat, Sun, Thu"/>
    <b v="1"/>
    <d v="1899-12-30T17:13:00"/>
    <d v="1899-12-30T19:00:00"/>
    <n v="107"/>
    <b v="0"/>
    <b v="0"/>
    <x v="0"/>
    <x v="0"/>
    <n v="70"/>
    <x v="0"/>
    <n v="70"/>
    <x v="1"/>
    <n v="0"/>
    <n v="70"/>
    <s v="All hours + Priority access"/>
    <s v="Bakersfield, CA"/>
    <n v="35.3733"/>
    <n v="-119.0187"/>
    <d v="2023-06-30T00:00:00"/>
    <n v="0"/>
    <x v="0"/>
    <x v="56"/>
  </r>
  <r>
    <n v="22"/>
    <x v="0"/>
    <n v="1"/>
    <s v="Thu"/>
    <b v="0"/>
    <d v="1899-12-30T09:43:00"/>
    <d v="1899-12-30T10:37:00"/>
    <n v="54"/>
    <b v="1"/>
    <b v="0"/>
    <x v="0"/>
    <x v="0"/>
    <n v="50"/>
    <x v="0"/>
    <n v="50"/>
    <x v="0"/>
    <n v="0.05"/>
    <n v="47.5"/>
    <s v="All hours"/>
    <s v="Bakersfield, CA"/>
    <n v="35.3733"/>
    <n v="-119.0187"/>
    <d v="2024-11-02T00:00:00"/>
    <n v="0"/>
    <x v="0"/>
    <x v="53"/>
  </r>
  <r>
    <n v="30"/>
    <x v="2"/>
    <n v="5"/>
    <s v="Fri, Mon, Sun, Thu, Wed"/>
    <b v="0"/>
    <d v="1899-12-30T17:29:00"/>
    <d v="1899-12-30T18:25:00"/>
    <n v="56"/>
    <b v="0"/>
    <b v="1"/>
    <x v="0"/>
    <x v="1"/>
    <n v="20"/>
    <x v="0"/>
    <n v="20"/>
    <x v="3"/>
    <n v="0.15"/>
    <n v="17"/>
    <s v="Off-peak only"/>
    <s v="Fresno, CA"/>
    <n v="36.7378"/>
    <n v="-119.7871"/>
    <d v="2022-09-15T00:00:00"/>
    <n v="1"/>
    <x v="0"/>
    <x v="25"/>
  </r>
  <r>
    <n v="36"/>
    <x v="0"/>
    <n v="3"/>
    <s v="Mon, Sat, Thu"/>
    <b v="0"/>
    <d v="1899-12-30T11:06:00"/>
    <d v="1899-12-30T11:44:00"/>
    <n v="38"/>
    <b v="1"/>
    <b v="1"/>
    <x v="0"/>
    <x v="4"/>
    <n v="50"/>
    <x v="0"/>
    <n v="50"/>
    <x v="2"/>
    <n v="0.1"/>
    <n v="45"/>
    <s v="All hours"/>
    <s v="Anaheim, CA"/>
    <n v="33.836599999999997"/>
    <n v="-117.9143"/>
    <d v="2023-03-08T00:00:00"/>
    <n v="2"/>
    <x v="0"/>
    <x v="22"/>
  </r>
  <r>
    <n v="30"/>
    <x v="0"/>
    <n v="1"/>
    <s v="Fri"/>
    <b v="0"/>
    <d v="1899-12-30T16:34:00"/>
    <d v="1899-12-30T19:02:00"/>
    <n v="148"/>
    <b v="0"/>
    <b v="0"/>
    <x v="1"/>
    <x v="4"/>
    <n v="50"/>
    <x v="0"/>
    <n v="50"/>
    <x v="1"/>
    <n v="0"/>
    <n v="50"/>
    <s v="All hours"/>
    <s v="Bakersfield, CA"/>
    <n v="35.3733"/>
    <n v="-119.0187"/>
    <d v="2025-03-19T00:00:00"/>
    <n v="0"/>
    <x v="0"/>
    <x v="27"/>
  </r>
  <r>
    <n v="29"/>
    <x v="0"/>
    <n v="5"/>
    <s v="Mon, Sat, Sun, Thu, Tue"/>
    <b v="0"/>
    <d v="1899-12-30T18:14:00"/>
    <d v="1899-12-30T21:04:00"/>
    <n v="170"/>
    <b v="0"/>
    <b v="0"/>
    <x v="0"/>
    <x v="0"/>
    <n v="50"/>
    <x v="0"/>
    <n v="50"/>
    <x v="2"/>
    <n v="0.1"/>
    <n v="45"/>
    <s v="All hours"/>
    <s v="Long Beach, CA"/>
    <n v="33.770099999999999"/>
    <n v="-118.19370000000001"/>
    <d v="2024-04-04T00:00:00"/>
    <n v="0"/>
    <x v="0"/>
    <x v="17"/>
  </r>
  <r>
    <n v="13"/>
    <x v="0"/>
    <n v="2"/>
    <s v="Mon, Tue"/>
    <b v="0"/>
    <d v="1899-12-30T17:27:00"/>
    <d v="1899-12-30T19:12:00"/>
    <n v="105"/>
    <b v="0"/>
    <b v="0"/>
    <x v="0"/>
    <x v="2"/>
    <n v="50"/>
    <x v="1"/>
    <n v="37.5"/>
    <x v="0"/>
    <n v="0.05"/>
    <n v="35.625"/>
    <s v="All hours"/>
    <s v="San Jose, CA"/>
    <n v="37.338200000000001"/>
    <n v="-121.88630000000001"/>
    <d v="2022-11-29T00:00:00"/>
    <n v="0"/>
    <x v="0"/>
    <x v="54"/>
  </r>
  <r>
    <n v="14"/>
    <x v="0"/>
    <n v="5"/>
    <s v="Sat, Sun, Thu, Tue, Wed"/>
    <b v="1"/>
    <d v="1899-12-30T10:49:00"/>
    <d v="1899-12-30T12:40:00"/>
    <n v="111"/>
    <b v="1"/>
    <b v="0"/>
    <x v="0"/>
    <x v="0"/>
    <n v="50"/>
    <x v="1"/>
    <n v="37.5"/>
    <x v="3"/>
    <n v="0.15"/>
    <n v="31.875"/>
    <s v="All hours"/>
    <s v="Bakersfield, CA"/>
    <n v="35.3733"/>
    <n v="-119.0187"/>
    <d v="2022-09-20T00:00:00"/>
    <n v="0"/>
    <x v="0"/>
    <x v="25"/>
  </r>
  <r>
    <n v="45"/>
    <x v="0"/>
    <n v="5"/>
    <s v="Fri, Mon, Sun, Tue, Wed"/>
    <b v="1"/>
    <d v="1899-12-30T14:59:00"/>
    <d v="1899-12-30T16:59:00"/>
    <n v="120"/>
    <b v="0"/>
    <b v="0"/>
    <x v="1"/>
    <x v="4"/>
    <n v="50"/>
    <x v="1"/>
    <n v="37.5"/>
    <x v="3"/>
    <n v="0.15"/>
    <n v="31.875"/>
    <s v="All hours"/>
    <s v="San Francisco, CA"/>
    <n v="37.774900000000002"/>
    <n v="-122.4194"/>
    <d v="2024-02-11T00:00:00"/>
    <n v="0"/>
    <x v="0"/>
    <x v="48"/>
  </r>
  <r>
    <n v="25"/>
    <x v="1"/>
    <n v="2"/>
    <s v="Thu, Wed"/>
    <b v="0"/>
    <d v="1899-12-30T10:38:00"/>
    <d v="1899-12-30T12:32:00"/>
    <n v="114"/>
    <b v="1"/>
    <b v="1"/>
    <x v="0"/>
    <x v="1"/>
    <n v="30"/>
    <x v="1"/>
    <n v="22.5"/>
    <x v="0"/>
    <n v="0.05"/>
    <n v="21.375"/>
    <s v="Weekdays only"/>
    <s v="Sacramento, CA"/>
    <n v="38.581600000000002"/>
    <n v="-121.4944"/>
    <d v="2023-09-08T00:00:00"/>
    <n v="1"/>
    <x v="0"/>
    <x v="7"/>
  </r>
  <r>
    <n v="29"/>
    <x v="1"/>
    <n v="3"/>
    <s v="Mon, Sat, Thu"/>
    <b v="0"/>
    <d v="1899-12-30T15:05:00"/>
    <d v="1899-12-30T16:19:00"/>
    <n v="74"/>
    <b v="0"/>
    <b v="1"/>
    <x v="1"/>
    <x v="1"/>
    <n v="30"/>
    <x v="0"/>
    <n v="30"/>
    <x v="1"/>
    <n v="0"/>
    <n v="30"/>
    <s v="Weekdays only"/>
    <s v="San Diego, CA"/>
    <n v="32.715699999999998"/>
    <n v="-117.1611"/>
    <d v="2024-12-27T00:00:00"/>
    <n v="5"/>
    <x v="0"/>
    <x v="13"/>
  </r>
  <r>
    <n v="36"/>
    <x v="3"/>
    <n v="2"/>
    <s v="Mon, Sun"/>
    <b v="0"/>
    <d v="1899-12-30T15:38:00"/>
    <d v="1899-12-30T17:36:00"/>
    <n v="118"/>
    <b v="0"/>
    <b v="1"/>
    <x v="0"/>
    <x v="4"/>
    <n v="70"/>
    <x v="0"/>
    <n v="70"/>
    <x v="0"/>
    <n v="0.05"/>
    <n v="66.5"/>
    <s v="All hours + Priority access"/>
    <s v="Los Angeles, CA"/>
    <n v="34.052199999999999"/>
    <n v="-118.2437"/>
    <d v="2022-08-02T00:00:00"/>
    <n v="4"/>
    <x v="0"/>
    <x v="43"/>
  </r>
  <r>
    <n v="18"/>
    <x v="0"/>
    <n v="4"/>
    <s v="Fri, Sat, Sun, Tue"/>
    <b v="1"/>
    <d v="1899-12-30T19:08:00"/>
    <d v="1899-12-30T21:32:00"/>
    <n v="144"/>
    <b v="1"/>
    <b v="0"/>
    <x v="0"/>
    <x v="0"/>
    <n v="50"/>
    <x v="0"/>
    <n v="50"/>
    <x v="1"/>
    <n v="0"/>
    <n v="50"/>
    <s v="All hours"/>
    <s v="San Diego, CA"/>
    <n v="32.715699999999998"/>
    <n v="-117.1611"/>
    <d v="2024-10-19T00:00:00"/>
    <n v="0"/>
    <x v="1"/>
    <x v="53"/>
  </r>
  <r>
    <n v="30"/>
    <x v="2"/>
    <n v="2"/>
    <s v="Sat, Wed"/>
    <b v="0"/>
    <d v="1899-12-30T08:38:00"/>
    <d v="1899-12-30T10:58:00"/>
    <n v="140"/>
    <b v="1"/>
    <b v="1"/>
    <x v="0"/>
    <x v="2"/>
    <n v="20"/>
    <x v="1"/>
    <n v="15"/>
    <x v="1"/>
    <n v="0"/>
    <n v="15"/>
    <s v="Off-peak only"/>
    <s v="Sacramento, CA"/>
    <n v="38.581600000000002"/>
    <n v="-121.4944"/>
    <d v="2022-09-22T00:00:00"/>
    <n v="6"/>
    <x v="0"/>
    <x v="25"/>
  </r>
  <r>
    <n v="44"/>
    <x v="0"/>
    <n v="5"/>
    <s v="Fri, Sat, Sun, Thu, Tue"/>
    <b v="1"/>
    <d v="1899-12-30T15:27:00"/>
    <d v="1899-12-30T17:39:00"/>
    <n v="132"/>
    <b v="0"/>
    <b v="1"/>
    <x v="1"/>
    <x v="2"/>
    <n v="50"/>
    <x v="0"/>
    <n v="50"/>
    <x v="1"/>
    <n v="0"/>
    <n v="50"/>
    <s v="All hours"/>
    <s v="Los Angeles, CA"/>
    <n v="34.052199999999999"/>
    <n v="-118.2437"/>
    <d v="2023-08-01T00:00:00"/>
    <n v="2"/>
    <x v="1"/>
    <x v="47"/>
  </r>
  <r>
    <n v="38"/>
    <x v="1"/>
    <n v="3"/>
    <s v="Sat, Sun, Wed"/>
    <b v="1"/>
    <d v="1899-12-30T13:20:00"/>
    <d v="1899-12-30T14:42:00"/>
    <n v="82"/>
    <b v="0"/>
    <b v="0"/>
    <x v="0"/>
    <x v="1"/>
    <n v="30"/>
    <x v="2"/>
    <n v="27"/>
    <x v="1"/>
    <n v="0"/>
    <n v="27"/>
    <s v="Weekdays only"/>
    <s v="San Diego, CA"/>
    <n v="32.715699999999998"/>
    <n v="-117.1611"/>
    <d v="2023-09-14T00:00:00"/>
    <n v="0"/>
    <x v="1"/>
    <x v="7"/>
  </r>
  <r>
    <n v="46"/>
    <x v="1"/>
    <n v="1"/>
    <s v="Sat"/>
    <b v="0"/>
    <d v="1899-12-30T11:13:00"/>
    <d v="1899-12-30T13:19:00"/>
    <n v="126"/>
    <b v="1"/>
    <b v="0"/>
    <x v="1"/>
    <x v="4"/>
    <n v="30"/>
    <x v="0"/>
    <n v="30"/>
    <x v="1"/>
    <n v="0"/>
    <n v="30"/>
    <s v="Weekdays only"/>
    <s v="San Diego, CA"/>
    <n v="32.715699999999998"/>
    <n v="-117.1611"/>
    <d v="2023-12-24T00:00:00"/>
    <n v="0"/>
    <x v="1"/>
    <x v="23"/>
  </r>
  <r>
    <n v="48"/>
    <x v="0"/>
    <n v="3"/>
    <s v="Mon, Sat, Tue"/>
    <b v="0"/>
    <d v="1899-12-30T19:44:00"/>
    <d v="1899-12-30T20:51:00"/>
    <n v="67"/>
    <b v="1"/>
    <b v="0"/>
    <x v="0"/>
    <x v="4"/>
    <n v="50"/>
    <x v="0"/>
    <n v="50"/>
    <x v="2"/>
    <n v="0.1"/>
    <n v="45"/>
    <s v="All hours"/>
    <s v="Oakland, CA"/>
    <n v="37.804400000000001"/>
    <n v="-122.27119999999999"/>
    <d v="2024-10-20T00:00:00"/>
    <n v="0"/>
    <x v="0"/>
    <x v="53"/>
  </r>
  <r>
    <n v="43"/>
    <x v="0"/>
    <n v="3"/>
    <s v="Mon, Sun, Thu"/>
    <b v="0"/>
    <d v="1899-12-30T08:22:00"/>
    <d v="1899-12-30T10:40:00"/>
    <n v="138"/>
    <b v="0"/>
    <b v="1"/>
    <x v="0"/>
    <x v="1"/>
    <n v="50"/>
    <x v="0"/>
    <n v="50"/>
    <x v="1"/>
    <n v="0"/>
    <n v="50"/>
    <s v="All hours"/>
    <s v="Fresno, CA"/>
    <n v="36.7378"/>
    <n v="-119.7871"/>
    <d v="2024-12-16T00:00:00"/>
    <n v="3"/>
    <x v="0"/>
    <x v="13"/>
  </r>
  <r>
    <n v="21"/>
    <x v="2"/>
    <n v="2"/>
    <s v="Mon, Wed"/>
    <b v="0"/>
    <d v="1899-12-30T10:26:00"/>
    <d v="1899-12-30T12:21:00"/>
    <n v="115"/>
    <b v="1"/>
    <b v="1"/>
    <x v="1"/>
    <x v="0"/>
    <n v="20"/>
    <x v="2"/>
    <n v="18"/>
    <x v="1"/>
    <n v="0"/>
    <n v="18"/>
    <s v="Off-peak only"/>
    <s v="Long Beach, CA"/>
    <n v="33.770099999999999"/>
    <n v="-118.19370000000001"/>
    <d v="2024-10-31T00:00:00"/>
    <n v="8"/>
    <x v="1"/>
    <x v="53"/>
  </r>
  <r>
    <n v="29"/>
    <x v="1"/>
    <n v="1"/>
    <s v="Thu"/>
    <b v="1"/>
    <d v="1899-12-30T10:25:00"/>
    <d v="1899-12-30T12:04:00"/>
    <n v="99"/>
    <b v="1"/>
    <b v="1"/>
    <x v="0"/>
    <x v="0"/>
    <n v="30"/>
    <x v="0"/>
    <n v="30"/>
    <x v="1"/>
    <n v="0"/>
    <n v="30"/>
    <s v="Weekdays only"/>
    <s v="Anaheim, CA"/>
    <n v="33.836599999999997"/>
    <n v="-117.9143"/>
    <d v="2024-12-06T00:00:00"/>
    <n v="3"/>
    <x v="1"/>
    <x v="14"/>
  </r>
  <r>
    <n v="47"/>
    <x v="3"/>
    <n v="2"/>
    <s v="Sat, Thu"/>
    <b v="0"/>
    <d v="1899-12-30T12:18:00"/>
    <d v="1899-12-30T13:33:00"/>
    <n v="75"/>
    <b v="1"/>
    <b v="1"/>
    <x v="0"/>
    <x v="4"/>
    <n v="70"/>
    <x v="1"/>
    <n v="52.5"/>
    <x v="2"/>
    <n v="0.1"/>
    <n v="47.25"/>
    <s v="All hours + Priority access"/>
    <s v="San Jose, CA"/>
    <n v="37.338200000000001"/>
    <n v="-121.88630000000001"/>
    <d v="2023-03-15T00:00:00"/>
    <n v="4"/>
    <x v="0"/>
    <x v="36"/>
  </r>
  <r>
    <n v="18"/>
    <x v="0"/>
    <n v="4"/>
    <s v="Sun, Thu, Tue, Wed"/>
    <b v="0"/>
    <d v="1899-12-30T11:23:00"/>
    <d v="1899-12-30T14:03:00"/>
    <n v="160"/>
    <b v="1"/>
    <b v="0"/>
    <x v="0"/>
    <x v="2"/>
    <n v="50"/>
    <x v="1"/>
    <n v="37.5"/>
    <x v="1"/>
    <n v="0"/>
    <n v="37.5"/>
    <s v="All hours"/>
    <s v="Fresno, CA"/>
    <n v="36.7378"/>
    <n v="-119.7871"/>
    <d v="2024-06-15T00:00:00"/>
    <n v="0"/>
    <x v="0"/>
    <x v="20"/>
  </r>
  <r>
    <n v="19"/>
    <x v="2"/>
    <n v="2"/>
    <s v="Sat, Tue"/>
    <b v="0"/>
    <d v="1899-12-30T16:57:00"/>
    <d v="1899-12-30T18:54:00"/>
    <n v="117"/>
    <b v="1"/>
    <b v="1"/>
    <x v="0"/>
    <x v="4"/>
    <n v="20"/>
    <x v="1"/>
    <n v="15"/>
    <x v="1"/>
    <n v="0"/>
    <n v="15"/>
    <s v="Off-peak only"/>
    <s v="Sacramento, CA"/>
    <n v="38.581600000000002"/>
    <n v="-121.4944"/>
    <d v="2025-04-22T00:00:00"/>
    <n v="2"/>
    <x v="1"/>
    <x v="5"/>
  </r>
  <r>
    <n v="47"/>
    <x v="0"/>
    <n v="3"/>
    <s v="Mon, Sat, Wed"/>
    <b v="0"/>
    <d v="1899-12-30T19:31:00"/>
    <d v="1899-12-30T20:19:00"/>
    <n v="48"/>
    <b v="0"/>
    <b v="1"/>
    <x v="0"/>
    <x v="3"/>
    <n v="50"/>
    <x v="0"/>
    <n v="50"/>
    <x v="3"/>
    <n v="0.15"/>
    <n v="42.5"/>
    <s v="All hours"/>
    <s v="San Jose, CA"/>
    <n v="37.338200000000001"/>
    <n v="-121.88630000000001"/>
    <d v="2022-08-25T00:00:00"/>
    <n v="1"/>
    <x v="0"/>
    <x v="10"/>
  </r>
  <r>
    <n v="46"/>
    <x v="1"/>
    <n v="1"/>
    <s v="Sat"/>
    <b v="0"/>
    <d v="1899-12-30T11:13:00"/>
    <d v="1899-12-30T13:19:00"/>
    <n v="126"/>
    <b v="1"/>
    <b v="0"/>
    <x v="1"/>
    <x v="4"/>
    <n v="30"/>
    <x v="0"/>
    <n v="30"/>
    <x v="1"/>
    <n v="0"/>
    <n v="30"/>
    <s v="Weekdays only"/>
    <s v="San Diego, CA"/>
    <n v="32.715699999999998"/>
    <n v="-117.1611"/>
    <d v="2022-11-24T00:00:00"/>
    <n v="0"/>
    <x v="0"/>
    <x v="37"/>
  </r>
  <r>
    <n v="44"/>
    <x v="2"/>
    <n v="1"/>
    <s v="Wed"/>
    <b v="0"/>
    <d v="1899-12-30T20:43:00"/>
    <d v="1899-12-30T22:58:00"/>
    <n v="135"/>
    <b v="1"/>
    <b v="0"/>
    <x v="0"/>
    <x v="4"/>
    <n v="20"/>
    <x v="0"/>
    <n v="20"/>
    <x v="1"/>
    <n v="0"/>
    <n v="20"/>
    <s v="Off-peak only"/>
    <s v="Sacramento, CA"/>
    <n v="38.581600000000002"/>
    <n v="-121.4944"/>
    <d v="2022-10-08T00:00:00"/>
    <n v="0"/>
    <x v="1"/>
    <x v="38"/>
  </r>
  <r>
    <n v="39"/>
    <x v="1"/>
    <n v="4"/>
    <s v="Sun, Thu, Tue, Wed"/>
    <b v="1"/>
    <d v="1899-12-30T13:35:00"/>
    <d v="1899-12-30T14:37:00"/>
    <n v="62"/>
    <b v="1"/>
    <b v="1"/>
    <x v="1"/>
    <x v="0"/>
    <n v="30"/>
    <x v="0"/>
    <n v="30"/>
    <x v="2"/>
    <n v="0.1"/>
    <n v="27"/>
    <s v="Weekdays only"/>
    <s v="Oakland, CA"/>
    <n v="37.804400000000001"/>
    <n v="-122.27119999999999"/>
    <d v="2022-07-29T00:00:00"/>
    <n v="1"/>
    <x v="0"/>
    <x v="43"/>
  </r>
  <r>
    <n v="24"/>
    <x v="0"/>
    <n v="3"/>
    <s v="Sat, Sun, Tue"/>
    <b v="0"/>
    <d v="1899-12-30T10:46:00"/>
    <d v="1899-12-30T12:59:00"/>
    <n v="133"/>
    <b v="0"/>
    <b v="1"/>
    <x v="1"/>
    <x v="0"/>
    <n v="50"/>
    <x v="0"/>
    <n v="50"/>
    <x v="2"/>
    <n v="0.1"/>
    <n v="45"/>
    <s v="All hours"/>
    <s v="Long Beach, CA"/>
    <n v="33.770099999999999"/>
    <n v="-118.19370000000001"/>
    <d v="2024-12-19T00:00:00"/>
    <n v="5"/>
    <x v="0"/>
    <x v="13"/>
  </r>
  <r>
    <n v="38"/>
    <x v="3"/>
    <n v="1"/>
    <s v="Tue"/>
    <b v="1"/>
    <d v="1899-12-30T10:01:00"/>
    <d v="1899-12-30T12:48:00"/>
    <n v="167"/>
    <b v="1"/>
    <b v="1"/>
    <x v="1"/>
    <x v="4"/>
    <n v="70"/>
    <x v="0"/>
    <n v="70"/>
    <x v="1"/>
    <n v="0"/>
    <n v="70"/>
    <s v="All hours + Priority access"/>
    <s v="Fresno, CA"/>
    <n v="36.7378"/>
    <n v="-119.7871"/>
    <d v="2024-04-27T00:00:00"/>
    <n v="5"/>
    <x v="1"/>
    <x v="40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3-04-07T00:00:00"/>
    <n v="1"/>
    <x v="0"/>
    <x v="49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3-06-12T00:00:00"/>
    <n v="3"/>
    <x v="0"/>
    <x v="28"/>
  </r>
  <r>
    <n v="20"/>
    <x v="0"/>
    <n v="4"/>
    <s v="Mon, Sat, Tue, Wed"/>
    <b v="1"/>
    <d v="1899-12-30T09:46:00"/>
    <d v="1899-12-30T11:55:00"/>
    <n v="129"/>
    <b v="0"/>
    <b v="1"/>
    <x v="0"/>
    <x v="0"/>
    <n v="50"/>
    <x v="2"/>
    <n v="45"/>
    <x v="3"/>
    <n v="0.15"/>
    <n v="38.25"/>
    <s v="All hours"/>
    <s v="Long Beach, CA"/>
    <n v="33.770099999999999"/>
    <n v="-118.19370000000001"/>
    <d v="2025-01-10T00:00:00"/>
    <n v="8"/>
    <x v="0"/>
    <x v="4"/>
  </r>
  <r>
    <n v="39"/>
    <x v="1"/>
    <n v="2"/>
    <s v="Tue, Wed"/>
    <b v="1"/>
    <d v="1899-12-30T15:14:00"/>
    <d v="1899-12-30T17:39:00"/>
    <n v="145"/>
    <b v="1"/>
    <b v="0"/>
    <x v="0"/>
    <x v="0"/>
    <n v="30"/>
    <x v="1"/>
    <n v="22.5"/>
    <x v="0"/>
    <n v="0.05"/>
    <n v="21.375"/>
    <s v="Weekdays only"/>
    <s v="Sacramento, CA"/>
    <n v="38.581600000000002"/>
    <n v="-121.4944"/>
    <d v="2023-02-05T00:00:00"/>
    <n v="0"/>
    <x v="1"/>
    <x v="26"/>
  </r>
  <r>
    <n v="23"/>
    <x v="1"/>
    <n v="2"/>
    <s v="Sat, Thu"/>
    <b v="0"/>
    <d v="1899-12-30T11:56:00"/>
    <d v="1899-12-30T13:42:00"/>
    <n v="106"/>
    <b v="0"/>
    <b v="1"/>
    <x v="1"/>
    <x v="4"/>
    <n v="30"/>
    <x v="0"/>
    <n v="30"/>
    <x v="0"/>
    <n v="0.05"/>
    <n v="28.5"/>
    <s v="Weekdays only"/>
    <s v="Fresno, CA"/>
    <n v="36.7378"/>
    <n v="-119.7871"/>
    <d v="2024-10-26T00:00:00"/>
    <n v="6"/>
    <x v="1"/>
    <x v="53"/>
  </r>
  <r>
    <n v="41"/>
    <x v="1"/>
    <n v="3"/>
    <s v="Fri, Sat, Sun"/>
    <b v="0"/>
    <d v="1899-12-30T09:56:00"/>
    <d v="1899-12-30T11:39:00"/>
    <n v="103"/>
    <b v="0"/>
    <b v="1"/>
    <x v="1"/>
    <x v="2"/>
    <n v="30"/>
    <x v="0"/>
    <n v="30"/>
    <x v="3"/>
    <n v="0.15"/>
    <n v="25.5"/>
    <s v="Weekdays only"/>
    <s v="Long Beach, CA"/>
    <n v="33.770099999999999"/>
    <n v="-118.19370000000001"/>
    <d v="2024-10-27T00:00:00"/>
    <n v="3"/>
    <x v="1"/>
    <x v="53"/>
  </r>
  <r>
    <n v="23"/>
    <x v="1"/>
    <n v="4"/>
    <s v="Fri, Sun, Thu, Wed"/>
    <b v="0"/>
    <d v="1899-12-30T10:17:00"/>
    <d v="1899-12-30T12:21:00"/>
    <n v="124"/>
    <b v="1"/>
    <b v="0"/>
    <x v="1"/>
    <x v="4"/>
    <n v="30"/>
    <x v="0"/>
    <n v="30"/>
    <x v="1"/>
    <n v="0"/>
    <n v="30"/>
    <s v="Weekdays only"/>
    <s v="Anaheim, CA"/>
    <n v="33.836599999999997"/>
    <n v="-117.9143"/>
    <d v="2023-11-29T00:00:00"/>
    <n v="0"/>
    <x v="1"/>
    <x v="35"/>
  </r>
  <r>
    <n v="39"/>
    <x v="2"/>
    <n v="5"/>
    <s v="Sat, Sun, Thu, Tue, Wed"/>
    <b v="1"/>
    <d v="1899-12-30T16:05:00"/>
    <d v="1899-12-30T18:42:00"/>
    <n v="157"/>
    <b v="0"/>
    <b v="1"/>
    <x v="0"/>
    <x v="0"/>
    <n v="20"/>
    <x v="0"/>
    <n v="20"/>
    <x v="2"/>
    <n v="0.1"/>
    <n v="18"/>
    <s v="Off-peak only"/>
    <s v="San Jose, CA"/>
    <n v="37.338200000000001"/>
    <n v="-121.88630000000001"/>
    <d v="2023-09-30T00:00:00"/>
    <n v="8"/>
    <x v="0"/>
    <x v="3"/>
  </r>
  <r>
    <n v="32"/>
    <x v="1"/>
    <n v="3"/>
    <s v="Fri, Sun, Thu"/>
    <b v="0"/>
    <d v="1899-12-30T14:23:00"/>
    <d v="1899-12-30T15:48:00"/>
    <n v="85"/>
    <b v="1"/>
    <b v="0"/>
    <x v="0"/>
    <x v="2"/>
    <n v="30"/>
    <x v="0"/>
    <n v="30"/>
    <x v="1"/>
    <n v="0"/>
    <n v="30"/>
    <s v="Weekdays only"/>
    <s v="Long Beach, CA"/>
    <n v="33.770099999999999"/>
    <n v="-118.19370000000001"/>
    <d v="2023-10-14T00:00:00"/>
    <n v="0"/>
    <x v="1"/>
    <x v="59"/>
  </r>
  <r>
    <n v="49"/>
    <x v="0"/>
    <n v="2"/>
    <s v="Fri, Tue"/>
    <b v="1"/>
    <d v="1899-12-30T13:20:00"/>
    <d v="1899-12-30T14:26:00"/>
    <n v="66"/>
    <b v="0"/>
    <b v="1"/>
    <x v="1"/>
    <x v="1"/>
    <n v="50"/>
    <x v="0"/>
    <n v="50"/>
    <x v="1"/>
    <n v="0"/>
    <n v="50"/>
    <s v="All hours"/>
    <s v="Sacramento, CA"/>
    <n v="38.581600000000002"/>
    <n v="-121.4944"/>
    <d v="2025-03-17T00:00:00"/>
    <n v="5"/>
    <x v="0"/>
    <x v="27"/>
  </r>
  <r>
    <n v="41"/>
    <x v="0"/>
    <n v="1"/>
    <s v="Wed"/>
    <b v="1"/>
    <d v="1899-12-30T13:14:00"/>
    <d v="1899-12-30T15:34:00"/>
    <n v="140"/>
    <b v="0"/>
    <b v="0"/>
    <x v="0"/>
    <x v="4"/>
    <n v="50"/>
    <x v="0"/>
    <n v="50"/>
    <x v="2"/>
    <n v="0.1"/>
    <n v="45"/>
    <s v="All hours"/>
    <s v="Los Angeles, CA"/>
    <n v="34.052199999999999"/>
    <n v="-118.2437"/>
    <d v="2022-12-01T00:00:00"/>
    <n v="0"/>
    <x v="0"/>
    <x v="54"/>
  </r>
  <r>
    <n v="26"/>
    <x v="1"/>
    <n v="2"/>
    <s v="Sat, Wed"/>
    <b v="1"/>
    <d v="1899-12-30T15:44:00"/>
    <d v="1899-12-30T18:17:00"/>
    <n v="153"/>
    <b v="0"/>
    <b v="1"/>
    <x v="1"/>
    <x v="0"/>
    <n v="30"/>
    <x v="0"/>
    <n v="30"/>
    <x v="1"/>
    <n v="0"/>
    <n v="30"/>
    <s v="Weekdays only"/>
    <s v="Bakersfield, CA"/>
    <n v="35.3733"/>
    <n v="-119.0187"/>
    <d v="2024-09-13T00:00:00"/>
    <n v="4"/>
    <x v="1"/>
    <x v="33"/>
  </r>
  <r>
    <n v="39"/>
    <x v="0"/>
    <n v="5"/>
    <s v="Mon, Sat, Sun, Tue, Wed"/>
    <b v="1"/>
    <d v="1899-12-30T09:42:00"/>
    <d v="1899-12-30T12:23:00"/>
    <n v="161"/>
    <b v="1"/>
    <b v="1"/>
    <x v="0"/>
    <x v="0"/>
    <n v="50"/>
    <x v="0"/>
    <n v="50"/>
    <x v="3"/>
    <n v="0.15"/>
    <n v="42.5"/>
    <s v="All hours"/>
    <s v="Bakersfield, CA"/>
    <n v="35.3733"/>
    <n v="-119.0187"/>
    <d v="2025-02-05T00:00:00"/>
    <n v="8"/>
    <x v="1"/>
    <x v="30"/>
  </r>
  <r>
    <n v="29"/>
    <x v="2"/>
    <n v="2"/>
    <s v="Fri, Sat"/>
    <b v="1"/>
    <d v="1899-12-30T14:45:00"/>
    <d v="1899-12-30T17:41:00"/>
    <n v="176"/>
    <b v="0"/>
    <b v="1"/>
    <x v="1"/>
    <x v="0"/>
    <n v="20"/>
    <x v="0"/>
    <n v="20"/>
    <x v="1"/>
    <n v="0"/>
    <n v="20"/>
    <s v="Off-peak only"/>
    <s v="San Jose, CA"/>
    <n v="37.338200000000001"/>
    <n v="-121.88630000000001"/>
    <d v="2022-11-19T00:00:00"/>
    <n v="1"/>
    <x v="0"/>
    <x v="37"/>
  </r>
  <r>
    <n v="37"/>
    <x v="1"/>
    <n v="1"/>
    <s v="Mon"/>
    <b v="1"/>
    <d v="1899-12-30T16:45:00"/>
    <d v="1899-12-30T18:58:00"/>
    <n v="133"/>
    <b v="0"/>
    <b v="0"/>
    <x v="0"/>
    <x v="0"/>
    <n v="30"/>
    <x v="1"/>
    <n v="22.5"/>
    <x v="1"/>
    <n v="0"/>
    <n v="22.5"/>
    <s v="Weekdays only"/>
    <s v="Oakland, CA"/>
    <n v="37.804400000000001"/>
    <n v="-122.27119999999999"/>
    <d v="2022-09-09T00:00:00"/>
    <n v="0"/>
    <x v="0"/>
    <x v="1"/>
  </r>
  <r>
    <n v="32"/>
    <x v="1"/>
    <n v="3"/>
    <s v="Fri, Sun, Thu"/>
    <b v="0"/>
    <d v="1899-12-30T14:23:00"/>
    <d v="1899-12-30T15:48:00"/>
    <n v="85"/>
    <b v="1"/>
    <b v="0"/>
    <x v="0"/>
    <x v="2"/>
    <n v="30"/>
    <x v="0"/>
    <n v="30"/>
    <x v="1"/>
    <n v="0"/>
    <n v="30"/>
    <s v="Weekdays only"/>
    <s v="Long Beach, CA"/>
    <n v="33.770099999999999"/>
    <n v="-118.19370000000001"/>
    <d v="2022-12-17T00:00:00"/>
    <n v="0"/>
    <x v="0"/>
    <x v="6"/>
  </r>
  <r>
    <n v="20"/>
    <x v="3"/>
    <n v="3"/>
    <s v="Fri, Mon, Thu"/>
    <b v="1"/>
    <d v="1899-12-30T17:30:00"/>
    <d v="1899-12-30T19:17:00"/>
    <n v="107"/>
    <b v="0"/>
    <b v="1"/>
    <x v="1"/>
    <x v="4"/>
    <n v="70"/>
    <x v="0"/>
    <n v="70"/>
    <x v="3"/>
    <n v="0.15"/>
    <n v="59.5"/>
    <s v="All hours + Priority access"/>
    <s v="Sacramento, CA"/>
    <n v="38.581600000000002"/>
    <n v="-121.4944"/>
    <d v="2023-02-11T00:00:00"/>
    <n v="5"/>
    <x v="0"/>
    <x v="26"/>
  </r>
  <r>
    <n v="27"/>
    <x v="1"/>
    <n v="2"/>
    <s v="Fri, Sun"/>
    <b v="0"/>
    <d v="1899-12-30T17:22:00"/>
    <d v="1899-12-30T18:50:00"/>
    <n v="88"/>
    <b v="1"/>
    <b v="1"/>
    <x v="0"/>
    <x v="1"/>
    <n v="30"/>
    <x v="1"/>
    <n v="22.5"/>
    <x v="1"/>
    <n v="0"/>
    <n v="22.5"/>
    <s v="Weekdays only"/>
    <s v="Fresno, CA"/>
    <n v="36.7378"/>
    <n v="-119.7871"/>
    <d v="2023-07-26T00:00:00"/>
    <n v="5"/>
    <x v="1"/>
    <x v="34"/>
  </r>
  <r>
    <n v="42"/>
    <x v="1"/>
    <n v="3"/>
    <s v="Sat, Sun, Tue"/>
    <b v="1"/>
    <d v="1899-12-30T10:23:00"/>
    <d v="1899-12-30T12:01:00"/>
    <n v="98"/>
    <b v="0"/>
    <b v="1"/>
    <x v="1"/>
    <x v="0"/>
    <n v="30"/>
    <x v="0"/>
    <n v="30"/>
    <x v="3"/>
    <n v="0.15"/>
    <n v="25.5"/>
    <s v="Weekdays only"/>
    <s v="Sacramento, CA"/>
    <n v="38.581600000000002"/>
    <n v="-121.4944"/>
    <d v="2023-11-14T00:00:00"/>
    <n v="6"/>
    <x v="1"/>
    <x v="50"/>
  </r>
  <r>
    <n v="39"/>
    <x v="1"/>
    <n v="3"/>
    <s v="Sun, Thu, Wed"/>
    <b v="0"/>
    <d v="1899-12-30T12:36:00"/>
    <d v="1899-12-30T14:19:00"/>
    <n v="103"/>
    <b v="0"/>
    <b v="1"/>
    <x v="0"/>
    <x v="0"/>
    <n v="30"/>
    <x v="1"/>
    <n v="22.5"/>
    <x v="1"/>
    <n v="0"/>
    <n v="22.5"/>
    <s v="Weekdays only"/>
    <s v="Sacramento, CA"/>
    <n v="38.581600000000002"/>
    <n v="-121.4944"/>
    <d v="2025-03-22T00:00:00"/>
    <n v="1"/>
    <x v="1"/>
    <x v="27"/>
  </r>
  <r>
    <n v="40"/>
    <x v="2"/>
    <n v="2"/>
    <s v="Fri, Tue"/>
    <b v="0"/>
    <d v="1899-12-30T17:21:00"/>
    <d v="1899-12-30T19:53:00"/>
    <n v="152"/>
    <b v="1"/>
    <b v="1"/>
    <x v="1"/>
    <x v="0"/>
    <n v="20"/>
    <x v="0"/>
    <n v="20"/>
    <x v="1"/>
    <n v="0"/>
    <n v="20"/>
    <s v="Off-peak only"/>
    <s v="Long Beach, CA"/>
    <n v="33.770099999999999"/>
    <n v="-118.19370000000001"/>
    <d v="2024-04-13T00:00:00"/>
    <n v="6"/>
    <x v="1"/>
    <x v="52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4-05-22T00:00:00"/>
    <n v="0"/>
    <x v="0"/>
    <x v="0"/>
  </r>
  <r>
    <n v="47"/>
    <x v="1"/>
    <n v="1"/>
    <s v="Sun"/>
    <b v="0"/>
    <d v="1899-12-30T16:23:00"/>
    <d v="1899-12-30T18:07:00"/>
    <n v="104"/>
    <b v="0"/>
    <b v="1"/>
    <x v="0"/>
    <x v="2"/>
    <n v="30"/>
    <x v="0"/>
    <n v="30"/>
    <x v="3"/>
    <n v="0.15"/>
    <n v="25.5"/>
    <s v="Weekdays only"/>
    <s v="Sacramento, CA"/>
    <n v="38.581600000000002"/>
    <n v="-121.4944"/>
    <d v="2024-09-19T00:00:00"/>
    <n v="1"/>
    <x v="1"/>
    <x v="33"/>
  </r>
  <r>
    <n v="45"/>
    <x v="0"/>
    <n v="3"/>
    <s v="Mon, Sun, Thu"/>
    <b v="0"/>
    <d v="1899-12-30T09:43:00"/>
    <d v="1899-12-30T11:16:00"/>
    <n v="93"/>
    <b v="1"/>
    <b v="0"/>
    <x v="1"/>
    <x v="3"/>
    <n v="50"/>
    <x v="0"/>
    <n v="50"/>
    <x v="1"/>
    <n v="0"/>
    <n v="50"/>
    <s v="All hours"/>
    <s v="San Diego, CA"/>
    <n v="32.715699999999998"/>
    <n v="-117.1611"/>
    <d v="2023-05-14T00:00:00"/>
    <n v="0"/>
    <x v="0"/>
    <x v="2"/>
  </r>
  <r>
    <n v="28"/>
    <x v="2"/>
    <n v="3"/>
    <s v="Sun, Thu, Tue"/>
    <b v="0"/>
    <d v="1899-12-30T10:17:00"/>
    <d v="1899-12-30T11:47:00"/>
    <n v="90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4-01-11T00:00:00"/>
    <n v="6"/>
    <x v="1"/>
    <x v="31"/>
  </r>
  <r>
    <n v="17"/>
    <x v="0"/>
    <n v="3"/>
    <s v="Sat, Thu, Tue"/>
    <b v="1"/>
    <d v="1899-12-30T15:41:00"/>
    <d v="1899-12-30T16:58:00"/>
    <n v="77"/>
    <b v="1"/>
    <b v="1"/>
    <x v="0"/>
    <x v="4"/>
    <n v="50"/>
    <x v="1"/>
    <n v="37.5"/>
    <x v="2"/>
    <n v="0.1"/>
    <n v="33.75"/>
    <s v="All hours"/>
    <s v="San Francisco, CA"/>
    <n v="37.774900000000002"/>
    <n v="-122.4194"/>
    <d v="2025-03-28T00:00:00"/>
    <n v="8"/>
    <x v="1"/>
    <x v="42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4-10-31T00:00:00"/>
    <n v="3"/>
    <x v="0"/>
    <x v="53"/>
  </r>
  <r>
    <n v="32"/>
    <x v="0"/>
    <n v="3"/>
    <s v="Mon, Sun, Thu"/>
    <b v="1"/>
    <d v="1899-12-30T09:57:00"/>
    <d v="1899-12-30T12:09:00"/>
    <n v="132"/>
    <b v="1"/>
    <b v="1"/>
    <x v="1"/>
    <x v="2"/>
    <n v="50"/>
    <x v="0"/>
    <n v="50"/>
    <x v="1"/>
    <n v="0"/>
    <n v="50"/>
    <s v="All hours"/>
    <s v="Anaheim, CA"/>
    <n v="33.836599999999997"/>
    <n v="-117.9143"/>
    <d v="2023-06-26T00:00:00"/>
    <n v="4"/>
    <x v="0"/>
    <x v="56"/>
  </r>
  <r>
    <n v="19"/>
    <x v="0"/>
    <n v="5"/>
    <s v="Fri, Mon, Sat, Thu, Wed"/>
    <b v="1"/>
    <d v="1899-12-30T10:54:00"/>
    <d v="1899-12-30T13:17:00"/>
    <n v="143"/>
    <b v="1"/>
    <b v="1"/>
    <x v="0"/>
    <x v="4"/>
    <n v="50"/>
    <x v="0"/>
    <n v="50"/>
    <x v="0"/>
    <n v="0.05"/>
    <n v="47.5"/>
    <s v="All hours"/>
    <s v="Long Beach, CA"/>
    <n v="33.770099999999999"/>
    <n v="-118.19370000000001"/>
    <d v="2025-04-02T00:00:00"/>
    <n v="4"/>
    <x v="1"/>
    <x v="42"/>
  </r>
  <r>
    <n v="47"/>
    <x v="0"/>
    <n v="3"/>
    <s v="Mon, Sat, Wed"/>
    <b v="0"/>
    <d v="1899-12-30T19:31:00"/>
    <d v="1899-12-30T20:19:00"/>
    <n v="48"/>
    <b v="0"/>
    <b v="1"/>
    <x v="0"/>
    <x v="3"/>
    <n v="50"/>
    <x v="0"/>
    <n v="50"/>
    <x v="3"/>
    <n v="0.15"/>
    <n v="42.5"/>
    <s v="All hours"/>
    <s v="San Jose, CA"/>
    <n v="37.338200000000001"/>
    <n v="-121.88630000000001"/>
    <d v="2022-12-29T00:00:00"/>
    <n v="1"/>
    <x v="0"/>
    <x v="6"/>
  </r>
  <r>
    <n v="34"/>
    <x v="0"/>
    <n v="2"/>
    <s v="Mon, Thu"/>
    <b v="1"/>
    <d v="1899-12-30T14:03:00"/>
    <d v="1899-12-30T16:10:00"/>
    <n v="127"/>
    <b v="1"/>
    <b v="0"/>
    <x v="1"/>
    <x v="4"/>
    <n v="50"/>
    <x v="0"/>
    <n v="50"/>
    <x v="0"/>
    <n v="0.05"/>
    <n v="47.5"/>
    <s v="All hours"/>
    <s v="San Francisco, CA"/>
    <n v="37.774900000000002"/>
    <n v="-122.4194"/>
    <d v="2024-01-12T00:00:00"/>
    <n v="0"/>
    <x v="0"/>
    <x v="31"/>
  </r>
  <r>
    <n v="25"/>
    <x v="1"/>
    <n v="2"/>
    <s v="Fri, Mon"/>
    <b v="0"/>
    <d v="1899-12-30T16:54:00"/>
    <d v="1899-12-30T18:20:00"/>
    <n v="86"/>
    <b v="0"/>
    <b v="1"/>
    <x v="0"/>
    <x v="0"/>
    <n v="30"/>
    <x v="1"/>
    <n v="22.5"/>
    <x v="0"/>
    <n v="0.05"/>
    <n v="21.375"/>
    <s v="Weekdays only"/>
    <s v="Anaheim, CA"/>
    <n v="33.836599999999997"/>
    <n v="-117.9143"/>
    <d v="2024-01-28T00:00:00"/>
    <n v="2"/>
    <x v="0"/>
    <x v="48"/>
  </r>
  <r>
    <n v="48"/>
    <x v="0"/>
    <n v="3"/>
    <s v="Fri, Sat, Thu"/>
    <b v="1"/>
    <d v="1899-12-30T08:33:00"/>
    <d v="1899-12-30T10:13:00"/>
    <n v="100"/>
    <b v="1"/>
    <b v="1"/>
    <x v="1"/>
    <x v="0"/>
    <n v="50"/>
    <x v="0"/>
    <n v="50"/>
    <x v="3"/>
    <n v="0.15"/>
    <n v="42.5"/>
    <s v="All hours"/>
    <s v="Sacramento, CA"/>
    <n v="38.581600000000002"/>
    <n v="-121.4944"/>
    <d v="2023-10-01T00:00:00"/>
    <n v="7"/>
    <x v="0"/>
    <x v="3"/>
  </r>
  <r>
    <n v="29"/>
    <x v="0"/>
    <n v="2"/>
    <s v="Fri, Thu"/>
    <b v="0"/>
    <d v="1899-12-30T14:45:00"/>
    <d v="1899-12-30T16:43:00"/>
    <n v="118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3-01-26T00:00:00"/>
    <n v="5"/>
    <x v="0"/>
    <x v="11"/>
  </r>
  <r>
    <n v="33"/>
    <x v="0"/>
    <n v="2"/>
    <s v="Sat, Wed"/>
    <b v="1"/>
    <d v="1899-12-30T17:06:00"/>
    <d v="1899-12-30T19:09:00"/>
    <n v="123"/>
    <b v="1"/>
    <b v="1"/>
    <x v="0"/>
    <x v="2"/>
    <n v="50"/>
    <x v="0"/>
    <n v="50"/>
    <x v="2"/>
    <n v="0.1"/>
    <n v="45"/>
    <s v="All hours"/>
    <s v="Fresno, CA"/>
    <n v="36.7378"/>
    <n v="-119.7871"/>
    <d v="2024-06-17T00:00:00"/>
    <n v="5"/>
    <x v="0"/>
    <x v="55"/>
  </r>
  <r>
    <n v="45"/>
    <x v="0"/>
    <n v="3"/>
    <s v="Mon, Sat, Tue"/>
    <b v="0"/>
    <d v="1899-12-30T13:10:00"/>
    <d v="1899-12-30T15:15:00"/>
    <n v="125"/>
    <b v="1"/>
    <b v="0"/>
    <x v="1"/>
    <x v="0"/>
    <n v="50"/>
    <x v="0"/>
    <n v="50"/>
    <x v="1"/>
    <n v="0"/>
    <n v="50"/>
    <s v="All hours"/>
    <s v="Bakersfield, CA"/>
    <n v="35.3733"/>
    <n v="-119.0187"/>
    <d v="2023-07-01T00:00:00"/>
    <n v="0"/>
    <x v="1"/>
    <x v="56"/>
  </r>
  <r>
    <n v="27"/>
    <x v="0"/>
    <n v="3"/>
    <s v="Mon, Thu, Wed"/>
    <b v="1"/>
    <d v="1899-12-30T10:06:00"/>
    <d v="1899-12-30T11:38:00"/>
    <n v="92"/>
    <b v="1"/>
    <b v="0"/>
    <x v="0"/>
    <x v="1"/>
    <n v="50"/>
    <x v="0"/>
    <n v="50"/>
    <x v="3"/>
    <n v="0.15"/>
    <n v="42.5"/>
    <s v="All hours"/>
    <s v="Sacramento, CA"/>
    <n v="38.581600000000002"/>
    <n v="-121.4944"/>
    <d v="2023-10-29T00:00:00"/>
    <n v="0"/>
    <x v="0"/>
    <x v="50"/>
  </r>
  <r>
    <n v="16"/>
    <x v="0"/>
    <n v="3"/>
    <s v="Sat, Sun, Wed"/>
    <b v="1"/>
    <d v="1899-12-30T13:30:00"/>
    <d v="1899-12-30T14:20:00"/>
    <n v="50"/>
    <b v="1"/>
    <b v="0"/>
    <x v="1"/>
    <x v="4"/>
    <n v="50"/>
    <x v="1"/>
    <n v="37.5"/>
    <x v="1"/>
    <n v="0"/>
    <n v="37.5"/>
    <s v="All hours"/>
    <s v="San Diego, CA"/>
    <n v="32.715699999999998"/>
    <n v="-117.1611"/>
    <d v="2024-09-11T00:00:00"/>
    <n v="0"/>
    <x v="0"/>
    <x v="41"/>
  </r>
  <r>
    <n v="41"/>
    <x v="0"/>
    <n v="2"/>
    <s v="Mon, Thu"/>
    <b v="1"/>
    <d v="1899-12-30T20:54:00"/>
    <d v="1899-12-30T23:49:00"/>
    <n v="175"/>
    <b v="0"/>
    <b v="1"/>
    <x v="1"/>
    <x v="2"/>
    <n v="50"/>
    <x v="1"/>
    <n v="37.5"/>
    <x v="2"/>
    <n v="0.1"/>
    <n v="33.75"/>
    <s v="All hours"/>
    <s v="Sacramento, CA"/>
    <n v="38.581600000000002"/>
    <n v="-121.4944"/>
    <d v="2022-11-30T00:00:00"/>
    <n v="1"/>
    <x v="0"/>
    <x v="54"/>
  </r>
  <r>
    <n v="30"/>
    <x v="3"/>
    <n v="3"/>
    <s v="Sat, Thu, Wed"/>
    <b v="1"/>
    <d v="1899-12-30T14:55:00"/>
    <d v="1899-12-30T16:01:00"/>
    <n v="66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2-24T00:00:00"/>
    <n v="8"/>
    <x v="0"/>
    <x v="22"/>
  </r>
  <r>
    <n v="46"/>
    <x v="1"/>
    <n v="1"/>
    <s v="Thu"/>
    <b v="1"/>
    <d v="1899-12-30T14:44:00"/>
    <d v="1899-12-30T16:58:00"/>
    <n v="134"/>
    <b v="0"/>
    <b v="1"/>
    <x v="0"/>
    <x v="4"/>
    <n v="30"/>
    <x v="2"/>
    <n v="27"/>
    <x v="1"/>
    <n v="0"/>
    <n v="27"/>
    <s v="Weekdays only"/>
    <s v="Anaheim, CA"/>
    <n v="33.836599999999997"/>
    <n v="-117.9143"/>
    <d v="2023-07-22T00:00:00"/>
    <n v="6"/>
    <x v="1"/>
    <x v="34"/>
  </r>
  <r>
    <n v="26"/>
    <x v="1"/>
    <n v="4"/>
    <s v="Mon, Sat, Thu, Wed"/>
    <b v="1"/>
    <d v="1899-12-30T13:03:00"/>
    <d v="1899-12-30T15:39:00"/>
    <n v="156"/>
    <b v="0"/>
    <b v="1"/>
    <x v="1"/>
    <x v="2"/>
    <n v="30"/>
    <x v="1"/>
    <n v="22.5"/>
    <x v="0"/>
    <n v="0.05"/>
    <n v="21.375"/>
    <s v="Weekdays only"/>
    <s v="Sacramento, CA"/>
    <n v="38.581600000000002"/>
    <n v="-121.4944"/>
    <d v="2022-12-30T00:00:00"/>
    <n v="2"/>
    <x v="1"/>
    <x v="6"/>
  </r>
  <r>
    <n v="31"/>
    <x v="1"/>
    <n v="2"/>
    <s v="Fri, Tue"/>
    <b v="1"/>
    <d v="1899-12-30T14:51:00"/>
    <d v="1899-12-30T17:44:00"/>
    <n v="173"/>
    <b v="0"/>
    <b v="1"/>
    <x v="1"/>
    <x v="1"/>
    <n v="30"/>
    <x v="1"/>
    <n v="22.5"/>
    <x v="1"/>
    <n v="0"/>
    <n v="22.5"/>
    <s v="Weekdays only"/>
    <s v="San Diego, CA"/>
    <n v="32.715699999999998"/>
    <n v="-117.1611"/>
    <d v="2022-12-12T00:00:00"/>
    <n v="3"/>
    <x v="1"/>
    <x v="54"/>
  </r>
  <r>
    <n v="29"/>
    <x v="3"/>
    <n v="3"/>
    <s v="Mon, Sat, Sun"/>
    <b v="1"/>
    <d v="1899-12-30T09:13:00"/>
    <d v="1899-12-30T11:27:00"/>
    <n v="134"/>
    <b v="0"/>
    <b v="0"/>
    <x v="1"/>
    <x v="4"/>
    <n v="70"/>
    <x v="0"/>
    <n v="70"/>
    <x v="0"/>
    <n v="0.05"/>
    <n v="66.5"/>
    <s v="All hours + Priority access"/>
    <s v="Sacramento, CA"/>
    <n v="38.581600000000002"/>
    <n v="-121.4944"/>
    <d v="2023-05-30T00:00:00"/>
    <n v="0"/>
    <x v="0"/>
    <x v="8"/>
  </r>
  <r>
    <n v="47"/>
    <x v="0"/>
    <n v="2"/>
    <s v="Sun, Thu"/>
    <b v="0"/>
    <d v="1899-12-30T16:55:00"/>
    <d v="1899-12-30T19:13:00"/>
    <n v="138"/>
    <b v="1"/>
    <b v="0"/>
    <x v="1"/>
    <x v="4"/>
    <n v="50"/>
    <x v="0"/>
    <n v="50"/>
    <x v="1"/>
    <n v="0"/>
    <n v="50"/>
    <s v="All hours"/>
    <s v="Long Beach, CA"/>
    <n v="33.770099999999999"/>
    <n v="-118.19370000000001"/>
    <d v="2023-01-13T00:00:00"/>
    <n v="0"/>
    <x v="0"/>
    <x v="57"/>
  </r>
  <r>
    <n v="33"/>
    <x v="0"/>
    <n v="4"/>
    <s v="Fri, Sat, Thu, Wed"/>
    <b v="0"/>
    <d v="1899-12-30T13:30:00"/>
    <d v="1899-12-30T14:17:00"/>
    <n v="47"/>
    <b v="1"/>
    <b v="1"/>
    <x v="1"/>
    <x v="1"/>
    <n v="50"/>
    <x v="0"/>
    <n v="50"/>
    <x v="0"/>
    <n v="0.05"/>
    <n v="47.5"/>
    <s v="All hours"/>
    <s v="Anaheim, CA"/>
    <n v="33.836599999999997"/>
    <n v="-117.9143"/>
    <d v="2023-06-11T00:00:00"/>
    <n v="6"/>
    <x v="0"/>
    <x v="28"/>
  </r>
  <r>
    <n v="36"/>
    <x v="1"/>
    <n v="1"/>
    <s v="Tue"/>
    <b v="0"/>
    <d v="1899-12-30T20:55:00"/>
    <d v="1899-12-30T22:44:00"/>
    <n v="109"/>
    <b v="1"/>
    <b v="0"/>
    <x v="1"/>
    <x v="1"/>
    <n v="30"/>
    <x v="1"/>
    <n v="22.5"/>
    <x v="3"/>
    <n v="0.15"/>
    <n v="19.125"/>
    <s v="Weekdays only"/>
    <s v="San Jose, CA"/>
    <n v="37.338200000000001"/>
    <n v="-121.88630000000001"/>
    <d v="2023-06-29T00:00:00"/>
    <n v="0"/>
    <x v="0"/>
    <x v="56"/>
  </r>
  <r>
    <n v="34"/>
    <x v="3"/>
    <n v="1"/>
    <s v="Thu"/>
    <b v="1"/>
    <d v="1899-12-30T17:57:00"/>
    <d v="1899-12-30T19:46:00"/>
    <n v="109"/>
    <b v="0"/>
    <b v="1"/>
    <x v="1"/>
    <x v="1"/>
    <n v="70"/>
    <x v="1"/>
    <n v="52.5"/>
    <x v="1"/>
    <n v="0"/>
    <n v="52.5"/>
    <s v="All hours + Priority access"/>
    <s v="San Jose, CA"/>
    <n v="37.338200000000001"/>
    <n v="-121.88630000000001"/>
    <d v="2023-09-03T00:00:00"/>
    <n v="6"/>
    <x v="0"/>
    <x v="46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3-04-13T00:00:00"/>
    <n v="1"/>
    <x v="0"/>
    <x v="49"/>
  </r>
  <r>
    <n v="23"/>
    <x v="0"/>
    <n v="3"/>
    <s v="Sun, Tue, Wed"/>
    <b v="1"/>
    <d v="1899-12-30T19:02:00"/>
    <d v="1899-12-30T21:09:00"/>
    <n v="127"/>
    <b v="0"/>
    <b v="0"/>
    <x v="0"/>
    <x v="4"/>
    <n v="50"/>
    <x v="1"/>
    <n v="37.5"/>
    <x v="1"/>
    <n v="0"/>
    <n v="37.5"/>
    <s v="All hours"/>
    <s v="Anaheim, CA"/>
    <n v="33.836599999999997"/>
    <n v="-117.9143"/>
    <d v="2025-01-05T00:00:00"/>
    <n v="0"/>
    <x v="0"/>
    <x v="4"/>
  </r>
  <r>
    <n v="16"/>
    <x v="0"/>
    <n v="1"/>
    <s v="Wed"/>
    <b v="0"/>
    <d v="1899-12-30T08:41:00"/>
    <d v="1899-12-30T11:33:00"/>
    <n v="172"/>
    <b v="0"/>
    <b v="0"/>
    <x v="1"/>
    <x v="4"/>
    <n v="50"/>
    <x v="1"/>
    <n v="37.5"/>
    <x v="0"/>
    <n v="0.05"/>
    <n v="35.625"/>
    <s v="All hours"/>
    <s v="San Francisco, CA"/>
    <n v="37.774900000000002"/>
    <n v="-122.4194"/>
    <d v="2022-11-27T00:00:00"/>
    <n v="0"/>
    <x v="0"/>
    <x v="54"/>
  </r>
  <r>
    <n v="27"/>
    <x v="0"/>
    <n v="2"/>
    <s v="Thu, Wed"/>
    <b v="0"/>
    <d v="1899-12-30T20:44:00"/>
    <d v="1899-12-30T21:57:00"/>
    <n v="73"/>
    <b v="0"/>
    <b v="1"/>
    <x v="1"/>
    <x v="0"/>
    <n v="50"/>
    <x v="0"/>
    <n v="50"/>
    <x v="1"/>
    <n v="0"/>
    <n v="50"/>
    <s v="All hours"/>
    <s v="Sacramento, CA"/>
    <n v="38.581600000000002"/>
    <n v="-121.4944"/>
    <d v="2022-12-07T00:00:00"/>
    <n v="1"/>
    <x v="0"/>
    <x v="54"/>
  </r>
  <r>
    <n v="40"/>
    <x v="2"/>
    <n v="1"/>
    <s v="Sat"/>
    <b v="0"/>
    <d v="1899-12-30T10:28:00"/>
    <d v="1899-12-30T13:25:00"/>
    <n v="177"/>
    <b v="0"/>
    <b v="0"/>
    <x v="1"/>
    <x v="4"/>
    <n v="20"/>
    <x v="1"/>
    <n v="15"/>
    <x v="3"/>
    <n v="0.15"/>
    <n v="12.75"/>
    <s v="Off-peak only"/>
    <s v="San Francisco, CA"/>
    <n v="37.774900000000002"/>
    <n v="-122.4194"/>
    <d v="2025-05-22T00:00:00"/>
    <n v="0"/>
    <x v="0"/>
    <x v="9"/>
  </r>
  <r>
    <n v="41"/>
    <x v="0"/>
    <n v="1"/>
    <s v="Wed"/>
    <b v="1"/>
    <d v="1899-12-30T19:23:00"/>
    <d v="1899-12-30T20:27:00"/>
    <n v="64"/>
    <b v="0"/>
    <b v="0"/>
    <x v="0"/>
    <x v="1"/>
    <n v="50"/>
    <x v="0"/>
    <n v="50"/>
    <x v="1"/>
    <n v="0"/>
    <n v="50"/>
    <s v="All hours"/>
    <s v="Fresno, CA"/>
    <n v="36.7378"/>
    <n v="-119.7871"/>
    <d v="2023-01-25T00:00:00"/>
    <n v="0"/>
    <x v="0"/>
    <x v="11"/>
  </r>
  <r>
    <n v="37"/>
    <x v="2"/>
    <n v="1"/>
    <s v="Sat"/>
    <b v="1"/>
    <d v="1899-12-30T08:21:00"/>
    <d v="1899-12-30T08:55:00"/>
    <n v="34"/>
    <b v="1"/>
    <b v="0"/>
    <x v="0"/>
    <x v="4"/>
    <n v="20"/>
    <x v="1"/>
    <n v="15"/>
    <x v="1"/>
    <n v="0"/>
    <n v="15"/>
    <s v="Off-peak only"/>
    <s v="Fresno, CA"/>
    <n v="36.7378"/>
    <n v="-119.7871"/>
    <d v="2025-02-05T00:00:00"/>
    <n v="0"/>
    <x v="1"/>
    <x v="30"/>
  </r>
  <r>
    <n v="27"/>
    <x v="0"/>
    <n v="1"/>
    <s v="Sun"/>
    <b v="0"/>
    <d v="1899-12-30T18:02:00"/>
    <d v="1899-12-30T19:46:00"/>
    <n v="104"/>
    <b v="1"/>
    <b v="0"/>
    <x v="0"/>
    <x v="0"/>
    <n v="50"/>
    <x v="0"/>
    <n v="50"/>
    <x v="0"/>
    <n v="0.05"/>
    <n v="47.5"/>
    <s v="All hours"/>
    <s v="Bakersfield, CA"/>
    <n v="35.3733"/>
    <n v="-119.0187"/>
    <d v="2024-07-01T00:00:00"/>
    <n v="0"/>
    <x v="0"/>
    <x v="55"/>
  </r>
  <r>
    <n v="18"/>
    <x v="2"/>
    <n v="2"/>
    <s v="Mon, Sat"/>
    <b v="0"/>
    <d v="1899-12-30T19:45:00"/>
    <d v="1899-12-30T22:44:00"/>
    <n v="179"/>
    <b v="0"/>
    <b v="1"/>
    <x v="0"/>
    <x v="0"/>
    <n v="20"/>
    <x v="1"/>
    <n v="15"/>
    <x v="1"/>
    <n v="0"/>
    <n v="15"/>
    <s v="Off-peak only"/>
    <s v="Bakersfield, CA"/>
    <n v="35.3733"/>
    <n v="-119.0187"/>
    <d v="2023-04-23T00:00:00"/>
    <n v="8"/>
    <x v="1"/>
    <x v="58"/>
  </r>
  <r>
    <n v="41"/>
    <x v="1"/>
    <n v="2"/>
    <s v="Sun, Tue"/>
    <b v="0"/>
    <d v="1899-12-30T13:55:00"/>
    <d v="1899-12-30T16:22:00"/>
    <n v="147"/>
    <b v="0"/>
    <b v="0"/>
    <x v="1"/>
    <x v="0"/>
    <n v="30"/>
    <x v="0"/>
    <n v="30"/>
    <x v="3"/>
    <n v="0.15"/>
    <n v="25.5"/>
    <s v="Weekdays only"/>
    <s v="Long Beach, CA"/>
    <n v="33.770099999999999"/>
    <n v="-118.19370000000001"/>
    <d v="2025-01-02T00:00:00"/>
    <n v="0"/>
    <x v="0"/>
    <x v="4"/>
  </r>
  <r>
    <n v="16"/>
    <x v="0"/>
    <n v="3"/>
    <s v="Sat, Sun, Wed"/>
    <b v="1"/>
    <d v="1899-12-30T13:30:00"/>
    <d v="1899-12-30T14:20:00"/>
    <n v="50"/>
    <b v="1"/>
    <b v="0"/>
    <x v="1"/>
    <x v="4"/>
    <n v="50"/>
    <x v="1"/>
    <n v="37.5"/>
    <x v="1"/>
    <n v="0"/>
    <n v="37.5"/>
    <s v="All hours"/>
    <s v="San Diego, CA"/>
    <n v="32.715699999999998"/>
    <n v="-117.1611"/>
    <d v="2023-02-02T00:00:00"/>
    <n v="0"/>
    <x v="0"/>
    <x v="11"/>
  </r>
  <r>
    <n v="36"/>
    <x v="3"/>
    <n v="3"/>
    <s v="Sat, Sun, Wed"/>
    <b v="1"/>
    <d v="1899-12-30T19:37:00"/>
    <d v="1899-12-30T20:38:00"/>
    <n v="61"/>
    <b v="0"/>
    <b v="0"/>
    <x v="1"/>
    <x v="4"/>
    <n v="70"/>
    <x v="2"/>
    <n v="63"/>
    <x v="2"/>
    <n v="0.1"/>
    <n v="56.7"/>
    <s v="All hours + Priority access"/>
    <s v="Anaheim, CA"/>
    <n v="33.836599999999997"/>
    <n v="-117.9143"/>
    <d v="2023-01-18T00:00:00"/>
    <n v="0"/>
    <x v="0"/>
    <x v="11"/>
  </r>
  <r>
    <n v="47"/>
    <x v="0"/>
    <n v="2"/>
    <s v="Fri, Mon"/>
    <b v="1"/>
    <d v="1899-12-30T12:42:00"/>
    <d v="1899-12-30T13:37:00"/>
    <n v="55"/>
    <b v="1"/>
    <b v="1"/>
    <x v="1"/>
    <x v="0"/>
    <n v="50"/>
    <x v="0"/>
    <n v="50"/>
    <x v="0"/>
    <n v="0.05"/>
    <n v="47.5"/>
    <s v="All hours"/>
    <s v="San Diego, CA"/>
    <n v="32.715699999999998"/>
    <n v="-117.1611"/>
    <d v="2023-12-30T00:00:00"/>
    <n v="5"/>
    <x v="0"/>
    <x v="23"/>
  </r>
  <r>
    <n v="32"/>
    <x v="3"/>
    <n v="2"/>
    <s v="Sat, Sun"/>
    <b v="1"/>
    <d v="1899-12-30T19:07:00"/>
    <d v="1899-12-30T22:00:00"/>
    <n v="173"/>
    <b v="0"/>
    <b v="0"/>
    <x v="0"/>
    <x v="0"/>
    <n v="70"/>
    <x v="0"/>
    <n v="70"/>
    <x v="3"/>
    <n v="0.15"/>
    <n v="59.5"/>
    <s v="All hours + Priority access"/>
    <s v="San Diego, CA"/>
    <n v="32.715699999999998"/>
    <n v="-117.1611"/>
    <d v="2025-06-16T00:00:00"/>
    <n v="0"/>
    <x v="0"/>
    <x v="44"/>
  </r>
  <r>
    <n v="48"/>
    <x v="1"/>
    <n v="3"/>
    <s v="Fri, Sun, Wed"/>
    <b v="0"/>
    <d v="1899-12-30T11:07:00"/>
    <d v="1899-12-30T12:43:00"/>
    <n v="96"/>
    <b v="1"/>
    <b v="1"/>
    <x v="1"/>
    <x v="0"/>
    <n v="30"/>
    <x v="0"/>
    <n v="30"/>
    <x v="1"/>
    <n v="0"/>
    <n v="30"/>
    <s v="Weekdays only"/>
    <s v="San Diego, CA"/>
    <n v="32.715699999999998"/>
    <n v="-117.1611"/>
    <d v="2024-08-21T00:00:00"/>
    <n v="1"/>
    <x v="1"/>
    <x v="18"/>
  </r>
  <r>
    <n v="19"/>
    <x v="2"/>
    <n v="1"/>
    <s v="Sun"/>
    <b v="0"/>
    <d v="1899-12-30T20:26:00"/>
    <d v="1899-12-30T21:45:00"/>
    <n v="79"/>
    <b v="0"/>
    <b v="0"/>
    <x v="1"/>
    <x v="4"/>
    <n v="20"/>
    <x v="1"/>
    <n v="15"/>
    <x v="1"/>
    <n v="0"/>
    <n v="15"/>
    <s v="Off-peak only"/>
    <s v="Fresno, CA"/>
    <n v="36.7378"/>
    <n v="-119.7871"/>
    <d v="2023-09-04T00:00:00"/>
    <n v="0"/>
    <x v="1"/>
    <x v="46"/>
  </r>
  <r>
    <n v="33"/>
    <x v="1"/>
    <n v="1"/>
    <s v="Wed"/>
    <b v="1"/>
    <d v="1899-12-30T09:04:00"/>
    <d v="1899-12-30T09:47:00"/>
    <n v="43"/>
    <b v="1"/>
    <b v="0"/>
    <x v="0"/>
    <x v="0"/>
    <n v="30"/>
    <x v="0"/>
    <n v="30"/>
    <x v="1"/>
    <n v="0"/>
    <n v="30"/>
    <s v="Weekdays only"/>
    <s v="Long Beach, CA"/>
    <n v="33.770099999999999"/>
    <n v="-118.19370000000001"/>
    <d v="2022-08-13T00:00:00"/>
    <n v="0"/>
    <x v="0"/>
    <x v="10"/>
  </r>
  <r>
    <n v="24"/>
    <x v="3"/>
    <n v="2"/>
    <s v="Sun, Thu"/>
    <b v="1"/>
    <d v="1899-12-30T15:49:00"/>
    <d v="1899-12-30T18:31:00"/>
    <n v="162"/>
    <b v="1"/>
    <b v="1"/>
    <x v="1"/>
    <x v="4"/>
    <n v="70"/>
    <x v="1"/>
    <n v="52.5"/>
    <x v="3"/>
    <n v="0.15"/>
    <n v="44.625"/>
    <s v="All hours + Priority access"/>
    <s v="San Jose, CA"/>
    <n v="37.338200000000001"/>
    <n v="-121.88630000000001"/>
    <d v="2023-08-20T00:00:00"/>
    <n v="1"/>
    <x v="0"/>
    <x v="46"/>
  </r>
  <r>
    <n v="35"/>
    <x v="1"/>
    <n v="1"/>
    <s v="Fri"/>
    <b v="1"/>
    <d v="1899-12-30T13:12:00"/>
    <d v="1899-12-30T14:54:00"/>
    <n v="102"/>
    <b v="1"/>
    <b v="1"/>
    <x v="0"/>
    <x v="1"/>
    <n v="30"/>
    <x v="0"/>
    <n v="30"/>
    <x v="1"/>
    <n v="0"/>
    <n v="30"/>
    <s v="Weekdays only"/>
    <s v="Long Beach, CA"/>
    <n v="33.770099999999999"/>
    <n v="-118.19370000000001"/>
    <d v="2024-09-19T00:00:00"/>
    <n v="1"/>
    <x v="1"/>
    <x v="33"/>
  </r>
  <r>
    <n v="41"/>
    <x v="1"/>
    <n v="3"/>
    <s v="Fri, Sat, Sun"/>
    <b v="0"/>
    <d v="1899-12-30T09:56:00"/>
    <d v="1899-12-30T11:39:00"/>
    <n v="103"/>
    <b v="0"/>
    <b v="1"/>
    <x v="1"/>
    <x v="2"/>
    <n v="30"/>
    <x v="0"/>
    <n v="30"/>
    <x v="3"/>
    <n v="0.15"/>
    <n v="25.5"/>
    <s v="Weekdays only"/>
    <s v="Long Beach, CA"/>
    <n v="33.770099999999999"/>
    <n v="-118.19370000000001"/>
    <d v="2023-08-17T00:00:00"/>
    <n v="8"/>
    <x v="1"/>
    <x v="47"/>
  </r>
  <r>
    <n v="39"/>
    <x v="2"/>
    <n v="2"/>
    <s v="Sun, Tue"/>
    <b v="1"/>
    <d v="1899-12-30T19:02:00"/>
    <d v="1899-12-30T19:47:00"/>
    <n v="45"/>
    <b v="1"/>
    <b v="1"/>
    <x v="0"/>
    <x v="3"/>
    <n v="20"/>
    <x v="0"/>
    <n v="20"/>
    <x v="1"/>
    <n v="0"/>
    <n v="20"/>
    <s v="Off-peak only"/>
    <s v="Long Beach, CA"/>
    <n v="33.770099999999999"/>
    <n v="-118.19370000000001"/>
    <d v="2023-11-25T00:00:00"/>
    <n v="5"/>
    <x v="1"/>
    <x v="35"/>
  </r>
  <r>
    <n v="45"/>
    <x v="2"/>
    <n v="3"/>
    <s v="Fri, Mon, Wed"/>
    <b v="1"/>
    <d v="1899-12-30T15:39:00"/>
    <d v="1899-12-30T17:34:00"/>
    <n v="115"/>
    <b v="1"/>
    <b v="1"/>
    <x v="1"/>
    <x v="0"/>
    <n v="20"/>
    <x v="1"/>
    <n v="15"/>
    <x v="2"/>
    <n v="0.1"/>
    <n v="13.5"/>
    <s v="Off-peak only"/>
    <s v="Anaheim, CA"/>
    <n v="33.836599999999997"/>
    <n v="-117.9143"/>
    <d v="2023-03-15T00:00:00"/>
    <n v="3"/>
    <x v="0"/>
    <x v="36"/>
  </r>
  <r>
    <n v="31"/>
    <x v="0"/>
    <n v="2"/>
    <s v="Mon, Wed"/>
    <b v="1"/>
    <d v="1899-12-30T20:28:00"/>
    <d v="1899-12-30T21:52:00"/>
    <n v="84"/>
    <b v="1"/>
    <b v="1"/>
    <x v="0"/>
    <x v="2"/>
    <n v="50"/>
    <x v="1"/>
    <n v="37.5"/>
    <x v="3"/>
    <n v="0.15"/>
    <n v="31.875"/>
    <s v="All hours"/>
    <s v="Oakland, CA"/>
    <n v="37.804400000000001"/>
    <n v="-122.27119999999999"/>
    <d v="2025-03-01T00:00:00"/>
    <n v="3"/>
    <x v="0"/>
    <x v="45"/>
  </r>
  <r>
    <n v="45"/>
    <x v="2"/>
    <n v="3"/>
    <s v="Mon, Sat, Tue"/>
    <b v="1"/>
    <d v="1899-12-30T17:42:00"/>
    <d v="1899-12-30T20:36:00"/>
    <n v="174"/>
    <b v="0"/>
    <b v="0"/>
    <x v="1"/>
    <x v="0"/>
    <n v="20"/>
    <x v="0"/>
    <n v="20"/>
    <x v="1"/>
    <n v="0"/>
    <n v="20"/>
    <s v="Off-peak only"/>
    <s v="San Jose, CA"/>
    <n v="37.338200000000001"/>
    <n v="-121.88630000000001"/>
    <d v="2023-04-04T00:00:00"/>
    <n v="0"/>
    <x v="0"/>
    <x v="49"/>
  </r>
  <r>
    <n v="44"/>
    <x v="0"/>
    <n v="2"/>
    <s v="Mon, Sun"/>
    <b v="0"/>
    <d v="1899-12-30T14:58:00"/>
    <d v="1899-12-30T17:38:00"/>
    <n v="160"/>
    <b v="1"/>
    <b v="1"/>
    <x v="1"/>
    <x v="0"/>
    <n v="50"/>
    <x v="0"/>
    <n v="50"/>
    <x v="0"/>
    <n v="0.05"/>
    <n v="47.5"/>
    <s v="All hours"/>
    <s v="Los Angeles, CA"/>
    <n v="34.052199999999999"/>
    <n v="-118.2437"/>
    <d v="2023-11-24T00:00:00"/>
    <n v="7"/>
    <x v="1"/>
    <x v="35"/>
  </r>
  <r>
    <n v="42"/>
    <x v="1"/>
    <n v="4"/>
    <s v="Mon, Sat, Sun, Tue"/>
    <b v="1"/>
    <d v="1899-12-30T19:21:00"/>
    <d v="1899-12-30T21:49:00"/>
    <n v="148"/>
    <b v="0"/>
    <b v="1"/>
    <x v="1"/>
    <x v="4"/>
    <n v="30"/>
    <x v="1"/>
    <n v="22.5"/>
    <x v="0"/>
    <n v="0.05"/>
    <n v="21.375"/>
    <s v="Weekdays only"/>
    <s v="Los Angeles, CA"/>
    <n v="34.052199999999999"/>
    <n v="-118.2437"/>
    <d v="2022-09-01T00:00:00"/>
    <n v="7"/>
    <x v="1"/>
    <x v="1"/>
  </r>
  <r>
    <n v="20"/>
    <x v="0"/>
    <n v="3"/>
    <s v="Sun, Tue, Wed"/>
    <b v="0"/>
    <d v="1899-12-30T14:04:00"/>
    <d v="1899-12-30T16:42:00"/>
    <n v="158"/>
    <b v="0"/>
    <b v="0"/>
    <x v="0"/>
    <x v="4"/>
    <n v="50"/>
    <x v="0"/>
    <n v="50"/>
    <x v="0"/>
    <n v="0.05"/>
    <n v="47.5"/>
    <s v="All hours"/>
    <s v="San Francisco, CA"/>
    <n v="37.774900000000002"/>
    <n v="-122.4194"/>
    <d v="2024-06-23T00:00:00"/>
    <n v="0"/>
    <x v="1"/>
    <x v="55"/>
  </r>
  <r>
    <n v="40"/>
    <x v="1"/>
    <n v="3"/>
    <s v="Fri, Sun, Tue"/>
    <b v="0"/>
    <d v="1899-12-30T11:18:00"/>
    <d v="1899-12-30T14:09:00"/>
    <n v="171"/>
    <b v="0"/>
    <b v="1"/>
    <x v="1"/>
    <x v="0"/>
    <n v="30"/>
    <x v="1"/>
    <n v="22.5"/>
    <x v="1"/>
    <n v="0"/>
    <n v="22.5"/>
    <s v="Weekdays only"/>
    <s v="Anaheim, CA"/>
    <n v="33.836599999999997"/>
    <n v="-117.9143"/>
    <d v="2023-08-19T00:00:00"/>
    <n v="1"/>
    <x v="0"/>
    <x v="46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2-10-04T00:00:00"/>
    <n v="0"/>
    <x v="0"/>
    <x v="38"/>
  </r>
  <r>
    <n v="21"/>
    <x v="0"/>
    <n v="3"/>
    <s v="Mon, Sat, Wed"/>
    <b v="0"/>
    <d v="1899-12-30T13:49:00"/>
    <d v="1899-12-30T14:55:00"/>
    <n v="66"/>
    <b v="0"/>
    <b v="1"/>
    <x v="1"/>
    <x v="0"/>
    <n v="50"/>
    <x v="0"/>
    <n v="50"/>
    <x v="1"/>
    <n v="0"/>
    <n v="50"/>
    <s v="All hours"/>
    <s v="Anaheim, CA"/>
    <n v="33.836599999999997"/>
    <n v="-117.9143"/>
    <d v="2025-03-05T00:00:00"/>
    <n v="7"/>
    <x v="0"/>
    <x v="45"/>
  </r>
  <r>
    <n v="27"/>
    <x v="3"/>
    <n v="3"/>
    <s v="Fri, Thu, Wed"/>
    <b v="1"/>
    <d v="1899-12-30T10:12:00"/>
    <d v="1899-12-30T10:45:00"/>
    <n v="33"/>
    <b v="1"/>
    <b v="1"/>
    <x v="1"/>
    <x v="3"/>
    <n v="70"/>
    <x v="0"/>
    <n v="70"/>
    <x v="1"/>
    <n v="0"/>
    <n v="70"/>
    <s v="All hours + Priority access"/>
    <s v="San Francisco, CA"/>
    <n v="37.774900000000002"/>
    <n v="-122.4194"/>
    <d v="2022-09-28T00:00:00"/>
    <n v="5"/>
    <x v="0"/>
    <x v="25"/>
  </r>
  <r>
    <n v="20"/>
    <x v="0"/>
    <n v="3"/>
    <s v="Sat, Sun, Thu"/>
    <b v="0"/>
    <d v="1899-12-30T10:32:00"/>
    <d v="1899-12-30T11:09:00"/>
    <n v="37"/>
    <b v="0"/>
    <b v="0"/>
    <x v="1"/>
    <x v="4"/>
    <n v="50"/>
    <x v="0"/>
    <n v="50"/>
    <x v="3"/>
    <n v="0.15"/>
    <n v="42.5"/>
    <s v="All hours"/>
    <s v="San Francisco, CA"/>
    <n v="37.774900000000002"/>
    <n v="-122.4194"/>
    <d v="2023-06-21T00:00:00"/>
    <n v="0"/>
    <x v="1"/>
    <x v="28"/>
  </r>
  <r>
    <n v="41"/>
    <x v="2"/>
    <n v="2"/>
    <s v="Sun, Tue"/>
    <b v="1"/>
    <d v="1899-12-30T14:06:00"/>
    <d v="1899-12-30T16:06:00"/>
    <n v="120"/>
    <b v="1"/>
    <b v="1"/>
    <x v="1"/>
    <x v="2"/>
    <n v="20"/>
    <x v="0"/>
    <n v="20"/>
    <x v="3"/>
    <n v="0.15"/>
    <n v="17"/>
    <s v="Off-peak only"/>
    <s v="Anaheim, CA"/>
    <n v="33.836599999999997"/>
    <n v="-117.9143"/>
    <d v="2025-04-11T00:00:00"/>
    <n v="8"/>
    <x v="1"/>
    <x v="42"/>
  </r>
  <r>
    <n v="29"/>
    <x v="1"/>
    <n v="1"/>
    <s v="Wed"/>
    <b v="1"/>
    <d v="1899-12-30T19:10:00"/>
    <d v="1899-12-30T21:32:00"/>
    <n v="142"/>
    <b v="1"/>
    <b v="1"/>
    <x v="0"/>
    <x v="0"/>
    <n v="30"/>
    <x v="2"/>
    <n v="27"/>
    <x v="2"/>
    <n v="0.1"/>
    <n v="24.3"/>
    <s v="Weekdays only"/>
    <s v="Sacramento, CA"/>
    <n v="38.581600000000002"/>
    <n v="-121.4944"/>
    <d v="2024-08-06T00:00:00"/>
    <n v="3"/>
    <x v="1"/>
    <x v="15"/>
  </r>
  <r>
    <n v="27"/>
    <x v="0"/>
    <n v="2"/>
    <s v="Thu, Wed"/>
    <b v="0"/>
    <d v="1899-12-30T20:44:00"/>
    <d v="1899-12-30T21:57:00"/>
    <n v="73"/>
    <b v="0"/>
    <b v="1"/>
    <x v="1"/>
    <x v="0"/>
    <n v="50"/>
    <x v="0"/>
    <n v="50"/>
    <x v="1"/>
    <n v="0"/>
    <n v="50"/>
    <s v="All hours"/>
    <s v="Sacramento, CA"/>
    <n v="38.581600000000002"/>
    <n v="-121.4944"/>
    <d v="2023-05-30T00:00:00"/>
    <n v="6"/>
    <x v="0"/>
    <x v="8"/>
  </r>
  <r>
    <n v="39"/>
    <x v="0"/>
    <n v="2"/>
    <s v="Mon, Sat"/>
    <b v="0"/>
    <d v="1899-12-30T14:30:00"/>
    <d v="1899-12-30T16:14:00"/>
    <n v="104"/>
    <b v="0"/>
    <b v="1"/>
    <x v="0"/>
    <x v="4"/>
    <n v="50"/>
    <x v="2"/>
    <n v="45"/>
    <x v="2"/>
    <n v="0.1"/>
    <n v="40.5"/>
    <s v="All hours"/>
    <s v="Sacramento, CA"/>
    <n v="38.581600000000002"/>
    <n v="-121.4944"/>
    <d v="2025-04-12T00:00:00"/>
    <n v="3"/>
    <x v="0"/>
    <x v="42"/>
  </r>
  <r>
    <n v="46"/>
    <x v="0"/>
    <n v="3"/>
    <s v="Sun, Thu, Wed"/>
    <b v="1"/>
    <d v="1899-12-30T18:01:00"/>
    <d v="1899-12-30T18:36:00"/>
    <n v="35"/>
    <b v="1"/>
    <b v="0"/>
    <x v="0"/>
    <x v="1"/>
    <n v="50"/>
    <x v="0"/>
    <n v="50"/>
    <x v="1"/>
    <n v="0"/>
    <n v="50"/>
    <s v="All hours"/>
    <s v="Los Angeles, CA"/>
    <n v="34.052199999999999"/>
    <n v="-118.2437"/>
    <d v="2023-10-11T00:00:00"/>
    <n v="0"/>
    <x v="0"/>
    <x v="59"/>
  </r>
  <r>
    <n v="14"/>
    <x v="3"/>
    <n v="5"/>
    <s v="Sat, Sun, Thu, Tue, Wed"/>
    <b v="1"/>
    <d v="1899-12-30T08:25:00"/>
    <d v="1899-12-30T10:08:00"/>
    <n v="103"/>
    <b v="0"/>
    <b v="1"/>
    <x v="1"/>
    <x v="0"/>
    <n v="70"/>
    <x v="0"/>
    <n v="70"/>
    <x v="2"/>
    <n v="0.1"/>
    <n v="63"/>
    <s v="All hours + Priority access"/>
    <s v="Oakland, CA"/>
    <n v="37.804400000000001"/>
    <n v="-122.27119999999999"/>
    <d v="2024-06-19T00:00:00"/>
    <n v="3"/>
    <x v="1"/>
    <x v="55"/>
  </r>
  <r>
    <n v="27"/>
    <x v="1"/>
    <n v="2"/>
    <s v="Mon, Tue"/>
    <b v="1"/>
    <d v="1899-12-30T09:10:00"/>
    <d v="1899-12-30T11:36:00"/>
    <n v="146"/>
    <b v="0"/>
    <b v="1"/>
    <x v="1"/>
    <x v="4"/>
    <n v="30"/>
    <x v="1"/>
    <n v="22.5"/>
    <x v="1"/>
    <n v="0"/>
    <n v="22.5"/>
    <s v="Weekdays only"/>
    <s v="San Diego, CA"/>
    <n v="32.715699999999998"/>
    <n v="-117.1611"/>
    <d v="2023-08-31T00:00:00"/>
    <n v="5"/>
    <x v="0"/>
    <x v="46"/>
  </r>
  <r>
    <n v="15"/>
    <x v="0"/>
    <n v="1"/>
    <s v="Mon"/>
    <b v="0"/>
    <d v="1899-12-30T17:19:00"/>
    <d v="1899-12-30T20:19:00"/>
    <n v="180"/>
    <b v="0"/>
    <b v="0"/>
    <x v="1"/>
    <x v="0"/>
    <n v="50"/>
    <x v="1"/>
    <n v="37.5"/>
    <x v="0"/>
    <n v="0.05"/>
    <n v="35.625"/>
    <s v="All hours"/>
    <s v="Sacramento, CA"/>
    <n v="38.581600000000002"/>
    <n v="-121.4944"/>
    <d v="2025-05-05T00:00:00"/>
    <n v="0"/>
    <x v="0"/>
    <x v="24"/>
  </r>
  <r>
    <n v="29"/>
    <x v="0"/>
    <n v="2"/>
    <s v="Fri, Sun"/>
    <b v="0"/>
    <d v="1899-12-30T11:02:00"/>
    <d v="1899-12-30T12:22:00"/>
    <n v="80"/>
    <b v="1"/>
    <b v="1"/>
    <x v="1"/>
    <x v="0"/>
    <n v="50"/>
    <x v="0"/>
    <n v="50"/>
    <x v="1"/>
    <n v="0"/>
    <n v="50"/>
    <s v="All hours"/>
    <s v="Los Angeles, CA"/>
    <n v="34.052199999999999"/>
    <n v="-118.2437"/>
    <d v="2022-12-07T00:00:00"/>
    <n v="7"/>
    <x v="0"/>
    <x v="54"/>
  </r>
  <r>
    <n v="49"/>
    <x v="0"/>
    <n v="1"/>
    <s v="Tue"/>
    <b v="1"/>
    <d v="1899-12-30T20:23:00"/>
    <d v="1899-12-30T21:08:00"/>
    <n v="45"/>
    <b v="1"/>
    <b v="0"/>
    <x v="1"/>
    <x v="0"/>
    <n v="50"/>
    <x v="0"/>
    <n v="50"/>
    <x v="3"/>
    <n v="0.15"/>
    <n v="42.5"/>
    <s v="All hours"/>
    <s v="San Jose, CA"/>
    <n v="37.338200000000001"/>
    <n v="-121.88630000000001"/>
    <d v="2022-08-21T00:00:00"/>
    <n v="0"/>
    <x v="0"/>
    <x v="10"/>
  </r>
  <r>
    <n v="38"/>
    <x v="2"/>
    <n v="1"/>
    <s v="Tue"/>
    <b v="0"/>
    <d v="1899-12-30T14:12:00"/>
    <d v="1899-12-30T14:59:00"/>
    <n v="47"/>
    <b v="0"/>
    <b v="0"/>
    <x v="0"/>
    <x v="2"/>
    <n v="20"/>
    <x v="0"/>
    <n v="20"/>
    <x v="1"/>
    <n v="0"/>
    <n v="20"/>
    <s v="Off-peak only"/>
    <s v="Sacramento, CA"/>
    <n v="38.581600000000002"/>
    <n v="-121.4944"/>
    <d v="2022-08-26T00:00:00"/>
    <n v="0"/>
    <x v="1"/>
    <x v="10"/>
  </r>
  <r>
    <n v="28"/>
    <x v="1"/>
    <n v="5"/>
    <s v="Fri, Mon, Sat, Tue, Wed"/>
    <b v="0"/>
    <d v="1899-12-30T14:53:00"/>
    <d v="1899-12-30T16:53:00"/>
    <n v="120"/>
    <b v="1"/>
    <b v="0"/>
    <x v="0"/>
    <x v="4"/>
    <n v="30"/>
    <x v="0"/>
    <n v="30"/>
    <x v="1"/>
    <n v="0"/>
    <n v="30"/>
    <s v="Weekdays only"/>
    <s v="Anaheim, CA"/>
    <n v="33.836599999999997"/>
    <n v="-117.9143"/>
    <d v="2023-04-16T00:00:00"/>
    <n v="0"/>
    <x v="1"/>
    <x v="58"/>
  </r>
  <r>
    <n v="24"/>
    <x v="2"/>
    <n v="2"/>
    <s v="Mon, Tue"/>
    <b v="1"/>
    <d v="1899-12-30T11:39:00"/>
    <d v="1899-12-30T13:24:00"/>
    <n v="105"/>
    <b v="0"/>
    <b v="0"/>
    <x v="0"/>
    <x v="2"/>
    <n v="20"/>
    <x v="0"/>
    <n v="20"/>
    <x v="3"/>
    <n v="0.15"/>
    <n v="17"/>
    <s v="Off-peak only"/>
    <s v="Oakland, CA"/>
    <n v="37.804400000000001"/>
    <n v="-122.27119999999999"/>
    <d v="2025-02-04T00:00:00"/>
    <n v="0"/>
    <x v="1"/>
    <x v="30"/>
  </r>
  <r>
    <n v="40"/>
    <x v="0"/>
    <n v="5"/>
    <s v="Sat, Sun, Thu, Tue, Wed"/>
    <b v="0"/>
    <d v="1899-12-30T08:23:00"/>
    <d v="1899-12-30T09:19:00"/>
    <n v="56"/>
    <b v="0"/>
    <b v="0"/>
    <x v="0"/>
    <x v="0"/>
    <n v="50"/>
    <x v="1"/>
    <n v="37.5"/>
    <x v="1"/>
    <n v="0"/>
    <n v="37.5"/>
    <s v="All hours"/>
    <s v="Bakersfield, CA"/>
    <n v="35.3733"/>
    <n v="-119.0187"/>
    <d v="2023-04-07T00:00:00"/>
    <n v="0"/>
    <x v="0"/>
    <x v="49"/>
  </r>
  <r>
    <n v="32"/>
    <x v="2"/>
    <n v="3"/>
    <s v="Fri, Mon, Thu"/>
    <b v="0"/>
    <d v="1899-12-30T08:13:00"/>
    <d v="1899-12-30T09:06:00"/>
    <n v="53"/>
    <b v="1"/>
    <b v="0"/>
    <x v="0"/>
    <x v="0"/>
    <n v="20"/>
    <x v="1"/>
    <n v="15"/>
    <x v="1"/>
    <n v="0"/>
    <n v="15"/>
    <s v="Off-peak only"/>
    <s v="San Francisco, CA"/>
    <n v="37.774900000000002"/>
    <n v="-122.4194"/>
    <d v="2025-05-27T00:00:00"/>
    <n v="0"/>
    <x v="1"/>
    <x v="9"/>
  </r>
  <r>
    <n v="43"/>
    <x v="1"/>
    <n v="5"/>
    <s v="Mon, Sat, Sun, Tue, Wed"/>
    <b v="0"/>
    <d v="1899-12-30T12:50:00"/>
    <d v="1899-12-30T15:20:00"/>
    <n v="150"/>
    <b v="1"/>
    <b v="1"/>
    <x v="1"/>
    <x v="0"/>
    <n v="30"/>
    <x v="2"/>
    <n v="27"/>
    <x v="1"/>
    <n v="0"/>
    <n v="27"/>
    <s v="Weekdays only"/>
    <s v="San Francisco, CA"/>
    <n v="37.774900000000002"/>
    <n v="-122.4194"/>
    <d v="2025-05-30T00:00:00"/>
    <n v="6"/>
    <x v="0"/>
    <x v="9"/>
  </r>
  <r>
    <n v="30"/>
    <x v="2"/>
    <n v="3"/>
    <s v="Sat, Sun, Wed"/>
    <b v="1"/>
    <d v="1899-12-30T11:09:00"/>
    <d v="1899-12-30T12:25:00"/>
    <n v="76"/>
    <b v="1"/>
    <b v="0"/>
    <x v="1"/>
    <x v="4"/>
    <n v="20"/>
    <x v="0"/>
    <n v="20"/>
    <x v="1"/>
    <n v="0"/>
    <n v="20"/>
    <s v="Off-peak only"/>
    <s v="Sacramento, CA"/>
    <n v="38.581600000000002"/>
    <n v="-121.4944"/>
    <d v="2024-07-13T00:00:00"/>
    <n v="0"/>
    <x v="1"/>
    <x v="39"/>
  </r>
  <r>
    <n v="17"/>
    <x v="1"/>
    <n v="3"/>
    <s v="Fri, Sat, Sun"/>
    <b v="0"/>
    <d v="1899-12-30T18:02:00"/>
    <d v="1899-12-30T19:49:00"/>
    <n v="107"/>
    <b v="0"/>
    <b v="0"/>
    <x v="1"/>
    <x v="4"/>
    <n v="30"/>
    <x v="0"/>
    <n v="30"/>
    <x v="3"/>
    <n v="0.15"/>
    <n v="25.5"/>
    <s v="Weekdays only"/>
    <s v="Anaheim, CA"/>
    <n v="33.836599999999997"/>
    <n v="-117.9143"/>
    <d v="2024-01-19T00:00:00"/>
    <n v="0"/>
    <x v="1"/>
    <x v="31"/>
  </r>
  <r>
    <n v="27"/>
    <x v="0"/>
    <n v="2"/>
    <s v="Thu, Wed"/>
    <b v="0"/>
    <d v="1899-12-30T20:44:00"/>
    <d v="1899-12-30T21:57:00"/>
    <n v="73"/>
    <b v="0"/>
    <b v="1"/>
    <x v="1"/>
    <x v="0"/>
    <n v="50"/>
    <x v="0"/>
    <n v="50"/>
    <x v="1"/>
    <n v="0"/>
    <n v="50"/>
    <s v="All hours"/>
    <s v="Sacramento, CA"/>
    <n v="38.581600000000002"/>
    <n v="-121.4944"/>
    <d v="2023-03-25T00:00:00"/>
    <n v="5"/>
    <x v="1"/>
    <x v="36"/>
  </r>
  <r>
    <n v="48"/>
    <x v="1"/>
    <n v="3"/>
    <s v="Mon, Tue, Wed"/>
    <b v="0"/>
    <d v="1899-12-30T15:32:00"/>
    <d v="1899-12-30T16:25:00"/>
    <n v="53"/>
    <b v="1"/>
    <b v="1"/>
    <x v="1"/>
    <x v="0"/>
    <n v="30"/>
    <x v="0"/>
    <n v="30"/>
    <x v="2"/>
    <n v="0.1"/>
    <n v="27"/>
    <s v="Weekdays only"/>
    <s v="Fresno, CA"/>
    <n v="36.7378"/>
    <n v="-119.7871"/>
    <d v="2023-06-26T00:00:00"/>
    <n v="1"/>
    <x v="0"/>
    <x v="56"/>
  </r>
  <r>
    <n v="24"/>
    <x v="1"/>
    <n v="2"/>
    <s v="Sat, Tue"/>
    <b v="1"/>
    <d v="1899-12-30T11:46:00"/>
    <d v="1899-12-30T14:43:00"/>
    <n v="177"/>
    <b v="0"/>
    <b v="0"/>
    <x v="1"/>
    <x v="4"/>
    <n v="30"/>
    <x v="1"/>
    <n v="22.5"/>
    <x v="2"/>
    <n v="0.1"/>
    <n v="20.25"/>
    <s v="Weekdays only"/>
    <s v="Los Angeles, CA"/>
    <n v="34.052199999999999"/>
    <n v="-118.2437"/>
    <d v="2024-03-05T00:00:00"/>
    <n v="0"/>
    <x v="1"/>
    <x v="29"/>
  </r>
  <r>
    <n v="45"/>
    <x v="1"/>
    <n v="2"/>
    <s v="Mon, Wed"/>
    <b v="1"/>
    <d v="1899-12-30T14:20:00"/>
    <d v="1899-12-30T17:20:00"/>
    <n v="180"/>
    <b v="1"/>
    <b v="1"/>
    <x v="1"/>
    <x v="4"/>
    <n v="30"/>
    <x v="1"/>
    <n v="22.5"/>
    <x v="2"/>
    <n v="0.1"/>
    <n v="20.25"/>
    <s v="Weekdays only"/>
    <s v="Anaheim, CA"/>
    <n v="33.836599999999997"/>
    <n v="-117.9143"/>
    <d v="2024-09-04T00:00:00"/>
    <n v="8"/>
    <x v="1"/>
    <x v="41"/>
  </r>
  <r>
    <n v="42"/>
    <x v="0"/>
    <n v="1"/>
    <s v="Thu"/>
    <b v="1"/>
    <d v="1899-12-30T12:52:00"/>
    <d v="1899-12-30T14:18:00"/>
    <n v="86"/>
    <b v="0"/>
    <b v="0"/>
    <x v="0"/>
    <x v="4"/>
    <n v="50"/>
    <x v="0"/>
    <n v="50"/>
    <x v="2"/>
    <n v="0.1"/>
    <n v="45"/>
    <s v="All hours"/>
    <s v="Long Beach, CA"/>
    <n v="33.770099999999999"/>
    <n v="-118.19370000000001"/>
    <d v="2022-07-27T00:00:00"/>
    <n v="0"/>
    <x v="0"/>
    <x v="43"/>
  </r>
  <r>
    <n v="23"/>
    <x v="2"/>
    <n v="5"/>
    <s v="Fri, Mon, Sat, Thu, Wed"/>
    <b v="0"/>
    <d v="1899-12-30T13:57:00"/>
    <d v="1899-12-30T16:26:00"/>
    <n v="149"/>
    <b v="1"/>
    <b v="0"/>
    <x v="0"/>
    <x v="0"/>
    <n v="20"/>
    <x v="0"/>
    <n v="20"/>
    <x v="1"/>
    <n v="0"/>
    <n v="20"/>
    <s v="Off-peak only"/>
    <s v="San Jose, CA"/>
    <n v="37.338200000000001"/>
    <n v="-121.88630000000001"/>
    <d v="2024-03-26T00:00:00"/>
    <n v="0"/>
    <x v="0"/>
    <x v="17"/>
  </r>
  <r>
    <n v="27"/>
    <x v="1"/>
    <n v="1"/>
    <s v="Mon"/>
    <b v="0"/>
    <d v="1899-12-30T12:30:00"/>
    <d v="1899-12-30T13:08:00"/>
    <n v="38"/>
    <b v="1"/>
    <b v="0"/>
    <x v="0"/>
    <x v="0"/>
    <n v="30"/>
    <x v="2"/>
    <n v="27"/>
    <x v="1"/>
    <n v="0"/>
    <n v="27"/>
    <s v="Weekdays only"/>
    <s v="San Diego, CA"/>
    <n v="32.715699999999998"/>
    <n v="-117.1611"/>
    <d v="2024-02-28T00:00:00"/>
    <n v="0"/>
    <x v="0"/>
    <x v="21"/>
  </r>
  <r>
    <n v="24"/>
    <x v="1"/>
    <n v="3"/>
    <s v="Mon, Sat, Sun"/>
    <b v="1"/>
    <d v="1899-12-30T20:53:00"/>
    <d v="1899-12-30T21:33:00"/>
    <n v="40"/>
    <b v="0"/>
    <b v="0"/>
    <x v="1"/>
    <x v="4"/>
    <n v="30"/>
    <x v="0"/>
    <n v="30"/>
    <x v="1"/>
    <n v="0"/>
    <n v="30"/>
    <s v="Weekdays only"/>
    <s v="Sacramento, CA"/>
    <n v="38.581600000000002"/>
    <n v="-121.4944"/>
    <d v="2024-12-30T00:00:00"/>
    <n v="0"/>
    <x v="1"/>
    <x v="4"/>
  </r>
  <r>
    <n v="44"/>
    <x v="0"/>
    <n v="5"/>
    <s v="Fri, Sat, Sun, Thu, Tue"/>
    <b v="1"/>
    <d v="1899-12-30T15:27:00"/>
    <d v="1899-12-30T17:39:00"/>
    <n v="132"/>
    <b v="0"/>
    <b v="1"/>
    <x v="1"/>
    <x v="2"/>
    <n v="50"/>
    <x v="0"/>
    <n v="50"/>
    <x v="1"/>
    <n v="0"/>
    <n v="50"/>
    <s v="All hours"/>
    <s v="Los Angeles, CA"/>
    <n v="34.052199999999999"/>
    <n v="-118.2437"/>
    <d v="2023-02-27T00:00:00"/>
    <n v="4"/>
    <x v="0"/>
    <x v="22"/>
  </r>
  <r>
    <n v="23"/>
    <x v="3"/>
    <n v="1"/>
    <s v="Sun"/>
    <b v="1"/>
    <d v="1899-12-30T20:41:00"/>
    <d v="1899-12-30T23:00:00"/>
    <n v="139"/>
    <b v="0"/>
    <b v="1"/>
    <x v="0"/>
    <x v="2"/>
    <n v="70"/>
    <x v="0"/>
    <n v="70"/>
    <x v="1"/>
    <n v="0"/>
    <n v="70"/>
    <s v="All hours + Priority access"/>
    <s v="Long Beach, CA"/>
    <n v="33.770099999999999"/>
    <n v="-118.19370000000001"/>
    <d v="2023-06-15T00:00:00"/>
    <n v="3"/>
    <x v="1"/>
    <x v="28"/>
  </r>
  <r>
    <n v="41"/>
    <x v="2"/>
    <n v="2"/>
    <s v="Sun, Tue"/>
    <b v="1"/>
    <d v="1899-12-30T14:06:00"/>
    <d v="1899-12-30T16:06:00"/>
    <n v="120"/>
    <b v="1"/>
    <b v="1"/>
    <x v="1"/>
    <x v="2"/>
    <n v="20"/>
    <x v="0"/>
    <n v="20"/>
    <x v="3"/>
    <n v="0.15"/>
    <n v="17"/>
    <s v="Off-peak only"/>
    <s v="Anaheim, CA"/>
    <n v="33.836599999999997"/>
    <n v="-117.9143"/>
    <d v="2024-10-30T00:00:00"/>
    <n v="4"/>
    <x v="1"/>
    <x v="53"/>
  </r>
  <r>
    <n v="37"/>
    <x v="1"/>
    <n v="1"/>
    <s v="Sat"/>
    <b v="0"/>
    <d v="1899-12-30T09:11:00"/>
    <d v="1899-12-30T11:33:00"/>
    <n v="142"/>
    <b v="1"/>
    <b v="1"/>
    <x v="0"/>
    <x v="1"/>
    <n v="30"/>
    <x v="0"/>
    <n v="30"/>
    <x v="3"/>
    <n v="0.15"/>
    <n v="25.5"/>
    <s v="Weekdays only"/>
    <s v="San Jose, CA"/>
    <n v="37.338200000000001"/>
    <n v="-121.88630000000001"/>
    <d v="2025-03-27T00:00:00"/>
    <n v="8"/>
    <x v="1"/>
    <x v="42"/>
  </r>
  <r>
    <n v="33"/>
    <x v="1"/>
    <n v="3"/>
    <s v="Fri, Sat, Sun"/>
    <b v="0"/>
    <d v="1899-12-30T15:13:00"/>
    <d v="1899-12-30T16:46:00"/>
    <n v="93"/>
    <b v="0"/>
    <b v="1"/>
    <x v="1"/>
    <x v="0"/>
    <n v="30"/>
    <x v="0"/>
    <n v="30"/>
    <x v="3"/>
    <n v="0.15"/>
    <n v="25.5"/>
    <s v="Weekdays only"/>
    <s v="Los Angeles, CA"/>
    <n v="34.052199999999999"/>
    <n v="-118.2437"/>
    <d v="2023-06-29T00:00:00"/>
    <n v="8"/>
    <x v="0"/>
    <x v="56"/>
  </r>
  <r>
    <n v="33"/>
    <x v="0"/>
    <n v="4"/>
    <s v="Fri, Sat, Sun, Tue"/>
    <b v="1"/>
    <d v="1899-12-30T09:15:00"/>
    <d v="1899-12-30T10:04:00"/>
    <n v="49"/>
    <b v="0"/>
    <b v="0"/>
    <x v="1"/>
    <x v="4"/>
    <n v="50"/>
    <x v="1"/>
    <n v="37.5"/>
    <x v="1"/>
    <n v="0"/>
    <n v="37.5"/>
    <s v="All hours"/>
    <s v="San Francisco, CA"/>
    <n v="37.774900000000002"/>
    <n v="-122.4194"/>
    <d v="2023-07-26T00:00:00"/>
    <n v="0"/>
    <x v="0"/>
    <x v="34"/>
  </r>
  <r>
    <n v="28"/>
    <x v="1"/>
    <n v="3"/>
    <s v="Fri, Sat, Sun"/>
    <b v="0"/>
    <d v="1899-12-30T13:28:00"/>
    <d v="1899-12-30T15:44:00"/>
    <n v="136"/>
    <b v="1"/>
    <b v="1"/>
    <x v="1"/>
    <x v="4"/>
    <n v="30"/>
    <x v="0"/>
    <n v="30"/>
    <x v="1"/>
    <n v="0"/>
    <n v="30"/>
    <s v="Weekdays only"/>
    <s v="Oakland, CA"/>
    <n v="37.804400000000001"/>
    <n v="-122.27119999999999"/>
    <d v="2024-09-04T00:00:00"/>
    <n v="5"/>
    <x v="1"/>
    <x v="41"/>
  </r>
  <r>
    <n v="29"/>
    <x v="2"/>
    <n v="4"/>
    <s v="Fri, Mon, Sun, Wed"/>
    <b v="0"/>
    <d v="1899-12-30T10:43:00"/>
    <d v="1899-12-30T11:52:00"/>
    <n v="69"/>
    <b v="1"/>
    <b v="1"/>
    <x v="0"/>
    <x v="1"/>
    <n v="20"/>
    <x v="1"/>
    <n v="15"/>
    <x v="1"/>
    <n v="0"/>
    <n v="15"/>
    <s v="Off-peak only"/>
    <s v="Anaheim, CA"/>
    <n v="33.836599999999997"/>
    <n v="-117.9143"/>
    <d v="2022-09-14T00:00:00"/>
    <n v="5"/>
    <x v="1"/>
    <x v="1"/>
  </r>
  <r>
    <n v="41"/>
    <x v="0"/>
    <n v="1"/>
    <s v="Sat"/>
    <b v="1"/>
    <d v="1899-12-30T08:29:00"/>
    <d v="1899-12-30T10:32:00"/>
    <n v="123"/>
    <b v="1"/>
    <b v="1"/>
    <x v="0"/>
    <x v="1"/>
    <n v="50"/>
    <x v="2"/>
    <n v="45"/>
    <x v="1"/>
    <n v="0"/>
    <n v="45"/>
    <s v="All hours"/>
    <s v="San Jose, CA"/>
    <n v="37.338200000000001"/>
    <n v="-121.88630000000001"/>
    <d v="2025-01-13T00:00:00"/>
    <n v="5"/>
    <x v="0"/>
    <x v="4"/>
  </r>
  <r>
    <n v="38"/>
    <x v="0"/>
    <n v="3"/>
    <s v="Fri, Thu, Wed"/>
    <b v="1"/>
    <d v="1899-12-30T08:17:00"/>
    <d v="1899-12-30T10:38:00"/>
    <n v="141"/>
    <b v="0"/>
    <b v="0"/>
    <x v="1"/>
    <x v="1"/>
    <n v="50"/>
    <x v="1"/>
    <n v="37.5"/>
    <x v="1"/>
    <n v="0"/>
    <n v="37.5"/>
    <s v="All hours"/>
    <s v="Anaheim, CA"/>
    <n v="33.836599999999997"/>
    <n v="-117.9143"/>
    <d v="2024-03-19T00:00:00"/>
    <n v="0"/>
    <x v="0"/>
    <x v="17"/>
  </r>
  <r>
    <n v="22"/>
    <x v="1"/>
    <n v="2"/>
    <s v="Sat, Thu"/>
    <b v="0"/>
    <d v="1899-12-30T19:49:00"/>
    <d v="1899-12-30T20:33:00"/>
    <n v="44"/>
    <b v="1"/>
    <b v="0"/>
    <x v="1"/>
    <x v="4"/>
    <n v="30"/>
    <x v="0"/>
    <n v="30"/>
    <x v="1"/>
    <n v="0"/>
    <n v="30"/>
    <s v="Weekdays only"/>
    <s v="Anaheim, CA"/>
    <n v="33.836599999999997"/>
    <n v="-117.9143"/>
    <d v="2022-09-22T00:00:00"/>
    <n v="0"/>
    <x v="1"/>
    <x v="25"/>
  </r>
  <r>
    <n v="35"/>
    <x v="2"/>
    <n v="2"/>
    <s v="Mon, Tue"/>
    <b v="0"/>
    <d v="1899-12-30T17:06:00"/>
    <d v="1899-12-30T18:39:00"/>
    <n v="93"/>
    <b v="1"/>
    <b v="1"/>
    <x v="0"/>
    <x v="0"/>
    <n v="20"/>
    <x v="0"/>
    <n v="20"/>
    <x v="1"/>
    <n v="0"/>
    <n v="20"/>
    <s v="Off-peak only"/>
    <s v="Anaheim, CA"/>
    <n v="33.836599999999997"/>
    <n v="-117.9143"/>
    <d v="2024-04-01T00:00:00"/>
    <n v="4"/>
    <x v="1"/>
    <x v="17"/>
  </r>
  <r>
    <n v="31"/>
    <x v="0"/>
    <n v="4"/>
    <s v="Fri, Mon, Sat, Thu"/>
    <b v="0"/>
    <d v="1899-12-30T11:54:00"/>
    <d v="1899-12-30T13:21:00"/>
    <n v="87"/>
    <b v="0"/>
    <b v="0"/>
    <x v="1"/>
    <x v="0"/>
    <n v="50"/>
    <x v="1"/>
    <n v="37.5"/>
    <x v="1"/>
    <n v="0"/>
    <n v="37.5"/>
    <s v="All hours"/>
    <s v="Sacramento, CA"/>
    <n v="38.581600000000002"/>
    <n v="-121.4944"/>
    <d v="2023-08-12T00:00:00"/>
    <n v="0"/>
    <x v="0"/>
    <x v="47"/>
  </r>
  <r>
    <n v="30"/>
    <x v="3"/>
    <n v="3"/>
    <s v="Sat, Thu, Wed"/>
    <b v="1"/>
    <d v="1899-12-30T14:55:00"/>
    <d v="1899-12-30T16:01:00"/>
    <n v="66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4-04-25T00:00:00"/>
    <n v="5"/>
    <x v="0"/>
    <x v="40"/>
  </r>
  <r>
    <n v="24"/>
    <x v="0"/>
    <n v="3"/>
    <s v="Sat, Sun, Tue"/>
    <b v="0"/>
    <d v="1899-12-30T10:46:00"/>
    <d v="1899-12-30T12:59:00"/>
    <n v="133"/>
    <b v="0"/>
    <b v="1"/>
    <x v="1"/>
    <x v="0"/>
    <n v="50"/>
    <x v="0"/>
    <n v="50"/>
    <x v="2"/>
    <n v="0.1"/>
    <n v="45"/>
    <s v="All hours"/>
    <s v="Long Beach, CA"/>
    <n v="33.770099999999999"/>
    <n v="-118.19370000000001"/>
    <d v="2024-09-03T00:00:00"/>
    <n v="8"/>
    <x v="0"/>
    <x v="41"/>
  </r>
  <r>
    <n v="23"/>
    <x v="3"/>
    <n v="5"/>
    <s v="Mon, Sun, Thu, Tue, Wed"/>
    <b v="1"/>
    <d v="1899-12-30T20:57:00"/>
    <d v="1899-12-30T23:35:00"/>
    <n v="158"/>
    <b v="0"/>
    <b v="0"/>
    <x v="1"/>
    <x v="1"/>
    <n v="70"/>
    <x v="0"/>
    <n v="70"/>
    <x v="1"/>
    <n v="0"/>
    <n v="70"/>
    <s v="All hours + Priority access"/>
    <s v="Anaheim, CA"/>
    <n v="33.836599999999997"/>
    <n v="-117.9143"/>
    <d v="2022-08-10T00:00:00"/>
    <n v="0"/>
    <x v="0"/>
    <x v="43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4-04-13T00:00:00"/>
    <n v="1"/>
    <x v="0"/>
    <x v="52"/>
  </r>
  <r>
    <n v="28"/>
    <x v="3"/>
    <n v="4"/>
    <s v="Fri, Sat, Thu, Wed"/>
    <b v="0"/>
    <d v="1899-12-30T09:35:00"/>
    <d v="1899-12-30T11:56:00"/>
    <n v="141"/>
    <b v="1"/>
    <b v="1"/>
    <x v="1"/>
    <x v="0"/>
    <n v="70"/>
    <x v="0"/>
    <n v="70"/>
    <x v="1"/>
    <n v="0"/>
    <n v="70"/>
    <s v="All hours + Priority access"/>
    <s v="Fresno, CA"/>
    <n v="36.7378"/>
    <n v="-119.7871"/>
    <d v="2022-11-13T00:00:00"/>
    <n v="5"/>
    <x v="0"/>
    <x v="37"/>
  </r>
  <r>
    <n v="43"/>
    <x v="1"/>
    <n v="5"/>
    <s v="Mon, Sat, Sun, Thu, Wed"/>
    <b v="1"/>
    <d v="1899-12-30T13:20:00"/>
    <d v="1899-12-30T14:41:00"/>
    <n v="81"/>
    <b v="1"/>
    <b v="0"/>
    <x v="1"/>
    <x v="1"/>
    <n v="30"/>
    <x v="1"/>
    <n v="22.5"/>
    <x v="1"/>
    <n v="0"/>
    <n v="22.5"/>
    <s v="Weekdays only"/>
    <s v="Fresno, CA"/>
    <n v="36.7378"/>
    <n v="-119.7871"/>
    <d v="2024-10-21T00:00:00"/>
    <n v="0"/>
    <x v="1"/>
    <x v="53"/>
  </r>
  <r>
    <n v="45"/>
    <x v="1"/>
    <n v="2"/>
    <s v="Mon, Wed"/>
    <b v="1"/>
    <d v="1899-12-30T08:12:00"/>
    <d v="1899-12-30T10:09:00"/>
    <n v="117"/>
    <b v="1"/>
    <b v="0"/>
    <x v="0"/>
    <x v="2"/>
    <n v="30"/>
    <x v="0"/>
    <n v="30"/>
    <x v="3"/>
    <n v="0.15"/>
    <n v="25.5"/>
    <s v="Weekdays only"/>
    <s v="Long Beach, CA"/>
    <n v="33.770099999999999"/>
    <n v="-118.19370000000001"/>
    <d v="2024-11-08T00:00:00"/>
    <n v="0"/>
    <x v="1"/>
    <x v="12"/>
  </r>
  <r>
    <n v="39"/>
    <x v="1"/>
    <n v="4"/>
    <s v="Mon, Sun, Tue, Wed"/>
    <b v="1"/>
    <d v="1899-12-30T19:22:00"/>
    <d v="1899-12-30T21:18:00"/>
    <n v="116"/>
    <b v="1"/>
    <b v="0"/>
    <x v="0"/>
    <x v="2"/>
    <n v="30"/>
    <x v="0"/>
    <n v="30"/>
    <x v="1"/>
    <n v="0"/>
    <n v="30"/>
    <s v="Weekdays only"/>
    <s v="San Francisco, CA"/>
    <n v="37.774900000000002"/>
    <n v="-122.4194"/>
    <d v="2025-05-20T00:00:00"/>
    <n v="0"/>
    <x v="1"/>
    <x v="9"/>
  </r>
  <r>
    <n v="23"/>
    <x v="1"/>
    <n v="4"/>
    <s v="Fri, Sun, Thu, Wed"/>
    <b v="0"/>
    <d v="1899-12-30T10:17:00"/>
    <d v="1899-12-30T12:21:00"/>
    <n v="124"/>
    <b v="1"/>
    <b v="0"/>
    <x v="1"/>
    <x v="4"/>
    <n v="30"/>
    <x v="0"/>
    <n v="30"/>
    <x v="1"/>
    <n v="0"/>
    <n v="30"/>
    <s v="Weekdays only"/>
    <s v="Anaheim, CA"/>
    <n v="33.836599999999997"/>
    <n v="-117.9143"/>
    <d v="2023-07-29T00:00:00"/>
    <n v="0"/>
    <x v="1"/>
    <x v="34"/>
  </r>
  <r>
    <n v="48"/>
    <x v="2"/>
    <n v="1"/>
    <s v="Wed"/>
    <b v="1"/>
    <d v="1899-12-30T14:44:00"/>
    <d v="1899-12-30T17:01:00"/>
    <n v="137"/>
    <b v="0"/>
    <b v="1"/>
    <x v="0"/>
    <x v="0"/>
    <n v="20"/>
    <x v="2"/>
    <n v="18"/>
    <x v="0"/>
    <n v="0.05"/>
    <n v="17.100000000000001"/>
    <s v="Off-peak only"/>
    <s v="Long Beach, CA"/>
    <n v="33.770099999999999"/>
    <n v="-118.19370000000001"/>
    <d v="2024-05-26T00:00:00"/>
    <n v="2"/>
    <x v="1"/>
    <x v="0"/>
  </r>
  <r>
    <n v="30"/>
    <x v="2"/>
    <n v="1"/>
    <s v="Sat"/>
    <b v="0"/>
    <d v="1899-12-30T14:08:00"/>
    <d v="1899-12-30T17:08:00"/>
    <n v="180"/>
    <b v="0"/>
    <b v="1"/>
    <x v="0"/>
    <x v="3"/>
    <n v="20"/>
    <x v="0"/>
    <n v="20"/>
    <x v="2"/>
    <n v="0.1"/>
    <n v="18"/>
    <s v="Off-peak only"/>
    <s v="Long Beach, CA"/>
    <n v="33.770099999999999"/>
    <n v="-118.19370000000001"/>
    <d v="2022-12-15T00:00:00"/>
    <n v="7"/>
    <x v="1"/>
    <x v="6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4-02-05T00:00:00"/>
    <n v="4"/>
    <x v="0"/>
    <x v="48"/>
  </r>
  <r>
    <n v="33"/>
    <x v="1"/>
    <n v="2"/>
    <s v="Thu, Wed"/>
    <b v="0"/>
    <d v="1899-12-30T09:56:00"/>
    <d v="1899-12-30T12:52:00"/>
    <n v="176"/>
    <b v="0"/>
    <b v="1"/>
    <x v="1"/>
    <x v="4"/>
    <n v="30"/>
    <x v="0"/>
    <n v="30"/>
    <x v="3"/>
    <n v="0.15"/>
    <n v="25.5"/>
    <s v="Weekdays only"/>
    <s v="Fresno, CA"/>
    <n v="36.7378"/>
    <n v="-119.7871"/>
    <d v="2022-08-26T00:00:00"/>
    <n v="2"/>
    <x v="0"/>
    <x v="10"/>
  </r>
  <r>
    <n v="33"/>
    <x v="2"/>
    <n v="2"/>
    <s v="Mon, Wed"/>
    <b v="1"/>
    <d v="1899-12-30T20:25:00"/>
    <d v="1899-12-30T23:16:00"/>
    <n v="171"/>
    <b v="1"/>
    <b v="0"/>
    <x v="0"/>
    <x v="4"/>
    <n v="20"/>
    <x v="0"/>
    <n v="20"/>
    <x v="2"/>
    <n v="0.1"/>
    <n v="18"/>
    <s v="Off-peak only"/>
    <s v="Anaheim, CA"/>
    <n v="33.836599999999997"/>
    <n v="-117.9143"/>
    <d v="2024-12-07T00:00:00"/>
    <n v="0"/>
    <x v="0"/>
    <x v="14"/>
  </r>
  <r>
    <n v="22"/>
    <x v="2"/>
    <n v="3"/>
    <s v="Fri, Mon, Tue"/>
    <b v="1"/>
    <d v="1899-12-30T16:37:00"/>
    <d v="1899-12-30T17:48:00"/>
    <n v="71"/>
    <b v="1"/>
    <b v="0"/>
    <x v="1"/>
    <x v="4"/>
    <n v="20"/>
    <x v="0"/>
    <n v="20"/>
    <x v="0"/>
    <n v="0.05"/>
    <n v="19"/>
    <s v="Off-peak only"/>
    <s v="Los Angeles, CA"/>
    <n v="34.052199999999999"/>
    <n v="-118.2437"/>
    <d v="2022-12-10T00:00:00"/>
    <n v="0"/>
    <x v="1"/>
    <x v="54"/>
  </r>
  <r>
    <n v="39"/>
    <x v="2"/>
    <n v="5"/>
    <s v="Sat, Sun, Thu, Tue, Wed"/>
    <b v="1"/>
    <d v="1899-12-30T16:05:00"/>
    <d v="1899-12-30T18:42:00"/>
    <n v="157"/>
    <b v="0"/>
    <b v="1"/>
    <x v="0"/>
    <x v="0"/>
    <n v="20"/>
    <x v="0"/>
    <n v="20"/>
    <x v="2"/>
    <n v="0.1"/>
    <n v="18"/>
    <s v="Off-peak only"/>
    <s v="San Jose, CA"/>
    <n v="37.338200000000001"/>
    <n v="-121.88630000000001"/>
    <d v="2023-03-18T00:00:00"/>
    <n v="5"/>
    <x v="1"/>
    <x v="36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3-24T00:00:00"/>
    <n v="8"/>
    <x v="1"/>
    <x v="36"/>
  </r>
  <r>
    <n v="43"/>
    <x v="0"/>
    <n v="3"/>
    <s v="Fri, Sat, Thu"/>
    <b v="1"/>
    <d v="1899-12-30T13:40:00"/>
    <d v="1899-12-30T16:26:00"/>
    <n v="166"/>
    <b v="1"/>
    <b v="1"/>
    <x v="1"/>
    <x v="3"/>
    <n v="50"/>
    <x v="2"/>
    <n v="45"/>
    <x v="2"/>
    <n v="0.1"/>
    <n v="40.5"/>
    <s v="All hours"/>
    <s v="Los Angeles, CA"/>
    <n v="34.052199999999999"/>
    <n v="-118.2437"/>
    <d v="2023-01-05T00:00:00"/>
    <n v="1"/>
    <x v="0"/>
    <x v="57"/>
  </r>
  <r>
    <n v="35"/>
    <x v="0"/>
    <n v="3"/>
    <s v="Sat, Tue, Wed"/>
    <b v="0"/>
    <d v="1899-12-30T16:35:00"/>
    <d v="1899-12-30T17:35:00"/>
    <n v="60"/>
    <b v="1"/>
    <b v="0"/>
    <x v="0"/>
    <x v="4"/>
    <n v="50"/>
    <x v="1"/>
    <n v="37.5"/>
    <x v="1"/>
    <n v="0"/>
    <n v="37.5"/>
    <s v="All hours"/>
    <s v="San Jose, CA"/>
    <n v="37.338200000000001"/>
    <n v="-121.88630000000001"/>
    <d v="2023-04-04T00:00:00"/>
    <n v="0"/>
    <x v="0"/>
    <x v="49"/>
  </r>
  <r>
    <n v="26"/>
    <x v="0"/>
    <n v="5"/>
    <s v="Mon, Sat, Sun, Thu, Wed"/>
    <b v="1"/>
    <d v="1899-12-30T17:11:00"/>
    <d v="1899-12-30T18:02:00"/>
    <n v="51"/>
    <b v="0"/>
    <b v="1"/>
    <x v="1"/>
    <x v="4"/>
    <n v="50"/>
    <x v="1"/>
    <n v="37.5"/>
    <x v="3"/>
    <n v="0.15"/>
    <n v="31.875"/>
    <s v="All hours"/>
    <s v="Long Beach, CA"/>
    <n v="33.770099999999999"/>
    <n v="-118.19370000000001"/>
    <d v="2023-08-26T00:00:00"/>
    <n v="3"/>
    <x v="0"/>
    <x v="46"/>
  </r>
  <r>
    <n v="29"/>
    <x v="1"/>
    <n v="1"/>
    <s v="Wed"/>
    <b v="1"/>
    <d v="1899-12-30T19:10:00"/>
    <d v="1899-12-30T21:32:00"/>
    <n v="142"/>
    <b v="1"/>
    <b v="1"/>
    <x v="0"/>
    <x v="0"/>
    <n v="30"/>
    <x v="2"/>
    <n v="27"/>
    <x v="2"/>
    <n v="0.1"/>
    <n v="24.3"/>
    <s v="Weekdays only"/>
    <s v="Sacramento, CA"/>
    <n v="38.581600000000002"/>
    <n v="-121.4944"/>
    <d v="2025-02-03T00:00:00"/>
    <n v="6"/>
    <x v="0"/>
    <x v="30"/>
  </r>
  <r>
    <n v="35"/>
    <x v="1"/>
    <n v="2"/>
    <s v="Tue, Wed"/>
    <b v="0"/>
    <d v="1899-12-30T18:42:00"/>
    <d v="1899-12-30T21:41:00"/>
    <n v="179"/>
    <b v="0"/>
    <b v="1"/>
    <x v="1"/>
    <x v="0"/>
    <n v="30"/>
    <x v="0"/>
    <n v="30"/>
    <x v="1"/>
    <n v="0"/>
    <n v="30"/>
    <s v="Weekdays only"/>
    <s v="Sacramento, CA"/>
    <n v="38.581600000000002"/>
    <n v="-121.4944"/>
    <d v="2025-05-19T00:00:00"/>
    <n v="7"/>
    <x v="1"/>
    <x v="9"/>
  </r>
  <r>
    <n v="47"/>
    <x v="0"/>
    <n v="2"/>
    <s v="Mon, Sat"/>
    <b v="1"/>
    <d v="1899-12-30T08:39:00"/>
    <d v="1899-12-30T09:38:00"/>
    <n v="59"/>
    <b v="1"/>
    <b v="1"/>
    <x v="1"/>
    <x v="3"/>
    <n v="50"/>
    <x v="1"/>
    <n v="37.5"/>
    <x v="2"/>
    <n v="0.1"/>
    <n v="33.75"/>
    <s v="All hours"/>
    <s v="San Diego, CA"/>
    <n v="32.715699999999998"/>
    <n v="-117.1611"/>
    <d v="2022-10-16T00:00:00"/>
    <n v="6"/>
    <x v="0"/>
    <x v="38"/>
  </r>
  <r>
    <n v="19"/>
    <x v="0"/>
    <n v="3"/>
    <s v="Fri, Sun, Wed"/>
    <b v="1"/>
    <d v="1899-12-30T15:01:00"/>
    <d v="1899-12-30T16:59:00"/>
    <n v="118"/>
    <b v="1"/>
    <b v="0"/>
    <x v="0"/>
    <x v="0"/>
    <n v="50"/>
    <x v="1"/>
    <n v="37.5"/>
    <x v="0"/>
    <n v="0.05"/>
    <n v="35.625"/>
    <s v="All hours"/>
    <s v="San Diego, CA"/>
    <n v="32.715699999999998"/>
    <n v="-117.1611"/>
    <d v="2023-09-05T00:00:00"/>
    <n v="0"/>
    <x v="0"/>
    <x v="7"/>
  </r>
  <r>
    <n v="43"/>
    <x v="1"/>
    <n v="3"/>
    <s v="Fri, Sun, Tue"/>
    <b v="0"/>
    <d v="1899-12-30T18:37:00"/>
    <d v="1899-12-30T20:15:00"/>
    <n v="98"/>
    <b v="0"/>
    <b v="1"/>
    <x v="1"/>
    <x v="4"/>
    <n v="30"/>
    <x v="2"/>
    <n v="27"/>
    <x v="2"/>
    <n v="0.1"/>
    <n v="24.3"/>
    <s v="Weekdays only"/>
    <s v="Fresno, CA"/>
    <n v="36.7378"/>
    <n v="-119.7871"/>
    <d v="2023-02-25T00:00:00"/>
    <n v="5"/>
    <x v="1"/>
    <x v="22"/>
  </r>
  <r>
    <n v="24"/>
    <x v="0"/>
    <n v="5"/>
    <s v="Fri, Mon, Sat, Sun, Wed"/>
    <b v="0"/>
    <d v="1899-12-30T20:53:00"/>
    <d v="1899-12-30T23:33:00"/>
    <n v="160"/>
    <b v="1"/>
    <b v="0"/>
    <x v="0"/>
    <x v="0"/>
    <n v="50"/>
    <x v="0"/>
    <n v="50"/>
    <x v="2"/>
    <n v="0.1"/>
    <n v="45"/>
    <s v="All hours"/>
    <s v="Bakersfield, CA"/>
    <n v="35.3733"/>
    <n v="-119.0187"/>
    <d v="2024-01-27T00:00:00"/>
    <n v="0"/>
    <x v="0"/>
    <x v="48"/>
  </r>
  <r>
    <n v="15"/>
    <x v="2"/>
    <n v="2"/>
    <s v="Fri, Sun"/>
    <b v="1"/>
    <d v="1899-12-30T14:20:00"/>
    <d v="1899-12-30T17:01:00"/>
    <n v="161"/>
    <b v="0"/>
    <b v="0"/>
    <x v="0"/>
    <x v="1"/>
    <n v="20"/>
    <x v="0"/>
    <n v="20"/>
    <x v="1"/>
    <n v="0"/>
    <n v="20"/>
    <s v="Off-peak only"/>
    <s v="Anaheim, CA"/>
    <n v="33.836599999999997"/>
    <n v="-117.9143"/>
    <d v="2025-02-18T00:00:00"/>
    <n v="0"/>
    <x v="0"/>
    <x v="30"/>
  </r>
  <r>
    <n v="19"/>
    <x v="2"/>
    <n v="2"/>
    <s v="Fri, Sat"/>
    <b v="1"/>
    <d v="1899-12-30T20:23:00"/>
    <d v="1899-12-30T21:49:00"/>
    <n v="86"/>
    <b v="0"/>
    <b v="1"/>
    <x v="0"/>
    <x v="0"/>
    <n v="20"/>
    <x v="1"/>
    <n v="15"/>
    <x v="2"/>
    <n v="0.1"/>
    <n v="13.5"/>
    <s v="Off-peak only"/>
    <s v="San Diego, CA"/>
    <n v="32.715699999999998"/>
    <n v="-117.1611"/>
    <d v="2025-02-09T00:00:00"/>
    <n v="7"/>
    <x v="1"/>
    <x v="30"/>
  </r>
  <r>
    <n v="27"/>
    <x v="1"/>
    <n v="1"/>
    <s v="Mon"/>
    <b v="0"/>
    <d v="1899-12-30T12:30:00"/>
    <d v="1899-12-30T13:08:00"/>
    <n v="38"/>
    <b v="1"/>
    <b v="0"/>
    <x v="0"/>
    <x v="0"/>
    <n v="30"/>
    <x v="2"/>
    <n v="27"/>
    <x v="1"/>
    <n v="0"/>
    <n v="27"/>
    <s v="Weekdays only"/>
    <s v="San Diego, CA"/>
    <n v="32.715699999999998"/>
    <n v="-117.1611"/>
    <d v="2023-06-23T00:00:00"/>
    <n v="0"/>
    <x v="1"/>
    <x v="28"/>
  </r>
  <r>
    <n v="43"/>
    <x v="1"/>
    <n v="2"/>
    <s v="Sat, Tue"/>
    <b v="0"/>
    <d v="1899-12-30T19:40:00"/>
    <d v="1899-12-30T22:32:00"/>
    <n v="172"/>
    <b v="0"/>
    <b v="1"/>
    <x v="0"/>
    <x v="4"/>
    <n v="30"/>
    <x v="0"/>
    <n v="30"/>
    <x v="0"/>
    <n v="0.05"/>
    <n v="28.5"/>
    <s v="Weekdays only"/>
    <s v="Los Angeles, CA"/>
    <n v="34.052199999999999"/>
    <n v="-118.2437"/>
    <d v="2024-03-21T00:00:00"/>
    <n v="7"/>
    <x v="1"/>
    <x v="17"/>
  </r>
  <r>
    <n v="35"/>
    <x v="2"/>
    <n v="3"/>
    <s v="Mon, Tue, Wed"/>
    <b v="0"/>
    <d v="1899-12-30T19:50:00"/>
    <d v="1899-12-30T20:51:00"/>
    <n v="61"/>
    <b v="1"/>
    <b v="0"/>
    <x v="0"/>
    <x v="0"/>
    <n v="20"/>
    <x v="0"/>
    <n v="20"/>
    <x v="1"/>
    <n v="0"/>
    <n v="20"/>
    <s v="Off-peak only"/>
    <s v="Fresno, CA"/>
    <n v="36.7378"/>
    <n v="-119.7871"/>
    <d v="2024-11-21T00:00:00"/>
    <n v="0"/>
    <x v="1"/>
    <x v="12"/>
  </r>
  <r>
    <n v="36"/>
    <x v="0"/>
    <n v="2"/>
    <s v="Sat, Thu"/>
    <b v="1"/>
    <d v="1899-12-30T19:38:00"/>
    <d v="1899-12-30T21:40:00"/>
    <n v="122"/>
    <b v="1"/>
    <b v="1"/>
    <x v="1"/>
    <x v="0"/>
    <n v="50"/>
    <x v="0"/>
    <n v="50"/>
    <x v="0"/>
    <n v="0.05"/>
    <n v="47.5"/>
    <s v="All hours"/>
    <s v="Anaheim, CA"/>
    <n v="33.836599999999997"/>
    <n v="-117.9143"/>
    <d v="2024-01-16T00:00:00"/>
    <n v="1"/>
    <x v="0"/>
    <x v="31"/>
  </r>
  <r>
    <n v="40"/>
    <x v="0"/>
    <n v="2"/>
    <s v="Sat, Tue"/>
    <b v="1"/>
    <d v="1899-12-30T20:33:00"/>
    <d v="1899-12-30T21:52:00"/>
    <n v="79"/>
    <b v="1"/>
    <b v="1"/>
    <x v="1"/>
    <x v="1"/>
    <n v="50"/>
    <x v="1"/>
    <n v="37.5"/>
    <x v="3"/>
    <n v="0.15"/>
    <n v="31.875"/>
    <s v="All hours"/>
    <s v="Bakersfield, CA"/>
    <n v="35.3733"/>
    <n v="-119.0187"/>
    <d v="2025-04-15T00:00:00"/>
    <n v="7"/>
    <x v="1"/>
    <x v="5"/>
  </r>
  <r>
    <n v="38"/>
    <x v="3"/>
    <n v="3"/>
    <s v="Thu, Tue, Wed"/>
    <b v="1"/>
    <d v="1899-12-30T16:41:00"/>
    <d v="1899-12-30T17:48:00"/>
    <n v="67"/>
    <b v="1"/>
    <b v="0"/>
    <x v="1"/>
    <x v="0"/>
    <n v="70"/>
    <x v="0"/>
    <n v="70"/>
    <x v="1"/>
    <n v="0"/>
    <n v="70"/>
    <s v="All hours + Priority access"/>
    <s v="San Jose, CA"/>
    <n v="37.338200000000001"/>
    <n v="-121.88630000000001"/>
    <d v="2023-10-12T00:00:00"/>
    <n v="0"/>
    <x v="1"/>
    <x v="59"/>
  </r>
  <r>
    <n v="19"/>
    <x v="2"/>
    <n v="1"/>
    <s v="Sun"/>
    <b v="0"/>
    <d v="1899-12-30T11:29:00"/>
    <d v="1899-12-30T14:26:00"/>
    <n v="177"/>
    <b v="1"/>
    <b v="1"/>
    <x v="0"/>
    <x v="0"/>
    <n v="20"/>
    <x v="1"/>
    <n v="15"/>
    <x v="0"/>
    <n v="0.05"/>
    <n v="14.25"/>
    <s v="Off-peak only"/>
    <s v="Long Beach, CA"/>
    <n v="33.770099999999999"/>
    <n v="-118.19370000000001"/>
    <d v="2024-09-09T00:00:00"/>
    <n v="4"/>
    <x v="1"/>
    <x v="41"/>
  </r>
  <r>
    <n v="20"/>
    <x v="0"/>
    <n v="3"/>
    <s v="Sat, Sun, Thu"/>
    <b v="0"/>
    <d v="1899-12-30T10:32:00"/>
    <d v="1899-12-30T11:09:00"/>
    <n v="37"/>
    <b v="0"/>
    <b v="0"/>
    <x v="1"/>
    <x v="4"/>
    <n v="50"/>
    <x v="0"/>
    <n v="50"/>
    <x v="3"/>
    <n v="0.15"/>
    <n v="42.5"/>
    <s v="All hours"/>
    <s v="San Francisco, CA"/>
    <n v="37.774900000000002"/>
    <n v="-122.4194"/>
    <d v="2023-02-24T00:00:00"/>
    <n v="0"/>
    <x v="0"/>
    <x v="22"/>
  </r>
  <r>
    <n v="44"/>
    <x v="2"/>
    <n v="1"/>
    <s v="Wed"/>
    <b v="0"/>
    <d v="1899-12-30T20:43:00"/>
    <d v="1899-12-30T22:58:00"/>
    <n v="135"/>
    <b v="1"/>
    <b v="0"/>
    <x v="0"/>
    <x v="4"/>
    <n v="20"/>
    <x v="0"/>
    <n v="20"/>
    <x v="1"/>
    <n v="0"/>
    <n v="20"/>
    <s v="Off-peak only"/>
    <s v="Sacramento, CA"/>
    <n v="38.581600000000002"/>
    <n v="-121.4944"/>
    <d v="2024-07-27T00:00:00"/>
    <n v="0"/>
    <x v="1"/>
    <x v="15"/>
  </r>
  <r>
    <n v="34"/>
    <x v="3"/>
    <n v="1"/>
    <s v="Thu"/>
    <b v="1"/>
    <d v="1899-12-30T17:57:00"/>
    <d v="1899-12-30T19:46:00"/>
    <n v="109"/>
    <b v="0"/>
    <b v="1"/>
    <x v="1"/>
    <x v="1"/>
    <n v="70"/>
    <x v="1"/>
    <n v="52.5"/>
    <x v="1"/>
    <n v="0"/>
    <n v="52.5"/>
    <s v="All hours + Priority access"/>
    <s v="San Jose, CA"/>
    <n v="37.338200000000001"/>
    <n v="-121.88630000000001"/>
    <d v="2024-02-24T00:00:00"/>
    <n v="2"/>
    <x v="0"/>
    <x v="21"/>
  </r>
  <r>
    <n v="13"/>
    <x v="2"/>
    <n v="3"/>
    <s v="Mon, Sun, Thu"/>
    <b v="0"/>
    <d v="1899-12-30T14:01:00"/>
    <d v="1899-12-30T16:23:00"/>
    <n v="142"/>
    <b v="1"/>
    <b v="0"/>
    <x v="1"/>
    <x v="4"/>
    <n v="20"/>
    <x v="1"/>
    <n v="15"/>
    <x v="0"/>
    <n v="0.05"/>
    <n v="14.25"/>
    <s v="Off-peak only"/>
    <s v="Fresno, CA"/>
    <n v="36.7378"/>
    <n v="-119.7871"/>
    <d v="2025-06-10T00:00:00"/>
    <n v="0"/>
    <x v="1"/>
    <x v="44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5-04-06T00:00:00"/>
    <n v="2"/>
    <x v="0"/>
    <x v="42"/>
  </r>
  <r>
    <n v="31"/>
    <x v="1"/>
    <n v="5"/>
    <s v="Fri, Sat, Sun, Tue, Wed"/>
    <b v="1"/>
    <d v="1899-12-30T09:47:00"/>
    <d v="1899-12-30T11:32:00"/>
    <n v="105"/>
    <b v="0"/>
    <b v="1"/>
    <x v="1"/>
    <x v="4"/>
    <n v="30"/>
    <x v="1"/>
    <n v="22.5"/>
    <x v="1"/>
    <n v="0"/>
    <n v="22.5"/>
    <s v="Weekdays only"/>
    <s v="Oakland, CA"/>
    <n v="37.804400000000001"/>
    <n v="-122.27119999999999"/>
    <d v="2024-04-30T00:00:00"/>
    <n v="2"/>
    <x v="1"/>
    <x v="40"/>
  </r>
  <r>
    <n v="15"/>
    <x v="0"/>
    <n v="1"/>
    <s v="Mon"/>
    <b v="0"/>
    <d v="1899-12-30T17:19:00"/>
    <d v="1899-12-30T20:19:00"/>
    <n v="180"/>
    <b v="0"/>
    <b v="0"/>
    <x v="1"/>
    <x v="0"/>
    <n v="50"/>
    <x v="1"/>
    <n v="37.5"/>
    <x v="0"/>
    <n v="0.05"/>
    <n v="35.625"/>
    <s v="All hours"/>
    <s v="Sacramento, CA"/>
    <n v="38.581600000000002"/>
    <n v="-121.4944"/>
    <d v="2024-01-28T00:00:00"/>
    <n v="0"/>
    <x v="1"/>
    <x v="48"/>
  </r>
  <r>
    <n v="38"/>
    <x v="0"/>
    <n v="4"/>
    <s v="Fri, Mon, Thu, Wed"/>
    <b v="1"/>
    <d v="1899-12-30T20:54:00"/>
    <d v="1899-12-30T22:41:00"/>
    <n v="107"/>
    <b v="0"/>
    <b v="1"/>
    <x v="1"/>
    <x v="4"/>
    <n v="50"/>
    <x v="0"/>
    <n v="50"/>
    <x v="2"/>
    <n v="0.1"/>
    <n v="45"/>
    <s v="All hours"/>
    <s v="San Diego, CA"/>
    <n v="32.715699999999998"/>
    <n v="-117.1611"/>
    <d v="2023-09-22T00:00:00"/>
    <n v="4"/>
    <x v="0"/>
    <x v="7"/>
  </r>
  <r>
    <n v="32"/>
    <x v="3"/>
    <n v="2"/>
    <s v="Sat, Sun"/>
    <b v="1"/>
    <d v="1899-12-30T19:07:00"/>
    <d v="1899-12-30T22:00:00"/>
    <n v="173"/>
    <b v="0"/>
    <b v="0"/>
    <x v="0"/>
    <x v="0"/>
    <n v="70"/>
    <x v="0"/>
    <n v="70"/>
    <x v="3"/>
    <n v="0.15"/>
    <n v="59.5"/>
    <s v="All hours + Priority access"/>
    <s v="San Diego, CA"/>
    <n v="32.715699999999998"/>
    <n v="-117.1611"/>
    <d v="2024-08-16T00:00:00"/>
    <n v="0"/>
    <x v="0"/>
    <x v="18"/>
  </r>
  <r>
    <n v="37"/>
    <x v="2"/>
    <n v="1"/>
    <s v="Sat"/>
    <b v="1"/>
    <d v="1899-12-30T08:21:00"/>
    <d v="1899-12-30T08:55:00"/>
    <n v="34"/>
    <b v="1"/>
    <b v="0"/>
    <x v="0"/>
    <x v="4"/>
    <n v="20"/>
    <x v="1"/>
    <n v="15"/>
    <x v="1"/>
    <n v="0"/>
    <n v="15"/>
    <s v="Off-peak only"/>
    <s v="Fresno, CA"/>
    <n v="36.7378"/>
    <n v="-119.7871"/>
    <d v="2023-06-13T00:00:00"/>
    <n v="0"/>
    <x v="1"/>
    <x v="28"/>
  </r>
  <r>
    <n v="24"/>
    <x v="0"/>
    <n v="5"/>
    <s v="Fri, Mon, Sat, Sun, Wed"/>
    <b v="0"/>
    <d v="1899-12-30T20:53:00"/>
    <d v="1899-12-30T23:33:00"/>
    <n v="160"/>
    <b v="1"/>
    <b v="0"/>
    <x v="0"/>
    <x v="0"/>
    <n v="50"/>
    <x v="0"/>
    <n v="50"/>
    <x v="2"/>
    <n v="0.1"/>
    <n v="45"/>
    <s v="All hours"/>
    <s v="Bakersfield, CA"/>
    <n v="35.3733"/>
    <n v="-119.0187"/>
    <d v="2022-12-19T00:00:00"/>
    <n v="0"/>
    <x v="0"/>
    <x v="6"/>
  </r>
  <r>
    <n v="23"/>
    <x v="1"/>
    <n v="2"/>
    <s v="Sat, Thu"/>
    <b v="0"/>
    <d v="1899-12-30T11:56:00"/>
    <d v="1899-12-30T13:42:00"/>
    <n v="106"/>
    <b v="0"/>
    <b v="1"/>
    <x v="1"/>
    <x v="4"/>
    <n v="30"/>
    <x v="0"/>
    <n v="30"/>
    <x v="0"/>
    <n v="0.05"/>
    <n v="28.5"/>
    <s v="Weekdays only"/>
    <s v="Fresno, CA"/>
    <n v="36.7378"/>
    <n v="-119.7871"/>
    <d v="2023-03-15T00:00:00"/>
    <n v="6"/>
    <x v="1"/>
    <x v="36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5-05-11T00:00:00"/>
    <n v="0"/>
    <x v="0"/>
    <x v="24"/>
  </r>
  <r>
    <n v="35"/>
    <x v="1"/>
    <n v="5"/>
    <s v="Fri, Sat, Thu, Tue, Wed"/>
    <b v="1"/>
    <d v="1899-12-30T15:45:00"/>
    <d v="1899-12-30T18:43:00"/>
    <n v="178"/>
    <b v="0"/>
    <b v="0"/>
    <x v="0"/>
    <x v="1"/>
    <n v="30"/>
    <x v="0"/>
    <n v="30"/>
    <x v="1"/>
    <n v="0"/>
    <n v="30"/>
    <s v="Weekdays only"/>
    <s v="Fresno, CA"/>
    <n v="36.7378"/>
    <n v="-119.7871"/>
    <d v="2024-01-28T00:00:00"/>
    <n v="0"/>
    <x v="0"/>
    <x v="48"/>
  </r>
  <r>
    <n v="26"/>
    <x v="0"/>
    <n v="5"/>
    <s v="Mon, Sat, Sun, Thu, Wed"/>
    <b v="1"/>
    <d v="1899-12-30T17:11:00"/>
    <d v="1899-12-30T18:02:00"/>
    <n v="51"/>
    <b v="0"/>
    <b v="1"/>
    <x v="1"/>
    <x v="4"/>
    <n v="50"/>
    <x v="1"/>
    <n v="37.5"/>
    <x v="3"/>
    <n v="0.15"/>
    <n v="31.875"/>
    <s v="All hours"/>
    <s v="Long Beach, CA"/>
    <n v="33.770099999999999"/>
    <n v="-118.19370000000001"/>
    <d v="2025-03-03T00:00:00"/>
    <n v="1"/>
    <x v="0"/>
    <x v="45"/>
  </r>
  <r>
    <n v="17"/>
    <x v="0"/>
    <n v="3"/>
    <s v="Sat, Thu, Tue"/>
    <b v="1"/>
    <d v="1899-12-30T15:41:00"/>
    <d v="1899-12-30T16:58:00"/>
    <n v="77"/>
    <b v="1"/>
    <b v="1"/>
    <x v="0"/>
    <x v="4"/>
    <n v="50"/>
    <x v="1"/>
    <n v="37.5"/>
    <x v="2"/>
    <n v="0.1"/>
    <n v="33.75"/>
    <s v="All hours"/>
    <s v="San Francisco, CA"/>
    <n v="37.774900000000002"/>
    <n v="-122.4194"/>
    <d v="2024-10-08T00:00:00"/>
    <n v="7"/>
    <x v="0"/>
    <x v="51"/>
  </r>
  <r>
    <n v="40"/>
    <x v="0"/>
    <n v="3"/>
    <s v="Sun, Thu, Wed"/>
    <b v="0"/>
    <d v="1899-12-30T11:58:00"/>
    <d v="1899-12-30T14:31:00"/>
    <n v="153"/>
    <b v="1"/>
    <b v="1"/>
    <x v="0"/>
    <x v="4"/>
    <n v="50"/>
    <x v="0"/>
    <n v="50"/>
    <x v="1"/>
    <n v="0"/>
    <n v="50"/>
    <s v="All hours"/>
    <s v="Long Beach, CA"/>
    <n v="33.770099999999999"/>
    <n v="-118.19370000000001"/>
    <d v="2022-08-07T00:00:00"/>
    <n v="4"/>
    <x v="0"/>
    <x v="43"/>
  </r>
  <r>
    <n v="28"/>
    <x v="0"/>
    <n v="4"/>
    <s v="Mon, Sat, Thu, Wed"/>
    <b v="0"/>
    <d v="1899-12-30T09:22:00"/>
    <d v="1899-12-30T10:57:00"/>
    <n v="95"/>
    <b v="0"/>
    <b v="1"/>
    <x v="0"/>
    <x v="0"/>
    <n v="50"/>
    <x v="0"/>
    <n v="50"/>
    <x v="3"/>
    <n v="0.15"/>
    <n v="42.5"/>
    <s v="All hours"/>
    <s v="Long Beach, CA"/>
    <n v="33.770099999999999"/>
    <n v="-118.19370000000001"/>
    <d v="2025-01-22T00:00:00"/>
    <n v="2"/>
    <x v="0"/>
    <x v="19"/>
  </r>
  <r>
    <n v="17"/>
    <x v="1"/>
    <n v="2"/>
    <s v="Tue, Wed"/>
    <b v="0"/>
    <d v="1899-12-30T08:06:00"/>
    <d v="1899-12-30T08:47:00"/>
    <n v="41"/>
    <b v="1"/>
    <b v="0"/>
    <x v="1"/>
    <x v="0"/>
    <n v="30"/>
    <x v="1"/>
    <n v="22.5"/>
    <x v="2"/>
    <n v="0.1"/>
    <n v="20.25"/>
    <s v="Weekdays only"/>
    <s v="Long Beach, CA"/>
    <n v="33.770099999999999"/>
    <n v="-118.19370000000001"/>
    <d v="2024-01-08T00:00:00"/>
    <n v="0"/>
    <x v="1"/>
    <x v="31"/>
  </r>
  <r>
    <n v="23"/>
    <x v="2"/>
    <n v="3"/>
    <s v="Fri, Sat, Thu"/>
    <b v="1"/>
    <d v="1899-12-30T13:06:00"/>
    <d v="1899-12-30T14:35:00"/>
    <n v="89"/>
    <b v="1"/>
    <b v="1"/>
    <x v="0"/>
    <x v="0"/>
    <n v="20"/>
    <x v="1"/>
    <n v="15"/>
    <x v="2"/>
    <n v="0.1"/>
    <n v="13.5"/>
    <s v="Off-peak only"/>
    <s v="San Francisco, CA"/>
    <n v="37.774900000000002"/>
    <n v="-122.4194"/>
    <d v="2023-09-03T00:00:00"/>
    <n v="5"/>
    <x v="0"/>
    <x v="46"/>
  </r>
  <r>
    <n v="24"/>
    <x v="0"/>
    <n v="2"/>
    <s v="Sun, Tue"/>
    <b v="1"/>
    <d v="1899-12-30T17:44:00"/>
    <d v="1899-12-30T20:02:00"/>
    <n v="138"/>
    <b v="0"/>
    <b v="1"/>
    <x v="1"/>
    <x v="0"/>
    <n v="50"/>
    <x v="0"/>
    <n v="50"/>
    <x v="0"/>
    <n v="0.05"/>
    <n v="47.5"/>
    <s v="All hours"/>
    <s v="Fresno, CA"/>
    <n v="36.7378"/>
    <n v="-119.7871"/>
    <d v="2023-06-05T00:00:00"/>
    <n v="3"/>
    <x v="0"/>
    <x v="8"/>
  </r>
  <r>
    <n v="18"/>
    <x v="0"/>
    <n v="1"/>
    <s v="Sat"/>
    <b v="0"/>
    <d v="1899-12-30T18:01:00"/>
    <d v="1899-12-30T18:36:00"/>
    <n v="35"/>
    <b v="1"/>
    <b v="1"/>
    <x v="0"/>
    <x v="1"/>
    <n v="50"/>
    <x v="0"/>
    <n v="50"/>
    <x v="2"/>
    <n v="0.1"/>
    <n v="45"/>
    <s v="All hours"/>
    <s v="Sacramento, CA"/>
    <n v="38.581600000000002"/>
    <n v="-121.4944"/>
    <d v="2023-11-04T00:00:00"/>
    <n v="7"/>
    <x v="0"/>
    <x v="50"/>
  </r>
  <r>
    <n v="48"/>
    <x v="0"/>
    <n v="4"/>
    <s v="Fri, Thu, Tue, Wed"/>
    <b v="0"/>
    <d v="1899-12-30T09:34:00"/>
    <d v="1899-12-30T10:11:00"/>
    <n v="37"/>
    <b v="0"/>
    <b v="0"/>
    <x v="0"/>
    <x v="0"/>
    <n v="50"/>
    <x v="1"/>
    <n v="37.5"/>
    <x v="1"/>
    <n v="0"/>
    <n v="37.5"/>
    <s v="All hours"/>
    <s v="Bakersfield, CA"/>
    <n v="35.3733"/>
    <n v="-119.0187"/>
    <d v="2025-06-12T00:00:00"/>
    <n v="0"/>
    <x v="0"/>
    <x v="44"/>
  </r>
  <r>
    <n v="38"/>
    <x v="0"/>
    <n v="3"/>
    <s v="Mon, Sun, Tue"/>
    <b v="1"/>
    <d v="1899-12-30T11:37:00"/>
    <d v="1899-12-30T12:57:00"/>
    <n v="80"/>
    <b v="1"/>
    <b v="1"/>
    <x v="1"/>
    <x v="4"/>
    <n v="50"/>
    <x v="1"/>
    <n v="37.5"/>
    <x v="3"/>
    <n v="0.15"/>
    <n v="31.875"/>
    <s v="All hours"/>
    <s v="Oakland, CA"/>
    <n v="37.804400000000001"/>
    <n v="-122.27119999999999"/>
    <d v="2024-07-10T00:00:00"/>
    <n v="4"/>
    <x v="1"/>
    <x v="39"/>
  </r>
  <r>
    <n v="23"/>
    <x v="1"/>
    <n v="2"/>
    <s v="Sat, Thu"/>
    <b v="0"/>
    <d v="1899-12-30T11:56:00"/>
    <d v="1899-12-30T13:42:00"/>
    <n v="106"/>
    <b v="0"/>
    <b v="1"/>
    <x v="1"/>
    <x v="4"/>
    <n v="30"/>
    <x v="0"/>
    <n v="30"/>
    <x v="0"/>
    <n v="0.05"/>
    <n v="28.5"/>
    <s v="Weekdays only"/>
    <s v="Fresno, CA"/>
    <n v="36.7378"/>
    <n v="-119.7871"/>
    <d v="2023-12-19T00:00:00"/>
    <n v="8"/>
    <x v="1"/>
    <x v="16"/>
  </r>
  <r>
    <n v="36"/>
    <x v="1"/>
    <n v="4"/>
    <s v="Fri, Mon, Thu, Wed"/>
    <b v="0"/>
    <d v="1899-12-30T14:02:00"/>
    <d v="1899-12-30T16:28:00"/>
    <n v="146"/>
    <b v="0"/>
    <b v="0"/>
    <x v="1"/>
    <x v="4"/>
    <n v="30"/>
    <x v="1"/>
    <n v="22.5"/>
    <x v="0"/>
    <n v="0.05"/>
    <n v="21.375"/>
    <s v="Weekdays only"/>
    <s v="San Jose, CA"/>
    <n v="37.338200000000001"/>
    <n v="-121.88630000000001"/>
    <d v="2025-03-21T00:00:00"/>
    <n v="0"/>
    <x v="1"/>
    <x v="27"/>
  </r>
  <r>
    <n v="26"/>
    <x v="0"/>
    <n v="3"/>
    <s v="Thu, Tue, Wed"/>
    <b v="0"/>
    <d v="1899-12-30T09:38:00"/>
    <d v="1899-12-30T10:45:00"/>
    <n v="67"/>
    <b v="0"/>
    <b v="1"/>
    <x v="1"/>
    <x v="0"/>
    <n v="50"/>
    <x v="1"/>
    <n v="37.5"/>
    <x v="0"/>
    <n v="0.05"/>
    <n v="35.625"/>
    <s v="All hours"/>
    <s v="San Diego, CA"/>
    <n v="32.715699999999998"/>
    <n v="-117.1611"/>
    <d v="2024-06-14T00:00:00"/>
    <n v="4"/>
    <x v="0"/>
    <x v="20"/>
  </r>
  <r>
    <n v="18"/>
    <x v="0"/>
    <n v="4"/>
    <s v="Fri, Sat, Sun, Tue"/>
    <b v="1"/>
    <d v="1899-12-30T19:08:00"/>
    <d v="1899-12-30T21:32:00"/>
    <n v="144"/>
    <b v="1"/>
    <b v="0"/>
    <x v="0"/>
    <x v="0"/>
    <n v="50"/>
    <x v="0"/>
    <n v="50"/>
    <x v="1"/>
    <n v="0"/>
    <n v="50"/>
    <s v="All hours"/>
    <s v="San Diego, CA"/>
    <n v="32.715699999999998"/>
    <n v="-117.1611"/>
    <d v="2025-05-18T00:00:00"/>
    <n v="0"/>
    <x v="1"/>
    <x v="9"/>
  </r>
  <r>
    <n v="20"/>
    <x v="3"/>
    <n v="2"/>
    <s v="Sun, Thu"/>
    <b v="1"/>
    <d v="1899-12-30T09:26:00"/>
    <d v="1899-12-30T10:35:00"/>
    <n v="69"/>
    <b v="0"/>
    <b v="0"/>
    <x v="0"/>
    <x v="2"/>
    <n v="70"/>
    <x v="0"/>
    <n v="70"/>
    <x v="1"/>
    <n v="0"/>
    <n v="70"/>
    <s v="All hours + Priority access"/>
    <s v="San Diego, CA"/>
    <n v="32.715699999999998"/>
    <n v="-117.1611"/>
    <d v="2025-03-31T00:00:00"/>
    <n v="0"/>
    <x v="0"/>
    <x v="42"/>
  </r>
  <r>
    <n v="19"/>
    <x v="0"/>
    <n v="5"/>
    <s v="Fri, Mon, Sat, Thu, Wed"/>
    <b v="1"/>
    <d v="1899-12-30T10:54:00"/>
    <d v="1899-12-30T13:17:00"/>
    <n v="143"/>
    <b v="1"/>
    <b v="1"/>
    <x v="0"/>
    <x v="4"/>
    <n v="50"/>
    <x v="0"/>
    <n v="50"/>
    <x v="0"/>
    <n v="0.05"/>
    <n v="47.5"/>
    <s v="All hours"/>
    <s v="Long Beach, CA"/>
    <n v="33.770099999999999"/>
    <n v="-118.19370000000001"/>
    <d v="2024-04-26T00:00:00"/>
    <n v="1"/>
    <x v="0"/>
    <x v="40"/>
  </r>
  <r>
    <n v="13"/>
    <x v="0"/>
    <n v="2"/>
    <s v="Fri, Tue"/>
    <b v="1"/>
    <d v="1899-12-30T09:23:00"/>
    <d v="1899-12-30T12:02:00"/>
    <n v="159"/>
    <b v="0"/>
    <b v="0"/>
    <x v="1"/>
    <x v="0"/>
    <n v="50"/>
    <x v="0"/>
    <n v="50"/>
    <x v="1"/>
    <n v="0"/>
    <n v="50"/>
    <s v="All hours"/>
    <s v="San Diego, CA"/>
    <n v="32.715699999999998"/>
    <n v="-117.1611"/>
    <d v="2025-02-01T00:00:00"/>
    <n v="0"/>
    <x v="0"/>
    <x v="30"/>
  </r>
  <r>
    <n v="43"/>
    <x v="1"/>
    <n v="3"/>
    <s v="Mon, Sat, Thu"/>
    <b v="1"/>
    <d v="1899-12-30T12:17:00"/>
    <d v="1899-12-30T15:09:00"/>
    <n v="172"/>
    <b v="0"/>
    <b v="0"/>
    <x v="0"/>
    <x v="4"/>
    <n v="30"/>
    <x v="1"/>
    <n v="22.5"/>
    <x v="3"/>
    <n v="0.15"/>
    <n v="19.125"/>
    <s v="Weekdays only"/>
    <s v="Fresno, CA"/>
    <n v="36.7378"/>
    <n v="-119.7871"/>
    <d v="2023-10-27T00:00:00"/>
    <n v="0"/>
    <x v="0"/>
    <x v="59"/>
  </r>
  <r>
    <n v="27"/>
    <x v="1"/>
    <n v="1"/>
    <s v="Wed"/>
    <b v="0"/>
    <d v="1899-12-30T11:25:00"/>
    <d v="1899-12-30T12:56:00"/>
    <n v="91"/>
    <b v="1"/>
    <b v="0"/>
    <x v="1"/>
    <x v="4"/>
    <n v="30"/>
    <x v="0"/>
    <n v="30"/>
    <x v="3"/>
    <n v="0.15"/>
    <n v="25.5"/>
    <s v="Weekdays only"/>
    <s v="Fresno, CA"/>
    <n v="36.7378"/>
    <n v="-119.7871"/>
    <d v="2023-06-19T00:00:00"/>
    <n v="0"/>
    <x v="1"/>
    <x v="28"/>
  </r>
  <r>
    <n v="48"/>
    <x v="0"/>
    <n v="3"/>
    <s v="Mon, Sat, Tue"/>
    <b v="0"/>
    <d v="1899-12-30T19:44:00"/>
    <d v="1899-12-30T20:51:00"/>
    <n v="67"/>
    <b v="1"/>
    <b v="0"/>
    <x v="0"/>
    <x v="4"/>
    <n v="50"/>
    <x v="0"/>
    <n v="50"/>
    <x v="2"/>
    <n v="0.1"/>
    <n v="45"/>
    <s v="All hours"/>
    <s v="Oakland, CA"/>
    <n v="37.804400000000001"/>
    <n v="-122.27119999999999"/>
    <d v="2023-02-21T00:00:00"/>
    <n v="0"/>
    <x v="0"/>
    <x v="26"/>
  </r>
  <r>
    <n v="45"/>
    <x v="0"/>
    <n v="4"/>
    <s v="Fri, Thu, Tue, Wed"/>
    <b v="0"/>
    <d v="1899-12-30T19:32:00"/>
    <d v="1899-12-30T20:18:00"/>
    <n v="46"/>
    <b v="1"/>
    <b v="0"/>
    <x v="0"/>
    <x v="2"/>
    <n v="50"/>
    <x v="0"/>
    <n v="50"/>
    <x v="1"/>
    <n v="0"/>
    <n v="50"/>
    <s v="All hours"/>
    <s v="San Jose, CA"/>
    <n v="37.338200000000001"/>
    <n v="-121.88630000000001"/>
    <d v="2024-11-21T00:00:00"/>
    <n v="0"/>
    <x v="0"/>
    <x v="12"/>
  </r>
  <r>
    <n v="36"/>
    <x v="3"/>
    <n v="4"/>
    <s v="Mon, Sun, Thu, Wed"/>
    <b v="0"/>
    <d v="1899-12-30T12:32:00"/>
    <d v="1899-12-30T13:02:00"/>
    <n v="30"/>
    <b v="0"/>
    <b v="0"/>
    <x v="0"/>
    <x v="4"/>
    <n v="70"/>
    <x v="0"/>
    <n v="70"/>
    <x v="3"/>
    <n v="0.15"/>
    <n v="59.5"/>
    <s v="All hours + Priority access"/>
    <s v="Fresno, CA"/>
    <n v="36.7378"/>
    <n v="-119.7871"/>
    <d v="2024-12-26T00:00:00"/>
    <n v="0"/>
    <x v="0"/>
    <x v="13"/>
  </r>
  <r>
    <n v="21"/>
    <x v="1"/>
    <n v="5"/>
    <s v="Fri, Mon, Sat, Sun, Thu"/>
    <b v="1"/>
    <d v="1899-12-30T20:15:00"/>
    <d v="1899-12-30T23:14:00"/>
    <n v="179"/>
    <b v="1"/>
    <b v="0"/>
    <x v="1"/>
    <x v="0"/>
    <n v="30"/>
    <x v="0"/>
    <n v="30"/>
    <x v="0"/>
    <n v="0.05"/>
    <n v="28.5"/>
    <s v="Weekdays only"/>
    <s v="Fresno, CA"/>
    <n v="36.7378"/>
    <n v="-119.7871"/>
    <d v="2025-03-03T00:00:00"/>
    <n v="0"/>
    <x v="0"/>
    <x v="45"/>
  </r>
  <r>
    <n v="41"/>
    <x v="1"/>
    <n v="1"/>
    <s v="Thu"/>
    <b v="1"/>
    <d v="1899-12-30T11:28:00"/>
    <d v="1899-12-30T13:10:00"/>
    <n v="102"/>
    <b v="1"/>
    <b v="1"/>
    <x v="1"/>
    <x v="4"/>
    <n v="30"/>
    <x v="1"/>
    <n v="22.5"/>
    <x v="3"/>
    <n v="0.15"/>
    <n v="19.125"/>
    <s v="Weekdays only"/>
    <s v="Oakland, CA"/>
    <n v="37.804400000000001"/>
    <n v="-122.27119999999999"/>
    <d v="2023-08-15T00:00:00"/>
    <n v="1"/>
    <x v="1"/>
    <x v="47"/>
  </r>
  <r>
    <n v="28"/>
    <x v="1"/>
    <n v="3"/>
    <s v="Sat, Thu, Wed"/>
    <b v="0"/>
    <d v="1899-12-30T19:59:00"/>
    <d v="1899-12-30T20:40:00"/>
    <n v="41"/>
    <b v="0"/>
    <b v="1"/>
    <x v="0"/>
    <x v="0"/>
    <n v="30"/>
    <x v="1"/>
    <n v="22.5"/>
    <x v="0"/>
    <n v="0.05"/>
    <n v="21.375"/>
    <s v="Weekdays only"/>
    <s v="Anaheim, CA"/>
    <n v="33.836599999999997"/>
    <n v="-117.9143"/>
    <d v="2023-06-01T00:00:00"/>
    <n v="4"/>
    <x v="1"/>
    <x v="8"/>
  </r>
  <r>
    <n v="21"/>
    <x v="0"/>
    <n v="1"/>
    <s v="Sun"/>
    <b v="1"/>
    <d v="1899-12-30T14:34:00"/>
    <d v="1899-12-30T15:04:00"/>
    <n v="30"/>
    <b v="1"/>
    <b v="1"/>
    <x v="1"/>
    <x v="0"/>
    <n v="50"/>
    <x v="1"/>
    <n v="37.5"/>
    <x v="1"/>
    <n v="0"/>
    <n v="37.5"/>
    <s v="All hours"/>
    <s v="Long Beach, CA"/>
    <n v="33.770099999999999"/>
    <n v="-118.19370000000001"/>
    <d v="2025-05-20T00:00:00"/>
    <n v="2"/>
    <x v="1"/>
    <x v="9"/>
  </r>
  <r>
    <n v="29"/>
    <x v="2"/>
    <n v="1"/>
    <s v="Sun"/>
    <b v="1"/>
    <d v="1899-12-30T12:26:00"/>
    <d v="1899-12-30T13:45:00"/>
    <n v="79"/>
    <b v="0"/>
    <b v="0"/>
    <x v="0"/>
    <x v="4"/>
    <n v="20"/>
    <x v="0"/>
    <n v="20"/>
    <x v="1"/>
    <n v="0"/>
    <n v="20"/>
    <s v="Off-peak only"/>
    <s v="Fresno, CA"/>
    <n v="36.7378"/>
    <n v="-119.7871"/>
    <d v="2022-09-29T00:00:00"/>
    <n v="0"/>
    <x v="1"/>
    <x v="25"/>
  </r>
  <r>
    <n v="14"/>
    <x v="0"/>
    <n v="5"/>
    <s v="Fri, Sat, Sun, Thu, Tue"/>
    <b v="1"/>
    <d v="1899-12-30T20:23:00"/>
    <d v="1899-12-30T21:30:00"/>
    <n v="67"/>
    <b v="1"/>
    <b v="1"/>
    <x v="1"/>
    <x v="0"/>
    <n v="50"/>
    <x v="1"/>
    <n v="37.5"/>
    <x v="1"/>
    <n v="0"/>
    <n v="37.5"/>
    <s v="All hours"/>
    <s v="Oakland, CA"/>
    <n v="37.804400000000001"/>
    <n v="-122.27119999999999"/>
    <d v="2025-04-28T00:00:00"/>
    <n v="3"/>
    <x v="0"/>
    <x v="5"/>
  </r>
  <r>
    <n v="17"/>
    <x v="3"/>
    <n v="2"/>
    <s v="Fri, Sun"/>
    <b v="0"/>
    <d v="1899-12-30T17:44:00"/>
    <d v="1899-12-30T18:20:00"/>
    <n v="36"/>
    <b v="1"/>
    <b v="1"/>
    <x v="0"/>
    <x v="0"/>
    <n v="70"/>
    <x v="2"/>
    <n v="63"/>
    <x v="3"/>
    <n v="0.15"/>
    <n v="53.55"/>
    <s v="All hours + Priority access"/>
    <s v="Anaheim, CA"/>
    <n v="33.836599999999997"/>
    <n v="-117.9143"/>
    <d v="2023-11-24T00:00:00"/>
    <n v="7"/>
    <x v="0"/>
    <x v="35"/>
  </r>
  <r>
    <n v="31"/>
    <x v="1"/>
    <n v="2"/>
    <s v="Sun, Tue"/>
    <b v="1"/>
    <d v="1899-12-30T16:01:00"/>
    <d v="1899-12-30T18:11:00"/>
    <n v="130"/>
    <b v="1"/>
    <b v="0"/>
    <x v="1"/>
    <x v="0"/>
    <n v="30"/>
    <x v="1"/>
    <n v="22.5"/>
    <x v="2"/>
    <n v="0.1"/>
    <n v="20.25"/>
    <s v="Weekdays only"/>
    <s v="Bakersfield, CA"/>
    <n v="35.3733"/>
    <n v="-119.0187"/>
    <d v="2023-05-29T00:00:00"/>
    <n v="0"/>
    <x v="1"/>
    <x v="8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2-12-08T00:00:00"/>
    <n v="0"/>
    <x v="1"/>
    <x v="54"/>
  </r>
  <r>
    <n v="13"/>
    <x v="0"/>
    <n v="3"/>
    <s v="Sat, Thu, Tue"/>
    <b v="0"/>
    <d v="1899-12-30T16:54:00"/>
    <d v="1899-12-30T18:53:00"/>
    <n v="119"/>
    <b v="0"/>
    <b v="1"/>
    <x v="1"/>
    <x v="4"/>
    <n v="50"/>
    <x v="1"/>
    <n v="37.5"/>
    <x v="2"/>
    <n v="0.1"/>
    <n v="33.75"/>
    <s v="All hours"/>
    <s v="San Francisco, CA"/>
    <n v="37.774900000000002"/>
    <n v="-122.4194"/>
    <d v="2023-05-24T00:00:00"/>
    <n v="1"/>
    <x v="0"/>
    <x v="8"/>
  </r>
  <r>
    <n v="16"/>
    <x v="3"/>
    <n v="3"/>
    <s v="Sat, Tue, Wed"/>
    <b v="0"/>
    <d v="1899-12-30T18:39:00"/>
    <d v="1899-12-30T20:54:00"/>
    <n v="135"/>
    <b v="0"/>
    <b v="0"/>
    <x v="0"/>
    <x v="0"/>
    <n v="70"/>
    <x v="2"/>
    <n v="63"/>
    <x v="1"/>
    <n v="0"/>
    <n v="63"/>
    <s v="All hours + Priority access"/>
    <s v="Bakersfield, CA"/>
    <n v="35.3733"/>
    <n v="-119.0187"/>
    <d v="2023-02-20T00:00:00"/>
    <n v="0"/>
    <x v="0"/>
    <x v="26"/>
  </r>
  <r>
    <n v="47"/>
    <x v="0"/>
    <n v="3"/>
    <s v="Fri, Sat, Tue"/>
    <b v="1"/>
    <d v="1899-12-30T12:51:00"/>
    <d v="1899-12-30T14:37:00"/>
    <n v="106"/>
    <b v="0"/>
    <b v="1"/>
    <x v="1"/>
    <x v="1"/>
    <n v="50"/>
    <x v="0"/>
    <n v="50"/>
    <x v="2"/>
    <n v="0.1"/>
    <n v="45"/>
    <s v="All hours"/>
    <s v="Oakland, CA"/>
    <n v="37.804400000000001"/>
    <n v="-122.27119999999999"/>
    <d v="2024-06-26T00:00:00"/>
    <n v="7"/>
    <x v="0"/>
    <x v="55"/>
  </r>
  <r>
    <n v="40"/>
    <x v="0"/>
    <n v="2"/>
    <s v="Sun, Thu"/>
    <b v="0"/>
    <d v="1899-12-30T11:37:00"/>
    <d v="1899-12-30T14:23:00"/>
    <n v="166"/>
    <b v="0"/>
    <b v="1"/>
    <x v="1"/>
    <x v="0"/>
    <n v="50"/>
    <x v="0"/>
    <n v="50"/>
    <x v="1"/>
    <n v="0"/>
    <n v="50"/>
    <s v="All hours"/>
    <s v="San Jose, CA"/>
    <n v="37.338200000000001"/>
    <n v="-121.88630000000001"/>
    <d v="2023-02-06T00:00:00"/>
    <n v="2"/>
    <x v="0"/>
    <x v="26"/>
  </r>
  <r>
    <n v="26"/>
    <x v="1"/>
    <n v="3"/>
    <s v="Sat, Thu, Tue"/>
    <b v="0"/>
    <d v="1899-12-30T14:11:00"/>
    <d v="1899-12-30T15:11:00"/>
    <n v="60"/>
    <b v="1"/>
    <b v="0"/>
    <x v="0"/>
    <x v="4"/>
    <n v="30"/>
    <x v="2"/>
    <n v="27"/>
    <x v="2"/>
    <n v="0.1"/>
    <n v="24.3"/>
    <s v="Weekdays only"/>
    <s v="Anaheim, CA"/>
    <n v="33.836599999999997"/>
    <n v="-117.9143"/>
    <d v="2025-03-29T00:00:00"/>
    <n v="0"/>
    <x v="1"/>
    <x v="42"/>
  </r>
  <r>
    <n v="33"/>
    <x v="3"/>
    <n v="3"/>
    <s v="Mon, Sat, Thu"/>
    <b v="0"/>
    <d v="1899-12-30T19:30:00"/>
    <d v="1899-12-30T21:59:00"/>
    <n v="149"/>
    <b v="1"/>
    <b v="0"/>
    <x v="1"/>
    <x v="0"/>
    <n v="70"/>
    <x v="1"/>
    <n v="52.5"/>
    <x v="1"/>
    <n v="0"/>
    <n v="52.5"/>
    <s v="All hours + Priority access"/>
    <s v="Fresno, CA"/>
    <n v="36.7378"/>
    <n v="-119.7871"/>
    <d v="2022-11-13T00:00:00"/>
    <n v="0"/>
    <x v="1"/>
    <x v="37"/>
  </r>
  <r>
    <n v="36"/>
    <x v="2"/>
    <n v="1"/>
    <s v="Tue"/>
    <b v="1"/>
    <d v="1899-12-30T20:44:00"/>
    <d v="1899-12-30T22:22:00"/>
    <n v="98"/>
    <b v="1"/>
    <b v="1"/>
    <x v="1"/>
    <x v="4"/>
    <n v="20"/>
    <x v="1"/>
    <n v="15"/>
    <x v="1"/>
    <n v="0"/>
    <n v="15"/>
    <s v="Off-peak only"/>
    <s v="Oakland, CA"/>
    <n v="37.804400000000001"/>
    <n v="-122.27119999999999"/>
    <d v="2023-11-17T00:00:00"/>
    <n v="7"/>
    <x v="0"/>
    <x v="35"/>
  </r>
  <r>
    <n v="24"/>
    <x v="2"/>
    <n v="4"/>
    <s v="Mon, Sat, Sun, Thu"/>
    <b v="1"/>
    <d v="1899-12-30T11:43:00"/>
    <d v="1899-12-30T12:27:00"/>
    <n v="44"/>
    <b v="1"/>
    <b v="0"/>
    <x v="0"/>
    <x v="4"/>
    <n v="20"/>
    <x v="0"/>
    <n v="20"/>
    <x v="1"/>
    <n v="0"/>
    <n v="20"/>
    <s v="Off-peak only"/>
    <s v="San Jose, CA"/>
    <n v="37.338200000000001"/>
    <n v="-121.88630000000001"/>
    <d v="2023-02-03T00:00:00"/>
    <n v="0"/>
    <x v="1"/>
    <x v="11"/>
  </r>
  <r>
    <n v="46"/>
    <x v="0"/>
    <n v="5"/>
    <s v="Fri, Mon, Sat, Tue, Wed"/>
    <b v="1"/>
    <d v="1899-12-30T09:41:00"/>
    <d v="1899-12-30T12:38:00"/>
    <n v="177"/>
    <b v="1"/>
    <b v="1"/>
    <x v="1"/>
    <x v="2"/>
    <n v="50"/>
    <x v="0"/>
    <n v="50"/>
    <x v="2"/>
    <n v="0.1"/>
    <n v="45"/>
    <s v="All hours"/>
    <s v="Oakland, CA"/>
    <n v="37.804400000000001"/>
    <n v="-122.27119999999999"/>
    <d v="2024-02-27T00:00:00"/>
    <n v="5"/>
    <x v="1"/>
    <x v="21"/>
  </r>
  <r>
    <n v="37"/>
    <x v="2"/>
    <n v="3"/>
    <s v="Sun, Thu, Tue"/>
    <b v="0"/>
    <d v="1899-12-30T14:33:00"/>
    <d v="1899-12-30T15:10:00"/>
    <n v="37"/>
    <b v="0"/>
    <b v="0"/>
    <x v="0"/>
    <x v="1"/>
    <n v="20"/>
    <x v="0"/>
    <n v="20"/>
    <x v="0"/>
    <n v="0.05"/>
    <n v="19"/>
    <s v="Off-peak only"/>
    <s v="Sacramento, CA"/>
    <n v="38.581600000000002"/>
    <n v="-121.4944"/>
    <d v="2023-08-07T00:00:00"/>
    <n v="0"/>
    <x v="1"/>
    <x v="47"/>
  </r>
  <r>
    <n v="28"/>
    <x v="2"/>
    <n v="2"/>
    <s v="Fri, Tue"/>
    <b v="0"/>
    <d v="1899-12-30T14:12:00"/>
    <d v="1899-12-30T15:26:00"/>
    <n v="74"/>
    <b v="1"/>
    <b v="0"/>
    <x v="0"/>
    <x v="4"/>
    <n v="20"/>
    <x v="0"/>
    <n v="20"/>
    <x v="0"/>
    <n v="0.05"/>
    <n v="19"/>
    <s v="Off-peak only"/>
    <s v="Oakland, CA"/>
    <n v="37.804400000000001"/>
    <n v="-122.27119999999999"/>
    <d v="2023-12-10T00:00:00"/>
    <n v="0"/>
    <x v="1"/>
    <x v="16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3-05-05T00:00:00"/>
    <n v="1"/>
    <x v="0"/>
    <x v="2"/>
  </r>
  <r>
    <n v="26"/>
    <x v="0"/>
    <n v="3"/>
    <s v="Fri, Thu, Wed"/>
    <b v="1"/>
    <d v="1899-12-30T18:41:00"/>
    <d v="1899-12-30T21:00:00"/>
    <n v="139"/>
    <b v="1"/>
    <b v="1"/>
    <x v="1"/>
    <x v="4"/>
    <n v="50"/>
    <x v="2"/>
    <n v="45"/>
    <x v="1"/>
    <n v="0"/>
    <n v="45"/>
    <s v="All hours"/>
    <s v="Anaheim, CA"/>
    <n v="33.836599999999997"/>
    <n v="-117.9143"/>
    <d v="2025-03-28T00:00:00"/>
    <n v="2"/>
    <x v="0"/>
    <x v="42"/>
  </r>
  <r>
    <n v="22"/>
    <x v="1"/>
    <n v="3"/>
    <s v="Fri, Sun, Tue"/>
    <b v="0"/>
    <d v="1899-12-30T17:13:00"/>
    <d v="1899-12-30T18:24:00"/>
    <n v="71"/>
    <b v="0"/>
    <b v="0"/>
    <x v="1"/>
    <x v="2"/>
    <n v="30"/>
    <x v="1"/>
    <n v="22.5"/>
    <x v="0"/>
    <n v="0.05"/>
    <n v="21.375"/>
    <s v="Weekdays only"/>
    <s v="San Diego, CA"/>
    <n v="32.715699999999998"/>
    <n v="-117.1611"/>
    <d v="2025-04-19T00:00:00"/>
    <n v="0"/>
    <x v="1"/>
    <x v="5"/>
  </r>
  <r>
    <n v="14"/>
    <x v="1"/>
    <n v="3"/>
    <s v="Sat, Sun, Tue"/>
    <b v="0"/>
    <d v="1899-12-30T08:34:00"/>
    <d v="1899-12-30T10:49:00"/>
    <n v="135"/>
    <b v="0"/>
    <b v="0"/>
    <x v="1"/>
    <x v="4"/>
    <n v="30"/>
    <x v="2"/>
    <n v="27"/>
    <x v="1"/>
    <n v="0"/>
    <n v="27"/>
    <s v="Weekdays only"/>
    <s v="San Diego, CA"/>
    <n v="32.715699999999998"/>
    <n v="-117.1611"/>
    <d v="2024-10-02T00:00:00"/>
    <n v="0"/>
    <x v="0"/>
    <x v="51"/>
  </r>
  <r>
    <n v="47"/>
    <x v="0"/>
    <n v="2"/>
    <s v="Mon, Sat"/>
    <b v="1"/>
    <d v="1899-12-30T08:39:00"/>
    <d v="1899-12-30T09:38:00"/>
    <n v="59"/>
    <b v="1"/>
    <b v="1"/>
    <x v="1"/>
    <x v="3"/>
    <n v="50"/>
    <x v="1"/>
    <n v="37.5"/>
    <x v="2"/>
    <n v="0.1"/>
    <n v="33.75"/>
    <s v="All hours"/>
    <s v="San Diego, CA"/>
    <n v="32.715699999999998"/>
    <n v="-117.1611"/>
    <d v="2025-01-04T00:00:00"/>
    <n v="2"/>
    <x v="1"/>
    <x v="4"/>
  </r>
  <r>
    <n v="32"/>
    <x v="0"/>
    <n v="3"/>
    <s v="Mon, Sun, Wed"/>
    <b v="0"/>
    <d v="1899-12-30T17:30:00"/>
    <d v="1899-12-30T20:14:00"/>
    <n v="164"/>
    <b v="0"/>
    <b v="1"/>
    <x v="1"/>
    <x v="4"/>
    <n v="50"/>
    <x v="0"/>
    <n v="50"/>
    <x v="1"/>
    <n v="0"/>
    <n v="50"/>
    <s v="All hours"/>
    <s v="Los Angeles, CA"/>
    <n v="34.052199999999999"/>
    <n v="-118.2437"/>
    <d v="2022-12-07T00:00:00"/>
    <n v="3"/>
    <x v="0"/>
    <x v="54"/>
  </r>
  <r>
    <n v="35"/>
    <x v="0"/>
    <n v="2"/>
    <s v="Fri, Sun"/>
    <b v="1"/>
    <d v="1899-12-30T14:22:00"/>
    <d v="1899-12-30T15:43:00"/>
    <n v="81"/>
    <b v="1"/>
    <b v="0"/>
    <x v="0"/>
    <x v="1"/>
    <n v="50"/>
    <x v="1"/>
    <n v="37.5"/>
    <x v="0"/>
    <n v="0.05"/>
    <n v="35.625"/>
    <s v="All hours"/>
    <s v="Oakland, CA"/>
    <n v="37.804400000000001"/>
    <n v="-122.27119999999999"/>
    <d v="2024-11-01T00:00:00"/>
    <n v="0"/>
    <x v="0"/>
    <x v="53"/>
  </r>
  <r>
    <n v="39"/>
    <x v="0"/>
    <n v="4"/>
    <s v="Mon, Sat, Sun, Thu"/>
    <b v="0"/>
    <d v="1899-12-30T17:07:00"/>
    <d v="1899-12-30T17:55:00"/>
    <n v="48"/>
    <b v="0"/>
    <b v="0"/>
    <x v="1"/>
    <x v="2"/>
    <n v="50"/>
    <x v="2"/>
    <n v="45"/>
    <x v="0"/>
    <n v="0.05"/>
    <n v="42.75"/>
    <s v="All hours"/>
    <s v="San Diego, CA"/>
    <n v="32.715699999999998"/>
    <n v="-117.1611"/>
    <d v="2022-08-18T00:00:00"/>
    <n v="0"/>
    <x v="0"/>
    <x v="10"/>
  </r>
  <r>
    <n v="36"/>
    <x v="1"/>
    <n v="4"/>
    <s v="Sat, Thu, Tue, Wed"/>
    <b v="0"/>
    <d v="1899-12-30T17:34:00"/>
    <d v="1899-12-30T18:06:00"/>
    <n v="32"/>
    <b v="1"/>
    <b v="1"/>
    <x v="0"/>
    <x v="4"/>
    <n v="30"/>
    <x v="0"/>
    <n v="30"/>
    <x v="3"/>
    <n v="0.15"/>
    <n v="25.5"/>
    <s v="Weekdays only"/>
    <s v="Bakersfield, CA"/>
    <n v="35.3733"/>
    <n v="-119.0187"/>
    <d v="2024-06-29T00:00:00"/>
    <n v="3"/>
    <x v="1"/>
    <x v="55"/>
  </r>
  <r>
    <n v="12"/>
    <x v="2"/>
    <n v="3"/>
    <s v="Fri, Sun, Thu"/>
    <b v="1"/>
    <d v="1899-12-30T19:57:00"/>
    <d v="1899-12-30T21:28:00"/>
    <n v="91"/>
    <b v="1"/>
    <b v="0"/>
    <x v="0"/>
    <x v="0"/>
    <n v="20"/>
    <x v="0"/>
    <n v="20"/>
    <x v="2"/>
    <n v="0.1"/>
    <n v="18"/>
    <s v="Off-peak only"/>
    <s v="Bakersfield, CA"/>
    <n v="35.3733"/>
    <n v="-119.0187"/>
    <d v="2024-12-11T00:00:00"/>
    <n v="0"/>
    <x v="1"/>
    <x v="13"/>
  </r>
  <r>
    <n v="23"/>
    <x v="0"/>
    <n v="5"/>
    <s v="Fri, Mon, Sun, Tue, Wed"/>
    <b v="0"/>
    <d v="1899-12-30T16:33:00"/>
    <d v="1899-12-30T18:03:00"/>
    <n v="90"/>
    <b v="0"/>
    <b v="0"/>
    <x v="0"/>
    <x v="0"/>
    <n v="50"/>
    <x v="0"/>
    <n v="50"/>
    <x v="0"/>
    <n v="0.05"/>
    <n v="47.5"/>
    <s v="All hours"/>
    <s v="Long Beach, CA"/>
    <n v="33.770099999999999"/>
    <n v="-118.19370000000001"/>
    <d v="2023-03-04T00:00:00"/>
    <n v="0"/>
    <x v="0"/>
    <x v="22"/>
  </r>
  <r>
    <n v="48"/>
    <x v="1"/>
    <n v="3"/>
    <s v="Mon, Sat, Tue"/>
    <b v="1"/>
    <d v="1899-12-30T20:37:00"/>
    <d v="1899-12-30T21:48:00"/>
    <n v="71"/>
    <b v="0"/>
    <b v="1"/>
    <x v="1"/>
    <x v="3"/>
    <n v="30"/>
    <x v="0"/>
    <n v="30"/>
    <x v="1"/>
    <n v="0"/>
    <n v="30"/>
    <s v="Weekdays only"/>
    <s v="San Jose, CA"/>
    <n v="37.338200000000001"/>
    <n v="-121.88630000000001"/>
    <d v="2023-07-22T00:00:00"/>
    <n v="5"/>
    <x v="1"/>
    <x v="34"/>
  </r>
  <r>
    <n v="32"/>
    <x v="0"/>
    <n v="3"/>
    <s v="Fri, Tue, Wed"/>
    <b v="1"/>
    <d v="1899-12-30T17:47:00"/>
    <d v="1899-12-30T19:28:00"/>
    <n v="101"/>
    <b v="0"/>
    <b v="0"/>
    <x v="1"/>
    <x v="4"/>
    <n v="50"/>
    <x v="2"/>
    <n v="45"/>
    <x v="2"/>
    <n v="0.1"/>
    <n v="40.5"/>
    <s v="All hours"/>
    <s v="Fresno, CA"/>
    <n v="36.7378"/>
    <n v="-119.7871"/>
    <d v="2024-01-09T00:00:00"/>
    <n v="0"/>
    <x v="1"/>
    <x v="31"/>
  </r>
  <r>
    <n v="45"/>
    <x v="1"/>
    <n v="2"/>
    <s v="Sat, Tue"/>
    <b v="1"/>
    <d v="1899-12-30T15:59:00"/>
    <d v="1899-12-30T18:46:00"/>
    <n v="167"/>
    <b v="0"/>
    <b v="1"/>
    <x v="1"/>
    <x v="4"/>
    <n v="30"/>
    <x v="0"/>
    <n v="30"/>
    <x v="3"/>
    <n v="0.15"/>
    <n v="25.5"/>
    <s v="Weekdays only"/>
    <s v="San Francisco, CA"/>
    <n v="37.774900000000002"/>
    <n v="-122.4194"/>
    <d v="2023-11-09T00:00:00"/>
    <n v="2"/>
    <x v="1"/>
    <x v="50"/>
  </r>
  <r>
    <n v="32"/>
    <x v="0"/>
    <n v="3"/>
    <s v="Sat, Tue, Wed"/>
    <b v="0"/>
    <d v="1899-12-30T20:34:00"/>
    <d v="1899-12-30T21:40:00"/>
    <n v="66"/>
    <b v="0"/>
    <b v="1"/>
    <x v="1"/>
    <x v="1"/>
    <n v="50"/>
    <x v="2"/>
    <n v="45"/>
    <x v="2"/>
    <n v="0.1"/>
    <n v="40.5"/>
    <s v="All hours"/>
    <s v="Sacramento, CA"/>
    <n v="38.581600000000002"/>
    <n v="-121.4944"/>
    <d v="2023-05-19T00:00:00"/>
    <n v="6"/>
    <x v="0"/>
    <x v="2"/>
  </r>
  <r>
    <n v="33"/>
    <x v="1"/>
    <n v="3"/>
    <s v="Sat, Sun, Wed"/>
    <b v="1"/>
    <d v="1899-12-30T16:59:00"/>
    <d v="1899-12-30T18:31:00"/>
    <n v="92"/>
    <b v="1"/>
    <b v="1"/>
    <x v="0"/>
    <x v="2"/>
    <n v="30"/>
    <x v="1"/>
    <n v="22.5"/>
    <x v="3"/>
    <n v="0.15"/>
    <n v="19.125"/>
    <s v="Weekdays only"/>
    <s v="Long Beach, CA"/>
    <n v="33.770099999999999"/>
    <n v="-118.19370000000001"/>
    <d v="2024-10-22T00:00:00"/>
    <n v="2"/>
    <x v="0"/>
    <x v="53"/>
  </r>
  <r>
    <n v="21"/>
    <x v="2"/>
    <n v="5"/>
    <s v="Fri, Mon, Sat, Tue, Wed"/>
    <b v="1"/>
    <d v="1899-12-30T11:36:00"/>
    <d v="1899-12-30T14:23:00"/>
    <n v="167"/>
    <b v="0"/>
    <b v="0"/>
    <x v="0"/>
    <x v="4"/>
    <n v="20"/>
    <x v="1"/>
    <n v="15"/>
    <x v="1"/>
    <n v="0"/>
    <n v="15"/>
    <s v="Off-peak only"/>
    <s v="Anaheim, CA"/>
    <n v="33.836599999999997"/>
    <n v="-117.9143"/>
    <d v="2022-07-27T00:00:00"/>
    <n v="0"/>
    <x v="1"/>
    <x v="43"/>
  </r>
  <r>
    <n v="44"/>
    <x v="1"/>
    <n v="2"/>
    <s v="Thu, Tue"/>
    <b v="0"/>
    <d v="1899-12-30T12:01:00"/>
    <d v="1899-12-30T14:07:00"/>
    <n v="126"/>
    <b v="0"/>
    <b v="0"/>
    <x v="1"/>
    <x v="4"/>
    <n v="30"/>
    <x v="1"/>
    <n v="22.5"/>
    <x v="1"/>
    <n v="0"/>
    <n v="22.5"/>
    <s v="Weekdays only"/>
    <s v="San Francisco, CA"/>
    <n v="37.774900000000002"/>
    <n v="-122.4194"/>
    <d v="2022-08-19T00:00:00"/>
    <n v="0"/>
    <x v="0"/>
    <x v="10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3-07-31T00:00:00"/>
    <n v="3"/>
    <x v="0"/>
    <x v="34"/>
  </r>
  <r>
    <n v="14"/>
    <x v="0"/>
    <n v="2"/>
    <s v="Mon, Wed"/>
    <b v="1"/>
    <d v="1899-12-30T10:33:00"/>
    <d v="1899-12-30T12:57:00"/>
    <n v="144"/>
    <b v="1"/>
    <b v="0"/>
    <x v="1"/>
    <x v="3"/>
    <n v="50"/>
    <x v="1"/>
    <n v="37.5"/>
    <x v="1"/>
    <n v="0"/>
    <n v="37.5"/>
    <s v="All hours"/>
    <s v="Long Beach, CA"/>
    <n v="33.770099999999999"/>
    <n v="-118.19370000000001"/>
    <d v="2024-11-22T00:00:00"/>
    <n v="0"/>
    <x v="1"/>
    <x v="14"/>
  </r>
  <r>
    <n v="13"/>
    <x v="2"/>
    <n v="1"/>
    <s v="Sat"/>
    <b v="1"/>
    <d v="1899-12-30T11:55:00"/>
    <d v="1899-12-30T12:55:00"/>
    <n v="60"/>
    <b v="0"/>
    <b v="0"/>
    <x v="1"/>
    <x v="4"/>
    <n v="20"/>
    <x v="1"/>
    <n v="15"/>
    <x v="0"/>
    <n v="0.05"/>
    <n v="14.25"/>
    <s v="Off-peak only"/>
    <s v="Long Beach, CA"/>
    <n v="33.770099999999999"/>
    <n v="-118.19370000000001"/>
    <d v="2023-06-29T00:00:00"/>
    <n v="0"/>
    <x v="1"/>
    <x v="56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5-04-07T00:00:00"/>
    <n v="6"/>
    <x v="0"/>
    <x v="42"/>
  </r>
  <r>
    <n v="33"/>
    <x v="1"/>
    <n v="3"/>
    <s v="Sat, Sun, Wed"/>
    <b v="1"/>
    <d v="1899-12-30T16:59:00"/>
    <d v="1899-12-30T18:31:00"/>
    <n v="92"/>
    <b v="1"/>
    <b v="1"/>
    <x v="0"/>
    <x v="2"/>
    <n v="30"/>
    <x v="1"/>
    <n v="22.5"/>
    <x v="3"/>
    <n v="0.15"/>
    <n v="19.125"/>
    <s v="Weekdays only"/>
    <s v="Long Beach, CA"/>
    <n v="33.770099999999999"/>
    <n v="-118.19370000000001"/>
    <d v="2025-05-21T00:00:00"/>
    <n v="1"/>
    <x v="1"/>
    <x v="9"/>
  </r>
  <r>
    <n v="16"/>
    <x v="2"/>
    <n v="3"/>
    <s v="Fri, Sun, Wed"/>
    <b v="1"/>
    <d v="1899-12-30T14:53:00"/>
    <d v="1899-12-30T17:02:00"/>
    <n v="129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4-09-21T00:00:00"/>
    <n v="0"/>
    <x v="1"/>
    <x v="33"/>
  </r>
  <r>
    <n v="28"/>
    <x v="2"/>
    <n v="3"/>
    <s v="Sun, Thu, Tue"/>
    <b v="0"/>
    <d v="1899-12-30T10:17:00"/>
    <d v="1899-12-30T11:47:00"/>
    <n v="90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4-02-16T00:00:00"/>
    <n v="1"/>
    <x v="1"/>
    <x v="21"/>
  </r>
  <r>
    <n v="14"/>
    <x v="1"/>
    <n v="3"/>
    <s v="Sat, Sun, Tue"/>
    <b v="0"/>
    <d v="1899-12-30T08:34:00"/>
    <d v="1899-12-30T10:49:00"/>
    <n v="135"/>
    <b v="0"/>
    <b v="0"/>
    <x v="1"/>
    <x v="4"/>
    <n v="30"/>
    <x v="2"/>
    <n v="27"/>
    <x v="1"/>
    <n v="0"/>
    <n v="27"/>
    <s v="Weekdays only"/>
    <s v="San Diego, CA"/>
    <n v="32.715699999999998"/>
    <n v="-117.1611"/>
    <d v="2022-12-11T00:00:00"/>
    <n v="0"/>
    <x v="1"/>
    <x v="54"/>
  </r>
  <r>
    <n v="16"/>
    <x v="0"/>
    <n v="4"/>
    <s v="Mon, Sun, Thu, Tue"/>
    <b v="1"/>
    <d v="1899-12-30T16:21:00"/>
    <d v="1899-12-30T17:38:00"/>
    <n v="77"/>
    <b v="0"/>
    <b v="1"/>
    <x v="0"/>
    <x v="4"/>
    <n v="50"/>
    <x v="0"/>
    <n v="50"/>
    <x v="2"/>
    <n v="0.1"/>
    <n v="45"/>
    <s v="All hours"/>
    <s v="San Diego, CA"/>
    <n v="32.715699999999998"/>
    <n v="-117.1611"/>
    <d v="2023-05-10T00:00:00"/>
    <n v="7"/>
    <x v="1"/>
    <x v="2"/>
  </r>
  <r>
    <n v="49"/>
    <x v="0"/>
    <n v="1"/>
    <s v="Tue"/>
    <b v="1"/>
    <d v="1899-12-30T20:23:00"/>
    <d v="1899-12-30T21:08:00"/>
    <n v="45"/>
    <b v="1"/>
    <b v="0"/>
    <x v="1"/>
    <x v="0"/>
    <n v="50"/>
    <x v="0"/>
    <n v="50"/>
    <x v="3"/>
    <n v="0.15"/>
    <n v="42.5"/>
    <s v="All hours"/>
    <s v="San Jose, CA"/>
    <n v="37.338200000000001"/>
    <n v="-121.88630000000001"/>
    <d v="2023-04-24T00:00:00"/>
    <n v="0"/>
    <x v="0"/>
    <x v="58"/>
  </r>
  <r>
    <n v="22"/>
    <x v="0"/>
    <n v="1"/>
    <s v="Fri"/>
    <b v="0"/>
    <d v="1899-12-30T11:31:00"/>
    <d v="1899-12-30T12:13:00"/>
    <n v="42"/>
    <b v="1"/>
    <b v="1"/>
    <x v="1"/>
    <x v="0"/>
    <n v="50"/>
    <x v="0"/>
    <n v="50"/>
    <x v="0"/>
    <n v="0.05"/>
    <n v="47.5"/>
    <s v="All hours"/>
    <s v="San Jose, CA"/>
    <n v="37.338200000000001"/>
    <n v="-121.88630000000001"/>
    <d v="2024-03-26T00:00:00"/>
    <n v="4"/>
    <x v="0"/>
    <x v="17"/>
  </r>
  <r>
    <n v="49"/>
    <x v="0"/>
    <n v="1"/>
    <s v="Tue"/>
    <b v="1"/>
    <d v="1899-12-30T16:18:00"/>
    <d v="1899-12-30T17:35:00"/>
    <n v="77"/>
    <b v="1"/>
    <b v="0"/>
    <x v="0"/>
    <x v="0"/>
    <n v="50"/>
    <x v="0"/>
    <n v="50"/>
    <x v="1"/>
    <n v="0"/>
    <n v="50"/>
    <s v="All hours"/>
    <s v="San Jose, CA"/>
    <n v="37.338200000000001"/>
    <n v="-121.88630000000001"/>
    <d v="2024-06-19T00:00:00"/>
    <n v="0"/>
    <x v="0"/>
    <x v="55"/>
  </r>
  <r>
    <n v="14"/>
    <x v="0"/>
    <n v="3"/>
    <s v="Mon, Sat, Thu"/>
    <b v="0"/>
    <d v="1899-12-30T08:40:00"/>
    <d v="1899-12-30T10:15:00"/>
    <n v="95"/>
    <b v="0"/>
    <b v="1"/>
    <x v="1"/>
    <x v="4"/>
    <n v="50"/>
    <x v="1"/>
    <n v="37.5"/>
    <x v="3"/>
    <n v="0.15"/>
    <n v="31.875"/>
    <s v="All hours"/>
    <s v="San Francisco, CA"/>
    <n v="37.774900000000002"/>
    <n v="-122.4194"/>
    <d v="2024-05-23T00:00:00"/>
    <n v="3"/>
    <x v="0"/>
    <x v="0"/>
  </r>
  <r>
    <n v="49"/>
    <x v="1"/>
    <n v="2"/>
    <s v="Sat, Wed"/>
    <b v="0"/>
    <d v="1899-12-30T15:41:00"/>
    <d v="1899-12-30T17:45:00"/>
    <n v="124"/>
    <b v="1"/>
    <b v="0"/>
    <x v="0"/>
    <x v="0"/>
    <n v="30"/>
    <x v="0"/>
    <n v="30"/>
    <x v="2"/>
    <n v="0.1"/>
    <n v="27"/>
    <s v="Weekdays only"/>
    <s v="Los Angeles, CA"/>
    <n v="34.052199999999999"/>
    <n v="-118.2437"/>
    <d v="2022-08-06T00:00:00"/>
    <n v="0"/>
    <x v="1"/>
    <x v="43"/>
  </r>
  <r>
    <n v="28"/>
    <x v="0"/>
    <n v="1"/>
    <s v="Sun"/>
    <b v="0"/>
    <d v="1899-12-30T11:49:00"/>
    <d v="1899-12-30T14:11:00"/>
    <n v="142"/>
    <b v="1"/>
    <b v="1"/>
    <x v="1"/>
    <x v="2"/>
    <n v="50"/>
    <x v="0"/>
    <n v="50"/>
    <x v="2"/>
    <n v="0.1"/>
    <n v="45"/>
    <s v="All hours"/>
    <s v="Sacramento, CA"/>
    <n v="38.581600000000002"/>
    <n v="-121.4944"/>
    <d v="2025-05-11T00:00:00"/>
    <n v="4"/>
    <x v="0"/>
    <x v="24"/>
  </r>
  <r>
    <n v="21"/>
    <x v="0"/>
    <n v="1"/>
    <s v="Sun"/>
    <b v="1"/>
    <d v="1899-12-30T14:34:00"/>
    <d v="1899-12-30T15:04:00"/>
    <n v="30"/>
    <b v="1"/>
    <b v="1"/>
    <x v="1"/>
    <x v="0"/>
    <n v="50"/>
    <x v="1"/>
    <n v="37.5"/>
    <x v="1"/>
    <n v="0"/>
    <n v="37.5"/>
    <s v="All hours"/>
    <s v="Long Beach, CA"/>
    <n v="33.770099999999999"/>
    <n v="-118.19370000000001"/>
    <d v="2022-12-12T00:00:00"/>
    <n v="6"/>
    <x v="0"/>
    <x v="54"/>
  </r>
  <r>
    <n v="21"/>
    <x v="3"/>
    <n v="2"/>
    <s v="Mon, Wed"/>
    <b v="0"/>
    <d v="1899-12-30T20:10:00"/>
    <d v="1899-12-30T21:56:00"/>
    <n v="106"/>
    <b v="0"/>
    <b v="0"/>
    <x v="1"/>
    <x v="0"/>
    <n v="70"/>
    <x v="1"/>
    <n v="52.5"/>
    <x v="1"/>
    <n v="0"/>
    <n v="52.5"/>
    <s v="All hours + Priority access"/>
    <s v="Fresno, CA"/>
    <n v="36.7378"/>
    <n v="-119.7871"/>
    <d v="2023-10-15T00:00:00"/>
    <n v="0"/>
    <x v="0"/>
    <x v="59"/>
  </r>
  <r>
    <n v="49"/>
    <x v="0"/>
    <n v="1"/>
    <s v="Tue"/>
    <b v="1"/>
    <d v="1899-12-30T16:18:00"/>
    <d v="1899-12-30T17:35:00"/>
    <n v="77"/>
    <b v="1"/>
    <b v="0"/>
    <x v="0"/>
    <x v="0"/>
    <n v="50"/>
    <x v="0"/>
    <n v="50"/>
    <x v="1"/>
    <n v="0"/>
    <n v="50"/>
    <s v="All hours"/>
    <s v="San Jose, CA"/>
    <n v="37.338200000000001"/>
    <n v="-121.88630000000001"/>
    <d v="2024-03-12T00:00:00"/>
    <n v="0"/>
    <x v="0"/>
    <x v="29"/>
  </r>
  <r>
    <n v="24"/>
    <x v="3"/>
    <n v="4"/>
    <s v="Fri, Sat, Sun, Tue"/>
    <b v="0"/>
    <d v="1899-12-30T15:28:00"/>
    <d v="1899-12-30T16:34:00"/>
    <n v="66"/>
    <b v="0"/>
    <b v="1"/>
    <x v="0"/>
    <x v="0"/>
    <n v="70"/>
    <x v="0"/>
    <n v="70"/>
    <x v="2"/>
    <n v="0.1"/>
    <n v="63"/>
    <s v="All hours + Priority access"/>
    <s v="Fresno, CA"/>
    <n v="36.7378"/>
    <n v="-119.7871"/>
    <d v="2023-05-12T00:00:00"/>
    <n v="3"/>
    <x v="0"/>
    <x v="2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4-01-21T00:00:00"/>
    <n v="0"/>
    <x v="0"/>
    <x v="31"/>
  </r>
  <r>
    <n v="40"/>
    <x v="2"/>
    <n v="1"/>
    <s v="Sat"/>
    <b v="0"/>
    <d v="1899-12-30T10:28:00"/>
    <d v="1899-12-30T13:25:00"/>
    <n v="177"/>
    <b v="0"/>
    <b v="0"/>
    <x v="1"/>
    <x v="4"/>
    <n v="20"/>
    <x v="1"/>
    <n v="15"/>
    <x v="3"/>
    <n v="0.15"/>
    <n v="12.75"/>
    <s v="Off-peak only"/>
    <s v="San Francisco, CA"/>
    <n v="37.774900000000002"/>
    <n v="-122.4194"/>
    <d v="2022-12-05T00:00:00"/>
    <n v="0"/>
    <x v="0"/>
    <x v="54"/>
  </r>
  <r>
    <n v="48"/>
    <x v="1"/>
    <n v="4"/>
    <s v="Mon, Sun, Thu, Wed"/>
    <b v="0"/>
    <d v="1899-12-30T13:33:00"/>
    <d v="1899-12-30T14:08:00"/>
    <n v="35"/>
    <b v="1"/>
    <b v="0"/>
    <x v="0"/>
    <x v="4"/>
    <n v="30"/>
    <x v="0"/>
    <n v="30"/>
    <x v="2"/>
    <n v="0.1"/>
    <n v="27"/>
    <s v="Weekdays only"/>
    <s v="Oakland, CA"/>
    <n v="37.804400000000001"/>
    <n v="-122.27119999999999"/>
    <d v="2022-11-06T00:00:00"/>
    <n v="0"/>
    <x v="1"/>
    <x v="32"/>
  </r>
  <r>
    <n v="41"/>
    <x v="1"/>
    <n v="2"/>
    <s v="Sun, Tue"/>
    <b v="0"/>
    <d v="1899-12-30T13:55:00"/>
    <d v="1899-12-30T16:22:00"/>
    <n v="147"/>
    <b v="0"/>
    <b v="0"/>
    <x v="1"/>
    <x v="0"/>
    <n v="30"/>
    <x v="0"/>
    <n v="30"/>
    <x v="3"/>
    <n v="0.15"/>
    <n v="25.5"/>
    <s v="Weekdays only"/>
    <s v="Long Beach, CA"/>
    <n v="33.770099999999999"/>
    <n v="-118.19370000000001"/>
    <d v="2024-03-30T00:00:00"/>
    <n v="0"/>
    <x v="0"/>
    <x v="17"/>
  </r>
  <r>
    <n v="14"/>
    <x v="0"/>
    <n v="3"/>
    <s v="Sat, Sun, Tue"/>
    <b v="0"/>
    <d v="1899-12-30T14:36:00"/>
    <d v="1899-12-30T15:11:00"/>
    <n v="35"/>
    <b v="0"/>
    <b v="1"/>
    <x v="0"/>
    <x v="4"/>
    <n v="50"/>
    <x v="1"/>
    <n v="37.5"/>
    <x v="1"/>
    <n v="0"/>
    <n v="37.5"/>
    <s v="All hours"/>
    <s v="Bakersfield, CA"/>
    <n v="35.3733"/>
    <n v="-119.0187"/>
    <d v="2024-09-01T00:00:00"/>
    <n v="5"/>
    <x v="0"/>
    <x v="41"/>
  </r>
  <r>
    <n v="38"/>
    <x v="0"/>
    <n v="3"/>
    <s v="Fri, Thu, Wed"/>
    <b v="1"/>
    <d v="1899-12-30T08:17:00"/>
    <d v="1899-12-30T10:38:00"/>
    <n v="141"/>
    <b v="0"/>
    <b v="0"/>
    <x v="1"/>
    <x v="1"/>
    <n v="50"/>
    <x v="1"/>
    <n v="37.5"/>
    <x v="1"/>
    <n v="0"/>
    <n v="37.5"/>
    <s v="All hours"/>
    <s v="Anaheim, CA"/>
    <n v="33.836599999999997"/>
    <n v="-117.9143"/>
    <d v="2023-10-01T00:00:00"/>
    <n v="0"/>
    <x v="0"/>
    <x v="3"/>
  </r>
  <r>
    <n v="35"/>
    <x v="0"/>
    <n v="5"/>
    <s v="Sat, Sun, Thu, Tue, Wed"/>
    <b v="0"/>
    <d v="1899-12-30T13:07:00"/>
    <d v="1899-12-30T14:57:00"/>
    <n v="110"/>
    <b v="1"/>
    <b v="1"/>
    <x v="0"/>
    <x v="1"/>
    <n v="50"/>
    <x v="0"/>
    <n v="50"/>
    <x v="2"/>
    <n v="0.1"/>
    <n v="45"/>
    <s v="All hours"/>
    <s v="San Francisco, CA"/>
    <n v="37.774900000000002"/>
    <n v="-122.4194"/>
    <d v="2022-10-25T00:00:00"/>
    <n v="2"/>
    <x v="1"/>
    <x v="32"/>
  </r>
  <r>
    <n v="18"/>
    <x v="2"/>
    <n v="3"/>
    <s v="Mon, Thu, Wed"/>
    <b v="1"/>
    <d v="1899-12-30T14:33:00"/>
    <d v="1899-12-30T15:35:00"/>
    <n v="62"/>
    <b v="0"/>
    <b v="0"/>
    <x v="0"/>
    <x v="0"/>
    <n v="20"/>
    <x v="1"/>
    <n v="15"/>
    <x v="2"/>
    <n v="0.1"/>
    <n v="13.5"/>
    <s v="Off-peak only"/>
    <s v="Sacramento, CA"/>
    <n v="38.581600000000002"/>
    <n v="-121.4944"/>
    <d v="2024-11-10T00:00:00"/>
    <n v="0"/>
    <x v="1"/>
    <x v="12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3-08-29T00:00:00"/>
    <n v="0"/>
    <x v="0"/>
    <x v="46"/>
  </r>
  <r>
    <n v="17"/>
    <x v="3"/>
    <n v="5"/>
    <s v="Mon, Sat, Sun, Tue, Wed"/>
    <b v="1"/>
    <d v="1899-12-30T10:00:00"/>
    <d v="1899-12-30T11:55:00"/>
    <n v="115"/>
    <b v="1"/>
    <b v="0"/>
    <x v="0"/>
    <x v="4"/>
    <n v="70"/>
    <x v="1"/>
    <n v="52.5"/>
    <x v="1"/>
    <n v="0"/>
    <n v="52.5"/>
    <s v="All hours + Priority access"/>
    <s v="San Diego, CA"/>
    <n v="32.715699999999998"/>
    <n v="-117.1611"/>
    <d v="2023-08-20T00:00:00"/>
    <n v="0"/>
    <x v="0"/>
    <x v="46"/>
  </r>
  <r>
    <n v="31"/>
    <x v="0"/>
    <n v="4"/>
    <s v="Fri, Mon, Sat, Thu"/>
    <b v="0"/>
    <d v="1899-12-30T11:54:00"/>
    <d v="1899-12-30T13:21:00"/>
    <n v="87"/>
    <b v="0"/>
    <b v="0"/>
    <x v="1"/>
    <x v="0"/>
    <n v="50"/>
    <x v="1"/>
    <n v="37.5"/>
    <x v="1"/>
    <n v="0"/>
    <n v="37.5"/>
    <s v="All hours"/>
    <s v="Sacramento, CA"/>
    <n v="38.581600000000002"/>
    <n v="-121.4944"/>
    <d v="2023-05-04T00:00:00"/>
    <n v="0"/>
    <x v="0"/>
    <x v="2"/>
  </r>
  <r>
    <n v="45"/>
    <x v="1"/>
    <n v="5"/>
    <s v="Fri, Sat, Sun, Thu, Tue"/>
    <b v="0"/>
    <d v="1899-12-30T19:43:00"/>
    <d v="1899-12-30T21:01:00"/>
    <n v="78"/>
    <b v="1"/>
    <b v="0"/>
    <x v="0"/>
    <x v="1"/>
    <n v="30"/>
    <x v="0"/>
    <n v="30"/>
    <x v="3"/>
    <n v="0.15"/>
    <n v="25.5"/>
    <s v="Weekdays only"/>
    <s v="San Francisco, CA"/>
    <n v="37.774900000000002"/>
    <n v="-122.4194"/>
    <d v="2025-02-02T00:00:00"/>
    <n v="0"/>
    <x v="1"/>
    <x v="30"/>
  </r>
  <r>
    <n v="41"/>
    <x v="1"/>
    <n v="1"/>
    <s v="Fri"/>
    <b v="0"/>
    <d v="1899-12-30T13:50:00"/>
    <d v="1899-12-30T14:26:00"/>
    <n v="36"/>
    <b v="0"/>
    <b v="1"/>
    <x v="0"/>
    <x v="0"/>
    <n v="30"/>
    <x v="0"/>
    <n v="30"/>
    <x v="2"/>
    <n v="0.1"/>
    <n v="27"/>
    <s v="Weekdays only"/>
    <s v="Fresno, CA"/>
    <n v="36.7378"/>
    <n v="-119.7871"/>
    <d v="2023-05-22T00:00:00"/>
    <n v="5"/>
    <x v="0"/>
    <x v="8"/>
  </r>
  <r>
    <n v="12"/>
    <x v="0"/>
    <n v="5"/>
    <s v="Mon, Sun, Thu, Tue, Wed"/>
    <b v="1"/>
    <d v="1899-12-30T18:32:00"/>
    <d v="1899-12-30T19:28:00"/>
    <n v="56"/>
    <b v="1"/>
    <b v="0"/>
    <x v="1"/>
    <x v="0"/>
    <n v="50"/>
    <x v="0"/>
    <n v="50"/>
    <x v="2"/>
    <n v="0.1"/>
    <n v="45"/>
    <s v="All hours"/>
    <s v="San Jose, CA"/>
    <n v="37.338200000000001"/>
    <n v="-121.88630000000001"/>
    <d v="2022-10-28T00:00:00"/>
    <n v="0"/>
    <x v="1"/>
    <x v="32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4-12-13T00:00:00"/>
    <n v="6"/>
    <x v="1"/>
    <x v="13"/>
  </r>
  <r>
    <n v="19"/>
    <x v="0"/>
    <n v="2"/>
    <s v="Sun, Tue"/>
    <b v="1"/>
    <d v="1899-12-30T19:22:00"/>
    <d v="1899-12-30T20:25:00"/>
    <n v="63"/>
    <b v="0"/>
    <b v="0"/>
    <x v="0"/>
    <x v="4"/>
    <n v="50"/>
    <x v="1"/>
    <n v="37.5"/>
    <x v="1"/>
    <n v="0"/>
    <n v="37.5"/>
    <s v="All hours"/>
    <s v="Bakersfield, CA"/>
    <n v="35.3733"/>
    <n v="-119.0187"/>
    <d v="2024-10-13T00:00:00"/>
    <n v="0"/>
    <x v="1"/>
    <x v="51"/>
  </r>
  <r>
    <n v="24"/>
    <x v="1"/>
    <n v="1"/>
    <s v="Mon"/>
    <b v="0"/>
    <d v="1899-12-30T13:05:00"/>
    <d v="1899-12-30T15:29:00"/>
    <n v="144"/>
    <b v="0"/>
    <b v="1"/>
    <x v="1"/>
    <x v="1"/>
    <n v="30"/>
    <x v="0"/>
    <n v="30"/>
    <x v="1"/>
    <n v="0"/>
    <n v="30"/>
    <s v="Weekdays only"/>
    <s v="San Francisco, CA"/>
    <n v="37.774900000000002"/>
    <n v="-122.4194"/>
    <d v="2022-08-23T00:00:00"/>
    <n v="3"/>
    <x v="1"/>
    <x v="10"/>
  </r>
  <r>
    <n v="47"/>
    <x v="3"/>
    <n v="2"/>
    <s v="Sat, Tue"/>
    <b v="0"/>
    <d v="1899-12-30T13:19:00"/>
    <d v="1899-12-30T14:50:00"/>
    <n v="91"/>
    <b v="1"/>
    <b v="1"/>
    <x v="1"/>
    <x v="4"/>
    <n v="70"/>
    <x v="1"/>
    <n v="52.5"/>
    <x v="2"/>
    <n v="0.1"/>
    <n v="47.25"/>
    <s v="All hours + Priority access"/>
    <s v="Los Angeles, CA"/>
    <n v="34.052199999999999"/>
    <n v="-118.2437"/>
    <d v="2024-12-12T00:00:00"/>
    <n v="8"/>
    <x v="0"/>
    <x v="13"/>
  </r>
  <r>
    <n v="21"/>
    <x v="0"/>
    <n v="2"/>
    <s v="Sun, Thu"/>
    <b v="0"/>
    <d v="1899-12-30T13:05:00"/>
    <d v="1899-12-30T14:45:00"/>
    <n v="100"/>
    <b v="1"/>
    <b v="1"/>
    <x v="0"/>
    <x v="2"/>
    <n v="50"/>
    <x v="1"/>
    <n v="37.5"/>
    <x v="1"/>
    <n v="0"/>
    <n v="37.5"/>
    <s v="All hours"/>
    <s v="San Francisco, CA"/>
    <n v="37.774900000000002"/>
    <n v="-122.4194"/>
    <d v="2022-12-26T00:00:00"/>
    <n v="6"/>
    <x v="0"/>
    <x v="6"/>
  </r>
  <r>
    <n v="39"/>
    <x v="1"/>
    <n v="3"/>
    <s v="Sun, Thu, Wed"/>
    <b v="0"/>
    <d v="1899-12-30T12:36:00"/>
    <d v="1899-12-30T14:19:00"/>
    <n v="103"/>
    <b v="0"/>
    <b v="1"/>
    <x v="0"/>
    <x v="0"/>
    <n v="30"/>
    <x v="1"/>
    <n v="22.5"/>
    <x v="1"/>
    <n v="0"/>
    <n v="22.5"/>
    <s v="Weekdays only"/>
    <s v="Sacramento, CA"/>
    <n v="38.581600000000002"/>
    <n v="-121.4944"/>
    <d v="2024-01-15T00:00:00"/>
    <n v="8"/>
    <x v="1"/>
    <x v="31"/>
  </r>
  <r>
    <n v="41"/>
    <x v="0"/>
    <n v="1"/>
    <s v="Fri"/>
    <b v="1"/>
    <d v="1899-12-30T09:46:00"/>
    <d v="1899-12-30T11:10:00"/>
    <n v="84"/>
    <b v="1"/>
    <b v="1"/>
    <x v="0"/>
    <x v="4"/>
    <n v="50"/>
    <x v="2"/>
    <n v="45"/>
    <x v="1"/>
    <n v="0"/>
    <n v="45"/>
    <s v="All hours"/>
    <s v="Long Beach, CA"/>
    <n v="33.770099999999999"/>
    <n v="-118.19370000000001"/>
    <d v="2024-10-02T00:00:00"/>
    <n v="2"/>
    <x v="0"/>
    <x v="51"/>
  </r>
  <r>
    <n v="17"/>
    <x v="1"/>
    <n v="3"/>
    <s v="Fri, Sat, Sun"/>
    <b v="0"/>
    <d v="1899-12-30T18:02:00"/>
    <d v="1899-12-30T19:49:00"/>
    <n v="107"/>
    <b v="0"/>
    <b v="0"/>
    <x v="1"/>
    <x v="4"/>
    <n v="30"/>
    <x v="0"/>
    <n v="30"/>
    <x v="3"/>
    <n v="0.15"/>
    <n v="25.5"/>
    <s v="Weekdays only"/>
    <s v="Anaheim, CA"/>
    <n v="33.836599999999997"/>
    <n v="-117.9143"/>
    <d v="2022-12-08T00:00:00"/>
    <n v="0"/>
    <x v="1"/>
    <x v="54"/>
  </r>
  <r>
    <n v="26"/>
    <x v="1"/>
    <n v="3"/>
    <s v="Mon, Sun, Thu"/>
    <b v="0"/>
    <d v="1899-12-30T13:11:00"/>
    <d v="1899-12-30T14:21:00"/>
    <n v="70"/>
    <b v="0"/>
    <b v="0"/>
    <x v="0"/>
    <x v="4"/>
    <n v="30"/>
    <x v="0"/>
    <n v="30"/>
    <x v="0"/>
    <n v="0.05"/>
    <n v="28.5"/>
    <s v="Weekdays only"/>
    <s v="Long Beach, CA"/>
    <n v="33.770099999999999"/>
    <n v="-118.19370000000001"/>
    <d v="2024-03-05T00:00:00"/>
    <n v="0"/>
    <x v="1"/>
    <x v="29"/>
  </r>
  <r>
    <n v="27"/>
    <x v="1"/>
    <n v="2"/>
    <s v="Sat, Thu"/>
    <b v="0"/>
    <d v="1899-12-30T11:43:00"/>
    <d v="1899-12-30T14:26:00"/>
    <n v="163"/>
    <b v="1"/>
    <b v="0"/>
    <x v="1"/>
    <x v="0"/>
    <n v="30"/>
    <x v="0"/>
    <n v="30"/>
    <x v="3"/>
    <n v="0.15"/>
    <n v="25.5"/>
    <s v="Weekdays only"/>
    <s v="Los Angeles, CA"/>
    <n v="34.052199999999999"/>
    <n v="-118.2437"/>
    <d v="2023-12-22T00:00:00"/>
    <n v="0"/>
    <x v="1"/>
    <x v="23"/>
  </r>
  <r>
    <n v="27"/>
    <x v="3"/>
    <n v="5"/>
    <s v="Fri, Mon, Sat, Thu, Tue"/>
    <b v="0"/>
    <d v="1899-12-30T09:57:00"/>
    <d v="1899-12-30T12:22:00"/>
    <n v="145"/>
    <b v="0"/>
    <b v="0"/>
    <x v="0"/>
    <x v="1"/>
    <n v="70"/>
    <x v="1"/>
    <n v="52.5"/>
    <x v="2"/>
    <n v="0.1"/>
    <n v="47.25"/>
    <s v="All hours + Priority access"/>
    <s v="Los Angeles, CA"/>
    <n v="34.052199999999999"/>
    <n v="-118.2437"/>
    <d v="2024-06-05T00:00:00"/>
    <n v="0"/>
    <x v="1"/>
    <x v="20"/>
  </r>
  <r>
    <n v="21"/>
    <x v="1"/>
    <n v="3"/>
    <s v="Sat, Sun, Tue"/>
    <b v="0"/>
    <d v="1899-12-30T12:59:00"/>
    <d v="1899-12-30T13:48:00"/>
    <n v="49"/>
    <b v="1"/>
    <b v="0"/>
    <x v="0"/>
    <x v="0"/>
    <n v="30"/>
    <x v="0"/>
    <n v="30"/>
    <x v="1"/>
    <n v="0"/>
    <n v="30"/>
    <s v="Weekdays only"/>
    <s v="Sacramento, CA"/>
    <n v="38.581600000000002"/>
    <n v="-121.4944"/>
    <d v="2023-09-30T00:00:00"/>
    <n v="0"/>
    <x v="0"/>
    <x v="3"/>
  </r>
  <r>
    <n v="28"/>
    <x v="1"/>
    <n v="3"/>
    <s v="Fri, Sat, Sun"/>
    <b v="0"/>
    <d v="1899-12-30T13:28:00"/>
    <d v="1899-12-30T15:44:00"/>
    <n v="136"/>
    <b v="1"/>
    <b v="1"/>
    <x v="1"/>
    <x v="4"/>
    <n v="30"/>
    <x v="0"/>
    <n v="30"/>
    <x v="1"/>
    <n v="0"/>
    <n v="30"/>
    <s v="Weekdays only"/>
    <s v="Oakland, CA"/>
    <n v="37.804400000000001"/>
    <n v="-122.27119999999999"/>
    <d v="2024-12-30T00:00:00"/>
    <n v="1"/>
    <x v="1"/>
    <x v="4"/>
  </r>
  <r>
    <n v="35"/>
    <x v="0"/>
    <n v="1"/>
    <s v="Wed"/>
    <b v="0"/>
    <d v="1899-12-30T08:34:00"/>
    <d v="1899-12-30T09:27:00"/>
    <n v="53"/>
    <b v="0"/>
    <b v="1"/>
    <x v="0"/>
    <x v="0"/>
    <n v="50"/>
    <x v="2"/>
    <n v="45"/>
    <x v="3"/>
    <n v="0.15"/>
    <n v="38.25"/>
    <s v="All hours"/>
    <s v="Los Angeles, CA"/>
    <n v="34.052199999999999"/>
    <n v="-118.2437"/>
    <d v="2024-05-02T00:00:00"/>
    <n v="1"/>
    <x v="0"/>
    <x v="40"/>
  </r>
  <r>
    <n v="33"/>
    <x v="1"/>
    <n v="2"/>
    <s v="Thu, Wed"/>
    <b v="0"/>
    <d v="1899-12-30T09:56:00"/>
    <d v="1899-12-30T12:52:00"/>
    <n v="176"/>
    <b v="0"/>
    <b v="1"/>
    <x v="1"/>
    <x v="4"/>
    <n v="30"/>
    <x v="0"/>
    <n v="30"/>
    <x v="3"/>
    <n v="0.15"/>
    <n v="25.5"/>
    <s v="Weekdays only"/>
    <s v="Fresno, CA"/>
    <n v="36.7378"/>
    <n v="-119.7871"/>
    <d v="2022-08-25T00:00:00"/>
    <n v="6"/>
    <x v="1"/>
    <x v="10"/>
  </r>
  <r>
    <n v="37"/>
    <x v="0"/>
    <n v="1"/>
    <s v="Sun"/>
    <b v="0"/>
    <d v="1899-12-30T16:39:00"/>
    <d v="1899-12-30T19:05:00"/>
    <n v="146"/>
    <b v="1"/>
    <b v="1"/>
    <x v="0"/>
    <x v="4"/>
    <n v="50"/>
    <x v="1"/>
    <n v="37.5"/>
    <x v="3"/>
    <n v="0.15"/>
    <n v="31.875"/>
    <s v="All hours"/>
    <s v="Fresno, CA"/>
    <n v="36.7378"/>
    <n v="-119.7871"/>
    <d v="2024-09-21T00:00:00"/>
    <n v="4"/>
    <x v="0"/>
    <x v="33"/>
  </r>
  <r>
    <n v="24"/>
    <x v="2"/>
    <n v="2"/>
    <s v="Sun, Tue"/>
    <b v="1"/>
    <d v="1899-12-30T18:58:00"/>
    <d v="1899-12-30T19:40:00"/>
    <n v="42"/>
    <b v="1"/>
    <b v="0"/>
    <x v="1"/>
    <x v="4"/>
    <n v="20"/>
    <x v="2"/>
    <n v="18"/>
    <x v="2"/>
    <n v="0.1"/>
    <n v="16.2"/>
    <s v="Off-peak only"/>
    <s v="Los Angeles, CA"/>
    <n v="34.052199999999999"/>
    <n v="-118.2437"/>
    <d v="2023-07-24T00:00:00"/>
    <n v="0"/>
    <x v="1"/>
    <x v="34"/>
  </r>
  <r>
    <n v="17"/>
    <x v="0"/>
    <n v="2"/>
    <s v="Fri, Tue"/>
    <b v="0"/>
    <d v="1899-12-30T09:30:00"/>
    <d v="1899-12-30T12:24:00"/>
    <n v="174"/>
    <b v="1"/>
    <b v="1"/>
    <x v="1"/>
    <x v="1"/>
    <n v="50"/>
    <x v="0"/>
    <n v="50"/>
    <x v="1"/>
    <n v="0"/>
    <n v="50"/>
    <s v="All hours"/>
    <s v="Los Angeles, CA"/>
    <n v="34.052199999999999"/>
    <n v="-118.2437"/>
    <d v="2024-07-11T00:00:00"/>
    <n v="3"/>
    <x v="1"/>
    <x v="39"/>
  </r>
  <r>
    <n v="29"/>
    <x v="2"/>
    <n v="2"/>
    <s v="Fri, Sat"/>
    <b v="1"/>
    <d v="1899-12-30T14:45:00"/>
    <d v="1899-12-30T17:41:00"/>
    <n v="176"/>
    <b v="0"/>
    <b v="1"/>
    <x v="1"/>
    <x v="0"/>
    <n v="20"/>
    <x v="0"/>
    <n v="20"/>
    <x v="1"/>
    <n v="0"/>
    <n v="20"/>
    <s v="Off-peak only"/>
    <s v="San Jose, CA"/>
    <n v="37.338200000000001"/>
    <n v="-121.88630000000001"/>
    <d v="2023-03-22T00:00:00"/>
    <n v="3"/>
    <x v="0"/>
    <x v="36"/>
  </r>
  <r>
    <n v="45"/>
    <x v="0"/>
    <n v="1"/>
    <s v="Mon"/>
    <b v="1"/>
    <d v="1899-12-30T09:31:00"/>
    <d v="1899-12-30T10:42:00"/>
    <n v="71"/>
    <b v="1"/>
    <b v="0"/>
    <x v="1"/>
    <x v="3"/>
    <n v="50"/>
    <x v="2"/>
    <n v="45"/>
    <x v="3"/>
    <n v="0.15"/>
    <n v="38.25"/>
    <s v="All hours"/>
    <s v="Bakersfield, CA"/>
    <n v="35.3733"/>
    <n v="-119.0187"/>
    <d v="2025-02-03T00:00:00"/>
    <n v="0"/>
    <x v="1"/>
    <x v="30"/>
  </r>
  <r>
    <n v="37"/>
    <x v="2"/>
    <n v="1"/>
    <s v="Sat"/>
    <b v="1"/>
    <d v="1899-12-30T08:21:00"/>
    <d v="1899-12-30T08:55:00"/>
    <n v="34"/>
    <b v="1"/>
    <b v="0"/>
    <x v="0"/>
    <x v="4"/>
    <n v="20"/>
    <x v="1"/>
    <n v="15"/>
    <x v="1"/>
    <n v="0"/>
    <n v="15"/>
    <s v="Off-peak only"/>
    <s v="Fresno, CA"/>
    <n v="36.7378"/>
    <n v="-119.7871"/>
    <d v="2022-08-25T00:00:00"/>
    <n v="0"/>
    <x v="1"/>
    <x v="10"/>
  </r>
  <r>
    <n v="44"/>
    <x v="0"/>
    <n v="2"/>
    <s v="Mon, Sun"/>
    <b v="0"/>
    <d v="1899-12-30T14:58:00"/>
    <d v="1899-12-30T17:38:00"/>
    <n v="160"/>
    <b v="1"/>
    <b v="1"/>
    <x v="1"/>
    <x v="0"/>
    <n v="50"/>
    <x v="0"/>
    <n v="50"/>
    <x v="0"/>
    <n v="0.05"/>
    <n v="47.5"/>
    <s v="All hours"/>
    <s v="Los Angeles, CA"/>
    <n v="34.052199999999999"/>
    <n v="-118.2437"/>
    <d v="2024-02-25T00:00:00"/>
    <n v="1"/>
    <x v="0"/>
    <x v="21"/>
  </r>
  <r>
    <n v="34"/>
    <x v="0"/>
    <n v="2"/>
    <s v="Tue, Wed"/>
    <b v="0"/>
    <d v="1899-12-30T17:18:00"/>
    <d v="1899-12-30T18:57:00"/>
    <n v="99"/>
    <b v="1"/>
    <b v="1"/>
    <x v="0"/>
    <x v="1"/>
    <n v="50"/>
    <x v="0"/>
    <n v="50"/>
    <x v="2"/>
    <n v="0.1"/>
    <n v="45"/>
    <s v="All hours"/>
    <s v="Bakersfield, CA"/>
    <n v="35.3733"/>
    <n v="-119.0187"/>
    <d v="2024-10-14T00:00:00"/>
    <n v="7"/>
    <x v="0"/>
    <x v="51"/>
  </r>
  <r>
    <n v="37"/>
    <x v="1"/>
    <n v="1"/>
    <s v="Fri"/>
    <b v="1"/>
    <d v="1899-12-30T16:04:00"/>
    <d v="1899-12-30T18:16:00"/>
    <n v="132"/>
    <b v="1"/>
    <b v="1"/>
    <x v="1"/>
    <x v="0"/>
    <n v="30"/>
    <x v="1"/>
    <n v="22.5"/>
    <x v="1"/>
    <n v="0"/>
    <n v="22.5"/>
    <s v="Weekdays only"/>
    <s v="Anaheim, CA"/>
    <n v="33.836599999999997"/>
    <n v="-117.9143"/>
    <d v="2025-04-05T00:00:00"/>
    <n v="5"/>
    <x v="1"/>
    <x v="42"/>
  </r>
  <r>
    <n v="31"/>
    <x v="1"/>
    <n v="2"/>
    <s v="Fri, Tue"/>
    <b v="1"/>
    <d v="1899-12-30T14:51:00"/>
    <d v="1899-12-30T17:44:00"/>
    <n v="173"/>
    <b v="0"/>
    <b v="1"/>
    <x v="1"/>
    <x v="1"/>
    <n v="30"/>
    <x v="1"/>
    <n v="22.5"/>
    <x v="1"/>
    <n v="0"/>
    <n v="22.5"/>
    <s v="Weekdays only"/>
    <s v="San Diego, CA"/>
    <n v="32.715699999999998"/>
    <n v="-117.1611"/>
    <d v="2024-12-24T00:00:00"/>
    <n v="7"/>
    <x v="1"/>
    <x v="13"/>
  </r>
  <r>
    <n v="21"/>
    <x v="1"/>
    <n v="2"/>
    <s v="Fri, Mon"/>
    <b v="0"/>
    <d v="1899-12-30T20:13:00"/>
    <d v="1899-12-30T21:48:00"/>
    <n v="95"/>
    <b v="1"/>
    <b v="0"/>
    <x v="0"/>
    <x v="4"/>
    <n v="30"/>
    <x v="1"/>
    <n v="22.5"/>
    <x v="3"/>
    <n v="0.15"/>
    <n v="19.125"/>
    <s v="Weekdays only"/>
    <s v="Fresno, CA"/>
    <n v="36.7378"/>
    <n v="-119.7871"/>
    <d v="2023-12-17T00:00:00"/>
    <n v="0"/>
    <x v="0"/>
    <x v="16"/>
  </r>
  <r>
    <n v="26"/>
    <x v="1"/>
    <n v="3"/>
    <s v="Fri, Mon, Sat"/>
    <b v="1"/>
    <d v="1899-12-30T15:06:00"/>
    <d v="1899-12-30T17:40:00"/>
    <n v="154"/>
    <b v="1"/>
    <b v="0"/>
    <x v="1"/>
    <x v="0"/>
    <n v="30"/>
    <x v="0"/>
    <n v="30"/>
    <x v="2"/>
    <n v="0.1"/>
    <n v="27"/>
    <s v="Weekdays only"/>
    <s v="Sacramento, CA"/>
    <n v="38.581600000000002"/>
    <n v="-121.4944"/>
    <d v="2024-06-29T00:00:00"/>
    <n v="0"/>
    <x v="0"/>
    <x v="55"/>
  </r>
  <r>
    <n v="20"/>
    <x v="2"/>
    <n v="5"/>
    <s v="Mon, Sat, Sun, Thu, Wed"/>
    <b v="1"/>
    <d v="1899-12-30T13:04:00"/>
    <d v="1899-12-30T13:37:00"/>
    <n v="33"/>
    <b v="1"/>
    <b v="1"/>
    <x v="1"/>
    <x v="1"/>
    <n v="20"/>
    <x v="0"/>
    <n v="20"/>
    <x v="0"/>
    <n v="0.05"/>
    <n v="19"/>
    <s v="Off-peak only"/>
    <s v="Los Angeles, CA"/>
    <n v="34.052199999999999"/>
    <n v="-118.2437"/>
    <d v="2023-01-22T00:00:00"/>
    <n v="2"/>
    <x v="0"/>
    <x v="11"/>
  </r>
  <r>
    <n v="19"/>
    <x v="0"/>
    <n v="3"/>
    <s v="Sun, Tue, Wed"/>
    <b v="1"/>
    <d v="1899-12-30T12:56:00"/>
    <d v="1899-12-30T15:52:00"/>
    <n v="176"/>
    <b v="0"/>
    <b v="1"/>
    <x v="0"/>
    <x v="1"/>
    <n v="50"/>
    <x v="1"/>
    <n v="37.5"/>
    <x v="1"/>
    <n v="0"/>
    <n v="37.5"/>
    <s v="All hours"/>
    <s v="San Francisco, CA"/>
    <n v="37.774900000000002"/>
    <n v="-122.4194"/>
    <d v="2024-03-21T00:00:00"/>
    <n v="5"/>
    <x v="1"/>
    <x v="17"/>
  </r>
  <r>
    <n v="35"/>
    <x v="0"/>
    <n v="1"/>
    <s v="Sat"/>
    <b v="0"/>
    <d v="1899-12-30T20:12:00"/>
    <d v="1899-12-30T22:37:00"/>
    <n v="145"/>
    <b v="1"/>
    <b v="1"/>
    <x v="0"/>
    <x v="0"/>
    <n v="50"/>
    <x v="0"/>
    <n v="50"/>
    <x v="3"/>
    <n v="0.15"/>
    <n v="42.5"/>
    <s v="All hours"/>
    <s v="Sacramento, CA"/>
    <n v="38.581600000000002"/>
    <n v="-121.4944"/>
    <d v="2024-10-01T00:00:00"/>
    <n v="5"/>
    <x v="1"/>
    <x v="51"/>
  </r>
  <r>
    <n v="26"/>
    <x v="0"/>
    <n v="2"/>
    <s v="Fri, Mon"/>
    <b v="0"/>
    <d v="1899-12-30T08:19:00"/>
    <d v="1899-12-30T10:45:00"/>
    <n v="146"/>
    <b v="0"/>
    <b v="1"/>
    <x v="0"/>
    <x v="4"/>
    <n v="50"/>
    <x v="2"/>
    <n v="45"/>
    <x v="1"/>
    <n v="0"/>
    <n v="45"/>
    <s v="All hours"/>
    <s v="Fresno, CA"/>
    <n v="36.7378"/>
    <n v="-119.7871"/>
    <d v="2023-09-04T00:00:00"/>
    <n v="6"/>
    <x v="0"/>
    <x v="46"/>
  </r>
  <r>
    <n v="26"/>
    <x v="2"/>
    <n v="5"/>
    <s v="Fri, Mon, Sun, Tue, Wed"/>
    <b v="0"/>
    <d v="1899-12-30T18:01:00"/>
    <d v="1899-12-30T18:43:00"/>
    <n v="42"/>
    <b v="1"/>
    <b v="0"/>
    <x v="0"/>
    <x v="0"/>
    <n v="20"/>
    <x v="1"/>
    <n v="15"/>
    <x v="1"/>
    <n v="0"/>
    <n v="15"/>
    <s v="Off-peak only"/>
    <s v="Long Beach, CA"/>
    <n v="33.770099999999999"/>
    <n v="-118.19370000000001"/>
    <d v="2023-06-01T00:00:00"/>
    <n v="0"/>
    <x v="1"/>
    <x v="8"/>
  </r>
  <r>
    <n v="21"/>
    <x v="0"/>
    <n v="2"/>
    <s v="Fri, Thu"/>
    <b v="1"/>
    <d v="1899-12-30T19:59:00"/>
    <d v="1899-12-30T20:43:00"/>
    <n v="44"/>
    <b v="0"/>
    <b v="1"/>
    <x v="0"/>
    <x v="1"/>
    <n v="50"/>
    <x v="0"/>
    <n v="50"/>
    <x v="0"/>
    <n v="0.05"/>
    <n v="47.5"/>
    <s v="All hours"/>
    <s v="San Diego, CA"/>
    <n v="32.715699999999998"/>
    <n v="-117.1611"/>
    <d v="2024-12-27T00:00:00"/>
    <n v="1"/>
    <x v="0"/>
    <x v="13"/>
  </r>
  <r>
    <n v="37"/>
    <x v="2"/>
    <n v="3"/>
    <s v="Mon, Tue, Wed"/>
    <b v="1"/>
    <d v="1899-12-30T18:07:00"/>
    <d v="1899-12-30T20:01:00"/>
    <n v="114"/>
    <b v="0"/>
    <b v="0"/>
    <x v="1"/>
    <x v="1"/>
    <n v="20"/>
    <x v="1"/>
    <n v="15"/>
    <x v="1"/>
    <n v="0"/>
    <n v="15"/>
    <s v="Off-peak only"/>
    <s v="Los Angeles, CA"/>
    <n v="34.052199999999999"/>
    <n v="-118.2437"/>
    <d v="2024-12-26T00:00:00"/>
    <n v="0"/>
    <x v="1"/>
    <x v="13"/>
  </r>
  <r>
    <n v="39"/>
    <x v="1"/>
    <n v="4"/>
    <s v="Mon, Sun, Tue, Wed"/>
    <b v="1"/>
    <d v="1899-12-30T19:22:00"/>
    <d v="1899-12-30T21:18:00"/>
    <n v="116"/>
    <b v="1"/>
    <b v="0"/>
    <x v="0"/>
    <x v="2"/>
    <n v="30"/>
    <x v="0"/>
    <n v="30"/>
    <x v="1"/>
    <n v="0"/>
    <n v="30"/>
    <s v="Weekdays only"/>
    <s v="San Francisco, CA"/>
    <n v="37.774900000000002"/>
    <n v="-122.4194"/>
    <d v="2025-05-14T00:00:00"/>
    <n v="0"/>
    <x v="1"/>
    <x v="24"/>
  </r>
  <r>
    <n v="13"/>
    <x v="0"/>
    <n v="2"/>
    <s v="Fri, Tue"/>
    <b v="1"/>
    <d v="1899-12-30T09:23:00"/>
    <d v="1899-12-30T12:02:00"/>
    <n v="159"/>
    <b v="0"/>
    <b v="0"/>
    <x v="1"/>
    <x v="0"/>
    <n v="50"/>
    <x v="0"/>
    <n v="50"/>
    <x v="1"/>
    <n v="0"/>
    <n v="50"/>
    <s v="All hours"/>
    <s v="San Diego, CA"/>
    <n v="32.715699999999998"/>
    <n v="-117.1611"/>
    <d v="2023-04-30T00:00:00"/>
    <n v="0"/>
    <x v="1"/>
    <x v="58"/>
  </r>
  <r>
    <n v="41"/>
    <x v="2"/>
    <n v="4"/>
    <s v="Fri, Mon, Thu, Wed"/>
    <b v="0"/>
    <d v="1899-12-30T17:08:00"/>
    <d v="1899-12-30T18:16:00"/>
    <n v="68"/>
    <b v="1"/>
    <b v="1"/>
    <x v="0"/>
    <x v="4"/>
    <n v="20"/>
    <x v="2"/>
    <n v="18"/>
    <x v="1"/>
    <n v="0"/>
    <n v="18"/>
    <s v="Off-peak only"/>
    <s v="Long Beach, CA"/>
    <n v="33.770099999999999"/>
    <n v="-118.19370000000001"/>
    <d v="2023-07-17T00:00:00"/>
    <n v="7"/>
    <x v="1"/>
    <x v="34"/>
  </r>
  <r>
    <n v="34"/>
    <x v="0"/>
    <n v="3"/>
    <s v="Sat, Thu, Wed"/>
    <b v="1"/>
    <d v="1899-12-30T10:47:00"/>
    <d v="1899-12-30T12:03:00"/>
    <n v="76"/>
    <b v="0"/>
    <b v="1"/>
    <x v="1"/>
    <x v="4"/>
    <n v="50"/>
    <x v="0"/>
    <n v="50"/>
    <x v="1"/>
    <n v="0"/>
    <n v="50"/>
    <s v="All hours"/>
    <s v="San Jose, CA"/>
    <n v="37.338200000000001"/>
    <n v="-121.88630000000001"/>
    <d v="2024-02-03T00:00:00"/>
    <n v="7"/>
    <x v="0"/>
    <x v="48"/>
  </r>
  <r>
    <n v="34"/>
    <x v="3"/>
    <n v="1"/>
    <s v="Sun"/>
    <b v="1"/>
    <d v="1899-12-30T14:47:00"/>
    <d v="1899-12-30T16:49:00"/>
    <n v="122"/>
    <b v="1"/>
    <b v="0"/>
    <x v="0"/>
    <x v="4"/>
    <n v="70"/>
    <x v="1"/>
    <n v="52.5"/>
    <x v="1"/>
    <n v="0"/>
    <n v="52.5"/>
    <s v="All hours + Priority access"/>
    <s v="Los Angeles, CA"/>
    <n v="34.052199999999999"/>
    <n v="-118.2437"/>
    <d v="2023-01-05T00:00:00"/>
    <n v="0"/>
    <x v="0"/>
    <x v="57"/>
  </r>
  <r>
    <n v="18"/>
    <x v="2"/>
    <n v="3"/>
    <s v="Mon, Thu, Wed"/>
    <b v="1"/>
    <d v="1899-12-30T14:33:00"/>
    <d v="1899-12-30T15:35:00"/>
    <n v="62"/>
    <b v="0"/>
    <b v="0"/>
    <x v="0"/>
    <x v="0"/>
    <n v="20"/>
    <x v="1"/>
    <n v="15"/>
    <x v="2"/>
    <n v="0.1"/>
    <n v="13.5"/>
    <s v="Off-peak only"/>
    <s v="Sacramento, CA"/>
    <n v="38.581600000000002"/>
    <n v="-121.4944"/>
    <d v="2023-02-15T00:00:00"/>
    <n v="0"/>
    <x v="1"/>
    <x v="26"/>
  </r>
  <r>
    <n v="33"/>
    <x v="0"/>
    <n v="2"/>
    <s v="Mon, Sun"/>
    <b v="1"/>
    <d v="1899-12-30T16:16:00"/>
    <d v="1899-12-30T18:03:00"/>
    <n v="107"/>
    <b v="1"/>
    <b v="1"/>
    <x v="0"/>
    <x v="0"/>
    <n v="50"/>
    <x v="0"/>
    <n v="50"/>
    <x v="1"/>
    <n v="0"/>
    <n v="50"/>
    <s v="All hours"/>
    <s v="San Jose, CA"/>
    <n v="37.338200000000001"/>
    <n v="-121.88630000000001"/>
    <d v="2023-10-08T00:00:00"/>
    <n v="1"/>
    <x v="0"/>
    <x v="3"/>
  </r>
  <r>
    <n v="29"/>
    <x v="1"/>
    <n v="1"/>
    <s v="Thu"/>
    <b v="1"/>
    <d v="1899-12-30T10:25:00"/>
    <d v="1899-12-30T12:04:00"/>
    <n v="99"/>
    <b v="1"/>
    <b v="1"/>
    <x v="0"/>
    <x v="0"/>
    <n v="30"/>
    <x v="0"/>
    <n v="30"/>
    <x v="1"/>
    <n v="0"/>
    <n v="30"/>
    <s v="Weekdays only"/>
    <s v="Anaheim, CA"/>
    <n v="33.836599999999997"/>
    <n v="-117.9143"/>
    <d v="2022-12-11T00:00:00"/>
    <n v="7"/>
    <x v="1"/>
    <x v="54"/>
  </r>
  <r>
    <n v="17"/>
    <x v="2"/>
    <n v="1"/>
    <s v="Fri"/>
    <b v="0"/>
    <d v="1899-12-30T16:59:00"/>
    <d v="1899-12-30T18:41:00"/>
    <n v="102"/>
    <b v="1"/>
    <b v="0"/>
    <x v="0"/>
    <x v="0"/>
    <n v="20"/>
    <x v="0"/>
    <n v="20"/>
    <x v="0"/>
    <n v="0.05"/>
    <n v="19"/>
    <s v="Off-peak only"/>
    <s v="Fresno, CA"/>
    <n v="36.7378"/>
    <n v="-119.7871"/>
    <d v="2024-11-15T00:00:00"/>
    <n v="0"/>
    <x v="1"/>
    <x v="12"/>
  </r>
  <r>
    <n v="43"/>
    <x v="0"/>
    <n v="3"/>
    <s v="Fri, Sat, Thu"/>
    <b v="1"/>
    <d v="1899-12-30T13:40:00"/>
    <d v="1899-12-30T16:26:00"/>
    <n v="166"/>
    <b v="1"/>
    <b v="1"/>
    <x v="1"/>
    <x v="3"/>
    <n v="50"/>
    <x v="2"/>
    <n v="45"/>
    <x v="2"/>
    <n v="0.1"/>
    <n v="40.5"/>
    <s v="All hours"/>
    <s v="Los Angeles, CA"/>
    <n v="34.052199999999999"/>
    <n v="-118.2437"/>
    <d v="2025-02-23T00:00:00"/>
    <n v="8"/>
    <x v="0"/>
    <x v="45"/>
  </r>
  <r>
    <n v="20"/>
    <x v="2"/>
    <n v="4"/>
    <s v="Fri, Thu, Tue, Wed"/>
    <b v="0"/>
    <d v="1899-12-30T11:51:00"/>
    <d v="1899-12-30T14:21:00"/>
    <n v="150"/>
    <b v="1"/>
    <b v="1"/>
    <x v="0"/>
    <x v="4"/>
    <n v="20"/>
    <x v="0"/>
    <n v="20"/>
    <x v="0"/>
    <n v="0.05"/>
    <n v="19"/>
    <s v="Off-peak only"/>
    <s v="Bakersfield, CA"/>
    <n v="35.3733"/>
    <n v="-119.0187"/>
    <d v="2024-09-08T00:00:00"/>
    <n v="1"/>
    <x v="0"/>
    <x v="41"/>
  </r>
  <r>
    <n v="43"/>
    <x v="2"/>
    <n v="2"/>
    <s v="Fri, Wed"/>
    <b v="0"/>
    <d v="1899-12-30T13:10:00"/>
    <d v="1899-12-30T14:25:00"/>
    <n v="75"/>
    <b v="0"/>
    <b v="1"/>
    <x v="1"/>
    <x v="4"/>
    <n v="20"/>
    <x v="0"/>
    <n v="20"/>
    <x v="3"/>
    <n v="0.15"/>
    <n v="17"/>
    <s v="Off-peak only"/>
    <s v="Long Beach, CA"/>
    <n v="33.770099999999999"/>
    <n v="-118.19370000000001"/>
    <d v="2025-04-23T00:00:00"/>
    <n v="6"/>
    <x v="1"/>
    <x v="5"/>
  </r>
  <r>
    <n v="27"/>
    <x v="1"/>
    <n v="3"/>
    <s v="Mon, Sun, Tue"/>
    <b v="1"/>
    <d v="1899-12-30T20:29:00"/>
    <d v="1899-12-30T21:35:00"/>
    <n v="66"/>
    <b v="0"/>
    <b v="1"/>
    <x v="0"/>
    <x v="0"/>
    <n v="30"/>
    <x v="0"/>
    <n v="30"/>
    <x v="3"/>
    <n v="0.15"/>
    <n v="25.5"/>
    <s v="Weekdays only"/>
    <s v="Anaheim, CA"/>
    <n v="33.836599999999997"/>
    <n v="-117.9143"/>
    <d v="2023-12-05T00:00:00"/>
    <n v="4"/>
    <x v="0"/>
    <x v="16"/>
  </r>
  <r>
    <n v="20"/>
    <x v="2"/>
    <n v="5"/>
    <s v="Mon, Sun, Thu, Tue, Wed"/>
    <b v="0"/>
    <d v="1899-12-30T18:15:00"/>
    <d v="1899-12-30T20:54:00"/>
    <n v="159"/>
    <b v="0"/>
    <b v="1"/>
    <x v="1"/>
    <x v="3"/>
    <n v="20"/>
    <x v="1"/>
    <n v="15"/>
    <x v="1"/>
    <n v="0"/>
    <n v="15"/>
    <s v="Off-peak only"/>
    <s v="Sacramento, CA"/>
    <n v="38.581600000000002"/>
    <n v="-121.4944"/>
    <d v="2022-09-29T00:00:00"/>
    <n v="5"/>
    <x v="1"/>
    <x v="25"/>
  </r>
  <r>
    <n v="45"/>
    <x v="2"/>
    <n v="3"/>
    <s v="Fri, Sat, Sun"/>
    <b v="0"/>
    <d v="1899-12-30T10:21:00"/>
    <d v="1899-12-30T12:38:00"/>
    <n v="137"/>
    <b v="0"/>
    <b v="1"/>
    <x v="1"/>
    <x v="0"/>
    <n v="20"/>
    <x v="0"/>
    <n v="20"/>
    <x v="3"/>
    <n v="0.15"/>
    <n v="17"/>
    <s v="Off-peak only"/>
    <s v="Sacramento, CA"/>
    <n v="38.581600000000002"/>
    <n v="-121.4944"/>
    <d v="2025-05-12T00:00:00"/>
    <n v="6"/>
    <x v="0"/>
    <x v="24"/>
  </r>
  <r>
    <n v="27"/>
    <x v="0"/>
    <n v="4"/>
    <s v="Sun, Thu, Tue, Wed"/>
    <b v="0"/>
    <d v="1899-12-30T11:49:00"/>
    <d v="1899-12-30T14:25:00"/>
    <n v="156"/>
    <b v="1"/>
    <b v="1"/>
    <x v="0"/>
    <x v="0"/>
    <n v="50"/>
    <x v="1"/>
    <n v="37.5"/>
    <x v="1"/>
    <n v="0"/>
    <n v="37.5"/>
    <s v="All hours"/>
    <s v="San Diego, CA"/>
    <n v="32.715699999999998"/>
    <n v="-117.1611"/>
    <d v="2025-02-12T00:00:00"/>
    <n v="3"/>
    <x v="0"/>
    <x v="30"/>
  </r>
  <r>
    <n v="45"/>
    <x v="3"/>
    <n v="2"/>
    <s v="Sun, Tue"/>
    <b v="0"/>
    <d v="1899-12-30T12:13:00"/>
    <d v="1899-12-30T14:47:00"/>
    <n v="154"/>
    <b v="1"/>
    <b v="1"/>
    <x v="1"/>
    <x v="4"/>
    <n v="70"/>
    <x v="1"/>
    <n v="52.5"/>
    <x v="2"/>
    <n v="0.1"/>
    <n v="47.25"/>
    <s v="All hours + Priority access"/>
    <s v="Fresno, CA"/>
    <n v="36.7378"/>
    <n v="-119.7871"/>
    <d v="2024-02-27T00:00:00"/>
    <n v="2"/>
    <x v="0"/>
    <x v="21"/>
  </r>
  <r>
    <n v="27"/>
    <x v="1"/>
    <n v="1"/>
    <s v="Mon"/>
    <b v="1"/>
    <d v="1899-12-30T18:22:00"/>
    <d v="1899-12-30T21:20:00"/>
    <n v="178"/>
    <b v="1"/>
    <b v="0"/>
    <x v="1"/>
    <x v="0"/>
    <n v="30"/>
    <x v="1"/>
    <n v="22.5"/>
    <x v="0"/>
    <n v="0.05"/>
    <n v="21.375"/>
    <s v="Weekdays only"/>
    <s v="Los Angeles, CA"/>
    <n v="34.052199999999999"/>
    <n v="-118.2437"/>
    <d v="2022-10-02T00:00:00"/>
    <n v="0"/>
    <x v="1"/>
    <x v="25"/>
  </r>
  <r>
    <n v="41"/>
    <x v="2"/>
    <n v="4"/>
    <s v="Mon, Sun, Tue, Wed"/>
    <b v="1"/>
    <d v="1899-12-30T10:09:00"/>
    <d v="1899-12-30T10:57:00"/>
    <n v="48"/>
    <b v="1"/>
    <b v="0"/>
    <x v="0"/>
    <x v="4"/>
    <n v="20"/>
    <x v="0"/>
    <n v="20"/>
    <x v="0"/>
    <n v="0.05"/>
    <n v="19"/>
    <s v="Off-peak only"/>
    <s v="Anaheim, CA"/>
    <n v="33.836599999999997"/>
    <n v="-117.9143"/>
    <d v="2024-07-21T00:00:00"/>
    <n v="0"/>
    <x v="0"/>
    <x v="15"/>
  </r>
  <r>
    <n v="29"/>
    <x v="2"/>
    <n v="4"/>
    <s v="Mon, Sat, Tue, Wed"/>
    <b v="1"/>
    <d v="1899-12-30T09:11:00"/>
    <d v="1899-12-30T10:48:00"/>
    <n v="97"/>
    <b v="0"/>
    <b v="0"/>
    <x v="1"/>
    <x v="4"/>
    <n v="20"/>
    <x v="2"/>
    <n v="18"/>
    <x v="1"/>
    <n v="0"/>
    <n v="18"/>
    <s v="Off-peak only"/>
    <s v="Fresno, CA"/>
    <n v="36.7378"/>
    <n v="-119.7871"/>
    <d v="2023-12-30T00:00:00"/>
    <n v="0"/>
    <x v="0"/>
    <x v="23"/>
  </r>
  <r>
    <n v="21"/>
    <x v="2"/>
    <n v="2"/>
    <s v="Mon, Wed"/>
    <b v="0"/>
    <d v="1899-12-30T10:26:00"/>
    <d v="1899-12-30T12:21:00"/>
    <n v="115"/>
    <b v="1"/>
    <b v="1"/>
    <x v="1"/>
    <x v="0"/>
    <n v="20"/>
    <x v="2"/>
    <n v="18"/>
    <x v="1"/>
    <n v="0"/>
    <n v="18"/>
    <s v="Off-peak only"/>
    <s v="Long Beach, CA"/>
    <n v="33.770099999999999"/>
    <n v="-118.19370000000001"/>
    <d v="2025-05-09T00:00:00"/>
    <n v="4"/>
    <x v="1"/>
    <x v="24"/>
  </r>
  <r>
    <n v="27"/>
    <x v="0"/>
    <n v="2"/>
    <s v="Mon, Thu"/>
    <b v="1"/>
    <d v="1899-12-30T20:32:00"/>
    <d v="1899-12-30T22:20:00"/>
    <n v="108"/>
    <b v="1"/>
    <b v="0"/>
    <x v="0"/>
    <x v="3"/>
    <n v="50"/>
    <x v="2"/>
    <n v="45"/>
    <x v="1"/>
    <n v="0"/>
    <n v="45"/>
    <s v="All hours"/>
    <s v="Long Beach, CA"/>
    <n v="33.770099999999999"/>
    <n v="-118.19370000000001"/>
    <d v="2025-01-16T00:00:00"/>
    <n v="0"/>
    <x v="0"/>
    <x v="19"/>
  </r>
  <r>
    <n v="13"/>
    <x v="1"/>
    <n v="2"/>
    <s v="Fri, Tue"/>
    <b v="0"/>
    <d v="1899-12-30T09:38:00"/>
    <d v="1899-12-30T10:11:00"/>
    <n v="33"/>
    <b v="0"/>
    <b v="0"/>
    <x v="1"/>
    <x v="4"/>
    <n v="30"/>
    <x v="2"/>
    <n v="27"/>
    <x v="0"/>
    <n v="0.05"/>
    <n v="25.65"/>
    <s v="Weekdays only"/>
    <s v="Long Beach, CA"/>
    <n v="33.770099999999999"/>
    <n v="-118.19370000000001"/>
    <d v="2022-08-07T00:00:00"/>
    <n v="0"/>
    <x v="1"/>
    <x v="43"/>
  </r>
  <r>
    <n v="42"/>
    <x v="0"/>
    <n v="4"/>
    <s v="Fri, Mon, Thu, Tue"/>
    <b v="1"/>
    <d v="1899-12-30T09:55:00"/>
    <d v="1899-12-30T10:59:00"/>
    <n v="64"/>
    <b v="0"/>
    <b v="0"/>
    <x v="1"/>
    <x v="0"/>
    <n v="50"/>
    <x v="1"/>
    <n v="37.5"/>
    <x v="0"/>
    <n v="0.05"/>
    <n v="35.625"/>
    <s v="All hours"/>
    <s v="San Jose, CA"/>
    <n v="37.338200000000001"/>
    <n v="-121.88630000000001"/>
    <d v="2022-08-30T00:00:00"/>
    <n v="0"/>
    <x v="0"/>
    <x v="1"/>
  </r>
  <r>
    <n v="27"/>
    <x v="0"/>
    <n v="1"/>
    <s v="Mon"/>
    <b v="1"/>
    <d v="1899-12-30T12:11:00"/>
    <d v="1899-12-30T14:52:00"/>
    <n v="161"/>
    <b v="0"/>
    <b v="1"/>
    <x v="0"/>
    <x v="0"/>
    <n v="50"/>
    <x v="1"/>
    <n v="37.5"/>
    <x v="3"/>
    <n v="0.15"/>
    <n v="31.875"/>
    <s v="All hours"/>
    <s v="Oakland, CA"/>
    <n v="37.804400000000001"/>
    <n v="-122.27119999999999"/>
    <d v="2025-06-17T00:00:00"/>
    <n v="3"/>
    <x v="0"/>
    <x v="44"/>
  </r>
  <r>
    <n v="12"/>
    <x v="1"/>
    <n v="5"/>
    <s v="Fri, Mon, Sun, Thu, Wed"/>
    <b v="0"/>
    <d v="1899-12-30T10:25:00"/>
    <d v="1899-12-30T12:18:00"/>
    <n v="113"/>
    <b v="0"/>
    <b v="0"/>
    <x v="1"/>
    <x v="0"/>
    <n v="30"/>
    <x v="0"/>
    <n v="30"/>
    <x v="1"/>
    <n v="0"/>
    <n v="30"/>
    <s v="Weekdays only"/>
    <s v="Los Angeles, CA"/>
    <n v="34.052199999999999"/>
    <n v="-118.2437"/>
    <d v="2022-09-13T00:00:00"/>
    <n v="0"/>
    <x v="0"/>
    <x v="1"/>
  </r>
  <r>
    <n v="47"/>
    <x v="0"/>
    <n v="2"/>
    <s v="Mon, Wed"/>
    <b v="1"/>
    <d v="1899-12-30T18:47:00"/>
    <d v="1899-12-30T21:35:00"/>
    <n v="168"/>
    <b v="1"/>
    <b v="0"/>
    <x v="0"/>
    <x v="0"/>
    <n v="50"/>
    <x v="1"/>
    <n v="37.5"/>
    <x v="0"/>
    <n v="0.05"/>
    <n v="35.625"/>
    <s v="All hours"/>
    <s v="Sacramento, CA"/>
    <n v="38.581600000000002"/>
    <n v="-121.4944"/>
    <d v="2023-08-12T00:00:00"/>
    <n v="0"/>
    <x v="0"/>
    <x v="47"/>
  </r>
  <r>
    <n v="27"/>
    <x v="3"/>
    <n v="5"/>
    <s v="Mon, Sat, Sun, Thu, Tue"/>
    <b v="1"/>
    <d v="1899-12-30T10:50:00"/>
    <d v="1899-12-30T13:38:00"/>
    <n v="168"/>
    <b v="1"/>
    <b v="0"/>
    <x v="1"/>
    <x v="0"/>
    <n v="70"/>
    <x v="0"/>
    <n v="70"/>
    <x v="1"/>
    <n v="0"/>
    <n v="70"/>
    <s v="All hours + Priority access"/>
    <s v="Long Beach, CA"/>
    <n v="33.770099999999999"/>
    <n v="-118.19370000000001"/>
    <d v="2022-12-11T00:00:00"/>
    <n v="0"/>
    <x v="0"/>
    <x v="54"/>
  </r>
  <r>
    <n v="47"/>
    <x v="2"/>
    <n v="2"/>
    <s v="Mon, Tue"/>
    <b v="1"/>
    <d v="1899-12-30T19:06:00"/>
    <d v="1899-12-30T19:43:00"/>
    <n v="37"/>
    <b v="0"/>
    <b v="1"/>
    <x v="1"/>
    <x v="1"/>
    <n v="20"/>
    <x v="0"/>
    <n v="20"/>
    <x v="1"/>
    <n v="0"/>
    <n v="20"/>
    <s v="Off-peak only"/>
    <s v="San Francisco, CA"/>
    <n v="37.774900000000002"/>
    <n v="-122.4194"/>
    <d v="2024-02-24T00:00:00"/>
    <n v="5"/>
    <x v="1"/>
    <x v="21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3-12-21T00:00:00"/>
    <n v="7"/>
    <x v="0"/>
    <x v="23"/>
  </r>
  <r>
    <n v="14"/>
    <x v="0"/>
    <n v="1"/>
    <s v="Mon"/>
    <b v="1"/>
    <d v="1899-12-30T11:56:00"/>
    <d v="1899-12-30T13:37:00"/>
    <n v="10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4-01-19T00:00:00"/>
    <n v="0"/>
    <x v="0"/>
    <x v="31"/>
  </r>
  <r>
    <n v="12"/>
    <x v="2"/>
    <n v="3"/>
    <s v="Sat, Thu, Wed"/>
    <b v="1"/>
    <d v="1899-12-30T11:50:00"/>
    <d v="1899-12-30T13:43:00"/>
    <n v="113"/>
    <b v="1"/>
    <b v="0"/>
    <x v="1"/>
    <x v="0"/>
    <n v="20"/>
    <x v="0"/>
    <n v="20"/>
    <x v="0"/>
    <n v="0.05"/>
    <n v="19"/>
    <s v="Off-peak only"/>
    <s v="Bakersfield, CA"/>
    <n v="35.3733"/>
    <n v="-119.0187"/>
    <d v="2023-07-13T00:00:00"/>
    <n v="0"/>
    <x v="0"/>
    <x v="56"/>
  </r>
  <r>
    <n v="35"/>
    <x v="1"/>
    <n v="1"/>
    <s v="Fri"/>
    <b v="1"/>
    <d v="1899-12-30T13:12:00"/>
    <d v="1899-12-30T14:54:00"/>
    <n v="102"/>
    <b v="1"/>
    <b v="1"/>
    <x v="0"/>
    <x v="1"/>
    <n v="30"/>
    <x v="0"/>
    <n v="30"/>
    <x v="1"/>
    <n v="0"/>
    <n v="30"/>
    <s v="Weekdays only"/>
    <s v="Long Beach, CA"/>
    <n v="33.770099999999999"/>
    <n v="-118.19370000000001"/>
    <d v="2025-01-25T00:00:00"/>
    <n v="1"/>
    <x v="1"/>
    <x v="19"/>
  </r>
  <r>
    <n v="13"/>
    <x v="1"/>
    <n v="3"/>
    <s v="Fri, Sat, Wed"/>
    <b v="1"/>
    <d v="1899-12-30T13:37:00"/>
    <d v="1899-12-30T14:09:00"/>
    <n v="32"/>
    <b v="1"/>
    <b v="0"/>
    <x v="0"/>
    <x v="0"/>
    <n v="30"/>
    <x v="1"/>
    <n v="22.5"/>
    <x v="1"/>
    <n v="0"/>
    <n v="22.5"/>
    <s v="Weekdays only"/>
    <s v="Long Beach, CA"/>
    <n v="33.770099999999999"/>
    <n v="-118.19370000000001"/>
    <d v="2025-05-22T00:00:00"/>
    <n v="0"/>
    <x v="1"/>
    <x v="9"/>
  </r>
  <r>
    <n v="32"/>
    <x v="0"/>
    <n v="1"/>
    <s v="Sat"/>
    <b v="1"/>
    <d v="1899-12-30T18:44:00"/>
    <d v="1899-12-30T19:28:00"/>
    <n v="44"/>
    <b v="0"/>
    <b v="0"/>
    <x v="1"/>
    <x v="4"/>
    <n v="50"/>
    <x v="0"/>
    <n v="50"/>
    <x v="1"/>
    <n v="0"/>
    <n v="50"/>
    <s v="All hours"/>
    <s v="San Diego, CA"/>
    <n v="32.715699999999998"/>
    <n v="-117.1611"/>
    <d v="2024-07-30T00:00:00"/>
    <n v="0"/>
    <x v="0"/>
    <x v="15"/>
  </r>
  <r>
    <n v="44"/>
    <x v="1"/>
    <n v="2"/>
    <s v="Sun, Wed"/>
    <b v="1"/>
    <d v="1899-12-30T14:41:00"/>
    <d v="1899-12-30T16:35:00"/>
    <n v="114"/>
    <b v="0"/>
    <b v="0"/>
    <x v="0"/>
    <x v="3"/>
    <n v="30"/>
    <x v="1"/>
    <n v="22.5"/>
    <x v="0"/>
    <n v="0.05"/>
    <n v="21.375"/>
    <s v="Weekdays only"/>
    <s v="San Jose, CA"/>
    <n v="37.338200000000001"/>
    <n v="-121.88630000000001"/>
    <d v="2023-06-03T00:00:00"/>
    <n v="0"/>
    <x v="0"/>
    <x v="8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4-11-20T00:00:00"/>
    <n v="5"/>
    <x v="1"/>
    <x v="12"/>
  </r>
  <r>
    <n v="36"/>
    <x v="0"/>
    <n v="2"/>
    <s v="Sat, Thu"/>
    <b v="1"/>
    <d v="1899-12-30T19:38:00"/>
    <d v="1899-12-30T21:40:00"/>
    <n v="122"/>
    <b v="1"/>
    <b v="1"/>
    <x v="1"/>
    <x v="0"/>
    <n v="50"/>
    <x v="0"/>
    <n v="50"/>
    <x v="0"/>
    <n v="0.05"/>
    <n v="47.5"/>
    <s v="All hours"/>
    <s v="Anaheim, CA"/>
    <n v="33.836599999999997"/>
    <n v="-117.9143"/>
    <d v="2023-07-06T00:00:00"/>
    <n v="6"/>
    <x v="1"/>
    <x v="56"/>
  </r>
  <r>
    <n v="32"/>
    <x v="2"/>
    <n v="3"/>
    <s v="Sat, Sun, Wed"/>
    <b v="0"/>
    <d v="1899-12-30T10:38:00"/>
    <d v="1899-12-30T13:05:00"/>
    <n v="147"/>
    <b v="1"/>
    <b v="0"/>
    <x v="0"/>
    <x v="0"/>
    <n v="20"/>
    <x v="0"/>
    <n v="20"/>
    <x v="0"/>
    <n v="0.05"/>
    <n v="19"/>
    <s v="Off-peak only"/>
    <s v="Fresno, CA"/>
    <n v="36.7378"/>
    <n v="-119.7871"/>
    <d v="2022-08-25T00:00:00"/>
    <n v="0"/>
    <x v="1"/>
    <x v="10"/>
  </r>
  <r>
    <n v="21"/>
    <x v="0"/>
    <n v="3"/>
    <s v="Fri, Mon, Thu"/>
    <b v="1"/>
    <d v="1899-12-30T20:15:00"/>
    <d v="1899-12-30T21:36:00"/>
    <n v="81"/>
    <b v="1"/>
    <b v="0"/>
    <x v="1"/>
    <x v="0"/>
    <n v="50"/>
    <x v="1"/>
    <n v="37.5"/>
    <x v="3"/>
    <n v="0.15"/>
    <n v="31.875"/>
    <s v="All hours"/>
    <s v="Fresno, CA"/>
    <n v="36.7378"/>
    <n v="-119.7871"/>
    <d v="2025-03-14T00:00:00"/>
    <n v="0"/>
    <x v="0"/>
    <x v="27"/>
  </r>
  <r>
    <n v="26"/>
    <x v="0"/>
    <n v="5"/>
    <s v="Mon, Sat, Sun, Thu, Wed"/>
    <b v="1"/>
    <d v="1899-12-30T17:11:00"/>
    <d v="1899-12-30T18:02:00"/>
    <n v="51"/>
    <b v="0"/>
    <b v="1"/>
    <x v="1"/>
    <x v="4"/>
    <n v="50"/>
    <x v="1"/>
    <n v="37.5"/>
    <x v="3"/>
    <n v="0.15"/>
    <n v="31.875"/>
    <s v="All hours"/>
    <s v="Long Beach, CA"/>
    <n v="33.770099999999999"/>
    <n v="-118.19370000000001"/>
    <d v="2023-07-07T00:00:00"/>
    <n v="2"/>
    <x v="0"/>
    <x v="56"/>
  </r>
  <r>
    <n v="26"/>
    <x v="1"/>
    <n v="3"/>
    <s v="Sun, Tue, Wed"/>
    <b v="1"/>
    <d v="1899-12-30T13:24:00"/>
    <d v="1899-12-30T15:53:00"/>
    <n v="149"/>
    <b v="1"/>
    <b v="1"/>
    <x v="0"/>
    <x v="4"/>
    <n v="30"/>
    <x v="1"/>
    <n v="22.5"/>
    <x v="2"/>
    <n v="0.1"/>
    <n v="20.25"/>
    <s v="Weekdays only"/>
    <s v="Los Angeles, CA"/>
    <n v="34.052199999999999"/>
    <n v="-118.2437"/>
    <d v="2024-03-07T00:00:00"/>
    <n v="6"/>
    <x v="1"/>
    <x v="29"/>
  </r>
  <r>
    <n v="42"/>
    <x v="1"/>
    <n v="3"/>
    <s v="Sat, Sun, Tue"/>
    <b v="1"/>
    <d v="1899-12-30T10:23:00"/>
    <d v="1899-12-30T12:01:00"/>
    <n v="98"/>
    <b v="0"/>
    <b v="1"/>
    <x v="1"/>
    <x v="0"/>
    <n v="30"/>
    <x v="0"/>
    <n v="30"/>
    <x v="3"/>
    <n v="0.15"/>
    <n v="25.5"/>
    <s v="Weekdays only"/>
    <s v="Sacramento, CA"/>
    <n v="38.581600000000002"/>
    <n v="-121.4944"/>
    <d v="2022-12-11T00:00:00"/>
    <n v="4"/>
    <x v="1"/>
    <x v="54"/>
  </r>
  <r>
    <n v="48"/>
    <x v="1"/>
    <n v="2"/>
    <s v="Fri, Tue"/>
    <b v="0"/>
    <d v="1899-12-30T20:26:00"/>
    <d v="1899-12-30T22:46:00"/>
    <n v="140"/>
    <b v="0"/>
    <b v="1"/>
    <x v="0"/>
    <x v="4"/>
    <n v="30"/>
    <x v="0"/>
    <n v="30"/>
    <x v="3"/>
    <n v="0.15"/>
    <n v="25.5"/>
    <s v="Weekdays only"/>
    <s v="San Francisco, CA"/>
    <n v="37.774900000000002"/>
    <n v="-122.4194"/>
    <d v="2024-12-16T00:00:00"/>
    <n v="4"/>
    <x v="0"/>
    <x v="13"/>
  </r>
  <r>
    <n v="18"/>
    <x v="0"/>
    <n v="3"/>
    <s v="Fri, Mon, Sun"/>
    <b v="0"/>
    <d v="1899-12-30T13:26:00"/>
    <d v="1899-12-30T16:15:00"/>
    <n v="169"/>
    <b v="0"/>
    <b v="0"/>
    <x v="0"/>
    <x v="2"/>
    <n v="50"/>
    <x v="0"/>
    <n v="50"/>
    <x v="3"/>
    <n v="0.15"/>
    <n v="42.5"/>
    <s v="All hours"/>
    <s v="Long Beach, CA"/>
    <n v="33.770099999999999"/>
    <n v="-118.19370000000001"/>
    <d v="2023-06-16T00:00:00"/>
    <n v="0"/>
    <x v="0"/>
    <x v="28"/>
  </r>
  <r>
    <n v="19"/>
    <x v="0"/>
    <n v="3"/>
    <s v="Sat, Sun, Thu"/>
    <b v="0"/>
    <d v="1899-12-30T17:43:00"/>
    <d v="1899-12-30T18:34:00"/>
    <n v="51"/>
    <b v="0"/>
    <b v="1"/>
    <x v="1"/>
    <x v="4"/>
    <n v="50"/>
    <x v="1"/>
    <n v="37.5"/>
    <x v="0"/>
    <n v="0.05"/>
    <n v="35.625"/>
    <s v="All hours"/>
    <s v="San Jose, CA"/>
    <n v="37.338200000000001"/>
    <n v="-121.88630000000001"/>
    <d v="2023-01-12T00:00:00"/>
    <n v="2"/>
    <x v="0"/>
    <x v="57"/>
  </r>
  <r>
    <n v="35"/>
    <x v="2"/>
    <n v="2"/>
    <s v="Fri, Mon"/>
    <b v="1"/>
    <d v="1899-12-30T16:20:00"/>
    <d v="1899-12-30T17:21:00"/>
    <n v="61"/>
    <b v="1"/>
    <b v="1"/>
    <x v="0"/>
    <x v="4"/>
    <n v="20"/>
    <x v="0"/>
    <n v="20"/>
    <x v="1"/>
    <n v="0"/>
    <n v="20"/>
    <s v="Off-peak only"/>
    <s v="Long Beach, CA"/>
    <n v="33.770099999999999"/>
    <n v="-118.19370000000001"/>
    <d v="2022-09-20T00:00:00"/>
    <n v="8"/>
    <x v="1"/>
    <x v="25"/>
  </r>
  <r>
    <n v="46"/>
    <x v="0"/>
    <n v="4"/>
    <s v="Fri, Mon, Sat, Wed"/>
    <b v="1"/>
    <d v="1899-12-30T13:31:00"/>
    <d v="1899-12-30T15:47:00"/>
    <n v="136"/>
    <b v="1"/>
    <b v="1"/>
    <x v="0"/>
    <x v="4"/>
    <n v="50"/>
    <x v="2"/>
    <n v="45"/>
    <x v="2"/>
    <n v="0.1"/>
    <n v="40.5"/>
    <s v="All hours"/>
    <s v="Oakland, CA"/>
    <n v="37.804400000000001"/>
    <n v="-122.27119999999999"/>
    <d v="2023-06-26T00:00:00"/>
    <n v="3"/>
    <x v="0"/>
    <x v="56"/>
  </r>
  <r>
    <n v="39"/>
    <x v="1"/>
    <n v="2"/>
    <s v="Mon, Thu"/>
    <b v="0"/>
    <d v="1899-12-30T17:57:00"/>
    <d v="1899-12-30T19:45:00"/>
    <n v="108"/>
    <b v="1"/>
    <b v="1"/>
    <x v="1"/>
    <x v="1"/>
    <n v="30"/>
    <x v="0"/>
    <n v="30"/>
    <x v="1"/>
    <n v="0"/>
    <n v="30"/>
    <s v="Weekdays only"/>
    <s v="Oakland, CA"/>
    <n v="37.804400000000001"/>
    <n v="-122.27119999999999"/>
    <d v="2024-01-10T00:00:00"/>
    <n v="3"/>
    <x v="0"/>
    <x v="31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9-03T00:00:00"/>
    <n v="4"/>
    <x v="0"/>
    <x v="46"/>
  </r>
  <r>
    <n v="27"/>
    <x v="0"/>
    <n v="3"/>
    <s v="Sat, Thu, Wed"/>
    <b v="0"/>
    <d v="1899-12-30T11:50:00"/>
    <d v="1899-12-30T12:54:00"/>
    <n v="64"/>
    <b v="0"/>
    <b v="0"/>
    <x v="0"/>
    <x v="1"/>
    <n v="50"/>
    <x v="1"/>
    <n v="37.5"/>
    <x v="0"/>
    <n v="0.05"/>
    <n v="35.625"/>
    <s v="All hours"/>
    <s v="Los Angeles, CA"/>
    <n v="34.052199999999999"/>
    <n v="-118.2437"/>
    <d v="2022-12-10T00:00:00"/>
    <n v="0"/>
    <x v="0"/>
    <x v="54"/>
  </r>
  <r>
    <n v="33"/>
    <x v="1"/>
    <n v="1"/>
    <s v="Wed"/>
    <b v="1"/>
    <d v="1899-12-30T09:04:00"/>
    <d v="1899-12-30T09:47:00"/>
    <n v="43"/>
    <b v="1"/>
    <b v="0"/>
    <x v="0"/>
    <x v="0"/>
    <n v="30"/>
    <x v="0"/>
    <n v="30"/>
    <x v="1"/>
    <n v="0"/>
    <n v="30"/>
    <s v="Weekdays only"/>
    <s v="Long Beach, CA"/>
    <n v="33.770099999999999"/>
    <n v="-118.19370000000001"/>
    <d v="2023-10-24T00:00:00"/>
    <n v="0"/>
    <x v="1"/>
    <x v="59"/>
  </r>
  <r>
    <n v="36"/>
    <x v="3"/>
    <n v="2"/>
    <s v="Mon, Sun"/>
    <b v="0"/>
    <d v="1899-12-30T15:38:00"/>
    <d v="1899-12-30T17:36:00"/>
    <n v="118"/>
    <b v="0"/>
    <b v="1"/>
    <x v="0"/>
    <x v="4"/>
    <n v="70"/>
    <x v="0"/>
    <n v="70"/>
    <x v="0"/>
    <n v="0.05"/>
    <n v="66.5"/>
    <s v="All hours + Priority access"/>
    <s v="Los Angeles, CA"/>
    <n v="34.052199999999999"/>
    <n v="-118.2437"/>
    <d v="2025-05-21T00:00:00"/>
    <n v="4"/>
    <x v="0"/>
    <x v="9"/>
  </r>
  <r>
    <n v="36"/>
    <x v="0"/>
    <n v="3"/>
    <s v="Mon, Sat, Thu"/>
    <b v="0"/>
    <d v="1899-12-30T11:06:00"/>
    <d v="1899-12-30T11:44:00"/>
    <n v="38"/>
    <b v="1"/>
    <b v="1"/>
    <x v="0"/>
    <x v="4"/>
    <n v="50"/>
    <x v="0"/>
    <n v="50"/>
    <x v="2"/>
    <n v="0.1"/>
    <n v="45"/>
    <s v="All hours"/>
    <s v="Anaheim, CA"/>
    <n v="33.836599999999997"/>
    <n v="-117.9143"/>
    <d v="2022-10-05T00:00:00"/>
    <n v="7"/>
    <x v="0"/>
    <x v="38"/>
  </r>
  <r>
    <n v="19"/>
    <x v="2"/>
    <n v="2"/>
    <s v="Sat, Tue"/>
    <b v="0"/>
    <d v="1899-12-30T16:57:00"/>
    <d v="1899-12-30T18:54:00"/>
    <n v="117"/>
    <b v="1"/>
    <b v="1"/>
    <x v="0"/>
    <x v="4"/>
    <n v="20"/>
    <x v="1"/>
    <n v="15"/>
    <x v="1"/>
    <n v="0"/>
    <n v="15"/>
    <s v="Off-peak only"/>
    <s v="Sacramento, CA"/>
    <n v="38.581600000000002"/>
    <n v="-121.4944"/>
    <d v="2023-06-19T00:00:00"/>
    <n v="1"/>
    <x v="1"/>
    <x v="28"/>
  </r>
  <r>
    <n v="16"/>
    <x v="2"/>
    <n v="3"/>
    <s v="Mon, Sat, Thu"/>
    <b v="0"/>
    <d v="1899-12-30T15:10:00"/>
    <d v="1899-12-30T16:06:00"/>
    <n v="56"/>
    <b v="0"/>
    <b v="1"/>
    <x v="0"/>
    <x v="0"/>
    <n v="20"/>
    <x v="0"/>
    <n v="20"/>
    <x v="0"/>
    <n v="0.05"/>
    <n v="19"/>
    <s v="Off-peak only"/>
    <s v="Oakland, CA"/>
    <n v="37.804400000000001"/>
    <n v="-122.27119999999999"/>
    <d v="2023-07-03T00:00:00"/>
    <n v="7"/>
    <x v="0"/>
    <x v="56"/>
  </r>
  <r>
    <n v="46"/>
    <x v="1"/>
    <n v="3"/>
    <s v="Mon, Thu, Tue"/>
    <b v="1"/>
    <d v="1899-12-30T20:17:00"/>
    <d v="1899-12-30T21:11:00"/>
    <n v="54"/>
    <b v="0"/>
    <b v="0"/>
    <x v="1"/>
    <x v="1"/>
    <n v="30"/>
    <x v="0"/>
    <n v="30"/>
    <x v="2"/>
    <n v="0.1"/>
    <n v="27"/>
    <s v="Weekdays only"/>
    <s v="Oakland, CA"/>
    <n v="37.804400000000001"/>
    <n v="-122.27119999999999"/>
    <d v="2024-11-05T00:00:00"/>
    <n v="0"/>
    <x v="1"/>
    <x v="12"/>
  </r>
  <r>
    <n v="41"/>
    <x v="0"/>
    <n v="1"/>
    <s v="Fri"/>
    <b v="1"/>
    <d v="1899-12-30T09:46:00"/>
    <d v="1899-12-30T11:10:00"/>
    <n v="84"/>
    <b v="1"/>
    <b v="1"/>
    <x v="0"/>
    <x v="4"/>
    <n v="50"/>
    <x v="2"/>
    <n v="45"/>
    <x v="1"/>
    <n v="0"/>
    <n v="45"/>
    <s v="All hours"/>
    <s v="Long Beach, CA"/>
    <n v="33.770099999999999"/>
    <n v="-118.19370000000001"/>
    <d v="2023-07-22T00:00:00"/>
    <n v="7"/>
    <x v="0"/>
    <x v="34"/>
  </r>
  <r>
    <n v="23"/>
    <x v="3"/>
    <n v="3"/>
    <s v="Mon, Sat, Sun"/>
    <b v="0"/>
    <d v="1899-12-30T13:42:00"/>
    <d v="1899-12-30T14:33:00"/>
    <n v="51"/>
    <b v="0"/>
    <b v="0"/>
    <x v="1"/>
    <x v="0"/>
    <n v="70"/>
    <x v="0"/>
    <n v="70"/>
    <x v="0"/>
    <n v="0.05"/>
    <n v="66.5"/>
    <s v="All hours + Priority access"/>
    <s v="Long Beach, CA"/>
    <n v="33.770099999999999"/>
    <n v="-118.19370000000001"/>
    <d v="2024-04-29T00:00:00"/>
    <n v="0"/>
    <x v="0"/>
    <x v="40"/>
  </r>
  <r>
    <n v="16"/>
    <x v="0"/>
    <n v="1"/>
    <s v="Wed"/>
    <b v="0"/>
    <d v="1899-12-30T08:41:00"/>
    <d v="1899-12-30T11:33:00"/>
    <n v="172"/>
    <b v="0"/>
    <b v="0"/>
    <x v="1"/>
    <x v="4"/>
    <n v="50"/>
    <x v="1"/>
    <n v="37.5"/>
    <x v="0"/>
    <n v="0.05"/>
    <n v="35.625"/>
    <s v="All hours"/>
    <s v="San Francisco, CA"/>
    <n v="37.774900000000002"/>
    <n v="-122.4194"/>
    <d v="2023-07-30T00:00:00"/>
    <n v="0"/>
    <x v="0"/>
    <x v="34"/>
  </r>
  <r>
    <n v="41"/>
    <x v="2"/>
    <n v="4"/>
    <s v="Fri, Mon, Thu, Wed"/>
    <b v="0"/>
    <d v="1899-12-30T17:08:00"/>
    <d v="1899-12-30T18:16:00"/>
    <n v="68"/>
    <b v="1"/>
    <b v="1"/>
    <x v="0"/>
    <x v="4"/>
    <n v="20"/>
    <x v="2"/>
    <n v="18"/>
    <x v="1"/>
    <n v="0"/>
    <n v="18"/>
    <s v="Off-peak only"/>
    <s v="Long Beach, CA"/>
    <n v="33.770099999999999"/>
    <n v="-118.19370000000001"/>
    <d v="2025-03-01T00:00:00"/>
    <n v="8"/>
    <x v="1"/>
    <x v="45"/>
  </r>
  <r>
    <n v="46"/>
    <x v="3"/>
    <n v="2"/>
    <s v="Fri, Tue"/>
    <b v="0"/>
    <d v="1899-12-30T11:27:00"/>
    <d v="1899-12-30T13:39:00"/>
    <n v="132"/>
    <b v="1"/>
    <b v="1"/>
    <x v="0"/>
    <x v="1"/>
    <n v="70"/>
    <x v="0"/>
    <n v="70"/>
    <x v="1"/>
    <n v="0"/>
    <n v="70"/>
    <s v="All hours + Priority access"/>
    <s v="San Francisco, CA"/>
    <n v="37.774900000000002"/>
    <n v="-122.4194"/>
    <d v="2023-07-23T00:00:00"/>
    <n v="3"/>
    <x v="1"/>
    <x v="34"/>
  </r>
  <r>
    <n v="37"/>
    <x v="0"/>
    <n v="1"/>
    <s v="Sat"/>
    <b v="1"/>
    <d v="1899-12-30T13:10:00"/>
    <d v="1899-12-30T16:02:00"/>
    <n v="172"/>
    <b v="0"/>
    <b v="0"/>
    <x v="1"/>
    <x v="0"/>
    <n v="50"/>
    <x v="0"/>
    <n v="50"/>
    <x v="0"/>
    <n v="0.05"/>
    <n v="47.5"/>
    <s v="All hours"/>
    <s v="Fresno, CA"/>
    <n v="36.7378"/>
    <n v="-119.7871"/>
    <d v="2022-07-24T00:00:00"/>
    <n v="0"/>
    <x v="1"/>
    <x v="43"/>
  </r>
  <r>
    <n v="41"/>
    <x v="0"/>
    <n v="1"/>
    <s v="Wed"/>
    <b v="1"/>
    <d v="1899-12-30T19:23:00"/>
    <d v="1899-12-30T20:27:00"/>
    <n v="64"/>
    <b v="0"/>
    <b v="0"/>
    <x v="0"/>
    <x v="1"/>
    <n v="50"/>
    <x v="0"/>
    <n v="50"/>
    <x v="1"/>
    <n v="0"/>
    <n v="50"/>
    <s v="All hours"/>
    <s v="Fresno, CA"/>
    <n v="36.7378"/>
    <n v="-119.7871"/>
    <d v="2025-05-02T00:00:00"/>
    <n v="0"/>
    <x v="0"/>
    <x v="24"/>
  </r>
  <r>
    <n v="20"/>
    <x v="2"/>
    <n v="4"/>
    <s v="Fri, Thu, Tue, Wed"/>
    <b v="0"/>
    <d v="1899-12-30T11:51:00"/>
    <d v="1899-12-30T14:21:00"/>
    <n v="150"/>
    <b v="1"/>
    <b v="1"/>
    <x v="0"/>
    <x v="4"/>
    <n v="20"/>
    <x v="0"/>
    <n v="20"/>
    <x v="0"/>
    <n v="0.05"/>
    <n v="19"/>
    <s v="Off-peak only"/>
    <s v="Bakersfield, CA"/>
    <n v="35.3733"/>
    <n v="-119.0187"/>
    <d v="2022-08-17T00:00:00"/>
    <n v="8"/>
    <x v="0"/>
    <x v="10"/>
  </r>
  <r>
    <n v="30"/>
    <x v="0"/>
    <n v="3"/>
    <s v="Sat, Thu, Wed"/>
    <b v="0"/>
    <d v="1899-12-30T10:16:00"/>
    <d v="1899-12-30T11:47:00"/>
    <n v="91"/>
    <b v="1"/>
    <b v="0"/>
    <x v="1"/>
    <x v="4"/>
    <n v="50"/>
    <x v="0"/>
    <n v="50"/>
    <x v="2"/>
    <n v="0.1"/>
    <n v="45"/>
    <s v="All hours"/>
    <s v="San Francisco, CA"/>
    <n v="37.774900000000002"/>
    <n v="-122.4194"/>
    <d v="2024-04-15T00:00:00"/>
    <n v="0"/>
    <x v="1"/>
    <x v="52"/>
  </r>
  <r>
    <n v="40"/>
    <x v="0"/>
    <n v="4"/>
    <s v="Mon, Sat, Sun, Wed"/>
    <b v="1"/>
    <d v="1899-12-30T09:55:00"/>
    <d v="1899-12-30T10:43:00"/>
    <n v="48"/>
    <b v="0"/>
    <b v="0"/>
    <x v="1"/>
    <x v="1"/>
    <n v="50"/>
    <x v="0"/>
    <n v="50"/>
    <x v="1"/>
    <n v="0"/>
    <n v="50"/>
    <s v="All hours"/>
    <s v="Fresno, CA"/>
    <n v="36.7378"/>
    <n v="-119.7871"/>
    <d v="2022-12-08T00:00:00"/>
    <n v="0"/>
    <x v="1"/>
    <x v="54"/>
  </r>
  <r>
    <n v="38"/>
    <x v="3"/>
    <n v="3"/>
    <s v="Thu, Tue, Wed"/>
    <b v="1"/>
    <d v="1899-12-30T16:41:00"/>
    <d v="1899-12-30T17:48:00"/>
    <n v="67"/>
    <b v="1"/>
    <b v="0"/>
    <x v="1"/>
    <x v="0"/>
    <n v="70"/>
    <x v="0"/>
    <n v="70"/>
    <x v="1"/>
    <n v="0"/>
    <n v="70"/>
    <s v="All hours + Priority access"/>
    <s v="San Jose, CA"/>
    <n v="37.338200000000001"/>
    <n v="-121.88630000000001"/>
    <d v="2023-03-12T00:00:00"/>
    <n v="0"/>
    <x v="0"/>
    <x v="36"/>
  </r>
  <r>
    <n v="47"/>
    <x v="2"/>
    <n v="5"/>
    <s v="Sat, Sun, Thu, Tue, Wed"/>
    <b v="0"/>
    <d v="1899-12-30T11:26:00"/>
    <d v="1899-12-30T12:55:00"/>
    <n v="89"/>
    <b v="0"/>
    <b v="0"/>
    <x v="1"/>
    <x v="1"/>
    <n v="20"/>
    <x v="0"/>
    <n v="20"/>
    <x v="3"/>
    <n v="0.15"/>
    <n v="17"/>
    <s v="Off-peak only"/>
    <s v="San Jose, CA"/>
    <n v="37.338200000000001"/>
    <n v="-121.88630000000001"/>
    <d v="2023-10-28T00:00:00"/>
    <n v="0"/>
    <x v="1"/>
    <x v="59"/>
  </r>
  <r>
    <n v="15"/>
    <x v="1"/>
    <n v="3"/>
    <s v="Fri, Sun, Thu"/>
    <b v="0"/>
    <d v="1899-12-30T14:33:00"/>
    <d v="1899-12-30T16:48:00"/>
    <n v="135"/>
    <b v="0"/>
    <b v="0"/>
    <x v="1"/>
    <x v="0"/>
    <n v="30"/>
    <x v="0"/>
    <n v="30"/>
    <x v="2"/>
    <n v="0.1"/>
    <n v="27"/>
    <s v="Weekdays only"/>
    <s v="San Jose, CA"/>
    <n v="37.338200000000001"/>
    <n v="-121.88630000000001"/>
    <d v="2023-04-28T00:00:00"/>
    <n v="0"/>
    <x v="1"/>
    <x v="58"/>
  </r>
  <r>
    <n v="26"/>
    <x v="0"/>
    <n v="4"/>
    <s v="Mon, Thu, Tue, Wed"/>
    <b v="0"/>
    <d v="1899-12-30T08:44:00"/>
    <d v="1899-12-30T11:11:00"/>
    <n v="147"/>
    <b v="1"/>
    <b v="0"/>
    <x v="0"/>
    <x v="4"/>
    <n v="50"/>
    <x v="0"/>
    <n v="50"/>
    <x v="1"/>
    <n v="0"/>
    <n v="50"/>
    <s v="All hours"/>
    <s v="San Jose, CA"/>
    <n v="37.338200000000001"/>
    <n v="-121.88630000000001"/>
    <d v="2022-11-30T00:00:00"/>
    <n v="0"/>
    <x v="1"/>
    <x v="54"/>
  </r>
  <r>
    <n v="18"/>
    <x v="1"/>
    <n v="4"/>
    <s v="Mon, Sun, Thu, Tue"/>
    <b v="1"/>
    <d v="1899-12-30T19:42:00"/>
    <d v="1899-12-30T20:57:00"/>
    <n v="75"/>
    <b v="0"/>
    <b v="0"/>
    <x v="0"/>
    <x v="1"/>
    <n v="30"/>
    <x v="0"/>
    <n v="30"/>
    <x v="1"/>
    <n v="0"/>
    <n v="30"/>
    <s v="Weekdays only"/>
    <s v="San Francisco, CA"/>
    <n v="37.774900000000002"/>
    <n v="-122.4194"/>
    <d v="2024-04-18T00:00:00"/>
    <n v="0"/>
    <x v="0"/>
    <x v="52"/>
  </r>
  <r>
    <n v="30"/>
    <x v="0"/>
    <n v="3"/>
    <s v="Fri, Sat, Thu"/>
    <b v="1"/>
    <d v="1899-12-30T14:44:00"/>
    <d v="1899-12-30T16:00:00"/>
    <n v="76"/>
    <b v="1"/>
    <b v="1"/>
    <x v="1"/>
    <x v="2"/>
    <n v="50"/>
    <x v="0"/>
    <n v="50"/>
    <x v="2"/>
    <n v="0.1"/>
    <n v="45"/>
    <s v="All hours"/>
    <s v="Los Angeles, CA"/>
    <n v="34.052199999999999"/>
    <n v="-118.2437"/>
    <d v="2024-07-09T00:00:00"/>
    <n v="8"/>
    <x v="0"/>
    <x v="39"/>
  </r>
  <r>
    <n v="24"/>
    <x v="0"/>
    <n v="5"/>
    <s v="Fri, Mon, Sat, Sun, Wed"/>
    <b v="0"/>
    <d v="1899-12-30T20:53:00"/>
    <d v="1899-12-30T23:33:00"/>
    <n v="160"/>
    <b v="1"/>
    <b v="0"/>
    <x v="0"/>
    <x v="0"/>
    <n v="50"/>
    <x v="0"/>
    <n v="50"/>
    <x v="2"/>
    <n v="0.1"/>
    <n v="45"/>
    <s v="All hours"/>
    <s v="Bakersfield, CA"/>
    <n v="35.3733"/>
    <n v="-119.0187"/>
    <d v="2023-07-13T00:00:00"/>
    <n v="0"/>
    <x v="0"/>
    <x v="56"/>
  </r>
  <r>
    <n v="15"/>
    <x v="0"/>
    <n v="2"/>
    <s v="Mon, Sun"/>
    <b v="1"/>
    <d v="1899-12-30T20:07:00"/>
    <d v="1899-12-30T21:39:00"/>
    <n v="92"/>
    <b v="1"/>
    <b v="0"/>
    <x v="0"/>
    <x v="4"/>
    <n v="50"/>
    <x v="0"/>
    <n v="50"/>
    <x v="0"/>
    <n v="0.05"/>
    <n v="47.5"/>
    <s v="All hours"/>
    <s v="Oakland, CA"/>
    <n v="37.804400000000001"/>
    <n v="-122.27119999999999"/>
    <d v="2023-02-13T00:00:00"/>
    <n v="0"/>
    <x v="0"/>
    <x v="26"/>
  </r>
  <r>
    <n v="17"/>
    <x v="1"/>
    <n v="2"/>
    <s v="Mon, Tue"/>
    <b v="0"/>
    <d v="1899-12-30T15:54:00"/>
    <d v="1899-12-30T16:46:00"/>
    <n v="52"/>
    <b v="0"/>
    <b v="1"/>
    <x v="0"/>
    <x v="1"/>
    <n v="30"/>
    <x v="0"/>
    <n v="30"/>
    <x v="0"/>
    <n v="0.05"/>
    <n v="28.5"/>
    <s v="Weekdays only"/>
    <s v="Los Angeles, CA"/>
    <n v="34.052199999999999"/>
    <n v="-118.2437"/>
    <d v="2023-04-03T00:00:00"/>
    <n v="2"/>
    <x v="1"/>
    <x v="49"/>
  </r>
  <r>
    <n v="27"/>
    <x v="1"/>
    <n v="2"/>
    <s v="Fri, Thu"/>
    <b v="1"/>
    <d v="1899-12-30T16:29:00"/>
    <d v="1899-12-30T19:08:00"/>
    <n v="159"/>
    <b v="1"/>
    <b v="0"/>
    <x v="1"/>
    <x v="0"/>
    <n v="30"/>
    <x v="0"/>
    <n v="30"/>
    <x v="1"/>
    <n v="0"/>
    <n v="30"/>
    <s v="Weekdays only"/>
    <s v="Los Angeles, CA"/>
    <n v="34.052199999999999"/>
    <n v="-118.2437"/>
    <d v="2023-02-24T00:00:00"/>
    <n v="0"/>
    <x v="1"/>
    <x v="22"/>
  </r>
  <r>
    <n v="18"/>
    <x v="0"/>
    <n v="2"/>
    <s v="Fri, Thu"/>
    <b v="1"/>
    <d v="1899-12-30T08:05:00"/>
    <d v="1899-12-30T09:23:00"/>
    <n v="78"/>
    <b v="1"/>
    <b v="0"/>
    <x v="0"/>
    <x v="0"/>
    <n v="50"/>
    <x v="0"/>
    <n v="50"/>
    <x v="2"/>
    <n v="0.1"/>
    <n v="45"/>
    <s v="All hours"/>
    <s v="Bakersfield, CA"/>
    <n v="35.3733"/>
    <n v="-119.0187"/>
    <d v="2024-03-16T00:00:00"/>
    <n v="0"/>
    <x v="0"/>
    <x v="29"/>
  </r>
  <r>
    <n v="40"/>
    <x v="0"/>
    <n v="4"/>
    <s v="Sat, Sun, Thu, Tue"/>
    <b v="1"/>
    <d v="1899-12-30T19:35:00"/>
    <d v="1899-12-30T21:08:00"/>
    <n v="93"/>
    <b v="0"/>
    <b v="0"/>
    <x v="0"/>
    <x v="2"/>
    <n v="50"/>
    <x v="1"/>
    <n v="37.5"/>
    <x v="2"/>
    <n v="0.1"/>
    <n v="33.75"/>
    <s v="All hours"/>
    <s v="Fresno, CA"/>
    <n v="36.7378"/>
    <n v="-119.7871"/>
    <d v="2023-02-03T00:00:00"/>
    <n v="0"/>
    <x v="0"/>
    <x v="11"/>
  </r>
  <r>
    <n v="46"/>
    <x v="0"/>
    <n v="5"/>
    <s v="Mon, Sat, Thu, Tue, Wed"/>
    <b v="0"/>
    <d v="1899-12-30T20:46:00"/>
    <d v="1899-12-30T22:09:00"/>
    <n v="83"/>
    <b v="1"/>
    <b v="1"/>
    <x v="1"/>
    <x v="4"/>
    <n v="50"/>
    <x v="1"/>
    <n v="37.5"/>
    <x v="3"/>
    <n v="0.15"/>
    <n v="31.875"/>
    <s v="All hours"/>
    <s v="Bakersfield, CA"/>
    <n v="35.3733"/>
    <n v="-119.0187"/>
    <d v="2025-02-14T00:00:00"/>
    <n v="3"/>
    <x v="0"/>
    <x v="30"/>
  </r>
  <r>
    <n v="30"/>
    <x v="2"/>
    <n v="2"/>
    <s v="Sat, Wed"/>
    <b v="0"/>
    <d v="1899-12-30T08:38:00"/>
    <d v="1899-12-30T10:58:00"/>
    <n v="140"/>
    <b v="1"/>
    <b v="1"/>
    <x v="0"/>
    <x v="2"/>
    <n v="20"/>
    <x v="1"/>
    <n v="15"/>
    <x v="1"/>
    <n v="0"/>
    <n v="15"/>
    <s v="Off-peak only"/>
    <s v="Sacramento, CA"/>
    <n v="38.581600000000002"/>
    <n v="-121.4944"/>
    <d v="2023-11-21T00:00:00"/>
    <n v="1"/>
    <x v="0"/>
    <x v="35"/>
  </r>
  <r>
    <n v="29"/>
    <x v="0"/>
    <n v="2"/>
    <s v="Fri, Sun"/>
    <b v="0"/>
    <d v="1899-12-30T11:02:00"/>
    <d v="1899-12-30T12:22:00"/>
    <n v="80"/>
    <b v="1"/>
    <b v="1"/>
    <x v="1"/>
    <x v="0"/>
    <n v="50"/>
    <x v="0"/>
    <n v="50"/>
    <x v="1"/>
    <n v="0"/>
    <n v="50"/>
    <s v="All hours"/>
    <s v="Los Angeles, CA"/>
    <n v="34.052199999999999"/>
    <n v="-118.2437"/>
    <d v="2025-06-16T00:00:00"/>
    <n v="6"/>
    <x v="0"/>
    <x v="44"/>
  </r>
  <r>
    <n v="45"/>
    <x v="1"/>
    <n v="1"/>
    <s v="Mon"/>
    <b v="1"/>
    <d v="1899-12-30T18:07:00"/>
    <d v="1899-12-30T19:42:00"/>
    <n v="95"/>
    <b v="0"/>
    <b v="0"/>
    <x v="0"/>
    <x v="4"/>
    <n v="30"/>
    <x v="0"/>
    <n v="30"/>
    <x v="2"/>
    <n v="0.1"/>
    <n v="27"/>
    <s v="Weekdays only"/>
    <s v="Oakland, CA"/>
    <n v="37.804400000000001"/>
    <n v="-122.27119999999999"/>
    <d v="2024-07-12T00:00:00"/>
    <n v="0"/>
    <x v="1"/>
    <x v="39"/>
  </r>
  <r>
    <n v="27"/>
    <x v="3"/>
    <n v="5"/>
    <s v="Fri, Mon, Sat, Thu, Tue"/>
    <b v="0"/>
    <d v="1899-12-30T09:57:00"/>
    <d v="1899-12-30T12:22:00"/>
    <n v="145"/>
    <b v="0"/>
    <b v="0"/>
    <x v="0"/>
    <x v="1"/>
    <n v="70"/>
    <x v="1"/>
    <n v="52.5"/>
    <x v="2"/>
    <n v="0.1"/>
    <n v="47.25"/>
    <s v="All hours + Priority access"/>
    <s v="Los Angeles, CA"/>
    <n v="34.052199999999999"/>
    <n v="-118.2437"/>
    <d v="2024-05-28T00:00:00"/>
    <n v="0"/>
    <x v="0"/>
    <x v="20"/>
  </r>
  <r>
    <n v="30"/>
    <x v="0"/>
    <n v="1"/>
    <s v="Fri"/>
    <b v="0"/>
    <d v="1899-12-30T16:34:00"/>
    <d v="1899-12-30T19:02:00"/>
    <n v="148"/>
    <b v="0"/>
    <b v="0"/>
    <x v="1"/>
    <x v="4"/>
    <n v="50"/>
    <x v="0"/>
    <n v="50"/>
    <x v="1"/>
    <n v="0"/>
    <n v="50"/>
    <s v="All hours"/>
    <s v="Bakersfield, CA"/>
    <n v="35.3733"/>
    <n v="-119.0187"/>
    <d v="2024-04-27T00:00:00"/>
    <n v="0"/>
    <x v="0"/>
    <x v="40"/>
  </r>
  <r>
    <n v="43"/>
    <x v="0"/>
    <n v="1"/>
    <s v="Mon"/>
    <b v="0"/>
    <d v="1899-12-30T15:04:00"/>
    <d v="1899-12-30T17:05:00"/>
    <n v="121"/>
    <b v="0"/>
    <b v="1"/>
    <x v="0"/>
    <x v="2"/>
    <n v="50"/>
    <x v="1"/>
    <n v="37.5"/>
    <x v="3"/>
    <n v="0.15"/>
    <n v="31.875"/>
    <s v="All hours"/>
    <s v="Oakland, CA"/>
    <n v="37.804400000000001"/>
    <n v="-122.27119999999999"/>
    <d v="2023-06-13T00:00:00"/>
    <n v="4"/>
    <x v="0"/>
    <x v="28"/>
  </r>
  <r>
    <n v="15"/>
    <x v="0"/>
    <n v="2"/>
    <s v="Mon, Sun"/>
    <b v="1"/>
    <d v="1899-12-30T20:07:00"/>
    <d v="1899-12-30T21:39:00"/>
    <n v="92"/>
    <b v="1"/>
    <b v="0"/>
    <x v="0"/>
    <x v="4"/>
    <n v="50"/>
    <x v="0"/>
    <n v="50"/>
    <x v="0"/>
    <n v="0.05"/>
    <n v="47.5"/>
    <s v="All hours"/>
    <s v="Oakland, CA"/>
    <n v="37.804400000000001"/>
    <n v="-122.27119999999999"/>
    <d v="2024-05-05T00:00:00"/>
    <n v="0"/>
    <x v="0"/>
    <x v="40"/>
  </r>
  <r>
    <n v="49"/>
    <x v="3"/>
    <n v="3"/>
    <s v="Fri, Sun, Wed"/>
    <b v="0"/>
    <d v="1899-12-30T17:42:00"/>
    <d v="1899-12-30T19:00:00"/>
    <n v="78"/>
    <b v="1"/>
    <b v="1"/>
    <x v="1"/>
    <x v="4"/>
    <n v="70"/>
    <x v="2"/>
    <n v="63"/>
    <x v="2"/>
    <n v="0.1"/>
    <n v="56.7"/>
    <s v="All hours + Priority access"/>
    <s v="Los Angeles, CA"/>
    <n v="34.052199999999999"/>
    <n v="-118.2437"/>
    <d v="2024-03-02T00:00:00"/>
    <n v="4"/>
    <x v="0"/>
    <x v="29"/>
  </r>
  <r>
    <n v="29"/>
    <x v="2"/>
    <n v="4"/>
    <s v="Mon, Sat, Tue, Wed"/>
    <b v="1"/>
    <d v="1899-12-30T09:11:00"/>
    <d v="1899-12-30T10:48:00"/>
    <n v="97"/>
    <b v="0"/>
    <b v="0"/>
    <x v="1"/>
    <x v="4"/>
    <n v="20"/>
    <x v="2"/>
    <n v="18"/>
    <x v="1"/>
    <n v="0"/>
    <n v="18"/>
    <s v="Off-peak only"/>
    <s v="Fresno, CA"/>
    <n v="36.7378"/>
    <n v="-119.7871"/>
    <d v="2024-10-13T00:00:00"/>
    <n v="0"/>
    <x v="1"/>
    <x v="51"/>
  </r>
  <r>
    <n v="21"/>
    <x v="1"/>
    <n v="3"/>
    <s v="Mon, Sat, Wed"/>
    <b v="0"/>
    <d v="1899-12-30T08:34:00"/>
    <d v="1899-12-30T10:00:00"/>
    <n v="86"/>
    <b v="0"/>
    <b v="0"/>
    <x v="1"/>
    <x v="0"/>
    <n v="30"/>
    <x v="0"/>
    <n v="30"/>
    <x v="2"/>
    <n v="0.1"/>
    <n v="27"/>
    <s v="Weekdays only"/>
    <s v="Bakersfield, CA"/>
    <n v="35.3733"/>
    <n v="-119.0187"/>
    <d v="2024-05-21T00:00:00"/>
    <n v="0"/>
    <x v="1"/>
    <x v="0"/>
  </r>
  <r>
    <n v="18"/>
    <x v="3"/>
    <n v="3"/>
    <s v="Fri, Thu, Wed"/>
    <b v="1"/>
    <d v="1899-12-30T18:43:00"/>
    <d v="1899-12-30T21:06:00"/>
    <n v="143"/>
    <b v="1"/>
    <b v="0"/>
    <x v="1"/>
    <x v="4"/>
    <n v="70"/>
    <x v="0"/>
    <n v="70"/>
    <x v="2"/>
    <n v="0.1"/>
    <n v="63"/>
    <s v="All hours + Priority access"/>
    <s v="Long Beach, CA"/>
    <n v="33.770099999999999"/>
    <n v="-118.19370000000001"/>
    <d v="2024-10-23T00:00:00"/>
    <n v="0"/>
    <x v="0"/>
    <x v="53"/>
  </r>
  <r>
    <n v="40"/>
    <x v="0"/>
    <n v="4"/>
    <s v="Sat, Sun, Thu, Tue"/>
    <b v="1"/>
    <d v="1899-12-30T19:35:00"/>
    <d v="1899-12-30T21:08:00"/>
    <n v="93"/>
    <b v="0"/>
    <b v="0"/>
    <x v="0"/>
    <x v="2"/>
    <n v="50"/>
    <x v="1"/>
    <n v="37.5"/>
    <x v="2"/>
    <n v="0.1"/>
    <n v="33.75"/>
    <s v="All hours"/>
    <s v="Fresno, CA"/>
    <n v="36.7378"/>
    <n v="-119.7871"/>
    <d v="2025-04-06T00:00:00"/>
    <n v="0"/>
    <x v="0"/>
    <x v="42"/>
  </r>
  <r>
    <n v="23"/>
    <x v="1"/>
    <n v="1"/>
    <s v="Wed"/>
    <b v="1"/>
    <d v="1899-12-30T19:00:00"/>
    <d v="1899-12-30T19:49:00"/>
    <n v="49"/>
    <b v="1"/>
    <b v="0"/>
    <x v="1"/>
    <x v="4"/>
    <n v="30"/>
    <x v="0"/>
    <n v="30"/>
    <x v="0"/>
    <n v="0.05"/>
    <n v="28.5"/>
    <s v="Weekdays only"/>
    <s v="Bakersfield, CA"/>
    <n v="35.3733"/>
    <n v="-119.0187"/>
    <d v="2023-09-19T00:00:00"/>
    <n v="0"/>
    <x v="1"/>
    <x v="7"/>
  </r>
  <r>
    <n v="33"/>
    <x v="2"/>
    <n v="3"/>
    <s v="Fri, Sat, Tue"/>
    <b v="1"/>
    <d v="1899-12-30T10:24:00"/>
    <d v="1899-12-30T12:48:00"/>
    <n v="144"/>
    <b v="0"/>
    <b v="1"/>
    <x v="0"/>
    <x v="4"/>
    <n v="20"/>
    <x v="1"/>
    <n v="15"/>
    <x v="1"/>
    <n v="0"/>
    <n v="15"/>
    <s v="Off-peak only"/>
    <s v="Long Beach, CA"/>
    <n v="33.770099999999999"/>
    <n v="-118.19370000000001"/>
    <d v="2023-07-12T00:00:00"/>
    <n v="1"/>
    <x v="1"/>
    <x v="56"/>
  </r>
  <r>
    <n v="35"/>
    <x v="0"/>
    <n v="1"/>
    <s v="Sun"/>
    <b v="0"/>
    <d v="1899-12-30T09:38:00"/>
    <d v="1899-12-30T10:36:00"/>
    <n v="58"/>
    <b v="0"/>
    <b v="0"/>
    <x v="0"/>
    <x v="4"/>
    <n v="50"/>
    <x v="0"/>
    <n v="50"/>
    <x v="0"/>
    <n v="0.05"/>
    <n v="47.5"/>
    <s v="All hours"/>
    <s v="Fresno, CA"/>
    <n v="36.7378"/>
    <n v="-119.7871"/>
    <d v="2023-09-02T00:00:00"/>
    <n v="0"/>
    <x v="0"/>
    <x v="46"/>
  </r>
  <r>
    <n v="29"/>
    <x v="1"/>
    <n v="3"/>
    <s v="Mon, Sat, Thu"/>
    <b v="1"/>
    <d v="1899-12-30T20:43:00"/>
    <d v="1899-12-30T21:23:00"/>
    <n v="40"/>
    <b v="1"/>
    <b v="0"/>
    <x v="0"/>
    <x v="3"/>
    <n v="30"/>
    <x v="2"/>
    <n v="27"/>
    <x v="1"/>
    <n v="0"/>
    <n v="27"/>
    <s v="Weekdays only"/>
    <s v="San Francisco, CA"/>
    <n v="37.774900000000002"/>
    <n v="-122.4194"/>
    <d v="2024-02-15T00:00:00"/>
    <n v="0"/>
    <x v="1"/>
    <x v="21"/>
  </r>
  <r>
    <n v="48"/>
    <x v="0"/>
    <n v="3"/>
    <s v="Fri, Sat, Sun"/>
    <b v="1"/>
    <d v="1899-12-30T16:01:00"/>
    <d v="1899-12-30T18:16:00"/>
    <n v="135"/>
    <b v="0"/>
    <b v="1"/>
    <x v="1"/>
    <x v="4"/>
    <n v="50"/>
    <x v="0"/>
    <n v="50"/>
    <x v="1"/>
    <n v="0"/>
    <n v="50"/>
    <s v="All hours"/>
    <s v="San Jose, CA"/>
    <n v="37.338200000000001"/>
    <n v="-121.88630000000001"/>
    <d v="2024-05-14T00:00:00"/>
    <n v="8"/>
    <x v="0"/>
    <x v="0"/>
  </r>
  <r>
    <n v="32"/>
    <x v="0"/>
    <n v="1"/>
    <s v="Sat"/>
    <b v="0"/>
    <d v="1899-12-30T17:58:00"/>
    <d v="1899-12-30T19:58:00"/>
    <n v="120"/>
    <b v="1"/>
    <b v="0"/>
    <x v="1"/>
    <x v="2"/>
    <n v="50"/>
    <x v="1"/>
    <n v="37.5"/>
    <x v="1"/>
    <n v="0"/>
    <n v="37.5"/>
    <s v="All hours"/>
    <s v="Oakland, CA"/>
    <n v="37.804400000000001"/>
    <n v="-122.27119999999999"/>
    <d v="2022-12-16T00:00:00"/>
    <n v="0"/>
    <x v="1"/>
    <x v="6"/>
  </r>
  <r>
    <n v="13"/>
    <x v="0"/>
    <n v="5"/>
    <s v="Fri, Sun, Thu, Tue, Wed"/>
    <b v="0"/>
    <d v="1899-12-30T09:47:00"/>
    <d v="1899-12-30T12:16:00"/>
    <n v="149"/>
    <b v="0"/>
    <b v="1"/>
    <x v="0"/>
    <x v="1"/>
    <n v="50"/>
    <x v="0"/>
    <n v="50"/>
    <x v="1"/>
    <n v="0"/>
    <n v="50"/>
    <s v="All hours"/>
    <s v="Anaheim, CA"/>
    <n v="33.836599999999997"/>
    <n v="-117.9143"/>
    <d v="2023-12-18T00:00:00"/>
    <n v="7"/>
    <x v="1"/>
    <x v="16"/>
  </r>
  <r>
    <n v="49"/>
    <x v="0"/>
    <n v="1"/>
    <s v="Tue"/>
    <b v="1"/>
    <d v="1899-12-30T20:23:00"/>
    <d v="1899-12-30T21:08:00"/>
    <n v="45"/>
    <b v="1"/>
    <b v="0"/>
    <x v="1"/>
    <x v="0"/>
    <n v="50"/>
    <x v="0"/>
    <n v="50"/>
    <x v="3"/>
    <n v="0.15"/>
    <n v="42.5"/>
    <s v="All hours"/>
    <s v="San Jose, CA"/>
    <n v="37.338200000000001"/>
    <n v="-121.88630000000001"/>
    <d v="2024-01-29T00:00:00"/>
    <n v="0"/>
    <x v="0"/>
    <x v="48"/>
  </r>
  <r>
    <n v="28"/>
    <x v="1"/>
    <n v="1"/>
    <s v="Tue"/>
    <b v="1"/>
    <d v="1899-12-30T13:08:00"/>
    <d v="1899-12-30T14:35:00"/>
    <n v="87"/>
    <b v="1"/>
    <b v="1"/>
    <x v="1"/>
    <x v="0"/>
    <n v="30"/>
    <x v="1"/>
    <n v="22.5"/>
    <x v="3"/>
    <n v="0.15"/>
    <n v="19.125"/>
    <s v="Weekdays only"/>
    <s v="Sacramento, CA"/>
    <n v="38.581600000000002"/>
    <n v="-121.4944"/>
    <d v="2025-05-26T00:00:00"/>
    <n v="2"/>
    <x v="0"/>
    <x v="9"/>
  </r>
  <r>
    <n v="49"/>
    <x v="0"/>
    <n v="1"/>
    <s v="Sun"/>
    <b v="0"/>
    <d v="1899-12-30T13:58:00"/>
    <d v="1899-12-30T14:35:00"/>
    <n v="37"/>
    <b v="1"/>
    <b v="1"/>
    <x v="0"/>
    <x v="2"/>
    <n v="50"/>
    <x v="0"/>
    <n v="50"/>
    <x v="2"/>
    <n v="0.1"/>
    <n v="45"/>
    <s v="All hours"/>
    <s v="Oakland, CA"/>
    <n v="37.804400000000001"/>
    <n v="-122.27119999999999"/>
    <d v="2024-06-24T00:00:00"/>
    <n v="8"/>
    <x v="0"/>
    <x v="55"/>
  </r>
  <r>
    <n v="34"/>
    <x v="1"/>
    <n v="2"/>
    <s v="Fri, Mon"/>
    <b v="0"/>
    <d v="1899-12-30T17:01:00"/>
    <d v="1899-12-30T19:09:00"/>
    <n v="128"/>
    <b v="0"/>
    <b v="1"/>
    <x v="0"/>
    <x v="2"/>
    <n v="30"/>
    <x v="0"/>
    <n v="30"/>
    <x v="1"/>
    <n v="0"/>
    <n v="30"/>
    <s v="Weekdays only"/>
    <s v="Fresno, CA"/>
    <n v="36.7378"/>
    <n v="-119.7871"/>
    <d v="2024-05-14T00:00:00"/>
    <n v="4"/>
    <x v="0"/>
    <x v="0"/>
  </r>
  <r>
    <n v="32"/>
    <x v="3"/>
    <n v="3"/>
    <s v="Sat, Sun, Thu"/>
    <b v="0"/>
    <d v="1899-12-30T14:01:00"/>
    <d v="1899-12-30T16:17:00"/>
    <n v="136"/>
    <b v="0"/>
    <b v="0"/>
    <x v="0"/>
    <x v="4"/>
    <n v="70"/>
    <x v="0"/>
    <n v="70"/>
    <x v="1"/>
    <n v="0"/>
    <n v="70"/>
    <s v="All hours + Priority access"/>
    <s v="Anaheim, CA"/>
    <n v="33.836599999999997"/>
    <n v="-117.9143"/>
    <d v="2024-04-24T00:00:00"/>
    <n v="0"/>
    <x v="0"/>
    <x v="40"/>
  </r>
  <r>
    <n v="21"/>
    <x v="2"/>
    <n v="2"/>
    <s v="Mon, Wed"/>
    <b v="0"/>
    <d v="1899-12-30T10:26:00"/>
    <d v="1899-12-30T12:21:00"/>
    <n v="115"/>
    <b v="1"/>
    <b v="1"/>
    <x v="1"/>
    <x v="0"/>
    <n v="20"/>
    <x v="2"/>
    <n v="18"/>
    <x v="1"/>
    <n v="0"/>
    <n v="18"/>
    <s v="Off-peak only"/>
    <s v="Long Beach, CA"/>
    <n v="33.770099999999999"/>
    <n v="-118.19370000000001"/>
    <d v="2023-10-14T00:00:00"/>
    <n v="5"/>
    <x v="1"/>
    <x v="59"/>
  </r>
  <r>
    <n v="26"/>
    <x v="2"/>
    <n v="1"/>
    <s v="Mon"/>
    <b v="1"/>
    <d v="1899-12-30T11:42:00"/>
    <d v="1899-12-30T13:39:00"/>
    <n v="117"/>
    <b v="0"/>
    <b v="1"/>
    <x v="0"/>
    <x v="1"/>
    <n v="20"/>
    <x v="1"/>
    <n v="15"/>
    <x v="1"/>
    <n v="0"/>
    <n v="15"/>
    <s v="Off-peak only"/>
    <s v="Fresno, CA"/>
    <n v="36.7378"/>
    <n v="-119.7871"/>
    <d v="2023-12-02T00:00:00"/>
    <n v="7"/>
    <x v="1"/>
    <x v="35"/>
  </r>
  <r>
    <n v="13"/>
    <x v="0"/>
    <n v="4"/>
    <s v="Sat, Sun, Thu, Tue"/>
    <b v="0"/>
    <d v="1899-12-30T14:47:00"/>
    <d v="1899-12-30T15:21:00"/>
    <n v="34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3-09-14T00:00:00"/>
    <n v="0"/>
    <x v="1"/>
    <x v="7"/>
  </r>
  <r>
    <n v="36"/>
    <x v="1"/>
    <n v="2"/>
    <s v="Fri, Tue"/>
    <b v="1"/>
    <d v="1899-12-30T11:28:00"/>
    <d v="1899-12-30T14:14:00"/>
    <n v="166"/>
    <b v="0"/>
    <b v="0"/>
    <x v="1"/>
    <x v="4"/>
    <n v="30"/>
    <x v="1"/>
    <n v="22.5"/>
    <x v="0"/>
    <n v="0.05"/>
    <n v="21.375"/>
    <s v="Weekdays only"/>
    <s v="Long Beach, CA"/>
    <n v="33.770099999999999"/>
    <n v="-118.19370000000001"/>
    <d v="2023-03-31T00:00:00"/>
    <n v="0"/>
    <x v="1"/>
    <x v="49"/>
  </r>
  <r>
    <n v="44"/>
    <x v="2"/>
    <n v="3"/>
    <s v="Fri, Mon, Tue"/>
    <b v="0"/>
    <d v="1899-12-30T10:31:00"/>
    <d v="1899-12-30T12:28:00"/>
    <n v="117"/>
    <b v="1"/>
    <b v="1"/>
    <x v="0"/>
    <x v="4"/>
    <n v="20"/>
    <x v="0"/>
    <n v="20"/>
    <x v="3"/>
    <n v="0.15"/>
    <n v="17"/>
    <s v="Off-peak only"/>
    <s v="Long Beach, CA"/>
    <n v="33.770099999999999"/>
    <n v="-118.19370000000001"/>
    <d v="2023-02-08T00:00:00"/>
    <n v="4"/>
    <x v="0"/>
    <x v="26"/>
  </r>
  <r>
    <n v="29"/>
    <x v="1"/>
    <n v="3"/>
    <s v="Fri, Sun, Wed"/>
    <b v="0"/>
    <d v="1899-12-30T14:16:00"/>
    <d v="1899-12-30T17:08:00"/>
    <n v="172"/>
    <b v="0"/>
    <b v="0"/>
    <x v="0"/>
    <x v="4"/>
    <n v="30"/>
    <x v="0"/>
    <n v="30"/>
    <x v="0"/>
    <n v="0.05"/>
    <n v="28.5"/>
    <s v="Weekdays only"/>
    <s v="Fresno, CA"/>
    <n v="36.7378"/>
    <n v="-119.7871"/>
    <d v="2023-05-20T00:00:00"/>
    <n v="0"/>
    <x v="1"/>
    <x v="2"/>
  </r>
  <r>
    <n v="20"/>
    <x v="0"/>
    <n v="2"/>
    <s v="Fri, Sat"/>
    <b v="0"/>
    <d v="1899-12-30T18:54:00"/>
    <d v="1899-12-30T19:37:00"/>
    <n v="43"/>
    <b v="1"/>
    <b v="1"/>
    <x v="1"/>
    <x v="0"/>
    <n v="50"/>
    <x v="0"/>
    <n v="50"/>
    <x v="3"/>
    <n v="0.15"/>
    <n v="42.5"/>
    <s v="All hours"/>
    <s v="Oakland, CA"/>
    <n v="37.804400000000001"/>
    <n v="-122.27119999999999"/>
    <d v="2022-09-09T00:00:00"/>
    <n v="5"/>
    <x v="0"/>
    <x v="1"/>
  </r>
  <r>
    <n v="45"/>
    <x v="1"/>
    <n v="2"/>
    <s v="Mon, Wed"/>
    <b v="1"/>
    <d v="1899-12-30T08:12:00"/>
    <d v="1899-12-30T10:09:00"/>
    <n v="117"/>
    <b v="1"/>
    <b v="0"/>
    <x v="0"/>
    <x v="2"/>
    <n v="30"/>
    <x v="0"/>
    <n v="30"/>
    <x v="3"/>
    <n v="0.15"/>
    <n v="25.5"/>
    <s v="Weekdays only"/>
    <s v="Long Beach, CA"/>
    <n v="33.770099999999999"/>
    <n v="-118.19370000000001"/>
    <d v="2025-06-03T00:00:00"/>
    <n v="0"/>
    <x v="1"/>
    <x v="9"/>
  </r>
  <r>
    <n v="48"/>
    <x v="1"/>
    <n v="2"/>
    <s v="Fri, Tue"/>
    <b v="1"/>
    <d v="1899-12-30T11:46:00"/>
    <d v="1899-12-30T13:17:00"/>
    <n v="91"/>
    <b v="1"/>
    <b v="0"/>
    <x v="1"/>
    <x v="0"/>
    <n v="30"/>
    <x v="0"/>
    <n v="30"/>
    <x v="0"/>
    <n v="0.05"/>
    <n v="28.5"/>
    <s v="Weekdays only"/>
    <s v="San Francisco, CA"/>
    <n v="37.774900000000002"/>
    <n v="-122.4194"/>
    <d v="2024-11-26T00:00:00"/>
    <n v="0"/>
    <x v="0"/>
    <x v="14"/>
  </r>
  <r>
    <n v="20"/>
    <x v="0"/>
    <n v="3"/>
    <s v="Fri, Thu, Tue"/>
    <b v="0"/>
    <d v="1899-12-30T08:23:00"/>
    <d v="1899-12-30T11:22:00"/>
    <n v="179"/>
    <b v="0"/>
    <b v="0"/>
    <x v="0"/>
    <x v="0"/>
    <n v="50"/>
    <x v="0"/>
    <n v="50"/>
    <x v="0"/>
    <n v="0.05"/>
    <n v="47.5"/>
    <s v="All hours"/>
    <s v="San Diego, CA"/>
    <n v="32.715699999999998"/>
    <n v="-117.1611"/>
    <d v="2025-06-14T00:00:00"/>
    <n v="0"/>
    <x v="0"/>
    <x v="44"/>
  </r>
  <r>
    <n v="25"/>
    <x v="1"/>
    <n v="2"/>
    <s v="Thu, Wed"/>
    <b v="0"/>
    <d v="1899-12-30T10:38:00"/>
    <d v="1899-12-30T12:32:00"/>
    <n v="114"/>
    <b v="1"/>
    <b v="1"/>
    <x v="0"/>
    <x v="1"/>
    <n v="30"/>
    <x v="1"/>
    <n v="22.5"/>
    <x v="0"/>
    <n v="0.05"/>
    <n v="21.375"/>
    <s v="Weekdays only"/>
    <s v="Sacramento, CA"/>
    <n v="38.581600000000002"/>
    <n v="-121.4944"/>
    <d v="2023-08-03T00:00:00"/>
    <n v="8"/>
    <x v="1"/>
    <x v="47"/>
  </r>
  <r>
    <n v="45"/>
    <x v="2"/>
    <n v="3"/>
    <s v="Fri, Mon, Wed"/>
    <b v="1"/>
    <d v="1899-12-30T15:39:00"/>
    <d v="1899-12-30T17:34:00"/>
    <n v="115"/>
    <b v="1"/>
    <b v="1"/>
    <x v="1"/>
    <x v="0"/>
    <n v="20"/>
    <x v="1"/>
    <n v="15"/>
    <x v="2"/>
    <n v="0.1"/>
    <n v="13.5"/>
    <s v="Off-peak only"/>
    <s v="Anaheim, CA"/>
    <n v="33.836599999999997"/>
    <n v="-117.9143"/>
    <d v="2022-11-09T00:00:00"/>
    <n v="1"/>
    <x v="0"/>
    <x v="37"/>
  </r>
  <r>
    <n v="19"/>
    <x v="0"/>
    <n v="3"/>
    <s v="Fri, Sun, Wed"/>
    <b v="1"/>
    <d v="1899-12-30T15:01:00"/>
    <d v="1899-12-30T16:59:00"/>
    <n v="118"/>
    <b v="1"/>
    <b v="0"/>
    <x v="0"/>
    <x v="0"/>
    <n v="50"/>
    <x v="1"/>
    <n v="37.5"/>
    <x v="0"/>
    <n v="0.05"/>
    <n v="35.625"/>
    <s v="All hours"/>
    <s v="San Diego, CA"/>
    <n v="32.715699999999998"/>
    <n v="-117.1611"/>
    <d v="2024-10-06T00:00:00"/>
    <n v="0"/>
    <x v="1"/>
    <x v="51"/>
  </r>
  <r>
    <n v="28"/>
    <x v="1"/>
    <n v="3"/>
    <s v="Fri, Sat, Sun"/>
    <b v="0"/>
    <d v="1899-12-30T13:28:00"/>
    <d v="1899-12-30T15:44:00"/>
    <n v="136"/>
    <b v="1"/>
    <b v="1"/>
    <x v="1"/>
    <x v="4"/>
    <n v="30"/>
    <x v="0"/>
    <n v="30"/>
    <x v="1"/>
    <n v="0"/>
    <n v="30"/>
    <s v="Weekdays only"/>
    <s v="Oakland, CA"/>
    <n v="37.804400000000001"/>
    <n v="-122.27119999999999"/>
    <d v="2022-10-09T00:00:00"/>
    <n v="1"/>
    <x v="1"/>
    <x v="38"/>
  </r>
  <r>
    <n v="37"/>
    <x v="1"/>
    <n v="1"/>
    <s v="Tue"/>
    <b v="1"/>
    <d v="1899-12-30T18:06:00"/>
    <d v="1899-12-30T19:59:00"/>
    <n v="113"/>
    <b v="0"/>
    <b v="0"/>
    <x v="0"/>
    <x v="4"/>
    <n v="30"/>
    <x v="0"/>
    <n v="30"/>
    <x v="1"/>
    <n v="0"/>
    <n v="30"/>
    <s v="Weekdays only"/>
    <s v="San Francisco, CA"/>
    <n v="37.774900000000002"/>
    <n v="-122.4194"/>
    <d v="2025-04-19T00:00:00"/>
    <n v="0"/>
    <x v="1"/>
    <x v="5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2-10-01T00:00:00"/>
    <n v="7"/>
    <x v="0"/>
    <x v="25"/>
  </r>
  <r>
    <n v="33"/>
    <x v="1"/>
    <n v="2"/>
    <s v="Sun, Tue"/>
    <b v="0"/>
    <d v="1899-12-30T12:42:00"/>
    <d v="1899-12-30T15:01:00"/>
    <n v="139"/>
    <b v="1"/>
    <b v="1"/>
    <x v="0"/>
    <x v="3"/>
    <n v="30"/>
    <x v="0"/>
    <n v="30"/>
    <x v="1"/>
    <n v="0"/>
    <n v="30"/>
    <s v="Weekdays only"/>
    <s v="Bakersfield, CA"/>
    <n v="35.3733"/>
    <n v="-119.0187"/>
    <d v="2024-06-13T00:00:00"/>
    <n v="4"/>
    <x v="1"/>
    <x v="20"/>
  </r>
  <r>
    <n v="20"/>
    <x v="0"/>
    <n v="1"/>
    <s v="Fri"/>
    <b v="0"/>
    <d v="1899-12-30T11:35:00"/>
    <d v="1899-12-30T13:30:00"/>
    <n v="115"/>
    <b v="0"/>
    <b v="0"/>
    <x v="1"/>
    <x v="4"/>
    <n v="50"/>
    <x v="2"/>
    <n v="45"/>
    <x v="2"/>
    <n v="0.1"/>
    <n v="40.5"/>
    <s v="All hours"/>
    <s v="Fresno, CA"/>
    <n v="36.7378"/>
    <n v="-119.7871"/>
    <d v="2025-03-06T00:00:00"/>
    <n v="0"/>
    <x v="1"/>
    <x v="45"/>
  </r>
  <r>
    <n v="19"/>
    <x v="0"/>
    <n v="3"/>
    <s v="Sat, Sun, Thu"/>
    <b v="0"/>
    <d v="1899-12-30T17:43:00"/>
    <d v="1899-12-30T18:34:00"/>
    <n v="51"/>
    <b v="0"/>
    <b v="1"/>
    <x v="1"/>
    <x v="4"/>
    <n v="50"/>
    <x v="1"/>
    <n v="37.5"/>
    <x v="0"/>
    <n v="0.05"/>
    <n v="35.625"/>
    <s v="All hours"/>
    <s v="San Jose, CA"/>
    <n v="37.338200000000001"/>
    <n v="-121.88630000000001"/>
    <d v="2024-01-22T00:00:00"/>
    <n v="3"/>
    <x v="0"/>
    <x v="31"/>
  </r>
  <r>
    <n v="20"/>
    <x v="2"/>
    <n v="4"/>
    <s v="Fri, Mon, Sun, Wed"/>
    <b v="0"/>
    <d v="1899-12-30T17:12:00"/>
    <d v="1899-12-30T18:19:00"/>
    <n v="67"/>
    <b v="0"/>
    <b v="0"/>
    <x v="1"/>
    <x v="0"/>
    <n v="20"/>
    <x v="1"/>
    <n v="15"/>
    <x v="1"/>
    <n v="0"/>
    <n v="15"/>
    <s v="Off-peak only"/>
    <s v="San Diego, CA"/>
    <n v="32.715699999999998"/>
    <n v="-117.1611"/>
    <d v="2024-09-22T00:00:00"/>
    <n v="0"/>
    <x v="1"/>
    <x v="33"/>
  </r>
  <r>
    <n v="14"/>
    <x v="3"/>
    <n v="5"/>
    <s v="Sat, Sun, Thu, Tue, Wed"/>
    <b v="1"/>
    <d v="1899-12-30T08:25:00"/>
    <d v="1899-12-30T10:08:00"/>
    <n v="103"/>
    <b v="0"/>
    <b v="1"/>
    <x v="1"/>
    <x v="0"/>
    <n v="70"/>
    <x v="0"/>
    <n v="70"/>
    <x v="2"/>
    <n v="0.1"/>
    <n v="63"/>
    <s v="All hours + Priority access"/>
    <s v="Oakland, CA"/>
    <n v="37.804400000000001"/>
    <n v="-122.27119999999999"/>
    <d v="2024-08-23T00:00:00"/>
    <n v="5"/>
    <x v="0"/>
    <x v="18"/>
  </r>
  <r>
    <n v="31"/>
    <x v="0"/>
    <n v="2"/>
    <s v="Sun, Thu"/>
    <b v="1"/>
    <d v="1899-12-30T20:28:00"/>
    <d v="1899-12-30T21:26:00"/>
    <n v="58"/>
    <b v="0"/>
    <b v="1"/>
    <x v="0"/>
    <x v="1"/>
    <n v="50"/>
    <x v="0"/>
    <n v="50"/>
    <x v="3"/>
    <n v="0.15"/>
    <n v="42.5"/>
    <s v="All hours"/>
    <s v="Sacramento, CA"/>
    <n v="38.581600000000002"/>
    <n v="-121.4944"/>
    <d v="2024-07-30T00:00:00"/>
    <n v="2"/>
    <x v="0"/>
    <x v="15"/>
  </r>
  <r>
    <n v="14"/>
    <x v="0"/>
    <n v="3"/>
    <s v="Fri, Tue, Wed"/>
    <b v="0"/>
    <d v="1899-12-30T20:52:00"/>
    <d v="1899-12-30T22:02:00"/>
    <n v="70"/>
    <b v="1"/>
    <b v="1"/>
    <x v="1"/>
    <x v="4"/>
    <n v="50"/>
    <x v="0"/>
    <n v="50"/>
    <x v="3"/>
    <n v="0.15"/>
    <n v="42.5"/>
    <s v="All hours"/>
    <s v="Fresno, CA"/>
    <n v="36.7378"/>
    <n v="-119.7871"/>
    <d v="2023-02-18T00:00:00"/>
    <n v="4"/>
    <x v="0"/>
    <x v="26"/>
  </r>
  <r>
    <n v="21"/>
    <x v="1"/>
    <n v="5"/>
    <s v="Fri, Mon, Sat, Sun, Tue"/>
    <b v="0"/>
    <d v="1899-12-30T14:29:00"/>
    <d v="1899-12-30T16:01:00"/>
    <n v="92"/>
    <b v="1"/>
    <b v="1"/>
    <x v="1"/>
    <x v="0"/>
    <n v="30"/>
    <x v="0"/>
    <n v="30"/>
    <x v="3"/>
    <n v="0.15"/>
    <n v="25.5"/>
    <s v="Weekdays only"/>
    <s v="Sacramento, CA"/>
    <n v="38.581600000000002"/>
    <n v="-121.4944"/>
    <d v="2023-11-26T00:00:00"/>
    <n v="2"/>
    <x v="1"/>
    <x v="35"/>
  </r>
  <r>
    <n v="28"/>
    <x v="1"/>
    <n v="1"/>
    <s v="Tue"/>
    <b v="1"/>
    <d v="1899-12-30T13:08:00"/>
    <d v="1899-12-30T14:35:00"/>
    <n v="87"/>
    <b v="1"/>
    <b v="1"/>
    <x v="1"/>
    <x v="0"/>
    <n v="30"/>
    <x v="1"/>
    <n v="22.5"/>
    <x v="3"/>
    <n v="0.15"/>
    <n v="19.125"/>
    <s v="Weekdays only"/>
    <s v="Sacramento, CA"/>
    <n v="38.581600000000002"/>
    <n v="-121.4944"/>
    <d v="2024-07-26T00:00:00"/>
    <n v="4"/>
    <x v="1"/>
    <x v="15"/>
  </r>
  <r>
    <n v="33"/>
    <x v="1"/>
    <n v="1"/>
    <s v="Sun"/>
    <b v="0"/>
    <d v="1899-12-30T16:29:00"/>
    <d v="1899-12-30T17:07:00"/>
    <n v="38"/>
    <b v="0"/>
    <b v="1"/>
    <x v="0"/>
    <x v="2"/>
    <n v="30"/>
    <x v="0"/>
    <n v="30"/>
    <x v="0"/>
    <n v="0.05"/>
    <n v="28.5"/>
    <s v="Weekdays only"/>
    <s v="Long Beach, CA"/>
    <n v="33.770099999999999"/>
    <n v="-118.19370000000001"/>
    <d v="2023-09-11T00:00:00"/>
    <n v="3"/>
    <x v="1"/>
    <x v="7"/>
  </r>
  <r>
    <n v="29"/>
    <x v="1"/>
    <n v="3"/>
    <s v="Mon, Sat, Thu"/>
    <b v="1"/>
    <d v="1899-12-30T20:43:00"/>
    <d v="1899-12-30T21:23:00"/>
    <n v="40"/>
    <b v="1"/>
    <b v="0"/>
    <x v="0"/>
    <x v="3"/>
    <n v="30"/>
    <x v="2"/>
    <n v="27"/>
    <x v="1"/>
    <n v="0"/>
    <n v="27"/>
    <s v="Weekdays only"/>
    <s v="San Francisco, CA"/>
    <n v="37.774900000000002"/>
    <n v="-122.4194"/>
    <d v="2023-05-22T00:00:00"/>
    <n v="0"/>
    <x v="0"/>
    <x v="8"/>
  </r>
  <r>
    <n v="37"/>
    <x v="2"/>
    <n v="1"/>
    <s v="Wed"/>
    <b v="1"/>
    <d v="1899-12-30T09:10:00"/>
    <d v="1899-12-30T10:30:00"/>
    <n v="80"/>
    <b v="1"/>
    <b v="0"/>
    <x v="0"/>
    <x v="3"/>
    <n v="20"/>
    <x v="0"/>
    <n v="20"/>
    <x v="0"/>
    <n v="0.05"/>
    <n v="19"/>
    <s v="Off-peak only"/>
    <s v="Bakersfield, CA"/>
    <n v="35.3733"/>
    <n v="-119.0187"/>
    <d v="2024-09-05T00:00:00"/>
    <n v="0"/>
    <x v="1"/>
    <x v="41"/>
  </r>
  <r>
    <n v="13"/>
    <x v="1"/>
    <n v="1"/>
    <s v="Thu"/>
    <b v="0"/>
    <d v="1899-12-30T10:20:00"/>
    <d v="1899-12-30T10:57:00"/>
    <n v="37"/>
    <b v="1"/>
    <b v="0"/>
    <x v="1"/>
    <x v="0"/>
    <n v="30"/>
    <x v="1"/>
    <n v="22.5"/>
    <x v="1"/>
    <n v="0"/>
    <n v="22.5"/>
    <s v="Weekdays only"/>
    <s v="Anaheim, CA"/>
    <n v="33.836599999999997"/>
    <n v="-117.9143"/>
    <d v="2024-04-08T00:00:00"/>
    <n v="0"/>
    <x v="1"/>
    <x v="52"/>
  </r>
  <r>
    <n v="49"/>
    <x v="1"/>
    <n v="3"/>
    <s v="Mon, Sat, Sun"/>
    <b v="0"/>
    <d v="1899-12-30T15:25:00"/>
    <d v="1899-12-30T18:05:00"/>
    <n v="160"/>
    <b v="1"/>
    <b v="0"/>
    <x v="1"/>
    <x v="4"/>
    <n v="30"/>
    <x v="0"/>
    <n v="30"/>
    <x v="2"/>
    <n v="0.1"/>
    <n v="27"/>
    <s v="Weekdays only"/>
    <s v="Los Angeles, CA"/>
    <n v="34.052199999999999"/>
    <n v="-118.2437"/>
    <d v="2025-02-13T00:00:00"/>
    <n v="0"/>
    <x v="1"/>
    <x v="30"/>
  </r>
  <r>
    <n v="19"/>
    <x v="0"/>
    <n v="5"/>
    <s v="Fri, Mon, Sat, Thu, Wed"/>
    <b v="1"/>
    <d v="1899-12-30T10:54:00"/>
    <d v="1899-12-30T13:17:00"/>
    <n v="143"/>
    <b v="1"/>
    <b v="1"/>
    <x v="0"/>
    <x v="4"/>
    <n v="50"/>
    <x v="0"/>
    <n v="50"/>
    <x v="0"/>
    <n v="0.05"/>
    <n v="47.5"/>
    <s v="All hours"/>
    <s v="Long Beach, CA"/>
    <n v="33.770099999999999"/>
    <n v="-118.19370000000001"/>
    <d v="2024-12-12T00:00:00"/>
    <n v="3"/>
    <x v="0"/>
    <x v="13"/>
  </r>
  <r>
    <n v="13"/>
    <x v="0"/>
    <n v="4"/>
    <s v="Sat, Sun, Thu, Tue"/>
    <b v="0"/>
    <d v="1899-12-30T14:47:00"/>
    <d v="1899-12-30T15:21:00"/>
    <n v="34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3-06-28T00:00:00"/>
    <n v="0"/>
    <x v="0"/>
    <x v="56"/>
  </r>
  <r>
    <n v="38"/>
    <x v="0"/>
    <n v="4"/>
    <s v="Fri, Mon, Sun, Thu"/>
    <b v="1"/>
    <d v="1899-12-30T12:50:00"/>
    <d v="1899-12-30T14:19:00"/>
    <n v="89"/>
    <b v="0"/>
    <b v="0"/>
    <x v="1"/>
    <x v="4"/>
    <n v="50"/>
    <x v="0"/>
    <n v="50"/>
    <x v="1"/>
    <n v="0"/>
    <n v="50"/>
    <s v="All hours"/>
    <s v="Los Angeles, CA"/>
    <n v="34.052199999999999"/>
    <n v="-118.2437"/>
    <d v="2024-12-11T00:00:00"/>
    <n v="0"/>
    <x v="0"/>
    <x v="13"/>
  </r>
  <r>
    <n v="30"/>
    <x v="1"/>
    <n v="4"/>
    <s v="Fri, Sat, Sun, Wed"/>
    <b v="1"/>
    <d v="1899-12-30T14:27:00"/>
    <d v="1899-12-30T16:09:00"/>
    <n v="102"/>
    <b v="0"/>
    <b v="1"/>
    <x v="0"/>
    <x v="1"/>
    <n v="30"/>
    <x v="0"/>
    <n v="30"/>
    <x v="2"/>
    <n v="0.1"/>
    <n v="27"/>
    <s v="Weekdays only"/>
    <s v="San Diego, CA"/>
    <n v="32.715699999999998"/>
    <n v="-117.1611"/>
    <d v="2023-12-11T00:00:00"/>
    <n v="7"/>
    <x v="1"/>
    <x v="16"/>
  </r>
  <r>
    <n v="48"/>
    <x v="0"/>
    <n v="3"/>
    <s v="Mon, Sat, Tue"/>
    <b v="0"/>
    <d v="1899-12-30T19:44:00"/>
    <d v="1899-12-30T20:51:00"/>
    <n v="67"/>
    <b v="1"/>
    <b v="0"/>
    <x v="0"/>
    <x v="4"/>
    <n v="50"/>
    <x v="0"/>
    <n v="50"/>
    <x v="2"/>
    <n v="0.1"/>
    <n v="45"/>
    <s v="All hours"/>
    <s v="Oakland, CA"/>
    <n v="37.804400000000001"/>
    <n v="-122.27119999999999"/>
    <d v="2023-05-29T00:00:00"/>
    <n v="0"/>
    <x v="0"/>
    <x v="8"/>
  </r>
  <r>
    <n v="43"/>
    <x v="0"/>
    <n v="5"/>
    <s v="Fri, Mon, Sat, Thu, Wed"/>
    <b v="1"/>
    <d v="1899-12-30T09:29:00"/>
    <d v="1899-12-30T12:05:00"/>
    <n v="156"/>
    <b v="0"/>
    <b v="1"/>
    <x v="1"/>
    <x v="1"/>
    <n v="50"/>
    <x v="0"/>
    <n v="50"/>
    <x v="0"/>
    <n v="0.05"/>
    <n v="47.5"/>
    <s v="All hours"/>
    <s v="San Francisco, CA"/>
    <n v="37.774900000000002"/>
    <n v="-122.4194"/>
    <d v="2025-03-01T00:00:00"/>
    <n v="7"/>
    <x v="1"/>
    <x v="45"/>
  </r>
  <r>
    <n v="24"/>
    <x v="2"/>
    <n v="5"/>
    <s v="Fri, Sat, Sun, Thu, Wed"/>
    <b v="1"/>
    <d v="1899-12-30T09:06:00"/>
    <d v="1899-12-30T10:19:00"/>
    <n v="73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3-10-27T00:00:00"/>
    <n v="0"/>
    <x v="1"/>
    <x v="59"/>
  </r>
  <r>
    <n v="45"/>
    <x v="0"/>
    <n v="4"/>
    <s v="Fri, Thu, Tue, Wed"/>
    <b v="0"/>
    <d v="1899-12-30T19:32:00"/>
    <d v="1899-12-30T20:18:00"/>
    <n v="46"/>
    <b v="1"/>
    <b v="0"/>
    <x v="0"/>
    <x v="2"/>
    <n v="50"/>
    <x v="0"/>
    <n v="50"/>
    <x v="1"/>
    <n v="0"/>
    <n v="50"/>
    <s v="All hours"/>
    <s v="San Jose, CA"/>
    <n v="37.338200000000001"/>
    <n v="-121.88630000000001"/>
    <d v="2024-09-22T00:00:00"/>
    <n v="0"/>
    <x v="0"/>
    <x v="33"/>
  </r>
  <r>
    <n v="19"/>
    <x v="0"/>
    <n v="1"/>
    <s v="Sat"/>
    <b v="0"/>
    <d v="1899-12-30T16:10:00"/>
    <d v="1899-12-30T17:20:00"/>
    <n v="70"/>
    <b v="0"/>
    <b v="1"/>
    <x v="1"/>
    <x v="0"/>
    <n v="50"/>
    <x v="1"/>
    <n v="37.5"/>
    <x v="2"/>
    <n v="0.1"/>
    <n v="33.75"/>
    <s v="All hours"/>
    <s v="Oakland, CA"/>
    <n v="37.804400000000001"/>
    <n v="-122.27119999999999"/>
    <d v="2022-09-01T00:00:00"/>
    <n v="3"/>
    <x v="0"/>
    <x v="1"/>
  </r>
  <r>
    <n v="46"/>
    <x v="0"/>
    <n v="1"/>
    <s v="Sun"/>
    <b v="1"/>
    <d v="1899-12-30T18:06:00"/>
    <d v="1899-12-30T20:49:00"/>
    <n v="163"/>
    <b v="1"/>
    <b v="0"/>
    <x v="0"/>
    <x v="0"/>
    <n v="50"/>
    <x v="2"/>
    <n v="45"/>
    <x v="0"/>
    <n v="0.05"/>
    <n v="42.75"/>
    <s v="All hours"/>
    <s v="Long Beach, CA"/>
    <n v="33.770099999999999"/>
    <n v="-118.19370000000001"/>
    <d v="2024-01-25T00:00:00"/>
    <n v="0"/>
    <x v="0"/>
    <x v="31"/>
  </r>
  <r>
    <n v="17"/>
    <x v="0"/>
    <n v="1"/>
    <s v="Tue"/>
    <b v="1"/>
    <d v="1899-12-30T12:17:00"/>
    <d v="1899-12-30T15:14:00"/>
    <n v="177"/>
    <b v="1"/>
    <b v="1"/>
    <x v="0"/>
    <x v="4"/>
    <n v="50"/>
    <x v="0"/>
    <n v="50"/>
    <x v="3"/>
    <n v="0.15"/>
    <n v="42.5"/>
    <s v="All hours"/>
    <s v="Sacramento, CA"/>
    <n v="38.581600000000002"/>
    <n v="-121.4944"/>
    <d v="2023-02-15T00:00:00"/>
    <n v="6"/>
    <x v="0"/>
    <x v="26"/>
  </r>
  <r>
    <n v="18"/>
    <x v="0"/>
    <n v="3"/>
    <s v="Fri, Mon, Thu"/>
    <b v="1"/>
    <d v="1899-12-30T11:41:00"/>
    <d v="1899-12-30T13:08:00"/>
    <n v="87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3-11-15T00:00:00"/>
    <n v="0"/>
    <x v="1"/>
    <x v="50"/>
  </r>
  <r>
    <n v="41"/>
    <x v="0"/>
    <n v="1"/>
    <s v="Wed"/>
    <b v="1"/>
    <d v="1899-12-30T19:23:00"/>
    <d v="1899-12-30T20:27:00"/>
    <n v="64"/>
    <b v="0"/>
    <b v="0"/>
    <x v="0"/>
    <x v="1"/>
    <n v="50"/>
    <x v="0"/>
    <n v="50"/>
    <x v="1"/>
    <n v="0"/>
    <n v="50"/>
    <s v="All hours"/>
    <s v="Fresno, CA"/>
    <n v="36.7378"/>
    <n v="-119.7871"/>
    <d v="2025-05-07T00:00:00"/>
    <n v="0"/>
    <x v="0"/>
    <x v="24"/>
  </r>
  <r>
    <n v="48"/>
    <x v="1"/>
    <n v="2"/>
    <s v="Fri, Tue"/>
    <b v="1"/>
    <d v="1899-12-30T11:46:00"/>
    <d v="1899-12-30T13:17:00"/>
    <n v="91"/>
    <b v="1"/>
    <b v="0"/>
    <x v="1"/>
    <x v="0"/>
    <n v="30"/>
    <x v="0"/>
    <n v="30"/>
    <x v="0"/>
    <n v="0.05"/>
    <n v="28.5"/>
    <s v="Weekdays only"/>
    <s v="San Francisco, CA"/>
    <n v="37.774900000000002"/>
    <n v="-122.4194"/>
    <d v="2023-08-18T00:00:00"/>
    <n v="0"/>
    <x v="0"/>
    <x v="46"/>
  </r>
  <r>
    <n v="33"/>
    <x v="1"/>
    <n v="3"/>
    <s v="Fri, Sat, Sun"/>
    <b v="0"/>
    <d v="1899-12-30T15:13:00"/>
    <d v="1899-12-30T16:46:00"/>
    <n v="93"/>
    <b v="0"/>
    <b v="1"/>
    <x v="1"/>
    <x v="0"/>
    <n v="30"/>
    <x v="0"/>
    <n v="30"/>
    <x v="3"/>
    <n v="0.15"/>
    <n v="25.5"/>
    <s v="Weekdays only"/>
    <s v="Los Angeles, CA"/>
    <n v="34.052199999999999"/>
    <n v="-118.2437"/>
    <d v="2022-09-13T00:00:00"/>
    <n v="3"/>
    <x v="1"/>
    <x v="1"/>
  </r>
  <r>
    <n v="16"/>
    <x v="2"/>
    <n v="3"/>
    <s v="Fri, Sun, Wed"/>
    <b v="1"/>
    <d v="1899-12-30T14:53:00"/>
    <d v="1899-12-30T17:02:00"/>
    <n v="129"/>
    <b v="1"/>
    <b v="0"/>
    <x v="1"/>
    <x v="0"/>
    <n v="20"/>
    <x v="0"/>
    <n v="20"/>
    <x v="1"/>
    <n v="0"/>
    <n v="20"/>
    <s v="Off-peak only"/>
    <s v="Los Angeles, CA"/>
    <n v="34.052199999999999"/>
    <n v="-118.2437"/>
    <d v="2023-09-21T00:00:00"/>
    <n v="0"/>
    <x v="1"/>
    <x v="7"/>
  </r>
  <r>
    <n v="31"/>
    <x v="2"/>
    <n v="4"/>
    <s v="Fri, Mon, Tue, Wed"/>
    <b v="0"/>
    <d v="1899-12-30T20:33:00"/>
    <d v="1899-12-30T22:56:00"/>
    <n v="143"/>
    <b v="1"/>
    <b v="0"/>
    <x v="0"/>
    <x v="4"/>
    <n v="20"/>
    <x v="1"/>
    <n v="15"/>
    <x v="1"/>
    <n v="0"/>
    <n v="15"/>
    <s v="Off-peak only"/>
    <s v="San Francisco, CA"/>
    <n v="37.774900000000002"/>
    <n v="-122.4194"/>
    <d v="2023-02-01T00:00:00"/>
    <n v="0"/>
    <x v="1"/>
    <x v="11"/>
  </r>
  <r>
    <n v="33"/>
    <x v="0"/>
    <n v="1"/>
    <s v="Wed"/>
    <b v="0"/>
    <d v="1899-12-30T14:09:00"/>
    <d v="1899-12-30T16:46:00"/>
    <n v="157"/>
    <b v="0"/>
    <b v="0"/>
    <x v="0"/>
    <x v="4"/>
    <n v="50"/>
    <x v="0"/>
    <n v="50"/>
    <x v="0"/>
    <n v="0.05"/>
    <n v="47.5"/>
    <s v="All hours"/>
    <s v="Long Beach, CA"/>
    <n v="33.770099999999999"/>
    <n v="-118.19370000000001"/>
    <d v="2022-11-24T00:00:00"/>
    <n v="0"/>
    <x v="0"/>
    <x v="37"/>
  </r>
  <r>
    <n v="13"/>
    <x v="0"/>
    <n v="2"/>
    <s v="Thu, Wed"/>
    <b v="0"/>
    <d v="1899-12-30T19:29:00"/>
    <d v="1899-12-30T21:02:00"/>
    <n v="93"/>
    <b v="1"/>
    <b v="0"/>
    <x v="1"/>
    <x v="0"/>
    <n v="50"/>
    <x v="1"/>
    <n v="37.5"/>
    <x v="3"/>
    <n v="0.15"/>
    <n v="31.875"/>
    <s v="All hours"/>
    <s v="Sacramento, CA"/>
    <n v="38.581600000000002"/>
    <n v="-121.4944"/>
    <d v="2024-10-23T00:00:00"/>
    <n v="0"/>
    <x v="0"/>
    <x v="53"/>
  </r>
  <r>
    <n v="33"/>
    <x v="1"/>
    <n v="1"/>
    <s v="Wed"/>
    <b v="1"/>
    <d v="1899-12-30T09:04:00"/>
    <d v="1899-12-30T09:47:00"/>
    <n v="43"/>
    <b v="1"/>
    <b v="0"/>
    <x v="0"/>
    <x v="0"/>
    <n v="30"/>
    <x v="0"/>
    <n v="30"/>
    <x v="1"/>
    <n v="0"/>
    <n v="30"/>
    <s v="Weekdays only"/>
    <s v="Long Beach, CA"/>
    <n v="33.770099999999999"/>
    <n v="-118.19370000000001"/>
    <d v="2024-11-09T00:00:00"/>
    <n v="0"/>
    <x v="1"/>
    <x v="12"/>
  </r>
  <r>
    <n v="33"/>
    <x v="0"/>
    <n v="2"/>
    <s v="Sat, Wed"/>
    <b v="1"/>
    <d v="1899-12-30T17:06:00"/>
    <d v="1899-12-30T19:09:00"/>
    <n v="123"/>
    <b v="1"/>
    <b v="1"/>
    <x v="0"/>
    <x v="2"/>
    <n v="50"/>
    <x v="0"/>
    <n v="50"/>
    <x v="2"/>
    <n v="0.1"/>
    <n v="45"/>
    <s v="All hours"/>
    <s v="Fresno, CA"/>
    <n v="36.7378"/>
    <n v="-119.7871"/>
    <d v="2023-09-11T00:00:00"/>
    <n v="1"/>
    <x v="0"/>
    <x v="7"/>
  </r>
  <r>
    <n v="44"/>
    <x v="2"/>
    <n v="1"/>
    <s v="Mon"/>
    <b v="0"/>
    <d v="1899-12-30T17:41:00"/>
    <d v="1899-12-30T18:15:00"/>
    <n v="34"/>
    <b v="1"/>
    <b v="1"/>
    <x v="0"/>
    <x v="4"/>
    <n v="20"/>
    <x v="0"/>
    <n v="20"/>
    <x v="3"/>
    <n v="0.15"/>
    <n v="17"/>
    <s v="Off-peak only"/>
    <s v="San Diego, CA"/>
    <n v="32.715699999999998"/>
    <n v="-117.1611"/>
    <d v="2024-04-11T00:00:00"/>
    <n v="1"/>
    <x v="1"/>
    <x v="52"/>
  </r>
  <r>
    <n v="34"/>
    <x v="2"/>
    <n v="3"/>
    <s v="Mon, Sun, Tue"/>
    <b v="0"/>
    <d v="1899-12-30T10:54:00"/>
    <d v="1899-12-30T11:32:00"/>
    <n v="38"/>
    <b v="0"/>
    <b v="0"/>
    <x v="0"/>
    <x v="1"/>
    <n v="20"/>
    <x v="0"/>
    <n v="20"/>
    <x v="0"/>
    <n v="0.05"/>
    <n v="19"/>
    <s v="Off-peak only"/>
    <s v="Anaheim, CA"/>
    <n v="33.836599999999997"/>
    <n v="-117.9143"/>
    <d v="2023-01-10T00:00:00"/>
    <n v="0"/>
    <x v="1"/>
    <x v="57"/>
  </r>
  <r>
    <n v="26"/>
    <x v="1"/>
    <n v="3"/>
    <s v="Sat, Thu, Tue"/>
    <b v="1"/>
    <d v="1899-12-30T17:35:00"/>
    <d v="1899-12-30T18:31:00"/>
    <n v="56"/>
    <b v="1"/>
    <b v="0"/>
    <x v="1"/>
    <x v="2"/>
    <n v="30"/>
    <x v="0"/>
    <n v="30"/>
    <x v="1"/>
    <n v="0"/>
    <n v="30"/>
    <s v="Weekdays only"/>
    <s v="Fresno, CA"/>
    <n v="36.7378"/>
    <n v="-119.7871"/>
    <d v="2022-11-07T00:00:00"/>
    <n v="0"/>
    <x v="1"/>
    <x v="32"/>
  </r>
  <r>
    <n v="18"/>
    <x v="1"/>
    <n v="2"/>
    <s v="Thu, Tue"/>
    <b v="0"/>
    <d v="1899-12-30T16:41:00"/>
    <d v="1899-12-30T19:00:00"/>
    <n v="139"/>
    <b v="1"/>
    <b v="0"/>
    <x v="0"/>
    <x v="4"/>
    <n v="30"/>
    <x v="1"/>
    <n v="22.5"/>
    <x v="1"/>
    <n v="0"/>
    <n v="22.5"/>
    <s v="Weekdays only"/>
    <s v="Bakersfield, CA"/>
    <n v="35.3733"/>
    <n v="-119.0187"/>
    <d v="2024-06-11T00:00:00"/>
    <n v="0"/>
    <x v="0"/>
    <x v="20"/>
  </r>
  <r>
    <n v="24"/>
    <x v="1"/>
    <n v="3"/>
    <s v="Mon, Thu, Wed"/>
    <b v="0"/>
    <d v="1899-12-30T09:13:00"/>
    <d v="1899-12-30T11:37:00"/>
    <n v="144"/>
    <b v="0"/>
    <b v="0"/>
    <x v="0"/>
    <x v="4"/>
    <n v="30"/>
    <x v="2"/>
    <n v="27"/>
    <x v="2"/>
    <n v="0.1"/>
    <n v="24.3"/>
    <s v="Weekdays only"/>
    <s v="San Francisco, CA"/>
    <n v="37.774900000000002"/>
    <n v="-122.4194"/>
    <d v="2024-10-13T00:00:00"/>
    <n v="0"/>
    <x v="1"/>
    <x v="51"/>
  </r>
  <r>
    <n v="23"/>
    <x v="1"/>
    <n v="3"/>
    <s v="Sat, Tue, Wed"/>
    <b v="1"/>
    <d v="1899-12-30T12:33:00"/>
    <d v="1899-12-30T14:41:00"/>
    <n v="128"/>
    <b v="0"/>
    <b v="0"/>
    <x v="0"/>
    <x v="1"/>
    <n v="30"/>
    <x v="2"/>
    <n v="27"/>
    <x v="1"/>
    <n v="0"/>
    <n v="27"/>
    <s v="Weekdays only"/>
    <s v="Bakersfield, CA"/>
    <n v="35.3733"/>
    <n v="-119.0187"/>
    <d v="2023-03-14T00:00:00"/>
    <n v="0"/>
    <x v="0"/>
    <x v="36"/>
  </r>
  <r>
    <n v="43"/>
    <x v="2"/>
    <n v="3"/>
    <s v="Fri, Sun, Tue"/>
    <b v="0"/>
    <d v="1899-12-30T12:02:00"/>
    <d v="1899-12-30T14:07:00"/>
    <n v="125"/>
    <b v="1"/>
    <b v="1"/>
    <x v="1"/>
    <x v="0"/>
    <n v="20"/>
    <x v="0"/>
    <n v="20"/>
    <x v="0"/>
    <n v="0.05"/>
    <n v="19"/>
    <s v="Off-peak only"/>
    <s v="Anaheim, CA"/>
    <n v="33.836599999999997"/>
    <n v="-117.9143"/>
    <d v="2024-09-03T00:00:00"/>
    <n v="6"/>
    <x v="1"/>
    <x v="41"/>
  </r>
  <r>
    <n v="46"/>
    <x v="1"/>
    <n v="1"/>
    <s v="Sat"/>
    <b v="0"/>
    <d v="1899-12-30T11:13:00"/>
    <d v="1899-12-30T13:19:00"/>
    <n v="126"/>
    <b v="1"/>
    <b v="0"/>
    <x v="1"/>
    <x v="4"/>
    <n v="30"/>
    <x v="0"/>
    <n v="30"/>
    <x v="1"/>
    <n v="0"/>
    <n v="30"/>
    <s v="Weekdays only"/>
    <s v="San Diego, CA"/>
    <n v="32.715699999999998"/>
    <n v="-117.1611"/>
    <d v="2023-01-28T00:00:00"/>
    <n v="0"/>
    <x v="0"/>
    <x v="11"/>
  </r>
  <r>
    <n v="42"/>
    <x v="0"/>
    <n v="3"/>
    <s v="Mon, Sun, Thu"/>
    <b v="1"/>
    <d v="1899-12-30T11:44:00"/>
    <d v="1899-12-30T13:19:00"/>
    <n v="95"/>
    <b v="0"/>
    <b v="1"/>
    <x v="1"/>
    <x v="4"/>
    <n v="50"/>
    <x v="2"/>
    <n v="45"/>
    <x v="1"/>
    <n v="0"/>
    <n v="45"/>
    <s v="All hours"/>
    <s v="Sacramento, CA"/>
    <n v="38.581600000000002"/>
    <n v="-121.4944"/>
    <d v="2024-03-28T00:00:00"/>
    <n v="8"/>
    <x v="0"/>
    <x v="17"/>
  </r>
  <r>
    <n v="32"/>
    <x v="2"/>
    <n v="5"/>
    <s v="Sat, Sun, Thu, Tue, Wed"/>
    <b v="0"/>
    <d v="1899-12-30T11:08:00"/>
    <d v="1899-12-30T13:20:00"/>
    <n v="132"/>
    <b v="1"/>
    <b v="0"/>
    <x v="1"/>
    <x v="4"/>
    <n v="20"/>
    <x v="2"/>
    <n v="18"/>
    <x v="1"/>
    <n v="0"/>
    <n v="18"/>
    <s v="Off-peak only"/>
    <s v="San Jose, CA"/>
    <n v="37.338200000000001"/>
    <n v="-121.88630000000001"/>
    <d v="2023-07-13T00:00:00"/>
    <n v="0"/>
    <x v="1"/>
    <x v="56"/>
  </r>
  <r>
    <n v="45"/>
    <x v="0"/>
    <n v="5"/>
    <s v="Fri, Mon, Sun, Thu, Wed"/>
    <b v="0"/>
    <d v="1899-12-30T19:04:00"/>
    <d v="1899-12-30T20:44:00"/>
    <n v="100"/>
    <b v="1"/>
    <b v="1"/>
    <x v="1"/>
    <x v="4"/>
    <n v="50"/>
    <x v="0"/>
    <n v="50"/>
    <x v="1"/>
    <n v="0"/>
    <n v="50"/>
    <s v="All hours"/>
    <s v="San Francisco, CA"/>
    <n v="37.774900000000002"/>
    <n v="-122.4194"/>
    <d v="2025-03-13T00:00:00"/>
    <n v="5"/>
    <x v="0"/>
    <x v="27"/>
  </r>
  <r>
    <n v="20"/>
    <x v="3"/>
    <n v="2"/>
    <s v="Sun, Tue"/>
    <b v="0"/>
    <d v="1899-12-30T14:03:00"/>
    <d v="1899-12-30T16:48:00"/>
    <n v="165"/>
    <b v="1"/>
    <b v="1"/>
    <x v="1"/>
    <x v="4"/>
    <n v="70"/>
    <x v="1"/>
    <n v="52.5"/>
    <x v="1"/>
    <n v="0"/>
    <n v="52.5"/>
    <s v="All hours + Priority access"/>
    <s v="San Diego, CA"/>
    <n v="32.715699999999998"/>
    <n v="-117.1611"/>
    <d v="2023-08-28T00:00:00"/>
    <n v="8"/>
    <x v="0"/>
    <x v="46"/>
  </r>
  <r>
    <n v="37"/>
    <x v="0"/>
    <n v="3"/>
    <s v="Sat, Sun, Wed"/>
    <b v="0"/>
    <d v="1899-12-30T13:08:00"/>
    <d v="1899-12-30T13:56:00"/>
    <n v="48"/>
    <b v="0"/>
    <b v="0"/>
    <x v="1"/>
    <x v="2"/>
    <n v="50"/>
    <x v="0"/>
    <n v="50"/>
    <x v="0"/>
    <n v="0.05"/>
    <n v="47.5"/>
    <s v="All hours"/>
    <s v="San Jose, CA"/>
    <n v="37.338200000000001"/>
    <n v="-121.88630000000001"/>
    <d v="2024-02-27T00:00:00"/>
    <n v="0"/>
    <x v="0"/>
    <x v="21"/>
  </r>
  <r>
    <n v="43"/>
    <x v="1"/>
    <n v="5"/>
    <s v="Mon, Sat, Sun, Tue, Wed"/>
    <b v="0"/>
    <d v="1899-12-30T12:50:00"/>
    <d v="1899-12-30T15:20:00"/>
    <n v="150"/>
    <b v="1"/>
    <b v="1"/>
    <x v="1"/>
    <x v="0"/>
    <n v="30"/>
    <x v="2"/>
    <n v="27"/>
    <x v="1"/>
    <n v="0"/>
    <n v="27"/>
    <s v="Weekdays only"/>
    <s v="San Francisco, CA"/>
    <n v="37.774900000000002"/>
    <n v="-122.4194"/>
    <d v="2023-10-07T00:00:00"/>
    <n v="2"/>
    <x v="1"/>
    <x v="3"/>
  </r>
  <r>
    <n v="28"/>
    <x v="1"/>
    <n v="3"/>
    <s v="Sat, Thu, Wed"/>
    <b v="0"/>
    <d v="1899-12-30T19:59:00"/>
    <d v="1899-12-30T20:40:00"/>
    <n v="41"/>
    <b v="0"/>
    <b v="1"/>
    <x v="0"/>
    <x v="0"/>
    <n v="30"/>
    <x v="1"/>
    <n v="22.5"/>
    <x v="0"/>
    <n v="0.05"/>
    <n v="21.375"/>
    <s v="Weekdays only"/>
    <s v="Anaheim, CA"/>
    <n v="33.836599999999997"/>
    <n v="-117.9143"/>
    <d v="2024-12-26T00:00:00"/>
    <n v="8"/>
    <x v="1"/>
    <x v="13"/>
  </r>
  <r>
    <n v="34"/>
    <x v="2"/>
    <n v="1"/>
    <s v="Sun"/>
    <b v="0"/>
    <d v="1899-12-30T12:42:00"/>
    <d v="1899-12-30T13:21:00"/>
    <n v="39"/>
    <b v="1"/>
    <b v="1"/>
    <x v="1"/>
    <x v="0"/>
    <n v="20"/>
    <x v="1"/>
    <n v="15"/>
    <x v="1"/>
    <n v="0"/>
    <n v="15"/>
    <s v="Off-peak only"/>
    <s v="Los Angeles, CA"/>
    <n v="34.052199999999999"/>
    <n v="-118.2437"/>
    <d v="2023-04-30T00:00:00"/>
    <n v="4"/>
    <x v="0"/>
    <x v="58"/>
  </r>
  <r>
    <n v="16"/>
    <x v="3"/>
    <n v="1"/>
    <s v="Fri"/>
    <b v="0"/>
    <d v="1899-12-30T08:42:00"/>
    <d v="1899-12-30T10:34:00"/>
    <n v="112"/>
    <b v="0"/>
    <b v="0"/>
    <x v="0"/>
    <x v="4"/>
    <n v="70"/>
    <x v="0"/>
    <n v="70"/>
    <x v="1"/>
    <n v="0"/>
    <n v="70"/>
    <s v="All hours + Priority access"/>
    <s v="Bakersfield, CA"/>
    <n v="35.3733"/>
    <n v="-119.0187"/>
    <d v="2022-12-17T00:00:00"/>
    <n v="0"/>
    <x v="0"/>
    <x v="6"/>
  </r>
  <r>
    <n v="47"/>
    <x v="3"/>
    <n v="2"/>
    <s v="Sat, Thu"/>
    <b v="0"/>
    <d v="1899-12-30T12:18:00"/>
    <d v="1899-12-30T13:33:00"/>
    <n v="75"/>
    <b v="1"/>
    <b v="1"/>
    <x v="0"/>
    <x v="4"/>
    <n v="70"/>
    <x v="1"/>
    <n v="52.5"/>
    <x v="2"/>
    <n v="0.1"/>
    <n v="47.25"/>
    <s v="All hours + Priority access"/>
    <s v="San Jose, CA"/>
    <n v="37.338200000000001"/>
    <n v="-121.88630000000001"/>
    <d v="2024-11-04T00:00:00"/>
    <n v="8"/>
    <x v="0"/>
    <x v="53"/>
  </r>
  <r>
    <n v="18"/>
    <x v="0"/>
    <n v="3"/>
    <s v="Fri, Mon, Sun"/>
    <b v="0"/>
    <d v="1899-12-30T13:26:00"/>
    <d v="1899-12-30T16:15:00"/>
    <n v="169"/>
    <b v="0"/>
    <b v="0"/>
    <x v="0"/>
    <x v="2"/>
    <n v="50"/>
    <x v="0"/>
    <n v="50"/>
    <x v="3"/>
    <n v="0.15"/>
    <n v="42.5"/>
    <s v="All hours"/>
    <s v="Long Beach, CA"/>
    <n v="33.770099999999999"/>
    <n v="-118.19370000000001"/>
    <d v="2025-03-13T00:00:00"/>
    <n v="0"/>
    <x v="0"/>
    <x v="27"/>
  </r>
  <r>
    <n v="30"/>
    <x v="0"/>
    <n v="3"/>
    <s v="Sat, Sun, Wed"/>
    <b v="1"/>
    <d v="1899-12-30T18:36:00"/>
    <d v="1899-12-30T20:33:00"/>
    <n v="117"/>
    <b v="1"/>
    <b v="1"/>
    <x v="0"/>
    <x v="4"/>
    <n v="50"/>
    <x v="0"/>
    <n v="50"/>
    <x v="3"/>
    <n v="0.15"/>
    <n v="42.5"/>
    <s v="All hours"/>
    <s v="San Diego, CA"/>
    <n v="32.715699999999998"/>
    <n v="-117.1611"/>
    <d v="2025-05-28T00:00:00"/>
    <n v="4"/>
    <x v="1"/>
    <x v="9"/>
  </r>
  <r>
    <n v="33"/>
    <x v="2"/>
    <n v="2"/>
    <s v="Mon, Wed"/>
    <b v="1"/>
    <d v="1899-12-30T20:25:00"/>
    <d v="1899-12-30T23:16:00"/>
    <n v="171"/>
    <b v="1"/>
    <b v="0"/>
    <x v="0"/>
    <x v="4"/>
    <n v="20"/>
    <x v="0"/>
    <n v="20"/>
    <x v="2"/>
    <n v="0.1"/>
    <n v="18"/>
    <s v="Off-peak only"/>
    <s v="Anaheim, CA"/>
    <n v="33.836599999999997"/>
    <n v="-117.9143"/>
    <d v="2023-08-09T00:00:00"/>
    <n v="0"/>
    <x v="1"/>
    <x v="47"/>
  </r>
  <r>
    <n v="33"/>
    <x v="0"/>
    <n v="4"/>
    <s v="Fri, Sat, Thu, Wed"/>
    <b v="0"/>
    <d v="1899-12-30T13:30:00"/>
    <d v="1899-12-30T14:17:00"/>
    <n v="47"/>
    <b v="1"/>
    <b v="1"/>
    <x v="1"/>
    <x v="1"/>
    <n v="50"/>
    <x v="0"/>
    <n v="50"/>
    <x v="0"/>
    <n v="0.05"/>
    <n v="47.5"/>
    <s v="All hours"/>
    <s v="Anaheim, CA"/>
    <n v="33.836599999999997"/>
    <n v="-117.9143"/>
    <d v="2023-09-15T00:00:00"/>
    <n v="6"/>
    <x v="0"/>
    <x v="7"/>
  </r>
  <r>
    <n v="24"/>
    <x v="0"/>
    <n v="1"/>
    <s v="Sat"/>
    <b v="0"/>
    <d v="1899-12-30T16:51:00"/>
    <d v="1899-12-30T18:31:00"/>
    <n v="100"/>
    <b v="0"/>
    <b v="1"/>
    <x v="1"/>
    <x v="4"/>
    <n v="50"/>
    <x v="0"/>
    <n v="50"/>
    <x v="1"/>
    <n v="0"/>
    <n v="50"/>
    <s v="All hours"/>
    <s v="Sacramento, CA"/>
    <n v="38.581600000000002"/>
    <n v="-121.4944"/>
    <d v="2023-11-18T00:00:00"/>
    <n v="1"/>
    <x v="0"/>
    <x v="35"/>
  </r>
  <r>
    <n v="22"/>
    <x v="1"/>
    <n v="5"/>
    <s v="Fri, Sat, Sun, Tue, Wed"/>
    <b v="1"/>
    <d v="1899-12-30T08:13:00"/>
    <d v="1899-12-30T09:46:00"/>
    <n v="93"/>
    <b v="0"/>
    <b v="0"/>
    <x v="1"/>
    <x v="0"/>
    <n v="30"/>
    <x v="0"/>
    <n v="30"/>
    <x v="0"/>
    <n v="0.05"/>
    <n v="28.5"/>
    <s v="Weekdays only"/>
    <s v="San Jose, CA"/>
    <n v="37.338200000000001"/>
    <n v="-121.88630000000001"/>
    <d v="2024-10-18T00:00:00"/>
    <n v="0"/>
    <x v="0"/>
    <x v="53"/>
  </r>
  <r>
    <n v="30"/>
    <x v="0"/>
    <n v="3"/>
    <s v="Sat, Thu, Wed"/>
    <b v="1"/>
    <d v="1899-12-30T19:46:00"/>
    <d v="1899-12-30T20:48:00"/>
    <n v="62"/>
    <b v="0"/>
    <b v="0"/>
    <x v="0"/>
    <x v="0"/>
    <n v="50"/>
    <x v="0"/>
    <n v="50"/>
    <x v="0"/>
    <n v="0.05"/>
    <n v="47.5"/>
    <s v="All hours"/>
    <s v="Bakersfield, CA"/>
    <n v="35.3733"/>
    <n v="-119.0187"/>
    <d v="2024-05-02T00:00:00"/>
    <n v="0"/>
    <x v="0"/>
    <x v="40"/>
  </r>
  <r>
    <n v="41"/>
    <x v="0"/>
    <n v="1"/>
    <s v="Sat"/>
    <b v="1"/>
    <d v="1899-12-30T08:29:00"/>
    <d v="1899-12-30T10:32:00"/>
    <n v="123"/>
    <b v="1"/>
    <b v="1"/>
    <x v="0"/>
    <x v="1"/>
    <n v="50"/>
    <x v="2"/>
    <n v="45"/>
    <x v="1"/>
    <n v="0"/>
    <n v="45"/>
    <s v="All hours"/>
    <s v="San Jose, CA"/>
    <n v="37.338200000000001"/>
    <n v="-121.88630000000001"/>
    <d v="2023-09-28T00:00:00"/>
    <n v="7"/>
    <x v="0"/>
    <x v="3"/>
  </r>
  <r>
    <n v="30"/>
    <x v="1"/>
    <n v="3"/>
    <s v="Fri, Thu, Wed"/>
    <b v="1"/>
    <d v="1899-12-30T19:16:00"/>
    <d v="1899-12-30T20:15:00"/>
    <n v="59"/>
    <b v="0"/>
    <b v="1"/>
    <x v="1"/>
    <x v="0"/>
    <n v="30"/>
    <x v="0"/>
    <n v="30"/>
    <x v="2"/>
    <n v="0.1"/>
    <n v="27"/>
    <s v="Weekdays only"/>
    <s v="Bakersfield, CA"/>
    <n v="35.3733"/>
    <n v="-119.0187"/>
    <d v="2024-01-10T00:00:00"/>
    <n v="4"/>
    <x v="1"/>
    <x v="31"/>
  </r>
  <r>
    <n v="35"/>
    <x v="2"/>
    <n v="2"/>
    <s v="Fri, Mon"/>
    <b v="1"/>
    <d v="1899-12-30T16:20:00"/>
    <d v="1899-12-30T17:21:00"/>
    <n v="61"/>
    <b v="1"/>
    <b v="1"/>
    <x v="0"/>
    <x v="4"/>
    <n v="20"/>
    <x v="0"/>
    <n v="20"/>
    <x v="1"/>
    <n v="0"/>
    <n v="20"/>
    <s v="Off-peak only"/>
    <s v="Long Beach, CA"/>
    <n v="33.770099999999999"/>
    <n v="-118.19370000000001"/>
    <d v="2022-08-06T00:00:00"/>
    <n v="1"/>
    <x v="1"/>
    <x v="43"/>
  </r>
  <r>
    <n v="27"/>
    <x v="0"/>
    <n v="4"/>
    <s v="Sun, Thu, Tue, Wed"/>
    <b v="0"/>
    <d v="1899-12-30T11:49:00"/>
    <d v="1899-12-30T14:25:00"/>
    <n v="156"/>
    <b v="1"/>
    <b v="1"/>
    <x v="0"/>
    <x v="0"/>
    <n v="50"/>
    <x v="1"/>
    <n v="37.5"/>
    <x v="1"/>
    <n v="0"/>
    <n v="37.5"/>
    <s v="All hours"/>
    <s v="San Diego, CA"/>
    <n v="32.715699999999998"/>
    <n v="-117.1611"/>
    <d v="2025-01-28T00:00:00"/>
    <n v="5"/>
    <x v="0"/>
    <x v="19"/>
  </r>
  <r>
    <n v="34"/>
    <x v="3"/>
    <n v="1"/>
    <s v="Thu"/>
    <b v="1"/>
    <d v="1899-12-30T17:57:00"/>
    <d v="1899-12-30T19:46:00"/>
    <n v="109"/>
    <b v="0"/>
    <b v="1"/>
    <x v="1"/>
    <x v="1"/>
    <n v="70"/>
    <x v="1"/>
    <n v="52.5"/>
    <x v="1"/>
    <n v="0"/>
    <n v="52.5"/>
    <s v="All hours + Priority access"/>
    <s v="San Jose, CA"/>
    <n v="37.338200000000001"/>
    <n v="-121.88630000000001"/>
    <d v="2023-06-13T00:00:00"/>
    <n v="2"/>
    <x v="0"/>
    <x v="28"/>
  </r>
  <r>
    <n v="20"/>
    <x v="2"/>
    <n v="4"/>
    <s v="Fri, Thu, Tue, Wed"/>
    <b v="0"/>
    <d v="1899-12-30T11:51:00"/>
    <d v="1899-12-30T14:21:00"/>
    <n v="150"/>
    <b v="1"/>
    <b v="1"/>
    <x v="0"/>
    <x v="4"/>
    <n v="20"/>
    <x v="0"/>
    <n v="20"/>
    <x v="0"/>
    <n v="0.05"/>
    <n v="19"/>
    <s v="Off-peak only"/>
    <s v="Bakersfield, CA"/>
    <n v="35.3733"/>
    <n v="-119.0187"/>
    <d v="2024-04-18T00:00:00"/>
    <n v="5"/>
    <x v="0"/>
    <x v="52"/>
  </r>
  <r>
    <n v="34"/>
    <x v="0"/>
    <n v="3"/>
    <s v="Sat, Sun, Tue"/>
    <b v="1"/>
    <d v="1899-12-30T13:39:00"/>
    <d v="1899-12-30T16:20:00"/>
    <n v="161"/>
    <b v="1"/>
    <b v="0"/>
    <x v="1"/>
    <x v="1"/>
    <n v="50"/>
    <x v="0"/>
    <n v="50"/>
    <x v="1"/>
    <n v="0"/>
    <n v="50"/>
    <s v="All hours"/>
    <s v="San Francisco, CA"/>
    <n v="37.774900000000002"/>
    <n v="-122.4194"/>
    <d v="2024-03-23T00:00:00"/>
    <n v="0"/>
    <x v="0"/>
    <x v="17"/>
  </r>
  <r>
    <n v="40"/>
    <x v="2"/>
    <n v="2"/>
    <s v="Fri, Tue"/>
    <b v="0"/>
    <d v="1899-12-30T17:21:00"/>
    <d v="1899-12-30T19:53:00"/>
    <n v="152"/>
    <b v="1"/>
    <b v="1"/>
    <x v="1"/>
    <x v="0"/>
    <n v="20"/>
    <x v="0"/>
    <n v="20"/>
    <x v="1"/>
    <n v="0"/>
    <n v="20"/>
    <s v="Off-peak only"/>
    <s v="Long Beach, CA"/>
    <n v="33.770099999999999"/>
    <n v="-118.19370000000001"/>
    <d v="2023-05-20T00:00:00"/>
    <n v="6"/>
    <x v="1"/>
    <x v="2"/>
  </r>
  <r>
    <n v="16"/>
    <x v="0"/>
    <n v="3"/>
    <s v="Sat, Sun, Wed"/>
    <b v="1"/>
    <d v="1899-12-30T13:30:00"/>
    <d v="1899-12-30T14:20:00"/>
    <n v="50"/>
    <b v="1"/>
    <b v="0"/>
    <x v="1"/>
    <x v="4"/>
    <n v="50"/>
    <x v="1"/>
    <n v="37.5"/>
    <x v="1"/>
    <n v="0"/>
    <n v="37.5"/>
    <s v="All hours"/>
    <s v="San Diego, CA"/>
    <n v="32.715699999999998"/>
    <n v="-117.1611"/>
    <d v="2023-06-16T00:00:00"/>
    <n v="0"/>
    <x v="0"/>
    <x v="28"/>
  </r>
  <r>
    <n v="25"/>
    <x v="1"/>
    <n v="3"/>
    <s v="Fri, Sun, Tue"/>
    <b v="0"/>
    <d v="1899-12-30T15:21:00"/>
    <d v="1899-12-30T16:26:00"/>
    <n v="65"/>
    <b v="0"/>
    <b v="1"/>
    <x v="0"/>
    <x v="2"/>
    <n v="30"/>
    <x v="0"/>
    <n v="30"/>
    <x v="0"/>
    <n v="0.05"/>
    <n v="28.5"/>
    <s v="Weekdays only"/>
    <s v="Sacramento, CA"/>
    <n v="38.581600000000002"/>
    <n v="-121.4944"/>
    <d v="2022-08-02T00:00:00"/>
    <n v="8"/>
    <x v="1"/>
    <x v="43"/>
  </r>
  <r>
    <n v="46"/>
    <x v="0"/>
    <n v="1"/>
    <s v="Sun"/>
    <b v="1"/>
    <d v="1899-12-30T18:06:00"/>
    <d v="1899-12-30T20:49:00"/>
    <n v="163"/>
    <b v="1"/>
    <b v="0"/>
    <x v="0"/>
    <x v="0"/>
    <n v="50"/>
    <x v="2"/>
    <n v="45"/>
    <x v="0"/>
    <n v="0.05"/>
    <n v="42.75"/>
    <s v="All hours"/>
    <s v="Long Beach, CA"/>
    <n v="33.770099999999999"/>
    <n v="-118.19370000000001"/>
    <d v="2025-02-06T00:00:00"/>
    <n v="0"/>
    <x v="0"/>
    <x v="30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5-03-04T00:00:00"/>
    <n v="0"/>
    <x v="0"/>
    <x v="45"/>
  </r>
  <r>
    <n v="43"/>
    <x v="1"/>
    <n v="5"/>
    <s v="Fri, Sat, Thu, Tue, Wed"/>
    <b v="1"/>
    <d v="1899-12-30T12:44:00"/>
    <d v="1899-12-30T15:44:00"/>
    <n v="180"/>
    <b v="0"/>
    <b v="0"/>
    <x v="0"/>
    <x v="4"/>
    <n v="30"/>
    <x v="2"/>
    <n v="27"/>
    <x v="1"/>
    <n v="0"/>
    <n v="27"/>
    <s v="Weekdays only"/>
    <s v="Anaheim, CA"/>
    <n v="33.836599999999997"/>
    <n v="-117.9143"/>
    <d v="2023-05-13T00:00:00"/>
    <n v="0"/>
    <x v="1"/>
    <x v="2"/>
  </r>
  <r>
    <n v="37"/>
    <x v="0"/>
    <n v="3"/>
    <s v="Mon, Tue, Wed"/>
    <b v="0"/>
    <d v="1899-12-30T20:35:00"/>
    <d v="1899-12-30T22:58:00"/>
    <n v="143"/>
    <b v="0"/>
    <b v="1"/>
    <x v="0"/>
    <x v="0"/>
    <n v="50"/>
    <x v="0"/>
    <n v="50"/>
    <x v="0"/>
    <n v="0.05"/>
    <n v="47.5"/>
    <s v="All hours"/>
    <s v="Fresno, CA"/>
    <n v="36.7378"/>
    <n v="-119.7871"/>
    <d v="2023-10-16T00:00:00"/>
    <n v="8"/>
    <x v="0"/>
    <x v="59"/>
  </r>
  <r>
    <n v="26"/>
    <x v="1"/>
    <n v="5"/>
    <s v="Fri, Mon, Sat, Thu, Tue"/>
    <b v="0"/>
    <d v="1899-12-30T13:34:00"/>
    <d v="1899-12-30T15:19:00"/>
    <n v="105"/>
    <b v="1"/>
    <b v="0"/>
    <x v="1"/>
    <x v="3"/>
    <n v="30"/>
    <x v="0"/>
    <n v="30"/>
    <x v="1"/>
    <n v="0"/>
    <n v="30"/>
    <s v="Weekdays only"/>
    <s v="San Jose, CA"/>
    <n v="37.338200000000001"/>
    <n v="-121.88630000000001"/>
    <d v="2024-09-04T00:00:00"/>
    <n v="0"/>
    <x v="0"/>
    <x v="41"/>
  </r>
  <r>
    <n v="36"/>
    <x v="1"/>
    <n v="5"/>
    <s v="Fri, Mon, Sun, Thu, Tue"/>
    <b v="0"/>
    <d v="1899-12-30T20:57:00"/>
    <d v="1899-12-30T22:15:00"/>
    <n v="78"/>
    <b v="1"/>
    <b v="1"/>
    <x v="0"/>
    <x v="1"/>
    <n v="30"/>
    <x v="0"/>
    <n v="30"/>
    <x v="3"/>
    <n v="0.15"/>
    <n v="25.5"/>
    <s v="Weekdays only"/>
    <s v="Sacramento, CA"/>
    <n v="38.581600000000002"/>
    <n v="-121.4944"/>
    <d v="2025-03-30T00:00:00"/>
    <n v="3"/>
    <x v="1"/>
    <x v="42"/>
  </r>
  <r>
    <n v="39"/>
    <x v="0"/>
    <n v="3"/>
    <s v="Sat, Tue, Wed"/>
    <b v="1"/>
    <d v="1899-12-30T16:37:00"/>
    <d v="1899-12-30T17:45:00"/>
    <n v="68"/>
    <b v="0"/>
    <b v="1"/>
    <x v="0"/>
    <x v="4"/>
    <n v="50"/>
    <x v="0"/>
    <n v="50"/>
    <x v="3"/>
    <n v="0.15"/>
    <n v="42.5"/>
    <s v="All hours"/>
    <s v="San Francisco, CA"/>
    <n v="37.774900000000002"/>
    <n v="-122.4194"/>
    <d v="2025-03-23T00:00:00"/>
    <n v="3"/>
    <x v="0"/>
    <x v="27"/>
  </r>
  <r>
    <n v="26"/>
    <x v="0"/>
    <n v="2"/>
    <s v="Sat, Thu"/>
    <b v="0"/>
    <d v="1899-12-30T17:57:00"/>
    <d v="1899-12-30T20:08:00"/>
    <n v="131"/>
    <b v="0"/>
    <b v="0"/>
    <x v="0"/>
    <x v="0"/>
    <n v="50"/>
    <x v="0"/>
    <n v="50"/>
    <x v="3"/>
    <n v="0.15"/>
    <n v="42.5"/>
    <s v="All hours"/>
    <s v="Fresno, CA"/>
    <n v="36.7378"/>
    <n v="-119.7871"/>
    <d v="2022-11-13T00:00:00"/>
    <n v="0"/>
    <x v="1"/>
    <x v="37"/>
  </r>
  <r>
    <n v="27"/>
    <x v="0"/>
    <n v="2"/>
    <s v="Thu, Wed"/>
    <b v="0"/>
    <d v="1899-12-30T20:44:00"/>
    <d v="1899-12-30T21:57:00"/>
    <n v="73"/>
    <b v="0"/>
    <b v="1"/>
    <x v="1"/>
    <x v="0"/>
    <n v="50"/>
    <x v="0"/>
    <n v="50"/>
    <x v="1"/>
    <n v="0"/>
    <n v="50"/>
    <s v="All hours"/>
    <s v="Sacramento, CA"/>
    <n v="38.581600000000002"/>
    <n v="-121.4944"/>
    <d v="2024-11-30T00:00:00"/>
    <n v="3"/>
    <x v="0"/>
    <x v="14"/>
  </r>
  <r>
    <n v="16"/>
    <x v="0"/>
    <n v="1"/>
    <s v="Wed"/>
    <b v="0"/>
    <d v="1899-12-30T08:41:00"/>
    <d v="1899-12-30T11:33:00"/>
    <n v="172"/>
    <b v="0"/>
    <b v="0"/>
    <x v="1"/>
    <x v="4"/>
    <n v="50"/>
    <x v="1"/>
    <n v="37.5"/>
    <x v="0"/>
    <n v="0.05"/>
    <n v="35.625"/>
    <s v="All hours"/>
    <s v="San Francisco, CA"/>
    <n v="37.774900000000002"/>
    <n v="-122.4194"/>
    <d v="2024-07-13T00:00:00"/>
    <n v="0"/>
    <x v="0"/>
    <x v="39"/>
  </r>
  <r>
    <n v="28"/>
    <x v="2"/>
    <n v="2"/>
    <s v="Fri, Tue"/>
    <b v="0"/>
    <d v="1899-12-30T14:12:00"/>
    <d v="1899-12-30T15:26:00"/>
    <n v="74"/>
    <b v="1"/>
    <b v="0"/>
    <x v="0"/>
    <x v="4"/>
    <n v="20"/>
    <x v="0"/>
    <n v="20"/>
    <x v="0"/>
    <n v="0.05"/>
    <n v="19"/>
    <s v="Off-peak only"/>
    <s v="Oakland, CA"/>
    <n v="37.804400000000001"/>
    <n v="-122.27119999999999"/>
    <d v="2024-10-24T00:00:00"/>
    <n v="0"/>
    <x v="1"/>
    <x v="53"/>
  </r>
  <r>
    <n v="24"/>
    <x v="2"/>
    <n v="4"/>
    <s v="Fri, Sat, Sun, Wed"/>
    <b v="1"/>
    <d v="1899-12-30T13:12:00"/>
    <d v="1899-12-30T14:49:00"/>
    <n v="97"/>
    <b v="0"/>
    <b v="1"/>
    <x v="0"/>
    <x v="4"/>
    <n v="20"/>
    <x v="0"/>
    <n v="20"/>
    <x v="3"/>
    <n v="0.15"/>
    <n v="17"/>
    <s v="Off-peak only"/>
    <s v="Long Beach, CA"/>
    <n v="33.770099999999999"/>
    <n v="-118.19370000000001"/>
    <d v="2024-06-09T00:00:00"/>
    <n v="5"/>
    <x v="0"/>
    <x v="20"/>
  </r>
  <r>
    <n v="43"/>
    <x v="1"/>
    <n v="1"/>
    <s v="Thu"/>
    <b v="0"/>
    <d v="1899-12-30T08:17:00"/>
    <d v="1899-12-30T09:08:00"/>
    <n v="51"/>
    <b v="0"/>
    <b v="1"/>
    <x v="1"/>
    <x v="0"/>
    <n v="30"/>
    <x v="1"/>
    <n v="22.5"/>
    <x v="2"/>
    <n v="0.1"/>
    <n v="20.25"/>
    <s v="Weekdays only"/>
    <s v="Fresno, CA"/>
    <n v="36.7378"/>
    <n v="-119.7871"/>
    <d v="2025-04-10T00:00:00"/>
    <n v="4"/>
    <x v="1"/>
    <x v="42"/>
  </r>
  <r>
    <n v="24"/>
    <x v="0"/>
    <n v="2"/>
    <s v="Sun, Thu"/>
    <b v="0"/>
    <d v="1899-12-30T13:22:00"/>
    <d v="1899-12-30T14:37:00"/>
    <n v="75"/>
    <b v="1"/>
    <b v="1"/>
    <x v="0"/>
    <x v="2"/>
    <n v="50"/>
    <x v="2"/>
    <n v="45"/>
    <x v="0"/>
    <n v="0.05"/>
    <n v="42.75"/>
    <s v="All hours"/>
    <s v="Oakland, CA"/>
    <n v="37.804400000000001"/>
    <n v="-122.27119999999999"/>
    <d v="2023-12-18T00:00:00"/>
    <n v="2"/>
    <x v="0"/>
    <x v="16"/>
  </r>
  <r>
    <n v="33"/>
    <x v="2"/>
    <n v="4"/>
    <s v="Fri, Mon, Sun, Thu"/>
    <b v="0"/>
    <d v="1899-12-30T10:24:00"/>
    <d v="1899-12-30T11:48:00"/>
    <n v="84"/>
    <b v="1"/>
    <b v="0"/>
    <x v="0"/>
    <x v="0"/>
    <n v="20"/>
    <x v="0"/>
    <n v="20"/>
    <x v="2"/>
    <n v="0.1"/>
    <n v="18"/>
    <s v="Off-peak only"/>
    <s v="San Diego, CA"/>
    <n v="32.715699999999998"/>
    <n v="-117.1611"/>
    <d v="2025-04-11T00:00:00"/>
    <n v="0"/>
    <x v="1"/>
    <x v="42"/>
  </r>
  <r>
    <n v="45"/>
    <x v="0"/>
    <n v="3"/>
    <s v="Mon, Sun, Thu"/>
    <b v="0"/>
    <d v="1899-12-30T09:43:00"/>
    <d v="1899-12-30T11:16:00"/>
    <n v="93"/>
    <b v="1"/>
    <b v="0"/>
    <x v="1"/>
    <x v="3"/>
    <n v="50"/>
    <x v="0"/>
    <n v="50"/>
    <x v="1"/>
    <n v="0"/>
    <n v="50"/>
    <s v="All hours"/>
    <s v="San Diego, CA"/>
    <n v="32.715699999999998"/>
    <n v="-117.1611"/>
    <d v="2023-02-21T00:00:00"/>
    <n v="0"/>
    <x v="0"/>
    <x v="26"/>
  </r>
  <r>
    <n v="21"/>
    <x v="3"/>
    <n v="3"/>
    <s v="Mon, Sat, Sun"/>
    <b v="0"/>
    <d v="1899-12-30T13:04:00"/>
    <d v="1899-12-30T14:21:00"/>
    <n v="77"/>
    <b v="1"/>
    <b v="0"/>
    <x v="0"/>
    <x v="0"/>
    <n v="70"/>
    <x v="1"/>
    <n v="52.5"/>
    <x v="2"/>
    <n v="0.1"/>
    <n v="47.25"/>
    <s v="All hours + Priority access"/>
    <s v="Anaheim, CA"/>
    <n v="33.836599999999997"/>
    <n v="-117.9143"/>
    <d v="2024-10-17T00:00:00"/>
    <n v="0"/>
    <x v="0"/>
    <x v="51"/>
  </r>
  <r>
    <n v="24"/>
    <x v="1"/>
    <n v="1"/>
    <s v="Mon"/>
    <b v="0"/>
    <d v="1899-12-30T13:05:00"/>
    <d v="1899-12-30T15:29:00"/>
    <n v="144"/>
    <b v="0"/>
    <b v="1"/>
    <x v="1"/>
    <x v="1"/>
    <n v="30"/>
    <x v="0"/>
    <n v="30"/>
    <x v="1"/>
    <n v="0"/>
    <n v="30"/>
    <s v="Weekdays only"/>
    <s v="San Francisco, CA"/>
    <n v="37.774900000000002"/>
    <n v="-122.4194"/>
    <d v="2023-11-25T00:00:00"/>
    <n v="3"/>
    <x v="1"/>
    <x v="35"/>
  </r>
  <r>
    <n v="37"/>
    <x v="0"/>
    <n v="3"/>
    <s v="Mon, Tue, Wed"/>
    <b v="0"/>
    <d v="1899-12-30T20:35:00"/>
    <d v="1899-12-30T22:58:00"/>
    <n v="143"/>
    <b v="0"/>
    <b v="1"/>
    <x v="0"/>
    <x v="0"/>
    <n v="50"/>
    <x v="0"/>
    <n v="50"/>
    <x v="0"/>
    <n v="0.05"/>
    <n v="47.5"/>
    <s v="All hours"/>
    <s v="Fresno, CA"/>
    <n v="36.7378"/>
    <n v="-119.7871"/>
    <d v="2022-11-28T00:00:00"/>
    <n v="6"/>
    <x v="1"/>
    <x v="54"/>
  </r>
  <r>
    <n v="35"/>
    <x v="0"/>
    <n v="2"/>
    <s v="Fri, Sun"/>
    <b v="1"/>
    <d v="1899-12-30T14:22:00"/>
    <d v="1899-12-30T15:43:00"/>
    <n v="81"/>
    <b v="1"/>
    <b v="0"/>
    <x v="0"/>
    <x v="1"/>
    <n v="50"/>
    <x v="1"/>
    <n v="37.5"/>
    <x v="0"/>
    <n v="0.05"/>
    <n v="35.625"/>
    <s v="All hours"/>
    <s v="Oakland, CA"/>
    <n v="37.804400000000001"/>
    <n v="-122.27119999999999"/>
    <d v="2023-07-30T00:00:00"/>
    <n v="0"/>
    <x v="0"/>
    <x v="34"/>
  </r>
  <r>
    <n v="43"/>
    <x v="1"/>
    <n v="3"/>
    <s v="Fri, Sun, Tue"/>
    <b v="0"/>
    <d v="1899-12-30T18:37:00"/>
    <d v="1899-12-30T20:15:00"/>
    <n v="98"/>
    <b v="0"/>
    <b v="1"/>
    <x v="1"/>
    <x v="4"/>
    <n v="30"/>
    <x v="2"/>
    <n v="27"/>
    <x v="2"/>
    <n v="0.1"/>
    <n v="24.3"/>
    <s v="Weekdays only"/>
    <s v="Fresno, CA"/>
    <n v="36.7378"/>
    <n v="-119.7871"/>
    <d v="2023-12-03T00:00:00"/>
    <n v="6"/>
    <x v="0"/>
    <x v="16"/>
  </r>
  <r>
    <n v="14"/>
    <x v="2"/>
    <n v="2"/>
    <s v="Fri, Thu"/>
    <b v="1"/>
    <d v="1899-12-30T09:21:00"/>
    <d v="1899-12-30T12:12:00"/>
    <n v="171"/>
    <b v="0"/>
    <b v="1"/>
    <x v="0"/>
    <x v="0"/>
    <n v="20"/>
    <x v="0"/>
    <n v="20"/>
    <x v="2"/>
    <n v="0.1"/>
    <n v="18"/>
    <s v="Off-peak only"/>
    <s v="Bakersfield, CA"/>
    <n v="35.3733"/>
    <n v="-119.0187"/>
    <d v="2024-07-12T00:00:00"/>
    <n v="3"/>
    <x v="0"/>
    <x v="39"/>
  </r>
  <r>
    <n v="44"/>
    <x v="0"/>
    <n v="1"/>
    <s v="Sun"/>
    <b v="0"/>
    <d v="1899-12-30T15:34:00"/>
    <d v="1899-12-30T16:41:00"/>
    <n v="67"/>
    <b v="1"/>
    <b v="1"/>
    <x v="0"/>
    <x v="4"/>
    <n v="50"/>
    <x v="0"/>
    <n v="50"/>
    <x v="1"/>
    <n v="0"/>
    <n v="50"/>
    <s v="All hours"/>
    <s v="Fresno, CA"/>
    <n v="36.7378"/>
    <n v="-119.7871"/>
    <d v="2024-07-03T00:00:00"/>
    <n v="8"/>
    <x v="0"/>
    <x v="39"/>
  </r>
  <r>
    <n v="47"/>
    <x v="2"/>
    <n v="2"/>
    <s v="Mon, Sat"/>
    <b v="1"/>
    <d v="1899-12-30T14:42:00"/>
    <d v="1899-12-30T16:08:00"/>
    <n v="86"/>
    <b v="0"/>
    <b v="1"/>
    <x v="1"/>
    <x v="2"/>
    <n v="20"/>
    <x v="2"/>
    <n v="18"/>
    <x v="1"/>
    <n v="0"/>
    <n v="18"/>
    <s v="Off-peak only"/>
    <s v="Bakersfield, CA"/>
    <n v="35.3733"/>
    <n v="-119.0187"/>
    <d v="2023-07-10T00:00:00"/>
    <n v="3"/>
    <x v="1"/>
    <x v="56"/>
  </r>
  <r>
    <n v="30"/>
    <x v="3"/>
    <n v="3"/>
    <s v="Sat, Thu, Wed"/>
    <b v="1"/>
    <d v="1899-12-30T14:55:00"/>
    <d v="1899-12-30T16:01:00"/>
    <n v="66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2-07-30T00:00:00"/>
    <n v="2"/>
    <x v="0"/>
    <x v="43"/>
  </r>
  <r>
    <n v="43"/>
    <x v="3"/>
    <n v="1"/>
    <s v="Fri"/>
    <b v="1"/>
    <d v="1899-12-30T20:09:00"/>
    <d v="1899-12-30T21:57:00"/>
    <n v="108"/>
    <b v="0"/>
    <b v="0"/>
    <x v="1"/>
    <x v="2"/>
    <n v="70"/>
    <x v="0"/>
    <n v="70"/>
    <x v="1"/>
    <n v="0"/>
    <n v="70"/>
    <s v="All hours + Priority access"/>
    <s v="Anaheim, CA"/>
    <n v="33.836599999999997"/>
    <n v="-117.9143"/>
    <d v="2023-07-19T00:00:00"/>
    <n v="0"/>
    <x v="0"/>
    <x v="34"/>
  </r>
  <r>
    <n v="41"/>
    <x v="2"/>
    <n v="4"/>
    <s v="Mon, Sun, Tue, Wed"/>
    <b v="1"/>
    <d v="1899-12-30T10:09:00"/>
    <d v="1899-12-30T10:57:00"/>
    <n v="48"/>
    <b v="1"/>
    <b v="0"/>
    <x v="0"/>
    <x v="4"/>
    <n v="20"/>
    <x v="0"/>
    <n v="20"/>
    <x v="0"/>
    <n v="0.05"/>
    <n v="19"/>
    <s v="Off-peak only"/>
    <s v="Anaheim, CA"/>
    <n v="33.836599999999997"/>
    <n v="-117.9143"/>
    <d v="2023-11-06T00:00:00"/>
    <n v="0"/>
    <x v="0"/>
    <x v="50"/>
  </r>
  <r>
    <n v="43"/>
    <x v="0"/>
    <n v="5"/>
    <s v="Fri, Mon, Sat, Thu, Wed"/>
    <b v="0"/>
    <d v="1899-12-30T17:52:00"/>
    <d v="1899-12-30T20:52:00"/>
    <n v="180"/>
    <b v="0"/>
    <b v="1"/>
    <x v="0"/>
    <x v="0"/>
    <n v="50"/>
    <x v="1"/>
    <n v="37.5"/>
    <x v="1"/>
    <n v="0"/>
    <n v="37.5"/>
    <s v="All hours"/>
    <s v="San Francisco, CA"/>
    <n v="37.774900000000002"/>
    <n v="-122.4194"/>
    <d v="2023-05-06T00:00:00"/>
    <n v="3"/>
    <x v="0"/>
    <x v="2"/>
  </r>
  <r>
    <n v="15"/>
    <x v="1"/>
    <n v="3"/>
    <s v="Fri, Sun, Thu"/>
    <b v="0"/>
    <d v="1899-12-30T14:33:00"/>
    <d v="1899-12-30T16:48:00"/>
    <n v="135"/>
    <b v="0"/>
    <b v="0"/>
    <x v="1"/>
    <x v="0"/>
    <n v="30"/>
    <x v="0"/>
    <n v="30"/>
    <x v="2"/>
    <n v="0.1"/>
    <n v="27"/>
    <s v="Weekdays only"/>
    <s v="San Jose, CA"/>
    <n v="37.338200000000001"/>
    <n v="-121.88630000000001"/>
    <d v="2024-02-13T00:00:00"/>
    <n v="0"/>
    <x v="1"/>
    <x v="21"/>
  </r>
  <r>
    <n v="47"/>
    <x v="2"/>
    <n v="2"/>
    <s v="Mon, Sat"/>
    <b v="1"/>
    <d v="1899-12-30T14:42:00"/>
    <d v="1899-12-30T16:08:00"/>
    <n v="86"/>
    <b v="0"/>
    <b v="1"/>
    <x v="1"/>
    <x v="2"/>
    <n v="20"/>
    <x v="2"/>
    <n v="18"/>
    <x v="1"/>
    <n v="0"/>
    <n v="18"/>
    <s v="Off-peak only"/>
    <s v="Bakersfield, CA"/>
    <n v="35.3733"/>
    <n v="-119.0187"/>
    <d v="2025-04-19T00:00:00"/>
    <n v="2"/>
    <x v="1"/>
    <x v="5"/>
  </r>
  <r>
    <n v="18"/>
    <x v="1"/>
    <n v="2"/>
    <s v="Thu, Tue"/>
    <b v="0"/>
    <d v="1899-12-30T16:41:00"/>
    <d v="1899-12-30T19:00:00"/>
    <n v="139"/>
    <b v="1"/>
    <b v="0"/>
    <x v="0"/>
    <x v="4"/>
    <n v="30"/>
    <x v="1"/>
    <n v="22.5"/>
    <x v="1"/>
    <n v="0"/>
    <n v="22.5"/>
    <s v="Weekdays only"/>
    <s v="Bakersfield, CA"/>
    <n v="35.3733"/>
    <n v="-119.0187"/>
    <d v="2023-11-02T00:00:00"/>
    <n v="0"/>
    <x v="1"/>
    <x v="50"/>
  </r>
  <r>
    <n v="25"/>
    <x v="3"/>
    <n v="4"/>
    <s v="Fri, Thu, Tue, Wed"/>
    <b v="1"/>
    <d v="1899-12-30T09:25:00"/>
    <d v="1899-12-30T10:36:00"/>
    <n v="71"/>
    <b v="0"/>
    <b v="0"/>
    <x v="1"/>
    <x v="0"/>
    <n v="70"/>
    <x v="2"/>
    <n v="63"/>
    <x v="1"/>
    <n v="0"/>
    <n v="63"/>
    <s v="All hours + Priority access"/>
    <s v="San Francisco, CA"/>
    <n v="37.774900000000002"/>
    <n v="-122.4194"/>
    <d v="2022-09-07T00:00:00"/>
    <n v="0"/>
    <x v="0"/>
    <x v="1"/>
  </r>
  <r>
    <n v="45"/>
    <x v="2"/>
    <n v="2"/>
    <s v="Fri, Wed"/>
    <b v="1"/>
    <d v="1899-12-30T18:26:00"/>
    <d v="1899-12-30T21:21:00"/>
    <n v="175"/>
    <b v="1"/>
    <b v="1"/>
    <x v="0"/>
    <x v="0"/>
    <n v="20"/>
    <x v="1"/>
    <n v="15"/>
    <x v="3"/>
    <n v="0.15"/>
    <n v="12.75"/>
    <s v="Off-peak only"/>
    <s v="San Francisco, CA"/>
    <n v="37.774900000000002"/>
    <n v="-122.4194"/>
    <d v="2024-12-18T00:00:00"/>
    <n v="6"/>
    <x v="0"/>
    <x v="13"/>
  </r>
  <r>
    <n v="41"/>
    <x v="2"/>
    <n v="2"/>
    <s v="Sun, Tue"/>
    <b v="1"/>
    <d v="1899-12-30T14:06:00"/>
    <d v="1899-12-30T16:06:00"/>
    <n v="120"/>
    <b v="1"/>
    <b v="1"/>
    <x v="1"/>
    <x v="2"/>
    <n v="20"/>
    <x v="0"/>
    <n v="20"/>
    <x v="3"/>
    <n v="0.15"/>
    <n v="17"/>
    <s v="Off-peak only"/>
    <s v="Anaheim, CA"/>
    <n v="33.836599999999997"/>
    <n v="-117.9143"/>
    <d v="2023-06-19T00:00:00"/>
    <n v="3"/>
    <x v="0"/>
    <x v="28"/>
  </r>
  <r>
    <n v="33"/>
    <x v="3"/>
    <n v="3"/>
    <s v="Mon, Sat, Thu"/>
    <b v="0"/>
    <d v="1899-12-30T19:30:00"/>
    <d v="1899-12-30T21:59:00"/>
    <n v="149"/>
    <b v="1"/>
    <b v="0"/>
    <x v="1"/>
    <x v="0"/>
    <n v="70"/>
    <x v="1"/>
    <n v="52.5"/>
    <x v="1"/>
    <n v="0"/>
    <n v="52.5"/>
    <s v="All hours + Priority access"/>
    <s v="Fresno, CA"/>
    <n v="36.7378"/>
    <n v="-119.7871"/>
    <d v="2024-11-21T00:00:00"/>
    <n v="0"/>
    <x v="1"/>
    <x v="12"/>
  </r>
  <r>
    <n v="18"/>
    <x v="3"/>
    <n v="2"/>
    <s v="Sat, Tue"/>
    <b v="1"/>
    <d v="1899-12-30T15:53:00"/>
    <d v="1899-12-30T16:42:00"/>
    <n v="49"/>
    <b v="0"/>
    <b v="1"/>
    <x v="0"/>
    <x v="0"/>
    <n v="70"/>
    <x v="0"/>
    <n v="70"/>
    <x v="2"/>
    <n v="0.1"/>
    <n v="63"/>
    <s v="All hours + Priority access"/>
    <s v="Long Beach, CA"/>
    <n v="33.770099999999999"/>
    <n v="-118.19370000000001"/>
    <d v="2023-11-30T00:00:00"/>
    <n v="5"/>
    <x v="1"/>
    <x v="35"/>
  </r>
  <r>
    <n v="39"/>
    <x v="3"/>
    <n v="2"/>
    <s v="Fri, Sat"/>
    <b v="0"/>
    <d v="1899-12-30T20:04:00"/>
    <d v="1899-12-30T20:43:00"/>
    <n v="39"/>
    <b v="0"/>
    <b v="0"/>
    <x v="0"/>
    <x v="4"/>
    <n v="70"/>
    <x v="2"/>
    <n v="63"/>
    <x v="3"/>
    <n v="0.15"/>
    <n v="53.55"/>
    <s v="All hours + Priority access"/>
    <s v="San Francisco, CA"/>
    <n v="37.774900000000002"/>
    <n v="-122.4194"/>
    <d v="2025-03-12T00:00:00"/>
    <n v="0"/>
    <x v="0"/>
    <x v="27"/>
  </r>
  <r>
    <n v="32"/>
    <x v="0"/>
    <n v="5"/>
    <s v="Fri, Sat, Sun, Tue, Wed"/>
    <b v="1"/>
    <d v="1899-12-30T19:41:00"/>
    <d v="1899-12-30T21:35:00"/>
    <n v="114"/>
    <b v="1"/>
    <b v="1"/>
    <x v="0"/>
    <x v="4"/>
    <n v="50"/>
    <x v="2"/>
    <n v="45"/>
    <x v="3"/>
    <n v="0.15"/>
    <n v="38.25"/>
    <s v="All hours"/>
    <s v="San Diego, CA"/>
    <n v="32.715699999999998"/>
    <n v="-117.1611"/>
    <d v="2024-02-29T00:00:00"/>
    <n v="7"/>
    <x v="0"/>
    <x v="21"/>
  </r>
  <r>
    <n v="15"/>
    <x v="1"/>
    <n v="3"/>
    <s v="Fri, Sun, Thu"/>
    <b v="0"/>
    <d v="1899-12-30T14:33:00"/>
    <d v="1899-12-30T16:48:00"/>
    <n v="135"/>
    <b v="0"/>
    <b v="0"/>
    <x v="1"/>
    <x v="0"/>
    <n v="30"/>
    <x v="0"/>
    <n v="30"/>
    <x v="2"/>
    <n v="0.1"/>
    <n v="27"/>
    <s v="Weekdays only"/>
    <s v="San Jose, CA"/>
    <n v="37.338200000000001"/>
    <n v="-121.88630000000001"/>
    <d v="2023-04-09T00:00:00"/>
    <n v="0"/>
    <x v="1"/>
    <x v="49"/>
  </r>
  <r>
    <n v="30"/>
    <x v="2"/>
    <n v="5"/>
    <s v="Fri, Mon, Sun, Thu, Wed"/>
    <b v="0"/>
    <d v="1899-12-30T17:29:00"/>
    <d v="1899-12-30T18:25:00"/>
    <n v="56"/>
    <b v="0"/>
    <b v="1"/>
    <x v="0"/>
    <x v="1"/>
    <n v="20"/>
    <x v="0"/>
    <n v="20"/>
    <x v="3"/>
    <n v="0.15"/>
    <n v="17"/>
    <s v="Off-peak only"/>
    <s v="Fresno, CA"/>
    <n v="36.7378"/>
    <n v="-119.7871"/>
    <d v="2024-06-17T00:00:00"/>
    <n v="5"/>
    <x v="1"/>
    <x v="55"/>
  </r>
  <r>
    <n v="47"/>
    <x v="2"/>
    <n v="5"/>
    <s v="Sat, Sun, Thu, Tue, Wed"/>
    <b v="0"/>
    <d v="1899-12-30T11:26:00"/>
    <d v="1899-12-30T12:55:00"/>
    <n v="89"/>
    <b v="0"/>
    <b v="0"/>
    <x v="1"/>
    <x v="1"/>
    <n v="20"/>
    <x v="0"/>
    <n v="20"/>
    <x v="3"/>
    <n v="0.15"/>
    <n v="17"/>
    <s v="Off-peak only"/>
    <s v="San Jose, CA"/>
    <n v="37.338200000000001"/>
    <n v="-121.88630000000001"/>
    <d v="2023-07-15T00:00:00"/>
    <n v="0"/>
    <x v="1"/>
    <x v="34"/>
  </r>
  <r>
    <n v="30"/>
    <x v="3"/>
    <n v="3"/>
    <s v="Sat, Thu, Wed"/>
    <b v="1"/>
    <d v="1899-12-30T14:55:00"/>
    <d v="1899-12-30T16:01:00"/>
    <n v="66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2-26T00:00:00"/>
    <n v="6"/>
    <x v="0"/>
    <x v="22"/>
  </r>
  <r>
    <n v="17"/>
    <x v="2"/>
    <n v="2"/>
    <s v="Tue, Wed"/>
    <b v="1"/>
    <d v="1899-12-30T12:09:00"/>
    <d v="1899-12-30T14:55:00"/>
    <n v="166"/>
    <b v="1"/>
    <b v="1"/>
    <x v="1"/>
    <x v="2"/>
    <n v="20"/>
    <x v="0"/>
    <n v="20"/>
    <x v="3"/>
    <n v="0.15"/>
    <n v="17"/>
    <s v="Off-peak only"/>
    <s v="Anaheim, CA"/>
    <n v="33.836599999999997"/>
    <n v="-117.9143"/>
    <d v="2022-10-09T00:00:00"/>
    <n v="2"/>
    <x v="0"/>
    <x v="38"/>
  </r>
  <r>
    <n v="48"/>
    <x v="1"/>
    <n v="3"/>
    <s v="Mon, Tue, Wed"/>
    <b v="0"/>
    <d v="1899-12-30T15:32:00"/>
    <d v="1899-12-30T16:25:00"/>
    <n v="53"/>
    <b v="1"/>
    <b v="1"/>
    <x v="1"/>
    <x v="0"/>
    <n v="30"/>
    <x v="0"/>
    <n v="30"/>
    <x v="2"/>
    <n v="0.1"/>
    <n v="27"/>
    <s v="Weekdays only"/>
    <s v="Fresno, CA"/>
    <n v="36.7378"/>
    <n v="-119.7871"/>
    <d v="2024-10-16T00:00:00"/>
    <n v="5"/>
    <x v="1"/>
    <x v="51"/>
  </r>
  <r>
    <n v="32"/>
    <x v="2"/>
    <n v="5"/>
    <s v="Sat, Sun, Thu, Tue, Wed"/>
    <b v="0"/>
    <d v="1899-12-30T11:08:00"/>
    <d v="1899-12-30T13:20:00"/>
    <n v="132"/>
    <b v="1"/>
    <b v="0"/>
    <x v="1"/>
    <x v="4"/>
    <n v="20"/>
    <x v="2"/>
    <n v="18"/>
    <x v="1"/>
    <n v="0"/>
    <n v="18"/>
    <s v="Off-peak only"/>
    <s v="San Jose, CA"/>
    <n v="37.338200000000001"/>
    <n v="-121.88630000000001"/>
    <d v="2024-04-23T00:00:00"/>
    <n v="0"/>
    <x v="1"/>
    <x v="40"/>
  </r>
  <r>
    <n v="12"/>
    <x v="0"/>
    <n v="3"/>
    <s v="Fri, Mon, Wed"/>
    <b v="1"/>
    <d v="1899-12-30T14:54:00"/>
    <d v="1899-12-30T16:52:00"/>
    <n v="118"/>
    <b v="0"/>
    <b v="0"/>
    <x v="0"/>
    <x v="4"/>
    <n v="50"/>
    <x v="0"/>
    <n v="50"/>
    <x v="0"/>
    <n v="0.05"/>
    <n v="47.5"/>
    <s v="All hours"/>
    <s v="Los Angeles, CA"/>
    <n v="34.052199999999999"/>
    <n v="-118.2437"/>
    <d v="2025-01-11T00:00:00"/>
    <n v="0"/>
    <x v="0"/>
    <x v="4"/>
  </r>
  <r>
    <n v="30"/>
    <x v="1"/>
    <n v="3"/>
    <s v="Fri, Thu, Tue"/>
    <b v="0"/>
    <d v="1899-12-30T08:05:00"/>
    <d v="1899-12-30T09:06:00"/>
    <n v="61"/>
    <b v="1"/>
    <b v="1"/>
    <x v="0"/>
    <x v="2"/>
    <n v="30"/>
    <x v="1"/>
    <n v="22.5"/>
    <x v="0"/>
    <n v="0.05"/>
    <n v="21.375"/>
    <s v="Weekdays only"/>
    <s v="Long Beach, CA"/>
    <n v="33.770099999999999"/>
    <n v="-118.19370000000001"/>
    <d v="2022-08-01T00:00:00"/>
    <n v="2"/>
    <x v="0"/>
    <x v="43"/>
  </r>
  <r>
    <n v="49"/>
    <x v="2"/>
    <n v="1"/>
    <s v="Fri"/>
    <b v="1"/>
    <d v="1899-12-30T15:17:00"/>
    <d v="1899-12-30T17:00:00"/>
    <n v="103"/>
    <b v="1"/>
    <b v="0"/>
    <x v="0"/>
    <x v="1"/>
    <n v="20"/>
    <x v="0"/>
    <n v="20"/>
    <x v="0"/>
    <n v="0.05"/>
    <n v="19"/>
    <s v="Off-peak only"/>
    <s v="San Francisco, CA"/>
    <n v="37.774900000000002"/>
    <n v="-122.4194"/>
    <d v="2022-10-09T00:00:00"/>
    <n v="0"/>
    <x v="1"/>
    <x v="38"/>
  </r>
  <r>
    <n v="35"/>
    <x v="1"/>
    <n v="3"/>
    <s v="Sun, Tue, Wed"/>
    <b v="0"/>
    <d v="1899-12-30T15:02:00"/>
    <d v="1899-12-30T16:29:00"/>
    <n v="87"/>
    <b v="0"/>
    <b v="0"/>
    <x v="0"/>
    <x v="0"/>
    <n v="30"/>
    <x v="0"/>
    <n v="30"/>
    <x v="2"/>
    <n v="0.1"/>
    <n v="27"/>
    <s v="Weekdays only"/>
    <s v="Bakersfield, CA"/>
    <n v="35.3733"/>
    <n v="-119.0187"/>
    <d v="2023-11-25T00:00:00"/>
    <n v="0"/>
    <x v="1"/>
    <x v="35"/>
  </r>
  <r>
    <n v="24"/>
    <x v="0"/>
    <n v="1"/>
    <s v="Sat"/>
    <b v="0"/>
    <d v="1899-12-30T16:51:00"/>
    <d v="1899-12-30T18:31:00"/>
    <n v="100"/>
    <b v="0"/>
    <b v="1"/>
    <x v="1"/>
    <x v="4"/>
    <n v="50"/>
    <x v="0"/>
    <n v="50"/>
    <x v="1"/>
    <n v="0"/>
    <n v="50"/>
    <s v="All hours"/>
    <s v="Sacramento, CA"/>
    <n v="38.581600000000002"/>
    <n v="-121.4944"/>
    <d v="2023-01-08T00:00:00"/>
    <n v="5"/>
    <x v="1"/>
    <x v="57"/>
  </r>
  <r>
    <n v="49"/>
    <x v="0"/>
    <n v="2"/>
    <s v="Tue, Wed"/>
    <b v="0"/>
    <d v="1899-12-30T10:11:00"/>
    <d v="1899-12-30T11:28:00"/>
    <n v="77"/>
    <b v="1"/>
    <b v="1"/>
    <x v="0"/>
    <x v="4"/>
    <n v="50"/>
    <x v="0"/>
    <n v="50"/>
    <x v="1"/>
    <n v="0"/>
    <n v="50"/>
    <s v="All hours"/>
    <s v="Bakersfield, CA"/>
    <n v="35.3733"/>
    <n v="-119.0187"/>
    <d v="2023-12-16T00:00:00"/>
    <n v="5"/>
    <x v="0"/>
    <x v="16"/>
  </r>
  <r>
    <n v="26"/>
    <x v="1"/>
    <n v="3"/>
    <s v="Fri, Mon, Sat"/>
    <b v="1"/>
    <d v="1899-12-30T15:06:00"/>
    <d v="1899-12-30T17:40:00"/>
    <n v="154"/>
    <b v="1"/>
    <b v="0"/>
    <x v="1"/>
    <x v="0"/>
    <n v="30"/>
    <x v="0"/>
    <n v="30"/>
    <x v="2"/>
    <n v="0.1"/>
    <n v="27"/>
    <s v="Weekdays only"/>
    <s v="Sacramento, CA"/>
    <n v="38.581600000000002"/>
    <n v="-121.4944"/>
    <d v="2023-08-28T00:00:00"/>
    <n v="0"/>
    <x v="1"/>
    <x v="46"/>
  </r>
  <r>
    <n v="21"/>
    <x v="2"/>
    <n v="5"/>
    <s v="Fri, Mon, Sat, Tue, Wed"/>
    <b v="1"/>
    <d v="1899-12-30T11:36:00"/>
    <d v="1899-12-30T14:23:00"/>
    <n v="167"/>
    <b v="0"/>
    <b v="0"/>
    <x v="0"/>
    <x v="4"/>
    <n v="20"/>
    <x v="1"/>
    <n v="15"/>
    <x v="1"/>
    <n v="0"/>
    <n v="15"/>
    <s v="Off-peak only"/>
    <s v="Anaheim, CA"/>
    <n v="33.836599999999997"/>
    <n v="-117.9143"/>
    <d v="2025-03-20T00:00:00"/>
    <n v="0"/>
    <x v="0"/>
    <x v="27"/>
  </r>
  <r>
    <n v="45"/>
    <x v="1"/>
    <n v="2"/>
    <s v="Mon, Wed"/>
    <b v="1"/>
    <d v="1899-12-30T08:12:00"/>
    <d v="1899-12-30T10:09:00"/>
    <n v="117"/>
    <b v="1"/>
    <b v="0"/>
    <x v="0"/>
    <x v="2"/>
    <n v="30"/>
    <x v="0"/>
    <n v="30"/>
    <x v="3"/>
    <n v="0.15"/>
    <n v="25.5"/>
    <s v="Weekdays only"/>
    <s v="Long Beach, CA"/>
    <n v="33.770099999999999"/>
    <n v="-118.19370000000001"/>
    <d v="2023-04-10T00:00:00"/>
    <n v="0"/>
    <x v="1"/>
    <x v="49"/>
  </r>
  <r>
    <n v="47"/>
    <x v="1"/>
    <n v="2"/>
    <s v="Fri, Sun"/>
    <b v="0"/>
    <d v="1899-12-30T09:58:00"/>
    <d v="1899-12-30T12:31:00"/>
    <n v="153"/>
    <b v="0"/>
    <b v="0"/>
    <x v="1"/>
    <x v="4"/>
    <n v="30"/>
    <x v="1"/>
    <n v="22.5"/>
    <x v="0"/>
    <n v="0.05"/>
    <n v="21.375"/>
    <s v="Weekdays only"/>
    <s v="Fresno, CA"/>
    <n v="36.7378"/>
    <n v="-119.7871"/>
    <d v="2025-02-06T00:00:00"/>
    <n v="0"/>
    <x v="1"/>
    <x v="30"/>
  </r>
  <r>
    <n v="36"/>
    <x v="0"/>
    <n v="2"/>
    <s v="Mon, Sat"/>
    <b v="1"/>
    <d v="1899-12-30T09:08:00"/>
    <d v="1899-12-30T11:19:00"/>
    <n v="131"/>
    <b v="1"/>
    <b v="1"/>
    <x v="0"/>
    <x v="4"/>
    <n v="50"/>
    <x v="0"/>
    <n v="50"/>
    <x v="3"/>
    <n v="0.15"/>
    <n v="42.5"/>
    <s v="All hours"/>
    <s v="Anaheim, CA"/>
    <n v="33.836599999999997"/>
    <n v="-117.9143"/>
    <d v="2023-01-25T00:00:00"/>
    <n v="2"/>
    <x v="0"/>
    <x v="11"/>
  </r>
  <r>
    <n v="25"/>
    <x v="0"/>
    <n v="2"/>
    <s v="Tue, Wed"/>
    <b v="0"/>
    <d v="1899-12-30T20:20:00"/>
    <d v="1899-12-30T23:10:00"/>
    <n v="170"/>
    <b v="1"/>
    <b v="0"/>
    <x v="0"/>
    <x v="2"/>
    <n v="50"/>
    <x v="2"/>
    <n v="45"/>
    <x v="0"/>
    <n v="0.05"/>
    <n v="42.75"/>
    <s v="All hours"/>
    <s v="Fresno, CA"/>
    <n v="36.7378"/>
    <n v="-119.7871"/>
    <d v="2023-03-13T00:00:00"/>
    <n v="0"/>
    <x v="0"/>
    <x v="36"/>
  </r>
  <r>
    <n v="32"/>
    <x v="0"/>
    <n v="5"/>
    <s v="Fri, Sat, Sun, Tue, Wed"/>
    <b v="1"/>
    <d v="1899-12-30T19:41:00"/>
    <d v="1899-12-30T21:35:00"/>
    <n v="114"/>
    <b v="1"/>
    <b v="1"/>
    <x v="0"/>
    <x v="4"/>
    <n v="50"/>
    <x v="2"/>
    <n v="45"/>
    <x v="3"/>
    <n v="0.15"/>
    <n v="38.25"/>
    <s v="All hours"/>
    <s v="San Diego, CA"/>
    <n v="32.715699999999998"/>
    <n v="-117.1611"/>
    <d v="2023-05-30T00:00:00"/>
    <n v="4"/>
    <x v="0"/>
    <x v="8"/>
  </r>
  <r>
    <n v="19"/>
    <x v="2"/>
    <n v="2"/>
    <s v="Sat, Tue"/>
    <b v="0"/>
    <d v="1899-12-30T16:57:00"/>
    <d v="1899-12-30T18:54:00"/>
    <n v="117"/>
    <b v="1"/>
    <b v="1"/>
    <x v="0"/>
    <x v="4"/>
    <n v="20"/>
    <x v="1"/>
    <n v="15"/>
    <x v="1"/>
    <n v="0"/>
    <n v="15"/>
    <s v="Off-peak only"/>
    <s v="Sacramento, CA"/>
    <n v="38.581600000000002"/>
    <n v="-121.4944"/>
    <d v="2025-05-15T00:00:00"/>
    <n v="5"/>
    <x v="0"/>
    <x v="24"/>
  </r>
  <r>
    <n v="13"/>
    <x v="1"/>
    <n v="3"/>
    <s v="Fri, Sat, Wed"/>
    <b v="1"/>
    <d v="1899-12-30T13:37:00"/>
    <d v="1899-12-30T14:09:00"/>
    <n v="32"/>
    <b v="1"/>
    <b v="0"/>
    <x v="0"/>
    <x v="0"/>
    <n v="30"/>
    <x v="1"/>
    <n v="22.5"/>
    <x v="1"/>
    <n v="0"/>
    <n v="22.5"/>
    <s v="Weekdays only"/>
    <s v="Long Beach, CA"/>
    <n v="33.770099999999999"/>
    <n v="-118.19370000000001"/>
    <d v="2024-08-04T00:00:00"/>
    <n v="0"/>
    <x v="1"/>
    <x v="15"/>
  </r>
  <r>
    <n v="20"/>
    <x v="3"/>
    <n v="3"/>
    <s v="Fri, Mon, Thu"/>
    <b v="1"/>
    <d v="1899-12-30T17:30:00"/>
    <d v="1899-12-30T19:17:00"/>
    <n v="107"/>
    <b v="0"/>
    <b v="1"/>
    <x v="1"/>
    <x v="4"/>
    <n v="70"/>
    <x v="0"/>
    <n v="70"/>
    <x v="3"/>
    <n v="0.15"/>
    <n v="59.5"/>
    <s v="All hours + Priority access"/>
    <s v="Sacramento, CA"/>
    <n v="38.581600000000002"/>
    <n v="-121.4944"/>
    <d v="2024-09-15T00:00:00"/>
    <n v="3"/>
    <x v="0"/>
    <x v="33"/>
  </r>
  <r>
    <n v="43"/>
    <x v="2"/>
    <n v="2"/>
    <s v="Fri, Wed"/>
    <b v="0"/>
    <d v="1899-12-30T13:10:00"/>
    <d v="1899-12-30T14:25:00"/>
    <n v="75"/>
    <b v="0"/>
    <b v="1"/>
    <x v="1"/>
    <x v="4"/>
    <n v="20"/>
    <x v="0"/>
    <n v="20"/>
    <x v="3"/>
    <n v="0.15"/>
    <n v="17"/>
    <s v="Off-peak only"/>
    <s v="Long Beach, CA"/>
    <n v="33.770099999999999"/>
    <n v="-118.19370000000001"/>
    <d v="2024-06-04T00:00:00"/>
    <n v="7"/>
    <x v="0"/>
    <x v="20"/>
  </r>
  <r>
    <n v="26"/>
    <x v="1"/>
    <n v="4"/>
    <s v="Mon, Sat, Thu, Wed"/>
    <b v="1"/>
    <d v="1899-12-30T13:03:00"/>
    <d v="1899-12-30T15:39:00"/>
    <n v="156"/>
    <b v="0"/>
    <b v="1"/>
    <x v="1"/>
    <x v="2"/>
    <n v="30"/>
    <x v="1"/>
    <n v="22.5"/>
    <x v="0"/>
    <n v="0.05"/>
    <n v="21.375"/>
    <s v="Weekdays only"/>
    <s v="Sacramento, CA"/>
    <n v="38.581600000000002"/>
    <n v="-121.4944"/>
    <d v="2025-03-21T00:00:00"/>
    <n v="6"/>
    <x v="1"/>
    <x v="27"/>
  </r>
  <r>
    <n v="35"/>
    <x v="0"/>
    <n v="1"/>
    <s v="Fri"/>
    <b v="1"/>
    <d v="1899-12-30T19:27:00"/>
    <d v="1899-12-30T22:03:00"/>
    <n v="156"/>
    <b v="0"/>
    <b v="0"/>
    <x v="0"/>
    <x v="4"/>
    <n v="50"/>
    <x v="1"/>
    <n v="37.5"/>
    <x v="1"/>
    <n v="0"/>
    <n v="37.5"/>
    <s v="All hours"/>
    <s v="San Francisco, CA"/>
    <n v="37.774900000000002"/>
    <n v="-122.4194"/>
    <d v="2022-09-29T00:00:00"/>
    <n v="0"/>
    <x v="0"/>
    <x v="25"/>
  </r>
  <r>
    <n v="19"/>
    <x v="2"/>
    <n v="4"/>
    <s v="Sat, Sun, Tue, Wed"/>
    <b v="1"/>
    <d v="1899-12-30T15:49:00"/>
    <d v="1899-12-30T17:10:00"/>
    <n v="81"/>
    <b v="1"/>
    <b v="0"/>
    <x v="0"/>
    <x v="0"/>
    <n v="20"/>
    <x v="0"/>
    <n v="20"/>
    <x v="2"/>
    <n v="0.1"/>
    <n v="18"/>
    <s v="Off-peak only"/>
    <s v="San Jose, CA"/>
    <n v="37.338200000000001"/>
    <n v="-121.88630000000001"/>
    <d v="2023-11-11T00:00:00"/>
    <n v="0"/>
    <x v="1"/>
    <x v="50"/>
  </r>
  <r>
    <n v="16"/>
    <x v="2"/>
    <n v="3"/>
    <s v="Sat, Sun, Tue"/>
    <b v="0"/>
    <d v="1899-12-30T15:15:00"/>
    <d v="1899-12-30T15:46:00"/>
    <n v="31"/>
    <b v="1"/>
    <b v="1"/>
    <x v="0"/>
    <x v="4"/>
    <n v="20"/>
    <x v="0"/>
    <n v="20"/>
    <x v="0"/>
    <n v="0.05"/>
    <n v="19"/>
    <s v="Off-peak only"/>
    <s v="Los Angeles, CA"/>
    <n v="34.052199999999999"/>
    <n v="-118.2437"/>
    <d v="2024-08-01T00:00:00"/>
    <n v="4"/>
    <x v="1"/>
    <x v="15"/>
  </r>
  <r>
    <n v="23"/>
    <x v="1"/>
    <n v="2"/>
    <s v="Mon, Wed"/>
    <b v="1"/>
    <d v="1899-12-30T18:01:00"/>
    <d v="1899-12-30T19:30:00"/>
    <n v="89"/>
    <b v="0"/>
    <b v="1"/>
    <x v="1"/>
    <x v="1"/>
    <n v="30"/>
    <x v="0"/>
    <n v="30"/>
    <x v="1"/>
    <n v="0"/>
    <n v="30"/>
    <s v="Weekdays only"/>
    <s v="Oakland, CA"/>
    <n v="37.804400000000001"/>
    <n v="-122.27119999999999"/>
    <d v="2024-04-26T00:00:00"/>
    <n v="2"/>
    <x v="1"/>
    <x v="40"/>
  </r>
  <r>
    <n v="17"/>
    <x v="2"/>
    <n v="1"/>
    <s v="Fri"/>
    <b v="0"/>
    <d v="1899-12-30T16:59:00"/>
    <d v="1899-12-30T18:41:00"/>
    <n v="102"/>
    <b v="1"/>
    <b v="0"/>
    <x v="0"/>
    <x v="0"/>
    <n v="20"/>
    <x v="0"/>
    <n v="20"/>
    <x v="0"/>
    <n v="0.05"/>
    <n v="19"/>
    <s v="Off-peak only"/>
    <s v="Fresno, CA"/>
    <n v="36.7378"/>
    <n v="-119.7871"/>
    <d v="2024-03-03T00:00:00"/>
    <n v="0"/>
    <x v="1"/>
    <x v="29"/>
  </r>
  <r>
    <n v="40"/>
    <x v="2"/>
    <n v="1"/>
    <s v="Sat"/>
    <b v="0"/>
    <d v="1899-12-30T10:28:00"/>
    <d v="1899-12-30T13:25:00"/>
    <n v="177"/>
    <b v="0"/>
    <b v="0"/>
    <x v="1"/>
    <x v="4"/>
    <n v="20"/>
    <x v="1"/>
    <n v="15"/>
    <x v="3"/>
    <n v="0.15"/>
    <n v="12.75"/>
    <s v="Off-peak only"/>
    <s v="San Francisco, CA"/>
    <n v="37.774900000000002"/>
    <n v="-122.4194"/>
    <d v="2023-09-22T00:00:00"/>
    <n v="0"/>
    <x v="1"/>
    <x v="7"/>
  </r>
  <r>
    <n v="21"/>
    <x v="0"/>
    <n v="3"/>
    <s v="Fri, Mon, Thu"/>
    <b v="1"/>
    <d v="1899-12-30T20:15:00"/>
    <d v="1899-12-30T21:36:00"/>
    <n v="81"/>
    <b v="1"/>
    <b v="0"/>
    <x v="1"/>
    <x v="0"/>
    <n v="50"/>
    <x v="1"/>
    <n v="37.5"/>
    <x v="3"/>
    <n v="0.15"/>
    <n v="31.875"/>
    <s v="All hours"/>
    <s v="Fresno, CA"/>
    <n v="36.7378"/>
    <n v="-119.7871"/>
    <d v="2023-12-21T00:00:00"/>
    <n v="0"/>
    <x v="0"/>
    <x v="23"/>
  </r>
  <r>
    <n v="32"/>
    <x v="0"/>
    <n v="2"/>
    <s v="Sat, Wed"/>
    <b v="1"/>
    <d v="1899-12-30T17:04:00"/>
    <d v="1899-12-30T19:46:00"/>
    <n v="162"/>
    <b v="0"/>
    <b v="1"/>
    <x v="0"/>
    <x v="4"/>
    <n v="50"/>
    <x v="0"/>
    <n v="50"/>
    <x v="3"/>
    <n v="0.15"/>
    <n v="42.5"/>
    <s v="All hours"/>
    <s v="Bakersfield, CA"/>
    <n v="35.3733"/>
    <n v="-119.0187"/>
    <d v="2022-10-17T00:00:00"/>
    <n v="4"/>
    <x v="0"/>
    <x v="38"/>
  </r>
  <r>
    <n v="29"/>
    <x v="2"/>
    <n v="4"/>
    <s v="Fri, Mon, Sun, Wed"/>
    <b v="0"/>
    <d v="1899-12-30T10:43:00"/>
    <d v="1899-12-30T11:52:00"/>
    <n v="69"/>
    <b v="1"/>
    <b v="1"/>
    <x v="0"/>
    <x v="1"/>
    <n v="20"/>
    <x v="1"/>
    <n v="15"/>
    <x v="1"/>
    <n v="0"/>
    <n v="15"/>
    <s v="Off-peak only"/>
    <s v="Anaheim, CA"/>
    <n v="33.836599999999997"/>
    <n v="-117.9143"/>
    <d v="2024-01-10T00:00:00"/>
    <n v="1"/>
    <x v="1"/>
    <x v="31"/>
  </r>
  <r>
    <n v="38"/>
    <x v="3"/>
    <n v="3"/>
    <s v="Thu, Tue, Wed"/>
    <b v="1"/>
    <d v="1899-12-30T16:41:00"/>
    <d v="1899-12-30T17:48:00"/>
    <n v="67"/>
    <b v="1"/>
    <b v="0"/>
    <x v="1"/>
    <x v="0"/>
    <n v="70"/>
    <x v="0"/>
    <n v="70"/>
    <x v="1"/>
    <n v="0"/>
    <n v="70"/>
    <s v="All hours + Priority access"/>
    <s v="San Jose, CA"/>
    <n v="37.338200000000001"/>
    <n v="-121.88630000000001"/>
    <d v="2022-08-01T00:00:00"/>
    <n v="0"/>
    <x v="0"/>
    <x v="43"/>
  </r>
  <r>
    <n v="24"/>
    <x v="2"/>
    <n v="1"/>
    <s v="Sun"/>
    <b v="0"/>
    <d v="1899-12-30T14:59:00"/>
    <d v="1899-12-30T17:17:00"/>
    <n v="138"/>
    <b v="0"/>
    <b v="1"/>
    <x v="1"/>
    <x v="3"/>
    <n v="20"/>
    <x v="1"/>
    <n v="15"/>
    <x v="2"/>
    <n v="0.1"/>
    <n v="13.5"/>
    <s v="Off-peak only"/>
    <s v="San Diego, CA"/>
    <n v="32.715699999999998"/>
    <n v="-117.1611"/>
    <d v="2022-12-29T00:00:00"/>
    <n v="1"/>
    <x v="1"/>
    <x v="6"/>
  </r>
  <r>
    <n v="37"/>
    <x v="1"/>
    <n v="1"/>
    <s v="Sat"/>
    <b v="1"/>
    <d v="1899-12-30T08:37:00"/>
    <d v="1899-12-30T10:12:00"/>
    <n v="95"/>
    <b v="1"/>
    <b v="1"/>
    <x v="0"/>
    <x v="1"/>
    <n v="30"/>
    <x v="0"/>
    <n v="30"/>
    <x v="3"/>
    <n v="0.15"/>
    <n v="25.5"/>
    <s v="Weekdays only"/>
    <s v="Anaheim, CA"/>
    <n v="33.836599999999997"/>
    <n v="-117.9143"/>
    <d v="2024-11-12T00:00:00"/>
    <n v="5"/>
    <x v="1"/>
    <x v="12"/>
  </r>
  <r>
    <n v="30"/>
    <x v="0"/>
    <n v="2"/>
    <s v="Sat, Thu"/>
    <b v="0"/>
    <d v="1899-12-30T11:18:00"/>
    <d v="1899-12-30T13:15:00"/>
    <n v="117"/>
    <b v="0"/>
    <b v="1"/>
    <x v="0"/>
    <x v="3"/>
    <n v="50"/>
    <x v="0"/>
    <n v="50"/>
    <x v="3"/>
    <n v="0.15"/>
    <n v="42.5"/>
    <s v="All hours"/>
    <s v="Anaheim, CA"/>
    <n v="33.836599999999997"/>
    <n v="-117.9143"/>
    <d v="2022-10-05T00:00:00"/>
    <n v="5"/>
    <x v="0"/>
    <x v="38"/>
  </r>
  <r>
    <n v="26"/>
    <x v="3"/>
    <n v="2"/>
    <s v="Fri, Sun"/>
    <b v="1"/>
    <d v="1899-12-30T20:45:00"/>
    <d v="1899-12-30T21:48:00"/>
    <n v="63"/>
    <b v="0"/>
    <b v="1"/>
    <x v="1"/>
    <x v="4"/>
    <n v="70"/>
    <x v="0"/>
    <n v="70"/>
    <x v="2"/>
    <n v="0.1"/>
    <n v="63"/>
    <s v="All hours + Priority access"/>
    <s v="Long Beach, CA"/>
    <n v="33.770099999999999"/>
    <n v="-118.19370000000001"/>
    <d v="2025-02-19T00:00:00"/>
    <n v="3"/>
    <x v="0"/>
    <x v="45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3-02-03T00:00:00"/>
    <n v="7"/>
    <x v="0"/>
    <x v="11"/>
  </r>
  <r>
    <n v="39"/>
    <x v="1"/>
    <n v="4"/>
    <s v="Sun, Thu, Tue, Wed"/>
    <b v="1"/>
    <d v="1899-12-30T13:35:00"/>
    <d v="1899-12-30T14:37:00"/>
    <n v="62"/>
    <b v="1"/>
    <b v="1"/>
    <x v="1"/>
    <x v="0"/>
    <n v="30"/>
    <x v="0"/>
    <n v="30"/>
    <x v="2"/>
    <n v="0.1"/>
    <n v="27"/>
    <s v="Weekdays only"/>
    <s v="Oakland, CA"/>
    <n v="37.804400000000001"/>
    <n v="-122.27119999999999"/>
    <d v="2024-05-13T00:00:00"/>
    <n v="6"/>
    <x v="1"/>
    <x v="0"/>
  </r>
  <r>
    <n v="33"/>
    <x v="0"/>
    <n v="2"/>
    <s v="Sat, Wed"/>
    <b v="1"/>
    <d v="1899-12-30T17:06:00"/>
    <d v="1899-12-30T19:09:00"/>
    <n v="123"/>
    <b v="1"/>
    <b v="1"/>
    <x v="0"/>
    <x v="2"/>
    <n v="50"/>
    <x v="0"/>
    <n v="50"/>
    <x v="2"/>
    <n v="0.1"/>
    <n v="45"/>
    <s v="All hours"/>
    <s v="Fresno, CA"/>
    <n v="36.7378"/>
    <n v="-119.7871"/>
    <d v="2022-11-30T00:00:00"/>
    <n v="4"/>
    <x v="0"/>
    <x v="54"/>
  </r>
  <r>
    <n v="26"/>
    <x v="0"/>
    <n v="1"/>
    <s v="Sat"/>
    <b v="1"/>
    <d v="1899-12-30T12:44:00"/>
    <d v="1899-12-30T13:40:00"/>
    <n v="56"/>
    <b v="0"/>
    <b v="0"/>
    <x v="0"/>
    <x v="4"/>
    <n v="50"/>
    <x v="0"/>
    <n v="50"/>
    <x v="2"/>
    <n v="0.1"/>
    <n v="45"/>
    <s v="All hours"/>
    <s v="Anaheim, CA"/>
    <n v="33.836599999999997"/>
    <n v="-117.9143"/>
    <d v="2022-12-11T00:00:00"/>
    <n v="0"/>
    <x v="0"/>
    <x v="54"/>
  </r>
  <r>
    <n v="23"/>
    <x v="3"/>
    <n v="5"/>
    <s v="Mon, Sun, Thu, Tue, Wed"/>
    <b v="1"/>
    <d v="1899-12-30T20:57:00"/>
    <d v="1899-12-30T23:35:00"/>
    <n v="158"/>
    <b v="0"/>
    <b v="0"/>
    <x v="1"/>
    <x v="1"/>
    <n v="70"/>
    <x v="0"/>
    <n v="70"/>
    <x v="1"/>
    <n v="0"/>
    <n v="70"/>
    <s v="All hours + Priority access"/>
    <s v="Anaheim, CA"/>
    <n v="33.836599999999997"/>
    <n v="-117.9143"/>
    <d v="2023-02-15T00:00:00"/>
    <n v="0"/>
    <x v="0"/>
    <x v="26"/>
  </r>
  <r>
    <n v="20"/>
    <x v="0"/>
    <n v="3"/>
    <s v="Sat, Sun, Thu"/>
    <b v="0"/>
    <d v="1899-12-30T10:32:00"/>
    <d v="1899-12-30T11:09:00"/>
    <n v="37"/>
    <b v="0"/>
    <b v="0"/>
    <x v="1"/>
    <x v="4"/>
    <n v="50"/>
    <x v="0"/>
    <n v="50"/>
    <x v="3"/>
    <n v="0.15"/>
    <n v="42.5"/>
    <s v="All hours"/>
    <s v="San Francisco, CA"/>
    <n v="37.774900000000002"/>
    <n v="-122.4194"/>
    <d v="2023-03-04T00:00:00"/>
    <n v="0"/>
    <x v="1"/>
    <x v="22"/>
  </r>
  <r>
    <n v="40"/>
    <x v="0"/>
    <n v="2"/>
    <s v="Sun, Thu"/>
    <b v="0"/>
    <d v="1899-12-30T11:37:00"/>
    <d v="1899-12-30T14:23:00"/>
    <n v="166"/>
    <b v="0"/>
    <b v="1"/>
    <x v="1"/>
    <x v="0"/>
    <n v="50"/>
    <x v="0"/>
    <n v="50"/>
    <x v="1"/>
    <n v="0"/>
    <n v="50"/>
    <s v="All hours"/>
    <s v="San Jose, CA"/>
    <n v="37.338200000000001"/>
    <n v="-121.88630000000001"/>
    <d v="2024-08-02T00:00:00"/>
    <n v="1"/>
    <x v="0"/>
    <x v="15"/>
  </r>
  <r>
    <n v="14"/>
    <x v="3"/>
    <n v="3"/>
    <s v="Sat, Tue, Wed"/>
    <b v="0"/>
    <d v="1899-12-30T14:34:00"/>
    <d v="1899-12-30T16:33:00"/>
    <n v="119"/>
    <b v="1"/>
    <b v="1"/>
    <x v="1"/>
    <x v="4"/>
    <n v="70"/>
    <x v="0"/>
    <n v="70"/>
    <x v="1"/>
    <n v="0"/>
    <n v="70"/>
    <s v="All hours + Priority access"/>
    <s v="Sacramento, CA"/>
    <n v="38.581600000000002"/>
    <n v="-121.4944"/>
    <d v="2025-03-28T00:00:00"/>
    <n v="5"/>
    <x v="0"/>
    <x v="42"/>
  </r>
  <r>
    <n v="40"/>
    <x v="0"/>
    <n v="3"/>
    <s v="Mon, Sat, Tue"/>
    <b v="0"/>
    <d v="1899-12-30T08:41:00"/>
    <d v="1899-12-30T09:35:00"/>
    <n v="54"/>
    <b v="1"/>
    <b v="0"/>
    <x v="1"/>
    <x v="4"/>
    <n v="50"/>
    <x v="0"/>
    <n v="50"/>
    <x v="3"/>
    <n v="0.15"/>
    <n v="42.5"/>
    <s v="All hours"/>
    <s v="Long Beach, CA"/>
    <n v="33.770099999999999"/>
    <n v="-118.19370000000001"/>
    <d v="2024-04-19T00:00:00"/>
    <n v="0"/>
    <x v="0"/>
    <x v="52"/>
  </r>
  <r>
    <n v="42"/>
    <x v="1"/>
    <n v="5"/>
    <s v="Fri, Sat, Sun, Thu, Wed"/>
    <b v="0"/>
    <d v="1899-12-30T09:49:00"/>
    <d v="1899-12-30T12:43:00"/>
    <n v="174"/>
    <b v="1"/>
    <b v="0"/>
    <x v="1"/>
    <x v="0"/>
    <n v="30"/>
    <x v="1"/>
    <n v="22.5"/>
    <x v="1"/>
    <n v="0"/>
    <n v="22.5"/>
    <s v="Weekdays only"/>
    <s v="Sacramento, CA"/>
    <n v="38.581600000000002"/>
    <n v="-121.4944"/>
    <d v="2024-12-20T00:00:00"/>
    <n v="0"/>
    <x v="0"/>
    <x v="13"/>
  </r>
  <r>
    <n v="43"/>
    <x v="0"/>
    <n v="3"/>
    <s v="Mon, Sun, Thu"/>
    <b v="0"/>
    <d v="1899-12-30T08:22:00"/>
    <d v="1899-12-30T10:40:00"/>
    <n v="138"/>
    <b v="0"/>
    <b v="1"/>
    <x v="0"/>
    <x v="1"/>
    <n v="50"/>
    <x v="0"/>
    <n v="50"/>
    <x v="1"/>
    <n v="0"/>
    <n v="50"/>
    <s v="All hours"/>
    <s v="Fresno, CA"/>
    <n v="36.7378"/>
    <n v="-119.7871"/>
    <d v="2023-06-13T00:00:00"/>
    <n v="8"/>
    <x v="0"/>
    <x v="28"/>
  </r>
  <r>
    <n v="32"/>
    <x v="1"/>
    <n v="5"/>
    <s v="Fri, Mon, Thu, Tue, Wed"/>
    <b v="1"/>
    <d v="1899-12-30T10:17:00"/>
    <d v="1899-12-30T13:05:00"/>
    <n v="168"/>
    <b v="1"/>
    <b v="0"/>
    <x v="0"/>
    <x v="4"/>
    <n v="30"/>
    <x v="2"/>
    <n v="27"/>
    <x v="1"/>
    <n v="0"/>
    <n v="27"/>
    <s v="Weekdays only"/>
    <s v="Sacramento, CA"/>
    <n v="38.581600000000002"/>
    <n v="-121.4944"/>
    <d v="2024-06-19T00:00:00"/>
    <n v="0"/>
    <x v="0"/>
    <x v="55"/>
  </r>
  <r>
    <n v="21"/>
    <x v="1"/>
    <n v="1"/>
    <s v="Wed"/>
    <b v="0"/>
    <d v="1899-12-30T18:11:00"/>
    <d v="1899-12-30T20:51:00"/>
    <n v="160"/>
    <b v="1"/>
    <b v="1"/>
    <x v="1"/>
    <x v="0"/>
    <n v="30"/>
    <x v="0"/>
    <n v="30"/>
    <x v="0"/>
    <n v="0.05"/>
    <n v="28.5"/>
    <s v="Weekdays only"/>
    <s v="Sacramento, CA"/>
    <n v="38.581600000000002"/>
    <n v="-121.4944"/>
    <d v="2022-08-18T00:00:00"/>
    <n v="8"/>
    <x v="1"/>
    <x v="10"/>
  </r>
  <r>
    <n v="22"/>
    <x v="0"/>
    <n v="5"/>
    <s v="Fri, Sat, Thu, Tue, Wed"/>
    <b v="1"/>
    <d v="1899-12-30T17:41:00"/>
    <d v="1899-12-30T19:31:00"/>
    <n v="110"/>
    <b v="0"/>
    <b v="0"/>
    <x v="0"/>
    <x v="0"/>
    <n v="50"/>
    <x v="1"/>
    <n v="37.5"/>
    <x v="3"/>
    <n v="0.15"/>
    <n v="31.875"/>
    <s v="All hours"/>
    <s v="Sacramento, CA"/>
    <n v="38.581600000000002"/>
    <n v="-121.4944"/>
    <d v="2023-08-10T00:00:00"/>
    <n v="0"/>
    <x v="0"/>
    <x v="47"/>
  </r>
  <r>
    <n v="12"/>
    <x v="0"/>
    <n v="2"/>
    <s v="Sat, Sun"/>
    <b v="0"/>
    <d v="1899-12-30T08:05:00"/>
    <d v="1899-12-30T10:14:00"/>
    <n v="129"/>
    <b v="0"/>
    <b v="0"/>
    <x v="0"/>
    <x v="4"/>
    <n v="50"/>
    <x v="0"/>
    <n v="50"/>
    <x v="0"/>
    <n v="0.05"/>
    <n v="47.5"/>
    <s v="All hours"/>
    <s v="San Jose, CA"/>
    <n v="37.338200000000001"/>
    <n v="-121.88630000000001"/>
    <d v="2023-01-29T00:00:00"/>
    <n v="0"/>
    <x v="1"/>
    <x v="11"/>
  </r>
  <r>
    <n v="14"/>
    <x v="0"/>
    <n v="2"/>
    <s v="Fri, Tue"/>
    <b v="1"/>
    <d v="1899-12-30T13:45:00"/>
    <d v="1899-12-30T16:26:00"/>
    <n v="16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5-02-01T00:00:00"/>
    <n v="0"/>
    <x v="0"/>
    <x v="30"/>
  </r>
  <r>
    <n v="14"/>
    <x v="0"/>
    <n v="1"/>
    <s v="Mon"/>
    <b v="1"/>
    <d v="1899-12-30T11:56:00"/>
    <d v="1899-12-30T13:37:00"/>
    <n v="10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2-12-17T00:00:00"/>
    <n v="0"/>
    <x v="0"/>
    <x v="6"/>
  </r>
  <r>
    <n v="36"/>
    <x v="3"/>
    <n v="4"/>
    <s v="Mon, Thu, Tue, Wed"/>
    <b v="1"/>
    <d v="1899-12-30T17:28:00"/>
    <d v="1899-12-30T18:29:00"/>
    <n v="61"/>
    <b v="0"/>
    <b v="0"/>
    <x v="0"/>
    <x v="0"/>
    <n v="70"/>
    <x v="0"/>
    <n v="70"/>
    <x v="1"/>
    <n v="0"/>
    <n v="70"/>
    <s v="All hours + Priority access"/>
    <s v="San Diego, CA"/>
    <n v="32.715699999999998"/>
    <n v="-117.1611"/>
    <d v="2022-10-14T00:00:00"/>
    <n v="0"/>
    <x v="1"/>
    <x v="38"/>
  </r>
  <r>
    <n v="21"/>
    <x v="0"/>
    <n v="2"/>
    <s v="Fri, Mon"/>
    <b v="1"/>
    <d v="1899-12-30T15:40:00"/>
    <d v="1899-12-30T16:47:00"/>
    <n v="67"/>
    <b v="0"/>
    <b v="1"/>
    <x v="1"/>
    <x v="2"/>
    <n v="50"/>
    <x v="0"/>
    <n v="50"/>
    <x v="2"/>
    <n v="0.1"/>
    <n v="45"/>
    <s v="All hours"/>
    <s v="San Diego, CA"/>
    <n v="32.715699999999998"/>
    <n v="-117.1611"/>
    <d v="2024-01-21T00:00:00"/>
    <n v="6"/>
    <x v="0"/>
    <x v="31"/>
  </r>
  <r>
    <n v="43"/>
    <x v="0"/>
    <n v="3"/>
    <s v="Mon, Sun, Thu"/>
    <b v="0"/>
    <d v="1899-12-30T08:22:00"/>
    <d v="1899-12-30T10:40:00"/>
    <n v="138"/>
    <b v="0"/>
    <b v="1"/>
    <x v="0"/>
    <x v="1"/>
    <n v="50"/>
    <x v="0"/>
    <n v="50"/>
    <x v="1"/>
    <n v="0"/>
    <n v="50"/>
    <s v="All hours"/>
    <s v="Fresno, CA"/>
    <n v="36.7378"/>
    <n v="-119.7871"/>
    <d v="2023-09-16T00:00:00"/>
    <n v="4"/>
    <x v="0"/>
    <x v="7"/>
  </r>
  <r>
    <n v="33"/>
    <x v="1"/>
    <n v="1"/>
    <s v="Sun"/>
    <b v="0"/>
    <d v="1899-12-30T16:29:00"/>
    <d v="1899-12-30T17:07:00"/>
    <n v="38"/>
    <b v="0"/>
    <b v="1"/>
    <x v="0"/>
    <x v="2"/>
    <n v="30"/>
    <x v="0"/>
    <n v="30"/>
    <x v="0"/>
    <n v="0.05"/>
    <n v="28.5"/>
    <s v="Weekdays only"/>
    <s v="Long Beach, CA"/>
    <n v="33.770099999999999"/>
    <n v="-118.19370000000001"/>
    <d v="2023-03-31T00:00:00"/>
    <n v="5"/>
    <x v="1"/>
    <x v="49"/>
  </r>
  <r>
    <n v="21"/>
    <x v="1"/>
    <n v="2"/>
    <s v="Fri, Mon"/>
    <b v="0"/>
    <d v="1899-12-30T20:13:00"/>
    <d v="1899-12-30T21:48:00"/>
    <n v="95"/>
    <b v="1"/>
    <b v="0"/>
    <x v="0"/>
    <x v="4"/>
    <n v="30"/>
    <x v="1"/>
    <n v="22.5"/>
    <x v="3"/>
    <n v="0.15"/>
    <n v="19.125"/>
    <s v="Weekdays only"/>
    <s v="Fresno, CA"/>
    <n v="36.7378"/>
    <n v="-119.7871"/>
    <d v="2024-12-18T00:00:00"/>
    <n v="0"/>
    <x v="1"/>
    <x v="13"/>
  </r>
  <r>
    <n v="43"/>
    <x v="3"/>
    <n v="1"/>
    <s v="Fri"/>
    <b v="1"/>
    <d v="1899-12-30T20:09:00"/>
    <d v="1899-12-30T21:57:00"/>
    <n v="108"/>
    <b v="0"/>
    <b v="0"/>
    <x v="1"/>
    <x v="2"/>
    <n v="70"/>
    <x v="0"/>
    <n v="70"/>
    <x v="1"/>
    <n v="0"/>
    <n v="70"/>
    <s v="All hours + Priority access"/>
    <s v="Anaheim, CA"/>
    <n v="33.836599999999997"/>
    <n v="-117.9143"/>
    <d v="2024-01-04T00:00:00"/>
    <n v="0"/>
    <x v="0"/>
    <x v="23"/>
  </r>
  <r>
    <n v="12"/>
    <x v="2"/>
    <n v="1"/>
    <s v="Tue"/>
    <b v="1"/>
    <d v="1899-12-30T17:08:00"/>
    <d v="1899-12-30T19:26:00"/>
    <n v="138"/>
    <b v="0"/>
    <b v="0"/>
    <x v="0"/>
    <x v="4"/>
    <n v="20"/>
    <x v="1"/>
    <n v="15"/>
    <x v="3"/>
    <n v="0.15"/>
    <n v="12.75"/>
    <s v="Off-peak only"/>
    <s v="San Diego, CA"/>
    <n v="32.715699999999998"/>
    <n v="-117.1611"/>
    <d v="2024-04-24T00:00:00"/>
    <n v="0"/>
    <x v="0"/>
    <x v="40"/>
  </r>
  <r>
    <n v="36"/>
    <x v="0"/>
    <n v="1"/>
    <s v="Fri"/>
    <b v="1"/>
    <d v="1899-12-30T14:49:00"/>
    <d v="1899-12-30T16:32:00"/>
    <n v="103"/>
    <b v="1"/>
    <b v="1"/>
    <x v="0"/>
    <x v="0"/>
    <n v="50"/>
    <x v="1"/>
    <n v="37.5"/>
    <x v="2"/>
    <n v="0.1"/>
    <n v="33.75"/>
    <s v="All hours"/>
    <s v="Bakersfield, CA"/>
    <n v="35.3733"/>
    <n v="-119.0187"/>
    <d v="2025-01-18T00:00:00"/>
    <n v="5"/>
    <x v="0"/>
    <x v="19"/>
  </r>
  <r>
    <n v="21"/>
    <x v="1"/>
    <n v="5"/>
    <s v="Fri, Mon, Sat, Sun, Thu"/>
    <b v="1"/>
    <d v="1899-12-30T20:15:00"/>
    <d v="1899-12-30T23:14:00"/>
    <n v="179"/>
    <b v="1"/>
    <b v="0"/>
    <x v="1"/>
    <x v="0"/>
    <n v="30"/>
    <x v="0"/>
    <n v="30"/>
    <x v="0"/>
    <n v="0.05"/>
    <n v="28.5"/>
    <s v="Weekdays only"/>
    <s v="Fresno, CA"/>
    <n v="36.7378"/>
    <n v="-119.7871"/>
    <d v="2024-05-27T00:00:00"/>
    <n v="0"/>
    <x v="1"/>
    <x v="0"/>
  </r>
  <r>
    <n v="45"/>
    <x v="3"/>
    <n v="2"/>
    <s v="Thu, Wed"/>
    <b v="0"/>
    <d v="1899-12-30T15:36:00"/>
    <d v="1899-12-30T17:56:00"/>
    <n v="140"/>
    <b v="0"/>
    <b v="1"/>
    <x v="1"/>
    <x v="4"/>
    <n v="70"/>
    <x v="0"/>
    <n v="70"/>
    <x v="2"/>
    <n v="0.1"/>
    <n v="63"/>
    <s v="All hours + Priority access"/>
    <s v="Fresno, CA"/>
    <n v="36.7378"/>
    <n v="-119.7871"/>
    <d v="2025-04-11T00:00:00"/>
    <n v="1"/>
    <x v="0"/>
    <x v="42"/>
  </r>
  <r>
    <n v="45"/>
    <x v="0"/>
    <n v="1"/>
    <s v="Mon"/>
    <b v="1"/>
    <d v="1899-12-30T09:31:00"/>
    <d v="1899-12-30T10:42:00"/>
    <n v="71"/>
    <b v="1"/>
    <b v="0"/>
    <x v="1"/>
    <x v="3"/>
    <n v="50"/>
    <x v="2"/>
    <n v="45"/>
    <x v="3"/>
    <n v="0.15"/>
    <n v="38.25"/>
    <s v="All hours"/>
    <s v="Bakersfield, CA"/>
    <n v="35.3733"/>
    <n v="-119.0187"/>
    <d v="2025-05-26T00:00:00"/>
    <n v="0"/>
    <x v="0"/>
    <x v="9"/>
  </r>
  <r>
    <n v="33"/>
    <x v="1"/>
    <n v="2"/>
    <s v="Sun, Tue"/>
    <b v="0"/>
    <d v="1899-12-30T12:42:00"/>
    <d v="1899-12-30T15:01:00"/>
    <n v="139"/>
    <b v="1"/>
    <b v="1"/>
    <x v="0"/>
    <x v="3"/>
    <n v="30"/>
    <x v="0"/>
    <n v="30"/>
    <x v="1"/>
    <n v="0"/>
    <n v="30"/>
    <s v="Weekdays only"/>
    <s v="Bakersfield, CA"/>
    <n v="35.3733"/>
    <n v="-119.0187"/>
    <d v="2025-01-30T00:00:00"/>
    <n v="1"/>
    <x v="1"/>
    <x v="19"/>
  </r>
  <r>
    <n v="20"/>
    <x v="0"/>
    <n v="5"/>
    <s v="Mon, Sat, Thu, Tue, Wed"/>
    <b v="0"/>
    <d v="1899-12-30T17:41:00"/>
    <d v="1899-12-30T20:22:00"/>
    <n v="161"/>
    <b v="0"/>
    <b v="0"/>
    <x v="0"/>
    <x v="4"/>
    <n v="50"/>
    <x v="1"/>
    <n v="37.5"/>
    <x v="2"/>
    <n v="0.1"/>
    <n v="33.75"/>
    <s v="All hours"/>
    <s v="Long Beach, CA"/>
    <n v="33.770099999999999"/>
    <n v="-118.19370000000001"/>
    <d v="2022-09-01T00:00:00"/>
    <n v="0"/>
    <x v="1"/>
    <x v="1"/>
  </r>
  <r>
    <n v="19"/>
    <x v="0"/>
    <n v="2"/>
    <s v="Sun, Tue"/>
    <b v="1"/>
    <d v="1899-12-30T19:22:00"/>
    <d v="1899-12-30T20:25:00"/>
    <n v="63"/>
    <b v="0"/>
    <b v="0"/>
    <x v="0"/>
    <x v="4"/>
    <n v="50"/>
    <x v="1"/>
    <n v="37.5"/>
    <x v="1"/>
    <n v="0"/>
    <n v="37.5"/>
    <s v="All hours"/>
    <s v="Bakersfield, CA"/>
    <n v="35.3733"/>
    <n v="-119.0187"/>
    <d v="2023-11-15T00:00:00"/>
    <n v="0"/>
    <x v="0"/>
    <x v="35"/>
  </r>
  <r>
    <n v="40"/>
    <x v="0"/>
    <n v="2"/>
    <s v="Mon, Sat"/>
    <b v="1"/>
    <d v="1899-12-30T14:58:00"/>
    <d v="1899-12-30T16:42:00"/>
    <n v="104"/>
    <b v="0"/>
    <b v="0"/>
    <x v="1"/>
    <x v="0"/>
    <n v="50"/>
    <x v="1"/>
    <n v="37.5"/>
    <x v="1"/>
    <n v="0"/>
    <n v="37.5"/>
    <s v="All hours"/>
    <s v="Fresno, CA"/>
    <n v="36.7378"/>
    <n v="-119.7871"/>
    <d v="2022-08-29T00:00:00"/>
    <n v="0"/>
    <x v="0"/>
    <x v="1"/>
  </r>
  <r>
    <n v="49"/>
    <x v="1"/>
    <n v="3"/>
    <s v="Fri, Mon, Wed"/>
    <b v="0"/>
    <d v="1899-12-30T12:37:00"/>
    <d v="1899-12-30T13:15:00"/>
    <n v="38"/>
    <b v="1"/>
    <b v="1"/>
    <x v="0"/>
    <x v="0"/>
    <n v="30"/>
    <x v="0"/>
    <n v="30"/>
    <x v="1"/>
    <n v="0"/>
    <n v="30"/>
    <s v="Weekdays only"/>
    <s v="San Jose, CA"/>
    <n v="37.338200000000001"/>
    <n v="-121.88630000000001"/>
    <d v="2024-03-19T00:00:00"/>
    <n v="5"/>
    <x v="1"/>
    <x v="17"/>
  </r>
  <r>
    <n v="19"/>
    <x v="2"/>
    <n v="4"/>
    <s v="Sat, Sun, Tue, Wed"/>
    <b v="1"/>
    <d v="1899-12-30T15:49:00"/>
    <d v="1899-12-30T17:10:00"/>
    <n v="81"/>
    <b v="1"/>
    <b v="0"/>
    <x v="0"/>
    <x v="0"/>
    <n v="20"/>
    <x v="0"/>
    <n v="20"/>
    <x v="2"/>
    <n v="0.1"/>
    <n v="18"/>
    <s v="Off-peak only"/>
    <s v="San Jose, CA"/>
    <n v="37.338200000000001"/>
    <n v="-121.88630000000001"/>
    <d v="2024-07-25T00:00:00"/>
    <n v="0"/>
    <x v="0"/>
    <x v="15"/>
  </r>
  <r>
    <n v="23"/>
    <x v="1"/>
    <n v="2"/>
    <s v="Sat, Thu"/>
    <b v="0"/>
    <d v="1899-12-30T11:56:00"/>
    <d v="1899-12-30T13:42:00"/>
    <n v="106"/>
    <b v="0"/>
    <b v="1"/>
    <x v="1"/>
    <x v="4"/>
    <n v="30"/>
    <x v="0"/>
    <n v="30"/>
    <x v="0"/>
    <n v="0.05"/>
    <n v="28.5"/>
    <s v="Weekdays only"/>
    <s v="Fresno, CA"/>
    <n v="36.7378"/>
    <n v="-119.7871"/>
    <d v="2023-12-31T00:00:00"/>
    <n v="2"/>
    <x v="1"/>
    <x v="23"/>
  </r>
  <r>
    <n v="48"/>
    <x v="1"/>
    <n v="3"/>
    <s v="Fri, Sun, Wed"/>
    <b v="0"/>
    <d v="1899-12-30T11:07:00"/>
    <d v="1899-12-30T12:43:00"/>
    <n v="96"/>
    <b v="1"/>
    <b v="1"/>
    <x v="1"/>
    <x v="0"/>
    <n v="30"/>
    <x v="0"/>
    <n v="30"/>
    <x v="1"/>
    <n v="0"/>
    <n v="30"/>
    <s v="Weekdays only"/>
    <s v="San Diego, CA"/>
    <n v="32.715699999999998"/>
    <n v="-117.1611"/>
    <d v="2024-03-11T00:00:00"/>
    <n v="5"/>
    <x v="1"/>
    <x v="29"/>
  </r>
  <r>
    <n v="38"/>
    <x v="0"/>
    <n v="4"/>
    <s v="Fri, Mon, Sun, Thu"/>
    <b v="1"/>
    <d v="1899-12-30T12:50:00"/>
    <d v="1899-12-30T14:19:00"/>
    <n v="89"/>
    <b v="0"/>
    <b v="0"/>
    <x v="1"/>
    <x v="4"/>
    <n v="50"/>
    <x v="0"/>
    <n v="50"/>
    <x v="1"/>
    <n v="0"/>
    <n v="50"/>
    <s v="All hours"/>
    <s v="Los Angeles, CA"/>
    <n v="34.052199999999999"/>
    <n v="-118.2437"/>
    <d v="2025-03-02T00:00:00"/>
    <n v="0"/>
    <x v="1"/>
    <x v="45"/>
  </r>
  <r>
    <n v="49"/>
    <x v="3"/>
    <n v="3"/>
    <s v="Fri, Sun, Wed"/>
    <b v="0"/>
    <d v="1899-12-30T17:42:00"/>
    <d v="1899-12-30T19:00:00"/>
    <n v="78"/>
    <b v="1"/>
    <b v="1"/>
    <x v="1"/>
    <x v="4"/>
    <n v="70"/>
    <x v="2"/>
    <n v="63"/>
    <x v="2"/>
    <n v="0.1"/>
    <n v="56.7"/>
    <s v="All hours + Priority access"/>
    <s v="Los Angeles, CA"/>
    <n v="34.052199999999999"/>
    <n v="-118.2437"/>
    <d v="2023-08-10T00:00:00"/>
    <n v="6"/>
    <x v="1"/>
    <x v="47"/>
  </r>
  <r>
    <n v="21"/>
    <x v="0"/>
    <n v="2"/>
    <s v="Fri, Mon"/>
    <b v="1"/>
    <d v="1899-12-30T15:40:00"/>
    <d v="1899-12-30T16:47:00"/>
    <n v="67"/>
    <b v="0"/>
    <b v="1"/>
    <x v="1"/>
    <x v="2"/>
    <n v="50"/>
    <x v="0"/>
    <n v="50"/>
    <x v="2"/>
    <n v="0.1"/>
    <n v="45"/>
    <s v="All hours"/>
    <s v="San Diego, CA"/>
    <n v="32.715699999999998"/>
    <n v="-117.1611"/>
    <d v="2024-11-04T00:00:00"/>
    <n v="5"/>
    <x v="0"/>
    <x v="12"/>
  </r>
  <r>
    <n v="42"/>
    <x v="1"/>
    <n v="4"/>
    <s v="Mon, Sat, Sun, Tue"/>
    <b v="1"/>
    <d v="1899-12-30T19:21:00"/>
    <d v="1899-12-30T21:49:00"/>
    <n v="148"/>
    <b v="0"/>
    <b v="1"/>
    <x v="1"/>
    <x v="4"/>
    <n v="30"/>
    <x v="1"/>
    <n v="22.5"/>
    <x v="0"/>
    <n v="0.05"/>
    <n v="21.375"/>
    <s v="Weekdays only"/>
    <s v="Los Angeles, CA"/>
    <n v="34.052199999999999"/>
    <n v="-118.2437"/>
    <d v="2023-09-02T00:00:00"/>
    <n v="3"/>
    <x v="1"/>
    <x v="46"/>
  </r>
  <r>
    <n v="17"/>
    <x v="0"/>
    <n v="3"/>
    <s v="Fri, Mon, Tue"/>
    <b v="1"/>
    <d v="1899-12-30T11:51:00"/>
    <d v="1899-12-30T14:30:00"/>
    <n v="159"/>
    <b v="0"/>
    <b v="0"/>
    <x v="1"/>
    <x v="4"/>
    <n v="50"/>
    <x v="0"/>
    <n v="50"/>
    <x v="0"/>
    <n v="0.05"/>
    <n v="47.5"/>
    <s v="All hours"/>
    <s v="Los Angeles, CA"/>
    <n v="34.052199999999999"/>
    <n v="-118.2437"/>
    <d v="2023-07-31T00:00:00"/>
    <n v="0"/>
    <x v="0"/>
    <x v="34"/>
  </r>
  <r>
    <n v="29"/>
    <x v="1"/>
    <n v="3"/>
    <s v="Mon, Sat, Thu"/>
    <b v="0"/>
    <d v="1899-12-30T15:05:00"/>
    <d v="1899-12-30T16:19:00"/>
    <n v="74"/>
    <b v="0"/>
    <b v="1"/>
    <x v="1"/>
    <x v="1"/>
    <n v="30"/>
    <x v="0"/>
    <n v="30"/>
    <x v="1"/>
    <n v="0"/>
    <n v="30"/>
    <s v="Weekdays only"/>
    <s v="San Diego, CA"/>
    <n v="32.715699999999998"/>
    <n v="-117.1611"/>
    <d v="2025-01-12T00:00:00"/>
    <n v="7"/>
    <x v="1"/>
    <x v="4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5-04-18T00:00:00"/>
    <n v="0"/>
    <x v="0"/>
    <x v="5"/>
  </r>
  <r>
    <n v="29"/>
    <x v="0"/>
    <n v="3"/>
    <s v="Fri, Sat, Thu"/>
    <b v="1"/>
    <d v="1899-12-30T13:02:00"/>
    <d v="1899-12-30T14:08:00"/>
    <n v="66"/>
    <b v="0"/>
    <b v="0"/>
    <x v="1"/>
    <x v="1"/>
    <n v="50"/>
    <x v="1"/>
    <n v="37.5"/>
    <x v="2"/>
    <n v="0.1"/>
    <n v="33.75"/>
    <s v="All hours"/>
    <s v="Fresno, CA"/>
    <n v="36.7378"/>
    <n v="-119.7871"/>
    <d v="2023-03-14T00:00:00"/>
    <n v="0"/>
    <x v="0"/>
    <x v="36"/>
  </r>
  <r>
    <n v="39"/>
    <x v="0"/>
    <n v="5"/>
    <s v="Fri, Mon, Sat, Thu, Wed"/>
    <b v="0"/>
    <d v="1899-12-30T20:01:00"/>
    <d v="1899-12-30T21:08:00"/>
    <n v="67"/>
    <b v="1"/>
    <b v="1"/>
    <x v="0"/>
    <x v="0"/>
    <n v="50"/>
    <x v="0"/>
    <n v="50"/>
    <x v="2"/>
    <n v="0.1"/>
    <n v="45"/>
    <s v="All hours"/>
    <s v="Bakersfield, CA"/>
    <n v="35.3733"/>
    <n v="-119.0187"/>
    <d v="2024-02-19T00:00:00"/>
    <n v="3"/>
    <x v="0"/>
    <x v="21"/>
  </r>
  <r>
    <n v="28"/>
    <x v="2"/>
    <n v="2"/>
    <s v="Fri, Sun"/>
    <b v="0"/>
    <d v="1899-12-30T20:17:00"/>
    <d v="1899-12-30T23:03:00"/>
    <n v="166"/>
    <b v="1"/>
    <b v="0"/>
    <x v="1"/>
    <x v="1"/>
    <n v="20"/>
    <x v="1"/>
    <n v="15"/>
    <x v="1"/>
    <n v="0"/>
    <n v="15"/>
    <s v="Off-peak only"/>
    <s v="San Francisco, CA"/>
    <n v="37.774900000000002"/>
    <n v="-122.4194"/>
    <d v="2025-04-22T00:00:00"/>
    <n v="0"/>
    <x v="1"/>
    <x v="5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2-07-29T00:00:00"/>
    <n v="0"/>
    <x v="0"/>
    <x v="43"/>
  </r>
  <r>
    <n v="27"/>
    <x v="0"/>
    <n v="2"/>
    <s v="Mon, Sun"/>
    <b v="1"/>
    <d v="1899-12-30T16:35:00"/>
    <d v="1899-12-30T18:56:00"/>
    <n v="141"/>
    <b v="1"/>
    <b v="1"/>
    <x v="0"/>
    <x v="0"/>
    <n v="50"/>
    <x v="1"/>
    <n v="37.5"/>
    <x v="3"/>
    <n v="0.15"/>
    <n v="31.875"/>
    <s v="All hours"/>
    <s v="San Francisco, CA"/>
    <n v="37.774900000000002"/>
    <n v="-122.4194"/>
    <d v="2025-04-22T00:00:00"/>
    <n v="3"/>
    <x v="1"/>
    <x v="5"/>
  </r>
  <r>
    <n v="26"/>
    <x v="0"/>
    <n v="5"/>
    <s v="Mon, Sat, Sun, Thu, Wed"/>
    <b v="1"/>
    <d v="1899-12-30T17:11:00"/>
    <d v="1899-12-30T18:02:00"/>
    <n v="51"/>
    <b v="0"/>
    <b v="1"/>
    <x v="1"/>
    <x v="4"/>
    <n v="50"/>
    <x v="1"/>
    <n v="37.5"/>
    <x v="3"/>
    <n v="0.15"/>
    <n v="31.875"/>
    <s v="All hours"/>
    <s v="Long Beach, CA"/>
    <n v="33.770099999999999"/>
    <n v="-118.19370000000001"/>
    <d v="2023-06-13T00:00:00"/>
    <n v="2"/>
    <x v="0"/>
    <x v="28"/>
  </r>
  <r>
    <n v="43"/>
    <x v="0"/>
    <n v="3"/>
    <s v="Mon, Sun, Thu"/>
    <b v="0"/>
    <d v="1899-12-30T08:22:00"/>
    <d v="1899-12-30T10:40:00"/>
    <n v="138"/>
    <b v="0"/>
    <b v="1"/>
    <x v="0"/>
    <x v="1"/>
    <n v="50"/>
    <x v="0"/>
    <n v="50"/>
    <x v="1"/>
    <n v="0"/>
    <n v="50"/>
    <s v="All hours"/>
    <s v="Fresno, CA"/>
    <n v="36.7378"/>
    <n v="-119.7871"/>
    <d v="2022-08-10T00:00:00"/>
    <n v="2"/>
    <x v="0"/>
    <x v="43"/>
  </r>
  <r>
    <n v="30"/>
    <x v="3"/>
    <n v="2"/>
    <s v="Sun, Wed"/>
    <b v="1"/>
    <d v="1899-12-30T17:04:00"/>
    <d v="1899-12-30T19:42:00"/>
    <n v="158"/>
    <b v="1"/>
    <b v="0"/>
    <x v="1"/>
    <x v="1"/>
    <n v="70"/>
    <x v="2"/>
    <n v="63"/>
    <x v="1"/>
    <n v="0"/>
    <n v="63"/>
    <s v="All hours + Priority access"/>
    <s v="San Jose, CA"/>
    <n v="37.338200000000001"/>
    <n v="-121.88630000000001"/>
    <d v="2024-10-11T00:00:00"/>
    <n v="0"/>
    <x v="0"/>
    <x v="51"/>
  </r>
  <r>
    <n v="45"/>
    <x v="0"/>
    <n v="3"/>
    <s v="Sun, Tue, Wed"/>
    <b v="0"/>
    <d v="1899-12-30T11:20:00"/>
    <d v="1899-12-30T14:08:00"/>
    <n v="168"/>
    <b v="0"/>
    <b v="1"/>
    <x v="1"/>
    <x v="0"/>
    <n v="50"/>
    <x v="0"/>
    <n v="50"/>
    <x v="1"/>
    <n v="0"/>
    <n v="50"/>
    <s v="All hours"/>
    <s v="San Francisco, CA"/>
    <n v="37.774900000000002"/>
    <n v="-122.4194"/>
    <d v="2025-01-22T00:00:00"/>
    <n v="8"/>
    <x v="0"/>
    <x v="19"/>
  </r>
  <r>
    <n v="25"/>
    <x v="0"/>
    <n v="1"/>
    <s v="Tue"/>
    <b v="0"/>
    <d v="1899-12-30T08:37:00"/>
    <d v="1899-12-30T10:52:00"/>
    <n v="135"/>
    <b v="1"/>
    <b v="1"/>
    <x v="0"/>
    <x v="0"/>
    <n v="50"/>
    <x v="0"/>
    <n v="50"/>
    <x v="1"/>
    <n v="0"/>
    <n v="50"/>
    <s v="All hours"/>
    <s v="Long Beach, CA"/>
    <n v="33.770099999999999"/>
    <n v="-118.19370000000001"/>
    <d v="2025-02-13T00:00:00"/>
    <n v="5"/>
    <x v="0"/>
    <x v="30"/>
  </r>
  <r>
    <n v="19"/>
    <x v="2"/>
    <n v="2"/>
    <s v="Sat, Tue"/>
    <b v="0"/>
    <d v="1899-12-30T16:57:00"/>
    <d v="1899-12-30T18:54:00"/>
    <n v="117"/>
    <b v="1"/>
    <b v="1"/>
    <x v="0"/>
    <x v="4"/>
    <n v="20"/>
    <x v="1"/>
    <n v="15"/>
    <x v="1"/>
    <n v="0"/>
    <n v="15"/>
    <s v="Off-peak only"/>
    <s v="Sacramento, CA"/>
    <n v="38.581600000000002"/>
    <n v="-121.4944"/>
    <d v="2024-08-04T00:00:00"/>
    <n v="3"/>
    <x v="1"/>
    <x v="15"/>
  </r>
  <r>
    <n v="48"/>
    <x v="1"/>
    <n v="3"/>
    <s v="Mon, Sat, Tue"/>
    <b v="1"/>
    <d v="1899-12-30T20:37:00"/>
    <d v="1899-12-30T21:48:00"/>
    <n v="71"/>
    <b v="0"/>
    <b v="1"/>
    <x v="1"/>
    <x v="3"/>
    <n v="30"/>
    <x v="0"/>
    <n v="30"/>
    <x v="1"/>
    <n v="0"/>
    <n v="30"/>
    <s v="Weekdays only"/>
    <s v="San Jose, CA"/>
    <n v="37.338200000000001"/>
    <n v="-121.88630000000001"/>
    <d v="2025-03-07T00:00:00"/>
    <n v="2"/>
    <x v="1"/>
    <x v="45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3-06-16T00:00:00"/>
    <n v="1"/>
    <x v="0"/>
    <x v="28"/>
  </r>
  <r>
    <n v="14"/>
    <x v="0"/>
    <n v="2"/>
    <s v="Mon, Wed"/>
    <b v="1"/>
    <d v="1899-12-30T10:33:00"/>
    <d v="1899-12-30T12:57:00"/>
    <n v="144"/>
    <b v="1"/>
    <b v="0"/>
    <x v="1"/>
    <x v="3"/>
    <n v="50"/>
    <x v="1"/>
    <n v="37.5"/>
    <x v="1"/>
    <n v="0"/>
    <n v="37.5"/>
    <s v="All hours"/>
    <s v="Long Beach, CA"/>
    <n v="33.770099999999999"/>
    <n v="-118.19370000000001"/>
    <d v="2025-04-17T00:00:00"/>
    <n v="0"/>
    <x v="0"/>
    <x v="5"/>
  </r>
  <r>
    <n v="39"/>
    <x v="1"/>
    <n v="3"/>
    <s v="Mon, Tue, Wed"/>
    <b v="0"/>
    <d v="1899-12-30T16:51:00"/>
    <d v="1899-12-30T18:36:00"/>
    <n v="105"/>
    <b v="0"/>
    <b v="0"/>
    <x v="1"/>
    <x v="4"/>
    <n v="30"/>
    <x v="1"/>
    <n v="22.5"/>
    <x v="1"/>
    <n v="0"/>
    <n v="22.5"/>
    <s v="Weekdays only"/>
    <s v="Anaheim, CA"/>
    <n v="33.836599999999997"/>
    <n v="-117.9143"/>
    <d v="2023-12-28T00:00:00"/>
    <n v="0"/>
    <x v="1"/>
    <x v="23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2-07-27T00:00:00"/>
    <n v="0"/>
    <x v="0"/>
    <x v="43"/>
  </r>
  <r>
    <n v="17"/>
    <x v="0"/>
    <n v="5"/>
    <s v="Fri, Mon, Sat, Sun, Wed"/>
    <b v="1"/>
    <d v="1899-12-30T13:50:00"/>
    <d v="1899-12-30T14:29:00"/>
    <n v="39"/>
    <b v="1"/>
    <b v="1"/>
    <x v="1"/>
    <x v="4"/>
    <n v="50"/>
    <x v="2"/>
    <n v="45"/>
    <x v="3"/>
    <n v="0.15"/>
    <n v="38.25"/>
    <s v="All hours"/>
    <s v="Sacramento, CA"/>
    <n v="38.581600000000002"/>
    <n v="-121.4944"/>
    <d v="2023-02-07T00:00:00"/>
    <n v="5"/>
    <x v="1"/>
    <x v="26"/>
  </r>
  <r>
    <n v="24"/>
    <x v="3"/>
    <n v="2"/>
    <s v="Sun, Thu"/>
    <b v="1"/>
    <d v="1899-12-30T15:49:00"/>
    <d v="1899-12-30T18:31:00"/>
    <n v="162"/>
    <b v="1"/>
    <b v="1"/>
    <x v="1"/>
    <x v="4"/>
    <n v="70"/>
    <x v="1"/>
    <n v="52.5"/>
    <x v="3"/>
    <n v="0.15"/>
    <n v="44.625"/>
    <s v="All hours + Priority access"/>
    <s v="San Jose, CA"/>
    <n v="37.338200000000001"/>
    <n v="-121.88630000000001"/>
    <d v="2023-09-06T00:00:00"/>
    <n v="6"/>
    <x v="0"/>
    <x v="7"/>
  </r>
  <r>
    <n v="12"/>
    <x v="0"/>
    <n v="5"/>
    <s v="Mon, Sun, Thu, Tue, Wed"/>
    <b v="1"/>
    <d v="1899-12-30T18:32:00"/>
    <d v="1899-12-30T19:28:00"/>
    <n v="56"/>
    <b v="1"/>
    <b v="0"/>
    <x v="1"/>
    <x v="0"/>
    <n v="50"/>
    <x v="0"/>
    <n v="50"/>
    <x v="2"/>
    <n v="0.1"/>
    <n v="45"/>
    <s v="All hours"/>
    <s v="San Jose, CA"/>
    <n v="37.338200000000001"/>
    <n v="-121.88630000000001"/>
    <d v="2024-07-31T00:00:00"/>
    <n v="0"/>
    <x v="0"/>
    <x v="15"/>
  </r>
  <r>
    <n v="26"/>
    <x v="2"/>
    <n v="1"/>
    <s v="Thu"/>
    <b v="0"/>
    <d v="1899-12-30T14:21:00"/>
    <d v="1899-12-30T17:17:00"/>
    <n v="176"/>
    <b v="1"/>
    <b v="0"/>
    <x v="0"/>
    <x v="0"/>
    <n v="20"/>
    <x v="0"/>
    <n v="20"/>
    <x v="2"/>
    <n v="0.1"/>
    <n v="18"/>
    <s v="Off-peak only"/>
    <s v="Long Beach, CA"/>
    <n v="33.770099999999999"/>
    <n v="-118.19370000000001"/>
    <d v="2023-08-28T00:00:00"/>
    <n v="0"/>
    <x v="1"/>
    <x v="46"/>
  </r>
  <r>
    <n v="23"/>
    <x v="0"/>
    <n v="2"/>
    <s v="Thu, Tue"/>
    <b v="1"/>
    <d v="1899-12-30T14:42:00"/>
    <d v="1899-12-30T16:56:00"/>
    <n v="134"/>
    <b v="1"/>
    <b v="1"/>
    <x v="0"/>
    <x v="4"/>
    <n v="50"/>
    <x v="0"/>
    <n v="50"/>
    <x v="0"/>
    <n v="0.05"/>
    <n v="47.5"/>
    <s v="All hours"/>
    <s v="San Francisco, CA"/>
    <n v="37.774900000000002"/>
    <n v="-122.4194"/>
    <d v="2023-12-09T00:00:00"/>
    <n v="7"/>
    <x v="1"/>
    <x v="16"/>
  </r>
  <r>
    <n v="13"/>
    <x v="1"/>
    <n v="3"/>
    <s v="Mon, Thu, Tue"/>
    <b v="0"/>
    <d v="1899-12-30T20:25:00"/>
    <d v="1899-12-30T22:44:00"/>
    <n v="139"/>
    <b v="0"/>
    <b v="1"/>
    <x v="0"/>
    <x v="0"/>
    <n v="30"/>
    <x v="0"/>
    <n v="30"/>
    <x v="1"/>
    <n v="0"/>
    <n v="30"/>
    <s v="Weekdays only"/>
    <s v="Anaheim, CA"/>
    <n v="33.836599999999997"/>
    <n v="-117.9143"/>
    <d v="2024-03-26T00:00:00"/>
    <n v="4"/>
    <x v="1"/>
    <x v="17"/>
  </r>
  <r>
    <n v="25"/>
    <x v="0"/>
    <n v="2"/>
    <s v="Thu, Tue"/>
    <b v="0"/>
    <d v="1899-12-30T10:55:00"/>
    <d v="1899-12-30T13:51:00"/>
    <n v="176"/>
    <b v="1"/>
    <b v="0"/>
    <x v="1"/>
    <x v="4"/>
    <n v="50"/>
    <x v="1"/>
    <n v="37.5"/>
    <x v="1"/>
    <n v="0"/>
    <n v="37.5"/>
    <s v="All hours"/>
    <s v="Sacramento, CA"/>
    <n v="38.581600000000002"/>
    <n v="-121.4944"/>
    <d v="2025-02-03T00:00:00"/>
    <n v="0"/>
    <x v="0"/>
    <x v="30"/>
  </r>
  <r>
    <n v="34"/>
    <x v="1"/>
    <n v="2"/>
    <s v="Fri, Tue"/>
    <b v="0"/>
    <d v="1899-12-30T17:02:00"/>
    <d v="1899-12-30T18:36:00"/>
    <n v="94"/>
    <b v="1"/>
    <b v="1"/>
    <x v="1"/>
    <x v="0"/>
    <n v="30"/>
    <x v="0"/>
    <n v="30"/>
    <x v="3"/>
    <n v="0.15"/>
    <n v="25.5"/>
    <s v="Weekdays only"/>
    <s v="San Jose, CA"/>
    <n v="37.338200000000001"/>
    <n v="-121.88630000000001"/>
    <d v="2022-11-21T00:00:00"/>
    <n v="5"/>
    <x v="1"/>
    <x v="37"/>
  </r>
  <r>
    <n v="30"/>
    <x v="2"/>
    <n v="5"/>
    <s v="Fri, Mon, Sun, Thu, Wed"/>
    <b v="0"/>
    <d v="1899-12-30T17:29:00"/>
    <d v="1899-12-30T18:25:00"/>
    <n v="56"/>
    <b v="0"/>
    <b v="1"/>
    <x v="0"/>
    <x v="1"/>
    <n v="20"/>
    <x v="0"/>
    <n v="20"/>
    <x v="3"/>
    <n v="0.15"/>
    <n v="17"/>
    <s v="Off-peak only"/>
    <s v="Fresno, CA"/>
    <n v="36.7378"/>
    <n v="-119.7871"/>
    <d v="2024-02-29T00:00:00"/>
    <n v="4"/>
    <x v="1"/>
    <x v="29"/>
  </r>
  <r>
    <n v="49"/>
    <x v="1"/>
    <n v="2"/>
    <s v="Mon, Sun"/>
    <b v="0"/>
    <d v="1899-12-30T18:40:00"/>
    <d v="1899-12-30T20:46:00"/>
    <n v="126"/>
    <b v="0"/>
    <b v="1"/>
    <x v="1"/>
    <x v="4"/>
    <n v="30"/>
    <x v="1"/>
    <n v="22.5"/>
    <x v="0"/>
    <n v="0.05"/>
    <n v="21.375"/>
    <s v="Weekdays only"/>
    <s v="Anaheim, CA"/>
    <n v="33.836599999999997"/>
    <n v="-117.9143"/>
    <d v="2024-11-27T00:00:00"/>
    <n v="3"/>
    <x v="0"/>
    <x v="14"/>
  </r>
  <r>
    <n v="33"/>
    <x v="2"/>
    <n v="3"/>
    <s v="Fri, Sat, Tue"/>
    <b v="1"/>
    <d v="1899-12-30T10:24:00"/>
    <d v="1899-12-30T12:48:00"/>
    <n v="144"/>
    <b v="0"/>
    <b v="1"/>
    <x v="0"/>
    <x v="4"/>
    <n v="20"/>
    <x v="1"/>
    <n v="15"/>
    <x v="1"/>
    <n v="0"/>
    <n v="15"/>
    <s v="Off-peak only"/>
    <s v="Long Beach, CA"/>
    <n v="33.770099999999999"/>
    <n v="-118.19370000000001"/>
    <d v="2024-05-27T00:00:00"/>
    <n v="7"/>
    <x v="1"/>
    <x v="0"/>
  </r>
  <r>
    <n v="31"/>
    <x v="0"/>
    <n v="2"/>
    <s v="Sun, Thu"/>
    <b v="1"/>
    <d v="1899-12-30T20:28:00"/>
    <d v="1899-12-30T21:26:00"/>
    <n v="58"/>
    <b v="0"/>
    <b v="1"/>
    <x v="0"/>
    <x v="1"/>
    <n v="50"/>
    <x v="0"/>
    <n v="50"/>
    <x v="3"/>
    <n v="0.15"/>
    <n v="42.5"/>
    <s v="All hours"/>
    <s v="Sacramento, CA"/>
    <n v="38.581600000000002"/>
    <n v="-121.4944"/>
    <d v="2024-04-07T00:00:00"/>
    <n v="4"/>
    <x v="1"/>
    <x v="52"/>
  </r>
  <r>
    <n v="24"/>
    <x v="2"/>
    <n v="3"/>
    <s v="Sat, Thu, Wed"/>
    <b v="1"/>
    <d v="1899-12-30T12:00:00"/>
    <d v="1899-12-30T14:08:00"/>
    <n v="128"/>
    <b v="1"/>
    <b v="0"/>
    <x v="1"/>
    <x v="3"/>
    <n v="20"/>
    <x v="0"/>
    <n v="20"/>
    <x v="2"/>
    <n v="0.1"/>
    <n v="18"/>
    <s v="Off-peak only"/>
    <s v="San Francisco, CA"/>
    <n v="37.774900000000002"/>
    <n v="-122.4194"/>
    <d v="2023-01-23T00:00:00"/>
    <n v="0"/>
    <x v="1"/>
    <x v="11"/>
  </r>
  <r>
    <n v="49"/>
    <x v="1"/>
    <n v="2"/>
    <s v="Sat, Wed"/>
    <b v="0"/>
    <d v="1899-12-30T15:41:00"/>
    <d v="1899-12-30T17:45:00"/>
    <n v="124"/>
    <b v="1"/>
    <b v="0"/>
    <x v="0"/>
    <x v="0"/>
    <n v="30"/>
    <x v="0"/>
    <n v="30"/>
    <x v="2"/>
    <n v="0.1"/>
    <n v="27"/>
    <s v="Weekdays only"/>
    <s v="Los Angeles, CA"/>
    <n v="34.052199999999999"/>
    <n v="-118.2437"/>
    <d v="2023-05-03T00:00:00"/>
    <n v="0"/>
    <x v="1"/>
    <x v="58"/>
  </r>
  <r>
    <n v="34"/>
    <x v="2"/>
    <n v="3"/>
    <s v="Fri, Sun, Wed"/>
    <b v="0"/>
    <d v="1899-12-30T09:21:00"/>
    <d v="1899-12-30T11:11:00"/>
    <n v="110"/>
    <b v="1"/>
    <b v="0"/>
    <x v="0"/>
    <x v="2"/>
    <n v="20"/>
    <x v="0"/>
    <n v="20"/>
    <x v="2"/>
    <n v="0.1"/>
    <n v="18"/>
    <s v="Off-peak only"/>
    <s v="Sacramento, CA"/>
    <n v="38.581600000000002"/>
    <n v="-121.4944"/>
    <d v="2023-03-26T00:00:00"/>
    <n v="0"/>
    <x v="1"/>
    <x v="36"/>
  </r>
  <r>
    <n v="40"/>
    <x v="0"/>
    <n v="3"/>
    <s v="Mon, Sat, Tue"/>
    <b v="0"/>
    <d v="1899-12-30T08:41:00"/>
    <d v="1899-12-30T09:35:00"/>
    <n v="54"/>
    <b v="1"/>
    <b v="0"/>
    <x v="1"/>
    <x v="4"/>
    <n v="50"/>
    <x v="0"/>
    <n v="50"/>
    <x v="3"/>
    <n v="0.15"/>
    <n v="42.5"/>
    <s v="All hours"/>
    <s v="Long Beach, CA"/>
    <n v="33.770099999999999"/>
    <n v="-118.19370000000001"/>
    <d v="2025-06-11T00:00:00"/>
    <n v="0"/>
    <x v="0"/>
    <x v="44"/>
  </r>
  <r>
    <n v="49"/>
    <x v="0"/>
    <n v="3"/>
    <s v="Sat, Sun, Tue"/>
    <b v="1"/>
    <d v="1899-12-30T10:53:00"/>
    <d v="1899-12-30T13:29:00"/>
    <n v="156"/>
    <b v="0"/>
    <b v="1"/>
    <x v="0"/>
    <x v="4"/>
    <n v="50"/>
    <x v="0"/>
    <n v="50"/>
    <x v="1"/>
    <n v="0"/>
    <n v="50"/>
    <s v="All hours"/>
    <s v="Los Angeles, CA"/>
    <n v="34.052199999999999"/>
    <n v="-118.2437"/>
    <d v="2024-04-05T00:00:00"/>
    <n v="3"/>
    <x v="1"/>
    <x v="52"/>
  </r>
  <r>
    <n v="16"/>
    <x v="3"/>
    <n v="3"/>
    <s v="Sat, Tue, Wed"/>
    <b v="0"/>
    <d v="1899-12-30T18:39:00"/>
    <d v="1899-12-30T20:54:00"/>
    <n v="135"/>
    <b v="0"/>
    <b v="0"/>
    <x v="0"/>
    <x v="0"/>
    <n v="70"/>
    <x v="2"/>
    <n v="63"/>
    <x v="1"/>
    <n v="0"/>
    <n v="63"/>
    <s v="All hours + Priority access"/>
    <s v="Bakersfield, CA"/>
    <n v="35.3733"/>
    <n v="-119.0187"/>
    <d v="2024-01-27T00:00:00"/>
    <n v="0"/>
    <x v="0"/>
    <x v="48"/>
  </r>
  <r>
    <n v="47"/>
    <x v="2"/>
    <n v="2"/>
    <s v="Mon, Sat"/>
    <b v="1"/>
    <d v="1899-12-30T14:42:00"/>
    <d v="1899-12-30T16:08:00"/>
    <n v="86"/>
    <b v="0"/>
    <b v="1"/>
    <x v="1"/>
    <x v="2"/>
    <n v="20"/>
    <x v="2"/>
    <n v="18"/>
    <x v="1"/>
    <n v="0"/>
    <n v="18"/>
    <s v="Off-peak only"/>
    <s v="Bakersfield, CA"/>
    <n v="35.3733"/>
    <n v="-119.0187"/>
    <d v="2025-06-02T00:00:00"/>
    <n v="1"/>
    <x v="1"/>
    <x v="9"/>
  </r>
  <r>
    <n v="37"/>
    <x v="2"/>
    <n v="5"/>
    <s v="Fri, Mon, Sat, Sun, Thu"/>
    <b v="1"/>
    <d v="1899-12-30T18:48:00"/>
    <d v="1899-12-30T21:03:00"/>
    <n v="135"/>
    <b v="0"/>
    <b v="1"/>
    <x v="1"/>
    <x v="0"/>
    <n v="20"/>
    <x v="1"/>
    <n v="15"/>
    <x v="3"/>
    <n v="0.15"/>
    <n v="12.75"/>
    <s v="Off-peak only"/>
    <s v="San Francisco, CA"/>
    <n v="37.774900000000002"/>
    <n v="-122.4194"/>
    <d v="2024-09-19T00:00:00"/>
    <n v="4"/>
    <x v="1"/>
    <x v="33"/>
  </r>
  <r>
    <n v="34"/>
    <x v="1"/>
    <n v="1"/>
    <s v="Sun"/>
    <b v="1"/>
    <d v="1899-12-30T09:14:00"/>
    <d v="1899-12-30T11:52:00"/>
    <n v="158"/>
    <b v="0"/>
    <b v="1"/>
    <x v="0"/>
    <x v="0"/>
    <n v="30"/>
    <x v="1"/>
    <n v="22.5"/>
    <x v="1"/>
    <n v="0"/>
    <n v="22.5"/>
    <s v="Weekdays only"/>
    <s v="Anaheim, CA"/>
    <n v="33.836599999999997"/>
    <n v="-117.9143"/>
    <d v="2023-04-05T00:00:00"/>
    <n v="7"/>
    <x v="1"/>
    <x v="49"/>
  </r>
  <r>
    <n v="16"/>
    <x v="1"/>
    <n v="2"/>
    <s v="Fri, Thu"/>
    <b v="0"/>
    <d v="1899-12-30T11:43:00"/>
    <d v="1899-12-30T12:52:00"/>
    <n v="69"/>
    <b v="0"/>
    <b v="0"/>
    <x v="1"/>
    <x v="4"/>
    <n v="30"/>
    <x v="0"/>
    <n v="30"/>
    <x v="3"/>
    <n v="0.15"/>
    <n v="25.5"/>
    <s v="Weekdays only"/>
    <s v="Bakersfield, CA"/>
    <n v="35.3733"/>
    <n v="-119.0187"/>
    <d v="2025-01-27T00:00:00"/>
    <n v="0"/>
    <x v="1"/>
    <x v="19"/>
  </r>
  <r>
    <n v="27"/>
    <x v="0"/>
    <n v="2"/>
    <s v="Mon, Sun"/>
    <b v="1"/>
    <d v="1899-12-30T16:35:00"/>
    <d v="1899-12-30T18:56:00"/>
    <n v="141"/>
    <b v="1"/>
    <b v="1"/>
    <x v="0"/>
    <x v="0"/>
    <n v="50"/>
    <x v="1"/>
    <n v="37.5"/>
    <x v="3"/>
    <n v="0.15"/>
    <n v="31.875"/>
    <s v="All hours"/>
    <s v="San Francisco, CA"/>
    <n v="37.774900000000002"/>
    <n v="-122.4194"/>
    <d v="2023-11-30T00:00:00"/>
    <n v="8"/>
    <x v="0"/>
    <x v="35"/>
  </r>
  <r>
    <n v="24"/>
    <x v="1"/>
    <n v="3"/>
    <s v="Mon, Sat, Sun"/>
    <b v="1"/>
    <d v="1899-12-30T20:53:00"/>
    <d v="1899-12-30T21:33:00"/>
    <n v="40"/>
    <b v="0"/>
    <b v="0"/>
    <x v="1"/>
    <x v="4"/>
    <n v="30"/>
    <x v="0"/>
    <n v="30"/>
    <x v="1"/>
    <n v="0"/>
    <n v="30"/>
    <s v="Weekdays only"/>
    <s v="Sacramento, CA"/>
    <n v="38.581600000000002"/>
    <n v="-121.4944"/>
    <d v="2024-11-05T00:00:00"/>
    <n v="0"/>
    <x v="1"/>
    <x v="12"/>
  </r>
  <r>
    <n v="24"/>
    <x v="3"/>
    <n v="2"/>
    <s v="Mon, Thu"/>
    <b v="1"/>
    <d v="1899-12-30T20:25:00"/>
    <d v="1899-12-30T20:55:00"/>
    <n v="30"/>
    <b v="0"/>
    <b v="0"/>
    <x v="1"/>
    <x v="4"/>
    <n v="70"/>
    <x v="0"/>
    <n v="70"/>
    <x v="2"/>
    <n v="0.1"/>
    <n v="63"/>
    <s v="All hours + Priority access"/>
    <s v="San Francisco, CA"/>
    <n v="37.774900000000002"/>
    <n v="-122.4194"/>
    <d v="2025-06-10T00:00:00"/>
    <n v="0"/>
    <x v="1"/>
    <x v="44"/>
  </r>
  <r>
    <n v="49"/>
    <x v="1"/>
    <n v="1"/>
    <s v="Fri"/>
    <b v="1"/>
    <d v="1899-12-30T08:06:00"/>
    <d v="1899-12-30T10:41:00"/>
    <n v="155"/>
    <b v="0"/>
    <b v="1"/>
    <x v="0"/>
    <x v="4"/>
    <n v="30"/>
    <x v="0"/>
    <n v="30"/>
    <x v="1"/>
    <n v="0"/>
    <n v="30"/>
    <s v="Weekdays only"/>
    <s v="Anaheim, CA"/>
    <n v="33.836599999999997"/>
    <n v="-117.9143"/>
    <d v="2024-10-09T00:00:00"/>
    <n v="5"/>
    <x v="1"/>
    <x v="51"/>
  </r>
  <r>
    <n v="30"/>
    <x v="1"/>
    <n v="3"/>
    <s v="Fri, Thu, Wed"/>
    <b v="1"/>
    <d v="1899-12-30T19:16:00"/>
    <d v="1899-12-30T20:15:00"/>
    <n v="59"/>
    <b v="0"/>
    <b v="1"/>
    <x v="1"/>
    <x v="0"/>
    <n v="30"/>
    <x v="0"/>
    <n v="30"/>
    <x v="2"/>
    <n v="0.1"/>
    <n v="27"/>
    <s v="Weekdays only"/>
    <s v="Bakersfield, CA"/>
    <n v="35.3733"/>
    <n v="-119.0187"/>
    <d v="2022-08-18T00:00:00"/>
    <n v="3"/>
    <x v="1"/>
    <x v="10"/>
  </r>
  <r>
    <n v="15"/>
    <x v="2"/>
    <n v="1"/>
    <s v="Thu"/>
    <b v="1"/>
    <d v="1899-12-30T08:01:00"/>
    <d v="1899-12-30T10:30:00"/>
    <n v="149"/>
    <b v="1"/>
    <b v="1"/>
    <x v="1"/>
    <x v="0"/>
    <n v="20"/>
    <x v="0"/>
    <n v="20"/>
    <x v="2"/>
    <n v="0.1"/>
    <n v="18"/>
    <s v="Off-peak only"/>
    <s v="Sacramento, CA"/>
    <n v="38.581600000000002"/>
    <n v="-121.4944"/>
    <d v="2023-02-20T00:00:00"/>
    <n v="5"/>
    <x v="0"/>
    <x v="26"/>
  </r>
  <r>
    <n v="36"/>
    <x v="3"/>
    <n v="2"/>
    <s v="Fri, Tue"/>
    <b v="1"/>
    <d v="1899-12-30T18:19:00"/>
    <d v="1899-12-30T20:02:00"/>
    <n v="103"/>
    <b v="0"/>
    <b v="1"/>
    <x v="1"/>
    <x v="0"/>
    <n v="70"/>
    <x v="1"/>
    <n v="52.5"/>
    <x v="0"/>
    <n v="0.05"/>
    <n v="49.875"/>
    <s v="All hours + Priority access"/>
    <s v="Long Beach, CA"/>
    <n v="33.770099999999999"/>
    <n v="-118.19370000000001"/>
    <d v="2022-09-05T00:00:00"/>
    <n v="7"/>
    <x v="0"/>
    <x v="1"/>
  </r>
  <r>
    <n v="24"/>
    <x v="0"/>
    <n v="3"/>
    <s v="Fri, Sat, Wed"/>
    <b v="0"/>
    <d v="1899-12-30T19:13:00"/>
    <d v="1899-12-30T20:02:00"/>
    <n v="49"/>
    <b v="0"/>
    <b v="1"/>
    <x v="1"/>
    <x v="0"/>
    <n v="50"/>
    <x v="0"/>
    <n v="50"/>
    <x v="0"/>
    <n v="0.05"/>
    <n v="47.5"/>
    <s v="All hours"/>
    <s v="San Francisco, CA"/>
    <n v="37.774900000000002"/>
    <n v="-122.4194"/>
    <d v="2024-01-20T00:00:00"/>
    <n v="2"/>
    <x v="0"/>
    <x v="31"/>
  </r>
  <r>
    <n v="48"/>
    <x v="0"/>
    <n v="4"/>
    <s v="Fri, Thu, Tue, Wed"/>
    <b v="0"/>
    <d v="1899-12-30T09:34:00"/>
    <d v="1899-12-30T10:11:00"/>
    <n v="37"/>
    <b v="0"/>
    <b v="0"/>
    <x v="0"/>
    <x v="0"/>
    <n v="50"/>
    <x v="1"/>
    <n v="37.5"/>
    <x v="1"/>
    <n v="0"/>
    <n v="37.5"/>
    <s v="All hours"/>
    <s v="Bakersfield, CA"/>
    <n v="35.3733"/>
    <n v="-119.0187"/>
    <d v="2025-02-26T00:00:00"/>
    <n v="0"/>
    <x v="0"/>
    <x v="45"/>
  </r>
  <r>
    <n v="16"/>
    <x v="2"/>
    <n v="1"/>
    <s v="Mon"/>
    <b v="1"/>
    <d v="1899-12-30T20:02:00"/>
    <d v="1899-12-30T22:37:00"/>
    <n v="155"/>
    <b v="0"/>
    <b v="1"/>
    <x v="0"/>
    <x v="0"/>
    <n v="20"/>
    <x v="0"/>
    <n v="20"/>
    <x v="0"/>
    <n v="0.05"/>
    <n v="19"/>
    <s v="Off-peak only"/>
    <s v="Fresno, CA"/>
    <n v="36.7378"/>
    <n v="-119.7871"/>
    <d v="2023-11-17T00:00:00"/>
    <n v="3"/>
    <x v="1"/>
    <x v="35"/>
  </r>
  <r>
    <n v="14"/>
    <x v="2"/>
    <n v="3"/>
    <s v="Fri, Mon, Sun"/>
    <b v="0"/>
    <d v="1899-12-30T16:05:00"/>
    <d v="1899-12-30T19:05:00"/>
    <n v="180"/>
    <b v="1"/>
    <b v="1"/>
    <x v="0"/>
    <x v="4"/>
    <n v="20"/>
    <x v="0"/>
    <n v="20"/>
    <x v="2"/>
    <n v="0.1"/>
    <n v="18"/>
    <s v="Off-peak only"/>
    <s v="Fresno, CA"/>
    <n v="36.7378"/>
    <n v="-119.7871"/>
    <d v="2024-02-25T00:00:00"/>
    <n v="4"/>
    <x v="1"/>
    <x v="21"/>
  </r>
  <r>
    <n v="49"/>
    <x v="0"/>
    <n v="3"/>
    <s v="Fri, Sun, Thu"/>
    <b v="0"/>
    <d v="1899-12-30T17:16:00"/>
    <d v="1899-12-30T19:52:00"/>
    <n v="156"/>
    <b v="1"/>
    <b v="0"/>
    <x v="0"/>
    <x v="2"/>
    <n v="50"/>
    <x v="0"/>
    <n v="50"/>
    <x v="1"/>
    <n v="0"/>
    <n v="50"/>
    <s v="All hours"/>
    <s v="Bakersfield, CA"/>
    <n v="35.3733"/>
    <n v="-119.0187"/>
    <d v="2023-01-05T00:00:00"/>
    <n v="0"/>
    <x v="0"/>
    <x v="57"/>
  </r>
  <r>
    <n v="27"/>
    <x v="0"/>
    <n v="2"/>
    <s v="Mon, Sun"/>
    <b v="1"/>
    <d v="1899-12-30T16:35:00"/>
    <d v="1899-12-30T18:56:00"/>
    <n v="141"/>
    <b v="1"/>
    <b v="1"/>
    <x v="0"/>
    <x v="0"/>
    <n v="50"/>
    <x v="1"/>
    <n v="37.5"/>
    <x v="3"/>
    <n v="0.15"/>
    <n v="31.875"/>
    <s v="All hours"/>
    <s v="San Francisco, CA"/>
    <n v="37.774900000000002"/>
    <n v="-122.4194"/>
    <d v="2025-03-10T00:00:00"/>
    <n v="3"/>
    <x v="0"/>
    <x v="27"/>
  </r>
  <r>
    <n v="44"/>
    <x v="0"/>
    <n v="5"/>
    <s v="Fri, Sat, Sun, Thu, Tue"/>
    <b v="1"/>
    <d v="1899-12-30T15:27:00"/>
    <d v="1899-12-30T17:39:00"/>
    <n v="132"/>
    <b v="0"/>
    <b v="1"/>
    <x v="1"/>
    <x v="2"/>
    <n v="50"/>
    <x v="0"/>
    <n v="50"/>
    <x v="1"/>
    <n v="0"/>
    <n v="50"/>
    <s v="All hours"/>
    <s v="Los Angeles, CA"/>
    <n v="34.052199999999999"/>
    <n v="-118.2437"/>
    <d v="2024-01-20T00:00:00"/>
    <n v="5"/>
    <x v="0"/>
    <x v="31"/>
  </r>
  <r>
    <n v="37"/>
    <x v="2"/>
    <n v="1"/>
    <s v="Sat"/>
    <b v="1"/>
    <d v="1899-12-30T08:21:00"/>
    <d v="1899-12-30T08:55:00"/>
    <n v="34"/>
    <b v="1"/>
    <b v="0"/>
    <x v="0"/>
    <x v="4"/>
    <n v="20"/>
    <x v="1"/>
    <n v="15"/>
    <x v="1"/>
    <n v="0"/>
    <n v="15"/>
    <s v="Off-peak only"/>
    <s v="Fresno, CA"/>
    <n v="36.7378"/>
    <n v="-119.7871"/>
    <d v="2025-01-14T00:00:00"/>
    <n v="0"/>
    <x v="1"/>
    <x v="4"/>
  </r>
  <r>
    <n v="21"/>
    <x v="2"/>
    <n v="5"/>
    <s v="Fri, Mon, Sat, Tue, Wed"/>
    <b v="1"/>
    <d v="1899-12-30T11:36:00"/>
    <d v="1899-12-30T14:23:00"/>
    <n v="167"/>
    <b v="0"/>
    <b v="0"/>
    <x v="0"/>
    <x v="4"/>
    <n v="20"/>
    <x v="1"/>
    <n v="15"/>
    <x v="1"/>
    <n v="0"/>
    <n v="15"/>
    <s v="Off-peak only"/>
    <s v="Anaheim, CA"/>
    <n v="33.836599999999997"/>
    <n v="-117.9143"/>
    <d v="2024-07-12T00:00:00"/>
    <n v="0"/>
    <x v="0"/>
    <x v="39"/>
  </r>
  <r>
    <n v="28"/>
    <x v="0"/>
    <n v="4"/>
    <s v="Fri, Mon, Tue, Wed"/>
    <b v="1"/>
    <d v="1899-12-30T11:10:00"/>
    <d v="1899-12-30T13:56:00"/>
    <n v="166"/>
    <b v="0"/>
    <b v="1"/>
    <x v="1"/>
    <x v="0"/>
    <n v="50"/>
    <x v="1"/>
    <n v="37.5"/>
    <x v="3"/>
    <n v="0.15"/>
    <n v="31.875"/>
    <s v="All hours"/>
    <s v="Long Beach, CA"/>
    <n v="33.770099999999999"/>
    <n v="-118.19370000000001"/>
    <d v="2023-04-29T00:00:00"/>
    <n v="1"/>
    <x v="0"/>
    <x v="58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4-02-02T00:00:00"/>
    <n v="0"/>
    <x v="0"/>
    <x v="48"/>
  </r>
  <r>
    <n v="16"/>
    <x v="1"/>
    <n v="1"/>
    <s v="Tue"/>
    <b v="1"/>
    <d v="1899-12-30T08:38:00"/>
    <d v="1899-12-30T10:25:00"/>
    <n v="107"/>
    <b v="0"/>
    <b v="1"/>
    <x v="1"/>
    <x v="1"/>
    <n v="30"/>
    <x v="2"/>
    <n v="27"/>
    <x v="1"/>
    <n v="0"/>
    <n v="27"/>
    <s v="Weekdays only"/>
    <s v="San Diego, CA"/>
    <n v="32.715699999999998"/>
    <n v="-117.1611"/>
    <d v="2024-05-18T00:00:00"/>
    <n v="3"/>
    <x v="1"/>
    <x v="0"/>
  </r>
  <r>
    <n v="33"/>
    <x v="0"/>
    <n v="3"/>
    <s v="Fri, Mon, Wed"/>
    <b v="1"/>
    <d v="1899-12-30T13:11:00"/>
    <d v="1899-12-30T15:56:00"/>
    <n v="165"/>
    <b v="1"/>
    <b v="0"/>
    <x v="0"/>
    <x v="0"/>
    <n v="50"/>
    <x v="0"/>
    <n v="50"/>
    <x v="0"/>
    <n v="0.05"/>
    <n v="47.5"/>
    <s v="All hours"/>
    <s v="Sacramento, CA"/>
    <n v="38.581600000000002"/>
    <n v="-121.4944"/>
    <d v="2024-04-28T00:00:00"/>
    <n v="0"/>
    <x v="1"/>
    <x v="40"/>
  </r>
  <r>
    <n v="36"/>
    <x v="3"/>
    <n v="2"/>
    <s v="Fri, Tue"/>
    <b v="1"/>
    <d v="1899-12-30T18:19:00"/>
    <d v="1899-12-30T20:02:00"/>
    <n v="103"/>
    <b v="0"/>
    <b v="1"/>
    <x v="1"/>
    <x v="0"/>
    <n v="70"/>
    <x v="1"/>
    <n v="52.5"/>
    <x v="0"/>
    <n v="0.05"/>
    <n v="49.875"/>
    <s v="All hours + Priority access"/>
    <s v="Long Beach, CA"/>
    <n v="33.770099999999999"/>
    <n v="-118.19370000000001"/>
    <d v="2024-02-19T00:00:00"/>
    <n v="4"/>
    <x v="0"/>
    <x v="21"/>
  </r>
  <r>
    <n v="15"/>
    <x v="0"/>
    <n v="1"/>
    <s v="Fri"/>
    <b v="1"/>
    <d v="1899-12-30T19:06:00"/>
    <d v="1899-12-30T21:17:00"/>
    <n v="131"/>
    <b v="1"/>
    <b v="1"/>
    <x v="0"/>
    <x v="3"/>
    <n v="50"/>
    <x v="0"/>
    <n v="50"/>
    <x v="3"/>
    <n v="0.15"/>
    <n v="42.5"/>
    <s v="All hours"/>
    <s v="Los Angeles, CA"/>
    <n v="34.052199999999999"/>
    <n v="-118.2437"/>
    <d v="2023-03-09T00:00:00"/>
    <n v="2"/>
    <x v="0"/>
    <x v="22"/>
  </r>
  <r>
    <n v="35"/>
    <x v="1"/>
    <n v="3"/>
    <s v="Mon, Sat, Thu"/>
    <b v="1"/>
    <d v="1899-12-30T10:36:00"/>
    <d v="1899-12-30T11:46:00"/>
    <n v="70"/>
    <b v="1"/>
    <b v="1"/>
    <x v="1"/>
    <x v="4"/>
    <n v="30"/>
    <x v="1"/>
    <n v="22.5"/>
    <x v="1"/>
    <n v="0"/>
    <n v="22.5"/>
    <s v="Weekdays only"/>
    <s v="Bakersfield, CA"/>
    <n v="35.3733"/>
    <n v="-119.0187"/>
    <d v="2022-11-15T00:00:00"/>
    <n v="8"/>
    <x v="1"/>
    <x v="37"/>
  </r>
  <r>
    <n v="15"/>
    <x v="3"/>
    <n v="3"/>
    <s v="Fri, Sat, Sun"/>
    <b v="1"/>
    <d v="1899-12-30T18:06:00"/>
    <d v="1899-12-30T20:42:00"/>
    <n v="156"/>
    <b v="0"/>
    <b v="1"/>
    <x v="1"/>
    <x v="0"/>
    <n v="70"/>
    <x v="1"/>
    <n v="52.5"/>
    <x v="0"/>
    <n v="0.05"/>
    <n v="49.875"/>
    <s v="All hours + Priority access"/>
    <s v="Oakland, CA"/>
    <n v="37.804400000000001"/>
    <n v="-122.27119999999999"/>
    <d v="2022-09-09T00:00:00"/>
    <n v="6"/>
    <x v="0"/>
    <x v="1"/>
  </r>
  <r>
    <n v="15"/>
    <x v="1"/>
    <n v="3"/>
    <s v="Fri, Sun, Thu"/>
    <b v="0"/>
    <d v="1899-12-30T14:33:00"/>
    <d v="1899-12-30T16:48:00"/>
    <n v="135"/>
    <b v="0"/>
    <b v="0"/>
    <x v="1"/>
    <x v="0"/>
    <n v="30"/>
    <x v="0"/>
    <n v="30"/>
    <x v="2"/>
    <n v="0.1"/>
    <n v="27"/>
    <s v="Weekdays only"/>
    <s v="San Jose, CA"/>
    <n v="37.338200000000001"/>
    <n v="-121.88630000000001"/>
    <d v="2023-03-07T00:00:00"/>
    <n v="0"/>
    <x v="0"/>
    <x v="22"/>
  </r>
  <r>
    <n v="16"/>
    <x v="2"/>
    <n v="2"/>
    <s v="Fri, Wed"/>
    <b v="1"/>
    <d v="1899-12-30T12:40:00"/>
    <d v="1899-12-30T13:52:00"/>
    <n v="72"/>
    <b v="1"/>
    <b v="1"/>
    <x v="0"/>
    <x v="2"/>
    <n v="20"/>
    <x v="1"/>
    <n v="15"/>
    <x v="1"/>
    <n v="0"/>
    <n v="15"/>
    <s v="Off-peak only"/>
    <s v="San Diego, CA"/>
    <n v="32.715699999999998"/>
    <n v="-117.1611"/>
    <d v="2024-07-22T00:00:00"/>
    <n v="1"/>
    <x v="1"/>
    <x v="15"/>
  </r>
  <r>
    <n v="46"/>
    <x v="2"/>
    <n v="2"/>
    <s v="Thu, Tue"/>
    <b v="0"/>
    <d v="1899-12-30T08:22:00"/>
    <d v="1899-12-30T10:52:00"/>
    <n v="150"/>
    <b v="0"/>
    <b v="1"/>
    <x v="1"/>
    <x v="4"/>
    <n v="20"/>
    <x v="0"/>
    <n v="20"/>
    <x v="1"/>
    <n v="0"/>
    <n v="20"/>
    <s v="Off-peak only"/>
    <s v="Fresno, CA"/>
    <n v="36.7378"/>
    <n v="-119.7871"/>
    <d v="2023-06-21T00:00:00"/>
    <n v="8"/>
    <x v="1"/>
    <x v="28"/>
  </r>
  <r>
    <n v="46"/>
    <x v="0"/>
    <n v="5"/>
    <s v="Mon, Sat, Thu, Tue, Wed"/>
    <b v="0"/>
    <d v="1899-12-30T20:46:00"/>
    <d v="1899-12-30T22:09:00"/>
    <n v="83"/>
    <b v="1"/>
    <b v="1"/>
    <x v="1"/>
    <x v="4"/>
    <n v="50"/>
    <x v="1"/>
    <n v="37.5"/>
    <x v="3"/>
    <n v="0.15"/>
    <n v="31.875"/>
    <s v="All hours"/>
    <s v="Bakersfield, CA"/>
    <n v="35.3733"/>
    <n v="-119.0187"/>
    <d v="2024-03-13T00:00:00"/>
    <n v="2"/>
    <x v="0"/>
    <x v="29"/>
  </r>
  <r>
    <n v="40"/>
    <x v="0"/>
    <n v="3"/>
    <s v="Mon, Thu, Tue"/>
    <b v="0"/>
    <d v="1899-12-30T19:38:00"/>
    <d v="1899-12-30T21:10:00"/>
    <n v="92"/>
    <b v="1"/>
    <b v="1"/>
    <x v="1"/>
    <x v="0"/>
    <n v="50"/>
    <x v="0"/>
    <n v="50"/>
    <x v="1"/>
    <n v="0"/>
    <n v="50"/>
    <s v="All hours"/>
    <s v="Long Beach, CA"/>
    <n v="33.770099999999999"/>
    <n v="-118.19370000000001"/>
    <d v="2024-09-24T00:00:00"/>
    <n v="3"/>
    <x v="0"/>
    <x v="33"/>
  </r>
  <r>
    <n v="27"/>
    <x v="1"/>
    <n v="1"/>
    <s v="Mon"/>
    <b v="1"/>
    <d v="1899-12-30T18:22:00"/>
    <d v="1899-12-30T21:20:00"/>
    <n v="178"/>
    <b v="1"/>
    <b v="0"/>
    <x v="1"/>
    <x v="0"/>
    <n v="30"/>
    <x v="1"/>
    <n v="22.5"/>
    <x v="0"/>
    <n v="0.05"/>
    <n v="21.375"/>
    <s v="Weekdays only"/>
    <s v="Los Angeles, CA"/>
    <n v="34.052199999999999"/>
    <n v="-118.2437"/>
    <d v="2023-01-09T00:00:00"/>
    <n v="0"/>
    <x v="0"/>
    <x v="57"/>
  </r>
  <r>
    <n v="27"/>
    <x v="0"/>
    <n v="5"/>
    <s v="Fri, Mon, Sat, Tue, Wed"/>
    <b v="1"/>
    <d v="1899-12-30T14:42:00"/>
    <d v="1899-12-30T15:53:00"/>
    <n v="71"/>
    <b v="0"/>
    <b v="0"/>
    <x v="0"/>
    <x v="4"/>
    <n v="50"/>
    <x v="0"/>
    <n v="50"/>
    <x v="2"/>
    <n v="0.1"/>
    <n v="45"/>
    <s v="All hours"/>
    <s v="Los Angeles, CA"/>
    <n v="34.052199999999999"/>
    <n v="-118.2437"/>
    <d v="2025-05-13T00:00:00"/>
    <n v="0"/>
    <x v="0"/>
    <x v="24"/>
  </r>
  <r>
    <n v="38"/>
    <x v="0"/>
    <n v="5"/>
    <s v="Fri, Sat, Sun, Thu, Tue"/>
    <b v="0"/>
    <d v="1899-12-30T17:59:00"/>
    <d v="1899-12-30T20:54:00"/>
    <n v="175"/>
    <b v="1"/>
    <b v="0"/>
    <x v="1"/>
    <x v="4"/>
    <n v="50"/>
    <x v="0"/>
    <n v="50"/>
    <x v="1"/>
    <n v="0"/>
    <n v="50"/>
    <s v="All hours"/>
    <s v="Sacramento, CA"/>
    <n v="38.581600000000002"/>
    <n v="-121.4944"/>
    <d v="2022-11-05T00:00:00"/>
    <n v="0"/>
    <x v="0"/>
    <x v="32"/>
  </r>
  <r>
    <n v="34"/>
    <x v="3"/>
    <n v="5"/>
    <s v="Fri, Mon, Sun, Thu, Tue"/>
    <b v="0"/>
    <d v="1899-12-30T08:33:00"/>
    <d v="1899-12-30T10:29:00"/>
    <n v="116"/>
    <b v="0"/>
    <b v="0"/>
    <x v="0"/>
    <x v="0"/>
    <n v="70"/>
    <x v="1"/>
    <n v="52.5"/>
    <x v="2"/>
    <n v="0.1"/>
    <n v="47.25"/>
    <s v="All hours + Priority access"/>
    <s v="Bakersfield, CA"/>
    <n v="35.3733"/>
    <n v="-119.0187"/>
    <d v="2024-02-17T00:00:00"/>
    <n v="0"/>
    <x v="0"/>
    <x v="21"/>
  </r>
  <r>
    <n v="26"/>
    <x v="2"/>
    <n v="1"/>
    <s v="Mon"/>
    <b v="1"/>
    <d v="1899-12-30T11:42:00"/>
    <d v="1899-12-30T13:39:00"/>
    <n v="117"/>
    <b v="0"/>
    <b v="1"/>
    <x v="0"/>
    <x v="1"/>
    <n v="20"/>
    <x v="1"/>
    <n v="15"/>
    <x v="1"/>
    <n v="0"/>
    <n v="15"/>
    <s v="Off-peak only"/>
    <s v="Fresno, CA"/>
    <n v="36.7378"/>
    <n v="-119.7871"/>
    <d v="2023-08-14T00:00:00"/>
    <n v="5"/>
    <x v="0"/>
    <x v="47"/>
  </r>
  <r>
    <n v="49"/>
    <x v="2"/>
    <n v="1"/>
    <s v="Tue"/>
    <b v="1"/>
    <d v="1899-12-30T18:02:00"/>
    <d v="1899-12-30T18:44:00"/>
    <n v="42"/>
    <b v="1"/>
    <b v="0"/>
    <x v="0"/>
    <x v="1"/>
    <n v="20"/>
    <x v="0"/>
    <n v="20"/>
    <x v="3"/>
    <n v="0.15"/>
    <n v="17"/>
    <s v="Off-peak only"/>
    <s v="Anaheim, CA"/>
    <n v="33.836599999999997"/>
    <n v="-117.9143"/>
    <d v="2023-07-21T00:00:00"/>
    <n v="0"/>
    <x v="1"/>
    <x v="34"/>
  </r>
  <r>
    <n v="32"/>
    <x v="0"/>
    <n v="5"/>
    <s v="Fri, Sat, Sun, Tue, Wed"/>
    <b v="1"/>
    <d v="1899-12-30T19:41:00"/>
    <d v="1899-12-30T21:35:00"/>
    <n v="114"/>
    <b v="1"/>
    <b v="1"/>
    <x v="0"/>
    <x v="4"/>
    <n v="50"/>
    <x v="2"/>
    <n v="45"/>
    <x v="3"/>
    <n v="0.15"/>
    <n v="38.25"/>
    <s v="All hours"/>
    <s v="San Diego, CA"/>
    <n v="32.715699999999998"/>
    <n v="-117.1611"/>
    <d v="2022-11-12T00:00:00"/>
    <n v="7"/>
    <x v="0"/>
    <x v="37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3-08-14T00:00:00"/>
    <n v="5"/>
    <x v="1"/>
    <x v="47"/>
  </r>
  <r>
    <n v="22"/>
    <x v="1"/>
    <n v="5"/>
    <s v="Fri, Mon, Sat, Sun, Wed"/>
    <b v="1"/>
    <d v="1899-12-30T15:44:00"/>
    <d v="1899-12-30T17:05:00"/>
    <n v="81"/>
    <b v="0"/>
    <b v="1"/>
    <x v="0"/>
    <x v="4"/>
    <n v="30"/>
    <x v="2"/>
    <n v="27"/>
    <x v="1"/>
    <n v="0"/>
    <n v="27"/>
    <s v="Weekdays only"/>
    <s v="Fresno, CA"/>
    <n v="36.7378"/>
    <n v="-119.7871"/>
    <d v="2023-09-08T00:00:00"/>
    <n v="8"/>
    <x v="1"/>
    <x v="7"/>
  </r>
  <r>
    <n v="44"/>
    <x v="1"/>
    <n v="2"/>
    <s v="Sun, Wed"/>
    <b v="1"/>
    <d v="1899-12-30T14:41:00"/>
    <d v="1899-12-30T16:35:00"/>
    <n v="114"/>
    <b v="0"/>
    <b v="0"/>
    <x v="0"/>
    <x v="3"/>
    <n v="30"/>
    <x v="1"/>
    <n v="22.5"/>
    <x v="0"/>
    <n v="0.05"/>
    <n v="21.375"/>
    <s v="Weekdays only"/>
    <s v="San Jose, CA"/>
    <n v="37.338200000000001"/>
    <n v="-121.88630000000001"/>
    <d v="2025-04-13T00:00:00"/>
    <n v="0"/>
    <x v="0"/>
    <x v="5"/>
  </r>
  <r>
    <n v="30"/>
    <x v="0"/>
    <n v="3"/>
    <s v="Sat, Sun, Wed"/>
    <b v="1"/>
    <d v="1899-12-30T18:36:00"/>
    <d v="1899-12-30T20:33:00"/>
    <n v="117"/>
    <b v="1"/>
    <b v="1"/>
    <x v="0"/>
    <x v="4"/>
    <n v="50"/>
    <x v="0"/>
    <n v="50"/>
    <x v="3"/>
    <n v="0.15"/>
    <n v="42.5"/>
    <s v="All hours"/>
    <s v="San Diego, CA"/>
    <n v="32.715699999999998"/>
    <n v="-117.1611"/>
    <d v="2023-12-18T00:00:00"/>
    <n v="4"/>
    <x v="0"/>
    <x v="16"/>
  </r>
  <r>
    <n v="41"/>
    <x v="1"/>
    <n v="2"/>
    <s v="Fri, Thu"/>
    <b v="1"/>
    <d v="1899-12-30T10:29:00"/>
    <d v="1899-12-30T12:37:00"/>
    <n v="128"/>
    <b v="1"/>
    <b v="1"/>
    <x v="1"/>
    <x v="1"/>
    <n v="30"/>
    <x v="0"/>
    <n v="30"/>
    <x v="3"/>
    <n v="0.15"/>
    <n v="25.5"/>
    <s v="Weekdays only"/>
    <s v="Fresno, CA"/>
    <n v="36.7378"/>
    <n v="-119.7871"/>
    <d v="2025-01-14T00:00:00"/>
    <n v="5"/>
    <x v="1"/>
    <x v="4"/>
  </r>
  <r>
    <n v="31"/>
    <x v="1"/>
    <n v="2"/>
    <s v="Sun, Tue"/>
    <b v="1"/>
    <d v="1899-12-30T16:01:00"/>
    <d v="1899-12-30T18:11:00"/>
    <n v="130"/>
    <b v="1"/>
    <b v="0"/>
    <x v="1"/>
    <x v="0"/>
    <n v="30"/>
    <x v="1"/>
    <n v="22.5"/>
    <x v="2"/>
    <n v="0.1"/>
    <n v="20.25"/>
    <s v="Weekdays only"/>
    <s v="Bakersfield, CA"/>
    <n v="35.3733"/>
    <n v="-119.0187"/>
    <d v="2023-04-29T00:00:00"/>
    <n v="0"/>
    <x v="1"/>
    <x v="58"/>
  </r>
  <r>
    <n v="23"/>
    <x v="1"/>
    <n v="4"/>
    <s v="Fri, Sun, Thu, Wed"/>
    <b v="0"/>
    <d v="1899-12-30T10:17:00"/>
    <d v="1899-12-30T12:21:00"/>
    <n v="124"/>
    <b v="1"/>
    <b v="0"/>
    <x v="1"/>
    <x v="4"/>
    <n v="30"/>
    <x v="0"/>
    <n v="30"/>
    <x v="1"/>
    <n v="0"/>
    <n v="30"/>
    <s v="Weekdays only"/>
    <s v="Anaheim, CA"/>
    <n v="33.836599999999997"/>
    <n v="-117.9143"/>
    <d v="2023-12-25T00:00:00"/>
    <n v="0"/>
    <x v="1"/>
    <x v="23"/>
  </r>
  <r>
    <n v="22"/>
    <x v="1"/>
    <n v="1"/>
    <s v="Sun"/>
    <b v="1"/>
    <d v="1899-12-30T08:18:00"/>
    <d v="1899-12-30T11:08:00"/>
    <n v="170"/>
    <b v="0"/>
    <b v="0"/>
    <x v="0"/>
    <x v="0"/>
    <n v="30"/>
    <x v="0"/>
    <n v="30"/>
    <x v="1"/>
    <n v="0"/>
    <n v="30"/>
    <s v="Weekdays only"/>
    <s v="Oakland, CA"/>
    <n v="37.804400000000001"/>
    <n v="-122.27119999999999"/>
    <d v="2023-06-29T00:00:00"/>
    <n v="0"/>
    <x v="0"/>
    <x v="56"/>
  </r>
  <r>
    <n v="15"/>
    <x v="3"/>
    <n v="3"/>
    <s v="Mon, Sat, Sun"/>
    <b v="0"/>
    <d v="1899-12-30T17:29:00"/>
    <d v="1899-12-30T18:03:00"/>
    <n v="34"/>
    <b v="0"/>
    <b v="0"/>
    <x v="1"/>
    <x v="0"/>
    <n v="70"/>
    <x v="1"/>
    <n v="52.5"/>
    <x v="1"/>
    <n v="0"/>
    <n v="52.5"/>
    <s v="All hours + Priority access"/>
    <s v="Bakersfield, CA"/>
    <n v="35.3733"/>
    <n v="-119.0187"/>
    <d v="2025-05-09T00:00:00"/>
    <n v="0"/>
    <x v="1"/>
    <x v="24"/>
  </r>
  <r>
    <n v="48"/>
    <x v="0"/>
    <n v="3"/>
    <s v="Mon, Sun, Tue"/>
    <b v="0"/>
    <d v="1899-12-30T14:29:00"/>
    <d v="1899-12-30T15:10:00"/>
    <n v="41"/>
    <b v="0"/>
    <b v="1"/>
    <x v="0"/>
    <x v="1"/>
    <n v="50"/>
    <x v="1"/>
    <n v="37.5"/>
    <x v="3"/>
    <n v="0.15"/>
    <n v="31.875"/>
    <s v="All hours"/>
    <s v="San Francisco, CA"/>
    <n v="37.774900000000002"/>
    <n v="-122.4194"/>
    <d v="2025-03-24T00:00:00"/>
    <n v="1"/>
    <x v="0"/>
    <x v="27"/>
  </r>
  <r>
    <n v="47"/>
    <x v="0"/>
    <n v="1"/>
    <s v="Fri"/>
    <b v="0"/>
    <d v="1899-12-30T14:41:00"/>
    <d v="1899-12-30T15:21:00"/>
    <n v="40"/>
    <b v="1"/>
    <b v="1"/>
    <x v="0"/>
    <x v="3"/>
    <n v="50"/>
    <x v="0"/>
    <n v="50"/>
    <x v="2"/>
    <n v="0.1"/>
    <n v="45"/>
    <s v="All hours"/>
    <s v="Sacramento, CA"/>
    <n v="38.581600000000002"/>
    <n v="-121.4944"/>
    <d v="2023-05-22T00:00:00"/>
    <n v="5"/>
    <x v="1"/>
    <x v="8"/>
  </r>
  <r>
    <n v="33"/>
    <x v="0"/>
    <n v="1"/>
    <s v="Fri"/>
    <b v="1"/>
    <d v="1899-12-30T16:06:00"/>
    <d v="1899-12-30T17:02:00"/>
    <n v="56"/>
    <b v="0"/>
    <b v="0"/>
    <x v="0"/>
    <x v="4"/>
    <n v="50"/>
    <x v="0"/>
    <n v="50"/>
    <x v="2"/>
    <n v="0.1"/>
    <n v="45"/>
    <s v="All hours"/>
    <s v="Fresno, CA"/>
    <n v="36.7378"/>
    <n v="-119.7871"/>
    <d v="2025-04-07T00:00:00"/>
    <n v="0"/>
    <x v="1"/>
    <x v="42"/>
  </r>
  <r>
    <n v="17"/>
    <x v="3"/>
    <n v="5"/>
    <s v="Mon, Sat, Sun, Tue, Wed"/>
    <b v="1"/>
    <d v="1899-12-30T10:00:00"/>
    <d v="1899-12-30T11:55:00"/>
    <n v="115"/>
    <b v="1"/>
    <b v="0"/>
    <x v="0"/>
    <x v="4"/>
    <n v="70"/>
    <x v="1"/>
    <n v="52.5"/>
    <x v="1"/>
    <n v="0"/>
    <n v="52.5"/>
    <s v="All hours + Priority access"/>
    <s v="San Diego, CA"/>
    <n v="32.715699999999998"/>
    <n v="-117.1611"/>
    <d v="2025-04-08T00:00:00"/>
    <n v="0"/>
    <x v="0"/>
    <x v="42"/>
  </r>
  <r>
    <n v="17"/>
    <x v="2"/>
    <n v="2"/>
    <s v="Fri, Thu"/>
    <b v="1"/>
    <d v="1899-12-30T16:58:00"/>
    <d v="1899-12-30T19:40:00"/>
    <n v="162"/>
    <b v="1"/>
    <b v="0"/>
    <x v="1"/>
    <x v="2"/>
    <n v="20"/>
    <x v="0"/>
    <n v="20"/>
    <x v="1"/>
    <n v="0"/>
    <n v="20"/>
    <s v="Off-peak only"/>
    <s v="Long Beach, CA"/>
    <n v="33.770099999999999"/>
    <n v="-118.19370000000001"/>
    <d v="2025-06-10T00:00:00"/>
    <n v="0"/>
    <x v="1"/>
    <x v="44"/>
  </r>
  <r>
    <n v="44"/>
    <x v="0"/>
    <n v="3"/>
    <s v="Sun, Tue, Wed"/>
    <b v="0"/>
    <d v="1899-12-30T19:40:00"/>
    <d v="1899-12-30T22:29:00"/>
    <n v="169"/>
    <b v="0"/>
    <b v="1"/>
    <x v="0"/>
    <x v="0"/>
    <n v="50"/>
    <x v="0"/>
    <n v="50"/>
    <x v="3"/>
    <n v="0.15"/>
    <n v="42.5"/>
    <s v="All hours"/>
    <s v="Anaheim, CA"/>
    <n v="33.836599999999997"/>
    <n v="-117.9143"/>
    <d v="2022-09-08T00:00:00"/>
    <n v="4"/>
    <x v="0"/>
    <x v="1"/>
  </r>
  <r>
    <n v="27"/>
    <x v="1"/>
    <n v="2"/>
    <s v="Fri, Sun"/>
    <b v="0"/>
    <d v="1899-12-30T17:22:00"/>
    <d v="1899-12-30T18:50:00"/>
    <n v="88"/>
    <b v="1"/>
    <b v="1"/>
    <x v="0"/>
    <x v="1"/>
    <n v="30"/>
    <x v="1"/>
    <n v="22.5"/>
    <x v="1"/>
    <n v="0"/>
    <n v="22.5"/>
    <s v="Weekdays only"/>
    <s v="Fresno, CA"/>
    <n v="36.7378"/>
    <n v="-119.7871"/>
    <d v="2023-04-29T00:00:00"/>
    <n v="6"/>
    <x v="1"/>
    <x v="58"/>
  </r>
  <r>
    <n v="49"/>
    <x v="1"/>
    <n v="1"/>
    <s v="Sat"/>
    <b v="0"/>
    <d v="1899-12-30T11:21:00"/>
    <d v="1899-12-30T12:46:00"/>
    <n v="85"/>
    <b v="0"/>
    <b v="0"/>
    <x v="1"/>
    <x v="0"/>
    <n v="30"/>
    <x v="1"/>
    <n v="22.5"/>
    <x v="1"/>
    <n v="0"/>
    <n v="22.5"/>
    <s v="Weekdays only"/>
    <s v="Long Beach, CA"/>
    <n v="33.770099999999999"/>
    <n v="-118.19370000000001"/>
    <d v="2024-06-11T00:00:00"/>
    <n v="0"/>
    <x v="1"/>
    <x v="20"/>
  </r>
  <r>
    <n v="38"/>
    <x v="3"/>
    <n v="3"/>
    <s v="Fri, Tue, Wed"/>
    <b v="1"/>
    <d v="1899-12-30T12:46:00"/>
    <d v="1899-12-30T13:49:00"/>
    <n v="63"/>
    <b v="1"/>
    <b v="1"/>
    <x v="1"/>
    <x v="4"/>
    <n v="70"/>
    <x v="2"/>
    <n v="63"/>
    <x v="1"/>
    <n v="0"/>
    <n v="63"/>
    <s v="All hours + Priority access"/>
    <s v="Sacramento, CA"/>
    <n v="38.581600000000002"/>
    <n v="-121.4944"/>
    <d v="2024-08-11T00:00:00"/>
    <n v="3"/>
    <x v="0"/>
    <x v="18"/>
  </r>
  <r>
    <n v="26"/>
    <x v="1"/>
    <n v="4"/>
    <s v="Mon, Sat, Thu, Wed"/>
    <b v="1"/>
    <d v="1899-12-30T13:03:00"/>
    <d v="1899-12-30T15:39:00"/>
    <n v="156"/>
    <b v="0"/>
    <b v="1"/>
    <x v="1"/>
    <x v="2"/>
    <n v="30"/>
    <x v="1"/>
    <n v="22.5"/>
    <x v="0"/>
    <n v="0.05"/>
    <n v="21.375"/>
    <s v="Weekdays only"/>
    <s v="Sacramento, CA"/>
    <n v="38.581600000000002"/>
    <n v="-121.4944"/>
    <d v="2024-06-15T00:00:00"/>
    <n v="7"/>
    <x v="1"/>
    <x v="55"/>
  </r>
  <r>
    <n v="19"/>
    <x v="2"/>
    <n v="4"/>
    <s v="Sat, Sun, Tue, Wed"/>
    <b v="1"/>
    <d v="1899-12-30T15:49:00"/>
    <d v="1899-12-30T17:10:00"/>
    <n v="81"/>
    <b v="1"/>
    <b v="0"/>
    <x v="0"/>
    <x v="0"/>
    <n v="20"/>
    <x v="0"/>
    <n v="20"/>
    <x v="2"/>
    <n v="0.1"/>
    <n v="18"/>
    <s v="Off-peak only"/>
    <s v="San Jose, CA"/>
    <n v="37.338200000000001"/>
    <n v="-121.88630000000001"/>
    <d v="2023-03-20T00:00:00"/>
    <n v="0"/>
    <x v="1"/>
    <x v="36"/>
  </r>
  <r>
    <n v="45"/>
    <x v="0"/>
    <n v="3"/>
    <s v="Fri, Sat, Tue"/>
    <b v="1"/>
    <d v="1899-12-30T19:59:00"/>
    <d v="1899-12-30T20:57:00"/>
    <n v="58"/>
    <b v="1"/>
    <b v="0"/>
    <x v="1"/>
    <x v="2"/>
    <n v="50"/>
    <x v="2"/>
    <n v="45"/>
    <x v="2"/>
    <n v="0.1"/>
    <n v="40.5"/>
    <s v="All hours"/>
    <s v="San Diego, CA"/>
    <n v="32.715699999999998"/>
    <n v="-117.1611"/>
    <d v="2023-07-19T00:00:00"/>
    <n v="0"/>
    <x v="0"/>
    <x v="34"/>
  </r>
  <r>
    <n v="22"/>
    <x v="2"/>
    <n v="5"/>
    <s v="Fri, Sat, Sun, Tue, Wed"/>
    <b v="1"/>
    <d v="1899-12-30T10:31:00"/>
    <d v="1899-12-30T11:48:00"/>
    <n v="77"/>
    <b v="1"/>
    <b v="1"/>
    <x v="0"/>
    <x v="0"/>
    <n v="20"/>
    <x v="1"/>
    <n v="15"/>
    <x v="0"/>
    <n v="0.05"/>
    <n v="14.25"/>
    <s v="Off-peak only"/>
    <s v="Anaheim, CA"/>
    <n v="33.836599999999997"/>
    <n v="-117.9143"/>
    <d v="2024-12-07T00:00:00"/>
    <n v="8"/>
    <x v="1"/>
    <x v="14"/>
  </r>
  <r>
    <n v="26"/>
    <x v="2"/>
    <n v="2"/>
    <s v="Sun, Tue"/>
    <b v="1"/>
    <d v="1899-12-30T15:52:00"/>
    <d v="1899-12-30T18:05:00"/>
    <n v="133"/>
    <b v="0"/>
    <b v="0"/>
    <x v="0"/>
    <x v="4"/>
    <n v="20"/>
    <x v="0"/>
    <n v="20"/>
    <x v="1"/>
    <n v="0"/>
    <n v="20"/>
    <s v="Off-peak only"/>
    <s v="Bakersfield, CA"/>
    <n v="35.3733"/>
    <n v="-119.0187"/>
    <d v="2024-12-19T00:00:00"/>
    <n v="0"/>
    <x v="1"/>
    <x v="13"/>
  </r>
  <r>
    <n v="16"/>
    <x v="3"/>
    <n v="3"/>
    <s v="Sat, Sun, Wed"/>
    <b v="1"/>
    <d v="1899-12-30T14:06:00"/>
    <d v="1899-12-30T16:15:00"/>
    <n v="129"/>
    <b v="1"/>
    <b v="0"/>
    <x v="0"/>
    <x v="2"/>
    <n v="70"/>
    <x v="2"/>
    <n v="63"/>
    <x v="3"/>
    <n v="0.15"/>
    <n v="53.55"/>
    <s v="All hours + Priority access"/>
    <s v="Anaheim, CA"/>
    <n v="33.836599999999997"/>
    <n v="-117.9143"/>
    <d v="2025-03-10T00:00:00"/>
    <n v="0"/>
    <x v="0"/>
    <x v="27"/>
  </r>
  <r>
    <n v="43"/>
    <x v="0"/>
    <n v="3"/>
    <s v="Fri, Sat, Thu"/>
    <b v="1"/>
    <d v="1899-12-30T13:40:00"/>
    <d v="1899-12-30T16:26:00"/>
    <n v="166"/>
    <b v="1"/>
    <b v="1"/>
    <x v="1"/>
    <x v="3"/>
    <n v="50"/>
    <x v="2"/>
    <n v="45"/>
    <x v="2"/>
    <n v="0.1"/>
    <n v="40.5"/>
    <s v="All hours"/>
    <s v="Los Angeles, CA"/>
    <n v="34.052199999999999"/>
    <n v="-118.2437"/>
    <d v="2023-07-20T00:00:00"/>
    <n v="3"/>
    <x v="1"/>
    <x v="34"/>
  </r>
  <r>
    <n v="26"/>
    <x v="0"/>
    <n v="3"/>
    <s v="Fri, Thu, Wed"/>
    <b v="1"/>
    <d v="1899-12-30T18:41:00"/>
    <d v="1899-12-30T21:00:00"/>
    <n v="139"/>
    <b v="1"/>
    <b v="1"/>
    <x v="1"/>
    <x v="4"/>
    <n v="50"/>
    <x v="2"/>
    <n v="45"/>
    <x v="1"/>
    <n v="0"/>
    <n v="45"/>
    <s v="All hours"/>
    <s v="Anaheim, CA"/>
    <n v="33.836599999999997"/>
    <n v="-117.9143"/>
    <d v="2023-03-31T00:00:00"/>
    <n v="5"/>
    <x v="0"/>
    <x v="49"/>
  </r>
  <r>
    <n v="21"/>
    <x v="2"/>
    <n v="1"/>
    <s v="Mon"/>
    <b v="0"/>
    <d v="1899-12-30T08:29:00"/>
    <d v="1899-12-30T09:53:00"/>
    <n v="84"/>
    <b v="1"/>
    <b v="0"/>
    <x v="0"/>
    <x v="0"/>
    <n v="20"/>
    <x v="1"/>
    <n v="15"/>
    <x v="0"/>
    <n v="0.05"/>
    <n v="14.25"/>
    <s v="Off-peak only"/>
    <s v="Oakland, CA"/>
    <n v="37.804400000000001"/>
    <n v="-122.27119999999999"/>
    <d v="2024-09-13T00:00:00"/>
    <n v="0"/>
    <x v="1"/>
    <x v="33"/>
  </r>
  <r>
    <n v="15"/>
    <x v="1"/>
    <n v="2"/>
    <s v="Fri, Mon"/>
    <b v="0"/>
    <d v="1899-12-30T13:37:00"/>
    <d v="1899-12-30T14:50:00"/>
    <n v="73"/>
    <b v="1"/>
    <b v="1"/>
    <x v="1"/>
    <x v="4"/>
    <n v="30"/>
    <x v="1"/>
    <n v="22.5"/>
    <x v="0"/>
    <n v="0.05"/>
    <n v="21.375"/>
    <s v="Weekdays only"/>
    <s v="San Diego, CA"/>
    <n v="32.715699999999998"/>
    <n v="-117.1611"/>
    <d v="2025-05-31T00:00:00"/>
    <n v="2"/>
    <x v="0"/>
    <x v="9"/>
  </r>
  <r>
    <n v="39"/>
    <x v="1"/>
    <n v="3"/>
    <s v="Mon, Tue, Wed"/>
    <b v="0"/>
    <d v="1899-12-30T16:51:00"/>
    <d v="1899-12-30T18:36:00"/>
    <n v="105"/>
    <b v="0"/>
    <b v="0"/>
    <x v="1"/>
    <x v="4"/>
    <n v="30"/>
    <x v="1"/>
    <n v="22.5"/>
    <x v="1"/>
    <n v="0"/>
    <n v="22.5"/>
    <s v="Weekdays only"/>
    <s v="Anaheim, CA"/>
    <n v="33.836599999999997"/>
    <n v="-117.9143"/>
    <d v="2025-03-27T00:00:00"/>
    <n v="0"/>
    <x v="0"/>
    <x v="42"/>
  </r>
  <r>
    <n v="18"/>
    <x v="0"/>
    <n v="3"/>
    <s v="Sun, Thu, Tue"/>
    <b v="1"/>
    <d v="1899-12-30T09:15:00"/>
    <d v="1899-12-30T10:04:00"/>
    <n v="49"/>
    <b v="1"/>
    <b v="0"/>
    <x v="0"/>
    <x v="0"/>
    <n v="50"/>
    <x v="2"/>
    <n v="45"/>
    <x v="2"/>
    <n v="0.1"/>
    <n v="40.5"/>
    <s v="All hours"/>
    <s v="Sacramento, CA"/>
    <n v="38.581600000000002"/>
    <n v="-121.4944"/>
    <d v="2022-08-27T00:00:00"/>
    <n v="0"/>
    <x v="0"/>
    <x v="10"/>
  </r>
  <r>
    <n v="43"/>
    <x v="0"/>
    <n v="1"/>
    <s v="Mon"/>
    <b v="0"/>
    <d v="1899-12-30T15:04:00"/>
    <d v="1899-12-30T17:05:00"/>
    <n v="121"/>
    <b v="0"/>
    <b v="1"/>
    <x v="0"/>
    <x v="2"/>
    <n v="50"/>
    <x v="1"/>
    <n v="37.5"/>
    <x v="3"/>
    <n v="0.15"/>
    <n v="31.875"/>
    <s v="All hours"/>
    <s v="Oakland, CA"/>
    <n v="37.804400000000001"/>
    <n v="-122.27119999999999"/>
    <d v="2024-08-12T00:00:00"/>
    <n v="3"/>
    <x v="0"/>
    <x v="18"/>
  </r>
  <r>
    <n v="44"/>
    <x v="1"/>
    <n v="2"/>
    <s v="Tue, Wed"/>
    <b v="0"/>
    <d v="1899-12-30T11:53:00"/>
    <d v="1899-12-30T12:48:00"/>
    <n v="55"/>
    <b v="0"/>
    <b v="0"/>
    <x v="0"/>
    <x v="0"/>
    <n v="30"/>
    <x v="1"/>
    <n v="22.5"/>
    <x v="2"/>
    <n v="0.1"/>
    <n v="20.25"/>
    <s v="Weekdays only"/>
    <s v="San Diego, CA"/>
    <n v="32.715699999999998"/>
    <n v="-117.1611"/>
    <d v="2023-03-26T00:00:00"/>
    <n v="0"/>
    <x v="1"/>
    <x v="36"/>
  </r>
  <r>
    <n v="46"/>
    <x v="2"/>
    <n v="5"/>
    <s v="Fri, Sun, Thu, Tue, Wed"/>
    <b v="1"/>
    <d v="1899-12-30T11:18:00"/>
    <d v="1899-12-30T14:06:00"/>
    <n v="168"/>
    <b v="1"/>
    <b v="1"/>
    <x v="1"/>
    <x v="0"/>
    <n v="20"/>
    <x v="1"/>
    <n v="15"/>
    <x v="2"/>
    <n v="0.1"/>
    <n v="13.5"/>
    <s v="Off-peak only"/>
    <s v="San Francisco, CA"/>
    <n v="37.774900000000002"/>
    <n v="-122.4194"/>
    <d v="2023-08-27T00:00:00"/>
    <n v="6"/>
    <x v="0"/>
    <x v="46"/>
  </r>
  <r>
    <n v="34"/>
    <x v="1"/>
    <n v="2"/>
    <s v="Fri, Mon"/>
    <b v="0"/>
    <d v="1899-12-30T17:01:00"/>
    <d v="1899-12-30T19:09:00"/>
    <n v="128"/>
    <b v="0"/>
    <b v="1"/>
    <x v="0"/>
    <x v="2"/>
    <n v="30"/>
    <x v="0"/>
    <n v="30"/>
    <x v="1"/>
    <n v="0"/>
    <n v="30"/>
    <s v="Weekdays only"/>
    <s v="Fresno, CA"/>
    <n v="36.7378"/>
    <n v="-119.7871"/>
    <d v="2024-05-12T00:00:00"/>
    <n v="5"/>
    <x v="1"/>
    <x v="0"/>
  </r>
  <r>
    <n v="22"/>
    <x v="1"/>
    <n v="3"/>
    <s v="Fri, Sun, Tue"/>
    <b v="0"/>
    <d v="1899-12-30T17:13:00"/>
    <d v="1899-12-30T18:24:00"/>
    <n v="71"/>
    <b v="0"/>
    <b v="0"/>
    <x v="1"/>
    <x v="2"/>
    <n v="30"/>
    <x v="1"/>
    <n v="22.5"/>
    <x v="0"/>
    <n v="0.05"/>
    <n v="21.375"/>
    <s v="Weekdays only"/>
    <s v="San Diego, CA"/>
    <n v="32.715699999999998"/>
    <n v="-117.1611"/>
    <d v="2024-11-15T00:00:00"/>
    <n v="0"/>
    <x v="1"/>
    <x v="12"/>
  </r>
  <r>
    <n v="20"/>
    <x v="0"/>
    <n v="2"/>
    <s v="Mon, Wed"/>
    <b v="1"/>
    <d v="1899-12-30T17:45:00"/>
    <d v="1899-12-30T19:20:00"/>
    <n v="95"/>
    <b v="1"/>
    <b v="0"/>
    <x v="1"/>
    <x v="2"/>
    <n v="50"/>
    <x v="1"/>
    <n v="37.5"/>
    <x v="1"/>
    <n v="0"/>
    <n v="37.5"/>
    <s v="All hours"/>
    <s v="Fresno, CA"/>
    <n v="36.7378"/>
    <n v="-119.7871"/>
    <d v="2025-02-13T00:00:00"/>
    <n v="0"/>
    <x v="0"/>
    <x v="30"/>
  </r>
  <r>
    <n v="21"/>
    <x v="0"/>
    <n v="3"/>
    <s v="Fri, Sat, Tue"/>
    <b v="0"/>
    <d v="1899-12-30T09:22:00"/>
    <d v="1899-12-30T10:52:00"/>
    <n v="90"/>
    <b v="1"/>
    <b v="1"/>
    <x v="0"/>
    <x v="0"/>
    <n v="50"/>
    <x v="0"/>
    <n v="50"/>
    <x v="1"/>
    <n v="0"/>
    <n v="50"/>
    <s v="All hours"/>
    <s v="Bakersfield, CA"/>
    <n v="35.3733"/>
    <n v="-119.0187"/>
    <d v="2023-09-07T00:00:00"/>
    <n v="7"/>
    <x v="0"/>
    <x v="7"/>
  </r>
  <r>
    <n v="19"/>
    <x v="1"/>
    <n v="4"/>
    <s v="Fri, Sat, Sun, Thu"/>
    <b v="0"/>
    <d v="1899-12-30T11:16:00"/>
    <d v="1899-12-30T12:38:00"/>
    <n v="82"/>
    <b v="0"/>
    <b v="0"/>
    <x v="1"/>
    <x v="4"/>
    <n v="30"/>
    <x v="0"/>
    <n v="30"/>
    <x v="2"/>
    <n v="0.1"/>
    <n v="27"/>
    <s v="Weekdays only"/>
    <s v="San Diego, CA"/>
    <n v="32.715699999999998"/>
    <n v="-117.1611"/>
    <d v="2023-03-21T00:00:00"/>
    <n v="0"/>
    <x v="1"/>
    <x v="36"/>
  </r>
  <r>
    <n v="24"/>
    <x v="2"/>
    <n v="3"/>
    <s v="Mon, Thu, Wed"/>
    <b v="1"/>
    <d v="1899-12-30T15:17:00"/>
    <d v="1899-12-30T16:04:00"/>
    <n v="47"/>
    <b v="0"/>
    <b v="1"/>
    <x v="1"/>
    <x v="1"/>
    <n v="20"/>
    <x v="1"/>
    <n v="15"/>
    <x v="1"/>
    <n v="0"/>
    <n v="15"/>
    <s v="Off-peak only"/>
    <s v="Sacramento, CA"/>
    <n v="38.581600000000002"/>
    <n v="-121.4944"/>
    <d v="2023-08-07T00:00:00"/>
    <n v="4"/>
    <x v="0"/>
    <x v="47"/>
  </r>
  <r>
    <n v="24"/>
    <x v="2"/>
    <n v="3"/>
    <s v="Sat, Thu, Wed"/>
    <b v="1"/>
    <d v="1899-12-30T12:00:00"/>
    <d v="1899-12-30T14:08:00"/>
    <n v="128"/>
    <b v="1"/>
    <b v="0"/>
    <x v="1"/>
    <x v="3"/>
    <n v="20"/>
    <x v="0"/>
    <n v="20"/>
    <x v="2"/>
    <n v="0.1"/>
    <n v="18"/>
    <s v="Off-peak only"/>
    <s v="San Francisco, CA"/>
    <n v="37.774900000000002"/>
    <n v="-122.4194"/>
    <d v="2023-12-06T00:00:00"/>
    <n v="0"/>
    <x v="1"/>
    <x v="16"/>
  </r>
  <r>
    <n v="34"/>
    <x v="1"/>
    <n v="1"/>
    <s v="Sun"/>
    <b v="1"/>
    <d v="1899-12-30T09:14:00"/>
    <d v="1899-12-30T11:52:00"/>
    <n v="158"/>
    <b v="0"/>
    <b v="1"/>
    <x v="0"/>
    <x v="0"/>
    <n v="30"/>
    <x v="1"/>
    <n v="22.5"/>
    <x v="1"/>
    <n v="0"/>
    <n v="22.5"/>
    <s v="Weekdays only"/>
    <s v="Anaheim, CA"/>
    <n v="33.836599999999997"/>
    <n v="-117.9143"/>
    <d v="2025-05-09T00:00:00"/>
    <n v="6"/>
    <x v="1"/>
    <x v="24"/>
  </r>
  <r>
    <n v="15"/>
    <x v="1"/>
    <n v="2"/>
    <s v="Mon, Thu"/>
    <b v="1"/>
    <d v="1899-12-30T19:07:00"/>
    <d v="1899-12-30T22:02:00"/>
    <n v="175"/>
    <b v="1"/>
    <b v="0"/>
    <x v="1"/>
    <x v="0"/>
    <n v="30"/>
    <x v="2"/>
    <n v="27"/>
    <x v="1"/>
    <n v="0"/>
    <n v="27"/>
    <s v="Weekdays only"/>
    <s v="Anaheim, CA"/>
    <n v="33.836599999999997"/>
    <n v="-117.9143"/>
    <d v="2022-08-26T00:00:00"/>
    <n v="0"/>
    <x v="1"/>
    <x v="10"/>
  </r>
  <r>
    <n v="40"/>
    <x v="0"/>
    <n v="3"/>
    <s v="Sun, Thu, Wed"/>
    <b v="0"/>
    <d v="1899-12-30T11:58:00"/>
    <d v="1899-12-30T14:31:00"/>
    <n v="153"/>
    <b v="1"/>
    <b v="1"/>
    <x v="0"/>
    <x v="4"/>
    <n v="50"/>
    <x v="0"/>
    <n v="50"/>
    <x v="1"/>
    <n v="0"/>
    <n v="50"/>
    <s v="All hours"/>
    <s v="Long Beach, CA"/>
    <n v="33.770099999999999"/>
    <n v="-118.19370000000001"/>
    <d v="2023-02-23T00:00:00"/>
    <n v="5"/>
    <x v="0"/>
    <x v="22"/>
  </r>
  <r>
    <n v="40"/>
    <x v="1"/>
    <n v="3"/>
    <s v="Fri, Sun, Thu"/>
    <b v="1"/>
    <d v="1899-12-30T17:05:00"/>
    <d v="1899-12-30T19:39:00"/>
    <n v="154"/>
    <b v="0"/>
    <b v="1"/>
    <x v="0"/>
    <x v="0"/>
    <n v="30"/>
    <x v="0"/>
    <n v="30"/>
    <x v="1"/>
    <n v="0"/>
    <n v="30"/>
    <s v="Weekdays only"/>
    <s v="Fresno, CA"/>
    <n v="36.7378"/>
    <n v="-119.7871"/>
    <d v="2024-08-15T00:00:00"/>
    <n v="6"/>
    <x v="1"/>
    <x v="18"/>
  </r>
  <r>
    <n v="15"/>
    <x v="0"/>
    <n v="3"/>
    <s v="Mon, Thu, Tue"/>
    <b v="0"/>
    <d v="1899-12-30T09:55:00"/>
    <d v="1899-12-30T11:07:00"/>
    <n v="72"/>
    <b v="1"/>
    <b v="1"/>
    <x v="1"/>
    <x v="2"/>
    <n v="50"/>
    <x v="0"/>
    <n v="50"/>
    <x v="1"/>
    <n v="0"/>
    <n v="50"/>
    <s v="All hours"/>
    <s v="San Jose, CA"/>
    <n v="37.338200000000001"/>
    <n v="-121.88630000000001"/>
    <d v="2022-08-14T00:00:00"/>
    <n v="3"/>
    <x v="0"/>
    <x v="10"/>
  </r>
  <r>
    <n v="49"/>
    <x v="1"/>
    <n v="3"/>
    <s v="Fri, Sat, Thu"/>
    <b v="1"/>
    <d v="1899-12-30T20:40:00"/>
    <d v="1899-12-30T21:24:00"/>
    <n v="44"/>
    <b v="0"/>
    <b v="1"/>
    <x v="0"/>
    <x v="4"/>
    <n v="30"/>
    <x v="0"/>
    <n v="30"/>
    <x v="1"/>
    <n v="0"/>
    <n v="30"/>
    <s v="Weekdays only"/>
    <s v="San Diego, CA"/>
    <n v="32.715699999999998"/>
    <n v="-117.1611"/>
    <d v="2023-09-20T00:00:00"/>
    <n v="7"/>
    <x v="1"/>
    <x v="7"/>
  </r>
  <r>
    <n v="38"/>
    <x v="0"/>
    <n v="5"/>
    <s v="Fri, Sat, Sun, Thu, Tue"/>
    <b v="0"/>
    <d v="1899-12-30T17:59:00"/>
    <d v="1899-12-30T20:54:00"/>
    <n v="175"/>
    <b v="1"/>
    <b v="0"/>
    <x v="1"/>
    <x v="4"/>
    <n v="50"/>
    <x v="0"/>
    <n v="50"/>
    <x v="1"/>
    <n v="0"/>
    <n v="50"/>
    <s v="All hours"/>
    <s v="Sacramento, CA"/>
    <n v="38.581600000000002"/>
    <n v="-121.4944"/>
    <d v="2023-10-11T00:00:00"/>
    <n v="0"/>
    <x v="0"/>
    <x v="59"/>
  </r>
  <r>
    <n v="40"/>
    <x v="0"/>
    <n v="4"/>
    <s v="Mon, Sat, Sun, Wed"/>
    <b v="1"/>
    <d v="1899-12-30T09:55:00"/>
    <d v="1899-12-30T10:43:00"/>
    <n v="48"/>
    <b v="0"/>
    <b v="0"/>
    <x v="1"/>
    <x v="1"/>
    <n v="50"/>
    <x v="0"/>
    <n v="50"/>
    <x v="1"/>
    <n v="0"/>
    <n v="50"/>
    <s v="All hours"/>
    <s v="Fresno, CA"/>
    <n v="36.7378"/>
    <n v="-119.7871"/>
    <d v="2023-04-18T00:00:00"/>
    <n v="0"/>
    <x v="0"/>
    <x v="58"/>
  </r>
  <r>
    <n v="37"/>
    <x v="1"/>
    <n v="1"/>
    <s v="Mon"/>
    <b v="1"/>
    <d v="1899-12-30T16:45:00"/>
    <d v="1899-12-30T18:58:00"/>
    <n v="133"/>
    <b v="0"/>
    <b v="0"/>
    <x v="0"/>
    <x v="0"/>
    <n v="30"/>
    <x v="1"/>
    <n v="22.5"/>
    <x v="1"/>
    <n v="0"/>
    <n v="22.5"/>
    <s v="Weekdays only"/>
    <s v="Oakland, CA"/>
    <n v="37.804400000000001"/>
    <n v="-122.27119999999999"/>
    <d v="2023-02-09T00:00:00"/>
    <n v="0"/>
    <x v="1"/>
    <x v="26"/>
  </r>
  <r>
    <n v="23"/>
    <x v="3"/>
    <n v="5"/>
    <s v="Mon, Sun, Thu, Tue, Wed"/>
    <b v="1"/>
    <d v="1899-12-30T20:57:00"/>
    <d v="1899-12-30T23:35:00"/>
    <n v="158"/>
    <b v="0"/>
    <b v="0"/>
    <x v="1"/>
    <x v="1"/>
    <n v="70"/>
    <x v="0"/>
    <n v="70"/>
    <x v="1"/>
    <n v="0"/>
    <n v="70"/>
    <s v="All hours + Priority access"/>
    <s v="Anaheim, CA"/>
    <n v="33.836599999999997"/>
    <n v="-117.9143"/>
    <d v="2023-07-24T00:00:00"/>
    <n v="0"/>
    <x v="0"/>
    <x v="34"/>
  </r>
  <r>
    <n v="35"/>
    <x v="0"/>
    <n v="1"/>
    <s v="Wed"/>
    <b v="0"/>
    <d v="1899-12-30T08:34:00"/>
    <d v="1899-12-30T09:27:00"/>
    <n v="53"/>
    <b v="0"/>
    <b v="1"/>
    <x v="0"/>
    <x v="0"/>
    <n v="50"/>
    <x v="2"/>
    <n v="45"/>
    <x v="3"/>
    <n v="0.15"/>
    <n v="38.25"/>
    <s v="All hours"/>
    <s v="Los Angeles, CA"/>
    <n v="34.052199999999999"/>
    <n v="-118.2437"/>
    <d v="2025-02-06T00:00:00"/>
    <n v="4"/>
    <x v="1"/>
    <x v="30"/>
  </r>
  <r>
    <n v="27"/>
    <x v="3"/>
    <n v="5"/>
    <s v="Fri, Mon, Sat, Thu, Tue"/>
    <b v="0"/>
    <d v="1899-12-30T09:57:00"/>
    <d v="1899-12-30T12:22:00"/>
    <n v="145"/>
    <b v="0"/>
    <b v="0"/>
    <x v="0"/>
    <x v="1"/>
    <n v="70"/>
    <x v="1"/>
    <n v="52.5"/>
    <x v="2"/>
    <n v="0.1"/>
    <n v="47.25"/>
    <s v="All hours + Priority access"/>
    <s v="Los Angeles, CA"/>
    <n v="34.052199999999999"/>
    <n v="-118.2437"/>
    <d v="2024-06-27T00:00:00"/>
    <n v="0"/>
    <x v="0"/>
    <x v="55"/>
  </r>
  <r>
    <n v="29"/>
    <x v="0"/>
    <n v="3"/>
    <s v="Fri, Sat, Thu"/>
    <b v="1"/>
    <d v="1899-12-30T13:02:00"/>
    <d v="1899-12-30T14:08:00"/>
    <n v="66"/>
    <b v="0"/>
    <b v="0"/>
    <x v="1"/>
    <x v="1"/>
    <n v="50"/>
    <x v="1"/>
    <n v="37.5"/>
    <x v="2"/>
    <n v="0.1"/>
    <n v="33.75"/>
    <s v="All hours"/>
    <s v="Fresno, CA"/>
    <n v="36.7378"/>
    <n v="-119.7871"/>
    <d v="2022-10-08T00:00:00"/>
    <n v="0"/>
    <x v="0"/>
    <x v="38"/>
  </r>
  <r>
    <n v="21"/>
    <x v="1"/>
    <n v="5"/>
    <s v="Fri, Mon, Sat, Sun, Tue"/>
    <b v="0"/>
    <d v="1899-12-30T14:29:00"/>
    <d v="1899-12-30T16:01:00"/>
    <n v="92"/>
    <b v="1"/>
    <b v="1"/>
    <x v="1"/>
    <x v="0"/>
    <n v="30"/>
    <x v="0"/>
    <n v="30"/>
    <x v="3"/>
    <n v="0.15"/>
    <n v="25.5"/>
    <s v="Weekdays only"/>
    <s v="Sacramento, CA"/>
    <n v="38.581600000000002"/>
    <n v="-121.4944"/>
    <d v="2024-10-26T00:00:00"/>
    <n v="5"/>
    <x v="0"/>
    <x v="53"/>
  </r>
  <r>
    <n v="16"/>
    <x v="0"/>
    <n v="3"/>
    <s v="Fri, Sun, Wed"/>
    <b v="0"/>
    <d v="1899-12-30T17:21:00"/>
    <d v="1899-12-30T18:46:00"/>
    <n v="85"/>
    <b v="0"/>
    <b v="1"/>
    <x v="0"/>
    <x v="4"/>
    <n v="50"/>
    <x v="1"/>
    <n v="37.5"/>
    <x v="2"/>
    <n v="0.1"/>
    <n v="33.75"/>
    <s v="All hours"/>
    <s v="Anaheim, CA"/>
    <n v="33.836599999999997"/>
    <n v="-117.9143"/>
    <d v="2024-05-22T00:00:00"/>
    <n v="1"/>
    <x v="0"/>
    <x v="0"/>
  </r>
  <r>
    <n v="31"/>
    <x v="0"/>
    <n v="2"/>
    <s v="Mon, Wed"/>
    <b v="1"/>
    <d v="1899-12-30T20:28:00"/>
    <d v="1899-12-30T21:52:00"/>
    <n v="84"/>
    <b v="1"/>
    <b v="1"/>
    <x v="0"/>
    <x v="2"/>
    <n v="50"/>
    <x v="1"/>
    <n v="37.5"/>
    <x v="3"/>
    <n v="0.15"/>
    <n v="31.875"/>
    <s v="All hours"/>
    <s v="Oakland, CA"/>
    <n v="37.804400000000001"/>
    <n v="-122.27119999999999"/>
    <d v="2024-03-19T00:00:00"/>
    <n v="8"/>
    <x v="0"/>
    <x v="17"/>
  </r>
  <r>
    <n v="49"/>
    <x v="1"/>
    <n v="3"/>
    <s v="Fri, Mon, Wed"/>
    <b v="0"/>
    <d v="1899-12-30T12:37:00"/>
    <d v="1899-12-30T13:15:00"/>
    <n v="38"/>
    <b v="1"/>
    <b v="1"/>
    <x v="0"/>
    <x v="0"/>
    <n v="30"/>
    <x v="0"/>
    <n v="30"/>
    <x v="1"/>
    <n v="0"/>
    <n v="30"/>
    <s v="Weekdays only"/>
    <s v="San Jose, CA"/>
    <n v="37.338200000000001"/>
    <n v="-121.88630000000001"/>
    <d v="2024-03-12T00:00:00"/>
    <n v="4"/>
    <x v="0"/>
    <x v="29"/>
  </r>
  <r>
    <n v="47"/>
    <x v="0"/>
    <n v="3"/>
    <s v="Mon, Sat, Wed"/>
    <b v="0"/>
    <d v="1899-12-30T19:31:00"/>
    <d v="1899-12-30T20:19:00"/>
    <n v="48"/>
    <b v="0"/>
    <b v="1"/>
    <x v="0"/>
    <x v="3"/>
    <n v="50"/>
    <x v="0"/>
    <n v="50"/>
    <x v="3"/>
    <n v="0.15"/>
    <n v="42.5"/>
    <s v="All hours"/>
    <s v="San Jose, CA"/>
    <n v="37.338200000000001"/>
    <n v="-121.88630000000001"/>
    <d v="2023-09-09T00:00:00"/>
    <n v="1"/>
    <x v="0"/>
    <x v="7"/>
  </r>
  <r>
    <n v="32"/>
    <x v="2"/>
    <n v="3"/>
    <s v="Fri, Sun, Wed"/>
    <b v="1"/>
    <d v="1899-12-30T14:52:00"/>
    <d v="1899-12-30T17:32:00"/>
    <n v="160"/>
    <b v="0"/>
    <b v="0"/>
    <x v="0"/>
    <x v="0"/>
    <n v="20"/>
    <x v="0"/>
    <n v="20"/>
    <x v="0"/>
    <n v="0.05"/>
    <n v="19"/>
    <s v="Off-peak only"/>
    <s v="Sacramento, CA"/>
    <n v="38.581600000000002"/>
    <n v="-121.4944"/>
    <d v="2022-09-22T00:00:00"/>
    <n v="0"/>
    <x v="1"/>
    <x v="25"/>
  </r>
  <r>
    <n v="29"/>
    <x v="3"/>
    <n v="4"/>
    <s v="Fri, Mon, Sun, Thu"/>
    <b v="1"/>
    <d v="1899-12-30T18:15:00"/>
    <d v="1899-12-30T18:54:00"/>
    <n v="39"/>
    <b v="0"/>
    <b v="1"/>
    <x v="1"/>
    <x v="2"/>
    <n v="70"/>
    <x v="0"/>
    <n v="70"/>
    <x v="1"/>
    <n v="0"/>
    <n v="70"/>
    <s v="All hours + Priority access"/>
    <s v="San Diego, CA"/>
    <n v="32.715699999999998"/>
    <n v="-117.1611"/>
    <d v="2024-10-09T00:00:00"/>
    <n v="6"/>
    <x v="0"/>
    <x v="51"/>
  </r>
  <r>
    <n v="40"/>
    <x v="1"/>
    <n v="3"/>
    <s v="Fri, Sun, Tue"/>
    <b v="0"/>
    <d v="1899-12-30T11:18:00"/>
    <d v="1899-12-30T14:09:00"/>
    <n v="171"/>
    <b v="0"/>
    <b v="1"/>
    <x v="1"/>
    <x v="0"/>
    <n v="30"/>
    <x v="1"/>
    <n v="22.5"/>
    <x v="1"/>
    <n v="0"/>
    <n v="22.5"/>
    <s v="Weekdays only"/>
    <s v="Anaheim, CA"/>
    <n v="33.836599999999997"/>
    <n v="-117.9143"/>
    <d v="2025-02-13T00:00:00"/>
    <n v="2"/>
    <x v="1"/>
    <x v="30"/>
  </r>
  <r>
    <n v="19"/>
    <x v="2"/>
    <n v="4"/>
    <s v="Sat, Sun, Tue, Wed"/>
    <b v="1"/>
    <d v="1899-12-30T15:49:00"/>
    <d v="1899-12-30T17:10:00"/>
    <n v="81"/>
    <b v="1"/>
    <b v="0"/>
    <x v="0"/>
    <x v="0"/>
    <n v="20"/>
    <x v="0"/>
    <n v="20"/>
    <x v="2"/>
    <n v="0.1"/>
    <n v="18"/>
    <s v="Off-peak only"/>
    <s v="San Jose, CA"/>
    <n v="37.338200000000001"/>
    <n v="-121.88630000000001"/>
    <d v="2024-11-24T00:00:00"/>
    <n v="0"/>
    <x v="0"/>
    <x v="14"/>
  </r>
  <r>
    <n v="45"/>
    <x v="0"/>
    <n v="5"/>
    <s v="Fri, Mon, Sun, Thu, Wed"/>
    <b v="0"/>
    <d v="1899-12-30T19:04:00"/>
    <d v="1899-12-30T20:44:00"/>
    <n v="100"/>
    <b v="1"/>
    <b v="1"/>
    <x v="1"/>
    <x v="4"/>
    <n v="50"/>
    <x v="0"/>
    <n v="50"/>
    <x v="1"/>
    <n v="0"/>
    <n v="50"/>
    <s v="All hours"/>
    <s v="San Francisco, CA"/>
    <n v="37.774900000000002"/>
    <n v="-122.4194"/>
    <d v="2022-11-21T00:00:00"/>
    <n v="4"/>
    <x v="0"/>
    <x v="37"/>
  </r>
  <r>
    <n v="17"/>
    <x v="1"/>
    <n v="3"/>
    <s v="Fri, Sat, Sun"/>
    <b v="0"/>
    <d v="1899-12-30T18:02:00"/>
    <d v="1899-12-30T19:49:00"/>
    <n v="107"/>
    <b v="0"/>
    <b v="0"/>
    <x v="1"/>
    <x v="4"/>
    <n v="30"/>
    <x v="0"/>
    <n v="30"/>
    <x v="3"/>
    <n v="0.15"/>
    <n v="25.5"/>
    <s v="Weekdays only"/>
    <s v="Anaheim, CA"/>
    <n v="33.836599999999997"/>
    <n v="-117.9143"/>
    <d v="2023-08-05T00:00:00"/>
    <n v="0"/>
    <x v="0"/>
    <x v="47"/>
  </r>
  <r>
    <n v="30"/>
    <x v="0"/>
    <n v="3"/>
    <s v="Fri, Sun, Thu"/>
    <b v="0"/>
    <d v="1899-12-30T17:22:00"/>
    <d v="1899-12-30T17:57:00"/>
    <n v="35"/>
    <b v="1"/>
    <b v="0"/>
    <x v="1"/>
    <x v="1"/>
    <n v="50"/>
    <x v="1"/>
    <n v="37.5"/>
    <x v="2"/>
    <n v="0.1"/>
    <n v="33.75"/>
    <s v="All hours"/>
    <s v="Oakland, CA"/>
    <n v="37.804400000000001"/>
    <n v="-122.27119999999999"/>
    <d v="2024-08-22T00:00:00"/>
    <n v="0"/>
    <x v="0"/>
    <x v="18"/>
  </r>
  <r>
    <n v="43"/>
    <x v="1"/>
    <n v="3"/>
    <s v="Thu, Tue, Wed"/>
    <b v="0"/>
    <d v="1899-12-30T10:47:00"/>
    <d v="1899-12-30T13:15:00"/>
    <n v="148"/>
    <b v="0"/>
    <b v="1"/>
    <x v="0"/>
    <x v="4"/>
    <n v="30"/>
    <x v="1"/>
    <n v="22.5"/>
    <x v="0"/>
    <n v="0.05"/>
    <n v="21.375"/>
    <s v="Weekdays only"/>
    <s v="San Diego, CA"/>
    <n v="32.715699999999998"/>
    <n v="-117.1611"/>
    <d v="2023-02-05T00:00:00"/>
    <n v="6"/>
    <x v="0"/>
    <x v="26"/>
  </r>
  <r>
    <n v="14"/>
    <x v="0"/>
    <n v="3"/>
    <s v="Sat, Sun, Wed"/>
    <b v="0"/>
    <d v="1899-12-30T19:16:00"/>
    <d v="1899-12-30T22:13:00"/>
    <n v="177"/>
    <b v="1"/>
    <b v="1"/>
    <x v="0"/>
    <x v="0"/>
    <n v="50"/>
    <x v="0"/>
    <n v="50"/>
    <x v="1"/>
    <n v="0"/>
    <n v="50"/>
    <s v="All hours"/>
    <s v="San Francisco, CA"/>
    <n v="37.774900000000002"/>
    <n v="-122.4194"/>
    <d v="2022-12-18T00:00:00"/>
    <n v="1"/>
    <x v="0"/>
    <x v="6"/>
  </r>
  <r>
    <n v="29"/>
    <x v="1"/>
    <n v="3"/>
    <s v="Mon, Sat, Thu"/>
    <b v="0"/>
    <d v="1899-12-30T15:05:00"/>
    <d v="1899-12-30T16:19:00"/>
    <n v="74"/>
    <b v="0"/>
    <b v="1"/>
    <x v="1"/>
    <x v="1"/>
    <n v="30"/>
    <x v="0"/>
    <n v="30"/>
    <x v="1"/>
    <n v="0"/>
    <n v="30"/>
    <s v="Weekdays only"/>
    <s v="San Diego, CA"/>
    <n v="32.715699999999998"/>
    <n v="-117.1611"/>
    <d v="2023-01-03T00:00:00"/>
    <n v="3"/>
    <x v="0"/>
    <x v="57"/>
  </r>
  <r>
    <n v="48"/>
    <x v="1"/>
    <n v="4"/>
    <s v="Mon, Sun, Thu, Wed"/>
    <b v="0"/>
    <d v="1899-12-30T13:33:00"/>
    <d v="1899-12-30T14:08:00"/>
    <n v="35"/>
    <b v="1"/>
    <b v="0"/>
    <x v="0"/>
    <x v="4"/>
    <n v="30"/>
    <x v="0"/>
    <n v="30"/>
    <x v="2"/>
    <n v="0.1"/>
    <n v="27"/>
    <s v="Weekdays only"/>
    <s v="Oakland, CA"/>
    <n v="37.804400000000001"/>
    <n v="-122.27119999999999"/>
    <d v="2022-10-18T00:00:00"/>
    <n v="0"/>
    <x v="1"/>
    <x v="38"/>
  </r>
  <r>
    <n v="44"/>
    <x v="0"/>
    <n v="3"/>
    <s v="Sun, Tue, Wed"/>
    <b v="0"/>
    <d v="1899-12-30T19:40:00"/>
    <d v="1899-12-30T22:29:00"/>
    <n v="169"/>
    <b v="0"/>
    <b v="1"/>
    <x v="0"/>
    <x v="0"/>
    <n v="50"/>
    <x v="0"/>
    <n v="50"/>
    <x v="3"/>
    <n v="0.15"/>
    <n v="42.5"/>
    <s v="All hours"/>
    <s v="Anaheim, CA"/>
    <n v="33.836599999999997"/>
    <n v="-117.9143"/>
    <d v="2024-09-27T00:00:00"/>
    <n v="3"/>
    <x v="0"/>
    <x v="33"/>
  </r>
  <r>
    <n v="36"/>
    <x v="0"/>
    <n v="3"/>
    <s v="Fri, Thu, Wed"/>
    <b v="0"/>
    <d v="1899-12-30T15:28:00"/>
    <d v="1899-12-30T17:57:00"/>
    <n v="149"/>
    <b v="1"/>
    <b v="0"/>
    <x v="0"/>
    <x v="0"/>
    <n v="50"/>
    <x v="0"/>
    <n v="50"/>
    <x v="0"/>
    <n v="0.05"/>
    <n v="47.5"/>
    <s v="All hours"/>
    <s v="Long Beach, CA"/>
    <n v="33.770099999999999"/>
    <n v="-118.19370000000001"/>
    <d v="2023-04-10T00:00:00"/>
    <n v="0"/>
    <x v="0"/>
    <x v="49"/>
  </r>
  <r>
    <n v="26"/>
    <x v="0"/>
    <n v="2"/>
    <s v="Sat, Thu"/>
    <b v="0"/>
    <d v="1899-12-30T17:57:00"/>
    <d v="1899-12-30T20:08:00"/>
    <n v="131"/>
    <b v="0"/>
    <b v="0"/>
    <x v="0"/>
    <x v="0"/>
    <n v="50"/>
    <x v="0"/>
    <n v="50"/>
    <x v="3"/>
    <n v="0.15"/>
    <n v="42.5"/>
    <s v="All hours"/>
    <s v="Fresno, CA"/>
    <n v="36.7378"/>
    <n v="-119.7871"/>
    <d v="2024-02-18T00:00:00"/>
    <n v="0"/>
    <x v="0"/>
    <x v="21"/>
  </r>
  <r>
    <n v="34"/>
    <x v="0"/>
    <n v="2"/>
    <s v="Mon, Thu"/>
    <b v="1"/>
    <d v="1899-12-30T14:03:00"/>
    <d v="1899-12-30T16:10:00"/>
    <n v="127"/>
    <b v="1"/>
    <b v="0"/>
    <x v="1"/>
    <x v="4"/>
    <n v="50"/>
    <x v="0"/>
    <n v="50"/>
    <x v="0"/>
    <n v="0.05"/>
    <n v="47.5"/>
    <s v="All hours"/>
    <s v="San Francisco, CA"/>
    <n v="37.774900000000002"/>
    <n v="-122.4194"/>
    <d v="2023-01-08T00:00:00"/>
    <n v="0"/>
    <x v="0"/>
    <x v="57"/>
  </r>
  <r>
    <n v="48"/>
    <x v="0"/>
    <n v="3"/>
    <s v="Fri, Sat, Thu"/>
    <b v="1"/>
    <d v="1899-12-30T08:33:00"/>
    <d v="1899-12-30T10:13:00"/>
    <n v="100"/>
    <b v="1"/>
    <b v="1"/>
    <x v="1"/>
    <x v="0"/>
    <n v="50"/>
    <x v="0"/>
    <n v="50"/>
    <x v="3"/>
    <n v="0.15"/>
    <n v="42.5"/>
    <s v="All hours"/>
    <s v="Sacramento, CA"/>
    <n v="38.581600000000002"/>
    <n v="-121.4944"/>
    <d v="2023-05-09T00:00:00"/>
    <n v="2"/>
    <x v="0"/>
    <x v="2"/>
  </r>
  <r>
    <n v="30"/>
    <x v="0"/>
    <n v="3"/>
    <s v="Sat, Sun, Wed"/>
    <b v="1"/>
    <d v="1899-12-30T17:43:00"/>
    <d v="1899-12-30T18:23:00"/>
    <n v="40"/>
    <b v="0"/>
    <b v="0"/>
    <x v="0"/>
    <x v="0"/>
    <n v="50"/>
    <x v="0"/>
    <n v="50"/>
    <x v="3"/>
    <n v="0.15"/>
    <n v="42.5"/>
    <s v="All hours"/>
    <s v="Fresno, CA"/>
    <n v="36.7378"/>
    <n v="-119.7871"/>
    <d v="2023-03-19T00:00:00"/>
    <n v="0"/>
    <x v="1"/>
    <x v="36"/>
  </r>
  <r>
    <n v="16"/>
    <x v="2"/>
    <n v="5"/>
    <s v="Fri, Sat, Sun, Thu, Wed"/>
    <b v="1"/>
    <d v="1899-12-30T17:04:00"/>
    <d v="1899-12-30T17:45:00"/>
    <n v="41"/>
    <b v="1"/>
    <b v="0"/>
    <x v="1"/>
    <x v="1"/>
    <n v="20"/>
    <x v="2"/>
    <n v="18"/>
    <x v="2"/>
    <n v="0.1"/>
    <n v="16.2"/>
    <s v="Off-peak only"/>
    <s v="Bakersfield, CA"/>
    <n v="35.3733"/>
    <n v="-119.0187"/>
    <d v="2023-07-25T00:00:00"/>
    <n v="0"/>
    <x v="0"/>
    <x v="34"/>
  </r>
  <r>
    <n v="35"/>
    <x v="0"/>
    <n v="1"/>
    <s v="Fri"/>
    <b v="1"/>
    <d v="1899-12-30T19:27:00"/>
    <d v="1899-12-30T22:03:00"/>
    <n v="156"/>
    <b v="0"/>
    <b v="0"/>
    <x v="0"/>
    <x v="4"/>
    <n v="50"/>
    <x v="1"/>
    <n v="37.5"/>
    <x v="1"/>
    <n v="0"/>
    <n v="37.5"/>
    <s v="All hours"/>
    <s v="San Francisco, CA"/>
    <n v="37.774900000000002"/>
    <n v="-122.4194"/>
    <d v="2024-12-16T00:00:00"/>
    <n v="0"/>
    <x v="0"/>
    <x v="13"/>
  </r>
  <r>
    <n v="18"/>
    <x v="3"/>
    <n v="3"/>
    <s v="Fri, Thu, Wed"/>
    <b v="1"/>
    <d v="1899-12-30T18:43:00"/>
    <d v="1899-12-30T21:06:00"/>
    <n v="143"/>
    <b v="1"/>
    <b v="0"/>
    <x v="1"/>
    <x v="4"/>
    <n v="70"/>
    <x v="0"/>
    <n v="70"/>
    <x v="2"/>
    <n v="0.1"/>
    <n v="63"/>
    <s v="All hours + Priority access"/>
    <s v="Long Beach, CA"/>
    <n v="33.770099999999999"/>
    <n v="-118.19370000000001"/>
    <d v="2023-11-20T00:00:00"/>
    <n v="0"/>
    <x v="0"/>
    <x v="35"/>
  </r>
  <r>
    <n v="34"/>
    <x v="1"/>
    <n v="3"/>
    <s v="Mon, Tue, Wed"/>
    <b v="0"/>
    <d v="1899-12-30T11:15:00"/>
    <d v="1899-12-30T13:24:00"/>
    <n v="129"/>
    <b v="1"/>
    <b v="1"/>
    <x v="1"/>
    <x v="4"/>
    <n v="30"/>
    <x v="0"/>
    <n v="30"/>
    <x v="0"/>
    <n v="0.05"/>
    <n v="28.5"/>
    <s v="Weekdays only"/>
    <s v="San Francisco, CA"/>
    <n v="37.774900000000002"/>
    <n v="-122.4194"/>
    <d v="2022-08-09T00:00:00"/>
    <n v="8"/>
    <x v="0"/>
    <x v="43"/>
  </r>
  <r>
    <n v="19"/>
    <x v="2"/>
    <n v="2"/>
    <s v="Fri, Tue"/>
    <b v="1"/>
    <d v="1899-12-30T12:50:00"/>
    <d v="1899-12-30T14:56:00"/>
    <n v="126"/>
    <b v="1"/>
    <b v="0"/>
    <x v="0"/>
    <x v="4"/>
    <n v="20"/>
    <x v="1"/>
    <n v="15"/>
    <x v="2"/>
    <n v="0.1"/>
    <n v="13.5"/>
    <s v="Off-peak only"/>
    <s v="Los Angeles, CA"/>
    <n v="34.052199999999999"/>
    <n v="-118.2437"/>
    <d v="2022-09-28T00:00:00"/>
    <n v="0"/>
    <x v="1"/>
    <x v="25"/>
  </r>
  <r>
    <n v="29"/>
    <x v="1"/>
    <n v="3"/>
    <s v="Mon, Sat, Thu"/>
    <b v="0"/>
    <d v="1899-12-30T15:05:00"/>
    <d v="1899-12-30T16:19:00"/>
    <n v="74"/>
    <b v="0"/>
    <b v="1"/>
    <x v="1"/>
    <x v="1"/>
    <n v="30"/>
    <x v="0"/>
    <n v="30"/>
    <x v="1"/>
    <n v="0"/>
    <n v="30"/>
    <s v="Weekdays only"/>
    <s v="San Diego, CA"/>
    <n v="32.715699999999998"/>
    <n v="-117.1611"/>
    <d v="2025-05-08T00:00:00"/>
    <n v="4"/>
    <x v="1"/>
    <x v="24"/>
  </r>
  <r>
    <n v="48"/>
    <x v="0"/>
    <n v="2"/>
    <s v="Tue, Wed"/>
    <b v="0"/>
    <d v="1899-12-30T09:57:00"/>
    <d v="1899-12-30T12:35:00"/>
    <n v="158"/>
    <b v="0"/>
    <b v="1"/>
    <x v="1"/>
    <x v="0"/>
    <n v="50"/>
    <x v="1"/>
    <n v="37.5"/>
    <x v="3"/>
    <n v="0.15"/>
    <n v="31.875"/>
    <s v="All hours"/>
    <s v="San Francisco, CA"/>
    <n v="37.774900000000002"/>
    <n v="-122.4194"/>
    <d v="2024-12-29T00:00:00"/>
    <n v="4"/>
    <x v="1"/>
    <x v="4"/>
  </r>
  <r>
    <n v="20"/>
    <x v="0"/>
    <n v="2"/>
    <s v="Mon, Wed"/>
    <b v="0"/>
    <d v="1899-12-30T08:50:00"/>
    <d v="1899-12-30T10:13:00"/>
    <n v="83"/>
    <b v="0"/>
    <b v="0"/>
    <x v="0"/>
    <x v="0"/>
    <n v="50"/>
    <x v="0"/>
    <n v="50"/>
    <x v="0"/>
    <n v="0.05"/>
    <n v="47.5"/>
    <s v="All hours"/>
    <s v="Long Beach, CA"/>
    <n v="33.770099999999999"/>
    <n v="-118.19370000000001"/>
    <d v="2025-02-02T00:00:00"/>
    <n v="0"/>
    <x v="0"/>
    <x v="30"/>
  </r>
  <r>
    <n v="32"/>
    <x v="1"/>
    <n v="3"/>
    <s v="Mon, Sat, Wed"/>
    <b v="1"/>
    <d v="1899-12-30T17:29:00"/>
    <d v="1899-12-30T18:47:00"/>
    <n v="78"/>
    <b v="1"/>
    <b v="0"/>
    <x v="1"/>
    <x v="0"/>
    <n v="30"/>
    <x v="1"/>
    <n v="22.5"/>
    <x v="0"/>
    <n v="0.05"/>
    <n v="21.375"/>
    <s v="Weekdays only"/>
    <s v="Long Beach, CA"/>
    <n v="33.770099999999999"/>
    <n v="-118.19370000000001"/>
    <d v="2023-05-11T00:00:00"/>
    <n v="0"/>
    <x v="1"/>
    <x v="2"/>
  </r>
  <r>
    <n v="44"/>
    <x v="2"/>
    <n v="3"/>
    <s v="Fri, Mon, Tue"/>
    <b v="0"/>
    <d v="1899-12-30T10:31:00"/>
    <d v="1899-12-30T12:28:00"/>
    <n v="117"/>
    <b v="1"/>
    <b v="1"/>
    <x v="0"/>
    <x v="4"/>
    <n v="20"/>
    <x v="0"/>
    <n v="20"/>
    <x v="3"/>
    <n v="0.15"/>
    <n v="17"/>
    <s v="Off-peak only"/>
    <s v="Long Beach, CA"/>
    <n v="33.770099999999999"/>
    <n v="-118.19370000000001"/>
    <d v="2023-02-03T00:00:00"/>
    <n v="4"/>
    <x v="0"/>
    <x v="11"/>
  </r>
  <r>
    <n v="20"/>
    <x v="2"/>
    <n v="2"/>
    <s v="Fri, Wed"/>
    <b v="1"/>
    <d v="1899-12-30T17:52:00"/>
    <d v="1899-12-30T20:41:00"/>
    <n v="169"/>
    <b v="0"/>
    <b v="0"/>
    <x v="1"/>
    <x v="0"/>
    <n v="20"/>
    <x v="2"/>
    <n v="18"/>
    <x v="3"/>
    <n v="0.15"/>
    <n v="15.3"/>
    <s v="Off-peak only"/>
    <s v="Fresno, CA"/>
    <n v="36.7378"/>
    <n v="-119.7871"/>
    <d v="2024-11-07T00:00:00"/>
    <n v="0"/>
    <x v="0"/>
    <x v="12"/>
  </r>
  <r>
    <n v="32"/>
    <x v="1"/>
    <n v="5"/>
    <s v="Fri, Mon, Thu, Tue, Wed"/>
    <b v="1"/>
    <d v="1899-12-30T10:17:00"/>
    <d v="1899-12-30T13:05:00"/>
    <n v="168"/>
    <b v="1"/>
    <b v="0"/>
    <x v="0"/>
    <x v="4"/>
    <n v="30"/>
    <x v="2"/>
    <n v="27"/>
    <x v="1"/>
    <n v="0"/>
    <n v="27"/>
    <s v="Weekdays only"/>
    <s v="Sacramento, CA"/>
    <n v="38.581600000000002"/>
    <n v="-121.4944"/>
    <d v="2024-01-01T00:00:00"/>
    <n v="0"/>
    <x v="0"/>
    <x v="23"/>
  </r>
  <r>
    <n v="23"/>
    <x v="0"/>
    <n v="3"/>
    <s v="Mon, Sun, Thu"/>
    <b v="1"/>
    <d v="1899-12-30T10:03:00"/>
    <d v="1899-12-30T12:22:00"/>
    <n v="139"/>
    <b v="1"/>
    <b v="1"/>
    <x v="0"/>
    <x v="0"/>
    <n v="50"/>
    <x v="1"/>
    <n v="37.5"/>
    <x v="3"/>
    <n v="0.15"/>
    <n v="31.875"/>
    <s v="All hours"/>
    <s v="San Francisco, CA"/>
    <n v="37.774900000000002"/>
    <n v="-122.4194"/>
    <d v="2023-01-09T00:00:00"/>
    <n v="8"/>
    <x v="0"/>
    <x v="57"/>
  </r>
  <r>
    <n v="16"/>
    <x v="0"/>
    <n v="3"/>
    <s v="Sat, Sun, Wed"/>
    <b v="1"/>
    <d v="1899-12-30T13:30:00"/>
    <d v="1899-12-30T14:20:00"/>
    <n v="50"/>
    <b v="1"/>
    <b v="0"/>
    <x v="1"/>
    <x v="4"/>
    <n v="50"/>
    <x v="1"/>
    <n v="37.5"/>
    <x v="1"/>
    <n v="0"/>
    <n v="37.5"/>
    <s v="All hours"/>
    <s v="San Diego, CA"/>
    <n v="32.715699999999998"/>
    <n v="-117.1611"/>
    <d v="2023-05-04T00:00:00"/>
    <n v="0"/>
    <x v="0"/>
    <x v="2"/>
  </r>
  <r>
    <n v="15"/>
    <x v="3"/>
    <n v="3"/>
    <s v="Fri, Mon, Sun"/>
    <b v="1"/>
    <d v="1899-12-30T09:14:00"/>
    <d v="1899-12-30T11:28:00"/>
    <n v="134"/>
    <b v="1"/>
    <b v="0"/>
    <x v="1"/>
    <x v="2"/>
    <n v="70"/>
    <x v="0"/>
    <n v="70"/>
    <x v="1"/>
    <n v="0"/>
    <n v="70"/>
    <s v="All hours + Priority access"/>
    <s v="Oakland, CA"/>
    <n v="37.804400000000001"/>
    <n v="-122.27119999999999"/>
    <d v="2023-11-23T00:00:00"/>
    <n v="0"/>
    <x v="0"/>
    <x v="35"/>
  </r>
  <r>
    <n v="30"/>
    <x v="1"/>
    <n v="1"/>
    <s v="Fri"/>
    <b v="0"/>
    <d v="1899-12-30T17:59:00"/>
    <d v="1899-12-30T20:47:00"/>
    <n v="168"/>
    <b v="0"/>
    <b v="1"/>
    <x v="1"/>
    <x v="3"/>
    <n v="30"/>
    <x v="0"/>
    <n v="30"/>
    <x v="1"/>
    <n v="0"/>
    <n v="30"/>
    <s v="Weekdays only"/>
    <s v="San Francisco, CA"/>
    <n v="37.774900000000002"/>
    <n v="-122.4194"/>
    <d v="2023-10-03T00:00:00"/>
    <n v="6"/>
    <x v="0"/>
    <x v="3"/>
  </r>
  <r>
    <n v="43"/>
    <x v="0"/>
    <n v="4"/>
    <s v="Fri, Mon, Sat, Tue"/>
    <b v="1"/>
    <d v="1899-12-30T18:41:00"/>
    <d v="1899-12-30T21:36:00"/>
    <n v="175"/>
    <b v="0"/>
    <b v="1"/>
    <x v="0"/>
    <x v="4"/>
    <n v="50"/>
    <x v="1"/>
    <n v="37.5"/>
    <x v="3"/>
    <n v="0.15"/>
    <n v="31.875"/>
    <s v="All hours"/>
    <s v="Anaheim, CA"/>
    <n v="33.836599999999997"/>
    <n v="-117.9143"/>
    <d v="2023-12-29T00:00:00"/>
    <n v="7"/>
    <x v="1"/>
    <x v="23"/>
  </r>
  <r>
    <n v="34"/>
    <x v="2"/>
    <n v="1"/>
    <s v="Sun"/>
    <b v="0"/>
    <d v="1899-12-30T12:42:00"/>
    <d v="1899-12-30T13:21:00"/>
    <n v="39"/>
    <b v="1"/>
    <b v="1"/>
    <x v="1"/>
    <x v="0"/>
    <n v="20"/>
    <x v="1"/>
    <n v="15"/>
    <x v="1"/>
    <n v="0"/>
    <n v="15"/>
    <s v="Off-peak only"/>
    <s v="Los Angeles, CA"/>
    <n v="34.052199999999999"/>
    <n v="-118.2437"/>
    <d v="2024-08-10T00:00:00"/>
    <n v="7"/>
    <x v="1"/>
    <x v="18"/>
  </r>
  <r>
    <n v="39"/>
    <x v="0"/>
    <n v="5"/>
    <s v="Fri, Mon, Sun, Thu, Wed"/>
    <b v="1"/>
    <d v="1899-12-30T12:50:00"/>
    <d v="1899-12-30T14:58:00"/>
    <n v="128"/>
    <b v="0"/>
    <b v="1"/>
    <x v="1"/>
    <x v="0"/>
    <n v="50"/>
    <x v="1"/>
    <n v="37.5"/>
    <x v="0"/>
    <n v="0.05"/>
    <n v="35.625"/>
    <s v="All hours"/>
    <s v="Anaheim, CA"/>
    <n v="33.836599999999997"/>
    <n v="-117.9143"/>
    <d v="2023-10-30T00:00:00"/>
    <n v="2"/>
    <x v="0"/>
    <x v="50"/>
  </r>
  <r>
    <n v="47"/>
    <x v="3"/>
    <n v="2"/>
    <s v="Sat, Tue"/>
    <b v="0"/>
    <d v="1899-12-30T13:19:00"/>
    <d v="1899-12-30T14:50:00"/>
    <n v="91"/>
    <b v="1"/>
    <b v="1"/>
    <x v="1"/>
    <x v="4"/>
    <n v="70"/>
    <x v="1"/>
    <n v="52.5"/>
    <x v="2"/>
    <n v="0.1"/>
    <n v="47.25"/>
    <s v="All hours + Priority access"/>
    <s v="Los Angeles, CA"/>
    <n v="34.052199999999999"/>
    <n v="-118.2437"/>
    <d v="2023-06-20T00:00:00"/>
    <n v="4"/>
    <x v="0"/>
    <x v="28"/>
  </r>
  <r>
    <n v="45"/>
    <x v="2"/>
    <n v="2"/>
    <s v="Fri, Wed"/>
    <b v="1"/>
    <d v="1899-12-30T18:26:00"/>
    <d v="1899-12-30T21:21:00"/>
    <n v="175"/>
    <b v="1"/>
    <b v="1"/>
    <x v="0"/>
    <x v="0"/>
    <n v="20"/>
    <x v="1"/>
    <n v="15"/>
    <x v="3"/>
    <n v="0.15"/>
    <n v="12.75"/>
    <s v="Off-peak only"/>
    <s v="San Francisco, CA"/>
    <n v="37.774900000000002"/>
    <n v="-122.4194"/>
    <d v="2022-12-05T00:00:00"/>
    <n v="6"/>
    <x v="0"/>
    <x v="54"/>
  </r>
  <r>
    <n v="14"/>
    <x v="0"/>
    <n v="3"/>
    <s v="Fri, Tue, Wed"/>
    <b v="0"/>
    <d v="1899-12-30T20:52:00"/>
    <d v="1899-12-30T22:02:00"/>
    <n v="70"/>
    <b v="1"/>
    <b v="1"/>
    <x v="1"/>
    <x v="4"/>
    <n v="50"/>
    <x v="0"/>
    <n v="50"/>
    <x v="3"/>
    <n v="0.15"/>
    <n v="42.5"/>
    <s v="All hours"/>
    <s v="Fresno, CA"/>
    <n v="36.7378"/>
    <n v="-119.7871"/>
    <d v="2023-08-15T00:00:00"/>
    <n v="3"/>
    <x v="0"/>
    <x v="47"/>
  </r>
  <r>
    <n v="22"/>
    <x v="3"/>
    <n v="3"/>
    <s v="Fri, Thu, Wed"/>
    <b v="1"/>
    <d v="1899-12-30T11:46:00"/>
    <d v="1899-12-30T13:47:00"/>
    <n v="121"/>
    <b v="0"/>
    <b v="1"/>
    <x v="1"/>
    <x v="4"/>
    <n v="70"/>
    <x v="0"/>
    <n v="70"/>
    <x v="1"/>
    <n v="0"/>
    <n v="70"/>
    <s v="All hours + Priority access"/>
    <s v="San Diego, CA"/>
    <n v="32.715699999999998"/>
    <n v="-117.1611"/>
    <d v="2023-04-04T00:00:00"/>
    <n v="1"/>
    <x v="0"/>
    <x v="49"/>
  </r>
  <r>
    <n v="49"/>
    <x v="0"/>
    <n v="1"/>
    <s v="Tue"/>
    <b v="1"/>
    <d v="1899-12-30T20:23:00"/>
    <d v="1899-12-30T21:08:00"/>
    <n v="45"/>
    <b v="1"/>
    <b v="0"/>
    <x v="1"/>
    <x v="0"/>
    <n v="50"/>
    <x v="0"/>
    <n v="50"/>
    <x v="3"/>
    <n v="0.15"/>
    <n v="42.5"/>
    <s v="All hours"/>
    <s v="San Jose, CA"/>
    <n v="37.338200000000001"/>
    <n v="-121.88630000000001"/>
    <d v="2025-01-03T00:00:00"/>
    <n v="0"/>
    <x v="0"/>
    <x v="4"/>
  </r>
  <r>
    <n v="32"/>
    <x v="1"/>
    <n v="3"/>
    <s v="Mon, Sat, Wed"/>
    <b v="1"/>
    <d v="1899-12-30T17:29:00"/>
    <d v="1899-12-30T18:47:00"/>
    <n v="78"/>
    <b v="1"/>
    <b v="0"/>
    <x v="1"/>
    <x v="0"/>
    <n v="30"/>
    <x v="1"/>
    <n v="22.5"/>
    <x v="0"/>
    <n v="0.05"/>
    <n v="21.375"/>
    <s v="Weekdays only"/>
    <s v="Long Beach, CA"/>
    <n v="33.770099999999999"/>
    <n v="-118.19370000000001"/>
    <d v="2024-02-17T00:00:00"/>
    <n v="0"/>
    <x v="0"/>
    <x v="21"/>
  </r>
  <r>
    <n v="47"/>
    <x v="0"/>
    <n v="2"/>
    <s v="Mon, Sat"/>
    <b v="1"/>
    <d v="1899-12-30T08:39:00"/>
    <d v="1899-12-30T09:38:00"/>
    <n v="59"/>
    <b v="1"/>
    <b v="1"/>
    <x v="1"/>
    <x v="3"/>
    <n v="50"/>
    <x v="1"/>
    <n v="37.5"/>
    <x v="2"/>
    <n v="0.1"/>
    <n v="33.75"/>
    <s v="All hours"/>
    <s v="San Diego, CA"/>
    <n v="32.715699999999998"/>
    <n v="-117.1611"/>
    <d v="2025-06-13T00:00:00"/>
    <n v="6"/>
    <x v="0"/>
    <x v="44"/>
  </r>
  <r>
    <n v="17"/>
    <x v="1"/>
    <n v="3"/>
    <s v="Fri, Mon, Sun"/>
    <b v="0"/>
    <d v="1899-12-30T15:24:00"/>
    <d v="1899-12-30T17:42:00"/>
    <n v="138"/>
    <b v="0"/>
    <b v="0"/>
    <x v="1"/>
    <x v="0"/>
    <n v="30"/>
    <x v="1"/>
    <n v="22.5"/>
    <x v="1"/>
    <n v="0"/>
    <n v="22.5"/>
    <s v="Weekdays only"/>
    <s v="Long Beach, CA"/>
    <n v="33.770099999999999"/>
    <n v="-118.19370000000001"/>
    <d v="2024-10-03T00:00:00"/>
    <n v="0"/>
    <x v="1"/>
    <x v="51"/>
  </r>
  <r>
    <n v="29"/>
    <x v="3"/>
    <n v="2"/>
    <s v="Sun, Wed"/>
    <b v="0"/>
    <d v="1899-12-30T17:09:00"/>
    <d v="1899-12-30T18:06:00"/>
    <n v="57"/>
    <b v="0"/>
    <b v="1"/>
    <x v="1"/>
    <x v="0"/>
    <n v="70"/>
    <x v="0"/>
    <n v="70"/>
    <x v="1"/>
    <n v="0"/>
    <n v="70"/>
    <s v="All hours + Priority access"/>
    <s v="Los Angeles, CA"/>
    <n v="34.052199999999999"/>
    <n v="-118.2437"/>
    <d v="2023-05-11T00:00:00"/>
    <n v="8"/>
    <x v="0"/>
    <x v="2"/>
  </r>
  <r>
    <n v="35"/>
    <x v="2"/>
    <n v="5"/>
    <s v="Sat, Sun, Thu, Tue, Wed"/>
    <b v="0"/>
    <d v="1899-12-30T10:41:00"/>
    <d v="1899-12-30T13:41:00"/>
    <n v="180"/>
    <b v="0"/>
    <b v="0"/>
    <x v="1"/>
    <x v="4"/>
    <n v="20"/>
    <x v="0"/>
    <n v="20"/>
    <x v="3"/>
    <n v="0.15"/>
    <n v="17"/>
    <s v="Off-peak only"/>
    <s v="Anaheim, CA"/>
    <n v="33.836599999999997"/>
    <n v="-117.9143"/>
    <d v="2022-08-01T00:00:00"/>
    <n v="0"/>
    <x v="1"/>
    <x v="43"/>
  </r>
  <r>
    <n v="43"/>
    <x v="1"/>
    <n v="4"/>
    <s v="Mon, Sat, Tue, Wed"/>
    <b v="1"/>
    <d v="1899-12-30T10:38:00"/>
    <d v="1899-12-30T11:41:00"/>
    <n v="63"/>
    <b v="1"/>
    <b v="1"/>
    <x v="1"/>
    <x v="0"/>
    <n v="30"/>
    <x v="1"/>
    <n v="22.5"/>
    <x v="0"/>
    <n v="0.05"/>
    <n v="21.375"/>
    <s v="Weekdays only"/>
    <s v="Bakersfield, CA"/>
    <n v="35.3733"/>
    <n v="-119.0187"/>
    <d v="2025-03-09T00:00:00"/>
    <n v="7"/>
    <x v="0"/>
    <x v="27"/>
  </r>
  <r>
    <n v="43"/>
    <x v="0"/>
    <n v="5"/>
    <s v="Fri, Sat, Sun, Tue, Wed"/>
    <b v="0"/>
    <d v="1899-12-30T12:31:00"/>
    <d v="1899-12-30T14:11:00"/>
    <n v="100"/>
    <b v="1"/>
    <b v="1"/>
    <x v="0"/>
    <x v="4"/>
    <n v="50"/>
    <x v="0"/>
    <n v="50"/>
    <x v="1"/>
    <n v="0"/>
    <n v="50"/>
    <s v="All hours"/>
    <s v="Long Beach, CA"/>
    <n v="33.770099999999999"/>
    <n v="-118.19370000000001"/>
    <d v="2024-04-21T00:00:00"/>
    <n v="7"/>
    <x v="0"/>
    <x v="52"/>
  </r>
  <r>
    <n v="25"/>
    <x v="1"/>
    <n v="2"/>
    <s v="Thu, Wed"/>
    <b v="0"/>
    <d v="1899-12-30T10:38:00"/>
    <d v="1899-12-30T12:32:00"/>
    <n v="114"/>
    <b v="1"/>
    <b v="1"/>
    <x v="0"/>
    <x v="1"/>
    <n v="30"/>
    <x v="1"/>
    <n v="22.5"/>
    <x v="0"/>
    <n v="0.05"/>
    <n v="21.375"/>
    <s v="Weekdays only"/>
    <s v="Sacramento, CA"/>
    <n v="38.581600000000002"/>
    <n v="-121.4944"/>
    <d v="2023-02-21T00:00:00"/>
    <n v="3"/>
    <x v="1"/>
    <x v="26"/>
  </r>
  <r>
    <n v="33"/>
    <x v="0"/>
    <n v="3"/>
    <s v="Fri, Mon, Wed"/>
    <b v="1"/>
    <d v="1899-12-30T13:11:00"/>
    <d v="1899-12-30T15:56:00"/>
    <n v="165"/>
    <b v="1"/>
    <b v="0"/>
    <x v="0"/>
    <x v="0"/>
    <n v="50"/>
    <x v="0"/>
    <n v="50"/>
    <x v="0"/>
    <n v="0.05"/>
    <n v="47.5"/>
    <s v="All hours"/>
    <s v="Sacramento, CA"/>
    <n v="38.581600000000002"/>
    <n v="-121.4944"/>
    <d v="2024-11-17T00:00:00"/>
    <n v="0"/>
    <x v="0"/>
    <x v="12"/>
  </r>
  <r>
    <n v="39"/>
    <x v="3"/>
    <n v="4"/>
    <s v="Fri, Mon, Sat, Wed"/>
    <b v="1"/>
    <d v="1899-12-30T10:34:00"/>
    <d v="1899-12-30T11:27:00"/>
    <n v="53"/>
    <b v="0"/>
    <b v="0"/>
    <x v="1"/>
    <x v="2"/>
    <n v="70"/>
    <x v="1"/>
    <n v="52.5"/>
    <x v="2"/>
    <n v="0.1"/>
    <n v="47.25"/>
    <s v="All hours + Priority access"/>
    <s v="San Diego, CA"/>
    <n v="32.715699999999998"/>
    <n v="-117.1611"/>
    <d v="2023-11-09T00:00:00"/>
    <n v="0"/>
    <x v="0"/>
    <x v="50"/>
  </r>
  <r>
    <n v="14"/>
    <x v="0"/>
    <n v="1"/>
    <s v="Mon"/>
    <b v="1"/>
    <d v="1899-12-30T11:56:00"/>
    <d v="1899-12-30T13:37:00"/>
    <n v="101"/>
    <b v="0"/>
    <b v="0"/>
    <x v="0"/>
    <x v="0"/>
    <n v="50"/>
    <x v="1"/>
    <n v="37.5"/>
    <x v="1"/>
    <n v="0"/>
    <n v="37.5"/>
    <s v="All hours"/>
    <s v="Sacramento, CA"/>
    <n v="38.581600000000002"/>
    <n v="-121.4944"/>
    <d v="2023-05-04T00:00:00"/>
    <n v="0"/>
    <x v="0"/>
    <x v="2"/>
  </r>
  <r>
    <n v="13"/>
    <x v="1"/>
    <n v="2"/>
    <s v="Fri, Tue"/>
    <b v="0"/>
    <d v="1899-12-30T09:38:00"/>
    <d v="1899-12-30T10:11:00"/>
    <n v="33"/>
    <b v="0"/>
    <b v="0"/>
    <x v="1"/>
    <x v="4"/>
    <n v="30"/>
    <x v="2"/>
    <n v="27"/>
    <x v="0"/>
    <n v="0.05"/>
    <n v="25.65"/>
    <s v="Weekdays only"/>
    <s v="Long Beach, CA"/>
    <n v="33.770099999999999"/>
    <n v="-118.19370000000001"/>
    <d v="2023-09-05T00:00:00"/>
    <n v="0"/>
    <x v="1"/>
    <x v="7"/>
  </r>
  <r>
    <n v="40"/>
    <x v="0"/>
    <n v="4"/>
    <s v="Mon, Sat, Sun, Wed"/>
    <b v="1"/>
    <d v="1899-12-30T09:55:00"/>
    <d v="1899-12-30T10:43:00"/>
    <n v="48"/>
    <b v="0"/>
    <b v="0"/>
    <x v="1"/>
    <x v="1"/>
    <n v="50"/>
    <x v="0"/>
    <n v="50"/>
    <x v="1"/>
    <n v="0"/>
    <n v="50"/>
    <s v="All hours"/>
    <s v="Fresno, CA"/>
    <n v="36.7378"/>
    <n v="-119.7871"/>
    <d v="2024-12-04T00:00:00"/>
    <n v="0"/>
    <x v="0"/>
    <x v="14"/>
  </r>
  <r>
    <n v="29"/>
    <x v="0"/>
    <n v="5"/>
    <s v="Mon, Sat, Sun, Thu, Tue"/>
    <b v="0"/>
    <d v="1899-12-30T18:14:00"/>
    <d v="1899-12-30T21:04:00"/>
    <n v="170"/>
    <b v="0"/>
    <b v="0"/>
    <x v="0"/>
    <x v="0"/>
    <n v="50"/>
    <x v="0"/>
    <n v="50"/>
    <x v="2"/>
    <n v="0.1"/>
    <n v="45"/>
    <s v="All hours"/>
    <s v="Long Beach, CA"/>
    <n v="33.770099999999999"/>
    <n v="-118.19370000000001"/>
    <d v="2024-06-09T00:00:00"/>
    <n v="0"/>
    <x v="0"/>
    <x v="20"/>
  </r>
  <r>
    <n v="25"/>
    <x v="1"/>
    <n v="3"/>
    <s v="Sat, Sun, Tue"/>
    <b v="0"/>
    <d v="1899-12-30T17:21:00"/>
    <d v="1899-12-30T18:17:00"/>
    <n v="56"/>
    <b v="0"/>
    <b v="0"/>
    <x v="1"/>
    <x v="4"/>
    <n v="30"/>
    <x v="1"/>
    <n v="22.5"/>
    <x v="3"/>
    <n v="0.15"/>
    <n v="19.125"/>
    <s v="Weekdays only"/>
    <s v="Sacramento, CA"/>
    <n v="38.581600000000002"/>
    <n v="-121.4944"/>
    <d v="2023-03-11T00:00:00"/>
    <n v="0"/>
    <x v="1"/>
    <x v="22"/>
  </r>
  <r>
    <n v="49"/>
    <x v="0"/>
    <n v="3"/>
    <s v="Fri, Thu, Wed"/>
    <b v="1"/>
    <d v="1899-12-30T20:30:00"/>
    <d v="1899-12-30T21:24:00"/>
    <n v="54"/>
    <b v="1"/>
    <b v="1"/>
    <x v="1"/>
    <x v="0"/>
    <n v="50"/>
    <x v="0"/>
    <n v="50"/>
    <x v="2"/>
    <n v="0.1"/>
    <n v="45"/>
    <s v="All hours"/>
    <s v="San Jose, CA"/>
    <n v="37.338200000000001"/>
    <n v="-121.88630000000001"/>
    <d v="2023-11-10T00:00:00"/>
    <n v="3"/>
    <x v="0"/>
    <x v="50"/>
  </r>
  <r>
    <n v="45"/>
    <x v="0"/>
    <n v="3"/>
    <s v="Fri, Sat, Tue"/>
    <b v="1"/>
    <d v="1899-12-30T19:59:00"/>
    <d v="1899-12-30T20:57:00"/>
    <n v="58"/>
    <b v="1"/>
    <b v="0"/>
    <x v="1"/>
    <x v="2"/>
    <n v="50"/>
    <x v="2"/>
    <n v="45"/>
    <x v="2"/>
    <n v="0.1"/>
    <n v="40.5"/>
    <s v="All hours"/>
    <s v="San Diego, CA"/>
    <n v="32.715699999999998"/>
    <n v="-117.1611"/>
    <d v="2025-06-17T00:00:00"/>
    <n v="0"/>
    <x v="0"/>
    <x v="44"/>
  </r>
  <r>
    <n v="13"/>
    <x v="0"/>
    <n v="4"/>
    <s v="Sat, Sun, Thu, Tue"/>
    <b v="0"/>
    <d v="1899-12-30T14:47:00"/>
    <d v="1899-12-30T15:21:00"/>
    <n v="34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3-04-04T00:00:00"/>
    <n v="0"/>
    <x v="0"/>
    <x v="49"/>
  </r>
  <r>
    <n v="15"/>
    <x v="2"/>
    <n v="2"/>
    <s v="Mon, Tue"/>
    <b v="0"/>
    <d v="1899-12-30T16:51:00"/>
    <d v="1899-12-30T19:45:00"/>
    <n v="174"/>
    <b v="1"/>
    <b v="0"/>
    <x v="0"/>
    <x v="0"/>
    <n v="20"/>
    <x v="1"/>
    <n v="15"/>
    <x v="3"/>
    <n v="0.15"/>
    <n v="12.75"/>
    <s v="Off-peak only"/>
    <s v="Bakersfield, CA"/>
    <n v="35.3733"/>
    <n v="-119.0187"/>
    <d v="2025-05-16T00:00:00"/>
    <n v="0"/>
    <x v="0"/>
    <x v="24"/>
  </r>
  <r>
    <n v="40"/>
    <x v="0"/>
    <n v="2"/>
    <s v="Sat, Tue"/>
    <b v="1"/>
    <d v="1899-12-30T20:33:00"/>
    <d v="1899-12-30T21:52:00"/>
    <n v="79"/>
    <b v="1"/>
    <b v="1"/>
    <x v="1"/>
    <x v="1"/>
    <n v="50"/>
    <x v="1"/>
    <n v="37.5"/>
    <x v="3"/>
    <n v="0.15"/>
    <n v="31.875"/>
    <s v="All hours"/>
    <s v="Bakersfield, CA"/>
    <n v="35.3733"/>
    <n v="-119.0187"/>
    <d v="2023-04-20T00:00:00"/>
    <n v="8"/>
    <x v="1"/>
    <x v="58"/>
  </r>
  <r>
    <n v="43"/>
    <x v="0"/>
    <n v="5"/>
    <s v="Fri, Mon, Sat, Thu, Wed"/>
    <b v="0"/>
    <d v="1899-12-30T17:52:00"/>
    <d v="1899-12-30T20:52:00"/>
    <n v="180"/>
    <b v="0"/>
    <b v="1"/>
    <x v="0"/>
    <x v="0"/>
    <n v="50"/>
    <x v="1"/>
    <n v="37.5"/>
    <x v="1"/>
    <n v="0"/>
    <n v="37.5"/>
    <s v="All hours"/>
    <s v="San Francisco, CA"/>
    <n v="37.774900000000002"/>
    <n v="-122.4194"/>
    <d v="2024-11-19T00:00:00"/>
    <n v="1"/>
    <x v="0"/>
    <x v="12"/>
  </r>
  <r>
    <n v="33"/>
    <x v="2"/>
    <n v="4"/>
    <s v="Fri, Mon, Sun, Thu"/>
    <b v="0"/>
    <d v="1899-12-30T10:24:00"/>
    <d v="1899-12-30T11:48:00"/>
    <n v="84"/>
    <b v="1"/>
    <b v="0"/>
    <x v="0"/>
    <x v="0"/>
    <n v="20"/>
    <x v="0"/>
    <n v="20"/>
    <x v="2"/>
    <n v="0.1"/>
    <n v="18"/>
    <s v="Off-peak only"/>
    <s v="San Diego, CA"/>
    <n v="32.715699999999998"/>
    <n v="-117.1611"/>
    <d v="2022-09-06T00:00:00"/>
    <n v="0"/>
    <x v="1"/>
    <x v="1"/>
  </r>
  <r>
    <n v="22"/>
    <x v="1"/>
    <n v="3"/>
    <s v="Fri, Sun, Tue"/>
    <b v="0"/>
    <d v="1899-12-30T17:13:00"/>
    <d v="1899-12-30T18:24:00"/>
    <n v="71"/>
    <b v="0"/>
    <b v="0"/>
    <x v="1"/>
    <x v="2"/>
    <n v="30"/>
    <x v="1"/>
    <n v="22.5"/>
    <x v="0"/>
    <n v="0.05"/>
    <n v="21.375"/>
    <s v="Weekdays only"/>
    <s v="San Diego, CA"/>
    <n v="32.715699999999998"/>
    <n v="-117.1611"/>
    <d v="2024-05-27T00:00:00"/>
    <n v="0"/>
    <x v="1"/>
    <x v="0"/>
  </r>
  <r>
    <n v="34"/>
    <x v="0"/>
    <n v="3"/>
    <s v="Fri, Thu, Tue"/>
    <b v="0"/>
    <d v="1899-12-30T15:41:00"/>
    <d v="1899-12-30T17:04:00"/>
    <n v="83"/>
    <b v="1"/>
    <b v="1"/>
    <x v="0"/>
    <x v="4"/>
    <n v="50"/>
    <x v="0"/>
    <n v="50"/>
    <x v="0"/>
    <n v="0.05"/>
    <n v="47.5"/>
    <s v="All hours"/>
    <s v="San Diego, CA"/>
    <n v="32.715699999999998"/>
    <n v="-117.1611"/>
    <d v="2024-07-09T00:00:00"/>
    <n v="3"/>
    <x v="0"/>
    <x v="39"/>
  </r>
  <r>
    <n v="23"/>
    <x v="1"/>
    <n v="2"/>
    <s v="Sat, Thu"/>
    <b v="0"/>
    <d v="1899-12-30T11:56:00"/>
    <d v="1899-12-30T13:42:00"/>
    <n v="106"/>
    <b v="0"/>
    <b v="1"/>
    <x v="1"/>
    <x v="4"/>
    <n v="30"/>
    <x v="0"/>
    <n v="30"/>
    <x v="0"/>
    <n v="0.05"/>
    <n v="28.5"/>
    <s v="Weekdays only"/>
    <s v="Fresno, CA"/>
    <n v="36.7378"/>
    <n v="-119.7871"/>
    <d v="2025-01-15T00:00:00"/>
    <n v="2"/>
    <x v="0"/>
    <x v="19"/>
  </r>
  <r>
    <n v="19"/>
    <x v="0"/>
    <n v="3"/>
    <s v="Mon, Sun, Wed"/>
    <b v="0"/>
    <d v="1899-12-30T14:34:00"/>
    <d v="1899-12-30T15:34:00"/>
    <n v="60"/>
    <b v="1"/>
    <b v="0"/>
    <x v="1"/>
    <x v="3"/>
    <n v="50"/>
    <x v="0"/>
    <n v="50"/>
    <x v="3"/>
    <n v="0.15"/>
    <n v="42.5"/>
    <s v="All hours"/>
    <s v="San Francisco, CA"/>
    <n v="37.774900000000002"/>
    <n v="-122.4194"/>
    <d v="2024-08-01T00:00:00"/>
    <n v="0"/>
    <x v="0"/>
    <x v="15"/>
  </r>
  <r>
    <n v="27"/>
    <x v="2"/>
    <n v="2"/>
    <s v="Fri, Tue"/>
    <b v="1"/>
    <d v="1899-12-30T11:35:00"/>
    <d v="1899-12-30T13:34:00"/>
    <n v="119"/>
    <b v="1"/>
    <b v="0"/>
    <x v="1"/>
    <x v="0"/>
    <n v="20"/>
    <x v="0"/>
    <n v="20"/>
    <x v="0"/>
    <n v="0.05"/>
    <n v="19"/>
    <s v="Off-peak only"/>
    <s v="Oakland, CA"/>
    <n v="37.804400000000001"/>
    <n v="-122.27119999999999"/>
    <d v="2022-12-02T00:00:00"/>
    <n v="0"/>
    <x v="0"/>
    <x v="54"/>
  </r>
  <r>
    <n v="37"/>
    <x v="2"/>
    <n v="3"/>
    <s v="Fri, Sat, Sun"/>
    <b v="0"/>
    <d v="1899-12-30T09:25:00"/>
    <d v="1899-12-30T12:06:00"/>
    <n v="161"/>
    <b v="0"/>
    <b v="1"/>
    <x v="1"/>
    <x v="0"/>
    <n v="20"/>
    <x v="0"/>
    <n v="20"/>
    <x v="3"/>
    <n v="0.15"/>
    <n v="17"/>
    <s v="Off-peak only"/>
    <s v="Long Beach, CA"/>
    <n v="33.770099999999999"/>
    <n v="-118.19370000000001"/>
    <d v="2022-07-27T00:00:00"/>
    <n v="1"/>
    <x v="1"/>
    <x v="43"/>
  </r>
  <r>
    <n v="25"/>
    <x v="0"/>
    <n v="2"/>
    <s v="Thu, Tue"/>
    <b v="0"/>
    <d v="1899-12-30T10:55:00"/>
    <d v="1899-12-30T13:51:00"/>
    <n v="176"/>
    <b v="1"/>
    <b v="0"/>
    <x v="1"/>
    <x v="4"/>
    <n v="50"/>
    <x v="1"/>
    <n v="37.5"/>
    <x v="1"/>
    <n v="0"/>
    <n v="37.5"/>
    <s v="All hours"/>
    <s v="Sacramento, CA"/>
    <n v="38.581600000000002"/>
    <n v="-121.4944"/>
    <d v="2024-05-26T00:00:00"/>
    <n v="0"/>
    <x v="0"/>
    <x v="0"/>
  </r>
  <r>
    <n v="49"/>
    <x v="1"/>
    <n v="3"/>
    <s v="Mon, Sat, Sun"/>
    <b v="0"/>
    <d v="1899-12-30T15:25:00"/>
    <d v="1899-12-30T18:05:00"/>
    <n v="160"/>
    <b v="1"/>
    <b v="0"/>
    <x v="1"/>
    <x v="4"/>
    <n v="30"/>
    <x v="0"/>
    <n v="30"/>
    <x v="2"/>
    <n v="0.1"/>
    <n v="27"/>
    <s v="Weekdays only"/>
    <s v="Los Angeles, CA"/>
    <n v="34.052199999999999"/>
    <n v="-118.2437"/>
    <d v="2024-03-02T00:00:00"/>
    <n v="0"/>
    <x v="1"/>
    <x v="29"/>
  </r>
  <r>
    <n v="37"/>
    <x v="2"/>
    <n v="2"/>
    <s v="Fri, Thu"/>
    <b v="1"/>
    <d v="1899-12-30T19:39:00"/>
    <d v="1899-12-30T20:39:00"/>
    <n v="60"/>
    <b v="0"/>
    <b v="0"/>
    <x v="1"/>
    <x v="4"/>
    <n v="20"/>
    <x v="2"/>
    <n v="18"/>
    <x v="1"/>
    <n v="0"/>
    <n v="18"/>
    <s v="Off-peak only"/>
    <s v="Bakersfield, CA"/>
    <n v="35.3733"/>
    <n v="-119.0187"/>
    <d v="2023-05-15T00:00:00"/>
    <n v="0"/>
    <x v="1"/>
    <x v="2"/>
  </r>
  <r>
    <n v="20"/>
    <x v="3"/>
    <n v="2"/>
    <s v="Sun, Thu"/>
    <b v="1"/>
    <d v="1899-12-30T09:26:00"/>
    <d v="1899-12-30T10:35:00"/>
    <n v="69"/>
    <b v="0"/>
    <b v="0"/>
    <x v="0"/>
    <x v="2"/>
    <n v="70"/>
    <x v="0"/>
    <n v="70"/>
    <x v="1"/>
    <n v="0"/>
    <n v="70"/>
    <s v="All hours + Priority access"/>
    <s v="San Diego, CA"/>
    <n v="32.715699999999998"/>
    <n v="-117.1611"/>
    <d v="2022-11-22T00:00:00"/>
    <n v="0"/>
    <x v="1"/>
    <x v="37"/>
  </r>
  <r>
    <n v="32"/>
    <x v="2"/>
    <n v="3"/>
    <s v="Fri, Sun, Wed"/>
    <b v="1"/>
    <d v="1899-12-30T14:52:00"/>
    <d v="1899-12-30T17:32:00"/>
    <n v="160"/>
    <b v="0"/>
    <b v="0"/>
    <x v="0"/>
    <x v="0"/>
    <n v="20"/>
    <x v="0"/>
    <n v="20"/>
    <x v="0"/>
    <n v="0.05"/>
    <n v="19"/>
    <s v="Off-peak only"/>
    <s v="Sacramento, CA"/>
    <n v="38.581600000000002"/>
    <n v="-121.4944"/>
    <d v="2023-09-30T00:00:00"/>
    <n v="0"/>
    <x v="0"/>
    <x v="3"/>
  </r>
  <r>
    <n v="26"/>
    <x v="1"/>
    <n v="3"/>
    <s v="Thu, Tue, Wed"/>
    <b v="0"/>
    <d v="1899-12-30T14:54:00"/>
    <d v="1899-12-30T16:46:00"/>
    <n v="112"/>
    <b v="1"/>
    <b v="1"/>
    <x v="1"/>
    <x v="1"/>
    <n v="30"/>
    <x v="0"/>
    <n v="30"/>
    <x v="3"/>
    <n v="0.15"/>
    <n v="25.5"/>
    <s v="Weekdays only"/>
    <s v="Sacramento, CA"/>
    <n v="38.581600000000002"/>
    <n v="-121.4944"/>
    <d v="2024-05-02T00:00:00"/>
    <n v="3"/>
    <x v="0"/>
    <x v="40"/>
  </r>
  <r>
    <n v="37"/>
    <x v="1"/>
    <n v="1"/>
    <s v="Mon"/>
    <b v="1"/>
    <d v="1899-12-30T16:45:00"/>
    <d v="1899-12-30T18:58:00"/>
    <n v="133"/>
    <b v="0"/>
    <b v="0"/>
    <x v="0"/>
    <x v="0"/>
    <n v="30"/>
    <x v="1"/>
    <n v="22.5"/>
    <x v="1"/>
    <n v="0"/>
    <n v="22.5"/>
    <s v="Weekdays only"/>
    <s v="Oakland, CA"/>
    <n v="37.804400000000001"/>
    <n v="-122.27119999999999"/>
    <d v="2024-04-09T00:00:00"/>
    <n v="0"/>
    <x v="1"/>
    <x v="52"/>
  </r>
  <r>
    <n v="16"/>
    <x v="3"/>
    <n v="3"/>
    <s v="Sat, Tue, Wed"/>
    <b v="0"/>
    <d v="1899-12-30T18:39:00"/>
    <d v="1899-12-30T20:54:00"/>
    <n v="135"/>
    <b v="0"/>
    <b v="0"/>
    <x v="0"/>
    <x v="0"/>
    <n v="70"/>
    <x v="2"/>
    <n v="63"/>
    <x v="1"/>
    <n v="0"/>
    <n v="63"/>
    <s v="All hours + Priority access"/>
    <s v="Bakersfield, CA"/>
    <n v="35.3733"/>
    <n v="-119.0187"/>
    <d v="2025-06-19T00:00:00"/>
    <n v="0"/>
    <x v="1"/>
    <x v="44"/>
  </r>
  <r>
    <n v="15"/>
    <x v="0"/>
    <n v="2"/>
    <s v="Mon, Sun"/>
    <b v="1"/>
    <d v="1899-12-30T20:07:00"/>
    <d v="1899-12-30T21:39:00"/>
    <n v="92"/>
    <b v="1"/>
    <b v="0"/>
    <x v="0"/>
    <x v="4"/>
    <n v="50"/>
    <x v="0"/>
    <n v="50"/>
    <x v="0"/>
    <n v="0.05"/>
    <n v="47.5"/>
    <s v="All hours"/>
    <s v="Oakland, CA"/>
    <n v="37.804400000000001"/>
    <n v="-122.27119999999999"/>
    <d v="2023-09-02T00:00:00"/>
    <n v="0"/>
    <x v="0"/>
    <x v="46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4-06-09T00:00:00"/>
    <n v="5"/>
    <x v="1"/>
    <x v="20"/>
  </r>
  <r>
    <n v="21"/>
    <x v="0"/>
    <n v="2"/>
    <s v="Mon, Wed"/>
    <b v="1"/>
    <d v="1899-12-30T18:40:00"/>
    <d v="1899-12-30T21:21:00"/>
    <n v="161"/>
    <b v="1"/>
    <b v="1"/>
    <x v="1"/>
    <x v="2"/>
    <n v="50"/>
    <x v="0"/>
    <n v="50"/>
    <x v="0"/>
    <n v="0.05"/>
    <n v="47.5"/>
    <s v="All hours"/>
    <s v="Los Angeles, CA"/>
    <n v="34.052199999999999"/>
    <n v="-118.2437"/>
    <d v="2023-02-28T00:00:00"/>
    <n v="6"/>
    <x v="1"/>
    <x v="22"/>
  </r>
  <r>
    <n v="27"/>
    <x v="0"/>
    <n v="3"/>
    <s v="Fri, Sat, Thu"/>
    <b v="1"/>
    <d v="1899-12-30T10:48:00"/>
    <d v="1899-12-30T13:15:00"/>
    <n v="147"/>
    <b v="1"/>
    <b v="0"/>
    <x v="0"/>
    <x v="1"/>
    <n v="50"/>
    <x v="1"/>
    <n v="37.5"/>
    <x v="1"/>
    <n v="0"/>
    <n v="37.5"/>
    <s v="All hours"/>
    <s v="Anaheim, CA"/>
    <n v="33.836599999999997"/>
    <n v="-117.9143"/>
    <d v="2025-03-15T00:00:00"/>
    <n v="0"/>
    <x v="0"/>
    <x v="27"/>
  </r>
  <r>
    <n v="17"/>
    <x v="0"/>
    <n v="3"/>
    <s v="Sat, Thu, Tue"/>
    <b v="1"/>
    <d v="1899-12-30T15:41:00"/>
    <d v="1899-12-30T16:58:00"/>
    <n v="77"/>
    <b v="1"/>
    <b v="1"/>
    <x v="0"/>
    <x v="4"/>
    <n v="50"/>
    <x v="1"/>
    <n v="37.5"/>
    <x v="2"/>
    <n v="0.1"/>
    <n v="33.75"/>
    <s v="All hours"/>
    <s v="San Francisco, CA"/>
    <n v="37.774900000000002"/>
    <n v="-122.4194"/>
    <d v="2023-10-05T00:00:00"/>
    <n v="3"/>
    <x v="0"/>
    <x v="3"/>
  </r>
  <r>
    <n v="20"/>
    <x v="0"/>
    <n v="3"/>
    <s v="Fri, Thu, Tue"/>
    <b v="0"/>
    <d v="1899-12-30T08:23:00"/>
    <d v="1899-12-30T11:22:00"/>
    <n v="179"/>
    <b v="0"/>
    <b v="0"/>
    <x v="0"/>
    <x v="0"/>
    <n v="50"/>
    <x v="0"/>
    <n v="50"/>
    <x v="0"/>
    <n v="0.05"/>
    <n v="47.5"/>
    <s v="All hours"/>
    <s v="San Diego, CA"/>
    <n v="32.715699999999998"/>
    <n v="-117.1611"/>
    <d v="2024-01-27T00:00:00"/>
    <n v="0"/>
    <x v="0"/>
    <x v="48"/>
  </r>
  <r>
    <n v="31"/>
    <x v="0"/>
    <n v="4"/>
    <s v="Fri, Mon, Sat, Thu"/>
    <b v="0"/>
    <d v="1899-12-30T11:54:00"/>
    <d v="1899-12-30T13:21:00"/>
    <n v="87"/>
    <b v="0"/>
    <b v="0"/>
    <x v="1"/>
    <x v="0"/>
    <n v="50"/>
    <x v="1"/>
    <n v="37.5"/>
    <x v="1"/>
    <n v="0"/>
    <n v="37.5"/>
    <s v="All hours"/>
    <s v="Sacramento, CA"/>
    <n v="38.581600000000002"/>
    <n v="-121.4944"/>
    <d v="2023-08-08T00:00:00"/>
    <n v="0"/>
    <x v="1"/>
    <x v="47"/>
  </r>
  <r>
    <n v="15"/>
    <x v="0"/>
    <n v="1"/>
    <s v="Mon"/>
    <b v="0"/>
    <d v="1899-12-30T17:19:00"/>
    <d v="1899-12-30T20:19:00"/>
    <n v="180"/>
    <b v="0"/>
    <b v="0"/>
    <x v="1"/>
    <x v="0"/>
    <n v="50"/>
    <x v="1"/>
    <n v="37.5"/>
    <x v="0"/>
    <n v="0.05"/>
    <n v="35.625"/>
    <s v="All hours"/>
    <s v="Sacramento, CA"/>
    <n v="38.581600000000002"/>
    <n v="-121.4944"/>
    <d v="2025-04-14T00:00:00"/>
    <n v="0"/>
    <x v="0"/>
    <x v="5"/>
  </r>
  <r>
    <n v="26"/>
    <x v="2"/>
    <n v="2"/>
    <s v="Sun, Tue"/>
    <b v="1"/>
    <d v="1899-12-30T15:52:00"/>
    <d v="1899-12-30T18:05:00"/>
    <n v="133"/>
    <b v="0"/>
    <b v="0"/>
    <x v="0"/>
    <x v="4"/>
    <n v="20"/>
    <x v="0"/>
    <n v="20"/>
    <x v="1"/>
    <n v="0"/>
    <n v="20"/>
    <s v="Off-peak only"/>
    <s v="Bakersfield, CA"/>
    <n v="35.3733"/>
    <n v="-119.0187"/>
    <d v="2023-10-14T00:00:00"/>
    <n v="0"/>
    <x v="1"/>
    <x v="59"/>
  </r>
  <r>
    <n v="47"/>
    <x v="1"/>
    <n v="1"/>
    <s v="Sun"/>
    <b v="1"/>
    <d v="1899-12-30T12:24:00"/>
    <d v="1899-12-30T13:14:00"/>
    <n v="50"/>
    <b v="0"/>
    <b v="1"/>
    <x v="1"/>
    <x v="0"/>
    <n v="30"/>
    <x v="1"/>
    <n v="22.5"/>
    <x v="0"/>
    <n v="0.05"/>
    <n v="21.375"/>
    <s v="Weekdays only"/>
    <s v="San Francisco, CA"/>
    <n v="37.774900000000002"/>
    <n v="-122.4194"/>
    <d v="2023-11-03T00:00:00"/>
    <n v="2"/>
    <x v="1"/>
    <x v="50"/>
  </r>
  <r>
    <n v="37"/>
    <x v="2"/>
    <n v="3"/>
    <s v="Mon, Tue, Wed"/>
    <b v="1"/>
    <d v="1899-12-30T18:07:00"/>
    <d v="1899-12-30T20:01:00"/>
    <n v="114"/>
    <b v="0"/>
    <b v="0"/>
    <x v="1"/>
    <x v="1"/>
    <n v="20"/>
    <x v="1"/>
    <n v="15"/>
    <x v="1"/>
    <n v="0"/>
    <n v="15"/>
    <s v="Off-peak only"/>
    <s v="Los Angeles, CA"/>
    <n v="34.052199999999999"/>
    <n v="-118.2437"/>
    <d v="2023-11-03T00:00:00"/>
    <n v="0"/>
    <x v="1"/>
    <x v="50"/>
  </r>
  <r>
    <n v="12"/>
    <x v="1"/>
    <n v="2"/>
    <s v="Mon, Tue"/>
    <b v="1"/>
    <d v="1899-12-30T09:49:00"/>
    <d v="1899-12-30T11:30:00"/>
    <n v="101"/>
    <b v="0"/>
    <b v="1"/>
    <x v="0"/>
    <x v="4"/>
    <n v="30"/>
    <x v="1"/>
    <n v="22.5"/>
    <x v="1"/>
    <n v="0"/>
    <n v="22.5"/>
    <s v="Weekdays only"/>
    <s v="Fresno, CA"/>
    <n v="36.7378"/>
    <n v="-119.7871"/>
    <d v="2023-09-19T00:00:00"/>
    <n v="4"/>
    <x v="1"/>
    <x v="7"/>
  </r>
  <r>
    <n v="27"/>
    <x v="0"/>
    <n v="3"/>
    <s v="Fri, Sat, Thu"/>
    <b v="1"/>
    <d v="1899-12-30T10:48:00"/>
    <d v="1899-12-30T13:15:00"/>
    <n v="147"/>
    <b v="1"/>
    <b v="0"/>
    <x v="0"/>
    <x v="1"/>
    <n v="50"/>
    <x v="1"/>
    <n v="37.5"/>
    <x v="1"/>
    <n v="0"/>
    <n v="37.5"/>
    <s v="All hours"/>
    <s v="Anaheim, CA"/>
    <n v="33.836599999999997"/>
    <n v="-117.9143"/>
    <d v="2023-07-03T00:00:00"/>
    <n v="0"/>
    <x v="0"/>
    <x v="56"/>
  </r>
  <r>
    <n v="25"/>
    <x v="0"/>
    <n v="1"/>
    <s v="Sat"/>
    <b v="0"/>
    <d v="1899-12-30T15:55:00"/>
    <d v="1899-12-30T16:50:00"/>
    <n v="55"/>
    <b v="1"/>
    <b v="0"/>
    <x v="1"/>
    <x v="0"/>
    <n v="50"/>
    <x v="0"/>
    <n v="50"/>
    <x v="1"/>
    <n v="0"/>
    <n v="50"/>
    <s v="All hours"/>
    <s v="San Francisco, CA"/>
    <n v="37.774900000000002"/>
    <n v="-122.4194"/>
    <d v="2023-02-16T00:00:00"/>
    <n v="0"/>
    <x v="1"/>
    <x v="26"/>
  </r>
  <r>
    <n v="19"/>
    <x v="0"/>
    <n v="3"/>
    <s v="Sat, Sun, Thu"/>
    <b v="0"/>
    <d v="1899-12-30T17:43:00"/>
    <d v="1899-12-30T18:34:00"/>
    <n v="51"/>
    <b v="0"/>
    <b v="1"/>
    <x v="1"/>
    <x v="4"/>
    <n v="50"/>
    <x v="1"/>
    <n v="37.5"/>
    <x v="0"/>
    <n v="0.05"/>
    <n v="35.625"/>
    <s v="All hours"/>
    <s v="San Jose, CA"/>
    <n v="37.338200000000001"/>
    <n v="-121.88630000000001"/>
    <d v="2024-09-08T00:00:00"/>
    <n v="3"/>
    <x v="1"/>
    <x v="41"/>
  </r>
  <r>
    <n v="36"/>
    <x v="3"/>
    <n v="2"/>
    <s v="Mon, Sun"/>
    <b v="0"/>
    <d v="1899-12-30T15:38:00"/>
    <d v="1899-12-30T17:36:00"/>
    <n v="118"/>
    <b v="0"/>
    <b v="1"/>
    <x v="0"/>
    <x v="4"/>
    <n v="70"/>
    <x v="0"/>
    <n v="70"/>
    <x v="0"/>
    <n v="0.05"/>
    <n v="66.5"/>
    <s v="All hours + Priority access"/>
    <s v="Los Angeles, CA"/>
    <n v="34.052199999999999"/>
    <n v="-118.2437"/>
    <d v="2023-01-26T00:00:00"/>
    <n v="7"/>
    <x v="1"/>
    <x v="11"/>
  </r>
  <r>
    <n v="18"/>
    <x v="1"/>
    <n v="3"/>
    <s v="Mon, Sat, Sun"/>
    <b v="0"/>
    <d v="1899-12-30T11:06:00"/>
    <d v="1899-12-30T13:25:00"/>
    <n v="139"/>
    <b v="0"/>
    <b v="0"/>
    <x v="0"/>
    <x v="4"/>
    <n v="30"/>
    <x v="0"/>
    <n v="30"/>
    <x v="1"/>
    <n v="0"/>
    <n v="30"/>
    <s v="Weekdays only"/>
    <s v="Oakland, CA"/>
    <n v="37.804400000000001"/>
    <n v="-122.27119999999999"/>
    <d v="2024-01-09T00:00:00"/>
    <n v="0"/>
    <x v="0"/>
    <x v="31"/>
  </r>
  <r>
    <n v="23"/>
    <x v="2"/>
    <n v="3"/>
    <s v="Fri, Sat, Thu"/>
    <b v="1"/>
    <d v="1899-12-30T13:06:00"/>
    <d v="1899-12-30T14:35:00"/>
    <n v="89"/>
    <b v="1"/>
    <b v="1"/>
    <x v="0"/>
    <x v="0"/>
    <n v="20"/>
    <x v="1"/>
    <n v="15"/>
    <x v="2"/>
    <n v="0.1"/>
    <n v="13.5"/>
    <s v="Off-peak only"/>
    <s v="San Francisco, CA"/>
    <n v="37.774900000000002"/>
    <n v="-122.4194"/>
    <d v="2025-04-01T00:00:00"/>
    <n v="7"/>
    <x v="1"/>
    <x v="42"/>
  </r>
  <r>
    <n v="49"/>
    <x v="3"/>
    <n v="5"/>
    <s v="Sat, Sun, Thu, Tue, Wed"/>
    <b v="1"/>
    <d v="1899-12-30T08:15:00"/>
    <d v="1899-12-30T08:50:00"/>
    <n v="35"/>
    <b v="0"/>
    <b v="0"/>
    <x v="0"/>
    <x v="0"/>
    <n v="70"/>
    <x v="0"/>
    <n v="70"/>
    <x v="1"/>
    <n v="0"/>
    <n v="70"/>
    <s v="All hours + Priority access"/>
    <s v="Los Angeles, CA"/>
    <n v="34.052199999999999"/>
    <n v="-118.2437"/>
    <d v="2025-04-21T00:00:00"/>
    <n v="0"/>
    <x v="0"/>
    <x v="5"/>
  </r>
  <r>
    <n v="34"/>
    <x v="1"/>
    <n v="2"/>
    <s v="Mon, Sat"/>
    <b v="0"/>
    <d v="1899-12-30T18:44:00"/>
    <d v="1899-12-30T19:47:00"/>
    <n v="63"/>
    <b v="1"/>
    <b v="0"/>
    <x v="1"/>
    <x v="0"/>
    <n v="30"/>
    <x v="0"/>
    <n v="30"/>
    <x v="0"/>
    <n v="0.05"/>
    <n v="28.5"/>
    <s v="Weekdays only"/>
    <s v="Long Beach, CA"/>
    <n v="33.770099999999999"/>
    <n v="-118.19370000000001"/>
    <d v="2024-07-02T00:00:00"/>
    <n v="0"/>
    <x v="1"/>
    <x v="55"/>
  </r>
  <r>
    <n v="21"/>
    <x v="0"/>
    <n v="3"/>
    <s v="Fri, Sat, Tue"/>
    <b v="0"/>
    <d v="1899-12-30T09:22:00"/>
    <d v="1899-12-30T10:52:00"/>
    <n v="90"/>
    <b v="1"/>
    <b v="1"/>
    <x v="0"/>
    <x v="0"/>
    <n v="50"/>
    <x v="0"/>
    <n v="50"/>
    <x v="1"/>
    <n v="0"/>
    <n v="50"/>
    <s v="All hours"/>
    <s v="Bakersfield, CA"/>
    <n v="35.3733"/>
    <n v="-119.0187"/>
    <d v="2023-03-10T00:00:00"/>
    <n v="7"/>
    <x v="0"/>
    <x v="22"/>
  </r>
  <r>
    <n v="47"/>
    <x v="1"/>
    <n v="1"/>
    <s v="Sun"/>
    <b v="0"/>
    <d v="1899-12-30T16:23:00"/>
    <d v="1899-12-30T18:07:00"/>
    <n v="104"/>
    <b v="0"/>
    <b v="1"/>
    <x v="0"/>
    <x v="2"/>
    <n v="30"/>
    <x v="0"/>
    <n v="30"/>
    <x v="3"/>
    <n v="0.15"/>
    <n v="25.5"/>
    <s v="Weekdays only"/>
    <s v="Sacramento, CA"/>
    <n v="38.581600000000002"/>
    <n v="-121.4944"/>
    <d v="2023-05-31T00:00:00"/>
    <n v="4"/>
    <x v="1"/>
    <x v="8"/>
  </r>
  <r>
    <n v="47"/>
    <x v="0"/>
    <n v="2"/>
    <s v="Mon, Wed"/>
    <b v="1"/>
    <d v="1899-12-30T18:47:00"/>
    <d v="1899-12-30T21:35:00"/>
    <n v="168"/>
    <b v="1"/>
    <b v="0"/>
    <x v="0"/>
    <x v="0"/>
    <n v="50"/>
    <x v="1"/>
    <n v="37.5"/>
    <x v="0"/>
    <n v="0.05"/>
    <n v="35.625"/>
    <s v="All hours"/>
    <s v="Sacramento, CA"/>
    <n v="38.581600000000002"/>
    <n v="-121.4944"/>
    <d v="2023-03-06T00:00:00"/>
    <n v="0"/>
    <x v="0"/>
    <x v="22"/>
  </r>
  <r>
    <n v="36"/>
    <x v="1"/>
    <n v="3"/>
    <s v="Fri, Thu, Tue"/>
    <b v="1"/>
    <d v="1899-12-30T17:33:00"/>
    <d v="1899-12-30T19:16:00"/>
    <n v="103"/>
    <b v="0"/>
    <b v="0"/>
    <x v="1"/>
    <x v="4"/>
    <n v="30"/>
    <x v="1"/>
    <n v="22.5"/>
    <x v="0"/>
    <n v="0.05"/>
    <n v="21.375"/>
    <s v="Weekdays only"/>
    <s v="Bakersfield, CA"/>
    <n v="35.3733"/>
    <n v="-119.0187"/>
    <d v="2023-12-20T00:00:00"/>
    <n v="0"/>
    <x v="1"/>
    <x v="16"/>
  </r>
  <r>
    <n v="35"/>
    <x v="2"/>
    <n v="2"/>
    <s v="Fri, Mon"/>
    <b v="1"/>
    <d v="1899-12-30T16:20:00"/>
    <d v="1899-12-30T17:21:00"/>
    <n v="61"/>
    <b v="1"/>
    <b v="1"/>
    <x v="0"/>
    <x v="4"/>
    <n v="20"/>
    <x v="0"/>
    <n v="20"/>
    <x v="1"/>
    <n v="0"/>
    <n v="20"/>
    <s v="Off-peak only"/>
    <s v="Long Beach, CA"/>
    <n v="33.770099999999999"/>
    <n v="-118.19370000000001"/>
    <d v="2024-03-11T00:00:00"/>
    <n v="7"/>
    <x v="0"/>
    <x v="29"/>
  </r>
  <r>
    <n v="27"/>
    <x v="1"/>
    <n v="2"/>
    <s v="Fri, Thu"/>
    <b v="1"/>
    <d v="1899-12-30T16:29:00"/>
    <d v="1899-12-30T19:08:00"/>
    <n v="159"/>
    <b v="1"/>
    <b v="0"/>
    <x v="1"/>
    <x v="0"/>
    <n v="30"/>
    <x v="0"/>
    <n v="30"/>
    <x v="1"/>
    <n v="0"/>
    <n v="30"/>
    <s v="Weekdays only"/>
    <s v="Los Angeles, CA"/>
    <n v="34.052199999999999"/>
    <n v="-118.2437"/>
    <d v="2025-01-16T00:00:00"/>
    <n v="0"/>
    <x v="1"/>
    <x v="19"/>
  </r>
  <r>
    <n v="44"/>
    <x v="3"/>
    <n v="5"/>
    <s v="Fri, Sun, Thu, Tue, Wed"/>
    <b v="1"/>
    <d v="1899-12-30T20:04:00"/>
    <d v="1899-12-30T22:29:00"/>
    <n v="145"/>
    <b v="0"/>
    <b v="1"/>
    <x v="1"/>
    <x v="4"/>
    <n v="70"/>
    <x v="0"/>
    <n v="70"/>
    <x v="3"/>
    <n v="0.15"/>
    <n v="59.5"/>
    <s v="All hours + Priority access"/>
    <s v="San Francisco, CA"/>
    <n v="37.774900000000002"/>
    <n v="-122.4194"/>
    <d v="2024-07-08T00:00:00"/>
    <n v="5"/>
    <x v="0"/>
    <x v="39"/>
  </r>
  <r>
    <n v="41"/>
    <x v="3"/>
    <n v="1"/>
    <s v="Fri"/>
    <b v="1"/>
    <d v="1899-12-30T11:45:00"/>
    <d v="1899-12-30T12:38:00"/>
    <n v="53"/>
    <b v="1"/>
    <b v="1"/>
    <x v="0"/>
    <x v="0"/>
    <n v="70"/>
    <x v="1"/>
    <n v="52.5"/>
    <x v="2"/>
    <n v="0.1"/>
    <n v="47.25"/>
    <s v="All hours + Priority access"/>
    <s v="Bakersfield, CA"/>
    <n v="35.3733"/>
    <n v="-119.0187"/>
    <d v="2024-03-17T00:00:00"/>
    <n v="3"/>
    <x v="0"/>
    <x v="29"/>
  </r>
  <r>
    <n v="19"/>
    <x v="0"/>
    <n v="1"/>
    <s v="Wed"/>
    <b v="1"/>
    <d v="1899-12-30T14:30:00"/>
    <d v="1899-12-30T17:29:00"/>
    <n v="179"/>
    <b v="0"/>
    <b v="1"/>
    <x v="1"/>
    <x v="1"/>
    <n v="50"/>
    <x v="1"/>
    <n v="37.5"/>
    <x v="2"/>
    <n v="0.1"/>
    <n v="33.75"/>
    <s v="All hours"/>
    <s v="San Jose, CA"/>
    <n v="37.338200000000001"/>
    <n v="-121.88630000000001"/>
    <d v="2025-03-20T00:00:00"/>
    <n v="8"/>
    <x v="0"/>
    <x v="27"/>
  </r>
  <r>
    <n v="16"/>
    <x v="0"/>
    <n v="4"/>
    <s v="Mon, Sun, Thu, Tue"/>
    <b v="1"/>
    <d v="1899-12-30T16:21:00"/>
    <d v="1899-12-30T17:38:00"/>
    <n v="77"/>
    <b v="0"/>
    <b v="1"/>
    <x v="0"/>
    <x v="4"/>
    <n v="50"/>
    <x v="0"/>
    <n v="50"/>
    <x v="2"/>
    <n v="0.1"/>
    <n v="45"/>
    <s v="All hours"/>
    <s v="San Diego, CA"/>
    <n v="32.715699999999998"/>
    <n v="-117.1611"/>
    <d v="2024-10-31T00:00:00"/>
    <n v="7"/>
    <x v="1"/>
    <x v="53"/>
  </r>
  <r>
    <n v="36"/>
    <x v="1"/>
    <n v="5"/>
    <s v="Fri, Mon, Sat, Sun, Tue"/>
    <b v="0"/>
    <d v="1899-12-30T11:33:00"/>
    <d v="1899-12-30T12:40:00"/>
    <n v="67"/>
    <b v="1"/>
    <b v="0"/>
    <x v="1"/>
    <x v="4"/>
    <n v="30"/>
    <x v="0"/>
    <n v="30"/>
    <x v="2"/>
    <n v="0.1"/>
    <n v="27"/>
    <s v="Weekdays only"/>
    <s v="Anaheim, CA"/>
    <n v="33.836599999999997"/>
    <n v="-117.9143"/>
    <d v="2023-09-24T00:00:00"/>
    <n v="0"/>
    <x v="1"/>
    <x v="3"/>
  </r>
  <r>
    <n v="12"/>
    <x v="1"/>
    <n v="3"/>
    <s v="Fri, Thu, Wed"/>
    <b v="1"/>
    <d v="1899-12-30T10:10:00"/>
    <d v="1899-12-30T12:50:00"/>
    <n v="160"/>
    <b v="1"/>
    <b v="0"/>
    <x v="1"/>
    <x v="1"/>
    <n v="30"/>
    <x v="0"/>
    <n v="30"/>
    <x v="1"/>
    <n v="0"/>
    <n v="30"/>
    <s v="Weekdays only"/>
    <s v="Los Angeles, CA"/>
    <n v="34.052199999999999"/>
    <n v="-118.2437"/>
    <d v="2023-05-01T00:00:00"/>
    <n v="0"/>
    <x v="1"/>
    <x v="58"/>
  </r>
  <r>
    <n v="38"/>
    <x v="1"/>
    <n v="1"/>
    <s v="Tue"/>
    <b v="1"/>
    <d v="1899-12-30T12:52:00"/>
    <d v="1899-12-30T15:23:00"/>
    <n v="151"/>
    <b v="1"/>
    <b v="0"/>
    <x v="0"/>
    <x v="0"/>
    <n v="30"/>
    <x v="1"/>
    <n v="22.5"/>
    <x v="0"/>
    <n v="0.05"/>
    <n v="21.375"/>
    <s v="Weekdays only"/>
    <s v="San Diego, CA"/>
    <n v="32.715699999999998"/>
    <n v="-117.1611"/>
    <d v="2022-07-25T00:00:00"/>
    <n v="0"/>
    <x v="1"/>
    <x v="43"/>
  </r>
  <r>
    <n v="20"/>
    <x v="0"/>
    <n v="1"/>
    <s v="Fri"/>
    <b v="0"/>
    <d v="1899-12-30T11:35:00"/>
    <d v="1899-12-30T13:30:00"/>
    <n v="115"/>
    <b v="0"/>
    <b v="0"/>
    <x v="1"/>
    <x v="4"/>
    <n v="50"/>
    <x v="2"/>
    <n v="45"/>
    <x v="2"/>
    <n v="0.1"/>
    <n v="40.5"/>
    <s v="All hours"/>
    <s v="Fresno, CA"/>
    <n v="36.7378"/>
    <n v="-119.7871"/>
    <d v="2022-10-03T00:00:00"/>
    <n v="0"/>
    <x v="0"/>
    <x v="38"/>
  </r>
  <r>
    <n v="14"/>
    <x v="0"/>
    <n v="3"/>
    <s v="Sat, Sun, Tue"/>
    <b v="0"/>
    <d v="1899-12-30T14:09:00"/>
    <d v="1899-12-30T16:34:00"/>
    <n v="145"/>
    <b v="0"/>
    <b v="1"/>
    <x v="0"/>
    <x v="0"/>
    <n v="50"/>
    <x v="2"/>
    <n v="45"/>
    <x v="3"/>
    <n v="0.15"/>
    <n v="38.25"/>
    <s v="All hours"/>
    <s v="Bakersfield, CA"/>
    <n v="35.3733"/>
    <n v="-119.0187"/>
    <d v="2023-08-08T00:00:00"/>
    <n v="1"/>
    <x v="0"/>
    <x v="47"/>
  </r>
  <r>
    <n v="31"/>
    <x v="1"/>
    <n v="5"/>
    <s v="Fri, Sun, Thu, Tue, Wed"/>
    <b v="0"/>
    <d v="1899-12-30T19:28:00"/>
    <d v="1899-12-30T20:10:00"/>
    <n v="42"/>
    <b v="0"/>
    <b v="0"/>
    <x v="0"/>
    <x v="4"/>
    <n v="30"/>
    <x v="0"/>
    <n v="30"/>
    <x v="2"/>
    <n v="0.1"/>
    <n v="27"/>
    <s v="Weekdays only"/>
    <s v="Sacramento, CA"/>
    <n v="38.581600000000002"/>
    <n v="-121.4944"/>
    <d v="2024-03-31T00:00:00"/>
    <n v="0"/>
    <x v="1"/>
    <x v="17"/>
  </r>
  <r>
    <n v="29"/>
    <x v="3"/>
    <n v="3"/>
    <s v="Sat, Tue, Wed"/>
    <b v="0"/>
    <d v="1899-12-30T10:28:00"/>
    <d v="1899-12-30T11:36:00"/>
    <n v="68"/>
    <b v="0"/>
    <b v="1"/>
    <x v="1"/>
    <x v="0"/>
    <n v="70"/>
    <x v="0"/>
    <n v="70"/>
    <x v="1"/>
    <n v="0"/>
    <n v="70"/>
    <s v="All hours + Priority access"/>
    <s v="San Francisco, CA"/>
    <n v="37.774900000000002"/>
    <n v="-122.4194"/>
    <d v="2023-08-15T00:00:00"/>
    <n v="8"/>
    <x v="0"/>
    <x v="47"/>
  </r>
  <r>
    <n v="13"/>
    <x v="0"/>
    <n v="3"/>
    <s v="Mon, Thu, Wed"/>
    <b v="1"/>
    <d v="1899-12-30T15:31:00"/>
    <d v="1899-12-30T16:07:00"/>
    <n v="36"/>
    <b v="1"/>
    <b v="0"/>
    <x v="1"/>
    <x v="0"/>
    <n v="50"/>
    <x v="0"/>
    <n v="50"/>
    <x v="2"/>
    <n v="0.1"/>
    <n v="45"/>
    <s v="All hours"/>
    <s v="Fresno, CA"/>
    <n v="36.7378"/>
    <n v="-119.7871"/>
    <d v="2023-03-09T00:00:00"/>
    <n v="0"/>
    <x v="0"/>
    <x v="22"/>
  </r>
  <r>
    <n v="26"/>
    <x v="1"/>
    <n v="5"/>
    <s v="Fri, Mon, Sat, Thu, Tue"/>
    <b v="0"/>
    <d v="1899-12-30T13:34:00"/>
    <d v="1899-12-30T15:19:00"/>
    <n v="105"/>
    <b v="1"/>
    <b v="0"/>
    <x v="1"/>
    <x v="3"/>
    <n v="30"/>
    <x v="0"/>
    <n v="30"/>
    <x v="1"/>
    <n v="0"/>
    <n v="30"/>
    <s v="Weekdays only"/>
    <s v="San Jose, CA"/>
    <n v="37.338200000000001"/>
    <n v="-121.88630000000001"/>
    <d v="2025-02-16T00:00:00"/>
    <n v="0"/>
    <x v="1"/>
    <x v="30"/>
  </r>
  <r>
    <n v="26"/>
    <x v="0"/>
    <n v="1"/>
    <s v="Sat"/>
    <b v="1"/>
    <d v="1899-12-30T12:44:00"/>
    <d v="1899-12-30T13:40:00"/>
    <n v="56"/>
    <b v="0"/>
    <b v="0"/>
    <x v="0"/>
    <x v="4"/>
    <n v="50"/>
    <x v="0"/>
    <n v="50"/>
    <x v="2"/>
    <n v="0.1"/>
    <n v="45"/>
    <s v="All hours"/>
    <s v="Anaheim, CA"/>
    <n v="33.836599999999997"/>
    <n v="-117.9143"/>
    <d v="2024-04-12T00:00:00"/>
    <n v="0"/>
    <x v="0"/>
    <x v="52"/>
  </r>
  <r>
    <n v="18"/>
    <x v="1"/>
    <n v="4"/>
    <s v="Mon, Sun, Thu, Tue"/>
    <b v="1"/>
    <d v="1899-12-30T19:42:00"/>
    <d v="1899-12-30T20:57:00"/>
    <n v="75"/>
    <b v="0"/>
    <b v="0"/>
    <x v="0"/>
    <x v="1"/>
    <n v="30"/>
    <x v="0"/>
    <n v="30"/>
    <x v="1"/>
    <n v="0"/>
    <n v="30"/>
    <s v="Weekdays only"/>
    <s v="San Francisco, CA"/>
    <n v="37.774900000000002"/>
    <n v="-122.4194"/>
    <d v="2023-01-10T00:00:00"/>
    <n v="0"/>
    <x v="1"/>
    <x v="57"/>
  </r>
  <r>
    <n v="39"/>
    <x v="1"/>
    <n v="4"/>
    <s v="Sun, Thu, Tue, Wed"/>
    <b v="1"/>
    <d v="1899-12-30T13:35:00"/>
    <d v="1899-12-30T14:37:00"/>
    <n v="62"/>
    <b v="1"/>
    <b v="1"/>
    <x v="1"/>
    <x v="0"/>
    <n v="30"/>
    <x v="0"/>
    <n v="30"/>
    <x v="2"/>
    <n v="0.1"/>
    <n v="27"/>
    <s v="Weekdays only"/>
    <s v="Oakland, CA"/>
    <n v="37.804400000000001"/>
    <n v="-122.27119999999999"/>
    <d v="2024-05-10T00:00:00"/>
    <n v="4"/>
    <x v="0"/>
    <x v="40"/>
  </r>
  <r>
    <n v="49"/>
    <x v="0"/>
    <n v="1"/>
    <s v="Tue"/>
    <b v="1"/>
    <d v="1899-12-30T16:18:00"/>
    <d v="1899-12-30T17:35:00"/>
    <n v="77"/>
    <b v="1"/>
    <b v="0"/>
    <x v="0"/>
    <x v="0"/>
    <n v="50"/>
    <x v="0"/>
    <n v="50"/>
    <x v="1"/>
    <n v="0"/>
    <n v="50"/>
    <s v="All hours"/>
    <s v="San Jose, CA"/>
    <n v="37.338200000000001"/>
    <n v="-121.88630000000001"/>
    <d v="2023-10-22T00:00:00"/>
    <n v="0"/>
    <x v="0"/>
    <x v="59"/>
  </r>
  <r>
    <n v="25"/>
    <x v="0"/>
    <n v="1"/>
    <s v="Tue"/>
    <b v="0"/>
    <d v="1899-12-30T08:37:00"/>
    <d v="1899-12-30T10:52:00"/>
    <n v="135"/>
    <b v="1"/>
    <b v="1"/>
    <x v="0"/>
    <x v="0"/>
    <n v="50"/>
    <x v="0"/>
    <n v="50"/>
    <x v="1"/>
    <n v="0"/>
    <n v="50"/>
    <s v="All hours"/>
    <s v="Long Beach, CA"/>
    <n v="33.770099999999999"/>
    <n v="-118.19370000000001"/>
    <d v="2023-10-06T00:00:00"/>
    <n v="5"/>
    <x v="0"/>
    <x v="3"/>
  </r>
  <r>
    <n v="29"/>
    <x v="0"/>
    <n v="2"/>
    <s v="Fri, Tue"/>
    <b v="0"/>
    <d v="1899-12-30T20:52:00"/>
    <d v="1899-12-30T22:40:00"/>
    <n v="108"/>
    <b v="0"/>
    <b v="1"/>
    <x v="0"/>
    <x v="1"/>
    <n v="50"/>
    <x v="0"/>
    <n v="50"/>
    <x v="0"/>
    <n v="0.05"/>
    <n v="47.5"/>
    <s v="All hours"/>
    <s v="San Francisco, CA"/>
    <n v="37.774900000000002"/>
    <n v="-122.4194"/>
    <d v="2024-12-08T00:00:00"/>
    <n v="1"/>
    <x v="0"/>
    <x v="14"/>
  </r>
  <r>
    <n v="28"/>
    <x v="0"/>
    <n v="2"/>
    <s v="Sat, Wed"/>
    <b v="1"/>
    <d v="1899-12-30T20:58:00"/>
    <d v="1899-12-30T22:20:00"/>
    <n v="82"/>
    <b v="0"/>
    <b v="0"/>
    <x v="1"/>
    <x v="1"/>
    <n v="50"/>
    <x v="0"/>
    <n v="50"/>
    <x v="2"/>
    <n v="0.1"/>
    <n v="45"/>
    <s v="All hours"/>
    <s v="Anaheim, CA"/>
    <n v="33.836599999999997"/>
    <n v="-117.9143"/>
    <d v="2024-06-02T00:00:00"/>
    <n v="0"/>
    <x v="0"/>
    <x v="20"/>
  </r>
  <r>
    <n v="29"/>
    <x v="0"/>
    <n v="3"/>
    <s v="Fri, Sat, Thu"/>
    <b v="1"/>
    <d v="1899-12-30T13:02:00"/>
    <d v="1899-12-30T14:08:00"/>
    <n v="66"/>
    <b v="0"/>
    <b v="0"/>
    <x v="1"/>
    <x v="1"/>
    <n v="50"/>
    <x v="1"/>
    <n v="37.5"/>
    <x v="2"/>
    <n v="0.1"/>
    <n v="33.75"/>
    <s v="All hours"/>
    <s v="Fresno, CA"/>
    <n v="36.7378"/>
    <n v="-119.7871"/>
    <d v="2024-07-01T00:00:00"/>
    <n v="0"/>
    <x v="0"/>
    <x v="55"/>
  </r>
  <r>
    <n v="23"/>
    <x v="1"/>
    <n v="2"/>
    <s v="Mon, Wed"/>
    <b v="1"/>
    <d v="1899-12-30T18:01:00"/>
    <d v="1899-12-30T19:30:00"/>
    <n v="89"/>
    <b v="0"/>
    <b v="1"/>
    <x v="1"/>
    <x v="1"/>
    <n v="30"/>
    <x v="0"/>
    <n v="30"/>
    <x v="1"/>
    <n v="0"/>
    <n v="30"/>
    <s v="Weekdays only"/>
    <s v="Oakland, CA"/>
    <n v="37.804400000000001"/>
    <n v="-122.27119999999999"/>
    <d v="2025-05-26T00:00:00"/>
    <n v="1"/>
    <x v="0"/>
    <x v="9"/>
  </r>
  <r>
    <n v="42"/>
    <x v="2"/>
    <n v="3"/>
    <s v="Sun, Thu, Wed"/>
    <b v="1"/>
    <d v="1899-12-30T18:55:00"/>
    <d v="1899-12-30T21:00:00"/>
    <n v="125"/>
    <b v="0"/>
    <b v="0"/>
    <x v="0"/>
    <x v="4"/>
    <n v="20"/>
    <x v="0"/>
    <n v="20"/>
    <x v="0"/>
    <n v="0.05"/>
    <n v="19"/>
    <s v="Off-peak only"/>
    <s v="Anaheim, CA"/>
    <n v="33.836599999999997"/>
    <n v="-117.9143"/>
    <d v="2025-05-28T00:00:00"/>
    <n v="0"/>
    <x v="1"/>
    <x v="9"/>
  </r>
  <r>
    <n v="14"/>
    <x v="0"/>
    <n v="3"/>
    <s v="Fri, Tue, Wed"/>
    <b v="0"/>
    <d v="1899-12-30T20:52:00"/>
    <d v="1899-12-30T22:02:00"/>
    <n v="70"/>
    <b v="1"/>
    <b v="1"/>
    <x v="1"/>
    <x v="4"/>
    <n v="50"/>
    <x v="0"/>
    <n v="50"/>
    <x v="3"/>
    <n v="0.15"/>
    <n v="42.5"/>
    <s v="All hours"/>
    <s v="Fresno, CA"/>
    <n v="36.7378"/>
    <n v="-119.7871"/>
    <d v="2023-01-19T00:00:00"/>
    <n v="1"/>
    <x v="0"/>
    <x v="11"/>
  </r>
  <r>
    <n v="20"/>
    <x v="0"/>
    <n v="3"/>
    <s v="Fri, Thu, Tue"/>
    <b v="0"/>
    <d v="1899-12-30T15:37:00"/>
    <d v="1899-12-30T18:07:00"/>
    <n v="150"/>
    <b v="0"/>
    <b v="1"/>
    <x v="0"/>
    <x v="4"/>
    <n v="50"/>
    <x v="0"/>
    <n v="50"/>
    <x v="2"/>
    <n v="0.1"/>
    <n v="45"/>
    <s v="All hours"/>
    <s v="Sacramento, CA"/>
    <n v="38.581600000000002"/>
    <n v="-121.4944"/>
    <d v="2024-09-05T00:00:00"/>
    <n v="1"/>
    <x v="0"/>
    <x v="41"/>
  </r>
  <r>
    <n v="47"/>
    <x v="0"/>
    <n v="1"/>
    <s v="Mon"/>
    <b v="0"/>
    <d v="1899-12-30T19:32:00"/>
    <d v="1899-12-30T20:22:00"/>
    <n v="50"/>
    <b v="1"/>
    <b v="0"/>
    <x v="0"/>
    <x v="0"/>
    <n v="50"/>
    <x v="0"/>
    <n v="50"/>
    <x v="1"/>
    <n v="0"/>
    <n v="50"/>
    <s v="All hours"/>
    <s v="San Francisco, CA"/>
    <n v="37.774900000000002"/>
    <n v="-122.4194"/>
    <d v="2023-12-19T00:00:00"/>
    <n v="0"/>
    <x v="0"/>
    <x v="16"/>
  </r>
  <r>
    <n v="42"/>
    <x v="1"/>
    <n v="5"/>
    <s v="Mon, Sat, Sun, Thu, Wed"/>
    <b v="1"/>
    <d v="1899-12-30T12:05:00"/>
    <d v="1899-12-30T14:14:00"/>
    <n v="129"/>
    <b v="1"/>
    <b v="1"/>
    <x v="0"/>
    <x v="4"/>
    <n v="30"/>
    <x v="0"/>
    <n v="30"/>
    <x v="1"/>
    <n v="0"/>
    <n v="30"/>
    <s v="Weekdays only"/>
    <s v="San Francisco, CA"/>
    <n v="37.774900000000002"/>
    <n v="-122.4194"/>
    <d v="2024-08-08T00:00:00"/>
    <n v="8"/>
    <x v="1"/>
    <x v="18"/>
  </r>
  <r>
    <n v="33"/>
    <x v="2"/>
    <n v="4"/>
    <s v="Fri, Mon, Sun, Thu"/>
    <b v="0"/>
    <d v="1899-12-30T10:24:00"/>
    <d v="1899-12-30T11:48:00"/>
    <n v="84"/>
    <b v="1"/>
    <b v="0"/>
    <x v="0"/>
    <x v="0"/>
    <n v="20"/>
    <x v="0"/>
    <n v="20"/>
    <x v="2"/>
    <n v="0.1"/>
    <n v="18"/>
    <s v="Off-peak only"/>
    <s v="San Diego, CA"/>
    <n v="32.715699999999998"/>
    <n v="-117.1611"/>
    <d v="2022-09-25T00:00:00"/>
    <n v="0"/>
    <x v="1"/>
    <x v="25"/>
  </r>
  <r>
    <n v="48"/>
    <x v="0"/>
    <n v="4"/>
    <s v="Mon, Sun, Thu, Tue"/>
    <b v="1"/>
    <d v="1899-12-30T16:04:00"/>
    <d v="1899-12-30T18:33:00"/>
    <n v="149"/>
    <b v="0"/>
    <b v="1"/>
    <x v="0"/>
    <x v="3"/>
    <n v="50"/>
    <x v="1"/>
    <n v="37.5"/>
    <x v="3"/>
    <n v="0.15"/>
    <n v="31.875"/>
    <s v="All hours"/>
    <s v="Long Beach, CA"/>
    <n v="33.770099999999999"/>
    <n v="-118.19370000000001"/>
    <d v="2024-09-19T00:00:00"/>
    <n v="8"/>
    <x v="0"/>
    <x v="33"/>
  </r>
  <r>
    <n v="47"/>
    <x v="0"/>
    <n v="2"/>
    <s v="Sun, Thu"/>
    <b v="0"/>
    <d v="1899-12-30T16:55:00"/>
    <d v="1899-12-30T19:13:00"/>
    <n v="138"/>
    <b v="1"/>
    <b v="0"/>
    <x v="1"/>
    <x v="4"/>
    <n v="50"/>
    <x v="0"/>
    <n v="50"/>
    <x v="1"/>
    <n v="0"/>
    <n v="50"/>
    <s v="All hours"/>
    <s v="Long Beach, CA"/>
    <n v="33.770099999999999"/>
    <n v="-118.19370000000001"/>
    <d v="2024-03-22T00:00:00"/>
    <n v="0"/>
    <x v="0"/>
    <x v="17"/>
  </r>
  <r>
    <n v="40"/>
    <x v="1"/>
    <n v="3"/>
    <s v="Fri, Sun, Thu"/>
    <b v="1"/>
    <d v="1899-12-30T17:05:00"/>
    <d v="1899-12-30T19:39:00"/>
    <n v="154"/>
    <b v="0"/>
    <b v="1"/>
    <x v="0"/>
    <x v="0"/>
    <n v="30"/>
    <x v="0"/>
    <n v="30"/>
    <x v="1"/>
    <n v="0"/>
    <n v="30"/>
    <s v="Weekdays only"/>
    <s v="Fresno, CA"/>
    <n v="36.7378"/>
    <n v="-119.7871"/>
    <d v="2022-12-06T00:00:00"/>
    <n v="3"/>
    <x v="1"/>
    <x v="54"/>
  </r>
  <r>
    <n v="29"/>
    <x v="3"/>
    <n v="3"/>
    <s v="Sat, Tue, Wed"/>
    <b v="0"/>
    <d v="1899-12-30T10:28:00"/>
    <d v="1899-12-30T11:36:00"/>
    <n v="68"/>
    <b v="0"/>
    <b v="1"/>
    <x v="1"/>
    <x v="0"/>
    <n v="70"/>
    <x v="0"/>
    <n v="70"/>
    <x v="1"/>
    <n v="0"/>
    <n v="70"/>
    <s v="All hours + Priority access"/>
    <s v="San Francisco, CA"/>
    <n v="37.774900000000002"/>
    <n v="-122.4194"/>
    <d v="2023-01-08T00:00:00"/>
    <n v="7"/>
    <x v="0"/>
    <x v="57"/>
  </r>
  <r>
    <n v="28"/>
    <x v="1"/>
    <n v="5"/>
    <s v="Fri, Mon, Sat, Tue, Wed"/>
    <b v="0"/>
    <d v="1899-12-30T14:53:00"/>
    <d v="1899-12-30T16:53:00"/>
    <n v="120"/>
    <b v="1"/>
    <b v="0"/>
    <x v="0"/>
    <x v="4"/>
    <n v="30"/>
    <x v="0"/>
    <n v="30"/>
    <x v="1"/>
    <n v="0"/>
    <n v="30"/>
    <s v="Weekdays only"/>
    <s v="Anaheim, CA"/>
    <n v="33.836599999999997"/>
    <n v="-117.9143"/>
    <d v="2024-12-06T00:00:00"/>
    <n v="0"/>
    <x v="0"/>
    <x v="14"/>
  </r>
  <r>
    <n v="18"/>
    <x v="0"/>
    <n v="3"/>
    <s v="Fri, Mon, Thu"/>
    <b v="1"/>
    <d v="1899-12-30T11:41:00"/>
    <d v="1899-12-30T13:08:00"/>
    <n v="87"/>
    <b v="0"/>
    <b v="0"/>
    <x v="0"/>
    <x v="0"/>
    <n v="50"/>
    <x v="1"/>
    <n v="37.5"/>
    <x v="3"/>
    <n v="0.15"/>
    <n v="31.875"/>
    <s v="All hours"/>
    <s v="Oakland, CA"/>
    <n v="37.804400000000001"/>
    <n v="-122.27119999999999"/>
    <d v="2023-02-19T00:00:00"/>
    <n v="0"/>
    <x v="0"/>
    <x v="26"/>
  </r>
  <r>
    <n v="16"/>
    <x v="0"/>
    <n v="3"/>
    <s v="Sun, Thu, Wed"/>
    <b v="1"/>
    <d v="1899-12-30T12:45:00"/>
    <d v="1899-12-30T14:42:00"/>
    <n v="117"/>
    <b v="1"/>
    <b v="1"/>
    <x v="0"/>
    <x v="1"/>
    <n v="50"/>
    <x v="0"/>
    <n v="50"/>
    <x v="1"/>
    <n v="0"/>
    <n v="50"/>
    <s v="All hours"/>
    <s v="Oakland, CA"/>
    <n v="37.804400000000001"/>
    <n v="-122.27119999999999"/>
    <d v="2024-02-21T00:00:00"/>
    <n v="6"/>
    <x v="0"/>
    <x v="21"/>
  </r>
  <r>
    <n v="12"/>
    <x v="2"/>
    <n v="5"/>
    <s v="Mon, Sat, Sun, Thu, Wed"/>
    <b v="1"/>
    <d v="1899-12-30T09:36:00"/>
    <d v="1899-12-30T12:09:00"/>
    <n v="153"/>
    <b v="1"/>
    <b v="1"/>
    <x v="1"/>
    <x v="0"/>
    <n v="20"/>
    <x v="0"/>
    <n v="20"/>
    <x v="3"/>
    <n v="0.15"/>
    <n v="17"/>
    <s v="Off-peak only"/>
    <s v="Sacramento, CA"/>
    <n v="38.581600000000002"/>
    <n v="-121.4944"/>
    <d v="2024-01-25T00:00:00"/>
    <n v="3"/>
    <x v="1"/>
    <x v="48"/>
  </r>
  <r>
    <n v="42"/>
    <x v="2"/>
    <n v="3"/>
    <s v="Mon, Sat, Thu"/>
    <b v="0"/>
    <d v="1899-12-30T16:20:00"/>
    <d v="1899-12-30T17:20:00"/>
    <n v="60"/>
    <b v="1"/>
    <b v="1"/>
    <x v="0"/>
    <x v="0"/>
    <n v="20"/>
    <x v="0"/>
    <n v="20"/>
    <x v="0"/>
    <n v="0.05"/>
    <n v="19"/>
    <s v="Off-peak only"/>
    <s v="San Jose, CA"/>
    <n v="37.338200000000001"/>
    <n v="-121.88630000000001"/>
    <d v="2025-01-31T00:00:00"/>
    <n v="3"/>
    <x v="1"/>
    <x v="19"/>
  </r>
  <r>
    <n v="32"/>
    <x v="2"/>
    <n v="3"/>
    <s v="Fri, Sun, Wed"/>
    <b v="1"/>
    <d v="1899-12-30T14:52:00"/>
    <d v="1899-12-30T17:32:00"/>
    <n v="160"/>
    <b v="0"/>
    <b v="0"/>
    <x v="0"/>
    <x v="0"/>
    <n v="20"/>
    <x v="0"/>
    <n v="20"/>
    <x v="0"/>
    <n v="0.05"/>
    <n v="19"/>
    <s v="Off-peak only"/>
    <s v="Sacramento, CA"/>
    <n v="38.581600000000002"/>
    <n v="-121.4944"/>
    <d v="2025-03-29T00:00:00"/>
    <n v="0"/>
    <x v="0"/>
    <x v="42"/>
  </r>
  <r>
    <n v="47"/>
    <x v="0"/>
    <n v="2"/>
    <s v="Fri, Mon"/>
    <b v="1"/>
    <d v="1899-12-30T12:42:00"/>
    <d v="1899-12-30T13:37:00"/>
    <n v="55"/>
    <b v="1"/>
    <b v="1"/>
    <x v="1"/>
    <x v="0"/>
    <n v="50"/>
    <x v="0"/>
    <n v="50"/>
    <x v="0"/>
    <n v="0.05"/>
    <n v="47.5"/>
    <s v="All hours"/>
    <s v="San Diego, CA"/>
    <n v="32.715699999999998"/>
    <n v="-117.1611"/>
    <d v="2023-05-09T00:00:00"/>
    <n v="5"/>
    <x v="0"/>
    <x v="2"/>
  </r>
  <r>
    <n v="36"/>
    <x v="1"/>
    <n v="4"/>
    <s v="Fri, Mon, Thu, Wed"/>
    <b v="0"/>
    <d v="1899-12-30T14:02:00"/>
    <d v="1899-12-30T16:28:00"/>
    <n v="146"/>
    <b v="0"/>
    <b v="0"/>
    <x v="1"/>
    <x v="4"/>
    <n v="30"/>
    <x v="1"/>
    <n v="22.5"/>
    <x v="0"/>
    <n v="0.05"/>
    <n v="21.375"/>
    <s v="Weekdays only"/>
    <s v="San Jose, CA"/>
    <n v="37.338200000000001"/>
    <n v="-121.88630000000001"/>
    <d v="2024-01-11T00:00:00"/>
    <n v="0"/>
    <x v="1"/>
    <x v="31"/>
  </r>
  <r>
    <n v="43"/>
    <x v="2"/>
    <n v="2"/>
    <s v="Fri, Wed"/>
    <b v="0"/>
    <d v="1899-12-30T13:10:00"/>
    <d v="1899-12-30T14:25:00"/>
    <n v="75"/>
    <b v="0"/>
    <b v="1"/>
    <x v="1"/>
    <x v="4"/>
    <n v="20"/>
    <x v="0"/>
    <n v="20"/>
    <x v="3"/>
    <n v="0.15"/>
    <n v="17"/>
    <s v="Off-peak only"/>
    <s v="Long Beach, CA"/>
    <n v="33.770099999999999"/>
    <n v="-118.19370000000001"/>
    <d v="2024-03-14T00:00:00"/>
    <n v="5"/>
    <x v="0"/>
    <x v="29"/>
  </r>
  <r>
    <n v="36"/>
    <x v="1"/>
    <n v="2"/>
    <s v="Fri, Tue"/>
    <b v="1"/>
    <d v="1899-12-30T11:28:00"/>
    <d v="1899-12-30T14:14:00"/>
    <n v="166"/>
    <b v="0"/>
    <b v="0"/>
    <x v="1"/>
    <x v="4"/>
    <n v="30"/>
    <x v="1"/>
    <n v="22.5"/>
    <x v="0"/>
    <n v="0.05"/>
    <n v="21.375"/>
    <s v="Weekdays only"/>
    <s v="Long Beach, CA"/>
    <n v="33.770099999999999"/>
    <n v="-118.19370000000001"/>
    <d v="2023-05-08T00:00:00"/>
    <n v="0"/>
    <x v="1"/>
    <x v="2"/>
  </r>
  <r>
    <n v="42"/>
    <x v="1"/>
    <n v="3"/>
    <s v="Fri, Sat, Thu"/>
    <b v="0"/>
    <d v="1899-12-30T09:57:00"/>
    <d v="1899-12-30T12:50:00"/>
    <n v="173"/>
    <b v="1"/>
    <b v="1"/>
    <x v="0"/>
    <x v="4"/>
    <n v="30"/>
    <x v="1"/>
    <n v="22.5"/>
    <x v="3"/>
    <n v="0.15"/>
    <n v="19.125"/>
    <s v="Weekdays only"/>
    <s v="Long Beach, CA"/>
    <n v="33.770099999999999"/>
    <n v="-118.19370000000001"/>
    <d v="2023-03-30T00:00:00"/>
    <n v="7"/>
    <x v="0"/>
    <x v="49"/>
  </r>
  <r>
    <n v="13"/>
    <x v="3"/>
    <n v="2"/>
    <s v="Mon, Tue"/>
    <b v="1"/>
    <d v="1899-12-30T20:56:00"/>
    <d v="1899-12-30T23:36:00"/>
    <n v="160"/>
    <b v="1"/>
    <b v="1"/>
    <x v="0"/>
    <x v="0"/>
    <n v="70"/>
    <x v="2"/>
    <n v="63"/>
    <x v="3"/>
    <n v="0.15"/>
    <n v="53.55"/>
    <s v="All hours + Priority access"/>
    <s v="Sacramento, CA"/>
    <n v="38.581600000000002"/>
    <n v="-121.4944"/>
    <d v="2025-01-04T00:00:00"/>
    <n v="6"/>
    <x v="0"/>
    <x v="4"/>
  </r>
  <r>
    <n v="16"/>
    <x v="0"/>
    <n v="3"/>
    <s v="Fri, Sun, Wed"/>
    <b v="0"/>
    <d v="1899-12-30T17:21:00"/>
    <d v="1899-12-30T18:46:00"/>
    <n v="85"/>
    <b v="0"/>
    <b v="1"/>
    <x v="0"/>
    <x v="4"/>
    <n v="50"/>
    <x v="1"/>
    <n v="37.5"/>
    <x v="2"/>
    <n v="0.1"/>
    <n v="33.75"/>
    <s v="All hours"/>
    <s v="Anaheim, CA"/>
    <n v="33.836599999999997"/>
    <n v="-117.9143"/>
    <d v="2023-09-12T00:00:00"/>
    <n v="5"/>
    <x v="1"/>
    <x v="7"/>
  </r>
  <r>
    <n v="19"/>
    <x v="0"/>
    <n v="3"/>
    <s v="Sun, Thu, Wed"/>
    <b v="0"/>
    <d v="1899-12-30T18:07:00"/>
    <d v="1899-12-30T20:51:00"/>
    <n v="164"/>
    <b v="0"/>
    <b v="1"/>
    <x v="1"/>
    <x v="2"/>
    <n v="50"/>
    <x v="2"/>
    <n v="45"/>
    <x v="1"/>
    <n v="0"/>
    <n v="45"/>
    <s v="All hours"/>
    <s v="Fresno, CA"/>
    <n v="36.7378"/>
    <n v="-119.7871"/>
    <d v="2025-01-29T00:00:00"/>
    <n v="7"/>
    <x v="0"/>
    <x v="19"/>
  </r>
  <r>
    <n v="19"/>
    <x v="0"/>
    <n v="2"/>
    <s v="Mon, Tue"/>
    <b v="1"/>
    <d v="1899-12-30T14:01:00"/>
    <d v="1899-12-30T15:56:00"/>
    <n v="115"/>
    <b v="0"/>
    <b v="0"/>
    <x v="0"/>
    <x v="4"/>
    <n v="50"/>
    <x v="0"/>
    <n v="50"/>
    <x v="1"/>
    <n v="0"/>
    <n v="50"/>
    <s v="All hours"/>
    <s v="Los Angeles, CA"/>
    <n v="34.052199999999999"/>
    <n v="-118.2437"/>
    <d v="2023-04-14T00:00:00"/>
    <n v="0"/>
    <x v="0"/>
    <x v="49"/>
  </r>
  <r>
    <n v="12"/>
    <x v="0"/>
    <n v="2"/>
    <s v="Sun, Thu"/>
    <b v="1"/>
    <d v="1899-12-30T10:42:00"/>
    <d v="1899-12-30T12:12:00"/>
    <n v="90"/>
    <b v="0"/>
    <b v="0"/>
    <x v="0"/>
    <x v="2"/>
    <n v="50"/>
    <x v="1"/>
    <n v="37.5"/>
    <x v="2"/>
    <n v="0.1"/>
    <n v="33.75"/>
    <s v="All hours"/>
    <s v="San Diego, CA"/>
    <n v="32.715699999999998"/>
    <n v="-117.1611"/>
    <d v="2023-07-24T00:00:00"/>
    <n v="0"/>
    <x v="0"/>
    <x v="34"/>
  </r>
  <r>
    <n v="16"/>
    <x v="1"/>
    <n v="2"/>
    <s v="Fri, Thu"/>
    <b v="0"/>
    <d v="1899-12-30T11:43:00"/>
    <d v="1899-12-30T12:52:00"/>
    <n v="69"/>
    <b v="0"/>
    <b v="0"/>
    <x v="1"/>
    <x v="4"/>
    <n v="30"/>
    <x v="0"/>
    <n v="30"/>
    <x v="3"/>
    <n v="0.15"/>
    <n v="25.5"/>
    <s v="Weekdays only"/>
    <s v="Bakersfield, CA"/>
    <n v="35.3733"/>
    <n v="-119.0187"/>
    <d v="2022-09-08T00:00:00"/>
    <n v="0"/>
    <x v="1"/>
    <x v="1"/>
  </r>
  <r>
    <n v="24"/>
    <x v="3"/>
    <n v="4"/>
    <s v="Fri, Sat, Sun, Tue"/>
    <b v="0"/>
    <d v="1899-12-30T15:28:00"/>
    <d v="1899-12-30T16:34:00"/>
    <n v="66"/>
    <b v="0"/>
    <b v="1"/>
    <x v="0"/>
    <x v="0"/>
    <n v="70"/>
    <x v="0"/>
    <n v="70"/>
    <x v="2"/>
    <n v="0.1"/>
    <n v="63"/>
    <s v="All hours + Priority access"/>
    <s v="Fresno, CA"/>
    <n v="36.7378"/>
    <n v="-119.7871"/>
    <d v="2025-04-10T00:00:00"/>
    <n v="7"/>
    <x v="0"/>
    <x v="42"/>
  </r>
  <r>
    <n v="20"/>
    <x v="2"/>
    <n v="3"/>
    <s v="Mon, Sat, Tue"/>
    <b v="1"/>
    <d v="1899-12-30T08:53:00"/>
    <d v="1899-12-30T11:11:00"/>
    <n v="138"/>
    <b v="0"/>
    <b v="1"/>
    <x v="1"/>
    <x v="0"/>
    <n v="20"/>
    <x v="0"/>
    <n v="20"/>
    <x v="0"/>
    <n v="0.05"/>
    <n v="19"/>
    <s v="Off-peak only"/>
    <s v="Fresno, CA"/>
    <n v="36.7378"/>
    <n v="-119.7871"/>
    <d v="2025-04-23T00:00:00"/>
    <n v="8"/>
    <x v="1"/>
    <x v="5"/>
  </r>
  <r>
    <n v="19"/>
    <x v="1"/>
    <n v="4"/>
    <s v="Fri, Mon, Tue, Wed"/>
    <b v="0"/>
    <d v="1899-12-30T19:07:00"/>
    <d v="1899-12-30T20:06:00"/>
    <n v="59"/>
    <b v="1"/>
    <b v="1"/>
    <x v="0"/>
    <x v="0"/>
    <n v="30"/>
    <x v="0"/>
    <n v="30"/>
    <x v="2"/>
    <n v="0.1"/>
    <n v="27"/>
    <s v="Weekdays only"/>
    <s v="Fresno, CA"/>
    <n v="36.7378"/>
    <n v="-119.7871"/>
    <d v="2024-08-26T00:00:00"/>
    <n v="2"/>
    <x v="1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b v="0"/>
    <d v="1899-12-30T08:39:00"/>
    <d v="1899-12-30T10:37:00"/>
    <n v="118"/>
    <x v="0"/>
    <b v="0"/>
    <b v="0"/>
    <x v="0"/>
    <x v="0"/>
    <x v="0"/>
    <x v="0"/>
    <x v="0"/>
    <n v="0.05"/>
    <x v="0"/>
    <s v="All hours"/>
    <s v="San Jose, CA"/>
    <n v="37.338200000000001"/>
    <n v="-121.88630000000001"/>
    <d v="2024-05-20T00:00:00"/>
    <n v="0"/>
    <b v="1"/>
    <d v="2025-06-30T00:00:00"/>
    <x v="0"/>
    <x v="0"/>
  </r>
  <r>
    <b v="1"/>
    <d v="1899-12-30T15:45:00"/>
    <d v="1899-12-30T18:43:00"/>
    <n v="178"/>
    <x v="0"/>
    <b v="0"/>
    <b v="0"/>
    <x v="1"/>
    <x v="1"/>
    <x v="0"/>
    <x v="1"/>
    <x v="1"/>
    <n v="0"/>
    <x v="1"/>
    <s v="Weekdays only"/>
    <s v="Fresno, CA"/>
    <n v="36.7378"/>
    <n v="-119.7871"/>
    <d v="2022-09-14T00:00:00"/>
    <n v="0"/>
    <b v="0"/>
    <d v="2025-05-26T00:00:00"/>
    <x v="1"/>
    <x v="1"/>
  </r>
  <r>
    <b v="1"/>
    <d v="1899-12-30T13:35:00"/>
    <d v="1899-12-30T14:37:00"/>
    <n v="62"/>
    <x v="1"/>
    <b v="1"/>
    <b v="1"/>
    <x v="0"/>
    <x v="1"/>
    <x v="0"/>
    <x v="1"/>
    <x v="2"/>
    <n v="0.1"/>
    <x v="2"/>
    <s v="Weekdays only"/>
    <s v="Oakland, CA"/>
    <n v="37.804400000000001"/>
    <n v="-122.27119999999999"/>
    <d v="2023-05-05T00:00:00"/>
    <n v="4"/>
    <b v="0"/>
    <d v="2025-06-09T00:00:00"/>
    <x v="1"/>
    <x v="1"/>
  </r>
  <r>
    <b v="0"/>
    <d v="1899-12-30T17:06:00"/>
    <d v="1899-12-30T18:39:00"/>
    <n v="93"/>
    <x v="1"/>
    <b v="1"/>
    <b v="0"/>
    <x v="0"/>
    <x v="2"/>
    <x v="0"/>
    <x v="2"/>
    <x v="1"/>
    <n v="0"/>
    <x v="3"/>
    <s v="Off-peak only"/>
    <s v="Anaheim, CA"/>
    <n v="33.836599999999997"/>
    <n v="-117.9143"/>
    <d v="2023-09-24T00:00:00"/>
    <n v="7"/>
    <b v="0"/>
    <d v="2025-06-17T00:00:00"/>
    <x v="1"/>
    <x v="1"/>
  </r>
  <r>
    <b v="0"/>
    <d v="1899-12-30T14:16:00"/>
    <d v="1899-12-30T16:57:00"/>
    <n v="161"/>
    <x v="1"/>
    <b v="1"/>
    <b v="0"/>
    <x v="2"/>
    <x v="1"/>
    <x v="0"/>
    <x v="1"/>
    <x v="2"/>
    <n v="0.1"/>
    <x v="2"/>
    <s v="Weekdays only"/>
    <s v="Sacramento, CA"/>
    <n v="38.581600000000002"/>
    <n v="-121.4944"/>
    <d v="2025-01-07T00:00:00"/>
    <n v="3"/>
    <b v="1"/>
    <d v="2025-07-13T00:00:00"/>
    <x v="2"/>
    <x v="2"/>
  </r>
  <r>
    <b v="0"/>
    <d v="1899-12-30T09:22:00"/>
    <d v="1899-12-30T10:15:00"/>
    <n v="53"/>
    <x v="0"/>
    <b v="1"/>
    <b v="0"/>
    <x v="2"/>
    <x v="1"/>
    <x v="0"/>
    <x v="1"/>
    <x v="2"/>
    <n v="0.1"/>
    <x v="2"/>
    <s v="Weekdays only"/>
    <s v="Los Angeles, CA"/>
    <n v="34.052199999999999"/>
    <n v="-118.2437"/>
    <d v="2025-01-07T00:00:00"/>
    <n v="7"/>
    <b v="1"/>
    <d v="2025-07-13T00:00:00"/>
    <x v="0"/>
    <x v="0"/>
  </r>
  <r>
    <b v="1"/>
    <d v="1899-12-30T18:15:00"/>
    <d v="1899-12-30T18:54:00"/>
    <n v="39"/>
    <x v="0"/>
    <b v="1"/>
    <b v="1"/>
    <x v="2"/>
    <x v="3"/>
    <x v="0"/>
    <x v="3"/>
    <x v="1"/>
    <n v="0"/>
    <x v="4"/>
    <s v="All hours + Priority access"/>
    <s v="San Diego, CA"/>
    <n v="32.715699999999998"/>
    <n v="-117.1611"/>
    <d v="2025-04-22T00:00:00"/>
    <n v="4"/>
    <b v="1"/>
    <d v="2025-07-19T00:00:00"/>
    <x v="3"/>
    <x v="3"/>
  </r>
  <r>
    <b v="0"/>
    <d v="1899-12-30T17:16:00"/>
    <d v="1899-12-30T19:52:00"/>
    <n v="156"/>
    <x v="1"/>
    <b v="0"/>
    <b v="0"/>
    <x v="2"/>
    <x v="0"/>
    <x v="0"/>
    <x v="0"/>
    <x v="1"/>
    <n v="0"/>
    <x v="5"/>
    <s v="All hours"/>
    <s v="Bakersfield, CA"/>
    <n v="35.3733"/>
    <n v="-119.0187"/>
    <d v="2022-12-13T00:00:00"/>
    <n v="0"/>
    <b v="0"/>
    <d v="2025-06-01T00:00:00"/>
    <x v="0"/>
    <x v="0"/>
  </r>
  <r>
    <b v="1"/>
    <d v="1899-12-30T12:00:00"/>
    <d v="1899-12-30T14:08:00"/>
    <n v="128"/>
    <x v="1"/>
    <b v="0"/>
    <b v="1"/>
    <x v="3"/>
    <x v="2"/>
    <x v="0"/>
    <x v="2"/>
    <x v="2"/>
    <n v="0.1"/>
    <x v="6"/>
    <s v="Off-peak only"/>
    <s v="San Francisco, CA"/>
    <n v="37.774900000000002"/>
    <n v="-122.4194"/>
    <d v="2023-09-21T00:00:00"/>
    <n v="0"/>
    <b v="1"/>
    <d v="2025-06-16T00:00:00"/>
    <x v="3"/>
    <x v="3"/>
  </r>
  <r>
    <b v="0"/>
    <d v="1899-12-30T10:24:00"/>
    <d v="1899-12-30T11:48:00"/>
    <n v="84"/>
    <x v="1"/>
    <b v="0"/>
    <b v="0"/>
    <x v="0"/>
    <x v="2"/>
    <x v="0"/>
    <x v="2"/>
    <x v="2"/>
    <n v="0.1"/>
    <x v="6"/>
    <s v="Off-peak only"/>
    <s v="San Diego, CA"/>
    <n v="32.715699999999998"/>
    <n v="-117.1611"/>
    <d v="2023-05-30T00:00:00"/>
    <n v="0"/>
    <b v="1"/>
    <d v="2025-06-10T00:00:00"/>
    <x v="1"/>
    <x v="1"/>
  </r>
  <r>
    <b v="0"/>
    <d v="1899-12-30T10:11:00"/>
    <d v="1899-12-30T11:56:00"/>
    <n v="105"/>
    <x v="1"/>
    <b v="0"/>
    <b v="1"/>
    <x v="0"/>
    <x v="1"/>
    <x v="0"/>
    <x v="1"/>
    <x v="1"/>
    <n v="0"/>
    <x v="1"/>
    <s v="Weekdays only"/>
    <s v="San Francisco, CA"/>
    <n v="37.774900000000002"/>
    <n v="-122.4194"/>
    <d v="2025-06-01T00:00:00"/>
    <n v="0"/>
    <b v="0"/>
    <d v="2025-07-21T00:00:00"/>
    <x v="2"/>
    <x v="4"/>
  </r>
  <r>
    <b v="0"/>
    <d v="1899-12-30T19:40:00"/>
    <d v="1899-12-30T22:32:00"/>
    <n v="172"/>
    <x v="0"/>
    <b v="1"/>
    <b v="0"/>
    <x v="4"/>
    <x v="1"/>
    <x v="0"/>
    <x v="1"/>
    <x v="0"/>
    <n v="0.05"/>
    <x v="7"/>
    <s v="Weekdays only"/>
    <s v="Los Angeles, CA"/>
    <n v="34.052199999999999"/>
    <n v="-118.2437"/>
    <d v="2022-08-25T00:00:00"/>
    <n v="6"/>
    <b v="1"/>
    <d v="2025-05-25T00:00:00"/>
    <x v="0"/>
    <x v="0"/>
  </r>
  <r>
    <b v="1"/>
    <d v="1899-12-30T16:41:00"/>
    <d v="1899-12-30T18:29:00"/>
    <n v="108"/>
    <x v="0"/>
    <b v="0"/>
    <b v="1"/>
    <x v="1"/>
    <x v="1"/>
    <x v="1"/>
    <x v="4"/>
    <x v="1"/>
    <n v="0"/>
    <x v="8"/>
    <s v="Weekdays only"/>
    <s v="Oakland, CA"/>
    <n v="37.804400000000001"/>
    <n v="-122.27119999999999"/>
    <d v="2023-01-18T00:00:00"/>
    <n v="0"/>
    <b v="0"/>
    <d v="2025-06-03T00:00:00"/>
    <x v="1"/>
    <x v="1"/>
  </r>
  <r>
    <b v="0"/>
    <d v="1899-12-30T10:48:00"/>
    <d v="1899-12-30T12:09:00"/>
    <n v="81"/>
    <x v="0"/>
    <b v="0"/>
    <b v="0"/>
    <x v="0"/>
    <x v="1"/>
    <x v="0"/>
    <x v="1"/>
    <x v="0"/>
    <n v="0.05"/>
    <x v="7"/>
    <s v="Weekdays only"/>
    <s v="Long Beach, CA"/>
    <n v="33.770099999999999"/>
    <n v="-118.19370000000001"/>
    <d v="2024-11-08T00:00:00"/>
    <n v="0"/>
    <b v="0"/>
    <d v="2025-07-10T00:00:00"/>
    <x v="3"/>
    <x v="3"/>
  </r>
  <r>
    <b v="1"/>
    <d v="1899-12-30T10:28:00"/>
    <d v="1899-12-30T11:19:00"/>
    <n v="51"/>
    <x v="0"/>
    <b v="0"/>
    <b v="0"/>
    <x v="4"/>
    <x v="2"/>
    <x v="1"/>
    <x v="5"/>
    <x v="0"/>
    <n v="0.05"/>
    <x v="9"/>
    <s v="Off-peak only"/>
    <s v="Fresno, CA"/>
    <n v="36.7378"/>
    <n v="-119.7871"/>
    <d v="2024-12-11T00:00:00"/>
    <n v="0"/>
    <b v="0"/>
    <d v="2025-07-12T00:00:00"/>
    <x v="0"/>
    <x v="0"/>
  </r>
  <r>
    <b v="0"/>
    <d v="1899-12-30T14:17:00"/>
    <d v="1899-12-30T15:42:00"/>
    <n v="85"/>
    <x v="0"/>
    <b v="0"/>
    <b v="0"/>
    <x v="2"/>
    <x v="0"/>
    <x v="1"/>
    <x v="6"/>
    <x v="0"/>
    <n v="0.05"/>
    <x v="10"/>
    <s v="All hours"/>
    <s v="Bakersfield, CA"/>
    <n v="35.3733"/>
    <n v="-119.0187"/>
    <d v="2024-12-09T00:00:00"/>
    <n v="0"/>
    <b v="1"/>
    <d v="2025-07-11T00:00:00"/>
    <x v="3"/>
    <x v="3"/>
  </r>
  <r>
    <b v="0"/>
    <d v="1899-12-30T13:34:00"/>
    <d v="1899-12-30T15:19:00"/>
    <n v="105"/>
    <x v="1"/>
    <b v="0"/>
    <b v="1"/>
    <x v="3"/>
    <x v="1"/>
    <x v="0"/>
    <x v="1"/>
    <x v="1"/>
    <n v="0"/>
    <x v="1"/>
    <s v="Weekdays only"/>
    <s v="San Jose, CA"/>
    <n v="37.338200000000001"/>
    <n v="-121.88630000000001"/>
    <d v="2024-08-02T00:00:00"/>
    <n v="0"/>
    <b v="1"/>
    <d v="2025-07-04T00:00:00"/>
    <x v="3"/>
    <x v="3"/>
  </r>
  <r>
    <b v="1"/>
    <d v="1899-12-30T12:25:00"/>
    <d v="1899-12-30T13:40:00"/>
    <n v="75"/>
    <x v="1"/>
    <b v="0"/>
    <b v="1"/>
    <x v="0"/>
    <x v="0"/>
    <x v="0"/>
    <x v="0"/>
    <x v="1"/>
    <n v="0"/>
    <x v="5"/>
    <s v="All hours"/>
    <s v="San Jose, CA"/>
    <n v="37.338200000000001"/>
    <n v="-121.88630000000001"/>
    <d v="2023-12-12T00:00:00"/>
    <n v="0"/>
    <b v="1"/>
    <d v="2025-06-21T00:00:00"/>
    <x v="3"/>
    <x v="3"/>
  </r>
  <r>
    <b v="0"/>
    <d v="1899-12-30T17:27:00"/>
    <d v="1899-12-30T19:12:00"/>
    <n v="105"/>
    <x v="0"/>
    <b v="0"/>
    <b v="0"/>
    <x v="2"/>
    <x v="0"/>
    <x v="1"/>
    <x v="6"/>
    <x v="0"/>
    <n v="0.05"/>
    <x v="10"/>
    <s v="All hours"/>
    <s v="San Jose, CA"/>
    <n v="37.338200000000001"/>
    <n v="-121.88630000000001"/>
    <d v="2024-03-19T00:00:00"/>
    <n v="0"/>
    <b v="0"/>
    <d v="2025-06-27T00:00:00"/>
    <x v="2"/>
    <x v="4"/>
  </r>
  <r>
    <b v="0"/>
    <d v="1899-12-30T10:38:00"/>
    <d v="1899-12-30T12:32:00"/>
    <n v="114"/>
    <x v="1"/>
    <b v="1"/>
    <b v="0"/>
    <x v="1"/>
    <x v="1"/>
    <x v="1"/>
    <x v="4"/>
    <x v="0"/>
    <n v="0.05"/>
    <x v="11"/>
    <s v="Weekdays only"/>
    <s v="Sacramento, CA"/>
    <n v="38.581600000000002"/>
    <n v="-121.4944"/>
    <d v="2024-08-16T00:00:00"/>
    <n v="8"/>
    <b v="0"/>
    <d v="2025-07-05T00:00:00"/>
    <x v="3"/>
    <x v="3"/>
  </r>
  <r>
    <b v="1"/>
    <d v="1899-12-30T14:34:00"/>
    <d v="1899-12-30T15:04:00"/>
    <n v="30"/>
    <x v="1"/>
    <b v="1"/>
    <b v="1"/>
    <x v="0"/>
    <x v="0"/>
    <x v="1"/>
    <x v="6"/>
    <x v="1"/>
    <n v="0"/>
    <x v="12"/>
    <s v="All hours"/>
    <s v="Long Beach, CA"/>
    <n v="33.770099999999999"/>
    <n v="-118.19370000000001"/>
    <d v="2023-09-10T00:00:00"/>
    <n v="2"/>
    <b v="1"/>
    <d v="2025-06-16T00:00:00"/>
    <x v="3"/>
    <x v="3"/>
  </r>
  <r>
    <b v="1"/>
    <d v="1899-12-30T18:06:00"/>
    <d v="1899-12-30T19:59:00"/>
    <n v="113"/>
    <x v="0"/>
    <b v="0"/>
    <b v="0"/>
    <x v="4"/>
    <x v="1"/>
    <x v="0"/>
    <x v="1"/>
    <x v="1"/>
    <n v="0"/>
    <x v="1"/>
    <s v="Weekdays only"/>
    <s v="San Francisco, CA"/>
    <n v="37.774900000000002"/>
    <n v="-122.4194"/>
    <d v="2025-01-25T00:00:00"/>
    <n v="0"/>
    <b v="0"/>
    <d v="2025-07-14T00:00:00"/>
    <x v="1"/>
    <x v="1"/>
  </r>
  <r>
    <b v="1"/>
    <d v="1899-12-30T19:00:00"/>
    <d v="1899-12-30T19:49:00"/>
    <n v="49"/>
    <x v="1"/>
    <b v="0"/>
    <b v="1"/>
    <x v="4"/>
    <x v="1"/>
    <x v="0"/>
    <x v="1"/>
    <x v="0"/>
    <n v="0.05"/>
    <x v="7"/>
    <s v="Weekdays only"/>
    <s v="Bakersfield, CA"/>
    <n v="35.3733"/>
    <n v="-119.0187"/>
    <d v="2024-08-15T00:00:00"/>
    <n v="0"/>
    <b v="0"/>
    <d v="2025-07-05T00:00:00"/>
    <x v="3"/>
    <x v="3"/>
  </r>
  <r>
    <b v="1"/>
    <d v="1899-12-30T13:39:00"/>
    <d v="1899-12-30T14:34:00"/>
    <n v="55"/>
    <x v="0"/>
    <b v="1"/>
    <b v="0"/>
    <x v="0"/>
    <x v="0"/>
    <x v="0"/>
    <x v="0"/>
    <x v="0"/>
    <n v="0.05"/>
    <x v="0"/>
    <s v="All hours"/>
    <s v="San Diego, CA"/>
    <n v="32.715699999999998"/>
    <n v="-117.1611"/>
    <d v="2024-05-28T00:00:00"/>
    <n v="8"/>
    <b v="1"/>
    <d v="2025-07-01T00:00:00"/>
    <x v="1"/>
    <x v="1"/>
  </r>
  <r>
    <b v="0"/>
    <d v="1899-12-30T10:25:00"/>
    <d v="1899-12-30T12:18:00"/>
    <n v="113"/>
    <x v="0"/>
    <b v="0"/>
    <b v="1"/>
    <x v="0"/>
    <x v="1"/>
    <x v="0"/>
    <x v="1"/>
    <x v="1"/>
    <n v="0"/>
    <x v="1"/>
    <s v="Weekdays only"/>
    <s v="Los Angeles, CA"/>
    <n v="34.052199999999999"/>
    <n v="-118.2437"/>
    <d v="2024-02-23T00:00:00"/>
    <n v="0"/>
    <b v="0"/>
    <d v="2025-06-25T00:00:00"/>
    <x v="2"/>
    <x v="4"/>
  </r>
  <r>
    <b v="1"/>
    <d v="1899-12-30T14:33:00"/>
    <d v="1899-12-30T15:40:00"/>
    <n v="67"/>
    <x v="1"/>
    <b v="1"/>
    <b v="0"/>
    <x v="2"/>
    <x v="2"/>
    <x v="1"/>
    <x v="5"/>
    <x v="3"/>
    <n v="0.15"/>
    <x v="13"/>
    <s v="Off-peak only"/>
    <s v="Oakland, CA"/>
    <n v="37.804400000000001"/>
    <n v="-122.27119999999999"/>
    <d v="2023-03-09T00:00:00"/>
    <n v="8"/>
    <b v="0"/>
    <d v="2025-06-05T00:00:00"/>
    <x v="0"/>
    <x v="0"/>
  </r>
  <r>
    <b v="1"/>
    <d v="1899-12-30T08:06:00"/>
    <d v="1899-12-30T10:41:00"/>
    <n v="155"/>
    <x v="0"/>
    <b v="1"/>
    <b v="0"/>
    <x v="4"/>
    <x v="1"/>
    <x v="0"/>
    <x v="1"/>
    <x v="1"/>
    <n v="0"/>
    <x v="1"/>
    <s v="Weekdays only"/>
    <s v="Anaheim, CA"/>
    <n v="33.836599999999997"/>
    <n v="-117.9143"/>
    <d v="2024-11-22T00:00:00"/>
    <n v="6"/>
    <b v="0"/>
    <d v="2025-07-11T00:00:00"/>
    <x v="0"/>
    <x v="0"/>
  </r>
  <r>
    <b v="1"/>
    <d v="1899-12-30T19:04:00"/>
    <d v="1899-12-30T20:02:00"/>
    <n v="58"/>
    <x v="1"/>
    <b v="0"/>
    <b v="1"/>
    <x v="0"/>
    <x v="2"/>
    <x v="1"/>
    <x v="5"/>
    <x v="1"/>
    <n v="0"/>
    <x v="14"/>
    <s v="Off-peak only"/>
    <s v="Sacramento, CA"/>
    <n v="38.581600000000002"/>
    <n v="-121.4944"/>
    <d v="2023-12-23T00:00:00"/>
    <n v="0"/>
    <b v="1"/>
    <d v="2025-06-22T00:00:00"/>
    <x v="1"/>
    <x v="1"/>
  </r>
  <r>
    <b v="0"/>
    <d v="1899-12-30T09:16:00"/>
    <d v="1899-12-30T12:08:00"/>
    <n v="172"/>
    <x v="0"/>
    <b v="1"/>
    <b v="0"/>
    <x v="0"/>
    <x v="2"/>
    <x v="2"/>
    <x v="7"/>
    <x v="1"/>
    <n v="0"/>
    <x v="6"/>
    <s v="Off-peak only"/>
    <s v="Oakland, CA"/>
    <n v="37.804400000000001"/>
    <n v="-122.27119999999999"/>
    <d v="2023-10-01T00:00:00"/>
    <n v="7"/>
    <b v="0"/>
    <d v="2025-06-17T00:00:00"/>
    <x v="3"/>
    <x v="3"/>
  </r>
  <r>
    <b v="0"/>
    <d v="1899-12-30T08:38:00"/>
    <d v="1899-12-30T11:24:00"/>
    <n v="166"/>
    <x v="0"/>
    <b v="1"/>
    <b v="1"/>
    <x v="1"/>
    <x v="0"/>
    <x v="1"/>
    <x v="6"/>
    <x v="1"/>
    <n v="0"/>
    <x v="12"/>
    <s v="All hours"/>
    <s v="Bakersfield, CA"/>
    <n v="35.3733"/>
    <n v="-119.0187"/>
    <d v="2025-05-04T00:00:00"/>
    <n v="2"/>
    <b v="1"/>
    <d v="2025-07-20T00:00:00"/>
    <x v="2"/>
    <x v="2"/>
  </r>
  <r>
    <b v="0"/>
    <d v="1899-12-30T18:39:00"/>
    <d v="1899-12-30T20:06:00"/>
    <n v="87"/>
    <x v="0"/>
    <b v="1"/>
    <b v="1"/>
    <x v="0"/>
    <x v="0"/>
    <x v="0"/>
    <x v="0"/>
    <x v="1"/>
    <n v="0"/>
    <x v="5"/>
    <s v="All hours"/>
    <s v="Oakland, CA"/>
    <n v="37.804400000000001"/>
    <n v="-122.27119999999999"/>
    <d v="2023-09-14T00:00:00"/>
    <n v="1"/>
    <b v="1"/>
    <d v="2025-06-16T00:00:00"/>
    <x v="2"/>
    <x v="2"/>
  </r>
  <r>
    <b v="0"/>
    <d v="1899-12-30T15:25:00"/>
    <d v="1899-12-30T18:05:00"/>
    <n v="160"/>
    <x v="1"/>
    <b v="0"/>
    <b v="1"/>
    <x v="4"/>
    <x v="1"/>
    <x v="0"/>
    <x v="1"/>
    <x v="2"/>
    <n v="0.1"/>
    <x v="2"/>
    <s v="Weekdays only"/>
    <s v="Los Angeles, CA"/>
    <n v="34.052199999999999"/>
    <n v="-118.2437"/>
    <d v="2024-12-23T00:00:00"/>
    <n v="0"/>
    <b v="0"/>
    <d v="2025-07-12T00:00:00"/>
    <x v="0"/>
    <x v="0"/>
  </r>
  <r>
    <b v="0"/>
    <d v="1899-12-30T12:37:00"/>
    <d v="1899-12-30T13:15:00"/>
    <n v="38"/>
    <x v="1"/>
    <b v="1"/>
    <b v="0"/>
    <x v="0"/>
    <x v="1"/>
    <x v="0"/>
    <x v="1"/>
    <x v="1"/>
    <n v="0"/>
    <x v="1"/>
    <s v="Weekdays only"/>
    <s v="San Jose, CA"/>
    <n v="37.338200000000001"/>
    <n v="-121.88630000000001"/>
    <d v="2025-04-14T00:00:00"/>
    <n v="5"/>
    <b v="1"/>
    <d v="2025-07-19T00:00:00"/>
    <x v="0"/>
    <x v="0"/>
  </r>
  <r>
    <b v="1"/>
    <d v="1899-12-30T16:04:00"/>
    <d v="1899-12-30T18:16:00"/>
    <n v="132"/>
    <x v="1"/>
    <b v="1"/>
    <b v="1"/>
    <x v="0"/>
    <x v="1"/>
    <x v="1"/>
    <x v="4"/>
    <x v="1"/>
    <n v="0"/>
    <x v="8"/>
    <s v="Weekdays only"/>
    <s v="Anaheim, CA"/>
    <n v="33.836599999999997"/>
    <n v="-117.9143"/>
    <d v="2022-09-16T00:00:00"/>
    <n v="6"/>
    <b v="0"/>
    <d v="2025-05-27T00:00:00"/>
    <x v="1"/>
    <x v="1"/>
  </r>
  <r>
    <b v="0"/>
    <d v="1899-12-30T15:13:00"/>
    <d v="1899-12-30T16:46:00"/>
    <n v="93"/>
    <x v="0"/>
    <b v="1"/>
    <b v="1"/>
    <x v="0"/>
    <x v="1"/>
    <x v="0"/>
    <x v="1"/>
    <x v="3"/>
    <n v="0.15"/>
    <x v="15"/>
    <s v="Weekdays only"/>
    <s v="Los Angeles, CA"/>
    <n v="34.052199999999999"/>
    <n v="-118.2437"/>
    <d v="2022-08-29T00:00:00"/>
    <n v="4"/>
    <b v="1"/>
    <d v="2025-05-26T00:00:00"/>
    <x v="1"/>
    <x v="1"/>
  </r>
  <r>
    <b v="1"/>
    <d v="1899-12-30T12:33:00"/>
    <d v="1899-12-30T14:41:00"/>
    <n v="128"/>
    <x v="0"/>
    <b v="0"/>
    <b v="0"/>
    <x v="1"/>
    <x v="1"/>
    <x v="2"/>
    <x v="8"/>
    <x v="1"/>
    <n v="0"/>
    <x v="2"/>
    <s v="Weekdays only"/>
    <s v="Bakersfield, CA"/>
    <n v="35.3733"/>
    <n v="-119.0187"/>
    <d v="2023-02-13T00:00:00"/>
    <n v="0"/>
    <b v="0"/>
    <d v="2025-06-04T00:00:00"/>
    <x v="3"/>
    <x v="3"/>
  </r>
  <r>
    <b v="0"/>
    <d v="1899-12-30T12:23:00"/>
    <d v="1899-12-30T14:44:00"/>
    <n v="141"/>
    <x v="1"/>
    <b v="1"/>
    <b v="1"/>
    <x v="3"/>
    <x v="0"/>
    <x v="0"/>
    <x v="0"/>
    <x v="2"/>
    <n v="0.1"/>
    <x v="16"/>
    <s v="All hours"/>
    <s v="Oakland, CA"/>
    <n v="37.804400000000001"/>
    <n v="-122.27119999999999"/>
    <d v="2024-08-02T00:00:00"/>
    <n v="1"/>
    <b v="0"/>
    <d v="2025-07-04T00:00:00"/>
    <x v="2"/>
    <x v="4"/>
  </r>
  <r>
    <b v="0"/>
    <d v="1899-12-30T11:19:00"/>
    <d v="1899-12-30T12:16:00"/>
    <n v="57"/>
    <x v="0"/>
    <b v="1"/>
    <b v="1"/>
    <x v="4"/>
    <x v="3"/>
    <x v="0"/>
    <x v="3"/>
    <x v="1"/>
    <n v="0"/>
    <x v="4"/>
    <s v="All hours + Priority access"/>
    <s v="Fresno, CA"/>
    <n v="36.7378"/>
    <n v="-119.7871"/>
    <d v="2025-03-10T00:00:00"/>
    <n v="5"/>
    <b v="1"/>
    <d v="2025-07-17T00:00:00"/>
    <x v="0"/>
    <x v="0"/>
  </r>
  <r>
    <b v="1"/>
    <d v="1899-12-30T12:51:00"/>
    <d v="1899-12-30T14:37:00"/>
    <n v="106"/>
    <x v="0"/>
    <b v="1"/>
    <b v="1"/>
    <x v="1"/>
    <x v="0"/>
    <x v="0"/>
    <x v="0"/>
    <x v="2"/>
    <n v="0.1"/>
    <x v="16"/>
    <s v="All hours"/>
    <s v="Oakland, CA"/>
    <n v="37.804400000000001"/>
    <n v="-122.27119999999999"/>
    <d v="2023-06-25T00:00:00"/>
    <n v="4"/>
    <b v="0"/>
    <d v="2025-06-11T00:00:00"/>
    <x v="0"/>
    <x v="0"/>
  </r>
  <r>
    <b v="1"/>
    <d v="1899-12-30T08:13:00"/>
    <d v="1899-12-30T09:46:00"/>
    <n v="93"/>
    <x v="0"/>
    <b v="0"/>
    <b v="1"/>
    <x v="0"/>
    <x v="1"/>
    <x v="0"/>
    <x v="1"/>
    <x v="0"/>
    <n v="0.05"/>
    <x v="7"/>
    <s v="Weekdays only"/>
    <s v="San Jose, CA"/>
    <n v="37.338200000000001"/>
    <n v="-121.88630000000001"/>
    <d v="2024-03-11T00:00:00"/>
    <n v="0"/>
    <b v="0"/>
    <d v="2025-06-26T00:00:00"/>
    <x v="3"/>
    <x v="3"/>
  </r>
  <r>
    <b v="0"/>
    <d v="1899-12-30T09:30:00"/>
    <d v="1899-12-30T12:24:00"/>
    <n v="174"/>
    <x v="1"/>
    <b v="1"/>
    <b v="1"/>
    <x v="1"/>
    <x v="0"/>
    <x v="0"/>
    <x v="0"/>
    <x v="1"/>
    <n v="0"/>
    <x v="5"/>
    <s v="All hours"/>
    <s v="Los Angeles, CA"/>
    <n v="34.052199999999999"/>
    <n v="-118.2437"/>
    <d v="2025-02-13T00:00:00"/>
    <n v="8"/>
    <b v="1"/>
    <d v="2025-07-15T00:00:00"/>
    <x v="2"/>
    <x v="2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4-01-12T00:00:00"/>
    <n v="0"/>
    <b v="1"/>
    <d v="2025-06-23T00:00:00"/>
    <x v="3"/>
    <x v="3"/>
  </r>
  <r>
    <b v="1"/>
    <d v="1899-12-30T09:36:00"/>
    <d v="1899-12-30T12:09:00"/>
    <n v="153"/>
    <x v="1"/>
    <b v="1"/>
    <b v="1"/>
    <x v="0"/>
    <x v="2"/>
    <x v="0"/>
    <x v="2"/>
    <x v="3"/>
    <n v="0.15"/>
    <x v="17"/>
    <s v="Off-peak only"/>
    <s v="Sacramento, CA"/>
    <n v="38.581600000000002"/>
    <n v="-121.4944"/>
    <d v="2025-05-17T00:00:00"/>
    <n v="3"/>
    <b v="0"/>
    <d v="2025-07-20T00:00:00"/>
    <x v="2"/>
    <x v="4"/>
  </r>
  <r>
    <b v="1"/>
    <d v="1899-12-30T12:05:00"/>
    <d v="1899-12-30T14:14:00"/>
    <n v="129"/>
    <x v="1"/>
    <b v="1"/>
    <b v="0"/>
    <x v="4"/>
    <x v="1"/>
    <x v="0"/>
    <x v="1"/>
    <x v="1"/>
    <n v="0"/>
    <x v="1"/>
    <s v="Weekdays only"/>
    <s v="San Francisco, CA"/>
    <n v="37.774900000000002"/>
    <n v="-122.4194"/>
    <d v="2022-10-28T00:00:00"/>
    <n v="4"/>
    <b v="0"/>
    <d v="2025-05-29T00:00:00"/>
    <x v="0"/>
    <x v="0"/>
  </r>
  <r>
    <b v="1"/>
    <d v="1899-12-30T17:46:00"/>
    <d v="1899-12-30T20:29:00"/>
    <n v="163"/>
    <x v="0"/>
    <b v="1"/>
    <b v="0"/>
    <x v="1"/>
    <x v="1"/>
    <x v="1"/>
    <x v="4"/>
    <x v="1"/>
    <n v="0"/>
    <x v="8"/>
    <s v="Weekdays only"/>
    <s v="Fresno, CA"/>
    <n v="36.7378"/>
    <n v="-119.7871"/>
    <d v="2024-09-20T00:00:00"/>
    <n v="2"/>
    <b v="0"/>
    <d v="2025-07-07T00:00:00"/>
    <x v="2"/>
    <x v="2"/>
  </r>
  <r>
    <b v="0"/>
    <d v="1899-12-30T19:20:00"/>
    <d v="1899-12-30T21:58:00"/>
    <n v="158"/>
    <x v="1"/>
    <b v="0"/>
    <b v="0"/>
    <x v="3"/>
    <x v="0"/>
    <x v="1"/>
    <x v="6"/>
    <x v="1"/>
    <n v="0"/>
    <x v="12"/>
    <s v="All hours"/>
    <s v="Bakersfield, CA"/>
    <n v="35.3733"/>
    <n v="-119.0187"/>
    <d v="2023-07-18T00:00:00"/>
    <n v="0"/>
    <b v="1"/>
    <d v="2025-06-13T00:00:00"/>
    <x v="1"/>
    <x v="1"/>
  </r>
  <r>
    <b v="1"/>
    <d v="1899-12-30T12:43:00"/>
    <d v="1899-12-30T13:13:00"/>
    <n v="30"/>
    <x v="1"/>
    <b v="0"/>
    <b v="0"/>
    <x v="2"/>
    <x v="2"/>
    <x v="0"/>
    <x v="2"/>
    <x v="0"/>
    <n v="0.05"/>
    <x v="18"/>
    <s v="Off-peak only"/>
    <s v="Fresno, CA"/>
    <n v="36.7378"/>
    <n v="-119.7871"/>
    <d v="2024-07-26T00:00:00"/>
    <n v="0"/>
    <b v="1"/>
    <d v="2025-07-04T00:00:00"/>
    <x v="3"/>
    <x v="3"/>
  </r>
  <r>
    <b v="1"/>
    <d v="1899-12-30T09:39:00"/>
    <d v="1899-12-30T11:08:00"/>
    <n v="89"/>
    <x v="0"/>
    <b v="0"/>
    <b v="1"/>
    <x v="0"/>
    <x v="0"/>
    <x v="0"/>
    <x v="0"/>
    <x v="1"/>
    <n v="0"/>
    <x v="5"/>
    <s v="All hours"/>
    <s v="Fresno, CA"/>
    <n v="36.7378"/>
    <n v="-119.7871"/>
    <d v="2023-12-17T00:00:00"/>
    <n v="0"/>
    <b v="1"/>
    <d v="2025-06-21T00:00:00"/>
    <x v="1"/>
    <x v="1"/>
  </r>
  <r>
    <b v="0"/>
    <d v="1899-12-30T11:06:00"/>
    <d v="1899-12-30T11:44:00"/>
    <n v="38"/>
    <x v="1"/>
    <b v="1"/>
    <b v="0"/>
    <x v="4"/>
    <x v="0"/>
    <x v="0"/>
    <x v="0"/>
    <x v="2"/>
    <n v="0.1"/>
    <x v="16"/>
    <s v="All hours"/>
    <s v="Anaheim, CA"/>
    <n v="33.836599999999997"/>
    <n v="-117.9143"/>
    <d v="2023-11-18T00:00:00"/>
    <n v="2"/>
    <b v="1"/>
    <d v="2025-06-20T00:00:00"/>
    <x v="1"/>
    <x v="1"/>
  </r>
  <r>
    <b v="0"/>
    <d v="1899-12-30T17:44:00"/>
    <d v="1899-12-30T18:20:00"/>
    <n v="36"/>
    <x v="1"/>
    <b v="1"/>
    <b v="0"/>
    <x v="0"/>
    <x v="3"/>
    <x v="2"/>
    <x v="9"/>
    <x v="3"/>
    <n v="0.15"/>
    <x v="19"/>
    <s v="All hours + Priority access"/>
    <s v="Anaheim, CA"/>
    <n v="33.836599999999997"/>
    <n v="-117.9143"/>
    <d v="2024-12-08T00:00:00"/>
    <n v="3"/>
    <b v="1"/>
    <d v="2025-07-11T00:00:00"/>
    <x v="2"/>
    <x v="2"/>
  </r>
  <r>
    <b v="0"/>
    <d v="1899-12-30T19:52:00"/>
    <d v="1899-12-30T21:17:00"/>
    <n v="85"/>
    <x v="1"/>
    <b v="1"/>
    <b v="1"/>
    <x v="2"/>
    <x v="2"/>
    <x v="1"/>
    <x v="5"/>
    <x v="3"/>
    <n v="0.15"/>
    <x v="13"/>
    <s v="Off-peak only"/>
    <s v="Fresno, CA"/>
    <n v="36.7378"/>
    <n v="-119.7871"/>
    <d v="2022-08-25T00:00:00"/>
    <n v="1"/>
    <b v="1"/>
    <d v="2025-05-25T00:00:00"/>
    <x v="1"/>
    <x v="1"/>
  </r>
  <r>
    <b v="0"/>
    <d v="1899-12-30T19:38:00"/>
    <d v="1899-12-30T21:10:00"/>
    <n v="92"/>
    <x v="1"/>
    <b v="1"/>
    <b v="1"/>
    <x v="0"/>
    <x v="0"/>
    <x v="0"/>
    <x v="0"/>
    <x v="1"/>
    <n v="0"/>
    <x v="5"/>
    <s v="All hours"/>
    <s v="Long Beach, CA"/>
    <n v="33.770099999999999"/>
    <n v="-118.19370000000001"/>
    <d v="2023-03-20T00:00:00"/>
    <n v="5"/>
    <b v="0"/>
    <d v="2025-06-06T00:00:00"/>
    <x v="0"/>
    <x v="0"/>
  </r>
  <r>
    <b v="0"/>
    <d v="1899-12-30T14:38:00"/>
    <d v="1899-12-30T17:21:00"/>
    <n v="163"/>
    <x v="1"/>
    <b v="0"/>
    <b v="1"/>
    <x v="1"/>
    <x v="1"/>
    <x v="0"/>
    <x v="1"/>
    <x v="1"/>
    <n v="0"/>
    <x v="1"/>
    <s v="Weekdays only"/>
    <s v="San Francisco, CA"/>
    <n v="37.774900000000002"/>
    <n v="-122.4194"/>
    <d v="2022-09-26T00:00:00"/>
    <n v="0"/>
    <b v="0"/>
    <d v="2025-05-27T00:00:00"/>
    <x v="0"/>
    <x v="0"/>
  </r>
  <r>
    <b v="0"/>
    <d v="1899-12-30T16:53:00"/>
    <d v="1899-12-30T18:08:00"/>
    <n v="75"/>
    <x v="0"/>
    <b v="1"/>
    <b v="0"/>
    <x v="1"/>
    <x v="0"/>
    <x v="1"/>
    <x v="6"/>
    <x v="0"/>
    <n v="0.05"/>
    <x v="10"/>
    <s v="All hours"/>
    <s v="San Francisco, CA"/>
    <n v="37.774900000000002"/>
    <n v="-122.4194"/>
    <d v="2022-11-13T00:00:00"/>
    <n v="4"/>
    <b v="1"/>
    <d v="2025-05-30T00:00:00"/>
    <x v="1"/>
    <x v="1"/>
  </r>
  <r>
    <b v="1"/>
    <d v="1899-12-30T10:56:00"/>
    <d v="1899-12-30T13:40:00"/>
    <n v="164"/>
    <x v="0"/>
    <b v="1"/>
    <b v="1"/>
    <x v="1"/>
    <x v="0"/>
    <x v="1"/>
    <x v="6"/>
    <x v="0"/>
    <n v="0.05"/>
    <x v="10"/>
    <s v="All hours"/>
    <s v="San Jose, CA"/>
    <n v="37.338200000000001"/>
    <n v="-121.88630000000001"/>
    <d v="2023-09-25T00:00:00"/>
    <n v="2"/>
    <b v="0"/>
    <d v="2025-06-17T00:00:00"/>
    <x v="1"/>
    <x v="1"/>
  </r>
  <r>
    <b v="0"/>
    <d v="1899-12-30T16:51:00"/>
    <d v="1899-12-30T18:31:00"/>
    <n v="100"/>
    <x v="0"/>
    <b v="1"/>
    <b v="1"/>
    <x v="4"/>
    <x v="0"/>
    <x v="0"/>
    <x v="0"/>
    <x v="1"/>
    <n v="0"/>
    <x v="5"/>
    <s v="All hours"/>
    <s v="Sacramento, CA"/>
    <n v="38.581600000000002"/>
    <n v="-121.4944"/>
    <d v="2022-10-15T00:00:00"/>
    <n v="1"/>
    <b v="1"/>
    <d v="2025-05-28T00:00:00"/>
    <x v="3"/>
    <x v="3"/>
  </r>
  <r>
    <b v="0"/>
    <d v="1899-12-30T16:21:00"/>
    <d v="1899-12-30T18:39:00"/>
    <n v="138"/>
    <x v="1"/>
    <b v="1"/>
    <b v="0"/>
    <x v="0"/>
    <x v="0"/>
    <x v="0"/>
    <x v="0"/>
    <x v="2"/>
    <n v="0.1"/>
    <x v="16"/>
    <s v="All hours"/>
    <s v="San Diego, CA"/>
    <n v="32.715699999999998"/>
    <n v="-117.1611"/>
    <d v="2025-03-20T00:00:00"/>
    <n v="3"/>
    <b v="1"/>
    <d v="2025-07-17T00:00:00"/>
    <x v="0"/>
    <x v="0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4-11-26T00:00:00"/>
    <n v="7"/>
    <b v="1"/>
    <d v="2025-07-11T00:00:00"/>
    <x v="3"/>
    <x v="3"/>
  </r>
  <r>
    <b v="0"/>
    <d v="1899-12-30T10:30:00"/>
    <d v="1899-12-30T13:27:00"/>
    <n v="177"/>
    <x v="1"/>
    <b v="1"/>
    <b v="1"/>
    <x v="0"/>
    <x v="1"/>
    <x v="0"/>
    <x v="1"/>
    <x v="3"/>
    <n v="0.15"/>
    <x v="15"/>
    <s v="Weekdays only"/>
    <s v="Long Beach, CA"/>
    <n v="33.770099999999999"/>
    <n v="-118.19370000000001"/>
    <d v="2025-05-05T00:00:00"/>
    <n v="6"/>
    <b v="0"/>
    <d v="2025-07-20T00:00:00"/>
    <x v="2"/>
    <x v="2"/>
  </r>
  <r>
    <b v="1"/>
    <d v="1899-12-30T20:23:00"/>
    <d v="1899-12-30T21:49:00"/>
    <n v="86"/>
    <x v="0"/>
    <b v="1"/>
    <b v="0"/>
    <x v="0"/>
    <x v="2"/>
    <x v="1"/>
    <x v="5"/>
    <x v="2"/>
    <n v="0.1"/>
    <x v="20"/>
    <s v="Off-peak only"/>
    <s v="San Diego, CA"/>
    <n v="32.715699999999998"/>
    <n v="-117.1611"/>
    <d v="2024-07-11T00:00:00"/>
    <n v="7"/>
    <b v="0"/>
    <d v="2025-07-03T00:00:00"/>
    <x v="2"/>
    <x v="2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4-05-05T00:00:00"/>
    <n v="7"/>
    <b v="0"/>
    <d v="2025-06-29T00:00:00"/>
    <x v="2"/>
    <x v="2"/>
  </r>
  <r>
    <b v="0"/>
    <d v="1899-12-30T11:23:00"/>
    <d v="1899-12-30T14:03:00"/>
    <n v="160"/>
    <x v="1"/>
    <b v="0"/>
    <b v="0"/>
    <x v="2"/>
    <x v="0"/>
    <x v="1"/>
    <x v="6"/>
    <x v="1"/>
    <n v="0"/>
    <x v="12"/>
    <s v="All hours"/>
    <s v="Fresno, CA"/>
    <n v="36.7378"/>
    <n v="-119.7871"/>
    <d v="2024-09-07T00:00:00"/>
    <n v="0"/>
    <b v="1"/>
    <d v="2025-07-06T00:00:00"/>
    <x v="2"/>
    <x v="2"/>
  </r>
  <r>
    <b v="1"/>
    <d v="1899-12-30T12:52:00"/>
    <d v="1899-12-30T15:23:00"/>
    <n v="151"/>
    <x v="1"/>
    <b v="0"/>
    <b v="0"/>
    <x v="0"/>
    <x v="1"/>
    <x v="1"/>
    <x v="4"/>
    <x v="0"/>
    <n v="0.05"/>
    <x v="11"/>
    <s v="Weekdays only"/>
    <s v="San Diego, CA"/>
    <n v="32.715699999999998"/>
    <n v="-117.1611"/>
    <d v="2023-01-22T00:00:00"/>
    <n v="0"/>
    <b v="0"/>
    <d v="2025-06-03T00:00:00"/>
    <x v="1"/>
    <x v="1"/>
  </r>
  <r>
    <b v="0"/>
    <d v="1899-12-30T19:20:00"/>
    <d v="1899-12-30T21:58:00"/>
    <n v="158"/>
    <x v="1"/>
    <b v="0"/>
    <b v="0"/>
    <x v="3"/>
    <x v="0"/>
    <x v="1"/>
    <x v="6"/>
    <x v="1"/>
    <n v="0"/>
    <x v="12"/>
    <s v="All hours"/>
    <s v="Bakersfield, CA"/>
    <n v="35.3733"/>
    <n v="-119.0187"/>
    <d v="2024-06-08T00:00:00"/>
    <n v="0"/>
    <b v="1"/>
    <d v="2025-07-01T00:00:00"/>
    <x v="1"/>
    <x v="1"/>
  </r>
  <r>
    <b v="1"/>
    <d v="1899-12-30T14:44:00"/>
    <d v="1899-12-30T17:01:00"/>
    <n v="137"/>
    <x v="0"/>
    <b v="1"/>
    <b v="0"/>
    <x v="0"/>
    <x v="2"/>
    <x v="2"/>
    <x v="7"/>
    <x v="0"/>
    <n v="0.05"/>
    <x v="21"/>
    <s v="Off-peak only"/>
    <s v="Long Beach, CA"/>
    <n v="33.770099999999999"/>
    <n v="-118.19370000000001"/>
    <d v="2024-08-27T00:00:00"/>
    <n v="2"/>
    <b v="0"/>
    <d v="2025-07-06T00:00:00"/>
    <x v="0"/>
    <x v="0"/>
  </r>
  <r>
    <b v="1"/>
    <d v="1899-12-30T11:56:00"/>
    <d v="1899-12-30T13:37:00"/>
    <n v="101"/>
    <x v="0"/>
    <b v="0"/>
    <b v="0"/>
    <x v="0"/>
    <x v="0"/>
    <x v="1"/>
    <x v="6"/>
    <x v="1"/>
    <n v="0"/>
    <x v="12"/>
    <s v="All hours"/>
    <s v="Sacramento, CA"/>
    <n v="38.581600000000002"/>
    <n v="-121.4944"/>
    <d v="2023-11-23T00:00:00"/>
    <n v="0"/>
    <b v="1"/>
    <d v="2025-06-20T00:00:00"/>
    <x v="2"/>
    <x v="4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5-01-23T00:00:00"/>
    <n v="0"/>
    <b v="1"/>
    <d v="2025-07-14T00:00:00"/>
    <x v="1"/>
    <x v="1"/>
  </r>
  <r>
    <b v="1"/>
    <d v="1899-12-30T10:38:00"/>
    <d v="1899-12-30T11:41:00"/>
    <n v="63"/>
    <x v="1"/>
    <b v="1"/>
    <b v="1"/>
    <x v="0"/>
    <x v="1"/>
    <x v="1"/>
    <x v="4"/>
    <x v="0"/>
    <n v="0.05"/>
    <x v="11"/>
    <s v="Weekdays only"/>
    <s v="Bakersfield, CA"/>
    <n v="35.3733"/>
    <n v="-119.0187"/>
    <d v="2023-02-19T00:00:00"/>
    <n v="8"/>
    <b v="0"/>
    <d v="2025-06-04T00:00:00"/>
    <x v="0"/>
    <x v="0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5-04-04T00:00:00"/>
    <n v="8"/>
    <b v="1"/>
    <d v="2025-07-18T00:00:00"/>
    <x v="3"/>
    <x v="3"/>
  </r>
  <r>
    <b v="0"/>
    <d v="1899-12-30T14:06:00"/>
    <d v="1899-12-30T15:54:00"/>
    <n v="108"/>
    <x v="1"/>
    <b v="0"/>
    <b v="1"/>
    <x v="0"/>
    <x v="1"/>
    <x v="0"/>
    <x v="1"/>
    <x v="1"/>
    <n v="0"/>
    <x v="1"/>
    <s v="Weekdays only"/>
    <s v="Oakland, CA"/>
    <n v="37.804400000000001"/>
    <n v="-122.27119999999999"/>
    <d v="2022-08-06T00:00:00"/>
    <n v="0"/>
    <b v="1"/>
    <d v="2025-05-24T00:00:00"/>
    <x v="2"/>
    <x v="4"/>
  </r>
  <r>
    <b v="1"/>
    <d v="1899-12-30T15:01:00"/>
    <d v="1899-12-30T16:59:00"/>
    <n v="118"/>
    <x v="1"/>
    <b v="0"/>
    <b v="0"/>
    <x v="0"/>
    <x v="0"/>
    <x v="1"/>
    <x v="6"/>
    <x v="0"/>
    <n v="0.05"/>
    <x v="10"/>
    <s v="All hours"/>
    <s v="San Diego, CA"/>
    <n v="32.715699999999998"/>
    <n v="-117.1611"/>
    <d v="2023-03-23T00:00:00"/>
    <n v="0"/>
    <b v="1"/>
    <d v="2025-06-06T00:00:00"/>
    <x v="2"/>
    <x v="2"/>
  </r>
  <r>
    <b v="1"/>
    <d v="1899-12-30T13:20:00"/>
    <d v="1899-12-30T14:42:00"/>
    <n v="82"/>
    <x v="0"/>
    <b v="0"/>
    <b v="0"/>
    <x v="1"/>
    <x v="1"/>
    <x v="2"/>
    <x v="8"/>
    <x v="1"/>
    <n v="0"/>
    <x v="2"/>
    <s v="Weekdays only"/>
    <s v="San Diego, CA"/>
    <n v="32.715699999999998"/>
    <n v="-117.1611"/>
    <d v="2024-11-23T00:00:00"/>
    <n v="0"/>
    <b v="1"/>
    <d v="2025-07-11T00:00:00"/>
    <x v="1"/>
    <x v="1"/>
  </r>
  <r>
    <b v="0"/>
    <d v="1899-12-30T18:22:00"/>
    <d v="1899-12-30T20:18:00"/>
    <n v="116"/>
    <x v="1"/>
    <b v="1"/>
    <b v="0"/>
    <x v="2"/>
    <x v="2"/>
    <x v="0"/>
    <x v="2"/>
    <x v="0"/>
    <n v="0.05"/>
    <x v="18"/>
    <s v="Off-peak only"/>
    <s v="Fresno, CA"/>
    <n v="36.7378"/>
    <n v="-119.7871"/>
    <d v="2025-06-17T00:00:00"/>
    <n v="3"/>
    <b v="0"/>
    <d v="2025-07-22T00:00:00"/>
    <x v="0"/>
    <x v="0"/>
  </r>
  <r>
    <b v="1"/>
    <d v="1899-12-30T15:30:00"/>
    <d v="1899-12-30T16:26:00"/>
    <n v="56"/>
    <x v="1"/>
    <b v="1"/>
    <b v="0"/>
    <x v="0"/>
    <x v="2"/>
    <x v="1"/>
    <x v="5"/>
    <x v="1"/>
    <n v="0"/>
    <x v="14"/>
    <s v="Off-peak only"/>
    <s v="Long Beach, CA"/>
    <n v="33.770099999999999"/>
    <n v="-118.19370000000001"/>
    <d v="2023-02-05T00:00:00"/>
    <n v="4"/>
    <b v="0"/>
    <d v="2025-06-04T00:00:00"/>
    <x v="0"/>
    <x v="0"/>
  </r>
  <r>
    <b v="1"/>
    <d v="1899-12-30T16:18:00"/>
    <d v="1899-12-30T17:35:00"/>
    <n v="77"/>
    <x v="1"/>
    <b v="0"/>
    <b v="0"/>
    <x v="0"/>
    <x v="0"/>
    <x v="0"/>
    <x v="0"/>
    <x v="1"/>
    <n v="0"/>
    <x v="5"/>
    <s v="All hours"/>
    <s v="San Jose, CA"/>
    <n v="37.338200000000001"/>
    <n v="-121.88630000000001"/>
    <d v="2023-06-01T00:00:00"/>
    <n v="0"/>
    <b v="0"/>
    <d v="2025-06-10T00:00:00"/>
    <x v="0"/>
    <x v="0"/>
  </r>
  <r>
    <b v="0"/>
    <d v="1899-12-30T19:17:00"/>
    <d v="1899-12-30T20:30:00"/>
    <n v="73"/>
    <x v="0"/>
    <b v="1"/>
    <b v="1"/>
    <x v="0"/>
    <x v="2"/>
    <x v="0"/>
    <x v="2"/>
    <x v="1"/>
    <n v="0"/>
    <x v="3"/>
    <s v="Off-peak only"/>
    <s v="Bakersfield, CA"/>
    <n v="35.3733"/>
    <n v="-119.0187"/>
    <d v="2023-05-08T00:00:00"/>
    <n v="8"/>
    <b v="0"/>
    <d v="2025-06-09T00:00:00"/>
    <x v="1"/>
    <x v="1"/>
  </r>
  <r>
    <b v="1"/>
    <d v="1899-12-30T08:25:00"/>
    <d v="1899-12-30T10:08:00"/>
    <n v="103"/>
    <x v="0"/>
    <b v="1"/>
    <b v="1"/>
    <x v="0"/>
    <x v="3"/>
    <x v="0"/>
    <x v="3"/>
    <x v="2"/>
    <n v="0.1"/>
    <x v="22"/>
    <s v="All hours + Priority access"/>
    <s v="Oakland, CA"/>
    <n v="37.804400000000001"/>
    <n v="-122.27119999999999"/>
    <d v="2023-03-24T00:00:00"/>
    <n v="7"/>
    <b v="1"/>
    <d v="2025-06-06T00:00:00"/>
    <x v="2"/>
    <x v="4"/>
  </r>
  <r>
    <b v="1"/>
    <d v="1899-12-30T17:28:00"/>
    <d v="1899-12-30T18:29:00"/>
    <n v="61"/>
    <x v="0"/>
    <b v="0"/>
    <b v="0"/>
    <x v="0"/>
    <x v="3"/>
    <x v="0"/>
    <x v="3"/>
    <x v="1"/>
    <n v="0"/>
    <x v="4"/>
    <s v="All hours + Priority access"/>
    <s v="San Diego, CA"/>
    <n v="32.715699999999998"/>
    <n v="-117.1611"/>
    <d v="2025-04-05T00:00:00"/>
    <n v="0"/>
    <b v="1"/>
    <d v="2025-07-18T00:00:00"/>
    <x v="1"/>
    <x v="1"/>
  </r>
  <r>
    <b v="0"/>
    <d v="1899-12-30T13:55:00"/>
    <d v="1899-12-30T16:22:00"/>
    <n v="147"/>
    <x v="0"/>
    <b v="0"/>
    <b v="1"/>
    <x v="0"/>
    <x v="1"/>
    <x v="0"/>
    <x v="1"/>
    <x v="3"/>
    <n v="0.15"/>
    <x v="15"/>
    <s v="Weekdays only"/>
    <s v="Long Beach, CA"/>
    <n v="33.770099999999999"/>
    <n v="-118.19370000000001"/>
    <d v="2024-06-06T00:00:00"/>
    <n v="0"/>
    <b v="0"/>
    <d v="2025-07-01T00:00:00"/>
    <x v="0"/>
    <x v="0"/>
  </r>
  <r>
    <b v="0"/>
    <d v="1899-12-30T13:53:00"/>
    <d v="1899-12-30T16:06:00"/>
    <n v="133"/>
    <x v="1"/>
    <b v="1"/>
    <b v="0"/>
    <x v="1"/>
    <x v="3"/>
    <x v="0"/>
    <x v="3"/>
    <x v="0"/>
    <n v="0.05"/>
    <x v="23"/>
    <s v="All hours + Priority access"/>
    <s v="Fresno, CA"/>
    <n v="36.7378"/>
    <n v="-119.7871"/>
    <d v="2025-02-19T00:00:00"/>
    <n v="8"/>
    <b v="1"/>
    <d v="2025-07-16T00:00:00"/>
    <x v="2"/>
    <x v="4"/>
  </r>
  <r>
    <b v="1"/>
    <d v="1899-12-30T13:12:00"/>
    <d v="1899-12-30T14:54:00"/>
    <n v="102"/>
    <x v="1"/>
    <b v="1"/>
    <b v="0"/>
    <x v="1"/>
    <x v="1"/>
    <x v="0"/>
    <x v="1"/>
    <x v="1"/>
    <n v="0"/>
    <x v="1"/>
    <s v="Weekdays only"/>
    <s v="Long Beach, CA"/>
    <n v="33.770099999999999"/>
    <n v="-118.19370000000001"/>
    <d v="2022-12-16T00:00:00"/>
    <n v="7"/>
    <b v="0"/>
    <d v="2025-06-01T00:00:00"/>
    <x v="1"/>
    <x v="1"/>
  </r>
  <r>
    <b v="1"/>
    <d v="1899-12-30T20:41:00"/>
    <d v="1899-12-30T23:00:00"/>
    <n v="139"/>
    <x v="0"/>
    <b v="1"/>
    <b v="0"/>
    <x v="2"/>
    <x v="3"/>
    <x v="0"/>
    <x v="3"/>
    <x v="1"/>
    <n v="0"/>
    <x v="4"/>
    <s v="All hours + Priority access"/>
    <s v="Long Beach, CA"/>
    <n v="33.770099999999999"/>
    <n v="-118.19370000000001"/>
    <d v="2023-08-29T00:00:00"/>
    <n v="5"/>
    <b v="1"/>
    <d v="2025-06-15T00:00:00"/>
    <x v="3"/>
    <x v="3"/>
  </r>
  <r>
    <b v="0"/>
    <d v="1899-12-30T15:28:00"/>
    <d v="1899-12-30T17:58:00"/>
    <n v="150"/>
    <x v="1"/>
    <b v="0"/>
    <b v="1"/>
    <x v="4"/>
    <x v="1"/>
    <x v="2"/>
    <x v="8"/>
    <x v="3"/>
    <n v="0.15"/>
    <x v="24"/>
    <s v="Weekdays only"/>
    <s v="Fresno, CA"/>
    <n v="36.7378"/>
    <n v="-119.7871"/>
    <d v="2024-07-05T00:00:00"/>
    <n v="0"/>
    <b v="1"/>
    <d v="2025-07-03T00:00:00"/>
    <x v="3"/>
    <x v="3"/>
  </r>
  <r>
    <b v="1"/>
    <d v="1899-12-30T09:31:00"/>
    <d v="1899-12-30T10:42:00"/>
    <n v="71"/>
    <x v="1"/>
    <b v="0"/>
    <b v="1"/>
    <x v="3"/>
    <x v="0"/>
    <x v="2"/>
    <x v="10"/>
    <x v="3"/>
    <n v="0.15"/>
    <x v="25"/>
    <s v="All hours"/>
    <s v="Bakersfield, CA"/>
    <n v="35.3733"/>
    <n v="-119.0187"/>
    <d v="2025-04-16T00:00:00"/>
    <n v="0"/>
    <b v="1"/>
    <d v="2025-07-19T00:00:00"/>
    <x v="0"/>
    <x v="0"/>
  </r>
  <r>
    <b v="0"/>
    <d v="1899-12-30T10:09:00"/>
    <d v="1899-12-30T11:15:00"/>
    <n v="66"/>
    <x v="0"/>
    <b v="1"/>
    <b v="1"/>
    <x v="4"/>
    <x v="2"/>
    <x v="0"/>
    <x v="2"/>
    <x v="1"/>
    <n v="0"/>
    <x v="3"/>
    <s v="Off-peak only"/>
    <s v="San Francisco, CA"/>
    <n v="37.774900000000002"/>
    <n v="-122.4194"/>
    <d v="2024-07-26T00:00:00"/>
    <n v="2"/>
    <b v="1"/>
    <d v="2025-07-04T00:00:00"/>
    <x v="2"/>
    <x v="4"/>
  </r>
  <r>
    <b v="1"/>
    <d v="1899-12-30T14:55:00"/>
    <d v="1899-12-30T15:28:00"/>
    <n v="33"/>
    <x v="1"/>
    <b v="1"/>
    <b v="0"/>
    <x v="4"/>
    <x v="0"/>
    <x v="0"/>
    <x v="0"/>
    <x v="0"/>
    <n v="0.05"/>
    <x v="0"/>
    <s v="All hours"/>
    <s v="San Jose, CA"/>
    <n v="37.338200000000001"/>
    <n v="-121.88630000000001"/>
    <d v="2024-07-11T00:00:00"/>
    <n v="2"/>
    <b v="1"/>
    <d v="2025-07-03T00:00:00"/>
    <x v="3"/>
    <x v="3"/>
  </r>
  <r>
    <b v="1"/>
    <d v="1899-12-30T10:42:00"/>
    <d v="1899-12-30T13:29:00"/>
    <n v="167"/>
    <x v="0"/>
    <b v="1"/>
    <b v="0"/>
    <x v="0"/>
    <x v="0"/>
    <x v="0"/>
    <x v="0"/>
    <x v="2"/>
    <n v="0.1"/>
    <x v="16"/>
    <s v="All hours"/>
    <s v="Sacramento, CA"/>
    <n v="38.581600000000002"/>
    <n v="-121.4944"/>
    <d v="2023-05-07T00:00:00"/>
    <n v="4"/>
    <b v="1"/>
    <d v="2025-06-09T00:00:00"/>
    <x v="2"/>
    <x v="2"/>
  </r>
  <r>
    <b v="0"/>
    <d v="1899-12-30T15:28:00"/>
    <d v="1899-12-30T16:34:00"/>
    <n v="66"/>
    <x v="0"/>
    <b v="1"/>
    <b v="0"/>
    <x v="0"/>
    <x v="3"/>
    <x v="0"/>
    <x v="3"/>
    <x v="2"/>
    <n v="0.1"/>
    <x v="22"/>
    <s v="All hours + Priority access"/>
    <s v="Fresno, CA"/>
    <n v="36.7378"/>
    <n v="-119.7871"/>
    <d v="2023-08-14T00:00:00"/>
    <n v="8"/>
    <b v="1"/>
    <d v="2025-06-14T00:00:00"/>
    <x v="3"/>
    <x v="3"/>
  </r>
  <r>
    <b v="1"/>
    <d v="1899-12-30T20:56:00"/>
    <d v="1899-12-30T23:36:00"/>
    <n v="160"/>
    <x v="1"/>
    <b v="1"/>
    <b v="0"/>
    <x v="0"/>
    <x v="3"/>
    <x v="2"/>
    <x v="9"/>
    <x v="3"/>
    <n v="0.15"/>
    <x v="19"/>
    <s v="All hours + Priority access"/>
    <s v="Sacramento, CA"/>
    <n v="38.581600000000002"/>
    <n v="-121.4944"/>
    <d v="2022-11-21T00:00:00"/>
    <n v="8"/>
    <b v="1"/>
    <d v="2025-05-30T00:00:00"/>
    <x v="2"/>
    <x v="4"/>
  </r>
  <r>
    <b v="1"/>
    <d v="1899-12-30T20:17:00"/>
    <d v="1899-12-30T21:11:00"/>
    <n v="54"/>
    <x v="0"/>
    <b v="0"/>
    <b v="1"/>
    <x v="1"/>
    <x v="1"/>
    <x v="0"/>
    <x v="1"/>
    <x v="2"/>
    <n v="0.1"/>
    <x v="2"/>
    <s v="Weekdays only"/>
    <s v="Oakland, CA"/>
    <n v="37.804400000000001"/>
    <n v="-122.27119999999999"/>
    <d v="2024-02-06T00:00:00"/>
    <n v="0"/>
    <b v="1"/>
    <d v="2025-06-24T00:00:00"/>
    <x v="0"/>
    <x v="0"/>
  </r>
  <r>
    <b v="1"/>
    <d v="1899-12-30T18:01:00"/>
    <d v="1899-12-30T19:30:00"/>
    <n v="89"/>
    <x v="0"/>
    <b v="1"/>
    <b v="1"/>
    <x v="1"/>
    <x v="1"/>
    <x v="0"/>
    <x v="1"/>
    <x v="1"/>
    <n v="0"/>
    <x v="1"/>
    <s v="Weekdays only"/>
    <s v="Oakland, CA"/>
    <n v="37.804400000000001"/>
    <n v="-122.27119999999999"/>
    <d v="2025-02-15T00:00:00"/>
    <n v="6"/>
    <b v="1"/>
    <d v="2025-07-15T00:00:00"/>
    <x v="3"/>
    <x v="3"/>
  </r>
  <r>
    <b v="0"/>
    <d v="1899-12-30T16:41:00"/>
    <d v="1899-12-30T19:00:00"/>
    <n v="139"/>
    <x v="1"/>
    <b v="0"/>
    <b v="0"/>
    <x v="4"/>
    <x v="1"/>
    <x v="1"/>
    <x v="4"/>
    <x v="1"/>
    <n v="0"/>
    <x v="8"/>
    <s v="Weekdays only"/>
    <s v="Bakersfield, CA"/>
    <n v="35.3733"/>
    <n v="-119.0187"/>
    <d v="2023-05-25T00:00:00"/>
    <n v="0"/>
    <b v="0"/>
    <d v="2025-06-10T00:00:00"/>
    <x v="2"/>
    <x v="2"/>
  </r>
  <r>
    <b v="0"/>
    <d v="1899-12-30T10:58:00"/>
    <d v="1899-12-30T12:22:00"/>
    <n v="84"/>
    <x v="0"/>
    <b v="1"/>
    <b v="1"/>
    <x v="1"/>
    <x v="2"/>
    <x v="1"/>
    <x v="5"/>
    <x v="3"/>
    <n v="0.15"/>
    <x v="13"/>
    <s v="Off-peak only"/>
    <s v="Sacramento, CA"/>
    <n v="38.581600000000002"/>
    <n v="-121.4944"/>
    <d v="2023-04-04T00:00:00"/>
    <n v="1"/>
    <b v="1"/>
    <d v="2025-06-07T00:00:00"/>
    <x v="2"/>
    <x v="2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3-11-03T00:00:00"/>
    <n v="5"/>
    <b v="0"/>
    <d v="2025-06-19T00:00:00"/>
    <x v="0"/>
    <x v="0"/>
  </r>
  <r>
    <b v="1"/>
    <d v="1899-12-30T14:20:00"/>
    <d v="1899-12-30T17:20:00"/>
    <n v="180"/>
    <x v="1"/>
    <b v="1"/>
    <b v="1"/>
    <x v="4"/>
    <x v="1"/>
    <x v="1"/>
    <x v="4"/>
    <x v="2"/>
    <n v="0.1"/>
    <x v="26"/>
    <s v="Weekdays only"/>
    <s v="Anaheim, CA"/>
    <n v="33.836599999999997"/>
    <n v="-117.9143"/>
    <d v="2023-03-24T00:00:00"/>
    <n v="2"/>
    <b v="1"/>
    <d v="2025-06-06T00:00:00"/>
    <x v="0"/>
    <x v="0"/>
  </r>
  <r>
    <b v="1"/>
    <d v="1899-12-30T20:55:00"/>
    <d v="1899-12-30T22:18:00"/>
    <n v="83"/>
    <x v="1"/>
    <b v="0"/>
    <b v="0"/>
    <x v="0"/>
    <x v="3"/>
    <x v="2"/>
    <x v="9"/>
    <x v="3"/>
    <n v="0.15"/>
    <x v="19"/>
    <s v="All hours + Priority access"/>
    <s v="Sacramento, CA"/>
    <n v="38.581600000000002"/>
    <n v="-121.4944"/>
    <d v="2024-01-14T00:00:00"/>
    <n v="0"/>
    <b v="1"/>
    <d v="2025-06-23T00:00:00"/>
    <x v="2"/>
    <x v="2"/>
  </r>
  <r>
    <b v="0"/>
    <d v="1899-12-30T18:54:00"/>
    <d v="1899-12-30T19:37:00"/>
    <n v="43"/>
    <x v="1"/>
    <b v="1"/>
    <b v="1"/>
    <x v="0"/>
    <x v="0"/>
    <x v="0"/>
    <x v="0"/>
    <x v="3"/>
    <n v="0.15"/>
    <x v="27"/>
    <s v="All hours"/>
    <s v="Oakland, CA"/>
    <n v="37.804400000000001"/>
    <n v="-122.27119999999999"/>
    <d v="2023-12-14T00:00:00"/>
    <n v="5"/>
    <b v="1"/>
    <d v="2025-06-21T00:00:00"/>
    <x v="3"/>
    <x v="3"/>
  </r>
  <r>
    <b v="0"/>
    <d v="1899-12-30T13:53:00"/>
    <d v="1899-12-30T16:05:00"/>
    <n v="132"/>
    <x v="0"/>
    <b v="0"/>
    <b v="1"/>
    <x v="4"/>
    <x v="0"/>
    <x v="0"/>
    <x v="0"/>
    <x v="1"/>
    <n v="0"/>
    <x v="5"/>
    <s v="All hours"/>
    <s v="San Francisco, CA"/>
    <n v="37.774900000000002"/>
    <n v="-122.4194"/>
    <d v="2024-03-24T00:00:00"/>
    <n v="0"/>
    <b v="1"/>
    <d v="2025-06-27T00:00:00"/>
    <x v="0"/>
    <x v="0"/>
  </r>
  <r>
    <b v="0"/>
    <d v="1899-12-30T19:20:00"/>
    <d v="1899-12-30T21:58:00"/>
    <n v="158"/>
    <x v="1"/>
    <b v="0"/>
    <b v="0"/>
    <x v="3"/>
    <x v="0"/>
    <x v="1"/>
    <x v="6"/>
    <x v="1"/>
    <n v="0"/>
    <x v="12"/>
    <s v="All hours"/>
    <s v="Bakersfield, CA"/>
    <n v="35.3733"/>
    <n v="-119.0187"/>
    <d v="2025-05-26T00:00:00"/>
    <n v="0"/>
    <b v="1"/>
    <d v="2025-07-21T00:00:00"/>
    <x v="1"/>
    <x v="1"/>
  </r>
  <r>
    <b v="0"/>
    <d v="1899-12-30T20:46:00"/>
    <d v="1899-12-30T22:09:00"/>
    <n v="83"/>
    <x v="1"/>
    <b v="1"/>
    <b v="1"/>
    <x v="4"/>
    <x v="0"/>
    <x v="1"/>
    <x v="6"/>
    <x v="3"/>
    <n v="0.15"/>
    <x v="28"/>
    <s v="All hours"/>
    <s v="Bakersfield, CA"/>
    <n v="35.3733"/>
    <n v="-119.0187"/>
    <d v="2025-02-28T00:00:00"/>
    <n v="2"/>
    <b v="1"/>
    <d v="2025-07-16T00:00:00"/>
    <x v="0"/>
    <x v="0"/>
  </r>
  <r>
    <b v="1"/>
    <d v="1899-12-30T09:55:00"/>
    <d v="1899-12-30T10:59:00"/>
    <n v="64"/>
    <x v="0"/>
    <b v="0"/>
    <b v="1"/>
    <x v="0"/>
    <x v="0"/>
    <x v="1"/>
    <x v="6"/>
    <x v="0"/>
    <n v="0.05"/>
    <x v="10"/>
    <s v="All hours"/>
    <s v="San Jose, CA"/>
    <n v="37.338200000000001"/>
    <n v="-121.88630000000001"/>
    <d v="2025-05-20T00:00:00"/>
    <n v="0"/>
    <b v="1"/>
    <d v="2025-07-21T00:00:00"/>
    <x v="0"/>
    <x v="0"/>
  </r>
  <r>
    <b v="0"/>
    <d v="1899-12-30T13:50:00"/>
    <d v="1899-12-30T15:37:00"/>
    <n v="107"/>
    <x v="0"/>
    <b v="0"/>
    <b v="0"/>
    <x v="1"/>
    <x v="0"/>
    <x v="0"/>
    <x v="0"/>
    <x v="2"/>
    <n v="0.1"/>
    <x v="16"/>
    <s v="All hours"/>
    <s v="San Diego, CA"/>
    <n v="32.715699999999998"/>
    <n v="-117.1611"/>
    <d v="2023-08-15T00:00:00"/>
    <n v="0"/>
    <b v="0"/>
    <d v="2025-06-14T00:00:00"/>
    <x v="3"/>
    <x v="3"/>
  </r>
  <r>
    <b v="1"/>
    <d v="1899-12-30T08:53:00"/>
    <d v="1899-12-30T11:11:00"/>
    <n v="138"/>
    <x v="0"/>
    <b v="1"/>
    <b v="1"/>
    <x v="0"/>
    <x v="2"/>
    <x v="0"/>
    <x v="2"/>
    <x v="0"/>
    <n v="0.05"/>
    <x v="18"/>
    <s v="Off-peak only"/>
    <s v="Fresno, CA"/>
    <n v="36.7378"/>
    <n v="-119.7871"/>
    <d v="2024-07-23T00:00:00"/>
    <n v="5"/>
    <b v="0"/>
    <d v="2025-07-04T00:00:00"/>
    <x v="3"/>
    <x v="3"/>
  </r>
  <r>
    <b v="1"/>
    <d v="1899-12-30T10:33:00"/>
    <d v="1899-12-30T11:32:00"/>
    <n v="59"/>
    <x v="0"/>
    <b v="0"/>
    <b v="0"/>
    <x v="4"/>
    <x v="1"/>
    <x v="0"/>
    <x v="1"/>
    <x v="1"/>
    <n v="0"/>
    <x v="1"/>
    <s v="Weekdays only"/>
    <s v="Sacramento, CA"/>
    <n v="38.581600000000002"/>
    <n v="-121.4944"/>
    <d v="2023-12-29T00:00:00"/>
    <n v="0"/>
    <b v="0"/>
    <d v="2025-06-22T00:00:00"/>
    <x v="2"/>
    <x v="2"/>
  </r>
  <r>
    <b v="1"/>
    <d v="1899-12-30T08:37:00"/>
    <d v="1899-12-30T10:12:00"/>
    <n v="95"/>
    <x v="1"/>
    <b v="1"/>
    <b v="0"/>
    <x v="1"/>
    <x v="1"/>
    <x v="0"/>
    <x v="1"/>
    <x v="3"/>
    <n v="0.15"/>
    <x v="15"/>
    <s v="Weekdays only"/>
    <s v="Anaheim, CA"/>
    <n v="33.836599999999997"/>
    <n v="-117.9143"/>
    <d v="2022-10-30T00:00:00"/>
    <n v="3"/>
    <b v="0"/>
    <d v="2025-05-29T00:00:00"/>
    <x v="1"/>
    <x v="1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4-09-30T00:00:00"/>
    <n v="7"/>
    <b v="0"/>
    <d v="2025-07-08T00:00:00"/>
    <x v="0"/>
    <x v="0"/>
  </r>
  <r>
    <b v="1"/>
    <d v="1899-12-30T17:13:00"/>
    <d v="1899-12-30T19:00:00"/>
    <n v="107"/>
    <x v="0"/>
    <b v="0"/>
    <b v="0"/>
    <x v="0"/>
    <x v="3"/>
    <x v="0"/>
    <x v="3"/>
    <x v="1"/>
    <n v="0"/>
    <x v="4"/>
    <s v="All hours + Priority access"/>
    <s v="Bakersfield, CA"/>
    <n v="35.3733"/>
    <n v="-119.0187"/>
    <d v="2024-04-11T00:00:00"/>
    <n v="0"/>
    <b v="0"/>
    <d v="2025-06-28T00:00:00"/>
    <x v="2"/>
    <x v="4"/>
  </r>
  <r>
    <b v="0"/>
    <d v="1899-12-30T08:05:00"/>
    <d v="1899-12-30T09:06:00"/>
    <n v="61"/>
    <x v="1"/>
    <b v="1"/>
    <b v="0"/>
    <x v="2"/>
    <x v="1"/>
    <x v="1"/>
    <x v="4"/>
    <x v="0"/>
    <n v="0.05"/>
    <x v="11"/>
    <s v="Weekdays only"/>
    <s v="Long Beach, CA"/>
    <n v="33.770099999999999"/>
    <n v="-118.19370000000001"/>
    <d v="2023-04-10T00:00:00"/>
    <n v="2"/>
    <b v="0"/>
    <d v="2025-06-07T00:00:00"/>
    <x v="1"/>
    <x v="1"/>
  </r>
  <r>
    <b v="0"/>
    <d v="1899-12-30T11:29:00"/>
    <d v="1899-12-30T13:03:00"/>
    <n v="94"/>
    <x v="1"/>
    <b v="0"/>
    <b v="1"/>
    <x v="4"/>
    <x v="2"/>
    <x v="1"/>
    <x v="5"/>
    <x v="1"/>
    <n v="0"/>
    <x v="14"/>
    <s v="Off-peak only"/>
    <s v="San Francisco, CA"/>
    <n v="37.774900000000002"/>
    <n v="-122.4194"/>
    <d v="2024-10-22T00:00:00"/>
    <n v="0"/>
    <b v="0"/>
    <d v="2025-07-09T00:00:00"/>
    <x v="2"/>
    <x v="2"/>
  </r>
  <r>
    <b v="0"/>
    <d v="1899-12-30T17:17:00"/>
    <d v="1899-12-30T20:05:00"/>
    <n v="168"/>
    <x v="1"/>
    <b v="0"/>
    <b v="0"/>
    <x v="4"/>
    <x v="0"/>
    <x v="0"/>
    <x v="0"/>
    <x v="3"/>
    <n v="0.15"/>
    <x v="27"/>
    <s v="All hours"/>
    <s v="Long Beach, CA"/>
    <n v="33.770099999999999"/>
    <n v="-118.19370000000001"/>
    <d v="2025-04-02T00:00:00"/>
    <n v="0"/>
    <b v="1"/>
    <d v="2025-07-18T00:00:00"/>
    <x v="3"/>
    <x v="3"/>
  </r>
  <r>
    <b v="0"/>
    <d v="1899-12-30T13:36:00"/>
    <d v="1899-12-30T14:08:00"/>
    <n v="32"/>
    <x v="0"/>
    <b v="1"/>
    <b v="0"/>
    <x v="0"/>
    <x v="1"/>
    <x v="0"/>
    <x v="1"/>
    <x v="1"/>
    <n v="0"/>
    <x v="1"/>
    <s v="Weekdays only"/>
    <s v="Oakland, CA"/>
    <n v="37.804400000000001"/>
    <n v="-122.27119999999999"/>
    <d v="2024-08-18T00:00:00"/>
    <n v="5"/>
    <b v="0"/>
    <d v="2025-07-05T00:00:00"/>
    <x v="2"/>
    <x v="4"/>
  </r>
  <r>
    <b v="1"/>
    <d v="1899-12-30T13:50:00"/>
    <d v="1899-12-30T14:29:00"/>
    <n v="39"/>
    <x v="1"/>
    <b v="1"/>
    <b v="1"/>
    <x v="4"/>
    <x v="0"/>
    <x v="2"/>
    <x v="10"/>
    <x v="3"/>
    <n v="0.15"/>
    <x v="25"/>
    <s v="All hours"/>
    <s v="Sacramento, CA"/>
    <n v="38.581600000000002"/>
    <n v="-121.4944"/>
    <d v="2025-01-02T00:00:00"/>
    <n v="8"/>
    <b v="1"/>
    <d v="2025-07-13T00:00:00"/>
    <x v="2"/>
    <x v="2"/>
  </r>
  <r>
    <b v="0"/>
    <d v="1899-12-30T12:53:00"/>
    <d v="1899-12-30T14:54:00"/>
    <n v="121"/>
    <x v="0"/>
    <b v="1"/>
    <b v="0"/>
    <x v="4"/>
    <x v="3"/>
    <x v="0"/>
    <x v="3"/>
    <x v="1"/>
    <n v="0"/>
    <x v="4"/>
    <s v="All hours + Priority access"/>
    <s v="Los Angeles, CA"/>
    <n v="34.052199999999999"/>
    <n v="-118.2437"/>
    <d v="2022-10-06T00:00:00"/>
    <n v="1"/>
    <b v="1"/>
    <d v="2025-05-28T00:00:00"/>
    <x v="1"/>
    <x v="1"/>
  </r>
  <r>
    <b v="1"/>
    <d v="1899-12-30T15:57:00"/>
    <d v="1899-12-30T17:38:00"/>
    <n v="101"/>
    <x v="0"/>
    <b v="0"/>
    <b v="1"/>
    <x v="0"/>
    <x v="0"/>
    <x v="0"/>
    <x v="0"/>
    <x v="2"/>
    <n v="0.1"/>
    <x v="16"/>
    <s v="All hours"/>
    <s v="Oakland, CA"/>
    <n v="37.804400000000001"/>
    <n v="-122.27119999999999"/>
    <d v="2023-02-13T00:00:00"/>
    <n v="0"/>
    <b v="1"/>
    <d v="2025-06-04T00:00:00"/>
    <x v="3"/>
    <x v="3"/>
  </r>
  <r>
    <b v="0"/>
    <d v="1899-12-30T13:48:00"/>
    <d v="1899-12-30T16:42:00"/>
    <n v="174"/>
    <x v="0"/>
    <b v="0"/>
    <b v="0"/>
    <x v="0"/>
    <x v="2"/>
    <x v="0"/>
    <x v="2"/>
    <x v="1"/>
    <n v="0"/>
    <x v="3"/>
    <s v="Off-peak only"/>
    <s v="Sacramento, CA"/>
    <n v="38.581600000000002"/>
    <n v="-121.4944"/>
    <d v="2023-08-18T00:00:00"/>
    <n v="0"/>
    <b v="0"/>
    <d v="2025-06-14T00:00:00"/>
    <x v="1"/>
    <x v="1"/>
  </r>
  <r>
    <b v="0"/>
    <d v="1899-12-30T13:32:00"/>
    <d v="1899-12-30T14:56:00"/>
    <n v="84"/>
    <x v="0"/>
    <b v="1"/>
    <b v="1"/>
    <x v="4"/>
    <x v="2"/>
    <x v="0"/>
    <x v="2"/>
    <x v="2"/>
    <n v="0.1"/>
    <x v="6"/>
    <s v="Off-peak only"/>
    <s v="Anaheim, CA"/>
    <n v="33.836599999999997"/>
    <n v="-117.9143"/>
    <d v="2022-12-07T00:00:00"/>
    <n v="3"/>
    <b v="1"/>
    <d v="2025-05-31T00:00:00"/>
    <x v="0"/>
    <x v="0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3-02-18T00:00:00"/>
    <n v="0"/>
    <b v="1"/>
    <d v="2025-06-04T00:00:00"/>
    <x v="3"/>
    <x v="3"/>
  </r>
  <r>
    <b v="0"/>
    <d v="1899-12-30T19:38:00"/>
    <d v="1899-12-30T21:10:00"/>
    <n v="92"/>
    <x v="1"/>
    <b v="1"/>
    <b v="1"/>
    <x v="0"/>
    <x v="0"/>
    <x v="0"/>
    <x v="0"/>
    <x v="1"/>
    <n v="0"/>
    <x v="5"/>
    <s v="All hours"/>
    <s v="Long Beach, CA"/>
    <n v="33.770099999999999"/>
    <n v="-118.19370000000001"/>
    <d v="2024-12-06T00:00:00"/>
    <n v="3"/>
    <b v="1"/>
    <d v="2025-07-11T00:00:00"/>
    <x v="0"/>
    <x v="0"/>
  </r>
  <r>
    <b v="0"/>
    <d v="1899-12-30T20:44:00"/>
    <d v="1899-12-30T21:57:00"/>
    <n v="73"/>
    <x v="0"/>
    <b v="1"/>
    <b v="1"/>
    <x v="0"/>
    <x v="0"/>
    <x v="0"/>
    <x v="0"/>
    <x v="1"/>
    <n v="0"/>
    <x v="5"/>
    <s v="All hours"/>
    <s v="Sacramento, CA"/>
    <n v="38.581600000000002"/>
    <n v="-121.4944"/>
    <d v="2022-11-15T00:00:00"/>
    <n v="1"/>
    <b v="1"/>
    <d v="2025-05-30T00:00:00"/>
    <x v="3"/>
    <x v="3"/>
  </r>
  <r>
    <b v="1"/>
    <d v="1899-12-30T11:43:00"/>
    <d v="1899-12-30T12:27:00"/>
    <n v="44"/>
    <x v="1"/>
    <b v="0"/>
    <b v="0"/>
    <x v="4"/>
    <x v="2"/>
    <x v="0"/>
    <x v="2"/>
    <x v="1"/>
    <n v="0"/>
    <x v="3"/>
    <s v="Off-peak only"/>
    <s v="San Jose, CA"/>
    <n v="37.338200000000001"/>
    <n v="-121.88630000000001"/>
    <d v="2023-11-26T00:00:00"/>
    <n v="0"/>
    <b v="0"/>
    <d v="2025-06-20T00:00:00"/>
    <x v="3"/>
    <x v="3"/>
  </r>
  <r>
    <b v="0"/>
    <d v="1899-12-30T20:18:00"/>
    <d v="1899-12-30T20:55:00"/>
    <n v="37"/>
    <x v="0"/>
    <b v="1"/>
    <b v="0"/>
    <x v="1"/>
    <x v="2"/>
    <x v="1"/>
    <x v="5"/>
    <x v="1"/>
    <n v="0"/>
    <x v="14"/>
    <s v="Off-peak only"/>
    <s v="Fresno, CA"/>
    <n v="36.7378"/>
    <n v="-119.7871"/>
    <d v="2023-02-14T00:00:00"/>
    <n v="5"/>
    <b v="0"/>
    <d v="2025-06-04T00:00:00"/>
    <x v="3"/>
    <x v="3"/>
  </r>
  <r>
    <b v="1"/>
    <d v="1899-12-30T13:08:00"/>
    <d v="1899-12-30T14:35:00"/>
    <n v="87"/>
    <x v="1"/>
    <b v="1"/>
    <b v="1"/>
    <x v="0"/>
    <x v="1"/>
    <x v="1"/>
    <x v="4"/>
    <x v="3"/>
    <n v="0.15"/>
    <x v="29"/>
    <s v="Weekdays only"/>
    <s v="Sacramento, CA"/>
    <n v="38.581600000000002"/>
    <n v="-121.4944"/>
    <d v="2022-11-11T00:00:00"/>
    <n v="8"/>
    <b v="0"/>
    <d v="2025-05-30T00:00:00"/>
    <x v="3"/>
    <x v="3"/>
  </r>
  <r>
    <b v="1"/>
    <d v="1899-12-30T15:59:00"/>
    <d v="1899-12-30T18:46:00"/>
    <n v="167"/>
    <x v="0"/>
    <b v="1"/>
    <b v="1"/>
    <x v="4"/>
    <x v="1"/>
    <x v="0"/>
    <x v="1"/>
    <x v="3"/>
    <n v="0.15"/>
    <x v="15"/>
    <s v="Weekdays only"/>
    <s v="San Francisco, CA"/>
    <n v="37.774900000000002"/>
    <n v="-122.4194"/>
    <d v="2024-07-19T00:00:00"/>
    <n v="4"/>
    <b v="0"/>
    <d v="2025-07-03T00:00:00"/>
    <x v="0"/>
    <x v="0"/>
  </r>
  <r>
    <b v="0"/>
    <d v="1899-12-30T20:52:00"/>
    <d v="1899-12-30T22:40:00"/>
    <n v="108"/>
    <x v="0"/>
    <b v="1"/>
    <b v="0"/>
    <x v="1"/>
    <x v="0"/>
    <x v="0"/>
    <x v="0"/>
    <x v="0"/>
    <n v="0.05"/>
    <x v="0"/>
    <s v="All hours"/>
    <s v="San Francisco, CA"/>
    <n v="37.774900000000002"/>
    <n v="-122.4194"/>
    <d v="2025-02-25T00:00:00"/>
    <n v="1"/>
    <b v="1"/>
    <d v="2025-07-16T00:00:00"/>
    <x v="3"/>
    <x v="3"/>
  </r>
  <r>
    <b v="1"/>
    <d v="1899-12-30T09:39:00"/>
    <d v="1899-12-30T11:08:00"/>
    <n v="89"/>
    <x v="0"/>
    <b v="0"/>
    <b v="1"/>
    <x v="0"/>
    <x v="0"/>
    <x v="0"/>
    <x v="0"/>
    <x v="1"/>
    <n v="0"/>
    <x v="5"/>
    <s v="All hours"/>
    <s v="Fresno, CA"/>
    <n v="36.7378"/>
    <n v="-119.7871"/>
    <d v="2024-10-23T00:00:00"/>
    <n v="0"/>
    <b v="1"/>
    <d v="2025-07-09T00:00:00"/>
    <x v="1"/>
    <x v="1"/>
  </r>
  <r>
    <b v="0"/>
    <d v="1899-12-30T17:12:00"/>
    <d v="1899-12-30T18:19:00"/>
    <n v="67"/>
    <x v="0"/>
    <b v="0"/>
    <b v="1"/>
    <x v="0"/>
    <x v="2"/>
    <x v="1"/>
    <x v="5"/>
    <x v="1"/>
    <n v="0"/>
    <x v="14"/>
    <s v="Off-peak only"/>
    <s v="San Diego, CA"/>
    <n v="32.715699999999998"/>
    <n v="-117.1611"/>
    <d v="2024-03-25T00:00:00"/>
    <n v="0"/>
    <b v="0"/>
    <d v="2025-06-27T00:00:00"/>
    <x v="3"/>
    <x v="3"/>
  </r>
  <r>
    <b v="0"/>
    <d v="1899-12-30T10:55:00"/>
    <d v="1899-12-30T13:51:00"/>
    <n v="176"/>
    <x v="1"/>
    <b v="0"/>
    <b v="1"/>
    <x v="4"/>
    <x v="0"/>
    <x v="1"/>
    <x v="6"/>
    <x v="1"/>
    <n v="0"/>
    <x v="12"/>
    <s v="All hours"/>
    <s v="Sacramento, CA"/>
    <n v="38.581600000000002"/>
    <n v="-121.4944"/>
    <d v="2023-02-02T00:00:00"/>
    <n v="0"/>
    <b v="1"/>
    <d v="2025-06-03T00:00:00"/>
    <x v="3"/>
    <x v="3"/>
  </r>
  <r>
    <b v="1"/>
    <d v="1899-12-30T09:35:00"/>
    <d v="1899-12-30T11:45:00"/>
    <n v="130"/>
    <x v="1"/>
    <b v="0"/>
    <b v="0"/>
    <x v="1"/>
    <x v="0"/>
    <x v="0"/>
    <x v="0"/>
    <x v="3"/>
    <n v="0.15"/>
    <x v="27"/>
    <s v="All hours"/>
    <s v="Bakersfield, CA"/>
    <n v="35.3733"/>
    <n v="-119.0187"/>
    <d v="2022-12-19T00:00:00"/>
    <n v="0"/>
    <b v="1"/>
    <d v="2025-06-01T00:00:00"/>
    <x v="2"/>
    <x v="4"/>
  </r>
  <r>
    <b v="1"/>
    <d v="1899-12-30T12:52:00"/>
    <d v="1899-12-30T14:18:00"/>
    <n v="86"/>
    <x v="0"/>
    <b v="0"/>
    <b v="0"/>
    <x v="4"/>
    <x v="0"/>
    <x v="0"/>
    <x v="0"/>
    <x v="2"/>
    <n v="0.1"/>
    <x v="16"/>
    <s v="All hours"/>
    <s v="Long Beach, CA"/>
    <n v="33.770099999999999"/>
    <n v="-118.19370000000001"/>
    <d v="2025-06-15T00:00:00"/>
    <n v="0"/>
    <b v="1"/>
    <d v="2025-07-22T00:00:00"/>
    <x v="0"/>
    <x v="0"/>
  </r>
  <r>
    <b v="1"/>
    <d v="1899-12-30T12:45:00"/>
    <d v="1899-12-30T14:09:00"/>
    <n v="84"/>
    <x v="1"/>
    <b v="1"/>
    <b v="1"/>
    <x v="3"/>
    <x v="0"/>
    <x v="0"/>
    <x v="0"/>
    <x v="1"/>
    <n v="0"/>
    <x v="5"/>
    <s v="All hours"/>
    <s v="Bakersfield, CA"/>
    <n v="35.3733"/>
    <n v="-119.0187"/>
    <d v="2023-12-27T00:00:00"/>
    <n v="5"/>
    <b v="0"/>
    <d v="2025-06-22T00:00:00"/>
    <x v="3"/>
    <x v="3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4-04-04T00:00:00"/>
    <n v="1"/>
    <b v="0"/>
    <d v="2025-06-27T00:00:00"/>
    <x v="2"/>
    <x v="2"/>
  </r>
  <r>
    <b v="0"/>
    <d v="1899-12-30T08:29:00"/>
    <d v="1899-12-30T09:53:00"/>
    <n v="84"/>
    <x v="1"/>
    <b v="0"/>
    <b v="0"/>
    <x v="0"/>
    <x v="2"/>
    <x v="1"/>
    <x v="5"/>
    <x v="0"/>
    <n v="0.05"/>
    <x v="9"/>
    <s v="Off-peak only"/>
    <s v="Oakland, CA"/>
    <n v="37.804400000000001"/>
    <n v="-122.27119999999999"/>
    <d v="2024-10-29T00:00:00"/>
    <n v="0"/>
    <b v="0"/>
    <d v="2025-07-09T00:00:00"/>
    <x v="3"/>
    <x v="3"/>
  </r>
  <r>
    <b v="0"/>
    <d v="1899-12-30T14:06:00"/>
    <d v="1899-12-30T15:54:00"/>
    <n v="108"/>
    <x v="1"/>
    <b v="0"/>
    <b v="1"/>
    <x v="0"/>
    <x v="1"/>
    <x v="0"/>
    <x v="1"/>
    <x v="1"/>
    <n v="0"/>
    <x v="1"/>
    <s v="Weekdays only"/>
    <s v="Oakland, CA"/>
    <n v="37.804400000000001"/>
    <n v="-122.27119999999999"/>
    <d v="2025-02-15T00:00:00"/>
    <n v="0"/>
    <b v="0"/>
    <d v="2025-07-15T00:00:00"/>
    <x v="2"/>
    <x v="4"/>
  </r>
  <r>
    <b v="0"/>
    <d v="1899-12-30T10:48:00"/>
    <d v="1899-12-30T12:33:00"/>
    <n v="105"/>
    <x v="1"/>
    <b v="0"/>
    <b v="1"/>
    <x v="4"/>
    <x v="1"/>
    <x v="0"/>
    <x v="1"/>
    <x v="2"/>
    <n v="0.1"/>
    <x v="2"/>
    <s v="Weekdays only"/>
    <s v="Long Beach, CA"/>
    <n v="33.770099999999999"/>
    <n v="-118.19370000000001"/>
    <d v="2024-06-28T00:00:00"/>
    <n v="0"/>
    <b v="1"/>
    <d v="2025-07-02T00:00:00"/>
    <x v="0"/>
    <x v="0"/>
  </r>
  <r>
    <b v="0"/>
    <d v="1899-12-30T16:10:00"/>
    <d v="1899-12-30T17:20:00"/>
    <n v="70"/>
    <x v="0"/>
    <b v="1"/>
    <b v="1"/>
    <x v="0"/>
    <x v="0"/>
    <x v="1"/>
    <x v="6"/>
    <x v="2"/>
    <n v="0.1"/>
    <x v="30"/>
    <s v="All hours"/>
    <s v="Oakland, CA"/>
    <n v="37.804400000000001"/>
    <n v="-122.27119999999999"/>
    <d v="2022-09-22T00:00:00"/>
    <n v="1"/>
    <b v="1"/>
    <d v="2025-05-27T00:00:00"/>
    <x v="2"/>
    <x v="2"/>
  </r>
  <r>
    <b v="1"/>
    <d v="1899-12-30T18:15:00"/>
    <d v="1899-12-30T18:54:00"/>
    <n v="39"/>
    <x v="0"/>
    <b v="1"/>
    <b v="1"/>
    <x v="2"/>
    <x v="3"/>
    <x v="0"/>
    <x v="3"/>
    <x v="1"/>
    <n v="0"/>
    <x v="4"/>
    <s v="All hours + Priority access"/>
    <s v="San Diego, CA"/>
    <n v="32.715699999999998"/>
    <n v="-117.1611"/>
    <d v="2024-07-13T00:00:00"/>
    <n v="2"/>
    <b v="1"/>
    <d v="2025-07-03T00:00:00"/>
    <x v="3"/>
    <x v="3"/>
  </r>
  <r>
    <b v="0"/>
    <d v="1899-12-30T15:42:00"/>
    <d v="1899-12-30T18:35:00"/>
    <n v="173"/>
    <x v="0"/>
    <b v="1"/>
    <b v="1"/>
    <x v="4"/>
    <x v="1"/>
    <x v="0"/>
    <x v="1"/>
    <x v="1"/>
    <n v="0"/>
    <x v="1"/>
    <s v="Weekdays only"/>
    <s v="Sacramento, CA"/>
    <n v="38.581600000000002"/>
    <n v="-121.4944"/>
    <d v="2023-12-18T00:00:00"/>
    <n v="5"/>
    <b v="1"/>
    <d v="2025-06-21T00:00:00"/>
    <x v="0"/>
    <x v="0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3-06-05T00:00:00"/>
    <n v="4"/>
    <b v="1"/>
    <d v="2025-06-10T00:00:00"/>
    <x v="1"/>
    <x v="1"/>
  </r>
  <r>
    <b v="1"/>
    <d v="1899-12-30T10:37:00"/>
    <d v="1899-12-30T12:40:00"/>
    <n v="123"/>
    <x v="0"/>
    <b v="1"/>
    <b v="0"/>
    <x v="4"/>
    <x v="0"/>
    <x v="0"/>
    <x v="0"/>
    <x v="3"/>
    <n v="0.15"/>
    <x v="27"/>
    <s v="All hours"/>
    <s v="San Jose, CA"/>
    <n v="37.338200000000001"/>
    <n v="-121.88630000000001"/>
    <d v="2024-05-31T00:00:00"/>
    <n v="7"/>
    <b v="1"/>
    <d v="2025-07-01T00:00:00"/>
    <x v="1"/>
    <x v="1"/>
  </r>
  <r>
    <b v="0"/>
    <d v="1899-12-30T15:33:00"/>
    <d v="1899-12-30T17:01:00"/>
    <n v="88"/>
    <x v="0"/>
    <b v="1"/>
    <b v="1"/>
    <x v="1"/>
    <x v="1"/>
    <x v="1"/>
    <x v="4"/>
    <x v="0"/>
    <n v="0.05"/>
    <x v="11"/>
    <s v="Weekdays only"/>
    <s v="Los Angeles, CA"/>
    <n v="34.052199999999999"/>
    <n v="-118.2437"/>
    <d v="2022-08-23T00:00:00"/>
    <n v="2"/>
    <b v="0"/>
    <d v="2025-05-25T00:00:00"/>
    <x v="3"/>
    <x v="3"/>
  </r>
  <r>
    <b v="0"/>
    <d v="1899-12-30T11:18:00"/>
    <d v="1899-12-30T14:09:00"/>
    <n v="171"/>
    <x v="0"/>
    <b v="1"/>
    <b v="1"/>
    <x v="0"/>
    <x v="1"/>
    <x v="1"/>
    <x v="4"/>
    <x v="1"/>
    <n v="0"/>
    <x v="8"/>
    <s v="Weekdays only"/>
    <s v="Anaheim, CA"/>
    <n v="33.836599999999997"/>
    <n v="-117.9143"/>
    <d v="2022-09-01T00:00:00"/>
    <n v="1"/>
    <b v="0"/>
    <d v="2025-05-26T00:00:00"/>
    <x v="0"/>
    <x v="0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4-09-27T00:00:00"/>
    <n v="7"/>
    <b v="1"/>
    <d v="2025-07-07T00:00:00"/>
    <x v="3"/>
    <x v="3"/>
  </r>
  <r>
    <b v="0"/>
    <d v="1899-12-30T18:58:00"/>
    <d v="1899-12-30T20:43:00"/>
    <n v="105"/>
    <x v="0"/>
    <b v="0"/>
    <b v="0"/>
    <x v="3"/>
    <x v="0"/>
    <x v="0"/>
    <x v="0"/>
    <x v="1"/>
    <n v="0"/>
    <x v="5"/>
    <s v="All hours"/>
    <s v="San Jose, CA"/>
    <n v="37.338200000000001"/>
    <n v="-121.88630000000001"/>
    <d v="2024-01-10T00:00:00"/>
    <n v="0"/>
    <b v="1"/>
    <d v="2025-06-23T00:00:00"/>
    <x v="1"/>
    <x v="1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4-08-06T00:00:00"/>
    <n v="6"/>
    <b v="1"/>
    <d v="2025-07-04T00:00:00"/>
    <x v="3"/>
    <x v="3"/>
  </r>
  <r>
    <b v="1"/>
    <d v="1899-12-30T16:27:00"/>
    <d v="1899-12-30T17:25:00"/>
    <n v="58"/>
    <x v="0"/>
    <b v="1"/>
    <b v="1"/>
    <x v="4"/>
    <x v="2"/>
    <x v="0"/>
    <x v="2"/>
    <x v="1"/>
    <n v="0"/>
    <x v="3"/>
    <s v="Off-peak only"/>
    <s v="San Diego, CA"/>
    <n v="32.715699999999998"/>
    <n v="-117.1611"/>
    <d v="2024-08-23T00:00:00"/>
    <n v="7"/>
    <b v="0"/>
    <d v="2025-07-05T00:00:00"/>
    <x v="1"/>
    <x v="1"/>
  </r>
  <r>
    <b v="0"/>
    <d v="1899-12-30T09:46:00"/>
    <d v="1899-12-30T10:56:00"/>
    <n v="70"/>
    <x v="0"/>
    <b v="0"/>
    <b v="1"/>
    <x v="0"/>
    <x v="1"/>
    <x v="2"/>
    <x v="8"/>
    <x v="1"/>
    <n v="0"/>
    <x v="2"/>
    <s v="Weekdays only"/>
    <s v="Anaheim, CA"/>
    <n v="33.836599999999997"/>
    <n v="-117.9143"/>
    <d v="2025-05-14T00:00:00"/>
    <n v="0"/>
    <b v="1"/>
    <d v="2025-07-20T00:00:00"/>
    <x v="2"/>
    <x v="4"/>
  </r>
  <r>
    <b v="0"/>
    <d v="1899-12-30T18:44:00"/>
    <d v="1899-12-30T19:47:00"/>
    <n v="63"/>
    <x v="1"/>
    <b v="0"/>
    <b v="1"/>
    <x v="0"/>
    <x v="1"/>
    <x v="0"/>
    <x v="1"/>
    <x v="0"/>
    <n v="0.05"/>
    <x v="7"/>
    <s v="Weekdays only"/>
    <s v="Long Beach, CA"/>
    <n v="33.770099999999999"/>
    <n v="-118.19370000000001"/>
    <d v="2023-09-12T00:00:00"/>
    <n v="0"/>
    <b v="0"/>
    <d v="2025-06-16T00:00:00"/>
    <x v="1"/>
    <x v="1"/>
  </r>
  <r>
    <b v="1"/>
    <d v="1899-12-30T15:34:00"/>
    <d v="1899-12-30T17:58:00"/>
    <n v="144"/>
    <x v="1"/>
    <b v="1"/>
    <b v="1"/>
    <x v="2"/>
    <x v="2"/>
    <x v="0"/>
    <x v="2"/>
    <x v="3"/>
    <n v="0.15"/>
    <x v="17"/>
    <s v="Off-peak only"/>
    <s v="San Francisco, CA"/>
    <n v="37.774900000000002"/>
    <n v="-122.4194"/>
    <d v="2024-01-04T00:00:00"/>
    <n v="1"/>
    <b v="0"/>
    <d v="2025-06-22T00:00:00"/>
    <x v="3"/>
    <x v="3"/>
  </r>
  <r>
    <b v="1"/>
    <d v="1899-12-30T11:56:00"/>
    <d v="1899-12-30T13:37:00"/>
    <n v="101"/>
    <x v="0"/>
    <b v="0"/>
    <b v="0"/>
    <x v="0"/>
    <x v="0"/>
    <x v="1"/>
    <x v="6"/>
    <x v="1"/>
    <n v="0"/>
    <x v="12"/>
    <s v="All hours"/>
    <s v="Sacramento, CA"/>
    <n v="38.581600000000002"/>
    <n v="-121.4944"/>
    <d v="2025-04-29T00:00:00"/>
    <n v="0"/>
    <b v="1"/>
    <d v="2025-07-19T00:00:00"/>
    <x v="2"/>
    <x v="4"/>
  </r>
  <r>
    <b v="0"/>
    <d v="1899-12-30T18:30:00"/>
    <d v="1899-12-30T19:44:00"/>
    <n v="74"/>
    <x v="1"/>
    <b v="0"/>
    <b v="1"/>
    <x v="0"/>
    <x v="1"/>
    <x v="2"/>
    <x v="8"/>
    <x v="0"/>
    <n v="0.05"/>
    <x v="31"/>
    <s v="Weekdays only"/>
    <s v="San Jose, CA"/>
    <n v="37.338200000000001"/>
    <n v="-121.88630000000001"/>
    <d v="2024-08-30T00:00:00"/>
    <n v="0"/>
    <b v="1"/>
    <d v="2025-07-06T00:00:00"/>
    <x v="0"/>
    <x v="0"/>
  </r>
  <r>
    <b v="0"/>
    <d v="1899-12-30T10:11:00"/>
    <d v="1899-12-30T12:26:00"/>
    <n v="135"/>
    <x v="1"/>
    <b v="0"/>
    <b v="1"/>
    <x v="4"/>
    <x v="2"/>
    <x v="0"/>
    <x v="2"/>
    <x v="1"/>
    <n v="0"/>
    <x v="3"/>
    <s v="Off-peak only"/>
    <s v="San Diego, CA"/>
    <n v="32.715699999999998"/>
    <n v="-117.1611"/>
    <d v="2022-10-29T00:00:00"/>
    <n v="0"/>
    <b v="0"/>
    <d v="2025-05-29T00:00:00"/>
    <x v="3"/>
    <x v="3"/>
  </r>
  <r>
    <b v="0"/>
    <d v="1899-12-30T14:17:00"/>
    <d v="1899-12-30T15:42:00"/>
    <n v="85"/>
    <x v="0"/>
    <b v="0"/>
    <b v="0"/>
    <x v="2"/>
    <x v="0"/>
    <x v="1"/>
    <x v="6"/>
    <x v="0"/>
    <n v="0.05"/>
    <x v="10"/>
    <s v="All hours"/>
    <s v="Bakersfield, CA"/>
    <n v="35.3733"/>
    <n v="-119.0187"/>
    <d v="2024-10-10T00:00:00"/>
    <n v="0"/>
    <b v="1"/>
    <d v="2025-07-08T00:00:00"/>
    <x v="3"/>
    <x v="3"/>
  </r>
  <r>
    <b v="1"/>
    <d v="1899-12-30T09:10:00"/>
    <d v="1899-12-30T11:36:00"/>
    <n v="146"/>
    <x v="0"/>
    <b v="1"/>
    <b v="1"/>
    <x v="4"/>
    <x v="1"/>
    <x v="1"/>
    <x v="4"/>
    <x v="1"/>
    <n v="0"/>
    <x v="8"/>
    <s v="Weekdays only"/>
    <s v="San Diego, CA"/>
    <n v="32.715699999999998"/>
    <n v="-117.1611"/>
    <d v="2025-01-19T00:00:00"/>
    <n v="1"/>
    <b v="0"/>
    <d v="2025-07-14T00:00:00"/>
    <x v="3"/>
    <x v="3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4-01-18T00:00:00"/>
    <n v="0"/>
    <b v="0"/>
    <d v="2025-06-23T00:00:00"/>
    <x v="3"/>
    <x v="3"/>
  </r>
  <r>
    <b v="1"/>
    <d v="1899-12-30T15:19:00"/>
    <d v="1899-12-30T17:35:00"/>
    <n v="136"/>
    <x v="0"/>
    <b v="1"/>
    <b v="1"/>
    <x v="0"/>
    <x v="1"/>
    <x v="0"/>
    <x v="1"/>
    <x v="3"/>
    <n v="0.15"/>
    <x v="15"/>
    <s v="Weekdays only"/>
    <s v="Oakland, CA"/>
    <n v="37.804400000000001"/>
    <n v="-122.27119999999999"/>
    <d v="2022-08-08T00:00:00"/>
    <n v="8"/>
    <b v="0"/>
    <d v="2025-05-24T00:00:00"/>
    <x v="1"/>
    <x v="1"/>
  </r>
  <r>
    <b v="0"/>
    <d v="1899-12-30T13:50:00"/>
    <d v="1899-12-30T14:26:00"/>
    <n v="36"/>
    <x v="0"/>
    <b v="1"/>
    <b v="0"/>
    <x v="0"/>
    <x v="1"/>
    <x v="0"/>
    <x v="1"/>
    <x v="2"/>
    <n v="0.1"/>
    <x v="2"/>
    <s v="Weekdays only"/>
    <s v="Fresno, CA"/>
    <n v="36.7378"/>
    <n v="-119.7871"/>
    <d v="2024-10-08T00:00:00"/>
    <n v="5"/>
    <b v="0"/>
    <d v="2025-07-08T00:00:00"/>
    <x v="0"/>
    <x v="0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3-07-08T00:00:00"/>
    <n v="5"/>
    <b v="1"/>
    <d v="2025-06-12T00:00:00"/>
    <x v="0"/>
    <x v="0"/>
  </r>
  <r>
    <b v="1"/>
    <d v="1899-12-30T20:33:00"/>
    <d v="1899-12-30T21:52:00"/>
    <n v="79"/>
    <x v="1"/>
    <b v="1"/>
    <b v="1"/>
    <x v="1"/>
    <x v="0"/>
    <x v="1"/>
    <x v="6"/>
    <x v="3"/>
    <n v="0.15"/>
    <x v="28"/>
    <s v="All hours"/>
    <s v="Bakersfield, CA"/>
    <n v="35.3733"/>
    <n v="-119.0187"/>
    <d v="2023-04-03T00:00:00"/>
    <n v="2"/>
    <b v="0"/>
    <d v="2025-06-07T00:00:00"/>
    <x v="0"/>
    <x v="0"/>
  </r>
  <r>
    <b v="1"/>
    <d v="1899-12-30T14:56:00"/>
    <d v="1899-12-30T15:57:00"/>
    <n v="61"/>
    <x v="1"/>
    <b v="1"/>
    <b v="1"/>
    <x v="4"/>
    <x v="0"/>
    <x v="0"/>
    <x v="0"/>
    <x v="1"/>
    <n v="0"/>
    <x v="5"/>
    <s v="All hours"/>
    <s v="Fresno, CA"/>
    <n v="36.7378"/>
    <n v="-119.7871"/>
    <d v="2024-10-12T00:00:00"/>
    <n v="4"/>
    <b v="1"/>
    <d v="2025-07-08T00:00:00"/>
    <x v="1"/>
    <x v="1"/>
  </r>
  <r>
    <b v="0"/>
    <d v="1899-12-30T10:09:00"/>
    <d v="1899-12-30T11:15:00"/>
    <n v="66"/>
    <x v="0"/>
    <b v="1"/>
    <b v="1"/>
    <x v="4"/>
    <x v="2"/>
    <x v="0"/>
    <x v="2"/>
    <x v="1"/>
    <n v="0"/>
    <x v="3"/>
    <s v="Off-peak only"/>
    <s v="San Francisco, CA"/>
    <n v="37.774900000000002"/>
    <n v="-122.4194"/>
    <d v="2023-05-09T00:00:00"/>
    <n v="2"/>
    <b v="0"/>
    <d v="2025-06-09T00:00:00"/>
    <x v="2"/>
    <x v="4"/>
  </r>
  <r>
    <b v="0"/>
    <d v="1899-12-30T20:18:00"/>
    <d v="1899-12-30T22:20:00"/>
    <n v="122"/>
    <x v="1"/>
    <b v="1"/>
    <b v="0"/>
    <x v="0"/>
    <x v="3"/>
    <x v="1"/>
    <x v="11"/>
    <x v="2"/>
    <n v="0.1"/>
    <x v="32"/>
    <s v="All hours + Priority access"/>
    <s v="Bakersfield, CA"/>
    <n v="35.3733"/>
    <n v="-119.0187"/>
    <d v="2024-05-27T00:00:00"/>
    <n v="3"/>
    <b v="1"/>
    <d v="2025-06-30T00:00:00"/>
    <x v="3"/>
    <x v="3"/>
  </r>
  <r>
    <b v="1"/>
    <d v="1899-12-30T16:41:00"/>
    <d v="1899-12-30T18:02:00"/>
    <n v="81"/>
    <x v="1"/>
    <b v="1"/>
    <b v="1"/>
    <x v="0"/>
    <x v="0"/>
    <x v="1"/>
    <x v="6"/>
    <x v="3"/>
    <n v="0.15"/>
    <x v="28"/>
    <s v="All hours"/>
    <s v="Sacramento, CA"/>
    <n v="38.581600000000002"/>
    <n v="-121.4944"/>
    <d v="2023-08-19T00:00:00"/>
    <n v="1"/>
    <b v="1"/>
    <d v="2025-06-15T00:00:00"/>
    <x v="0"/>
    <x v="0"/>
  </r>
  <r>
    <b v="0"/>
    <d v="1899-12-30T12:02:00"/>
    <d v="1899-12-30T14:07:00"/>
    <n v="125"/>
    <x v="1"/>
    <b v="1"/>
    <b v="1"/>
    <x v="0"/>
    <x v="2"/>
    <x v="0"/>
    <x v="2"/>
    <x v="0"/>
    <n v="0.05"/>
    <x v="18"/>
    <s v="Off-peak only"/>
    <s v="Anaheim, CA"/>
    <n v="33.836599999999997"/>
    <n v="-117.9143"/>
    <d v="2023-08-18T00:00:00"/>
    <n v="7"/>
    <b v="0"/>
    <d v="2025-06-14T00:00:00"/>
    <x v="0"/>
    <x v="0"/>
  </r>
  <r>
    <b v="0"/>
    <d v="1899-12-30T09:43:00"/>
    <d v="1899-12-30T10:37:00"/>
    <n v="54"/>
    <x v="1"/>
    <b v="0"/>
    <b v="0"/>
    <x v="0"/>
    <x v="0"/>
    <x v="0"/>
    <x v="0"/>
    <x v="0"/>
    <n v="0.05"/>
    <x v="0"/>
    <s v="All hours"/>
    <s v="Bakersfield, CA"/>
    <n v="35.3733"/>
    <n v="-119.0187"/>
    <d v="2023-11-30T00:00:00"/>
    <n v="0"/>
    <b v="1"/>
    <d v="2025-06-20T00:00:00"/>
    <x v="3"/>
    <x v="3"/>
  </r>
  <r>
    <b v="1"/>
    <d v="1899-12-30T17:02:00"/>
    <d v="1899-12-30T17:32:00"/>
    <n v="30"/>
    <x v="0"/>
    <b v="0"/>
    <b v="0"/>
    <x v="4"/>
    <x v="0"/>
    <x v="0"/>
    <x v="0"/>
    <x v="2"/>
    <n v="0.1"/>
    <x v="16"/>
    <s v="All hours"/>
    <s v="Bakersfield, CA"/>
    <n v="35.3733"/>
    <n v="-119.0187"/>
    <d v="2025-03-18T00:00:00"/>
    <n v="0"/>
    <b v="0"/>
    <d v="2025-07-17T00:00:00"/>
    <x v="2"/>
    <x v="4"/>
  </r>
  <r>
    <b v="1"/>
    <d v="1899-12-30T14:53:00"/>
    <d v="1899-12-30T17:02:00"/>
    <n v="129"/>
    <x v="1"/>
    <b v="0"/>
    <b v="1"/>
    <x v="0"/>
    <x v="2"/>
    <x v="0"/>
    <x v="2"/>
    <x v="1"/>
    <n v="0"/>
    <x v="3"/>
    <s v="Off-peak only"/>
    <s v="Los Angeles, CA"/>
    <n v="34.052199999999999"/>
    <n v="-118.2437"/>
    <d v="2023-01-15T00:00:00"/>
    <n v="0"/>
    <b v="1"/>
    <d v="2025-06-02T00:00:00"/>
    <x v="2"/>
    <x v="2"/>
  </r>
  <r>
    <b v="1"/>
    <d v="1899-12-30T19:59:00"/>
    <d v="1899-12-30T21:04:00"/>
    <n v="65"/>
    <x v="0"/>
    <b v="1"/>
    <b v="0"/>
    <x v="3"/>
    <x v="0"/>
    <x v="1"/>
    <x v="6"/>
    <x v="1"/>
    <n v="0"/>
    <x v="12"/>
    <s v="All hours"/>
    <s v="Oakland, CA"/>
    <n v="37.804400000000001"/>
    <n v="-122.27119999999999"/>
    <d v="2024-07-16T00:00:00"/>
    <n v="6"/>
    <b v="1"/>
    <d v="2025-07-03T00:00:00"/>
    <x v="0"/>
    <x v="0"/>
  </r>
  <r>
    <b v="0"/>
    <d v="1899-12-30T16:54:00"/>
    <d v="1899-12-30T19:49:00"/>
    <n v="175"/>
    <x v="1"/>
    <b v="0"/>
    <b v="0"/>
    <x v="4"/>
    <x v="0"/>
    <x v="0"/>
    <x v="0"/>
    <x v="1"/>
    <n v="0"/>
    <x v="5"/>
    <s v="All hours"/>
    <s v="Bakersfield, CA"/>
    <n v="35.3733"/>
    <n v="-119.0187"/>
    <d v="2024-12-06T00:00:00"/>
    <n v="0"/>
    <b v="1"/>
    <d v="2025-07-11T00:00:00"/>
    <x v="3"/>
    <x v="3"/>
  </r>
  <r>
    <b v="0"/>
    <d v="1899-12-30T16:20:00"/>
    <d v="1899-12-30T17:20:00"/>
    <n v="60"/>
    <x v="1"/>
    <b v="1"/>
    <b v="0"/>
    <x v="0"/>
    <x v="2"/>
    <x v="0"/>
    <x v="2"/>
    <x v="0"/>
    <n v="0.05"/>
    <x v="18"/>
    <s v="Off-peak only"/>
    <s v="San Jose, CA"/>
    <n v="37.338200000000001"/>
    <n v="-121.88630000000001"/>
    <d v="2025-05-10T00:00:00"/>
    <n v="1"/>
    <b v="1"/>
    <d v="2025-07-20T00:00:00"/>
    <x v="0"/>
    <x v="0"/>
  </r>
  <r>
    <b v="0"/>
    <d v="1899-12-30T18:16:00"/>
    <d v="1899-12-30T20:37:00"/>
    <n v="141"/>
    <x v="0"/>
    <b v="0"/>
    <b v="0"/>
    <x v="4"/>
    <x v="0"/>
    <x v="0"/>
    <x v="0"/>
    <x v="0"/>
    <n v="0.05"/>
    <x v="0"/>
    <s v="All hours"/>
    <s v="Los Angeles, CA"/>
    <n v="34.052199999999999"/>
    <n v="-118.2437"/>
    <d v="2023-10-02T00:00:00"/>
    <n v="0"/>
    <b v="1"/>
    <d v="2025-06-17T00:00:00"/>
    <x v="3"/>
    <x v="3"/>
  </r>
  <r>
    <b v="0"/>
    <d v="1899-12-30T09:55:00"/>
    <d v="1899-12-30T10:55:00"/>
    <n v="60"/>
    <x v="0"/>
    <b v="1"/>
    <b v="0"/>
    <x v="2"/>
    <x v="1"/>
    <x v="0"/>
    <x v="1"/>
    <x v="2"/>
    <n v="0.1"/>
    <x v="2"/>
    <s v="Weekdays only"/>
    <s v="Los Angeles, CA"/>
    <n v="34.052199999999999"/>
    <n v="-118.2437"/>
    <d v="2023-07-02T00:00:00"/>
    <n v="1"/>
    <b v="0"/>
    <d v="2025-06-12T00:00:00"/>
    <x v="3"/>
    <x v="3"/>
  </r>
  <r>
    <b v="1"/>
    <d v="1899-12-30T16:41:00"/>
    <d v="1899-12-30T18:02:00"/>
    <n v="81"/>
    <x v="1"/>
    <b v="1"/>
    <b v="1"/>
    <x v="0"/>
    <x v="0"/>
    <x v="1"/>
    <x v="6"/>
    <x v="3"/>
    <n v="0.15"/>
    <x v="28"/>
    <s v="All hours"/>
    <s v="Sacramento, CA"/>
    <n v="38.581600000000002"/>
    <n v="-121.4944"/>
    <d v="2025-06-05T00:00:00"/>
    <n v="2"/>
    <b v="1"/>
    <d v="2025-07-22T00:00:00"/>
    <x v="0"/>
    <x v="0"/>
  </r>
  <r>
    <b v="1"/>
    <d v="1899-12-30T15:40:00"/>
    <d v="1899-12-30T17:21:00"/>
    <n v="101"/>
    <x v="1"/>
    <b v="1"/>
    <b v="0"/>
    <x v="4"/>
    <x v="2"/>
    <x v="0"/>
    <x v="2"/>
    <x v="2"/>
    <n v="0.1"/>
    <x v="6"/>
    <s v="Off-peak only"/>
    <s v="Los Angeles, CA"/>
    <n v="34.052199999999999"/>
    <n v="-118.2437"/>
    <d v="2023-12-25T00:00:00"/>
    <n v="6"/>
    <b v="0"/>
    <d v="2025-06-22T00:00:00"/>
    <x v="0"/>
    <x v="0"/>
  </r>
  <r>
    <b v="1"/>
    <d v="1899-12-30T16:18:00"/>
    <d v="1899-12-30T17:35:00"/>
    <n v="77"/>
    <x v="1"/>
    <b v="0"/>
    <b v="0"/>
    <x v="0"/>
    <x v="0"/>
    <x v="0"/>
    <x v="0"/>
    <x v="1"/>
    <n v="0"/>
    <x v="5"/>
    <s v="All hours"/>
    <s v="San Jose, CA"/>
    <n v="37.338200000000001"/>
    <n v="-121.88630000000001"/>
    <d v="2024-10-24T00:00:00"/>
    <n v="0"/>
    <b v="1"/>
    <d v="2025-07-09T00:00:00"/>
    <x v="0"/>
    <x v="0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8-05T00:00:00"/>
    <n v="6"/>
    <b v="1"/>
    <d v="2025-06-14T00:00:00"/>
    <x v="3"/>
    <x v="3"/>
  </r>
  <r>
    <b v="0"/>
    <d v="1899-12-30T15:41:00"/>
    <d v="1899-12-30T17:04:00"/>
    <n v="83"/>
    <x v="1"/>
    <b v="1"/>
    <b v="0"/>
    <x v="4"/>
    <x v="0"/>
    <x v="0"/>
    <x v="0"/>
    <x v="0"/>
    <n v="0.05"/>
    <x v="0"/>
    <s v="All hours"/>
    <s v="San Diego, CA"/>
    <n v="32.715699999999998"/>
    <n v="-117.1611"/>
    <d v="2024-12-19T00:00:00"/>
    <n v="6"/>
    <b v="1"/>
    <d v="2025-07-12T00:00:00"/>
    <x v="1"/>
    <x v="1"/>
  </r>
  <r>
    <b v="1"/>
    <d v="1899-12-30T15:14:00"/>
    <d v="1899-12-30T17:39:00"/>
    <n v="145"/>
    <x v="1"/>
    <b v="0"/>
    <b v="0"/>
    <x v="0"/>
    <x v="1"/>
    <x v="1"/>
    <x v="4"/>
    <x v="0"/>
    <n v="0.05"/>
    <x v="11"/>
    <s v="Weekdays only"/>
    <s v="Sacramento, CA"/>
    <n v="38.581600000000002"/>
    <n v="-121.4944"/>
    <d v="2023-06-18T00:00:00"/>
    <n v="0"/>
    <b v="0"/>
    <d v="2025-06-11T00:00:00"/>
    <x v="1"/>
    <x v="1"/>
  </r>
  <r>
    <b v="1"/>
    <d v="1899-12-30T18:15:00"/>
    <d v="1899-12-30T19:59:00"/>
    <n v="104"/>
    <x v="1"/>
    <b v="0"/>
    <b v="1"/>
    <x v="4"/>
    <x v="0"/>
    <x v="0"/>
    <x v="0"/>
    <x v="2"/>
    <n v="0.1"/>
    <x v="16"/>
    <s v="All hours"/>
    <s v="San Diego, CA"/>
    <n v="32.715699999999998"/>
    <n v="-117.1611"/>
    <d v="2024-05-07T00:00:00"/>
    <n v="0"/>
    <b v="0"/>
    <d v="2025-06-29T00:00:00"/>
    <x v="0"/>
    <x v="0"/>
  </r>
  <r>
    <b v="0"/>
    <d v="1899-12-30T11:30:00"/>
    <d v="1899-12-30T12:10:00"/>
    <n v="40"/>
    <x v="1"/>
    <b v="0"/>
    <b v="0"/>
    <x v="2"/>
    <x v="0"/>
    <x v="0"/>
    <x v="0"/>
    <x v="1"/>
    <n v="0"/>
    <x v="5"/>
    <s v="All hours"/>
    <s v="Bakersfield, CA"/>
    <n v="35.3733"/>
    <n v="-119.0187"/>
    <d v="2022-09-29T00:00:00"/>
    <n v="0"/>
    <b v="1"/>
    <d v="2025-05-27T00:00:00"/>
    <x v="1"/>
    <x v="1"/>
  </r>
  <r>
    <b v="1"/>
    <d v="1899-12-30T16:05:00"/>
    <d v="1899-12-30T18:42:00"/>
    <n v="157"/>
    <x v="0"/>
    <b v="1"/>
    <b v="0"/>
    <x v="0"/>
    <x v="2"/>
    <x v="0"/>
    <x v="2"/>
    <x v="2"/>
    <n v="0.1"/>
    <x v="6"/>
    <s v="Off-peak only"/>
    <s v="San Jose, CA"/>
    <n v="37.338200000000001"/>
    <n v="-121.88630000000001"/>
    <d v="2025-01-27T00:00:00"/>
    <n v="2"/>
    <b v="0"/>
    <d v="2025-07-14T00:00:00"/>
    <x v="1"/>
    <x v="1"/>
  </r>
  <r>
    <b v="0"/>
    <d v="1899-12-30T11:33:00"/>
    <d v="1899-12-30T12:40:00"/>
    <n v="67"/>
    <x v="1"/>
    <b v="0"/>
    <b v="1"/>
    <x v="4"/>
    <x v="1"/>
    <x v="0"/>
    <x v="1"/>
    <x v="2"/>
    <n v="0.1"/>
    <x v="2"/>
    <s v="Weekdays only"/>
    <s v="Anaheim, CA"/>
    <n v="33.836599999999997"/>
    <n v="-117.9143"/>
    <d v="2024-06-24T00:00:00"/>
    <n v="0"/>
    <b v="0"/>
    <d v="2025-07-02T00:00:00"/>
    <x v="1"/>
    <x v="1"/>
  </r>
  <r>
    <b v="0"/>
    <d v="1899-12-30T12:30:00"/>
    <d v="1899-12-30T13:08:00"/>
    <n v="38"/>
    <x v="1"/>
    <b v="0"/>
    <b v="0"/>
    <x v="0"/>
    <x v="1"/>
    <x v="2"/>
    <x v="8"/>
    <x v="1"/>
    <n v="0"/>
    <x v="2"/>
    <s v="Weekdays only"/>
    <s v="San Diego, CA"/>
    <n v="32.715699999999998"/>
    <n v="-117.1611"/>
    <d v="2025-02-22T00:00:00"/>
    <n v="0"/>
    <b v="0"/>
    <d v="2025-07-16T00:00:00"/>
    <x v="3"/>
    <x v="3"/>
  </r>
  <r>
    <b v="0"/>
    <d v="1899-12-30T11:19:00"/>
    <d v="1899-12-30T12:16:00"/>
    <n v="57"/>
    <x v="0"/>
    <b v="1"/>
    <b v="1"/>
    <x v="4"/>
    <x v="3"/>
    <x v="0"/>
    <x v="3"/>
    <x v="1"/>
    <n v="0"/>
    <x v="4"/>
    <s v="All hours + Priority access"/>
    <s v="Fresno, CA"/>
    <n v="36.7378"/>
    <n v="-119.7871"/>
    <d v="2022-10-12T00:00:00"/>
    <n v="1"/>
    <b v="1"/>
    <d v="2025-05-28T00:00:00"/>
    <x v="0"/>
    <x v="0"/>
  </r>
  <r>
    <b v="0"/>
    <d v="1899-12-30T09:55:00"/>
    <d v="1899-12-30T10:55:00"/>
    <n v="60"/>
    <x v="0"/>
    <b v="1"/>
    <b v="0"/>
    <x v="2"/>
    <x v="1"/>
    <x v="0"/>
    <x v="1"/>
    <x v="2"/>
    <n v="0.1"/>
    <x v="2"/>
    <s v="Weekdays only"/>
    <s v="Los Angeles, CA"/>
    <n v="34.052199999999999"/>
    <n v="-118.2437"/>
    <d v="2022-12-01T00:00:00"/>
    <n v="2"/>
    <b v="0"/>
    <d v="2025-05-31T00:00:00"/>
    <x v="3"/>
    <x v="3"/>
  </r>
  <r>
    <b v="0"/>
    <d v="1899-12-30T08:06:00"/>
    <d v="1899-12-30T08:47:00"/>
    <n v="41"/>
    <x v="1"/>
    <b v="0"/>
    <b v="1"/>
    <x v="0"/>
    <x v="1"/>
    <x v="1"/>
    <x v="4"/>
    <x v="2"/>
    <n v="0.1"/>
    <x v="26"/>
    <s v="Weekdays only"/>
    <s v="Long Beach, CA"/>
    <n v="33.770099999999999"/>
    <n v="-118.19370000000001"/>
    <d v="2024-09-21T00:00:00"/>
    <n v="0"/>
    <b v="0"/>
    <d v="2025-07-07T00:00:00"/>
    <x v="2"/>
    <x v="2"/>
  </r>
  <r>
    <b v="0"/>
    <d v="1899-12-30T10:42:00"/>
    <d v="1899-12-30T11:57:00"/>
    <n v="75"/>
    <x v="1"/>
    <b v="1"/>
    <b v="1"/>
    <x v="0"/>
    <x v="0"/>
    <x v="0"/>
    <x v="0"/>
    <x v="1"/>
    <n v="0"/>
    <x v="5"/>
    <s v="All hours"/>
    <s v="San Jose, CA"/>
    <n v="37.338200000000001"/>
    <n v="-121.88630000000001"/>
    <d v="2023-07-21T00:00:00"/>
    <n v="5"/>
    <b v="1"/>
    <d v="2025-06-13T00:00:00"/>
    <x v="0"/>
    <x v="0"/>
  </r>
  <r>
    <b v="0"/>
    <d v="1899-12-30T09:55:00"/>
    <d v="1899-12-30T11:07:00"/>
    <n v="72"/>
    <x v="1"/>
    <b v="1"/>
    <b v="1"/>
    <x v="2"/>
    <x v="0"/>
    <x v="0"/>
    <x v="0"/>
    <x v="1"/>
    <n v="0"/>
    <x v="5"/>
    <s v="All hours"/>
    <s v="San Jose, CA"/>
    <n v="37.338200000000001"/>
    <n v="-121.88630000000001"/>
    <d v="2023-02-03T00:00:00"/>
    <n v="5"/>
    <b v="1"/>
    <d v="2025-06-03T00:00:00"/>
    <x v="2"/>
    <x v="4"/>
  </r>
  <r>
    <b v="1"/>
    <d v="1899-12-30T13:31:00"/>
    <d v="1899-12-30T15:39:00"/>
    <n v="128"/>
    <x v="0"/>
    <b v="1"/>
    <b v="1"/>
    <x v="0"/>
    <x v="0"/>
    <x v="0"/>
    <x v="0"/>
    <x v="3"/>
    <n v="0.15"/>
    <x v="27"/>
    <s v="All hours"/>
    <s v="Fresno, CA"/>
    <n v="36.7378"/>
    <n v="-119.7871"/>
    <d v="2023-11-09T00:00:00"/>
    <n v="2"/>
    <b v="1"/>
    <d v="2025-06-19T00:00:00"/>
    <x v="3"/>
    <x v="3"/>
  </r>
  <r>
    <b v="0"/>
    <d v="1899-12-30T13:52:00"/>
    <d v="1899-12-30T14:43:00"/>
    <n v="51"/>
    <x v="0"/>
    <b v="0"/>
    <b v="1"/>
    <x v="4"/>
    <x v="0"/>
    <x v="0"/>
    <x v="0"/>
    <x v="2"/>
    <n v="0.1"/>
    <x v="16"/>
    <s v="All hours"/>
    <s v="Los Angeles, CA"/>
    <n v="34.052199999999999"/>
    <n v="-118.2437"/>
    <d v="2023-12-06T00:00:00"/>
    <n v="0"/>
    <b v="0"/>
    <d v="2025-06-21T00:00:00"/>
    <x v="3"/>
    <x v="3"/>
  </r>
  <r>
    <b v="0"/>
    <d v="1899-12-30T16:41:00"/>
    <d v="1899-12-30T19:00:00"/>
    <n v="139"/>
    <x v="1"/>
    <b v="0"/>
    <b v="0"/>
    <x v="4"/>
    <x v="1"/>
    <x v="1"/>
    <x v="4"/>
    <x v="1"/>
    <n v="0"/>
    <x v="8"/>
    <s v="Weekdays only"/>
    <s v="Bakersfield, CA"/>
    <n v="35.3733"/>
    <n v="-119.0187"/>
    <d v="2024-10-08T00:00:00"/>
    <n v="0"/>
    <b v="1"/>
    <d v="2025-07-08T00:00:00"/>
    <x v="2"/>
    <x v="2"/>
  </r>
  <r>
    <b v="0"/>
    <d v="1899-12-30T09:56:00"/>
    <d v="1899-12-30T11:20:00"/>
    <n v="84"/>
    <x v="1"/>
    <b v="1"/>
    <b v="0"/>
    <x v="4"/>
    <x v="0"/>
    <x v="0"/>
    <x v="0"/>
    <x v="3"/>
    <n v="0.15"/>
    <x v="27"/>
    <s v="All hours"/>
    <s v="Fresno, CA"/>
    <n v="36.7378"/>
    <n v="-119.7871"/>
    <d v="2025-03-15T00:00:00"/>
    <n v="6"/>
    <b v="1"/>
    <d v="2025-07-17T00:00:00"/>
    <x v="3"/>
    <x v="3"/>
  </r>
  <r>
    <b v="1"/>
    <d v="1899-12-30T19:09:00"/>
    <d v="1899-12-30T21:55:00"/>
    <n v="166"/>
    <x v="1"/>
    <b v="0"/>
    <b v="1"/>
    <x v="4"/>
    <x v="0"/>
    <x v="0"/>
    <x v="0"/>
    <x v="2"/>
    <n v="0.1"/>
    <x v="16"/>
    <s v="All hours"/>
    <s v="San Jose, CA"/>
    <n v="37.338200000000001"/>
    <n v="-121.88630000000001"/>
    <d v="2022-11-10T00:00:00"/>
    <n v="0"/>
    <b v="1"/>
    <d v="2025-05-30T00:00:00"/>
    <x v="0"/>
    <x v="0"/>
  </r>
  <r>
    <b v="1"/>
    <d v="1899-12-30T17:28:00"/>
    <d v="1899-12-30T18:29:00"/>
    <n v="61"/>
    <x v="0"/>
    <b v="0"/>
    <b v="0"/>
    <x v="0"/>
    <x v="3"/>
    <x v="0"/>
    <x v="3"/>
    <x v="1"/>
    <n v="0"/>
    <x v="4"/>
    <s v="All hours + Priority access"/>
    <s v="San Diego, CA"/>
    <n v="32.715699999999998"/>
    <n v="-117.1611"/>
    <d v="2022-11-07T00:00:00"/>
    <n v="0"/>
    <b v="1"/>
    <d v="2025-05-29T00:00:00"/>
    <x v="1"/>
    <x v="1"/>
  </r>
  <r>
    <b v="1"/>
    <d v="1899-12-30T16:03:00"/>
    <d v="1899-12-30T17:49:00"/>
    <n v="106"/>
    <x v="0"/>
    <b v="0"/>
    <b v="1"/>
    <x v="0"/>
    <x v="2"/>
    <x v="1"/>
    <x v="5"/>
    <x v="1"/>
    <n v="0"/>
    <x v="14"/>
    <s v="Off-peak only"/>
    <s v="Fresno, CA"/>
    <n v="36.7378"/>
    <n v="-119.7871"/>
    <d v="2023-08-18T00:00:00"/>
    <n v="0"/>
    <b v="0"/>
    <d v="2025-06-15T00:00:00"/>
    <x v="0"/>
    <x v="0"/>
  </r>
  <r>
    <b v="1"/>
    <d v="1899-12-30T16:58:00"/>
    <d v="1899-12-30T19:40:00"/>
    <n v="162"/>
    <x v="1"/>
    <b v="0"/>
    <b v="1"/>
    <x v="2"/>
    <x v="2"/>
    <x v="0"/>
    <x v="2"/>
    <x v="1"/>
    <n v="0"/>
    <x v="3"/>
    <s v="Off-peak only"/>
    <s v="Long Beach, CA"/>
    <n v="33.770099999999999"/>
    <n v="-118.19370000000001"/>
    <d v="2024-06-26T00:00:00"/>
    <n v="0"/>
    <b v="0"/>
    <d v="2025-07-02T00:00:00"/>
    <x v="2"/>
    <x v="2"/>
  </r>
  <r>
    <b v="0"/>
    <d v="1899-12-30T16:39:00"/>
    <d v="1899-12-30T19:05:00"/>
    <n v="146"/>
    <x v="1"/>
    <b v="1"/>
    <b v="0"/>
    <x v="4"/>
    <x v="0"/>
    <x v="1"/>
    <x v="6"/>
    <x v="3"/>
    <n v="0.15"/>
    <x v="28"/>
    <s v="All hours"/>
    <s v="Fresno, CA"/>
    <n v="36.7378"/>
    <n v="-119.7871"/>
    <d v="2024-06-16T00:00:00"/>
    <n v="8"/>
    <b v="1"/>
    <d v="2025-07-02T00:00:00"/>
    <x v="1"/>
    <x v="1"/>
  </r>
  <r>
    <b v="0"/>
    <d v="1899-12-30T08:19:00"/>
    <d v="1899-12-30T10:45:00"/>
    <n v="146"/>
    <x v="0"/>
    <b v="1"/>
    <b v="0"/>
    <x v="4"/>
    <x v="0"/>
    <x v="2"/>
    <x v="10"/>
    <x v="1"/>
    <n v="0"/>
    <x v="16"/>
    <s v="All hours"/>
    <s v="Fresno, CA"/>
    <n v="36.7378"/>
    <n v="-119.7871"/>
    <d v="2023-05-11T00:00:00"/>
    <n v="1"/>
    <b v="1"/>
    <d v="2025-06-09T00:00:00"/>
    <x v="3"/>
    <x v="3"/>
  </r>
  <r>
    <b v="0"/>
    <d v="1899-12-30T08:50:00"/>
    <d v="1899-12-30T11:20:00"/>
    <n v="150"/>
    <x v="0"/>
    <b v="1"/>
    <b v="0"/>
    <x v="1"/>
    <x v="0"/>
    <x v="1"/>
    <x v="6"/>
    <x v="3"/>
    <n v="0.15"/>
    <x v="28"/>
    <s v="All hours"/>
    <s v="Oakland, CA"/>
    <n v="37.804400000000001"/>
    <n v="-122.27119999999999"/>
    <d v="2022-11-10T00:00:00"/>
    <n v="2"/>
    <b v="1"/>
    <d v="2025-05-30T00:00:00"/>
    <x v="3"/>
    <x v="3"/>
  </r>
  <r>
    <b v="0"/>
    <d v="1899-12-30T17:14:00"/>
    <d v="1899-12-30T20:05:00"/>
    <n v="171"/>
    <x v="0"/>
    <b v="1"/>
    <b v="1"/>
    <x v="0"/>
    <x v="0"/>
    <x v="1"/>
    <x v="6"/>
    <x v="1"/>
    <n v="0"/>
    <x v="12"/>
    <s v="All hours"/>
    <s v="San Francisco, CA"/>
    <n v="37.774900000000002"/>
    <n v="-122.4194"/>
    <d v="2022-11-21T00:00:00"/>
    <n v="2"/>
    <b v="1"/>
    <d v="2025-05-30T00:00:00"/>
    <x v="0"/>
    <x v="0"/>
  </r>
  <r>
    <b v="0"/>
    <d v="1899-12-30T10:43:00"/>
    <d v="1899-12-30T11:52:00"/>
    <n v="69"/>
    <x v="1"/>
    <b v="1"/>
    <b v="0"/>
    <x v="1"/>
    <x v="2"/>
    <x v="1"/>
    <x v="5"/>
    <x v="1"/>
    <n v="0"/>
    <x v="14"/>
    <s v="Off-peak only"/>
    <s v="Anaheim, CA"/>
    <n v="33.836599999999997"/>
    <n v="-117.9143"/>
    <d v="2023-03-15T00:00:00"/>
    <n v="2"/>
    <b v="0"/>
    <d v="2025-06-06T00:00:00"/>
    <x v="3"/>
    <x v="3"/>
  </r>
  <r>
    <b v="1"/>
    <d v="1899-12-30T17:10:00"/>
    <d v="1899-12-30T18:03:00"/>
    <n v="53"/>
    <x v="1"/>
    <b v="1"/>
    <b v="1"/>
    <x v="2"/>
    <x v="1"/>
    <x v="2"/>
    <x v="8"/>
    <x v="2"/>
    <n v="0.1"/>
    <x v="33"/>
    <s v="Weekdays only"/>
    <s v="Los Angeles, CA"/>
    <n v="34.052199999999999"/>
    <n v="-118.2437"/>
    <d v="2023-08-09T00:00:00"/>
    <n v="8"/>
    <b v="0"/>
    <d v="2025-06-14T00:00:00"/>
    <x v="0"/>
    <x v="0"/>
  </r>
  <r>
    <b v="1"/>
    <d v="1899-12-30T11:09:00"/>
    <d v="1899-12-30T12:25:00"/>
    <n v="76"/>
    <x v="1"/>
    <b v="0"/>
    <b v="1"/>
    <x v="4"/>
    <x v="2"/>
    <x v="0"/>
    <x v="2"/>
    <x v="1"/>
    <n v="0"/>
    <x v="3"/>
    <s v="Off-peak only"/>
    <s v="Sacramento, CA"/>
    <n v="38.581600000000002"/>
    <n v="-121.4944"/>
    <d v="2025-03-25T00:00:00"/>
    <n v="0"/>
    <b v="0"/>
    <d v="2025-07-17T00:00:00"/>
    <x v="1"/>
    <x v="1"/>
  </r>
  <r>
    <b v="1"/>
    <d v="1899-12-30T20:00:00"/>
    <d v="1899-12-30T21:50:00"/>
    <n v="110"/>
    <x v="1"/>
    <b v="1"/>
    <b v="0"/>
    <x v="4"/>
    <x v="1"/>
    <x v="0"/>
    <x v="1"/>
    <x v="1"/>
    <n v="0"/>
    <x v="1"/>
    <s v="Weekdays only"/>
    <s v="San Diego, CA"/>
    <n v="32.715699999999998"/>
    <n v="-117.1611"/>
    <d v="2025-01-01T00:00:00"/>
    <n v="8"/>
    <b v="1"/>
    <d v="2025-07-13T00:00:00"/>
    <x v="3"/>
    <x v="3"/>
  </r>
  <r>
    <b v="1"/>
    <d v="1899-12-30T14:03:00"/>
    <d v="1899-12-30T16:10:00"/>
    <n v="127"/>
    <x v="1"/>
    <b v="0"/>
    <b v="1"/>
    <x v="4"/>
    <x v="0"/>
    <x v="0"/>
    <x v="0"/>
    <x v="0"/>
    <n v="0.05"/>
    <x v="0"/>
    <s v="All hours"/>
    <s v="San Francisco, CA"/>
    <n v="37.774900000000002"/>
    <n v="-122.4194"/>
    <d v="2022-11-09T00:00:00"/>
    <n v="0"/>
    <b v="0"/>
    <d v="2025-05-30T00:00:00"/>
    <x v="1"/>
    <x v="1"/>
  </r>
  <r>
    <b v="0"/>
    <d v="1899-12-30T16:40:00"/>
    <d v="1899-12-30T17:37:00"/>
    <n v="57"/>
    <x v="0"/>
    <b v="1"/>
    <b v="1"/>
    <x v="0"/>
    <x v="2"/>
    <x v="0"/>
    <x v="2"/>
    <x v="1"/>
    <n v="0"/>
    <x v="3"/>
    <s v="Off-peak only"/>
    <s v="San Jose, CA"/>
    <n v="37.338200000000001"/>
    <n v="-121.88630000000001"/>
    <d v="2023-09-16T00:00:00"/>
    <n v="3"/>
    <b v="0"/>
    <d v="2025-06-16T00:00:00"/>
    <x v="2"/>
    <x v="2"/>
  </r>
  <r>
    <b v="1"/>
    <d v="1899-12-30T12:16:00"/>
    <d v="1899-12-30T12:49:00"/>
    <n v="33"/>
    <x v="0"/>
    <b v="0"/>
    <b v="0"/>
    <x v="0"/>
    <x v="0"/>
    <x v="0"/>
    <x v="0"/>
    <x v="3"/>
    <n v="0.15"/>
    <x v="27"/>
    <s v="All hours"/>
    <s v="Bakersfield, CA"/>
    <n v="35.3733"/>
    <n v="-119.0187"/>
    <d v="2025-06-13T00:00:00"/>
    <n v="0"/>
    <b v="1"/>
    <d v="2025-07-22T00:00:00"/>
    <x v="1"/>
    <x v="1"/>
  </r>
  <r>
    <b v="0"/>
    <d v="1899-12-30T13:50:00"/>
    <d v="1899-12-30T14:26:00"/>
    <n v="36"/>
    <x v="0"/>
    <b v="1"/>
    <b v="0"/>
    <x v="0"/>
    <x v="1"/>
    <x v="0"/>
    <x v="1"/>
    <x v="2"/>
    <n v="0.1"/>
    <x v="2"/>
    <s v="Weekdays only"/>
    <s v="Fresno, CA"/>
    <n v="36.7378"/>
    <n v="-119.7871"/>
    <d v="2025-03-06T00:00:00"/>
    <n v="5"/>
    <b v="0"/>
    <d v="2025-07-16T00:00:00"/>
    <x v="0"/>
    <x v="0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3-07-17T00:00:00"/>
    <n v="0"/>
    <b v="0"/>
    <d v="2025-06-13T00:00:00"/>
    <x v="3"/>
    <x v="3"/>
  </r>
  <r>
    <b v="0"/>
    <d v="1899-12-30T17:58:00"/>
    <d v="1899-12-30T20:04:00"/>
    <n v="126"/>
    <x v="0"/>
    <b v="1"/>
    <b v="0"/>
    <x v="2"/>
    <x v="3"/>
    <x v="0"/>
    <x v="3"/>
    <x v="1"/>
    <n v="0"/>
    <x v="4"/>
    <s v="All hours + Priority access"/>
    <s v="San Jose, CA"/>
    <n v="37.338200000000001"/>
    <n v="-121.88630000000001"/>
    <d v="2025-06-17T00:00:00"/>
    <n v="7"/>
    <b v="1"/>
    <d v="2025-07-22T00:00:00"/>
    <x v="2"/>
    <x v="2"/>
  </r>
  <r>
    <b v="0"/>
    <d v="1899-12-30T11:37:00"/>
    <d v="1899-12-30T14:23:00"/>
    <n v="166"/>
    <x v="0"/>
    <b v="1"/>
    <b v="1"/>
    <x v="0"/>
    <x v="0"/>
    <x v="0"/>
    <x v="0"/>
    <x v="1"/>
    <n v="0"/>
    <x v="5"/>
    <s v="All hours"/>
    <s v="San Jose, CA"/>
    <n v="37.338200000000001"/>
    <n v="-121.88630000000001"/>
    <d v="2025-01-02T00:00:00"/>
    <n v="6"/>
    <b v="1"/>
    <d v="2025-07-13T00:00:00"/>
    <x v="0"/>
    <x v="0"/>
  </r>
  <r>
    <b v="1"/>
    <d v="1899-12-30T20:28:00"/>
    <d v="1899-12-30T21:52:00"/>
    <n v="84"/>
    <x v="1"/>
    <b v="1"/>
    <b v="0"/>
    <x v="2"/>
    <x v="0"/>
    <x v="1"/>
    <x v="6"/>
    <x v="3"/>
    <n v="0.15"/>
    <x v="28"/>
    <s v="All hours"/>
    <s v="Oakland, CA"/>
    <n v="37.804400000000001"/>
    <n v="-122.27119999999999"/>
    <d v="2023-11-16T00:00:00"/>
    <n v="4"/>
    <b v="1"/>
    <d v="2025-06-20T00:00:00"/>
    <x v="1"/>
    <x v="1"/>
  </r>
  <r>
    <b v="0"/>
    <d v="1899-12-30T15:28:00"/>
    <d v="1899-12-30T16:30:00"/>
    <n v="62"/>
    <x v="0"/>
    <b v="1"/>
    <b v="1"/>
    <x v="0"/>
    <x v="0"/>
    <x v="0"/>
    <x v="0"/>
    <x v="2"/>
    <n v="0.1"/>
    <x v="16"/>
    <s v="All hours"/>
    <s v="Fresno, CA"/>
    <n v="36.7378"/>
    <n v="-119.7871"/>
    <d v="2023-06-17T00:00:00"/>
    <n v="8"/>
    <b v="1"/>
    <d v="2025-06-11T00:00:00"/>
    <x v="1"/>
    <x v="1"/>
  </r>
  <r>
    <b v="1"/>
    <d v="1899-12-30T13:03:00"/>
    <d v="1899-12-30T15:39:00"/>
    <n v="156"/>
    <x v="0"/>
    <b v="1"/>
    <b v="1"/>
    <x v="2"/>
    <x v="1"/>
    <x v="1"/>
    <x v="4"/>
    <x v="0"/>
    <n v="0.05"/>
    <x v="11"/>
    <s v="Weekdays only"/>
    <s v="Sacramento, CA"/>
    <n v="38.581600000000002"/>
    <n v="-121.4944"/>
    <d v="2023-07-29T00:00:00"/>
    <n v="7"/>
    <b v="0"/>
    <d v="2025-06-13T00:00:00"/>
    <x v="3"/>
    <x v="3"/>
  </r>
  <r>
    <b v="1"/>
    <d v="1899-12-30T15:16:00"/>
    <d v="1899-12-30T17:15:00"/>
    <n v="119"/>
    <x v="1"/>
    <b v="1"/>
    <b v="0"/>
    <x v="4"/>
    <x v="1"/>
    <x v="0"/>
    <x v="1"/>
    <x v="3"/>
    <n v="0.15"/>
    <x v="15"/>
    <s v="Weekdays only"/>
    <s v="Sacramento, CA"/>
    <n v="38.581600000000002"/>
    <n v="-121.4944"/>
    <d v="2024-10-27T00:00:00"/>
    <n v="8"/>
    <b v="0"/>
    <d v="2025-07-09T00:00:00"/>
    <x v="1"/>
    <x v="1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3-05-26T00:00:00"/>
    <n v="0"/>
    <b v="0"/>
    <d v="2025-06-10T00:00:00"/>
    <x v="3"/>
    <x v="3"/>
  </r>
  <r>
    <b v="0"/>
    <d v="1899-12-30T18:28:00"/>
    <d v="1899-12-30T20:20:00"/>
    <n v="112"/>
    <x v="1"/>
    <b v="0"/>
    <b v="0"/>
    <x v="0"/>
    <x v="1"/>
    <x v="0"/>
    <x v="1"/>
    <x v="3"/>
    <n v="0.15"/>
    <x v="15"/>
    <s v="Weekdays only"/>
    <s v="Sacramento, CA"/>
    <n v="38.581600000000002"/>
    <n v="-121.4944"/>
    <d v="2024-10-13T00:00:00"/>
    <n v="0"/>
    <b v="1"/>
    <d v="2025-07-08T00:00:00"/>
    <x v="3"/>
    <x v="3"/>
  </r>
  <r>
    <b v="1"/>
    <d v="1899-12-30T17:47:00"/>
    <d v="1899-12-30T19:28:00"/>
    <n v="101"/>
    <x v="0"/>
    <b v="0"/>
    <b v="1"/>
    <x v="4"/>
    <x v="0"/>
    <x v="2"/>
    <x v="10"/>
    <x v="2"/>
    <n v="0.1"/>
    <x v="34"/>
    <s v="All hours"/>
    <s v="Fresno, CA"/>
    <n v="36.7378"/>
    <n v="-119.7871"/>
    <d v="2024-07-11T00:00:00"/>
    <n v="0"/>
    <b v="0"/>
    <d v="2025-07-03T00:00:00"/>
    <x v="1"/>
    <x v="1"/>
  </r>
  <r>
    <b v="1"/>
    <d v="1899-12-30T13:12:00"/>
    <d v="1899-12-30T14:54:00"/>
    <n v="102"/>
    <x v="1"/>
    <b v="1"/>
    <b v="0"/>
    <x v="1"/>
    <x v="1"/>
    <x v="0"/>
    <x v="1"/>
    <x v="1"/>
    <n v="0"/>
    <x v="1"/>
    <s v="Weekdays only"/>
    <s v="Long Beach, CA"/>
    <n v="33.770099999999999"/>
    <n v="-118.19370000000001"/>
    <d v="2023-04-19T00:00:00"/>
    <n v="6"/>
    <b v="0"/>
    <d v="2025-06-08T00:00:00"/>
    <x v="1"/>
    <x v="1"/>
  </r>
  <r>
    <b v="1"/>
    <d v="1899-12-30T10:38:00"/>
    <d v="1899-12-30T11:41:00"/>
    <n v="63"/>
    <x v="1"/>
    <b v="1"/>
    <b v="1"/>
    <x v="0"/>
    <x v="1"/>
    <x v="1"/>
    <x v="4"/>
    <x v="0"/>
    <n v="0.05"/>
    <x v="11"/>
    <s v="Weekdays only"/>
    <s v="Bakersfield, CA"/>
    <n v="35.3733"/>
    <n v="-119.0187"/>
    <d v="2023-08-01T00:00:00"/>
    <n v="4"/>
    <b v="0"/>
    <d v="2025-06-14T00:00:00"/>
    <x v="0"/>
    <x v="0"/>
  </r>
  <r>
    <b v="1"/>
    <d v="1899-12-30T20:53:00"/>
    <d v="1899-12-30T21:33:00"/>
    <n v="40"/>
    <x v="0"/>
    <b v="0"/>
    <b v="1"/>
    <x v="4"/>
    <x v="1"/>
    <x v="0"/>
    <x v="1"/>
    <x v="1"/>
    <n v="0"/>
    <x v="1"/>
    <s v="Weekdays only"/>
    <s v="Sacramento, CA"/>
    <n v="38.581600000000002"/>
    <n v="-121.4944"/>
    <d v="2022-12-31T00:00:00"/>
    <n v="0"/>
    <b v="0"/>
    <d v="2025-06-02T00:00:00"/>
    <x v="3"/>
    <x v="3"/>
  </r>
  <r>
    <b v="1"/>
    <d v="1899-12-30T08:13:00"/>
    <d v="1899-12-30T09:46:00"/>
    <n v="93"/>
    <x v="0"/>
    <b v="0"/>
    <b v="1"/>
    <x v="0"/>
    <x v="1"/>
    <x v="0"/>
    <x v="1"/>
    <x v="0"/>
    <n v="0.05"/>
    <x v="7"/>
    <s v="Weekdays only"/>
    <s v="San Jose, CA"/>
    <n v="37.338200000000001"/>
    <n v="-121.88630000000001"/>
    <d v="2023-07-23T00:00:00"/>
    <n v="0"/>
    <b v="0"/>
    <d v="2025-06-13T00:00:00"/>
    <x v="3"/>
    <x v="3"/>
  </r>
  <r>
    <b v="1"/>
    <d v="1899-12-30T12:58:00"/>
    <d v="1899-12-30T15:46:00"/>
    <n v="168"/>
    <x v="0"/>
    <b v="0"/>
    <b v="0"/>
    <x v="4"/>
    <x v="2"/>
    <x v="0"/>
    <x v="2"/>
    <x v="1"/>
    <n v="0"/>
    <x v="3"/>
    <s v="Off-peak only"/>
    <s v="San Diego, CA"/>
    <n v="32.715699999999998"/>
    <n v="-117.1611"/>
    <d v="2023-10-26T00:00:00"/>
    <n v="0"/>
    <b v="0"/>
    <d v="2025-06-18T00:00:00"/>
    <x v="3"/>
    <x v="3"/>
  </r>
  <r>
    <b v="0"/>
    <d v="1899-12-30T11:02:00"/>
    <d v="1899-12-30T12:24:00"/>
    <n v="82"/>
    <x v="0"/>
    <b v="1"/>
    <b v="1"/>
    <x v="0"/>
    <x v="2"/>
    <x v="0"/>
    <x v="2"/>
    <x v="3"/>
    <n v="0.15"/>
    <x v="17"/>
    <s v="Off-peak only"/>
    <s v="Los Angeles, CA"/>
    <n v="34.052199999999999"/>
    <n v="-118.2437"/>
    <d v="2025-03-15T00:00:00"/>
    <n v="3"/>
    <b v="1"/>
    <d v="2025-07-17T00:00:00"/>
    <x v="2"/>
    <x v="2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4-05-27T00:00:00"/>
    <n v="2"/>
    <b v="1"/>
    <d v="2025-06-30T00:00:00"/>
    <x v="2"/>
    <x v="2"/>
  </r>
  <r>
    <b v="1"/>
    <d v="1899-12-30T18:58:00"/>
    <d v="1899-12-30T19:40:00"/>
    <n v="42"/>
    <x v="1"/>
    <b v="0"/>
    <b v="1"/>
    <x v="4"/>
    <x v="2"/>
    <x v="2"/>
    <x v="7"/>
    <x v="2"/>
    <n v="0.1"/>
    <x v="35"/>
    <s v="Off-peak only"/>
    <s v="Los Angeles, CA"/>
    <n v="34.052199999999999"/>
    <n v="-118.2437"/>
    <d v="2024-09-13T00:00:00"/>
    <n v="0"/>
    <b v="1"/>
    <d v="2025-07-07T00:00:00"/>
    <x v="3"/>
    <x v="3"/>
  </r>
  <r>
    <b v="1"/>
    <d v="1899-12-30T20:32:00"/>
    <d v="1899-12-30T22:20:00"/>
    <n v="108"/>
    <x v="1"/>
    <b v="0"/>
    <b v="0"/>
    <x v="3"/>
    <x v="0"/>
    <x v="2"/>
    <x v="10"/>
    <x v="1"/>
    <n v="0"/>
    <x v="16"/>
    <s v="All hours"/>
    <s v="Long Beach, CA"/>
    <n v="33.770099999999999"/>
    <n v="-118.19370000000001"/>
    <d v="2024-10-06T00:00:00"/>
    <n v="0"/>
    <b v="1"/>
    <d v="2025-07-08T00:00:00"/>
    <x v="3"/>
    <x v="3"/>
  </r>
  <r>
    <b v="1"/>
    <d v="1899-12-30T10:31:00"/>
    <d v="1899-12-30T11:48:00"/>
    <n v="77"/>
    <x v="1"/>
    <b v="1"/>
    <b v="0"/>
    <x v="0"/>
    <x v="2"/>
    <x v="1"/>
    <x v="5"/>
    <x v="0"/>
    <n v="0.05"/>
    <x v="9"/>
    <s v="Off-peak only"/>
    <s v="Anaheim, CA"/>
    <n v="33.836599999999997"/>
    <n v="-117.9143"/>
    <d v="2022-08-21T00:00:00"/>
    <n v="3"/>
    <b v="1"/>
    <d v="2025-05-25T00:00:00"/>
    <x v="3"/>
    <x v="3"/>
  </r>
  <r>
    <b v="1"/>
    <d v="1899-12-30T14:18:00"/>
    <d v="1899-12-30T15:13:00"/>
    <n v="55"/>
    <x v="1"/>
    <b v="0"/>
    <b v="1"/>
    <x v="4"/>
    <x v="3"/>
    <x v="1"/>
    <x v="11"/>
    <x v="0"/>
    <n v="0.05"/>
    <x v="36"/>
    <s v="All hours + Priority access"/>
    <s v="San Francisco, CA"/>
    <n v="37.774900000000002"/>
    <n v="-122.4194"/>
    <d v="2024-04-30T00:00:00"/>
    <n v="0"/>
    <b v="1"/>
    <d v="2025-06-29T00:00:00"/>
    <x v="2"/>
    <x v="4"/>
  </r>
  <r>
    <b v="0"/>
    <d v="1899-12-30T19:32:00"/>
    <d v="1899-12-30T20:22:00"/>
    <n v="50"/>
    <x v="1"/>
    <b v="0"/>
    <b v="0"/>
    <x v="0"/>
    <x v="0"/>
    <x v="0"/>
    <x v="0"/>
    <x v="1"/>
    <n v="0"/>
    <x v="5"/>
    <s v="All hours"/>
    <s v="San Francisco, CA"/>
    <n v="37.774900000000002"/>
    <n v="-122.4194"/>
    <d v="2022-11-15T00:00:00"/>
    <n v="0"/>
    <b v="1"/>
    <d v="2025-05-30T00:00:00"/>
    <x v="0"/>
    <x v="0"/>
  </r>
  <r>
    <b v="1"/>
    <d v="1899-12-30T10:22:00"/>
    <d v="1899-12-30T11:36:00"/>
    <n v="74"/>
    <x v="0"/>
    <b v="1"/>
    <b v="0"/>
    <x v="1"/>
    <x v="2"/>
    <x v="1"/>
    <x v="5"/>
    <x v="1"/>
    <n v="0"/>
    <x v="14"/>
    <s v="Off-peak only"/>
    <s v="Bakersfield, CA"/>
    <n v="35.3733"/>
    <n v="-119.0187"/>
    <d v="2023-08-20T00:00:00"/>
    <n v="8"/>
    <b v="0"/>
    <d v="2025-06-15T00:00:00"/>
    <x v="3"/>
    <x v="3"/>
  </r>
  <r>
    <b v="0"/>
    <d v="1899-12-30T20:55:00"/>
    <d v="1899-12-30T22:44:00"/>
    <n v="109"/>
    <x v="1"/>
    <b v="0"/>
    <b v="1"/>
    <x v="1"/>
    <x v="1"/>
    <x v="1"/>
    <x v="4"/>
    <x v="3"/>
    <n v="0.15"/>
    <x v="29"/>
    <s v="Weekdays only"/>
    <s v="San Jose, CA"/>
    <n v="37.338200000000001"/>
    <n v="-121.88630000000001"/>
    <d v="2023-02-27T00:00:00"/>
    <n v="0"/>
    <b v="1"/>
    <d v="2025-06-05T00:00:00"/>
    <x v="1"/>
    <x v="1"/>
  </r>
  <r>
    <b v="1"/>
    <d v="1899-12-30T14:27:00"/>
    <d v="1899-12-30T16:09:00"/>
    <n v="102"/>
    <x v="0"/>
    <b v="1"/>
    <b v="0"/>
    <x v="1"/>
    <x v="1"/>
    <x v="0"/>
    <x v="1"/>
    <x v="2"/>
    <n v="0.1"/>
    <x v="2"/>
    <s v="Weekdays only"/>
    <s v="San Diego, CA"/>
    <n v="32.715699999999998"/>
    <n v="-117.1611"/>
    <d v="2024-01-04T00:00:00"/>
    <n v="3"/>
    <b v="0"/>
    <d v="2025-06-22T00:00:00"/>
    <x v="1"/>
    <x v="1"/>
  </r>
  <r>
    <b v="0"/>
    <d v="1899-12-30T15:47:00"/>
    <d v="1899-12-30T16:28:00"/>
    <n v="41"/>
    <x v="1"/>
    <b v="1"/>
    <b v="1"/>
    <x v="1"/>
    <x v="2"/>
    <x v="0"/>
    <x v="2"/>
    <x v="1"/>
    <n v="0"/>
    <x v="3"/>
    <s v="Off-peak only"/>
    <s v="Bakersfield, CA"/>
    <n v="35.3733"/>
    <n v="-119.0187"/>
    <d v="2023-10-17T00:00:00"/>
    <n v="7"/>
    <b v="0"/>
    <d v="2025-06-18T00:00:00"/>
    <x v="2"/>
    <x v="4"/>
  </r>
  <r>
    <b v="0"/>
    <d v="1899-12-30T19:44:00"/>
    <d v="1899-12-30T20:26:00"/>
    <n v="42"/>
    <x v="1"/>
    <b v="1"/>
    <b v="1"/>
    <x v="0"/>
    <x v="2"/>
    <x v="0"/>
    <x v="2"/>
    <x v="1"/>
    <n v="0"/>
    <x v="3"/>
    <s v="Off-peak only"/>
    <s v="Sacramento, CA"/>
    <n v="38.581600000000002"/>
    <n v="-121.4944"/>
    <d v="2024-01-15T00:00:00"/>
    <n v="1"/>
    <b v="0"/>
    <d v="2025-06-23T00:00:00"/>
    <x v="0"/>
    <x v="0"/>
  </r>
  <r>
    <b v="0"/>
    <d v="1899-12-30T18:24:00"/>
    <d v="1899-12-30T19:13:00"/>
    <n v="49"/>
    <x v="1"/>
    <b v="0"/>
    <b v="0"/>
    <x v="1"/>
    <x v="1"/>
    <x v="2"/>
    <x v="8"/>
    <x v="3"/>
    <n v="0.15"/>
    <x v="24"/>
    <s v="Weekdays only"/>
    <s v="Long Beach, CA"/>
    <n v="33.770099999999999"/>
    <n v="-118.19370000000001"/>
    <d v="2024-11-27T00:00:00"/>
    <n v="0"/>
    <b v="0"/>
    <d v="2025-07-11T00:00:00"/>
    <x v="0"/>
    <x v="0"/>
  </r>
  <r>
    <b v="0"/>
    <d v="1899-12-30T14:54:00"/>
    <d v="1899-12-30T16:46:00"/>
    <n v="112"/>
    <x v="1"/>
    <b v="1"/>
    <b v="1"/>
    <x v="1"/>
    <x v="1"/>
    <x v="0"/>
    <x v="1"/>
    <x v="3"/>
    <n v="0.15"/>
    <x v="15"/>
    <s v="Weekdays only"/>
    <s v="Sacramento, CA"/>
    <n v="38.581600000000002"/>
    <n v="-121.4944"/>
    <d v="2023-05-15T00:00:00"/>
    <n v="8"/>
    <b v="1"/>
    <d v="2025-06-09T00:00:00"/>
    <x v="3"/>
    <x v="3"/>
  </r>
  <r>
    <b v="1"/>
    <d v="1899-12-30T12:59:00"/>
    <d v="1899-12-30T14:42:00"/>
    <n v="103"/>
    <x v="0"/>
    <b v="0"/>
    <b v="0"/>
    <x v="2"/>
    <x v="0"/>
    <x v="0"/>
    <x v="0"/>
    <x v="1"/>
    <n v="0"/>
    <x v="5"/>
    <s v="All hours"/>
    <s v="Los Angeles, CA"/>
    <n v="34.052199999999999"/>
    <n v="-118.2437"/>
    <d v="2024-08-27T00:00:00"/>
    <n v="0"/>
    <b v="1"/>
    <d v="2025-07-06T00:00:00"/>
    <x v="1"/>
    <x v="1"/>
  </r>
  <r>
    <b v="1"/>
    <d v="1899-12-30T13:41:00"/>
    <d v="1899-12-30T16:17:00"/>
    <n v="156"/>
    <x v="1"/>
    <b v="1"/>
    <b v="0"/>
    <x v="0"/>
    <x v="1"/>
    <x v="0"/>
    <x v="1"/>
    <x v="1"/>
    <n v="0"/>
    <x v="1"/>
    <s v="Weekdays only"/>
    <s v="Sacramento, CA"/>
    <n v="38.581600000000002"/>
    <n v="-121.4944"/>
    <d v="2025-05-28T00:00:00"/>
    <n v="8"/>
    <b v="0"/>
    <d v="2025-07-21T00:00:00"/>
    <x v="0"/>
    <x v="0"/>
  </r>
  <r>
    <b v="1"/>
    <d v="1899-12-30T15:06:00"/>
    <d v="1899-12-30T17:40:00"/>
    <n v="154"/>
    <x v="1"/>
    <b v="0"/>
    <b v="1"/>
    <x v="0"/>
    <x v="1"/>
    <x v="0"/>
    <x v="1"/>
    <x v="2"/>
    <n v="0.1"/>
    <x v="2"/>
    <s v="Weekdays only"/>
    <s v="Sacramento, CA"/>
    <n v="38.581600000000002"/>
    <n v="-121.4944"/>
    <d v="2023-08-05T00:00:00"/>
    <n v="0"/>
    <b v="1"/>
    <d v="2025-06-14T00:00:00"/>
    <x v="3"/>
    <x v="3"/>
  </r>
  <r>
    <b v="0"/>
    <d v="1899-12-30T17:29:00"/>
    <d v="1899-12-30T18:25:00"/>
    <n v="56"/>
    <x v="0"/>
    <b v="1"/>
    <b v="0"/>
    <x v="1"/>
    <x v="2"/>
    <x v="0"/>
    <x v="2"/>
    <x v="3"/>
    <n v="0.15"/>
    <x v="17"/>
    <s v="Off-peak only"/>
    <s v="Fresno, CA"/>
    <n v="36.7378"/>
    <n v="-119.7871"/>
    <d v="2024-12-16T00:00:00"/>
    <n v="7"/>
    <b v="0"/>
    <d v="2025-07-12T00:00:00"/>
    <x v="1"/>
    <x v="1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2-09-25T00:00:00"/>
    <n v="5"/>
    <b v="0"/>
    <d v="2025-05-27T00:00:00"/>
    <x v="1"/>
    <x v="1"/>
  </r>
  <r>
    <b v="0"/>
    <d v="1899-12-30T20:57:00"/>
    <d v="1899-12-30T22:15:00"/>
    <n v="78"/>
    <x v="1"/>
    <b v="1"/>
    <b v="0"/>
    <x v="1"/>
    <x v="1"/>
    <x v="0"/>
    <x v="1"/>
    <x v="3"/>
    <n v="0.15"/>
    <x v="15"/>
    <s v="Weekdays only"/>
    <s v="Sacramento, CA"/>
    <n v="38.581600000000002"/>
    <n v="-121.4944"/>
    <d v="2022-09-11T00:00:00"/>
    <n v="4"/>
    <b v="0"/>
    <d v="2025-05-26T00:00:00"/>
    <x v="1"/>
    <x v="1"/>
  </r>
  <r>
    <b v="0"/>
    <d v="1899-12-30T13:10:00"/>
    <d v="1899-12-30T15:15:00"/>
    <n v="125"/>
    <x v="1"/>
    <b v="0"/>
    <b v="1"/>
    <x v="0"/>
    <x v="0"/>
    <x v="0"/>
    <x v="0"/>
    <x v="1"/>
    <n v="0"/>
    <x v="5"/>
    <s v="All hours"/>
    <s v="Bakersfield, CA"/>
    <n v="35.3733"/>
    <n v="-119.0187"/>
    <d v="2022-10-22T00:00:00"/>
    <n v="0"/>
    <b v="1"/>
    <d v="2025-05-29T00:00:00"/>
    <x v="0"/>
    <x v="0"/>
  </r>
  <r>
    <b v="1"/>
    <d v="1899-12-30T13:08:00"/>
    <d v="1899-12-30T14:35:00"/>
    <n v="87"/>
    <x v="1"/>
    <b v="1"/>
    <b v="1"/>
    <x v="0"/>
    <x v="1"/>
    <x v="1"/>
    <x v="4"/>
    <x v="3"/>
    <n v="0.15"/>
    <x v="29"/>
    <s v="Weekdays only"/>
    <s v="Sacramento, CA"/>
    <n v="38.581600000000002"/>
    <n v="-121.4944"/>
    <d v="2024-05-24T00:00:00"/>
    <n v="2"/>
    <b v="1"/>
    <d v="2025-06-30T00:00:00"/>
    <x v="3"/>
    <x v="3"/>
  </r>
  <r>
    <b v="0"/>
    <d v="1899-12-30T13:53:00"/>
    <d v="1899-12-30T14:33:00"/>
    <n v="40"/>
    <x v="0"/>
    <b v="0"/>
    <b v="0"/>
    <x v="4"/>
    <x v="0"/>
    <x v="0"/>
    <x v="0"/>
    <x v="1"/>
    <n v="0"/>
    <x v="5"/>
    <s v="All hours"/>
    <s v="Bakersfield, CA"/>
    <n v="35.3733"/>
    <n v="-119.0187"/>
    <d v="2025-06-06T00:00:00"/>
    <n v="0"/>
    <b v="1"/>
    <d v="2025-07-22T00:00:00"/>
    <x v="1"/>
    <x v="1"/>
  </r>
  <r>
    <b v="0"/>
    <d v="1899-12-30T10:55:00"/>
    <d v="1899-12-30T13:51:00"/>
    <n v="176"/>
    <x v="1"/>
    <b v="0"/>
    <b v="1"/>
    <x v="4"/>
    <x v="0"/>
    <x v="1"/>
    <x v="6"/>
    <x v="1"/>
    <n v="0"/>
    <x v="12"/>
    <s v="All hours"/>
    <s v="Sacramento, CA"/>
    <n v="38.581600000000002"/>
    <n v="-121.4944"/>
    <d v="2022-10-08T00:00:00"/>
    <n v="0"/>
    <b v="1"/>
    <d v="2025-05-28T00:00:00"/>
    <x v="3"/>
    <x v="3"/>
  </r>
  <r>
    <b v="0"/>
    <d v="1899-12-30T16:21:00"/>
    <d v="1899-12-30T18:38:00"/>
    <n v="137"/>
    <x v="0"/>
    <b v="1"/>
    <b v="0"/>
    <x v="0"/>
    <x v="3"/>
    <x v="0"/>
    <x v="3"/>
    <x v="0"/>
    <n v="0.05"/>
    <x v="23"/>
    <s v="All hours + Priority access"/>
    <s v="Fresno, CA"/>
    <n v="36.7378"/>
    <n v="-119.7871"/>
    <d v="2024-03-23T00:00:00"/>
    <n v="7"/>
    <b v="1"/>
    <d v="2025-06-27T00:00:00"/>
    <x v="0"/>
    <x v="0"/>
  </r>
  <r>
    <b v="0"/>
    <d v="1899-12-30T18:15:00"/>
    <d v="1899-12-30T20:59:00"/>
    <n v="164"/>
    <x v="0"/>
    <b v="0"/>
    <b v="0"/>
    <x v="1"/>
    <x v="2"/>
    <x v="1"/>
    <x v="5"/>
    <x v="3"/>
    <n v="0.15"/>
    <x v="13"/>
    <s v="Off-peak only"/>
    <s v="Sacramento, CA"/>
    <n v="38.581600000000002"/>
    <n v="-121.4944"/>
    <d v="2022-08-28T00:00:00"/>
    <n v="0"/>
    <b v="1"/>
    <d v="2025-05-26T00:00:00"/>
    <x v="2"/>
    <x v="2"/>
  </r>
  <r>
    <b v="0"/>
    <d v="1899-12-30T15:32:00"/>
    <d v="1899-12-30T16:25:00"/>
    <n v="53"/>
    <x v="1"/>
    <b v="1"/>
    <b v="1"/>
    <x v="0"/>
    <x v="1"/>
    <x v="0"/>
    <x v="1"/>
    <x v="2"/>
    <n v="0.1"/>
    <x v="2"/>
    <s v="Weekdays only"/>
    <s v="Fresno, CA"/>
    <n v="36.7378"/>
    <n v="-119.7871"/>
    <d v="2022-08-31T00:00:00"/>
    <n v="4"/>
    <b v="0"/>
    <d v="2025-05-26T00:00:00"/>
    <x v="0"/>
    <x v="0"/>
  </r>
  <r>
    <b v="1"/>
    <d v="1899-12-30T17:05:00"/>
    <d v="1899-12-30T19:39:00"/>
    <n v="154"/>
    <x v="0"/>
    <b v="1"/>
    <b v="0"/>
    <x v="0"/>
    <x v="1"/>
    <x v="0"/>
    <x v="1"/>
    <x v="1"/>
    <n v="0"/>
    <x v="1"/>
    <s v="Weekdays only"/>
    <s v="Fresno, CA"/>
    <n v="36.7378"/>
    <n v="-119.7871"/>
    <d v="2022-12-27T00:00:00"/>
    <n v="6"/>
    <b v="0"/>
    <d v="2025-06-01T00:00:00"/>
    <x v="0"/>
    <x v="0"/>
  </r>
  <r>
    <b v="1"/>
    <d v="1899-12-30T14:58:00"/>
    <d v="1899-12-30T16:42:00"/>
    <n v="104"/>
    <x v="0"/>
    <b v="0"/>
    <b v="1"/>
    <x v="0"/>
    <x v="0"/>
    <x v="1"/>
    <x v="6"/>
    <x v="1"/>
    <n v="0"/>
    <x v="12"/>
    <s v="All hours"/>
    <s v="Fresno, CA"/>
    <n v="36.7378"/>
    <n v="-119.7871"/>
    <d v="2024-08-13T00:00:00"/>
    <n v="0"/>
    <b v="1"/>
    <d v="2025-07-05T00:00:00"/>
    <x v="0"/>
    <x v="0"/>
  </r>
  <r>
    <b v="1"/>
    <d v="1899-12-30T13:47:00"/>
    <d v="1899-12-30T15:04:00"/>
    <n v="77"/>
    <x v="1"/>
    <b v="0"/>
    <b v="0"/>
    <x v="4"/>
    <x v="0"/>
    <x v="0"/>
    <x v="0"/>
    <x v="0"/>
    <n v="0.05"/>
    <x v="0"/>
    <s v="All hours"/>
    <s v="Los Angeles, CA"/>
    <n v="34.052199999999999"/>
    <n v="-118.2437"/>
    <d v="2024-05-08T00:00:00"/>
    <n v="0"/>
    <b v="1"/>
    <d v="2025-06-29T00:00:00"/>
    <x v="2"/>
    <x v="4"/>
  </r>
  <r>
    <b v="0"/>
    <d v="1899-12-30T11:49:00"/>
    <d v="1899-12-30T14:25:00"/>
    <n v="156"/>
    <x v="1"/>
    <b v="1"/>
    <b v="0"/>
    <x v="0"/>
    <x v="0"/>
    <x v="1"/>
    <x v="6"/>
    <x v="1"/>
    <n v="0"/>
    <x v="12"/>
    <s v="All hours"/>
    <s v="San Diego, CA"/>
    <n v="32.715699999999998"/>
    <n v="-117.1611"/>
    <d v="2022-12-29T00:00:00"/>
    <n v="4"/>
    <b v="1"/>
    <d v="2025-06-01T00:00:00"/>
    <x v="3"/>
    <x v="3"/>
  </r>
  <r>
    <b v="0"/>
    <d v="1899-12-30T15:32:00"/>
    <d v="1899-12-30T16:25:00"/>
    <n v="53"/>
    <x v="1"/>
    <b v="1"/>
    <b v="1"/>
    <x v="0"/>
    <x v="1"/>
    <x v="0"/>
    <x v="1"/>
    <x v="2"/>
    <n v="0.1"/>
    <x v="2"/>
    <s v="Weekdays only"/>
    <s v="Fresno, CA"/>
    <n v="36.7378"/>
    <n v="-119.7871"/>
    <d v="2024-07-20T00:00:00"/>
    <n v="6"/>
    <b v="1"/>
    <d v="2025-07-03T00:00:00"/>
    <x v="0"/>
    <x v="0"/>
  </r>
  <r>
    <b v="1"/>
    <d v="1899-12-30T16:21:00"/>
    <d v="1899-12-30T17:34:00"/>
    <n v="73"/>
    <x v="1"/>
    <b v="1"/>
    <b v="0"/>
    <x v="4"/>
    <x v="0"/>
    <x v="2"/>
    <x v="10"/>
    <x v="3"/>
    <n v="0.15"/>
    <x v="25"/>
    <s v="All hours"/>
    <s v="Anaheim, CA"/>
    <n v="33.836599999999997"/>
    <n v="-117.9143"/>
    <d v="2024-12-24T00:00:00"/>
    <n v="7"/>
    <b v="1"/>
    <d v="2025-07-12T00:00:00"/>
    <x v="1"/>
    <x v="1"/>
  </r>
  <r>
    <b v="0"/>
    <d v="1899-12-30T14:33:00"/>
    <d v="1899-12-30T15:10:00"/>
    <n v="37"/>
    <x v="0"/>
    <b v="0"/>
    <b v="0"/>
    <x v="1"/>
    <x v="2"/>
    <x v="0"/>
    <x v="2"/>
    <x v="0"/>
    <n v="0.05"/>
    <x v="18"/>
    <s v="Off-peak only"/>
    <s v="Sacramento, CA"/>
    <n v="38.581600000000002"/>
    <n v="-121.4944"/>
    <d v="2023-11-08T00:00:00"/>
    <n v="0"/>
    <b v="0"/>
    <d v="2025-06-19T00:00:00"/>
    <x v="1"/>
    <x v="1"/>
  </r>
  <r>
    <b v="1"/>
    <d v="1899-12-30T17:11:00"/>
    <d v="1899-12-30T18:02:00"/>
    <n v="51"/>
    <x v="0"/>
    <b v="1"/>
    <b v="1"/>
    <x v="4"/>
    <x v="0"/>
    <x v="1"/>
    <x v="6"/>
    <x v="3"/>
    <n v="0.15"/>
    <x v="28"/>
    <s v="All hours"/>
    <s v="Long Beach, CA"/>
    <n v="33.770099999999999"/>
    <n v="-118.19370000000001"/>
    <d v="2022-09-29T00:00:00"/>
    <n v="8"/>
    <b v="1"/>
    <d v="2025-05-27T00:00:00"/>
    <x v="3"/>
    <x v="3"/>
  </r>
  <r>
    <b v="0"/>
    <d v="1899-12-30T11:07:00"/>
    <d v="1899-12-30T12:43:00"/>
    <n v="96"/>
    <x v="1"/>
    <b v="1"/>
    <b v="1"/>
    <x v="0"/>
    <x v="1"/>
    <x v="0"/>
    <x v="1"/>
    <x v="1"/>
    <n v="0"/>
    <x v="1"/>
    <s v="Weekdays only"/>
    <s v="San Diego, CA"/>
    <n v="32.715699999999998"/>
    <n v="-117.1611"/>
    <d v="2023-06-12T00:00:00"/>
    <n v="8"/>
    <b v="0"/>
    <d v="2025-06-11T00:00:00"/>
    <x v="0"/>
    <x v="0"/>
  </r>
  <r>
    <b v="0"/>
    <d v="1899-12-30T13:32:00"/>
    <d v="1899-12-30T14:56:00"/>
    <n v="84"/>
    <x v="0"/>
    <b v="1"/>
    <b v="1"/>
    <x v="4"/>
    <x v="2"/>
    <x v="0"/>
    <x v="2"/>
    <x v="2"/>
    <n v="0.1"/>
    <x v="6"/>
    <s v="Off-peak only"/>
    <s v="Anaheim, CA"/>
    <n v="33.836599999999997"/>
    <n v="-117.9143"/>
    <d v="2023-10-24T00:00:00"/>
    <n v="5"/>
    <b v="0"/>
    <d v="2025-06-18T00:00:00"/>
    <x v="0"/>
    <x v="0"/>
  </r>
  <r>
    <b v="1"/>
    <d v="1899-12-30T12:45:00"/>
    <d v="1899-12-30T14:42:00"/>
    <n v="117"/>
    <x v="1"/>
    <b v="1"/>
    <b v="0"/>
    <x v="1"/>
    <x v="0"/>
    <x v="0"/>
    <x v="0"/>
    <x v="1"/>
    <n v="0"/>
    <x v="5"/>
    <s v="All hours"/>
    <s v="Oakland, CA"/>
    <n v="37.804400000000001"/>
    <n v="-122.27119999999999"/>
    <d v="2025-03-11T00:00:00"/>
    <n v="7"/>
    <b v="1"/>
    <d v="2025-07-17T00:00:00"/>
    <x v="2"/>
    <x v="2"/>
  </r>
  <r>
    <b v="1"/>
    <d v="1899-12-30T12:26:00"/>
    <d v="1899-12-30T13:45:00"/>
    <n v="79"/>
    <x v="0"/>
    <b v="0"/>
    <b v="0"/>
    <x v="4"/>
    <x v="2"/>
    <x v="0"/>
    <x v="2"/>
    <x v="1"/>
    <n v="0"/>
    <x v="3"/>
    <s v="Off-peak only"/>
    <s v="Fresno, CA"/>
    <n v="36.7378"/>
    <n v="-119.7871"/>
    <d v="2023-09-07T00:00:00"/>
    <n v="0"/>
    <b v="1"/>
    <d v="2025-06-16T00:00:00"/>
    <x v="3"/>
    <x v="3"/>
  </r>
  <r>
    <b v="0"/>
    <d v="1899-12-30T10:41:00"/>
    <d v="1899-12-30T11:38:00"/>
    <n v="57"/>
    <x v="1"/>
    <b v="1"/>
    <b v="1"/>
    <x v="4"/>
    <x v="1"/>
    <x v="0"/>
    <x v="1"/>
    <x v="3"/>
    <n v="0.15"/>
    <x v="15"/>
    <s v="Weekdays only"/>
    <s v="Los Angeles, CA"/>
    <n v="34.052199999999999"/>
    <n v="-118.2437"/>
    <d v="2022-08-03T00:00:00"/>
    <n v="6"/>
    <b v="0"/>
    <d v="2025-05-24T00:00:00"/>
    <x v="3"/>
    <x v="3"/>
  </r>
  <r>
    <b v="1"/>
    <d v="1899-12-30T13:40:00"/>
    <d v="1899-12-30T16:26:00"/>
    <n v="166"/>
    <x v="1"/>
    <b v="1"/>
    <b v="1"/>
    <x v="3"/>
    <x v="0"/>
    <x v="2"/>
    <x v="10"/>
    <x v="2"/>
    <n v="0.1"/>
    <x v="34"/>
    <s v="All hours"/>
    <s v="Los Angeles, CA"/>
    <n v="34.052199999999999"/>
    <n v="-118.2437"/>
    <d v="2025-01-24T00:00:00"/>
    <n v="4"/>
    <b v="1"/>
    <d v="2025-07-14T00:00:00"/>
    <x v="0"/>
    <x v="0"/>
  </r>
  <r>
    <b v="1"/>
    <d v="1899-12-30T16:36:00"/>
    <d v="1899-12-30T17:32:00"/>
    <n v="56"/>
    <x v="1"/>
    <b v="0"/>
    <b v="0"/>
    <x v="4"/>
    <x v="0"/>
    <x v="0"/>
    <x v="0"/>
    <x v="2"/>
    <n v="0.1"/>
    <x v="16"/>
    <s v="All hours"/>
    <s v="Los Angeles, CA"/>
    <n v="34.052199999999999"/>
    <n v="-118.2437"/>
    <d v="2023-12-18T00:00:00"/>
    <n v="0"/>
    <b v="1"/>
    <d v="2025-06-21T00:00:00"/>
    <x v="2"/>
    <x v="4"/>
  </r>
  <r>
    <b v="1"/>
    <d v="1899-12-30T15:44:00"/>
    <d v="1899-12-30T17:05:00"/>
    <n v="81"/>
    <x v="0"/>
    <b v="1"/>
    <b v="0"/>
    <x v="4"/>
    <x v="1"/>
    <x v="2"/>
    <x v="8"/>
    <x v="1"/>
    <n v="0"/>
    <x v="2"/>
    <s v="Weekdays only"/>
    <s v="Fresno, CA"/>
    <n v="36.7378"/>
    <n v="-119.7871"/>
    <d v="2022-12-01T00:00:00"/>
    <n v="4"/>
    <b v="0"/>
    <d v="2025-05-31T00:00:00"/>
    <x v="3"/>
    <x v="3"/>
  </r>
  <r>
    <b v="0"/>
    <d v="1899-12-30T11:56:00"/>
    <d v="1899-12-30T12:35:00"/>
    <n v="39"/>
    <x v="0"/>
    <b v="1"/>
    <b v="1"/>
    <x v="4"/>
    <x v="0"/>
    <x v="1"/>
    <x v="6"/>
    <x v="2"/>
    <n v="0.1"/>
    <x v="30"/>
    <s v="All hours"/>
    <s v="Fresno, CA"/>
    <n v="36.7378"/>
    <n v="-119.7871"/>
    <d v="2023-04-26T00:00:00"/>
    <n v="6"/>
    <b v="0"/>
    <d v="2025-06-08T00:00:00"/>
    <x v="0"/>
    <x v="0"/>
  </r>
  <r>
    <b v="0"/>
    <d v="1899-12-30T08:55:00"/>
    <d v="1899-12-30T10:23:00"/>
    <n v="88"/>
    <x v="1"/>
    <b v="1"/>
    <b v="1"/>
    <x v="4"/>
    <x v="1"/>
    <x v="0"/>
    <x v="1"/>
    <x v="1"/>
    <n v="0"/>
    <x v="1"/>
    <s v="Weekdays only"/>
    <s v="San Francisco, CA"/>
    <n v="37.774900000000002"/>
    <n v="-122.4194"/>
    <d v="2023-06-11T00:00:00"/>
    <n v="3"/>
    <b v="0"/>
    <d v="2025-06-11T00:00:00"/>
    <x v="3"/>
    <x v="3"/>
  </r>
  <r>
    <b v="1"/>
    <d v="1899-12-30T20:31:00"/>
    <d v="1899-12-30T21:08:00"/>
    <n v="37"/>
    <x v="0"/>
    <b v="1"/>
    <b v="1"/>
    <x v="0"/>
    <x v="0"/>
    <x v="1"/>
    <x v="6"/>
    <x v="2"/>
    <n v="0.1"/>
    <x v="30"/>
    <s v="All hours"/>
    <s v="Bakersfield, CA"/>
    <n v="35.3733"/>
    <n v="-119.0187"/>
    <d v="2023-06-05T00:00:00"/>
    <n v="5"/>
    <b v="0"/>
    <d v="2025-06-10T00:00:00"/>
    <x v="3"/>
    <x v="3"/>
  </r>
  <r>
    <b v="1"/>
    <d v="1899-12-30T13:39:00"/>
    <d v="1899-12-30T14:34:00"/>
    <n v="55"/>
    <x v="0"/>
    <b v="1"/>
    <b v="0"/>
    <x v="0"/>
    <x v="0"/>
    <x v="0"/>
    <x v="0"/>
    <x v="0"/>
    <n v="0.05"/>
    <x v="0"/>
    <s v="All hours"/>
    <s v="San Diego, CA"/>
    <n v="32.715699999999998"/>
    <n v="-117.1611"/>
    <d v="2024-06-05T00:00:00"/>
    <n v="1"/>
    <b v="1"/>
    <d v="2025-07-01T00:00:00"/>
    <x v="1"/>
    <x v="1"/>
  </r>
  <r>
    <b v="0"/>
    <d v="1899-12-30T20:46:00"/>
    <d v="1899-12-30T22:09:00"/>
    <n v="83"/>
    <x v="1"/>
    <b v="1"/>
    <b v="1"/>
    <x v="4"/>
    <x v="0"/>
    <x v="1"/>
    <x v="6"/>
    <x v="3"/>
    <n v="0.15"/>
    <x v="28"/>
    <s v="All hours"/>
    <s v="Bakersfield, CA"/>
    <n v="35.3733"/>
    <n v="-119.0187"/>
    <d v="2024-08-14T00:00:00"/>
    <n v="8"/>
    <b v="0"/>
    <d v="2025-07-05T00:00:00"/>
    <x v="0"/>
    <x v="0"/>
  </r>
  <r>
    <b v="1"/>
    <d v="1899-12-30T11:56:00"/>
    <d v="1899-12-30T14:13:00"/>
    <n v="137"/>
    <x v="0"/>
    <b v="1"/>
    <b v="1"/>
    <x v="4"/>
    <x v="0"/>
    <x v="0"/>
    <x v="0"/>
    <x v="1"/>
    <n v="0"/>
    <x v="5"/>
    <s v="All hours"/>
    <s v="Long Beach, CA"/>
    <n v="33.770099999999999"/>
    <n v="-118.19370000000001"/>
    <d v="2023-02-12T00:00:00"/>
    <n v="2"/>
    <b v="1"/>
    <d v="2025-06-04T00:00:00"/>
    <x v="0"/>
    <x v="0"/>
  </r>
  <r>
    <b v="0"/>
    <d v="1899-12-30T16:33:00"/>
    <d v="1899-12-30T17:11:00"/>
    <n v="38"/>
    <x v="0"/>
    <b v="0"/>
    <b v="1"/>
    <x v="0"/>
    <x v="0"/>
    <x v="1"/>
    <x v="6"/>
    <x v="0"/>
    <n v="0.05"/>
    <x v="10"/>
    <s v="All hours"/>
    <s v="San Diego, CA"/>
    <n v="32.715699999999998"/>
    <n v="-117.1611"/>
    <d v="2023-02-11T00:00:00"/>
    <n v="0"/>
    <b v="0"/>
    <d v="2025-06-04T00:00:00"/>
    <x v="3"/>
    <x v="3"/>
  </r>
  <r>
    <b v="1"/>
    <d v="1899-12-30T08:53:00"/>
    <d v="1899-12-30T11:11:00"/>
    <n v="138"/>
    <x v="0"/>
    <b v="1"/>
    <b v="1"/>
    <x v="0"/>
    <x v="2"/>
    <x v="0"/>
    <x v="2"/>
    <x v="0"/>
    <n v="0.05"/>
    <x v="18"/>
    <s v="Off-peak only"/>
    <s v="Fresno, CA"/>
    <n v="36.7378"/>
    <n v="-119.7871"/>
    <d v="2022-12-12T00:00:00"/>
    <n v="4"/>
    <b v="0"/>
    <d v="2025-05-31T00:00:00"/>
    <x v="3"/>
    <x v="3"/>
  </r>
  <r>
    <b v="0"/>
    <d v="1899-12-30T17:12:00"/>
    <d v="1899-12-30T18:19:00"/>
    <n v="67"/>
    <x v="0"/>
    <b v="0"/>
    <b v="1"/>
    <x v="0"/>
    <x v="2"/>
    <x v="1"/>
    <x v="5"/>
    <x v="1"/>
    <n v="0"/>
    <x v="14"/>
    <s v="Off-peak only"/>
    <s v="San Diego, CA"/>
    <n v="32.715699999999998"/>
    <n v="-117.1611"/>
    <d v="2022-10-24T00:00:00"/>
    <n v="0"/>
    <b v="0"/>
    <d v="2025-05-29T00:00:00"/>
    <x v="3"/>
    <x v="3"/>
  </r>
  <r>
    <b v="1"/>
    <d v="1899-12-30T19:04:00"/>
    <d v="1899-12-30T20:02:00"/>
    <n v="58"/>
    <x v="1"/>
    <b v="0"/>
    <b v="1"/>
    <x v="0"/>
    <x v="2"/>
    <x v="1"/>
    <x v="5"/>
    <x v="1"/>
    <n v="0"/>
    <x v="14"/>
    <s v="Off-peak only"/>
    <s v="Sacramento, CA"/>
    <n v="38.581600000000002"/>
    <n v="-121.4944"/>
    <d v="2023-12-26T00:00:00"/>
    <n v="0"/>
    <b v="0"/>
    <d v="2025-06-22T00:00:00"/>
    <x v="1"/>
    <x v="1"/>
  </r>
  <r>
    <b v="0"/>
    <d v="1899-12-30T17:13:00"/>
    <d v="1899-12-30T18:24:00"/>
    <n v="71"/>
    <x v="0"/>
    <b v="0"/>
    <b v="1"/>
    <x v="2"/>
    <x v="1"/>
    <x v="1"/>
    <x v="4"/>
    <x v="0"/>
    <n v="0.05"/>
    <x v="11"/>
    <s v="Weekdays only"/>
    <s v="San Diego, CA"/>
    <n v="32.715699999999998"/>
    <n v="-117.1611"/>
    <d v="2024-01-05T00:00:00"/>
    <n v="0"/>
    <b v="0"/>
    <d v="2025-06-22T00:00:00"/>
    <x v="3"/>
    <x v="3"/>
  </r>
  <r>
    <b v="1"/>
    <d v="1899-12-30T18:22:00"/>
    <d v="1899-12-30T21:20:00"/>
    <n v="178"/>
    <x v="1"/>
    <b v="0"/>
    <b v="1"/>
    <x v="0"/>
    <x v="1"/>
    <x v="1"/>
    <x v="4"/>
    <x v="0"/>
    <n v="0.05"/>
    <x v="11"/>
    <s v="Weekdays only"/>
    <s v="Los Angeles, CA"/>
    <n v="34.052199999999999"/>
    <n v="-118.2437"/>
    <d v="2023-02-23T00:00:00"/>
    <n v="0"/>
    <b v="1"/>
    <d v="2025-06-05T00:00:00"/>
    <x v="3"/>
    <x v="3"/>
  </r>
  <r>
    <b v="0"/>
    <d v="1899-12-30T17:30:00"/>
    <d v="1899-12-30T20:15:00"/>
    <n v="165"/>
    <x v="1"/>
    <b v="0"/>
    <b v="1"/>
    <x v="4"/>
    <x v="1"/>
    <x v="0"/>
    <x v="1"/>
    <x v="0"/>
    <n v="0.05"/>
    <x v="7"/>
    <s v="Weekdays only"/>
    <s v="Fresno, CA"/>
    <n v="36.7378"/>
    <n v="-119.7871"/>
    <d v="2023-07-31T00:00:00"/>
    <n v="0"/>
    <b v="0"/>
    <d v="2025-06-14T00:00:00"/>
    <x v="0"/>
    <x v="0"/>
  </r>
  <r>
    <b v="0"/>
    <d v="1899-12-30T11:25:00"/>
    <d v="1899-12-30T12:56:00"/>
    <n v="91"/>
    <x v="1"/>
    <b v="0"/>
    <b v="1"/>
    <x v="4"/>
    <x v="1"/>
    <x v="0"/>
    <x v="1"/>
    <x v="3"/>
    <n v="0.15"/>
    <x v="15"/>
    <s v="Weekdays only"/>
    <s v="Fresno, CA"/>
    <n v="36.7378"/>
    <n v="-119.7871"/>
    <d v="2023-06-06T00:00:00"/>
    <n v="0"/>
    <b v="0"/>
    <d v="2025-06-10T00:00:00"/>
    <x v="3"/>
    <x v="3"/>
  </r>
  <r>
    <b v="0"/>
    <d v="1899-12-30T20:23:00"/>
    <d v="1899-12-30T21:52:00"/>
    <n v="89"/>
    <x v="1"/>
    <b v="0"/>
    <b v="0"/>
    <x v="0"/>
    <x v="1"/>
    <x v="0"/>
    <x v="1"/>
    <x v="1"/>
    <n v="0"/>
    <x v="1"/>
    <s v="Weekdays only"/>
    <s v="San Diego, CA"/>
    <n v="32.715699999999998"/>
    <n v="-117.1611"/>
    <d v="2023-02-26T00:00:00"/>
    <n v="0"/>
    <b v="1"/>
    <d v="2025-06-05T00:00:00"/>
    <x v="2"/>
    <x v="2"/>
  </r>
  <r>
    <b v="1"/>
    <d v="1899-12-30T16:36:00"/>
    <d v="1899-12-30T17:42:00"/>
    <n v="66"/>
    <x v="1"/>
    <b v="0"/>
    <b v="0"/>
    <x v="4"/>
    <x v="0"/>
    <x v="0"/>
    <x v="0"/>
    <x v="3"/>
    <n v="0.15"/>
    <x v="27"/>
    <s v="All hours"/>
    <s v="Bakersfield, CA"/>
    <n v="35.3733"/>
    <n v="-119.0187"/>
    <d v="2022-11-18T00:00:00"/>
    <n v="0"/>
    <b v="1"/>
    <d v="2025-05-30T00:00:00"/>
    <x v="1"/>
    <x v="1"/>
  </r>
  <r>
    <b v="0"/>
    <d v="1899-12-30T10:32:00"/>
    <d v="1899-12-30T11:09:00"/>
    <n v="37"/>
    <x v="0"/>
    <b v="0"/>
    <b v="1"/>
    <x v="4"/>
    <x v="0"/>
    <x v="0"/>
    <x v="0"/>
    <x v="3"/>
    <n v="0.15"/>
    <x v="27"/>
    <s v="All hours"/>
    <s v="San Francisco, CA"/>
    <n v="37.774900000000002"/>
    <n v="-122.4194"/>
    <d v="2024-06-28T00:00:00"/>
    <n v="0"/>
    <b v="0"/>
    <d v="2025-07-02T00:00:00"/>
    <x v="3"/>
    <x v="3"/>
  </r>
  <r>
    <b v="1"/>
    <d v="1899-12-30T17:52:00"/>
    <d v="1899-12-30T20:41:00"/>
    <n v="169"/>
    <x v="0"/>
    <b v="0"/>
    <b v="1"/>
    <x v="0"/>
    <x v="2"/>
    <x v="2"/>
    <x v="7"/>
    <x v="3"/>
    <n v="0.15"/>
    <x v="37"/>
    <s v="Off-peak only"/>
    <s v="Fresno, CA"/>
    <n v="36.7378"/>
    <n v="-119.7871"/>
    <d v="2024-05-19T00:00:00"/>
    <n v="0"/>
    <b v="1"/>
    <d v="2025-06-30T00:00:00"/>
    <x v="3"/>
    <x v="3"/>
  </r>
  <r>
    <b v="0"/>
    <d v="1899-12-30T13:42:00"/>
    <d v="1899-12-30T15:54:00"/>
    <n v="132"/>
    <x v="0"/>
    <b v="0"/>
    <b v="0"/>
    <x v="1"/>
    <x v="0"/>
    <x v="0"/>
    <x v="0"/>
    <x v="1"/>
    <n v="0"/>
    <x v="5"/>
    <s v="All hours"/>
    <s v="Anaheim, CA"/>
    <n v="33.836599999999997"/>
    <n v="-117.9143"/>
    <d v="2025-03-14T00:00:00"/>
    <n v="0"/>
    <b v="1"/>
    <d v="2025-07-17T00:00:00"/>
    <x v="0"/>
    <x v="0"/>
  </r>
  <r>
    <b v="1"/>
    <d v="1899-12-30T10:23:00"/>
    <d v="1899-12-30T12:01:00"/>
    <n v="98"/>
    <x v="0"/>
    <b v="1"/>
    <b v="1"/>
    <x v="0"/>
    <x v="1"/>
    <x v="0"/>
    <x v="1"/>
    <x v="3"/>
    <n v="0.15"/>
    <x v="15"/>
    <s v="Weekdays only"/>
    <s v="Sacramento, CA"/>
    <n v="38.581600000000002"/>
    <n v="-121.4944"/>
    <d v="2023-10-16T00:00:00"/>
    <n v="2"/>
    <b v="0"/>
    <d v="2025-06-18T00:00:00"/>
    <x v="0"/>
    <x v="0"/>
  </r>
  <r>
    <b v="0"/>
    <d v="1899-12-30T20:33:00"/>
    <d v="1899-12-30T22:56:00"/>
    <n v="143"/>
    <x v="1"/>
    <b v="0"/>
    <b v="0"/>
    <x v="4"/>
    <x v="2"/>
    <x v="1"/>
    <x v="5"/>
    <x v="1"/>
    <n v="0"/>
    <x v="14"/>
    <s v="Off-peak only"/>
    <s v="San Francisco, CA"/>
    <n v="37.774900000000002"/>
    <n v="-122.4194"/>
    <d v="2025-05-15T00:00:00"/>
    <n v="0"/>
    <b v="0"/>
    <d v="2025-07-20T00:00:00"/>
    <x v="1"/>
    <x v="1"/>
  </r>
  <r>
    <b v="0"/>
    <d v="1899-12-30T18:52:00"/>
    <d v="1899-12-30T20:11:00"/>
    <n v="79"/>
    <x v="1"/>
    <b v="1"/>
    <b v="0"/>
    <x v="4"/>
    <x v="1"/>
    <x v="0"/>
    <x v="1"/>
    <x v="1"/>
    <n v="0"/>
    <x v="1"/>
    <s v="Weekdays only"/>
    <s v="San Jose, CA"/>
    <n v="37.338200000000001"/>
    <n v="-121.88630000000001"/>
    <d v="2024-02-13T00:00:00"/>
    <n v="1"/>
    <b v="0"/>
    <d v="2025-06-25T00:00:00"/>
    <x v="0"/>
    <x v="0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3-11-23T00:00:00"/>
    <n v="7"/>
    <b v="1"/>
    <d v="2025-06-20T00:00:00"/>
    <x v="3"/>
    <x v="3"/>
  </r>
  <r>
    <b v="0"/>
    <d v="1899-12-30T18:39:00"/>
    <d v="1899-12-30T20:06:00"/>
    <n v="87"/>
    <x v="0"/>
    <b v="1"/>
    <b v="1"/>
    <x v="0"/>
    <x v="0"/>
    <x v="0"/>
    <x v="0"/>
    <x v="1"/>
    <n v="0"/>
    <x v="5"/>
    <s v="All hours"/>
    <s v="Oakland, CA"/>
    <n v="37.804400000000001"/>
    <n v="-122.27119999999999"/>
    <d v="2024-08-21T00:00:00"/>
    <n v="2"/>
    <b v="0"/>
    <d v="2025-07-05T00:00:00"/>
    <x v="2"/>
    <x v="2"/>
  </r>
  <r>
    <b v="1"/>
    <d v="1899-12-30T10:17:00"/>
    <d v="1899-12-30T12:00:00"/>
    <n v="103"/>
    <x v="0"/>
    <b v="1"/>
    <b v="0"/>
    <x v="4"/>
    <x v="3"/>
    <x v="1"/>
    <x v="11"/>
    <x v="1"/>
    <n v="0"/>
    <x v="38"/>
    <s v="All hours + Priority access"/>
    <s v="Long Beach, CA"/>
    <n v="33.770099999999999"/>
    <n v="-118.19370000000001"/>
    <d v="2023-10-02T00:00:00"/>
    <n v="1"/>
    <b v="1"/>
    <d v="2025-06-17T00:00:00"/>
    <x v="0"/>
    <x v="0"/>
  </r>
  <r>
    <b v="0"/>
    <d v="1899-12-30T12:12:00"/>
    <d v="1899-12-30T13:08:00"/>
    <n v="56"/>
    <x v="1"/>
    <b v="1"/>
    <b v="0"/>
    <x v="4"/>
    <x v="1"/>
    <x v="0"/>
    <x v="1"/>
    <x v="2"/>
    <n v="0.1"/>
    <x v="2"/>
    <s v="Weekdays only"/>
    <s v="Long Beach, CA"/>
    <n v="33.770099999999999"/>
    <n v="-118.19370000000001"/>
    <d v="2025-05-21T00:00:00"/>
    <n v="8"/>
    <b v="1"/>
    <d v="2025-07-21T00:00:00"/>
    <x v="0"/>
    <x v="0"/>
  </r>
  <r>
    <b v="1"/>
    <d v="1899-12-30T17:44:00"/>
    <d v="1899-12-30T20:02:00"/>
    <n v="138"/>
    <x v="0"/>
    <b v="1"/>
    <b v="1"/>
    <x v="0"/>
    <x v="0"/>
    <x v="0"/>
    <x v="0"/>
    <x v="0"/>
    <n v="0.05"/>
    <x v="0"/>
    <s v="All hours"/>
    <s v="Fresno, CA"/>
    <n v="36.7378"/>
    <n v="-119.7871"/>
    <d v="2025-05-14T00:00:00"/>
    <n v="6"/>
    <b v="1"/>
    <d v="2025-07-20T00:00:00"/>
    <x v="3"/>
    <x v="3"/>
  </r>
  <r>
    <b v="0"/>
    <d v="1899-12-30T10:52:00"/>
    <d v="1899-12-30T12:25:00"/>
    <n v="93"/>
    <x v="1"/>
    <b v="0"/>
    <b v="1"/>
    <x v="0"/>
    <x v="1"/>
    <x v="1"/>
    <x v="4"/>
    <x v="3"/>
    <n v="0.15"/>
    <x v="29"/>
    <s v="Weekdays only"/>
    <s v="San Diego, CA"/>
    <n v="32.715699999999998"/>
    <n v="-117.1611"/>
    <d v="2023-01-28T00:00:00"/>
    <n v="0"/>
    <b v="0"/>
    <d v="2025-06-03T00:00:00"/>
    <x v="0"/>
    <x v="0"/>
  </r>
  <r>
    <b v="0"/>
    <d v="1899-12-30T17:21:00"/>
    <d v="1899-12-30T18:17:00"/>
    <n v="56"/>
    <x v="0"/>
    <b v="0"/>
    <b v="1"/>
    <x v="4"/>
    <x v="1"/>
    <x v="1"/>
    <x v="4"/>
    <x v="3"/>
    <n v="0.15"/>
    <x v="29"/>
    <s v="Weekdays only"/>
    <s v="Sacramento, CA"/>
    <n v="38.581600000000002"/>
    <n v="-121.4944"/>
    <d v="2024-06-04T00:00:00"/>
    <n v="0"/>
    <b v="1"/>
    <d v="2025-07-01T00:00:00"/>
    <x v="3"/>
    <x v="3"/>
  </r>
  <r>
    <b v="0"/>
    <d v="1899-12-30T08:42:00"/>
    <d v="1899-12-30T10:34:00"/>
    <n v="112"/>
    <x v="0"/>
    <b v="0"/>
    <b v="0"/>
    <x v="4"/>
    <x v="3"/>
    <x v="0"/>
    <x v="3"/>
    <x v="1"/>
    <n v="0"/>
    <x v="4"/>
    <s v="All hours + Priority access"/>
    <s v="Bakersfield, CA"/>
    <n v="35.3733"/>
    <n v="-119.0187"/>
    <d v="2025-02-07T00:00:00"/>
    <n v="0"/>
    <b v="1"/>
    <d v="2025-07-15T00:00:00"/>
    <x v="2"/>
    <x v="2"/>
  </r>
  <r>
    <b v="0"/>
    <d v="1899-12-30T13:51:00"/>
    <d v="1899-12-30T16:13:00"/>
    <n v="142"/>
    <x v="0"/>
    <b v="1"/>
    <b v="1"/>
    <x v="1"/>
    <x v="0"/>
    <x v="1"/>
    <x v="6"/>
    <x v="1"/>
    <n v="0"/>
    <x v="12"/>
    <s v="All hours"/>
    <s v="San Francisco, CA"/>
    <n v="37.774900000000002"/>
    <n v="-122.4194"/>
    <d v="2023-12-14T00:00:00"/>
    <n v="3"/>
    <b v="1"/>
    <d v="2025-06-21T00:00:00"/>
    <x v="1"/>
    <x v="1"/>
  </r>
  <r>
    <b v="0"/>
    <d v="1899-12-30T17:08:00"/>
    <d v="1899-12-30T18:16:00"/>
    <n v="68"/>
    <x v="1"/>
    <b v="1"/>
    <b v="0"/>
    <x v="4"/>
    <x v="2"/>
    <x v="2"/>
    <x v="7"/>
    <x v="1"/>
    <n v="0"/>
    <x v="6"/>
    <s v="Off-peak only"/>
    <s v="Long Beach, CA"/>
    <n v="33.770099999999999"/>
    <n v="-118.19370000000001"/>
    <d v="2023-03-25T00:00:00"/>
    <n v="8"/>
    <b v="1"/>
    <d v="2025-06-06T00:00:00"/>
    <x v="0"/>
    <x v="0"/>
  </r>
  <r>
    <b v="0"/>
    <d v="1899-12-30T09:57:00"/>
    <d v="1899-12-30T12:35:00"/>
    <n v="158"/>
    <x v="0"/>
    <b v="1"/>
    <b v="1"/>
    <x v="0"/>
    <x v="0"/>
    <x v="1"/>
    <x v="6"/>
    <x v="3"/>
    <n v="0.15"/>
    <x v="28"/>
    <s v="All hours"/>
    <s v="San Francisco, CA"/>
    <n v="37.774900000000002"/>
    <n v="-122.4194"/>
    <d v="2024-11-05T00:00:00"/>
    <n v="4"/>
    <b v="1"/>
    <d v="2025-07-10T00:00:00"/>
    <x v="0"/>
    <x v="0"/>
  </r>
  <r>
    <b v="1"/>
    <d v="1899-12-30T13:20:00"/>
    <d v="1899-12-30T14:26:00"/>
    <n v="66"/>
    <x v="0"/>
    <b v="1"/>
    <b v="1"/>
    <x v="1"/>
    <x v="0"/>
    <x v="0"/>
    <x v="0"/>
    <x v="1"/>
    <n v="0"/>
    <x v="5"/>
    <s v="All hours"/>
    <s v="Sacramento, CA"/>
    <n v="38.581600000000002"/>
    <n v="-121.4944"/>
    <d v="2023-08-29T00:00:00"/>
    <n v="1"/>
    <b v="1"/>
    <d v="2025-06-15T00:00:00"/>
    <x v="0"/>
    <x v="0"/>
  </r>
  <r>
    <b v="0"/>
    <d v="1899-12-30T12:36:00"/>
    <d v="1899-12-30T14:19:00"/>
    <n v="103"/>
    <x v="0"/>
    <b v="1"/>
    <b v="0"/>
    <x v="0"/>
    <x v="1"/>
    <x v="1"/>
    <x v="4"/>
    <x v="1"/>
    <n v="0"/>
    <x v="8"/>
    <s v="Weekdays only"/>
    <s v="Sacramento, CA"/>
    <n v="38.581600000000002"/>
    <n v="-121.4944"/>
    <d v="2025-03-24T00:00:00"/>
    <n v="2"/>
    <b v="0"/>
    <d v="2025-07-17T00:00:00"/>
    <x v="1"/>
    <x v="1"/>
  </r>
  <r>
    <b v="1"/>
    <d v="1899-12-30T17:37:00"/>
    <d v="1899-12-30T19:57:00"/>
    <n v="140"/>
    <x v="1"/>
    <b v="1"/>
    <b v="1"/>
    <x v="3"/>
    <x v="0"/>
    <x v="1"/>
    <x v="6"/>
    <x v="0"/>
    <n v="0.05"/>
    <x v="10"/>
    <s v="All hours"/>
    <s v="San Francisco, CA"/>
    <n v="37.774900000000002"/>
    <n v="-122.4194"/>
    <d v="2025-04-28T00:00:00"/>
    <n v="4"/>
    <b v="1"/>
    <d v="2025-07-19T00:00:00"/>
    <x v="3"/>
    <x v="3"/>
  </r>
  <r>
    <b v="1"/>
    <d v="1899-12-30T20:53:00"/>
    <d v="1899-12-30T21:33:00"/>
    <n v="40"/>
    <x v="0"/>
    <b v="0"/>
    <b v="1"/>
    <x v="4"/>
    <x v="1"/>
    <x v="0"/>
    <x v="1"/>
    <x v="1"/>
    <n v="0"/>
    <x v="1"/>
    <s v="Weekdays only"/>
    <s v="Sacramento, CA"/>
    <n v="38.581600000000002"/>
    <n v="-121.4944"/>
    <d v="2023-12-05T00:00:00"/>
    <n v="0"/>
    <b v="1"/>
    <d v="2025-06-21T00:00:00"/>
    <x v="3"/>
    <x v="3"/>
  </r>
  <r>
    <b v="0"/>
    <d v="1899-12-30T14:34:00"/>
    <d v="1899-12-30T15:34:00"/>
    <n v="60"/>
    <x v="1"/>
    <b v="0"/>
    <b v="1"/>
    <x v="3"/>
    <x v="0"/>
    <x v="0"/>
    <x v="0"/>
    <x v="3"/>
    <n v="0.15"/>
    <x v="27"/>
    <s v="All hours"/>
    <s v="San Francisco, CA"/>
    <n v="37.774900000000002"/>
    <n v="-122.4194"/>
    <d v="2023-11-25T00:00:00"/>
    <n v="0"/>
    <b v="1"/>
    <d v="2025-06-20T00:00:00"/>
    <x v="2"/>
    <x v="2"/>
  </r>
  <r>
    <b v="0"/>
    <d v="1899-12-30T19:44:00"/>
    <d v="1899-12-30T20:51:00"/>
    <n v="67"/>
    <x v="1"/>
    <b v="0"/>
    <b v="0"/>
    <x v="4"/>
    <x v="0"/>
    <x v="0"/>
    <x v="0"/>
    <x v="2"/>
    <n v="0.1"/>
    <x v="16"/>
    <s v="All hours"/>
    <s v="Oakland, CA"/>
    <n v="37.804400000000001"/>
    <n v="-122.27119999999999"/>
    <d v="2023-08-14T00:00:00"/>
    <n v="0"/>
    <b v="0"/>
    <d v="2025-06-14T00:00:00"/>
    <x v="0"/>
    <x v="0"/>
  </r>
  <r>
    <b v="1"/>
    <d v="1899-12-30T10:17:00"/>
    <d v="1899-12-30T13:05:00"/>
    <n v="168"/>
    <x v="1"/>
    <b v="0"/>
    <b v="0"/>
    <x v="4"/>
    <x v="1"/>
    <x v="2"/>
    <x v="8"/>
    <x v="1"/>
    <n v="0"/>
    <x v="2"/>
    <s v="Weekdays only"/>
    <s v="Sacramento, CA"/>
    <n v="38.581600000000002"/>
    <n v="-121.4944"/>
    <d v="2023-05-11T00:00:00"/>
    <n v="0"/>
    <b v="1"/>
    <d v="2025-06-09T00:00:00"/>
    <x v="1"/>
    <x v="1"/>
  </r>
  <r>
    <b v="1"/>
    <d v="1899-12-30T11:46:00"/>
    <d v="1899-12-30T13:17:00"/>
    <n v="91"/>
    <x v="1"/>
    <b v="0"/>
    <b v="1"/>
    <x v="0"/>
    <x v="1"/>
    <x v="0"/>
    <x v="1"/>
    <x v="0"/>
    <n v="0.05"/>
    <x v="7"/>
    <s v="Weekdays only"/>
    <s v="San Francisco, CA"/>
    <n v="37.774900000000002"/>
    <n v="-122.4194"/>
    <d v="2022-08-18T00:00:00"/>
    <n v="0"/>
    <b v="0"/>
    <d v="2025-05-25T00:00:00"/>
    <x v="0"/>
    <x v="0"/>
  </r>
  <r>
    <b v="1"/>
    <d v="1899-12-30T15:45:00"/>
    <d v="1899-12-30T18:43:00"/>
    <n v="178"/>
    <x v="0"/>
    <b v="0"/>
    <b v="0"/>
    <x v="1"/>
    <x v="1"/>
    <x v="0"/>
    <x v="1"/>
    <x v="1"/>
    <n v="0"/>
    <x v="1"/>
    <s v="Weekdays only"/>
    <s v="Fresno, CA"/>
    <n v="36.7378"/>
    <n v="-119.7871"/>
    <d v="2023-12-21T00:00:00"/>
    <n v="0"/>
    <b v="1"/>
    <d v="2025-06-22T00:00:00"/>
    <x v="1"/>
    <x v="1"/>
  </r>
  <r>
    <b v="1"/>
    <d v="1899-12-30T12:51:00"/>
    <d v="1899-12-30T14:37:00"/>
    <n v="106"/>
    <x v="0"/>
    <b v="1"/>
    <b v="1"/>
    <x v="1"/>
    <x v="0"/>
    <x v="0"/>
    <x v="0"/>
    <x v="2"/>
    <n v="0.1"/>
    <x v="16"/>
    <s v="All hours"/>
    <s v="Oakland, CA"/>
    <n v="37.804400000000001"/>
    <n v="-122.27119999999999"/>
    <d v="2024-07-14T00:00:00"/>
    <n v="3"/>
    <b v="1"/>
    <d v="2025-07-03T00:00:00"/>
    <x v="0"/>
    <x v="0"/>
  </r>
  <r>
    <b v="1"/>
    <d v="1899-12-30T08:25:00"/>
    <d v="1899-12-30T10:10:00"/>
    <n v="105"/>
    <x v="0"/>
    <b v="1"/>
    <b v="0"/>
    <x v="4"/>
    <x v="2"/>
    <x v="0"/>
    <x v="2"/>
    <x v="0"/>
    <n v="0.05"/>
    <x v="18"/>
    <s v="Off-peak only"/>
    <s v="Bakersfield, CA"/>
    <n v="35.3733"/>
    <n v="-119.0187"/>
    <d v="2023-02-27T00:00:00"/>
    <n v="6"/>
    <b v="0"/>
    <d v="2025-06-05T00:00:00"/>
    <x v="1"/>
    <x v="1"/>
  </r>
  <r>
    <b v="0"/>
    <d v="1899-12-30T11:16:00"/>
    <d v="1899-12-30T12:38:00"/>
    <n v="82"/>
    <x v="0"/>
    <b v="0"/>
    <b v="1"/>
    <x v="4"/>
    <x v="1"/>
    <x v="0"/>
    <x v="1"/>
    <x v="2"/>
    <n v="0.1"/>
    <x v="2"/>
    <s v="Weekdays only"/>
    <s v="San Diego, CA"/>
    <n v="32.715699999999998"/>
    <n v="-117.1611"/>
    <d v="2024-09-07T00:00:00"/>
    <n v="0"/>
    <b v="0"/>
    <d v="2025-07-06T00:00:00"/>
    <x v="2"/>
    <x v="2"/>
  </r>
  <r>
    <b v="1"/>
    <d v="1899-12-30T20:36:00"/>
    <d v="1899-12-30T23:17:00"/>
    <n v="161"/>
    <x v="1"/>
    <b v="1"/>
    <b v="0"/>
    <x v="2"/>
    <x v="0"/>
    <x v="2"/>
    <x v="10"/>
    <x v="1"/>
    <n v="0"/>
    <x v="16"/>
    <s v="All hours"/>
    <s v="Bakersfield, CA"/>
    <n v="35.3733"/>
    <n v="-119.0187"/>
    <d v="2024-03-12T00:00:00"/>
    <n v="7"/>
    <b v="1"/>
    <d v="2025-06-26T00:00:00"/>
    <x v="0"/>
    <x v="0"/>
  </r>
  <r>
    <b v="1"/>
    <d v="1899-12-30T10:56:00"/>
    <d v="1899-12-30T13:40:00"/>
    <n v="164"/>
    <x v="0"/>
    <b v="1"/>
    <b v="1"/>
    <x v="1"/>
    <x v="0"/>
    <x v="1"/>
    <x v="6"/>
    <x v="0"/>
    <n v="0.05"/>
    <x v="10"/>
    <s v="All hours"/>
    <s v="San Jose, CA"/>
    <n v="37.338200000000001"/>
    <n v="-121.88630000000001"/>
    <d v="2025-03-31T00:00:00"/>
    <n v="4"/>
    <b v="1"/>
    <d v="2025-07-18T00:00:00"/>
    <x v="1"/>
    <x v="1"/>
  </r>
  <r>
    <b v="0"/>
    <d v="1899-12-30T10:39:00"/>
    <d v="1899-12-30T12:37:00"/>
    <n v="118"/>
    <x v="1"/>
    <b v="1"/>
    <b v="0"/>
    <x v="0"/>
    <x v="1"/>
    <x v="0"/>
    <x v="1"/>
    <x v="2"/>
    <n v="0.1"/>
    <x v="2"/>
    <s v="Weekdays only"/>
    <s v="Fresno, CA"/>
    <n v="36.7378"/>
    <n v="-119.7871"/>
    <d v="2025-05-27T00:00:00"/>
    <n v="7"/>
    <b v="1"/>
    <d v="2025-07-21T00:00:00"/>
    <x v="3"/>
    <x v="3"/>
  </r>
  <r>
    <b v="0"/>
    <d v="1899-12-30T12:12:00"/>
    <d v="1899-12-30T14:48:00"/>
    <n v="156"/>
    <x v="1"/>
    <b v="0"/>
    <b v="0"/>
    <x v="1"/>
    <x v="0"/>
    <x v="0"/>
    <x v="0"/>
    <x v="0"/>
    <n v="0.05"/>
    <x v="0"/>
    <s v="All hours"/>
    <s v="San Jose, CA"/>
    <n v="37.338200000000001"/>
    <n v="-121.88630000000001"/>
    <d v="2022-09-01T00:00:00"/>
    <n v="0"/>
    <b v="1"/>
    <d v="2025-05-26T00:00:00"/>
    <x v="1"/>
    <x v="1"/>
  </r>
  <r>
    <b v="1"/>
    <d v="1899-12-30T19:23:00"/>
    <d v="1899-12-30T20:27:00"/>
    <n v="64"/>
    <x v="0"/>
    <b v="0"/>
    <b v="0"/>
    <x v="1"/>
    <x v="0"/>
    <x v="0"/>
    <x v="0"/>
    <x v="1"/>
    <n v="0"/>
    <x v="5"/>
    <s v="All hours"/>
    <s v="Fresno, CA"/>
    <n v="36.7378"/>
    <n v="-119.7871"/>
    <d v="2023-01-14T00:00:00"/>
    <n v="0"/>
    <b v="1"/>
    <d v="2025-06-02T00:00:00"/>
    <x v="0"/>
    <x v="0"/>
  </r>
  <r>
    <b v="0"/>
    <d v="1899-12-30T09:49:00"/>
    <d v="1899-12-30T12:43:00"/>
    <n v="174"/>
    <x v="1"/>
    <b v="0"/>
    <b v="1"/>
    <x v="0"/>
    <x v="1"/>
    <x v="1"/>
    <x v="4"/>
    <x v="1"/>
    <n v="0"/>
    <x v="8"/>
    <s v="Weekdays only"/>
    <s v="Sacramento, CA"/>
    <n v="38.581600000000002"/>
    <n v="-121.4944"/>
    <d v="2023-06-12T00:00:00"/>
    <n v="0"/>
    <b v="1"/>
    <d v="2025-06-11T00:00:00"/>
    <x v="0"/>
    <x v="0"/>
  </r>
  <r>
    <b v="1"/>
    <d v="1899-12-30T10:11:00"/>
    <d v="1899-12-30T11:30:00"/>
    <n v="79"/>
    <x v="1"/>
    <b v="1"/>
    <b v="1"/>
    <x v="0"/>
    <x v="2"/>
    <x v="2"/>
    <x v="7"/>
    <x v="1"/>
    <n v="0"/>
    <x v="6"/>
    <s v="Off-peak only"/>
    <s v="Anaheim, CA"/>
    <n v="33.836599999999997"/>
    <n v="-117.9143"/>
    <d v="2024-04-13T00:00:00"/>
    <n v="1"/>
    <b v="1"/>
    <d v="2025-06-28T00:00:00"/>
    <x v="0"/>
    <x v="0"/>
  </r>
  <r>
    <b v="1"/>
    <d v="1899-12-30T20:07:00"/>
    <d v="1899-12-30T21:39:00"/>
    <n v="92"/>
    <x v="1"/>
    <b v="0"/>
    <b v="0"/>
    <x v="4"/>
    <x v="0"/>
    <x v="0"/>
    <x v="0"/>
    <x v="0"/>
    <n v="0.05"/>
    <x v="0"/>
    <s v="All hours"/>
    <s v="Oakland, CA"/>
    <n v="37.804400000000001"/>
    <n v="-122.27119999999999"/>
    <d v="2024-12-20T00:00:00"/>
    <n v="0"/>
    <b v="1"/>
    <d v="2025-07-12T00:00:00"/>
    <x v="2"/>
    <x v="4"/>
  </r>
  <r>
    <b v="1"/>
    <d v="1899-12-30T19:19:00"/>
    <d v="1899-12-30T20:50:00"/>
    <n v="91"/>
    <x v="0"/>
    <b v="0"/>
    <b v="0"/>
    <x v="1"/>
    <x v="3"/>
    <x v="1"/>
    <x v="11"/>
    <x v="1"/>
    <n v="0"/>
    <x v="38"/>
    <s v="All hours + Priority access"/>
    <s v="San Diego, CA"/>
    <n v="32.715699999999998"/>
    <n v="-117.1611"/>
    <d v="2025-01-07T00:00:00"/>
    <n v="0"/>
    <b v="0"/>
    <d v="2025-07-13T00:00:00"/>
    <x v="0"/>
    <x v="0"/>
  </r>
  <r>
    <b v="1"/>
    <d v="1899-12-30T15:05:00"/>
    <d v="1899-12-30T17:23:00"/>
    <n v="138"/>
    <x v="0"/>
    <b v="0"/>
    <b v="0"/>
    <x v="4"/>
    <x v="0"/>
    <x v="1"/>
    <x v="6"/>
    <x v="1"/>
    <n v="0"/>
    <x v="12"/>
    <s v="All hours"/>
    <s v="Long Beach, CA"/>
    <n v="33.770099999999999"/>
    <n v="-118.19370000000001"/>
    <d v="2024-09-29T00:00:00"/>
    <n v="0"/>
    <b v="0"/>
    <d v="2025-07-07T00:00:00"/>
    <x v="3"/>
    <x v="3"/>
  </r>
  <r>
    <b v="1"/>
    <d v="1899-12-30T16:21:00"/>
    <d v="1899-12-30T17:34:00"/>
    <n v="73"/>
    <x v="1"/>
    <b v="1"/>
    <b v="0"/>
    <x v="4"/>
    <x v="0"/>
    <x v="2"/>
    <x v="10"/>
    <x v="3"/>
    <n v="0.15"/>
    <x v="25"/>
    <s v="All hours"/>
    <s v="Anaheim, CA"/>
    <n v="33.836599999999997"/>
    <n v="-117.9143"/>
    <d v="2023-11-16T00:00:00"/>
    <n v="3"/>
    <b v="1"/>
    <d v="2025-06-20T00:00:00"/>
    <x v="1"/>
    <x v="1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3-05-23T00:00:00"/>
    <n v="0"/>
    <b v="1"/>
    <d v="2025-06-10T00:00:00"/>
    <x v="1"/>
    <x v="1"/>
  </r>
  <r>
    <b v="1"/>
    <d v="1899-12-30T19:06:00"/>
    <d v="1899-12-30T19:43:00"/>
    <n v="37"/>
    <x v="0"/>
    <b v="1"/>
    <b v="1"/>
    <x v="1"/>
    <x v="2"/>
    <x v="0"/>
    <x v="2"/>
    <x v="1"/>
    <n v="0"/>
    <x v="3"/>
    <s v="Off-peak only"/>
    <s v="San Francisco, CA"/>
    <n v="37.774900000000002"/>
    <n v="-122.4194"/>
    <d v="2023-07-20T00:00:00"/>
    <n v="2"/>
    <b v="0"/>
    <d v="2025-06-13T00:00:00"/>
    <x v="0"/>
    <x v="0"/>
  </r>
  <r>
    <b v="1"/>
    <d v="1899-12-30T16:31:00"/>
    <d v="1899-12-30T18:39:00"/>
    <n v="128"/>
    <x v="0"/>
    <b v="0"/>
    <b v="0"/>
    <x v="4"/>
    <x v="1"/>
    <x v="0"/>
    <x v="1"/>
    <x v="1"/>
    <n v="0"/>
    <x v="1"/>
    <s v="Weekdays only"/>
    <s v="Bakersfield, CA"/>
    <n v="35.3733"/>
    <n v="-119.0187"/>
    <d v="2024-08-28T00:00:00"/>
    <n v="0"/>
    <b v="0"/>
    <d v="2025-07-06T00:00:00"/>
    <x v="3"/>
    <x v="3"/>
  </r>
  <r>
    <b v="0"/>
    <d v="1899-12-30T16:20:00"/>
    <d v="1899-12-30T17:20:00"/>
    <n v="60"/>
    <x v="1"/>
    <b v="1"/>
    <b v="0"/>
    <x v="0"/>
    <x v="2"/>
    <x v="0"/>
    <x v="2"/>
    <x v="0"/>
    <n v="0.05"/>
    <x v="18"/>
    <s v="Off-peak only"/>
    <s v="San Jose, CA"/>
    <n v="37.338200000000001"/>
    <n v="-121.88630000000001"/>
    <d v="2022-09-10T00:00:00"/>
    <n v="3"/>
    <b v="0"/>
    <d v="2025-05-26T00:00:00"/>
    <x v="0"/>
    <x v="0"/>
  </r>
  <r>
    <b v="1"/>
    <d v="1899-12-30T09:55:00"/>
    <d v="1899-12-30T10:59:00"/>
    <n v="64"/>
    <x v="0"/>
    <b v="0"/>
    <b v="1"/>
    <x v="0"/>
    <x v="0"/>
    <x v="1"/>
    <x v="6"/>
    <x v="0"/>
    <n v="0.05"/>
    <x v="10"/>
    <s v="All hours"/>
    <s v="San Jose, CA"/>
    <n v="37.338200000000001"/>
    <n v="-121.88630000000001"/>
    <d v="2023-04-29T00:00:00"/>
    <n v="0"/>
    <b v="0"/>
    <d v="2025-06-08T00:00:00"/>
    <x v="0"/>
    <x v="0"/>
  </r>
  <r>
    <b v="0"/>
    <d v="1899-12-30T20:25:00"/>
    <d v="1899-12-30T22:44:00"/>
    <n v="139"/>
    <x v="0"/>
    <b v="1"/>
    <b v="0"/>
    <x v="0"/>
    <x v="1"/>
    <x v="0"/>
    <x v="1"/>
    <x v="1"/>
    <n v="0"/>
    <x v="1"/>
    <s v="Weekdays only"/>
    <s v="Anaheim, CA"/>
    <n v="33.836599999999997"/>
    <n v="-117.9143"/>
    <d v="2023-11-10T00:00:00"/>
    <n v="3"/>
    <b v="0"/>
    <d v="2025-06-19T00:00:00"/>
    <x v="2"/>
    <x v="4"/>
  </r>
  <r>
    <b v="1"/>
    <d v="1899-12-30T15:16:00"/>
    <d v="1899-12-30T17:15:00"/>
    <n v="119"/>
    <x v="1"/>
    <b v="1"/>
    <b v="0"/>
    <x v="4"/>
    <x v="1"/>
    <x v="0"/>
    <x v="1"/>
    <x v="3"/>
    <n v="0.15"/>
    <x v="15"/>
    <s v="Weekdays only"/>
    <s v="Sacramento, CA"/>
    <n v="38.581600000000002"/>
    <n v="-121.4944"/>
    <d v="2023-09-10T00:00:00"/>
    <n v="5"/>
    <b v="0"/>
    <d v="2025-06-16T00:00:00"/>
    <x v="1"/>
    <x v="1"/>
  </r>
  <r>
    <b v="1"/>
    <d v="1899-12-30T16:03:00"/>
    <d v="1899-12-30T17:49:00"/>
    <n v="106"/>
    <x v="0"/>
    <b v="0"/>
    <b v="1"/>
    <x v="0"/>
    <x v="2"/>
    <x v="1"/>
    <x v="5"/>
    <x v="1"/>
    <n v="0"/>
    <x v="14"/>
    <s v="Off-peak only"/>
    <s v="Fresno, CA"/>
    <n v="36.7378"/>
    <n v="-119.7871"/>
    <d v="2024-04-02T00:00:00"/>
    <n v="0"/>
    <b v="0"/>
    <d v="2025-06-27T00:00:00"/>
    <x v="0"/>
    <x v="0"/>
  </r>
  <r>
    <b v="1"/>
    <d v="1899-12-30T18:19:00"/>
    <d v="1899-12-30T20:02:00"/>
    <n v="103"/>
    <x v="0"/>
    <b v="1"/>
    <b v="1"/>
    <x v="0"/>
    <x v="3"/>
    <x v="1"/>
    <x v="11"/>
    <x v="0"/>
    <n v="0.05"/>
    <x v="36"/>
    <s v="All hours + Priority access"/>
    <s v="Long Beach, CA"/>
    <n v="33.770099999999999"/>
    <n v="-118.19370000000001"/>
    <d v="2024-10-02T00:00:00"/>
    <n v="3"/>
    <b v="1"/>
    <d v="2025-07-08T00:00:00"/>
    <x v="1"/>
    <x v="1"/>
  </r>
  <r>
    <b v="1"/>
    <d v="1899-12-30T12:40:00"/>
    <d v="1899-12-30T13:52:00"/>
    <n v="72"/>
    <x v="1"/>
    <b v="1"/>
    <b v="0"/>
    <x v="2"/>
    <x v="2"/>
    <x v="1"/>
    <x v="5"/>
    <x v="1"/>
    <n v="0"/>
    <x v="14"/>
    <s v="Off-peak only"/>
    <s v="San Diego, CA"/>
    <n v="32.715699999999998"/>
    <n v="-117.1611"/>
    <d v="2024-06-08T00:00:00"/>
    <n v="3"/>
    <b v="1"/>
    <d v="2025-07-01T00:00:00"/>
    <x v="2"/>
    <x v="2"/>
  </r>
  <r>
    <b v="0"/>
    <d v="1899-12-30T15:39:00"/>
    <d v="1899-12-30T17:59:00"/>
    <n v="140"/>
    <x v="0"/>
    <b v="1"/>
    <b v="1"/>
    <x v="4"/>
    <x v="0"/>
    <x v="1"/>
    <x v="6"/>
    <x v="3"/>
    <n v="0.15"/>
    <x v="28"/>
    <s v="All hours"/>
    <s v="Bakersfield, CA"/>
    <n v="35.3733"/>
    <n v="-119.0187"/>
    <d v="2023-04-07T00:00:00"/>
    <n v="8"/>
    <b v="1"/>
    <d v="2025-06-07T00:00:00"/>
    <x v="3"/>
    <x v="3"/>
  </r>
  <r>
    <b v="0"/>
    <d v="1899-12-30T11:29:00"/>
    <d v="1899-12-30T13:03:00"/>
    <n v="94"/>
    <x v="1"/>
    <b v="0"/>
    <b v="1"/>
    <x v="4"/>
    <x v="2"/>
    <x v="1"/>
    <x v="5"/>
    <x v="1"/>
    <n v="0"/>
    <x v="14"/>
    <s v="Off-peak only"/>
    <s v="San Francisco, CA"/>
    <n v="37.774900000000002"/>
    <n v="-122.4194"/>
    <d v="2025-06-07T00:00:00"/>
    <n v="0"/>
    <b v="0"/>
    <d v="2025-07-22T00:00:00"/>
    <x v="2"/>
    <x v="2"/>
  </r>
  <r>
    <b v="1"/>
    <d v="1899-12-30T14:53:00"/>
    <d v="1899-12-30T17:02:00"/>
    <n v="129"/>
    <x v="1"/>
    <b v="0"/>
    <b v="1"/>
    <x v="0"/>
    <x v="2"/>
    <x v="0"/>
    <x v="2"/>
    <x v="1"/>
    <n v="0"/>
    <x v="3"/>
    <s v="Off-peak only"/>
    <s v="Los Angeles, CA"/>
    <n v="34.052199999999999"/>
    <n v="-118.2437"/>
    <d v="2025-02-19T00:00:00"/>
    <n v="0"/>
    <b v="0"/>
    <d v="2025-07-16T00:00:00"/>
    <x v="2"/>
    <x v="2"/>
  </r>
  <r>
    <b v="0"/>
    <d v="1899-12-30T11:18:00"/>
    <d v="1899-12-30T13:15:00"/>
    <n v="117"/>
    <x v="0"/>
    <b v="1"/>
    <b v="0"/>
    <x v="3"/>
    <x v="0"/>
    <x v="0"/>
    <x v="0"/>
    <x v="3"/>
    <n v="0.15"/>
    <x v="27"/>
    <s v="All hours"/>
    <s v="Anaheim, CA"/>
    <n v="33.836599999999997"/>
    <n v="-117.9143"/>
    <d v="2025-05-05T00:00:00"/>
    <n v="4"/>
    <b v="1"/>
    <d v="2025-07-20T00:00:00"/>
    <x v="1"/>
    <x v="1"/>
  </r>
  <r>
    <b v="0"/>
    <d v="1899-12-30T12:02:00"/>
    <d v="1899-12-30T14:07:00"/>
    <n v="125"/>
    <x v="1"/>
    <b v="1"/>
    <b v="1"/>
    <x v="0"/>
    <x v="2"/>
    <x v="0"/>
    <x v="2"/>
    <x v="0"/>
    <n v="0.05"/>
    <x v="18"/>
    <s v="Off-peak only"/>
    <s v="Anaheim, CA"/>
    <n v="33.836599999999997"/>
    <n v="-117.9143"/>
    <d v="2025-05-10T00:00:00"/>
    <n v="2"/>
    <b v="1"/>
    <d v="2025-07-20T00:00:00"/>
    <x v="0"/>
    <x v="0"/>
  </r>
  <r>
    <b v="1"/>
    <d v="1899-12-30T13:31:00"/>
    <d v="1899-12-30T15:39:00"/>
    <n v="128"/>
    <x v="0"/>
    <b v="1"/>
    <b v="1"/>
    <x v="0"/>
    <x v="0"/>
    <x v="0"/>
    <x v="0"/>
    <x v="3"/>
    <n v="0.15"/>
    <x v="27"/>
    <s v="All hours"/>
    <s v="Fresno, CA"/>
    <n v="36.7378"/>
    <n v="-119.7871"/>
    <d v="2022-12-24T00:00:00"/>
    <n v="8"/>
    <b v="0"/>
    <d v="2025-06-01T00:00:00"/>
    <x v="3"/>
    <x v="3"/>
  </r>
  <r>
    <b v="0"/>
    <d v="1899-12-30T19:38:00"/>
    <d v="1899-12-30T21:10:00"/>
    <n v="92"/>
    <x v="1"/>
    <b v="1"/>
    <b v="1"/>
    <x v="0"/>
    <x v="0"/>
    <x v="0"/>
    <x v="0"/>
    <x v="1"/>
    <n v="0"/>
    <x v="5"/>
    <s v="All hours"/>
    <s v="Long Beach, CA"/>
    <n v="33.770099999999999"/>
    <n v="-118.19370000000001"/>
    <d v="2023-06-04T00:00:00"/>
    <n v="8"/>
    <b v="1"/>
    <d v="2025-06-10T00:00:00"/>
    <x v="0"/>
    <x v="0"/>
  </r>
  <r>
    <b v="0"/>
    <d v="1899-12-30T15:28:00"/>
    <d v="1899-12-30T17:58:00"/>
    <n v="150"/>
    <x v="1"/>
    <b v="0"/>
    <b v="1"/>
    <x v="4"/>
    <x v="1"/>
    <x v="2"/>
    <x v="8"/>
    <x v="3"/>
    <n v="0.15"/>
    <x v="24"/>
    <s v="Weekdays only"/>
    <s v="Fresno, CA"/>
    <n v="36.7378"/>
    <n v="-119.7871"/>
    <d v="2024-02-04T00:00:00"/>
    <n v="0"/>
    <b v="0"/>
    <d v="2025-06-24T00:00:00"/>
    <x v="3"/>
    <x v="3"/>
  </r>
  <r>
    <b v="0"/>
    <d v="1899-12-30T12:36:00"/>
    <d v="1899-12-30T14:19:00"/>
    <n v="103"/>
    <x v="0"/>
    <b v="1"/>
    <b v="0"/>
    <x v="0"/>
    <x v="1"/>
    <x v="1"/>
    <x v="4"/>
    <x v="1"/>
    <n v="0"/>
    <x v="8"/>
    <s v="Weekdays only"/>
    <s v="Sacramento, CA"/>
    <n v="38.581600000000002"/>
    <n v="-121.4944"/>
    <d v="2025-03-10T00:00:00"/>
    <n v="4"/>
    <b v="1"/>
    <d v="2025-07-17T00:00:00"/>
    <x v="1"/>
    <x v="1"/>
  </r>
  <r>
    <b v="0"/>
    <d v="1899-12-30T19:23:00"/>
    <d v="1899-12-30T20:48:00"/>
    <n v="85"/>
    <x v="0"/>
    <b v="0"/>
    <b v="1"/>
    <x v="4"/>
    <x v="1"/>
    <x v="1"/>
    <x v="4"/>
    <x v="2"/>
    <n v="0.1"/>
    <x v="26"/>
    <s v="Weekdays only"/>
    <s v="San Jose, CA"/>
    <n v="37.338200000000001"/>
    <n v="-121.88630000000001"/>
    <d v="2024-01-16T00:00:00"/>
    <n v="0"/>
    <b v="1"/>
    <d v="2025-06-23T00:00:00"/>
    <x v="3"/>
    <x v="3"/>
  </r>
  <r>
    <b v="0"/>
    <d v="1899-12-30T10:34:00"/>
    <d v="1899-12-30T11:13:00"/>
    <n v="39"/>
    <x v="0"/>
    <b v="0"/>
    <b v="1"/>
    <x v="3"/>
    <x v="3"/>
    <x v="1"/>
    <x v="11"/>
    <x v="3"/>
    <n v="0.15"/>
    <x v="39"/>
    <s v="All hours + Priority access"/>
    <s v="Anaheim, CA"/>
    <n v="33.836599999999997"/>
    <n v="-117.9143"/>
    <d v="2024-02-04T00:00:00"/>
    <n v="0"/>
    <b v="1"/>
    <d v="2025-06-24T00:00:00"/>
    <x v="3"/>
    <x v="3"/>
  </r>
  <r>
    <b v="1"/>
    <d v="1899-12-30T17:44:00"/>
    <d v="1899-12-30T20:02:00"/>
    <n v="138"/>
    <x v="0"/>
    <b v="1"/>
    <b v="1"/>
    <x v="0"/>
    <x v="0"/>
    <x v="0"/>
    <x v="0"/>
    <x v="0"/>
    <n v="0.05"/>
    <x v="0"/>
    <s v="All hours"/>
    <s v="Fresno, CA"/>
    <n v="36.7378"/>
    <n v="-119.7871"/>
    <d v="2024-12-20T00:00:00"/>
    <n v="4"/>
    <b v="1"/>
    <d v="2025-07-12T00:00:00"/>
    <x v="3"/>
    <x v="3"/>
  </r>
  <r>
    <b v="1"/>
    <d v="1899-12-30T11:28:00"/>
    <d v="1899-12-30T14:14:00"/>
    <n v="166"/>
    <x v="0"/>
    <b v="0"/>
    <b v="1"/>
    <x v="4"/>
    <x v="1"/>
    <x v="1"/>
    <x v="4"/>
    <x v="0"/>
    <n v="0.05"/>
    <x v="11"/>
    <s v="Weekdays only"/>
    <s v="Long Beach, CA"/>
    <n v="33.770099999999999"/>
    <n v="-118.19370000000001"/>
    <d v="2024-03-17T00:00:00"/>
    <n v="0"/>
    <b v="0"/>
    <d v="2025-06-26T00:00:00"/>
    <x v="1"/>
    <x v="1"/>
  </r>
  <r>
    <b v="1"/>
    <d v="1899-12-30T19:22:00"/>
    <d v="1899-12-30T20:25:00"/>
    <n v="63"/>
    <x v="0"/>
    <b v="0"/>
    <b v="0"/>
    <x v="4"/>
    <x v="0"/>
    <x v="1"/>
    <x v="6"/>
    <x v="1"/>
    <n v="0"/>
    <x v="12"/>
    <s v="All hours"/>
    <s v="Bakersfield, CA"/>
    <n v="35.3733"/>
    <n v="-119.0187"/>
    <d v="2024-04-24T00:00:00"/>
    <n v="0"/>
    <b v="1"/>
    <d v="2025-06-29T00:00:00"/>
    <x v="2"/>
    <x v="2"/>
  </r>
  <r>
    <b v="1"/>
    <d v="1899-12-30T11:47:00"/>
    <d v="1899-12-30T14:00:00"/>
    <n v="133"/>
    <x v="0"/>
    <b v="1"/>
    <b v="0"/>
    <x v="0"/>
    <x v="0"/>
    <x v="0"/>
    <x v="0"/>
    <x v="0"/>
    <n v="0.05"/>
    <x v="0"/>
    <s v="All hours"/>
    <s v="Fresno, CA"/>
    <n v="36.7378"/>
    <n v="-119.7871"/>
    <d v="2023-09-06T00:00:00"/>
    <n v="1"/>
    <b v="0"/>
    <d v="2025-06-16T00:00:00"/>
    <x v="2"/>
    <x v="2"/>
  </r>
  <r>
    <b v="1"/>
    <d v="1899-12-30T20:23:00"/>
    <d v="1899-12-30T21:30:00"/>
    <n v="67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3-08-16T00:00:00"/>
    <n v="4"/>
    <b v="1"/>
    <d v="2025-06-14T00:00:00"/>
    <x v="2"/>
    <x v="4"/>
  </r>
  <r>
    <b v="1"/>
    <d v="1899-12-30T12:27:00"/>
    <d v="1899-12-30T14:16:00"/>
    <n v="109"/>
    <x v="0"/>
    <b v="0"/>
    <b v="1"/>
    <x v="0"/>
    <x v="0"/>
    <x v="0"/>
    <x v="0"/>
    <x v="1"/>
    <n v="0"/>
    <x v="5"/>
    <s v="All hours"/>
    <s v="Oakland, CA"/>
    <n v="37.804400000000001"/>
    <n v="-122.27119999999999"/>
    <d v="2025-05-05T00:00:00"/>
    <n v="0"/>
    <b v="1"/>
    <d v="2025-07-20T00:00:00"/>
    <x v="2"/>
    <x v="4"/>
  </r>
  <r>
    <b v="0"/>
    <d v="1899-12-30T17:41:00"/>
    <d v="1899-12-30T20:22:00"/>
    <n v="161"/>
    <x v="0"/>
    <b v="0"/>
    <b v="0"/>
    <x v="4"/>
    <x v="0"/>
    <x v="1"/>
    <x v="6"/>
    <x v="2"/>
    <n v="0.1"/>
    <x v="30"/>
    <s v="All hours"/>
    <s v="Long Beach, CA"/>
    <n v="33.770099999999999"/>
    <n v="-118.19370000000001"/>
    <d v="2024-05-20T00:00:00"/>
    <n v="0"/>
    <b v="1"/>
    <d v="2025-06-30T00:00:00"/>
    <x v="3"/>
    <x v="3"/>
  </r>
  <r>
    <b v="0"/>
    <d v="1899-12-30T17:47:00"/>
    <d v="1899-12-30T18:30:00"/>
    <n v="43"/>
    <x v="1"/>
    <b v="1"/>
    <b v="1"/>
    <x v="4"/>
    <x v="2"/>
    <x v="0"/>
    <x v="2"/>
    <x v="3"/>
    <n v="0.15"/>
    <x v="17"/>
    <s v="Off-peak only"/>
    <s v="San Diego, CA"/>
    <n v="32.715699999999998"/>
    <n v="-117.1611"/>
    <d v="2023-08-26T00:00:00"/>
    <n v="5"/>
    <b v="0"/>
    <d v="2025-06-15T00:00:00"/>
    <x v="0"/>
    <x v="0"/>
  </r>
  <r>
    <b v="1"/>
    <d v="1899-12-30T19:04:00"/>
    <d v="1899-12-30T20:02:00"/>
    <n v="58"/>
    <x v="1"/>
    <b v="0"/>
    <b v="1"/>
    <x v="0"/>
    <x v="2"/>
    <x v="1"/>
    <x v="5"/>
    <x v="1"/>
    <n v="0"/>
    <x v="14"/>
    <s v="Off-peak only"/>
    <s v="Sacramento, CA"/>
    <n v="38.581600000000002"/>
    <n v="-121.4944"/>
    <d v="2024-01-04T00:00:00"/>
    <n v="0"/>
    <b v="0"/>
    <d v="2025-06-22T00:00:00"/>
    <x v="1"/>
    <x v="1"/>
  </r>
  <r>
    <b v="0"/>
    <d v="1899-12-30T14:01:00"/>
    <d v="1899-12-30T16:17:00"/>
    <n v="136"/>
    <x v="0"/>
    <b v="0"/>
    <b v="0"/>
    <x v="4"/>
    <x v="3"/>
    <x v="0"/>
    <x v="3"/>
    <x v="1"/>
    <n v="0"/>
    <x v="4"/>
    <s v="All hours + Priority access"/>
    <s v="Anaheim, CA"/>
    <n v="33.836599999999997"/>
    <n v="-117.9143"/>
    <d v="2022-12-23T00:00:00"/>
    <n v="0"/>
    <b v="1"/>
    <d v="2025-06-01T00:00:00"/>
    <x v="1"/>
    <x v="1"/>
  </r>
  <r>
    <b v="1"/>
    <d v="1899-12-30T19:35:00"/>
    <d v="1899-12-30T21:08:00"/>
    <n v="93"/>
    <x v="0"/>
    <b v="0"/>
    <b v="0"/>
    <x v="2"/>
    <x v="0"/>
    <x v="1"/>
    <x v="6"/>
    <x v="2"/>
    <n v="0.1"/>
    <x v="30"/>
    <s v="All hours"/>
    <s v="Fresno, CA"/>
    <n v="36.7378"/>
    <n v="-119.7871"/>
    <d v="2023-07-22T00:00:00"/>
    <n v="0"/>
    <b v="1"/>
    <d v="2025-06-13T00:00:00"/>
    <x v="0"/>
    <x v="0"/>
  </r>
  <r>
    <b v="0"/>
    <d v="1899-12-30T10:54:00"/>
    <d v="1899-12-30T12:49:00"/>
    <n v="115"/>
    <x v="1"/>
    <b v="1"/>
    <b v="1"/>
    <x v="0"/>
    <x v="3"/>
    <x v="1"/>
    <x v="11"/>
    <x v="1"/>
    <n v="0"/>
    <x v="38"/>
    <s v="All hours + Priority access"/>
    <s v="Long Beach, CA"/>
    <n v="33.770099999999999"/>
    <n v="-118.19370000000001"/>
    <d v="2024-12-31T00:00:00"/>
    <n v="5"/>
    <b v="0"/>
    <d v="2025-07-13T00:00:00"/>
    <x v="1"/>
    <x v="1"/>
  </r>
  <r>
    <b v="0"/>
    <d v="1899-12-30T18:28:00"/>
    <d v="1899-12-30T19:40:00"/>
    <n v="72"/>
    <x v="0"/>
    <b v="1"/>
    <b v="0"/>
    <x v="0"/>
    <x v="1"/>
    <x v="0"/>
    <x v="1"/>
    <x v="3"/>
    <n v="0.15"/>
    <x v="15"/>
    <s v="Weekdays only"/>
    <s v="Oakland, CA"/>
    <n v="37.804400000000001"/>
    <n v="-122.27119999999999"/>
    <d v="2025-04-08T00:00:00"/>
    <n v="8"/>
    <b v="0"/>
    <d v="2025-07-18T00:00:00"/>
    <x v="0"/>
    <x v="0"/>
  </r>
  <r>
    <b v="1"/>
    <d v="1899-12-30T20:32:00"/>
    <d v="1899-12-30T22:20:00"/>
    <n v="108"/>
    <x v="1"/>
    <b v="0"/>
    <b v="0"/>
    <x v="3"/>
    <x v="0"/>
    <x v="2"/>
    <x v="10"/>
    <x v="1"/>
    <n v="0"/>
    <x v="16"/>
    <s v="All hours"/>
    <s v="Long Beach, CA"/>
    <n v="33.770099999999999"/>
    <n v="-118.19370000000001"/>
    <d v="2023-08-08T00:00:00"/>
    <n v="0"/>
    <b v="0"/>
    <d v="2025-06-14T00:00:00"/>
    <x v="3"/>
    <x v="3"/>
  </r>
  <r>
    <b v="0"/>
    <d v="1899-12-30T14:01:00"/>
    <d v="1899-12-30T16:23:00"/>
    <n v="142"/>
    <x v="1"/>
    <b v="0"/>
    <b v="1"/>
    <x v="4"/>
    <x v="2"/>
    <x v="1"/>
    <x v="5"/>
    <x v="0"/>
    <n v="0.05"/>
    <x v="9"/>
    <s v="Off-peak only"/>
    <s v="Fresno, CA"/>
    <n v="36.7378"/>
    <n v="-119.7871"/>
    <d v="2025-05-25T00:00:00"/>
    <n v="0"/>
    <b v="0"/>
    <d v="2025-07-21T00:00:00"/>
    <x v="2"/>
    <x v="4"/>
  </r>
  <r>
    <b v="1"/>
    <d v="1899-12-30T10:42:00"/>
    <d v="1899-12-30T13:29:00"/>
    <n v="167"/>
    <x v="0"/>
    <b v="1"/>
    <b v="0"/>
    <x v="0"/>
    <x v="0"/>
    <x v="0"/>
    <x v="0"/>
    <x v="2"/>
    <n v="0.1"/>
    <x v="16"/>
    <s v="All hours"/>
    <s v="Sacramento, CA"/>
    <n v="38.581600000000002"/>
    <n v="-121.4944"/>
    <d v="2023-10-08T00:00:00"/>
    <n v="7"/>
    <b v="1"/>
    <d v="2025-06-17T00:00:00"/>
    <x v="2"/>
    <x v="2"/>
  </r>
  <r>
    <b v="0"/>
    <d v="1899-12-30T17:53:00"/>
    <d v="1899-12-30T20:14:00"/>
    <n v="141"/>
    <x v="0"/>
    <b v="0"/>
    <b v="1"/>
    <x v="1"/>
    <x v="0"/>
    <x v="1"/>
    <x v="6"/>
    <x v="2"/>
    <n v="0.1"/>
    <x v="30"/>
    <s v="All hours"/>
    <s v="Long Beach, CA"/>
    <n v="33.770099999999999"/>
    <n v="-118.19370000000001"/>
    <d v="2022-09-25T00:00:00"/>
    <n v="0"/>
    <b v="1"/>
    <d v="2025-05-27T00:00:00"/>
    <x v="1"/>
    <x v="1"/>
  </r>
  <r>
    <b v="0"/>
    <d v="1899-12-30T11:03:00"/>
    <d v="1899-12-30T13:34:00"/>
    <n v="151"/>
    <x v="1"/>
    <b v="1"/>
    <b v="0"/>
    <x v="2"/>
    <x v="0"/>
    <x v="1"/>
    <x v="6"/>
    <x v="2"/>
    <n v="0.1"/>
    <x v="30"/>
    <s v="All hours"/>
    <s v="Fresno, CA"/>
    <n v="36.7378"/>
    <n v="-119.7871"/>
    <d v="2023-10-19T00:00:00"/>
    <n v="1"/>
    <b v="1"/>
    <d v="2025-06-18T00:00:00"/>
    <x v="0"/>
    <x v="0"/>
  </r>
  <r>
    <b v="1"/>
    <d v="1899-12-30T11:56:00"/>
    <d v="1899-12-30T14:13:00"/>
    <n v="137"/>
    <x v="0"/>
    <b v="1"/>
    <b v="1"/>
    <x v="4"/>
    <x v="0"/>
    <x v="0"/>
    <x v="0"/>
    <x v="1"/>
    <n v="0"/>
    <x v="5"/>
    <s v="All hours"/>
    <s v="Long Beach, CA"/>
    <n v="33.770099999999999"/>
    <n v="-118.19370000000001"/>
    <d v="2024-05-05T00:00:00"/>
    <n v="7"/>
    <b v="1"/>
    <d v="2025-06-29T00:00:00"/>
    <x v="0"/>
    <x v="0"/>
  </r>
  <r>
    <b v="0"/>
    <d v="1899-12-30T10:17:00"/>
    <d v="1899-12-30T11:47:00"/>
    <n v="90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3-08-07T00:00:00"/>
    <n v="7"/>
    <b v="0"/>
    <d v="2025-06-14T00:00:00"/>
    <x v="3"/>
    <x v="3"/>
  </r>
  <r>
    <b v="0"/>
    <d v="1899-12-30T09:22:00"/>
    <d v="1899-12-30T10:52:00"/>
    <n v="90"/>
    <x v="1"/>
    <b v="1"/>
    <b v="0"/>
    <x v="0"/>
    <x v="0"/>
    <x v="0"/>
    <x v="0"/>
    <x v="1"/>
    <n v="0"/>
    <x v="5"/>
    <s v="All hours"/>
    <s v="Bakersfield, CA"/>
    <n v="35.3733"/>
    <n v="-119.0187"/>
    <d v="2024-02-20T00:00:00"/>
    <n v="8"/>
    <b v="1"/>
    <d v="2025-06-25T00:00:00"/>
    <x v="3"/>
    <x v="3"/>
  </r>
  <r>
    <b v="1"/>
    <d v="1899-12-30T13:06:00"/>
    <d v="1899-12-30T14:35:00"/>
    <n v="89"/>
    <x v="1"/>
    <b v="1"/>
    <b v="0"/>
    <x v="0"/>
    <x v="2"/>
    <x v="1"/>
    <x v="5"/>
    <x v="2"/>
    <n v="0.1"/>
    <x v="20"/>
    <s v="Off-peak only"/>
    <s v="San Francisco, CA"/>
    <n v="37.774900000000002"/>
    <n v="-122.4194"/>
    <d v="2023-11-19T00:00:00"/>
    <n v="6"/>
    <b v="0"/>
    <d v="2025-06-20T00:00:00"/>
    <x v="3"/>
    <x v="3"/>
  </r>
  <r>
    <b v="0"/>
    <d v="1899-12-30T20:35:00"/>
    <d v="1899-12-30T22:58:00"/>
    <n v="143"/>
    <x v="0"/>
    <b v="1"/>
    <b v="0"/>
    <x v="0"/>
    <x v="0"/>
    <x v="0"/>
    <x v="0"/>
    <x v="0"/>
    <n v="0.05"/>
    <x v="0"/>
    <s v="All hours"/>
    <s v="Fresno, CA"/>
    <n v="36.7378"/>
    <n v="-119.7871"/>
    <d v="2022-09-24T00:00:00"/>
    <n v="8"/>
    <b v="0"/>
    <d v="2025-05-27T00:00:00"/>
    <x v="1"/>
    <x v="1"/>
  </r>
  <r>
    <b v="0"/>
    <d v="1899-12-30T13:06:00"/>
    <d v="1899-12-30T14:29:00"/>
    <n v="83"/>
    <x v="0"/>
    <b v="0"/>
    <b v="1"/>
    <x v="2"/>
    <x v="0"/>
    <x v="0"/>
    <x v="0"/>
    <x v="1"/>
    <n v="0"/>
    <x v="5"/>
    <s v="All hours"/>
    <s v="Los Angeles, CA"/>
    <n v="34.052199999999999"/>
    <n v="-118.2437"/>
    <d v="2024-05-07T00:00:00"/>
    <n v="0"/>
    <b v="1"/>
    <d v="2025-06-29T00:00:00"/>
    <x v="2"/>
    <x v="4"/>
  </r>
  <r>
    <b v="1"/>
    <d v="1899-12-30T08:12:00"/>
    <d v="1899-12-30T10:09:00"/>
    <n v="117"/>
    <x v="1"/>
    <b v="0"/>
    <b v="0"/>
    <x v="2"/>
    <x v="1"/>
    <x v="0"/>
    <x v="1"/>
    <x v="3"/>
    <n v="0.15"/>
    <x v="15"/>
    <s v="Weekdays only"/>
    <s v="Long Beach, CA"/>
    <n v="33.770099999999999"/>
    <n v="-118.19370000000001"/>
    <d v="2022-09-03T00:00:00"/>
    <n v="0"/>
    <b v="1"/>
    <d v="2025-05-26T00:00:00"/>
    <x v="0"/>
    <x v="0"/>
  </r>
  <r>
    <b v="1"/>
    <d v="1899-12-30T09:53:00"/>
    <d v="1899-12-30T12:49:00"/>
    <n v="176"/>
    <x v="0"/>
    <b v="1"/>
    <b v="1"/>
    <x v="0"/>
    <x v="0"/>
    <x v="0"/>
    <x v="0"/>
    <x v="3"/>
    <n v="0.15"/>
    <x v="27"/>
    <s v="All hours"/>
    <s v="Sacramento, CA"/>
    <n v="38.581600000000002"/>
    <n v="-121.4944"/>
    <d v="2022-11-01T00:00:00"/>
    <n v="2"/>
    <b v="1"/>
    <d v="2025-05-29T00:00:00"/>
    <x v="2"/>
    <x v="2"/>
  </r>
  <r>
    <b v="1"/>
    <d v="1899-12-30T12:33:00"/>
    <d v="1899-12-30T14:41:00"/>
    <n v="128"/>
    <x v="0"/>
    <b v="0"/>
    <b v="0"/>
    <x v="1"/>
    <x v="1"/>
    <x v="2"/>
    <x v="8"/>
    <x v="1"/>
    <n v="0"/>
    <x v="2"/>
    <s v="Weekdays only"/>
    <s v="Bakersfield, CA"/>
    <n v="35.3733"/>
    <n v="-119.0187"/>
    <d v="2024-11-26T00:00:00"/>
    <n v="0"/>
    <b v="0"/>
    <d v="2025-07-11T00:00:00"/>
    <x v="3"/>
    <x v="3"/>
  </r>
  <r>
    <b v="1"/>
    <d v="1899-12-30T18:29:00"/>
    <d v="1899-12-30T20:58:00"/>
    <n v="149"/>
    <x v="0"/>
    <b v="0"/>
    <b v="1"/>
    <x v="0"/>
    <x v="0"/>
    <x v="1"/>
    <x v="6"/>
    <x v="0"/>
    <n v="0.05"/>
    <x v="10"/>
    <s v="All hours"/>
    <s v="Anaheim, CA"/>
    <n v="33.836599999999997"/>
    <n v="-117.9143"/>
    <d v="2025-04-10T00:00:00"/>
    <n v="0"/>
    <b v="1"/>
    <d v="2025-07-18T00:00:00"/>
    <x v="1"/>
    <x v="1"/>
  </r>
  <r>
    <b v="1"/>
    <d v="1899-12-30T11:21:00"/>
    <d v="1899-12-30T14:18:00"/>
    <n v="177"/>
    <x v="0"/>
    <b v="0"/>
    <b v="1"/>
    <x v="4"/>
    <x v="2"/>
    <x v="1"/>
    <x v="5"/>
    <x v="0"/>
    <n v="0.05"/>
    <x v="9"/>
    <s v="Off-peak only"/>
    <s v="Long Beach, CA"/>
    <n v="33.770099999999999"/>
    <n v="-118.19370000000001"/>
    <d v="2025-03-07T00:00:00"/>
    <n v="0"/>
    <b v="0"/>
    <d v="2025-07-16T00:00:00"/>
    <x v="2"/>
    <x v="4"/>
  </r>
  <r>
    <b v="1"/>
    <d v="1899-12-30T20:17:00"/>
    <d v="1899-12-30T21:11:00"/>
    <n v="54"/>
    <x v="0"/>
    <b v="0"/>
    <b v="1"/>
    <x v="1"/>
    <x v="1"/>
    <x v="0"/>
    <x v="1"/>
    <x v="2"/>
    <n v="0.1"/>
    <x v="2"/>
    <s v="Weekdays only"/>
    <s v="Oakland, CA"/>
    <n v="37.804400000000001"/>
    <n v="-122.27119999999999"/>
    <d v="2025-06-03T00:00:00"/>
    <n v="0"/>
    <b v="0"/>
    <d v="2025-07-21T00:00:00"/>
    <x v="0"/>
    <x v="0"/>
  </r>
  <r>
    <b v="0"/>
    <d v="1899-12-30T19:28:00"/>
    <d v="1899-12-30T22:18:00"/>
    <n v="170"/>
    <x v="1"/>
    <b v="1"/>
    <b v="0"/>
    <x v="4"/>
    <x v="2"/>
    <x v="0"/>
    <x v="2"/>
    <x v="1"/>
    <n v="0"/>
    <x v="3"/>
    <s v="Off-peak only"/>
    <s v="Los Angeles, CA"/>
    <n v="34.052199999999999"/>
    <n v="-118.2437"/>
    <d v="2025-03-14T00:00:00"/>
    <n v="2"/>
    <b v="0"/>
    <d v="2025-07-17T00:00:00"/>
    <x v="3"/>
    <x v="3"/>
  </r>
  <r>
    <b v="1"/>
    <d v="1899-12-30T18:15:00"/>
    <d v="1899-12-30T19:59:00"/>
    <n v="104"/>
    <x v="1"/>
    <b v="0"/>
    <b v="1"/>
    <x v="4"/>
    <x v="0"/>
    <x v="0"/>
    <x v="0"/>
    <x v="2"/>
    <n v="0.1"/>
    <x v="16"/>
    <s v="All hours"/>
    <s v="San Diego, CA"/>
    <n v="32.715699999999998"/>
    <n v="-117.1611"/>
    <d v="2023-06-26T00:00:00"/>
    <n v="0"/>
    <b v="1"/>
    <d v="2025-06-12T00:00:00"/>
    <x v="0"/>
    <x v="0"/>
  </r>
  <r>
    <b v="1"/>
    <d v="1899-12-30T20:58:00"/>
    <d v="1899-12-30T22:20:00"/>
    <n v="82"/>
    <x v="0"/>
    <b v="0"/>
    <b v="1"/>
    <x v="1"/>
    <x v="0"/>
    <x v="0"/>
    <x v="0"/>
    <x v="2"/>
    <n v="0.1"/>
    <x v="16"/>
    <s v="All hours"/>
    <s v="Anaheim, CA"/>
    <n v="33.836599999999997"/>
    <n v="-117.9143"/>
    <d v="2025-04-08T00:00:00"/>
    <n v="0"/>
    <b v="1"/>
    <d v="2025-07-18T00:00:00"/>
    <x v="3"/>
    <x v="3"/>
  </r>
  <r>
    <b v="0"/>
    <d v="1899-12-30T11:02:00"/>
    <d v="1899-12-30T12:22:00"/>
    <n v="80"/>
    <x v="1"/>
    <b v="1"/>
    <b v="1"/>
    <x v="0"/>
    <x v="0"/>
    <x v="0"/>
    <x v="0"/>
    <x v="1"/>
    <n v="0"/>
    <x v="5"/>
    <s v="All hours"/>
    <s v="Los Angeles, CA"/>
    <n v="34.052199999999999"/>
    <n v="-118.2437"/>
    <d v="2024-07-18T00:00:00"/>
    <n v="4"/>
    <b v="1"/>
    <d v="2025-07-03T00:00:00"/>
    <x v="3"/>
    <x v="3"/>
  </r>
  <r>
    <b v="0"/>
    <d v="1899-12-30T19:28:00"/>
    <d v="1899-12-30T20:10:00"/>
    <n v="42"/>
    <x v="0"/>
    <b v="0"/>
    <b v="0"/>
    <x v="4"/>
    <x v="1"/>
    <x v="0"/>
    <x v="1"/>
    <x v="2"/>
    <n v="0.1"/>
    <x v="2"/>
    <s v="Weekdays only"/>
    <s v="Sacramento, CA"/>
    <n v="38.581600000000002"/>
    <n v="-121.4944"/>
    <d v="2023-01-05T00:00:00"/>
    <n v="0"/>
    <b v="0"/>
    <d v="2025-06-02T00:00:00"/>
    <x v="1"/>
    <x v="1"/>
  </r>
  <r>
    <b v="0"/>
    <d v="1899-12-30T14:40:00"/>
    <d v="1899-12-30T15:53:00"/>
    <n v="73"/>
    <x v="0"/>
    <b v="1"/>
    <b v="0"/>
    <x v="0"/>
    <x v="0"/>
    <x v="0"/>
    <x v="0"/>
    <x v="2"/>
    <n v="0.1"/>
    <x v="16"/>
    <s v="All hours"/>
    <s v="Anaheim, CA"/>
    <n v="33.836599999999997"/>
    <n v="-117.9143"/>
    <d v="2025-05-29T00:00:00"/>
    <n v="4"/>
    <b v="1"/>
    <d v="2025-07-21T00:00:00"/>
    <x v="2"/>
    <x v="4"/>
  </r>
  <r>
    <b v="0"/>
    <d v="1899-12-30T10:34:00"/>
    <d v="1899-12-30T11:13:00"/>
    <n v="39"/>
    <x v="0"/>
    <b v="0"/>
    <b v="1"/>
    <x v="3"/>
    <x v="3"/>
    <x v="1"/>
    <x v="11"/>
    <x v="3"/>
    <n v="0.15"/>
    <x v="39"/>
    <s v="All hours + Priority access"/>
    <s v="Anaheim, CA"/>
    <n v="33.836599999999997"/>
    <n v="-117.9143"/>
    <d v="2023-02-06T00:00:00"/>
    <n v="0"/>
    <b v="0"/>
    <d v="2025-06-04T00:00:00"/>
    <x v="3"/>
    <x v="3"/>
  </r>
  <r>
    <b v="0"/>
    <d v="1899-12-30T11:31:00"/>
    <d v="1899-12-30T12:13:00"/>
    <n v="42"/>
    <x v="1"/>
    <b v="1"/>
    <b v="1"/>
    <x v="0"/>
    <x v="0"/>
    <x v="0"/>
    <x v="0"/>
    <x v="0"/>
    <n v="0.05"/>
    <x v="0"/>
    <s v="All hours"/>
    <s v="San Jose, CA"/>
    <n v="37.338200000000001"/>
    <n v="-121.88630000000001"/>
    <d v="2024-08-26T00:00:00"/>
    <n v="6"/>
    <b v="1"/>
    <d v="2025-07-06T00:00:00"/>
    <x v="3"/>
    <x v="3"/>
  </r>
  <r>
    <b v="0"/>
    <d v="1899-12-30T10:08:00"/>
    <d v="1899-12-30T11:02:00"/>
    <n v="54"/>
    <x v="0"/>
    <b v="1"/>
    <b v="0"/>
    <x v="1"/>
    <x v="0"/>
    <x v="0"/>
    <x v="0"/>
    <x v="1"/>
    <n v="0"/>
    <x v="5"/>
    <s v="All hours"/>
    <s v="Oakland, CA"/>
    <n v="37.804400000000001"/>
    <n v="-122.27119999999999"/>
    <d v="2025-02-17T00:00:00"/>
    <n v="4"/>
    <b v="1"/>
    <d v="2025-07-15T00:00:00"/>
    <x v="0"/>
    <x v="0"/>
  </r>
  <r>
    <b v="1"/>
    <d v="1899-12-30T20:14:00"/>
    <d v="1899-12-30T22:30:00"/>
    <n v="136"/>
    <x v="1"/>
    <b v="1"/>
    <b v="1"/>
    <x v="0"/>
    <x v="0"/>
    <x v="0"/>
    <x v="0"/>
    <x v="0"/>
    <n v="0.05"/>
    <x v="0"/>
    <s v="All hours"/>
    <s v="Sacramento, CA"/>
    <n v="38.581600000000002"/>
    <n v="-121.4944"/>
    <d v="2023-06-11T00:00:00"/>
    <n v="2"/>
    <b v="1"/>
    <d v="2025-06-11T00:00:00"/>
    <x v="1"/>
    <x v="1"/>
  </r>
  <r>
    <b v="0"/>
    <d v="1899-12-30T14:53:00"/>
    <d v="1899-12-30T16:53:00"/>
    <n v="120"/>
    <x v="1"/>
    <b v="0"/>
    <b v="0"/>
    <x v="4"/>
    <x v="1"/>
    <x v="0"/>
    <x v="1"/>
    <x v="1"/>
    <n v="0"/>
    <x v="1"/>
    <s v="Weekdays only"/>
    <s v="Anaheim, CA"/>
    <n v="33.836599999999997"/>
    <n v="-117.9143"/>
    <d v="2023-08-23T00:00:00"/>
    <n v="0"/>
    <b v="1"/>
    <d v="2025-06-15T00:00:00"/>
    <x v="3"/>
    <x v="3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2-12-01T00:00:00"/>
    <n v="0"/>
    <b v="1"/>
    <d v="2025-05-31T00:00:00"/>
    <x v="2"/>
    <x v="2"/>
  </r>
  <r>
    <b v="0"/>
    <d v="1899-12-30T18:01:00"/>
    <d v="1899-12-30T18:43:00"/>
    <n v="42"/>
    <x v="1"/>
    <b v="0"/>
    <b v="0"/>
    <x v="0"/>
    <x v="2"/>
    <x v="1"/>
    <x v="5"/>
    <x v="1"/>
    <n v="0"/>
    <x v="14"/>
    <s v="Off-peak only"/>
    <s v="Long Beach, CA"/>
    <n v="33.770099999999999"/>
    <n v="-118.19370000000001"/>
    <d v="2023-05-02T00:00:00"/>
    <n v="0"/>
    <b v="0"/>
    <d v="2025-06-08T00:00:00"/>
    <x v="3"/>
    <x v="3"/>
  </r>
  <r>
    <b v="0"/>
    <d v="1899-12-30T18:11:00"/>
    <d v="1899-12-30T20:51:00"/>
    <n v="160"/>
    <x v="1"/>
    <b v="1"/>
    <b v="1"/>
    <x v="0"/>
    <x v="1"/>
    <x v="0"/>
    <x v="1"/>
    <x v="0"/>
    <n v="0.05"/>
    <x v="7"/>
    <s v="Weekdays only"/>
    <s v="Sacramento, CA"/>
    <n v="38.581600000000002"/>
    <n v="-121.4944"/>
    <d v="2023-02-18T00:00:00"/>
    <n v="7"/>
    <b v="1"/>
    <d v="2025-06-04T00:00:00"/>
    <x v="3"/>
    <x v="3"/>
  </r>
  <r>
    <b v="1"/>
    <d v="1899-12-30T16:41:00"/>
    <d v="1899-12-30T17:48:00"/>
    <n v="67"/>
    <x v="1"/>
    <b v="0"/>
    <b v="1"/>
    <x v="0"/>
    <x v="3"/>
    <x v="0"/>
    <x v="3"/>
    <x v="1"/>
    <n v="0"/>
    <x v="4"/>
    <s v="All hours + Priority access"/>
    <s v="San Jose, CA"/>
    <n v="37.338200000000001"/>
    <n v="-121.88630000000001"/>
    <d v="2024-08-26T00:00:00"/>
    <n v="0"/>
    <b v="1"/>
    <d v="2025-07-06T00:00:00"/>
    <x v="1"/>
    <x v="1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4-12-16T00:00:00"/>
    <n v="0"/>
    <b v="1"/>
    <d v="2025-07-12T00:00:00"/>
    <x v="3"/>
    <x v="3"/>
  </r>
  <r>
    <b v="0"/>
    <d v="1899-12-30T19:07:00"/>
    <d v="1899-12-30T20:06:00"/>
    <n v="59"/>
    <x v="1"/>
    <b v="1"/>
    <b v="0"/>
    <x v="0"/>
    <x v="1"/>
    <x v="0"/>
    <x v="1"/>
    <x v="2"/>
    <n v="0.1"/>
    <x v="2"/>
    <s v="Weekdays only"/>
    <s v="Fresno, CA"/>
    <n v="36.7378"/>
    <n v="-119.7871"/>
    <d v="2023-04-15T00:00:00"/>
    <n v="8"/>
    <b v="1"/>
    <d v="2025-06-07T00:00:00"/>
    <x v="2"/>
    <x v="2"/>
  </r>
  <r>
    <b v="0"/>
    <d v="1899-12-30T11:58:00"/>
    <d v="1899-12-30T14:31:00"/>
    <n v="153"/>
    <x v="1"/>
    <b v="1"/>
    <b v="0"/>
    <x v="4"/>
    <x v="0"/>
    <x v="0"/>
    <x v="0"/>
    <x v="1"/>
    <n v="0"/>
    <x v="5"/>
    <s v="All hours"/>
    <s v="Long Beach, CA"/>
    <n v="33.770099999999999"/>
    <n v="-118.19370000000001"/>
    <d v="2023-02-14T00:00:00"/>
    <n v="3"/>
    <b v="0"/>
    <d v="2025-06-04T00:00:00"/>
    <x v="0"/>
    <x v="0"/>
  </r>
  <r>
    <b v="1"/>
    <d v="1899-12-30T19:09:00"/>
    <d v="1899-12-30T21:55:00"/>
    <n v="166"/>
    <x v="1"/>
    <b v="0"/>
    <b v="1"/>
    <x v="4"/>
    <x v="0"/>
    <x v="0"/>
    <x v="0"/>
    <x v="2"/>
    <n v="0.1"/>
    <x v="16"/>
    <s v="All hours"/>
    <s v="San Jose, CA"/>
    <n v="37.338200000000001"/>
    <n v="-121.88630000000001"/>
    <d v="2022-08-03T00:00:00"/>
    <n v="0"/>
    <b v="1"/>
    <d v="2025-05-24T00:00:00"/>
    <x v="0"/>
    <x v="0"/>
  </r>
  <r>
    <b v="0"/>
    <d v="1899-12-30T16:39:00"/>
    <d v="1899-12-30T18:30:00"/>
    <n v="111"/>
    <x v="1"/>
    <b v="0"/>
    <b v="0"/>
    <x v="0"/>
    <x v="3"/>
    <x v="0"/>
    <x v="3"/>
    <x v="0"/>
    <n v="0.05"/>
    <x v="23"/>
    <s v="All hours + Priority access"/>
    <s v="Fresno, CA"/>
    <n v="36.7378"/>
    <n v="-119.7871"/>
    <d v="2024-04-09T00:00:00"/>
    <n v="0"/>
    <b v="1"/>
    <d v="2025-06-28T00:00:00"/>
    <x v="2"/>
    <x v="2"/>
  </r>
  <r>
    <b v="0"/>
    <d v="1899-12-30T10:48:00"/>
    <d v="1899-12-30T12:09:00"/>
    <n v="81"/>
    <x v="0"/>
    <b v="0"/>
    <b v="0"/>
    <x v="0"/>
    <x v="1"/>
    <x v="0"/>
    <x v="1"/>
    <x v="0"/>
    <n v="0.05"/>
    <x v="7"/>
    <s v="Weekdays only"/>
    <s v="Long Beach, CA"/>
    <n v="33.770099999999999"/>
    <n v="-118.19370000000001"/>
    <d v="2024-05-22T00:00:00"/>
    <n v="0"/>
    <b v="0"/>
    <d v="2025-06-30T00:00:00"/>
    <x v="3"/>
    <x v="3"/>
  </r>
  <r>
    <b v="0"/>
    <d v="1899-12-30T14:17:00"/>
    <d v="1899-12-30T15:42:00"/>
    <n v="85"/>
    <x v="0"/>
    <b v="0"/>
    <b v="0"/>
    <x v="2"/>
    <x v="0"/>
    <x v="1"/>
    <x v="6"/>
    <x v="0"/>
    <n v="0.05"/>
    <x v="10"/>
    <s v="All hours"/>
    <s v="Bakersfield, CA"/>
    <n v="35.3733"/>
    <n v="-119.0187"/>
    <d v="2023-03-19T00:00:00"/>
    <n v="0"/>
    <b v="1"/>
    <d v="2025-06-06T00:00:00"/>
    <x v="3"/>
    <x v="3"/>
  </r>
  <r>
    <b v="0"/>
    <d v="1899-12-30T11:15:00"/>
    <d v="1899-12-30T13:24:00"/>
    <n v="129"/>
    <x v="1"/>
    <b v="1"/>
    <b v="1"/>
    <x v="4"/>
    <x v="1"/>
    <x v="0"/>
    <x v="1"/>
    <x v="0"/>
    <n v="0.05"/>
    <x v="7"/>
    <s v="Weekdays only"/>
    <s v="San Francisco, CA"/>
    <n v="37.774900000000002"/>
    <n v="-122.4194"/>
    <d v="2024-06-25T00:00:00"/>
    <n v="5"/>
    <b v="1"/>
    <d v="2025-07-02T00:00:00"/>
    <x v="1"/>
    <x v="1"/>
  </r>
  <r>
    <b v="1"/>
    <d v="1899-12-30T20:32:00"/>
    <d v="1899-12-30T22:20:00"/>
    <n v="108"/>
    <x v="1"/>
    <b v="0"/>
    <b v="0"/>
    <x v="3"/>
    <x v="0"/>
    <x v="2"/>
    <x v="10"/>
    <x v="1"/>
    <n v="0"/>
    <x v="16"/>
    <s v="All hours"/>
    <s v="Long Beach, CA"/>
    <n v="33.770099999999999"/>
    <n v="-118.19370000000001"/>
    <d v="2022-10-05T00:00:00"/>
    <n v="0"/>
    <b v="1"/>
    <d v="2025-05-28T00:00:00"/>
    <x v="3"/>
    <x v="3"/>
  </r>
  <r>
    <b v="1"/>
    <d v="1899-12-30T20:30:00"/>
    <d v="1899-12-30T21:24:00"/>
    <n v="54"/>
    <x v="1"/>
    <b v="1"/>
    <b v="1"/>
    <x v="0"/>
    <x v="0"/>
    <x v="0"/>
    <x v="0"/>
    <x v="2"/>
    <n v="0.1"/>
    <x v="16"/>
    <s v="All hours"/>
    <s v="San Jose, CA"/>
    <n v="37.338200000000001"/>
    <n v="-121.88630000000001"/>
    <d v="2022-12-21T00:00:00"/>
    <n v="3"/>
    <b v="0"/>
    <d v="2025-06-01T00:00:00"/>
    <x v="0"/>
    <x v="0"/>
  </r>
  <r>
    <b v="0"/>
    <d v="1899-12-30T11:20:00"/>
    <d v="1899-12-30T14:08:00"/>
    <n v="168"/>
    <x v="0"/>
    <b v="1"/>
    <b v="1"/>
    <x v="0"/>
    <x v="0"/>
    <x v="0"/>
    <x v="0"/>
    <x v="1"/>
    <n v="0"/>
    <x v="5"/>
    <s v="All hours"/>
    <s v="San Francisco, CA"/>
    <n v="37.774900000000002"/>
    <n v="-122.4194"/>
    <d v="2024-03-23T00:00:00"/>
    <n v="3"/>
    <b v="1"/>
    <d v="2025-06-27T00:00:00"/>
    <x v="0"/>
    <x v="0"/>
  </r>
  <r>
    <b v="0"/>
    <d v="1899-12-30T19:44:00"/>
    <d v="1899-12-30T20:26:00"/>
    <n v="42"/>
    <x v="1"/>
    <b v="1"/>
    <b v="1"/>
    <x v="0"/>
    <x v="2"/>
    <x v="0"/>
    <x v="2"/>
    <x v="1"/>
    <n v="0"/>
    <x v="3"/>
    <s v="Off-peak only"/>
    <s v="Sacramento, CA"/>
    <n v="38.581600000000002"/>
    <n v="-121.4944"/>
    <d v="2023-04-15T00:00:00"/>
    <n v="2"/>
    <b v="0"/>
    <d v="2025-06-07T00:00:00"/>
    <x v="0"/>
    <x v="0"/>
  </r>
  <r>
    <b v="0"/>
    <d v="1899-12-30T19:18:00"/>
    <d v="1899-12-30T21:39:00"/>
    <n v="141"/>
    <x v="0"/>
    <b v="1"/>
    <b v="1"/>
    <x v="4"/>
    <x v="0"/>
    <x v="0"/>
    <x v="0"/>
    <x v="1"/>
    <n v="0"/>
    <x v="5"/>
    <s v="All hours"/>
    <s v="Bakersfield, CA"/>
    <n v="35.3733"/>
    <n v="-119.0187"/>
    <d v="2023-04-11T00:00:00"/>
    <n v="3"/>
    <b v="1"/>
    <d v="2025-06-07T00:00:00"/>
    <x v="0"/>
    <x v="0"/>
  </r>
  <r>
    <b v="0"/>
    <d v="1899-12-30T18:28:00"/>
    <d v="1899-12-30T20:20:00"/>
    <n v="112"/>
    <x v="1"/>
    <b v="0"/>
    <b v="0"/>
    <x v="0"/>
    <x v="1"/>
    <x v="0"/>
    <x v="1"/>
    <x v="3"/>
    <n v="0.15"/>
    <x v="15"/>
    <s v="Weekdays only"/>
    <s v="Sacramento, CA"/>
    <n v="38.581600000000002"/>
    <n v="-121.4944"/>
    <d v="2025-03-05T00:00:00"/>
    <n v="0"/>
    <b v="0"/>
    <d v="2025-07-16T00:00:00"/>
    <x v="3"/>
    <x v="3"/>
  </r>
  <r>
    <b v="1"/>
    <d v="1899-12-30T12:46:00"/>
    <d v="1899-12-30T13:49:00"/>
    <n v="63"/>
    <x v="1"/>
    <b v="1"/>
    <b v="1"/>
    <x v="4"/>
    <x v="3"/>
    <x v="2"/>
    <x v="9"/>
    <x v="1"/>
    <n v="0"/>
    <x v="22"/>
    <s v="All hours + Priority access"/>
    <s v="Sacramento, CA"/>
    <n v="38.581600000000002"/>
    <n v="-121.4944"/>
    <d v="2022-11-04T00:00:00"/>
    <n v="8"/>
    <b v="1"/>
    <d v="2025-05-29T00:00:00"/>
    <x v="1"/>
    <x v="1"/>
  </r>
  <r>
    <b v="1"/>
    <d v="1899-12-30T19:59:00"/>
    <d v="1899-12-30T20:43:00"/>
    <n v="44"/>
    <x v="0"/>
    <b v="1"/>
    <b v="0"/>
    <x v="1"/>
    <x v="0"/>
    <x v="0"/>
    <x v="0"/>
    <x v="0"/>
    <n v="0.05"/>
    <x v="0"/>
    <s v="All hours"/>
    <s v="San Diego, CA"/>
    <n v="32.715699999999998"/>
    <n v="-117.1611"/>
    <d v="2024-01-01T00:00:00"/>
    <n v="6"/>
    <b v="1"/>
    <d v="2025-06-22T00:00:00"/>
    <x v="3"/>
    <x v="3"/>
  </r>
  <r>
    <b v="1"/>
    <d v="1899-12-30T20:00:00"/>
    <d v="1899-12-30T21:50:00"/>
    <n v="110"/>
    <x v="1"/>
    <b v="1"/>
    <b v="0"/>
    <x v="4"/>
    <x v="1"/>
    <x v="0"/>
    <x v="1"/>
    <x v="1"/>
    <n v="0"/>
    <x v="1"/>
    <s v="Weekdays only"/>
    <s v="San Diego, CA"/>
    <n v="32.715699999999998"/>
    <n v="-117.1611"/>
    <d v="2023-01-24T00:00:00"/>
    <n v="1"/>
    <b v="0"/>
    <d v="2025-06-03T00:00:00"/>
    <x v="3"/>
    <x v="3"/>
  </r>
  <r>
    <b v="1"/>
    <d v="1899-12-30T13:11:00"/>
    <d v="1899-12-30T15:56:00"/>
    <n v="165"/>
    <x v="1"/>
    <b v="0"/>
    <b v="0"/>
    <x v="0"/>
    <x v="0"/>
    <x v="0"/>
    <x v="0"/>
    <x v="0"/>
    <n v="0.05"/>
    <x v="0"/>
    <s v="All hours"/>
    <s v="Sacramento, CA"/>
    <n v="38.581600000000002"/>
    <n v="-121.4944"/>
    <d v="2024-07-17T00:00:00"/>
    <n v="0"/>
    <b v="1"/>
    <d v="2025-07-03T00:00:00"/>
    <x v="1"/>
    <x v="1"/>
  </r>
  <r>
    <b v="0"/>
    <d v="1899-12-30T09:16:00"/>
    <d v="1899-12-30T12:08:00"/>
    <n v="172"/>
    <x v="0"/>
    <b v="1"/>
    <b v="0"/>
    <x v="0"/>
    <x v="2"/>
    <x v="2"/>
    <x v="7"/>
    <x v="1"/>
    <n v="0"/>
    <x v="6"/>
    <s v="Off-peak only"/>
    <s v="Oakland, CA"/>
    <n v="37.804400000000001"/>
    <n v="-122.27119999999999"/>
    <d v="2022-11-12T00:00:00"/>
    <n v="4"/>
    <b v="0"/>
    <d v="2025-05-30T00:00:00"/>
    <x v="3"/>
    <x v="3"/>
  </r>
  <r>
    <b v="1"/>
    <d v="1899-12-30T10:36:00"/>
    <d v="1899-12-30T11:56:00"/>
    <n v="80"/>
    <x v="1"/>
    <b v="0"/>
    <b v="1"/>
    <x v="0"/>
    <x v="0"/>
    <x v="0"/>
    <x v="0"/>
    <x v="1"/>
    <n v="0"/>
    <x v="5"/>
    <s v="All hours"/>
    <s v="Oakland, CA"/>
    <n v="37.804400000000001"/>
    <n v="-122.27119999999999"/>
    <d v="2024-05-04T00:00:00"/>
    <n v="0"/>
    <b v="1"/>
    <d v="2025-06-29T00:00:00"/>
    <x v="1"/>
    <x v="1"/>
  </r>
  <r>
    <b v="0"/>
    <d v="1899-12-30T08:39:00"/>
    <d v="1899-12-30T10:37:00"/>
    <n v="118"/>
    <x v="0"/>
    <b v="0"/>
    <b v="0"/>
    <x v="0"/>
    <x v="0"/>
    <x v="0"/>
    <x v="0"/>
    <x v="0"/>
    <n v="0.05"/>
    <x v="0"/>
    <s v="All hours"/>
    <s v="San Jose, CA"/>
    <n v="37.338200000000001"/>
    <n v="-121.88630000000001"/>
    <d v="2025-06-11T00:00:00"/>
    <n v="0"/>
    <b v="1"/>
    <d v="2025-07-22T00:00:00"/>
    <x v="0"/>
    <x v="0"/>
  </r>
  <r>
    <b v="1"/>
    <d v="1899-12-30T20:15:00"/>
    <d v="1899-12-30T22:05:00"/>
    <n v="110"/>
    <x v="0"/>
    <b v="0"/>
    <b v="1"/>
    <x v="2"/>
    <x v="0"/>
    <x v="0"/>
    <x v="0"/>
    <x v="3"/>
    <n v="0.15"/>
    <x v="27"/>
    <s v="All hours"/>
    <s v="Fresno, CA"/>
    <n v="36.7378"/>
    <n v="-119.7871"/>
    <d v="2022-11-01T00:00:00"/>
    <n v="0"/>
    <b v="0"/>
    <d v="2025-05-29T00:00:00"/>
    <x v="3"/>
    <x v="3"/>
  </r>
  <r>
    <b v="1"/>
    <d v="1899-12-30T17:37:00"/>
    <d v="1899-12-30T19:57:00"/>
    <n v="140"/>
    <x v="1"/>
    <b v="1"/>
    <b v="1"/>
    <x v="3"/>
    <x v="0"/>
    <x v="1"/>
    <x v="6"/>
    <x v="0"/>
    <n v="0.05"/>
    <x v="10"/>
    <s v="All hours"/>
    <s v="San Francisco, CA"/>
    <n v="37.774900000000002"/>
    <n v="-122.4194"/>
    <d v="2025-03-17T00:00:00"/>
    <n v="1"/>
    <b v="0"/>
    <d v="2025-07-17T00:00:00"/>
    <x v="3"/>
    <x v="3"/>
  </r>
  <r>
    <b v="1"/>
    <d v="1899-12-30T13:58:00"/>
    <d v="1899-12-30T15:56:00"/>
    <n v="118"/>
    <x v="1"/>
    <b v="1"/>
    <b v="1"/>
    <x v="1"/>
    <x v="1"/>
    <x v="0"/>
    <x v="1"/>
    <x v="0"/>
    <n v="0.05"/>
    <x v="7"/>
    <s v="Weekdays only"/>
    <s v="Anaheim, CA"/>
    <n v="33.836599999999997"/>
    <n v="-117.9143"/>
    <d v="2024-07-17T00:00:00"/>
    <n v="7"/>
    <b v="0"/>
    <d v="2025-07-03T00:00:00"/>
    <x v="2"/>
    <x v="4"/>
  </r>
  <r>
    <b v="0"/>
    <d v="1899-12-30T11:18:00"/>
    <d v="1899-12-30T14:09:00"/>
    <n v="171"/>
    <x v="0"/>
    <b v="1"/>
    <b v="1"/>
    <x v="0"/>
    <x v="1"/>
    <x v="1"/>
    <x v="4"/>
    <x v="1"/>
    <n v="0"/>
    <x v="8"/>
    <s v="Weekdays only"/>
    <s v="Anaheim, CA"/>
    <n v="33.836599999999997"/>
    <n v="-117.9143"/>
    <d v="2022-09-15T00:00:00"/>
    <n v="8"/>
    <b v="0"/>
    <d v="2025-05-26T00:00:00"/>
    <x v="0"/>
    <x v="0"/>
  </r>
  <r>
    <b v="0"/>
    <d v="1899-12-30T18:22:00"/>
    <d v="1899-12-30T19:04:00"/>
    <n v="42"/>
    <x v="0"/>
    <b v="0"/>
    <b v="0"/>
    <x v="1"/>
    <x v="1"/>
    <x v="1"/>
    <x v="4"/>
    <x v="1"/>
    <n v="0"/>
    <x v="8"/>
    <s v="Weekdays only"/>
    <s v="Long Beach, CA"/>
    <n v="33.770099999999999"/>
    <n v="-118.19370000000001"/>
    <d v="2022-09-14T00:00:00"/>
    <n v="0"/>
    <b v="0"/>
    <d v="2025-05-26T00:00:00"/>
    <x v="3"/>
    <x v="3"/>
  </r>
  <r>
    <b v="0"/>
    <d v="1899-12-30T14:36:00"/>
    <d v="1899-12-30T15:56:00"/>
    <n v="80"/>
    <x v="0"/>
    <b v="1"/>
    <b v="0"/>
    <x v="1"/>
    <x v="1"/>
    <x v="0"/>
    <x v="1"/>
    <x v="3"/>
    <n v="0.15"/>
    <x v="15"/>
    <s v="Weekdays only"/>
    <s v="Long Beach, CA"/>
    <n v="33.770099999999999"/>
    <n v="-118.19370000000001"/>
    <d v="2023-10-21T00:00:00"/>
    <n v="8"/>
    <b v="0"/>
    <d v="2025-06-18T00:00:00"/>
    <x v="1"/>
    <x v="1"/>
  </r>
  <r>
    <b v="0"/>
    <d v="1899-12-30T20:52:00"/>
    <d v="1899-12-30T22:02:00"/>
    <n v="70"/>
    <x v="1"/>
    <b v="1"/>
    <b v="1"/>
    <x v="4"/>
    <x v="0"/>
    <x v="0"/>
    <x v="0"/>
    <x v="3"/>
    <n v="0.15"/>
    <x v="27"/>
    <s v="All hours"/>
    <s v="Fresno, CA"/>
    <n v="36.7378"/>
    <n v="-119.7871"/>
    <d v="2023-08-20T00:00:00"/>
    <n v="5"/>
    <b v="1"/>
    <d v="2025-06-15T00:00:00"/>
    <x v="2"/>
    <x v="4"/>
  </r>
  <r>
    <b v="0"/>
    <d v="1899-12-30T15:04:00"/>
    <d v="1899-12-30T17:05:00"/>
    <n v="121"/>
    <x v="0"/>
    <b v="1"/>
    <b v="0"/>
    <x v="2"/>
    <x v="0"/>
    <x v="1"/>
    <x v="6"/>
    <x v="3"/>
    <n v="0.15"/>
    <x v="28"/>
    <s v="All hours"/>
    <s v="Oakland, CA"/>
    <n v="37.804400000000001"/>
    <n v="-122.27119999999999"/>
    <d v="2024-03-02T00:00:00"/>
    <n v="8"/>
    <b v="1"/>
    <d v="2025-06-26T00:00:00"/>
    <x v="0"/>
    <x v="0"/>
  </r>
  <r>
    <b v="1"/>
    <d v="1899-12-30T16:41:00"/>
    <d v="1899-12-30T18:29:00"/>
    <n v="108"/>
    <x v="0"/>
    <b v="0"/>
    <b v="1"/>
    <x v="1"/>
    <x v="1"/>
    <x v="1"/>
    <x v="4"/>
    <x v="1"/>
    <n v="0"/>
    <x v="8"/>
    <s v="Weekdays only"/>
    <s v="Oakland, CA"/>
    <n v="37.804400000000001"/>
    <n v="-122.27119999999999"/>
    <d v="2024-08-14T00:00:00"/>
    <n v="0"/>
    <b v="0"/>
    <d v="2025-07-05T00:00:00"/>
    <x v="1"/>
    <x v="1"/>
  </r>
  <r>
    <b v="0"/>
    <d v="1899-12-30T13:36:00"/>
    <d v="1899-12-30T14:08:00"/>
    <n v="32"/>
    <x v="0"/>
    <b v="1"/>
    <b v="0"/>
    <x v="0"/>
    <x v="1"/>
    <x v="0"/>
    <x v="1"/>
    <x v="1"/>
    <n v="0"/>
    <x v="1"/>
    <s v="Weekdays only"/>
    <s v="Oakland, CA"/>
    <n v="37.804400000000001"/>
    <n v="-122.27119999999999"/>
    <d v="2024-07-07T00:00:00"/>
    <n v="4"/>
    <b v="0"/>
    <d v="2025-07-03T00:00:00"/>
    <x v="2"/>
    <x v="4"/>
  </r>
  <r>
    <b v="1"/>
    <d v="1899-12-30T20:57:00"/>
    <d v="1899-12-30T23:35:00"/>
    <n v="158"/>
    <x v="0"/>
    <b v="0"/>
    <b v="1"/>
    <x v="1"/>
    <x v="3"/>
    <x v="0"/>
    <x v="3"/>
    <x v="1"/>
    <n v="0"/>
    <x v="4"/>
    <s v="All hours + Priority access"/>
    <s v="Anaheim, CA"/>
    <n v="33.836599999999997"/>
    <n v="-117.9143"/>
    <d v="2023-07-07T00:00:00"/>
    <n v="0"/>
    <b v="1"/>
    <d v="2025-06-12T00:00:00"/>
    <x v="3"/>
    <x v="3"/>
  </r>
  <r>
    <b v="1"/>
    <d v="1899-12-30T12:27:00"/>
    <d v="1899-12-30T14:03:00"/>
    <n v="96"/>
    <x v="1"/>
    <b v="0"/>
    <b v="1"/>
    <x v="4"/>
    <x v="2"/>
    <x v="0"/>
    <x v="2"/>
    <x v="1"/>
    <n v="0"/>
    <x v="3"/>
    <s v="Off-peak only"/>
    <s v="Oakland, CA"/>
    <n v="37.804400000000001"/>
    <n v="-122.27119999999999"/>
    <d v="2023-04-13T00:00:00"/>
    <n v="0"/>
    <b v="0"/>
    <d v="2025-06-07T00:00:00"/>
    <x v="3"/>
    <x v="3"/>
  </r>
  <r>
    <b v="0"/>
    <d v="1899-12-30T19:45:00"/>
    <d v="1899-12-30T22:44:00"/>
    <n v="179"/>
    <x v="0"/>
    <b v="1"/>
    <b v="0"/>
    <x v="0"/>
    <x v="2"/>
    <x v="1"/>
    <x v="5"/>
    <x v="1"/>
    <n v="0"/>
    <x v="14"/>
    <s v="Off-peak only"/>
    <s v="Bakersfield, CA"/>
    <n v="35.3733"/>
    <n v="-119.0187"/>
    <d v="2023-03-02T00:00:00"/>
    <n v="8"/>
    <b v="0"/>
    <d v="2025-06-05T00:00:00"/>
    <x v="2"/>
    <x v="2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3-03-05T00:00:00"/>
    <n v="3"/>
    <b v="0"/>
    <d v="2025-06-05T00:00:00"/>
    <x v="3"/>
    <x v="3"/>
  </r>
  <r>
    <b v="1"/>
    <d v="1899-12-30T19:07:00"/>
    <d v="1899-12-30T22:02:00"/>
    <n v="175"/>
    <x v="1"/>
    <b v="0"/>
    <b v="1"/>
    <x v="0"/>
    <x v="1"/>
    <x v="2"/>
    <x v="8"/>
    <x v="1"/>
    <n v="0"/>
    <x v="2"/>
    <s v="Weekdays only"/>
    <s v="Anaheim, CA"/>
    <n v="33.836599999999997"/>
    <n v="-117.9143"/>
    <d v="2025-03-17T00:00:00"/>
    <n v="0"/>
    <b v="1"/>
    <d v="2025-07-17T00:00:00"/>
    <x v="2"/>
    <x v="4"/>
  </r>
  <r>
    <b v="1"/>
    <d v="1899-12-30T15:31:00"/>
    <d v="1899-12-30T18:22:00"/>
    <n v="171"/>
    <x v="0"/>
    <b v="0"/>
    <b v="1"/>
    <x v="0"/>
    <x v="0"/>
    <x v="0"/>
    <x v="0"/>
    <x v="0"/>
    <n v="0.05"/>
    <x v="0"/>
    <s v="All hours"/>
    <s v="San Jose, CA"/>
    <n v="37.338200000000001"/>
    <n v="-121.88630000000001"/>
    <d v="2024-01-13T00:00:00"/>
    <n v="0"/>
    <b v="1"/>
    <d v="2025-06-23T00:00:00"/>
    <x v="2"/>
    <x v="4"/>
  </r>
  <r>
    <b v="1"/>
    <d v="1899-12-30T19:35:00"/>
    <d v="1899-12-30T21:08:00"/>
    <n v="93"/>
    <x v="0"/>
    <b v="0"/>
    <b v="0"/>
    <x v="2"/>
    <x v="0"/>
    <x v="1"/>
    <x v="6"/>
    <x v="2"/>
    <n v="0.1"/>
    <x v="30"/>
    <s v="All hours"/>
    <s v="Fresno, CA"/>
    <n v="36.7378"/>
    <n v="-119.7871"/>
    <d v="2025-04-22T00:00:00"/>
    <n v="0"/>
    <b v="1"/>
    <d v="2025-07-19T00:00:00"/>
    <x v="0"/>
    <x v="0"/>
  </r>
  <r>
    <b v="0"/>
    <d v="1899-12-30T18:42:00"/>
    <d v="1899-12-30T21:41:00"/>
    <n v="179"/>
    <x v="0"/>
    <b v="1"/>
    <b v="1"/>
    <x v="0"/>
    <x v="1"/>
    <x v="0"/>
    <x v="1"/>
    <x v="1"/>
    <n v="0"/>
    <x v="1"/>
    <s v="Weekdays only"/>
    <s v="Sacramento, CA"/>
    <n v="38.581600000000002"/>
    <n v="-121.4944"/>
    <d v="2023-11-15T00:00:00"/>
    <n v="5"/>
    <b v="1"/>
    <d v="2025-06-20T00:00:00"/>
    <x v="1"/>
    <x v="1"/>
  </r>
  <r>
    <b v="0"/>
    <d v="1899-12-30T19:28:00"/>
    <d v="1899-12-30T22:18:00"/>
    <n v="170"/>
    <x v="1"/>
    <b v="1"/>
    <b v="0"/>
    <x v="4"/>
    <x v="2"/>
    <x v="0"/>
    <x v="2"/>
    <x v="1"/>
    <n v="0"/>
    <x v="3"/>
    <s v="Off-peak only"/>
    <s v="Los Angeles, CA"/>
    <n v="34.052199999999999"/>
    <n v="-118.2437"/>
    <d v="2024-03-09T00:00:00"/>
    <n v="4"/>
    <b v="0"/>
    <d v="2025-06-26T00:00:00"/>
    <x v="3"/>
    <x v="3"/>
  </r>
  <r>
    <b v="0"/>
    <d v="1899-12-30T17:12:00"/>
    <d v="1899-12-30T18:19:00"/>
    <n v="67"/>
    <x v="0"/>
    <b v="0"/>
    <b v="1"/>
    <x v="0"/>
    <x v="2"/>
    <x v="1"/>
    <x v="5"/>
    <x v="1"/>
    <n v="0"/>
    <x v="14"/>
    <s v="Off-peak only"/>
    <s v="San Diego, CA"/>
    <n v="32.715699999999998"/>
    <n v="-117.1611"/>
    <d v="2022-11-20T00:00:00"/>
    <n v="0"/>
    <b v="0"/>
    <d v="2025-05-30T00:00:00"/>
    <x v="3"/>
    <x v="3"/>
  </r>
  <r>
    <b v="1"/>
    <d v="1899-12-30T20:40:00"/>
    <d v="1899-12-30T21:24:00"/>
    <n v="44"/>
    <x v="0"/>
    <b v="1"/>
    <b v="0"/>
    <x v="4"/>
    <x v="1"/>
    <x v="0"/>
    <x v="1"/>
    <x v="1"/>
    <n v="0"/>
    <x v="1"/>
    <s v="Weekdays only"/>
    <s v="San Diego, CA"/>
    <n v="32.715699999999998"/>
    <n v="-117.1611"/>
    <d v="2024-06-14T00:00:00"/>
    <n v="6"/>
    <b v="1"/>
    <d v="2025-07-01T00:00:00"/>
    <x v="0"/>
    <x v="0"/>
  </r>
  <r>
    <b v="0"/>
    <d v="1899-12-30T15:28:00"/>
    <d v="1899-12-30T17:58:00"/>
    <n v="150"/>
    <x v="1"/>
    <b v="0"/>
    <b v="1"/>
    <x v="4"/>
    <x v="1"/>
    <x v="2"/>
    <x v="8"/>
    <x v="3"/>
    <n v="0.15"/>
    <x v="24"/>
    <s v="Weekdays only"/>
    <s v="Fresno, CA"/>
    <n v="36.7378"/>
    <n v="-119.7871"/>
    <d v="2025-02-18T00:00:00"/>
    <n v="0"/>
    <b v="0"/>
    <d v="2025-07-15T00:00:00"/>
    <x v="3"/>
    <x v="3"/>
  </r>
  <r>
    <b v="0"/>
    <d v="1899-12-30T19:37:00"/>
    <d v="1899-12-30T21:31:00"/>
    <n v="114"/>
    <x v="1"/>
    <b v="0"/>
    <b v="0"/>
    <x v="0"/>
    <x v="2"/>
    <x v="0"/>
    <x v="2"/>
    <x v="3"/>
    <n v="0.15"/>
    <x v="17"/>
    <s v="Off-peak only"/>
    <s v="Anaheim, CA"/>
    <n v="33.836599999999997"/>
    <n v="-117.9143"/>
    <d v="2025-01-21T00:00:00"/>
    <n v="0"/>
    <b v="0"/>
    <d v="2025-07-14T00:00:00"/>
    <x v="0"/>
    <x v="0"/>
  </r>
  <r>
    <b v="1"/>
    <d v="1899-12-30T08:15:00"/>
    <d v="1899-12-30T08:50:00"/>
    <n v="35"/>
    <x v="0"/>
    <b v="0"/>
    <b v="0"/>
    <x v="0"/>
    <x v="3"/>
    <x v="0"/>
    <x v="3"/>
    <x v="1"/>
    <n v="0"/>
    <x v="4"/>
    <s v="All hours + Priority access"/>
    <s v="Los Angeles, CA"/>
    <n v="34.052199999999999"/>
    <n v="-118.2437"/>
    <d v="2023-04-03T00:00:00"/>
    <n v="0"/>
    <b v="1"/>
    <d v="2025-06-07T00:00:00"/>
    <x v="0"/>
    <x v="0"/>
  </r>
  <r>
    <b v="0"/>
    <d v="1899-12-30T11:53:00"/>
    <d v="1899-12-30T12:48:00"/>
    <n v="55"/>
    <x v="0"/>
    <b v="0"/>
    <b v="0"/>
    <x v="0"/>
    <x v="1"/>
    <x v="1"/>
    <x v="4"/>
    <x v="2"/>
    <n v="0.1"/>
    <x v="26"/>
    <s v="Weekdays only"/>
    <s v="San Diego, CA"/>
    <n v="32.715699999999998"/>
    <n v="-117.1611"/>
    <d v="2023-09-03T00:00:00"/>
    <n v="0"/>
    <b v="0"/>
    <d v="2025-06-15T00:00:00"/>
    <x v="0"/>
    <x v="0"/>
  </r>
  <r>
    <b v="1"/>
    <d v="1899-12-30T10:31:00"/>
    <d v="1899-12-30T11:48:00"/>
    <n v="77"/>
    <x v="1"/>
    <b v="1"/>
    <b v="0"/>
    <x v="0"/>
    <x v="2"/>
    <x v="1"/>
    <x v="5"/>
    <x v="0"/>
    <n v="0.05"/>
    <x v="9"/>
    <s v="Off-peak only"/>
    <s v="Anaheim, CA"/>
    <n v="33.836599999999997"/>
    <n v="-117.9143"/>
    <d v="2025-03-07T00:00:00"/>
    <n v="6"/>
    <b v="0"/>
    <d v="2025-07-16T00:00:00"/>
    <x v="3"/>
    <x v="3"/>
  </r>
  <r>
    <b v="0"/>
    <d v="1899-12-30T16:49:00"/>
    <d v="1899-12-30T19:10:00"/>
    <n v="141"/>
    <x v="0"/>
    <b v="1"/>
    <b v="1"/>
    <x v="4"/>
    <x v="0"/>
    <x v="1"/>
    <x v="6"/>
    <x v="3"/>
    <n v="0.15"/>
    <x v="28"/>
    <s v="All hours"/>
    <s v="Oakland, CA"/>
    <n v="37.804400000000001"/>
    <n v="-122.27119999999999"/>
    <d v="2025-03-25T00:00:00"/>
    <n v="6"/>
    <b v="1"/>
    <d v="2025-07-17T00:00:00"/>
    <x v="1"/>
    <x v="1"/>
  </r>
  <r>
    <b v="0"/>
    <d v="1899-12-30T08:13:00"/>
    <d v="1899-12-30T09:06:00"/>
    <n v="53"/>
    <x v="1"/>
    <b v="0"/>
    <b v="0"/>
    <x v="0"/>
    <x v="2"/>
    <x v="1"/>
    <x v="5"/>
    <x v="1"/>
    <n v="0"/>
    <x v="14"/>
    <s v="Off-peak only"/>
    <s v="San Francisco, CA"/>
    <n v="37.774900000000002"/>
    <n v="-122.4194"/>
    <d v="2023-06-07T00:00:00"/>
    <n v="0"/>
    <b v="0"/>
    <d v="2025-06-10T00:00:00"/>
    <x v="1"/>
    <x v="1"/>
  </r>
  <r>
    <b v="0"/>
    <d v="1899-12-30T15:05:00"/>
    <d v="1899-12-30T16:19:00"/>
    <n v="74"/>
    <x v="0"/>
    <b v="1"/>
    <b v="1"/>
    <x v="1"/>
    <x v="1"/>
    <x v="0"/>
    <x v="1"/>
    <x v="1"/>
    <n v="0"/>
    <x v="1"/>
    <s v="Weekdays only"/>
    <s v="San Diego, CA"/>
    <n v="32.715699999999998"/>
    <n v="-117.1611"/>
    <d v="2025-04-06T00:00:00"/>
    <n v="6"/>
    <b v="0"/>
    <d v="2025-07-18T00:00:00"/>
    <x v="3"/>
    <x v="3"/>
  </r>
  <r>
    <b v="0"/>
    <d v="1899-12-30T15:41:00"/>
    <d v="1899-12-30T17:45:00"/>
    <n v="124"/>
    <x v="1"/>
    <b v="0"/>
    <b v="0"/>
    <x v="0"/>
    <x v="1"/>
    <x v="0"/>
    <x v="1"/>
    <x v="2"/>
    <n v="0.1"/>
    <x v="2"/>
    <s v="Weekdays only"/>
    <s v="Los Angeles, CA"/>
    <n v="34.052199999999999"/>
    <n v="-118.2437"/>
    <d v="2023-01-29T00:00:00"/>
    <n v="0"/>
    <b v="0"/>
    <d v="2025-06-03T00:00:00"/>
    <x v="0"/>
    <x v="0"/>
  </r>
  <r>
    <b v="1"/>
    <d v="1899-12-30T08:58:00"/>
    <d v="1899-12-30T11:53:00"/>
    <n v="175"/>
    <x v="0"/>
    <b v="1"/>
    <b v="1"/>
    <x v="0"/>
    <x v="0"/>
    <x v="1"/>
    <x v="6"/>
    <x v="1"/>
    <n v="0"/>
    <x v="12"/>
    <s v="All hours"/>
    <s v="Long Beach, CA"/>
    <n v="33.770099999999999"/>
    <n v="-118.19370000000001"/>
    <d v="2023-06-01T00:00:00"/>
    <n v="3"/>
    <b v="1"/>
    <d v="2025-06-10T00:00:00"/>
    <x v="3"/>
    <x v="3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5-03-28T00:00:00"/>
    <n v="8"/>
    <b v="1"/>
    <d v="2025-07-18T00:00:00"/>
    <x v="3"/>
    <x v="3"/>
  </r>
  <r>
    <b v="0"/>
    <d v="1899-12-30T19:31:00"/>
    <d v="1899-12-30T20:19:00"/>
    <n v="48"/>
    <x v="0"/>
    <b v="1"/>
    <b v="0"/>
    <x v="3"/>
    <x v="0"/>
    <x v="0"/>
    <x v="0"/>
    <x v="3"/>
    <n v="0.15"/>
    <x v="27"/>
    <s v="All hours"/>
    <s v="San Jose, CA"/>
    <n v="37.338200000000001"/>
    <n v="-121.88630000000001"/>
    <d v="2025-03-24T00:00:00"/>
    <n v="1"/>
    <b v="0"/>
    <d v="2025-07-17T00:00:00"/>
    <x v="0"/>
    <x v="0"/>
  </r>
  <r>
    <b v="1"/>
    <d v="1899-12-30T15:40:00"/>
    <d v="1899-12-30T17:21:00"/>
    <n v="101"/>
    <x v="1"/>
    <b v="1"/>
    <b v="0"/>
    <x v="4"/>
    <x v="2"/>
    <x v="0"/>
    <x v="2"/>
    <x v="2"/>
    <n v="0.1"/>
    <x v="6"/>
    <s v="Off-peak only"/>
    <s v="Los Angeles, CA"/>
    <n v="34.052199999999999"/>
    <n v="-118.2437"/>
    <d v="2022-08-07T00:00:00"/>
    <n v="4"/>
    <b v="1"/>
    <d v="2025-05-24T00:00:00"/>
    <x v="0"/>
    <x v="0"/>
  </r>
  <r>
    <b v="0"/>
    <d v="1899-12-30T14:23:00"/>
    <d v="1899-12-30T15:48:00"/>
    <n v="85"/>
    <x v="1"/>
    <b v="0"/>
    <b v="0"/>
    <x v="2"/>
    <x v="1"/>
    <x v="0"/>
    <x v="1"/>
    <x v="1"/>
    <n v="0"/>
    <x v="1"/>
    <s v="Weekdays only"/>
    <s v="Long Beach, CA"/>
    <n v="33.770099999999999"/>
    <n v="-118.19370000000001"/>
    <d v="2024-05-20T00:00:00"/>
    <n v="0"/>
    <b v="0"/>
    <d v="2025-06-30T00:00:00"/>
    <x v="1"/>
    <x v="1"/>
  </r>
  <r>
    <b v="0"/>
    <d v="1899-12-30T16:20:00"/>
    <d v="1899-12-30T17:20:00"/>
    <n v="60"/>
    <x v="1"/>
    <b v="1"/>
    <b v="0"/>
    <x v="0"/>
    <x v="2"/>
    <x v="0"/>
    <x v="2"/>
    <x v="0"/>
    <n v="0.05"/>
    <x v="18"/>
    <s v="Off-peak only"/>
    <s v="San Jose, CA"/>
    <n v="37.338200000000001"/>
    <n v="-121.88630000000001"/>
    <d v="2024-05-24T00:00:00"/>
    <n v="3"/>
    <b v="1"/>
    <d v="2025-06-30T00:00:00"/>
    <x v="0"/>
    <x v="0"/>
  </r>
  <r>
    <b v="1"/>
    <d v="1899-12-30T09:42:00"/>
    <d v="1899-12-30T12:23:00"/>
    <n v="161"/>
    <x v="1"/>
    <b v="1"/>
    <b v="0"/>
    <x v="0"/>
    <x v="0"/>
    <x v="0"/>
    <x v="0"/>
    <x v="3"/>
    <n v="0.15"/>
    <x v="27"/>
    <s v="All hours"/>
    <s v="Bakersfield, CA"/>
    <n v="35.3733"/>
    <n v="-119.0187"/>
    <d v="2023-02-08T00:00:00"/>
    <n v="6"/>
    <b v="1"/>
    <d v="2025-06-04T00:00:00"/>
    <x v="1"/>
    <x v="1"/>
  </r>
  <r>
    <b v="0"/>
    <d v="1899-12-30T11:53:00"/>
    <d v="1899-12-30T12:48:00"/>
    <n v="55"/>
    <x v="0"/>
    <b v="0"/>
    <b v="0"/>
    <x v="0"/>
    <x v="1"/>
    <x v="1"/>
    <x v="4"/>
    <x v="2"/>
    <n v="0.1"/>
    <x v="26"/>
    <s v="Weekdays only"/>
    <s v="San Diego, CA"/>
    <n v="32.715699999999998"/>
    <n v="-117.1611"/>
    <d v="2022-09-18T00:00:00"/>
    <n v="0"/>
    <b v="0"/>
    <d v="2025-05-27T00:00:00"/>
    <x v="0"/>
    <x v="0"/>
  </r>
  <r>
    <b v="1"/>
    <d v="1899-12-30T12:16:00"/>
    <d v="1899-12-30T12:49:00"/>
    <n v="33"/>
    <x v="0"/>
    <b v="0"/>
    <b v="0"/>
    <x v="0"/>
    <x v="0"/>
    <x v="0"/>
    <x v="0"/>
    <x v="3"/>
    <n v="0.15"/>
    <x v="27"/>
    <s v="All hours"/>
    <s v="Bakersfield, CA"/>
    <n v="35.3733"/>
    <n v="-119.0187"/>
    <d v="2022-08-07T00:00:00"/>
    <n v="0"/>
    <b v="0"/>
    <d v="2025-05-24T00:00:00"/>
    <x v="1"/>
    <x v="1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3-04-12T00:00:00"/>
    <n v="7"/>
    <b v="0"/>
    <d v="2025-06-07T00:00:00"/>
    <x v="3"/>
    <x v="3"/>
  </r>
  <r>
    <b v="0"/>
    <d v="1899-12-30T09:46:00"/>
    <d v="1899-12-30T10:56:00"/>
    <n v="70"/>
    <x v="0"/>
    <b v="0"/>
    <b v="1"/>
    <x v="0"/>
    <x v="1"/>
    <x v="2"/>
    <x v="8"/>
    <x v="1"/>
    <n v="0"/>
    <x v="2"/>
    <s v="Weekdays only"/>
    <s v="Anaheim, CA"/>
    <n v="33.836599999999997"/>
    <n v="-117.9143"/>
    <d v="2024-05-18T00:00:00"/>
    <n v="0"/>
    <b v="0"/>
    <d v="2025-06-30T00:00:00"/>
    <x v="2"/>
    <x v="4"/>
  </r>
  <r>
    <b v="0"/>
    <d v="1899-12-30T13:55:00"/>
    <d v="1899-12-30T16:22:00"/>
    <n v="147"/>
    <x v="0"/>
    <b v="0"/>
    <b v="1"/>
    <x v="0"/>
    <x v="1"/>
    <x v="0"/>
    <x v="1"/>
    <x v="3"/>
    <n v="0.15"/>
    <x v="15"/>
    <s v="Weekdays only"/>
    <s v="Long Beach, CA"/>
    <n v="33.770099999999999"/>
    <n v="-118.19370000000001"/>
    <d v="2025-03-26T00:00:00"/>
    <n v="0"/>
    <b v="0"/>
    <d v="2025-07-17T00:00:00"/>
    <x v="0"/>
    <x v="0"/>
  </r>
  <r>
    <b v="1"/>
    <d v="1899-12-30T20:15:00"/>
    <d v="1899-12-30T22:05:00"/>
    <n v="110"/>
    <x v="0"/>
    <b v="0"/>
    <b v="1"/>
    <x v="2"/>
    <x v="0"/>
    <x v="0"/>
    <x v="0"/>
    <x v="3"/>
    <n v="0.15"/>
    <x v="27"/>
    <s v="All hours"/>
    <s v="Fresno, CA"/>
    <n v="36.7378"/>
    <n v="-119.7871"/>
    <d v="2023-03-18T00:00:00"/>
    <n v="0"/>
    <b v="1"/>
    <d v="2025-06-06T00:00:00"/>
    <x v="3"/>
    <x v="3"/>
  </r>
  <r>
    <b v="1"/>
    <d v="1899-12-30T14:49:00"/>
    <d v="1899-12-30T16:32:00"/>
    <n v="103"/>
    <x v="1"/>
    <b v="1"/>
    <b v="0"/>
    <x v="0"/>
    <x v="0"/>
    <x v="1"/>
    <x v="6"/>
    <x v="2"/>
    <n v="0.1"/>
    <x v="30"/>
    <s v="All hours"/>
    <s v="Bakersfield, CA"/>
    <n v="35.3733"/>
    <n v="-119.0187"/>
    <d v="2023-11-06T00:00:00"/>
    <n v="8"/>
    <b v="0"/>
    <d v="2025-06-19T00:00:00"/>
    <x v="1"/>
    <x v="1"/>
  </r>
  <r>
    <b v="1"/>
    <d v="1899-12-30T13:20:00"/>
    <d v="1899-12-30T14:42:00"/>
    <n v="82"/>
    <x v="0"/>
    <b v="0"/>
    <b v="0"/>
    <x v="1"/>
    <x v="1"/>
    <x v="2"/>
    <x v="8"/>
    <x v="1"/>
    <n v="0"/>
    <x v="2"/>
    <s v="Weekdays only"/>
    <s v="San Diego, CA"/>
    <n v="32.715699999999998"/>
    <n v="-117.1611"/>
    <d v="2024-03-28T00:00:00"/>
    <n v="0"/>
    <b v="0"/>
    <d v="2025-06-27T00:00:00"/>
    <x v="1"/>
    <x v="1"/>
  </r>
  <r>
    <b v="1"/>
    <d v="1899-12-30T12:54:00"/>
    <d v="1899-12-30T15:10:00"/>
    <n v="136"/>
    <x v="1"/>
    <b v="1"/>
    <b v="1"/>
    <x v="0"/>
    <x v="0"/>
    <x v="1"/>
    <x v="6"/>
    <x v="2"/>
    <n v="0.1"/>
    <x v="30"/>
    <s v="All hours"/>
    <s v="Fresno, CA"/>
    <n v="36.7378"/>
    <n v="-119.7871"/>
    <d v="2022-10-31T00:00:00"/>
    <n v="1"/>
    <b v="1"/>
    <d v="2025-05-29T00:00:00"/>
    <x v="2"/>
    <x v="4"/>
  </r>
  <r>
    <b v="1"/>
    <d v="1899-12-30T13:04:00"/>
    <d v="1899-12-30T13:58:00"/>
    <n v="54"/>
    <x v="0"/>
    <b v="1"/>
    <b v="1"/>
    <x v="1"/>
    <x v="1"/>
    <x v="1"/>
    <x v="4"/>
    <x v="3"/>
    <n v="0.15"/>
    <x v="29"/>
    <s v="Weekdays only"/>
    <s v="Sacramento, CA"/>
    <n v="38.581600000000002"/>
    <n v="-121.4944"/>
    <d v="2025-02-24T00:00:00"/>
    <n v="7"/>
    <b v="1"/>
    <d v="2025-07-16T00:00:00"/>
    <x v="1"/>
    <x v="1"/>
  </r>
  <r>
    <b v="0"/>
    <d v="1899-12-30T13:11:00"/>
    <d v="1899-12-30T14:21:00"/>
    <n v="70"/>
    <x v="0"/>
    <b v="0"/>
    <b v="0"/>
    <x v="4"/>
    <x v="1"/>
    <x v="0"/>
    <x v="1"/>
    <x v="0"/>
    <n v="0.05"/>
    <x v="7"/>
    <s v="Weekdays only"/>
    <s v="Long Beach, CA"/>
    <n v="33.770099999999999"/>
    <n v="-118.19370000000001"/>
    <d v="2024-01-15T00:00:00"/>
    <n v="0"/>
    <b v="0"/>
    <d v="2025-06-23T00:00:00"/>
    <x v="3"/>
    <x v="3"/>
  </r>
  <r>
    <b v="0"/>
    <d v="1899-12-30T10:17:00"/>
    <d v="1899-12-30T12:21:00"/>
    <n v="124"/>
    <x v="1"/>
    <b v="0"/>
    <b v="1"/>
    <x v="4"/>
    <x v="1"/>
    <x v="0"/>
    <x v="1"/>
    <x v="1"/>
    <n v="0"/>
    <x v="1"/>
    <s v="Weekdays only"/>
    <s v="Anaheim, CA"/>
    <n v="33.836599999999997"/>
    <n v="-117.9143"/>
    <d v="2025-06-10T00:00:00"/>
    <n v="0"/>
    <b v="0"/>
    <d v="2025-07-22T00:00:00"/>
    <x v="3"/>
    <x v="3"/>
  </r>
  <r>
    <b v="0"/>
    <d v="1899-12-30T17:53:00"/>
    <d v="1899-12-30T20:14:00"/>
    <n v="141"/>
    <x v="0"/>
    <b v="0"/>
    <b v="1"/>
    <x v="1"/>
    <x v="0"/>
    <x v="1"/>
    <x v="6"/>
    <x v="2"/>
    <n v="0.1"/>
    <x v="30"/>
    <s v="All hours"/>
    <s v="Long Beach, CA"/>
    <n v="33.770099999999999"/>
    <n v="-118.19370000000001"/>
    <d v="2024-02-09T00:00:00"/>
    <n v="0"/>
    <b v="1"/>
    <d v="2025-06-24T00:00:00"/>
    <x v="1"/>
    <x v="1"/>
  </r>
  <r>
    <b v="1"/>
    <d v="1899-12-30T09:15:00"/>
    <d v="1899-12-30T10:04:00"/>
    <n v="49"/>
    <x v="1"/>
    <b v="0"/>
    <b v="0"/>
    <x v="0"/>
    <x v="0"/>
    <x v="2"/>
    <x v="10"/>
    <x v="2"/>
    <n v="0.1"/>
    <x v="34"/>
    <s v="All hours"/>
    <s v="Sacramento, CA"/>
    <n v="38.581600000000002"/>
    <n v="-121.4944"/>
    <d v="2025-04-24T00:00:00"/>
    <n v="0"/>
    <b v="1"/>
    <d v="2025-07-19T00:00:00"/>
    <x v="2"/>
    <x v="2"/>
  </r>
  <r>
    <b v="0"/>
    <d v="1899-12-30T08:05:00"/>
    <d v="1899-12-30T09:06:00"/>
    <n v="61"/>
    <x v="1"/>
    <b v="1"/>
    <b v="0"/>
    <x v="2"/>
    <x v="1"/>
    <x v="1"/>
    <x v="4"/>
    <x v="0"/>
    <n v="0.05"/>
    <x v="11"/>
    <s v="Weekdays only"/>
    <s v="Long Beach, CA"/>
    <n v="33.770099999999999"/>
    <n v="-118.19370000000001"/>
    <d v="2025-02-16T00:00:00"/>
    <n v="5"/>
    <b v="0"/>
    <d v="2025-07-15T00:00:00"/>
    <x v="1"/>
    <x v="1"/>
  </r>
  <r>
    <b v="0"/>
    <d v="1899-12-30T09:56:00"/>
    <d v="1899-12-30T11:20:00"/>
    <n v="84"/>
    <x v="1"/>
    <b v="1"/>
    <b v="0"/>
    <x v="4"/>
    <x v="0"/>
    <x v="0"/>
    <x v="0"/>
    <x v="3"/>
    <n v="0.15"/>
    <x v="27"/>
    <s v="All hours"/>
    <s v="Fresno, CA"/>
    <n v="36.7378"/>
    <n v="-119.7871"/>
    <d v="2025-02-17T00:00:00"/>
    <n v="7"/>
    <b v="1"/>
    <d v="2025-07-15T00:00:00"/>
    <x v="3"/>
    <x v="3"/>
  </r>
  <r>
    <b v="0"/>
    <d v="1899-12-30T11:37:00"/>
    <d v="1899-12-30T14:23:00"/>
    <n v="166"/>
    <x v="0"/>
    <b v="1"/>
    <b v="1"/>
    <x v="0"/>
    <x v="0"/>
    <x v="0"/>
    <x v="0"/>
    <x v="1"/>
    <n v="0"/>
    <x v="5"/>
    <s v="All hours"/>
    <s v="San Jose, CA"/>
    <n v="37.338200000000001"/>
    <n v="-121.88630000000001"/>
    <d v="2023-08-01T00:00:00"/>
    <n v="5"/>
    <b v="1"/>
    <d v="2025-06-14T00:00:00"/>
    <x v="0"/>
    <x v="0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3-04-20T00:00:00"/>
    <n v="5"/>
    <b v="0"/>
    <d v="2025-06-08T00:00:00"/>
    <x v="2"/>
    <x v="2"/>
  </r>
  <r>
    <b v="0"/>
    <d v="1899-12-30T14:03:00"/>
    <d v="1899-12-30T16:48:00"/>
    <n v="165"/>
    <x v="1"/>
    <b v="1"/>
    <b v="1"/>
    <x v="4"/>
    <x v="3"/>
    <x v="1"/>
    <x v="11"/>
    <x v="1"/>
    <n v="0"/>
    <x v="38"/>
    <s v="All hours + Priority access"/>
    <s v="San Diego, CA"/>
    <n v="32.715699999999998"/>
    <n v="-117.1611"/>
    <d v="2023-10-10T00:00:00"/>
    <n v="6"/>
    <b v="1"/>
    <d v="2025-06-17T00:00:00"/>
    <x v="3"/>
    <x v="3"/>
  </r>
  <r>
    <b v="1"/>
    <d v="1899-12-30T14:45:00"/>
    <d v="1899-12-30T17:41:00"/>
    <n v="176"/>
    <x v="0"/>
    <b v="1"/>
    <b v="1"/>
    <x v="0"/>
    <x v="2"/>
    <x v="0"/>
    <x v="2"/>
    <x v="1"/>
    <n v="0"/>
    <x v="3"/>
    <s v="Off-peak only"/>
    <s v="San Jose, CA"/>
    <n v="37.338200000000001"/>
    <n v="-121.88630000000001"/>
    <d v="2022-09-02T00:00:00"/>
    <n v="5"/>
    <b v="1"/>
    <d v="2025-05-26T00:00:00"/>
    <x v="3"/>
    <x v="3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4-05-19T00:00:00"/>
    <n v="2"/>
    <b v="0"/>
    <d v="2025-06-30T00:00:00"/>
    <x v="0"/>
    <x v="0"/>
  </r>
  <r>
    <b v="1"/>
    <d v="1899-12-30T17:29:00"/>
    <d v="1899-12-30T19:06:00"/>
    <n v="97"/>
    <x v="1"/>
    <b v="0"/>
    <b v="0"/>
    <x v="4"/>
    <x v="0"/>
    <x v="0"/>
    <x v="0"/>
    <x v="0"/>
    <n v="0.05"/>
    <x v="0"/>
    <s v="All hours"/>
    <s v="Long Beach, CA"/>
    <n v="33.770099999999999"/>
    <n v="-118.19370000000001"/>
    <d v="2024-08-22T00:00:00"/>
    <n v="0"/>
    <b v="0"/>
    <d v="2025-07-05T00:00:00"/>
    <x v="3"/>
    <x v="3"/>
  </r>
  <r>
    <b v="1"/>
    <d v="1899-12-30T14:27:00"/>
    <d v="1899-12-30T16:09:00"/>
    <n v="102"/>
    <x v="0"/>
    <b v="1"/>
    <b v="0"/>
    <x v="1"/>
    <x v="1"/>
    <x v="0"/>
    <x v="1"/>
    <x v="2"/>
    <n v="0.1"/>
    <x v="2"/>
    <s v="Weekdays only"/>
    <s v="San Diego, CA"/>
    <n v="32.715699999999998"/>
    <n v="-117.1611"/>
    <d v="2022-12-10T00:00:00"/>
    <n v="4"/>
    <b v="0"/>
    <d v="2025-05-31T00:00:00"/>
    <x v="1"/>
    <x v="1"/>
  </r>
  <r>
    <b v="0"/>
    <d v="1899-12-30T09:13:00"/>
    <d v="1899-12-30T11:43:00"/>
    <n v="150"/>
    <x v="1"/>
    <b v="1"/>
    <b v="1"/>
    <x v="0"/>
    <x v="3"/>
    <x v="1"/>
    <x v="11"/>
    <x v="1"/>
    <n v="0"/>
    <x v="38"/>
    <s v="All hours + Priority access"/>
    <s v="Bakersfield, CA"/>
    <n v="35.3733"/>
    <n v="-119.0187"/>
    <d v="2024-10-27T00:00:00"/>
    <n v="4"/>
    <b v="0"/>
    <d v="2025-07-09T00:00:00"/>
    <x v="2"/>
    <x v="2"/>
  </r>
  <r>
    <b v="0"/>
    <d v="1899-12-30T09:43:00"/>
    <d v="1899-12-30T10:37:00"/>
    <n v="54"/>
    <x v="1"/>
    <b v="0"/>
    <b v="0"/>
    <x v="0"/>
    <x v="0"/>
    <x v="0"/>
    <x v="0"/>
    <x v="0"/>
    <n v="0.05"/>
    <x v="0"/>
    <s v="All hours"/>
    <s v="Bakersfield, CA"/>
    <n v="35.3733"/>
    <n v="-119.0187"/>
    <d v="2022-09-01T00:00:00"/>
    <n v="0"/>
    <b v="1"/>
    <d v="2025-05-26T00:00:00"/>
    <x v="3"/>
    <x v="3"/>
  </r>
  <r>
    <b v="0"/>
    <d v="1899-12-30T13:26:00"/>
    <d v="1899-12-30T16:15:00"/>
    <n v="169"/>
    <x v="0"/>
    <b v="0"/>
    <b v="0"/>
    <x v="2"/>
    <x v="0"/>
    <x v="0"/>
    <x v="0"/>
    <x v="3"/>
    <n v="0.15"/>
    <x v="27"/>
    <s v="All hours"/>
    <s v="Long Beach, CA"/>
    <n v="33.770099999999999"/>
    <n v="-118.19370000000001"/>
    <d v="2025-06-10T00:00:00"/>
    <n v="0"/>
    <b v="1"/>
    <d v="2025-07-22T00:00:00"/>
    <x v="2"/>
    <x v="2"/>
  </r>
  <r>
    <b v="1"/>
    <d v="1899-12-30T08:06:00"/>
    <d v="1899-12-30T10:41:00"/>
    <n v="155"/>
    <x v="0"/>
    <b v="1"/>
    <b v="0"/>
    <x v="4"/>
    <x v="1"/>
    <x v="0"/>
    <x v="1"/>
    <x v="1"/>
    <n v="0"/>
    <x v="1"/>
    <s v="Weekdays only"/>
    <s v="Anaheim, CA"/>
    <n v="33.836599999999997"/>
    <n v="-117.9143"/>
    <d v="2022-08-25T00:00:00"/>
    <n v="6"/>
    <b v="0"/>
    <d v="2025-05-25T00:00:00"/>
    <x v="0"/>
    <x v="0"/>
  </r>
  <r>
    <b v="1"/>
    <d v="1899-12-30T09:42:00"/>
    <d v="1899-12-30T12:25:00"/>
    <n v="163"/>
    <x v="0"/>
    <b v="0"/>
    <b v="0"/>
    <x v="2"/>
    <x v="0"/>
    <x v="2"/>
    <x v="10"/>
    <x v="2"/>
    <n v="0.1"/>
    <x v="34"/>
    <s v="All hours"/>
    <s v="Bakersfield, CA"/>
    <n v="35.3733"/>
    <n v="-119.0187"/>
    <d v="2025-05-08T00:00:00"/>
    <n v="0"/>
    <b v="0"/>
    <d v="2025-07-20T00:00:00"/>
    <x v="1"/>
    <x v="1"/>
  </r>
  <r>
    <b v="0"/>
    <d v="1899-12-30T09:56:00"/>
    <d v="1899-12-30T12:52:00"/>
    <n v="176"/>
    <x v="0"/>
    <b v="1"/>
    <b v="1"/>
    <x v="4"/>
    <x v="1"/>
    <x v="0"/>
    <x v="1"/>
    <x v="3"/>
    <n v="0.15"/>
    <x v="15"/>
    <s v="Weekdays only"/>
    <s v="Fresno, CA"/>
    <n v="36.7378"/>
    <n v="-119.7871"/>
    <d v="2022-11-16T00:00:00"/>
    <n v="2"/>
    <b v="1"/>
    <d v="2025-05-30T00:00:00"/>
    <x v="1"/>
    <x v="1"/>
  </r>
  <r>
    <b v="0"/>
    <d v="1899-12-30T09:22:00"/>
    <d v="1899-12-30T10:15:00"/>
    <n v="53"/>
    <x v="0"/>
    <b v="1"/>
    <b v="0"/>
    <x v="2"/>
    <x v="1"/>
    <x v="0"/>
    <x v="1"/>
    <x v="2"/>
    <n v="0.1"/>
    <x v="2"/>
    <s v="Weekdays only"/>
    <s v="Los Angeles, CA"/>
    <n v="34.052199999999999"/>
    <n v="-118.2437"/>
    <d v="2023-12-08T00:00:00"/>
    <n v="7"/>
    <b v="0"/>
    <d v="2025-06-21T00:00:00"/>
    <x v="0"/>
    <x v="0"/>
  </r>
  <r>
    <b v="0"/>
    <d v="1899-12-30T10:54:00"/>
    <d v="1899-12-30T12:49:00"/>
    <n v="115"/>
    <x v="1"/>
    <b v="1"/>
    <b v="1"/>
    <x v="0"/>
    <x v="3"/>
    <x v="1"/>
    <x v="11"/>
    <x v="1"/>
    <n v="0"/>
    <x v="38"/>
    <s v="All hours + Priority access"/>
    <s v="Long Beach, CA"/>
    <n v="33.770099999999999"/>
    <n v="-118.19370000000001"/>
    <d v="2022-07-31T00:00:00"/>
    <n v="3"/>
    <b v="1"/>
    <d v="2025-05-24T00:00:00"/>
    <x v="1"/>
    <x v="1"/>
  </r>
  <r>
    <b v="0"/>
    <d v="1899-12-30T14:08:00"/>
    <d v="1899-12-30T17:08:00"/>
    <n v="180"/>
    <x v="0"/>
    <b v="1"/>
    <b v="0"/>
    <x v="3"/>
    <x v="2"/>
    <x v="0"/>
    <x v="2"/>
    <x v="2"/>
    <n v="0.1"/>
    <x v="6"/>
    <s v="Off-peak only"/>
    <s v="Long Beach, CA"/>
    <n v="33.770099999999999"/>
    <n v="-118.19370000000001"/>
    <d v="2025-04-05T00:00:00"/>
    <n v="7"/>
    <b v="0"/>
    <d v="2025-07-18T00:00:00"/>
    <x v="1"/>
    <x v="1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3-11-11T00:00:00"/>
    <n v="0"/>
    <b v="1"/>
    <d v="2025-06-19T00:00:00"/>
    <x v="3"/>
    <x v="3"/>
  </r>
  <r>
    <b v="0"/>
    <d v="1899-12-30T10:31:00"/>
    <d v="1899-12-30T12:28:00"/>
    <n v="117"/>
    <x v="1"/>
    <b v="1"/>
    <b v="0"/>
    <x v="4"/>
    <x v="2"/>
    <x v="0"/>
    <x v="2"/>
    <x v="3"/>
    <n v="0.15"/>
    <x v="17"/>
    <s v="Off-peak only"/>
    <s v="Long Beach, CA"/>
    <n v="33.770099999999999"/>
    <n v="-118.19370000000001"/>
    <d v="2022-08-25T00:00:00"/>
    <n v="8"/>
    <b v="0"/>
    <d v="2025-05-25T00:00:00"/>
    <x v="0"/>
    <x v="0"/>
  </r>
  <r>
    <b v="1"/>
    <d v="1899-12-30T13:19:00"/>
    <d v="1899-12-30T14:44:00"/>
    <n v="85"/>
    <x v="1"/>
    <b v="0"/>
    <b v="0"/>
    <x v="2"/>
    <x v="2"/>
    <x v="1"/>
    <x v="5"/>
    <x v="2"/>
    <n v="0.1"/>
    <x v="20"/>
    <s v="Off-peak only"/>
    <s v="Oakland, CA"/>
    <n v="37.804400000000001"/>
    <n v="-122.27119999999999"/>
    <d v="2023-12-13T00:00:00"/>
    <n v="0"/>
    <b v="1"/>
    <d v="2025-06-21T00:00:00"/>
    <x v="2"/>
    <x v="2"/>
  </r>
  <r>
    <b v="0"/>
    <d v="1899-12-30T09:13:00"/>
    <d v="1899-12-30T11:37:00"/>
    <n v="144"/>
    <x v="0"/>
    <b v="0"/>
    <b v="0"/>
    <x v="4"/>
    <x v="1"/>
    <x v="2"/>
    <x v="8"/>
    <x v="2"/>
    <n v="0.1"/>
    <x v="33"/>
    <s v="Weekdays only"/>
    <s v="San Francisco, CA"/>
    <n v="37.774900000000002"/>
    <n v="-122.4194"/>
    <d v="2023-08-22T00:00:00"/>
    <n v="0"/>
    <b v="0"/>
    <d v="2025-06-15T00:00:00"/>
    <x v="3"/>
    <x v="3"/>
  </r>
  <r>
    <b v="0"/>
    <d v="1899-12-30T11:23:00"/>
    <d v="1899-12-30T14:01:00"/>
    <n v="158"/>
    <x v="1"/>
    <b v="0"/>
    <b v="1"/>
    <x v="4"/>
    <x v="3"/>
    <x v="0"/>
    <x v="3"/>
    <x v="1"/>
    <n v="0"/>
    <x v="4"/>
    <s v="All hours + Priority access"/>
    <s v="Oakland, CA"/>
    <n v="37.804400000000001"/>
    <n v="-122.27119999999999"/>
    <d v="2023-06-13T00:00:00"/>
    <n v="0"/>
    <b v="1"/>
    <d v="2025-06-11T00:00:00"/>
    <x v="3"/>
    <x v="3"/>
  </r>
  <r>
    <b v="0"/>
    <d v="1899-12-30T11:10:00"/>
    <d v="1899-12-30T11:44:00"/>
    <n v="34"/>
    <x v="0"/>
    <b v="0"/>
    <b v="1"/>
    <x v="1"/>
    <x v="2"/>
    <x v="1"/>
    <x v="5"/>
    <x v="1"/>
    <n v="0"/>
    <x v="14"/>
    <s v="Off-peak only"/>
    <s v="San Jose, CA"/>
    <n v="37.338200000000001"/>
    <n v="-121.88630000000001"/>
    <d v="2024-02-24T00:00:00"/>
    <n v="0"/>
    <b v="0"/>
    <d v="2025-06-25T00:00:00"/>
    <x v="0"/>
    <x v="0"/>
  </r>
  <r>
    <b v="0"/>
    <d v="1899-12-30T08:06:00"/>
    <d v="1899-12-30T08:47:00"/>
    <n v="41"/>
    <x v="1"/>
    <b v="0"/>
    <b v="1"/>
    <x v="0"/>
    <x v="1"/>
    <x v="1"/>
    <x v="4"/>
    <x v="2"/>
    <n v="0.1"/>
    <x v="26"/>
    <s v="Weekdays only"/>
    <s v="Long Beach, CA"/>
    <n v="33.770099999999999"/>
    <n v="-118.19370000000001"/>
    <d v="2023-08-24T00:00:00"/>
    <n v="0"/>
    <b v="0"/>
    <d v="2025-06-15T00:00:00"/>
    <x v="2"/>
    <x v="2"/>
  </r>
  <r>
    <b v="1"/>
    <d v="1899-12-30T12:17:00"/>
    <d v="1899-12-30T15:14:00"/>
    <n v="177"/>
    <x v="1"/>
    <b v="1"/>
    <b v="0"/>
    <x v="4"/>
    <x v="0"/>
    <x v="0"/>
    <x v="0"/>
    <x v="3"/>
    <n v="0.15"/>
    <x v="27"/>
    <s v="All hours"/>
    <s v="Sacramento, CA"/>
    <n v="38.581600000000002"/>
    <n v="-121.4944"/>
    <d v="2023-10-09T00:00:00"/>
    <n v="3"/>
    <b v="1"/>
    <d v="2025-06-17T00:00:00"/>
    <x v="2"/>
    <x v="2"/>
  </r>
  <r>
    <b v="0"/>
    <d v="1899-12-30T10:25:00"/>
    <d v="1899-12-30T12:18:00"/>
    <n v="113"/>
    <x v="0"/>
    <b v="0"/>
    <b v="1"/>
    <x v="0"/>
    <x v="1"/>
    <x v="0"/>
    <x v="1"/>
    <x v="1"/>
    <n v="0"/>
    <x v="1"/>
    <s v="Weekdays only"/>
    <s v="Los Angeles, CA"/>
    <n v="34.052199999999999"/>
    <n v="-118.2437"/>
    <d v="2022-11-06T00:00:00"/>
    <n v="0"/>
    <b v="1"/>
    <d v="2025-05-29T00:00:00"/>
    <x v="2"/>
    <x v="4"/>
  </r>
  <r>
    <b v="1"/>
    <d v="1899-12-30T19:57:00"/>
    <d v="1899-12-30T21:28:00"/>
    <n v="91"/>
    <x v="1"/>
    <b v="0"/>
    <b v="0"/>
    <x v="0"/>
    <x v="2"/>
    <x v="0"/>
    <x v="2"/>
    <x v="2"/>
    <n v="0.1"/>
    <x v="6"/>
    <s v="Off-peak only"/>
    <s v="Bakersfield, CA"/>
    <n v="35.3733"/>
    <n v="-119.0187"/>
    <d v="2025-05-05T00:00:00"/>
    <n v="0"/>
    <b v="0"/>
    <d v="2025-07-20T00:00:00"/>
    <x v="2"/>
    <x v="4"/>
  </r>
  <r>
    <b v="0"/>
    <d v="1899-12-30T09:02:00"/>
    <d v="1899-12-30T10:21:00"/>
    <n v="79"/>
    <x v="0"/>
    <b v="0"/>
    <b v="0"/>
    <x v="0"/>
    <x v="1"/>
    <x v="0"/>
    <x v="1"/>
    <x v="2"/>
    <n v="0.1"/>
    <x v="2"/>
    <s v="Weekdays only"/>
    <s v="San Francisco, CA"/>
    <n v="37.774900000000002"/>
    <n v="-122.4194"/>
    <d v="2024-08-27T00:00:00"/>
    <n v="0"/>
    <b v="0"/>
    <d v="2025-07-06T00:00:00"/>
    <x v="0"/>
    <x v="0"/>
  </r>
  <r>
    <b v="0"/>
    <d v="1899-12-30T16:23:00"/>
    <d v="1899-12-30T18:07:00"/>
    <n v="104"/>
    <x v="0"/>
    <b v="1"/>
    <b v="0"/>
    <x v="2"/>
    <x v="1"/>
    <x v="0"/>
    <x v="1"/>
    <x v="3"/>
    <n v="0.15"/>
    <x v="15"/>
    <s v="Weekdays only"/>
    <s v="Sacramento, CA"/>
    <n v="38.581600000000002"/>
    <n v="-121.4944"/>
    <d v="2022-09-14T00:00:00"/>
    <n v="5"/>
    <b v="0"/>
    <d v="2025-05-26T00:00:00"/>
    <x v="0"/>
    <x v="0"/>
  </r>
  <r>
    <b v="0"/>
    <d v="1899-12-30T10:11:00"/>
    <d v="1899-12-30T11:56:00"/>
    <n v="105"/>
    <x v="1"/>
    <b v="0"/>
    <b v="1"/>
    <x v="0"/>
    <x v="1"/>
    <x v="0"/>
    <x v="1"/>
    <x v="1"/>
    <n v="0"/>
    <x v="1"/>
    <s v="Weekdays only"/>
    <s v="San Francisco, CA"/>
    <n v="37.774900000000002"/>
    <n v="-122.4194"/>
    <d v="2022-11-17T00:00:00"/>
    <n v="0"/>
    <b v="0"/>
    <d v="2025-05-30T00:00:00"/>
    <x v="2"/>
    <x v="4"/>
  </r>
  <r>
    <b v="1"/>
    <d v="1899-12-30T17:57:00"/>
    <d v="1899-12-30T19:46:00"/>
    <n v="109"/>
    <x v="0"/>
    <b v="1"/>
    <b v="0"/>
    <x v="0"/>
    <x v="0"/>
    <x v="0"/>
    <x v="0"/>
    <x v="0"/>
    <n v="0.05"/>
    <x v="0"/>
    <s v="All hours"/>
    <s v="Sacramento, CA"/>
    <n v="38.581600000000002"/>
    <n v="-121.4944"/>
    <d v="2024-02-23T00:00:00"/>
    <n v="1"/>
    <b v="1"/>
    <d v="2025-06-25T00:00:00"/>
    <x v="3"/>
    <x v="3"/>
  </r>
  <r>
    <b v="0"/>
    <d v="1899-12-30T19:08:00"/>
    <d v="1899-12-30T22:06:00"/>
    <n v="178"/>
    <x v="1"/>
    <b v="0"/>
    <b v="1"/>
    <x v="2"/>
    <x v="0"/>
    <x v="0"/>
    <x v="0"/>
    <x v="0"/>
    <n v="0.05"/>
    <x v="0"/>
    <s v="All hours"/>
    <s v="San Francisco, CA"/>
    <n v="37.774900000000002"/>
    <n v="-122.4194"/>
    <d v="2023-09-01T00:00:00"/>
    <n v="0"/>
    <b v="1"/>
    <d v="2025-06-15T00:00:00"/>
    <x v="1"/>
    <x v="1"/>
  </r>
  <r>
    <b v="0"/>
    <d v="1899-12-30T14:29:00"/>
    <d v="1899-12-30T15:10:00"/>
    <n v="41"/>
    <x v="0"/>
    <b v="1"/>
    <b v="0"/>
    <x v="1"/>
    <x v="0"/>
    <x v="1"/>
    <x v="6"/>
    <x v="3"/>
    <n v="0.15"/>
    <x v="28"/>
    <s v="All hours"/>
    <s v="San Francisco, CA"/>
    <n v="37.774900000000002"/>
    <n v="-122.4194"/>
    <d v="2024-08-31T00:00:00"/>
    <n v="3"/>
    <b v="1"/>
    <d v="2025-07-06T00:00:00"/>
    <x v="0"/>
    <x v="0"/>
  </r>
  <r>
    <b v="1"/>
    <d v="1899-12-30T12:58:00"/>
    <d v="1899-12-30T15:46:00"/>
    <n v="168"/>
    <x v="0"/>
    <b v="0"/>
    <b v="0"/>
    <x v="4"/>
    <x v="2"/>
    <x v="0"/>
    <x v="2"/>
    <x v="1"/>
    <n v="0"/>
    <x v="3"/>
    <s v="Off-peak only"/>
    <s v="San Diego, CA"/>
    <n v="32.715699999999998"/>
    <n v="-117.1611"/>
    <d v="2024-12-04T00:00:00"/>
    <n v="0"/>
    <b v="0"/>
    <d v="2025-07-11T00:00:00"/>
    <x v="3"/>
    <x v="3"/>
  </r>
  <r>
    <b v="1"/>
    <d v="1899-12-30T15:27:00"/>
    <d v="1899-12-30T17:39:00"/>
    <n v="132"/>
    <x v="0"/>
    <b v="1"/>
    <b v="1"/>
    <x v="2"/>
    <x v="0"/>
    <x v="0"/>
    <x v="0"/>
    <x v="1"/>
    <n v="0"/>
    <x v="5"/>
    <s v="All hours"/>
    <s v="Los Angeles, CA"/>
    <n v="34.052199999999999"/>
    <n v="-118.2437"/>
    <d v="2024-02-15T00:00:00"/>
    <n v="1"/>
    <b v="1"/>
    <d v="2025-06-25T00:00:00"/>
    <x v="0"/>
    <x v="0"/>
  </r>
  <r>
    <b v="0"/>
    <d v="1899-12-30T08:59:00"/>
    <d v="1899-12-30T10:43:00"/>
    <n v="104"/>
    <x v="0"/>
    <b v="1"/>
    <b v="0"/>
    <x v="4"/>
    <x v="1"/>
    <x v="2"/>
    <x v="8"/>
    <x v="0"/>
    <n v="0.05"/>
    <x v="31"/>
    <s v="Weekdays only"/>
    <s v="Oakland, CA"/>
    <n v="37.804400000000001"/>
    <n v="-122.27119999999999"/>
    <d v="2024-06-11T00:00:00"/>
    <n v="4"/>
    <b v="0"/>
    <d v="2025-07-01T00:00:00"/>
    <x v="2"/>
    <x v="2"/>
  </r>
  <r>
    <b v="0"/>
    <d v="1899-12-30T20:04:00"/>
    <d v="1899-12-30T20:43:00"/>
    <n v="39"/>
    <x v="0"/>
    <b v="0"/>
    <b v="0"/>
    <x v="4"/>
    <x v="3"/>
    <x v="2"/>
    <x v="9"/>
    <x v="3"/>
    <n v="0.15"/>
    <x v="19"/>
    <s v="All hours + Priority access"/>
    <s v="San Francisco, CA"/>
    <n v="37.774900000000002"/>
    <n v="-122.4194"/>
    <d v="2023-10-10T00:00:00"/>
    <n v="0"/>
    <b v="1"/>
    <d v="2025-06-17T00:00:00"/>
    <x v="1"/>
    <x v="1"/>
  </r>
  <r>
    <b v="1"/>
    <d v="1899-12-30T10:06:00"/>
    <d v="1899-12-30T11:38:00"/>
    <n v="92"/>
    <x v="1"/>
    <b v="0"/>
    <b v="0"/>
    <x v="1"/>
    <x v="0"/>
    <x v="0"/>
    <x v="0"/>
    <x v="3"/>
    <n v="0.15"/>
    <x v="27"/>
    <s v="All hours"/>
    <s v="Sacramento, CA"/>
    <n v="38.581600000000002"/>
    <n v="-121.4944"/>
    <d v="2025-04-01T00:00:00"/>
    <n v="0"/>
    <b v="1"/>
    <d v="2025-07-18T00:00:00"/>
    <x v="3"/>
    <x v="3"/>
  </r>
  <r>
    <b v="0"/>
    <d v="1899-12-30T20:00:00"/>
    <d v="1899-12-30T21:49:00"/>
    <n v="109"/>
    <x v="0"/>
    <b v="1"/>
    <b v="1"/>
    <x v="0"/>
    <x v="1"/>
    <x v="0"/>
    <x v="1"/>
    <x v="2"/>
    <n v="0.1"/>
    <x v="2"/>
    <s v="Weekdays only"/>
    <s v="Oakland, CA"/>
    <n v="37.804400000000001"/>
    <n v="-122.27119999999999"/>
    <d v="2022-08-20T00:00:00"/>
    <n v="1"/>
    <b v="0"/>
    <d v="2025-05-25T00:00:00"/>
    <x v="1"/>
    <x v="1"/>
  </r>
  <r>
    <b v="0"/>
    <d v="1899-12-30T08:34:00"/>
    <d v="1899-12-30T09:27:00"/>
    <n v="53"/>
    <x v="0"/>
    <b v="1"/>
    <b v="0"/>
    <x v="0"/>
    <x v="0"/>
    <x v="2"/>
    <x v="10"/>
    <x v="3"/>
    <n v="0.15"/>
    <x v="25"/>
    <s v="All hours"/>
    <s v="Los Angeles, CA"/>
    <n v="34.052199999999999"/>
    <n v="-118.2437"/>
    <d v="2022-08-07T00:00:00"/>
    <n v="4"/>
    <b v="1"/>
    <d v="2025-05-24T00:00:00"/>
    <x v="1"/>
    <x v="1"/>
  </r>
  <r>
    <b v="1"/>
    <d v="1899-12-30T16:43:00"/>
    <d v="1899-12-30T18:46:00"/>
    <n v="123"/>
    <x v="1"/>
    <b v="1"/>
    <b v="1"/>
    <x v="4"/>
    <x v="0"/>
    <x v="0"/>
    <x v="0"/>
    <x v="0"/>
    <n v="0.05"/>
    <x v="0"/>
    <s v="All hours"/>
    <s v="San Francisco, CA"/>
    <n v="37.774900000000002"/>
    <n v="-122.4194"/>
    <d v="2023-06-10T00:00:00"/>
    <n v="2"/>
    <b v="1"/>
    <d v="2025-06-11T00:00:00"/>
    <x v="0"/>
    <x v="0"/>
  </r>
  <r>
    <b v="1"/>
    <d v="1899-12-30T14:45:00"/>
    <d v="1899-12-30T17:41:00"/>
    <n v="176"/>
    <x v="0"/>
    <b v="1"/>
    <b v="1"/>
    <x v="0"/>
    <x v="2"/>
    <x v="0"/>
    <x v="2"/>
    <x v="1"/>
    <n v="0"/>
    <x v="3"/>
    <s v="Off-peak only"/>
    <s v="San Jose, CA"/>
    <n v="37.338200000000001"/>
    <n v="-121.88630000000001"/>
    <d v="2023-11-30T00:00:00"/>
    <n v="2"/>
    <b v="1"/>
    <d v="2025-06-20T00:00:00"/>
    <x v="3"/>
    <x v="3"/>
  </r>
  <r>
    <b v="1"/>
    <d v="1899-12-30T15:30:00"/>
    <d v="1899-12-30T16:26:00"/>
    <n v="56"/>
    <x v="1"/>
    <b v="1"/>
    <b v="0"/>
    <x v="0"/>
    <x v="2"/>
    <x v="1"/>
    <x v="5"/>
    <x v="1"/>
    <n v="0"/>
    <x v="14"/>
    <s v="Off-peak only"/>
    <s v="Long Beach, CA"/>
    <n v="33.770099999999999"/>
    <n v="-118.19370000000001"/>
    <d v="2024-07-28T00:00:00"/>
    <n v="6"/>
    <b v="0"/>
    <d v="2025-07-04T00:00:00"/>
    <x v="0"/>
    <x v="0"/>
  </r>
  <r>
    <b v="0"/>
    <d v="1899-12-30T13:32:00"/>
    <d v="1899-12-30T14:56:00"/>
    <n v="84"/>
    <x v="0"/>
    <b v="1"/>
    <b v="1"/>
    <x v="4"/>
    <x v="2"/>
    <x v="0"/>
    <x v="2"/>
    <x v="2"/>
    <n v="0.1"/>
    <x v="6"/>
    <s v="Off-peak only"/>
    <s v="Anaheim, CA"/>
    <n v="33.836599999999997"/>
    <n v="-117.9143"/>
    <d v="2023-02-07T00:00:00"/>
    <n v="6"/>
    <b v="1"/>
    <d v="2025-06-04T00:00:00"/>
    <x v="0"/>
    <x v="0"/>
  </r>
  <r>
    <b v="1"/>
    <d v="1899-12-30T16:37:00"/>
    <d v="1899-12-30T17:45:00"/>
    <n v="68"/>
    <x v="0"/>
    <b v="1"/>
    <b v="0"/>
    <x v="4"/>
    <x v="0"/>
    <x v="0"/>
    <x v="0"/>
    <x v="3"/>
    <n v="0.15"/>
    <x v="27"/>
    <s v="All hours"/>
    <s v="San Francisco, CA"/>
    <n v="37.774900000000002"/>
    <n v="-122.4194"/>
    <d v="2023-06-24T00:00:00"/>
    <n v="5"/>
    <b v="1"/>
    <d v="2025-06-11T00:00:00"/>
    <x v="1"/>
    <x v="1"/>
  </r>
  <r>
    <b v="1"/>
    <d v="1899-12-30T09:21:00"/>
    <d v="1899-12-30T11:31:00"/>
    <n v="130"/>
    <x v="1"/>
    <b v="1"/>
    <b v="1"/>
    <x v="2"/>
    <x v="2"/>
    <x v="0"/>
    <x v="2"/>
    <x v="3"/>
    <n v="0.15"/>
    <x v="17"/>
    <s v="Off-peak only"/>
    <s v="Los Angeles, CA"/>
    <n v="34.052199999999999"/>
    <n v="-118.2437"/>
    <d v="2024-12-31T00:00:00"/>
    <n v="3"/>
    <b v="0"/>
    <d v="2025-07-13T00:00:00"/>
    <x v="1"/>
    <x v="1"/>
  </r>
  <r>
    <b v="1"/>
    <d v="1899-12-30T09:15:00"/>
    <d v="1899-12-30T10:04:00"/>
    <n v="49"/>
    <x v="0"/>
    <b v="0"/>
    <b v="1"/>
    <x v="4"/>
    <x v="0"/>
    <x v="1"/>
    <x v="6"/>
    <x v="1"/>
    <n v="0"/>
    <x v="12"/>
    <s v="All hours"/>
    <s v="San Francisco, CA"/>
    <n v="37.774900000000002"/>
    <n v="-122.4194"/>
    <d v="2022-10-26T00:00:00"/>
    <n v="0"/>
    <b v="1"/>
    <d v="2025-05-29T00:00:00"/>
    <x v="1"/>
    <x v="1"/>
  </r>
  <r>
    <b v="0"/>
    <d v="1899-12-30T16:59:00"/>
    <d v="1899-12-30T18:18:00"/>
    <n v="79"/>
    <x v="0"/>
    <b v="0"/>
    <b v="0"/>
    <x v="3"/>
    <x v="0"/>
    <x v="1"/>
    <x v="6"/>
    <x v="1"/>
    <n v="0"/>
    <x v="12"/>
    <s v="All hours"/>
    <s v="Fresno, CA"/>
    <n v="36.7378"/>
    <n v="-119.7871"/>
    <d v="2023-01-28T00:00:00"/>
    <n v="0"/>
    <b v="1"/>
    <d v="2025-06-03T00:00:00"/>
    <x v="0"/>
    <x v="0"/>
  </r>
  <r>
    <b v="1"/>
    <d v="1899-12-30T20:31:00"/>
    <d v="1899-12-30T21:08:00"/>
    <n v="37"/>
    <x v="0"/>
    <b v="1"/>
    <b v="1"/>
    <x v="0"/>
    <x v="0"/>
    <x v="1"/>
    <x v="6"/>
    <x v="2"/>
    <n v="0.1"/>
    <x v="30"/>
    <s v="All hours"/>
    <s v="Bakersfield, CA"/>
    <n v="35.3733"/>
    <n v="-119.0187"/>
    <d v="2022-09-15T00:00:00"/>
    <n v="5"/>
    <b v="1"/>
    <d v="2025-05-27T00:00:00"/>
    <x v="3"/>
    <x v="3"/>
  </r>
  <r>
    <b v="0"/>
    <d v="1899-12-30T11:16:00"/>
    <d v="1899-12-30T12:38:00"/>
    <n v="82"/>
    <x v="0"/>
    <b v="0"/>
    <b v="1"/>
    <x v="4"/>
    <x v="1"/>
    <x v="0"/>
    <x v="1"/>
    <x v="2"/>
    <n v="0.1"/>
    <x v="2"/>
    <s v="Weekdays only"/>
    <s v="San Diego, CA"/>
    <n v="32.715699999999998"/>
    <n v="-117.1611"/>
    <d v="2023-05-12T00:00:00"/>
    <n v="0"/>
    <b v="0"/>
    <d v="2025-06-09T00:00:00"/>
    <x v="2"/>
    <x v="2"/>
  </r>
  <r>
    <b v="1"/>
    <d v="1899-12-30T10:37:00"/>
    <d v="1899-12-30T13:10:00"/>
    <n v="153"/>
    <x v="1"/>
    <b v="1"/>
    <b v="1"/>
    <x v="4"/>
    <x v="1"/>
    <x v="0"/>
    <x v="1"/>
    <x v="0"/>
    <n v="0.05"/>
    <x v="7"/>
    <s v="Weekdays only"/>
    <s v="Long Beach, CA"/>
    <n v="33.770099999999999"/>
    <n v="-118.19370000000001"/>
    <d v="2023-09-08T00:00:00"/>
    <n v="4"/>
    <b v="0"/>
    <d v="2025-06-16T00:00:00"/>
    <x v="0"/>
    <x v="0"/>
  </r>
  <r>
    <b v="0"/>
    <d v="1899-12-30T20:04:00"/>
    <d v="1899-12-30T20:43:00"/>
    <n v="39"/>
    <x v="0"/>
    <b v="0"/>
    <b v="0"/>
    <x v="4"/>
    <x v="3"/>
    <x v="2"/>
    <x v="9"/>
    <x v="3"/>
    <n v="0.15"/>
    <x v="19"/>
    <s v="All hours + Priority access"/>
    <s v="San Francisco, CA"/>
    <n v="37.774900000000002"/>
    <n v="-122.4194"/>
    <d v="2024-04-03T00:00:00"/>
    <n v="0"/>
    <b v="1"/>
    <d v="2025-06-27T00:00:00"/>
    <x v="1"/>
    <x v="1"/>
  </r>
  <r>
    <b v="0"/>
    <d v="1899-12-30T20:18:00"/>
    <d v="1899-12-30T22:20:00"/>
    <n v="122"/>
    <x v="1"/>
    <b v="1"/>
    <b v="0"/>
    <x v="0"/>
    <x v="3"/>
    <x v="1"/>
    <x v="11"/>
    <x v="2"/>
    <n v="0.1"/>
    <x v="32"/>
    <s v="All hours + Priority access"/>
    <s v="Bakersfield, CA"/>
    <n v="35.3733"/>
    <n v="-119.0187"/>
    <d v="2022-10-03T00:00:00"/>
    <n v="5"/>
    <b v="1"/>
    <d v="2025-05-28T00:00:00"/>
    <x v="3"/>
    <x v="3"/>
  </r>
  <r>
    <b v="1"/>
    <d v="1899-12-30T16:31:00"/>
    <d v="1899-12-30T17:47:00"/>
    <n v="76"/>
    <x v="1"/>
    <b v="1"/>
    <b v="1"/>
    <x v="1"/>
    <x v="0"/>
    <x v="0"/>
    <x v="0"/>
    <x v="1"/>
    <n v="0"/>
    <x v="5"/>
    <s v="All hours"/>
    <s v="Sacramento, CA"/>
    <n v="38.581600000000002"/>
    <n v="-121.4944"/>
    <d v="2022-12-13T00:00:00"/>
    <n v="1"/>
    <b v="1"/>
    <d v="2025-06-01T00:00:00"/>
    <x v="3"/>
    <x v="3"/>
  </r>
  <r>
    <b v="1"/>
    <d v="1899-12-30T20:07:00"/>
    <d v="1899-12-30T21:39:00"/>
    <n v="92"/>
    <x v="1"/>
    <b v="0"/>
    <b v="0"/>
    <x v="4"/>
    <x v="0"/>
    <x v="0"/>
    <x v="0"/>
    <x v="0"/>
    <n v="0.05"/>
    <x v="0"/>
    <s v="All hours"/>
    <s v="Oakland, CA"/>
    <n v="37.804400000000001"/>
    <n v="-122.27119999999999"/>
    <d v="2025-05-05T00:00:00"/>
    <n v="0"/>
    <b v="1"/>
    <d v="2025-07-20T00:00:00"/>
    <x v="2"/>
    <x v="4"/>
  </r>
  <r>
    <b v="1"/>
    <d v="1899-12-30T13:32:00"/>
    <d v="1899-12-30T16:19:00"/>
    <n v="167"/>
    <x v="0"/>
    <b v="0"/>
    <b v="0"/>
    <x v="0"/>
    <x v="2"/>
    <x v="1"/>
    <x v="5"/>
    <x v="3"/>
    <n v="0.15"/>
    <x v="13"/>
    <s v="Off-peak only"/>
    <s v="San Diego, CA"/>
    <n v="32.715699999999998"/>
    <n v="-117.1611"/>
    <d v="2025-05-25T00:00:00"/>
    <n v="0"/>
    <b v="0"/>
    <d v="2025-07-21T00:00:00"/>
    <x v="1"/>
    <x v="1"/>
  </r>
  <r>
    <b v="1"/>
    <d v="1899-12-30T10:01:00"/>
    <d v="1899-12-30T12:48:00"/>
    <n v="167"/>
    <x v="1"/>
    <b v="1"/>
    <b v="1"/>
    <x v="4"/>
    <x v="3"/>
    <x v="0"/>
    <x v="3"/>
    <x v="1"/>
    <n v="0"/>
    <x v="4"/>
    <s v="All hours + Priority access"/>
    <s v="Fresno, CA"/>
    <n v="36.7378"/>
    <n v="-119.7871"/>
    <d v="2024-05-18T00:00:00"/>
    <n v="4"/>
    <b v="1"/>
    <d v="2025-06-30T00:00:00"/>
    <x v="1"/>
    <x v="1"/>
  </r>
  <r>
    <b v="0"/>
    <d v="1899-12-30T15:01:00"/>
    <d v="1899-12-30T17:43:00"/>
    <n v="162"/>
    <x v="0"/>
    <b v="0"/>
    <b v="0"/>
    <x v="0"/>
    <x v="0"/>
    <x v="0"/>
    <x v="0"/>
    <x v="0"/>
    <n v="0.05"/>
    <x v="0"/>
    <s v="All hours"/>
    <s v="San Diego, CA"/>
    <n v="32.715699999999998"/>
    <n v="-117.1611"/>
    <d v="2023-02-10T00:00:00"/>
    <n v="0"/>
    <b v="1"/>
    <d v="2025-06-04T00:00:00"/>
    <x v="1"/>
    <x v="1"/>
  </r>
  <r>
    <b v="0"/>
    <d v="1899-12-30T12:35:00"/>
    <d v="1899-12-30T14:06:00"/>
    <n v="91"/>
    <x v="0"/>
    <b v="0"/>
    <b v="0"/>
    <x v="0"/>
    <x v="0"/>
    <x v="1"/>
    <x v="6"/>
    <x v="1"/>
    <n v="0"/>
    <x v="12"/>
    <s v="All hours"/>
    <s v="Long Beach, CA"/>
    <n v="33.770099999999999"/>
    <n v="-118.19370000000001"/>
    <d v="2022-08-06T00:00:00"/>
    <n v="0"/>
    <b v="1"/>
    <d v="2025-05-24T00:00:00"/>
    <x v="2"/>
    <x v="4"/>
  </r>
  <r>
    <b v="1"/>
    <d v="1899-12-30T09:36:00"/>
    <d v="1899-12-30T12:09:00"/>
    <n v="153"/>
    <x v="1"/>
    <b v="1"/>
    <b v="1"/>
    <x v="0"/>
    <x v="2"/>
    <x v="0"/>
    <x v="2"/>
    <x v="3"/>
    <n v="0.15"/>
    <x v="17"/>
    <s v="Off-peak only"/>
    <s v="Sacramento, CA"/>
    <n v="38.581600000000002"/>
    <n v="-121.4944"/>
    <d v="2025-01-13T00:00:00"/>
    <n v="6"/>
    <b v="0"/>
    <d v="2025-07-13T00:00:00"/>
    <x v="2"/>
    <x v="4"/>
  </r>
  <r>
    <b v="0"/>
    <d v="1899-12-30T14:34:00"/>
    <d v="1899-12-30T15:34:00"/>
    <n v="60"/>
    <x v="1"/>
    <b v="0"/>
    <b v="1"/>
    <x v="3"/>
    <x v="0"/>
    <x v="0"/>
    <x v="0"/>
    <x v="3"/>
    <n v="0.15"/>
    <x v="27"/>
    <s v="All hours"/>
    <s v="San Francisco, CA"/>
    <n v="37.774900000000002"/>
    <n v="-122.4194"/>
    <d v="2023-09-29T00:00:00"/>
    <n v="0"/>
    <b v="0"/>
    <d v="2025-06-17T00:00:00"/>
    <x v="2"/>
    <x v="2"/>
  </r>
  <r>
    <b v="0"/>
    <d v="1899-12-30T17:54:00"/>
    <d v="1899-12-30T19:17:00"/>
    <n v="83"/>
    <x v="0"/>
    <b v="0"/>
    <b v="1"/>
    <x v="1"/>
    <x v="0"/>
    <x v="0"/>
    <x v="0"/>
    <x v="1"/>
    <n v="0"/>
    <x v="5"/>
    <s v="All hours"/>
    <s v="Long Beach, CA"/>
    <n v="33.770099999999999"/>
    <n v="-118.19370000000001"/>
    <d v="2024-05-13T00:00:00"/>
    <n v="0"/>
    <b v="1"/>
    <d v="2025-06-30T00:00:00"/>
    <x v="0"/>
    <x v="0"/>
  </r>
  <r>
    <b v="1"/>
    <d v="1899-12-30T20:04:00"/>
    <d v="1899-12-30T22:29:00"/>
    <n v="145"/>
    <x v="0"/>
    <b v="1"/>
    <b v="1"/>
    <x v="4"/>
    <x v="3"/>
    <x v="0"/>
    <x v="3"/>
    <x v="3"/>
    <n v="0.15"/>
    <x v="40"/>
    <s v="All hours + Priority access"/>
    <s v="San Francisco, CA"/>
    <n v="37.774900000000002"/>
    <n v="-122.4194"/>
    <d v="2022-08-25T00:00:00"/>
    <n v="2"/>
    <b v="1"/>
    <d v="2025-05-25T00:00:00"/>
    <x v="0"/>
    <x v="0"/>
  </r>
  <r>
    <b v="1"/>
    <d v="1899-12-30T18:01:00"/>
    <d v="1899-12-30T18:36:00"/>
    <n v="35"/>
    <x v="1"/>
    <b v="0"/>
    <b v="0"/>
    <x v="1"/>
    <x v="0"/>
    <x v="0"/>
    <x v="0"/>
    <x v="1"/>
    <n v="0"/>
    <x v="5"/>
    <s v="All hours"/>
    <s v="Los Angeles, CA"/>
    <n v="34.052199999999999"/>
    <n v="-118.2437"/>
    <d v="2023-01-08T00:00:00"/>
    <n v="0"/>
    <b v="1"/>
    <d v="2025-06-02T00:00:00"/>
    <x v="0"/>
    <x v="0"/>
  </r>
  <r>
    <b v="0"/>
    <d v="1899-12-30T16:41:00"/>
    <d v="1899-12-30T19:00:00"/>
    <n v="139"/>
    <x v="1"/>
    <b v="0"/>
    <b v="0"/>
    <x v="4"/>
    <x v="1"/>
    <x v="1"/>
    <x v="4"/>
    <x v="1"/>
    <n v="0"/>
    <x v="8"/>
    <s v="Weekdays only"/>
    <s v="Bakersfield, CA"/>
    <n v="35.3733"/>
    <n v="-119.0187"/>
    <d v="2023-01-12T00:00:00"/>
    <n v="0"/>
    <b v="0"/>
    <d v="2025-06-02T00:00:00"/>
    <x v="2"/>
    <x v="2"/>
  </r>
  <r>
    <b v="0"/>
    <d v="1899-12-30T16:23:00"/>
    <d v="1899-12-30T18:07:00"/>
    <n v="104"/>
    <x v="0"/>
    <b v="1"/>
    <b v="0"/>
    <x v="2"/>
    <x v="1"/>
    <x v="0"/>
    <x v="1"/>
    <x v="3"/>
    <n v="0.15"/>
    <x v="15"/>
    <s v="Weekdays only"/>
    <s v="Sacramento, CA"/>
    <n v="38.581600000000002"/>
    <n v="-121.4944"/>
    <d v="2024-02-09T00:00:00"/>
    <n v="6"/>
    <b v="1"/>
    <d v="2025-06-24T00:00:00"/>
    <x v="0"/>
    <x v="0"/>
  </r>
  <r>
    <b v="1"/>
    <d v="1899-12-30T19:02:00"/>
    <d v="1899-12-30T21:09:00"/>
    <n v="127"/>
    <x v="0"/>
    <b v="0"/>
    <b v="0"/>
    <x v="4"/>
    <x v="0"/>
    <x v="1"/>
    <x v="6"/>
    <x v="1"/>
    <n v="0"/>
    <x v="12"/>
    <s v="All hours"/>
    <s v="Anaheim, CA"/>
    <n v="33.836599999999997"/>
    <n v="-117.9143"/>
    <d v="2024-04-07T00:00:00"/>
    <n v="0"/>
    <b v="1"/>
    <d v="2025-06-28T00:00:00"/>
    <x v="3"/>
    <x v="3"/>
  </r>
  <r>
    <b v="1"/>
    <d v="1899-12-30T18:06:00"/>
    <d v="1899-12-30T19:59:00"/>
    <n v="113"/>
    <x v="0"/>
    <b v="0"/>
    <b v="0"/>
    <x v="4"/>
    <x v="1"/>
    <x v="0"/>
    <x v="1"/>
    <x v="1"/>
    <n v="0"/>
    <x v="1"/>
    <s v="Weekdays only"/>
    <s v="San Francisco, CA"/>
    <n v="37.774900000000002"/>
    <n v="-122.4194"/>
    <d v="2024-09-04T00:00:00"/>
    <n v="0"/>
    <b v="0"/>
    <d v="2025-07-06T00:00:00"/>
    <x v="1"/>
    <x v="1"/>
  </r>
  <r>
    <b v="0"/>
    <d v="1899-12-30T08:29:00"/>
    <d v="1899-12-30T09:53:00"/>
    <n v="84"/>
    <x v="1"/>
    <b v="0"/>
    <b v="0"/>
    <x v="0"/>
    <x v="2"/>
    <x v="1"/>
    <x v="5"/>
    <x v="0"/>
    <n v="0.05"/>
    <x v="9"/>
    <s v="Off-peak only"/>
    <s v="Oakland, CA"/>
    <n v="37.804400000000001"/>
    <n v="-122.27119999999999"/>
    <d v="2025-04-23T00:00:00"/>
    <n v="0"/>
    <b v="0"/>
    <d v="2025-07-19T00:00:00"/>
    <x v="3"/>
    <x v="3"/>
  </r>
  <r>
    <b v="0"/>
    <d v="1899-12-30T09:35:00"/>
    <d v="1899-12-30T12:00:00"/>
    <n v="145"/>
    <x v="0"/>
    <b v="1"/>
    <b v="1"/>
    <x v="0"/>
    <x v="0"/>
    <x v="1"/>
    <x v="6"/>
    <x v="1"/>
    <n v="0"/>
    <x v="12"/>
    <s v="All hours"/>
    <s v="Fresno, CA"/>
    <n v="36.7378"/>
    <n v="-119.7871"/>
    <d v="2022-12-15T00:00:00"/>
    <n v="3"/>
    <b v="1"/>
    <d v="2025-06-01T00:00:00"/>
    <x v="1"/>
    <x v="1"/>
  </r>
  <r>
    <b v="1"/>
    <d v="1899-12-30T09:41:00"/>
    <d v="1899-12-30T12:38:00"/>
    <n v="177"/>
    <x v="1"/>
    <b v="1"/>
    <b v="1"/>
    <x v="2"/>
    <x v="0"/>
    <x v="0"/>
    <x v="0"/>
    <x v="2"/>
    <n v="0.1"/>
    <x v="16"/>
    <s v="All hours"/>
    <s v="Oakland, CA"/>
    <n v="37.804400000000001"/>
    <n v="-122.27119999999999"/>
    <d v="2023-02-08T00:00:00"/>
    <n v="4"/>
    <b v="1"/>
    <d v="2025-06-04T00:00:00"/>
    <x v="0"/>
    <x v="0"/>
  </r>
  <r>
    <b v="0"/>
    <d v="1899-12-30T08:33:00"/>
    <d v="1899-12-30T10:29:00"/>
    <n v="116"/>
    <x v="0"/>
    <b v="0"/>
    <b v="0"/>
    <x v="0"/>
    <x v="3"/>
    <x v="1"/>
    <x v="11"/>
    <x v="2"/>
    <n v="0.1"/>
    <x v="32"/>
    <s v="All hours + Priority access"/>
    <s v="Bakersfield, CA"/>
    <n v="35.3733"/>
    <n v="-119.0187"/>
    <d v="2022-07-24T00:00:00"/>
    <n v="0"/>
    <b v="1"/>
    <d v="2025-05-24T00:00:00"/>
    <x v="1"/>
    <x v="1"/>
  </r>
  <r>
    <b v="1"/>
    <d v="1899-12-30T18:15:00"/>
    <d v="1899-12-30T18:54:00"/>
    <n v="39"/>
    <x v="0"/>
    <b v="1"/>
    <b v="1"/>
    <x v="2"/>
    <x v="3"/>
    <x v="0"/>
    <x v="3"/>
    <x v="1"/>
    <n v="0"/>
    <x v="4"/>
    <s v="All hours + Priority access"/>
    <s v="San Diego, CA"/>
    <n v="32.715699999999998"/>
    <n v="-117.1611"/>
    <d v="2022-07-27T00:00:00"/>
    <n v="4"/>
    <b v="1"/>
    <d v="2025-05-24T00:00:00"/>
    <x v="3"/>
    <x v="3"/>
  </r>
  <r>
    <b v="1"/>
    <d v="1899-12-30T13:59:00"/>
    <d v="1899-12-30T15:29:00"/>
    <n v="90"/>
    <x v="0"/>
    <b v="1"/>
    <b v="1"/>
    <x v="4"/>
    <x v="0"/>
    <x v="1"/>
    <x v="6"/>
    <x v="1"/>
    <n v="0"/>
    <x v="12"/>
    <s v="All hours"/>
    <s v="San Jose, CA"/>
    <n v="37.338200000000001"/>
    <n v="-121.88630000000001"/>
    <d v="2023-11-09T00:00:00"/>
    <n v="1"/>
    <b v="1"/>
    <d v="2025-06-19T00:00:00"/>
    <x v="3"/>
    <x v="3"/>
  </r>
  <r>
    <b v="1"/>
    <d v="1899-12-30T20:23:00"/>
    <d v="1899-12-30T21:08:00"/>
    <n v="45"/>
    <x v="1"/>
    <b v="0"/>
    <b v="1"/>
    <x v="0"/>
    <x v="0"/>
    <x v="0"/>
    <x v="0"/>
    <x v="3"/>
    <n v="0.15"/>
    <x v="27"/>
    <s v="All hours"/>
    <s v="San Jose, CA"/>
    <n v="37.338200000000001"/>
    <n v="-121.88630000000001"/>
    <d v="2023-03-27T00:00:00"/>
    <n v="0"/>
    <b v="1"/>
    <d v="2025-06-06T00:00:00"/>
    <x v="0"/>
    <x v="0"/>
  </r>
  <r>
    <b v="1"/>
    <d v="1899-12-30T12:59:00"/>
    <d v="1899-12-30T14:02:00"/>
    <n v="63"/>
    <x v="0"/>
    <b v="1"/>
    <b v="1"/>
    <x v="0"/>
    <x v="2"/>
    <x v="0"/>
    <x v="2"/>
    <x v="1"/>
    <n v="0"/>
    <x v="3"/>
    <s v="Off-peak only"/>
    <s v="Bakersfield, CA"/>
    <n v="35.3733"/>
    <n v="-119.0187"/>
    <d v="2022-09-20T00:00:00"/>
    <n v="3"/>
    <b v="1"/>
    <d v="2025-05-27T00:00:00"/>
    <x v="3"/>
    <x v="3"/>
  </r>
  <r>
    <b v="0"/>
    <d v="1899-12-30T08:34:00"/>
    <d v="1899-12-30T10:49:00"/>
    <n v="135"/>
    <x v="0"/>
    <b v="0"/>
    <b v="1"/>
    <x v="4"/>
    <x v="1"/>
    <x v="2"/>
    <x v="8"/>
    <x v="1"/>
    <n v="0"/>
    <x v="2"/>
    <s v="Weekdays only"/>
    <s v="San Diego, CA"/>
    <n v="32.715699999999998"/>
    <n v="-117.1611"/>
    <d v="2022-12-31T00:00:00"/>
    <n v="0"/>
    <b v="1"/>
    <d v="2025-06-02T00:00:00"/>
    <x v="2"/>
    <x v="4"/>
  </r>
  <r>
    <b v="0"/>
    <d v="1899-12-30T11:23:00"/>
    <d v="1899-12-30T14:03:00"/>
    <n v="160"/>
    <x v="1"/>
    <b v="0"/>
    <b v="0"/>
    <x v="2"/>
    <x v="0"/>
    <x v="1"/>
    <x v="6"/>
    <x v="1"/>
    <n v="0"/>
    <x v="12"/>
    <s v="All hours"/>
    <s v="Fresno, CA"/>
    <n v="36.7378"/>
    <n v="-119.7871"/>
    <d v="2024-10-02T00:00:00"/>
    <n v="0"/>
    <b v="1"/>
    <d v="2025-07-08T00:00:00"/>
    <x v="2"/>
    <x v="2"/>
  </r>
  <r>
    <b v="0"/>
    <d v="1899-12-30T10:11:00"/>
    <d v="1899-12-30T11:28:00"/>
    <n v="77"/>
    <x v="1"/>
    <b v="1"/>
    <b v="0"/>
    <x v="4"/>
    <x v="0"/>
    <x v="0"/>
    <x v="0"/>
    <x v="1"/>
    <n v="0"/>
    <x v="5"/>
    <s v="All hours"/>
    <s v="Bakersfield, CA"/>
    <n v="35.3733"/>
    <n v="-119.0187"/>
    <d v="2024-02-29T00:00:00"/>
    <n v="2"/>
    <b v="0"/>
    <d v="2025-06-25T00:00:00"/>
    <x v="0"/>
    <x v="0"/>
  </r>
  <r>
    <b v="0"/>
    <d v="1899-12-30T10:05:00"/>
    <d v="1899-12-30T10:55:00"/>
    <n v="50"/>
    <x v="1"/>
    <b v="1"/>
    <b v="1"/>
    <x v="0"/>
    <x v="0"/>
    <x v="1"/>
    <x v="6"/>
    <x v="0"/>
    <n v="0.05"/>
    <x v="10"/>
    <s v="All hours"/>
    <s v="Sacramento, CA"/>
    <n v="38.581600000000002"/>
    <n v="-121.4944"/>
    <d v="2025-02-05T00:00:00"/>
    <n v="7"/>
    <b v="1"/>
    <d v="2025-07-15T00:00:00"/>
    <x v="0"/>
    <x v="0"/>
  </r>
  <r>
    <b v="0"/>
    <d v="1899-12-30T17:52:00"/>
    <d v="1899-12-30T18:49:00"/>
    <n v="57"/>
    <x v="1"/>
    <b v="1"/>
    <b v="1"/>
    <x v="0"/>
    <x v="2"/>
    <x v="0"/>
    <x v="2"/>
    <x v="1"/>
    <n v="0"/>
    <x v="3"/>
    <s v="Off-peak only"/>
    <s v="San Jose, CA"/>
    <n v="37.338200000000001"/>
    <n v="-121.88630000000001"/>
    <d v="2022-09-10T00:00:00"/>
    <n v="4"/>
    <b v="1"/>
    <d v="2025-05-26T00:00:00"/>
    <x v="3"/>
    <x v="3"/>
  </r>
  <r>
    <b v="1"/>
    <d v="1899-12-30T09:14:00"/>
    <d v="1899-12-30T11:52:00"/>
    <n v="158"/>
    <x v="0"/>
    <b v="1"/>
    <b v="0"/>
    <x v="0"/>
    <x v="1"/>
    <x v="1"/>
    <x v="4"/>
    <x v="1"/>
    <n v="0"/>
    <x v="8"/>
    <s v="Weekdays only"/>
    <s v="Anaheim, CA"/>
    <n v="33.836599999999997"/>
    <n v="-117.9143"/>
    <d v="2023-09-16T00:00:00"/>
    <n v="4"/>
    <b v="1"/>
    <d v="2025-06-16T00:00:00"/>
    <x v="1"/>
    <x v="1"/>
  </r>
  <r>
    <b v="0"/>
    <d v="1899-12-30T18:01:00"/>
    <d v="1899-12-30T18:36:00"/>
    <n v="35"/>
    <x v="1"/>
    <b v="1"/>
    <b v="0"/>
    <x v="1"/>
    <x v="0"/>
    <x v="0"/>
    <x v="0"/>
    <x v="2"/>
    <n v="0.1"/>
    <x v="16"/>
    <s v="All hours"/>
    <s v="Sacramento, CA"/>
    <n v="38.581600000000002"/>
    <n v="-121.4944"/>
    <d v="2024-10-22T00:00:00"/>
    <n v="1"/>
    <b v="0"/>
    <d v="2025-07-09T00:00:00"/>
    <x v="2"/>
    <x v="2"/>
  </r>
  <r>
    <b v="1"/>
    <d v="1899-12-30T20:15:00"/>
    <d v="1899-12-30T23:14:00"/>
    <n v="179"/>
    <x v="1"/>
    <b v="0"/>
    <b v="1"/>
    <x v="0"/>
    <x v="1"/>
    <x v="0"/>
    <x v="1"/>
    <x v="0"/>
    <n v="0.05"/>
    <x v="7"/>
    <s v="Weekdays only"/>
    <s v="Fresno, CA"/>
    <n v="36.7378"/>
    <n v="-119.7871"/>
    <d v="2023-07-08T00:00:00"/>
    <n v="0"/>
    <b v="1"/>
    <d v="2025-06-12T00:00:00"/>
    <x v="3"/>
    <x v="3"/>
  </r>
  <r>
    <b v="0"/>
    <d v="1899-12-30T12:42:00"/>
    <d v="1899-12-30T15:01:00"/>
    <n v="139"/>
    <x v="1"/>
    <b v="1"/>
    <b v="0"/>
    <x v="3"/>
    <x v="1"/>
    <x v="0"/>
    <x v="1"/>
    <x v="1"/>
    <n v="0"/>
    <x v="1"/>
    <s v="Weekdays only"/>
    <s v="Bakersfield, CA"/>
    <n v="35.3733"/>
    <n v="-119.0187"/>
    <d v="2023-09-03T00:00:00"/>
    <n v="5"/>
    <b v="1"/>
    <d v="2025-06-15T00:00:00"/>
    <x v="1"/>
    <x v="1"/>
  </r>
  <r>
    <b v="0"/>
    <d v="1899-12-30T11:49:00"/>
    <d v="1899-12-30T14:25:00"/>
    <n v="156"/>
    <x v="1"/>
    <b v="1"/>
    <b v="0"/>
    <x v="0"/>
    <x v="0"/>
    <x v="1"/>
    <x v="6"/>
    <x v="1"/>
    <n v="0"/>
    <x v="12"/>
    <s v="All hours"/>
    <s v="San Diego, CA"/>
    <n v="32.715699999999998"/>
    <n v="-117.1611"/>
    <d v="2024-06-06T00:00:00"/>
    <n v="8"/>
    <b v="1"/>
    <d v="2025-07-01T00:00:00"/>
    <x v="3"/>
    <x v="3"/>
  </r>
  <r>
    <b v="0"/>
    <d v="1899-12-30T13:20:00"/>
    <d v="1899-12-30T14:54:00"/>
    <n v="94"/>
    <x v="0"/>
    <b v="0"/>
    <b v="1"/>
    <x v="4"/>
    <x v="0"/>
    <x v="0"/>
    <x v="0"/>
    <x v="0"/>
    <n v="0.05"/>
    <x v="0"/>
    <s v="All hours"/>
    <s v="San Diego, CA"/>
    <n v="32.715699999999998"/>
    <n v="-117.1611"/>
    <d v="2025-02-22T00:00:00"/>
    <n v="0"/>
    <b v="1"/>
    <d v="2025-07-16T00:00:00"/>
    <x v="3"/>
    <x v="3"/>
  </r>
  <r>
    <b v="0"/>
    <d v="1899-12-30T19:43:00"/>
    <d v="1899-12-30T21:01:00"/>
    <n v="78"/>
    <x v="1"/>
    <b v="0"/>
    <b v="0"/>
    <x v="1"/>
    <x v="1"/>
    <x v="0"/>
    <x v="1"/>
    <x v="3"/>
    <n v="0.15"/>
    <x v="15"/>
    <s v="Weekdays only"/>
    <s v="San Francisco, CA"/>
    <n v="37.774900000000002"/>
    <n v="-122.4194"/>
    <d v="2023-07-08T00:00:00"/>
    <n v="0"/>
    <b v="0"/>
    <d v="2025-06-12T00:00:00"/>
    <x v="0"/>
    <x v="0"/>
  </r>
  <r>
    <b v="1"/>
    <d v="1899-12-30T10:34:00"/>
    <d v="1899-12-30T12:49:00"/>
    <n v="135"/>
    <x v="1"/>
    <b v="0"/>
    <b v="0"/>
    <x v="3"/>
    <x v="1"/>
    <x v="1"/>
    <x v="4"/>
    <x v="1"/>
    <n v="0"/>
    <x v="8"/>
    <s v="Weekdays only"/>
    <s v="Sacramento, CA"/>
    <n v="38.581600000000002"/>
    <n v="-121.4944"/>
    <d v="2023-12-16T00:00:00"/>
    <n v="0"/>
    <b v="1"/>
    <d v="2025-06-21T00:00:00"/>
    <x v="2"/>
    <x v="4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3-03-23T00:00:00"/>
    <n v="0"/>
    <b v="1"/>
    <d v="2025-06-06T00:00:00"/>
    <x v="3"/>
    <x v="3"/>
  </r>
  <r>
    <b v="0"/>
    <d v="1899-12-30T09:20:00"/>
    <d v="1899-12-30T11:57:00"/>
    <n v="157"/>
    <x v="0"/>
    <b v="1"/>
    <b v="1"/>
    <x v="4"/>
    <x v="2"/>
    <x v="1"/>
    <x v="5"/>
    <x v="1"/>
    <n v="0"/>
    <x v="14"/>
    <s v="Off-peak only"/>
    <s v="San Francisco, CA"/>
    <n v="37.774900000000002"/>
    <n v="-122.4194"/>
    <d v="2023-12-17T00:00:00"/>
    <n v="2"/>
    <b v="0"/>
    <d v="2025-06-21T00:00:00"/>
    <x v="3"/>
    <x v="3"/>
  </r>
  <r>
    <b v="1"/>
    <d v="1899-12-30T10:11:00"/>
    <d v="1899-12-30T11:30:00"/>
    <n v="79"/>
    <x v="1"/>
    <b v="1"/>
    <b v="1"/>
    <x v="0"/>
    <x v="2"/>
    <x v="2"/>
    <x v="7"/>
    <x v="1"/>
    <n v="0"/>
    <x v="6"/>
    <s v="Off-peak only"/>
    <s v="Anaheim, CA"/>
    <n v="33.836599999999997"/>
    <n v="-117.9143"/>
    <d v="2022-12-28T00:00:00"/>
    <n v="6"/>
    <b v="1"/>
    <d v="2025-06-01T00:00:00"/>
    <x v="0"/>
    <x v="0"/>
  </r>
  <r>
    <b v="1"/>
    <d v="1899-12-30T12:50:00"/>
    <d v="1899-12-30T14:19:00"/>
    <n v="89"/>
    <x v="0"/>
    <b v="0"/>
    <b v="1"/>
    <x v="4"/>
    <x v="0"/>
    <x v="0"/>
    <x v="0"/>
    <x v="1"/>
    <n v="0"/>
    <x v="5"/>
    <s v="All hours"/>
    <s v="Los Angeles, CA"/>
    <n v="34.052199999999999"/>
    <n v="-118.2437"/>
    <d v="2023-11-13T00:00:00"/>
    <n v="0"/>
    <b v="1"/>
    <d v="2025-06-19T00:00:00"/>
    <x v="1"/>
    <x v="1"/>
  </r>
  <r>
    <b v="1"/>
    <d v="1899-12-30T17:13:00"/>
    <d v="1899-12-30T19:26:00"/>
    <n v="133"/>
    <x v="1"/>
    <b v="1"/>
    <b v="0"/>
    <x v="2"/>
    <x v="1"/>
    <x v="0"/>
    <x v="1"/>
    <x v="0"/>
    <n v="0.05"/>
    <x v="7"/>
    <s v="Weekdays only"/>
    <s v="Sacramento, CA"/>
    <n v="38.581600000000002"/>
    <n v="-121.4944"/>
    <d v="2023-11-03T00:00:00"/>
    <n v="3"/>
    <b v="0"/>
    <d v="2025-06-19T00:00:00"/>
    <x v="2"/>
    <x v="2"/>
  </r>
  <r>
    <b v="1"/>
    <d v="1899-12-30T10:48:00"/>
    <d v="1899-12-30T13:15:00"/>
    <n v="147"/>
    <x v="1"/>
    <b v="0"/>
    <b v="0"/>
    <x v="1"/>
    <x v="0"/>
    <x v="1"/>
    <x v="6"/>
    <x v="1"/>
    <n v="0"/>
    <x v="12"/>
    <s v="All hours"/>
    <s v="Anaheim, CA"/>
    <n v="33.836599999999997"/>
    <n v="-117.9143"/>
    <d v="2022-12-02T00:00:00"/>
    <n v="0"/>
    <b v="1"/>
    <d v="2025-05-31T00:00:00"/>
    <x v="3"/>
    <x v="3"/>
  </r>
  <r>
    <b v="1"/>
    <d v="1899-12-30T20:14:00"/>
    <d v="1899-12-30T22:30:00"/>
    <n v="136"/>
    <x v="1"/>
    <b v="1"/>
    <b v="1"/>
    <x v="0"/>
    <x v="0"/>
    <x v="0"/>
    <x v="0"/>
    <x v="0"/>
    <n v="0.05"/>
    <x v="0"/>
    <s v="All hours"/>
    <s v="Sacramento, CA"/>
    <n v="38.581600000000002"/>
    <n v="-121.4944"/>
    <d v="2024-04-19T00:00:00"/>
    <n v="4"/>
    <b v="1"/>
    <d v="2025-06-28T00:00:00"/>
    <x v="1"/>
    <x v="1"/>
  </r>
  <r>
    <b v="0"/>
    <d v="1899-12-30T19:38:00"/>
    <d v="1899-12-30T20:56:00"/>
    <n v="78"/>
    <x v="1"/>
    <b v="0"/>
    <b v="0"/>
    <x v="0"/>
    <x v="0"/>
    <x v="1"/>
    <x v="6"/>
    <x v="3"/>
    <n v="0.15"/>
    <x v="28"/>
    <s v="All hours"/>
    <s v="Anaheim, CA"/>
    <n v="33.836599999999997"/>
    <n v="-117.9143"/>
    <d v="2025-01-31T00:00:00"/>
    <n v="0"/>
    <b v="1"/>
    <d v="2025-07-14T00:00:00"/>
    <x v="0"/>
    <x v="0"/>
  </r>
  <r>
    <b v="1"/>
    <d v="1899-12-30T15:26:00"/>
    <d v="1899-12-30T16:15:00"/>
    <n v="49"/>
    <x v="1"/>
    <b v="0"/>
    <b v="0"/>
    <x v="4"/>
    <x v="3"/>
    <x v="0"/>
    <x v="3"/>
    <x v="0"/>
    <n v="0.05"/>
    <x v="23"/>
    <s v="All hours + Priority access"/>
    <s v="San Diego, CA"/>
    <n v="32.715699999999998"/>
    <n v="-117.1611"/>
    <d v="2025-05-23T00:00:00"/>
    <n v="0"/>
    <b v="1"/>
    <d v="2025-07-21T00:00:00"/>
    <x v="1"/>
    <x v="1"/>
  </r>
  <r>
    <b v="1"/>
    <d v="1899-12-30T08:25:00"/>
    <d v="1899-12-30T09:16:00"/>
    <n v="51"/>
    <x v="1"/>
    <b v="1"/>
    <b v="0"/>
    <x v="4"/>
    <x v="0"/>
    <x v="0"/>
    <x v="0"/>
    <x v="1"/>
    <n v="0"/>
    <x v="5"/>
    <s v="All hours"/>
    <s v="San Jose, CA"/>
    <n v="37.338200000000001"/>
    <n v="-121.88630000000001"/>
    <d v="2023-04-10T00:00:00"/>
    <n v="4"/>
    <b v="0"/>
    <d v="2025-06-07T00:00:00"/>
    <x v="2"/>
    <x v="4"/>
  </r>
  <r>
    <b v="1"/>
    <d v="1899-12-30T18:33:00"/>
    <d v="1899-12-30T20:28:00"/>
    <n v="115"/>
    <x v="1"/>
    <b v="0"/>
    <b v="0"/>
    <x v="0"/>
    <x v="0"/>
    <x v="0"/>
    <x v="0"/>
    <x v="0"/>
    <n v="0.05"/>
    <x v="0"/>
    <s v="All hours"/>
    <s v="Bakersfield, CA"/>
    <n v="35.3733"/>
    <n v="-119.0187"/>
    <d v="2023-09-01T00:00:00"/>
    <n v="0"/>
    <b v="0"/>
    <d v="2025-06-15T00:00:00"/>
    <x v="3"/>
    <x v="3"/>
  </r>
  <r>
    <b v="0"/>
    <d v="1899-12-30T13:10:00"/>
    <d v="1899-12-30T15:15:00"/>
    <n v="125"/>
    <x v="1"/>
    <b v="0"/>
    <b v="1"/>
    <x v="0"/>
    <x v="0"/>
    <x v="0"/>
    <x v="0"/>
    <x v="1"/>
    <n v="0"/>
    <x v="5"/>
    <s v="All hours"/>
    <s v="Bakersfield, CA"/>
    <n v="35.3733"/>
    <n v="-119.0187"/>
    <d v="2023-06-04T00:00:00"/>
    <n v="0"/>
    <b v="1"/>
    <d v="2025-06-10T00:00:00"/>
    <x v="0"/>
    <x v="0"/>
  </r>
  <r>
    <b v="1"/>
    <d v="1899-12-30T10:23:00"/>
    <d v="1899-12-30T12:29:00"/>
    <n v="126"/>
    <x v="1"/>
    <b v="1"/>
    <b v="0"/>
    <x v="3"/>
    <x v="2"/>
    <x v="0"/>
    <x v="2"/>
    <x v="2"/>
    <n v="0.1"/>
    <x v="6"/>
    <s v="Off-peak only"/>
    <s v="San Diego, CA"/>
    <n v="32.715699999999998"/>
    <n v="-117.1611"/>
    <d v="2024-11-08T00:00:00"/>
    <n v="6"/>
    <b v="1"/>
    <d v="2025-07-10T00:00:00"/>
    <x v="3"/>
    <x v="3"/>
  </r>
  <r>
    <b v="0"/>
    <d v="1899-12-30T11:26:00"/>
    <d v="1899-12-30T12:55:00"/>
    <n v="89"/>
    <x v="0"/>
    <b v="0"/>
    <b v="1"/>
    <x v="1"/>
    <x v="2"/>
    <x v="0"/>
    <x v="2"/>
    <x v="3"/>
    <n v="0.15"/>
    <x v="17"/>
    <s v="Off-peak only"/>
    <s v="San Jose, CA"/>
    <n v="37.338200000000001"/>
    <n v="-121.88630000000001"/>
    <d v="2025-01-28T00:00:00"/>
    <n v="0"/>
    <b v="0"/>
    <d v="2025-07-14T00:00:00"/>
    <x v="0"/>
    <x v="0"/>
  </r>
  <r>
    <b v="1"/>
    <d v="1899-12-30T12:24:00"/>
    <d v="1899-12-30T13:14:00"/>
    <n v="50"/>
    <x v="0"/>
    <b v="1"/>
    <b v="1"/>
    <x v="0"/>
    <x v="1"/>
    <x v="1"/>
    <x v="4"/>
    <x v="0"/>
    <n v="0.05"/>
    <x v="11"/>
    <s v="Weekdays only"/>
    <s v="San Francisco, CA"/>
    <n v="37.774900000000002"/>
    <n v="-122.4194"/>
    <d v="2025-06-07T00:00:00"/>
    <n v="2"/>
    <b v="0"/>
    <d v="2025-07-22T00:00:00"/>
    <x v="0"/>
    <x v="0"/>
  </r>
  <r>
    <b v="0"/>
    <d v="1899-12-30T14:01:00"/>
    <d v="1899-12-30T16:17:00"/>
    <n v="136"/>
    <x v="0"/>
    <b v="0"/>
    <b v="0"/>
    <x v="4"/>
    <x v="3"/>
    <x v="0"/>
    <x v="3"/>
    <x v="1"/>
    <n v="0"/>
    <x v="4"/>
    <s v="All hours + Priority access"/>
    <s v="Anaheim, CA"/>
    <n v="33.836599999999997"/>
    <n v="-117.9143"/>
    <d v="2024-06-14T00:00:00"/>
    <n v="0"/>
    <b v="0"/>
    <d v="2025-07-01T00:00:00"/>
    <x v="1"/>
    <x v="1"/>
  </r>
  <r>
    <b v="0"/>
    <d v="1899-12-30T16:57:00"/>
    <d v="1899-12-30T18:54:00"/>
    <n v="117"/>
    <x v="1"/>
    <b v="1"/>
    <b v="0"/>
    <x v="4"/>
    <x v="2"/>
    <x v="1"/>
    <x v="5"/>
    <x v="1"/>
    <n v="0"/>
    <x v="14"/>
    <s v="Off-peak only"/>
    <s v="Sacramento, CA"/>
    <n v="38.581600000000002"/>
    <n v="-121.4944"/>
    <d v="2023-10-03T00:00:00"/>
    <n v="8"/>
    <b v="1"/>
    <d v="2025-06-17T00:00:00"/>
    <x v="2"/>
    <x v="2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4-05-01T00:00:00"/>
    <n v="5"/>
    <b v="0"/>
    <d v="2025-06-29T00:00:00"/>
    <x v="2"/>
    <x v="2"/>
  </r>
  <r>
    <b v="1"/>
    <d v="1899-12-30T09:06:00"/>
    <d v="1899-12-30T10:19:00"/>
    <n v="73"/>
    <x v="1"/>
    <b v="0"/>
    <b v="1"/>
    <x v="0"/>
    <x v="2"/>
    <x v="0"/>
    <x v="2"/>
    <x v="1"/>
    <n v="0"/>
    <x v="3"/>
    <s v="Off-peak only"/>
    <s v="Los Angeles, CA"/>
    <n v="34.052199999999999"/>
    <n v="-118.2437"/>
    <d v="2024-03-14T00:00:00"/>
    <n v="0"/>
    <b v="0"/>
    <d v="2025-06-26T00:00:00"/>
    <x v="3"/>
    <x v="3"/>
  </r>
  <r>
    <b v="1"/>
    <d v="1899-12-30T19:00:00"/>
    <d v="1899-12-30T19:49:00"/>
    <n v="49"/>
    <x v="1"/>
    <b v="0"/>
    <b v="1"/>
    <x v="4"/>
    <x v="1"/>
    <x v="0"/>
    <x v="1"/>
    <x v="0"/>
    <n v="0.05"/>
    <x v="7"/>
    <s v="Weekdays only"/>
    <s v="Bakersfield, CA"/>
    <n v="35.3733"/>
    <n v="-119.0187"/>
    <d v="2022-11-03T00:00:00"/>
    <n v="0"/>
    <b v="0"/>
    <d v="2025-05-29T00:00:00"/>
    <x v="3"/>
    <x v="3"/>
  </r>
  <r>
    <b v="1"/>
    <d v="1899-12-30T09:21:00"/>
    <d v="1899-12-30T11:31:00"/>
    <n v="130"/>
    <x v="1"/>
    <b v="1"/>
    <b v="1"/>
    <x v="2"/>
    <x v="2"/>
    <x v="0"/>
    <x v="2"/>
    <x v="3"/>
    <n v="0.15"/>
    <x v="17"/>
    <s v="Off-peak only"/>
    <s v="Los Angeles, CA"/>
    <n v="34.052199999999999"/>
    <n v="-118.2437"/>
    <d v="2024-06-17T00:00:00"/>
    <n v="4"/>
    <b v="0"/>
    <d v="2025-07-02T00:00:00"/>
    <x v="1"/>
    <x v="1"/>
  </r>
  <r>
    <b v="1"/>
    <d v="1899-12-30T17:10:00"/>
    <d v="1899-12-30T18:03:00"/>
    <n v="53"/>
    <x v="1"/>
    <b v="1"/>
    <b v="1"/>
    <x v="2"/>
    <x v="1"/>
    <x v="2"/>
    <x v="8"/>
    <x v="2"/>
    <n v="0.1"/>
    <x v="33"/>
    <s v="Weekdays only"/>
    <s v="Los Angeles, CA"/>
    <n v="34.052199999999999"/>
    <n v="-118.2437"/>
    <d v="2023-03-11T00:00:00"/>
    <n v="8"/>
    <b v="0"/>
    <d v="2025-06-05T00:00:00"/>
    <x v="0"/>
    <x v="0"/>
  </r>
  <r>
    <b v="1"/>
    <d v="1899-12-30T12:52:00"/>
    <d v="1899-12-30T14:18:00"/>
    <n v="86"/>
    <x v="0"/>
    <b v="0"/>
    <b v="0"/>
    <x v="4"/>
    <x v="0"/>
    <x v="0"/>
    <x v="0"/>
    <x v="2"/>
    <n v="0.1"/>
    <x v="16"/>
    <s v="All hours"/>
    <s v="Long Beach, CA"/>
    <n v="33.770099999999999"/>
    <n v="-118.19370000000001"/>
    <d v="2024-04-26T00:00:00"/>
    <n v="0"/>
    <b v="1"/>
    <d v="2025-06-29T00:00:00"/>
    <x v="0"/>
    <x v="0"/>
  </r>
  <r>
    <b v="0"/>
    <d v="1899-12-30T18:07:00"/>
    <d v="1899-12-30T20:59:00"/>
    <n v="172"/>
    <x v="1"/>
    <b v="0"/>
    <b v="0"/>
    <x v="2"/>
    <x v="1"/>
    <x v="0"/>
    <x v="1"/>
    <x v="1"/>
    <n v="0"/>
    <x v="1"/>
    <s v="Weekdays only"/>
    <s v="Fresno, CA"/>
    <n v="36.7378"/>
    <n v="-119.7871"/>
    <d v="2023-08-30T00:00:00"/>
    <n v="0"/>
    <b v="0"/>
    <d v="2025-06-15T00:00:00"/>
    <x v="1"/>
    <x v="1"/>
  </r>
  <r>
    <b v="1"/>
    <d v="1899-12-30T20:43:00"/>
    <d v="1899-12-30T21:23:00"/>
    <n v="40"/>
    <x v="1"/>
    <b v="0"/>
    <b v="0"/>
    <x v="3"/>
    <x v="1"/>
    <x v="2"/>
    <x v="8"/>
    <x v="1"/>
    <n v="0"/>
    <x v="2"/>
    <s v="Weekdays only"/>
    <s v="San Francisco, CA"/>
    <n v="37.774900000000002"/>
    <n v="-122.4194"/>
    <d v="2022-12-17T00:00:00"/>
    <n v="0"/>
    <b v="0"/>
    <d v="2025-06-01T00:00:00"/>
    <x v="3"/>
    <x v="3"/>
  </r>
  <r>
    <b v="1"/>
    <d v="1899-12-30T09:24:00"/>
    <d v="1899-12-30T12:24:00"/>
    <n v="180"/>
    <x v="0"/>
    <b v="1"/>
    <b v="0"/>
    <x v="4"/>
    <x v="2"/>
    <x v="2"/>
    <x v="7"/>
    <x v="1"/>
    <n v="0"/>
    <x v="6"/>
    <s v="Off-peak only"/>
    <s v="Fresno, CA"/>
    <n v="36.7378"/>
    <n v="-119.7871"/>
    <d v="2022-09-15T00:00:00"/>
    <n v="2"/>
    <b v="0"/>
    <d v="2025-05-27T00:00:00"/>
    <x v="1"/>
    <x v="1"/>
  </r>
  <r>
    <b v="1"/>
    <d v="1899-12-30T18:52:00"/>
    <d v="1899-12-30T19:42:00"/>
    <n v="50"/>
    <x v="1"/>
    <b v="0"/>
    <b v="1"/>
    <x v="0"/>
    <x v="0"/>
    <x v="1"/>
    <x v="6"/>
    <x v="1"/>
    <n v="0"/>
    <x v="12"/>
    <s v="All hours"/>
    <s v="Los Angeles, CA"/>
    <n v="34.052199999999999"/>
    <n v="-118.2437"/>
    <d v="2025-01-17T00:00:00"/>
    <n v="0"/>
    <b v="0"/>
    <d v="2025-07-14T00:00:00"/>
    <x v="0"/>
    <x v="0"/>
  </r>
  <r>
    <b v="0"/>
    <d v="1899-12-30T08:23:00"/>
    <d v="1899-12-30T11:22:00"/>
    <n v="179"/>
    <x v="0"/>
    <b v="0"/>
    <b v="0"/>
    <x v="0"/>
    <x v="0"/>
    <x v="0"/>
    <x v="0"/>
    <x v="0"/>
    <n v="0.05"/>
    <x v="0"/>
    <s v="All hours"/>
    <s v="San Diego, CA"/>
    <n v="32.715699999999998"/>
    <n v="-117.1611"/>
    <d v="2022-10-10T00:00:00"/>
    <n v="0"/>
    <b v="1"/>
    <d v="2025-05-28T00:00:00"/>
    <x v="3"/>
    <x v="3"/>
  </r>
  <r>
    <b v="0"/>
    <d v="1899-12-30T14:12:00"/>
    <d v="1899-12-30T14:59:00"/>
    <n v="47"/>
    <x v="0"/>
    <b v="0"/>
    <b v="0"/>
    <x v="2"/>
    <x v="2"/>
    <x v="0"/>
    <x v="2"/>
    <x v="1"/>
    <n v="0"/>
    <x v="3"/>
    <s v="Off-peak only"/>
    <s v="Sacramento, CA"/>
    <n v="38.581600000000002"/>
    <n v="-121.4944"/>
    <d v="2024-01-15T00:00:00"/>
    <n v="0"/>
    <b v="0"/>
    <d v="2025-06-23T00:00:00"/>
    <x v="1"/>
    <x v="1"/>
  </r>
  <r>
    <b v="0"/>
    <d v="1899-12-30T19:30:00"/>
    <d v="1899-12-30T21:59:00"/>
    <n v="149"/>
    <x v="1"/>
    <b v="0"/>
    <b v="1"/>
    <x v="0"/>
    <x v="3"/>
    <x v="1"/>
    <x v="11"/>
    <x v="1"/>
    <n v="0"/>
    <x v="38"/>
    <s v="All hours + Priority access"/>
    <s v="Fresno, CA"/>
    <n v="36.7378"/>
    <n v="-119.7871"/>
    <d v="2024-09-20T00:00:00"/>
    <n v="0"/>
    <b v="0"/>
    <d v="2025-07-07T00:00:00"/>
    <x v="1"/>
    <x v="1"/>
  </r>
  <r>
    <b v="1"/>
    <d v="1899-12-30T12:45:00"/>
    <d v="1899-12-30T14:09:00"/>
    <n v="84"/>
    <x v="1"/>
    <b v="1"/>
    <b v="1"/>
    <x v="3"/>
    <x v="0"/>
    <x v="0"/>
    <x v="0"/>
    <x v="1"/>
    <n v="0"/>
    <x v="5"/>
    <s v="All hours"/>
    <s v="Bakersfield, CA"/>
    <n v="35.3733"/>
    <n v="-119.0187"/>
    <d v="2024-02-20T00:00:00"/>
    <n v="6"/>
    <b v="1"/>
    <d v="2025-06-25T00:00:00"/>
    <x v="3"/>
    <x v="3"/>
  </r>
  <r>
    <b v="0"/>
    <d v="1899-12-30T11:23:00"/>
    <d v="1899-12-30T13:00:00"/>
    <n v="97"/>
    <x v="0"/>
    <b v="1"/>
    <b v="1"/>
    <x v="2"/>
    <x v="0"/>
    <x v="0"/>
    <x v="0"/>
    <x v="3"/>
    <n v="0.15"/>
    <x v="27"/>
    <s v="All hours"/>
    <s v="Fresno, CA"/>
    <n v="36.7378"/>
    <n v="-119.7871"/>
    <d v="2022-08-14T00:00:00"/>
    <n v="1"/>
    <b v="1"/>
    <d v="2025-05-25T00:00:00"/>
    <x v="3"/>
    <x v="3"/>
  </r>
  <r>
    <b v="1"/>
    <d v="1899-12-30T10:42:00"/>
    <d v="1899-12-30T13:13:00"/>
    <n v="151"/>
    <x v="1"/>
    <b v="1"/>
    <b v="0"/>
    <x v="4"/>
    <x v="2"/>
    <x v="0"/>
    <x v="2"/>
    <x v="1"/>
    <n v="0"/>
    <x v="3"/>
    <s v="Off-peak only"/>
    <s v="Bakersfield, CA"/>
    <n v="35.3733"/>
    <n v="-119.0187"/>
    <d v="2024-01-15T00:00:00"/>
    <n v="5"/>
    <b v="0"/>
    <d v="2025-06-23T00:00:00"/>
    <x v="3"/>
    <x v="3"/>
  </r>
  <r>
    <b v="1"/>
    <d v="1899-12-30T09:17:00"/>
    <d v="1899-12-30T09:49:00"/>
    <n v="32"/>
    <x v="0"/>
    <b v="0"/>
    <b v="0"/>
    <x v="0"/>
    <x v="0"/>
    <x v="0"/>
    <x v="0"/>
    <x v="2"/>
    <n v="0.1"/>
    <x v="16"/>
    <s v="All hours"/>
    <s v="Bakersfield, CA"/>
    <n v="35.3733"/>
    <n v="-119.0187"/>
    <d v="2024-07-07T00:00:00"/>
    <n v="0"/>
    <b v="1"/>
    <d v="2025-07-03T00:00:00"/>
    <x v="3"/>
    <x v="3"/>
  </r>
  <r>
    <b v="0"/>
    <d v="1899-12-30T10:25:00"/>
    <d v="1899-12-30T12:18:00"/>
    <n v="113"/>
    <x v="0"/>
    <b v="0"/>
    <b v="1"/>
    <x v="0"/>
    <x v="1"/>
    <x v="0"/>
    <x v="1"/>
    <x v="1"/>
    <n v="0"/>
    <x v="1"/>
    <s v="Weekdays only"/>
    <s v="Los Angeles, CA"/>
    <n v="34.052199999999999"/>
    <n v="-118.2437"/>
    <d v="2023-08-18T00:00:00"/>
    <n v="0"/>
    <b v="0"/>
    <d v="2025-06-14T00:00:00"/>
    <x v="2"/>
    <x v="4"/>
  </r>
  <r>
    <b v="1"/>
    <d v="1899-12-30T14:06:00"/>
    <d v="1899-12-30T16:06:00"/>
    <n v="120"/>
    <x v="1"/>
    <b v="1"/>
    <b v="1"/>
    <x v="2"/>
    <x v="2"/>
    <x v="0"/>
    <x v="2"/>
    <x v="3"/>
    <n v="0.15"/>
    <x v="17"/>
    <s v="Off-peak only"/>
    <s v="Anaheim, CA"/>
    <n v="33.836599999999997"/>
    <n v="-117.9143"/>
    <d v="2024-10-10T00:00:00"/>
    <n v="3"/>
    <b v="0"/>
    <d v="2025-07-08T00:00:00"/>
    <x v="0"/>
    <x v="0"/>
  </r>
  <r>
    <b v="1"/>
    <d v="1899-12-30T12:16:00"/>
    <d v="1899-12-30T13:03:00"/>
    <n v="47"/>
    <x v="0"/>
    <b v="1"/>
    <b v="0"/>
    <x v="0"/>
    <x v="1"/>
    <x v="2"/>
    <x v="8"/>
    <x v="1"/>
    <n v="0"/>
    <x v="2"/>
    <s v="Weekdays only"/>
    <s v="Fresno, CA"/>
    <n v="36.7378"/>
    <n v="-119.7871"/>
    <d v="2025-04-03T00:00:00"/>
    <n v="4"/>
    <b v="0"/>
    <d v="2025-07-18T00:00:00"/>
    <x v="1"/>
    <x v="1"/>
  </r>
  <r>
    <b v="1"/>
    <d v="1899-12-30T20:04:00"/>
    <d v="1899-12-30T22:29:00"/>
    <n v="145"/>
    <x v="0"/>
    <b v="1"/>
    <b v="1"/>
    <x v="4"/>
    <x v="3"/>
    <x v="0"/>
    <x v="3"/>
    <x v="3"/>
    <n v="0.15"/>
    <x v="40"/>
    <s v="All hours + Priority access"/>
    <s v="San Francisco, CA"/>
    <n v="37.774900000000002"/>
    <n v="-122.4194"/>
    <d v="2025-02-05T00:00:00"/>
    <n v="2"/>
    <b v="1"/>
    <d v="2025-07-15T00:00:00"/>
    <x v="0"/>
    <x v="0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5-02-06T00:00:00"/>
    <n v="1"/>
    <b v="1"/>
    <d v="2025-07-15T00:00:00"/>
    <x v="3"/>
    <x v="3"/>
  </r>
  <r>
    <b v="0"/>
    <d v="1899-12-30T10:32:00"/>
    <d v="1899-12-30T11:09:00"/>
    <n v="37"/>
    <x v="0"/>
    <b v="0"/>
    <b v="1"/>
    <x v="4"/>
    <x v="0"/>
    <x v="0"/>
    <x v="0"/>
    <x v="3"/>
    <n v="0.15"/>
    <x v="27"/>
    <s v="All hours"/>
    <s v="San Francisco, CA"/>
    <n v="37.774900000000002"/>
    <n v="-122.4194"/>
    <d v="2025-01-12T00:00:00"/>
    <n v="0"/>
    <b v="1"/>
    <d v="2025-07-13T00:00:00"/>
    <x v="3"/>
    <x v="3"/>
  </r>
  <r>
    <b v="1"/>
    <d v="1899-12-30T13:32:00"/>
    <d v="1899-12-30T16:19:00"/>
    <n v="167"/>
    <x v="0"/>
    <b v="0"/>
    <b v="0"/>
    <x v="0"/>
    <x v="2"/>
    <x v="1"/>
    <x v="5"/>
    <x v="3"/>
    <n v="0.15"/>
    <x v="13"/>
    <s v="Off-peak only"/>
    <s v="San Diego, CA"/>
    <n v="32.715699999999998"/>
    <n v="-117.1611"/>
    <d v="2025-01-26T00:00:00"/>
    <n v="0"/>
    <b v="1"/>
    <d v="2025-07-14T00:00:00"/>
    <x v="1"/>
    <x v="1"/>
  </r>
  <r>
    <b v="0"/>
    <d v="1899-12-30T17:14:00"/>
    <d v="1899-12-30T20:05:00"/>
    <n v="171"/>
    <x v="0"/>
    <b v="1"/>
    <b v="1"/>
    <x v="0"/>
    <x v="0"/>
    <x v="1"/>
    <x v="6"/>
    <x v="1"/>
    <n v="0"/>
    <x v="12"/>
    <s v="All hours"/>
    <s v="San Francisco, CA"/>
    <n v="37.774900000000002"/>
    <n v="-122.4194"/>
    <d v="2023-08-10T00:00:00"/>
    <n v="3"/>
    <b v="1"/>
    <d v="2025-06-14T00:00:00"/>
    <x v="0"/>
    <x v="0"/>
  </r>
  <r>
    <b v="1"/>
    <d v="1899-12-30T17:57:00"/>
    <d v="1899-12-30T19:46:00"/>
    <n v="109"/>
    <x v="0"/>
    <b v="1"/>
    <b v="0"/>
    <x v="0"/>
    <x v="0"/>
    <x v="0"/>
    <x v="0"/>
    <x v="0"/>
    <n v="0.05"/>
    <x v="0"/>
    <s v="All hours"/>
    <s v="Sacramento, CA"/>
    <n v="38.581600000000002"/>
    <n v="-121.4944"/>
    <d v="2024-12-11T00:00:00"/>
    <n v="7"/>
    <b v="1"/>
    <d v="2025-07-12T00:00:00"/>
    <x v="3"/>
    <x v="3"/>
  </r>
  <r>
    <b v="0"/>
    <d v="1899-12-30T11:31:00"/>
    <d v="1899-12-30T12:13:00"/>
    <n v="42"/>
    <x v="1"/>
    <b v="1"/>
    <b v="1"/>
    <x v="0"/>
    <x v="0"/>
    <x v="0"/>
    <x v="0"/>
    <x v="0"/>
    <n v="0.05"/>
    <x v="0"/>
    <s v="All hours"/>
    <s v="San Jose, CA"/>
    <n v="37.338200000000001"/>
    <n v="-121.88630000000001"/>
    <d v="2024-06-19T00:00:00"/>
    <n v="2"/>
    <b v="1"/>
    <d v="2025-07-02T00:00:00"/>
    <x v="3"/>
    <x v="3"/>
  </r>
  <r>
    <b v="1"/>
    <d v="1899-12-30T14:27:00"/>
    <d v="1899-12-30T16:09:00"/>
    <n v="102"/>
    <x v="0"/>
    <b v="1"/>
    <b v="0"/>
    <x v="1"/>
    <x v="1"/>
    <x v="0"/>
    <x v="1"/>
    <x v="2"/>
    <n v="0.1"/>
    <x v="2"/>
    <s v="Weekdays only"/>
    <s v="San Diego, CA"/>
    <n v="32.715699999999998"/>
    <n v="-117.1611"/>
    <d v="2022-11-10T00:00:00"/>
    <n v="2"/>
    <b v="1"/>
    <d v="2025-05-30T00:00:00"/>
    <x v="1"/>
    <x v="1"/>
  </r>
  <r>
    <b v="1"/>
    <d v="1899-12-30T18:15:00"/>
    <d v="1899-12-30T19:59:00"/>
    <n v="104"/>
    <x v="1"/>
    <b v="0"/>
    <b v="1"/>
    <x v="4"/>
    <x v="0"/>
    <x v="0"/>
    <x v="0"/>
    <x v="2"/>
    <n v="0.1"/>
    <x v="16"/>
    <s v="All hours"/>
    <s v="San Diego, CA"/>
    <n v="32.715699999999998"/>
    <n v="-117.1611"/>
    <d v="2024-02-04T00:00:00"/>
    <n v="0"/>
    <b v="1"/>
    <d v="2025-06-24T00:00:00"/>
    <x v="0"/>
    <x v="0"/>
  </r>
  <r>
    <b v="1"/>
    <d v="1899-12-30T17:29:00"/>
    <d v="1899-12-30T18:47:00"/>
    <n v="78"/>
    <x v="1"/>
    <b v="0"/>
    <b v="1"/>
    <x v="0"/>
    <x v="1"/>
    <x v="1"/>
    <x v="4"/>
    <x v="0"/>
    <n v="0.05"/>
    <x v="11"/>
    <s v="Weekdays only"/>
    <s v="Long Beach, CA"/>
    <n v="33.770099999999999"/>
    <n v="-118.19370000000001"/>
    <d v="2023-07-13T00:00:00"/>
    <n v="0"/>
    <b v="1"/>
    <d v="2025-06-12T00:00:00"/>
    <x v="1"/>
    <x v="1"/>
  </r>
  <r>
    <b v="1"/>
    <d v="1899-12-30T10:42:00"/>
    <d v="1899-12-30T13:13:00"/>
    <n v="151"/>
    <x v="1"/>
    <b v="1"/>
    <b v="0"/>
    <x v="4"/>
    <x v="2"/>
    <x v="0"/>
    <x v="2"/>
    <x v="1"/>
    <n v="0"/>
    <x v="3"/>
    <s v="Off-peak only"/>
    <s v="Bakersfield, CA"/>
    <n v="35.3733"/>
    <n v="-119.0187"/>
    <d v="2024-12-21T00:00:00"/>
    <n v="3"/>
    <b v="1"/>
    <d v="2025-07-12T00:00:00"/>
    <x v="3"/>
    <x v="3"/>
  </r>
  <r>
    <b v="1"/>
    <d v="1899-12-30T19:59:00"/>
    <d v="1899-12-30T21:04:00"/>
    <n v="65"/>
    <x v="0"/>
    <b v="1"/>
    <b v="0"/>
    <x v="3"/>
    <x v="0"/>
    <x v="1"/>
    <x v="6"/>
    <x v="1"/>
    <n v="0"/>
    <x v="12"/>
    <s v="All hours"/>
    <s v="Oakland, CA"/>
    <n v="37.804400000000001"/>
    <n v="-122.27119999999999"/>
    <d v="2024-11-30T00:00:00"/>
    <n v="1"/>
    <b v="0"/>
    <d v="2025-07-11T00:00:00"/>
    <x v="0"/>
    <x v="0"/>
  </r>
  <r>
    <b v="0"/>
    <d v="1899-12-30T19:23:00"/>
    <d v="1899-12-30T20:48:00"/>
    <n v="85"/>
    <x v="0"/>
    <b v="0"/>
    <b v="1"/>
    <x v="4"/>
    <x v="1"/>
    <x v="1"/>
    <x v="4"/>
    <x v="2"/>
    <n v="0.1"/>
    <x v="26"/>
    <s v="Weekdays only"/>
    <s v="San Jose, CA"/>
    <n v="37.338200000000001"/>
    <n v="-121.88630000000001"/>
    <d v="2025-05-10T00:00:00"/>
    <n v="0"/>
    <b v="0"/>
    <d v="2025-07-20T00:00:00"/>
    <x v="3"/>
    <x v="3"/>
  </r>
  <r>
    <b v="1"/>
    <d v="1899-12-30T15:39:00"/>
    <d v="1899-12-30T17:34:00"/>
    <n v="115"/>
    <x v="1"/>
    <b v="1"/>
    <b v="1"/>
    <x v="0"/>
    <x v="2"/>
    <x v="1"/>
    <x v="5"/>
    <x v="2"/>
    <n v="0.1"/>
    <x v="20"/>
    <s v="Off-peak only"/>
    <s v="Anaheim, CA"/>
    <n v="33.836599999999997"/>
    <n v="-117.9143"/>
    <d v="2024-12-25T00:00:00"/>
    <n v="7"/>
    <b v="1"/>
    <d v="2025-07-12T00:00:00"/>
    <x v="0"/>
    <x v="0"/>
  </r>
  <r>
    <b v="0"/>
    <d v="1899-12-30T19:37:00"/>
    <d v="1899-12-30T21:31:00"/>
    <n v="114"/>
    <x v="1"/>
    <b v="0"/>
    <b v="0"/>
    <x v="0"/>
    <x v="2"/>
    <x v="0"/>
    <x v="2"/>
    <x v="3"/>
    <n v="0.15"/>
    <x v="17"/>
    <s v="Off-peak only"/>
    <s v="Anaheim, CA"/>
    <n v="33.836599999999997"/>
    <n v="-117.9143"/>
    <d v="2024-08-30T00:00:00"/>
    <n v="0"/>
    <b v="1"/>
    <d v="2025-07-06T00:00:00"/>
    <x v="0"/>
    <x v="0"/>
  </r>
  <r>
    <b v="0"/>
    <d v="1899-12-30T17:59:00"/>
    <d v="1899-12-30T20:47:00"/>
    <n v="168"/>
    <x v="0"/>
    <b v="1"/>
    <b v="1"/>
    <x v="3"/>
    <x v="1"/>
    <x v="0"/>
    <x v="1"/>
    <x v="1"/>
    <n v="0"/>
    <x v="1"/>
    <s v="Weekdays only"/>
    <s v="San Francisco, CA"/>
    <n v="37.774900000000002"/>
    <n v="-122.4194"/>
    <d v="2024-12-16T00:00:00"/>
    <n v="8"/>
    <b v="1"/>
    <d v="2025-07-12T00:00:00"/>
    <x v="1"/>
    <x v="1"/>
  </r>
  <r>
    <b v="0"/>
    <d v="1899-12-30T11:25:00"/>
    <d v="1899-12-30T12:56:00"/>
    <n v="91"/>
    <x v="1"/>
    <b v="0"/>
    <b v="1"/>
    <x v="4"/>
    <x v="1"/>
    <x v="0"/>
    <x v="1"/>
    <x v="3"/>
    <n v="0.15"/>
    <x v="15"/>
    <s v="Weekdays only"/>
    <s v="Fresno, CA"/>
    <n v="36.7378"/>
    <n v="-119.7871"/>
    <d v="2025-03-20T00:00:00"/>
    <n v="0"/>
    <b v="1"/>
    <d v="2025-07-17T00:00:00"/>
    <x v="3"/>
    <x v="3"/>
  </r>
  <r>
    <b v="1"/>
    <d v="1899-12-30T14:44:00"/>
    <d v="1899-12-30T16:00:00"/>
    <n v="76"/>
    <x v="1"/>
    <b v="1"/>
    <b v="1"/>
    <x v="2"/>
    <x v="0"/>
    <x v="0"/>
    <x v="0"/>
    <x v="2"/>
    <n v="0.1"/>
    <x v="16"/>
    <s v="All hours"/>
    <s v="Los Angeles, CA"/>
    <n v="34.052199999999999"/>
    <n v="-118.2437"/>
    <d v="2025-02-14T00:00:00"/>
    <n v="8"/>
    <b v="1"/>
    <d v="2025-07-15T00:00:00"/>
    <x v="1"/>
    <x v="1"/>
  </r>
  <r>
    <b v="1"/>
    <d v="1899-12-30T16:03:00"/>
    <d v="1899-12-30T17:49:00"/>
    <n v="106"/>
    <x v="0"/>
    <b v="0"/>
    <b v="1"/>
    <x v="0"/>
    <x v="2"/>
    <x v="1"/>
    <x v="5"/>
    <x v="1"/>
    <n v="0"/>
    <x v="14"/>
    <s v="Off-peak only"/>
    <s v="Fresno, CA"/>
    <n v="36.7378"/>
    <n v="-119.7871"/>
    <d v="2024-02-18T00:00:00"/>
    <n v="0"/>
    <b v="1"/>
    <d v="2025-06-25T00:00:00"/>
    <x v="0"/>
    <x v="0"/>
  </r>
  <r>
    <b v="1"/>
    <d v="1899-12-30T14:56:00"/>
    <d v="1899-12-30T15:57:00"/>
    <n v="61"/>
    <x v="1"/>
    <b v="1"/>
    <b v="1"/>
    <x v="4"/>
    <x v="0"/>
    <x v="0"/>
    <x v="0"/>
    <x v="1"/>
    <n v="0"/>
    <x v="5"/>
    <s v="All hours"/>
    <s v="Fresno, CA"/>
    <n v="36.7378"/>
    <n v="-119.7871"/>
    <d v="2024-11-15T00:00:00"/>
    <n v="6"/>
    <b v="1"/>
    <d v="2025-07-10T00:00:00"/>
    <x v="1"/>
    <x v="1"/>
  </r>
  <r>
    <b v="0"/>
    <d v="1899-12-30T17:16:00"/>
    <d v="1899-12-30T19:52:00"/>
    <n v="156"/>
    <x v="1"/>
    <b v="0"/>
    <b v="0"/>
    <x v="2"/>
    <x v="0"/>
    <x v="0"/>
    <x v="0"/>
    <x v="1"/>
    <n v="0"/>
    <x v="5"/>
    <s v="All hours"/>
    <s v="Bakersfield, CA"/>
    <n v="35.3733"/>
    <n v="-119.0187"/>
    <d v="2024-05-31T00:00:00"/>
    <n v="0"/>
    <b v="1"/>
    <d v="2025-07-01T00:00:00"/>
    <x v="0"/>
    <x v="0"/>
  </r>
  <r>
    <b v="0"/>
    <d v="1899-12-30T20:18:00"/>
    <d v="1899-12-30T22:20:00"/>
    <n v="122"/>
    <x v="1"/>
    <b v="1"/>
    <b v="0"/>
    <x v="0"/>
    <x v="3"/>
    <x v="1"/>
    <x v="11"/>
    <x v="2"/>
    <n v="0.1"/>
    <x v="32"/>
    <s v="All hours + Priority access"/>
    <s v="Bakersfield, CA"/>
    <n v="35.3733"/>
    <n v="-119.0187"/>
    <d v="2024-01-03T00:00:00"/>
    <n v="1"/>
    <b v="1"/>
    <d v="2025-06-22T00:00:00"/>
    <x v="3"/>
    <x v="3"/>
  </r>
  <r>
    <b v="1"/>
    <d v="1899-12-30T10:25:00"/>
    <d v="1899-12-30T12:04:00"/>
    <n v="99"/>
    <x v="1"/>
    <b v="1"/>
    <b v="0"/>
    <x v="0"/>
    <x v="1"/>
    <x v="0"/>
    <x v="1"/>
    <x v="1"/>
    <n v="0"/>
    <x v="1"/>
    <s v="Weekdays only"/>
    <s v="Anaheim, CA"/>
    <n v="33.836599999999997"/>
    <n v="-117.9143"/>
    <d v="2023-06-18T00:00:00"/>
    <n v="5"/>
    <b v="0"/>
    <d v="2025-06-11T00:00:00"/>
    <x v="3"/>
    <x v="3"/>
  </r>
  <r>
    <b v="0"/>
    <d v="1899-12-30T08:35:00"/>
    <d v="1899-12-30T10:56:00"/>
    <n v="141"/>
    <x v="1"/>
    <b v="1"/>
    <b v="0"/>
    <x v="0"/>
    <x v="2"/>
    <x v="0"/>
    <x v="2"/>
    <x v="1"/>
    <n v="0"/>
    <x v="3"/>
    <s v="Off-peak only"/>
    <s v="San Jose, CA"/>
    <n v="37.338200000000001"/>
    <n v="-121.88630000000001"/>
    <d v="2025-05-12T00:00:00"/>
    <n v="4"/>
    <b v="1"/>
    <d v="2025-07-20T00:00:00"/>
    <x v="1"/>
    <x v="1"/>
  </r>
  <r>
    <b v="0"/>
    <d v="1899-12-30T17:01:00"/>
    <d v="1899-12-30T19:09:00"/>
    <n v="128"/>
    <x v="0"/>
    <b v="1"/>
    <b v="0"/>
    <x v="2"/>
    <x v="1"/>
    <x v="0"/>
    <x v="1"/>
    <x v="1"/>
    <n v="0"/>
    <x v="1"/>
    <s v="Weekdays only"/>
    <s v="Fresno, CA"/>
    <n v="36.7378"/>
    <n v="-119.7871"/>
    <d v="2023-02-22T00:00:00"/>
    <n v="3"/>
    <b v="0"/>
    <d v="2025-06-05T00:00:00"/>
    <x v="1"/>
    <x v="1"/>
  </r>
  <r>
    <b v="0"/>
    <d v="1899-12-30T17:58:00"/>
    <d v="1899-12-30T19:58:00"/>
    <n v="120"/>
    <x v="1"/>
    <b v="0"/>
    <b v="1"/>
    <x v="2"/>
    <x v="0"/>
    <x v="1"/>
    <x v="6"/>
    <x v="1"/>
    <n v="0"/>
    <x v="12"/>
    <s v="All hours"/>
    <s v="Oakland, CA"/>
    <n v="37.804400000000001"/>
    <n v="-122.27119999999999"/>
    <d v="2023-08-24T00:00:00"/>
    <n v="0"/>
    <b v="0"/>
    <d v="2025-06-15T00:00:00"/>
    <x v="1"/>
    <x v="1"/>
  </r>
  <r>
    <b v="1"/>
    <d v="1899-12-30T19:29:00"/>
    <d v="1899-12-30T22:21:00"/>
    <n v="172"/>
    <x v="1"/>
    <b v="0"/>
    <b v="1"/>
    <x v="0"/>
    <x v="0"/>
    <x v="0"/>
    <x v="0"/>
    <x v="3"/>
    <n v="0.15"/>
    <x v="27"/>
    <s v="All hours"/>
    <s v="Oakland, CA"/>
    <n v="37.804400000000001"/>
    <n v="-122.27119999999999"/>
    <d v="2025-03-27T00:00:00"/>
    <n v="0"/>
    <b v="0"/>
    <d v="2025-07-18T00:00:00"/>
    <x v="0"/>
    <x v="0"/>
  </r>
  <r>
    <b v="1"/>
    <d v="1899-12-30T12:50:00"/>
    <d v="1899-12-30T14:58:00"/>
    <n v="128"/>
    <x v="0"/>
    <b v="1"/>
    <b v="1"/>
    <x v="0"/>
    <x v="0"/>
    <x v="1"/>
    <x v="6"/>
    <x v="0"/>
    <n v="0.05"/>
    <x v="10"/>
    <s v="All hours"/>
    <s v="Anaheim, CA"/>
    <n v="33.836599999999997"/>
    <n v="-117.9143"/>
    <d v="2022-12-05T00:00:00"/>
    <n v="6"/>
    <b v="0"/>
    <d v="2025-05-31T00:00:00"/>
    <x v="1"/>
    <x v="1"/>
  </r>
  <r>
    <b v="1"/>
    <d v="1899-12-30T17:05:00"/>
    <d v="1899-12-30T19:39:00"/>
    <n v="154"/>
    <x v="0"/>
    <b v="1"/>
    <b v="0"/>
    <x v="0"/>
    <x v="1"/>
    <x v="0"/>
    <x v="1"/>
    <x v="1"/>
    <n v="0"/>
    <x v="1"/>
    <s v="Weekdays only"/>
    <s v="Fresno, CA"/>
    <n v="36.7378"/>
    <n v="-119.7871"/>
    <d v="2022-10-16T00:00:00"/>
    <n v="7"/>
    <b v="0"/>
    <d v="2025-05-28T00:00:00"/>
    <x v="0"/>
    <x v="0"/>
  </r>
  <r>
    <b v="1"/>
    <d v="1899-12-30T17:43:00"/>
    <d v="1899-12-30T18:36:00"/>
    <n v="53"/>
    <x v="0"/>
    <b v="1"/>
    <b v="1"/>
    <x v="4"/>
    <x v="1"/>
    <x v="0"/>
    <x v="1"/>
    <x v="3"/>
    <n v="0.15"/>
    <x v="15"/>
    <s v="Weekdays only"/>
    <s v="San Francisco, CA"/>
    <n v="37.774900000000002"/>
    <n v="-122.4194"/>
    <d v="2025-04-18T00:00:00"/>
    <n v="3"/>
    <b v="0"/>
    <d v="2025-07-19T00:00:00"/>
    <x v="1"/>
    <x v="1"/>
  </r>
  <r>
    <b v="0"/>
    <d v="1899-12-30T11:29:00"/>
    <d v="1899-12-30T14:26:00"/>
    <n v="177"/>
    <x v="1"/>
    <b v="1"/>
    <b v="0"/>
    <x v="0"/>
    <x v="2"/>
    <x v="1"/>
    <x v="5"/>
    <x v="0"/>
    <n v="0.05"/>
    <x v="9"/>
    <s v="Off-peak only"/>
    <s v="Long Beach, CA"/>
    <n v="33.770099999999999"/>
    <n v="-118.19370000000001"/>
    <d v="2024-09-01T00:00:00"/>
    <n v="3"/>
    <b v="1"/>
    <d v="2025-07-06T00:00:00"/>
    <x v="2"/>
    <x v="2"/>
  </r>
  <r>
    <b v="1"/>
    <d v="1899-12-30T15:12:00"/>
    <d v="1899-12-30T17:17:00"/>
    <n v="125"/>
    <x v="1"/>
    <b v="0"/>
    <b v="0"/>
    <x v="1"/>
    <x v="3"/>
    <x v="2"/>
    <x v="9"/>
    <x v="2"/>
    <n v="0.1"/>
    <x v="41"/>
    <s v="All hours + Priority access"/>
    <s v="Los Angeles, CA"/>
    <n v="34.052199999999999"/>
    <n v="-118.2437"/>
    <d v="2023-02-15T00:00:00"/>
    <n v="0"/>
    <b v="1"/>
    <d v="2025-06-04T00:00:00"/>
    <x v="0"/>
    <x v="0"/>
  </r>
  <r>
    <b v="1"/>
    <d v="1899-12-30T10:37:00"/>
    <d v="1899-12-30T12:40:00"/>
    <n v="123"/>
    <x v="0"/>
    <b v="1"/>
    <b v="0"/>
    <x v="4"/>
    <x v="0"/>
    <x v="0"/>
    <x v="0"/>
    <x v="3"/>
    <n v="0.15"/>
    <x v="27"/>
    <s v="All hours"/>
    <s v="San Jose, CA"/>
    <n v="37.338200000000001"/>
    <n v="-121.88630000000001"/>
    <d v="2023-04-18T00:00:00"/>
    <n v="1"/>
    <b v="1"/>
    <d v="2025-06-08T00:00:00"/>
    <x v="1"/>
    <x v="1"/>
  </r>
  <r>
    <b v="0"/>
    <d v="1899-12-30T17:06:00"/>
    <d v="1899-12-30T18:10:00"/>
    <n v="64"/>
    <x v="1"/>
    <b v="1"/>
    <b v="0"/>
    <x v="4"/>
    <x v="1"/>
    <x v="0"/>
    <x v="1"/>
    <x v="1"/>
    <n v="0"/>
    <x v="1"/>
    <s v="Weekdays only"/>
    <s v="Bakersfield, CA"/>
    <n v="35.3733"/>
    <n v="-119.0187"/>
    <d v="2024-12-08T00:00:00"/>
    <n v="4"/>
    <b v="0"/>
    <d v="2025-07-11T00:00:00"/>
    <x v="1"/>
    <x v="1"/>
  </r>
  <r>
    <b v="0"/>
    <d v="1899-12-30T16:10:00"/>
    <d v="1899-12-30T16:40:00"/>
    <n v="30"/>
    <x v="1"/>
    <b v="0"/>
    <b v="0"/>
    <x v="4"/>
    <x v="1"/>
    <x v="1"/>
    <x v="4"/>
    <x v="0"/>
    <n v="0.05"/>
    <x v="11"/>
    <s v="Weekdays only"/>
    <s v="San Diego, CA"/>
    <n v="32.715699999999998"/>
    <n v="-117.1611"/>
    <d v="2024-11-12T00:00:00"/>
    <n v="0"/>
    <b v="0"/>
    <d v="2025-07-10T00:00:00"/>
    <x v="2"/>
    <x v="4"/>
  </r>
  <r>
    <b v="0"/>
    <d v="1899-12-30T19:44:00"/>
    <d v="1899-12-30T20:51:00"/>
    <n v="67"/>
    <x v="1"/>
    <b v="0"/>
    <b v="0"/>
    <x v="4"/>
    <x v="0"/>
    <x v="0"/>
    <x v="0"/>
    <x v="2"/>
    <n v="0.1"/>
    <x v="16"/>
    <s v="All hours"/>
    <s v="Oakland, CA"/>
    <n v="37.804400000000001"/>
    <n v="-122.27119999999999"/>
    <d v="2024-05-24T00:00:00"/>
    <n v="0"/>
    <b v="1"/>
    <d v="2025-06-30T00:00:00"/>
    <x v="0"/>
    <x v="0"/>
  </r>
  <r>
    <b v="0"/>
    <d v="1899-12-30T08:47:00"/>
    <d v="1899-12-30T09:52:00"/>
    <n v="65"/>
    <x v="0"/>
    <b v="0"/>
    <b v="1"/>
    <x v="2"/>
    <x v="1"/>
    <x v="0"/>
    <x v="1"/>
    <x v="0"/>
    <n v="0.05"/>
    <x v="7"/>
    <s v="Weekdays only"/>
    <s v="Fresno, CA"/>
    <n v="36.7378"/>
    <n v="-119.7871"/>
    <d v="2024-01-23T00:00:00"/>
    <n v="0"/>
    <b v="0"/>
    <d v="2025-06-23T00:00:00"/>
    <x v="1"/>
    <x v="1"/>
  </r>
  <r>
    <b v="1"/>
    <d v="1899-12-30T11:18:00"/>
    <d v="1899-12-30T13:28:00"/>
    <n v="130"/>
    <x v="1"/>
    <b v="1"/>
    <b v="0"/>
    <x v="4"/>
    <x v="0"/>
    <x v="1"/>
    <x v="6"/>
    <x v="2"/>
    <n v="0.1"/>
    <x v="30"/>
    <s v="All hours"/>
    <s v="Fresno, CA"/>
    <n v="36.7378"/>
    <n v="-119.7871"/>
    <d v="2023-09-03T00:00:00"/>
    <n v="5"/>
    <b v="0"/>
    <d v="2025-06-15T00:00:00"/>
    <x v="1"/>
    <x v="1"/>
  </r>
  <r>
    <b v="0"/>
    <d v="1899-12-30T17:29:00"/>
    <d v="1899-12-30T18:03:00"/>
    <n v="34"/>
    <x v="0"/>
    <b v="0"/>
    <b v="1"/>
    <x v="0"/>
    <x v="3"/>
    <x v="1"/>
    <x v="11"/>
    <x v="1"/>
    <n v="0"/>
    <x v="38"/>
    <s v="All hours + Priority access"/>
    <s v="Bakersfield, CA"/>
    <n v="35.3733"/>
    <n v="-119.0187"/>
    <d v="2024-05-26T00:00:00"/>
    <n v="0"/>
    <b v="1"/>
    <d v="2025-06-30T00:00:00"/>
    <x v="2"/>
    <x v="4"/>
  </r>
  <r>
    <b v="1"/>
    <d v="1899-12-30T18:29:00"/>
    <d v="1899-12-30T20:58:00"/>
    <n v="149"/>
    <x v="0"/>
    <b v="0"/>
    <b v="1"/>
    <x v="0"/>
    <x v="0"/>
    <x v="1"/>
    <x v="6"/>
    <x v="0"/>
    <n v="0.05"/>
    <x v="10"/>
    <s v="All hours"/>
    <s v="Anaheim, CA"/>
    <n v="33.836599999999997"/>
    <n v="-117.9143"/>
    <d v="2024-02-16T00:00:00"/>
    <n v="0"/>
    <b v="1"/>
    <d v="2025-06-25T00:00:00"/>
    <x v="1"/>
    <x v="1"/>
  </r>
  <r>
    <b v="0"/>
    <d v="1899-12-30T12:01:00"/>
    <d v="1899-12-30T14:07:00"/>
    <n v="126"/>
    <x v="0"/>
    <b v="0"/>
    <b v="1"/>
    <x v="4"/>
    <x v="1"/>
    <x v="1"/>
    <x v="4"/>
    <x v="1"/>
    <n v="0"/>
    <x v="8"/>
    <s v="Weekdays only"/>
    <s v="San Francisco, CA"/>
    <n v="37.774900000000002"/>
    <n v="-122.4194"/>
    <d v="2023-04-18T00:00:00"/>
    <n v="0"/>
    <b v="1"/>
    <d v="2025-06-08T00:00:00"/>
    <x v="0"/>
    <x v="0"/>
  </r>
  <r>
    <b v="1"/>
    <d v="1899-12-30T15:17:00"/>
    <d v="1899-12-30T17:00:00"/>
    <n v="103"/>
    <x v="1"/>
    <b v="0"/>
    <b v="0"/>
    <x v="1"/>
    <x v="2"/>
    <x v="0"/>
    <x v="2"/>
    <x v="0"/>
    <n v="0.05"/>
    <x v="18"/>
    <s v="Off-peak only"/>
    <s v="San Francisco, CA"/>
    <n v="37.774900000000002"/>
    <n v="-122.4194"/>
    <d v="2025-05-14T00:00:00"/>
    <n v="0"/>
    <b v="0"/>
    <d v="2025-07-20T00:00:00"/>
    <x v="0"/>
    <x v="0"/>
  </r>
  <r>
    <b v="0"/>
    <d v="1899-12-30T19:04:00"/>
    <d v="1899-12-30T19:56:00"/>
    <n v="52"/>
    <x v="1"/>
    <b v="0"/>
    <b v="1"/>
    <x v="4"/>
    <x v="2"/>
    <x v="0"/>
    <x v="2"/>
    <x v="0"/>
    <n v="0.05"/>
    <x v="18"/>
    <s v="Off-peak only"/>
    <s v="Bakersfield, CA"/>
    <n v="35.3733"/>
    <n v="-119.0187"/>
    <d v="2024-09-27T00:00:00"/>
    <n v="0"/>
    <b v="0"/>
    <d v="2025-07-07T00:00:00"/>
    <x v="3"/>
    <x v="3"/>
  </r>
  <r>
    <b v="1"/>
    <d v="1899-12-30T15:00:00"/>
    <d v="1899-12-30T17:29:00"/>
    <n v="149"/>
    <x v="1"/>
    <b v="0"/>
    <b v="1"/>
    <x v="0"/>
    <x v="3"/>
    <x v="1"/>
    <x v="11"/>
    <x v="1"/>
    <n v="0"/>
    <x v="38"/>
    <s v="All hours + Priority access"/>
    <s v="Oakland, CA"/>
    <n v="37.804400000000001"/>
    <n v="-122.27119999999999"/>
    <d v="2023-05-25T00:00:00"/>
    <n v="0"/>
    <b v="1"/>
    <d v="2025-06-10T00:00:00"/>
    <x v="1"/>
    <x v="1"/>
  </r>
  <r>
    <b v="0"/>
    <d v="1899-12-30T09:42:00"/>
    <d v="1899-12-30T10:46:00"/>
    <n v="64"/>
    <x v="0"/>
    <b v="1"/>
    <b v="1"/>
    <x v="0"/>
    <x v="1"/>
    <x v="0"/>
    <x v="1"/>
    <x v="3"/>
    <n v="0.15"/>
    <x v="15"/>
    <s v="Weekdays only"/>
    <s v="Long Beach, CA"/>
    <n v="33.770099999999999"/>
    <n v="-118.19370000000001"/>
    <d v="2022-11-12T00:00:00"/>
    <n v="8"/>
    <b v="0"/>
    <d v="2025-05-30T00:00:00"/>
    <x v="2"/>
    <x v="2"/>
  </r>
  <r>
    <b v="0"/>
    <d v="1899-12-30T19:11:00"/>
    <d v="1899-12-30T20:19:00"/>
    <n v="68"/>
    <x v="1"/>
    <b v="1"/>
    <b v="1"/>
    <x v="2"/>
    <x v="2"/>
    <x v="2"/>
    <x v="7"/>
    <x v="0"/>
    <n v="0.05"/>
    <x v="21"/>
    <s v="Off-peak only"/>
    <s v="Oakland, CA"/>
    <n v="37.804400000000001"/>
    <n v="-122.27119999999999"/>
    <d v="2023-12-26T00:00:00"/>
    <n v="2"/>
    <b v="0"/>
    <d v="2025-06-22T00:00:00"/>
    <x v="3"/>
    <x v="3"/>
  </r>
  <r>
    <b v="1"/>
    <d v="1899-12-30T12:54:00"/>
    <d v="1899-12-30T15:10:00"/>
    <n v="136"/>
    <x v="1"/>
    <b v="1"/>
    <b v="1"/>
    <x v="0"/>
    <x v="0"/>
    <x v="1"/>
    <x v="6"/>
    <x v="2"/>
    <n v="0.1"/>
    <x v="30"/>
    <s v="All hours"/>
    <s v="Fresno, CA"/>
    <n v="36.7378"/>
    <n v="-119.7871"/>
    <d v="2023-12-04T00:00:00"/>
    <n v="2"/>
    <b v="1"/>
    <d v="2025-06-21T00:00:00"/>
    <x v="2"/>
    <x v="4"/>
  </r>
  <r>
    <b v="1"/>
    <d v="1899-12-30T18:06:00"/>
    <d v="1899-12-30T20:42:00"/>
    <n v="156"/>
    <x v="0"/>
    <b v="1"/>
    <b v="1"/>
    <x v="0"/>
    <x v="3"/>
    <x v="1"/>
    <x v="11"/>
    <x v="0"/>
    <n v="0.05"/>
    <x v="36"/>
    <s v="All hours + Priority access"/>
    <s v="Oakland, CA"/>
    <n v="37.804400000000001"/>
    <n v="-122.27119999999999"/>
    <d v="2025-02-28T00:00:00"/>
    <n v="3"/>
    <b v="1"/>
    <d v="2025-07-16T00:00:00"/>
    <x v="2"/>
    <x v="4"/>
  </r>
  <r>
    <b v="0"/>
    <d v="1899-12-30T18:22:00"/>
    <d v="1899-12-30T19:04:00"/>
    <n v="42"/>
    <x v="0"/>
    <b v="0"/>
    <b v="0"/>
    <x v="1"/>
    <x v="1"/>
    <x v="1"/>
    <x v="4"/>
    <x v="1"/>
    <n v="0"/>
    <x v="8"/>
    <s v="Weekdays only"/>
    <s v="Long Beach, CA"/>
    <n v="33.770099999999999"/>
    <n v="-118.19370000000001"/>
    <d v="2024-03-03T00:00:00"/>
    <n v="0"/>
    <b v="0"/>
    <d v="2025-06-26T00:00:00"/>
    <x v="3"/>
    <x v="3"/>
  </r>
  <r>
    <b v="0"/>
    <d v="1899-12-30T15:41:00"/>
    <d v="1899-12-30T17:04:00"/>
    <n v="83"/>
    <x v="1"/>
    <b v="1"/>
    <b v="0"/>
    <x v="4"/>
    <x v="0"/>
    <x v="0"/>
    <x v="0"/>
    <x v="0"/>
    <n v="0.05"/>
    <x v="0"/>
    <s v="All hours"/>
    <s v="San Diego, CA"/>
    <n v="32.715699999999998"/>
    <n v="-117.1611"/>
    <d v="2023-12-03T00:00:00"/>
    <n v="8"/>
    <b v="1"/>
    <d v="2025-06-21T00:00:00"/>
    <x v="1"/>
    <x v="1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4-10-07T00:00:00"/>
    <n v="8"/>
    <b v="1"/>
    <d v="2025-07-08T00:00:00"/>
    <x v="3"/>
    <x v="3"/>
  </r>
  <r>
    <b v="0"/>
    <d v="1899-12-30T13:37:00"/>
    <d v="1899-12-30T14:50:00"/>
    <n v="73"/>
    <x v="1"/>
    <b v="1"/>
    <b v="1"/>
    <x v="4"/>
    <x v="1"/>
    <x v="1"/>
    <x v="4"/>
    <x v="0"/>
    <n v="0.05"/>
    <x v="11"/>
    <s v="Weekdays only"/>
    <s v="San Diego, CA"/>
    <n v="32.715699999999998"/>
    <n v="-117.1611"/>
    <d v="2024-09-09T00:00:00"/>
    <n v="4"/>
    <b v="0"/>
    <d v="2025-07-06T00:00:00"/>
    <x v="2"/>
    <x v="4"/>
  </r>
  <r>
    <b v="0"/>
    <d v="1899-12-30T11:19:00"/>
    <d v="1899-12-30T12:16:00"/>
    <n v="57"/>
    <x v="0"/>
    <b v="1"/>
    <b v="1"/>
    <x v="4"/>
    <x v="3"/>
    <x v="0"/>
    <x v="3"/>
    <x v="1"/>
    <n v="0"/>
    <x v="4"/>
    <s v="All hours + Priority access"/>
    <s v="Fresno, CA"/>
    <n v="36.7378"/>
    <n v="-119.7871"/>
    <d v="2024-05-17T00:00:00"/>
    <n v="7"/>
    <b v="0"/>
    <d v="2025-06-30T00:00:00"/>
    <x v="0"/>
    <x v="0"/>
  </r>
  <r>
    <b v="0"/>
    <d v="1899-12-30T11:37:00"/>
    <d v="1899-12-30T14:23:00"/>
    <n v="166"/>
    <x v="0"/>
    <b v="1"/>
    <b v="1"/>
    <x v="0"/>
    <x v="0"/>
    <x v="0"/>
    <x v="0"/>
    <x v="1"/>
    <n v="0"/>
    <x v="5"/>
    <s v="All hours"/>
    <s v="San Jose, CA"/>
    <n v="37.338200000000001"/>
    <n v="-121.88630000000001"/>
    <d v="2025-06-01T00:00:00"/>
    <n v="7"/>
    <b v="1"/>
    <d v="2025-07-21T00:00:00"/>
    <x v="0"/>
    <x v="0"/>
  </r>
  <r>
    <b v="1"/>
    <d v="1899-12-30T13:02:00"/>
    <d v="1899-12-30T14:08:00"/>
    <n v="66"/>
    <x v="0"/>
    <b v="0"/>
    <b v="1"/>
    <x v="1"/>
    <x v="0"/>
    <x v="1"/>
    <x v="6"/>
    <x v="2"/>
    <n v="0.1"/>
    <x v="30"/>
    <s v="All hours"/>
    <s v="Fresno, CA"/>
    <n v="36.7378"/>
    <n v="-119.7871"/>
    <d v="2024-07-14T00:00:00"/>
    <n v="0"/>
    <b v="0"/>
    <d v="2025-07-03T00:00:00"/>
    <x v="3"/>
    <x v="3"/>
  </r>
  <r>
    <b v="1"/>
    <d v="1899-12-30T20:55:00"/>
    <d v="1899-12-30T22:18:00"/>
    <n v="83"/>
    <x v="1"/>
    <b v="0"/>
    <b v="0"/>
    <x v="0"/>
    <x v="3"/>
    <x v="2"/>
    <x v="9"/>
    <x v="3"/>
    <n v="0.15"/>
    <x v="19"/>
    <s v="All hours + Priority access"/>
    <s v="Sacramento, CA"/>
    <n v="38.581600000000002"/>
    <n v="-121.4944"/>
    <d v="2024-11-09T00:00:00"/>
    <n v="0"/>
    <b v="1"/>
    <d v="2025-07-10T00:00:00"/>
    <x v="2"/>
    <x v="2"/>
  </r>
  <r>
    <b v="1"/>
    <d v="1899-12-30T15:09:00"/>
    <d v="1899-12-30T16:18:00"/>
    <n v="69"/>
    <x v="1"/>
    <b v="1"/>
    <b v="1"/>
    <x v="2"/>
    <x v="0"/>
    <x v="1"/>
    <x v="6"/>
    <x v="0"/>
    <n v="0.05"/>
    <x v="10"/>
    <s v="All hours"/>
    <s v="Los Angeles, CA"/>
    <n v="34.052199999999999"/>
    <n v="-118.2437"/>
    <d v="2024-07-09T00:00:00"/>
    <n v="6"/>
    <b v="1"/>
    <d v="2025-07-03T00:00:00"/>
    <x v="0"/>
    <x v="0"/>
  </r>
  <r>
    <b v="1"/>
    <d v="1899-12-30T19:10:00"/>
    <d v="1899-12-30T21:32:00"/>
    <n v="142"/>
    <x v="1"/>
    <b v="1"/>
    <b v="0"/>
    <x v="0"/>
    <x v="1"/>
    <x v="2"/>
    <x v="8"/>
    <x v="2"/>
    <n v="0.1"/>
    <x v="33"/>
    <s v="Weekdays only"/>
    <s v="Sacramento, CA"/>
    <n v="38.581600000000002"/>
    <n v="-121.4944"/>
    <d v="2025-02-15T00:00:00"/>
    <n v="1"/>
    <b v="1"/>
    <d v="2025-07-15T00:00:00"/>
    <x v="3"/>
    <x v="3"/>
  </r>
  <r>
    <b v="1"/>
    <d v="1899-12-30T13:35:00"/>
    <d v="1899-12-30T14:37:00"/>
    <n v="62"/>
    <x v="1"/>
    <b v="1"/>
    <b v="1"/>
    <x v="0"/>
    <x v="1"/>
    <x v="0"/>
    <x v="1"/>
    <x v="2"/>
    <n v="0.1"/>
    <x v="2"/>
    <s v="Weekdays only"/>
    <s v="Oakland, CA"/>
    <n v="37.804400000000001"/>
    <n v="-122.27119999999999"/>
    <d v="2022-11-17T00:00:00"/>
    <n v="4"/>
    <b v="0"/>
    <d v="2025-05-30T00:00:00"/>
    <x v="1"/>
    <x v="1"/>
  </r>
  <r>
    <b v="1"/>
    <d v="1899-12-30T19:00:00"/>
    <d v="1899-12-30T19:49:00"/>
    <n v="49"/>
    <x v="1"/>
    <b v="0"/>
    <b v="1"/>
    <x v="4"/>
    <x v="1"/>
    <x v="0"/>
    <x v="1"/>
    <x v="0"/>
    <n v="0.05"/>
    <x v="7"/>
    <s v="Weekdays only"/>
    <s v="Bakersfield, CA"/>
    <n v="35.3733"/>
    <n v="-119.0187"/>
    <d v="2023-09-29T00:00:00"/>
    <n v="0"/>
    <b v="0"/>
    <d v="2025-06-17T00:00:00"/>
    <x v="3"/>
    <x v="3"/>
  </r>
  <r>
    <b v="1"/>
    <d v="1899-12-30T17:57:00"/>
    <d v="1899-12-30T19:46:00"/>
    <n v="109"/>
    <x v="0"/>
    <b v="1"/>
    <b v="0"/>
    <x v="0"/>
    <x v="0"/>
    <x v="0"/>
    <x v="0"/>
    <x v="0"/>
    <n v="0.05"/>
    <x v="0"/>
    <s v="All hours"/>
    <s v="Sacramento, CA"/>
    <n v="38.581600000000002"/>
    <n v="-121.4944"/>
    <d v="2023-06-30T00:00:00"/>
    <n v="4"/>
    <b v="1"/>
    <d v="2025-06-12T00:00:00"/>
    <x v="3"/>
    <x v="3"/>
  </r>
  <r>
    <b v="1"/>
    <d v="1899-12-30T14:18:00"/>
    <d v="1899-12-30T15:13:00"/>
    <n v="55"/>
    <x v="1"/>
    <b v="0"/>
    <b v="1"/>
    <x v="4"/>
    <x v="3"/>
    <x v="1"/>
    <x v="11"/>
    <x v="0"/>
    <n v="0.05"/>
    <x v="36"/>
    <s v="All hours + Priority access"/>
    <s v="San Francisco, CA"/>
    <n v="37.774900000000002"/>
    <n v="-122.4194"/>
    <d v="2023-03-05T00:00:00"/>
    <n v="0"/>
    <b v="1"/>
    <d v="2025-06-05T00:00:00"/>
    <x v="2"/>
    <x v="4"/>
  </r>
  <r>
    <b v="0"/>
    <d v="1899-12-30T17:16:00"/>
    <d v="1899-12-30T19:52:00"/>
    <n v="156"/>
    <x v="1"/>
    <b v="0"/>
    <b v="0"/>
    <x v="2"/>
    <x v="0"/>
    <x v="0"/>
    <x v="0"/>
    <x v="1"/>
    <n v="0"/>
    <x v="5"/>
    <s v="All hours"/>
    <s v="Bakersfield, CA"/>
    <n v="35.3733"/>
    <n v="-119.0187"/>
    <d v="2024-01-09T00:00:00"/>
    <n v="0"/>
    <b v="0"/>
    <d v="2025-06-23T00:00:00"/>
    <x v="0"/>
    <x v="0"/>
  </r>
  <r>
    <b v="0"/>
    <d v="1899-12-30T10:11:00"/>
    <d v="1899-12-30T11:56:00"/>
    <n v="105"/>
    <x v="1"/>
    <b v="0"/>
    <b v="1"/>
    <x v="0"/>
    <x v="1"/>
    <x v="0"/>
    <x v="1"/>
    <x v="1"/>
    <n v="0"/>
    <x v="1"/>
    <s v="Weekdays only"/>
    <s v="San Francisco, CA"/>
    <n v="37.774900000000002"/>
    <n v="-122.4194"/>
    <d v="2025-03-22T00:00:00"/>
    <n v="0"/>
    <b v="1"/>
    <d v="2025-07-17T00:00:00"/>
    <x v="2"/>
    <x v="4"/>
  </r>
  <r>
    <b v="1"/>
    <d v="1899-12-30T16:01:00"/>
    <d v="1899-12-30T18:16:00"/>
    <n v="135"/>
    <x v="0"/>
    <b v="1"/>
    <b v="1"/>
    <x v="4"/>
    <x v="0"/>
    <x v="0"/>
    <x v="0"/>
    <x v="1"/>
    <n v="0"/>
    <x v="5"/>
    <s v="All hours"/>
    <s v="San Jose, CA"/>
    <n v="37.338200000000001"/>
    <n v="-121.88630000000001"/>
    <d v="2023-11-28T00:00:00"/>
    <n v="1"/>
    <b v="1"/>
    <d v="2025-06-20T00:00:00"/>
    <x v="0"/>
    <x v="0"/>
  </r>
  <r>
    <b v="1"/>
    <d v="1899-12-30T17:33:00"/>
    <d v="1899-12-30T19:16:00"/>
    <n v="103"/>
    <x v="0"/>
    <b v="0"/>
    <b v="1"/>
    <x v="4"/>
    <x v="1"/>
    <x v="1"/>
    <x v="4"/>
    <x v="0"/>
    <n v="0.05"/>
    <x v="11"/>
    <s v="Weekdays only"/>
    <s v="Bakersfield, CA"/>
    <n v="35.3733"/>
    <n v="-119.0187"/>
    <d v="2023-10-07T00:00:00"/>
    <n v="0"/>
    <b v="0"/>
    <d v="2025-06-17T00:00:00"/>
    <x v="1"/>
    <x v="1"/>
  </r>
  <r>
    <b v="0"/>
    <d v="1899-12-30T17:43:00"/>
    <d v="1899-12-30T18:34:00"/>
    <n v="51"/>
    <x v="0"/>
    <b v="1"/>
    <b v="1"/>
    <x v="4"/>
    <x v="0"/>
    <x v="1"/>
    <x v="6"/>
    <x v="0"/>
    <n v="0.05"/>
    <x v="10"/>
    <s v="All hours"/>
    <s v="San Jose, CA"/>
    <n v="37.338200000000001"/>
    <n v="-121.88630000000001"/>
    <d v="2023-04-21T00:00:00"/>
    <n v="8"/>
    <b v="1"/>
    <d v="2025-06-08T00:00:00"/>
    <x v="2"/>
    <x v="2"/>
  </r>
  <r>
    <b v="1"/>
    <d v="1899-12-30T14:06:00"/>
    <d v="1899-12-30T16:15:00"/>
    <n v="129"/>
    <x v="1"/>
    <b v="0"/>
    <b v="0"/>
    <x v="2"/>
    <x v="3"/>
    <x v="2"/>
    <x v="9"/>
    <x v="3"/>
    <n v="0.15"/>
    <x v="19"/>
    <s v="All hours + Priority access"/>
    <s v="Anaheim, CA"/>
    <n v="33.836599999999997"/>
    <n v="-117.9143"/>
    <d v="2024-03-20T00:00:00"/>
    <n v="0"/>
    <b v="1"/>
    <d v="2025-06-27T00:00:00"/>
    <x v="2"/>
    <x v="2"/>
  </r>
  <r>
    <b v="1"/>
    <d v="1899-12-30T10:42:00"/>
    <d v="1899-12-30T12:12:00"/>
    <n v="90"/>
    <x v="0"/>
    <b v="0"/>
    <b v="0"/>
    <x v="2"/>
    <x v="0"/>
    <x v="1"/>
    <x v="6"/>
    <x v="2"/>
    <n v="0.1"/>
    <x v="30"/>
    <s v="All hours"/>
    <s v="San Diego, CA"/>
    <n v="32.715699999999998"/>
    <n v="-117.1611"/>
    <d v="2025-02-07T00:00:00"/>
    <n v="0"/>
    <b v="1"/>
    <d v="2025-07-15T00:00:00"/>
    <x v="2"/>
    <x v="4"/>
  </r>
  <r>
    <b v="0"/>
    <d v="1899-12-30T17:30:00"/>
    <d v="1899-12-30T20:15:00"/>
    <n v="165"/>
    <x v="1"/>
    <b v="0"/>
    <b v="1"/>
    <x v="4"/>
    <x v="1"/>
    <x v="0"/>
    <x v="1"/>
    <x v="0"/>
    <n v="0.05"/>
    <x v="7"/>
    <s v="Weekdays only"/>
    <s v="Fresno, CA"/>
    <n v="36.7378"/>
    <n v="-119.7871"/>
    <d v="2024-08-24T00:00:00"/>
    <n v="0"/>
    <b v="1"/>
    <d v="2025-07-05T00:00:00"/>
    <x v="0"/>
    <x v="0"/>
  </r>
  <r>
    <b v="0"/>
    <d v="1899-12-30T19:43:00"/>
    <d v="1899-12-30T20:24:00"/>
    <n v="41"/>
    <x v="0"/>
    <b v="1"/>
    <b v="1"/>
    <x v="4"/>
    <x v="1"/>
    <x v="0"/>
    <x v="1"/>
    <x v="2"/>
    <n v="0.1"/>
    <x v="2"/>
    <s v="Weekdays only"/>
    <s v="Los Angeles, CA"/>
    <n v="34.052199999999999"/>
    <n v="-118.2437"/>
    <d v="2024-06-01T00:00:00"/>
    <n v="7"/>
    <b v="1"/>
    <d v="2025-07-01T00:00:00"/>
    <x v="0"/>
    <x v="0"/>
  </r>
  <r>
    <b v="0"/>
    <d v="1899-12-30T13:42:00"/>
    <d v="1899-12-30T15:54:00"/>
    <n v="132"/>
    <x v="0"/>
    <b v="0"/>
    <b v="0"/>
    <x v="1"/>
    <x v="0"/>
    <x v="0"/>
    <x v="0"/>
    <x v="1"/>
    <n v="0"/>
    <x v="5"/>
    <s v="All hours"/>
    <s v="Anaheim, CA"/>
    <n v="33.836599999999997"/>
    <n v="-117.9143"/>
    <d v="2023-08-05T00:00:00"/>
    <n v="0"/>
    <b v="1"/>
    <d v="2025-06-14T00:00:00"/>
    <x v="0"/>
    <x v="0"/>
  </r>
  <r>
    <b v="1"/>
    <d v="1899-12-30T13:06:00"/>
    <d v="1899-12-30T14:35:00"/>
    <n v="89"/>
    <x v="1"/>
    <b v="1"/>
    <b v="0"/>
    <x v="0"/>
    <x v="2"/>
    <x v="1"/>
    <x v="5"/>
    <x v="2"/>
    <n v="0.1"/>
    <x v="20"/>
    <s v="Off-peak only"/>
    <s v="San Francisco, CA"/>
    <n v="37.774900000000002"/>
    <n v="-122.4194"/>
    <d v="2023-10-24T00:00:00"/>
    <n v="7"/>
    <b v="0"/>
    <d v="2025-06-18T00:00:00"/>
    <x v="3"/>
    <x v="3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4-06-08T00:00:00"/>
    <n v="0"/>
    <b v="0"/>
    <d v="2025-07-01T00:00:00"/>
    <x v="1"/>
    <x v="1"/>
  </r>
  <r>
    <b v="0"/>
    <d v="1899-12-30T09:22:00"/>
    <d v="1899-12-30T10:52:00"/>
    <n v="90"/>
    <x v="1"/>
    <b v="1"/>
    <b v="0"/>
    <x v="0"/>
    <x v="0"/>
    <x v="0"/>
    <x v="0"/>
    <x v="1"/>
    <n v="0"/>
    <x v="5"/>
    <s v="All hours"/>
    <s v="Bakersfield, CA"/>
    <n v="35.3733"/>
    <n v="-119.0187"/>
    <d v="2022-08-07T00:00:00"/>
    <n v="8"/>
    <b v="0"/>
    <d v="2025-05-24T00:00:00"/>
    <x v="3"/>
    <x v="3"/>
  </r>
  <r>
    <b v="1"/>
    <d v="1899-12-30T12:00:00"/>
    <d v="1899-12-30T14:08:00"/>
    <n v="128"/>
    <x v="1"/>
    <b v="0"/>
    <b v="1"/>
    <x v="3"/>
    <x v="2"/>
    <x v="0"/>
    <x v="2"/>
    <x v="2"/>
    <n v="0.1"/>
    <x v="6"/>
    <s v="Off-peak only"/>
    <s v="San Francisco, CA"/>
    <n v="37.774900000000002"/>
    <n v="-122.4194"/>
    <d v="2023-09-16T00:00:00"/>
    <n v="0"/>
    <b v="0"/>
    <d v="2025-06-16T00:00:00"/>
    <x v="3"/>
    <x v="3"/>
  </r>
  <r>
    <b v="0"/>
    <d v="1899-12-30T14:53:00"/>
    <d v="1899-12-30T16:53:00"/>
    <n v="120"/>
    <x v="1"/>
    <b v="0"/>
    <b v="0"/>
    <x v="4"/>
    <x v="1"/>
    <x v="0"/>
    <x v="1"/>
    <x v="1"/>
    <n v="0"/>
    <x v="1"/>
    <s v="Weekdays only"/>
    <s v="Anaheim, CA"/>
    <n v="33.836599999999997"/>
    <n v="-117.9143"/>
    <d v="2024-10-13T00:00:00"/>
    <n v="0"/>
    <b v="1"/>
    <d v="2025-07-08T00:00:00"/>
    <x v="3"/>
    <x v="3"/>
  </r>
  <r>
    <b v="1"/>
    <d v="1899-12-30T15:05:00"/>
    <d v="1899-12-30T17:23:00"/>
    <n v="138"/>
    <x v="0"/>
    <b v="0"/>
    <b v="0"/>
    <x v="4"/>
    <x v="0"/>
    <x v="1"/>
    <x v="6"/>
    <x v="1"/>
    <n v="0"/>
    <x v="12"/>
    <s v="All hours"/>
    <s v="Long Beach, CA"/>
    <n v="33.770099999999999"/>
    <n v="-118.19370000000001"/>
    <d v="2025-03-06T00:00:00"/>
    <n v="0"/>
    <b v="1"/>
    <d v="2025-07-16T00:00:00"/>
    <x v="3"/>
    <x v="3"/>
  </r>
  <r>
    <b v="1"/>
    <d v="1899-12-30T15:59:00"/>
    <d v="1899-12-30T18:46:00"/>
    <n v="167"/>
    <x v="0"/>
    <b v="1"/>
    <b v="1"/>
    <x v="4"/>
    <x v="1"/>
    <x v="0"/>
    <x v="1"/>
    <x v="3"/>
    <n v="0.15"/>
    <x v="15"/>
    <s v="Weekdays only"/>
    <s v="San Francisco, CA"/>
    <n v="37.774900000000002"/>
    <n v="-122.4194"/>
    <d v="2025-01-11T00:00:00"/>
    <n v="7"/>
    <b v="0"/>
    <d v="2025-07-13T00:00:00"/>
    <x v="0"/>
    <x v="0"/>
  </r>
  <r>
    <b v="0"/>
    <d v="1899-12-30T08:55:00"/>
    <d v="1899-12-30T10:23:00"/>
    <n v="88"/>
    <x v="1"/>
    <b v="1"/>
    <b v="1"/>
    <x v="4"/>
    <x v="1"/>
    <x v="0"/>
    <x v="1"/>
    <x v="1"/>
    <n v="0"/>
    <x v="1"/>
    <s v="Weekdays only"/>
    <s v="San Francisco, CA"/>
    <n v="37.774900000000002"/>
    <n v="-122.4194"/>
    <d v="2024-10-04T00:00:00"/>
    <n v="3"/>
    <b v="1"/>
    <d v="2025-07-08T00:00:00"/>
    <x v="3"/>
    <x v="3"/>
  </r>
  <r>
    <b v="1"/>
    <d v="1899-12-30T08:29:00"/>
    <d v="1899-12-30T09:19:00"/>
    <n v="50"/>
    <x v="0"/>
    <b v="1"/>
    <b v="0"/>
    <x v="0"/>
    <x v="0"/>
    <x v="0"/>
    <x v="0"/>
    <x v="2"/>
    <n v="0.1"/>
    <x v="16"/>
    <s v="All hours"/>
    <s v="Sacramento, CA"/>
    <n v="38.581600000000002"/>
    <n v="-121.4944"/>
    <d v="2025-01-02T00:00:00"/>
    <n v="4"/>
    <b v="1"/>
    <d v="2025-07-13T00:00:00"/>
    <x v="0"/>
    <x v="0"/>
  </r>
  <r>
    <b v="1"/>
    <d v="1899-12-30T15:55:00"/>
    <d v="1899-12-30T16:33:00"/>
    <n v="38"/>
    <x v="0"/>
    <b v="0"/>
    <b v="0"/>
    <x v="2"/>
    <x v="0"/>
    <x v="0"/>
    <x v="0"/>
    <x v="1"/>
    <n v="0"/>
    <x v="5"/>
    <s v="All hours"/>
    <s v="San Jose, CA"/>
    <n v="37.338200000000001"/>
    <n v="-121.88630000000001"/>
    <d v="2024-12-06T00:00:00"/>
    <n v="0"/>
    <b v="1"/>
    <d v="2025-07-11T00:00:00"/>
    <x v="1"/>
    <x v="1"/>
  </r>
  <r>
    <b v="0"/>
    <d v="1899-12-30T14:09:00"/>
    <d v="1899-12-30T16:34:00"/>
    <n v="145"/>
    <x v="0"/>
    <b v="1"/>
    <b v="0"/>
    <x v="0"/>
    <x v="0"/>
    <x v="2"/>
    <x v="10"/>
    <x v="3"/>
    <n v="0.15"/>
    <x v="25"/>
    <s v="All hours"/>
    <s v="Bakersfield, CA"/>
    <n v="35.3733"/>
    <n v="-119.0187"/>
    <d v="2024-08-23T00:00:00"/>
    <n v="2"/>
    <b v="1"/>
    <d v="2025-07-05T00:00:00"/>
    <x v="2"/>
    <x v="4"/>
  </r>
  <r>
    <b v="1"/>
    <d v="1899-12-30T13:04:00"/>
    <d v="1899-12-30T13:37:00"/>
    <n v="33"/>
    <x v="1"/>
    <b v="1"/>
    <b v="1"/>
    <x v="1"/>
    <x v="2"/>
    <x v="0"/>
    <x v="2"/>
    <x v="0"/>
    <n v="0.05"/>
    <x v="18"/>
    <s v="Off-peak only"/>
    <s v="Los Angeles, CA"/>
    <n v="34.052199999999999"/>
    <n v="-118.2437"/>
    <d v="2024-12-20T00:00:00"/>
    <n v="1"/>
    <b v="0"/>
    <d v="2025-07-12T00:00:00"/>
    <x v="3"/>
    <x v="3"/>
  </r>
  <r>
    <b v="0"/>
    <d v="1899-12-30T08:42:00"/>
    <d v="1899-12-30T11:31:00"/>
    <n v="169"/>
    <x v="1"/>
    <b v="1"/>
    <b v="1"/>
    <x v="4"/>
    <x v="1"/>
    <x v="0"/>
    <x v="1"/>
    <x v="1"/>
    <n v="0"/>
    <x v="1"/>
    <s v="Weekdays only"/>
    <s v="San Diego, CA"/>
    <n v="32.715699999999998"/>
    <n v="-117.1611"/>
    <d v="2022-11-10T00:00:00"/>
    <n v="7"/>
    <b v="0"/>
    <d v="2025-05-30T00:00:00"/>
    <x v="1"/>
    <x v="1"/>
  </r>
  <r>
    <b v="0"/>
    <d v="1899-12-30T08:42:00"/>
    <d v="1899-12-30T11:31:00"/>
    <n v="169"/>
    <x v="1"/>
    <b v="1"/>
    <b v="1"/>
    <x v="4"/>
    <x v="1"/>
    <x v="0"/>
    <x v="1"/>
    <x v="1"/>
    <n v="0"/>
    <x v="1"/>
    <s v="Weekdays only"/>
    <s v="San Diego, CA"/>
    <n v="32.715699999999998"/>
    <n v="-117.1611"/>
    <d v="2025-03-29T00:00:00"/>
    <n v="6"/>
    <b v="0"/>
    <d v="2025-07-18T00:00:00"/>
    <x v="1"/>
    <x v="1"/>
  </r>
  <r>
    <b v="1"/>
    <d v="1899-12-30T10:25:00"/>
    <d v="1899-12-30T12:04:00"/>
    <n v="99"/>
    <x v="1"/>
    <b v="1"/>
    <b v="0"/>
    <x v="0"/>
    <x v="1"/>
    <x v="0"/>
    <x v="1"/>
    <x v="1"/>
    <n v="0"/>
    <x v="1"/>
    <s v="Weekdays only"/>
    <s v="Anaheim, CA"/>
    <n v="33.836599999999997"/>
    <n v="-117.9143"/>
    <d v="2023-12-12T00:00:00"/>
    <n v="7"/>
    <b v="0"/>
    <d v="2025-06-21T00:00:00"/>
    <x v="3"/>
    <x v="3"/>
  </r>
  <r>
    <b v="0"/>
    <d v="1899-12-30T20:43:00"/>
    <d v="1899-12-30T21:57:00"/>
    <n v="74"/>
    <x v="0"/>
    <b v="1"/>
    <b v="1"/>
    <x v="0"/>
    <x v="2"/>
    <x v="1"/>
    <x v="5"/>
    <x v="0"/>
    <n v="0.05"/>
    <x v="9"/>
    <s v="Off-peak only"/>
    <s v="Bakersfield, CA"/>
    <n v="35.3733"/>
    <n v="-119.0187"/>
    <d v="2024-04-11T00:00:00"/>
    <n v="7"/>
    <b v="0"/>
    <d v="2025-06-28T00:00:00"/>
    <x v="3"/>
    <x v="3"/>
  </r>
  <r>
    <b v="1"/>
    <d v="1899-12-30T18:22:00"/>
    <d v="1899-12-30T21:20:00"/>
    <n v="178"/>
    <x v="1"/>
    <b v="0"/>
    <b v="1"/>
    <x v="0"/>
    <x v="1"/>
    <x v="1"/>
    <x v="4"/>
    <x v="0"/>
    <n v="0.05"/>
    <x v="11"/>
    <s v="Weekdays only"/>
    <s v="Los Angeles, CA"/>
    <n v="34.052199999999999"/>
    <n v="-118.2437"/>
    <d v="2022-08-11T00:00:00"/>
    <n v="0"/>
    <b v="0"/>
    <d v="2025-05-25T00:00:00"/>
    <x v="3"/>
    <x v="3"/>
  </r>
  <r>
    <b v="1"/>
    <d v="1899-12-30T12:21:00"/>
    <d v="1899-12-30T14:23:00"/>
    <n v="122"/>
    <x v="1"/>
    <b v="0"/>
    <b v="1"/>
    <x v="4"/>
    <x v="0"/>
    <x v="1"/>
    <x v="6"/>
    <x v="1"/>
    <n v="0"/>
    <x v="12"/>
    <s v="All hours"/>
    <s v="Los Angeles, CA"/>
    <n v="34.052199999999999"/>
    <n v="-118.2437"/>
    <d v="2025-02-23T00:00:00"/>
    <n v="0"/>
    <b v="1"/>
    <d v="2025-07-16T00:00:00"/>
    <x v="1"/>
    <x v="1"/>
  </r>
  <r>
    <b v="0"/>
    <d v="1899-12-30T20:43:00"/>
    <d v="1899-12-30T22:58:00"/>
    <n v="135"/>
    <x v="1"/>
    <b v="0"/>
    <b v="0"/>
    <x v="4"/>
    <x v="2"/>
    <x v="0"/>
    <x v="2"/>
    <x v="1"/>
    <n v="0"/>
    <x v="3"/>
    <s v="Off-peak only"/>
    <s v="Sacramento, CA"/>
    <n v="38.581600000000002"/>
    <n v="-121.4944"/>
    <d v="2024-04-25T00:00:00"/>
    <n v="0"/>
    <b v="0"/>
    <d v="2025-06-29T00:00:00"/>
    <x v="0"/>
    <x v="0"/>
  </r>
  <r>
    <b v="0"/>
    <d v="1899-12-30T08:29:00"/>
    <d v="1899-12-30T10:35:00"/>
    <n v="126"/>
    <x v="0"/>
    <b v="0"/>
    <b v="0"/>
    <x v="1"/>
    <x v="1"/>
    <x v="0"/>
    <x v="1"/>
    <x v="1"/>
    <n v="0"/>
    <x v="1"/>
    <s v="Weekdays only"/>
    <s v="Anaheim, CA"/>
    <n v="33.836599999999997"/>
    <n v="-117.9143"/>
    <d v="2022-08-25T00:00:00"/>
    <n v="0"/>
    <b v="0"/>
    <d v="2025-05-25T00:00:00"/>
    <x v="2"/>
    <x v="4"/>
  </r>
  <r>
    <b v="0"/>
    <d v="1899-12-30T09:47:00"/>
    <d v="1899-12-30T12:16:00"/>
    <n v="149"/>
    <x v="0"/>
    <b v="1"/>
    <b v="0"/>
    <x v="1"/>
    <x v="0"/>
    <x v="0"/>
    <x v="0"/>
    <x v="1"/>
    <n v="0"/>
    <x v="5"/>
    <s v="All hours"/>
    <s v="Anaheim, CA"/>
    <n v="33.836599999999997"/>
    <n v="-117.9143"/>
    <d v="2022-12-14T00:00:00"/>
    <n v="5"/>
    <b v="0"/>
    <d v="2025-06-01T00:00:00"/>
    <x v="2"/>
    <x v="4"/>
  </r>
  <r>
    <b v="0"/>
    <d v="1899-12-30T09:46:00"/>
    <d v="1899-12-30T12:17:00"/>
    <n v="151"/>
    <x v="0"/>
    <b v="0"/>
    <b v="0"/>
    <x v="0"/>
    <x v="0"/>
    <x v="2"/>
    <x v="10"/>
    <x v="1"/>
    <n v="0"/>
    <x v="16"/>
    <s v="All hours"/>
    <s v="Bakersfield, CA"/>
    <n v="35.3733"/>
    <n v="-119.0187"/>
    <d v="2023-02-03T00:00:00"/>
    <n v="0"/>
    <b v="0"/>
    <d v="2025-06-03T00:00:00"/>
    <x v="1"/>
    <x v="1"/>
  </r>
  <r>
    <b v="0"/>
    <d v="1899-12-30T11:29:00"/>
    <d v="1899-12-30T14:26:00"/>
    <n v="177"/>
    <x v="1"/>
    <b v="1"/>
    <b v="0"/>
    <x v="0"/>
    <x v="2"/>
    <x v="1"/>
    <x v="5"/>
    <x v="0"/>
    <n v="0.05"/>
    <x v="9"/>
    <s v="Off-peak only"/>
    <s v="Long Beach, CA"/>
    <n v="33.770099999999999"/>
    <n v="-118.19370000000001"/>
    <d v="2024-09-21T00:00:00"/>
    <n v="3"/>
    <b v="1"/>
    <d v="2025-07-07T00:00:00"/>
    <x v="2"/>
    <x v="2"/>
  </r>
  <r>
    <b v="1"/>
    <d v="1899-12-30T11:56:00"/>
    <d v="1899-12-30T12:58:00"/>
    <n v="62"/>
    <x v="1"/>
    <b v="1"/>
    <b v="1"/>
    <x v="4"/>
    <x v="0"/>
    <x v="0"/>
    <x v="0"/>
    <x v="1"/>
    <n v="0"/>
    <x v="5"/>
    <s v="All hours"/>
    <s v="San Diego, CA"/>
    <n v="32.715699999999998"/>
    <n v="-117.1611"/>
    <d v="2024-12-23T00:00:00"/>
    <n v="1"/>
    <b v="1"/>
    <d v="2025-07-12T00:00:00"/>
    <x v="1"/>
    <x v="1"/>
  </r>
  <r>
    <b v="0"/>
    <d v="1899-12-30T12:32:00"/>
    <d v="1899-12-30T13:02:00"/>
    <n v="30"/>
    <x v="0"/>
    <b v="0"/>
    <b v="0"/>
    <x v="4"/>
    <x v="3"/>
    <x v="0"/>
    <x v="3"/>
    <x v="3"/>
    <n v="0.15"/>
    <x v="40"/>
    <s v="All hours + Priority access"/>
    <s v="Fresno, CA"/>
    <n v="36.7378"/>
    <n v="-119.7871"/>
    <d v="2023-07-11T00:00:00"/>
    <n v="0"/>
    <b v="1"/>
    <d v="2025-06-12T00:00:00"/>
    <x v="1"/>
    <x v="1"/>
  </r>
  <r>
    <b v="1"/>
    <d v="1899-12-30T15:09:00"/>
    <d v="1899-12-30T16:18:00"/>
    <n v="69"/>
    <x v="1"/>
    <b v="1"/>
    <b v="1"/>
    <x v="2"/>
    <x v="0"/>
    <x v="1"/>
    <x v="6"/>
    <x v="0"/>
    <n v="0.05"/>
    <x v="10"/>
    <s v="All hours"/>
    <s v="Los Angeles, CA"/>
    <n v="34.052199999999999"/>
    <n v="-118.2437"/>
    <d v="2022-10-07T00:00:00"/>
    <n v="5"/>
    <b v="1"/>
    <d v="2025-05-28T00:00:00"/>
    <x v="0"/>
    <x v="0"/>
  </r>
  <r>
    <b v="0"/>
    <d v="1899-12-30T17:53:00"/>
    <d v="1899-12-30T20:14:00"/>
    <n v="141"/>
    <x v="0"/>
    <b v="0"/>
    <b v="1"/>
    <x v="1"/>
    <x v="0"/>
    <x v="1"/>
    <x v="6"/>
    <x v="2"/>
    <n v="0.1"/>
    <x v="30"/>
    <s v="All hours"/>
    <s v="Long Beach, CA"/>
    <n v="33.770099999999999"/>
    <n v="-118.19370000000001"/>
    <d v="2023-11-08T00:00:00"/>
    <n v="0"/>
    <b v="1"/>
    <d v="2025-06-19T00:00:00"/>
    <x v="1"/>
    <x v="1"/>
  </r>
  <r>
    <b v="0"/>
    <d v="1899-12-30T20:57:00"/>
    <d v="1899-12-30T22:15:00"/>
    <n v="78"/>
    <x v="1"/>
    <b v="1"/>
    <b v="0"/>
    <x v="1"/>
    <x v="1"/>
    <x v="0"/>
    <x v="1"/>
    <x v="3"/>
    <n v="0.15"/>
    <x v="15"/>
    <s v="Weekdays only"/>
    <s v="Sacramento, CA"/>
    <n v="38.581600000000002"/>
    <n v="-121.4944"/>
    <d v="2023-10-23T00:00:00"/>
    <n v="5"/>
    <b v="0"/>
    <d v="2025-06-18T00:00:00"/>
    <x v="1"/>
    <x v="1"/>
  </r>
  <r>
    <b v="0"/>
    <d v="1899-12-30T16:10:00"/>
    <d v="1899-12-30T16:40:00"/>
    <n v="30"/>
    <x v="1"/>
    <b v="0"/>
    <b v="0"/>
    <x v="4"/>
    <x v="1"/>
    <x v="1"/>
    <x v="4"/>
    <x v="0"/>
    <n v="0.05"/>
    <x v="11"/>
    <s v="Weekdays only"/>
    <s v="San Diego, CA"/>
    <n v="32.715699999999998"/>
    <n v="-117.1611"/>
    <d v="2024-08-28T00:00:00"/>
    <n v="0"/>
    <b v="0"/>
    <d v="2025-07-06T00:00:00"/>
    <x v="2"/>
    <x v="4"/>
  </r>
  <r>
    <b v="1"/>
    <d v="1899-12-30T10:09:00"/>
    <d v="1899-12-30T10:57:00"/>
    <n v="48"/>
    <x v="1"/>
    <b v="0"/>
    <b v="0"/>
    <x v="4"/>
    <x v="2"/>
    <x v="0"/>
    <x v="2"/>
    <x v="0"/>
    <n v="0.05"/>
    <x v="18"/>
    <s v="Off-peak only"/>
    <s v="Anaheim, CA"/>
    <n v="33.836599999999997"/>
    <n v="-117.9143"/>
    <d v="2023-03-26T00:00:00"/>
    <n v="0"/>
    <b v="0"/>
    <d v="2025-06-06T00:00:00"/>
    <x v="0"/>
    <x v="0"/>
  </r>
  <r>
    <b v="0"/>
    <d v="1899-12-30T17:29:00"/>
    <d v="1899-12-30T18:25:00"/>
    <n v="56"/>
    <x v="0"/>
    <b v="1"/>
    <b v="0"/>
    <x v="1"/>
    <x v="2"/>
    <x v="0"/>
    <x v="2"/>
    <x v="3"/>
    <n v="0.15"/>
    <x v="17"/>
    <s v="Off-peak only"/>
    <s v="Fresno, CA"/>
    <n v="36.7378"/>
    <n v="-119.7871"/>
    <d v="2024-12-05T00:00:00"/>
    <n v="6"/>
    <b v="0"/>
    <d v="2025-07-11T00:00:00"/>
    <x v="1"/>
    <x v="1"/>
  </r>
  <r>
    <b v="1"/>
    <d v="1899-12-30T13:00:00"/>
    <d v="1899-12-30T15:43:00"/>
    <n v="163"/>
    <x v="1"/>
    <b v="1"/>
    <b v="1"/>
    <x v="2"/>
    <x v="3"/>
    <x v="1"/>
    <x v="11"/>
    <x v="0"/>
    <n v="0.05"/>
    <x v="36"/>
    <s v="All hours + Priority access"/>
    <s v="San Francisco, CA"/>
    <n v="37.774900000000002"/>
    <n v="-122.4194"/>
    <d v="2024-07-13T00:00:00"/>
    <n v="4"/>
    <b v="1"/>
    <d v="2025-07-03T00:00:00"/>
    <x v="1"/>
    <x v="1"/>
  </r>
  <r>
    <b v="1"/>
    <d v="1899-12-30T08:24:00"/>
    <d v="1899-12-30T09:57:00"/>
    <n v="93"/>
    <x v="0"/>
    <b v="0"/>
    <b v="0"/>
    <x v="1"/>
    <x v="0"/>
    <x v="0"/>
    <x v="0"/>
    <x v="1"/>
    <n v="0"/>
    <x v="5"/>
    <s v="All hours"/>
    <s v="Bakersfield, CA"/>
    <n v="35.3733"/>
    <n v="-119.0187"/>
    <d v="2024-03-26T00:00:00"/>
    <n v="0"/>
    <b v="1"/>
    <d v="2025-06-27T00:00:00"/>
    <x v="2"/>
    <x v="2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3-12-30T00:00:00"/>
    <n v="0"/>
    <b v="1"/>
    <d v="2025-06-22T00:00:00"/>
    <x v="3"/>
    <x v="3"/>
  </r>
  <r>
    <b v="0"/>
    <d v="1899-12-30T18:15:00"/>
    <d v="1899-12-30T20:59:00"/>
    <n v="164"/>
    <x v="0"/>
    <b v="0"/>
    <b v="0"/>
    <x v="1"/>
    <x v="2"/>
    <x v="1"/>
    <x v="5"/>
    <x v="3"/>
    <n v="0.15"/>
    <x v="13"/>
    <s v="Off-peak only"/>
    <s v="Sacramento, CA"/>
    <n v="38.581600000000002"/>
    <n v="-121.4944"/>
    <d v="2024-10-07T00:00:00"/>
    <n v="0"/>
    <b v="1"/>
    <d v="2025-07-08T00:00:00"/>
    <x v="2"/>
    <x v="2"/>
  </r>
  <r>
    <b v="0"/>
    <d v="1899-12-30T16:13:00"/>
    <d v="1899-12-30T18:45:00"/>
    <n v="152"/>
    <x v="0"/>
    <b v="0"/>
    <b v="0"/>
    <x v="1"/>
    <x v="0"/>
    <x v="2"/>
    <x v="10"/>
    <x v="0"/>
    <n v="0.05"/>
    <x v="42"/>
    <s v="All hours"/>
    <s v="Los Angeles, CA"/>
    <n v="34.052199999999999"/>
    <n v="-118.2437"/>
    <d v="2025-02-20T00:00:00"/>
    <n v="0"/>
    <b v="1"/>
    <d v="2025-07-16T00:00:00"/>
    <x v="3"/>
    <x v="3"/>
  </r>
  <r>
    <b v="1"/>
    <d v="1899-12-30T14:42:00"/>
    <d v="1899-12-30T16:56:00"/>
    <n v="134"/>
    <x v="1"/>
    <b v="1"/>
    <b v="0"/>
    <x v="4"/>
    <x v="0"/>
    <x v="0"/>
    <x v="0"/>
    <x v="0"/>
    <n v="0.05"/>
    <x v="0"/>
    <s v="All hours"/>
    <s v="San Francisco, CA"/>
    <n v="37.774900000000002"/>
    <n v="-122.4194"/>
    <d v="2023-09-11T00:00:00"/>
    <n v="6"/>
    <b v="1"/>
    <d v="2025-06-16T00:00:00"/>
    <x v="3"/>
    <x v="3"/>
  </r>
  <r>
    <b v="0"/>
    <d v="1899-12-30T13:42:00"/>
    <d v="1899-12-30T14:33:00"/>
    <n v="51"/>
    <x v="0"/>
    <b v="0"/>
    <b v="1"/>
    <x v="0"/>
    <x v="3"/>
    <x v="0"/>
    <x v="3"/>
    <x v="0"/>
    <n v="0.05"/>
    <x v="23"/>
    <s v="All hours + Priority access"/>
    <s v="Long Beach, CA"/>
    <n v="33.770099999999999"/>
    <n v="-118.19370000000001"/>
    <d v="2024-08-19T00:00:00"/>
    <n v="0"/>
    <b v="1"/>
    <d v="2025-07-05T00:00:00"/>
    <x v="3"/>
    <x v="3"/>
  </r>
  <r>
    <b v="0"/>
    <d v="1899-12-30T08:55:00"/>
    <d v="1899-12-30T10:23:00"/>
    <n v="88"/>
    <x v="1"/>
    <b v="1"/>
    <b v="1"/>
    <x v="4"/>
    <x v="1"/>
    <x v="0"/>
    <x v="1"/>
    <x v="1"/>
    <n v="0"/>
    <x v="1"/>
    <s v="Weekdays only"/>
    <s v="San Francisco, CA"/>
    <n v="37.774900000000002"/>
    <n v="-122.4194"/>
    <d v="2023-10-12T00:00:00"/>
    <n v="4"/>
    <b v="1"/>
    <d v="2025-06-18T00:00:00"/>
    <x v="3"/>
    <x v="3"/>
  </r>
  <r>
    <b v="1"/>
    <d v="1899-12-30T08:58:00"/>
    <d v="1899-12-30T11:53:00"/>
    <n v="175"/>
    <x v="0"/>
    <b v="1"/>
    <b v="1"/>
    <x v="0"/>
    <x v="0"/>
    <x v="1"/>
    <x v="6"/>
    <x v="1"/>
    <n v="0"/>
    <x v="12"/>
    <s v="All hours"/>
    <s v="Long Beach, CA"/>
    <n v="33.770099999999999"/>
    <n v="-118.19370000000001"/>
    <d v="2025-01-09T00:00:00"/>
    <n v="4"/>
    <b v="1"/>
    <d v="2025-07-13T00:00:00"/>
    <x v="3"/>
    <x v="3"/>
  </r>
  <r>
    <b v="1"/>
    <d v="1899-12-30T16:21:00"/>
    <d v="1899-12-30T17:38:00"/>
    <n v="77"/>
    <x v="0"/>
    <b v="1"/>
    <b v="0"/>
    <x v="4"/>
    <x v="0"/>
    <x v="0"/>
    <x v="0"/>
    <x v="2"/>
    <n v="0.1"/>
    <x v="16"/>
    <s v="All hours"/>
    <s v="San Diego, CA"/>
    <n v="32.715699999999998"/>
    <n v="-117.1611"/>
    <d v="2024-01-27T00:00:00"/>
    <n v="1"/>
    <b v="1"/>
    <d v="2025-06-24T00:00:00"/>
    <x v="2"/>
    <x v="2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3-12-03T00:00:00"/>
    <n v="7"/>
    <b v="1"/>
    <d v="2025-06-21T00:00:00"/>
    <x v="1"/>
    <x v="1"/>
  </r>
  <r>
    <b v="0"/>
    <d v="1899-12-30T10:01:00"/>
    <d v="1899-12-30T12:11:00"/>
    <n v="130"/>
    <x v="0"/>
    <b v="1"/>
    <b v="1"/>
    <x v="4"/>
    <x v="2"/>
    <x v="0"/>
    <x v="2"/>
    <x v="1"/>
    <n v="0"/>
    <x v="3"/>
    <s v="Off-peak only"/>
    <s v="Sacramento, CA"/>
    <n v="38.581600000000002"/>
    <n v="-121.4944"/>
    <d v="2025-04-28T00:00:00"/>
    <n v="1"/>
    <b v="0"/>
    <d v="2025-07-19T00:00:00"/>
    <x v="1"/>
    <x v="1"/>
  </r>
  <r>
    <b v="1"/>
    <d v="1899-12-30T20:25:00"/>
    <d v="1899-12-30T23:16:00"/>
    <n v="171"/>
    <x v="1"/>
    <b v="0"/>
    <b v="0"/>
    <x v="4"/>
    <x v="2"/>
    <x v="0"/>
    <x v="2"/>
    <x v="2"/>
    <n v="0.1"/>
    <x v="6"/>
    <s v="Off-peak only"/>
    <s v="Anaheim, CA"/>
    <n v="33.836599999999997"/>
    <n v="-117.9143"/>
    <d v="2024-06-29T00:00:00"/>
    <n v="0"/>
    <b v="0"/>
    <d v="2025-07-02T00:00:00"/>
    <x v="1"/>
    <x v="1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5-01-30T00:00:00"/>
    <n v="0"/>
    <b v="1"/>
    <d v="2025-07-14T00:00:00"/>
    <x v="2"/>
    <x v="2"/>
  </r>
  <r>
    <b v="0"/>
    <d v="1899-12-30T13:05:00"/>
    <d v="1899-12-30T15:29:00"/>
    <n v="144"/>
    <x v="0"/>
    <b v="1"/>
    <b v="1"/>
    <x v="1"/>
    <x v="1"/>
    <x v="0"/>
    <x v="1"/>
    <x v="1"/>
    <n v="0"/>
    <x v="1"/>
    <s v="Weekdays only"/>
    <s v="San Francisco, CA"/>
    <n v="37.774900000000002"/>
    <n v="-122.4194"/>
    <d v="2025-04-16T00:00:00"/>
    <n v="3"/>
    <b v="1"/>
    <d v="2025-07-19T00:00:00"/>
    <x v="3"/>
    <x v="3"/>
  </r>
  <r>
    <b v="1"/>
    <d v="1899-12-30T09:46:00"/>
    <d v="1899-12-30T11:10:00"/>
    <n v="84"/>
    <x v="1"/>
    <b v="1"/>
    <b v="0"/>
    <x v="4"/>
    <x v="0"/>
    <x v="2"/>
    <x v="10"/>
    <x v="1"/>
    <n v="0"/>
    <x v="16"/>
    <s v="All hours"/>
    <s v="Long Beach, CA"/>
    <n v="33.770099999999999"/>
    <n v="-118.19370000000001"/>
    <d v="2022-08-03T00:00:00"/>
    <n v="4"/>
    <b v="1"/>
    <d v="2025-05-24T00:00:00"/>
    <x v="0"/>
    <x v="0"/>
  </r>
  <r>
    <b v="0"/>
    <d v="1899-12-30T20:52:00"/>
    <d v="1899-12-30T22:40:00"/>
    <n v="108"/>
    <x v="0"/>
    <b v="1"/>
    <b v="0"/>
    <x v="1"/>
    <x v="0"/>
    <x v="0"/>
    <x v="0"/>
    <x v="0"/>
    <n v="0.05"/>
    <x v="0"/>
    <s v="All hours"/>
    <s v="San Francisco, CA"/>
    <n v="37.774900000000002"/>
    <n v="-122.4194"/>
    <d v="2024-07-14T00:00:00"/>
    <n v="5"/>
    <b v="1"/>
    <d v="2025-07-03T00:00:00"/>
    <x v="3"/>
    <x v="3"/>
  </r>
  <r>
    <b v="0"/>
    <d v="1899-12-30T18:37:00"/>
    <d v="1899-12-30T20:15:00"/>
    <n v="98"/>
    <x v="0"/>
    <b v="1"/>
    <b v="1"/>
    <x v="4"/>
    <x v="1"/>
    <x v="2"/>
    <x v="8"/>
    <x v="2"/>
    <n v="0.1"/>
    <x v="33"/>
    <s v="Weekdays only"/>
    <s v="Fresno, CA"/>
    <n v="36.7378"/>
    <n v="-119.7871"/>
    <d v="2023-02-11T00:00:00"/>
    <n v="7"/>
    <b v="1"/>
    <d v="2025-06-04T00:00:00"/>
    <x v="0"/>
    <x v="0"/>
  </r>
  <r>
    <b v="0"/>
    <d v="1899-12-30T16:33:00"/>
    <d v="1899-12-30T17:11:00"/>
    <n v="38"/>
    <x v="0"/>
    <b v="0"/>
    <b v="1"/>
    <x v="0"/>
    <x v="0"/>
    <x v="1"/>
    <x v="6"/>
    <x v="0"/>
    <n v="0.05"/>
    <x v="10"/>
    <s v="All hours"/>
    <s v="San Diego, CA"/>
    <n v="32.715699999999998"/>
    <n v="-117.1611"/>
    <d v="2024-09-24T00:00:00"/>
    <n v="0"/>
    <b v="0"/>
    <d v="2025-07-07T00:00:00"/>
    <x v="3"/>
    <x v="3"/>
  </r>
  <r>
    <b v="1"/>
    <d v="1899-12-30T17:13:00"/>
    <d v="1899-12-30T18:15:00"/>
    <n v="62"/>
    <x v="0"/>
    <b v="0"/>
    <b v="1"/>
    <x v="0"/>
    <x v="0"/>
    <x v="1"/>
    <x v="6"/>
    <x v="2"/>
    <n v="0.1"/>
    <x v="30"/>
    <s v="All hours"/>
    <s v="Oakland, CA"/>
    <n v="37.804400000000001"/>
    <n v="-122.27119999999999"/>
    <d v="2023-06-28T00:00:00"/>
    <n v="0"/>
    <b v="1"/>
    <d v="2025-06-12T00:00:00"/>
    <x v="0"/>
    <x v="0"/>
  </r>
  <r>
    <b v="0"/>
    <d v="1899-12-30T10:14:00"/>
    <d v="1899-12-30T13:13:00"/>
    <n v="179"/>
    <x v="0"/>
    <b v="1"/>
    <b v="1"/>
    <x v="1"/>
    <x v="0"/>
    <x v="1"/>
    <x v="6"/>
    <x v="1"/>
    <n v="0"/>
    <x v="12"/>
    <s v="All hours"/>
    <s v="Anaheim, CA"/>
    <n v="33.836599999999997"/>
    <n v="-117.9143"/>
    <d v="2023-04-05T00:00:00"/>
    <n v="2"/>
    <b v="1"/>
    <d v="2025-06-07T00:00:00"/>
    <x v="1"/>
    <x v="1"/>
  </r>
  <r>
    <b v="1"/>
    <d v="1899-12-30T19:05:00"/>
    <d v="1899-12-30T21:55:00"/>
    <n v="170"/>
    <x v="1"/>
    <b v="1"/>
    <b v="0"/>
    <x v="4"/>
    <x v="1"/>
    <x v="0"/>
    <x v="1"/>
    <x v="1"/>
    <n v="0"/>
    <x v="1"/>
    <s v="Weekdays only"/>
    <s v="Sacramento, CA"/>
    <n v="38.581600000000002"/>
    <n v="-121.4944"/>
    <d v="2023-09-27T00:00:00"/>
    <n v="3"/>
    <b v="1"/>
    <d v="2025-06-17T00:00:00"/>
    <x v="2"/>
    <x v="2"/>
  </r>
  <r>
    <b v="0"/>
    <d v="1899-12-30T19:51:00"/>
    <d v="1899-12-30T21:23:00"/>
    <n v="92"/>
    <x v="1"/>
    <b v="1"/>
    <b v="1"/>
    <x v="0"/>
    <x v="2"/>
    <x v="0"/>
    <x v="2"/>
    <x v="2"/>
    <n v="0.1"/>
    <x v="6"/>
    <s v="Off-peak only"/>
    <s v="San Francisco, CA"/>
    <n v="37.774900000000002"/>
    <n v="-122.4194"/>
    <d v="2024-02-06T00:00:00"/>
    <n v="1"/>
    <b v="1"/>
    <d v="2025-06-24T00:00:00"/>
    <x v="3"/>
    <x v="3"/>
  </r>
  <r>
    <b v="0"/>
    <d v="1899-12-30T13:33:00"/>
    <d v="1899-12-30T14:08:00"/>
    <n v="35"/>
    <x v="1"/>
    <b v="0"/>
    <b v="0"/>
    <x v="4"/>
    <x v="1"/>
    <x v="0"/>
    <x v="1"/>
    <x v="2"/>
    <n v="0.1"/>
    <x v="2"/>
    <s v="Weekdays only"/>
    <s v="Oakland, CA"/>
    <n v="37.804400000000001"/>
    <n v="-122.27119999999999"/>
    <d v="2024-04-10T00:00:00"/>
    <n v="0"/>
    <b v="0"/>
    <d v="2025-06-28T00:00:00"/>
    <x v="0"/>
    <x v="0"/>
  </r>
  <r>
    <b v="0"/>
    <d v="1899-12-30T13:57:00"/>
    <d v="1899-12-30T15:41:00"/>
    <n v="104"/>
    <x v="1"/>
    <b v="1"/>
    <b v="1"/>
    <x v="4"/>
    <x v="1"/>
    <x v="0"/>
    <x v="1"/>
    <x v="1"/>
    <n v="0"/>
    <x v="1"/>
    <s v="Weekdays only"/>
    <s v="San Diego, CA"/>
    <n v="32.715699999999998"/>
    <n v="-117.1611"/>
    <d v="2024-06-16T00:00:00"/>
    <n v="6"/>
    <b v="0"/>
    <d v="2025-07-02T00:00:00"/>
    <x v="1"/>
    <x v="1"/>
  </r>
  <r>
    <b v="1"/>
    <d v="1899-12-30T18:43:00"/>
    <d v="1899-12-30T21:06:00"/>
    <n v="143"/>
    <x v="1"/>
    <b v="0"/>
    <b v="1"/>
    <x v="4"/>
    <x v="3"/>
    <x v="0"/>
    <x v="3"/>
    <x v="2"/>
    <n v="0.1"/>
    <x v="22"/>
    <s v="All hours + Priority access"/>
    <s v="Long Beach, CA"/>
    <n v="33.770099999999999"/>
    <n v="-118.19370000000001"/>
    <d v="2022-10-07T00:00:00"/>
    <n v="0"/>
    <b v="1"/>
    <d v="2025-05-28T00:00:00"/>
    <x v="2"/>
    <x v="2"/>
  </r>
  <r>
    <b v="0"/>
    <d v="1899-12-30T12:46:00"/>
    <d v="1899-12-30T13:55:00"/>
    <n v="69"/>
    <x v="0"/>
    <b v="0"/>
    <b v="0"/>
    <x v="1"/>
    <x v="0"/>
    <x v="0"/>
    <x v="0"/>
    <x v="3"/>
    <n v="0.15"/>
    <x v="27"/>
    <s v="All hours"/>
    <s v="Los Angeles, CA"/>
    <n v="34.052199999999999"/>
    <n v="-118.2437"/>
    <d v="2023-01-20T00:00:00"/>
    <n v="0"/>
    <b v="1"/>
    <d v="2025-06-03T00:00:00"/>
    <x v="1"/>
    <x v="1"/>
  </r>
  <r>
    <b v="0"/>
    <d v="1899-12-30T11:50:00"/>
    <d v="1899-12-30T12:54:00"/>
    <n v="64"/>
    <x v="0"/>
    <b v="0"/>
    <b v="0"/>
    <x v="1"/>
    <x v="0"/>
    <x v="1"/>
    <x v="6"/>
    <x v="0"/>
    <n v="0.05"/>
    <x v="10"/>
    <s v="All hours"/>
    <s v="Los Angeles, CA"/>
    <n v="34.052199999999999"/>
    <n v="-118.2437"/>
    <d v="2022-08-30T00:00:00"/>
    <n v="0"/>
    <b v="1"/>
    <d v="2025-05-26T00:00:00"/>
    <x v="3"/>
    <x v="3"/>
  </r>
  <r>
    <b v="0"/>
    <d v="1899-12-30T15:15:00"/>
    <d v="1899-12-30T15:46:00"/>
    <n v="31"/>
    <x v="1"/>
    <b v="1"/>
    <b v="0"/>
    <x v="4"/>
    <x v="2"/>
    <x v="0"/>
    <x v="2"/>
    <x v="0"/>
    <n v="0.05"/>
    <x v="18"/>
    <s v="Off-peak only"/>
    <s v="Los Angeles, CA"/>
    <n v="34.052199999999999"/>
    <n v="-118.2437"/>
    <d v="2025-02-10T00:00:00"/>
    <n v="3"/>
    <b v="1"/>
    <d v="2025-07-15T00:00:00"/>
    <x v="2"/>
    <x v="2"/>
  </r>
  <r>
    <b v="0"/>
    <d v="1899-12-30T13:42:00"/>
    <d v="1899-12-30T14:33:00"/>
    <n v="51"/>
    <x v="0"/>
    <b v="0"/>
    <b v="1"/>
    <x v="0"/>
    <x v="3"/>
    <x v="0"/>
    <x v="3"/>
    <x v="0"/>
    <n v="0.05"/>
    <x v="23"/>
    <s v="All hours + Priority access"/>
    <s v="Long Beach, CA"/>
    <n v="33.770099999999999"/>
    <n v="-118.19370000000001"/>
    <d v="2023-05-06T00:00:00"/>
    <n v="0"/>
    <b v="1"/>
    <d v="2025-06-09T00:00:00"/>
    <x v="3"/>
    <x v="3"/>
  </r>
  <r>
    <b v="1"/>
    <d v="1899-12-30T17:04:00"/>
    <d v="1899-12-30T19:46:00"/>
    <n v="162"/>
    <x v="0"/>
    <b v="1"/>
    <b v="0"/>
    <x v="4"/>
    <x v="0"/>
    <x v="0"/>
    <x v="0"/>
    <x v="3"/>
    <n v="0.15"/>
    <x v="27"/>
    <s v="All hours"/>
    <s v="Bakersfield, CA"/>
    <n v="35.3733"/>
    <n v="-119.0187"/>
    <d v="2022-09-27T00:00:00"/>
    <n v="3"/>
    <b v="0"/>
    <d v="2025-05-27T00:00:00"/>
    <x v="1"/>
    <x v="1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4-12-11T00:00:00"/>
    <n v="7"/>
    <b v="0"/>
    <d v="2025-07-12T00:00:00"/>
    <x v="2"/>
    <x v="2"/>
  </r>
  <r>
    <b v="1"/>
    <d v="1899-12-30T09:14:00"/>
    <d v="1899-12-30T11:52:00"/>
    <n v="158"/>
    <x v="0"/>
    <b v="1"/>
    <b v="0"/>
    <x v="0"/>
    <x v="1"/>
    <x v="1"/>
    <x v="4"/>
    <x v="1"/>
    <n v="0"/>
    <x v="8"/>
    <s v="Weekdays only"/>
    <s v="Anaheim, CA"/>
    <n v="33.836599999999997"/>
    <n v="-117.9143"/>
    <d v="2025-04-13T00:00:00"/>
    <n v="3"/>
    <b v="0"/>
    <d v="2025-07-19T00:00:00"/>
    <x v="1"/>
    <x v="1"/>
  </r>
  <r>
    <b v="1"/>
    <d v="1899-12-30T09:26:00"/>
    <d v="1899-12-30T10:35:00"/>
    <n v="69"/>
    <x v="0"/>
    <b v="0"/>
    <b v="0"/>
    <x v="2"/>
    <x v="3"/>
    <x v="0"/>
    <x v="3"/>
    <x v="1"/>
    <n v="0"/>
    <x v="4"/>
    <s v="All hours + Priority access"/>
    <s v="San Diego, CA"/>
    <n v="32.715699999999998"/>
    <n v="-117.1611"/>
    <d v="2023-04-25T00:00:00"/>
    <n v="0"/>
    <b v="1"/>
    <d v="2025-06-08T00:00:00"/>
    <x v="3"/>
    <x v="3"/>
  </r>
  <r>
    <b v="0"/>
    <d v="1899-12-30T19:59:00"/>
    <d v="1899-12-30T20:40:00"/>
    <n v="41"/>
    <x v="0"/>
    <b v="1"/>
    <b v="0"/>
    <x v="0"/>
    <x v="1"/>
    <x v="1"/>
    <x v="4"/>
    <x v="0"/>
    <n v="0.05"/>
    <x v="11"/>
    <s v="Weekdays only"/>
    <s v="Anaheim, CA"/>
    <n v="33.836599999999997"/>
    <n v="-117.9143"/>
    <d v="2023-10-20T00:00:00"/>
    <n v="3"/>
    <b v="0"/>
    <d v="2025-06-18T00:00:00"/>
    <x v="3"/>
    <x v="3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3-01-08T00:00:00"/>
    <n v="0"/>
    <b v="1"/>
    <d v="2025-06-02T00:00:00"/>
    <x v="3"/>
    <x v="3"/>
  </r>
  <r>
    <b v="0"/>
    <d v="1899-12-30T14:12:00"/>
    <d v="1899-12-30T14:59:00"/>
    <n v="47"/>
    <x v="0"/>
    <b v="0"/>
    <b v="0"/>
    <x v="2"/>
    <x v="2"/>
    <x v="0"/>
    <x v="2"/>
    <x v="1"/>
    <n v="0"/>
    <x v="3"/>
    <s v="Off-peak only"/>
    <s v="Sacramento, CA"/>
    <n v="38.581600000000002"/>
    <n v="-121.4944"/>
    <d v="2025-01-25T00:00:00"/>
    <n v="0"/>
    <b v="0"/>
    <d v="2025-07-14T00:00:00"/>
    <x v="1"/>
    <x v="1"/>
  </r>
  <r>
    <b v="0"/>
    <d v="1899-12-30T10:41:00"/>
    <d v="1899-12-30T11:38:00"/>
    <n v="57"/>
    <x v="1"/>
    <b v="1"/>
    <b v="1"/>
    <x v="4"/>
    <x v="1"/>
    <x v="0"/>
    <x v="1"/>
    <x v="3"/>
    <n v="0.15"/>
    <x v="15"/>
    <s v="Weekdays only"/>
    <s v="Los Angeles, CA"/>
    <n v="34.052199999999999"/>
    <n v="-118.2437"/>
    <d v="2023-02-27T00:00:00"/>
    <n v="2"/>
    <b v="0"/>
    <d v="2025-06-05T00:00:00"/>
    <x v="3"/>
    <x v="3"/>
  </r>
  <r>
    <b v="1"/>
    <d v="1899-12-30T13:24:00"/>
    <d v="1899-12-30T15:53:00"/>
    <n v="149"/>
    <x v="1"/>
    <b v="1"/>
    <b v="0"/>
    <x v="4"/>
    <x v="1"/>
    <x v="1"/>
    <x v="4"/>
    <x v="2"/>
    <n v="0.1"/>
    <x v="26"/>
    <s v="Weekdays only"/>
    <s v="Los Angeles, CA"/>
    <n v="34.052199999999999"/>
    <n v="-118.2437"/>
    <d v="2024-11-20T00:00:00"/>
    <n v="8"/>
    <b v="1"/>
    <d v="2025-07-10T00:00:00"/>
    <x v="3"/>
    <x v="3"/>
  </r>
  <r>
    <b v="0"/>
    <d v="1899-12-30T09:13:00"/>
    <d v="1899-12-30T11:37:00"/>
    <n v="144"/>
    <x v="0"/>
    <b v="0"/>
    <b v="0"/>
    <x v="4"/>
    <x v="1"/>
    <x v="2"/>
    <x v="8"/>
    <x v="2"/>
    <n v="0.1"/>
    <x v="33"/>
    <s v="Weekdays only"/>
    <s v="San Francisco, CA"/>
    <n v="37.774900000000002"/>
    <n v="-122.4194"/>
    <d v="2024-12-30T00:00:00"/>
    <n v="0"/>
    <b v="0"/>
    <d v="2025-07-13T00:00:00"/>
    <x v="3"/>
    <x v="3"/>
  </r>
  <r>
    <b v="0"/>
    <d v="1899-12-30T18:02:00"/>
    <d v="1899-12-30T19:49:00"/>
    <n v="107"/>
    <x v="0"/>
    <b v="0"/>
    <b v="1"/>
    <x v="4"/>
    <x v="1"/>
    <x v="0"/>
    <x v="1"/>
    <x v="3"/>
    <n v="0.15"/>
    <x v="15"/>
    <s v="Weekdays only"/>
    <s v="Anaheim, CA"/>
    <n v="33.836599999999997"/>
    <n v="-117.9143"/>
    <d v="2024-12-30T00:00:00"/>
    <n v="0"/>
    <b v="0"/>
    <d v="2025-07-13T00:00:00"/>
    <x v="2"/>
    <x v="2"/>
  </r>
  <r>
    <b v="1"/>
    <d v="1899-12-30T19:06:00"/>
    <d v="1899-12-30T21:17:00"/>
    <n v="131"/>
    <x v="1"/>
    <b v="1"/>
    <b v="0"/>
    <x v="3"/>
    <x v="0"/>
    <x v="0"/>
    <x v="0"/>
    <x v="3"/>
    <n v="0.15"/>
    <x v="27"/>
    <s v="All hours"/>
    <s v="Los Angeles, CA"/>
    <n v="34.052199999999999"/>
    <n v="-118.2437"/>
    <d v="2023-02-06T00:00:00"/>
    <n v="6"/>
    <b v="0"/>
    <d v="2025-06-04T00:00:00"/>
    <x v="2"/>
    <x v="4"/>
  </r>
  <r>
    <b v="0"/>
    <d v="1899-12-30T14:12:00"/>
    <d v="1899-12-30T16:43:00"/>
    <n v="151"/>
    <x v="1"/>
    <b v="1"/>
    <b v="1"/>
    <x v="1"/>
    <x v="0"/>
    <x v="0"/>
    <x v="0"/>
    <x v="1"/>
    <n v="0"/>
    <x v="5"/>
    <s v="All hours"/>
    <s v="Los Angeles, CA"/>
    <n v="34.052199999999999"/>
    <n v="-118.2437"/>
    <d v="2023-07-15T00:00:00"/>
    <n v="6"/>
    <b v="1"/>
    <d v="2025-06-13T00:00:00"/>
    <x v="3"/>
    <x v="3"/>
  </r>
  <r>
    <b v="0"/>
    <d v="1899-12-30T16:19:00"/>
    <d v="1899-12-30T19:13:00"/>
    <n v="174"/>
    <x v="1"/>
    <b v="0"/>
    <b v="0"/>
    <x v="4"/>
    <x v="1"/>
    <x v="0"/>
    <x v="1"/>
    <x v="0"/>
    <n v="0.05"/>
    <x v="7"/>
    <s v="Weekdays only"/>
    <s v="Oakland, CA"/>
    <n v="37.804400000000001"/>
    <n v="-122.27119999999999"/>
    <d v="2023-12-13T00:00:00"/>
    <n v="0"/>
    <b v="0"/>
    <d v="2025-06-21T00:00:00"/>
    <x v="1"/>
    <x v="1"/>
  </r>
  <r>
    <b v="1"/>
    <d v="1899-12-30T10:26:00"/>
    <d v="1899-12-30T12:13:00"/>
    <n v="107"/>
    <x v="1"/>
    <b v="0"/>
    <b v="1"/>
    <x v="4"/>
    <x v="1"/>
    <x v="0"/>
    <x v="1"/>
    <x v="2"/>
    <n v="0.1"/>
    <x v="2"/>
    <s v="Weekdays only"/>
    <s v="Long Beach, CA"/>
    <n v="33.770099999999999"/>
    <n v="-118.19370000000001"/>
    <d v="2024-06-05T00:00:00"/>
    <n v="0"/>
    <b v="1"/>
    <d v="2025-07-01T00:00:00"/>
    <x v="2"/>
    <x v="2"/>
  </r>
  <r>
    <b v="1"/>
    <d v="1899-12-30T09:41:00"/>
    <d v="1899-12-30T12:38:00"/>
    <n v="177"/>
    <x v="1"/>
    <b v="1"/>
    <b v="1"/>
    <x v="2"/>
    <x v="0"/>
    <x v="0"/>
    <x v="0"/>
    <x v="2"/>
    <n v="0.1"/>
    <x v="16"/>
    <s v="All hours"/>
    <s v="Oakland, CA"/>
    <n v="37.804400000000001"/>
    <n v="-122.27119999999999"/>
    <d v="2022-12-01T00:00:00"/>
    <n v="6"/>
    <b v="1"/>
    <d v="2025-05-31T00:00:00"/>
    <x v="0"/>
    <x v="0"/>
  </r>
  <r>
    <b v="1"/>
    <d v="1899-12-30T19:09:00"/>
    <d v="1899-12-30T21:55:00"/>
    <n v="166"/>
    <x v="1"/>
    <b v="0"/>
    <b v="1"/>
    <x v="4"/>
    <x v="0"/>
    <x v="0"/>
    <x v="0"/>
    <x v="2"/>
    <n v="0.1"/>
    <x v="16"/>
    <s v="All hours"/>
    <s v="San Jose, CA"/>
    <n v="37.338200000000001"/>
    <n v="-121.88630000000001"/>
    <d v="2024-05-01T00:00:00"/>
    <n v="0"/>
    <b v="1"/>
    <d v="2025-06-29T00:00:00"/>
    <x v="0"/>
    <x v="0"/>
  </r>
  <r>
    <b v="1"/>
    <d v="1899-12-30T20:15:00"/>
    <d v="1899-12-30T21:36:00"/>
    <n v="81"/>
    <x v="1"/>
    <b v="0"/>
    <b v="1"/>
    <x v="0"/>
    <x v="0"/>
    <x v="1"/>
    <x v="6"/>
    <x v="3"/>
    <n v="0.15"/>
    <x v="28"/>
    <s v="All hours"/>
    <s v="Fresno, CA"/>
    <n v="36.7378"/>
    <n v="-119.7871"/>
    <d v="2023-02-04T00:00:00"/>
    <n v="0"/>
    <b v="1"/>
    <d v="2025-06-04T00:00:00"/>
    <x v="3"/>
    <x v="3"/>
  </r>
  <r>
    <b v="0"/>
    <d v="1899-12-30T17:58:00"/>
    <d v="1899-12-30T20:04:00"/>
    <n v="126"/>
    <x v="0"/>
    <b v="1"/>
    <b v="0"/>
    <x v="2"/>
    <x v="3"/>
    <x v="0"/>
    <x v="3"/>
    <x v="1"/>
    <n v="0"/>
    <x v="4"/>
    <s v="All hours + Priority access"/>
    <s v="San Jose, CA"/>
    <n v="37.338200000000001"/>
    <n v="-121.88630000000001"/>
    <d v="2024-03-12T00:00:00"/>
    <n v="4"/>
    <b v="1"/>
    <d v="2025-06-26T00:00:00"/>
    <x v="2"/>
    <x v="2"/>
  </r>
  <r>
    <b v="1"/>
    <d v="1899-12-30T17:04:00"/>
    <d v="1899-12-30T19:46:00"/>
    <n v="162"/>
    <x v="0"/>
    <b v="1"/>
    <b v="0"/>
    <x v="4"/>
    <x v="0"/>
    <x v="0"/>
    <x v="0"/>
    <x v="3"/>
    <n v="0.15"/>
    <x v="27"/>
    <s v="All hours"/>
    <s v="Bakersfield, CA"/>
    <n v="35.3733"/>
    <n v="-119.0187"/>
    <d v="2024-05-17T00:00:00"/>
    <n v="5"/>
    <b v="1"/>
    <d v="2025-06-30T00:00:00"/>
    <x v="1"/>
    <x v="1"/>
  </r>
  <r>
    <b v="0"/>
    <d v="1899-12-30T16:51:00"/>
    <d v="1899-12-30T18:36:00"/>
    <n v="105"/>
    <x v="0"/>
    <b v="0"/>
    <b v="1"/>
    <x v="4"/>
    <x v="1"/>
    <x v="1"/>
    <x v="4"/>
    <x v="1"/>
    <n v="0"/>
    <x v="8"/>
    <s v="Weekdays only"/>
    <s v="Anaheim, CA"/>
    <n v="33.836599999999997"/>
    <n v="-117.9143"/>
    <d v="2024-02-16T00:00:00"/>
    <n v="0"/>
    <b v="1"/>
    <d v="2025-06-25T00:00:00"/>
    <x v="1"/>
    <x v="1"/>
  </r>
  <r>
    <b v="0"/>
    <d v="1899-12-30T17:57:00"/>
    <d v="1899-12-30T19:45:00"/>
    <n v="108"/>
    <x v="1"/>
    <b v="1"/>
    <b v="1"/>
    <x v="1"/>
    <x v="1"/>
    <x v="0"/>
    <x v="1"/>
    <x v="1"/>
    <n v="0"/>
    <x v="1"/>
    <s v="Weekdays only"/>
    <s v="Oakland, CA"/>
    <n v="37.804400000000001"/>
    <n v="-122.27119999999999"/>
    <d v="2024-08-06T00:00:00"/>
    <n v="8"/>
    <b v="0"/>
    <d v="2025-07-04T00:00:00"/>
    <x v="1"/>
    <x v="1"/>
  </r>
  <r>
    <b v="0"/>
    <d v="1899-12-30T17:43:00"/>
    <d v="1899-12-30T18:34:00"/>
    <n v="51"/>
    <x v="0"/>
    <b v="1"/>
    <b v="1"/>
    <x v="4"/>
    <x v="0"/>
    <x v="1"/>
    <x v="6"/>
    <x v="0"/>
    <n v="0.05"/>
    <x v="10"/>
    <s v="All hours"/>
    <s v="San Jose, CA"/>
    <n v="37.338200000000001"/>
    <n v="-121.88630000000001"/>
    <d v="2023-04-18T00:00:00"/>
    <n v="6"/>
    <b v="0"/>
    <d v="2025-06-08T00:00:00"/>
    <x v="2"/>
    <x v="2"/>
  </r>
  <r>
    <b v="1"/>
    <d v="1899-12-30T13:45:00"/>
    <d v="1899-12-30T16:26:00"/>
    <n v="161"/>
    <x v="0"/>
    <b v="0"/>
    <b v="0"/>
    <x v="0"/>
    <x v="0"/>
    <x v="1"/>
    <x v="6"/>
    <x v="1"/>
    <n v="0"/>
    <x v="12"/>
    <s v="All hours"/>
    <s v="Sacramento, CA"/>
    <n v="38.581600000000002"/>
    <n v="-121.4944"/>
    <d v="2024-01-04T00:00:00"/>
    <n v="0"/>
    <b v="1"/>
    <d v="2025-06-22T00:00:00"/>
    <x v="2"/>
    <x v="4"/>
  </r>
  <r>
    <b v="0"/>
    <d v="1899-12-30T08:47:00"/>
    <d v="1899-12-30T09:52:00"/>
    <n v="65"/>
    <x v="0"/>
    <b v="0"/>
    <b v="1"/>
    <x v="2"/>
    <x v="1"/>
    <x v="0"/>
    <x v="1"/>
    <x v="0"/>
    <n v="0.05"/>
    <x v="7"/>
    <s v="Weekdays only"/>
    <s v="Fresno, CA"/>
    <n v="36.7378"/>
    <n v="-119.7871"/>
    <d v="2024-10-18T00:00:00"/>
    <n v="0"/>
    <b v="0"/>
    <d v="2025-07-09T00:00:00"/>
    <x v="1"/>
    <x v="1"/>
  </r>
  <r>
    <b v="1"/>
    <d v="1899-12-30T20:23:00"/>
    <d v="1899-12-30T21:30:00"/>
    <n v="67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2-11-07T00:00:00"/>
    <n v="3"/>
    <b v="1"/>
    <d v="2025-05-30T00:00:00"/>
    <x v="2"/>
    <x v="4"/>
  </r>
  <r>
    <b v="0"/>
    <d v="1899-12-30T10:30:00"/>
    <d v="1899-12-30T13:27:00"/>
    <n v="177"/>
    <x v="1"/>
    <b v="1"/>
    <b v="1"/>
    <x v="0"/>
    <x v="1"/>
    <x v="0"/>
    <x v="1"/>
    <x v="3"/>
    <n v="0.15"/>
    <x v="15"/>
    <s v="Weekdays only"/>
    <s v="Long Beach, CA"/>
    <n v="33.770099999999999"/>
    <n v="-118.19370000000001"/>
    <d v="2024-05-10T00:00:00"/>
    <n v="3"/>
    <b v="1"/>
    <d v="2025-06-29T00:00:00"/>
    <x v="2"/>
    <x v="2"/>
  </r>
  <r>
    <b v="0"/>
    <d v="1899-12-30T18:42:00"/>
    <d v="1899-12-30T21:41:00"/>
    <n v="179"/>
    <x v="0"/>
    <b v="1"/>
    <b v="1"/>
    <x v="0"/>
    <x v="1"/>
    <x v="0"/>
    <x v="1"/>
    <x v="1"/>
    <n v="0"/>
    <x v="1"/>
    <s v="Weekdays only"/>
    <s v="Sacramento, CA"/>
    <n v="38.581600000000002"/>
    <n v="-121.4944"/>
    <d v="2023-11-22T00:00:00"/>
    <n v="6"/>
    <b v="0"/>
    <d v="2025-06-20T00:00:00"/>
    <x v="1"/>
    <x v="1"/>
  </r>
  <r>
    <b v="0"/>
    <d v="1899-12-30T10:09:00"/>
    <d v="1899-12-30T11:15:00"/>
    <n v="66"/>
    <x v="0"/>
    <b v="1"/>
    <b v="1"/>
    <x v="4"/>
    <x v="2"/>
    <x v="0"/>
    <x v="2"/>
    <x v="1"/>
    <n v="0"/>
    <x v="3"/>
    <s v="Off-peak only"/>
    <s v="San Francisco, CA"/>
    <n v="37.774900000000002"/>
    <n v="-122.4194"/>
    <d v="2022-10-31T00:00:00"/>
    <n v="7"/>
    <b v="1"/>
    <d v="2025-05-29T00:00:00"/>
    <x v="2"/>
    <x v="4"/>
  </r>
  <r>
    <b v="0"/>
    <d v="1899-12-30T18:01:00"/>
    <d v="1899-12-30T18:43:00"/>
    <n v="42"/>
    <x v="1"/>
    <b v="0"/>
    <b v="0"/>
    <x v="0"/>
    <x v="2"/>
    <x v="1"/>
    <x v="5"/>
    <x v="1"/>
    <n v="0"/>
    <x v="14"/>
    <s v="Off-peak only"/>
    <s v="Long Beach, CA"/>
    <n v="33.770099999999999"/>
    <n v="-118.19370000000001"/>
    <d v="2023-08-28T00:00:00"/>
    <n v="0"/>
    <b v="0"/>
    <d v="2025-06-15T00:00:00"/>
    <x v="3"/>
    <x v="3"/>
  </r>
  <r>
    <b v="0"/>
    <d v="1899-12-30T09:56:00"/>
    <d v="1899-12-30T11:39:00"/>
    <n v="103"/>
    <x v="0"/>
    <b v="1"/>
    <b v="1"/>
    <x v="2"/>
    <x v="1"/>
    <x v="0"/>
    <x v="1"/>
    <x v="3"/>
    <n v="0.15"/>
    <x v="15"/>
    <s v="Weekdays only"/>
    <s v="Long Beach, CA"/>
    <n v="33.770099999999999"/>
    <n v="-118.19370000000001"/>
    <d v="2025-02-18T00:00:00"/>
    <n v="6"/>
    <b v="0"/>
    <d v="2025-07-15T00:00:00"/>
    <x v="0"/>
    <x v="0"/>
  </r>
  <r>
    <b v="1"/>
    <d v="1899-12-30T09:20:00"/>
    <d v="1899-12-30T09:52:00"/>
    <n v="32"/>
    <x v="1"/>
    <b v="0"/>
    <b v="0"/>
    <x v="0"/>
    <x v="2"/>
    <x v="1"/>
    <x v="5"/>
    <x v="2"/>
    <n v="0.1"/>
    <x v="20"/>
    <s v="Off-peak only"/>
    <s v="San Diego, CA"/>
    <n v="32.715699999999998"/>
    <n v="-117.1611"/>
    <d v="2022-09-26T00:00:00"/>
    <n v="0"/>
    <b v="0"/>
    <d v="2025-05-27T00:00:00"/>
    <x v="1"/>
    <x v="1"/>
  </r>
  <r>
    <b v="0"/>
    <d v="1899-12-30T16:59:00"/>
    <d v="1899-12-30T19:27:00"/>
    <n v="148"/>
    <x v="0"/>
    <b v="0"/>
    <b v="1"/>
    <x v="0"/>
    <x v="1"/>
    <x v="0"/>
    <x v="1"/>
    <x v="2"/>
    <n v="0.1"/>
    <x v="2"/>
    <s v="Weekdays only"/>
    <s v="Long Beach, CA"/>
    <n v="33.770099999999999"/>
    <n v="-118.19370000000001"/>
    <d v="2023-08-24T00:00:00"/>
    <n v="0"/>
    <b v="0"/>
    <d v="2025-06-15T00:00:00"/>
    <x v="2"/>
    <x v="2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4-07-01T00:00:00"/>
    <n v="0"/>
    <b v="1"/>
    <d v="2025-07-02T00:00:00"/>
    <x v="3"/>
    <x v="3"/>
  </r>
  <r>
    <b v="0"/>
    <d v="1899-12-30T11:10:00"/>
    <d v="1899-12-30T11:44:00"/>
    <n v="34"/>
    <x v="0"/>
    <b v="0"/>
    <b v="1"/>
    <x v="1"/>
    <x v="2"/>
    <x v="1"/>
    <x v="5"/>
    <x v="1"/>
    <n v="0"/>
    <x v="14"/>
    <s v="Off-peak only"/>
    <s v="San Jose, CA"/>
    <n v="37.338200000000001"/>
    <n v="-121.88630000000001"/>
    <d v="2025-01-25T00:00:00"/>
    <n v="0"/>
    <b v="1"/>
    <d v="2025-07-14T00:00:00"/>
    <x v="0"/>
    <x v="0"/>
  </r>
  <r>
    <b v="0"/>
    <d v="1899-12-30T16:29:00"/>
    <d v="1899-12-30T17:07:00"/>
    <n v="38"/>
    <x v="0"/>
    <b v="1"/>
    <b v="0"/>
    <x v="2"/>
    <x v="1"/>
    <x v="0"/>
    <x v="1"/>
    <x v="0"/>
    <n v="0.05"/>
    <x v="7"/>
    <s v="Weekdays only"/>
    <s v="Long Beach, CA"/>
    <n v="33.770099999999999"/>
    <n v="-118.19370000000001"/>
    <d v="2023-02-28T00:00:00"/>
    <n v="3"/>
    <b v="0"/>
    <d v="2025-06-05T00:00:00"/>
    <x v="1"/>
    <x v="1"/>
  </r>
  <r>
    <b v="1"/>
    <d v="1899-12-30T10:29:00"/>
    <d v="1899-12-30T11:18:00"/>
    <n v="49"/>
    <x v="1"/>
    <b v="1"/>
    <b v="0"/>
    <x v="0"/>
    <x v="0"/>
    <x v="0"/>
    <x v="0"/>
    <x v="0"/>
    <n v="0.05"/>
    <x v="0"/>
    <s v="All hours"/>
    <s v="Oakland, CA"/>
    <n v="37.804400000000001"/>
    <n v="-122.27119999999999"/>
    <d v="2023-09-01T00:00:00"/>
    <n v="4"/>
    <b v="1"/>
    <d v="2025-06-15T00:00:00"/>
    <x v="1"/>
    <x v="1"/>
  </r>
  <r>
    <b v="1"/>
    <d v="1899-12-30T08:33:00"/>
    <d v="1899-12-30T10:13:00"/>
    <n v="100"/>
    <x v="1"/>
    <b v="1"/>
    <b v="1"/>
    <x v="0"/>
    <x v="0"/>
    <x v="0"/>
    <x v="0"/>
    <x v="3"/>
    <n v="0.15"/>
    <x v="27"/>
    <s v="All hours"/>
    <s v="Sacramento, CA"/>
    <n v="38.581600000000002"/>
    <n v="-121.4944"/>
    <d v="2023-12-02T00:00:00"/>
    <n v="1"/>
    <b v="0"/>
    <d v="2025-06-20T00:00:00"/>
    <x v="0"/>
    <x v="0"/>
  </r>
  <r>
    <b v="1"/>
    <d v="1899-12-30T17:33:00"/>
    <d v="1899-12-30T19:16:00"/>
    <n v="103"/>
    <x v="0"/>
    <b v="0"/>
    <b v="1"/>
    <x v="4"/>
    <x v="1"/>
    <x v="1"/>
    <x v="4"/>
    <x v="0"/>
    <n v="0.05"/>
    <x v="11"/>
    <s v="Weekdays only"/>
    <s v="Bakersfield, CA"/>
    <n v="35.3733"/>
    <n v="-119.0187"/>
    <d v="2022-11-14T00:00:00"/>
    <n v="0"/>
    <b v="0"/>
    <d v="2025-05-30T00:00:00"/>
    <x v="1"/>
    <x v="1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3-03-06T00:00:00"/>
    <n v="1"/>
    <b v="0"/>
    <d v="2025-06-05T00:00:00"/>
    <x v="3"/>
    <x v="3"/>
  </r>
  <r>
    <b v="1"/>
    <d v="1899-12-30T20:15:00"/>
    <d v="1899-12-30T22:05:00"/>
    <n v="110"/>
    <x v="0"/>
    <b v="0"/>
    <b v="1"/>
    <x v="2"/>
    <x v="0"/>
    <x v="0"/>
    <x v="0"/>
    <x v="3"/>
    <n v="0.15"/>
    <x v="27"/>
    <s v="All hours"/>
    <s v="Fresno, CA"/>
    <n v="36.7378"/>
    <n v="-119.7871"/>
    <d v="2025-01-12T00:00:00"/>
    <n v="0"/>
    <b v="1"/>
    <d v="2025-07-13T00:00:00"/>
    <x v="3"/>
    <x v="3"/>
  </r>
  <r>
    <b v="1"/>
    <d v="1899-12-30T08:39:00"/>
    <d v="1899-12-30T09:38:00"/>
    <n v="59"/>
    <x v="1"/>
    <b v="1"/>
    <b v="1"/>
    <x v="3"/>
    <x v="0"/>
    <x v="1"/>
    <x v="6"/>
    <x v="2"/>
    <n v="0.1"/>
    <x v="30"/>
    <s v="All hours"/>
    <s v="San Diego, CA"/>
    <n v="32.715699999999998"/>
    <n v="-117.1611"/>
    <d v="2024-07-26T00:00:00"/>
    <n v="8"/>
    <b v="1"/>
    <d v="2025-07-04T00:00:00"/>
    <x v="0"/>
    <x v="0"/>
  </r>
  <r>
    <b v="1"/>
    <d v="1899-12-30T17:37:00"/>
    <d v="1899-12-30T19:57:00"/>
    <n v="140"/>
    <x v="1"/>
    <b v="1"/>
    <b v="1"/>
    <x v="3"/>
    <x v="0"/>
    <x v="1"/>
    <x v="6"/>
    <x v="0"/>
    <n v="0.05"/>
    <x v="10"/>
    <s v="All hours"/>
    <s v="San Francisco, CA"/>
    <n v="37.774900000000002"/>
    <n v="-122.4194"/>
    <d v="2024-10-01T00:00:00"/>
    <n v="8"/>
    <b v="1"/>
    <d v="2025-07-08T00:00:00"/>
    <x v="3"/>
    <x v="3"/>
  </r>
  <r>
    <b v="0"/>
    <d v="1899-12-30T10:28:00"/>
    <d v="1899-12-30T13:25:00"/>
    <n v="177"/>
    <x v="0"/>
    <b v="0"/>
    <b v="1"/>
    <x v="4"/>
    <x v="2"/>
    <x v="1"/>
    <x v="5"/>
    <x v="3"/>
    <n v="0.15"/>
    <x v="13"/>
    <s v="Off-peak only"/>
    <s v="San Francisco, CA"/>
    <n v="37.774900000000002"/>
    <n v="-122.4194"/>
    <d v="2023-04-22T00:00:00"/>
    <n v="0"/>
    <b v="0"/>
    <d v="2025-06-08T00:00:00"/>
    <x v="0"/>
    <x v="0"/>
  </r>
  <r>
    <b v="1"/>
    <d v="1899-12-30T11:51:00"/>
    <d v="1899-12-30T13:57:00"/>
    <n v="126"/>
    <x v="1"/>
    <b v="0"/>
    <b v="0"/>
    <x v="4"/>
    <x v="1"/>
    <x v="0"/>
    <x v="1"/>
    <x v="1"/>
    <n v="0"/>
    <x v="1"/>
    <s v="Weekdays only"/>
    <s v="San Diego, CA"/>
    <n v="32.715699999999998"/>
    <n v="-117.1611"/>
    <d v="2025-05-18T00:00:00"/>
    <n v="0"/>
    <b v="1"/>
    <d v="2025-07-20T00:00:00"/>
    <x v="1"/>
    <x v="1"/>
  </r>
  <r>
    <b v="1"/>
    <d v="1899-12-30T17:29:00"/>
    <d v="1899-12-30T19:06:00"/>
    <n v="97"/>
    <x v="1"/>
    <b v="0"/>
    <b v="0"/>
    <x v="4"/>
    <x v="0"/>
    <x v="0"/>
    <x v="0"/>
    <x v="0"/>
    <n v="0.05"/>
    <x v="0"/>
    <s v="All hours"/>
    <s v="Long Beach, CA"/>
    <n v="33.770099999999999"/>
    <n v="-118.19370000000001"/>
    <d v="2023-10-25T00:00:00"/>
    <n v="0"/>
    <b v="0"/>
    <d v="2025-06-18T00:00:00"/>
    <x v="3"/>
    <x v="3"/>
  </r>
  <r>
    <b v="0"/>
    <d v="1899-12-30T11:10:00"/>
    <d v="1899-12-30T11:44:00"/>
    <n v="34"/>
    <x v="0"/>
    <b v="0"/>
    <b v="1"/>
    <x v="1"/>
    <x v="2"/>
    <x v="1"/>
    <x v="5"/>
    <x v="1"/>
    <n v="0"/>
    <x v="14"/>
    <s v="Off-peak only"/>
    <s v="San Jose, CA"/>
    <n v="37.338200000000001"/>
    <n v="-121.88630000000001"/>
    <d v="2023-04-02T00:00:00"/>
    <n v="0"/>
    <b v="0"/>
    <d v="2025-06-07T00:00:00"/>
    <x v="0"/>
    <x v="0"/>
  </r>
  <r>
    <b v="1"/>
    <d v="1899-12-30T18:02:00"/>
    <d v="1899-12-30T18:44:00"/>
    <n v="42"/>
    <x v="1"/>
    <b v="0"/>
    <b v="0"/>
    <x v="1"/>
    <x v="2"/>
    <x v="0"/>
    <x v="2"/>
    <x v="3"/>
    <n v="0.15"/>
    <x v="17"/>
    <s v="Off-peak only"/>
    <s v="Anaheim, CA"/>
    <n v="33.836599999999997"/>
    <n v="-117.9143"/>
    <d v="2022-12-02T00:00:00"/>
    <n v="0"/>
    <b v="0"/>
    <d v="2025-05-31T00:00:00"/>
    <x v="0"/>
    <x v="0"/>
  </r>
  <r>
    <b v="0"/>
    <d v="1899-12-30T10:31:00"/>
    <d v="1899-12-30T12:28:00"/>
    <n v="117"/>
    <x v="1"/>
    <b v="1"/>
    <b v="0"/>
    <x v="4"/>
    <x v="2"/>
    <x v="0"/>
    <x v="2"/>
    <x v="3"/>
    <n v="0.15"/>
    <x v="17"/>
    <s v="Off-peak only"/>
    <s v="Long Beach, CA"/>
    <n v="33.770099999999999"/>
    <n v="-118.19370000000001"/>
    <d v="2024-06-23T00:00:00"/>
    <n v="6"/>
    <b v="1"/>
    <d v="2025-07-02T00:00:00"/>
    <x v="0"/>
    <x v="0"/>
  </r>
  <r>
    <b v="1"/>
    <d v="1899-12-30T20:56:00"/>
    <d v="1899-12-30T23:36:00"/>
    <n v="160"/>
    <x v="1"/>
    <b v="1"/>
    <b v="0"/>
    <x v="0"/>
    <x v="3"/>
    <x v="2"/>
    <x v="9"/>
    <x v="3"/>
    <n v="0.15"/>
    <x v="19"/>
    <s v="All hours + Priority access"/>
    <s v="Sacramento, CA"/>
    <n v="38.581600000000002"/>
    <n v="-121.4944"/>
    <d v="2023-01-30T00:00:00"/>
    <n v="2"/>
    <b v="1"/>
    <d v="2025-06-03T00:00:00"/>
    <x v="2"/>
    <x v="4"/>
  </r>
  <r>
    <b v="1"/>
    <d v="1899-12-30T10:23:00"/>
    <d v="1899-12-30T12:29:00"/>
    <n v="126"/>
    <x v="1"/>
    <b v="1"/>
    <b v="0"/>
    <x v="3"/>
    <x v="2"/>
    <x v="0"/>
    <x v="2"/>
    <x v="2"/>
    <n v="0.1"/>
    <x v="6"/>
    <s v="Off-peak only"/>
    <s v="San Diego, CA"/>
    <n v="32.715699999999998"/>
    <n v="-117.1611"/>
    <d v="2025-02-25T00:00:00"/>
    <n v="6"/>
    <b v="0"/>
    <d v="2025-07-16T00:00:00"/>
    <x v="3"/>
    <x v="3"/>
  </r>
  <r>
    <b v="0"/>
    <d v="1899-12-30T15:15:00"/>
    <d v="1899-12-30T15:46:00"/>
    <n v="31"/>
    <x v="1"/>
    <b v="1"/>
    <b v="0"/>
    <x v="4"/>
    <x v="2"/>
    <x v="0"/>
    <x v="2"/>
    <x v="0"/>
    <n v="0.05"/>
    <x v="18"/>
    <s v="Off-peak only"/>
    <s v="Los Angeles, CA"/>
    <n v="34.052199999999999"/>
    <n v="-118.2437"/>
    <d v="2023-01-03T00:00:00"/>
    <n v="7"/>
    <b v="0"/>
    <d v="2025-06-02T00:00:00"/>
    <x v="2"/>
    <x v="2"/>
  </r>
  <r>
    <b v="1"/>
    <d v="1899-12-30T20:01:00"/>
    <d v="1899-12-30T22:34:00"/>
    <n v="153"/>
    <x v="0"/>
    <b v="1"/>
    <b v="0"/>
    <x v="4"/>
    <x v="2"/>
    <x v="0"/>
    <x v="2"/>
    <x v="1"/>
    <n v="0"/>
    <x v="3"/>
    <s v="Off-peak only"/>
    <s v="Oakland, CA"/>
    <n v="37.804400000000001"/>
    <n v="-122.27119999999999"/>
    <d v="2025-02-07T00:00:00"/>
    <n v="6"/>
    <b v="1"/>
    <d v="2025-07-15T00:00:00"/>
    <x v="0"/>
    <x v="0"/>
  </r>
  <r>
    <b v="0"/>
    <d v="1899-12-30T20:16:00"/>
    <d v="1899-12-30T21:52:00"/>
    <n v="96"/>
    <x v="1"/>
    <b v="1"/>
    <b v="0"/>
    <x v="0"/>
    <x v="0"/>
    <x v="0"/>
    <x v="0"/>
    <x v="1"/>
    <n v="0"/>
    <x v="5"/>
    <s v="All hours"/>
    <s v="Bakersfield, CA"/>
    <n v="35.3733"/>
    <n v="-119.0187"/>
    <d v="2024-04-25T00:00:00"/>
    <n v="8"/>
    <b v="1"/>
    <d v="2025-06-29T00:00:00"/>
    <x v="3"/>
    <x v="3"/>
  </r>
  <r>
    <b v="1"/>
    <d v="1899-12-30T10:01:00"/>
    <d v="1899-12-30T12:48:00"/>
    <n v="167"/>
    <x v="1"/>
    <b v="1"/>
    <b v="1"/>
    <x v="4"/>
    <x v="3"/>
    <x v="0"/>
    <x v="3"/>
    <x v="1"/>
    <n v="0"/>
    <x v="4"/>
    <s v="All hours + Priority access"/>
    <s v="Fresno, CA"/>
    <n v="36.7378"/>
    <n v="-119.7871"/>
    <d v="2023-02-24T00:00:00"/>
    <n v="1"/>
    <b v="0"/>
    <d v="2025-06-05T00:00:00"/>
    <x v="1"/>
    <x v="1"/>
  </r>
  <r>
    <b v="1"/>
    <d v="1899-12-30T09:26:00"/>
    <d v="1899-12-30T10:35:00"/>
    <n v="69"/>
    <x v="0"/>
    <b v="0"/>
    <b v="0"/>
    <x v="2"/>
    <x v="3"/>
    <x v="0"/>
    <x v="3"/>
    <x v="1"/>
    <n v="0"/>
    <x v="4"/>
    <s v="All hours + Priority access"/>
    <s v="San Diego, CA"/>
    <n v="32.715699999999998"/>
    <n v="-117.1611"/>
    <d v="2025-01-14T00:00:00"/>
    <n v="0"/>
    <b v="1"/>
    <d v="2025-07-14T00:00:00"/>
    <x v="3"/>
    <x v="3"/>
  </r>
  <r>
    <b v="0"/>
    <d v="1899-12-30T09:46:00"/>
    <d v="1899-12-30T12:17:00"/>
    <n v="151"/>
    <x v="0"/>
    <b v="0"/>
    <b v="0"/>
    <x v="0"/>
    <x v="0"/>
    <x v="2"/>
    <x v="10"/>
    <x v="1"/>
    <n v="0"/>
    <x v="16"/>
    <s v="All hours"/>
    <s v="Bakersfield, CA"/>
    <n v="35.3733"/>
    <n v="-119.0187"/>
    <d v="2024-10-21T00:00:00"/>
    <n v="0"/>
    <b v="1"/>
    <d v="2025-07-09T00:00:00"/>
    <x v="1"/>
    <x v="1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3-05-15T00:00:00"/>
    <n v="3"/>
    <b v="0"/>
    <d v="2025-06-09T00:00:00"/>
    <x v="2"/>
    <x v="4"/>
  </r>
  <r>
    <b v="1"/>
    <d v="1899-12-30T11:47:00"/>
    <d v="1899-12-30T14:10:00"/>
    <n v="143"/>
    <x v="1"/>
    <b v="1"/>
    <b v="1"/>
    <x v="3"/>
    <x v="0"/>
    <x v="0"/>
    <x v="0"/>
    <x v="1"/>
    <n v="0"/>
    <x v="5"/>
    <s v="All hours"/>
    <s v="San Diego, CA"/>
    <n v="32.715699999999998"/>
    <n v="-117.1611"/>
    <d v="2023-05-18T00:00:00"/>
    <n v="6"/>
    <b v="1"/>
    <d v="2025-06-09T00:00:00"/>
    <x v="3"/>
    <x v="3"/>
  </r>
  <r>
    <b v="0"/>
    <d v="1899-12-30T15:28:00"/>
    <d v="1899-12-30T17:58:00"/>
    <n v="150"/>
    <x v="1"/>
    <b v="0"/>
    <b v="1"/>
    <x v="4"/>
    <x v="1"/>
    <x v="2"/>
    <x v="8"/>
    <x v="3"/>
    <n v="0.15"/>
    <x v="24"/>
    <s v="Weekdays only"/>
    <s v="Fresno, CA"/>
    <n v="36.7378"/>
    <n v="-119.7871"/>
    <d v="2023-08-10T00:00:00"/>
    <n v="0"/>
    <b v="0"/>
    <d v="2025-06-14T00:00:00"/>
    <x v="3"/>
    <x v="3"/>
  </r>
  <r>
    <b v="0"/>
    <d v="1899-12-30T09:56:00"/>
    <d v="1899-12-30T11:39:00"/>
    <n v="103"/>
    <x v="0"/>
    <b v="1"/>
    <b v="1"/>
    <x v="2"/>
    <x v="1"/>
    <x v="0"/>
    <x v="1"/>
    <x v="3"/>
    <n v="0.15"/>
    <x v="15"/>
    <s v="Weekdays only"/>
    <s v="Long Beach, CA"/>
    <n v="33.770099999999999"/>
    <n v="-118.19370000000001"/>
    <d v="2023-06-14T00:00:00"/>
    <n v="3"/>
    <b v="1"/>
    <d v="2025-06-11T00:00:00"/>
    <x v="0"/>
    <x v="0"/>
  </r>
  <r>
    <b v="1"/>
    <d v="1899-12-30T18:52:00"/>
    <d v="1899-12-30T19:42:00"/>
    <n v="50"/>
    <x v="1"/>
    <b v="0"/>
    <b v="1"/>
    <x v="0"/>
    <x v="0"/>
    <x v="1"/>
    <x v="6"/>
    <x v="1"/>
    <n v="0"/>
    <x v="12"/>
    <s v="All hours"/>
    <s v="Los Angeles, CA"/>
    <n v="34.052199999999999"/>
    <n v="-118.2437"/>
    <d v="2023-11-22T00:00:00"/>
    <n v="0"/>
    <b v="1"/>
    <d v="2025-06-20T00:00:00"/>
    <x v="0"/>
    <x v="0"/>
  </r>
  <r>
    <b v="0"/>
    <d v="1899-12-30T09:13:00"/>
    <d v="1899-12-30T11:37:00"/>
    <n v="144"/>
    <x v="0"/>
    <b v="0"/>
    <b v="0"/>
    <x v="4"/>
    <x v="1"/>
    <x v="2"/>
    <x v="8"/>
    <x v="2"/>
    <n v="0.1"/>
    <x v="33"/>
    <s v="Weekdays only"/>
    <s v="San Francisco, CA"/>
    <n v="37.774900000000002"/>
    <n v="-122.4194"/>
    <d v="2024-09-27T00:00:00"/>
    <n v="0"/>
    <b v="0"/>
    <d v="2025-07-07T00:00:00"/>
    <x v="3"/>
    <x v="3"/>
  </r>
  <r>
    <b v="0"/>
    <d v="1899-12-30T11:21:00"/>
    <d v="1899-12-30T12:46:00"/>
    <n v="85"/>
    <x v="0"/>
    <b v="0"/>
    <b v="1"/>
    <x v="0"/>
    <x v="1"/>
    <x v="1"/>
    <x v="4"/>
    <x v="1"/>
    <n v="0"/>
    <x v="8"/>
    <s v="Weekdays only"/>
    <s v="Long Beach, CA"/>
    <n v="33.770099999999999"/>
    <n v="-118.19370000000001"/>
    <d v="2024-06-19T00:00:00"/>
    <n v="0"/>
    <b v="0"/>
    <d v="2025-07-02T00:00:00"/>
    <x v="0"/>
    <x v="0"/>
  </r>
  <r>
    <b v="0"/>
    <d v="1899-12-30T19:43:00"/>
    <d v="1899-12-30T20:24:00"/>
    <n v="41"/>
    <x v="0"/>
    <b v="1"/>
    <b v="1"/>
    <x v="4"/>
    <x v="1"/>
    <x v="0"/>
    <x v="1"/>
    <x v="2"/>
    <n v="0.1"/>
    <x v="2"/>
    <s v="Weekdays only"/>
    <s v="Los Angeles, CA"/>
    <n v="34.052199999999999"/>
    <n v="-118.2437"/>
    <d v="2024-12-11T00:00:00"/>
    <n v="3"/>
    <b v="0"/>
    <d v="2025-07-12T00:00:00"/>
    <x v="0"/>
    <x v="0"/>
  </r>
  <r>
    <b v="1"/>
    <d v="1899-12-30T11:39:00"/>
    <d v="1899-12-30T13:24:00"/>
    <n v="105"/>
    <x v="0"/>
    <b v="0"/>
    <b v="0"/>
    <x v="2"/>
    <x v="2"/>
    <x v="0"/>
    <x v="2"/>
    <x v="3"/>
    <n v="0.15"/>
    <x v="17"/>
    <s v="Off-peak only"/>
    <s v="Oakland, CA"/>
    <n v="37.804400000000001"/>
    <n v="-122.27119999999999"/>
    <d v="2022-10-29T00:00:00"/>
    <n v="0"/>
    <b v="0"/>
    <d v="2025-05-29T00:00:00"/>
    <x v="3"/>
    <x v="3"/>
  </r>
  <r>
    <b v="1"/>
    <d v="1899-12-30T09:53:00"/>
    <d v="1899-12-30T12:49:00"/>
    <n v="176"/>
    <x v="0"/>
    <b v="1"/>
    <b v="1"/>
    <x v="0"/>
    <x v="0"/>
    <x v="0"/>
    <x v="0"/>
    <x v="3"/>
    <n v="0.15"/>
    <x v="27"/>
    <s v="All hours"/>
    <s v="Sacramento, CA"/>
    <n v="38.581600000000002"/>
    <n v="-121.4944"/>
    <d v="2023-10-10T00:00:00"/>
    <n v="2"/>
    <b v="1"/>
    <d v="2025-06-17T00:00:00"/>
    <x v="2"/>
    <x v="2"/>
  </r>
  <r>
    <b v="0"/>
    <d v="1899-12-30T09:38:00"/>
    <d v="1899-12-30T10:45:00"/>
    <n v="67"/>
    <x v="0"/>
    <b v="1"/>
    <b v="1"/>
    <x v="0"/>
    <x v="0"/>
    <x v="1"/>
    <x v="6"/>
    <x v="0"/>
    <n v="0.05"/>
    <x v="10"/>
    <s v="All hours"/>
    <s v="San Diego, CA"/>
    <n v="32.715699999999998"/>
    <n v="-117.1611"/>
    <d v="2024-04-22T00:00:00"/>
    <n v="3"/>
    <b v="1"/>
    <d v="2025-06-28T00:00:00"/>
    <x v="3"/>
    <x v="3"/>
  </r>
  <r>
    <b v="0"/>
    <d v="1899-12-30T15:47:00"/>
    <d v="1899-12-30T16:28:00"/>
    <n v="41"/>
    <x v="1"/>
    <b v="1"/>
    <b v="1"/>
    <x v="1"/>
    <x v="2"/>
    <x v="0"/>
    <x v="2"/>
    <x v="1"/>
    <n v="0"/>
    <x v="3"/>
    <s v="Off-peak only"/>
    <s v="Bakersfield, CA"/>
    <n v="35.3733"/>
    <n v="-119.0187"/>
    <d v="2024-02-16T00:00:00"/>
    <n v="1"/>
    <b v="0"/>
    <d v="2025-06-25T00:00:00"/>
    <x v="2"/>
    <x v="4"/>
  </r>
  <r>
    <b v="0"/>
    <d v="1899-12-30T09:47:00"/>
    <d v="1899-12-30T12:16:00"/>
    <n v="149"/>
    <x v="0"/>
    <b v="1"/>
    <b v="0"/>
    <x v="1"/>
    <x v="0"/>
    <x v="0"/>
    <x v="0"/>
    <x v="1"/>
    <n v="0"/>
    <x v="5"/>
    <s v="All hours"/>
    <s v="Anaheim, CA"/>
    <n v="33.836599999999997"/>
    <n v="-117.9143"/>
    <d v="2022-09-18T00:00:00"/>
    <n v="4"/>
    <b v="1"/>
    <d v="2025-05-27T00:00:00"/>
    <x v="2"/>
    <x v="4"/>
  </r>
  <r>
    <b v="1"/>
    <d v="1899-12-30T08:38:00"/>
    <d v="1899-12-30T10:08:00"/>
    <n v="90"/>
    <x v="0"/>
    <b v="1"/>
    <b v="1"/>
    <x v="3"/>
    <x v="1"/>
    <x v="0"/>
    <x v="1"/>
    <x v="1"/>
    <n v="0"/>
    <x v="1"/>
    <s v="Weekdays only"/>
    <s v="San Francisco, CA"/>
    <n v="37.774900000000002"/>
    <n v="-122.4194"/>
    <d v="2025-01-10T00:00:00"/>
    <n v="4"/>
    <b v="1"/>
    <d v="2025-07-13T00:00:00"/>
    <x v="1"/>
    <x v="1"/>
  </r>
  <r>
    <b v="1"/>
    <d v="1899-12-30T19:06:00"/>
    <d v="1899-12-30T19:43:00"/>
    <n v="37"/>
    <x v="0"/>
    <b v="1"/>
    <b v="1"/>
    <x v="1"/>
    <x v="2"/>
    <x v="0"/>
    <x v="2"/>
    <x v="1"/>
    <n v="0"/>
    <x v="3"/>
    <s v="Off-peak only"/>
    <s v="San Francisco, CA"/>
    <n v="37.774900000000002"/>
    <n v="-122.4194"/>
    <d v="2023-10-07T00:00:00"/>
    <n v="5"/>
    <b v="0"/>
    <d v="2025-06-17T00:00:00"/>
    <x v="0"/>
    <x v="0"/>
  </r>
  <r>
    <b v="1"/>
    <d v="1899-12-30T09:21:00"/>
    <d v="1899-12-30T11:31:00"/>
    <n v="130"/>
    <x v="1"/>
    <b v="1"/>
    <b v="1"/>
    <x v="2"/>
    <x v="2"/>
    <x v="0"/>
    <x v="2"/>
    <x v="3"/>
    <n v="0.15"/>
    <x v="17"/>
    <s v="Off-peak only"/>
    <s v="Los Angeles, CA"/>
    <n v="34.052199999999999"/>
    <n v="-118.2437"/>
    <d v="2024-01-01T00:00:00"/>
    <n v="7"/>
    <b v="0"/>
    <d v="2025-06-22T00:00:00"/>
    <x v="1"/>
    <x v="1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3-09-10T00:00:00"/>
    <n v="6"/>
    <b v="1"/>
    <d v="2025-06-16T00:00:00"/>
    <x v="2"/>
    <x v="2"/>
  </r>
  <r>
    <b v="1"/>
    <d v="1899-12-30T09:08:00"/>
    <d v="1899-12-30T11:19:00"/>
    <n v="131"/>
    <x v="1"/>
    <b v="1"/>
    <b v="0"/>
    <x v="4"/>
    <x v="0"/>
    <x v="0"/>
    <x v="0"/>
    <x v="3"/>
    <n v="0.15"/>
    <x v="27"/>
    <s v="All hours"/>
    <s v="Anaheim, CA"/>
    <n v="33.836599999999997"/>
    <n v="-117.9143"/>
    <d v="2025-06-03T00:00:00"/>
    <n v="7"/>
    <b v="1"/>
    <d v="2025-07-21T00:00:00"/>
    <x v="1"/>
    <x v="1"/>
  </r>
  <r>
    <b v="1"/>
    <d v="1899-12-30T10:17:00"/>
    <d v="1899-12-30T12:00:00"/>
    <n v="103"/>
    <x v="0"/>
    <b v="1"/>
    <b v="0"/>
    <x v="4"/>
    <x v="3"/>
    <x v="1"/>
    <x v="11"/>
    <x v="1"/>
    <n v="0"/>
    <x v="38"/>
    <s v="All hours + Priority access"/>
    <s v="Long Beach, CA"/>
    <n v="33.770099999999999"/>
    <n v="-118.19370000000001"/>
    <d v="2022-12-07T00:00:00"/>
    <n v="1"/>
    <b v="1"/>
    <d v="2025-05-31T00:00:00"/>
    <x v="0"/>
    <x v="0"/>
  </r>
  <r>
    <b v="0"/>
    <d v="1899-12-30T08:54:00"/>
    <d v="1899-12-30T10:19:00"/>
    <n v="85"/>
    <x v="0"/>
    <b v="1"/>
    <b v="1"/>
    <x v="4"/>
    <x v="3"/>
    <x v="1"/>
    <x v="11"/>
    <x v="0"/>
    <n v="0.05"/>
    <x v="36"/>
    <s v="All hours + Priority access"/>
    <s v="Bakersfield, CA"/>
    <n v="35.3733"/>
    <n v="-119.0187"/>
    <d v="2022-10-04T00:00:00"/>
    <n v="3"/>
    <b v="1"/>
    <d v="2025-05-28T00:00:00"/>
    <x v="0"/>
    <x v="0"/>
  </r>
  <r>
    <b v="0"/>
    <d v="1899-12-30T14:30:00"/>
    <d v="1899-12-30T16:14:00"/>
    <n v="104"/>
    <x v="0"/>
    <b v="1"/>
    <b v="0"/>
    <x v="4"/>
    <x v="0"/>
    <x v="2"/>
    <x v="10"/>
    <x v="2"/>
    <n v="0.1"/>
    <x v="34"/>
    <s v="All hours"/>
    <s v="Sacramento, CA"/>
    <n v="38.581600000000002"/>
    <n v="-121.4944"/>
    <d v="2023-10-30T00:00:00"/>
    <n v="4"/>
    <b v="1"/>
    <d v="2025-06-19T00:00:00"/>
    <x v="1"/>
    <x v="1"/>
  </r>
  <r>
    <b v="1"/>
    <d v="1899-12-30T08:17:00"/>
    <d v="1899-12-30T10:38:00"/>
    <n v="141"/>
    <x v="0"/>
    <b v="0"/>
    <b v="1"/>
    <x v="1"/>
    <x v="0"/>
    <x v="1"/>
    <x v="6"/>
    <x v="1"/>
    <n v="0"/>
    <x v="12"/>
    <s v="All hours"/>
    <s v="Anaheim, CA"/>
    <n v="33.836599999999997"/>
    <n v="-117.9143"/>
    <d v="2023-06-12T00:00:00"/>
    <n v="0"/>
    <b v="1"/>
    <d v="2025-06-11T00:00:00"/>
    <x v="1"/>
    <x v="1"/>
  </r>
  <r>
    <b v="1"/>
    <d v="1899-12-30T14:20:00"/>
    <d v="1899-12-30T17:01:00"/>
    <n v="161"/>
    <x v="0"/>
    <b v="0"/>
    <b v="0"/>
    <x v="1"/>
    <x v="2"/>
    <x v="0"/>
    <x v="2"/>
    <x v="1"/>
    <n v="0"/>
    <x v="3"/>
    <s v="Off-peak only"/>
    <s v="Anaheim, CA"/>
    <n v="33.836599999999997"/>
    <n v="-117.9143"/>
    <d v="2022-10-14T00:00:00"/>
    <n v="0"/>
    <b v="0"/>
    <d v="2025-05-28T00:00:00"/>
    <x v="2"/>
    <x v="4"/>
  </r>
  <r>
    <b v="1"/>
    <d v="1899-12-30T16:31:00"/>
    <d v="1899-12-30T18:39:00"/>
    <n v="128"/>
    <x v="0"/>
    <b v="0"/>
    <b v="0"/>
    <x v="4"/>
    <x v="1"/>
    <x v="0"/>
    <x v="1"/>
    <x v="1"/>
    <n v="0"/>
    <x v="1"/>
    <s v="Weekdays only"/>
    <s v="Bakersfield, CA"/>
    <n v="35.3733"/>
    <n v="-119.0187"/>
    <d v="2023-05-31T00:00:00"/>
    <n v="0"/>
    <b v="1"/>
    <d v="2025-06-10T00:00:00"/>
    <x v="3"/>
    <x v="3"/>
  </r>
  <r>
    <b v="1"/>
    <d v="1899-12-30T19:08:00"/>
    <d v="1899-12-30T21:32:00"/>
    <n v="144"/>
    <x v="1"/>
    <b v="0"/>
    <b v="0"/>
    <x v="0"/>
    <x v="0"/>
    <x v="0"/>
    <x v="0"/>
    <x v="1"/>
    <n v="0"/>
    <x v="5"/>
    <s v="All hours"/>
    <s v="San Diego, CA"/>
    <n v="32.715699999999998"/>
    <n v="-117.1611"/>
    <d v="2025-01-11T00:00:00"/>
    <n v="0"/>
    <b v="0"/>
    <d v="2025-07-13T00:00:00"/>
    <x v="2"/>
    <x v="2"/>
  </r>
  <r>
    <b v="1"/>
    <d v="1899-12-30T20:39:00"/>
    <d v="1899-12-30T22:09:00"/>
    <n v="90"/>
    <x v="0"/>
    <b v="1"/>
    <b v="0"/>
    <x v="4"/>
    <x v="0"/>
    <x v="0"/>
    <x v="0"/>
    <x v="1"/>
    <n v="0"/>
    <x v="5"/>
    <s v="All hours"/>
    <s v="Fresno, CA"/>
    <n v="36.7378"/>
    <n v="-119.7871"/>
    <d v="2023-10-18T00:00:00"/>
    <n v="7"/>
    <b v="1"/>
    <d v="2025-06-18T00:00:00"/>
    <x v="3"/>
    <x v="3"/>
  </r>
  <r>
    <b v="1"/>
    <d v="1899-12-30T13:20:00"/>
    <d v="1899-12-30T14:26:00"/>
    <n v="66"/>
    <x v="0"/>
    <b v="1"/>
    <b v="1"/>
    <x v="1"/>
    <x v="0"/>
    <x v="0"/>
    <x v="0"/>
    <x v="1"/>
    <n v="0"/>
    <x v="5"/>
    <s v="All hours"/>
    <s v="Sacramento, CA"/>
    <n v="38.581600000000002"/>
    <n v="-121.4944"/>
    <d v="2023-09-15T00:00:00"/>
    <n v="1"/>
    <b v="1"/>
    <d v="2025-06-16T00:00:00"/>
    <x v="0"/>
    <x v="0"/>
  </r>
  <r>
    <b v="1"/>
    <d v="1899-12-30T16:21:00"/>
    <d v="1899-12-30T17:38:00"/>
    <n v="77"/>
    <x v="0"/>
    <b v="1"/>
    <b v="0"/>
    <x v="4"/>
    <x v="0"/>
    <x v="0"/>
    <x v="0"/>
    <x v="2"/>
    <n v="0.1"/>
    <x v="16"/>
    <s v="All hours"/>
    <s v="San Diego, CA"/>
    <n v="32.715699999999998"/>
    <n v="-117.1611"/>
    <d v="2024-03-28T00:00:00"/>
    <n v="4"/>
    <b v="1"/>
    <d v="2025-06-27T00:00:00"/>
    <x v="2"/>
    <x v="2"/>
  </r>
  <r>
    <b v="0"/>
    <d v="1899-12-30T10:16:00"/>
    <d v="1899-12-30T13:07:00"/>
    <n v="171"/>
    <x v="1"/>
    <b v="0"/>
    <b v="1"/>
    <x v="4"/>
    <x v="0"/>
    <x v="0"/>
    <x v="0"/>
    <x v="2"/>
    <n v="0.1"/>
    <x v="16"/>
    <s v="All hours"/>
    <s v="Fresno, CA"/>
    <n v="36.7378"/>
    <n v="-119.7871"/>
    <d v="2023-04-30T00:00:00"/>
    <n v="0"/>
    <b v="1"/>
    <d v="2025-06-08T00:00:00"/>
    <x v="1"/>
    <x v="1"/>
  </r>
  <r>
    <b v="0"/>
    <d v="1899-12-30T12:10:00"/>
    <d v="1899-12-30T13:42:00"/>
    <n v="92"/>
    <x v="1"/>
    <b v="0"/>
    <b v="1"/>
    <x v="0"/>
    <x v="3"/>
    <x v="0"/>
    <x v="3"/>
    <x v="3"/>
    <n v="0.15"/>
    <x v="40"/>
    <s v="All hours + Priority access"/>
    <s v="Oakland, CA"/>
    <n v="37.804400000000001"/>
    <n v="-122.27119999999999"/>
    <d v="2022-10-01T00:00:00"/>
    <n v="0"/>
    <b v="1"/>
    <d v="2025-05-27T00:00:00"/>
    <x v="2"/>
    <x v="4"/>
  </r>
  <r>
    <b v="0"/>
    <d v="1899-12-30T15:32:00"/>
    <d v="1899-12-30T16:25:00"/>
    <n v="53"/>
    <x v="1"/>
    <b v="1"/>
    <b v="1"/>
    <x v="0"/>
    <x v="1"/>
    <x v="0"/>
    <x v="1"/>
    <x v="2"/>
    <n v="0.1"/>
    <x v="2"/>
    <s v="Weekdays only"/>
    <s v="Fresno, CA"/>
    <n v="36.7378"/>
    <n v="-119.7871"/>
    <d v="2022-10-11T00:00:00"/>
    <n v="3"/>
    <b v="0"/>
    <d v="2025-05-28T00:00:00"/>
    <x v="0"/>
    <x v="0"/>
  </r>
  <r>
    <b v="1"/>
    <d v="1899-12-30T11:18:00"/>
    <d v="1899-12-30T14:06:00"/>
    <n v="168"/>
    <x v="1"/>
    <b v="1"/>
    <b v="1"/>
    <x v="0"/>
    <x v="2"/>
    <x v="1"/>
    <x v="5"/>
    <x v="2"/>
    <n v="0.1"/>
    <x v="20"/>
    <s v="Off-peak only"/>
    <s v="San Francisco, CA"/>
    <n v="37.774900000000002"/>
    <n v="-122.4194"/>
    <d v="2024-02-28T00:00:00"/>
    <n v="7"/>
    <b v="0"/>
    <d v="2025-06-25T00:00:00"/>
    <x v="0"/>
    <x v="0"/>
  </r>
  <r>
    <b v="0"/>
    <d v="1899-12-30T17:22:00"/>
    <d v="1899-12-30T19:32:00"/>
    <n v="130"/>
    <x v="1"/>
    <b v="0"/>
    <b v="0"/>
    <x v="1"/>
    <x v="0"/>
    <x v="0"/>
    <x v="0"/>
    <x v="3"/>
    <n v="0.15"/>
    <x v="27"/>
    <s v="All hours"/>
    <s v="Anaheim, CA"/>
    <n v="33.836599999999997"/>
    <n v="-117.9143"/>
    <d v="2025-02-22T00:00:00"/>
    <n v="0"/>
    <b v="0"/>
    <d v="2025-07-16T00:00:00"/>
    <x v="3"/>
    <x v="3"/>
  </r>
  <r>
    <b v="0"/>
    <d v="1899-12-30T12:50:00"/>
    <d v="1899-12-30T15:20:00"/>
    <n v="150"/>
    <x v="1"/>
    <b v="1"/>
    <b v="1"/>
    <x v="0"/>
    <x v="1"/>
    <x v="2"/>
    <x v="8"/>
    <x v="1"/>
    <n v="0"/>
    <x v="2"/>
    <s v="Weekdays only"/>
    <s v="San Francisco, CA"/>
    <n v="37.774900000000002"/>
    <n v="-122.4194"/>
    <d v="2022-08-09T00:00:00"/>
    <n v="4"/>
    <b v="0"/>
    <d v="2025-05-24T00:00:00"/>
    <x v="0"/>
    <x v="0"/>
  </r>
  <r>
    <b v="0"/>
    <d v="1899-12-30T14:01:00"/>
    <d v="1899-12-30T16:17:00"/>
    <n v="136"/>
    <x v="0"/>
    <b v="0"/>
    <b v="0"/>
    <x v="4"/>
    <x v="3"/>
    <x v="0"/>
    <x v="3"/>
    <x v="1"/>
    <n v="0"/>
    <x v="4"/>
    <s v="All hours + Priority access"/>
    <s v="Anaheim, CA"/>
    <n v="33.836599999999997"/>
    <n v="-117.9143"/>
    <d v="2023-01-11T00:00:00"/>
    <n v="0"/>
    <b v="1"/>
    <d v="2025-06-02T00:00:00"/>
    <x v="1"/>
    <x v="1"/>
  </r>
  <r>
    <b v="1"/>
    <d v="1899-12-30T17:52:00"/>
    <d v="1899-12-30T20:41:00"/>
    <n v="169"/>
    <x v="0"/>
    <b v="0"/>
    <b v="1"/>
    <x v="0"/>
    <x v="2"/>
    <x v="2"/>
    <x v="7"/>
    <x v="3"/>
    <n v="0.15"/>
    <x v="37"/>
    <s v="Off-peak only"/>
    <s v="Fresno, CA"/>
    <n v="36.7378"/>
    <n v="-119.7871"/>
    <d v="2025-02-10T00:00:00"/>
    <n v="0"/>
    <b v="0"/>
    <d v="2025-07-15T00:00:00"/>
    <x v="3"/>
    <x v="3"/>
  </r>
  <r>
    <b v="0"/>
    <d v="1899-12-30T11:30:00"/>
    <d v="1899-12-30T12:10:00"/>
    <n v="40"/>
    <x v="1"/>
    <b v="0"/>
    <b v="0"/>
    <x v="2"/>
    <x v="0"/>
    <x v="0"/>
    <x v="0"/>
    <x v="1"/>
    <n v="0"/>
    <x v="5"/>
    <s v="All hours"/>
    <s v="Bakersfield, CA"/>
    <n v="35.3733"/>
    <n v="-119.0187"/>
    <d v="2022-10-16T00:00:00"/>
    <n v="0"/>
    <b v="1"/>
    <d v="2025-05-28T00:00:00"/>
    <x v="1"/>
    <x v="1"/>
  </r>
  <r>
    <b v="1"/>
    <d v="1899-12-30T08:25:00"/>
    <d v="1899-12-30T10:08:00"/>
    <n v="103"/>
    <x v="0"/>
    <b v="1"/>
    <b v="1"/>
    <x v="0"/>
    <x v="3"/>
    <x v="0"/>
    <x v="3"/>
    <x v="2"/>
    <n v="0.1"/>
    <x v="22"/>
    <s v="All hours + Priority access"/>
    <s v="Oakland, CA"/>
    <n v="37.804400000000001"/>
    <n v="-122.27119999999999"/>
    <d v="2022-12-09T00:00:00"/>
    <n v="6"/>
    <b v="1"/>
    <d v="2025-05-31T00:00:00"/>
    <x v="2"/>
    <x v="4"/>
  </r>
  <r>
    <b v="1"/>
    <d v="1899-12-30T13:32:00"/>
    <d v="1899-12-30T16:19:00"/>
    <n v="167"/>
    <x v="0"/>
    <b v="0"/>
    <b v="0"/>
    <x v="0"/>
    <x v="2"/>
    <x v="1"/>
    <x v="5"/>
    <x v="3"/>
    <n v="0.15"/>
    <x v="13"/>
    <s v="Off-peak only"/>
    <s v="San Diego, CA"/>
    <n v="32.715699999999998"/>
    <n v="-117.1611"/>
    <d v="2023-12-18T00:00:00"/>
    <n v="0"/>
    <b v="1"/>
    <d v="2025-06-21T00:00:00"/>
    <x v="1"/>
    <x v="1"/>
  </r>
  <r>
    <b v="0"/>
    <d v="1899-12-30T18:35:00"/>
    <d v="1899-12-30T21:16:00"/>
    <n v="161"/>
    <x v="0"/>
    <b v="1"/>
    <b v="1"/>
    <x v="2"/>
    <x v="2"/>
    <x v="0"/>
    <x v="2"/>
    <x v="3"/>
    <n v="0.15"/>
    <x v="17"/>
    <s v="Off-peak only"/>
    <s v="San Francisco, CA"/>
    <n v="37.774900000000002"/>
    <n v="-122.4194"/>
    <d v="2023-10-02T00:00:00"/>
    <n v="8"/>
    <b v="1"/>
    <d v="2025-06-17T00:00:00"/>
    <x v="0"/>
    <x v="0"/>
  </r>
  <r>
    <b v="1"/>
    <d v="1899-12-30T14:47:00"/>
    <d v="1899-12-30T16:49:00"/>
    <n v="122"/>
    <x v="1"/>
    <b v="0"/>
    <b v="0"/>
    <x v="4"/>
    <x v="3"/>
    <x v="1"/>
    <x v="11"/>
    <x v="1"/>
    <n v="0"/>
    <x v="38"/>
    <s v="All hours + Priority access"/>
    <s v="Los Angeles, CA"/>
    <n v="34.052199999999999"/>
    <n v="-118.2437"/>
    <d v="2024-04-24T00:00:00"/>
    <n v="0"/>
    <b v="0"/>
    <d v="2025-06-29T00:00:00"/>
    <x v="1"/>
    <x v="1"/>
  </r>
  <r>
    <b v="1"/>
    <d v="1899-12-30T19:30:00"/>
    <d v="1899-12-30T22:04:00"/>
    <n v="154"/>
    <x v="0"/>
    <b v="0"/>
    <b v="0"/>
    <x v="2"/>
    <x v="2"/>
    <x v="1"/>
    <x v="5"/>
    <x v="2"/>
    <n v="0.1"/>
    <x v="20"/>
    <s v="Off-peak only"/>
    <s v="Oakland, CA"/>
    <n v="37.804400000000001"/>
    <n v="-122.27119999999999"/>
    <d v="2025-04-25T00:00:00"/>
    <n v="0"/>
    <b v="0"/>
    <d v="2025-07-19T00:00:00"/>
    <x v="0"/>
    <x v="0"/>
  </r>
  <r>
    <b v="1"/>
    <d v="1899-12-30T18:32:00"/>
    <d v="1899-12-30T19:28:00"/>
    <n v="56"/>
    <x v="1"/>
    <b v="0"/>
    <b v="1"/>
    <x v="0"/>
    <x v="0"/>
    <x v="0"/>
    <x v="0"/>
    <x v="2"/>
    <n v="0.1"/>
    <x v="16"/>
    <s v="All hours"/>
    <s v="San Jose, CA"/>
    <n v="37.338200000000001"/>
    <n v="-121.88630000000001"/>
    <d v="2024-07-01T00:00:00"/>
    <n v="0"/>
    <b v="0"/>
    <d v="2025-07-02T00:00:00"/>
    <x v="2"/>
    <x v="4"/>
  </r>
  <r>
    <b v="0"/>
    <d v="1899-12-30T12:10:00"/>
    <d v="1899-12-30T12:42:00"/>
    <n v="32"/>
    <x v="1"/>
    <b v="1"/>
    <b v="0"/>
    <x v="0"/>
    <x v="2"/>
    <x v="1"/>
    <x v="5"/>
    <x v="1"/>
    <n v="0"/>
    <x v="14"/>
    <s v="Off-peak only"/>
    <s v="Oakland, CA"/>
    <n v="37.804400000000001"/>
    <n v="-122.27119999999999"/>
    <d v="2023-02-18T00:00:00"/>
    <n v="6"/>
    <b v="0"/>
    <d v="2025-06-04T00:00:00"/>
    <x v="1"/>
    <x v="1"/>
  </r>
  <r>
    <b v="0"/>
    <d v="1899-12-30T17:53:00"/>
    <d v="1899-12-30T20:14:00"/>
    <n v="141"/>
    <x v="0"/>
    <b v="0"/>
    <b v="1"/>
    <x v="1"/>
    <x v="0"/>
    <x v="1"/>
    <x v="6"/>
    <x v="2"/>
    <n v="0.1"/>
    <x v="30"/>
    <s v="All hours"/>
    <s v="Long Beach, CA"/>
    <n v="33.770099999999999"/>
    <n v="-118.19370000000001"/>
    <d v="2025-06-18T00:00:00"/>
    <n v="0"/>
    <b v="1"/>
    <d v="2025-07-22T00:00:00"/>
    <x v="1"/>
    <x v="1"/>
  </r>
  <r>
    <b v="1"/>
    <d v="1899-12-30T09:39:00"/>
    <d v="1899-12-30T11:08:00"/>
    <n v="89"/>
    <x v="0"/>
    <b v="0"/>
    <b v="1"/>
    <x v="0"/>
    <x v="0"/>
    <x v="0"/>
    <x v="0"/>
    <x v="1"/>
    <n v="0"/>
    <x v="5"/>
    <s v="All hours"/>
    <s v="Fresno, CA"/>
    <n v="36.7378"/>
    <n v="-119.7871"/>
    <d v="2024-07-02T00:00:00"/>
    <n v="0"/>
    <b v="1"/>
    <d v="2025-07-02T00:00:00"/>
    <x v="1"/>
    <x v="1"/>
  </r>
  <r>
    <b v="0"/>
    <d v="1899-12-30T11:03:00"/>
    <d v="1899-12-30T13:34:00"/>
    <n v="151"/>
    <x v="1"/>
    <b v="1"/>
    <b v="0"/>
    <x v="2"/>
    <x v="0"/>
    <x v="1"/>
    <x v="6"/>
    <x v="2"/>
    <n v="0.1"/>
    <x v="30"/>
    <s v="All hours"/>
    <s v="Fresno, CA"/>
    <n v="36.7378"/>
    <n v="-119.7871"/>
    <d v="2024-04-24T00:00:00"/>
    <n v="5"/>
    <b v="0"/>
    <d v="2025-06-29T00:00:00"/>
    <x v="0"/>
    <x v="0"/>
  </r>
  <r>
    <b v="1"/>
    <d v="1899-12-30T17:13:00"/>
    <d v="1899-12-30T18:15:00"/>
    <n v="62"/>
    <x v="0"/>
    <b v="0"/>
    <b v="1"/>
    <x v="0"/>
    <x v="0"/>
    <x v="1"/>
    <x v="6"/>
    <x v="2"/>
    <n v="0.1"/>
    <x v="30"/>
    <s v="All hours"/>
    <s v="Oakland, CA"/>
    <n v="37.804400000000001"/>
    <n v="-122.27119999999999"/>
    <d v="2023-11-28T00:00:00"/>
    <n v="0"/>
    <b v="1"/>
    <d v="2025-06-20T00:00:00"/>
    <x v="0"/>
    <x v="0"/>
  </r>
  <r>
    <b v="0"/>
    <d v="1899-12-30T08:33:00"/>
    <d v="1899-12-30T09:57:00"/>
    <n v="84"/>
    <x v="1"/>
    <b v="0"/>
    <b v="0"/>
    <x v="0"/>
    <x v="1"/>
    <x v="0"/>
    <x v="1"/>
    <x v="1"/>
    <n v="0"/>
    <x v="1"/>
    <s v="Weekdays only"/>
    <s v="Oakland, CA"/>
    <n v="37.804400000000001"/>
    <n v="-122.27119999999999"/>
    <d v="2022-10-17T00:00:00"/>
    <n v="0"/>
    <b v="0"/>
    <d v="2025-05-28T00:00:00"/>
    <x v="3"/>
    <x v="3"/>
  </r>
  <r>
    <b v="0"/>
    <d v="1899-12-30T17:02:00"/>
    <d v="1899-12-30T18:36:00"/>
    <n v="94"/>
    <x v="1"/>
    <b v="1"/>
    <b v="1"/>
    <x v="0"/>
    <x v="1"/>
    <x v="0"/>
    <x v="1"/>
    <x v="3"/>
    <n v="0.15"/>
    <x v="15"/>
    <s v="Weekdays only"/>
    <s v="San Jose, CA"/>
    <n v="37.338200000000001"/>
    <n v="-121.88630000000001"/>
    <d v="2024-06-19T00:00:00"/>
    <n v="5"/>
    <b v="1"/>
    <d v="2025-07-02T00:00:00"/>
    <x v="1"/>
    <x v="1"/>
  </r>
  <r>
    <b v="0"/>
    <d v="1899-12-30T13:36:00"/>
    <d v="1899-12-30T14:08:00"/>
    <n v="32"/>
    <x v="0"/>
    <b v="1"/>
    <b v="0"/>
    <x v="0"/>
    <x v="1"/>
    <x v="0"/>
    <x v="1"/>
    <x v="1"/>
    <n v="0"/>
    <x v="1"/>
    <s v="Weekdays only"/>
    <s v="Oakland, CA"/>
    <n v="37.804400000000001"/>
    <n v="-122.27119999999999"/>
    <d v="2024-06-18T00:00:00"/>
    <n v="4"/>
    <b v="0"/>
    <d v="2025-07-02T00:00:00"/>
    <x v="2"/>
    <x v="4"/>
  </r>
  <r>
    <b v="1"/>
    <d v="1899-12-30T19:22:00"/>
    <d v="1899-12-30T20:25:00"/>
    <n v="63"/>
    <x v="0"/>
    <b v="0"/>
    <b v="0"/>
    <x v="4"/>
    <x v="0"/>
    <x v="1"/>
    <x v="6"/>
    <x v="1"/>
    <n v="0"/>
    <x v="12"/>
    <s v="All hours"/>
    <s v="Bakersfield, CA"/>
    <n v="35.3733"/>
    <n v="-119.0187"/>
    <d v="2023-04-29T00:00:00"/>
    <n v="0"/>
    <b v="1"/>
    <d v="2025-06-08T00:00:00"/>
    <x v="2"/>
    <x v="2"/>
  </r>
  <r>
    <b v="0"/>
    <d v="1899-12-30T20:12:00"/>
    <d v="1899-12-30T22:37:00"/>
    <n v="145"/>
    <x v="1"/>
    <b v="1"/>
    <b v="0"/>
    <x v="0"/>
    <x v="0"/>
    <x v="0"/>
    <x v="0"/>
    <x v="3"/>
    <n v="0.15"/>
    <x v="27"/>
    <s v="All hours"/>
    <s v="Sacramento, CA"/>
    <n v="38.581600000000002"/>
    <n v="-121.4944"/>
    <d v="2024-02-27T00:00:00"/>
    <n v="8"/>
    <b v="1"/>
    <d v="2025-06-25T00:00:00"/>
    <x v="1"/>
    <x v="1"/>
  </r>
  <r>
    <b v="1"/>
    <d v="1899-12-30T09:06:00"/>
    <d v="1899-12-30T10:19:00"/>
    <n v="73"/>
    <x v="1"/>
    <b v="0"/>
    <b v="1"/>
    <x v="0"/>
    <x v="2"/>
    <x v="0"/>
    <x v="2"/>
    <x v="1"/>
    <n v="0"/>
    <x v="3"/>
    <s v="Off-peak only"/>
    <s v="Los Angeles, CA"/>
    <n v="34.052199999999999"/>
    <n v="-118.2437"/>
    <d v="2024-10-26T00:00:00"/>
    <n v="0"/>
    <b v="1"/>
    <d v="2025-07-09T00:00:00"/>
    <x v="3"/>
    <x v="3"/>
  </r>
  <r>
    <b v="1"/>
    <d v="1899-12-30T15:01:00"/>
    <d v="1899-12-30T16:59:00"/>
    <n v="118"/>
    <x v="1"/>
    <b v="0"/>
    <b v="0"/>
    <x v="0"/>
    <x v="0"/>
    <x v="1"/>
    <x v="6"/>
    <x v="0"/>
    <n v="0.05"/>
    <x v="10"/>
    <s v="All hours"/>
    <s v="San Diego, CA"/>
    <n v="32.715699999999998"/>
    <n v="-117.1611"/>
    <d v="2024-02-27T00:00:00"/>
    <n v="0"/>
    <b v="1"/>
    <d v="2025-06-25T00:00:00"/>
    <x v="2"/>
    <x v="2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5-01-23T00:00:00"/>
    <n v="0"/>
    <b v="1"/>
    <d v="2025-07-14T00:00:00"/>
    <x v="3"/>
    <x v="3"/>
  </r>
  <r>
    <b v="0"/>
    <d v="1899-12-30T11:05:00"/>
    <d v="1899-12-30T12:28:00"/>
    <n v="83"/>
    <x v="1"/>
    <b v="0"/>
    <b v="1"/>
    <x v="2"/>
    <x v="2"/>
    <x v="0"/>
    <x v="2"/>
    <x v="0"/>
    <n v="0.05"/>
    <x v="18"/>
    <s v="Off-peak only"/>
    <s v="Fresno, CA"/>
    <n v="36.7378"/>
    <n v="-119.7871"/>
    <d v="2024-12-17T00:00:00"/>
    <n v="0"/>
    <b v="1"/>
    <d v="2025-07-12T00:00:00"/>
    <x v="1"/>
    <x v="1"/>
  </r>
  <r>
    <b v="0"/>
    <d v="1899-12-30T17:14:00"/>
    <d v="1899-12-30T20:05:00"/>
    <n v="171"/>
    <x v="0"/>
    <b v="1"/>
    <b v="1"/>
    <x v="0"/>
    <x v="0"/>
    <x v="1"/>
    <x v="6"/>
    <x v="1"/>
    <n v="0"/>
    <x v="12"/>
    <s v="All hours"/>
    <s v="San Francisco, CA"/>
    <n v="37.774900000000002"/>
    <n v="-122.4194"/>
    <d v="2024-01-09T00:00:00"/>
    <n v="1"/>
    <b v="1"/>
    <d v="2025-06-23T00:00:00"/>
    <x v="0"/>
    <x v="0"/>
  </r>
  <r>
    <b v="0"/>
    <d v="1899-12-30T14:30:00"/>
    <d v="1899-12-30T16:14:00"/>
    <n v="104"/>
    <x v="0"/>
    <b v="1"/>
    <b v="0"/>
    <x v="4"/>
    <x v="0"/>
    <x v="2"/>
    <x v="10"/>
    <x v="2"/>
    <n v="0.1"/>
    <x v="34"/>
    <s v="All hours"/>
    <s v="Sacramento, CA"/>
    <n v="38.581600000000002"/>
    <n v="-121.4944"/>
    <d v="2024-04-02T00:00:00"/>
    <n v="6"/>
    <b v="0"/>
    <d v="2025-06-27T00:00:00"/>
    <x v="1"/>
    <x v="1"/>
  </r>
  <r>
    <b v="0"/>
    <d v="1899-12-30T16:10:00"/>
    <d v="1899-12-30T16:40:00"/>
    <n v="30"/>
    <x v="1"/>
    <b v="0"/>
    <b v="0"/>
    <x v="4"/>
    <x v="1"/>
    <x v="1"/>
    <x v="4"/>
    <x v="0"/>
    <n v="0.05"/>
    <x v="11"/>
    <s v="Weekdays only"/>
    <s v="San Diego, CA"/>
    <n v="32.715699999999998"/>
    <n v="-117.1611"/>
    <d v="2022-10-22T00:00:00"/>
    <n v="0"/>
    <b v="0"/>
    <d v="2025-05-29T00:00:00"/>
    <x v="2"/>
    <x v="4"/>
  </r>
  <r>
    <b v="1"/>
    <d v="1899-12-30T20:56:00"/>
    <d v="1899-12-30T23:36:00"/>
    <n v="160"/>
    <x v="1"/>
    <b v="1"/>
    <b v="0"/>
    <x v="0"/>
    <x v="3"/>
    <x v="2"/>
    <x v="9"/>
    <x v="3"/>
    <n v="0.15"/>
    <x v="19"/>
    <s v="All hours + Priority access"/>
    <s v="Sacramento, CA"/>
    <n v="38.581600000000002"/>
    <n v="-121.4944"/>
    <d v="2024-06-02T00:00:00"/>
    <n v="1"/>
    <b v="1"/>
    <d v="2025-07-01T00:00:00"/>
    <x v="2"/>
    <x v="4"/>
  </r>
  <r>
    <b v="0"/>
    <d v="1899-12-30T09:26:00"/>
    <d v="1899-12-30T10:35:00"/>
    <n v="69"/>
    <x v="1"/>
    <b v="0"/>
    <b v="1"/>
    <x v="4"/>
    <x v="1"/>
    <x v="2"/>
    <x v="8"/>
    <x v="0"/>
    <n v="0.05"/>
    <x v="31"/>
    <s v="Weekdays only"/>
    <s v="Fresno, CA"/>
    <n v="36.7378"/>
    <n v="-119.7871"/>
    <d v="2023-10-13T00:00:00"/>
    <n v="0"/>
    <b v="1"/>
    <d v="2025-06-18T00:00:00"/>
    <x v="0"/>
    <x v="0"/>
  </r>
  <r>
    <b v="0"/>
    <d v="1899-12-30T11:08:00"/>
    <d v="1899-12-30T13:20:00"/>
    <n v="132"/>
    <x v="1"/>
    <b v="0"/>
    <b v="1"/>
    <x v="4"/>
    <x v="2"/>
    <x v="2"/>
    <x v="7"/>
    <x v="1"/>
    <n v="0"/>
    <x v="6"/>
    <s v="Off-peak only"/>
    <s v="San Jose, CA"/>
    <n v="37.338200000000001"/>
    <n v="-121.88630000000001"/>
    <d v="2023-08-19T00:00:00"/>
    <n v="0"/>
    <b v="0"/>
    <d v="2025-06-15T00:00:00"/>
    <x v="1"/>
    <x v="1"/>
  </r>
  <r>
    <b v="0"/>
    <d v="1899-12-30T14:53:00"/>
    <d v="1899-12-30T16:53:00"/>
    <n v="120"/>
    <x v="1"/>
    <b v="0"/>
    <b v="0"/>
    <x v="4"/>
    <x v="1"/>
    <x v="0"/>
    <x v="1"/>
    <x v="1"/>
    <n v="0"/>
    <x v="1"/>
    <s v="Weekdays only"/>
    <s v="Anaheim, CA"/>
    <n v="33.836599999999997"/>
    <n v="-117.9143"/>
    <d v="2025-06-09T00:00:00"/>
    <n v="0"/>
    <b v="0"/>
    <d v="2025-07-22T00:00:00"/>
    <x v="3"/>
    <x v="3"/>
  </r>
  <r>
    <b v="0"/>
    <d v="1899-12-30T13:53:00"/>
    <d v="1899-12-30T16:06:00"/>
    <n v="133"/>
    <x v="1"/>
    <b v="1"/>
    <b v="0"/>
    <x v="1"/>
    <x v="3"/>
    <x v="0"/>
    <x v="3"/>
    <x v="0"/>
    <n v="0.05"/>
    <x v="23"/>
    <s v="All hours + Priority access"/>
    <s v="Fresno, CA"/>
    <n v="36.7378"/>
    <n v="-119.7871"/>
    <d v="2023-07-17T00:00:00"/>
    <n v="8"/>
    <b v="0"/>
    <d v="2025-06-13T00:00:00"/>
    <x v="2"/>
    <x v="4"/>
  </r>
  <r>
    <b v="0"/>
    <d v="1899-12-30T18:37:00"/>
    <d v="1899-12-30T20:15:00"/>
    <n v="98"/>
    <x v="0"/>
    <b v="1"/>
    <b v="1"/>
    <x v="4"/>
    <x v="1"/>
    <x v="2"/>
    <x v="8"/>
    <x v="2"/>
    <n v="0.1"/>
    <x v="33"/>
    <s v="Weekdays only"/>
    <s v="Fresno, CA"/>
    <n v="36.7378"/>
    <n v="-119.7871"/>
    <d v="2024-12-15T00:00:00"/>
    <n v="1"/>
    <b v="0"/>
    <d v="2025-07-12T00:00:00"/>
    <x v="0"/>
    <x v="0"/>
  </r>
  <r>
    <b v="0"/>
    <d v="1899-12-30T09:47:00"/>
    <d v="1899-12-30T12:16:00"/>
    <n v="149"/>
    <x v="0"/>
    <b v="1"/>
    <b v="0"/>
    <x v="1"/>
    <x v="0"/>
    <x v="0"/>
    <x v="0"/>
    <x v="1"/>
    <n v="0"/>
    <x v="5"/>
    <s v="All hours"/>
    <s v="Anaheim, CA"/>
    <n v="33.836599999999997"/>
    <n v="-117.9143"/>
    <d v="2022-09-03T00:00:00"/>
    <n v="8"/>
    <b v="1"/>
    <d v="2025-05-26T00:00:00"/>
    <x v="2"/>
    <x v="4"/>
  </r>
  <r>
    <b v="1"/>
    <d v="1899-12-30T13:30:00"/>
    <d v="1899-12-30T14:37:00"/>
    <n v="67"/>
    <x v="0"/>
    <b v="1"/>
    <b v="0"/>
    <x v="2"/>
    <x v="1"/>
    <x v="0"/>
    <x v="1"/>
    <x v="1"/>
    <n v="0"/>
    <x v="1"/>
    <s v="Weekdays only"/>
    <s v="San Francisco, CA"/>
    <n v="37.774900000000002"/>
    <n v="-122.4194"/>
    <d v="2025-01-15T00:00:00"/>
    <n v="4"/>
    <b v="1"/>
    <d v="2025-07-14T00:00:00"/>
    <x v="0"/>
    <x v="0"/>
  </r>
  <r>
    <b v="1"/>
    <d v="1899-12-30T18:19:00"/>
    <d v="1899-12-30T19:47:00"/>
    <n v="88"/>
    <x v="0"/>
    <b v="0"/>
    <b v="0"/>
    <x v="4"/>
    <x v="0"/>
    <x v="0"/>
    <x v="0"/>
    <x v="0"/>
    <n v="0.05"/>
    <x v="0"/>
    <s v="All hours"/>
    <s v="San Francisco, CA"/>
    <n v="37.774900000000002"/>
    <n v="-122.4194"/>
    <d v="2024-04-07T00:00:00"/>
    <n v="0"/>
    <b v="1"/>
    <d v="2025-06-28T00:00:00"/>
    <x v="1"/>
    <x v="1"/>
  </r>
  <r>
    <b v="1"/>
    <d v="1899-12-30T17:13:00"/>
    <d v="1899-12-30T18:15:00"/>
    <n v="62"/>
    <x v="0"/>
    <b v="0"/>
    <b v="1"/>
    <x v="0"/>
    <x v="0"/>
    <x v="1"/>
    <x v="6"/>
    <x v="2"/>
    <n v="0.1"/>
    <x v="30"/>
    <s v="All hours"/>
    <s v="Oakland, CA"/>
    <n v="37.804400000000001"/>
    <n v="-122.27119999999999"/>
    <d v="2025-03-24T00:00:00"/>
    <n v="0"/>
    <b v="1"/>
    <d v="2025-07-17T00:00:00"/>
    <x v="0"/>
    <x v="0"/>
  </r>
  <r>
    <b v="0"/>
    <d v="1899-12-30T11:06:00"/>
    <d v="1899-12-30T13:25:00"/>
    <n v="139"/>
    <x v="0"/>
    <b v="0"/>
    <b v="0"/>
    <x v="4"/>
    <x v="1"/>
    <x v="0"/>
    <x v="1"/>
    <x v="1"/>
    <n v="0"/>
    <x v="1"/>
    <s v="Weekdays only"/>
    <s v="Oakland, CA"/>
    <n v="37.804400000000001"/>
    <n v="-122.27119999999999"/>
    <d v="2022-07-27T00:00:00"/>
    <n v="0"/>
    <b v="0"/>
    <d v="2025-05-24T00:00:00"/>
    <x v="2"/>
    <x v="2"/>
  </r>
  <r>
    <b v="0"/>
    <d v="1899-12-30T11:06:00"/>
    <d v="1899-12-30T13:25:00"/>
    <n v="139"/>
    <x v="0"/>
    <b v="0"/>
    <b v="0"/>
    <x v="4"/>
    <x v="1"/>
    <x v="0"/>
    <x v="1"/>
    <x v="1"/>
    <n v="0"/>
    <x v="1"/>
    <s v="Weekdays only"/>
    <s v="Oakland, CA"/>
    <n v="37.804400000000001"/>
    <n v="-122.27119999999999"/>
    <d v="2024-01-05T00:00:00"/>
    <n v="0"/>
    <b v="0"/>
    <d v="2025-06-22T00:00:00"/>
    <x v="2"/>
    <x v="2"/>
  </r>
  <r>
    <b v="1"/>
    <d v="1899-12-30T18:52:00"/>
    <d v="1899-12-30T19:42:00"/>
    <n v="50"/>
    <x v="1"/>
    <b v="0"/>
    <b v="1"/>
    <x v="0"/>
    <x v="0"/>
    <x v="1"/>
    <x v="6"/>
    <x v="1"/>
    <n v="0"/>
    <x v="12"/>
    <s v="All hours"/>
    <s v="Los Angeles, CA"/>
    <n v="34.052199999999999"/>
    <n v="-118.2437"/>
    <d v="2023-09-27T00:00:00"/>
    <n v="0"/>
    <b v="1"/>
    <d v="2025-06-17T00:00:00"/>
    <x v="0"/>
    <x v="0"/>
  </r>
  <r>
    <b v="1"/>
    <d v="1899-12-30T16:29:00"/>
    <d v="1899-12-30T19:08:00"/>
    <n v="159"/>
    <x v="1"/>
    <b v="0"/>
    <b v="1"/>
    <x v="0"/>
    <x v="1"/>
    <x v="0"/>
    <x v="1"/>
    <x v="1"/>
    <n v="0"/>
    <x v="1"/>
    <s v="Weekdays only"/>
    <s v="Los Angeles, CA"/>
    <n v="34.052199999999999"/>
    <n v="-118.2437"/>
    <d v="2025-04-12T00:00:00"/>
    <n v="0"/>
    <b v="1"/>
    <d v="2025-07-18T00:00:00"/>
    <x v="3"/>
    <x v="3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3-04-16T00:00:00"/>
    <n v="1"/>
    <b v="1"/>
    <d v="2025-06-08T00:00:00"/>
    <x v="3"/>
    <x v="3"/>
  </r>
  <r>
    <b v="0"/>
    <d v="1899-12-30T15:25:00"/>
    <d v="1899-12-30T18:05:00"/>
    <n v="160"/>
    <x v="1"/>
    <b v="0"/>
    <b v="1"/>
    <x v="4"/>
    <x v="1"/>
    <x v="0"/>
    <x v="1"/>
    <x v="2"/>
    <n v="0.1"/>
    <x v="2"/>
    <s v="Weekdays only"/>
    <s v="Los Angeles, CA"/>
    <n v="34.052199999999999"/>
    <n v="-118.2437"/>
    <d v="2024-11-11T00:00:00"/>
    <n v="0"/>
    <b v="0"/>
    <d v="2025-07-10T00:00:00"/>
    <x v="0"/>
    <x v="0"/>
  </r>
  <r>
    <b v="0"/>
    <d v="1899-12-30T11:21:00"/>
    <d v="1899-12-30T12:46:00"/>
    <n v="85"/>
    <x v="0"/>
    <b v="0"/>
    <b v="1"/>
    <x v="0"/>
    <x v="1"/>
    <x v="1"/>
    <x v="4"/>
    <x v="1"/>
    <n v="0"/>
    <x v="8"/>
    <s v="Weekdays only"/>
    <s v="Long Beach, CA"/>
    <n v="33.770099999999999"/>
    <n v="-118.19370000000001"/>
    <d v="2022-11-09T00:00:00"/>
    <n v="0"/>
    <b v="1"/>
    <d v="2025-05-30T00:00:00"/>
    <x v="0"/>
    <x v="0"/>
  </r>
  <r>
    <b v="1"/>
    <d v="1899-12-30T13:57:00"/>
    <d v="1899-12-30T15:10:00"/>
    <n v="73"/>
    <x v="0"/>
    <b v="0"/>
    <b v="1"/>
    <x v="2"/>
    <x v="1"/>
    <x v="1"/>
    <x v="4"/>
    <x v="0"/>
    <n v="0.05"/>
    <x v="11"/>
    <s v="Weekdays only"/>
    <s v="San Jose, CA"/>
    <n v="37.338200000000001"/>
    <n v="-121.88630000000001"/>
    <d v="2024-11-16T00:00:00"/>
    <n v="0"/>
    <b v="0"/>
    <d v="2025-07-10T00:00:00"/>
    <x v="2"/>
    <x v="4"/>
  </r>
  <r>
    <b v="0"/>
    <d v="1899-12-30T11:13:00"/>
    <d v="1899-12-30T13:19:00"/>
    <n v="126"/>
    <x v="1"/>
    <b v="0"/>
    <b v="1"/>
    <x v="4"/>
    <x v="1"/>
    <x v="0"/>
    <x v="1"/>
    <x v="1"/>
    <n v="0"/>
    <x v="1"/>
    <s v="Weekdays only"/>
    <s v="San Diego, CA"/>
    <n v="32.715699999999998"/>
    <n v="-117.1611"/>
    <d v="2024-12-01T00:00:00"/>
    <n v="0"/>
    <b v="1"/>
    <d v="2025-07-11T00:00:00"/>
    <x v="0"/>
    <x v="0"/>
  </r>
  <r>
    <b v="1"/>
    <d v="1899-12-30T18:23:00"/>
    <d v="1899-12-30T20:28:00"/>
    <n v="125"/>
    <x v="0"/>
    <b v="0"/>
    <b v="0"/>
    <x v="4"/>
    <x v="0"/>
    <x v="1"/>
    <x v="6"/>
    <x v="2"/>
    <n v="0.1"/>
    <x v="30"/>
    <s v="All hours"/>
    <s v="Anaheim, CA"/>
    <n v="33.836599999999997"/>
    <n v="-117.9143"/>
    <d v="2025-05-15T00:00:00"/>
    <n v="0"/>
    <b v="1"/>
    <d v="2025-07-20T00:00:00"/>
    <x v="1"/>
    <x v="1"/>
  </r>
  <r>
    <b v="0"/>
    <d v="1899-12-30T18:44:00"/>
    <d v="1899-12-30T19:47:00"/>
    <n v="63"/>
    <x v="1"/>
    <b v="0"/>
    <b v="1"/>
    <x v="0"/>
    <x v="1"/>
    <x v="0"/>
    <x v="1"/>
    <x v="0"/>
    <n v="0.05"/>
    <x v="7"/>
    <s v="Weekdays only"/>
    <s v="Long Beach, CA"/>
    <n v="33.770099999999999"/>
    <n v="-118.19370000000001"/>
    <d v="2024-02-06T00:00:00"/>
    <n v="0"/>
    <b v="0"/>
    <d v="2025-06-24T00:00:00"/>
    <x v="1"/>
    <x v="1"/>
  </r>
  <r>
    <b v="0"/>
    <d v="1899-12-30T18:44:00"/>
    <d v="1899-12-30T19:47:00"/>
    <n v="63"/>
    <x v="1"/>
    <b v="0"/>
    <b v="1"/>
    <x v="0"/>
    <x v="1"/>
    <x v="0"/>
    <x v="1"/>
    <x v="0"/>
    <n v="0.05"/>
    <x v="7"/>
    <s v="Weekdays only"/>
    <s v="Long Beach, CA"/>
    <n v="33.770099999999999"/>
    <n v="-118.19370000000001"/>
    <d v="2023-10-30T00:00:00"/>
    <n v="0"/>
    <b v="0"/>
    <d v="2025-06-19T00:00:00"/>
    <x v="1"/>
    <x v="1"/>
  </r>
  <r>
    <b v="1"/>
    <d v="1899-12-30T18:44:00"/>
    <d v="1899-12-30T20:56:00"/>
    <n v="132"/>
    <x v="1"/>
    <b v="0"/>
    <b v="1"/>
    <x v="4"/>
    <x v="2"/>
    <x v="0"/>
    <x v="2"/>
    <x v="2"/>
    <n v="0.1"/>
    <x v="6"/>
    <s v="Off-peak only"/>
    <s v="Anaheim, CA"/>
    <n v="33.836599999999997"/>
    <n v="-117.9143"/>
    <d v="2025-04-14T00:00:00"/>
    <n v="0"/>
    <b v="0"/>
    <d v="2025-07-19T00:00:00"/>
    <x v="1"/>
    <x v="1"/>
  </r>
  <r>
    <b v="1"/>
    <d v="1899-12-30T15:52:00"/>
    <d v="1899-12-30T18:05:00"/>
    <n v="133"/>
    <x v="0"/>
    <b v="0"/>
    <b v="0"/>
    <x v="4"/>
    <x v="2"/>
    <x v="0"/>
    <x v="2"/>
    <x v="1"/>
    <n v="0"/>
    <x v="3"/>
    <s v="Off-peak only"/>
    <s v="Bakersfield, CA"/>
    <n v="35.3733"/>
    <n v="-119.0187"/>
    <d v="2023-03-20T00:00:00"/>
    <n v="0"/>
    <b v="1"/>
    <d v="2025-06-06T00:00:00"/>
    <x v="3"/>
    <x v="3"/>
  </r>
  <r>
    <b v="0"/>
    <d v="1899-12-30T10:11:00"/>
    <d v="1899-12-30T11:28:00"/>
    <n v="77"/>
    <x v="1"/>
    <b v="1"/>
    <b v="0"/>
    <x v="4"/>
    <x v="0"/>
    <x v="0"/>
    <x v="0"/>
    <x v="1"/>
    <n v="0"/>
    <x v="5"/>
    <s v="All hours"/>
    <s v="Bakersfield, CA"/>
    <n v="35.3733"/>
    <n v="-119.0187"/>
    <d v="2024-02-26T00:00:00"/>
    <n v="6"/>
    <b v="1"/>
    <d v="2025-06-25T00:00:00"/>
    <x v="0"/>
    <x v="0"/>
  </r>
  <r>
    <b v="0"/>
    <d v="1899-12-30T15:42:00"/>
    <d v="1899-12-30T18:35:00"/>
    <n v="173"/>
    <x v="0"/>
    <b v="1"/>
    <b v="1"/>
    <x v="4"/>
    <x v="1"/>
    <x v="0"/>
    <x v="1"/>
    <x v="1"/>
    <n v="0"/>
    <x v="1"/>
    <s v="Weekdays only"/>
    <s v="Sacramento, CA"/>
    <n v="38.581600000000002"/>
    <n v="-121.4944"/>
    <d v="2023-12-12T00:00:00"/>
    <n v="3"/>
    <b v="0"/>
    <d v="2025-06-21T00:00:00"/>
    <x v="0"/>
    <x v="0"/>
  </r>
  <r>
    <b v="0"/>
    <d v="1899-12-30T08:42:00"/>
    <d v="1899-12-30T11:31:00"/>
    <n v="169"/>
    <x v="1"/>
    <b v="1"/>
    <b v="1"/>
    <x v="4"/>
    <x v="1"/>
    <x v="0"/>
    <x v="1"/>
    <x v="1"/>
    <n v="0"/>
    <x v="1"/>
    <s v="Weekdays only"/>
    <s v="San Diego, CA"/>
    <n v="32.715699999999998"/>
    <n v="-117.1611"/>
    <d v="2024-03-10T00:00:00"/>
    <n v="5"/>
    <b v="0"/>
    <d v="2025-06-26T00:00:00"/>
    <x v="1"/>
    <x v="1"/>
  </r>
  <r>
    <b v="1"/>
    <d v="1899-12-30T11:35:00"/>
    <d v="1899-12-30T13:34:00"/>
    <n v="119"/>
    <x v="1"/>
    <b v="0"/>
    <b v="1"/>
    <x v="0"/>
    <x v="2"/>
    <x v="0"/>
    <x v="2"/>
    <x v="0"/>
    <n v="0.05"/>
    <x v="18"/>
    <s v="Off-peak only"/>
    <s v="Oakland, CA"/>
    <n v="37.804400000000001"/>
    <n v="-122.27119999999999"/>
    <d v="2024-04-22T00:00:00"/>
    <n v="0"/>
    <b v="0"/>
    <d v="2025-06-28T00:00:00"/>
    <x v="3"/>
    <x v="3"/>
  </r>
  <r>
    <b v="0"/>
    <d v="1899-12-30T08:59:00"/>
    <d v="1899-12-30T10:26:00"/>
    <n v="87"/>
    <x v="0"/>
    <b v="1"/>
    <b v="0"/>
    <x v="1"/>
    <x v="1"/>
    <x v="1"/>
    <x v="4"/>
    <x v="3"/>
    <n v="0.15"/>
    <x v="29"/>
    <s v="Weekdays only"/>
    <s v="San Francisco, CA"/>
    <n v="37.774900000000002"/>
    <n v="-122.4194"/>
    <d v="2023-11-04T00:00:00"/>
    <n v="3"/>
    <b v="1"/>
    <d v="2025-06-19T00:00:00"/>
    <x v="2"/>
    <x v="4"/>
  </r>
  <r>
    <b v="1"/>
    <d v="1899-12-30T13:59:00"/>
    <d v="1899-12-30T16:41:00"/>
    <n v="162"/>
    <x v="1"/>
    <b v="0"/>
    <b v="1"/>
    <x v="0"/>
    <x v="1"/>
    <x v="1"/>
    <x v="4"/>
    <x v="2"/>
    <n v="0.1"/>
    <x v="26"/>
    <s v="Weekdays only"/>
    <s v="Anaheim, CA"/>
    <n v="33.836599999999997"/>
    <n v="-117.9143"/>
    <d v="2025-01-08T00:00:00"/>
    <n v="0"/>
    <b v="1"/>
    <d v="2025-07-13T00:00:00"/>
    <x v="2"/>
    <x v="4"/>
  </r>
  <r>
    <b v="1"/>
    <d v="1899-12-30T13:30:00"/>
    <d v="1899-12-30T14:37:00"/>
    <n v="67"/>
    <x v="0"/>
    <b v="1"/>
    <b v="0"/>
    <x v="2"/>
    <x v="1"/>
    <x v="0"/>
    <x v="1"/>
    <x v="1"/>
    <n v="0"/>
    <x v="1"/>
    <s v="Weekdays only"/>
    <s v="San Francisco, CA"/>
    <n v="37.774900000000002"/>
    <n v="-122.4194"/>
    <d v="2024-12-11T00:00:00"/>
    <n v="1"/>
    <b v="1"/>
    <d v="2025-07-12T00:00:00"/>
    <x v="0"/>
    <x v="0"/>
  </r>
  <r>
    <b v="0"/>
    <d v="1899-12-30T09:46:00"/>
    <d v="1899-12-30T10:56:00"/>
    <n v="70"/>
    <x v="0"/>
    <b v="0"/>
    <b v="1"/>
    <x v="0"/>
    <x v="1"/>
    <x v="2"/>
    <x v="8"/>
    <x v="1"/>
    <n v="0"/>
    <x v="2"/>
    <s v="Weekdays only"/>
    <s v="Anaheim, CA"/>
    <n v="33.836599999999997"/>
    <n v="-117.9143"/>
    <d v="2022-12-18T00:00:00"/>
    <n v="0"/>
    <b v="0"/>
    <d v="2025-06-01T00:00:00"/>
    <x v="2"/>
    <x v="4"/>
  </r>
  <r>
    <b v="0"/>
    <d v="1899-12-30T17:27:00"/>
    <d v="1899-12-30T19:12:00"/>
    <n v="105"/>
    <x v="0"/>
    <b v="0"/>
    <b v="0"/>
    <x v="2"/>
    <x v="0"/>
    <x v="1"/>
    <x v="6"/>
    <x v="0"/>
    <n v="0.05"/>
    <x v="10"/>
    <s v="All hours"/>
    <s v="San Jose, CA"/>
    <n v="37.338200000000001"/>
    <n v="-121.88630000000001"/>
    <d v="2022-09-19T00:00:00"/>
    <n v="0"/>
    <b v="1"/>
    <d v="2025-05-27T00:00:00"/>
    <x v="2"/>
    <x v="4"/>
  </r>
  <r>
    <b v="0"/>
    <d v="1899-12-30T14:06:00"/>
    <d v="1899-12-30T15:54:00"/>
    <n v="108"/>
    <x v="1"/>
    <b v="0"/>
    <b v="1"/>
    <x v="0"/>
    <x v="1"/>
    <x v="0"/>
    <x v="1"/>
    <x v="1"/>
    <n v="0"/>
    <x v="1"/>
    <s v="Weekdays only"/>
    <s v="Oakland, CA"/>
    <n v="37.804400000000001"/>
    <n v="-122.27119999999999"/>
    <d v="2024-05-21T00:00:00"/>
    <n v="0"/>
    <b v="0"/>
    <d v="2025-06-30T00:00:00"/>
    <x v="2"/>
    <x v="4"/>
  </r>
  <r>
    <b v="0"/>
    <d v="1899-12-30T15:12:00"/>
    <d v="1899-12-30T15:57:00"/>
    <n v="45"/>
    <x v="1"/>
    <b v="1"/>
    <b v="0"/>
    <x v="0"/>
    <x v="0"/>
    <x v="1"/>
    <x v="6"/>
    <x v="2"/>
    <n v="0.1"/>
    <x v="30"/>
    <s v="All hours"/>
    <s v="Long Beach, CA"/>
    <n v="33.770099999999999"/>
    <n v="-118.19370000000001"/>
    <d v="2024-09-07T00:00:00"/>
    <n v="3"/>
    <b v="1"/>
    <d v="2025-07-06T00:00:00"/>
    <x v="3"/>
    <x v="3"/>
  </r>
  <r>
    <b v="1"/>
    <d v="1899-12-30T14:34:00"/>
    <d v="1899-12-30T15:04:00"/>
    <n v="30"/>
    <x v="1"/>
    <b v="1"/>
    <b v="1"/>
    <x v="0"/>
    <x v="0"/>
    <x v="1"/>
    <x v="6"/>
    <x v="1"/>
    <n v="0"/>
    <x v="12"/>
    <s v="All hours"/>
    <s v="Long Beach, CA"/>
    <n v="33.770099999999999"/>
    <n v="-118.19370000000001"/>
    <d v="2023-08-07T00:00:00"/>
    <n v="6"/>
    <b v="1"/>
    <d v="2025-06-14T00:00:00"/>
    <x v="3"/>
    <x v="3"/>
  </r>
  <r>
    <b v="0"/>
    <d v="1899-12-30T13:37:00"/>
    <d v="1899-12-30T14:50:00"/>
    <n v="73"/>
    <x v="1"/>
    <b v="1"/>
    <b v="1"/>
    <x v="4"/>
    <x v="1"/>
    <x v="1"/>
    <x v="4"/>
    <x v="0"/>
    <n v="0.05"/>
    <x v="11"/>
    <s v="Weekdays only"/>
    <s v="San Diego, CA"/>
    <n v="32.715699999999998"/>
    <n v="-117.1611"/>
    <d v="2024-04-13T00:00:00"/>
    <n v="6"/>
    <b v="0"/>
    <d v="2025-06-28T00:00:00"/>
    <x v="2"/>
    <x v="4"/>
  </r>
  <r>
    <b v="0"/>
    <d v="1899-12-30T11:23:00"/>
    <d v="1899-12-30T14:03:00"/>
    <n v="160"/>
    <x v="1"/>
    <b v="0"/>
    <b v="0"/>
    <x v="2"/>
    <x v="0"/>
    <x v="1"/>
    <x v="6"/>
    <x v="1"/>
    <n v="0"/>
    <x v="12"/>
    <s v="All hours"/>
    <s v="Fresno, CA"/>
    <n v="36.7378"/>
    <n v="-119.7871"/>
    <d v="2025-05-26T00:00:00"/>
    <n v="0"/>
    <b v="0"/>
    <d v="2025-07-21T00:00:00"/>
    <x v="2"/>
    <x v="2"/>
  </r>
  <r>
    <b v="0"/>
    <d v="1899-12-30T14:36:00"/>
    <d v="1899-12-30T15:11:00"/>
    <n v="35"/>
    <x v="0"/>
    <b v="1"/>
    <b v="0"/>
    <x v="4"/>
    <x v="0"/>
    <x v="1"/>
    <x v="6"/>
    <x v="1"/>
    <n v="0"/>
    <x v="12"/>
    <s v="All hours"/>
    <s v="Bakersfield, CA"/>
    <n v="35.3733"/>
    <n v="-119.0187"/>
    <d v="2025-01-07T00:00:00"/>
    <n v="1"/>
    <b v="0"/>
    <d v="2025-07-13T00:00:00"/>
    <x v="2"/>
    <x v="4"/>
  </r>
  <r>
    <b v="1"/>
    <d v="1899-12-30T14:20:00"/>
    <d v="1899-12-30T17:20:00"/>
    <n v="180"/>
    <x v="1"/>
    <b v="1"/>
    <b v="1"/>
    <x v="4"/>
    <x v="1"/>
    <x v="1"/>
    <x v="4"/>
    <x v="2"/>
    <n v="0.1"/>
    <x v="26"/>
    <s v="Weekdays only"/>
    <s v="Anaheim, CA"/>
    <n v="33.836599999999997"/>
    <n v="-117.9143"/>
    <d v="2023-05-22T00:00:00"/>
    <n v="4"/>
    <b v="0"/>
    <d v="2025-06-10T00:00:00"/>
    <x v="0"/>
    <x v="0"/>
  </r>
  <r>
    <b v="1"/>
    <d v="1899-12-30T09:55:00"/>
    <d v="1899-12-30T10:43:00"/>
    <n v="48"/>
    <x v="0"/>
    <b v="0"/>
    <b v="1"/>
    <x v="1"/>
    <x v="0"/>
    <x v="0"/>
    <x v="0"/>
    <x v="1"/>
    <n v="0"/>
    <x v="5"/>
    <s v="All hours"/>
    <s v="Fresno, CA"/>
    <n v="36.7378"/>
    <n v="-119.7871"/>
    <d v="2023-07-22T00:00:00"/>
    <n v="0"/>
    <b v="0"/>
    <d v="2025-06-13T00:00:00"/>
    <x v="0"/>
    <x v="0"/>
  </r>
  <r>
    <b v="0"/>
    <d v="1899-12-30T13:52:00"/>
    <d v="1899-12-30T14:43:00"/>
    <n v="51"/>
    <x v="0"/>
    <b v="0"/>
    <b v="1"/>
    <x v="4"/>
    <x v="0"/>
    <x v="0"/>
    <x v="0"/>
    <x v="2"/>
    <n v="0.1"/>
    <x v="16"/>
    <s v="All hours"/>
    <s v="Los Angeles, CA"/>
    <n v="34.052199999999999"/>
    <n v="-118.2437"/>
    <d v="2025-05-25T00:00:00"/>
    <n v="0"/>
    <b v="0"/>
    <d v="2025-07-21T00:00:00"/>
    <x v="3"/>
    <x v="3"/>
  </r>
  <r>
    <b v="1"/>
    <d v="1899-12-30T18:15:00"/>
    <d v="1899-12-30T19:59:00"/>
    <n v="104"/>
    <x v="1"/>
    <b v="0"/>
    <b v="1"/>
    <x v="4"/>
    <x v="0"/>
    <x v="0"/>
    <x v="0"/>
    <x v="2"/>
    <n v="0.1"/>
    <x v="16"/>
    <s v="All hours"/>
    <s v="San Diego, CA"/>
    <n v="32.715699999999998"/>
    <n v="-117.1611"/>
    <d v="2024-10-29T00:00:00"/>
    <n v="0"/>
    <b v="0"/>
    <d v="2025-07-09T00:00:00"/>
    <x v="0"/>
    <x v="0"/>
  </r>
  <r>
    <b v="0"/>
    <d v="1899-12-30T08:05:00"/>
    <d v="1899-12-30T09:06:00"/>
    <n v="61"/>
    <x v="1"/>
    <b v="1"/>
    <b v="0"/>
    <x v="2"/>
    <x v="1"/>
    <x v="1"/>
    <x v="4"/>
    <x v="0"/>
    <n v="0.05"/>
    <x v="11"/>
    <s v="Weekdays only"/>
    <s v="Long Beach, CA"/>
    <n v="33.770099999999999"/>
    <n v="-118.19370000000001"/>
    <d v="2024-10-19T00:00:00"/>
    <n v="3"/>
    <b v="0"/>
    <d v="2025-07-09T00:00:00"/>
    <x v="1"/>
    <x v="1"/>
  </r>
  <r>
    <b v="1"/>
    <d v="1899-12-30T10:42:00"/>
    <d v="1899-12-30T13:29:00"/>
    <n v="167"/>
    <x v="0"/>
    <b v="1"/>
    <b v="0"/>
    <x v="0"/>
    <x v="0"/>
    <x v="0"/>
    <x v="0"/>
    <x v="2"/>
    <n v="0.1"/>
    <x v="16"/>
    <s v="All hours"/>
    <s v="Sacramento, CA"/>
    <n v="38.581600000000002"/>
    <n v="-121.4944"/>
    <d v="2023-07-08T00:00:00"/>
    <n v="4"/>
    <b v="1"/>
    <d v="2025-06-12T00:00:00"/>
    <x v="2"/>
    <x v="2"/>
  </r>
  <r>
    <b v="0"/>
    <d v="1899-12-30T09:55:00"/>
    <d v="1899-12-30T10:55:00"/>
    <n v="60"/>
    <x v="0"/>
    <b v="1"/>
    <b v="0"/>
    <x v="2"/>
    <x v="1"/>
    <x v="0"/>
    <x v="1"/>
    <x v="2"/>
    <n v="0.1"/>
    <x v="2"/>
    <s v="Weekdays only"/>
    <s v="Los Angeles, CA"/>
    <n v="34.052199999999999"/>
    <n v="-118.2437"/>
    <d v="2025-06-02T00:00:00"/>
    <n v="4"/>
    <b v="0"/>
    <d v="2025-07-21T00:00:00"/>
    <x v="3"/>
    <x v="3"/>
  </r>
  <r>
    <b v="0"/>
    <d v="1899-12-30T14:59:00"/>
    <d v="1899-12-30T17:17:00"/>
    <n v="138"/>
    <x v="0"/>
    <b v="1"/>
    <b v="1"/>
    <x v="3"/>
    <x v="2"/>
    <x v="1"/>
    <x v="5"/>
    <x v="2"/>
    <n v="0.1"/>
    <x v="20"/>
    <s v="Off-peak only"/>
    <s v="San Diego, CA"/>
    <n v="32.715699999999998"/>
    <n v="-117.1611"/>
    <d v="2025-03-04T00:00:00"/>
    <n v="8"/>
    <b v="1"/>
    <d v="2025-07-16T00:00:00"/>
    <x v="3"/>
    <x v="3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2-22T00:00:00"/>
    <n v="2"/>
    <b v="1"/>
    <d v="2025-06-05T00:00:00"/>
    <x v="3"/>
    <x v="3"/>
  </r>
  <r>
    <b v="0"/>
    <d v="1899-12-30T19:31:00"/>
    <d v="1899-12-30T20:19:00"/>
    <n v="48"/>
    <x v="0"/>
    <b v="1"/>
    <b v="0"/>
    <x v="3"/>
    <x v="0"/>
    <x v="0"/>
    <x v="0"/>
    <x v="3"/>
    <n v="0.15"/>
    <x v="27"/>
    <s v="All hours"/>
    <s v="San Jose, CA"/>
    <n v="37.338200000000001"/>
    <n v="-121.88630000000001"/>
    <d v="2024-12-14T00:00:00"/>
    <n v="1"/>
    <b v="0"/>
    <d v="2025-07-12T00:00:00"/>
    <x v="0"/>
    <x v="0"/>
  </r>
  <r>
    <b v="1"/>
    <d v="1899-12-30T15:19:00"/>
    <d v="1899-12-30T17:35:00"/>
    <n v="136"/>
    <x v="0"/>
    <b v="1"/>
    <b v="1"/>
    <x v="0"/>
    <x v="1"/>
    <x v="0"/>
    <x v="1"/>
    <x v="3"/>
    <n v="0.15"/>
    <x v="15"/>
    <s v="Weekdays only"/>
    <s v="Oakland, CA"/>
    <n v="37.804400000000001"/>
    <n v="-122.27119999999999"/>
    <d v="2023-07-28T00:00:00"/>
    <n v="5"/>
    <b v="0"/>
    <d v="2025-06-13T00:00:00"/>
    <x v="1"/>
    <x v="1"/>
  </r>
  <r>
    <b v="1"/>
    <d v="1899-12-30T18:02:00"/>
    <d v="1899-12-30T18:44:00"/>
    <n v="42"/>
    <x v="1"/>
    <b v="0"/>
    <b v="0"/>
    <x v="1"/>
    <x v="2"/>
    <x v="0"/>
    <x v="2"/>
    <x v="3"/>
    <n v="0.15"/>
    <x v="17"/>
    <s v="Off-peak only"/>
    <s v="Anaheim, CA"/>
    <n v="33.836599999999997"/>
    <n v="-117.9143"/>
    <d v="2024-10-12T00:00:00"/>
    <n v="0"/>
    <b v="0"/>
    <d v="2025-07-08T00:00:00"/>
    <x v="0"/>
    <x v="0"/>
  </r>
  <r>
    <b v="0"/>
    <d v="1899-12-30T20:43:00"/>
    <d v="1899-12-30T22:58:00"/>
    <n v="135"/>
    <x v="1"/>
    <b v="0"/>
    <b v="0"/>
    <x v="4"/>
    <x v="2"/>
    <x v="0"/>
    <x v="2"/>
    <x v="1"/>
    <n v="0"/>
    <x v="3"/>
    <s v="Off-peak only"/>
    <s v="Sacramento, CA"/>
    <n v="38.581600000000002"/>
    <n v="-121.4944"/>
    <d v="2025-03-09T00:00:00"/>
    <n v="0"/>
    <b v="0"/>
    <d v="2025-07-17T00:00:00"/>
    <x v="0"/>
    <x v="0"/>
  </r>
  <r>
    <b v="0"/>
    <d v="1899-12-30T08:34:00"/>
    <d v="1899-12-30T09:27:00"/>
    <n v="53"/>
    <x v="0"/>
    <b v="1"/>
    <b v="0"/>
    <x v="0"/>
    <x v="0"/>
    <x v="2"/>
    <x v="10"/>
    <x v="3"/>
    <n v="0.15"/>
    <x v="25"/>
    <s v="All hours"/>
    <s v="Los Angeles, CA"/>
    <n v="34.052199999999999"/>
    <n v="-118.2437"/>
    <d v="2024-10-07T00:00:00"/>
    <n v="6"/>
    <b v="0"/>
    <d v="2025-07-08T00:00:00"/>
    <x v="1"/>
    <x v="1"/>
  </r>
  <r>
    <b v="1"/>
    <d v="1899-12-30T19:02:00"/>
    <d v="1899-12-30T19:47:00"/>
    <n v="45"/>
    <x v="1"/>
    <b v="1"/>
    <b v="0"/>
    <x v="3"/>
    <x v="2"/>
    <x v="0"/>
    <x v="2"/>
    <x v="1"/>
    <n v="0"/>
    <x v="3"/>
    <s v="Off-peak only"/>
    <s v="Long Beach, CA"/>
    <n v="33.770099999999999"/>
    <n v="-118.19370000000001"/>
    <d v="2023-05-15T00:00:00"/>
    <n v="6"/>
    <b v="0"/>
    <d v="2025-06-09T00:00:00"/>
    <x v="1"/>
    <x v="1"/>
  </r>
  <r>
    <b v="1"/>
    <d v="1899-12-30T09:10:00"/>
    <d v="1899-12-30T10:30:00"/>
    <n v="80"/>
    <x v="1"/>
    <b v="0"/>
    <b v="0"/>
    <x v="3"/>
    <x v="2"/>
    <x v="0"/>
    <x v="2"/>
    <x v="0"/>
    <n v="0.05"/>
    <x v="18"/>
    <s v="Off-peak only"/>
    <s v="Bakersfield, CA"/>
    <n v="35.3733"/>
    <n v="-119.0187"/>
    <d v="2022-12-24T00:00:00"/>
    <n v="0"/>
    <b v="1"/>
    <d v="2025-06-01T00:00:00"/>
    <x v="1"/>
    <x v="1"/>
  </r>
  <r>
    <b v="1"/>
    <d v="1899-12-30T14:52:00"/>
    <d v="1899-12-30T17:32:00"/>
    <n v="160"/>
    <x v="0"/>
    <b v="0"/>
    <b v="0"/>
    <x v="0"/>
    <x v="2"/>
    <x v="0"/>
    <x v="2"/>
    <x v="0"/>
    <n v="0.05"/>
    <x v="18"/>
    <s v="Off-peak only"/>
    <s v="Sacramento, CA"/>
    <n v="38.581600000000002"/>
    <n v="-121.4944"/>
    <d v="2023-01-20T00:00:00"/>
    <n v="0"/>
    <b v="1"/>
    <d v="2025-06-03T00:00:00"/>
    <x v="1"/>
    <x v="1"/>
  </r>
  <r>
    <b v="0"/>
    <d v="1899-12-30T17:00:00"/>
    <d v="1899-12-30T18:33:00"/>
    <n v="93"/>
    <x v="1"/>
    <b v="0"/>
    <b v="1"/>
    <x v="4"/>
    <x v="2"/>
    <x v="1"/>
    <x v="5"/>
    <x v="1"/>
    <n v="0"/>
    <x v="14"/>
    <s v="Off-peak only"/>
    <s v="Fresno, CA"/>
    <n v="36.7378"/>
    <n v="-119.7871"/>
    <d v="2024-04-25T00:00:00"/>
    <n v="0"/>
    <b v="0"/>
    <d v="2025-06-29T00:00:00"/>
    <x v="3"/>
    <x v="3"/>
  </r>
  <r>
    <b v="0"/>
    <d v="1899-12-30T17:22:00"/>
    <d v="1899-12-30T18:50:00"/>
    <n v="88"/>
    <x v="1"/>
    <b v="1"/>
    <b v="0"/>
    <x v="1"/>
    <x v="1"/>
    <x v="1"/>
    <x v="4"/>
    <x v="1"/>
    <n v="0"/>
    <x v="8"/>
    <s v="Weekdays only"/>
    <s v="Fresno, CA"/>
    <n v="36.7378"/>
    <n v="-119.7871"/>
    <d v="2023-07-12T00:00:00"/>
    <n v="1"/>
    <b v="1"/>
    <d v="2025-06-12T00:00:00"/>
    <x v="3"/>
    <x v="3"/>
  </r>
  <r>
    <b v="1"/>
    <d v="1899-12-30T19:37:00"/>
    <d v="1899-12-30T20:38:00"/>
    <n v="61"/>
    <x v="0"/>
    <b v="0"/>
    <b v="1"/>
    <x v="4"/>
    <x v="3"/>
    <x v="2"/>
    <x v="9"/>
    <x v="2"/>
    <n v="0.1"/>
    <x v="41"/>
    <s v="All hours + Priority access"/>
    <s v="Anaheim, CA"/>
    <n v="33.836599999999997"/>
    <n v="-117.9143"/>
    <d v="2024-11-16T00:00:00"/>
    <n v="0"/>
    <b v="1"/>
    <d v="2025-07-10T00:00:00"/>
    <x v="1"/>
    <x v="1"/>
  </r>
  <r>
    <b v="0"/>
    <d v="1899-12-30T09:12:00"/>
    <d v="1899-12-30T11:17:00"/>
    <n v="125"/>
    <x v="0"/>
    <b v="0"/>
    <b v="0"/>
    <x v="2"/>
    <x v="0"/>
    <x v="0"/>
    <x v="0"/>
    <x v="1"/>
    <n v="0"/>
    <x v="5"/>
    <s v="All hours"/>
    <s v="Anaheim, CA"/>
    <n v="33.836599999999997"/>
    <n v="-117.9143"/>
    <d v="2024-08-14T00:00:00"/>
    <n v="0"/>
    <b v="1"/>
    <d v="2025-07-05T00:00:00"/>
    <x v="3"/>
    <x v="3"/>
  </r>
  <r>
    <b v="0"/>
    <d v="1899-12-30T13:51:00"/>
    <d v="1899-12-30T16:13:00"/>
    <n v="142"/>
    <x v="0"/>
    <b v="1"/>
    <b v="1"/>
    <x v="1"/>
    <x v="0"/>
    <x v="1"/>
    <x v="6"/>
    <x v="1"/>
    <n v="0"/>
    <x v="12"/>
    <s v="All hours"/>
    <s v="San Francisco, CA"/>
    <n v="37.774900000000002"/>
    <n v="-122.4194"/>
    <d v="2022-11-11T00:00:00"/>
    <n v="8"/>
    <b v="1"/>
    <d v="2025-05-30T00:00:00"/>
    <x v="1"/>
    <x v="1"/>
  </r>
  <r>
    <b v="1"/>
    <d v="1899-12-30T20:00:00"/>
    <d v="1899-12-30T21:50:00"/>
    <n v="110"/>
    <x v="1"/>
    <b v="1"/>
    <b v="0"/>
    <x v="4"/>
    <x v="1"/>
    <x v="0"/>
    <x v="1"/>
    <x v="1"/>
    <n v="0"/>
    <x v="1"/>
    <s v="Weekdays only"/>
    <s v="San Diego, CA"/>
    <n v="32.715699999999998"/>
    <n v="-117.1611"/>
    <d v="2025-06-09T00:00:00"/>
    <n v="7"/>
    <b v="0"/>
    <d v="2025-07-22T00:00:00"/>
    <x v="3"/>
    <x v="3"/>
  </r>
  <r>
    <b v="0"/>
    <d v="1899-12-30T15:28:00"/>
    <d v="1899-12-30T17:57:00"/>
    <n v="149"/>
    <x v="1"/>
    <b v="0"/>
    <b v="0"/>
    <x v="0"/>
    <x v="0"/>
    <x v="0"/>
    <x v="0"/>
    <x v="0"/>
    <n v="0.05"/>
    <x v="0"/>
    <s v="All hours"/>
    <s v="Long Beach, CA"/>
    <n v="33.770099999999999"/>
    <n v="-118.19370000000001"/>
    <d v="2025-03-23T00:00:00"/>
    <n v="0"/>
    <b v="1"/>
    <d v="2025-07-17T00:00:00"/>
    <x v="1"/>
    <x v="1"/>
  </r>
  <r>
    <b v="0"/>
    <d v="1899-12-30T11:25:00"/>
    <d v="1899-12-30T12:56:00"/>
    <n v="91"/>
    <x v="1"/>
    <b v="0"/>
    <b v="1"/>
    <x v="4"/>
    <x v="1"/>
    <x v="0"/>
    <x v="1"/>
    <x v="3"/>
    <n v="0.15"/>
    <x v="15"/>
    <s v="Weekdays only"/>
    <s v="Fresno, CA"/>
    <n v="36.7378"/>
    <n v="-119.7871"/>
    <d v="2024-11-13T00:00:00"/>
    <n v="0"/>
    <b v="0"/>
    <d v="2025-07-10T00:00:00"/>
    <x v="3"/>
    <x v="3"/>
  </r>
  <r>
    <b v="1"/>
    <d v="1899-12-30T18:15:00"/>
    <d v="1899-12-30T18:54:00"/>
    <n v="39"/>
    <x v="0"/>
    <b v="1"/>
    <b v="1"/>
    <x v="2"/>
    <x v="3"/>
    <x v="0"/>
    <x v="3"/>
    <x v="1"/>
    <n v="0"/>
    <x v="4"/>
    <s v="All hours + Priority access"/>
    <s v="San Diego, CA"/>
    <n v="32.715699999999998"/>
    <n v="-117.1611"/>
    <d v="2025-05-25T00:00:00"/>
    <n v="7"/>
    <b v="1"/>
    <d v="2025-07-21T00:00:00"/>
    <x v="3"/>
    <x v="3"/>
  </r>
  <r>
    <b v="1"/>
    <d v="1899-12-30T20:00:00"/>
    <d v="1899-12-30T21:50:00"/>
    <n v="110"/>
    <x v="1"/>
    <b v="1"/>
    <b v="0"/>
    <x v="4"/>
    <x v="1"/>
    <x v="0"/>
    <x v="1"/>
    <x v="1"/>
    <n v="0"/>
    <x v="1"/>
    <s v="Weekdays only"/>
    <s v="San Diego, CA"/>
    <n v="32.715699999999998"/>
    <n v="-117.1611"/>
    <d v="2024-12-11T00:00:00"/>
    <n v="7"/>
    <b v="1"/>
    <d v="2025-07-12T00:00:00"/>
    <x v="3"/>
    <x v="3"/>
  </r>
  <r>
    <b v="1"/>
    <d v="1899-12-30T18:26:00"/>
    <d v="1899-12-30T21:21:00"/>
    <n v="175"/>
    <x v="1"/>
    <b v="1"/>
    <b v="0"/>
    <x v="0"/>
    <x v="2"/>
    <x v="1"/>
    <x v="5"/>
    <x v="3"/>
    <n v="0.15"/>
    <x v="13"/>
    <s v="Off-peak only"/>
    <s v="San Francisco, CA"/>
    <n v="37.774900000000002"/>
    <n v="-122.4194"/>
    <d v="2023-10-11T00:00:00"/>
    <n v="8"/>
    <b v="0"/>
    <d v="2025-06-18T00:00:00"/>
    <x v="0"/>
    <x v="0"/>
  </r>
  <r>
    <b v="0"/>
    <d v="1899-12-30T20:53:00"/>
    <d v="1899-12-30T23:33:00"/>
    <n v="160"/>
    <x v="1"/>
    <b v="0"/>
    <b v="0"/>
    <x v="0"/>
    <x v="0"/>
    <x v="0"/>
    <x v="0"/>
    <x v="2"/>
    <n v="0.1"/>
    <x v="16"/>
    <s v="All hours"/>
    <s v="Bakersfield, CA"/>
    <n v="35.3733"/>
    <n v="-119.0187"/>
    <d v="2024-03-31T00:00:00"/>
    <n v="0"/>
    <b v="1"/>
    <d v="2025-06-27T00:00:00"/>
    <x v="3"/>
    <x v="3"/>
  </r>
  <r>
    <b v="1"/>
    <d v="1899-12-30T08:33:00"/>
    <d v="1899-12-30T10:13:00"/>
    <n v="100"/>
    <x v="1"/>
    <b v="1"/>
    <b v="1"/>
    <x v="0"/>
    <x v="0"/>
    <x v="0"/>
    <x v="0"/>
    <x v="3"/>
    <n v="0.15"/>
    <x v="27"/>
    <s v="All hours"/>
    <s v="Sacramento, CA"/>
    <n v="38.581600000000002"/>
    <n v="-121.4944"/>
    <d v="2022-11-15T00:00:00"/>
    <n v="5"/>
    <b v="1"/>
    <d v="2025-05-30T00:00:00"/>
    <x v="0"/>
    <x v="0"/>
  </r>
  <r>
    <b v="1"/>
    <d v="1899-12-30T08:18:00"/>
    <d v="1899-12-30T11:08:00"/>
    <n v="170"/>
    <x v="0"/>
    <b v="0"/>
    <b v="0"/>
    <x v="0"/>
    <x v="1"/>
    <x v="0"/>
    <x v="1"/>
    <x v="1"/>
    <n v="0"/>
    <x v="1"/>
    <s v="Weekdays only"/>
    <s v="Oakland, CA"/>
    <n v="37.804400000000001"/>
    <n v="-122.27119999999999"/>
    <d v="2023-02-03T00:00:00"/>
    <n v="0"/>
    <b v="1"/>
    <d v="2025-06-03T00:00:00"/>
    <x v="3"/>
    <x v="3"/>
  </r>
  <r>
    <b v="1"/>
    <d v="1899-12-30T09:46:00"/>
    <d v="1899-12-30T11:10:00"/>
    <n v="84"/>
    <x v="1"/>
    <b v="1"/>
    <b v="0"/>
    <x v="4"/>
    <x v="0"/>
    <x v="2"/>
    <x v="10"/>
    <x v="1"/>
    <n v="0"/>
    <x v="16"/>
    <s v="All hours"/>
    <s v="Long Beach, CA"/>
    <n v="33.770099999999999"/>
    <n v="-118.19370000000001"/>
    <d v="2024-06-23T00:00:00"/>
    <n v="6"/>
    <b v="0"/>
    <d v="2025-07-02T00:00:00"/>
    <x v="0"/>
    <x v="0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4-09-19T00:00:00"/>
    <n v="0"/>
    <b v="1"/>
    <d v="2025-07-07T00:00:00"/>
    <x v="3"/>
    <x v="3"/>
  </r>
  <r>
    <b v="1"/>
    <d v="1899-12-30T19:10:00"/>
    <d v="1899-12-30T21:32:00"/>
    <n v="142"/>
    <x v="1"/>
    <b v="1"/>
    <b v="0"/>
    <x v="0"/>
    <x v="1"/>
    <x v="2"/>
    <x v="8"/>
    <x v="2"/>
    <n v="0.1"/>
    <x v="33"/>
    <s v="Weekdays only"/>
    <s v="Sacramento, CA"/>
    <n v="38.581600000000002"/>
    <n v="-121.4944"/>
    <d v="2024-05-14T00:00:00"/>
    <n v="1"/>
    <b v="0"/>
    <d v="2025-06-30T00:00:00"/>
    <x v="3"/>
    <x v="3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3-10-03T00:00:00"/>
    <n v="0"/>
    <b v="1"/>
    <d v="2025-06-17T00:00:00"/>
    <x v="3"/>
    <x v="3"/>
  </r>
  <r>
    <b v="1"/>
    <d v="1899-12-30T19:50:00"/>
    <d v="1899-12-30T22:43:00"/>
    <n v="173"/>
    <x v="1"/>
    <b v="1"/>
    <b v="0"/>
    <x v="4"/>
    <x v="2"/>
    <x v="0"/>
    <x v="2"/>
    <x v="1"/>
    <n v="0"/>
    <x v="3"/>
    <s v="Off-peak only"/>
    <s v="Oakland, CA"/>
    <n v="37.804400000000001"/>
    <n v="-122.27119999999999"/>
    <d v="2024-09-10T00:00:00"/>
    <n v="8"/>
    <b v="0"/>
    <d v="2025-07-06T00:00:00"/>
    <x v="2"/>
    <x v="2"/>
  </r>
  <r>
    <b v="0"/>
    <d v="1899-12-30T12:32:00"/>
    <d v="1899-12-30T13:02:00"/>
    <n v="30"/>
    <x v="0"/>
    <b v="0"/>
    <b v="0"/>
    <x v="4"/>
    <x v="3"/>
    <x v="0"/>
    <x v="3"/>
    <x v="3"/>
    <n v="0.15"/>
    <x v="40"/>
    <s v="All hours + Priority access"/>
    <s v="Fresno, CA"/>
    <n v="36.7378"/>
    <n v="-119.7871"/>
    <d v="2023-08-28T00:00:00"/>
    <n v="0"/>
    <b v="1"/>
    <d v="2025-06-15T00:00:00"/>
    <x v="1"/>
    <x v="1"/>
  </r>
  <r>
    <b v="1"/>
    <d v="1899-12-30T19:31:00"/>
    <d v="1899-12-30T21:27:00"/>
    <n v="116"/>
    <x v="0"/>
    <b v="0"/>
    <b v="1"/>
    <x v="4"/>
    <x v="2"/>
    <x v="0"/>
    <x v="2"/>
    <x v="3"/>
    <n v="0.15"/>
    <x v="17"/>
    <s v="Off-peak only"/>
    <s v="Anaheim, CA"/>
    <n v="33.836599999999997"/>
    <n v="-117.9143"/>
    <d v="2024-04-12T00:00:00"/>
    <n v="0"/>
    <b v="0"/>
    <d v="2025-06-28T00:00:00"/>
    <x v="3"/>
    <x v="3"/>
  </r>
  <r>
    <b v="0"/>
    <d v="1899-12-30T13:53:00"/>
    <d v="1899-12-30T16:05:00"/>
    <n v="132"/>
    <x v="0"/>
    <b v="0"/>
    <b v="1"/>
    <x v="4"/>
    <x v="0"/>
    <x v="0"/>
    <x v="0"/>
    <x v="1"/>
    <n v="0"/>
    <x v="5"/>
    <s v="All hours"/>
    <s v="San Francisco, CA"/>
    <n v="37.774900000000002"/>
    <n v="-122.4194"/>
    <d v="2023-11-13T00:00:00"/>
    <n v="0"/>
    <b v="0"/>
    <d v="2025-06-19T00:00:00"/>
    <x v="0"/>
    <x v="0"/>
  </r>
  <r>
    <b v="1"/>
    <d v="1899-12-30T20:22:00"/>
    <d v="1899-12-30T22:56:00"/>
    <n v="154"/>
    <x v="1"/>
    <b v="0"/>
    <b v="0"/>
    <x v="3"/>
    <x v="0"/>
    <x v="0"/>
    <x v="0"/>
    <x v="1"/>
    <n v="0"/>
    <x v="5"/>
    <s v="All hours"/>
    <s v="Anaheim, CA"/>
    <n v="33.836599999999997"/>
    <n v="-117.9143"/>
    <d v="2024-03-15T00:00:00"/>
    <n v="0"/>
    <b v="1"/>
    <d v="2025-06-26T00:00:00"/>
    <x v="3"/>
    <x v="3"/>
  </r>
  <r>
    <b v="0"/>
    <d v="1899-12-30T11:00:00"/>
    <d v="1899-12-30T12:12:00"/>
    <n v="72"/>
    <x v="1"/>
    <b v="0"/>
    <b v="0"/>
    <x v="0"/>
    <x v="1"/>
    <x v="0"/>
    <x v="1"/>
    <x v="2"/>
    <n v="0.1"/>
    <x v="2"/>
    <s v="Weekdays only"/>
    <s v="Oakland, CA"/>
    <n v="37.804400000000001"/>
    <n v="-122.27119999999999"/>
    <d v="2024-08-13T00:00:00"/>
    <n v="0"/>
    <b v="0"/>
    <d v="2025-07-05T00:00:00"/>
    <x v="3"/>
    <x v="3"/>
  </r>
  <r>
    <b v="1"/>
    <d v="1899-12-30T14:06:00"/>
    <d v="1899-12-30T16:15:00"/>
    <n v="129"/>
    <x v="1"/>
    <b v="0"/>
    <b v="0"/>
    <x v="2"/>
    <x v="3"/>
    <x v="2"/>
    <x v="9"/>
    <x v="3"/>
    <n v="0.15"/>
    <x v="19"/>
    <s v="All hours + Priority access"/>
    <s v="Anaheim, CA"/>
    <n v="33.836599999999997"/>
    <n v="-117.9143"/>
    <d v="2022-09-16T00:00:00"/>
    <n v="0"/>
    <b v="1"/>
    <d v="2025-05-27T00:00:00"/>
    <x v="2"/>
    <x v="2"/>
  </r>
  <r>
    <b v="1"/>
    <d v="1899-12-30T18:40:00"/>
    <d v="1899-12-30T21:21:00"/>
    <n v="161"/>
    <x v="1"/>
    <b v="1"/>
    <b v="1"/>
    <x v="2"/>
    <x v="0"/>
    <x v="0"/>
    <x v="0"/>
    <x v="0"/>
    <n v="0.05"/>
    <x v="0"/>
    <s v="All hours"/>
    <s v="Los Angeles, CA"/>
    <n v="34.052199999999999"/>
    <n v="-118.2437"/>
    <d v="2023-04-01T00:00:00"/>
    <n v="6"/>
    <b v="1"/>
    <d v="2025-06-07T00:00:00"/>
    <x v="3"/>
    <x v="3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5-01-24T00:00:00"/>
    <n v="0"/>
    <b v="1"/>
    <d v="2025-07-14T00:00:00"/>
    <x v="1"/>
    <x v="1"/>
  </r>
  <r>
    <b v="0"/>
    <d v="1899-12-30T10:11:00"/>
    <d v="1899-12-30T11:56:00"/>
    <n v="105"/>
    <x v="1"/>
    <b v="0"/>
    <b v="1"/>
    <x v="0"/>
    <x v="1"/>
    <x v="0"/>
    <x v="1"/>
    <x v="1"/>
    <n v="0"/>
    <x v="1"/>
    <s v="Weekdays only"/>
    <s v="San Francisco, CA"/>
    <n v="37.774900000000002"/>
    <n v="-122.4194"/>
    <d v="2022-12-11T00:00:00"/>
    <n v="0"/>
    <b v="0"/>
    <d v="2025-05-31T00:00:00"/>
    <x v="2"/>
    <x v="4"/>
  </r>
  <r>
    <b v="1"/>
    <d v="1899-12-30T14:20:00"/>
    <d v="1899-12-30T17:20:00"/>
    <n v="180"/>
    <x v="1"/>
    <b v="1"/>
    <b v="1"/>
    <x v="4"/>
    <x v="1"/>
    <x v="1"/>
    <x v="4"/>
    <x v="2"/>
    <n v="0.1"/>
    <x v="26"/>
    <s v="Weekdays only"/>
    <s v="Anaheim, CA"/>
    <n v="33.836599999999997"/>
    <n v="-117.9143"/>
    <d v="2024-01-20T00:00:00"/>
    <n v="4"/>
    <b v="0"/>
    <d v="2025-06-23T00:00:00"/>
    <x v="0"/>
    <x v="0"/>
  </r>
  <r>
    <b v="0"/>
    <d v="1899-12-30T11:19:00"/>
    <d v="1899-12-30T12:16:00"/>
    <n v="57"/>
    <x v="0"/>
    <b v="1"/>
    <b v="1"/>
    <x v="4"/>
    <x v="3"/>
    <x v="0"/>
    <x v="3"/>
    <x v="1"/>
    <n v="0"/>
    <x v="4"/>
    <s v="All hours + Priority access"/>
    <s v="Fresno, CA"/>
    <n v="36.7378"/>
    <n v="-119.7871"/>
    <d v="2022-11-13T00:00:00"/>
    <n v="3"/>
    <b v="0"/>
    <d v="2025-05-30T00:00:00"/>
    <x v="0"/>
    <x v="0"/>
  </r>
  <r>
    <b v="0"/>
    <d v="1899-12-30T20:08:00"/>
    <d v="1899-12-30T22:44:00"/>
    <n v="156"/>
    <x v="1"/>
    <b v="0"/>
    <b v="0"/>
    <x v="0"/>
    <x v="1"/>
    <x v="0"/>
    <x v="1"/>
    <x v="1"/>
    <n v="0"/>
    <x v="1"/>
    <s v="Weekdays only"/>
    <s v="San Diego, CA"/>
    <n v="32.715699999999998"/>
    <n v="-117.1611"/>
    <d v="2023-02-22T00:00:00"/>
    <n v="0"/>
    <b v="0"/>
    <d v="2025-06-05T00:00:00"/>
    <x v="3"/>
    <x v="3"/>
  </r>
  <r>
    <b v="0"/>
    <d v="1899-12-30T19:17:00"/>
    <d v="1899-12-30T20:30:00"/>
    <n v="73"/>
    <x v="0"/>
    <b v="1"/>
    <b v="1"/>
    <x v="0"/>
    <x v="2"/>
    <x v="0"/>
    <x v="2"/>
    <x v="1"/>
    <n v="0"/>
    <x v="3"/>
    <s v="Off-peak only"/>
    <s v="Bakersfield, CA"/>
    <n v="35.3733"/>
    <n v="-119.0187"/>
    <d v="2024-03-27T00:00:00"/>
    <n v="3"/>
    <b v="0"/>
    <d v="2025-06-27T00:00:00"/>
    <x v="1"/>
    <x v="1"/>
  </r>
  <r>
    <b v="1"/>
    <d v="1899-12-30T16:41:00"/>
    <d v="1899-12-30T18:02:00"/>
    <n v="81"/>
    <x v="1"/>
    <b v="1"/>
    <b v="1"/>
    <x v="0"/>
    <x v="0"/>
    <x v="1"/>
    <x v="6"/>
    <x v="3"/>
    <n v="0.15"/>
    <x v="28"/>
    <s v="All hours"/>
    <s v="Sacramento, CA"/>
    <n v="38.581600000000002"/>
    <n v="-121.4944"/>
    <d v="2025-05-30T00:00:00"/>
    <n v="8"/>
    <b v="1"/>
    <d v="2025-07-21T00:00:00"/>
    <x v="0"/>
    <x v="0"/>
  </r>
  <r>
    <b v="1"/>
    <d v="1899-12-30T13:19:00"/>
    <d v="1899-12-30T14:52:00"/>
    <n v="93"/>
    <x v="1"/>
    <b v="1"/>
    <b v="1"/>
    <x v="4"/>
    <x v="3"/>
    <x v="0"/>
    <x v="3"/>
    <x v="2"/>
    <n v="0.1"/>
    <x v="22"/>
    <s v="All hours + Priority access"/>
    <s v="Bakersfield, CA"/>
    <n v="35.3733"/>
    <n v="-119.0187"/>
    <d v="2024-09-09T00:00:00"/>
    <n v="6"/>
    <b v="0"/>
    <d v="2025-07-06T00:00:00"/>
    <x v="1"/>
    <x v="1"/>
  </r>
  <r>
    <b v="0"/>
    <d v="1899-12-30T17:57:00"/>
    <d v="1899-12-30T19:45:00"/>
    <n v="108"/>
    <x v="1"/>
    <b v="1"/>
    <b v="1"/>
    <x v="1"/>
    <x v="1"/>
    <x v="0"/>
    <x v="1"/>
    <x v="1"/>
    <n v="0"/>
    <x v="1"/>
    <s v="Weekdays only"/>
    <s v="Oakland, CA"/>
    <n v="37.804400000000001"/>
    <n v="-122.27119999999999"/>
    <d v="2023-11-24T00:00:00"/>
    <n v="2"/>
    <b v="0"/>
    <d v="2025-06-20T00:00:00"/>
    <x v="1"/>
    <x v="1"/>
  </r>
  <r>
    <b v="0"/>
    <d v="1899-12-30T15:02:00"/>
    <d v="1899-12-30T16:29:00"/>
    <n v="87"/>
    <x v="0"/>
    <b v="0"/>
    <b v="0"/>
    <x v="0"/>
    <x v="1"/>
    <x v="0"/>
    <x v="1"/>
    <x v="2"/>
    <n v="0.1"/>
    <x v="2"/>
    <s v="Weekdays only"/>
    <s v="Bakersfield, CA"/>
    <n v="35.3733"/>
    <n v="-119.0187"/>
    <d v="2023-08-18T00:00:00"/>
    <n v="0"/>
    <b v="0"/>
    <d v="2025-06-14T00:00:00"/>
    <x v="1"/>
    <x v="1"/>
  </r>
  <r>
    <b v="0"/>
    <d v="1899-12-30T16:59:00"/>
    <d v="1899-12-30T18:41:00"/>
    <n v="102"/>
    <x v="1"/>
    <b v="0"/>
    <b v="0"/>
    <x v="0"/>
    <x v="2"/>
    <x v="0"/>
    <x v="2"/>
    <x v="0"/>
    <n v="0.05"/>
    <x v="18"/>
    <s v="Off-peak only"/>
    <s v="Fresno, CA"/>
    <n v="36.7378"/>
    <n v="-119.7871"/>
    <d v="2024-09-21T00:00:00"/>
    <n v="0"/>
    <b v="0"/>
    <d v="2025-07-07T00:00:00"/>
    <x v="2"/>
    <x v="2"/>
  </r>
  <r>
    <b v="0"/>
    <d v="1899-12-30T10:38:00"/>
    <d v="1899-12-30T13:05:00"/>
    <n v="147"/>
    <x v="1"/>
    <b v="0"/>
    <b v="0"/>
    <x v="0"/>
    <x v="2"/>
    <x v="0"/>
    <x v="2"/>
    <x v="0"/>
    <n v="0.05"/>
    <x v="18"/>
    <s v="Off-peak only"/>
    <s v="Fresno, CA"/>
    <n v="36.7378"/>
    <n v="-119.7871"/>
    <d v="2025-01-25T00:00:00"/>
    <n v="0"/>
    <b v="0"/>
    <d v="2025-07-14T00:00:00"/>
    <x v="1"/>
    <x v="1"/>
  </r>
  <r>
    <b v="1"/>
    <d v="1899-12-30T09:04:00"/>
    <d v="1899-12-30T09:47:00"/>
    <n v="43"/>
    <x v="1"/>
    <b v="0"/>
    <b v="0"/>
    <x v="0"/>
    <x v="1"/>
    <x v="0"/>
    <x v="1"/>
    <x v="1"/>
    <n v="0"/>
    <x v="1"/>
    <s v="Weekdays only"/>
    <s v="Long Beach, CA"/>
    <n v="33.770099999999999"/>
    <n v="-118.19370000000001"/>
    <d v="2023-01-15T00:00:00"/>
    <n v="0"/>
    <b v="0"/>
    <d v="2025-06-02T00:00:00"/>
    <x v="1"/>
    <x v="1"/>
  </r>
  <r>
    <b v="0"/>
    <d v="1899-12-30T10:38:00"/>
    <d v="1899-12-30T13:05:00"/>
    <n v="147"/>
    <x v="1"/>
    <b v="0"/>
    <b v="0"/>
    <x v="0"/>
    <x v="2"/>
    <x v="0"/>
    <x v="2"/>
    <x v="0"/>
    <n v="0.05"/>
    <x v="18"/>
    <s v="Off-peak only"/>
    <s v="Fresno, CA"/>
    <n v="36.7378"/>
    <n v="-119.7871"/>
    <d v="2022-08-09T00:00:00"/>
    <n v="0"/>
    <b v="1"/>
    <d v="2025-05-24T00:00:00"/>
    <x v="1"/>
    <x v="1"/>
  </r>
  <r>
    <b v="1"/>
    <d v="1899-12-30T15:06:00"/>
    <d v="1899-12-30T16:40:00"/>
    <n v="94"/>
    <x v="0"/>
    <b v="0"/>
    <b v="0"/>
    <x v="4"/>
    <x v="1"/>
    <x v="1"/>
    <x v="4"/>
    <x v="2"/>
    <n v="0.1"/>
    <x v="26"/>
    <s v="Weekdays only"/>
    <s v="San Francisco, CA"/>
    <n v="37.774900000000002"/>
    <n v="-122.4194"/>
    <d v="2023-12-11T00:00:00"/>
    <n v="0"/>
    <b v="0"/>
    <d v="2025-06-21T00:00:00"/>
    <x v="3"/>
    <x v="3"/>
  </r>
  <r>
    <b v="1"/>
    <d v="1899-12-30T15:26:00"/>
    <d v="1899-12-30T16:15:00"/>
    <n v="49"/>
    <x v="1"/>
    <b v="0"/>
    <b v="0"/>
    <x v="4"/>
    <x v="3"/>
    <x v="0"/>
    <x v="3"/>
    <x v="0"/>
    <n v="0.05"/>
    <x v="23"/>
    <s v="All hours + Priority access"/>
    <s v="San Diego, CA"/>
    <n v="32.715699999999998"/>
    <n v="-117.1611"/>
    <d v="2024-12-22T00:00:00"/>
    <n v="0"/>
    <b v="1"/>
    <d v="2025-07-12T00:00:00"/>
    <x v="1"/>
    <x v="1"/>
  </r>
  <r>
    <b v="0"/>
    <d v="1899-12-30T13:26:00"/>
    <d v="1899-12-30T16:15:00"/>
    <n v="169"/>
    <x v="0"/>
    <b v="0"/>
    <b v="0"/>
    <x v="2"/>
    <x v="0"/>
    <x v="0"/>
    <x v="0"/>
    <x v="3"/>
    <n v="0.15"/>
    <x v="27"/>
    <s v="All hours"/>
    <s v="Long Beach, CA"/>
    <n v="33.770099999999999"/>
    <n v="-118.19370000000001"/>
    <d v="2024-09-05T00:00:00"/>
    <n v="0"/>
    <b v="1"/>
    <d v="2025-07-06T00:00:00"/>
    <x v="2"/>
    <x v="2"/>
  </r>
  <r>
    <b v="1"/>
    <d v="1899-12-30T18:41:00"/>
    <d v="1899-12-30T21:36:00"/>
    <n v="175"/>
    <x v="0"/>
    <b v="1"/>
    <b v="0"/>
    <x v="4"/>
    <x v="0"/>
    <x v="1"/>
    <x v="6"/>
    <x v="3"/>
    <n v="0.15"/>
    <x v="28"/>
    <s v="All hours"/>
    <s v="Anaheim, CA"/>
    <n v="33.836599999999997"/>
    <n v="-117.9143"/>
    <d v="2025-06-03T00:00:00"/>
    <n v="5"/>
    <b v="1"/>
    <d v="2025-07-21T00:00:00"/>
    <x v="0"/>
    <x v="0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2-10-23T00:00:00"/>
    <n v="0"/>
    <b v="0"/>
    <d v="2025-05-29T00:00:00"/>
    <x v="3"/>
    <x v="3"/>
  </r>
  <r>
    <b v="0"/>
    <d v="1899-12-30T15:21:00"/>
    <d v="1899-12-30T16:26:00"/>
    <n v="65"/>
    <x v="0"/>
    <b v="1"/>
    <b v="0"/>
    <x v="2"/>
    <x v="1"/>
    <x v="0"/>
    <x v="1"/>
    <x v="0"/>
    <n v="0.05"/>
    <x v="7"/>
    <s v="Weekdays only"/>
    <s v="Sacramento, CA"/>
    <n v="38.581600000000002"/>
    <n v="-121.4944"/>
    <d v="2025-02-17T00:00:00"/>
    <n v="7"/>
    <b v="1"/>
    <d v="2025-07-15T00:00:00"/>
    <x v="3"/>
    <x v="3"/>
  </r>
  <r>
    <b v="1"/>
    <d v="1899-12-30T11:18:00"/>
    <d v="1899-12-30T14:06:00"/>
    <n v="168"/>
    <x v="1"/>
    <b v="1"/>
    <b v="1"/>
    <x v="0"/>
    <x v="2"/>
    <x v="1"/>
    <x v="5"/>
    <x v="2"/>
    <n v="0.1"/>
    <x v="20"/>
    <s v="Off-peak only"/>
    <s v="San Francisco, CA"/>
    <n v="37.774900000000002"/>
    <n v="-122.4194"/>
    <d v="2023-10-18T00:00:00"/>
    <n v="5"/>
    <b v="0"/>
    <d v="2025-06-18T00:00:00"/>
    <x v="0"/>
    <x v="0"/>
  </r>
  <r>
    <b v="0"/>
    <d v="1899-12-30T12:50:00"/>
    <d v="1899-12-30T15:20:00"/>
    <n v="150"/>
    <x v="1"/>
    <b v="1"/>
    <b v="1"/>
    <x v="0"/>
    <x v="1"/>
    <x v="2"/>
    <x v="8"/>
    <x v="1"/>
    <n v="0"/>
    <x v="2"/>
    <s v="Weekdays only"/>
    <s v="San Francisco, CA"/>
    <n v="37.774900000000002"/>
    <n v="-122.4194"/>
    <d v="2024-09-04T00:00:00"/>
    <n v="5"/>
    <b v="0"/>
    <d v="2025-07-06T00:00:00"/>
    <x v="0"/>
    <x v="0"/>
  </r>
  <r>
    <b v="1"/>
    <d v="1899-12-30T12:19:00"/>
    <d v="1899-12-30T12:49:00"/>
    <n v="30"/>
    <x v="0"/>
    <b v="1"/>
    <b v="1"/>
    <x v="0"/>
    <x v="1"/>
    <x v="0"/>
    <x v="1"/>
    <x v="1"/>
    <n v="0"/>
    <x v="1"/>
    <s v="Weekdays only"/>
    <s v="San Francisco, CA"/>
    <n v="37.774900000000002"/>
    <n v="-122.4194"/>
    <d v="2023-11-10T00:00:00"/>
    <n v="8"/>
    <b v="0"/>
    <d v="2025-06-19T00:00:00"/>
    <x v="0"/>
    <x v="0"/>
  </r>
  <r>
    <b v="1"/>
    <d v="1899-12-30T10:42:00"/>
    <d v="1899-12-30T13:29:00"/>
    <n v="167"/>
    <x v="0"/>
    <b v="1"/>
    <b v="0"/>
    <x v="0"/>
    <x v="0"/>
    <x v="0"/>
    <x v="0"/>
    <x v="2"/>
    <n v="0.1"/>
    <x v="16"/>
    <s v="All hours"/>
    <s v="Sacramento, CA"/>
    <n v="38.581600000000002"/>
    <n v="-121.4944"/>
    <d v="2023-07-30T00:00:00"/>
    <n v="4"/>
    <b v="1"/>
    <d v="2025-06-13T00:00:00"/>
    <x v="2"/>
    <x v="2"/>
  </r>
  <r>
    <b v="1"/>
    <d v="1899-12-30T19:19:00"/>
    <d v="1899-12-30T20:50:00"/>
    <n v="91"/>
    <x v="0"/>
    <b v="0"/>
    <b v="0"/>
    <x v="1"/>
    <x v="3"/>
    <x v="1"/>
    <x v="11"/>
    <x v="1"/>
    <n v="0"/>
    <x v="38"/>
    <s v="All hours + Priority access"/>
    <s v="San Diego, CA"/>
    <n v="32.715699999999998"/>
    <n v="-117.1611"/>
    <d v="2023-01-21T00:00:00"/>
    <n v="0"/>
    <b v="1"/>
    <d v="2025-06-03T00:00:00"/>
    <x v="0"/>
    <x v="0"/>
  </r>
  <r>
    <b v="1"/>
    <d v="1899-12-30T20:04:00"/>
    <d v="1899-12-30T22:29:00"/>
    <n v="145"/>
    <x v="0"/>
    <b v="1"/>
    <b v="1"/>
    <x v="4"/>
    <x v="3"/>
    <x v="0"/>
    <x v="3"/>
    <x v="3"/>
    <n v="0.15"/>
    <x v="40"/>
    <s v="All hours + Priority access"/>
    <s v="San Francisco, CA"/>
    <n v="37.774900000000002"/>
    <n v="-122.4194"/>
    <d v="2024-11-15T00:00:00"/>
    <n v="5"/>
    <b v="1"/>
    <d v="2025-07-10T00:00:00"/>
    <x v="0"/>
    <x v="0"/>
  </r>
  <r>
    <b v="1"/>
    <d v="1899-12-30T14:42:00"/>
    <d v="1899-12-30T16:08:00"/>
    <n v="86"/>
    <x v="0"/>
    <b v="1"/>
    <b v="1"/>
    <x v="2"/>
    <x v="2"/>
    <x v="2"/>
    <x v="7"/>
    <x v="1"/>
    <n v="0"/>
    <x v="6"/>
    <s v="Off-peak only"/>
    <s v="Bakersfield, CA"/>
    <n v="35.3733"/>
    <n v="-119.0187"/>
    <d v="2025-06-11T00:00:00"/>
    <n v="3"/>
    <b v="0"/>
    <d v="2025-07-22T00:00:00"/>
    <x v="0"/>
    <x v="0"/>
  </r>
  <r>
    <b v="0"/>
    <d v="1899-12-30T15:10:00"/>
    <d v="1899-12-30T16:06:00"/>
    <n v="56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5-01-28T00:00:00"/>
    <n v="4"/>
    <b v="0"/>
    <d v="2025-07-14T00:00:00"/>
    <x v="2"/>
    <x v="2"/>
  </r>
  <r>
    <b v="1"/>
    <d v="1899-12-30T18:58:00"/>
    <d v="1899-12-30T19:40:00"/>
    <n v="42"/>
    <x v="1"/>
    <b v="0"/>
    <b v="1"/>
    <x v="4"/>
    <x v="2"/>
    <x v="2"/>
    <x v="7"/>
    <x v="2"/>
    <n v="0.1"/>
    <x v="35"/>
    <s v="Off-peak only"/>
    <s v="Los Angeles, CA"/>
    <n v="34.052199999999999"/>
    <n v="-118.2437"/>
    <d v="2022-11-07T00:00:00"/>
    <n v="0"/>
    <b v="1"/>
    <d v="2025-05-29T00:00:00"/>
    <x v="3"/>
    <x v="3"/>
  </r>
  <r>
    <b v="0"/>
    <d v="1899-12-30T16:54:00"/>
    <d v="1899-12-30T19:49:00"/>
    <n v="175"/>
    <x v="1"/>
    <b v="0"/>
    <b v="0"/>
    <x v="4"/>
    <x v="0"/>
    <x v="0"/>
    <x v="0"/>
    <x v="1"/>
    <n v="0"/>
    <x v="5"/>
    <s v="All hours"/>
    <s v="Bakersfield, CA"/>
    <n v="35.3733"/>
    <n v="-119.0187"/>
    <d v="2022-12-05T00:00:00"/>
    <n v="0"/>
    <b v="1"/>
    <d v="2025-05-31T00:00:00"/>
    <x v="3"/>
    <x v="3"/>
  </r>
  <r>
    <b v="0"/>
    <d v="1899-12-30T11:54:00"/>
    <d v="1899-12-30T13:21:00"/>
    <n v="87"/>
    <x v="0"/>
    <b v="0"/>
    <b v="1"/>
    <x v="0"/>
    <x v="0"/>
    <x v="1"/>
    <x v="6"/>
    <x v="1"/>
    <n v="0"/>
    <x v="12"/>
    <s v="All hours"/>
    <s v="Sacramento, CA"/>
    <n v="38.581600000000002"/>
    <n v="-121.4944"/>
    <d v="2023-09-25T00:00:00"/>
    <n v="0"/>
    <b v="1"/>
    <d v="2025-06-17T00:00:00"/>
    <x v="1"/>
    <x v="1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3-09-22T00:00:00"/>
    <n v="1"/>
    <b v="0"/>
    <d v="2025-06-16T00:00:00"/>
    <x v="2"/>
    <x v="4"/>
  </r>
  <r>
    <b v="1"/>
    <d v="1899-12-30T08:25:00"/>
    <d v="1899-12-30T10:10:00"/>
    <n v="105"/>
    <x v="0"/>
    <b v="1"/>
    <b v="0"/>
    <x v="4"/>
    <x v="2"/>
    <x v="0"/>
    <x v="2"/>
    <x v="0"/>
    <n v="0.05"/>
    <x v="18"/>
    <s v="Off-peak only"/>
    <s v="Bakersfield, CA"/>
    <n v="35.3733"/>
    <n v="-119.0187"/>
    <d v="2023-07-15T00:00:00"/>
    <n v="5"/>
    <b v="0"/>
    <d v="2025-06-13T00:00:00"/>
    <x v="1"/>
    <x v="1"/>
  </r>
  <r>
    <b v="1"/>
    <d v="1899-12-30T10:17:00"/>
    <d v="1899-12-30T13:05:00"/>
    <n v="168"/>
    <x v="1"/>
    <b v="0"/>
    <b v="0"/>
    <x v="4"/>
    <x v="1"/>
    <x v="2"/>
    <x v="8"/>
    <x v="1"/>
    <n v="0"/>
    <x v="2"/>
    <s v="Weekdays only"/>
    <s v="Sacramento, CA"/>
    <n v="38.581600000000002"/>
    <n v="-121.4944"/>
    <d v="2024-12-18T00:00:00"/>
    <n v="0"/>
    <b v="1"/>
    <d v="2025-07-12T00:00:00"/>
    <x v="1"/>
    <x v="1"/>
  </r>
  <r>
    <b v="1"/>
    <d v="1899-12-30T08:13:00"/>
    <d v="1899-12-30T09:46:00"/>
    <n v="93"/>
    <x v="0"/>
    <b v="0"/>
    <b v="1"/>
    <x v="0"/>
    <x v="1"/>
    <x v="0"/>
    <x v="1"/>
    <x v="0"/>
    <n v="0.05"/>
    <x v="7"/>
    <s v="Weekdays only"/>
    <s v="San Jose, CA"/>
    <n v="37.338200000000001"/>
    <n v="-121.88630000000001"/>
    <d v="2022-10-23T00:00:00"/>
    <n v="0"/>
    <b v="1"/>
    <d v="2025-05-29T00:00:00"/>
    <x v="3"/>
    <x v="3"/>
  </r>
  <r>
    <b v="0"/>
    <d v="1899-12-30T14:23:00"/>
    <d v="1899-12-30T15:48:00"/>
    <n v="85"/>
    <x v="1"/>
    <b v="0"/>
    <b v="0"/>
    <x v="2"/>
    <x v="1"/>
    <x v="0"/>
    <x v="1"/>
    <x v="1"/>
    <n v="0"/>
    <x v="1"/>
    <s v="Weekdays only"/>
    <s v="Long Beach, CA"/>
    <n v="33.770099999999999"/>
    <n v="-118.19370000000001"/>
    <d v="2024-04-03T00:00:00"/>
    <n v="0"/>
    <b v="0"/>
    <d v="2025-06-27T00:00:00"/>
    <x v="1"/>
    <x v="1"/>
  </r>
  <r>
    <b v="1"/>
    <d v="1899-12-30T20:23:00"/>
    <d v="1899-12-30T21:49:00"/>
    <n v="86"/>
    <x v="0"/>
    <b v="1"/>
    <b v="0"/>
    <x v="0"/>
    <x v="2"/>
    <x v="1"/>
    <x v="5"/>
    <x v="2"/>
    <n v="0.1"/>
    <x v="20"/>
    <s v="Off-peak only"/>
    <s v="San Diego, CA"/>
    <n v="32.715699999999998"/>
    <n v="-117.1611"/>
    <d v="2024-05-10T00:00:00"/>
    <n v="5"/>
    <b v="0"/>
    <d v="2025-06-30T00:00:00"/>
    <x v="2"/>
    <x v="2"/>
  </r>
  <r>
    <b v="1"/>
    <d v="1899-12-30T08:38:00"/>
    <d v="1899-12-30T10:08:00"/>
    <n v="90"/>
    <x v="0"/>
    <b v="1"/>
    <b v="1"/>
    <x v="3"/>
    <x v="1"/>
    <x v="0"/>
    <x v="1"/>
    <x v="1"/>
    <n v="0"/>
    <x v="1"/>
    <s v="Weekdays only"/>
    <s v="San Francisco, CA"/>
    <n v="37.774900000000002"/>
    <n v="-122.4194"/>
    <d v="2023-12-18T00:00:00"/>
    <n v="1"/>
    <b v="0"/>
    <d v="2025-06-21T00:00:00"/>
    <x v="1"/>
    <x v="1"/>
  </r>
  <r>
    <b v="1"/>
    <d v="1899-12-30T17:13:00"/>
    <d v="1899-12-30T19:00:00"/>
    <n v="107"/>
    <x v="0"/>
    <b v="0"/>
    <b v="0"/>
    <x v="0"/>
    <x v="3"/>
    <x v="0"/>
    <x v="3"/>
    <x v="1"/>
    <n v="0"/>
    <x v="4"/>
    <s v="All hours + Priority access"/>
    <s v="Bakersfield, CA"/>
    <n v="35.3733"/>
    <n v="-119.0187"/>
    <d v="2025-05-03T00:00:00"/>
    <n v="0"/>
    <b v="0"/>
    <d v="2025-07-20T00:00:00"/>
    <x v="2"/>
    <x v="4"/>
  </r>
  <r>
    <b v="1"/>
    <d v="1899-12-30T20:44:00"/>
    <d v="1899-12-30T22:22:00"/>
    <n v="98"/>
    <x v="1"/>
    <b v="1"/>
    <b v="1"/>
    <x v="4"/>
    <x v="2"/>
    <x v="1"/>
    <x v="5"/>
    <x v="1"/>
    <n v="0"/>
    <x v="14"/>
    <s v="Off-peak only"/>
    <s v="Oakland, CA"/>
    <n v="37.804400000000001"/>
    <n v="-122.27119999999999"/>
    <d v="2024-12-27T00:00:00"/>
    <n v="5"/>
    <b v="0"/>
    <d v="2025-07-13T00:00:00"/>
    <x v="1"/>
    <x v="1"/>
  </r>
  <r>
    <b v="0"/>
    <d v="1899-12-30T19:50:00"/>
    <d v="1899-12-30T22:24:00"/>
    <n v="154"/>
    <x v="0"/>
    <b v="1"/>
    <b v="1"/>
    <x v="4"/>
    <x v="0"/>
    <x v="0"/>
    <x v="0"/>
    <x v="3"/>
    <n v="0.15"/>
    <x v="27"/>
    <s v="All hours"/>
    <s v="San Francisco, CA"/>
    <n v="37.774900000000002"/>
    <n v="-122.4194"/>
    <d v="2023-04-28T00:00:00"/>
    <n v="1"/>
    <b v="0"/>
    <d v="2025-06-08T00:00:00"/>
    <x v="1"/>
    <x v="1"/>
  </r>
  <r>
    <b v="0"/>
    <d v="1899-12-30T08:05:00"/>
    <d v="1899-12-30T09:06:00"/>
    <n v="61"/>
    <x v="1"/>
    <b v="1"/>
    <b v="0"/>
    <x v="2"/>
    <x v="1"/>
    <x v="1"/>
    <x v="4"/>
    <x v="0"/>
    <n v="0.05"/>
    <x v="11"/>
    <s v="Weekdays only"/>
    <s v="Long Beach, CA"/>
    <n v="33.770099999999999"/>
    <n v="-118.19370000000001"/>
    <d v="2025-03-26T00:00:00"/>
    <n v="4"/>
    <b v="0"/>
    <d v="2025-07-18T00:00:00"/>
    <x v="1"/>
    <x v="1"/>
  </r>
  <r>
    <b v="0"/>
    <d v="1899-12-30T10:28:00"/>
    <d v="1899-12-30T11:36:00"/>
    <n v="68"/>
    <x v="0"/>
    <b v="1"/>
    <b v="1"/>
    <x v="0"/>
    <x v="3"/>
    <x v="0"/>
    <x v="3"/>
    <x v="1"/>
    <n v="0"/>
    <x v="4"/>
    <s v="All hours + Priority access"/>
    <s v="San Francisco, CA"/>
    <n v="37.774900000000002"/>
    <n v="-122.4194"/>
    <d v="2023-09-19T00:00:00"/>
    <n v="3"/>
    <b v="1"/>
    <d v="2025-06-16T00:00:00"/>
    <x v="3"/>
    <x v="3"/>
  </r>
  <r>
    <b v="1"/>
    <d v="1899-12-30T19:06:00"/>
    <d v="1899-12-30T19:43:00"/>
    <n v="37"/>
    <x v="0"/>
    <b v="1"/>
    <b v="1"/>
    <x v="1"/>
    <x v="2"/>
    <x v="0"/>
    <x v="2"/>
    <x v="1"/>
    <n v="0"/>
    <x v="3"/>
    <s v="Off-peak only"/>
    <s v="San Francisco, CA"/>
    <n v="37.774900000000002"/>
    <n v="-122.4194"/>
    <d v="2024-10-04T00:00:00"/>
    <n v="1"/>
    <b v="0"/>
    <d v="2025-07-08T00:00:00"/>
    <x v="0"/>
    <x v="0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4-05-04T00:00:00"/>
    <n v="0"/>
    <b v="1"/>
    <d v="2025-06-29T00:00:00"/>
    <x v="3"/>
    <x v="3"/>
  </r>
  <r>
    <b v="0"/>
    <d v="1899-12-30T10:11:00"/>
    <d v="1899-12-30T11:28:00"/>
    <n v="77"/>
    <x v="1"/>
    <b v="1"/>
    <b v="0"/>
    <x v="4"/>
    <x v="0"/>
    <x v="0"/>
    <x v="0"/>
    <x v="1"/>
    <n v="0"/>
    <x v="5"/>
    <s v="All hours"/>
    <s v="Bakersfield, CA"/>
    <n v="35.3733"/>
    <n v="-119.0187"/>
    <d v="2024-08-19T00:00:00"/>
    <n v="2"/>
    <b v="1"/>
    <d v="2025-07-05T00:00:00"/>
    <x v="0"/>
    <x v="0"/>
  </r>
  <r>
    <b v="1"/>
    <d v="1899-12-30T13:30:00"/>
    <d v="1899-12-30T14:20:00"/>
    <n v="50"/>
    <x v="1"/>
    <b v="0"/>
    <b v="1"/>
    <x v="4"/>
    <x v="0"/>
    <x v="1"/>
    <x v="6"/>
    <x v="1"/>
    <n v="0"/>
    <x v="12"/>
    <s v="All hours"/>
    <s v="San Diego, CA"/>
    <n v="32.715699999999998"/>
    <n v="-117.1611"/>
    <d v="2024-06-09T00:00:00"/>
    <n v="0"/>
    <b v="1"/>
    <d v="2025-07-01T00:00:00"/>
    <x v="2"/>
    <x v="2"/>
  </r>
  <r>
    <b v="1"/>
    <d v="1899-12-30T13:37:00"/>
    <d v="1899-12-30T14:09:00"/>
    <n v="32"/>
    <x v="1"/>
    <b v="0"/>
    <b v="0"/>
    <x v="0"/>
    <x v="1"/>
    <x v="1"/>
    <x v="4"/>
    <x v="1"/>
    <n v="0"/>
    <x v="8"/>
    <s v="Weekdays only"/>
    <s v="Long Beach, CA"/>
    <n v="33.770099999999999"/>
    <n v="-118.19370000000001"/>
    <d v="2023-05-19T00:00:00"/>
    <n v="0"/>
    <b v="0"/>
    <d v="2025-06-09T00:00:00"/>
    <x v="2"/>
    <x v="4"/>
  </r>
  <r>
    <b v="1"/>
    <d v="1899-12-30T15:09:00"/>
    <d v="1899-12-30T16:18:00"/>
    <n v="69"/>
    <x v="1"/>
    <b v="1"/>
    <b v="1"/>
    <x v="2"/>
    <x v="0"/>
    <x v="1"/>
    <x v="6"/>
    <x v="0"/>
    <n v="0.05"/>
    <x v="10"/>
    <s v="All hours"/>
    <s v="Los Angeles, CA"/>
    <n v="34.052199999999999"/>
    <n v="-118.2437"/>
    <d v="2024-08-10T00:00:00"/>
    <n v="8"/>
    <b v="1"/>
    <d v="2025-07-05T00:00:00"/>
    <x v="0"/>
    <x v="0"/>
  </r>
  <r>
    <b v="0"/>
    <d v="1899-12-30T16:33:00"/>
    <d v="1899-12-30T18:03:00"/>
    <n v="90"/>
    <x v="0"/>
    <b v="0"/>
    <b v="0"/>
    <x v="0"/>
    <x v="0"/>
    <x v="0"/>
    <x v="0"/>
    <x v="0"/>
    <n v="0.05"/>
    <x v="0"/>
    <s v="All hours"/>
    <s v="Long Beach, CA"/>
    <n v="33.770099999999999"/>
    <n v="-118.19370000000001"/>
    <d v="2023-10-28T00:00:00"/>
    <n v="0"/>
    <b v="1"/>
    <d v="2025-06-19T00:00:00"/>
    <x v="3"/>
    <x v="3"/>
  </r>
  <r>
    <b v="1"/>
    <d v="1899-12-30T09:11:00"/>
    <d v="1899-12-30T10:48:00"/>
    <n v="97"/>
    <x v="0"/>
    <b v="0"/>
    <b v="1"/>
    <x v="4"/>
    <x v="2"/>
    <x v="2"/>
    <x v="7"/>
    <x v="1"/>
    <n v="0"/>
    <x v="6"/>
    <s v="Off-peak only"/>
    <s v="Fresno, CA"/>
    <n v="36.7378"/>
    <n v="-119.7871"/>
    <d v="2024-02-02T00:00:00"/>
    <n v="0"/>
    <b v="0"/>
    <d v="2025-06-24T00:00:00"/>
    <x v="3"/>
    <x v="3"/>
  </r>
  <r>
    <b v="0"/>
    <d v="1899-12-30T17:42:00"/>
    <d v="1899-12-30T19:00:00"/>
    <n v="78"/>
    <x v="1"/>
    <b v="1"/>
    <b v="1"/>
    <x v="4"/>
    <x v="3"/>
    <x v="2"/>
    <x v="9"/>
    <x v="2"/>
    <n v="0.1"/>
    <x v="41"/>
    <s v="All hours + Priority access"/>
    <s v="Los Angeles, CA"/>
    <n v="34.052199999999999"/>
    <n v="-118.2437"/>
    <d v="2023-07-17T00:00:00"/>
    <n v="8"/>
    <b v="1"/>
    <d v="2025-06-13T00:00:00"/>
    <x v="0"/>
    <x v="0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2-09-29T00:00:00"/>
    <n v="0"/>
    <b v="1"/>
    <d v="2025-05-27T00:00:00"/>
    <x v="3"/>
    <x v="3"/>
  </r>
  <r>
    <b v="0"/>
    <d v="1899-12-30T13:49:00"/>
    <d v="1899-12-30T14:55:00"/>
    <n v="66"/>
    <x v="0"/>
    <b v="1"/>
    <b v="1"/>
    <x v="0"/>
    <x v="0"/>
    <x v="0"/>
    <x v="0"/>
    <x v="1"/>
    <n v="0"/>
    <x v="5"/>
    <s v="All hours"/>
    <s v="Anaheim, CA"/>
    <n v="33.836599999999997"/>
    <n v="-117.9143"/>
    <d v="2023-05-04T00:00:00"/>
    <n v="1"/>
    <b v="1"/>
    <d v="2025-06-09T00:00:00"/>
    <x v="3"/>
    <x v="3"/>
  </r>
  <r>
    <b v="0"/>
    <d v="1899-12-30T14:17:00"/>
    <d v="1899-12-30T15:42:00"/>
    <n v="85"/>
    <x v="0"/>
    <b v="0"/>
    <b v="0"/>
    <x v="2"/>
    <x v="0"/>
    <x v="1"/>
    <x v="6"/>
    <x v="0"/>
    <n v="0.05"/>
    <x v="10"/>
    <s v="All hours"/>
    <s v="Bakersfield, CA"/>
    <n v="35.3733"/>
    <n v="-119.0187"/>
    <d v="2024-11-06T00:00:00"/>
    <n v="0"/>
    <b v="1"/>
    <d v="2025-07-10T00:00:00"/>
    <x v="3"/>
    <x v="3"/>
  </r>
  <r>
    <b v="0"/>
    <d v="1899-12-30T14:12:00"/>
    <d v="1899-12-30T14:59:00"/>
    <n v="47"/>
    <x v="0"/>
    <b v="0"/>
    <b v="0"/>
    <x v="2"/>
    <x v="2"/>
    <x v="0"/>
    <x v="2"/>
    <x v="1"/>
    <n v="0"/>
    <x v="3"/>
    <s v="Off-peak only"/>
    <s v="Sacramento, CA"/>
    <n v="38.581600000000002"/>
    <n v="-121.4944"/>
    <d v="2025-05-20T00:00:00"/>
    <n v="0"/>
    <b v="0"/>
    <d v="2025-07-21T00:00:00"/>
    <x v="1"/>
    <x v="1"/>
  </r>
  <r>
    <b v="1"/>
    <d v="1899-12-30T18:51:00"/>
    <d v="1899-12-30T21:17:00"/>
    <n v="146"/>
    <x v="0"/>
    <b v="1"/>
    <b v="0"/>
    <x v="0"/>
    <x v="2"/>
    <x v="0"/>
    <x v="2"/>
    <x v="3"/>
    <n v="0.15"/>
    <x v="17"/>
    <s v="Off-peak only"/>
    <s v="Los Angeles, CA"/>
    <n v="34.052199999999999"/>
    <n v="-118.2437"/>
    <d v="2024-09-16T00:00:00"/>
    <n v="8"/>
    <b v="0"/>
    <d v="2025-07-07T00:00:00"/>
    <x v="3"/>
    <x v="3"/>
  </r>
  <r>
    <b v="1"/>
    <d v="1899-12-30T14:19:00"/>
    <d v="1899-12-30T16:18:00"/>
    <n v="119"/>
    <x v="1"/>
    <b v="1"/>
    <b v="0"/>
    <x v="0"/>
    <x v="2"/>
    <x v="1"/>
    <x v="5"/>
    <x v="1"/>
    <n v="0"/>
    <x v="14"/>
    <s v="Off-peak only"/>
    <s v="Bakersfield, CA"/>
    <n v="35.3733"/>
    <n v="-119.0187"/>
    <d v="2023-09-28T00:00:00"/>
    <n v="5"/>
    <b v="0"/>
    <d v="2025-06-17T00:00:00"/>
    <x v="1"/>
    <x v="1"/>
  </r>
  <r>
    <b v="0"/>
    <d v="1899-12-30T10:38:00"/>
    <d v="1899-12-30T12:32:00"/>
    <n v="114"/>
    <x v="1"/>
    <b v="1"/>
    <b v="0"/>
    <x v="1"/>
    <x v="1"/>
    <x v="1"/>
    <x v="4"/>
    <x v="0"/>
    <n v="0.05"/>
    <x v="11"/>
    <s v="Weekdays only"/>
    <s v="Sacramento, CA"/>
    <n v="38.581600000000002"/>
    <n v="-121.4944"/>
    <d v="2025-04-29T00:00:00"/>
    <n v="7"/>
    <b v="0"/>
    <d v="2025-07-19T00:00:00"/>
    <x v="3"/>
    <x v="3"/>
  </r>
  <r>
    <b v="0"/>
    <d v="1899-12-30T16:19:00"/>
    <d v="1899-12-30T19:13:00"/>
    <n v="174"/>
    <x v="1"/>
    <b v="0"/>
    <b v="0"/>
    <x v="4"/>
    <x v="1"/>
    <x v="0"/>
    <x v="1"/>
    <x v="0"/>
    <n v="0.05"/>
    <x v="7"/>
    <s v="Weekdays only"/>
    <s v="Oakland, CA"/>
    <n v="37.804400000000001"/>
    <n v="-122.27119999999999"/>
    <d v="2024-01-11T00:00:00"/>
    <n v="0"/>
    <b v="1"/>
    <d v="2025-06-23T00:00:00"/>
    <x v="1"/>
    <x v="1"/>
  </r>
  <r>
    <b v="0"/>
    <d v="1899-12-30T16:04:00"/>
    <d v="1899-12-30T17:51:00"/>
    <n v="107"/>
    <x v="1"/>
    <b v="1"/>
    <b v="1"/>
    <x v="0"/>
    <x v="0"/>
    <x v="1"/>
    <x v="6"/>
    <x v="1"/>
    <n v="0"/>
    <x v="12"/>
    <s v="All hours"/>
    <s v="San Jose, CA"/>
    <n v="37.338200000000001"/>
    <n v="-121.88630000000001"/>
    <d v="2023-09-26T00:00:00"/>
    <n v="7"/>
    <b v="0"/>
    <d v="2025-06-17T00:00:00"/>
    <x v="2"/>
    <x v="2"/>
  </r>
  <r>
    <b v="1"/>
    <d v="1899-12-30T11:41:00"/>
    <d v="1899-12-30T13:08:00"/>
    <n v="87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4-07-02T00:00:00"/>
    <n v="0"/>
    <b v="0"/>
    <d v="2025-07-02T00:00:00"/>
    <x v="2"/>
    <x v="2"/>
  </r>
  <r>
    <b v="1"/>
    <d v="1899-12-30T11:56:00"/>
    <d v="1899-12-30T12:58:00"/>
    <n v="62"/>
    <x v="1"/>
    <b v="1"/>
    <b v="1"/>
    <x v="4"/>
    <x v="0"/>
    <x v="0"/>
    <x v="0"/>
    <x v="1"/>
    <n v="0"/>
    <x v="5"/>
    <s v="All hours"/>
    <s v="San Diego, CA"/>
    <n v="32.715699999999998"/>
    <n v="-117.1611"/>
    <d v="2023-03-24T00:00:00"/>
    <n v="8"/>
    <b v="1"/>
    <d v="2025-06-06T00:00:00"/>
    <x v="1"/>
    <x v="1"/>
  </r>
  <r>
    <b v="1"/>
    <d v="1899-12-30T17:43:00"/>
    <d v="1899-12-30T18:23:00"/>
    <n v="40"/>
    <x v="0"/>
    <b v="0"/>
    <b v="0"/>
    <x v="0"/>
    <x v="0"/>
    <x v="0"/>
    <x v="0"/>
    <x v="3"/>
    <n v="0.15"/>
    <x v="27"/>
    <s v="All hours"/>
    <s v="Fresno, CA"/>
    <n v="36.7378"/>
    <n v="-119.7871"/>
    <d v="2025-03-01T00:00:00"/>
    <n v="0"/>
    <b v="1"/>
    <d v="2025-07-16T00:00:00"/>
    <x v="1"/>
    <x v="1"/>
  </r>
  <r>
    <b v="1"/>
    <d v="1899-12-30T14:44:00"/>
    <d v="1899-12-30T16:44:00"/>
    <n v="120"/>
    <x v="1"/>
    <b v="1"/>
    <b v="1"/>
    <x v="0"/>
    <x v="2"/>
    <x v="2"/>
    <x v="7"/>
    <x v="3"/>
    <n v="0.15"/>
    <x v="37"/>
    <s v="Off-peak only"/>
    <s v="San Diego, CA"/>
    <n v="32.715699999999998"/>
    <n v="-117.1611"/>
    <d v="2025-04-03T00:00:00"/>
    <n v="4"/>
    <b v="1"/>
    <d v="2025-07-18T00:00:00"/>
    <x v="0"/>
    <x v="0"/>
  </r>
  <r>
    <b v="0"/>
    <d v="1899-12-30T15:10:00"/>
    <d v="1899-12-30T16:06:00"/>
    <n v="56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3-05-09T00:00:00"/>
    <n v="6"/>
    <b v="0"/>
    <d v="2025-06-09T00:00:00"/>
    <x v="2"/>
    <x v="2"/>
  </r>
  <r>
    <b v="1"/>
    <d v="1899-12-30T11:35:00"/>
    <d v="1899-12-30T13:34:00"/>
    <n v="119"/>
    <x v="1"/>
    <b v="0"/>
    <b v="1"/>
    <x v="0"/>
    <x v="2"/>
    <x v="0"/>
    <x v="2"/>
    <x v="0"/>
    <n v="0.05"/>
    <x v="18"/>
    <s v="Off-peak only"/>
    <s v="Oakland, CA"/>
    <n v="37.804400000000001"/>
    <n v="-122.27119999999999"/>
    <d v="2024-01-12T00:00:00"/>
    <n v="0"/>
    <b v="0"/>
    <d v="2025-06-23T00:00:00"/>
    <x v="3"/>
    <x v="3"/>
  </r>
  <r>
    <b v="1"/>
    <d v="1899-12-30T18:07:00"/>
    <d v="1899-12-30T20:01:00"/>
    <n v="114"/>
    <x v="0"/>
    <b v="0"/>
    <b v="1"/>
    <x v="1"/>
    <x v="2"/>
    <x v="1"/>
    <x v="5"/>
    <x v="1"/>
    <n v="0"/>
    <x v="14"/>
    <s v="Off-peak only"/>
    <s v="Los Angeles, CA"/>
    <n v="34.052199999999999"/>
    <n v="-118.2437"/>
    <d v="2023-06-20T00:00:00"/>
    <n v="0"/>
    <b v="1"/>
    <d v="2025-06-11T00:00:00"/>
    <x v="1"/>
    <x v="1"/>
  </r>
  <r>
    <b v="0"/>
    <d v="1899-12-30T14:09:00"/>
    <d v="1899-12-30T16:34:00"/>
    <n v="145"/>
    <x v="0"/>
    <b v="1"/>
    <b v="0"/>
    <x v="0"/>
    <x v="0"/>
    <x v="2"/>
    <x v="10"/>
    <x v="3"/>
    <n v="0.15"/>
    <x v="25"/>
    <s v="All hours"/>
    <s v="Bakersfield, CA"/>
    <n v="35.3733"/>
    <n v="-119.0187"/>
    <d v="2024-03-16T00:00:00"/>
    <n v="4"/>
    <b v="0"/>
    <d v="2025-06-26T00:00:00"/>
    <x v="2"/>
    <x v="4"/>
  </r>
  <r>
    <b v="1"/>
    <d v="1899-12-30T12:45:00"/>
    <d v="1899-12-30T14:42:00"/>
    <n v="117"/>
    <x v="1"/>
    <b v="1"/>
    <b v="0"/>
    <x v="1"/>
    <x v="0"/>
    <x v="0"/>
    <x v="0"/>
    <x v="1"/>
    <n v="0"/>
    <x v="5"/>
    <s v="All hours"/>
    <s v="Oakland, CA"/>
    <n v="37.804400000000001"/>
    <n v="-122.27119999999999"/>
    <d v="2024-10-03T00:00:00"/>
    <n v="6"/>
    <b v="1"/>
    <d v="2025-07-08T00:00:00"/>
    <x v="2"/>
    <x v="2"/>
  </r>
  <r>
    <b v="1"/>
    <d v="1899-12-30T14:59:00"/>
    <d v="1899-12-30T16:59:00"/>
    <n v="120"/>
    <x v="0"/>
    <b v="0"/>
    <b v="1"/>
    <x v="4"/>
    <x v="0"/>
    <x v="1"/>
    <x v="6"/>
    <x v="3"/>
    <n v="0.15"/>
    <x v="28"/>
    <s v="All hours"/>
    <s v="San Francisco, CA"/>
    <n v="37.774900000000002"/>
    <n v="-122.4194"/>
    <d v="2023-02-01T00:00:00"/>
    <n v="0"/>
    <b v="0"/>
    <d v="2025-06-03T00:00:00"/>
    <x v="0"/>
    <x v="0"/>
  </r>
  <r>
    <b v="1"/>
    <d v="1899-12-30T13:03:00"/>
    <d v="1899-12-30T15:39:00"/>
    <n v="156"/>
    <x v="0"/>
    <b v="1"/>
    <b v="1"/>
    <x v="2"/>
    <x v="1"/>
    <x v="1"/>
    <x v="4"/>
    <x v="0"/>
    <n v="0.05"/>
    <x v="11"/>
    <s v="Weekdays only"/>
    <s v="Sacramento, CA"/>
    <n v="38.581600000000002"/>
    <n v="-121.4944"/>
    <d v="2023-02-22T00:00:00"/>
    <n v="7"/>
    <b v="0"/>
    <d v="2025-06-05T00:00:00"/>
    <x v="3"/>
    <x v="3"/>
  </r>
  <r>
    <b v="0"/>
    <d v="1899-12-30T19:23:00"/>
    <d v="1899-12-30T20:50:00"/>
    <n v="87"/>
    <x v="0"/>
    <b v="1"/>
    <b v="1"/>
    <x v="1"/>
    <x v="0"/>
    <x v="0"/>
    <x v="0"/>
    <x v="2"/>
    <n v="0.1"/>
    <x v="16"/>
    <s v="All hours"/>
    <s v="Sacramento, CA"/>
    <n v="38.581600000000002"/>
    <n v="-121.4944"/>
    <d v="2023-06-14T00:00:00"/>
    <n v="7"/>
    <b v="0"/>
    <d v="2025-06-11T00:00:00"/>
    <x v="0"/>
    <x v="0"/>
  </r>
  <r>
    <b v="0"/>
    <d v="1899-12-30T09:57:00"/>
    <d v="1899-12-30T12:22:00"/>
    <n v="145"/>
    <x v="0"/>
    <b v="0"/>
    <b v="0"/>
    <x v="1"/>
    <x v="3"/>
    <x v="1"/>
    <x v="11"/>
    <x v="2"/>
    <n v="0.1"/>
    <x v="32"/>
    <s v="All hours + Priority access"/>
    <s v="Los Angeles, CA"/>
    <n v="34.052199999999999"/>
    <n v="-118.2437"/>
    <d v="2024-09-06T00:00:00"/>
    <n v="0"/>
    <b v="1"/>
    <d v="2025-07-06T00:00:00"/>
    <x v="3"/>
    <x v="3"/>
  </r>
  <r>
    <b v="0"/>
    <d v="1899-12-30T16:10:00"/>
    <d v="1899-12-30T17:20:00"/>
    <n v="70"/>
    <x v="0"/>
    <b v="1"/>
    <b v="1"/>
    <x v="0"/>
    <x v="0"/>
    <x v="1"/>
    <x v="6"/>
    <x v="2"/>
    <n v="0.1"/>
    <x v="30"/>
    <s v="All hours"/>
    <s v="Oakland, CA"/>
    <n v="37.804400000000001"/>
    <n v="-122.27119999999999"/>
    <d v="2023-10-03T00:00:00"/>
    <n v="1"/>
    <b v="1"/>
    <d v="2025-06-17T00:00:00"/>
    <x v="2"/>
    <x v="2"/>
  </r>
  <r>
    <b v="1"/>
    <d v="1899-12-30T18:44:00"/>
    <d v="1899-12-30T20:56:00"/>
    <n v="132"/>
    <x v="1"/>
    <b v="0"/>
    <b v="1"/>
    <x v="4"/>
    <x v="2"/>
    <x v="0"/>
    <x v="2"/>
    <x v="2"/>
    <n v="0.1"/>
    <x v="6"/>
    <s v="Off-peak only"/>
    <s v="Anaheim, CA"/>
    <n v="33.836599999999997"/>
    <n v="-117.9143"/>
    <d v="2024-06-03T00:00:00"/>
    <n v="0"/>
    <b v="1"/>
    <d v="2025-07-01T00:00:00"/>
    <x v="1"/>
    <x v="1"/>
  </r>
  <r>
    <b v="0"/>
    <d v="1899-12-30T19:37:00"/>
    <d v="1899-12-30T21:31:00"/>
    <n v="114"/>
    <x v="1"/>
    <b v="0"/>
    <b v="0"/>
    <x v="0"/>
    <x v="2"/>
    <x v="0"/>
    <x v="2"/>
    <x v="3"/>
    <n v="0.15"/>
    <x v="17"/>
    <s v="Off-peak only"/>
    <s v="Anaheim, CA"/>
    <n v="33.836599999999997"/>
    <n v="-117.9143"/>
    <d v="2025-03-17T00:00:00"/>
    <n v="0"/>
    <b v="0"/>
    <d v="2025-07-17T00:00:00"/>
    <x v="0"/>
    <x v="0"/>
  </r>
  <r>
    <b v="0"/>
    <d v="1899-12-30T17:02:00"/>
    <d v="1899-12-30T18:36:00"/>
    <n v="94"/>
    <x v="1"/>
    <b v="1"/>
    <b v="1"/>
    <x v="0"/>
    <x v="1"/>
    <x v="0"/>
    <x v="1"/>
    <x v="3"/>
    <n v="0.15"/>
    <x v="15"/>
    <s v="Weekdays only"/>
    <s v="San Jose, CA"/>
    <n v="37.338200000000001"/>
    <n v="-121.88630000000001"/>
    <d v="2022-10-20T00:00:00"/>
    <n v="3"/>
    <b v="0"/>
    <d v="2025-05-28T00:00:00"/>
    <x v="1"/>
    <x v="1"/>
  </r>
  <r>
    <b v="1"/>
    <d v="1899-12-30T09:55:00"/>
    <d v="1899-12-30T10:59:00"/>
    <n v="64"/>
    <x v="0"/>
    <b v="0"/>
    <b v="1"/>
    <x v="0"/>
    <x v="0"/>
    <x v="1"/>
    <x v="6"/>
    <x v="0"/>
    <n v="0.05"/>
    <x v="10"/>
    <s v="All hours"/>
    <s v="San Jose, CA"/>
    <n v="37.338200000000001"/>
    <n v="-121.88630000000001"/>
    <d v="2025-01-28T00:00:00"/>
    <n v="0"/>
    <b v="0"/>
    <d v="2025-07-14T00:00:00"/>
    <x v="0"/>
    <x v="0"/>
  </r>
  <r>
    <b v="0"/>
    <d v="1899-12-30T16:13:00"/>
    <d v="1899-12-30T18:45:00"/>
    <n v="152"/>
    <x v="0"/>
    <b v="0"/>
    <b v="0"/>
    <x v="1"/>
    <x v="0"/>
    <x v="2"/>
    <x v="10"/>
    <x v="0"/>
    <n v="0.05"/>
    <x v="42"/>
    <s v="All hours"/>
    <s v="Los Angeles, CA"/>
    <n v="34.052199999999999"/>
    <n v="-118.2437"/>
    <d v="2022-09-14T00:00:00"/>
    <n v="0"/>
    <b v="0"/>
    <d v="2025-05-26T00:00:00"/>
    <x v="3"/>
    <x v="3"/>
  </r>
  <r>
    <b v="0"/>
    <d v="1899-12-30T10:32:00"/>
    <d v="1899-12-30T12:28:00"/>
    <n v="116"/>
    <x v="0"/>
    <b v="0"/>
    <b v="1"/>
    <x v="4"/>
    <x v="1"/>
    <x v="2"/>
    <x v="8"/>
    <x v="3"/>
    <n v="0.15"/>
    <x v="24"/>
    <s v="Weekdays only"/>
    <s v="San Diego, CA"/>
    <n v="32.715699999999998"/>
    <n v="-117.1611"/>
    <d v="2024-03-05T00:00:00"/>
    <n v="0"/>
    <b v="1"/>
    <d v="2025-06-26T00:00:00"/>
    <x v="1"/>
    <x v="1"/>
  </r>
  <r>
    <b v="0"/>
    <d v="1899-12-30T13:19:00"/>
    <d v="1899-12-30T14:50:00"/>
    <n v="91"/>
    <x v="1"/>
    <b v="1"/>
    <b v="1"/>
    <x v="4"/>
    <x v="3"/>
    <x v="1"/>
    <x v="11"/>
    <x v="2"/>
    <n v="0.1"/>
    <x v="32"/>
    <s v="All hours + Priority access"/>
    <s v="Los Angeles, CA"/>
    <n v="34.052199999999999"/>
    <n v="-118.2437"/>
    <d v="2024-12-07T00:00:00"/>
    <n v="2"/>
    <b v="1"/>
    <d v="2025-07-11T00:00:00"/>
    <x v="0"/>
    <x v="0"/>
  </r>
  <r>
    <b v="0"/>
    <d v="1899-12-30T08:55:00"/>
    <d v="1899-12-30T10:23:00"/>
    <n v="88"/>
    <x v="1"/>
    <b v="1"/>
    <b v="1"/>
    <x v="4"/>
    <x v="1"/>
    <x v="0"/>
    <x v="1"/>
    <x v="1"/>
    <n v="0"/>
    <x v="1"/>
    <s v="Weekdays only"/>
    <s v="San Francisco, CA"/>
    <n v="37.774900000000002"/>
    <n v="-122.4194"/>
    <d v="2023-11-23T00:00:00"/>
    <n v="4"/>
    <b v="1"/>
    <d v="2025-06-20T00:00:00"/>
    <x v="3"/>
    <x v="3"/>
  </r>
  <r>
    <b v="0"/>
    <d v="1899-12-30T10:28:00"/>
    <d v="1899-12-30T13:25:00"/>
    <n v="177"/>
    <x v="0"/>
    <b v="0"/>
    <b v="1"/>
    <x v="4"/>
    <x v="2"/>
    <x v="1"/>
    <x v="5"/>
    <x v="3"/>
    <n v="0.15"/>
    <x v="13"/>
    <s v="Off-peak only"/>
    <s v="San Francisco, CA"/>
    <n v="37.774900000000002"/>
    <n v="-122.4194"/>
    <d v="2022-12-06T00:00:00"/>
    <n v="0"/>
    <b v="1"/>
    <d v="2025-05-31T00:00:00"/>
    <x v="0"/>
    <x v="0"/>
  </r>
  <r>
    <b v="0"/>
    <d v="1899-12-30T20:04:00"/>
    <d v="1899-12-30T20:43:00"/>
    <n v="39"/>
    <x v="0"/>
    <b v="0"/>
    <b v="0"/>
    <x v="4"/>
    <x v="3"/>
    <x v="2"/>
    <x v="9"/>
    <x v="3"/>
    <n v="0.15"/>
    <x v="19"/>
    <s v="All hours + Priority access"/>
    <s v="San Francisco, CA"/>
    <n v="37.774900000000002"/>
    <n v="-122.4194"/>
    <d v="2023-05-05T00:00:00"/>
    <n v="0"/>
    <b v="1"/>
    <d v="2025-06-09T00:00:00"/>
    <x v="1"/>
    <x v="1"/>
  </r>
  <r>
    <b v="0"/>
    <d v="1899-12-30T15:47:00"/>
    <d v="1899-12-30T16:28:00"/>
    <n v="41"/>
    <x v="1"/>
    <b v="1"/>
    <b v="1"/>
    <x v="1"/>
    <x v="2"/>
    <x v="0"/>
    <x v="2"/>
    <x v="1"/>
    <n v="0"/>
    <x v="3"/>
    <s v="Off-peak only"/>
    <s v="Bakersfield, CA"/>
    <n v="35.3733"/>
    <n v="-119.0187"/>
    <d v="2023-02-15T00:00:00"/>
    <n v="5"/>
    <b v="0"/>
    <d v="2025-06-04T00:00:00"/>
    <x v="2"/>
    <x v="4"/>
  </r>
  <r>
    <b v="0"/>
    <d v="1899-12-30T11:11:00"/>
    <d v="1899-12-30T13:56:00"/>
    <n v="165"/>
    <x v="0"/>
    <b v="0"/>
    <b v="1"/>
    <x v="3"/>
    <x v="1"/>
    <x v="0"/>
    <x v="1"/>
    <x v="3"/>
    <n v="0.15"/>
    <x v="15"/>
    <s v="Weekdays only"/>
    <s v="San Jose, CA"/>
    <n v="37.338200000000001"/>
    <n v="-121.88630000000001"/>
    <d v="2023-07-22T00:00:00"/>
    <n v="0"/>
    <b v="1"/>
    <d v="2025-06-13T00:00:00"/>
    <x v="1"/>
    <x v="1"/>
  </r>
  <r>
    <b v="1"/>
    <d v="1899-12-30T09:57:00"/>
    <d v="1899-12-30T11:42:00"/>
    <n v="105"/>
    <x v="1"/>
    <b v="0"/>
    <b v="0"/>
    <x v="1"/>
    <x v="2"/>
    <x v="1"/>
    <x v="5"/>
    <x v="1"/>
    <n v="0"/>
    <x v="14"/>
    <s v="Off-peak only"/>
    <s v="Oakland, CA"/>
    <n v="37.804400000000001"/>
    <n v="-122.27119999999999"/>
    <d v="2023-06-16T00:00:00"/>
    <n v="0"/>
    <b v="1"/>
    <d v="2025-06-11T00:00:00"/>
    <x v="0"/>
    <x v="0"/>
  </r>
  <r>
    <b v="0"/>
    <d v="1899-12-30T14:34:00"/>
    <d v="1899-12-30T16:33:00"/>
    <n v="119"/>
    <x v="1"/>
    <b v="1"/>
    <b v="1"/>
    <x v="4"/>
    <x v="3"/>
    <x v="0"/>
    <x v="3"/>
    <x v="1"/>
    <n v="0"/>
    <x v="4"/>
    <s v="All hours + Priority access"/>
    <s v="Sacramento, CA"/>
    <n v="38.581600000000002"/>
    <n v="-121.4944"/>
    <d v="2022-12-31T00:00:00"/>
    <n v="6"/>
    <b v="1"/>
    <d v="2025-06-02T00:00:00"/>
    <x v="2"/>
    <x v="4"/>
  </r>
  <r>
    <b v="1"/>
    <d v="1899-12-30T11:51:00"/>
    <d v="1899-12-30T12:22:00"/>
    <n v="31"/>
    <x v="0"/>
    <b v="0"/>
    <b v="1"/>
    <x v="0"/>
    <x v="0"/>
    <x v="0"/>
    <x v="0"/>
    <x v="1"/>
    <n v="0"/>
    <x v="5"/>
    <s v="All hours"/>
    <s v="Long Beach, CA"/>
    <n v="33.770099999999999"/>
    <n v="-118.19370000000001"/>
    <d v="2024-09-30T00:00:00"/>
    <n v="0"/>
    <b v="1"/>
    <d v="2025-07-08T00:00:00"/>
    <x v="1"/>
    <x v="1"/>
  </r>
  <r>
    <b v="0"/>
    <d v="1899-12-30T20:13:00"/>
    <d v="1899-12-30T21:48:00"/>
    <n v="95"/>
    <x v="1"/>
    <b v="0"/>
    <b v="0"/>
    <x v="4"/>
    <x v="1"/>
    <x v="1"/>
    <x v="4"/>
    <x v="3"/>
    <n v="0.15"/>
    <x v="29"/>
    <s v="Weekdays only"/>
    <s v="Fresno, CA"/>
    <n v="36.7378"/>
    <n v="-119.7871"/>
    <d v="2024-01-18T00:00:00"/>
    <n v="0"/>
    <b v="0"/>
    <d v="2025-06-23T00:00:00"/>
    <x v="3"/>
    <x v="3"/>
  </r>
  <r>
    <b v="1"/>
    <d v="1899-12-30T10:26:00"/>
    <d v="1899-12-30T12:13:00"/>
    <n v="107"/>
    <x v="1"/>
    <b v="0"/>
    <b v="1"/>
    <x v="4"/>
    <x v="1"/>
    <x v="0"/>
    <x v="1"/>
    <x v="2"/>
    <n v="0.1"/>
    <x v="2"/>
    <s v="Weekdays only"/>
    <s v="Long Beach, CA"/>
    <n v="33.770099999999999"/>
    <n v="-118.19370000000001"/>
    <d v="2024-10-30T00:00:00"/>
    <n v="0"/>
    <b v="0"/>
    <d v="2025-07-09T00:00:00"/>
    <x v="2"/>
    <x v="2"/>
  </r>
  <r>
    <b v="0"/>
    <d v="1899-12-30T20:53:00"/>
    <d v="1899-12-30T23:33:00"/>
    <n v="160"/>
    <x v="1"/>
    <b v="0"/>
    <b v="0"/>
    <x v="0"/>
    <x v="0"/>
    <x v="0"/>
    <x v="0"/>
    <x v="2"/>
    <n v="0.1"/>
    <x v="16"/>
    <s v="All hours"/>
    <s v="Bakersfield, CA"/>
    <n v="35.3733"/>
    <n v="-119.0187"/>
    <d v="2022-08-06T00:00:00"/>
    <n v="0"/>
    <b v="0"/>
    <d v="2025-05-24T00:00:00"/>
    <x v="3"/>
    <x v="3"/>
  </r>
  <r>
    <b v="1"/>
    <d v="1899-12-30T13:14:00"/>
    <d v="1899-12-30T15:34:00"/>
    <n v="140"/>
    <x v="0"/>
    <b v="0"/>
    <b v="0"/>
    <x v="4"/>
    <x v="0"/>
    <x v="0"/>
    <x v="0"/>
    <x v="2"/>
    <n v="0.1"/>
    <x v="16"/>
    <s v="All hours"/>
    <s v="Los Angeles, CA"/>
    <n v="34.052199999999999"/>
    <n v="-118.2437"/>
    <d v="2022-09-21T00:00:00"/>
    <n v="0"/>
    <b v="1"/>
    <d v="2025-05-27T00:00:00"/>
    <x v="0"/>
    <x v="0"/>
  </r>
  <r>
    <b v="0"/>
    <d v="1899-12-30T20:43:00"/>
    <d v="1899-12-30T22:58:00"/>
    <n v="135"/>
    <x v="1"/>
    <b v="0"/>
    <b v="0"/>
    <x v="4"/>
    <x v="2"/>
    <x v="0"/>
    <x v="2"/>
    <x v="1"/>
    <n v="0"/>
    <x v="3"/>
    <s v="Off-peak only"/>
    <s v="Sacramento, CA"/>
    <n v="38.581600000000002"/>
    <n v="-121.4944"/>
    <d v="2025-05-12T00:00:00"/>
    <n v="0"/>
    <b v="1"/>
    <d v="2025-07-20T00:00:00"/>
    <x v="0"/>
    <x v="0"/>
  </r>
  <r>
    <b v="1"/>
    <d v="1899-12-30T09:20:00"/>
    <d v="1899-12-30T09:52:00"/>
    <n v="32"/>
    <x v="1"/>
    <b v="0"/>
    <b v="0"/>
    <x v="0"/>
    <x v="2"/>
    <x v="1"/>
    <x v="5"/>
    <x v="2"/>
    <n v="0.1"/>
    <x v="20"/>
    <s v="Off-peak only"/>
    <s v="San Diego, CA"/>
    <n v="32.715699999999998"/>
    <n v="-117.1611"/>
    <d v="2023-06-02T00:00:00"/>
    <n v="0"/>
    <b v="0"/>
    <d v="2025-06-10T00:00:00"/>
    <x v="1"/>
    <x v="1"/>
  </r>
  <r>
    <b v="1"/>
    <d v="1899-12-30T17:05:00"/>
    <d v="1899-12-30T19:39:00"/>
    <n v="154"/>
    <x v="0"/>
    <b v="1"/>
    <b v="0"/>
    <x v="0"/>
    <x v="1"/>
    <x v="0"/>
    <x v="1"/>
    <x v="1"/>
    <n v="0"/>
    <x v="1"/>
    <s v="Weekdays only"/>
    <s v="Fresno, CA"/>
    <n v="36.7378"/>
    <n v="-119.7871"/>
    <d v="2022-10-11T00:00:00"/>
    <n v="8"/>
    <b v="0"/>
    <d v="2025-05-28T00:00:00"/>
    <x v="0"/>
    <x v="0"/>
  </r>
  <r>
    <b v="1"/>
    <d v="1899-12-30T13:47:00"/>
    <d v="1899-12-30T15:04:00"/>
    <n v="77"/>
    <x v="1"/>
    <b v="0"/>
    <b v="0"/>
    <x v="4"/>
    <x v="0"/>
    <x v="0"/>
    <x v="0"/>
    <x v="0"/>
    <n v="0.05"/>
    <x v="0"/>
    <s v="All hours"/>
    <s v="Los Angeles, CA"/>
    <n v="34.052199999999999"/>
    <n v="-118.2437"/>
    <d v="2024-12-12T00:00:00"/>
    <n v="0"/>
    <b v="1"/>
    <d v="2025-07-12T00:00:00"/>
    <x v="2"/>
    <x v="4"/>
  </r>
  <r>
    <b v="0"/>
    <d v="1899-12-30T14:54:00"/>
    <d v="1899-12-30T16:46:00"/>
    <n v="112"/>
    <x v="1"/>
    <b v="1"/>
    <b v="1"/>
    <x v="1"/>
    <x v="1"/>
    <x v="0"/>
    <x v="1"/>
    <x v="3"/>
    <n v="0.15"/>
    <x v="15"/>
    <s v="Weekdays only"/>
    <s v="Sacramento, CA"/>
    <n v="38.581600000000002"/>
    <n v="-121.4944"/>
    <d v="2023-10-27T00:00:00"/>
    <n v="5"/>
    <b v="1"/>
    <d v="2025-06-18T00:00:00"/>
    <x v="3"/>
    <x v="3"/>
  </r>
  <r>
    <b v="0"/>
    <d v="1899-12-30T19:50:00"/>
    <d v="1899-12-30T22:24:00"/>
    <n v="154"/>
    <x v="0"/>
    <b v="1"/>
    <b v="1"/>
    <x v="4"/>
    <x v="0"/>
    <x v="0"/>
    <x v="0"/>
    <x v="3"/>
    <n v="0.15"/>
    <x v="27"/>
    <s v="All hours"/>
    <s v="San Francisco, CA"/>
    <n v="37.774900000000002"/>
    <n v="-122.4194"/>
    <d v="2022-10-22T00:00:00"/>
    <n v="3"/>
    <b v="1"/>
    <d v="2025-05-29T00:00:00"/>
    <x v="1"/>
    <x v="1"/>
  </r>
  <r>
    <b v="1"/>
    <d v="1899-12-30T08:37:00"/>
    <d v="1899-12-30T10:12:00"/>
    <n v="95"/>
    <x v="1"/>
    <b v="1"/>
    <b v="0"/>
    <x v="1"/>
    <x v="1"/>
    <x v="0"/>
    <x v="1"/>
    <x v="3"/>
    <n v="0.15"/>
    <x v="15"/>
    <s v="Weekdays only"/>
    <s v="Anaheim, CA"/>
    <n v="33.836599999999997"/>
    <n v="-117.9143"/>
    <d v="2025-05-17T00:00:00"/>
    <n v="6"/>
    <b v="1"/>
    <d v="2025-07-20T00:00:00"/>
    <x v="1"/>
    <x v="1"/>
  </r>
  <r>
    <b v="1"/>
    <d v="1899-12-30T13:39:00"/>
    <d v="1899-12-30T14:34:00"/>
    <n v="55"/>
    <x v="0"/>
    <b v="1"/>
    <b v="0"/>
    <x v="0"/>
    <x v="0"/>
    <x v="0"/>
    <x v="0"/>
    <x v="0"/>
    <n v="0.05"/>
    <x v="0"/>
    <s v="All hours"/>
    <s v="San Diego, CA"/>
    <n v="32.715699999999998"/>
    <n v="-117.1611"/>
    <d v="2023-06-11T00:00:00"/>
    <n v="4"/>
    <b v="1"/>
    <d v="2025-06-11T00:00:00"/>
    <x v="1"/>
    <x v="1"/>
  </r>
  <r>
    <b v="1"/>
    <d v="1899-12-30T09:39:00"/>
    <d v="1899-12-30T11:08:00"/>
    <n v="89"/>
    <x v="0"/>
    <b v="0"/>
    <b v="1"/>
    <x v="0"/>
    <x v="0"/>
    <x v="0"/>
    <x v="0"/>
    <x v="1"/>
    <n v="0"/>
    <x v="5"/>
    <s v="All hours"/>
    <s v="Fresno, CA"/>
    <n v="36.7378"/>
    <n v="-119.7871"/>
    <d v="2024-08-10T00:00:00"/>
    <n v="0"/>
    <b v="1"/>
    <d v="2025-07-05T00:00:00"/>
    <x v="1"/>
    <x v="1"/>
  </r>
  <r>
    <b v="0"/>
    <d v="1899-12-30T09:25:00"/>
    <d v="1899-12-30T12:06:00"/>
    <n v="161"/>
    <x v="0"/>
    <b v="1"/>
    <b v="1"/>
    <x v="0"/>
    <x v="2"/>
    <x v="0"/>
    <x v="2"/>
    <x v="3"/>
    <n v="0.15"/>
    <x v="17"/>
    <s v="Off-peak only"/>
    <s v="Long Beach, CA"/>
    <n v="33.770099999999999"/>
    <n v="-118.19370000000001"/>
    <d v="2022-10-12T00:00:00"/>
    <n v="1"/>
    <b v="1"/>
    <d v="2025-05-28T00:00:00"/>
    <x v="1"/>
    <x v="1"/>
  </r>
  <r>
    <b v="1"/>
    <d v="1899-12-30T09:11:00"/>
    <d v="1899-12-30T10:48:00"/>
    <n v="97"/>
    <x v="0"/>
    <b v="0"/>
    <b v="1"/>
    <x v="4"/>
    <x v="2"/>
    <x v="2"/>
    <x v="7"/>
    <x v="1"/>
    <n v="0"/>
    <x v="6"/>
    <s v="Off-peak only"/>
    <s v="Fresno, CA"/>
    <n v="36.7378"/>
    <n v="-119.7871"/>
    <d v="2022-08-23T00:00:00"/>
    <n v="0"/>
    <b v="1"/>
    <d v="2025-05-25T00:00:00"/>
    <x v="3"/>
    <x v="3"/>
  </r>
  <r>
    <b v="0"/>
    <d v="1899-12-30T19:13:00"/>
    <d v="1899-12-30T20:02:00"/>
    <n v="49"/>
    <x v="0"/>
    <b v="1"/>
    <b v="1"/>
    <x v="0"/>
    <x v="0"/>
    <x v="0"/>
    <x v="0"/>
    <x v="0"/>
    <n v="0.05"/>
    <x v="0"/>
    <s v="All hours"/>
    <s v="San Francisco, CA"/>
    <n v="37.774900000000002"/>
    <n v="-122.4194"/>
    <d v="2022-09-21T00:00:00"/>
    <n v="5"/>
    <b v="0"/>
    <d v="2025-05-27T00:00:00"/>
    <x v="3"/>
    <x v="3"/>
  </r>
  <r>
    <b v="0"/>
    <d v="1899-12-30T14:17:00"/>
    <d v="1899-12-30T15:42:00"/>
    <n v="85"/>
    <x v="0"/>
    <b v="0"/>
    <b v="0"/>
    <x v="2"/>
    <x v="0"/>
    <x v="1"/>
    <x v="6"/>
    <x v="0"/>
    <n v="0.05"/>
    <x v="10"/>
    <s v="All hours"/>
    <s v="Bakersfield, CA"/>
    <n v="35.3733"/>
    <n v="-119.0187"/>
    <d v="2024-02-03T00:00:00"/>
    <n v="0"/>
    <b v="1"/>
    <d v="2025-06-24T00:00:00"/>
    <x v="3"/>
    <x v="3"/>
  </r>
  <r>
    <b v="0"/>
    <d v="1899-12-30T11:07:00"/>
    <d v="1899-12-30T12:43:00"/>
    <n v="96"/>
    <x v="1"/>
    <b v="1"/>
    <b v="1"/>
    <x v="0"/>
    <x v="1"/>
    <x v="0"/>
    <x v="1"/>
    <x v="1"/>
    <n v="0"/>
    <x v="1"/>
    <s v="Weekdays only"/>
    <s v="San Diego, CA"/>
    <n v="32.715699999999998"/>
    <n v="-117.1611"/>
    <d v="2022-12-17T00:00:00"/>
    <n v="3"/>
    <b v="0"/>
    <d v="2025-06-01T00:00:00"/>
    <x v="0"/>
    <x v="0"/>
  </r>
  <r>
    <b v="0"/>
    <d v="1899-12-30T09:12:00"/>
    <d v="1899-12-30T11:42:00"/>
    <n v="150"/>
    <x v="0"/>
    <b v="1"/>
    <b v="0"/>
    <x v="1"/>
    <x v="0"/>
    <x v="0"/>
    <x v="0"/>
    <x v="1"/>
    <n v="0"/>
    <x v="5"/>
    <s v="All hours"/>
    <s v="Long Beach, CA"/>
    <n v="33.770099999999999"/>
    <n v="-118.19370000000001"/>
    <d v="2023-01-05T00:00:00"/>
    <n v="4"/>
    <b v="0"/>
    <d v="2025-06-02T00:00:00"/>
    <x v="2"/>
    <x v="4"/>
  </r>
  <r>
    <b v="0"/>
    <d v="1899-12-30T16:35:00"/>
    <d v="1899-12-30T17:35:00"/>
    <n v="60"/>
    <x v="1"/>
    <b v="0"/>
    <b v="0"/>
    <x v="4"/>
    <x v="0"/>
    <x v="1"/>
    <x v="6"/>
    <x v="1"/>
    <n v="0"/>
    <x v="12"/>
    <s v="All hours"/>
    <s v="San Jose, CA"/>
    <n v="37.338200000000001"/>
    <n v="-121.88630000000001"/>
    <d v="2024-07-18T00:00:00"/>
    <n v="0"/>
    <b v="1"/>
    <d v="2025-07-03T00:00:00"/>
    <x v="1"/>
    <x v="1"/>
  </r>
  <r>
    <b v="0"/>
    <d v="1899-12-30T09:56:00"/>
    <d v="1899-12-30T12:52:00"/>
    <n v="176"/>
    <x v="0"/>
    <b v="1"/>
    <b v="1"/>
    <x v="4"/>
    <x v="1"/>
    <x v="0"/>
    <x v="1"/>
    <x v="3"/>
    <n v="0.15"/>
    <x v="15"/>
    <s v="Weekdays only"/>
    <s v="Fresno, CA"/>
    <n v="36.7378"/>
    <n v="-119.7871"/>
    <d v="2023-01-22T00:00:00"/>
    <n v="7"/>
    <b v="1"/>
    <d v="2025-06-03T00:00:00"/>
    <x v="1"/>
    <x v="1"/>
  </r>
  <r>
    <b v="1"/>
    <d v="1899-12-30T20:09:00"/>
    <d v="1899-12-30T21:57:00"/>
    <n v="108"/>
    <x v="0"/>
    <b v="0"/>
    <b v="1"/>
    <x v="2"/>
    <x v="3"/>
    <x v="0"/>
    <x v="3"/>
    <x v="1"/>
    <n v="0"/>
    <x v="4"/>
    <s v="All hours + Priority access"/>
    <s v="Anaheim, CA"/>
    <n v="33.836599999999997"/>
    <n v="-117.9143"/>
    <d v="2025-05-14T00:00:00"/>
    <n v="0"/>
    <b v="1"/>
    <d v="2025-07-20T00:00:00"/>
    <x v="0"/>
    <x v="0"/>
  </r>
  <r>
    <b v="0"/>
    <d v="1899-12-30T10:11:00"/>
    <d v="1899-12-30T12:26:00"/>
    <n v="135"/>
    <x v="1"/>
    <b v="0"/>
    <b v="1"/>
    <x v="4"/>
    <x v="2"/>
    <x v="0"/>
    <x v="2"/>
    <x v="1"/>
    <n v="0"/>
    <x v="3"/>
    <s v="Off-peak only"/>
    <s v="San Diego, CA"/>
    <n v="32.715699999999998"/>
    <n v="-117.1611"/>
    <d v="2023-09-26T00:00:00"/>
    <n v="0"/>
    <b v="0"/>
    <d v="2025-06-17T00:00:00"/>
    <x v="3"/>
    <x v="3"/>
  </r>
  <r>
    <b v="1"/>
    <d v="1899-12-30T13:50:00"/>
    <d v="1899-12-30T14:29:00"/>
    <n v="39"/>
    <x v="1"/>
    <b v="1"/>
    <b v="1"/>
    <x v="4"/>
    <x v="0"/>
    <x v="2"/>
    <x v="10"/>
    <x v="3"/>
    <n v="0.15"/>
    <x v="25"/>
    <s v="All hours"/>
    <s v="Sacramento, CA"/>
    <n v="38.581600000000002"/>
    <n v="-121.4944"/>
    <d v="2024-10-21T00:00:00"/>
    <n v="7"/>
    <b v="1"/>
    <d v="2025-07-09T00:00:00"/>
    <x v="2"/>
    <x v="2"/>
  </r>
  <r>
    <b v="0"/>
    <d v="1899-12-30T19:04:00"/>
    <d v="1899-12-30T19:56:00"/>
    <n v="52"/>
    <x v="1"/>
    <b v="0"/>
    <b v="1"/>
    <x v="4"/>
    <x v="2"/>
    <x v="0"/>
    <x v="2"/>
    <x v="0"/>
    <n v="0.05"/>
    <x v="18"/>
    <s v="Off-peak only"/>
    <s v="Bakersfield, CA"/>
    <n v="35.3733"/>
    <n v="-119.0187"/>
    <d v="2025-02-14T00:00:00"/>
    <n v="0"/>
    <b v="0"/>
    <d v="2025-07-15T00:00:00"/>
    <x v="3"/>
    <x v="3"/>
  </r>
  <r>
    <b v="0"/>
    <d v="1899-12-30T16:49:00"/>
    <d v="1899-12-30T19:10:00"/>
    <n v="141"/>
    <x v="0"/>
    <b v="1"/>
    <b v="1"/>
    <x v="4"/>
    <x v="0"/>
    <x v="1"/>
    <x v="6"/>
    <x v="3"/>
    <n v="0.15"/>
    <x v="28"/>
    <s v="All hours"/>
    <s v="Oakland, CA"/>
    <n v="37.804400000000001"/>
    <n v="-122.27119999999999"/>
    <d v="2025-04-02T00:00:00"/>
    <n v="4"/>
    <b v="1"/>
    <d v="2025-07-18T00:00:00"/>
    <x v="1"/>
    <x v="1"/>
  </r>
  <r>
    <b v="1"/>
    <d v="1899-12-30T11:51:00"/>
    <d v="1899-12-30T14:30:00"/>
    <n v="159"/>
    <x v="0"/>
    <b v="0"/>
    <b v="1"/>
    <x v="4"/>
    <x v="0"/>
    <x v="0"/>
    <x v="0"/>
    <x v="0"/>
    <n v="0.05"/>
    <x v="0"/>
    <s v="All hours"/>
    <s v="Los Angeles, CA"/>
    <n v="34.052199999999999"/>
    <n v="-118.2437"/>
    <d v="2023-06-12T00:00:00"/>
    <n v="0"/>
    <b v="1"/>
    <d v="2025-06-11T00:00:00"/>
    <x v="2"/>
    <x v="2"/>
  </r>
  <r>
    <b v="0"/>
    <d v="1899-12-30T18:28:00"/>
    <d v="1899-12-30T19:40:00"/>
    <n v="72"/>
    <x v="0"/>
    <b v="1"/>
    <b v="0"/>
    <x v="0"/>
    <x v="1"/>
    <x v="0"/>
    <x v="1"/>
    <x v="3"/>
    <n v="0.15"/>
    <x v="15"/>
    <s v="Weekdays only"/>
    <s v="Oakland, CA"/>
    <n v="37.804400000000001"/>
    <n v="-122.27119999999999"/>
    <d v="2024-06-26T00:00:00"/>
    <n v="4"/>
    <b v="0"/>
    <d v="2025-07-02T00:00:00"/>
    <x v="0"/>
    <x v="0"/>
  </r>
  <r>
    <b v="1"/>
    <d v="1899-12-30T18:32:00"/>
    <d v="1899-12-30T19:28:00"/>
    <n v="56"/>
    <x v="1"/>
    <b v="0"/>
    <b v="1"/>
    <x v="0"/>
    <x v="0"/>
    <x v="0"/>
    <x v="0"/>
    <x v="2"/>
    <n v="0.1"/>
    <x v="16"/>
    <s v="All hours"/>
    <s v="San Jose, CA"/>
    <n v="37.338200000000001"/>
    <n v="-121.88630000000001"/>
    <d v="2023-05-13T00:00:00"/>
    <n v="0"/>
    <b v="1"/>
    <d v="2025-06-09T00:00:00"/>
    <x v="2"/>
    <x v="4"/>
  </r>
  <r>
    <b v="1"/>
    <d v="1899-12-30T09:13:00"/>
    <d v="1899-12-30T11:27:00"/>
    <n v="134"/>
    <x v="0"/>
    <b v="0"/>
    <b v="1"/>
    <x v="4"/>
    <x v="3"/>
    <x v="0"/>
    <x v="3"/>
    <x v="0"/>
    <n v="0.05"/>
    <x v="23"/>
    <s v="All hours + Priority access"/>
    <s v="Sacramento, CA"/>
    <n v="38.581600000000002"/>
    <n v="-121.4944"/>
    <d v="2025-04-14T00:00:00"/>
    <n v="0"/>
    <b v="1"/>
    <d v="2025-07-19T00:00:00"/>
    <x v="3"/>
    <x v="3"/>
  </r>
  <r>
    <b v="0"/>
    <d v="1899-12-30T18:54:00"/>
    <d v="1899-12-30T19:37:00"/>
    <n v="43"/>
    <x v="1"/>
    <b v="1"/>
    <b v="1"/>
    <x v="0"/>
    <x v="0"/>
    <x v="0"/>
    <x v="0"/>
    <x v="3"/>
    <n v="0.15"/>
    <x v="27"/>
    <s v="All hours"/>
    <s v="Oakland, CA"/>
    <n v="37.804400000000001"/>
    <n v="-122.27119999999999"/>
    <d v="2024-07-22T00:00:00"/>
    <n v="4"/>
    <b v="1"/>
    <d v="2025-07-04T00:00:00"/>
    <x v="3"/>
    <x v="3"/>
  </r>
  <r>
    <b v="1"/>
    <d v="1899-12-30T20:16:00"/>
    <d v="1899-12-30T22:33:00"/>
    <n v="137"/>
    <x v="0"/>
    <b v="0"/>
    <b v="1"/>
    <x v="4"/>
    <x v="0"/>
    <x v="0"/>
    <x v="0"/>
    <x v="1"/>
    <n v="0"/>
    <x v="5"/>
    <s v="All hours"/>
    <s v="Bakersfield, CA"/>
    <n v="35.3733"/>
    <n v="-119.0187"/>
    <d v="2023-11-26T00:00:00"/>
    <n v="0"/>
    <b v="1"/>
    <d v="2025-06-20T00:00:00"/>
    <x v="2"/>
    <x v="4"/>
  </r>
  <r>
    <b v="0"/>
    <d v="1899-12-30T11:00:00"/>
    <d v="1899-12-30T12:12:00"/>
    <n v="72"/>
    <x v="1"/>
    <b v="0"/>
    <b v="0"/>
    <x v="0"/>
    <x v="1"/>
    <x v="0"/>
    <x v="1"/>
    <x v="2"/>
    <n v="0.1"/>
    <x v="2"/>
    <s v="Weekdays only"/>
    <s v="Oakland, CA"/>
    <n v="37.804400000000001"/>
    <n v="-122.27119999999999"/>
    <d v="2023-03-03T00:00:00"/>
    <n v="0"/>
    <b v="1"/>
    <d v="2025-06-05T00:00:00"/>
    <x v="3"/>
    <x v="3"/>
  </r>
  <r>
    <b v="0"/>
    <d v="1899-12-30T15:25:00"/>
    <d v="1899-12-30T18:05:00"/>
    <n v="160"/>
    <x v="1"/>
    <b v="0"/>
    <b v="1"/>
    <x v="4"/>
    <x v="1"/>
    <x v="0"/>
    <x v="1"/>
    <x v="2"/>
    <n v="0.1"/>
    <x v="2"/>
    <s v="Weekdays only"/>
    <s v="Los Angeles, CA"/>
    <n v="34.052199999999999"/>
    <n v="-118.2437"/>
    <d v="2024-07-18T00:00:00"/>
    <n v="0"/>
    <b v="0"/>
    <d v="2025-07-03T00:00:00"/>
    <x v="0"/>
    <x v="0"/>
  </r>
  <r>
    <b v="1"/>
    <d v="1899-12-30T15:55:00"/>
    <d v="1899-12-30T16:33:00"/>
    <n v="38"/>
    <x v="0"/>
    <b v="0"/>
    <b v="0"/>
    <x v="2"/>
    <x v="0"/>
    <x v="0"/>
    <x v="0"/>
    <x v="1"/>
    <n v="0"/>
    <x v="5"/>
    <s v="All hours"/>
    <s v="San Jose, CA"/>
    <n v="37.338200000000001"/>
    <n v="-121.88630000000001"/>
    <d v="2023-08-26T00:00:00"/>
    <n v="0"/>
    <b v="1"/>
    <d v="2025-06-15T00:00:00"/>
    <x v="1"/>
    <x v="1"/>
  </r>
  <r>
    <b v="1"/>
    <d v="1899-12-30T09:38:00"/>
    <d v="1899-12-30T10:39:00"/>
    <n v="61"/>
    <x v="0"/>
    <b v="0"/>
    <b v="1"/>
    <x v="4"/>
    <x v="0"/>
    <x v="1"/>
    <x v="6"/>
    <x v="3"/>
    <n v="0.15"/>
    <x v="28"/>
    <s v="All hours"/>
    <s v="Los Angeles, CA"/>
    <n v="34.052199999999999"/>
    <n v="-118.2437"/>
    <d v="2022-11-22T00:00:00"/>
    <n v="0"/>
    <b v="0"/>
    <d v="2025-05-30T00:00:00"/>
    <x v="3"/>
    <x v="3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9-06T00:00:00"/>
    <n v="6"/>
    <b v="1"/>
    <d v="2025-06-16T00:00:00"/>
    <x v="3"/>
    <x v="3"/>
  </r>
  <r>
    <b v="0"/>
    <d v="1899-12-30T10:09:00"/>
    <d v="1899-12-30T11:15:00"/>
    <n v="66"/>
    <x v="0"/>
    <b v="1"/>
    <b v="1"/>
    <x v="4"/>
    <x v="2"/>
    <x v="0"/>
    <x v="2"/>
    <x v="1"/>
    <n v="0"/>
    <x v="3"/>
    <s v="Off-peak only"/>
    <s v="San Francisco, CA"/>
    <n v="37.774900000000002"/>
    <n v="-122.4194"/>
    <d v="2024-10-17T00:00:00"/>
    <n v="4"/>
    <b v="0"/>
    <d v="2025-07-09T00:00:00"/>
    <x v="2"/>
    <x v="4"/>
  </r>
  <r>
    <b v="0"/>
    <d v="1899-12-30T08:55:00"/>
    <d v="1899-12-30T10:23:00"/>
    <n v="88"/>
    <x v="1"/>
    <b v="1"/>
    <b v="1"/>
    <x v="4"/>
    <x v="1"/>
    <x v="0"/>
    <x v="1"/>
    <x v="1"/>
    <n v="0"/>
    <x v="1"/>
    <s v="Weekdays only"/>
    <s v="San Francisco, CA"/>
    <n v="37.774900000000002"/>
    <n v="-122.4194"/>
    <d v="2025-05-28T00:00:00"/>
    <n v="5"/>
    <b v="0"/>
    <d v="2025-07-21T00:00:00"/>
    <x v="3"/>
    <x v="3"/>
  </r>
  <r>
    <b v="0"/>
    <d v="1899-12-30T09:22:00"/>
    <d v="1899-12-30T10:52:00"/>
    <n v="90"/>
    <x v="1"/>
    <b v="1"/>
    <b v="0"/>
    <x v="0"/>
    <x v="0"/>
    <x v="0"/>
    <x v="0"/>
    <x v="1"/>
    <n v="0"/>
    <x v="5"/>
    <s v="All hours"/>
    <s v="Bakersfield, CA"/>
    <n v="35.3733"/>
    <n v="-119.0187"/>
    <d v="2022-12-09T00:00:00"/>
    <n v="3"/>
    <b v="1"/>
    <d v="2025-05-31T00:00:00"/>
    <x v="3"/>
    <x v="3"/>
  </r>
  <r>
    <b v="1"/>
    <d v="1899-12-30T12:16:00"/>
    <d v="1899-12-30T13:03:00"/>
    <n v="47"/>
    <x v="0"/>
    <b v="1"/>
    <b v="0"/>
    <x v="0"/>
    <x v="1"/>
    <x v="2"/>
    <x v="8"/>
    <x v="1"/>
    <n v="0"/>
    <x v="2"/>
    <s v="Weekdays only"/>
    <s v="Fresno, CA"/>
    <n v="36.7378"/>
    <n v="-119.7871"/>
    <d v="2025-05-31T00:00:00"/>
    <n v="6"/>
    <b v="0"/>
    <d v="2025-07-21T00:00:00"/>
    <x v="1"/>
    <x v="1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2-12-04T00:00:00"/>
    <n v="4"/>
    <b v="1"/>
    <d v="2025-05-31T00:00:00"/>
    <x v="1"/>
    <x v="1"/>
  </r>
  <r>
    <b v="1"/>
    <d v="1899-12-30T20:25:00"/>
    <d v="1899-12-30T23:16:00"/>
    <n v="171"/>
    <x v="1"/>
    <b v="0"/>
    <b v="0"/>
    <x v="4"/>
    <x v="2"/>
    <x v="0"/>
    <x v="2"/>
    <x v="2"/>
    <n v="0.1"/>
    <x v="6"/>
    <s v="Off-peak only"/>
    <s v="Anaheim, CA"/>
    <n v="33.836599999999997"/>
    <n v="-117.9143"/>
    <d v="2023-12-07T00:00:00"/>
    <n v="0"/>
    <b v="0"/>
    <d v="2025-06-21T00:00:00"/>
    <x v="1"/>
    <x v="1"/>
  </r>
  <r>
    <b v="0"/>
    <d v="1899-12-30T10:28:00"/>
    <d v="1899-12-30T11:36:00"/>
    <n v="68"/>
    <x v="0"/>
    <b v="1"/>
    <b v="1"/>
    <x v="0"/>
    <x v="3"/>
    <x v="0"/>
    <x v="3"/>
    <x v="1"/>
    <n v="0"/>
    <x v="4"/>
    <s v="All hours + Priority access"/>
    <s v="San Francisco, CA"/>
    <n v="37.774900000000002"/>
    <n v="-122.4194"/>
    <d v="2022-09-26T00:00:00"/>
    <n v="2"/>
    <b v="0"/>
    <d v="2025-05-27T00:00:00"/>
    <x v="3"/>
    <x v="3"/>
  </r>
  <r>
    <b v="0"/>
    <d v="1899-12-30T20:20:00"/>
    <d v="1899-12-30T23:10:00"/>
    <n v="170"/>
    <x v="1"/>
    <b v="0"/>
    <b v="0"/>
    <x v="2"/>
    <x v="0"/>
    <x v="2"/>
    <x v="10"/>
    <x v="0"/>
    <n v="0.05"/>
    <x v="42"/>
    <s v="All hours"/>
    <s v="Fresno, CA"/>
    <n v="36.7378"/>
    <n v="-119.7871"/>
    <d v="2023-02-23T00:00:00"/>
    <n v="0"/>
    <b v="1"/>
    <d v="2025-06-05T00:00:00"/>
    <x v="3"/>
    <x v="3"/>
  </r>
  <r>
    <b v="1"/>
    <d v="1899-12-30T16:27:00"/>
    <d v="1899-12-30T17:25:00"/>
    <n v="58"/>
    <x v="0"/>
    <b v="1"/>
    <b v="1"/>
    <x v="4"/>
    <x v="2"/>
    <x v="0"/>
    <x v="2"/>
    <x v="1"/>
    <n v="0"/>
    <x v="3"/>
    <s v="Off-peak only"/>
    <s v="San Diego, CA"/>
    <n v="32.715699999999998"/>
    <n v="-117.1611"/>
    <d v="2022-07-26T00:00:00"/>
    <n v="8"/>
    <b v="0"/>
    <d v="2025-05-24T00:00:00"/>
    <x v="1"/>
    <x v="1"/>
  </r>
  <r>
    <b v="1"/>
    <d v="1899-12-30T16:32:00"/>
    <d v="1899-12-30T18:14:00"/>
    <n v="102"/>
    <x v="1"/>
    <b v="1"/>
    <b v="1"/>
    <x v="4"/>
    <x v="2"/>
    <x v="0"/>
    <x v="2"/>
    <x v="1"/>
    <n v="0"/>
    <x v="3"/>
    <s v="Off-peak only"/>
    <s v="San Francisco, CA"/>
    <n v="37.774900000000002"/>
    <n v="-122.4194"/>
    <d v="2024-06-14T00:00:00"/>
    <n v="2"/>
    <b v="0"/>
    <d v="2025-07-01T00:00:00"/>
    <x v="0"/>
    <x v="0"/>
  </r>
  <r>
    <b v="1"/>
    <d v="1899-12-30T15:09:00"/>
    <d v="1899-12-30T16:18:00"/>
    <n v="69"/>
    <x v="1"/>
    <b v="1"/>
    <b v="1"/>
    <x v="2"/>
    <x v="0"/>
    <x v="1"/>
    <x v="6"/>
    <x v="0"/>
    <n v="0.05"/>
    <x v="10"/>
    <s v="All hours"/>
    <s v="Los Angeles, CA"/>
    <n v="34.052199999999999"/>
    <n v="-118.2437"/>
    <d v="2023-03-28T00:00:00"/>
    <n v="3"/>
    <b v="0"/>
    <d v="2025-06-06T00:00:00"/>
    <x v="0"/>
    <x v="0"/>
  </r>
  <r>
    <b v="0"/>
    <d v="1899-12-30T17:18:00"/>
    <d v="1899-12-30T18:57:00"/>
    <n v="99"/>
    <x v="1"/>
    <b v="1"/>
    <b v="0"/>
    <x v="1"/>
    <x v="0"/>
    <x v="0"/>
    <x v="0"/>
    <x v="2"/>
    <n v="0.1"/>
    <x v="16"/>
    <s v="All hours"/>
    <s v="Bakersfield, CA"/>
    <n v="35.3733"/>
    <n v="-119.0187"/>
    <d v="2024-04-20T00:00:00"/>
    <n v="7"/>
    <b v="0"/>
    <d v="2025-06-28T00:00:00"/>
    <x v="1"/>
    <x v="1"/>
  </r>
  <r>
    <b v="0"/>
    <d v="1899-12-30T19:04:00"/>
    <d v="1899-12-30T19:56:00"/>
    <n v="52"/>
    <x v="1"/>
    <b v="0"/>
    <b v="1"/>
    <x v="4"/>
    <x v="2"/>
    <x v="0"/>
    <x v="2"/>
    <x v="0"/>
    <n v="0.05"/>
    <x v="18"/>
    <s v="Off-peak only"/>
    <s v="Bakersfield, CA"/>
    <n v="35.3733"/>
    <n v="-119.0187"/>
    <d v="2024-01-28T00:00:00"/>
    <n v="0"/>
    <b v="0"/>
    <d v="2025-06-24T00:00:00"/>
    <x v="3"/>
    <x v="3"/>
  </r>
  <r>
    <b v="1"/>
    <d v="1899-12-30T14:55:00"/>
    <d v="1899-12-30T15:28:00"/>
    <n v="33"/>
    <x v="1"/>
    <b v="1"/>
    <b v="0"/>
    <x v="4"/>
    <x v="0"/>
    <x v="0"/>
    <x v="0"/>
    <x v="0"/>
    <n v="0.05"/>
    <x v="0"/>
    <s v="All hours"/>
    <s v="San Jose, CA"/>
    <n v="37.338200000000001"/>
    <n v="-121.88630000000001"/>
    <d v="2023-08-24T00:00:00"/>
    <n v="1"/>
    <b v="1"/>
    <d v="2025-06-15T00:00:00"/>
    <x v="3"/>
    <x v="3"/>
  </r>
  <r>
    <b v="0"/>
    <d v="1899-12-30T08:06:00"/>
    <d v="1899-12-30T08:47:00"/>
    <n v="41"/>
    <x v="1"/>
    <b v="0"/>
    <b v="1"/>
    <x v="0"/>
    <x v="1"/>
    <x v="1"/>
    <x v="4"/>
    <x v="2"/>
    <n v="0.1"/>
    <x v="26"/>
    <s v="Weekdays only"/>
    <s v="Long Beach, CA"/>
    <n v="33.770099999999999"/>
    <n v="-118.19370000000001"/>
    <d v="2022-12-05T00:00:00"/>
    <n v="0"/>
    <b v="0"/>
    <d v="2025-05-31T00:00:00"/>
    <x v="2"/>
    <x v="2"/>
  </r>
  <r>
    <b v="0"/>
    <d v="1899-12-30T17:21:00"/>
    <d v="1899-12-30T19:53:00"/>
    <n v="152"/>
    <x v="1"/>
    <b v="1"/>
    <b v="1"/>
    <x v="0"/>
    <x v="2"/>
    <x v="0"/>
    <x v="2"/>
    <x v="1"/>
    <n v="0"/>
    <x v="3"/>
    <s v="Off-peak only"/>
    <s v="Long Beach, CA"/>
    <n v="33.770099999999999"/>
    <n v="-118.19370000000001"/>
    <d v="2022-08-09T00:00:00"/>
    <n v="1"/>
    <b v="0"/>
    <d v="2025-05-24T00:00:00"/>
    <x v="0"/>
    <x v="0"/>
  </r>
  <r>
    <b v="1"/>
    <d v="1899-12-30T15:39:00"/>
    <d v="1899-12-30T17:34:00"/>
    <n v="115"/>
    <x v="1"/>
    <b v="1"/>
    <b v="1"/>
    <x v="0"/>
    <x v="2"/>
    <x v="1"/>
    <x v="5"/>
    <x v="2"/>
    <n v="0.1"/>
    <x v="20"/>
    <s v="Off-peak only"/>
    <s v="Anaheim, CA"/>
    <n v="33.836599999999997"/>
    <n v="-117.9143"/>
    <d v="2023-03-27T00:00:00"/>
    <n v="8"/>
    <b v="0"/>
    <d v="2025-06-06T00:00:00"/>
    <x v="0"/>
    <x v="0"/>
  </r>
  <r>
    <b v="0"/>
    <d v="1899-12-30T10:05:00"/>
    <d v="1899-12-30T10:55:00"/>
    <n v="50"/>
    <x v="1"/>
    <b v="1"/>
    <b v="1"/>
    <x v="0"/>
    <x v="0"/>
    <x v="1"/>
    <x v="6"/>
    <x v="0"/>
    <n v="0.05"/>
    <x v="10"/>
    <s v="All hours"/>
    <s v="Sacramento, CA"/>
    <n v="38.581600000000002"/>
    <n v="-121.4944"/>
    <d v="2024-04-04T00:00:00"/>
    <n v="7"/>
    <b v="1"/>
    <d v="2025-06-27T00:00:00"/>
    <x v="0"/>
    <x v="0"/>
  </r>
  <r>
    <b v="0"/>
    <d v="1899-12-30T14:12:00"/>
    <d v="1899-12-30T15:26:00"/>
    <n v="74"/>
    <x v="1"/>
    <b v="0"/>
    <b v="0"/>
    <x v="4"/>
    <x v="2"/>
    <x v="0"/>
    <x v="2"/>
    <x v="0"/>
    <n v="0.05"/>
    <x v="18"/>
    <s v="Off-peak only"/>
    <s v="Oakland, CA"/>
    <n v="37.804400000000001"/>
    <n v="-122.27119999999999"/>
    <d v="2024-03-31T00:00:00"/>
    <n v="0"/>
    <b v="0"/>
    <d v="2025-06-27T00:00:00"/>
    <x v="3"/>
    <x v="3"/>
  </r>
  <r>
    <b v="0"/>
    <d v="1899-12-30T18:22:00"/>
    <d v="1899-12-30T19:04:00"/>
    <n v="42"/>
    <x v="0"/>
    <b v="0"/>
    <b v="0"/>
    <x v="1"/>
    <x v="1"/>
    <x v="1"/>
    <x v="4"/>
    <x v="1"/>
    <n v="0"/>
    <x v="8"/>
    <s v="Weekdays only"/>
    <s v="Long Beach, CA"/>
    <n v="33.770099999999999"/>
    <n v="-118.19370000000001"/>
    <d v="2023-04-29T00:00:00"/>
    <n v="0"/>
    <b v="0"/>
    <d v="2025-06-08T00:00:00"/>
    <x v="3"/>
    <x v="3"/>
  </r>
  <r>
    <b v="1"/>
    <d v="1899-12-30T10:09:00"/>
    <d v="1899-12-30T11:05:00"/>
    <n v="56"/>
    <x v="0"/>
    <b v="0"/>
    <b v="1"/>
    <x v="2"/>
    <x v="1"/>
    <x v="1"/>
    <x v="4"/>
    <x v="1"/>
    <n v="0"/>
    <x v="8"/>
    <s v="Weekdays only"/>
    <s v="San Diego, CA"/>
    <n v="32.715699999999998"/>
    <n v="-117.1611"/>
    <d v="2024-10-11T00:00:00"/>
    <n v="0"/>
    <b v="0"/>
    <d v="2025-07-08T00:00:00"/>
    <x v="2"/>
    <x v="2"/>
  </r>
  <r>
    <b v="1"/>
    <d v="1899-12-30T18:26:00"/>
    <d v="1899-12-30T21:21:00"/>
    <n v="175"/>
    <x v="1"/>
    <b v="1"/>
    <b v="0"/>
    <x v="0"/>
    <x v="2"/>
    <x v="1"/>
    <x v="5"/>
    <x v="3"/>
    <n v="0.15"/>
    <x v="13"/>
    <s v="Off-peak only"/>
    <s v="San Francisco, CA"/>
    <n v="37.774900000000002"/>
    <n v="-122.4194"/>
    <d v="2025-02-25T00:00:00"/>
    <n v="6"/>
    <b v="0"/>
    <d v="2025-07-16T00:00:00"/>
    <x v="0"/>
    <x v="0"/>
  </r>
  <r>
    <b v="1"/>
    <d v="1899-12-30T12:25:00"/>
    <d v="1899-12-30T13:40:00"/>
    <n v="75"/>
    <x v="1"/>
    <b v="0"/>
    <b v="1"/>
    <x v="0"/>
    <x v="0"/>
    <x v="0"/>
    <x v="0"/>
    <x v="1"/>
    <n v="0"/>
    <x v="5"/>
    <s v="All hours"/>
    <s v="San Jose, CA"/>
    <n v="37.338200000000001"/>
    <n v="-121.88630000000001"/>
    <d v="2024-06-10T00:00:00"/>
    <n v="0"/>
    <b v="1"/>
    <d v="2025-07-01T00:00:00"/>
    <x v="3"/>
    <x v="3"/>
  </r>
  <r>
    <b v="0"/>
    <d v="1899-12-30T18:02:00"/>
    <d v="1899-12-30T19:46:00"/>
    <n v="104"/>
    <x v="1"/>
    <b v="0"/>
    <b v="0"/>
    <x v="0"/>
    <x v="0"/>
    <x v="0"/>
    <x v="0"/>
    <x v="0"/>
    <n v="0.05"/>
    <x v="0"/>
    <s v="All hours"/>
    <s v="Bakersfield, CA"/>
    <n v="35.3733"/>
    <n v="-119.0187"/>
    <d v="2024-08-21T00:00:00"/>
    <n v="0"/>
    <b v="1"/>
    <d v="2025-07-05T00:00:00"/>
    <x v="3"/>
    <x v="3"/>
  </r>
  <r>
    <b v="1"/>
    <d v="1899-12-30T13:06:00"/>
    <d v="1899-12-30T14:29:00"/>
    <n v="83"/>
    <x v="0"/>
    <b v="1"/>
    <b v="1"/>
    <x v="1"/>
    <x v="1"/>
    <x v="0"/>
    <x v="1"/>
    <x v="0"/>
    <n v="0.05"/>
    <x v="7"/>
    <s v="Weekdays only"/>
    <s v="Oakland, CA"/>
    <n v="37.804400000000001"/>
    <n v="-122.27119999999999"/>
    <d v="2024-08-11T00:00:00"/>
    <n v="6"/>
    <b v="0"/>
    <d v="2025-07-05T00:00:00"/>
    <x v="0"/>
    <x v="0"/>
  </r>
  <r>
    <b v="1"/>
    <d v="1899-12-30T15:14:00"/>
    <d v="1899-12-30T17:39:00"/>
    <n v="145"/>
    <x v="1"/>
    <b v="0"/>
    <b v="0"/>
    <x v="0"/>
    <x v="1"/>
    <x v="1"/>
    <x v="4"/>
    <x v="0"/>
    <n v="0.05"/>
    <x v="11"/>
    <s v="Weekdays only"/>
    <s v="Sacramento, CA"/>
    <n v="38.581600000000002"/>
    <n v="-121.4944"/>
    <d v="2024-10-17T00:00:00"/>
    <n v="0"/>
    <b v="1"/>
    <d v="2025-07-08T00:00:00"/>
    <x v="1"/>
    <x v="1"/>
  </r>
  <r>
    <b v="0"/>
    <d v="1899-12-30T10:54:00"/>
    <d v="1899-12-30T12:49:00"/>
    <n v="115"/>
    <x v="1"/>
    <b v="1"/>
    <b v="1"/>
    <x v="0"/>
    <x v="3"/>
    <x v="1"/>
    <x v="11"/>
    <x v="1"/>
    <n v="0"/>
    <x v="38"/>
    <s v="All hours + Priority access"/>
    <s v="Long Beach, CA"/>
    <n v="33.770099999999999"/>
    <n v="-118.19370000000001"/>
    <d v="2025-05-09T00:00:00"/>
    <n v="6"/>
    <b v="1"/>
    <d v="2025-07-20T00:00:00"/>
    <x v="1"/>
    <x v="1"/>
  </r>
  <r>
    <b v="1"/>
    <d v="1899-12-30T10:26:00"/>
    <d v="1899-12-30T10:58:00"/>
    <n v="32"/>
    <x v="1"/>
    <b v="0"/>
    <b v="0"/>
    <x v="1"/>
    <x v="0"/>
    <x v="0"/>
    <x v="0"/>
    <x v="1"/>
    <n v="0"/>
    <x v="5"/>
    <s v="All hours"/>
    <s v="Oakland, CA"/>
    <n v="37.804400000000001"/>
    <n v="-122.27119999999999"/>
    <d v="2025-06-03T00:00:00"/>
    <n v="0"/>
    <b v="0"/>
    <d v="2025-07-21T00:00:00"/>
    <x v="3"/>
    <x v="3"/>
  </r>
  <r>
    <b v="0"/>
    <d v="1899-12-30T10:41:00"/>
    <d v="1899-12-30T13:41:00"/>
    <n v="180"/>
    <x v="0"/>
    <b v="0"/>
    <b v="1"/>
    <x v="4"/>
    <x v="2"/>
    <x v="0"/>
    <x v="2"/>
    <x v="3"/>
    <n v="0.15"/>
    <x v="17"/>
    <s v="Off-peak only"/>
    <s v="Anaheim, CA"/>
    <n v="33.836599999999997"/>
    <n v="-117.9143"/>
    <d v="2022-08-06T00:00:00"/>
    <n v="0"/>
    <b v="1"/>
    <d v="2025-05-24T00:00:00"/>
    <x v="1"/>
    <x v="1"/>
  </r>
  <r>
    <b v="0"/>
    <d v="1899-12-30T10:41:00"/>
    <d v="1899-12-30T13:41:00"/>
    <n v="180"/>
    <x v="0"/>
    <b v="0"/>
    <b v="1"/>
    <x v="4"/>
    <x v="2"/>
    <x v="0"/>
    <x v="2"/>
    <x v="3"/>
    <n v="0.15"/>
    <x v="17"/>
    <s v="Off-peak only"/>
    <s v="Anaheim, CA"/>
    <n v="33.836599999999997"/>
    <n v="-117.9143"/>
    <d v="2024-03-24T00:00:00"/>
    <n v="0"/>
    <b v="0"/>
    <d v="2025-06-27T00:00:00"/>
    <x v="1"/>
    <x v="1"/>
  </r>
  <r>
    <b v="1"/>
    <d v="1899-12-30T18:43:00"/>
    <d v="1899-12-30T21:06:00"/>
    <n v="143"/>
    <x v="1"/>
    <b v="0"/>
    <b v="1"/>
    <x v="4"/>
    <x v="3"/>
    <x v="0"/>
    <x v="3"/>
    <x v="2"/>
    <n v="0.1"/>
    <x v="22"/>
    <s v="All hours + Priority access"/>
    <s v="Long Beach, CA"/>
    <n v="33.770099999999999"/>
    <n v="-118.19370000000001"/>
    <d v="2024-05-09T00:00:00"/>
    <n v="0"/>
    <b v="1"/>
    <d v="2025-06-29T00:00:00"/>
    <x v="2"/>
    <x v="2"/>
  </r>
  <r>
    <b v="1"/>
    <d v="1899-12-30T17:13:00"/>
    <d v="1899-12-30T19:00:00"/>
    <n v="107"/>
    <x v="0"/>
    <b v="0"/>
    <b v="0"/>
    <x v="0"/>
    <x v="3"/>
    <x v="0"/>
    <x v="3"/>
    <x v="1"/>
    <n v="0"/>
    <x v="4"/>
    <s v="All hours + Priority access"/>
    <s v="Bakersfield, CA"/>
    <n v="35.3733"/>
    <n v="-119.0187"/>
    <d v="2023-06-30T00:00:00"/>
    <n v="0"/>
    <b v="1"/>
    <d v="2025-06-12T00:00:00"/>
    <x v="2"/>
    <x v="4"/>
  </r>
  <r>
    <b v="0"/>
    <d v="1899-12-30T09:43:00"/>
    <d v="1899-12-30T10:37:00"/>
    <n v="54"/>
    <x v="1"/>
    <b v="0"/>
    <b v="0"/>
    <x v="0"/>
    <x v="0"/>
    <x v="0"/>
    <x v="0"/>
    <x v="0"/>
    <n v="0.05"/>
    <x v="0"/>
    <s v="All hours"/>
    <s v="Bakersfield, CA"/>
    <n v="35.3733"/>
    <n v="-119.0187"/>
    <d v="2024-11-02T00:00:00"/>
    <n v="0"/>
    <b v="1"/>
    <d v="2025-07-09T00:00:00"/>
    <x v="3"/>
    <x v="3"/>
  </r>
  <r>
    <b v="0"/>
    <d v="1899-12-30T17:29:00"/>
    <d v="1899-12-30T18:25:00"/>
    <n v="56"/>
    <x v="0"/>
    <b v="1"/>
    <b v="0"/>
    <x v="1"/>
    <x v="2"/>
    <x v="0"/>
    <x v="2"/>
    <x v="3"/>
    <n v="0.15"/>
    <x v="17"/>
    <s v="Off-peak only"/>
    <s v="Fresno, CA"/>
    <n v="36.7378"/>
    <n v="-119.7871"/>
    <d v="2022-09-15T00:00:00"/>
    <n v="1"/>
    <b v="1"/>
    <d v="2025-05-27T00:00:00"/>
    <x v="1"/>
    <x v="1"/>
  </r>
  <r>
    <b v="0"/>
    <d v="1899-12-30T11:06:00"/>
    <d v="1899-12-30T11:44:00"/>
    <n v="38"/>
    <x v="1"/>
    <b v="1"/>
    <b v="0"/>
    <x v="4"/>
    <x v="0"/>
    <x v="0"/>
    <x v="0"/>
    <x v="2"/>
    <n v="0.1"/>
    <x v="16"/>
    <s v="All hours"/>
    <s v="Anaheim, CA"/>
    <n v="33.836599999999997"/>
    <n v="-117.9143"/>
    <d v="2023-03-08T00:00:00"/>
    <n v="2"/>
    <b v="1"/>
    <d v="2025-06-05T00:00:00"/>
    <x v="1"/>
    <x v="1"/>
  </r>
  <r>
    <b v="0"/>
    <d v="1899-12-30T16:34:00"/>
    <d v="1899-12-30T19:02:00"/>
    <n v="148"/>
    <x v="0"/>
    <b v="0"/>
    <b v="1"/>
    <x v="4"/>
    <x v="0"/>
    <x v="0"/>
    <x v="0"/>
    <x v="1"/>
    <n v="0"/>
    <x v="5"/>
    <s v="All hours"/>
    <s v="Bakersfield, CA"/>
    <n v="35.3733"/>
    <n v="-119.0187"/>
    <d v="2025-03-19T00:00:00"/>
    <n v="0"/>
    <b v="1"/>
    <d v="2025-07-17T00:00:00"/>
    <x v="1"/>
    <x v="1"/>
  </r>
  <r>
    <b v="0"/>
    <d v="1899-12-30T18:14:00"/>
    <d v="1899-12-30T21:04:00"/>
    <n v="170"/>
    <x v="0"/>
    <b v="0"/>
    <b v="0"/>
    <x v="0"/>
    <x v="0"/>
    <x v="0"/>
    <x v="0"/>
    <x v="2"/>
    <n v="0.1"/>
    <x v="16"/>
    <s v="All hours"/>
    <s v="Long Beach, CA"/>
    <n v="33.770099999999999"/>
    <n v="-118.19370000000001"/>
    <d v="2024-04-04T00:00:00"/>
    <n v="0"/>
    <b v="1"/>
    <d v="2025-06-27T00:00:00"/>
    <x v="3"/>
    <x v="3"/>
  </r>
  <r>
    <b v="0"/>
    <d v="1899-12-30T17:27:00"/>
    <d v="1899-12-30T19:12:00"/>
    <n v="105"/>
    <x v="0"/>
    <b v="0"/>
    <b v="0"/>
    <x v="2"/>
    <x v="0"/>
    <x v="1"/>
    <x v="6"/>
    <x v="0"/>
    <n v="0.05"/>
    <x v="10"/>
    <s v="All hours"/>
    <s v="San Jose, CA"/>
    <n v="37.338200000000001"/>
    <n v="-121.88630000000001"/>
    <d v="2022-11-29T00:00:00"/>
    <n v="0"/>
    <b v="1"/>
    <d v="2025-05-31T00:00:00"/>
    <x v="2"/>
    <x v="4"/>
  </r>
  <r>
    <b v="1"/>
    <d v="1899-12-30T10:49:00"/>
    <d v="1899-12-30T12:40:00"/>
    <n v="111"/>
    <x v="1"/>
    <b v="0"/>
    <b v="0"/>
    <x v="0"/>
    <x v="0"/>
    <x v="1"/>
    <x v="6"/>
    <x v="3"/>
    <n v="0.15"/>
    <x v="28"/>
    <s v="All hours"/>
    <s v="Bakersfield, CA"/>
    <n v="35.3733"/>
    <n v="-119.0187"/>
    <d v="2022-09-20T00:00:00"/>
    <n v="0"/>
    <b v="1"/>
    <d v="2025-05-27T00:00:00"/>
    <x v="2"/>
    <x v="4"/>
  </r>
  <r>
    <b v="1"/>
    <d v="1899-12-30T14:59:00"/>
    <d v="1899-12-30T16:59:00"/>
    <n v="120"/>
    <x v="0"/>
    <b v="0"/>
    <b v="1"/>
    <x v="4"/>
    <x v="0"/>
    <x v="1"/>
    <x v="6"/>
    <x v="3"/>
    <n v="0.15"/>
    <x v="28"/>
    <s v="All hours"/>
    <s v="San Francisco, CA"/>
    <n v="37.774900000000002"/>
    <n v="-122.4194"/>
    <d v="2024-02-11T00:00:00"/>
    <n v="0"/>
    <b v="1"/>
    <d v="2025-06-24T00:00:00"/>
    <x v="0"/>
    <x v="0"/>
  </r>
  <r>
    <b v="0"/>
    <d v="1899-12-30T10:38:00"/>
    <d v="1899-12-30T12:32:00"/>
    <n v="114"/>
    <x v="1"/>
    <b v="1"/>
    <b v="0"/>
    <x v="1"/>
    <x v="1"/>
    <x v="1"/>
    <x v="4"/>
    <x v="0"/>
    <n v="0.05"/>
    <x v="11"/>
    <s v="Weekdays only"/>
    <s v="Sacramento, CA"/>
    <n v="38.581600000000002"/>
    <n v="-121.4944"/>
    <d v="2023-09-08T00:00:00"/>
    <n v="1"/>
    <b v="1"/>
    <d v="2025-06-16T00:00:00"/>
    <x v="3"/>
    <x v="3"/>
  </r>
  <r>
    <b v="0"/>
    <d v="1899-12-30T15:05:00"/>
    <d v="1899-12-30T16:19:00"/>
    <n v="74"/>
    <x v="0"/>
    <b v="1"/>
    <b v="1"/>
    <x v="1"/>
    <x v="1"/>
    <x v="0"/>
    <x v="1"/>
    <x v="1"/>
    <n v="0"/>
    <x v="1"/>
    <s v="Weekdays only"/>
    <s v="San Diego, CA"/>
    <n v="32.715699999999998"/>
    <n v="-117.1611"/>
    <d v="2024-12-27T00:00:00"/>
    <n v="5"/>
    <b v="1"/>
    <d v="2025-07-12T00:00:00"/>
    <x v="3"/>
    <x v="3"/>
  </r>
  <r>
    <b v="0"/>
    <d v="1899-12-30T15:38:00"/>
    <d v="1899-12-30T17:36:00"/>
    <n v="118"/>
    <x v="0"/>
    <b v="1"/>
    <b v="0"/>
    <x v="4"/>
    <x v="3"/>
    <x v="0"/>
    <x v="3"/>
    <x v="0"/>
    <n v="0.05"/>
    <x v="23"/>
    <s v="All hours + Priority access"/>
    <s v="Los Angeles, CA"/>
    <n v="34.052199999999999"/>
    <n v="-118.2437"/>
    <d v="2022-08-02T00:00:00"/>
    <n v="4"/>
    <b v="1"/>
    <d v="2025-05-24T00:00:00"/>
    <x v="1"/>
    <x v="1"/>
  </r>
  <r>
    <b v="1"/>
    <d v="1899-12-30T19:08:00"/>
    <d v="1899-12-30T21:32:00"/>
    <n v="144"/>
    <x v="1"/>
    <b v="0"/>
    <b v="0"/>
    <x v="0"/>
    <x v="0"/>
    <x v="0"/>
    <x v="0"/>
    <x v="1"/>
    <n v="0"/>
    <x v="5"/>
    <s v="All hours"/>
    <s v="San Diego, CA"/>
    <n v="32.715699999999998"/>
    <n v="-117.1611"/>
    <d v="2024-10-19T00:00:00"/>
    <n v="0"/>
    <b v="0"/>
    <d v="2025-07-09T00:00:00"/>
    <x v="2"/>
    <x v="2"/>
  </r>
  <r>
    <b v="0"/>
    <d v="1899-12-30T08:38:00"/>
    <d v="1899-12-30T10:58:00"/>
    <n v="140"/>
    <x v="1"/>
    <b v="1"/>
    <b v="0"/>
    <x v="2"/>
    <x v="2"/>
    <x v="1"/>
    <x v="5"/>
    <x v="1"/>
    <n v="0"/>
    <x v="14"/>
    <s v="Off-peak only"/>
    <s v="Sacramento, CA"/>
    <n v="38.581600000000002"/>
    <n v="-121.4944"/>
    <d v="2022-09-22T00:00:00"/>
    <n v="6"/>
    <b v="1"/>
    <d v="2025-05-27T00:00:00"/>
    <x v="1"/>
    <x v="1"/>
  </r>
  <r>
    <b v="1"/>
    <d v="1899-12-30T15:27:00"/>
    <d v="1899-12-30T17:39:00"/>
    <n v="132"/>
    <x v="0"/>
    <b v="1"/>
    <b v="1"/>
    <x v="2"/>
    <x v="0"/>
    <x v="0"/>
    <x v="0"/>
    <x v="1"/>
    <n v="0"/>
    <x v="5"/>
    <s v="All hours"/>
    <s v="Los Angeles, CA"/>
    <n v="34.052199999999999"/>
    <n v="-118.2437"/>
    <d v="2023-08-01T00:00:00"/>
    <n v="2"/>
    <b v="0"/>
    <d v="2025-06-14T00:00:00"/>
    <x v="0"/>
    <x v="0"/>
  </r>
  <r>
    <b v="1"/>
    <d v="1899-12-30T13:20:00"/>
    <d v="1899-12-30T14:42:00"/>
    <n v="82"/>
    <x v="0"/>
    <b v="0"/>
    <b v="0"/>
    <x v="1"/>
    <x v="1"/>
    <x v="2"/>
    <x v="8"/>
    <x v="1"/>
    <n v="0"/>
    <x v="2"/>
    <s v="Weekdays only"/>
    <s v="San Diego, CA"/>
    <n v="32.715699999999998"/>
    <n v="-117.1611"/>
    <d v="2023-09-14T00:00:00"/>
    <n v="0"/>
    <b v="0"/>
    <d v="2025-06-16T00:00:00"/>
    <x v="1"/>
    <x v="1"/>
  </r>
  <r>
    <b v="0"/>
    <d v="1899-12-30T11:13:00"/>
    <d v="1899-12-30T13:19:00"/>
    <n v="126"/>
    <x v="1"/>
    <b v="0"/>
    <b v="1"/>
    <x v="4"/>
    <x v="1"/>
    <x v="0"/>
    <x v="1"/>
    <x v="1"/>
    <n v="0"/>
    <x v="1"/>
    <s v="Weekdays only"/>
    <s v="San Diego, CA"/>
    <n v="32.715699999999998"/>
    <n v="-117.1611"/>
    <d v="2023-12-24T00:00:00"/>
    <n v="0"/>
    <b v="0"/>
    <d v="2025-06-22T00:00:00"/>
    <x v="0"/>
    <x v="0"/>
  </r>
  <r>
    <b v="0"/>
    <d v="1899-12-30T19:44:00"/>
    <d v="1899-12-30T20:51:00"/>
    <n v="67"/>
    <x v="1"/>
    <b v="0"/>
    <b v="0"/>
    <x v="4"/>
    <x v="0"/>
    <x v="0"/>
    <x v="0"/>
    <x v="2"/>
    <n v="0.1"/>
    <x v="16"/>
    <s v="All hours"/>
    <s v="Oakland, CA"/>
    <n v="37.804400000000001"/>
    <n v="-122.27119999999999"/>
    <d v="2024-10-20T00:00:00"/>
    <n v="0"/>
    <b v="1"/>
    <d v="2025-07-09T00:00:00"/>
    <x v="0"/>
    <x v="0"/>
  </r>
  <r>
    <b v="0"/>
    <d v="1899-12-30T08:22:00"/>
    <d v="1899-12-30T10:40:00"/>
    <n v="138"/>
    <x v="0"/>
    <b v="1"/>
    <b v="0"/>
    <x v="1"/>
    <x v="0"/>
    <x v="0"/>
    <x v="0"/>
    <x v="1"/>
    <n v="0"/>
    <x v="5"/>
    <s v="All hours"/>
    <s v="Fresno, CA"/>
    <n v="36.7378"/>
    <n v="-119.7871"/>
    <d v="2024-12-16T00:00:00"/>
    <n v="3"/>
    <b v="1"/>
    <d v="2025-07-12T00:00:00"/>
    <x v="0"/>
    <x v="0"/>
  </r>
  <r>
    <b v="0"/>
    <d v="1899-12-30T10:26:00"/>
    <d v="1899-12-30T12:21:00"/>
    <n v="115"/>
    <x v="1"/>
    <b v="1"/>
    <b v="1"/>
    <x v="0"/>
    <x v="2"/>
    <x v="2"/>
    <x v="7"/>
    <x v="1"/>
    <n v="0"/>
    <x v="6"/>
    <s v="Off-peak only"/>
    <s v="Long Beach, CA"/>
    <n v="33.770099999999999"/>
    <n v="-118.19370000000001"/>
    <d v="2024-10-31T00:00:00"/>
    <n v="8"/>
    <b v="0"/>
    <d v="2025-07-09T00:00:00"/>
    <x v="3"/>
    <x v="3"/>
  </r>
  <r>
    <b v="1"/>
    <d v="1899-12-30T10:25:00"/>
    <d v="1899-12-30T12:04:00"/>
    <n v="99"/>
    <x v="1"/>
    <b v="1"/>
    <b v="0"/>
    <x v="0"/>
    <x v="1"/>
    <x v="0"/>
    <x v="1"/>
    <x v="1"/>
    <n v="0"/>
    <x v="1"/>
    <s v="Weekdays only"/>
    <s v="Anaheim, CA"/>
    <n v="33.836599999999997"/>
    <n v="-117.9143"/>
    <d v="2024-12-06T00:00:00"/>
    <n v="3"/>
    <b v="0"/>
    <d v="2025-07-11T00:00:00"/>
    <x v="3"/>
    <x v="3"/>
  </r>
  <r>
    <b v="0"/>
    <d v="1899-12-30T12:18:00"/>
    <d v="1899-12-30T13:33:00"/>
    <n v="75"/>
    <x v="1"/>
    <b v="1"/>
    <b v="0"/>
    <x v="4"/>
    <x v="3"/>
    <x v="1"/>
    <x v="11"/>
    <x v="2"/>
    <n v="0.1"/>
    <x v="32"/>
    <s v="All hours + Priority access"/>
    <s v="San Jose, CA"/>
    <n v="37.338200000000001"/>
    <n v="-121.88630000000001"/>
    <d v="2023-03-15T00:00:00"/>
    <n v="4"/>
    <b v="1"/>
    <d v="2025-06-06T00:00:00"/>
    <x v="0"/>
    <x v="0"/>
  </r>
  <r>
    <b v="0"/>
    <d v="1899-12-30T11:23:00"/>
    <d v="1899-12-30T14:03:00"/>
    <n v="160"/>
    <x v="1"/>
    <b v="0"/>
    <b v="0"/>
    <x v="2"/>
    <x v="0"/>
    <x v="1"/>
    <x v="6"/>
    <x v="1"/>
    <n v="0"/>
    <x v="12"/>
    <s v="All hours"/>
    <s v="Fresno, CA"/>
    <n v="36.7378"/>
    <n v="-119.7871"/>
    <d v="2024-06-15T00:00:00"/>
    <n v="0"/>
    <b v="1"/>
    <d v="2025-07-01T00:00:00"/>
    <x v="2"/>
    <x v="2"/>
  </r>
  <r>
    <b v="0"/>
    <d v="1899-12-30T16:57:00"/>
    <d v="1899-12-30T18:54:00"/>
    <n v="117"/>
    <x v="1"/>
    <b v="1"/>
    <b v="0"/>
    <x v="4"/>
    <x v="2"/>
    <x v="1"/>
    <x v="5"/>
    <x v="1"/>
    <n v="0"/>
    <x v="14"/>
    <s v="Off-peak only"/>
    <s v="Sacramento, CA"/>
    <n v="38.581600000000002"/>
    <n v="-121.4944"/>
    <d v="2025-04-22T00:00:00"/>
    <n v="2"/>
    <b v="0"/>
    <d v="2025-07-19T00:00:00"/>
    <x v="2"/>
    <x v="2"/>
  </r>
  <r>
    <b v="0"/>
    <d v="1899-12-30T19:31:00"/>
    <d v="1899-12-30T20:19:00"/>
    <n v="48"/>
    <x v="0"/>
    <b v="1"/>
    <b v="0"/>
    <x v="3"/>
    <x v="0"/>
    <x v="0"/>
    <x v="0"/>
    <x v="3"/>
    <n v="0.15"/>
    <x v="27"/>
    <s v="All hours"/>
    <s v="San Jose, CA"/>
    <n v="37.338200000000001"/>
    <n v="-121.88630000000001"/>
    <d v="2022-08-25T00:00:00"/>
    <n v="1"/>
    <b v="1"/>
    <d v="2025-05-25T00:00:00"/>
    <x v="0"/>
    <x v="0"/>
  </r>
  <r>
    <b v="0"/>
    <d v="1899-12-30T11:13:00"/>
    <d v="1899-12-30T13:19:00"/>
    <n v="126"/>
    <x v="1"/>
    <b v="0"/>
    <b v="1"/>
    <x v="4"/>
    <x v="1"/>
    <x v="0"/>
    <x v="1"/>
    <x v="1"/>
    <n v="0"/>
    <x v="1"/>
    <s v="Weekdays only"/>
    <s v="San Diego, CA"/>
    <n v="32.715699999999998"/>
    <n v="-117.1611"/>
    <d v="2022-11-24T00:00:00"/>
    <n v="0"/>
    <b v="1"/>
    <d v="2025-05-30T00:00:00"/>
    <x v="0"/>
    <x v="0"/>
  </r>
  <r>
    <b v="0"/>
    <d v="1899-12-30T20:43:00"/>
    <d v="1899-12-30T22:58:00"/>
    <n v="135"/>
    <x v="1"/>
    <b v="0"/>
    <b v="0"/>
    <x v="4"/>
    <x v="2"/>
    <x v="0"/>
    <x v="2"/>
    <x v="1"/>
    <n v="0"/>
    <x v="3"/>
    <s v="Off-peak only"/>
    <s v="Sacramento, CA"/>
    <n v="38.581600000000002"/>
    <n v="-121.4944"/>
    <d v="2022-10-08T00:00:00"/>
    <n v="0"/>
    <b v="0"/>
    <d v="2025-05-28T00:00:00"/>
    <x v="0"/>
    <x v="0"/>
  </r>
  <r>
    <b v="1"/>
    <d v="1899-12-30T13:35:00"/>
    <d v="1899-12-30T14:37:00"/>
    <n v="62"/>
    <x v="1"/>
    <b v="1"/>
    <b v="1"/>
    <x v="0"/>
    <x v="1"/>
    <x v="0"/>
    <x v="1"/>
    <x v="2"/>
    <n v="0.1"/>
    <x v="2"/>
    <s v="Weekdays only"/>
    <s v="Oakland, CA"/>
    <n v="37.804400000000001"/>
    <n v="-122.27119999999999"/>
    <d v="2022-07-29T00:00:00"/>
    <n v="1"/>
    <b v="1"/>
    <d v="2025-05-24T00:00:00"/>
    <x v="1"/>
    <x v="1"/>
  </r>
  <r>
    <b v="0"/>
    <d v="1899-12-30T10:46:00"/>
    <d v="1899-12-30T12:59:00"/>
    <n v="133"/>
    <x v="0"/>
    <b v="1"/>
    <b v="1"/>
    <x v="0"/>
    <x v="0"/>
    <x v="0"/>
    <x v="0"/>
    <x v="2"/>
    <n v="0.1"/>
    <x v="16"/>
    <s v="All hours"/>
    <s v="Long Beach, CA"/>
    <n v="33.770099999999999"/>
    <n v="-118.19370000000001"/>
    <d v="2024-12-19T00:00:00"/>
    <n v="5"/>
    <b v="1"/>
    <d v="2025-07-12T00:00:00"/>
    <x v="3"/>
    <x v="3"/>
  </r>
  <r>
    <b v="1"/>
    <d v="1899-12-30T10:01:00"/>
    <d v="1899-12-30T12:48:00"/>
    <n v="167"/>
    <x v="1"/>
    <b v="1"/>
    <b v="1"/>
    <x v="4"/>
    <x v="3"/>
    <x v="0"/>
    <x v="3"/>
    <x v="1"/>
    <n v="0"/>
    <x v="4"/>
    <s v="All hours + Priority access"/>
    <s v="Fresno, CA"/>
    <n v="36.7378"/>
    <n v="-119.7871"/>
    <d v="2024-04-27T00:00:00"/>
    <n v="5"/>
    <b v="0"/>
    <d v="2025-06-29T00:00:00"/>
    <x v="1"/>
    <x v="1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3-04-07T00:00:00"/>
    <n v="1"/>
    <b v="1"/>
    <d v="2025-06-07T00:00:00"/>
    <x v="3"/>
    <x v="3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3-06-12T00:00:00"/>
    <n v="3"/>
    <b v="1"/>
    <d v="2025-06-11T00:00:00"/>
    <x v="3"/>
    <x v="3"/>
  </r>
  <r>
    <b v="1"/>
    <d v="1899-12-30T09:46:00"/>
    <d v="1899-12-30T11:55:00"/>
    <n v="129"/>
    <x v="0"/>
    <b v="1"/>
    <b v="0"/>
    <x v="0"/>
    <x v="0"/>
    <x v="2"/>
    <x v="10"/>
    <x v="3"/>
    <n v="0.15"/>
    <x v="25"/>
    <s v="All hours"/>
    <s v="Long Beach, CA"/>
    <n v="33.770099999999999"/>
    <n v="-118.19370000000001"/>
    <d v="2025-01-10T00:00:00"/>
    <n v="8"/>
    <b v="1"/>
    <d v="2025-07-13T00:00:00"/>
    <x v="3"/>
    <x v="3"/>
  </r>
  <r>
    <b v="1"/>
    <d v="1899-12-30T15:14:00"/>
    <d v="1899-12-30T17:39:00"/>
    <n v="145"/>
    <x v="1"/>
    <b v="0"/>
    <b v="0"/>
    <x v="0"/>
    <x v="1"/>
    <x v="1"/>
    <x v="4"/>
    <x v="0"/>
    <n v="0.05"/>
    <x v="11"/>
    <s v="Weekdays only"/>
    <s v="Sacramento, CA"/>
    <n v="38.581600000000002"/>
    <n v="-121.4944"/>
    <d v="2023-02-05T00:00:00"/>
    <n v="0"/>
    <b v="0"/>
    <d v="2025-06-04T00:00:00"/>
    <x v="1"/>
    <x v="1"/>
  </r>
  <r>
    <b v="0"/>
    <d v="1899-12-30T11:56:00"/>
    <d v="1899-12-30T13:42:00"/>
    <n v="106"/>
    <x v="0"/>
    <b v="1"/>
    <b v="1"/>
    <x v="4"/>
    <x v="1"/>
    <x v="0"/>
    <x v="1"/>
    <x v="0"/>
    <n v="0.05"/>
    <x v="7"/>
    <s v="Weekdays only"/>
    <s v="Fresno, CA"/>
    <n v="36.7378"/>
    <n v="-119.7871"/>
    <d v="2024-10-26T00:00:00"/>
    <n v="6"/>
    <b v="0"/>
    <d v="2025-07-09T00:00:00"/>
    <x v="3"/>
    <x v="3"/>
  </r>
  <r>
    <b v="0"/>
    <d v="1899-12-30T09:56:00"/>
    <d v="1899-12-30T11:39:00"/>
    <n v="103"/>
    <x v="0"/>
    <b v="1"/>
    <b v="1"/>
    <x v="2"/>
    <x v="1"/>
    <x v="0"/>
    <x v="1"/>
    <x v="3"/>
    <n v="0.15"/>
    <x v="15"/>
    <s v="Weekdays only"/>
    <s v="Long Beach, CA"/>
    <n v="33.770099999999999"/>
    <n v="-118.19370000000001"/>
    <d v="2024-10-27T00:00:00"/>
    <n v="3"/>
    <b v="0"/>
    <d v="2025-07-09T00:00:00"/>
    <x v="0"/>
    <x v="0"/>
  </r>
  <r>
    <b v="0"/>
    <d v="1899-12-30T10:17:00"/>
    <d v="1899-12-30T12:21:00"/>
    <n v="124"/>
    <x v="1"/>
    <b v="0"/>
    <b v="1"/>
    <x v="4"/>
    <x v="1"/>
    <x v="0"/>
    <x v="1"/>
    <x v="1"/>
    <n v="0"/>
    <x v="1"/>
    <s v="Weekdays only"/>
    <s v="Anaheim, CA"/>
    <n v="33.836599999999997"/>
    <n v="-117.9143"/>
    <d v="2023-11-29T00:00:00"/>
    <n v="0"/>
    <b v="0"/>
    <d v="2025-06-20T00:00:00"/>
    <x v="3"/>
    <x v="3"/>
  </r>
  <r>
    <b v="1"/>
    <d v="1899-12-30T16:05:00"/>
    <d v="1899-12-30T18:42:00"/>
    <n v="157"/>
    <x v="0"/>
    <b v="1"/>
    <b v="0"/>
    <x v="0"/>
    <x v="2"/>
    <x v="0"/>
    <x v="2"/>
    <x v="2"/>
    <n v="0.1"/>
    <x v="6"/>
    <s v="Off-peak only"/>
    <s v="San Jose, CA"/>
    <n v="37.338200000000001"/>
    <n v="-121.88630000000001"/>
    <d v="2023-09-30T00:00:00"/>
    <n v="8"/>
    <b v="1"/>
    <d v="2025-06-17T00:00:00"/>
    <x v="1"/>
    <x v="1"/>
  </r>
  <r>
    <b v="0"/>
    <d v="1899-12-30T14:23:00"/>
    <d v="1899-12-30T15:48:00"/>
    <n v="85"/>
    <x v="1"/>
    <b v="0"/>
    <b v="0"/>
    <x v="2"/>
    <x v="1"/>
    <x v="0"/>
    <x v="1"/>
    <x v="1"/>
    <n v="0"/>
    <x v="1"/>
    <s v="Weekdays only"/>
    <s v="Long Beach, CA"/>
    <n v="33.770099999999999"/>
    <n v="-118.19370000000001"/>
    <d v="2023-10-14T00:00:00"/>
    <n v="0"/>
    <b v="0"/>
    <d v="2025-06-18T00:00:00"/>
    <x v="1"/>
    <x v="1"/>
  </r>
  <r>
    <b v="1"/>
    <d v="1899-12-30T13:20:00"/>
    <d v="1899-12-30T14:26:00"/>
    <n v="66"/>
    <x v="0"/>
    <b v="1"/>
    <b v="1"/>
    <x v="1"/>
    <x v="0"/>
    <x v="0"/>
    <x v="0"/>
    <x v="1"/>
    <n v="0"/>
    <x v="5"/>
    <s v="All hours"/>
    <s v="Sacramento, CA"/>
    <n v="38.581600000000002"/>
    <n v="-121.4944"/>
    <d v="2025-03-17T00:00:00"/>
    <n v="5"/>
    <b v="1"/>
    <d v="2025-07-17T00:00:00"/>
    <x v="0"/>
    <x v="0"/>
  </r>
  <r>
    <b v="1"/>
    <d v="1899-12-30T13:14:00"/>
    <d v="1899-12-30T15:34:00"/>
    <n v="140"/>
    <x v="0"/>
    <b v="0"/>
    <b v="0"/>
    <x v="4"/>
    <x v="0"/>
    <x v="0"/>
    <x v="0"/>
    <x v="2"/>
    <n v="0.1"/>
    <x v="16"/>
    <s v="All hours"/>
    <s v="Los Angeles, CA"/>
    <n v="34.052199999999999"/>
    <n v="-118.2437"/>
    <d v="2022-12-01T00:00:00"/>
    <n v="0"/>
    <b v="1"/>
    <d v="2025-05-31T00:00:00"/>
    <x v="0"/>
    <x v="0"/>
  </r>
  <r>
    <b v="1"/>
    <d v="1899-12-30T15:44:00"/>
    <d v="1899-12-30T18:17:00"/>
    <n v="153"/>
    <x v="0"/>
    <b v="1"/>
    <b v="1"/>
    <x v="0"/>
    <x v="1"/>
    <x v="0"/>
    <x v="1"/>
    <x v="1"/>
    <n v="0"/>
    <x v="1"/>
    <s v="Weekdays only"/>
    <s v="Bakersfield, CA"/>
    <n v="35.3733"/>
    <n v="-119.0187"/>
    <d v="2024-09-13T00:00:00"/>
    <n v="4"/>
    <b v="0"/>
    <d v="2025-07-07T00:00:00"/>
    <x v="3"/>
    <x v="3"/>
  </r>
  <r>
    <b v="1"/>
    <d v="1899-12-30T09:42:00"/>
    <d v="1899-12-30T12:23:00"/>
    <n v="161"/>
    <x v="1"/>
    <b v="1"/>
    <b v="0"/>
    <x v="0"/>
    <x v="0"/>
    <x v="0"/>
    <x v="0"/>
    <x v="3"/>
    <n v="0.15"/>
    <x v="27"/>
    <s v="All hours"/>
    <s v="Bakersfield, CA"/>
    <n v="35.3733"/>
    <n v="-119.0187"/>
    <d v="2025-02-05T00:00:00"/>
    <n v="8"/>
    <b v="0"/>
    <d v="2025-07-15T00:00:00"/>
    <x v="1"/>
    <x v="1"/>
  </r>
  <r>
    <b v="1"/>
    <d v="1899-12-30T14:45:00"/>
    <d v="1899-12-30T17:41:00"/>
    <n v="176"/>
    <x v="0"/>
    <b v="1"/>
    <b v="1"/>
    <x v="0"/>
    <x v="2"/>
    <x v="0"/>
    <x v="2"/>
    <x v="1"/>
    <n v="0"/>
    <x v="3"/>
    <s v="Off-peak only"/>
    <s v="San Jose, CA"/>
    <n v="37.338200000000001"/>
    <n v="-121.88630000000001"/>
    <d v="2022-11-19T00:00:00"/>
    <n v="1"/>
    <b v="1"/>
    <d v="2025-05-30T00:00:00"/>
    <x v="3"/>
    <x v="3"/>
  </r>
  <r>
    <b v="1"/>
    <d v="1899-12-30T16:45:00"/>
    <d v="1899-12-30T18:58:00"/>
    <n v="133"/>
    <x v="0"/>
    <b v="0"/>
    <b v="0"/>
    <x v="0"/>
    <x v="1"/>
    <x v="1"/>
    <x v="4"/>
    <x v="1"/>
    <n v="0"/>
    <x v="8"/>
    <s v="Weekdays only"/>
    <s v="Oakland, CA"/>
    <n v="37.804400000000001"/>
    <n v="-122.27119999999999"/>
    <d v="2022-09-09T00:00:00"/>
    <n v="0"/>
    <b v="1"/>
    <d v="2025-05-26T00:00:00"/>
    <x v="1"/>
    <x v="1"/>
  </r>
  <r>
    <b v="0"/>
    <d v="1899-12-30T14:23:00"/>
    <d v="1899-12-30T15:48:00"/>
    <n v="85"/>
    <x v="1"/>
    <b v="0"/>
    <b v="0"/>
    <x v="2"/>
    <x v="1"/>
    <x v="0"/>
    <x v="1"/>
    <x v="1"/>
    <n v="0"/>
    <x v="1"/>
    <s v="Weekdays only"/>
    <s v="Long Beach, CA"/>
    <n v="33.770099999999999"/>
    <n v="-118.19370000000001"/>
    <d v="2022-12-17T00:00:00"/>
    <n v="0"/>
    <b v="1"/>
    <d v="2025-06-01T00:00:00"/>
    <x v="1"/>
    <x v="1"/>
  </r>
  <r>
    <b v="1"/>
    <d v="1899-12-30T17:30:00"/>
    <d v="1899-12-30T19:17:00"/>
    <n v="107"/>
    <x v="0"/>
    <b v="1"/>
    <b v="1"/>
    <x v="4"/>
    <x v="3"/>
    <x v="0"/>
    <x v="3"/>
    <x v="3"/>
    <n v="0.15"/>
    <x v="40"/>
    <s v="All hours + Priority access"/>
    <s v="Sacramento, CA"/>
    <n v="38.581600000000002"/>
    <n v="-121.4944"/>
    <d v="2023-02-11T00:00:00"/>
    <n v="5"/>
    <b v="1"/>
    <d v="2025-06-04T00:00:00"/>
    <x v="3"/>
    <x v="3"/>
  </r>
  <r>
    <b v="0"/>
    <d v="1899-12-30T17:22:00"/>
    <d v="1899-12-30T18:50:00"/>
    <n v="88"/>
    <x v="1"/>
    <b v="1"/>
    <b v="0"/>
    <x v="1"/>
    <x v="1"/>
    <x v="1"/>
    <x v="4"/>
    <x v="1"/>
    <n v="0"/>
    <x v="8"/>
    <s v="Weekdays only"/>
    <s v="Fresno, CA"/>
    <n v="36.7378"/>
    <n v="-119.7871"/>
    <d v="2023-07-26T00:00:00"/>
    <n v="5"/>
    <b v="0"/>
    <d v="2025-06-13T00:00:00"/>
    <x v="3"/>
    <x v="3"/>
  </r>
  <r>
    <b v="1"/>
    <d v="1899-12-30T10:23:00"/>
    <d v="1899-12-30T12:01:00"/>
    <n v="98"/>
    <x v="0"/>
    <b v="1"/>
    <b v="1"/>
    <x v="0"/>
    <x v="1"/>
    <x v="0"/>
    <x v="1"/>
    <x v="3"/>
    <n v="0.15"/>
    <x v="15"/>
    <s v="Weekdays only"/>
    <s v="Sacramento, CA"/>
    <n v="38.581600000000002"/>
    <n v="-121.4944"/>
    <d v="2023-11-14T00:00:00"/>
    <n v="6"/>
    <b v="0"/>
    <d v="2025-06-19T00:00:00"/>
    <x v="0"/>
    <x v="0"/>
  </r>
  <r>
    <b v="0"/>
    <d v="1899-12-30T12:36:00"/>
    <d v="1899-12-30T14:19:00"/>
    <n v="103"/>
    <x v="0"/>
    <b v="1"/>
    <b v="0"/>
    <x v="0"/>
    <x v="1"/>
    <x v="1"/>
    <x v="4"/>
    <x v="1"/>
    <n v="0"/>
    <x v="8"/>
    <s v="Weekdays only"/>
    <s v="Sacramento, CA"/>
    <n v="38.581600000000002"/>
    <n v="-121.4944"/>
    <d v="2025-03-22T00:00:00"/>
    <n v="1"/>
    <b v="0"/>
    <d v="2025-07-17T00:00:00"/>
    <x v="1"/>
    <x v="1"/>
  </r>
  <r>
    <b v="0"/>
    <d v="1899-12-30T17:21:00"/>
    <d v="1899-12-30T19:53:00"/>
    <n v="152"/>
    <x v="1"/>
    <b v="1"/>
    <b v="1"/>
    <x v="0"/>
    <x v="2"/>
    <x v="0"/>
    <x v="2"/>
    <x v="1"/>
    <n v="0"/>
    <x v="3"/>
    <s v="Off-peak only"/>
    <s v="Long Beach, CA"/>
    <n v="33.770099999999999"/>
    <n v="-118.19370000000001"/>
    <d v="2024-04-13T00:00:00"/>
    <n v="6"/>
    <b v="0"/>
    <d v="2025-06-28T00:00:00"/>
    <x v="0"/>
    <x v="0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4-05-22T00:00:00"/>
    <n v="0"/>
    <b v="1"/>
    <d v="2025-06-30T00:00:00"/>
    <x v="3"/>
    <x v="3"/>
  </r>
  <r>
    <b v="0"/>
    <d v="1899-12-30T16:23:00"/>
    <d v="1899-12-30T18:07:00"/>
    <n v="104"/>
    <x v="0"/>
    <b v="1"/>
    <b v="0"/>
    <x v="2"/>
    <x v="1"/>
    <x v="0"/>
    <x v="1"/>
    <x v="3"/>
    <n v="0.15"/>
    <x v="15"/>
    <s v="Weekdays only"/>
    <s v="Sacramento, CA"/>
    <n v="38.581600000000002"/>
    <n v="-121.4944"/>
    <d v="2024-09-19T00:00:00"/>
    <n v="1"/>
    <b v="0"/>
    <d v="2025-07-07T00:00:00"/>
    <x v="0"/>
    <x v="0"/>
  </r>
  <r>
    <b v="0"/>
    <d v="1899-12-30T09:43:00"/>
    <d v="1899-12-30T11:16:00"/>
    <n v="93"/>
    <x v="1"/>
    <b v="0"/>
    <b v="1"/>
    <x v="3"/>
    <x v="0"/>
    <x v="0"/>
    <x v="0"/>
    <x v="1"/>
    <n v="0"/>
    <x v="5"/>
    <s v="All hours"/>
    <s v="San Diego, CA"/>
    <n v="32.715699999999998"/>
    <n v="-117.1611"/>
    <d v="2023-05-14T00:00:00"/>
    <n v="0"/>
    <b v="1"/>
    <d v="2025-06-09T00:00:00"/>
    <x v="0"/>
    <x v="0"/>
  </r>
  <r>
    <b v="0"/>
    <d v="1899-12-30T10:17:00"/>
    <d v="1899-12-30T11:47:00"/>
    <n v="90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4-01-11T00:00:00"/>
    <n v="6"/>
    <b v="0"/>
    <d v="2025-06-23T00:00:00"/>
    <x v="3"/>
    <x v="3"/>
  </r>
  <r>
    <b v="1"/>
    <d v="1899-12-30T15:41:00"/>
    <d v="1899-12-30T16:58:00"/>
    <n v="77"/>
    <x v="1"/>
    <b v="1"/>
    <b v="0"/>
    <x v="4"/>
    <x v="0"/>
    <x v="1"/>
    <x v="6"/>
    <x v="2"/>
    <n v="0.1"/>
    <x v="30"/>
    <s v="All hours"/>
    <s v="San Francisco, CA"/>
    <n v="37.774900000000002"/>
    <n v="-122.4194"/>
    <d v="2025-03-28T00:00:00"/>
    <n v="8"/>
    <b v="0"/>
    <d v="2025-07-18T00:00:00"/>
    <x v="2"/>
    <x v="2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4-10-31T00:00:00"/>
    <n v="3"/>
    <b v="1"/>
    <d v="2025-07-09T00:00:00"/>
    <x v="2"/>
    <x v="2"/>
  </r>
  <r>
    <b v="1"/>
    <d v="1899-12-30T09:57:00"/>
    <d v="1899-12-30T12:09:00"/>
    <n v="132"/>
    <x v="1"/>
    <b v="1"/>
    <b v="1"/>
    <x v="2"/>
    <x v="0"/>
    <x v="0"/>
    <x v="0"/>
    <x v="1"/>
    <n v="0"/>
    <x v="5"/>
    <s v="All hours"/>
    <s v="Anaheim, CA"/>
    <n v="33.836599999999997"/>
    <n v="-117.9143"/>
    <d v="2023-06-26T00:00:00"/>
    <n v="4"/>
    <b v="1"/>
    <d v="2025-06-12T00:00:00"/>
    <x v="1"/>
    <x v="1"/>
  </r>
  <r>
    <b v="1"/>
    <d v="1899-12-30T10:54:00"/>
    <d v="1899-12-30T13:17:00"/>
    <n v="143"/>
    <x v="1"/>
    <b v="1"/>
    <b v="0"/>
    <x v="4"/>
    <x v="0"/>
    <x v="0"/>
    <x v="0"/>
    <x v="0"/>
    <n v="0.05"/>
    <x v="0"/>
    <s v="All hours"/>
    <s v="Long Beach, CA"/>
    <n v="33.770099999999999"/>
    <n v="-118.19370000000001"/>
    <d v="2025-04-02T00:00:00"/>
    <n v="4"/>
    <b v="0"/>
    <d v="2025-07-18T00:00:00"/>
    <x v="2"/>
    <x v="2"/>
  </r>
  <r>
    <b v="0"/>
    <d v="1899-12-30T19:31:00"/>
    <d v="1899-12-30T20:19:00"/>
    <n v="48"/>
    <x v="0"/>
    <b v="1"/>
    <b v="0"/>
    <x v="3"/>
    <x v="0"/>
    <x v="0"/>
    <x v="0"/>
    <x v="3"/>
    <n v="0.15"/>
    <x v="27"/>
    <s v="All hours"/>
    <s v="San Jose, CA"/>
    <n v="37.338200000000001"/>
    <n v="-121.88630000000001"/>
    <d v="2022-12-29T00:00:00"/>
    <n v="1"/>
    <b v="1"/>
    <d v="2025-06-01T00:00:00"/>
    <x v="0"/>
    <x v="0"/>
  </r>
  <r>
    <b v="1"/>
    <d v="1899-12-30T14:03:00"/>
    <d v="1899-12-30T16:10:00"/>
    <n v="127"/>
    <x v="1"/>
    <b v="0"/>
    <b v="1"/>
    <x v="4"/>
    <x v="0"/>
    <x v="0"/>
    <x v="0"/>
    <x v="0"/>
    <n v="0.05"/>
    <x v="0"/>
    <s v="All hours"/>
    <s v="San Francisco, CA"/>
    <n v="37.774900000000002"/>
    <n v="-122.4194"/>
    <d v="2024-01-12T00:00:00"/>
    <n v="0"/>
    <b v="1"/>
    <d v="2025-06-23T00:00:00"/>
    <x v="1"/>
    <x v="1"/>
  </r>
  <r>
    <b v="0"/>
    <d v="1899-12-30T16:54:00"/>
    <d v="1899-12-30T18:20:00"/>
    <n v="86"/>
    <x v="0"/>
    <b v="1"/>
    <b v="0"/>
    <x v="0"/>
    <x v="1"/>
    <x v="1"/>
    <x v="4"/>
    <x v="0"/>
    <n v="0.05"/>
    <x v="11"/>
    <s v="Weekdays only"/>
    <s v="Anaheim, CA"/>
    <n v="33.836599999999997"/>
    <n v="-117.9143"/>
    <d v="2024-01-28T00:00:00"/>
    <n v="2"/>
    <b v="1"/>
    <d v="2025-06-24T00:00:00"/>
    <x v="3"/>
    <x v="3"/>
  </r>
  <r>
    <b v="1"/>
    <d v="1899-12-30T08:33:00"/>
    <d v="1899-12-30T10:13:00"/>
    <n v="100"/>
    <x v="1"/>
    <b v="1"/>
    <b v="1"/>
    <x v="0"/>
    <x v="0"/>
    <x v="0"/>
    <x v="0"/>
    <x v="3"/>
    <n v="0.15"/>
    <x v="27"/>
    <s v="All hours"/>
    <s v="Sacramento, CA"/>
    <n v="38.581600000000002"/>
    <n v="-121.4944"/>
    <d v="2023-10-01T00:00:00"/>
    <n v="7"/>
    <b v="1"/>
    <d v="2025-06-17T00:00:00"/>
    <x v="0"/>
    <x v="0"/>
  </r>
  <r>
    <b v="0"/>
    <d v="1899-12-30T14:45:00"/>
    <d v="1899-12-30T16:43:00"/>
    <n v="118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3-01-26T00:00:00"/>
    <n v="5"/>
    <b v="1"/>
    <d v="2025-06-03T00:00:00"/>
    <x v="3"/>
    <x v="3"/>
  </r>
  <r>
    <b v="1"/>
    <d v="1899-12-30T17:06:00"/>
    <d v="1899-12-30T19:09:00"/>
    <n v="123"/>
    <x v="1"/>
    <b v="1"/>
    <b v="0"/>
    <x v="2"/>
    <x v="0"/>
    <x v="0"/>
    <x v="0"/>
    <x v="2"/>
    <n v="0.1"/>
    <x v="16"/>
    <s v="All hours"/>
    <s v="Fresno, CA"/>
    <n v="36.7378"/>
    <n v="-119.7871"/>
    <d v="2024-06-17T00:00:00"/>
    <n v="5"/>
    <b v="1"/>
    <d v="2025-07-02T00:00:00"/>
    <x v="1"/>
    <x v="1"/>
  </r>
  <r>
    <b v="0"/>
    <d v="1899-12-30T13:10:00"/>
    <d v="1899-12-30T15:15:00"/>
    <n v="125"/>
    <x v="1"/>
    <b v="0"/>
    <b v="1"/>
    <x v="0"/>
    <x v="0"/>
    <x v="0"/>
    <x v="0"/>
    <x v="1"/>
    <n v="0"/>
    <x v="5"/>
    <s v="All hours"/>
    <s v="Bakersfield, CA"/>
    <n v="35.3733"/>
    <n v="-119.0187"/>
    <d v="2023-07-01T00:00:00"/>
    <n v="0"/>
    <b v="0"/>
    <d v="2025-06-12T00:00:00"/>
    <x v="0"/>
    <x v="0"/>
  </r>
  <r>
    <b v="1"/>
    <d v="1899-12-30T10:06:00"/>
    <d v="1899-12-30T11:38:00"/>
    <n v="92"/>
    <x v="1"/>
    <b v="0"/>
    <b v="0"/>
    <x v="1"/>
    <x v="0"/>
    <x v="0"/>
    <x v="0"/>
    <x v="3"/>
    <n v="0.15"/>
    <x v="27"/>
    <s v="All hours"/>
    <s v="Sacramento, CA"/>
    <n v="38.581600000000002"/>
    <n v="-121.4944"/>
    <d v="2023-10-29T00:00:00"/>
    <n v="0"/>
    <b v="1"/>
    <d v="2025-06-19T00:00:00"/>
    <x v="3"/>
    <x v="3"/>
  </r>
  <r>
    <b v="1"/>
    <d v="1899-12-30T13:30:00"/>
    <d v="1899-12-30T14:20:00"/>
    <n v="50"/>
    <x v="1"/>
    <b v="0"/>
    <b v="1"/>
    <x v="4"/>
    <x v="0"/>
    <x v="1"/>
    <x v="6"/>
    <x v="1"/>
    <n v="0"/>
    <x v="12"/>
    <s v="All hours"/>
    <s v="San Diego, CA"/>
    <n v="32.715699999999998"/>
    <n v="-117.1611"/>
    <d v="2024-09-11T00:00:00"/>
    <n v="0"/>
    <b v="1"/>
    <d v="2025-07-06T00:00:00"/>
    <x v="2"/>
    <x v="2"/>
  </r>
  <r>
    <b v="1"/>
    <d v="1899-12-30T20:54:00"/>
    <d v="1899-12-30T23:49:00"/>
    <n v="175"/>
    <x v="0"/>
    <b v="1"/>
    <b v="1"/>
    <x v="2"/>
    <x v="0"/>
    <x v="1"/>
    <x v="6"/>
    <x v="2"/>
    <n v="0.1"/>
    <x v="30"/>
    <s v="All hours"/>
    <s v="Sacramento, CA"/>
    <n v="38.581600000000002"/>
    <n v="-121.4944"/>
    <d v="2022-11-30T00:00:00"/>
    <n v="1"/>
    <b v="1"/>
    <d v="2025-05-31T00:00:00"/>
    <x v="0"/>
    <x v="0"/>
  </r>
  <r>
    <b v="1"/>
    <d v="1899-12-30T14:55:00"/>
    <d v="1899-12-30T16:01:00"/>
    <n v="66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2-24T00:00:00"/>
    <n v="8"/>
    <b v="1"/>
    <d v="2025-06-05T00:00:00"/>
    <x v="1"/>
    <x v="1"/>
  </r>
  <r>
    <b v="1"/>
    <d v="1899-12-30T14:44:00"/>
    <d v="1899-12-30T16:58:00"/>
    <n v="134"/>
    <x v="0"/>
    <b v="1"/>
    <b v="0"/>
    <x v="4"/>
    <x v="1"/>
    <x v="2"/>
    <x v="8"/>
    <x v="1"/>
    <n v="0"/>
    <x v="2"/>
    <s v="Weekdays only"/>
    <s v="Anaheim, CA"/>
    <n v="33.836599999999997"/>
    <n v="-117.9143"/>
    <d v="2023-07-22T00:00:00"/>
    <n v="6"/>
    <b v="0"/>
    <d v="2025-06-13T00:00:00"/>
    <x v="0"/>
    <x v="0"/>
  </r>
  <r>
    <b v="1"/>
    <d v="1899-12-30T13:03:00"/>
    <d v="1899-12-30T15:39:00"/>
    <n v="156"/>
    <x v="0"/>
    <b v="1"/>
    <b v="1"/>
    <x v="2"/>
    <x v="1"/>
    <x v="1"/>
    <x v="4"/>
    <x v="0"/>
    <n v="0.05"/>
    <x v="11"/>
    <s v="Weekdays only"/>
    <s v="Sacramento, CA"/>
    <n v="38.581600000000002"/>
    <n v="-121.4944"/>
    <d v="2022-12-30T00:00:00"/>
    <n v="2"/>
    <b v="0"/>
    <d v="2025-06-01T00:00:00"/>
    <x v="3"/>
    <x v="3"/>
  </r>
  <r>
    <b v="1"/>
    <d v="1899-12-30T14:51:00"/>
    <d v="1899-12-30T17:44:00"/>
    <n v="173"/>
    <x v="0"/>
    <b v="1"/>
    <b v="1"/>
    <x v="1"/>
    <x v="1"/>
    <x v="1"/>
    <x v="4"/>
    <x v="1"/>
    <n v="0"/>
    <x v="8"/>
    <s v="Weekdays only"/>
    <s v="San Diego, CA"/>
    <n v="32.715699999999998"/>
    <n v="-117.1611"/>
    <d v="2022-12-12T00:00:00"/>
    <n v="3"/>
    <b v="0"/>
    <d v="2025-05-31T00:00:00"/>
    <x v="1"/>
    <x v="1"/>
  </r>
  <r>
    <b v="1"/>
    <d v="1899-12-30T09:13:00"/>
    <d v="1899-12-30T11:27:00"/>
    <n v="134"/>
    <x v="0"/>
    <b v="0"/>
    <b v="1"/>
    <x v="4"/>
    <x v="3"/>
    <x v="0"/>
    <x v="3"/>
    <x v="0"/>
    <n v="0.05"/>
    <x v="23"/>
    <s v="All hours + Priority access"/>
    <s v="Sacramento, CA"/>
    <n v="38.581600000000002"/>
    <n v="-121.4944"/>
    <d v="2023-05-30T00:00:00"/>
    <n v="0"/>
    <b v="1"/>
    <d v="2025-06-10T00:00:00"/>
    <x v="3"/>
    <x v="3"/>
  </r>
  <r>
    <b v="0"/>
    <d v="1899-12-30T16:55:00"/>
    <d v="1899-12-30T19:13:00"/>
    <n v="138"/>
    <x v="1"/>
    <b v="0"/>
    <b v="1"/>
    <x v="4"/>
    <x v="0"/>
    <x v="0"/>
    <x v="0"/>
    <x v="1"/>
    <n v="0"/>
    <x v="5"/>
    <s v="All hours"/>
    <s v="Long Beach, CA"/>
    <n v="33.770099999999999"/>
    <n v="-118.19370000000001"/>
    <d v="2023-01-13T00:00:00"/>
    <n v="0"/>
    <b v="1"/>
    <d v="2025-06-02T00:00:00"/>
    <x v="0"/>
    <x v="0"/>
  </r>
  <r>
    <b v="0"/>
    <d v="1899-12-30T13:30:00"/>
    <d v="1899-12-30T14:17:00"/>
    <n v="47"/>
    <x v="1"/>
    <b v="1"/>
    <b v="1"/>
    <x v="1"/>
    <x v="0"/>
    <x v="0"/>
    <x v="0"/>
    <x v="0"/>
    <n v="0.05"/>
    <x v="0"/>
    <s v="All hours"/>
    <s v="Anaheim, CA"/>
    <n v="33.836599999999997"/>
    <n v="-117.9143"/>
    <d v="2023-06-11T00:00:00"/>
    <n v="6"/>
    <b v="1"/>
    <d v="2025-06-11T00:00:00"/>
    <x v="1"/>
    <x v="1"/>
  </r>
  <r>
    <b v="0"/>
    <d v="1899-12-30T20:55:00"/>
    <d v="1899-12-30T22:44:00"/>
    <n v="109"/>
    <x v="1"/>
    <b v="0"/>
    <b v="1"/>
    <x v="1"/>
    <x v="1"/>
    <x v="1"/>
    <x v="4"/>
    <x v="3"/>
    <n v="0.15"/>
    <x v="29"/>
    <s v="Weekdays only"/>
    <s v="San Jose, CA"/>
    <n v="37.338200000000001"/>
    <n v="-121.88630000000001"/>
    <d v="2023-06-29T00:00:00"/>
    <n v="0"/>
    <b v="1"/>
    <d v="2025-06-12T00:00:00"/>
    <x v="1"/>
    <x v="1"/>
  </r>
  <r>
    <b v="1"/>
    <d v="1899-12-30T17:57:00"/>
    <d v="1899-12-30T19:46:00"/>
    <n v="109"/>
    <x v="0"/>
    <b v="1"/>
    <b v="1"/>
    <x v="1"/>
    <x v="3"/>
    <x v="1"/>
    <x v="11"/>
    <x v="1"/>
    <n v="0"/>
    <x v="38"/>
    <s v="All hours + Priority access"/>
    <s v="San Jose, CA"/>
    <n v="37.338200000000001"/>
    <n v="-121.88630000000001"/>
    <d v="2023-09-03T00:00:00"/>
    <n v="6"/>
    <b v="1"/>
    <d v="2025-06-15T00:00:00"/>
    <x v="1"/>
    <x v="1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3-04-13T00:00:00"/>
    <n v="1"/>
    <b v="1"/>
    <d v="2025-06-07T00:00:00"/>
    <x v="1"/>
    <x v="1"/>
  </r>
  <r>
    <b v="1"/>
    <d v="1899-12-30T19:02:00"/>
    <d v="1899-12-30T21:09:00"/>
    <n v="127"/>
    <x v="0"/>
    <b v="0"/>
    <b v="0"/>
    <x v="4"/>
    <x v="0"/>
    <x v="1"/>
    <x v="6"/>
    <x v="1"/>
    <n v="0"/>
    <x v="12"/>
    <s v="All hours"/>
    <s v="Anaheim, CA"/>
    <n v="33.836599999999997"/>
    <n v="-117.9143"/>
    <d v="2025-01-05T00:00:00"/>
    <n v="0"/>
    <b v="1"/>
    <d v="2025-07-13T00:00:00"/>
    <x v="3"/>
    <x v="3"/>
  </r>
  <r>
    <b v="0"/>
    <d v="1899-12-30T08:41:00"/>
    <d v="1899-12-30T11:33:00"/>
    <n v="172"/>
    <x v="0"/>
    <b v="0"/>
    <b v="1"/>
    <x v="4"/>
    <x v="0"/>
    <x v="1"/>
    <x v="6"/>
    <x v="0"/>
    <n v="0.05"/>
    <x v="10"/>
    <s v="All hours"/>
    <s v="San Francisco, CA"/>
    <n v="37.774900000000002"/>
    <n v="-122.4194"/>
    <d v="2022-11-27T00:00:00"/>
    <n v="0"/>
    <b v="1"/>
    <d v="2025-05-31T00:00:00"/>
    <x v="2"/>
    <x v="2"/>
  </r>
  <r>
    <b v="0"/>
    <d v="1899-12-30T20:44:00"/>
    <d v="1899-12-30T21:57:00"/>
    <n v="73"/>
    <x v="0"/>
    <b v="1"/>
    <b v="1"/>
    <x v="0"/>
    <x v="0"/>
    <x v="0"/>
    <x v="0"/>
    <x v="1"/>
    <n v="0"/>
    <x v="5"/>
    <s v="All hours"/>
    <s v="Sacramento, CA"/>
    <n v="38.581600000000002"/>
    <n v="-121.4944"/>
    <d v="2022-12-07T00:00:00"/>
    <n v="1"/>
    <b v="1"/>
    <d v="2025-05-31T00:00:00"/>
    <x v="3"/>
    <x v="3"/>
  </r>
  <r>
    <b v="0"/>
    <d v="1899-12-30T10:28:00"/>
    <d v="1899-12-30T13:25:00"/>
    <n v="177"/>
    <x v="0"/>
    <b v="0"/>
    <b v="1"/>
    <x v="4"/>
    <x v="2"/>
    <x v="1"/>
    <x v="5"/>
    <x v="3"/>
    <n v="0.15"/>
    <x v="13"/>
    <s v="Off-peak only"/>
    <s v="San Francisco, CA"/>
    <n v="37.774900000000002"/>
    <n v="-122.4194"/>
    <d v="2025-05-22T00:00:00"/>
    <n v="0"/>
    <b v="1"/>
    <d v="2025-07-21T00:00:00"/>
    <x v="0"/>
    <x v="0"/>
  </r>
  <r>
    <b v="1"/>
    <d v="1899-12-30T19:23:00"/>
    <d v="1899-12-30T20:27:00"/>
    <n v="64"/>
    <x v="0"/>
    <b v="0"/>
    <b v="0"/>
    <x v="1"/>
    <x v="0"/>
    <x v="0"/>
    <x v="0"/>
    <x v="1"/>
    <n v="0"/>
    <x v="5"/>
    <s v="All hours"/>
    <s v="Fresno, CA"/>
    <n v="36.7378"/>
    <n v="-119.7871"/>
    <d v="2023-01-25T00:00:00"/>
    <n v="0"/>
    <b v="1"/>
    <d v="2025-06-03T00:00:00"/>
    <x v="0"/>
    <x v="0"/>
  </r>
  <r>
    <b v="1"/>
    <d v="1899-12-30T08:21:00"/>
    <d v="1899-12-30T08:55:00"/>
    <n v="34"/>
    <x v="1"/>
    <b v="0"/>
    <b v="0"/>
    <x v="4"/>
    <x v="2"/>
    <x v="1"/>
    <x v="5"/>
    <x v="1"/>
    <n v="0"/>
    <x v="14"/>
    <s v="Off-peak only"/>
    <s v="Fresno, CA"/>
    <n v="36.7378"/>
    <n v="-119.7871"/>
    <d v="2025-02-05T00:00:00"/>
    <n v="0"/>
    <b v="0"/>
    <d v="2025-07-15T00:00:00"/>
    <x v="1"/>
    <x v="1"/>
  </r>
  <r>
    <b v="0"/>
    <d v="1899-12-30T18:02:00"/>
    <d v="1899-12-30T19:46:00"/>
    <n v="104"/>
    <x v="1"/>
    <b v="0"/>
    <b v="0"/>
    <x v="0"/>
    <x v="0"/>
    <x v="0"/>
    <x v="0"/>
    <x v="0"/>
    <n v="0.05"/>
    <x v="0"/>
    <s v="All hours"/>
    <s v="Bakersfield, CA"/>
    <n v="35.3733"/>
    <n v="-119.0187"/>
    <d v="2024-07-01T00:00:00"/>
    <n v="0"/>
    <b v="1"/>
    <d v="2025-07-02T00:00:00"/>
    <x v="3"/>
    <x v="3"/>
  </r>
  <r>
    <b v="0"/>
    <d v="1899-12-30T19:45:00"/>
    <d v="1899-12-30T22:44:00"/>
    <n v="179"/>
    <x v="0"/>
    <b v="1"/>
    <b v="0"/>
    <x v="0"/>
    <x v="2"/>
    <x v="1"/>
    <x v="5"/>
    <x v="1"/>
    <n v="0"/>
    <x v="14"/>
    <s v="Off-peak only"/>
    <s v="Bakersfield, CA"/>
    <n v="35.3733"/>
    <n v="-119.0187"/>
    <d v="2023-04-23T00:00:00"/>
    <n v="8"/>
    <b v="0"/>
    <d v="2025-06-08T00:00:00"/>
    <x v="2"/>
    <x v="2"/>
  </r>
  <r>
    <b v="0"/>
    <d v="1899-12-30T13:55:00"/>
    <d v="1899-12-30T16:22:00"/>
    <n v="147"/>
    <x v="0"/>
    <b v="0"/>
    <b v="1"/>
    <x v="0"/>
    <x v="1"/>
    <x v="0"/>
    <x v="1"/>
    <x v="3"/>
    <n v="0.15"/>
    <x v="15"/>
    <s v="Weekdays only"/>
    <s v="Long Beach, CA"/>
    <n v="33.770099999999999"/>
    <n v="-118.19370000000001"/>
    <d v="2025-01-02T00:00:00"/>
    <n v="0"/>
    <b v="1"/>
    <d v="2025-07-13T00:00:00"/>
    <x v="0"/>
    <x v="0"/>
  </r>
  <r>
    <b v="1"/>
    <d v="1899-12-30T13:30:00"/>
    <d v="1899-12-30T14:20:00"/>
    <n v="50"/>
    <x v="1"/>
    <b v="0"/>
    <b v="1"/>
    <x v="4"/>
    <x v="0"/>
    <x v="1"/>
    <x v="6"/>
    <x v="1"/>
    <n v="0"/>
    <x v="12"/>
    <s v="All hours"/>
    <s v="San Diego, CA"/>
    <n v="32.715699999999998"/>
    <n v="-117.1611"/>
    <d v="2023-02-02T00:00:00"/>
    <n v="0"/>
    <b v="1"/>
    <d v="2025-06-03T00:00:00"/>
    <x v="2"/>
    <x v="2"/>
  </r>
  <r>
    <b v="1"/>
    <d v="1899-12-30T19:37:00"/>
    <d v="1899-12-30T20:38:00"/>
    <n v="61"/>
    <x v="0"/>
    <b v="0"/>
    <b v="1"/>
    <x v="4"/>
    <x v="3"/>
    <x v="2"/>
    <x v="9"/>
    <x v="2"/>
    <n v="0.1"/>
    <x v="41"/>
    <s v="All hours + Priority access"/>
    <s v="Anaheim, CA"/>
    <n v="33.836599999999997"/>
    <n v="-117.9143"/>
    <d v="2023-01-18T00:00:00"/>
    <n v="0"/>
    <b v="1"/>
    <d v="2025-06-03T00:00:00"/>
    <x v="1"/>
    <x v="1"/>
  </r>
  <r>
    <b v="1"/>
    <d v="1899-12-30T12:42:00"/>
    <d v="1899-12-30T13:37:00"/>
    <n v="55"/>
    <x v="1"/>
    <b v="1"/>
    <b v="1"/>
    <x v="0"/>
    <x v="0"/>
    <x v="0"/>
    <x v="0"/>
    <x v="0"/>
    <n v="0.05"/>
    <x v="0"/>
    <s v="All hours"/>
    <s v="San Diego, CA"/>
    <n v="32.715699999999998"/>
    <n v="-117.1611"/>
    <d v="2023-12-30T00:00:00"/>
    <n v="5"/>
    <b v="1"/>
    <d v="2025-06-22T00:00:00"/>
    <x v="0"/>
    <x v="0"/>
  </r>
  <r>
    <b v="1"/>
    <d v="1899-12-30T19:07:00"/>
    <d v="1899-12-30T22:00:00"/>
    <n v="173"/>
    <x v="0"/>
    <b v="0"/>
    <b v="0"/>
    <x v="0"/>
    <x v="3"/>
    <x v="0"/>
    <x v="3"/>
    <x v="3"/>
    <n v="0.15"/>
    <x v="40"/>
    <s v="All hours + Priority access"/>
    <s v="San Diego, CA"/>
    <n v="32.715699999999998"/>
    <n v="-117.1611"/>
    <d v="2025-06-16T00:00:00"/>
    <n v="0"/>
    <b v="1"/>
    <d v="2025-07-22T00:00:00"/>
    <x v="1"/>
    <x v="1"/>
  </r>
  <r>
    <b v="0"/>
    <d v="1899-12-30T11:07:00"/>
    <d v="1899-12-30T12:43:00"/>
    <n v="96"/>
    <x v="1"/>
    <b v="1"/>
    <b v="1"/>
    <x v="0"/>
    <x v="1"/>
    <x v="0"/>
    <x v="1"/>
    <x v="1"/>
    <n v="0"/>
    <x v="1"/>
    <s v="Weekdays only"/>
    <s v="San Diego, CA"/>
    <n v="32.715699999999998"/>
    <n v="-117.1611"/>
    <d v="2024-08-21T00:00:00"/>
    <n v="1"/>
    <b v="0"/>
    <d v="2025-07-05T00:00:00"/>
    <x v="0"/>
    <x v="0"/>
  </r>
  <r>
    <b v="0"/>
    <d v="1899-12-30T20:26:00"/>
    <d v="1899-12-30T21:45:00"/>
    <n v="79"/>
    <x v="0"/>
    <b v="0"/>
    <b v="1"/>
    <x v="4"/>
    <x v="2"/>
    <x v="1"/>
    <x v="5"/>
    <x v="1"/>
    <n v="0"/>
    <x v="14"/>
    <s v="Off-peak only"/>
    <s v="Fresno, CA"/>
    <n v="36.7378"/>
    <n v="-119.7871"/>
    <d v="2023-09-04T00:00:00"/>
    <n v="0"/>
    <b v="0"/>
    <d v="2025-06-15T00:00:00"/>
    <x v="2"/>
    <x v="2"/>
  </r>
  <r>
    <b v="1"/>
    <d v="1899-12-30T09:04:00"/>
    <d v="1899-12-30T09:47:00"/>
    <n v="43"/>
    <x v="1"/>
    <b v="0"/>
    <b v="0"/>
    <x v="0"/>
    <x v="1"/>
    <x v="0"/>
    <x v="1"/>
    <x v="1"/>
    <n v="0"/>
    <x v="1"/>
    <s v="Weekdays only"/>
    <s v="Long Beach, CA"/>
    <n v="33.770099999999999"/>
    <n v="-118.19370000000001"/>
    <d v="2022-08-13T00:00:00"/>
    <n v="0"/>
    <b v="1"/>
    <d v="2025-05-25T00:00:00"/>
    <x v="1"/>
    <x v="1"/>
  </r>
  <r>
    <b v="1"/>
    <d v="1899-12-30T15:49:00"/>
    <d v="1899-12-30T18:31:00"/>
    <n v="162"/>
    <x v="1"/>
    <b v="1"/>
    <b v="1"/>
    <x v="4"/>
    <x v="3"/>
    <x v="1"/>
    <x v="11"/>
    <x v="3"/>
    <n v="0.15"/>
    <x v="39"/>
    <s v="All hours + Priority access"/>
    <s v="San Jose, CA"/>
    <n v="37.338200000000001"/>
    <n v="-121.88630000000001"/>
    <d v="2023-08-20T00:00:00"/>
    <n v="1"/>
    <b v="1"/>
    <d v="2025-06-15T00:00:00"/>
    <x v="3"/>
    <x v="3"/>
  </r>
  <r>
    <b v="1"/>
    <d v="1899-12-30T13:12:00"/>
    <d v="1899-12-30T14:54:00"/>
    <n v="102"/>
    <x v="1"/>
    <b v="1"/>
    <b v="0"/>
    <x v="1"/>
    <x v="1"/>
    <x v="0"/>
    <x v="1"/>
    <x v="1"/>
    <n v="0"/>
    <x v="1"/>
    <s v="Weekdays only"/>
    <s v="Long Beach, CA"/>
    <n v="33.770099999999999"/>
    <n v="-118.19370000000001"/>
    <d v="2024-09-19T00:00:00"/>
    <n v="1"/>
    <b v="0"/>
    <d v="2025-07-07T00:00:00"/>
    <x v="1"/>
    <x v="1"/>
  </r>
  <r>
    <b v="0"/>
    <d v="1899-12-30T09:56:00"/>
    <d v="1899-12-30T11:39:00"/>
    <n v="103"/>
    <x v="0"/>
    <b v="1"/>
    <b v="1"/>
    <x v="2"/>
    <x v="1"/>
    <x v="0"/>
    <x v="1"/>
    <x v="3"/>
    <n v="0.15"/>
    <x v="15"/>
    <s v="Weekdays only"/>
    <s v="Long Beach, CA"/>
    <n v="33.770099999999999"/>
    <n v="-118.19370000000001"/>
    <d v="2023-08-17T00:00:00"/>
    <n v="8"/>
    <b v="0"/>
    <d v="2025-06-14T00:00:00"/>
    <x v="0"/>
    <x v="0"/>
  </r>
  <r>
    <b v="1"/>
    <d v="1899-12-30T19:02:00"/>
    <d v="1899-12-30T19:47:00"/>
    <n v="45"/>
    <x v="1"/>
    <b v="1"/>
    <b v="0"/>
    <x v="3"/>
    <x v="2"/>
    <x v="0"/>
    <x v="2"/>
    <x v="1"/>
    <n v="0"/>
    <x v="3"/>
    <s v="Off-peak only"/>
    <s v="Long Beach, CA"/>
    <n v="33.770099999999999"/>
    <n v="-118.19370000000001"/>
    <d v="2023-11-25T00:00:00"/>
    <n v="5"/>
    <b v="0"/>
    <d v="2025-06-20T00:00:00"/>
    <x v="1"/>
    <x v="1"/>
  </r>
  <r>
    <b v="1"/>
    <d v="1899-12-30T15:39:00"/>
    <d v="1899-12-30T17:34:00"/>
    <n v="115"/>
    <x v="1"/>
    <b v="1"/>
    <b v="1"/>
    <x v="0"/>
    <x v="2"/>
    <x v="1"/>
    <x v="5"/>
    <x v="2"/>
    <n v="0.1"/>
    <x v="20"/>
    <s v="Off-peak only"/>
    <s v="Anaheim, CA"/>
    <n v="33.836599999999997"/>
    <n v="-117.9143"/>
    <d v="2023-03-15T00:00:00"/>
    <n v="3"/>
    <b v="1"/>
    <d v="2025-06-06T00:00:00"/>
    <x v="0"/>
    <x v="0"/>
  </r>
  <r>
    <b v="1"/>
    <d v="1899-12-30T20:28:00"/>
    <d v="1899-12-30T21:52:00"/>
    <n v="84"/>
    <x v="1"/>
    <b v="1"/>
    <b v="0"/>
    <x v="2"/>
    <x v="0"/>
    <x v="1"/>
    <x v="6"/>
    <x v="3"/>
    <n v="0.15"/>
    <x v="28"/>
    <s v="All hours"/>
    <s v="Oakland, CA"/>
    <n v="37.804400000000001"/>
    <n v="-122.27119999999999"/>
    <d v="2025-03-01T00:00:00"/>
    <n v="3"/>
    <b v="1"/>
    <d v="2025-07-16T00:00:00"/>
    <x v="1"/>
    <x v="1"/>
  </r>
  <r>
    <b v="1"/>
    <d v="1899-12-30T17:42:00"/>
    <d v="1899-12-30T20:36:00"/>
    <n v="174"/>
    <x v="0"/>
    <b v="0"/>
    <b v="1"/>
    <x v="0"/>
    <x v="2"/>
    <x v="0"/>
    <x v="2"/>
    <x v="1"/>
    <n v="0"/>
    <x v="3"/>
    <s v="Off-peak only"/>
    <s v="San Jose, CA"/>
    <n v="37.338200000000001"/>
    <n v="-121.88630000000001"/>
    <d v="2023-04-04T00:00:00"/>
    <n v="0"/>
    <b v="1"/>
    <d v="2025-06-07T00:00:00"/>
    <x v="0"/>
    <x v="0"/>
  </r>
  <r>
    <b v="0"/>
    <d v="1899-12-30T14:58:00"/>
    <d v="1899-12-30T17:38:00"/>
    <n v="160"/>
    <x v="1"/>
    <b v="1"/>
    <b v="1"/>
    <x v="0"/>
    <x v="0"/>
    <x v="0"/>
    <x v="0"/>
    <x v="0"/>
    <n v="0.05"/>
    <x v="0"/>
    <s v="All hours"/>
    <s v="Los Angeles, CA"/>
    <n v="34.052199999999999"/>
    <n v="-118.2437"/>
    <d v="2023-11-24T00:00:00"/>
    <n v="7"/>
    <b v="0"/>
    <d v="2025-06-20T00:00:00"/>
    <x v="0"/>
    <x v="0"/>
  </r>
  <r>
    <b v="1"/>
    <d v="1899-12-30T19:21:00"/>
    <d v="1899-12-30T21:49:00"/>
    <n v="148"/>
    <x v="0"/>
    <b v="1"/>
    <b v="1"/>
    <x v="4"/>
    <x v="1"/>
    <x v="1"/>
    <x v="4"/>
    <x v="0"/>
    <n v="0.05"/>
    <x v="11"/>
    <s v="Weekdays only"/>
    <s v="Los Angeles, CA"/>
    <n v="34.052199999999999"/>
    <n v="-118.2437"/>
    <d v="2022-09-01T00:00:00"/>
    <n v="7"/>
    <b v="0"/>
    <d v="2025-05-26T00:00:00"/>
    <x v="0"/>
    <x v="0"/>
  </r>
  <r>
    <b v="0"/>
    <d v="1899-12-30T14:04:00"/>
    <d v="1899-12-30T16:42:00"/>
    <n v="158"/>
    <x v="0"/>
    <b v="0"/>
    <b v="0"/>
    <x v="4"/>
    <x v="0"/>
    <x v="0"/>
    <x v="0"/>
    <x v="0"/>
    <n v="0.05"/>
    <x v="0"/>
    <s v="All hours"/>
    <s v="San Francisco, CA"/>
    <n v="37.774900000000002"/>
    <n v="-122.4194"/>
    <d v="2024-06-23T00:00:00"/>
    <n v="0"/>
    <b v="0"/>
    <d v="2025-07-02T00:00:00"/>
    <x v="3"/>
    <x v="3"/>
  </r>
  <r>
    <b v="0"/>
    <d v="1899-12-30T11:18:00"/>
    <d v="1899-12-30T14:09:00"/>
    <n v="171"/>
    <x v="0"/>
    <b v="1"/>
    <b v="1"/>
    <x v="0"/>
    <x v="1"/>
    <x v="1"/>
    <x v="4"/>
    <x v="1"/>
    <n v="0"/>
    <x v="8"/>
    <s v="Weekdays only"/>
    <s v="Anaheim, CA"/>
    <n v="33.836599999999997"/>
    <n v="-117.9143"/>
    <d v="2023-08-19T00:00:00"/>
    <n v="1"/>
    <b v="1"/>
    <d v="2025-06-15T00:00:00"/>
    <x v="0"/>
    <x v="0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2-10-04T00:00:00"/>
    <n v="0"/>
    <b v="1"/>
    <d v="2025-05-28T00:00:00"/>
    <x v="2"/>
    <x v="2"/>
  </r>
  <r>
    <b v="0"/>
    <d v="1899-12-30T13:49:00"/>
    <d v="1899-12-30T14:55:00"/>
    <n v="66"/>
    <x v="0"/>
    <b v="1"/>
    <b v="1"/>
    <x v="0"/>
    <x v="0"/>
    <x v="0"/>
    <x v="0"/>
    <x v="1"/>
    <n v="0"/>
    <x v="5"/>
    <s v="All hours"/>
    <s v="Anaheim, CA"/>
    <n v="33.836599999999997"/>
    <n v="-117.9143"/>
    <d v="2025-03-05T00:00:00"/>
    <n v="7"/>
    <b v="1"/>
    <d v="2025-07-16T00:00:00"/>
    <x v="3"/>
    <x v="3"/>
  </r>
  <r>
    <b v="1"/>
    <d v="1899-12-30T10:12:00"/>
    <d v="1899-12-30T10:45:00"/>
    <n v="33"/>
    <x v="1"/>
    <b v="1"/>
    <b v="1"/>
    <x v="3"/>
    <x v="3"/>
    <x v="0"/>
    <x v="3"/>
    <x v="1"/>
    <n v="0"/>
    <x v="4"/>
    <s v="All hours + Priority access"/>
    <s v="San Francisco, CA"/>
    <n v="37.774900000000002"/>
    <n v="-122.4194"/>
    <d v="2022-09-28T00:00:00"/>
    <n v="5"/>
    <b v="1"/>
    <d v="2025-05-27T00:00:00"/>
    <x v="3"/>
    <x v="3"/>
  </r>
  <r>
    <b v="0"/>
    <d v="1899-12-30T10:32:00"/>
    <d v="1899-12-30T11:09:00"/>
    <n v="37"/>
    <x v="0"/>
    <b v="0"/>
    <b v="1"/>
    <x v="4"/>
    <x v="0"/>
    <x v="0"/>
    <x v="0"/>
    <x v="3"/>
    <n v="0.15"/>
    <x v="27"/>
    <s v="All hours"/>
    <s v="San Francisco, CA"/>
    <n v="37.774900000000002"/>
    <n v="-122.4194"/>
    <d v="2023-06-21T00:00:00"/>
    <n v="0"/>
    <b v="0"/>
    <d v="2025-06-11T00:00:00"/>
    <x v="3"/>
    <x v="3"/>
  </r>
  <r>
    <b v="1"/>
    <d v="1899-12-30T14:06:00"/>
    <d v="1899-12-30T16:06:00"/>
    <n v="120"/>
    <x v="1"/>
    <b v="1"/>
    <b v="1"/>
    <x v="2"/>
    <x v="2"/>
    <x v="0"/>
    <x v="2"/>
    <x v="3"/>
    <n v="0.15"/>
    <x v="17"/>
    <s v="Off-peak only"/>
    <s v="Anaheim, CA"/>
    <n v="33.836599999999997"/>
    <n v="-117.9143"/>
    <d v="2025-04-11T00:00:00"/>
    <n v="8"/>
    <b v="0"/>
    <d v="2025-07-18T00:00:00"/>
    <x v="0"/>
    <x v="0"/>
  </r>
  <r>
    <b v="1"/>
    <d v="1899-12-30T19:10:00"/>
    <d v="1899-12-30T21:32:00"/>
    <n v="142"/>
    <x v="1"/>
    <b v="1"/>
    <b v="0"/>
    <x v="0"/>
    <x v="1"/>
    <x v="2"/>
    <x v="8"/>
    <x v="2"/>
    <n v="0.1"/>
    <x v="33"/>
    <s v="Weekdays only"/>
    <s v="Sacramento, CA"/>
    <n v="38.581600000000002"/>
    <n v="-121.4944"/>
    <d v="2024-08-06T00:00:00"/>
    <n v="3"/>
    <b v="0"/>
    <d v="2025-07-04T00:00:00"/>
    <x v="3"/>
    <x v="3"/>
  </r>
  <r>
    <b v="0"/>
    <d v="1899-12-30T20:44:00"/>
    <d v="1899-12-30T21:57:00"/>
    <n v="73"/>
    <x v="0"/>
    <b v="1"/>
    <b v="1"/>
    <x v="0"/>
    <x v="0"/>
    <x v="0"/>
    <x v="0"/>
    <x v="1"/>
    <n v="0"/>
    <x v="5"/>
    <s v="All hours"/>
    <s v="Sacramento, CA"/>
    <n v="38.581600000000002"/>
    <n v="-121.4944"/>
    <d v="2023-05-30T00:00:00"/>
    <n v="6"/>
    <b v="1"/>
    <d v="2025-06-10T00:00:00"/>
    <x v="3"/>
    <x v="3"/>
  </r>
  <r>
    <b v="0"/>
    <d v="1899-12-30T14:30:00"/>
    <d v="1899-12-30T16:14:00"/>
    <n v="104"/>
    <x v="0"/>
    <b v="1"/>
    <b v="0"/>
    <x v="4"/>
    <x v="0"/>
    <x v="2"/>
    <x v="10"/>
    <x v="2"/>
    <n v="0.1"/>
    <x v="34"/>
    <s v="All hours"/>
    <s v="Sacramento, CA"/>
    <n v="38.581600000000002"/>
    <n v="-121.4944"/>
    <d v="2025-04-12T00:00:00"/>
    <n v="3"/>
    <b v="1"/>
    <d v="2025-07-18T00:00:00"/>
    <x v="1"/>
    <x v="1"/>
  </r>
  <r>
    <b v="1"/>
    <d v="1899-12-30T18:01:00"/>
    <d v="1899-12-30T18:36:00"/>
    <n v="35"/>
    <x v="1"/>
    <b v="0"/>
    <b v="0"/>
    <x v="1"/>
    <x v="0"/>
    <x v="0"/>
    <x v="0"/>
    <x v="1"/>
    <n v="0"/>
    <x v="5"/>
    <s v="All hours"/>
    <s v="Los Angeles, CA"/>
    <n v="34.052199999999999"/>
    <n v="-118.2437"/>
    <d v="2023-10-11T00:00:00"/>
    <n v="0"/>
    <b v="1"/>
    <d v="2025-06-18T00:00:00"/>
    <x v="0"/>
    <x v="0"/>
  </r>
  <r>
    <b v="1"/>
    <d v="1899-12-30T08:25:00"/>
    <d v="1899-12-30T10:08:00"/>
    <n v="103"/>
    <x v="0"/>
    <b v="1"/>
    <b v="1"/>
    <x v="0"/>
    <x v="3"/>
    <x v="0"/>
    <x v="3"/>
    <x v="2"/>
    <n v="0.1"/>
    <x v="22"/>
    <s v="All hours + Priority access"/>
    <s v="Oakland, CA"/>
    <n v="37.804400000000001"/>
    <n v="-122.27119999999999"/>
    <d v="2024-06-19T00:00:00"/>
    <n v="3"/>
    <b v="0"/>
    <d v="2025-07-02T00:00:00"/>
    <x v="2"/>
    <x v="4"/>
  </r>
  <r>
    <b v="1"/>
    <d v="1899-12-30T09:10:00"/>
    <d v="1899-12-30T11:36:00"/>
    <n v="146"/>
    <x v="0"/>
    <b v="1"/>
    <b v="1"/>
    <x v="4"/>
    <x v="1"/>
    <x v="1"/>
    <x v="4"/>
    <x v="1"/>
    <n v="0"/>
    <x v="8"/>
    <s v="Weekdays only"/>
    <s v="San Diego, CA"/>
    <n v="32.715699999999998"/>
    <n v="-117.1611"/>
    <d v="2023-08-31T00:00:00"/>
    <n v="5"/>
    <b v="1"/>
    <d v="2025-06-15T00:00:00"/>
    <x v="3"/>
    <x v="3"/>
  </r>
  <r>
    <b v="0"/>
    <d v="1899-12-30T17:19:00"/>
    <d v="1899-12-30T20:19:00"/>
    <n v="180"/>
    <x v="0"/>
    <b v="0"/>
    <b v="1"/>
    <x v="0"/>
    <x v="0"/>
    <x v="1"/>
    <x v="6"/>
    <x v="0"/>
    <n v="0.05"/>
    <x v="10"/>
    <s v="All hours"/>
    <s v="Sacramento, CA"/>
    <n v="38.581600000000002"/>
    <n v="-121.4944"/>
    <d v="2025-05-05T00:00:00"/>
    <n v="0"/>
    <b v="1"/>
    <d v="2025-07-20T00:00:00"/>
    <x v="2"/>
    <x v="4"/>
  </r>
  <r>
    <b v="0"/>
    <d v="1899-12-30T11:02:00"/>
    <d v="1899-12-30T12:22:00"/>
    <n v="80"/>
    <x v="1"/>
    <b v="1"/>
    <b v="1"/>
    <x v="0"/>
    <x v="0"/>
    <x v="0"/>
    <x v="0"/>
    <x v="1"/>
    <n v="0"/>
    <x v="5"/>
    <s v="All hours"/>
    <s v="Los Angeles, CA"/>
    <n v="34.052199999999999"/>
    <n v="-118.2437"/>
    <d v="2022-12-07T00:00:00"/>
    <n v="7"/>
    <b v="1"/>
    <d v="2025-05-31T00:00:00"/>
    <x v="3"/>
    <x v="3"/>
  </r>
  <r>
    <b v="1"/>
    <d v="1899-12-30T20:23:00"/>
    <d v="1899-12-30T21:08:00"/>
    <n v="45"/>
    <x v="1"/>
    <b v="0"/>
    <b v="1"/>
    <x v="0"/>
    <x v="0"/>
    <x v="0"/>
    <x v="0"/>
    <x v="3"/>
    <n v="0.15"/>
    <x v="27"/>
    <s v="All hours"/>
    <s v="San Jose, CA"/>
    <n v="37.338200000000001"/>
    <n v="-121.88630000000001"/>
    <d v="2022-08-21T00:00:00"/>
    <n v="0"/>
    <b v="1"/>
    <d v="2025-05-25T00:00:00"/>
    <x v="0"/>
    <x v="0"/>
  </r>
  <r>
    <b v="0"/>
    <d v="1899-12-30T14:12:00"/>
    <d v="1899-12-30T14:59:00"/>
    <n v="47"/>
    <x v="0"/>
    <b v="0"/>
    <b v="0"/>
    <x v="2"/>
    <x v="2"/>
    <x v="0"/>
    <x v="2"/>
    <x v="1"/>
    <n v="0"/>
    <x v="3"/>
    <s v="Off-peak only"/>
    <s v="Sacramento, CA"/>
    <n v="38.581600000000002"/>
    <n v="-121.4944"/>
    <d v="2022-08-26T00:00:00"/>
    <n v="0"/>
    <b v="0"/>
    <d v="2025-05-25T00:00:00"/>
    <x v="1"/>
    <x v="1"/>
  </r>
  <r>
    <b v="0"/>
    <d v="1899-12-30T14:53:00"/>
    <d v="1899-12-30T16:53:00"/>
    <n v="120"/>
    <x v="1"/>
    <b v="0"/>
    <b v="0"/>
    <x v="4"/>
    <x v="1"/>
    <x v="0"/>
    <x v="1"/>
    <x v="1"/>
    <n v="0"/>
    <x v="1"/>
    <s v="Weekdays only"/>
    <s v="Anaheim, CA"/>
    <n v="33.836599999999997"/>
    <n v="-117.9143"/>
    <d v="2023-04-16T00:00:00"/>
    <n v="0"/>
    <b v="0"/>
    <d v="2025-06-08T00:00:00"/>
    <x v="3"/>
    <x v="3"/>
  </r>
  <r>
    <b v="1"/>
    <d v="1899-12-30T11:39:00"/>
    <d v="1899-12-30T13:24:00"/>
    <n v="105"/>
    <x v="0"/>
    <b v="0"/>
    <b v="0"/>
    <x v="2"/>
    <x v="2"/>
    <x v="0"/>
    <x v="2"/>
    <x v="3"/>
    <n v="0.15"/>
    <x v="17"/>
    <s v="Off-peak only"/>
    <s v="Oakland, CA"/>
    <n v="37.804400000000001"/>
    <n v="-122.27119999999999"/>
    <d v="2025-02-04T00:00:00"/>
    <n v="0"/>
    <b v="0"/>
    <d v="2025-07-15T00:00:00"/>
    <x v="3"/>
    <x v="3"/>
  </r>
  <r>
    <b v="0"/>
    <d v="1899-12-30T08:23:00"/>
    <d v="1899-12-30T09:19:00"/>
    <n v="56"/>
    <x v="0"/>
    <b v="0"/>
    <b v="0"/>
    <x v="0"/>
    <x v="0"/>
    <x v="1"/>
    <x v="6"/>
    <x v="1"/>
    <n v="0"/>
    <x v="12"/>
    <s v="All hours"/>
    <s v="Bakersfield, CA"/>
    <n v="35.3733"/>
    <n v="-119.0187"/>
    <d v="2023-04-07T00:00:00"/>
    <n v="0"/>
    <b v="1"/>
    <d v="2025-06-07T00:00:00"/>
    <x v="0"/>
    <x v="0"/>
  </r>
  <r>
    <b v="0"/>
    <d v="1899-12-30T08:13:00"/>
    <d v="1899-12-30T09:06:00"/>
    <n v="53"/>
    <x v="1"/>
    <b v="0"/>
    <b v="0"/>
    <x v="0"/>
    <x v="2"/>
    <x v="1"/>
    <x v="5"/>
    <x v="1"/>
    <n v="0"/>
    <x v="14"/>
    <s v="Off-peak only"/>
    <s v="San Francisco, CA"/>
    <n v="37.774900000000002"/>
    <n v="-122.4194"/>
    <d v="2025-05-27T00:00:00"/>
    <n v="0"/>
    <b v="0"/>
    <d v="2025-07-21T00:00:00"/>
    <x v="1"/>
    <x v="1"/>
  </r>
  <r>
    <b v="0"/>
    <d v="1899-12-30T12:50:00"/>
    <d v="1899-12-30T15:20:00"/>
    <n v="150"/>
    <x v="1"/>
    <b v="1"/>
    <b v="1"/>
    <x v="0"/>
    <x v="1"/>
    <x v="2"/>
    <x v="8"/>
    <x v="1"/>
    <n v="0"/>
    <x v="2"/>
    <s v="Weekdays only"/>
    <s v="San Francisco, CA"/>
    <n v="37.774900000000002"/>
    <n v="-122.4194"/>
    <d v="2025-05-30T00:00:00"/>
    <n v="6"/>
    <b v="1"/>
    <d v="2025-07-21T00:00:00"/>
    <x v="0"/>
    <x v="0"/>
  </r>
  <r>
    <b v="1"/>
    <d v="1899-12-30T11:09:00"/>
    <d v="1899-12-30T12:25:00"/>
    <n v="76"/>
    <x v="1"/>
    <b v="0"/>
    <b v="1"/>
    <x v="4"/>
    <x v="2"/>
    <x v="0"/>
    <x v="2"/>
    <x v="1"/>
    <n v="0"/>
    <x v="3"/>
    <s v="Off-peak only"/>
    <s v="Sacramento, CA"/>
    <n v="38.581600000000002"/>
    <n v="-121.4944"/>
    <d v="2024-07-13T00:00:00"/>
    <n v="0"/>
    <b v="0"/>
    <d v="2025-07-03T00:00:00"/>
    <x v="1"/>
    <x v="1"/>
  </r>
  <r>
    <b v="0"/>
    <d v="1899-12-30T18:02:00"/>
    <d v="1899-12-30T19:49:00"/>
    <n v="107"/>
    <x v="0"/>
    <b v="0"/>
    <b v="1"/>
    <x v="4"/>
    <x v="1"/>
    <x v="0"/>
    <x v="1"/>
    <x v="3"/>
    <n v="0.15"/>
    <x v="15"/>
    <s v="Weekdays only"/>
    <s v="Anaheim, CA"/>
    <n v="33.836599999999997"/>
    <n v="-117.9143"/>
    <d v="2024-01-19T00:00:00"/>
    <n v="0"/>
    <b v="0"/>
    <d v="2025-06-23T00:00:00"/>
    <x v="2"/>
    <x v="2"/>
  </r>
  <r>
    <b v="0"/>
    <d v="1899-12-30T20:44:00"/>
    <d v="1899-12-30T21:57:00"/>
    <n v="73"/>
    <x v="0"/>
    <b v="1"/>
    <b v="1"/>
    <x v="0"/>
    <x v="0"/>
    <x v="0"/>
    <x v="0"/>
    <x v="1"/>
    <n v="0"/>
    <x v="5"/>
    <s v="All hours"/>
    <s v="Sacramento, CA"/>
    <n v="38.581600000000002"/>
    <n v="-121.4944"/>
    <d v="2023-03-25T00:00:00"/>
    <n v="5"/>
    <b v="0"/>
    <d v="2025-06-06T00:00:00"/>
    <x v="3"/>
    <x v="3"/>
  </r>
  <r>
    <b v="0"/>
    <d v="1899-12-30T15:32:00"/>
    <d v="1899-12-30T16:25:00"/>
    <n v="53"/>
    <x v="1"/>
    <b v="1"/>
    <b v="1"/>
    <x v="0"/>
    <x v="1"/>
    <x v="0"/>
    <x v="1"/>
    <x v="2"/>
    <n v="0.1"/>
    <x v="2"/>
    <s v="Weekdays only"/>
    <s v="Fresno, CA"/>
    <n v="36.7378"/>
    <n v="-119.7871"/>
    <d v="2023-06-26T00:00:00"/>
    <n v="1"/>
    <b v="1"/>
    <d v="2025-06-12T00:00:00"/>
    <x v="0"/>
    <x v="0"/>
  </r>
  <r>
    <b v="1"/>
    <d v="1899-12-30T11:46:00"/>
    <d v="1899-12-30T14:43:00"/>
    <n v="177"/>
    <x v="0"/>
    <b v="0"/>
    <b v="1"/>
    <x v="4"/>
    <x v="1"/>
    <x v="1"/>
    <x v="4"/>
    <x v="2"/>
    <n v="0.1"/>
    <x v="26"/>
    <s v="Weekdays only"/>
    <s v="Los Angeles, CA"/>
    <n v="34.052199999999999"/>
    <n v="-118.2437"/>
    <d v="2024-03-05T00:00:00"/>
    <n v="0"/>
    <b v="0"/>
    <d v="2025-06-26T00:00:00"/>
    <x v="3"/>
    <x v="3"/>
  </r>
  <r>
    <b v="1"/>
    <d v="1899-12-30T14:20:00"/>
    <d v="1899-12-30T17:20:00"/>
    <n v="180"/>
    <x v="1"/>
    <b v="1"/>
    <b v="1"/>
    <x v="4"/>
    <x v="1"/>
    <x v="1"/>
    <x v="4"/>
    <x v="2"/>
    <n v="0.1"/>
    <x v="26"/>
    <s v="Weekdays only"/>
    <s v="Anaheim, CA"/>
    <n v="33.836599999999997"/>
    <n v="-117.9143"/>
    <d v="2024-09-04T00:00:00"/>
    <n v="8"/>
    <b v="0"/>
    <d v="2025-07-06T00:00:00"/>
    <x v="0"/>
    <x v="0"/>
  </r>
  <r>
    <b v="1"/>
    <d v="1899-12-30T12:52:00"/>
    <d v="1899-12-30T14:18:00"/>
    <n v="86"/>
    <x v="0"/>
    <b v="0"/>
    <b v="0"/>
    <x v="4"/>
    <x v="0"/>
    <x v="0"/>
    <x v="0"/>
    <x v="2"/>
    <n v="0.1"/>
    <x v="16"/>
    <s v="All hours"/>
    <s v="Long Beach, CA"/>
    <n v="33.770099999999999"/>
    <n v="-118.19370000000001"/>
    <d v="2022-07-27T00:00:00"/>
    <n v="0"/>
    <b v="1"/>
    <d v="2025-05-24T00:00:00"/>
    <x v="0"/>
    <x v="0"/>
  </r>
  <r>
    <b v="0"/>
    <d v="1899-12-30T13:57:00"/>
    <d v="1899-12-30T16:26:00"/>
    <n v="149"/>
    <x v="1"/>
    <b v="0"/>
    <b v="0"/>
    <x v="0"/>
    <x v="2"/>
    <x v="0"/>
    <x v="2"/>
    <x v="1"/>
    <n v="0"/>
    <x v="3"/>
    <s v="Off-peak only"/>
    <s v="San Jose, CA"/>
    <n v="37.338200000000001"/>
    <n v="-121.88630000000001"/>
    <d v="2024-03-26T00:00:00"/>
    <n v="0"/>
    <b v="1"/>
    <d v="2025-06-27T00:00:00"/>
    <x v="3"/>
    <x v="3"/>
  </r>
  <r>
    <b v="0"/>
    <d v="1899-12-30T12:30:00"/>
    <d v="1899-12-30T13:08:00"/>
    <n v="38"/>
    <x v="1"/>
    <b v="0"/>
    <b v="0"/>
    <x v="0"/>
    <x v="1"/>
    <x v="2"/>
    <x v="8"/>
    <x v="1"/>
    <n v="0"/>
    <x v="2"/>
    <s v="Weekdays only"/>
    <s v="San Diego, CA"/>
    <n v="32.715699999999998"/>
    <n v="-117.1611"/>
    <d v="2024-02-28T00:00:00"/>
    <n v="0"/>
    <b v="1"/>
    <d v="2025-06-25T00:00:00"/>
    <x v="3"/>
    <x v="3"/>
  </r>
  <r>
    <b v="1"/>
    <d v="1899-12-30T20:53:00"/>
    <d v="1899-12-30T21:33:00"/>
    <n v="40"/>
    <x v="0"/>
    <b v="0"/>
    <b v="1"/>
    <x v="4"/>
    <x v="1"/>
    <x v="0"/>
    <x v="1"/>
    <x v="1"/>
    <n v="0"/>
    <x v="1"/>
    <s v="Weekdays only"/>
    <s v="Sacramento, CA"/>
    <n v="38.581600000000002"/>
    <n v="-121.4944"/>
    <d v="2024-12-30T00:00:00"/>
    <n v="0"/>
    <b v="0"/>
    <d v="2025-07-13T00:00:00"/>
    <x v="3"/>
    <x v="3"/>
  </r>
  <r>
    <b v="1"/>
    <d v="1899-12-30T15:27:00"/>
    <d v="1899-12-30T17:39:00"/>
    <n v="132"/>
    <x v="0"/>
    <b v="1"/>
    <b v="1"/>
    <x v="2"/>
    <x v="0"/>
    <x v="0"/>
    <x v="0"/>
    <x v="1"/>
    <n v="0"/>
    <x v="5"/>
    <s v="All hours"/>
    <s v="Los Angeles, CA"/>
    <n v="34.052199999999999"/>
    <n v="-118.2437"/>
    <d v="2023-02-27T00:00:00"/>
    <n v="4"/>
    <b v="1"/>
    <d v="2025-06-05T00:00:00"/>
    <x v="0"/>
    <x v="0"/>
  </r>
  <r>
    <b v="1"/>
    <d v="1899-12-30T20:41:00"/>
    <d v="1899-12-30T23:00:00"/>
    <n v="139"/>
    <x v="0"/>
    <b v="1"/>
    <b v="0"/>
    <x v="2"/>
    <x v="3"/>
    <x v="0"/>
    <x v="3"/>
    <x v="1"/>
    <n v="0"/>
    <x v="4"/>
    <s v="All hours + Priority access"/>
    <s v="Long Beach, CA"/>
    <n v="33.770099999999999"/>
    <n v="-118.19370000000001"/>
    <d v="2023-06-15T00:00:00"/>
    <n v="3"/>
    <b v="0"/>
    <d v="2025-06-11T00:00:00"/>
    <x v="3"/>
    <x v="3"/>
  </r>
  <r>
    <b v="1"/>
    <d v="1899-12-30T14:06:00"/>
    <d v="1899-12-30T16:06:00"/>
    <n v="120"/>
    <x v="1"/>
    <b v="1"/>
    <b v="1"/>
    <x v="2"/>
    <x v="2"/>
    <x v="0"/>
    <x v="2"/>
    <x v="3"/>
    <n v="0.15"/>
    <x v="17"/>
    <s v="Off-peak only"/>
    <s v="Anaheim, CA"/>
    <n v="33.836599999999997"/>
    <n v="-117.9143"/>
    <d v="2024-10-30T00:00:00"/>
    <n v="4"/>
    <b v="0"/>
    <d v="2025-07-09T00:00:00"/>
    <x v="0"/>
    <x v="0"/>
  </r>
  <r>
    <b v="0"/>
    <d v="1899-12-30T09:11:00"/>
    <d v="1899-12-30T11:33:00"/>
    <n v="142"/>
    <x v="1"/>
    <b v="1"/>
    <b v="0"/>
    <x v="1"/>
    <x v="1"/>
    <x v="0"/>
    <x v="1"/>
    <x v="3"/>
    <n v="0.15"/>
    <x v="15"/>
    <s v="Weekdays only"/>
    <s v="San Jose, CA"/>
    <n v="37.338200000000001"/>
    <n v="-121.88630000000001"/>
    <d v="2025-03-27T00:00:00"/>
    <n v="8"/>
    <b v="0"/>
    <d v="2025-07-18T00:00:00"/>
    <x v="1"/>
    <x v="1"/>
  </r>
  <r>
    <b v="0"/>
    <d v="1899-12-30T15:13:00"/>
    <d v="1899-12-30T16:46:00"/>
    <n v="93"/>
    <x v="0"/>
    <b v="1"/>
    <b v="1"/>
    <x v="0"/>
    <x v="1"/>
    <x v="0"/>
    <x v="1"/>
    <x v="3"/>
    <n v="0.15"/>
    <x v="15"/>
    <s v="Weekdays only"/>
    <s v="Los Angeles, CA"/>
    <n v="34.052199999999999"/>
    <n v="-118.2437"/>
    <d v="2023-06-29T00:00:00"/>
    <n v="8"/>
    <b v="1"/>
    <d v="2025-06-12T00:00:00"/>
    <x v="1"/>
    <x v="1"/>
  </r>
  <r>
    <b v="1"/>
    <d v="1899-12-30T09:15:00"/>
    <d v="1899-12-30T10:04:00"/>
    <n v="49"/>
    <x v="0"/>
    <b v="0"/>
    <b v="1"/>
    <x v="4"/>
    <x v="0"/>
    <x v="1"/>
    <x v="6"/>
    <x v="1"/>
    <n v="0"/>
    <x v="12"/>
    <s v="All hours"/>
    <s v="San Francisco, CA"/>
    <n v="37.774900000000002"/>
    <n v="-122.4194"/>
    <d v="2023-07-26T00:00:00"/>
    <n v="0"/>
    <b v="1"/>
    <d v="2025-06-13T00:00:00"/>
    <x v="1"/>
    <x v="1"/>
  </r>
  <r>
    <b v="0"/>
    <d v="1899-12-30T13:28:00"/>
    <d v="1899-12-30T15:44:00"/>
    <n v="136"/>
    <x v="1"/>
    <b v="1"/>
    <b v="1"/>
    <x v="4"/>
    <x v="1"/>
    <x v="0"/>
    <x v="1"/>
    <x v="1"/>
    <n v="0"/>
    <x v="1"/>
    <s v="Weekdays only"/>
    <s v="Oakland, CA"/>
    <n v="37.804400000000001"/>
    <n v="-122.27119999999999"/>
    <d v="2024-09-04T00:00:00"/>
    <n v="5"/>
    <b v="0"/>
    <d v="2025-07-06T00:00:00"/>
    <x v="3"/>
    <x v="3"/>
  </r>
  <r>
    <b v="0"/>
    <d v="1899-12-30T10:43:00"/>
    <d v="1899-12-30T11:52:00"/>
    <n v="69"/>
    <x v="1"/>
    <b v="1"/>
    <b v="0"/>
    <x v="1"/>
    <x v="2"/>
    <x v="1"/>
    <x v="5"/>
    <x v="1"/>
    <n v="0"/>
    <x v="14"/>
    <s v="Off-peak only"/>
    <s v="Anaheim, CA"/>
    <n v="33.836599999999997"/>
    <n v="-117.9143"/>
    <d v="2022-09-14T00:00:00"/>
    <n v="5"/>
    <b v="0"/>
    <d v="2025-05-26T00:00:00"/>
    <x v="3"/>
    <x v="3"/>
  </r>
  <r>
    <b v="1"/>
    <d v="1899-12-30T08:29:00"/>
    <d v="1899-12-30T10:32:00"/>
    <n v="123"/>
    <x v="1"/>
    <b v="1"/>
    <b v="0"/>
    <x v="1"/>
    <x v="0"/>
    <x v="2"/>
    <x v="10"/>
    <x v="1"/>
    <n v="0"/>
    <x v="16"/>
    <s v="All hours"/>
    <s v="San Jose, CA"/>
    <n v="37.338200000000001"/>
    <n v="-121.88630000000001"/>
    <d v="2025-01-13T00:00:00"/>
    <n v="5"/>
    <b v="1"/>
    <d v="2025-07-13T00:00:00"/>
    <x v="0"/>
    <x v="0"/>
  </r>
  <r>
    <b v="1"/>
    <d v="1899-12-30T08:17:00"/>
    <d v="1899-12-30T10:38:00"/>
    <n v="141"/>
    <x v="0"/>
    <b v="0"/>
    <b v="1"/>
    <x v="1"/>
    <x v="0"/>
    <x v="1"/>
    <x v="6"/>
    <x v="1"/>
    <n v="0"/>
    <x v="12"/>
    <s v="All hours"/>
    <s v="Anaheim, CA"/>
    <n v="33.836599999999997"/>
    <n v="-117.9143"/>
    <d v="2024-03-19T00:00:00"/>
    <n v="0"/>
    <b v="1"/>
    <d v="2025-06-27T00:00:00"/>
    <x v="1"/>
    <x v="1"/>
  </r>
  <r>
    <b v="0"/>
    <d v="1899-12-30T19:49:00"/>
    <d v="1899-12-30T20:33:00"/>
    <n v="44"/>
    <x v="1"/>
    <b v="0"/>
    <b v="1"/>
    <x v="4"/>
    <x v="1"/>
    <x v="0"/>
    <x v="1"/>
    <x v="1"/>
    <n v="0"/>
    <x v="1"/>
    <s v="Weekdays only"/>
    <s v="Anaheim, CA"/>
    <n v="33.836599999999997"/>
    <n v="-117.9143"/>
    <d v="2022-09-22T00:00:00"/>
    <n v="0"/>
    <b v="0"/>
    <d v="2025-05-27T00:00:00"/>
    <x v="3"/>
    <x v="3"/>
  </r>
  <r>
    <b v="0"/>
    <d v="1899-12-30T17:06:00"/>
    <d v="1899-12-30T18:39:00"/>
    <n v="93"/>
    <x v="1"/>
    <b v="1"/>
    <b v="0"/>
    <x v="0"/>
    <x v="2"/>
    <x v="0"/>
    <x v="2"/>
    <x v="1"/>
    <n v="0"/>
    <x v="3"/>
    <s v="Off-peak only"/>
    <s v="Anaheim, CA"/>
    <n v="33.836599999999997"/>
    <n v="-117.9143"/>
    <d v="2024-04-01T00:00:00"/>
    <n v="4"/>
    <b v="0"/>
    <d v="2025-06-27T00:00:00"/>
    <x v="1"/>
    <x v="1"/>
  </r>
  <r>
    <b v="0"/>
    <d v="1899-12-30T11:54:00"/>
    <d v="1899-12-30T13:21:00"/>
    <n v="87"/>
    <x v="0"/>
    <b v="0"/>
    <b v="1"/>
    <x v="0"/>
    <x v="0"/>
    <x v="1"/>
    <x v="6"/>
    <x v="1"/>
    <n v="0"/>
    <x v="12"/>
    <s v="All hours"/>
    <s v="Sacramento, CA"/>
    <n v="38.581600000000002"/>
    <n v="-121.4944"/>
    <d v="2023-08-12T00:00:00"/>
    <n v="0"/>
    <b v="1"/>
    <d v="2025-06-14T00:00:00"/>
    <x v="1"/>
    <x v="1"/>
  </r>
  <r>
    <b v="1"/>
    <d v="1899-12-30T14:55:00"/>
    <d v="1899-12-30T16:01:00"/>
    <n v="66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4-04-25T00:00:00"/>
    <n v="5"/>
    <b v="1"/>
    <d v="2025-06-29T00:00:00"/>
    <x v="1"/>
    <x v="1"/>
  </r>
  <r>
    <b v="0"/>
    <d v="1899-12-30T10:46:00"/>
    <d v="1899-12-30T12:59:00"/>
    <n v="133"/>
    <x v="0"/>
    <b v="1"/>
    <b v="1"/>
    <x v="0"/>
    <x v="0"/>
    <x v="0"/>
    <x v="0"/>
    <x v="2"/>
    <n v="0.1"/>
    <x v="16"/>
    <s v="All hours"/>
    <s v="Long Beach, CA"/>
    <n v="33.770099999999999"/>
    <n v="-118.19370000000001"/>
    <d v="2024-09-03T00:00:00"/>
    <n v="8"/>
    <b v="1"/>
    <d v="2025-07-06T00:00:00"/>
    <x v="3"/>
    <x v="3"/>
  </r>
  <r>
    <b v="1"/>
    <d v="1899-12-30T20:57:00"/>
    <d v="1899-12-30T23:35:00"/>
    <n v="158"/>
    <x v="0"/>
    <b v="0"/>
    <b v="1"/>
    <x v="1"/>
    <x v="3"/>
    <x v="0"/>
    <x v="3"/>
    <x v="1"/>
    <n v="0"/>
    <x v="4"/>
    <s v="All hours + Priority access"/>
    <s v="Anaheim, CA"/>
    <n v="33.836599999999997"/>
    <n v="-117.9143"/>
    <d v="2022-08-10T00:00:00"/>
    <n v="0"/>
    <b v="1"/>
    <d v="2025-05-24T00:00:00"/>
    <x v="3"/>
    <x v="3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4-04-13T00:00:00"/>
    <n v="1"/>
    <b v="1"/>
    <d v="2025-06-28T00:00:00"/>
    <x v="1"/>
    <x v="1"/>
  </r>
  <r>
    <b v="0"/>
    <d v="1899-12-30T09:35:00"/>
    <d v="1899-12-30T11:56:00"/>
    <n v="141"/>
    <x v="1"/>
    <b v="1"/>
    <b v="1"/>
    <x v="0"/>
    <x v="3"/>
    <x v="0"/>
    <x v="3"/>
    <x v="1"/>
    <n v="0"/>
    <x v="4"/>
    <s v="All hours + Priority access"/>
    <s v="Fresno, CA"/>
    <n v="36.7378"/>
    <n v="-119.7871"/>
    <d v="2022-11-13T00:00:00"/>
    <n v="5"/>
    <b v="1"/>
    <d v="2025-05-30T00:00:00"/>
    <x v="3"/>
    <x v="3"/>
  </r>
  <r>
    <b v="1"/>
    <d v="1899-12-30T13:20:00"/>
    <d v="1899-12-30T14:41:00"/>
    <n v="81"/>
    <x v="1"/>
    <b v="0"/>
    <b v="1"/>
    <x v="1"/>
    <x v="1"/>
    <x v="1"/>
    <x v="4"/>
    <x v="1"/>
    <n v="0"/>
    <x v="8"/>
    <s v="Weekdays only"/>
    <s v="Fresno, CA"/>
    <n v="36.7378"/>
    <n v="-119.7871"/>
    <d v="2024-10-21T00:00:00"/>
    <n v="0"/>
    <b v="0"/>
    <d v="2025-07-09T00:00:00"/>
    <x v="0"/>
    <x v="0"/>
  </r>
  <r>
    <b v="1"/>
    <d v="1899-12-30T08:12:00"/>
    <d v="1899-12-30T10:09:00"/>
    <n v="117"/>
    <x v="1"/>
    <b v="0"/>
    <b v="0"/>
    <x v="2"/>
    <x v="1"/>
    <x v="0"/>
    <x v="1"/>
    <x v="3"/>
    <n v="0.15"/>
    <x v="15"/>
    <s v="Weekdays only"/>
    <s v="Long Beach, CA"/>
    <n v="33.770099999999999"/>
    <n v="-118.19370000000001"/>
    <d v="2024-11-08T00:00:00"/>
    <n v="0"/>
    <b v="0"/>
    <d v="2025-07-10T00:00:00"/>
    <x v="0"/>
    <x v="0"/>
  </r>
  <r>
    <b v="1"/>
    <d v="1899-12-30T19:22:00"/>
    <d v="1899-12-30T21:18:00"/>
    <n v="116"/>
    <x v="1"/>
    <b v="0"/>
    <b v="0"/>
    <x v="2"/>
    <x v="1"/>
    <x v="0"/>
    <x v="1"/>
    <x v="1"/>
    <n v="0"/>
    <x v="1"/>
    <s v="Weekdays only"/>
    <s v="San Francisco, CA"/>
    <n v="37.774900000000002"/>
    <n v="-122.4194"/>
    <d v="2025-05-20T00:00:00"/>
    <n v="0"/>
    <b v="0"/>
    <d v="2025-07-21T00:00:00"/>
    <x v="1"/>
    <x v="1"/>
  </r>
  <r>
    <b v="0"/>
    <d v="1899-12-30T10:17:00"/>
    <d v="1899-12-30T12:21:00"/>
    <n v="124"/>
    <x v="1"/>
    <b v="0"/>
    <b v="1"/>
    <x v="4"/>
    <x v="1"/>
    <x v="0"/>
    <x v="1"/>
    <x v="1"/>
    <n v="0"/>
    <x v="1"/>
    <s v="Weekdays only"/>
    <s v="Anaheim, CA"/>
    <n v="33.836599999999997"/>
    <n v="-117.9143"/>
    <d v="2023-07-29T00:00:00"/>
    <n v="0"/>
    <b v="0"/>
    <d v="2025-06-13T00:00:00"/>
    <x v="3"/>
    <x v="3"/>
  </r>
  <r>
    <b v="1"/>
    <d v="1899-12-30T14:44:00"/>
    <d v="1899-12-30T17:01:00"/>
    <n v="137"/>
    <x v="0"/>
    <b v="1"/>
    <b v="0"/>
    <x v="0"/>
    <x v="2"/>
    <x v="2"/>
    <x v="7"/>
    <x v="0"/>
    <n v="0.05"/>
    <x v="21"/>
    <s v="Off-peak only"/>
    <s v="Long Beach, CA"/>
    <n v="33.770099999999999"/>
    <n v="-118.19370000000001"/>
    <d v="2024-05-26T00:00:00"/>
    <n v="2"/>
    <b v="0"/>
    <d v="2025-06-30T00:00:00"/>
    <x v="0"/>
    <x v="0"/>
  </r>
  <r>
    <b v="0"/>
    <d v="1899-12-30T14:08:00"/>
    <d v="1899-12-30T17:08:00"/>
    <n v="180"/>
    <x v="0"/>
    <b v="1"/>
    <b v="0"/>
    <x v="3"/>
    <x v="2"/>
    <x v="0"/>
    <x v="2"/>
    <x v="2"/>
    <n v="0.1"/>
    <x v="6"/>
    <s v="Off-peak only"/>
    <s v="Long Beach, CA"/>
    <n v="33.770099999999999"/>
    <n v="-118.19370000000001"/>
    <d v="2022-12-15T00:00:00"/>
    <n v="7"/>
    <b v="0"/>
    <d v="2025-06-01T00:00:00"/>
    <x v="1"/>
    <x v="1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4-02-05T00:00:00"/>
    <n v="4"/>
    <b v="1"/>
    <d v="2025-06-24T00:00:00"/>
    <x v="2"/>
    <x v="2"/>
  </r>
  <r>
    <b v="0"/>
    <d v="1899-12-30T09:56:00"/>
    <d v="1899-12-30T12:52:00"/>
    <n v="176"/>
    <x v="0"/>
    <b v="1"/>
    <b v="1"/>
    <x v="4"/>
    <x v="1"/>
    <x v="0"/>
    <x v="1"/>
    <x v="3"/>
    <n v="0.15"/>
    <x v="15"/>
    <s v="Weekdays only"/>
    <s v="Fresno, CA"/>
    <n v="36.7378"/>
    <n v="-119.7871"/>
    <d v="2022-08-26T00:00:00"/>
    <n v="2"/>
    <b v="1"/>
    <d v="2025-05-25T00:00:00"/>
    <x v="1"/>
    <x v="1"/>
  </r>
  <r>
    <b v="1"/>
    <d v="1899-12-30T20:25:00"/>
    <d v="1899-12-30T23:16:00"/>
    <n v="171"/>
    <x v="1"/>
    <b v="0"/>
    <b v="0"/>
    <x v="4"/>
    <x v="2"/>
    <x v="0"/>
    <x v="2"/>
    <x v="2"/>
    <n v="0.1"/>
    <x v="6"/>
    <s v="Off-peak only"/>
    <s v="Anaheim, CA"/>
    <n v="33.836599999999997"/>
    <n v="-117.9143"/>
    <d v="2024-12-07T00:00:00"/>
    <n v="0"/>
    <b v="1"/>
    <d v="2025-07-11T00:00:00"/>
    <x v="1"/>
    <x v="1"/>
  </r>
  <r>
    <b v="1"/>
    <d v="1899-12-30T16:37:00"/>
    <d v="1899-12-30T17:48:00"/>
    <n v="71"/>
    <x v="1"/>
    <b v="0"/>
    <b v="1"/>
    <x v="4"/>
    <x v="2"/>
    <x v="0"/>
    <x v="2"/>
    <x v="0"/>
    <n v="0.05"/>
    <x v="18"/>
    <s v="Off-peak only"/>
    <s v="Los Angeles, CA"/>
    <n v="34.052199999999999"/>
    <n v="-118.2437"/>
    <d v="2022-12-10T00:00:00"/>
    <n v="0"/>
    <b v="0"/>
    <d v="2025-05-31T00:00:00"/>
    <x v="3"/>
    <x v="3"/>
  </r>
  <r>
    <b v="1"/>
    <d v="1899-12-30T16:05:00"/>
    <d v="1899-12-30T18:42:00"/>
    <n v="157"/>
    <x v="0"/>
    <b v="1"/>
    <b v="0"/>
    <x v="0"/>
    <x v="2"/>
    <x v="0"/>
    <x v="2"/>
    <x v="2"/>
    <n v="0.1"/>
    <x v="6"/>
    <s v="Off-peak only"/>
    <s v="San Jose, CA"/>
    <n v="37.338200000000001"/>
    <n v="-121.88630000000001"/>
    <d v="2023-03-18T00:00:00"/>
    <n v="5"/>
    <b v="0"/>
    <d v="2025-06-06T00:00:00"/>
    <x v="1"/>
    <x v="1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3-24T00:00:00"/>
    <n v="8"/>
    <b v="0"/>
    <d v="2025-06-06T00:00:00"/>
    <x v="3"/>
    <x v="3"/>
  </r>
  <r>
    <b v="1"/>
    <d v="1899-12-30T13:40:00"/>
    <d v="1899-12-30T16:26:00"/>
    <n v="166"/>
    <x v="1"/>
    <b v="1"/>
    <b v="1"/>
    <x v="3"/>
    <x v="0"/>
    <x v="2"/>
    <x v="10"/>
    <x v="2"/>
    <n v="0.1"/>
    <x v="34"/>
    <s v="All hours"/>
    <s v="Los Angeles, CA"/>
    <n v="34.052199999999999"/>
    <n v="-118.2437"/>
    <d v="2023-01-05T00:00:00"/>
    <n v="1"/>
    <b v="1"/>
    <d v="2025-06-02T00:00:00"/>
    <x v="0"/>
    <x v="0"/>
  </r>
  <r>
    <b v="0"/>
    <d v="1899-12-30T16:35:00"/>
    <d v="1899-12-30T17:35:00"/>
    <n v="60"/>
    <x v="1"/>
    <b v="0"/>
    <b v="0"/>
    <x v="4"/>
    <x v="0"/>
    <x v="1"/>
    <x v="6"/>
    <x v="1"/>
    <n v="0"/>
    <x v="12"/>
    <s v="All hours"/>
    <s v="San Jose, CA"/>
    <n v="37.338200000000001"/>
    <n v="-121.88630000000001"/>
    <d v="2023-04-04T00:00:00"/>
    <n v="0"/>
    <b v="1"/>
    <d v="2025-06-07T00:00:00"/>
    <x v="1"/>
    <x v="1"/>
  </r>
  <r>
    <b v="1"/>
    <d v="1899-12-30T17:11:00"/>
    <d v="1899-12-30T18:02:00"/>
    <n v="51"/>
    <x v="0"/>
    <b v="1"/>
    <b v="1"/>
    <x v="4"/>
    <x v="0"/>
    <x v="1"/>
    <x v="6"/>
    <x v="3"/>
    <n v="0.15"/>
    <x v="28"/>
    <s v="All hours"/>
    <s v="Long Beach, CA"/>
    <n v="33.770099999999999"/>
    <n v="-118.19370000000001"/>
    <d v="2023-08-26T00:00:00"/>
    <n v="3"/>
    <b v="1"/>
    <d v="2025-06-15T00:00:00"/>
    <x v="3"/>
    <x v="3"/>
  </r>
  <r>
    <b v="1"/>
    <d v="1899-12-30T19:10:00"/>
    <d v="1899-12-30T21:32:00"/>
    <n v="142"/>
    <x v="1"/>
    <b v="1"/>
    <b v="0"/>
    <x v="0"/>
    <x v="1"/>
    <x v="2"/>
    <x v="8"/>
    <x v="2"/>
    <n v="0.1"/>
    <x v="33"/>
    <s v="Weekdays only"/>
    <s v="Sacramento, CA"/>
    <n v="38.581600000000002"/>
    <n v="-121.4944"/>
    <d v="2025-02-03T00:00:00"/>
    <n v="6"/>
    <b v="1"/>
    <d v="2025-07-15T00:00:00"/>
    <x v="3"/>
    <x v="3"/>
  </r>
  <r>
    <b v="0"/>
    <d v="1899-12-30T18:42:00"/>
    <d v="1899-12-30T21:41:00"/>
    <n v="179"/>
    <x v="0"/>
    <b v="1"/>
    <b v="1"/>
    <x v="0"/>
    <x v="1"/>
    <x v="0"/>
    <x v="1"/>
    <x v="1"/>
    <n v="0"/>
    <x v="1"/>
    <s v="Weekdays only"/>
    <s v="Sacramento, CA"/>
    <n v="38.581600000000002"/>
    <n v="-121.4944"/>
    <d v="2025-05-19T00:00:00"/>
    <n v="7"/>
    <b v="0"/>
    <d v="2025-07-21T00:00:00"/>
    <x v="1"/>
    <x v="1"/>
  </r>
  <r>
    <b v="1"/>
    <d v="1899-12-30T08:39:00"/>
    <d v="1899-12-30T09:38:00"/>
    <n v="59"/>
    <x v="1"/>
    <b v="1"/>
    <b v="1"/>
    <x v="3"/>
    <x v="0"/>
    <x v="1"/>
    <x v="6"/>
    <x v="2"/>
    <n v="0.1"/>
    <x v="30"/>
    <s v="All hours"/>
    <s v="San Diego, CA"/>
    <n v="32.715699999999998"/>
    <n v="-117.1611"/>
    <d v="2022-10-16T00:00:00"/>
    <n v="6"/>
    <b v="1"/>
    <d v="2025-05-28T00:00:00"/>
    <x v="0"/>
    <x v="0"/>
  </r>
  <r>
    <b v="1"/>
    <d v="1899-12-30T15:01:00"/>
    <d v="1899-12-30T16:59:00"/>
    <n v="118"/>
    <x v="1"/>
    <b v="0"/>
    <b v="0"/>
    <x v="0"/>
    <x v="0"/>
    <x v="1"/>
    <x v="6"/>
    <x v="0"/>
    <n v="0.05"/>
    <x v="10"/>
    <s v="All hours"/>
    <s v="San Diego, CA"/>
    <n v="32.715699999999998"/>
    <n v="-117.1611"/>
    <d v="2023-09-05T00:00:00"/>
    <n v="0"/>
    <b v="1"/>
    <d v="2025-06-16T00:00:00"/>
    <x v="2"/>
    <x v="2"/>
  </r>
  <r>
    <b v="0"/>
    <d v="1899-12-30T18:37:00"/>
    <d v="1899-12-30T20:15:00"/>
    <n v="98"/>
    <x v="0"/>
    <b v="1"/>
    <b v="1"/>
    <x v="4"/>
    <x v="1"/>
    <x v="2"/>
    <x v="8"/>
    <x v="2"/>
    <n v="0.1"/>
    <x v="33"/>
    <s v="Weekdays only"/>
    <s v="Fresno, CA"/>
    <n v="36.7378"/>
    <n v="-119.7871"/>
    <d v="2023-02-25T00:00:00"/>
    <n v="5"/>
    <b v="0"/>
    <d v="2025-06-05T00:00:00"/>
    <x v="0"/>
    <x v="0"/>
  </r>
  <r>
    <b v="0"/>
    <d v="1899-12-30T20:53:00"/>
    <d v="1899-12-30T23:33:00"/>
    <n v="160"/>
    <x v="1"/>
    <b v="0"/>
    <b v="0"/>
    <x v="0"/>
    <x v="0"/>
    <x v="0"/>
    <x v="0"/>
    <x v="2"/>
    <n v="0.1"/>
    <x v="16"/>
    <s v="All hours"/>
    <s v="Bakersfield, CA"/>
    <n v="35.3733"/>
    <n v="-119.0187"/>
    <d v="2024-01-27T00:00:00"/>
    <n v="0"/>
    <b v="1"/>
    <d v="2025-06-24T00:00:00"/>
    <x v="3"/>
    <x v="3"/>
  </r>
  <r>
    <b v="1"/>
    <d v="1899-12-30T14:20:00"/>
    <d v="1899-12-30T17:01:00"/>
    <n v="161"/>
    <x v="0"/>
    <b v="0"/>
    <b v="0"/>
    <x v="1"/>
    <x v="2"/>
    <x v="0"/>
    <x v="2"/>
    <x v="1"/>
    <n v="0"/>
    <x v="3"/>
    <s v="Off-peak only"/>
    <s v="Anaheim, CA"/>
    <n v="33.836599999999997"/>
    <n v="-117.9143"/>
    <d v="2025-02-18T00:00:00"/>
    <n v="0"/>
    <b v="1"/>
    <d v="2025-07-15T00:00:00"/>
    <x v="2"/>
    <x v="4"/>
  </r>
  <r>
    <b v="1"/>
    <d v="1899-12-30T20:23:00"/>
    <d v="1899-12-30T21:49:00"/>
    <n v="86"/>
    <x v="0"/>
    <b v="1"/>
    <b v="0"/>
    <x v="0"/>
    <x v="2"/>
    <x v="1"/>
    <x v="5"/>
    <x v="2"/>
    <n v="0.1"/>
    <x v="20"/>
    <s v="Off-peak only"/>
    <s v="San Diego, CA"/>
    <n v="32.715699999999998"/>
    <n v="-117.1611"/>
    <d v="2025-02-09T00:00:00"/>
    <n v="7"/>
    <b v="0"/>
    <d v="2025-07-15T00:00:00"/>
    <x v="2"/>
    <x v="2"/>
  </r>
  <r>
    <b v="0"/>
    <d v="1899-12-30T12:30:00"/>
    <d v="1899-12-30T13:08:00"/>
    <n v="38"/>
    <x v="1"/>
    <b v="0"/>
    <b v="0"/>
    <x v="0"/>
    <x v="1"/>
    <x v="2"/>
    <x v="8"/>
    <x v="1"/>
    <n v="0"/>
    <x v="2"/>
    <s v="Weekdays only"/>
    <s v="San Diego, CA"/>
    <n v="32.715699999999998"/>
    <n v="-117.1611"/>
    <d v="2023-06-23T00:00:00"/>
    <n v="0"/>
    <b v="0"/>
    <d v="2025-06-11T00:00:00"/>
    <x v="3"/>
    <x v="3"/>
  </r>
  <r>
    <b v="0"/>
    <d v="1899-12-30T19:40:00"/>
    <d v="1899-12-30T22:32:00"/>
    <n v="172"/>
    <x v="0"/>
    <b v="1"/>
    <b v="0"/>
    <x v="4"/>
    <x v="1"/>
    <x v="0"/>
    <x v="1"/>
    <x v="0"/>
    <n v="0.05"/>
    <x v="7"/>
    <s v="Weekdays only"/>
    <s v="Los Angeles, CA"/>
    <n v="34.052199999999999"/>
    <n v="-118.2437"/>
    <d v="2024-03-21T00:00:00"/>
    <n v="7"/>
    <b v="0"/>
    <d v="2025-06-27T00:00:00"/>
    <x v="0"/>
    <x v="0"/>
  </r>
  <r>
    <b v="0"/>
    <d v="1899-12-30T19:50:00"/>
    <d v="1899-12-30T20:51:00"/>
    <n v="61"/>
    <x v="1"/>
    <b v="0"/>
    <b v="0"/>
    <x v="0"/>
    <x v="2"/>
    <x v="0"/>
    <x v="2"/>
    <x v="1"/>
    <n v="0"/>
    <x v="3"/>
    <s v="Off-peak only"/>
    <s v="Fresno, CA"/>
    <n v="36.7378"/>
    <n v="-119.7871"/>
    <d v="2024-11-21T00:00:00"/>
    <n v="0"/>
    <b v="0"/>
    <d v="2025-07-10T00:00:00"/>
    <x v="1"/>
    <x v="1"/>
  </r>
  <r>
    <b v="1"/>
    <d v="1899-12-30T19:38:00"/>
    <d v="1899-12-30T21:40:00"/>
    <n v="122"/>
    <x v="1"/>
    <b v="1"/>
    <b v="1"/>
    <x v="0"/>
    <x v="0"/>
    <x v="0"/>
    <x v="0"/>
    <x v="0"/>
    <n v="0.05"/>
    <x v="0"/>
    <s v="All hours"/>
    <s v="Anaheim, CA"/>
    <n v="33.836599999999997"/>
    <n v="-117.9143"/>
    <d v="2024-01-16T00:00:00"/>
    <n v="1"/>
    <b v="1"/>
    <d v="2025-06-23T00:00:00"/>
    <x v="1"/>
    <x v="1"/>
  </r>
  <r>
    <b v="1"/>
    <d v="1899-12-30T20:33:00"/>
    <d v="1899-12-30T21:52:00"/>
    <n v="79"/>
    <x v="1"/>
    <b v="1"/>
    <b v="1"/>
    <x v="1"/>
    <x v="0"/>
    <x v="1"/>
    <x v="6"/>
    <x v="3"/>
    <n v="0.15"/>
    <x v="28"/>
    <s v="All hours"/>
    <s v="Bakersfield, CA"/>
    <n v="35.3733"/>
    <n v="-119.0187"/>
    <d v="2025-04-15T00:00:00"/>
    <n v="7"/>
    <b v="0"/>
    <d v="2025-07-19T00:00:00"/>
    <x v="0"/>
    <x v="0"/>
  </r>
  <r>
    <b v="1"/>
    <d v="1899-12-30T16:41:00"/>
    <d v="1899-12-30T17:48:00"/>
    <n v="67"/>
    <x v="1"/>
    <b v="0"/>
    <b v="1"/>
    <x v="0"/>
    <x v="3"/>
    <x v="0"/>
    <x v="3"/>
    <x v="1"/>
    <n v="0"/>
    <x v="4"/>
    <s v="All hours + Priority access"/>
    <s v="San Jose, CA"/>
    <n v="37.338200000000001"/>
    <n v="-121.88630000000001"/>
    <d v="2023-10-12T00:00:00"/>
    <n v="0"/>
    <b v="0"/>
    <d v="2025-06-18T00:00:00"/>
    <x v="1"/>
    <x v="1"/>
  </r>
  <r>
    <b v="0"/>
    <d v="1899-12-30T11:29:00"/>
    <d v="1899-12-30T14:26:00"/>
    <n v="177"/>
    <x v="1"/>
    <b v="1"/>
    <b v="0"/>
    <x v="0"/>
    <x v="2"/>
    <x v="1"/>
    <x v="5"/>
    <x v="0"/>
    <n v="0.05"/>
    <x v="9"/>
    <s v="Off-peak only"/>
    <s v="Long Beach, CA"/>
    <n v="33.770099999999999"/>
    <n v="-118.19370000000001"/>
    <d v="2024-09-09T00:00:00"/>
    <n v="4"/>
    <b v="0"/>
    <d v="2025-07-06T00:00:00"/>
    <x v="2"/>
    <x v="2"/>
  </r>
  <r>
    <b v="0"/>
    <d v="1899-12-30T10:32:00"/>
    <d v="1899-12-30T11:09:00"/>
    <n v="37"/>
    <x v="0"/>
    <b v="0"/>
    <b v="1"/>
    <x v="4"/>
    <x v="0"/>
    <x v="0"/>
    <x v="0"/>
    <x v="3"/>
    <n v="0.15"/>
    <x v="27"/>
    <s v="All hours"/>
    <s v="San Francisco, CA"/>
    <n v="37.774900000000002"/>
    <n v="-122.4194"/>
    <d v="2023-02-24T00:00:00"/>
    <n v="0"/>
    <b v="1"/>
    <d v="2025-06-05T00:00:00"/>
    <x v="3"/>
    <x v="3"/>
  </r>
  <r>
    <b v="0"/>
    <d v="1899-12-30T20:43:00"/>
    <d v="1899-12-30T22:58:00"/>
    <n v="135"/>
    <x v="1"/>
    <b v="0"/>
    <b v="0"/>
    <x v="4"/>
    <x v="2"/>
    <x v="0"/>
    <x v="2"/>
    <x v="1"/>
    <n v="0"/>
    <x v="3"/>
    <s v="Off-peak only"/>
    <s v="Sacramento, CA"/>
    <n v="38.581600000000002"/>
    <n v="-121.4944"/>
    <d v="2024-07-27T00:00:00"/>
    <n v="0"/>
    <b v="0"/>
    <d v="2025-07-04T00:00:00"/>
    <x v="0"/>
    <x v="0"/>
  </r>
  <r>
    <b v="1"/>
    <d v="1899-12-30T17:57:00"/>
    <d v="1899-12-30T19:46:00"/>
    <n v="109"/>
    <x v="0"/>
    <b v="1"/>
    <b v="1"/>
    <x v="1"/>
    <x v="3"/>
    <x v="1"/>
    <x v="11"/>
    <x v="1"/>
    <n v="0"/>
    <x v="38"/>
    <s v="All hours + Priority access"/>
    <s v="San Jose, CA"/>
    <n v="37.338200000000001"/>
    <n v="-121.88630000000001"/>
    <d v="2024-02-24T00:00:00"/>
    <n v="2"/>
    <b v="1"/>
    <d v="2025-06-25T00:00:00"/>
    <x v="1"/>
    <x v="1"/>
  </r>
  <r>
    <b v="0"/>
    <d v="1899-12-30T14:01:00"/>
    <d v="1899-12-30T16:23:00"/>
    <n v="142"/>
    <x v="1"/>
    <b v="0"/>
    <b v="1"/>
    <x v="4"/>
    <x v="2"/>
    <x v="1"/>
    <x v="5"/>
    <x v="0"/>
    <n v="0.05"/>
    <x v="9"/>
    <s v="Off-peak only"/>
    <s v="Fresno, CA"/>
    <n v="36.7378"/>
    <n v="-119.7871"/>
    <d v="2025-06-10T00:00:00"/>
    <n v="0"/>
    <b v="0"/>
    <d v="2025-07-22T00:00:00"/>
    <x v="2"/>
    <x v="4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5-04-06T00:00:00"/>
    <n v="2"/>
    <b v="1"/>
    <d v="2025-07-18T00:00:00"/>
    <x v="3"/>
    <x v="3"/>
  </r>
  <r>
    <b v="1"/>
    <d v="1899-12-30T09:47:00"/>
    <d v="1899-12-30T11:32:00"/>
    <n v="105"/>
    <x v="0"/>
    <b v="1"/>
    <b v="1"/>
    <x v="4"/>
    <x v="1"/>
    <x v="1"/>
    <x v="4"/>
    <x v="1"/>
    <n v="0"/>
    <x v="8"/>
    <s v="Weekdays only"/>
    <s v="Oakland, CA"/>
    <n v="37.804400000000001"/>
    <n v="-122.27119999999999"/>
    <d v="2024-04-30T00:00:00"/>
    <n v="2"/>
    <b v="0"/>
    <d v="2025-06-29T00:00:00"/>
    <x v="1"/>
    <x v="1"/>
  </r>
  <r>
    <b v="0"/>
    <d v="1899-12-30T17:19:00"/>
    <d v="1899-12-30T20:19:00"/>
    <n v="180"/>
    <x v="0"/>
    <b v="0"/>
    <b v="1"/>
    <x v="0"/>
    <x v="0"/>
    <x v="1"/>
    <x v="6"/>
    <x v="0"/>
    <n v="0.05"/>
    <x v="10"/>
    <s v="All hours"/>
    <s v="Sacramento, CA"/>
    <n v="38.581600000000002"/>
    <n v="-121.4944"/>
    <d v="2024-01-28T00:00:00"/>
    <n v="0"/>
    <b v="0"/>
    <d v="2025-06-24T00:00:00"/>
    <x v="2"/>
    <x v="4"/>
  </r>
  <r>
    <b v="1"/>
    <d v="1899-12-30T20:54:00"/>
    <d v="1899-12-30T22:41:00"/>
    <n v="107"/>
    <x v="0"/>
    <b v="1"/>
    <b v="1"/>
    <x v="4"/>
    <x v="0"/>
    <x v="0"/>
    <x v="0"/>
    <x v="2"/>
    <n v="0.1"/>
    <x v="16"/>
    <s v="All hours"/>
    <s v="San Diego, CA"/>
    <n v="32.715699999999998"/>
    <n v="-117.1611"/>
    <d v="2023-09-22T00:00:00"/>
    <n v="4"/>
    <b v="1"/>
    <d v="2025-06-16T00:00:00"/>
    <x v="1"/>
    <x v="1"/>
  </r>
  <r>
    <b v="1"/>
    <d v="1899-12-30T19:07:00"/>
    <d v="1899-12-30T22:00:00"/>
    <n v="173"/>
    <x v="0"/>
    <b v="0"/>
    <b v="0"/>
    <x v="0"/>
    <x v="3"/>
    <x v="0"/>
    <x v="3"/>
    <x v="3"/>
    <n v="0.15"/>
    <x v="40"/>
    <s v="All hours + Priority access"/>
    <s v="San Diego, CA"/>
    <n v="32.715699999999998"/>
    <n v="-117.1611"/>
    <d v="2024-08-16T00:00:00"/>
    <n v="0"/>
    <b v="1"/>
    <d v="2025-07-05T00:00:00"/>
    <x v="1"/>
    <x v="1"/>
  </r>
  <r>
    <b v="1"/>
    <d v="1899-12-30T08:21:00"/>
    <d v="1899-12-30T08:55:00"/>
    <n v="34"/>
    <x v="1"/>
    <b v="0"/>
    <b v="0"/>
    <x v="4"/>
    <x v="2"/>
    <x v="1"/>
    <x v="5"/>
    <x v="1"/>
    <n v="0"/>
    <x v="14"/>
    <s v="Off-peak only"/>
    <s v="Fresno, CA"/>
    <n v="36.7378"/>
    <n v="-119.7871"/>
    <d v="2023-06-13T00:00:00"/>
    <n v="0"/>
    <b v="0"/>
    <d v="2025-06-11T00:00:00"/>
    <x v="1"/>
    <x v="1"/>
  </r>
  <r>
    <b v="0"/>
    <d v="1899-12-30T20:53:00"/>
    <d v="1899-12-30T23:33:00"/>
    <n v="160"/>
    <x v="1"/>
    <b v="0"/>
    <b v="0"/>
    <x v="0"/>
    <x v="0"/>
    <x v="0"/>
    <x v="0"/>
    <x v="2"/>
    <n v="0.1"/>
    <x v="16"/>
    <s v="All hours"/>
    <s v="Bakersfield, CA"/>
    <n v="35.3733"/>
    <n v="-119.0187"/>
    <d v="2022-12-19T00:00:00"/>
    <n v="0"/>
    <b v="1"/>
    <d v="2025-06-01T00:00:00"/>
    <x v="3"/>
    <x v="3"/>
  </r>
  <r>
    <b v="0"/>
    <d v="1899-12-30T11:56:00"/>
    <d v="1899-12-30T13:42:00"/>
    <n v="106"/>
    <x v="0"/>
    <b v="1"/>
    <b v="1"/>
    <x v="4"/>
    <x v="1"/>
    <x v="0"/>
    <x v="1"/>
    <x v="0"/>
    <n v="0.05"/>
    <x v="7"/>
    <s v="Weekdays only"/>
    <s v="Fresno, CA"/>
    <n v="36.7378"/>
    <n v="-119.7871"/>
    <d v="2023-03-15T00:00:00"/>
    <n v="6"/>
    <b v="0"/>
    <d v="2025-06-06T00:00:00"/>
    <x v="3"/>
    <x v="3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5-05-11T00:00:00"/>
    <n v="0"/>
    <b v="1"/>
    <d v="2025-07-20T00:00:00"/>
    <x v="3"/>
    <x v="3"/>
  </r>
  <r>
    <b v="1"/>
    <d v="1899-12-30T15:45:00"/>
    <d v="1899-12-30T18:43:00"/>
    <n v="178"/>
    <x v="0"/>
    <b v="0"/>
    <b v="0"/>
    <x v="1"/>
    <x v="1"/>
    <x v="0"/>
    <x v="1"/>
    <x v="1"/>
    <n v="0"/>
    <x v="1"/>
    <s v="Weekdays only"/>
    <s v="Fresno, CA"/>
    <n v="36.7378"/>
    <n v="-119.7871"/>
    <d v="2024-01-28T00:00:00"/>
    <n v="0"/>
    <b v="1"/>
    <d v="2025-06-24T00:00:00"/>
    <x v="1"/>
    <x v="1"/>
  </r>
  <r>
    <b v="1"/>
    <d v="1899-12-30T17:11:00"/>
    <d v="1899-12-30T18:02:00"/>
    <n v="51"/>
    <x v="0"/>
    <b v="1"/>
    <b v="1"/>
    <x v="4"/>
    <x v="0"/>
    <x v="1"/>
    <x v="6"/>
    <x v="3"/>
    <n v="0.15"/>
    <x v="28"/>
    <s v="All hours"/>
    <s v="Long Beach, CA"/>
    <n v="33.770099999999999"/>
    <n v="-118.19370000000001"/>
    <d v="2025-03-03T00:00:00"/>
    <n v="1"/>
    <b v="1"/>
    <d v="2025-07-16T00:00:00"/>
    <x v="3"/>
    <x v="3"/>
  </r>
  <r>
    <b v="1"/>
    <d v="1899-12-30T15:41:00"/>
    <d v="1899-12-30T16:58:00"/>
    <n v="77"/>
    <x v="1"/>
    <b v="1"/>
    <b v="0"/>
    <x v="4"/>
    <x v="0"/>
    <x v="1"/>
    <x v="6"/>
    <x v="2"/>
    <n v="0.1"/>
    <x v="30"/>
    <s v="All hours"/>
    <s v="San Francisco, CA"/>
    <n v="37.774900000000002"/>
    <n v="-122.4194"/>
    <d v="2024-10-08T00:00:00"/>
    <n v="7"/>
    <b v="1"/>
    <d v="2025-07-08T00:00:00"/>
    <x v="2"/>
    <x v="2"/>
  </r>
  <r>
    <b v="0"/>
    <d v="1899-12-30T11:58:00"/>
    <d v="1899-12-30T14:31:00"/>
    <n v="153"/>
    <x v="1"/>
    <b v="1"/>
    <b v="0"/>
    <x v="4"/>
    <x v="0"/>
    <x v="0"/>
    <x v="0"/>
    <x v="1"/>
    <n v="0"/>
    <x v="5"/>
    <s v="All hours"/>
    <s v="Long Beach, CA"/>
    <n v="33.770099999999999"/>
    <n v="-118.19370000000001"/>
    <d v="2022-08-07T00:00:00"/>
    <n v="4"/>
    <b v="1"/>
    <d v="2025-05-24T00:00:00"/>
    <x v="0"/>
    <x v="0"/>
  </r>
  <r>
    <b v="0"/>
    <d v="1899-12-30T09:22:00"/>
    <d v="1899-12-30T10:57:00"/>
    <n v="95"/>
    <x v="0"/>
    <b v="1"/>
    <b v="0"/>
    <x v="0"/>
    <x v="0"/>
    <x v="0"/>
    <x v="0"/>
    <x v="3"/>
    <n v="0.15"/>
    <x v="27"/>
    <s v="All hours"/>
    <s v="Long Beach, CA"/>
    <n v="33.770099999999999"/>
    <n v="-118.19370000000001"/>
    <d v="2025-01-22T00:00:00"/>
    <n v="2"/>
    <b v="1"/>
    <d v="2025-07-14T00:00:00"/>
    <x v="3"/>
    <x v="3"/>
  </r>
  <r>
    <b v="0"/>
    <d v="1899-12-30T08:06:00"/>
    <d v="1899-12-30T08:47:00"/>
    <n v="41"/>
    <x v="1"/>
    <b v="0"/>
    <b v="1"/>
    <x v="0"/>
    <x v="1"/>
    <x v="1"/>
    <x v="4"/>
    <x v="2"/>
    <n v="0.1"/>
    <x v="26"/>
    <s v="Weekdays only"/>
    <s v="Long Beach, CA"/>
    <n v="33.770099999999999"/>
    <n v="-118.19370000000001"/>
    <d v="2024-01-08T00:00:00"/>
    <n v="0"/>
    <b v="0"/>
    <d v="2025-06-23T00:00:00"/>
    <x v="2"/>
    <x v="2"/>
  </r>
  <r>
    <b v="1"/>
    <d v="1899-12-30T13:06:00"/>
    <d v="1899-12-30T14:35:00"/>
    <n v="89"/>
    <x v="1"/>
    <b v="1"/>
    <b v="0"/>
    <x v="0"/>
    <x v="2"/>
    <x v="1"/>
    <x v="5"/>
    <x v="2"/>
    <n v="0.1"/>
    <x v="20"/>
    <s v="Off-peak only"/>
    <s v="San Francisco, CA"/>
    <n v="37.774900000000002"/>
    <n v="-122.4194"/>
    <d v="2023-09-03T00:00:00"/>
    <n v="5"/>
    <b v="1"/>
    <d v="2025-06-15T00:00:00"/>
    <x v="3"/>
    <x v="3"/>
  </r>
  <r>
    <b v="1"/>
    <d v="1899-12-30T17:44:00"/>
    <d v="1899-12-30T20:02:00"/>
    <n v="138"/>
    <x v="0"/>
    <b v="1"/>
    <b v="1"/>
    <x v="0"/>
    <x v="0"/>
    <x v="0"/>
    <x v="0"/>
    <x v="0"/>
    <n v="0.05"/>
    <x v="0"/>
    <s v="All hours"/>
    <s v="Fresno, CA"/>
    <n v="36.7378"/>
    <n v="-119.7871"/>
    <d v="2023-06-05T00:00:00"/>
    <n v="3"/>
    <b v="1"/>
    <d v="2025-06-10T00:00:00"/>
    <x v="3"/>
    <x v="3"/>
  </r>
  <r>
    <b v="0"/>
    <d v="1899-12-30T18:01:00"/>
    <d v="1899-12-30T18:36:00"/>
    <n v="35"/>
    <x v="1"/>
    <b v="1"/>
    <b v="0"/>
    <x v="1"/>
    <x v="0"/>
    <x v="0"/>
    <x v="0"/>
    <x v="2"/>
    <n v="0.1"/>
    <x v="16"/>
    <s v="All hours"/>
    <s v="Sacramento, CA"/>
    <n v="38.581600000000002"/>
    <n v="-121.4944"/>
    <d v="2023-11-04T00:00:00"/>
    <n v="7"/>
    <b v="1"/>
    <d v="2025-06-19T00:00:00"/>
    <x v="2"/>
    <x v="2"/>
  </r>
  <r>
    <b v="0"/>
    <d v="1899-12-30T09:34:00"/>
    <d v="1899-12-30T10:11:00"/>
    <n v="37"/>
    <x v="0"/>
    <b v="0"/>
    <b v="0"/>
    <x v="0"/>
    <x v="0"/>
    <x v="1"/>
    <x v="6"/>
    <x v="1"/>
    <n v="0"/>
    <x v="12"/>
    <s v="All hours"/>
    <s v="Bakersfield, CA"/>
    <n v="35.3733"/>
    <n v="-119.0187"/>
    <d v="2025-06-12T00:00:00"/>
    <n v="0"/>
    <b v="1"/>
    <d v="2025-07-22T00:00:00"/>
    <x v="0"/>
    <x v="0"/>
  </r>
  <r>
    <b v="1"/>
    <d v="1899-12-30T11:37:00"/>
    <d v="1899-12-30T12:57:00"/>
    <n v="80"/>
    <x v="1"/>
    <b v="1"/>
    <b v="1"/>
    <x v="4"/>
    <x v="0"/>
    <x v="1"/>
    <x v="6"/>
    <x v="3"/>
    <n v="0.15"/>
    <x v="28"/>
    <s v="All hours"/>
    <s v="Oakland, CA"/>
    <n v="37.804400000000001"/>
    <n v="-122.27119999999999"/>
    <d v="2024-07-10T00:00:00"/>
    <n v="4"/>
    <b v="0"/>
    <d v="2025-07-03T00:00:00"/>
    <x v="1"/>
    <x v="1"/>
  </r>
  <r>
    <b v="0"/>
    <d v="1899-12-30T11:56:00"/>
    <d v="1899-12-30T13:42:00"/>
    <n v="106"/>
    <x v="0"/>
    <b v="1"/>
    <b v="1"/>
    <x v="4"/>
    <x v="1"/>
    <x v="0"/>
    <x v="1"/>
    <x v="0"/>
    <n v="0.05"/>
    <x v="7"/>
    <s v="Weekdays only"/>
    <s v="Fresno, CA"/>
    <n v="36.7378"/>
    <n v="-119.7871"/>
    <d v="2023-12-19T00:00:00"/>
    <n v="8"/>
    <b v="0"/>
    <d v="2025-06-21T00:00:00"/>
    <x v="3"/>
    <x v="3"/>
  </r>
  <r>
    <b v="0"/>
    <d v="1899-12-30T14:02:00"/>
    <d v="1899-12-30T16:28:00"/>
    <n v="146"/>
    <x v="0"/>
    <b v="0"/>
    <b v="1"/>
    <x v="4"/>
    <x v="1"/>
    <x v="1"/>
    <x v="4"/>
    <x v="0"/>
    <n v="0.05"/>
    <x v="11"/>
    <s v="Weekdays only"/>
    <s v="San Jose, CA"/>
    <n v="37.338200000000001"/>
    <n v="-121.88630000000001"/>
    <d v="2025-03-21T00:00:00"/>
    <n v="0"/>
    <b v="0"/>
    <d v="2025-07-17T00:00:00"/>
    <x v="1"/>
    <x v="1"/>
  </r>
  <r>
    <b v="0"/>
    <d v="1899-12-30T09:38:00"/>
    <d v="1899-12-30T10:45:00"/>
    <n v="67"/>
    <x v="0"/>
    <b v="1"/>
    <b v="1"/>
    <x v="0"/>
    <x v="0"/>
    <x v="1"/>
    <x v="6"/>
    <x v="0"/>
    <n v="0.05"/>
    <x v="10"/>
    <s v="All hours"/>
    <s v="San Diego, CA"/>
    <n v="32.715699999999998"/>
    <n v="-117.1611"/>
    <d v="2024-06-14T00:00:00"/>
    <n v="4"/>
    <b v="1"/>
    <d v="2025-07-01T00:00:00"/>
    <x v="3"/>
    <x v="3"/>
  </r>
  <r>
    <b v="1"/>
    <d v="1899-12-30T19:08:00"/>
    <d v="1899-12-30T21:32:00"/>
    <n v="144"/>
    <x v="1"/>
    <b v="0"/>
    <b v="0"/>
    <x v="0"/>
    <x v="0"/>
    <x v="0"/>
    <x v="0"/>
    <x v="1"/>
    <n v="0"/>
    <x v="5"/>
    <s v="All hours"/>
    <s v="San Diego, CA"/>
    <n v="32.715699999999998"/>
    <n v="-117.1611"/>
    <d v="2025-05-18T00:00:00"/>
    <n v="0"/>
    <b v="0"/>
    <d v="2025-07-21T00:00:00"/>
    <x v="2"/>
    <x v="2"/>
  </r>
  <r>
    <b v="1"/>
    <d v="1899-12-30T09:26:00"/>
    <d v="1899-12-30T10:35:00"/>
    <n v="69"/>
    <x v="0"/>
    <b v="0"/>
    <b v="0"/>
    <x v="2"/>
    <x v="3"/>
    <x v="0"/>
    <x v="3"/>
    <x v="1"/>
    <n v="0"/>
    <x v="4"/>
    <s v="All hours + Priority access"/>
    <s v="San Diego, CA"/>
    <n v="32.715699999999998"/>
    <n v="-117.1611"/>
    <d v="2025-03-31T00:00:00"/>
    <n v="0"/>
    <b v="1"/>
    <d v="2025-07-18T00:00:00"/>
    <x v="3"/>
    <x v="3"/>
  </r>
  <r>
    <b v="1"/>
    <d v="1899-12-30T10:54:00"/>
    <d v="1899-12-30T13:17:00"/>
    <n v="143"/>
    <x v="1"/>
    <b v="1"/>
    <b v="0"/>
    <x v="4"/>
    <x v="0"/>
    <x v="0"/>
    <x v="0"/>
    <x v="0"/>
    <n v="0.05"/>
    <x v="0"/>
    <s v="All hours"/>
    <s v="Long Beach, CA"/>
    <n v="33.770099999999999"/>
    <n v="-118.19370000000001"/>
    <d v="2024-04-26T00:00:00"/>
    <n v="1"/>
    <b v="1"/>
    <d v="2025-06-29T00:00:00"/>
    <x v="2"/>
    <x v="2"/>
  </r>
  <r>
    <b v="1"/>
    <d v="1899-12-30T09:23:00"/>
    <d v="1899-12-30T12:02:00"/>
    <n v="159"/>
    <x v="0"/>
    <b v="0"/>
    <b v="1"/>
    <x v="0"/>
    <x v="0"/>
    <x v="0"/>
    <x v="0"/>
    <x v="1"/>
    <n v="0"/>
    <x v="5"/>
    <s v="All hours"/>
    <s v="San Diego, CA"/>
    <n v="32.715699999999998"/>
    <n v="-117.1611"/>
    <d v="2025-02-01T00:00:00"/>
    <n v="0"/>
    <b v="1"/>
    <d v="2025-07-15T00:00:00"/>
    <x v="2"/>
    <x v="4"/>
  </r>
  <r>
    <b v="1"/>
    <d v="1899-12-30T12:17:00"/>
    <d v="1899-12-30T15:09:00"/>
    <n v="172"/>
    <x v="0"/>
    <b v="0"/>
    <b v="0"/>
    <x v="4"/>
    <x v="1"/>
    <x v="1"/>
    <x v="4"/>
    <x v="3"/>
    <n v="0.15"/>
    <x v="29"/>
    <s v="Weekdays only"/>
    <s v="Fresno, CA"/>
    <n v="36.7378"/>
    <n v="-119.7871"/>
    <d v="2023-10-27T00:00:00"/>
    <n v="0"/>
    <b v="1"/>
    <d v="2025-06-18T00:00:00"/>
    <x v="0"/>
    <x v="0"/>
  </r>
  <r>
    <b v="0"/>
    <d v="1899-12-30T11:25:00"/>
    <d v="1899-12-30T12:56:00"/>
    <n v="91"/>
    <x v="1"/>
    <b v="0"/>
    <b v="1"/>
    <x v="4"/>
    <x v="1"/>
    <x v="0"/>
    <x v="1"/>
    <x v="3"/>
    <n v="0.15"/>
    <x v="15"/>
    <s v="Weekdays only"/>
    <s v="Fresno, CA"/>
    <n v="36.7378"/>
    <n v="-119.7871"/>
    <d v="2023-06-19T00:00:00"/>
    <n v="0"/>
    <b v="0"/>
    <d v="2025-06-11T00:00:00"/>
    <x v="3"/>
    <x v="3"/>
  </r>
  <r>
    <b v="0"/>
    <d v="1899-12-30T19:44:00"/>
    <d v="1899-12-30T20:51:00"/>
    <n v="67"/>
    <x v="1"/>
    <b v="0"/>
    <b v="0"/>
    <x v="4"/>
    <x v="0"/>
    <x v="0"/>
    <x v="0"/>
    <x v="2"/>
    <n v="0.1"/>
    <x v="16"/>
    <s v="All hours"/>
    <s v="Oakland, CA"/>
    <n v="37.804400000000001"/>
    <n v="-122.27119999999999"/>
    <d v="2023-02-21T00:00:00"/>
    <n v="0"/>
    <b v="1"/>
    <d v="2025-06-04T00:00:00"/>
    <x v="0"/>
    <x v="0"/>
  </r>
  <r>
    <b v="0"/>
    <d v="1899-12-30T19:32:00"/>
    <d v="1899-12-30T20:18:00"/>
    <n v="46"/>
    <x v="1"/>
    <b v="0"/>
    <b v="0"/>
    <x v="2"/>
    <x v="0"/>
    <x v="0"/>
    <x v="0"/>
    <x v="1"/>
    <n v="0"/>
    <x v="5"/>
    <s v="All hours"/>
    <s v="San Jose, CA"/>
    <n v="37.338200000000001"/>
    <n v="-121.88630000000001"/>
    <d v="2024-11-21T00:00:00"/>
    <n v="0"/>
    <b v="1"/>
    <d v="2025-07-10T00:00:00"/>
    <x v="0"/>
    <x v="0"/>
  </r>
  <r>
    <b v="0"/>
    <d v="1899-12-30T12:32:00"/>
    <d v="1899-12-30T13:02:00"/>
    <n v="30"/>
    <x v="0"/>
    <b v="0"/>
    <b v="0"/>
    <x v="4"/>
    <x v="3"/>
    <x v="0"/>
    <x v="3"/>
    <x v="3"/>
    <n v="0.15"/>
    <x v="40"/>
    <s v="All hours + Priority access"/>
    <s v="Fresno, CA"/>
    <n v="36.7378"/>
    <n v="-119.7871"/>
    <d v="2024-12-26T00:00:00"/>
    <n v="0"/>
    <b v="1"/>
    <d v="2025-07-12T00:00:00"/>
    <x v="1"/>
    <x v="1"/>
  </r>
  <r>
    <b v="1"/>
    <d v="1899-12-30T20:15:00"/>
    <d v="1899-12-30T23:14:00"/>
    <n v="179"/>
    <x v="1"/>
    <b v="0"/>
    <b v="1"/>
    <x v="0"/>
    <x v="1"/>
    <x v="0"/>
    <x v="1"/>
    <x v="0"/>
    <n v="0.05"/>
    <x v="7"/>
    <s v="Weekdays only"/>
    <s v="Fresno, CA"/>
    <n v="36.7378"/>
    <n v="-119.7871"/>
    <d v="2025-03-03T00:00:00"/>
    <n v="0"/>
    <b v="1"/>
    <d v="2025-07-16T00:00:00"/>
    <x v="3"/>
    <x v="3"/>
  </r>
  <r>
    <b v="1"/>
    <d v="1899-12-30T11:28:00"/>
    <d v="1899-12-30T13:10:00"/>
    <n v="102"/>
    <x v="1"/>
    <b v="1"/>
    <b v="1"/>
    <x v="4"/>
    <x v="1"/>
    <x v="1"/>
    <x v="4"/>
    <x v="3"/>
    <n v="0.15"/>
    <x v="29"/>
    <s v="Weekdays only"/>
    <s v="Oakland, CA"/>
    <n v="37.804400000000001"/>
    <n v="-122.27119999999999"/>
    <d v="2023-08-15T00:00:00"/>
    <n v="1"/>
    <b v="0"/>
    <d v="2025-06-14T00:00:00"/>
    <x v="0"/>
    <x v="0"/>
  </r>
  <r>
    <b v="0"/>
    <d v="1899-12-30T19:59:00"/>
    <d v="1899-12-30T20:40:00"/>
    <n v="41"/>
    <x v="0"/>
    <b v="1"/>
    <b v="0"/>
    <x v="0"/>
    <x v="1"/>
    <x v="1"/>
    <x v="4"/>
    <x v="0"/>
    <n v="0.05"/>
    <x v="11"/>
    <s v="Weekdays only"/>
    <s v="Anaheim, CA"/>
    <n v="33.836599999999997"/>
    <n v="-117.9143"/>
    <d v="2023-06-01T00:00:00"/>
    <n v="4"/>
    <b v="0"/>
    <d v="2025-06-10T00:00:00"/>
    <x v="3"/>
    <x v="3"/>
  </r>
  <r>
    <b v="1"/>
    <d v="1899-12-30T14:34:00"/>
    <d v="1899-12-30T15:04:00"/>
    <n v="30"/>
    <x v="1"/>
    <b v="1"/>
    <b v="1"/>
    <x v="0"/>
    <x v="0"/>
    <x v="1"/>
    <x v="6"/>
    <x v="1"/>
    <n v="0"/>
    <x v="12"/>
    <s v="All hours"/>
    <s v="Long Beach, CA"/>
    <n v="33.770099999999999"/>
    <n v="-118.19370000000001"/>
    <d v="2025-05-20T00:00:00"/>
    <n v="2"/>
    <b v="0"/>
    <d v="2025-07-21T00:00:00"/>
    <x v="3"/>
    <x v="3"/>
  </r>
  <r>
    <b v="1"/>
    <d v="1899-12-30T12:26:00"/>
    <d v="1899-12-30T13:45:00"/>
    <n v="79"/>
    <x v="0"/>
    <b v="0"/>
    <b v="0"/>
    <x v="4"/>
    <x v="2"/>
    <x v="0"/>
    <x v="2"/>
    <x v="1"/>
    <n v="0"/>
    <x v="3"/>
    <s v="Off-peak only"/>
    <s v="Fresno, CA"/>
    <n v="36.7378"/>
    <n v="-119.7871"/>
    <d v="2022-09-29T00:00:00"/>
    <n v="0"/>
    <b v="0"/>
    <d v="2025-05-27T00:00:00"/>
    <x v="3"/>
    <x v="3"/>
  </r>
  <r>
    <b v="1"/>
    <d v="1899-12-30T20:23:00"/>
    <d v="1899-12-30T21:30:00"/>
    <n v="67"/>
    <x v="1"/>
    <b v="1"/>
    <b v="1"/>
    <x v="0"/>
    <x v="0"/>
    <x v="1"/>
    <x v="6"/>
    <x v="1"/>
    <n v="0"/>
    <x v="12"/>
    <s v="All hours"/>
    <s v="Oakland, CA"/>
    <n v="37.804400000000001"/>
    <n v="-122.27119999999999"/>
    <d v="2025-04-28T00:00:00"/>
    <n v="3"/>
    <b v="1"/>
    <d v="2025-07-19T00:00:00"/>
    <x v="2"/>
    <x v="4"/>
  </r>
  <r>
    <b v="0"/>
    <d v="1899-12-30T17:44:00"/>
    <d v="1899-12-30T18:20:00"/>
    <n v="36"/>
    <x v="1"/>
    <b v="1"/>
    <b v="0"/>
    <x v="0"/>
    <x v="3"/>
    <x v="2"/>
    <x v="9"/>
    <x v="3"/>
    <n v="0.15"/>
    <x v="19"/>
    <s v="All hours + Priority access"/>
    <s v="Anaheim, CA"/>
    <n v="33.836599999999997"/>
    <n v="-117.9143"/>
    <d v="2023-11-24T00:00:00"/>
    <n v="7"/>
    <b v="1"/>
    <d v="2025-06-20T00:00:00"/>
    <x v="2"/>
    <x v="2"/>
  </r>
  <r>
    <b v="1"/>
    <d v="1899-12-30T16:01:00"/>
    <d v="1899-12-30T18:11:00"/>
    <n v="130"/>
    <x v="1"/>
    <b v="0"/>
    <b v="1"/>
    <x v="0"/>
    <x v="1"/>
    <x v="1"/>
    <x v="4"/>
    <x v="2"/>
    <n v="0.1"/>
    <x v="26"/>
    <s v="Weekdays only"/>
    <s v="Bakersfield, CA"/>
    <n v="35.3733"/>
    <n v="-119.0187"/>
    <d v="2023-05-29T00:00:00"/>
    <n v="0"/>
    <b v="0"/>
    <d v="2025-06-10T00:00:00"/>
    <x v="1"/>
    <x v="1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2-12-08T00:00:00"/>
    <n v="0"/>
    <b v="0"/>
    <d v="2025-05-31T00:00:00"/>
    <x v="3"/>
    <x v="3"/>
  </r>
  <r>
    <b v="0"/>
    <d v="1899-12-30T16:54:00"/>
    <d v="1899-12-30T18:53:00"/>
    <n v="119"/>
    <x v="0"/>
    <b v="1"/>
    <b v="1"/>
    <x v="4"/>
    <x v="0"/>
    <x v="1"/>
    <x v="6"/>
    <x v="2"/>
    <n v="0.1"/>
    <x v="30"/>
    <s v="All hours"/>
    <s v="San Francisco, CA"/>
    <n v="37.774900000000002"/>
    <n v="-122.4194"/>
    <d v="2023-05-24T00:00:00"/>
    <n v="1"/>
    <b v="1"/>
    <d v="2025-06-10T00:00:00"/>
    <x v="2"/>
    <x v="4"/>
  </r>
  <r>
    <b v="0"/>
    <d v="1899-12-30T18:39:00"/>
    <d v="1899-12-30T20:54:00"/>
    <n v="135"/>
    <x v="0"/>
    <b v="0"/>
    <b v="0"/>
    <x v="0"/>
    <x v="3"/>
    <x v="2"/>
    <x v="9"/>
    <x v="1"/>
    <n v="0"/>
    <x v="22"/>
    <s v="All hours + Priority access"/>
    <s v="Bakersfield, CA"/>
    <n v="35.3733"/>
    <n v="-119.0187"/>
    <d v="2023-02-20T00:00:00"/>
    <n v="0"/>
    <b v="1"/>
    <d v="2025-06-04T00:00:00"/>
    <x v="2"/>
    <x v="2"/>
  </r>
  <r>
    <b v="1"/>
    <d v="1899-12-30T12:51:00"/>
    <d v="1899-12-30T14:37:00"/>
    <n v="106"/>
    <x v="0"/>
    <b v="1"/>
    <b v="1"/>
    <x v="1"/>
    <x v="0"/>
    <x v="0"/>
    <x v="0"/>
    <x v="2"/>
    <n v="0.1"/>
    <x v="16"/>
    <s v="All hours"/>
    <s v="Oakland, CA"/>
    <n v="37.804400000000001"/>
    <n v="-122.27119999999999"/>
    <d v="2024-06-26T00:00:00"/>
    <n v="7"/>
    <b v="1"/>
    <d v="2025-07-02T00:00:00"/>
    <x v="0"/>
    <x v="0"/>
  </r>
  <r>
    <b v="0"/>
    <d v="1899-12-30T11:37:00"/>
    <d v="1899-12-30T14:23:00"/>
    <n v="166"/>
    <x v="0"/>
    <b v="1"/>
    <b v="1"/>
    <x v="0"/>
    <x v="0"/>
    <x v="0"/>
    <x v="0"/>
    <x v="1"/>
    <n v="0"/>
    <x v="5"/>
    <s v="All hours"/>
    <s v="San Jose, CA"/>
    <n v="37.338200000000001"/>
    <n v="-121.88630000000001"/>
    <d v="2023-02-06T00:00:00"/>
    <n v="2"/>
    <b v="1"/>
    <d v="2025-06-04T00:00:00"/>
    <x v="0"/>
    <x v="0"/>
  </r>
  <r>
    <b v="0"/>
    <d v="1899-12-30T14:11:00"/>
    <d v="1899-12-30T15:11:00"/>
    <n v="60"/>
    <x v="1"/>
    <b v="0"/>
    <b v="0"/>
    <x v="4"/>
    <x v="1"/>
    <x v="2"/>
    <x v="8"/>
    <x v="2"/>
    <n v="0.1"/>
    <x v="33"/>
    <s v="Weekdays only"/>
    <s v="Anaheim, CA"/>
    <n v="33.836599999999997"/>
    <n v="-117.9143"/>
    <d v="2025-03-29T00:00:00"/>
    <n v="0"/>
    <b v="0"/>
    <d v="2025-07-18T00:00:00"/>
    <x v="3"/>
    <x v="3"/>
  </r>
  <r>
    <b v="0"/>
    <d v="1899-12-30T19:30:00"/>
    <d v="1899-12-30T21:59:00"/>
    <n v="149"/>
    <x v="1"/>
    <b v="0"/>
    <b v="1"/>
    <x v="0"/>
    <x v="3"/>
    <x v="1"/>
    <x v="11"/>
    <x v="1"/>
    <n v="0"/>
    <x v="38"/>
    <s v="All hours + Priority access"/>
    <s v="Fresno, CA"/>
    <n v="36.7378"/>
    <n v="-119.7871"/>
    <d v="2022-11-13T00:00:00"/>
    <n v="0"/>
    <b v="0"/>
    <d v="2025-05-30T00:00:00"/>
    <x v="1"/>
    <x v="1"/>
  </r>
  <r>
    <b v="1"/>
    <d v="1899-12-30T20:44:00"/>
    <d v="1899-12-30T22:22:00"/>
    <n v="98"/>
    <x v="1"/>
    <b v="1"/>
    <b v="1"/>
    <x v="4"/>
    <x v="2"/>
    <x v="1"/>
    <x v="5"/>
    <x v="1"/>
    <n v="0"/>
    <x v="14"/>
    <s v="Off-peak only"/>
    <s v="Oakland, CA"/>
    <n v="37.804400000000001"/>
    <n v="-122.27119999999999"/>
    <d v="2023-11-17T00:00:00"/>
    <n v="7"/>
    <b v="1"/>
    <d v="2025-06-20T00:00:00"/>
    <x v="1"/>
    <x v="1"/>
  </r>
  <r>
    <b v="1"/>
    <d v="1899-12-30T11:43:00"/>
    <d v="1899-12-30T12:27:00"/>
    <n v="44"/>
    <x v="1"/>
    <b v="0"/>
    <b v="0"/>
    <x v="4"/>
    <x v="2"/>
    <x v="0"/>
    <x v="2"/>
    <x v="1"/>
    <n v="0"/>
    <x v="3"/>
    <s v="Off-peak only"/>
    <s v="San Jose, CA"/>
    <n v="37.338200000000001"/>
    <n v="-121.88630000000001"/>
    <d v="2023-02-03T00:00:00"/>
    <n v="0"/>
    <b v="0"/>
    <d v="2025-06-03T00:00:00"/>
    <x v="3"/>
    <x v="3"/>
  </r>
  <r>
    <b v="1"/>
    <d v="1899-12-30T09:41:00"/>
    <d v="1899-12-30T12:38:00"/>
    <n v="177"/>
    <x v="1"/>
    <b v="1"/>
    <b v="1"/>
    <x v="2"/>
    <x v="0"/>
    <x v="0"/>
    <x v="0"/>
    <x v="2"/>
    <n v="0.1"/>
    <x v="16"/>
    <s v="All hours"/>
    <s v="Oakland, CA"/>
    <n v="37.804400000000001"/>
    <n v="-122.27119999999999"/>
    <d v="2024-02-27T00:00:00"/>
    <n v="5"/>
    <b v="0"/>
    <d v="2025-06-25T00:00:00"/>
    <x v="0"/>
    <x v="0"/>
  </r>
  <r>
    <b v="0"/>
    <d v="1899-12-30T14:33:00"/>
    <d v="1899-12-30T15:10:00"/>
    <n v="37"/>
    <x v="0"/>
    <b v="0"/>
    <b v="0"/>
    <x v="1"/>
    <x v="2"/>
    <x v="0"/>
    <x v="2"/>
    <x v="0"/>
    <n v="0.05"/>
    <x v="18"/>
    <s v="Off-peak only"/>
    <s v="Sacramento, CA"/>
    <n v="38.581600000000002"/>
    <n v="-121.4944"/>
    <d v="2023-08-07T00:00:00"/>
    <n v="0"/>
    <b v="0"/>
    <d v="2025-06-14T00:00:00"/>
    <x v="1"/>
    <x v="1"/>
  </r>
  <r>
    <b v="0"/>
    <d v="1899-12-30T14:12:00"/>
    <d v="1899-12-30T15:26:00"/>
    <n v="74"/>
    <x v="1"/>
    <b v="0"/>
    <b v="0"/>
    <x v="4"/>
    <x v="2"/>
    <x v="0"/>
    <x v="2"/>
    <x v="0"/>
    <n v="0.05"/>
    <x v="18"/>
    <s v="Off-peak only"/>
    <s v="Oakland, CA"/>
    <n v="37.804400000000001"/>
    <n v="-122.27119999999999"/>
    <d v="2023-12-10T00:00:00"/>
    <n v="0"/>
    <b v="0"/>
    <d v="2025-06-21T00:00:00"/>
    <x v="3"/>
    <x v="3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3-05-05T00:00:00"/>
    <n v="1"/>
    <b v="1"/>
    <d v="2025-06-09T00:00:00"/>
    <x v="3"/>
    <x v="3"/>
  </r>
  <r>
    <b v="1"/>
    <d v="1899-12-30T18:41:00"/>
    <d v="1899-12-30T21:00:00"/>
    <n v="139"/>
    <x v="1"/>
    <b v="1"/>
    <b v="1"/>
    <x v="4"/>
    <x v="0"/>
    <x v="2"/>
    <x v="10"/>
    <x v="1"/>
    <n v="0"/>
    <x v="16"/>
    <s v="All hours"/>
    <s v="Anaheim, CA"/>
    <n v="33.836599999999997"/>
    <n v="-117.9143"/>
    <d v="2025-03-28T00:00:00"/>
    <n v="2"/>
    <b v="1"/>
    <d v="2025-07-18T00:00:00"/>
    <x v="3"/>
    <x v="3"/>
  </r>
  <r>
    <b v="0"/>
    <d v="1899-12-30T17:13:00"/>
    <d v="1899-12-30T18:24:00"/>
    <n v="71"/>
    <x v="0"/>
    <b v="0"/>
    <b v="1"/>
    <x v="2"/>
    <x v="1"/>
    <x v="1"/>
    <x v="4"/>
    <x v="0"/>
    <n v="0.05"/>
    <x v="11"/>
    <s v="Weekdays only"/>
    <s v="San Diego, CA"/>
    <n v="32.715699999999998"/>
    <n v="-117.1611"/>
    <d v="2025-04-19T00:00:00"/>
    <n v="0"/>
    <b v="0"/>
    <d v="2025-07-19T00:00:00"/>
    <x v="3"/>
    <x v="3"/>
  </r>
  <r>
    <b v="0"/>
    <d v="1899-12-30T08:34:00"/>
    <d v="1899-12-30T10:49:00"/>
    <n v="135"/>
    <x v="0"/>
    <b v="0"/>
    <b v="1"/>
    <x v="4"/>
    <x v="1"/>
    <x v="2"/>
    <x v="8"/>
    <x v="1"/>
    <n v="0"/>
    <x v="2"/>
    <s v="Weekdays only"/>
    <s v="San Diego, CA"/>
    <n v="32.715699999999998"/>
    <n v="-117.1611"/>
    <d v="2024-10-02T00:00:00"/>
    <n v="0"/>
    <b v="1"/>
    <d v="2025-07-08T00:00:00"/>
    <x v="2"/>
    <x v="4"/>
  </r>
  <r>
    <b v="1"/>
    <d v="1899-12-30T08:39:00"/>
    <d v="1899-12-30T09:38:00"/>
    <n v="59"/>
    <x v="1"/>
    <b v="1"/>
    <b v="1"/>
    <x v="3"/>
    <x v="0"/>
    <x v="1"/>
    <x v="6"/>
    <x v="2"/>
    <n v="0.1"/>
    <x v="30"/>
    <s v="All hours"/>
    <s v="San Diego, CA"/>
    <n v="32.715699999999998"/>
    <n v="-117.1611"/>
    <d v="2025-01-04T00:00:00"/>
    <n v="2"/>
    <b v="0"/>
    <d v="2025-07-13T00:00:00"/>
    <x v="0"/>
    <x v="0"/>
  </r>
  <r>
    <b v="0"/>
    <d v="1899-12-30T17:30:00"/>
    <d v="1899-12-30T20:14:00"/>
    <n v="164"/>
    <x v="0"/>
    <b v="1"/>
    <b v="1"/>
    <x v="4"/>
    <x v="0"/>
    <x v="0"/>
    <x v="0"/>
    <x v="1"/>
    <n v="0"/>
    <x v="5"/>
    <s v="All hours"/>
    <s v="Los Angeles, CA"/>
    <n v="34.052199999999999"/>
    <n v="-118.2437"/>
    <d v="2022-12-07T00:00:00"/>
    <n v="3"/>
    <b v="1"/>
    <d v="2025-05-31T00:00:00"/>
    <x v="1"/>
    <x v="1"/>
  </r>
  <r>
    <b v="1"/>
    <d v="1899-12-30T14:22:00"/>
    <d v="1899-12-30T15:43:00"/>
    <n v="81"/>
    <x v="1"/>
    <b v="0"/>
    <b v="0"/>
    <x v="1"/>
    <x v="0"/>
    <x v="1"/>
    <x v="6"/>
    <x v="0"/>
    <n v="0.05"/>
    <x v="10"/>
    <s v="All hours"/>
    <s v="Oakland, CA"/>
    <n v="37.804400000000001"/>
    <n v="-122.27119999999999"/>
    <d v="2024-11-01T00:00:00"/>
    <n v="0"/>
    <b v="1"/>
    <d v="2025-07-09T00:00:00"/>
    <x v="1"/>
    <x v="1"/>
  </r>
  <r>
    <b v="0"/>
    <d v="1899-12-30T17:07:00"/>
    <d v="1899-12-30T17:55:00"/>
    <n v="48"/>
    <x v="0"/>
    <b v="0"/>
    <b v="1"/>
    <x v="2"/>
    <x v="0"/>
    <x v="2"/>
    <x v="10"/>
    <x v="0"/>
    <n v="0.05"/>
    <x v="42"/>
    <s v="All hours"/>
    <s v="San Diego, CA"/>
    <n v="32.715699999999998"/>
    <n v="-117.1611"/>
    <d v="2022-08-18T00:00:00"/>
    <n v="0"/>
    <b v="1"/>
    <d v="2025-05-25T00:00:00"/>
    <x v="1"/>
    <x v="1"/>
  </r>
  <r>
    <b v="0"/>
    <d v="1899-12-30T17:34:00"/>
    <d v="1899-12-30T18:06:00"/>
    <n v="32"/>
    <x v="1"/>
    <b v="1"/>
    <b v="0"/>
    <x v="4"/>
    <x v="1"/>
    <x v="0"/>
    <x v="1"/>
    <x v="3"/>
    <n v="0.15"/>
    <x v="15"/>
    <s v="Weekdays only"/>
    <s v="Bakersfield, CA"/>
    <n v="35.3733"/>
    <n v="-119.0187"/>
    <d v="2024-06-29T00:00:00"/>
    <n v="3"/>
    <b v="0"/>
    <d v="2025-07-02T00:00:00"/>
    <x v="1"/>
    <x v="1"/>
  </r>
  <r>
    <b v="1"/>
    <d v="1899-12-30T19:57:00"/>
    <d v="1899-12-30T21:28:00"/>
    <n v="91"/>
    <x v="1"/>
    <b v="0"/>
    <b v="0"/>
    <x v="0"/>
    <x v="2"/>
    <x v="0"/>
    <x v="2"/>
    <x v="2"/>
    <n v="0.1"/>
    <x v="6"/>
    <s v="Off-peak only"/>
    <s v="Bakersfield, CA"/>
    <n v="35.3733"/>
    <n v="-119.0187"/>
    <d v="2024-12-11T00:00:00"/>
    <n v="0"/>
    <b v="0"/>
    <d v="2025-07-12T00:00:00"/>
    <x v="2"/>
    <x v="4"/>
  </r>
  <r>
    <b v="0"/>
    <d v="1899-12-30T16:33:00"/>
    <d v="1899-12-30T18:03:00"/>
    <n v="90"/>
    <x v="0"/>
    <b v="0"/>
    <b v="0"/>
    <x v="0"/>
    <x v="0"/>
    <x v="0"/>
    <x v="0"/>
    <x v="0"/>
    <n v="0.05"/>
    <x v="0"/>
    <s v="All hours"/>
    <s v="Long Beach, CA"/>
    <n v="33.770099999999999"/>
    <n v="-118.19370000000001"/>
    <d v="2023-03-04T00:00:00"/>
    <n v="0"/>
    <b v="1"/>
    <d v="2025-06-05T00:00:00"/>
    <x v="3"/>
    <x v="3"/>
  </r>
  <r>
    <b v="1"/>
    <d v="1899-12-30T20:37:00"/>
    <d v="1899-12-30T21:48:00"/>
    <n v="71"/>
    <x v="0"/>
    <b v="1"/>
    <b v="1"/>
    <x v="3"/>
    <x v="1"/>
    <x v="0"/>
    <x v="1"/>
    <x v="1"/>
    <n v="0"/>
    <x v="1"/>
    <s v="Weekdays only"/>
    <s v="San Jose, CA"/>
    <n v="37.338200000000001"/>
    <n v="-121.88630000000001"/>
    <d v="2023-07-22T00:00:00"/>
    <n v="5"/>
    <b v="0"/>
    <d v="2025-06-13T00:00:00"/>
    <x v="0"/>
    <x v="0"/>
  </r>
  <r>
    <b v="1"/>
    <d v="1899-12-30T17:47:00"/>
    <d v="1899-12-30T19:28:00"/>
    <n v="101"/>
    <x v="0"/>
    <b v="0"/>
    <b v="1"/>
    <x v="4"/>
    <x v="0"/>
    <x v="2"/>
    <x v="10"/>
    <x v="2"/>
    <n v="0.1"/>
    <x v="34"/>
    <s v="All hours"/>
    <s v="Fresno, CA"/>
    <n v="36.7378"/>
    <n v="-119.7871"/>
    <d v="2024-01-09T00:00:00"/>
    <n v="0"/>
    <b v="0"/>
    <d v="2025-06-23T00:00:00"/>
    <x v="1"/>
    <x v="1"/>
  </r>
  <r>
    <b v="1"/>
    <d v="1899-12-30T15:59:00"/>
    <d v="1899-12-30T18:46:00"/>
    <n v="167"/>
    <x v="0"/>
    <b v="1"/>
    <b v="1"/>
    <x v="4"/>
    <x v="1"/>
    <x v="0"/>
    <x v="1"/>
    <x v="3"/>
    <n v="0.15"/>
    <x v="15"/>
    <s v="Weekdays only"/>
    <s v="San Francisco, CA"/>
    <n v="37.774900000000002"/>
    <n v="-122.4194"/>
    <d v="2023-11-09T00:00:00"/>
    <n v="2"/>
    <b v="0"/>
    <d v="2025-06-19T00:00:00"/>
    <x v="0"/>
    <x v="0"/>
  </r>
  <r>
    <b v="0"/>
    <d v="1899-12-30T20:34:00"/>
    <d v="1899-12-30T21:40:00"/>
    <n v="66"/>
    <x v="0"/>
    <b v="1"/>
    <b v="1"/>
    <x v="1"/>
    <x v="0"/>
    <x v="2"/>
    <x v="10"/>
    <x v="2"/>
    <n v="0.1"/>
    <x v="34"/>
    <s v="All hours"/>
    <s v="Sacramento, CA"/>
    <n v="38.581600000000002"/>
    <n v="-121.4944"/>
    <d v="2023-05-19T00:00:00"/>
    <n v="6"/>
    <b v="1"/>
    <d v="2025-06-09T00:00:00"/>
    <x v="1"/>
    <x v="1"/>
  </r>
  <r>
    <b v="1"/>
    <d v="1899-12-30T16:59:00"/>
    <d v="1899-12-30T18:31:00"/>
    <n v="92"/>
    <x v="1"/>
    <b v="1"/>
    <b v="0"/>
    <x v="2"/>
    <x v="1"/>
    <x v="1"/>
    <x v="4"/>
    <x v="3"/>
    <n v="0.15"/>
    <x v="29"/>
    <s v="Weekdays only"/>
    <s v="Long Beach, CA"/>
    <n v="33.770099999999999"/>
    <n v="-118.19370000000001"/>
    <d v="2024-10-22T00:00:00"/>
    <n v="2"/>
    <b v="1"/>
    <d v="2025-07-09T00:00:00"/>
    <x v="1"/>
    <x v="1"/>
  </r>
  <r>
    <b v="1"/>
    <d v="1899-12-30T11:36:00"/>
    <d v="1899-12-30T14:23:00"/>
    <n v="167"/>
    <x v="0"/>
    <b v="0"/>
    <b v="0"/>
    <x v="4"/>
    <x v="2"/>
    <x v="1"/>
    <x v="5"/>
    <x v="1"/>
    <n v="0"/>
    <x v="14"/>
    <s v="Off-peak only"/>
    <s v="Anaheim, CA"/>
    <n v="33.836599999999997"/>
    <n v="-117.9143"/>
    <d v="2022-07-27T00:00:00"/>
    <n v="0"/>
    <b v="0"/>
    <d v="2025-05-24T00:00:00"/>
    <x v="3"/>
    <x v="3"/>
  </r>
  <r>
    <b v="0"/>
    <d v="1899-12-30T12:01:00"/>
    <d v="1899-12-30T14:07:00"/>
    <n v="126"/>
    <x v="0"/>
    <b v="0"/>
    <b v="1"/>
    <x v="4"/>
    <x v="1"/>
    <x v="1"/>
    <x v="4"/>
    <x v="1"/>
    <n v="0"/>
    <x v="8"/>
    <s v="Weekdays only"/>
    <s v="San Francisco, CA"/>
    <n v="37.774900000000002"/>
    <n v="-122.4194"/>
    <d v="2022-08-19T00:00:00"/>
    <n v="0"/>
    <b v="1"/>
    <d v="2025-05-25T00:00:00"/>
    <x v="0"/>
    <x v="0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3-07-31T00:00:00"/>
    <n v="3"/>
    <b v="1"/>
    <d v="2025-06-13T00:00:00"/>
    <x v="2"/>
    <x v="2"/>
  </r>
  <r>
    <b v="1"/>
    <d v="1899-12-30T10:33:00"/>
    <d v="1899-12-30T12:57:00"/>
    <n v="144"/>
    <x v="1"/>
    <b v="0"/>
    <b v="1"/>
    <x v="3"/>
    <x v="0"/>
    <x v="1"/>
    <x v="6"/>
    <x v="1"/>
    <n v="0"/>
    <x v="12"/>
    <s v="All hours"/>
    <s v="Long Beach, CA"/>
    <n v="33.770099999999999"/>
    <n v="-118.19370000000001"/>
    <d v="2024-11-22T00:00:00"/>
    <n v="0"/>
    <b v="0"/>
    <d v="2025-07-11T00:00:00"/>
    <x v="2"/>
    <x v="4"/>
  </r>
  <r>
    <b v="1"/>
    <d v="1899-12-30T11:55:00"/>
    <d v="1899-12-30T12:55:00"/>
    <n v="60"/>
    <x v="0"/>
    <b v="0"/>
    <b v="1"/>
    <x v="4"/>
    <x v="2"/>
    <x v="1"/>
    <x v="5"/>
    <x v="0"/>
    <n v="0.05"/>
    <x v="9"/>
    <s v="Off-peak only"/>
    <s v="Long Beach, CA"/>
    <n v="33.770099999999999"/>
    <n v="-118.19370000000001"/>
    <d v="2023-06-29T00:00:00"/>
    <n v="0"/>
    <b v="0"/>
    <d v="2025-06-12T00:00:00"/>
    <x v="2"/>
    <x v="4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5-04-07T00:00:00"/>
    <n v="6"/>
    <b v="1"/>
    <d v="2025-07-18T00:00:00"/>
    <x v="3"/>
    <x v="3"/>
  </r>
  <r>
    <b v="1"/>
    <d v="1899-12-30T16:59:00"/>
    <d v="1899-12-30T18:31:00"/>
    <n v="92"/>
    <x v="1"/>
    <b v="1"/>
    <b v="0"/>
    <x v="2"/>
    <x v="1"/>
    <x v="1"/>
    <x v="4"/>
    <x v="3"/>
    <n v="0.15"/>
    <x v="29"/>
    <s v="Weekdays only"/>
    <s v="Long Beach, CA"/>
    <n v="33.770099999999999"/>
    <n v="-118.19370000000001"/>
    <d v="2025-05-21T00:00:00"/>
    <n v="1"/>
    <b v="0"/>
    <d v="2025-07-21T00:00:00"/>
    <x v="1"/>
    <x v="1"/>
  </r>
  <r>
    <b v="1"/>
    <d v="1899-12-30T14:53:00"/>
    <d v="1899-12-30T17:02:00"/>
    <n v="129"/>
    <x v="1"/>
    <b v="0"/>
    <b v="1"/>
    <x v="0"/>
    <x v="2"/>
    <x v="0"/>
    <x v="2"/>
    <x v="1"/>
    <n v="0"/>
    <x v="3"/>
    <s v="Off-peak only"/>
    <s v="Los Angeles, CA"/>
    <n v="34.052199999999999"/>
    <n v="-118.2437"/>
    <d v="2024-09-21T00:00:00"/>
    <n v="0"/>
    <b v="0"/>
    <d v="2025-07-07T00:00:00"/>
    <x v="2"/>
    <x v="2"/>
  </r>
  <r>
    <b v="0"/>
    <d v="1899-12-30T10:17:00"/>
    <d v="1899-12-30T11:47:00"/>
    <n v="90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4-02-16T00:00:00"/>
    <n v="1"/>
    <b v="0"/>
    <d v="2025-06-25T00:00:00"/>
    <x v="3"/>
    <x v="3"/>
  </r>
  <r>
    <b v="0"/>
    <d v="1899-12-30T08:34:00"/>
    <d v="1899-12-30T10:49:00"/>
    <n v="135"/>
    <x v="0"/>
    <b v="0"/>
    <b v="1"/>
    <x v="4"/>
    <x v="1"/>
    <x v="2"/>
    <x v="8"/>
    <x v="1"/>
    <n v="0"/>
    <x v="2"/>
    <s v="Weekdays only"/>
    <s v="San Diego, CA"/>
    <n v="32.715699999999998"/>
    <n v="-117.1611"/>
    <d v="2022-12-11T00:00:00"/>
    <n v="0"/>
    <b v="0"/>
    <d v="2025-05-31T00:00:00"/>
    <x v="2"/>
    <x v="4"/>
  </r>
  <r>
    <b v="1"/>
    <d v="1899-12-30T16:21:00"/>
    <d v="1899-12-30T17:38:00"/>
    <n v="77"/>
    <x v="0"/>
    <b v="1"/>
    <b v="0"/>
    <x v="4"/>
    <x v="0"/>
    <x v="0"/>
    <x v="0"/>
    <x v="2"/>
    <n v="0.1"/>
    <x v="16"/>
    <s v="All hours"/>
    <s v="San Diego, CA"/>
    <n v="32.715699999999998"/>
    <n v="-117.1611"/>
    <d v="2023-05-10T00:00:00"/>
    <n v="7"/>
    <b v="0"/>
    <d v="2025-06-09T00:00:00"/>
    <x v="2"/>
    <x v="2"/>
  </r>
  <r>
    <b v="1"/>
    <d v="1899-12-30T20:23:00"/>
    <d v="1899-12-30T21:08:00"/>
    <n v="45"/>
    <x v="1"/>
    <b v="0"/>
    <b v="1"/>
    <x v="0"/>
    <x v="0"/>
    <x v="0"/>
    <x v="0"/>
    <x v="3"/>
    <n v="0.15"/>
    <x v="27"/>
    <s v="All hours"/>
    <s v="San Jose, CA"/>
    <n v="37.338200000000001"/>
    <n v="-121.88630000000001"/>
    <d v="2023-04-24T00:00:00"/>
    <n v="0"/>
    <b v="1"/>
    <d v="2025-06-08T00:00:00"/>
    <x v="0"/>
    <x v="0"/>
  </r>
  <r>
    <b v="0"/>
    <d v="1899-12-30T11:31:00"/>
    <d v="1899-12-30T12:13:00"/>
    <n v="42"/>
    <x v="1"/>
    <b v="1"/>
    <b v="1"/>
    <x v="0"/>
    <x v="0"/>
    <x v="0"/>
    <x v="0"/>
    <x v="0"/>
    <n v="0.05"/>
    <x v="0"/>
    <s v="All hours"/>
    <s v="San Jose, CA"/>
    <n v="37.338200000000001"/>
    <n v="-121.88630000000001"/>
    <d v="2024-03-26T00:00:00"/>
    <n v="4"/>
    <b v="1"/>
    <d v="2025-06-27T00:00:00"/>
    <x v="3"/>
    <x v="3"/>
  </r>
  <r>
    <b v="1"/>
    <d v="1899-12-30T16:18:00"/>
    <d v="1899-12-30T17:35:00"/>
    <n v="77"/>
    <x v="1"/>
    <b v="0"/>
    <b v="0"/>
    <x v="0"/>
    <x v="0"/>
    <x v="0"/>
    <x v="0"/>
    <x v="1"/>
    <n v="0"/>
    <x v="5"/>
    <s v="All hours"/>
    <s v="San Jose, CA"/>
    <n v="37.338200000000001"/>
    <n v="-121.88630000000001"/>
    <d v="2024-06-19T00:00:00"/>
    <n v="0"/>
    <b v="1"/>
    <d v="2025-07-02T00:00:00"/>
    <x v="0"/>
    <x v="0"/>
  </r>
  <r>
    <b v="0"/>
    <d v="1899-12-30T08:40:00"/>
    <d v="1899-12-30T10:15:00"/>
    <n v="95"/>
    <x v="0"/>
    <b v="1"/>
    <b v="1"/>
    <x v="4"/>
    <x v="0"/>
    <x v="1"/>
    <x v="6"/>
    <x v="3"/>
    <n v="0.15"/>
    <x v="28"/>
    <s v="All hours"/>
    <s v="San Francisco, CA"/>
    <n v="37.774900000000002"/>
    <n v="-122.4194"/>
    <d v="2024-05-23T00:00:00"/>
    <n v="3"/>
    <b v="1"/>
    <d v="2025-06-30T00:00:00"/>
    <x v="2"/>
    <x v="4"/>
  </r>
  <r>
    <b v="0"/>
    <d v="1899-12-30T15:41:00"/>
    <d v="1899-12-30T17:45:00"/>
    <n v="124"/>
    <x v="1"/>
    <b v="0"/>
    <b v="0"/>
    <x v="0"/>
    <x v="1"/>
    <x v="0"/>
    <x v="1"/>
    <x v="2"/>
    <n v="0.1"/>
    <x v="2"/>
    <s v="Weekdays only"/>
    <s v="Los Angeles, CA"/>
    <n v="34.052199999999999"/>
    <n v="-118.2437"/>
    <d v="2022-08-06T00:00:00"/>
    <n v="0"/>
    <b v="0"/>
    <d v="2025-05-24T00:00:00"/>
    <x v="0"/>
    <x v="0"/>
  </r>
  <r>
    <b v="0"/>
    <d v="1899-12-30T11:49:00"/>
    <d v="1899-12-30T14:11:00"/>
    <n v="142"/>
    <x v="1"/>
    <b v="1"/>
    <b v="1"/>
    <x v="2"/>
    <x v="0"/>
    <x v="0"/>
    <x v="0"/>
    <x v="2"/>
    <n v="0.1"/>
    <x v="16"/>
    <s v="All hours"/>
    <s v="Sacramento, CA"/>
    <n v="38.581600000000002"/>
    <n v="-121.4944"/>
    <d v="2025-05-11T00:00:00"/>
    <n v="4"/>
    <b v="1"/>
    <d v="2025-07-20T00:00:00"/>
    <x v="3"/>
    <x v="3"/>
  </r>
  <r>
    <b v="1"/>
    <d v="1899-12-30T14:34:00"/>
    <d v="1899-12-30T15:04:00"/>
    <n v="30"/>
    <x v="1"/>
    <b v="1"/>
    <b v="1"/>
    <x v="0"/>
    <x v="0"/>
    <x v="1"/>
    <x v="6"/>
    <x v="1"/>
    <n v="0"/>
    <x v="12"/>
    <s v="All hours"/>
    <s v="Long Beach, CA"/>
    <n v="33.770099999999999"/>
    <n v="-118.19370000000001"/>
    <d v="2022-12-12T00:00:00"/>
    <n v="6"/>
    <b v="1"/>
    <d v="2025-05-31T00:00:00"/>
    <x v="3"/>
    <x v="3"/>
  </r>
  <r>
    <b v="0"/>
    <d v="1899-12-30T20:10:00"/>
    <d v="1899-12-30T21:56:00"/>
    <n v="106"/>
    <x v="0"/>
    <b v="0"/>
    <b v="1"/>
    <x v="0"/>
    <x v="3"/>
    <x v="1"/>
    <x v="11"/>
    <x v="1"/>
    <n v="0"/>
    <x v="38"/>
    <s v="All hours + Priority access"/>
    <s v="Fresno, CA"/>
    <n v="36.7378"/>
    <n v="-119.7871"/>
    <d v="2023-10-15T00:00:00"/>
    <n v="0"/>
    <b v="1"/>
    <d v="2025-06-18T00:00:00"/>
    <x v="3"/>
    <x v="3"/>
  </r>
  <r>
    <b v="1"/>
    <d v="1899-12-30T16:18:00"/>
    <d v="1899-12-30T17:35:00"/>
    <n v="77"/>
    <x v="1"/>
    <b v="0"/>
    <b v="0"/>
    <x v="0"/>
    <x v="0"/>
    <x v="0"/>
    <x v="0"/>
    <x v="1"/>
    <n v="0"/>
    <x v="5"/>
    <s v="All hours"/>
    <s v="San Jose, CA"/>
    <n v="37.338200000000001"/>
    <n v="-121.88630000000001"/>
    <d v="2024-03-12T00:00:00"/>
    <n v="0"/>
    <b v="1"/>
    <d v="2025-06-26T00:00:00"/>
    <x v="0"/>
    <x v="0"/>
  </r>
  <r>
    <b v="0"/>
    <d v="1899-12-30T15:28:00"/>
    <d v="1899-12-30T16:34:00"/>
    <n v="66"/>
    <x v="0"/>
    <b v="1"/>
    <b v="0"/>
    <x v="0"/>
    <x v="3"/>
    <x v="0"/>
    <x v="3"/>
    <x v="2"/>
    <n v="0.1"/>
    <x v="22"/>
    <s v="All hours + Priority access"/>
    <s v="Fresno, CA"/>
    <n v="36.7378"/>
    <n v="-119.7871"/>
    <d v="2023-05-12T00:00:00"/>
    <n v="3"/>
    <b v="1"/>
    <d v="2025-06-09T00:00:00"/>
    <x v="3"/>
    <x v="3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4-01-21T00:00:00"/>
    <n v="0"/>
    <b v="1"/>
    <d v="2025-06-23T00:00:00"/>
    <x v="3"/>
    <x v="3"/>
  </r>
  <r>
    <b v="0"/>
    <d v="1899-12-30T10:28:00"/>
    <d v="1899-12-30T13:25:00"/>
    <n v="177"/>
    <x v="0"/>
    <b v="0"/>
    <b v="1"/>
    <x v="4"/>
    <x v="2"/>
    <x v="1"/>
    <x v="5"/>
    <x v="3"/>
    <n v="0.15"/>
    <x v="13"/>
    <s v="Off-peak only"/>
    <s v="San Francisco, CA"/>
    <n v="37.774900000000002"/>
    <n v="-122.4194"/>
    <d v="2022-12-05T00:00:00"/>
    <n v="0"/>
    <b v="1"/>
    <d v="2025-05-31T00:00:00"/>
    <x v="0"/>
    <x v="0"/>
  </r>
  <r>
    <b v="0"/>
    <d v="1899-12-30T13:33:00"/>
    <d v="1899-12-30T14:08:00"/>
    <n v="35"/>
    <x v="1"/>
    <b v="0"/>
    <b v="0"/>
    <x v="4"/>
    <x v="1"/>
    <x v="0"/>
    <x v="1"/>
    <x v="2"/>
    <n v="0.1"/>
    <x v="2"/>
    <s v="Weekdays only"/>
    <s v="Oakland, CA"/>
    <n v="37.804400000000001"/>
    <n v="-122.27119999999999"/>
    <d v="2022-11-06T00:00:00"/>
    <n v="0"/>
    <b v="0"/>
    <d v="2025-05-29T00:00:00"/>
    <x v="0"/>
    <x v="0"/>
  </r>
  <r>
    <b v="0"/>
    <d v="1899-12-30T13:55:00"/>
    <d v="1899-12-30T16:22:00"/>
    <n v="147"/>
    <x v="0"/>
    <b v="0"/>
    <b v="1"/>
    <x v="0"/>
    <x v="1"/>
    <x v="0"/>
    <x v="1"/>
    <x v="3"/>
    <n v="0.15"/>
    <x v="15"/>
    <s v="Weekdays only"/>
    <s v="Long Beach, CA"/>
    <n v="33.770099999999999"/>
    <n v="-118.19370000000001"/>
    <d v="2024-03-30T00:00:00"/>
    <n v="0"/>
    <b v="1"/>
    <d v="2025-06-27T00:00:00"/>
    <x v="0"/>
    <x v="0"/>
  </r>
  <r>
    <b v="0"/>
    <d v="1899-12-30T14:36:00"/>
    <d v="1899-12-30T15:11:00"/>
    <n v="35"/>
    <x v="0"/>
    <b v="1"/>
    <b v="0"/>
    <x v="4"/>
    <x v="0"/>
    <x v="1"/>
    <x v="6"/>
    <x v="1"/>
    <n v="0"/>
    <x v="12"/>
    <s v="All hours"/>
    <s v="Bakersfield, CA"/>
    <n v="35.3733"/>
    <n v="-119.0187"/>
    <d v="2024-09-01T00:00:00"/>
    <n v="5"/>
    <b v="1"/>
    <d v="2025-07-06T00:00:00"/>
    <x v="2"/>
    <x v="4"/>
  </r>
  <r>
    <b v="1"/>
    <d v="1899-12-30T08:17:00"/>
    <d v="1899-12-30T10:38:00"/>
    <n v="141"/>
    <x v="0"/>
    <b v="0"/>
    <b v="1"/>
    <x v="1"/>
    <x v="0"/>
    <x v="1"/>
    <x v="6"/>
    <x v="1"/>
    <n v="0"/>
    <x v="12"/>
    <s v="All hours"/>
    <s v="Anaheim, CA"/>
    <n v="33.836599999999997"/>
    <n v="-117.9143"/>
    <d v="2023-10-01T00:00:00"/>
    <n v="0"/>
    <b v="1"/>
    <d v="2025-06-17T00:00:00"/>
    <x v="1"/>
    <x v="1"/>
  </r>
  <r>
    <b v="0"/>
    <d v="1899-12-30T13:07:00"/>
    <d v="1899-12-30T14:57:00"/>
    <n v="110"/>
    <x v="1"/>
    <b v="1"/>
    <b v="0"/>
    <x v="1"/>
    <x v="0"/>
    <x v="0"/>
    <x v="0"/>
    <x v="2"/>
    <n v="0.1"/>
    <x v="16"/>
    <s v="All hours"/>
    <s v="San Francisco, CA"/>
    <n v="37.774900000000002"/>
    <n v="-122.4194"/>
    <d v="2022-10-25T00:00:00"/>
    <n v="2"/>
    <b v="0"/>
    <d v="2025-05-29T00:00:00"/>
    <x v="1"/>
    <x v="1"/>
  </r>
  <r>
    <b v="1"/>
    <d v="1899-12-30T14:33:00"/>
    <d v="1899-12-30T15:35:00"/>
    <n v="62"/>
    <x v="0"/>
    <b v="0"/>
    <b v="0"/>
    <x v="0"/>
    <x v="2"/>
    <x v="1"/>
    <x v="5"/>
    <x v="2"/>
    <n v="0.1"/>
    <x v="20"/>
    <s v="Off-peak only"/>
    <s v="Sacramento, CA"/>
    <n v="38.581600000000002"/>
    <n v="-121.4944"/>
    <d v="2024-11-10T00:00:00"/>
    <n v="0"/>
    <b v="0"/>
    <d v="2025-07-10T00:00:00"/>
    <x v="2"/>
    <x v="2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3-08-29T00:00:00"/>
    <n v="0"/>
    <b v="1"/>
    <d v="2025-06-15T00:00:00"/>
    <x v="3"/>
    <x v="3"/>
  </r>
  <r>
    <b v="1"/>
    <d v="1899-12-30T10:00:00"/>
    <d v="1899-12-30T11:55:00"/>
    <n v="115"/>
    <x v="1"/>
    <b v="0"/>
    <b v="0"/>
    <x v="4"/>
    <x v="3"/>
    <x v="1"/>
    <x v="11"/>
    <x v="1"/>
    <n v="0"/>
    <x v="38"/>
    <s v="All hours + Priority access"/>
    <s v="San Diego, CA"/>
    <n v="32.715699999999998"/>
    <n v="-117.1611"/>
    <d v="2023-08-20T00:00:00"/>
    <n v="0"/>
    <b v="1"/>
    <d v="2025-06-15T00:00:00"/>
    <x v="2"/>
    <x v="2"/>
  </r>
  <r>
    <b v="0"/>
    <d v="1899-12-30T11:54:00"/>
    <d v="1899-12-30T13:21:00"/>
    <n v="87"/>
    <x v="0"/>
    <b v="0"/>
    <b v="1"/>
    <x v="0"/>
    <x v="0"/>
    <x v="1"/>
    <x v="6"/>
    <x v="1"/>
    <n v="0"/>
    <x v="12"/>
    <s v="All hours"/>
    <s v="Sacramento, CA"/>
    <n v="38.581600000000002"/>
    <n v="-121.4944"/>
    <d v="2023-05-04T00:00:00"/>
    <n v="0"/>
    <b v="1"/>
    <d v="2025-06-09T00:00:00"/>
    <x v="1"/>
    <x v="1"/>
  </r>
  <r>
    <b v="0"/>
    <d v="1899-12-30T19:43:00"/>
    <d v="1899-12-30T21:01:00"/>
    <n v="78"/>
    <x v="1"/>
    <b v="0"/>
    <b v="0"/>
    <x v="1"/>
    <x v="1"/>
    <x v="0"/>
    <x v="1"/>
    <x v="3"/>
    <n v="0.15"/>
    <x v="15"/>
    <s v="Weekdays only"/>
    <s v="San Francisco, CA"/>
    <n v="37.774900000000002"/>
    <n v="-122.4194"/>
    <d v="2025-02-02T00:00:00"/>
    <n v="0"/>
    <b v="0"/>
    <d v="2025-07-15T00:00:00"/>
    <x v="0"/>
    <x v="0"/>
  </r>
  <r>
    <b v="0"/>
    <d v="1899-12-30T13:50:00"/>
    <d v="1899-12-30T14:26:00"/>
    <n v="36"/>
    <x v="0"/>
    <b v="1"/>
    <b v="0"/>
    <x v="0"/>
    <x v="1"/>
    <x v="0"/>
    <x v="1"/>
    <x v="2"/>
    <n v="0.1"/>
    <x v="2"/>
    <s v="Weekdays only"/>
    <s v="Fresno, CA"/>
    <n v="36.7378"/>
    <n v="-119.7871"/>
    <d v="2023-05-22T00:00:00"/>
    <n v="5"/>
    <b v="1"/>
    <d v="2025-06-10T00:00:00"/>
    <x v="0"/>
    <x v="0"/>
  </r>
  <r>
    <b v="1"/>
    <d v="1899-12-30T18:32:00"/>
    <d v="1899-12-30T19:28:00"/>
    <n v="56"/>
    <x v="1"/>
    <b v="0"/>
    <b v="1"/>
    <x v="0"/>
    <x v="0"/>
    <x v="0"/>
    <x v="0"/>
    <x v="2"/>
    <n v="0.1"/>
    <x v="16"/>
    <s v="All hours"/>
    <s v="San Jose, CA"/>
    <n v="37.338200000000001"/>
    <n v="-121.88630000000001"/>
    <d v="2022-10-28T00:00:00"/>
    <n v="0"/>
    <b v="0"/>
    <d v="2025-05-29T00:00:00"/>
    <x v="2"/>
    <x v="4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4-12-13T00:00:00"/>
    <n v="6"/>
    <b v="0"/>
    <d v="2025-07-12T00:00:00"/>
    <x v="2"/>
    <x v="4"/>
  </r>
  <r>
    <b v="1"/>
    <d v="1899-12-30T19:22:00"/>
    <d v="1899-12-30T20:25:00"/>
    <n v="63"/>
    <x v="0"/>
    <b v="0"/>
    <b v="0"/>
    <x v="4"/>
    <x v="0"/>
    <x v="1"/>
    <x v="6"/>
    <x v="1"/>
    <n v="0"/>
    <x v="12"/>
    <s v="All hours"/>
    <s v="Bakersfield, CA"/>
    <n v="35.3733"/>
    <n v="-119.0187"/>
    <d v="2024-10-13T00:00:00"/>
    <n v="0"/>
    <b v="0"/>
    <d v="2025-07-08T00:00:00"/>
    <x v="2"/>
    <x v="2"/>
  </r>
  <r>
    <b v="0"/>
    <d v="1899-12-30T13:05:00"/>
    <d v="1899-12-30T15:29:00"/>
    <n v="144"/>
    <x v="0"/>
    <b v="1"/>
    <b v="1"/>
    <x v="1"/>
    <x v="1"/>
    <x v="0"/>
    <x v="1"/>
    <x v="1"/>
    <n v="0"/>
    <x v="1"/>
    <s v="Weekdays only"/>
    <s v="San Francisco, CA"/>
    <n v="37.774900000000002"/>
    <n v="-122.4194"/>
    <d v="2022-08-23T00:00:00"/>
    <n v="3"/>
    <b v="0"/>
    <d v="2025-05-25T00:00:00"/>
    <x v="3"/>
    <x v="3"/>
  </r>
  <r>
    <b v="0"/>
    <d v="1899-12-30T13:19:00"/>
    <d v="1899-12-30T14:50:00"/>
    <n v="91"/>
    <x v="1"/>
    <b v="1"/>
    <b v="1"/>
    <x v="4"/>
    <x v="3"/>
    <x v="1"/>
    <x v="11"/>
    <x v="2"/>
    <n v="0.1"/>
    <x v="32"/>
    <s v="All hours + Priority access"/>
    <s v="Los Angeles, CA"/>
    <n v="34.052199999999999"/>
    <n v="-118.2437"/>
    <d v="2024-12-12T00:00:00"/>
    <n v="8"/>
    <b v="1"/>
    <d v="2025-07-12T00:00:00"/>
    <x v="0"/>
    <x v="0"/>
  </r>
  <r>
    <b v="0"/>
    <d v="1899-12-30T13:05:00"/>
    <d v="1899-12-30T14:45:00"/>
    <n v="100"/>
    <x v="1"/>
    <b v="1"/>
    <b v="0"/>
    <x v="2"/>
    <x v="0"/>
    <x v="1"/>
    <x v="6"/>
    <x v="1"/>
    <n v="0"/>
    <x v="12"/>
    <s v="All hours"/>
    <s v="San Francisco, CA"/>
    <n v="37.774900000000002"/>
    <n v="-122.4194"/>
    <d v="2022-12-26T00:00:00"/>
    <n v="6"/>
    <b v="1"/>
    <d v="2025-06-01T00:00:00"/>
    <x v="3"/>
    <x v="3"/>
  </r>
  <r>
    <b v="0"/>
    <d v="1899-12-30T12:36:00"/>
    <d v="1899-12-30T14:19:00"/>
    <n v="103"/>
    <x v="0"/>
    <b v="1"/>
    <b v="0"/>
    <x v="0"/>
    <x v="1"/>
    <x v="1"/>
    <x v="4"/>
    <x v="1"/>
    <n v="0"/>
    <x v="8"/>
    <s v="Weekdays only"/>
    <s v="Sacramento, CA"/>
    <n v="38.581600000000002"/>
    <n v="-121.4944"/>
    <d v="2024-01-15T00:00:00"/>
    <n v="8"/>
    <b v="0"/>
    <d v="2025-06-23T00:00:00"/>
    <x v="1"/>
    <x v="1"/>
  </r>
  <r>
    <b v="1"/>
    <d v="1899-12-30T09:46:00"/>
    <d v="1899-12-30T11:10:00"/>
    <n v="84"/>
    <x v="1"/>
    <b v="1"/>
    <b v="0"/>
    <x v="4"/>
    <x v="0"/>
    <x v="2"/>
    <x v="10"/>
    <x v="1"/>
    <n v="0"/>
    <x v="16"/>
    <s v="All hours"/>
    <s v="Long Beach, CA"/>
    <n v="33.770099999999999"/>
    <n v="-118.19370000000001"/>
    <d v="2024-10-02T00:00:00"/>
    <n v="2"/>
    <b v="1"/>
    <d v="2025-07-08T00:00:00"/>
    <x v="0"/>
    <x v="0"/>
  </r>
  <r>
    <b v="0"/>
    <d v="1899-12-30T18:02:00"/>
    <d v="1899-12-30T19:49:00"/>
    <n v="107"/>
    <x v="0"/>
    <b v="0"/>
    <b v="1"/>
    <x v="4"/>
    <x v="1"/>
    <x v="0"/>
    <x v="1"/>
    <x v="3"/>
    <n v="0.15"/>
    <x v="15"/>
    <s v="Weekdays only"/>
    <s v="Anaheim, CA"/>
    <n v="33.836599999999997"/>
    <n v="-117.9143"/>
    <d v="2022-12-08T00:00:00"/>
    <n v="0"/>
    <b v="0"/>
    <d v="2025-05-31T00:00:00"/>
    <x v="2"/>
    <x v="2"/>
  </r>
  <r>
    <b v="0"/>
    <d v="1899-12-30T13:11:00"/>
    <d v="1899-12-30T14:21:00"/>
    <n v="70"/>
    <x v="0"/>
    <b v="0"/>
    <b v="0"/>
    <x v="4"/>
    <x v="1"/>
    <x v="0"/>
    <x v="1"/>
    <x v="0"/>
    <n v="0.05"/>
    <x v="7"/>
    <s v="Weekdays only"/>
    <s v="Long Beach, CA"/>
    <n v="33.770099999999999"/>
    <n v="-118.19370000000001"/>
    <d v="2024-03-05T00:00:00"/>
    <n v="0"/>
    <b v="0"/>
    <d v="2025-06-26T00:00:00"/>
    <x v="3"/>
    <x v="3"/>
  </r>
  <r>
    <b v="0"/>
    <d v="1899-12-30T11:43:00"/>
    <d v="1899-12-30T14:26:00"/>
    <n v="163"/>
    <x v="1"/>
    <b v="0"/>
    <b v="1"/>
    <x v="0"/>
    <x v="1"/>
    <x v="0"/>
    <x v="1"/>
    <x v="3"/>
    <n v="0.15"/>
    <x v="15"/>
    <s v="Weekdays only"/>
    <s v="Los Angeles, CA"/>
    <n v="34.052199999999999"/>
    <n v="-118.2437"/>
    <d v="2023-12-22T00:00:00"/>
    <n v="0"/>
    <b v="0"/>
    <d v="2025-06-22T00:00:00"/>
    <x v="3"/>
    <x v="3"/>
  </r>
  <r>
    <b v="0"/>
    <d v="1899-12-30T09:57:00"/>
    <d v="1899-12-30T12:22:00"/>
    <n v="145"/>
    <x v="0"/>
    <b v="0"/>
    <b v="0"/>
    <x v="1"/>
    <x v="3"/>
    <x v="1"/>
    <x v="11"/>
    <x v="2"/>
    <n v="0.1"/>
    <x v="32"/>
    <s v="All hours + Priority access"/>
    <s v="Los Angeles, CA"/>
    <n v="34.052199999999999"/>
    <n v="-118.2437"/>
    <d v="2024-06-05T00:00:00"/>
    <n v="0"/>
    <b v="0"/>
    <d v="2025-07-01T00:00:00"/>
    <x v="3"/>
    <x v="3"/>
  </r>
  <r>
    <b v="0"/>
    <d v="1899-12-30T12:59:00"/>
    <d v="1899-12-30T13:48:00"/>
    <n v="49"/>
    <x v="1"/>
    <b v="0"/>
    <b v="0"/>
    <x v="0"/>
    <x v="1"/>
    <x v="0"/>
    <x v="1"/>
    <x v="1"/>
    <n v="0"/>
    <x v="1"/>
    <s v="Weekdays only"/>
    <s v="Sacramento, CA"/>
    <n v="38.581600000000002"/>
    <n v="-121.4944"/>
    <d v="2023-09-30T00:00:00"/>
    <n v="0"/>
    <b v="1"/>
    <d v="2025-06-17T00:00:00"/>
    <x v="3"/>
    <x v="3"/>
  </r>
  <r>
    <b v="0"/>
    <d v="1899-12-30T13:28:00"/>
    <d v="1899-12-30T15:44:00"/>
    <n v="136"/>
    <x v="1"/>
    <b v="1"/>
    <b v="1"/>
    <x v="4"/>
    <x v="1"/>
    <x v="0"/>
    <x v="1"/>
    <x v="1"/>
    <n v="0"/>
    <x v="1"/>
    <s v="Weekdays only"/>
    <s v="Oakland, CA"/>
    <n v="37.804400000000001"/>
    <n v="-122.27119999999999"/>
    <d v="2024-12-30T00:00:00"/>
    <n v="1"/>
    <b v="0"/>
    <d v="2025-07-13T00:00:00"/>
    <x v="3"/>
    <x v="3"/>
  </r>
  <r>
    <b v="0"/>
    <d v="1899-12-30T08:34:00"/>
    <d v="1899-12-30T09:27:00"/>
    <n v="53"/>
    <x v="0"/>
    <b v="1"/>
    <b v="0"/>
    <x v="0"/>
    <x v="0"/>
    <x v="2"/>
    <x v="10"/>
    <x v="3"/>
    <n v="0.15"/>
    <x v="25"/>
    <s v="All hours"/>
    <s v="Los Angeles, CA"/>
    <n v="34.052199999999999"/>
    <n v="-118.2437"/>
    <d v="2024-05-02T00:00:00"/>
    <n v="1"/>
    <b v="1"/>
    <d v="2025-06-29T00:00:00"/>
    <x v="1"/>
    <x v="1"/>
  </r>
  <r>
    <b v="0"/>
    <d v="1899-12-30T09:56:00"/>
    <d v="1899-12-30T12:52:00"/>
    <n v="176"/>
    <x v="0"/>
    <b v="1"/>
    <b v="1"/>
    <x v="4"/>
    <x v="1"/>
    <x v="0"/>
    <x v="1"/>
    <x v="3"/>
    <n v="0.15"/>
    <x v="15"/>
    <s v="Weekdays only"/>
    <s v="Fresno, CA"/>
    <n v="36.7378"/>
    <n v="-119.7871"/>
    <d v="2022-08-25T00:00:00"/>
    <n v="6"/>
    <b v="0"/>
    <d v="2025-05-25T00:00:00"/>
    <x v="1"/>
    <x v="1"/>
  </r>
  <r>
    <b v="0"/>
    <d v="1899-12-30T16:39:00"/>
    <d v="1899-12-30T19:05:00"/>
    <n v="146"/>
    <x v="1"/>
    <b v="1"/>
    <b v="0"/>
    <x v="4"/>
    <x v="0"/>
    <x v="1"/>
    <x v="6"/>
    <x v="3"/>
    <n v="0.15"/>
    <x v="28"/>
    <s v="All hours"/>
    <s v="Fresno, CA"/>
    <n v="36.7378"/>
    <n v="-119.7871"/>
    <d v="2024-09-21T00:00:00"/>
    <n v="4"/>
    <b v="1"/>
    <d v="2025-07-07T00:00:00"/>
    <x v="1"/>
    <x v="1"/>
  </r>
  <r>
    <b v="1"/>
    <d v="1899-12-30T18:58:00"/>
    <d v="1899-12-30T19:40:00"/>
    <n v="42"/>
    <x v="1"/>
    <b v="0"/>
    <b v="1"/>
    <x v="4"/>
    <x v="2"/>
    <x v="2"/>
    <x v="7"/>
    <x v="2"/>
    <n v="0.1"/>
    <x v="35"/>
    <s v="Off-peak only"/>
    <s v="Los Angeles, CA"/>
    <n v="34.052199999999999"/>
    <n v="-118.2437"/>
    <d v="2023-07-24T00:00:00"/>
    <n v="0"/>
    <b v="0"/>
    <d v="2025-06-13T00:00:00"/>
    <x v="3"/>
    <x v="3"/>
  </r>
  <r>
    <b v="0"/>
    <d v="1899-12-30T09:30:00"/>
    <d v="1899-12-30T12:24:00"/>
    <n v="174"/>
    <x v="1"/>
    <b v="1"/>
    <b v="1"/>
    <x v="1"/>
    <x v="0"/>
    <x v="0"/>
    <x v="0"/>
    <x v="1"/>
    <n v="0"/>
    <x v="5"/>
    <s v="All hours"/>
    <s v="Los Angeles, CA"/>
    <n v="34.052199999999999"/>
    <n v="-118.2437"/>
    <d v="2024-07-11T00:00:00"/>
    <n v="3"/>
    <b v="0"/>
    <d v="2025-07-03T00:00:00"/>
    <x v="2"/>
    <x v="2"/>
  </r>
  <r>
    <b v="1"/>
    <d v="1899-12-30T14:45:00"/>
    <d v="1899-12-30T17:41:00"/>
    <n v="176"/>
    <x v="0"/>
    <b v="1"/>
    <b v="1"/>
    <x v="0"/>
    <x v="2"/>
    <x v="0"/>
    <x v="2"/>
    <x v="1"/>
    <n v="0"/>
    <x v="3"/>
    <s v="Off-peak only"/>
    <s v="San Jose, CA"/>
    <n v="37.338200000000001"/>
    <n v="-121.88630000000001"/>
    <d v="2023-03-22T00:00:00"/>
    <n v="3"/>
    <b v="1"/>
    <d v="2025-06-06T00:00:00"/>
    <x v="3"/>
    <x v="3"/>
  </r>
  <r>
    <b v="1"/>
    <d v="1899-12-30T09:31:00"/>
    <d v="1899-12-30T10:42:00"/>
    <n v="71"/>
    <x v="1"/>
    <b v="0"/>
    <b v="1"/>
    <x v="3"/>
    <x v="0"/>
    <x v="2"/>
    <x v="10"/>
    <x v="3"/>
    <n v="0.15"/>
    <x v="25"/>
    <s v="All hours"/>
    <s v="Bakersfield, CA"/>
    <n v="35.3733"/>
    <n v="-119.0187"/>
    <d v="2025-02-03T00:00:00"/>
    <n v="0"/>
    <b v="0"/>
    <d v="2025-07-15T00:00:00"/>
    <x v="0"/>
    <x v="0"/>
  </r>
  <r>
    <b v="1"/>
    <d v="1899-12-30T08:21:00"/>
    <d v="1899-12-30T08:55:00"/>
    <n v="34"/>
    <x v="1"/>
    <b v="0"/>
    <b v="0"/>
    <x v="4"/>
    <x v="2"/>
    <x v="1"/>
    <x v="5"/>
    <x v="1"/>
    <n v="0"/>
    <x v="14"/>
    <s v="Off-peak only"/>
    <s v="Fresno, CA"/>
    <n v="36.7378"/>
    <n v="-119.7871"/>
    <d v="2022-08-25T00:00:00"/>
    <n v="0"/>
    <b v="0"/>
    <d v="2025-05-25T00:00:00"/>
    <x v="1"/>
    <x v="1"/>
  </r>
  <r>
    <b v="0"/>
    <d v="1899-12-30T14:58:00"/>
    <d v="1899-12-30T17:38:00"/>
    <n v="160"/>
    <x v="1"/>
    <b v="1"/>
    <b v="1"/>
    <x v="0"/>
    <x v="0"/>
    <x v="0"/>
    <x v="0"/>
    <x v="0"/>
    <n v="0.05"/>
    <x v="0"/>
    <s v="All hours"/>
    <s v="Los Angeles, CA"/>
    <n v="34.052199999999999"/>
    <n v="-118.2437"/>
    <d v="2024-02-25T00:00:00"/>
    <n v="1"/>
    <b v="1"/>
    <d v="2025-06-25T00:00:00"/>
    <x v="0"/>
    <x v="0"/>
  </r>
  <r>
    <b v="0"/>
    <d v="1899-12-30T17:18:00"/>
    <d v="1899-12-30T18:57:00"/>
    <n v="99"/>
    <x v="1"/>
    <b v="1"/>
    <b v="0"/>
    <x v="1"/>
    <x v="0"/>
    <x v="0"/>
    <x v="0"/>
    <x v="2"/>
    <n v="0.1"/>
    <x v="16"/>
    <s v="All hours"/>
    <s v="Bakersfield, CA"/>
    <n v="35.3733"/>
    <n v="-119.0187"/>
    <d v="2024-10-14T00:00:00"/>
    <n v="7"/>
    <b v="1"/>
    <d v="2025-07-08T00:00:00"/>
    <x v="1"/>
    <x v="1"/>
  </r>
  <r>
    <b v="1"/>
    <d v="1899-12-30T16:04:00"/>
    <d v="1899-12-30T18:16:00"/>
    <n v="132"/>
    <x v="1"/>
    <b v="1"/>
    <b v="1"/>
    <x v="0"/>
    <x v="1"/>
    <x v="1"/>
    <x v="4"/>
    <x v="1"/>
    <n v="0"/>
    <x v="8"/>
    <s v="Weekdays only"/>
    <s v="Anaheim, CA"/>
    <n v="33.836599999999997"/>
    <n v="-117.9143"/>
    <d v="2025-04-05T00:00:00"/>
    <n v="5"/>
    <b v="0"/>
    <d v="2025-07-18T00:00:00"/>
    <x v="1"/>
    <x v="1"/>
  </r>
  <r>
    <b v="1"/>
    <d v="1899-12-30T14:51:00"/>
    <d v="1899-12-30T17:44:00"/>
    <n v="173"/>
    <x v="0"/>
    <b v="1"/>
    <b v="1"/>
    <x v="1"/>
    <x v="1"/>
    <x v="1"/>
    <x v="4"/>
    <x v="1"/>
    <n v="0"/>
    <x v="8"/>
    <s v="Weekdays only"/>
    <s v="San Diego, CA"/>
    <n v="32.715699999999998"/>
    <n v="-117.1611"/>
    <d v="2024-12-24T00:00:00"/>
    <n v="7"/>
    <b v="0"/>
    <d v="2025-07-12T00:00:00"/>
    <x v="1"/>
    <x v="1"/>
  </r>
  <r>
    <b v="0"/>
    <d v="1899-12-30T20:13:00"/>
    <d v="1899-12-30T21:48:00"/>
    <n v="95"/>
    <x v="1"/>
    <b v="0"/>
    <b v="0"/>
    <x v="4"/>
    <x v="1"/>
    <x v="1"/>
    <x v="4"/>
    <x v="3"/>
    <n v="0.15"/>
    <x v="29"/>
    <s v="Weekdays only"/>
    <s v="Fresno, CA"/>
    <n v="36.7378"/>
    <n v="-119.7871"/>
    <d v="2023-12-17T00:00:00"/>
    <n v="0"/>
    <b v="1"/>
    <d v="2025-06-21T00:00:00"/>
    <x v="3"/>
    <x v="3"/>
  </r>
  <r>
    <b v="1"/>
    <d v="1899-12-30T15:06:00"/>
    <d v="1899-12-30T17:40:00"/>
    <n v="154"/>
    <x v="1"/>
    <b v="0"/>
    <b v="1"/>
    <x v="0"/>
    <x v="1"/>
    <x v="0"/>
    <x v="1"/>
    <x v="2"/>
    <n v="0.1"/>
    <x v="2"/>
    <s v="Weekdays only"/>
    <s v="Sacramento, CA"/>
    <n v="38.581600000000002"/>
    <n v="-121.4944"/>
    <d v="2024-06-29T00:00:00"/>
    <n v="0"/>
    <b v="1"/>
    <d v="2025-07-02T00:00:00"/>
    <x v="3"/>
    <x v="3"/>
  </r>
  <r>
    <b v="1"/>
    <d v="1899-12-30T13:04:00"/>
    <d v="1899-12-30T13:37:00"/>
    <n v="33"/>
    <x v="1"/>
    <b v="1"/>
    <b v="1"/>
    <x v="1"/>
    <x v="2"/>
    <x v="0"/>
    <x v="2"/>
    <x v="0"/>
    <n v="0.05"/>
    <x v="18"/>
    <s v="Off-peak only"/>
    <s v="Los Angeles, CA"/>
    <n v="34.052199999999999"/>
    <n v="-118.2437"/>
    <d v="2023-01-22T00:00:00"/>
    <n v="2"/>
    <b v="1"/>
    <d v="2025-06-03T00:00:00"/>
    <x v="3"/>
    <x v="3"/>
  </r>
  <r>
    <b v="1"/>
    <d v="1899-12-30T12:56:00"/>
    <d v="1899-12-30T15:52:00"/>
    <n v="176"/>
    <x v="0"/>
    <b v="1"/>
    <b v="0"/>
    <x v="1"/>
    <x v="0"/>
    <x v="1"/>
    <x v="6"/>
    <x v="1"/>
    <n v="0"/>
    <x v="12"/>
    <s v="All hours"/>
    <s v="San Francisco, CA"/>
    <n v="37.774900000000002"/>
    <n v="-122.4194"/>
    <d v="2024-03-21T00:00:00"/>
    <n v="5"/>
    <b v="0"/>
    <d v="2025-06-27T00:00:00"/>
    <x v="2"/>
    <x v="2"/>
  </r>
  <r>
    <b v="0"/>
    <d v="1899-12-30T20:12:00"/>
    <d v="1899-12-30T22:37:00"/>
    <n v="145"/>
    <x v="1"/>
    <b v="1"/>
    <b v="0"/>
    <x v="0"/>
    <x v="0"/>
    <x v="0"/>
    <x v="0"/>
    <x v="3"/>
    <n v="0.15"/>
    <x v="27"/>
    <s v="All hours"/>
    <s v="Sacramento, CA"/>
    <n v="38.581600000000002"/>
    <n v="-121.4944"/>
    <d v="2024-10-01T00:00:00"/>
    <n v="5"/>
    <b v="0"/>
    <d v="2025-07-08T00:00:00"/>
    <x v="1"/>
    <x v="1"/>
  </r>
  <r>
    <b v="0"/>
    <d v="1899-12-30T08:19:00"/>
    <d v="1899-12-30T10:45:00"/>
    <n v="146"/>
    <x v="0"/>
    <b v="1"/>
    <b v="0"/>
    <x v="4"/>
    <x v="0"/>
    <x v="2"/>
    <x v="10"/>
    <x v="1"/>
    <n v="0"/>
    <x v="16"/>
    <s v="All hours"/>
    <s v="Fresno, CA"/>
    <n v="36.7378"/>
    <n v="-119.7871"/>
    <d v="2023-09-04T00:00:00"/>
    <n v="6"/>
    <b v="1"/>
    <d v="2025-06-15T00:00:00"/>
    <x v="3"/>
    <x v="3"/>
  </r>
  <r>
    <b v="0"/>
    <d v="1899-12-30T18:01:00"/>
    <d v="1899-12-30T18:43:00"/>
    <n v="42"/>
    <x v="1"/>
    <b v="0"/>
    <b v="0"/>
    <x v="0"/>
    <x v="2"/>
    <x v="1"/>
    <x v="5"/>
    <x v="1"/>
    <n v="0"/>
    <x v="14"/>
    <s v="Off-peak only"/>
    <s v="Long Beach, CA"/>
    <n v="33.770099999999999"/>
    <n v="-118.19370000000001"/>
    <d v="2023-06-01T00:00:00"/>
    <n v="0"/>
    <b v="0"/>
    <d v="2025-06-10T00:00:00"/>
    <x v="3"/>
    <x v="3"/>
  </r>
  <r>
    <b v="1"/>
    <d v="1899-12-30T19:59:00"/>
    <d v="1899-12-30T20:43:00"/>
    <n v="44"/>
    <x v="0"/>
    <b v="1"/>
    <b v="0"/>
    <x v="1"/>
    <x v="0"/>
    <x v="0"/>
    <x v="0"/>
    <x v="0"/>
    <n v="0.05"/>
    <x v="0"/>
    <s v="All hours"/>
    <s v="San Diego, CA"/>
    <n v="32.715699999999998"/>
    <n v="-117.1611"/>
    <d v="2024-12-27T00:00:00"/>
    <n v="1"/>
    <b v="1"/>
    <d v="2025-07-12T00:00:00"/>
    <x v="3"/>
    <x v="3"/>
  </r>
  <r>
    <b v="1"/>
    <d v="1899-12-30T18:07:00"/>
    <d v="1899-12-30T20:01:00"/>
    <n v="114"/>
    <x v="0"/>
    <b v="0"/>
    <b v="1"/>
    <x v="1"/>
    <x v="2"/>
    <x v="1"/>
    <x v="5"/>
    <x v="1"/>
    <n v="0"/>
    <x v="14"/>
    <s v="Off-peak only"/>
    <s v="Los Angeles, CA"/>
    <n v="34.052199999999999"/>
    <n v="-118.2437"/>
    <d v="2024-12-26T00:00:00"/>
    <n v="0"/>
    <b v="0"/>
    <d v="2025-07-12T00:00:00"/>
    <x v="1"/>
    <x v="1"/>
  </r>
  <r>
    <b v="1"/>
    <d v="1899-12-30T19:22:00"/>
    <d v="1899-12-30T21:18:00"/>
    <n v="116"/>
    <x v="1"/>
    <b v="0"/>
    <b v="0"/>
    <x v="2"/>
    <x v="1"/>
    <x v="0"/>
    <x v="1"/>
    <x v="1"/>
    <n v="0"/>
    <x v="1"/>
    <s v="Weekdays only"/>
    <s v="San Francisco, CA"/>
    <n v="37.774900000000002"/>
    <n v="-122.4194"/>
    <d v="2025-05-14T00:00:00"/>
    <n v="0"/>
    <b v="0"/>
    <d v="2025-07-20T00:00:00"/>
    <x v="1"/>
    <x v="1"/>
  </r>
  <r>
    <b v="1"/>
    <d v="1899-12-30T09:23:00"/>
    <d v="1899-12-30T12:02:00"/>
    <n v="159"/>
    <x v="0"/>
    <b v="0"/>
    <b v="1"/>
    <x v="0"/>
    <x v="0"/>
    <x v="0"/>
    <x v="0"/>
    <x v="1"/>
    <n v="0"/>
    <x v="5"/>
    <s v="All hours"/>
    <s v="San Diego, CA"/>
    <n v="32.715699999999998"/>
    <n v="-117.1611"/>
    <d v="2023-04-30T00:00:00"/>
    <n v="0"/>
    <b v="0"/>
    <d v="2025-06-08T00:00:00"/>
    <x v="2"/>
    <x v="4"/>
  </r>
  <r>
    <b v="0"/>
    <d v="1899-12-30T17:08:00"/>
    <d v="1899-12-30T18:16:00"/>
    <n v="68"/>
    <x v="1"/>
    <b v="1"/>
    <b v="0"/>
    <x v="4"/>
    <x v="2"/>
    <x v="2"/>
    <x v="7"/>
    <x v="1"/>
    <n v="0"/>
    <x v="6"/>
    <s v="Off-peak only"/>
    <s v="Long Beach, CA"/>
    <n v="33.770099999999999"/>
    <n v="-118.19370000000001"/>
    <d v="2023-07-17T00:00:00"/>
    <n v="7"/>
    <b v="0"/>
    <d v="2025-06-13T00:00:00"/>
    <x v="0"/>
    <x v="0"/>
  </r>
  <r>
    <b v="1"/>
    <d v="1899-12-30T10:47:00"/>
    <d v="1899-12-30T12:03:00"/>
    <n v="76"/>
    <x v="0"/>
    <b v="1"/>
    <b v="1"/>
    <x v="4"/>
    <x v="0"/>
    <x v="0"/>
    <x v="0"/>
    <x v="1"/>
    <n v="0"/>
    <x v="5"/>
    <s v="All hours"/>
    <s v="San Jose, CA"/>
    <n v="37.338200000000001"/>
    <n v="-121.88630000000001"/>
    <d v="2024-02-03T00:00:00"/>
    <n v="7"/>
    <b v="1"/>
    <d v="2025-06-24T00:00:00"/>
    <x v="1"/>
    <x v="1"/>
  </r>
  <r>
    <b v="1"/>
    <d v="1899-12-30T14:47:00"/>
    <d v="1899-12-30T16:49:00"/>
    <n v="122"/>
    <x v="1"/>
    <b v="0"/>
    <b v="0"/>
    <x v="4"/>
    <x v="3"/>
    <x v="1"/>
    <x v="11"/>
    <x v="1"/>
    <n v="0"/>
    <x v="38"/>
    <s v="All hours + Priority access"/>
    <s v="Los Angeles, CA"/>
    <n v="34.052199999999999"/>
    <n v="-118.2437"/>
    <d v="2023-01-05T00:00:00"/>
    <n v="0"/>
    <b v="1"/>
    <d v="2025-06-02T00:00:00"/>
    <x v="1"/>
    <x v="1"/>
  </r>
  <r>
    <b v="1"/>
    <d v="1899-12-30T14:33:00"/>
    <d v="1899-12-30T15:35:00"/>
    <n v="62"/>
    <x v="0"/>
    <b v="0"/>
    <b v="0"/>
    <x v="0"/>
    <x v="2"/>
    <x v="1"/>
    <x v="5"/>
    <x v="2"/>
    <n v="0.1"/>
    <x v="20"/>
    <s v="Off-peak only"/>
    <s v="Sacramento, CA"/>
    <n v="38.581600000000002"/>
    <n v="-121.4944"/>
    <d v="2023-02-15T00:00:00"/>
    <n v="0"/>
    <b v="0"/>
    <d v="2025-06-04T00:00:00"/>
    <x v="2"/>
    <x v="2"/>
  </r>
  <r>
    <b v="1"/>
    <d v="1899-12-30T16:16:00"/>
    <d v="1899-12-30T18:03:00"/>
    <n v="107"/>
    <x v="1"/>
    <b v="1"/>
    <b v="0"/>
    <x v="0"/>
    <x v="0"/>
    <x v="0"/>
    <x v="0"/>
    <x v="1"/>
    <n v="0"/>
    <x v="5"/>
    <s v="All hours"/>
    <s v="San Jose, CA"/>
    <n v="37.338200000000001"/>
    <n v="-121.88630000000001"/>
    <d v="2023-10-08T00:00:00"/>
    <n v="1"/>
    <b v="1"/>
    <d v="2025-06-17T00:00:00"/>
    <x v="1"/>
    <x v="1"/>
  </r>
  <r>
    <b v="1"/>
    <d v="1899-12-30T10:25:00"/>
    <d v="1899-12-30T12:04:00"/>
    <n v="99"/>
    <x v="1"/>
    <b v="1"/>
    <b v="0"/>
    <x v="0"/>
    <x v="1"/>
    <x v="0"/>
    <x v="1"/>
    <x v="1"/>
    <n v="0"/>
    <x v="1"/>
    <s v="Weekdays only"/>
    <s v="Anaheim, CA"/>
    <n v="33.836599999999997"/>
    <n v="-117.9143"/>
    <d v="2022-12-11T00:00:00"/>
    <n v="7"/>
    <b v="0"/>
    <d v="2025-05-31T00:00:00"/>
    <x v="3"/>
    <x v="3"/>
  </r>
  <r>
    <b v="0"/>
    <d v="1899-12-30T16:59:00"/>
    <d v="1899-12-30T18:41:00"/>
    <n v="102"/>
    <x v="1"/>
    <b v="0"/>
    <b v="0"/>
    <x v="0"/>
    <x v="2"/>
    <x v="0"/>
    <x v="2"/>
    <x v="0"/>
    <n v="0.05"/>
    <x v="18"/>
    <s v="Off-peak only"/>
    <s v="Fresno, CA"/>
    <n v="36.7378"/>
    <n v="-119.7871"/>
    <d v="2024-11-15T00:00:00"/>
    <n v="0"/>
    <b v="0"/>
    <d v="2025-07-10T00:00:00"/>
    <x v="2"/>
    <x v="2"/>
  </r>
  <r>
    <b v="1"/>
    <d v="1899-12-30T13:40:00"/>
    <d v="1899-12-30T16:26:00"/>
    <n v="166"/>
    <x v="1"/>
    <b v="1"/>
    <b v="1"/>
    <x v="3"/>
    <x v="0"/>
    <x v="2"/>
    <x v="10"/>
    <x v="2"/>
    <n v="0.1"/>
    <x v="34"/>
    <s v="All hours"/>
    <s v="Los Angeles, CA"/>
    <n v="34.052199999999999"/>
    <n v="-118.2437"/>
    <d v="2025-02-23T00:00:00"/>
    <n v="8"/>
    <b v="1"/>
    <d v="2025-07-16T00:00:00"/>
    <x v="0"/>
    <x v="0"/>
  </r>
  <r>
    <b v="0"/>
    <d v="1899-12-30T11:51:00"/>
    <d v="1899-12-30T14:21:00"/>
    <n v="150"/>
    <x v="1"/>
    <b v="1"/>
    <b v="0"/>
    <x v="4"/>
    <x v="2"/>
    <x v="0"/>
    <x v="2"/>
    <x v="0"/>
    <n v="0.05"/>
    <x v="18"/>
    <s v="Off-peak only"/>
    <s v="Bakersfield, CA"/>
    <n v="35.3733"/>
    <n v="-119.0187"/>
    <d v="2024-09-08T00:00:00"/>
    <n v="1"/>
    <b v="1"/>
    <d v="2025-07-06T00:00:00"/>
    <x v="3"/>
    <x v="3"/>
  </r>
  <r>
    <b v="0"/>
    <d v="1899-12-30T13:10:00"/>
    <d v="1899-12-30T14:25:00"/>
    <n v="75"/>
    <x v="0"/>
    <b v="1"/>
    <b v="1"/>
    <x v="4"/>
    <x v="2"/>
    <x v="0"/>
    <x v="2"/>
    <x v="3"/>
    <n v="0.15"/>
    <x v="17"/>
    <s v="Off-peak only"/>
    <s v="Long Beach, CA"/>
    <n v="33.770099999999999"/>
    <n v="-118.19370000000001"/>
    <d v="2025-04-23T00:00:00"/>
    <n v="6"/>
    <b v="0"/>
    <d v="2025-07-19T00:00:00"/>
    <x v="0"/>
    <x v="0"/>
  </r>
  <r>
    <b v="1"/>
    <d v="1899-12-30T20:29:00"/>
    <d v="1899-12-30T21:35:00"/>
    <n v="66"/>
    <x v="0"/>
    <b v="1"/>
    <b v="0"/>
    <x v="0"/>
    <x v="1"/>
    <x v="0"/>
    <x v="1"/>
    <x v="3"/>
    <n v="0.15"/>
    <x v="15"/>
    <s v="Weekdays only"/>
    <s v="Anaheim, CA"/>
    <n v="33.836599999999997"/>
    <n v="-117.9143"/>
    <d v="2023-12-05T00:00:00"/>
    <n v="4"/>
    <b v="1"/>
    <d v="2025-06-21T00:00:00"/>
    <x v="3"/>
    <x v="3"/>
  </r>
  <r>
    <b v="0"/>
    <d v="1899-12-30T18:15:00"/>
    <d v="1899-12-30T20:54:00"/>
    <n v="159"/>
    <x v="0"/>
    <b v="1"/>
    <b v="1"/>
    <x v="3"/>
    <x v="2"/>
    <x v="1"/>
    <x v="5"/>
    <x v="1"/>
    <n v="0"/>
    <x v="14"/>
    <s v="Off-peak only"/>
    <s v="Sacramento, CA"/>
    <n v="38.581600000000002"/>
    <n v="-121.4944"/>
    <d v="2022-09-29T00:00:00"/>
    <n v="5"/>
    <b v="0"/>
    <d v="2025-05-27T00:00:00"/>
    <x v="3"/>
    <x v="3"/>
  </r>
  <r>
    <b v="0"/>
    <d v="1899-12-30T10:21:00"/>
    <d v="1899-12-30T12:38:00"/>
    <n v="137"/>
    <x v="0"/>
    <b v="1"/>
    <b v="1"/>
    <x v="0"/>
    <x v="2"/>
    <x v="0"/>
    <x v="2"/>
    <x v="3"/>
    <n v="0.15"/>
    <x v="17"/>
    <s v="Off-peak only"/>
    <s v="Sacramento, CA"/>
    <n v="38.581600000000002"/>
    <n v="-121.4944"/>
    <d v="2025-05-12T00:00:00"/>
    <n v="6"/>
    <b v="1"/>
    <d v="2025-07-20T00:00:00"/>
    <x v="0"/>
    <x v="0"/>
  </r>
  <r>
    <b v="0"/>
    <d v="1899-12-30T11:49:00"/>
    <d v="1899-12-30T14:25:00"/>
    <n v="156"/>
    <x v="1"/>
    <b v="1"/>
    <b v="0"/>
    <x v="0"/>
    <x v="0"/>
    <x v="1"/>
    <x v="6"/>
    <x v="1"/>
    <n v="0"/>
    <x v="12"/>
    <s v="All hours"/>
    <s v="San Diego, CA"/>
    <n v="32.715699999999998"/>
    <n v="-117.1611"/>
    <d v="2025-02-12T00:00:00"/>
    <n v="3"/>
    <b v="1"/>
    <d v="2025-07-15T00:00:00"/>
    <x v="3"/>
    <x v="3"/>
  </r>
  <r>
    <b v="0"/>
    <d v="1899-12-30T12:13:00"/>
    <d v="1899-12-30T14:47:00"/>
    <n v="154"/>
    <x v="1"/>
    <b v="1"/>
    <b v="1"/>
    <x v="4"/>
    <x v="3"/>
    <x v="1"/>
    <x v="11"/>
    <x v="2"/>
    <n v="0.1"/>
    <x v="32"/>
    <s v="All hours + Priority access"/>
    <s v="Fresno, CA"/>
    <n v="36.7378"/>
    <n v="-119.7871"/>
    <d v="2024-02-27T00:00:00"/>
    <n v="2"/>
    <b v="1"/>
    <d v="2025-06-25T00:00:00"/>
    <x v="0"/>
    <x v="0"/>
  </r>
  <r>
    <b v="1"/>
    <d v="1899-12-30T18:22:00"/>
    <d v="1899-12-30T21:20:00"/>
    <n v="178"/>
    <x v="1"/>
    <b v="0"/>
    <b v="1"/>
    <x v="0"/>
    <x v="1"/>
    <x v="1"/>
    <x v="4"/>
    <x v="0"/>
    <n v="0.05"/>
    <x v="11"/>
    <s v="Weekdays only"/>
    <s v="Los Angeles, CA"/>
    <n v="34.052199999999999"/>
    <n v="-118.2437"/>
    <d v="2022-10-02T00:00:00"/>
    <n v="0"/>
    <b v="0"/>
    <d v="2025-05-27T00:00:00"/>
    <x v="3"/>
    <x v="3"/>
  </r>
  <r>
    <b v="1"/>
    <d v="1899-12-30T10:09:00"/>
    <d v="1899-12-30T10:57:00"/>
    <n v="48"/>
    <x v="1"/>
    <b v="0"/>
    <b v="0"/>
    <x v="4"/>
    <x v="2"/>
    <x v="0"/>
    <x v="2"/>
    <x v="0"/>
    <n v="0.05"/>
    <x v="18"/>
    <s v="Off-peak only"/>
    <s v="Anaheim, CA"/>
    <n v="33.836599999999997"/>
    <n v="-117.9143"/>
    <d v="2024-07-21T00:00:00"/>
    <n v="0"/>
    <b v="1"/>
    <d v="2025-07-04T00:00:00"/>
    <x v="0"/>
    <x v="0"/>
  </r>
  <r>
    <b v="1"/>
    <d v="1899-12-30T09:11:00"/>
    <d v="1899-12-30T10:48:00"/>
    <n v="97"/>
    <x v="0"/>
    <b v="0"/>
    <b v="1"/>
    <x v="4"/>
    <x v="2"/>
    <x v="2"/>
    <x v="7"/>
    <x v="1"/>
    <n v="0"/>
    <x v="6"/>
    <s v="Off-peak only"/>
    <s v="Fresno, CA"/>
    <n v="36.7378"/>
    <n v="-119.7871"/>
    <d v="2023-12-30T00:00:00"/>
    <n v="0"/>
    <b v="1"/>
    <d v="2025-06-22T00:00:00"/>
    <x v="3"/>
    <x v="3"/>
  </r>
  <r>
    <b v="0"/>
    <d v="1899-12-30T10:26:00"/>
    <d v="1899-12-30T12:21:00"/>
    <n v="115"/>
    <x v="1"/>
    <b v="1"/>
    <b v="1"/>
    <x v="0"/>
    <x v="2"/>
    <x v="2"/>
    <x v="7"/>
    <x v="1"/>
    <n v="0"/>
    <x v="6"/>
    <s v="Off-peak only"/>
    <s v="Long Beach, CA"/>
    <n v="33.770099999999999"/>
    <n v="-118.19370000000001"/>
    <d v="2025-05-09T00:00:00"/>
    <n v="4"/>
    <b v="0"/>
    <d v="2025-07-20T00:00:00"/>
    <x v="3"/>
    <x v="3"/>
  </r>
  <r>
    <b v="1"/>
    <d v="1899-12-30T20:32:00"/>
    <d v="1899-12-30T22:20:00"/>
    <n v="108"/>
    <x v="1"/>
    <b v="0"/>
    <b v="0"/>
    <x v="3"/>
    <x v="0"/>
    <x v="2"/>
    <x v="10"/>
    <x v="1"/>
    <n v="0"/>
    <x v="16"/>
    <s v="All hours"/>
    <s v="Long Beach, CA"/>
    <n v="33.770099999999999"/>
    <n v="-118.19370000000001"/>
    <d v="2025-01-16T00:00:00"/>
    <n v="0"/>
    <b v="1"/>
    <d v="2025-07-14T00:00:00"/>
    <x v="3"/>
    <x v="3"/>
  </r>
  <r>
    <b v="0"/>
    <d v="1899-12-30T09:38:00"/>
    <d v="1899-12-30T10:11:00"/>
    <n v="33"/>
    <x v="0"/>
    <b v="0"/>
    <b v="1"/>
    <x v="4"/>
    <x v="1"/>
    <x v="2"/>
    <x v="8"/>
    <x v="0"/>
    <n v="0.05"/>
    <x v="31"/>
    <s v="Weekdays only"/>
    <s v="Long Beach, CA"/>
    <n v="33.770099999999999"/>
    <n v="-118.19370000000001"/>
    <d v="2022-08-07T00:00:00"/>
    <n v="0"/>
    <b v="0"/>
    <d v="2025-05-24T00:00:00"/>
    <x v="2"/>
    <x v="4"/>
  </r>
  <r>
    <b v="1"/>
    <d v="1899-12-30T09:55:00"/>
    <d v="1899-12-30T10:59:00"/>
    <n v="64"/>
    <x v="0"/>
    <b v="0"/>
    <b v="1"/>
    <x v="0"/>
    <x v="0"/>
    <x v="1"/>
    <x v="6"/>
    <x v="0"/>
    <n v="0.05"/>
    <x v="10"/>
    <s v="All hours"/>
    <s v="San Jose, CA"/>
    <n v="37.338200000000001"/>
    <n v="-121.88630000000001"/>
    <d v="2022-08-30T00:00:00"/>
    <n v="0"/>
    <b v="1"/>
    <d v="2025-05-26T00:00:00"/>
    <x v="0"/>
    <x v="0"/>
  </r>
  <r>
    <b v="1"/>
    <d v="1899-12-30T12:11:00"/>
    <d v="1899-12-30T14:52:00"/>
    <n v="161"/>
    <x v="0"/>
    <b v="1"/>
    <b v="0"/>
    <x v="0"/>
    <x v="0"/>
    <x v="1"/>
    <x v="6"/>
    <x v="3"/>
    <n v="0.15"/>
    <x v="28"/>
    <s v="All hours"/>
    <s v="Oakland, CA"/>
    <n v="37.804400000000001"/>
    <n v="-122.27119999999999"/>
    <d v="2025-06-17T00:00:00"/>
    <n v="3"/>
    <b v="1"/>
    <d v="2025-07-22T00:00:00"/>
    <x v="3"/>
    <x v="3"/>
  </r>
  <r>
    <b v="0"/>
    <d v="1899-12-30T10:25:00"/>
    <d v="1899-12-30T12:18:00"/>
    <n v="113"/>
    <x v="0"/>
    <b v="0"/>
    <b v="1"/>
    <x v="0"/>
    <x v="1"/>
    <x v="0"/>
    <x v="1"/>
    <x v="1"/>
    <n v="0"/>
    <x v="1"/>
    <s v="Weekdays only"/>
    <s v="Los Angeles, CA"/>
    <n v="34.052199999999999"/>
    <n v="-118.2437"/>
    <d v="2022-09-13T00:00:00"/>
    <n v="0"/>
    <b v="1"/>
    <d v="2025-05-26T00:00:00"/>
    <x v="2"/>
    <x v="4"/>
  </r>
  <r>
    <b v="1"/>
    <d v="1899-12-30T18:47:00"/>
    <d v="1899-12-30T21:35:00"/>
    <n v="168"/>
    <x v="1"/>
    <b v="0"/>
    <b v="0"/>
    <x v="0"/>
    <x v="0"/>
    <x v="1"/>
    <x v="6"/>
    <x v="0"/>
    <n v="0.05"/>
    <x v="10"/>
    <s v="All hours"/>
    <s v="Sacramento, CA"/>
    <n v="38.581600000000002"/>
    <n v="-121.4944"/>
    <d v="2023-08-12T00:00:00"/>
    <n v="0"/>
    <b v="1"/>
    <d v="2025-06-14T00:00:00"/>
    <x v="0"/>
    <x v="0"/>
  </r>
  <r>
    <b v="1"/>
    <d v="1899-12-30T10:50:00"/>
    <d v="1899-12-30T13:38:00"/>
    <n v="168"/>
    <x v="1"/>
    <b v="0"/>
    <b v="1"/>
    <x v="0"/>
    <x v="3"/>
    <x v="0"/>
    <x v="3"/>
    <x v="1"/>
    <n v="0"/>
    <x v="4"/>
    <s v="All hours + Priority access"/>
    <s v="Long Beach, CA"/>
    <n v="33.770099999999999"/>
    <n v="-118.19370000000001"/>
    <d v="2022-12-11T00:00:00"/>
    <n v="0"/>
    <b v="1"/>
    <d v="2025-05-31T00:00:00"/>
    <x v="3"/>
    <x v="3"/>
  </r>
  <r>
    <b v="1"/>
    <d v="1899-12-30T19:06:00"/>
    <d v="1899-12-30T19:43:00"/>
    <n v="37"/>
    <x v="0"/>
    <b v="1"/>
    <b v="1"/>
    <x v="1"/>
    <x v="2"/>
    <x v="0"/>
    <x v="2"/>
    <x v="1"/>
    <n v="0"/>
    <x v="3"/>
    <s v="Off-peak only"/>
    <s v="San Francisco, CA"/>
    <n v="37.774900000000002"/>
    <n v="-122.4194"/>
    <d v="2024-02-24T00:00:00"/>
    <n v="5"/>
    <b v="0"/>
    <d v="2025-06-25T00:00:00"/>
    <x v="0"/>
    <x v="0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3-12-21T00:00:00"/>
    <n v="7"/>
    <b v="1"/>
    <d v="2025-06-22T00:00:00"/>
    <x v="3"/>
    <x v="3"/>
  </r>
  <r>
    <b v="1"/>
    <d v="1899-12-30T11:56:00"/>
    <d v="1899-12-30T13:37:00"/>
    <n v="101"/>
    <x v="0"/>
    <b v="0"/>
    <b v="0"/>
    <x v="0"/>
    <x v="0"/>
    <x v="1"/>
    <x v="6"/>
    <x v="1"/>
    <n v="0"/>
    <x v="12"/>
    <s v="All hours"/>
    <s v="Sacramento, CA"/>
    <n v="38.581600000000002"/>
    <n v="-121.4944"/>
    <d v="2024-01-19T00:00:00"/>
    <n v="0"/>
    <b v="1"/>
    <d v="2025-06-23T00:00:00"/>
    <x v="2"/>
    <x v="4"/>
  </r>
  <r>
    <b v="1"/>
    <d v="1899-12-30T11:50:00"/>
    <d v="1899-12-30T13:43:00"/>
    <n v="113"/>
    <x v="1"/>
    <b v="0"/>
    <b v="1"/>
    <x v="0"/>
    <x v="2"/>
    <x v="0"/>
    <x v="2"/>
    <x v="0"/>
    <n v="0.05"/>
    <x v="18"/>
    <s v="Off-peak only"/>
    <s v="Bakersfield, CA"/>
    <n v="35.3733"/>
    <n v="-119.0187"/>
    <d v="2023-07-13T00:00:00"/>
    <n v="0"/>
    <b v="1"/>
    <d v="2025-06-12T00:00:00"/>
    <x v="2"/>
    <x v="4"/>
  </r>
  <r>
    <b v="1"/>
    <d v="1899-12-30T13:12:00"/>
    <d v="1899-12-30T14:54:00"/>
    <n v="102"/>
    <x v="1"/>
    <b v="1"/>
    <b v="0"/>
    <x v="1"/>
    <x v="1"/>
    <x v="0"/>
    <x v="1"/>
    <x v="1"/>
    <n v="0"/>
    <x v="1"/>
    <s v="Weekdays only"/>
    <s v="Long Beach, CA"/>
    <n v="33.770099999999999"/>
    <n v="-118.19370000000001"/>
    <d v="2025-01-25T00:00:00"/>
    <n v="1"/>
    <b v="0"/>
    <d v="2025-07-14T00:00:00"/>
    <x v="1"/>
    <x v="1"/>
  </r>
  <r>
    <b v="1"/>
    <d v="1899-12-30T13:37:00"/>
    <d v="1899-12-30T14:09:00"/>
    <n v="32"/>
    <x v="1"/>
    <b v="0"/>
    <b v="0"/>
    <x v="0"/>
    <x v="1"/>
    <x v="1"/>
    <x v="4"/>
    <x v="1"/>
    <n v="0"/>
    <x v="8"/>
    <s v="Weekdays only"/>
    <s v="Long Beach, CA"/>
    <n v="33.770099999999999"/>
    <n v="-118.19370000000001"/>
    <d v="2025-05-22T00:00:00"/>
    <n v="0"/>
    <b v="0"/>
    <d v="2025-07-21T00:00:00"/>
    <x v="2"/>
    <x v="4"/>
  </r>
  <r>
    <b v="1"/>
    <d v="1899-12-30T18:44:00"/>
    <d v="1899-12-30T19:28:00"/>
    <n v="44"/>
    <x v="0"/>
    <b v="0"/>
    <b v="1"/>
    <x v="4"/>
    <x v="0"/>
    <x v="0"/>
    <x v="0"/>
    <x v="1"/>
    <n v="0"/>
    <x v="5"/>
    <s v="All hours"/>
    <s v="San Diego, CA"/>
    <n v="32.715699999999998"/>
    <n v="-117.1611"/>
    <d v="2024-07-30T00:00:00"/>
    <n v="0"/>
    <b v="1"/>
    <d v="2025-07-04T00:00:00"/>
    <x v="1"/>
    <x v="1"/>
  </r>
  <r>
    <b v="1"/>
    <d v="1899-12-30T14:41:00"/>
    <d v="1899-12-30T16:35:00"/>
    <n v="114"/>
    <x v="0"/>
    <b v="0"/>
    <b v="0"/>
    <x v="3"/>
    <x v="1"/>
    <x v="1"/>
    <x v="4"/>
    <x v="0"/>
    <n v="0.05"/>
    <x v="11"/>
    <s v="Weekdays only"/>
    <s v="San Jose, CA"/>
    <n v="37.338200000000001"/>
    <n v="-121.88630000000001"/>
    <d v="2023-06-03T00:00:00"/>
    <n v="0"/>
    <b v="1"/>
    <d v="2025-06-10T00:00:00"/>
    <x v="0"/>
    <x v="0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4-11-20T00:00:00"/>
    <n v="5"/>
    <b v="0"/>
    <d v="2025-07-10T00:00:00"/>
    <x v="2"/>
    <x v="4"/>
  </r>
  <r>
    <b v="1"/>
    <d v="1899-12-30T19:38:00"/>
    <d v="1899-12-30T21:40:00"/>
    <n v="122"/>
    <x v="1"/>
    <b v="1"/>
    <b v="1"/>
    <x v="0"/>
    <x v="0"/>
    <x v="0"/>
    <x v="0"/>
    <x v="0"/>
    <n v="0.05"/>
    <x v="0"/>
    <s v="All hours"/>
    <s v="Anaheim, CA"/>
    <n v="33.836599999999997"/>
    <n v="-117.9143"/>
    <d v="2023-07-06T00:00:00"/>
    <n v="6"/>
    <b v="0"/>
    <d v="2025-06-12T00:00:00"/>
    <x v="1"/>
    <x v="1"/>
  </r>
  <r>
    <b v="0"/>
    <d v="1899-12-30T10:38:00"/>
    <d v="1899-12-30T13:05:00"/>
    <n v="147"/>
    <x v="1"/>
    <b v="0"/>
    <b v="0"/>
    <x v="0"/>
    <x v="2"/>
    <x v="0"/>
    <x v="2"/>
    <x v="0"/>
    <n v="0.05"/>
    <x v="18"/>
    <s v="Off-peak only"/>
    <s v="Fresno, CA"/>
    <n v="36.7378"/>
    <n v="-119.7871"/>
    <d v="2022-08-25T00:00:00"/>
    <n v="0"/>
    <b v="0"/>
    <d v="2025-05-25T00:00:00"/>
    <x v="1"/>
    <x v="1"/>
  </r>
  <r>
    <b v="1"/>
    <d v="1899-12-30T20:15:00"/>
    <d v="1899-12-30T21:36:00"/>
    <n v="81"/>
    <x v="1"/>
    <b v="0"/>
    <b v="1"/>
    <x v="0"/>
    <x v="0"/>
    <x v="1"/>
    <x v="6"/>
    <x v="3"/>
    <n v="0.15"/>
    <x v="28"/>
    <s v="All hours"/>
    <s v="Fresno, CA"/>
    <n v="36.7378"/>
    <n v="-119.7871"/>
    <d v="2025-03-14T00:00:00"/>
    <n v="0"/>
    <b v="1"/>
    <d v="2025-07-17T00:00:00"/>
    <x v="3"/>
    <x v="3"/>
  </r>
  <r>
    <b v="1"/>
    <d v="1899-12-30T17:11:00"/>
    <d v="1899-12-30T18:02:00"/>
    <n v="51"/>
    <x v="0"/>
    <b v="1"/>
    <b v="1"/>
    <x v="4"/>
    <x v="0"/>
    <x v="1"/>
    <x v="6"/>
    <x v="3"/>
    <n v="0.15"/>
    <x v="28"/>
    <s v="All hours"/>
    <s v="Long Beach, CA"/>
    <n v="33.770099999999999"/>
    <n v="-118.19370000000001"/>
    <d v="2023-07-07T00:00:00"/>
    <n v="2"/>
    <b v="1"/>
    <d v="2025-06-12T00:00:00"/>
    <x v="3"/>
    <x v="3"/>
  </r>
  <r>
    <b v="1"/>
    <d v="1899-12-30T13:24:00"/>
    <d v="1899-12-30T15:53:00"/>
    <n v="149"/>
    <x v="1"/>
    <b v="1"/>
    <b v="0"/>
    <x v="4"/>
    <x v="1"/>
    <x v="1"/>
    <x v="4"/>
    <x v="2"/>
    <n v="0.1"/>
    <x v="26"/>
    <s v="Weekdays only"/>
    <s v="Los Angeles, CA"/>
    <n v="34.052199999999999"/>
    <n v="-118.2437"/>
    <d v="2024-03-07T00:00:00"/>
    <n v="6"/>
    <b v="0"/>
    <d v="2025-06-26T00:00:00"/>
    <x v="3"/>
    <x v="3"/>
  </r>
  <r>
    <b v="1"/>
    <d v="1899-12-30T10:23:00"/>
    <d v="1899-12-30T12:01:00"/>
    <n v="98"/>
    <x v="0"/>
    <b v="1"/>
    <b v="1"/>
    <x v="0"/>
    <x v="1"/>
    <x v="0"/>
    <x v="1"/>
    <x v="3"/>
    <n v="0.15"/>
    <x v="15"/>
    <s v="Weekdays only"/>
    <s v="Sacramento, CA"/>
    <n v="38.581600000000002"/>
    <n v="-121.4944"/>
    <d v="2022-12-11T00:00:00"/>
    <n v="4"/>
    <b v="0"/>
    <d v="2025-05-31T00:00:00"/>
    <x v="0"/>
    <x v="0"/>
  </r>
  <r>
    <b v="0"/>
    <d v="1899-12-30T20:26:00"/>
    <d v="1899-12-30T22:46:00"/>
    <n v="140"/>
    <x v="0"/>
    <b v="1"/>
    <b v="0"/>
    <x v="4"/>
    <x v="1"/>
    <x v="0"/>
    <x v="1"/>
    <x v="3"/>
    <n v="0.15"/>
    <x v="15"/>
    <s v="Weekdays only"/>
    <s v="San Francisco, CA"/>
    <n v="37.774900000000002"/>
    <n v="-122.4194"/>
    <d v="2024-12-16T00:00:00"/>
    <n v="4"/>
    <b v="1"/>
    <d v="2025-07-12T00:00:00"/>
    <x v="0"/>
    <x v="0"/>
  </r>
  <r>
    <b v="0"/>
    <d v="1899-12-30T13:26:00"/>
    <d v="1899-12-30T16:15:00"/>
    <n v="169"/>
    <x v="0"/>
    <b v="0"/>
    <b v="0"/>
    <x v="2"/>
    <x v="0"/>
    <x v="0"/>
    <x v="0"/>
    <x v="3"/>
    <n v="0.15"/>
    <x v="27"/>
    <s v="All hours"/>
    <s v="Long Beach, CA"/>
    <n v="33.770099999999999"/>
    <n v="-118.19370000000001"/>
    <d v="2023-06-16T00:00:00"/>
    <n v="0"/>
    <b v="1"/>
    <d v="2025-06-11T00:00:00"/>
    <x v="2"/>
    <x v="2"/>
  </r>
  <r>
    <b v="0"/>
    <d v="1899-12-30T17:43:00"/>
    <d v="1899-12-30T18:34:00"/>
    <n v="51"/>
    <x v="0"/>
    <b v="1"/>
    <b v="1"/>
    <x v="4"/>
    <x v="0"/>
    <x v="1"/>
    <x v="6"/>
    <x v="0"/>
    <n v="0.05"/>
    <x v="10"/>
    <s v="All hours"/>
    <s v="San Jose, CA"/>
    <n v="37.338200000000001"/>
    <n v="-121.88630000000001"/>
    <d v="2023-01-12T00:00:00"/>
    <n v="2"/>
    <b v="1"/>
    <d v="2025-06-02T00:00:00"/>
    <x v="2"/>
    <x v="2"/>
  </r>
  <r>
    <b v="1"/>
    <d v="1899-12-30T16:20:00"/>
    <d v="1899-12-30T17:21:00"/>
    <n v="61"/>
    <x v="1"/>
    <b v="1"/>
    <b v="0"/>
    <x v="4"/>
    <x v="2"/>
    <x v="0"/>
    <x v="2"/>
    <x v="1"/>
    <n v="0"/>
    <x v="3"/>
    <s v="Off-peak only"/>
    <s v="Long Beach, CA"/>
    <n v="33.770099999999999"/>
    <n v="-118.19370000000001"/>
    <d v="2022-09-20T00:00:00"/>
    <n v="8"/>
    <b v="0"/>
    <d v="2025-05-27T00:00:00"/>
    <x v="1"/>
    <x v="1"/>
  </r>
  <r>
    <b v="1"/>
    <d v="1899-12-30T13:31:00"/>
    <d v="1899-12-30T15:47:00"/>
    <n v="136"/>
    <x v="1"/>
    <b v="1"/>
    <b v="0"/>
    <x v="4"/>
    <x v="0"/>
    <x v="2"/>
    <x v="10"/>
    <x v="2"/>
    <n v="0.1"/>
    <x v="34"/>
    <s v="All hours"/>
    <s v="Oakland, CA"/>
    <n v="37.804400000000001"/>
    <n v="-122.27119999999999"/>
    <d v="2023-06-26T00:00:00"/>
    <n v="3"/>
    <b v="1"/>
    <d v="2025-06-12T00:00:00"/>
    <x v="0"/>
    <x v="0"/>
  </r>
  <r>
    <b v="0"/>
    <d v="1899-12-30T17:57:00"/>
    <d v="1899-12-30T19:45:00"/>
    <n v="108"/>
    <x v="1"/>
    <b v="1"/>
    <b v="1"/>
    <x v="1"/>
    <x v="1"/>
    <x v="0"/>
    <x v="1"/>
    <x v="1"/>
    <n v="0"/>
    <x v="1"/>
    <s v="Weekdays only"/>
    <s v="Oakland, CA"/>
    <n v="37.804400000000001"/>
    <n v="-122.27119999999999"/>
    <d v="2024-01-10T00:00:00"/>
    <n v="3"/>
    <b v="1"/>
    <d v="2025-06-23T00:00:00"/>
    <x v="1"/>
    <x v="1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9-03T00:00:00"/>
    <n v="4"/>
    <b v="1"/>
    <d v="2025-06-15T00:00:00"/>
    <x v="3"/>
    <x v="3"/>
  </r>
  <r>
    <b v="0"/>
    <d v="1899-12-30T11:50:00"/>
    <d v="1899-12-30T12:54:00"/>
    <n v="64"/>
    <x v="0"/>
    <b v="0"/>
    <b v="0"/>
    <x v="1"/>
    <x v="0"/>
    <x v="1"/>
    <x v="6"/>
    <x v="0"/>
    <n v="0.05"/>
    <x v="10"/>
    <s v="All hours"/>
    <s v="Los Angeles, CA"/>
    <n v="34.052199999999999"/>
    <n v="-118.2437"/>
    <d v="2022-12-10T00:00:00"/>
    <n v="0"/>
    <b v="1"/>
    <d v="2025-05-31T00:00:00"/>
    <x v="3"/>
    <x v="3"/>
  </r>
  <r>
    <b v="1"/>
    <d v="1899-12-30T09:04:00"/>
    <d v="1899-12-30T09:47:00"/>
    <n v="43"/>
    <x v="1"/>
    <b v="0"/>
    <b v="0"/>
    <x v="0"/>
    <x v="1"/>
    <x v="0"/>
    <x v="1"/>
    <x v="1"/>
    <n v="0"/>
    <x v="1"/>
    <s v="Weekdays only"/>
    <s v="Long Beach, CA"/>
    <n v="33.770099999999999"/>
    <n v="-118.19370000000001"/>
    <d v="2023-10-24T00:00:00"/>
    <n v="0"/>
    <b v="0"/>
    <d v="2025-06-18T00:00:00"/>
    <x v="1"/>
    <x v="1"/>
  </r>
  <r>
    <b v="0"/>
    <d v="1899-12-30T15:38:00"/>
    <d v="1899-12-30T17:36:00"/>
    <n v="118"/>
    <x v="0"/>
    <b v="1"/>
    <b v="0"/>
    <x v="4"/>
    <x v="3"/>
    <x v="0"/>
    <x v="3"/>
    <x v="0"/>
    <n v="0.05"/>
    <x v="23"/>
    <s v="All hours + Priority access"/>
    <s v="Los Angeles, CA"/>
    <n v="34.052199999999999"/>
    <n v="-118.2437"/>
    <d v="2025-05-21T00:00:00"/>
    <n v="4"/>
    <b v="1"/>
    <d v="2025-07-21T00:00:00"/>
    <x v="1"/>
    <x v="1"/>
  </r>
  <r>
    <b v="0"/>
    <d v="1899-12-30T11:06:00"/>
    <d v="1899-12-30T11:44:00"/>
    <n v="38"/>
    <x v="1"/>
    <b v="1"/>
    <b v="0"/>
    <x v="4"/>
    <x v="0"/>
    <x v="0"/>
    <x v="0"/>
    <x v="2"/>
    <n v="0.1"/>
    <x v="16"/>
    <s v="All hours"/>
    <s v="Anaheim, CA"/>
    <n v="33.836599999999997"/>
    <n v="-117.9143"/>
    <d v="2022-10-05T00:00:00"/>
    <n v="7"/>
    <b v="1"/>
    <d v="2025-05-28T00:00:00"/>
    <x v="1"/>
    <x v="1"/>
  </r>
  <r>
    <b v="0"/>
    <d v="1899-12-30T16:57:00"/>
    <d v="1899-12-30T18:54:00"/>
    <n v="117"/>
    <x v="1"/>
    <b v="1"/>
    <b v="0"/>
    <x v="4"/>
    <x v="2"/>
    <x v="1"/>
    <x v="5"/>
    <x v="1"/>
    <n v="0"/>
    <x v="14"/>
    <s v="Off-peak only"/>
    <s v="Sacramento, CA"/>
    <n v="38.581600000000002"/>
    <n v="-121.4944"/>
    <d v="2023-06-19T00:00:00"/>
    <n v="1"/>
    <b v="0"/>
    <d v="2025-06-11T00:00:00"/>
    <x v="2"/>
    <x v="2"/>
  </r>
  <r>
    <b v="0"/>
    <d v="1899-12-30T15:10:00"/>
    <d v="1899-12-30T16:06:00"/>
    <n v="56"/>
    <x v="0"/>
    <b v="1"/>
    <b v="0"/>
    <x v="0"/>
    <x v="2"/>
    <x v="0"/>
    <x v="2"/>
    <x v="0"/>
    <n v="0.05"/>
    <x v="18"/>
    <s v="Off-peak only"/>
    <s v="Oakland, CA"/>
    <n v="37.804400000000001"/>
    <n v="-122.27119999999999"/>
    <d v="2023-07-03T00:00:00"/>
    <n v="7"/>
    <b v="1"/>
    <d v="2025-06-12T00:00:00"/>
    <x v="2"/>
    <x v="2"/>
  </r>
  <r>
    <b v="1"/>
    <d v="1899-12-30T20:17:00"/>
    <d v="1899-12-30T21:11:00"/>
    <n v="54"/>
    <x v="0"/>
    <b v="0"/>
    <b v="1"/>
    <x v="1"/>
    <x v="1"/>
    <x v="0"/>
    <x v="1"/>
    <x v="2"/>
    <n v="0.1"/>
    <x v="2"/>
    <s v="Weekdays only"/>
    <s v="Oakland, CA"/>
    <n v="37.804400000000001"/>
    <n v="-122.27119999999999"/>
    <d v="2024-11-05T00:00:00"/>
    <n v="0"/>
    <b v="0"/>
    <d v="2025-07-10T00:00:00"/>
    <x v="0"/>
    <x v="0"/>
  </r>
  <r>
    <b v="1"/>
    <d v="1899-12-30T09:46:00"/>
    <d v="1899-12-30T11:10:00"/>
    <n v="84"/>
    <x v="1"/>
    <b v="1"/>
    <b v="0"/>
    <x v="4"/>
    <x v="0"/>
    <x v="2"/>
    <x v="10"/>
    <x v="1"/>
    <n v="0"/>
    <x v="16"/>
    <s v="All hours"/>
    <s v="Long Beach, CA"/>
    <n v="33.770099999999999"/>
    <n v="-118.19370000000001"/>
    <d v="2023-07-22T00:00:00"/>
    <n v="7"/>
    <b v="1"/>
    <d v="2025-06-13T00:00:00"/>
    <x v="0"/>
    <x v="0"/>
  </r>
  <r>
    <b v="0"/>
    <d v="1899-12-30T13:42:00"/>
    <d v="1899-12-30T14:33:00"/>
    <n v="51"/>
    <x v="0"/>
    <b v="0"/>
    <b v="1"/>
    <x v="0"/>
    <x v="3"/>
    <x v="0"/>
    <x v="3"/>
    <x v="0"/>
    <n v="0.05"/>
    <x v="23"/>
    <s v="All hours + Priority access"/>
    <s v="Long Beach, CA"/>
    <n v="33.770099999999999"/>
    <n v="-118.19370000000001"/>
    <d v="2024-04-29T00:00:00"/>
    <n v="0"/>
    <b v="1"/>
    <d v="2025-06-29T00:00:00"/>
    <x v="3"/>
    <x v="3"/>
  </r>
  <r>
    <b v="0"/>
    <d v="1899-12-30T08:41:00"/>
    <d v="1899-12-30T11:33:00"/>
    <n v="172"/>
    <x v="0"/>
    <b v="0"/>
    <b v="1"/>
    <x v="4"/>
    <x v="0"/>
    <x v="1"/>
    <x v="6"/>
    <x v="0"/>
    <n v="0.05"/>
    <x v="10"/>
    <s v="All hours"/>
    <s v="San Francisco, CA"/>
    <n v="37.774900000000002"/>
    <n v="-122.4194"/>
    <d v="2023-07-30T00:00:00"/>
    <n v="0"/>
    <b v="1"/>
    <d v="2025-06-13T00:00:00"/>
    <x v="2"/>
    <x v="2"/>
  </r>
  <r>
    <b v="0"/>
    <d v="1899-12-30T17:08:00"/>
    <d v="1899-12-30T18:16:00"/>
    <n v="68"/>
    <x v="1"/>
    <b v="1"/>
    <b v="0"/>
    <x v="4"/>
    <x v="2"/>
    <x v="2"/>
    <x v="7"/>
    <x v="1"/>
    <n v="0"/>
    <x v="6"/>
    <s v="Off-peak only"/>
    <s v="Long Beach, CA"/>
    <n v="33.770099999999999"/>
    <n v="-118.19370000000001"/>
    <d v="2025-03-01T00:00:00"/>
    <n v="8"/>
    <b v="0"/>
    <d v="2025-07-16T00:00:00"/>
    <x v="0"/>
    <x v="0"/>
  </r>
  <r>
    <b v="0"/>
    <d v="1899-12-30T11:27:00"/>
    <d v="1899-12-30T13:39:00"/>
    <n v="132"/>
    <x v="1"/>
    <b v="1"/>
    <b v="0"/>
    <x v="1"/>
    <x v="3"/>
    <x v="0"/>
    <x v="3"/>
    <x v="1"/>
    <n v="0"/>
    <x v="4"/>
    <s v="All hours + Priority access"/>
    <s v="San Francisco, CA"/>
    <n v="37.774900000000002"/>
    <n v="-122.4194"/>
    <d v="2023-07-23T00:00:00"/>
    <n v="3"/>
    <b v="0"/>
    <d v="2025-06-13T00:00:00"/>
    <x v="0"/>
    <x v="0"/>
  </r>
  <r>
    <b v="1"/>
    <d v="1899-12-30T13:10:00"/>
    <d v="1899-12-30T16:02:00"/>
    <n v="172"/>
    <x v="0"/>
    <b v="0"/>
    <b v="1"/>
    <x v="0"/>
    <x v="0"/>
    <x v="0"/>
    <x v="0"/>
    <x v="0"/>
    <n v="0.05"/>
    <x v="0"/>
    <s v="All hours"/>
    <s v="Fresno, CA"/>
    <n v="36.7378"/>
    <n v="-119.7871"/>
    <d v="2022-07-24T00:00:00"/>
    <n v="0"/>
    <b v="0"/>
    <d v="2025-05-24T00:00:00"/>
    <x v="1"/>
    <x v="1"/>
  </r>
  <r>
    <b v="1"/>
    <d v="1899-12-30T19:23:00"/>
    <d v="1899-12-30T20:27:00"/>
    <n v="64"/>
    <x v="0"/>
    <b v="0"/>
    <b v="0"/>
    <x v="1"/>
    <x v="0"/>
    <x v="0"/>
    <x v="0"/>
    <x v="1"/>
    <n v="0"/>
    <x v="5"/>
    <s v="All hours"/>
    <s v="Fresno, CA"/>
    <n v="36.7378"/>
    <n v="-119.7871"/>
    <d v="2025-05-02T00:00:00"/>
    <n v="0"/>
    <b v="1"/>
    <d v="2025-07-20T00:00:00"/>
    <x v="0"/>
    <x v="0"/>
  </r>
  <r>
    <b v="0"/>
    <d v="1899-12-30T11:51:00"/>
    <d v="1899-12-30T14:21:00"/>
    <n v="150"/>
    <x v="1"/>
    <b v="1"/>
    <b v="0"/>
    <x v="4"/>
    <x v="2"/>
    <x v="0"/>
    <x v="2"/>
    <x v="0"/>
    <n v="0.05"/>
    <x v="18"/>
    <s v="Off-peak only"/>
    <s v="Bakersfield, CA"/>
    <n v="35.3733"/>
    <n v="-119.0187"/>
    <d v="2022-08-17T00:00:00"/>
    <n v="8"/>
    <b v="1"/>
    <d v="2025-05-25T00:00:00"/>
    <x v="3"/>
    <x v="3"/>
  </r>
  <r>
    <b v="0"/>
    <d v="1899-12-30T10:16:00"/>
    <d v="1899-12-30T11:47:00"/>
    <n v="91"/>
    <x v="1"/>
    <b v="0"/>
    <b v="1"/>
    <x v="4"/>
    <x v="0"/>
    <x v="0"/>
    <x v="0"/>
    <x v="2"/>
    <n v="0.1"/>
    <x v="16"/>
    <s v="All hours"/>
    <s v="San Francisco, CA"/>
    <n v="37.774900000000002"/>
    <n v="-122.4194"/>
    <d v="2024-04-15T00:00:00"/>
    <n v="0"/>
    <b v="0"/>
    <d v="2025-06-28T00:00:00"/>
    <x v="1"/>
    <x v="1"/>
  </r>
  <r>
    <b v="1"/>
    <d v="1899-12-30T09:55:00"/>
    <d v="1899-12-30T10:43:00"/>
    <n v="48"/>
    <x v="0"/>
    <b v="0"/>
    <b v="1"/>
    <x v="1"/>
    <x v="0"/>
    <x v="0"/>
    <x v="0"/>
    <x v="1"/>
    <n v="0"/>
    <x v="5"/>
    <s v="All hours"/>
    <s v="Fresno, CA"/>
    <n v="36.7378"/>
    <n v="-119.7871"/>
    <d v="2022-12-08T00:00:00"/>
    <n v="0"/>
    <b v="0"/>
    <d v="2025-05-31T00:00:00"/>
    <x v="0"/>
    <x v="0"/>
  </r>
  <r>
    <b v="1"/>
    <d v="1899-12-30T16:41:00"/>
    <d v="1899-12-30T17:48:00"/>
    <n v="67"/>
    <x v="1"/>
    <b v="0"/>
    <b v="1"/>
    <x v="0"/>
    <x v="3"/>
    <x v="0"/>
    <x v="3"/>
    <x v="1"/>
    <n v="0"/>
    <x v="4"/>
    <s v="All hours + Priority access"/>
    <s v="San Jose, CA"/>
    <n v="37.338200000000001"/>
    <n v="-121.88630000000001"/>
    <d v="2023-03-12T00:00:00"/>
    <n v="0"/>
    <b v="1"/>
    <d v="2025-06-06T00:00:00"/>
    <x v="1"/>
    <x v="1"/>
  </r>
  <r>
    <b v="0"/>
    <d v="1899-12-30T11:26:00"/>
    <d v="1899-12-30T12:55:00"/>
    <n v="89"/>
    <x v="0"/>
    <b v="0"/>
    <b v="1"/>
    <x v="1"/>
    <x v="2"/>
    <x v="0"/>
    <x v="2"/>
    <x v="3"/>
    <n v="0.15"/>
    <x v="17"/>
    <s v="Off-peak only"/>
    <s v="San Jose, CA"/>
    <n v="37.338200000000001"/>
    <n v="-121.88630000000001"/>
    <d v="2023-10-28T00:00:00"/>
    <n v="0"/>
    <b v="0"/>
    <d v="2025-06-18T00:00:00"/>
    <x v="0"/>
    <x v="0"/>
  </r>
  <r>
    <b v="0"/>
    <d v="1899-12-30T14:33:00"/>
    <d v="1899-12-30T16:48:00"/>
    <n v="135"/>
    <x v="0"/>
    <b v="0"/>
    <b v="1"/>
    <x v="0"/>
    <x v="1"/>
    <x v="0"/>
    <x v="1"/>
    <x v="2"/>
    <n v="0.1"/>
    <x v="2"/>
    <s v="Weekdays only"/>
    <s v="San Jose, CA"/>
    <n v="37.338200000000001"/>
    <n v="-121.88630000000001"/>
    <d v="2023-04-28T00:00:00"/>
    <n v="0"/>
    <b v="0"/>
    <d v="2025-06-08T00:00:00"/>
    <x v="2"/>
    <x v="4"/>
  </r>
  <r>
    <b v="0"/>
    <d v="1899-12-30T08:44:00"/>
    <d v="1899-12-30T11:11:00"/>
    <n v="147"/>
    <x v="1"/>
    <b v="0"/>
    <b v="0"/>
    <x v="4"/>
    <x v="0"/>
    <x v="0"/>
    <x v="0"/>
    <x v="1"/>
    <n v="0"/>
    <x v="5"/>
    <s v="All hours"/>
    <s v="San Jose, CA"/>
    <n v="37.338200000000001"/>
    <n v="-121.88630000000001"/>
    <d v="2022-11-30T00:00:00"/>
    <n v="0"/>
    <b v="0"/>
    <d v="2025-05-31T00:00:00"/>
    <x v="3"/>
    <x v="3"/>
  </r>
  <r>
    <b v="1"/>
    <d v="1899-12-30T19:42:00"/>
    <d v="1899-12-30T20:57:00"/>
    <n v="75"/>
    <x v="0"/>
    <b v="0"/>
    <b v="0"/>
    <x v="1"/>
    <x v="1"/>
    <x v="0"/>
    <x v="1"/>
    <x v="1"/>
    <n v="0"/>
    <x v="1"/>
    <s v="Weekdays only"/>
    <s v="San Francisco, CA"/>
    <n v="37.774900000000002"/>
    <n v="-122.4194"/>
    <d v="2024-04-18T00:00:00"/>
    <n v="0"/>
    <b v="1"/>
    <d v="2025-06-28T00:00:00"/>
    <x v="2"/>
    <x v="2"/>
  </r>
  <r>
    <b v="1"/>
    <d v="1899-12-30T14:44:00"/>
    <d v="1899-12-30T16:00:00"/>
    <n v="76"/>
    <x v="1"/>
    <b v="1"/>
    <b v="1"/>
    <x v="2"/>
    <x v="0"/>
    <x v="0"/>
    <x v="0"/>
    <x v="2"/>
    <n v="0.1"/>
    <x v="16"/>
    <s v="All hours"/>
    <s v="Los Angeles, CA"/>
    <n v="34.052199999999999"/>
    <n v="-118.2437"/>
    <d v="2024-07-09T00:00:00"/>
    <n v="8"/>
    <b v="1"/>
    <d v="2025-07-03T00:00:00"/>
    <x v="1"/>
    <x v="1"/>
  </r>
  <r>
    <b v="0"/>
    <d v="1899-12-30T20:53:00"/>
    <d v="1899-12-30T23:33:00"/>
    <n v="160"/>
    <x v="1"/>
    <b v="0"/>
    <b v="0"/>
    <x v="0"/>
    <x v="0"/>
    <x v="0"/>
    <x v="0"/>
    <x v="2"/>
    <n v="0.1"/>
    <x v="16"/>
    <s v="All hours"/>
    <s v="Bakersfield, CA"/>
    <n v="35.3733"/>
    <n v="-119.0187"/>
    <d v="2023-07-13T00:00:00"/>
    <n v="0"/>
    <b v="1"/>
    <d v="2025-06-12T00:00:00"/>
    <x v="3"/>
    <x v="3"/>
  </r>
  <r>
    <b v="1"/>
    <d v="1899-12-30T20:07:00"/>
    <d v="1899-12-30T21:39:00"/>
    <n v="92"/>
    <x v="1"/>
    <b v="0"/>
    <b v="0"/>
    <x v="4"/>
    <x v="0"/>
    <x v="0"/>
    <x v="0"/>
    <x v="0"/>
    <n v="0.05"/>
    <x v="0"/>
    <s v="All hours"/>
    <s v="Oakland, CA"/>
    <n v="37.804400000000001"/>
    <n v="-122.27119999999999"/>
    <d v="2023-02-13T00:00:00"/>
    <n v="0"/>
    <b v="1"/>
    <d v="2025-06-04T00:00:00"/>
    <x v="2"/>
    <x v="4"/>
  </r>
  <r>
    <b v="0"/>
    <d v="1899-12-30T15:54:00"/>
    <d v="1899-12-30T16:46:00"/>
    <n v="52"/>
    <x v="0"/>
    <b v="1"/>
    <b v="0"/>
    <x v="1"/>
    <x v="1"/>
    <x v="0"/>
    <x v="1"/>
    <x v="0"/>
    <n v="0.05"/>
    <x v="7"/>
    <s v="Weekdays only"/>
    <s v="Los Angeles, CA"/>
    <n v="34.052199999999999"/>
    <n v="-118.2437"/>
    <d v="2023-04-03T00:00:00"/>
    <n v="2"/>
    <b v="0"/>
    <d v="2025-06-07T00:00:00"/>
    <x v="2"/>
    <x v="2"/>
  </r>
  <r>
    <b v="1"/>
    <d v="1899-12-30T16:29:00"/>
    <d v="1899-12-30T19:08:00"/>
    <n v="159"/>
    <x v="1"/>
    <b v="0"/>
    <b v="1"/>
    <x v="0"/>
    <x v="1"/>
    <x v="0"/>
    <x v="1"/>
    <x v="1"/>
    <n v="0"/>
    <x v="1"/>
    <s v="Weekdays only"/>
    <s v="Los Angeles, CA"/>
    <n v="34.052199999999999"/>
    <n v="-118.2437"/>
    <d v="2023-02-24T00:00:00"/>
    <n v="0"/>
    <b v="0"/>
    <d v="2025-06-05T00:00:00"/>
    <x v="3"/>
    <x v="3"/>
  </r>
  <r>
    <b v="1"/>
    <d v="1899-12-30T08:05:00"/>
    <d v="1899-12-30T09:23:00"/>
    <n v="78"/>
    <x v="1"/>
    <b v="0"/>
    <b v="0"/>
    <x v="0"/>
    <x v="0"/>
    <x v="0"/>
    <x v="0"/>
    <x v="2"/>
    <n v="0.1"/>
    <x v="16"/>
    <s v="All hours"/>
    <s v="Bakersfield, CA"/>
    <n v="35.3733"/>
    <n v="-119.0187"/>
    <d v="2024-03-16T00:00:00"/>
    <n v="0"/>
    <b v="1"/>
    <d v="2025-06-26T00:00:00"/>
    <x v="2"/>
    <x v="2"/>
  </r>
  <r>
    <b v="1"/>
    <d v="1899-12-30T19:35:00"/>
    <d v="1899-12-30T21:08:00"/>
    <n v="93"/>
    <x v="0"/>
    <b v="0"/>
    <b v="0"/>
    <x v="2"/>
    <x v="0"/>
    <x v="1"/>
    <x v="6"/>
    <x v="2"/>
    <n v="0.1"/>
    <x v="30"/>
    <s v="All hours"/>
    <s v="Fresno, CA"/>
    <n v="36.7378"/>
    <n v="-119.7871"/>
    <d v="2023-02-03T00:00:00"/>
    <n v="0"/>
    <b v="1"/>
    <d v="2025-06-03T00:00:00"/>
    <x v="0"/>
    <x v="0"/>
  </r>
  <r>
    <b v="0"/>
    <d v="1899-12-30T20:46:00"/>
    <d v="1899-12-30T22:09:00"/>
    <n v="83"/>
    <x v="1"/>
    <b v="1"/>
    <b v="1"/>
    <x v="4"/>
    <x v="0"/>
    <x v="1"/>
    <x v="6"/>
    <x v="3"/>
    <n v="0.15"/>
    <x v="28"/>
    <s v="All hours"/>
    <s v="Bakersfield, CA"/>
    <n v="35.3733"/>
    <n v="-119.0187"/>
    <d v="2025-02-14T00:00:00"/>
    <n v="3"/>
    <b v="1"/>
    <d v="2025-07-15T00:00:00"/>
    <x v="0"/>
    <x v="0"/>
  </r>
  <r>
    <b v="0"/>
    <d v="1899-12-30T08:38:00"/>
    <d v="1899-12-30T10:58:00"/>
    <n v="140"/>
    <x v="1"/>
    <b v="1"/>
    <b v="0"/>
    <x v="2"/>
    <x v="2"/>
    <x v="1"/>
    <x v="5"/>
    <x v="1"/>
    <n v="0"/>
    <x v="14"/>
    <s v="Off-peak only"/>
    <s v="Sacramento, CA"/>
    <n v="38.581600000000002"/>
    <n v="-121.4944"/>
    <d v="2023-11-21T00:00:00"/>
    <n v="1"/>
    <b v="1"/>
    <d v="2025-06-20T00:00:00"/>
    <x v="1"/>
    <x v="1"/>
  </r>
  <r>
    <b v="0"/>
    <d v="1899-12-30T11:02:00"/>
    <d v="1899-12-30T12:22:00"/>
    <n v="80"/>
    <x v="1"/>
    <b v="1"/>
    <b v="1"/>
    <x v="0"/>
    <x v="0"/>
    <x v="0"/>
    <x v="0"/>
    <x v="1"/>
    <n v="0"/>
    <x v="5"/>
    <s v="All hours"/>
    <s v="Los Angeles, CA"/>
    <n v="34.052199999999999"/>
    <n v="-118.2437"/>
    <d v="2025-06-16T00:00:00"/>
    <n v="6"/>
    <b v="1"/>
    <d v="2025-07-22T00:00:00"/>
    <x v="3"/>
    <x v="3"/>
  </r>
  <r>
    <b v="1"/>
    <d v="1899-12-30T18:07:00"/>
    <d v="1899-12-30T19:42:00"/>
    <n v="95"/>
    <x v="0"/>
    <b v="0"/>
    <b v="0"/>
    <x v="4"/>
    <x v="1"/>
    <x v="0"/>
    <x v="1"/>
    <x v="2"/>
    <n v="0.1"/>
    <x v="2"/>
    <s v="Weekdays only"/>
    <s v="Oakland, CA"/>
    <n v="37.804400000000001"/>
    <n v="-122.27119999999999"/>
    <d v="2024-07-12T00:00:00"/>
    <n v="0"/>
    <b v="0"/>
    <d v="2025-07-03T00:00:00"/>
    <x v="0"/>
    <x v="0"/>
  </r>
  <r>
    <b v="0"/>
    <d v="1899-12-30T09:57:00"/>
    <d v="1899-12-30T12:22:00"/>
    <n v="145"/>
    <x v="0"/>
    <b v="0"/>
    <b v="0"/>
    <x v="1"/>
    <x v="3"/>
    <x v="1"/>
    <x v="11"/>
    <x v="2"/>
    <n v="0.1"/>
    <x v="32"/>
    <s v="All hours + Priority access"/>
    <s v="Los Angeles, CA"/>
    <n v="34.052199999999999"/>
    <n v="-118.2437"/>
    <d v="2024-05-28T00:00:00"/>
    <n v="0"/>
    <b v="1"/>
    <d v="2025-07-01T00:00:00"/>
    <x v="3"/>
    <x v="3"/>
  </r>
  <r>
    <b v="0"/>
    <d v="1899-12-30T16:34:00"/>
    <d v="1899-12-30T19:02:00"/>
    <n v="148"/>
    <x v="0"/>
    <b v="0"/>
    <b v="1"/>
    <x v="4"/>
    <x v="0"/>
    <x v="0"/>
    <x v="0"/>
    <x v="1"/>
    <n v="0"/>
    <x v="5"/>
    <s v="All hours"/>
    <s v="Bakersfield, CA"/>
    <n v="35.3733"/>
    <n v="-119.0187"/>
    <d v="2024-04-27T00:00:00"/>
    <n v="0"/>
    <b v="1"/>
    <d v="2025-06-29T00:00:00"/>
    <x v="1"/>
    <x v="1"/>
  </r>
  <r>
    <b v="0"/>
    <d v="1899-12-30T15:04:00"/>
    <d v="1899-12-30T17:05:00"/>
    <n v="121"/>
    <x v="0"/>
    <b v="1"/>
    <b v="0"/>
    <x v="2"/>
    <x v="0"/>
    <x v="1"/>
    <x v="6"/>
    <x v="3"/>
    <n v="0.15"/>
    <x v="28"/>
    <s v="All hours"/>
    <s v="Oakland, CA"/>
    <n v="37.804400000000001"/>
    <n v="-122.27119999999999"/>
    <d v="2023-06-13T00:00:00"/>
    <n v="4"/>
    <b v="1"/>
    <d v="2025-06-11T00:00:00"/>
    <x v="0"/>
    <x v="0"/>
  </r>
  <r>
    <b v="1"/>
    <d v="1899-12-30T20:07:00"/>
    <d v="1899-12-30T21:39:00"/>
    <n v="92"/>
    <x v="1"/>
    <b v="0"/>
    <b v="0"/>
    <x v="4"/>
    <x v="0"/>
    <x v="0"/>
    <x v="0"/>
    <x v="0"/>
    <n v="0.05"/>
    <x v="0"/>
    <s v="All hours"/>
    <s v="Oakland, CA"/>
    <n v="37.804400000000001"/>
    <n v="-122.27119999999999"/>
    <d v="2024-05-05T00:00:00"/>
    <n v="0"/>
    <b v="1"/>
    <d v="2025-06-29T00:00:00"/>
    <x v="2"/>
    <x v="4"/>
  </r>
  <r>
    <b v="0"/>
    <d v="1899-12-30T17:42:00"/>
    <d v="1899-12-30T19:00:00"/>
    <n v="78"/>
    <x v="1"/>
    <b v="1"/>
    <b v="1"/>
    <x v="4"/>
    <x v="3"/>
    <x v="2"/>
    <x v="9"/>
    <x v="2"/>
    <n v="0.1"/>
    <x v="41"/>
    <s v="All hours + Priority access"/>
    <s v="Los Angeles, CA"/>
    <n v="34.052199999999999"/>
    <n v="-118.2437"/>
    <d v="2024-03-02T00:00:00"/>
    <n v="4"/>
    <b v="1"/>
    <d v="2025-06-26T00:00:00"/>
    <x v="0"/>
    <x v="0"/>
  </r>
  <r>
    <b v="1"/>
    <d v="1899-12-30T09:11:00"/>
    <d v="1899-12-30T10:48:00"/>
    <n v="97"/>
    <x v="0"/>
    <b v="0"/>
    <b v="1"/>
    <x v="4"/>
    <x v="2"/>
    <x v="2"/>
    <x v="7"/>
    <x v="1"/>
    <n v="0"/>
    <x v="6"/>
    <s v="Off-peak only"/>
    <s v="Fresno, CA"/>
    <n v="36.7378"/>
    <n v="-119.7871"/>
    <d v="2024-10-13T00:00:00"/>
    <n v="0"/>
    <b v="0"/>
    <d v="2025-07-08T00:00:00"/>
    <x v="3"/>
    <x v="3"/>
  </r>
  <r>
    <b v="0"/>
    <d v="1899-12-30T08:34:00"/>
    <d v="1899-12-30T10:00:00"/>
    <n v="86"/>
    <x v="0"/>
    <b v="0"/>
    <b v="1"/>
    <x v="0"/>
    <x v="1"/>
    <x v="0"/>
    <x v="1"/>
    <x v="2"/>
    <n v="0.1"/>
    <x v="2"/>
    <s v="Weekdays only"/>
    <s v="Bakersfield, CA"/>
    <n v="35.3733"/>
    <n v="-119.0187"/>
    <d v="2024-05-21T00:00:00"/>
    <n v="0"/>
    <b v="0"/>
    <d v="2025-06-30T00:00:00"/>
    <x v="3"/>
    <x v="3"/>
  </r>
  <r>
    <b v="1"/>
    <d v="1899-12-30T18:43:00"/>
    <d v="1899-12-30T21:06:00"/>
    <n v="143"/>
    <x v="1"/>
    <b v="0"/>
    <b v="1"/>
    <x v="4"/>
    <x v="3"/>
    <x v="0"/>
    <x v="3"/>
    <x v="2"/>
    <n v="0.1"/>
    <x v="22"/>
    <s v="All hours + Priority access"/>
    <s v="Long Beach, CA"/>
    <n v="33.770099999999999"/>
    <n v="-118.19370000000001"/>
    <d v="2024-10-23T00:00:00"/>
    <n v="0"/>
    <b v="1"/>
    <d v="2025-07-09T00:00:00"/>
    <x v="2"/>
    <x v="2"/>
  </r>
  <r>
    <b v="1"/>
    <d v="1899-12-30T19:35:00"/>
    <d v="1899-12-30T21:08:00"/>
    <n v="93"/>
    <x v="0"/>
    <b v="0"/>
    <b v="0"/>
    <x v="2"/>
    <x v="0"/>
    <x v="1"/>
    <x v="6"/>
    <x v="2"/>
    <n v="0.1"/>
    <x v="30"/>
    <s v="All hours"/>
    <s v="Fresno, CA"/>
    <n v="36.7378"/>
    <n v="-119.7871"/>
    <d v="2025-04-06T00:00:00"/>
    <n v="0"/>
    <b v="1"/>
    <d v="2025-07-18T00:00:00"/>
    <x v="0"/>
    <x v="0"/>
  </r>
  <r>
    <b v="1"/>
    <d v="1899-12-30T19:00:00"/>
    <d v="1899-12-30T19:49:00"/>
    <n v="49"/>
    <x v="1"/>
    <b v="0"/>
    <b v="1"/>
    <x v="4"/>
    <x v="1"/>
    <x v="0"/>
    <x v="1"/>
    <x v="0"/>
    <n v="0.05"/>
    <x v="7"/>
    <s v="Weekdays only"/>
    <s v="Bakersfield, CA"/>
    <n v="35.3733"/>
    <n v="-119.0187"/>
    <d v="2023-09-19T00:00:00"/>
    <n v="0"/>
    <b v="0"/>
    <d v="2025-06-16T00:00:00"/>
    <x v="3"/>
    <x v="3"/>
  </r>
  <r>
    <b v="1"/>
    <d v="1899-12-30T10:24:00"/>
    <d v="1899-12-30T12:48:00"/>
    <n v="144"/>
    <x v="0"/>
    <b v="1"/>
    <b v="0"/>
    <x v="4"/>
    <x v="2"/>
    <x v="1"/>
    <x v="5"/>
    <x v="1"/>
    <n v="0"/>
    <x v="14"/>
    <s v="Off-peak only"/>
    <s v="Long Beach, CA"/>
    <n v="33.770099999999999"/>
    <n v="-118.19370000000001"/>
    <d v="2023-07-12T00:00:00"/>
    <n v="1"/>
    <b v="0"/>
    <d v="2025-06-12T00:00:00"/>
    <x v="1"/>
    <x v="1"/>
  </r>
  <r>
    <b v="0"/>
    <d v="1899-12-30T09:38:00"/>
    <d v="1899-12-30T10:36:00"/>
    <n v="58"/>
    <x v="0"/>
    <b v="0"/>
    <b v="0"/>
    <x v="4"/>
    <x v="0"/>
    <x v="0"/>
    <x v="0"/>
    <x v="0"/>
    <n v="0.05"/>
    <x v="0"/>
    <s v="All hours"/>
    <s v="Fresno, CA"/>
    <n v="36.7378"/>
    <n v="-119.7871"/>
    <d v="2023-09-02T00:00:00"/>
    <n v="0"/>
    <b v="1"/>
    <d v="2025-06-15T00:00:00"/>
    <x v="1"/>
    <x v="1"/>
  </r>
  <r>
    <b v="1"/>
    <d v="1899-12-30T20:43:00"/>
    <d v="1899-12-30T21:23:00"/>
    <n v="40"/>
    <x v="1"/>
    <b v="0"/>
    <b v="0"/>
    <x v="3"/>
    <x v="1"/>
    <x v="2"/>
    <x v="8"/>
    <x v="1"/>
    <n v="0"/>
    <x v="2"/>
    <s v="Weekdays only"/>
    <s v="San Francisco, CA"/>
    <n v="37.774900000000002"/>
    <n v="-122.4194"/>
    <d v="2024-02-15T00:00:00"/>
    <n v="0"/>
    <b v="0"/>
    <d v="2025-06-25T00:00:00"/>
    <x v="3"/>
    <x v="3"/>
  </r>
  <r>
    <b v="1"/>
    <d v="1899-12-30T16:01:00"/>
    <d v="1899-12-30T18:16:00"/>
    <n v="135"/>
    <x v="0"/>
    <b v="1"/>
    <b v="1"/>
    <x v="4"/>
    <x v="0"/>
    <x v="0"/>
    <x v="0"/>
    <x v="1"/>
    <n v="0"/>
    <x v="5"/>
    <s v="All hours"/>
    <s v="San Jose, CA"/>
    <n v="37.338200000000001"/>
    <n v="-121.88630000000001"/>
    <d v="2024-05-14T00:00:00"/>
    <n v="8"/>
    <b v="1"/>
    <d v="2025-06-30T00:00:00"/>
    <x v="0"/>
    <x v="0"/>
  </r>
  <r>
    <b v="0"/>
    <d v="1899-12-30T17:58:00"/>
    <d v="1899-12-30T19:58:00"/>
    <n v="120"/>
    <x v="1"/>
    <b v="0"/>
    <b v="1"/>
    <x v="2"/>
    <x v="0"/>
    <x v="1"/>
    <x v="6"/>
    <x v="1"/>
    <n v="0"/>
    <x v="12"/>
    <s v="All hours"/>
    <s v="Oakland, CA"/>
    <n v="37.804400000000001"/>
    <n v="-122.27119999999999"/>
    <d v="2022-12-16T00:00:00"/>
    <n v="0"/>
    <b v="0"/>
    <d v="2025-06-01T00:00:00"/>
    <x v="1"/>
    <x v="1"/>
  </r>
  <r>
    <b v="0"/>
    <d v="1899-12-30T09:47:00"/>
    <d v="1899-12-30T12:16:00"/>
    <n v="149"/>
    <x v="0"/>
    <b v="1"/>
    <b v="0"/>
    <x v="1"/>
    <x v="0"/>
    <x v="0"/>
    <x v="0"/>
    <x v="1"/>
    <n v="0"/>
    <x v="5"/>
    <s v="All hours"/>
    <s v="Anaheim, CA"/>
    <n v="33.836599999999997"/>
    <n v="-117.9143"/>
    <d v="2023-12-18T00:00:00"/>
    <n v="7"/>
    <b v="0"/>
    <d v="2025-06-21T00:00:00"/>
    <x v="2"/>
    <x v="4"/>
  </r>
  <r>
    <b v="1"/>
    <d v="1899-12-30T20:23:00"/>
    <d v="1899-12-30T21:08:00"/>
    <n v="45"/>
    <x v="1"/>
    <b v="0"/>
    <b v="1"/>
    <x v="0"/>
    <x v="0"/>
    <x v="0"/>
    <x v="0"/>
    <x v="3"/>
    <n v="0.15"/>
    <x v="27"/>
    <s v="All hours"/>
    <s v="San Jose, CA"/>
    <n v="37.338200000000001"/>
    <n v="-121.88630000000001"/>
    <d v="2024-01-29T00:00:00"/>
    <n v="0"/>
    <b v="1"/>
    <d v="2025-06-24T00:00:00"/>
    <x v="0"/>
    <x v="0"/>
  </r>
  <r>
    <b v="1"/>
    <d v="1899-12-30T13:08:00"/>
    <d v="1899-12-30T14:35:00"/>
    <n v="87"/>
    <x v="1"/>
    <b v="1"/>
    <b v="1"/>
    <x v="0"/>
    <x v="1"/>
    <x v="1"/>
    <x v="4"/>
    <x v="3"/>
    <n v="0.15"/>
    <x v="29"/>
    <s v="Weekdays only"/>
    <s v="Sacramento, CA"/>
    <n v="38.581600000000002"/>
    <n v="-121.4944"/>
    <d v="2025-05-26T00:00:00"/>
    <n v="2"/>
    <b v="1"/>
    <d v="2025-07-21T00:00:00"/>
    <x v="3"/>
    <x v="3"/>
  </r>
  <r>
    <b v="0"/>
    <d v="1899-12-30T13:58:00"/>
    <d v="1899-12-30T14:35:00"/>
    <n v="37"/>
    <x v="1"/>
    <b v="1"/>
    <b v="0"/>
    <x v="2"/>
    <x v="0"/>
    <x v="0"/>
    <x v="0"/>
    <x v="2"/>
    <n v="0.1"/>
    <x v="16"/>
    <s v="All hours"/>
    <s v="Oakland, CA"/>
    <n v="37.804400000000001"/>
    <n v="-122.27119999999999"/>
    <d v="2024-06-24T00:00:00"/>
    <n v="8"/>
    <b v="1"/>
    <d v="2025-07-02T00:00:00"/>
    <x v="0"/>
    <x v="0"/>
  </r>
  <r>
    <b v="0"/>
    <d v="1899-12-30T17:01:00"/>
    <d v="1899-12-30T19:09:00"/>
    <n v="128"/>
    <x v="0"/>
    <b v="1"/>
    <b v="0"/>
    <x v="2"/>
    <x v="1"/>
    <x v="0"/>
    <x v="1"/>
    <x v="1"/>
    <n v="0"/>
    <x v="1"/>
    <s v="Weekdays only"/>
    <s v="Fresno, CA"/>
    <n v="36.7378"/>
    <n v="-119.7871"/>
    <d v="2024-05-14T00:00:00"/>
    <n v="4"/>
    <b v="1"/>
    <d v="2025-06-30T00:00:00"/>
    <x v="1"/>
    <x v="1"/>
  </r>
  <r>
    <b v="0"/>
    <d v="1899-12-30T14:01:00"/>
    <d v="1899-12-30T16:17:00"/>
    <n v="136"/>
    <x v="0"/>
    <b v="0"/>
    <b v="0"/>
    <x v="4"/>
    <x v="3"/>
    <x v="0"/>
    <x v="3"/>
    <x v="1"/>
    <n v="0"/>
    <x v="4"/>
    <s v="All hours + Priority access"/>
    <s v="Anaheim, CA"/>
    <n v="33.836599999999997"/>
    <n v="-117.9143"/>
    <d v="2024-04-24T00:00:00"/>
    <n v="0"/>
    <b v="1"/>
    <d v="2025-06-29T00:00:00"/>
    <x v="1"/>
    <x v="1"/>
  </r>
  <r>
    <b v="0"/>
    <d v="1899-12-30T10:26:00"/>
    <d v="1899-12-30T12:21:00"/>
    <n v="115"/>
    <x v="1"/>
    <b v="1"/>
    <b v="1"/>
    <x v="0"/>
    <x v="2"/>
    <x v="2"/>
    <x v="7"/>
    <x v="1"/>
    <n v="0"/>
    <x v="6"/>
    <s v="Off-peak only"/>
    <s v="Long Beach, CA"/>
    <n v="33.770099999999999"/>
    <n v="-118.19370000000001"/>
    <d v="2023-10-14T00:00:00"/>
    <n v="5"/>
    <b v="0"/>
    <d v="2025-06-18T00:00:00"/>
    <x v="3"/>
    <x v="3"/>
  </r>
  <r>
    <b v="1"/>
    <d v="1899-12-30T11:42:00"/>
    <d v="1899-12-30T13:39:00"/>
    <n v="117"/>
    <x v="0"/>
    <b v="1"/>
    <b v="0"/>
    <x v="1"/>
    <x v="2"/>
    <x v="1"/>
    <x v="5"/>
    <x v="1"/>
    <n v="0"/>
    <x v="14"/>
    <s v="Off-peak only"/>
    <s v="Fresno, CA"/>
    <n v="36.7378"/>
    <n v="-119.7871"/>
    <d v="2023-12-02T00:00:00"/>
    <n v="7"/>
    <b v="0"/>
    <d v="2025-06-20T00:00:00"/>
    <x v="3"/>
    <x v="3"/>
  </r>
  <r>
    <b v="0"/>
    <d v="1899-12-30T14:47:00"/>
    <d v="1899-12-30T15:21:00"/>
    <n v="34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3-09-14T00:00:00"/>
    <n v="0"/>
    <b v="0"/>
    <d v="2025-06-16T00:00:00"/>
    <x v="2"/>
    <x v="4"/>
  </r>
  <r>
    <b v="1"/>
    <d v="1899-12-30T11:28:00"/>
    <d v="1899-12-30T14:14:00"/>
    <n v="166"/>
    <x v="0"/>
    <b v="0"/>
    <b v="1"/>
    <x v="4"/>
    <x v="1"/>
    <x v="1"/>
    <x v="4"/>
    <x v="0"/>
    <n v="0.05"/>
    <x v="11"/>
    <s v="Weekdays only"/>
    <s v="Long Beach, CA"/>
    <n v="33.770099999999999"/>
    <n v="-118.19370000000001"/>
    <d v="2023-03-31T00:00:00"/>
    <n v="0"/>
    <b v="0"/>
    <d v="2025-06-07T00:00:00"/>
    <x v="1"/>
    <x v="1"/>
  </r>
  <r>
    <b v="0"/>
    <d v="1899-12-30T10:31:00"/>
    <d v="1899-12-30T12:28:00"/>
    <n v="117"/>
    <x v="1"/>
    <b v="1"/>
    <b v="0"/>
    <x v="4"/>
    <x v="2"/>
    <x v="0"/>
    <x v="2"/>
    <x v="3"/>
    <n v="0.15"/>
    <x v="17"/>
    <s v="Off-peak only"/>
    <s v="Long Beach, CA"/>
    <n v="33.770099999999999"/>
    <n v="-118.19370000000001"/>
    <d v="2023-02-08T00:00:00"/>
    <n v="4"/>
    <b v="1"/>
    <d v="2025-06-04T00:00:00"/>
    <x v="0"/>
    <x v="0"/>
  </r>
  <r>
    <b v="0"/>
    <d v="1899-12-30T14:16:00"/>
    <d v="1899-12-30T17:08:00"/>
    <n v="172"/>
    <x v="0"/>
    <b v="0"/>
    <b v="0"/>
    <x v="4"/>
    <x v="1"/>
    <x v="0"/>
    <x v="1"/>
    <x v="0"/>
    <n v="0.05"/>
    <x v="7"/>
    <s v="Weekdays only"/>
    <s v="Fresno, CA"/>
    <n v="36.7378"/>
    <n v="-119.7871"/>
    <d v="2023-05-20T00:00:00"/>
    <n v="0"/>
    <b v="0"/>
    <d v="2025-06-09T00:00:00"/>
    <x v="3"/>
    <x v="3"/>
  </r>
  <r>
    <b v="0"/>
    <d v="1899-12-30T18:54:00"/>
    <d v="1899-12-30T19:37:00"/>
    <n v="43"/>
    <x v="1"/>
    <b v="1"/>
    <b v="1"/>
    <x v="0"/>
    <x v="0"/>
    <x v="0"/>
    <x v="0"/>
    <x v="3"/>
    <n v="0.15"/>
    <x v="27"/>
    <s v="All hours"/>
    <s v="Oakland, CA"/>
    <n v="37.804400000000001"/>
    <n v="-122.27119999999999"/>
    <d v="2022-09-09T00:00:00"/>
    <n v="5"/>
    <b v="1"/>
    <d v="2025-05-26T00:00:00"/>
    <x v="3"/>
    <x v="3"/>
  </r>
  <r>
    <b v="1"/>
    <d v="1899-12-30T08:12:00"/>
    <d v="1899-12-30T10:09:00"/>
    <n v="117"/>
    <x v="1"/>
    <b v="0"/>
    <b v="0"/>
    <x v="2"/>
    <x v="1"/>
    <x v="0"/>
    <x v="1"/>
    <x v="3"/>
    <n v="0.15"/>
    <x v="15"/>
    <s v="Weekdays only"/>
    <s v="Long Beach, CA"/>
    <n v="33.770099999999999"/>
    <n v="-118.19370000000001"/>
    <d v="2025-06-03T00:00:00"/>
    <n v="0"/>
    <b v="0"/>
    <d v="2025-07-21T00:00:00"/>
    <x v="0"/>
    <x v="0"/>
  </r>
  <r>
    <b v="1"/>
    <d v="1899-12-30T11:46:00"/>
    <d v="1899-12-30T13:17:00"/>
    <n v="91"/>
    <x v="1"/>
    <b v="0"/>
    <b v="1"/>
    <x v="0"/>
    <x v="1"/>
    <x v="0"/>
    <x v="1"/>
    <x v="0"/>
    <n v="0.05"/>
    <x v="7"/>
    <s v="Weekdays only"/>
    <s v="San Francisco, CA"/>
    <n v="37.774900000000002"/>
    <n v="-122.4194"/>
    <d v="2024-11-26T00:00:00"/>
    <n v="0"/>
    <b v="1"/>
    <d v="2025-07-11T00:00:00"/>
    <x v="0"/>
    <x v="0"/>
  </r>
  <r>
    <b v="0"/>
    <d v="1899-12-30T08:23:00"/>
    <d v="1899-12-30T11:22:00"/>
    <n v="179"/>
    <x v="0"/>
    <b v="0"/>
    <b v="0"/>
    <x v="0"/>
    <x v="0"/>
    <x v="0"/>
    <x v="0"/>
    <x v="0"/>
    <n v="0.05"/>
    <x v="0"/>
    <s v="All hours"/>
    <s v="San Diego, CA"/>
    <n v="32.715699999999998"/>
    <n v="-117.1611"/>
    <d v="2025-06-14T00:00:00"/>
    <n v="0"/>
    <b v="1"/>
    <d v="2025-07-22T00:00:00"/>
    <x v="3"/>
    <x v="3"/>
  </r>
  <r>
    <b v="0"/>
    <d v="1899-12-30T10:38:00"/>
    <d v="1899-12-30T12:32:00"/>
    <n v="114"/>
    <x v="1"/>
    <b v="1"/>
    <b v="0"/>
    <x v="1"/>
    <x v="1"/>
    <x v="1"/>
    <x v="4"/>
    <x v="0"/>
    <n v="0.05"/>
    <x v="11"/>
    <s v="Weekdays only"/>
    <s v="Sacramento, CA"/>
    <n v="38.581600000000002"/>
    <n v="-121.4944"/>
    <d v="2023-08-03T00:00:00"/>
    <n v="8"/>
    <b v="0"/>
    <d v="2025-06-14T00:00:00"/>
    <x v="3"/>
    <x v="3"/>
  </r>
  <r>
    <b v="1"/>
    <d v="1899-12-30T15:39:00"/>
    <d v="1899-12-30T17:34:00"/>
    <n v="115"/>
    <x v="1"/>
    <b v="1"/>
    <b v="1"/>
    <x v="0"/>
    <x v="2"/>
    <x v="1"/>
    <x v="5"/>
    <x v="2"/>
    <n v="0.1"/>
    <x v="20"/>
    <s v="Off-peak only"/>
    <s v="Anaheim, CA"/>
    <n v="33.836599999999997"/>
    <n v="-117.9143"/>
    <d v="2022-11-09T00:00:00"/>
    <n v="1"/>
    <b v="1"/>
    <d v="2025-05-30T00:00:00"/>
    <x v="0"/>
    <x v="0"/>
  </r>
  <r>
    <b v="1"/>
    <d v="1899-12-30T15:01:00"/>
    <d v="1899-12-30T16:59:00"/>
    <n v="118"/>
    <x v="1"/>
    <b v="0"/>
    <b v="0"/>
    <x v="0"/>
    <x v="0"/>
    <x v="1"/>
    <x v="6"/>
    <x v="0"/>
    <n v="0.05"/>
    <x v="10"/>
    <s v="All hours"/>
    <s v="San Diego, CA"/>
    <n v="32.715699999999998"/>
    <n v="-117.1611"/>
    <d v="2024-10-06T00:00:00"/>
    <n v="0"/>
    <b v="0"/>
    <d v="2025-07-08T00:00:00"/>
    <x v="2"/>
    <x v="2"/>
  </r>
  <r>
    <b v="0"/>
    <d v="1899-12-30T13:28:00"/>
    <d v="1899-12-30T15:44:00"/>
    <n v="136"/>
    <x v="1"/>
    <b v="1"/>
    <b v="1"/>
    <x v="4"/>
    <x v="1"/>
    <x v="0"/>
    <x v="1"/>
    <x v="1"/>
    <n v="0"/>
    <x v="1"/>
    <s v="Weekdays only"/>
    <s v="Oakland, CA"/>
    <n v="37.804400000000001"/>
    <n v="-122.27119999999999"/>
    <d v="2022-10-09T00:00:00"/>
    <n v="1"/>
    <b v="0"/>
    <d v="2025-05-28T00:00:00"/>
    <x v="3"/>
    <x v="3"/>
  </r>
  <r>
    <b v="1"/>
    <d v="1899-12-30T18:06:00"/>
    <d v="1899-12-30T19:59:00"/>
    <n v="113"/>
    <x v="0"/>
    <b v="0"/>
    <b v="0"/>
    <x v="4"/>
    <x v="1"/>
    <x v="0"/>
    <x v="1"/>
    <x v="1"/>
    <n v="0"/>
    <x v="1"/>
    <s v="Weekdays only"/>
    <s v="San Francisco, CA"/>
    <n v="37.774900000000002"/>
    <n v="-122.4194"/>
    <d v="2025-04-19T00:00:00"/>
    <n v="0"/>
    <b v="0"/>
    <d v="2025-07-19T00:00:00"/>
    <x v="1"/>
    <x v="1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2-10-01T00:00:00"/>
    <n v="7"/>
    <b v="1"/>
    <d v="2025-05-27T00:00:00"/>
    <x v="3"/>
    <x v="3"/>
  </r>
  <r>
    <b v="0"/>
    <d v="1899-12-30T12:42:00"/>
    <d v="1899-12-30T15:01:00"/>
    <n v="139"/>
    <x v="1"/>
    <b v="1"/>
    <b v="0"/>
    <x v="3"/>
    <x v="1"/>
    <x v="0"/>
    <x v="1"/>
    <x v="1"/>
    <n v="0"/>
    <x v="1"/>
    <s v="Weekdays only"/>
    <s v="Bakersfield, CA"/>
    <n v="35.3733"/>
    <n v="-119.0187"/>
    <d v="2024-06-13T00:00:00"/>
    <n v="4"/>
    <b v="0"/>
    <d v="2025-07-01T00:00:00"/>
    <x v="1"/>
    <x v="1"/>
  </r>
  <r>
    <b v="0"/>
    <d v="1899-12-30T11:35:00"/>
    <d v="1899-12-30T13:30:00"/>
    <n v="115"/>
    <x v="0"/>
    <b v="0"/>
    <b v="1"/>
    <x v="4"/>
    <x v="0"/>
    <x v="2"/>
    <x v="10"/>
    <x v="2"/>
    <n v="0.1"/>
    <x v="34"/>
    <s v="All hours"/>
    <s v="Fresno, CA"/>
    <n v="36.7378"/>
    <n v="-119.7871"/>
    <d v="2025-03-06T00:00:00"/>
    <n v="0"/>
    <b v="0"/>
    <d v="2025-07-16T00:00:00"/>
    <x v="3"/>
    <x v="3"/>
  </r>
  <r>
    <b v="0"/>
    <d v="1899-12-30T17:43:00"/>
    <d v="1899-12-30T18:34:00"/>
    <n v="51"/>
    <x v="0"/>
    <b v="1"/>
    <b v="1"/>
    <x v="4"/>
    <x v="0"/>
    <x v="1"/>
    <x v="6"/>
    <x v="0"/>
    <n v="0.05"/>
    <x v="10"/>
    <s v="All hours"/>
    <s v="San Jose, CA"/>
    <n v="37.338200000000001"/>
    <n v="-121.88630000000001"/>
    <d v="2024-01-22T00:00:00"/>
    <n v="3"/>
    <b v="1"/>
    <d v="2025-06-23T00:00:00"/>
    <x v="2"/>
    <x v="2"/>
  </r>
  <r>
    <b v="0"/>
    <d v="1899-12-30T17:12:00"/>
    <d v="1899-12-30T18:19:00"/>
    <n v="67"/>
    <x v="0"/>
    <b v="0"/>
    <b v="1"/>
    <x v="0"/>
    <x v="2"/>
    <x v="1"/>
    <x v="5"/>
    <x v="1"/>
    <n v="0"/>
    <x v="14"/>
    <s v="Off-peak only"/>
    <s v="San Diego, CA"/>
    <n v="32.715699999999998"/>
    <n v="-117.1611"/>
    <d v="2024-09-22T00:00:00"/>
    <n v="0"/>
    <b v="0"/>
    <d v="2025-07-07T00:00:00"/>
    <x v="3"/>
    <x v="3"/>
  </r>
  <r>
    <b v="1"/>
    <d v="1899-12-30T08:25:00"/>
    <d v="1899-12-30T10:08:00"/>
    <n v="103"/>
    <x v="0"/>
    <b v="1"/>
    <b v="1"/>
    <x v="0"/>
    <x v="3"/>
    <x v="0"/>
    <x v="3"/>
    <x v="2"/>
    <n v="0.1"/>
    <x v="22"/>
    <s v="All hours + Priority access"/>
    <s v="Oakland, CA"/>
    <n v="37.804400000000001"/>
    <n v="-122.27119999999999"/>
    <d v="2024-08-23T00:00:00"/>
    <n v="5"/>
    <b v="1"/>
    <d v="2025-07-05T00:00:00"/>
    <x v="2"/>
    <x v="4"/>
  </r>
  <r>
    <b v="1"/>
    <d v="1899-12-30T20:28:00"/>
    <d v="1899-12-30T21:26:00"/>
    <n v="58"/>
    <x v="0"/>
    <b v="1"/>
    <b v="0"/>
    <x v="1"/>
    <x v="0"/>
    <x v="0"/>
    <x v="0"/>
    <x v="3"/>
    <n v="0.15"/>
    <x v="27"/>
    <s v="All hours"/>
    <s v="Sacramento, CA"/>
    <n v="38.581600000000002"/>
    <n v="-121.4944"/>
    <d v="2024-07-30T00:00:00"/>
    <n v="2"/>
    <b v="1"/>
    <d v="2025-07-04T00:00:00"/>
    <x v="1"/>
    <x v="1"/>
  </r>
  <r>
    <b v="0"/>
    <d v="1899-12-30T20:52:00"/>
    <d v="1899-12-30T22:02:00"/>
    <n v="70"/>
    <x v="1"/>
    <b v="1"/>
    <b v="1"/>
    <x v="4"/>
    <x v="0"/>
    <x v="0"/>
    <x v="0"/>
    <x v="3"/>
    <n v="0.15"/>
    <x v="27"/>
    <s v="All hours"/>
    <s v="Fresno, CA"/>
    <n v="36.7378"/>
    <n v="-119.7871"/>
    <d v="2023-02-18T00:00:00"/>
    <n v="4"/>
    <b v="1"/>
    <d v="2025-06-04T00:00:00"/>
    <x v="2"/>
    <x v="4"/>
  </r>
  <r>
    <b v="0"/>
    <d v="1899-12-30T14:29:00"/>
    <d v="1899-12-30T16:01:00"/>
    <n v="92"/>
    <x v="1"/>
    <b v="1"/>
    <b v="1"/>
    <x v="0"/>
    <x v="1"/>
    <x v="0"/>
    <x v="1"/>
    <x v="3"/>
    <n v="0.15"/>
    <x v="15"/>
    <s v="Weekdays only"/>
    <s v="Sacramento, CA"/>
    <n v="38.581600000000002"/>
    <n v="-121.4944"/>
    <d v="2023-11-26T00:00:00"/>
    <n v="2"/>
    <b v="0"/>
    <d v="2025-06-20T00:00:00"/>
    <x v="3"/>
    <x v="3"/>
  </r>
  <r>
    <b v="1"/>
    <d v="1899-12-30T13:08:00"/>
    <d v="1899-12-30T14:35:00"/>
    <n v="87"/>
    <x v="1"/>
    <b v="1"/>
    <b v="1"/>
    <x v="0"/>
    <x v="1"/>
    <x v="1"/>
    <x v="4"/>
    <x v="3"/>
    <n v="0.15"/>
    <x v="29"/>
    <s v="Weekdays only"/>
    <s v="Sacramento, CA"/>
    <n v="38.581600000000002"/>
    <n v="-121.4944"/>
    <d v="2024-07-26T00:00:00"/>
    <n v="4"/>
    <b v="0"/>
    <d v="2025-07-04T00:00:00"/>
    <x v="3"/>
    <x v="3"/>
  </r>
  <r>
    <b v="0"/>
    <d v="1899-12-30T16:29:00"/>
    <d v="1899-12-30T17:07:00"/>
    <n v="38"/>
    <x v="0"/>
    <b v="1"/>
    <b v="0"/>
    <x v="2"/>
    <x v="1"/>
    <x v="0"/>
    <x v="1"/>
    <x v="0"/>
    <n v="0.05"/>
    <x v="7"/>
    <s v="Weekdays only"/>
    <s v="Long Beach, CA"/>
    <n v="33.770099999999999"/>
    <n v="-118.19370000000001"/>
    <d v="2023-09-11T00:00:00"/>
    <n v="3"/>
    <b v="0"/>
    <d v="2025-06-16T00:00:00"/>
    <x v="1"/>
    <x v="1"/>
  </r>
  <r>
    <b v="1"/>
    <d v="1899-12-30T20:43:00"/>
    <d v="1899-12-30T21:23:00"/>
    <n v="40"/>
    <x v="1"/>
    <b v="0"/>
    <b v="0"/>
    <x v="3"/>
    <x v="1"/>
    <x v="2"/>
    <x v="8"/>
    <x v="1"/>
    <n v="0"/>
    <x v="2"/>
    <s v="Weekdays only"/>
    <s v="San Francisco, CA"/>
    <n v="37.774900000000002"/>
    <n v="-122.4194"/>
    <d v="2023-05-22T00:00:00"/>
    <n v="0"/>
    <b v="1"/>
    <d v="2025-06-10T00:00:00"/>
    <x v="3"/>
    <x v="3"/>
  </r>
  <r>
    <b v="1"/>
    <d v="1899-12-30T09:10:00"/>
    <d v="1899-12-30T10:30:00"/>
    <n v="80"/>
    <x v="1"/>
    <b v="0"/>
    <b v="0"/>
    <x v="3"/>
    <x v="2"/>
    <x v="0"/>
    <x v="2"/>
    <x v="0"/>
    <n v="0.05"/>
    <x v="18"/>
    <s v="Off-peak only"/>
    <s v="Bakersfield, CA"/>
    <n v="35.3733"/>
    <n v="-119.0187"/>
    <d v="2024-09-05T00:00:00"/>
    <n v="0"/>
    <b v="0"/>
    <d v="2025-07-06T00:00:00"/>
    <x v="1"/>
    <x v="1"/>
  </r>
  <r>
    <b v="0"/>
    <d v="1899-12-30T10:20:00"/>
    <d v="1899-12-30T10:57:00"/>
    <n v="37"/>
    <x v="1"/>
    <b v="0"/>
    <b v="1"/>
    <x v="0"/>
    <x v="1"/>
    <x v="1"/>
    <x v="4"/>
    <x v="1"/>
    <n v="0"/>
    <x v="8"/>
    <s v="Weekdays only"/>
    <s v="Anaheim, CA"/>
    <n v="33.836599999999997"/>
    <n v="-117.9143"/>
    <d v="2024-04-08T00:00:00"/>
    <n v="0"/>
    <b v="0"/>
    <d v="2025-06-28T00:00:00"/>
    <x v="2"/>
    <x v="4"/>
  </r>
  <r>
    <b v="0"/>
    <d v="1899-12-30T15:25:00"/>
    <d v="1899-12-30T18:05:00"/>
    <n v="160"/>
    <x v="1"/>
    <b v="0"/>
    <b v="1"/>
    <x v="4"/>
    <x v="1"/>
    <x v="0"/>
    <x v="1"/>
    <x v="2"/>
    <n v="0.1"/>
    <x v="2"/>
    <s v="Weekdays only"/>
    <s v="Los Angeles, CA"/>
    <n v="34.052199999999999"/>
    <n v="-118.2437"/>
    <d v="2025-02-13T00:00:00"/>
    <n v="0"/>
    <b v="0"/>
    <d v="2025-07-15T00:00:00"/>
    <x v="0"/>
    <x v="0"/>
  </r>
  <r>
    <b v="1"/>
    <d v="1899-12-30T10:54:00"/>
    <d v="1899-12-30T13:17:00"/>
    <n v="143"/>
    <x v="1"/>
    <b v="1"/>
    <b v="0"/>
    <x v="4"/>
    <x v="0"/>
    <x v="0"/>
    <x v="0"/>
    <x v="0"/>
    <n v="0.05"/>
    <x v="0"/>
    <s v="All hours"/>
    <s v="Long Beach, CA"/>
    <n v="33.770099999999999"/>
    <n v="-118.19370000000001"/>
    <d v="2024-12-12T00:00:00"/>
    <n v="3"/>
    <b v="1"/>
    <d v="2025-07-12T00:00:00"/>
    <x v="2"/>
    <x v="2"/>
  </r>
  <r>
    <b v="0"/>
    <d v="1899-12-30T14:47:00"/>
    <d v="1899-12-30T15:21:00"/>
    <n v="34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3-06-28T00:00:00"/>
    <n v="0"/>
    <b v="1"/>
    <d v="2025-06-12T00:00:00"/>
    <x v="2"/>
    <x v="4"/>
  </r>
  <r>
    <b v="1"/>
    <d v="1899-12-30T12:50:00"/>
    <d v="1899-12-30T14:19:00"/>
    <n v="89"/>
    <x v="0"/>
    <b v="0"/>
    <b v="1"/>
    <x v="4"/>
    <x v="0"/>
    <x v="0"/>
    <x v="0"/>
    <x v="1"/>
    <n v="0"/>
    <x v="5"/>
    <s v="All hours"/>
    <s v="Los Angeles, CA"/>
    <n v="34.052199999999999"/>
    <n v="-118.2437"/>
    <d v="2024-12-11T00:00:00"/>
    <n v="0"/>
    <b v="1"/>
    <d v="2025-07-12T00:00:00"/>
    <x v="1"/>
    <x v="1"/>
  </r>
  <r>
    <b v="1"/>
    <d v="1899-12-30T14:27:00"/>
    <d v="1899-12-30T16:09:00"/>
    <n v="102"/>
    <x v="0"/>
    <b v="1"/>
    <b v="0"/>
    <x v="1"/>
    <x v="1"/>
    <x v="0"/>
    <x v="1"/>
    <x v="2"/>
    <n v="0.1"/>
    <x v="2"/>
    <s v="Weekdays only"/>
    <s v="San Diego, CA"/>
    <n v="32.715699999999998"/>
    <n v="-117.1611"/>
    <d v="2023-12-11T00:00:00"/>
    <n v="7"/>
    <b v="0"/>
    <d v="2025-06-21T00:00:00"/>
    <x v="1"/>
    <x v="1"/>
  </r>
  <r>
    <b v="0"/>
    <d v="1899-12-30T19:44:00"/>
    <d v="1899-12-30T20:51:00"/>
    <n v="67"/>
    <x v="1"/>
    <b v="0"/>
    <b v="0"/>
    <x v="4"/>
    <x v="0"/>
    <x v="0"/>
    <x v="0"/>
    <x v="2"/>
    <n v="0.1"/>
    <x v="16"/>
    <s v="All hours"/>
    <s v="Oakland, CA"/>
    <n v="37.804400000000001"/>
    <n v="-122.27119999999999"/>
    <d v="2023-05-29T00:00:00"/>
    <n v="0"/>
    <b v="1"/>
    <d v="2025-06-10T00:00:00"/>
    <x v="0"/>
    <x v="0"/>
  </r>
  <r>
    <b v="1"/>
    <d v="1899-12-30T09:29:00"/>
    <d v="1899-12-30T12:05:00"/>
    <n v="156"/>
    <x v="0"/>
    <b v="1"/>
    <b v="1"/>
    <x v="1"/>
    <x v="0"/>
    <x v="0"/>
    <x v="0"/>
    <x v="0"/>
    <n v="0.05"/>
    <x v="0"/>
    <s v="All hours"/>
    <s v="San Francisco, CA"/>
    <n v="37.774900000000002"/>
    <n v="-122.4194"/>
    <d v="2025-03-01T00:00:00"/>
    <n v="7"/>
    <b v="0"/>
    <d v="2025-07-16T00:00:00"/>
    <x v="0"/>
    <x v="0"/>
  </r>
  <r>
    <b v="1"/>
    <d v="1899-12-30T09:06:00"/>
    <d v="1899-12-30T10:19:00"/>
    <n v="73"/>
    <x v="1"/>
    <b v="0"/>
    <b v="1"/>
    <x v="0"/>
    <x v="2"/>
    <x v="0"/>
    <x v="2"/>
    <x v="1"/>
    <n v="0"/>
    <x v="3"/>
    <s v="Off-peak only"/>
    <s v="Los Angeles, CA"/>
    <n v="34.052199999999999"/>
    <n v="-118.2437"/>
    <d v="2023-10-27T00:00:00"/>
    <n v="0"/>
    <b v="0"/>
    <d v="2025-06-18T00:00:00"/>
    <x v="3"/>
    <x v="3"/>
  </r>
  <r>
    <b v="0"/>
    <d v="1899-12-30T19:32:00"/>
    <d v="1899-12-30T20:18:00"/>
    <n v="46"/>
    <x v="1"/>
    <b v="0"/>
    <b v="0"/>
    <x v="2"/>
    <x v="0"/>
    <x v="0"/>
    <x v="0"/>
    <x v="1"/>
    <n v="0"/>
    <x v="5"/>
    <s v="All hours"/>
    <s v="San Jose, CA"/>
    <n v="37.338200000000001"/>
    <n v="-121.88630000000001"/>
    <d v="2024-09-22T00:00:00"/>
    <n v="0"/>
    <b v="1"/>
    <d v="2025-07-07T00:00:00"/>
    <x v="0"/>
    <x v="0"/>
  </r>
  <r>
    <b v="0"/>
    <d v="1899-12-30T16:10:00"/>
    <d v="1899-12-30T17:20:00"/>
    <n v="70"/>
    <x v="0"/>
    <b v="1"/>
    <b v="1"/>
    <x v="0"/>
    <x v="0"/>
    <x v="1"/>
    <x v="6"/>
    <x v="2"/>
    <n v="0.1"/>
    <x v="30"/>
    <s v="All hours"/>
    <s v="Oakland, CA"/>
    <n v="37.804400000000001"/>
    <n v="-122.27119999999999"/>
    <d v="2022-09-01T00:00:00"/>
    <n v="3"/>
    <b v="1"/>
    <d v="2025-05-26T00:00:00"/>
    <x v="2"/>
    <x v="2"/>
  </r>
  <r>
    <b v="1"/>
    <d v="1899-12-30T18:06:00"/>
    <d v="1899-12-30T20:49:00"/>
    <n v="163"/>
    <x v="1"/>
    <b v="0"/>
    <b v="0"/>
    <x v="0"/>
    <x v="0"/>
    <x v="2"/>
    <x v="10"/>
    <x v="0"/>
    <n v="0.05"/>
    <x v="42"/>
    <s v="All hours"/>
    <s v="Long Beach, CA"/>
    <n v="33.770099999999999"/>
    <n v="-118.19370000000001"/>
    <d v="2024-01-25T00:00:00"/>
    <n v="0"/>
    <b v="1"/>
    <d v="2025-06-23T00:00:00"/>
    <x v="0"/>
    <x v="0"/>
  </r>
  <r>
    <b v="1"/>
    <d v="1899-12-30T12:17:00"/>
    <d v="1899-12-30T15:14:00"/>
    <n v="177"/>
    <x v="1"/>
    <b v="1"/>
    <b v="0"/>
    <x v="4"/>
    <x v="0"/>
    <x v="0"/>
    <x v="0"/>
    <x v="3"/>
    <n v="0.15"/>
    <x v="27"/>
    <s v="All hours"/>
    <s v="Sacramento, CA"/>
    <n v="38.581600000000002"/>
    <n v="-121.4944"/>
    <d v="2023-02-15T00:00:00"/>
    <n v="6"/>
    <b v="1"/>
    <d v="2025-06-04T00:00:00"/>
    <x v="2"/>
    <x v="2"/>
  </r>
  <r>
    <b v="1"/>
    <d v="1899-12-30T11:41:00"/>
    <d v="1899-12-30T13:08:00"/>
    <n v="87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3-11-15T00:00:00"/>
    <n v="0"/>
    <b v="0"/>
    <d v="2025-06-19T00:00:00"/>
    <x v="2"/>
    <x v="2"/>
  </r>
  <r>
    <b v="1"/>
    <d v="1899-12-30T19:23:00"/>
    <d v="1899-12-30T20:27:00"/>
    <n v="64"/>
    <x v="0"/>
    <b v="0"/>
    <b v="0"/>
    <x v="1"/>
    <x v="0"/>
    <x v="0"/>
    <x v="0"/>
    <x v="1"/>
    <n v="0"/>
    <x v="5"/>
    <s v="All hours"/>
    <s v="Fresno, CA"/>
    <n v="36.7378"/>
    <n v="-119.7871"/>
    <d v="2025-05-07T00:00:00"/>
    <n v="0"/>
    <b v="1"/>
    <d v="2025-07-20T00:00:00"/>
    <x v="0"/>
    <x v="0"/>
  </r>
  <r>
    <b v="1"/>
    <d v="1899-12-30T11:46:00"/>
    <d v="1899-12-30T13:17:00"/>
    <n v="91"/>
    <x v="1"/>
    <b v="0"/>
    <b v="1"/>
    <x v="0"/>
    <x v="1"/>
    <x v="0"/>
    <x v="1"/>
    <x v="0"/>
    <n v="0.05"/>
    <x v="7"/>
    <s v="Weekdays only"/>
    <s v="San Francisco, CA"/>
    <n v="37.774900000000002"/>
    <n v="-122.4194"/>
    <d v="2023-08-18T00:00:00"/>
    <n v="0"/>
    <b v="1"/>
    <d v="2025-06-15T00:00:00"/>
    <x v="0"/>
    <x v="0"/>
  </r>
  <r>
    <b v="0"/>
    <d v="1899-12-30T15:13:00"/>
    <d v="1899-12-30T16:46:00"/>
    <n v="93"/>
    <x v="0"/>
    <b v="1"/>
    <b v="1"/>
    <x v="0"/>
    <x v="1"/>
    <x v="0"/>
    <x v="1"/>
    <x v="3"/>
    <n v="0.15"/>
    <x v="15"/>
    <s v="Weekdays only"/>
    <s v="Los Angeles, CA"/>
    <n v="34.052199999999999"/>
    <n v="-118.2437"/>
    <d v="2022-09-13T00:00:00"/>
    <n v="3"/>
    <b v="0"/>
    <d v="2025-05-26T00:00:00"/>
    <x v="1"/>
    <x v="1"/>
  </r>
  <r>
    <b v="1"/>
    <d v="1899-12-30T14:53:00"/>
    <d v="1899-12-30T17:02:00"/>
    <n v="129"/>
    <x v="1"/>
    <b v="0"/>
    <b v="1"/>
    <x v="0"/>
    <x v="2"/>
    <x v="0"/>
    <x v="2"/>
    <x v="1"/>
    <n v="0"/>
    <x v="3"/>
    <s v="Off-peak only"/>
    <s v="Los Angeles, CA"/>
    <n v="34.052199999999999"/>
    <n v="-118.2437"/>
    <d v="2023-09-21T00:00:00"/>
    <n v="0"/>
    <b v="0"/>
    <d v="2025-06-16T00:00:00"/>
    <x v="2"/>
    <x v="2"/>
  </r>
  <r>
    <b v="0"/>
    <d v="1899-12-30T20:33:00"/>
    <d v="1899-12-30T22:56:00"/>
    <n v="143"/>
    <x v="1"/>
    <b v="0"/>
    <b v="0"/>
    <x v="4"/>
    <x v="2"/>
    <x v="1"/>
    <x v="5"/>
    <x v="1"/>
    <n v="0"/>
    <x v="14"/>
    <s v="Off-peak only"/>
    <s v="San Francisco, CA"/>
    <n v="37.774900000000002"/>
    <n v="-122.4194"/>
    <d v="2023-02-01T00:00:00"/>
    <n v="0"/>
    <b v="0"/>
    <d v="2025-06-03T00:00:00"/>
    <x v="1"/>
    <x v="1"/>
  </r>
  <r>
    <b v="0"/>
    <d v="1899-12-30T14:09:00"/>
    <d v="1899-12-30T16:46:00"/>
    <n v="157"/>
    <x v="0"/>
    <b v="0"/>
    <b v="0"/>
    <x v="4"/>
    <x v="0"/>
    <x v="0"/>
    <x v="0"/>
    <x v="0"/>
    <n v="0.05"/>
    <x v="0"/>
    <s v="All hours"/>
    <s v="Long Beach, CA"/>
    <n v="33.770099999999999"/>
    <n v="-118.19370000000001"/>
    <d v="2022-11-24T00:00:00"/>
    <n v="0"/>
    <b v="1"/>
    <d v="2025-05-30T00:00:00"/>
    <x v="1"/>
    <x v="1"/>
  </r>
  <r>
    <b v="0"/>
    <d v="1899-12-30T19:29:00"/>
    <d v="1899-12-30T21:02:00"/>
    <n v="93"/>
    <x v="1"/>
    <b v="0"/>
    <b v="1"/>
    <x v="0"/>
    <x v="0"/>
    <x v="1"/>
    <x v="6"/>
    <x v="3"/>
    <n v="0.15"/>
    <x v="28"/>
    <s v="All hours"/>
    <s v="Sacramento, CA"/>
    <n v="38.581600000000002"/>
    <n v="-121.4944"/>
    <d v="2024-10-23T00:00:00"/>
    <n v="0"/>
    <b v="1"/>
    <d v="2025-07-09T00:00:00"/>
    <x v="2"/>
    <x v="4"/>
  </r>
  <r>
    <b v="1"/>
    <d v="1899-12-30T09:04:00"/>
    <d v="1899-12-30T09:47:00"/>
    <n v="43"/>
    <x v="1"/>
    <b v="0"/>
    <b v="0"/>
    <x v="0"/>
    <x v="1"/>
    <x v="0"/>
    <x v="1"/>
    <x v="1"/>
    <n v="0"/>
    <x v="1"/>
    <s v="Weekdays only"/>
    <s v="Long Beach, CA"/>
    <n v="33.770099999999999"/>
    <n v="-118.19370000000001"/>
    <d v="2024-11-09T00:00:00"/>
    <n v="0"/>
    <b v="0"/>
    <d v="2025-07-10T00:00:00"/>
    <x v="1"/>
    <x v="1"/>
  </r>
  <r>
    <b v="1"/>
    <d v="1899-12-30T17:06:00"/>
    <d v="1899-12-30T19:09:00"/>
    <n v="123"/>
    <x v="1"/>
    <b v="1"/>
    <b v="0"/>
    <x v="2"/>
    <x v="0"/>
    <x v="0"/>
    <x v="0"/>
    <x v="2"/>
    <n v="0.1"/>
    <x v="16"/>
    <s v="All hours"/>
    <s v="Fresno, CA"/>
    <n v="36.7378"/>
    <n v="-119.7871"/>
    <d v="2023-09-11T00:00:00"/>
    <n v="1"/>
    <b v="1"/>
    <d v="2025-06-16T00:00:00"/>
    <x v="1"/>
    <x v="1"/>
  </r>
  <r>
    <b v="0"/>
    <d v="1899-12-30T17:41:00"/>
    <d v="1899-12-30T18:15:00"/>
    <n v="34"/>
    <x v="1"/>
    <b v="1"/>
    <b v="0"/>
    <x v="4"/>
    <x v="2"/>
    <x v="0"/>
    <x v="2"/>
    <x v="3"/>
    <n v="0.15"/>
    <x v="17"/>
    <s v="Off-peak only"/>
    <s v="San Diego, CA"/>
    <n v="32.715699999999998"/>
    <n v="-117.1611"/>
    <d v="2024-04-11T00:00:00"/>
    <n v="1"/>
    <b v="0"/>
    <d v="2025-06-28T00:00:00"/>
    <x v="0"/>
    <x v="0"/>
  </r>
  <r>
    <b v="0"/>
    <d v="1899-12-30T10:54:00"/>
    <d v="1899-12-30T11:32:00"/>
    <n v="38"/>
    <x v="0"/>
    <b v="0"/>
    <b v="0"/>
    <x v="1"/>
    <x v="2"/>
    <x v="0"/>
    <x v="2"/>
    <x v="0"/>
    <n v="0.05"/>
    <x v="18"/>
    <s v="Off-peak only"/>
    <s v="Anaheim, CA"/>
    <n v="33.836599999999997"/>
    <n v="-117.9143"/>
    <d v="2023-01-10T00:00:00"/>
    <n v="0"/>
    <b v="0"/>
    <d v="2025-06-02T00:00:00"/>
    <x v="1"/>
    <x v="1"/>
  </r>
  <r>
    <b v="1"/>
    <d v="1899-12-30T17:35:00"/>
    <d v="1899-12-30T18:31:00"/>
    <n v="56"/>
    <x v="1"/>
    <b v="0"/>
    <b v="1"/>
    <x v="2"/>
    <x v="1"/>
    <x v="0"/>
    <x v="1"/>
    <x v="1"/>
    <n v="0"/>
    <x v="1"/>
    <s v="Weekdays only"/>
    <s v="Fresno, CA"/>
    <n v="36.7378"/>
    <n v="-119.7871"/>
    <d v="2022-11-07T00:00:00"/>
    <n v="0"/>
    <b v="0"/>
    <d v="2025-05-29T00:00:00"/>
    <x v="3"/>
    <x v="3"/>
  </r>
  <r>
    <b v="0"/>
    <d v="1899-12-30T16:41:00"/>
    <d v="1899-12-30T19:00:00"/>
    <n v="139"/>
    <x v="1"/>
    <b v="0"/>
    <b v="0"/>
    <x v="4"/>
    <x v="1"/>
    <x v="1"/>
    <x v="4"/>
    <x v="1"/>
    <n v="0"/>
    <x v="8"/>
    <s v="Weekdays only"/>
    <s v="Bakersfield, CA"/>
    <n v="35.3733"/>
    <n v="-119.0187"/>
    <d v="2024-06-11T00:00:00"/>
    <n v="0"/>
    <b v="1"/>
    <d v="2025-07-01T00:00:00"/>
    <x v="2"/>
    <x v="2"/>
  </r>
  <r>
    <b v="0"/>
    <d v="1899-12-30T09:13:00"/>
    <d v="1899-12-30T11:37:00"/>
    <n v="144"/>
    <x v="0"/>
    <b v="0"/>
    <b v="0"/>
    <x v="4"/>
    <x v="1"/>
    <x v="2"/>
    <x v="8"/>
    <x v="2"/>
    <n v="0.1"/>
    <x v="33"/>
    <s v="Weekdays only"/>
    <s v="San Francisco, CA"/>
    <n v="37.774900000000002"/>
    <n v="-122.4194"/>
    <d v="2024-10-13T00:00:00"/>
    <n v="0"/>
    <b v="0"/>
    <d v="2025-07-08T00:00:00"/>
    <x v="3"/>
    <x v="3"/>
  </r>
  <r>
    <b v="1"/>
    <d v="1899-12-30T12:33:00"/>
    <d v="1899-12-30T14:41:00"/>
    <n v="128"/>
    <x v="0"/>
    <b v="0"/>
    <b v="0"/>
    <x v="1"/>
    <x v="1"/>
    <x v="2"/>
    <x v="8"/>
    <x v="1"/>
    <n v="0"/>
    <x v="2"/>
    <s v="Weekdays only"/>
    <s v="Bakersfield, CA"/>
    <n v="35.3733"/>
    <n v="-119.0187"/>
    <d v="2023-03-14T00:00:00"/>
    <n v="0"/>
    <b v="1"/>
    <d v="2025-06-06T00:00:00"/>
    <x v="3"/>
    <x v="3"/>
  </r>
  <r>
    <b v="0"/>
    <d v="1899-12-30T12:02:00"/>
    <d v="1899-12-30T14:07:00"/>
    <n v="125"/>
    <x v="1"/>
    <b v="1"/>
    <b v="1"/>
    <x v="0"/>
    <x v="2"/>
    <x v="0"/>
    <x v="2"/>
    <x v="0"/>
    <n v="0.05"/>
    <x v="18"/>
    <s v="Off-peak only"/>
    <s v="Anaheim, CA"/>
    <n v="33.836599999999997"/>
    <n v="-117.9143"/>
    <d v="2024-09-03T00:00:00"/>
    <n v="6"/>
    <b v="0"/>
    <d v="2025-07-06T00:00:00"/>
    <x v="0"/>
    <x v="0"/>
  </r>
  <r>
    <b v="0"/>
    <d v="1899-12-30T11:13:00"/>
    <d v="1899-12-30T13:19:00"/>
    <n v="126"/>
    <x v="1"/>
    <b v="0"/>
    <b v="1"/>
    <x v="4"/>
    <x v="1"/>
    <x v="0"/>
    <x v="1"/>
    <x v="1"/>
    <n v="0"/>
    <x v="1"/>
    <s v="Weekdays only"/>
    <s v="San Diego, CA"/>
    <n v="32.715699999999998"/>
    <n v="-117.1611"/>
    <d v="2023-01-28T00:00:00"/>
    <n v="0"/>
    <b v="1"/>
    <d v="2025-06-03T00:00:00"/>
    <x v="0"/>
    <x v="0"/>
  </r>
  <r>
    <b v="1"/>
    <d v="1899-12-30T11:44:00"/>
    <d v="1899-12-30T13:19:00"/>
    <n v="95"/>
    <x v="0"/>
    <b v="1"/>
    <b v="1"/>
    <x v="4"/>
    <x v="0"/>
    <x v="2"/>
    <x v="10"/>
    <x v="1"/>
    <n v="0"/>
    <x v="16"/>
    <s v="All hours"/>
    <s v="Sacramento, CA"/>
    <n v="38.581600000000002"/>
    <n v="-121.4944"/>
    <d v="2024-03-28T00:00:00"/>
    <n v="8"/>
    <b v="1"/>
    <d v="2025-06-27T00:00:00"/>
    <x v="0"/>
    <x v="0"/>
  </r>
  <r>
    <b v="0"/>
    <d v="1899-12-30T11:08:00"/>
    <d v="1899-12-30T13:20:00"/>
    <n v="132"/>
    <x v="1"/>
    <b v="0"/>
    <b v="1"/>
    <x v="4"/>
    <x v="2"/>
    <x v="2"/>
    <x v="7"/>
    <x v="1"/>
    <n v="0"/>
    <x v="6"/>
    <s v="Off-peak only"/>
    <s v="San Jose, CA"/>
    <n v="37.338200000000001"/>
    <n v="-121.88630000000001"/>
    <d v="2023-07-13T00:00:00"/>
    <n v="0"/>
    <b v="0"/>
    <d v="2025-06-12T00:00:00"/>
    <x v="1"/>
    <x v="1"/>
  </r>
  <r>
    <b v="0"/>
    <d v="1899-12-30T19:04:00"/>
    <d v="1899-12-30T20:44:00"/>
    <n v="100"/>
    <x v="1"/>
    <b v="1"/>
    <b v="1"/>
    <x v="4"/>
    <x v="0"/>
    <x v="0"/>
    <x v="0"/>
    <x v="1"/>
    <n v="0"/>
    <x v="5"/>
    <s v="All hours"/>
    <s v="San Francisco, CA"/>
    <n v="37.774900000000002"/>
    <n v="-122.4194"/>
    <d v="2025-03-13T00:00:00"/>
    <n v="5"/>
    <b v="1"/>
    <d v="2025-07-17T00:00:00"/>
    <x v="0"/>
    <x v="0"/>
  </r>
  <r>
    <b v="0"/>
    <d v="1899-12-30T14:03:00"/>
    <d v="1899-12-30T16:48:00"/>
    <n v="165"/>
    <x v="1"/>
    <b v="1"/>
    <b v="1"/>
    <x v="4"/>
    <x v="3"/>
    <x v="1"/>
    <x v="11"/>
    <x v="1"/>
    <n v="0"/>
    <x v="38"/>
    <s v="All hours + Priority access"/>
    <s v="San Diego, CA"/>
    <n v="32.715699999999998"/>
    <n v="-117.1611"/>
    <d v="2023-08-28T00:00:00"/>
    <n v="8"/>
    <b v="1"/>
    <d v="2025-06-15T00:00:00"/>
    <x v="3"/>
    <x v="3"/>
  </r>
  <r>
    <b v="0"/>
    <d v="1899-12-30T13:08:00"/>
    <d v="1899-12-30T13:56:00"/>
    <n v="48"/>
    <x v="0"/>
    <b v="0"/>
    <b v="1"/>
    <x v="2"/>
    <x v="0"/>
    <x v="0"/>
    <x v="0"/>
    <x v="0"/>
    <n v="0.05"/>
    <x v="0"/>
    <s v="All hours"/>
    <s v="San Jose, CA"/>
    <n v="37.338200000000001"/>
    <n v="-121.88630000000001"/>
    <d v="2024-02-27T00:00:00"/>
    <n v="0"/>
    <b v="1"/>
    <d v="2025-06-25T00:00:00"/>
    <x v="1"/>
    <x v="1"/>
  </r>
  <r>
    <b v="0"/>
    <d v="1899-12-30T12:50:00"/>
    <d v="1899-12-30T15:20:00"/>
    <n v="150"/>
    <x v="1"/>
    <b v="1"/>
    <b v="1"/>
    <x v="0"/>
    <x v="1"/>
    <x v="2"/>
    <x v="8"/>
    <x v="1"/>
    <n v="0"/>
    <x v="2"/>
    <s v="Weekdays only"/>
    <s v="San Francisco, CA"/>
    <n v="37.774900000000002"/>
    <n v="-122.4194"/>
    <d v="2023-10-07T00:00:00"/>
    <n v="2"/>
    <b v="0"/>
    <d v="2025-06-17T00:00:00"/>
    <x v="0"/>
    <x v="0"/>
  </r>
  <r>
    <b v="0"/>
    <d v="1899-12-30T19:59:00"/>
    <d v="1899-12-30T20:40:00"/>
    <n v="41"/>
    <x v="0"/>
    <b v="1"/>
    <b v="0"/>
    <x v="0"/>
    <x v="1"/>
    <x v="1"/>
    <x v="4"/>
    <x v="0"/>
    <n v="0.05"/>
    <x v="11"/>
    <s v="Weekdays only"/>
    <s v="Anaheim, CA"/>
    <n v="33.836599999999997"/>
    <n v="-117.9143"/>
    <d v="2024-12-26T00:00:00"/>
    <n v="8"/>
    <b v="0"/>
    <d v="2025-07-12T00:00:00"/>
    <x v="3"/>
    <x v="3"/>
  </r>
  <r>
    <b v="0"/>
    <d v="1899-12-30T12:42:00"/>
    <d v="1899-12-30T13:21:00"/>
    <n v="39"/>
    <x v="1"/>
    <b v="1"/>
    <b v="1"/>
    <x v="0"/>
    <x v="2"/>
    <x v="1"/>
    <x v="5"/>
    <x v="1"/>
    <n v="0"/>
    <x v="14"/>
    <s v="Off-peak only"/>
    <s v="Los Angeles, CA"/>
    <n v="34.052199999999999"/>
    <n v="-118.2437"/>
    <d v="2023-04-30T00:00:00"/>
    <n v="4"/>
    <b v="1"/>
    <d v="2025-06-08T00:00:00"/>
    <x v="1"/>
    <x v="1"/>
  </r>
  <r>
    <b v="0"/>
    <d v="1899-12-30T08:42:00"/>
    <d v="1899-12-30T10:34:00"/>
    <n v="112"/>
    <x v="0"/>
    <b v="0"/>
    <b v="0"/>
    <x v="4"/>
    <x v="3"/>
    <x v="0"/>
    <x v="3"/>
    <x v="1"/>
    <n v="0"/>
    <x v="4"/>
    <s v="All hours + Priority access"/>
    <s v="Bakersfield, CA"/>
    <n v="35.3733"/>
    <n v="-119.0187"/>
    <d v="2022-12-17T00:00:00"/>
    <n v="0"/>
    <b v="1"/>
    <d v="2025-06-01T00:00:00"/>
    <x v="2"/>
    <x v="2"/>
  </r>
  <r>
    <b v="0"/>
    <d v="1899-12-30T12:18:00"/>
    <d v="1899-12-30T13:33:00"/>
    <n v="75"/>
    <x v="1"/>
    <b v="1"/>
    <b v="0"/>
    <x v="4"/>
    <x v="3"/>
    <x v="1"/>
    <x v="11"/>
    <x v="2"/>
    <n v="0.1"/>
    <x v="32"/>
    <s v="All hours + Priority access"/>
    <s v="San Jose, CA"/>
    <n v="37.338200000000001"/>
    <n v="-121.88630000000001"/>
    <d v="2024-11-04T00:00:00"/>
    <n v="8"/>
    <b v="1"/>
    <d v="2025-07-09T00:00:00"/>
    <x v="0"/>
    <x v="0"/>
  </r>
  <r>
    <b v="0"/>
    <d v="1899-12-30T13:26:00"/>
    <d v="1899-12-30T16:15:00"/>
    <n v="169"/>
    <x v="0"/>
    <b v="0"/>
    <b v="0"/>
    <x v="2"/>
    <x v="0"/>
    <x v="0"/>
    <x v="0"/>
    <x v="3"/>
    <n v="0.15"/>
    <x v="27"/>
    <s v="All hours"/>
    <s v="Long Beach, CA"/>
    <n v="33.770099999999999"/>
    <n v="-118.19370000000001"/>
    <d v="2025-03-13T00:00:00"/>
    <n v="0"/>
    <b v="1"/>
    <d v="2025-07-17T00:00:00"/>
    <x v="2"/>
    <x v="2"/>
  </r>
  <r>
    <b v="1"/>
    <d v="1899-12-30T18:36:00"/>
    <d v="1899-12-30T20:33:00"/>
    <n v="117"/>
    <x v="1"/>
    <b v="1"/>
    <b v="0"/>
    <x v="4"/>
    <x v="0"/>
    <x v="0"/>
    <x v="0"/>
    <x v="3"/>
    <n v="0.15"/>
    <x v="27"/>
    <s v="All hours"/>
    <s v="San Diego, CA"/>
    <n v="32.715699999999998"/>
    <n v="-117.1611"/>
    <d v="2025-05-28T00:00:00"/>
    <n v="4"/>
    <b v="0"/>
    <d v="2025-07-21T00:00:00"/>
    <x v="1"/>
    <x v="1"/>
  </r>
  <r>
    <b v="1"/>
    <d v="1899-12-30T20:25:00"/>
    <d v="1899-12-30T23:16:00"/>
    <n v="171"/>
    <x v="1"/>
    <b v="0"/>
    <b v="0"/>
    <x v="4"/>
    <x v="2"/>
    <x v="0"/>
    <x v="2"/>
    <x v="2"/>
    <n v="0.1"/>
    <x v="6"/>
    <s v="Off-peak only"/>
    <s v="Anaheim, CA"/>
    <n v="33.836599999999997"/>
    <n v="-117.9143"/>
    <d v="2023-08-09T00:00:00"/>
    <n v="0"/>
    <b v="0"/>
    <d v="2025-06-14T00:00:00"/>
    <x v="1"/>
    <x v="1"/>
  </r>
  <r>
    <b v="0"/>
    <d v="1899-12-30T13:30:00"/>
    <d v="1899-12-30T14:17:00"/>
    <n v="47"/>
    <x v="1"/>
    <b v="1"/>
    <b v="1"/>
    <x v="1"/>
    <x v="0"/>
    <x v="0"/>
    <x v="0"/>
    <x v="0"/>
    <n v="0.05"/>
    <x v="0"/>
    <s v="All hours"/>
    <s v="Anaheim, CA"/>
    <n v="33.836599999999997"/>
    <n v="-117.9143"/>
    <d v="2023-09-15T00:00:00"/>
    <n v="6"/>
    <b v="1"/>
    <d v="2025-06-16T00:00:00"/>
    <x v="1"/>
    <x v="1"/>
  </r>
  <r>
    <b v="0"/>
    <d v="1899-12-30T16:51:00"/>
    <d v="1899-12-30T18:31:00"/>
    <n v="100"/>
    <x v="0"/>
    <b v="1"/>
    <b v="1"/>
    <x v="4"/>
    <x v="0"/>
    <x v="0"/>
    <x v="0"/>
    <x v="1"/>
    <n v="0"/>
    <x v="5"/>
    <s v="All hours"/>
    <s v="Sacramento, CA"/>
    <n v="38.581600000000002"/>
    <n v="-121.4944"/>
    <d v="2023-11-18T00:00:00"/>
    <n v="1"/>
    <b v="1"/>
    <d v="2025-06-20T00:00:00"/>
    <x v="3"/>
    <x v="3"/>
  </r>
  <r>
    <b v="1"/>
    <d v="1899-12-30T08:13:00"/>
    <d v="1899-12-30T09:46:00"/>
    <n v="93"/>
    <x v="0"/>
    <b v="0"/>
    <b v="1"/>
    <x v="0"/>
    <x v="1"/>
    <x v="0"/>
    <x v="1"/>
    <x v="0"/>
    <n v="0.05"/>
    <x v="7"/>
    <s v="Weekdays only"/>
    <s v="San Jose, CA"/>
    <n v="37.338200000000001"/>
    <n v="-121.88630000000001"/>
    <d v="2024-10-18T00:00:00"/>
    <n v="0"/>
    <b v="1"/>
    <d v="2025-07-09T00:00:00"/>
    <x v="3"/>
    <x v="3"/>
  </r>
  <r>
    <b v="1"/>
    <d v="1899-12-30T19:46:00"/>
    <d v="1899-12-30T20:48:00"/>
    <n v="62"/>
    <x v="0"/>
    <b v="0"/>
    <b v="0"/>
    <x v="0"/>
    <x v="0"/>
    <x v="0"/>
    <x v="0"/>
    <x v="0"/>
    <n v="0.05"/>
    <x v="0"/>
    <s v="All hours"/>
    <s v="Bakersfield, CA"/>
    <n v="35.3733"/>
    <n v="-119.0187"/>
    <d v="2024-05-02T00:00:00"/>
    <n v="0"/>
    <b v="1"/>
    <d v="2025-06-29T00:00:00"/>
    <x v="1"/>
    <x v="1"/>
  </r>
  <r>
    <b v="1"/>
    <d v="1899-12-30T08:29:00"/>
    <d v="1899-12-30T10:32:00"/>
    <n v="123"/>
    <x v="1"/>
    <b v="1"/>
    <b v="0"/>
    <x v="1"/>
    <x v="0"/>
    <x v="2"/>
    <x v="10"/>
    <x v="1"/>
    <n v="0"/>
    <x v="16"/>
    <s v="All hours"/>
    <s v="San Jose, CA"/>
    <n v="37.338200000000001"/>
    <n v="-121.88630000000001"/>
    <d v="2023-09-28T00:00:00"/>
    <n v="7"/>
    <b v="1"/>
    <d v="2025-06-17T00:00:00"/>
    <x v="0"/>
    <x v="0"/>
  </r>
  <r>
    <b v="1"/>
    <d v="1899-12-30T19:16:00"/>
    <d v="1899-12-30T20:15:00"/>
    <n v="59"/>
    <x v="0"/>
    <b v="1"/>
    <b v="1"/>
    <x v="0"/>
    <x v="1"/>
    <x v="0"/>
    <x v="1"/>
    <x v="2"/>
    <n v="0.1"/>
    <x v="2"/>
    <s v="Weekdays only"/>
    <s v="Bakersfield, CA"/>
    <n v="35.3733"/>
    <n v="-119.0187"/>
    <d v="2024-01-10T00:00:00"/>
    <n v="4"/>
    <b v="0"/>
    <d v="2025-06-23T00:00:00"/>
    <x v="1"/>
    <x v="1"/>
  </r>
  <r>
    <b v="1"/>
    <d v="1899-12-30T16:20:00"/>
    <d v="1899-12-30T17:21:00"/>
    <n v="61"/>
    <x v="1"/>
    <b v="1"/>
    <b v="0"/>
    <x v="4"/>
    <x v="2"/>
    <x v="0"/>
    <x v="2"/>
    <x v="1"/>
    <n v="0"/>
    <x v="3"/>
    <s v="Off-peak only"/>
    <s v="Long Beach, CA"/>
    <n v="33.770099999999999"/>
    <n v="-118.19370000000001"/>
    <d v="2022-08-06T00:00:00"/>
    <n v="1"/>
    <b v="0"/>
    <d v="2025-05-24T00:00:00"/>
    <x v="1"/>
    <x v="1"/>
  </r>
  <r>
    <b v="0"/>
    <d v="1899-12-30T11:49:00"/>
    <d v="1899-12-30T14:25:00"/>
    <n v="156"/>
    <x v="1"/>
    <b v="1"/>
    <b v="0"/>
    <x v="0"/>
    <x v="0"/>
    <x v="1"/>
    <x v="6"/>
    <x v="1"/>
    <n v="0"/>
    <x v="12"/>
    <s v="All hours"/>
    <s v="San Diego, CA"/>
    <n v="32.715699999999998"/>
    <n v="-117.1611"/>
    <d v="2025-01-28T00:00:00"/>
    <n v="5"/>
    <b v="1"/>
    <d v="2025-07-14T00:00:00"/>
    <x v="3"/>
    <x v="3"/>
  </r>
  <r>
    <b v="1"/>
    <d v="1899-12-30T17:57:00"/>
    <d v="1899-12-30T19:46:00"/>
    <n v="109"/>
    <x v="0"/>
    <b v="1"/>
    <b v="1"/>
    <x v="1"/>
    <x v="3"/>
    <x v="1"/>
    <x v="11"/>
    <x v="1"/>
    <n v="0"/>
    <x v="38"/>
    <s v="All hours + Priority access"/>
    <s v="San Jose, CA"/>
    <n v="37.338200000000001"/>
    <n v="-121.88630000000001"/>
    <d v="2023-06-13T00:00:00"/>
    <n v="2"/>
    <b v="1"/>
    <d v="2025-06-11T00:00:00"/>
    <x v="1"/>
    <x v="1"/>
  </r>
  <r>
    <b v="0"/>
    <d v="1899-12-30T11:51:00"/>
    <d v="1899-12-30T14:21:00"/>
    <n v="150"/>
    <x v="1"/>
    <b v="1"/>
    <b v="0"/>
    <x v="4"/>
    <x v="2"/>
    <x v="0"/>
    <x v="2"/>
    <x v="0"/>
    <n v="0.05"/>
    <x v="18"/>
    <s v="Off-peak only"/>
    <s v="Bakersfield, CA"/>
    <n v="35.3733"/>
    <n v="-119.0187"/>
    <d v="2024-04-18T00:00:00"/>
    <n v="5"/>
    <b v="1"/>
    <d v="2025-06-28T00:00:00"/>
    <x v="3"/>
    <x v="3"/>
  </r>
  <r>
    <b v="1"/>
    <d v="1899-12-30T13:39:00"/>
    <d v="1899-12-30T16:20:00"/>
    <n v="161"/>
    <x v="1"/>
    <b v="0"/>
    <b v="1"/>
    <x v="1"/>
    <x v="0"/>
    <x v="0"/>
    <x v="0"/>
    <x v="1"/>
    <n v="0"/>
    <x v="5"/>
    <s v="All hours"/>
    <s v="San Francisco, CA"/>
    <n v="37.774900000000002"/>
    <n v="-122.4194"/>
    <d v="2024-03-23T00:00:00"/>
    <n v="0"/>
    <b v="1"/>
    <d v="2025-06-27T00:00:00"/>
    <x v="1"/>
    <x v="1"/>
  </r>
  <r>
    <b v="0"/>
    <d v="1899-12-30T17:21:00"/>
    <d v="1899-12-30T19:53:00"/>
    <n v="152"/>
    <x v="1"/>
    <b v="1"/>
    <b v="1"/>
    <x v="0"/>
    <x v="2"/>
    <x v="0"/>
    <x v="2"/>
    <x v="1"/>
    <n v="0"/>
    <x v="3"/>
    <s v="Off-peak only"/>
    <s v="Long Beach, CA"/>
    <n v="33.770099999999999"/>
    <n v="-118.19370000000001"/>
    <d v="2023-05-20T00:00:00"/>
    <n v="6"/>
    <b v="0"/>
    <d v="2025-06-09T00:00:00"/>
    <x v="0"/>
    <x v="0"/>
  </r>
  <r>
    <b v="1"/>
    <d v="1899-12-30T13:30:00"/>
    <d v="1899-12-30T14:20:00"/>
    <n v="50"/>
    <x v="1"/>
    <b v="0"/>
    <b v="1"/>
    <x v="4"/>
    <x v="0"/>
    <x v="1"/>
    <x v="6"/>
    <x v="1"/>
    <n v="0"/>
    <x v="12"/>
    <s v="All hours"/>
    <s v="San Diego, CA"/>
    <n v="32.715699999999998"/>
    <n v="-117.1611"/>
    <d v="2023-06-16T00:00:00"/>
    <n v="0"/>
    <b v="1"/>
    <d v="2025-06-11T00:00:00"/>
    <x v="2"/>
    <x v="2"/>
  </r>
  <r>
    <b v="0"/>
    <d v="1899-12-30T15:21:00"/>
    <d v="1899-12-30T16:26:00"/>
    <n v="65"/>
    <x v="0"/>
    <b v="1"/>
    <b v="0"/>
    <x v="2"/>
    <x v="1"/>
    <x v="0"/>
    <x v="1"/>
    <x v="0"/>
    <n v="0.05"/>
    <x v="7"/>
    <s v="Weekdays only"/>
    <s v="Sacramento, CA"/>
    <n v="38.581600000000002"/>
    <n v="-121.4944"/>
    <d v="2022-08-02T00:00:00"/>
    <n v="8"/>
    <b v="0"/>
    <d v="2025-05-24T00:00:00"/>
    <x v="3"/>
    <x v="3"/>
  </r>
  <r>
    <b v="1"/>
    <d v="1899-12-30T18:06:00"/>
    <d v="1899-12-30T20:49:00"/>
    <n v="163"/>
    <x v="1"/>
    <b v="0"/>
    <b v="0"/>
    <x v="0"/>
    <x v="0"/>
    <x v="2"/>
    <x v="10"/>
    <x v="0"/>
    <n v="0.05"/>
    <x v="42"/>
    <s v="All hours"/>
    <s v="Long Beach, CA"/>
    <n v="33.770099999999999"/>
    <n v="-118.19370000000001"/>
    <d v="2025-02-06T00:00:00"/>
    <n v="0"/>
    <b v="1"/>
    <d v="2025-07-15T00:00:00"/>
    <x v="0"/>
    <x v="0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5-03-04T00:00:00"/>
    <n v="0"/>
    <b v="1"/>
    <d v="2025-07-16T00:00:00"/>
    <x v="2"/>
    <x v="2"/>
  </r>
  <r>
    <b v="1"/>
    <d v="1899-12-30T12:44:00"/>
    <d v="1899-12-30T15:44:00"/>
    <n v="180"/>
    <x v="0"/>
    <b v="0"/>
    <b v="0"/>
    <x v="4"/>
    <x v="1"/>
    <x v="2"/>
    <x v="8"/>
    <x v="1"/>
    <n v="0"/>
    <x v="2"/>
    <s v="Weekdays only"/>
    <s v="Anaheim, CA"/>
    <n v="33.836599999999997"/>
    <n v="-117.9143"/>
    <d v="2023-05-13T00:00:00"/>
    <n v="0"/>
    <b v="0"/>
    <d v="2025-06-09T00:00:00"/>
    <x v="0"/>
    <x v="0"/>
  </r>
  <r>
    <b v="0"/>
    <d v="1899-12-30T20:35:00"/>
    <d v="1899-12-30T22:58:00"/>
    <n v="143"/>
    <x v="0"/>
    <b v="1"/>
    <b v="0"/>
    <x v="0"/>
    <x v="0"/>
    <x v="0"/>
    <x v="0"/>
    <x v="0"/>
    <n v="0.05"/>
    <x v="0"/>
    <s v="All hours"/>
    <s v="Fresno, CA"/>
    <n v="36.7378"/>
    <n v="-119.7871"/>
    <d v="2023-10-16T00:00:00"/>
    <n v="8"/>
    <b v="1"/>
    <d v="2025-06-18T00:00:00"/>
    <x v="1"/>
    <x v="1"/>
  </r>
  <r>
    <b v="0"/>
    <d v="1899-12-30T13:34:00"/>
    <d v="1899-12-30T15:19:00"/>
    <n v="105"/>
    <x v="1"/>
    <b v="0"/>
    <b v="1"/>
    <x v="3"/>
    <x v="1"/>
    <x v="0"/>
    <x v="1"/>
    <x v="1"/>
    <n v="0"/>
    <x v="1"/>
    <s v="Weekdays only"/>
    <s v="San Jose, CA"/>
    <n v="37.338200000000001"/>
    <n v="-121.88630000000001"/>
    <d v="2024-09-04T00:00:00"/>
    <n v="0"/>
    <b v="1"/>
    <d v="2025-07-06T00:00:00"/>
    <x v="3"/>
    <x v="3"/>
  </r>
  <r>
    <b v="0"/>
    <d v="1899-12-30T20:57:00"/>
    <d v="1899-12-30T22:15:00"/>
    <n v="78"/>
    <x v="1"/>
    <b v="1"/>
    <b v="0"/>
    <x v="1"/>
    <x v="1"/>
    <x v="0"/>
    <x v="1"/>
    <x v="3"/>
    <n v="0.15"/>
    <x v="15"/>
    <s v="Weekdays only"/>
    <s v="Sacramento, CA"/>
    <n v="38.581600000000002"/>
    <n v="-121.4944"/>
    <d v="2025-03-30T00:00:00"/>
    <n v="3"/>
    <b v="0"/>
    <d v="2025-07-18T00:00:00"/>
    <x v="1"/>
    <x v="1"/>
  </r>
  <r>
    <b v="1"/>
    <d v="1899-12-30T16:37:00"/>
    <d v="1899-12-30T17:45:00"/>
    <n v="68"/>
    <x v="0"/>
    <b v="1"/>
    <b v="0"/>
    <x v="4"/>
    <x v="0"/>
    <x v="0"/>
    <x v="0"/>
    <x v="3"/>
    <n v="0.15"/>
    <x v="27"/>
    <s v="All hours"/>
    <s v="San Francisco, CA"/>
    <n v="37.774900000000002"/>
    <n v="-122.4194"/>
    <d v="2025-03-23T00:00:00"/>
    <n v="3"/>
    <b v="1"/>
    <d v="2025-07-17T00:00:00"/>
    <x v="1"/>
    <x v="1"/>
  </r>
  <r>
    <b v="0"/>
    <d v="1899-12-30T17:57:00"/>
    <d v="1899-12-30T20:08:00"/>
    <n v="131"/>
    <x v="0"/>
    <b v="0"/>
    <b v="0"/>
    <x v="0"/>
    <x v="0"/>
    <x v="0"/>
    <x v="0"/>
    <x v="3"/>
    <n v="0.15"/>
    <x v="27"/>
    <s v="All hours"/>
    <s v="Fresno, CA"/>
    <n v="36.7378"/>
    <n v="-119.7871"/>
    <d v="2022-11-13T00:00:00"/>
    <n v="0"/>
    <b v="0"/>
    <d v="2025-05-30T00:00:00"/>
    <x v="3"/>
    <x v="3"/>
  </r>
  <r>
    <b v="0"/>
    <d v="1899-12-30T20:44:00"/>
    <d v="1899-12-30T21:57:00"/>
    <n v="73"/>
    <x v="0"/>
    <b v="1"/>
    <b v="1"/>
    <x v="0"/>
    <x v="0"/>
    <x v="0"/>
    <x v="0"/>
    <x v="1"/>
    <n v="0"/>
    <x v="5"/>
    <s v="All hours"/>
    <s v="Sacramento, CA"/>
    <n v="38.581600000000002"/>
    <n v="-121.4944"/>
    <d v="2024-11-30T00:00:00"/>
    <n v="3"/>
    <b v="1"/>
    <d v="2025-07-11T00:00:00"/>
    <x v="3"/>
    <x v="3"/>
  </r>
  <r>
    <b v="0"/>
    <d v="1899-12-30T08:41:00"/>
    <d v="1899-12-30T11:33:00"/>
    <n v="172"/>
    <x v="0"/>
    <b v="0"/>
    <b v="1"/>
    <x v="4"/>
    <x v="0"/>
    <x v="1"/>
    <x v="6"/>
    <x v="0"/>
    <n v="0.05"/>
    <x v="10"/>
    <s v="All hours"/>
    <s v="San Francisco, CA"/>
    <n v="37.774900000000002"/>
    <n v="-122.4194"/>
    <d v="2024-07-13T00:00:00"/>
    <n v="0"/>
    <b v="1"/>
    <d v="2025-07-03T00:00:00"/>
    <x v="2"/>
    <x v="2"/>
  </r>
  <r>
    <b v="0"/>
    <d v="1899-12-30T14:12:00"/>
    <d v="1899-12-30T15:26:00"/>
    <n v="74"/>
    <x v="1"/>
    <b v="0"/>
    <b v="0"/>
    <x v="4"/>
    <x v="2"/>
    <x v="0"/>
    <x v="2"/>
    <x v="0"/>
    <n v="0.05"/>
    <x v="18"/>
    <s v="Off-peak only"/>
    <s v="Oakland, CA"/>
    <n v="37.804400000000001"/>
    <n v="-122.27119999999999"/>
    <d v="2024-10-24T00:00:00"/>
    <n v="0"/>
    <b v="0"/>
    <d v="2025-07-09T00:00:00"/>
    <x v="3"/>
    <x v="3"/>
  </r>
  <r>
    <b v="1"/>
    <d v="1899-12-30T13:12:00"/>
    <d v="1899-12-30T14:49:00"/>
    <n v="97"/>
    <x v="0"/>
    <b v="1"/>
    <b v="0"/>
    <x v="4"/>
    <x v="2"/>
    <x v="0"/>
    <x v="2"/>
    <x v="3"/>
    <n v="0.15"/>
    <x v="17"/>
    <s v="Off-peak only"/>
    <s v="Long Beach, CA"/>
    <n v="33.770099999999999"/>
    <n v="-118.19370000000001"/>
    <d v="2024-06-09T00:00:00"/>
    <n v="5"/>
    <b v="1"/>
    <d v="2025-07-01T00:00:00"/>
    <x v="3"/>
    <x v="3"/>
  </r>
  <r>
    <b v="0"/>
    <d v="1899-12-30T08:17:00"/>
    <d v="1899-12-30T09:08:00"/>
    <n v="51"/>
    <x v="0"/>
    <b v="1"/>
    <b v="1"/>
    <x v="0"/>
    <x v="1"/>
    <x v="1"/>
    <x v="4"/>
    <x v="2"/>
    <n v="0.1"/>
    <x v="26"/>
    <s v="Weekdays only"/>
    <s v="Fresno, CA"/>
    <n v="36.7378"/>
    <n v="-119.7871"/>
    <d v="2025-04-10T00:00:00"/>
    <n v="4"/>
    <b v="0"/>
    <d v="2025-07-18T00:00:00"/>
    <x v="0"/>
    <x v="0"/>
  </r>
  <r>
    <b v="0"/>
    <d v="1899-12-30T13:22:00"/>
    <d v="1899-12-30T14:37:00"/>
    <n v="75"/>
    <x v="1"/>
    <b v="1"/>
    <b v="0"/>
    <x v="2"/>
    <x v="0"/>
    <x v="2"/>
    <x v="10"/>
    <x v="0"/>
    <n v="0.05"/>
    <x v="42"/>
    <s v="All hours"/>
    <s v="Oakland, CA"/>
    <n v="37.804400000000001"/>
    <n v="-122.27119999999999"/>
    <d v="2023-12-18T00:00:00"/>
    <n v="2"/>
    <b v="1"/>
    <d v="2025-06-21T00:00:00"/>
    <x v="3"/>
    <x v="3"/>
  </r>
  <r>
    <b v="0"/>
    <d v="1899-12-30T10:24:00"/>
    <d v="1899-12-30T11:48:00"/>
    <n v="84"/>
    <x v="1"/>
    <b v="0"/>
    <b v="0"/>
    <x v="0"/>
    <x v="2"/>
    <x v="0"/>
    <x v="2"/>
    <x v="2"/>
    <n v="0.1"/>
    <x v="6"/>
    <s v="Off-peak only"/>
    <s v="San Diego, CA"/>
    <n v="32.715699999999998"/>
    <n v="-117.1611"/>
    <d v="2025-04-11T00:00:00"/>
    <n v="0"/>
    <b v="0"/>
    <d v="2025-07-18T00:00:00"/>
    <x v="1"/>
    <x v="1"/>
  </r>
  <r>
    <b v="0"/>
    <d v="1899-12-30T09:43:00"/>
    <d v="1899-12-30T11:16:00"/>
    <n v="93"/>
    <x v="1"/>
    <b v="0"/>
    <b v="1"/>
    <x v="3"/>
    <x v="0"/>
    <x v="0"/>
    <x v="0"/>
    <x v="1"/>
    <n v="0"/>
    <x v="5"/>
    <s v="All hours"/>
    <s v="San Diego, CA"/>
    <n v="32.715699999999998"/>
    <n v="-117.1611"/>
    <d v="2023-02-21T00:00:00"/>
    <n v="0"/>
    <b v="1"/>
    <d v="2025-06-04T00:00:00"/>
    <x v="0"/>
    <x v="0"/>
  </r>
  <r>
    <b v="0"/>
    <d v="1899-12-30T13:04:00"/>
    <d v="1899-12-30T14:21:00"/>
    <n v="77"/>
    <x v="1"/>
    <b v="0"/>
    <b v="0"/>
    <x v="0"/>
    <x v="3"/>
    <x v="1"/>
    <x v="11"/>
    <x v="2"/>
    <n v="0.1"/>
    <x v="32"/>
    <s v="All hours + Priority access"/>
    <s v="Anaheim, CA"/>
    <n v="33.836599999999997"/>
    <n v="-117.9143"/>
    <d v="2024-10-17T00:00:00"/>
    <n v="0"/>
    <b v="1"/>
    <d v="2025-07-08T00:00:00"/>
    <x v="3"/>
    <x v="3"/>
  </r>
  <r>
    <b v="0"/>
    <d v="1899-12-30T13:05:00"/>
    <d v="1899-12-30T15:29:00"/>
    <n v="144"/>
    <x v="0"/>
    <b v="1"/>
    <b v="1"/>
    <x v="1"/>
    <x v="1"/>
    <x v="0"/>
    <x v="1"/>
    <x v="1"/>
    <n v="0"/>
    <x v="1"/>
    <s v="Weekdays only"/>
    <s v="San Francisco, CA"/>
    <n v="37.774900000000002"/>
    <n v="-122.4194"/>
    <d v="2023-11-25T00:00:00"/>
    <n v="3"/>
    <b v="0"/>
    <d v="2025-06-20T00:00:00"/>
    <x v="3"/>
    <x v="3"/>
  </r>
  <r>
    <b v="0"/>
    <d v="1899-12-30T20:35:00"/>
    <d v="1899-12-30T22:58:00"/>
    <n v="143"/>
    <x v="0"/>
    <b v="1"/>
    <b v="0"/>
    <x v="0"/>
    <x v="0"/>
    <x v="0"/>
    <x v="0"/>
    <x v="0"/>
    <n v="0.05"/>
    <x v="0"/>
    <s v="All hours"/>
    <s v="Fresno, CA"/>
    <n v="36.7378"/>
    <n v="-119.7871"/>
    <d v="2022-11-28T00:00:00"/>
    <n v="6"/>
    <b v="0"/>
    <d v="2025-05-31T00:00:00"/>
    <x v="1"/>
    <x v="1"/>
  </r>
  <r>
    <b v="1"/>
    <d v="1899-12-30T14:22:00"/>
    <d v="1899-12-30T15:43:00"/>
    <n v="81"/>
    <x v="1"/>
    <b v="0"/>
    <b v="0"/>
    <x v="1"/>
    <x v="0"/>
    <x v="1"/>
    <x v="6"/>
    <x v="0"/>
    <n v="0.05"/>
    <x v="10"/>
    <s v="All hours"/>
    <s v="Oakland, CA"/>
    <n v="37.804400000000001"/>
    <n v="-122.27119999999999"/>
    <d v="2023-07-30T00:00:00"/>
    <n v="0"/>
    <b v="1"/>
    <d v="2025-06-13T00:00:00"/>
    <x v="1"/>
    <x v="1"/>
  </r>
  <r>
    <b v="0"/>
    <d v="1899-12-30T18:37:00"/>
    <d v="1899-12-30T20:15:00"/>
    <n v="98"/>
    <x v="0"/>
    <b v="1"/>
    <b v="1"/>
    <x v="4"/>
    <x v="1"/>
    <x v="2"/>
    <x v="8"/>
    <x v="2"/>
    <n v="0.1"/>
    <x v="33"/>
    <s v="Weekdays only"/>
    <s v="Fresno, CA"/>
    <n v="36.7378"/>
    <n v="-119.7871"/>
    <d v="2023-12-03T00:00:00"/>
    <n v="6"/>
    <b v="1"/>
    <d v="2025-06-21T00:00:00"/>
    <x v="0"/>
    <x v="0"/>
  </r>
  <r>
    <b v="1"/>
    <d v="1899-12-30T09:21:00"/>
    <d v="1899-12-30T12:12:00"/>
    <n v="171"/>
    <x v="0"/>
    <b v="1"/>
    <b v="0"/>
    <x v="0"/>
    <x v="2"/>
    <x v="0"/>
    <x v="2"/>
    <x v="2"/>
    <n v="0.1"/>
    <x v="6"/>
    <s v="Off-peak only"/>
    <s v="Bakersfield, CA"/>
    <n v="35.3733"/>
    <n v="-119.0187"/>
    <d v="2024-07-12T00:00:00"/>
    <n v="3"/>
    <b v="1"/>
    <d v="2025-07-03T00:00:00"/>
    <x v="2"/>
    <x v="4"/>
  </r>
  <r>
    <b v="0"/>
    <d v="1899-12-30T15:34:00"/>
    <d v="1899-12-30T16:41:00"/>
    <n v="67"/>
    <x v="1"/>
    <b v="1"/>
    <b v="0"/>
    <x v="4"/>
    <x v="0"/>
    <x v="0"/>
    <x v="0"/>
    <x v="1"/>
    <n v="0"/>
    <x v="5"/>
    <s v="All hours"/>
    <s v="Fresno, CA"/>
    <n v="36.7378"/>
    <n v="-119.7871"/>
    <d v="2024-07-03T00:00:00"/>
    <n v="8"/>
    <b v="1"/>
    <d v="2025-07-03T00:00:00"/>
    <x v="0"/>
    <x v="0"/>
  </r>
  <r>
    <b v="1"/>
    <d v="1899-12-30T14:42:00"/>
    <d v="1899-12-30T16:08:00"/>
    <n v="86"/>
    <x v="0"/>
    <b v="1"/>
    <b v="1"/>
    <x v="2"/>
    <x v="2"/>
    <x v="2"/>
    <x v="7"/>
    <x v="1"/>
    <n v="0"/>
    <x v="6"/>
    <s v="Off-peak only"/>
    <s v="Bakersfield, CA"/>
    <n v="35.3733"/>
    <n v="-119.0187"/>
    <d v="2023-07-10T00:00:00"/>
    <n v="3"/>
    <b v="0"/>
    <d v="2025-06-12T00:00:00"/>
    <x v="0"/>
    <x v="0"/>
  </r>
  <r>
    <b v="1"/>
    <d v="1899-12-30T14:55:00"/>
    <d v="1899-12-30T16:01:00"/>
    <n v="66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2-07-30T00:00:00"/>
    <n v="2"/>
    <b v="1"/>
    <d v="2025-05-24T00:00:00"/>
    <x v="1"/>
    <x v="1"/>
  </r>
  <r>
    <b v="1"/>
    <d v="1899-12-30T20:09:00"/>
    <d v="1899-12-30T21:57:00"/>
    <n v="108"/>
    <x v="0"/>
    <b v="0"/>
    <b v="1"/>
    <x v="2"/>
    <x v="3"/>
    <x v="0"/>
    <x v="3"/>
    <x v="1"/>
    <n v="0"/>
    <x v="4"/>
    <s v="All hours + Priority access"/>
    <s v="Anaheim, CA"/>
    <n v="33.836599999999997"/>
    <n v="-117.9143"/>
    <d v="2023-07-19T00:00:00"/>
    <n v="0"/>
    <b v="1"/>
    <d v="2025-06-13T00:00:00"/>
    <x v="0"/>
    <x v="0"/>
  </r>
  <r>
    <b v="1"/>
    <d v="1899-12-30T10:09:00"/>
    <d v="1899-12-30T10:57:00"/>
    <n v="48"/>
    <x v="1"/>
    <b v="0"/>
    <b v="0"/>
    <x v="4"/>
    <x v="2"/>
    <x v="0"/>
    <x v="2"/>
    <x v="0"/>
    <n v="0.05"/>
    <x v="18"/>
    <s v="Off-peak only"/>
    <s v="Anaheim, CA"/>
    <n v="33.836599999999997"/>
    <n v="-117.9143"/>
    <d v="2023-11-06T00:00:00"/>
    <n v="0"/>
    <b v="1"/>
    <d v="2025-06-19T00:00:00"/>
    <x v="0"/>
    <x v="0"/>
  </r>
  <r>
    <b v="0"/>
    <d v="1899-12-30T17:52:00"/>
    <d v="1899-12-30T20:52:00"/>
    <n v="180"/>
    <x v="0"/>
    <b v="1"/>
    <b v="0"/>
    <x v="0"/>
    <x v="0"/>
    <x v="1"/>
    <x v="6"/>
    <x v="1"/>
    <n v="0"/>
    <x v="12"/>
    <s v="All hours"/>
    <s v="San Francisco, CA"/>
    <n v="37.774900000000002"/>
    <n v="-122.4194"/>
    <d v="2023-05-06T00:00:00"/>
    <n v="3"/>
    <b v="1"/>
    <d v="2025-06-09T00:00:00"/>
    <x v="0"/>
    <x v="0"/>
  </r>
  <r>
    <b v="0"/>
    <d v="1899-12-30T14:33:00"/>
    <d v="1899-12-30T16:48:00"/>
    <n v="135"/>
    <x v="0"/>
    <b v="0"/>
    <b v="1"/>
    <x v="0"/>
    <x v="1"/>
    <x v="0"/>
    <x v="1"/>
    <x v="2"/>
    <n v="0.1"/>
    <x v="2"/>
    <s v="Weekdays only"/>
    <s v="San Jose, CA"/>
    <n v="37.338200000000001"/>
    <n v="-121.88630000000001"/>
    <d v="2024-02-13T00:00:00"/>
    <n v="0"/>
    <b v="0"/>
    <d v="2025-06-25T00:00:00"/>
    <x v="2"/>
    <x v="4"/>
  </r>
  <r>
    <b v="1"/>
    <d v="1899-12-30T14:42:00"/>
    <d v="1899-12-30T16:08:00"/>
    <n v="86"/>
    <x v="0"/>
    <b v="1"/>
    <b v="1"/>
    <x v="2"/>
    <x v="2"/>
    <x v="2"/>
    <x v="7"/>
    <x v="1"/>
    <n v="0"/>
    <x v="6"/>
    <s v="Off-peak only"/>
    <s v="Bakersfield, CA"/>
    <n v="35.3733"/>
    <n v="-119.0187"/>
    <d v="2025-04-19T00:00:00"/>
    <n v="2"/>
    <b v="0"/>
    <d v="2025-07-19T00:00:00"/>
    <x v="0"/>
    <x v="0"/>
  </r>
  <r>
    <b v="0"/>
    <d v="1899-12-30T16:41:00"/>
    <d v="1899-12-30T19:00:00"/>
    <n v="139"/>
    <x v="1"/>
    <b v="0"/>
    <b v="0"/>
    <x v="4"/>
    <x v="1"/>
    <x v="1"/>
    <x v="4"/>
    <x v="1"/>
    <n v="0"/>
    <x v="8"/>
    <s v="Weekdays only"/>
    <s v="Bakersfield, CA"/>
    <n v="35.3733"/>
    <n v="-119.0187"/>
    <d v="2023-11-02T00:00:00"/>
    <n v="0"/>
    <b v="0"/>
    <d v="2025-06-19T00:00:00"/>
    <x v="2"/>
    <x v="2"/>
  </r>
  <r>
    <b v="1"/>
    <d v="1899-12-30T09:25:00"/>
    <d v="1899-12-30T10:36:00"/>
    <n v="71"/>
    <x v="0"/>
    <b v="0"/>
    <b v="1"/>
    <x v="0"/>
    <x v="3"/>
    <x v="2"/>
    <x v="9"/>
    <x v="1"/>
    <n v="0"/>
    <x v="22"/>
    <s v="All hours + Priority access"/>
    <s v="San Francisco, CA"/>
    <n v="37.774900000000002"/>
    <n v="-122.4194"/>
    <d v="2022-09-07T00:00:00"/>
    <n v="0"/>
    <b v="1"/>
    <d v="2025-05-26T00:00:00"/>
    <x v="3"/>
    <x v="3"/>
  </r>
  <r>
    <b v="1"/>
    <d v="1899-12-30T18:26:00"/>
    <d v="1899-12-30T21:21:00"/>
    <n v="175"/>
    <x v="1"/>
    <b v="1"/>
    <b v="0"/>
    <x v="0"/>
    <x v="2"/>
    <x v="1"/>
    <x v="5"/>
    <x v="3"/>
    <n v="0.15"/>
    <x v="13"/>
    <s v="Off-peak only"/>
    <s v="San Francisco, CA"/>
    <n v="37.774900000000002"/>
    <n v="-122.4194"/>
    <d v="2024-12-18T00:00:00"/>
    <n v="6"/>
    <b v="1"/>
    <d v="2025-07-12T00:00:00"/>
    <x v="0"/>
    <x v="0"/>
  </r>
  <r>
    <b v="1"/>
    <d v="1899-12-30T14:06:00"/>
    <d v="1899-12-30T16:06:00"/>
    <n v="120"/>
    <x v="1"/>
    <b v="1"/>
    <b v="1"/>
    <x v="2"/>
    <x v="2"/>
    <x v="0"/>
    <x v="2"/>
    <x v="3"/>
    <n v="0.15"/>
    <x v="17"/>
    <s v="Off-peak only"/>
    <s v="Anaheim, CA"/>
    <n v="33.836599999999997"/>
    <n v="-117.9143"/>
    <d v="2023-06-19T00:00:00"/>
    <n v="3"/>
    <b v="1"/>
    <d v="2025-06-11T00:00:00"/>
    <x v="0"/>
    <x v="0"/>
  </r>
  <r>
    <b v="0"/>
    <d v="1899-12-30T19:30:00"/>
    <d v="1899-12-30T21:59:00"/>
    <n v="149"/>
    <x v="1"/>
    <b v="0"/>
    <b v="1"/>
    <x v="0"/>
    <x v="3"/>
    <x v="1"/>
    <x v="11"/>
    <x v="1"/>
    <n v="0"/>
    <x v="38"/>
    <s v="All hours + Priority access"/>
    <s v="Fresno, CA"/>
    <n v="36.7378"/>
    <n v="-119.7871"/>
    <d v="2024-11-21T00:00:00"/>
    <n v="0"/>
    <b v="0"/>
    <d v="2025-07-10T00:00:00"/>
    <x v="1"/>
    <x v="1"/>
  </r>
  <r>
    <b v="1"/>
    <d v="1899-12-30T15:53:00"/>
    <d v="1899-12-30T16:42:00"/>
    <n v="49"/>
    <x v="0"/>
    <b v="1"/>
    <b v="0"/>
    <x v="0"/>
    <x v="3"/>
    <x v="0"/>
    <x v="3"/>
    <x v="2"/>
    <n v="0.1"/>
    <x v="22"/>
    <s v="All hours + Priority access"/>
    <s v="Long Beach, CA"/>
    <n v="33.770099999999999"/>
    <n v="-118.19370000000001"/>
    <d v="2023-11-30T00:00:00"/>
    <n v="5"/>
    <b v="0"/>
    <d v="2025-06-20T00:00:00"/>
    <x v="2"/>
    <x v="2"/>
  </r>
  <r>
    <b v="0"/>
    <d v="1899-12-30T20:04:00"/>
    <d v="1899-12-30T20:43:00"/>
    <n v="39"/>
    <x v="0"/>
    <b v="0"/>
    <b v="0"/>
    <x v="4"/>
    <x v="3"/>
    <x v="2"/>
    <x v="9"/>
    <x v="3"/>
    <n v="0.15"/>
    <x v="19"/>
    <s v="All hours + Priority access"/>
    <s v="San Francisco, CA"/>
    <n v="37.774900000000002"/>
    <n v="-122.4194"/>
    <d v="2025-03-12T00:00:00"/>
    <n v="0"/>
    <b v="1"/>
    <d v="2025-07-17T00:00:00"/>
    <x v="1"/>
    <x v="1"/>
  </r>
  <r>
    <b v="1"/>
    <d v="1899-12-30T19:41:00"/>
    <d v="1899-12-30T21:35:00"/>
    <n v="114"/>
    <x v="1"/>
    <b v="1"/>
    <b v="0"/>
    <x v="4"/>
    <x v="0"/>
    <x v="2"/>
    <x v="10"/>
    <x v="3"/>
    <n v="0.15"/>
    <x v="25"/>
    <s v="All hours"/>
    <s v="San Diego, CA"/>
    <n v="32.715699999999998"/>
    <n v="-117.1611"/>
    <d v="2024-02-29T00:00:00"/>
    <n v="7"/>
    <b v="1"/>
    <d v="2025-06-25T00:00:00"/>
    <x v="1"/>
    <x v="1"/>
  </r>
  <r>
    <b v="0"/>
    <d v="1899-12-30T14:33:00"/>
    <d v="1899-12-30T16:48:00"/>
    <n v="135"/>
    <x v="0"/>
    <b v="0"/>
    <b v="1"/>
    <x v="0"/>
    <x v="1"/>
    <x v="0"/>
    <x v="1"/>
    <x v="2"/>
    <n v="0.1"/>
    <x v="2"/>
    <s v="Weekdays only"/>
    <s v="San Jose, CA"/>
    <n v="37.338200000000001"/>
    <n v="-121.88630000000001"/>
    <d v="2023-04-09T00:00:00"/>
    <n v="0"/>
    <b v="0"/>
    <d v="2025-06-07T00:00:00"/>
    <x v="2"/>
    <x v="4"/>
  </r>
  <r>
    <b v="0"/>
    <d v="1899-12-30T17:29:00"/>
    <d v="1899-12-30T18:25:00"/>
    <n v="56"/>
    <x v="0"/>
    <b v="1"/>
    <b v="0"/>
    <x v="1"/>
    <x v="2"/>
    <x v="0"/>
    <x v="2"/>
    <x v="3"/>
    <n v="0.15"/>
    <x v="17"/>
    <s v="Off-peak only"/>
    <s v="Fresno, CA"/>
    <n v="36.7378"/>
    <n v="-119.7871"/>
    <d v="2024-06-17T00:00:00"/>
    <n v="5"/>
    <b v="0"/>
    <d v="2025-07-02T00:00:00"/>
    <x v="1"/>
    <x v="1"/>
  </r>
  <r>
    <b v="0"/>
    <d v="1899-12-30T11:26:00"/>
    <d v="1899-12-30T12:55:00"/>
    <n v="89"/>
    <x v="0"/>
    <b v="0"/>
    <b v="1"/>
    <x v="1"/>
    <x v="2"/>
    <x v="0"/>
    <x v="2"/>
    <x v="3"/>
    <n v="0.15"/>
    <x v="17"/>
    <s v="Off-peak only"/>
    <s v="San Jose, CA"/>
    <n v="37.338200000000001"/>
    <n v="-121.88630000000001"/>
    <d v="2023-07-15T00:00:00"/>
    <n v="0"/>
    <b v="0"/>
    <d v="2025-06-13T00:00:00"/>
    <x v="0"/>
    <x v="0"/>
  </r>
  <r>
    <b v="1"/>
    <d v="1899-12-30T14:55:00"/>
    <d v="1899-12-30T16:01:00"/>
    <n v="66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2-26T00:00:00"/>
    <n v="6"/>
    <b v="1"/>
    <d v="2025-06-05T00:00:00"/>
    <x v="1"/>
    <x v="1"/>
  </r>
  <r>
    <b v="1"/>
    <d v="1899-12-30T12:09:00"/>
    <d v="1899-12-30T14:55:00"/>
    <n v="166"/>
    <x v="1"/>
    <b v="1"/>
    <b v="1"/>
    <x v="2"/>
    <x v="2"/>
    <x v="0"/>
    <x v="2"/>
    <x v="3"/>
    <n v="0.15"/>
    <x v="17"/>
    <s v="Off-peak only"/>
    <s v="Anaheim, CA"/>
    <n v="33.836599999999997"/>
    <n v="-117.9143"/>
    <d v="2022-10-09T00:00:00"/>
    <n v="2"/>
    <b v="1"/>
    <d v="2025-05-28T00:00:00"/>
    <x v="2"/>
    <x v="2"/>
  </r>
  <r>
    <b v="0"/>
    <d v="1899-12-30T15:32:00"/>
    <d v="1899-12-30T16:25:00"/>
    <n v="53"/>
    <x v="1"/>
    <b v="1"/>
    <b v="1"/>
    <x v="0"/>
    <x v="1"/>
    <x v="0"/>
    <x v="1"/>
    <x v="2"/>
    <n v="0.1"/>
    <x v="2"/>
    <s v="Weekdays only"/>
    <s v="Fresno, CA"/>
    <n v="36.7378"/>
    <n v="-119.7871"/>
    <d v="2024-10-16T00:00:00"/>
    <n v="5"/>
    <b v="0"/>
    <d v="2025-07-08T00:00:00"/>
    <x v="0"/>
    <x v="0"/>
  </r>
  <r>
    <b v="0"/>
    <d v="1899-12-30T11:08:00"/>
    <d v="1899-12-30T13:20:00"/>
    <n v="132"/>
    <x v="1"/>
    <b v="0"/>
    <b v="1"/>
    <x v="4"/>
    <x v="2"/>
    <x v="2"/>
    <x v="7"/>
    <x v="1"/>
    <n v="0"/>
    <x v="6"/>
    <s v="Off-peak only"/>
    <s v="San Jose, CA"/>
    <n v="37.338200000000001"/>
    <n v="-121.88630000000001"/>
    <d v="2024-04-23T00:00:00"/>
    <n v="0"/>
    <b v="0"/>
    <d v="2025-06-29T00:00:00"/>
    <x v="1"/>
    <x v="1"/>
  </r>
  <r>
    <b v="1"/>
    <d v="1899-12-30T14:54:00"/>
    <d v="1899-12-30T16:52:00"/>
    <n v="118"/>
    <x v="0"/>
    <b v="0"/>
    <b v="0"/>
    <x v="4"/>
    <x v="0"/>
    <x v="0"/>
    <x v="0"/>
    <x v="0"/>
    <n v="0.05"/>
    <x v="0"/>
    <s v="All hours"/>
    <s v="Los Angeles, CA"/>
    <n v="34.052199999999999"/>
    <n v="-118.2437"/>
    <d v="2025-01-11T00:00:00"/>
    <n v="0"/>
    <b v="1"/>
    <d v="2025-07-13T00:00:00"/>
    <x v="2"/>
    <x v="4"/>
  </r>
  <r>
    <b v="0"/>
    <d v="1899-12-30T08:05:00"/>
    <d v="1899-12-30T09:06:00"/>
    <n v="61"/>
    <x v="1"/>
    <b v="1"/>
    <b v="0"/>
    <x v="2"/>
    <x v="1"/>
    <x v="1"/>
    <x v="4"/>
    <x v="0"/>
    <n v="0.05"/>
    <x v="11"/>
    <s v="Weekdays only"/>
    <s v="Long Beach, CA"/>
    <n v="33.770099999999999"/>
    <n v="-118.19370000000001"/>
    <d v="2022-08-01T00:00:00"/>
    <n v="2"/>
    <b v="1"/>
    <d v="2025-05-24T00:00:00"/>
    <x v="1"/>
    <x v="1"/>
  </r>
  <r>
    <b v="1"/>
    <d v="1899-12-30T15:17:00"/>
    <d v="1899-12-30T17:00:00"/>
    <n v="103"/>
    <x v="1"/>
    <b v="0"/>
    <b v="0"/>
    <x v="1"/>
    <x v="2"/>
    <x v="0"/>
    <x v="2"/>
    <x v="0"/>
    <n v="0.05"/>
    <x v="18"/>
    <s v="Off-peak only"/>
    <s v="San Francisco, CA"/>
    <n v="37.774900000000002"/>
    <n v="-122.4194"/>
    <d v="2022-10-09T00:00:00"/>
    <n v="0"/>
    <b v="0"/>
    <d v="2025-05-28T00:00:00"/>
    <x v="0"/>
    <x v="0"/>
  </r>
  <r>
    <b v="0"/>
    <d v="1899-12-30T15:02:00"/>
    <d v="1899-12-30T16:29:00"/>
    <n v="87"/>
    <x v="0"/>
    <b v="0"/>
    <b v="0"/>
    <x v="0"/>
    <x v="1"/>
    <x v="0"/>
    <x v="1"/>
    <x v="2"/>
    <n v="0.1"/>
    <x v="2"/>
    <s v="Weekdays only"/>
    <s v="Bakersfield, CA"/>
    <n v="35.3733"/>
    <n v="-119.0187"/>
    <d v="2023-11-25T00:00:00"/>
    <n v="0"/>
    <b v="0"/>
    <d v="2025-06-20T00:00:00"/>
    <x v="1"/>
    <x v="1"/>
  </r>
  <r>
    <b v="0"/>
    <d v="1899-12-30T16:51:00"/>
    <d v="1899-12-30T18:31:00"/>
    <n v="100"/>
    <x v="0"/>
    <b v="1"/>
    <b v="1"/>
    <x v="4"/>
    <x v="0"/>
    <x v="0"/>
    <x v="0"/>
    <x v="1"/>
    <n v="0"/>
    <x v="5"/>
    <s v="All hours"/>
    <s v="Sacramento, CA"/>
    <n v="38.581600000000002"/>
    <n v="-121.4944"/>
    <d v="2023-01-08T00:00:00"/>
    <n v="5"/>
    <b v="0"/>
    <d v="2025-06-02T00:00:00"/>
    <x v="3"/>
    <x v="3"/>
  </r>
  <r>
    <b v="0"/>
    <d v="1899-12-30T10:11:00"/>
    <d v="1899-12-30T11:28:00"/>
    <n v="77"/>
    <x v="1"/>
    <b v="1"/>
    <b v="0"/>
    <x v="4"/>
    <x v="0"/>
    <x v="0"/>
    <x v="0"/>
    <x v="1"/>
    <n v="0"/>
    <x v="5"/>
    <s v="All hours"/>
    <s v="Bakersfield, CA"/>
    <n v="35.3733"/>
    <n v="-119.0187"/>
    <d v="2023-12-16T00:00:00"/>
    <n v="5"/>
    <b v="1"/>
    <d v="2025-06-21T00:00:00"/>
    <x v="0"/>
    <x v="0"/>
  </r>
  <r>
    <b v="1"/>
    <d v="1899-12-30T15:06:00"/>
    <d v="1899-12-30T17:40:00"/>
    <n v="154"/>
    <x v="1"/>
    <b v="0"/>
    <b v="1"/>
    <x v="0"/>
    <x v="1"/>
    <x v="0"/>
    <x v="1"/>
    <x v="2"/>
    <n v="0.1"/>
    <x v="2"/>
    <s v="Weekdays only"/>
    <s v="Sacramento, CA"/>
    <n v="38.581600000000002"/>
    <n v="-121.4944"/>
    <d v="2023-08-28T00:00:00"/>
    <n v="0"/>
    <b v="0"/>
    <d v="2025-06-15T00:00:00"/>
    <x v="3"/>
    <x v="3"/>
  </r>
  <r>
    <b v="1"/>
    <d v="1899-12-30T11:36:00"/>
    <d v="1899-12-30T14:23:00"/>
    <n v="167"/>
    <x v="0"/>
    <b v="0"/>
    <b v="0"/>
    <x v="4"/>
    <x v="2"/>
    <x v="1"/>
    <x v="5"/>
    <x v="1"/>
    <n v="0"/>
    <x v="14"/>
    <s v="Off-peak only"/>
    <s v="Anaheim, CA"/>
    <n v="33.836599999999997"/>
    <n v="-117.9143"/>
    <d v="2025-03-20T00:00:00"/>
    <n v="0"/>
    <b v="1"/>
    <d v="2025-07-17T00:00:00"/>
    <x v="3"/>
    <x v="3"/>
  </r>
  <r>
    <b v="1"/>
    <d v="1899-12-30T08:12:00"/>
    <d v="1899-12-30T10:09:00"/>
    <n v="117"/>
    <x v="1"/>
    <b v="0"/>
    <b v="0"/>
    <x v="2"/>
    <x v="1"/>
    <x v="0"/>
    <x v="1"/>
    <x v="3"/>
    <n v="0.15"/>
    <x v="15"/>
    <s v="Weekdays only"/>
    <s v="Long Beach, CA"/>
    <n v="33.770099999999999"/>
    <n v="-118.19370000000001"/>
    <d v="2023-04-10T00:00:00"/>
    <n v="0"/>
    <b v="0"/>
    <d v="2025-06-07T00:00:00"/>
    <x v="0"/>
    <x v="0"/>
  </r>
  <r>
    <b v="0"/>
    <d v="1899-12-30T09:58:00"/>
    <d v="1899-12-30T12:31:00"/>
    <n v="153"/>
    <x v="0"/>
    <b v="0"/>
    <b v="1"/>
    <x v="4"/>
    <x v="1"/>
    <x v="1"/>
    <x v="4"/>
    <x v="0"/>
    <n v="0.05"/>
    <x v="11"/>
    <s v="Weekdays only"/>
    <s v="Fresno, CA"/>
    <n v="36.7378"/>
    <n v="-119.7871"/>
    <d v="2025-02-06T00:00:00"/>
    <n v="0"/>
    <b v="0"/>
    <d v="2025-07-15T00:00:00"/>
    <x v="0"/>
    <x v="0"/>
  </r>
  <r>
    <b v="1"/>
    <d v="1899-12-30T09:08:00"/>
    <d v="1899-12-30T11:19:00"/>
    <n v="131"/>
    <x v="1"/>
    <b v="1"/>
    <b v="0"/>
    <x v="4"/>
    <x v="0"/>
    <x v="0"/>
    <x v="0"/>
    <x v="3"/>
    <n v="0.15"/>
    <x v="27"/>
    <s v="All hours"/>
    <s v="Anaheim, CA"/>
    <n v="33.836599999999997"/>
    <n v="-117.9143"/>
    <d v="2023-01-25T00:00:00"/>
    <n v="2"/>
    <b v="1"/>
    <d v="2025-06-03T00:00:00"/>
    <x v="1"/>
    <x v="1"/>
  </r>
  <r>
    <b v="0"/>
    <d v="1899-12-30T20:20:00"/>
    <d v="1899-12-30T23:10:00"/>
    <n v="170"/>
    <x v="1"/>
    <b v="0"/>
    <b v="0"/>
    <x v="2"/>
    <x v="0"/>
    <x v="2"/>
    <x v="10"/>
    <x v="0"/>
    <n v="0.05"/>
    <x v="42"/>
    <s v="All hours"/>
    <s v="Fresno, CA"/>
    <n v="36.7378"/>
    <n v="-119.7871"/>
    <d v="2023-03-13T00:00:00"/>
    <n v="0"/>
    <b v="1"/>
    <d v="2025-06-06T00:00:00"/>
    <x v="3"/>
    <x v="3"/>
  </r>
  <r>
    <b v="1"/>
    <d v="1899-12-30T19:41:00"/>
    <d v="1899-12-30T21:35:00"/>
    <n v="114"/>
    <x v="1"/>
    <b v="1"/>
    <b v="0"/>
    <x v="4"/>
    <x v="0"/>
    <x v="2"/>
    <x v="10"/>
    <x v="3"/>
    <n v="0.15"/>
    <x v="25"/>
    <s v="All hours"/>
    <s v="San Diego, CA"/>
    <n v="32.715699999999998"/>
    <n v="-117.1611"/>
    <d v="2023-05-30T00:00:00"/>
    <n v="4"/>
    <b v="1"/>
    <d v="2025-06-10T00:00:00"/>
    <x v="1"/>
    <x v="1"/>
  </r>
  <r>
    <b v="0"/>
    <d v="1899-12-30T16:57:00"/>
    <d v="1899-12-30T18:54:00"/>
    <n v="117"/>
    <x v="1"/>
    <b v="1"/>
    <b v="0"/>
    <x v="4"/>
    <x v="2"/>
    <x v="1"/>
    <x v="5"/>
    <x v="1"/>
    <n v="0"/>
    <x v="14"/>
    <s v="Off-peak only"/>
    <s v="Sacramento, CA"/>
    <n v="38.581600000000002"/>
    <n v="-121.4944"/>
    <d v="2025-05-15T00:00:00"/>
    <n v="5"/>
    <b v="1"/>
    <d v="2025-07-20T00:00:00"/>
    <x v="2"/>
    <x v="2"/>
  </r>
  <r>
    <b v="1"/>
    <d v="1899-12-30T13:37:00"/>
    <d v="1899-12-30T14:09:00"/>
    <n v="32"/>
    <x v="1"/>
    <b v="0"/>
    <b v="0"/>
    <x v="0"/>
    <x v="1"/>
    <x v="1"/>
    <x v="4"/>
    <x v="1"/>
    <n v="0"/>
    <x v="8"/>
    <s v="Weekdays only"/>
    <s v="Long Beach, CA"/>
    <n v="33.770099999999999"/>
    <n v="-118.19370000000001"/>
    <d v="2024-08-04T00:00:00"/>
    <n v="0"/>
    <b v="0"/>
    <d v="2025-07-04T00:00:00"/>
    <x v="2"/>
    <x v="4"/>
  </r>
  <r>
    <b v="1"/>
    <d v="1899-12-30T17:30:00"/>
    <d v="1899-12-30T19:17:00"/>
    <n v="107"/>
    <x v="0"/>
    <b v="1"/>
    <b v="1"/>
    <x v="4"/>
    <x v="3"/>
    <x v="0"/>
    <x v="3"/>
    <x v="3"/>
    <n v="0.15"/>
    <x v="40"/>
    <s v="All hours + Priority access"/>
    <s v="Sacramento, CA"/>
    <n v="38.581600000000002"/>
    <n v="-121.4944"/>
    <d v="2024-09-15T00:00:00"/>
    <n v="3"/>
    <b v="1"/>
    <d v="2025-07-07T00:00:00"/>
    <x v="3"/>
    <x v="3"/>
  </r>
  <r>
    <b v="0"/>
    <d v="1899-12-30T13:10:00"/>
    <d v="1899-12-30T14:25:00"/>
    <n v="75"/>
    <x v="0"/>
    <b v="1"/>
    <b v="1"/>
    <x v="4"/>
    <x v="2"/>
    <x v="0"/>
    <x v="2"/>
    <x v="3"/>
    <n v="0.15"/>
    <x v="17"/>
    <s v="Off-peak only"/>
    <s v="Long Beach, CA"/>
    <n v="33.770099999999999"/>
    <n v="-118.19370000000001"/>
    <d v="2024-06-04T00:00:00"/>
    <n v="7"/>
    <b v="1"/>
    <d v="2025-07-01T00:00:00"/>
    <x v="0"/>
    <x v="0"/>
  </r>
  <r>
    <b v="1"/>
    <d v="1899-12-30T13:03:00"/>
    <d v="1899-12-30T15:39:00"/>
    <n v="156"/>
    <x v="0"/>
    <b v="1"/>
    <b v="1"/>
    <x v="2"/>
    <x v="1"/>
    <x v="1"/>
    <x v="4"/>
    <x v="0"/>
    <n v="0.05"/>
    <x v="11"/>
    <s v="Weekdays only"/>
    <s v="Sacramento, CA"/>
    <n v="38.581600000000002"/>
    <n v="-121.4944"/>
    <d v="2025-03-21T00:00:00"/>
    <n v="6"/>
    <b v="0"/>
    <d v="2025-07-17T00:00:00"/>
    <x v="3"/>
    <x v="3"/>
  </r>
  <r>
    <b v="1"/>
    <d v="1899-12-30T19:27:00"/>
    <d v="1899-12-30T22:03:00"/>
    <n v="156"/>
    <x v="0"/>
    <b v="0"/>
    <b v="0"/>
    <x v="4"/>
    <x v="0"/>
    <x v="1"/>
    <x v="6"/>
    <x v="1"/>
    <n v="0"/>
    <x v="12"/>
    <s v="All hours"/>
    <s v="San Francisco, CA"/>
    <n v="37.774900000000002"/>
    <n v="-122.4194"/>
    <d v="2022-09-29T00:00:00"/>
    <n v="0"/>
    <b v="1"/>
    <d v="2025-05-27T00:00:00"/>
    <x v="1"/>
    <x v="1"/>
  </r>
  <r>
    <b v="1"/>
    <d v="1899-12-30T15:49:00"/>
    <d v="1899-12-30T17:10:00"/>
    <n v="81"/>
    <x v="1"/>
    <b v="0"/>
    <b v="0"/>
    <x v="0"/>
    <x v="2"/>
    <x v="0"/>
    <x v="2"/>
    <x v="2"/>
    <n v="0.1"/>
    <x v="6"/>
    <s v="Off-peak only"/>
    <s v="San Jose, CA"/>
    <n v="37.338200000000001"/>
    <n v="-121.88630000000001"/>
    <d v="2023-11-11T00:00:00"/>
    <n v="0"/>
    <b v="0"/>
    <d v="2025-06-19T00:00:00"/>
    <x v="2"/>
    <x v="2"/>
  </r>
  <r>
    <b v="0"/>
    <d v="1899-12-30T15:15:00"/>
    <d v="1899-12-30T15:46:00"/>
    <n v="31"/>
    <x v="1"/>
    <b v="1"/>
    <b v="0"/>
    <x v="4"/>
    <x v="2"/>
    <x v="0"/>
    <x v="2"/>
    <x v="0"/>
    <n v="0.05"/>
    <x v="18"/>
    <s v="Off-peak only"/>
    <s v="Los Angeles, CA"/>
    <n v="34.052199999999999"/>
    <n v="-118.2437"/>
    <d v="2024-08-01T00:00:00"/>
    <n v="4"/>
    <b v="0"/>
    <d v="2025-07-04T00:00:00"/>
    <x v="2"/>
    <x v="2"/>
  </r>
  <r>
    <b v="1"/>
    <d v="1899-12-30T18:01:00"/>
    <d v="1899-12-30T19:30:00"/>
    <n v="89"/>
    <x v="0"/>
    <b v="1"/>
    <b v="1"/>
    <x v="1"/>
    <x v="1"/>
    <x v="0"/>
    <x v="1"/>
    <x v="1"/>
    <n v="0"/>
    <x v="1"/>
    <s v="Weekdays only"/>
    <s v="Oakland, CA"/>
    <n v="37.804400000000001"/>
    <n v="-122.27119999999999"/>
    <d v="2024-04-26T00:00:00"/>
    <n v="2"/>
    <b v="0"/>
    <d v="2025-06-29T00:00:00"/>
    <x v="3"/>
    <x v="3"/>
  </r>
  <r>
    <b v="0"/>
    <d v="1899-12-30T16:59:00"/>
    <d v="1899-12-30T18:41:00"/>
    <n v="102"/>
    <x v="1"/>
    <b v="0"/>
    <b v="0"/>
    <x v="0"/>
    <x v="2"/>
    <x v="0"/>
    <x v="2"/>
    <x v="0"/>
    <n v="0.05"/>
    <x v="18"/>
    <s v="Off-peak only"/>
    <s v="Fresno, CA"/>
    <n v="36.7378"/>
    <n v="-119.7871"/>
    <d v="2024-03-03T00:00:00"/>
    <n v="0"/>
    <b v="0"/>
    <d v="2025-06-26T00:00:00"/>
    <x v="2"/>
    <x v="2"/>
  </r>
  <r>
    <b v="0"/>
    <d v="1899-12-30T10:28:00"/>
    <d v="1899-12-30T13:25:00"/>
    <n v="177"/>
    <x v="0"/>
    <b v="0"/>
    <b v="1"/>
    <x v="4"/>
    <x v="2"/>
    <x v="1"/>
    <x v="5"/>
    <x v="3"/>
    <n v="0.15"/>
    <x v="13"/>
    <s v="Off-peak only"/>
    <s v="San Francisco, CA"/>
    <n v="37.774900000000002"/>
    <n v="-122.4194"/>
    <d v="2023-09-22T00:00:00"/>
    <n v="0"/>
    <b v="0"/>
    <d v="2025-06-16T00:00:00"/>
    <x v="0"/>
    <x v="0"/>
  </r>
  <r>
    <b v="1"/>
    <d v="1899-12-30T20:15:00"/>
    <d v="1899-12-30T21:36:00"/>
    <n v="81"/>
    <x v="1"/>
    <b v="0"/>
    <b v="1"/>
    <x v="0"/>
    <x v="0"/>
    <x v="1"/>
    <x v="6"/>
    <x v="3"/>
    <n v="0.15"/>
    <x v="28"/>
    <s v="All hours"/>
    <s v="Fresno, CA"/>
    <n v="36.7378"/>
    <n v="-119.7871"/>
    <d v="2023-12-21T00:00:00"/>
    <n v="0"/>
    <b v="1"/>
    <d v="2025-06-22T00:00:00"/>
    <x v="3"/>
    <x v="3"/>
  </r>
  <r>
    <b v="1"/>
    <d v="1899-12-30T17:04:00"/>
    <d v="1899-12-30T19:46:00"/>
    <n v="162"/>
    <x v="0"/>
    <b v="1"/>
    <b v="0"/>
    <x v="4"/>
    <x v="0"/>
    <x v="0"/>
    <x v="0"/>
    <x v="3"/>
    <n v="0.15"/>
    <x v="27"/>
    <s v="All hours"/>
    <s v="Bakersfield, CA"/>
    <n v="35.3733"/>
    <n v="-119.0187"/>
    <d v="2022-10-17T00:00:00"/>
    <n v="4"/>
    <b v="1"/>
    <d v="2025-05-28T00:00:00"/>
    <x v="1"/>
    <x v="1"/>
  </r>
  <r>
    <b v="0"/>
    <d v="1899-12-30T10:43:00"/>
    <d v="1899-12-30T11:52:00"/>
    <n v="69"/>
    <x v="1"/>
    <b v="1"/>
    <b v="0"/>
    <x v="1"/>
    <x v="2"/>
    <x v="1"/>
    <x v="5"/>
    <x v="1"/>
    <n v="0"/>
    <x v="14"/>
    <s v="Off-peak only"/>
    <s v="Anaheim, CA"/>
    <n v="33.836599999999997"/>
    <n v="-117.9143"/>
    <d v="2024-01-10T00:00:00"/>
    <n v="1"/>
    <b v="0"/>
    <d v="2025-06-23T00:00:00"/>
    <x v="3"/>
    <x v="3"/>
  </r>
  <r>
    <b v="1"/>
    <d v="1899-12-30T16:41:00"/>
    <d v="1899-12-30T17:48:00"/>
    <n v="67"/>
    <x v="1"/>
    <b v="0"/>
    <b v="1"/>
    <x v="0"/>
    <x v="3"/>
    <x v="0"/>
    <x v="3"/>
    <x v="1"/>
    <n v="0"/>
    <x v="4"/>
    <s v="All hours + Priority access"/>
    <s v="San Jose, CA"/>
    <n v="37.338200000000001"/>
    <n v="-121.88630000000001"/>
    <d v="2022-08-01T00:00:00"/>
    <n v="0"/>
    <b v="1"/>
    <d v="2025-05-24T00:00:00"/>
    <x v="1"/>
    <x v="1"/>
  </r>
  <r>
    <b v="0"/>
    <d v="1899-12-30T14:59:00"/>
    <d v="1899-12-30T17:17:00"/>
    <n v="138"/>
    <x v="0"/>
    <b v="1"/>
    <b v="1"/>
    <x v="3"/>
    <x v="2"/>
    <x v="1"/>
    <x v="5"/>
    <x v="2"/>
    <n v="0.1"/>
    <x v="20"/>
    <s v="Off-peak only"/>
    <s v="San Diego, CA"/>
    <n v="32.715699999999998"/>
    <n v="-117.1611"/>
    <d v="2022-12-29T00:00:00"/>
    <n v="1"/>
    <b v="0"/>
    <d v="2025-06-01T00:00:00"/>
    <x v="3"/>
    <x v="3"/>
  </r>
  <r>
    <b v="1"/>
    <d v="1899-12-30T08:37:00"/>
    <d v="1899-12-30T10:12:00"/>
    <n v="95"/>
    <x v="1"/>
    <b v="1"/>
    <b v="0"/>
    <x v="1"/>
    <x v="1"/>
    <x v="0"/>
    <x v="1"/>
    <x v="3"/>
    <n v="0.15"/>
    <x v="15"/>
    <s v="Weekdays only"/>
    <s v="Anaheim, CA"/>
    <n v="33.836599999999997"/>
    <n v="-117.9143"/>
    <d v="2024-11-12T00:00:00"/>
    <n v="5"/>
    <b v="0"/>
    <d v="2025-07-10T00:00:00"/>
    <x v="1"/>
    <x v="1"/>
  </r>
  <r>
    <b v="0"/>
    <d v="1899-12-30T11:18:00"/>
    <d v="1899-12-30T13:15:00"/>
    <n v="117"/>
    <x v="0"/>
    <b v="1"/>
    <b v="0"/>
    <x v="3"/>
    <x v="0"/>
    <x v="0"/>
    <x v="0"/>
    <x v="3"/>
    <n v="0.15"/>
    <x v="27"/>
    <s v="All hours"/>
    <s v="Anaheim, CA"/>
    <n v="33.836599999999997"/>
    <n v="-117.9143"/>
    <d v="2022-10-05T00:00:00"/>
    <n v="5"/>
    <b v="1"/>
    <d v="2025-05-28T00:00:00"/>
    <x v="1"/>
    <x v="1"/>
  </r>
  <r>
    <b v="1"/>
    <d v="1899-12-30T20:45:00"/>
    <d v="1899-12-30T21:48:00"/>
    <n v="63"/>
    <x v="0"/>
    <b v="1"/>
    <b v="1"/>
    <x v="4"/>
    <x v="3"/>
    <x v="0"/>
    <x v="3"/>
    <x v="2"/>
    <n v="0.1"/>
    <x v="22"/>
    <s v="All hours + Priority access"/>
    <s v="Long Beach, CA"/>
    <n v="33.770099999999999"/>
    <n v="-118.19370000000001"/>
    <d v="2025-02-19T00:00:00"/>
    <n v="3"/>
    <b v="1"/>
    <d v="2025-07-16T00:00:00"/>
    <x v="3"/>
    <x v="3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3-02-03T00:00:00"/>
    <n v="7"/>
    <b v="1"/>
    <d v="2025-06-03T00:00:00"/>
    <x v="2"/>
    <x v="4"/>
  </r>
  <r>
    <b v="1"/>
    <d v="1899-12-30T13:35:00"/>
    <d v="1899-12-30T14:37:00"/>
    <n v="62"/>
    <x v="1"/>
    <b v="1"/>
    <b v="1"/>
    <x v="0"/>
    <x v="1"/>
    <x v="0"/>
    <x v="1"/>
    <x v="2"/>
    <n v="0.1"/>
    <x v="2"/>
    <s v="Weekdays only"/>
    <s v="Oakland, CA"/>
    <n v="37.804400000000001"/>
    <n v="-122.27119999999999"/>
    <d v="2024-05-13T00:00:00"/>
    <n v="6"/>
    <b v="0"/>
    <d v="2025-06-30T00:00:00"/>
    <x v="1"/>
    <x v="1"/>
  </r>
  <r>
    <b v="1"/>
    <d v="1899-12-30T17:06:00"/>
    <d v="1899-12-30T19:09:00"/>
    <n v="123"/>
    <x v="1"/>
    <b v="1"/>
    <b v="0"/>
    <x v="2"/>
    <x v="0"/>
    <x v="0"/>
    <x v="0"/>
    <x v="2"/>
    <n v="0.1"/>
    <x v="16"/>
    <s v="All hours"/>
    <s v="Fresno, CA"/>
    <n v="36.7378"/>
    <n v="-119.7871"/>
    <d v="2022-11-30T00:00:00"/>
    <n v="4"/>
    <b v="1"/>
    <d v="2025-05-31T00:00:00"/>
    <x v="1"/>
    <x v="1"/>
  </r>
  <r>
    <b v="1"/>
    <d v="1899-12-30T12:44:00"/>
    <d v="1899-12-30T13:40:00"/>
    <n v="56"/>
    <x v="0"/>
    <b v="0"/>
    <b v="0"/>
    <x v="4"/>
    <x v="0"/>
    <x v="0"/>
    <x v="0"/>
    <x v="2"/>
    <n v="0.1"/>
    <x v="16"/>
    <s v="All hours"/>
    <s v="Anaheim, CA"/>
    <n v="33.836599999999997"/>
    <n v="-117.9143"/>
    <d v="2022-12-11T00:00:00"/>
    <n v="0"/>
    <b v="1"/>
    <d v="2025-05-31T00:00:00"/>
    <x v="3"/>
    <x v="3"/>
  </r>
  <r>
    <b v="1"/>
    <d v="1899-12-30T20:57:00"/>
    <d v="1899-12-30T23:35:00"/>
    <n v="158"/>
    <x v="0"/>
    <b v="0"/>
    <b v="1"/>
    <x v="1"/>
    <x v="3"/>
    <x v="0"/>
    <x v="3"/>
    <x v="1"/>
    <n v="0"/>
    <x v="4"/>
    <s v="All hours + Priority access"/>
    <s v="Anaheim, CA"/>
    <n v="33.836599999999997"/>
    <n v="-117.9143"/>
    <d v="2023-02-15T00:00:00"/>
    <n v="0"/>
    <b v="1"/>
    <d v="2025-06-04T00:00:00"/>
    <x v="3"/>
    <x v="3"/>
  </r>
  <r>
    <b v="0"/>
    <d v="1899-12-30T10:32:00"/>
    <d v="1899-12-30T11:09:00"/>
    <n v="37"/>
    <x v="0"/>
    <b v="0"/>
    <b v="1"/>
    <x v="4"/>
    <x v="0"/>
    <x v="0"/>
    <x v="0"/>
    <x v="3"/>
    <n v="0.15"/>
    <x v="27"/>
    <s v="All hours"/>
    <s v="San Francisco, CA"/>
    <n v="37.774900000000002"/>
    <n v="-122.4194"/>
    <d v="2023-03-04T00:00:00"/>
    <n v="0"/>
    <b v="0"/>
    <d v="2025-06-05T00:00:00"/>
    <x v="3"/>
    <x v="3"/>
  </r>
  <r>
    <b v="0"/>
    <d v="1899-12-30T11:37:00"/>
    <d v="1899-12-30T14:23:00"/>
    <n v="166"/>
    <x v="0"/>
    <b v="1"/>
    <b v="1"/>
    <x v="0"/>
    <x v="0"/>
    <x v="0"/>
    <x v="0"/>
    <x v="1"/>
    <n v="0"/>
    <x v="5"/>
    <s v="All hours"/>
    <s v="San Jose, CA"/>
    <n v="37.338200000000001"/>
    <n v="-121.88630000000001"/>
    <d v="2024-08-02T00:00:00"/>
    <n v="1"/>
    <b v="1"/>
    <d v="2025-07-04T00:00:00"/>
    <x v="0"/>
    <x v="0"/>
  </r>
  <r>
    <b v="0"/>
    <d v="1899-12-30T14:34:00"/>
    <d v="1899-12-30T16:33:00"/>
    <n v="119"/>
    <x v="1"/>
    <b v="1"/>
    <b v="1"/>
    <x v="4"/>
    <x v="3"/>
    <x v="0"/>
    <x v="3"/>
    <x v="1"/>
    <n v="0"/>
    <x v="4"/>
    <s v="All hours + Priority access"/>
    <s v="Sacramento, CA"/>
    <n v="38.581600000000002"/>
    <n v="-121.4944"/>
    <d v="2025-03-28T00:00:00"/>
    <n v="5"/>
    <b v="1"/>
    <d v="2025-07-18T00:00:00"/>
    <x v="2"/>
    <x v="4"/>
  </r>
  <r>
    <b v="0"/>
    <d v="1899-12-30T08:41:00"/>
    <d v="1899-12-30T09:35:00"/>
    <n v="54"/>
    <x v="1"/>
    <b v="0"/>
    <b v="1"/>
    <x v="4"/>
    <x v="0"/>
    <x v="0"/>
    <x v="0"/>
    <x v="3"/>
    <n v="0.15"/>
    <x v="27"/>
    <s v="All hours"/>
    <s v="Long Beach, CA"/>
    <n v="33.770099999999999"/>
    <n v="-118.19370000000001"/>
    <d v="2024-04-19T00:00:00"/>
    <n v="0"/>
    <b v="1"/>
    <d v="2025-06-28T00:00:00"/>
    <x v="0"/>
    <x v="0"/>
  </r>
  <r>
    <b v="0"/>
    <d v="1899-12-30T09:49:00"/>
    <d v="1899-12-30T12:43:00"/>
    <n v="174"/>
    <x v="1"/>
    <b v="0"/>
    <b v="1"/>
    <x v="0"/>
    <x v="1"/>
    <x v="1"/>
    <x v="4"/>
    <x v="1"/>
    <n v="0"/>
    <x v="8"/>
    <s v="Weekdays only"/>
    <s v="Sacramento, CA"/>
    <n v="38.581600000000002"/>
    <n v="-121.4944"/>
    <d v="2024-12-20T00:00:00"/>
    <n v="0"/>
    <b v="1"/>
    <d v="2025-07-12T00:00:00"/>
    <x v="0"/>
    <x v="0"/>
  </r>
  <r>
    <b v="0"/>
    <d v="1899-12-30T08:22:00"/>
    <d v="1899-12-30T10:40:00"/>
    <n v="138"/>
    <x v="0"/>
    <b v="1"/>
    <b v="0"/>
    <x v="1"/>
    <x v="0"/>
    <x v="0"/>
    <x v="0"/>
    <x v="1"/>
    <n v="0"/>
    <x v="5"/>
    <s v="All hours"/>
    <s v="Fresno, CA"/>
    <n v="36.7378"/>
    <n v="-119.7871"/>
    <d v="2023-06-13T00:00:00"/>
    <n v="8"/>
    <b v="1"/>
    <d v="2025-06-11T00:00:00"/>
    <x v="0"/>
    <x v="0"/>
  </r>
  <r>
    <b v="1"/>
    <d v="1899-12-30T10:17:00"/>
    <d v="1899-12-30T13:05:00"/>
    <n v="168"/>
    <x v="1"/>
    <b v="0"/>
    <b v="0"/>
    <x v="4"/>
    <x v="1"/>
    <x v="2"/>
    <x v="8"/>
    <x v="1"/>
    <n v="0"/>
    <x v="2"/>
    <s v="Weekdays only"/>
    <s v="Sacramento, CA"/>
    <n v="38.581600000000002"/>
    <n v="-121.4944"/>
    <d v="2024-06-19T00:00:00"/>
    <n v="0"/>
    <b v="1"/>
    <d v="2025-07-02T00:00:00"/>
    <x v="1"/>
    <x v="1"/>
  </r>
  <r>
    <b v="0"/>
    <d v="1899-12-30T18:11:00"/>
    <d v="1899-12-30T20:51:00"/>
    <n v="160"/>
    <x v="1"/>
    <b v="1"/>
    <b v="1"/>
    <x v="0"/>
    <x v="1"/>
    <x v="0"/>
    <x v="1"/>
    <x v="0"/>
    <n v="0.05"/>
    <x v="7"/>
    <s v="Weekdays only"/>
    <s v="Sacramento, CA"/>
    <n v="38.581600000000002"/>
    <n v="-121.4944"/>
    <d v="2022-08-18T00:00:00"/>
    <n v="8"/>
    <b v="0"/>
    <d v="2025-05-25T00:00:00"/>
    <x v="3"/>
    <x v="3"/>
  </r>
  <r>
    <b v="1"/>
    <d v="1899-12-30T17:41:00"/>
    <d v="1899-12-30T19:31:00"/>
    <n v="110"/>
    <x v="0"/>
    <b v="0"/>
    <b v="0"/>
    <x v="0"/>
    <x v="0"/>
    <x v="1"/>
    <x v="6"/>
    <x v="3"/>
    <n v="0.15"/>
    <x v="28"/>
    <s v="All hours"/>
    <s v="Sacramento, CA"/>
    <n v="38.581600000000002"/>
    <n v="-121.4944"/>
    <d v="2023-08-10T00:00:00"/>
    <n v="0"/>
    <b v="1"/>
    <d v="2025-06-14T00:00:00"/>
    <x v="3"/>
    <x v="3"/>
  </r>
  <r>
    <b v="0"/>
    <d v="1899-12-30T08:05:00"/>
    <d v="1899-12-30T10:14:00"/>
    <n v="129"/>
    <x v="0"/>
    <b v="0"/>
    <b v="0"/>
    <x v="4"/>
    <x v="0"/>
    <x v="0"/>
    <x v="0"/>
    <x v="0"/>
    <n v="0.05"/>
    <x v="0"/>
    <s v="All hours"/>
    <s v="San Jose, CA"/>
    <n v="37.338200000000001"/>
    <n v="-121.88630000000001"/>
    <d v="2023-01-29T00:00:00"/>
    <n v="0"/>
    <b v="0"/>
    <d v="2025-06-03T00:00:00"/>
    <x v="2"/>
    <x v="4"/>
  </r>
  <r>
    <b v="1"/>
    <d v="1899-12-30T13:45:00"/>
    <d v="1899-12-30T16:26:00"/>
    <n v="161"/>
    <x v="0"/>
    <b v="0"/>
    <b v="0"/>
    <x v="0"/>
    <x v="0"/>
    <x v="1"/>
    <x v="6"/>
    <x v="1"/>
    <n v="0"/>
    <x v="12"/>
    <s v="All hours"/>
    <s v="Sacramento, CA"/>
    <n v="38.581600000000002"/>
    <n v="-121.4944"/>
    <d v="2025-02-01T00:00:00"/>
    <n v="0"/>
    <b v="1"/>
    <d v="2025-07-15T00:00:00"/>
    <x v="2"/>
    <x v="4"/>
  </r>
  <r>
    <b v="1"/>
    <d v="1899-12-30T11:56:00"/>
    <d v="1899-12-30T13:37:00"/>
    <n v="101"/>
    <x v="0"/>
    <b v="0"/>
    <b v="0"/>
    <x v="0"/>
    <x v="0"/>
    <x v="1"/>
    <x v="6"/>
    <x v="1"/>
    <n v="0"/>
    <x v="12"/>
    <s v="All hours"/>
    <s v="Sacramento, CA"/>
    <n v="38.581600000000002"/>
    <n v="-121.4944"/>
    <d v="2022-12-17T00:00:00"/>
    <n v="0"/>
    <b v="1"/>
    <d v="2025-06-01T00:00:00"/>
    <x v="2"/>
    <x v="4"/>
  </r>
  <r>
    <b v="1"/>
    <d v="1899-12-30T17:28:00"/>
    <d v="1899-12-30T18:29:00"/>
    <n v="61"/>
    <x v="0"/>
    <b v="0"/>
    <b v="0"/>
    <x v="0"/>
    <x v="3"/>
    <x v="0"/>
    <x v="3"/>
    <x v="1"/>
    <n v="0"/>
    <x v="4"/>
    <s v="All hours + Priority access"/>
    <s v="San Diego, CA"/>
    <n v="32.715699999999998"/>
    <n v="-117.1611"/>
    <d v="2022-10-14T00:00:00"/>
    <n v="0"/>
    <b v="0"/>
    <d v="2025-05-28T00:00:00"/>
    <x v="1"/>
    <x v="1"/>
  </r>
  <r>
    <b v="1"/>
    <d v="1899-12-30T15:40:00"/>
    <d v="1899-12-30T16:47:00"/>
    <n v="67"/>
    <x v="0"/>
    <b v="1"/>
    <b v="1"/>
    <x v="2"/>
    <x v="0"/>
    <x v="0"/>
    <x v="0"/>
    <x v="2"/>
    <n v="0.1"/>
    <x v="16"/>
    <s v="All hours"/>
    <s v="San Diego, CA"/>
    <n v="32.715699999999998"/>
    <n v="-117.1611"/>
    <d v="2024-01-21T00:00:00"/>
    <n v="6"/>
    <b v="1"/>
    <d v="2025-06-23T00:00:00"/>
    <x v="3"/>
    <x v="3"/>
  </r>
  <r>
    <b v="0"/>
    <d v="1899-12-30T08:22:00"/>
    <d v="1899-12-30T10:40:00"/>
    <n v="138"/>
    <x v="0"/>
    <b v="1"/>
    <b v="0"/>
    <x v="1"/>
    <x v="0"/>
    <x v="0"/>
    <x v="0"/>
    <x v="1"/>
    <n v="0"/>
    <x v="5"/>
    <s v="All hours"/>
    <s v="Fresno, CA"/>
    <n v="36.7378"/>
    <n v="-119.7871"/>
    <d v="2023-09-16T00:00:00"/>
    <n v="4"/>
    <b v="1"/>
    <d v="2025-06-16T00:00:00"/>
    <x v="0"/>
    <x v="0"/>
  </r>
  <r>
    <b v="0"/>
    <d v="1899-12-30T16:29:00"/>
    <d v="1899-12-30T17:07:00"/>
    <n v="38"/>
    <x v="0"/>
    <b v="1"/>
    <b v="0"/>
    <x v="2"/>
    <x v="1"/>
    <x v="0"/>
    <x v="1"/>
    <x v="0"/>
    <n v="0.05"/>
    <x v="7"/>
    <s v="Weekdays only"/>
    <s v="Long Beach, CA"/>
    <n v="33.770099999999999"/>
    <n v="-118.19370000000001"/>
    <d v="2023-03-31T00:00:00"/>
    <n v="5"/>
    <b v="0"/>
    <d v="2025-06-07T00:00:00"/>
    <x v="1"/>
    <x v="1"/>
  </r>
  <r>
    <b v="0"/>
    <d v="1899-12-30T20:13:00"/>
    <d v="1899-12-30T21:48:00"/>
    <n v="95"/>
    <x v="1"/>
    <b v="0"/>
    <b v="0"/>
    <x v="4"/>
    <x v="1"/>
    <x v="1"/>
    <x v="4"/>
    <x v="3"/>
    <n v="0.15"/>
    <x v="29"/>
    <s v="Weekdays only"/>
    <s v="Fresno, CA"/>
    <n v="36.7378"/>
    <n v="-119.7871"/>
    <d v="2024-12-18T00:00:00"/>
    <n v="0"/>
    <b v="0"/>
    <d v="2025-07-12T00:00:00"/>
    <x v="3"/>
    <x v="3"/>
  </r>
  <r>
    <b v="1"/>
    <d v="1899-12-30T20:09:00"/>
    <d v="1899-12-30T21:57:00"/>
    <n v="108"/>
    <x v="0"/>
    <b v="0"/>
    <b v="1"/>
    <x v="2"/>
    <x v="3"/>
    <x v="0"/>
    <x v="3"/>
    <x v="1"/>
    <n v="0"/>
    <x v="4"/>
    <s v="All hours + Priority access"/>
    <s v="Anaheim, CA"/>
    <n v="33.836599999999997"/>
    <n v="-117.9143"/>
    <d v="2024-01-04T00:00:00"/>
    <n v="0"/>
    <b v="1"/>
    <d v="2025-06-22T00:00:00"/>
    <x v="0"/>
    <x v="0"/>
  </r>
  <r>
    <b v="1"/>
    <d v="1899-12-30T17:08:00"/>
    <d v="1899-12-30T19:26:00"/>
    <n v="138"/>
    <x v="0"/>
    <b v="0"/>
    <b v="0"/>
    <x v="4"/>
    <x v="2"/>
    <x v="1"/>
    <x v="5"/>
    <x v="3"/>
    <n v="0.15"/>
    <x v="13"/>
    <s v="Off-peak only"/>
    <s v="San Diego, CA"/>
    <n v="32.715699999999998"/>
    <n v="-117.1611"/>
    <d v="2024-04-24T00:00:00"/>
    <n v="0"/>
    <b v="1"/>
    <d v="2025-06-29T00:00:00"/>
    <x v="2"/>
    <x v="4"/>
  </r>
  <r>
    <b v="1"/>
    <d v="1899-12-30T14:49:00"/>
    <d v="1899-12-30T16:32:00"/>
    <n v="103"/>
    <x v="1"/>
    <b v="1"/>
    <b v="0"/>
    <x v="0"/>
    <x v="0"/>
    <x v="1"/>
    <x v="6"/>
    <x v="2"/>
    <n v="0.1"/>
    <x v="30"/>
    <s v="All hours"/>
    <s v="Bakersfield, CA"/>
    <n v="35.3733"/>
    <n v="-119.0187"/>
    <d v="2025-01-18T00:00:00"/>
    <n v="5"/>
    <b v="1"/>
    <d v="2025-07-14T00:00:00"/>
    <x v="1"/>
    <x v="1"/>
  </r>
  <r>
    <b v="1"/>
    <d v="1899-12-30T20:15:00"/>
    <d v="1899-12-30T23:14:00"/>
    <n v="179"/>
    <x v="1"/>
    <b v="0"/>
    <b v="1"/>
    <x v="0"/>
    <x v="1"/>
    <x v="0"/>
    <x v="1"/>
    <x v="0"/>
    <n v="0.05"/>
    <x v="7"/>
    <s v="Weekdays only"/>
    <s v="Fresno, CA"/>
    <n v="36.7378"/>
    <n v="-119.7871"/>
    <d v="2024-05-27T00:00:00"/>
    <n v="0"/>
    <b v="0"/>
    <d v="2025-06-30T00:00:00"/>
    <x v="3"/>
    <x v="3"/>
  </r>
  <r>
    <b v="0"/>
    <d v="1899-12-30T15:36:00"/>
    <d v="1899-12-30T17:56:00"/>
    <n v="140"/>
    <x v="0"/>
    <b v="1"/>
    <b v="1"/>
    <x v="4"/>
    <x v="3"/>
    <x v="0"/>
    <x v="3"/>
    <x v="2"/>
    <n v="0.1"/>
    <x v="22"/>
    <s v="All hours + Priority access"/>
    <s v="Fresno, CA"/>
    <n v="36.7378"/>
    <n v="-119.7871"/>
    <d v="2025-04-11T00:00:00"/>
    <n v="1"/>
    <b v="1"/>
    <d v="2025-07-18T00:00:00"/>
    <x v="0"/>
    <x v="0"/>
  </r>
  <r>
    <b v="1"/>
    <d v="1899-12-30T09:31:00"/>
    <d v="1899-12-30T10:42:00"/>
    <n v="71"/>
    <x v="1"/>
    <b v="0"/>
    <b v="1"/>
    <x v="3"/>
    <x v="0"/>
    <x v="2"/>
    <x v="10"/>
    <x v="3"/>
    <n v="0.15"/>
    <x v="25"/>
    <s v="All hours"/>
    <s v="Bakersfield, CA"/>
    <n v="35.3733"/>
    <n v="-119.0187"/>
    <d v="2025-05-26T00:00:00"/>
    <n v="0"/>
    <b v="1"/>
    <d v="2025-07-21T00:00:00"/>
    <x v="0"/>
    <x v="0"/>
  </r>
  <r>
    <b v="0"/>
    <d v="1899-12-30T12:42:00"/>
    <d v="1899-12-30T15:01:00"/>
    <n v="139"/>
    <x v="1"/>
    <b v="1"/>
    <b v="0"/>
    <x v="3"/>
    <x v="1"/>
    <x v="0"/>
    <x v="1"/>
    <x v="1"/>
    <n v="0"/>
    <x v="1"/>
    <s v="Weekdays only"/>
    <s v="Bakersfield, CA"/>
    <n v="35.3733"/>
    <n v="-119.0187"/>
    <d v="2025-01-30T00:00:00"/>
    <n v="1"/>
    <b v="0"/>
    <d v="2025-07-14T00:00:00"/>
    <x v="1"/>
    <x v="1"/>
  </r>
  <r>
    <b v="0"/>
    <d v="1899-12-30T17:41:00"/>
    <d v="1899-12-30T20:22:00"/>
    <n v="161"/>
    <x v="0"/>
    <b v="0"/>
    <b v="0"/>
    <x v="4"/>
    <x v="0"/>
    <x v="1"/>
    <x v="6"/>
    <x v="2"/>
    <n v="0.1"/>
    <x v="30"/>
    <s v="All hours"/>
    <s v="Long Beach, CA"/>
    <n v="33.770099999999999"/>
    <n v="-118.19370000000001"/>
    <d v="2022-09-01T00:00:00"/>
    <n v="0"/>
    <b v="0"/>
    <d v="2025-05-26T00:00:00"/>
    <x v="3"/>
    <x v="3"/>
  </r>
  <r>
    <b v="1"/>
    <d v="1899-12-30T19:22:00"/>
    <d v="1899-12-30T20:25:00"/>
    <n v="63"/>
    <x v="0"/>
    <b v="0"/>
    <b v="0"/>
    <x v="4"/>
    <x v="0"/>
    <x v="1"/>
    <x v="6"/>
    <x v="1"/>
    <n v="0"/>
    <x v="12"/>
    <s v="All hours"/>
    <s v="Bakersfield, CA"/>
    <n v="35.3733"/>
    <n v="-119.0187"/>
    <d v="2023-11-15T00:00:00"/>
    <n v="0"/>
    <b v="1"/>
    <d v="2025-06-20T00:00:00"/>
    <x v="2"/>
    <x v="2"/>
  </r>
  <r>
    <b v="1"/>
    <d v="1899-12-30T14:58:00"/>
    <d v="1899-12-30T16:42:00"/>
    <n v="104"/>
    <x v="0"/>
    <b v="0"/>
    <b v="1"/>
    <x v="0"/>
    <x v="0"/>
    <x v="1"/>
    <x v="6"/>
    <x v="1"/>
    <n v="0"/>
    <x v="12"/>
    <s v="All hours"/>
    <s v="Fresno, CA"/>
    <n v="36.7378"/>
    <n v="-119.7871"/>
    <d v="2022-08-29T00:00:00"/>
    <n v="0"/>
    <b v="1"/>
    <d v="2025-05-26T00:00:00"/>
    <x v="0"/>
    <x v="0"/>
  </r>
  <r>
    <b v="0"/>
    <d v="1899-12-30T12:37:00"/>
    <d v="1899-12-30T13:15:00"/>
    <n v="38"/>
    <x v="1"/>
    <b v="1"/>
    <b v="0"/>
    <x v="0"/>
    <x v="1"/>
    <x v="0"/>
    <x v="1"/>
    <x v="1"/>
    <n v="0"/>
    <x v="1"/>
    <s v="Weekdays only"/>
    <s v="San Jose, CA"/>
    <n v="37.338200000000001"/>
    <n v="-121.88630000000001"/>
    <d v="2024-03-19T00:00:00"/>
    <n v="5"/>
    <b v="0"/>
    <d v="2025-06-27T00:00:00"/>
    <x v="0"/>
    <x v="0"/>
  </r>
  <r>
    <b v="1"/>
    <d v="1899-12-30T15:49:00"/>
    <d v="1899-12-30T17:10:00"/>
    <n v="81"/>
    <x v="1"/>
    <b v="0"/>
    <b v="0"/>
    <x v="0"/>
    <x v="2"/>
    <x v="0"/>
    <x v="2"/>
    <x v="2"/>
    <n v="0.1"/>
    <x v="6"/>
    <s v="Off-peak only"/>
    <s v="San Jose, CA"/>
    <n v="37.338200000000001"/>
    <n v="-121.88630000000001"/>
    <d v="2024-07-25T00:00:00"/>
    <n v="0"/>
    <b v="1"/>
    <d v="2025-07-04T00:00:00"/>
    <x v="2"/>
    <x v="2"/>
  </r>
  <r>
    <b v="0"/>
    <d v="1899-12-30T11:56:00"/>
    <d v="1899-12-30T13:42:00"/>
    <n v="106"/>
    <x v="0"/>
    <b v="1"/>
    <b v="1"/>
    <x v="4"/>
    <x v="1"/>
    <x v="0"/>
    <x v="1"/>
    <x v="0"/>
    <n v="0.05"/>
    <x v="7"/>
    <s v="Weekdays only"/>
    <s v="Fresno, CA"/>
    <n v="36.7378"/>
    <n v="-119.7871"/>
    <d v="2023-12-31T00:00:00"/>
    <n v="2"/>
    <b v="0"/>
    <d v="2025-06-22T00:00:00"/>
    <x v="3"/>
    <x v="3"/>
  </r>
  <r>
    <b v="0"/>
    <d v="1899-12-30T11:07:00"/>
    <d v="1899-12-30T12:43:00"/>
    <n v="96"/>
    <x v="1"/>
    <b v="1"/>
    <b v="1"/>
    <x v="0"/>
    <x v="1"/>
    <x v="0"/>
    <x v="1"/>
    <x v="1"/>
    <n v="0"/>
    <x v="1"/>
    <s v="Weekdays only"/>
    <s v="San Diego, CA"/>
    <n v="32.715699999999998"/>
    <n v="-117.1611"/>
    <d v="2024-03-11T00:00:00"/>
    <n v="5"/>
    <b v="0"/>
    <d v="2025-06-26T00:00:00"/>
    <x v="0"/>
    <x v="0"/>
  </r>
  <r>
    <b v="1"/>
    <d v="1899-12-30T12:50:00"/>
    <d v="1899-12-30T14:19:00"/>
    <n v="89"/>
    <x v="0"/>
    <b v="0"/>
    <b v="1"/>
    <x v="4"/>
    <x v="0"/>
    <x v="0"/>
    <x v="0"/>
    <x v="1"/>
    <n v="0"/>
    <x v="5"/>
    <s v="All hours"/>
    <s v="Los Angeles, CA"/>
    <n v="34.052199999999999"/>
    <n v="-118.2437"/>
    <d v="2025-03-02T00:00:00"/>
    <n v="0"/>
    <b v="0"/>
    <d v="2025-07-16T00:00:00"/>
    <x v="1"/>
    <x v="1"/>
  </r>
  <r>
    <b v="0"/>
    <d v="1899-12-30T17:42:00"/>
    <d v="1899-12-30T19:00:00"/>
    <n v="78"/>
    <x v="1"/>
    <b v="1"/>
    <b v="1"/>
    <x v="4"/>
    <x v="3"/>
    <x v="2"/>
    <x v="9"/>
    <x v="2"/>
    <n v="0.1"/>
    <x v="41"/>
    <s v="All hours + Priority access"/>
    <s v="Los Angeles, CA"/>
    <n v="34.052199999999999"/>
    <n v="-118.2437"/>
    <d v="2023-08-10T00:00:00"/>
    <n v="6"/>
    <b v="0"/>
    <d v="2025-06-14T00:00:00"/>
    <x v="0"/>
    <x v="0"/>
  </r>
  <r>
    <b v="1"/>
    <d v="1899-12-30T15:40:00"/>
    <d v="1899-12-30T16:47:00"/>
    <n v="67"/>
    <x v="0"/>
    <b v="1"/>
    <b v="1"/>
    <x v="2"/>
    <x v="0"/>
    <x v="0"/>
    <x v="0"/>
    <x v="2"/>
    <n v="0.1"/>
    <x v="16"/>
    <s v="All hours"/>
    <s v="San Diego, CA"/>
    <n v="32.715699999999998"/>
    <n v="-117.1611"/>
    <d v="2024-11-04T00:00:00"/>
    <n v="5"/>
    <b v="1"/>
    <d v="2025-07-10T00:00:00"/>
    <x v="3"/>
    <x v="3"/>
  </r>
  <r>
    <b v="1"/>
    <d v="1899-12-30T19:21:00"/>
    <d v="1899-12-30T21:49:00"/>
    <n v="148"/>
    <x v="0"/>
    <b v="1"/>
    <b v="1"/>
    <x v="4"/>
    <x v="1"/>
    <x v="1"/>
    <x v="4"/>
    <x v="0"/>
    <n v="0.05"/>
    <x v="11"/>
    <s v="Weekdays only"/>
    <s v="Los Angeles, CA"/>
    <n v="34.052199999999999"/>
    <n v="-118.2437"/>
    <d v="2023-09-02T00:00:00"/>
    <n v="3"/>
    <b v="0"/>
    <d v="2025-06-15T00:00:00"/>
    <x v="0"/>
    <x v="0"/>
  </r>
  <r>
    <b v="1"/>
    <d v="1899-12-30T11:51:00"/>
    <d v="1899-12-30T14:30:00"/>
    <n v="159"/>
    <x v="0"/>
    <b v="0"/>
    <b v="1"/>
    <x v="4"/>
    <x v="0"/>
    <x v="0"/>
    <x v="0"/>
    <x v="0"/>
    <n v="0.05"/>
    <x v="0"/>
    <s v="All hours"/>
    <s v="Los Angeles, CA"/>
    <n v="34.052199999999999"/>
    <n v="-118.2437"/>
    <d v="2023-07-31T00:00:00"/>
    <n v="0"/>
    <b v="1"/>
    <d v="2025-06-13T00:00:00"/>
    <x v="2"/>
    <x v="2"/>
  </r>
  <r>
    <b v="0"/>
    <d v="1899-12-30T15:05:00"/>
    <d v="1899-12-30T16:19:00"/>
    <n v="74"/>
    <x v="0"/>
    <b v="1"/>
    <b v="1"/>
    <x v="1"/>
    <x v="1"/>
    <x v="0"/>
    <x v="1"/>
    <x v="1"/>
    <n v="0"/>
    <x v="1"/>
    <s v="Weekdays only"/>
    <s v="San Diego, CA"/>
    <n v="32.715699999999998"/>
    <n v="-117.1611"/>
    <d v="2025-01-12T00:00:00"/>
    <n v="7"/>
    <b v="0"/>
    <d v="2025-07-13T00:00:00"/>
    <x v="3"/>
    <x v="3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5-04-18T00:00:00"/>
    <n v="0"/>
    <b v="1"/>
    <d v="2025-07-19T00:00:00"/>
    <x v="1"/>
    <x v="1"/>
  </r>
  <r>
    <b v="1"/>
    <d v="1899-12-30T13:02:00"/>
    <d v="1899-12-30T14:08:00"/>
    <n v="66"/>
    <x v="0"/>
    <b v="0"/>
    <b v="1"/>
    <x v="1"/>
    <x v="0"/>
    <x v="1"/>
    <x v="6"/>
    <x v="2"/>
    <n v="0.1"/>
    <x v="30"/>
    <s v="All hours"/>
    <s v="Fresno, CA"/>
    <n v="36.7378"/>
    <n v="-119.7871"/>
    <d v="2023-03-14T00:00:00"/>
    <n v="0"/>
    <b v="1"/>
    <d v="2025-06-06T00:00:00"/>
    <x v="3"/>
    <x v="3"/>
  </r>
  <r>
    <b v="0"/>
    <d v="1899-12-30T20:01:00"/>
    <d v="1899-12-30T21:08:00"/>
    <n v="67"/>
    <x v="1"/>
    <b v="1"/>
    <b v="0"/>
    <x v="0"/>
    <x v="0"/>
    <x v="0"/>
    <x v="0"/>
    <x v="2"/>
    <n v="0.1"/>
    <x v="16"/>
    <s v="All hours"/>
    <s v="Bakersfield, CA"/>
    <n v="35.3733"/>
    <n v="-119.0187"/>
    <d v="2024-02-19T00:00:00"/>
    <n v="3"/>
    <b v="1"/>
    <d v="2025-06-25T00:00:00"/>
    <x v="1"/>
    <x v="1"/>
  </r>
  <r>
    <b v="0"/>
    <d v="1899-12-30T20:17:00"/>
    <d v="1899-12-30T23:03:00"/>
    <n v="166"/>
    <x v="1"/>
    <b v="0"/>
    <b v="1"/>
    <x v="1"/>
    <x v="2"/>
    <x v="1"/>
    <x v="5"/>
    <x v="1"/>
    <n v="0"/>
    <x v="14"/>
    <s v="Off-peak only"/>
    <s v="San Francisco, CA"/>
    <n v="37.774900000000002"/>
    <n v="-122.4194"/>
    <d v="2025-04-22T00:00:00"/>
    <n v="0"/>
    <b v="0"/>
    <d v="2025-07-19T00:00:00"/>
    <x v="3"/>
    <x v="3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2-07-29T00:00:00"/>
    <n v="0"/>
    <b v="1"/>
    <d v="2025-05-24T00:00:00"/>
    <x v="2"/>
    <x v="2"/>
  </r>
  <r>
    <b v="1"/>
    <d v="1899-12-30T16:35:00"/>
    <d v="1899-12-30T18:56:00"/>
    <n v="141"/>
    <x v="1"/>
    <b v="1"/>
    <b v="0"/>
    <x v="0"/>
    <x v="0"/>
    <x v="1"/>
    <x v="6"/>
    <x v="3"/>
    <n v="0.15"/>
    <x v="28"/>
    <s v="All hours"/>
    <s v="San Francisco, CA"/>
    <n v="37.774900000000002"/>
    <n v="-122.4194"/>
    <d v="2025-04-22T00:00:00"/>
    <n v="3"/>
    <b v="0"/>
    <d v="2025-07-19T00:00:00"/>
    <x v="3"/>
    <x v="3"/>
  </r>
  <r>
    <b v="1"/>
    <d v="1899-12-30T17:11:00"/>
    <d v="1899-12-30T18:02:00"/>
    <n v="51"/>
    <x v="0"/>
    <b v="1"/>
    <b v="1"/>
    <x v="4"/>
    <x v="0"/>
    <x v="1"/>
    <x v="6"/>
    <x v="3"/>
    <n v="0.15"/>
    <x v="28"/>
    <s v="All hours"/>
    <s v="Long Beach, CA"/>
    <n v="33.770099999999999"/>
    <n v="-118.19370000000001"/>
    <d v="2023-06-13T00:00:00"/>
    <n v="2"/>
    <b v="1"/>
    <d v="2025-06-11T00:00:00"/>
    <x v="3"/>
    <x v="3"/>
  </r>
  <r>
    <b v="0"/>
    <d v="1899-12-30T08:22:00"/>
    <d v="1899-12-30T10:40:00"/>
    <n v="138"/>
    <x v="0"/>
    <b v="1"/>
    <b v="0"/>
    <x v="1"/>
    <x v="0"/>
    <x v="0"/>
    <x v="0"/>
    <x v="1"/>
    <n v="0"/>
    <x v="5"/>
    <s v="All hours"/>
    <s v="Fresno, CA"/>
    <n v="36.7378"/>
    <n v="-119.7871"/>
    <d v="2022-08-10T00:00:00"/>
    <n v="2"/>
    <b v="1"/>
    <d v="2025-05-24T00:00:00"/>
    <x v="0"/>
    <x v="0"/>
  </r>
  <r>
    <b v="1"/>
    <d v="1899-12-30T17:04:00"/>
    <d v="1899-12-30T19:42:00"/>
    <n v="158"/>
    <x v="1"/>
    <b v="0"/>
    <b v="1"/>
    <x v="1"/>
    <x v="3"/>
    <x v="2"/>
    <x v="9"/>
    <x v="1"/>
    <n v="0"/>
    <x v="22"/>
    <s v="All hours + Priority access"/>
    <s v="San Jose, CA"/>
    <n v="37.338200000000001"/>
    <n v="-121.88630000000001"/>
    <d v="2024-10-11T00:00:00"/>
    <n v="0"/>
    <b v="1"/>
    <d v="2025-07-08T00:00:00"/>
    <x v="1"/>
    <x v="1"/>
  </r>
  <r>
    <b v="0"/>
    <d v="1899-12-30T11:20:00"/>
    <d v="1899-12-30T14:08:00"/>
    <n v="168"/>
    <x v="0"/>
    <b v="1"/>
    <b v="1"/>
    <x v="0"/>
    <x v="0"/>
    <x v="0"/>
    <x v="0"/>
    <x v="1"/>
    <n v="0"/>
    <x v="5"/>
    <s v="All hours"/>
    <s v="San Francisco, CA"/>
    <n v="37.774900000000002"/>
    <n v="-122.4194"/>
    <d v="2025-01-22T00:00:00"/>
    <n v="8"/>
    <b v="1"/>
    <d v="2025-07-14T00:00:00"/>
    <x v="0"/>
    <x v="0"/>
  </r>
  <r>
    <b v="0"/>
    <d v="1899-12-30T08:37:00"/>
    <d v="1899-12-30T10:52:00"/>
    <n v="135"/>
    <x v="1"/>
    <b v="1"/>
    <b v="0"/>
    <x v="0"/>
    <x v="0"/>
    <x v="0"/>
    <x v="0"/>
    <x v="1"/>
    <n v="0"/>
    <x v="5"/>
    <s v="All hours"/>
    <s v="Long Beach, CA"/>
    <n v="33.770099999999999"/>
    <n v="-118.19370000000001"/>
    <d v="2025-02-13T00:00:00"/>
    <n v="5"/>
    <b v="1"/>
    <d v="2025-07-15T00:00:00"/>
    <x v="3"/>
    <x v="3"/>
  </r>
  <r>
    <b v="0"/>
    <d v="1899-12-30T16:57:00"/>
    <d v="1899-12-30T18:54:00"/>
    <n v="117"/>
    <x v="1"/>
    <b v="1"/>
    <b v="0"/>
    <x v="4"/>
    <x v="2"/>
    <x v="1"/>
    <x v="5"/>
    <x v="1"/>
    <n v="0"/>
    <x v="14"/>
    <s v="Off-peak only"/>
    <s v="Sacramento, CA"/>
    <n v="38.581600000000002"/>
    <n v="-121.4944"/>
    <d v="2024-08-04T00:00:00"/>
    <n v="3"/>
    <b v="0"/>
    <d v="2025-07-04T00:00:00"/>
    <x v="2"/>
    <x v="2"/>
  </r>
  <r>
    <b v="1"/>
    <d v="1899-12-30T20:37:00"/>
    <d v="1899-12-30T21:48:00"/>
    <n v="71"/>
    <x v="0"/>
    <b v="1"/>
    <b v="1"/>
    <x v="3"/>
    <x v="1"/>
    <x v="0"/>
    <x v="1"/>
    <x v="1"/>
    <n v="0"/>
    <x v="1"/>
    <s v="Weekdays only"/>
    <s v="San Jose, CA"/>
    <n v="37.338200000000001"/>
    <n v="-121.88630000000001"/>
    <d v="2025-03-07T00:00:00"/>
    <n v="2"/>
    <b v="0"/>
    <d v="2025-07-16T00:00:00"/>
    <x v="0"/>
    <x v="0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3-06-16T00:00:00"/>
    <n v="1"/>
    <b v="1"/>
    <d v="2025-06-11T00:00:00"/>
    <x v="3"/>
    <x v="3"/>
  </r>
  <r>
    <b v="1"/>
    <d v="1899-12-30T10:33:00"/>
    <d v="1899-12-30T12:57:00"/>
    <n v="144"/>
    <x v="1"/>
    <b v="0"/>
    <b v="1"/>
    <x v="3"/>
    <x v="0"/>
    <x v="1"/>
    <x v="6"/>
    <x v="1"/>
    <n v="0"/>
    <x v="12"/>
    <s v="All hours"/>
    <s v="Long Beach, CA"/>
    <n v="33.770099999999999"/>
    <n v="-118.19370000000001"/>
    <d v="2025-04-17T00:00:00"/>
    <n v="0"/>
    <b v="1"/>
    <d v="2025-07-19T00:00:00"/>
    <x v="2"/>
    <x v="4"/>
  </r>
  <r>
    <b v="0"/>
    <d v="1899-12-30T16:51:00"/>
    <d v="1899-12-30T18:36:00"/>
    <n v="105"/>
    <x v="0"/>
    <b v="0"/>
    <b v="1"/>
    <x v="4"/>
    <x v="1"/>
    <x v="1"/>
    <x v="4"/>
    <x v="1"/>
    <n v="0"/>
    <x v="8"/>
    <s v="Weekdays only"/>
    <s v="Anaheim, CA"/>
    <n v="33.836599999999997"/>
    <n v="-117.9143"/>
    <d v="2023-12-28T00:00:00"/>
    <n v="0"/>
    <b v="0"/>
    <d v="2025-06-22T00:00:00"/>
    <x v="1"/>
    <x v="1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2-07-27T00:00:00"/>
    <n v="0"/>
    <b v="1"/>
    <d v="2025-05-24T00:00:00"/>
    <x v="1"/>
    <x v="1"/>
  </r>
  <r>
    <b v="1"/>
    <d v="1899-12-30T13:50:00"/>
    <d v="1899-12-30T14:29:00"/>
    <n v="39"/>
    <x v="1"/>
    <b v="1"/>
    <b v="1"/>
    <x v="4"/>
    <x v="0"/>
    <x v="2"/>
    <x v="10"/>
    <x v="3"/>
    <n v="0.15"/>
    <x v="25"/>
    <s v="All hours"/>
    <s v="Sacramento, CA"/>
    <n v="38.581600000000002"/>
    <n v="-121.4944"/>
    <d v="2023-02-07T00:00:00"/>
    <n v="5"/>
    <b v="0"/>
    <d v="2025-06-04T00:00:00"/>
    <x v="2"/>
    <x v="2"/>
  </r>
  <r>
    <b v="1"/>
    <d v="1899-12-30T15:49:00"/>
    <d v="1899-12-30T18:31:00"/>
    <n v="162"/>
    <x v="1"/>
    <b v="1"/>
    <b v="1"/>
    <x v="4"/>
    <x v="3"/>
    <x v="1"/>
    <x v="11"/>
    <x v="3"/>
    <n v="0.15"/>
    <x v="39"/>
    <s v="All hours + Priority access"/>
    <s v="San Jose, CA"/>
    <n v="37.338200000000001"/>
    <n v="-121.88630000000001"/>
    <d v="2023-09-06T00:00:00"/>
    <n v="6"/>
    <b v="1"/>
    <d v="2025-06-16T00:00:00"/>
    <x v="3"/>
    <x v="3"/>
  </r>
  <r>
    <b v="1"/>
    <d v="1899-12-30T18:32:00"/>
    <d v="1899-12-30T19:28:00"/>
    <n v="56"/>
    <x v="1"/>
    <b v="0"/>
    <b v="1"/>
    <x v="0"/>
    <x v="0"/>
    <x v="0"/>
    <x v="0"/>
    <x v="2"/>
    <n v="0.1"/>
    <x v="16"/>
    <s v="All hours"/>
    <s v="San Jose, CA"/>
    <n v="37.338200000000001"/>
    <n v="-121.88630000000001"/>
    <d v="2024-07-31T00:00:00"/>
    <n v="0"/>
    <b v="1"/>
    <d v="2025-07-04T00:00:00"/>
    <x v="2"/>
    <x v="4"/>
  </r>
  <r>
    <b v="0"/>
    <d v="1899-12-30T14:21:00"/>
    <d v="1899-12-30T17:17:00"/>
    <n v="176"/>
    <x v="1"/>
    <b v="0"/>
    <b v="0"/>
    <x v="0"/>
    <x v="2"/>
    <x v="0"/>
    <x v="2"/>
    <x v="2"/>
    <n v="0.1"/>
    <x v="6"/>
    <s v="Off-peak only"/>
    <s v="Long Beach, CA"/>
    <n v="33.770099999999999"/>
    <n v="-118.19370000000001"/>
    <d v="2023-08-28T00:00:00"/>
    <n v="0"/>
    <b v="0"/>
    <d v="2025-06-15T00:00:00"/>
    <x v="3"/>
    <x v="3"/>
  </r>
  <r>
    <b v="1"/>
    <d v="1899-12-30T14:42:00"/>
    <d v="1899-12-30T16:56:00"/>
    <n v="134"/>
    <x v="1"/>
    <b v="1"/>
    <b v="0"/>
    <x v="4"/>
    <x v="0"/>
    <x v="0"/>
    <x v="0"/>
    <x v="0"/>
    <n v="0.05"/>
    <x v="0"/>
    <s v="All hours"/>
    <s v="San Francisco, CA"/>
    <n v="37.774900000000002"/>
    <n v="-122.4194"/>
    <d v="2023-12-09T00:00:00"/>
    <n v="7"/>
    <b v="0"/>
    <d v="2025-06-21T00:00:00"/>
    <x v="3"/>
    <x v="3"/>
  </r>
  <r>
    <b v="0"/>
    <d v="1899-12-30T20:25:00"/>
    <d v="1899-12-30T22:44:00"/>
    <n v="139"/>
    <x v="0"/>
    <b v="1"/>
    <b v="0"/>
    <x v="0"/>
    <x v="1"/>
    <x v="0"/>
    <x v="1"/>
    <x v="1"/>
    <n v="0"/>
    <x v="1"/>
    <s v="Weekdays only"/>
    <s v="Anaheim, CA"/>
    <n v="33.836599999999997"/>
    <n v="-117.9143"/>
    <d v="2024-03-26T00:00:00"/>
    <n v="4"/>
    <b v="0"/>
    <d v="2025-06-27T00:00:00"/>
    <x v="2"/>
    <x v="4"/>
  </r>
  <r>
    <b v="0"/>
    <d v="1899-12-30T10:55:00"/>
    <d v="1899-12-30T13:51:00"/>
    <n v="176"/>
    <x v="1"/>
    <b v="0"/>
    <b v="1"/>
    <x v="4"/>
    <x v="0"/>
    <x v="1"/>
    <x v="6"/>
    <x v="1"/>
    <n v="0"/>
    <x v="12"/>
    <s v="All hours"/>
    <s v="Sacramento, CA"/>
    <n v="38.581600000000002"/>
    <n v="-121.4944"/>
    <d v="2025-02-03T00:00:00"/>
    <n v="0"/>
    <b v="1"/>
    <d v="2025-07-15T00:00:00"/>
    <x v="3"/>
    <x v="3"/>
  </r>
  <r>
    <b v="0"/>
    <d v="1899-12-30T17:02:00"/>
    <d v="1899-12-30T18:36:00"/>
    <n v="94"/>
    <x v="1"/>
    <b v="1"/>
    <b v="1"/>
    <x v="0"/>
    <x v="1"/>
    <x v="0"/>
    <x v="1"/>
    <x v="3"/>
    <n v="0.15"/>
    <x v="15"/>
    <s v="Weekdays only"/>
    <s v="San Jose, CA"/>
    <n v="37.338200000000001"/>
    <n v="-121.88630000000001"/>
    <d v="2022-11-21T00:00:00"/>
    <n v="5"/>
    <b v="0"/>
    <d v="2025-05-30T00:00:00"/>
    <x v="1"/>
    <x v="1"/>
  </r>
  <r>
    <b v="0"/>
    <d v="1899-12-30T17:29:00"/>
    <d v="1899-12-30T18:25:00"/>
    <n v="56"/>
    <x v="0"/>
    <b v="1"/>
    <b v="0"/>
    <x v="1"/>
    <x v="2"/>
    <x v="0"/>
    <x v="2"/>
    <x v="3"/>
    <n v="0.15"/>
    <x v="17"/>
    <s v="Off-peak only"/>
    <s v="Fresno, CA"/>
    <n v="36.7378"/>
    <n v="-119.7871"/>
    <d v="2024-02-29T00:00:00"/>
    <n v="4"/>
    <b v="0"/>
    <d v="2025-06-26T00:00:00"/>
    <x v="1"/>
    <x v="1"/>
  </r>
  <r>
    <b v="0"/>
    <d v="1899-12-30T18:40:00"/>
    <d v="1899-12-30T20:46:00"/>
    <n v="126"/>
    <x v="0"/>
    <b v="1"/>
    <b v="1"/>
    <x v="4"/>
    <x v="1"/>
    <x v="1"/>
    <x v="4"/>
    <x v="0"/>
    <n v="0.05"/>
    <x v="11"/>
    <s v="Weekdays only"/>
    <s v="Anaheim, CA"/>
    <n v="33.836599999999997"/>
    <n v="-117.9143"/>
    <d v="2024-11-27T00:00:00"/>
    <n v="3"/>
    <b v="1"/>
    <d v="2025-07-11T00:00:00"/>
    <x v="0"/>
    <x v="0"/>
  </r>
  <r>
    <b v="1"/>
    <d v="1899-12-30T10:24:00"/>
    <d v="1899-12-30T12:48:00"/>
    <n v="144"/>
    <x v="0"/>
    <b v="1"/>
    <b v="0"/>
    <x v="4"/>
    <x v="2"/>
    <x v="1"/>
    <x v="5"/>
    <x v="1"/>
    <n v="0"/>
    <x v="14"/>
    <s v="Off-peak only"/>
    <s v="Long Beach, CA"/>
    <n v="33.770099999999999"/>
    <n v="-118.19370000000001"/>
    <d v="2024-05-27T00:00:00"/>
    <n v="7"/>
    <b v="0"/>
    <d v="2025-06-30T00:00:00"/>
    <x v="1"/>
    <x v="1"/>
  </r>
  <r>
    <b v="1"/>
    <d v="1899-12-30T20:28:00"/>
    <d v="1899-12-30T21:26:00"/>
    <n v="58"/>
    <x v="0"/>
    <b v="1"/>
    <b v="0"/>
    <x v="1"/>
    <x v="0"/>
    <x v="0"/>
    <x v="0"/>
    <x v="3"/>
    <n v="0.15"/>
    <x v="27"/>
    <s v="All hours"/>
    <s v="Sacramento, CA"/>
    <n v="38.581600000000002"/>
    <n v="-121.4944"/>
    <d v="2024-04-07T00:00:00"/>
    <n v="4"/>
    <b v="0"/>
    <d v="2025-06-28T00:00:00"/>
    <x v="1"/>
    <x v="1"/>
  </r>
  <r>
    <b v="1"/>
    <d v="1899-12-30T12:00:00"/>
    <d v="1899-12-30T14:08:00"/>
    <n v="128"/>
    <x v="1"/>
    <b v="0"/>
    <b v="1"/>
    <x v="3"/>
    <x v="2"/>
    <x v="0"/>
    <x v="2"/>
    <x v="2"/>
    <n v="0.1"/>
    <x v="6"/>
    <s v="Off-peak only"/>
    <s v="San Francisco, CA"/>
    <n v="37.774900000000002"/>
    <n v="-122.4194"/>
    <d v="2023-01-23T00:00:00"/>
    <n v="0"/>
    <b v="0"/>
    <d v="2025-06-03T00:00:00"/>
    <x v="3"/>
    <x v="3"/>
  </r>
  <r>
    <b v="0"/>
    <d v="1899-12-30T15:41:00"/>
    <d v="1899-12-30T17:45:00"/>
    <n v="124"/>
    <x v="1"/>
    <b v="0"/>
    <b v="0"/>
    <x v="0"/>
    <x v="1"/>
    <x v="0"/>
    <x v="1"/>
    <x v="2"/>
    <n v="0.1"/>
    <x v="2"/>
    <s v="Weekdays only"/>
    <s v="Los Angeles, CA"/>
    <n v="34.052199999999999"/>
    <n v="-118.2437"/>
    <d v="2023-05-03T00:00:00"/>
    <n v="0"/>
    <b v="0"/>
    <d v="2025-06-08T00:00:00"/>
    <x v="0"/>
    <x v="0"/>
  </r>
  <r>
    <b v="0"/>
    <d v="1899-12-30T09:21:00"/>
    <d v="1899-12-30T11:11:00"/>
    <n v="110"/>
    <x v="1"/>
    <b v="0"/>
    <b v="0"/>
    <x v="2"/>
    <x v="2"/>
    <x v="0"/>
    <x v="2"/>
    <x v="2"/>
    <n v="0.1"/>
    <x v="6"/>
    <s v="Off-peak only"/>
    <s v="Sacramento, CA"/>
    <n v="38.581600000000002"/>
    <n v="-121.4944"/>
    <d v="2023-03-26T00:00:00"/>
    <n v="0"/>
    <b v="0"/>
    <d v="2025-06-06T00:00:00"/>
    <x v="1"/>
    <x v="1"/>
  </r>
  <r>
    <b v="0"/>
    <d v="1899-12-30T08:41:00"/>
    <d v="1899-12-30T09:35:00"/>
    <n v="54"/>
    <x v="1"/>
    <b v="0"/>
    <b v="1"/>
    <x v="4"/>
    <x v="0"/>
    <x v="0"/>
    <x v="0"/>
    <x v="3"/>
    <n v="0.15"/>
    <x v="27"/>
    <s v="All hours"/>
    <s v="Long Beach, CA"/>
    <n v="33.770099999999999"/>
    <n v="-118.19370000000001"/>
    <d v="2025-06-11T00:00:00"/>
    <n v="0"/>
    <b v="1"/>
    <d v="2025-07-22T00:00:00"/>
    <x v="0"/>
    <x v="0"/>
  </r>
  <r>
    <b v="1"/>
    <d v="1899-12-30T10:53:00"/>
    <d v="1899-12-30T13:29:00"/>
    <n v="156"/>
    <x v="0"/>
    <b v="1"/>
    <b v="0"/>
    <x v="4"/>
    <x v="0"/>
    <x v="0"/>
    <x v="0"/>
    <x v="1"/>
    <n v="0"/>
    <x v="5"/>
    <s v="All hours"/>
    <s v="Los Angeles, CA"/>
    <n v="34.052199999999999"/>
    <n v="-118.2437"/>
    <d v="2024-04-05T00:00:00"/>
    <n v="3"/>
    <b v="0"/>
    <d v="2025-06-28T00:00:00"/>
    <x v="0"/>
    <x v="0"/>
  </r>
  <r>
    <b v="0"/>
    <d v="1899-12-30T18:39:00"/>
    <d v="1899-12-30T20:54:00"/>
    <n v="135"/>
    <x v="0"/>
    <b v="0"/>
    <b v="0"/>
    <x v="0"/>
    <x v="3"/>
    <x v="2"/>
    <x v="9"/>
    <x v="1"/>
    <n v="0"/>
    <x v="22"/>
    <s v="All hours + Priority access"/>
    <s v="Bakersfield, CA"/>
    <n v="35.3733"/>
    <n v="-119.0187"/>
    <d v="2024-01-27T00:00:00"/>
    <n v="0"/>
    <b v="1"/>
    <d v="2025-06-24T00:00:00"/>
    <x v="2"/>
    <x v="2"/>
  </r>
  <r>
    <b v="1"/>
    <d v="1899-12-30T14:42:00"/>
    <d v="1899-12-30T16:08:00"/>
    <n v="86"/>
    <x v="0"/>
    <b v="1"/>
    <b v="1"/>
    <x v="2"/>
    <x v="2"/>
    <x v="2"/>
    <x v="7"/>
    <x v="1"/>
    <n v="0"/>
    <x v="6"/>
    <s v="Off-peak only"/>
    <s v="Bakersfield, CA"/>
    <n v="35.3733"/>
    <n v="-119.0187"/>
    <d v="2025-06-02T00:00:00"/>
    <n v="1"/>
    <b v="0"/>
    <d v="2025-07-21T00:00:00"/>
    <x v="0"/>
    <x v="0"/>
  </r>
  <r>
    <b v="1"/>
    <d v="1899-12-30T18:48:00"/>
    <d v="1899-12-30T21:03:00"/>
    <n v="135"/>
    <x v="0"/>
    <b v="1"/>
    <b v="1"/>
    <x v="0"/>
    <x v="2"/>
    <x v="1"/>
    <x v="5"/>
    <x v="3"/>
    <n v="0.15"/>
    <x v="13"/>
    <s v="Off-peak only"/>
    <s v="San Francisco, CA"/>
    <n v="37.774900000000002"/>
    <n v="-122.4194"/>
    <d v="2024-09-19T00:00:00"/>
    <n v="4"/>
    <b v="0"/>
    <d v="2025-07-07T00:00:00"/>
    <x v="1"/>
    <x v="1"/>
  </r>
  <r>
    <b v="1"/>
    <d v="1899-12-30T09:14:00"/>
    <d v="1899-12-30T11:52:00"/>
    <n v="158"/>
    <x v="0"/>
    <b v="1"/>
    <b v="0"/>
    <x v="0"/>
    <x v="1"/>
    <x v="1"/>
    <x v="4"/>
    <x v="1"/>
    <n v="0"/>
    <x v="8"/>
    <s v="Weekdays only"/>
    <s v="Anaheim, CA"/>
    <n v="33.836599999999997"/>
    <n v="-117.9143"/>
    <d v="2023-04-05T00:00:00"/>
    <n v="7"/>
    <b v="0"/>
    <d v="2025-06-07T00:00:00"/>
    <x v="1"/>
    <x v="1"/>
  </r>
  <r>
    <b v="0"/>
    <d v="1899-12-30T11:43:00"/>
    <d v="1899-12-30T12:52:00"/>
    <n v="69"/>
    <x v="0"/>
    <b v="0"/>
    <b v="1"/>
    <x v="4"/>
    <x v="1"/>
    <x v="0"/>
    <x v="1"/>
    <x v="3"/>
    <n v="0.15"/>
    <x v="15"/>
    <s v="Weekdays only"/>
    <s v="Bakersfield, CA"/>
    <n v="35.3733"/>
    <n v="-119.0187"/>
    <d v="2025-01-27T00:00:00"/>
    <n v="0"/>
    <b v="0"/>
    <d v="2025-07-14T00:00:00"/>
    <x v="2"/>
    <x v="2"/>
  </r>
  <r>
    <b v="1"/>
    <d v="1899-12-30T16:35:00"/>
    <d v="1899-12-30T18:56:00"/>
    <n v="141"/>
    <x v="1"/>
    <b v="1"/>
    <b v="0"/>
    <x v="0"/>
    <x v="0"/>
    <x v="1"/>
    <x v="6"/>
    <x v="3"/>
    <n v="0.15"/>
    <x v="28"/>
    <s v="All hours"/>
    <s v="San Francisco, CA"/>
    <n v="37.774900000000002"/>
    <n v="-122.4194"/>
    <d v="2023-11-30T00:00:00"/>
    <n v="8"/>
    <b v="1"/>
    <d v="2025-06-20T00:00:00"/>
    <x v="3"/>
    <x v="3"/>
  </r>
  <r>
    <b v="1"/>
    <d v="1899-12-30T20:53:00"/>
    <d v="1899-12-30T21:33:00"/>
    <n v="40"/>
    <x v="0"/>
    <b v="0"/>
    <b v="1"/>
    <x v="4"/>
    <x v="1"/>
    <x v="0"/>
    <x v="1"/>
    <x v="1"/>
    <n v="0"/>
    <x v="1"/>
    <s v="Weekdays only"/>
    <s v="Sacramento, CA"/>
    <n v="38.581600000000002"/>
    <n v="-121.4944"/>
    <d v="2024-11-05T00:00:00"/>
    <n v="0"/>
    <b v="0"/>
    <d v="2025-07-10T00:00:00"/>
    <x v="3"/>
    <x v="3"/>
  </r>
  <r>
    <b v="1"/>
    <d v="1899-12-30T20:25:00"/>
    <d v="1899-12-30T20:55:00"/>
    <n v="30"/>
    <x v="0"/>
    <b v="0"/>
    <b v="1"/>
    <x v="4"/>
    <x v="3"/>
    <x v="0"/>
    <x v="3"/>
    <x v="2"/>
    <n v="0.1"/>
    <x v="22"/>
    <s v="All hours + Priority access"/>
    <s v="San Francisco, CA"/>
    <n v="37.774900000000002"/>
    <n v="-122.4194"/>
    <d v="2025-06-10T00:00:00"/>
    <n v="0"/>
    <b v="0"/>
    <d v="2025-07-22T00:00:00"/>
    <x v="3"/>
    <x v="3"/>
  </r>
  <r>
    <b v="1"/>
    <d v="1899-12-30T08:06:00"/>
    <d v="1899-12-30T10:41:00"/>
    <n v="155"/>
    <x v="0"/>
    <b v="1"/>
    <b v="0"/>
    <x v="4"/>
    <x v="1"/>
    <x v="0"/>
    <x v="1"/>
    <x v="1"/>
    <n v="0"/>
    <x v="1"/>
    <s v="Weekdays only"/>
    <s v="Anaheim, CA"/>
    <n v="33.836599999999997"/>
    <n v="-117.9143"/>
    <d v="2024-10-09T00:00:00"/>
    <n v="5"/>
    <b v="0"/>
    <d v="2025-07-08T00:00:00"/>
    <x v="0"/>
    <x v="0"/>
  </r>
  <r>
    <b v="1"/>
    <d v="1899-12-30T19:16:00"/>
    <d v="1899-12-30T20:15:00"/>
    <n v="59"/>
    <x v="0"/>
    <b v="1"/>
    <b v="1"/>
    <x v="0"/>
    <x v="1"/>
    <x v="0"/>
    <x v="1"/>
    <x v="2"/>
    <n v="0.1"/>
    <x v="2"/>
    <s v="Weekdays only"/>
    <s v="Bakersfield, CA"/>
    <n v="35.3733"/>
    <n v="-119.0187"/>
    <d v="2022-08-18T00:00:00"/>
    <n v="3"/>
    <b v="0"/>
    <d v="2025-05-25T00:00:00"/>
    <x v="1"/>
    <x v="1"/>
  </r>
  <r>
    <b v="1"/>
    <d v="1899-12-30T08:01:00"/>
    <d v="1899-12-30T10:30:00"/>
    <n v="149"/>
    <x v="1"/>
    <b v="1"/>
    <b v="1"/>
    <x v="0"/>
    <x v="2"/>
    <x v="0"/>
    <x v="2"/>
    <x v="2"/>
    <n v="0.1"/>
    <x v="6"/>
    <s v="Off-peak only"/>
    <s v="Sacramento, CA"/>
    <n v="38.581600000000002"/>
    <n v="-121.4944"/>
    <d v="2023-02-20T00:00:00"/>
    <n v="5"/>
    <b v="1"/>
    <d v="2025-06-04T00:00:00"/>
    <x v="2"/>
    <x v="4"/>
  </r>
  <r>
    <b v="1"/>
    <d v="1899-12-30T18:19:00"/>
    <d v="1899-12-30T20:02:00"/>
    <n v="103"/>
    <x v="0"/>
    <b v="1"/>
    <b v="1"/>
    <x v="0"/>
    <x v="3"/>
    <x v="1"/>
    <x v="11"/>
    <x v="0"/>
    <n v="0.05"/>
    <x v="36"/>
    <s v="All hours + Priority access"/>
    <s v="Long Beach, CA"/>
    <n v="33.770099999999999"/>
    <n v="-118.19370000000001"/>
    <d v="2022-09-05T00:00:00"/>
    <n v="7"/>
    <b v="1"/>
    <d v="2025-05-26T00:00:00"/>
    <x v="1"/>
    <x v="1"/>
  </r>
  <r>
    <b v="0"/>
    <d v="1899-12-30T19:13:00"/>
    <d v="1899-12-30T20:02:00"/>
    <n v="49"/>
    <x v="0"/>
    <b v="1"/>
    <b v="1"/>
    <x v="0"/>
    <x v="0"/>
    <x v="0"/>
    <x v="0"/>
    <x v="0"/>
    <n v="0.05"/>
    <x v="0"/>
    <s v="All hours"/>
    <s v="San Francisco, CA"/>
    <n v="37.774900000000002"/>
    <n v="-122.4194"/>
    <d v="2024-01-20T00:00:00"/>
    <n v="2"/>
    <b v="1"/>
    <d v="2025-06-23T00:00:00"/>
    <x v="3"/>
    <x v="3"/>
  </r>
  <r>
    <b v="0"/>
    <d v="1899-12-30T09:34:00"/>
    <d v="1899-12-30T10:11:00"/>
    <n v="37"/>
    <x v="0"/>
    <b v="0"/>
    <b v="0"/>
    <x v="0"/>
    <x v="0"/>
    <x v="1"/>
    <x v="6"/>
    <x v="1"/>
    <n v="0"/>
    <x v="12"/>
    <s v="All hours"/>
    <s v="Bakersfield, CA"/>
    <n v="35.3733"/>
    <n v="-119.0187"/>
    <d v="2025-02-26T00:00:00"/>
    <n v="0"/>
    <b v="1"/>
    <d v="2025-07-16T00:00:00"/>
    <x v="0"/>
    <x v="0"/>
  </r>
  <r>
    <b v="1"/>
    <d v="1899-12-30T20:02:00"/>
    <d v="1899-12-30T22:37:00"/>
    <n v="155"/>
    <x v="0"/>
    <b v="1"/>
    <b v="0"/>
    <x v="0"/>
    <x v="2"/>
    <x v="0"/>
    <x v="2"/>
    <x v="0"/>
    <n v="0.05"/>
    <x v="18"/>
    <s v="Off-peak only"/>
    <s v="Fresno, CA"/>
    <n v="36.7378"/>
    <n v="-119.7871"/>
    <d v="2023-11-17T00:00:00"/>
    <n v="3"/>
    <b v="0"/>
    <d v="2025-06-20T00:00:00"/>
    <x v="2"/>
    <x v="2"/>
  </r>
  <r>
    <b v="0"/>
    <d v="1899-12-30T16:05:00"/>
    <d v="1899-12-30T19:05:00"/>
    <n v="180"/>
    <x v="1"/>
    <b v="1"/>
    <b v="0"/>
    <x v="4"/>
    <x v="2"/>
    <x v="0"/>
    <x v="2"/>
    <x v="2"/>
    <n v="0.1"/>
    <x v="6"/>
    <s v="Off-peak only"/>
    <s v="Fresno, CA"/>
    <n v="36.7378"/>
    <n v="-119.7871"/>
    <d v="2024-02-25T00:00:00"/>
    <n v="4"/>
    <b v="0"/>
    <d v="2025-06-25T00:00:00"/>
    <x v="2"/>
    <x v="4"/>
  </r>
  <r>
    <b v="0"/>
    <d v="1899-12-30T17:16:00"/>
    <d v="1899-12-30T19:52:00"/>
    <n v="156"/>
    <x v="1"/>
    <b v="0"/>
    <b v="0"/>
    <x v="2"/>
    <x v="0"/>
    <x v="0"/>
    <x v="0"/>
    <x v="1"/>
    <n v="0"/>
    <x v="5"/>
    <s v="All hours"/>
    <s v="Bakersfield, CA"/>
    <n v="35.3733"/>
    <n v="-119.0187"/>
    <d v="2023-01-05T00:00:00"/>
    <n v="0"/>
    <b v="1"/>
    <d v="2025-06-02T00:00:00"/>
    <x v="0"/>
    <x v="0"/>
  </r>
  <r>
    <b v="1"/>
    <d v="1899-12-30T16:35:00"/>
    <d v="1899-12-30T18:56:00"/>
    <n v="141"/>
    <x v="1"/>
    <b v="1"/>
    <b v="0"/>
    <x v="0"/>
    <x v="0"/>
    <x v="1"/>
    <x v="6"/>
    <x v="3"/>
    <n v="0.15"/>
    <x v="28"/>
    <s v="All hours"/>
    <s v="San Francisco, CA"/>
    <n v="37.774900000000002"/>
    <n v="-122.4194"/>
    <d v="2025-03-10T00:00:00"/>
    <n v="3"/>
    <b v="1"/>
    <d v="2025-07-17T00:00:00"/>
    <x v="3"/>
    <x v="3"/>
  </r>
  <r>
    <b v="1"/>
    <d v="1899-12-30T15:27:00"/>
    <d v="1899-12-30T17:39:00"/>
    <n v="132"/>
    <x v="0"/>
    <b v="1"/>
    <b v="1"/>
    <x v="2"/>
    <x v="0"/>
    <x v="0"/>
    <x v="0"/>
    <x v="1"/>
    <n v="0"/>
    <x v="5"/>
    <s v="All hours"/>
    <s v="Los Angeles, CA"/>
    <n v="34.052199999999999"/>
    <n v="-118.2437"/>
    <d v="2024-01-20T00:00:00"/>
    <n v="5"/>
    <b v="1"/>
    <d v="2025-06-23T00:00:00"/>
    <x v="0"/>
    <x v="0"/>
  </r>
  <r>
    <b v="1"/>
    <d v="1899-12-30T08:21:00"/>
    <d v="1899-12-30T08:55:00"/>
    <n v="34"/>
    <x v="1"/>
    <b v="0"/>
    <b v="0"/>
    <x v="4"/>
    <x v="2"/>
    <x v="1"/>
    <x v="5"/>
    <x v="1"/>
    <n v="0"/>
    <x v="14"/>
    <s v="Off-peak only"/>
    <s v="Fresno, CA"/>
    <n v="36.7378"/>
    <n v="-119.7871"/>
    <d v="2025-01-14T00:00:00"/>
    <n v="0"/>
    <b v="0"/>
    <d v="2025-07-13T00:00:00"/>
    <x v="1"/>
    <x v="1"/>
  </r>
  <r>
    <b v="1"/>
    <d v="1899-12-30T11:36:00"/>
    <d v="1899-12-30T14:23:00"/>
    <n v="167"/>
    <x v="0"/>
    <b v="0"/>
    <b v="0"/>
    <x v="4"/>
    <x v="2"/>
    <x v="1"/>
    <x v="5"/>
    <x v="1"/>
    <n v="0"/>
    <x v="14"/>
    <s v="Off-peak only"/>
    <s v="Anaheim, CA"/>
    <n v="33.836599999999997"/>
    <n v="-117.9143"/>
    <d v="2024-07-12T00:00:00"/>
    <n v="0"/>
    <b v="1"/>
    <d v="2025-07-03T00:00:00"/>
    <x v="3"/>
    <x v="3"/>
  </r>
  <r>
    <b v="1"/>
    <d v="1899-12-30T11:10:00"/>
    <d v="1899-12-30T13:56:00"/>
    <n v="166"/>
    <x v="0"/>
    <b v="1"/>
    <b v="1"/>
    <x v="0"/>
    <x v="0"/>
    <x v="1"/>
    <x v="6"/>
    <x v="3"/>
    <n v="0.15"/>
    <x v="28"/>
    <s v="All hours"/>
    <s v="Long Beach, CA"/>
    <n v="33.770099999999999"/>
    <n v="-118.19370000000001"/>
    <d v="2023-04-29T00:00:00"/>
    <n v="1"/>
    <b v="1"/>
    <d v="2025-06-08T00:00:00"/>
    <x v="3"/>
    <x v="3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4-02-02T00:00:00"/>
    <n v="0"/>
    <b v="1"/>
    <d v="2025-06-24T00:00:00"/>
    <x v="1"/>
    <x v="1"/>
  </r>
  <r>
    <b v="1"/>
    <d v="1899-12-30T08:38:00"/>
    <d v="1899-12-30T10:25:00"/>
    <n v="107"/>
    <x v="0"/>
    <b v="1"/>
    <b v="1"/>
    <x v="1"/>
    <x v="1"/>
    <x v="2"/>
    <x v="8"/>
    <x v="1"/>
    <n v="0"/>
    <x v="2"/>
    <s v="Weekdays only"/>
    <s v="San Diego, CA"/>
    <n v="32.715699999999998"/>
    <n v="-117.1611"/>
    <d v="2024-05-18T00:00:00"/>
    <n v="3"/>
    <b v="0"/>
    <d v="2025-06-30T00:00:00"/>
    <x v="2"/>
    <x v="2"/>
  </r>
  <r>
    <b v="1"/>
    <d v="1899-12-30T13:11:00"/>
    <d v="1899-12-30T15:56:00"/>
    <n v="165"/>
    <x v="1"/>
    <b v="0"/>
    <b v="0"/>
    <x v="0"/>
    <x v="0"/>
    <x v="0"/>
    <x v="0"/>
    <x v="0"/>
    <n v="0.05"/>
    <x v="0"/>
    <s v="All hours"/>
    <s v="Sacramento, CA"/>
    <n v="38.581600000000002"/>
    <n v="-121.4944"/>
    <d v="2024-04-28T00:00:00"/>
    <n v="0"/>
    <b v="0"/>
    <d v="2025-06-29T00:00:00"/>
    <x v="1"/>
    <x v="1"/>
  </r>
  <r>
    <b v="1"/>
    <d v="1899-12-30T18:19:00"/>
    <d v="1899-12-30T20:02:00"/>
    <n v="103"/>
    <x v="0"/>
    <b v="1"/>
    <b v="1"/>
    <x v="0"/>
    <x v="3"/>
    <x v="1"/>
    <x v="11"/>
    <x v="0"/>
    <n v="0.05"/>
    <x v="36"/>
    <s v="All hours + Priority access"/>
    <s v="Long Beach, CA"/>
    <n v="33.770099999999999"/>
    <n v="-118.19370000000001"/>
    <d v="2024-02-19T00:00:00"/>
    <n v="4"/>
    <b v="1"/>
    <d v="2025-06-25T00:00:00"/>
    <x v="1"/>
    <x v="1"/>
  </r>
  <r>
    <b v="1"/>
    <d v="1899-12-30T19:06:00"/>
    <d v="1899-12-30T21:17:00"/>
    <n v="131"/>
    <x v="1"/>
    <b v="1"/>
    <b v="0"/>
    <x v="3"/>
    <x v="0"/>
    <x v="0"/>
    <x v="0"/>
    <x v="3"/>
    <n v="0.15"/>
    <x v="27"/>
    <s v="All hours"/>
    <s v="Los Angeles, CA"/>
    <n v="34.052199999999999"/>
    <n v="-118.2437"/>
    <d v="2023-03-09T00:00:00"/>
    <n v="2"/>
    <b v="1"/>
    <d v="2025-06-05T00:00:00"/>
    <x v="2"/>
    <x v="4"/>
  </r>
  <r>
    <b v="1"/>
    <d v="1899-12-30T10:36:00"/>
    <d v="1899-12-30T11:46:00"/>
    <n v="70"/>
    <x v="1"/>
    <b v="1"/>
    <b v="1"/>
    <x v="4"/>
    <x v="1"/>
    <x v="1"/>
    <x v="4"/>
    <x v="1"/>
    <n v="0"/>
    <x v="8"/>
    <s v="Weekdays only"/>
    <s v="Bakersfield, CA"/>
    <n v="35.3733"/>
    <n v="-119.0187"/>
    <d v="2022-11-15T00:00:00"/>
    <n v="8"/>
    <b v="0"/>
    <d v="2025-05-30T00:00:00"/>
    <x v="1"/>
    <x v="1"/>
  </r>
  <r>
    <b v="1"/>
    <d v="1899-12-30T18:06:00"/>
    <d v="1899-12-30T20:42:00"/>
    <n v="156"/>
    <x v="0"/>
    <b v="1"/>
    <b v="1"/>
    <x v="0"/>
    <x v="3"/>
    <x v="1"/>
    <x v="11"/>
    <x v="0"/>
    <n v="0.05"/>
    <x v="36"/>
    <s v="All hours + Priority access"/>
    <s v="Oakland, CA"/>
    <n v="37.804400000000001"/>
    <n v="-122.27119999999999"/>
    <d v="2022-09-09T00:00:00"/>
    <n v="6"/>
    <b v="1"/>
    <d v="2025-05-26T00:00:00"/>
    <x v="2"/>
    <x v="4"/>
  </r>
  <r>
    <b v="0"/>
    <d v="1899-12-30T14:33:00"/>
    <d v="1899-12-30T16:48:00"/>
    <n v="135"/>
    <x v="0"/>
    <b v="0"/>
    <b v="1"/>
    <x v="0"/>
    <x v="1"/>
    <x v="0"/>
    <x v="1"/>
    <x v="2"/>
    <n v="0.1"/>
    <x v="2"/>
    <s v="Weekdays only"/>
    <s v="San Jose, CA"/>
    <n v="37.338200000000001"/>
    <n v="-121.88630000000001"/>
    <d v="2023-03-07T00:00:00"/>
    <n v="0"/>
    <b v="1"/>
    <d v="2025-06-05T00:00:00"/>
    <x v="2"/>
    <x v="4"/>
  </r>
  <r>
    <b v="1"/>
    <d v="1899-12-30T12:40:00"/>
    <d v="1899-12-30T13:52:00"/>
    <n v="72"/>
    <x v="1"/>
    <b v="1"/>
    <b v="0"/>
    <x v="2"/>
    <x v="2"/>
    <x v="1"/>
    <x v="5"/>
    <x v="1"/>
    <n v="0"/>
    <x v="14"/>
    <s v="Off-peak only"/>
    <s v="San Diego, CA"/>
    <n v="32.715699999999998"/>
    <n v="-117.1611"/>
    <d v="2024-07-22T00:00:00"/>
    <n v="1"/>
    <b v="0"/>
    <d v="2025-07-04T00:00:00"/>
    <x v="2"/>
    <x v="2"/>
  </r>
  <r>
    <b v="0"/>
    <d v="1899-12-30T08:22:00"/>
    <d v="1899-12-30T10:52:00"/>
    <n v="150"/>
    <x v="0"/>
    <b v="1"/>
    <b v="1"/>
    <x v="4"/>
    <x v="2"/>
    <x v="0"/>
    <x v="2"/>
    <x v="1"/>
    <n v="0"/>
    <x v="3"/>
    <s v="Off-peak only"/>
    <s v="Fresno, CA"/>
    <n v="36.7378"/>
    <n v="-119.7871"/>
    <d v="2023-06-21T00:00:00"/>
    <n v="8"/>
    <b v="0"/>
    <d v="2025-06-11T00:00:00"/>
    <x v="0"/>
    <x v="0"/>
  </r>
  <r>
    <b v="0"/>
    <d v="1899-12-30T20:46:00"/>
    <d v="1899-12-30T22:09:00"/>
    <n v="83"/>
    <x v="1"/>
    <b v="1"/>
    <b v="1"/>
    <x v="4"/>
    <x v="0"/>
    <x v="1"/>
    <x v="6"/>
    <x v="3"/>
    <n v="0.15"/>
    <x v="28"/>
    <s v="All hours"/>
    <s v="Bakersfield, CA"/>
    <n v="35.3733"/>
    <n v="-119.0187"/>
    <d v="2024-03-13T00:00:00"/>
    <n v="2"/>
    <b v="1"/>
    <d v="2025-06-26T00:00:00"/>
    <x v="0"/>
    <x v="0"/>
  </r>
  <r>
    <b v="0"/>
    <d v="1899-12-30T19:38:00"/>
    <d v="1899-12-30T21:10:00"/>
    <n v="92"/>
    <x v="1"/>
    <b v="1"/>
    <b v="1"/>
    <x v="0"/>
    <x v="0"/>
    <x v="0"/>
    <x v="0"/>
    <x v="1"/>
    <n v="0"/>
    <x v="5"/>
    <s v="All hours"/>
    <s v="Long Beach, CA"/>
    <n v="33.770099999999999"/>
    <n v="-118.19370000000001"/>
    <d v="2024-09-24T00:00:00"/>
    <n v="3"/>
    <b v="1"/>
    <d v="2025-07-07T00:00:00"/>
    <x v="0"/>
    <x v="0"/>
  </r>
  <r>
    <b v="1"/>
    <d v="1899-12-30T18:22:00"/>
    <d v="1899-12-30T21:20:00"/>
    <n v="178"/>
    <x v="1"/>
    <b v="0"/>
    <b v="1"/>
    <x v="0"/>
    <x v="1"/>
    <x v="1"/>
    <x v="4"/>
    <x v="0"/>
    <n v="0.05"/>
    <x v="11"/>
    <s v="Weekdays only"/>
    <s v="Los Angeles, CA"/>
    <n v="34.052199999999999"/>
    <n v="-118.2437"/>
    <d v="2023-01-09T00:00:00"/>
    <n v="0"/>
    <b v="1"/>
    <d v="2025-06-02T00:00:00"/>
    <x v="3"/>
    <x v="3"/>
  </r>
  <r>
    <b v="1"/>
    <d v="1899-12-30T14:42:00"/>
    <d v="1899-12-30T15:53:00"/>
    <n v="71"/>
    <x v="0"/>
    <b v="0"/>
    <b v="0"/>
    <x v="4"/>
    <x v="0"/>
    <x v="0"/>
    <x v="0"/>
    <x v="2"/>
    <n v="0.1"/>
    <x v="16"/>
    <s v="All hours"/>
    <s v="Los Angeles, CA"/>
    <n v="34.052199999999999"/>
    <n v="-118.2437"/>
    <d v="2025-05-13T00:00:00"/>
    <n v="0"/>
    <b v="1"/>
    <d v="2025-07-20T00:00:00"/>
    <x v="3"/>
    <x v="3"/>
  </r>
  <r>
    <b v="0"/>
    <d v="1899-12-30T17:59:00"/>
    <d v="1899-12-30T20:54:00"/>
    <n v="175"/>
    <x v="1"/>
    <b v="0"/>
    <b v="1"/>
    <x v="4"/>
    <x v="0"/>
    <x v="0"/>
    <x v="0"/>
    <x v="1"/>
    <n v="0"/>
    <x v="5"/>
    <s v="All hours"/>
    <s v="Sacramento, CA"/>
    <n v="38.581600000000002"/>
    <n v="-121.4944"/>
    <d v="2022-11-05T00:00:00"/>
    <n v="0"/>
    <b v="1"/>
    <d v="2025-05-29T00:00:00"/>
    <x v="1"/>
    <x v="1"/>
  </r>
  <r>
    <b v="0"/>
    <d v="1899-12-30T08:33:00"/>
    <d v="1899-12-30T10:29:00"/>
    <n v="116"/>
    <x v="0"/>
    <b v="0"/>
    <b v="0"/>
    <x v="0"/>
    <x v="3"/>
    <x v="1"/>
    <x v="11"/>
    <x v="2"/>
    <n v="0.1"/>
    <x v="32"/>
    <s v="All hours + Priority access"/>
    <s v="Bakersfield, CA"/>
    <n v="35.3733"/>
    <n v="-119.0187"/>
    <d v="2024-02-17T00:00:00"/>
    <n v="0"/>
    <b v="1"/>
    <d v="2025-06-25T00:00:00"/>
    <x v="1"/>
    <x v="1"/>
  </r>
  <r>
    <b v="1"/>
    <d v="1899-12-30T11:42:00"/>
    <d v="1899-12-30T13:39:00"/>
    <n v="117"/>
    <x v="0"/>
    <b v="1"/>
    <b v="0"/>
    <x v="1"/>
    <x v="2"/>
    <x v="1"/>
    <x v="5"/>
    <x v="1"/>
    <n v="0"/>
    <x v="14"/>
    <s v="Off-peak only"/>
    <s v="Fresno, CA"/>
    <n v="36.7378"/>
    <n v="-119.7871"/>
    <d v="2023-08-14T00:00:00"/>
    <n v="5"/>
    <b v="1"/>
    <d v="2025-06-14T00:00:00"/>
    <x v="3"/>
    <x v="3"/>
  </r>
  <r>
    <b v="1"/>
    <d v="1899-12-30T18:02:00"/>
    <d v="1899-12-30T18:44:00"/>
    <n v="42"/>
    <x v="1"/>
    <b v="0"/>
    <b v="0"/>
    <x v="1"/>
    <x v="2"/>
    <x v="0"/>
    <x v="2"/>
    <x v="3"/>
    <n v="0.15"/>
    <x v="17"/>
    <s v="Off-peak only"/>
    <s v="Anaheim, CA"/>
    <n v="33.836599999999997"/>
    <n v="-117.9143"/>
    <d v="2023-07-21T00:00:00"/>
    <n v="0"/>
    <b v="0"/>
    <d v="2025-06-13T00:00:00"/>
    <x v="0"/>
    <x v="0"/>
  </r>
  <r>
    <b v="1"/>
    <d v="1899-12-30T19:41:00"/>
    <d v="1899-12-30T21:35:00"/>
    <n v="114"/>
    <x v="1"/>
    <b v="1"/>
    <b v="0"/>
    <x v="4"/>
    <x v="0"/>
    <x v="2"/>
    <x v="10"/>
    <x v="3"/>
    <n v="0.15"/>
    <x v="25"/>
    <s v="All hours"/>
    <s v="San Diego, CA"/>
    <n v="32.715699999999998"/>
    <n v="-117.1611"/>
    <d v="2022-11-12T00:00:00"/>
    <n v="7"/>
    <b v="1"/>
    <d v="2025-05-30T00:00:00"/>
    <x v="1"/>
    <x v="1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3-08-14T00:00:00"/>
    <n v="5"/>
    <b v="0"/>
    <d v="2025-06-14T00:00:00"/>
    <x v="0"/>
    <x v="0"/>
  </r>
  <r>
    <b v="1"/>
    <d v="1899-12-30T15:44:00"/>
    <d v="1899-12-30T17:05:00"/>
    <n v="81"/>
    <x v="0"/>
    <b v="1"/>
    <b v="0"/>
    <x v="4"/>
    <x v="1"/>
    <x v="2"/>
    <x v="8"/>
    <x v="1"/>
    <n v="0"/>
    <x v="2"/>
    <s v="Weekdays only"/>
    <s v="Fresno, CA"/>
    <n v="36.7378"/>
    <n v="-119.7871"/>
    <d v="2023-09-08T00:00:00"/>
    <n v="8"/>
    <b v="0"/>
    <d v="2025-06-16T00:00:00"/>
    <x v="3"/>
    <x v="3"/>
  </r>
  <r>
    <b v="1"/>
    <d v="1899-12-30T14:41:00"/>
    <d v="1899-12-30T16:35:00"/>
    <n v="114"/>
    <x v="0"/>
    <b v="0"/>
    <b v="0"/>
    <x v="3"/>
    <x v="1"/>
    <x v="1"/>
    <x v="4"/>
    <x v="0"/>
    <n v="0.05"/>
    <x v="11"/>
    <s v="Weekdays only"/>
    <s v="San Jose, CA"/>
    <n v="37.338200000000001"/>
    <n v="-121.88630000000001"/>
    <d v="2025-04-13T00:00:00"/>
    <n v="0"/>
    <b v="1"/>
    <d v="2025-07-19T00:00:00"/>
    <x v="0"/>
    <x v="0"/>
  </r>
  <r>
    <b v="1"/>
    <d v="1899-12-30T18:36:00"/>
    <d v="1899-12-30T20:33:00"/>
    <n v="117"/>
    <x v="1"/>
    <b v="1"/>
    <b v="0"/>
    <x v="4"/>
    <x v="0"/>
    <x v="0"/>
    <x v="0"/>
    <x v="3"/>
    <n v="0.15"/>
    <x v="27"/>
    <s v="All hours"/>
    <s v="San Diego, CA"/>
    <n v="32.715699999999998"/>
    <n v="-117.1611"/>
    <d v="2023-12-18T00:00:00"/>
    <n v="4"/>
    <b v="1"/>
    <d v="2025-06-21T00:00:00"/>
    <x v="1"/>
    <x v="1"/>
  </r>
  <r>
    <b v="1"/>
    <d v="1899-12-30T10:29:00"/>
    <d v="1899-12-30T12:37:00"/>
    <n v="128"/>
    <x v="1"/>
    <b v="1"/>
    <b v="1"/>
    <x v="1"/>
    <x v="1"/>
    <x v="0"/>
    <x v="1"/>
    <x v="3"/>
    <n v="0.15"/>
    <x v="15"/>
    <s v="Weekdays only"/>
    <s v="Fresno, CA"/>
    <n v="36.7378"/>
    <n v="-119.7871"/>
    <d v="2025-01-14T00:00:00"/>
    <n v="5"/>
    <b v="0"/>
    <d v="2025-07-13T00:00:00"/>
    <x v="0"/>
    <x v="0"/>
  </r>
  <r>
    <b v="1"/>
    <d v="1899-12-30T16:01:00"/>
    <d v="1899-12-30T18:11:00"/>
    <n v="130"/>
    <x v="1"/>
    <b v="0"/>
    <b v="1"/>
    <x v="0"/>
    <x v="1"/>
    <x v="1"/>
    <x v="4"/>
    <x v="2"/>
    <n v="0.1"/>
    <x v="26"/>
    <s v="Weekdays only"/>
    <s v="Bakersfield, CA"/>
    <n v="35.3733"/>
    <n v="-119.0187"/>
    <d v="2023-04-29T00:00:00"/>
    <n v="0"/>
    <b v="0"/>
    <d v="2025-06-08T00:00:00"/>
    <x v="1"/>
    <x v="1"/>
  </r>
  <r>
    <b v="0"/>
    <d v="1899-12-30T10:17:00"/>
    <d v="1899-12-30T12:21:00"/>
    <n v="124"/>
    <x v="1"/>
    <b v="0"/>
    <b v="1"/>
    <x v="4"/>
    <x v="1"/>
    <x v="0"/>
    <x v="1"/>
    <x v="1"/>
    <n v="0"/>
    <x v="1"/>
    <s v="Weekdays only"/>
    <s v="Anaheim, CA"/>
    <n v="33.836599999999997"/>
    <n v="-117.9143"/>
    <d v="2023-12-25T00:00:00"/>
    <n v="0"/>
    <b v="0"/>
    <d v="2025-06-22T00:00:00"/>
    <x v="3"/>
    <x v="3"/>
  </r>
  <r>
    <b v="1"/>
    <d v="1899-12-30T08:18:00"/>
    <d v="1899-12-30T11:08:00"/>
    <n v="170"/>
    <x v="0"/>
    <b v="0"/>
    <b v="0"/>
    <x v="0"/>
    <x v="1"/>
    <x v="0"/>
    <x v="1"/>
    <x v="1"/>
    <n v="0"/>
    <x v="1"/>
    <s v="Weekdays only"/>
    <s v="Oakland, CA"/>
    <n v="37.804400000000001"/>
    <n v="-122.27119999999999"/>
    <d v="2023-06-29T00:00:00"/>
    <n v="0"/>
    <b v="1"/>
    <d v="2025-06-12T00:00:00"/>
    <x v="3"/>
    <x v="3"/>
  </r>
  <r>
    <b v="0"/>
    <d v="1899-12-30T17:29:00"/>
    <d v="1899-12-30T18:03:00"/>
    <n v="34"/>
    <x v="0"/>
    <b v="0"/>
    <b v="1"/>
    <x v="0"/>
    <x v="3"/>
    <x v="1"/>
    <x v="11"/>
    <x v="1"/>
    <n v="0"/>
    <x v="38"/>
    <s v="All hours + Priority access"/>
    <s v="Bakersfield, CA"/>
    <n v="35.3733"/>
    <n v="-119.0187"/>
    <d v="2025-05-09T00:00:00"/>
    <n v="0"/>
    <b v="0"/>
    <d v="2025-07-20T00:00:00"/>
    <x v="2"/>
    <x v="4"/>
  </r>
  <r>
    <b v="0"/>
    <d v="1899-12-30T14:29:00"/>
    <d v="1899-12-30T15:10:00"/>
    <n v="41"/>
    <x v="0"/>
    <b v="1"/>
    <b v="0"/>
    <x v="1"/>
    <x v="0"/>
    <x v="1"/>
    <x v="6"/>
    <x v="3"/>
    <n v="0.15"/>
    <x v="28"/>
    <s v="All hours"/>
    <s v="San Francisco, CA"/>
    <n v="37.774900000000002"/>
    <n v="-122.4194"/>
    <d v="2025-03-24T00:00:00"/>
    <n v="1"/>
    <b v="1"/>
    <d v="2025-07-17T00:00:00"/>
    <x v="0"/>
    <x v="0"/>
  </r>
  <r>
    <b v="0"/>
    <d v="1899-12-30T14:41:00"/>
    <d v="1899-12-30T15:21:00"/>
    <n v="40"/>
    <x v="1"/>
    <b v="1"/>
    <b v="0"/>
    <x v="3"/>
    <x v="0"/>
    <x v="0"/>
    <x v="0"/>
    <x v="2"/>
    <n v="0.1"/>
    <x v="16"/>
    <s v="All hours"/>
    <s v="Sacramento, CA"/>
    <n v="38.581600000000002"/>
    <n v="-121.4944"/>
    <d v="2023-05-22T00:00:00"/>
    <n v="5"/>
    <b v="0"/>
    <d v="2025-06-10T00:00:00"/>
    <x v="0"/>
    <x v="0"/>
  </r>
  <r>
    <b v="1"/>
    <d v="1899-12-30T16:06:00"/>
    <d v="1899-12-30T17:02:00"/>
    <n v="56"/>
    <x v="0"/>
    <b v="0"/>
    <b v="0"/>
    <x v="4"/>
    <x v="0"/>
    <x v="0"/>
    <x v="0"/>
    <x v="2"/>
    <n v="0.1"/>
    <x v="16"/>
    <s v="All hours"/>
    <s v="Fresno, CA"/>
    <n v="36.7378"/>
    <n v="-119.7871"/>
    <d v="2025-04-07T00:00:00"/>
    <n v="0"/>
    <b v="0"/>
    <d v="2025-07-18T00:00:00"/>
    <x v="1"/>
    <x v="1"/>
  </r>
  <r>
    <b v="1"/>
    <d v="1899-12-30T10:00:00"/>
    <d v="1899-12-30T11:55:00"/>
    <n v="115"/>
    <x v="1"/>
    <b v="0"/>
    <b v="0"/>
    <x v="4"/>
    <x v="3"/>
    <x v="1"/>
    <x v="11"/>
    <x v="1"/>
    <n v="0"/>
    <x v="38"/>
    <s v="All hours + Priority access"/>
    <s v="San Diego, CA"/>
    <n v="32.715699999999998"/>
    <n v="-117.1611"/>
    <d v="2025-04-08T00:00:00"/>
    <n v="0"/>
    <b v="1"/>
    <d v="2025-07-18T00:00:00"/>
    <x v="2"/>
    <x v="2"/>
  </r>
  <r>
    <b v="1"/>
    <d v="1899-12-30T16:58:00"/>
    <d v="1899-12-30T19:40:00"/>
    <n v="162"/>
    <x v="1"/>
    <b v="0"/>
    <b v="1"/>
    <x v="2"/>
    <x v="2"/>
    <x v="0"/>
    <x v="2"/>
    <x v="1"/>
    <n v="0"/>
    <x v="3"/>
    <s v="Off-peak only"/>
    <s v="Long Beach, CA"/>
    <n v="33.770099999999999"/>
    <n v="-118.19370000000001"/>
    <d v="2025-06-10T00:00:00"/>
    <n v="0"/>
    <b v="0"/>
    <d v="2025-07-22T00:00:00"/>
    <x v="2"/>
    <x v="2"/>
  </r>
  <r>
    <b v="0"/>
    <d v="1899-12-30T19:40:00"/>
    <d v="1899-12-30T22:29:00"/>
    <n v="169"/>
    <x v="0"/>
    <b v="1"/>
    <b v="0"/>
    <x v="0"/>
    <x v="0"/>
    <x v="0"/>
    <x v="0"/>
    <x v="3"/>
    <n v="0.15"/>
    <x v="27"/>
    <s v="All hours"/>
    <s v="Anaheim, CA"/>
    <n v="33.836599999999997"/>
    <n v="-117.9143"/>
    <d v="2022-09-08T00:00:00"/>
    <n v="4"/>
    <b v="1"/>
    <d v="2025-05-26T00:00:00"/>
    <x v="0"/>
    <x v="0"/>
  </r>
  <r>
    <b v="0"/>
    <d v="1899-12-30T17:22:00"/>
    <d v="1899-12-30T18:50:00"/>
    <n v="88"/>
    <x v="1"/>
    <b v="1"/>
    <b v="0"/>
    <x v="1"/>
    <x v="1"/>
    <x v="1"/>
    <x v="4"/>
    <x v="1"/>
    <n v="0"/>
    <x v="8"/>
    <s v="Weekdays only"/>
    <s v="Fresno, CA"/>
    <n v="36.7378"/>
    <n v="-119.7871"/>
    <d v="2023-04-29T00:00:00"/>
    <n v="6"/>
    <b v="0"/>
    <d v="2025-06-08T00:00:00"/>
    <x v="3"/>
    <x v="3"/>
  </r>
  <r>
    <b v="0"/>
    <d v="1899-12-30T11:21:00"/>
    <d v="1899-12-30T12:46:00"/>
    <n v="85"/>
    <x v="0"/>
    <b v="0"/>
    <b v="1"/>
    <x v="0"/>
    <x v="1"/>
    <x v="1"/>
    <x v="4"/>
    <x v="1"/>
    <n v="0"/>
    <x v="8"/>
    <s v="Weekdays only"/>
    <s v="Long Beach, CA"/>
    <n v="33.770099999999999"/>
    <n v="-118.19370000000001"/>
    <d v="2024-06-11T00:00:00"/>
    <n v="0"/>
    <b v="0"/>
    <d v="2025-07-01T00:00:00"/>
    <x v="0"/>
    <x v="0"/>
  </r>
  <r>
    <b v="1"/>
    <d v="1899-12-30T12:46:00"/>
    <d v="1899-12-30T13:49:00"/>
    <n v="63"/>
    <x v="1"/>
    <b v="1"/>
    <b v="1"/>
    <x v="4"/>
    <x v="3"/>
    <x v="2"/>
    <x v="9"/>
    <x v="1"/>
    <n v="0"/>
    <x v="22"/>
    <s v="All hours + Priority access"/>
    <s v="Sacramento, CA"/>
    <n v="38.581600000000002"/>
    <n v="-121.4944"/>
    <d v="2024-08-11T00:00:00"/>
    <n v="3"/>
    <b v="1"/>
    <d v="2025-07-05T00:00:00"/>
    <x v="1"/>
    <x v="1"/>
  </r>
  <r>
    <b v="1"/>
    <d v="1899-12-30T13:03:00"/>
    <d v="1899-12-30T15:39:00"/>
    <n v="156"/>
    <x v="0"/>
    <b v="1"/>
    <b v="1"/>
    <x v="2"/>
    <x v="1"/>
    <x v="1"/>
    <x v="4"/>
    <x v="0"/>
    <n v="0.05"/>
    <x v="11"/>
    <s v="Weekdays only"/>
    <s v="Sacramento, CA"/>
    <n v="38.581600000000002"/>
    <n v="-121.4944"/>
    <d v="2024-06-15T00:00:00"/>
    <n v="7"/>
    <b v="0"/>
    <d v="2025-07-02T00:00:00"/>
    <x v="3"/>
    <x v="3"/>
  </r>
  <r>
    <b v="1"/>
    <d v="1899-12-30T15:49:00"/>
    <d v="1899-12-30T17:10:00"/>
    <n v="81"/>
    <x v="1"/>
    <b v="0"/>
    <b v="0"/>
    <x v="0"/>
    <x v="2"/>
    <x v="0"/>
    <x v="2"/>
    <x v="2"/>
    <n v="0.1"/>
    <x v="6"/>
    <s v="Off-peak only"/>
    <s v="San Jose, CA"/>
    <n v="37.338200000000001"/>
    <n v="-121.88630000000001"/>
    <d v="2023-03-20T00:00:00"/>
    <n v="0"/>
    <b v="0"/>
    <d v="2025-06-06T00:00:00"/>
    <x v="2"/>
    <x v="2"/>
  </r>
  <r>
    <b v="1"/>
    <d v="1899-12-30T19:59:00"/>
    <d v="1899-12-30T20:57:00"/>
    <n v="58"/>
    <x v="1"/>
    <b v="0"/>
    <b v="1"/>
    <x v="2"/>
    <x v="0"/>
    <x v="2"/>
    <x v="10"/>
    <x v="2"/>
    <n v="0.1"/>
    <x v="34"/>
    <s v="All hours"/>
    <s v="San Diego, CA"/>
    <n v="32.715699999999998"/>
    <n v="-117.1611"/>
    <d v="2023-07-19T00:00:00"/>
    <n v="0"/>
    <b v="1"/>
    <d v="2025-06-13T00:00:00"/>
    <x v="0"/>
    <x v="0"/>
  </r>
  <r>
    <b v="1"/>
    <d v="1899-12-30T10:31:00"/>
    <d v="1899-12-30T11:48:00"/>
    <n v="77"/>
    <x v="1"/>
    <b v="1"/>
    <b v="0"/>
    <x v="0"/>
    <x v="2"/>
    <x v="1"/>
    <x v="5"/>
    <x v="0"/>
    <n v="0.05"/>
    <x v="9"/>
    <s v="Off-peak only"/>
    <s v="Anaheim, CA"/>
    <n v="33.836599999999997"/>
    <n v="-117.9143"/>
    <d v="2024-12-07T00:00:00"/>
    <n v="8"/>
    <b v="0"/>
    <d v="2025-07-11T00:00:00"/>
    <x v="3"/>
    <x v="3"/>
  </r>
  <r>
    <b v="1"/>
    <d v="1899-12-30T15:52:00"/>
    <d v="1899-12-30T18:05:00"/>
    <n v="133"/>
    <x v="0"/>
    <b v="0"/>
    <b v="0"/>
    <x v="4"/>
    <x v="2"/>
    <x v="0"/>
    <x v="2"/>
    <x v="1"/>
    <n v="0"/>
    <x v="3"/>
    <s v="Off-peak only"/>
    <s v="Bakersfield, CA"/>
    <n v="35.3733"/>
    <n v="-119.0187"/>
    <d v="2024-12-19T00:00:00"/>
    <n v="0"/>
    <b v="0"/>
    <d v="2025-07-12T00:00:00"/>
    <x v="3"/>
    <x v="3"/>
  </r>
  <r>
    <b v="1"/>
    <d v="1899-12-30T14:06:00"/>
    <d v="1899-12-30T16:15:00"/>
    <n v="129"/>
    <x v="1"/>
    <b v="0"/>
    <b v="0"/>
    <x v="2"/>
    <x v="3"/>
    <x v="2"/>
    <x v="9"/>
    <x v="3"/>
    <n v="0.15"/>
    <x v="19"/>
    <s v="All hours + Priority access"/>
    <s v="Anaheim, CA"/>
    <n v="33.836599999999997"/>
    <n v="-117.9143"/>
    <d v="2025-03-10T00:00:00"/>
    <n v="0"/>
    <b v="1"/>
    <d v="2025-07-17T00:00:00"/>
    <x v="2"/>
    <x v="2"/>
  </r>
  <r>
    <b v="1"/>
    <d v="1899-12-30T13:40:00"/>
    <d v="1899-12-30T16:26:00"/>
    <n v="166"/>
    <x v="1"/>
    <b v="1"/>
    <b v="1"/>
    <x v="3"/>
    <x v="0"/>
    <x v="2"/>
    <x v="10"/>
    <x v="2"/>
    <n v="0.1"/>
    <x v="34"/>
    <s v="All hours"/>
    <s v="Los Angeles, CA"/>
    <n v="34.052199999999999"/>
    <n v="-118.2437"/>
    <d v="2023-07-20T00:00:00"/>
    <n v="3"/>
    <b v="0"/>
    <d v="2025-06-13T00:00:00"/>
    <x v="0"/>
    <x v="0"/>
  </r>
  <r>
    <b v="1"/>
    <d v="1899-12-30T18:41:00"/>
    <d v="1899-12-30T21:00:00"/>
    <n v="139"/>
    <x v="1"/>
    <b v="1"/>
    <b v="1"/>
    <x v="4"/>
    <x v="0"/>
    <x v="2"/>
    <x v="10"/>
    <x v="1"/>
    <n v="0"/>
    <x v="16"/>
    <s v="All hours"/>
    <s v="Anaheim, CA"/>
    <n v="33.836599999999997"/>
    <n v="-117.9143"/>
    <d v="2023-03-31T00:00:00"/>
    <n v="5"/>
    <b v="1"/>
    <d v="2025-06-07T00:00:00"/>
    <x v="3"/>
    <x v="3"/>
  </r>
  <r>
    <b v="0"/>
    <d v="1899-12-30T08:29:00"/>
    <d v="1899-12-30T09:53:00"/>
    <n v="84"/>
    <x v="1"/>
    <b v="0"/>
    <b v="0"/>
    <x v="0"/>
    <x v="2"/>
    <x v="1"/>
    <x v="5"/>
    <x v="0"/>
    <n v="0.05"/>
    <x v="9"/>
    <s v="Off-peak only"/>
    <s v="Oakland, CA"/>
    <n v="37.804400000000001"/>
    <n v="-122.27119999999999"/>
    <d v="2024-09-13T00:00:00"/>
    <n v="0"/>
    <b v="0"/>
    <d v="2025-07-07T00:00:00"/>
    <x v="3"/>
    <x v="3"/>
  </r>
  <r>
    <b v="0"/>
    <d v="1899-12-30T13:37:00"/>
    <d v="1899-12-30T14:50:00"/>
    <n v="73"/>
    <x v="1"/>
    <b v="1"/>
    <b v="1"/>
    <x v="4"/>
    <x v="1"/>
    <x v="1"/>
    <x v="4"/>
    <x v="0"/>
    <n v="0.05"/>
    <x v="11"/>
    <s v="Weekdays only"/>
    <s v="San Diego, CA"/>
    <n v="32.715699999999998"/>
    <n v="-117.1611"/>
    <d v="2025-05-31T00:00:00"/>
    <n v="2"/>
    <b v="1"/>
    <d v="2025-07-21T00:00:00"/>
    <x v="2"/>
    <x v="4"/>
  </r>
  <r>
    <b v="0"/>
    <d v="1899-12-30T16:51:00"/>
    <d v="1899-12-30T18:36:00"/>
    <n v="105"/>
    <x v="0"/>
    <b v="0"/>
    <b v="1"/>
    <x v="4"/>
    <x v="1"/>
    <x v="1"/>
    <x v="4"/>
    <x v="1"/>
    <n v="0"/>
    <x v="8"/>
    <s v="Weekdays only"/>
    <s v="Anaheim, CA"/>
    <n v="33.836599999999997"/>
    <n v="-117.9143"/>
    <d v="2025-03-27T00:00:00"/>
    <n v="0"/>
    <b v="1"/>
    <d v="2025-07-18T00:00:00"/>
    <x v="1"/>
    <x v="1"/>
  </r>
  <r>
    <b v="1"/>
    <d v="1899-12-30T09:15:00"/>
    <d v="1899-12-30T10:04:00"/>
    <n v="49"/>
    <x v="1"/>
    <b v="0"/>
    <b v="0"/>
    <x v="0"/>
    <x v="0"/>
    <x v="2"/>
    <x v="10"/>
    <x v="2"/>
    <n v="0.1"/>
    <x v="34"/>
    <s v="All hours"/>
    <s v="Sacramento, CA"/>
    <n v="38.581600000000002"/>
    <n v="-121.4944"/>
    <d v="2022-08-27T00:00:00"/>
    <n v="0"/>
    <b v="1"/>
    <d v="2025-05-25T00:00:00"/>
    <x v="2"/>
    <x v="2"/>
  </r>
  <r>
    <b v="0"/>
    <d v="1899-12-30T15:04:00"/>
    <d v="1899-12-30T17:05:00"/>
    <n v="121"/>
    <x v="0"/>
    <b v="1"/>
    <b v="0"/>
    <x v="2"/>
    <x v="0"/>
    <x v="1"/>
    <x v="6"/>
    <x v="3"/>
    <n v="0.15"/>
    <x v="28"/>
    <s v="All hours"/>
    <s v="Oakland, CA"/>
    <n v="37.804400000000001"/>
    <n v="-122.27119999999999"/>
    <d v="2024-08-12T00:00:00"/>
    <n v="3"/>
    <b v="1"/>
    <d v="2025-07-05T00:00:00"/>
    <x v="0"/>
    <x v="0"/>
  </r>
  <r>
    <b v="0"/>
    <d v="1899-12-30T11:53:00"/>
    <d v="1899-12-30T12:48:00"/>
    <n v="55"/>
    <x v="0"/>
    <b v="0"/>
    <b v="0"/>
    <x v="0"/>
    <x v="1"/>
    <x v="1"/>
    <x v="4"/>
    <x v="2"/>
    <n v="0.1"/>
    <x v="26"/>
    <s v="Weekdays only"/>
    <s v="San Diego, CA"/>
    <n v="32.715699999999998"/>
    <n v="-117.1611"/>
    <d v="2023-03-26T00:00:00"/>
    <n v="0"/>
    <b v="0"/>
    <d v="2025-06-06T00:00:00"/>
    <x v="0"/>
    <x v="0"/>
  </r>
  <r>
    <b v="1"/>
    <d v="1899-12-30T11:18:00"/>
    <d v="1899-12-30T14:06:00"/>
    <n v="168"/>
    <x v="1"/>
    <b v="1"/>
    <b v="1"/>
    <x v="0"/>
    <x v="2"/>
    <x v="1"/>
    <x v="5"/>
    <x v="2"/>
    <n v="0.1"/>
    <x v="20"/>
    <s v="Off-peak only"/>
    <s v="San Francisco, CA"/>
    <n v="37.774900000000002"/>
    <n v="-122.4194"/>
    <d v="2023-08-27T00:00:00"/>
    <n v="6"/>
    <b v="1"/>
    <d v="2025-06-15T00:00:00"/>
    <x v="0"/>
    <x v="0"/>
  </r>
  <r>
    <b v="0"/>
    <d v="1899-12-30T17:01:00"/>
    <d v="1899-12-30T19:09:00"/>
    <n v="128"/>
    <x v="0"/>
    <b v="1"/>
    <b v="0"/>
    <x v="2"/>
    <x v="1"/>
    <x v="0"/>
    <x v="1"/>
    <x v="1"/>
    <n v="0"/>
    <x v="1"/>
    <s v="Weekdays only"/>
    <s v="Fresno, CA"/>
    <n v="36.7378"/>
    <n v="-119.7871"/>
    <d v="2024-05-12T00:00:00"/>
    <n v="5"/>
    <b v="0"/>
    <d v="2025-06-30T00:00:00"/>
    <x v="1"/>
    <x v="1"/>
  </r>
  <r>
    <b v="0"/>
    <d v="1899-12-30T17:13:00"/>
    <d v="1899-12-30T18:24:00"/>
    <n v="71"/>
    <x v="0"/>
    <b v="0"/>
    <b v="1"/>
    <x v="2"/>
    <x v="1"/>
    <x v="1"/>
    <x v="4"/>
    <x v="0"/>
    <n v="0.05"/>
    <x v="11"/>
    <s v="Weekdays only"/>
    <s v="San Diego, CA"/>
    <n v="32.715699999999998"/>
    <n v="-117.1611"/>
    <d v="2024-11-15T00:00:00"/>
    <n v="0"/>
    <b v="0"/>
    <d v="2025-07-10T00:00:00"/>
    <x v="3"/>
    <x v="3"/>
  </r>
  <r>
    <b v="1"/>
    <d v="1899-12-30T17:45:00"/>
    <d v="1899-12-30T19:20:00"/>
    <n v="95"/>
    <x v="1"/>
    <b v="0"/>
    <b v="1"/>
    <x v="2"/>
    <x v="0"/>
    <x v="1"/>
    <x v="6"/>
    <x v="1"/>
    <n v="0"/>
    <x v="12"/>
    <s v="All hours"/>
    <s v="Fresno, CA"/>
    <n v="36.7378"/>
    <n v="-119.7871"/>
    <d v="2025-02-13T00:00:00"/>
    <n v="0"/>
    <b v="1"/>
    <d v="2025-07-15T00:00:00"/>
    <x v="3"/>
    <x v="3"/>
  </r>
  <r>
    <b v="0"/>
    <d v="1899-12-30T09:22:00"/>
    <d v="1899-12-30T10:52:00"/>
    <n v="90"/>
    <x v="1"/>
    <b v="1"/>
    <b v="0"/>
    <x v="0"/>
    <x v="0"/>
    <x v="0"/>
    <x v="0"/>
    <x v="1"/>
    <n v="0"/>
    <x v="5"/>
    <s v="All hours"/>
    <s v="Bakersfield, CA"/>
    <n v="35.3733"/>
    <n v="-119.0187"/>
    <d v="2023-09-07T00:00:00"/>
    <n v="7"/>
    <b v="1"/>
    <d v="2025-06-16T00:00:00"/>
    <x v="3"/>
    <x v="3"/>
  </r>
  <r>
    <b v="0"/>
    <d v="1899-12-30T11:16:00"/>
    <d v="1899-12-30T12:38:00"/>
    <n v="82"/>
    <x v="0"/>
    <b v="0"/>
    <b v="1"/>
    <x v="4"/>
    <x v="1"/>
    <x v="0"/>
    <x v="1"/>
    <x v="2"/>
    <n v="0.1"/>
    <x v="2"/>
    <s v="Weekdays only"/>
    <s v="San Diego, CA"/>
    <n v="32.715699999999998"/>
    <n v="-117.1611"/>
    <d v="2023-03-21T00:00:00"/>
    <n v="0"/>
    <b v="0"/>
    <d v="2025-06-06T00:00:00"/>
    <x v="2"/>
    <x v="2"/>
  </r>
  <r>
    <b v="1"/>
    <d v="1899-12-30T15:17:00"/>
    <d v="1899-12-30T16:04:00"/>
    <n v="47"/>
    <x v="0"/>
    <b v="1"/>
    <b v="1"/>
    <x v="1"/>
    <x v="2"/>
    <x v="1"/>
    <x v="5"/>
    <x v="1"/>
    <n v="0"/>
    <x v="14"/>
    <s v="Off-peak only"/>
    <s v="Sacramento, CA"/>
    <n v="38.581600000000002"/>
    <n v="-121.4944"/>
    <d v="2023-08-07T00:00:00"/>
    <n v="4"/>
    <b v="1"/>
    <d v="2025-06-14T00:00:00"/>
    <x v="3"/>
    <x v="3"/>
  </r>
  <r>
    <b v="1"/>
    <d v="1899-12-30T12:00:00"/>
    <d v="1899-12-30T14:08:00"/>
    <n v="128"/>
    <x v="1"/>
    <b v="0"/>
    <b v="1"/>
    <x v="3"/>
    <x v="2"/>
    <x v="0"/>
    <x v="2"/>
    <x v="2"/>
    <n v="0.1"/>
    <x v="6"/>
    <s v="Off-peak only"/>
    <s v="San Francisco, CA"/>
    <n v="37.774900000000002"/>
    <n v="-122.4194"/>
    <d v="2023-12-06T00:00:00"/>
    <n v="0"/>
    <b v="0"/>
    <d v="2025-06-21T00:00:00"/>
    <x v="3"/>
    <x v="3"/>
  </r>
  <r>
    <b v="1"/>
    <d v="1899-12-30T09:14:00"/>
    <d v="1899-12-30T11:52:00"/>
    <n v="158"/>
    <x v="0"/>
    <b v="1"/>
    <b v="0"/>
    <x v="0"/>
    <x v="1"/>
    <x v="1"/>
    <x v="4"/>
    <x v="1"/>
    <n v="0"/>
    <x v="8"/>
    <s v="Weekdays only"/>
    <s v="Anaheim, CA"/>
    <n v="33.836599999999997"/>
    <n v="-117.9143"/>
    <d v="2025-05-09T00:00:00"/>
    <n v="6"/>
    <b v="0"/>
    <d v="2025-07-20T00:00:00"/>
    <x v="1"/>
    <x v="1"/>
  </r>
  <r>
    <b v="1"/>
    <d v="1899-12-30T19:07:00"/>
    <d v="1899-12-30T22:02:00"/>
    <n v="175"/>
    <x v="1"/>
    <b v="0"/>
    <b v="1"/>
    <x v="0"/>
    <x v="1"/>
    <x v="2"/>
    <x v="8"/>
    <x v="1"/>
    <n v="0"/>
    <x v="2"/>
    <s v="Weekdays only"/>
    <s v="Anaheim, CA"/>
    <n v="33.836599999999997"/>
    <n v="-117.9143"/>
    <d v="2022-08-26T00:00:00"/>
    <n v="0"/>
    <b v="0"/>
    <d v="2025-05-25T00:00:00"/>
    <x v="2"/>
    <x v="4"/>
  </r>
  <r>
    <b v="0"/>
    <d v="1899-12-30T11:58:00"/>
    <d v="1899-12-30T14:31:00"/>
    <n v="153"/>
    <x v="1"/>
    <b v="1"/>
    <b v="0"/>
    <x v="4"/>
    <x v="0"/>
    <x v="0"/>
    <x v="0"/>
    <x v="1"/>
    <n v="0"/>
    <x v="5"/>
    <s v="All hours"/>
    <s v="Long Beach, CA"/>
    <n v="33.770099999999999"/>
    <n v="-118.19370000000001"/>
    <d v="2023-02-23T00:00:00"/>
    <n v="5"/>
    <b v="1"/>
    <d v="2025-06-05T00:00:00"/>
    <x v="0"/>
    <x v="0"/>
  </r>
  <r>
    <b v="1"/>
    <d v="1899-12-30T17:05:00"/>
    <d v="1899-12-30T19:39:00"/>
    <n v="154"/>
    <x v="0"/>
    <b v="1"/>
    <b v="0"/>
    <x v="0"/>
    <x v="1"/>
    <x v="0"/>
    <x v="1"/>
    <x v="1"/>
    <n v="0"/>
    <x v="1"/>
    <s v="Weekdays only"/>
    <s v="Fresno, CA"/>
    <n v="36.7378"/>
    <n v="-119.7871"/>
    <d v="2024-08-15T00:00:00"/>
    <n v="6"/>
    <b v="0"/>
    <d v="2025-07-05T00:00:00"/>
    <x v="0"/>
    <x v="0"/>
  </r>
  <r>
    <b v="0"/>
    <d v="1899-12-30T09:55:00"/>
    <d v="1899-12-30T11:07:00"/>
    <n v="72"/>
    <x v="1"/>
    <b v="1"/>
    <b v="1"/>
    <x v="2"/>
    <x v="0"/>
    <x v="0"/>
    <x v="0"/>
    <x v="1"/>
    <n v="0"/>
    <x v="5"/>
    <s v="All hours"/>
    <s v="San Jose, CA"/>
    <n v="37.338200000000001"/>
    <n v="-121.88630000000001"/>
    <d v="2022-08-14T00:00:00"/>
    <n v="3"/>
    <b v="1"/>
    <d v="2025-05-25T00:00:00"/>
    <x v="2"/>
    <x v="4"/>
  </r>
  <r>
    <b v="1"/>
    <d v="1899-12-30T20:40:00"/>
    <d v="1899-12-30T21:24:00"/>
    <n v="44"/>
    <x v="0"/>
    <b v="1"/>
    <b v="0"/>
    <x v="4"/>
    <x v="1"/>
    <x v="0"/>
    <x v="1"/>
    <x v="1"/>
    <n v="0"/>
    <x v="1"/>
    <s v="Weekdays only"/>
    <s v="San Diego, CA"/>
    <n v="32.715699999999998"/>
    <n v="-117.1611"/>
    <d v="2023-09-20T00:00:00"/>
    <n v="7"/>
    <b v="0"/>
    <d v="2025-06-16T00:00:00"/>
    <x v="0"/>
    <x v="0"/>
  </r>
  <r>
    <b v="0"/>
    <d v="1899-12-30T17:59:00"/>
    <d v="1899-12-30T20:54:00"/>
    <n v="175"/>
    <x v="1"/>
    <b v="0"/>
    <b v="1"/>
    <x v="4"/>
    <x v="0"/>
    <x v="0"/>
    <x v="0"/>
    <x v="1"/>
    <n v="0"/>
    <x v="5"/>
    <s v="All hours"/>
    <s v="Sacramento, CA"/>
    <n v="38.581600000000002"/>
    <n v="-121.4944"/>
    <d v="2023-10-11T00:00:00"/>
    <n v="0"/>
    <b v="1"/>
    <d v="2025-06-18T00:00:00"/>
    <x v="1"/>
    <x v="1"/>
  </r>
  <r>
    <b v="1"/>
    <d v="1899-12-30T09:55:00"/>
    <d v="1899-12-30T10:43:00"/>
    <n v="48"/>
    <x v="0"/>
    <b v="0"/>
    <b v="1"/>
    <x v="1"/>
    <x v="0"/>
    <x v="0"/>
    <x v="0"/>
    <x v="1"/>
    <n v="0"/>
    <x v="5"/>
    <s v="All hours"/>
    <s v="Fresno, CA"/>
    <n v="36.7378"/>
    <n v="-119.7871"/>
    <d v="2023-04-18T00:00:00"/>
    <n v="0"/>
    <b v="1"/>
    <d v="2025-06-08T00:00:00"/>
    <x v="0"/>
    <x v="0"/>
  </r>
  <r>
    <b v="1"/>
    <d v="1899-12-30T16:45:00"/>
    <d v="1899-12-30T18:58:00"/>
    <n v="133"/>
    <x v="0"/>
    <b v="0"/>
    <b v="0"/>
    <x v="0"/>
    <x v="1"/>
    <x v="1"/>
    <x v="4"/>
    <x v="1"/>
    <n v="0"/>
    <x v="8"/>
    <s v="Weekdays only"/>
    <s v="Oakland, CA"/>
    <n v="37.804400000000001"/>
    <n v="-122.27119999999999"/>
    <d v="2023-02-09T00:00:00"/>
    <n v="0"/>
    <b v="0"/>
    <d v="2025-06-04T00:00:00"/>
    <x v="1"/>
    <x v="1"/>
  </r>
  <r>
    <b v="1"/>
    <d v="1899-12-30T20:57:00"/>
    <d v="1899-12-30T23:35:00"/>
    <n v="158"/>
    <x v="0"/>
    <b v="0"/>
    <b v="1"/>
    <x v="1"/>
    <x v="3"/>
    <x v="0"/>
    <x v="3"/>
    <x v="1"/>
    <n v="0"/>
    <x v="4"/>
    <s v="All hours + Priority access"/>
    <s v="Anaheim, CA"/>
    <n v="33.836599999999997"/>
    <n v="-117.9143"/>
    <d v="2023-07-24T00:00:00"/>
    <n v="0"/>
    <b v="1"/>
    <d v="2025-06-13T00:00:00"/>
    <x v="3"/>
    <x v="3"/>
  </r>
  <r>
    <b v="0"/>
    <d v="1899-12-30T08:34:00"/>
    <d v="1899-12-30T09:27:00"/>
    <n v="53"/>
    <x v="0"/>
    <b v="1"/>
    <b v="0"/>
    <x v="0"/>
    <x v="0"/>
    <x v="2"/>
    <x v="10"/>
    <x v="3"/>
    <n v="0.15"/>
    <x v="25"/>
    <s v="All hours"/>
    <s v="Los Angeles, CA"/>
    <n v="34.052199999999999"/>
    <n v="-118.2437"/>
    <d v="2025-02-06T00:00:00"/>
    <n v="4"/>
    <b v="0"/>
    <d v="2025-07-15T00:00:00"/>
    <x v="1"/>
    <x v="1"/>
  </r>
  <r>
    <b v="0"/>
    <d v="1899-12-30T09:57:00"/>
    <d v="1899-12-30T12:22:00"/>
    <n v="145"/>
    <x v="0"/>
    <b v="0"/>
    <b v="0"/>
    <x v="1"/>
    <x v="3"/>
    <x v="1"/>
    <x v="11"/>
    <x v="2"/>
    <n v="0.1"/>
    <x v="32"/>
    <s v="All hours + Priority access"/>
    <s v="Los Angeles, CA"/>
    <n v="34.052199999999999"/>
    <n v="-118.2437"/>
    <d v="2024-06-27T00:00:00"/>
    <n v="0"/>
    <b v="1"/>
    <d v="2025-07-02T00:00:00"/>
    <x v="3"/>
    <x v="3"/>
  </r>
  <r>
    <b v="1"/>
    <d v="1899-12-30T13:02:00"/>
    <d v="1899-12-30T14:08:00"/>
    <n v="66"/>
    <x v="0"/>
    <b v="0"/>
    <b v="1"/>
    <x v="1"/>
    <x v="0"/>
    <x v="1"/>
    <x v="6"/>
    <x v="2"/>
    <n v="0.1"/>
    <x v="30"/>
    <s v="All hours"/>
    <s v="Fresno, CA"/>
    <n v="36.7378"/>
    <n v="-119.7871"/>
    <d v="2022-10-08T00:00:00"/>
    <n v="0"/>
    <b v="1"/>
    <d v="2025-05-28T00:00:00"/>
    <x v="3"/>
    <x v="3"/>
  </r>
  <r>
    <b v="0"/>
    <d v="1899-12-30T14:29:00"/>
    <d v="1899-12-30T16:01:00"/>
    <n v="92"/>
    <x v="1"/>
    <b v="1"/>
    <b v="1"/>
    <x v="0"/>
    <x v="1"/>
    <x v="0"/>
    <x v="1"/>
    <x v="3"/>
    <n v="0.15"/>
    <x v="15"/>
    <s v="Weekdays only"/>
    <s v="Sacramento, CA"/>
    <n v="38.581600000000002"/>
    <n v="-121.4944"/>
    <d v="2024-10-26T00:00:00"/>
    <n v="5"/>
    <b v="1"/>
    <d v="2025-07-09T00:00:00"/>
    <x v="3"/>
    <x v="3"/>
  </r>
  <r>
    <b v="0"/>
    <d v="1899-12-30T17:21:00"/>
    <d v="1899-12-30T18:46:00"/>
    <n v="85"/>
    <x v="0"/>
    <b v="1"/>
    <b v="0"/>
    <x v="4"/>
    <x v="0"/>
    <x v="1"/>
    <x v="6"/>
    <x v="2"/>
    <n v="0.1"/>
    <x v="30"/>
    <s v="All hours"/>
    <s v="Anaheim, CA"/>
    <n v="33.836599999999997"/>
    <n v="-117.9143"/>
    <d v="2024-05-22T00:00:00"/>
    <n v="1"/>
    <b v="1"/>
    <d v="2025-06-30T00:00:00"/>
    <x v="2"/>
    <x v="2"/>
  </r>
  <r>
    <b v="1"/>
    <d v="1899-12-30T20:28:00"/>
    <d v="1899-12-30T21:52:00"/>
    <n v="84"/>
    <x v="1"/>
    <b v="1"/>
    <b v="0"/>
    <x v="2"/>
    <x v="0"/>
    <x v="1"/>
    <x v="6"/>
    <x v="3"/>
    <n v="0.15"/>
    <x v="28"/>
    <s v="All hours"/>
    <s v="Oakland, CA"/>
    <n v="37.804400000000001"/>
    <n v="-122.27119999999999"/>
    <d v="2024-03-19T00:00:00"/>
    <n v="8"/>
    <b v="1"/>
    <d v="2025-06-27T00:00:00"/>
    <x v="1"/>
    <x v="1"/>
  </r>
  <r>
    <b v="0"/>
    <d v="1899-12-30T12:37:00"/>
    <d v="1899-12-30T13:15:00"/>
    <n v="38"/>
    <x v="1"/>
    <b v="1"/>
    <b v="0"/>
    <x v="0"/>
    <x v="1"/>
    <x v="0"/>
    <x v="1"/>
    <x v="1"/>
    <n v="0"/>
    <x v="1"/>
    <s v="Weekdays only"/>
    <s v="San Jose, CA"/>
    <n v="37.338200000000001"/>
    <n v="-121.88630000000001"/>
    <d v="2024-03-12T00:00:00"/>
    <n v="4"/>
    <b v="1"/>
    <d v="2025-06-26T00:00:00"/>
    <x v="0"/>
    <x v="0"/>
  </r>
  <r>
    <b v="0"/>
    <d v="1899-12-30T19:31:00"/>
    <d v="1899-12-30T20:19:00"/>
    <n v="48"/>
    <x v="0"/>
    <b v="1"/>
    <b v="0"/>
    <x v="3"/>
    <x v="0"/>
    <x v="0"/>
    <x v="0"/>
    <x v="3"/>
    <n v="0.15"/>
    <x v="27"/>
    <s v="All hours"/>
    <s v="San Jose, CA"/>
    <n v="37.338200000000001"/>
    <n v="-121.88630000000001"/>
    <d v="2023-09-09T00:00:00"/>
    <n v="1"/>
    <b v="1"/>
    <d v="2025-06-16T00:00:00"/>
    <x v="0"/>
    <x v="0"/>
  </r>
  <r>
    <b v="1"/>
    <d v="1899-12-30T14:52:00"/>
    <d v="1899-12-30T17:32:00"/>
    <n v="160"/>
    <x v="0"/>
    <b v="0"/>
    <b v="0"/>
    <x v="0"/>
    <x v="2"/>
    <x v="0"/>
    <x v="2"/>
    <x v="0"/>
    <n v="0.05"/>
    <x v="18"/>
    <s v="Off-peak only"/>
    <s v="Sacramento, CA"/>
    <n v="38.581600000000002"/>
    <n v="-121.4944"/>
    <d v="2022-09-22T00:00:00"/>
    <n v="0"/>
    <b v="0"/>
    <d v="2025-05-27T00:00:00"/>
    <x v="1"/>
    <x v="1"/>
  </r>
  <r>
    <b v="1"/>
    <d v="1899-12-30T18:15:00"/>
    <d v="1899-12-30T18:54:00"/>
    <n v="39"/>
    <x v="0"/>
    <b v="1"/>
    <b v="1"/>
    <x v="2"/>
    <x v="3"/>
    <x v="0"/>
    <x v="3"/>
    <x v="1"/>
    <n v="0"/>
    <x v="4"/>
    <s v="All hours + Priority access"/>
    <s v="San Diego, CA"/>
    <n v="32.715699999999998"/>
    <n v="-117.1611"/>
    <d v="2024-10-09T00:00:00"/>
    <n v="6"/>
    <b v="1"/>
    <d v="2025-07-08T00:00:00"/>
    <x v="3"/>
    <x v="3"/>
  </r>
  <r>
    <b v="0"/>
    <d v="1899-12-30T11:18:00"/>
    <d v="1899-12-30T14:09:00"/>
    <n v="171"/>
    <x v="0"/>
    <b v="1"/>
    <b v="1"/>
    <x v="0"/>
    <x v="1"/>
    <x v="1"/>
    <x v="4"/>
    <x v="1"/>
    <n v="0"/>
    <x v="8"/>
    <s v="Weekdays only"/>
    <s v="Anaheim, CA"/>
    <n v="33.836599999999997"/>
    <n v="-117.9143"/>
    <d v="2025-02-13T00:00:00"/>
    <n v="2"/>
    <b v="0"/>
    <d v="2025-07-15T00:00:00"/>
    <x v="0"/>
    <x v="0"/>
  </r>
  <r>
    <b v="1"/>
    <d v="1899-12-30T15:49:00"/>
    <d v="1899-12-30T17:10:00"/>
    <n v="81"/>
    <x v="1"/>
    <b v="0"/>
    <b v="0"/>
    <x v="0"/>
    <x v="2"/>
    <x v="0"/>
    <x v="2"/>
    <x v="2"/>
    <n v="0.1"/>
    <x v="6"/>
    <s v="Off-peak only"/>
    <s v="San Jose, CA"/>
    <n v="37.338200000000001"/>
    <n v="-121.88630000000001"/>
    <d v="2024-11-24T00:00:00"/>
    <n v="0"/>
    <b v="1"/>
    <d v="2025-07-11T00:00:00"/>
    <x v="2"/>
    <x v="2"/>
  </r>
  <r>
    <b v="0"/>
    <d v="1899-12-30T19:04:00"/>
    <d v="1899-12-30T20:44:00"/>
    <n v="100"/>
    <x v="1"/>
    <b v="1"/>
    <b v="1"/>
    <x v="4"/>
    <x v="0"/>
    <x v="0"/>
    <x v="0"/>
    <x v="1"/>
    <n v="0"/>
    <x v="5"/>
    <s v="All hours"/>
    <s v="San Francisco, CA"/>
    <n v="37.774900000000002"/>
    <n v="-122.4194"/>
    <d v="2022-11-21T00:00:00"/>
    <n v="4"/>
    <b v="1"/>
    <d v="2025-05-30T00:00:00"/>
    <x v="0"/>
    <x v="0"/>
  </r>
  <r>
    <b v="0"/>
    <d v="1899-12-30T18:02:00"/>
    <d v="1899-12-30T19:49:00"/>
    <n v="107"/>
    <x v="0"/>
    <b v="0"/>
    <b v="1"/>
    <x v="4"/>
    <x v="1"/>
    <x v="0"/>
    <x v="1"/>
    <x v="3"/>
    <n v="0.15"/>
    <x v="15"/>
    <s v="Weekdays only"/>
    <s v="Anaheim, CA"/>
    <n v="33.836599999999997"/>
    <n v="-117.9143"/>
    <d v="2023-08-05T00:00:00"/>
    <n v="0"/>
    <b v="1"/>
    <d v="2025-06-14T00:00:00"/>
    <x v="2"/>
    <x v="2"/>
  </r>
  <r>
    <b v="0"/>
    <d v="1899-12-30T17:22:00"/>
    <d v="1899-12-30T17:57:00"/>
    <n v="35"/>
    <x v="1"/>
    <b v="0"/>
    <b v="1"/>
    <x v="1"/>
    <x v="0"/>
    <x v="1"/>
    <x v="6"/>
    <x v="2"/>
    <n v="0.1"/>
    <x v="30"/>
    <s v="All hours"/>
    <s v="Oakland, CA"/>
    <n v="37.804400000000001"/>
    <n v="-122.27119999999999"/>
    <d v="2024-08-22T00:00:00"/>
    <n v="0"/>
    <b v="1"/>
    <d v="2025-07-05T00:00:00"/>
    <x v="1"/>
    <x v="1"/>
  </r>
  <r>
    <b v="0"/>
    <d v="1899-12-30T10:47:00"/>
    <d v="1899-12-30T13:15:00"/>
    <n v="148"/>
    <x v="0"/>
    <b v="1"/>
    <b v="0"/>
    <x v="4"/>
    <x v="1"/>
    <x v="1"/>
    <x v="4"/>
    <x v="0"/>
    <n v="0.05"/>
    <x v="11"/>
    <s v="Weekdays only"/>
    <s v="San Diego, CA"/>
    <n v="32.715699999999998"/>
    <n v="-117.1611"/>
    <d v="2023-02-05T00:00:00"/>
    <n v="6"/>
    <b v="1"/>
    <d v="2025-06-04T00:00:00"/>
    <x v="0"/>
    <x v="0"/>
  </r>
  <r>
    <b v="0"/>
    <d v="1899-12-30T19:16:00"/>
    <d v="1899-12-30T22:13:00"/>
    <n v="177"/>
    <x v="1"/>
    <b v="1"/>
    <b v="0"/>
    <x v="0"/>
    <x v="0"/>
    <x v="0"/>
    <x v="0"/>
    <x v="1"/>
    <n v="0"/>
    <x v="5"/>
    <s v="All hours"/>
    <s v="San Francisco, CA"/>
    <n v="37.774900000000002"/>
    <n v="-122.4194"/>
    <d v="2022-12-18T00:00:00"/>
    <n v="1"/>
    <b v="1"/>
    <d v="2025-06-01T00:00:00"/>
    <x v="2"/>
    <x v="4"/>
  </r>
  <r>
    <b v="0"/>
    <d v="1899-12-30T15:05:00"/>
    <d v="1899-12-30T16:19:00"/>
    <n v="74"/>
    <x v="0"/>
    <b v="1"/>
    <b v="1"/>
    <x v="1"/>
    <x v="1"/>
    <x v="0"/>
    <x v="1"/>
    <x v="1"/>
    <n v="0"/>
    <x v="1"/>
    <s v="Weekdays only"/>
    <s v="San Diego, CA"/>
    <n v="32.715699999999998"/>
    <n v="-117.1611"/>
    <d v="2023-01-03T00:00:00"/>
    <n v="3"/>
    <b v="1"/>
    <d v="2025-06-02T00:00:00"/>
    <x v="3"/>
    <x v="3"/>
  </r>
  <r>
    <b v="0"/>
    <d v="1899-12-30T13:33:00"/>
    <d v="1899-12-30T14:08:00"/>
    <n v="35"/>
    <x v="1"/>
    <b v="0"/>
    <b v="0"/>
    <x v="4"/>
    <x v="1"/>
    <x v="0"/>
    <x v="1"/>
    <x v="2"/>
    <n v="0.1"/>
    <x v="2"/>
    <s v="Weekdays only"/>
    <s v="Oakland, CA"/>
    <n v="37.804400000000001"/>
    <n v="-122.27119999999999"/>
    <d v="2022-10-18T00:00:00"/>
    <n v="0"/>
    <b v="0"/>
    <d v="2025-05-28T00:00:00"/>
    <x v="0"/>
    <x v="0"/>
  </r>
  <r>
    <b v="0"/>
    <d v="1899-12-30T19:40:00"/>
    <d v="1899-12-30T22:29:00"/>
    <n v="169"/>
    <x v="0"/>
    <b v="1"/>
    <b v="0"/>
    <x v="0"/>
    <x v="0"/>
    <x v="0"/>
    <x v="0"/>
    <x v="3"/>
    <n v="0.15"/>
    <x v="27"/>
    <s v="All hours"/>
    <s v="Anaheim, CA"/>
    <n v="33.836599999999997"/>
    <n v="-117.9143"/>
    <d v="2024-09-27T00:00:00"/>
    <n v="3"/>
    <b v="1"/>
    <d v="2025-07-07T00:00:00"/>
    <x v="0"/>
    <x v="0"/>
  </r>
  <r>
    <b v="0"/>
    <d v="1899-12-30T15:28:00"/>
    <d v="1899-12-30T17:57:00"/>
    <n v="149"/>
    <x v="1"/>
    <b v="0"/>
    <b v="0"/>
    <x v="0"/>
    <x v="0"/>
    <x v="0"/>
    <x v="0"/>
    <x v="0"/>
    <n v="0.05"/>
    <x v="0"/>
    <s v="All hours"/>
    <s v="Long Beach, CA"/>
    <n v="33.770099999999999"/>
    <n v="-118.19370000000001"/>
    <d v="2023-04-10T00:00:00"/>
    <n v="0"/>
    <b v="1"/>
    <d v="2025-06-07T00:00:00"/>
    <x v="1"/>
    <x v="1"/>
  </r>
  <r>
    <b v="0"/>
    <d v="1899-12-30T17:57:00"/>
    <d v="1899-12-30T20:08:00"/>
    <n v="131"/>
    <x v="0"/>
    <b v="0"/>
    <b v="0"/>
    <x v="0"/>
    <x v="0"/>
    <x v="0"/>
    <x v="0"/>
    <x v="3"/>
    <n v="0.15"/>
    <x v="27"/>
    <s v="All hours"/>
    <s v="Fresno, CA"/>
    <n v="36.7378"/>
    <n v="-119.7871"/>
    <d v="2024-02-18T00:00:00"/>
    <n v="0"/>
    <b v="1"/>
    <d v="2025-06-25T00:00:00"/>
    <x v="3"/>
    <x v="3"/>
  </r>
  <r>
    <b v="1"/>
    <d v="1899-12-30T14:03:00"/>
    <d v="1899-12-30T16:10:00"/>
    <n v="127"/>
    <x v="1"/>
    <b v="0"/>
    <b v="1"/>
    <x v="4"/>
    <x v="0"/>
    <x v="0"/>
    <x v="0"/>
    <x v="0"/>
    <n v="0.05"/>
    <x v="0"/>
    <s v="All hours"/>
    <s v="San Francisco, CA"/>
    <n v="37.774900000000002"/>
    <n v="-122.4194"/>
    <d v="2023-01-08T00:00:00"/>
    <n v="0"/>
    <b v="1"/>
    <d v="2025-06-02T00:00:00"/>
    <x v="1"/>
    <x v="1"/>
  </r>
  <r>
    <b v="1"/>
    <d v="1899-12-30T08:33:00"/>
    <d v="1899-12-30T10:13:00"/>
    <n v="100"/>
    <x v="1"/>
    <b v="1"/>
    <b v="1"/>
    <x v="0"/>
    <x v="0"/>
    <x v="0"/>
    <x v="0"/>
    <x v="3"/>
    <n v="0.15"/>
    <x v="27"/>
    <s v="All hours"/>
    <s v="Sacramento, CA"/>
    <n v="38.581600000000002"/>
    <n v="-121.4944"/>
    <d v="2023-05-09T00:00:00"/>
    <n v="2"/>
    <b v="1"/>
    <d v="2025-06-09T00:00:00"/>
    <x v="0"/>
    <x v="0"/>
  </r>
  <r>
    <b v="1"/>
    <d v="1899-12-30T17:43:00"/>
    <d v="1899-12-30T18:23:00"/>
    <n v="40"/>
    <x v="0"/>
    <b v="0"/>
    <b v="0"/>
    <x v="0"/>
    <x v="0"/>
    <x v="0"/>
    <x v="0"/>
    <x v="3"/>
    <n v="0.15"/>
    <x v="27"/>
    <s v="All hours"/>
    <s v="Fresno, CA"/>
    <n v="36.7378"/>
    <n v="-119.7871"/>
    <d v="2023-03-19T00:00:00"/>
    <n v="0"/>
    <b v="0"/>
    <d v="2025-06-06T00:00:00"/>
    <x v="1"/>
    <x v="1"/>
  </r>
  <r>
    <b v="1"/>
    <d v="1899-12-30T17:04:00"/>
    <d v="1899-12-30T17:45:00"/>
    <n v="41"/>
    <x v="1"/>
    <b v="0"/>
    <b v="1"/>
    <x v="1"/>
    <x v="2"/>
    <x v="2"/>
    <x v="7"/>
    <x v="2"/>
    <n v="0.1"/>
    <x v="35"/>
    <s v="Off-peak only"/>
    <s v="Bakersfield, CA"/>
    <n v="35.3733"/>
    <n v="-119.0187"/>
    <d v="2023-07-25T00:00:00"/>
    <n v="0"/>
    <b v="1"/>
    <d v="2025-06-13T00:00:00"/>
    <x v="2"/>
    <x v="2"/>
  </r>
  <r>
    <b v="1"/>
    <d v="1899-12-30T19:27:00"/>
    <d v="1899-12-30T22:03:00"/>
    <n v="156"/>
    <x v="0"/>
    <b v="0"/>
    <b v="0"/>
    <x v="4"/>
    <x v="0"/>
    <x v="1"/>
    <x v="6"/>
    <x v="1"/>
    <n v="0"/>
    <x v="12"/>
    <s v="All hours"/>
    <s v="San Francisco, CA"/>
    <n v="37.774900000000002"/>
    <n v="-122.4194"/>
    <d v="2024-12-16T00:00:00"/>
    <n v="0"/>
    <b v="1"/>
    <d v="2025-07-12T00:00:00"/>
    <x v="1"/>
    <x v="1"/>
  </r>
  <r>
    <b v="1"/>
    <d v="1899-12-30T18:43:00"/>
    <d v="1899-12-30T21:06:00"/>
    <n v="143"/>
    <x v="1"/>
    <b v="0"/>
    <b v="1"/>
    <x v="4"/>
    <x v="3"/>
    <x v="0"/>
    <x v="3"/>
    <x v="2"/>
    <n v="0.1"/>
    <x v="22"/>
    <s v="All hours + Priority access"/>
    <s v="Long Beach, CA"/>
    <n v="33.770099999999999"/>
    <n v="-118.19370000000001"/>
    <d v="2023-11-20T00:00:00"/>
    <n v="0"/>
    <b v="1"/>
    <d v="2025-06-20T00:00:00"/>
    <x v="2"/>
    <x v="2"/>
  </r>
  <r>
    <b v="0"/>
    <d v="1899-12-30T11:15:00"/>
    <d v="1899-12-30T13:24:00"/>
    <n v="129"/>
    <x v="1"/>
    <b v="1"/>
    <b v="1"/>
    <x v="4"/>
    <x v="1"/>
    <x v="0"/>
    <x v="1"/>
    <x v="0"/>
    <n v="0.05"/>
    <x v="7"/>
    <s v="Weekdays only"/>
    <s v="San Francisco, CA"/>
    <n v="37.774900000000002"/>
    <n v="-122.4194"/>
    <d v="2022-08-09T00:00:00"/>
    <n v="8"/>
    <b v="1"/>
    <d v="2025-05-24T00:00:00"/>
    <x v="1"/>
    <x v="1"/>
  </r>
  <r>
    <b v="1"/>
    <d v="1899-12-30T12:50:00"/>
    <d v="1899-12-30T14:56:00"/>
    <n v="126"/>
    <x v="1"/>
    <b v="0"/>
    <b v="0"/>
    <x v="4"/>
    <x v="2"/>
    <x v="1"/>
    <x v="5"/>
    <x v="2"/>
    <n v="0.1"/>
    <x v="20"/>
    <s v="Off-peak only"/>
    <s v="Los Angeles, CA"/>
    <n v="34.052199999999999"/>
    <n v="-118.2437"/>
    <d v="2022-09-28T00:00:00"/>
    <n v="0"/>
    <b v="0"/>
    <d v="2025-05-27T00:00:00"/>
    <x v="2"/>
    <x v="2"/>
  </r>
  <r>
    <b v="0"/>
    <d v="1899-12-30T15:05:00"/>
    <d v="1899-12-30T16:19:00"/>
    <n v="74"/>
    <x v="0"/>
    <b v="1"/>
    <b v="1"/>
    <x v="1"/>
    <x v="1"/>
    <x v="0"/>
    <x v="1"/>
    <x v="1"/>
    <n v="0"/>
    <x v="1"/>
    <s v="Weekdays only"/>
    <s v="San Diego, CA"/>
    <n v="32.715699999999998"/>
    <n v="-117.1611"/>
    <d v="2025-05-08T00:00:00"/>
    <n v="4"/>
    <b v="0"/>
    <d v="2025-07-20T00:00:00"/>
    <x v="3"/>
    <x v="3"/>
  </r>
  <r>
    <b v="0"/>
    <d v="1899-12-30T09:57:00"/>
    <d v="1899-12-30T12:35:00"/>
    <n v="158"/>
    <x v="0"/>
    <b v="1"/>
    <b v="1"/>
    <x v="0"/>
    <x v="0"/>
    <x v="1"/>
    <x v="6"/>
    <x v="3"/>
    <n v="0.15"/>
    <x v="28"/>
    <s v="All hours"/>
    <s v="San Francisco, CA"/>
    <n v="37.774900000000002"/>
    <n v="-122.4194"/>
    <d v="2024-12-29T00:00:00"/>
    <n v="4"/>
    <b v="0"/>
    <d v="2025-07-13T00:00:00"/>
    <x v="0"/>
    <x v="0"/>
  </r>
  <r>
    <b v="0"/>
    <d v="1899-12-30T08:50:00"/>
    <d v="1899-12-30T10:13:00"/>
    <n v="83"/>
    <x v="0"/>
    <b v="0"/>
    <b v="0"/>
    <x v="0"/>
    <x v="0"/>
    <x v="0"/>
    <x v="0"/>
    <x v="0"/>
    <n v="0.05"/>
    <x v="0"/>
    <s v="All hours"/>
    <s v="Long Beach, CA"/>
    <n v="33.770099999999999"/>
    <n v="-118.19370000000001"/>
    <d v="2025-02-02T00:00:00"/>
    <n v="0"/>
    <b v="1"/>
    <d v="2025-07-15T00:00:00"/>
    <x v="3"/>
    <x v="3"/>
  </r>
  <r>
    <b v="1"/>
    <d v="1899-12-30T17:29:00"/>
    <d v="1899-12-30T18:47:00"/>
    <n v="78"/>
    <x v="1"/>
    <b v="0"/>
    <b v="1"/>
    <x v="0"/>
    <x v="1"/>
    <x v="1"/>
    <x v="4"/>
    <x v="0"/>
    <n v="0.05"/>
    <x v="11"/>
    <s v="Weekdays only"/>
    <s v="Long Beach, CA"/>
    <n v="33.770099999999999"/>
    <n v="-118.19370000000001"/>
    <d v="2023-05-11T00:00:00"/>
    <n v="0"/>
    <b v="0"/>
    <d v="2025-06-09T00:00:00"/>
    <x v="1"/>
    <x v="1"/>
  </r>
  <r>
    <b v="0"/>
    <d v="1899-12-30T10:31:00"/>
    <d v="1899-12-30T12:28:00"/>
    <n v="117"/>
    <x v="1"/>
    <b v="1"/>
    <b v="0"/>
    <x v="4"/>
    <x v="2"/>
    <x v="0"/>
    <x v="2"/>
    <x v="3"/>
    <n v="0.15"/>
    <x v="17"/>
    <s v="Off-peak only"/>
    <s v="Long Beach, CA"/>
    <n v="33.770099999999999"/>
    <n v="-118.19370000000001"/>
    <d v="2023-02-03T00:00:00"/>
    <n v="4"/>
    <b v="1"/>
    <d v="2025-06-03T00:00:00"/>
    <x v="0"/>
    <x v="0"/>
  </r>
  <r>
    <b v="1"/>
    <d v="1899-12-30T17:52:00"/>
    <d v="1899-12-30T20:41:00"/>
    <n v="169"/>
    <x v="0"/>
    <b v="0"/>
    <b v="1"/>
    <x v="0"/>
    <x v="2"/>
    <x v="2"/>
    <x v="7"/>
    <x v="3"/>
    <n v="0.15"/>
    <x v="37"/>
    <s v="Off-peak only"/>
    <s v="Fresno, CA"/>
    <n v="36.7378"/>
    <n v="-119.7871"/>
    <d v="2024-11-07T00:00:00"/>
    <n v="0"/>
    <b v="1"/>
    <d v="2025-07-10T00:00:00"/>
    <x v="3"/>
    <x v="3"/>
  </r>
  <r>
    <b v="1"/>
    <d v="1899-12-30T10:17:00"/>
    <d v="1899-12-30T13:05:00"/>
    <n v="168"/>
    <x v="1"/>
    <b v="0"/>
    <b v="0"/>
    <x v="4"/>
    <x v="1"/>
    <x v="2"/>
    <x v="8"/>
    <x v="1"/>
    <n v="0"/>
    <x v="2"/>
    <s v="Weekdays only"/>
    <s v="Sacramento, CA"/>
    <n v="38.581600000000002"/>
    <n v="-121.4944"/>
    <d v="2024-01-01T00:00:00"/>
    <n v="0"/>
    <b v="1"/>
    <d v="2025-06-22T00:00:00"/>
    <x v="1"/>
    <x v="1"/>
  </r>
  <r>
    <b v="1"/>
    <d v="1899-12-30T10:03:00"/>
    <d v="1899-12-30T12:22:00"/>
    <n v="139"/>
    <x v="1"/>
    <b v="1"/>
    <b v="0"/>
    <x v="0"/>
    <x v="0"/>
    <x v="1"/>
    <x v="6"/>
    <x v="3"/>
    <n v="0.15"/>
    <x v="28"/>
    <s v="All hours"/>
    <s v="San Francisco, CA"/>
    <n v="37.774900000000002"/>
    <n v="-122.4194"/>
    <d v="2023-01-09T00:00:00"/>
    <n v="8"/>
    <b v="1"/>
    <d v="2025-06-02T00:00:00"/>
    <x v="3"/>
    <x v="3"/>
  </r>
  <r>
    <b v="1"/>
    <d v="1899-12-30T13:30:00"/>
    <d v="1899-12-30T14:20:00"/>
    <n v="50"/>
    <x v="1"/>
    <b v="0"/>
    <b v="1"/>
    <x v="4"/>
    <x v="0"/>
    <x v="1"/>
    <x v="6"/>
    <x v="1"/>
    <n v="0"/>
    <x v="12"/>
    <s v="All hours"/>
    <s v="San Diego, CA"/>
    <n v="32.715699999999998"/>
    <n v="-117.1611"/>
    <d v="2023-05-04T00:00:00"/>
    <n v="0"/>
    <b v="1"/>
    <d v="2025-06-09T00:00:00"/>
    <x v="2"/>
    <x v="2"/>
  </r>
  <r>
    <b v="1"/>
    <d v="1899-12-30T09:14:00"/>
    <d v="1899-12-30T11:28:00"/>
    <n v="134"/>
    <x v="1"/>
    <b v="0"/>
    <b v="1"/>
    <x v="2"/>
    <x v="3"/>
    <x v="0"/>
    <x v="3"/>
    <x v="1"/>
    <n v="0"/>
    <x v="4"/>
    <s v="All hours + Priority access"/>
    <s v="Oakland, CA"/>
    <n v="37.804400000000001"/>
    <n v="-122.27119999999999"/>
    <d v="2023-11-23T00:00:00"/>
    <n v="0"/>
    <b v="1"/>
    <d v="2025-06-20T00:00:00"/>
    <x v="2"/>
    <x v="4"/>
  </r>
  <r>
    <b v="0"/>
    <d v="1899-12-30T17:59:00"/>
    <d v="1899-12-30T20:47:00"/>
    <n v="168"/>
    <x v="0"/>
    <b v="1"/>
    <b v="1"/>
    <x v="3"/>
    <x v="1"/>
    <x v="0"/>
    <x v="1"/>
    <x v="1"/>
    <n v="0"/>
    <x v="1"/>
    <s v="Weekdays only"/>
    <s v="San Francisco, CA"/>
    <n v="37.774900000000002"/>
    <n v="-122.4194"/>
    <d v="2023-10-03T00:00:00"/>
    <n v="6"/>
    <b v="1"/>
    <d v="2025-06-17T00:00:00"/>
    <x v="1"/>
    <x v="1"/>
  </r>
  <r>
    <b v="1"/>
    <d v="1899-12-30T18:41:00"/>
    <d v="1899-12-30T21:36:00"/>
    <n v="175"/>
    <x v="0"/>
    <b v="1"/>
    <b v="0"/>
    <x v="4"/>
    <x v="0"/>
    <x v="1"/>
    <x v="6"/>
    <x v="3"/>
    <n v="0.15"/>
    <x v="28"/>
    <s v="All hours"/>
    <s v="Anaheim, CA"/>
    <n v="33.836599999999997"/>
    <n v="-117.9143"/>
    <d v="2023-12-29T00:00:00"/>
    <n v="7"/>
    <b v="0"/>
    <d v="2025-06-22T00:00:00"/>
    <x v="0"/>
    <x v="0"/>
  </r>
  <r>
    <b v="0"/>
    <d v="1899-12-30T12:42:00"/>
    <d v="1899-12-30T13:21:00"/>
    <n v="39"/>
    <x v="1"/>
    <b v="1"/>
    <b v="1"/>
    <x v="0"/>
    <x v="2"/>
    <x v="1"/>
    <x v="5"/>
    <x v="1"/>
    <n v="0"/>
    <x v="14"/>
    <s v="Off-peak only"/>
    <s v="Los Angeles, CA"/>
    <n v="34.052199999999999"/>
    <n v="-118.2437"/>
    <d v="2024-08-10T00:00:00"/>
    <n v="7"/>
    <b v="0"/>
    <d v="2025-07-05T00:00:00"/>
    <x v="1"/>
    <x v="1"/>
  </r>
  <r>
    <b v="1"/>
    <d v="1899-12-30T12:50:00"/>
    <d v="1899-12-30T14:58:00"/>
    <n v="128"/>
    <x v="0"/>
    <b v="1"/>
    <b v="1"/>
    <x v="0"/>
    <x v="0"/>
    <x v="1"/>
    <x v="6"/>
    <x v="0"/>
    <n v="0.05"/>
    <x v="10"/>
    <s v="All hours"/>
    <s v="Anaheim, CA"/>
    <n v="33.836599999999997"/>
    <n v="-117.9143"/>
    <d v="2023-10-30T00:00:00"/>
    <n v="2"/>
    <b v="1"/>
    <d v="2025-06-19T00:00:00"/>
    <x v="1"/>
    <x v="1"/>
  </r>
  <r>
    <b v="0"/>
    <d v="1899-12-30T13:19:00"/>
    <d v="1899-12-30T14:50:00"/>
    <n v="91"/>
    <x v="1"/>
    <b v="1"/>
    <b v="1"/>
    <x v="4"/>
    <x v="3"/>
    <x v="1"/>
    <x v="11"/>
    <x v="2"/>
    <n v="0.1"/>
    <x v="32"/>
    <s v="All hours + Priority access"/>
    <s v="Los Angeles, CA"/>
    <n v="34.052199999999999"/>
    <n v="-118.2437"/>
    <d v="2023-06-20T00:00:00"/>
    <n v="4"/>
    <b v="1"/>
    <d v="2025-06-11T00:00:00"/>
    <x v="0"/>
    <x v="0"/>
  </r>
  <r>
    <b v="1"/>
    <d v="1899-12-30T18:26:00"/>
    <d v="1899-12-30T21:21:00"/>
    <n v="175"/>
    <x v="1"/>
    <b v="1"/>
    <b v="0"/>
    <x v="0"/>
    <x v="2"/>
    <x v="1"/>
    <x v="5"/>
    <x v="3"/>
    <n v="0.15"/>
    <x v="13"/>
    <s v="Off-peak only"/>
    <s v="San Francisco, CA"/>
    <n v="37.774900000000002"/>
    <n v="-122.4194"/>
    <d v="2022-12-05T00:00:00"/>
    <n v="6"/>
    <b v="1"/>
    <d v="2025-05-31T00:00:00"/>
    <x v="0"/>
    <x v="0"/>
  </r>
  <r>
    <b v="0"/>
    <d v="1899-12-30T20:52:00"/>
    <d v="1899-12-30T22:02:00"/>
    <n v="70"/>
    <x v="1"/>
    <b v="1"/>
    <b v="1"/>
    <x v="4"/>
    <x v="0"/>
    <x v="0"/>
    <x v="0"/>
    <x v="3"/>
    <n v="0.15"/>
    <x v="27"/>
    <s v="All hours"/>
    <s v="Fresno, CA"/>
    <n v="36.7378"/>
    <n v="-119.7871"/>
    <d v="2023-08-15T00:00:00"/>
    <n v="3"/>
    <b v="1"/>
    <d v="2025-06-14T00:00:00"/>
    <x v="2"/>
    <x v="4"/>
  </r>
  <r>
    <b v="1"/>
    <d v="1899-12-30T11:46:00"/>
    <d v="1899-12-30T13:47:00"/>
    <n v="121"/>
    <x v="0"/>
    <b v="1"/>
    <b v="1"/>
    <x v="4"/>
    <x v="3"/>
    <x v="0"/>
    <x v="3"/>
    <x v="1"/>
    <n v="0"/>
    <x v="4"/>
    <s v="All hours + Priority access"/>
    <s v="San Diego, CA"/>
    <n v="32.715699999999998"/>
    <n v="-117.1611"/>
    <d v="2023-04-04T00:00:00"/>
    <n v="1"/>
    <b v="1"/>
    <d v="2025-06-07T00:00:00"/>
    <x v="3"/>
    <x v="3"/>
  </r>
  <r>
    <b v="1"/>
    <d v="1899-12-30T20:23:00"/>
    <d v="1899-12-30T21:08:00"/>
    <n v="45"/>
    <x v="1"/>
    <b v="0"/>
    <b v="1"/>
    <x v="0"/>
    <x v="0"/>
    <x v="0"/>
    <x v="0"/>
    <x v="3"/>
    <n v="0.15"/>
    <x v="27"/>
    <s v="All hours"/>
    <s v="San Jose, CA"/>
    <n v="37.338200000000001"/>
    <n v="-121.88630000000001"/>
    <d v="2025-01-03T00:00:00"/>
    <n v="0"/>
    <b v="1"/>
    <d v="2025-07-13T00:00:00"/>
    <x v="0"/>
    <x v="0"/>
  </r>
  <r>
    <b v="1"/>
    <d v="1899-12-30T17:29:00"/>
    <d v="1899-12-30T18:47:00"/>
    <n v="78"/>
    <x v="1"/>
    <b v="0"/>
    <b v="1"/>
    <x v="0"/>
    <x v="1"/>
    <x v="1"/>
    <x v="4"/>
    <x v="0"/>
    <n v="0.05"/>
    <x v="11"/>
    <s v="Weekdays only"/>
    <s v="Long Beach, CA"/>
    <n v="33.770099999999999"/>
    <n v="-118.19370000000001"/>
    <d v="2024-02-17T00:00:00"/>
    <n v="0"/>
    <b v="1"/>
    <d v="2025-06-25T00:00:00"/>
    <x v="1"/>
    <x v="1"/>
  </r>
  <r>
    <b v="1"/>
    <d v="1899-12-30T08:39:00"/>
    <d v="1899-12-30T09:38:00"/>
    <n v="59"/>
    <x v="1"/>
    <b v="1"/>
    <b v="1"/>
    <x v="3"/>
    <x v="0"/>
    <x v="1"/>
    <x v="6"/>
    <x v="2"/>
    <n v="0.1"/>
    <x v="30"/>
    <s v="All hours"/>
    <s v="San Diego, CA"/>
    <n v="32.715699999999998"/>
    <n v="-117.1611"/>
    <d v="2025-06-13T00:00:00"/>
    <n v="6"/>
    <b v="1"/>
    <d v="2025-07-22T00:00:00"/>
    <x v="0"/>
    <x v="0"/>
  </r>
  <r>
    <b v="0"/>
    <d v="1899-12-30T15:24:00"/>
    <d v="1899-12-30T17:42:00"/>
    <n v="138"/>
    <x v="0"/>
    <b v="0"/>
    <b v="1"/>
    <x v="0"/>
    <x v="1"/>
    <x v="1"/>
    <x v="4"/>
    <x v="1"/>
    <n v="0"/>
    <x v="8"/>
    <s v="Weekdays only"/>
    <s v="Long Beach, CA"/>
    <n v="33.770099999999999"/>
    <n v="-118.19370000000001"/>
    <d v="2024-10-03T00:00:00"/>
    <n v="0"/>
    <b v="0"/>
    <d v="2025-07-08T00:00:00"/>
    <x v="2"/>
    <x v="2"/>
  </r>
  <r>
    <b v="0"/>
    <d v="1899-12-30T17:09:00"/>
    <d v="1899-12-30T18:06:00"/>
    <n v="57"/>
    <x v="0"/>
    <b v="1"/>
    <b v="1"/>
    <x v="0"/>
    <x v="3"/>
    <x v="0"/>
    <x v="3"/>
    <x v="1"/>
    <n v="0"/>
    <x v="4"/>
    <s v="All hours + Priority access"/>
    <s v="Los Angeles, CA"/>
    <n v="34.052199999999999"/>
    <n v="-118.2437"/>
    <d v="2023-05-11T00:00:00"/>
    <n v="8"/>
    <b v="1"/>
    <d v="2025-06-09T00:00:00"/>
    <x v="3"/>
    <x v="3"/>
  </r>
  <r>
    <b v="0"/>
    <d v="1899-12-30T10:41:00"/>
    <d v="1899-12-30T13:41:00"/>
    <n v="180"/>
    <x v="0"/>
    <b v="0"/>
    <b v="1"/>
    <x v="4"/>
    <x v="2"/>
    <x v="0"/>
    <x v="2"/>
    <x v="3"/>
    <n v="0.15"/>
    <x v="17"/>
    <s v="Off-peak only"/>
    <s v="Anaheim, CA"/>
    <n v="33.836599999999997"/>
    <n v="-117.9143"/>
    <d v="2022-08-01T00:00:00"/>
    <n v="0"/>
    <b v="0"/>
    <d v="2025-05-24T00:00:00"/>
    <x v="1"/>
    <x v="1"/>
  </r>
  <r>
    <b v="1"/>
    <d v="1899-12-30T10:38:00"/>
    <d v="1899-12-30T11:41:00"/>
    <n v="63"/>
    <x v="1"/>
    <b v="1"/>
    <b v="1"/>
    <x v="0"/>
    <x v="1"/>
    <x v="1"/>
    <x v="4"/>
    <x v="0"/>
    <n v="0.05"/>
    <x v="11"/>
    <s v="Weekdays only"/>
    <s v="Bakersfield, CA"/>
    <n v="35.3733"/>
    <n v="-119.0187"/>
    <d v="2025-03-09T00:00:00"/>
    <n v="7"/>
    <b v="1"/>
    <d v="2025-07-17T00:00:00"/>
    <x v="0"/>
    <x v="0"/>
  </r>
  <r>
    <b v="0"/>
    <d v="1899-12-30T12:31:00"/>
    <d v="1899-12-30T14:11:00"/>
    <n v="100"/>
    <x v="1"/>
    <b v="1"/>
    <b v="0"/>
    <x v="4"/>
    <x v="0"/>
    <x v="0"/>
    <x v="0"/>
    <x v="1"/>
    <n v="0"/>
    <x v="5"/>
    <s v="All hours"/>
    <s v="Long Beach, CA"/>
    <n v="33.770099999999999"/>
    <n v="-118.19370000000001"/>
    <d v="2024-04-21T00:00:00"/>
    <n v="7"/>
    <b v="1"/>
    <d v="2025-06-28T00:00:00"/>
    <x v="0"/>
    <x v="0"/>
  </r>
  <r>
    <b v="0"/>
    <d v="1899-12-30T10:38:00"/>
    <d v="1899-12-30T12:32:00"/>
    <n v="114"/>
    <x v="1"/>
    <b v="1"/>
    <b v="0"/>
    <x v="1"/>
    <x v="1"/>
    <x v="1"/>
    <x v="4"/>
    <x v="0"/>
    <n v="0.05"/>
    <x v="11"/>
    <s v="Weekdays only"/>
    <s v="Sacramento, CA"/>
    <n v="38.581600000000002"/>
    <n v="-121.4944"/>
    <d v="2023-02-21T00:00:00"/>
    <n v="3"/>
    <b v="0"/>
    <d v="2025-06-04T00:00:00"/>
    <x v="3"/>
    <x v="3"/>
  </r>
  <r>
    <b v="1"/>
    <d v="1899-12-30T13:11:00"/>
    <d v="1899-12-30T15:56:00"/>
    <n v="165"/>
    <x v="1"/>
    <b v="0"/>
    <b v="0"/>
    <x v="0"/>
    <x v="0"/>
    <x v="0"/>
    <x v="0"/>
    <x v="0"/>
    <n v="0.05"/>
    <x v="0"/>
    <s v="All hours"/>
    <s v="Sacramento, CA"/>
    <n v="38.581600000000002"/>
    <n v="-121.4944"/>
    <d v="2024-11-17T00:00:00"/>
    <n v="0"/>
    <b v="1"/>
    <d v="2025-07-10T00:00:00"/>
    <x v="1"/>
    <x v="1"/>
  </r>
  <r>
    <b v="1"/>
    <d v="1899-12-30T10:34:00"/>
    <d v="1899-12-30T11:27:00"/>
    <n v="53"/>
    <x v="0"/>
    <b v="0"/>
    <b v="1"/>
    <x v="2"/>
    <x v="3"/>
    <x v="1"/>
    <x v="11"/>
    <x v="2"/>
    <n v="0.1"/>
    <x v="32"/>
    <s v="All hours + Priority access"/>
    <s v="San Diego, CA"/>
    <n v="32.715699999999998"/>
    <n v="-117.1611"/>
    <d v="2023-11-09T00:00:00"/>
    <n v="0"/>
    <b v="1"/>
    <d v="2025-06-19T00:00:00"/>
    <x v="1"/>
    <x v="1"/>
  </r>
  <r>
    <b v="1"/>
    <d v="1899-12-30T11:56:00"/>
    <d v="1899-12-30T13:37:00"/>
    <n v="101"/>
    <x v="0"/>
    <b v="0"/>
    <b v="0"/>
    <x v="0"/>
    <x v="0"/>
    <x v="1"/>
    <x v="6"/>
    <x v="1"/>
    <n v="0"/>
    <x v="12"/>
    <s v="All hours"/>
    <s v="Sacramento, CA"/>
    <n v="38.581600000000002"/>
    <n v="-121.4944"/>
    <d v="2023-05-04T00:00:00"/>
    <n v="0"/>
    <b v="1"/>
    <d v="2025-06-09T00:00:00"/>
    <x v="2"/>
    <x v="4"/>
  </r>
  <r>
    <b v="0"/>
    <d v="1899-12-30T09:38:00"/>
    <d v="1899-12-30T10:11:00"/>
    <n v="33"/>
    <x v="0"/>
    <b v="0"/>
    <b v="1"/>
    <x v="4"/>
    <x v="1"/>
    <x v="2"/>
    <x v="8"/>
    <x v="0"/>
    <n v="0.05"/>
    <x v="31"/>
    <s v="Weekdays only"/>
    <s v="Long Beach, CA"/>
    <n v="33.770099999999999"/>
    <n v="-118.19370000000001"/>
    <d v="2023-09-05T00:00:00"/>
    <n v="0"/>
    <b v="0"/>
    <d v="2025-06-16T00:00:00"/>
    <x v="2"/>
    <x v="4"/>
  </r>
  <r>
    <b v="1"/>
    <d v="1899-12-30T09:55:00"/>
    <d v="1899-12-30T10:43:00"/>
    <n v="48"/>
    <x v="0"/>
    <b v="0"/>
    <b v="1"/>
    <x v="1"/>
    <x v="0"/>
    <x v="0"/>
    <x v="0"/>
    <x v="1"/>
    <n v="0"/>
    <x v="5"/>
    <s v="All hours"/>
    <s v="Fresno, CA"/>
    <n v="36.7378"/>
    <n v="-119.7871"/>
    <d v="2024-12-04T00:00:00"/>
    <n v="0"/>
    <b v="1"/>
    <d v="2025-07-11T00:00:00"/>
    <x v="0"/>
    <x v="0"/>
  </r>
  <r>
    <b v="0"/>
    <d v="1899-12-30T18:14:00"/>
    <d v="1899-12-30T21:04:00"/>
    <n v="170"/>
    <x v="0"/>
    <b v="0"/>
    <b v="0"/>
    <x v="0"/>
    <x v="0"/>
    <x v="0"/>
    <x v="0"/>
    <x v="2"/>
    <n v="0.1"/>
    <x v="16"/>
    <s v="All hours"/>
    <s v="Long Beach, CA"/>
    <n v="33.770099999999999"/>
    <n v="-118.19370000000001"/>
    <d v="2024-06-09T00:00:00"/>
    <n v="0"/>
    <b v="1"/>
    <d v="2025-07-01T00:00:00"/>
    <x v="3"/>
    <x v="3"/>
  </r>
  <r>
    <b v="0"/>
    <d v="1899-12-30T17:21:00"/>
    <d v="1899-12-30T18:17:00"/>
    <n v="56"/>
    <x v="0"/>
    <b v="0"/>
    <b v="1"/>
    <x v="4"/>
    <x v="1"/>
    <x v="1"/>
    <x v="4"/>
    <x v="3"/>
    <n v="0.15"/>
    <x v="29"/>
    <s v="Weekdays only"/>
    <s v="Sacramento, CA"/>
    <n v="38.581600000000002"/>
    <n v="-121.4944"/>
    <d v="2023-03-11T00:00:00"/>
    <n v="0"/>
    <b v="0"/>
    <d v="2025-06-05T00:00:00"/>
    <x v="3"/>
    <x v="3"/>
  </r>
  <r>
    <b v="1"/>
    <d v="1899-12-30T20:30:00"/>
    <d v="1899-12-30T21:24:00"/>
    <n v="54"/>
    <x v="1"/>
    <b v="1"/>
    <b v="1"/>
    <x v="0"/>
    <x v="0"/>
    <x v="0"/>
    <x v="0"/>
    <x v="2"/>
    <n v="0.1"/>
    <x v="16"/>
    <s v="All hours"/>
    <s v="San Jose, CA"/>
    <n v="37.338200000000001"/>
    <n v="-121.88630000000001"/>
    <d v="2023-11-10T00:00:00"/>
    <n v="3"/>
    <b v="1"/>
    <d v="2025-06-19T00:00:00"/>
    <x v="0"/>
    <x v="0"/>
  </r>
  <r>
    <b v="1"/>
    <d v="1899-12-30T19:59:00"/>
    <d v="1899-12-30T20:57:00"/>
    <n v="58"/>
    <x v="1"/>
    <b v="0"/>
    <b v="1"/>
    <x v="2"/>
    <x v="0"/>
    <x v="2"/>
    <x v="10"/>
    <x v="2"/>
    <n v="0.1"/>
    <x v="34"/>
    <s v="All hours"/>
    <s v="San Diego, CA"/>
    <n v="32.715699999999998"/>
    <n v="-117.1611"/>
    <d v="2025-06-17T00:00:00"/>
    <n v="0"/>
    <b v="1"/>
    <d v="2025-07-22T00:00:00"/>
    <x v="0"/>
    <x v="0"/>
  </r>
  <r>
    <b v="0"/>
    <d v="1899-12-30T14:47:00"/>
    <d v="1899-12-30T15:21:00"/>
    <n v="34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3-04-04T00:00:00"/>
    <n v="0"/>
    <b v="1"/>
    <d v="2025-06-07T00:00:00"/>
    <x v="2"/>
    <x v="4"/>
  </r>
  <r>
    <b v="0"/>
    <d v="1899-12-30T16:51:00"/>
    <d v="1899-12-30T19:45:00"/>
    <n v="174"/>
    <x v="1"/>
    <b v="0"/>
    <b v="0"/>
    <x v="0"/>
    <x v="2"/>
    <x v="1"/>
    <x v="5"/>
    <x v="3"/>
    <n v="0.15"/>
    <x v="13"/>
    <s v="Off-peak only"/>
    <s v="Bakersfield, CA"/>
    <n v="35.3733"/>
    <n v="-119.0187"/>
    <d v="2025-05-16T00:00:00"/>
    <n v="0"/>
    <b v="1"/>
    <d v="2025-07-20T00:00:00"/>
    <x v="2"/>
    <x v="4"/>
  </r>
  <r>
    <b v="1"/>
    <d v="1899-12-30T20:33:00"/>
    <d v="1899-12-30T21:52:00"/>
    <n v="79"/>
    <x v="1"/>
    <b v="1"/>
    <b v="1"/>
    <x v="1"/>
    <x v="0"/>
    <x v="1"/>
    <x v="6"/>
    <x v="3"/>
    <n v="0.15"/>
    <x v="28"/>
    <s v="All hours"/>
    <s v="Bakersfield, CA"/>
    <n v="35.3733"/>
    <n v="-119.0187"/>
    <d v="2023-04-20T00:00:00"/>
    <n v="8"/>
    <b v="0"/>
    <d v="2025-06-08T00:00:00"/>
    <x v="0"/>
    <x v="0"/>
  </r>
  <r>
    <b v="0"/>
    <d v="1899-12-30T17:52:00"/>
    <d v="1899-12-30T20:52:00"/>
    <n v="180"/>
    <x v="0"/>
    <b v="1"/>
    <b v="0"/>
    <x v="0"/>
    <x v="0"/>
    <x v="1"/>
    <x v="6"/>
    <x v="1"/>
    <n v="0"/>
    <x v="12"/>
    <s v="All hours"/>
    <s v="San Francisco, CA"/>
    <n v="37.774900000000002"/>
    <n v="-122.4194"/>
    <d v="2024-11-19T00:00:00"/>
    <n v="1"/>
    <b v="1"/>
    <d v="2025-07-10T00:00:00"/>
    <x v="0"/>
    <x v="0"/>
  </r>
  <r>
    <b v="0"/>
    <d v="1899-12-30T10:24:00"/>
    <d v="1899-12-30T11:48:00"/>
    <n v="84"/>
    <x v="1"/>
    <b v="0"/>
    <b v="0"/>
    <x v="0"/>
    <x v="2"/>
    <x v="0"/>
    <x v="2"/>
    <x v="2"/>
    <n v="0.1"/>
    <x v="6"/>
    <s v="Off-peak only"/>
    <s v="San Diego, CA"/>
    <n v="32.715699999999998"/>
    <n v="-117.1611"/>
    <d v="2022-09-06T00:00:00"/>
    <n v="0"/>
    <b v="0"/>
    <d v="2025-05-26T00:00:00"/>
    <x v="1"/>
    <x v="1"/>
  </r>
  <r>
    <b v="0"/>
    <d v="1899-12-30T17:13:00"/>
    <d v="1899-12-30T18:24:00"/>
    <n v="71"/>
    <x v="0"/>
    <b v="0"/>
    <b v="1"/>
    <x v="2"/>
    <x v="1"/>
    <x v="1"/>
    <x v="4"/>
    <x v="0"/>
    <n v="0.05"/>
    <x v="11"/>
    <s v="Weekdays only"/>
    <s v="San Diego, CA"/>
    <n v="32.715699999999998"/>
    <n v="-117.1611"/>
    <d v="2024-05-27T00:00:00"/>
    <n v="0"/>
    <b v="0"/>
    <d v="2025-06-30T00:00:00"/>
    <x v="3"/>
    <x v="3"/>
  </r>
  <r>
    <b v="0"/>
    <d v="1899-12-30T15:41:00"/>
    <d v="1899-12-30T17:04:00"/>
    <n v="83"/>
    <x v="1"/>
    <b v="1"/>
    <b v="0"/>
    <x v="4"/>
    <x v="0"/>
    <x v="0"/>
    <x v="0"/>
    <x v="0"/>
    <n v="0.05"/>
    <x v="0"/>
    <s v="All hours"/>
    <s v="San Diego, CA"/>
    <n v="32.715699999999998"/>
    <n v="-117.1611"/>
    <d v="2024-07-09T00:00:00"/>
    <n v="3"/>
    <b v="1"/>
    <d v="2025-07-03T00:00:00"/>
    <x v="1"/>
    <x v="1"/>
  </r>
  <r>
    <b v="0"/>
    <d v="1899-12-30T11:56:00"/>
    <d v="1899-12-30T13:42:00"/>
    <n v="106"/>
    <x v="0"/>
    <b v="1"/>
    <b v="1"/>
    <x v="4"/>
    <x v="1"/>
    <x v="0"/>
    <x v="1"/>
    <x v="0"/>
    <n v="0.05"/>
    <x v="7"/>
    <s v="Weekdays only"/>
    <s v="Fresno, CA"/>
    <n v="36.7378"/>
    <n v="-119.7871"/>
    <d v="2025-01-15T00:00:00"/>
    <n v="2"/>
    <b v="1"/>
    <d v="2025-07-14T00:00:00"/>
    <x v="3"/>
    <x v="3"/>
  </r>
  <r>
    <b v="0"/>
    <d v="1899-12-30T14:34:00"/>
    <d v="1899-12-30T15:34:00"/>
    <n v="60"/>
    <x v="1"/>
    <b v="0"/>
    <b v="1"/>
    <x v="3"/>
    <x v="0"/>
    <x v="0"/>
    <x v="0"/>
    <x v="3"/>
    <n v="0.15"/>
    <x v="27"/>
    <s v="All hours"/>
    <s v="San Francisco, CA"/>
    <n v="37.774900000000002"/>
    <n v="-122.4194"/>
    <d v="2024-08-01T00:00:00"/>
    <n v="0"/>
    <b v="1"/>
    <d v="2025-07-04T00:00:00"/>
    <x v="2"/>
    <x v="2"/>
  </r>
  <r>
    <b v="1"/>
    <d v="1899-12-30T11:35:00"/>
    <d v="1899-12-30T13:34:00"/>
    <n v="119"/>
    <x v="1"/>
    <b v="0"/>
    <b v="1"/>
    <x v="0"/>
    <x v="2"/>
    <x v="0"/>
    <x v="2"/>
    <x v="0"/>
    <n v="0.05"/>
    <x v="18"/>
    <s v="Off-peak only"/>
    <s v="Oakland, CA"/>
    <n v="37.804400000000001"/>
    <n v="-122.27119999999999"/>
    <d v="2022-12-02T00:00:00"/>
    <n v="0"/>
    <b v="1"/>
    <d v="2025-05-31T00:00:00"/>
    <x v="3"/>
    <x v="3"/>
  </r>
  <r>
    <b v="0"/>
    <d v="1899-12-30T09:25:00"/>
    <d v="1899-12-30T12:06:00"/>
    <n v="161"/>
    <x v="0"/>
    <b v="1"/>
    <b v="1"/>
    <x v="0"/>
    <x v="2"/>
    <x v="0"/>
    <x v="2"/>
    <x v="3"/>
    <n v="0.15"/>
    <x v="17"/>
    <s v="Off-peak only"/>
    <s v="Long Beach, CA"/>
    <n v="33.770099999999999"/>
    <n v="-118.19370000000001"/>
    <d v="2022-07-27T00:00:00"/>
    <n v="1"/>
    <b v="0"/>
    <d v="2025-05-24T00:00:00"/>
    <x v="1"/>
    <x v="1"/>
  </r>
  <r>
    <b v="0"/>
    <d v="1899-12-30T10:55:00"/>
    <d v="1899-12-30T13:51:00"/>
    <n v="176"/>
    <x v="1"/>
    <b v="0"/>
    <b v="1"/>
    <x v="4"/>
    <x v="0"/>
    <x v="1"/>
    <x v="6"/>
    <x v="1"/>
    <n v="0"/>
    <x v="12"/>
    <s v="All hours"/>
    <s v="Sacramento, CA"/>
    <n v="38.581600000000002"/>
    <n v="-121.4944"/>
    <d v="2024-05-26T00:00:00"/>
    <n v="0"/>
    <b v="1"/>
    <d v="2025-06-30T00:00:00"/>
    <x v="3"/>
    <x v="3"/>
  </r>
  <r>
    <b v="0"/>
    <d v="1899-12-30T15:25:00"/>
    <d v="1899-12-30T18:05:00"/>
    <n v="160"/>
    <x v="1"/>
    <b v="0"/>
    <b v="1"/>
    <x v="4"/>
    <x v="1"/>
    <x v="0"/>
    <x v="1"/>
    <x v="2"/>
    <n v="0.1"/>
    <x v="2"/>
    <s v="Weekdays only"/>
    <s v="Los Angeles, CA"/>
    <n v="34.052199999999999"/>
    <n v="-118.2437"/>
    <d v="2024-03-02T00:00:00"/>
    <n v="0"/>
    <b v="0"/>
    <d v="2025-06-26T00:00:00"/>
    <x v="0"/>
    <x v="0"/>
  </r>
  <r>
    <b v="1"/>
    <d v="1899-12-30T19:39:00"/>
    <d v="1899-12-30T20:39:00"/>
    <n v="60"/>
    <x v="0"/>
    <b v="0"/>
    <b v="1"/>
    <x v="4"/>
    <x v="2"/>
    <x v="2"/>
    <x v="7"/>
    <x v="1"/>
    <n v="0"/>
    <x v="6"/>
    <s v="Off-peak only"/>
    <s v="Bakersfield, CA"/>
    <n v="35.3733"/>
    <n v="-119.0187"/>
    <d v="2023-05-15T00:00:00"/>
    <n v="0"/>
    <b v="0"/>
    <d v="2025-06-09T00:00:00"/>
    <x v="1"/>
    <x v="1"/>
  </r>
  <r>
    <b v="1"/>
    <d v="1899-12-30T09:26:00"/>
    <d v="1899-12-30T10:35:00"/>
    <n v="69"/>
    <x v="0"/>
    <b v="0"/>
    <b v="0"/>
    <x v="2"/>
    <x v="3"/>
    <x v="0"/>
    <x v="3"/>
    <x v="1"/>
    <n v="0"/>
    <x v="4"/>
    <s v="All hours + Priority access"/>
    <s v="San Diego, CA"/>
    <n v="32.715699999999998"/>
    <n v="-117.1611"/>
    <d v="2022-11-22T00:00:00"/>
    <n v="0"/>
    <b v="0"/>
    <d v="2025-05-30T00:00:00"/>
    <x v="3"/>
    <x v="3"/>
  </r>
  <r>
    <b v="1"/>
    <d v="1899-12-30T14:52:00"/>
    <d v="1899-12-30T17:32:00"/>
    <n v="160"/>
    <x v="0"/>
    <b v="0"/>
    <b v="0"/>
    <x v="0"/>
    <x v="2"/>
    <x v="0"/>
    <x v="2"/>
    <x v="0"/>
    <n v="0.05"/>
    <x v="18"/>
    <s v="Off-peak only"/>
    <s v="Sacramento, CA"/>
    <n v="38.581600000000002"/>
    <n v="-121.4944"/>
    <d v="2023-09-30T00:00:00"/>
    <n v="0"/>
    <b v="1"/>
    <d v="2025-06-17T00:00:00"/>
    <x v="1"/>
    <x v="1"/>
  </r>
  <r>
    <b v="0"/>
    <d v="1899-12-30T14:54:00"/>
    <d v="1899-12-30T16:46:00"/>
    <n v="112"/>
    <x v="1"/>
    <b v="1"/>
    <b v="1"/>
    <x v="1"/>
    <x v="1"/>
    <x v="0"/>
    <x v="1"/>
    <x v="3"/>
    <n v="0.15"/>
    <x v="15"/>
    <s v="Weekdays only"/>
    <s v="Sacramento, CA"/>
    <n v="38.581600000000002"/>
    <n v="-121.4944"/>
    <d v="2024-05-02T00:00:00"/>
    <n v="3"/>
    <b v="1"/>
    <d v="2025-06-29T00:00:00"/>
    <x v="3"/>
    <x v="3"/>
  </r>
  <r>
    <b v="1"/>
    <d v="1899-12-30T16:45:00"/>
    <d v="1899-12-30T18:58:00"/>
    <n v="133"/>
    <x v="0"/>
    <b v="0"/>
    <b v="0"/>
    <x v="0"/>
    <x v="1"/>
    <x v="1"/>
    <x v="4"/>
    <x v="1"/>
    <n v="0"/>
    <x v="8"/>
    <s v="Weekdays only"/>
    <s v="Oakland, CA"/>
    <n v="37.804400000000001"/>
    <n v="-122.27119999999999"/>
    <d v="2024-04-09T00:00:00"/>
    <n v="0"/>
    <b v="0"/>
    <d v="2025-06-28T00:00:00"/>
    <x v="1"/>
    <x v="1"/>
  </r>
  <r>
    <b v="0"/>
    <d v="1899-12-30T18:39:00"/>
    <d v="1899-12-30T20:54:00"/>
    <n v="135"/>
    <x v="0"/>
    <b v="0"/>
    <b v="0"/>
    <x v="0"/>
    <x v="3"/>
    <x v="2"/>
    <x v="9"/>
    <x v="1"/>
    <n v="0"/>
    <x v="22"/>
    <s v="All hours + Priority access"/>
    <s v="Bakersfield, CA"/>
    <n v="35.3733"/>
    <n v="-119.0187"/>
    <d v="2025-06-19T00:00:00"/>
    <n v="0"/>
    <b v="0"/>
    <d v="2025-07-22T00:00:00"/>
    <x v="2"/>
    <x v="2"/>
  </r>
  <r>
    <b v="1"/>
    <d v="1899-12-30T20:07:00"/>
    <d v="1899-12-30T21:39:00"/>
    <n v="92"/>
    <x v="1"/>
    <b v="0"/>
    <b v="0"/>
    <x v="4"/>
    <x v="0"/>
    <x v="0"/>
    <x v="0"/>
    <x v="0"/>
    <n v="0.05"/>
    <x v="0"/>
    <s v="All hours"/>
    <s v="Oakland, CA"/>
    <n v="37.804400000000001"/>
    <n v="-122.27119999999999"/>
    <d v="2023-09-02T00:00:00"/>
    <n v="0"/>
    <b v="1"/>
    <d v="2025-06-15T00:00:00"/>
    <x v="2"/>
    <x v="4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4-06-09T00:00:00"/>
    <n v="5"/>
    <b v="0"/>
    <d v="2025-07-01T00:00:00"/>
    <x v="2"/>
    <x v="4"/>
  </r>
  <r>
    <b v="1"/>
    <d v="1899-12-30T18:40:00"/>
    <d v="1899-12-30T21:21:00"/>
    <n v="161"/>
    <x v="1"/>
    <b v="1"/>
    <b v="1"/>
    <x v="2"/>
    <x v="0"/>
    <x v="0"/>
    <x v="0"/>
    <x v="0"/>
    <n v="0.05"/>
    <x v="0"/>
    <s v="All hours"/>
    <s v="Los Angeles, CA"/>
    <n v="34.052199999999999"/>
    <n v="-118.2437"/>
    <d v="2023-02-28T00:00:00"/>
    <n v="6"/>
    <b v="0"/>
    <d v="2025-06-05T00:00:00"/>
    <x v="3"/>
    <x v="3"/>
  </r>
  <r>
    <b v="1"/>
    <d v="1899-12-30T10:48:00"/>
    <d v="1899-12-30T13:15:00"/>
    <n v="147"/>
    <x v="1"/>
    <b v="0"/>
    <b v="0"/>
    <x v="1"/>
    <x v="0"/>
    <x v="1"/>
    <x v="6"/>
    <x v="1"/>
    <n v="0"/>
    <x v="12"/>
    <s v="All hours"/>
    <s v="Anaheim, CA"/>
    <n v="33.836599999999997"/>
    <n v="-117.9143"/>
    <d v="2025-03-15T00:00:00"/>
    <n v="0"/>
    <b v="1"/>
    <d v="2025-07-17T00:00:00"/>
    <x v="3"/>
    <x v="3"/>
  </r>
  <r>
    <b v="1"/>
    <d v="1899-12-30T15:41:00"/>
    <d v="1899-12-30T16:58:00"/>
    <n v="77"/>
    <x v="1"/>
    <b v="1"/>
    <b v="0"/>
    <x v="4"/>
    <x v="0"/>
    <x v="1"/>
    <x v="6"/>
    <x v="2"/>
    <n v="0.1"/>
    <x v="30"/>
    <s v="All hours"/>
    <s v="San Francisco, CA"/>
    <n v="37.774900000000002"/>
    <n v="-122.4194"/>
    <d v="2023-10-05T00:00:00"/>
    <n v="3"/>
    <b v="1"/>
    <d v="2025-06-17T00:00:00"/>
    <x v="2"/>
    <x v="2"/>
  </r>
  <r>
    <b v="0"/>
    <d v="1899-12-30T08:23:00"/>
    <d v="1899-12-30T11:22:00"/>
    <n v="179"/>
    <x v="0"/>
    <b v="0"/>
    <b v="0"/>
    <x v="0"/>
    <x v="0"/>
    <x v="0"/>
    <x v="0"/>
    <x v="0"/>
    <n v="0.05"/>
    <x v="0"/>
    <s v="All hours"/>
    <s v="San Diego, CA"/>
    <n v="32.715699999999998"/>
    <n v="-117.1611"/>
    <d v="2024-01-27T00:00:00"/>
    <n v="0"/>
    <b v="1"/>
    <d v="2025-06-24T00:00:00"/>
    <x v="3"/>
    <x v="3"/>
  </r>
  <r>
    <b v="0"/>
    <d v="1899-12-30T11:54:00"/>
    <d v="1899-12-30T13:21:00"/>
    <n v="87"/>
    <x v="0"/>
    <b v="0"/>
    <b v="1"/>
    <x v="0"/>
    <x v="0"/>
    <x v="1"/>
    <x v="6"/>
    <x v="1"/>
    <n v="0"/>
    <x v="12"/>
    <s v="All hours"/>
    <s v="Sacramento, CA"/>
    <n v="38.581600000000002"/>
    <n v="-121.4944"/>
    <d v="2023-08-08T00:00:00"/>
    <n v="0"/>
    <b v="0"/>
    <d v="2025-06-14T00:00:00"/>
    <x v="1"/>
    <x v="1"/>
  </r>
  <r>
    <b v="0"/>
    <d v="1899-12-30T17:19:00"/>
    <d v="1899-12-30T20:19:00"/>
    <n v="180"/>
    <x v="0"/>
    <b v="0"/>
    <b v="1"/>
    <x v="0"/>
    <x v="0"/>
    <x v="1"/>
    <x v="6"/>
    <x v="0"/>
    <n v="0.05"/>
    <x v="10"/>
    <s v="All hours"/>
    <s v="Sacramento, CA"/>
    <n v="38.581600000000002"/>
    <n v="-121.4944"/>
    <d v="2025-04-14T00:00:00"/>
    <n v="0"/>
    <b v="1"/>
    <d v="2025-07-19T00:00:00"/>
    <x v="2"/>
    <x v="4"/>
  </r>
  <r>
    <b v="1"/>
    <d v="1899-12-30T15:52:00"/>
    <d v="1899-12-30T18:05:00"/>
    <n v="133"/>
    <x v="0"/>
    <b v="0"/>
    <b v="0"/>
    <x v="4"/>
    <x v="2"/>
    <x v="0"/>
    <x v="2"/>
    <x v="1"/>
    <n v="0"/>
    <x v="3"/>
    <s v="Off-peak only"/>
    <s v="Bakersfield, CA"/>
    <n v="35.3733"/>
    <n v="-119.0187"/>
    <d v="2023-10-14T00:00:00"/>
    <n v="0"/>
    <b v="0"/>
    <d v="2025-06-18T00:00:00"/>
    <x v="3"/>
    <x v="3"/>
  </r>
  <r>
    <b v="1"/>
    <d v="1899-12-30T12:24:00"/>
    <d v="1899-12-30T13:14:00"/>
    <n v="50"/>
    <x v="0"/>
    <b v="1"/>
    <b v="1"/>
    <x v="0"/>
    <x v="1"/>
    <x v="1"/>
    <x v="4"/>
    <x v="0"/>
    <n v="0.05"/>
    <x v="11"/>
    <s v="Weekdays only"/>
    <s v="San Francisco, CA"/>
    <n v="37.774900000000002"/>
    <n v="-122.4194"/>
    <d v="2023-11-03T00:00:00"/>
    <n v="2"/>
    <b v="0"/>
    <d v="2025-06-19T00:00:00"/>
    <x v="0"/>
    <x v="0"/>
  </r>
  <r>
    <b v="1"/>
    <d v="1899-12-30T18:07:00"/>
    <d v="1899-12-30T20:01:00"/>
    <n v="114"/>
    <x v="0"/>
    <b v="0"/>
    <b v="1"/>
    <x v="1"/>
    <x v="2"/>
    <x v="1"/>
    <x v="5"/>
    <x v="1"/>
    <n v="0"/>
    <x v="14"/>
    <s v="Off-peak only"/>
    <s v="Los Angeles, CA"/>
    <n v="34.052199999999999"/>
    <n v="-118.2437"/>
    <d v="2023-11-03T00:00:00"/>
    <n v="0"/>
    <b v="0"/>
    <d v="2025-06-19T00:00:00"/>
    <x v="1"/>
    <x v="1"/>
  </r>
  <r>
    <b v="1"/>
    <d v="1899-12-30T09:49:00"/>
    <d v="1899-12-30T11:30:00"/>
    <n v="101"/>
    <x v="0"/>
    <b v="1"/>
    <b v="0"/>
    <x v="4"/>
    <x v="1"/>
    <x v="1"/>
    <x v="4"/>
    <x v="1"/>
    <n v="0"/>
    <x v="8"/>
    <s v="Weekdays only"/>
    <s v="Fresno, CA"/>
    <n v="36.7378"/>
    <n v="-119.7871"/>
    <d v="2023-09-19T00:00:00"/>
    <n v="4"/>
    <b v="0"/>
    <d v="2025-06-16T00:00:00"/>
    <x v="2"/>
    <x v="4"/>
  </r>
  <r>
    <b v="1"/>
    <d v="1899-12-30T10:48:00"/>
    <d v="1899-12-30T13:15:00"/>
    <n v="147"/>
    <x v="1"/>
    <b v="0"/>
    <b v="0"/>
    <x v="1"/>
    <x v="0"/>
    <x v="1"/>
    <x v="6"/>
    <x v="1"/>
    <n v="0"/>
    <x v="12"/>
    <s v="All hours"/>
    <s v="Anaheim, CA"/>
    <n v="33.836599999999997"/>
    <n v="-117.9143"/>
    <d v="2023-07-03T00:00:00"/>
    <n v="0"/>
    <b v="1"/>
    <d v="2025-06-12T00:00:00"/>
    <x v="3"/>
    <x v="3"/>
  </r>
  <r>
    <b v="0"/>
    <d v="1899-12-30T15:55:00"/>
    <d v="1899-12-30T16:50:00"/>
    <n v="55"/>
    <x v="1"/>
    <b v="0"/>
    <b v="1"/>
    <x v="0"/>
    <x v="0"/>
    <x v="0"/>
    <x v="0"/>
    <x v="1"/>
    <n v="0"/>
    <x v="5"/>
    <s v="All hours"/>
    <s v="San Francisco, CA"/>
    <n v="37.774900000000002"/>
    <n v="-122.4194"/>
    <d v="2023-02-16T00:00:00"/>
    <n v="0"/>
    <b v="0"/>
    <d v="2025-06-04T00:00:00"/>
    <x v="3"/>
    <x v="3"/>
  </r>
  <r>
    <b v="0"/>
    <d v="1899-12-30T17:43:00"/>
    <d v="1899-12-30T18:34:00"/>
    <n v="51"/>
    <x v="0"/>
    <b v="1"/>
    <b v="1"/>
    <x v="4"/>
    <x v="0"/>
    <x v="1"/>
    <x v="6"/>
    <x v="0"/>
    <n v="0.05"/>
    <x v="10"/>
    <s v="All hours"/>
    <s v="San Jose, CA"/>
    <n v="37.338200000000001"/>
    <n v="-121.88630000000001"/>
    <d v="2024-09-08T00:00:00"/>
    <n v="3"/>
    <b v="0"/>
    <d v="2025-07-06T00:00:00"/>
    <x v="2"/>
    <x v="2"/>
  </r>
  <r>
    <b v="0"/>
    <d v="1899-12-30T15:38:00"/>
    <d v="1899-12-30T17:36:00"/>
    <n v="118"/>
    <x v="0"/>
    <b v="1"/>
    <b v="0"/>
    <x v="4"/>
    <x v="3"/>
    <x v="0"/>
    <x v="3"/>
    <x v="0"/>
    <n v="0.05"/>
    <x v="23"/>
    <s v="All hours + Priority access"/>
    <s v="Los Angeles, CA"/>
    <n v="34.052199999999999"/>
    <n v="-118.2437"/>
    <d v="2023-01-26T00:00:00"/>
    <n v="7"/>
    <b v="0"/>
    <d v="2025-06-03T00:00:00"/>
    <x v="1"/>
    <x v="1"/>
  </r>
  <r>
    <b v="0"/>
    <d v="1899-12-30T11:06:00"/>
    <d v="1899-12-30T13:25:00"/>
    <n v="139"/>
    <x v="0"/>
    <b v="0"/>
    <b v="0"/>
    <x v="4"/>
    <x v="1"/>
    <x v="0"/>
    <x v="1"/>
    <x v="1"/>
    <n v="0"/>
    <x v="1"/>
    <s v="Weekdays only"/>
    <s v="Oakland, CA"/>
    <n v="37.804400000000001"/>
    <n v="-122.27119999999999"/>
    <d v="2024-01-09T00:00:00"/>
    <n v="0"/>
    <b v="1"/>
    <d v="2025-06-23T00:00:00"/>
    <x v="2"/>
    <x v="2"/>
  </r>
  <r>
    <b v="1"/>
    <d v="1899-12-30T13:06:00"/>
    <d v="1899-12-30T14:35:00"/>
    <n v="89"/>
    <x v="1"/>
    <b v="1"/>
    <b v="0"/>
    <x v="0"/>
    <x v="2"/>
    <x v="1"/>
    <x v="5"/>
    <x v="2"/>
    <n v="0.1"/>
    <x v="20"/>
    <s v="Off-peak only"/>
    <s v="San Francisco, CA"/>
    <n v="37.774900000000002"/>
    <n v="-122.4194"/>
    <d v="2025-04-01T00:00:00"/>
    <n v="7"/>
    <b v="0"/>
    <d v="2025-07-18T00:00:00"/>
    <x v="3"/>
    <x v="3"/>
  </r>
  <r>
    <b v="1"/>
    <d v="1899-12-30T08:15:00"/>
    <d v="1899-12-30T08:50:00"/>
    <n v="35"/>
    <x v="0"/>
    <b v="0"/>
    <b v="0"/>
    <x v="0"/>
    <x v="3"/>
    <x v="0"/>
    <x v="3"/>
    <x v="1"/>
    <n v="0"/>
    <x v="4"/>
    <s v="All hours + Priority access"/>
    <s v="Los Angeles, CA"/>
    <n v="34.052199999999999"/>
    <n v="-118.2437"/>
    <d v="2025-04-21T00:00:00"/>
    <n v="0"/>
    <b v="1"/>
    <d v="2025-07-19T00:00:00"/>
    <x v="0"/>
    <x v="0"/>
  </r>
  <r>
    <b v="0"/>
    <d v="1899-12-30T18:44:00"/>
    <d v="1899-12-30T19:47:00"/>
    <n v="63"/>
    <x v="1"/>
    <b v="0"/>
    <b v="1"/>
    <x v="0"/>
    <x v="1"/>
    <x v="0"/>
    <x v="1"/>
    <x v="0"/>
    <n v="0.05"/>
    <x v="7"/>
    <s v="Weekdays only"/>
    <s v="Long Beach, CA"/>
    <n v="33.770099999999999"/>
    <n v="-118.19370000000001"/>
    <d v="2024-07-02T00:00:00"/>
    <n v="0"/>
    <b v="0"/>
    <d v="2025-07-02T00:00:00"/>
    <x v="1"/>
    <x v="1"/>
  </r>
  <r>
    <b v="0"/>
    <d v="1899-12-30T09:22:00"/>
    <d v="1899-12-30T10:52:00"/>
    <n v="90"/>
    <x v="1"/>
    <b v="1"/>
    <b v="0"/>
    <x v="0"/>
    <x v="0"/>
    <x v="0"/>
    <x v="0"/>
    <x v="1"/>
    <n v="0"/>
    <x v="5"/>
    <s v="All hours"/>
    <s v="Bakersfield, CA"/>
    <n v="35.3733"/>
    <n v="-119.0187"/>
    <d v="2023-03-10T00:00:00"/>
    <n v="7"/>
    <b v="1"/>
    <d v="2025-06-05T00:00:00"/>
    <x v="3"/>
    <x v="3"/>
  </r>
  <r>
    <b v="0"/>
    <d v="1899-12-30T16:23:00"/>
    <d v="1899-12-30T18:07:00"/>
    <n v="104"/>
    <x v="0"/>
    <b v="1"/>
    <b v="0"/>
    <x v="2"/>
    <x v="1"/>
    <x v="0"/>
    <x v="1"/>
    <x v="3"/>
    <n v="0.15"/>
    <x v="15"/>
    <s v="Weekdays only"/>
    <s v="Sacramento, CA"/>
    <n v="38.581600000000002"/>
    <n v="-121.4944"/>
    <d v="2023-05-31T00:00:00"/>
    <n v="4"/>
    <b v="0"/>
    <d v="2025-06-10T00:00:00"/>
    <x v="0"/>
    <x v="0"/>
  </r>
  <r>
    <b v="1"/>
    <d v="1899-12-30T18:47:00"/>
    <d v="1899-12-30T21:35:00"/>
    <n v="168"/>
    <x v="1"/>
    <b v="0"/>
    <b v="0"/>
    <x v="0"/>
    <x v="0"/>
    <x v="1"/>
    <x v="6"/>
    <x v="0"/>
    <n v="0.05"/>
    <x v="10"/>
    <s v="All hours"/>
    <s v="Sacramento, CA"/>
    <n v="38.581600000000002"/>
    <n v="-121.4944"/>
    <d v="2023-03-06T00:00:00"/>
    <n v="0"/>
    <b v="1"/>
    <d v="2025-06-05T00:00:00"/>
    <x v="0"/>
    <x v="0"/>
  </r>
  <r>
    <b v="1"/>
    <d v="1899-12-30T17:33:00"/>
    <d v="1899-12-30T19:16:00"/>
    <n v="103"/>
    <x v="0"/>
    <b v="0"/>
    <b v="1"/>
    <x v="4"/>
    <x v="1"/>
    <x v="1"/>
    <x v="4"/>
    <x v="0"/>
    <n v="0.05"/>
    <x v="11"/>
    <s v="Weekdays only"/>
    <s v="Bakersfield, CA"/>
    <n v="35.3733"/>
    <n v="-119.0187"/>
    <d v="2023-12-20T00:00:00"/>
    <n v="0"/>
    <b v="0"/>
    <d v="2025-06-21T00:00:00"/>
    <x v="1"/>
    <x v="1"/>
  </r>
  <r>
    <b v="1"/>
    <d v="1899-12-30T16:20:00"/>
    <d v="1899-12-30T17:21:00"/>
    <n v="61"/>
    <x v="1"/>
    <b v="1"/>
    <b v="0"/>
    <x v="4"/>
    <x v="2"/>
    <x v="0"/>
    <x v="2"/>
    <x v="1"/>
    <n v="0"/>
    <x v="3"/>
    <s v="Off-peak only"/>
    <s v="Long Beach, CA"/>
    <n v="33.770099999999999"/>
    <n v="-118.19370000000001"/>
    <d v="2024-03-11T00:00:00"/>
    <n v="7"/>
    <b v="1"/>
    <d v="2025-06-26T00:00:00"/>
    <x v="1"/>
    <x v="1"/>
  </r>
  <r>
    <b v="1"/>
    <d v="1899-12-30T16:29:00"/>
    <d v="1899-12-30T19:08:00"/>
    <n v="159"/>
    <x v="1"/>
    <b v="0"/>
    <b v="1"/>
    <x v="0"/>
    <x v="1"/>
    <x v="0"/>
    <x v="1"/>
    <x v="1"/>
    <n v="0"/>
    <x v="1"/>
    <s v="Weekdays only"/>
    <s v="Los Angeles, CA"/>
    <n v="34.052199999999999"/>
    <n v="-118.2437"/>
    <d v="2025-01-16T00:00:00"/>
    <n v="0"/>
    <b v="0"/>
    <d v="2025-07-14T00:00:00"/>
    <x v="3"/>
    <x v="3"/>
  </r>
  <r>
    <b v="1"/>
    <d v="1899-12-30T20:04:00"/>
    <d v="1899-12-30T22:29:00"/>
    <n v="145"/>
    <x v="0"/>
    <b v="1"/>
    <b v="1"/>
    <x v="4"/>
    <x v="3"/>
    <x v="0"/>
    <x v="3"/>
    <x v="3"/>
    <n v="0.15"/>
    <x v="40"/>
    <s v="All hours + Priority access"/>
    <s v="San Francisco, CA"/>
    <n v="37.774900000000002"/>
    <n v="-122.4194"/>
    <d v="2024-07-08T00:00:00"/>
    <n v="5"/>
    <b v="1"/>
    <d v="2025-07-03T00:00:00"/>
    <x v="0"/>
    <x v="0"/>
  </r>
  <r>
    <b v="1"/>
    <d v="1899-12-30T11:45:00"/>
    <d v="1899-12-30T12:38:00"/>
    <n v="53"/>
    <x v="1"/>
    <b v="1"/>
    <b v="0"/>
    <x v="0"/>
    <x v="3"/>
    <x v="1"/>
    <x v="11"/>
    <x v="2"/>
    <n v="0.1"/>
    <x v="32"/>
    <s v="All hours + Priority access"/>
    <s v="Bakersfield, CA"/>
    <n v="35.3733"/>
    <n v="-119.0187"/>
    <d v="2024-03-17T00:00:00"/>
    <n v="3"/>
    <b v="1"/>
    <d v="2025-06-26T00:00:00"/>
    <x v="0"/>
    <x v="0"/>
  </r>
  <r>
    <b v="1"/>
    <d v="1899-12-30T14:30:00"/>
    <d v="1899-12-30T17:29:00"/>
    <n v="179"/>
    <x v="0"/>
    <b v="1"/>
    <b v="1"/>
    <x v="1"/>
    <x v="0"/>
    <x v="1"/>
    <x v="6"/>
    <x v="2"/>
    <n v="0.1"/>
    <x v="30"/>
    <s v="All hours"/>
    <s v="San Jose, CA"/>
    <n v="37.338200000000001"/>
    <n v="-121.88630000000001"/>
    <d v="2025-03-20T00:00:00"/>
    <n v="8"/>
    <b v="1"/>
    <d v="2025-07-17T00:00:00"/>
    <x v="2"/>
    <x v="2"/>
  </r>
  <r>
    <b v="1"/>
    <d v="1899-12-30T16:21:00"/>
    <d v="1899-12-30T17:38:00"/>
    <n v="77"/>
    <x v="0"/>
    <b v="1"/>
    <b v="0"/>
    <x v="4"/>
    <x v="0"/>
    <x v="0"/>
    <x v="0"/>
    <x v="2"/>
    <n v="0.1"/>
    <x v="16"/>
    <s v="All hours"/>
    <s v="San Diego, CA"/>
    <n v="32.715699999999998"/>
    <n v="-117.1611"/>
    <d v="2024-10-31T00:00:00"/>
    <n v="7"/>
    <b v="0"/>
    <d v="2025-07-09T00:00:00"/>
    <x v="2"/>
    <x v="2"/>
  </r>
  <r>
    <b v="0"/>
    <d v="1899-12-30T11:33:00"/>
    <d v="1899-12-30T12:40:00"/>
    <n v="67"/>
    <x v="1"/>
    <b v="0"/>
    <b v="1"/>
    <x v="4"/>
    <x v="1"/>
    <x v="0"/>
    <x v="1"/>
    <x v="2"/>
    <n v="0.1"/>
    <x v="2"/>
    <s v="Weekdays only"/>
    <s v="Anaheim, CA"/>
    <n v="33.836599999999997"/>
    <n v="-117.9143"/>
    <d v="2023-09-24T00:00:00"/>
    <n v="0"/>
    <b v="0"/>
    <d v="2025-06-17T00:00:00"/>
    <x v="1"/>
    <x v="1"/>
  </r>
  <r>
    <b v="1"/>
    <d v="1899-12-30T10:10:00"/>
    <d v="1899-12-30T12:50:00"/>
    <n v="160"/>
    <x v="1"/>
    <b v="0"/>
    <b v="1"/>
    <x v="1"/>
    <x v="1"/>
    <x v="0"/>
    <x v="1"/>
    <x v="1"/>
    <n v="0"/>
    <x v="1"/>
    <s v="Weekdays only"/>
    <s v="Los Angeles, CA"/>
    <n v="34.052199999999999"/>
    <n v="-118.2437"/>
    <d v="2023-05-01T00:00:00"/>
    <n v="0"/>
    <b v="0"/>
    <d v="2025-06-08T00:00:00"/>
    <x v="2"/>
    <x v="4"/>
  </r>
  <r>
    <b v="1"/>
    <d v="1899-12-30T12:52:00"/>
    <d v="1899-12-30T15:23:00"/>
    <n v="151"/>
    <x v="1"/>
    <b v="0"/>
    <b v="0"/>
    <x v="0"/>
    <x v="1"/>
    <x v="1"/>
    <x v="4"/>
    <x v="0"/>
    <n v="0.05"/>
    <x v="11"/>
    <s v="Weekdays only"/>
    <s v="San Diego, CA"/>
    <n v="32.715699999999998"/>
    <n v="-117.1611"/>
    <d v="2022-07-25T00:00:00"/>
    <n v="0"/>
    <b v="0"/>
    <d v="2025-05-24T00:00:00"/>
    <x v="1"/>
    <x v="1"/>
  </r>
  <r>
    <b v="0"/>
    <d v="1899-12-30T11:35:00"/>
    <d v="1899-12-30T13:30:00"/>
    <n v="115"/>
    <x v="0"/>
    <b v="0"/>
    <b v="1"/>
    <x v="4"/>
    <x v="0"/>
    <x v="2"/>
    <x v="10"/>
    <x v="2"/>
    <n v="0.1"/>
    <x v="34"/>
    <s v="All hours"/>
    <s v="Fresno, CA"/>
    <n v="36.7378"/>
    <n v="-119.7871"/>
    <d v="2022-10-03T00:00:00"/>
    <n v="0"/>
    <b v="1"/>
    <d v="2025-05-28T00:00:00"/>
    <x v="3"/>
    <x v="3"/>
  </r>
  <r>
    <b v="0"/>
    <d v="1899-12-30T14:09:00"/>
    <d v="1899-12-30T16:34:00"/>
    <n v="145"/>
    <x v="0"/>
    <b v="1"/>
    <b v="0"/>
    <x v="0"/>
    <x v="0"/>
    <x v="2"/>
    <x v="10"/>
    <x v="3"/>
    <n v="0.15"/>
    <x v="25"/>
    <s v="All hours"/>
    <s v="Bakersfield, CA"/>
    <n v="35.3733"/>
    <n v="-119.0187"/>
    <d v="2023-08-08T00:00:00"/>
    <n v="1"/>
    <b v="1"/>
    <d v="2025-06-14T00:00:00"/>
    <x v="2"/>
    <x v="4"/>
  </r>
  <r>
    <b v="0"/>
    <d v="1899-12-30T19:28:00"/>
    <d v="1899-12-30T20:10:00"/>
    <n v="42"/>
    <x v="0"/>
    <b v="0"/>
    <b v="0"/>
    <x v="4"/>
    <x v="1"/>
    <x v="0"/>
    <x v="1"/>
    <x v="2"/>
    <n v="0.1"/>
    <x v="2"/>
    <s v="Weekdays only"/>
    <s v="Sacramento, CA"/>
    <n v="38.581600000000002"/>
    <n v="-121.4944"/>
    <d v="2024-03-31T00:00:00"/>
    <n v="0"/>
    <b v="0"/>
    <d v="2025-06-27T00:00:00"/>
    <x v="1"/>
    <x v="1"/>
  </r>
  <r>
    <b v="0"/>
    <d v="1899-12-30T10:28:00"/>
    <d v="1899-12-30T11:36:00"/>
    <n v="68"/>
    <x v="0"/>
    <b v="1"/>
    <b v="1"/>
    <x v="0"/>
    <x v="3"/>
    <x v="0"/>
    <x v="3"/>
    <x v="1"/>
    <n v="0"/>
    <x v="4"/>
    <s v="All hours + Priority access"/>
    <s v="San Francisco, CA"/>
    <n v="37.774900000000002"/>
    <n v="-122.4194"/>
    <d v="2023-08-15T00:00:00"/>
    <n v="8"/>
    <b v="1"/>
    <d v="2025-06-14T00:00:00"/>
    <x v="3"/>
    <x v="3"/>
  </r>
  <r>
    <b v="1"/>
    <d v="1899-12-30T15:31:00"/>
    <d v="1899-12-30T16:07:00"/>
    <n v="36"/>
    <x v="1"/>
    <b v="0"/>
    <b v="1"/>
    <x v="0"/>
    <x v="0"/>
    <x v="0"/>
    <x v="0"/>
    <x v="2"/>
    <n v="0.1"/>
    <x v="16"/>
    <s v="All hours"/>
    <s v="Fresno, CA"/>
    <n v="36.7378"/>
    <n v="-119.7871"/>
    <d v="2023-03-09T00:00:00"/>
    <n v="0"/>
    <b v="1"/>
    <d v="2025-06-05T00:00:00"/>
    <x v="2"/>
    <x v="4"/>
  </r>
  <r>
    <b v="0"/>
    <d v="1899-12-30T13:34:00"/>
    <d v="1899-12-30T15:19:00"/>
    <n v="105"/>
    <x v="1"/>
    <b v="0"/>
    <b v="1"/>
    <x v="3"/>
    <x v="1"/>
    <x v="0"/>
    <x v="1"/>
    <x v="1"/>
    <n v="0"/>
    <x v="1"/>
    <s v="Weekdays only"/>
    <s v="San Jose, CA"/>
    <n v="37.338200000000001"/>
    <n v="-121.88630000000001"/>
    <d v="2025-02-16T00:00:00"/>
    <n v="0"/>
    <b v="0"/>
    <d v="2025-07-15T00:00:00"/>
    <x v="3"/>
    <x v="3"/>
  </r>
  <r>
    <b v="1"/>
    <d v="1899-12-30T12:44:00"/>
    <d v="1899-12-30T13:40:00"/>
    <n v="56"/>
    <x v="0"/>
    <b v="0"/>
    <b v="0"/>
    <x v="4"/>
    <x v="0"/>
    <x v="0"/>
    <x v="0"/>
    <x v="2"/>
    <n v="0.1"/>
    <x v="16"/>
    <s v="All hours"/>
    <s v="Anaheim, CA"/>
    <n v="33.836599999999997"/>
    <n v="-117.9143"/>
    <d v="2024-04-12T00:00:00"/>
    <n v="0"/>
    <b v="1"/>
    <d v="2025-06-28T00:00:00"/>
    <x v="3"/>
    <x v="3"/>
  </r>
  <r>
    <b v="1"/>
    <d v="1899-12-30T19:42:00"/>
    <d v="1899-12-30T20:57:00"/>
    <n v="75"/>
    <x v="0"/>
    <b v="0"/>
    <b v="0"/>
    <x v="1"/>
    <x v="1"/>
    <x v="0"/>
    <x v="1"/>
    <x v="1"/>
    <n v="0"/>
    <x v="1"/>
    <s v="Weekdays only"/>
    <s v="San Francisco, CA"/>
    <n v="37.774900000000002"/>
    <n v="-122.4194"/>
    <d v="2023-01-10T00:00:00"/>
    <n v="0"/>
    <b v="0"/>
    <d v="2025-06-02T00:00:00"/>
    <x v="2"/>
    <x v="2"/>
  </r>
  <r>
    <b v="1"/>
    <d v="1899-12-30T13:35:00"/>
    <d v="1899-12-30T14:37:00"/>
    <n v="62"/>
    <x v="1"/>
    <b v="1"/>
    <b v="1"/>
    <x v="0"/>
    <x v="1"/>
    <x v="0"/>
    <x v="1"/>
    <x v="2"/>
    <n v="0.1"/>
    <x v="2"/>
    <s v="Weekdays only"/>
    <s v="Oakland, CA"/>
    <n v="37.804400000000001"/>
    <n v="-122.27119999999999"/>
    <d v="2024-05-10T00:00:00"/>
    <n v="4"/>
    <b v="1"/>
    <d v="2025-06-29T00:00:00"/>
    <x v="1"/>
    <x v="1"/>
  </r>
  <r>
    <b v="1"/>
    <d v="1899-12-30T16:18:00"/>
    <d v="1899-12-30T17:35:00"/>
    <n v="77"/>
    <x v="1"/>
    <b v="0"/>
    <b v="0"/>
    <x v="0"/>
    <x v="0"/>
    <x v="0"/>
    <x v="0"/>
    <x v="1"/>
    <n v="0"/>
    <x v="5"/>
    <s v="All hours"/>
    <s v="San Jose, CA"/>
    <n v="37.338200000000001"/>
    <n v="-121.88630000000001"/>
    <d v="2023-10-22T00:00:00"/>
    <n v="0"/>
    <b v="1"/>
    <d v="2025-06-18T00:00:00"/>
    <x v="0"/>
    <x v="0"/>
  </r>
  <r>
    <b v="0"/>
    <d v="1899-12-30T08:37:00"/>
    <d v="1899-12-30T10:52:00"/>
    <n v="135"/>
    <x v="1"/>
    <b v="1"/>
    <b v="0"/>
    <x v="0"/>
    <x v="0"/>
    <x v="0"/>
    <x v="0"/>
    <x v="1"/>
    <n v="0"/>
    <x v="5"/>
    <s v="All hours"/>
    <s v="Long Beach, CA"/>
    <n v="33.770099999999999"/>
    <n v="-118.19370000000001"/>
    <d v="2023-10-06T00:00:00"/>
    <n v="5"/>
    <b v="1"/>
    <d v="2025-06-17T00:00:00"/>
    <x v="3"/>
    <x v="3"/>
  </r>
  <r>
    <b v="0"/>
    <d v="1899-12-30T20:52:00"/>
    <d v="1899-12-30T22:40:00"/>
    <n v="108"/>
    <x v="0"/>
    <b v="1"/>
    <b v="0"/>
    <x v="1"/>
    <x v="0"/>
    <x v="0"/>
    <x v="0"/>
    <x v="0"/>
    <n v="0.05"/>
    <x v="0"/>
    <s v="All hours"/>
    <s v="San Francisco, CA"/>
    <n v="37.774900000000002"/>
    <n v="-122.4194"/>
    <d v="2024-12-08T00:00:00"/>
    <n v="1"/>
    <b v="1"/>
    <d v="2025-07-11T00:00:00"/>
    <x v="3"/>
    <x v="3"/>
  </r>
  <r>
    <b v="1"/>
    <d v="1899-12-30T20:58:00"/>
    <d v="1899-12-30T22:20:00"/>
    <n v="82"/>
    <x v="0"/>
    <b v="0"/>
    <b v="1"/>
    <x v="1"/>
    <x v="0"/>
    <x v="0"/>
    <x v="0"/>
    <x v="2"/>
    <n v="0.1"/>
    <x v="16"/>
    <s v="All hours"/>
    <s v="Anaheim, CA"/>
    <n v="33.836599999999997"/>
    <n v="-117.9143"/>
    <d v="2024-06-02T00:00:00"/>
    <n v="0"/>
    <b v="1"/>
    <d v="2025-07-01T00:00:00"/>
    <x v="3"/>
    <x v="3"/>
  </r>
  <r>
    <b v="1"/>
    <d v="1899-12-30T13:02:00"/>
    <d v="1899-12-30T14:08:00"/>
    <n v="66"/>
    <x v="0"/>
    <b v="0"/>
    <b v="1"/>
    <x v="1"/>
    <x v="0"/>
    <x v="1"/>
    <x v="6"/>
    <x v="2"/>
    <n v="0.1"/>
    <x v="30"/>
    <s v="All hours"/>
    <s v="Fresno, CA"/>
    <n v="36.7378"/>
    <n v="-119.7871"/>
    <d v="2024-07-01T00:00:00"/>
    <n v="0"/>
    <b v="1"/>
    <d v="2025-07-02T00:00:00"/>
    <x v="3"/>
    <x v="3"/>
  </r>
  <r>
    <b v="1"/>
    <d v="1899-12-30T18:01:00"/>
    <d v="1899-12-30T19:30:00"/>
    <n v="89"/>
    <x v="0"/>
    <b v="1"/>
    <b v="1"/>
    <x v="1"/>
    <x v="1"/>
    <x v="0"/>
    <x v="1"/>
    <x v="1"/>
    <n v="0"/>
    <x v="1"/>
    <s v="Weekdays only"/>
    <s v="Oakland, CA"/>
    <n v="37.804400000000001"/>
    <n v="-122.27119999999999"/>
    <d v="2025-05-26T00:00:00"/>
    <n v="1"/>
    <b v="1"/>
    <d v="2025-07-21T00:00:00"/>
    <x v="3"/>
    <x v="3"/>
  </r>
  <r>
    <b v="1"/>
    <d v="1899-12-30T18:55:00"/>
    <d v="1899-12-30T21:00:00"/>
    <n v="125"/>
    <x v="0"/>
    <b v="0"/>
    <b v="0"/>
    <x v="4"/>
    <x v="2"/>
    <x v="0"/>
    <x v="2"/>
    <x v="0"/>
    <n v="0.05"/>
    <x v="18"/>
    <s v="Off-peak only"/>
    <s v="Anaheim, CA"/>
    <n v="33.836599999999997"/>
    <n v="-117.9143"/>
    <d v="2025-05-28T00:00:00"/>
    <n v="0"/>
    <b v="0"/>
    <d v="2025-07-21T00:00:00"/>
    <x v="0"/>
    <x v="0"/>
  </r>
  <r>
    <b v="0"/>
    <d v="1899-12-30T20:52:00"/>
    <d v="1899-12-30T22:02:00"/>
    <n v="70"/>
    <x v="1"/>
    <b v="1"/>
    <b v="1"/>
    <x v="4"/>
    <x v="0"/>
    <x v="0"/>
    <x v="0"/>
    <x v="3"/>
    <n v="0.15"/>
    <x v="27"/>
    <s v="All hours"/>
    <s v="Fresno, CA"/>
    <n v="36.7378"/>
    <n v="-119.7871"/>
    <d v="2023-01-19T00:00:00"/>
    <n v="1"/>
    <b v="1"/>
    <d v="2025-06-03T00:00:00"/>
    <x v="2"/>
    <x v="4"/>
  </r>
  <r>
    <b v="0"/>
    <d v="1899-12-30T15:37:00"/>
    <d v="1899-12-30T18:07:00"/>
    <n v="150"/>
    <x v="0"/>
    <b v="1"/>
    <b v="0"/>
    <x v="4"/>
    <x v="0"/>
    <x v="0"/>
    <x v="0"/>
    <x v="2"/>
    <n v="0.1"/>
    <x v="16"/>
    <s v="All hours"/>
    <s v="Sacramento, CA"/>
    <n v="38.581600000000002"/>
    <n v="-121.4944"/>
    <d v="2024-09-05T00:00:00"/>
    <n v="1"/>
    <b v="1"/>
    <d v="2025-07-06T00:00:00"/>
    <x v="3"/>
    <x v="3"/>
  </r>
  <r>
    <b v="0"/>
    <d v="1899-12-30T19:32:00"/>
    <d v="1899-12-30T20:22:00"/>
    <n v="50"/>
    <x v="1"/>
    <b v="0"/>
    <b v="0"/>
    <x v="0"/>
    <x v="0"/>
    <x v="0"/>
    <x v="0"/>
    <x v="1"/>
    <n v="0"/>
    <x v="5"/>
    <s v="All hours"/>
    <s v="San Francisco, CA"/>
    <n v="37.774900000000002"/>
    <n v="-122.4194"/>
    <d v="2023-12-19T00:00:00"/>
    <n v="0"/>
    <b v="1"/>
    <d v="2025-06-21T00:00:00"/>
    <x v="0"/>
    <x v="0"/>
  </r>
  <r>
    <b v="1"/>
    <d v="1899-12-30T12:05:00"/>
    <d v="1899-12-30T14:14:00"/>
    <n v="129"/>
    <x v="1"/>
    <b v="1"/>
    <b v="0"/>
    <x v="4"/>
    <x v="1"/>
    <x v="0"/>
    <x v="1"/>
    <x v="1"/>
    <n v="0"/>
    <x v="1"/>
    <s v="Weekdays only"/>
    <s v="San Francisco, CA"/>
    <n v="37.774900000000002"/>
    <n v="-122.4194"/>
    <d v="2024-08-08T00:00:00"/>
    <n v="8"/>
    <b v="0"/>
    <d v="2025-07-05T00:00:00"/>
    <x v="0"/>
    <x v="0"/>
  </r>
  <r>
    <b v="0"/>
    <d v="1899-12-30T10:24:00"/>
    <d v="1899-12-30T11:48:00"/>
    <n v="84"/>
    <x v="1"/>
    <b v="0"/>
    <b v="0"/>
    <x v="0"/>
    <x v="2"/>
    <x v="0"/>
    <x v="2"/>
    <x v="2"/>
    <n v="0.1"/>
    <x v="6"/>
    <s v="Off-peak only"/>
    <s v="San Diego, CA"/>
    <n v="32.715699999999998"/>
    <n v="-117.1611"/>
    <d v="2022-09-25T00:00:00"/>
    <n v="0"/>
    <b v="0"/>
    <d v="2025-05-27T00:00:00"/>
    <x v="1"/>
    <x v="1"/>
  </r>
  <r>
    <b v="1"/>
    <d v="1899-12-30T16:04:00"/>
    <d v="1899-12-30T18:33:00"/>
    <n v="149"/>
    <x v="0"/>
    <b v="1"/>
    <b v="0"/>
    <x v="3"/>
    <x v="0"/>
    <x v="1"/>
    <x v="6"/>
    <x v="3"/>
    <n v="0.15"/>
    <x v="28"/>
    <s v="All hours"/>
    <s v="Long Beach, CA"/>
    <n v="33.770099999999999"/>
    <n v="-118.19370000000001"/>
    <d v="2024-09-19T00:00:00"/>
    <n v="8"/>
    <b v="1"/>
    <d v="2025-07-07T00:00:00"/>
    <x v="0"/>
    <x v="0"/>
  </r>
  <r>
    <b v="0"/>
    <d v="1899-12-30T16:55:00"/>
    <d v="1899-12-30T19:13:00"/>
    <n v="138"/>
    <x v="1"/>
    <b v="0"/>
    <b v="1"/>
    <x v="4"/>
    <x v="0"/>
    <x v="0"/>
    <x v="0"/>
    <x v="1"/>
    <n v="0"/>
    <x v="5"/>
    <s v="All hours"/>
    <s v="Long Beach, CA"/>
    <n v="33.770099999999999"/>
    <n v="-118.19370000000001"/>
    <d v="2024-03-22T00:00:00"/>
    <n v="0"/>
    <b v="1"/>
    <d v="2025-06-27T00:00:00"/>
    <x v="0"/>
    <x v="0"/>
  </r>
  <r>
    <b v="1"/>
    <d v="1899-12-30T17:05:00"/>
    <d v="1899-12-30T19:39:00"/>
    <n v="154"/>
    <x v="0"/>
    <b v="1"/>
    <b v="0"/>
    <x v="0"/>
    <x v="1"/>
    <x v="0"/>
    <x v="1"/>
    <x v="1"/>
    <n v="0"/>
    <x v="1"/>
    <s v="Weekdays only"/>
    <s v="Fresno, CA"/>
    <n v="36.7378"/>
    <n v="-119.7871"/>
    <d v="2022-12-06T00:00:00"/>
    <n v="3"/>
    <b v="0"/>
    <d v="2025-05-31T00:00:00"/>
    <x v="0"/>
    <x v="0"/>
  </r>
  <r>
    <b v="0"/>
    <d v="1899-12-30T10:28:00"/>
    <d v="1899-12-30T11:36:00"/>
    <n v="68"/>
    <x v="0"/>
    <b v="1"/>
    <b v="1"/>
    <x v="0"/>
    <x v="3"/>
    <x v="0"/>
    <x v="3"/>
    <x v="1"/>
    <n v="0"/>
    <x v="4"/>
    <s v="All hours + Priority access"/>
    <s v="San Francisco, CA"/>
    <n v="37.774900000000002"/>
    <n v="-122.4194"/>
    <d v="2023-01-08T00:00:00"/>
    <n v="7"/>
    <b v="1"/>
    <d v="2025-06-02T00:00:00"/>
    <x v="3"/>
    <x v="3"/>
  </r>
  <r>
    <b v="0"/>
    <d v="1899-12-30T14:53:00"/>
    <d v="1899-12-30T16:53:00"/>
    <n v="120"/>
    <x v="1"/>
    <b v="0"/>
    <b v="0"/>
    <x v="4"/>
    <x v="1"/>
    <x v="0"/>
    <x v="1"/>
    <x v="1"/>
    <n v="0"/>
    <x v="1"/>
    <s v="Weekdays only"/>
    <s v="Anaheim, CA"/>
    <n v="33.836599999999997"/>
    <n v="-117.9143"/>
    <d v="2024-12-06T00:00:00"/>
    <n v="0"/>
    <b v="1"/>
    <d v="2025-07-11T00:00:00"/>
    <x v="3"/>
    <x v="3"/>
  </r>
  <r>
    <b v="1"/>
    <d v="1899-12-30T11:41:00"/>
    <d v="1899-12-30T13:08:00"/>
    <n v="87"/>
    <x v="0"/>
    <b v="0"/>
    <b v="0"/>
    <x v="0"/>
    <x v="0"/>
    <x v="1"/>
    <x v="6"/>
    <x v="3"/>
    <n v="0.15"/>
    <x v="28"/>
    <s v="All hours"/>
    <s v="Oakland, CA"/>
    <n v="37.804400000000001"/>
    <n v="-122.27119999999999"/>
    <d v="2023-02-19T00:00:00"/>
    <n v="0"/>
    <b v="1"/>
    <d v="2025-06-04T00:00:00"/>
    <x v="2"/>
    <x v="2"/>
  </r>
  <r>
    <b v="1"/>
    <d v="1899-12-30T12:45:00"/>
    <d v="1899-12-30T14:42:00"/>
    <n v="117"/>
    <x v="1"/>
    <b v="1"/>
    <b v="0"/>
    <x v="1"/>
    <x v="0"/>
    <x v="0"/>
    <x v="0"/>
    <x v="1"/>
    <n v="0"/>
    <x v="5"/>
    <s v="All hours"/>
    <s v="Oakland, CA"/>
    <n v="37.804400000000001"/>
    <n v="-122.27119999999999"/>
    <d v="2024-02-21T00:00:00"/>
    <n v="6"/>
    <b v="1"/>
    <d v="2025-06-25T00:00:00"/>
    <x v="2"/>
    <x v="2"/>
  </r>
  <r>
    <b v="1"/>
    <d v="1899-12-30T09:36:00"/>
    <d v="1899-12-30T12:09:00"/>
    <n v="153"/>
    <x v="1"/>
    <b v="1"/>
    <b v="1"/>
    <x v="0"/>
    <x v="2"/>
    <x v="0"/>
    <x v="2"/>
    <x v="3"/>
    <n v="0.15"/>
    <x v="17"/>
    <s v="Off-peak only"/>
    <s v="Sacramento, CA"/>
    <n v="38.581600000000002"/>
    <n v="-121.4944"/>
    <d v="2024-01-25T00:00:00"/>
    <n v="3"/>
    <b v="0"/>
    <d v="2025-06-24T00:00:00"/>
    <x v="2"/>
    <x v="4"/>
  </r>
  <r>
    <b v="0"/>
    <d v="1899-12-30T16:20:00"/>
    <d v="1899-12-30T17:20:00"/>
    <n v="60"/>
    <x v="1"/>
    <b v="1"/>
    <b v="0"/>
    <x v="0"/>
    <x v="2"/>
    <x v="0"/>
    <x v="2"/>
    <x v="0"/>
    <n v="0.05"/>
    <x v="18"/>
    <s v="Off-peak only"/>
    <s v="San Jose, CA"/>
    <n v="37.338200000000001"/>
    <n v="-121.88630000000001"/>
    <d v="2025-01-31T00:00:00"/>
    <n v="3"/>
    <b v="0"/>
    <d v="2025-07-14T00:00:00"/>
    <x v="0"/>
    <x v="0"/>
  </r>
  <r>
    <b v="1"/>
    <d v="1899-12-30T14:52:00"/>
    <d v="1899-12-30T17:32:00"/>
    <n v="160"/>
    <x v="0"/>
    <b v="0"/>
    <b v="0"/>
    <x v="0"/>
    <x v="2"/>
    <x v="0"/>
    <x v="2"/>
    <x v="0"/>
    <n v="0.05"/>
    <x v="18"/>
    <s v="Off-peak only"/>
    <s v="Sacramento, CA"/>
    <n v="38.581600000000002"/>
    <n v="-121.4944"/>
    <d v="2025-03-29T00:00:00"/>
    <n v="0"/>
    <b v="1"/>
    <d v="2025-07-18T00:00:00"/>
    <x v="1"/>
    <x v="1"/>
  </r>
  <r>
    <b v="1"/>
    <d v="1899-12-30T12:42:00"/>
    <d v="1899-12-30T13:37:00"/>
    <n v="55"/>
    <x v="1"/>
    <b v="1"/>
    <b v="1"/>
    <x v="0"/>
    <x v="0"/>
    <x v="0"/>
    <x v="0"/>
    <x v="0"/>
    <n v="0.05"/>
    <x v="0"/>
    <s v="All hours"/>
    <s v="San Diego, CA"/>
    <n v="32.715699999999998"/>
    <n v="-117.1611"/>
    <d v="2023-05-09T00:00:00"/>
    <n v="5"/>
    <b v="1"/>
    <d v="2025-06-09T00:00:00"/>
    <x v="0"/>
    <x v="0"/>
  </r>
  <r>
    <b v="0"/>
    <d v="1899-12-30T14:02:00"/>
    <d v="1899-12-30T16:28:00"/>
    <n v="146"/>
    <x v="0"/>
    <b v="0"/>
    <b v="1"/>
    <x v="4"/>
    <x v="1"/>
    <x v="1"/>
    <x v="4"/>
    <x v="0"/>
    <n v="0.05"/>
    <x v="11"/>
    <s v="Weekdays only"/>
    <s v="San Jose, CA"/>
    <n v="37.338200000000001"/>
    <n v="-121.88630000000001"/>
    <d v="2024-01-11T00:00:00"/>
    <n v="0"/>
    <b v="0"/>
    <d v="2025-06-23T00:00:00"/>
    <x v="1"/>
    <x v="1"/>
  </r>
  <r>
    <b v="0"/>
    <d v="1899-12-30T13:10:00"/>
    <d v="1899-12-30T14:25:00"/>
    <n v="75"/>
    <x v="0"/>
    <b v="1"/>
    <b v="1"/>
    <x v="4"/>
    <x v="2"/>
    <x v="0"/>
    <x v="2"/>
    <x v="3"/>
    <n v="0.15"/>
    <x v="17"/>
    <s v="Off-peak only"/>
    <s v="Long Beach, CA"/>
    <n v="33.770099999999999"/>
    <n v="-118.19370000000001"/>
    <d v="2024-03-14T00:00:00"/>
    <n v="5"/>
    <b v="1"/>
    <d v="2025-06-26T00:00:00"/>
    <x v="0"/>
    <x v="0"/>
  </r>
  <r>
    <b v="1"/>
    <d v="1899-12-30T11:28:00"/>
    <d v="1899-12-30T14:14:00"/>
    <n v="166"/>
    <x v="0"/>
    <b v="0"/>
    <b v="1"/>
    <x v="4"/>
    <x v="1"/>
    <x v="1"/>
    <x v="4"/>
    <x v="0"/>
    <n v="0.05"/>
    <x v="11"/>
    <s v="Weekdays only"/>
    <s v="Long Beach, CA"/>
    <n v="33.770099999999999"/>
    <n v="-118.19370000000001"/>
    <d v="2023-05-08T00:00:00"/>
    <n v="0"/>
    <b v="0"/>
    <d v="2025-06-09T00:00:00"/>
    <x v="1"/>
    <x v="1"/>
  </r>
  <r>
    <b v="0"/>
    <d v="1899-12-30T09:57:00"/>
    <d v="1899-12-30T12:50:00"/>
    <n v="173"/>
    <x v="1"/>
    <b v="1"/>
    <b v="0"/>
    <x v="4"/>
    <x v="1"/>
    <x v="1"/>
    <x v="4"/>
    <x v="3"/>
    <n v="0.15"/>
    <x v="29"/>
    <s v="Weekdays only"/>
    <s v="Long Beach, CA"/>
    <n v="33.770099999999999"/>
    <n v="-118.19370000000001"/>
    <d v="2023-03-30T00:00:00"/>
    <n v="7"/>
    <b v="1"/>
    <d v="2025-06-07T00:00:00"/>
    <x v="0"/>
    <x v="0"/>
  </r>
  <r>
    <b v="1"/>
    <d v="1899-12-30T20:56:00"/>
    <d v="1899-12-30T23:36:00"/>
    <n v="160"/>
    <x v="1"/>
    <b v="1"/>
    <b v="0"/>
    <x v="0"/>
    <x v="3"/>
    <x v="2"/>
    <x v="9"/>
    <x v="3"/>
    <n v="0.15"/>
    <x v="19"/>
    <s v="All hours + Priority access"/>
    <s v="Sacramento, CA"/>
    <n v="38.581600000000002"/>
    <n v="-121.4944"/>
    <d v="2025-01-04T00:00:00"/>
    <n v="6"/>
    <b v="1"/>
    <d v="2025-07-13T00:00:00"/>
    <x v="2"/>
    <x v="4"/>
  </r>
  <r>
    <b v="0"/>
    <d v="1899-12-30T17:21:00"/>
    <d v="1899-12-30T18:46:00"/>
    <n v="85"/>
    <x v="0"/>
    <b v="1"/>
    <b v="0"/>
    <x v="4"/>
    <x v="0"/>
    <x v="1"/>
    <x v="6"/>
    <x v="2"/>
    <n v="0.1"/>
    <x v="30"/>
    <s v="All hours"/>
    <s v="Anaheim, CA"/>
    <n v="33.836599999999997"/>
    <n v="-117.9143"/>
    <d v="2023-09-12T00:00:00"/>
    <n v="5"/>
    <b v="0"/>
    <d v="2025-06-16T00:00:00"/>
    <x v="2"/>
    <x v="2"/>
  </r>
  <r>
    <b v="0"/>
    <d v="1899-12-30T18:07:00"/>
    <d v="1899-12-30T20:51:00"/>
    <n v="164"/>
    <x v="0"/>
    <b v="1"/>
    <b v="1"/>
    <x v="2"/>
    <x v="0"/>
    <x v="2"/>
    <x v="10"/>
    <x v="1"/>
    <n v="0"/>
    <x v="16"/>
    <s v="All hours"/>
    <s v="Fresno, CA"/>
    <n v="36.7378"/>
    <n v="-119.7871"/>
    <d v="2025-01-29T00:00:00"/>
    <n v="7"/>
    <b v="1"/>
    <d v="2025-07-14T00:00:00"/>
    <x v="2"/>
    <x v="2"/>
  </r>
  <r>
    <b v="1"/>
    <d v="1899-12-30T14:01:00"/>
    <d v="1899-12-30T15:56:00"/>
    <n v="115"/>
    <x v="0"/>
    <b v="0"/>
    <b v="0"/>
    <x v="4"/>
    <x v="0"/>
    <x v="0"/>
    <x v="0"/>
    <x v="1"/>
    <n v="0"/>
    <x v="5"/>
    <s v="All hours"/>
    <s v="Los Angeles, CA"/>
    <n v="34.052199999999999"/>
    <n v="-118.2437"/>
    <d v="2023-04-14T00:00:00"/>
    <n v="0"/>
    <b v="1"/>
    <d v="2025-06-07T00:00:00"/>
    <x v="2"/>
    <x v="2"/>
  </r>
  <r>
    <b v="1"/>
    <d v="1899-12-30T10:42:00"/>
    <d v="1899-12-30T12:12:00"/>
    <n v="90"/>
    <x v="0"/>
    <b v="0"/>
    <b v="0"/>
    <x v="2"/>
    <x v="0"/>
    <x v="1"/>
    <x v="6"/>
    <x v="2"/>
    <n v="0.1"/>
    <x v="30"/>
    <s v="All hours"/>
    <s v="San Diego, CA"/>
    <n v="32.715699999999998"/>
    <n v="-117.1611"/>
    <d v="2023-07-24T00:00:00"/>
    <n v="0"/>
    <b v="1"/>
    <d v="2025-06-13T00:00:00"/>
    <x v="2"/>
    <x v="4"/>
  </r>
  <r>
    <b v="0"/>
    <d v="1899-12-30T11:43:00"/>
    <d v="1899-12-30T12:52:00"/>
    <n v="69"/>
    <x v="0"/>
    <b v="0"/>
    <b v="1"/>
    <x v="4"/>
    <x v="1"/>
    <x v="0"/>
    <x v="1"/>
    <x v="3"/>
    <n v="0.15"/>
    <x v="15"/>
    <s v="Weekdays only"/>
    <s v="Bakersfield, CA"/>
    <n v="35.3733"/>
    <n v="-119.0187"/>
    <d v="2022-09-08T00:00:00"/>
    <n v="0"/>
    <b v="0"/>
    <d v="2025-05-26T00:00:00"/>
    <x v="2"/>
    <x v="2"/>
  </r>
  <r>
    <b v="0"/>
    <d v="1899-12-30T15:28:00"/>
    <d v="1899-12-30T16:34:00"/>
    <n v="66"/>
    <x v="0"/>
    <b v="1"/>
    <b v="0"/>
    <x v="0"/>
    <x v="3"/>
    <x v="0"/>
    <x v="3"/>
    <x v="2"/>
    <n v="0.1"/>
    <x v="22"/>
    <s v="All hours + Priority access"/>
    <s v="Fresno, CA"/>
    <n v="36.7378"/>
    <n v="-119.7871"/>
    <d v="2025-04-10T00:00:00"/>
    <n v="7"/>
    <b v="1"/>
    <d v="2025-07-18T00:00:00"/>
    <x v="3"/>
    <x v="3"/>
  </r>
  <r>
    <b v="1"/>
    <d v="1899-12-30T08:53:00"/>
    <d v="1899-12-30T11:11:00"/>
    <n v="138"/>
    <x v="0"/>
    <b v="1"/>
    <b v="1"/>
    <x v="0"/>
    <x v="2"/>
    <x v="0"/>
    <x v="2"/>
    <x v="0"/>
    <n v="0.05"/>
    <x v="18"/>
    <s v="Off-peak only"/>
    <s v="Fresno, CA"/>
    <n v="36.7378"/>
    <n v="-119.7871"/>
    <d v="2025-04-23T00:00:00"/>
    <n v="8"/>
    <b v="0"/>
    <d v="2025-07-19T00:00:00"/>
    <x v="3"/>
    <x v="3"/>
  </r>
  <r>
    <b v="0"/>
    <d v="1899-12-30T19:07:00"/>
    <d v="1899-12-30T20:06:00"/>
    <n v="59"/>
    <x v="1"/>
    <b v="1"/>
    <b v="0"/>
    <x v="0"/>
    <x v="1"/>
    <x v="0"/>
    <x v="1"/>
    <x v="2"/>
    <n v="0.1"/>
    <x v="2"/>
    <s v="Weekdays only"/>
    <s v="Fresno, CA"/>
    <n v="36.7378"/>
    <n v="-119.7871"/>
    <d v="2024-08-26T00:00:00"/>
    <n v="2"/>
    <b v="0"/>
    <d v="2025-07-06T00:00:00"/>
    <x v="2"/>
    <x v="2"/>
  </r>
  <r>
    <m/>
    <m/>
    <m/>
    <m/>
    <x v="2"/>
    <m/>
    <m/>
    <x v="5"/>
    <x v="4"/>
    <x v="3"/>
    <x v="12"/>
    <x v="4"/>
    <m/>
    <x v="43"/>
    <m/>
    <m/>
    <m/>
    <m/>
    <m/>
    <m/>
    <m/>
    <m/>
    <x v="4"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9">
  <r>
    <n v="40"/>
    <x v="0"/>
    <n v="2"/>
    <s v="Sat, Thu"/>
    <b v="0"/>
    <d v="1899-12-30T08:39:00"/>
    <d v="1899-12-30T10:37:00"/>
    <n v="118"/>
    <x v="0"/>
    <b v="0"/>
    <b v="0"/>
    <s v="Male"/>
    <x v="0"/>
    <x v="0"/>
    <n v="50"/>
    <x v="0"/>
    <n v="0.05"/>
    <n v="47.5"/>
    <x v="0"/>
    <s v="San Jose, CA"/>
    <n v="37.338200000000001"/>
    <n v="-121.88630000000001"/>
    <d v="2024-05-20T00:00:00"/>
    <n v="0"/>
    <x v="0"/>
    <d v="2025-06-30T00:00:00"/>
    <s v="40–49"/>
    <s v="40–49"/>
  </r>
  <r>
    <n v="35"/>
    <x v="1"/>
    <n v="5"/>
    <s v="Fri, Sat, Thu, Tue, Wed"/>
    <b v="1"/>
    <d v="1899-12-30T15:45:00"/>
    <d v="1899-12-30T18:43:00"/>
    <n v="178"/>
    <x v="0"/>
    <b v="0"/>
    <b v="0"/>
    <s v="Non-binary"/>
    <x v="1"/>
    <x v="0"/>
    <n v="30"/>
    <x v="1"/>
    <n v="0"/>
    <n v="30"/>
    <x v="1"/>
    <s v="Fresno, CA"/>
    <n v="36.7378"/>
    <n v="-119.7871"/>
    <d v="2022-09-14T00:00:00"/>
    <n v="0"/>
    <x v="1"/>
    <d v="2025-05-26T00:00:00"/>
    <s v="30–39"/>
    <s v="30–39"/>
  </r>
  <r>
    <n v="39"/>
    <x v="1"/>
    <n v="4"/>
    <s v="Sun, Thu, Tue, Wed"/>
    <b v="1"/>
    <d v="1899-12-30T13:35:00"/>
    <d v="1899-12-30T14:37:00"/>
    <n v="62"/>
    <x v="1"/>
    <b v="1"/>
    <b v="1"/>
    <s v="Male"/>
    <x v="1"/>
    <x v="0"/>
    <n v="30"/>
    <x v="2"/>
    <n v="0.1"/>
    <n v="27"/>
    <x v="1"/>
    <s v="Oakland, CA"/>
    <n v="37.804400000000001"/>
    <n v="-122.27119999999999"/>
    <d v="2023-05-05T00:00:00"/>
    <n v="4"/>
    <x v="1"/>
    <d v="2025-06-09T00:00:00"/>
    <s v="30–39"/>
    <s v="30–39"/>
  </r>
  <r>
    <n v="35"/>
    <x v="2"/>
    <n v="2"/>
    <s v="Mon, Tue"/>
    <b v="0"/>
    <d v="1899-12-30T17:06:00"/>
    <d v="1899-12-30T18:39:00"/>
    <n v="93"/>
    <x v="1"/>
    <b v="1"/>
    <b v="0"/>
    <s v="Male"/>
    <x v="2"/>
    <x v="0"/>
    <n v="20"/>
    <x v="1"/>
    <n v="0"/>
    <n v="20"/>
    <x v="2"/>
    <s v="Anaheim, CA"/>
    <n v="33.836599999999997"/>
    <n v="-117.9143"/>
    <d v="2023-09-24T00:00:00"/>
    <n v="7"/>
    <x v="1"/>
    <d v="2025-06-17T00:00:00"/>
    <s v="30–39"/>
    <s v="30–39"/>
  </r>
  <r>
    <n v="18"/>
    <x v="1"/>
    <n v="2"/>
    <s v="Sun, Wed"/>
    <b v="0"/>
    <d v="1899-12-30T14:16:00"/>
    <d v="1899-12-30T16:57:00"/>
    <n v="161"/>
    <x v="1"/>
    <b v="1"/>
    <b v="0"/>
    <s v="Prefer not to say"/>
    <x v="1"/>
    <x v="0"/>
    <n v="30"/>
    <x v="2"/>
    <n v="0.1"/>
    <n v="27"/>
    <x v="1"/>
    <s v="Sacramento, CA"/>
    <n v="38.581600000000002"/>
    <n v="-121.4944"/>
    <d v="2025-01-07T00:00:00"/>
    <n v="3"/>
    <x v="0"/>
    <d v="2025-07-13T00:00:00"/>
    <s v="10–19"/>
    <s v="16–19"/>
  </r>
  <r>
    <n v="43"/>
    <x v="1"/>
    <n v="1"/>
    <s v="Sun"/>
    <b v="0"/>
    <d v="1899-12-30T09:22:00"/>
    <d v="1899-12-30T10:15:00"/>
    <n v="53"/>
    <x v="0"/>
    <b v="1"/>
    <b v="0"/>
    <s v="Prefer not to say"/>
    <x v="1"/>
    <x v="0"/>
    <n v="30"/>
    <x v="2"/>
    <n v="0.1"/>
    <n v="27"/>
    <x v="1"/>
    <s v="Los Angeles, CA"/>
    <n v="34.052199999999999"/>
    <n v="-118.2437"/>
    <d v="2025-01-07T00:00:00"/>
    <n v="7"/>
    <x v="0"/>
    <d v="2025-07-13T00:00:00"/>
    <s v="40–49"/>
    <s v="40–49"/>
  </r>
  <r>
    <n v="29"/>
    <x v="3"/>
    <n v="4"/>
    <s v="Fri, Mon, Sun, Thu"/>
    <b v="1"/>
    <d v="1899-12-30T18:15:00"/>
    <d v="1899-12-30T18:54:00"/>
    <n v="39"/>
    <x v="0"/>
    <b v="1"/>
    <b v="1"/>
    <s v="Prefer not to say"/>
    <x v="3"/>
    <x v="0"/>
    <n v="70"/>
    <x v="1"/>
    <n v="0"/>
    <n v="70"/>
    <x v="3"/>
    <s v="San Diego, CA"/>
    <n v="32.715699999999998"/>
    <n v="-117.1611"/>
    <d v="2025-04-22T00:00:00"/>
    <n v="4"/>
    <x v="0"/>
    <d v="2025-07-19T00:00:00"/>
    <s v="20–29"/>
    <s v="20–29"/>
  </r>
  <r>
    <n v="49"/>
    <x v="0"/>
    <n v="3"/>
    <s v="Fri, Sun, Thu"/>
    <b v="0"/>
    <d v="1899-12-30T17:16:00"/>
    <d v="1899-12-30T19:52:00"/>
    <n v="156"/>
    <x v="1"/>
    <b v="0"/>
    <b v="0"/>
    <s v="Prefer not to say"/>
    <x v="0"/>
    <x v="0"/>
    <n v="50"/>
    <x v="1"/>
    <n v="0"/>
    <n v="50"/>
    <x v="0"/>
    <s v="Bakersfield, CA"/>
    <n v="35.3733"/>
    <n v="-119.0187"/>
    <d v="2022-12-13T00:00:00"/>
    <n v="0"/>
    <x v="1"/>
    <d v="2025-06-01T00:00:00"/>
    <s v="40–49"/>
    <s v="40–49"/>
  </r>
  <r>
    <n v="24"/>
    <x v="2"/>
    <n v="3"/>
    <s v="Sat, Thu, Wed"/>
    <b v="1"/>
    <d v="1899-12-30T12:00:00"/>
    <d v="1899-12-30T14:08:00"/>
    <n v="128"/>
    <x v="1"/>
    <b v="0"/>
    <b v="1"/>
    <s v="Other (self-described)"/>
    <x v="2"/>
    <x v="0"/>
    <n v="20"/>
    <x v="2"/>
    <n v="0.1"/>
    <n v="18"/>
    <x v="2"/>
    <s v="San Francisco, CA"/>
    <n v="37.774900000000002"/>
    <n v="-122.4194"/>
    <d v="2023-09-21T00:00:00"/>
    <n v="0"/>
    <x v="0"/>
    <d v="2025-06-16T00:00:00"/>
    <s v="20–29"/>
    <s v="20–29"/>
  </r>
  <r>
    <n v="33"/>
    <x v="2"/>
    <n v="4"/>
    <s v="Fri, Mon, Sun, Thu"/>
    <b v="0"/>
    <d v="1899-12-30T10:24:00"/>
    <d v="1899-12-30T11:48:00"/>
    <n v="84"/>
    <x v="1"/>
    <b v="0"/>
    <b v="0"/>
    <s v="Male"/>
    <x v="2"/>
    <x v="0"/>
    <n v="20"/>
    <x v="2"/>
    <n v="0.1"/>
    <n v="18"/>
    <x v="2"/>
    <s v="San Diego, CA"/>
    <n v="32.715699999999998"/>
    <n v="-117.1611"/>
    <d v="2023-05-30T00:00:00"/>
    <n v="0"/>
    <x v="0"/>
    <d v="2025-06-10T00:00:00"/>
    <s v="30–39"/>
    <s v="30–39"/>
  </r>
  <r>
    <n v="14"/>
    <x v="1"/>
    <n v="3"/>
    <s v="Sat, Sun, Wed"/>
    <b v="0"/>
    <d v="1899-12-30T10:11:00"/>
    <d v="1899-12-30T11:56:00"/>
    <n v="105"/>
    <x v="1"/>
    <b v="0"/>
    <b v="1"/>
    <s v="Male"/>
    <x v="1"/>
    <x v="0"/>
    <n v="30"/>
    <x v="1"/>
    <n v="0"/>
    <n v="30"/>
    <x v="1"/>
    <s v="San Francisco, CA"/>
    <n v="37.774900000000002"/>
    <n v="-122.4194"/>
    <d v="2025-06-01T00:00:00"/>
    <n v="0"/>
    <x v="1"/>
    <d v="2025-07-21T00:00:00"/>
    <s v="10–19"/>
    <s v="Under 16"/>
  </r>
  <r>
    <n v="43"/>
    <x v="1"/>
    <n v="2"/>
    <s v="Sat, Tue"/>
    <b v="0"/>
    <d v="1899-12-30T19:40:00"/>
    <d v="1899-12-30T22:32:00"/>
    <n v="172"/>
    <x v="0"/>
    <b v="1"/>
    <b v="0"/>
    <s v="Female"/>
    <x v="1"/>
    <x v="0"/>
    <n v="30"/>
    <x v="0"/>
    <n v="0.05"/>
    <n v="28.5"/>
    <x v="1"/>
    <s v="Los Angeles, CA"/>
    <n v="34.052199999999999"/>
    <n v="-118.2437"/>
    <d v="2022-08-25T00:00:00"/>
    <n v="6"/>
    <x v="0"/>
    <d v="2025-05-25T00:00:00"/>
    <s v="40–49"/>
    <s v="40–49"/>
  </r>
  <r>
    <n v="33"/>
    <x v="1"/>
    <n v="1"/>
    <s v="Wed"/>
    <b v="1"/>
    <d v="1899-12-30T16:41:00"/>
    <d v="1899-12-30T18:29:00"/>
    <n v="108"/>
    <x v="0"/>
    <b v="0"/>
    <b v="1"/>
    <s v="Non-binary"/>
    <x v="1"/>
    <x v="1"/>
    <n v="22.5"/>
    <x v="1"/>
    <n v="0"/>
    <n v="22.5"/>
    <x v="1"/>
    <s v="Oakland, CA"/>
    <n v="37.804400000000001"/>
    <n v="-122.27119999999999"/>
    <d v="2023-01-18T00:00:00"/>
    <n v="0"/>
    <x v="1"/>
    <d v="2025-06-03T00:00:00"/>
    <s v="30–39"/>
    <s v="30–39"/>
  </r>
  <r>
    <n v="28"/>
    <x v="1"/>
    <n v="3"/>
    <s v="Sat, Thu, Wed"/>
    <b v="0"/>
    <d v="1899-12-30T10:48:00"/>
    <d v="1899-12-30T12:09:00"/>
    <n v="81"/>
    <x v="0"/>
    <b v="0"/>
    <b v="0"/>
    <s v="Male"/>
    <x v="1"/>
    <x v="0"/>
    <n v="30"/>
    <x v="0"/>
    <n v="0.05"/>
    <n v="28.5"/>
    <x v="1"/>
    <s v="Long Beach, CA"/>
    <n v="33.770099999999999"/>
    <n v="-118.19370000000001"/>
    <d v="2024-11-08T00:00:00"/>
    <n v="0"/>
    <x v="1"/>
    <d v="2025-07-10T00:00:00"/>
    <s v="20–29"/>
    <s v="20–29"/>
  </r>
  <r>
    <n v="49"/>
    <x v="2"/>
    <n v="5"/>
    <s v="Fri, Mon, Sun, Tue, Wed"/>
    <b v="1"/>
    <d v="1899-12-30T10:28:00"/>
    <d v="1899-12-30T11:19:00"/>
    <n v="51"/>
    <x v="0"/>
    <b v="0"/>
    <b v="0"/>
    <s v="Female"/>
    <x v="2"/>
    <x v="1"/>
    <n v="15"/>
    <x v="0"/>
    <n v="0.05"/>
    <n v="14.25"/>
    <x v="2"/>
    <s v="Fresno, CA"/>
    <n v="36.7378"/>
    <n v="-119.7871"/>
    <d v="2024-12-11T00:00:00"/>
    <n v="0"/>
    <x v="1"/>
    <d v="2025-07-12T00:00:00"/>
    <s v="40–49"/>
    <s v="40–49"/>
  </r>
  <r>
    <n v="27"/>
    <x v="0"/>
    <n v="1"/>
    <s v="Thu"/>
    <b v="0"/>
    <d v="1899-12-30T14:17:00"/>
    <d v="1899-12-30T15:42:00"/>
    <n v="85"/>
    <x v="0"/>
    <b v="0"/>
    <b v="0"/>
    <s v="Prefer not to say"/>
    <x v="0"/>
    <x v="1"/>
    <n v="37.5"/>
    <x v="0"/>
    <n v="0.05"/>
    <n v="35.625"/>
    <x v="0"/>
    <s v="Bakersfield, CA"/>
    <n v="35.3733"/>
    <n v="-119.0187"/>
    <d v="2024-12-09T00:00:00"/>
    <n v="0"/>
    <x v="0"/>
    <d v="2025-07-11T00:00:00"/>
    <s v="20–29"/>
    <s v="20–29"/>
  </r>
  <r>
    <n v="26"/>
    <x v="1"/>
    <n v="5"/>
    <s v="Fri, Mon, Sat, Thu, Tue"/>
    <b v="0"/>
    <d v="1899-12-30T13:34:00"/>
    <d v="1899-12-30T15:19:00"/>
    <n v="105"/>
    <x v="1"/>
    <b v="0"/>
    <b v="1"/>
    <s v="Other (self-described)"/>
    <x v="1"/>
    <x v="0"/>
    <n v="30"/>
    <x v="1"/>
    <n v="0"/>
    <n v="30"/>
    <x v="1"/>
    <s v="San Jose, CA"/>
    <n v="37.338200000000001"/>
    <n v="-121.88630000000001"/>
    <d v="2024-08-02T00:00:00"/>
    <n v="0"/>
    <x v="0"/>
    <d v="2025-07-04T00:00:00"/>
    <s v="20–29"/>
    <s v="20–29"/>
  </r>
  <r>
    <n v="25"/>
    <x v="0"/>
    <n v="5"/>
    <s v="Mon, Sat, Sun, Thu, Wed"/>
    <b v="1"/>
    <d v="1899-12-30T12:25:00"/>
    <d v="1899-12-30T13:40:00"/>
    <n v="75"/>
    <x v="1"/>
    <b v="0"/>
    <b v="1"/>
    <s v="Male"/>
    <x v="0"/>
    <x v="0"/>
    <n v="50"/>
    <x v="1"/>
    <n v="0"/>
    <n v="50"/>
    <x v="0"/>
    <s v="San Jose, CA"/>
    <n v="37.338200000000001"/>
    <n v="-121.88630000000001"/>
    <d v="2023-12-12T00:00:00"/>
    <n v="0"/>
    <x v="0"/>
    <d v="2025-06-21T00:00:00"/>
    <s v="20–29"/>
    <s v="20–29"/>
  </r>
  <r>
    <n v="13"/>
    <x v="0"/>
    <n v="2"/>
    <s v="Mon, Tue"/>
    <b v="0"/>
    <d v="1899-12-30T17:27:00"/>
    <d v="1899-12-30T19:12:00"/>
    <n v="105"/>
    <x v="0"/>
    <b v="0"/>
    <b v="0"/>
    <s v="Prefer not to say"/>
    <x v="0"/>
    <x v="1"/>
    <n v="37.5"/>
    <x v="0"/>
    <n v="0.05"/>
    <n v="35.625"/>
    <x v="0"/>
    <s v="San Jose, CA"/>
    <n v="37.338200000000001"/>
    <n v="-121.88630000000001"/>
    <d v="2024-03-19T00:00:00"/>
    <n v="0"/>
    <x v="1"/>
    <d v="2025-06-27T00:00:00"/>
    <s v="10–19"/>
    <s v="Under 16"/>
  </r>
  <r>
    <n v="25"/>
    <x v="1"/>
    <n v="2"/>
    <s v="Thu, Wed"/>
    <b v="0"/>
    <d v="1899-12-30T10:38:00"/>
    <d v="1899-12-30T12:32:00"/>
    <n v="114"/>
    <x v="1"/>
    <b v="1"/>
    <b v="0"/>
    <s v="Non-binary"/>
    <x v="1"/>
    <x v="1"/>
    <n v="22.5"/>
    <x v="0"/>
    <n v="0.05"/>
    <n v="21.375"/>
    <x v="1"/>
    <s v="Sacramento, CA"/>
    <n v="38.581600000000002"/>
    <n v="-121.4944"/>
    <d v="2024-08-16T00:00:00"/>
    <n v="8"/>
    <x v="1"/>
    <d v="2025-07-05T00:00:00"/>
    <s v="20–29"/>
    <s v="20–29"/>
  </r>
  <r>
    <n v="21"/>
    <x v="0"/>
    <n v="1"/>
    <s v="Sun"/>
    <b v="1"/>
    <d v="1899-12-30T14:34:00"/>
    <d v="1899-12-30T15:04:00"/>
    <n v="30"/>
    <x v="1"/>
    <b v="1"/>
    <b v="1"/>
    <s v="Male"/>
    <x v="0"/>
    <x v="1"/>
    <n v="37.5"/>
    <x v="1"/>
    <n v="0"/>
    <n v="37.5"/>
    <x v="0"/>
    <s v="Long Beach, CA"/>
    <n v="33.770099999999999"/>
    <n v="-118.19370000000001"/>
    <d v="2023-09-10T00:00:00"/>
    <n v="2"/>
    <x v="0"/>
    <d v="2025-06-16T00:00:00"/>
    <s v="20–29"/>
    <s v="20–29"/>
  </r>
  <r>
    <n v="37"/>
    <x v="1"/>
    <n v="1"/>
    <s v="Tue"/>
    <b v="1"/>
    <d v="1899-12-30T18:06:00"/>
    <d v="1899-12-30T19:59:00"/>
    <n v="113"/>
    <x v="0"/>
    <b v="0"/>
    <b v="0"/>
    <s v="Female"/>
    <x v="1"/>
    <x v="0"/>
    <n v="30"/>
    <x v="1"/>
    <n v="0"/>
    <n v="30"/>
    <x v="1"/>
    <s v="San Francisco, CA"/>
    <n v="37.774900000000002"/>
    <n v="-122.4194"/>
    <d v="2025-01-25T00:00:00"/>
    <n v="0"/>
    <x v="1"/>
    <d v="2025-07-14T00:00:00"/>
    <s v="30–39"/>
    <s v="30–39"/>
  </r>
  <r>
    <n v="23"/>
    <x v="1"/>
    <n v="1"/>
    <s v="Wed"/>
    <b v="1"/>
    <d v="1899-12-30T19:00:00"/>
    <d v="1899-12-30T19:49:00"/>
    <n v="49"/>
    <x v="1"/>
    <b v="0"/>
    <b v="1"/>
    <s v="Female"/>
    <x v="1"/>
    <x v="0"/>
    <n v="30"/>
    <x v="0"/>
    <n v="0.05"/>
    <n v="28.5"/>
    <x v="1"/>
    <s v="Bakersfield, CA"/>
    <n v="35.3733"/>
    <n v="-119.0187"/>
    <d v="2024-08-15T00:00:00"/>
    <n v="0"/>
    <x v="1"/>
    <d v="2025-07-05T00:00:00"/>
    <s v="20–29"/>
    <s v="20–29"/>
  </r>
  <r>
    <n v="34"/>
    <x v="0"/>
    <n v="2"/>
    <s v="Sat, Thu"/>
    <b v="1"/>
    <d v="1899-12-30T13:39:00"/>
    <d v="1899-12-30T14:34:00"/>
    <n v="55"/>
    <x v="0"/>
    <b v="1"/>
    <b v="0"/>
    <s v="Male"/>
    <x v="0"/>
    <x v="0"/>
    <n v="50"/>
    <x v="0"/>
    <n v="0.05"/>
    <n v="47.5"/>
    <x v="0"/>
    <s v="San Diego, CA"/>
    <n v="32.715699999999998"/>
    <n v="-117.1611"/>
    <d v="2024-05-28T00:00:00"/>
    <n v="8"/>
    <x v="0"/>
    <d v="2025-07-01T00:00:00"/>
    <s v="30–39"/>
    <s v="30–39"/>
  </r>
  <r>
    <n v="12"/>
    <x v="1"/>
    <n v="5"/>
    <s v="Fri, Mon, Sun, Thu, Wed"/>
    <b v="0"/>
    <d v="1899-12-30T10:25:00"/>
    <d v="1899-12-30T12:18:00"/>
    <n v="113"/>
    <x v="0"/>
    <b v="0"/>
    <b v="1"/>
    <s v="Male"/>
    <x v="1"/>
    <x v="0"/>
    <n v="30"/>
    <x v="1"/>
    <n v="0"/>
    <n v="30"/>
    <x v="1"/>
    <s v="Los Angeles, CA"/>
    <n v="34.052199999999999"/>
    <n v="-118.2437"/>
    <d v="2024-02-23T00:00:00"/>
    <n v="0"/>
    <x v="1"/>
    <d v="2025-06-25T00:00:00"/>
    <s v="10–19"/>
    <s v="Under 16"/>
  </r>
  <r>
    <n v="40"/>
    <x v="2"/>
    <n v="2"/>
    <s v="Fri, Tue"/>
    <b v="1"/>
    <d v="1899-12-30T14:33:00"/>
    <d v="1899-12-30T15:40:00"/>
    <n v="67"/>
    <x v="1"/>
    <b v="1"/>
    <b v="0"/>
    <s v="Prefer not to say"/>
    <x v="2"/>
    <x v="1"/>
    <n v="15"/>
    <x v="3"/>
    <n v="0.15"/>
    <n v="12.75"/>
    <x v="2"/>
    <s v="Oakland, CA"/>
    <n v="37.804400000000001"/>
    <n v="-122.27119999999999"/>
    <d v="2023-03-09T00:00:00"/>
    <n v="8"/>
    <x v="1"/>
    <d v="2025-06-05T00:00:00"/>
    <s v="40–49"/>
    <s v="40–49"/>
  </r>
  <r>
    <n v="49"/>
    <x v="1"/>
    <n v="1"/>
    <s v="Fri"/>
    <b v="1"/>
    <d v="1899-12-30T08:06:00"/>
    <d v="1899-12-30T10:41:00"/>
    <n v="155"/>
    <x v="0"/>
    <b v="1"/>
    <b v="0"/>
    <s v="Female"/>
    <x v="1"/>
    <x v="0"/>
    <n v="30"/>
    <x v="1"/>
    <n v="0"/>
    <n v="30"/>
    <x v="1"/>
    <s v="Anaheim, CA"/>
    <n v="33.836599999999997"/>
    <n v="-117.9143"/>
    <d v="2024-11-22T00:00:00"/>
    <n v="6"/>
    <x v="1"/>
    <d v="2025-07-11T00:00:00"/>
    <s v="40–49"/>
    <s v="40–49"/>
  </r>
  <r>
    <n v="39"/>
    <x v="2"/>
    <n v="5"/>
    <s v="Mon, Sun, Thu, Tue, Wed"/>
    <b v="1"/>
    <d v="1899-12-30T19:04:00"/>
    <d v="1899-12-30T20:02:00"/>
    <n v="58"/>
    <x v="1"/>
    <b v="0"/>
    <b v="1"/>
    <s v="Male"/>
    <x v="2"/>
    <x v="1"/>
    <n v="15"/>
    <x v="1"/>
    <n v="0"/>
    <n v="15"/>
    <x v="2"/>
    <s v="Sacramento, CA"/>
    <n v="38.581600000000002"/>
    <n v="-121.4944"/>
    <d v="2023-12-23T00:00:00"/>
    <n v="0"/>
    <x v="0"/>
    <d v="2025-06-22T00:00:00"/>
    <s v="30–39"/>
    <s v="30–39"/>
  </r>
  <r>
    <n v="22"/>
    <x v="2"/>
    <n v="5"/>
    <s v="Fri, Sun, Thu, Tue, Wed"/>
    <b v="0"/>
    <d v="1899-12-30T09:16:00"/>
    <d v="1899-12-30T12:08:00"/>
    <n v="172"/>
    <x v="0"/>
    <b v="1"/>
    <b v="0"/>
    <s v="Male"/>
    <x v="2"/>
    <x v="2"/>
    <n v="18"/>
    <x v="1"/>
    <n v="0"/>
    <n v="18"/>
    <x v="2"/>
    <s v="Oakland, CA"/>
    <n v="37.804400000000001"/>
    <n v="-122.27119999999999"/>
    <d v="2023-10-01T00:00:00"/>
    <n v="7"/>
    <x v="1"/>
    <d v="2025-06-17T00:00:00"/>
    <s v="20–29"/>
    <s v="20–29"/>
  </r>
  <r>
    <n v="17"/>
    <x v="0"/>
    <n v="2"/>
    <s v="Fri, Sat"/>
    <b v="0"/>
    <d v="1899-12-30T08:38:00"/>
    <d v="1899-12-30T11:24:00"/>
    <n v="166"/>
    <x v="0"/>
    <b v="1"/>
    <b v="1"/>
    <s v="Non-binary"/>
    <x v="0"/>
    <x v="1"/>
    <n v="37.5"/>
    <x v="1"/>
    <n v="0"/>
    <n v="37.5"/>
    <x v="0"/>
    <s v="Bakersfield, CA"/>
    <n v="35.3733"/>
    <n v="-119.0187"/>
    <d v="2025-05-04T00:00:00"/>
    <n v="2"/>
    <x v="0"/>
    <d v="2025-07-20T00:00:00"/>
    <s v="10–19"/>
    <s v="16–19"/>
  </r>
  <r>
    <n v="16"/>
    <x v="0"/>
    <n v="5"/>
    <s v="Fri, Sat, Thu, Tue, Wed"/>
    <b v="0"/>
    <d v="1899-12-30T18:39:00"/>
    <d v="1899-12-30T20:06:00"/>
    <n v="87"/>
    <x v="0"/>
    <b v="1"/>
    <b v="1"/>
    <s v="Male"/>
    <x v="0"/>
    <x v="0"/>
    <n v="50"/>
    <x v="1"/>
    <n v="0"/>
    <n v="50"/>
    <x v="0"/>
    <s v="Oakland, CA"/>
    <n v="37.804400000000001"/>
    <n v="-122.27119999999999"/>
    <d v="2023-09-14T00:00:00"/>
    <n v="1"/>
    <x v="0"/>
    <d v="2025-06-16T00:00:00"/>
    <s v="10–19"/>
    <s v="16–19"/>
  </r>
  <r>
    <n v="49"/>
    <x v="1"/>
    <n v="3"/>
    <s v="Mon, Sat, Sun"/>
    <b v="0"/>
    <d v="1899-12-30T15:25:00"/>
    <d v="1899-12-30T18:05:00"/>
    <n v="160"/>
    <x v="1"/>
    <b v="0"/>
    <b v="1"/>
    <s v="Female"/>
    <x v="1"/>
    <x v="0"/>
    <n v="30"/>
    <x v="2"/>
    <n v="0.1"/>
    <n v="27"/>
    <x v="1"/>
    <s v="Los Angeles, CA"/>
    <n v="34.052199999999999"/>
    <n v="-118.2437"/>
    <d v="2024-12-23T00:00:00"/>
    <n v="0"/>
    <x v="1"/>
    <d v="2025-07-12T00:00:00"/>
    <s v="40–49"/>
    <s v="40–49"/>
  </r>
  <r>
    <n v="49"/>
    <x v="1"/>
    <n v="3"/>
    <s v="Fri, Mon, Wed"/>
    <b v="0"/>
    <d v="1899-12-30T12:37:00"/>
    <d v="1899-12-30T13:15:00"/>
    <n v="38"/>
    <x v="1"/>
    <b v="1"/>
    <b v="0"/>
    <s v="Male"/>
    <x v="1"/>
    <x v="0"/>
    <n v="30"/>
    <x v="1"/>
    <n v="0"/>
    <n v="30"/>
    <x v="1"/>
    <s v="San Jose, CA"/>
    <n v="37.338200000000001"/>
    <n v="-121.88630000000001"/>
    <d v="2025-04-14T00:00:00"/>
    <n v="5"/>
    <x v="0"/>
    <d v="2025-07-19T00:00:00"/>
    <s v="40–49"/>
    <s v="40–49"/>
  </r>
  <r>
    <n v="37"/>
    <x v="1"/>
    <n v="1"/>
    <s v="Fri"/>
    <b v="1"/>
    <d v="1899-12-30T16:04:00"/>
    <d v="1899-12-30T18:16:00"/>
    <n v="132"/>
    <x v="1"/>
    <b v="1"/>
    <b v="1"/>
    <s v="Male"/>
    <x v="1"/>
    <x v="1"/>
    <n v="22.5"/>
    <x v="1"/>
    <n v="0"/>
    <n v="22.5"/>
    <x v="1"/>
    <s v="Anaheim, CA"/>
    <n v="33.836599999999997"/>
    <n v="-117.9143"/>
    <d v="2022-09-16T00:00:00"/>
    <n v="6"/>
    <x v="1"/>
    <d v="2025-05-27T00:00:00"/>
    <s v="30–39"/>
    <s v="30–39"/>
  </r>
  <r>
    <n v="33"/>
    <x v="1"/>
    <n v="3"/>
    <s v="Fri, Sat, Sun"/>
    <b v="0"/>
    <d v="1899-12-30T15:13:00"/>
    <d v="1899-12-30T16:46:00"/>
    <n v="93"/>
    <x v="0"/>
    <b v="1"/>
    <b v="1"/>
    <s v="Male"/>
    <x v="1"/>
    <x v="0"/>
    <n v="30"/>
    <x v="3"/>
    <n v="0.15"/>
    <n v="25.5"/>
    <x v="1"/>
    <s v="Los Angeles, CA"/>
    <n v="34.052199999999999"/>
    <n v="-118.2437"/>
    <d v="2022-08-29T00:00:00"/>
    <n v="4"/>
    <x v="0"/>
    <d v="2025-05-26T00:00:00"/>
    <s v="30–39"/>
    <s v="30–39"/>
  </r>
  <r>
    <n v="23"/>
    <x v="1"/>
    <n v="3"/>
    <s v="Sat, Tue, Wed"/>
    <b v="1"/>
    <d v="1899-12-30T12:33:00"/>
    <d v="1899-12-30T14:41:00"/>
    <n v="128"/>
    <x v="0"/>
    <b v="0"/>
    <b v="0"/>
    <s v="Non-binary"/>
    <x v="1"/>
    <x v="2"/>
    <n v="27"/>
    <x v="1"/>
    <n v="0"/>
    <n v="27"/>
    <x v="1"/>
    <s v="Bakersfield, CA"/>
    <n v="35.3733"/>
    <n v="-119.0187"/>
    <d v="2023-02-13T00:00:00"/>
    <n v="0"/>
    <x v="1"/>
    <d v="2025-06-04T00:00:00"/>
    <s v="20–29"/>
    <s v="20–29"/>
  </r>
  <r>
    <n v="14"/>
    <x v="0"/>
    <n v="2"/>
    <s v="Sun, Tue"/>
    <b v="0"/>
    <d v="1899-12-30T12:23:00"/>
    <d v="1899-12-30T14:44:00"/>
    <n v="141"/>
    <x v="1"/>
    <b v="1"/>
    <b v="1"/>
    <s v="Other (self-described)"/>
    <x v="0"/>
    <x v="0"/>
    <n v="50"/>
    <x v="2"/>
    <n v="0.1"/>
    <n v="45"/>
    <x v="0"/>
    <s v="Oakland, CA"/>
    <n v="37.804400000000001"/>
    <n v="-122.27119999999999"/>
    <d v="2024-08-02T00:00:00"/>
    <n v="1"/>
    <x v="1"/>
    <d v="2025-07-04T00:00:00"/>
    <s v="10–19"/>
    <s v="Under 16"/>
  </r>
  <r>
    <n v="45"/>
    <x v="3"/>
    <n v="4"/>
    <s v="Sat, Sun, Thu, Tue"/>
    <b v="0"/>
    <d v="1899-12-30T11:19:00"/>
    <d v="1899-12-30T12:16:00"/>
    <n v="57"/>
    <x v="0"/>
    <b v="1"/>
    <b v="1"/>
    <s v="Female"/>
    <x v="3"/>
    <x v="0"/>
    <n v="70"/>
    <x v="1"/>
    <n v="0"/>
    <n v="70"/>
    <x v="3"/>
    <s v="Fresno, CA"/>
    <n v="36.7378"/>
    <n v="-119.7871"/>
    <d v="2025-03-10T00:00:00"/>
    <n v="5"/>
    <x v="0"/>
    <d v="2025-07-17T00:00:00"/>
    <s v="40–49"/>
    <s v="40–49"/>
  </r>
  <r>
    <n v="47"/>
    <x v="0"/>
    <n v="3"/>
    <s v="Fri, Sat, Tue"/>
    <b v="1"/>
    <d v="1899-12-30T12:51:00"/>
    <d v="1899-12-30T14:37:00"/>
    <n v="106"/>
    <x v="0"/>
    <b v="1"/>
    <b v="1"/>
    <s v="Non-binary"/>
    <x v="0"/>
    <x v="0"/>
    <n v="50"/>
    <x v="2"/>
    <n v="0.1"/>
    <n v="45"/>
    <x v="0"/>
    <s v="Oakland, CA"/>
    <n v="37.804400000000001"/>
    <n v="-122.27119999999999"/>
    <d v="2023-06-25T00:00:00"/>
    <n v="4"/>
    <x v="1"/>
    <d v="2025-06-11T00:00:00"/>
    <s v="40–49"/>
    <s v="40–49"/>
  </r>
  <r>
    <n v="22"/>
    <x v="1"/>
    <n v="5"/>
    <s v="Fri, Sat, Sun, Tue, Wed"/>
    <b v="1"/>
    <d v="1899-12-30T08:13:00"/>
    <d v="1899-12-30T09:46:00"/>
    <n v="93"/>
    <x v="0"/>
    <b v="0"/>
    <b v="1"/>
    <s v="Male"/>
    <x v="1"/>
    <x v="0"/>
    <n v="30"/>
    <x v="0"/>
    <n v="0.05"/>
    <n v="28.5"/>
    <x v="1"/>
    <s v="San Jose, CA"/>
    <n v="37.338200000000001"/>
    <n v="-121.88630000000001"/>
    <d v="2024-03-11T00:00:00"/>
    <n v="0"/>
    <x v="1"/>
    <d v="2025-06-26T00:00:00"/>
    <s v="20–29"/>
    <s v="20–29"/>
  </r>
  <r>
    <n v="17"/>
    <x v="0"/>
    <n v="2"/>
    <s v="Fri, Tue"/>
    <b v="0"/>
    <d v="1899-12-30T09:30:00"/>
    <d v="1899-12-30T12:24:00"/>
    <n v="174"/>
    <x v="1"/>
    <b v="1"/>
    <b v="1"/>
    <s v="Non-binary"/>
    <x v="0"/>
    <x v="0"/>
    <n v="50"/>
    <x v="1"/>
    <n v="0"/>
    <n v="50"/>
    <x v="0"/>
    <s v="Los Angeles, CA"/>
    <n v="34.052199999999999"/>
    <n v="-118.2437"/>
    <d v="2025-02-13T00:00:00"/>
    <n v="8"/>
    <x v="0"/>
    <d v="2025-07-15T00:00:00"/>
    <s v="10–19"/>
    <s v="16–1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4-01-12T00:00:00"/>
    <n v="0"/>
    <x v="0"/>
    <d v="2025-06-23T00:00:00"/>
    <s v="20–29"/>
    <s v="20–29"/>
  </r>
  <r>
    <n v="12"/>
    <x v="2"/>
    <n v="5"/>
    <s v="Mon, Sat, Sun, Thu, Wed"/>
    <b v="1"/>
    <d v="1899-12-30T09:36:00"/>
    <d v="1899-12-30T12:09:00"/>
    <n v="153"/>
    <x v="1"/>
    <b v="1"/>
    <b v="1"/>
    <s v="Male"/>
    <x v="2"/>
    <x v="0"/>
    <n v="20"/>
    <x v="3"/>
    <n v="0.15"/>
    <n v="17"/>
    <x v="2"/>
    <s v="Sacramento, CA"/>
    <n v="38.581600000000002"/>
    <n v="-121.4944"/>
    <d v="2025-05-17T00:00:00"/>
    <n v="3"/>
    <x v="1"/>
    <d v="2025-07-20T00:00:00"/>
    <s v="10–19"/>
    <s v="Under 16"/>
  </r>
  <r>
    <n v="42"/>
    <x v="1"/>
    <n v="5"/>
    <s v="Mon, Sat, Sun, Thu, Wed"/>
    <b v="1"/>
    <d v="1899-12-30T12:05:00"/>
    <d v="1899-12-30T14:14:00"/>
    <n v="129"/>
    <x v="1"/>
    <b v="1"/>
    <b v="0"/>
    <s v="Female"/>
    <x v="1"/>
    <x v="0"/>
    <n v="30"/>
    <x v="1"/>
    <n v="0"/>
    <n v="30"/>
    <x v="1"/>
    <s v="San Francisco, CA"/>
    <n v="37.774900000000002"/>
    <n v="-122.4194"/>
    <d v="2022-10-28T00:00:00"/>
    <n v="4"/>
    <x v="1"/>
    <d v="2025-05-29T00:00:00"/>
    <s v="40–49"/>
    <s v="40–49"/>
  </r>
  <r>
    <n v="18"/>
    <x v="1"/>
    <n v="3"/>
    <s v="Mon, Sat, Tue"/>
    <b v="1"/>
    <d v="1899-12-30T17:46:00"/>
    <d v="1899-12-30T20:29:00"/>
    <n v="163"/>
    <x v="0"/>
    <b v="1"/>
    <b v="0"/>
    <s v="Non-binary"/>
    <x v="1"/>
    <x v="1"/>
    <n v="22.5"/>
    <x v="1"/>
    <n v="0"/>
    <n v="22.5"/>
    <x v="1"/>
    <s v="Fresno, CA"/>
    <n v="36.7378"/>
    <n v="-119.7871"/>
    <d v="2024-09-20T00:00:00"/>
    <n v="2"/>
    <x v="1"/>
    <d v="2025-07-07T00:00:00"/>
    <s v="10–19"/>
    <s v="16–19"/>
  </r>
  <r>
    <n v="36"/>
    <x v="0"/>
    <n v="1"/>
    <s v="Sun"/>
    <b v="0"/>
    <d v="1899-12-30T19:20:00"/>
    <d v="1899-12-30T21:58:00"/>
    <n v="158"/>
    <x v="1"/>
    <b v="0"/>
    <b v="0"/>
    <s v="Other (self-described)"/>
    <x v="0"/>
    <x v="1"/>
    <n v="37.5"/>
    <x v="1"/>
    <n v="0"/>
    <n v="37.5"/>
    <x v="0"/>
    <s v="Bakersfield, CA"/>
    <n v="35.3733"/>
    <n v="-119.0187"/>
    <d v="2023-07-18T00:00:00"/>
    <n v="0"/>
    <x v="0"/>
    <d v="2025-06-13T00:00:00"/>
    <s v="30–39"/>
    <s v="30–39"/>
  </r>
  <r>
    <n v="23"/>
    <x v="2"/>
    <n v="3"/>
    <s v="Fri, Mon, Wed"/>
    <b v="1"/>
    <d v="1899-12-30T12:43:00"/>
    <d v="1899-12-30T13:13:00"/>
    <n v="30"/>
    <x v="1"/>
    <b v="0"/>
    <b v="0"/>
    <s v="Prefer not to say"/>
    <x v="2"/>
    <x v="0"/>
    <n v="20"/>
    <x v="0"/>
    <n v="0.05"/>
    <n v="19"/>
    <x v="2"/>
    <s v="Fresno, CA"/>
    <n v="36.7378"/>
    <n v="-119.7871"/>
    <d v="2024-07-26T00:00:00"/>
    <n v="0"/>
    <x v="0"/>
    <d v="2025-07-04T00:00:00"/>
    <s v="20–29"/>
    <s v="20–29"/>
  </r>
  <r>
    <n v="36"/>
    <x v="0"/>
    <n v="3"/>
    <s v="Sat, Sun, Tue"/>
    <b v="1"/>
    <d v="1899-12-30T09:39:00"/>
    <d v="1899-12-30T11:08:00"/>
    <n v="89"/>
    <x v="0"/>
    <b v="0"/>
    <b v="1"/>
    <s v="Male"/>
    <x v="0"/>
    <x v="0"/>
    <n v="50"/>
    <x v="1"/>
    <n v="0"/>
    <n v="50"/>
    <x v="0"/>
    <s v="Fresno, CA"/>
    <n v="36.7378"/>
    <n v="-119.7871"/>
    <d v="2023-12-17T00:00:00"/>
    <n v="0"/>
    <x v="0"/>
    <d v="2025-06-21T00:00:00"/>
    <s v="30–39"/>
    <s v="30–39"/>
  </r>
  <r>
    <n v="36"/>
    <x v="0"/>
    <n v="3"/>
    <s v="Mon, Sat, Thu"/>
    <b v="0"/>
    <d v="1899-12-30T11:06:00"/>
    <d v="1899-12-30T11:44:00"/>
    <n v="38"/>
    <x v="1"/>
    <b v="1"/>
    <b v="0"/>
    <s v="Female"/>
    <x v="0"/>
    <x v="0"/>
    <n v="50"/>
    <x v="2"/>
    <n v="0.1"/>
    <n v="45"/>
    <x v="0"/>
    <s v="Anaheim, CA"/>
    <n v="33.836599999999997"/>
    <n v="-117.9143"/>
    <d v="2023-11-18T00:00:00"/>
    <n v="2"/>
    <x v="0"/>
    <d v="2025-06-20T00:00:00"/>
    <s v="30–39"/>
    <s v="30–39"/>
  </r>
  <r>
    <n v="17"/>
    <x v="3"/>
    <n v="2"/>
    <s v="Fri, Sun"/>
    <b v="0"/>
    <d v="1899-12-30T17:44:00"/>
    <d v="1899-12-30T18:20:00"/>
    <n v="36"/>
    <x v="1"/>
    <b v="1"/>
    <b v="0"/>
    <s v="Male"/>
    <x v="3"/>
    <x v="2"/>
    <n v="63"/>
    <x v="3"/>
    <n v="0.15"/>
    <n v="53.55"/>
    <x v="3"/>
    <s v="Anaheim, CA"/>
    <n v="33.836599999999997"/>
    <n v="-117.9143"/>
    <d v="2024-12-08T00:00:00"/>
    <n v="3"/>
    <x v="0"/>
    <d v="2025-07-11T00:00:00"/>
    <s v="10–19"/>
    <s v="16–19"/>
  </r>
  <r>
    <n v="32"/>
    <x v="2"/>
    <n v="5"/>
    <s v="Fri, Sun, Thu, Tue, Wed"/>
    <b v="0"/>
    <d v="1899-12-30T19:52:00"/>
    <d v="1899-12-30T21:17:00"/>
    <n v="85"/>
    <x v="1"/>
    <b v="1"/>
    <b v="1"/>
    <s v="Prefer not to say"/>
    <x v="2"/>
    <x v="1"/>
    <n v="15"/>
    <x v="3"/>
    <n v="0.15"/>
    <n v="12.75"/>
    <x v="2"/>
    <s v="Fresno, CA"/>
    <n v="36.7378"/>
    <n v="-119.7871"/>
    <d v="2022-08-25T00:00:00"/>
    <n v="1"/>
    <x v="0"/>
    <d v="2025-05-25T00:00:00"/>
    <s v="30–39"/>
    <s v="30–39"/>
  </r>
  <r>
    <n v="40"/>
    <x v="0"/>
    <n v="3"/>
    <s v="Mon, Thu, Tue"/>
    <b v="0"/>
    <d v="1899-12-30T19:38:00"/>
    <d v="1899-12-30T21:10:00"/>
    <n v="92"/>
    <x v="1"/>
    <b v="1"/>
    <b v="1"/>
    <s v="Male"/>
    <x v="0"/>
    <x v="0"/>
    <n v="50"/>
    <x v="1"/>
    <n v="0"/>
    <n v="50"/>
    <x v="0"/>
    <s v="Long Beach, CA"/>
    <n v="33.770099999999999"/>
    <n v="-118.19370000000001"/>
    <d v="2023-03-20T00:00:00"/>
    <n v="5"/>
    <x v="1"/>
    <d v="2025-06-06T00:00:00"/>
    <s v="40–49"/>
    <s v="40–49"/>
  </r>
  <r>
    <n v="46"/>
    <x v="1"/>
    <n v="1"/>
    <s v="Sun"/>
    <b v="0"/>
    <d v="1899-12-30T14:38:00"/>
    <d v="1899-12-30T17:21:00"/>
    <n v="163"/>
    <x v="1"/>
    <b v="0"/>
    <b v="1"/>
    <s v="Non-binary"/>
    <x v="1"/>
    <x v="0"/>
    <n v="30"/>
    <x v="1"/>
    <n v="0"/>
    <n v="30"/>
    <x v="1"/>
    <s v="San Francisco, CA"/>
    <n v="37.774900000000002"/>
    <n v="-122.4194"/>
    <d v="2022-09-26T00:00:00"/>
    <n v="0"/>
    <x v="1"/>
    <d v="2025-05-27T00:00:00"/>
    <s v="40–49"/>
    <s v="40–49"/>
  </r>
  <r>
    <n v="39"/>
    <x v="0"/>
    <n v="2"/>
    <s v="Sat, Sun"/>
    <b v="0"/>
    <d v="1899-12-30T16:53:00"/>
    <d v="1899-12-30T18:08:00"/>
    <n v="75"/>
    <x v="0"/>
    <b v="1"/>
    <b v="0"/>
    <s v="Non-binary"/>
    <x v="0"/>
    <x v="1"/>
    <n v="37.5"/>
    <x v="0"/>
    <n v="0.05"/>
    <n v="35.625"/>
    <x v="0"/>
    <s v="San Francisco, CA"/>
    <n v="37.774900000000002"/>
    <n v="-122.4194"/>
    <d v="2022-11-13T00:00:00"/>
    <n v="4"/>
    <x v="0"/>
    <d v="2025-05-30T00:00:00"/>
    <s v="30–39"/>
    <s v="30–39"/>
  </r>
  <r>
    <n v="30"/>
    <x v="0"/>
    <n v="5"/>
    <s v="Fri, Mon, Sun, Tue, Wed"/>
    <b v="1"/>
    <d v="1899-12-30T10:56:00"/>
    <d v="1899-12-30T13:40:00"/>
    <n v="164"/>
    <x v="0"/>
    <b v="1"/>
    <b v="1"/>
    <s v="Non-binary"/>
    <x v="0"/>
    <x v="1"/>
    <n v="37.5"/>
    <x v="0"/>
    <n v="0.05"/>
    <n v="35.625"/>
    <x v="0"/>
    <s v="San Jose, CA"/>
    <n v="37.338200000000001"/>
    <n v="-121.88630000000001"/>
    <d v="2023-09-25T00:00:00"/>
    <n v="2"/>
    <x v="1"/>
    <d v="2025-06-17T00:00:00"/>
    <s v="30–39"/>
    <s v="30–39"/>
  </r>
  <r>
    <n v="24"/>
    <x v="0"/>
    <n v="1"/>
    <s v="Sat"/>
    <b v="0"/>
    <d v="1899-12-30T16:51:00"/>
    <d v="1899-12-30T18:31:00"/>
    <n v="100"/>
    <x v="0"/>
    <b v="1"/>
    <b v="1"/>
    <s v="Female"/>
    <x v="0"/>
    <x v="0"/>
    <n v="50"/>
    <x v="1"/>
    <n v="0"/>
    <n v="50"/>
    <x v="0"/>
    <s v="Sacramento, CA"/>
    <n v="38.581600000000002"/>
    <n v="-121.4944"/>
    <d v="2022-10-15T00:00:00"/>
    <n v="1"/>
    <x v="0"/>
    <d v="2025-05-28T00:00:00"/>
    <s v="20–29"/>
    <s v="20–29"/>
  </r>
  <r>
    <n v="41"/>
    <x v="0"/>
    <n v="1"/>
    <s v="Wed"/>
    <b v="0"/>
    <d v="1899-12-30T16:21:00"/>
    <d v="1899-12-30T18:39:00"/>
    <n v="138"/>
    <x v="1"/>
    <b v="1"/>
    <b v="0"/>
    <s v="Male"/>
    <x v="0"/>
    <x v="0"/>
    <n v="50"/>
    <x v="2"/>
    <n v="0.1"/>
    <n v="45"/>
    <x v="0"/>
    <s v="San Diego, CA"/>
    <n v="32.715699999999998"/>
    <n v="-117.1611"/>
    <d v="2025-03-20T00:00:00"/>
    <n v="3"/>
    <x v="0"/>
    <d v="2025-07-17T00:00:00"/>
    <s v="40–49"/>
    <s v="40–4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4-11-26T00:00:00"/>
    <n v="7"/>
    <x v="0"/>
    <d v="2025-07-11T00:00:00"/>
    <s v="20–29"/>
    <s v="20–29"/>
  </r>
  <r>
    <n v="17"/>
    <x v="1"/>
    <n v="1"/>
    <s v="Wed"/>
    <b v="0"/>
    <d v="1899-12-30T10:30:00"/>
    <d v="1899-12-30T13:27:00"/>
    <n v="177"/>
    <x v="1"/>
    <b v="1"/>
    <b v="1"/>
    <s v="Male"/>
    <x v="1"/>
    <x v="0"/>
    <n v="30"/>
    <x v="3"/>
    <n v="0.15"/>
    <n v="25.5"/>
    <x v="1"/>
    <s v="Long Beach, CA"/>
    <n v="33.770099999999999"/>
    <n v="-118.19370000000001"/>
    <d v="2025-05-05T00:00:00"/>
    <n v="6"/>
    <x v="1"/>
    <d v="2025-07-20T00:00:00"/>
    <s v="10–19"/>
    <s v="16–19"/>
  </r>
  <r>
    <n v="19"/>
    <x v="2"/>
    <n v="2"/>
    <s v="Fri, Sat"/>
    <b v="1"/>
    <d v="1899-12-30T20:23:00"/>
    <d v="1899-12-30T21:49:00"/>
    <n v="86"/>
    <x v="0"/>
    <b v="1"/>
    <b v="0"/>
    <s v="Male"/>
    <x v="2"/>
    <x v="1"/>
    <n v="15"/>
    <x v="2"/>
    <n v="0.1"/>
    <n v="13.5"/>
    <x v="2"/>
    <s v="San Diego, CA"/>
    <n v="32.715699999999998"/>
    <n v="-117.1611"/>
    <d v="2024-07-11T00:00:00"/>
    <n v="7"/>
    <x v="1"/>
    <d v="2025-07-03T00:00:00"/>
    <s v="10–19"/>
    <s v="16–1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4-05-05T00:00:00"/>
    <n v="7"/>
    <x v="1"/>
    <d v="2025-06-29T00:00:00"/>
    <s v="10–19"/>
    <s v="16–19"/>
  </r>
  <r>
    <n v="18"/>
    <x v="0"/>
    <n v="4"/>
    <s v="Sun, Thu, Tue, Wed"/>
    <b v="0"/>
    <d v="1899-12-30T11:23:00"/>
    <d v="1899-12-30T14:03:00"/>
    <n v="160"/>
    <x v="1"/>
    <b v="0"/>
    <b v="0"/>
    <s v="Prefer not to say"/>
    <x v="0"/>
    <x v="1"/>
    <n v="37.5"/>
    <x v="1"/>
    <n v="0"/>
    <n v="37.5"/>
    <x v="0"/>
    <s v="Fresno, CA"/>
    <n v="36.7378"/>
    <n v="-119.7871"/>
    <d v="2024-09-07T00:00:00"/>
    <n v="0"/>
    <x v="0"/>
    <d v="2025-07-06T00:00:00"/>
    <s v="10–19"/>
    <s v="16–19"/>
  </r>
  <r>
    <n v="38"/>
    <x v="1"/>
    <n v="1"/>
    <s v="Tue"/>
    <b v="1"/>
    <d v="1899-12-30T12:52:00"/>
    <d v="1899-12-30T15:23:00"/>
    <n v="151"/>
    <x v="1"/>
    <b v="0"/>
    <b v="0"/>
    <s v="Male"/>
    <x v="1"/>
    <x v="1"/>
    <n v="22.5"/>
    <x v="0"/>
    <n v="0.05"/>
    <n v="21.375"/>
    <x v="1"/>
    <s v="San Diego, CA"/>
    <n v="32.715699999999998"/>
    <n v="-117.1611"/>
    <d v="2023-01-22T00:00:00"/>
    <n v="0"/>
    <x v="1"/>
    <d v="2025-06-03T00:00:00"/>
    <s v="30–39"/>
    <s v="30–39"/>
  </r>
  <r>
    <n v="36"/>
    <x v="0"/>
    <n v="1"/>
    <s v="Sun"/>
    <b v="0"/>
    <d v="1899-12-30T19:20:00"/>
    <d v="1899-12-30T21:58:00"/>
    <n v="158"/>
    <x v="1"/>
    <b v="0"/>
    <b v="0"/>
    <s v="Other (self-described)"/>
    <x v="0"/>
    <x v="1"/>
    <n v="37.5"/>
    <x v="1"/>
    <n v="0"/>
    <n v="37.5"/>
    <x v="0"/>
    <s v="Bakersfield, CA"/>
    <n v="35.3733"/>
    <n v="-119.0187"/>
    <d v="2024-06-08T00:00:00"/>
    <n v="0"/>
    <x v="0"/>
    <d v="2025-07-01T00:00:00"/>
    <s v="30–39"/>
    <s v="30–39"/>
  </r>
  <r>
    <n v="48"/>
    <x v="2"/>
    <n v="1"/>
    <s v="Wed"/>
    <b v="1"/>
    <d v="1899-12-30T14:44:00"/>
    <d v="1899-12-30T17:01:00"/>
    <n v="137"/>
    <x v="0"/>
    <b v="1"/>
    <b v="0"/>
    <s v="Male"/>
    <x v="2"/>
    <x v="2"/>
    <n v="18"/>
    <x v="0"/>
    <n v="0.05"/>
    <n v="17.100000000000001"/>
    <x v="2"/>
    <s v="Long Beach, CA"/>
    <n v="33.770099999999999"/>
    <n v="-118.19370000000001"/>
    <d v="2024-08-27T00:00:00"/>
    <n v="2"/>
    <x v="1"/>
    <d v="2025-07-06T00:00:00"/>
    <s v="40–49"/>
    <s v="40–49"/>
  </r>
  <r>
    <n v="14"/>
    <x v="0"/>
    <n v="1"/>
    <s v="Mon"/>
    <b v="1"/>
    <d v="1899-12-30T11:56:00"/>
    <d v="1899-12-30T13:37:00"/>
    <n v="101"/>
    <x v="0"/>
    <b v="0"/>
    <b v="0"/>
    <s v="Male"/>
    <x v="0"/>
    <x v="1"/>
    <n v="37.5"/>
    <x v="1"/>
    <n v="0"/>
    <n v="37.5"/>
    <x v="0"/>
    <s v="Sacramento, CA"/>
    <n v="38.581600000000002"/>
    <n v="-121.4944"/>
    <d v="2023-11-23T00:00:00"/>
    <n v="0"/>
    <x v="0"/>
    <d v="2025-06-20T00:00:00"/>
    <s v="10–19"/>
    <s v="Under 16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5-01-23T00:00:00"/>
    <n v="0"/>
    <x v="0"/>
    <d v="2025-07-14T00:00:00"/>
    <s v="30–39"/>
    <s v="30–39"/>
  </r>
  <r>
    <n v="43"/>
    <x v="1"/>
    <n v="4"/>
    <s v="Mon, Sat, Tue, Wed"/>
    <b v="1"/>
    <d v="1899-12-30T10:38:00"/>
    <d v="1899-12-30T11:41:00"/>
    <n v="63"/>
    <x v="1"/>
    <b v="1"/>
    <b v="1"/>
    <s v="Male"/>
    <x v="1"/>
    <x v="1"/>
    <n v="22.5"/>
    <x v="0"/>
    <n v="0.05"/>
    <n v="21.375"/>
    <x v="1"/>
    <s v="Bakersfield, CA"/>
    <n v="35.3733"/>
    <n v="-119.0187"/>
    <d v="2023-02-19T00:00:00"/>
    <n v="8"/>
    <x v="1"/>
    <d v="2025-06-04T00:00:00"/>
    <s v="40–49"/>
    <s v="40–4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5-04-04T00:00:00"/>
    <n v="8"/>
    <x v="0"/>
    <d v="2025-07-18T00:00:00"/>
    <s v="20–29"/>
    <s v="20–29"/>
  </r>
  <r>
    <n v="15"/>
    <x v="1"/>
    <n v="4"/>
    <s v="Fri, Sat, Sun, Wed"/>
    <b v="0"/>
    <d v="1899-12-30T14:06:00"/>
    <d v="1899-12-30T15:54:00"/>
    <n v="108"/>
    <x v="1"/>
    <b v="0"/>
    <b v="1"/>
    <s v="Male"/>
    <x v="1"/>
    <x v="0"/>
    <n v="30"/>
    <x v="1"/>
    <n v="0"/>
    <n v="30"/>
    <x v="1"/>
    <s v="Oakland, CA"/>
    <n v="37.804400000000001"/>
    <n v="-122.27119999999999"/>
    <d v="2022-08-06T00:00:00"/>
    <n v="0"/>
    <x v="0"/>
    <d v="2025-05-24T00:00:00"/>
    <s v="10–19"/>
    <s v="Under 16"/>
  </r>
  <r>
    <n v="19"/>
    <x v="0"/>
    <n v="3"/>
    <s v="Fri, Sun, Wed"/>
    <b v="1"/>
    <d v="1899-12-30T15:01:00"/>
    <d v="1899-12-30T16:59:00"/>
    <n v="118"/>
    <x v="1"/>
    <b v="0"/>
    <b v="0"/>
    <s v="Male"/>
    <x v="0"/>
    <x v="1"/>
    <n v="37.5"/>
    <x v="0"/>
    <n v="0.05"/>
    <n v="35.625"/>
    <x v="0"/>
    <s v="San Diego, CA"/>
    <n v="32.715699999999998"/>
    <n v="-117.1611"/>
    <d v="2023-03-23T00:00:00"/>
    <n v="0"/>
    <x v="0"/>
    <d v="2025-06-06T00:00:00"/>
    <s v="10–19"/>
    <s v="16–19"/>
  </r>
  <r>
    <n v="38"/>
    <x v="1"/>
    <n v="3"/>
    <s v="Sat, Sun, Wed"/>
    <b v="1"/>
    <d v="1899-12-30T13:20:00"/>
    <d v="1899-12-30T14:42:00"/>
    <n v="82"/>
    <x v="0"/>
    <b v="0"/>
    <b v="0"/>
    <s v="Non-binary"/>
    <x v="1"/>
    <x v="2"/>
    <n v="27"/>
    <x v="1"/>
    <n v="0"/>
    <n v="27"/>
    <x v="1"/>
    <s v="San Diego, CA"/>
    <n v="32.715699999999998"/>
    <n v="-117.1611"/>
    <d v="2024-11-23T00:00:00"/>
    <n v="0"/>
    <x v="0"/>
    <d v="2025-07-11T00:00:00"/>
    <s v="30–39"/>
    <s v="30–39"/>
  </r>
  <r>
    <n v="42"/>
    <x v="2"/>
    <n v="2"/>
    <s v="Fri, Mon"/>
    <b v="0"/>
    <d v="1899-12-30T18:22:00"/>
    <d v="1899-12-30T20:18:00"/>
    <n v="116"/>
    <x v="1"/>
    <b v="1"/>
    <b v="0"/>
    <s v="Prefer not to say"/>
    <x v="2"/>
    <x v="0"/>
    <n v="20"/>
    <x v="0"/>
    <n v="0.05"/>
    <n v="19"/>
    <x v="2"/>
    <s v="Fresno, CA"/>
    <n v="36.7378"/>
    <n v="-119.7871"/>
    <d v="2025-06-17T00:00:00"/>
    <n v="3"/>
    <x v="1"/>
    <d v="2025-07-22T00:00:00"/>
    <s v="40–49"/>
    <s v="40–49"/>
  </r>
  <r>
    <n v="48"/>
    <x v="2"/>
    <n v="3"/>
    <s v="Fri, Sat, Thu"/>
    <b v="1"/>
    <d v="1899-12-30T15:30:00"/>
    <d v="1899-12-30T16:26:00"/>
    <n v="56"/>
    <x v="1"/>
    <b v="1"/>
    <b v="0"/>
    <s v="Male"/>
    <x v="2"/>
    <x v="1"/>
    <n v="15"/>
    <x v="1"/>
    <n v="0"/>
    <n v="15"/>
    <x v="2"/>
    <s v="Long Beach, CA"/>
    <n v="33.770099999999999"/>
    <n v="-118.19370000000001"/>
    <d v="2023-02-05T00:00:00"/>
    <n v="4"/>
    <x v="1"/>
    <d v="2025-06-04T00:00:00"/>
    <s v="40–49"/>
    <s v="40–49"/>
  </r>
  <r>
    <n v="49"/>
    <x v="0"/>
    <n v="1"/>
    <s v="Tue"/>
    <b v="1"/>
    <d v="1899-12-30T16:18:00"/>
    <d v="1899-12-30T17:35:00"/>
    <n v="77"/>
    <x v="1"/>
    <b v="0"/>
    <b v="0"/>
    <s v="Male"/>
    <x v="0"/>
    <x v="0"/>
    <n v="50"/>
    <x v="1"/>
    <n v="0"/>
    <n v="50"/>
    <x v="0"/>
    <s v="San Jose, CA"/>
    <n v="37.338200000000001"/>
    <n v="-121.88630000000001"/>
    <d v="2023-06-01T00:00:00"/>
    <n v="0"/>
    <x v="1"/>
    <d v="2025-06-10T00:00:00"/>
    <s v="40–49"/>
    <s v="40–49"/>
  </r>
  <r>
    <n v="34"/>
    <x v="2"/>
    <n v="2"/>
    <s v="Mon, Sun"/>
    <b v="0"/>
    <d v="1899-12-30T19:17:00"/>
    <d v="1899-12-30T20:30:00"/>
    <n v="73"/>
    <x v="0"/>
    <b v="1"/>
    <b v="1"/>
    <s v="Male"/>
    <x v="2"/>
    <x v="0"/>
    <n v="20"/>
    <x v="1"/>
    <n v="0"/>
    <n v="20"/>
    <x v="2"/>
    <s v="Bakersfield, CA"/>
    <n v="35.3733"/>
    <n v="-119.0187"/>
    <d v="2023-05-08T00:00:00"/>
    <n v="8"/>
    <x v="1"/>
    <d v="2025-06-09T00:00:00"/>
    <s v="30–39"/>
    <s v="30–39"/>
  </r>
  <r>
    <n v="14"/>
    <x v="3"/>
    <n v="5"/>
    <s v="Sat, Sun, Thu, Tue, Wed"/>
    <b v="1"/>
    <d v="1899-12-30T08:25:00"/>
    <d v="1899-12-30T10:08:00"/>
    <n v="103"/>
    <x v="0"/>
    <b v="1"/>
    <b v="1"/>
    <s v="Male"/>
    <x v="3"/>
    <x v="0"/>
    <n v="70"/>
    <x v="2"/>
    <n v="0.1"/>
    <n v="63"/>
    <x v="3"/>
    <s v="Oakland, CA"/>
    <n v="37.804400000000001"/>
    <n v="-122.27119999999999"/>
    <d v="2023-03-24T00:00:00"/>
    <n v="7"/>
    <x v="0"/>
    <d v="2025-06-06T00:00:00"/>
    <s v="10–19"/>
    <s v="Under 16"/>
  </r>
  <r>
    <n v="36"/>
    <x v="3"/>
    <n v="4"/>
    <s v="Mon, Thu, Tue, Wed"/>
    <b v="1"/>
    <d v="1899-12-30T17:28:00"/>
    <d v="1899-12-30T18:29:00"/>
    <n v="61"/>
    <x v="0"/>
    <b v="0"/>
    <b v="0"/>
    <s v="Male"/>
    <x v="3"/>
    <x v="0"/>
    <n v="70"/>
    <x v="1"/>
    <n v="0"/>
    <n v="70"/>
    <x v="3"/>
    <s v="San Diego, CA"/>
    <n v="32.715699999999998"/>
    <n v="-117.1611"/>
    <d v="2025-04-05T00:00:00"/>
    <n v="0"/>
    <x v="0"/>
    <d v="2025-07-18T00:00:00"/>
    <s v="30–39"/>
    <s v="30–39"/>
  </r>
  <r>
    <n v="41"/>
    <x v="1"/>
    <n v="2"/>
    <s v="Sun, Tue"/>
    <b v="0"/>
    <d v="1899-12-30T13:55:00"/>
    <d v="1899-12-30T16:22:00"/>
    <n v="147"/>
    <x v="0"/>
    <b v="0"/>
    <b v="1"/>
    <s v="Male"/>
    <x v="1"/>
    <x v="0"/>
    <n v="30"/>
    <x v="3"/>
    <n v="0.15"/>
    <n v="25.5"/>
    <x v="1"/>
    <s v="Long Beach, CA"/>
    <n v="33.770099999999999"/>
    <n v="-118.19370000000001"/>
    <d v="2024-06-06T00:00:00"/>
    <n v="0"/>
    <x v="1"/>
    <d v="2025-07-01T00:00:00"/>
    <s v="40–49"/>
    <s v="40–49"/>
  </r>
  <r>
    <n v="14"/>
    <x v="3"/>
    <n v="2"/>
    <s v="Mon, Tue"/>
    <b v="0"/>
    <d v="1899-12-30T13:53:00"/>
    <d v="1899-12-30T16:06:00"/>
    <n v="133"/>
    <x v="1"/>
    <b v="1"/>
    <b v="0"/>
    <s v="Non-binary"/>
    <x v="3"/>
    <x v="0"/>
    <n v="70"/>
    <x v="0"/>
    <n v="0.05"/>
    <n v="66.5"/>
    <x v="3"/>
    <s v="Fresno, CA"/>
    <n v="36.7378"/>
    <n v="-119.7871"/>
    <d v="2025-02-19T00:00:00"/>
    <n v="8"/>
    <x v="0"/>
    <d v="2025-07-16T00:00:00"/>
    <s v="10–19"/>
    <s v="Under 16"/>
  </r>
  <r>
    <n v="35"/>
    <x v="1"/>
    <n v="1"/>
    <s v="Fri"/>
    <b v="1"/>
    <d v="1899-12-30T13:12:00"/>
    <d v="1899-12-30T14:54:00"/>
    <n v="102"/>
    <x v="1"/>
    <b v="1"/>
    <b v="0"/>
    <s v="Non-binary"/>
    <x v="1"/>
    <x v="0"/>
    <n v="30"/>
    <x v="1"/>
    <n v="0"/>
    <n v="30"/>
    <x v="1"/>
    <s v="Long Beach, CA"/>
    <n v="33.770099999999999"/>
    <n v="-118.19370000000001"/>
    <d v="2022-12-16T00:00:00"/>
    <n v="7"/>
    <x v="1"/>
    <d v="2025-06-01T00:00:00"/>
    <s v="30–39"/>
    <s v="30–39"/>
  </r>
  <r>
    <n v="23"/>
    <x v="3"/>
    <n v="1"/>
    <s v="Sun"/>
    <b v="1"/>
    <d v="1899-12-30T20:41:00"/>
    <d v="1899-12-30T23:00:00"/>
    <n v="139"/>
    <x v="0"/>
    <b v="1"/>
    <b v="0"/>
    <s v="Prefer not to say"/>
    <x v="3"/>
    <x v="0"/>
    <n v="70"/>
    <x v="1"/>
    <n v="0"/>
    <n v="70"/>
    <x v="3"/>
    <s v="Long Beach, CA"/>
    <n v="33.770099999999999"/>
    <n v="-118.19370000000001"/>
    <d v="2023-08-29T00:00:00"/>
    <n v="5"/>
    <x v="0"/>
    <d v="2025-06-15T00:00:00"/>
    <s v="20–29"/>
    <s v="20–29"/>
  </r>
  <r>
    <n v="20"/>
    <x v="1"/>
    <n v="3"/>
    <s v="Fri, Thu, Wed"/>
    <b v="0"/>
    <d v="1899-12-30T15:28:00"/>
    <d v="1899-12-30T17:58:00"/>
    <n v="150"/>
    <x v="1"/>
    <b v="0"/>
    <b v="1"/>
    <s v="Female"/>
    <x v="1"/>
    <x v="2"/>
    <n v="27"/>
    <x v="3"/>
    <n v="0.15"/>
    <n v="22.95"/>
    <x v="1"/>
    <s v="Fresno, CA"/>
    <n v="36.7378"/>
    <n v="-119.7871"/>
    <d v="2024-07-05T00:00:00"/>
    <n v="0"/>
    <x v="0"/>
    <d v="2025-07-03T00:00:00"/>
    <s v="20–29"/>
    <s v="20–29"/>
  </r>
  <r>
    <n v="45"/>
    <x v="0"/>
    <n v="1"/>
    <s v="Mon"/>
    <b v="1"/>
    <d v="1899-12-30T09:31:00"/>
    <d v="1899-12-30T10:42:00"/>
    <n v="71"/>
    <x v="1"/>
    <b v="0"/>
    <b v="1"/>
    <s v="Other (self-described)"/>
    <x v="0"/>
    <x v="2"/>
    <n v="45"/>
    <x v="3"/>
    <n v="0.15"/>
    <n v="38.25"/>
    <x v="0"/>
    <s v="Bakersfield, CA"/>
    <n v="35.3733"/>
    <n v="-119.0187"/>
    <d v="2025-04-16T00:00:00"/>
    <n v="0"/>
    <x v="0"/>
    <d v="2025-07-19T00:00:00"/>
    <s v="40–49"/>
    <s v="40–49"/>
  </r>
  <r>
    <n v="14"/>
    <x v="2"/>
    <n v="2"/>
    <s v="Sat, Sun"/>
    <b v="0"/>
    <d v="1899-12-30T10:09:00"/>
    <d v="1899-12-30T11:15:00"/>
    <n v="66"/>
    <x v="0"/>
    <b v="1"/>
    <b v="1"/>
    <s v="Female"/>
    <x v="2"/>
    <x v="0"/>
    <n v="20"/>
    <x v="1"/>
    <n v="0"/>
    <n v="20"/>
    <x v="2"/>
    <s v="San Francisco, CA"/>
    <n v="37.774900000000002"/>
    <n v="-122.4194"/>
    <d v="2024-07-26T00:00:00"/>
    <n v="2"/>
    <x v="0"/>
    <d v="2025-07-04T00:00:00"/>
    <s v="10–19"/>
    <s v="Under 16"/>
  </r>
  <r>
    <n v="21"/>
    <x v="0"/>
    <n v="2"/>
    <s v="Fri, Sat"/>
    <b v="1"/>
    <d v="1899-12-30T14:55:00"/>
    <d v="1899-12-30T15:28:00"/>
    <n v="33"/>
    <x v="1"/>
    <b v="1"/>
    <b v="0"/>
    <s v="Female"/>
    <x v="0"/>
    <x v="0"/>
    <n v="50"/>
    <x v="0"/>
    <n v="0.05"/>
    <n v="47.5"/>
    <x v="0"/>
    <s v="San Jose, CA"/>
    <n v="37.338200000000001"/>
    <n v="-121.88630000000001"/>
    <d v="2024-07-11T00:00:00"/>
    <n v="2"/>
    <x v="0"/>
    <d v="2025-07-03T00:00:00"/>
    <s v="20–29"/>
    <s v="20–29"/>
  </r>
  <r>
    <n v="19"/>
    <x v="0"/>
    <n v="2"/>
    <s v="Mon, Wed"/>
    <b v="1"/>
    <d v="1899-12-30T10:42:00"/>
    <d v="1899-12-30T13:29:00"/>
    <n v="167"/>
    <x v="0"/>
    <b v="1"/>
    <b v="0"/>
    <s v="Male"/>
    <x v="0"/>
    <x v="0"/>
    <n v="50"/>
    <x v="2"/>
    <n v="0.1"/>
    <n v="45"/>
    <x v="0"/>
    <s v="Sacramento, CA"/>
    <n v="38.581600000000002"/>
    <n v="-121.4944"/>
    <d v="2023-05-07T00:00:00"/>
    <n v="4"/>
    <x v="0"/>
    <d v="2025-06-09T00:00:00"/>
    <s v="10–19"/>
    <s v="16–19"/>
  </r>
  <r>
    <n v="24"/>
    <x v="3"/>
    <n v="4"/>
    <s v="Fri, Sat, Sun, Tue"/>
    <b v="0"/>
    <d v="1899-12-30T15:28:00"/>
    <d v="1899-12-30T16:34:00"/>
    <n v="66"/>
    <x v="0"/>
    <b v="1"/>
    <b v="0"/>
    <s v="Male"/>
    <x v="3"/>
    <x v="0"/>
    <n v="70"/>
    <x v="2"/>
    <n v="0.1"/>
    <n v="63"/>
    <x v="3"/>
    <s v="Fresno, CA"/>
    <n v="36.7378"/>
    <n v="-119.7871"/>
    <d v="2023-08-14T00:00:00"/>
    <n v="8"/>
    <x v="0"/>
    <d v="2025-06-14T00:00:00"/>
    <s v="20–29"/>
    <s v="20–29"/>
  </r>
  <r>
    <n v="13"/>
    <x v="3"/>
    <n v="2"/>
    <s v="Mon, Tue"/>
    <b v="1"/>
    <d v="1899-12-30T20:56:00"/>
    <d v="1899-12-30T23:36:00"/>
    <n v="160"/>
    <x v="1"/>
    <b v="1"/>
    <b v="0"/>
    <s v="Male"/>
    <x v="3"/>
    <x v="2"/>
    <n v="63"/>
    <x v="3"/>
    <n v="0.15"/>
    <n v="53.55"/>
    <x v="3"/>
    <s v="Sacramento, CA"/>
    <n v="38.581600000000002"/>
    <n v="-121.4944"/>
    <d v="2022-11-21T00:00:00"/>
    <n v="8"/>
    <x v="0"/>
    <d v="2025-05-30T00:00:00"/>
    <s v="10–19"/>
    <s v="Under 16"/>
  </r>
  <r>
    <n v="46"/>
    <x v="1"/>
    <n v="3"/>
    <s v="Mon, Thu, Tue"/>
    <b v="1"/>
    <d v="1899-12-30T20:17:00"/>
    <d v="1899-12-30T21:11:00"/>
    <n v="54"/>
    <x v="0"/>
    <b v="0"/>
    <b v="1"/>
    <s v="Non-binary"/>
    <x v="1"/>
    <x v="0"/>
    <n v="30"/>
    <x v="2"/>
    <n v="0.1"/>
    <n v="27"/>
    <x v="1"/>
    <s v="Oakland, CA"/>
    <n v="37.804400000000001"/>
    <n v="-122.27119999999999"/>
    <d v="2024-02-06T00:00:00"/>
    <n v="0"/>
    <x v="0"/>
    <d v="2025-06-24T00:00:00"/>
    <s v="40–49"/>
    <s v="40–49"/>
  </r>
  <r>
    <n v="23"/>
    <x v="1"/>
    <n v="2"/>
    <s v="Mon, Wed"/>
    <b v="1"/>
    <d v="1899-12-30T18:01:00"/>
    <d v="1899-12-30T19:30:00"/>
    <n v="89"/>
    <x v="0"/>
    <b v="1"/>
    <b v="1"/>
    <s v="Non-binary"/>
    <x v="1"/>
    <x v="0"/>
    <n v="30"/>
    <x v="1"/>
    <n v="0"/>
    <n v="30"/>
    <x v="1"/>
    <s v="Oakland, CA"/>
    <n v="37.804400000000001"/>
    <n v="-122.27119999999999"/>
    <d v="2025-02-15T00:00:00"/>
    <n v="6"/>
    <x v="0"/>
    <d v="2025-07-15T00:00:00"/>
    <s v="20–29"/>
    <s v="20–29"/>
  </r>
  <r>
    <n v="18"/>
    <x v="1"/>
    <n v="2"/>
    <s v="Thu, Tue"/>
    <b v="0"/>
    <d v="1899-12-30T16:41:00"/>
    <d v="1899-12-30T19:00:00"/>
    <n v="139"/>
    <x v="1"/>
    <b v="0"/>
    <b v="0"/>
    <s v="Female"/>
    <x v="1"/>
    <x v="1"/>
    <n v="22.5"/>
    <x v="1"/>
    <n v="0"/>
    <n v="22.5"/>
    <x v="1"/>
    <s v="Bakersfield, CA"/>
    <n v="35.3733"/>
    <n v="-119.0187"/>
    <d v="2023-05-25T00:00:00"/>
    <n v="0"/>
    <x v="1"/>
    <d v="2025-06-10T00:00:00"/>
    <s v="10–19"/>
    <s v="16–19"/>
  </r>
  <r>
    <n v="19"/>
    <x v="2"/>
    <n v="3"/>
    <s v="Fri, Thu, Tue"/>
    <b v="0"/>
    <d v="1899-12-30T10:58:00"/>
    <d v="1899-12-30T12:22:00"/>
    <n v="84"/>
    <x v="0"/>
    <b v="1"/>
    <b v="1"/>
    <s v="Non-binary"/>
    <x v="2"/>
    <x v="1"/>
    <n v="15"/>
    <x v="3"/>
    <n v="0.15"/>
    <n v="12.75"/>
    <x v="2"/>
    <s v="Sacramento, CA"/>
    <n v="38.581600000000002"/>
    <n v="-121.4944"/>
    <d v="2023-04-04T00:00:00"/>
    <n v="1"/>
    <x v="0"/>
    <d v="2025-06-07T00:00:00"/>
    <s v="10–19"/>
    <s v="16–1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3-11-03T00:00:00"/>
    <n v="5"/>
    <x v="1"/>
    <d v="2025-06-19T00:00:00"/>
    <s v="40–49"/>
    <s v="40–49"/>
  </r>
  <r>
    <n v="45"/>
    <x v="1"/>
    <n v="2"/>
    <s v="Mon, Wed"/>
    <b v="1"/>
    <d v="1899-12-30T14:20:00"/>
    <d v="1899-12-30T17:20:00"/>
    <n v="180"/>
    <x v="1"/>
    <b v="1"/>
    <b v="1"/>
    <s v="Female"/>
    <x v="1"/>
    <x v="1"/>
    <n v="22.5"/>
    <x v="2"/>
    <n v="0.1"/>
    <n v="20.25"/>
    <x v="1"/>
    <s v="Anaheim, CA"/>
    <n v="33.836599999999997"/>
    <n v="-117.9143"/>
    <d v="2023-03-24T00:00:00"/>
    <n v="2"/>
    <x v="0"/>
    <d v="2025-06-06T00:00:00"/>
    <s v="40–49"/>
    <s v="40–49"/>
  </r>
  <r>
    <n v="17"/>
    <x v="3"/>
    <n v="2"/>
    <s v="Fri, Sun"/>
    <b v="1"/>
    <d v="1899-12-30T20:55:00"/>
    <d v="1899-12-30T22:18:00"/>
    <n v="83"/>
    <x v="1"/>
    <b v="0"/>
    <b v="0"/>
    <s v="Male"/>
    <x v="3"/>
    <x v="2"/>
    <n v="63"/>
    <x v="3"/>
    <n v="0.15"/>
    <n v="53.55"/>
    <x v="3"/>
    <s v="Sacramento, CA"/>
    <n v="38.581600000000002"/>
    <n v="-121.4944"/>
    <d v="2024-01-14T00:00:00"/>
    <n v="0"/>
    <x v="0"/>
    <d v="2025-06-23T00:00:00"/>
    <s v="10–19"/>
    <s v="16–19"/>
  </r>
  <r>
    <n v="20"/>
    <x v="0"/>
    <n v="2"/>
    <s v="Fri, Sat"/>
    <b v="0"/>
    <d v="1899-12-30T18:54:00"/>
    <d v="1899-12-30T19:37:00"/>
    <n v="43"/>
    <x v="1"/>
    <b v="1"/>
    <b v="1"/>
    <s v="Male"/>
    <x v="0"/>
    <x v="0"/>
    <n v="50"/>
    <x v="3"/>
    <n v="0.15"/>
    <n v="42.5"/>
    <x v="0"/>
    <s v="Oakland, CA"/>
    <n v="37.804400000000001"/>
    <n v="-122.27119999999999"/>
    <d v="2023-12-14T00:00:00"/>
    <n v="5"/>
    <x v="0"/>
    <d v="2025-06-21T00:00:00"/>
    <s v="20–29"/>
    <s v="20–29"/>
  </r>
  <r>
    <n v="41"/>
    <x v="0"/>
    <n v="5"/>
    <s v="Fri, Sat, Thu, Tue, Wed"/>
    <b v="0"/>
    <d v="1899-12-30T13:53:00"/>
    <d v="1899-12-30T16:05:00"/>
    <n v="132"/>
    <x v="0"/>
    <b v="0"/>
    <b v="1"/>
    <s v="Female"/>
    <x v="0"/>
    <x v="0"/>
    <n v="50"/>
    <x v="1"/>
    <n v="0"/>
    <n v="50"/>
    <x v="0"/>
    <s v="San Francisco, CA"/>
    <n v="37.774900000000002"/>
    <n v="-122.4194"/>
    <d v="2024-03-24T00:00:00"/>
    <n v="0"/>
    <x v="0"/>
    <d v="2025-06-27T00:00:00"/>
    <s v="40–49"/>
    <s v="40–49"/>
  </r>
  <r>
    <n v="36"/>
    <x v="0"/>
    <n v="1"/>
    <s v="Sun"/>
    <b v="0"/>
    <d v="1899-12-30T19:20:00"/>
    <d v="1899-12-30T21:58:00"/>
    <n v="158"/>
    <x v="1"/>
    <b v="0"/>
    <b v="0"/>
    <s v="Other (self-described)"/>
    <x v="0"/>
    <x v="1"/>
    <n v="37.5"/>
    <x v="1"/>
    <n v="0"/>
    <n v="37.5"/>
    <x v="0"/>
    <s v="Bakersfield, CA"/>
    <n v="35.3733"/>
    <n v="-119.0187"/>
    <d v="2025-05-26T00:00:00"/>
    <n v="0"/>
    <x v="0"/>
    <d v="2025-07-21T00:00:00"/>
    <s v="30–39"/>
    <s v="30–39"/>
  </r>
  <r>
    <n v="46"/>
    <x v="0"/>
    <n v="5"/>
    <s v="Mon, Sat, Thu, Tue, Wed"/>
    <b v="0"/>
    <d v="1899-12-30T20:46:00"/>
    <d v="1899-12-30T22:09:00"/>
    <n v="83"/>
    <x v="1"/>
    <b v="1"/>
    <b v="1"/>
    <s v="Female"/>
    <x v="0"/>
    <x v="1"/>
    <n v="37.5"/>
    <x v="3"/>
    <n v="0.15"/>
    <n v="31.875"/>
    <x v="0"/>
    <s v="Bakersfield, CA"/>
    <n v="35.3733"/>
    <n v="-119.0187"/>
    <d v="2025-02-28T00:00:00"/>
    <n v="2"/>
    <x v="0"/>
    <d v="2025-07-16T00:00:00"/>
    <s v="40–49"/>
    <s v="40–49"/>
  </r>
  <r>
    <n v="42"/>
    <x v="0"/>
    <n v="4"/>
    <s v="Fri, Mon, Thu, Tue"/>
    <b v="1"/>
    <d v="1899-12-30T09:55:00"/>
    <d v="1899-12-30T10:59:00"/>
    <n v="64"/>
    <x v="0"/>
    <b v="0"/>
    <b v="1"/>
    <s v="Male"/>
    <x v="0"/>
    <x v="1"/>
    <n v="37.5"/>
    <x v="0"/>
    <n v="0.05"/>
    <n v="35.625"/>
    <x v="0"/>
    <s v="San Jose, CA"/>
    <n v="37.338200000000001"/>
    <n v="-121.88630000000001"/>
    <d v="2025-05-20T00:00:00"/>
    <n v="0"/>
    <x v="0"/>
    <d v="2025-07-21T00:00:00"/>
    <s v="40–49"/>
    <s v="40–49"/>
  </r>
  <r>
    <n v="22"/>
    <x v="0"/>
    <n v="5"/>
    <s v="Fri, Mon, Sun, Tue, Wed"/>
    <b v="0"/>
    <d v="1899-12-30T13:50:00"/>
    <d v="1899-12-30T15:37:00"/>
    <n v="107"/>
    <x v="0"/>
    <b v="0"/>
    <b v="0"/>
    <s v="Non-binary"/>
    <x v="0"/>
    <x v="0"/>
    <n v="50"/>
    <x v="2"/>
    <n v="0.1"/>
    <n v="45"/>
    <x v="0"/>
    <s v="San Diego, CA"/>
    <n v="32.715699999999998"/>
    <n v="-117.1611"/>
    <d v="2023-08-15T00:00:00"/>
    <n v="0"/>
    <x v="1"/>
    <d v="2025-06-14T00:00:00"/>
    <s v="20–29"/>
    <s v="20–29"/>
  </r>
  <r>
    <n v="20"/>
    <x v="2"/>
    <n v="3"/>
    <s v="Mon, Sat, Tue"/>
    <b v="1"/>
    <d v="1899-12-30T08:53:00"/>
    <d v="1899-12-30T11:11:00"/>
    <n v="138"/>
    <x v="0"/>
    <b v="1"/>
    <b v="1"/>
    <s v="Male"/>
    <x v="2"/>
    <x v="0"/>
    <n v="20"/>
    <x v="0"/>
    <n v="0.05"/>
    <n v="19"/>
    <x v="2"/>
    <s v="Fresno, CA"/>
    <n v="36.7378"/>
    <n v="-119.7871"/>
    <d v="2024-07-23T00:00:00"/>
    <n v="5"/>
    <x v="1"/>
    <d v="2025-07-04T00:00:00"/>
    <s v="20–29"/>
    <s v="20–29"/>
  </r>
  <r>
    <n v="19"/>
    <x v="1"/>
    <n v="3"/>
    <s v="Sat, Tue, Wed"/>
    <b v="1"/>
    <d v="1899-12-30T10:33:00"/>
    <d v="1899-12-30T11:32:00"/>
    <n v="59"/>
    <x v="0"/>
    <b v="0"/>
    <b v="0"/>
    <s v="Female"/>
    <x v="1"/>
    <x v="0"/>
    <n v="30"/>
    <x v="1"/>
    <n v="0"/>
    <n v="30"/>
    <x v="1"/>
    <s v="Sacramento, CA"/>
    <n v="38.581600000000002"/>
    <n v="-121.4944"/>
    <d v="2023-12-29T00:00:00"/>
    <n v="0"/>
    <x v="1"/>
    <d v="2025-06-22T00:00:00"/>
    <s v="10–19"/>
    <s v="16–19"/>
  </r>
  <r>
    <n v="37"/>
    <x v="1"/>
    <n v="1"/>
    <s v="Sat"/>
    <b v="1"/>
    <d v="1899-12-30T08:37:00"/>
    <d v="1899-12-30T10:12:00"/>
    <n v="95"/>
    <x v="1"/>
    <b v="1"/>
    <b v="0"/>
    <s v="Non-binary"/>
    <x v="1"/>
    <x v="0"/>
    <n v="30"/>
    <x v="3"/>
    <n v="0.15"/>
    <n v="25.5"/>
    <x v="1"/>
    <s v="Anaheim, CA"/>
    <n v="33.836599999999997"/>
    <n v="-117.9143"/>
    <d v="2022-10-30T00:00:00"/>
    <n v="3"/>
    <x v="1"/>
    <d v="2025-05-29T00:00:00"/>
    <s v="30–39"/>
    <s v="30–3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4-09-30T00:00:00"/>
    <n v="7"/>
    <x v="1"/>
    <d v="2025-07-08T00:00:00"/>
    <s v="40–49"/>
    <s v="40–49"/>
  </r>
  <r>
    <n v="13"/>
    <x v="3"/>
    <n v="5"/>
    <s v="Fri, Mon, Sat, Sun, Thu"/>
    <b v="1"/>
    <d v="1899-12-30T17:13:00"/>
    <d v="1899-12-30T19:00:00"/>
    <n v="107"/>
    <x v="0"/>
    <b v="0"/>
    <b v="0"/>
    <s v="Male"/>
    <x v="3"/>
    <x v="0"/>
    <n v="70"/>
    <x v="1"/>
    <n v="0"/>
    <n v="70"/>
    <x v="3"/>
    <s v="Bakersfield, CA"/>
    <n v="35.3733"/>
    <n v="-119.0187"/>
    <d v="2024-04-11T00:00:00"/>
    <n v="0"/>
    <x v="1"/>
    <d v="2025-06-28T00:00:00"/>
    <s v="10–19"/>
    <s v="Under 16"/>
  </r>
  <r>
    <n v="30"/>
    <x v="1"/>
    <n v="3"/>
    <s v="Fri, Thu, Tue"/>
    <b v="0"/>
    <d v="1899-12-30T08:05:00"/>
    <d v="1899-12-30T09:06:00"/>
    <n v="61"/>
    <x v="1"/>
    <b v="1"/>
    <b v="0"/>
    <s v="Prefer not to say"/>
    <x v="1"/>
    <x v="1"/>
    <n v="22.5"/>
    <x v="0"/>
    <n v="0.05"/>
    <n v="21.375"/>
    <x v="1"/>
    <s v="Long Beach, CA"/>
    <n v="33.770099999999999"/>
    <n v="-118.19370000000001"/>
    <d v="2023-04-10T00:00:00"/>
    <n v="2"/>
    <x v="1"/>
    <d v="2025-06-07T00:00:00"/>
    <s v="30–39"/>
    <s v="30–39"/>
  </r>
  <r>
    <n v="16"/>
    <x v="2"/>
    <n v="2"/>
    <s v="Sat, Sun"/>
    <b v="0"/>
    <d v="1899-12-30T11:29:00"/>
    <d v="1899-12-30T13:03:00"/>
    <n v="94"/>
    <x v="1"/>
    <b v="0"/>
    <b v="1"/>
    <s v="Female"/>
    <x v="2"/>
    <x v="1"/>
    <n v="15"/>
    <x v="1"/>
    <n v="0"/>
    <n v="15"/>
    <x v="2"/>
    <s v="San Francisco, CA"/>
    <n v="37.774900000000002"/>
    <n v="-122.4194"/>
    <d v="2024-10-22T00:00:00"/>
    <n v="0"/>
    <x v="1"/>
    <d v="2025-07-09T00:00:00"/>
    <s v="10–19"/>
    <s v="16–19"/>
  </r>
  <r>
    <n v="24"/>
    <x v="0"/>
    <n v="4"/>
    <s v="Mon, Sat, Sun, Thu"/>
    <b v="0"/>
    <d v="1899-12-30T17:17:00"/>
    <d v="1899-12-30T20:05:00"/>
    <n v="168"/>
    <x v="1"/>
    <b v="0"/>
    <b v="0"/>
    <s v="Female"/>
    <x v="0"/>
    <x v="0"/>
    <n v="50"/>
    <x v="3"/>
    <n v="0.15"/>
    <n v="42.5"/>
    <x v="0"/>
    <s v="Long Beach, CA"/>
    <n v="33.770099999999999"/>
    <n v="-118.19370000000001"/>
    <d v="2025-04-02T00:00:00"/>
    <n v="0"/>
    <x v="0"/>
    <d v="2025-07-18T00:00:00"/>
    <s v="20–29"/>
    <s v="20–29"/>
  </r>
  <r>
    <n v="13"/>
    <x v="1"/>
    <n v="3"/>
    <s v="Mon, Tue, Wed"/>
    <b v="0"/>
    <d v="1899-12-30T13:36:00"/>
    <d v="1899-12-30T14:08:00"/>
    <n v="32"/>
    <x v="0"/>
    <b v="1"/>
    <b v="0"/>
    <s v="Male"/>
    <x v="1"/>
    <x v="0"/>
    <n v="30"/>
    <x v="1"/>
    <n v="0"/>
    <n v="30"/>
    <x v="1"/>
    <s v="Oakland, CA"/>
    <n v="37.804400000000001"/>
    <n v="-122.27119999999999"/>
    <d v="2024-08-18T00:00:00"/>
    <n v="5"/>
    <x v="1"/>
    <d v="2025-07-05T00:00:00"/>
    <s v="10–19"/>
    <s v="Under 16"/>
  </r>
  <r>
    <n v="17"/>
    <x v="0"/>
    <n v="5"/>
    <s v="Fri, Mon, Sat, Sun, Wed"/>
    <b v="1"/>
    <d v="1899-12-30T13:50:00"/>
    <d v="1899-12-30T14:29:00"/>
    <n v="39"/>
    <x v="1"/>
    <b v="1"/>
    <b v="1"/>
    <s v="Female"/>
    <x v="0"/>
    <x v="2"/>
    <n v="45"/>
    <x v="3"/>
    <n v="0.15"/>
    <n v="38.25"/>
    <x v="0"/>
    <s v="Sacramento, CA"/>
    <n v="38.581600000000002"/>
    <n v="-121.4944"/>
    <d v="2025-01-02T00:00:00"/>
    <n v="8"/>
    <x v="0"/>
    <d v="2025-07-13T00:00:00"/>
    <s v="10–19"/>
    <s v="16–19"/>
  </r>
  <r>
    <n v="39"/>
    <x v="3"/>
    <n v="2"/>
    <s v="Sun, Thu"/>
    <b v="0"/>
    <d v="1899-12-30T12:53:00"/>
    <d v="1899-12-30T14:54:00"/>
    <n v="121"/>
    <x v="0"/>
    <b v="1"/>
    <b v="0"/>
    <s v="Female"/>
    <x v="3"/>
    <x v="0"/>
    <n v="70"/>
    <x v="1"/>
    <n v="0"/>
    <n v="70"/>
    <x v="3"/>
    <s v="Los Angeles, CA"/>
    <n v="34.052199999999999"/>
    <n v="-118.2437"/>
    <d v="2022-10-06T00:00:00"/>
    <n v="1"/>
    <x v="0"/>
    <d v="2025-05-28T00:00:00"/>
    <s v="30–39"/>
    <s v="30–39"/>
  </r>
  <r>
    <n v="26"/>
    <x v="0"/>
    <n v="5"/>
    <s v="Fri, Sat, Sun, Tue, Wed"/>
    <b v="1"/>
    <d v="1899-12-30T15:57:00"/>
    <d v="1899-12-30T17:38:00"/>
    <n v="101"/>
    <x v="0"/>
    <b v="0"/>
    <b v="1"/>
    <s v="Male"/>
    <x v="0"/>
    <x v="0"/>
    <n v="50"/>
    <x v="2"/>
    <n v="0.1"/>
    <n v="45"/>
    <x v="0"/>
    <s v="Oakland, CA"/>
    <n v="37.804400000000001"/>
    <n v="-122.27119999999999"/>
    <d v="2023-02-13T00:00:00"/>
    <n v="0"/>
    <x v="0"/>
    <d v="2025-06-04T00:00:00"/>
    <s v="20–29"/>
    <s v="20–29"/>
  </r>
  <r>
    <n v="31"/>
    <x v="2"/>
    <n v="2"/>
    <s v="Mon, Wed"/>
    <b v="0"/>
    <d v="1899-12-30T13:48:00"/>
    <d v="1899-12-30T16:42:00"/>
    <n v="174"/>
    <x v="0"/>
    <b v="0"/>
    <b v="0"/>
    <s v="Male"/>
    <x v="2"/>
    <x v="0"/>
    <n v="20"/>
    <x v="1"/>
    <n v="0"/>
    <n v="20"/>
    <x v="2"/>
    <s v="Sacramento, CA"/>
    <n v="38.581600000000002"/>
    <n v="-121.4944"/>
    <d v="2023-08-18T00:00:00"/>
    <n v="0"/>
    <x v="1"/>
    <d v="2025-06-14T00:00:00"/>
    <s v="30–39"/>
    <s v="30–39"/>
  </r>
  <r>
    <n v="42"/>
    <x v="2"/>
    <n v="3"/>
    <s v="Sun, Thu, Wed"/>
    <b v="0"/>
    <d v="1899-12-30T13:32:00"/>
    <d v="1899-12-30T14:56:00"/>
    <n v="84"/>
    <x v="0"/>
    <b v="1"/>
    <b v="1"/>
    <s v="Female"/>
    <x v="2"/>
    <x v="0"/>
    <n v="20"/>
    <x v="2"/>
    <n v="0.1"/>
    <n v="18"/>
    <x v="2"/>
    <s v="Anaheim, CA"/>
    <n v="33.836599999999997"/>
    <n v="-117.9143"/>
    <d v="2022-12-07T00:00:00"/>
    <n v="3"/>
    <x v="0"/>
    <d v="2025-05-31T00:00:00"/>
    <s v="40–49"/>
    <s v="40–4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3-02-18T00:00:00"/>
    <n v="0"/>
    <x v="0"/>
    <d v="2025-06-04T00:00:00"/>
    <s v="20–29"/>
    <s v="20–29"/>
  </r>
  <r>
    <n v="40"/>
    <x v="0"/>
    <n v="3"/>
    <s v="Mon, Thu, Tue"/>
    <b v="0"/>
    <d v="1899-12-30T19:38:00"/>
    <d v="1899-12-30T21:10:00"/>
    <n v="92"/>
    <x v="1"/>
    <b v="1"/>
    <b v="1"/>
    <s v="Male"/>
    <x v="0"/>
    <x v="0"/>
    <n v="50"/>
    <x v="1"/>
    <n v="0"/>
    <n v="50"/>
    <x v="0"/>
    <s v="Long Beach, CA"/>
    <n v="33.770099999999999"/>
    <n v="-118.19370000000001"/>
    <d v="2024-12-06T00:00:00"/>
    <n v="3"/>
    <x v="0"/>
    <d v="2025-07-11T00:00:00"/>
    <s v="40–49"/>
    <s v="40–49"/>
  </r>
  <r>
    <n v="27"/>
    <x v="0"/>
    <n v="2"/>
    <s v="Thu, Wed"/>
    <b v="0"/>
    <d v="1899-12-30T20:44:00"/>
    <d v="1899-12-30T21:57:00"/>
    <n v="73"/>
    <x v="0"/>
    <b v="1"/>
    <b v="1"/>
    <s v="Male"/>
    <x v="0"/>
    <x v="0"/>
    <n v="50"/>
    <x v="1"/>
    <n v="0"/>
    <n v="50"/>
    <x v="0"/>
    <s v="Sacramento, CA"/>
    <n v="38.581600000000002"/>
    <n v="-121.4944"/>
    <d v="2022-11-15T00:00:00"/>
    <n v="1"/>
    <x v="0"/>
    <d v="2025-05-30T00:00:00"/>
    <s v="20–29"/>
    <s v="20–29"/>
  </r>
  <r>
    <n v="24"/>
    <x v="2"/>
    <n v="4"/>
    <s v="Mon, Sat, Sun, Thu"/>
    <b v="1"/>
    <d v="1899-12-30T11:43:00"/>
    <d v="1899-12-30T12:27:00"/>
    <n v="44"/>
    <x v="1"/>
    <b v="0"/>
    <b v="0"/>
    <s v="Female"/>
    <x v="2"/>
    <x v="0"/>
    <n v="20"/>
    <x v="1"/>
    <n v="0"/>
    <n v="20"/>
    <x v="2"/>
    <s v="San Jose, CA"/>
    <n v="37.338200000000001"/>
    <n v="-121.88630000000001"/>
    <d v="2023-11-26T00:00:00"/>
    <n v="0"/>
    <x v="1"/>
    <d v="2025-06-20T00:00:00"/>
    <s v="20–29"/>
    <s v="20–29"/>
  </r>
  <r>
    <n v="23"/>
    <x v="2"/>
    <n v="2"/>
    <s v="Fri, Sat"/>
    <b v="0"/>
    <d v="1899-12-30T20:18:00"/>
    <d v="1899-12-30T20:55:00"/>
    <n v="37"/>
    <x v="0"/>
    <b v="1"/>
    <b v="0"/>
    <s v="Non-binary"/>
    <x v="2"/>
    <x v="1"/>
    <n v="15"/>
    <x v="1"/>
    <n v="0"/>
    <n v="15"/>
    <x v="2"/>
    <s v="Fresno, CA"/>
    <n v="36.7378"/>
    <n v="-119.7871"/>
    <d v="2023-02-14T00:00:00"/>
    <n v="5"/>
    <x v="1"/>
    <d v="2025-06-04T00:00:00"/>
    <s v="20–29"/>
    <s v="20–29"/>
  </r>
  <r>
    <n v="28"/>
    <x v="1"/>
    <n v="1"/>
    <s v="Tue"/>
    <b v="1"/>
    <d v="1899-12-30T13:08:00"/>
    <d v="1899-12-30T14:35:00"/>
    <n v="87"/>
    <x v="1"/>
    <b v="1"/>
    <b v="1"/>
    <s v="Male"/>
    <x v="1"/>
    <x v="1"/>
    <n v="22.5"/>
    <x v="3"/>
    <n v="0.15"/>
    <n v="19.125"/>
    <x v="1"/>
    <s v="Sacramento, CA"/>
    <n v="38.581600000000002"/>
    <n v="-121.4944"/>
    <d v="2022-11-11T00:00:00"/>
    <n v="8"/>
    <x v="1"/>
    <d v="2025-05-30T00:00:00"/>
    <s v="20–29"/>
    <s v="20–29"/>
  </r>
  <r>
    <n v="45"/>
    <x v="1"/>
    <n v="2"/>
    <s v="Sat, Tue"/>
    <b v="1"/>
    <d v="1899-12-30T15:59:00"/>
    <d v="1899-12-30T18:46:00"/>
    <n v="167"/>
    <x v="0"/>
    <b v="1"/>
    <b v="1"/>
    <s v="Female"/>
    <x v="1"/>
    <x v="0"/>
    <n v="30"/>
    <x v="3"/>
    <n v="0.15"/>
    <n v="25.5"/>
    <x v="1"/>
    <s v="San Francisco, CA"/>
    <n v="37.774900000000002"/>
    <n v="-122.4194"/>
    <d v="2024-07-19T00:00:00"/>
    <n v="4"/>
    <x v="1"/>
    <d v="2025-07-03T00:00:00"/>
    <s v="40–49"/>
    <s v="40–49"/>
  </r>
  <r>
    <n v="29"/>
    <x v="0"/>
    <n v="2"/>
    <s v="Fri, Tue"/>
    <b v="0"/>
    <d v="1899-12-30T20:52:00"/>
    <d v="1899-12-30T22:40:00"/>
    <n v="108"/>
    <x v="0"/>
    <b v="1"/>
    <b v="0"/>
    <s v="Non-binary"/>
    <x v="0"/>
    <x v="0"/>
    <n v="50"/>
    <x v="0"/>
    <n v="0.05"/>
    <n v="47.5"/>
    <x v="0"/>
    <s v="San Francisco, CA"/>
    <n v="37.774900000000002"/>
    <n v="-122.4194"/>
    <d v="2025-02-25T00:00:00"/>
    <n v="1"/>
    <x v="0"/>
    <d v="2025-07-16T00:00:00"/>
    <s v="20–29"/>
    <s v="20–29"/>
  </r>
  <r>
    <n v="36"/>
    <x v="0"/>
    <n v="3"/>
    <s v="Sat, Sun, Tue"/>
    <b v="1"/>
    <d v="1899-12-30T09:39:00"/>
    <d v="1899-12-30T11:08:00"/>
    <n v="89"/>
    <x v="0"/>
    <b v="0"/>
    <b v="1"/>
    <s v="Male"/>
    <x v="0"/>
    <x v="0"/>
    <n v="50"/>
    <x v="1"/>
    <n v="0"/>
    <n v="50"/>
    <x v="0"/>
    <s v="Fresno, CA"/>
    <n v="36.7378"/>
    <n v="-119.7871"/>
    <d v="2024-10-23T00:00:00"/>
    <n v="0"/>
    <x v="0"/>
    <d v="2025-07-09T00:00:00"/>
    <s v="30–39"/>
    <s v="30–39"/>
  </r>
  <r>
    <n v="20"/>
    <x v="2"/>
    <n v="4"/>
    <s v="Fri, Mon, Sun, Wed"/>
    <b v="0"/>
    <d v="1899-12-30T17:12:00"/>
    <d v="1899-12-30T18:19:00"/>
    <n v="67"/>
    <x v="0"/>
    <b v="0"/>
    <b v="1"/>
    <s v="Male"/>
    <x v="2"/>
    <x v="1"/>
    <n v="15"/>
    <x v="1"/>
    <n v="0"/>
    <n v="15"/>
    <x v="2"/>
    <s v="San Diego, CA"/>
    <n v="32.715699999999998"/>
    <n v="-117.1611"/>
    <d v="2024-03-25T00:00:00"/>
    <n v="0"/>
    <x v="1"/>
    <d v="2025-06-27T00:00:00"/>
    <s v="20–29"/>
    <s v="20–29"/>
  </r>
  <r>
    <n v="25"/>
    <x v="0"/>
    <n v="2"/>
    <s v="Thu, Tue"/>
    <b v="0"/>
    <d v="1899-12-30T10:55:00"/>
    <d v="1899-12-30T13:51:00"/>
    <n v="176"/>
    <x v="1"/>
    <b v="0"/>
    <b v="1"/>
    <s v="Female"/>
    <x v="0"/>
    <x v="1"/>
    <n v="37.5"/>
    <x v="1"/>
    <n v="0"/>
    <n v="37.5"/>
    <x v="0"/>
    <s v="Sacramento, CA"/>
    <n v="38.581600000000002"/>
    <n v="-121.4944"/>
    <d v="2023-02-02T00:00:00"/>
    <n v="0"/>
    <x v="0"/>
    <d v="2025-06-03T00:00:00"/>
    <s v="20–29"/>
    <s v="20–29"/>
  </r>
  <r>
    <n v="12"/>
    <x v="0"/>
    <n v="5"/>
    <s v="Fri, Mon, Sun, Thu, Tue"/>
    <b v="1"/>
    <d v="1899-12-30T09:35:00"/>
    <d v="1899-12-30T11:45:00"/>
    <n v="130"/>
    <x v="1"/>
    <b v="0"/>
    <b v="0"/>
    <s v="Non-binary"/>
    <x v="0"/>
    <x v="0"/>
    <n v="50"/>
    <x v="3"/>
    <n v="0.15"/>
    <n v="42.5"/>
    <x v="0"/>
    <s v="Bakersfield, CA"/>
    <n v="35.3733"/>
    <n v="-119.0187"/>
    <d v="2022-12-19T00:00:00"/>
    <n v="0"/>
    <x v="0"/>
    <d v="2025-06-01T00:00:00"/>
    <s v="10–19"/>
    <s v="Under 16"/>
  </r>
  <r>
    <n v="42"/>
    <x v="0"/>
    <n v="1"/>
    <s v="Thu"/>
    <b v="1"/>
    <d v="1899-12-30T12:52:00"/>
    <d v="1899-12-30T14:18:00"/>
    <n v="86"/>
    <x v="0"/>
    <b v="0"/>
    <b v="0"/>
    <s v="Female"/>
    <x v="0"/>
    <x v="0"/>
    <n v="50"/>
    <x v="2"/>
    <n v="0.1"/>
    <n v="45"/>
    <x v="0"/>
    <s v="Long Beach, CA"/>
    <n v="33.770099999999999"/>
    <n v="-118.19370000000001"/>
    <d v="2025-06-15T00:00:00"/>
    <n v="0"/>
    <x v="0"/>
    <d v="2025-07-22T00:00:00"/>
    <s v="40–49"/>
    <s v="40–49"/>
  </r>
  <r>
    <n v="26"/>
    <x v="0"/>
    <n v="1"/>
    <s v="Fri"/>
    <b v="1"/>
    <d v="1899-12-30T12:45:00"/>
    <d v="1899-12-30T14:09:00"/>
    <n v="84"/>
    <x v="1"/>
    <b v="1"/>
    <b v="1"/>
    <s v="Other (self-described)"/>
    <x v="0"/>
    <x v="0"/>
    <n v="50"/>
    <x v="1"/>
    <n v="0"/>
    <n v="50"/>
    <x v="0"/>
    <s v="Bakersfield, CA"/>
    <n v="35.3733"/>
    <n v="-119.0187"/>
    <d v="2023-12-27T00:00:00"/>
    <n v="5"/>
    <x v="1"/>
    <d v="2025-06-22T00:00:00"/>
    <s v="20–29"/>
    <s v="20–2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4-04-04T00:00:00"/>
    <n v="1"/>
    <x v="1"/>
    <d v="2025-06-27T00:00:00"/>
    <s v="10–19"/>
    <s v="16–19"/>
  </r>
  <r>
    <n v="21"/>
    <x v="2"/>
    <n v="1"/>
    <s v="Mon"/>
    <b v="0"/>
    <d v="1899-12-30T08:29:00"/>
    <d v="1899-12-30T09:53:00"/>
    <n v="84"/>
    <x v="1"/>
    <b v="0"/>
    <b v="0"/>
    <s v="Male"/>
    <x v="2"/>
    <x v="1"/>
    <n v="15"/>
    <x v="0"/>
    <n v="0.05"/>
    <n v="14.25"/>
    <x v="2"/>
    <s v="Oakland, CA"/>
    <n v="37.804400000000001"/>
    <n v="-122.27119999999999"/>
    <d v="2024-10-29T00:00:00"/>
    <n v="0"/>
    <x v="1"/>
    <d v="2025-07-09T00:00:00"/>
    <s v="20–29"/>
    <s v="20–29"/>
  </r>
  <r>
    <n v="15"/>
    <x v="1"/>
    <n v="4"/>
    <s v="Fri, Sat, Sun, Wed"/>
    <b v="0"/>
    <d v="1899-12-30T14:06:00"/>
    <d v="1899-12-30T15:54:00"/>
    <n v="108"/>
    <x v="1"/>
    <b v="0"/>
    <b v="1"/>
    <s v="Male"/>
    <x v="1"/>
    <x v="0"/>
    <n v="30"/>
    <x v="1"/>
    <n v="0"/>
    <n v="30"/>
    <x v="1"/>
    <s v="Oakland, CA"/>
    <n v="37.804400000000001"/>
    <n v="-122.27119999999999"/>
    <d v="2025-02-15T00:00:00"/>
    <n v="0"/>
    <x v="1"/>
    <d v="2025-07-15T00:00:00"/>
    <s v="10–19"/>
    <s v="Under 16"/>
  </r>
  <r>
    <n v="47"/>
    <x v="1"/>
    <n v="3"/>
    <s v="Mon, Sun, Tue"/>
    <b v="0"/>
    <d v="1899-12-30T10:48:00"/>
    <d v="1899-12-30T12:33:00"/>
    <n v="105"/>
    <x v="1"/>
    <b v="0"/>
    <b v="1"/>
    <s v="Female"/>
    <x v="1"/>
    <x v="0"/>
    <n v="30"/>
    <x v="2"/>
    <n v="0.1"/>
    <n v="27"/>
    <x v="1"/>
    <s v="Long Beach, CA"/>
    <n v="33.770099999999999"/>
    <n v="-118.19370000000001"/>
    <d v="2024-06-28T00:00:00"/>
    <n v="0"/>
    <x v="0"/>
    <d v="2025-07-02T00:00:00"/>
    <s v="40–49"/>
    <s v="40–49"/>
  </r>
  <r>
    <n v="19"/>
    <x v="0"/>
    <n v="1"/>
    <s v="Sat"/>
    <b v="0"/>
    <d v="1899-12-30T16:10:00"/>
    <d v="1899-12-30T17:20:00"/>
    <n v="70"/>
    <x v="0"/>
    <b v="1"/>
    <b v="1"/>
    <s v="Male"/>
    <x v="0"/>
    <x v="1"/>
    <n v="37.5"/>
    <x v="2"/>
    <n v="0.1"/>
    <n v="33.75"/>
    <x v="0"/>
    <s v="Oakland, CA"/>
    <n v="37.804400000000001"/>
    <n v="-122.27119999999999"/>
    <d v="2022-09-22T00:00:00"/>
    <n v="1"/>
    <x v="0"/>
    <d v="2025-05-27T00:00:00"/>
    <s v="10–19"/>
    <s v="16–19"/>
  </r>
  <r>
    <n v="29"/>
    <x v="3"/>
    <n v="4"/>
    <s v="Fri, Mon, Sun, Thu"/>
    <b v="1"/>
    <d v="1899-12-30T18:15:00"/>
    <d v="1899-12-30T18:54:00"/>
    <n v="39"/>
    <x v="0"/>
    <b v="1"/>
    <b v="1"/>
    <s v="Prefer not to say"/>
    <x v="3"/>
    <x v="0"/>
    <n v="70"/>
    <x v="1"/>
    <n v="0"/>
    <n v="70"/>
    <x v="3"/>
    <s v="San Diego, CA"/>
    <n v="32.715699999999998"/>
    <n v="-117.1611"/>
    <d v="2024-07-13T00:00:00"/>
    <n v="2"/>
    <x v="0"/>
    <d v="2025-07-03T00:00:00"/>
    <s v="20–29"/>
    <s v="20–29"/>
  </r>
  <r>
    <n v="48"/>
    <x v="1"/>
    <n v="5"/>
    <s v="Fri, Mon, Sat, Sun, Thu"/>
    <b v="0"/>
    <d v="1899-12-30T15:42:00"/>
    <d v="1899-12-30T18:35:00"/>
    <n v="173"/>
    <x v="0"/>
    <b v="1"/>
    <b v="1"/>
    <s v="Female"/>
    <x v="1"/>
    <x v="0"/>
    <n v="30"/>
    <x v="1"/>
    <n v="0"/>
    <n v="30"/>
    <x v="1"/>
    <s v="Sacramento, CA"/>
    <n v="38.581600000000002"/>
    <n v="-121.4944"/>
    <d v="2023-12-18T00:00:00"/>
    <n v="5"/>
    <x v="0"/>
    <d v="2025-06-21T00:00:00"/>
    <s v="40–49"/>
    <s v="40–4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3-06-05T00:00:00"/>
    <n v="4"/>
    <x v="0"/>
    <d v="2025-06-10T00:00:00"/>
    <s v="30–39"/>
    <s v="30–39"/>
  </r>
  <r>
    <n v="37"/>
    <x v="0"/>
    <n v="3"/>
    <s v="Sun, Thu, Wed"/>
    <b v="1"/>
    <d v="1899-12-30T10:37:00"/>
    <d v="1899-12-30T12:40:00"/>
    <n v="123"/>
    <x v="0"/>
    <b v="1"/>
    <b v="0"/>
    <s v="Female"/>
    <x v="0"/>
    <x v="0"/>
    <n v="50"/>
    <x v="3"/>
    <n v="0.15"/>
    <n v="42.5"/>
    <x v="0"/>
    <s v="San Jose, CA"/>
    <n v="37.338200000000001"/>
    <n v="-121.88630000000001"/>
    <d v="2024-05-31T00:00:00"/>
    <n v="7"/>
    <x v="0"/>
    <d v="2025-07-01T00:00:00"/>
    <s v="30–39"/>
    <s v="30–39"/>
  </r>
  <r>
    <n v="20"/>
    <x v="1"/>
    <n v="1"/>
    <s v="Sun"/>
    <b v="0"/>
    <d v="1899-12-30T15:33:00"/>
    <d v="1899-12-30T17:01:00"/>
    <n v="88"/>
    <x v="0"/>
    <b v="1"/>
    <b v="1"/>
    <s v="Non-binary"/>
    <x v="1"/>
    <x v="1"/>
    <n v="22.5"/>
    <x v="0"/>
    <n v="0.05"/>
    <n v="21.375"/>
    <x v="1"/>
    <s v="Los Angeles, CA"/>
    <n v="34.052199999999999"/>
    <n v="-118.2437"/>
    <d v="2022-08-23T00:00:00"/>
    <n v="2"/>
    <x v="1"/>
    <d v="2025-05-25T00:00:00"/>
    <s v="20–29"/>
    <s v="20–29"/>
  </r>
  <r>
    <n v="40"/>
    <x v="1"/>
    <n v="3"/>
    <s v="Fri, Sun, Tue"/>
    <b v="0"/>
    <d v="1899-12-30T11:18:00"/>
    <d v="1899-12-30T14:09:00"/>
    <n v="171"/>
    <x v="0"/>
    <b v="1"/>
    <b v="1"/>
    <s v="Male"/>
    <x v="1"/>
    <x v="1"/>
    <n v="22.5"/>
    <x v="1"/>
    <n v="0"/>
    <n v="22.5"/>
    <x v="1"/>
    <s v="Anaheim, CA"/>
    <n v="33.836599999999997"/>
    <n v="-117.9143"/>
    <d v="2022-09-01T00:00:00"/>
    <n v="1"/>
    <x v="1"/>
    <d v="2025-05-26T00:00:00"/>
    <s v="40–49"/>
    <s v="40–4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4-09-27T00:00:00"/>
    <n v="7"/>
    <x v="0"/>
    <d v="2025-07-07T00:00:00"/>
    <s v="20–29"/>
    <s v="20–29"/>
  </r>
  <r>
    <n v="39"/>
    <x v="0"/>
    <n v="4"/>
    <s v="Mon, Thu, Tue, Wed"/>
    <b v="0"/>
    <d v="1899-12-30T18:58:00"/>
    <d v="1899-12-30T20:43:00"/>
    <n v="105"/>
    <x v="0"/>
    <b v="0"/>
    <b v="0"/>
    <s v="Other (self-described)"/>
    <x v="0"/>
    <x v="0"/>
    <n v="50"/>
    <x v="1"/>
    <n v="0"/>
    <n v="50"/>
    <x v="0"/>
    <s v="San Jose, CA"/>
    <n v="37.338200000000001"/>
    <n v="-121.88630000000001"/>
    <d v="2024-01-10T00:00:00"/>
    <n v="0"/>
    <x v="0"/>
    <d v="2025-06-23T00:00:00"/>
    <s v="30–39"/>
    <s v="30–3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4-08-06T00:00:00"/>
    <n v="6"/>
    <x v="0"/>
    <d v="2025-07-04T00:00:00"/>
    <s v="20–29"/>
    <s v="20–29"/>
  </r>
  <r>
    <n v="35"/>
    <x v="2"/>
    <n v="1"/>
    <s v="Thu"/>
    <b v="1"/>
    <d v="1899-12-30T16:27:00"/>
    <d v="1899-12-30T17:25:00"/>
    <n v="58"/>
    <x v="0"/>
    <b v="1"/>
    <b v="1"/>
    <s v="Female"/>
    <x v="2"/>
    <x v="0"/>
    <n v="20"/>
    <x v="1"/>
    <n v="0"/>
    <n v="20"/>
    <x v="2"/>
    <s v="San Diego, CA"/>
    <n v="32.715699999999998"/>
    <n v="-117.1611"/>
    <d v="2024-08-23T00:00:00"/>
    <n v="7"/>
    <x v="1"/>
    <d v="2025-07-05T00:00:00"/>
    <s v="30–39"/>
    <s v="30–39"/>
  </r>
  <r>
    <n v="14"/>
    <x v="1"/>
    <n v="2"/>
    <s v="Mon, Wed"/>
    <b v="0"/>
    <d v="1899-12-30T09:46:00"/>
    <d v="1899-12-30T10:56:00"/>
    <n v="70"/>
    <x v="0"/>
    <b v="0"/>
    <b v="1"/>
    <s v="Male"/>
    <x v="1"/>
    <x v="2"/>
    <n v="27"/>
    <x v="1"/>
    <n v="0"/>
    <n v="27"/>
    <x v="1"/>
    <s v="Anaheim, CA"/>
    <n v="33.836599999999997"/>
    <n v="-117.9143"/>
    <d v="2025-05-14T00:00:00"/>
    <n v="0"/>
    <x v="0"/>
    <d v="2025-07-20T00:00:00"/>
    <s v="10–19"/>
    <s v="Under 16"/>
  </r>
  <r>
    <n v="34"/>
    <x v="1"/>
    <n v="2"/>
    <s v="Mon, Sat"/>
    <b v="0"/>
    <d v="1899-12-30T18:44:00"/>
    <d v="1899-12-30T19:47:00"/>
    <n v="63"/>
    <x v="1"/>
    <b v="0"/>
    <b v="1"/>
    <s v="Male"/>
    <x v="1"/>
    <x v="0"/>
    <n v="30"/>
    <x v="0"/>
    <n v="0.05"/>
    <n v="28.5"/>
    <x v="1"/>
    <s v="Long Beach, CA"/>
    <n v="33.770099999999999"/>
    <n v="-118.19370000000001"/>
    <d v="2023-09-12T00:00:00"/>
    <n v="0"/>
    <x v="1"/>
    <d v="2025-06-16T00:00:00"/>
    <s v="30–39"/>
    <s v="30–39"/>
  </r>
  <r>
    <n v="27"/>
    <x v="2"/>
    <n v="1"/>
    <s v="Sun"/>
    <b v="1"/>
    <d v="1899-12-30T15:34:00"/>
    <d v="1899-12-30T17:58:00"/>
    <n v="144"/>
    <x v="1"/>
    <b v="1"/>
    <b v="1"/>
    <s v="Prefer not to say"/>
    <x v="2"/>
    <x v="0"/>
    <n v="20"/>
    <x v="3"/>
    <n v="0.15"/>
    <n v="17"/>
    <x v="2"/>
    <s v="San Francisco, CA"/>
    <n v="37.774900000000002"/>
    <n v="-122.4194"/>
    <d v="2024-01-04T00:00:00"/>
    <n v="1"/>
    <x v="1"/>
    <d v="2025-06-22T00:00:00"/>
    <s v="20–29"/>
    <s v="20–29"/>
  </r>
  <r>
    <n v="14"/>
    <x v="0"/>
    <n v="1"/>
    <s v="Mon"/>
    <b v="1"/>
    <d v="1899-12-30T11:56:00"/>
    <d v="1899-12-30T13:37:00"/>
    <n v="101"/>
    <x v="0"/>
    <b v="0"/>
    <b v="0"/>
    <s v="Male"/>
    <x v="0"/>
    <x v="1"/>
    <n v="37.5"/>
    <x v="1"/>
    <n v="0"/>
    <n v="37.5"/>
    <x v="0"/>
    <s v="Sacramento, CA"/>
    <n v="38.581600000000002"/>
    <n v="-121.4944"/>
    <d v="2025-04-29T00:00:00"/>
    <n v="0"/>
    <x v="0"/>
    <d v="2025-07-19T00:00:00"/>
    <s v="10–19"/>
    <s v="Under 16"/>
  </r>
  <r>
    <n v="40"/>
    <x v="1"/>
    <n v="1"/>
    <s v="Fri"/>
    <b v="0"/>
    <d v="1899-12-30T18:30:00"/>
    <d v="1899-12-30T19:44:00"/>
    <n v="74"/>
    <x v="1"/>
    <b v="0"/>
    <b v="1"/>
    <s v="Male"/>
    <x v="1"/>
    <x v="2"/>
    <n v="27"/>
    <x v="0"/>
    <n v="0.05"/>
    <n v="25.65"/>
    <x v="1"/>
    <s v="San Jose, CA"/>
    <n v="37.338200000000001"/>
    <n v="-121.88630000000001"/>
    <d v="2024-08-30T00:00:00"/>
    <n v="0"/>
    <x v="0"/>
    <d v="2025-07-06T00:00:00"/>
    <s v="40–49"/>
    <s v="40–49"/>
  </r>
  <r>
    <n v="28"/>
    <x v="2"/>
    <n v="3"/>
    <s v="Fri, Mon, Thu"/>
    <b v="0"/>
    <d v="1899-12-30T10:11:00"/>
    <d v="1899-12-30T12:26:00"/>
    <n v="135"/>
    <x v="1"/>
    <b v="0"/>
    <b v="1"/>
    <s v="Female"/>
    <x v="2"/>
    <x v="0"/>
    <n v="20"/>
    <x v="1"/>
    <n v="0"/>
    <n v="20"/>
    <x v="2"/>
    <s v="San Diego, CA"/>
    <n v="32.715699999999998"/>
    <n v="-117.1611"/>
    <d v="2022-10-29T00:00:00"/>
    <n v="0"/>
    <x v="1"/>
    <d v="2025-05-29T00:00:00"/>
    <s v="20–29"/>
    <s v="20–29"/>
  </r>
  <r>
    <n v="27"/>
    <x v="0"/>
    <n v="1"/>
    <s v="Thu"/>
    <b v="0"/>
    <d v="1899-12-30T14:17:00"/>
    <d v="1899-12-30T15:42:00"/>
    <n v="85"/>
    <x v="0"/>
    <b v="0"/>
    <b v="0"/>
    <s v="Prefer not to say"/>
    <x v="0"/>
    <x v="1"/>
    <n v="37.5"/>
    <x v="0"/>
    <n v="0.05"/>
    <n v="35.625"/>
    <x v="0"/>
    <s v="Bakersfield, CA"/>
    <n v="35.3733"/>
    <n v="-119.0187"/>
    <d v="2024-10-10T00:00:00"/>
    <n v="0"/>
    <x v="0"/>
    <d v="2025-07-08T00:00:00"/>
    <s v="20–29"/>
    <s v="20–29"/>
  </r>
  <r>
    <n v="27"/>
    <x v="1"/>
    <n v="2"/>
    <s v="Mon, Tue"/>
    <b v="1"/>
    <d v="1899-12-30T09:10:00"/>
    <d v="1899-12-30T11:36:00"/>
    <n v="146"/>
    <x v="0"/>
    <b v="1"/>
    <b v="1"/>
    <s v="Female"/>
    <x v="1"/>
    <x v="1"/>
    <n v="22.5"/>
    <x v="1"/>
    <n v="0"/>
    <n v="22.5"/>
    <x v="1"/>
    <s v="San Diego, CA"/>
    <n v="32.715699999999998"/>
    <n v="-117.1611"/>
    <d v="2025-01-19T00:00:00"/>
    <n v="1"/>
    <x v="1"/>
    <d v="2025-07-14T00:00:00"/>
    <s v="20–29"/>
    <s v="20–2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4-01-18T00:00:00"/>
    <n v="0"/>
    <x v="1"/>
    <d v="2025-06-23T00:00:00"/>
    <s v="20–29"/>
    <s v="20–29"/>
  </r>
  <r>
    <n v="39"/>
    <x v="1"/>
    <n v="3"/>
    <s v="Sat, Thu, Wed"/>
    <b v="1"/>
    <d v="1899-12-30T15:19:00"/>
    <d v="1899-12-30T17:35:00"/>
    <n v="136"/>
    <x v="0"/>
    <b v="1"/>
    <b v="1"/>
    <s v="Male"/>
    <x v="1"/>
    <x v="0"/>
    <n v="30"/>
    <x v="3"/>
    <n v="0.15"/>
    <n v="25.5"/>
    <x v="1"/>
    <s v="Oakland, CA"/>
    <n v="37.804400000000001"/>
    <n v="-122.27119999999999"/>
    <d v="2022-08-08T00:00:00"/>
    <n v="8"/>
    <x v="1"/>
    <d v="2025-05-24T00:00:00"/>
    <s v="30–39"/>
    <s v="30–39"/>
  </r>
  <r>
    <n v="41"/>
    <x v="1"/>
    <n v="1"/>
    <s v="Fri"/>
    <b v="0"/>
    <d v="1899-12-30T13:50:00"/>
    <d v="1899-12-30T14:26:00"/>
    <n v="36"/>
    <x v="0"/>
    <b v="1"/>
    <b v="0"/>
    <s v="Male"/>
    <x v="1"/>
    <x v="0"/>
    <n v="30"/>
    <x v="2"/>
    <n v="0.1"/>
    <n v="27"/>
    <x v="1"/>
    <s v="Fresno, CA"/>
    <n v="36.7378"/>
    <n v="-119.7871"/>
    <d v="2024-10-08T00:00:00"/>
    <n v="5"/>
    <x v="1"/>
    <d v="2025-07-08T00:00:00"/>
    <s v="40–49"/>
    <s v="40–4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3-07-08T00:00:00"/>
    <n v="5"/>
    <x v="0"/>
    <d v="2025-06-12T00:00:00"/>
    <s v="40–49"/>
    <s v="40–49"/>
  </r>
  <r>
    <n v="40"/>
    <x v="0"/>
    <n v="2"/>
    <s v="Sat, Tue"/>
    <b v="1"/>
    <d v="1899-12-30T20:33:00"/>
    <d v="1899-12-30T21:52:00"/>
    <n v="79"/>
    <x v="1"/>
    <b v="1"/>
    <b v="1"/>
    <s v="Non-binary"/>
    <x v="0"/>
    <x v="1"/>
    <n v="37.5"/>
    <x v="3"/>
    <n v="0.15"/>
    <n v="31.875"/>
    <x v="0"/>
    <s v="Bakersfield, CA"/>
    <n v="35.3733"/>
    <n v="-119.0187"/>
    <d v="2023-04-03T00:00:00"/>
    <n v="2"/>
    <x v="1"/>
    <d v="2025-06-07T00:00:00"/>
    <s v="40–49"/>
    <s v="40–49"/>
  </r>
  <r>
    <n v="33"/>
    <x v="0"/>
    <n v="2"/>
    <s v="Sat, Thu"/>
    <b v="1"/>
    <d v="1899-12-30T14:56:00"/>
    <d v="1899-12-30T15:57:00"/>
    <n v="61"/>
    <x v="1"/>
    <b v="1"/>
    <b v="1"/>
    <s v="Female"/>
    <x v="0"/>
    <x v="0"/>
    <n v="50"/>
    <x v="1"/>
    <n v="0"/>
    <n v="50"/>
    <x v="0"/>
    <s v="Fresno, CA"/>
    <n v="36.7378"/>
    <n v="-119.7871"/>
    <d v="2024-10-12T00:00:00"/>
    <n v="4"/>
    <x v="0"/>
    <d v="2025-07-08T00:00:00"/>
    <s v="30–39"/>
    <s v="30–39"/>
  </r>
  <r>
    <n v="14"/>
    <x v="2"/>
    <n v="2"/>
    <s v="Sat, Sun"/>
    <b v="0"/>
    <d v="1899-12-30T10:09:00"/>
    <d v="1899-12-30T11:15:00"/>
    <n v="66"/>
    <x v="0"/>
    <b v="1"/>
    <b v="1"/>
    <s v="Female"/>
    <x v="2"/>
    <x v="0"/>
    <n v="20"/>
    <x v="1"/>
    <n v="0"/>
    <n v="20"/>
    <x v="2"/>
    <s v="San Francisco, CA"/>
    <n v="37.774900000000002"/>
    <n v="-122.4194"/>
    <d v="2023-05-09T00:00:00"/>
    <n v="2"/>
    <x v="1"/>
    <d v="2025-06-09T00:00:00"/>
    <s v="10–19"/>
    <s v="Under 16"/>
  </r>
  <r>
    <n v="27"/>
    <x v="3"/>
    <n v="3"/>
    <s v="Sat, Thu, Wed"/>
    <b v="0"/>
    <d v="1899-12-30T20:18:00"/>
    <d v="1899-12-30T22:20:00"/>
    <n v="122"/>
    <x v="1"/>
    <b v="1"/>
    <b v="0"/>
    <s v="Male"/>
    <x v="3"/>
    <x v="1"/>
    <n v="52.5"/>
    <x v="2"/>
    <n v="0.1"/>
    <n v="47.25"/>
    <x v="3"/>
    <s v="Bakersfield, CA"/>
    <n v="35.3733"/>
    <n v="-119.0187"/>
    <d v="2024-05-27T00:00:00"/>
    <n v="3"/>
    <x v="0"/>
    <d v="2025-06-30T00:00:00"/>
    <s v="20–29"/>
    <s v="20–29"/>
  </r>
  <r>
    <n v="47"/>
    <x v="0"/>
    <n v="2"/>
    <s v="Fri, Tue"/>
    <b v="1"/>
    <d v="1899-12-30T16:41:00"/>
    <d v="1899-12-30T18:02:00"/>
    <n v="81"/>
    <x v="1"/>
    <b v="1"/>
    <b v="1"/>
    <s v="Male"/>
    <x v="0"/>
    <x v="1"/>
    <n v="37.5"/>
    <x v="3"/>
    <n v="0.15"/>
    <n v="31.875"/>
    <x v="0"/>
    <s v="Sacramento, CA"/>
    <n v="38.581600000000002"/>
    <n v="-121.4944"/>
    <d v="2023-08-19T00:00:00"/>
    <n v="1"/>
    <x v="0"/>
    <d v="2025-06-15T00:00:00"/>
    <s v="40–49"/>
    <s v="40–49"/>
  </r>
  <r>
    <n v="43"/>
    <x v="2"/>
    <n v="3"/>
    <s v="Fri, Sun, Tue"/>
    <b v="0"/>
    <d v="1899-12-30T12:02:00"/>
    <d v="1899-12-30T14:07:00"/>
    <n v="125"/>
    <x v="1"/>
    <b v="1"/>
    <b v="1"/>
    <s v="Male"/>
    <x v="2"/>
    <x v="0"/>
    <n v="20"/>
    <x v="0"/>
    <n v="0.05"/>
    <n v="19"/>
    <x v="2"/>
    <s v="Anaheim, CA"/>
    <n v="33.836599999999997"/>
    <n v="-117.9143"/>
    <d v="2023-08-18T00:00:00"/>
    <n v="7"/>
    <x v="1"/>
    <d v="2025-06-14T00:00:00"/>
    <s v="40–49"/>
    <s v="40–49"/>
  </r>
  <r>
    <n v="22"/>
    <x v="0"/>
    <n v="1"/>
    <s v="Thu"/>
    <b v="0"/>
    <d v="1899-12-30T09:43:00"/>
    <d v="1899-12-30T10:37:00"/>
    <n v="54"/>
    <x v="1"/>
    <b v="0"/>
    <b v="0"/>
    <s v="Male"/>
    <x v="0"/>
    <x v="0"/>
    <n v="50"/>
    <x v="0"/>
    <n v="0.05"/>
    <n v="47.5"/>
    <x v="0"/>
    <s v="Bakersfield, CA"/>
    <n v="35.3733"/>
    <n v="-119.0187"/>
    <d v="2023-11-30T00:00:00"/>
    <n v="0"/>
    <x v="0"/>
    <d v="2025-06-20T00:00:00"/>
    <s v="20–29"/>
    <s v="20–29"/>
  </r>
  <r>
    <n v="14"/>
    <x v="0"/>
    <n v="3"/>
    <s v="Sat, Sun, Thu"/>
    <b v="1"/>
    <d v="1899-12-30T17:02:00"/>
    <d v="1899-12-30T17:32:00"/>
    <n v="30"/>
    <x v="0"/>
    <b v="0"/>
    <b v="0"/>
    <s v="Female"/>
    <x v="0"/>
    <x v="0"/>
    <n v="50"/>
    <x v="2"/>
    <n v="0.1"/>
    <n v="45"/>
    <x v="0"/>
    <s v="Bakersfield, CA"/>
    <n v="35.3733"/>
    <n v="-119.0187"/>
    <d v="2025-03-18T00:00:00"/>
    <n v="0"/>
    <x v="1"/>
    <d v="2025-07-17T00:00:00"/>
    <s v="10–19"/>
    <s v="Under 16"/>
  </r>
  <r>
    <n v="16"/>
    <x v="2"/>
    <n v="3"/>
    <s v="Fri, Sun, Wed"/>
    <b v="1"/>
    <d v="1899-12-30T14:53:00"/>
    <d v="1899-12-30T17:02:00"/>
    <n v="129"/>
    <x v="1"/>
    <b v="0"/>
    <b v="1"/>
    <s v="Male"/>
    <x v="2"/>
    <x v="0"/>
    <n v="20"/>
    <x v="1"/>
    <n v="0"/>
    <n v="20"/>
    <x v="2"/>
    <s v="Los Angeles, CA"/>
    <n v="34.052199999999999"/>
    <n v="-118.2437"/>
    <d v="2023-01-15T00:00:00"/>
    <n v="0"/>
    <x v="0"/>
    <d v="2025-06-02T00:00:00"/>
    <s v="10–19"/>
    <s v="16–19"/>
  </r>
  <r>
    <n v="40"/>
    <x v="0"/>
    <n v="3"/>
    <s v="Mon, Thu, Tue"/>
    <b v="1"/>
    <d v="1899-12-30T19:59:00"/>
    <d v="1899-12-30T21:04:00"/>
    <n v="65"/>
    <x v="0"/>
    <b v="1"/>
    <b v="0"/>
    <s v="Other (self-described)"/>
    <x v="0"/>
    <x v="1"/>
    <n v="37.5"/>
    <x v="1"/>
    <n v="0"/>
    <n v="37.5"/>
    <x v="0"/>
    <s v="Oakland, CA"/>
    <n v="37.804400000000001"/>
    <n v="-122.27119999999999"/>
    <d v="2024-07-16T00:00:00"/>
    <n v="6"/>
    <x v="0"/>
    <d v="2025-07-03T00:00:00"/>
    <s v="40–49"/>
    <s v="40–49"/>
  </r>
  <r>
    <n v="23"/>
    <x v="0"/>
    <n v="1"/>
    <s v="Tue"/>
    <b v="0"/>
    <d v="1899-12-30T16:54:00"/>
    <d v="1899-12-30T19:49:00"/>
    <n v="175"/>
    <x v="1"/>
    <b v="0"/>
    <b v="0"/>
    <s v="Female"/>
    <x v="0"/>
    <x v="0"/>
    <n v="50"/>
    <x v="1"/>
    <n v="0"/>
    <n v="50"/>
    <x v="0"/>
    <s v="Bakersfield, CA"/>
    <n v="35.3733"/>
    <n v="-119.0187"/>
    <d v="2024-12-06T00:00:00"/>
    <n v="0"/>
    <x v="0"/>
    <d v="2025-07-11T00:00:00"/>
    <s v="20–29"/>
    <s v="20–29"/>
  </r>
  <r>
    <n v="42"/>
    <x v="2"/>
    <n v="3"/>
    <s v="Mon, Sat, Thu"/>
    <b v="0"/>
    <d v="1899-12-30T16:20:00"/>
    <d v="1899-12-30T17:20:00"/>
    <n v="60"/>
    <x v="1"/>
    <b v="1"/>
    <b v="0"/>
    <s v="Male"/>
    <x v="2"/>
    <x v="0"/>
    <n v="20"/>
    <x v="0"/>
    <n v="0.05"/>
    <n v="19"/>
    <x v="2"/>
    <s v="San Jose, CA"/>
    <n v="37.338200000000001"/>
    <n v="-121.88630000000001"/>
    <d v="2025-05-10T00:00:00"/>
    <n v="1"/>
    <x v="0"/>
    <d v="2025-07-20T00:00:00"/>
    <s v="40–49"/>
    <s v="40–49"/>
  </r>
  <r>
    <n v="27"/>
    <x v="0"/>
    <n v="3"/>
    <s v="Mon, Sat, Thu"/>
    <b v="0"/>
    <d v="1899-12-30T18:16:00"/>
    <d v="1899-12-30T20:37:00"/>
    <n v="141"/>
    <x v="0"/>
    <b v="0"/>
    <b v="0"/>
    <s v="Female"/>
    <x v="0"/>
    <x v="0"/>
    <n v="50"/>
    <x v="0"/>
    <n v="0.05"/>
    <n v="47.5"/>
    <x v="0"/>
    <s v="Los Angeles, CA"/>
    <n v="34.052199999999999"/>
    <n v="-118.2437"/>
    <d v="2023-10-02T00:00:00"/>
    <n v="0"/>
    <x v="0"/>
    <d v="2025-06-17T00:00:00"/>
    <s v="20–29"/>
    <s v="20–29"/>
  </r>
  <r>
    <n v="28"/>
    <x v="1"/>
    <n v="3"/>
    <s v="Fri, Sun, Tue"/>
    <b v="0"/>
    <d v="1899-12-30T09:55:00"/>
    <d v="1899-12-30T10:55:00"/>
    <n v="60"/>
    <x v="0"/>
    <b v="1"/>
    <b v="0"/>
    <s v="Prefer not to say"/>
    <x v="1"/>
    <x v="0"/>
    <n v="30"/>
    <x v="2"/>
    <n v="0.1"/>
    <n v="27"/>
    <x v="1"/>
    <s v="Los Angeles, CA"/>
    <n v="34.052199999999999"/>
    <n v="-118.2437"/>
    <d v="2023-07-02T00:00:00"/>
    <n v="1"/>
    <x v="1"/>
    <d v="2025-06-12T00:00:00"/>
    <s v="20–29"/>
    <s v="20–29"/>
  </r>
  <r>
    <n v="47"/>
    <x v="0"/>
    <n v="2"/>
    <s v="Fri, Tue"/>
    <b v="1"/>
    <d v="1899-12-30T16:41:00"/>
    <d v="1899-12-30T18:02:00"/>
    <n v="81"/>
    <x v="1"/>
    <b v="1"/>
    <b v="1"/>
    <s v="Male"/>
    <x v="0"/>
    <x v="1"/>
    <n v="37.5"/>
    <x v="3"/>
    <n v="0.15"/>
    <n v="31.875"/>
    <x v="0"/>
    <s v="Sacramento, CA"/>
    <n v="38.581600000000002"/>
    <n v="-121.4944"/>
    <d v="2025-06-05T00:00:00"/>
    <n v="2"/>
    <x v="0"/>
    <d v="2025-07-22T00:00:00"/>
    <s v="40–49"/>
    <s v="40–49"/>
  </r>
  <r>
    <n v="41"/>
    <x v="2"/>
    <n v="3"/>
    <s v="Sun, Thu, Wed"/>
    <b v="1"/>
    <d v="1899-12-30T15:40:00"/>
    <d v="1899-12-30T17:21:00"/>
    <n v="101"/>
    <x v="1"/>
    <b v="1"/>
    <b v="0"/>
    <s v="Female"/>
    <x v="2"/>
    <x v="0"/>
    <n v="20"/>
    <x v="2"/>
    <n v="0.1"/>
    <n v="18"/>
    <x v="2"/>
    <s v="Los Angeles, CA"/>
    <n v="34.052199999999999"/>
    <n v="-118.2437"/>
    <d v="2023-12-25T00:00:00"/>
    <n v="6"/>
    <x v="1"/>
    <d v="2025-06-22T00:00:00"/>
    <s v="40–49"/>
    <s v="40–49"/>
  </r>
  <r>
    <n v="49"/>
    <x v="0"/>
    <n v="1"/>
    <s v="Tue"/>
    <b v="1"/>
    <d v="1899-12-30T16:18:00"/>
    <d v="1899-12-30T17:35:00"/>
    <n v="77"/>
    <x v="1"/>
    <b v="0"/>
    <b v="0"/>
    <s v="Male"/>
    <x v="0"/>
    <x v="0"/>
    <n v="50"/>
    <x v="1"/>
    <n v="0"/>
    <n v="50"/>
    <x v="0"/>
    <s v="San Jose, CA"/>
    <n v="37.338200000000001"/>
    <n v="-121.88630000000001"/>
    <d v="2024-10-24T00:00:00"/>
    <n v="0"/>
    <x v="0"/>
    <d v="2025-07-09T00:00:00"/>
    <s v="40–49"/>
    <s v="40–49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8-05T00:00:00"/>
    <n v="6"/>
    <x v="0"/>
    <d v="2025-06-14T00:00:00"/>
    <s v="20–29"/>
    <s v="20–29"/>
  </r>
  <r>
    <n v="34"/>
    <x v="0"/>
    <n v="3"/>
    <s v="Fri, Thu, Tue"/>
    <b v="0"/>
    <d v="1899-12-30T15:41:00"/>
    <d v="1899-12-30T17:04:00"/>
    <n v="83"/>
    <x v="1"/>
    <b v="1"/>
    <b v="0"/>
    <s v="Female"/>
    <x v="0"/>
    <x v="0"/>
    <n v="50"/>
    <x v="0"/>
    <n v="0.05"/>
    <n v="47.5"/>
    <x v="0"/>
    <s v="San Diego, CA"/>
    <n v="32.715699999999998"/>
    <n v="-117.1611"/>
    <d v="2024-12-19T00:00:00"/>
    <n v="6"/>
    <x v="0"/>
    <d v="2025-07-12T00:00:00"/>
    <s v="30–39"/>
    <s v="30–39"/>
  </r>
  <r>
    <n v="39"/>
    <x v="1"/>
    <n v="2"/>
    <s v="Tue, Wed"/>
    <b v="1"/>
    <d v="1899-12-30T15:14:00"/>
    <d v="1899-12-30T17:39:00"/>
    <n v="145"/>
    <x v="1"/>
    <b v="0"/>
    <b v="0"/>
    <s v="Male"/>
    <x v="1"/>
    <x v="1"/>
    <n v="22.5"/>
    <x v="0"/>
    <n v="0.05"/>
    <n v="21.375"/>
    <x v="1"/>
    <s v="Sacramento, CA"/>
    <n v="38.581600000000002"/>
    <n v="-121.4944"/>
    <d v="2023-06-18T00:00:00"/>
    <n v="0"/>
    <x v="1"/>
    <d v="2025-06-11T00:00:00"/>
    <s v="30–39"/>
    <s v="30–39"/>
  </r>
  <r>
    <n v="47"/>
    <x v="0"/>
    <n v="1"/>
    <s v="Tue"/>
    <b v="1"/>
    <d v="1899-12-30T18:15:00"/>
    <d v="1899-12-30T19:59:00"/>
    <n v="104"/>
    <x v="1"/>
    <b v="0"/>
    <b v="1"/>
    <s v="Female"/>
    <x v="0"/>
    <x v="0"/>
    <n v="50"/>
    <x v="2"/>
    <n v="0.1"/>
    <n v="45"/>
    <x v="0"/>
    <s v="San Diego, CA"/>
    <n v="32.715699999999998"/>
    <n v="-117.1611"/>
    <d v="2024-05-07T00:00:00"/>
    <n v="0"/>
    <x v="1"/>
    <d v="2025-06-29T00:00:00"/>
    <s v="40–49"/>
    <s v="40–49"/>
  </r>
  <r>
    <n v="37"/>
    <x v="0"/>
    <n v="2"/>
    <s v="Tue, Wed"/>
    <b v="0"/>
    <d v="1899-12-30T11:30:00"/>
    <d v="1899-12-30T12:10:00"/>
    <n v="40"/>
    <x v="1"/>
    <b v="0"/>
    <b v="0"/>
    <s v="Prefer not to say"/>
    <x v="0"/>
    <x v="0"/>
    <n v="50"/>
    <x v="1"/>
    <n v="0"/>
    <n v="50"/>
    <x v="0"/>
    <s v="Bakersfield, CA"/>
    <n v="35.3733"/>
    <n v="-119.0187"/>
    <d v="2022-09-29T00:00:00"/>
    <n v="0"/>
    <x v="0"/>
    <d v="2025-05-27T00:00:00"/>
    <s v="30–39"/>
    <s v="30–39"/>
  </r>
  <r>
    <n v="39"/>
    <x v="2"/>
    <n v="5"/>
    <s v="Sat, Sun, Thu, Tue, Wed"/>
    <b v="1"/>
    <d v="1899-12-30T16:05:00"/>
    <d v="1899-12-30T18:42:00"/>
    <n v="157"/>
    <x v="0"/>
    <b v="1"/>
    <b v="0"/>
    <s v="Male"/>
    <x v="2"/>
    <x v="0"/>
    <n v="20"/>
    <x v="2"/>
    <n v="0.1"/>
    <n v="18"/>
    <x v="2"/>
    <s v="San Jose, CA"/>
    <n v="37.338200000000001"/>
    <n v="-121.88630000000001"/>
    <d v="2025-01-27T00:00:00"/>
    <n v="2"/>
    <x v="1"/>
    <d v="2025-07-14T00:00:00"/>
    <s v="30–39"/>
    <s v="30–39"/>
  </r>
  <r>
    <n v="36"/>
    <x v="1"/>
    <n v="5"/>
    <s v="Fri, Mon, Sat, Sun, Tue"/>
    <b v="0"/>
    <d v="1899-12-30T11:33:00"/>
    <d v="1899-12-30T12:40:00"/>
    <n v="67"/>
    <x v="1"/>
    <b v="0"/>
    <b v="1"/>
    <s v="Female"/>
    <x v="1"/>
    <x v="0"/>
    <n v="30"/>
    <x v="2"/>
    <n v="0.1"/>
    <n v="27"/>
    <x v="1"/>
    <s v="Anaheim, CA"/>
    <n v="33.836599999999997"/>
    <n v="-117.9143"/>
    <d v="2024-06-24T00:00:00"/>
    <n v="0"/>
    <x v="1"/>
    <d v="2025-07-02T00:00:00"/>
    <s v="30–39"/>
    <s v="30–39"/>
  </r>
  <r>
    <n v="27"/>
    <x v="1"/>
    <n v="1"/>
    <s v="Mon"/>
    <b v="0"/>
    <d v="1899-12-30T12:30:00"/>
    <d v="1899-12-30T13:08:00"/>
    <n v="38"/>
    <x v="1"/>
    <b v="0"/>
    <b v="0"/>
    <s v="Male"/>
    <x v="1"/>
    <x v="2"/>
    <n v="27"/>
    <x v="1"/>
    <n v="0"/>
    <n v="27"/>
    <x v="1"/>
    <s v="San Diego, CA"/>
    <n v="32.715699999999998"/>
    <n v="-117.1611"/>
    <d v="2025-02-22T00:00:00"/>
    <n v="0"/>
    <x v="1"/>
    <d v="2025-07-16T00:00:00"/>
    <s v="20–29"/>
    <s v="20–29"/>
  </r>
  <r>
    <n v="45"/>
    <x v="3"/>
    <n v="4"/>
    <s v="Sat, Sun, Thu, Tue"/>
    <b v="0"/>
    <d v="1899-12-30T11:19:00"/>
    <d v="1899-12-30T12:16:00"/>
    <n v="57"/>
    <x v="0"/>
    <b v="1"/>
    <b v="1"/>
    <s v="Female"/>
    <x v="3"/>
    <x v="0"/>
    <n v="70"/>
    <x v="1"/>
    <n v="0"/>
    <n v="70"/>
    <x v="3"/>
    <s v="Fresno, CA"/>
    <n v="36.7378"/>
    <n v="-119.7871"/>
    <d v="2022-10-12T00:00:00"/>
    <n v="1"/>
    <x v="0"/>
    <d v="2025-05-28T00:00:00"/>
    <s v="40–49"/>
    <s v="40–49"/>
  </r>
  <r>
    <n v="28"/>
    <x v="1"/>
    <n v="3"/>
    <s v="Fri, Sun, Tue"/>
    <b v="0"/>
    <d v="1899-12-30T09:55:00"/>
    <d v="1899-12-30T10:55:00"/>
    <n v="60"/>
    <x v="0"/>
    <b v="1"/>
    <b v="0"/>
    <s v="Prefer not to say"/>
    <x v="1"/>
    <x v="0"/>
    <n v="30"/>
    <x v="2"/>
    <n v="0.1"/>
    <n v="27"/>
    <x v="1"/>
    <s v="Los Angeles, CA"/>
    <n v="34.052199999999999"/>
    <n v="-118.2437"/>
    <d v="2022-12-01T00:00:00"/>
    <n v="2"/>
    <x v="1"/>
    <d v="2025-05-31T00:00:00"/>
    <s v="20–29"/>
    <s v="20–29"/>
  </r>
  <r>
    <n v="17"/>
    <x v="1"/>
    <n v="2"/>
    <s v="Tue, Wed"/>
    <b v="0"/>
    <d v="1899-12-30T08:06:00"/>
    <d v="1899-12-30T08:47:00"/>
    <n v="41"/>
    <x v="1"/>
    <b v="0"/>
    <b v="1"/>
    <s v="Male"/>
    <x v="1"/>
    <x v="1"/>
    <n v="22.5"/>
    <x v="2"/>
    <n v="0.1"/>
    <n v="20.25"/>
    <x v="1"/>
    <s v="Long Beach, CA"/>
    <n v="33.770099999999999"/>
    <n v="-118.19370000000001"/>
    <d v="2024-09-21T00:00:00"/>
    <n v="0"/>
    <x v="1"/>
    <d v="2025-07-07T00:00:00"/>
    <s v="10–19"/>
    <s v="16–19"/>
  </r>
  <r>
    <n v="48"/>
    <x v="0"/>
    <n v="1"/>
    <s v="Fri"/>
    <b v="0"/>
    <d v="1899-12-30T10:42:00"/>
    <d v="1899-12-30T11:57:00"/>
    <n v="75"/>
    <x v="1"/>
    <b v="1"/>
    <b v="1"/>
    <s v="Male"/>
    <x v="0"/>
    <x v="0"/>
    <n v="50"/>
    <x v="1"/>
    <n v="0"/>
    <n v="50"/>
    <x v="0"/>
    <s v="San Jose, CA"/>
    <n v="37.338200000000001"/>
    <n v="-121.88630000000001"/>
    <d v="2023-07-21T00:00:00"/>
    <n v="5"/>
    <x v="0"/>
    <d v="2025-06-13T00:00:00"/>
    <s v="40–49"/>
    <s v="40–49"/>
  </r>
  <r>
    <n v="15"/>
    <x v="0"/>
    <n v="3"/>
    <s v="Mon, Thu, Tue"/>
    <b v="0"/>
    <d v="1899-12-30T09:55:00"/>
    <d v="1899-12-30T11:07:00"/>
    <n v="72"/>
    <x v="1"/>
    <b v="1"/>
    <b v="1"/>
    <s v="Prefer not to say"/>
    <x v="0"/>
    <x v="0"/>
    <n v="50"/>
    <x v="1"/>
    <n v="0"/>
    <n v="50"/>
    <x v="0"/>
    <s v="San Jose, CA"/>
    <n v="37.338200000000001"/>
    <n v="-121.88630000000001"/>
    <d v="2023-02-03T00:00:00"/>
    <n v="5"/>
    <x v="0"/>
    <d v="2025-06-03T00:00:00"/>
    <s v="10–19"/>
    <s v="Under 16"/>
  </r>
  <r>
    <n v="28"/>
    <x v="0"/>
    <n v="5"/>
    <s v="Mon, Sat, Sun, Thu, Wed"/>
    <b v="1"/>
    <d v="1899-12-30T13:31:00"/>
    <d v="1899-12-30T15:39:00"/>
    <n v="128"/>
    <x v="0"/>
    <b v="1"/>
    <b v="1"/>
    <s v="Male"/>
    <x v="0"/>
    <x v="0"/>
    <n v="50"/>
    <x v="3"/>
    <n v="0.15"/>
    <n v="42.5"/>
    <x v="0"/>
    <s v="Fresno, CA"/>
    <n v="36.7378"/>
    <n v="-119.7871"/>
    <d v="2023-11-09T00:00:00"/>
    <n v="2"/>
    <x v="0"/>
    <d v="2025-06-19T00:00:00"/>
    <s v="20–29"/>
    <s v="20–29"/>
  </r>
  <r>
    <n v="22"/>
    <x v="0"/>
    <n v="5"/>
    <s v="Fri, Mon, Sun, Tue, Wed"/>
    <b v="0"/>
    <d v="1899-12-30T13:52:00"/>
    <d v="1899-12-30T14:43:00"/>
    <n v="51"/>
    <x v="0"/>
    <b v="0"/>
    <b v="1"/>
    <s v="Female"/>
    <x v="0"/>
    <x v="0"/>
    <n v="50"/>
    <x v="2"/>
    <n v="0.1"/>
    <n v="45"/>
    <x v="0"/>
    <s v="Los Angeles, CA"/>
    <n v="34.052199999999999"/>
    <n v="-118.2437"/>
    <d v="2023-12-06T00:00:00"/>
    <n v="0"/>
    <x v="1"/>
    <d v="2025-06-21T00:00:00"/>
    <s v="20–29"/>
    <s v="20–29"/>
  </r>
  <r>
    <n v="18"/>
    <x v="1"/>
    <n v="2"/>
    <s v="Thu, Tue"/>
    <b v="0"/>
    <d v="1899-12-30T16:41:00"/>
    <d v="1899-12-30T19:00:00"/>
    <n v="139"/>
    <x v="1"/>
    <b v="0"/>
    <b v="0"/>
    <s v="Female"/>
    <x v="1"/>
    <x v="1"/>
    <n v="22.5"/>
    <x v="1"/>
    <n v="0"/>
    <n v="22.5"/>
    <x v="1"/>
    <s v="Bakersfield, CA"/>
    <n v="35.3733"/>
    <n v="-119.0187"/>
    <d v="2024-10-08T00:00:00"/>
    <n v="0"/>
    <x v="0"/>
    <d v="2025-07-08T00:00:00"/>
    <s v="10–19"/>
    <s v="16–19"/>
  </r>
  <r>
    <n v="23"/>
    <x v="0"/>
    <n v="3"/>
    <s v="Mon, Sun, Thu"/>
    <b v="0"/>
    <d v="1899-12-30T09:56:00"/>
    <d v="1899-12-30T11:20:00"/>
    <n v="84"/>
    <x v="1"/>
    <b v="1"/>
    <b v="0"/>
    <s v="Female"/>
    <x v="0"/>
    <x v="0"/>
    <n v="50"/>
    <x v="3"/>
    <n v="0.15"/>
    <n v="42.5"/>
    <x v="0"/>
    <s v="Fresno, CA"/>
    <n v="36.7378"/>
    <n v="-119.7871"/>
    <d v="2025-03-15T00:00:00"/>
    <n v="6"/>
    <x v="0"/>
    <d v="2025-07-17T00:00:00"/>
    <s v="20–29"/>
    <s v="20–29"/>
  </r>
  <r>
    <n v="44"/>
    <x v="0"/>
    <n v="4"/>
    <s v="Mon, Thu, Tue, Wed"/>
    <b v="1"/>
    <d v="1899-12-30T19:09:00"/>
    <d v="1899-12-30T21:55:00"/>
    <n v="166"/>
    <x v="1"/>
    <b v="0"/>
    <b v="1"/>
    <s v="Female"/>
    <x v="0"/>
    <x v="0"/>
    <n v="50"/>
    <x v="2"/>
    <n v="0.1"/>
    <n v="45"/>
    <x v="0"/>
    <s v="San Jose, CA"/>
    <n v="37.338200000000001"/>
    <n v="-121.88630000000001"/>
    <d v="2022-11-10T00:00:00"/>
    <n v="0"/>
    <x v="0"/>
    <d v="2025-05-30T00:00:00"/>
    <s v="40–49"/>
    <s v="40–49"/>
  </r>
  <r>
    <n v="36"/>
    <x v="3"/>
    <n v="4"/>
    <s v="Mon, Thu, Tue, Wed"/>
    <b v="1"/>
    <d v="1899-12-30T17:28:00"/>
    <d v="1899-12-30T18:29:00"/>
    <n v="61"/>
    <x v="0"/>
    <b v="0"/>
    <b v="0"/>
    <s v="Male"/>
    <x v="3"/>
    <x v="0"/>
    <n v="70"/>
    <x v="1"/>
    <n v="0"/>
    <n v="70"/>
    <x v="3"/>
    <s v="San Diego, CA"/>
    <n v="32.715699999999998"/>
    <n v="-117.1611"/>
    <d v="2022-11-07T00:00:00"/>
    <n v="0"/>
    <x v="0"/>
    <d v="2025-05-29T00:00:00"/>
    <s v="30–39"/>
    <s v="30–39"/>
  </r>
  <r>
    <n v="40"/>
    <x v="2"/>
    <n v="1"/>
    <s v="Sun"/>
    <b v="1"/>
    <d v="1899-12-30T16:03:00"/>
    <d v="1899-12-30T17:49:00"/>
    <n v="106"/>
    <x v="0"/>
    <b v="0"/>
    <b v="1"/>
    <s v="Male"/>
    <x v="2"/>
    <x v="1"/>
    <n v="15"/>
    <x v="1"/>
    <n v="0"/>
    <n v="15"/>
    <x v="2"/>
    <s v="Fresno, CA"/>
    <n v="36.7378"/>
    <n v="-119.7871"/>
    <d v="2023-08-18T00:00:00"/>
    <n v="0"/>
    <x v="1"/>
    <d v="2025-06-15T00:00:00"/>
    <s v="40–49"/>
    <s v="40–49"/>
  </r>
  <r>
    <n v="17"/>
    <x v="2"/>
    <n v="2"/>
    <s v="Fri, Thu"/>
    <b v="1"/>
    <d v="1899-12-30T16:58:00"/>
    <d v="1899-12-30T19:40:00"/>
    <n v="162"/>
    <x v="1"/>
    <b v="0"/>
    <b v="1"/>
    <s v="Prefer not to say"/>
    <x v="2"/>
    <x v="0"/>
    <n v="20"/>
    <x v="1"/>
    <n v="0"/>
    <n v="20"/>
    <x v="2"/>
    <s v="Long Beach, CA"/>
    <n v="33.770099999999999"/>
    <n v="-118.19370000000001"/>
    <d v="2024-06-26T00:00:00"/>
    <n v="0"/>
    <x v="1"/>
    <d v="2025-07-02T00:00:00"/>
    <s v="10–19"/>
    <s v="16–19"/>
  </r>
  <r>
    <n v="37"/>
    <x v="0"/>
    <n v="1"/>
    <s v="Sun"/>
    <b v="0"/>
    <d v="1899-12-30T16:39:00"/>
    <d v="1899-12-30T19:05:00"/>
    <n v="146"/>
    <x v="1"/>
    <b v="1"/>
    <b v="0"/>
    <s v="Female"/>
    <x v="0"/>
    <x v="1"/>
    <n v="37.5"/>
    <x v="3"/>
    <n v="0.15"/>
    <n v="31.875"/>
    <x v="0"/>
    <s v="Fresno, CA"/>
    <n v="36.7378"/>
    <n v="-119.7871"/>
    <d v="2024-06-16T00:00:00"/>
    <n v="8"/>
    <x v="0"/>
    <d v="2025-07-02T00:00:00"/>
    <s v="30–39"/>
    <s v="30–39"/>
  </r>
  <r>
    <n v="26"/>
    <x v="0"/>
    <n v="2"/>
    <s v="Fri, Mon"/>
    <b v="0"/>
    <d v="1899-12-30T08:19:00"/>
    <d v="1899-12-30T10:45:00"/>
    <n v="146"/>
    <x v="0"/>
    <b v="1"/>
    <b v="0"/>
    <s v="Female"/>
    <x v="0"/>
    <x v="2"/>
    <n v="45"/>
    <x v="1"/>
    <n v="0"/>
    <n v="45"/>
    <x v="0"/>
    <s v="Fresno, CA"/>
    <n v="36.7378"/>
    <n v="-119.7871"/>
    <d v="2023-05-11T00:00:00"/>
    <n v="1"/>
    <x v="0"/>
    <d v="2025-06-09T00:00:00"/>
    <s v="20–29"/>
    <s v="20–29"/>
  </r>
  <r>
    <n v="28"/>
    <x v="0"/>
    <n v="3"/>
    <s v="Sat, Thu, Wed"/>
    <b v="0"/>
    <d v="1899-12-30T08:50:00"/>
    <d v="1899-12-30T11:20:00"/>
    <n v="150"/>
    <x v="0"/>
    <b v="1"/>
    <b v="0"/>
    <s v="Non-binary"/>
    <x v="0"/>
    <x v="1"/>
    <n v="37.5"/>
    <x v="3"/>
    <n v="0.15"/>
    <n v="31.875"/>
    <x v="0"/>
    <s v="Oakland, CA"/>
    <n v="37.804400000000001"/>
    <n v="-122.27119999999999"/>
    <d v="2022-11-10T00:00:00"/>
    <n v="2"/>
    <x v="0"/>
    <d v="2025-05-30T00:00:00"/>
    <s v="20–29"/>
    <s v="20–29"/>
  </r>
  <r>
    <n v="48"/>
    <x v="0"/>
    <n v="2"/>
    <s v="Thu, Wed"/>
    <b v="0"/>
    <d v="1899-12-30T17:14:00"/>
    <d v="1899-12-30T20:05:00"/>
    <n v="171"/>
    <x v="0"/>
    <b v="1"/>
    <b v="1"/>
    <s v="Male"/>
    <x v="0"/>
    <x v="1"/>
    <n v="37.5"/>
    <x v="1"/>
    <n v="0"/>
    <n v="37.5"/>
    <x v="0"/>
    <s v="San Francisco, CA"/>
    <n v="37.774900000000002"/>
    <n v="-122.4194"/>
    <d v="2022-11-21T00:00:00"/>
    <n v="2"/>
    <x v="0"/>
    <d v="2025-05-30T00:00:00"/>
    <s v="40–49"/>
    <s v="40–49"/>
  </r>
  <r>
    <n v="29"/>
    <x v="2"/>
    <n v="4"/>
    <s v="Fri, Mon, Sun, Wed"/>
    <b v="0"/>
    <d v="1899-12-30T10:43:00"/>
    <d v="1899-12-30T11:52:00"/>
    <n v="69"/>
    <x v="1"/>
    <b v="1"/>
    <b v="0"/>
    <s v="Non-binary"/>
    <x v="2"/>
    <x v="1"/>
    <n v="15"/>
    <x v="1"/>
    <n v="0"/>
    <n v="15"/>
    <x v="2"/>
    <s v="Anaheim, CA"/>
    <n v="33.836599999999997"/>
    <n v="-117.9143"/>
    <d v="2023-03-15T00:00:00"/>
    <n v="2"/>
    <x v="1"/>
    <d v="2025-06-06T00:00:00"/>
    <s v="20–29"/>
    <s v="20–29"/>
  </r>
  <r>
    <n v="49"/>
    <x v="1"/>
    <n v="3"/>
    <s v="Sun, Tue, Wed"/>
    <b v="1"/>
    <d v="1899-12-30T17:10:00"/>
    <d v="1899-12-30T18:03:00"/>
    <n v="53"/>
    <x v="1"/>
    <b v="1"/>
    <b v="1"/>
    <s v="Prefer not to say"/>
    <x v="1"/>
    <x v="2"/>
    <n v="27"/>
    <x v="2"/>
    <n v="0.1"/>
    <n v="24.3"/>
    <x v="1"/>
    <s v="Los Angeles, CA"/>
    <n v="34.052199999999999"/>
    <n v="-118.2437"/>
    <d v="2023-08-09T00:00:00"/>
    <n v="8"/>
    <x v="1"/>
    <d v="2025-06-14T00:00:00"/>
    <s v="40–49"/>
    <s v="40–49"/>
  </r>
  <r>
    <n v="30"/>
    <x v="2"/>
    <n v="3"/>
    <s v="Sat, Sun, Wed"/>
    <b v="1"/>
    <d v="1899-12-30T11:09:00"/>
    <d v="1899-12-30T12:25:00"/>
    <n v="76"/>
    <x v="1"/>
    <b v="0"/>
    <b v="1"/>
    <s v="Female"/>
    <x v="2"/>
    <x v="0"/>
    <n v="20"/>
    <x v="1"/>
    <n v="0"/>
    <n v="20"/>
    <x v="2"/>
    <s v="Sacramento, CA"/>
    <n v="38.581600000000002"/>
    <n v="-121.4944"/>
    <d v="2025-03-25T00:00:00"/>
    <n v="0"/>
    <x v="1"/>
    <d v="2025-07-17T00:00:00"/>
    <s v="30–39"/>
    <s v="30–39"/>
  </r>
  <r>
    <n v="29"/>
    <x v="1"/>
    <n v="2"/>
    <s v="Sat, Tue"/>
    <b v="1"/>
    <d v="1899-12-30T20:00:00"/>
    <d v="1899-12-30T21:50:00"/>
    <n v="110"/>
    <x v="1"/>
    <b v="1"/>
    <b v="0"/>
    <s v="Female"/>
    <x v="1"/>
    <x v="0"/>
    <n v="30"/>
    <x v="1"/>
    <n v="0"/>
    <n v="30"/>
    <x v="1"/>
    <s v="San Diego, CA"/>
    <n v="32.715699999999998"/>
    <n v="-117.1611"/>
    <d v="2025-01-01T00:00:00"/>
    <n v="8"/>
    <x v="0"/>
    <d v="2025-07-13T00:00:00"/>
    <s v="20–29"/>
    <s v="20–29"/>
  </r>
  <r>
    <n v="34"/>
    <x v="0"/>
    <n v="2"/>
    <s v="Mon, Thu"/>
    <b v="1"/>
    <d v="1899-12-30T14:03:00"/>
    <d v="1899-12-30T16:10:00"/>
    <n v="127"/>
    <x v="1"/>
    <b v="0"/>
    <b v="1"/>
    <s v="Female"/>
    <x v="0"/>
    <x v="0"/>
    <n v="50"/>
    <x v="0"/>
    <n v="0.05"/>
    <n v="47.5"/>
    <x v="0"/>
    <s v="San Francisco, CA"/>
    <n v="37.774900000000002"/>
    <n v="-122.4194"/>
    <d v="2022-11-09T00:00:00"/>
    <n v="0"/>
    <x v="1"/>
    <d v="2025-05-30T00:00:00"/>
    <s v="30–39"/>
    <s v="30–39"/>
  </r>
  <r>
    <n v="19"/>
    <x v="2"/>
    <n v="2"/>
    <s v="Thu, Tue"/>
    <b v="0"/>
    <d v="1899-12-30T16:40:00"/>
    <d v="1899-12-30T17:37:00"/>
    <n v="57"/>
    <x v="0"/>
    <b v="1"/>
    <b v="1"/>
    <s v="Male"/>
    <x v="2"/>
    <x v="0"/>
    <n v="20"/>
    <x v="1"/>
    <n v="0"/>
    <n v="20"/>
    <x v="2"/>
    <s v="San Jose, CA"/>
    <n v="37.338200000000001"/>
    <n v="-121.88630000000001"/>
    <d v="2023-09-16T00:00:00"/>
    <n v="3"/>
    <x v="1"/>
    <d v="2025-06-16T00:00:00"/>
    <s v="10–19"/>
    <s v="16–19"/>
  </r>
  <r>
    <n v="39"/>
    <x v="0"/>
    <n v="3"/>
    <s v="Fri, Mon, Sun"/>
    <b v="1"/>
    <d v="1899-12-30T12:16:00"/>
    <d v="1899-12-30T12:49:00"/>
    <n v="33"/>
    <x v="0"/>
    <b v="0"/>
    <b v="0"/>
    <s v="Male"/>
    <x v="0"/>
    <x v="0"/>
    <n v="50"/>
    <x v="3"/>
    <n v="0.15"/>
    <n v="42.5"/>
    <x v="0"/>
    <s v="Bakersfield, CA"/>
    <n v="35.3733"/>
    <n v="-119.0187"/>
    <d v="2025-06-13T00:00:00"/>
    <n v="0"/>
    <x v="0"/>
    <d v="2025-07-22T00:00:00"/>
    <s v="30–39"/>
    <s v="30–39"/>
  </r>
  <r>
    <n v="41"/>
    <x v="1"/>
    <n v="1"/>
    <s v="Fri"/>
    <b v="0"/>
    <d v="1899-12-30T13:50:00"/>
    <d v="1899-12-30T14:26:00"/>
    <n v="36"/>
    <x v="0"/>
    <b v="1"/>
    <b v="0"/>
    <s v="Male"/>
    <x v="1"/>
    <x v="0"/>
    <n v="30"/>
    <x v="2"/>
    <n v="0.1"/>
    <n v="27"/>
    <x v="1"/>
    <s v="Fresno, CA"/>
    <n v="36.7378"/>
    <n v="-119.7871"/>
    <d v="2025-03-06T00:00:00"/>
    <n v="5"/>
    <x v="1"/>
    <d v="2025-07-16T00:00:00"/>
    <s v="40–49"/>
    <s v="40–4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3-07-17T00:00:00"/>
    <n v="0"/>
    <x v="1"/>
    <d v="2025-06-13T00:00:00"/>
    <s v="20–29"/>
    <s v="20–29"/>
  </r>
  <r>
    <n v="17"/>
    <x v="3"/>
    <n v="1"/>
    <s v="Mon"/>
    <b v="0"/>
    <d v="1899-12-30T17:58:00"/>
    <d v="1899-12-30T20:04:00"/>
    <n v="126"/>
    <x v="0"/>
    <b v="1"/>
    <b v="0"/>
    <s v="Prefer not to say"/>
    <x v="3"/>
    <x v="0"/>
    <n v="70"/>
    <x v="1"/>
    <n v="0"/>
    <n v="70"/>
    <x v="3"/>
    <s v="San Jose, CA"/>
    <n v="37.338200000000001"/>
    <n v="-121.88630000000001"/>
    <d v="2025-06-17T00:00:00"/>
    <n v="7"/>
    <x v="0"/>
    <d v="2025-07-22T00:00:00"/>
    <s v="10–19"/>
    <s v="16–19"/>
  </r>
  <r>
    <n v="40"/>
    <x v="0"/>
    <n v="2"/>
    <s v="Sun, Thu"/>
    <b v="0"/>
    <d v="1899-12-30T11:37:00"/>
    <d v="1899-12-30T14:23:00"/>
    <n v="166"/>
    <x v="0"/>
    <b v="1"/>
    <b v="1"/>
    <s v="Male"/>
    <x v="0"/>
    <x v="0"/>
    <n v="50"/>
    <x v="1"/>
    <n v="0"/>
    <n v="50"/>
    <x v="0"/>
    <s v="San Jose, CA"/>
    <n v="37.338200000000001"/>
    <n v="-121.88630000000001"/>
    <d v="2025-01-02T00:00:00"/>
    <n v="6"/>
    <x v="0"/>
    <d v="2025-07-13T00:00:00"/>
    <s v="40–49"/>
    <s v="40–49"/>
  </r>
  <r>
    <n v="31"/>
    <x v="0"/>
    <n v="2"/>
    <s v="Mon, Wed"/>
    <b v="1"/>
    <d v="1899-12-30T20:28:00"/>
    <d v="1899-12-30T21:52:00"/>
    <n v="84"/>
    <x v="1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3-11-16T00:00:00"/>
    <n v="4"/>
    <x v="0"/>
    <d v="2025-06-20T00:00:00"/>
    <s v="30–39"/>
    <s v="30–39"/>
  </r>
  <r>
    <n v="39"/>
    <x v="0"/>
    <n v="5"/>
    <s v="Mon, Sun, Thu, Tue, Wed"/>
    <b v="0"/>
    <d v="1899-12-30T15:28:00"/>
    <d v="1899-12-30T16:30:00"/>
    <n v="62"/>
    <x v="0"/>
    <b v="1"/>
    <b v="1"/>
    <s v="Male"/>
    <x v="0"/>
    <x v="0"/>
    <n v="50"/>
    <x v="2"/>
    <n v="0.1"/>
    <n v="45"/>
    <x v="0"/>
    <s v="Fresno, CA"/>
    <n v="36.7378"/>
    <n v="-119.7871"/>
    <d v="2023-06-17T00:00:00"/>
    <n v="8"/>
    <x v="0"/>
    <d v="2025-06-11T00:00:00"/>
    <s v="30–39"/>
    <s v="30–39"/>
  </r>
  <r>
    <n v="26"/>
    <x v="1"/>
    <n v="4"/>
    <s v="Mon, Sat, Thu, Wed"/>
    <b v="1"/>
    <d v="1899-12-30T13:03:00"/>
    <d v="1899-12-30T15:39:00"/>
    <n v="156"/>
    <x v="0"/>
    <b v="1"/>
    <b v="1"/>
    <s v="Prefer not to say"/>
    <x v="1"/>
    <x v="1"/>
    <n v="22.5"/>
    <x v="0"/>
    <n v="0.05"/>
    <n v="21.375"/>
    <x v="1"/>
    <s v="Sacramento, CA"/>
    <n v="38.581600000000002"/>
    <n v="-121.4944"/>
    <d v="2023-07-29T00:00:00"/>
    <n v="7"/>
    <x v="1"/>
    <d v="2025-06-13T00:00:00"/>
    <s v="20–29"/>
    <s v="20–29"/>
  </r>
  <r>
    <n v="39"/>
    <x v="1"/>
    <n v="5"/>
    <s v="Fri, Mon, Sat, Thu, Wed"/>
    <b v="1"/>
    <d v="1899-12-30T15:16:00"/>
    <d v="1899-12-30T17:15:00"/>
    <n v="119"/>
    <x v="1"/>
    <b v="1"/>
    <b v="0"/>
    <s v="Female"/>
    <x v="1"/>
    <x v="0"/>
    <n v="30"/>
    <x v="3"/>
    <n v="0.15"/>
    <n v="25.5"/>
    <x v="1"/>
    <s v="Sacramento, CA"/>
    <n v="38.581600000000002"/>
    <n v="-121.4944"/>
    <d v="2024-10-27T00:00:00"/>
    <n v="8"/>
    <x v="1"/>
    <d v="2025-07-09T00:00:00"/>
    <s v="30–39"/>
    <s v="30–3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3-05-26T00:00:00"/>
    <n v="0"/>
    <x v="1"/>
    <d v="2025-06-10T00:00:00"/>
    <s v="20–29"/>
    <s v="20–29"/>
  </r>
  <r>
    <n v="27"/>
    <x v="1"/>
    <n v="2"/>
    <s v="Tue, Wed"/>
    <b v="0"/>
    <d v="1899-12-30T18:28:00"/>
    <d v="1899-12-30T20:20:00"/>
    <n v="112"/>
    <x v="1"/>
    <b v="0"/>
    <b v="0"/>
    <s v="Male"/>
    <x v="1"/>
    <x v="0"/>
    <n v="30"/>
    <x v="3"/>
    <n v="0.15"/>
    <n v="25.5"/>
    <x v="1"/>
    <s v="Sacramento, CA"/>
    <n v="38.581600000000002"/>
    <n v="-121.4944"/>
    <d v="2024-10-13T00:00:00"/>
    <n v="0"/>
    <x v="0"/>
    <d v="2025-07-08T00:00:00"/>
    <s v="20–29"/>
    <s v="20–29"/>
  </r>
  <r>
    <n v="32"/>
    <x v="0"/>
    <n v="3"/>
    <s v="Fri, Tue, Wed"/>
    <b v="1"/>
    <d v="1899-12-30T17:47:00"/>
    <d v="1899-12-30T19:28:00"/>
    <n v="101"/>
    <x v="0"/>
    <b v="0"/>
    <b v="1"/>
    <s v="Female"/>
    <x v="0"/>
    <x v="2"/>
    <n v="45"/>
    <x v="2"/>
    <n v="0.1"/>
    <n v="40.5"/>
    <x v="0"/>
    <s v="Fresno, CA"/>
    <n v="36.7378"/>
    <n v="-119.7871"/>
    <d v="2024-07-11T00:00:00"/>
    <n v="0"/>
    <x v="1"/>
    <d v="2025-07-03T00:00:00"/>
    <s v="30–39"/>
    <s v="30–39"/>
  </r>
  <r>
    <n v="35"/>
    <x v="1"/>
    <n v="1"/>
    <s v="Fri"/>
    <b v="1"/>
    <d v="1899-12-30T13:12:00"/>
    <d v="1899-12-30T14:54:00"/>
    <n v="102"/>
    <x v="1"/>
    <b v="1"/>
    <b v="0"/>
    <s v="Non-binary"/>
    <x v="1"/>
    <x v="0"/>
    <n v="30"/>
    <x v="1"/>
    <n v="0"/>
    <n v="30"/>
    <x v="1"/>
    <s v="Long Beach, CA"/>
    <n v="33.770099999999999"/>
    <n v="-118.19370000000001"/>
    <d v="2023-04-19T00:00:00"/>
    <n v="6"/>
    <x v="1"/>
    <d v="2025-06-08T00:00:00"/>
    <s v="30–39"/>
    <s v="30–39"/>
  </r>
  <r>
    <n v="43"/>
    <x v="1"/>
    <n v="4"/>
    <s v="Mon, Sat, Tue, Wed"/>
    <b v="1"/>
    <d v="1899-12-30T10:38:00"/>
    <d v="1899-12-30T11:41:00"/>
    <n v="63"/>
    <x v="1"/>
    <b v="1"/>
    <b v="1"/>
    <s v="Male"/>
    <x v="1"/>
    <x v="1"/>
    <n v="22.5"/>
    <x v="0"/>
    <n v="0.05"/>
    <n v="21.375"/>
    <x v="1"/>
    <s v="Bakersfield, CA"/>
    <n v="35.3733"/>
    <n v="-119.0187"/>
    <d v="2023-08-01T00:00:00"/>
    <n v="4"/>
    <x v="1"/>
    <d v="2025-06-14T00:00:00"/>
    <s v="40–49"/>
    <s v="40–49"/>
  </r>
  <r>
    <n v="24"/>
    <x v="1"/>
    <n v="3"/>
    <s v="Mon, Sat, Sun"/>
    <b v="1"/>
    <d v="1899-12-30T20:53:00"/>
    <d v="1899-12-30T21:33:00"/>
    <n v="40"/>
    <x v="0"/>
    <b v="0"/>
    <b v="1"/>
    <s v="Female"/>
    <x v="1"/>
    <x v="0"/>
    <n v="30"/>
    <x v="1"/>
    <n v="0"/>
    <n v="30"/>
    <x v="1"/>
    <s v="Sacramento, CA"/>
    <n v="38.581600000000002"/>
    <n v="-121.4944"/>
    <d v="2022-12-31T00:00:00"/>
    <n v="0"/>
    <x v="1"/>
    <d v="2025-06-02T00:00:00"/>
    <s v="20–29"/>
    <s v="20–29"/>
  </r>
  <r>
    <n v="22"/>
    <x v="1"/>
    <n v="5"/>
    <s v="Fri, Sat, Sun, Tue, Wed"/>
    <b v="1"/>
    <d v="1899-12-30T08:13:00"/>
    <d v="1899-12-30T09:46:00"/>
    <n v="93"/>
    <x v="0"/>
    <b v="0"/>
    <b v="1"/>
    <s v="Male"/>
    <x v="1"/>
    <x v="0"/>
    <n v="30"/>
    <x v="0"/>
    <n v="0.05"/>
    <n v="28.5"/>
    <x v="1"/>
    <s v="San Jose, CA"/>
    <n v="37.338200000000001"/>
    <n v="-121.88630000000001"/>
    <d v="2023-07-23T00:00:00"/>
    <n v="0"/>
    <x v="1"/>
    <d v="2025-06-13T00:00:00"/>
    <s v="20–29"/>
    <s v="20–29"/>
  </r>
  <r>
    <n v="23"/>
    <x v="2"/>
    <n v="2"/>
    <s v="Mon, Sun"/>
    <b v="1"/>
    <d v="1899-12-30T12:58:00"/>
    <d v="1899-12-30T15:46:00"/>
    <n v="168"/>
    <x v="0"/>
    <b v="0"/>
    <b v="0"/>
    <s v="Female"/>
    <x v="2"/>
    <x v="0"/>
    <n v="20"/>
    <x v="1"/>
    <n v="0"/>
    <n v="20"/>
    <x v="2"/>
    <s v="San Diego, CA"/>
    <n v="32.715699999999998"/>
    <n v="-117.1611"/>
    <d v="2023-10-26T00:00:00"/>
    <n v="0"/>
    <x v="1"/>
    <d v="2025-06-18T00:00:00"/>
    <s v="20–29"/>
    <s v="20–29"/>
  </r>
  <r>
    <n v="17"/>
    <x v="2"/>
    <n v="3"/>
    <s v="Sat, Thu, Tue"/>
    <b v="0"/>
    <d v="1899-12-30T11:02:00"/>
    <d v="1899-12-30T12:24:00"/>
    <n v="82"/>
    <x v="0"/>
    <b v="1"/>
    <b v="1"/>
    <s v="Male"/>
    <x v="2"/>
    <x v="0"/>
    <n v="20"/>
    <x v="3"/>
    <n v="0.15"/>
    <n v="17"/>
    <x v="2"/>
    <s v="Los Angeles, CA"/>
    <n v="34.052199999999999"/>
    <n v="-118.2437"/>
    <d v="2025-03-15T00:00:00"/>
    <n v="3"/>
    <x v="0"/>
    <d v="2025-07-17T00:00:00"/>
    <s v="10–19"/>
    <s v="16–1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4-05-27T00:00:00"/>
    <n v="2"/>
    <x v="0"/>
    <d v="2025-06-30T00:00:00"/>
    <s v="10–19"/>
    <s v="16–19"/>
  </r>
  <r>
    <n v="24"/>
    <x v="2"/>
    <n v="2"/>
    <s v="Sun, Tue"/>
    <b v="1"/>
    <d v="1899-12-30T18:58:00"/>
    <d v="1899-12-30T19:40:00"/>
    <n v="42"/>
    <x v="1"/>
    <b v="0"/>
    <b v="1"/>
    <s v="Female"/>
    <x v="2"/>
    <x v="2"/>
    <n v="18"/>
    <x v="2"/>
    <n v="0.1"/>
    <n v="16.2"/>
    <x v="2"/>
    <s v="Los Angeles, CA"/>
    <n v="34.052199999999999"/>
    <n v="-118.2437"/>
    <d v="2024-09-13T00:00:00"/>
    <n v="0"/>
    <x v="0"/>
    <d v="2025-07-07T00:00:00"/>
    <s v="20–29"/>
    <s v="20–29"/>
  </r>
  <r>
    <n v="27"/>
    <x v="0"/>
    <n v="2"/>
    <s v="Mon, Thu"/>
    <b v="1"/>
    <d v="1899-12-30T20:32:00"/>
    <d v="1899-12-30T22:20:00"/>
    <n v="108"/>
    <x v="1"/>
    <b v="0"/>
    <b v="0"/>
    <s v="Other (self-described)"/>
    <x v="0"/>
    <x v="2"/>
    <n v="45"/>
    <x v="1"/>
    <n v="0"/>
    <n v="45"/>
    <x v="0"/>
    <s v="Long Beach, CA"/>
    <n v="33.770099999999999"/>
    <n v="-118.19370000000001"/>
    <d v="2024-10-06T00:00:00"/>
    <n v="0"/>
    <x v="0"/>
    <d v="2025-07-08T00:00:00"/>
    <s v="20–29"/>
    <s v="20–29"/>
  </r>
  <r>
    <n v="22"/>
    <x v="2"/>
    <n v="5"/>
    <s v="Fri, Sat, Sun, Tue, Wed"/>
    <b v="1"/>
    <d v="1899-12-30T10:31:00"/>
    <d v="1899-12-30T11:48:00"/>
    <n v="77"/>
    <x v="1"/>
    <b v="1"/>
    <b v="0"/>
    <s v="Male"/>
    <x v="2"/>
    <x v="1"/>
    <n v="15"/>
    <x v="0"/>
    <n v="0.05"/>
    <n v="14.25"/>
    <x v="2"/>
    <s v="Anaheim, CA"/>
    <n v="33.836599999999997"/>
    <n v="-117.9143"/>
    <d v="2022-08-21T00:00:00"/>
    <n v="3"/>
    <x v="0"/>
    <d v="2025-05-25T00:00:00"/>
    <s v="20–29"/>
    <s v="20–29"/>
  </r>
  <r>
    <n v="14"/>
    <x v="3"/>
    <n v="2"/>
    <s v="Sat, Sun"/>
    <b v="1"/>
    <d v="1899-12-30T14:18:00"/>
    <d v="1899-12-30T15:13:00"/>
    <n v="55"/>
    <x v="1"/>
    <b v="0"/>
    <b v="1"/>
    <s v="Female"/>
    <x v="3"/>
    <x v="1"/>
    <n v="52.5"/>
    <x v="0"/>
    <n v="0.05"/>
    <n v="49.875"/>
    <x v="3"/>
    <s v="San Francisco, CA"/>
    <n v="37.774900000000002"/>
    <n v="-122.4194"/>
    <d v="2024-04-30T00:00:00"/>
    <n v="0"/>
    <x v="0"/>
    <d v="2025-06-29T00:00:00"/>
    <s v="10–19"/>
    <s v="Under 16"/>
  </r>
  <r>
    <n v="47"/>
    <x v="0"/>
    <n v="1"/>
    <s v="Mon"/>
    <b v="0"/>
    <d v="1899-12-30T19:32:00"/>
    <d v="1899-12-30T20:22:00"/>
    <n v="50"/>
    <x v="1"/>
    <b v="0"/>
    <b v="0"/>
    <s v="Male"/>
    <x v="0"/>
    <x v="0"/>
    <n v="50"/>
    <x v="1"/>
    <n v="0"/>
    <n v="50"/>
    <x v="0"/>
    <s v="San Francisco, CA"/>
    <n v="37.774900000000002"/>
    <n v="-122.4194"/>
    <d v="2022-11-15T00:00:00"/>
    <n v="0"/>
    <x v="0"/>
    <d v="2025-05-30T00:00:00"/>
    <s v="40–49"/>
    <s v="40–49"/>
  </r>
  <r>
    <n v="26"/>
    <x v="2"/>
    <n v="3"/>
    <s v="Sat, Sun, Wed"/>
    <b v="1"/>
    <d v="1899-12-30T10:22:00"/>
    <d v="1899-12-30T11:36:00"/>
    <n v="74"/>
    <x v="0"/>
    <b v="1"/>
    <b v="0"/>
    <s v="Non-binary"/>
    <x v="2"/>
    <x v="1"/>
    <n v="15"/>
    <x v="1"/>
    <n v="0"/>
    <n v="15"/>
    <x v="2"/>
    <s v="Bakersfield, CA"/>
    <n v="35.3733"/>
    <n v="-119.0187"/>
    <d v="2023-08-20T00:00:00"/>
    <n v="8"/>
    <x v="1"/>
    <d v="2025-06-15T00:00:00"/>
    <s v="20–29"/>
    <s v="20–29"/>
  </r>
  <r>
    <n v="36"/>
    <x v="1"/>
    <n v="1"/>
    <s v="Tue"/>
    <b v="0"/>
    <d v="1899-12-30T20:55:00"/>
    <d v="1899-12-30T22:44:00"/>
    <n v="109"/>
    <x v="1"/>
    <b v="0"/>
    <b v="1"/>
    <s v="Non-binary"/>
    <x v="1"/>
    <x v="1"/>
    <n v="22.5"/>
    <x v="3"/>
    <n v="0.15"/>
    <n v="19.125"/>
    <x v="1"/>
    <s v="San Jose, CA"/>
    <n v="37.338200000000001"/>
    <n v="-121.88630000000001"/>
    <d v="2023-02-27T00:00:00"/>
    <n v="0"/>
    <x v="0"/>
    <d v="2025-06-05T00:00:00"/>
    <s v="30–39"/>
    <s v="30–39"/>
  </r>
  <r>
    <n v="30"/>
    <x v="1"/>
    <n v="4"/>
    <s v="Fri, Sat, Sun, Wed"/>
    <b v="1"/>
    <d v="1899-12-30T14:27:00"/>
    <d v="1899-12-30T16:09:00"/>
    <n v="102"/>
    <x v="0"/>
    <b v="1"/>
    <b v="0"/>
    <s v="Non-binary"/>
    <x v="1"/>
    <x v="0"/>
    <n v="30"/>
    <x v="2"/>
    <n v="0.1"/>
    <n v="27"/>
    <x v="1"/>
    <s v="San Diego, CA"/>
    <n v="32.715699999999998"/>
    <n v="-117.1611"/>
    <d v="2024-01-04T00:00:00"/>
    <n v="3"/>
    <x v="1"/>
    <d v="2025-06-22T00:00:00"/>
    <s v="30–39"/>
    <s v="30–39"/>
  </r>
  <r>
    <n v="12"/>
    <x v="2"/>
    <n v="1"/>
    <s v="Tue"/>
    <b v="0"/>
    <d v="1899-12-30T15:47:00"/>
    <d v="1899-12-30T16:28:00"/>
    <n v="41"/>
    <x v="1"/>
    <b v="1"/>
    <b v="1"/>
    <s v="Non-binary"/>
    <x v="2"/>
    <x v="0"/>
    <n v="20"/>
    <x v="1"/>
    <n v="0"/>
    <n v="20"/>
    <x v="2"/>
    <s v="Bakersfield, CA"/>
    <n v="35.3733"/>
    <n v="-119.0187"/>
    <d v="2023-10-17T00:00:00"/>
    <n v="7"/>
    <x v="1"/>
    <d v="2025-06-18T00:00:00"/>
    <s v="10–19"/>
    <s v="Under 16"/>
  </r>
  <r>
    <n v="49"/>
    <x v="2"/>
    <n v="3"/>
    <s v="Mon, Sat, Sun"/>
    <b v="0"/>
    <d v="1899-12-30T19:44:00"/>
    <d v="1899-12-30T20:26:00"/>
    <n v="42"/>
    <x v="1"/>
    <b v="1"/>
    <b v="1"/>
    <s v="Male"/>
    <x v="2"/>
    <x v="0"/>
    <n v="20"/>
    <x v="1"/>
    <n v="0"/>
    <n v="20"/>
    <x v="2"/>
    <s v="Sacramento, CA"/>
    <n v="38.581600000000002"/>
    <n v="-121.4944"/>
    <d v="2024-01-15T00:00:00"/>
    <n v="1"/>
    <x v="1"/>
    <d v="2025-06-23T00:00:00"/>
    <s v="40–49"/>
    <s v="40–49"/>
  </r>
  <r>
    <n v="47"/>
    <x v="1"/>
    <n v="3"/>
    <s v="Mon, Sun, Tue"/>
    <b v="0"/>
    <d v="1899-12-30T18:24:00"/>
    <d v="1899-12-30T19:13:00"/>
    <n v="49"/>
    <x v="1"/>
    <b v="0"/>
    <b v="0"/>
    <s v="Non-binary"/>
    <x v="1"/>
    <x v="2"/>
    <n v="27"/>
    <x v="3"/>
    <n v="0.15"/>
    <n v="22.95"/>
    <x v="1"/>
    <s v="Long Beach, CA"/>
    <n v="33.770099999999999"/>
    <n v="-118.19370000000001"/>
    <d v="2024-11-27T00:00:00"/>
    <n v="0"/>
    <x v="1"/>
    <d v="2025-07-11T00:00:00"/>
    <s v="40–49"/>
    <s v="40–49"/>
  </r>
  <r>
    <n v="26"/>
    <x v="1"/>
    <n v="3"/>
    <s v="Thu, Tue, Wed"/>
    <b v="0"/>
    <d v="1899-12-30T14:54:00"/>
    <d v="1899-12-30T16:46:00"/>
    <n v="112"/>
    <x v="1"/>
    <b v="1"/>
    <b v="1"/>
    <s v="Non-binary"/>
    <x v="1"/>
    <x v="0"/>
    <n v="30"/>
    <x v="3"/>
    <n v="0.15"/>
    <n v="25.5"/>
    <x v="1"/>
    <s v="Sacramento, CA"/>
    <n v="38.581600000000002"/>
    <n v="-121.4944"/>
    <d v="2023-05-15T00:00:00"/>
    <n v="8"/>
    <x v="0"/>
    <d v="2025-06-09T00:00:00"/>
    <s v="20–29"/>
    <s v="20–29"/>
  </r>
  <r>
    <n v="35"/>
    <x v="0"/>
    <n v="2"/>
    <s v="Sat, Sun"/>
    <b v="1"/>
    <d v="1899-12-30T12:59:00"/>
    <d v="1899-12-30T14:42:00"/>
    <n v="103"/>
    <x v="0"/>
    <b v="0"/>
    <b v="0"/>
    <s v="Prefer not to say"/>
    <x v="0"/>
    <x v="0"/>
    <n v="50"/>
    <x v="1"/>
    <n v="0"/>
    <n v="50"/>
    <x v="0"/>
    <s v="Los Angeles, CA"/>
    <n v="34.052199999999999"/>
    <n v="-118.2437"/>
    <d v="2024-08-27T00:00:00"/>
    <n v="0"/>
    <x v="0"/>
    <d v="2025-07-06T00:00:00"/>
    <s v="30–39"/>
    <s v="30–39"/>
  </r>
  <r>
    <n v="41"/>
    <x v="1"/>
    <n v="1"/>
    <s v="Sun"/>
    <b v="1"/>
    <d v="1899-12-30T13:41:00"/>
    <d v="1899-12-30T16:17:00"/>
    <n v="156"/>
    <x v="1"/>
    <b v="1"/>
    <b v="0"/>
    <s v="Male"/>
    <x v="1"/>
    <x v="0"/>
    <n v="30"/>
    <x v="1"/>
    <n v="0"/>
    <n v="30"/>
    <x v="1"/>
    <s v="Sacramento, CA"/>
    <n v="38.581600000000002"/>
    <n v="-121.4944"/>
    <d v="2025-05-28T00:00:00"/>
    <n v="8"/>
    <x v="1"/>
    <d v="2025-07-21T00:00:00"/>
    <s v="40–49"/>
    <s v="40–49"/>
  </r>
  <r>
    <n v="26"/>
    <x v="1"/>
    <n v="3"/>
    <s v="Fri, Mon, Sat"/>
    <b v="1"/>
    <d v="1899-12-30T15:06:00"/>
    <d v="1899-12-30T17:40:00"/>
    <n v="154"/>
    <x v="1"/>
    <b v="0"/>
    <b v="1"/>
    <s v="Male"/>
    <x v="1"/>
    <x v="0"/>
    <n v="30"/>
    <x v="2"/>
    <n v="0.1"/>
    <n v="27"/>
    <x v="1"/>
    <s v="Sacramento, CA"/>
    <n v="38.581600000000002"/>
    <n v="-121.4944"/>
    <d v="2023-08-05T00:00:00"/>
    <n v="0"/>
    <x v="0"/>
    <d v="2025-06-14T00:00:00"/>
    <s v="20–29"/>
    <s v="20–29"/>
  </r>
  <r>
    <n v="30"/>
    <x v="2"/>
    <n v="5"/>
    <s v="Fri, Mon, Sun, Thu, Wed"/>
    <b v="0"/>
    <d v="1899-12-30T17:29:00"/>
    <d v="1899-12-30T18:25:00"/>
    <n v="56"/>
    <x v="0"/>
    <b v="1"/>
    <b v="0"/>
    <s v="Non-binary"/>
    <x v="2"/>
    <x v="0"/>
    <n v="20"/>
    <x v="3"/>
    <n v="0.15"/>
    <n v="17"/>
    <x v="2"/>
    <s v="Fresno, CA"/>
    <n v="36.7378"/>
    <n v="-119.7871"/>
    <d v="2024-12-16T00:00:00"/>
    <n v="7"/>
    <x v="1"/>
    <d v="2025-07-12T00:00:00"/>
    <s v="30–39"/>
    <s v="30–3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2-09-25T00:00:00"/>
    <n v="5"/>
    <x v="1"/>
    <d v="2025-05-27T00:00:00"/>
    <s v="30–39"/>
    <s v="30–39"/>
  </r>
  <r>
    <n v="36"/>
    <x v="1"/>
    <n v="5"/>
    <s v="Fri, Mon, Sun, Thu, Tue"/>
    <b v="0"/>
    <d v="1899-12-30T20:57:00"/>
    <d v="1899-12-30T22:15:00"/>
    <n v="78"/>
    <x v="1"/>
    <b v="1"/>
    <b v="0"/>
    <s v="Non-binary"/>
    <x v="1"/>
    <x v="0"/>
    <n v="30"/>
    <x v="3"/>
    <n v="0.15"/>
    <n v="25.5"/>
    <x v="1"/>
    <s v="Sacramento, CA"/>
    <n v="38.581600000000002"/>
    <n v="-121.4944"/>
    <d v="2022-09-11T00:00:00"/>
    <n v="4"/>
    <x v="1"/>
    <d v="2025-05-26T00:00:00"/>
    <s v="30–39"/>
    <s v="30–39"/>
  </r>
  <r>
    <n v="45"/>
    <x v="0"/>
    <n v="3"/>
    <s v="Mon, Sat, Tue"/>
    <b v="0"/>
    <d v="1899-12-30T13:10:00"/>
    <d v="1899-12-30T15:15:00"/>
    <n v="125"/>
    <x v="1"/>
    <b v="0"/>
    <b v="1"/>
    <s v="Male"/>
    <x v="0"/>
    <x v="0"/>
    <n v="50"/>
    <x v="1"/>
    <n v="0"/>
    <n v="50"/>
    <x v="0"/>
    <s v="Bakersfield, CA"/>
    <n v="35.3733"/>
    <n v="-119.0187"/>
    <d v="2022-10-22T00:00:00"/>
    <n v="0"/>
    <x v="0"/>
    <d v="2025-05-29T00:00:00"/>
    <s v="40–49"/>
    <s v="40–49"/>
  </r>
  <r>
    <n v="28"/>
    <x v="1"/>
    <n v="1"/>
    <s v="Tue"/>
    <b v="1"/>
    <d v="1899-12-30T13:08:00"/>
    <d v="1899-12-30T14:35:00"/>
    <n v="87"/>
    <x v="1"/>
    <b v="1"/>
    <b v="1"/>
    <s v="Male"/>
    <x v="1"/>
    <x v="1"/>
    <n v="22.5"/>
    <x v="3"/>
    <n v="0.15"/>
    <n v="19.125"/>
    <x v="1"/>
    <s v="Sacramento, CA"/>
    <n v="38.581600000000002"/>
    <n v="-121.4944"/>
    <d v="2024-05-24T00:00:00"/>
    <n v="2"/>
    <x v="0"/>
    <d v="2025-06-30T00:00:00"/>
    <s v="20–29"/>
    <s v="20–29"/>
  </r>
  <r>
    <n v="35"/>
    <x v="0"/>
    <n v="1"/>
    <s v="Sat"/>
    <b v="0"/>
    <d v="1899-12-30T13:53:00"/>
    <d v="1899-12-30T14:33:00"/>
    <n v="40"/>
    <x v="0"/>
    <b v="0"/>
    <b v="0"/>
    <s v="Female"/>
    <x v="0"/>
    <x v="0"/>
    <n v="50"/>
    <x v="1"/>
    <n v="0"/>
    <n v="50"/>
    <x v="0"/>
    <s v="Bakersfield, CA"/>
    <n v="35.3733"/>
    <n v="-119.0187"/>
    <d v="2025-06-06T00:00:00"/>
    <n v="0"/>
    <x v="0"/>
    <d v="2025-07-22T00:00:00"/>
    <s v="30–39"/>
    <s v="30–39"/>
  </r>
  <r>
    <n v="25"/>
    <x v="0"/>
    <n v="2"/>
    <s v="Thu, Tue"/>
    <b v="0"/>
    <d v="1899-12-30T10:55:00"/>
    <d v="1899-12-30T13:51:00"/>
    <n v="176"/>
    <x v="1"/>
    <b v="0"/>
    <b v="1"/>
    <s v="Female"/>
    <x v="0"/>
    <x v="1"/>
    <n v="37.5"/>
    <x v="1"/>
    <n v="0"/>
    <n v="37.5"/>
    <x v="0"/>
    <s v="Sacramento, CA"/>
    <n v="38.581600000000002"/>
    <n v="-121.4944"/>
    <d v="2022-10-08T00:00:00"/>
    <n v="0"/>
    <x v="0"/>
    <d v="2025-05-28T00:00:00"/>
    <s v="20–29"/>
    <s v="20–29"/>
  </r>
  <r>
    <n v="41"/>
    <x v="3"/>
    <n v="5"/>
    <s v="Mon, Sat, Sun, Tue, Wed"/>
    <b v="0"/>
    <d v="1899-12-30T16:21:00"/>
    <d v="1899-12-30T18:38:00"/>
    <n v="137"/>
    <x v="0"/>
    <b v="1"/>
    <b v="0"/>
    <s v="Male"/>
    <x v="3"/>
    <x v="0"/>
    <n v="70"/>
    <x v="0"/>
    <n v="0.05"/>
    <n v="66.5"/>
    <x v="3"/>
    <s v="Fresno, CA"/>
    <n v="36.7378"/>
    <n v="-119.7871"/>
    <d v="2024-03-23T00:00:00"/>
    <n v="7"/>
    <x v="0"/>
    <d v="2025-06-27T00:00:00"/>
    <s v="40–49"/>
    <s v="40–49"/>
  </r>
  <r>
    <n v="18"/>
    <x v="2"/>
    <n v="2"/>
    <s v="Fri, Tue"/>
    <b v="0"/>
    <d v="1899-12-30T18:15:00"/>
    <d v="1899-12-30T20:59:00"/>
    <n v="164"/>
    <x v="0"/>
    <b v="0"/>
    <b v="0"/>
    <s v="Non-binary"/>
    <x v="2"/>
    <x v="1"/>
    <n v="15"/>
    <x v="3"/>
    <n v="0.15"/>
    <n v="12.75"/>
    <x v="2"/>
    <s v="Sacramento, CA"/>
    <n v="38.581600000000002"/>
    <n v="-121.4944"/>
    <d v="2022-08-28T00:00:00"/>
    <n v="0"/>
    <x v="0"/>
    <d v="2025-05-26T00:00:00"/>
    <s v="10–19"/>
    <s v="16–19"/>
  </r>
  <r>
    <n v="48"/>
    <x v="1"/>
    <n v="3"/>
    <s v="Mon, Tue, Wed"/>
    <b v="0"/>
    <d v="1899-12-30T15:32:00"/>
    <d v="1899-12-30T16:25:00"/>
    <n v="53"/>
    <x v="1"/>
    <b v="1"/>
    <b v="1"/>
    <s v="Male"/>
    <x v="1"/>
    <x v="0"/>
    <n v="30"/>
    <x v="2"/>
    <n v="0.1"/>
    <n v="27"/>
    <x v="1"/>
    <s v="Fresno, CA"/>
    <n v="36.7378"/>
    <n v="-119.7871"/>
    <d v="2022-08-31T00:00:00"/>
    <n v="4"/>
    <x v="1"/>
    <d v="2025-05-26T00:00:00"/>
    <s v="40–49"/>
    <s v="40–49"/>
  </r>
  <r>
    <n v="40"/>
    <x v="1"/>
    <n v="3"/>
    <s v="Fri, Sun, Thu"/>
    <b v="1"/>
    <d v="1899-12-30T17:05:00"/>
    <d v="1899-12-30T19:39:00"/>
    <n v="154"/>
    <x v="0"/>
    <b v="1"/>
    <b v="0"/>
    <s v="Male"/>
    <x v="1"/>
    <x v="0"/>
    <n v="30"/>
    <x v="1"/>
    <n v="0"/>
    <n v="30"/>
    <x v="1"/>
    <s v="Fresno, CA"/>
    <n v="36.7378"/>
    <n v="-119.7871"/>
    <d v="2022-12-27T00:00:00"/>
    <n v="6"/>
    <x v="1"/>
    <d v="2025-06-01T00:00:00"/>
    <s v="40–49"/>
    <s v="40–49"/>
  </r>
  <r>
    <n v="40"/>
    <x v="0"/>
    <n v="2"/>
    <s v="Mon, Sat"/>
    <b v="1"/>
    <d v="1899-12-30T14:58:00"/>
    <d v="1899-12-30T16:42:00"/>
    <n v="104"/>
    <x v="0"/>
    <b v="0"/>
    <b v="1"/>
    <s v="Male"/>
    <x v="0"/>
    <x v="1"/>
    <n v="37.5"/>
    <x v="1"/>
    <n v="0"/>
    <n v="37.5"/>
    <x v="0"/>
    <s v="Fresno, CA"/>
    <n v="36.7378"/>
    <n v="-119.7871"/>
    <d v="2024-08-13T00:00:00"/>
    <n v="0"/>
    <x v="0"/>
    <d v="2025-07-05T00:00:00"/>
    <s v="40–49"/>
    <s v="40–49"/>
  </r>
  <r>
    <n v="13"/>
    <x v="0"/>
    <n v="3"/>
    <s v="Sat, Thu, Wed"/>
    <b v="1"/>
    <d v="1899-12-30T13:47:00"/>
    <d v="1899-12-30T15:04:00"/>
    <n v="77"/>
    <x v="1"/>
    <b v="0"/>
    <b v="0"/>
    <s v="Female"/>
    <x v="0"/>
    <x v="0"/>
    <n v="50"/>
    <x v="0"/>
    <n v="0.05"/>
    <n v="47.5"/>
    <x v="0"/>
    <s v="Los Angeles, CA"/>
    <n v="34.052199999999999"/>
    <n v="-118.2437"/>
    <d v="2024-05-08T00:00:00"/>
    <n v="0"/>
    <x v="0"/>
    <d v="2025-06-29T00:00:00"/>
    <s v="10–19"/>
    <s v="Under 16"/>
  </r>
  <r>
    <n v="27"/>
    <x v="0"/>
    <n v="4"/>
    <s v="Sun, Thu, Tue, Wed"/>
    <b v="0"/>
    <d v="1899-12-30T11:49:00"/>
    <d v="1899-12-30T14:25:00"/>
    <n v="156"/>
    <x v="1"/>
    <b v="1"/>
    <b v="0"/>
    <s v="Male"/>
    <x v="0"/>
    <x v="1"/>
    <n v="37.5"/>
    <x v="1"/>
    <n v="0"/>
    <n v="37.5"/>
    <x v="0"/>
    <s v="San Diego, CA"/>
    <n v="32.715699999999998"/>
    <n v="-117.1611"/>
    <d v="2022-12-29T00:00:00"/>
    <n v="4"/>
    <x v="0"/>
    <d v="2025-06-01T00:00:00"/>
    <s v="20–29"/>
    <s v="20–29"/>
  </r>
  <r>
    <n v="48"/>
    <x v="1"/>
    <n v="3"/>
    <s v="Mon, Tue, Wed"/>
    <b v="0"/>
    <d v="1899-12-30T15:32:00"/>
    <d v="1899-12-30T16:25:00"/>
    <n v="53"/>
    <x v="1"/>
    <b v="1"/>
    <b v="1"/>
    <s v="Male"/>
    <x v="1"/>
    <x v="0"/>
    <n v="30"/>
    <x v="2"/>
    <n v="0.1"/>
    <n v="27"/>
    <x v="1"/>
    <s v="Fresno, CA"/>
    <n v="36.7378"/>
    <n v="-119.7871"/>
    <d v="2024-07-20T00:00:00"/>
    <n v="6"/>
    <x v="0"/>
    <d v="2025-07-03T00:00:00"/>
    <s v="40–49"/>
    <s v="40–49"/>
  </r>
  <r>
    <n v="39"/>
    <x v="0"/>
    <n v="4"/>
    <s v="Sat, Sun, Thu, Tue"/>
    <b v="1"/>
    <d v="1899-12-30T16:21:00"/>
    <d v="1899-12-30T17:34:00"/>
    <n v="73"/>
    <x v="1"/>
    <b v="1"/>
    <b v="0"/>
    <s v="Female"/>
    <x v="0"/>
    <x v="2"/>
    <n v="45"/>
    <x v="3"/>
    <n v="0.15"/>
    <n v="38.25"/>
    <x v="0"/>
    <s v="Anaheim, CA"/>
    <n v="33.836599999999997"/>
    <n v="-117.9143"/>
    <d v="2024-12-24T00:00:00"/>
    <n v="7"/>
    <x v="0"/>
    <d v="2025-07-12T00:00:00"/>
    <s v="30–39"/>
    <s v="30–39"/>
  </r>
  <r>
    <n v="37"/>
    <x v="2"/>
    <n v="3"/>
    <s v="Sun, Thu, Tue"/>
    <b v="0"/>
    <d v="1899-12-30T14:33:00"/>
    <d v="1899-12-30T15:10:00"/>
    <n v="37"/>
    <x v="0"/>
    <b v="0"/>
    <b v="0"/>
    <s v="Non-binary"/>
    <x v="2"/>
    <x v="0"/>
    <n v="20"/>
    <x v="0"/>
    <n v="0.05"/>
    <n v="19"/>
    <x v="2"/>
    <s v="Sacramento, CA"/>
    <n v="38.581600000000002"/>
    <n v="-121.4944"/>
    <d v="2023-11-08T00:00:00"/>
    <n v="0"/>
    <x v="1"/>
    <d v="2025-06-19T00:00:00"/>
    <s v="30–39"/>
    <s v="30–39"/>
  </r>
  <r>
    <n v="26"/>
    <x v="0"/>
    <n v="5"/>
    <s v="Mon, Sat, Sun, Thu, Wed"/>
    <b v="1"/>
    <d v="1899-12-30T17:11:00"/>
    <d v="1899-12-30T18:02:00"/>
    <n v="51"/>
    <x v="0"/>
    <b v="1"/>
    <b v="1"/>
    <s v="Female"/>
    <x v="0"/>
    <x v="1"/>
    <n v="37.5"/>
    <x v="3"/>
    <n v="0.15"/>
    <n v="31.875"/>
    <x v="0"/>
    <s v="Long Beach, CA"/>
    <n v="33.770099999999999"/>
    <n v="-118.19370000000001"/>
    <d v="2022-09-29T00:00:00"/>
    <n v="8"/>
    <x v="0"/>
    <d v="2025-05-27T00:00:00"/>
    <s v="20–29"/>
    <s v="20–29"/>
  </r>
  <r>
    <n v="48"/>
    <x v="1"/>
    <n v="3"/>
    <s v="Fri, Sun, Wed"/>
    <b v="0"/>
    <d v="1899-12-30T11:07:00"/>
    <d v="1899-12-30T12:43:00"/>
    <n v="96"/>
    <x v="1"/>
    <b v="1"/>
    <b v="1"/>
    <s v="Male"/>
    <x v="1"/>
    <x v="0"/>
    <n v="30"/>
    <x v="1"/>
    <n v="0"/>
    <n v="30"/>
    <x v="1"/>
    <s v="San Diego, CA"/>
    <n v="32.715699999999998"/>
    <n v="-117.1611"/>
    <d v="2023-06-12T00:00:00"/>
    <n v="8"/>
    <x v="1"/>
    <d v="2025-06-11T00:00:00"/>
    <s v="40–49"/>
    <s v="40–49"/>
  </r>
  <r>
    <n v="42"/>
    <x v="2"/>
    <n v="3"/>
    <s v="Sun, Thu, Wed"/>
    <b v="0"/>
    <d v="1899-12-30T13:32:00"/>
    <d v="1899-12-30T14:56:00"/>
    <n v="84"/>
    <x v="0"/>
    <b v="1"/>
    <b v="1"/>
    <s v="Female"/>
    <x v="2"/>
    <x v="0"/>
    <n v="20"/>
    <x v="2"/>
    <n v="0.1"/>
    <n v="18"/>
    <x v="2"/>
    <s v="Anaheim, CA"/>
    <n v="33.836599999999997"/>
    <n v="-117.9143"/>
    <d v="2023-10-24T00:00:00"/>
    <n v="5"/>
    <x v="1"/>
    <d v="2025-06-18T00:00:00"/>
    <s v="40–49"/>
    <s v="40–49"/>
  </r>
  <r>
    <n v="16"/>
    <x v="0"/>
    <n v="3"/>
    <s v="Sun, Thu, Wed"/>
    <b v="1"/>
    <d v="1899-12-30T12:45:00"/>
    <d v="1899-12-30T14:42:00"/>
    <n v="117"/>
    <x v="1"/>
    <b v="1"/>
    <b v="0"/>
    <s v="Non-binary"/>
    <x v="0"/>
    <x v="0"/>
    <n v="50"/>
    <x v="1"/>
    <n v="0"/>
    <n v="50"/>
    <x v="0"/>
    <s v="Oakland, CA"/>
    <n v="37.804400000000001"/>
    <n v="-122.27119999999999"/>
    <d v="2025-03-11T00:00:00"/>
    <n v="7"/>
    <x v="0"/>
    <d v="2025-07-17T00:00:00"/>
    <s v="10–19"/>
    <s v="16–19"/>
  </r>
  <r>
    <n v="29"/>
    <x v="2"/>
    <n v="1"/>
    <s v="Sun"/>
    <b v="1"/>
    <d v="1899-12-30T12:26:00"/>
    <d v="1899-12-30T13:45:00"/>
    <n v="79"/>
    <x v="0"/>
    <b v="0"/>
    <b v="0"/>
    <s v="Female"/>
    <x v="2"/>
    <x v="0"/>
    <n v="20"/>
    <x v="1"/>
    <n v="0"/>
    <n v="20"/>
    <x v="2"/>
    <s v="Fresno, CA"/>
    <n v="36.7378"/>
    <n v="-119.7871"/>
    <d v="2023-09-07T00:00:00"/>
    <n v="0"/>
    <x v="0"/>
    <d v="2025-06-16T00:00:00"/>
    <s v="20–29"/>
    <s v="20–29"/>
  </r>
  <r>
    <n v="22"/>
    <x v="1"/>
    <n v="3"/>
    <s v="Fri, Sat, Sun"/>
    <b v="0"/>
    <d v="1899-12-30T10:41:00"/>
    <d v="1899-12-30T11:38:00"/>
    <n v="57"/>
    <x v="1"/>
    <b v="1"/>
    <b v="1"/>
    <s v="Female"/>
    <x v="1"/>
    <x v="0"/>
    <n v="30"/>
    <x v="3"/>
    <n v="0.15"/>
    <n v="25.5"/>
    <x v="1"/>
    <s v="Los Angeles, CA"/>
    <n v="34.052199999999999"/>
    <n v="-118.2437"/>
    <d v="2022-08-03T00:00:00"/>
    <n v="6"/>
    <x v="1"/>
    <d v="2025-05-24T00:00:00"/>
    <s v="20–29"/>
    <s v="20–29"/>
  </r>
  <r>
    <n v="43"/>
    <x v="0"/>
    <n v="3"/>
    <s v="Fri, Sat, Thu"/>
    <b v="1"/>
    <d v="1899-12-30T13:40:00"/>
    <d v="1899-12-30T16:26:00"/>
    <n v="166"/>
    <x v="1"/>
    <b v="1"/>
    <b v="1"/>
    <s v="Other (self-described)"/>
    <x v="0"/>
    <x v="2"/>
    <n v="45"/>
    <x v="2"/>
    <n v="0.1"/>
    <n v="40.5"/>
    <x v="0"/>
    <s v="Los Angeles, CA"/>
    <n v="34.052199999999999"/>
    <n v="-118.2437"/>
    <d v="2025-01-24T00:00:00"/>
    <n v="4"/>
    <x v="0"/>
    <d v="2025-07-14T00:00:00"/>
    <s v="40–49"/>
    <s v="40–49"/>
  </r>
  <r>
    <n v="13"/>
    <x v="0"/>
    <n v="2"/>
    <s v="Sat, Wed"/>
    <b v="1"/>
    <d v="1899-12-30T16:36:00"/>
    <d v="1899-12-30T17:32:00"/>
    <n v="56"/>
    <x v="1"/>
    <b v="0"/>
    <b v="0"/>
    <s v="Female"/>
    <x v="0"/>
    <x v="0"/>
    <n v="50"/>
    <x v="2"/>
    <n v="0.1"/>
    <n v="45"/>
    <x v="0"/>
    <s v="Los Angeles, CA"/>
    <n v="34.052199999999999"/>
    <n v="-118.2437"/>
    <d v="2023-12-18T00:00:00"/>
    <n v="0"/>
    <x v="0"/>
    <d v="2025-06-21T00:00:00"/>
    <s v="10–19"/>
    <s v="Under 16"/>
  </r>
  <r>
    <n v="22"/>
    <x v="1"/>
    <n v="5"/>
    <s v="Fri, Mon, Sat, Sun, Wed"/>
    <b v="1"/>
    <d v="1899-12-30T15:44:00"/>
    <d v="1899-12-30T17:05:00"/>
    <n v="81"/>
    <x v="0"/>
    <b v="1"/>
    <b v="0"/>
    <s v="Female"/>
    <x v="1"/>
    <x v="2"/>
    <n v="27"/>
    <x v="1"/>
    <n v="0"/>
    <n v="27"/>
    <x v="1"/>
    <s v="Fresno, CA"/>
    <n v="36.7378"/>
    <n v="-119.7871"/>
    <d v="2022-12-01T00:00:00"/>
    <n v="4"/>
    <x v="1"/>
    <d v="2025-05-31T00:00:00"/>
    <s v="20–29"/>
    <s v="20–29"/>
  </r>
  <r>
    <n v="43"/>
    <x v="0"/>
    <n v="3"/>
    <s v="Fri, Mon, Tue"/>
    <b v="0"/>
    <d v="1899-12-30T11:56:00"/>
    <d v="1899-12-30T12:35:00"/>
    <n v="39"/>
    <x v="0"/>
    <b v="1"/>
    <b v="1"/>
    <s v="Female"/>
    <x v="0"/>
    <x v="1"/>
    <n v="37.5"/>
    <x v="2"/>
    <n v="0.1"/>
    <n v="33.75"/>
    <x v="0"/>
    <s v="Fresno, CA"/>
    <n v="36.7378"/>
    <n v="-119.7871"/>
    <d v="2023-04-26T00:00:00"/>
    <n v="6"/>
    <x v="1"/>
    <d v="2025-06-08T00:00:00"/>
    <s v="40–49"/>
    <s v="40–49"/>
  </r>
  <r>
    <n v="20"/>
    <x v="1"/>
    <n v="1"/>
    <s v="Tue"/>
    <b v="0"/>
    <d v="1899-12-30T08:55:00"/>
    <d v="1899-12-30T10:23:00"/>
    <n v="88"/>
    <x v="1"/>
    <b v="1"/>
    <b v="1"/>
    <s v="Female"/>
    <x v="1"/>
    <x v="0"/>
    <n v="30"/>
    <x v="1"/>
    <n v="0"/>
    <n v="30"/>
    <x v="1"/>
    <s v="San Francisco, CA"/>
    <n v="37.774900000000002"/>
    <n v="-122.4194"/>
    <d v="2023-06-11T00:00:00"/>
    <n v="3"/>
    <x v="1"/>
    <d v="2025-06-11T00:00:00"/>
    <s v="20–29"/>
    <s v="20–29"/>
  </r>
  <r>
    <n v="25"/>
    <x v="0"/>
    <n v="2"/>
    <s v="Thu, Wed"/>
    <b v="1"/>
    <d v="1899-12-30T20:31:00"/>
    <d v="1899-12-30T21:08:00"/>
    <n v="37"/>
    <x v="0"/>
    <b v="1"/>
    <b v="1"/>
    <s v="Male"/>
    <x v="0"/>
    <x v="1"/>
    <n v="37.5"/>
    <x v="2"/>
    <n v="0.1"/>
    <n v="33.75"/>
    <x v="0"/>
    <s v="Bakersfield, CA"/>
    <n v="35.3733"/>
    <n v="-119.0187"/>
    <d v="2023-06-05T00:00:00"/>
    <n v="5"/>
    <x v="1"/>
    <d v="2025-06-10T00:00:00"/>
    <s v="20–29"/>
    <s v="20–29"/>
  </r>
  <r>
    <n v="34"/>
    <x v="0"/>
    <n v="2"/>
    <s v="Sat, Thu"/>
    <b v="1"/>
    <d v="1899-12-30T13:39:00"/>
    <d v="1899-12-30T14:34:00"/>
    <n v="55"/>
    <x v="0"/>
    <b v="1"/>
    <b v="0"/>
    <s v="Male"/>
    <x v="0"/>
    <x v="0"/>
    <n v="50"/>
    <x v="0"/>
    <n v="0.05"/>
    <n v="47.5"/>
    <x v="0"/>
    <s v="San Diego, CA"/>
    <n v="32.715699999999998"/>
    <n v="-117.1611"/>
    <d v="2024-06-05T00:00:00"/>
    <n v="1"/>
    <x v="0"/>
    <d v="2025-07-01T00:00:00"/>
    <s v="30–39"/>
    <s v="30–39"/>
  </r>
  <r>
    <n v="46"/>
    <x v="0"/>
    <n v="5"/>
    <s v="Mon, Sat, Thu, Tue, Wed"/>
    <b v="0"/>
    <d v="1899-12-30T20:46:00"/>
    <d v="1899-12-30T22:09:00"/>
    <n v="83"/>
    <x v="1"/>
    <b v="1"/>
    <b v="1"/>
    <s v="Female"/>
    <x v="0"/>
    <x v="1"/>
    <n v="37.5"/>
    <x v="3"/>
    <n v="0.15"/>
    <n v="31.875"/>
    <x v="0"/>
    <s v="Bakersfield, CA"/>
    <n v="35.3733"/>
    <n v="-119.0187"/>
    <d v="2024-08-14T00:00:00"/>
    <n v="8"/>
    <x v="1"/>
    <d v="2025-07-05T00:00:00"/>
    <s v="40–49"/>
    <s v="40–49"/>
  </r>
  <r>
    <n v="48"/>
    <x v="0"/>
    <n v="3"/>
    <s v="Fri, Thu, Tue"/>
    <b v="1"/>
    <d v="1899-12-30T11:56:00"/>
    <d v="1899-12-30T14:13:00"/>
    <n v="137"/>
    <x v="0"/>
    <b v="1"/>
    <b v="1"/>
    <s v="Female"/>
    <x v="0"/>
    <x v="0"/>
    <n v="50"/>
    <x v="1"/>
    <n v="0"/>
    <n v="50"/>
    <x v="0"/>
    <s v="Long Beach, CA"/>
    <n v="33.770099999999999"/>
    <n v="-118.19370000000001"/>
    <d v="2023-02-12T00:00:00"/>
    <n v="2"/>
    <x v="0"/>
    <d v="2025-06-04T00:00:00"/>
    <s v="40–49"/>
    <s v="40–49"/>
  </r>
  <r>
    <n v="28"/>
    <x v="0"/>
    <n v="4"/>
    <s v="Fri, Sat, Sun, Wed"/>
    <b v="0"/>
    <d v="1899-12-30T16:33:00"/>
    <d v="1899-12-30T17:11:00"/>
    <n v="38"/>
    <x v="0"/>
    <b v="0"/>
    <b v="1"/>
    <s v="Male"/>
    <x v="0"/>
    <x v="1"/>
    <n v="37.5"/>
    <x v="0"/>
    <n v="0.05"/>
    <n v="35.625"/>
    <x v="0"/>
    <s v="San Diego, CA"/>
    <n v="32.715699999999998"/>
    <n v="-117.1611"/>
    <d v="2023-02-11T00:00:00"/>
    <n v="0"/>
    <x v="1"/>
    <d v="2025-06-04T00:00:00"/>
    <s v="20–29"/>
    <s v="20–29"/>
  </r>
  <r>
    <n v="20"/>
    <x v="2"/>
    <n v="3"/>
    <s v="Mon, Sat, Tue"/>
    <b v="1"/>
    <d v="1899-12-30T08:53:00"/>
    <d v="1899-12-30T11:11:00"/>
    <n v="138"/>
    <x v="0"/>
    <b v="1"/>
    <b v="1"/>
    <s v="Male"/>
    <x v="2"/>
    <x v="0"/>
    <n v="20"/>
    <x v="0"/>
    <n v="0.05"/>
    <n v="19"/>
    <x v="2"/>
    <s v="Fresno, CA"/>
    <n v="36.7378"/>
    <n v="-119.7871"/>
    <d v="2022-12-12T00:00:00"/>
    <n v="4"/>
    <x v="1"/>
    <d v="2025-05-31T00:00:00"/>
    <s v="20–29"/>
    <s v="20–29"/>
  </r>
  <r>
    <n v="20"/>
    <x v="2"/>
    <n v="4"/>
    <s v="Fri, Mon, Sun, Wed"/>
    <b v="0"/>
    <d v="1899-12-30T17:12:00"/>
    <d v="1899-12-30T18:19:00"/>
    <n v="67"/>
    <x v="0"/>
    <b v="0"/>
    <b v="1"/>
    <s v="Male"/>
    <x v="2"/>
    <x v="1"/>
    <n v="15"/>
    <x v="1"/>
    <n v="0"/>
    <n v="15"/>
    <x v="2"/>
    <s v="San Diego, CA"/>
    <n v="32.715699999999998"/>
    <n v="-117.1611"/>
    <d v="2022-10-24T00:00:00"/>
    <n v="0"/>
    <x v="1"/>
    <d v="2025-05-29T00:00:00"/>
    <s v="20–29"/>
    <s v="20–29"/>
  </r>
  <r>
    <n v="39"/>
    <x v="2"/>
    <n v="5"/>
    <s v="Mon, Sun, Thu, Tue, Wed"/>
    <b v="1"/>
    <d v="1899-12-30T19:04:00"/>
    <d v="1899-12-30T20:02:00"/>
    <n v="58"/>
    <x v="1"/>
    <b v="0"/>
    <b v="1"/>
    <s v="Male"/>
    <x v="2"/>
    <x v="1"/>
    <n v="15"/>
    <x v="1"/>
    <n v="0"/>
    <n v="15"/>
    <x v="2"/>
    <s v="Sacramento, CA"/>
    <n v="38.581600000000002"/>
    <n v="-121.4944"/>
    <d v="2023-12-26T00:00:00"/>
    <n v="0"/>
    <x v="1"/>
    <d v="2025-06-22T00:00:00"/>
    <s v="30–39"/>
    <s v="30–39"/>
  </r>
  <r>
    <n v="22"/>
    <x v="1"/>
    <n v="3"/>
    <s v="Fri, Sun, Tue"/>
    <b v="0"/>
    <d v="1899-12-30T17:13:00"/>
    <d v="1899-12-30T18:24:00"/>
    <n v="71"/>
    <x v="0"/>
    <b v="0"/>
    <b v="1"/>
    <s v="Prefer not to say"/>
    <x v="1"/>
    <x v="1"/>
    <n v="22.5"/>
    <x v="0"/>
    <n v="0.05"/>
    <n v="21.375"/>
    <x v="1"/>
    <s v="San Diego, CA"/>
    <n v="32.715699999999998"/>
    <n v="-117.1611"/>
    <d v="2024-01-05T00:00:00"/>
    <n v="0"/>
    <x v="1"/>
    <d v="2025-06-22T00:00:00"/>
    <s v="20–29"/>
    <s v="20–29"/>
  </r>
  <r>
    <n v="27"/>
    <x v="1"/>
    <n v="1"/>
    <s v="Mon"/>
    <b v="1"/>
    <d v="1899-12-30T18:22:00"/>
    <d v="1899-12-30T21:20:00"/>
    <n v="178"/>
    <x v="1"/>
    <b v="0"/>
    <b v="1"/>
    <s v="Male"/>
    <x v="1"/>
    <x v="1"/>
    <n v="22.5"/>
    <x v="0"/>
    <n v="0.05"/>
    <n v="21.375"/>
    <x v="1"/>
    <s v="Los Angeles, CA"/>
    <n v="34.052199999999999"/>
    <n v="-118.2437"/>
    <d v="2023-02-23T00:00:00"/>
    <n v="0"/>
    <x v="0"/>
    <d v="2025-06-05T00:00:00"/>
    <s v="20–29"/>
    <s v="20–29"/>
  </r>
  <r>
    <n v="42"/>
    <x v="1"/>
    <n v="5"/>
    <s v="Fri, Mon, Sat, Thu, Tue"/>
    <b v="0"/>
    <d v="1899-12-30T17:30:00"/>
    <d v="1899-12-30T20:15:00"/>
    <n v="165"/>
    <x v="1"/>
    <b v="0"/>
    <b v="1"/>
    <s v="Female"/>
    <x v="1"/>
    <x v="0"/>
    <n v="30"/>
    <x v="0"/>
    <n v="0.05"/>
    <n v="28.5"/>
    <x v="1"/>
    <s v="Fresno, CA"/>
    <n v="36.7378"/>
    <n v="-119.7871"/>
    <d v="2023-07-31T00:00:00"/>
    <n v="0"/>
    <x v="1"/>
    <d v="2025-06-14T00:00:00"/>
    <s v="40–49"/>
    <s v="40–49"/>
  </r>
  <r>
    <n v="27"/>
    <x v="1"/>
    <n v="1"/>
    <s v="Wed"/>
    <b v="0"/>
    <d v="1899-12-30T11:25:00"/>
    <d v="1899-12-30T12:56:00"/>
    <n v="91"/>
    <x v="1"/>
    <b v="0"/>
    <b v="1"/>
    <s v="Female"/>
    <x v="1"/>
    <x v="0"/>
    <n v="30"/>
    <x v="3"/>
    <n v="0.15"/>
    <n v="25.5"/>
    <x v="1"/>
    <s v="Fresno, CA"/>
    <n v="36.7378"/>
    <n v="-119.7871"/>
    <d v="2023-06-06T00:00:00"/>
    <n v="0"/>
    <x v="1"/>
    <d v="2025-06-10T00:00:00"/>
    <s v="20–29"/>
    <s v="20–29"/>
  </r>
  <r>
    <n v="19"/>
    <x v="1"/>
    <n v="5"/>
    <s v="Fri, Mon, Sun, Thu, Tue"/>
    <b v="0"/>
    <d v="1899-12-30T20:23:00"/>
    <d v="1899-12-30T21:52:00"/>
    <n v="89"/>
    <x v="1"/>
    <b v="0"/>
    <b v="0"/>
    <s v="Male"/>
    <x v="1"/>
    <x v="0"/>
    <n v="30"/>
    <x v="1"/>
    <n v="0"/>
    <n v="30"/>
    <x v="1"/>
    <s v="San Diego, CA"/>
    <n v="32.715699999999998"/>
    <n v="-117.1611"/>
    <d v="2023-02-26T00:00:00"/>
    <n v="0"/>
    <x v="0"/>
    <d v="2025-06-05T00:00:00"/>
    <s v="10–19"/>
    <s v="16–19"/>
  </r>
  <r>
    <n v="35"/>
    <x v="0"/>
    <n v="2"/>
    <s v="Mon, Wed"/>
    <b v="1"/>
    <d v="1899-12-30T16:36:00"/>
    <d v="1899-12-30T17:42:00"/>
    <n v="66"/>
    <x v="1"/>
    <b v="0"/>
    <b v="0"/>
    <s v="Female"/>
    <x v="0"/>
    <x v="0"/>
    <n v="50"/>
    <x v="3"/>
    <n v="0.15"/>
    <n v="42.5"/>
    <x v="0"/>
    <s v="Bakersfield, CA"/>
    <n v="35.3733"/>
    <n v="-119.0187"/>
    <d v="2022-11-18T00:00:00"/>
    <n v="0"/>
    <x v="0"/>
    <d v="2025-05-30T00:00:00"/>
    <s v="30–39"/>
    <s v="30–39"/>
  </r>
  <r>
    <n v="20"/>
    <x v="0"/>
    <n v="3"/>
    <s v="Sat, Sun, Thu"/>
    <b v="0"/>
    <d v="1899-12-30T10:32:00"/>
    <d v="1899-12-30T11:09:00"/>
    <n v="37"/>
    <x v="0"/>
    <b v="0"/>
    <b v="1"/>
    <s v="Female"/>
    <x v="0"/>
    <x v="0"/>
    <n v="50"/>
    <x v="3"/>
    <n v="0.15"/>
    <n v="42.5"/>
    <x v="0"/>
    <s v="San Francisco, CA"/>
    <n v="37.774900000000002"/>
    <n v="-122.4194"/>
    <d v="2024-06-28T00:00:00"/>
    <n v="0"/>
    <x v="1"/>
    <d v="2025-07-02T00:00:00"/>
    <s v="20–29"/>
    <s v="20–29"/>
  </r>
  <r>
    <n v="20"/>
    <x v="2"/>
    <n v="2"/>
    <s v="Fri, Wed"/>
    <b v="1"/>
    <d v="1899-12-30T17:52:00"/>
    <d v="1899-12-30T20:41:00"/>
    <n v="169"/>
    <x v="0"/>
    <b v="0"/>
    <b v="1"/>
    <s v="Male"/>
    <x v="2"/>
    <x v="2"/>
    <n v="18"/>
    <x v="3"/>
    <n v="0.15"/>
    <n v="15.3"/>
    <x v="2"/>
    <s v="Fresno, CA"/>
    <n v="36.7378"/>
    <n v="-119.7871"/>
    <d v="2024-05-19T00:00:00"/>
    <n v="0"/>
    <x v="0"/>
    <d v="2025-06-30T00:00:00"/>
    <s v="20–29"/>
    <s v="20–29"/>
  </r>
  <r>
    <n v="45"/>
    <x v="0"/>
    <n v="3"/>
    <s v="Mon, Sun, Wed"/>
    <b v="0"/>
    <d v="1899-12-30T13:42:00"/>
    <d v="1899-12-30T15:54:00"/>
    <n v="132"/>
    <x v="0"/>
    <b v="0"/>
    <b v="0"/>
    <s v="Non-binary"/>
    <x v="0"/>
    <x v="0"/>
    <n v="50"/>
    <x v="1"/>
    <n v="0"/>
    <n v="50"/>
    <x v="0"/>
    <s v="Anaheim, CA"/>
    <n v="33.836599999999997"/>
    <n v="-117.9143"/>
    <d v="2025-03-14T00:00:00"/>
    <n v="0"/>
    <x v="0"/>
    <d v="2025-07-17T00:00:00"/>
    <s v="40–49"/>
    <s v="40–49"/>
  </r>
  <r>
    <n v="42"/>
    <x v="1"/>
    <n v="3"/>
    <s v="Sat, Sun, Tue"/>
    <b v="1"/>
    <d v="1899-12-30T10:23:00"/>
    <d v="1899-12-30T12:01:00"/>
    <n v="98"/>
    <x v="0"/>
    <b v="1"/>
    <b v="1"/>
    <s v="Male"/>
    <x v="1"/>
    <x v="0"/>
    <n v="30"/>
    <x v="3"/>
    <n v="0.15"/>
    <n v="25.5"/>
    <x v="1"/>
    <s v="Sacramento, CA"/>
    <n v="38.581600000000002"/>
    <n v="-121.4944"/>
    <d v="2023-10-16T00:00:00"/>
    <n v="2"/>
    <x v="1"/>
    <d v="2025-06-18T00:00:00"/>
    <s v="40–49"/>
    <s v="40–49"/>
  </r>
  <r>
    <n v="31"/>
    <x v="2"/>
    <n v="4"/>
    <s v="Fri, Mon, Tue, Wed"/>
    <b v="0"/>
    <d v="1899-12-30T20:33:00"/>
    <d v="1899-12-30T22:56:00"/>
    <n v="143"/>
    <x v="1"/>
    <b v="0"/>
    <b v="0"/>
    <s v="Female"/>
    <x v="2"/>
    <x v="1"/>
    <n v="15"/>
    <x v="1"/>
    <n v="0"/>
    <n v="15"/>
    <x v="2"/>
    <s v="San Francisco, CA"/>
    <n v="37.774900000000002"/>
    <n v="-122.4194"/>
    <d v="2025-05-15T00:00:00"/>
    <n v="0"/>
    <x v="1"/>
    <d v="2025-07-20T00:00:00"/>
    <s v="30–39"/>
    <s v="30–39"/>
  </r>
  <r>
    <n v="48"/>
    <x v="1"/>
    <n v="1"/>
    <s v="Fri"/>
    <b v="0"/>
    <d v="1899-12-30T18:52:00"/>
    <d v="1899-12-30T20:11:00"/>
    <n v="79"/>
    <x v="1"/>
    <b v="1"/>
    <b v="0"/>
    <s v="Female"/>
    <x v="1"/>
    <x v="0"/>
    <n v="30"/>
    <x v="1"/>
    <n v="0"/>
    <n v="30"/>
    <x v="1"/>
    <s v="San Jose, CA"/>
    <n v="37.338200000000001"/>
    <n v="-121.88630000000001"/>
    <d v="2024-02-13T00:00:00"/>
    <n v="1"/>
    <x v="1"/>
    <d v="2025-06-25T00:00:00"/>
    <s v="40–49"/>
    <s v="40–4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3-11-23T00:00:00"/>
    <n v="7"/>
    <x v="0"/>
    <d v="2025-06-20T00:00:00"/>
    <s v="20–29"/>
    <s v="20–29"/>
  </r>
  <r>
    <n v="16"/>
    <x v="0"/>
    <n v="5"/>
    <s v="Fri, Sat, Thu, Tue, Wed"/>
    <b v="0"/>
    <d v="1899-12-30T18:39:00"/>
    <d v="1899-12-30T20:06:00"/>
    <n v="87"/>
    <x v="0"/>
    <b v="1"/>
    <b v="1"/>
    <s v="Male"/>
    <x v="0"/>
    <x v="0"/>
    <n v="50"/>
    <x v="1"/>
    <n v="0"/>
    <n v="50"/>
    <x v="0"/>
    <s v="Oakland, CA"/>
    <n v="37.804400000000001"/>
    <n v="-122.27119999999999"/>
    <d v="2024-08-21T00:00:00"/>
    <n v="2"/>
    <x v="1"/>
    <d v="2025-07-05T00:00:00"/>
    <s v="10–19"/>
    <s v="16–19"/>
  </r>
  <r>
    <n v="43"/>
    <x v="3"/>
    <n v="3"/>
    <s v="Sat, Sun, Wed"/>
    <b v="1"/>
    <d v="1899-12-30T10:17:00"/>
    <d v="1899-12-30T12:00:00"/>
    <n v="103"/>
    <x v="0"/>
    <b v="1"/>
    <b v="0"/>
    <s v="Female"/>
    <x v="3"/>
    <x v="1"/>
    <n v="52.5"/>
    <x v="1"/>
    <n v="0"/>
    <n v="52.5"/>
    <x v="3"/>
    <s v="Long Beach, CA"/>
    <n v="33.770099999999999"/>
    <n v="-118.19370000000001"/>
    <d v="2023-10-02T00:00:00"/>
    <n v="1"/>
    <x v="0"/>
    <d v="2025-06-17T00:00:00"/>
    <s v="40–49"/>
    <s v="40–49"/>
  </r>
  <r>
    <n v="43"/>
    <x v="1"/>
    <n v="3"/>
    <s v="Fri, Sun, Tue"/>
    <b v="0"/>
    <d v="1899-12-30T12:12:00"/>
    <d v="1899-12-30T13:08:00"/>
    <n v="56"/>
    <x v="1"/>
    <b v="1"/>
    <b v="0"/>
    <s v="Female"/>
    <x v="1"/>
    <x v="0"/>
    <n v="30"/>
    <x v="2"/>
    <n v="0.1"/>
    <n v="27"/>
    <x v="1"/>
    <s v="Long Beach, CA"/>
    <n v="33.770099999999999"/>
    <n v="-118.19370000000001"/>
    <d v="2025-05-21T00:00:00"/>
    <n v="8"/>
    <x v="0"/>
    <d v="2025-07-21T00:00:00"/>
    <s v="40–49"/>
    <s v="40–49"/>
  </r>
  <r>
    <n v="24"/>
    <x v="0"/>
    <n v="2"/>
    <s v="Sun, Tue"/>
    <b v="1"/>
    <d v="1899-12-30T17:44:00"/>
    <d v="1899-12-30T20:02:00"/>
    <n v="138"/>
    <x v="0"/>
    <b v="1"/>
    <b v="1"/>
    <s v="Male"/>
    <x v="0"/>
    <x v="0"/>
    <n v="50"/>
    <x v="0"/>
    <n v="0.05"/>
    <n v="47.5"/>
    <x v="0"/>
    <s v="Fresno, CA"/>
    <n v="36.7378"/>
    <n v="-119.7871"/>
    <d v="2025-05-14T00:00:00"/>
    <n v="6"/>
    <x v="0"/>
    <d v="2025-07-20T00:00:00"/>
    <s v="20–29"/>
    <s v="20–29"/>
  </r>
  <r>
    <n v="41"/>
    <x v="1"/>
    <n v="1"/>
    <s v="Thu"/>
    <b v="0"/>
    <d v="1899-12-30T10:52:00"/>
    <d v="1899-12-30T12:25:00"/>
    <n v="93"/>
    <x v="1"/>
    <b v="0"/>
    <b v="1"/>
    <s v="Male"/>
    <x v="1"/>
    <x v="1"/>
    <n v="22.5"/>
    <x v="3"/>
    <n v="0.15"/>
    <n v="19.125"/>
    <x v="1"/>
    <s v="San Diego, CA"/>
    <n v="32.715699999999998"/>
    <n v="-117.1611"/>
    <d v="2023-01-28T00:00:00"/>
    <n v="0"/>
    <x v="1"/>
    <d v="2025-06-03T00:00:00"/>
    <s v="40–49"/>
    <s v="40–49"/>
  </r>
  <r>
    <n v="25"/>
    <x v="1"/>
    <n v="3"/>
    <s v="Sat, Sun, Tue"/>
    <b v="0"/>
    <d v="1899-12-30T17:21:00"/>
    <d v="1899-12-30T18:17:00"/>
    <n v="56"/>
    <x v="0"/>
    <b v="0"/>
    <b v="1"/>
    <s v="Female"/>
    <x v="1"/>
    <x v="1"/>
    <n v="22.5"/>
    <x v="3"/>
    <n v="0.15"/>
    <n v="19.125"/>
    <x v="1"/>
    <s v="Sacramento, CA"/>
    <n v="38.581600000000002"/>
    <n v="-121.4944"/>
    <d v="2024-06-04T00:00:00"/>
    <n v="0"/>
    <x v="0"/>
    <d v="2025-07-01T00:00:00"/>
    <s v="20–29"/>
    <s v="20–29"/>
  </r>
  <r>
    <n v="16"/>
    <x v="3"/>
    <n v="1"/>
    <s v="Fri"/>
    <b v="0"/>
    <d v="1899-12-30T08:42:00"/>
    <d v="1899-12-30T10:34:00"/>
    <n v="112"/>
    <x v="0"/>
    <b v="0"/>
    <b v="0"/>
    <s v="Female"/>
    <x v="3"/>
    <x v="0"/>
    <n v="70"/>
    <x v="1"/>
    <n v="0"/>
    <n v="70"/>
    <x v="3"/>
    <s v="Bakersfield, CA"/>
    <n v="35.3733"/>
    <n v="-119.0187"/>
    <d v="2025-02-07T00:00:00"/>
    <n v="0"/>
    <x v="0"/>
    <d v="2025-07-15T00:00:00"/>
    <s v="10–19"/>
    <s v="16–19"/>
  </r>
  <r>
    <n v="30"/>
    <x v="0"/>
    <n v="3"/>
    <s v="Sun, Thu, Tue"/>
    <b v="0"/>
    <d v="1899-12-30T13:51:00"/>
    <d v="1899-12-30T16:13:00"/>
    <n v="142"/>
    <x v="0"/>
    <b v="1"/>
    <b v="1"/>
    <s v="Non-binary"/>
    <x v="0"/>
    <x v="1"/>
    <n v="37.5"/>
    <x v="1"/>
    <n v="0"/>
    <n v="37.5"/>
    <x v="0"/>
    <s v="San Francisco, CA"/>
    <n v="37.774900000000002"/>
    <n v="-122.4194"/>
    <d v="2023-12-14T00:00:00"/>
    <n v="3"/>
    <x v="0"/>
    <d v="2025-06-21T00:00:00"/>
    <s v="30–39"/>
    <s v="30–39"/>
  </r>
  <r>
    <n v="41"/>
    <x v="2"/>
    <n v="4"/>
    <s v="Fri, Mon, Thu, Wed"/>
    <b v="0"/>
    <d v="1899-12-30T17:08:00"/>
    <d v="1899-12-30T18:16:00"/>
    <n v="68"/>
    <x v="1"/>
    <b v="1"/>
    <b v="0"/>
    <s v="Female"/>
    <x v="2"/>
    <x v="2"/>
    <n v="18"/>
    <x v="1"/>
    <n v="0"/>
    <n v="18"/>
    <x v="2"/>
    <s v="Long Beach, CA"/>
    <n v="33.770099999999999"/>
    <n v="-118.19370000000001"/>
    <d v="2023-03-25T00:00:00"/>
    <n v="8"/>
    <x v="0"/>
    <d v="2025-06-06T00:00:00"/>
    <s v="40–49"/>
    <s v="40–49"/>
  </r>
  <r>
    <n v="48"/>
    <x v="0"/>
    <n v="2"/>
    <s v="Tue, Wed"/>
    <b v="0"/>
    <d v="1899-12-30T09:57:00"/>
    <d v="1899-12-30T12:35:00"/>
    <n v="158"/>
    <x v="0"/>
    <b v="1"/>
    <b v="1"/>
    <s v="Male"/>
    <x v="0"/>
    <x v="1"/>
    <n v="37.5"/>
    <x v="3"/>
    <n v="0.15"/>
    <n v="31.875"/>
    <x v="0"/>
    <s v="San Francisco, CA"/>
    <n v="37.774900000000002"/>
    <n v="-122.4194"/>
    <d v="2024-11-05T00:00:00"/>
    <n v="4"/>
    <x v="0"/>
    <d v="2025-07-10T00:00:00"/>
    <s v="40–49"/>
    <s v="40–49"/>
  </r>
  <r>
    <n v="49"/>
    <x v="0"/>
    <n v="2"/>
    <s v="Fri, Tue"/>
    <b v="1"/>
    <d v="1899-12-30T13:20:00"/>
    <d v="1899-12-30T14:26:00"/>
    <n v="66"/>
    <x v="0"/>
    <b v="1"/>
    <b v="1"/>
    <s v="Non-binary"/>
    <x v="0"/>
    <x v="0"/>
    <n v="50"/>
    <x v="1"/>
    <n v="0"/>
    <n v="50"/>
    <x v="0"/>
    <s v="Sacramento, CA"/>
    <n v="38.581600000000002"/>
    <n v="-121.4944"/>
    <d v="2023-08-29T00:00:00"/>
    <n v="1"/>
    <x v="0"/>
    <d v="2025-06-15T00:00:00"/>
    <s v="40–49"/>
    <s v="40–49"/>
  </r>
  <r>
    <n v="39"/>
    <x v="1"/>
    <n v="3"/>
    <s v="Sun, Thu, Wed"/>
    <b v="0"/>
    <d v="1899-12-30T12:36:00"/>
    <d v="1899-12-30T14:19:00"/>
    <n v="103"/>
    <x v="0"/>
    <b v="1"/>
    <b v="0"/>
    <s v="Male"/>
    <x v="1"/>
    <x v="1"/>
    <n v="22.5"/>
    <x v="1"/>
    <n v="0"/>
    <n v="22.5"/>
    <x v="1"/>
    <s v="Sacramento, CA"/>
    <n v="38.581600000000002"/>
    <n v="-121.4944"/>
    <d v="2025-03-24T00:00:00"/>
    <n v="2"/>
    <x v="1"/>
    <d v="2025-07-17T00:00:00"/>
    <s v="30–39"/>
    <s v="30–39"/>
  </r>
  <r>
    <n v="23"/>
    <x v="0"/>
    <n v="2"/>
    <s v="Tue, Wed"/>
    <b v="1"/>
    <d v="1899-12-30T17:37:00"/>
    <d v="1899-12-30T19:57:00"/>
    <n v="140"/>
    <x v="1"/>
    <b v="1"/>
    <b v="1"/>
    <s v="Other (self-described)"/>
    <x v="0"/>
    <x v="1"/>
    <n v="37.5"/>
    <x v="0"/>
    <n v="0.05"/>
    <n v="35.625"/>
    <x v="0"/>
    <s v="San Francisco, CA"/>
    <n v="37.774900000000002"/>
    <n v="-122.4194"/>
    <d v="2025-04-28T00:00:00"/>
    <n v="4"/>
    <x v="0"/>
    <d v="2025-07-19T00:00:00"/>
    <s v="20–29"/>
    <s v="20–29"/>
  </r>
  <r>
    <n v="24"/>
    <x v="1"/>
    <n v="3"/>
    <s v="Mon, Sat, Sun"/>
    <b v="1"/>
    <d v="1899-12-30T20:53:00"/>
    <d v="1899-12-30T21:33:00"/>
    <n v="40"/>
    <x v="0"/>
    <b v="0"/>
    <b v="1"/>
    <s v="Female"/>
    <x v="1"/>
    <x v="0"/>
    <n v="30"/>
    <x v="1"/>
    <n v="0"/>
    <n v="30"/>
    <x v="1"/>
    <s v="Sacramento, CA"/>
    <n v="38.581600000000002"/>
    <n v="-121.4944"/>
    <d v="2023-12-05T00:00:00"/>
    <n v="0"/>
    <x v="0"/>
    <d v="2025-06-21T00:00:00"/>
    <s v="20–29"/>
    <s v="20–29"/>
  </r>
  <r>
    <n v="19"/>
    <x v="0"/>
    <n v="3"/>
    <s v="Mon, Sun, Wed"/>
    <b v="0"/>
    <d v="1899-12-30T14:34:00"/>
    <d v="1899-12-30T15:34:00"/>
    <n v="60"/>
    <x v="1"/>
    <b v="0"/>
    <b v="1"/>
    <s v="Other (self-described)"/>
    <x v="0"/>
    <x v="0"/>
    <n v="50"/>
    <x v="3"/>
    <n v="0.15"/>
    <n v="42.5"/>
    <x v="0"/>
    <s v="San Francisco, CA"/>
    <n v="37.774900000000002"/>
    <n v="-122.4194"/>
    <d v="2023-11-25T00:00:00"/>
    <n v="0"/>
    <x v="0"/>
    <d v="2025-06-20T00:00:00"/>
    <s v="10–19"/>
    <s v="16–19"/>
  </r>
  <r>
    <n v="48"/>
    <x v="0"/>
    <n v="3"/>
    <s v="Mon, Sat, Tue"/>
    <b v="0"/>
    <d v="1899-12-30T19:44:00"/>
    <d v="1899-12-30T20:51:00"/>
    <n v="67"/>
    <x v="1"/>
    <b v="0"/>
    <b v="0"/>
    <s v="Female"/>
    <x v="0"/>
    <x v="0"/>
    <n v="50"/>
    <x v="2"/>
    <n v="0.1"/>
    <n v="45"/>
    <x v="0"/>
    <s v="Oakland, CA"/>
    <n v="37.804400000000001"/>
    <n v="-122.27119999999999"/>
    <d v="2023-08-14T00:00:00"/>
    <n v="0"/>
    <x v="1"/>
    <d v="2025-06-14T00:00:00"/>
    <s v="40–49"/>
    <s v="40–49"/>
  </r>
  <r>
    <n v="32"/>
    <x v="1"/>
    <n v="5"/>
    <s v="Fri, Mon, Thu, Tue, Wed"/>
    <b v="1"/>
    <d v="1899-12-30T10:17:00"/>
    <d v="1899-12-30T13:05:00"/>
    <n v="168"/>
    <x v="1"/>
    <b v="0"/>
    <b v="0"/>
    <s v="Female"/>
    <x v="1"/>
    <x v="2"/>
    <n v="27"/>
    <x v="1"/>
    <n v="0"/>
    <n v="27"/>
    <x v="1"/>
    <s v="Sacramento, CA"/>
    <n v="38.581600000000002"/>
    <n v="-121.4944"/>
    <d v="2023-05-11T00:00:00"/>
    <n v="0"/>
    <x v="0"/>
    <d v="2025-06-09T00:00:00"/>
    <s v="30–39"/>
    <s v="30–39"/>
  </r>
  <r>
    <n v="48"/>
    <x v="1"/>
    <n v="2"/>
    <s v="Fri, Tue"/>
    <b v="1"/>
    <d v="1899-12-30T11:46:00"/>
    <d v="1899-12-30T13:17:00"/>
    <n v="91"/>
    <x v="1"/>
    <b v="0"/>
    <b v="1"/>
    <s v="Male"/>
    <x v="1"/>
    <x v="0"/>
    <n v="30"/>
    <x v="0"/>
    <n v="0.05"/>
    <n v="28.5"/>
    <x v="1"/>
    <s v="San Francisco, CA"/>
    <n v="37.774900000000002"/>
    <n v="-122.4194"/>
    <d v="2022-08-18T00:00:00"/>
    <n v="0"/>
    <x v="1"/>
    <d v="2025-05-25T00:00:00"/>
    <s v="40–49"/>
    <s v="40–49"/>
  </r>
  <r>
    <n v="35"/>
    <x v="1"/>
    <n v="5"/>
    <s v="Fri, Sat, Thu, Tue, Wed"/>
    <b v="1"/>
    <d v="1899-12-30T15:45:00"/>
    <d v="1899-12-30T18:43:00"/>
    <n v="178"/>
    <x v="0"/>
    <b v="0"/>
    <b v="0"/>
    <s v="Non-binary"/>
    <x v="1"/>
    <x v="0"/>
    <n v="30"/>
    <x v="1"/>
    <n v="0"/>
    <n v="30"/>
    <x v="1"/>
    <s v="Fresno, CA"/>
    <n v="36.7378"/>
    <n v="-119.7871"/>
    <d v="2023-12-21T00:00:00"/>
    <n v="0"/>
    <x v="0"/>
    <d v="2025-06-22T00:00:00"/>
    <s v="30–39"/>
    <s v="30–39"/>
  </r>
  <r>
    <n v="47"/>
    <x v="0"/>
    <n v="3"/>
    <s v="Fri, Sat, Tue"/>
    <b v="1"/>
    <d v="1899-12-30T12:51:00"/>
    <d v="1899-12-30T14:37:00"/>
    <n v="106"/>
    <x v="0"/>
    <b v="1"/>
    <b v="1"/>
    <s v="Non-binary"/>
    <x v="0"/>
    <x v="0"/>
    <n v="50"/>
    <x v="2"/>
    <n v="0.1"/>
    <n v="45"/>
    <x v="0"/>
    <s v="Oakland, CA"/>
    <n v="37.804400000000001"/>
    <n v="-122.27119999999999"/>
    <d v="2024-07-14T00:00:00"/>
    <n v="3"/>
    <x v="0"/>
    <d v="2025-07-03T00:00:00"/>
    <s v="40–49"/>
    <s v="40–49"/>
  </r>
  <r>
    <n v="39"/>
    <x v="2"/>
    <n v="2"/>
    <s v="Thu, Wed"/>
    <b v="1"/>
    <d v="1899-12-30T08:25:00"/>
    <d v="1899-12-30T10:10:00"/>
    <n v="105"/>
    <x v="0"/>
    <b v="1"/>
    <b v="0"/>
    <s v="Female"/>
    <x v="2"/>
    <x v="0"/>
    <n v="20"/>
    <x v="0"/>
    <n v="0.05"/>
    <n v="19"/>
    <x v="2"/>
    <s v="Bakersfield, CA"/>
    <n v="35.3733"/>
    <n v="-119.0187"/>
    <d v="2023-02-27T00:00:00"/>
    <n v="6"/>
    <x v="1"/>
    <d v="2025-06-05T00:00:00"/>
    <s v="30–39"/>
    <s v="30–39"/>
  </r>
  <r>
    <n v="19"/>
    <x v="1"/>
    <n v="4"/>
    <s v="Fri, Sat, Sun, Thu"/>
    <b v="0"/>
    <d v="1899-12-30T11:16:00"/>
    <d v="1899-12-30T12:38:00"/>
    <n v="82"/>
    <x v="0"/>
    <b v="0"/>
    <b v="1"/>
    <s v="Female"/>
    <x v="1"/>
    <x v="0"/>
    <n v="30"/>
    <x v="2"/>
    <n v="0.1"/>
    <n v="27"/>
    <x v="1"/>
    <s v="San Diego, CA"/>
    <n v="32.715699999999998"/>
    <n v="-117.1611"/>
    <d v="2024-09-07T00:00:00"/>
    <n v="0"/>
    <x v="1"/>
    <d v="2025-07-06T00:00:00"/>
    <s v="10–19"/>
    <s v="16–19"/>
  </r>
  <r>
    <n v="43"/>
    <x v="0"/>
    <n v="4"/>
    <s v="Fri, Mon, Sat, Thu"/>
    <b v="1"/>
    <d v="1899-12-30T20:36:00"/>
    <d v="1899-12-30T23:17:00"/>
    <n v="161"/>
    <x v="1"/>
    <b v="1"/>
    <b v="0"/>
    <s v="Prefer not to say"/>
    <x v="0"/>
    <x v="2"/>
    <n v="45"/>
    <x v="1"/>
    <n v="0"/>
    <n v="45"/>
    <x v="0"/>
    <s v="Bakersfield, CA"/>
    <n v="35.3733"/>
    <n v="-119.0187"/>
    <d v="2024-03-12T00:00:00"/>
    <n v="7"/>
    <x v="0"/>
    <d v="2025-06-26T00:00:00"/>
    <s v="40–49"/>
    <s v="40–49"/>
  </r>
  <r>
    <n v="30"/>
    <x v="0"/>
    <n v="5"/>
    <s v="Fri, Mon, Sun, Tue, Wed"/>
    <b v="1"/>
    <d v="1899-12-30T10:56:00"/>
    <d v="1899-12-30T13:40:00"/>
    <n v="164"/>
    <x v="0"/>
    <b v="1"/>
    <b v="1"/>
    <s v="Non-binary"/>
    <x v="0"/>
    <x v="1"/>
    <n v="37.5"/>
    <x v="0"/>
    <n v="0.05"/>
    <n v="35.625"/>
    <x v="0"/>
    <s v="San Jose, CA"/>
    <n v="37.338200000000001"/>
    <n v="-121.88630000000001"/>
    <d v="2025-03-31T00:00:00"/>
    <n v="4"/>
    <x v="0"/>
    <d v="2025-07-18T00:00:00"/>
    <s v="30–39"/>
    <s v="30–39"/>
  </r>
  <r>
    <n v="21"/>
    <x v="1"/>
    <n v="3"/>
    <s v="Mon, Sun, Thu"/>
    <b v="0"/>
    <d v="1899-12-30T10:39:00"/>
    <d v="1899-12-30T12:37:00"/>
    <n v="118"/>
    <x v="1"/>
    <b v="1"/>
    <b v="0"/>
    <s v="Male"/>
    <x v="1"/>
    <x v="0"/>
    <n v="30"/>
    <x v="2"/>
    <n v="0.1"/>
    <n v="27"/>
    <x v="1"/>
    <s v="Fresno, CA"/>
    <n v="36.7378"/>
    <n v="-119.7871"/>
    <d v="2025-05-27T00:00:00"/>
    <n v="7"/>
    <x v="0"/>
    <d v="2025-07-21T00:00:00"/>
    <s v="20–29"/>
    <s v="20–29"/>
  </r>
  <r>
    <n v="35"/>
    <x v="0"/>
    <n v="1"/>
    <s v="Tue"/>
    <b v="0"/>
    <d v="1899-12-30T12:12:00"/>
    <d v="1899-12-30T14:48:00"/>
    <n v="156"/>
    <x v="1"/>
    <b v="0"/>
    <b v="0"/>
    <s v="Non-binary"/>
    <x v="0"/>
    <x v="0"/>
    <n v="50"/>
    <x v="0"/>
    <n v="0.05"/>
    <n v="47.5"/>
    <x v="0"/>
    <s v="San Jose, CA"/>
    <n v="37.338200000000001"/>
    <n v="-121.88630000000001"/>
    <d v="2022-09-01T00:00:00"/>
    <n v="0"/>
    <x v="0"/>
    <d v="2025-05-26T00:00:00"/>
    <s v="30–39"/>
    <s v="30–39"/>
  </r>
  <r>
    <n v="41"/>
    <x v="0"/>
    <n v="1"/>
    <s v="Wed"/>
    <b v="1"/>
    <d v="1899-12-30T19:23:00"/>
    <d v="1899-12-30T20:27:00"/>
    <n v="64"/>
    <x v="0"/>
    <b v="0"/>
    <b v="0"/>
    <s v="Non-binary"/>
    <x v="0"/>
    <x v="0"/>
    <n v="50"/>
    <x v="1"/>
    <n v="0"/>
    <n v="50"/>
    <x v="0"/>
    <s v="Fresno, CA"/>
    <n v="36.7378"/>
    <n v="-119.7871"/>
    <d v="2023-01-14T00:00:00"/>
    <n v="0"/>
    <x v="0"/>
    <d v="2025-06-02T00:00:00"/>
    <s v="40–49"/>
    <s v="40–49"/>
  </r>
  <r>
    <n v="42"/>
    <x v="1"/>
    <n v="5"/>
    <s v="Fri, Sat, Sun, Thu, Wed"/>
    <b v="0"/>
    <d v="1899-12-30T09:49:00"/>
    <d v="1899-12-30T12:43:00"/>
    <n v="174"/>
    <x v="1"/>
    <b v="0"/>
    <b v="1"/>
    <s v="Male"/>
    <x v="1"/>
    <x v="1"/>
    <n v="22.5"/>
    <x v="1"/>
    <n v="0"/>
    <n v="22.5"/>
    <x v="1"/>
    <s v="Sacramento, CA"/>
    <n v="38.581600000000002"/>
    <n v="-121.4944"/>
    <d v="2023-06-12T00:00:00"/>
    <n v="0"/>
    <x v="0"/>
    <d v="2025-06-11T00:00:00"/>
    <s v="40–49"/>
    <s v="40–49"/>
  </r>
  <r>
    <n v="44"/>
    <x v="2"/>
    <n v="3"/>
    <s v="Sat, Sun, Wed"/>
    <b v="1"/>
    <d v="1899-12-30T10:11:00"/>
    <d v="1899-12-30T11:30:00"/>
    <n v="79"/>
    <x v="1"/>
    <b v="1"/>
    <b v="1"/>
    <s v="Male"/>
    <x v="2"/>
    <x v="2"/>
    <n v="18"/>
    <x v="1"/>
    <n v="0"/>
    <n v="18"/>
    <x v="2"/>
    <s v="Anaheim, CA"/>
    <n v="33.836599999999997"/>
    <n v="-117.9143"/>
    <d v="2024-04-13T00:00:00"/>
    <n v="1"/>
    <x v="0"/>
    <d v="2025-06-28T00:00:00"/>
    <s v="40–49"/>
    <s v="40–49"/>
  </r>
  <r>
    <n v="15"/>
    <x v="0"/>
    <n v="2"/>
    <s v="Mon, Sun"/>
    <b v="1"/>
    <d v="1899-12-30T20:07:00"/>
    <d v="1899-12-30T21:39:00"/>
    <n v="92"/>
    <x v="1"/>
    <b v="0"/>
    <b v="0"/>
    <s v="Female"/>
    <x v="0"/>
    <x v="0"/>
    <n v="50"/>
    <x v="0"/>
    <n v="0.05"/>
    <n v="47.5"/>
    <x v="0"/>
    <s v="Oakland, CA"/>
    <n v="37.804400000000001"/>
    <n v="-122.27119999999999"/>
    <d v="2024-12-20T00:00:00"/>
    <n v="0"/>
    <x v="0"/>
    <d v="2025-07-12T00:00:00"/>
    <s v="10–19"/>
    <s v="Under 16"/>
  </r>
  <r>
    <n v="47"/>
    <x v="3"/>
    <n v="2"/>
    <s v="Fri, Tue"/>
    <b v="1"/>
    <d v="1899-12-30T19:19:00"/>
    <d v="1899-12-30T20:50:00"/>
    <n v="91"/>
    <x v="0"/>
    <b v="0"/>
    <b v="0"/>
    <s v="Non-binary"/>
    <x v="3"/>
    <x v="1"/>
    <n v="52.5"/>
    <x v="1"/>
    <n v="0"/>
    <n v="52.5"/>
    <x v="3"/>
    <s v="San Diego, CA"/>
    <n v="32.715699999999998"/>
    <n v="-117.1611"/>
    <d v="2025-01-07T00:00:00"/>
    <n v="0"/>
    <x v="1"/>
    <d v="2025-07-13T00:00:00"/>
    <s v="40–49"/>
    <s v="40–49"/>
  </r>
  <r>
    <n v="24"/>
    <x v="0"/>
    <n v="1"/>
    <s v="Fri"/>
    <b v="1"/>
    <d v="1899-12-30T15:05:00"/>
    <d v="1899-12-30T17:23:00"/>
    <n v="138"/>
    <x v="0"/>
    <b v="0"/>
    <b v="0"/>
    <s v="Female"/>
    <x v="0"/>
    <x v="1"/>
    <n v="37.5"/>
    <x v="1"/>
    <n v="0"/>
    <n v="37.5"/>
    <x v="0"/>
    <s v="Long Beach, CA"/>
    <n v="33.770099999999999"/>
    <n v="-118.19370000000001"/>
    <d v="2024-09-29T00:00:00"/>
    <n v="0"/>
    <x v="1"/>
    <d v="2025-07-07T00:00:00"/>
    <s v="20–29"/>
    <s v="20–29"/>
  </r>
  <r>
    <n v="39"/>
    <x v="0"/>
    <n v="4"/>
    <s v="Sat, Sun, Thu, Tue"/>
    <b v="1"/>
    <d v="1899-12-30T16:21:00"/>
    <d v="1899-12-30T17:34:00"/>
    <n v="73"/>
    <x v="1"/>
    <b v="1"/>
    <b v="0"/>
    <s v="Female"/>
    <x v="0"/>
    <x v="2"/>
    <n v="45"/>
    <x v="3"/>
    <n v="0.15"/>
    <n v="38.25"/>
    <x v="0"/>
    <s v="Anaheim, CA"/>
    <n v="33.836599999999997"/>
    <n v="-117.9143"/>
    <d v="2023-11-16T00:00:00"/>
    <n v="3"/>
    <x v="0"/>
    <d v="2025-06-20T00:00:00"/>
    <s v="30–39"/>
    <s v="30–3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3-05-23T00:00:00"/>
    <n v="0"/>
    <x v="0"/>
    <d v="2025-06-10T00:00:00"/>
    <s v="30–39"/>
    <s v="30–39"/>
  </r>
  <r>
    <n v="47"/>
    <x v="2"/>
    <n v="2"/>
    <s v="Mon, Tue"/>
    <b v="1"/>
    <d v="1899-12-30T19:06:00"/>
    <d v="1899-12-30T19:43:00"/>
    <n v="37"/>
    <x v="0"/>
    <b v="1"/>
    <b v="1"/>
    <s v="Non-binary"/>
    <x v="2"/>
    <x v="0"/>
    <n v="20"/>
    <x v="1"/>
    <n v="0"/>
    <n v="20"/>
    <x v="2"/>
    <s v="San Francisco, CA"/>
    <n v="37.774900000000002"/>
    <n v="-122.4194"/>
    <d v="2023-07-20T00:00:00"/>
    <n v="2"/>
    <x v="1"/>
    <d v="2025-06-13T00:00:00"/>
    <s v="40–49"/>
    <s v="40–49"/>
  </r>
  <r>
    <n v="22"/>
    <x v="1"/>
    <n v="3"/>
    <s v="Fri, Sun, Wed"/>
    <b v="1"/>
    <d v="1899-12-30T16:31:00"/>
    <d v="1899-12-30T18:39:00"/>
    <n v="128"/>
    <x v="0"/>
    <b v="0"/>
    <b v="0"/>
    <s v="Female"/>
    <x v="1"/>
    <x v="0"/>
    <n v="30"/>
    <x v="1"/>
    <n v="0"/>
    <n v="30"/>
    <x v="1"/>
    <s v="Bakersfield, CA"/>
    <n v="35.3733"/>
    <n v="-119.0187"/>
    <d v="2024-08-28T00:00:00"/>
    <n v="0"/>
    <x v="1"/>
    <d v="2025-07-06T00:00:00"/>
    <s v="20–29"/>
    <s v="20–29"/>
  </r>
  <r>
    <n v="42"/>
    <x v="2"/>
    <n v="3"/>
    <s v="Mon, Sat, Thu"/>
    <b v="0"/>
    <d v="1899-12-30T16:20:00"/>
    <d v="1899-12-30T17:20:00"/>
    <n v="60"/>
    <x v="1"/>
    <b v="1"/>
    <b v="0"/>
    <s v="Male"/>
    <x v="2"/>
    <x v="0"/>
    <n v="20"/>
    <x v="0"/>
    <n v="0.05"/>
    <n v="19"/>
    <x v="2"/>
    <s v="San Jose, CA"/>
    <n v="37.338200000000001"/>
    <n v="-121.88630000000001"/>
    <d v="2022-09-10T00:00:00"/>
    <n v="3"/>
    <x v="1"/>
    <d v="2025-05-26T00:00:00"/>
    <s v="40–49"/>
    <s v="40–49"/>
  </r>
  <r>
    <n v="42"/>
    <x v="0"/>
    <n v="4"/>
    <s v="Fri, Mon, Thu, Tue"/>
    <b v="1"/>
    <d v="1899-12-30T09:55:00"/>
    <d v="1899-12-30T10:59:00"/>
    <n v="64"/>
    <x v="0"/>
    <b v="0"/>
    <b v="1"/>
    <s v="Male"/>
    <x v="0"/>
    <x v="1"/>
    <n v="37.5"/>
    <x v="0"/>
    <n v="0.05"/>
    <n v="35.625"/>
    <x v="0"/>
    <s v="San Jose, CA"/>
    <n v="37.338200000000001"/>
    <n v="-121.88630000000001"/>
    <d v="2023-04-29T00:00:00"/>
    <n v="0"/>
    <x v="1"/>
    <d v="2025-06-08T00:00:00"/>
    <s v="40–49"/>
    <s v="40–49"/>
  </r>
  <r>
    <n v="13"/>
    <x v="1"/>
    <n v="3"/>
    <s v="Mon, Thu, Tue"/>
    <b v="0"/>
    <d v="1899-12-30T20:25:00"/>
    <d v="1899-12-30T22:44:00"/>
    <n v="139"/>
    <x v="0"/>
    <b v="1"/>
    <b v="0"/>
    <s v="Male"/>
    <x v="1"/>
    <x v="0"/>
    <n v="30"/>
    <x v="1"/>
    <n v="0"/>
    <n v="30"/>
    <x v="1"/>
    <s v="Anaheim, CA"/>
    <n v="33.836599999999997"/>
    <n v="-117.9143"/>
    <d v="2023-11-10T00:00:00"/>
    <n v="3"/>
    <x v="1"/>
    <d v="2025-06-19T00:00:00"/>
    <s v="10–19"/>
    <s v="Under 16"/>
  </r>
  <r>
    <n v="39"/>
    <x v="1"/>
    <n v="5"/>
    <s v="Fri, Mon, Sat, Thu, Wed"/>
    <b v="1"/>
    <d v="1899-12-30T15:16:00"/>
    <d v="1899-12-30T17:15:00"/>
    <n v="119"/>
    <x v="1"/>
    <b v="1"/>
    <b v="0"/>
    <s v="Female"/>
    <x v="1"/>
    <x v="0"/>
    <n v="30"/>
    <x v="3"/>
    <n v="0.15"/>
    <n v="25.5"/>
    <x v="1"/>
    <s v="Sacramento, CA"/>
    <n v="38.581600000000002"/>
    <n v="-121.4944"/>
    <d v="2023-09-10T00:00:00"/>
    <n v="5"/>
    <x v="1"/>
    <d v="2025-06-16T00:00:00"/>
    <s v="30–39"/>
    <s v="30–39"/>
  </r>
  <r>
    <n v="40"/>
    <x v="2"/>
    <n v="1"/>
    <s v="Sun"/>
    <b v="1"/>
    <d v="1899-12-30T16:03:00"/>
    <d v="1899-12-30T17:49:00"/>
    <n v="106"/>
    <x v="0"/>
    <b v="0"/>
    <b v="1"/>
    <s v="Male"/>
    <x v="2"/>
    <x v="1"/>
    <n v="15"/>
    <x v="1"/>
    <n v="0"/>
    <n v="15"/>
    <x v="2"/>
    <s v="Fresno, CA"/>
    <n v="36.7378"/>
    <n v="-119.7871"/>
    <d v="2024-04-02T00:00:00"/>
    <n v="0"/>
    <x v="1"/>
    <d v="2025-06-27T00:00:00"/>
    <s v="40–49"/>
    <s v="40–49"/>
  </r>
  <r>
    <n v="36"/>
    <x v="3"/>
    <n v="2"/>
    <s v="Fri, Tue"/>
    <b v="1"/>
    <d v="1899-12-30T18:19:00"/>
    <d v="1899-12-30T20:02:00"/>
    <n v="103"/>
    <x v="0"/>
    <b v="1"/>
    <b v="1"/>
    <s v="Male"/>
    <x v="3"/>
    <x v="1"/>
    <n v="52.5"/>
    <x v="0"/>
    <n v="0.05"/>
    <n v="49.875"/>
    <x v="3"/>
    <s v="Long Beach, CA"/>
    <n v="33.770099999999999"/>
    <n v="-118.19370000000001"/>
    <d v="2024-10-02T00:00:00"/>
    <n v="3"/>
    <x v="0"/>
    <d v="2025-07-08T00:00:00"/>
    <s v="30–39"/>
    <s v="30–39"/>
  </r>
  <r>
    <n v="16"/>
    <x v="2"/>
    <n v="2"/>
    <s v="Fri, Wed"/>
    <b v="1"/>
    <d v="1899-12-30T12:40:00"/>
    <d v="1899-12-30T13:52:00"/>
    <n v="72"/>
    <x v="1"/>
    <b v="1"/>
    <b v="0"/>
    <s v="Prefer not to say"/>
    <x v="2"/>
    <x v="1"/>
    <n v="15"/>
    <x v="1"/>
    <n v="0"/>
    <n v="15"/>
    <x v="2"/>
    <s v="San Diego, CA"/>
    <n v="32.715699999999998"/>
    <n v="-117.1611"/>
    <d v="2024-06-08T00:00:00"/>
    <n v="3"/>
    <x v="0"/>
    <d v="2025-07-01T00:00:00"/>
    <s v="10–19"/>
    <s v="16–19"/>
  </r>
  <r>
    <n v="29"/>
    <x v="0"/>
    <n v="2"/>
    <s v="Fri, Sat"/>
    <b v="0"/>
    <d v="1899-12-30T15:39:00"/>
    <d v="1899-12-30T17:59:00"/>
    <n v="140"/>
    <x v="0"/>
    <b v="1"/>
    <b v="1"/>
    <s v="Female"/>
    <x v="0"/>
    <x v="1"/>
    <n v="37.5"/>
    <x v="3"/>
    <n v="0.15"/>
    <n v="31.875"/>
    <x v="0"/>
    <s v="Bakersfield, CA"/>
    <n v="35.3733"/>
    <n v="-119.0187"/>
    <d v="2023-04-07T00:00:00"/>
    <n v="8"/>
    <x v="0"/>
    <d v="2025-06-07T00:00:00"/>
    <s v="20–29"/>
    <s v="20–29"/>
  </r>
  <r>
    <n v="16"/>
    <x v="2"/>
    <n v="2"/>
    <s v="Sat, Sun"/>
    <b v="0"/>
    <d v="1899-12-30T11:29:00"/>
    <d v="1899-12-30T13:03:00"/>
    <n v="94"/>
    <x v="1"/>
    <b v="0"/>
    <b v="1"/>
    <s v="Female"/>
    <x v="2"/>
    <x v="1"/>
    <n v="15"/>
    <x v="1"/>
    <n v="0"/>
    <n v="15"/>
    <x v="2"/>
    <s v="San Francisco, CA"/>
    <n v="37.774900000000002"/>
    <n v="-122.4194"/>
    <d v="2025-06-07T00:00:00"/>
    <n v="0"/>
    <x v="1"/>
    <d v="2025-07-22T00:00:00"/>
    <s v="10–19"/>
    <s v="16–19"/>
  </r>
  <r>
    <n v="16"/>
    <x v="2"/>
    <n v="3"/>
    <s v="Fri, Sun, Wed"/>
    <b v="1"/>
    <d v="1899-12-30T14:53:00"/>
    <d v="1899-12-30T17:02:00"/>
    <n v="129"/>
    <x v="1"/>
    <b v="0"/>
    <b v="1"/>
    <s v="Male"/>
    <x v="2"/>
    <x v="0"/>
    <n v="20"/>
    <x v="1"/>
    <n v="0"/>
    <n v="20"/>
    <x v="2"/>
    <s v="Los Angeles, CA"/>
    <n v="34.052199999999999"/>
    <n v="-118.2437"/>
    <d v="2025-02-19T00:00:00"/>
    <n v="0"/>
    <x v="1"/>
    <d v="2025-07-16T00:00:00"/>
    <s v="10–19"/>
    <s v="16–19"/>
  </r>
  <r>
    <n v="30"/>
    <x v="0"/>
    <n v="2"/>
    <s v="Sat, Thu"/>
    <b v="0"/>
    <d v="1899-12-30T11:18:00"/>
    <d v="1899-12-30T13:15:00"/>
    <n v="117"/>
    <x v="0"/>
    <b v="1"/>
    <b v="0"/>
    <s v="Other (self-described)"/>
    <x v="0"/>
    <x v="0"/>
    <n v="50"/>
    <x v="3"/>
    <n v="0.15"/>
    <n v="42.5"/>
    <x v="0"/>
    <s v="Anaheim, CA"/>
    <n v="33.836599999999997"/>
    <n v="-117.9143"/>
    <d v="2025-05-05T00:00:00"/>
    <n v="4"/>
    <x v="0"/>
    <d v="2025-07-20T00:00:00"/>
    <s v="30–39"/>
    <s v="30–39"/>
  </r>
  <r>
    <n v="43"/>
    <x v="2"/>
    <n v="3"/>
    <s v="Fri, Sun, Tue"/>
    <b v="0"/>
    <d v="1899-12-30T12:02:00"/>
    <d v="1899-12-30T14:07:00"/>
    <n v="125"/>
    <x v="1"/>
    <b v="1"/>
    <b v="1"/>
    <s v="Male"/>
    <x v="2"/>
    <x v="0"/>
    <n v="20"/>
    <x v="0"/>
    <n v="0.05"/>
    <n v="19"/>
    <x v="2"/>
    <s v="Anaheim, CA"/>
    <n v="33.836599999999997"/>
    <n v="-117.9143"/>
    <d v="2025-05-10T00:00:00"/>
    <n v="2"/>
    <x v="0"/>
    <d v="2025-07-20T00:00:00"/>
    <s v="40–49"/>
    <s v="40–49"/>
  </r>
  <r>
    <n v="28"/>
    <x v="0"/>
    <n v="5"/>
    <s v="Mon, Sat, Sun, Thu, Wed"/>
    <b v="1"/>
    <d v="1899-12-30T13:31:00"/>
    <d v="1899-12-30T15:39:00"/>
    <n v="128"/>
    <x v="0"/>
    <b v="1"/>
    <b v="1"/>
    <s v="Male"/>
    <x v="0"/>
    <x v="0"/>
    <n v="50"/>
    <x v="3"/>
    <n v="0.15"/>
    <n v="42.5"/>
    <x v="0"/>
    <s v="Fresno, CA"/>
    <n v="36.7378"/>
    <n v="-119.7871"/>
    <d v="2022-12-24T00:00:00"/>
    <n v="8"/>
    <x v="1"/>
    <d v="2025-06-01T00:00:00"/>
    <s v="20–29"/>
    <s v="20–29"/>
  </r>
  <r>
    <n v="40"/>
    <x v="0"/>
    <n v="3"/>
    <s v="Mon, Thu, Tue"/>
    <b v="0"/>
    <d v="1899-12-30T19:38:00"/>
    <d v="1899-12-30T21:10:00"/>
    <n v="92"/>
    <x v="1"/>
    <b v="1"/>
    <b v="1"/>
    <s v="Male"/>
    <x v="0"/>
    <x v="0"/>
    <n v="50"/>
    <x v="1"/>
    <n v="0"/>
    <n v="50"/>
    <x v="0"/>
    <s v="Long Beach, CA"/>
    <n v="33.770099999999999"/>
    <n v="-118.19370000000001"/>
    <d v="2023-06-04T00:00:00"/>
    <n v="8"/>
    <x v="0"/>
    <d v="2025-06-10T00:00:00"/>
    <s v="40–49"/>
    <s v="40–49"/>
  </r>
  <r>
    <n v="20"/>
    <x v="1"/>
    <n v="3"/>
    <s v="Fri, Thu, Wed"/>
    <b v="0"/>
    <d v="1899-12-30T15:28:00"/>
    <d v="1899-12-30T17:58:00"/>
    <n v="150"/>
    <x v="1"/>
    <b v="0"/>
    <b v="1"/>
    <s v="Female"/>
    <x v="1"/>
    <x v="2"/>
    <n v="27"/>
    <x v="3"/>
    <n v="0.15"/>
    <n v="22.95"/>
    <x v="1"/>
    <s v="Fresno, CA"/>
    <n v="36.7378"/>
    <n v="-119.7871"/>
    <d v="2024-02-04T00:00:00"/>
    <n v="0"/>
    <x v="1"/>
    <d v="2025-06-24T00:00:00"/>
    <s v="20–29"/>
    <s v="20–29"/>
  </r>
  <r>
    <n v="39"/>
    <x v="1"/>
    <n v="3"/>
    <s v="Sun, Thu, Wed"/>
    <b v="0"/>
    <d v="1899-12-30T12:36:00"/>
    <d v="1899-12-30T14:19:00"/>
    <n v="103"/>
    <x v="0"/>
    <b v="1"/>
    <b v="0"/>
    <s v="Male"/>
    <x v="1"/>
    <x v="1"/>
    <n v="22.5"/>
    <x v="1"/>
    <n v="0"/>
    <n v="22.5"/>
    <x v="1"/>
    <s v="Sacramento, CA"/>
    <n v="38.581600000000002"/>
    <n v="-121.4944"/>
    <d v="2025-03-10T00:00:00"/>
    <n v="4"/>
    <x v="0"/>
    <d v="2025-07-17T00:00:00"/>
    <s v="30–39"/>
    <s v="30–39"/>
  </r>
  <r>
    <n v="25"/>
    <x v="1"/>
    <n v="4"/>
    <s v="Fri, Mon, Tue, Wed"/>
    <b v="0"/>
    <d v="1899-12-30T19:23:00"/>
    <d v="1899-12-30T20:48:00"/>
    <n v="85"/>
    <x v="0"/>
    <b v="0"/>
    <b v="1"/>
    <s v="Female"/>
    <x v="1"/>
    <x v="1"/>
    <n v="22.5"/>
    <x v="2"/>
    <n v="0.1"/>
    <n v="20.25"/>
    <x v="1"/>
    <s v="San Jose, CA"/>
    <n v="37.338200000000001"/>
    <n v="-121.88630000000001"/>
    <d v="2024-01-16T00:00:00"/>
    <n v="0"/>
    <x v="0"/>
    <d v="2025-06-23T00:00:00"/>
    <s v="20–29"/>
    <s v="20–29"/>
  </r>
  <r>
    <n v="29"/>
    <x v="3"/>
    <n v="3"/>
    <s v="Fri, Sat, Wed"/>
    <b v="0"/>
    <d v="1899-12-30T10:34:00"/>
    <d v="1899-12-30T11:13:00"/>
    <n v="39"/>
    <x v="0"/>
    <b v="0"/>
    <b v="1"/>
    <s v="Other (self-described)"/>
    <x v="3"/>
    <x v="1"/>
    <n v="52.5"/>
    <x v="3"/>
    <n v="0.15"/>
    <n v="44.625"/>
    <x v="3"/>
    <s v="Anaheim, CA"/>
    <n v="33.836599999999997"/>
    <n v="-117.9143"/>
    <d v="2024-02-04T00:00:00"/>
    <n v="0"/>
    <x v="0"/>
    <d v="2025-06-24T00:00:00"/>
    <s v="20–29"/>
    <s v="20–29"/>
  </r>
  <r>
    <n v="24"/>
    <x v="0"/>
    <n v="2"/>
    <s v="Sun, Tue"/>
    <b v="1"/>
    <d v="1899-12-30T17:44:00"/>
    <d v="1899-12-30T20:02:00"/>
    <n v="138"/>
    <x v="0"/>
    <b v="1"/>
    <b v="1"/>
    <s v="Male"/>
    <x v="0"/>
    <x v="0"/>
    <n v="50"/>
    <x v="0"/>
    <n v="0.05"/>
    <n v="47.5"/>
    <x v="0"/>
    <s v="Fresno, CA"/>
    <n v="36.7378"/>
    <n v="-119.7871"/>
    <d v="2024-12-20T00:00:00"/>
    <n v="4"/>
    <x v="0"/>
    <d v="2025-07-12T00:00:00"/>
    <s v="20–29"/>
    <s v="20–29"/>
  </r>
  <r>
    <n v="36"/>
    <x v="1"/>
    <n v="2"/>
    <s v="Fri, Tue"/>
    <b v="1"/>
    <d v="1899-12-30T11:28:00"/>
    <d v="1899-12-30T14:14:00"/>
    <n v="166"/>
    <x v="0"/>
    <b v="0"/>
    <b v="1"/>
    <s v="Female"/>
    <x v="1"/>
    <x v="1"/>
    <n v="22.5"/>
    <x v="0"/>
    <n v="0.05"/>
    <n v="21.375"/>
    <x v="1"/>
    <s v="Long Beach, CA"/>
    <n v="33.770099999999999"/>
    <n v="-118.19370000000001"/>
    <d v="2024-03-17T00:00:00"/>
    <n v="0"/>
    <x v="1"/>
    <d v="2025-06-26T00:00:00"/>
    <s v="30–39"/>
    <s v="30–39"/>
  </r>
  <r>
    <n v="19"/>
    <x v="0"/>
    <n v="2"/>
    <s v="Sun, Tue"/>
    <b v="1"/>
    <d v="1899-12-30T19:22:00"/>
    <d v="1899-12-30T20:25:00"/>
    <n v="63"/>
    <x v="0"/>
    <b v="0"/>
    <b v="0"/>
    <s v="Female"/>
    <x v="0"/>
    <x v="1"/>
    <n v="37.5"/>
    <x v="1"/>
    <n v="0"/>
    <n v="37.5"/>
    <x v="0"/>
    <s v="Bakersfield, CA"/>
    <n v="35.3733"/>
    <n v="-119.0187"/>
    <d v="2024-04-24T00:00:00"/>
    <n v="0"/>
    <x v="0"/>
    <d v="2025-06-29T00:00:00"/>
    <s v="10–19"/>
    <s v="16–19"/>
  </r>
  <r>
    <n v="18"/>
    <x v="0"/>
    <n v="3"/>
    <s v="Fri, Mon, Thu"/>
    <b v="1"/>
    <d v="1899-12-30T11:47:00"/>
    <d v="1899-12-30T14:00:00"/>
    <n v="133"/>
    <x v="0"/>
    <b v="1"/>
    <b v="0"/>
    <s v="Male"/>
    <x v="0"/>
    <x v="0"/>
    <n v="50"/>
    <x v="0"/>
    <n v="0.05"/>
    <n v="47.5"/>
    <x v="0"/>
    <s v="Fresno, CA"/>
    <n v="36.7378"/>
    <n v="-119.7871"/>
    <d v="2023-09-06T00:00:00"/>
    <n v="1"/>
    <x v="1"/>
    <d v="2025-06-16T00:00:00"/>
    <s v="10–19"/>
    <s v="16–19"/>
  </r>
  <r>
    <n v="14"/>
    <x v="0"/>
    <n v="5"/>
    <s v="Fri, Sat, Sun, Thu, Tue"/>
    <b v="1"/>
    <d v="1899-12-30T20:23:00"/>
    <d v="1899-12-30T21:30:00"/>
    <n v="67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3-08-16T00:00:00"/>
    <n v="4"/>
    <x v="0"/>
    <d v="2025-06-14T00:00:00"/>
    <s v="10–19"/>
    <s v="Under 16"/>
  </r>
  <r>
    <n v="14"/>
    <x v="0"/>
    <n v="3"/>
    <s v="Mon, Sun, Thu"/>
    <b v="1"/>
    <d v="1899-12-30T12:27:00"/>
    <d v="1899-12-30T14:16:00"/>
    <n v="109"/>
    <x v="0"/>
    <b v="0"/>
    <b v="1"/>
    <s v="Male"/>
    <x v="0"/>
    <x v="0"/>
    <n v="50"/>
    <x v="1"/>
    <n v="0"/>
    <n v="50"/>
    <x v="0"/>
    <s v="Oakland, CA"/>
    <n v="37.804400000000001"/>
    <n v="-122.27119999999999"/>
    <d v="2025-05-05T00:00:00"/>
    <n v="0"/>
    <x v="0"/>
    <d v="2025-07-20T00:00:00"/>
    <s v="10–19"/>
    <s v="Under 16"/>
  </r>
  <r>
    <n v="20"/>
    <x v="0"/>
    <n v="5"/>
    <s v="Mon, Sat, Thu, Tue, Wed"/>
    <b v="0"/>
    <d v="1899-12-30T17:41:00"/>
    <d v="1899-12-30T20:22:00"/>
    <n v="161"/>
    <x v="0"/>
    <b v="0"/>
    <b v="0"/>
    <s v="Female"/>
    <x v="0"/>
    <x v="1"/>
    <n v="37.5"/>
    <x v="2"/>
    <n v="0.1"/>
    <n v="33.75"/>
    <x v="0"/>
    <s v="Long Beach, CA"/>
    <n v="33.770099999999999"/>
    <n v="-118.19370000000001"/>
    <d v="2024-05-20T00:00:00"/>
    <n v="0"/>
    <x v="0"/>
    <d v="2025-06-30T00:00:00"/>
    <s v="20–29"/>
    <s v="20–29"/>
  </r>
  <r>
    <n v="44"/>
    <x v="2"/>
    <n v="3"/>
    <s v="Mon, Sat, Thu"/>
    <b v="0"/>
    <d v="1899-12-30T17:47:00"/>
    <d v="1899-12-30T18:30:00"/>
    <n v="43"/>
    <x v="1"/>
    <b v="1"/>
    <b v="1"/>
    <s v="Female"/>
    <x v="2"/>
    <x v="0"/>
    <n v="20"/>
    <x v="3"/>
    <n v="0.15"/>
    <n v="17"/>
    <x v="2"/>
    <s v="San Diego, CA"/>
    <n v="32.715699999999998"/>
    <n v="-117.1611"/>
    <d v="2023-08-26T00:00:00"/>
    <n v="5"/>
    <x v="1"/>
    <d v="2025-06-15T00:00:00"/>
    <s v="40–49"/>
    <s v="40–49"/>
  </r>
  <r>
    <n v="39"/>
    <x v="2"/>
    <n v="5"/>
    <s v="Mon, Sun, Thu, Tue, Wed"/>
    <b v="1"/>
    <d v="1899-12-30T19:04:00"/>
    <d v="1899-12-30T20:02:00"/>
    <n v="58"/>
    <x v="1"/>
    <b v="0"/>
    <b v="1"/>
    <s v="Male"/>
    <x v="2"/>
    <x v="1"/>
    <n v="15"/>
    <x v="1"/>
    <n v="0"/>
    <n v="15"/>
    <x v="2"/>
    <s v="Sacramento, CA"/>
    <n v="38.581600000000002"/>
    <n v="-121.4944"/>
    <d v="2024-01-04T00:00:00"/>
    <n v="0"/>
    <x v="1"/>
    <d v="2025-06-22T00:00:00"/>
    <s v="30–39"/>
    <s v="30–39"/>
  </r>
  <r>
    <n v="32"/>
    <x v="3"/>
    <n v="3"/>
    <s v="Sat, Sun, Thu"/>
    <b v="0"/>
    <d v="1899-12-30T14:01:00"/>
    <d v="1899-12-30T16:17:00"/>
    <n v="136"/>
    <x v="0"/>
    <b v="0"/>
    <b v="0"/>
    <s v="Female"/>
    <x v="3"/>
    <x v="0"/>
    <n v="70"/>
    <x v="1"/>
    <n v="0"/>
    <n v="70"/>
    <x v="3"/>
    <s v="Anaheim, CA"/>
    <n v="33.836599999999997"/>
    <n v="-117.9143"/>
    <d v="2022-12-23T00:00:00"/>
    <n v="0"/>
    <x v="0"/>
    <d v="2025-06-01T00:00:00"/>
    <s v="30–39"/>
    <s v="30–39"/>
  </r>
  <r>
    <n v="40"/>
    <x v="0"/>
    <n v="4"/>
    <s v="Sat, Sun, Thu, Tue"/>
    <b v="1"/>
    <d v="1899-12-30T19:35:00"/>
    <d v="1899-12-30T21:08:00"/>
    <n v="93"/>
    <x v="0"/>
    <b v="0"/>
    <b v="0"/>
    <s v="Prefer not to say"/>
    <x v="0"/>
    <x v="1"/>
    <n v="37.5"/>
    <x v="2"/>
    <n v="0.1"/>
    <n v="33.75"/>
    <x v="0"/>
    <s v="Fresno, CA"/>
    <n v="36.7378"/>
    <n v="-119.7871"/>
    <d v="2023-07-22T00:00:00"/>
    <n v="0"/>
    <x v="0"/>
    <d v="2025-06-13T00:00:00"/>
    <s v="40–49"/>
    <s v="40–49"/>
  </r>
  <r>
    <n v="34"/>
    <x v="3"/>
    <n v="3"/>
    <s v="Fri, Sun, Tue"/>
    <b v="0"/>
    <d v="1899-12-30T10:54:00"/>
    <d v="1899-12-30T12:49:00"/>
    <n v="115"/>
    <x v="1"/>
    <b v="1"/>
    <b v="1"/>
    <s v="Male"/>
    <x v="3"/>
    <x v="1"/>
    <n v="52.5"/>
    <x v="1"/>
    <n v="0"/>
    <n v="52.5"/>
    <x v="3"/>
    <s v="Long Beach, CA"/>
    <n v="33.770099999999999"/>
    <n v="-118.19370000000001"/>
    <d v="2024-12-31T00:00:00"/>
    <n v="5"/>
    <x v="1"/>
    <d v="2025-07-13T00:00:00"/>
    <s v="30–39"/>
    <s v="30–39"/>
  </r>
  <r>
    <n v="46"/>
    <x v="1"/>
    <n v="3"/>
    <s v="Sat, Thu, Tue"/>
    <b v="0"/>
    <d v="1899-12-30T18:28:00"/>
    <d v="1899-12-30T19:40:00"/>
    <n v="72"/>
    <x v="0"/>
    <b v="1"/>
    <b v="0"/>
    <s v="Male"/>
    <x v="1"/>
    <x v="0"/>
    <n v="30"/>
    <x v="3"/>
    <n v="0.15"/>
    <n v="25.5"/>
    <x v="1"/>
    <s v="Oakland, CA"/>
    <n v="37.804400000000001"/>
    <n v="-122.27119999999999"/>
    <d v="2025-04-08T00:00:00"/>
    <n v="8"/>
    <x v="1"/>
    <d v="2025-07-18T00:00:00"/>
    <s v="40–49"/>
    <s v="40–49"/>
  </r>
  <r>
    <n v="27"/>
    <x v="0"/>
    <n v="2"/>
    <s v="Mon, Thu"/>
    <b v="1"/>
    <d v="1899-12-30T20:32:00"/>
    <d v="1899-12-30T22:20:00"/>
    <n v="108"/>
    <x v="1"/>
    <b v="0"/>
    <b v="0"/>
    <s v="Other (self-described)"/>
    <x v="0"/>
    <x v="2"/>
    <n v="45"/>
    <x v="1"/>
    <n v="0"/>
    <n v="45"/>
    <x v="0"/>
    <s v="Long Beach, CA"/>
    <n v="33.770099999999999"/>
    <n v="-118.19370000000001"/>
    <d v="2023-08-08T00:00:00"/>
    <n v="0"/>
    <x v="1"/>
    <d v="2025-06-14T00:00:00"/>
    <s v="20–29"/>
    <s v="20–29"/>
  </r>
  <r>
    <n v="13"/>
    <x v="2"/>
    <n v="3"/>
    <s v="Mon, Sun, Thu"/>
    <b v="0"/>
    <d v="1899-12-30T14:01:00"/>
    <d v="1899-12-30T16:23:00"/>
    <n v="142"/>
    <x v="1"/>
    <b v="0"/>
    <b v="1"/>
    <s v="Female"/>
    <x v="2"/>
    <x v="1"/>
    <n v="15"/>
    <x v="0"/>
    <n v="0.05"/>
    <n v="14.25"/>
    <x v="2"/>
    <s v="Fresno, CA"/>
    <n v="36.7378"/>
    <n v="-119.7871"/>
    <d v="2025-05-25T00:00:00"/>
    <n v="0"/>
    <x v="1"/>
    <d v="2025-07-21T00:00:00"/>
    <s v="10–19"/>
    <s v="Under 16"/>
  </r>
  <r>
    <n v="19"/>
    <x v="0"/>
    <n v="2"/>
    <s v="Mon, Wed"/>
    <b v="1"/>
    <d v="1899-12-30T10:42:00"/>
    <d v="1899-12-30T13:29:00"/>
    <n v="167"/>
    <x v="0"/>
    <b v="1"/>
    <b v="0"/>
    <s v="Male"/>
    <x v="0"/>
    <x v="0"/>
    <n v="50"/>
    <x v="2"/>
    <n v="0.1"/>
    <n v="45"/>
    <x v="0"/>
    <s v="Sacramento, CA"/>
    <n v="38.581600000000002"/>
    <n v="-121.4944"/>
    <d v="2023-10-08T00:00:00"/>
    <n v="7"/>
    <x v="0"/>
    <d v="2025-06-17T00:00:00"/>
    <s v="10–19"/>
    <s v="16–19"/>
  </r>
  <r>
    <n v="37"/>
    <x v="0"/>
    <n v="3"/>
    <s v="Fri, Sat, Sun"/>
    <b v="0"/>
    <d v="1899-12-30T17:53:00"/>
    <d v="1899-12-30T20:14:00"/>
    <n v="141"/>
    <x v="0"/>
    <b v="0"/>
    <b v="1"/>
    <s v="Non-binary"/>
    <x v="0"/>
    <x v="1"/>
    <n v="37.5"/>
    <x v="2"/>
    <n v="0.1"/>
    <n v="33.75"/>
    <x v="0"/>
    <s v="Long Beach, CA"/>
    <n v="33.770099999999999"/>
    <n v="-118.19370000000001"/>
    <d v="2022-09-25T00:00:00"/>
    <n v="0"/>
    <x v="0"/>
    <d v="2025-05-27T00:00:00"/>
    <s v="30–39"/>
    <s v="30–39"/>
  </r>
  <r>
    <n v="42"/>
    <x v="0"/>
    <n v="2"/>
    <s v="Mon, Wed"/>
    <b v="0"/>
    <d v="1899-12-30T11:03:00"/>
    <d v="1899-12-30T13:34:00"/>
    <n v="151"/>
    <x v="1"/>
    <b v="1"/>
    <b v="0"/>
    <s v="Prefer not to say"/>
    <x v="0"/>
    <x v="1"/>
    <n v="37.5"/>
    <x v="2"/>
    <n v="0.1"/>
    <n v="33.75"/>
    <x v="0"/>
    <s v="Fresno, CA"/>
    <n v="36.7378"/>
    <n v="-119.7871"/>
    <d v="2023-10-19T00:00:00"/>
    <n v="1"/>
    <x v="0"/>
    <d v="2025-06-18T00:00:00"/>
    <s v="40–49"/>
    <s v="40–49"/>
  </r>
  <r>
    <n v="48"/>
    <x v="0"/>
    <n v="3"/>
    <s v="Fri, Thu, Tue"/>
    <b v="1"/>
    <d v="1899-12-30T11:56:00"/>
    <d v="1899-12-30T14:13:00"/>
    <n v="137"/>
    <x v="0"/>
    <b v="1"/>
    <b v="1"/>
    <s v="Female"/>
    <x v="0"/>
    <x v="0"/>
    <n v="50"/>
    <x v="1"/>
    <n v="0"/>
    <n v="50"/>
    <x v="0"/>
    <s v="Long Beach, CA"/>
    <n v="33.770099999999999"/>
    <n v="-118.19370000000001"/>
    <d v="2024-05-05T00:00:00"/>
    <n v="7"/>
    <x v="0"/>
    <d v="2025-06-29T00:00:00"/>
    <s v="40–49"/>
    <s v="40–49"/>
  </r>
  <r>
    <n v="28"/>
    <x v="2"/>
    <n v="3"/>
    <s v="Sun, Thu, Tue"/>
    <b v="0"/>
    <d v="1899-12-30T10:17:00"/>
    <d v="1899-12-30T11:47:00"/>
    <n v="90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3-08-07T00:00:00"/>
    <n v="7"/>
    <x v="1"/>
    <d v="2025-06-14T00:00:00"/>
    <s v="20–29"/>
    <s v="20–29"/>
  </r>
  <r>
    <n v="21"/>
    <x v="0"/>
    <n v="3"/>
    <s v="Fri, Sat, Tue"/>
    <b v="0"/>
    <d v="1899-12-30T09:22:00"/>
    <d v="1899-12-30T10:52:00"/>
    <n v="90"/>
    <x v="1"/>
    <b v="1"/>
    <b v="0"/>
    <s v="Male"/>
    <x v="0"/>
    <x v="0"/>
    <n v="50"/>
    <x v="1"/>
    <n v="0"/>
    <n v="50"/>
    <x v="0"/>
    <s v="Bakersfield, CA"/>
    <n v="35.3733"/>
    <n v="-119.0187"/>
    <d v="2024-02-20T00:00:00"/>
    <n v="8"/>
    <x v="0"/>
    <d v="2025-06-25T00:00:00"/>
    <s v="20–29"/>
    <s v="20–29"/>
  </r>
  <r>
    <n v="23"/>
    <x v="2"/>
    <n v="3"/>
    <s v="Fri, Sat, Thu"/>
    <b v="1"/>
    <d v="1899-12-30T13:06:00"/>
    <d v="1899-12-30T14:35:00"/>
    <n v="89"/>
    <x v="1"/>
    <b v="1"/>
    <b v="0"/>
    <s v="Male"/>
    <x v="2"/>
    <x v="1"/>
    <n v="15"/>
    <x v="2"/>
    <n v="0.1"/>
    <n v="13.5"/>
    <x v="2"/>
    <s v="San Francisco, CA"/>
    <n v="37.774900000000002"/>
    <n v="-122.4194"/>
    <d v="2023-11-19T00:00:00"/>
    <n v="6"/>
    <x v="1"/>
    <d v="2025-06-20T00:00:00"/>
    <s v="20–29"/>
    <s v="20–29"/>
  </r>
  <r>
    <n v="37"/>
    <x v="0"/>
    <n v="3"/>
    <s v="Mon, Tue, Wed"/>
    <b v="0"/>
    <d v="1899-12-30T20:35:00"/>
    <d v="1899-12-30T22:58:00"/>
    <n v="143"/>
    <x v="0"/>
    <b v="1"/>
    <b v="0"/>
    <s v="Male"/>
    <x v="0"/>
    <x v="0"/>
    <n v="50"/>
    <x v="0"/>
    <n v="0.05"/>
    <n v="47.5"/>
    <x v="0"/>
    <s v="Fresno, CA"/>
    <n v="36.7378"/>
    <n v="-119.7871"/>
    <d v="2022-09-24T00:00:00"/>
    <n v="8"/>
    <x v="1"/>
    <d v="2025-05-27T00:00:00"/>
    <s v="30–39"/>
    <s v="30–39"/>
  </r>
  <r>
    <n v="14"/>
    <x v="0"/>
    <n v="1"/>
    <s v="Fri"/>
    <b v="0"/>
    <d v="1899-12-30T13:06:00"/>
    <d v="1899-12-30T14:29:00"/>
    <n v="83"/>
    <x v="0"/>
    <b v="0"/>
    <b v="1"/>
    <s v="Prefer not to say"/>
    <x v="0"/>
    <x v="0"/>
    <n v="50"/>
    <x v="1"/>
    <n v="0"/>
    <n v="50"/>
    <x v="0"/>
    <s v="Los Angeles, CA"/>
    <n v="34.052199999999999"/>
    <n v="-118.2437"/>
    <d v="2024-05-07T00:00:00"/>
    <n v="0"/>
    <x v="0"/>
    <d v="2025-06-29T00:00:00"/>
    <s v="10–19"/>
    <s v="Under 16"/>
  </r>
  <r>
    <n v="45"/>
    <x v="1"/>
    <n v="2"/>
    <s v="Mon, Wed"/>
    <b v="1"/>
    <d v="1899-12-30T08:12:00"/>
    <d v="1899-12-30T10:09:00"/>
    <n v="117"/>
    <x v="1"/>
    <b v="0"/>
    <b v="0"/>
    <s v="Prefer not to say"/>
    <x v="1"/>
    <x v="0"/>
    <n v="30"/>
    <x v="3"/>
    <n v="0.15"/>
    <n v="25.5"/>
    <x v="1"/>
    <s v="Long Beach, CA"/>
    <n v="33.770099999999999"/>
    <n v="-118.19370000000001"/>
    <d v="2022-09-03T00:00:00"/>
    <n v="0"/>
    <x v="0"/>
    <d v="2025-05-26T00:00:00"/>
    <s v="40–49"/>
    <s v="40–49"/>
  </r>
  <r>
    <n v="19"/>
    <x v="0"/>
    <n v="5"/>
    <s v="Fri, Sat, Thu, Tue, Wed"/>
    <b v="1"/>
    <d v="1899-12-30T09:53:00"/>
    <d v="1899-12-30T12:49:00"/>
    <n v="176"/>
    <x v="0"/>
    <b v="1"/>
    <b v="1"/>
    <s v="Male"/>
    <x v="0"/>
    <x v="0"/>
    <n v="50"/>
    <x v="3"/>
    <n v="0.15"/>
    <n v="42.5"/>
    <x v="0"/>
    <s v="Sacramento, CA"/>
    <n v="38.581600000000002"/>
    <n v="-121.4944"/>
    <d v="2022-11-01T00:00:00"/>
    <n v="2"/>
    <x v="0"/>
    <d v="2025-05-29T00:00:00"/>
    <s v="10–19"/>
    <s v="16–19"/>
  </r>
  <r>
    <n v="23"/>
    <x v="1"/>
    <n v="3"/>
    <s v="Sat, Tue, Wed"/>
    <b v="1"/>
    <d v="1899-12-30T12:33:00"/>
    <d v="1899-12-30T14:41:00"/>
    <n v="128"/>
    <x v="0"/>
    <b v="0"/>
    <b v="0"/>
    <s v="Non-binary"/>
    <x v="1"/>
    <x v="2"/>
    <n v="27"/>
    <x v="1"/>
    <n v="0"/>
    <n v="27"/>
    <x v="1"/>
    <s v="Bakersfield, CA"/>
    <n v="35.3733"/>
    <n v="-119.0187"/>
    <d v="2024-11-26T00:00:00"/>
    <n v="0"/>
    <x v="1"/>
    <d v="2025-07-11T00:00:00"/>
    <s v="20–29"/>
    <s v="20–29"/>
  </r>
  <r>
    <n v="38"/>
    <x v="0"/>
    <n v="1"/>
    <s v="Fri"/>
    <b v="1"/>
    <d v="1899-12-30T18:29:00"/>
    <d v="1899-12-30T20:58:00"/>
    <n v="149"/>
    <x v="0"/>
    <b v="0"/>
    <b v="1"/>
    <s v="Male"/>
    <x v="0"/>
    <x v="1"/>
    <n v="37.5"/>
    <x v="0"/>
    <n v="0.05"/>
    <n v="35.625"/>
    <x v="0"/>
    <s v="Anaheim, CA"/>
    <n v="33.836599999999997"/>
    <n v="-117.9143"/>
    <d v="2025-04-10T00:00:00"/>
    <n v="0"/>
    <x v="0"/>
    <d v="2025-07-18T00:00:00"/>
    <s v="30–39"/>
    <s v="30–39"/>
  </r>
  <r>
    <n v="14"/>
    <x v="2"/>
    <n v="2"/>
    <s v="Thu, Tue"/>
    <b v="1"/>
    <d v="1899-12-30T11:21:00"/>
    <d v="1899-12-30T14:18:00"/>
    <n v="177"/>
    <x v="0"/>
    <b v="0"/>
    <b v="1"/>
    <s v="Female"/>
    <x v="2"/>
    <x v="1"/>
    <n v="15"/>
    <x v="0"/>
    <n v="0.05"/>
    <n v="14.25"/>
    <x v="2"/>
    <s v="Long Beach, CA"/>
    <n v="33.770099999999999"/>
    <n v="-118.19370000000001"/>
    <d v="2025-03-07T00:00:00"/>
    <n v="0"/>
    <x v="1"/>
    <d v="2025-07-16T00:00:00"/>
    <s v="10–19"/>
    <s v="Under 16"/>
  </r>
  <r>
    <n v="46"/>
    <x v="1"/>
    <n v="3"/>
    <s v="Mon, Thu, Tue"/>
    <b v="1"/>
    <d v="1899-12-30T20:17:00"/>
    <d v="1899-12-30T21:11:00"/>
    <n v="54"/>
    <x v="0"/>
    <b v="0"/>
    <b v="1"/>
    <s v="Non-binary"/>
    <x v="1"/>
    <x v="0"/>
    <n v="30"/>
    <x v="2"/>
    <n v="0.1"/>
    <n v="27"/>
    <x v="1"/>
    <s v="Oakland, CA"/>
    <n v="37.804400000000001"/>
    <n v="-122.27119999999999"/>
    <d v="2025-06-03T00:00:00"/>
    <n v="0"/>
    <x v="1"/>
    <d v="2025-07-21T00:00:00"/>
    <s v="40–49"/>
    <s v="40–49"/>
  </r>
  <r>
    <n v="22"/>
    <x v="2"/>
    <n v="4"/>
    <s v="Fri, Thu, Tue, Wed"/>
    <b v="0"/>
    <d v="1899-12-30T19:28:00"/>
    <d v="1899-12-30T22:18:00"/>
    <n v="170"/>
    <x v="1"/>
    <b v="1"/>
    <b v="0"/>
    <s v="Female"/>
    <x v="2"/>
    <x v="0"/>
    <n v="20"/>
    <x v="1"/>
    <n v="0"/>
    <n v="20"/>
    <x v="2"/>
    <s v="Los Angeles, CA"/>
    <n v="34.052199999999999"/>
    <n v="-118.2437"/>
    <d v="2025-03-14T00:00:00"/>
    <n v="2"/>
    <x v="1"/>
    <d v="2025-07-17T00:00:00"/>
    <s v="20–29"/>
    <s v="20–29"/>
  </r>
  <r>
    <n v="47"/>
    <x v="0"/>
    <n v="1"/>
    <s v="Tue"/>
    <b v="1"/>
    <d v="1899-12-30T18:15:00"/>
    <d v="1899-12-30T19:59:00"/>
    <n v="104"/>
    <x v="1"/>
    <b v="0"/>
    <b v="1"/>
    <s v="Female"/>
    <x v="0"/>
    <x v="0"/>
    <n v="50"/>
    <x v="2"/>
    <n v="0.1"/>
    <n v="45"/>
    <x v="0"/>
    <s v="San Diego, CA"/>
    <n v="32.715699999999998"/>
    <n v="-117.1611"/>
    <d v="2023-06-26T00:00:00"/>
    <n v="0"/>
    <x v="0"/>
    <d v="2025-06-12T00:00:00"/>
    <s v="40–49"/>
    <s v="40–49"/>
  </r>
  <r>
    <n v="28"/>
    <x v="0"/>
    <n v="2"/>
    <s v="Sat, Wed"/>
    <b v="1"/>
    <d v="1899-12-30T20:58:00"/>
    <d v="1899-12-30T22:20:00"/>
    <n v="82"/>
    <x v="0"/>
    <b v="0"/>
    <b v="1"/>
    <s v="Non-binary"/>
    <x v="0"/>
    <x v="0"/>
    <n v="50"/>
    <x v="2"/>
    <n v="0.1"/>
    <n v="45"/>
    <x v="0"/>
    <s v="Anaheim, CA"/>
    <n v="33.836599999999997"/>
    <n v="-117.9143"/>
    <d v="2025-04-08T00:00:00"/>
    <n v="0"/>
    <x v="0"/>
    <d v="2025-07-18T00:00:00"/>
    <s v="20–29"/>
    <s v="20–29"/>
  </r>
  <r>
    <n v="29"/>
    <x v="0"/>
    <n v="2"/>
    <s v="Fri, Sun"/>
    <b v="0"/>
    <d v="1899-12-30T11:02:00"/>
    <d v="1899-12-30T12:22:00"/>
    <n v="80"/>
    <x v="1"/>
    <b v="1"/>
    <b v="1"/>
    <s v="Male"/>
    <x v="0"/>
    <x v="0"/>
    <n v="50"/>
    <x v="1"/>
    <n v="0"/>
    <n v="50"/>
    <x v="0"/>
    <s v="Los Angeles, CA"/>
    <n v="34.052199999999999"/>
    <n v="-118.2437"/>
    <d v="2024-07-18T00:00:00"/>
    <n v="4"/>
    <x v="0"/>
    <d v="2025-07-03T00:00:00"/>
    <s v="20–29"/>
    <s v="20–29"/>
  </r>
  <r>
    <n v="31"/>
    <x v="1"/>
    <n v="5"/>
    <s v="Fri, Sun, Thu, Tue, Wed"/>
    <b v="0"/>
    <d v="1899-12-30T19:28:00"/>
    <d v="1899-12-30T20:10:00"/>
    <n v="42"/>
    <x v="0"/>
    <b v="0"/>
    <b v="0"/>
    <s v="Female"/>
    <x v="1"/>
    <x v="0"/>
    <n v="30"/>
    <x v="2"/>
    <n v="0.1"/>
    <n v="27"/>
    <x v="1"/>
    <s v="Sacramento, CA"/>
    <n v="38.581600000000002"/>
    <n v="-121.4944"/>
    <d v="2023-01-05T00:00:00"/>
    <n v="0"/>
    <x v="1"/>
    <d v="2025-06-02T00:00:00"/>
    <s v="30–39"/>
    <s v="30–39"/>
  </r>
  <r>
    <n v="14"/>
    <x v="0"/>
    <n v="3"/>
    <s v="Fri, Sat, Wed"/>
    <b v="0"/>
    <d v="1899-12-30T14:40:00"/>
    <d v="1899-12-30T15:53:00"/>
    <n v="73"/>
    <x v="0"/>
    <b v="1"/>
    <b v="0"/>
    <s v="Male"/>
    <x v="0"/>
    <x v="0"/>
    <n v="50"/>
    <x v="2"/>
    <n v="0.1"/>
    <n v="45"/>
    <x v="0"/>
    <s v="Anaheim, CA"/>
    <n v="33.836599999999997"/>
    <n v="-117.9143"/>
    <d v="2025-05-29T00:00:00"/>
    <n v="4"/>
    <x v="0"/>
    <d v="2025-07-21T00:00:00"/>
    <s v="10–19"/>
    <s v="Under 16"/>
  </r>
  <r>
    <n v="29"/>
    <x v="3"/>
    <n v="3"/>
    <s v="Fri, Sat, Wed"/>
    <b v="0"/>
    <d v="1899-12-30T10:34:00"/>
    <d v="1899-12-30T11:13:00"/>
    <n v="39"/>
    <x v="0"/>
    <b v="0"/>
    <b v="1"/>
    <s v="Other (self-described)"/>
    <x v="3"/>
    <x v="1"/>
    <n v="52.5"/>
    <x v="3"/>
    <n v="0.15"/>
    <n v="44.625"/>
    <x v="3"/>
    <s v="Anaheim, CA"/>
    <n v="33.836599999999997"/>
    <n v="-117.9143"/>
    <d v="2023-02-06T00:00:00"/>
    <n v="0"/>
    <x v="1"/>
    <d v="2025-06-04T00:00:00"/>
    <s v="20–29"/>
    <s v="20–29"/>
  </r>
  <r>
    <n v="22"/>
    <x v="0"/>
    <n v="1"/>
    <s v="Fri"/>
    <b v="0"/>
    <d v="1899-12-30T11:31:00"/>
    <d v="1899-12-30T12:13:00"/>
    <n v="42"/>
    <x v="1"/>
    <b v="1"/>
    <b v="1"/>
    <s v="Male"/>
    <x v="0"/>
    <x v="0"/>
    <n v="50"/>
    <x v="0"/>
    <n v="0.05"/>
    <n v="47.5"/>
    <x v="0"/>
    <s v="San Jose, CA"/>
    <n v="37.338200000000001"/>
    <n v="-121.88630000000001"/>
    <d v="2024-08-26T00:00:00"/>
    <n v="6"/>
    <x v="0"/>
    <d v="2025-07-06T00:00:00"/>
    <s v="20–29"/>
    <s v="20–29"/>
  </r>
  <r>
    <n v="47"/>
    <x v="0"/>
    <n v="3"/>
    <s v="Fri, Mon, Sun"/>
    <b v="0"/>
    <d v="1899-12-30T10:08:00"/>
    <d v="1899-12-30T11:02:00"/>
    <n v="54"/>
    <x v="0"/>
    <b v="1"/>
    <b v="0"/>
    <s v="Non-binary"/>
    <x v="0"/>
    <x v="0"/>
    <n v="50"/>
    <x v="1"/>
    <n v="0"/>
    <n v="50"/>
    <x v="0"/>
    <s v="Oakland, CA"/>
    <n v="37.804400000000001"/>
    <n v="-122.27119999999999"/>
    <d v="2025-02-17T00:00:00"/>
    <n v="4"/>
    <x v="0"/>
    <d v="2025-07-15T00:00:00"/>
    <s v="40–49"/>
    <s v="40–49"/>
  </r>
  <r>
    <n v="35"/>
    <x v="0"/>
    <n v="2"/>
    <s v="Sat, Wed"/>
    <b v="1"/>
    <d v="1899-12-30T20:14:00"/>
    <d v="1899-12-30T22:30:00"/>
    <n v="136"/>
    <x v="1"/>
    <b v="1"/>
    <b v="1"/>
    <s v="Male"/>
    <x v="0"/>
    <x v="0"/>
    <n v="50"/>
    <x v="0"/>
    <n v="0.05"/>
    <n v="47.5"/>
    <x v="0"/>
    <s v="Sacramento, CA"/>
    <n v="38.581600000000002"/>
    <n v="-121.4944"/>
    <d v="2023-06-11T00:00:00"/>
    <n v="2"/>
    <x v="0"/>
    <d v="2025-06-11T00:00:00"/>
    <s v="30–39"/>
    <s v="30–39"/>
  </r>
  <r>
    <n v="28"/>
    <x v="1"/>
    <n v="5"/>
    <s v="Fri, Mon, Sat, Tue, Wed"/>
    <b v="0"/>
    <d v="1899-12-30T14:53:00"/>
    <d v="1899-12-30T16:53:00"/>
    <n v="120"/>
    <x v="1"/>
    <b v="0"/>
    <b v="0"/>
    <s v="Female"/>
    <x v="1"/>
    <x v="0"/>
    <n v="30"/>
    <x v="1"/>
    <n v="0"/>
    <n v="30"/>
    <x v="1"/>
    <s v="Anaheim, CA"/>
    <n v="33.836599999999997"/>
    <n v="-117.9143"/>
    <d v="2023-08-23T00:00:00"/>
    <n v="0"/>
    <x v="0"/>
    <d v="2025-06-15T00:00:00"/>
    <s v="20–29"/>
    <s v="20–2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2-12-01T00:00:00"/>
    <n v="0"/>
    <x v="0"/>
    <d v="2025-05-31T00:00:00"/>
    <s v="10–19"/>
    <s v="16–19"/>
  </r>
  <r>
    <n v="26"/>
    <x v="2"/>
    <n v="5"/>
    <s v="Fri, Mon, Sun, Tue, Wed"/>
    <b v="0"/>
    <d v="1899-12-30T18:01:00"/>
    <d v="1899-12-30T18:43:00"/>
    <n v="42"/>
    <x v="1"/>
    <b v="0"/>
    <b v="0"/>
    <s v="Male"/>
    <x v="2"/>
    <x v="1"/>
    <n v="15"/>
    <x v="1"/>
    <n v="0"/>
    <n v="15"/>
    <x v="2"/>
    <s v="Long Beach, CA"/>
    <n v="33.770099999999999"/>
    <n v="-118.19370000000001"/>
    <d v="2023-05-02T00:00:00"/>
    <n v="0"/>
    <x v="1"/>
    <d v="2025-06-08T00:00:00"/>
    <s v="20–29"/>
    <s v="20–29"/>
  </r>
  <r>
    <n v="21"/>
    <x v="1"/>
    <n v="1"/>
    <s v="Wed"/>
    <b v="0"/>
    <d v="1899-12-30T18:11:00"/>
    <d v="1899-12-30T20:51:00"/>
    <n v="160"/>
    <x v="1"/>
    <b v="1"/>
    <b v="1"/>
    <s v="Male"/>
    <x v="1"/>
    <x v="0"/>
    <n v="30"/>
    <x v="0"/>
    <n v="0.05"/>
    <n v="28.5"/>
    <x v="1"/>
    <s v="Sacramento, CA"/>
    <n v="38.581600000000002"/>
    <n v="-121.4944"/>
    <d v="2023-02-18T00:00:00"/>
    <n v="7"/>
    <x v="0"/>
    <d v="2025-06-04T00:00:00"/>
    <s v="20–29"/>
    <s v="20–29"/>
  </r>
  <r>
    <n v="38"/>
    <x v="3"/>
    <n v="3"/>
    <s v="Thu, Tue, Wed"/>
    <b v="1"/>
    <d v="1899-12-30T16:41:00"/>
    <d v="1899-12-30T17:48:00"/>
    <n v="67"/>
    <x v="1"/>
    <b v="0"/>
    <b v="1"/>
    <s v="Male"/>
    <x v="3"/>
    <x v="0"/>
    <n v="70"/>
    <x v="1"/>
    <n v="0"/>
    <n v="70"/>
    <x v="3"/>
    <s v="San Jose, CA"/>
    <n v="37.338200000000001"/>
    <n v="-121.88630000000001"/>
    <d v="2024-08-26T00:00:00"/>
    <n v="0"/>
    <x v="0"/>
    <d v="2025-07-06T00:00:00"/>
    <s v="30–39"/>
    <s v="30–3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4-12-16T00:00:00"/>
    <n v="0"/>
    <x v="0"/>
    <d v="2025-07-12T00:00:00"/>
    <s v="20–29"/>
    <s v="20–29"/>
  </r>
  <r>
    <n v="19"/>
    <x v="1"/>
    <n v="4"/>
    <s v="Fri, Mon, Tue, Wed"/>
    <b v="0"/>
    <d v="1899-12-30T19:07:00"/>
    <d v="1899-12-30T20:06:00"/>
    <n v="59"/>
    <x v="1"/>
    <b v="1"/>
    <b v="0"/>
    <s v="Male"/>
    <x v="1"/>
    <x v="0"/>
    <n v="30"/>
    <x v="2"/>
    <n v="0.1"/>
    <n v="27"/>
    <x v="1"/>
    <s v="Fresno, CA"/>
    <n v="36.7378"/>
    <n v="-119.7871"/>
    <d v="2023-04-15T00:00:00"/>
    <n v="8"/>
    <x v="0"/>
    <d v="2025-06-07T00:00:00"/>
    <s v="10–19"/>
    <s v="16–19"/>
  </r>
  <r>
    <n v="40"/>
    <x v="0"/>
    <n v="3"/>
    <s v="Sun, Thu, Wed"/>
    <b v="0"/>
    <d v="1899-12-30T11:58:00"/>
    <d v="1899-12-30T14:31:00"/>
    <n v="153"/>
    <x v="1"/>
    <b v="1"/>
    <b v="0"/>
    <s v="Female"/>
    <x v="0"/>
    <x v="0"/>
    <n v="50"/>
    <x v="1"/>
    <n v="0"/>
    <n v="50"/>
    <x v="0"/>
    <s v="Long Beach, CA"/>
    <n v="33.770099999999999"/>
    <n v="-118.19370000000001"/>
    <d v="2023-02-14T00:00:00"/>
    <n v="3"/>
    <x v="1"/>
    <d v="2025-06-04T00:00:00"/>
    <s v="40–49"/>
    <s v="40–49"/>
  </r>
  <r>
    <n v="44"/>
    <x v="0"/>
    <n v="4"/>
    <s v="Mon, Thu, Tue, Wed"/>
    <b v="1"/>
    <d v="1899-12-30T19:09:00"/>
    <d v="1899-12-30T21:55:00"/>
    <n v="166"/>
    <x v="1"/>
    <b v="0"/>
    <b v="1"/>
    <s v="Female"/>
    <x v="0"/>
    <x v="0"/>
    <n v="50"/>
    <x v="2"/>
    <n v="0.1"/>
    <n v="45"/>
    <x v="0"/>
    <s v="San Jose, CA"/>
    <n v="37.338200000000001"/>
    <n v="-121.88630000000001"/>
    <d v="2022-08-03T00:00:00"/>
    <n v="0"/>
    <x v="0"/>
    <d v="2025-05-24T00:00:00"/>
    <s v="40–49"/>
    <s v="40–49"/>
  </r>
  <r>
    <n v="16"/>
    <x v="3"/>
    <n v="5"/>
    <s v="Fri, Mon, Thu, Tue, Wed"/>
    <b v="0"/>
    <d v="1899-12-30T16:39:00"/>
    <d v="1899-12-30T18:30:00"/>
    <n v="111"/>
    <x v="1"/>
    <b v="0"/>
    <b v="0"/>
    <s v="Male"/>
    <x v="3"/>
    <x v="0"/>
    <n v="70"/>
    <x v="0"/>
    <n v="0.05"/>
    <n v="66.5"/>
    <x v="3"/>
    <s v="Fresno, CA"/>
    <n v="36.7378"/>
    <n v="-119.7871"/>
    <d v="2024-04-09T00:00:00"/>
    <n v="0"/>
    <x v="0"/>
    <d v="2025-06-28T00:00:00"/>
    <s v="10–19"/>
    <s v="16–19"/>
  </r>
  <r>
    <n v="28"/>
    <x v="1"/>
    <n v="3"/>
    <s v="Sat, Thu, Wed"/>
    <b v="0"/>
    <d v="1899-12-30T10:48:00"/>
    <d v="1899-12-30T12:09:00"/>
    <n v="81"/>
    <x v="0"/>
    <b v="0"/>
    <b v="0"/>
    <s v="Male"/>
    <x v="1"/>
    <x v="0"/>
    <n v="30"/>
    <x v="0"/>
    <n v="0.05"/>
    <n v="28.5"/>
    <x v="1"/>
    <s v="Long Beach, CA"/>
    <n v="33.770099999999999"/>
    <n v="-118.19370000000001"/>
    <d v="2024-05-22T00:00:00"/>
    <n v="0"/>
    <x v="1"/>
    <d v="2025-06-30T00:00:00"/>
    <s v="20–29"/>
    <s v="20–29"/>
  </r>
  <r>
    <n v="27"/>
    <x v="0"/>
    <n v="1"/>
    <s v="Thu"/>
    <b v="0"/>
    <d v="1899-12-30T14:17:00"/>
    <d v="1899-12-30T15:42:00"/>
    <n v="85"/>
    <x v="0"/>
    <b v="0"/>
    <b v="0"/>
    <s v="Prefer not to say"/>
    <x v="0"/>
    <x v="1"/>
    <n v="37.5"/>
    <x v="0"/>
    <n v="0.05"/>
    <n v="35.625"/>
    <x v="0"/>
    <s v="Bakersfield, CA"/>
    <n v="35.3733"/>
    <n v="-119.0187"/>
    <d v="2023-03-19T00:00:00"/>
    <n v="0"/>
    <x v="0"/>
    <d v="2025-06-06T00:00:00"/>
    <s v="20–29"/>
    <s v="20–29"/>
  </r>
  <r>
    <n v="34"/>
    <x v="1"/>
    <n v="3"/>
    <s v="Mon, Tue, Wed"/>
    <b v="0"/>
    <d v="1899-12-30T11:15:00"/>
    <d v="1899-12-30T13:24:00"/>
    <n v="129"/>
    <x v="1"/>
    <b v="1"/>
    <b v="1"/>
    <s v="Female"/>
    <x v="1"/>
    <x v="0"/>
    <n v="30"/>
    <x v="0"/>
    <n v="0.05"/>
    <n v="28.5"/>
    <x v="1"/>
    <s v="San Francisco, CA"/>
    <n v="37.774900000000002"/>
    <n v="-122.4194"/>
    <d v="2024-06-25T00:00:00"/>
    <n v="5"/>
    <x v="0"/>
    <d v="2025-07-02T00:00:00"/>
    <s v="30–39"/>
    <s v="30–39"/>
  </r>
  <r>
    <n v="27"/>
    <x v="0"/>
    <n v="2"/>
    <s v="Mon, Thu"/>
    <b v="1"/>
    <d v="1899-12-30T20:32:00"/>
    <d v="1899-12-30T22:20:00"/>
    <n v="108"/>
    <x v="1"/>
    <b v="0"/>
    <b v="0"/>
    <s v="Other (self-described)"/>
    <x v="0"/>
    <x v="2"/>
    <n v="45"/>
    <x v="1"/>
    <n v="0"/>
    <n v="45"/>
    <x v="0"/>
    <s v="Long Beach, CA"/>
    <n v="33.770099999999999"/>
    <n v="-118.19370000000001"/>
    <d v="2022-10-05T00:00:00"/>
    <n v="0"/>
    <x v="0"/>
    <d v="2025-05-28T00:00:00"/>
    <s v="20–29"/>
    <s v="20–29"/>
  </r>
  <r>
    <n v="49"/>
    <x v="0"/>
    <n v="3"/>
    <s v="Fri, Thu, Wed"/>
    <b v="1"/>
    <d v="1899-12-30T20:30:00"/>
    <d v="1899-12-30T21:24:00"/>
    <n v="54"/>
    <x v="1"/>
    <b v="1"/>
    <b v="1"/>
    <s v="Male"/>
    <x v="0"/>
    <x v="0"/>
    <n v="50"/>
    <x v="2"/>
    <n v="0.1"/>
    <n v="45"/>
    <x v="0"/>
    <s v="San Jose, CA"/>
    <n v="37.338200000000001"/>
    <n v="-121.88630000000001"/>
    <d v="2022-12-21T00:00:00"/>
    <n v="3"/>
    <x v="1"/>
    <d v="2025-06-01T00:00:00"/>
    <s v="40–49"/>
    <s v="40–49"/>
  </r>
  <r>
    <n v="45"/>
    <x v="0"/>
    <n v="3"/>
    <s v="Sun, Tue, Wed"/>
    <b v="0"/>
    <d v="1899-12-30T11:20:00"/>
    <d v="1899-12-30T14:08:00"/>
    <n v="168"/>
    <x v="0"/>
    <b v="1"/>
    <b v="1"/>
    <s v="Male"/>
    <x v="0"/>
    <x v="0"/>
    <n v="50"/>
    <x v="1"/>
    <n v="0"/>
    <n v="50"/>
    <x v="0"/>
    <s v="San Francisco, CA"/>
    <n v="37.774900000000002"/>
    <n v="-122.4194"/>
    <d v="2024-03-23T00:00:00"/>
    <n v="3"/>
    <x v="0"/>
    <d v="2025-06-27T00:00:00"/>
    <s v="40–49"/>
    <s v="40–49"/>
  </r>
  <r>
    <n v="49"/>
    <x v="2"/>
    <n v="3"/>
    <s v="Mon, Sat, Sun"/>
    <b v="0"/>
    <d v="1899-12-30T19:44:00"/>
    <d v="1899-12-30T20:26:00"/>
    <n v="42"/>
    <x v="1"/>
    <b v="1"/>
    <b v="1"/>
    <s v="Male"/>
    <x v="2"/>
    <x v="0"/>
    <n v="20"/>
    <x v="1"/>
    <n v="0"/>
    <n v="20"/>
    <x v="2"/>
    <s v="Sacramento, CA"/>
    <n v="38.581600000000002"/>
    <n v="-121.4944"/>
    <d v="2023-04-15T00:00:00"/>
    <n v="2"/>
    <x v="1"/>
    <d v="2025-06-07T00:00:00"/>
    <s v="40–49"/>
    <s v="40–49"/>
  </r>
  <r>
    <n v="42"/>
    <x v="0"/>
    <n v="2"/>
    <s v="Thu, Tue"/>
    <b v="0"/>
    <d v="1899-12-30T19:18:00"/>
    <d v="1899-12-30T21:39:00"/>
    <n v="141"/>
    <x v="0"/>
    <b v="1"/>
    <b v="1"/>
    <s v="Female"/>
    <x v="0"/>
    <x v="0"/>
    <n v="50"/>
    <x v="1"/>
    <n v="0"/>
    <n v="50"/>
    <x v="0"/>
    <s v="Bakersfield, CA"/>
    <n v="35.3733"/>
    <n v="-119.0187"/>
    <d v="2023-04-11T00:00:00"/>
    <n v="3"/>
    <x v="0"/>
    <d v="2025-06-07T00:00:00"/>
    <s v="40–49"/>
    <s v="40–49"/>
  </r>
  <r>
    <n v="27"/>
    <x v="1"/>
    <n v="2"/>
    <s v="Tue, Wed"/>
    <b v="0"/>
    <d v="1899-12-30T18:28:00"/>
    <d v="1899-12-30T20:20:00"/>
    <n v="112"/>
    <x v="1"/>
    <b v="0"/>
    <b v="0"/>
    <s v="Male"/>
    <x v="1"/>
    <x v="0"/>
    <n v="30"/>
    <x v="3"/>
    <n v="0.15"/>
    <n v="25.5"/>
    <x v="1"/>
    <s v="Sacramento, CA"/>
    <n v="38.581600000000002"/>
    <n v="-121.4944"/>
    <d v="2025-03-05T00:00:00"/>
    <n v="0"/>
    <x v="1"/>
    <d v="2025-07-16T00:00:00"/>
    <s v="20–29"/>
    <s v="20–29"/>
  </r>
  <r>
    <n v="38"/>
    <x v="3"/>
    <n v="3"/>
    <s v="Fri, Tue, Wed"/>
    <b v="1"/>
    <d v="1899-12-30T12:46:00"/>
    <d v="1899-12-30T13:49:00"/>
    <n v="63"/>
    <x v="1"/>
    <b v="1"/>
    <b v="1"/>
    <s v="Female"/>
    <x v="3"/>
    <x v="2"/>
    <n v="63"/>
    <x v="1"/>
    <n v="0"/>
    <n v="63"/>
    <x v="3"/>
    <s v="Sacramento, CA"/>
    <n v="38.581600000000002"/>
    <n v="-121.4944"/>
    <d v="2022-11-04T00:00:00"/>
    <n v="8"/>
    <x v="0"/>
    <d v="2025-05-29T00:00:00"/>
    <s v="30–39"/>
    <s v="30–39"/>
  </r>
  <r>
    <n v="21"/>
    <x v="0"/>
    <n v="2"/>
    <s v="Fri, Thu"/>
    <b v="1"/>
    <d v="1899-12-30T19:59:00"/>
    <d v="1899-12-30T20:43:00"/>
    <n v="44"/>
    <x v="0"/>
    <b v="1"/>
    <b v="0"/>
    <s v="Non-binary"/>
    <x v="0"/>
    <x v="0"/>
    <n v="50"/>
    <x v="0"/>
    <n v="0.05"/>
    <n v="47.5"/>
    <x v="0"/>
    <s v="San Diego, CA"/>
    <n v="32.715699999999998"/>
    <n v="-117.1611"/>
    <d v="2024-01-01T00:00:00"/>
    <n v="6"/>
    <x v="0"/>
    <d v="2025-06-22T00:00:00"/>
    <s v="20–29"/>
    <s v="20–29"/>
  </r>
  <r>
    <n v="29"/>
    <x v="1"/>
    <n v="2"/>
    <s v="Sat, Tue"/>
    <b v="1"/>
    <d v="1899-12-30T20:00:00"/>
    <d v="1899-12-30T21:50:00"/>
    <n v="110"/>
    <x v="1"/>
    <b v="1"/>
    <b v="0"/>
    <s v="Female"/>
    <x v="1"/>
    <x v="0"/>
    <n v="30"/>
    <x v="1"/>
    <n v="0"/>
    <n v="30"/>
    <x v="1"/>
    <s v="San Diego, CA"/>
    <n v="32.715699999999998"/>
    <n v="-117.1611"/>
    <d v="2023-01-24T00:00:00"/>
    <n v="1"/>
    <x v="1"/>
    <d v="2025-06-03T00:00:00"/>
    <s v="20–29"/>
    <s v="20–29"/>
  </r>
  <r>
    <n v="33"/>
    <x v="0"/>
    <n v="3"/>
    <s v="Fri, Mon, Wed"/>
    <b v="1"/>
    <d v="1899-12-30T13:11:00"/>
    <d v="1899-12-30T15:56:00"/>
    <n v="165"/>
    <x v="1"/>
    <b v="0"/>
    <b v="0"/>
    <s v="Male"/>
    <x v="0"/>
    <x v="0"/>
    <n v="50"/>
    <x v="0"/>
    <n v="0.05"/>
    <n v="47.5"/>
    <x v="0"/>
    <s v="Sacramento, CA"/>
    <n v="38.581600000000002"/>
    <n v="-121.4944"/>
    <d v="2024-07-17T00:00:00"/>
    <n v="0"/>
    <x v="0"/>
    <d v="2025-07-03T00:00:00"/>
    <s v="30–39"/>
    <s v="30–39"/>
  </r>
  <r>
    <n v="22"/>
    <x v="2"/>
    <n v="5"/>
    <s v="Fri, Sun, Thu, Tue, Wed"/>
    <b v="0"/>
    <d v="1899-12-30T09:16:00"/>
    <d v="1899-12-30T12:08:00"/>
    <n v="172"/>
    <x v="0"/>
    <b v="1"/>
    <b v="0"/>
    <s v="Male"/>
    <x v="2"/>
    <x v="2"/>
    <n v="18"/>
    <x v="1"/>
    <n v="0"/>
    <n v="18"/>
    <x v="2"/>
    <s v="Oakland, CA"/>
    <n v="37.804400000000001"/>
    <n v="-122.27119999999999"/>
    <d v="2022-11-12T00:00:00"/>
    <n v="4"/>
    <x v="1"/>
    <d v="2025-05-30T00:00:00"/>
    <s v="20–29"/>
    <s v="20–29"/>
  </r>
  <r>
    <n v="37"/>
    <x v="0"/>
    <n v="1"/>
    <s v="Fri"/>
    <b v="1"/>
    <d v="1899-12-30T10:36:00"/>
    <d v="1899-12-30T11:56:00"/>
    <n v="80"/>
    <x v="1"/>
    <b v="0"/>
    <b v="1"/>
    <s v="Male"/>
    <x v="0"/>
    <x v="0"/>
    <n v="50"/>
    <x v="1"/>
    <n v="0"/>
    <n v="50"/>
    <x v="0"/>
    <s v="Oakland, CA"/>
    <n v="37.804400000000001"/>
    <n v="-122.27119999999999"/>
    <d v="2024-05-04T00:00:00"/>
    <n v="0"/>
    <x v="0"/>
    <d v="2025-06-29T00:00:00"/>
    <s v="30–39"/>
    <s v="30–39"/>
  </r>
  <r>
    <n v="40"/>
    <x v="0"/>
    <n v="2"/>
    <s v="Sat, Thu"/>
    <b v="0"/>
    <d v="1899-12-30T08:39:00"/>
    <d v="1899-12-30T10:37:00"/>
    <n v="118"/>
    <x v="0"/>
    <b v="0"/>
    <b v="0"/>
    <s v="Male"/>
    <x v="0"/>
    <x v="0"/>
    <n v="50"/>
    <x v="0"/>
    <n v="0.05"/>
    <n v="47.5"/>
    <x v="0"/>
    <s v="San Jose, CA"/>
    <n v="37.338200000000001"/>
    <n v="-121.88630000000001"/>
    <d v="2025-06-11T00:00:00"/>
    <n v="0"/>
    <x v="0"/>
    <d v="2025-07-22T00:00:00"/>
    <s v="40–49"/>
    <s v="40–49"/>
  </r>
  <r>
    <n v="29"/>
    <x v="0"/>
    <n v="2"/>
    <s v="Fri, Mon"/>
    <b v="1"/>
    <d v="1899-12-30T20:15:00"/>
    <d v="1899-12-30T22:05:00"/>
    <n v="110"/>
    <x v="0"/>
    <b v="0"/>
    <b v="1"/>
    <s v="Prefer not to say"/>
    <x v="0"/>
    <x v="0"/>
    <n v="50"/>
    <x v="3"/>
    <n v="0.15"/>
    <n v="42.5"/>
    <x v="0"/>
    <s v="Fresno, CA"/>
    <n v="36.7378"/>
    <n v="-119.7871"/>
    <d v="2022-11-01T00:00:00"/>
    <n v="0"/>
    <x v="1"/>
    <d v="2025-05-29T00:00:00"/>
    <s v="20–29"/>
    <s v="20–29"/>
  </r>
  <r>
    <n v="23"/>
    <x v="0"/>
    <n v="2"/>
    <s v="Tue, Wed"/>
    <b v="1"/>
    <d v="1899-12-30T17:37:00"/>
    <d v="1899-12-30T19:57:00"/>
    <n v="140"/>
    <x v="1"/>
    <b v="1"/>
    <b v="1"/>
    <s v="Other (self-described)"/>
    <x v="0"/>
    <x v="1"/>
    <n v="37.5"/>
    <x v="0"/>
    <n v="0.05"/>
    <n v="35.625"/>
    <x v="0"/>
    <s v="San Francisco, CA"/>
    <n v="37.774900000000002"/>
    <n v="-122.4194"/>
    <d v="2025-03-17T00:00:00"/>
    <n v="1"/>
    <x v="1"/>
    <d v="2025-07-17T00:00:00"/>
    <s v="20–29"/>
    <s v="20–29"/>
  </r>
  <r>
    <n v="12"/>
    <x v="1"/>
    <n v="2"/>
    <s v="Sat, Wed"/>
    <b v="1"/>
    <d v="1899-12-30T13:58:00"/>
    <d v="1899-12-30T15:56:00"/>
    <n v="118"/>
    <x v="1"/>
    <b v="1"/>
    <b v="1"/>
    <s v="Non-binary"/>
    <x v="1"/>
    <x v="0"/>
    <n v="30"/>
    <x v="0"/>
    <n v="0.05"/>
    <n v="28.5"/>
    <x v="1"/>
    <s v="Anaheim, CA"/>
    <n v="33.836599999999997"/>
    <n v="-117.9143"/>
    <d v="2024-07-17T00:00:00"/>
    <n v="7"/>
    <x v="1"/>
    <d v="2025-07-03T00:00:00"/>
    <s v="10–19"/>
    <s v="Under 16"/>
  </r>
  <r>
    <n v="40"/>
    <x v="1"/>
    <n v="3"/>
    <s v="Fri, Sun, Tue"/>
    <b v="0"/>
    <d v="1899-12-30T11:18:00"/>
    <d v="1899-12-30T14:09:00"/>
    <n v="171"/>
    <x v="0"/>
    <b v="1"/>
    <b v="1"/>
    <s v="Male"/>
    <x v="1"/>
    <x v="1"/>
    <n v="22.5"/>
    <x v="1"/>
    <n v="0"/>
    <n v="22.5"/>
    <x v="1"/>
    <s v="Anaheim, CA"/>
    <n v="33.836599999999997"/>
    <n v="-117.9143"/>
    <d v="2022-09-15T00:00:00"/>
    <n v="8"/>
    <x v="1"/>
    <d v="2025-05-26T00:00:00"/>
    <s v="40–49"/>
    <s v="40–49"/>
  </r>
  <r>
    <n v="27"/>
    <x v="1"/>
    <n v="5"/>
    <s v="Fri, Mon, Sun, Tue, Wed"/>
    <b v="0"/>
    <d v="1899-12-30T18:22:00"/>
    <d v="1899-12-30T19:04:00"/>
    <n v="42"/>
    <x v="0"/>
    <b v="0"/>
    <b v="0"/>
    <s v="Non-binary"/>
    <x v="1"/>
    <x v="1"/>
    <n v="22.5"/>
    <x v="1"/>
    <n v="0"/>
    <n v="22.5"/>
    <x v="1"/>
    <s v="Long Beach, CA"/>
    <n v="33.770099999999999"/>
    <n v="-118.19370000000001"/>
    <d v="2022-09-14T00:00:00"/>
    <n v="0"/>
    <x v="1"/>
    <d v="2025-05-26T00:00:00"/>
    <s v="20–29"/>
    <s v="20–29"/>
  </r>
  <r>
    <n v="34"/>
    <x v="1"/>
    <n v="3"/>
    <s v="Fri, Tue, Wed"/>
    <b v="0"/>
    <d v="1899-12-30T14:36:00"/>
    <d v="1899-12-30T15:56:00"/>
    <n v="80"/>
    <x v="0"/>
    <b v="1"/>
    <b v="0"/>
    <s v="Non-binary"/>
    <x v="1"/>
    <x v="0"/>
    <n v="30"/>
    <x v="3"/>
    <n v="0.15"/>
    <n v="25.5"/>
    <x v="1"/>
    <s v="Long Beach, CA"/>
    <n v="33.770099999999999"/>
    <n v="-118.19370000000001"/>
    <d v="2023-10-21T00:00:00"/>
    <n v="8"/>
    <x v="1"/>
    <d v="2025-06-18T00:00:00"/>
    <s v="30–39"/>
    <s v="30–39"/>
  </r>
  <r>
    <n v="14"/>
    <x v="0"/>
    <n v="3"/>
    <s v="Fri, Tue, Wed"/>
    <b v="0"/>
    <d v="1899-12-30T20:52:00"/>
    <d v="1899-12-30T22:02:00"/>
    <n v="70"/>
    <x v="1"/>
    <b v="1"/>
    <b v="1"/>
    <s v="Female"/>
    <x v="0"/>
    <x v="0"/>
    <n v="50"/>
    <x v="3"/>
    <n v="0.15"/>
    <n v="42.5"/>
    <x v="0"/>
    <s v="Fresno, CA"/>
    <n v="36.7378"/>
    <n v="-119.7871"/>
    <d v="2023-08-20T00:00:00"/>
    <n v="5"/>
    <x v="0"/>
    <d v="2025-06-15T00:00:00"/>
    <s v="10–19"/>
    <s v="Under 16"/>
  </r>
  <r>
    <n v="43"/>
    <x v="0"/>
    <n v="1"/>
    <s v="Mon"/>
    <b v="0"/>
    <d v="1899-12-30T15:04:00"/>
    <d v="1899-12-30T17:05:00"/>
    <n v="121"/>
    <x v="0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4-03-02T00:00:00"/>
    <n v="8"/>
    <x v="0"/>
    <d v="2025-06-26T00:00:00"/>
    <s v="40–49"/>
    <s v="40–49"/>
  </r>
  <r>
    <n v="33"/>
    <x v="1"/>
    <n v="1"/>
    <s v="Wed"/>
    <b v="1"/>
    <d v="1899-12-30T16:41:00"/>
    <d v="1899-12-30T18:29:00"/>
    <n v="108"/>
    <x v="0"/>
    <b v="0"/>
    <b v="1"/>
    <s v="Non-binary"/>
    <x v="1"/>
    <x v="1"/>
    <n v="22.5"/>
    <x v="1"/>
    <n v="0"/>
    <n v="22.5"/>
    <x v="1"/>
    <s v="Oakland, CA"/>
    <n v="37.804400000000001"/>
    <n v="-122.27119999999999"/>
    <d v="2024-08-14T00:00:00"/>
    <n v="0"/>
    <x v="1"/>
    <d v="2025-07-05T00:00:00"/>
    <s v="30–39"/>
    <s v="30–39"/>
  </r>
  <r>
    <n v="13"/>
    <x v="1"/>
    <n v="3"/>
    <s v="Mon, Tue, Wed"/>
    <b v="0"/>
    <d v="1899-12-30T13:36:00"/>
    <d v="1899-12-30T14:08:00"/>
    <n v="32"/>
    <x v="0"/>
    <b v="1"/>
    <b v="0"/>
    <s v="Male"/>
    <x v="1"/>
    <x v="0"/>
    <n v="30"/>
    <x v="1"/>
    <n v="0"/>
    <n v="30"/>
    <x v="1"/>
    <s v="Oakland, CA"/>
    <n v="37.804400000000001"/>
    <n v="-122.27119999999999"/>
    <d v="2024-07-07T00:00:00"/>
    <n v="4"/>
    <x v="1"/>
    <d v="2025-07-03T00:00:00"/>
    <s v="10–19"/>
    <s v="Under 16"/>
  </r>
  <r>
    <n v="23"/>
    <x v="3"/>
    <n v="5"/>
    <s v="Mon, Sun, Thu, Tue, Wed"/>
    <b v="1"/>
    <d v="1899-12-30T20:57:00"/>
    <d v="1899-12-30T23:35:00"/>
    <n v="158"/>
    <x v="0"/>
    <b v="0"/>
    <b v="1"/>
    <s v="Non-binary"/>
    <x v="3"/>
    <x v="0"/>
    <n v="70"/>
    <x v="1"/>
    <n v="0"/>
    <n v="70"/>
    <x v="3"/>
    <s v="Anaheim, CA"/>
    <n v="33.836599999999997"/>
    <n v="-117.9143"/>
    <d v="2023-07-07T00:00:00"/>
    <n v="0"/>
    <x v="0"/>
    <d v="2025-06-12T00:00:00"/>
    <s v="20–29"/>
    <s v="20–29"/>
  </r>
  <r>
    <n v="22"/>
    <x v="2"/>
    <n v="1"/>
    <s v="Sun"/>
    <b v="1"/>
    <d v="1899-12-30T12:27:00"/>
    <d v="1899-12-30T14:03:00"/>
    <n v="96"/>
    <x v="1"/>
    <b v="0"/>
    <b v="1"/>
    <s v="Female"/>
    <x v="2"/>
    <x v="0"/>
    <n v="20"/>
    <x v="1"/>
    <n v="0"/>
    <n v="20"/>
    <x v="2"/>
    <s v="Oakland, CA"/>
    <n v="37.804400000000001"/>
    <n v="-122.27119999999999"/>
    <d v="2023-04-13T00:00:00"/>
    <n v="0"/>
    <x v="1"/>
    <d v="2025-06-07T00:00:00"/>
    <s v="20–29"/>
    <s v="20–29"/>
  </r>
  <r>
    <n v="18"/>
    <x v="2"/>
    <n v="2"/>
    <s v="Mon, Sat"/>
    <b v="0"/>
    <d v="1899-12-30T19:45:00"/>
    <d v="1899-12-30T22:44:00"/>
    <n v="179"/>
    <x v="0"/>
    <b v="1"/>
    <b v="0"/>
    <s v="Male"/>
    <x v="2"/>
    <x v="1"/>
    <n v="15"/>
    <x v="1"/>
    <n v="0"/>
    <n v="15"/>
    <x v="2"/>
    <s v="Bakersfield, CA"/>
    <n v="35.3733"/>
    <n v="-119.0187"/>
    <d v="2023-03-02T00:00:00"/>
    <n v="8"/>
    <x v="1"/>
    <d v="2025-06-05T00:00:00"/>
    <s v="10–19"/>
    <s v="16–1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3-03-05T00:00:00"/>
    <n v="3"/>
    <x v="1"/>
    <d v="2025-06-05T00:00:00"/>
    <s v="20–29"/>
    <s v="20–29"/>
  </r>
  <r>
    <n v="15"/>
    <x v="1"/>
    <n v="2"/>
    <s v="Mon, Thu"/>
    <b v="1"/>
    <d v="1899-12-30T19:07:00"/>
    <d v="1899-12-30T22:02:00"/>
    <n v="175"/>
    <x v="1"/>
    <b v="0"/>
    <b v="1"/>
    <s v="Male"/>
    <x v="1"/>
    <x v="2"/>
    <n v="27"/>
    <x v="1"/>
    <n v="0"/>
    <n v="27"/>
    <x v="1"/>
    <s v="Anaheim, CA"/>
    <n v="33.836599999999997"/>
    <n v="-117.9143"/>
    <d v="2025-03-17T00:00:00"/>
    <n v="0"/>
    <x v="0"/>
    <d v="2025-07-17T00:00:00"/>
    <s v="10–19"/>
    <s v="Under 16"/>
  </r>
  <r>
    <n v="14"/>
    <x v="0"/>
    <n v="3"/>
    <s v="Fri, Mon, Tue"/>
    <b v="1"/>
    <d v="1899-12-30T15:31:00"/>
    <d v="1899-12-30T18:22:00"/>
    <n v="171"/>
    <x v="0"/>
    <b v="0"/>
    <b v="1"/>
    <s v="Male"/>
    <x v="0"/>
    <x v="0"/>
    <n v="50"/>
    <x v="0"/>
    <n v="0.05"/>
    <n v="47.5"/>
    <x v="0"/>
    <s v="San Jose, CA"/>
    <n v="37.338200000000001"/>
    <n v="-121.88630000000001"/>
    <d v="2024-01-13T00:00:00"/>
    <n v="0"/>
    <x v="0"/>
    <d v="2025-06-23T00:00:00"/>
    <s v="10–19"/>
    <s v="Under 16"/>
  </r>
  <r>
    <n v="40"/>
    <x v="0"/>
    <n v="4"/>
    <s v="Sat, Sun, Thu, Tue"/>
    <b v="1"/>
    <d v="1899-12-30T19:35:00"/>
    <d v="1899-12-30T21:08:00"/>
    <n v="93"/>
    <x v="0"/>
    <b v="0"/>
    <b v="0"/>
    <s v="Prefer not to say"/>
    <x v="0"/>
    <x v="1"/>
    <n v="37.5"/>
    <x v="2"/>
    <n v="0.1"/>
    <n v="33.75"/>
    <x v="0"/>
    <s v="Fresno, CA"/>
    <n v="36.7378"/>
    <n v="-119.7871"/>
    <d v="2025-04-22T00:00:00"/>
    <n v="0"/>
    <x v="0"/>
    <d v="2025-07-19T00:00:00"/>
    <s v="40–49"/>
    <s v="40–49"/>
  </r>
  <r>
    <n v="35"/>
    <x v="1"/>
    <n v="2"/>
    <s v="Tue, Wed"/>
    <b v="0"/>
    <d v="1899-12-30T18:42:00"/>
    <d v="1899-12-30T21:41:00"/>
    <n v="179"/>
    <x v="0"/>
    <b v="1"/>
    <b v="1"/>
    <s v="Male"/>
    <x v="1"/>
    <x v="0"/>
    <n v="30"/>
    <x v="1"/>
    <n v="0"/>
    <n v="30"/>
    <x v="1"/>
    <s v="Sacramento, CA"/>
    <n v="38.581600000000002"/>
    <n v="-121.4944"/>
    <d v="2023-11-15T00:00:00"/>
    <n v="5"/>
    <x v="0"/>
    <d v="2025-06-20T00:00:00"/>
    <s v="30–39"/>
    <s v="30–39"/>
  </r>
  <r>
    <n v="22"/>
    <x v="2"/>
    <n v="4"/>
    <s v="Fri, Thu, Tue, Wed"/>
    <b v="0"/>
    <d v="1899-12-30T19:28:00"/>
    <d v="1899-12-30T22:18:00"/>
    <n v="170"/>
    <x v="1"/>
    <b v="1"/>
    <b v="0"/>
    <s v="Female"/>
    <x v="2"/>
    <x v="0"/>
    <n v="20"/>
    <x v="1"/>
    <n v="0"/>
    <n v="20"/>
    <x v="2"/>
    <s v="Los Angeles, CA"/>
    <n v="34.052199999999999"/>
    <n v="-118.2437"/>
    <d v="2024-03-09T00:00:00"/>
    <n v="4"/>
    <x v="1"/>
    <d v="2025-06-26T00:00:00"/>
    <s v="20–29"/>
    <s v="20–29"/>
  </r>
  <r>
    <n v="20"/>
    <x v="2"/>
    <n v="4"/>
    <s v="Fri, Mon, Sun, Wed"/>
    <b v="0"/>
    <d v="1899-12-30T17:12:00"/>
    <d v="1899-12-30T18:19:00"/>
    <n v="67"/>
    <x v="0"/>
    <b v="0"/>
    <b v="1"/>
    <s v="Male"/>
    <x v="2"/>
    <x v="1"/>
    <n v="15"/>
    <x v="1"/>
    <n v="0"/>
    <n v="15"/>
    <x v="2"/>
    <s v="San Diego, CA"/>
    <n v="32.715699999999998"/>
    <n v="-117.1611"/>
    <d v="2022-11-20T00:00:00"/>
    <n v="0"/>
    <x v="1"/>
    <d v="2025-05-30T00:00:00"/>
    <s v="20–29"/>
    <s v="20–29"/>
  </r>
  <r>
    <n v="49"/>
    <x v="1"/>
    <n v="3"/>
    <s v="Fri, Sat, Thu"/>
    <b v="1"/>
    <d v="1899-12-30T20:40:00"/>
    <d v="1899-12-30T21:24:00"/>
    <n v="44"/>
    <x v="0"/>
    <b v="1"/>
    <b v="0"/>
    <s v="Female"/>
    <x v="1"/>
    <x v="0"/>
    <n v="30"/>
    <x v="1"/>
    <n v="0"/>
    <n v="30"/>
    <x v="1"/>
    <s v="San Diego, CA"/>
    <n v="32.715699999999998"/>
    <n v="-117.1611"/>
    <d v="2024-06-14T00:00:00"/>
    <n v="6"/>
    <x v="0"/>
    <d v="2025-07-01T00:00:00"/>
    <s v="40–49"/>
    <s v="40–49"/>
  </r>
  <r>
    <n v="20"/>
    <x v="1"/>
    <n v="3"/>
    <s v="Fri, Thu, Wed"/>
    <b v="0"/>
    <d v="1899-12-30T15:28:00"/>
    <d v="1899-12-30T17:58:00"/>
    <n v="150"/>
    <x v="1"/>
    <b v="0"/>
    <b v="1"/>
    <s v="Female"/>
    <x v="1"/>
    <x v="2"/>
    <n v="27"/>
    <x v="3"/>
    <n v="0.15"/>
    <n v="22.95"/>
    <x v="1"/>
    <s v="Fresno, CA"/>
    <n v="36.7378"/>
    <n v="-119.7871"/>
    <d v="2025-02-18T00:00:00"/>
    <n v="0"/>
    <x v="1"/>
    <d v="2025-07-15T00:00:00"/>
    <s v="20–29"/>
    <s v="20–29"/>
  </r>
  <r>
    <n v="49"/>
    <x v="2"/>
    <n v="3"/>
    <s v="Mon, Sun, Wed"/>
    <b v="0"/>
    <d v="1899-12-30T19:37:00"/>
    <d v="1899-12-30T21:31:00"/>
    <n v="114"/>
    <x v="1"/>
    <b v="0"/>
    <b v="0"/>
    <s v="Male"/>
    <x v="2"/>
    <x v="0"/>
    <n v="20"/>
    <x v="3"/>
    <n v="0.15"/>
    <n v="17"/>
    <x v="2"/>
    <s v="Anaheim, CA"/>
    <n v="33.836599999999997"/>
    <n v="-117.9143"/>
    <d v="2025-01-21T00:00:00"/>
    <n v="0"/>
    <x v="1"/>
    <d v="2025-07-14T00:00:00"/>
    <s v="40–49"/>
    <s v="40–49"/>
  </r>
  <r>
    <n v="49"/>
    <x v="3"/>
    <n v="5"/>
    <s v="Sat, Sun, Thu, Tue, Wed"/>
    <b v="1"/>
    <d v="1899-12-30T08:15:00"/>
    <d v="1899-12-30T08:50:00"/>
    <n v="35"/>
    <x v="0"/>
    <b v="0"/>
    <b v="0"/>
    <s v="Male"/>
    <x v="3"/>
    <x v="0"/>
    <n v="70"/>
    <x v="1"/>
    <n v="0"/>
    <n v="70"/>
    <x v="3"/>
    <s v="Los Angeles, CA"/>
    <n v="34.052199999999999"/>
    <n v="-118.2437"/>
    <d v="2023-04-03T00:00:00"/>
    <n v="0"/>
    <x v="0"/>
    <d v="2025-06-07T00:00:00"/>
    <s v="40–49"/>
    <s v="40–49"/>
  </r>
  <r>
    <n v="44"/>
    <x v="1"/>
    <n v="2"/>
    <s v="Tue, Wed"/>
    <b v="0"/>
    <d v="1899-12-30T11:53:00"/>
    <d v="1899-12-30T12:48:00"/>
    <n v="55"/>
    <x v="0"/>
    <b v="0"/>
    <b v="0"/>
    <s v="Male"/>
    <x v="1"/>
    <x v="1"/>
    <n v="22.5"/>
    <x v="2"/>
    <n v="0.1"/>
    <n v="20.25"/>
    <x v="1"/>
    <s v="San Diego, CA"/>
    <n v="32.715699999999998"/>
    <n v="-117.1611"/>
    <d v="2023-09-03T00:00:00"/>
    <n v="0"/>
    <x v="1"/>
    <d v="2025-06-15T00:00:00"/>
    <s v="40–49"/>
    <s v="40–49"/>
  </r>
  <r>
    <n v="22"/>
    <x v="2"/>
    <n v="5"/>
    <s v="Fri, Sat, Sun, Tue, Wed"/>
    <b v="1"/>
    <d v="1899-12-30T10:31:00"/>
    <d v="1899-12-30T11:48:00"/>
    <n v="77"/>
    <x v="1"/>
    <b v="1"/>
    <b v="0"/>
    <s v="Male"/>
    <x v="2"/>
    <x v="1"/>
    <n v="15"/>
    <x v="0"/>
    <n v="0.05"/>
    <n v="14.25"/>
    <x v="2"/>
    <s v="Anaheim, CA"/>
    <n v="33.836599999999997"/>
    <n v="-117.9143"/>
    <d v="2025-03-07T00:00:00"/>
    <n v="6"/>
    <x v="1"/>
    <d v="2025-07-16T00:00:00"/>
    <s v="20–29"/>
    <s v="20–29"/>
  </r>
  <r>
    <n v="36"/>
    <x v="0"/>
    <n v="2"/>
    <s v="Sat, Wed"/>
    <b v="0"/>
    <d v="1899-12-30T16:49:00"/>
    <d v="1899-12-30T19:10:00"/>
    <n v="141"/>
    <x v="0"/>
    <b v="1"/>
    <b v="1"/>
    <s v="Female"/>
    <x v="0"/>
    <x v="1"/>
    <n v="37.5"/>
    <x v="3"/>
    <n v="0.15"/>
    <n v="31.875"/>
    <x v="0"/>
    <s v="Oakland, CA"/>
    <n v="37.804400000000001"/>
    <n v="-122.27119999999999"/>
    <d v="2025-03-25T00:00:00"/>
    <n v="6"/>
    <x v="0"/>
    <d v="2025-07-17T00:00:00"/>
    <s v="30–39"/>
    <s v="30–39"/>
  </r>
  <r>
    <n v="32"/>
    <x v="2"/>
    <n v="3"/>
    <s v="Fri, Mon, Thu"/>
    <b v="0"/>
    <d v="1899-12-30T08:13:00"/>
    <d v="1899-12-30T09:06:00"/>
    <n v="53"/>
    <x v="1"/>
    <b v="0"/>
    <b v="0"/>
    <s v="Male"/>
    <x v="2"/>
    <x v="1"/>
    <n v="15"/>
    <x v="1"/>
    <n v="0"/>
    <n v="15"/>
    <x v="2"/>
    <s v="San Francisco, CA"/>
    <n v="37.774900000000002"/>
    <n v="-122.4194"/>
    <d v="2023-06-07T00:00:00"/>
    <n v="0"/>
    <x v="1"/>
    <d v="2025-06-10T00:00:00"/>
    <s v="30–39"/>
    <s v="30–39"/>
  </r>
  <r>
    <n v="29"/>
    <x v="1"/>
    <n v="3"/>
    <s v="Mon, Sat, Thu"/>
    <b v="0"/>
    <d v="1899-12-30T15:05:00"/>
    <d v="1899-12-30T16:19:00"/>
    <n v="74"/>
    <x v="0"/>
    <b v="1"/>
    <b v="1"/>
    <s v="Non-binary"/>
    <x v="1"/>
    <x v="0"/>
    <n v="30"/>
    <x v="1"/>
    <n v="0"/>
    <n v="30"/>
    <x v="1"/>
    <s v="San Diego, CA"/>
    <n v="32.715699999999998"/>
    <n v="-117.1611"/>
    <d v="2025-04-06T00:00:00"/>
    <n v="6"/>
    <x v="1"/>
    <d v="2025-07-18T00:00:00"/>
    <s v="20–29"/>
    <s v="20–29"/>
  </r>
  <r>
    <n v="49"/>
    <x v="1"/>
    <n v="2"/>
    <s v="Sat, Wed"/>
    <b v="0"/>
    <d v="1899-12-30T15:41:00"/>
    <d v="1899-12-30T17:45:00"/>
    <n v="124"/>
    <x v="1"/>
    <b v="0"/>
    <b v="0"/>
    <s v="Male"/>
    <x v="1"/>
    <x v="0"/>
    <n v="30"/>
    <x v="2"/>
    <n v="0.1"/>
    <n v="27"/>
    <x v="1"/>
    <s v="Los Angeles, CA"/>
    <n v="34.052199999999999"/>
    <n v="-118.2437"/>
    <d v="2023-01-29T00:00:00"/>
    <n v="0"/>
    <x v="1"/>
    <d v="2025-06-03T00:00:00"/>
    <s v="40–49"/>
    <s v="40–49"/>
  </r>
  <r>
    <n v="24"/>
    <x v="0"/>
    <n v="1"/>
    <s v="Thu"/>
    <b v="1"/>
    <d v="1899-12-30T08:58:00"/>
    <d v="1899-12-30T11:53:00"/>
    <n v="175"/>
    <x v="0"/>
    <b v="1"/>
    <b v="1"/>
    <s v="Male"/>
    <x v="0"/>
    <x v="1"/>
    <n v="37.5"/>
    <x v="1"/>
    <n v="0"/>
    <n v="37.5"/>
    <x v="0"/>
    <s v="Long Beach, CA"/>
    <n v="33.770099999999999"/>
    <n v="-118.19370000000001"/>
    <d v="2023-06-01T00:00:00"/>
    <n v="3"/>
    <x v="0"/>
    <d v="2025-06-10T00:00:00"/>
    <s v="20–29"/>
    <s v="20–2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5-03-28T00:00:00"/>
    <n v="8"/>
    <x v="0"/>
    <d v="2025-07-18T00:00:00"/>
    <s v="20–29"/>
    <s v="20–29"/>
  </r>
  <r>
    <n v="47"/>
    <x v="0"/>
    <n v="3"/>
    <s v="Mon, Sat, Wed"/>
    <b v="0"/>
    <d v="1899-12-30T19:31:00"/>
    <d v="1899-12-30T20:19:00"/>
    <n v="48"/>
    <x v="0"/>
    <b v="1"/>
    <b v="0"/>
    <s v="Other (self-described)"/>
    <x v="0"/>
    <x v="0"/>
    <n v="50"/>
    <x v="3"/>
    <n v="0.15"/>
    <n v="42.5"/>
    <x v="0"/>
    <s v="San Jose, CA"/>
    <n v="37.338200000000001"/>
    <n v="-121.88630000000001"/>
    <d v="2025-03-24T00:00:00"/>
    <n v="1"/>
    <x v="1"/>
    <d v="2025-07-17T00:00:00"/>
    <s v="40–49"/>
    <s v="40–49"/>
  </r>
  <r>
    <n v="41"/>
    <x v="2"/>
    <n v="3"/>
    <s v="Sun, Thu, Wed"/>
    <b v="1"/>
    <d v="1899-12-30T15:40:00"/>
    <d v="1899-12-30T17:21:00"/>
    <n v="101"/>
    <x v="1"/>
    <b v="1"/>
    <b v="0"/>
    <s v="Female"/>
    <x v="2"/>
    <x v="0"/>
    <n v="20"/>
    <x v="2"/>
    <n v="0.1"/>
    <n v="18"/>
    <x v="2"/>
    <s v="Los Angeles, CA"/>
    <n v="34.052199999999999"/>
    <n v="-118.2437"/>
    <d v="2022-08-07T00:00:00"/>
    <n v="4"/>
    <x v="0"/>
    <d v="2025-05-24T00:00:00"/>
    <s v="40–49"/>
    <s v="40–49"/>
  </r>
  <r>
    <n v="32"/>
    <x v="1"/>
    <n v="3"/>
    <s v="Fri, Sun, Thu"/>
    <b v="0"/>
    <d v="1899-12-30T14:23:00"/>
    <d v="1899-12-30T15:48:00"/>
    <n v="85"/>
    <x v="1"/>
    <b v="0"/>
    <b v="0"/>
    <s v="Prefer not to say"/>
    <x v="1"/>
    <x v="0"/>
    <n v="30"/>
    <x v="1"/>
    <n v="0"/>
    <n v="30"/>
    <x v="1"/>
    <s v="Long Beach, CA"/>
    <n v="33.770099999999999"/>
    <n v="-118.19370000000001"/>
    <d v="2024-05-20T00:00:00"/>
    <n v="0"/>
    <x v="1"/>
    <d v="2025-06-30T00:00:00"/>
    <s v="30–39"/>
    <s v="30–39"/>
  </r>
  <r>
    <n v="42"/>
    <x v="2"/>
    <n v="3"/>
    <s v="Mon, Sat, Thu"/>
    <b v="0"/>
    <d v="1899-12-30T16:20:00"/>
    <d v="1899-12-30T17:20:00"/>
    <n v="60"/>
    <x v="1"/>
    <b v="1"/>
    <b v="0"/>
    <s v="Male"/>
    <x v="2"/>
    <x v="0"/>
    <n v="20"/>
    <x v="0"/>
    <n v="0.05"/>
    <n v="19"/>
    <x v="2"/>
    <s v="San Jose, CA"/>
    <n v="37.338200000000001"/>
    <n v="-121.88630000000001"/>
    <d v="2024-05-24T00:00:00"/>
    <n v="3"/>
    <x v="0"/>
    <d v="2025-06-30T00:00:00"/>
    <s v="40–49"/>
    <s v="40–49"/>
  </r>
  <r>
    <n v="39"/>
    <x v="0"/>
    <n v="5"/>
    <s v="Mon, Sat, Sun, Tue, Wed"/>
    <b v="1"/>
    <d v="1899-12-30T09:42:00"/>
    <d v="1899-12-30T12:23:00"/>
    <n v="161"/>
    <x v="1"/>
    <b v="1"/>
    <b v="0"/>
    <s v="Male"/>
    <x v="0"/>
    <x v="0"/>
    <n v="50"/>
    <x v="3"/>
    <n v="0.15"/>
    <n v="42.5"/>
    <x v="0"/>
    <s v="Bakersfield, CA"/>
    <n v="35.3733"/>
    <n v="-119.0187"/>
    <d v="2023-02-08T00:00:00"/>
    <n v="6"/>
    <x v="0"/>
    <d v="2025-06-04T00:00:00"/>
    <s v="30–39"/>
    <s v="30–39"/>
  </r>
  <r>
    <n v="44"/>
    <x v="1"/>
    <n v="2"/>
    <s v="Tue, Wed"/>
    <b v="0"/>
    <d v="1899-12-30T11:53:00"/>
    <d v="1899-12-30T12:48:00"/>
    <n v="55"/>
    <x v="0"/>
    <b v="0"/>
    <b v="0"/>
    <s v="Male"/>
    <x v="1"/>
    <x v="1"/>
    <n v="22.5"/>
    <x v="2"/>
    <n v="0.1"/>
    <n v="20.25"/>
    <x v="1"/>
    <s v="San Diego, CA"/>
    <n v="32.715699999999998"/>
    <n v="-117.1611"/>
    <d v="2022-09-18T00:00:00"/>
    <n v="0"/>
    <x v="1"/>
    <d v="2025-05-27T00:00:00"/>
    <s v="40–49"/>
    <s v="40–49"/>
  </r>
  <r>
    <n v="39"/>
    <x v="0"/>
    <n v="3"/>
    <s v="Fri, Mon, Sun"/>
    <b v="1"/>
    <d v="1899-12-30T12:16:00"/>
    <d v="1899-12-30T12:49:00"/>
    <n v="33"/>
    <x v="0"/>
    <b v="0"/>
    <b v="0"/>
    <s v="Male"/>
    <x v="0"/>
    <x v="0"/>
    <n v="50"/>
    <x v="3"/>
    <n v="0.15"/>
    <n v="42.5"/>
    <x v="0"/>
    <s v="Bakersfield, CA"/>
    <n v="35.3733"/>
    <n v="-119.0187"/>
    <d v="2022-08-07T00:00:00"/>
    <n v="0"/>
    <x v="1"/>
    <d v="2025-05-24T00:00:00"/>
    <s v="30–39"/>
    <s v="30–3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3-04-12T00:00:00"/>
    <n v="7"/>
    <x v="1"/>
    <d v="2025-06-07T00:00:00"/>
    <s v="20–29"/>
    <s v="20–29"/>
  </r>
  <r>
    <n v="14"/>
    <x v="1"/>
    <n v="2"/>
    <s v="Mon, Wed"/>
    <b v="0"/>
    <d v="1899-12-30T09:46:00"/>
    <d v="1899-12-30T10:56:00"/>
    <n v="70"/>
    <x v="0"/>
    <b v="0"/>
    <b v="1"/>
    <s v="Male"/>
    <x v="1"/>
    <x v="2"/>
    <n v="27"/>
    <x v="1"/>
    <n v="0"/>
    <n v="27"/>
    <x v="1"/>
    <s v="Anaheim, CA"/>
    <n v="33.836599999999997"/>
    <n v="-117.9143"/>
    <d v="2024-05-18T00:00:00"/>
    <n v="0"/>
    <x v="1"/>
    <d v="2025-06-30T00:00:00"/>
    <s v="10–19"/>
    <s v="Under 16"/>
  </r>
  <r>
    <n v="41"/>
    <x v="1"/>
    <n v="2"/>
    <s v="Sun, Tue"/>
    <b v="0"/>
    <d v="1899-12-30T13:55:00"/>
    <d v="1899-12-30T16:22:00"/>
    <n v="147"/>
    <x v="0"/>
    <b v="0"/>
    <b v="1"/>
    <s v="Male"/>
    <x v="1"/>
    <x v="0"/>
    <n v="30"/>
    <x v="3"/>
    <n v="0.15"/>
    <n v="25.5"/>
    <x v="1"/>
    <s v="Long Beach, CA"/>
    <n v="33.770099999999999"/>
    <n v="-118.19370000000001"/>
    <d v="2025-03-26T00:00:00"/>
    <n v="0"/>
    <x v="1"/>
    <d v="2025-07-17T00:00:00"/>
    <s v="40–49"/>
    <s v="40–49"/>
  </r>
  <r>
    <n v="29"/>
    <x v="0"/>
    <n v="2"/>
    <s v="Fri, Mon"/>
    <b v="1"/>
    <d v="1899-12-30T20:15:00"/>
    <d v="1899-12-30T22:05:00"/>
    <n v="110"/>
    <x v="0"/>
    <b v="0"/>
    <b v="1"/>
    <s v="Prefer not to say"/>
    <x v="0"/>
    <x v="0"/>
    <n v="50"/>
    <x v="3"/>
    <n v="0.15"/>
    <n v="42.5"/>
    <x v="0"/>
    <s v="Fresno, CA"/>
    <n v="36.7378"/>
    <n v="-119.7871"/>
    <d v="2023-03-18T00:00:00"/>
    <n v="0"/>
    <x v="0"/>
    <d v="2025-06-06T00:00:00"/>
    <s v="20–29"/>
    <s v="20–29"/>
  </r>
  <r>
    <n v="36"/>
    <x v="0"/>
    <n v="1"/>
    <s v="Fri"/>
    <b v="1"/>
    <d v="1899-12-30T14:49:00"/>
    <d v="1899-12-30T16:32:00"/>
    <n v="103"/>
    <x v="1"/>
    <b v="1"/>
    <b v="0"/>
    <s v="Male"/>
    <x v="0"/>
    <x v="1"/>
    <n v="37.5"/>
    <x v="2"/>
    <n v="0.1"/>
    <n v="33.75"/>
    <x v="0"/>
    <s v="Bakersfield, CA"/>
    <n v="35.3733"/>
    <n v="-119.0187"/>
    <d v="2023-11-06T00:00:00"/>
    <n v="8"/>
    <x v="1"/>
    <d v="2025-06-19T00:00:00"/>
    <s v="30–39"/>
    <s v="30–39"/>
  </r>
  <r>
    <n v="38"/>
    <x v="1"/>
    <n v="3"/>
    <s v="Sat, Sun, Wed"/>
    <b v="1"/>
    <d v="1899-12-30T13:20:00"/>
    <d v="1899-12-30T14:42:00"/>
    <n v="82"/>
    <x v="0"/>
    <b v="0"/>
    <b v="0"/>
    <s v="Non-binary"/>
    <x v="1"/>
    <x v="2"/>
    <n v="27"/>
    <x v="1"/>
    <n v="0"/>
    <n v="27"/>
    <x v="1"/>
    <s v="San Diego, CA"/>
    <n v="32.715699999999998"/>
    <n v="-117.1611"/>
    <d v="2024-03-28T00:00:00"/>
    <n v="0"/>
    <x v="1"/>
    <d v="2025-06-27T00:00:00"/>
    <s v="30–39"/>
    <s v="30–39"/>
  </r>
  <r>
    <n v="14"/>
    <x v="0"/>
    <n v="5"/>
    <s v="Fri, Mon, Sat, Sun, Wed"/>
    <b v="1"/>
    <d v="1899-12-30T12:54:00"/>
    <d v="1899-12-30T15:10:00"/>
    <n v="136"/>
    <x v="1"/>
    <b v="1"/>
    <b v="1"/>
    <s v="Male"/>
    <x v="0"/>
    <x v="1"/>
    <n v="37.5"/>
    <x v="2"/>
    <n v="0.1"/>
    <n v="33.75"/>
    <x v="0"/>
    <s v="Fresno, CA"/>
    <n v="36.7378"/>
    <n v="-119.7871"/>
    <d v="2022-10-31T00:00:00"/>
    <n v="1"/>
    <x v="0"/>
    <d v="2025-05-29T00:00:00"/>
    <s v="10–19"/>
    <s v="Under 16"/>
  </r>
  <r>
    <n v="30"/>
    <x v="1"/>
    <n v="5"/>
    <s v="Fri, Mon, Sat, Sun, Tue"/>
    <b v="1"/>
    <d v="1899-12-30T13:04:00"/>
    <d v="1899-12-30T13:58:00"/>
    <n v="54"/>
    <x v="0"/>
    <b v="1"/>
    <b v="1"/>
    <s v="Non-binary"/>
    <x v="1"/>
    <x v="1"/>
    <n v="22.5"/>
    <x v="3"/>
    <n v="0.15"/>
    <n v="19.125"/>
    <x v="1"/>
    <s v="Sacramento, CA"/>
    <n v="38.581600000000002"/>
    <n v="-121.4944"/>
    <d v="2025-02-24T00:00:00"/>
    <n v="7"/>
    <x v="0"/>
    <d v="2025-07-16T00:00:00"/>
    <s v="30–39"/>
    <s v="30–39"/>
  </r>
  <r>
    <n v="26"/>
    <x v="1"/>
    <n v="3"/>
    <s v="Mon, Sun, Thu"/>
    <b v="0"/>
    <d v="1899-12-30T13:11:00"/>
    <d v="1899-12-30T14:21:00"/>
    <n v="70"/>
    <x v="0"/>
    <b v="0"/>
    <b v="0"/>
    <s v="Female"/>
    <x v="1"/>
    <x v="0"/>
    <n v="30"/>
    <x v="0"/>
    <n v="0.05"/>
    <n v="28.5"/>
    <x v="1"/>
    <s v="Long Beach, CA"/>
    <n v="33.770099999999999"/>
    <n v="-118.19370000000001"/>
    <d v="2024-01-15T00:00:00"/>
    <n v="0"/>
    <x v="1"/>
    <d v="2025-06-23T00:00:00"/>
    <s v="20–29"/>
    <s v="20–29"/>
  </r>
  <r>
    <n v="23"/>
    <x v="1"/>
    <n v="4"/>
    <s v="Fri, Sun, Thu, Wed"/>
    <b v="0"/>
    <d v="1899-12-30T10:17:00"/>
    <d v="1899-12-30T12:21:00"/>
    <n v="124"/>
    <x v="1"/>
    <b v="0"/>
    <b v="1"/>
    <s v="Female"/>
    <x v="1"/>
    <x v="0"/>
    <n v="30"/>
    <x v="1"/>
    <n v="0"/>
    <n v="30"/>
    <x v="1"/>
    <s v="Anaheim, CA"/>
    <n v="33.836599999999997"/>
    <n v="-117.9143"/>
    <d v="2025-06-10T00:00:00"/>
    <n v="0"/>
    <x v="1"/>
    <d v="2025-07-22T00:00:00"/>
    <s v="20–29"/>
    <s v="20–29"/>
  </r>
  <r>
    <n v="37"/>
    <x v="0"/>
    <n v="3"/>
    <s v="Fri, Sat, Sun"/>
    <b v="0"/>
    <d v="1899-12-30T17:53:00"/>
    <d v="1899-12-30T20:14:00"/>
    <n v="141"/>
    <x v="0"/>
    <b v="0"/>
    <b v="1"/>
    <s v="Non-binary"/>
    <x v="0"/>
    <x v="1"/>
    <n v="37.5"/>
    <x v="2"/>
    <n v="0.1"/>
    <n v="33.75"/>
    <x v="0"/>
    <s v="Long Beach, CA"/>
    <n v="33.770099999999999"/>
    <n v="-118.19370000000001"/>
    <d v="2024-02-09T00:00:00"/>
    <n v="0"/>
    <x v="0"/>
    <d v="2025-06-24T00:00:00"/>
    <s v="30–39"/>
    <s v="30–39"/>
  </r>
  <r>
    <n v="18"/>
    <x v="0"/>
    <n v="3"/>
    <s v="Sun, Thu, Tue"/>
    <b v="1"/>
    <d v="1899-12-30T09:15:00"/>
    <d v="1899-12-30T10:04:00"/>
    <n v="49"/>
    <x v="1"/>
    <b v="0"/>
    <b v="0"/>
    <s v="Male"/>
    <x v="0"/>
    <x v="2"/>
    <n v="45"/>
    <x v="2"/>
    <n v="0.1"/>
    <n v="40.5"/>
    <x v="0"/>
    <s v="Sacramento, CA"/>
    <n v="38.581600000000002"/>
    <n v="-121.4944"/>
    <d v="2025-04-24T00:00:00"/>
    <n v="0"/>
    <x v="0"/>
    <d v="2025-07-19T00:00:00"/>
    <s v="10–19"/>
    <s v="16–19"/>
  </r>
  <r>
    <n v="30"/>
    <x v="1"/>
    <n v="3"/>
    <s v="Fri, Thu, Tue"/>
    <b v="0"/>
    <d v="1899-12-30T08:05:00"/>
    <d v="1899-12-30T09:06:00"/>
    <n v="61"/>
    <x v="1"/>
    <b v="1"/>
    <b v="0"/>
    <s v="Prefer not to say"/>
    <x v="1"/>
    <x v="1"/>
    <n v="22.5"/>
    <x v="0"/>
    <n v="0.05"/>
    <n v="21.375"/>
    <x v="1"/>
    <s v="Long Beach, CA"/>
    <n v="33.770099999999999"/>
    <n v="-118.19370000000001"/>
    <d v="2025-02-16T00:00:00"/>
    <n v="5"/>
    <x v="1"/>
    <d v="2025-07-15T00:00:00"/>
    <s v="30–39"/>
    <s v="30–39"/>
  </r>
  <r>
    <n v="23"/>
    <x v="0"/>
    <n v="3"/>
    <s v="Mon, Sun, Thu"/>
    <b v="0"/>
    <d v="1899-12-30T09:56:00"/>
    <d v="1899-12-30T11:20:00"/>
    <n v="84"/>
    <x v="1"/>
    <b v="1"/>
    <b v="0"/>
    <s v="Female"/>
    <x v="0"/>
    <x v="0"/>
    <n v="50"/>
    <x v="3"/>
    <n v="0.15"/>
    <n v="42.5"/>
    <x v="0"/>
    <s v="Fresno, CA"/>
    <n v="36.7378"/>
    <n v="-119.7871"/>
    <d v="2025-02-17T00:00:00"/>
    <n v="7"/>
    <x v="0"/>
    <d v="2025-07-15T00:00:00"/>
    <s v="20–29"/>
    <s v="20–29"/>
  </r>
  <r>
    <n v="40"/>
    <x v="0"/>
    <n v="2"/>
    <s v="Sun, Thu"/>
    <b v="0"/>
    <d v="1899-12-30T11:37:00"/>
    <d v="1899-12-30T14:23:00"/>
    <n v="166"/>
    <x v="0"/>
    <b v="1"/>
    <b v="1"/>
    <s v="Male"/>
    <x v="0"/>
    <x v="0"/>
    <n v="50"/>
    <x v="1"/>
    <n v="0"/>
    <n v="50"/>
    <x v="0"/>
    <s v="San Jose, CA"/>
    <n v="37.338200000000001"/>
    <n v="-121.88630000000001"/>
    <d v="2023-08-01T00:00:00"/>
    <n v="5"/>
    <x v="0"/>
    <d v="2025-06-14T00:00:00"/>
    <s v="40–49"/>
    <s v="40–4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3-04-20T00:00:00"/>
    <n v="5"/>
    <x v="1"/>
    <d v="2025-06-08T00:00:00"/>
    <s v="10–19"/>
    <s v="16–19"/>
  </r>
  <r>
    <n v="20"/>
    <x v="3"/>
    <n v="2"/>
    <s v="Sun, Tue"/>
    <b v="0"/>
    <d v="1899-12-30T14:03:00"/>
    <d v="1899-12-30T16:48:00"/>
    <n v="165"/>
    <x v="1"/>
    <b v="1"/>
    <b v="1"/>
    <s v="Female"/>
    <x v="3"/>
    <x v="1"/>
    <n v="52.5"/>
    <x v="1"/>
    <n v="0"/>
    <n v="52.5"/>
    <x v="3"/>
    <s v="San Diego, CA"/>
    <n v="32.715699999999998"/>
    <n v="-117.1611"/>
    <d v="2023-10-10T00:00:00"/>
    <n v="6"/>
    <x v="0"/>
    <d v="2025-06-17T00:00:00"/>
    <s v="20–29"/>
    <s v="20–29"/>
  </r>
  <r>
    <n v="29"/>
    <x v="2"/>
    <n v="2"/>
    <s v="Fri, Sat"/>
    <b v="1"/>
    <d v="1899-12-30T14:45:00"/>
    <d v="1899-12-30T17:41:00"/>
    <n v="176"/>
    <x v="0"/>
    <b v="1"/>
    <b v="1"/>
    <s v="Male"/>
    <x v="2"/>
    <x v="0"/>
    <n v="20"/>
    <x v="1"/>
    <n v="0"/>
    <n v="20"/>
    <x v="2"/>
    <s v="San Jose, CA"/>
    <n v="37.338200000000001"/>
    <n v="-121.88630000000001"/>
    <d v="2022-09-02T00:00:00"/>
    <n v="5"/>
    <x v="0"/>
    <d v="2025-05-26T00:00:00"/>
    <s v="20–29"/>
    <s v="20–2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4-05-19T00:00:00"/>
    <n v="2"/>
    <x v="1"/>
    <d v="2025-06-30T00:00:00"/>
    <s v="40–49"/>
    <s v="40–49"/>
  </r>
  <r>
    <n v="22"/>
    <x v="0"/>
    <n v="3"/>
    <s v="Sat, Thu, Tue"/>
    <b v="1"/>
    <d v="1899-12-30T17:29:00"/>
    <d v="1899-12-30T19:06:00"/>
    <n v="97"/>
    <x v="1"/>
    <b v="0"/>
    <b v="0"/>
    <s v="Female"/>
    <x v="0"/>
    <x v="0"/>
    <n v="50"/>
    <x v="0"/>
    <n v="0.05"/>
    <n v="47.5"/>
    <x v="0"/>
    <s v="Long Beach, CA"/>
    <n v="33.770099999999999"/>
    <n v="-118.19370000000001"/>
    <d v="2024-08-22T00:00:00"/>
    <n v="0"/>
    <x v="1"/>
    <d v="2025-07-05T00:00:00"/>
    <s v="20–29"/>
    <s v="20–29"/>
  </r>
  <r>
    <n v="30"/>
    <x v="1"/>
    <n v="4"/>
    <s v="Fri, Sat, Sun, Wed"/>
    <b v="1"/>
    <d v="1899-12-30T14:27:00"/>
    <d v="1899-12-30T16:09:00"/>
    <n v="102"/>
    <x v="0"/>
    <b v="1"/>
    <b v="0"/>
    <s v="Non-binary"/>
    <x v="1"/>
    <x v="0"/>
    <n v="30"/>
    <x v="2"/>
    <n v="0.1"/>
    <n v="27"/>
    <x v="1"/>
    <s v="San Diego, CA"/>
    <n v="32.715699999999998"/>
    <n v="-117.1611"/>
    <d v="2022-12-10T00:00:00"/>
    <n v="4"/>
    <x v="1"/>
    <d v="2025-05-31T00:00:00"/>
    <s v="30–39"/>
    <s v="30–39"/>
  </r>
  <r>
    <n v="18"/>
    <x v="3"/>
    <n v="1"/>
    <s v="Fri"/>
    <b v="0"/>
    <d v="1899-12-30T09:13:00"/>
    <d v="1899-12-30T11:43:00"/>
    <n v="150"/>
    <x v="1"/>
    <b v="1"/>
    <b v="1"/>
    <s v="Male"/>
    <x v="3"/>
    <x v="1"/>
    <n v="52.5"/>
    <x v="1"/>
    <n v="0"/>
    <n v="52.5"/>
    <x v="3"/>
    <s v="Bakersfield, CA"/>
    <n v="35.3733"/>
    <n v="-119.0187"/>
    <d v="2024-10-27T00:00:00"/>
    <n v="4"/>
    <x v="1"/>
    <d v="2025-07-09T00:00:00"/>
    <s v="10–19"/>
    <s v="16–19"/>
  </r>
  <r>
    <n v="22"/>
    <x v="0"/>
    <n v="1"/>
    <s v="Thu"/>
    <b v="0"/>
    <d v="1899-12-30T09:43:00"/>
    <d v="1899-12-30T10:37:00"/>
    <n v="54"/>
    <x v="1"/>
    <b v="0"/>
    <b v="0"/>
    <s v="Male"/>
    <x v="0"/>
    <x v="0"/>
    <n v="50"/>
    <x v="0"/>
    <n v="0.05"/>
    <n v="47.5"/>
    <x v="0"/>
    <s v="Bakersfield, CA"/>
    <n v="35.3733"/>
    <n v="-119.0187"/>
    <d v="2022-09-01T00:00:00"/>
    <n v="0"/>
    <x v="0"/>
    <d v="2025-05-26T00:00:00"/>
    <s v="20–29"/>
    <s v="20–29"/>
  </r>
  <r>
    <n v="18"/>
    <x v="0"/>
    <n v="3"/>
    <s v="Fri, Mon, Sun"/>
    <b v="0"/>
    <d v="1899-12-30T13:26:00"/>
    <d v="1899-12-30T16:15:00"/>
    <n v="169"/>
    <x v="0"/>
    <b v="0"/>
    <b v="0"/>
    <s v="Prefer not to say"/>
    <x v="0"/>
    <x v="0"/>
    <n v="50"/>
    <x v="3"/>
    <n v="0.15"/>
    <n v="42.5"/>
    <x v="0"/>
    <s v="Long Beach, CA"/>
    <n v="33.770099999999999"/>
    <n v="-118.19370000000001"/>
    <d v="2025-06-10T00:00:00"/>
    <n v="0"/>
    <x v="0"/>
    <d v="2025-07-22T00:00:00"/>
    <s v="10–19"/>
    <s v="16–19"/>
  </r>
  <r>
    <n v="49"/>
    <x v="1"/>
    <n v="1"/>
    <s v="Fri"/>
    <b v="1"/>
    <d v="1899-12-30T08:06:00"/>
    <d v="1899-12-30T10:41:00"/>
    <n v="155"/>
    <x v="0"/>
    <b v="1"/>
    <b v="0"/>
    <s v="Female"/>
    <x v="1"/>
    <x v="0"/>
    <n v="30"/>
    <x v="1"/>
    <n v="0"/>
    <n v="30"/>
    <x v="1"/>
    <s v="Anaheim, CA"/>
    <n v="33.836599999999997"/>
    <n v="-117.9143"/>
    <d v="2022-08-25T00:00:00"/>
    <n v="6"/>
    <x v="1"/>
    <d v="2025-05-25T00:00:00"/>
    <s v="40–49"/>
    <s v="40–49"/>
  </r>
  <r>
    <n v="31"/>
    <x v="0"/>
    <n v="1"/>
    <s v="Wed"/>
    <b v="1"/>
    <d v="1899-12-30T09:42:00"/>
    <d v="1899-12-30T12:25:00"/>
    <n v="163"/>
    <x v="0"/>
    <b v="0"/>
    <b v="0"/>
    <s v="Prefer not to say"/>
    <x v="0"/>
    <x v="2"/>
    <n v="45"/>
    <x v="2"/>
    <n v="0.1"/>
    <n v="40.5"/>
    <x v="0"/>
    <s v="Bakersfield, CA"/>
    <n v="35.3733"/>
    <n v="-119.0187"/>
    <d v="2025-05-08T00:00:00"/>
    <n v="0"/>
    <x v="1"/>
    <d v="2025-07-20T00:00:00"/>
    <s v="30–39"/>
    <s v="30–39"/>
  </r>
  <r>
    <n v="33"/>
    <x v="1"/>
    <n v="2"/>
    <s v="Thu, Wed"/>
    <b v="0"/>
    <d v="1899-12-30T09:56:00"/>
    <d v="1899-12-30T12:52:00"/>
    <n v="176"/>
    <x v="0"/>
    <b v="1"/>
    <b v="1"/>
    <s v="Female"/>
    <x v="1"/>
    <x v="0"/>
    <n v="30"/>
    <x v="3"/>
    <n v="0.15"/>
    <n v="25.5"/>
    <x v="1"/>
    <s v="Fresno, CA"/>
    <n v="36.7378"/>
    <n v="-119.7871"/>
    <d v="2022-11-16T00:00:00"/>
    <n v="2"/>
    <x v="0"/>
    <d v="2025-05-30T00:00:00"/>
    <s v="30–39"/>
    <s v="30–39"/>
  </r>
  <r>
    <n v="43"/>
    <x v="1"/>
    <n v="1"/>
    <s v="Sun"/>
    <b v="0"/>
    <d v="1899-12-30T09:22:00"/>
    <d v="1899-12-30T10:15:00"/>
    <n v="53"/>
    <x v="0"/>
    <b v="1"/>
    <b v="0"/>
    <s v="Prefer not to say"/>
    <x v="1"/>
    <x v="0"/>
    <n v="30"/>
    <x v="2"/>
    <n v="0.1"/>
    <n v="27"/>
    <x v="1"/>
    <s v="Los Angeles, CA"/>
    <n v="34.052199999999999"/>
    <n v="-118.2437"/>
    <d v="2023-12-08T00:00:00"/>
    <n v="7"/>
    <x v="1"/>
    <d v="2025-06-21T00:00:00"/>
    <s v="40–49"/>
    <s v="40–49"/>
  </r>
  <r>
    <n v="34"/>
    <x v="3"/>
    <n v="3"/>
    <s v="Fri, Sun, Tue"/>
    <b v="0"/>
    <d v="1899-12-30T10:54:00"/>
    <d v="1899-12-30T12:49:00"/>
    <n v="115"/>
    <x v="1"/>
    <b v="1"/>
    <b v="1"/>
    <s v="Male"/>
    <x v="3"/>
    <x v="1"/>
    <n v="52.5"/>
    <x v="1"/>
    <n v="0"/>
    <n v="52.5"/>
    <x v="3"/>
    <s v="Long Beach, CA"/>
    <n v="33.770099999999999"/>
    <n v="-118.19370000000001"/>
    <d v="2022-07-31T00:00:00"/>
    <n v="3"/>
    <x v="0"/>
    <d v="2025-05-24T00:00:00"/>
    <s v="30–39"/>
    <s v="30–39"/>
  </r>
  <r>
    <n v="30"/>
    <x v="2"/>
    <n v="1"/>
    <s v="Sat"/>
    <b v="0"/>
    <d v="1899-12-30T14:08:00"/>
    <d v="1899-12-30T17:08:00"/>
    <n v="180"/>
    <x v="0"/>
    <b v="1"/>
    <b v="0"/>
    <s v="Other (self-described)"/>
    <x v="2"/>
    <x v="0"/>
    <n v="20"/>
    <x v="2"/>
    <n v="0.1"/>
    <n v="18"/>
    <x v="2"/>
    <s v="Long Beach, CA"/>
    <n v="33.770099999999999"/>
    <n v="-118.19370000000001"/>
    <d v="2025-04-05T00:00:00"/>
    <n v="7"/>
    <x v="1"/>
    <d v="2025-07-18T00:00:00"/>
    <s v="30–39"/>
    <s v="30–3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3-11-11T00:00:00"/>
    <n v="0"/>
    <x v="0"/>
    <d v="2025-06-19T00:00:00"/>
    <s v="20–29"/>
    <s v="20–29"/>
  </r>
  <r>
    <n v="44"/>
    <x v="2"/>
    <n v="3"/>
    <s v="Fri, Mon, Tue"/>
    <b v="0"/>
    <d v="1899-12-30T10:31:00"/>
    <d v="1899-12-30T12:28:00"/>
    <n v="117"/>
    <x v="1"/>
    <b v="1"/>
    <b v="0"/>
    <s v="Female"/>
    <x v="2"/>
    <x v="0"/>
    <n v="20"/>
    <x v="3"/>
    <n v="0.15"/>
    <n v="17"/>
    <x v="2"/>
    <s v="Long Beach, CA"/>
    <n v="33.770099999999999"/>
    <n v="-118.19370000000001"/>
    <d v="2022-08-25T00:00:00"/>
    <n v="8"/>
    <x v="1"/>
    <d v="2025-05-25T00:00:00"/>
    <s v="40–49"/>
    <s v="40–49"/>
  </r>
  <r>
    <n v="19"/>
    <x v="2"/>
    <n v="3"/>
    <s v="Sat, Thu, Tue"/>
    <b v="1"/>
    <d v="1899-12-30T13:19:00"/>
    <d v="1899-12-30T14:44:00"/>
    <n v="85"/>
    <x v="1"/>
    <b v="0"/>
    <b v="0"/>
    <s v="Prefer not to say"/>
    <x v="2"/>
    <x v="1"/>
    <n v="15"/>
    <x v="2"/>
    <n v="0.1"/>
    <n v="13.5"/>
    <x v="2"/>
    <s v="Oakland, CA"/>
    <n v="37.804400000000001"/>
    <n v="-122.27119999999999"/>
    <d v="2023-12-13T00:00:00"/>
    <n v="0"/>
    <x v="0"/>
    <d v="2025-06-21T00:00:00"/>
    <s v="10–19"/>
    <s v="16–19"/>
  </r>
  <r>
    <n v="24"/>
    <x v="1"/>
    <n v="3"/>
    <s v="Mon, Thu, Wed"/>
    <b v="0"/>
    <d v="1899-12-30T09:13:00"/>
    <d v="1899-12-30T11:37:00"/>
    <n v="144"/>
    <x v="0"/>
    <b v="0"/>
    <b v="0"/>
    <s v="Female"/>
    <x v="1"/>
    <x v="2"/>
    <n v="27"/>
    <x v="2"/>
    <n v="0.1"/>
    <n v="24.3"/>
    <x v="1"/>
    <s v="San Francisco, CA"/>
    <n v="37.774900000000002"/>
    <n v="-122.4194"/>
    <d v="2023-08-22T00:00:00"/>
    <n v="0"/>
    <x v="1"/>
    <d v="2025-06-15T00:00:00"/>
    <s v="20–29"/>
    <s v="20–29"/>
  </r>
  <r>
    <n v="20"/>
    <x v="3"/>
    <n v="1"/>
    <s v="Sun"/>
    <b v="0"/>
    <d v="1899-12-30T11:23:00"/>
    <d v="1899-12-30T14:01:00"/>
    <n v="158"/>
    <x v="1"/>
    <b v="0"/>
    <b v="1"/>
    <s v="Female"/>
    <x v="3"/>
    <x v="0"/>
    <n v="70"/>
    <x v="1"/>
    <n v="0"/>
    <n v="70"/>
    <x v="3"/>
    <s v="Oakland, CA"/>
    <n v="37.804400000000001"/>
    <n v="-122.27119999999999"/>
    <d v="2023-06-13T00:00:00"/>
    <n v="0"/>
    <x v="0"/>
    <d v="2025-06-11T00:00:00"/>
    <s v="20–29"/>
    <s v="20–29"/>
  </r>
  <r>
    <n v="44"/>
    <x v="2"/>
    <n v="4"/>
    <s v="Sat, Thu, Tue, Wed"/>
    <b v="0"/>
    <d v="1899-12-30T11:10:00"/>
    <d v="1899-12-30T11:44:00"/>
    <n v="34"/>
    <x v="0"/>
    <b v="0"/>
    <b v="1"/>
    <s v="Non-binary"/>
    <x v="2"/>
    <x v="1"/>
    <n v="15"/>
    <x v="1"/>
    <n v="0"/>
    <n v="15"/>
    <x v="2"/>
    <s v="San Jose, CA"/>
    <n v="37.338200000000001"/>
    <n v="-121.88630000000001"/>
    <d v="2024-02-24T00:00:00"/>
    <n v="0"/>
    <x v="1"/>
    <d v="2025-06-25T00:00:00"/>
    <s v="40–49"/>
    <s v="40–49"/>
  </r>
  <r>
    <n v="17"/>
    <x v="1"/>
    <n v="2"/>
    <s v="Tue, Wed"/>
    <b v="0"/>
    <d v="1899-12-30T08:06:00"/>
    <d v="1899-12-30T08:47:00"/>
    <n v="41"/>
    <x v="1"/>
    <b v="0"/>
    <b v="1"/>
    <s v="Male"/>
    <x v="1"/>
    <x v="1"/>
    <n v="22.5"/>
    <x v="2"/>
    <n v="0.1"/>
    <n v="20.25"/>
    <x v="1"/>
    <s v="Long Beach, CA"/>
    <n v="33.770099999999999"/>
    <n v="-118.19370000000001"/>
    <d v="2023-08-24T00:00:00"/>
    <n v="0"/>
    <x v="1"/>
    <d v="2025-06-15T00:00:00"/>
    <s v="10–19"/>
    <s v="16–19"/>
  </r>
  <r>
    <n v="17"/>
    <x v="0"/>
    <n v="1"/>
    <s v="Tue"/>
    <b v="1"/>
    <d v="1899-12-30T12:17:00"/>
    <d v="1899-12-30T15:14:00"/>
    <n v="177"/>
    <x v="1"/>
    <b v="1"/>
    <b v="0"/>
    <s v="Female"/>
    <x v="0"/>
    <x v="0"/>
    <n v="50"/>
    <x v="3"/>
    <n v="0.15"/>
    <n v="42.5"/>
    <x v="0"/>
    <s v="Sacramento, CA"/>
    <n v="38.581600000000002"/>
    <n v="-121.4944"/>
    <d v="2023-10-09T00:00:00"/>
    <n v="3"/>
    <x v="0"/>
    <d v="2025-06-17T00:00:00"/>
    <s v="10–19"/>
    <s v="16–19"/>
  </r>
  <r>
    <n v="12"/>
    <x v="1"/>
    <n v="5"/>
    <s v="Fri, Mon, Sun, Thu, Wed"/>
    <b v="0"/>
    <d v="1899-12-30T10:25:00"/>
    <d v="1899-12-30T12:18:00"/>
    <n v="113"/>
    <x v="0"/>
    <b v="0"/>
    <b v="1"/>
    <s v="Male"/>
    <x v="1"/>
    <x v="0"/>
    <n v="30"/>
    <x v="1"/>
    <n v="0"/>
    <n v="30"/>
    <x v="1"/>
    <s v="Los Angeles, CA"/>
    <n v="34.052199999999999"/>
    <n v="-118.2437"/>
    <d v="2022-11-06T00:00:00"/>
    <n v="0"/>
    <x v="0"/>
    <d v="2025-05-29T00:00:00"/>
    <s v="10–19"/>
    <s v="Under 16"/>
  </r>
  <r>
    <n v="12"/>
    <x v="2"/>
    <n v="3"/>
    <s v="Fri, Sun, Thu"/>
    <b v="1"/>
    <d v="1899-12-30T19:57:00"/>
    <d v="1899-12-30T21:28:00"/>
    <n v="91"/>
    <x v="1"/>
    <b v="0"/>
    <b v="0"/>
    <s v="Male"/>
    <x v="2"/>
    <x v="0"/>
    <n v="20"/>
    <x v="2"/>
    <n v="0.1"/>
    <n v="18"/>
    <x v="2"/>
    <s v="Bakersfield, CA"/>
    <n v="35.3733"/>
    <n v="-119.0187"/>
    <d v="2025-05-05T00:00:00"/>
    <n v="0"/>
    <x v="1"/>
    <d v="2025-07-20T00:00:00"/>
    <s v="10–19"/>
    <s v="Under 16"/>
  </r>
  <r>
    <n v="43"/>
    <x v="1"/>
    <n v="5"/>
    <s v="Fri, Sat, Sun, Tue, Wed"/>
    <b v="0"/>
    <d v="1899-12-30T09:02:00"/>
    <d v="1899-12-30T10:21:00"/>
    <n v="79"/>
    <x v="0"/>
    <b v="0"/>
    <b v="0"/>
    <s v="Male"/>
    <x v="1"/>
    <x v="0"/>
    <n v="30"/>
    <x v="2"/>
    <n v="0.1"/>
    <n v="27"/>
    <x v="1"/>
    <s v="San Francisco, CA"/>
    <n v="37.774900000000002"/>
    <n v="-122.4194"/>
    <d v="2024-08-27T00:00:00"/>
    <n v="0"/>
    <x v="1"/>
    <d v="2025-07-06T00:00:00"/>
    <s v="40–49"/>
    <s v="40–49"/>
  </r>
  <r>
    <n v="47"/>
    <x v="1"/>
    <n v="1"/>
    <s v="Sun"/>
    <b v="0"/>
    <d v="1899-12-30T16:23:00"/>
    <d v="1899-12-30T18:07:00"/>
    <n v="104"/>
    <x v="0"/>
    <b v="1"/>
    <b v="0"/>
    <s v="Prefer not to say"/>
    <x v="1"/>
    <x v="0"/>
    <n v="30"/>
    <x v="3"/>
    <n v="0.15"/>
    <n v="25.5"/>
    <x v="1"/>
    <s v="Sacramento, CA"/>
    <n v="38.581600000000002"/>
    <n v="-121.4944"/>
    <d v="2022-09-14T00:00:00"/>
    <n v="5"/>
    <x v="1"/>
    <d v="2025-05-26T00:00:00"/>
    <s v="40–49"/>
    <s v="40–49"/>
  </r>
  <r>
    <n v="14"/>
    <x v="1"/>
    <n v="3"/>
    <s v="Sat, Sun, Wed"/>
    <b v="0"/>
    <d v="1899-12-30T10:11:00"/>
    <d v="1899-12-30T11:56:00"/>
    <n v="105"/>
    <x v="1"/>
    <b v="0"/>
    <b v="1"/>
    <s v="Male"/>
    <x v="1"/>
    <x v="0"/>
    <n v="30"/>
    <x v="1"/>
    <n v="0"/>
    <n v="30"/>
    <x v="1"/>
    <s v="San Francisco, CA"/>
    <n v="37.774900000000002"/>
    <n v="-122.4194"/>
    <d v="2022-11-17T00:00:00"/>
    <n v="0"/>
    <x v="1"/>
    <d v="2025-05-30T00:00:00"/>
    <s v="10–19"/>
    <s v="Under 16"/>
  </r>
  <r>
    <n v="22"/>
    <x v="0"/>
    <n v="3"/>
    <s v="Sat, Sun, Wed"/>
    <b v="1"/>
    <d v="1899-12-30T17:57:00"/>
    <d v="1899-12-30T19:46:00"/>
    <n v="109"/>
    <x v="0"/>
    <b v="1"/>
    <b v="0"/>
    <s v="Male"/>
    <x v="0"/>
    <x v="0"/>
    <n v="50"/>
    <x v="0"/>
    <n v="0.05"/>
    <n v="47.5"/>
    <x v="0"/>
    <s v="Sacramento, CA"/>
    <n v="38.581600000000002"/>
    <n v="-121.4944"/>
    <d v="2024-02-23T00:00:00"/>
    <n v="1"/>
    <x v="0"/>
    <d v="2025-06-25T00:00:00"/>
    <s v="20–29"/>
    <s v="20–29"/>
  </r>
  <r>
    <n v="33"/>
    <x v="0"/>
    <n v="4"/>
    <s v="Fri, Thu, Tue, Wed"/>
    <b v="0"/>
    <d v="1899-12-30T19:08:00"/>
    <d v="1899-12-30T22:06:00"/>
    <n v="178"/>
    <x v="1"/>
    <b v="0"/>
    <b v="1"/>
    <s v="Prefer not to say"/>
    <x v="0"/>
    <x v="0"/>
    <n v="50"/>
    <x v="0"/>
    <n v="0.05"/>
    <n v="47.5"/>
    <x v="0"/>
    <s v="San Francisco, CA"/>
    <n v="37.774900000000002"/>
    <n v="-122.4194"/>
    <d v="2023-09-01T00:00:00"/>
    <n v="0"/>
    <x v="0"/>
    <d v="2025-06-15T00:00:00"/>
    <s v="30–39"/>
    <s v="30–39"/>
  </r>
  <r>
    <n v="48"/>
    <x v="0"/>
    <n v="3"/>
    <s v="Mon, Sun, Tue"/>
    <b v="0"/>
    <d v="1899-12-30T14:29:00"/>
    <d v="1899-12-30T15:10:00"/>
    <n v="41"/>
    <x v="0"/>
    <b v="1"/>
    <b v="0"/>
    <s v="Non-binary"/>
    <x v="0"/>
    <x v="1"/>
    <n v="37.5"/>
    <x v="3"/>
    <n v="0.15"/>
    <n v="31.875"/>
    <x v="0"/>
    <s v="San Francisco, CA"/>
    <n v="37.774900000000002"/>
    <n v="-122.4194"/>
    <d v="2024-08-31T00:00:00"/>
    <n v="3"/>
    <x v="0"/>
    <d v="2025-07-06T00:00:00"/>
    <s v="40–49"/>
    <s v="40–49"/>
  </r>
  <r>
    <n v="23"/>
    <x v="2"/>
    <n v="2"/>
    <s v="Mon, Sun"/>
    <b v="1"/>
    <d v="1899-12-30T12:58:00"/>
    <d v="1899-12-30T15:46:00"/>
    <n v="168"/>
    <x v="0"/>
    <b v="0"/>
    <b v="0"/>
    <s v="Female"/>
    <x v="2"/>
    <x v="0"/>
    <n v="20"/>
    <x v="1"/>
    <n v="0"/>
    <n v="20"/>
    <x v="2"/>
    <s v="San Diego, CA"/>
    <n v="32.715699999999998"/>
    <n v="-117.1611"/>
    <d v="2024-12-04T00:00:00"/>
    <n v="0"/>
    <x v="1"/>
    <d v="2025-07-11T00:00:00"/>
    <s v="20–29"/>
    <s v="20–29"/>
  </r>
  <r>
    <n v="44"/>
    <x v="0"/>
    <n v="5"/>
    <s v="Fri, Sat, Sun, Thu, Tue"/>
    <b v="1"/>
    <d v="1899-12-30T15:27:00"/>
    <d v="1899-12-30T17:39:00"/>
    <n v="132"/>
    <x v="0"/>
    <b v="1"/>
    <b v="1"/>
    <s v="Prefer not to say"/>
    <x v="0"/>
    <x v="0"/>
    <n v="50"/>
    <x v="1"/>
    <n v="0"/>
    <n v="50"/>
    <x v="0"/>
    <s v="Los Angeles, CA"/>
    <n v="34.052199999999999"/>
    <n v="-118.2437"/>
    <d v="2024-02-15T00:00:00"/>
    <n v="1"/>
    <x v="0"/>
    <d v="2025-06-25T00:00:00"/>
    <s v="40–49"/>
    <s v="40–49"/>
  </r>
  <r>
    <n v="18"/>
    <x v="1"/>
    <n v="4"/>
    <s v="Mon, Sat, Thu, Wed"/>
    <b v="0"/>
    <d v="1899-12-30T08:59:00"/>
    <d v="1899-12-30T10:43:00"/>
    <n v="104"/>
    <x v="0"/>
    <b v="1"/>
    <b v="0"/>
    <s v="Female"/>
    <x v="1"/>
    <x v="2"/>
    <n v="27"/>
    <x v="0"/>
    <n v="0.05"/>
    <n v="25.65"/>
    <x v="1"/>
    <s v="Oakland, CA"/>
    <n v="37.804400000000001"/>
    <n v="-122.27119999999999"/>
    <d v="2024-06-11T00:00:00"/>
    <n v="4"/>
    <x v="1"/>
    <d v="2025-07-01T00:00:00"/>
    <s v="10–19"/>
    <s v="16–19"/>
  </r>
  <r>
    <n v="39"/>
    <x v="3"/>
    <n v="2"/>
    <s v="Fri, Sat"/>
    <b v="0"/>
    <d v="1899-12-30T20:04:00"/>
    <d v="1899-12-30T20:43:00"/>
    <n v="39"/>
    <x v="0"/>
    <b v="0"/>
    <b v="0"/>
    <s v="Female"/>
    <x v="3"/>
    <x v="2"/>
    <n v="63"/>
    <x v="3"/>
    <n v="0.15"/>
    <n v="53.55"/>
    <x v="3"/>
    <s v="San Francisco, CA"/>
    <n v="37.774900000000002"/>
    <n v="-122.4194"/>
    <d v="2023-10-10T00:00:00"/>
    <n v="0"/>
    <x v="0"/>
    <d v="2025-06-17T00:00:00"/>
    <s v="30–39"/>
    <s v="30–39"/>
  </r>
  <r>
    <n v="27"/>
    <x v="0"/>
    <n v="3"/>
    <s v="Mon, Thu, Wed"/>
    <b v="1"/>
    <d v="1899-12-30T10:06:00"/>
    <d v="1899-12-30T11:38:00"/>
    <n v="92"/>
    <x v="1"/>
    <b v="0"/>
    <b v="0"/>
    <s v="Non-binary"/>
    <x v="0"/>
    <x v="0"/>
    <n v="50"/>
    <x v="3"/>
    <n v="0.15"/>
    <n v="42.5"/>
    <x v="0"/>
    <s v="Sacramento, CA"/>
    <n v="38.581600000000002"/>
    <n v="-121.4944"/>
    <d v="2025-04-01T00:00:00"/>
    <n v="0"/>
    <x v="0"/>
    <d v="2025-07-18T00:00:00"/>
    <s v="20–29"/>
    <s v="20–29"/>
  </r>
  <r>
    <n v="36"/>
    <x v="1"/>
    <n v="1"/>
    <s v="Wed"/>
    <b v="0"/>
    <d v="1899-12-30T20:00:00"/>
    <d v="1899-12-30T21:49:00"/>
    <n v="109"/>
    <x v="0"/>
    <b v="1"/>
    <b v="1"/>
    <s v="Male"/>
    <x v="1"/>
    <x v="0"/>
    <n v="30"/>
    <x v="2"/>
    <n v="0.1"/>
    <n v="27"/>
    <x v="1"/>
    <s v="Oakland, CA"/>
    <n v="37.804400000000001"/>
    <n v="-122.27119999999999"/>
    <d v="2022-08-20T00:00:00"/>
    <n v="1"/>
    <x v="1"/>
    <d v="2025-05-25T00:00:00"/>
    <s v="30–39"/>
    <s v="30–39"/>
  </r>
  <r>
    <n v="35"/>
    <x v="0"/>
    <n v="1"/>
    <s v="Wed"/>
    <b v="0"/>
    <d v="1899-12-30T08:34:00"/>
    <d v="1899-12-30T09:27:00"/>
    <n v="53"/>
    <x v="0"/>
    <b v="1"/>
    <b v="0"/>
    <s v="Male"/>
    <x v="0"/>
    <x v="2"/>
    <n v="45"/>
    <x v="3"/>
    <n v="0.15"/>
    <n v="38.25"/>
    <x v="0"/>
    <s v="Los Angeles, CA"/>
    <n v="34.052199999999999"/>
    <n v="-118.2437"/>
    <d v="2022-08-07T00:00:00"/>
    <n v="4"/>
    <x v="0"/>
    <d v="2025-05-24T00:00:00"/>
    <s v="30–39"/>
    <s v="30–39"/>
  </r>
  <r>
    <n v="41"/>
    <x v="0"/>
    <n v="2"/>
    <s v="Tue, Wed"/>
    <b v="1"/>
    <d v="1899-12-30T16:43:00"/>
    <d v="1899-12-30T18:46:00"/>
    <n v="123"/>
    <x v="1"/>
    <b v="1"/>
    <b v="1"/>
    <s v="Female"/>
    <x v="0"/>
    <x v="0"/>
    <n v="50"/>
    <x v="0"/>
    <n v="0.05"/>
    <n v="47.5"/>
    <x v="0"/>
    <s v="San Francisco, CA"/>
    <n v="37.774900000000002"/>
    <n v="-122.4194"/>
    <d v="2023-06-10T00:00:00"/>
    <n v="2"/>
    <x v="0"/>
    <d v="2025-06-11T00:00:00"/>
    <s v="40–49"/>
    <s v="40–49"/>
  </r>
  <r>
    <n v="29"/>
    <x v="2"/>
    <n v="2"/>
    <s v="Fri, Sat"/>
    <b v="1"/>
    <d v="1899-12-30T14:45:00"/>
    <d v="1899-12-30T17:41:00"/>
    <n v="176"/>
    <x v="0"/>
    <b v="1"/>
    <b v="1"/>
    <s v="Male"/>
    <x v="2"/>
    <x v="0"/>
    <n v="20"/>
    <x v="1"/>
    <n v="0"/>
    <n v="20"/>
    <x v="2"/>
    <s v="San Jose, CA"/>
    <n v="37.338200000000001"/>
    <n v="-121.88630000000001"/>
    <d v="2023-11-30T00:00:00"/>
    <n v="2"/>
    <x v="0"/>
    <d v="2025-06-20T00:00:00"/>
    <s v="20–29"/>
    <s v="20–29"/>
  </r>
  <r>
    <n v="48"/>
    <x v="2"/>
    <n v="3"/>
    <s v="Fri, Sat, Thu"/>
    <b v="1"/>
    <d v="1899-12-30T15:30:00"/>
    <d v="1899-12-30T16:26:00"/>
    <n v="56"/>
    <x v="1"/>
    <b v="1"/>
    <b v="0"/>
    <s v="Male"/>
    <x v="2"/>
    <x v="1"/>
    <n v="15"/>
    <x v="1"/>
    <n v="0"/>
    <n v="15"/>
    <x v="2"/>
    <s v="Long Beach, CA"/>
    <n v="33.770099999999999"/>
    <n v="-118.19370000000001"/>
    <d v="2024-07-28T00:00:00"/>
    <n v="6"/>
    <x v="1"/>
    <d v="2025-07-04T00:00:00"/>
    <s v="40–49"/>
    <s v="40–49"/>
  </r>
  <r>
    <n v="42"/>
    <x v="2"/>
    <n v="3"/>
    <s v="Sun, Thu, Wed"/>
    <b v="0"/>
    <d v="1899-12-30T13:32:00"/>
    <d v="1899-12-30T14:56:00"/>
    <n v="84"/>
    <x v="0"/>
    <b v="1"/>
    <b v="1"/>
    <s v="Female"/>
    <x v="2"/>
    <x v="0"/>
    <n v="20"/>
    <x v="2"/>
    <n v="0.1"/>
    <n v="18"/>
    <x v="2"/>
    <s v="Anaheim, CA"/>
    <n v="33.836599999999997"/>
    <n v="-117.9143"/>
    <d v="2023-02-07T00:00:00"/>
    <n v="6"/>
    <x v="0"/>
    <d v="2025-06-04T00:00:00"/>
    <s v="40–49"/>
    <s v="40–49"/>
  </r>
  <r>
    <n v="39"/>
    <x v="0"/>
    <n v="3"/>
    <s v="Sat, Tue, Wed"/>
    <b v="1"/>
    <d v="1899-12-30T16:37:00"/>
    <d v="1899-12-30T17:45:00"/>
    <n v="68"/>
    <x v="0"/>
    <b v="1"/>
    <b v="0"/>
    <s v="Female"/>
    <x v="0"/>
    <x v="0"/>
    <n v="50"/>
    <x v="3"/>
    <n v="0.15"/>
    <n v="42.5"/>
    <x v="0"/>
    <s v="San Francisco, CA"/>
    <n v="37.774900000000002"/>
    <n v="-122.4194"/>
    <d v="2023-06-24T00:00:00"/>
    <n v="5"/>
    <x v="0"/>
    <d v="2025-06-11T00:00:00"/>
    <s v="30–39"/>
    <s v="30–39"/>
  </r>
  <r>
    <n v="30"/>
    <x v="2"/>
    <n v="4"/>
    <s v="Fri, Mon, Sat, Wed"/>
    <b v="1"/>
    <d v="1899-12-30T09:21:00"/>
    <d v="1899-12-30T11:31:00"/>
    <n v="130"/>
    <x v="1"/>
    <b v="1"/>
    <b v="1"/>
    <s v="Prefer not to say"/>
    <x v="2"/>
    <x v="0"/>
    <n v="20"/>
    <x v="3"/>
    <n v="0.15"/>
    <n v="17"/>
    <x v="2"/>
    <s v="Los Angeles, CA"/>
    <n v="34.052199999999999"/>
    <n v="-118.2437"/>
    <d v="2024-12-31T00:00:00"/>
    <n v="3"/>
    <x v="1"/>
    <d v="2025-07-13T00:00:00"/>
    <s v="30–39"/>
    <s v="30–39"/>
  </r>
  <r>
    <n v="33"/>
    <x v="0"/>
    <n v="4"/>
    <s v="Fri, Sat, Sun, Tue"/>
    <b v="1"/>
    <d v="1899-12-30T09:15:00"/>
    <d v="1899-12-30T10:04:00"/>
    <n v="49"/>
    <x v="0"/>
    <b v="0"/>
    <b v="1"/>
    <s v="Female"/>
    <x v="0"/>
    <x v="1"/>
    <n v="37.5"/>
    <x v="1"/>
    <n v="0"/>
    <n v="37.5"/>
    <x v="0"/>
    <s v="San Francisco, CA"/>
    <n v="37.774900000000002"/>
    <n v="-122.4194"/>
    <d v="2022-10-26T00:00:00"/>
    <n v="0"/>
    <x v="0"/>
    <d v="2025-05-29T00:00:00"/>
    <s v="30–39"/>
    <s v="30–39"/>
  </r>
  <r>
    <n v="48"/>
    <x v="0"/>
    <n v="2"/>
    <s v="Mon, Thu"/>
    <b v="0"/>
    <d v="1899-12-30T16:59:00"/>
    <d v="1899-12-30T18:18:00"/>
    <n v="79"/>
    <x v="0"/>
    <b v="0"/>
    <b v="0"/>
    <s v="Other (self-described)"/>
    <x v="0"/>
    <x v="1"/>
    <n v="37.5"/>
    <x v="1"/>
    <n v="0"/>
    <n v="37.5"/>
    <x v="0"/>
    <s v="Fresno, CA"/>
    <n v="36.7378"/>
    <n v="-119.7871"/>
    <d v="2023-01-28T00:00:00"/>
    <n v="0"/>
    <x v="0"/>
    <d v="2025-06-03T00:00:00"/>
    <s v="40–49"/>
    <s v="40–49"/>
  </r>
  <r>
    <n v="25"/>
    <x v="0"/>
    <n v="2"/>
    <s v="Thu, Wed"/>
    <b v="1"/>
    <d v="1899-12-30T20:31:00"/>
    <d v="1899-12-30T21:08:00"/>
    <n v="37"/>
    <x v="0"/>
    <b v="1"/>
    <b v="1"/>
    <s v="Male"/>
    <x v="0"/>
    <x v="1"/>
    <n v="37.5"/>
    <x v="2"/>
    <n v="0.1"/>
    <n v="33.75"/>
    <x v="0"/>
    <s v="Bakersfield, CA"/>
    <n v="35.3733"/>
    <n v="-119.0187"/>
    <d v="2022-09-15T00:00:00"/>
    <n v="5"/>
    <x v="0"/>
    <d v="2025-05-27T00:00:00"/>
    <s v="20–29"/>
    <s v="20–29"/>
  </r>
  <r>
    <n v="19"/>
    <x v="1"/>
    <n v="4"/>
    <s v="Fri, Sat, Sun, Thu"/>
    <b v="0"/>
    <d v="1899-12-30T11:16:00"/>
    <d v="1899-12-30T12:38:00"/>
    <n v="82"/>
    <x v="0"/>
    <b v="0"/>
    <b v="1"/>
    <s v="Female"/>
    <x v="1"/>
    <x v="0"/>
    <n v="30"/>
    <x v="2"/>
    <n v="0.1"/>
    <n v="27"/>
    <x v="1"/>
    <s v="San Diego, CA"/>
    <n v="32.715699999999998"/>
    <n v="-117.1611"/>
    <d v="2023-05-12T00:00:00"/>
    <n v="0"/>
    <x v="1"/>
    <d v="2025-06-09T00:00:00"/>
    <s v="10–19"/>
    <s v="16–19"/>
  </r>
  <r>
    <n v="45"/>
    <x v="1"/>
    <n v="2"/>
    <s v="Mon, Thu"/>
    <b v="1"/>
    <d v="1899-12-30T10:37:00"/>
    <d v="1899-12-30T13:10:00"/>
    <n v="153"/>
    <x v="1"/>
    <b v="1"/>
    <b v="1"/>
    <s v="Female"/>
    <x v="1"/>
    <x v="0"/>
    <n v="30"/>
    <x v="0"/>
    <n v="0.05"/>
    <n v="28.5"/>
    <x v="1"/>
    <s v="Long Beach, CA"/>
    <n v="33.770099999999999"/>
    <n v="-118.19370000000001"/>
    <d v="2023-09-08T00:00:00"/>
    <n v="4"/>
    <x v="1"/>
    <d v="2025-06-16T00:00:00"/>
    <s v="40–49"/>
    <s v="40–49"/>
  </r>
  <r>
    <n v="39"/>
    <x v="3"/>
    <n v="2"/>
    <s v="Fri, Sat"/>
    <b v="0"/>
    <d v="1899-12-30T20:04:00"/>
    <d v="1899-12-30T20:43:00"/>
    <n v="39"/>
    <x v="0"/>
    <b v="0"/>
    <b v="0"/>
    <s v="Female"/>
    <x v="3"/>
    <x v="2"/>
    <n v="63"/>
    <x v="3"/>
    <n v="0.15"/>
    <n v="53.55"/>
    <x v="3"/>
    <s v="San Francisco, CA"/>
    <n v="37.774900000000002"/>
    <n v="-122.4194"/>
    <d v="2024-04-03T00:00:00"/>
    <n v="0"/>
    <x v="0"/>
    <d v="2025-06-27T00:00:00"/>
    <s v="30–39"/>
    <s v="30–39"/>
  </r>
  <r>
    <n v="27"/>
    <x v="3"/>
    <n v="3"/>
    <s v="Sat, Thu, Wed"/>
    <b v="0"/>
    <d v="1899-12-30T20:18:00"/>
    <d v="1899-12-30T22:20:00"/>
    <n v="122"/>
    <x v="1"/>
    <b v="1"/>
    <b v="0"/>
    <s v="Male"/>
    <x v="3"/>
    <x v="1"/>
    <n v="52.5"/>
    <x v="2"/>
    <n v="0.1"/>
    <n v="47.25"/>
    <x v="3"/>
    <s v="Bakersfield, CA"/>
    <n v="35.3733"/>
    <n v="-119.0187"/>
    <d v="2022-10-03T00:00:00"/>
    <n v="5"/>
    <x v="0"/>
    <d v="2025-05-28T00:00:00"/>
    <s v="20–29"/>
    <s v="20–29"/>
  </r>
  <r>
    <n v="26"/>
    <x v="0"/>
    <n v="1"/>
    <s v="Thu"/>
    <b v="1"/>
    <d v="1899-12-30T16:31:00"/>
    <d v="1899-12-30T17:47:00"/>
    <n v="76"/>
    <x v="1"/>
    <b v="1"/>
    <b v="1"/>
    <s v="Non-binary"/>
    <x v="0"/>
    <x v="0"/>
    <n v="50"/>
    <x v="1"/>
    <n v="0"/>
    <n v="50"/>
    <x v="0"/>
    <s v="Sacramento, CA"/>
    <n v="38.581600000000002"/>
    <n v="-121.4944"/>
    <d v="2022-12-13T00:00:00"/>
    <n v="1"/>
    <x v="0"/>
    <d v="2025-06-01T00:00:00"/>
    <s v="20–29"/>
    <s v="20–29"/>
  </r>
  <r>
    <n v="15"/>
    <x v="0"/>
    <n v="2"/>
    <s v="Mon, Sun"/>
    <b v="1"/>
    <d v="1899-12-30T20:07:00"/>
    <d v="1899-12-30T21:39:00"/>
    <n v="92"/>
    <x v="1"/>
    <b v="0"/>
    <b v="0"/>
    <s v="Female"/>
    <x v="0"/>
    <x v="0"/>
    <n v="50"/>
    <x v="0"/>
    <n v="0.05"/>
    <n v="47.5"/>
    <x v="0"/>
    <s v="Oakland, CA"/>
    <n v="37.804400000000001"/>
    <n v="-122.27119999999999"/>
    <d v="2025-05-05T00:00:00"/>
    <n v="0"/>
    <x v="0"/>
    <d v="2025-07-20T00:00:00"/>
    <s v="10–19"/>
    <s v="Under 16"/>
  </r>
  <r>
    <n v="35"/>
    <x v="2"/>
    <n v="3"/>
    <s v="Fri, Thu, Tue"/>
    <b v="1"/>
    <d v="1899-12-30T13:32:00"/>
    <d v="1899-12-30T16:19:00"/>
    <n v="167"/>
    <x v="0"/>
    <b v="0"/>
    <b v="0"/>
    <s v="Male"/>
    <x v="2"/>
    <x v="1"/>
    <n v="15"/>
    <x v="3"/>
    <n v="0.15"/>
    <n v="12.75"/>
    <x v="2"/>
    <s v="San Diego, CA"/>
    <n v="32.715699999999998"/>
    <n v="-117.1611"/>
    <d v="2025-05-25T00:00:00"/>
    <n v="0"/>
    <x v="1"/>
    <d v="2025-07-21T00:00:00"/>
    <s v="30–39"/>
    <s v="30–39"/>
  </r>
  <r>
    <n v="38"/>
    <x v="3"/>
    <n v="1"/>
    <s v="Tue"/>
    <b v="1"/>
    <d v="1899-12-30T10:01:00"/>
    <d v="1899-12-30T12:48:00"/>
    <n v="167"/>
    <x v="1"/>
    <b v="1"/>
    <b v="1"/>
    <s v="Female"/>
    <x v="3"/>
    <x v="0"/>
    <n v="70"/>
    <x v="1"/>
    <n v="0"/>
    <n v="70"/>
    <x v="3"/>
    <s v="Fresno, CA"/>
    <n v="36.7378"/>
    <n v="-119.7871"/>
    <d v="2024-05-18T00:00:00"/>
    <n v="4"/>
    <x v="0"/>
    <d v="2025-06-30T00:00:00"/>
    <s v="30–39"/>
    <s v="30–39"/>
  </r>
  <r>
    <n v="31"/>
    <x v="0"/>
    <n v="1"/>
    <s v="Thu"/>
    <b v="0"/>
    <d v="1899-12-30T15:01:00"/>
    <d v="1899-12-30T17:43:00"/>
    <n v="162"/>
    <x v="0"/>
    <b v="0"/>
    <b v="0"/>
    <s v="Male"/>
    <x v="0"/>
    <x v="0"/>
    <n v="50"/>
    <x v="0"/>
    <n v="0.05"/>
    <n v="47.5"/>
    <x v="0"/>
    <s v="San Diego, CA"/>
    <n v="32.715699999999998"/>
    <n v="-117.1611"/>
    <d v="2023-02-10T00:00:00"/>
    <n v="0"/>
    <x v="0"/>
    <d v="2025-06-04T00:00:00"/>
    <s v="30–39"/>
    <s v="30–39"/>
  </r>
  <r>
    <n v="15"/>
    <x v="0"/>
    <n v="2"/>
    <s v="Sun, Wed"/>
    <b v="0"/>
    <d v="1899-12-30T12:35:00"/>
    <d v="1899-12-30T14:06:00"/>
    <n v="91"/>
    <x v="0"/>
    <b v="0"/>
    <b v="0"/>
    <s v="Male"/>
    <x v="0"/>
    <x v="1"/>
    <n v="37.5"/>
    <x v="1"/>
    <n v="0"/>
    <n v="37.5"/>
    <x v="0"/>
    <s v="Long Beach, CA"/>
    <n v="33.770099999999999"/>
    <n v="-118.19370000000001"/>
    <d v="2022-08-06T00:00:00"/>
    <n v="0"/>
    <x v="0"/>
    <d v="2025-05-24T00:00:00"/>
    <s v="10–19"/>
    <s v="Under 16"/>
  </r>
  <r>
    <n v="12"/>
    <x v="2"/>
    <n v="5"/>
    <s v="Mon, Sat, Sun, Thu, Wed"/>
    <b v="1"/>
    <d v="1899-12-30T09:36:00"/>
    <d v="1899-12-30T12:09:00"/>
    <n v="153"/>
    <x v="1"/>
    <b v="1"/>
    <b v="1"/>
    <s v="Male"/>
    <x v="2"/>
    <x v="0"/>
    <n v="20"/>
    <x v="3"/>
    <n v="0.15"/>
    <n v="17"/>
    <x v="2"/>
    <s v="Sacramento, CA"/>
    <n v="38.581600000000002"/>
    <n v="-121.4944"/>
    <d v="2025-01-13T00:00:00"/>
    <n v="6"/>
    <x v="1"/>
    <d v="2025-07-13T00:00:00"/>
    <s v="10–19"/>
    <s v="Under 16"/>
  </r>
  <r>
    <n v="19"/>
    <x v="0"/>
    <n v="3"/>
    <s v="Mon, Sun, Wed"/>
    <b v="0"/>
    <d v="1899-12-30T14:34:00"/>
    <d v="1899-12-30T15:34:00"/>
    <n v="60"/>
    <x v="1"/>
    <b v="0"/>
    <b v="1"/>
    <s v="Other (self-described)"/>
    <x v="0"/>
    <x v="0"/>
    <n v="50"/>
    <x v="3"/>
    <n v="0.15"/>
    <n v="42.5"/>
    <x v="0"/>
    <s v="San Francisco, CA"/>
    <n v="37.774900000000002"/>
    <n v="-122.4194"/>
    <d v="2023-09-29T00:00:00"/>
    <n v="0"/>
    <x v="1"/>
    <d v="2025-06-17T00:00:00"/>
    <s v="10–19"/>
    <s v="16–19"/>
  </r>
  <r>
    <n v="46"/>
    <x v="0"/>
    <n v="2"/>
    <s v="Mon, Tue"/>
    <b v="0"/>
    <d v="1899-12-30T17:54:00"/>
    <d v="1899-12-30T19:17:00"/>
    <n v="83"/>
    <x v="0"/>
    <b v="0"/>
    <b v="1"/>
    <s v="Non-binary"/>
    <x v="0"/>
    <x v="0"/>
    <n v="50"/>
    <x v="1"/>
    <n v="0"/>
    <n v="50"/>
    <x v="0"/>
    <s v="Long Beach, CA"/>
    <n v="33.770099999999999"/>
    <n v="-118.19370000000001"/>
    <d v="2024-05-13T00:00:00"/>
    <n v="0"/>
    <x v="0"/>
    <d v="2025-06-30T00:00:00"/>
    <s v="40–49"/>
    <s v="40–49"/>
  </r>
  <r>
    <n v="44"/>
    <x v="3"/>
    <n v="5"/>
    <s v="Fri, Sun, Thu, Tue, Wed"/>
    <b v="1"/>
    <d v="1899-12-30T20:04:00"/>
    <d v="1899-12-30T22:29:00"/>
    <n v="145"/>
    <x v="0"/>
    <b v="1"/>
    <b v="1"/>
    <s v="Female"/>
    <x v="3"/>
    <x v="0"/>
    <n v="70"/>
    <x v="3"/>
    <n v="0.15"/>
    <n v="59.5"/>
    <x v="3"/>
    <s v="San Francisco, CA"/>
    <n v="37.774900000000002"/>
    <n v="-122.4194"/>
    <d v="2022-08-25T00:00:00"/>
    <n v="2"/>
    <x v="0"/>
    <d v="2025-05-25T00:00:00"/>
    <s v="40–49"/>
    <s v="40–49"/>
  </r>
  <r>
    <n v="46"/>
    <x v="0"/>
    <n v="3"/>
    <s v="Sun, Thu, Wed"/>
    <b v="1"/>
    <d v="1899-12-30T18:01:00"/>
    <d v="1899-12-30T18:36:00"/>
    <n v="35"/>
    <x v="1"/>
    <b v="0"/>
    <b v="0"/>
    <s v="Non-binary"/>
    <x v="0"/>
    <x v="0"/>
    <n v="50"/>
    <x v="1"/>
    <n v="0"/>
    <n v="50"/>
    <x v="0"/>
    <s v="Los Angeles, CA"/>
    <n v="34.052199999999999"/>
    <n v="-118.2437"/>
    <d v="2023-01-08T00:00:00"/>
    <n v="0"/>
    <x v="0"/>
    <d v="2025-06-02T00:00:00"/>
    <s v="40–49"/>
    <s v="40–49"/>
  </r>
  <r>
    <n v="18"/>
    <x v="1"/>
    <n v="2"/>
    <s v="Thu, Tue"/>
    <b v="0"/>
    <d v="1899-12-30T16:41:00"/>
    <d v="1899-12-30T19:00:00"/>
    <n v="139"/>
    <x v="1"/>
    <b v="0"/>
    <b v="0"/>
    <s v="Female"/>
    <x v="1"/>
    <x v="1"/>
    <n v="22.5"/>
    <x v="1"/>
    <n v="0"/>
    <n v="22.5"/>
    <x v="1"/>
    <s v="Bakersfield, CA"/>
    <n v="35.3733"/>
    <n v="-119.0187"/>
    <d v="2023-01-12T00:00:00"/>
    <n v="0"/>
    <x v="1"/>
    <d v="2025-06-02T00:00:00"/>
    <s v="10–19"/>
    <s v="16–19"/>
  </r>
  <r>
    <n v="47"/>
    <x v="1"/>
    <n v="1"/>
    <s v="Sun"/>
    <b v="0"/>
    <d v="1899-12-30T16:23:00"/>
    <d v="1899-12-30T18:07:00"/>
    <n v="104"/>
    <x v="0"/>
    <b v="1"/>
    <b v="0"/>
    <s v="Prefer not to say"/>
    <x v="1"/>
    <x v="0"/>
    <n v="30"/>
    <x v="3"/>
    <n v="0.15"/>
    <n v="25.5"/>
    <x v="1"/>
    <s v="Sacramento, CA"/>
    <n v="38.581600000000002"/>
    <n v="-121.4944"/>
    <d v="2024-02-09T00:00:00"/>
    <n v="6"/>
    <x v="0"/>
    <d v="2025-06-24T00:00:00"/>
    <s v="40–49"/>
    <s v="40–49"/>
  </r>
  <r>
    <n v="23"/>
    <x v="0"/>
    <n v="3"/>
    <s v="Sun, Tue, Wed"/>
    <b v="1"/>
    <d v="1899-12-30T19:02:00"/>
    <d v="1899-12-30T21:09:00"/>
    <n v="127"/>
    <x v="0"/>
    <b v="0"/>
    <b v="0"/>
    <s v="Female"/>
    <x v="0"/>
    <x v="1"/>
    <n v="37.5"/>
    <x v="1"/>
    <n v="0"/>
    <n v="37.5"/>
    <x v="0"/>
    <s v="Anaheim, CA"/>
    <n v="33.836599999999997"/>
    <n v="-117.9143"/>
    <d v="2024-04-07T00:00:00"/>
    <n v="0"/>
    <x v="0"/>
    <d v="2025-06-28T00:00:00"/>
    <s v="20–29"/>
    <s v="20–29"/>
  </r>
  <r>
    <n v="37"/>
    <x v="1"/>
    <n v="1"/>
    <s v="Tue"/>
    <b v="1"/>
    <d v="1899-12-30T18:06:00"/>
    <d v="1899-12-30T19:59:00"/>
    <n v="113"/>
    <x v="0"/>
    <b v="0"/>
    <b v="0"/>
    <s v="Female"/>
    <x v="1"/>
    <x v="0"/>
    <n v="30"/>
    <x v="1"/>
    <n v="0"/>
    <n v="30"/>
    <x v="1"/>
    <s v="San Francisco, CA"/>
    <n v="37.774900000000002"/>
    <n v="-122.4194"/>
    <d v="2024-09-04T00:00:00"/>
    <n v="0"/>
    <x v="1"/>
    <d v="2025-07-06T00:00:00"/>
    <s v="30–39"/>
    <s v="30–39"/>
  </r>
  <r>
    <n v="21"/>
    <x v="2"/>
    <n v="1"/>
    <s v="Mon"/>
    <b v="0"/>
    <d v="1899-12-30T08:29:00"/>
    <d v="1899-12-30T09:53:00"/>
    <n v="84"/>
    <x v="1"/>
    <b v="0"/>
    <b v="0"/>
    <s v="Male"/>
    <x v="2"/>
    <x v="1"/>
    <n v="15"/>
    <x v="0"/>
    <n v="0.05"/>
    <n v="14.25"/>
    <x v="2"/>
    <s v="Oakland, CA"/>
    <n v="37.804400000000001"/>
    <n v="-122.27119999999999"/>
    <d v="2025-04-23T00:00:00"/>
    <n v="0"/>
    <x v="1"/>
    <d v="2025-07-19T00:00:00"/>
    <s v="20–29"/>
    <s v="20–29"/>
  </r>
  <r>
    <n v="34"/>
    <x v="0"/>
    <n v="2"/>
    <s v="Fri, Mon"/>
    <b v="0"/>
    <d v="1899-12-30T09:35:00"/>
    <d v="1899-12-30T12:00:00"/>
    <n v="145"/>
    <x v="0"/>
    <b v="1"/>
    <b v="1"/>
    <s v="Male"/>
    <x v="0"/>
    <x v="1"/>
    <n v="37.5"/>
    <x v="1"/>
    <n v="0"/>
    <n v="37.5"/>
    <x v="0"/>
    <s v="Fresno, CA"/>
    <n v="36.7378"/>
    <n v="-119.7871"/>
    <d v="2022-12-15T00:00:00"/>
    <n v="3"/>
    <x v="0"/>
    <d v="2025-06-01T00:00:00"/>
    <s v="30–39"/>
    <s v="30–39"/>
  </r>
  <r>
    <n v="46"/>
    <x v="0"/>
    <n v="5"/>
    <s v="Fri, Mon, Sat, Tue, Wed"/>
    <b v="1"/>
    <d v="1899-12-30T09:41:00"/>
    <d v="1899-12-30T12:38:00"/>
    <n v="177"/>
    <x v="1"/>
    <b v="1"/>
    <b v="1"/>
    <s v="Prefer not to say"/>
    <x v="0"/>
    <x v="0"/>
    <n v="50"/>
    <x v="2"/>
    <n v="0.1"/>
    <n v="45"/>
    <x v="0"/>
    <s v="Oakland, CA"/>
    <n v="37.804400000000001"/>
    <n v="-122.27119999999999"/>
    <d v="2023-02-08T00:00:00"/>
    <n v="4"/>
    <x v="0"/>
    <d v="2025-06-04T00:00:00"/>
    <s v="40–49"/>
    <s v="40–49"/>
  </r>
  <r>
    <n v="34"/>
    <x v="3"/>
    <n v="5"/>
    <s v="Fri, Mon, Sun, Thu, Tue"/>
    <b v="0"/>
    <d v="1899-12-30T08:33:00"/>
    <d v="1899-12-30T10:29:00"/>
    <n v="116"/>
    <x v="0"/>
    <b v="0"/>
    <b v="0"/>
    <s v="Male"/>
    <x v="3"/>
    <x v="1"/>
    <n v="52.5"/>
    <x v="2"/>
    <n v="0.1"/>
    <n v="47.25"/>
    <x v="3"/>
    <s v="Bakersfield, CA"/>
    <n v="35.3733"/>
    <n v="-119.0187"/>
    <d v="2022-07-24T00:00:00"/>
    <n v="0"/>
    <x v="0"/>
    <d v="2025-05-24T00:00:00"/>
    <s v="30–39"/>
    <s v="30–39"/>
  </r>
  <r>
    <n v="29"/>
    <x v="3"/>
    <n v="4"/>
    <s v="Fri, Mon, Sun, Thu"/>
    <b v="1"/>
    <d v="1899-12-30T18:15:00"/>
    <d v="1899-12-30T18:54:00"/>
    <n v="39"/>
    <x v="0"/>
    <b v="1"/>
    <b v="1"/>
    <s v="Prefer not to say"/>
    <x v="3"/>
    <x v="0"/>
    <n v="70"/>
    <x v="1"/>
    <n v="0"/>
    <n v="70"/>
    <x v="3"/>
    <s v="San Diego, CA"/>
    <n v="32.715699999999998"/>
    <n v="-117.1611"/>
    <d v="2022-07-27T00:00:00"/>
    <n v="4"/>
    <x v="0"/>
    <d v="2025-05-24T00:00:00"/>
    <s v="20–29"/>
    <s v="20–29"/>
  </r>
  <r>
    <n v="25"/>
    <x v="0"/>
    <n v="2"/>
    <s v="Mon, Tue"/>
    <b v="1"/>
    <d v="1899-12-30T13:59:00"/>
    <d v="1899-12-30T15:29:00"/>
    <n v="90"/>
    <x v="0"/>
    <b v="1"/>
    <b v="1"/>
    <s v="Female"/>
    <x v="0"/>
    <x v="1"/>
    <n v="37.5"/>
    <x v="1"/>
    <n v="0"/>
    <n v="37.5"/>
    <x v="0"/>
    <s v="San Jose, CA"/>
    <n v="37.338200000000001"/>
    <n v="-121.88630000000001"/>
    <d v="2023-11-09T00:00:00"/>
    <n v="1"/>
    <x v="0"/>
    <d v="2025-06-19T00:00:00"/>
    <s v="20–29"/>
    <s v="20–29"/>
  </r>
  <r>
    <n v="49"/>
    <x v="0"/>
    <n v="1"/>
    <s v="Tue"/>
    <b v="1"/>
    <d v="1899-12-30T20:23:00"/>
    <d v="1899-12-30T21:08:00"/>
    <n v="45"/>
    <x v="1"/>
    <b v="0"/>
    <b v="1"/>
    <s v="Male"/>
    <x v="0"/>
    <x v="0"/>
    <n v="50"/>
    <x v="3"/>
    <n v="0.15"/>
    <n v="42.5"/>
    <x v="0"/>
    <s v="San Jose, CA"/>
    <n v="37.338200000000001"/>
    <n v="-121.88630000000001"/>
    <d v="2023-03-27T00:00:00"/>
    <n v="0"/>
    <x v="0"/>
    <d v="2025-06-06T00:00:00"/>
    <s v="40–49"/>
    <s v="40–49"/>
  </r>
  <r>
    <n v="29"/>
    <x v="2"/>
    <n v="1"/>
    <s v="Tue"/>
    <b v="1"/>
    <d v="1899-12-30T12:59:00"/>
    <d v="1899-12-30T14:02:00"/>
    <n v="63"/>
    <x v="0"/>
    <b v="1"/>
    <b v="1"/>
    <s v="Male"/>
    <x v="2"/>
    <x v="0"/>
    <n v="20"/>
    <x v="1"/>
    <n v="0"/>
    <n v="20"/>
    <x v="2"/>
    <s v="Bakersfield, CA"/>
    <n v="35.3733"/>
    <n v="-119.0187"/>
    <d v="2022-09-20T00:00:00"/>
    <n v="3"/>
    <x v="0"/>
    <d v="2025-05-27T00:00:00"/>
    <s v="20–29"/>
    <s v="20–29"/>
  </r>
  <r>
    <n v="14"/>
    <x v="1"/>
    <n v="3"/>
    <s v="Sat, Sun, Tue"/>
    <b v="0"/>
    <d v="1899-12-30T08:34:00"/>
    <d v="1899-12-30T10:49:00"/>
    <n v="135"/>
    <x v="0"/>
    <b v="0"/>
    <b v="1"/>
    <s v="Female"/>
    <x v="1"/>
    <x v="2"/>
    <n v="27"/>
    <x v="1"/>
    <n v="0"/>
    <n v="27"/>
    <x v="1"/>
    <s v="San Diego, CA"/>
    <n v="32.715699999999998"/>
    <n v="-117.1611"/>
    <d v="2022-12-31T00:00:00"/>
    <n v="0"/>
    <x v="0"/>
    <d v="2025-06-02T00:00:00"/>
    <s v="10–19"/>
    <s v="Under 16"/>
  </r>
  <r>
    <n v="18"/>
    <x v="0"/>
    <n v="4"/>
    <s v="Sun, Thu, Tue, Wed"/>
    <b v="0"/>
    <d v="1899-12-30T11:23:00"/>
    <d v="1899-12-30T14:03:00"/>
    <n v="160"/>
    <x v="1"/>
    <b v="0"/>
    <b v="0"/>
    <s v="Prefer not to say"/>
    <x v="0"/>
    <x v="1"/>
    <n v="37.5"/>
    <x v="1"/>
    <n v="0"/>
    <n v="37.5"/>
    <x v="0"/>
    <s v="Fresno, CA"/>
    <n v="36.7378"/>
    <n v="-119.7871"/>
    <d v="2024-10-02T00:00:00"/>
    <n v="0"/>
    <x v="0"/>
    <d v="2025-07-08T00:00:00"/>
    <s v="10–19"/>
    <s v="16–19"/>
  </r>
  <r>
    <n v="49"/>
    <x v="0"/>
    <n v="2"/>
    <s v="Tue, Wed"/>
    <b v="0"/>
    <d v="1899-12-30T10:11:00"/>
    <d v="1899-12-30T11:28:00"/>
    <n v="77"/>
    <x v="1"/>
    <b v="1"/>
    <b v="0"/>
    <s v="Female"/>
    <x v="0"/>
    <x v="0"/>
    <n v="50"/>
    <x v="1"/>
    <n v="0"/>
    <n v="50"/>
    <x v="0"/>
    <s v="Bakersfield, CA"/>
    <n v="35.3733"/>
    <n v="-119.0187"/>
    <d v="2024-02-29T00:00:00"/>
    <n v="2"/>
    <x v="1"/>
    <d v="2025-06-25T00:00:00"/>
    <s v="40–49"/>
    <s v="40–49"/>
  </r>
  <r>
    <n v="45"/>
    <x v="0"/>
    <n v="4"/>
    <s v="Fri, Sun, Thu, Tue"/>
    <b v="0"/>
    <d v="1899-12-30T10:05:00"/>
    <d v="1899-12-30T10:55:00"/>
    <n v="50"/>
    <x v="1"/>
    <b v="1"/>
    <b v="1"/>
    <s v="Male"/>
    <x v="0"/>
    <x v="1"/>
    <n v="37.5"/>
    <x v="0"/>
    <n v="0.05"/>
    <n v="35.625"/>
    <x v="0"/>
    <s v="Sacramento, CA"/>
    <n v="38.581600000000002"/>
    <n v="-121.4944"/>
    <d v="2025-02-05T00:00:00"/>
    <n v="7"/>
    <x v="0"/>
    <d v="2025-07-15T00:00:00"/>
    <s v="40–49"/>
    <s v="40–49"/>
  </r>
  <r>
    <n v="20"/>
    <x v="2"/>
    <n v="1"/>
    <s v="Wed"/>
    <b v="0"/>
    <d v="1899-12-30T17:52:00"/>
    <d v="1899-12-30T18:49:00"/>
    <n v="57"/>
    <x v="1"/>
    <b v="1"/>
    <b v="1"/>
    <s v="Male"/>
    <x v="2"/>
    <x v="0"/>
    <n v="20"/>
    <x v="1"/>
    <n v="0"/>
    <n v="20"/>
    <x v="2"/>
    <s v="San Jose, CA"/>
    <n v="37.338200000000001"/>
    <n v="-121.88630000000001"/>
    <d v="2022-09-10T00:00:00"/>
    <n v="4"/>
    <x v="0"/>
    <d v="2025-05-26T00:00:00"/>
    <s v="20–29"/>
    <s v="20–29"/>
  </r>
  <r>
    <n v="34"/>
    <x v="1"/>
    <n v="1"/>
    <s v="Sun"/>
    <b v="1"/>
    <d v="1899-12-30T09:14:00"/>
    <d v="1899-12-30T11:52:00"/>
    <n v="158"/>
    <x v="0"/>
    <b v="1"/>
    <b v="0"/>
    <s v="Male"/>
    <x v="1"/>
    <x v="1"/>
    <n v="22.5"/>
    <x v="1"/>
    <n v="0"/>
    <n v="22.5"/>
    <x v="1"/>
    <s v="Anaheim, CA"/>
    <n v="33.836599999999997"/>
    <n v="-117.9143"/>
    <d v="2023-09-16T00:00:00"/>
    <n v="4"/>
    <x v="0"/>
    <d v="2025-06-16T00:00:00"/>
    <s v="30–39"/>
    <s v="30–39"/>
  </r>
  <r>
    <n v="18"/>
    <x v="0"/>
    <n v="1"/>
    <s v="Sat"/>
    <b v="0"/>
    <d v="1899-12-30T18:01:00"/>
    <d v="1899-12-30T18:36:00"/>
    <n v="35"/>
    <x v="1"/>
    <b v="1"/>
    <b v="0"/>
    <s v="Non-binary"/>
    <x v="0"/>
    <x v="0"/>
    <n v="50"/>
    <x v="2"/>
    <n v="0.1"/>
    <n v="45"/>
    <x v="0"/>
    <s v="Sacramento, CA"/>
    <n v="38.581600000000002"/>
    <n v="-121.4944"/>
    <d v="2024-10-22T00:00:00"/>
    <n v="1"/>
    <x v="1"/>
    <d v="2025-07-09T00:00:00"/>
    <s v="10–19"/>
    <s v="16–19"/>
  </r>
  <r>
    <n v="21"/>
    <x v="1"/>
    <n v="5"/>
    <s v="Fri, Mon, Sat, Sun, Thu"/>
    <b v="1"/>
    <d v="1899-12-30T20:15:00"/>
    <d v="1899-12-30T23:14:00"/>
    <n v="179"/>
    <x v="1"/>
    <b v="0"/>
    <b v="1"/>
    <s v="Male"/>
    <x v="1"/>
    <x v="0"/>
    <n v="30"/>
    <x v="0"/>
    <n v="0.05"/>
    <n v="28.5"/>
    <x v="1"/>
    <s v="Fresno, CA"/>
    <n v="36.7378"/>
    <n v="-119.7871"/>
    <d v="2023-07-08T00:00:00"/>
    <n v="0"/>
    <x v="0"/>
    <d v="2025-06-12T00:00:00"/>
    <s v="20–29"/>
    <s v="20–29"/>
  </r>
  <r>
    <n v="33"/>
    <x v="1"/>
    <n v="2"/>
    <s v="Sun, Tue"/>
    <b v="0"/>
    <d v="1899-12-30T12:42:00"/>
    <d v="1899-12-30T15:01:00"/>
    <n v="139"/>
    <x v="1"/>
    <b v="1"/>
    <b v="0"/>
    <s v="Other (self-described)"/>
    <x v="1"/>
    <x v="0"/>
    <n v="30"/>
    <x v="1"/>
    <n v="0"/>
    <n v="30"/>
    <x v="1"/>
    <s v="Bakersfield, CA"/>
    <n v="35.3733"/>
    <n v="-119.0187"/>
    <d v="2023-09-03T00:00:00"/>
    <n v="5"/>
    <x v="0"/>
    <d v="2025-06-15T00:00:00"/>
    <s v="30–39"/>
    <s v="30–39"/>
  </r>
  <r>
    <n v="27"/>
    <x v="0"/>
    <n v="4"/>
    <s v="Sun, Thu, Tue, Wed"/>
    <b v="0"/>
    <d v="1899-12-30T11:49:00"/>
    <d v="1899-12-30T14:25:00"/>
    <n v="156"/>
    <x v="1"/>
    <b v="1"/>
    <b v="0"/>
    <s v="Male"/>
    <x v="0"/>
    <x v="1"/>
    <n v="37.5"/>
    <x v="1"/>
    <n v="0"/>
    <n v="37.5"/>
    <x v="0"/>
    <s v="San Diego, CA"/>
    <n v="32.715699999999998"/>
    <n v="-117.1611"/>
    <d v="2024-06-06T00:00:00"/>
    <n v="8"/>
    <x v="0"/>
    <d v="2025-07-01T00:00:00"/>
    <s v="20–29"/>
    <s v="20–29"/>
  </r>
  <r>
    <n v="24"/>
    <x v="0"/>
    <n v="3"/>
    <s v="Mon, Sat, Sun"/>
    <b v="0"/>
    <d v="1899-12-30T13:20:00"/>
    <d v="1899-12-30T14:54:00"/>
    <n v="94"/>
    <x v="0"/>
    <b v="0"/>
    <b v="1"/>
    <s v="Female"/>
    <x v="0"/>
    <x v="0"/>
    <n v="50"/>
    <x v="0"/>
    <n v="0.05"/>
    <n v="47.5"/>
    <x v="0"/>
    <s v="San Diego, CA"/>
    <n v="32.715699999999998"/>
    <n v="-117.1611"/>
    <d v="2025-02-22T00:00:00"/>
    <n v="0"/>
    <x v="0"/>
    <d v="2025-07-16T00:00:00"/>
    <s v="20–29"/>
    <s v="20–29"/>
  </r>
  <r>
    <n v="45"/>
    <x v="1"/>
    <n v="5"/>
    <s v="Fri, Sat, Sun, Thu, Tue"/>
    <b v="0"/>
    <d v="1899-12-30T19:43:00"/>
    <d v="1899-12-30T21:01:00"/>
    <n v="78"/>
    <x v="1"/>
    <b v="0"/>
    <b v="0"/>
    <s v="Non-binary"/>
    <x v="1"/>
    <x v="0"/>
    <n v="30"/>
    <x v="3"/>
    <n v="0.15"/>
    <n v="25.5"/>
    <x v="1"/>
    <s v="San Francisco, CA"/>
    <n v="37.774900000000002"/>
    <n v="-122.4194"/>
    <d v="2023-07-08T00:00:00"/>
    <n v="0"/>
    <x v="1"/>
    <d v="2025-06-12T00:00:00"/>
    <s v="40–49"/>
    <s v="40–49"/>
  </r>
  <r>
    <n v="13"/>
    <x v="1"/>
    <n v="2"/>
    <s v="Sun, Tue"/>
    <b v="1"/>
    <d v="1899-12-30T10:34:00"/>
    <d v="1899-12-30T12:49:00"/>
    <n v="135"/>
    <x v="1"/>
    <b v="0"/>
    <b v="0"/>
    <s v="Other (self-described)"/>
    <x v="1"/>
    <x v="1"/>
    <n v="22.5"/>
    <x v="1"/>
    <n v="0"/>
    <n v="22.5"/>
    <x v="1"/>
    <s v="Sacramento, CA"/>
    <n v="38.581600000000002"/>
    <n v="-121.4944"/>
    <d v="2023-12-16T00:00:00"/>
    <n v="0"/>
    <x v="0"/>
    <d v="2025-06-21T00:00:00"/>
    <s v="10–19"/>
    <s v="Under 16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3-03-23T00:00:00"/>
    <n v="0"/>
    <x v="0"/>
    <d v="2025-06-06T00:00:00"/>
    <s v="20–29"/>
    <s v="20–29"/>
  </r>
  <r>
    <n v="28"/>
    <x v="2"/>
    <n v="2"/>
    <s v="Fri, Mon"/>
    <b v="0"/>
    <d v="1899-12-30T09:20:00"/>
    <d v="1899-12-30T11:57:00"/>
    <n v="157"/>
    <x v="0"/>
    <b v="1"/>
    <b v="1"/>
    <s v="Female"/>
    <x v="2"/>
    <x v="1"/>
    <n v="15"/>
    <x v="1"/>
    <n v="0"/>
    <n v="15"/>
    <x v="2"/>
    <s v="San Francisco, CA"/>
    <n v="37.774900000000002"/>
    <n v="-122.4194"/>
    <d v="2023-12-17T00:00:00"/>
    <n v="2"/>
    <x v="1"/>
    <d v="2025-06-21T00:00:00"/>
    <s v="20–29"/>
    <s v="20–29"/>
  </r>
  <r>
    <n v="44"/>
    <x v="2"/>
    <n v="3"/>
    <s v="Sat, Sun, Wed"/>
    <b v="1"/>
    <d v="1899-12-30T10:11:00"/>
    <d v="1899-12-30T11:30:00"/>
    <n v="79"/>
    <x v="1"/>
    <b v="1"/>
    <b v="1"/>
    <s v="Male"/>
    <x v="2"/>
    <x v="2"/>
    <n v="18"/>
    <x v="1"/>
    <n v="0"/>
    <n v="18"/>
    <x v="2"/>
    <s v="Anaheim, CA"/>
    <n v="33.836599999999997"/>
    <n v="-117.9143"/>
    <d v="2022-12-28T00:00:00"/>
    <n v="6"/>
    <x v="0"/>
    <d v="2025-06-01T00:00:00"/>
    <s v="40–49"/>
    <s v="40–49"/>
  </r>
  <r>
    <n v="38"/>
    <x v="0"/>
    <n v="4"/>
    <s v="Fri, Mon, Sun, Thu"/>
    <b v="1"/>
    <d v="1899-12-30T12:50:00"/>
    <d v="1899-12-30T14:19:00"/>
    <n v="89"/>
    <x v="0"/>
    <b v="0"/>
    <b v="1"/>
    <s v="Female"/>
    <x v="0"/>
    <x v="0"/>
    <n v="50"/>
    <x v="1"/>
    <n v="0"/>
    <n v="50"/>
    <x v="0"/>
    <s v="Los Angeles, CA"/>
    <n v="34.052199999999999"/>
    <n v="-118.2437"/>
    <d v="2023-11-13T00:00:00"/>
    <n v="0"/>
    <x v="0"/>
    <d v="2025-06-19T00:00:00"/>
    <s v="30–39"/>
    <s v="30–39"/>
  </r>
  <r>
    <n v="19"/>
    <x v="1"/>
    <n v="2"/>
    <s v="Thu, Wed"/>
    <b v="1"/>
    <d v="1899-12-30T17:13:00"/>
    <d v="1899-12-30T19:26:00"/>
    <n v="133"/>
    <x v="1"/>
    <b v="1"/>
    <b v="0"/>
    <s v="Prefer not to say"/>
    <x v="1"/>
    <x v="0"/>
    <n v="30"/>
    <x v="0"/>
    <n v="0.05"/>
    <n v="28.5"/>
    <x v="1"/>
    <s v="Sacramento, CA"/>
    <n v="38.581600000000002"/>
    <n v="-121.4944"/>
    <d v="2023-11-03T00:00:00"/>
    <n v="3"/>
    <x v="1"/>
    <d v="2025-06-19T00:00:00"/>
    <s v="10–19"/>
    <s v="16–19"/>
  </r>
  <r>
    <n v="27"/>
    <x v="0"/>
    <n v="3"/>
    <s v="Fri, Sat, Thu"/>
    <b v="1"/>
    <d v="1899-12-30T10:48:00"/>
    <d v="1899-12-30T13:15:00"/>
    <n v="147"/>
    <x v="1"/>
    <b v="0"/>
    <b v="0"/>
    <s v="Non-binary"/>
    <x v="0"/>
    <x v="1"/>
    <n v="37.5"/>
    <x v="1"/>
    <n v="0"/>
    <n v="37.5"/>
    <x v="0"/>
    <s v="Anaheim, CA"/>
    <n v="33.836599999999997"/>
    <n v="-117.9143"/>
    <d v="2022-12-02T00:00:00"/>
    <n v="0"/>
    <x v="0"/>
    <d v="2025-05-31T00:00:00"/>
    <s v="20–29"/>
    <s v="20–29"/>
  </r>
  <r>
    <n v="35"/>
    <x v="0"/>
    <n v="2"/>
    <s v="Sat, Wed"/>
    <b v="1"/>
    <d v="1899-12-30T20:14:00"/>
    <d v="1899-12-30T22:30:00"/>
    <n v="136"/>
    <x v="1"/>
    <b v="1"/>
    <b v="1"/>
    <s v="Male"/>
    <x v="0"/>
    <x v="0"/>
    <n v="50"/>
    <x v="0"/>
    <n v="0.05"/>
    <n v="47.5"/>
    <x v="0"/>
    <s v="Sacramento, CA"/>
    <n v="38.581600000000002"/>
    <n v="-121.4944"/>
    <d v="2024-04-19T00:00:00"/>
    <n v="4"/>
    <x v="0"/>
    <d v="2025-06-28T00:00:00"/>
    <s v="30–39"/>
    <s v="30–39"/>
  </r>
  <r>
    <n v="43"/>
    <x v="0"/>
    <n v="1"/>
    <s v="Wed"/>
    <b v="0"/>
    <d v="1899-12-30T19:38:00"/>
    <d v="1899-12-30T20:56:00"/>
    <n v="78"/>
    <x v="1"/>
    <b v="0"/>
    <b v="0"/>
    <s v="Male"/>
    <x v="0"/>
    <x v="1"/>
    <n v="37.5"/>
    <x v="3"/>
    <n v="0.15"/>
    <n v="31.875"/>
    <x v="0"/>
    <s v="Anaheim, CA"/>
    <n v="33.836599999999997"/>
    <n v="-117.9143"/>
    <d v="2025-01-31T00:00:00"/>
    <n v="0"/>
    <x v="0"/>
    <d v="2025-07-14T00:00:00"/>
    <s v="40–49"/>
    <s v="40–49"/>
  </r>
  <r>
    <n v="37"/>
    <x v="3"/>
    <n v="1"/>
    <s v="Wed"/>
    <b v="1"/>
    <d v="1899-12-30T15:26:00"/>
    <d v="1899-12-30T16:15:00"/>
    <n v="49"/>
    <x v="1"/>
    <b v="0"/>
    <b v="0"/>
    <s v="Female"/>
    <x v="3"/>
    <x v="0"/>
    <n v="70"/>
    <x v="0"/>
    <n v="0.05"/>
    <n v="66.5"/>
    <x v="3"/>
    <s v="San Diego, CA"/>
    <n v="32.715699999999998"/>
    <n v="-117.1611"/>
    <d v="2025-05-23T00:00:00"/>
    <n v="0"/>
    <x v="0"/>
    <d v="2025-07-21T00:00:00"/>
    <s v="30–39"/>
    <s v="30–39"/>
  </r>
  <r>
    <n v="13"/>
    <x v="0"/>
    <n v="2"/>
    <s v="Sat, Sun"/>
    <b v="1"/>
    <d v="1899-12-30T08:25:00"/>
    <d v="1899-12-30T09:16:00"/>
    <n v="51"/>
    <x v="1"/>
    <b v="1"/>
    <b v="0"/>
    <s v="Female"/>
    <x v="0"/>
    <x v="0"/>
    <n v="50"/>
    <x v="1"/>
    <n v="0"/>
    <n v="50"/>
    <x v="0"/>
    <s v="San Jose, CA"/>
    <n v="37.338200000000001"/>
    <n v="-121.88630000000001"/>
    <d v="2023-04-10T00:00:00"/>
    <n v="4"/>
    <x v="1"/>
    <d v="2025-06-07T00:00:00"/>
    <s v="10–19"/>
    <s v="Under 16"/>
  </r>
  <r>
    <n v="24"/>
    <x v="0"/>
    <n v="2"/>
    <s v="Sat, Thu"/>
    <b v="1"/>
    <d v="1899-12-30T18:33:00"/>
    <d v="1899-12-30T20:28:00"/>
    <n v="115"/>
    <x v="1"/>
    <b v="0"/>
    <b v="0"/>
    <s v="Male"/>
    <x v="0"/>
    <x v="0"/>
    <n v="50"/>
    <x v="0"/>
    <n v="0.05"/>
    <n v="47.5"/>
    <x v="0"/>
    <s v="Bakersfield, CA"/>
    <n v="35.3733"/>
    <n v="-119.0187"/>
    <d v="2023-09-01T00:00:00"/>
    <n v="0"/>
    <x v="1"/>
    <d v="2025-06-15T00:00:00"/>
    <s v="20–29"/>
    <s v="20–29"/>
  </r>
  <r>
    <n v="45"/>
    <x v="0"/>
    <n v="3"/>
    <s v="Mon, Sat, Tue"/>
    <b v="0"/>
    <d v="1899-12-30T13:10:00"/>
    <d v="1899-12-30T15:15:00"/>
    <n v="125"/>
    <x v="1"/>
    <b v="0"/>
    <b v="1"/>
    <s v="Male"/>
    <x v="0"/>
    <x v="0"/>
    <n v="50"/>
    <x v="1"/>
    <n v="0"/>
    <n v="50"/>
    <x v="0"/>
    <s v="Bakersfield, CA"/>
    <n v="35.3733"/>
    <n v="-119.0187"/>
    <d v="2023-06-04T00:00:00"/>
    <n v="0"/>
    <x v="0"/>
    <d v="2025-06-10T00:00:00"/>
    <s v="40–49"/>
    <s v="40–49"/>
  </r>
  <r>
    <n v="23"/>
    <x v="2"/>
    <n v="4"/>
    <s v="Mon, Sun, Thu, Tue"/>
    <b v="1"/>
    <d v="1899-12-30T10:23:00"/>
    <d v="1899-12-30T12:29:00"/>
    <n v="126"/>
    <x v="1"/>
    <b v="1"/>
    <b v="0"/>
    <s v="Other (self-described)"/>
    <x v="2"/>
    <x v="0"/>
    <n v="20"/>
    <x v="2"/>
    <n v="0.1"/>
    <n v="18"/>
    <x v="2"/>
    <s v="San Diego, CA"/>
    <n v="32.715699999999998"/>
    <n v="-117.1611"/>
    <d v="2024-11-08T00:00:00"/>
    <n v="6"/>
    <x v="0"/>
    <d v="2025-07-10T00:00:00"/>
    <s v="20–29"/>
    <s v="20–29"/>
  </r>
  <r>
    <n v="47"/>
    <x v="2"/>
    <n v="5"/>
    <s v="Sat, Sun, Thu, Tue, Wed"/>
    <b v="0"/>
    <d v="1899-12-30T11:26:00"/>
    <d v="1899-12-30T12:55:00"/>
    <n v="89"/>
    <x v="0"/>
    <b v="0"/>
    <b v="1"/>
    <s v="Non-binary"/>
    <x v="2"/>
    <x v="0"/>
    <n v="20"/>
    <x v="3"/>
    <n v="0.15"/>
    <n v="17"/>
    <x v="2"/>
    <s v="San Jose, CA"/>
    <n v="37.338200000000001"/>
    <n v="-121.88630000000001"/>
    <d v="2025-01-28T00:00:00"/>
    <n v="0"/>
    <x v="1"/>
    <d v="2025-07-14T00:00:00"/>
    <s v="40–49"/>
    <s v="40–49"/>
  </r>
  <r>
    <n v="47"/>
    <x v="1"/>
    <n v="1"/>
    <s v="Sun"/>
    <b v="1"/>
    <d v="1899-12-30T12:24:00"/>
    <d v="1899-12-30T13:14:00"/>
    <n v="50"/>
    <x v="0"/>
    <b v="1"/>
    <b v="1"/>
    <s v="Male"/>
    <x v="1"/>
    <x v="1"/>
    <n v="22.5"/>
    <x v="0"/>
    <n v="0.05"/>
    <n v="21.375"/>
    <x v="1"/>
    <s v="San Francisco, CA"/>
    <n v="37.774900000000002"/>
    <n v="-122.4194"/>
    <d v="2025-06-07T00:00:00"/>
    <n v="2"/>
    <x v="1"/>
    <d v="2025-07-22T00:00:00"/>
    <s v="40–49"/>
    <s v="40–49"/>
  </r>
  <r>
    <n v="32"/>
    <x v="3"/>
    <n v="3"/>
    <s v="Sat, Sun, Thu"/>
    <b v="0"/>
    <d v="1899-12-30T14:01:00"/>
    <d v="1899-12-30T16:17:00"/>
    <n v="136"/>
    <x v="0"/>
    <b v="0"/>
    <b v="0"/>
    <s v="Female"/>
    <x v="3"/>
    <x v="0"/>
    <n v="70"/>
    <x v="1"/>
    <n v="0"/>
    <n v="70"/>
    <x v="3"/>
    <s v="Anaheim, CA"/>
    <n v="33.836599999999997"/>
    <n v="-117.9143"/>
    <d v="2024-06-14T00:00:00"/>
    <n v="0"/>
    <x v="1"/>
    <d v="2025-07-01T00:00:00"/>
    <s v="30–39"/>
    <s v="30–39"/>
  </r>
  <r>
    <n v="19"/>
    <x v="2"/>
    <n v="2"/>
    <s v="Sat, Tue"/>
    <b v="0"/>
    <d v="1899-12-30T16:57:00"/>
    <d v="1899-12-30T18:54:00"/>
    <n v="117"/>
    <x v="1"/>
    <b v="1"/>
    <b v="0"/>
    <s v="Female"/>
    <x v="2"/>
    <x v="1"/>
    <n v="15"/>
    <x v="1"/>
    <n v="0"/>
    <n v="15"/>
    <x v="2"/>
    <s v="Sacramento, CA"/>
    <n v="38.581600000000002"/>
    <n v="-121.4944"/>
    <d v="2023-10-03T00:00:00"/>
    <n v="8"/>
    <x v="0"/>
    <d v="2025-06-17T00:00:00"/>
    <s v="10–19"/>
    <s v="16–1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4-05-01T00:00:00"/>
    <n v="5"/>
    <x v="1"/>
    <d v="2025-06-29T00:00:00"/>
    <s v="10–19"/>
    <s v="16–19"/>
  </r>
  <r>
    <n v="24"/>
    <x v="2"/>
    <n v="5"/>
    <s v="Fri, Sat, Sun, Thu, Wed"/>
    <b v="1"/>
    <d v="1899-12-30T09:06:00"/>
    <d v="1899-12-30T10:19:00"/>
    <n v="73"/>
    <x v="1"/>
    <b v="0"/>
    <b v="1"/>
    <s v="Male"/>
    <x v="2"/>
    <x v="0"/>
    <n v="20"/>
    <x v="1"/>
    <n v="0"/>
    <n v="20"/>
    <x v="2"/>
    <s v="Los Angeles, CA"/>
    <n v="34.052199999999999"/>
    <n v="-118.2437"/>
    <d v="2024-03-14T00:00:00"/>
    <n v="0"/>
    <x v="1"/>
    <d v="2025-06-26T00:00:00"/>
    <s v="20–29"/>
    <s v="20–29"/>
  </r>
  <r>
    <n v="23"/>
    <x v="1"/>
    <n v="1"/>
    <s v="Wed"/>
    <b v="1"/>
    <d v="1899-12-30T19:00:00"/>
    <d v="1899-12-30T19:49:00"/>
    <n v="49"/>
    <x v="1"/>
    <b v="0"/>
    <b v="1"/>
    <s v="Female"/>
    <x v="1"/>
    <x v="0"/>
    <n v="30"/>
    <x v="0"/>
    <n v="0.05"/>
    <n v="28.5"/>
    <x v="1"/>
    <s v="Bakersfield, CA"/>
    <n v="35.3733"/>
    <n v="-119.0187"/>
    <d v="2022-11-03T00:00:00"/>
    <n v="0"/>
    <x v="1"/>
    <d v="2025-05-29T00:00:00"/>
    <s v="20–29"/>
    <s v="20–29"/>
  </r>
  <r>
    <n v="30"/>
    <x v="2"/>
    <n v="4"/>
    <s v="Fri, Mon, Sat, Wed"/>
    <b v="1"/>
    <d v="1899-12-30T09:21:00"/>
    <d v="1899-12-30T11:31:00"/>
    <n v="130"/>
    <x v="1"/>
    <b v="1"/>
    <b v="1"/>
    <s v="Prefer not to say"/>
    <x v="2"/>
    <x v="0"/>
    <n v="20"/>
    <x v="3"/>
    <n v="0.15"/>
    <n v="17"/>
    <x v="2"/>
    <s v="Los Angeles, CA"/>
    <n v="34.052199999999999"/>
    <n v="-118.2437"/>
    <d v="2024-06-17T00:00:00"/>
    <n v="4"/>
    <x v="1"/>
    <d v="2025-07-02T00:00:00"/>
    <s v="30–39"/>
    <s v="30–39"/>
  </r>
  <r>
    <n v="49"/>
    <x v="1"/>
    <n v="3"/>
    <s v="Sun, Tue, Wed"/>
    <b v="1"/>
    <d v="1899-12-30T17:10:00"/>
    <d v="1899-12-30T18:03:00"/>
    <n v="53"/>
    <x v="1"/>
    <b v="1"/>
    <b v="1"/>
    <s v="Prefer not to say"/>
    <x v="1"/>
    <x v="2"/>
    <n v="27"/>
    <x v="2"/>
    <n v="0.1"/>
    <n v="24.3"/>
    <x v="1"/>
    <s v="Los Angeles, CA"/>
    <n v="34.052199999999999"/>
    <n v="-118.2437"/>
    <d v="2023-03-11T00:00:00"/>
    <n v="8"/>
    <x v="1"/>
    <d v="2025-06-05T00:00:00"/>
    <s v="40–49"/>
    <s v="40–49"/>
  </r>
  <r>
    <n v="42"/>
    <x v="0"/>
    <n v="1"/>
    <s v="Thu"/>
    <b v="1"/>
    <d v="1899-12-30T12:52:00"/>
    <d v="1899-12-30T14:18:00"/>
    <n v="86"/>
    <x v="0"/>
    <b v="0"/>
    <b v="0"/>
    <s v="Female"/>
    <x v="0"/>
    <x v="0"/>
    <n v="50"/>
    <x v="2"/>
    <n v="0.1"/>
    <n v="45"/>
    <x v="0"/>
    <s v="Long Beach, CA"/>
    <n v="33.770099999999999"/>
    <n v="-118.19370000000001"/>
    <d v="2024-04-26T00:00:00"/>
    <n v="0"/>
    <x v="0"/>
    <d v="2025-06-29T00:00:00"/>
    <s v="40–49"/>
    <s v="40–49"/>
  </r>
  <r>
    <n v="39"/>
    <x v="1"/>
    <n v="3"/>
    <s v="Mon, Thu, Tue"/>
    <b v="0"/>
    <d v="1899-12-30T18:07:00"/>
    <d v="1899-12-30T20:59:00"/>
    <n v="172"/>
    <x v="1"/>
    <b v="0"/>
    <b v="0"/>
    <s v="Prefer not to say"/>
    <x v="1"/>
    <x v="0"/>
    <n v="30"/>
    <x v="1"/>
    <n v="0"/>
    <n v="30"/>
    <x v="1"/>
    <s v="Fresno, CA"/>
    <n v="36.7378"/>
    <n v="-119.7871"/>
    <d v="2023-08-30T00:00:00"/>
    <n v="0"/>
    <x v="1"/>
    <d v="2025-06-15T00:00:00"/>
    <s v="30–39"/>
    <s v="30–39"/>
  </r>
  <r>
    <n v="29"/>
    <x v="1"/>
    <n v="3"/>
    <s v="Mon, Sat, Thu"/>
    <b v="1"/>
    <d v="1899-12-30T20:43:00"/>
    <d v="1899-12-30T21:23:00"/>
    <n v="40"/>
    <x v="1"/>
    <b v="0"/>
    <b v="0"/>
    <s v="Other (self-described)"/>
    <x v="1"/>
    <x v="2"/>
    <n v="27"/>
    <x v="1"/>
    <n v="0"/>
    <n v="27"/>
    <x v="1"/>
    <s v="San Francisco, CA"/>
    <n v="37.774900000000002"/>
    <n v="-122.4194"/>
    <d v="2022-12-17T00:00:00"/>
    <n v="0"/>
    <x v="1"/>
    <d v="2025-06-01T00:00:00"/>
    <s v="20–29"/>
    <s v="20–29"/>
  </r>
  <r>
    <n v="33"/>
    <x v="2"/>
    <n v="2"/>
    <s v="Fri, Tue"/>
    <b v="1"/>
    <d v="1899-12-30T09:24:00"/>
    <d v="1899-12-30T12:24:00"/>
    <n v="180"/>
    <x v="0"/>
    <b v="1"/>
    <b v="0"/>
    <s v="Female"/>
    <x v="2"/>
    <x v="2"/>
    <n v="18"/>
    <x v="1"/>
    <n v="0"/>
    <n v="18"/>
    <x v="2"/>
    <s v="Fresno, CA"/>
    <n v="36.7378"/>
    <n v="-119.7871"/>
    <d v="2022-09-15T00:00:00"/>
    <n v="2"/>
    <x v="1"/>
    <d v="2025-05-27T00:00:00"/>
    <s v="30–39"/>
    <s v="30–39"/>
  </r>
  <r>
    <n v="40"/>
    <x v="0"/>
    <n v="2"/>
    <s v="Sat, Thu"/>
    <b v="1"/>
    <d v="1899-12-30T18:52:00"/>
    <d v="1899-12-30T19:42:00"/>
    <n v="50"/>
    <x v="1"/>
    <b v="0"/>
    <b v="1"/>
    <s v="Male"/>
    <x v="0"/>
    <x v="1"/>
    <n v="37.5"/>
    <x v="1"/>
    <n v="0"/>
    <n v="37.5"/>
    <x v="0"/>
    <s v="Los Angeles, CA"/>
    <n v="34.052199999999999"/>
    <n v="-118.2437"/>
    <d v="2025-01-17T00:00:00"/>
    <n v="0"/>
    <x v="1"/>
    <d v="2025-07-14T00:00:00"/>
    <s v="40–49"/>
    <s v="40–49"/>
  </r>
  <r>
    <n v="20"/>
    <x v="0"/>
    <n v="3"/>
    <s v="Fri, Thu, Tue"/>
    <b v="0"/>
    <d v="1899-12-30T08:23:00"/>
    <d v="1899-12-30T11:22:00"/>
    <n v="179"/>
    <x v="0"/>
    <b v="0"/>
    <b v="0"/>
    <s v="Male"/>
    <x v="0"/>
    <x v="0"/>
    <n v="50"/>
    <x v="0"/>
    <n v="0.05"/>
    <n v="47.5"/>
    <x v="0"/>
    <s v="San Diego, CA"/>
    <n v="32.715699999999998"/>
    <n v="-117.1611"/>
    <d v="2022-10-10T00:00:00"/>
    <n v="0"/>
    <x v="0"/>
    <d v="2025-05-28T00:00:00"/>
    <s v="20–29"/>
    <s v="20–29"/>
  </r>
  <r>
    <n v="38"/>
    <x v="2"/>
    <n v="1"/>
    <s v="Tue"/>
    <b v="0"/>
    <d v="1899-12-30T14:12:00"/>
    <d v="1899-12-30T14:59:00"/>
    <n v="47"/>
    <x v="0"/>
    <b v="0"/>
    <b v="0"/>
    <s v="Prefer not to say"/>
    <x v="2"/>
    <x v="0"/>
    <n v="20"/>
    <x v="1"/>
    <n v="0"/>
    <n v="20"/>
    <x v="2"/>
    <s v="Sacramento, CA"/>
    <n v="38.581600000000002"/>
    <n v="-121.4944"/>
    <d v="2024-01-15T00:00:00"/>
    <n v="0"/>
    <x v="1"/>
    <d v="2025-06-23T00:00:00"/>
    <s v="30–39"/>
    <s v="30–39"/>
  </r>
  <r>
    <n v="33"/>
    <x v="3"/>
    <n v="3"/>
    <s v="Mon, Sat, Thu"/>
    <b v="0"/>
    <d v="1899-12-30T19:30:00"/>
    <d v="1899-12-30T21:59:00"/>
    <n v="149"/>
    <x v="1"/>
    <b v="0"/>
    <b v="1"/>
    <s v="Male"/>
    <x v="3"/>
    <x v="1"/>
    <n v="52.5"/>
    <x v="1"/>
    <n v="0"/>
    <n v="52.5"/>
    <x v="3"/>
    <s v="Fresno, CA"/>
    <n v="36.7378"/>
    <n v="-119.7871"/>
    <d v="2024-09-20T00:00:00"/>
    <n v="0"/>
    <x v="1"/>
    <d v="2025-07-07T00:00:00"/>
    <s v="30–39"/>
    <s v="30–39"/>
  </r>
  <r>
    <n v="26"/>
    <x v="0"/>
    <n v="1"/>
    <s v="Fri"/>
    <b v="1"/>
    <d v="1899-12-30T12:45:00"/>
    <d v="1899-12-30T14:09:00"/>
    <n v="84"/>
    <x v="1"/>
    <b v="1"/>
    <b v="1"/>
    <s v="Other (self-described)"/>
    <x v="0"/>
    <x v="0"/>
    <n v="50"/>
    <x v="1"/>
    <n v="0"/>
    <n v="50"/>
    <x v="0"/>
    <s v="Bakersfield, CA"/>
    <n v="35.3733"/>
    <n v="-119.0187"/>
    <d v="2024-02-20T00:00:00"/>
    <n v="6"/>
    <x v="0"/>
    <d v="2025-06-25T00:00:00"/>
    <s v="20–29"/>
    <s v="20–29"/>
  </r>
  <r>
    <n v="27"/>
    <x v="0"/>
    <n v="2"/>
    <s v="Sun, Thu"/>
    <b v="0"/>
    <d v="1899-12-30T11:23:00"/>
    <d v="1899-12-30T13:00:00"/>
    <n v="97"/>
    <x v="0"/>
    <b v="1"/>
    <b v="1"/>
    <s v="Prefer not to say"/>
    <x v="0"/>
    <x v="0"/>
    <n v="50"/>
    <x v="3"/>
    <n v="0.15"/>
    <n v="42.5"/>
    <x v="0"/>
    <s v="Fresno, CA"/>
    <n v="36.7378"/>
    <n v="-119.7871"/>
    <d v="2022-08-14T00:00:00"/>
    <n v="1"/>
    <x v="0"/>
    <d v="2025-05-25T00:00:00"/>
    <s v="20–29"/>
    <s v="20–29"/>
  </r>
  <r>
    <n v="20"/>
    <x v="2"/>
    <n v="3"/>
    <s v="Mon, Thu, Wed"/>
    <b v="1"/>
    <d v="1899-12-30T10:42:00"/>
    <d v="1899-12-30T13:13:00"/>
    <n v="151"/>
    <x v="1"/>
    <b v="1"/>
    <b v="0"/>
    <s v="Female"/>
    <x v="2"/>
    <x v="0"/>
    <n v="20"/>
    <x v="1"/>
    <n v="0"/>
    <n v="20"/>
    <x v="2"/>
    <s v="Bakersfield, CA"/>
    <n v="35.3733"/>
    <n v="-119.0187"/>
    <d v="2024-01-15T00:00:00"/>
    <n v="5"/>
    <x v="1"/>
    <d v="2025-06-23T00:00:00"/>
    <s v="20–29"/>
    <s v="20–29"/>
  </r>
  <r>
    <n v="23"/>
    <x v="0"/>
    <n v="4"/>
    <s v="Fri, Sat, Sun, Tue"/>
    <b v="1"/>
    <d v="1899-12-30T09:17:00"/>
    <d v="1899-12-30T09:49:00"/>
    <n v="32"/>
    <x v="0"/>
    <b v="0"/>
    <b v="0"/>
    <s v="Male"/>
    <x v="0"/>
    <x v="0"/>
    <n v="50"/>
    <x v="2"/>
    <n v="0.1"/>
    <n v="45"/>
    <x v="0"/>
    <s v="Bakersfield, CA"/>
    <n v="35.3733"/>
    <n v="-119.0187"/>
    <d v="2024-07-07T00:00:00"/>
    <n v="0"/>
    <x v="0"/>
    <d v="2025-07-03T00:00:00"/>
    <s v="20–29"/>
    <s v="20–29"/>
  </r>
  <r>
    <n v="12"/>
    <x v="1"/>
    <n v="5"/>
    <s v="Fri, Mon, Sun, Thu, Wed"/>
    <b v="0"/>
    <d v="1899-12-30T10:25:00"/>
    <d v="1899-12-30T12:18:00"/>
    <n v="113"/>
    <x v="0"/>
    <b v="0"/>
    <b v="1"/>
    <s v="Male"/>
    <x v="1"/>
    <x v="0"/>
    <n v="30"/>
    <x v="1"/>
    <n v="0"/>
    <n v="30"/>
    <x v="1"/>
    <s v="Los Angeles, CA"/>
    <n v="34.052199999999999"/>
    <n v="-118.2437"/>
    <d v="2023-08-18T00:00:00"/>
    <n v="0"/>
    <x v="1"/>
    <d v="2025-06-14T00:00:00"/>
    <s v="10–19"/>
    <s v="Under 16"/>
  </r>
  <r>
    <n v="41"/>
    <x v="2"/>
    <n v="2"/>
    <s v="Sun, Tue"/>
    <b v="1"/>
    <d v="1899-12-30T14:06:00"/>
    <d v="1899-12-30T16:06:00"/>
    <n v="120"/>
    <x v="1"/>
    <b v="1"/>
    <b v="1"/>
    <s v="Prefer not to say"/>
    <x v="2"/>
    <x v="0"/>
    <n v="20"/>
    <x v="3"/>
    <n v="0.15"/>
    <n v="17"/>
    <x v="2"/>
    <s v="Anaheim, CA"/>
    <n v="33.836599999999997"/>
    <n v="-117.9143"/>
    <d v="2024-10-10T00:00:00"/>
    <n v="3"/>
    <x v="1"/>
    <d v="2025-07-08T00:00:00"/>
    <s v="40–49"/>
    <s v="40–49"/>
  </r>
  <r>
    <n v="32"/>
    <x v="1"/>
    <n v="3"/>
    <s v="Fri, Sun, Tue"/>
    <b v="1"/>
    <d v="1899-12-30T12:16:00"/>
    <d v="1899-12-30T13:03:00"/>
    <n v="47"/>
    <x v="0"/>
    <b v="1"/>
    <b v="0"/>
    <s v="Male"/>
    <x v="1"/>
    <x v="2"/>
    <n v="27"/>
    <x v="1"/>
    <n v="0"/>
    <n v="27"/>
    <x v="1"/>
    <s v="Fresno, CA"/>
    <n v="36.7378"/>
    <n v="-119.7871"/>
    <d v="2025-04-03T00:00:00"/>
    <n v="4"/>
    <x v="1"/>
    <d v="2025-07-18T00:00:00"/>
    <s v="30–39"/>
    <s v="30–39"/>
  </r>
  <r>
    <n v="44"/>
    <x v="3"/>
    <n v="5"/>
    <s v="Fri, Sun, Thu, Tue, Wed"/>
    <b v="1"/>
    <d v="1899-12-30T20:04:00"/>
    <d v="1899-12-30T22:29:00"/>
    <n v="145"/>
    <x v="0"/>
    <b v="1"/>
    <b v="1"/>
    <s v="Female"/>
    <x v="3"/>
    <x v="0"/>
    <n v="70"/>
    <x v="3"/>
    <n v="0.15"/>
    <n v="59.5"/>
    <x v="3"/>
    <s v="San Francisco, CA"/>
    <n v="37.774900000000002"/>
    <n v="-122.4194"/>
    <d v="2025-02-05T00:00:00"/>
    <n v="2"/>
    <x v="0"/>
    <d v="2025-07-15T00:00:00"/>
    <s v="40–49"/>
    <s v="40–4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5-02-06T00:00:00"/>
    <n v="1"/>
    <x v="0"/>
    <d v="2025-07-15T00:00:00"/>
    <s v="20–29"/>
    <s v="20–29"/>
  </r>
  <r>
    <n v="20"/>
    <x v="0"/>
    <n v="3"/>
    <s v="Sat, Sun, Thu"/>
    <b v="0"/>
    <d v="1899-12-30T10:32:00"/>
    <d v="1899-12-30T11:09:00"/>
    <n v="37"/>
    <x v="0"/>
    <b v="0"/>
    <b v="1"/>
    <s v="Female"/>
    <x v="0"/>
    <x v="0"/>
    <n v="50"/>
    <x v="3"/>
    <n v="0.15"/>
    <n v="42.5"/>
    <x v="0"/>
    <s v="San Francisco, CA"/>
    <n v="37.774900000000002"/>
    <n v="-122.4194"/>
    <d v="2025-01-12T00:00:00"/>
    <n v="0"/>
    <x v="0"/>
    <d v="2025-07-13T00:00:00"/>
    <s v="20–29"/>
    <s v="20–29"/>
  </r>
  <r>
    <n v="35"/>
    <x v="2"/>
    <n v="3"/>
    <s v="Fri, Thu, Tue"/>
    <b v="1"/>
    <d v="1899-12-30T13:32:00"/>
    <d v="1899-12-30T16:19:00"/>
    <n v="167"/>
    <x v="0"/>
    <b v="0"/>
    <b v="0"/>
    <s v="Male"/>
    <x v="2"/>
    <x v="1"/>
    <n v="15"/>
    <x v="3"/>
    <n v="0.15"/>
    <n v="12.75"/>
    <x v="2"/>
    <s v="San Diego, CA"/>
    <n v="32.715699999999998"/>
    <n v="-117.1611"/>
    <d v="2025-01-26T00:00:00"/>
    <n v="0"/>
    <x v="0"/>
    <d v="2025-07-14T00:00:00"/>
    <s v="30–39"/>
    <s v="30–39"/>
  </r>
  <r>
    <n v="48"/>
    <x v="0"/>
    <n v="2"/>
    <s v="Thu, Wed"/>
    <b v="0"/>
    <d v="1899-12-30T17:14:00"/>
    <d v="1899-12-30T20:05:00"/>
    <n v="171"/>
    <x v="0"/>
    <b v="1"/>
    <b v="1"/>
    <s v="Male"/>
    <x v="0"/>
    <x v="1"/>
    <n v="37.5"/>
    <x v="1"/>
    <n v="0"/>
    <n v="37.5"/>
    <x v="0"/>
    <s v="San Francisco, CA"/>
    <n v="37.774900000000002"/>
    <n v="-122.4194"/>
    <d v="2023-08-10T00:00:00"/>
    <n v="3"/>
    <x v="0"/>
    <d v="2025-06-14T00:00:00"/>
    <s v="40–49"/>
    <s v="40–49"/>
  </r>
  <r>
    <n v="22"/>
    <x v="0"/>
    <n v="3"/>
    <s v="Sat, Sun, Wed"/>
    <b v="1"/>
    <d v="1899-12-30T17:57:00"/>
    <d v="1899-12-30T19:46:00"/>
    <n v="109"/>
    <x v="0"/>
    <b v="1"/>
    <b v="0"/>
    <s v="Male"/>
    <x v="0"/>
    <x v="0"/>
    <n v="50"/>
    <x v="0"/>
    <n v="0.05"/>
    <n v="47.5"/>
    <x v="0"/>
    <s v="Sacramento, CA"/>
    <n v="38.581600000000002"/>
    <n v="-121.4944"/>
    <d v="2024-12-11T00:00:00"/>
    <n v="7"/>
    <x v="0"/>
    <d v="2025-07-12T00:00:00"/>
    <s v="20–29"/>
    <s v="20–29"/>
  </r>
  <r>
    <n v="22"/>
    <x v="0"/>
    <n v="1"/>
    <s v="Fri"/>
    <b v="0"/>
    <d v="1899-12-30T11:31:00"/>
    <d v="1899-12-30T12:13:00"/>
    <n v="42"/>
    <x v="1"/>
    <b v="1"/>
    <b v="1"/>
    <s v="Male"/>
    <x v="0"/>
    <x v="0"/>
    <n v="50"/>
    <x v="0"/>
    <n v="0.05"/>
    <n v="47.5"/>
    <x v="0"/>
    <s v="San Jose, CA"/>
    <n v="37.338200000000001"/>
    <n v="-121.88630000000001"/>
    <d v="2024-06-19T00:00:00"/>
    <n v="2"/>
    <x v="0"/>
    <d v="2025-07-02T00:00:00"/>
    <s v="20–29"/>
    <s v="20–29"/>
  </r>
  <r>
    <n v="30"/>
    <x v="1"/>
    <n v="4"/>
    <s v="Fri, Sat, Sun, Wed"/>
    <b v="1"/>
    <d v="1899-12-30T14:27:00"/>
    <d v="1899-12-30T16:09:00"/>
    <n v="102"/>
    <x v="0"/>
    <b v="1"/>
    <b v="0"/>
    <s v="Non-binary"/>
    <x v="1"/>
    <x v="0"/>
    <n v="30"/>
    <x v="2"/>
    <n v="0.1"/>
    <n v="27"/>
    <x v="1"/>
    <s v="San Diego, CA"/>
    <n v="32.715699999999998"/>
    <n v="-117.1611"/>
    <d v="2022-11-10T00:00:00"/>
    <n v="2"/>
    <x v="0"/>
    <d v="2025-05-30T00:00:00"/>
    <s v="30–39"/>
    <s v="30–39"/>
  </r>
  <r>
    <n v="47"/>
    <x v="0"/>
    <n v="1"/>
    <s v="Tue"/>
    <b v="1"/>
    <d v="1899-12-30T18:15:00"/>
    <d v="1899-12-30T19:59:00"/>
    <n v="104"/>
    <x v="1"/>
    <b v="0"/>
    <b v="1"/>
    <s v="Female"/>
    <x v="0"/>
    <x v="0"/>
    <n v="50"/>
    <x v="2"/>
    <n v="0.1"/>
    <n v="45"/>
    <x v="0"/>
    <s v="San Diego, CA"/>
    <n v="32.715699999999998"/>
    <n v="-117.1611"/>
    <d v="2024-02-04T00:00:00"/>
    <n v="0"/>
    <x v="0"/>
    <d v="2025-06-24T00:00:00"/>
    <s v="40–49"/>
    <s v="40–49"/>
  </r>
  <r>
    <n v="32"/>
    <x v="1"/>
    <n v="3"/>
    <s v="Mon, Sat, Wed"/>
    <b v="1"/>
    <d v="1899-12-30T17:29:00"/>
    <d v="1899-12-30T18:47:00"/>
    <n v="78"/>
    <x v="1"/>
    <b v="0"/>
    <b v="1"/>
    <s v="Male"/>
    <x v="1"/>
    <x v="1"/>
    <n v="22.5"/>
    <x v="0"/>
    <n v="0.05"/>
    <n v="21.375"/>
    <x v="1"/>
    <s v="Long Beach, CA"/>
    <n v="33.770099999999999"/>
    <n v="-118.19370000000001"/>
    <d v="2023-07-13T00:00:00"/>
    <n v="0"/>
    <x v="0"/>
    <d v="2025-06-12T00:00:00"/>
    <s v="30–39"/>
    <s v="30–39"/>
  </r>
  <r>
    <n v="20"/>
    <x v="2"/>
    <n v="3"/>
    <s v="Mon, Thu, Wed"/>
    <b v="1"/>
    <d v="1899-12-30T10:42:00"/>
    <d v="1899-12-30T13:13:00"/>
    <n v="151"/>
    <x v="1"/>
    <b v="1"/>
    <b v="0"/>
    <s v="Female"/>
    <x v="2"/>
    <x v="0"/>
    <n v="20"/>
    <x v="1"/>
    <n v="0"/>
    <n v="20"/>
    <x v="2"/>
    <s v="Bakersfield, CA"/>
    <n v="35.3733"/>
    <n v="-119.0187"/>
    <d v="2024-12-21T00:00:00"/>
    <n v="3"/>
    <x v="0"/>
    <d v="2025-07-12T00:00:00"/>
    <s v="20–29"/>
    <s v="20–29"/>
  </r>
  <r>
    <n v="40"/>
    <x v="0"/>
    <n v="3"/>
    <s v="Mon, Thu, Tue"/>
    <b v="1"/>
    <d v="1899-12-30T19:59:00"/>
    <d v="1899-12-30T21:04:00"/>
    <n v="65"/>
    <x v="0"/>
    <b v="1"/>
    <b v="0"/>
    <s v="Other (self-described)"/>
    <x v="0"/>
    <x v="1"/>
    <n v="37.5"/>
    <x v="1"/>
    <n v="0"/>
    <n v="37.5"/>
    <x v="0"/>
    <s v="Oakland, CA"/>
    <n v="37.804400000000001"/>
    <n v="-122.27119999999999"/>
    <d v="2024-11-30T00:00:00"/>
    <n v="1"/>
    <x v="1"/>
    <d v="2025-07-11T00:00:00"/>
    <s v="40–49"/>
    <s v="40–49"/>
  </r>
  <r>
    <n v="25"/>
    <x v="1"/>
    <n v="4"/>
    <s v="Fri, Mon, Tue, Wed"/>
    <b v="0"/>
    <d v="1899-12-30T19:23:00"/>
    <d v="1899-12-30T20:48:00"/>
    <n v="85"/>
    <x v="0"/>
    <b v="0"/>
    <b v="1"/>
    <s v="Female"/>
    <x v="1"/>
    <x v="1"/>
    <n v="22.5"/>
    <x v="2"/>
    <n v="0.1"/>
    <n v="20.25"/>
    <x v="1"/>
    <s v="San Jose, CA"/>
    <n v="37.338200000000001"/>
    <n v="-121.88630000000001"/>
    <d v="2025-05-10T00:00:00"/>
    <n v="0"/>
    <x v="1"/>
    <d v="2025-07-20T00:00:00"/>
    <s v="20–29"/>
    <s v="20–29"/>
  </r>
  <r>
    <n v="45"/>
    <x v="2"/>
    <n v="3"/>
    <s v="Fri, Mon, Wed"/>
    <b v="1"/>
    <d v="1899-12-30T15:39:00"/>
    <d v="1899-12-30T17:34:00"/>
    <n v="115"/>
    <x v="1"/>
    <b v="1"/>
    <b v="1"/>
    <s v="Male"/>
    <x v="2"/>
    <x v="1"/>
    <n v="15"/>
    <x v="2"/>
    <n v="0.1"/>
    <n v="13.5"/>
    <x v="2"/>
    <s v="Anaheim, CA"/>
    <n v="33.836599999999997"/>
    <n v="-117.9143"/>
    <d v="2024-12-25T00:00:00"/>
    <n v="7"/>
    <x v="0"/>
    <d v="2025-07-12T00:00:00"/>
    <s v="40–49"/>
    <s v="40–49"/>
  </r>
  <r>
    <n v="49"/>
    <x v="2"/>
    <n v="3"/>
    <s v="Mon, Sun, Wed"/>
    <b v="0"/>
    <d v="1899-12-30T19:37:00"/>
    <d v="1899-12-30T21:31:00"/>
    <n v="114"/>
    <x v="1"/>
    <b v="0"/>
    <b v="0"/>
    <s v="Male"/>
    <x v="2"/>
    <x v="0"/>
    <n v="20"/>
    <x v="3"/>
    <n v="0.15"/>
    <n v="17"/>
    <x v="2"/>
    <s v="Anaheim, CA"/>
    <n v="33.836599999999997"/>
    <n v="-117.9143"/>
    <d v="2024-08-30T00:00:00"/>
    <n v="0"/>
    <x v="0"/>
    <d v="2025-07-06T00:00:00"/>
    <s v="40–49"/>
    <s v="40–49"/>
  </r>
  <r>
    <n v="30"/>
    <x v="1"/>
    <n v="1"/>
    <s v="Fri"/>
    <b v="0"/>
    <d v="1899-12-30T17:59:00"/>
    <d v="1899-12-30T20:47:00"/>
    <n v="168"/>
    <x v="0"/>
    <b v="1"/>
    <b v="1"/>
    <s v="Other (self-described)"/>
    <x v="1"/>
    <x v="0"/>
    <n v="30"/>
    <x v="1"/>
    <n v="0"/>
    <n v="30"/>
    <x v="1"/>
    <s v="San Francisco, CA"/>
    <n v="37.774900000000002"/>
    <n v="-122.4194"/>
    <d v="2024-12-16T00:00:00"/>
    <n v="8"/>
    <x v="0"/>
    <d v="2025-07-12T00:00:00"/>
    <s v="30–39"/>
    <s v="30–39"/>
  </r>
  <r>
    <n v="27"/>
    <x v="1"/>
    <n v="1"/>
    <s v="Wed"/>
    <b v="0"/>
    <d v="1899-12-30T11:25:00"/>
    <d v="1899-12-30T12:56:00"/>
    <n v="91"/>
    <x v="1"/>
    <b v="0"/>
    <b v="1"/>
    <s v="Female"/>
    <x v="1"/>
    <x v="0"/>
    <n v="30"/>
    <x v="3"/>
    <n v="0.15"/>
    <n v="25.5"/>
    <x v="1"/>
    <s v="Fresno, CA"/>
    <n v="36.7378"/>
    <n v="-119.7871"/>
    <d v="2025-03-20T00:00:00"/>
    <n v="0"/>
    <x v="0"/>
    <d v="2025-07-17T00:00:00"/>
    <s v="20–29"/>
    <s v="20–29"/>
  </r>
  <r>
    <n v="30"/>
    <x v="0"/>
    <n v="3"/>
    <s v="Fri, Sat, Thu"/>
    <b v="1"/>
    <d v="1899-12-30T14:44:00"/>
    <d v="1899-12-30T16:00:00"/>
    <n v="76"/>
    <x v="1"/>
    <b v="1"/>
    <b v="1"/>
    <s v="Prefer not to say"/>
    <x v="0"/>
    <x v="0"/>
    <n v="50"/>
    <x v="2"/>
    <n v="0.1"/>
    <n v="45"/>
    <x v="0"/>
    <s v="Los Angeles, CA"/>
    <n v="34.052199999999999"/>
    <n v="-118.2437"/>
    <d v="2025-02-14T00:00:00"/>
    <n v="8"/>
    <x v="0"/>
    <d v="2025-07-15T00:00:00"/>
    <s v="30–39"/>
    <s v="30–39"/>
  </r>
  <r>
    <n v="40"/>
    <x v="2"/>
    <n v="1"/>
    <s v="Sun"/>
    <b v="1"/>
    <d v="1899-12-30T16:03:00"/>
    <d v="1899-12-30T17:49:00"/>
    <n v="106"/>
    <x v="0"/>
    <b v="0"/>
    <b v="1"/>
    <s v="Male"/>
    <x v="2"/>
    <x v="1"/>
    <n v="15"/>
    <x v="1"/>
    <n v="0"/>
    <n v="15"/>
    <x v="2"/>
    <s v="Fresno, CA"/>
    <n v="36.7378"/>
    <n v="-119.7871"/>
    <d v="2024-02-18T00:00:00"/>
    <n v="0"/>
    <x v="0"/>
    <d v="2025-06-25T00:00:00"/>
    <s v="40–49"/>
    <s v="40–49"/>
  </r>
  <r>
    <n v="33"/>
    <x v="0"/>
    <n v="2"/>
    <s v="Sat, Thu"/>
    <b v="1"/>
    <d v="1899-12-30T14:56:00"/>
    <d v="1899-12-30T15:57:00"/>
    <n v="61"/>
    <x v="1"/>
    <b v="1"/>
    <b v="1"/>
    <s v="Female"/>
    <x v="0"/>
    <x v="0"/>
    <n v="50"/>
    <x v="1"/>
    <n v="0"/>
    <n v="50"/>
    <x v="0"/>
    <s v="Fresno, CA"/>
    <n v="36.7378"/>
    <n v="-119.7871"/>
    <d v="2024-11-15T00:00:00"/>
    <n v="6"/>
    <x v="0"/>
    <d v="2025-07-10T00:00:00"/>
    <s v="30–39"/>
    <s v="30–39"/>
  </r>
  <r>
    <n v="49"/>
    <x v="0"/>
    <n v="3"/>
    <s v="Fri, Sun, Thu"/>
    <b v="0"/>
    <d v="1899-12-30T17:16:00"/>
    <d v="1899-12-30T19:52:00"/>
    <n v="156"/>
    <x v="1"/>
    <b v="0"/>
    <b v="0"/>
    <s v="Prefer not to say"/>
    <x v="0"/>
    <x v="0"/>
    <n v="50"/>
    <x v="1"/>
    <n v="0"/>
    <n v="50"/>
    <x v="0"/>
    <s v="Bakersfield, CA"/>
    <n v="35.3733"/>
    <n v="-119.0187"/>
    <d v="2024-05-31T00:00:00"/>
    <n v="0"/>
    <x v="0"/>
    <d v="2025-07-01T00:00:00"/>
    <s v="40–49"/>
    <s v="40–49"/>
  </r>
  <r>
    <n v="27"/>
    <x v="3"/>
    <n v="3"/>
    <s v="Sat, Thu, Wed"/>
    <b v="0"/>
    <d v="1899-12-30T20:18:00"/>
    <d v="1899-12-30T22:20:00"/>
    <n v="122"/>
    <x v="1"/>
    <b v="1"/>
    <b v="0"/>
    <s v="Male"/>
    <x v="3"/>
    <x v="1"/>
    <n v="52.5"/>
    <x v="2"/>
    <n v="0.1"/>
    <n v="47.25"/>
    <x v="3"/>
    <s v="Bakersfield, CA"/>
    <n v="35.3733"/>
    <n v="-119.0187"/>
    <d v="2024-01-03T00:00:00"/>
    <n v="1"/>
    <x v="0"/>
    <d v="2025-06-22T00:00:00"/>
    <s v="20–29"/>
    <s v="20–29"/>
  </r>
  <r>
    <n v="29"/>
    <x v="1"/>
    <n v="1"/>
    <s v="Thu"/>
    <b v="1"/>
    <d v="1899-12-30T10:25:00"/>
    <d v="1899-12-30T12:04:00"/>
    <n v="99"/>
    <x v="1"/>
    <b v="1"/>
    <b v="0"/>
    <s v="Male"/>
    <x v="1"/>
    <x v="0"/>
    <n v="30"/>
    <x v="1"/>
    <n v="0"/>
    <n v="30"/>
    <x v="1"/>
    <s v="Anaheim, CA"/>
    <n v="33.836599999999997"/>
    <n v="-117.9143"/>
    <d v="2023-06-18T00:00:00"/>
    <n v="5"/>
    <x v="1"/>
    <d v="2025-06-11T00:00:00"/>
    <s v="20–29"/>
    <s v="20–29"/>
  </r>
  <r>
    <n v="38"/>
    <x v="2"/>
    <n v="5"/>
    <s v="Mon, Sat, Sun, Thu, Tue"/>
    <b v="0"/>
    <d v="1899-12-30T08:35:00"/>
    <d v="1899-12-30T10:56:00"/>
    <n v="141"/>
    <x v="1"/>
    <b v="1"/>
    <b v="0"/>
    <s v="Male"/>
    <x v="2"/>
    <x v="0"/>
    <n v="20"/>
    <x v="1"/>
    <n v="0"/>
    <n v="20"/>
    <x v="2"/>
    <s v="San Jose, CA"/>
    <n v="37.338200000000001"/>
    <n v="-121.88630000000001"/>
    <d v="2025-05-12T00:00:00"/>
    <n v="4"/>
    <x v="0"/>
    <d v="2025-07-20T00:00:00"/>
    <s v="30–39"/>
    <s v="30–39"/>
  </r>
  <r>
    <n v="34"/>
    <x v="1"/>
    <n v="2"/>
    <s v="Fri, Mon"/>
    <b v="0"/>
    <d v="1899-12-30T17:01:00"/>
    <d v="1899-12-30T19:09:00"/>
    <n v="128"/>
    <x v="0"/>
    <b v="1"/>
    <b v="0"/>
    <s v="Prefer not to say"/>
    <x v="1"/>
    <x v="0"/>
    <n v="30"/>
    <x v="1"/>
    <n v="0"/>
    <n v="30"/>
    <x v="1"/>
    <s v="Fresno, CA"/>
    <n v="36.7378"/>
    <n v="-119.7871"/>
    <d v="2023-02-22T00:00:00"/>
    <n v="3"/>
    <x v="1"/>
    <d v="2025-06-05T00:00:00"/>
    <s v="30–39"/>
    <s v="30–39"/>
  </r>
  <r>
    <n v="32"/>
    <x v="0"/>
    <n v="1"/>
    <s v="Sat"/>
    <b v="0"/>
    <d v="1899-12-30T17:58:00"/>
    <d v="1899-12-30T19:58:00"/>
    <n v="120"/>
    <x v="1"/>
    <b v="0"/>
    <b v="1"/>
    <s v="Prefer not to say"/>
    <x v="0"/>
    <x v="1"/>
    <n v="37.5"/>
    <x v="1"/>
    <n v="0"/>
    <n v="37.5"/>
    <x v="0"/>
    <s v="Oakland, CA"/>
    <n v="37.804400000000001"/>
    <n v="-122.27119999999999"/>
    <d v="2023-08-24T00:00:00"/>
    <n v="0"/>
    <x v="1"/>
    <d v="2025-06-15T00:00:00"/>
    <s v="30–39"/>
    <s v="30–39"/>
  </r>
  <r>
    <n v="48"/>
    <x v="0"/>
    <n v="1"/>
    <s v="Tue"/>
    <b v="1"/>
    <d v="1899-12-30T19:29:00"/>
    <d v="1899-12-30T22:21:00"/>
    <n v="172"/>
    <x v="1"/>
    <b v="0"/>
    <b v="1"/>
    <s v="Male"/>
    <x v="0"/>
    <x v="0"/>
    <n v="50"/>
    <x v="3"/>
    <n v="0.15"/>
    <n v="42.5"/>
    <x v="0"/>
    <s v="Oakland, CA"/>
    <n v="37.804400000000001"/>
    <n v="-122.27119999999999"/>
    <d v="2025-03-27T00:00:00"/>
    <n v="0"/>
    <x v="1"/>
    <d v="2025-07-18T00:00:00"/>
    <s v="40–49"/>
    <s v="40–49"/>
  </r>
  <r>
    <n v="39"/>
    <x v="0"/>
    <n v="5"/>
    <s v="Fri, Mon, Sun, Thu, Wed"/>
    <b v="1"/>
    <d v="1899-12-30T12:50:00"/>
    <d v="1899-12-30T14:58:00"/>
    <n v="128"/>
    <x v="0"/>
    <b v="1"/>
    <b v="1"/>
    <s v="Male"/>
    <x v="0"/>
    <x v="1"/>
    <n v="37.5"/>
    <x v="0"/>
    <n v="0.05"/>
    <n v="35.625"/>
    <x v="0"/>
    <s v="Anaheim, CA"/>
    <n v="33.836599999999997"/>
    <n v="-117.9143"/>
    <d v="2022-12-05T00:00:00"/>
    <n v="6"/>
    <x v="1"/>
    <d v="2025-05-31T00:00:00"/>
    <s v="30–39"/>
    <s v="30–39"/>
  </r>
  <r>
    <n v="40"/>
    <x v="1"/>
    <n v="3"/>
    <s v="Fri, Sun, Thu"/>
    <b v="1"/>
    <d v="1899-12-30T17:05:00"/>
    <d v="1899-12-30T19:39:00"/>
    <n v="154"/>
    <x v="0"/>
    <b v="1"/>
    <b v="0"/>
    <s v="Male"/>
    <x v="1"/>
    <x v="0"/>
    <n v="30"/>
    <x v="1"/>
    <n v="0"/>
    <n v="30"/>
    <x v="1"/>
    <s v="Fresno, CA"/>
    <n v="36.7378"/>
    <n v="-119.7871"/>
    <d v="2022-10-16T00:00:00"/>
    <n v="7"/>
    <x v="1"/>
    <d v="2025-05-28T00:00:00"/>
    <s v="40–49"/>
    <s v="40–49"/>
  </r>
  <r>
    <n v="39"/>
    <x v="1"/>
    <n v="2"/>
    <s v="Sun, Tue"/>
    <b v="1"/>
    <d v="1899-12-30T17:43:00"/>
    <d v="1899-12-30T18:36:00"/>
    <n v="53"/>
    <x v="0"/>
    <b v="1"/>
    <b v="1"/>
    <s v="Female"/>
    <x v="1"/>
    <x v="0"/>
    <n v="30"/>
    <x v="3"/>
    <n v="0.15"/>
    <n v="25.5"/>
    <x v="1"/>
    <s v="San Francisco, CA"/>
    <n v="37.774900000000002"/>
    <n v="-122.4194"/>
    <d v="2025-04-18T00:00:00"/>
    <n v="3"/>
    <x v="1"/>
    <d v="2025-07-19T00:00:00"/>
    <s v="30–39"/>
    <s v="30–39"/>
  </r>
  <r>
    <n v="19"/>
    <x v="2"/>
    <n v="1"/>
    <s v="Sun"/>
    <b v="0"/>
    <d v="1899-12-30T11:29:00"/>
    <d v="1899-12-30T14:26:00"/>
    <n v="177"/>
    <x v="1"/>
    <b v="1"/>
    <b v="0"/>
    <s v="Male"/>
    <x v="2"/>
    <x v="1"/>
    <n v="15"/>
    <x v="0"/>
    <n v="0.05"/>
    <n v="14.25"/>
    <x v="2"/>
    <s v="Long Beach, CA"/>
    <n v="33.770099999999999"/>
    <n v="-118.19370000000001"/>
    <d v="2024-09-01T00:00:00"/>
    <n v="3"/>
    <x v="0"/>
    <d v="2025-07-06T00:00:00"/>
    <s v="10–19"/>
    <s v="16–19"/>
  </r>
  <r>
    <n v="48"/>
    <x v="3"/>
    <n v="2"/>
    <s v="Thu, Wed"/>
    <b v="1"/>
    <d v="1899-12-30T15:12:00"/>
    <d v="1899-12-30T17:17:00"/>
    <n v="125"/>
    <x v="1"/>
    <b v="0"/>
    <b v="0"/>
    <s v="Non-binary"/>
    <x v="3"/>
    <x v="2"/>
    <n v="63"/>
    <x v="2"/>
    <n v="0.1"/>
    <n v="56.7"/>
    <x v="3"/>
    <s v="Los Angeles, CA"/>
    <n v="34.052199999999999"/>
    <n v="-118.2437"/>
    <d v="2023-02-15T00:00:00"/>
    <n v="0"/>
    <x v="0"/>
    <d v="2025-06-04T00:00:00"/>
    <s v="40–49"/>
    <s v="40–49"/>
  </r>
  <r>
    <n v="37"/>
    <x v="0"/>
    <n v="3"/>
    <s v="Sun, Thu, Wed"/>
    <b v="1"/>
    <d v="1899-12-30T10:37:00"/>
    <d v="1899-12-30T12:40:00"/>
    <n v="123"/>
    <x v="0"/>
    <b v="1"/>
    <b v="0"/>
    <s v="Female"/>
    <x v="0"/>
    <x v="0"/>
    <n v="50"/>
    <x v="3"/>
    <n v="0.15"/>
    <n v="42.5"/>
    <x v="0"/>
    <s v="San Jose, CA"/>
    <n v="37.338200000000001"/>
    <n v="-121.88630000000001"/>
    <d v="2023-04-18T00:00:00"/>
    <n v="1"/>
    <x v="0"/>
    <d v="2025-06-08T00:00:00"/>
    <s v="30–39"/>
    <s v="30–39"/>
  </r>
  <r>
    <n v="39"/>
    <x v="1"/>
    <n v="3"/>
    <s v="Sat, Sun, Tue"/>
    <b v="0"/>
    <d v="1899-12-30T17:06:00"/>
    <d v="1899-12-30T18:10:00"/>
    <n v="64"/>
    <x v="1"/>
    <b v="1"/>
    <b v="0"/>
    <s v="Female"/>
    <x v="1"/>
    <x v="0"/>
    <n v="30"/>
    <x v="1"/>
    <n v="0"/>
    <n v="30"/>
    <x v="1"/>
    <s v="Bakersfield, CA"/>
    <n v="35.3733"/>
    <n v="-119.0187"/>
    <d v="2024-12-08T00:00:00"/>
    <n v="4"/>
    <x v="1"/>
    <d v="2025-07-11T00:00:00"/>
    <s v="30–39"/>
    <s v="30–39"/>
  </r>
  <r>
    <n v="13"/>
    <x v="1"/>
    <n v="1"/>
    <s v="Fri"/>
    <b v="0"/>
    <d v="1899-12-30T16:10:00"/>
    <d v="1899-12-30T16:40:00"/>
    <n v="30"/>
    <x v="1"/>
    <b v="0"/>
    <b v="0"/>
    <s v="Female"/>
    <x v="1"/>
    <x v="1"/>
    <n v="22.5"/>
    <x v="0"/>
    <n v="0.05"/>
    <n v="21.375"/>
    <x v="1"/>
    <s v="San Diego, CA"/>
    <n v="32.715699999999998"/>
    <n v="-117.1611"/>
    <d v="2024-11-12T00:00:00"/>
    <n v="0"/>
    <x v="1"/>
    <d v="2025-07-10T00:00:00"/>
    <s v="10–19"/>
    <s v="Under 16"/>
  </r>
  <r>
    <n v="48"/>
    <x v="0"/>
    <n v="3"/>
    <s v="Mon, Sat, Tue"/>
    <b v="0"/>
    <d v="1899-12-30T19:44:00"/>
    <d v="1899-12-30T20:51:00"/>
    <n v="67"/>
    <x v="1"/>
    <b v="0"/>
    <b v="0"/>
    <s v="Female"/>
    <x v="0"/>
    <x v="0"/>
    <n v="50"/>
    <x v="2"/>
    <n v="0.1"/>
    <n v="45"/>
    <x v="0"/>
    <s v="Oakland, CA"/>
    <n v="37.804400000000001"/>
    <n v="-122.27119999999999"/>
    <d v="2024-05-24T00:00:00"/>
    <n v="0"/>
    <x v="0"/>
    <d v="2025-06-30T00:00:00"/>
    <s v="40–49"/>
    <s v="40–49"/>
  </r>
  <r>
    <n v="33"/>
    <x v="1"/>
    <n v="3"/>
    <s v="Fri, Sat, Sun"/>
    <b v="0"/>
    <d v="1899-12-30T08:47:00"/>
    <d v="1899-12-30T09:52:00"/>
    <n v="65"/>
    <x v="0"/>
    <b v="0"/>
    <b v="1"/>
    <s v="Prefer not to say"/>
    <x v="1"/>
    <x v="0"/>
    <n v="30"/>
    <x v="0"/>
    <n v="0.05"/>
    <n v="28.5"/>
    <x v="1"/>
    <s v="Fresno, CA"/>
    <n v="36.7378"/>
    <n v="-119.7871"/>
    <d v="2024-01-23T00:00:00"/>
    <n v="0"/>
    <x v="1"/>
    <d v="2025-06-23T00:00:00"/>
    <s v="30–39"/>
    <s v="30–39"/>
  </r>
  <r>
    <n v="39"/>
    <x v="0"/>
    <n v="2"/>
    <s v="Tue, Wed"/>
    <b v="1"/>
    <d v="1899-12-30T11:18:00"/>
    <d v="1899-12-30T13:28:00"/>
    <n v="130"/>
    <x v="1"/>
    <b v="1"/>
    <b v="0"/>
    <s v="Female"/>
    <x v="0"/>
    <x v="1"/>
    <n v="37.5"/>
    <x v="2"/>
    <n v="0.1"/>
    <n v="33.75"/>
    <x v="0"/>
    <s v="Fresno, CA"/>
    <n v="36.7378"/>
    <n v="-119.7871"/>
    <d v="2023-09-03T00:00:00"/>
    <n v="5"/>
    <x v="1"/>
    <d v="2025-06-15T00:00:00"/>
    <s v="30–39"/>
    <s v="30–39"/>
  </r>
  <r>
    <n v="15"/>
    <x v="3"/>
    <n v="3"/>
    <s v="Mon, Sat, Sun"/>
    <b v="0"/>
    <d v="1899-12-30T17:29:00"/>
    <d v="1899-12-30T18:03:00"/>
    <n v="34"/>
    <x v="0"/>
    <b v="0"/>
    <b v="1"/>
    <s v="Male"/>
    <x v="3"/>
    <x v="1"/>
    <n v="52.5"/>
    <x v="1"/>
    <n v="0"/>
    <n v="52.5"/>
    <x v="3"/>
    <s v="Bakersfield, CA"/>
    <n v="35.3733"/>
    <n v="-119.0187"/>
    <d v="2024-05-26T00:00:00"/>
    <n v="0"/>
    <x v="0"/>
    <d v="2025-06-30T00:00:00"/>
    <s v="10–19"/>
    <s v="Under 16"/>
  </r>
  <r>
    <n v="38"/>
    <x v="0"/>
    <n v="1"/>
    <s v="Fri"/>
    <b v="1"/>
    <d v="1899-12-30T18:29:00"/>
    <d v="1899-12-30T20:58:00"/>
    <n v="149"/>
    <x v="0"/>
    <b v="0"/>
    <b v="1"/>
    <s v="Male"/>
    <x v="0"/>
    <x v="1"/>
    <n v="37.5"/>
    <x v="0"/>
    <n v="0.05"/>
    <n v="35.625"/>
    <x v="0"/>
    <s v="Anaheim, CA"/>
    <n v="33.836599999999997"/>
    <n v="-117.9143"/>
    <d v="2024-02-16T00:00:00"/>
    <n v="0"/>
    <x v="0"/>
    <d v="2025-06-25T00:00:00"/>
    <s v="30–39"/>
    <s v="30–39"/>
  </r>
  <r>
    <n v="44"/>
    <x v="1"/>
    <n v="2"/>
    <s v="Thu, Tue"/>
    <b v="0"/>
    <d v="1899-12-30T12:01:00"/>
    <d v="1899-12-30T14:07:00"/>
    <n v="126"/>
    <x v="0"/>
    <b v="0"/>
    <b v="1"/>
    <s v="Female"/>
    <x v="1"/>
    <x v="1"/>
    <n v="22.5"/>
    <x v="1"/>
    <n v="0"/>
    <n v="22.5"/>
    <x v="1"/>
    <s v="San Francisco, CA"/>
    <n v="37.774900000000002"/>
    <n v="-122.4194"/>
    <d v="2023-04-18T00:00:00"/>
    <n v="0"/>
    <x v="0"/>
    <d v="2025-06-08T00:00:00"/>
    <s v="40–49"/>
    <s v="40–49"/>
  </r>
  <r>
    <n v="49"/>
    <x v="2"/>
    <n v="1"/>
    <s v="Fri"/>
    <b v="1"/>
    <d v="1899-12-30T15:17:00"/>
    <d v="1899-12-30T17:00:00"/>
    <n v="103"/>
    <x v="1"/>
    <b v="0"/>
    <b v="0"/>
    <s v="Non-binary"/>
    <x v="2"/>
    <x v="0"/>
    <n v="20"/>
    <x v="0"/>
    <n v="0.05"/>
    <n v="19"/>
    <x v="2"/>
    <s v="San Francisco, CA"/>
    <n v="37.774900000000002"/>
    <n v="-122.4194"/>
    <d v="2025-05-14T00:00:00"/>
    <n v="0"/>
    <x v="1"/>
    <d v="2025-07-20T00:00:00"/>
    <s v="40–49"/>
    <s v="40–49"/>
  </r>
  <r>
    <n v="23"/>
    <x v="2"/>
    <n v="2"/>
    <s v="Fri, Tue"/>
    <b v="0"/>
    <d v="1899-12-30T19:04:00"/>
    <d v="1899-12-30T19:56:00"/>
    <n v="52"/>
    <x v="1"/>
    <b v="0"/>
    <b v="1"/>
    <s v="Female"/>
    <x v="2"/>
    <x v="0"/>
    <n v="20"/>
    <x v="0"/>
    <n v="0.05"/>
    <n v="19"/>
    <x v="2"/>
    <s v="Bakersfield, CA"/>
    <n v="35.3733"/>
    <n v="-119.0187"/>
    <d v="2024-09-27T00:00:00"/>
    <n v="0"/>
    <x v="1"/>
    <d v="2025-07-07T00:00:00"/>
    <s v="20–29"/>
    <s v="20–29"/>
  </r>
  <r>
    <n v="35"/>
    <x v="3"/>
    <n v="3"/>
    <s v="Fri, Mon, Sun"/>
    <b v="1"/>
    <d v="1899-12-30T15:00:00"/>
    <d v="1899-12-30T17:29:00"/>
    <n v="149"/>
    <x v="1"/>
    <b v="0"/>
    <b v="1"/>
    <s v="Male"/>
    <x v="3"/>
    <x v="1"/>
    <n v="52.5"/>
    <x v="1"/>
    <n v="0"/>
    <n v="52.5"/>
    <x v="3"/>
    <s v="Oakland, CA"/>
    <n v="37.804400000000001"/>
    <n v="-122.27119999999999"/>
    <d v="2023-05-25T00:00:00"/>
    <n v="0"/>
    <x v="0"/>
    <d v="2025-06-10T00:00:00"/>
    <s v="30–39"/>
    <s v="30–39"/>
  </r>
  <r>
    <n v="18"/>
    <x v="1"/>
    <n v="4"/>
    <s v="Fri, Mon, Sat, Thu"/>
    <b v="0"/>
    <d v="1899-12-30T09:42:00"/>
    <d v="1899-12-30T10:46:00"/>
    <n v="64"/>
    <x v="0"/>
    <b v="1"/>
    <b v="1"/>
    <s v="Male"/>
    <x v="1"/>
    <x v="0"/>
    <n v="30"/>
    <x v="3"/>
    <n v="0.15"/>
    <n v="25.5"/>
    <x v="1"/>
    <s v="Long Beach, CA"/>
    <n v="33.770099999999999"/>
    <n v="-118.19370000000001"/>
    <d v="2022-11-12T00:00:00"/>
    <n v="8"/>
    <x v="1"/>
    <d v="2025-05-30T00:00:00"/>
    <s v="10–19"/>
    <s v="16–19"/>
  </r>
  <r>
    <n v="23"/>
    <x v="2"/>
    <n v="2"/>
    <s v="Fri, Tue"/>
    <b v="0"/>
    <d v="1899-12-30T19:11:00"/>
    <d v="1899-12-30T20:19:00"/>
    <n v="68"/>
    <x v="1"/>
    <b v="1"/>
    <b v="1"/>
    <s v="Prefer not to say"/>
    <x v="2"/>
    <x v="2"/>
    <n v="18"/>
    <x v="0"/>
    <n v="0.05"/>
    <n v="17.100000000000001"/>
    <x v="2"/>
    <s v="Oakland, CA"/>
    <n v="37.804400000000001"/>
    <n v="-122.27119999999999"/>
    <d v="2023-12-26T00:00:00"/>
    <n v="2"/>
    <x v="1"/>
    <d v="2025-06-22T00:00:00"/>
    <s v="20–29"/>
    <s v="20–29"/>
  </r>
  <r>
    <n v="14"/>
    <x v="0"/>
    <n v="5"/>
    <s v="Fri, Mon, Sat, Sun, Wed"/>
    <b v="1"/>
    <d v="1899-12-30T12:54:00"/>
    <d v="1899-12-30T15:10:00"/>
    <n v="136"/>
    <x v="1"/>
    <b v="1"/>
    <b v="1"/>
    <s v="Male"/>
    <x v="0"/>
    <x v="1"/>
    <n v="37.5"/>
    <x v="2"/>
    <n v="0.1"/>
    <n v="33.75"/>
    <x v="0"/>
    <s v="Fresno, CA"/>
    <n v="36.7378"/>
    <n v="-119.7871"/>
    <d v="2023-12-04T00:00:00"/>
    <n v="2"/>
    <x v="0"/>
    <d v="2025-06-21T00:00:00"/>
    <s v="10–19"/>
    <s v="Under 16"/>
  </r>
  <r>
    <n v="15"/>
    <x v="3"/>
    <n v="3"/>
    <s v="Fri, Sat, Sun"/>
    <b v="1"/>
    <d v="1899-12-30T18:06:00"/>
    <d v="1899-12-30T20:42:00"/>
    <n v="156"/>
    <x v="0"/>
    <b v="1"/>
    <b v="1"/>
    <s v="Male"/>
    <x v="3"/>
    <x v="1"/>
    <n v="52.5"/>
    <x v="0"/>
    <n v="0.05"/>
    <n v="49.875"/>
    <x v="3"/>
    <s v="Oakland, CA"/>
    <n v="37.804400000000001"/>
    <n v="-122.27119999999999"/>
    <d v="2025-02-28T00:00:00"/>
    <n v="3"/>
    <x v="0"/>
    <d v="2025-07-16T00:00:00"/>
    <s v="10–19"/>
    <s v="Under 16"/>
  </r>
  <r>
    <n v="27"/>
    <x v="1"/>
    <n v="5"/>
    <s v="Fri, Mon, Sun, Tue, Wed"/>
    <b v="0"/>
    <d v="1899-12-30T18:22:00"/>
    <d v="1899-12-30T19:04:00"/>
    <n v="42"/>
    <x v="0"/>
    <b v="0"/>
    <b v="0"/>
    <s v="Non-binary"/>
    <x v="1"/>
    <x v="1"/>
    <n v="22.5"/>
    <x v="1"/>
    <n v="0"/>
    <n v="22.5"/>
    <x v="1"/>
    <s v="Long Beach, CA"/>
    <n v="33.770099999999999"/>
    <n v="-118.19370000000001"/>
    <d v="2024-03-03T00:00:00"/>
    <n v="0"/>
    <x v="1"/>
    <d v="2025-06-26T00:00:00"/>
    <s v="20–29"/>
    <s v="20–29"/>
  </r>
  <r>
    <n v="34"/>
    <x v="0"/>
    <n v="3"/>
    <s v="Fri, Thu, Tue"/>
    <b v="0"/>
    <d v="1899-12-30T15:41:00"/>
    <d v="1899-12-30T17:04:00"/>
    <n v="83"/>
    <x v="1"/>
    <b v="1"/>
    <b v="0"/>
    <s v="Female"/>
    <x v="0"/>
    <x v="0"/>
    <n v="50"/>
    <x v="0"/>
    <n v="0.05"/>
    <n v="47.5"/>
    <x v="0"/>
    <s v="San Diego, CA"/>
    <n v="32.715699999999998"/>
    <n v="-117.1611"/>
    <d v="2023-12-03T00:00:00"/>
    <n v="8"/>
    <x v="0"/>
    <d v="2025-06-21T00:00:00"/>
    <s v="30–39"/>
    <s v="30–39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4-10-07T00:00:00"/>
    <n v="8"/>
    <x v="0"/>
    <d v="2025-07-08T00:00:00"/>
    <s v="20–29"/>
    <s v="20–29"/>
  </r>
  <r>
    <n v="15"/>
    <x v="1"/>
    <n v="2"/>
    <s v="Fri, Mon"/>
    <b v="0"/>
    <d v="1899-12-30T13:37:00"/>
    <d v="1899-12-30T14:50:00"/>
    <n v="73"/>
    <x v="1"/>
    <b v="1"/>
    <b v="1"/>
    <s v="Female"/>
    <x v="1"/>
    <x v="1"/>
    <n v="22.5"/>
    <x v="0"/>
    <n v="0.05"/>
    <n v="21.375"/>
    <x v="1"/>
    <s v="San Diego, CA"/>
    <n v="32.715699999999998"/>
    <n v="-117.1611"/>
    <d v="2024-09-09T00:00:00"/>
    <n v="4"/>
    <x v="1"/>
    <d v="2025-07-06T00:00:00"/>
    <s v="10–19"/>
    <s v="Under 16"/>
  </r>
  <r>
    <n v="45"/>
    <x v="3"/>
    <n v="4"/>
    <s v="Sat, Sun, Thu, Tue"/>
    <b v="0"/>
    <d v="1899-12-30T11:19:00"/>
    <d v="1899-12-30T12:16:00"/>
    <n v="57"/>
    <x v="0"/>
    <b v="1"/>
    <b v="1"/>
    <s v="Female"/>
    <x v="3"/>
    <x v="0"/>
    <n v="70"/>
    <x v="1"/>
    <n v="0"/>
    <n v="70"/>
    <x v="3"/>
    <s v="Fresno, CA"/>
    <n v="36.7378"/>
    <n v="-119.7871"/>
    <d v="2024-05-17T00:00:00"/>
    <n v="7"/>
    <x v="1"/>
    <d v="2025-06-30T00:00:00"/>
    <s v="40–49"/>
    <s v="40–49"/>
  </r>
  <r>
    <n v="40"/>
    <x v="0"/>
    <n v="2"/>
    <s v="Sun, Thu"/>
    <b v="0"/>
    <d v="1899-12-30T11:37:00"/>
    <d v="1899-12-30T14:23:00"/>
    <n v="166"/>
    <x v="0"/>
    <b v="1"/>
    <b v="1"/>
    <s v="Male"/>
    <x v="0"/>
    <x v="0"/>
    <n v="50"/>
    <x v="1"/>
    <n v="0"/>
    <n v="50"/>
    <x v="0"/>
    <s v="San Jose, CA"/>
    <n v="37.338200000000001"/>
    <n v="-121.88630000000001"/>
    <d v="2025-06-01T00:00:00"/>
    <n v="7"/>
    <x v="0"/>
    <d v="2025-07-21T00:00:00"/>
    <s v="40–49"/>
    <s v="40–49"/>
  </r>
  <r>
    <n v="29"/>
    <x v="0"/>
    <n v="3"/>
    <s v="Fri, Sat, Thu"/>
    <b v="1"/>
    <d v="1899-12-30T13:02:00"/>
    <d v="1899-12-30T14:08:00"/>
    <n v="66"/>
    <x v="0"/>
    <b v="0"/>
    <b v="1"/>
    <s v="Non-binary"/>
    <x v="0"/>
    <x v="1"/>
    <n v="37.5"/>
    <x v="2"/>
    <n v="0.1"/>
    <n v="33.75"/>
    <x v="0"/>
    <s v="Fresno, CA"/>
    <n v="36.7378"/>
    <n v="-119.7871"/>
    <d v="2024-07-14T00:00:00"/>
    <n v="0"/>
    <x v="1"/>
    <d v="2025-07-03T00:00:00"/>
    <s v="20–29"/>
    <s v="20–29"/>
  </r>
  <r>
    <n v="17"/>
    <x v="3"/>
    <n v="2"/>
    <s v="Fri, Sun"/>
    <b v="1"/>
    <d v="1899-12-30T20:55:00"/>
    <d v="1899-12-30T22:18:00"/>
    <n v="83"/>
    <x v="1"/>
    <b v="0"/>
    <b v="0"/>
    <s v="Male"/>
    <x v="3"/>
    <x v="2"/>
    <n v="63"/>
    <x v="3"/>
    <n v="0.15"/>
    <n v="53.55"/>
    <x v="3"/>
    <s v="Sacramento, CA"/>
    <n v="38.581600000000002"/>
    <n v="-121.4944"/>
    <d v="2024-11-09T00:00:00"/>
    <n v="0"/>
    <x v="0"/>
    <d v="2025-07-10T00:00:00"/>
    <s v="10–19"/>
    <s v="16–19"/>
  </r>
  <r>
    <n v="47"/>
    <x v="0"/>
    <n v="2"/>
    <s v="Sun, Tue"/>
    <b v="1"/>
    <d v="1899-12-30T15:09:00"/>
    <d v="1899-12-30T16:18:00"/>
    <n v="69"/>
    <x v="1"/>
    <b v="1"/>
    <b v="1"/>
    <s v="Prefer not to say"/>
    <x v="0"/>
    <x v="1"/>
    <n v="37.5"/>
    <x v="0"/>
    <n v="0.05"/>
    <n v="35.625"/>
    <x v="0"/>
    <s v="Los Angeles, CA"/>
    <n v="34.052199999999999"/>
    <n v="-118.2437"/>
    <d v="2024-07-09T00:00:00"/>
    <n v="6"/>
    <x v="0"/>
    <d v="2025-07-03T00:00:00"/>
    <s v="40–49"/>
    <s v="40–49"/>
  </r>
  <r>
    <n v="29"/>
    <x v="1"/>
    <n v="1"/>
    <s v="Wed"/>
    <b v="1"/>
    <d v="1899-12-30T19:10:00"/>
    <d v="1899-12-30T21:32:00"/>
    <n v="142"/>
    <x v="1"/>
    <b v="1"/>
    <b v="0"/>
    <s v="Male"/>
    <x v="1"/>
    <x v="2"/>
    <n v="27"/>
    <x v="2"/>
    <n v="0.1"/>
    <n v="24.3"/>
    <x v="1"/>
    <s v="Sacramento, CA"/>
    <n v="38.581600000000002"/>
    <n v="-121.4944"/>
    <d v="2025-02-15T00:00:00"/>
    <n v="1"/>
    <x v="0"/>
    <d v="2025-07-15T00:00:00"/>
    <s v="20–29"/>
    <s v="20–29"/>
  </r>
  <r>
    <n v="39"/>
    <x v="1"/>
    <n v="4"/>
    <s v="Sun, Thu, Tue, Wed"/>
    <b v="1"/>
    <d v="1899-12-30T13:35:00"/>
    <d v="1899-12-30T14:37:00"/>
    <n v="62"/>
    <x v="1"/>
    <b v="1"/>
    <b v="1"/>
    <s v="Male"/>
    <x v="1"/>
    <x v="0"/>
    <n v="30"/>
    <x v="2"/>
    <n v="0.1"/>
    <n v="27"/>
    <x v="1"/>
    <s v="Oakland, CA"/>
    <n v="37.804400000000001"/>
    <n v="-122.27119999999999"/>
    <d v="2022-11-17T00:00:00"/>
    <n v="4"/>
    <x v="1"/>
    <d v="2025-05-30T00:00:00"/>
    <s v="30–39"/>
    <s v="30–39"/>
  </r>
  <r>
    <n v="23"/>
    <x v="1"/>
    <n v="1"/>
    <s v="Wed"/>
    <b v="1"/>
    <d v="1899-12-30T19:00:00"/>
    <d v="1899-12-30T19:49:00"/>
    <n v="49"/>
    <x v="1"/>
    <b v="0"/>
    <b v="1"/>
    <s v="Female"/>
    <x v="1"/>
    <x v="0"/>
    <n v="30"/>
    <x v="0"/>
    <n v="0.05"/>
    <n v="28.5"/>
    <x v="1"/>
    <s v="Bakersfield, CA"/>
    <n v="35.3733"/>
    <n v="-119.0187"/>
    <d v="2023-09-29T00:00:00"/>
    <n v="0"/>
    <x v="1"/>
    <d v="2025-06-17T00:00:00"/>
    <s v="20–29"/>
    <s v="20–29"/>
  </r>
  <r>
    <n v="22"/>
    <x v="0"/>
    <n v="3"/>
    <s v="Sat, Sun, Wed"/>
    <b v="1"/>
    <d v="1899-12-30T17:57:00"/>
    <d v="1899-12-30T19:46:00"/>
    <n v="109"/>
    <x v="0"/>
    <b v="1"/>
    <b v="0"/>
    <s v="Male"/>
    <x v="0"/>
    <x v="0"/>
    <n v="50"/>
    <x v="0"/>
    <n v="0.05"/>
    <n v="47.5"/>
    <x v="0"/>
    <s v="Sacramento, CA"/>
    <n v="38.581600000000002"/>
    <n v="-121.4944"/>
    <d v="2023-06-30T00:00:00"/>
    <n v="4"/>
    <x v="0"/>
    <d v="2025-06-12T00:00:00"/>
    <s v="20–29"/>
    <s v="20–29"/>
  </r>
  <r>
    <n v="14"/>
    <x v="3"/>
    <n v="2"/>
    <s v="Sat, Sun"/>
    <b v="1"/>
    <d v="1899-12-30T14:18:00"/>
    <d v="1899-12-30T15:13:00"/>
    <n v="55"/>
    <x v="1"/>
    <b v="0"/>
    <b v="1"/>
    <s v="Female"/>
    <x v="3"/>
    <x v="1"/>
    <n v="52.5"/>
    <x v="0"/>
    <n v="0.05"/>
    <n v="49.875"/>
    <x v="3"/>
    <s v="San Francisco, CA"/>
    <n v="37.774900000000002"/>
    <n v="-122.4194"/>
    <d v="2023-03-05T00:00:00"/>
    <n v="0"/>
    <x v="0"/>
    <d v="2025-06-05T00:00:00"/>
    <s v="10–19"/>
    <s v="Under 16"/>
  </r>
  <r>
    <n v="49"/>
    <x v="0"/>
    <n v="3"/>
    <s v="Fri, Sun, Thu"/>
    <b v="0"/>
    <d v="1899-12-30T17:16:00"/>
    <d v="1899-12-30T19:52:00"/>
    <n v="156"/>
    <x v="1"/>
    <b v="0"/>
    <b v="0"/>
    <s v="Prefer not to say"/>
    <x v="0"/>
    <x v="0"/>
    <n v="50"/>
    <x v="1"/>
    <n v="0"/>
    <n v="50"/>
    <x v="0"/>
    <s v="Bakersfield, CA"/>
    <n v="35.3733"/>
    <n v="-119.0187"/>
    <d v="2024-01-09T00:00:00"/>
    <n v="0"/>
    <x v="1"/>
    <d v="2025-06-23T00:00:00"/>
    <s v="40–49"/>
    <s v="40–49"/>
  </r>
  <r>
    <n v="14"/>
    <x v="1"/>
    <n v="3"/>
    <s v="Sat, Sun, Wed"/>
    <b v="0"/>
    <d v="1899-12-30T10:11:00"/>
    <d v="1899-12-30T11:56:00"/>
    <n v="105"/>
    <x v="1"/>
    <b v="0"/>
    <b v="1"/>
    <s v="Male"/>
    <x v="1"/>
    <x v="0"/>
    <n v="30"/>
    <x v="1"/>
    <n v="0"/>
    <n v="30"/>
    <x v="1"/>
    <s v="San Francisco, CA"/>
    <n v="37.774900000000002"/>
    <n v="-122.4194"/>
    <d v="2025-03-22T00:00:00"/>
    <n v="0"/>
    <x v="0"/>
    <d v="2025-07-17T00:00:00"/>
    <s v="10–19"/>
    <s v="Under 16"/>
  </r>
  <r>
    <n v="48"/>
    <x v="0"/>
    <n v="3"/>
    <s v="Fri, Sat, Sun"/>
    <b v="1"/>
    <d v="1899-12-30T16:01:00"/>
    <d v="1899-12-30T18:16:00"/>
    <n v="135"/>
    <x v="0"/>
    <b v="1"/>
    <b v="1"/>
    <s v="Female"/>
    <x v="0"/>
    <x v="0"/>
    <n v="50"/>
    <x v="1"/>
    <n v="0"/>
    <n v="50"/>
    <x v="0"/>
    <s v="San Jose, CA"/>
    <n v="37.338200000000001"/>
    <n v="-121.88630000000001"/>
    <d v="2023-11-28T00:00:00"/>
    <n v="1"/>
    <x v="0"/>
    <d v="2025-06-20T00:00:00"/>
    <s v="40–49"/>
    <s v="40–49"/>
  </r>
  <r>
    <n v="36"/>
    <x v="1"/>
    <n v="3"/>
    <s v="Fri, Thu, Tue"/>
    <b v="1"/>
    <d v="1899-12-30T17:33:00"/>
    <d v="1899-12-30T19:16:00"/>
    <n v="103"/>
    <x v="0"/>
    <b v="0"/>
    <b v="1"/>
    <s v="Female"/>
    <x v="1"/>
    <x v="1"/>
    <n v="22.5"/>
    <x v="0"/>
    <n v="0.05"/>
    <n v="21.375"/>
    <x v="1"/>
    <s v="Bakersfield, CA"/>
    <n v="35.3733"/>
    <n v="-119.0187"/>
    <d v="2023-10-07T00:00:00"/>
    <n v="0"/>
    <x v="1"/>
    <d v="2025-06-17T00:00:00"/>
    <s v="30–39"/>
    <s v="30–39"/>
  </r>
  <r>
    <n v="19"/>
    <x v="0"/>
    <n v="3"/>
    <s v="Sat, Sun, Thu"/>
    <b v="0"/>
    <d v="1899-12-30T17:43:00"/>
    <d v="1899-12-30T18:34:00"/>
    <n v="51"/>
    <x v="0"/>
    <b v="1"/>
    <b v="1"/>
    <s v="Female"/>
    <x v="0"/>
    <x v="1"/>
    <n v="37.5"/>
    <x v="0"/>
    <n v="0.05"/>
    <n v="35.625"/>
    <x v="0"/>
    <s v="San Jose, CA"/>
    <n v="37.338200000000001"/>
    <n v="-121.88630000000001"/>
    <d v="2023-04-21T00:00:00"/>
    <n v="8"/>
    <x v="0"/>
    <d v="2025-06-08T00:00:00"/>
    <s v="10–19"/>
    <s v="16–19"/>
  </r>
  <r>
    <n v="16"/>
    <x v="3"/>
    <n v="3"/>
    <s v="Sat, Sun, Wed"/>
    <b v="1"/>
    <d v="1899-12-30T14:06:00"/>
    <d v="1899-12-30T16:15:00"/>
    <n v="129"/>
    <x v="1"/>
    <b v="0"/>
    <b v="0"/>
    <s v="Prefer not to say"/>
    <x v="3"/>
    <x v="2"/>
    <n v="63"/>
    <x v="3"/>
    <n v="0.15"/>
    <n v="53.55"/>
    <x v="3"/>
    <s v="Anaheim, CA"/>
    <n v="33.836599999999997"/>
    <n v="-117.9143"/>
    <d v="2024-03-20T00:00:00"/>
    <n v="0"/>
    <x v="0"/>
    <d v="2025-06-27T00:00:00"/>
    <s v="10–19"/>
    <s v="16–19"/>
  </r>
  <r>
    <n v="12"/>
    <x v="0"/>
    <n v="2"/>
    <s v="Sun, Thu"/>
    <b v="1"/>
    <d v="1899-12-30T10:42:00"/>
    <d v="1899-12-30T12:12:00"/>
    <n v="90"/>
    <x v="0"/>
    <b v="0"/>
    <b v="0"/>
    <s v="Prefer not to say"/>
    <x v="0"/>
    <x v="1"/>
    <n v="37.5"/>
    <x v="2"/>
    <n v="0.1"/>
    <n v="33.75"/>
    <x v="0"/>
    <s v="San Diego, CA"/>
    <n v="32.715699999999998"/>
    <n v="-117.1611"/>
    <d v="2025-02-07T00:00:00"/>
    <n v="0"/>
    <x v="0"/>
    <d v="2025-07-15T00:00:00"/>
    <s v="10–19"/>
    <s v="Under 16"/>
  </r>
  <r>
    <n v="42"/>
    <x v="1"/>
    <n v="5"/>
    <s v="Fri, Mon, Sat, Thu, Tue"/>
    <b v="0"/>
    <d v="1899-12-30T17:30:00"/>
    <d v="1899-12-30T20:15:00"/>
    <n v="165"/>
    <x v="1"/>
    <b v="0"/>
    <b v="1"/>
    <s v="Female"/>
    <x v="1"/>
    <x v="0"/>
    <n v="30"/>
    <x v="0"/>
    <n v="0.05"/>
    <n v="28.5"/>
    <x v="1"/>
    <s v="Fresno, CA"/>
    <n v="36.7378"/>
    <n v="-119.7871"/>
    <d v="2024-08-24T00:00:00"/>
    <n v="0"/>
    <x v="0"/>
    <d v="2025-07-05T00:00:00"/>
    <s v="40–49"/>
    <s v="40–49"/>
  </r>
  <r>
    <n v="43"/>
    <x v="1"/>
    <n v="1"/>
    <s v="Sat"/>
    <b v="0"/>
    <d v="1899-12-30T19:43:00"/>
    <d v="1899-12-30T20:24:00"/>
    <n v="41"/>
    <x v="0"/>
    <b v="1"/>
    <b v="1"/>
    <s v="Female"/>
    <x v="1"/>
    <x v="0"/>
    <n v="30"/>
    <x v="2"/>
    <n v="0.1"/>
    <n v="27"/>
    <x v="1"/>
    <s v="Los Angeles, CA"/>
    <n v="34.052199999999999"/>
    <n v="-118.2437"/>
    <d v="2024-06-01T00:00:00"/>
    <n v="7"/>
    <x v="0"/>
    <d v="2025-07-01T00:00:00"/>
    <s v="40–49"/>
    <s v="40–49"/>
  </r>
  <r>
    <n v="45"/>
    <x v="0"/>
    <n v="3"/>
    <s v="Mon, Sun, Wed"/>
    <b v="0"/>
    <d v="1899-12-30T13:42:00"/>
    <d v="1899-12-30T15:54:00"/>
    <n v="132"/>
    <x v="0"/>
    <b v="0"/>
    <b v="0"/>
    <s v="Non-binary"/>
    <x v="0"/>
    <x v="0"/>
    <n v="50"/>
    <x v="1"/>
    <n v="0"/>
    <n v="50"/>
    <x v="0"/>
    <s v="Anaheim, CA"/>
    <n v="33.836599999999997"/>
    <n v="-117.9143"/>
    <d v="2023-08-05T00:00:00"/>
    <n v="0"/>
    <x v="0"/>
    <d v="2025-06-14T00:00:00"/>
    <s v="40–49"/>
    <s v="40–49"/>
  </r>
  <r>
    <n v="23"/>
    <x v="2"/>
    <n v="3"/>
    <s v="Fri, Sat, Thu"/>
    <b v="1"/>
    <d v="1899-12-30T13:06:00"/>
    <d v="1899-12-30T14:35:00"/>
    <n v="89"/>
    <x v="1"/>
    <b v="1"/>
    <b v="0"/>
    <s v="Male"/>
    <x v="2"/>
    <x v="1"/>
    <n v="15"/>
    <x v="2"/>
    <n v="0.1"/>
    <n v="13.5"/>
    <x v="2"/>
    <s v="San Francisco, CA"/>
    <n v="37.774900000000002"/>
    <n v="-122.4194"/>
    <d v="2023-10-24T00:00:00"/>
    <n v="7"/>
    <x v="1"/>
    <d v="2025-06-18T00:00:00"/>
    <s v="20–29"/>
    <s v="20–2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4-06-08T00:00:00"/>
    <n v="0"/>
    <x v="1"/>
    <d v="2025-07-01T00:00:00"/>
    <s v="30–39"/>
    <s v="30–39"/>
  </r>
  <r>
    <n v="21"/>
    <x v="0"/>
    <n v="3"/>
    <s v="Fri, Sat, Tue"/>
    <b v="0"/>
    <d v="1899-12-30T09:22:00"/>
    <d v="1899-12-30T10:52:00"/>
    <n v="90"/>
    <x v="1"/>
    <b v="1"/>
    <b v="0"/>
    <s v="Male"/>
    <x v="0"/>
    <x v="0"/>
    <n v="50"/>
    <x v="1"/>
    <n v="0"/>
    <n v="50"/>
    <x v="0"/>
    <s v="Bakersfield, CA"/>
    <n v="35.3733"/>
    <n v="-119.0187"/>
    <d v="2022-08-07T00:00:00"/>
    <n v="8"/>
    <x v="1"/>
    <d v="2025-05-24T00:00:00"/>
    <s v="20–29"/>
    <s v="20–29"/>
  </r>
  <r>
    <n v="24"/>
    <x v="2"/>
    <n v="3"/>
    <s v="Sat, Thu, Wed"/>
    <b v="1"/>
    <d v="1899-12-30T12:00:00"/>
    <d v="1899-12-30T14:08:00"/>
    <n v="128"/>
    <x v="1"/>
    <b v="0"/>
    <b v="1"/>
    <s v="Other (self-described)"/>
    <x v="2"/>
    <x v="0"/>
    <n v="20"/>
    <x v="2"/>
    <n v="0.1"/>
    <n v="18"/>
    <x v="2"/>
    <s v="San Francisco, CA"/>
    <n v="37.774900000000002"/>
    <n v="-122.4194"/>
    <d v="2023-09-16T00:00:00"/>
    <n v="0"/>
    <x v="1"/>
    <d v="2025-06-16T00:00:00"/>
    <s v="20–29"/>
    <s v="20–29"/>
  </r>
  <r>
    <n v="28"/>
    <x v="1"/>
    <n v="5"/>
    <s v="Fri, Mon, Sat, Tue, Wed"/>
    <b v="0"/>
    <d v="1899-12-30T14:53:00"/>
    <d v="1899-12-30T16:53:00"/>
    <n v="120"/>
    <x v="1"/>
    <b v="0"/>
    <b v="0"/>
    <s v="Female"/>
    <x v="1"/>
    <x v="0"/>
    <n v="30"/>
    <x v="1"/>
    <n v="0"/>
    <n v="30"/>
    <x v="1"/>
    <s v="Anaheim, CA"/>
    <n v="33.836599999999997"/>
    <n v="-117.9143"/>
    <d v="2024-10-13T00:00:00"/>
    <n v="0"/>
    <x v="0"/>
    <d v="2025-07-08T00:00:00"/>
    <s v="20–29"/>
    <s v="20–29"/>
  </r>
  <r>
    <n v="24"/>
    <x v="0"/>
    <n v="1"/>
    <s v="Fri"/>
    <b v="1"/>
    <d v="1899-12-30T15:05:00"/>
    <d v="1899-12-30T17:23:00"/>
    <n v="138"/>
    <x v="0"/>
    <b v="0"/>
    <b v="0"/>
    <s v="Female"/>
    <x v="0"/>
    <x v="1"/>
    <n v="37.5"/>
    <x v="1"/>
    <n v="0"/>
    <n v="37.5"/>
    <x v="0"/>
    <s v="Long Beach, CA"/>
    <n v="33.770099999999999"/>
    <n v="-118.19370000000001"/>
    <d v="2025-03-06T00:00:00"/>
    <n v="0"/>
    <x v="0"/>
    <d v="2025-07-16T00:00:00"/>
    <s v="20–29"/>
    <s v="20–29"/>
  </r>
  <r>
    <n v="45"/>
    <x v="1"/>
    <n v="2"/>
    <s v="Sat, Tue"/>
    <b v="1"/>
    <d v="1899-12-30T15:59:00"/>
    <d v="1899-12-30T18:46:00"/>
    <n v="167"/>
    <x v="0"/>
    <b v="1"/>
    <b v="1"/>
    <s v="Female"/>
    <x v="1"/>
    <x v="0"/>
    <n v="30"/>
    <x v="3"/>
    <n v="0.15"/>
    <n v="25.5"/>
    <x v="1"/>
    <s v="San Francisco, CA"/>
    <n v="37.774900000000002"/>
    <n v="-122.4194"/>
    <d v="2025-01-11T00:00:00"/>
    <n v="7"/>
    <x v="1"/>
    <d v="2025-07-13T00:00:00"/>
    <s v="40–49"/>
    <s v="40–49"/>
  </r>
  <r>
    <n v="20"/>
    <x v="1"/>
    <n v="1"/>
    <s v="Tue"/>
    <b v="0"/>
    <d v="1899-12-30T08:55:00"/>
    <d v="1899-12-30T10:23:00"/>
    <n v="88"/>
    <x v="1"/>
    <b v="1"/>
    <b v="1"/>
    <s v="Female"/>
    <x v="1"/>
    <x v="0"/>
    <n v="30"/>
    <x v="1"/>
    <n v="0"/>
    <n v="30"/>
    <x v="1"/>
    <s v="San Francisco, CA"/>
    <n v="37.774900000000002"/>
    <n v="-122.4194"/>
    <d v="2024-10-04T00:00:00"/>
    <n v="3"/>
    <x v="0"/>
    <d v="2025-07-08T00:00:00"/>
    <s v="20–29"/>
    <s v="20–29"/>
  </r>
  <r>
    <n v="44"/>
    <x v="0"/>
    <n v="2"/>
    <s v="Thu, Wed"/>
    <b v="1"/>
    <d v="1899-12-30T08:29:00"/>
    <d v="1899-12-30T09:19:00"/>
    <n v="50"/>
    <x v="0"/>
    <b v="1"/>
    <b v="0"/>
    <s v="Male"/>
    <x v="0"/>
    <x v="0"/>
    <n v="50"/>
    <x v="2"/>
    <n v="0.1"/>
    <n v="45"/>
    <x v="0"/>
    <s v="Sacramento, CA"/>
    <n v="38.581600000000002"/>
    <n v="-121.4944"/>
    <d v="2025-01-02T00:00:00"/>
    <n v="4"/>
    <x v="0"/>
    <d v="2025-07-13T00:00:00"/>
    <s v="40–49"/>
    <s v="40–49"/>
  </r>
  <r>
    <n v="37"/>
    <x v="0"/>
    <n v="1"/>
    <s v="Sun"/>
    <b v="1"/>
    <d v="1899-12-30T15:55:00"/>
    <d v="1899-12-30T16:33:00"/>
    <n v="38"/>
    <x v="0"/>
    <b v="0"/>
    <b v="0"/>
    <s v="Prefer not to say"/>
    <x v="0"/>
    <x v="0"/>
    <n v="50"/>
    <x v="1"/>
    <n v="0"/>
    <n v="50"/>
    <x v="0"/>
    <s v="San Jose, CA"/>
    <n v="37.338200000000001"/>
    <n v="-121.88630000000001"/>
    <d v="2024-12-06T00:00:00"/>
    <n v="0"/>
    <x v="0"/>
    <d v="2025-07-11T00:00:00"/>
    <s v="30–39"/>
    <s v="30–39"/>
  </r>
  <r>
    <n v="14"/>
    <x v="0"/>
    <n v="3"/>
    <s v="Sat, Sun, Tue"/>
    <b v="0"/>
    <d v="1899-12-30T14:09:00"/>
    <d v="1899-12-30T16:34:00"/>
    <n v="145"/>
    <x v="0"/>
    <b v="1"/>
    <b v="0"/>
    <s v="Male"/>
    <x v="0"/>
    <x v="2"/>
    <n v="45"/>
    <x v="3"/>
    <n v="0.15"/>
    <n v="38.25"/>
    <x v="0"/>
    <s v="Bakersfield, CA"/>
    <n v="35.3733"/>
    <n v="-119.0187"/>
    <d v="2024-08-23T00:00:00"/>
    <n v="2"/>
    <x v="0"/>
    <d v="2025-07-05T00:00:00"/>
    <s v="10–19"/>
    <s v="Under 16"/>
  </r>
  <r>
    <n v="20"/>
    <x v="2"/>
    <n v="5"/>
    <s v="Mon, Sat, Sun, Thu, Wed"/>
    <b v="1"/>
    <d v="1899-12-30T13:04:00"/>
    <d v="1899-12-30T13:37:00"/>
    <n v="33"/>
    <x v="1"/>
    <b v="1"/>
    <b v="1"/>
    <s v="Non-binary"/>
    <x v="2"/>
    <x v="0"/>
    <n v="20"/>
    <x v="0"/>
    <n v="0.05"/>
    <n v="19"/>
    <x v="2"/>
    <s v="Los Angeles, CA"/>
    <n v="34.052199999999999"/>
    <n v="-118.2437"/>
    <d v="2024-12-20T00:00:00"/>
    <n v="1"/>
    <x v="1"/>
    <d v="2025-07-12T00:00:00"/>
    <s v="20–29"/>
    <s v="20–29"/>
  </r>
  <r>
    <n v="36"/>
    <x v="1"/>
    <n v="3"/>
    <s v="Sat, Thu, Wed"/>
    <b v="0"/>
    <d v="1899-12-30T08:42:00"/>
    <d v="1899-12-30T11:31:00"/>
    <n v="169"/>
    <x v="1"/>
    <b v="1"/>
    <b v="1"/>
    <s v="Female"/>
    <x v="1"/>
    <x v="0"/>
    <n v="30"/>
    <x v="1"/>
    <n v="0"/>
    <n v="30"/>
    <x v="1"/>
    <s v="San Diego, CA"/>
    <n v="32.715699999999998"/>
    <n v="-117.1611"/>
    <d v="2022-11-10T00:00:00"/>
    <n v="7"/>
    <x v="1"/>
    <d v="2025-05-30T00:00:00"/>
    <s v="30–39"/>
    <s v="30–39"/>
  </r>
  <r>
    <n v="36"/>
    <x v="1"/>
    <n v="3"/>
    <s v="Sat, Thu, Wed"/>
    <b v="0"/>
    <d v="1899-12-30T08:42:00"/>
    <d v="1899-12-30T11:31:00"/>
    <n v="169"/>
    <x v="1"/>
    <b v="1"/>
    <b v="1"/>
    <s v="Female"/>
    <x v="1"/>
    <x v="0"/>
    <n v="30"/>
    <x v="1"/>
    <n v="0"/>
    <n v="30"/>
    <x v="1"/>
    <s v="San Diego, CA"/>
    <n v="32.715699999999998"/>
    <n v="-117.1611"/>
    <d v="2025-03-29T00:00:00"/>
    <n v="6"/>
    <x v="1"/>
    <d v="2025-07-18T00:00:00"/>
    <s v="30–39"/>
    <s v="30–39"/>
  </r>
  <r>
    <n v="29"/>
    <x v="1"/>
    <n v="1"/>
    <s v="Thu"/>
    <b v="1"/>
    <d v="1899-12-30T10:25:00"/>
    <d v="1899-12-30T12:04:00"/>
    <n v="99"/>
    <x v="1"/>
    <b v="1"/>
    <b v="0"/>
    <s v="Male"/>
    <x v="1"/>
    <x v="0"/>
    <n v="30"/>
    <x v="1"/>
    <n v="0"/>
    <n v="30"/>
    <x v="1"/>
    <s v="Anaheim, CA"/>
    <n v="33.836599999999997"/>
    <n v="-117.9143"/>
    <d v="2023-12-12T00:00:00"/>
    <n v="7"/>
    <x v="1"/>
    <d v="2025-06-21T00:00:00"/>
    <s v="20–29"/>
    <s v="20–29"/>
  </r>
  <r>
    <n v="29"/>
    <x v="2"/>
    <n v="1"/>
    <s v="Thu"/>
    <b v="0"/>
    <d v="1899-12-30T20:43:00"/>
    <d v="1899-12-30T21:57:00"/>
    <n v="74"/>
    <x v="0"/>
    <b v="1"/>
    <b v="1"/>
    <s v="Male"/>
    <x v="2"/>
    <x v="1"/>
    <n v="15"/>
    <x v="0"/>
    <n v="0.05"/>
    <n v="14.25"/>
    <x v="2"/>
    <s v="Bakersfield, CA"/>
    <n v="35.3733"/>
    <n v="-119.0187"/>
    <d v="2024-04-11T00:00:00"/>
    <n v="7"/>
    <x v="1"/>
    <d v="2025-06-28T00:00:00"/>
    <s v="20–29"/>
    <s v="20–29"/>
  </r>
  <r>
    <n v="27"/>
    <x v="1"/>
    <n v="1"/>
    <s v="Mon"/>
    <b v="1"/>
    <d v="1899-12-30T18:22:00"/>
    <d v="1899-12-30T21:20:00"/>
    <n v="178"/>
    <x v="1"/>
    <b v="0"/>
    <b v="1"/>
    <s v="Male"/>
    <x v="1"/>
    <x v="1"/>
    <n v="22.5"/>
    <x v="0"/>
    <n v="0.05"/>
    <n v="21.375"/>
    <x v="1"/>
    <s v="Los Angeles, CA"/>
    <n v="34.052199999999999"/>
    <n v="-118.2437"/>
    <d v="2022-08-11T00:00:00"/>
    <n v="0"/>
    <x v="1"/>
    <d v="2025-05-25T00:00:00"/>
    <s v="20–29"/>
    <s v="20–29"/>
  </r>
  <r>
    <n v="33"/>
    <x v="0"/>
    <n v="5"/>
    <s v="Fri, Sat, Sun, Thu, Tue"/>
    <b v="1"/>
    <d v="1899-12-30T12:21:00"/>
    <d v="1899-12-30T14:23:00"/>
    <n v="122"/>
    <x v="1"/>
    <b v="0"/>
    <b v="1"/>
    <s v="Female"/>
    <x v="0"/>
    <x v="1"/>
    <n v="37.5"/>
    <x v="1"/>
    <n v="0"/>
    <n v="37.5"/>
    <x v="0"/>
    <s v="Los Angeles, CA"/>
    <n v="34.052199999999999"/>
    <n v="-118.2437"/>
    <d v="2025-02-23T00:00:00"/>
    <n v="0"/>
    <x v="0"/>
    <d v="2025-07-16T00:00:00"/>
    <s v="30–39"/>
    <s v="30–39"/>
  </r>
  <r>
    <n v="44"/>
    <x v="2"/>
    <n v="1"/>
    <s v="Wed"/>
    <b v="0"/>
    <d v="1899-12-30T20:43:00"/>
    <d v="1899-12-30T22:58:00"/>
    <n v="135"/>
    <x v="1"/>
    <b v="0"/>
    <b v="0"/>
    <s v="Female"/>
    <x v="2"/>
    <x v="0"/>
    <n v="20"/>
    <x v="1"/>
    <n v="0"/>
    <n v="20"/>
    <x v="2"/>
    <s v="Sacramento, CA"/>
    <n v="38.581600000000002"/>
    <n v="-121.4944"/>
    <d v="2024-04-25T00:00:00"/>
    <n v="0"/>
    <x v="1"/>
    <d v="2025-06-29T00:00:00"/>
    <s v="40–49"/>
    <s v="40–49"/>
  </r>
  <r>
    <n v="14"/>
    <x v="1"/>
    <n v="3"/>
    <s v="Sun, Thu, Tue"/>
    <b v="0"/>
    <d v="1899-12-30T08:29:00"/>
    <d v="1899-12-30T10:35:00"/>
    <n v="126"/>
    <x v="0"/>
    <b v="0"/>
    <b v="0"/>
    <s v="Non-binary"/>
    <x v="1"/>
    <x v="0"/>
    <n v="30"/>
    <x v="1"/>
    <n v="0"/>
    <n v="30"/>
    <x v="1"/>
    <s v="Anaheim, CA"/>
    <n v="33.836599999999997"/>
    <n v="-117.9143"/>
    <d v="2022-08-25T00:00:00"/>
    <n v="0"/>
    <x v="1"/>
    <d v="2025-05-25T00:00:00"/>
    <s v="10–19"/>
    <s v="Under 16"/>
  </r>
  <r>
    <n v="13"/>
    <x v="0"/>
    <n v="5"/>
    <s v="Fri, Sun, Thu, Tue, Wed"/>
    <b v="0"/>
    <d v="1899-12-30T09:47:00"/>
    <d v="1899-12-30T12:16:00"/>
    <n v="149"/>
    <x v="0"/>
    <b v="1"/>
    <b v="0"/>
    <s v="Non-binary"/>
    <x v="0"/>
    <x v="0"/>
    <n v="50"/>
    <x v="1"/>
    <n v="0"/>
    <n v="50"/>
    <x v="0"/>
    <s v="Anaheim, CA"/>
    <n v="33.836599999999997"/>
    <n v="-117.9143"/>
    <d v="2022-12-14T00:00:00"/>
    <n v="5"/>
    <x v="1"/>
    <d v="2025-06-01T00:00:00"/>
    <s v="10–19"/>
    <s v="Under 16"/>
  </r>
  <r>
    <n v="33"/>
    <x v="0"/>
    <n v="3"/>
    <s v="Mon, Sat, Thu"/>
    <b v="0"/>
    <d v="1899-12-30T09:46:00"/>
    <d v="1899-12-30T12:17:00"/>
    <n v="151"/>
    <x v="0"/>
    <b v="0"/>
    <b v="0"/>
    <s v="Male"/>
    <x v="0"/>
    <x v="2"/>
    <n v="45"/>
    <x v="1"/>
    <n v="0"/>
    <n v="45"/>
    <x v="0"/>
    <s v="Bakersfield, CA"/>
    <n v="35.3733"/>
    <n v="-119.0187"/>
    <d v="2023-02-03T00:00:00"/>
    <n v="0"/>
    <x v="1"/>
    <d v="2025-06-03T00:00:00"/>
    <s v="30–39"/>
    <s v="30–39"/>
  </r>
  <r>
    <n v="19"/>
    <x v="2"/>
    <n v="1"/>
    <s v="Sun"/>
    <b v="0"/>
    <d v="1899-12-30T11:29:00"/>
    <d v="1899-12-30T14:26:00"/>
    <n v="177"/>
    <x v="1"/>
    <b v="1"/>
    <b v="0"/>
    <s v="Male"/>
    <x v="2"/>
    <x v="1"/>
    <n v="15"/>
    <x v="0"/>
    <n v="0.05"/>
    <n v="14.25"/>
    <x v="2"/>
    <s v="Long Beach, CA"/>
    <n v="33.770099999999999"/>
    <n v="-118.19370000000001"/>
    <d v="2024-09-21T00:00:00"/>
    <n v="3"/>
    <x v="0"/>
    <d v="2025-07-07T00:00:00"/>
    <s v="10–19"/>
    <s v="16–19"/>
  </r>
  <r>
    <n v="36"/>
    <x v="0"/>
    <n v="1"/>
    <s v="Sat"/>
    <b v="1"/>
    <d v="1899-12-30T11:56:00"/>
    <d v="1899-12-30T12:58:00"/>
    <n v="62"/>
    <x v="1"/>
    <b v="1"/>
    <b v="1"/>
    <s v="Female"/>
    <x v="0"/>
    <x v="0"/>
    <n v="50"/>
    <x v="1"/>
    <n v="0"/>
    <n v="50"/>
    <x v="0"/>
    <s v="San Diego, CA"/>
    <n v="32.715699999999998"/>
    <n v="-117.1611"/>
    <d v="2024-12-23T00:00:00"/>
    <n v="1"/>
    <x v="0"/>
    <d v="2025-07-12T00:00:00"/>
    <s v="30–39"/>
    <s v="30–39"/>
  </r>
  <r>
    <n v="36"/>
    <x v="3"/>
    <n v="4"/>
    <s v="Mon, Sun, Thu, Wed"/>
    <b v="0"/>
    <d v="1899-12-30T12:32:00"/>
    <d v="1899-12-30T13:02:00"/>
    <n v="30"/>
    <x v="0"/>
    <b v="0"/>
    <b v="0"/>
    <s v="Female"/>
    <x v="3"/>
    <x v="0"/>
    <n v="70"/>
    <x v="3"/>
    <n v="0.15"/>
    <n v="59.5"/>
    <x v="3"/>
    <s v="Fresno, CA"/>
    <n v="36.7378"/>
    <n v="-119.7871"/>
    <d v="2023-07-11T00:00:00"/>
    <n v="0"/>
    <x v="0"/>
    <d v="2025-06-12T00:00:00"/>
    <s v="30–39"/>
    <s v="30–39"/>
  </r>
  <r>
    <n v="47"/>
    <x v="0"/>
    <n v="2"/>
    <s v="Sun, Tue"/>
    <b v="1"/>
    <d v="1899-12-30T15:09:00"/>
    <d v="1899-12-30T16:18:00"/>
    <n v="69"/>
    <x v="1"/>
    <b v="1"/>
    <b v="1"/>
    <s v="Prefer not to say"/>
    <x v="0"/>
    <x v="1"/>
    <n v="37.5"/>
    <x v="0"/>
    <n v="0.05"/>
    <n v="35.625"/>
    <x v="0"/>
    <s v="Los Angeles, CA"/>
    <n v="34.052199999999999"/>
    <n v="-118.2437"/>
    <d v="2022-10-07T00:00:00"/>
    <n v="5"/>
    <x v="0"/>
    <d v="2025-05-28T00:00:00"/>
    <s v="40–49"/>
    <s v="40–49"/>
  </r>
  <r>
    <n v="37"/>
    <x v="0"/>
    <n v="3"/>
    <s v="Fri, Sat, Sun"/>
    <b v="0"/>
    <d v="1899-12-30T17:53:00"/>
    <d v="1899-12-30T20:14:00"/>
    <n v="141"/>
    <x v="0"/>
    <b v="0"/>
    <b v="1"/>
    <s v="Non-binary"/>
    <x v="0"/>
    <x v="1"/>
    <n v="37.5"/>
    <x v="2"/>
    <n v="0.1"/>
    <n v="33.75"/>
    <x v="0"/>
    <s v="Long Beach, CA"/>
    <n v="33.770099999999999"/>
    <n v="-118.19370000000001"/>
    <d v="2023-11-08T00:00:00"/>
    <n v="0"/>
    <x v="0"/>
    <d v="2025-06-19T00:00:00"/>
    <s v="30–39"/>
    <s v="30–39"/>
  </r>
  <r>
    <n v="36"/>
    <x v="1"/>
    <n v="5"/>
    <s v="Fri, Mon, Sun, Thu, Tue"/>
    <b v="0"/>
    <d v="1899-12-30T20:57:00"/>
    <d v="1899-12-30T22:15:00"/>
    <n v="78"/>
    <x v="1"/>
    <b v="1"/>
    <b v="0"/>
    <s v="Non-binary"/>
    <x v="1"/>
    <x v="0"/>
    <n v="30"/>
    <x v="3"/>
    <n v="0.15"/>
    <n v="25.5"/>
    <x v="1"/>
    <s v="Sacramento, CA"/>
    <n v="38.581600000000002"/>
    <n v="-121.4944"/>
    <d v="2023-10-23T00:00:00"/>
    <n v="5"/>
    <x v="1"/>
    <d v="2025-06-18T00:00:00"/>
    <s v="30–39"/>
    <s v="30–39"/>
  </r>
  <r>
    <n v="13"/>
    <x v="1"/>
    <n v="1"/>
    <s v="Fri"/>
    <b v="0"/>
    <d v="1899-12-30T16:10:00"/>
    <d v="1899-12-30T16:40:00"/>
    <n v="30"/>
    <x v="1"/>
    <b v="0"/>
    <b v="0"/>
    <s v="Female"/>
    <x v="1"/>
    <x v="1"/>
    <n v="22.5"/>
    <x v="0"/>
    <n v="0.05"/>
    <n v="21.375"/>
    <x v="1"/>
    <s v="San Diego, CA"/>
    <n v="32.715699999999998"/>
    <n v="-117.1611"/>
    <d v="2024-08-28T00:00:00"/>
    <n v="0"/>
    <x v="1"/>
    <d v="2025-07-06T00:00:00"/>
    <s v="10–19"/>
    <s v="Under 16"/>
  </r>
  <r>
    <n v="41"/>
    <x v="2"/>
    <n v="4"/>
    <s v="Mon, Sun, Tue, Wed"/>
    <b v="1"/>
    <d v="1899-12-30T10:09:00"/>
    <d v="1899-12-30T10:57:00"/>
    <n v="48"/>
    <x v="1"/>
    <b v="0"/>
    <b v="0"/>
    <s v="Female"/>
    <x v="2"/>
    <x v="0"/>
    <n v="20"/>
    <x v="0"/>
    <n v="0.05"/>
    <n v="19"/>
    <x v="2"/>
    <s v="Anaheim, CA"/>
    <n v="33.836599999999997"/>
    <n v="-117.9143"/>
    <d v="2023-03-26T00:00:00"/>
    <n v="0"/>
    <x v="1"/>
    <d v="2025-06-06T00:00:00"/>
    <s v="40–49"/>
    <s v="40–49"/>
  </r>
  <r>
    <n v="30"/>
    <x v="2"/>
    <n v="5"/>
    <s v="Fri, Mon, Sun, Thu, Wed"/>
    <b v="0"/>
    <d v="1899-12-30T17:29:00"/>
    <d v="1899-12-30T18:25:00"/>
    <n v="56"/>
    <x v="0"/>
    <b v="1"/>
    <b v="0"/>
    <s v="Non-binary"/>
    <x v="2"/>
    <x v="0"/>
    <n v="20"/>
    <x v="3"/>
    <n v="0.15"/>
    <n v="17"/>
    <x v="2"/>
    <s v="Fresno, CA"/>
    <n v="36.7378"/>
    <n v="-119.7871"/>
    <d v="2024-12-05T00:00:00"/>
    <n v="6"/>
    <x v="1"/>
    <d v="2025-07-11T00:00:00"/>
    <s v="30–39"/>
    <s v="30–39"/>
  </r>
  <r>
    <n v="30"/>
    <x v="3"/>
    <n v="3"/>
    <s v="Fri, Sun, Wed"/>
    <b v="1"/>
    <d v="1899-12-30T13:00:00"/>
    <d v="1899-12-30T15:43:00"/>
    <n v="163"/>
    <x v="1"/>
    <b v="1"/>
    <b v="1"/>
    <s v="Prefer not to say"/>
    <x v="3"/>
    <x v="1"/>
    <n v="52.5"/>
    <x v="0"/>
    <n v="0.05"/>
    <n v="49.875"/>
    <x v="3"/>
    <s v="San Francisco, CA"/>
    <n v="37.774900000000002"/>
    <n v="-122.4194"/>
    <d v="2024-07-13T00:00:00"/>
    <n v="4"/>
    <x v="0"/>
    <d v="2025-07-03T00:00:00"/>
    <s v="30–39"/>
    <s v="30–39"/>
  </r>
  <r>
    <n v="17"/>
    <x v="0"/>
    <n v="2"/>
    <s v="Fri, Wed"/>
    <b v="1"/>
    <d v="1899-12-30T08:24:00"/>
    <d v="1899-12-30T09:57:00"/>
    <n v="93"/>
    <x v="0"/>
    <b v="0"/>
    <b v="0"/>
    <s v="Non-binary"/>
    <x v="0"/>
    <x v="0"/>
    <n v="50"/>
    <x v="1"/>
    <n v="0"/>
    <n v="50"/>
    <x v="0"/>
    <s v="Bakersfield, CA"/>
    <n v="35.3733"/>
    <n v="-119.0187"/>
    <d v="2024-03-26T00:00:00"/>
    <n v="0"/>
    <x v="0"/>
    <d v="2025-06-27T00:00:00"/>
    <s v="10–19"/>
    <s v="16–1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3-12-30T00:00:00"/>
    <n v="0"/>
    <x v="0"/>
    <d v="2025-06-22T00:00:00"/>
    <s v="20–29"/>
    <s v="20–29"/>
  </r>
  <r>
    <n v="18"/>
    <x v="2"/>
    <n v="2"/>
    <s v="Fri, Tue"/>
    <b v="0"/>
    <d v="1899-12-30T18:15:00"/>
    <d v="1899-12-30T20:59:00"/>
    <n v="164"/>
    <x v="0"/>
    <b v="0"/>
    <b v="0"/>
    <s v="Non-binary"/>
    <x v="2"/>
    <x v="1"/>
    <n v="15"/>
    <x v="3"/>
    <n v="0.15"/>
    <n v="12.75"/>
    <x v="2"/>
    <s v="Sacramento, CA"/>
    <n v="38.581600000000002"/>
    <n v="-121.4944"/>
    <d v="2024-10-07T00:00:00"/>
    <n v="0"/>
    <x v="0"/>
    <d v="2025-07-08T00:00:00"/>
    <s v="10–19"/>
    <s v="16–19"/>
  </r>
  <r>
    <n v="25"/>
    <x v="0"/>
    <n v="5"/>
    <s v="Fri, Sat, Sun, Thu, Tue"/>
    <b v="0"/>
    <d v="1899-12-30T16:13:00"/>
    <d v="1899-12-30T18:45:00"/>
    <n v="152"/>
    <x v="0"/>
    <b v="0"/>
    <b v="0"/>
    <s v="Non-binary"/>
    <x v="0"/>
    <x v="2"/>
    <n v="45"/>
    <x v="0"/>
    <n v="0.05"/>
    <n v="42.75"/>
    <x v="0"/>
    <s v="Los Angeles, CA"/>
    <n v="34.052199999999999"/>
    <n v="-118.2437"/>
    <d v="2025-02-20T00:00:00"/>
    <n v="0"/>
    <x v="0"/>
    <d v="2025-07-16T00:00:00"/>
    <s v="20–29"/>
    <s v="20–29"/>
  </r>
  <r>
    <n v="23"/>
    <x v="0"/>
    <n v="2"/>
    <s v="Thu, Tue"/>
    <b v="1"/>
    <d v="1899-12-30T14:42:00"/>
    <d v="1899-12-30T16:56:00"/>
    <n v="134"/>
    <x v="1"/>
    <b v="1"/>
    <b v="0"/>
    <s v="Female"/>
    <x v="0"/>
    <x v="0"/>
    <n v="50"/>
    <x v="0"/>
    <n v="0.05"/>
    <n v="47.5"/>
    <x v="0"/>
    <s v="San Francisco, CA"/>
    <n v="37.774900000000002"/>
    <n v="-122.4194"/>
    <d v="2023-09-11T00:00:00"/>
    <n v="6"/>
    <x v="0"/>
    <d v="2025-06-16T00:00:00"/>
    <s v="20–29"/>
    <s v="20–29"/>
  </r>
  <r>
    <n v="23"/>
    <x v="3"/>
    <n v="3"/>
    <s v="Mon, Sat, Sun"/>
    <b v="0"/>
    <d v="1899-12-30T13:42:00"/>
    <d v="1899-12-30T14:33:00"/>
    <n v="51"/>
    <x v="0"/>
    <b v="0"/>
    <b v="1"/>
    <s v="Male"/>
    <x v="3"/>
    <x v="0"/>
    <n v="70"/>
    <x v="0"/>
    <n v="0.05"/>
    <n v="66.5"/>
    <x v="3"/>
    <s v="Long Beach, CA"/>
    <n v="33.770099999999999"/>
    <n v="-118.19370000000001"/>
    <d v="2024-08-19T00:00:00"/>
    <n v="0"/>
    <x v="0"/>
    <d v="2025-07-05T00:00:00"/>
    <s v="20–29"/>
    <s v="20–29"/>
  </r>
  <r>
    <n v="20"/>
    <x v="1"/>
    <n v="1"/>
    <s v="Tue"/>
    <b v="0"/>
    <d v="1899-12-30T08:55:00"/>
    <d v="1899-12-30T10:23:00"/>
    <n v="88"/>
    <x v="1"/>
    <b v="1"/>
    <b v="1"/>
    <s v="Female"/>
    <x v="1"/>
    <x v="0"/>
    <n v="30"/>
    <x v="1"/>
    <n v="0"/>
    <n v="30"/>
    <x v="1"/>
    <s v="San Francisco, CA"/>
    <n v="37.774900000000002"/>
    <n v="-122.4194"/>
    <d v="2023-10-12T00:00:00"/>
    <n v="4"/>
    <x v="0"/>
    <d v="2025-06-18T00:00:00"/>
    <s v="20–29"/>
    <s v="20–29"/>
  </r>
  <r>
    <n v="24"/>
    <x v="0"/>
    <n v="1"/>
    <s v="Thu"/>
    <b v="1"/>
    <d v="1899-12-30T08:58:00"/>
    <d v="1899-12-30T11:53:00"/>
    <n v="175"/>
    <x v="0"/>
    <b v="1"/>
    <b v="1"/>
    <s v="Male"/>
    <x v="0"/>
    <x v="1"/>
    <n v="37.5"/>
    <x v="1"/>
    <n v="0"/>
    <n v="37.5"/>
    <x v="0"/>
    <s v="Long Beach, CA"/>
    <n v="33.770099999999999"/>
    <n v="-118.19370000000001"/>
    <d v="2025-01-09T00:00:00"/>
    <n v="4"/>
    <x v="0"/>
    <d v="2025-07-13T00:00:00"/>
    <s v="20–29"/>
    <s v="20–29"/>
  </r>
  <r>
    <n v="16"/>
    <x v="0"/>
    <n v="4"/>
    <s v="Mon, Sun, Thu, Tue"/>
    <b v="1"/>
    <d v="1899-12-30T16:21:00"/>
    <d v="1899-12-30T17:38:00"/>
    <n v="77"/>
    <x v="0"/>
    <b v="1"/>
    <b v="0"/>
    <s v="Female"/>
    <x v="0"/>
    <x v="0"/>
    <n v="50"/>
    <x v="2"/>
    <n v="0.1"/>
    <n v="45"/>
    <x v="0"/>
    <s v="San Diego, CA"/>
    <n v="32.715699999999998"/>
    <n v="-117.1611"/>
    <d v="2024-01-27T00:00:00"/>
    <n v="1"/>
    <x v="0"/>
    <d v="2025-06-24T00:00:00"/>
    <s v="10–19"/>
    <s v="16–1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3-12-03T00:00:00"/>
    <n v="7"/>
    <x v="0"/>
    <d v="2025-06-21T00:00:00"/>
    <s v="30–39"/>
    <s v="30–39"/>
  </r>
  <r>
    <n v="36"/>
    <x v="2"/>
    <n v="3"/>
    <s v="Sun, Thu, Wed"/>
    <b v="0"/>
    <d v="1899-12-30T10:01:00"/>
    <d v="1899-12-30T12:11:00"/>
    <n v="130"/>
    <x v="0"/>
    <b v="1"/>
    <b v="1"/>
    <s v="Female"/>
    <x v="2"/>
    <x v="0"/>
    <n v="20"/>
    <x v="1"/>
    <n v="0"/>
    <n v="20"/>
    <x v="2"/>
    <s v="Sacramento, CA"/>
    <n v="38.581600000000002"/>
    <n v="-121.4944"/>
    <d v="2025-04-28T00:00:00"/>
    <n v="1"/>
    <x v="1"/>
    <d v="2025-07-19T00:00:00"/>
    <s v="30–39"/>
    <s v="30–39"/>
  </r>
  <r>
    <n v="33"/>
    <x v="2"/>
    <n v="2"/>
    <s v="Mon, Wed"/>
    <b v="1"/>
    <d v="1899-12-30T20:25:00"/>
    <d v="1899-12-30T23:16:00"/>
    <n v="171"/>
    <x v="1"/>
    <b v="0"/>
    <b v="0"/>
    <s v="Female"/>
    <x v="2"/>
    <x v="0"/>
    <n v="20"/>
    <x v="2"/>
    <n v="0.1"/>
    <n v="18"/>
    <x v="2"/>
    <s v="Anaheim, CA"/>
    <n v="33.836599999999997"/>
    <n v="-117.9143"/>
    <d v="2024-06-29T00:00:00"/>
    <n v="0"/>
    <x v="1"/>
    <d v="2025-07-02T00:00:00"/>
    <s v="30–39"/>
    <s v="30–3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5-01-30T00:00:00"/>
    <n v="0"/>
    <x v="0"/>
    <d v="2025-07-14T00:00:00"/>
    <s v="10–19"/>
    <s v="16–19"/>
  </r>
  <r>
    <n v="24"/>
    <x v="1"/>
    <n v="1"/>
    <s v="Mon"/>
    <b v="0"/>
    <d v="1899-12-30T13:05:00"/>
    <d v="1899-12-30T15:29:00"/>
    <n v="144"/>
    <x v="0"/>
    <b v="1"/>
    <b v="1"/>
    <s v="Non-binary"/>
    <x v="1"/>
    <x v="0"/>
    <n v="30"/>
    <x v="1"/>
    <n v="0"/>
    <n v="30"/>
    <x v="1"/>
    <s v="San Francisco, CA"/>
    <n v="37.774900000000002"/>
    <n v="-122.4194"/>
    <d v="2025-04-16T00:00:00"/>
    <n v="3"/>
    <x v="0"/>
    <d v="2025-07-19T00:00:00"/>
    <s v="20–29"/>
    <s v="20–29"/>
  </r>
  <r>
    <n v="41"/>
    <x v="0"/>
    <n v="1"/>
    <s v="Fri"/>
    <b v="1"/>
    <d v="1899-12-30T09:46:00"/>
    <d v="1899-12-30T11:10:00"/>
    <n v="84"/>
    <x v="1"/>
    <b v="1"/>
    <b v="0"/>
    <s v="Female"/>
    <x v="0"/>
    <x v="2"/>
    <n v="45"/>
    <x v="1"/>
    <n v="0"/>
    <n v="45"/>
    <x v="0"/>
    <s v="Long Beach, CA"/>
    <n v="33.770099999999999"/>
    <n v="-118.19370000000001"/>
    <d v="2022-08-03T00:00:00"/>
    <n v="4"/>
    <x v="0"/>
    <d v="2025-05-24T00:00:00"/>
    <s v="40–49"/>
    <s v="40–49"/>
  </r>
  <r>
    <n v="29"/>
    <x v="0"/>
    <n v="2"/>
    <s v="Fri, Tue"/>
    <b v="0"/>
    <d v="1899-12-30T20:52:00"/>
    <d v="1899-12-30T22:40:00"/>
    <n v="108"/>
    <x v="0"/>
    <b v="1"/>
    <b v="0"/>
    <s v="Non-binary"/>
    <x v="0"/>
    <x v="0"/>
    <n v="50"/>
    <x v="0"/>
    <n v="0.05"/>
    <n v="47.5"/>
    <x v="0"/>
    <s v="San Francisco, CA"/>
    <n v="37.774900000000002"/>
    <n v="-122.4194"/>
    <d v="2024-07-14T00:00:00"/>
    <n v="5"/>
    <x v="0"/>
    <d v="2025-07-03T00:00:00"/>
    <s v="20–29"/>
    <s v="20–29"/>
  </r>
  <r>
    <n v="43"/>
    <x v="1"/>
    <n v="3"/>
    <s v="Fri, Sun, Tue"/>
    <b v="0"/>
    <d v="1899-12-30T18:37:00"/>
    <d v="1899-12-30T20:15:00"/>
    <n v="98"/>
    <x v="0"/>
    <b v="1"/>
    <b v="1"/>
    <s v="Female"/>
    <x v="1"/>
    <x v="2"/>
    <n v="27"/>
    <x v="2"/>
    <n v="0.1"/>
    <n v="24.3"/>
    <x v="1"/>
    <s v="Fresno, CA"/>
    <n v="36.7378"/>
    <n v="-119.7871"/>
    <d v="2023-02-11T00:00:00"/>
    <n v="7"/>
    <x v="0"/>
    <d v="2025-06-04T00:00:00"/>
    <s v="40–49"/>
    <s v="40–49"/>
  </r>
  <r>
    <n v="28"/>
    <x v="0"/>
    <n v="4"/>
    <s v="Fri, Sat, Sun, Wed"/>
    <b v="0"/>
    <d v="1899-12-30T16:33:00"/>
    <d v="1899-12-30T17:11:00"/>
    <n v="38"/>
    <x v="0"/>
    <b v="0"/>
    <b v="1"/>
    <s v="Male"/>
    <x v="0"/>
    <x v="1"/>
    <n v="37.5"/>
    <x v="0"/>
    <n v="0.05"/>
    <n v="35.625"/>
    <x v="0"/>
    <s v="San Diego, CA"/>
    <n v="32.715699999999998"/>
    <n v="-117.1611"/>
    <d v="2024-09-24T00:00:00"/>
    <n v="0"/>
    <x v="1"/>
    <d v="2025-07-07T00:00:00"/>
    <s v="20–29"/>
    <s v="20–29"/>
  </r>
  <r>
    <n v="44"/>
    <x v="0"/>
    <n v="2"/>
    <s v="Fri, Mon"/>
    <b v="1"/>
    <d v="1899-12-30T17:13:00"/>
    <d v="1899-12-30T18:15:00"/>
    <n v="62"/>
    <x v="0"/>
    <b v="0"/>
    <b v="1"/>
    <s v="Male"/>
    <x v="0"/>
    <x v="1"/>
    <n v="37.5"/>
    <x v="2"/>
    <n v="0.1"/>
    <n v="33.75"/>
    <x v="0"/>
    <s v="Oakland, CA"/>
    <n v="37.804400000000001"/>
    <n v="-122.27119999999999"/>
    <d v="2023-06-28T00:00:00"/>
    <n v="0"/>
    <x v="0"/>
    <d v="2025-06-12T00:00:00"/>
    <s v="40–49"/>
    <s v="40–49"/>
  </r>
  <r>
    <n v="31"/>
    <x v="0"/>
    <n v="3"/>
    <s v="Fri, Sat, Tue"/>
    <b v="0"/>
    <d v="1899-12-30T10:14:00"/>
    <d v="1899-12-30T13:13:00"/>
    <n v="179"/>
    <x v="0"/>
    <b v="1"/>
    <b v="1"/>
    <s v="Non-binary"/>
    <x v="0"/>
    <x v="1"/>
    <n v="37.5"/>
    <x v="1"/>
    <n v="0"/>
    <n v="37.5"/>
    <x v="0"/>
    <s v="Anaheim, CA"/>
    <n v="33.836599999999997"/>
    <n v="-117.9143"/>
    <d v="2023-04-05T00:00:00"/>
    <n v="2"/>
    <x v="0"/>
    <d v="2025-06-07T00:00:00"/>
    <s v="30–39"/>
    <s v="30–39"/>
  </r>
  <r>
    <n v="17"/>
    <x v="1"/>
    <n v="1"/>
    <s v="Mon"/>
    <b v="1"/>
    <d v="1899-12-30T19:05:00"/>
    <d v="1899-12-30T21:55:00"/>
    <n v="170"/>
    <x v="1"/>
    <b v="1"/>
    <b v="0"/>
    <s v="Female"/>
    <x v="1"/>
    <x v="0"/>
    <n v="30"/>
    <x v="1"/>
    <n v="0"/>
    <n v="30"/>
    <x v="1"/>
    <s v="Sacramento, CA"/>
    <n v="38.581600000000002"/>
    <n v="-121.4944"/>
    <d v="2023-09-27T00:00:00"/>
    <n v="3"/>
    <x v="0"/>
    <d v="2025-06-17T00:00:00"/>
    <s v="10–19"/>
    <s v="16–19"/>
  </r>
  <r>
    <n v="26"/>
    <x v="2"/>
    <n v="5"/>
    <s v="Fri, Sun, Thu, Tue, Wed"/>
    <b v="0"/>
    <d v="1899-12-30T19:51:00"/>
    <d v="1899-12-30T21:23:00"/>
    <n v="92"/>
    <x v="1"/>
    <b v="1"/>
    <b v="1"/>
    <s v="Male"/>
    <x v="2"/>
    <x v="0"/>
    <n v="20"/>
    <x v="2"/>
    <n v="0.1"/>
    <n v="18"/>
    <x v="2"/>
    <s v="San Francisco, CA"/>
    <n v="37.774900000000002"/>
    <n v="-122.4194"/>
    <d v="2024-02-06T00:00:00"/>
    <n v="1"/>
    <x v="0"/>
    <d v="2025-06-24T00:00:00"/>
    <s v="20–29"/>
    <s v="20–29"/>
  </r>
  <r>
    <n v="48"/>
    <x v="1"/>
    <n v="4"/>
    <s v="Mon, Sun, Thu, Wed"/>
    <b v="0"/>
    <d v="1899-12-30T13:33:00"/>
    <d v="1899-12-30T14:08:00"/>
    <n v="35"/>
    <x v="1"/>
    <b v="0"/>
    <b v="0"/>
    <s v="Female"/>
    <x v="1"/>
    <x v="0"/>
    <n v="30"/>
    <x v="2"/>
    <n v="0.1"/>
    <n v="27"/>
    <x v="1"/>
    <s v="Oakland, CA"/>
    <n v="37.804400000000001"/>
    <n v="-122.27119999999999"/>
    <d v="2024-04-10T00:00:00"/>
    <n v="0"/>
    <x v="1"/>
    <d v="2025-06-28T00:00:00"/>
    <s v="40–49"/>
    <s v="40–49"/>
  </r>
  <r>
    <n v="39"/>
    <x v="1"/>
    <n v="4"/>
    <s v="Sat, Sun, Tue, Wed"/>
    <b v="0"/>
    <d v="1899-12-30T13:57:00"/>
    <d v="1899-12-30T15:41:00"/>
    <n v="104"/>
    <x v="1"/>
    <b v="1"/>
    <b v="1"/>
    <s v="Female"/>
    <x v="1"/>
    <x v="0"/>
    <n v="30"/>
    <x v="1"/>
    <n v="0"/>
    <n v="30"/>
    <x v="1"/>
    <s v="San Diego, CA"/>
    <n v="32.715699999999998"/>
    <n v="-117.1611"/>
    <d v="2024-06-16T00:00:00"/>
    <n v="6"/>
    <x v="1"/>
    <d v="2025-07-02T00:00:00"/>
    <s v="30–39"/>
    <s v="30–39"/>
  </r>
  <r>
    <n v="18"/>
    <x v="3"/>
    <n v="3"/>
    <s v="Fri, Thu, Wed"/>
    <b v="1"/>
    <d v="1899-12-30T18:43:00"/>
    <d v="1899-12-30T21:06:00"/>
    <n v="143"/>
    <x v="1"/>
    <b v="0"/>
    <b v="1"/>
    <s v="Female"/>
    <x v="3"/>
    <x v="0"/>
    <n v="70"/>
    <x v="2"/>
    <n v="0.1"/>
    <n v="63"/>
    <x v="3"/>
    <s v="Long Beach, CA"/>
    <n v="33.770099999999999"/>
    <n v="-118.19370000000001"/>
    <d v="2022-10-07T00:00:00"/>
    <n v="0"/>
    <x v="0"/>
    <d v="2025-05-28T00:00:00"/>
    <s v="10–19"/>
    <s v="16–19"/>
  </r>
  <r>
    <n v="34"/>
    <x v="0"/>
    <n v="4"/>
    <s v="Fri, Thu, Tue, Wed"/>
    <b v="0"/>
    <d v="1899-12-30T12:46:00"/>
    <d v="1899-12-30T13:55:00"/>
    <n v="69"/>
    <x v="0"/>
    <b v="0"/>
    <b v="0"/>
    <s v="Non-binary"/>
    <x v="0"/>
    <x v="0"/>
    <n v="50"/>
    <x v="3"/>
    <n v="0.15"/>
    <n v="42.5"/>
    <x v="0"/>
    <s v="Los Angeles, CA"/>
    <n v="34.052199999999999"/>
    <n v="-118.2437"/>
    <d v="2023-01-20T00:00:00"/>
    <n v="0"/>
    <x v="0"/>
    <d v="2025-06-03T00:00:00"/>
    <s v="30–39"/>
    <s v="30–39"/>
  </r>
  <r>
    <n v="27"/>
    <x v="0"/>
    <n v="3"/>
    <s v="Sat, Thu, Wed"/>
    <b v="0"/>
    <d v="1899-12-30T11:50:00"/>
    <d v="1899-12-30T12:54:00"/>
    <n v="64"/>
    <x v="0"/>
    <b v="0"/>
    <b v="0"/>
    <s v="Non-binary"/>
    <x v="0"/>
    <x v="1"/>
    <n v="37.5"/>
    <x v="0"/>
    <n v="0.05"/>
    <n v="35.625"/>
    <x v="0"/>
    <s v="Los Angeles, CA"/>
    <n v="34.052199999999999"/>
    <n v="-118.2437"/>
    <d v="2022-08-30T00:00:00"/>
    <n v="0"/>
    <x v="0"/>
    <d v="2025-05-26T00:00:00"/>
    <s v="20–29"/>
    <s v="20–29"/>
  </r>
  <r>
    <n v="16"/>
    <x v="2"/>
    <n v="3"/>
    <s v="Sat, Sun, Tue"/>
    <b v="0"/>
    <d v="1899-12-30T15:15:00"/>
    <d v="1899-12-30T15:46:00"/>
    <n v="31"/>
    <x v="1"/>
    <b v="1"/>
    <b v="0"/>
    <s v="Female"/>
    <x v="2"/>
    <x v="0"/>
    <n v="20"/>
    <x v="0"/>
    <n v="0.05"/>
    <n v="19"/>
    <x v="2"/>
    <s v="Los Angeles, CA"/>
    <n v="34.052199999999999"/>
    <n v="-118.2437"/>
    <d v="2025-02-10T00:00:00"/>
    <n v="3"/>
    <x v="0"/>
    <d v="2025-07-15T00:00:00"/>
    <s v="10–19"/>
    <s v="16–19"/>
  </r>
  <r>
    <n v="23"/>
    <x v="3"/>
    <n v="3"/>
    <s v="Mon, Sat, Sun"/>
    <b v="0"/>
    <d v="1899-12-30T13:42:00"/>
    <d v="1899-12-30T14:33:00"/>
    <n v="51"/>
    <x v="0"/>
    <b v="0"/>
    <b v="1"/>
    <s v="Male"/>
    <x v="3"/>
    <x v="0"/>
    <n v="70"/>
    <x v="0"/>
    <n v="0.05"/>
    <n v="66.5"/>
    <x v="3"/>
    <s v="Long Beach, CA"/>
    <n v="33.770099999999999"/>
    <n v="-118.19370000000001"/>
    <d v="2023-05-06T00:00:00"/>
    <n v="0"/>
    <x v="0"/>
    <d v="2025-06-09T00:00:00"/>
    <s v="20–29"/>
    <s v="20–29"/>
  </r>
  <r>
    <n v="32"/>
    <x v="0"/>
    <n v="2"/>
    <s v="Sat, Wed"/>
    <b v="1"/>
    <d v="1899-12-30T17:04:00"/>
    <d v="1899-12-30T19:46:00"/>
    <n v="162"/>
    <x v="0"/>
    <b v="1"/>
    <b v="0"/>
    <s v="Female"/>
    <x v="0"/>
    <x v="0"/>
    <n v="50"/>
    <x v="3"/>
    <n v="0.15"/>
    <n v="42.5"/>
    <x v="0"/>
    <s v="Bakersfield, CA"/>
    <n v="35.3733"/>
    <n v="-119.0187"/>
    <d v="2022-09-27T00:00:00"/>
    <n v="3"/>
    <x v="1"/>
    <d v="2025-05-27T00:00:00"/>
    <s v="30–39"/>
    <s v="30–3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4-12-11T00:00:00"/>
    <n v="7"/>
    <x v="1"/>
    <d v="2025-07-12T00:00:00"/>
    <s v="10–19"/>
    <s v="16–19"/>
  </r>
  <r>
    <n v="34"/>
    <x v="1"/>
    <n v="1"/>
    <s v="Sun"/>
    <b v="1"/>
    <d v="1899-12-30T09:14:00"/>
    <d v="1899-12-30T11:52:00"/>
    <n v="158"/>
    <x v="0"/>
    <b v="1"/>
    <b v="0"/>
    <s v="Male"/>
    <x v="1"/>
    <x v="1"/>
    <n v="22.5"/>
    <x v="1"/>
    <n v="0"/>
    <n v="22.5"/>
    <x v="1"/>
    <s v="Anaheim, CA"/>
    <n v="33.836599999999997"/>
    <n v="-117.9143"/>
    <d v="2025-04-13T00:00:00"/>
    <n v="3"/>
    <x v="1"/>
    <d v="2025-07-19T00:00:00"/>
    <s v="30–39"/>
    <s v="30–39"/>
  </r>
  <r>
    <n v="20"/>
    <x v="3"/>
    <n v="2"/>
    <s v="Sun, Thu"/>
    <b v="1"/>
    <d v="1899-12-30T09:26:00"/>
    <d v="1899-12-30T10:35:00"/>
    <n v="69"/>
    <x v="0"/>
    <b v="0"/>
    <b v="0"/>
    <s v="Prefer not to say"/>
    <x v="3"/>
    <x v="0"/>
    <n v="70"/>
    <x v="1"/>
    <n v="0"/>
    <n v="70"/>
    <x v="3"/>
    <s v="San Diego, CA"/>
    <n v="32.715699999999998"/>
    <n v="-117.1611"/>
    <d v="2023-04-25T00:00:00"/>
    <n v="0"/>
    <x v="0"/>
    <d v="2025-06-08T00:00:00"/>
    <s v="20–29"/>
    <s v="20–29"/>
  </r>
  <r>
    <n v="28"/>
    <x v="1"/>
    <n v="3"/>
    <s v="Sat, Thu, Wed"/>
    <b v="0"/>
    <d v="1899-12-30T19:59:00"/>
    <d v="1899-12-30T20:40:00"/>
    <n v="41"/>
    <x v="0"/>
    <b v="1"/>
    <b v="0"/>
    <s v="Male"/>
    <x v="1"/>
    <x v="1"/>
    <n v="22.5"/>
    <x v="0"/>
    <n v="0.05"/>
    <n v="21.375"/>
    <x v="1"/>
    <s v="Anaheim, CA"/>
    <n v="33.836599999999997"/>
    <n v="-117.9143"/>
    <d v="2023-10-20T00:00:00"/>
    <n v="3"/>
    <x v="1"/>
    <d v="2025-06-18T00:00:00"/>
    <s v="20–29"/>
    <s v="20–2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3-01-08T00:00:00"/>
    <n v="0"/>
    <x v="0"/>
    <d v="2025-06-02T00:00:00"/>
    <s v="20–29"/>
    <s v="20–29"/>
  </r>
  <r>
    <n v="38"/>
    <x v="2"/>
    <n v="1"/>
    <s v="Tue"/>
    <b v="0"/>
    <d v="1899-12-30T14:12:00"/>
    <d v="1899-12-30T14:59:00"/>
    <n v="47"/>
    <x v="0"/>
    <b v="0"/>
    <b v="0"/>
    <s v="Prefer not to say"/>
    <x v="2"/>
    <x v="0"/>
    <n v="20"/>
    <x v="1"/>
    <n v="0"/>
    <n v="20"/>
    <x v="2"/>
    <s v="Sacramento, CA"/>
    <n v="38.581600000000002"/>
    <n v="-121.4944"/>
    <d v="2025-01-25T00:00:00"/>
    <n v="0"/>
    <x v="1"/>
    <d v="2025-07-14T00:00:00"/>
    <s v="30–39"/>
    <s v="30–39"/>
  </r>
  <r>
    <n v="22"/>
    <x v="1"/>
    <n v="3"/>
    <s v="Fri, Sat, Sun"/>
    <b v="0"/>
    <d v="1899-12-30T10:41:00"/>
    <d v="1899-12-30T11:38:00"/>
    <n v="57"/>
    <x v="1"/>
    <b v="1"/>
    <b v="1"/>
    <s v="Female"/>
    <x v="1"/>
    <x v="0"/>
    <n v="30"/>
    <x v="3"/>
    <n v="0.15"/>
    <n v="25.5"/>
    <x v="1"/>
    <s v="Los Angeles, CA"/>
    <n v="34.052199999999999"/>
    <n v="-118.2437"/>
    <d v="2023-02-27T00:00:00"/>
    <n v="2"/>
    <x v="1"/>
    <d v="2025-06-05T00:00:00"/>
    <s v="20–29"/>
    <s v="20–29"/>
  </r>
  <r>
    <n v="26"/>
    <x v="1"/>
    <n v="3"/>
    <s v="Sun, Tue, Wed"/>
    <b v="1"/>
    <d v="1899-12-30T13:24:00"/>
    <d v="1899-12-30T15:53:00"/>
    <n v="149"/>
    <x v="1"/>
    <b v="1"/>
    <b v="0"/>
    <s v="Female"/>
    <x v="1"/>
    <x v="1"/>
    <n v="22.5"/>
    <x v="2"/>
    <n v="0.1"/>
    <n v="20.25"/>
    <x v="1"/>
    <s v="Los Angeles, CA"/>
    <n v="34.052199999999999"/>
    <n v="-118.2437"/>
    <d v="2024-11-20T00:00:00"/>
    <n v="8"/>
    <x v="0"/>
    <d v="2025-07-10T00:00:00"/>
    <s v="20–29"/>
    <s v="20–29"/>
  </r>
  <r>
    <n v="24"/>
    <x v="1"/>
    <n v="3"/>
    <s v="Mon, Thu, Wed"/>
    <b v="0"/>
    <d v="1899-12-30T09:13:00"/>
    <d v="1899-12-30T11:37:00"/>
    <n v="144"/>
    <x v="0"/>
    <b v="0"/>
    <b v="0"/>
    <s v="Female"/>
    <x v="1"/>
    <x v="2"/>
    <n v="27"/>
    <x v="2"/>
    <n v="0.1"/>
    <n v="24.3"/>
    <x v="1"/>
    <s v="San Francisco, CA"/>
    <n v="37.774900000000002"/>
    <n v="-122.4194"/>
    <d v="2024-12-30T00:00:00"/>
    <n v="0"/>
    <x v="1"/>
    <d v="2025-07-13T00:00:00"/>
    <s v="20–29"/>
    <s v="20–29"/>
  </r>
  <r>
    <n v="17"/>
    <x v="1"/>
    <n v="3"/>
    <s v="Fri, Sat, Sun"/>
    <b v="0"/>
    <d v="1899-12-30T18:02:00"/>
    <d v="1899-12-30T19:49:00"/>
    <n v="107"/>
    <x v="0"/>
    <b v="0"/>
    <b v="1"/>
    <s v="Female"/>
    <x v="1"/>
    <x v="0"/>
    <n v="30"/>
    <x v="3"/>
    <n v="0.15"/>
    <n v="25.5"/>
    <x v="1"/>
    <s v="Anaheim, CA"/>
    <n v="33.836599999999997"/>
    <n v="-117.9143"/>
    <d v="2024-12-30T00:00:00"/>
    <n v="0"/>
    <x v="1"/>
    <d v="2025-07-13T00:00:00"/>
    <s v="10–19"/>
    <s v="16–19"/>
  </r>
  <r>
    <n v="15"/>
    <x v="0"/>
    <n v="1"/>
    <s v="Fri"/>
    <b v="1"/>
    <d v="1899-12-30T19:06:00"/>
    <d v="1899-12-30T21:17:00"/>
    <n v="131"/>
    <x v="1"/>
    <b v="1"/>
    <b v="0"/>
    <s v="Other (self-described)"/>
    <x v="0"/>
    <x v="0"/>
    <n v="50"/>
    <x v="3"/>
    <n v="0.15"/>
    <n v="42.5"/>
    <x v="0"/>
    <s v="Los Angeles, CA"/>
    <n v="34.052199999999999"/>
    <n v="-118.2437"/>
    <d v="2023-02-06T00:00:00"/>
    <n v="6"/>
    <x v="1"/>
    <d v="2025-06-04T00:00:00"/>
    <s v="10–19"/>
    <s v="Under 16"/>
  </r>
  <r>
    <n v="22"/>
    <x v="0"/>
    <n v="2"/>
    <s v="Fri, Sat"/>
    <b v="0"/>
    <d v="1899-12-30T14:12:00"/>
    <d v="1899-12-30T16:43:00"/>
    <n v="151"/>
    <x v="1"/>
    <b v="1"/>
    <b v="1"/>
    <s v="Non-binary"/>
    <x v="0"/>
    <x v="0"/>
    <n v="50"/>
    <x v="1"/>
    <n v="0"/>
    <n v="50"/>
    <x v="0"/>
    <s v="Los Angeles, CA"/>
    <n v="34.052199999999999"/>
    <n v="-118.2437"/>
    <d v="2023-07-15T00:00:00"/>
    <n v="6"/>
    <x v="0"/>
    <d v="2025-06-13T00:00:00"/>
    <s v="20–29"/>
    <s v="20–29"/>
  </r>
  <r>
    <n v="35"/>
    <x v="1"/>
    <n v="1"/>
    <s v="Tue"/>
    <b v="0"/>
    <d v="1899-12-30T16:19:00"/>
    <d v="1899-12-30T19:13:00"/>
    <n v="174"/>
    <x v="1"/>
    <b v="0"/>
    <b v="0"/>
    <s v="Female"/>
    <x v="1"/>
    <x v="0"/>
    <n v="30"/>
    <x v="0"/>
    <n v="0.05"/>
    <n v="28.5"/>
    <x v="1"/>
    <s v="Oakland, CA"/>
    <n v="37.804400000000001"/>
    <n v="-122.27119999999999"/>
    <d v="2023-12-13T00:00:00"/>
    <n v="0"/>
    <x v="1"/>
    <d v="2025-06-21T00:00:00"/>
    <s v="30–39"/>
    <s v="30–39"/>
  </r>
  <r>
    <n v="18"/>
    <x v="1"/>
    <n v="2"/>
    <s v="Mon, Tue"/>
    <b v="1"/>
    <d v="1899-12-30T10:26:00"/>
    <d v="1899-12-30T12:13:00"/>
    <n v="107"/>
    <x v="1"/>
    <b v="0"/>
    <b v="1"/>
    <s v="Female"/>
    <x v="1"/>
    <x v="0"/>
    <n v="30"/>
    <x v="2"/>
    <n v="0.1"/>
    <n v="27"/>
    <x v="1"/>
    <s v="Long Beach, CA"/>
    <n v="33.770099999999999"/>
    <n v="-118.19370000000001"/>
    <d v="2024-06-05T00:00:00"/>
    <n v="0"/>
    <x v="0"/>
    <d v="2025-07-01T00:00:00"/>
    <s v="10–19"/>
    <s v="16–19"/>
  </r>
  <r>
    <n v="46"/>
    <x v="0"/>
    <n v="5"/>
    <s v="Fri, Mon, Sat, Tue, Wed"/>
    <b v="1"/>
    <d v="1899-12-30T09:41:00"/>
    <d v="1899-12-30T12:38:00"/>
    <n v="177"/>
    <x v="1"/>
    <b v="1"/>
    <b v="1"/>
    <s v="Prefer not to say"/>
    <x v="0"/>
    <x v="0"/>
    <n v="50"/>
    <x v="2"/>
    <n v="0.1"/>
    <n v="45"/>
    <x v="0"/>
    <s v="Oakland, CA"/>
    <n v="37.804400000000001"/>
    <n v="-122.27119999999999"/>
    <d v="2022-12-01T00:00:00"/>
    <n v="6"/>
    <x v="0"/>
    <d v="2025-05-31T00:00:00"/>
    <s v="40–49"/>
    <s v="40–49"/>
  </r>
  <r>
    <n v="44"/>
    <x v="0"/>
    <n v="4"/>
    <s v="Mon, Thu, Tue, Wed"/>
    <b v="1"/>
    <d v="1899-12-30T19:09:00"/>
    <d v="1899-12-30T21:55:00"/>
    <n v="166"/>
    <x v="1"/>
    <b v="0"/>
    <b v="1"/>
    <s v="Female"/>
    <x v="0"/>
    <x v="0"/>
    <n v="50"/>
    <x v="2"/>
    <n v="0.1"/>
    <n v="45"/>
    <x v="0"/>
    <s v="San Jose, CA"/>
    <n v="37.338200000000001"/>
    <n v="-121.88630000000001"/>
    <d v="2024-05-01T00:00:00"/>
    <n v="0"/>
    <x v="0"/>
    <d v="2025-06-29T00:00:00"/>
    <s v="40–49"/>
    <s v="40–49"/>
  </r>
  <r>
    <n v="21"/>
    <x v="0"/>
    <n v="3"/>
    <s v="Fri, Mon, Thu"/>
    <b v="1"/>
    <d v="1899-12-30T20:15:00"/>
    <d v="1899-12-30T21:36:00"/>
    <n v="81"/>
    <x v="1"/>
    <b v="0"/>
    <b v="1"/>
    <s v="Male"/>
    <x v="0"/>
    <x v="1"/>
    <n v="37.5"/>
    <x v="3"/>
    <n v="0.15"/>
    <n v="31.875"/>
    <x v="0"/>
    <s v="Fresno, CA"/>
    <n v="36.7378"/>
    <n v="-119.7871"/>
    <d v="2023-02-04T00:00:00"/>
    <n v="0"/>
    <x v="0"/>
    <d v="2025-06-04T00:00:00"/>
    <s v="20–29"/>
    <s v="20–29"/>
  </r>
  <r>
    <n v="17"/>
    <x v="3"/>
    <n v="1"/>
    <s v="Mon"/>
    <b v="0"/>
    <d v="1899-12-30T17:58:00"/>
    <d v="1899-12-30T20:04:00"/>
    <n v="126"/>
    <x v="0"/>
    <b v="1"/>
    <b v="0"/>
    <s v="Prefer not to say"/>
    <x v="3"/>
    <x v="0"/>
    <n v="70"/>
    <x v="1"/>
    <n v="0"/>
    <n v="70"/>
    <x v="3"/>
    <s v="San Jose, CA"/>
    <n v="37.338200000000001"/>
    <n v="-121.88630000000001"/>
    <d v="2024-03-12T00:00:00"/>
    <n v="4"/>
    <x v="0"/>
    <d v="2025-06-26T00:00:00"/>
    <s v="10–19"/>
    <s v="16–19"/>
  </r>
  <r>
    <n v="32"/>
    <x v="0"/>
    <n v="2"/>
    <s v="Sat, Wed"/>
    <b v="1"/>
    <d v="1899-12-30T17:04:00"/>
    <d v="1899-12-30T19:46:00"/>
    <n v="162"/>
    <x v="0"/>
    <b v="1"/>
    <b v="0"/>
    <s v="Female"/>
    <x v="0"/>
    <x v="0"/>
    <n v="50"/>
    <x v="3"/>
    <n v="0.15"/>
    <n v="42.5"/>
    <x v="0"/>
    <s v="Bakersfield, CA"/>
    <n v="35.3733"/>
    <n v="-119.0187"/>
    <d v="2024-05-17T00:00:00"/>
    <n v="5"/>
    <x v="0"/>
    <d v="2025-06-30T00:00:00"/>
    <s v="30–39"/>
    <s v="30–39"/>
  </r>
  <r>
    <n v="39"/>
    <x v="1"/>
    <n v="3"/>
    <s v="Mon, Tue, Wed"/>
    <b v="0"/>
    <d v="1899-12-30T16:51:00"/>
    <d v="1899-12-30T18:36:00"/>
    <n v="105"/>
    <x v="0"/>
    <b v="0"/>
    <b v="1"/>
    <s v="Female"/>
    <x v="1"/>
    <x v="1"/>
    <n v="22.5"/>
    <x v="1"/>
    <n v="0"/>
    <n v="22.5"/>
    <x v="1"/>
    <s v="Anaheim, CA"/>
    <n v="33.836599999999997"/>
    <n v="-117.9143"/>
    <d v="2024-02-16T00:00:00"/>
    <n v="0"/>
    <x v="0"/>
    <d v="2025-06-25T00:00:00"/>
    <s v="30–39"/>
    <s v="30–39"/>
  </r>
  <r>
    <n v="39"/>
    <x v="1"/>
    <n v="2"/>
    <s v="Mon, Thu"/>
    <b v="0"/>
    <d v="1899-12-30T17:57:00"/>
    <d v="1899-12-30T19:45:00"/>
    <n v="108"/>
    <x v="1"/>
    <b v="1"/>
    <b v="1"/>
    <s v="Non-binary"/>
    <x v="1"/>
    <x v="0"/>
    <n v="30"/>
    <x v="1"/>
    <n v="0"/>
    <n v="30"/>
    <x v="1"/>
    <s v="Oakland, CA"/>
    <n v="37.804400000000001"/>
    <n v="-122.27119999999999"/>
    <d v="2024-08-06T00:00:00"/>
    <n v="8"/>
    <x v="1"/>
    <d v="2025-07-04T00:00:00"/>
    <s v="30–39"/>
    <s v="30–39"/>
  </r>
  <r>
    <n v="19"/>
    <x v="0"/>
    <n v="3"/>
    <s v="Sat, Sun, Thu"/>
    <b v="0"/>
    <d v="1899-12-30T17:43:00"/>
    <d v="1899-12-30T18:34:00"/>
    <n v="51"/>
    <x v="0"/>
    <b v="1"/>
    <b v="1"/>
    <s v="Female"/>
    <x v="0"/>
    <x v="1"/>
    <n v="37.5"/>
    <x v="0"/>
    <n v="0.05"/>
    <n v="35.625"/>
    <x v="0"/>
    <s v="San Jose, CA"/>
    <n v="37.338200000000001"/>
    <n v="-121.88630000000001"/>
    <d v="2023-04-18T00:00:00"/>
    <n v="6"/>
    <x v="1"/>
    <d v="2025-06-08T00:00:00"/>
    <s v="10–19"/>
    <s v="16–19"/>
  </r>
  <r>
    <n v="14"/>
    <x v="0"/>
    <n v="2"/>
    <s v="Fri, Tue"/>
    <b v="1"/>
    <d v="1899-12-30T13:45:00"/>
    <d v="1899-12-30T16:26:00"/>
    <n v="161"/>
    <x v="0"/>
    <b v="0"/>
    <b v="0"/>
    <s v="Male"/>
    <x v="0"/>
    <x v="1"/>
    <n v="37.5"/>
    <x v="1"/>
    <n v="0"/>
    <n v="37.5"/>
    <x v="0"/>
    <s v="Sacramento, CA"/>
    <n v="38.581600000000002"/>
    <n v="-121.4944"/>
    <d v="2024-01-04T00:00:00"/>
    <n v="0"/>
    <x v="0"/>
    <d v="2025-06-22T00:00:00"/>
    <s v="10–19"/>
    <s v="Under 16"/>
  </r>
  <r>
    <n v="33"/>
    <x v="1"/>
    <n v="3"/>
    <s v="Fri, Sat, Sun"/>
    <b v="0"/>
    <d v="1899-12-30T08:47:00"/>
    <d v="1899-12-30T09:52:00"/>
    <n v="65"/>
    <x v="0"/>
    <b v="0"/>
    <b v="1"/>
    <s v="Prefer not to say"/>
    <x v="1"/>
    <x v="0"/>
    <n v="30"/>
    <x v="0"/>
    <n v="0.05"/>
    <n v="28.5"/>
    <x v="1"/>
    <s v="Fresno, CA"/>
    <n v="36.7378"/>
    <n v="-119.7871"/>
    <d v="2024-10-18T00:00:00"/>
    <n v="0"/>
    <x v="1"/>
    <d v="2025-07-09T00:00:00"/>
    <s v="30–39"/>
    <s v="30–39"/>
  </r>
  <r>
    <n v="14"/>
    <x v="0"/>
    <n v="5"/>
    <s v="Fri, Sat, Sun, Thu, Tue"/>
    <b v="1"/>
    <d v="1899-12-30T20:23:00"/>
    <d v="1899-12-30T21:30:00"/>
    <n v="67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2-11-07T00:00:00"/>
    <n v="3"/>
    <x v="0"/>
    <d v="2025-05-30T00:00:00"/>
    <s v="10–19"/>
    <s v="Under 16"/>
  </r>
  <r>
    <n v="17"/>
    <x v="1"/>
    <n v="1"/>
    <s v="Wed"/>
    <b v="0"/>
    <d v="1899-12-30T10:30:00"/>
    <d v="1899-12-30T13:27:00"/>
    <n v="177"/>
    <x v="1"/>
    <b v="1"/>
    <b v="1"/>
    <s v="Male"/>
    <x v="1"/>
    <x v="0"/>
    <n v="30"/>
    <x v="3"/>
    <n v="0.15"/>
    <n v="25.5"/>
    <x v="1"/>
    <s v="Long Beach, CA"/>
    <n v="33.770099999999999"/>
    <n v="-118.19370000000001"/>
    <d v="2024-05-10T00:00:00"/>
    <n v="3"/>
    <x v="0"/>
    <d v="2025-06-29T00:00:00"/>
    <s v="10–19"/>
    <s v="16–19"/>
  </r>
  <r>
    <n v="35"/>
    <x v="1"/>
    <n v="2"/>
    <s v="Tue, Wed"/>
    <b v="0"/>
    <d v="1899-12-30T18:42:00"/>
    <d v="1899-12-30T21:41:00"/>
    <n v="179"/>
    <x v="0"/>
    <b v="1"/>
    <b v="1"/>
    <s v="Male"/>
    <x v="1"/>
    <x v="0"/>
    <n v="30"/>
    <x v="1"/>
    <n v="0"/>
    <n v="30"/>
    <x v="1"/>
    <s v="Sacramento, CA"/>
    <n v="38.581600000000002"/>
    <n v="-121.4944"/>
    <d v="2023-11-22T00:00:00"/>
    <n v="6"/>
    <x v="1"/>
    <d v="2025-06-20T00:00:00"/>
    <s v="30–39"/>
    <s v="30–39"/>
  </r>
  <r>
    <n v="14"/>
    <x v="2"/>
    <n v="2"/>
    <s v="Sat, Sun"/>
    <b v="0"/>
    <d v="1899-12-30T10:09:00"/>
    <d v="1899-12-30T11:15:00"/>
    <n v="66"/>
    <x v="0"/>
    <b v="1"/>
    <b v="1"/>
    <s v="Female"/>
    <x v="2"/>
    <x v="0"/>
    <n v="20"/>
    <x v="1"/>
    <n v="0"/>
    <n v="20"/>
    <x v="2"/>
    <s v="San Francisco, CA"/>
    <n v="37.774900000000002"/>
    <n v="-122.4194"/>
    <d v="2022-10-31T00:00:00"/>
    <n v="7"/>
    <x v="0"/>
    <d v="2025-05-29T00:00:00"/>
    <s v="10–19"/>
    <s v="Under 16"/>
  </r>
  <r>
    <n v="26"/>
    <x v="2"/>
    <n v="5"/>
    <s v="Fri, Mon, Sun, Tue, Wed"/>
    <b v="0"/>
    <d v="1899-12-30T18:01:00"/>
    <d v="1899-12-30T18:43:00"/>
    <n v="42"/>
    <x v="1"/>
    <b v="0"/>
    <b v="0"/>
    <s v="Male"/>
    <x v="2"/>
    <x v="1"/>
    <n v="15"/>
    <x v="1"/>
    <n v="0"/>
    <n v="15"/>
    <x v="2"/>
    <s v="Long Beach, CA"/>
    <n v="33.770099999999999"/>
    <n v="-118.19370000000001"/>
    <d v="2023-08-28T00:00:00"/>
    <n v="0"/>
    <x v="1"/>
    <d v="2025-06-15T00:00:00"/>
    <s v="20–29"/>
    <s v="20–29"/>
  </r>
  <r>
    <n v="41"/>
    <x v="1"/>
    <n v="3"/>
    <s v="Fri, Sat, Sun"/>
    <b v="0"/>
    <d v="1899-12-30T09:56:00"/>
    <d v="1899-12-30T11:39:00"/>
    <n v="103"/>
    <x v="0"/>
    <b v="1"/>
    <b v="1"/>
    <s v="Prefer not to say"/>
    <x v="1"/>
    <x v="0"/>
    <n v="30"/>
    <x v="3"/>
    <n v="0.15"/>
    <n v="25.5"/>
    <x v="1"/>
    <s v="Long Beach, CA"/>
    <n v="33.770099999999999"/>
    <n v="-118.19370000000001"/>
    <d v="2025-02-18T00:00:00"/>
    <n v="6"/>
    <x v="1"/>
    <d v="2025-07-15T00:00:00"/>
    <s v="40–49"/>
    <s v="40–49"/>
  </r>
  <r>
    <n v="39"/>
    <x v="2"/>
    <n v="2"/>
    <s v="Mon, Tue"/>
    <b v="1"/>
    <d v="1899-12-30T09:20:00"/>
    <d v="1899-12-30T09:52:00"/>
    <n v="32"/>
    <x v="1"/>
    <b v="0"/>
    <b v="0"/>
    <s v="Male"/>
    <x v="2"/>
    <x v="1"/>
    <n v="15"/>
    <x v="2"/>
    <n v="0.1"/>
    <n v="13.5"/>
    <x v="2"/>
    <s v="San Diego, CA"/>
    <n v="32.715699999999998"/>
    <n v="-117.1611"/>
    <d v="2022-09-26T00:00:00"/>
    <n v="0"/>
    <x v="1"/>
    <d v="2025-05-27T00:00:00"/>
    <s v="30–39"/>
    <s v="30–39"/>
  </r>
  <r>
    <n v="17"/>
    <x v="1"/>
    <n v="2"/>
    <s v="Fri, Sat"/>
    <b v="0"/>
    <d v="1899-12-30T16:59:00"/>
    <d v="1899-12-30T19:27:00"/>
    <n v="148"/>
    <x v="0"/>
    <b v="0"/>
    <b v="1"/>
    <s v="Male"/>
    <x v="1"/>
    <x v="0"/>
    <n v="30"/>
    <x v="2"/>
    <n v="0.1"/>
    <n v="27"/>
    <x v="1"/>
    <s v="Long Beach, CA"/>
    <n v="33.770099999999999"/>
    <n v="-118.19370000000001"/>
    <d v="2023-08-24T00:00:00"/>
    <n v="0"/>
    <x v="1"/>
    <d v="2025-06-15T00:00:00"/>
    <s v="10–19"/>
    <s v="16–1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4-07-01T00:00:00"/>
    <n v="0"/>
    <x v="0"/>
    <d v="2025-07-02T00:00:00"/>
    <s v="20–29"/>
    <s v="20–29"/>
  </r>
  <r>
    <n v="44"/>
    <x v="2"/>
    <n v="4"/>
    <s v="Sat, Thu, Tue, Wed"/>
    <b v="0"/>
    <d v="1899-12-30T11:10:00"/>
    <d v="1899-12-30T11:44:00"/>
    <n v="34"/>
    <x v="0"/>
    <b v="0"/>
    <b v="1"/>
    <s v="Non-binary"/>
    <x v="2"/>
    <x v="1"/>
    <n v="15"/>
    <x v="1"/>
    <n v="0"/>
    <n v="15"/>
    <x v="2"/>
    <s v="San Jose, CA"/>
    <n v="37.338200000000001"/>
    <n v="-121.88630000000001"/>
    <d v="2025-01-25T00:00:00"/>
    <n v="0"/>
    <x v="0"/>
    <d v="2025-07-14T00:00:00"/>
    <s v="40–49"/>
    <s v="40–49"/>
  </r>
  <r>
    <n v="33"/>
    <x v="1"/>
    <n v="1"/>
    <s v="Sun"/>
    <b v="0"/>
    <d v="1899-12-30T16:29:00"/>
    <d v="1899-12-30T17:07:00"/>
    <n v="38"/>
    <x v="0"/>
    <b v="1"/>
    <b v="0"/>
    <s v="Prefer not to say"/>
    <x v="1"/>
    <x v="0"/>
    <n v="30"/>
    <x v="0"/>
    <n v="0.05"/>
    <n v="28.5"/>
    <x v="1"/>
    <s v="Long Beach, CA"/>
    <n v="33.770099999999999"/>
    <n v="-118.19370000000001"/>
    <d v="2023-02-28T00:00:00"/>
    <n v="3"/>
    <x v="1"/>
    <d v="2025-06-05T00:00:00"/>
    <s v="30–39"/>
    <s v="30–39"/>
  </r>
  <r>
    <n v="33"/>
    <x v="0"/>
    <n v="5"/>
    <s v="Fri, Sat, Sun, Thu, Wed"/>
    <b v="1"/>
    <d v="1899-12-30T10:29:00"/>
    <d v="1899-12-30T11:18:00"/>
    <n v="49"/>
    <x v="1"/>
    <b v="1"/>
    <b v="0"/>
    <s v="Male"/>
    <x v="0"/>
    <x v="0"/>
    <n v="50"/>
    <x v="0"/>
    <n v="0.05"/>
    <n v="47.5"/>
    <x v="0"/>
    <s v="Oakland, CA"/>
    <n v="37.804400000000001"/>
    <n v="-122.27119999999999"/>
    <d v="2023-09-01T00:00:00"/>
    <n v="4"/>
    <x v="0"/>
    <d v="2025-06-15T00:00:00"/>
    <s v="30–39"/>
    <s v="30–39"/>
  </r>
  <r>
    <n v="48"/>
    <x v="0"/>
    <n v="3"/>
    <s v="Fri, Sat, Thu"/>
    <b v="1"/>
    <d v="1899-12-30T08:33:00"/>
    <d v="1899-12-30T10:13:00"/>
    <n v="100"/>
    <x v="1"/>
    <b v="1"/>
    <b v="1"/>
    <s v="Male"/>
    <x v="0"/>
    <x v="0"/>
    <n v="50"/>
    <x v="3"/>
    <n v="0.15"/>
    <n v="42.5"/>
    <x v="0"/>
    <s v="Sacramento, CA"/>
    <n v="38.581600000000002"/>
    <n v="-121.4944"/>
    <d v="2023-12-02T00:00:00"/>
    <n v="1"/>
    <x v="1"/>
    <d v="2025-06-20T00:00:00"/>
    <s v="40–49"/>
    <s v="40–49"/>
  </r>
  <r>
    <n v="36"/>
    <x v="1"/>
    <n v="3"/>
    <s v="Fri, Thu, Tue"/>
    <b v="1"/>
    <d v="1899-12-30T17:33:00"/>
    <d v="1899-12-30T19:16:00"/>
    <n v="103"/>
    <x v="0"/>
    <b v="0"/>
    <b v="1"/>
    <s v="Female"/>
    <x v="1"/>
    <x v="1"/>
    <n v="22.5"/>
    <x v="0"/>
    <n v="0.05"/>
    <n v="21.375"/>
    <x v="1"/>
    <s v="Bakersfield, CA"/>
    <n v="35.3733"/>
    <n v="-119.0187"/>
    <d v="2022-11-14T00:00:00"/>
    <n v="0"/>
    <x v="1"/>
    <d v="2025-05-30T00:00:00"/>
    <s v="30–39"/>
    <s v="30–3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3-03-06T00:00:00"/>
    <n v="1"/>
    <x v="1"/>
    <d v="2025-06-05T00:00:00"/>
    <s v="20–29"/>
    <s v="20–29"/>
  </r>
  <r>
    <n v="29"/>
    <x v="0"/>
    <n v="2"/>
    <s v="Fri, Mon"/>
    <b v="1"/>
    <d v="1899-12-30T20:15:00"/>
    <d v="1899-12-30T22:05:00"/>
    <n v="110"/>
    <x v="0"/>
    <b v="0"/>
    <b v="1"/>
    <s v="Prefer not to say"/>
    <x v="0"/>
    <x v="0"/>
    <n v="50"/>
    <x v="3"/>
    <n v="0.15"/>
    <n v="42.5"/>
    <x v="0"/>
    <s v="Fresno, CA"/>
    <n v="36.7378"/>
    <n v="-119.7871"/>
    <d v="2025-01-12T00:00:00"/>
    <n v="0"/>
    <x v="0"/>
    <d v="2025-07-13T00:00:00"/>
    <s v="20–29"/>
    <s v="20–29"/>
  </r>
  <r>
    <n v="47"/>
    <x v="0"/>
    <n v="2"/>
    <s v="Mon, Sat"/>
    <b v="1"/>
    <d v="1899-12-30T08:39:00"/>
    <d v="1899-12-30T09:38:00"/>
    <n v="59"/>
    <x v="1"/>
    <b v="1"/>
    <b v="1"/>
    <s v="Other (self-described)"/>
    <x v="0"/>
    <x v="1"/>
    <n v="37.5"/>
    <x v="2"/>
    <n v="0.1"/>
    <n v="33.75"/>
    <x v="0"/>
    <s v="San Diego, CA"/>
    <n v="32.715699999999998"/>
    <n v="-117.1611"/>
    <d v="2024-07-26T00:00:00"/>
    <n v="8"/>
    <x v="0"/>
    <d v="2025-07-04T00:00:00"/>
    <s v="40–49"/>
    <s v="40–49"/>
  </r>
  <r>
    <n v="23"/>
    <x v="0"/>
    <n v="2"/>
    <s v="Tue, Wed"/>
    <b v="1"/>
    <d v="1899-12-30T17:37:00"/>
    <d v="1899-12-30T19:57:00"/>
    <n v="140"/>
    <x v="1"/>
    <b v="1"/>
    <b v="1"/>
    <s v="Other (self-described)"/>
    <x v="0"/>
    <x v="1"/>
    <n v="37.5"/>
    <x v="0"/>
    <n v="0.05"/>
    <n v="35.625"/>
    <x v="0"/>
    <s v="San Francisco, CA"/>
    <n v="37.774900000000002"/>
    <n v="-122.4194"/>
    <d v="2024-10-01T00:00:00"/>
    <n v="8"/>
    <x v="0"/>
    <d v="2025-07-08T00:00:00"/>
    <s v="20–29"/>
    <s v="20–29"/>
  </r>
  <r>
    <n v="40"/>
    <x v="2"/>
    <n v="1"/>
    <s v="Sat"/>
    <b v="0"/>
    <d v="1899-12-30T10:28:00"/>
    <d v="1899-12-30T13:25:00"/>
    <n v="177"/>
    <x v="0"/>
    <b v="0"/>
    <b v="1"/>
    <s v="Female"/>
    <x v="2"/>
    <x v="1"/>
    <n v="15"/>
    <x v="3"/>
    <n v="0.15"/>
    <n v="12.75"/>
    <x v="2"/>
    <s v="San Francisco, CA"/>
    <n v="37.774900000000002"/>
    <n v="-122.4194"/>
    <d v="2023-04-22T00:00:00"/>
    <n v="0"/>
    <x v="1"/>
    <d v="2025-06-08T00:00:00"/>
    <s v="40–49"/>
    <s v="40–49"/>
  </r>
  <r>
    <n v="37"/>
    <x v="1"/>
    <n v="4"/>
    <s v="Fri, Mon, Thu, Tue"/>
    <b v="1"/>
    <d v="1899-12-30T11:51:00"/>
    <d v="1899-12-30T13:57:00"/>
    <n v="126"/>
    <x v="1"/>
    <b v="0"/>
    <b v="0"/>
    <s v="Female"/>
    <x v="1"/>
    <x v="0"/>
    <n v="30"/>
    <x v="1"/>
    <n v="0"/>
    <n v="30"/>
    <x v="1"/>
    <s v="San Diego, CA"/>
    <n v="32.715699999999998"/>
    <n v="-117.1611"/>
    <d v="2025-05-18T00:00:00"/>
    <n v="0"/>
    <x v="0"/>
    <d v="2025-07-20T00:00:00"/>
    <s v="30–39"/>
    <s v="30–39"/>
  </r>
  <r>
    <n v="22"/>
    <x v="0"/>
    <n v="3"/>
    <s v="Sat, Thu, Tue"/>
    <b v="1"/>
    <d v="1899-12-30T17:29:00"/>
    <d v="1899-12-30T19:06:00"/>
    <n v="97"/>
    <x v="1"/>
    <b v="0"/>
    <b v="0"/>
    <s v="Female"/>
    <x v="0"/>
    <x v="0"/>
    <n v="50"/>
    <x v="0"/>
    <n v="0.05"/>
    <n v="47.5"/>
    <x v="0"/>
    <s v="Long Beach, CA"/>
    <n v="33.770099999999999"/>
    <n v="-118.19370000000001"/>
    <d v="2023-10-25T00:00:00"/>
    <n v="0"/>
    <x v="1"/>
    <d v="2025-06-18T00:00:00"/>
    <s v="20–29"/>
    <s v="20–29"/>
  </r>
  <r>
    <n v="44"/>
    <x v="2"/>
    <n v="4"/>
    <s v="Sat, Thu, Tue, Wed"/>
    <b v="0"/>
    <d v="1899-12-30T11:10:00"/>
    <d v="1899-12-30T11:44:00"/>
    <n v="34"/>
    <x v="0"/>
    <b v="0"/>
    <b v="1"/>
    <s v="Non-binary"/>
    <x v="2"/>
    <x v="1"/>
    <n v="15"/>
    <x v="1"/>
    <n v="0"/>
    <n v="15"/>
    <x v="2"/>
    <s v="San Jose, CA"/>
    <n v="37.338200000000001"/>
    <n v="-121.88630000000001"/>
    <d v="2023-04-02T00:00:00"/>
    <n v="0"/>
    <x v="1"/>
    <d v="2025-06-07T00:00:00"/>
    <s v="40–49"/>
    <s v="40–49"/>
  </r>
  <r>
    <n v="49"/>
    <x v="2"/>
    <n v="1"/>
    <s v="Tue"/>
    <b v="1"/>
    <d v="1899-12-30T18:02:00"/>
    <d v="1899-12-30T18:44:00"/>
    <n v="42"/>
    <x v="1"/>
    <b v="0"/>
    <b v="0"/>
    <s v="Non-binary"/>
    <x v="2"/>
    <x v="0"/>
    <n v="20"/>
    <x v="3"/>
    <n v="0.15"/>
    <n v="17"/>
    <x v="2"/>
    <s v="Anaheim, CA"/>
    <n v="33.836599999999997"/>
    <n v="-117.9143"/>
    <d v="2022-12-02T00:00:00"/>
    <n v="0"/>
    <x v="1"/>
    <d v="2025-05-31T00:00:00"/>
    <s v="40–49"/>
    <s v="40–49"/>
  </r>
  <r>
    <n v="44"/>
    <x v="2"/>
    <n v="3"/>
    <s v="Fri, Mon, Tue"/>
    <b v="0"/>
    <d v="1899-12-30T10:31:00"/>
    <d v="1899-12-30T12:28:00"/>
    <n v="117"/>
    <x v="1"/>
    <b v="1"/>
    <b v="0"/>
    <s v="Female"/>
    <x v="2"/>
    <x v="0"/>
    <n v="20"/>
    <x v="3"/>
    <n v="0.15"/>
    <n v="17"/>
    <x v="2"/>
    <s v="Long Beach, CA"/>
    <n v="33.770099999999999"/>
    <n v="-118.19370000000001"/>
    <d v="2024-06-23T00:00:00"/>
    <n v="6"/>
    <x v="0"/>
    <d v="2025-07-02T00:00:00"/>
    <s v="40–49"/>
    <s v="40–49"/>
  </r>
  <r>
    <n v="13"/>
    <x v="3"/>
    <n v="2"/>
    <s v="Mon, Tue"/>
    <b v="1"/>
    <d v="1899-12-30T20:56:00"/>
    <d v="1899-12-30T23:36:00"/>
    <n v="160"/>
    <x v="1"/>
    <b v="1"/>
    <b v="0"/>
    <s v="Male"/>
    <x v="3"/>
    <x v="2"/>
    <n v="63"/>
    <x v="3"/>
    <n v="0.15"/>
    <n v="53.55"/>
    <x v="3"/>
    <s v="Sacramento, CA"/>
    <n v="38.581600000000002"/>
    <n v="-121.4944"/>
    <d v="2023-01-30T00:00:00"/>
    <n v="2"/>
    <x v="0"/>
    <d v="2025-06-03T00:00:00"/>
    <s v="10–19"/>
    <s v="Under 16"/>
  </r>
  <r>
    <n v="23"/>
    <x v="2"/>
    <n v="4"/>
    <s v="Mon, Sun, Thu, Tue"/>
    <b v="1"/>
    <d v="1899-12-30T10:23:00"/>
    <d v="1899-12-30T12:29:00"/>
    <n v="126"/>
    <x v="1"/>
    <b v="1"/>
    <b v="0"/>
    <s v="Other (self-described)"/>
    <x v="2"/>
    <x v="0"/>
    <n v="20"/>
    <x v="2"/>
    <n v="0.1"/>
    <n v="18"/>
    <x v="2"/>
    <s v="San Diego, CA"/>
    <n v="32.715699999999998"/>
    <n v="-117.1611"/>
    <d v="2025-02-25T00:00:00"/>
    <n v="6"/>
    <x v="1"/>
    <d v="2025-07-16T00:00:00"/>
    <s v="20–29"/>
    <s v="20–29"/>
  </r>
  <r>
    <n v="16"/>
    <x v="2"/>
    <n v="3"/>
    <s v="Sat, Sun, Tue"/>
    <b v="0"/>
    <d v="1899-12-30T15:15:00"/>
    <d v="1899-12-30T15:46:00"/>
    <n v="31"/>
    <x v="1"/>
    <b v="1"/>
    <b v="0"/>
    <s v="Female"/>
    <x v="2"/>
    <x v="0"/>
    <n v="20"/>
    <x v="0"/>
    <n v="0.05"/>
    <n v="19"/>
    <x v="2"/>
    <s v="Los Angeles, CA"/>
    <n v="34.052199999999999"/>
    <n v="-118.2437"/>
    <d v="2023-01-03T00:00:00"/>
    <n v="7"/>
    <x v="1"/>
    <d v="2025-06-02T00:00:00"/>
    <s v="10–19"/>
    <s v="16–19"/>
  </r>
  <r>
    <n v="49"/>
    <x v="2"/>
    <n v="3"/>
    <s v="Fri, Sun, Thu"/>
    <b v="1"/>
    <d v="1899-12-30T20:01:00"/>
    <d v="1899-12-30T22:34:00"/>
    <n v="153"/>
    <x v="0"/>
    <b v="1"/>
    <b v="0"/>
    <s v="Female"/>
    <x v="2"/>
    <x v="0"/>
    <n v="20"/>
    <x v="1"/>
    <n v="0"/>
    <n v="20"/>
    <x v="2"/>
    <s v="Oakland, CA"/>
    <n v="37.804400000000001"/>
    <n v="-122.27119999999999"/>
    <d v="2025-02-07T00:00:00"/>
    <n v="6"/>
    <x v="0"/>
    <d v="2025-07-15T00:00:00"/>
    <s v="40–49"/>
    <s v="40–49"/>
  </r>
  <r>
    <n v="20"/>
    <x v="0"/>
    <n v="5"/>
    <s v="Fri, Mon, Sat, Sun, Tue"/>
    <b v="0"/>
    <d v="1899-12-30T20:16:00"/>
    <d v="1899-12-30T21:52:00"/>
    <n v="96"/>
    <x v="1"/>
    <b v="1"/>
    <b v="0"/>
    <s v="Male"/>
    <x v="0"/>
    <x v="0"/>
    <n v="50"/>
    <x v="1"/>
    <n v="0"/>
    <n v="50"/>
    <x v="0"/>
    <s v="Bakersfield, CA"/>
    <n v="35.3733"/>
    <n v="-119.0187"/>
    <d v="2024-04-25T00:00:00"/>
    <n v="8"/>
    <x v="0"/>
    <d v="2025-06-29T00:00:00"/>
    <s v="20–29"/>
    <s v="20–29"/>
  </r>
  <r>
    <n v="38"/>
    <x v="3"/>
    <n v="1"/>
    <s v="Tue"/>
    <b v="1"/>
    <d v="1899-12-30T10:01:00"/>
    <d v="1899-12-30T12:48:00"/>
    <n v="167"/>
    <x v="1"/>
    <b v="1"/>
    <b v="1"/>
    <s v="Female"/>
    <x v="3"/>
    <x v="0"/>
    <n v="70"/>
    <x v="1"/>
    <n v="0"/>
    <n v="70"/>
    <x v="3"/>
    <s v="Fresno, CA"/>
    <n v="36.7378"/>
    <n v="-119.7871"/>
    <d v="2023-02-24T00:00:00"/>
    <n v="1"/>
    <x v="1"/>
    <d v="2025-06-05T00:00:00"/>
    <s v="30–39"/>
    <s v="30–39"/>
  </r>
  <r>
    <n v="20"/>
    <x v="3"/>
    <n v="2"/>
    <s v="Sun, Thu"/>
    <b v="1"/>
    <d v="1899-12-30T09:26:00"/>
    <d v="1899-12-30T10:35:00"/>
    <n v="69"/>
    <x v="0"/>
    <b v="0"/>
    <b v="0"/>
    <s v="Prefer not to say"/>
    <x v="3"/>
    <x v="0"/>
    <n v="70"/>
    <x v="1"/>
    <n v="0"/>
    <n v="70"/>
    <x v="3"/>
    <s v="San Diego, CA"/>
    <n v="32.715699999999998"/>
    <n v="-117.1611"/>
    <d v="2025-01-14T00:00:00"/>
    <n v="0"/>
    <x v="0"/>
    <d v="2025-07-14T00:00:00"/>
    <s v="20–29"/>
    <s v="20–29"/>
  </r>
  <r>
    <n v="33"/>
    <x v="0"/>
    <n v="3"/>
    <s v="Mon, Sat, Thu"/>
    <b v="0"/>
    <d v="1899-12-30T09:46:00"/>
    <d v="1899-12-30T12:17:00"/>
    <n v="151"/>
    <x v="0"/>
    <b v="0"/>
    <b v="0"/>
    <s v="Male"/>
    <x v="0"/>
    <x v="2"/>
    <n v="45"/>
    <x v="1"/>
    <n v="0"/>
    <n v="45"/>
    <x v="0"/>
    <s v="Bakersfield, CA"/>
    <n v="35.3733"/>
    <n v="-119.0187"/>
    <d v="2024-10-21T00:00:00"/>
    <n v="0"/>
    <x v="0"/>
    <d v="2025-07-09T00:00:00"/>
    <s v="30–39"/>
    <s v="30–39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3-05-15T00:00:00"/>
    <n v="3"/>
    <x v="1"/>
    <d v="2025-06-09T00:00:00"/>
    <s v="10–19"/>
    <s v="Under 16"/>
  </r>
  <r>
    <n v="20"/>
    <x v="0"/>
    <n v="2"/>
    <s v="Fri, Sun"/>
    <b v="1"/>
    <d v="1899-12-30T11:47:00"/>
    <d v="1899-12-30T14:10:00"/>
    <n v="143"/>
    <x v="1"/>
    <b v="1"/>
    <b v="1"/>
    <s v="Other (self-described)"/>
    <x v="0"/>
    <x v="0"/>
    <n v="50"/>
    <x v="1"/>
    <n v="0"/>
    <n v="50"/>
    <x v="0"/>
    <s v="San Diego, CA"/>
    <n v="32.715699999999998"/>
    <n v="-117.1611"/>
    <d v="2023-05-18T00:00:00"/>
    <n v="6"/>
    <x v="0"/>
    <d v="2025-06-09T00:00:00"/>
    <s v="20–29"/>
    <s v="20–29"/>
  </r>
  <r>
    <n v="20"/>
    <x v="1"/>
    <n v="3"/>
    <s v="Fri, Thu, Wed"/>
    <b v="0"/>
    <d v="1899-12-30T15:28:00"/>
    <d v="1899-12-30T17:58:00"/>
    <n v="150"/>
    <x v="1"/>
    <b v="0"/>
    <b v="1"/>
    <s v="Female"/>
    <x v="1"/>
    <x v="2"/>
    <n v="27"/>
    <x v="3"/>
    <n v="0.15"/>
    <n v="22.95"/>
    <x v="1"/>
    <s v="Fresno, CA"/>
    <n v="36.7378"/>
    <n v="-119.7871"/>
    <d v="2023-08-10T00:00:00"/>
    <n v="0"/>
    <x v="1"/>
    <d v="2025-06-14T00:00:00"/>
    <s v="20–29"/>
    <s v="20–29"/>
  </r>
  <r>
    <n v="41"/>
    <x v="1"/>
    <n v="3"/>
    <s v="Fri, Sat, Sun"/>
    <b v="0"/>
    <d v="1899-12-30T09:56:00"/>
    <d v="1899-12-30T11:39:00"/>
    <n v="103"/>
    <x v="0"/>
    <b v="1"/>
    <b v="1"/>
    <s v="Prefer not to say"/>
    <x v="1"/>
    <x v="0"/>
    <n v="30"/>
    <x v="3"/>
    <n v="0.15"/>
    <n v="25.5"/>
    <x v="1"/>
    <s v="Long Beach, CA"/>
    <n v="33.770099999999999"/>
    <n v="-118.19370000000001"/>
    <d v="2023-06-14T00:00:00"/>
    <n v="3"/>
    <x v="0"/>
    <d v="2025-06-11T00:00:00"/>
    <s v="40–49"/>
    <s v="40–49"/>
  </r>
  <r>
    <n v="40"/>
    <x v="0"/>
    <n v="2"/>
    <s v="Sat, Thu"/>
    <b v="1"/>
    <d v="1899-12-30T18:52:00"/>
    <d v="1899-12-30T19:42:00"/>
    <n v="50"/>
    <x v="1"/>
    <b v="0"/>
    <b v="1"/>
    <s v="Male"/>
    <x v="0"/>
    <x v="1"/>
    <n v="37.5"/>
    <x v="1"/>
    <n v="0"/>
    <n v="37.5"/>
    <x v="0"/>
    <s v="Los Angeles, CA"/>
    <n v="34.052199999999999"/>
    <n v="-118.2437"/>
    <d v="2023-11-22T00:00:00"/>
    <n v="0"/>
    <x v="0"/>
    <d v="2025-06-20T00:00:00"/>
    <s v="40–49"/>
    <s v="40–49"/>
  </r>
  <r>
    <n v="24"/>
    <x v="1"/>
    <n v="3"/>
    <s v="Mon, Thu, Wed"/>
    <b v="0"/>
    <d v="1899-12-30T09:13:00"/>
    <d v="1899-12-30T11:37:00"/>
    <n v="144"/>
    <x v="0"/>
    <b v="0"/>
    <b v="0"/>
    <s v="Female"/>
    <x v="1"/>
    <x v="2"/>
    <n v="27"/>
    <x v="2"/>
    <n v="0.1"/>
    <n v="24.3"/>
    <x v="1"/>
    <s v="San Francisco, CA"/>
    <n v="37.774900000000002"/>
    <n v="-122.4194"/>
    <d v="2024-09-27T00:00:00"/>
    <n v="0"/>
    <x v="1"/>
    <d v="2025-07-07T00:00:00"/>
    <s v="20–29"/>
    <s v="20–29"/>
  </r>
  <r>
    <n v="49"/>
    <x v="1"/>
    <n v="1"/>
    <s v="Sat"/>
    <b v="0"/>
    <d v="1899-12-30T11:21:00"/>
    <d v="1899-12-30T12:46:00"/>
    <n v="85"/>
    <x v="0"/>
    <b v="0"/>
    <b v="1"/>
    <s v="Male"/>
    <x v="1"/>
    <x v="1"/>
    <n v="22.5"/>
    <x v="1"/>
    <n v="0"/>
    <n v="22.5"/>
    <x v="1"/>
    <s v="Long Beach, CA"/>
    <n v="33.770099999999999"/>
    <n v="-118.19370000000001"/>
    <d v="2024-06-19T00:00:00"/>
    <n v="0"/>
    <x v="1"/>
    <d v="2025-07-02T00:00:00"/>
    <s v="40–49"/>
    <s v="40–49"/>
  </r>
  <r>
    <n v="43"/>
    <x v="1"/>
    <n v="1"/>
    <s v="Sat"/>
    <b v="0"/>
    <d v="1899-12-30T19:43:00"/>
    <d v="1899-12-30T20:24:00"/>
    <n v="41"/>
    <x v="0"/>
    <b v="1"/>
    <b v="1"/>
    <s v="Female"/>
    <x v="1"/>
    <x v="0"/>
    <n v="30"/>
    <x v="2"/>
    <n v="0.1"/>
    <n v="27"/>
    <x v="1"/>
    <s v="Los Angeles, CA"/>
    <n v="34.052199999999999"/>
    <n v="-118.2437"/>
    <d v="2024-12-11T00:00:00"/>
    <n v="3"/>
    <x v="1"/>
    <d v="2025-07-12T00:00:00"/>
    <s v="40–49"/>
    <s v="40–49"/>
  </r>
  <r>
    <n v="24"/>
    <x v="2"/>
    <n v="2"/>
    <s v="Mon, Tue"/>
    <b v="1"/>
    <d v="1899-12-30T11:39:00"/>
    <d v="1899-12-30T13:24:00"/>
    <n v="105"/>
    <x v="0"/>
    <b v="0"/>
    <b v="0"/>
    <s v="Prefer not to say"/>
    <x v="2"/>
    <x v="0"/>
    <n v="20"/>
    <x v="3"/>
    <n v="0.15"/>
    <n v="17"/>
    <x v="2"/>
    <s v="Oakland, CA"/>
    <n v="37.804400000000001"/>
    <n v="-122.27119999999999"/>
    <d v="2022-10-29T00:00:00"/>
    <n v="0"/>
    <x v="1"/>
    <d v="2025-05-29T00:00:00"/>
    <s v="20–29"/>
    <s v="20–29"/>
  </r>
  <r>
    <n v="19"/>
    <x v="0"/>
    <n v="5"/>
    <s v="Fri, Sat, Thu, Tue, Wed"/>
    <b v="1"/>
    <d v="1899-12-30T09:53:00"/>
    <d v="1899-12-30T12:49:00"/>
    <n v="176"/>
    <x v="0"/>
    <b v="1"/>
    <b v="1"/>
    <s v="Male"/>
    <x v="0"/>
    <x v="0"/>
    <n v="50"/>
    <x v="3"/>
    <n v="0.15"/>
    <n v="42.5"/>
    <x v="0"/>
    <s v="Sacramento, CA"/>
    <n v="38.581600000000002"/>
    <n v="-121.4944"/>
    <d v="2023-10-10T00:00:00"/>
    <n v="2"/>
    <x v="0"/>
    <d v="2025-06-17T00:00:00"/>
    <s v="10–19"/>
    <s v="16–19"/>
  </r>
  <r>
    <n v="26"/>
    <x v="0"/>
    <n v="3"/>
    <s v="Thu, Tue, Wed"/>
    <b v="0"/>
    <d v="1899-12-30T09:38:00"/>
    <d v="1899-12-30T10:45:00"/>
    <n v="67"/>
    <x v="0"/>
    <b v="1"/>
    <b v="1"/>
    <s v="Male"/>
    <x v="0"/>
    <x v="1"/>
    <n v="37.5"/>
    <x v="0"/>
    <n v="0.05"/>
    <n v="35.625"/>
    <x v="0"/>
    <s v="San Diego, CA"/>
    <n v="32.715699999999998"/>
    <n v="-117.1611"/>
    <d v="2024-04-22T00:00:00"/>
    <n v="3"/>
    <x v="0"/>
    <d v="2025-06-28T00:00:00"/>
    <s v="20–29"/>
    <s v="20–29"/>
  </r>
  <r>
    <n v="12"/>
    <x v="2"/>
    <n v="1"/>
    <s v="Tue"/>
    <b v="0"/>
    <d v="1899-12-30T15:47:00"/>
    <d v="1899-12-30T16:28:00"/>
    <n v="41"/>
    <x v="1"/>
    <b v="1"/>
    <b v="1"/>
    <s v="Non-binary"/>
    <x v="2"/>
    <x v="0"/>
    <n v="20"/>
    <x v="1"/>
    <n v="0"/>
    <n v="20"/>
    <x v="2"/>
    <s v="Bakersfield, CA"/>
    <n v="35.3733"/>
    <n v="-119.0187"/>
    <d v="2024-02-16T00:00:00"/>
    <n v="1"/>
    <x v="1"/>
    <d v="2025-06-25T00:00:00"/>
    <s v="10–19"/>
    <s v="Under 16"/>
  </r>
  <r>
    <n v="13"/>
    <x v="0"/>
    <n v="5"/>
    <s v="Fri, Sun, Thu, Tue, Wed"/>
    <b v="0"/>
    <d v="1899-12-30T09:47:00"/>
    <d v="1899-12-30T12:16:00"/>
    <n v="149"/>
    <x v="0"/>
    <b v="1"/>
    <b v="0"/>
    <s v="Non-binary"/>
    <x v="0"/>
    <x v="0"/>
    <n v="50"/>
    <x v="1"/>
    <n v="0"/>
    <n v="50"/>
    <x v="0"/>
    <s v="Anaheim, CA"/>
    <n v="33.836599999999997"/>
    <n v="-117.9143"/>
    <d v="2022-09-18T00:00:00"/>
    <n v="4"/>
    <x v="0"/>
    <d v="2025-05-27T00:00:00"/>
    <s v="10–19"/>
    <s v="Under 16"/>
  </r>
  <r>
    <n v="30"/>
    <x v="1"/>
    <n v="1"/>
    <s v="Sun"/>
    <b v="1"/>
    <d v="1899-12-30T08:38:00"/>
    <d v="1899-12-30T10:08:00"/>
    <n v="90"/>
    <x v="0"/>
    <b v="1"/>
    <b v="1"/>
    <s v="Other (self-described)"/>
    <x v="1"/>
    <x v="0"/>
    <n v="30"/>
    <x v="1"/>
    <n v="0"/>
    <n v="30"/>
    <x v="1"/>
    <s v="San Francisco, CA"/>
    <n v="37.774900000000002"/>
    <n v="-122.4194"/>
    <d v="2025-01-10T00:00:00"/>
    <n v="4"/>
    <x v="0"/>
    <d v="2025-07-13T00:00:00"/>
    <s v="30–39"/>
    <s v="30–39"/>
  </r>
  <r>
    <n v="47"/>
    <x v="2"/>
    <n v="2"/>
    <s v="Mon, Tue"/>
    <b v="1"/>
    <d v="1899-12-30T19:06:00"/>
    <d v="1899-12-30T19:43:00"/>
    <n v="37"/>
    <x v="0"/>
    <b v="1"/>
    <b v="1"/>
    <s v="Non-binary"/>
    <x v="2"/>
    <x v="0"/>
    <n v="20"/>
    <x v="1"/>
    <n v="0"/>
    <n v="20"/>
    <x v="2"/>
    <s v="San Francisco, CA"/>
    <n v="37.774900000000002"/>
    <n v="-122.4194"/>
    <d v="2023-10-07T00:00:00"/>
    <n v="5"/>
    <x v="1"/>
    <d v="2025-06-17T00:00:00"/>
    <s v="40–49"/>
    <s v="40–49"/>
  </r>
  <r>
    <n v="30"/>
    <x v="2"/>
    <n v="4"/>
    <s v="Fri, Mon, Sat, Wed"/>
    <b v="1"/>
    <d v="1899-12-30T09:21:00"/>
    <d v="1899-12-30T11:31:00"/>
    <n v="130"/>
    <x v="1"/>
    <b v="1"/>
    <b v="1"/>
    <s v="Prefer not to say"/>
    <x v="2"/>
    <x v="0"/>
    <n v="20"/>
    <x v="3"/>
    <n v="0.15"/>
    <n v="17"/>
    <x v="2"/>
    <s v="Los Angeles, CA"/>
    <n v="34.052199999999999"/>
    <n v="-118.2437"/>
    <d v="2024-01-01T00:00:00"/>
    <n v="7"/>
    <x v="1"/>
    <d v="2025-06-22T00:00:00"/>
    <s v="30–39"/>
    <s v="30–3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3-09-10T00:00:00"/>
    <n v="6"/>
    <x v="0"/>
    <d v="2025-06-16T00:00:00"/>
    <s v="10–19"/>
    <s v="16–19"/>
  </r>
  <r>
    <n v="36"/>
    <x v="0"/>
    <n v="2"/>
    <s v="Mon, Sat"/>
    <b v="1"/>
    <d v="1899-12-30T09:08:00"/>
    <d v="1899-12-30T11:19:00"/>
    <n v="131"/>
    <x v="1"/>
    <b v="1"/>
    <b v="0"/>
    <s v="Female"/>
    <x v="0"/>
    <x v="0"/>
    <n v="50"/>
    <x v="3"/>
    <n v="0.15"/>
    <n v="42.5"/>
    <x v="0"/>
    <s v="Anaheim, CA"/>
    <n v="33.836599999999997"/>
    <n v="-117.9143"/>
    <d v="2025-06-03T00:00:00"/>
    <n v="7"/>
    <x v="0"/>
    <d v="2025-07-21T00:00:00"/>
    <s v="30–39"/>
    <s v="30–39"/>
  </r>
  <r>
    <n v="43"/>
    <x v="3"/>
    <n v="3"/>
    <s v="Sat, Sun, Wed"/>
    <b v="1"/>
    <d v="1899-12-30T10:17:00"/>
    <d v="1899-12-30T12:00:00"/>
    <n v="103"/>
    <x v="0"/>
    <b v="1"/>
    <b v="0"/>
    <s v="Female"/>
    <x v="3"/>
    <x v="1"/>
    <n v="52.5"/>
    <x v="1"/>
    <n v="0"/>
    <n v="52.5"/>
    <x v="3"/>
    <s v="Long Beach, CA"/>
    <n v="33.770099999999999"/>
    <n v="-118.19370000000001"/>
    <d v="2022-12-07T00:00:00"/>
    <n v="1"/>
    <x v="0"/>
    <d v="2025-05-31T00:00:00"/>
    <s v="40–49"/>
    <s v="40–49"/>
  </r>
  <r>
    <n v="45"/>
    <x v="3"/>
    <n v="2"/>
    <s v="Thu, Wed"/>
    <b v="0"/>
    <d v="1899-12-30T08:54:00"/>
    <d v="1899-12-30T10:19:00"/>
    <n v="85"/>
    <x v="0"/>
    <b v="1"/>
    <b v="1"/>
    <s v="Female"/>
    <x v="3"/>
    <x v="1"/>
    <n v="52.5"/>
    <x v="0"/>
    <n v="0.05"/>
    <n v="49.875"/>
    <x v="3"/>
    <s v="Bakersfield, CA"/>
    <n v="35.3733"/>
    <n v="-119.0187"/>
    <d v="2022-10-04T00:00:00"/>
    <n v="3"/>
    <x v="0"/>
    <d v="2025-05-28T00:00:00"/>
    <s v="40–49"/>
    <s v="40–49"/>
  </r>
  <r>
    <n v="39"/>
    <x v="0"/>
    <n v="2"/>
    <s v="Mon, Sat"/>
    <b v="0"/>
    <d v="1899-12-30T14:30:00"/>
    <d v="1899-12-30T16:14:00"/>
    <n v="104"/>
    <x v="0"/>
    <b v="1"/>
    <b v="0"/>
    <s v="Female"/>
    <x v="0"/>
    <x v="2"/>
    <n v="45"/>
    <x v="2"/>
    <n v="0.1"/>
    <n v="40.5"/>
    <x v="0"/>
    <s v="Sacramento, CA"/>
    <n v="38.581600000000002"/>
    <n v="-121.4944"/>
    <d v="2023-10-30T00:00:00"/>
    <n v="4"/>
    <x v="0"/>
    <d v="2025-06-19T00:00:00"/>
    <s v="30–39"/>
    <s v="30–39"/>
  </r>
  <r>
    <n v="38"/>
    <x v="0"/>
    <n v="3"/>
    <s v="Fri, Thu, Wed"/>
    <b v="1"/>
    <d v="1899-12-30T08:17:00"/>
    <d v="1899-12-30T10:38:00"/>
    <n v="141"/>
    <x v="0"/>
    <b v="0"/>
    <b v="1"/>
    <s v="Non-binary"/>
    <x v="0"/>
    <x v="1"/>
    <n v="37.5"/>
    <x v="1"/>
    <n v="0"/>
    <n v="37.5"/>
    <x v="0"/>
    <s v="Anaheim, CA"/>
    <n v="33.836599999999997"/>
    <n v="-117.9143"/>
    <d v="2023-06-12T00:00:00"/>
    <n v="0"/>
    <x v="0"/>
    <d v="2025-06-11T00:00:00"/>
    <s v="30–39"/>
    <s v="30–39"/>
  </r>
  <r>
    <n v="15"/>
    <x v="2"/>
    <n v="2"/>
    <s v="Fri, Sun"/>
    <b v="1"/>
    <d v="1899-12-30T14:20:00"/>
    <d v="1899-12-30T17:01:00"/>
    <n v="161"/>
    <x v="0"/>
    <b v="0"/>
    <b v="0"/>
    <s v="Non-binary"/>
    <x v="2"/>
    <x v="0"/>
    <n v="20"/>
    <x v="1"/>
    <n v="0"/>
    <n v="20"/>
    <x v="2"/>
    <s v="Anaheim, CA"/>
    <n v="33.836599999999997"/>
    <n v="-117.9143"/>
    <d v="2022-10-14T00:00:00"/>
    <n v="0"/>
    <x v="1"/>
    <d v="2025-05-28T00:00:00"/>
    <s v="10–19"/>
    <s v="Under 16"/>
  </r>
  <r>
    <n v="22"/>
    <x v="1"/>
    <n v="3"/>
    <s v="Fri, Sun, Wed"/>
    <b v="1"/>
    <d v="1899-12-30T16:31:00"/>
    <d v="1899-12-30T18:39:00"/>
    <n v="128"/>
    <x v="0"/>
    <b v="0"/>
    <b v="0"/>
    <s v="Female"/>
    <x v="1"/>
    <x v="0"/>
    <n v="30"/>
    <x v="1"/>
    <n v="0"/>
    <n v="30"/>
    <x v="1"/>
    <s v="Bakersfield, CA"/>
    <n v="35.3733"/>
    <n v="-119.0187"/>
    <d v="2023-05-31T00:00:00"/>
    <n v="0"/>
    <x v="0"/>
    <d v="2025-06-10T00:00:00"/>
    <s v="20–29"/>
    <s v="20–29"/>
  </r>
  <r>
    <n v="18"/>
    <x v="0"/>
    <n v="4"/>
    <s v="Fri, Sat, Sun, Tue"/>
    <b v="1"/>
    <d v="1899-12-30T19:08:00"/>
    <d v="1899-12-30T21:32:00"/>
    <n v="144"/>
    <x v="1"/>
    <b v="0"/>
    <b v="0"/>
    <s v="Male"/>
    <x v="0"/>
    <x v="0"/>
    <n v="50"/>
    <x v="1"/>
    <n v="0"/>
    <n v="50"/>
    <x v="0"/>
    <s v="San Diego, CA"/>
    <n v="32.715699999999998"/>
    <n v="-117.1611"/>
    <d v="2025-01-11T00:00:00"/>
    <n v="0"/>
    <x v="1"/>
    <d v="2025-07-13T00:00:00"/>
    <s v="10–19"/>
    <s v="16–19"/>
  </r>
  <r>
    <n v="29"/>
    <x v="0"/>
    <n v="3"/>
    <s v="Fri, Mon, Thu"/>
    <b v="1"/>
    <d v="1899-12-30T20:39:00"/>
    <d v="1899-12-30T22:09:00"/>
    <n v="90"/>
    <x v="0"/>
    <b v="1"/>
    <b v="0"/>
    <s v="Female"/>
    <x v="0"/>
    <x v="0"/>
    <n v="50"/>
    <x v="1"/>
    <n v="0"/>
    <n v="50"/>
    <x v="0"/>
    <s v="Fresno, CA"/>
    <n v="36.7378"/>
    <n v="-119.7871"/>
    <d v="2023-10-18T00:00:00"/>
    <n v="7"/>
    <x v="0"/>
    <d v="2025-06-18T00:00:00"/>
    <s v="20–29"/>
    <s v="20–29"/>
  </r>
  <r>
    <n v="49"/>
    <x v="0"/>
    <n v="2"/>
    <s v="Fri, Tue"/>
    <b v="1"/>
    <d v="1899-12-30T13:20:00"/>
    <d v="1899-12-30T14:26:00"/>
    <n v="66"/>
    <x v="0"/>
    <b v="1"/>
    <b v="1"/>
    <s v="Non-binary"/>
    <x v="0"/>
    <x v="0"/>
    <n v="50"/>
    <x v="1"/>
    <n v="0"/>
    <n v="50"/>
    <x v="0"/>
    <s v="Sacramento, CA"/>
    <n v="38.581600000000002"/>
    <n v="-121.4944"/>
    <d v="2023-09-15T00:00:00"/>
    <n v="1"/>
    <x v="0"/>
    <d v="2025-06-16T00:00:00"/>
    <s v="40–49"/>
    <s v="40–49"/>
  </r>
  <r>
    <n v="16"/>
    <x v="0"/>
    <n v="4"/>
    <s v="Mon, Sun, Thu, Tue"/>
    <b v="1"/>
    <d v="1899-12-30T16:21:00"/>
    <d v="1899-12-30T17:38:00"/>
    <n v="77"/>
    <x v="0"/>
    <b v="1"/>
    <b v="0"/>
    <s v="Female"/>
    <x v="0"/>
    <x v="0"/>
    <n v="50"/>
    <x v="2"/>
    <n v="0.1"/>
    <n v="45"/>
    <x v="0"/>
    <s v="San Diego, CA"/>
    <n v="32.715699999999998"/>
    <n v="-117.1611"/>
    <d v="2024-03-28T00:00:00"/>
    <n v="4"/>
    <x v="0"/>
    <d v="2025-06-27T00:00:00"/>
    <s v="10–19"/>
    <s v="16–19"/>
  </r>
  <r>
    <n v="36"/>
    <x v="0"/>
    <n v="2"/>
    <s v="Mon, Tue"/>
    <b v="0"/>
    <d v="1899-12-30T10:16:00"/>
    <d v="1899-12-30T13:07:00"/>
    <n v="171"/>
    <x v="1"/>
    <b v="0"/>
    <b v="1"/>
    <s v="Female"/>
    <x v="0"/>
    <x v="0"/>
    <n v="50"/>
    <x v="2"/>
    <n v="0.1"/>
    <n v="45"/>
    <x v="0"/>
    <s v="Fresno, CA"/>
    <n v="36.7378"/>
    <n v="-119.7871"/>
    <d v="2023-04-30T00:00:00"/>
    <n v="0"/>
    <x v="0"/>
    <d v="2025-06-08T00:00:00"/>
    <s v="30–39"/>
    <s v="30–39"/>
  </r>
  <r>
    <n v="14"/>
    <x v="3"/>
    <n v="1"/>
    <s v="Fri"/>
    <b v="0"/>
    <d v="1899-12-30T12:10:00"/>
    <d v="1899-12-30T13:42:00"/>
    <n v="92"/>
    <x v="1"/>
    <b v="0"/>
    <b v="1"/>
    <s v="Male"/>
    <x v="3"/>
    <x v="0"/>
    <n v="70"/>
    <x v="3"/>
    <n v="0.15"/>
    <n v="59.5"/>
    <x v="3"/>
    <s v="Oakland, CA"/>
    <n v="37.804400000000001"/>
    <n v="-122.27119999999999"/>
    <d v="2022-10-01T00:00:00"/>
    <n v="0"/>
    <x v="0"/>
    <d v="2025-05-27T00:00:00"/>
    <s v="10–19"/>
    <s v="Under 16"/>
  </r>
  <r>
    <n v="48"/>
    <x v="1"/>
    <n v="3"/>
    <s v="Mon, Tue, Wed"/>
    <b v="0"/>
    <d v="1899-12-30T15:32:00"/>
    <d v="1899-12-30T16:25:00"/>
    <n v="53"/>
    <x v="1"/>
    <b v="1"/>
    <b v="1"/>
    <s v="Male"/>
    <x v="1"/>
    <x v="0"/>
    <n v="30"/>
    <x v="2"/>
    <n v="0.1"/>
    <n v="27"/>
    <x v="1"/>
    <s v="Fresno, CA"/>
    <n v="36.7378"/>
    <n v="-119.7871"/>
    <d v="2022-10-11T00:00:00"/>
    <n v="3"/>
    <x v="1"/>
    <d v="2025-05-28T00:00:00"/>
    <s v="40–49"/>
    <s v="40–49"/>
  </r>
  <r>
    <n v="46"/>
    <x v="2"/>
    <n v="5"/>
    <s v="Fri, Sun, Thu, Tue, Wed"/>
    <b v="1"/>
    <d v="1899-12-30T11:18:00"/>
    <d v="1899-12-30T14:06:00"/>
    <n v="168"/>
    <x v="1"/>
    <b v="1"/>
    <b v="1"/>
    <s v="Male"/>
    <x v="2"/>
    <x v="1"/>
    <n v="15"/>
    <x v="2"/>
    <n v="0.1"/>
    <n v="13.5"/>
    <x v="2"/>
    <s v="San Francisco, CA"/>
    <n v="37.774900000000002"/>
    <n v="-122.4194"/>
    <d v="2024-02-28T00:00:00"/>
    <n v="7"/>
    <x v="1"/>
    <d v="2025-06-25T00:00:00"/>
    <s v="40–49"/>
    <s v="40–49"/>
  </r>
  <r>
    <n v="27"/>
    <x v="0"/>
    <n v="2"/>
    <s v="Fri, Tue"/>
    <b v="0"/>
    <d v="1899-12-30T17:22:00"/>
    <d v="1899-12-30T19:32:00"/>
    <n v="130"/>
    <x v="1"/>
    <b v="0"/>
    <b v="0"/>
    <s v="Non-binary"/>
    <x v="0"/>
    <x v="0"/>
    <n v="50"/>
    <x v="3"/>
    <n v="0.15"/>
    <n v="42.5"/>
    <x v="0"/>
    <s v="Anaheim, CA"/>
    <n v="33.836599999999997"/>
    <n v="-117.9143"/>
    <d v="2025-02-22T00:00:00"/>
    <n v="0"/>
    <x v="1"/>
    <d v="2025-07-16T00:00:00"/>
    <s v="20–29"/>
    <s v="20–29"/>
  </r>
  <r>
    <n v="43"/>
    <x v="1"/>
    <n v="5"/>
    <s v="Mon, Sat, Sun, Tue, Wed"/>
    <b v="0"/>
    <d v="1899-12-30T12:50:00"/>
    <d v="1899-12-30T15:20:00"/>
    <n v="150"/>
    <x v="1"/>
    <b v="1"/>
    <b v="1"/>
    <s v="Male"/>
    <x v="1"/>
    <x v="2"/>
    <n v="27"/>
    <x v="1"/>
    <n v="0"/>
    <n v="27"/>
    <x v="1"/>
    <s v="San Francisco, CA"/>
    <n v="37.774900000000002"/>
    <n v="-122.4194"/>
    <d v="2022-08-09T00:00:00"/>
    <n v="4"/>
    <x v="1"/>
    <d v="2025-05-24T00:00:00"/>
    <s v="40–49"/>
    <s v="40–49"/>
  </r>
  <r>
    <n v="32"/>
    <x v="3"/>
    <n v="3"/>
    <s v="Sat, Sun, Thu"/>
    <b v="0"/>
    <d v="1899-12-30T14:01:00"/>
    <d v="1899-12-30T16:17:00"/>
    <n v="136"/>
    <x v="0"/>
    <b v="0"/>
    <b v="0"/>
    <s v="Female"/>
    <x v="3"/>
    <x v="0"/>
    <n v="70"/>
    <x v="1"/>
    <n v="0"/>
    <n v="70"/>
    <x v="3"/>
    <s v="Anaheim, CA"/>
    <n v="33.836599999999997"/>
    <n v="-117.9143"/>
    <d v="2023-01-11T00:00:00"/>
    <n v="0"/>
    <x v="0"/>
    <d v="2025-06-02T00:00:00"/>
    <s v="30–39"/>
    <s v="30–39"/>
  </r>
  <r>
    <n v="20"/>
    <x v="2"/>
    <n v="2"/>
    <s v="Fri, Wed"/>
    <b v="1"/>
    <d v="1899-12-30T17:52:00"/>
    <d v="1899-12-30T20:41:00"/>
    <n v="169"/>
    <x v="0"/>
    <b v="0"/>
    <b v="1"/>
    <s v="Male"/>
    <x v="2"/>
    <x v="2"/>
    <n v="18"/>
    <x v="3"/>
    <n v="0.15"/>
    <n v="15.3"/>
    <x v="2"/>
    <s v="Fresno, CA"/>
    <n v="36.7378"/>
    <n v="-119.7871"/>
    <d v="2025-02-10T00:00:00"/>
    <n v="0"/>
    <x v="1"/>
    <d v="2025-07-15T00:00:00"/>
    <s v="20–29"/>
    <s v="20–29"/>
  </r>
  <r>
    <n v="37"/>
    <x v="0"/>
    <n v="2"/>
    <s v="Tue, Wed"/>
    <b v="0"/>
    <d v="1899-12-30T11:30:00"/>
    <d v="1899-12-30T12:10:00"/>
    <n v="40"/>
    <x v="1"/>
    <b v="0"/>
    <b v="0"/>
    <s v="Prefer not to say"/>
    <x v="0"/>
    <x v="0"/>
    <n v="50"/>
    <x v="1"/>
    <n v="0"/>
    <n v="50"/>
    <x v="0"/>
    <s v="Bakersfield, CA"/>
    <n v="35.3733"/>
    <n v="-119.0187"/>
    <d v="2022-10-16T00:00:00"/>
    <n v="0"/>
    <x v="0"/>
    <d v="2025-05-28T00:00:00"/>
    <s v="30–39"/>
    <s v="30–39"/>
  </r>
  <r>
    <n v="14"/>
    <x v="3"/>
    <n v="5"/>
    <s v="Sat, Sun, Thu, Tue, Wed"/>
    <b v="1"/>
    <d v="1899-12-30T08:25:00"/>
    <d v="1899-12-30T10:08:00"/>
    <n v="103"/>
    <x v="0"/>
    <b v="1"/>
    <b v="1"/>
    <s v="Male"/>
    <x v="3"/>
    <x v="0"/>
    <n v="70"/>
    <x v="2"/>
    <n v="0.1"/>
    <n v="63"/>
    <x v="3"/>
    <s v="Oakland, CA"/>
    <n v="37.804400000000001"/>
    <n v="-122.27119999999999"/>
    <d v="2022-12-09T00:00:00"/>
    <n v="6"/>
    <x v="0"/>
    <d v="2025-05-31T00:00:00"/>
    <s v="10–19"/>
    <s v="Under 16"/>
  </r>
  <r>
    <n v="35"/>
    <x v="2"/>
    <n v="3"/>
    <s v="Fri, Thu, Tue"/>
    <b v="1"/>
    <d v="1899-12-30T13:32:00"/>
    <d v="1899-12-30T16:19:00"/>
    <n v="167"/>
    <x v="0"/>
    <b v="0"/>
    <b v="0"/>
    <s v="Male"/>
    <x v="2"/>
    <x v="1"/>
    <n v="15"/>
    <x v="3"/>
    <n v="0.15"/>
    <n v="12.75"/>
    <x v="2"/>
    <s v="San Diego, CA"/>
    <n v="32.715699999999998"/>
    <n v="-117.1611"/>
    <d v="2023-12-18T00:00:00"/>
    <n v="0"/>
    <x v="0"/>
    <d v="2025-06-21T00:00:00"/>
    <s v="30–39"/>
    <s v="30–39"/>
  </r>
  <r>
    <n v="43"/>
    <x v="2"/>
    <n v="2"/>
    <s v="Tue, Wed"/>
    <b v="0"/>
    <d v="1899-12-30T18:35:00"/>
    <d v="1899-12-30T21:16:00"/>
    <n v="161"/>
    <x v="0"/>
    <b v="1"/>
    <b v="1"/>
    <s v="Prefer not to say"/>
    <x v="2"/>
    <x v="0"/>
    <n v="20"/>
    <x v="3"/>
    <n v="0.15"/>
    <n v="17"/>
    <x v="2"/>
    <s v="San Francisco, CA"/>
    <n v="37.774900000000002"/>
    <n v="-122.4194"/>
    <d v="2023-10-02T00:00:00"/>
    <n v="8"/>
    <x v="0"/>
    <d v="2025-06-17T00:00:00"/>
    <s v="40–49"/>
    <s v="40–49"/>
  </r>
  <r>
    <n v="34"/>
    <x v="3"/>
    <n v="1"/>
    <s v="Sun"/>
    <b v="1"/>
    <d v="1899-12-30T14:47:00"/>
    <d v="1899-12-30T16:49:00"/>
    <n v="122"/>
    <x v="1"/>
    <b v="0"/>
    <b v="0"/>
    <s v="Female"/>
    <x v="3"/>
    <x v="1"/>
    <n v="52.5"/>
    <x v="1"/>
    <n v="0"/>
    <n v="52.5"/>
    <x v="3"/>
    <s v="Los Angeles, CA"/>
    <n v="34.052199999999999"/>
    <n v="-118.2437"/>
    <d v="2024-04-24T00:00:00"/>
    <n v="0"/>
    <x v="1"/>
    <d v="2025-06-29T00:00:00"/>
    <s v="30–39"/>
    <s v="30–39"/>
  </r>
  <r>
    <n v="44"/>
    <x v="2"/>
    <n v="2"/>
    <s v="Fri, Sun"/>
    <b v="1"/>
    <d v="1899-12-30T19:30:00"/>
    <d v="1899-12-30T22:04:00"/>
    <n v="154"/>
    <x v="0"/>
    <b v="0"/>
    <b v="0"/>
    <s v="Prefer not to say"/>
    <x v="2"/>
    <x v="1"/>
    <n v="15"/>
    <x v="2"/>
    <n v="0.1"/>
    <n v="13.5"/>
    <x v="2"/>
    <s v="Oakland, CA"/>
    <n v="37.804400000000001"/>
    <n v="-122.27119999999999"/>
    <d v="2025-04-25T00:00:00"/>
    <n v="0"/>
    <x v="1"/>
    <d v="2025-07-19T00:00:00"/>
    <s v="40–49"/>
    <s v="40–49"/>
  </r>
  <r>
    <n v="12"/>
    <x v="0"/>
    <n v="5"/>
    <s v="Mon, Sun, Thu, Tue, Wed"/>
    <b v="1"/>
    <d v="1899-12-30T18:32:00"/>
    <d v="1899-12-30T19:28:00"/>
    <n v="56"/>
    <x v="1"/>
    <b v="0"/>
    <b v="1"/>
    <s v="Male"/>
    <x v="0"/>
    <x v="0"/>
    <n v="50"/>
    <x v="2"/>
    <n v="0.1"/>
    <n v="45"/>
    <x v="0"/>
    <s v="San Jose, CA"/>
    <n v="37.338200000000001"/>
    <n v="-121.88630000000001"/>
    <d v="2024-07-01T00:00:00"/>
    <n v="0"/>
    <x v="1"/>
    <d v="2025-07-02T00:00:00"/>
    <s v="10–19"/>
    <s v="Under 16"/>
  </r>
  <r>
    <n v="39"/>
    <x v="2"/>
    <n v="2"/>
    <s v="Sun, Wed"/>
    <b v="0"/>
    <d v="1899-12-30T12:10:00"/>
    <d v="1899-12-30T12:42:00"/>
    <n v="32"/>
    <x v="1"/>
    <b v="1"/>
    <b v="0"/>
    <s v="Male"/>
    <x v="2"/>
    <x v="1"/>
    <n v="15"/>
    <x v="1"/>
    <n v="0"/>
    <n v="15"/>
    <x v="2"/>
    <s v="Oakland, CA"/>
    <n v="37.804400000000001"/>
    <n v="-122.27119999999999"/>
    <d v="2023-02-18T00:00:00"/>
    <n v="6"/>
    <x v="1"/>
    <d v="2025-06-04T00:00:00"/>
    <s v="30–39"/>
    <s v="30–39"/>
  </r>
  <r>
    <n v="37"/>
    <x v="0"/>
    <n v="3"/>
    <s v="Fri, Sat, Sun"/>
    <b v="0"/>
    <d v="1899-12-30T17:53:00"/>
    <d v="1899-12-30T20:14:00"/>
    <n v="141"/>
    <x v="0"/>
    <b v="0"/>
    <b v="1"/>
    <s v="Non-binary"/>
    <x v="0"/>
    <x v="1"/>
    <n v="37.5"/>
    <x v="2"/>
    <n v="0.1"/>
    <n v="33.75"/>
    <x v="0"/>
    <s v="Long Beach, CA"/>
    <n v="33.770099999999999"/>
    <n v="-118.19370000000001"/>
    <d v="2025-06-18T00:00:00"/>
    <n v="0"/>
    <x v="0"/>
    <d v="2025-07-22T00:00:00"/>
    <s v="30–39"/>
    <s v="30–39"/>
  </r>
  <r>
    <n v="36"/>
    <x v="0"/>
    <n v="3"/>
    <s v="Sat, Sun, Tue"/>
    <b v="1"/>
    <d v="1899-12-30T09:39:00"/>
    <d v="1899-12-30T11:08:00"/>
    <n v="89"/>
    <x v="0"/>
    <b v="0"/>
    <b v="1"/>
    <s v="Male"/>
    <x v="0"/>
    <x v="0"/>
    <n v="50"/>
    <x v="1"/>
    <n v="0"/>
    <n v="50"/>
    <x v="0"/>
    <s v="Fresno, CA"/>
    <n v="36.7378"/>
    <n v="-119.7871"/>
    <d v="2024-07-02T00:00:00"/>
    <n v="0"/>
    <x v="0"/>
    <d v="2025-07-02T00:00:00"/>
    <s v="30–39"/>
    <s v="30–39"/>
  </r>
  <r>
    <n v="42"/>
    <x v="0"/>
    <n v="2"/>
    <s v="Mon, Wed"/>
    <b v="0"/>
    <d v="1899-12-30T11:03:00"/>
    <d v="1899-12-30T13:34:00"/>
    <n v="151"/>
    <x v="1"/>
    <b v="1"/>
    <b v="0"/>
    <s v="Prefer not to say"/>
    <x v="0"/>
    <x v="1"/>
    <n v="37.5"/>
    <x v="2"/>
    <n v="0.1"/>
    <n v="33.75"/>
    <x v="0"/>
    <s v="Fresno, CA"/>
    <n v="36.7378"/>
    <n v="-119.7871"/>
    <d v="2024-04-24T00:00:00"/>
    <n v="5"/>
    <x v="1"/>
    <d v="2025-06-29T00:00:00"/>
    <s v="40–49"/>
    <s v="40–49"/>
  </r>
  <r>
    <n v="44"/>
    <x v="0"/>
    <n v="2"/>
    <s v="Fri, Mon"/>
    <b v="1"/>
    <d v="1899-12-30T17:13:00"/>
    <d v="1899-12-30T18:15:00"/>
    <n v="62"/>
    <x v="0"/>
    <b v="0"/>
    <b v="1"/>
    <s v="Male"/>
    <x v="0"/>
    <x v="1"/>
    <n v="37.5"/>
    <x v="2"/>
    <n v="0.1"/>
    <n v="33.75"/>
    <x v="0"/>
    <s v="Oakland, CA"/>
    <n v="37.804400000000001"/>
    <n v="-122.27119999999999"/>
    <d v="2023-11-28T00:00:00"/>
    <n v="0"/>
    <x v="0"/>
    <d v="2025-06-20T00:00:00"/>
    <s v="40–49"/>
    <s v="40–49"/>
  </r>
  <r>
    <n v="29"/>
    <x v="1"/>
    <n v="1"/>
    <s v="Mon"/>
    <b v="0"/>
    <d v="1899-12-30T08:33:00"/>
    <d v="1899-12-30T09:57:00"/>
    <n v="84"/>
    <x v="1"/>
    <b v="0"/>
    <b v="0"/>
    <s v="Male"/>
    <x v="1"/>
    <x v="0"/>
    <n v="30"/>
    <x v="1"/>
    <n v="0"/>
    <n v="30"/>
    <x v="1"/>
    <s v="Oakland, CA"/>
    <n v="37.804400000000001"/>
    <n v="-122.27119999999999"/>
    <d v="2022-10-17T00:00:00"/>
    <n v="0"/>
    <x v="1"/>
    <d v="2025-05-28T00:00:00"/>
    <s v="20–29"/>
    <s v="20–29"/>
  </r>
  <r>
    <n v="34"/>
    <x v="1"/>
    <n v="2"/>
    <s v="Fri, Tue"/>
    <b v="0"/>
    <d v="1899-12-30T17:02:00"/>
    <d v="1899-12-30T18:36:00"/>
    <n v="94"/>
    <x v="1"/>
    <b v="1"/>
    <b v="1"/>
    <s v="Male"/>
    <x v="1"/>
    <x v="0"/>
    <n v="30"/>
    <x v="3"/>
    <n v="0.15"/>
    <n v="25.5"/>
    <x v="1"/>
    <s v="San Jose, CA"/>
    <n v="37.338200000000001"/>
    <n v="-121.88630000000001"/>
    <d v="2024-06-19T00:00:00"/>
    <n v="5"/>
    <x v="0"/>
    <d v="2025-07-02T00:00:00"/>
    <s v="30–39"/>
    <s v="30–39"/>
  </r>
  <r>
    <n v="13"/>
    <x v="1"/>
    <n v="3"/>
    <s v="Mon, Tue, Wed"/>
    <b v="0"/>
    <d v="1899-12-30T13:36:00"/>
    <d v="1899-12-30T14:08:00"/>
    <n v="32"/>
    <x v="0"/>
    <b v="1"/>
    <b v="0"/>
    <s v="Male"/>
    <x v="1"/>
    <x v="0"/>
    <n v="30"/>
    <x v="1"/>
    <n v="0"/>
    <n v="30"/>
    <x v="1"/>
    <s v="Oakland, CA"/>
    <n v="37.804400000000001"/>
    <n v="-122.27119999999999"/>
    <d v="2024-06-18T00:00:00"/>
    <n v="4"/>
    <x v="1"/>
    <d v="2025-07-02T00:00:00"/>
    <s v="10–19"/>
    <s v="Under 16"/>
  </r>
  <r>
    <n v="19"/>
    <x v="0"/>
    <n v="2"/>
    <s v="Sun, Tue"/>
    <b v="1"/>
    <d v="1899-12-30T19:22:00"/>
    <d v="1899-12-30T20:25:00"/>
    <n v="63"/>
    <x v="0"/>
    <b v="0"/>
    <b v="0"/>
    <s v="Female"/>
    <x v="0"/>
    <x v="1"/>
    <n v="37.5"/>
    <x v="1"/>
    <n v="0"/>
    <n v="37.5"/>
    <x v="0"/>
    <s v="Bakersfield, CA"/>
    <n v="35.3733"/>
    <n v="-119.0187"/>
    <d v="2023-04-29T00:00:00"/>
    <n v="0"/>
    <x v="0"/>
    <d v="2025-06-08T00:00:00"/>
    <s v="10–19"/>
    <s v="16–19"/>
  </r>
  <r>
    <n v="35"/>
    <x v="0"/>
    <n v="1"/>
    <s v="Sat"/>
    <b v="0"/>
    <d v="1899-12-30T20:12:00"/>
    <d v="1899-12-30T22:37:00"/>
    <n v="145"/>
    <x v="1"/>
    <b v="1"/>
    <b v="0"/>
    <s v="Male"/>
    <x v="0"/>
    <x v="0"/>
    <n v="50"/>
    <x v="3"/>
    <n v="0.15"/>
    <n v="42.5"/>
    <x v="0"/>
    <s v="Sacramento, CA"/>
    <n v="38.581600000000002"/>
    <n v="-121.4944"/>
    <d v="2024-02-27T00:00:00"/>
    <n v="8"/>
    <x v="0"/>
    <d v="2025-06-25T00:00:00"/>
    <s v="30–39"/>
    <s v="30–39"/>
  </r>
  <r>
    <n v="24"/>
    <x v="2"/>
    <n v="5"/>
    <s v="Fri, Sat, Sun, Thu, Wed"/>
    <b v="1"/>
    <d v="1899-12-30T09:06:00"/>
    <d v="1899-12-30T10:19:00"/>
    <n v="73"/>
    <x v="1"/>
    <b v="0"/>
    <b v="1"/>
    <s v="Male"/>
    <x v="2"/>
    <x v="0"/>
    <n v="20"/>
    <x v="1"/>
    <n v="0"/>
    <n v="20"/>
    <x v="2"/>
    <s v="Los Angeles, CA"/>
    <n v="34.052199999999999"/>
    <n v="-118.2437"/>
    <d v="2024-10-26T00:00:00"/>
    <n v="0"/>
    <x v="0"/>
    <d v="2025-07-09T00:00:00"/>
    <s v="20–29"/>
    <s v="20–29"/>
  </r>
  <r>
    <n v="19"/>
    <x v="0"/>
    <n v="3"/>
    <s v="Fri, Sun, Wed"/>
    <b v="1"/>
    <d v="1899-12-30T15:01:00"/>
    <d v="1899-12-30T16:59:00"/>
    <n v="118"/>
    <x v="1"/>
    <b v="0"/>
    <b v="0"/>
    <s v="Male"/>
    <x v="0"/>
    <x v="1"/>
    <n v="37.5"/>
    <x v="0"/>
    <n v="0.05"/>
    <n v="35.625"/>
    <x v="0"/>
    <s v="San Diego, CA"/>
    <n v="32.715699999999998"/>
    <n v="-117.1611"/>
    <d v="2024-02-27T00:00:00"/>
    <n v="0"/>
    <x v="0"/>
    <d v="2025-06-25T00:00:00"/>
    <s v="10–19"/>
    <s v="16–1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5-01-23T00:00:00"/>
    <n v="0"/>
    <x v="0"/>
    <d v="2025-07-14T00:00:00"/>
    <s v="20–29"/>
    <s v="20–29"/>
  </r>
  <r>
    <n v="36"/>
    <x v="2"/>
    <n v="1"/>
    <s v="Fri"/>
    <b v="0"/>
    <d v="1899-12-30T11:05:00"/>
    <d v="1899-12-30T12:28:00"/>
    <n v="83"/>
    <x v="1"/>
    <b v="0"/>
    <b v="1"/>
    <s v="Prefer not to say"/>
    <x v="2"/>
    <x v="0"/>
    <n v="20"/>
    <x v="0"/>
    <n v="0.05"/>
    <n v="19"/>
    <x v="2"/>
    <s v="Fresno, CA"/>
    <n v="36.7378"/>
    <n v="-119.7871"/>
    <d v="2024-12-17T00:00:00"/>
    <n v="0"/>
    <x v="0"/>
    <d v="2025-07-12T00:00:00"/>
    <s v="30–39"/>
    <s v="30–39"/>
  </r>
  <r>
    <n v="48"/>
    <x v="0"/>
    <n v="2"/>
    <s v="Thu, Wed"/>
    <b v="0"/>
    <d v="1899-12-30T17:14:00"/>
    <d v="1899-12-30T20:05:00"/>
    <n v="171"/>
    <x v="0"/>
    <b v="1"/>
    <b v="1"/>
    <s v="Male"/>
    <x v="0"/>
    <x v="1"/>
    <n v="37.5"/>
    <x v="1"/>
    <n v="0"/>
    <n v="37.5"/>
    <x v="0"/>
    <s v="San Francisco, CA"/>
    <n v="37.774900000000002"/>
    <n v="-122.4194"/>
    <d v="2024-01-09T00:00:00"/>
    <n v="1"/>
    <x v="0"/>
    <d v="2025-06-23T00:00:00"/>
    <s v="40–49"/>
    <s v="40–49"/>
  </r>
  <r>
    <n v="39"/>
    <x v="0"/>
    <n v="2"/>
    <s v="Mon, Sat"/>
    <b v="0"/>
    <d v="1899-12-30T14:30:00"/>
    <d v="1899-12-30T16:14:00"/>
    <n v="104"/>
    <x v="0"/>
    <b v="1"/>
    <b v="0"/>
    <s v="Female"/>
    <x v="0"/>
    <x v="2"/>
    <n v="45"/>
    <x v="2"/>
    <n v="0.1"/>
    <n v="40.5"/>
    <x v="0"/>
    <s v="Sacramento, CA"/>
    <n v="38.581600000000002"/>
    <n v="-121.4944"/>
    <d v="2024-04-02T00:00:00"/>
    <n v="6"/>
    <x v="1"/>
    <d v="2025-06-27T00:00:00"/>
    <s v="30–39"/>
    <s v="30–39"/>
  </r>
  <r>
    <n v="13"/>
    <x v="1"/>
    <n v="1"/>
    <s v="Fri"/>
    <b v="0"/>
    <d v="1899-12-30T16:10:00"/>
    <d v="1899-12-30T16:40:00"/>
    <n v="30"/>
    <x v="1"/>
    <b v="0"/>
    <b v="0"/>
    <s v="Female"/>
    <x v="1"/>
    <x v="1"/>
    <n v="22.5"/>
    <x v="0"/>
    <n v="0.05"/>
    <n v="21.375"/>
    <x v="1"/>
    <s v="San Diego, CA"/>
    <n v="32.715699999999998"/>
    <n v="-117.1611"/>
    <d v="2022-10-22T00:00:00"/>
    <n v="0"/>
    <x v="1"/>
    <d v="2025-05-29T00:00:00"/>
    <s v="10–19"/>
    <s v="Under 16"/>
  </r>
  <r>
    <n v="13"/>
    <x v="3"/>
    <n v="2"/>
    <s v="Mon, Tue"/>
    <b v="1"/>
    <d v="1899-12-30T20:56:00"/>
    <d v="1899-12-30T23:36:00"/>
    <n v="160"/>
    <x v="1"/>
    <b v="1"/>
    <b v="0"/>
    <s v="Male"/>
    <x v="3"/>
    <x v="2"/>
    <n v="63"/>
    <x v="3"/>
    <n v="0.15"/>
    <n v="53.55"/>
    <x v="3"/>
    <s v="Sacramento, CA"/>
    <n v="38.581600000000002"/>
    <n v="-121.4944"/>
    <d v="2024-06-02T00:00:00"/>
    <n v="1"/>
    <x v="0"/>
    <d v="2025-07-01T00:00:00"/>
    <s v="10–19"/>
    <s v="Under 16"/>
  </r>
  <r>
    <n v="41"/>
    <x v="1"/>
    <n v="3"/>
    <s v="Fri, Mon, Wed"/>
    <b v="0"/>
    <d v="1899-12-30T09:26:00"/>
    <d v="1899-12-30T10:35:00"/>
    <n v="69"/>
    <x v="1"/>
    <b v="0"/>
    <b v="1"/>
    <s v="Female"/>
    <x v="1"/>
    <x v="2"/>
    <n v="27"/>
    <x v="0"/>
    <n v="0.05"/>
    <n v="25.65"/>
    <x v="1"/>
    <s v="Fresno, CA"/>
    <n v="36.7378"/>
    <n v="-119.7871"/>
    <d v="2023-10-13T00:00:00"/>
    <n v="0"/>
    <x v="0"/>
    <d v="2025-06-18T00:00:00"/>
    <s v="40–49"/>
    <s v="40–49"/>
  </r>
  <r>
    <n v="32"/>
    <x v="2"/>
    <n v="5"/>
    <s v="Sat, Sun, Thu, Tue, Wed"/>
    <b v="0"/>
    <d v="1899-12-30T11:08:00"/>
    <d v="1899-12-30T13:20:00"/>
    <n v="132"/>
    <x v="1"/>
    <b v="0"/>
    <b v="1"/>
    <s v="Female"/>
    <x v="2"/>
    <x v="2"/>
    <n v="18"/>
    <x v="1"/>
    <n v="0"/>
    <n v="18"/>
    <x v="2"/>
    <s v="San Jose, CA"/>
    <n v="37.338200000000001"/>
    <n v="-121.88630000000001"/>
    <d v="2023-08-19T00:00:00"/>
    <n v="0"/>
    <x v="1"/>
    <d v="2025-06-15T00:00:00"/>
    <s v="30–39"/>
    <s v="30–39"/>
  </r>
  <r>
    <n v="28"/>
    <x v="1"/>
    <n v="5"/>
    <s v="Fri, Mon, Sat, Tue, Wed"/>
    <b v="0"/>
    <d v="1899-12-30T14:53:00"/>
    <d v="1899-12-30T16:53:00"/>
    <n v="120"/>
    <x v="1"/>
    <b v="0"/>
    <b v="0"/>
    <s v="Female"/>
    <x v="1"/>
    <x v="0"/>
    <n v="30"/>
    <x v="1"/>
    <n v="0"/>
    <n v="30"/>
    <x v="1"/>
    <s v="Anaheim, CA"/>
    <n v="33.836599999999997"/>
    <n v="-117.9143"/>
    <d v="2025-06-09T00:00:00"/>
    <n v="0"/>
    <x v="1"/>
    <d v="2025-07-22T00:00:00"/>
    <s v="20–29"/>
    <s v="20–29"/>
  </r>
  <r>
    <n v="14"/>
    <x v="3"/>
    <n v="2"/>
    <s v="Mon, Tue"/>
    <b v="0"/>
    <d v="1899-12-30T13:53:00"/>
    <d v="1899-12-30T16:06:00"/>
    <n v="133"/>
    <x v="1"/>
    <b v="1"/>
    <b v="0"/>
    <s v="Non-binary"/>
    <x v="3"/>
    <x v="0"/>
    <n v="70"/>
    <x v="0"/>
    <n v="0.05"/>
    <n v="66.5"/>
    <x v="3"/>
    <s v="Fresno, CA"/>
    <n v="36.7378"/>
    <n v="-119.7871"/>
    <d v="2023-07-17T00:00:00"/>
    <n v="8"/>
    <x v="1"/>
    <d v="2025-06-13T00:00:00"/>
    <s v="10–19"/>
    <s v="Under 16"/>
  </r>
  <r>
    <n v="43"/>
    <x v="1"/>
    <n v="3"/>
    <s v="Fri, Sun, Tue"/>
    <b v="0"/>
    <d v="1899-12-30T18:37:00"/>
    <d v="1899-12-30T20:15:00"/>
    <n v="98"/>
    <x v="0"/>
    <b v="1"/>
    <b v="1"/>
    <s v="Female"/>
    <x v="1"/>
    <x v="2"/>
    <n v="27"/>
    <x v="2"/>
    <n v="0.1"/>
    <n v="24.3"/>
    <x v="1"/>
    <s v="Fresno, CA"/>
    <n v="36.7378"/>
    <n v="-119.7871"/>
    <d v="2024-12-15T00:00:00"/>
    <n v="1"/>
    <x v="1"/>
    <d v="2025-07-12T00:00:00"/>
    <s v="40–49"/>
    <s v="40–49"/>
  </r>
  <r>
    <n v="13"/>
    <x v="0"/>
    <n v="5"/>
    <s v="Fri, Sun, Thu, Tue, Wed"/>
    <b v="0"/>
    <d v="1899-12-30T09:47:00"/>
    <d v="1899-12-30T12:16:00"/>
    <n v="149"/>
    <x v="0"/>
    <b v="1"/>
    <b v="0"/>
    <s v="Non-binary"/>
    <x v="0"/>
    <x v="0"/>
    <n v="50"/>
    <x v="1"/>
    <n v="0"/>
    <n v="50"/>
    <x v="0"/>
    <s v="Anaheim, CA"/>
    <n v="33.836599999999997"/>
    <n v="-117.9143"/>
    <d v="2022-09-03T00:00:00"/>
    <n v="8"/>
    <x v="0"/>
    <d v="2025-05-26T00:00:00"/>
    <s v="10–19"/>
    <s v="Under 16"/>
  </r>
  <r>
    <n v="46"/>
    <x v="1"/>
    <n v="3"/>
    <s v="Mon, Sun, Wed"/>
    <b v="1"/>
    <d v="1899-12-30T13:30:00"/>
    <d v="1899-12-30T14:37:00"/>
    <n v="67"/>
    <x v="0"/>
    <b v="1"/>
    <b v="0"/>
    <s v="Prefer not to say"/>
    <x v="1"/>
    <x v="0"/>
    <n v="30"/>
    <x v="1"/>
    <n v="0"/>
    <n v="30"/>
    <x v="1"/>
    <s v="San Francisco, CA"/>
    <n v="37.774900000000002"/>
    <n v="-122.4194"/>
    <d v="2025-01-15T00:00:00"/>
    <n v="4"/>
    <x v="0"/>
    <d v="2025-07-14T00:00:00"/>
    <s v="40–49"/>
    <s v="40–49"/>
  </r>
  <r>
    <n v="36"/>
    <x v="0"/>
    <n v="3"/>
    <s v="Fri, Sat, Tue"/>
    <b v="1"/>
    <d v="1899-12-30T18:19:00"/>
    <d v="1899-12-30T19:47:00"/>
    <n v="88"/>
    <x v="0"/>
    <b v="0"/>
    <b v="0"/>
    <s v="Female"/>
    <x v="0"/>
    <x v="0"/>
    <n v="50"/>
    <x v="0"/>
    <n v="0.05"/>
    <n v="47.5"/>
    <x v="0"/>
    <s v="San Francisco, CA"/>
    <n v="37.774900000000002"/>
    <n v="-122.4194"/>
    <d v="2024-04-07T00:00:00"/>
    <n v="0"/>
    <x v="0"/>
    <d v="2025-06-28T00:00:00"/>
    <s v="30–39"/>
    <s v="30–39"/>
  </r>
  <r>
    <n v="44"/>
    <x v="0"/>
    <n v="2"/>
    <s v="Fri, Mon"/>
    <b v="1"/>
    <d v="1899-12-30T17:13:00"/>
    <d v="1899-12-30T18:15:00"/>
    <n v="62"/>
    <x v="0"/>
    <b v="0"/>
    <b v="1"/>
    <s v="Male"/>
    <x v="0"/>
    <x v="1"/>
    <n v="37.5"/>
    <x v="2"/>
    <n v="0.1"/>
    <n v="33.75"/>
    <x v="0"/>
    <s v="Oakland, CA"/>
    <n v="37.804400000000001"/>
    <n v="-122.27119999999999"/>
    <d v="2025-03-24T00:00:00"/>
    <n v="0"/>
    <x v="0"/>
    <d v="2025-07-17T00:00:00"/>
    <s v="40–49"/>
    <s v="40–49"/>
  </r>
  <r>
    <n v="18"/>
    <x v="1"/>
    <n v="3"/>
    <s v="Mon, Sat, Sun"/>
    <b v="0"/>
    <d v="1899-12-30T11:06:00"/>
    <d v="1899-12-30T13:25:00"/>
    <n v="139"/>
    <x v="0"/>
    <b v="0"/>
    <b v="0"/>
    <s v="Female"/>
    <x v="1"/>
    <x v="0"/>
    <n v="30"/>
    <x v="1"/>
    <n v="0"/>
    <n v="30"/>
    <x v="1"/>
    <s v="Oakland, CA"/>
    <n v="37.804400000000001"/>
    <n v="-122.27119999999999"/>
    <d v="2022-07-27T00:00:00"/>
    <n v="0"/>
    <x v="1"/>
    <d v="2025-05-24T00:00:00"/>
    <s v="10–19"/>
    <s v="16–19"/>
  </r>
  <r>
    <n v="18"/>
    <x v="1"/>
    <n v="3"/>
    <s v="Mon, Sat, Sun"/>
    <b v="0"/>
    <d v="1899-12-30T11:06:00"/>
    <d v="1899-12-30T13:25:00"/>
    <n v="139"/>
    <x v="0"/>
    <b v="0"/>
    <b v="0"/>
    <s v="Female"/>
    <x v="1"/>
    <x v="0"/>
    <n v="30"/>
    <x v="1"/>
    <n v="0"/>
    <n v="30"/>
    <x v="1"/>
    <s v="Oakland, CA"/>
    <n v="37.804400000000001"/>
    <n v="-122.27119999999999"/>
    <d v="2024-01-05T00:00:00"/>
    <n v="0"/>
    <x v="1"/>
    <d v="2025-06-22T00:00:00"/>
    <s v="10–19"/>
    <s v="16–19"/>
  </r>
  <r>
    <n v="40"/>
    <x v="0"/>
    <n v="2"/>
    <s v="Sat, Thu"/>
    <b v="1"/>
    <d v="1899-12-30T18:52:00"/>
    <d v="1899-12-30T19:42:00"/>
    <n v="50"/>
    <x v="1"/>
    <b v="0"/>
    <b v="1"/>
    <s v="Male"/>
    <x v="0"/>
    <x v="1"/>
    <n v="37.5"/>
    <x v="1"/>
    <n v="0"/>
    <n v="37.5"/>
    <x v="0"/>
    <s v="Los Angeles, CA"/>
    <n v="34.052199999999999"/>
    <n v="-118.2437"/>
    <d v="2023-09-27T00:00:00"/>
    <n v="0"/>
    <x v="0"/>
    <d v="2025-06-17T00:00:00"/>
    <s v="40–49"/>
    <s v="40–49"/>
  </r>
  <r>
    <n v="27"/>
    <x v="1"/>
    <n v="2"/>
    <s v="Fri, Thu"/>
    <b v="1"/>
    <d v="1899-12-30T16:29:00"/>
    <d v="1899-12-30T19:08:00"/>
    <n v="159"/>
    <x v="1"/>
    <b v="0"/>
    <b v="1"/>
    <s v="Male"/>
    <x v="1"/>
    <x v="0"/>
    <n v="30"/>
    <x v="1"/>
    <n v="0"/>
    <n v="30"/>
    <x v="1"/>
    <s v="Los Angeles, CA"/>
    <n v="34.052199999999999"/>
    <n v="-118.2437"/>
    <d v="2025-04-12T00:00:00"/>
    <n v="0"/>
    <x v="0"/>
    <d v="2025-07-18T00:00:00"/>
    <s v="20–29"/>
    <s v="20–29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3-04-16T00:00:00"/>
    <n v="1"/>
    <x v="0"/>
    <d v="2025-06-08T00:00:00"/>
    <s v="20–29"/>
    <s v="20–29"/>
  </r>
  <r>
    <n v="49"/>
    <x v="1"/>
    <n v="3"/>
    <s v="Mon, Sat, Sun"/>
    <b v="0"/>
    <d v="1899-12-30T15:25:00"/>
    <d v="1899-12-30T18:05:00"/>
    <n v="160"/>
    <x v="1"/>
    <b v="0"/>
    <b v="1"/>
    <s v="Female"/>
    <x v="1"/>
    <x v="0"/>
    <n v="30"/>
    <x v="2"/>
    <n v="0.1"/>
    <n v="27"/>
    <x v="1"/>
    <s v="Los Angeles, CA"/>
    <n v="34.052199999999999"/>
    <n v="-118.2437"/>
    <d v="2024-11-11T00:00:00"/>
    <n v="0"/>
    <x v="1"/>
    <d v="2025-07-10T00:00:00"/>
    <s v="40–49"/>
    <s v="40–49"/>
  </r>
  <r>
    <n v="49"/>
    <x v="1"/>
    <n v="1"/>
    <s v="Sat"/>
    <b v="0"/>
    <d v="1899-12-30T11:21:00"/>
    <d v="1899-12-30T12:46:00"/>
    <n v="85"/>
    <x v="0"/>
    <b v="0"/>
    <b v="1"/>
    <s v="Male"/>
    <x v="1"/>
    <x v="1"/>
    <n v="22.5"/>
    <x v="1"/>
    <n v="0"/>
    <n v="22.5"/>
    <x v="1"/>
    <s v="Long Beach, CA"/>
    <n v="33.770099999999999"/>
    <n v="-118.19370000000001"/>
    <d v="2022-11-09T00:00:00"/>
    <n v="0"/>
    <x v="0"/>
    <d v="2025-05-30T00:00:00"/>
    <s v="40–49"/>
    <s v="40–49"/>
  </r>
  <r>
    <n v="12"/>
    <x v="1"/>
    <n v="3"/>
    <s v="Sun, Thu, Tue"/>
    <b v="1"/>
    <d v="1899-12-30T13:57:00"/>
    <d v="1899-12-30T15:10:00"/>
    <n v="73"/>
    <x v="0"/>
    <b v="0"/>
    <b v="1"/>
    <s v="Prefer not to say"/>
    <x v="1"/>
    <x v="1"/>
    <n v="22.5"/>
    <x v="0"/>
    <n v="0.05"/>
    <n v="21.375"/>
    <x v="1"/>
    <s v="San Jose, CA"/>
    <n v="37.338200000000001"/>
    <n v="-121.88630000000001"/>
    <d v="2024-11-16T00:00:00"/>
    <n v="0"/>
    <x v="1"/>
    <d v="2025-07-10T00:00:00"/>
    <s v="10–19"/>
    <s v="Under 16"/>
  </r>
  <r>
    <n v="46"/>
    <x v="1"/>
    <n v="1"/>
    <s v="Sat"/>
    <b v="0"/>
    <d v="1899-12-30T11:13:00"/>
    <d v="1899-12-30T13:19:00"/>
    <n v="126"/>
    <x v="1"/>
    <b v="0"/>
    <b v="1"/>
    <s v="Female"/>
    <x v="1"/>
    <x v="0"/>
    <n v="30"/>
    <x v="1"/>
    <n v="0"/>
    <n v="30"/>
    <x v="1"/>
    <s v="San Diego, CA"/>
    <n v="32.715699999999998"/>
    <n v="-117.1611"/>
    <d v="2024-12-01T00:00:00"/>
    <n v="0"/>
    <x v="0"/>
    <d v="2025-07-11T00:00:00"/>
    <s v="40–49"/>
    <s v="40–49"/>
  </r>
  <r>
    <n v="37"/>
    <x v="0"/>
    <n v="3"/>
    <s v="Fri, Thu, Wed"/>
    <b v="1"/>
    <d v="1899-12-30T18:23:00"/>
    <d v="1899-12-30T20:28:00"/>
    <n v="125"/>
    <x v="0"/>
    <b v="0"/>
    <b v="0"/>
    <s v="Female"/>
    <x v="0"/>
    <x v="1"/>
    <n v="37.5"/>
    <x v="2"/>
    <n v="0.1"/>
    <n v="33.75"/>
    <x v="0"/>
    <s v="Anaheim, CA"/>
    <n v="33.836599999999997"/>
    <n v="-117.9143"/>
    <d v="2025-05-15T00:00:00"/>
    <n v="0"/>
    <x v="0"/>
    <d v="2025-07-20T00:00:00"/>
    <s v="30–39"/>
    <s v="30–39"/>
  </r>
  <r>
    <n v="34"/>
    <x v="1"/>
    <n v="2"/>
    <s v="Mon, Sat"/>
    <b v="0"/>
    <d v="1899-12-30T18:44:00"/>
    <d v="1899-12-30T19:47:00"/>
    <n v="63"/>
    <x v="1"/>
    <b v="0"/>
    <b v="1"/>
    <s v="Male"/>
    <x v="1"/>
    <x v="0"/>
    <n v="30"/>
    <x v="0"/>
    <n v="0.05"/>
    <n v="28.5"/>
    <x v="1"/>
    <s v="Long Beach, CA"/>
    <n v="33.770099999999999"/>
    <n v="-118.19370000000001"/>
    <d v="2024-02-06T00:00:00"/>
    <n v="0"/>
    <x v="1"/>
    <d v="2025-06-24T00:00:00"/>
    <s v="30–39"/>
    <s v="30–39"/>
  </r>
  <r>
    <n v="34"/>
    <x v="1"/>
    <n v="2"/>
    <s v="Mon, Sat"/>
    <b v="0"/>
    <d v="1899-12-30T18:44:00"/>
    <d v="1899-12-30T19:47:00"/>
    <n v="63"/>
    <x v="1"/>
    <b v="0"/>
    <b v="1"/>
    <s v="Male"/>
    <x v="1"/>
    <x v="0"/>
    <n v="30"/>
    <x v="0"/>
    <n v="0.05"/>
    <n v="28.5"/>
    <x v="1"/>
    <s v="Long Beach, CA"/>
    <n v="33.770099999999999"/>
    <n v="-118.19370000000001"/>
    <d v="2023-10-30T00:00:00"/>
    <n v="0"/>
    <x v="1"/>
    <d v="2025-06-19T00:00:00"/>
    <s v="30–39"/>
    <s v="30–39"/>
  </r>
  <r>
    <n v="37"/>
    <x v="2"/>
    <n v="4"/>
    <s v="Fri, Sat, Thu, Wed"/>
    <b v="1"/>
    <d v="1899-12-30T18:44:00"/>
    <d v="1899-12-30T20:56:00"/>
    <n v="132"/>
    <x v="1"/>
    <b v="0"/>
    <b v="1"/>
    <s v="Female"/>
    <x v="2"/>
    <x v="0"/>
    <n v="20"/>
    <x v="2"/>
    <n v="0.1"/>
    <n v="18"/>
    <x v="2"/>
    <s v="Anaheim, CA"/>
    <n v="33.836599999999997"/>
    <n v="-117.9143"/>
    <d v="2025-04-14T00:00:00"/>
    <n v="0"/>
    <x v="1"/>
    <d v="2025-07-19T00:00:00"/>
    <s v="30–39"/>
    <s v="30–39"/>
  </r>
  <r>
    <n v="26"/>
    <x v="2"/>
    <n v="2"/>
    <s v="Sun, Tue"/>
    <b v="1"/>
    <d v="1899-12-30T15:52:00"/>
    <d v="1899-12-30T18:05:00"/>
    <n v="133"/>
    <x v="0"/>
    <b v="0"/>
    <b v="0"/>
    <s v="Female"/>
    <x v="2"/>
    <x v="0"/>
    <n v="20"/>
    <x v="1"/>
    <n v="0"/>
    <n v="20"/>
    <x v="2"/>
    <s v="Bakersfield, CA"/>
    <n v="35.3733"/>
    <n v="-119.0187"/>
    <d v="2023-03-20T00:00:00"/>
    <n v="0"/>
    <x v="0"/>
    <d v="2025-06-06T00:00:00"/>
    <s v="20–29"/>
    <s v="20–29"/>
  </r>
  <r>
    <n v="49"/>
    <x v="0"/>
    <n v="2"/>
    <s v="Tue, Wed"/>
    <b v="0"/>
    <d v="1899-12-30T10:11:00"/>
    <d v="1899-12-30T11:28:00"/>
    <n v="77"/>
    <x v="1"/>
    <b v="1"/>
    <b v="0"/>
    <s v="Female"/>
    <x v="0"/>
    <x v="0"/>
    <n v="50"/>
    <x v="1"/>
    <n v="0"/>
    <n v="50"/>
    <x v="0"/>
    <s v="Bakersfield, CA"/>
    <n v="35.3733"/>
    <n v="-119.0187"/>
    <d v="2024-02-26T00:00:00"/>
    <n v="6"/>
    <x v="0"/>
    <d v="2025-06-25T00:00:00"/>
    <s v="40–49"/>
    <s v="40–49"/>
  </r>
  <r>
    <n v="48"/>
    <x v="1"/>
    <n v="5"/>
    <s v="Fri, Mon, Sat, Sun, Thu"/>
    <b v="0"/>
    <d v="1899-12-30T15:42:00"/>
    <d v="1899-12-30T18:35:00"/>
    <n v="173"/>
    <x v="0"/>
    <b v="1"/>
    <b v="1"/>
    <s v="Female"/>
    <x v="1"/>
    <x v="0"/>
    <n v="30"/>
    <x v="1"/>
    <n v="0"/>
    <n v="30"/>
    <x v="1"/>
    <s v="Sacramento, CA"/>
    <n v="38.581600000000002"/>
    <n v="-121.4944"/>
    <d v="2023-12-12T00:00:00"/>
    <n v="3"/>
    <x v="1"/>
    <d v="2025-06-21T00:00:00"/>
    <s v="40–49"/>
    <s v="40–49"/>
  </r>
  <r>
    <n v="36"/>
    <x v="1"/>
    <n v="3"/>
    <s v="Sat, Thu, Wed"/>
    <b v="0"/>
    <d v="1899-12-30T08:42:00"/>
    <d v="1899-12-30T11:31:00"/>
    <n v="169"/>
    <x v="1"/>
    <b v="1"/>
    <b v="1"/>
    <s v="Female"/>
    <x v="1"/>
    <x v="0"/>
    <n v="30"/>
    <x v="1"/>
    <n v="0"/>
    <n v="30"/>
    <x v="1"/>
    <s v="San Diego, CA"/>
    <n v="32.715699999999998"/>
    <n v="-117.1611"/>
    <d v="2024-03-10T00:00:00"/>
    <n v="5"/>
    <x v="1"/>
    <d v="2025-06-26T00:00:00"/>
    <s v="30–39"/>
    <s v="30–39"/>
  </r>
  <r>
    <n v="27"/>
    <x v="2"/>
    <n v="2"/>
    <s v="Fri, Tue"/>
    <b v="1"/>
    <d v="1899-12-30T11:35:00"/>
    <d v="1899-12-30T13:34:00"/>
    <n v="119"/>
    <x v="1"/>
    <b v="0"/>
    <b v="1"/>
    <s v="Male"/>
    <x v="2"/>
    <x v="0"/>
    <n v="20"/>
    <x v="0"/>
    <n v="0.05"/>
    <n v="19"/>
    <x v="2"/>
    <s v="Oakland, CA"/>
    <n v="37.804400000000001"/>
    <n v="-122.27119999999999"/>
    <d v="2024-04-22T00:00:00"/>
    <n v="0"/>
    <x v="1"/>
    <d v="2025-06-28T00:00:00"/>
    <s v="20–29"/>
    <s v="20–29"/>
  </r>
  <r>
    <n v="12"/>
    <x v="1"/>
    <n v="3"/>
    <s v="Mon, Sat, Tue"/>
    <b v="0"/>
    <d v="1899-12-30T08:59:00"/>
    <d v="1899-12-30T10:26:00"/>
    <n v="87"/>
    <x v="0"/>
    <b v="1"/>
    <b v="0"/>
    <s v="Non-binary"/>
    <x v="1"/>
    <x v="1"/>
    <n v="22.5"/>
    <x v="3"/>
    <n v="0.15"/>
    <n v="19.125"/>
    <x v="1"/>
    <s v="San Francisco, CA"/>
    <n v="37.774900000000002"/>
    <n v="-122.4194"/>
    <d v="2023-11-04T00:00:00"/>
    <n v="3"/>
    <x v="0"/>
    <d v="2025-06-19T00:00:00"/>
    <s v="10–19"/>
    <s v="Under 16"/>
  </r>
  <r>
    <n v="14"/>
    <x v="1"/>
    <n v="3"/>
    <s v="Fri, Sun, Thu"/>
    <b v="1"/>
    <d v="1899-12-30T13:59:00"/>
    <d v="1899-12-30T16:41:00"/>
    <n v="162"/>
    <x v="1"/>
    <b v="0"/>
    <b v="1"/>
    <s v="Male"/>
    <x v="1"/>
    <x v="1"/>
    <n v="22.5"/>
    <x v="2"/>
    <n v="0.1"/>
    <n v="20.25"/>
    <x v="1"/>
    <s v="Anaheim, CA"/>
    <n v="33.836599999999997"/>
    <n v="-117.9143"/>
    <d v="2025-01-08T00:00:00"/>
    <n v="0"/>
    <x v="0"/>
    <d v="2025-07-13T00:00:00"/>
    <s v="10–19"/>
    <s v="Under 16"/>
  </r>
  <r>
    <n v="46"/>
    <x v="1"/>
    <n v="3"/>
    <s v="Mon, Sun, Wed"/>
    <b v="1"/>
    <d v="1899-12-30T13:30:00"/>
    <d v="1899-12-30T14:37:00"/>
    <n v="67"/>
    <x v="0"/>
    <b v="1"/>
    <b v="0"/>
    <s v="Prefer not to say"/>
    <x v="1"/>
    <x v="0"/>
    <n v="30"/>
    <x v="1"/>
    <n v="0"/>
    <n v="30"/>
    <x v="1"/>
    <s v="San Francisco, CA"/>
    <n v="37.774900000000002"/>
    <n v="-122.4194"/>
    <d v="2024-12-11T00:00:00"/>
    <n v="1"/>
    <x v="0"/>
    <d v="2025-07-12T00:00:00"/>
    <s v="40–49"/>
    <s v="40–49"/>
  </r>
  <r>
    <n v="14"/>
    <x v="1"/>
    <n v="2"/>
    <s v="Mon, Wed"/>
    <b v="0"/>
    <d v="1899-12-30T09:46:00"/>
    <d v="1899-12-30T10:56:00"/>
    <n v="70"/>
    <x v="0"/>
    <b v="0"/>
    <b v="1"/>
    <s v="Male"/>
    <x v="1"/>
    <x v="2"/>
    <n v="27"/>
    <x v="1"/>
    <n v="0"/>
    <n v="27"/>
    <x v="1"/>
    <s v="Anaheim, CA"/>
    <n v="33.836599999999997"/>
    <n v="-117.9143"/>
    <d v="2022-12-18T00:00:00"/>
    <n v="0"/>
    <x v="1"/>
    <d v="2025-06-01T00:00:00"/>
    <s v="10–19"/>
    <s v="Under 16"/>
  </r>
  <r>
    <n v="13"/>
    <x v="0"/>
    <n v="2"/>
    <s v="Mon, Tue"/>
    <b v="0"/>
    <d v="1899-12-30T17:27:00"/>
    <d v="1899-12-30T19:12:00"/>
    <n v="105"/>
    <x v="0"/>
    <b v="0"/>
    <b v="0"/>
    <s v="Prefer not to say"/>
    <x v="0"/>
    <x v="1"/>
    <n v="37.5"/>
    <x v="0"/>
    <n v="0.05"/>
    <n v="35.625"/>
    <x v="0"/>
    <s v="San Jose, CA"/>
    <n v="37.338200000000001"/>
    <n v="-121.88630000000001"/>
    <d v="2022-09-19T00:00:00"/>
    <n v="0"/>
    <x v="0"/>
    <d v="2025-05-27T00:00:00"/>
    <s v="10–19"/>
    <s v="Under 16"/>
  </r>
  <r>
    <n v="15"/>
    <x v="1"/>
    <n v="4"/>
    <s v="Fri, Sat, Sun, Wed"/>
    <b v="0"/>
    <d v="1899-12-30T14:06:00"/>
    <d v="1899-12-30T15:54:00"/>
    <n v="108"/>
    <x v="1"/>
    <b v="0"/>
    <b v="1"/>
    <s v="Male"/>
    <x v="1"/>
    <x v="0"/>
    <n v="30"/>
    <x v="1"/>
    <n v="0"/>
    <n v="30"/>
    <x v="1"/>
    <s v="Oakland, CA"/>
    <n v="37.804400000000001"/>
    <n v="-122.27119999999999"/>
    <d v="2024-05-21T00:00:00"/>
    <n v="0"/>
    <x v="1"/>
    <d v="2025-06-30T00:00:00"/>
    <s v="10–19"/>
    <s v="Under 16"/>
  </r>
  <r>
    <n v="25"/>
    <x v="0"/>
    <n v="2"/>
    <s v="Mon, Thu"/>
    <b v="0"/>
    <d v="1899-12-30T15:12:00"/>
    <d v="1899-12-30T15:57:00"/>
    <n v="45"/>
    <x v="1"/>
    <b v="1"/>
    <b v="0"/>
    <s v="Male"/>
    <x v="0"/>
    <x v="1"/>
    <n v="37.5"/>
    <x v="2"/>
    <n v="0.1"/>
    <n v="33.75"/>
    <x v="0"/>
    <s v="Long Beach, CA"/>
    <n v="33.770099999999999"/>
    <n v="-118.19370000000001"/>
    <d v="2024-09-07T00:00:00"/>
    <n v="3"/>
    <x v="0"/>
    <d v="2025-07-06T00:00:00"/>
    <s v="20–29"/>
    <s v="20–29"/>
  </r>
  <r>
    <n v="21"/>
    <x v="0"/>
    <n v="1"/>
    <s v="Sun"/>
    <b v="1"/>
    <d v="1899-12-30T14:34:00"/>
    <d v="1899-12-30T15:04:00"/>
    <n v="30"/>
    <x v="1"/>
    <b v="1"/>
    <b v="1"/>
    <s v="Male"/>
    <x v="0"/>
    <x v="1"/>
    <n v="37.5"/>
    <x v="1"/>
    <n v="0"/>
    <n v="37.5"/>
    <x v="0"/>
    <s v="Long Beach, CA"/>
    <n v="33.770099999999999"/>
    <n v="-118.19370000000001"/>
    <d v="2023-08-07T00:00:00"/>
    <n v="6"/>
    <x v="0"/>
    <d v="2025-06-14T00:00:00"/>
    <s v="20–29"/>
    <s v="20–29"/>
  </r>
  <r>
    <n v="15"/>
    <x v="1"/>
    <n v="2"/>
    <s v="Fri, Mon"/>
    <b v="0"/>
    <d v="1899-12-30T13:37:00"/>
    <d v="1899-12-30T14:50:00"/>
    <n v="73"/>
    <x v="1"/>
    <b v="1"/>
    <b v="1"/>
    <s v="Female"/>
    <x v="1"/>
    <x v="1"/>
    <n v="22.5"/>
    <x v="0"/>
    <n v="0.05"/>
    <n v="21.375"/>
    <x v="1"/>
    <s v="San Diego, CA"/>
    <n v="32.715699999999998"/>
    <n v="-117.1611"/>
    <d v="2024-04-13T00:00:00"/>
    <n v="6"/>
    <x v="1"/>
    <d v="2025-06-28T00:00:00"/>
    <s v="10–19"/>
    <s v="Under 16"/>
  </r>
  <r>
    <n v="18"/>
    <x v="0"/>
    <n v="4"/>
    <s v="Sun, Thu, Tue, Wed"/>
    <b v="0"/>
    <d v="1899-12-30T11:23:00"/>
    <d v="1899-12-30T14:03:00"/>
    <n v="160"/>
    <x v="1"/>
    <b v="0"/>
    <b v="0"/>
    <s v="Prefer not to say"/>
    <x v="0"/>
    <x v="1"/>
    <n v="37.5"/>
    <x v="1"/>
    <n v="0"/>
    <n v="37.5"/>
    <x v="0"/>
    <s v="Fresno, CA"/>
    <n v="36.7378"/>
    <n v="-119.7871"/>
    <d v="2025-05-26T00:00:00"/>
    <n v="0"/>
    <x v="1"/>
    <d v="2025-07-21T00:00:00"/>
    <s v="10–19"/>
    <s v="16–19"/>
  </r>
  <r>
    <n v="14"/>
    <x v="0"/>
    <n v="3"/>
    <s v="Sat, Sun, Tue"/>
    <b v="0"/>
    <d v="1899-12-30T14:36:00"/>
    <d v="1899-12-30T15:11:00"/>
    <n v="35"/>
    <x v="0"/>
    <b v="1"/>
    <b v="0"/>
    <s v="Female"/>
    <x v="0"/>
    <x v="1"/>
    <n v="37.5"/>
    <x v="1"/>
    <n v="0"/>
    <n v="37.5"/>
    <x v="0"/>
    <s v="Bakersfield, CA"/>
    <n v="35.3733"/>
    <n v="-119.0187"/>
    <d v="2025-01-07T00:00:00"/>
    <n v="1"/>
    <x v="1"/>
    <d v="2025-07-13T00:00:00"/>
    <s v="10–19"/>
    <s v="Under 16"/>
  </r>
  <r>
    <n v="45"/>
    <x v="1"/>
    <n v="2"/>
    <s v="Mon, Wed"/>
    <b v="1"/>
    <d v="1899-12-30T14:20:00"/>
    <d v="1899-12-30T17:20:00"/>
    <n v="180"/>
    <x v="1"/>
    <b v="1"/>
    <b v="1"/>
    <s v="Female"/>
    <x v="1"/>
    <x v="1"/>
    <n v="22.5"/>
    <x v="2"/>
    <n v="0.1"/>
    <n v="20.25"/>
    <x v="1"/>
    <s v="Anaheim, CA"/>
    <n v="33.836599999999997"/>
    <n v="-117.9143"/>
    <d v="2023-05-22T00:00:00"/>
    <n v="4"/>
    <x v="1"/>
    <d v="2025-06-10T00:00:00"/>
    <s v="40–49"/>
    <s v="40–49"/>
  </r>
  <r>
    <n v="40"/>
    <x v="0"/>
    <n v="4"/>
    <s v="Mon, Sat, Sun, Wed"/>
    <b v="1"/>
    <d v="1899-12-30T09:55:00"/>
    <d v="1899-12-30T10:43:00"/>
    <n v="48"/>
    <x v="0"/>
    <b v="0"/>
    <b v="1"/>
    <s v="Non-binary"/>
    <x v="0"/>
    <x v="0"/>
    <n v="50"/>
    <x v="1"/>
    <n v="0"/>
    <n v="50"/>
    <x v="0"/>
    <s v="Fresno, CA"/>
    <n v="36.7378"/>
    <n v="-119.7871"/>
    <d v="2023-07-22T00:00:00"/>
    <n v="0"/>
    <x v="1"/>
    <d v="2025-06-13T00:00:00"/>
    <s v="40–49"/>
    <s v="40–49"/>
  </r>
  <r>
    <n v="22"/>
    <x v="0"/>
    <n v="5"/>
    <s v="Fri, Mon, Sun, Tue, Wed"/>
    <b v="0"/>
    <d v="1899-12-30T13:52:00"/>
    <d v="1899-12-30T14:43:00"/>
    <n v="51"/>
    <x v="0"/>
    <b v="0"/>
    <b v="1"/>
    <s v="Female"/>
    <x v="0"/>
    <x v="0"/>
    <n v="50"/>
    <x v="2"/>
    <n v="0.1"/>
    <n v="45"/>
    <x v="0"/>
    <s v="Los Angeles, CA"/>
    <n v="34.052199999999999"/>
    <n v="-118.2437"/>
    <d v="2025-05-25T00:00:00"/>
    <n v="0"/>
    <x v="1"/>
    <d v="2025-07-21T00:00:00"/>
    <s v="20–29"/>
    <s v="20–29"/>
  </r>
  <r>
    <n v="47"/>
    <x v="0"/>
    <n v="1"/>
    <s v="Tue"/>
    <b v="1"/>
    <d v="1899-12-30T18:15:00"/>
    <d v="1899-12-30T19:59:00"/>
    <n v="104"/>
    <x v="1"/>
    <b v="0"/>
    <b v="1"/>
    <s v="Female"/>
    <x v="0"/>
    <x v="0"/>
    <n v="50"/>
    <x v="2"/>
    <n v="0.1"/>
    <n v="45"/>
    <x v="0"/>
    <s v="San Diego, CA"/>
    <n v="32.715699999999998"/>
    <n v="-117.1611"/>
    <d v="2024-10-29T00:00:00"/>
    <n v="0"/>
    <x v="1"/>
    <d v="2025-07-09T00:00:00"/>
    <s v="40–49"/>
    <s v="40–49"/>
  </r>
  <r>
    <n v="30"/>
    <x v="1"/>
    <n v="3"/>
    <s v="Fri, Thu, Tue"/>
    <b v="0"/>
    <d v="1899-12-30T08:05:00"/>
    <d v="1899-12-30T09:06:00"/>
    <n v="61"/>
    <x v="1"/>
    <b v="1"/>
    <b v="0"/>
    <s v="Prefer not to say"/>
    <x v="1"/>
    <x v="1"/>
    <n v="22.5"/>
    <x v="0"/>
    <n v="0.05"/>
    <n v="21.375"/>
    <x v="1"/>
    <s v="Long Beach, CA"/>
    <n v="33.770099999999999"/>
    <n v="-118.19370000000001"/>
    <d v="2024-10-19T00:00:00"/>
    <n v="3"/>
    <x v="1"/>
    <d v="2025-07-09T00:00:00"/>
    <s v="30–39"/>
    <s v="30–39"/>
  </r>
  <r>
    <n v="19"/>
    <x v="0"/>
    <n v="2"/>
    <s v="Mon, Wed"/>
    <b v="1"/>
    <d v="1899-12-30T10:42:00"/>
    <d v="1899-12-30T13:29:00"/>
    <n v="167"/>
    <x v="0"/>
    <b v="1"/>
    <b v="0"/>
    <s v="Male"/>
    <x v="0"/>
    <x v="0"/>
    <n v="50"/>
    <x v="2"/>
    <n v="0.1"/>
    <n v="45"/>
    <x v="0"/>
    <s v="Sacramento, CA"/>
    <n v="38.581600000000002"/>
    <n v="-121.4944"/>
    <d v="2023-07-08T00:00:00"/>
    <n v="4"/>
    <x v="0"/>
    <d v="2025-06-12T00:00:00"/>
    <s v="10–19"/>
    <s v="16–19"/>
  </r>
  <r>
    <n v="28"/>
    <x v="1"/>
    <n v="3"/>
    <s v="Fri, Sun, Tue"/>
    <b v="0"/>
    <d v="1899-12-30T09:55:00"/>
    <d v="1899-12-30T10:55:00"/>
    <n v="60"/>
    <x v="0"/>
    <b v="1"/>
    <b v="0"/>
    <s v="Prefer not to say"/>
    <x v="1"/>
    <x v="0"/>
    <n v="30"/>
    <x v="2"/>
    <n v="0.1"/>
    <n v="27"/>
    <x v="1"/>
    <s v="Los Angeles, CA"/>
    <n v="34.052199999999999"/>
    <n v="-118.2437"/>
    <d v="2025-06-02T00:00:00"/>
    <n v="4"/>
    <x v="1"/>
    <d v="2025-07-21T00:00:00"/>
    <s v="20–29"/>
    <s v="20–29"/>
  </r>
  <r>
    <n v="24"/>
    <x v="2"/>
    <n v="1"/>
    <s v="Sun"/>
    <b v="0"/>
    <d v="1899-12-30T14:59:00"/>
    <d v="1899-12-30T17:17:00"/>
    <n v="138"/>
    <x v="0"/>
    <b v="1"/>
    <b v="1"/>
    <s v="Other (self-described)"/>
    <x v="2"/>
    <x v="1"/>
    <n v="15"/>
    <x v="2"/>
    <n v="0.1"/>
    <n v="13.5"/>
    <x v="2"/>
    <s v="San Diego, CA"/>
    <n v="32.715699999999998"/>
    <n v="-117.1611"/>
    <d v="2025-03-04T00:00:00"/>
    <n v="8"/>
    <x v="0"/>
    <d v="2025-07-16T00:00:00"/>
    <s v="20–29"/>
    <s v="20–29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2-22T00:00:00"/>
    <n v="2"/>
    <x v="0"/>
    <d v="2025-06-05T00:00:00"/>
    <s v="20–29"/>
    <s v="20–29"/>
  </r>
  <r>
    <n v="47"/>
    <x v="0"/>
    <n v="3"/>
    <s v="Mon, Sat, Wed"/>
    <b v="0"/>
    <d v="1899-12-30T19:31:00"/>
    <d v="1899-12-30T20:19:00"/>
    <n v="48"/>
    <x v="0"/>
    <b v="1"/>
    <b v="0"/>
    <s v="Other (self-described)"/>
    <x v="0"/>
    <x v="0"/>
    <n v="50"/>
    <x v="3"/>
    <n v="0.15"/>
    <n v="42.5"/>
    <x v="0"/>
    <s v="San Jose, CA"/>
    <n v="37.338200000000001"/>
    <n v="-121.88630000000001"/>
    <d v="2024-12-14T00:00:00"/>
    <n v="1"/>
    <x v="1"/>
    <d v="2025-07-12T00:00:00"/>
    <s v="40–49"/>
    <s v="40–49"/>
  </r>
  <r>
    <n v="39"/>
    <x v="1"/>
    <n v="3"/>
    <s v="Sat, Thu, Wed"/>
    <b v="1"/>
    <d v="1899-12-30T15:19:00"/>
    <d v="1899-12-30T17:35:00"/>
    <n v="136"/>
    <x v="0"/>
    <b v="1"/>
    <b v="1"/>
    <s v="Male"/>
    <x v="1"/>
    <x v="0"/>
    <n v="30"/>
    <x v="3"/>
    <n v="0.15"/>
    <n v="25.5"/>
    <x v="1"/>
    <s v="Oakland, CA"/>
    <n v="37.804400000000001"/>
    <n v="-122.27119999999999"/>
    <d v="2023-07-28T00:00:00"/>
    <n v="5"/>
    <x v="1"/>
    <d v="2025-06-13T00:00:00"/>
    <s v="30–39"/>
    <s v="30–39"/>
  </r>
  <r>
    <n v="49"/>
    <x v="2"/>
    <n v="1"/>
    <s v="Tue"/>
    <b v="1"/>
    <d v="1899-12-30T18:02:00"/>
    <d v="1899-12-30T18:44:00"/>
    <n v="42"/>
    <x v="1"/>
    <b v="0"/>
    <b v="0"/>
    <s v="Non-binary"/>
    <x v="2"/>
    <x v="0"/>
    <n v="20"/>
    <x v="3"/>
    <n v="0.15"/>
    <n v="17"/>
    <x v="2"/>
    <s v="Anaheim, CA"/>
    <n v="33.836599999999997"/>
    <n v="-117.9143"/>
    <d v="2024-10-12T00:00:00"/>
    <n v="0"/>
    <x v="1"/>
    <d v="2025-07-08T00:00:00"/>
    <s v="40–49"/>
    <s v="40–49"/>
  </r>
  <r>
    <n v="44"/>
    <x v="2"/>
    <n v="1"/>
    <s v="Wed"/>
    <b v="0"/>
    <d v="1899-12-30T20:43:00"/>
    <d v="1899-12-30T22:58:00"/>
    <n v="135"/>
    <x v="1"/>
    <b v="0"/>
    <b v="0"/>
    <s v="Female"/>
    <x v="2"/>
    <x v="0"/>
    <n v="20"/>
    <x v="1"/>
    <n v="0"/>
    <n v="20"/>
    <x v="2"/>
    <s v="Sacramento, CA"/>
    <n v="38.581600000000002"/>
    <n v="-121.4944"/>
    <d v="2025-03-09T00:00:00"/>
    <n v="0"/>
    <x v="1"/>
    <d v="2025-07-17T00:00:00"/>
    <s v="40–49"/>
    <s v="40–49"/>
  </r>
  <r>
    <n v="35"/>
    <x v="0"/>
    <n v="1"/>
    <s v="Wed"/>
    <b v="0"/>
    <d v="1899-12-30T08:34:00"/>
    <d v="1899-12-30T09:27:00"/>
    <n v="53"/>
    <x v="0"/>
    <b v="1"/>
    <b v="0"/>
    <s v="Male"/>
    <x v="0"/>
    <x v="2"/>
    <n v="45"/>
    <x v="3"/>
    <n v="0.15"/>
    <n v="38.25"/>
    <x v="0"/>
    <s v="Los Angeles, CA"/>
    <n v="34.052199999999999"/>
    <n v="-118.2437"/>
    <d v="2024-10-07T00:00:00"/>
    <n v="6"/>
    <x v="1"/>
    <d v="2025-07-08T00:00:00"/>
    <s v="30–39"/>
    <s v="30–39"/>
  </r>
  <r>
    <n v="39"/>
    <x v="2"/>
    <n v="2"/>
    <s v="Sun, Tue"/>
    <b v="1"/>
    <d v="1899-12-30T19:02:00"/>
    <d v="1899-12-30T19:47:00"/>
    <n v="45"/>
    <x v="1"/>
    <b v="1"/>
    <b v="0"/>
    <s v="Other (self-described)"/>
    <x v="2"/>
    <x v="0"/>
    <n v="20"/>
    <x v="1"/>
    <n v="0"/>
    <n v="20"/>
    <x v="2"/>
    <s v="Long Beach, CA"/>
    <n v="33.770099999999999"/>
    <n v="-118.19370000000001"/>
    <d v="2023-05-15T00:00:00"/>
    <n v="6"/>
    <x v="1"/>
    <d v="2025-06-09T00:00:00"/>
    <s v="30–39"/>
    <s v="30–39"/>
  </r>
  <r>
    <n v="37"/>
    <x v="2"/>
    <n v="1"/>
    <s v="Wed"/>
    <b v="1"/>
    <d v="1899-12-30T09:10:00"/>
    <d v="1899-12-30T10:30:00"/>
    <n v="80"/>
    <x v="1"/>
    <b v="0"/>
    <b v="0"/>
    <s v="Other (self-described)"/>
    <x v="2"/>
    <x v="0"/>
    <n v="20"/>
    <x v="0"/>
    <n v="0.05"/>
    <n v="19"/>
    <x v="2"/>
    <s v="Bakersfield, CA"/>
    <n v="35.3733"/>
    <n v="-119.0187"/>
    <d v="2022-12-24T00:00:00"/>
    <n v="0"/>
    <x v="0"/>
    <d v="2025-06-01T00:00:00"/>
    <s v="30–39"/>
    <s v="30–39"/>
  </r>
  <r>
    <n v="32"/>
    <x v="2"/>
    <n v="3"/>
    <s v="Fri, Sun, Wed"/>
    <b v="1"/>
    <d v="1899-12-30T14:52:00"/>
    <d v="1899-12-30T17:32:00"/>
    <n v="160"/>
    <x v="0"/>
    <b v="0"/>
    <b v="0"/>
    <s v="Male"/>
    <x v="2"/>
    <x v="0"/>
    <n v="20"/>
    <x v="0"/>
    <n v="0.05"/>
    <n v="19"/>
    <x v="2"/>
    <s v="Sacramento, CA"/>
    <n v="38.581600000000002"/>
    <n v="-121.4944"/>
    <d v="2023-01-20T00:00:00"/>
    <n v="0"/>
    <x v="0"/>
    <d v="2025-06-03T00:00:00"/>
    <s v="30–39"/>
    <s v="30–39"/>
  </r>
  <r>
    <n v="29"/>
    <x v="2"/>
    <n v="1"/>
    <s v="Sun"/>
    <b v="0"/>
    <d v="1899-12-30T17:00:00"/>
    <d v="1899-12-30T18:33:00"/>
    <n v="93"/>
    <x v="1"/>
    <b v="0"/>
    <b v="1"/>
    <s v="Female"/>
    <x v="2"/>
    <x v="1"/>
    <n v="15"/>
    <x v="1"/>
    <n v="0"/>
    <n v="15"/>
    <x v="2"/>
    <s v="Fresno, CA"/>
    <n v="36.7378"/>
    <n v="-119.7871"/>
    <d v="2024-04-25T00:00:00"/>
    <n v="0"/>
    <x v="1"/>
    <d v="2025-06-29T00:00:00"/>
    <s v="20–29"/>
    <s v="20–29"/>
  </r>
  <r>
    <n v="27"/>
    <x v="1"/>
    <n v="2"/>
    <s v="Fri, Sun"/>
    <b v="0"/>
    <d v="1899-12-30T17:22:00"/>
    <d v="1899-12-30T18:50:00"/>
    <n v="88"/>
    <x v="1"/>
    <b v="1"/>
    <b v="0"/>
    <s v="Non-binary"/>
    <x v="1"/>
    <x v="1"/>
    <n v="22.5"/>
    <x v="1"/>
    <n v="0"/>
    <n v="22.5"/>
    <x v="1"/>
    <s v="Fresno, CA"/>
    <n v="36.7378"/>
    <n v="-119.7871"/>
    <d v="2023-07-12T00:00:00"/>
    <n v="1"/>
    <x v="0"/>
    <d v="2025-06-12T00:00:00"/>
    <s v="20–29"/>
    <s v="20–29"/>
  </r>
  <r>
    <n v="36"/>
    <x v="3"/>
    <n v="3"/>
    <s v="Sat, Sun, Wed"/>
    <b v="1"/>
    <d v="1899-12-30T19:37:00"/>
    <d v="1899-12-30T20:38:00"/>
    <n v="61"/>
    <x v="0"/>
    <b v="0"/>
    <b v="1"/>
    <s v="Female"/>
    <x v="3"/>
    <x v="2"/>
    <n v="63"/>
    <x v="2"/>
    <n v="0.1"/>
    <n v="56.7"/>
    <x v="3"/>
    <s v="Anaheim, CA"/>
    <n v="33.836599999999997"/>
    <n v="-117.9143"/>
    <d v="2024-11-16T00:00:00"/>
    <n v="0"/>
    <x v="0"/>
    <d v="2025-07-10T00:00:00"/>
    <s v="30–39"/>
    <s v="30–39"/>
  </r>
  <r>
    <n v="24"/>
    <x v="0"/>
    <n v="4"/>
    <s v="Sun, Thu, Tue, Wed"/>
    <b v="0"/>
    <d v="1899-12-30T09:12:00"/>
    <d v="1899-12-30T11:17:00"/>
    <n v="125"/>
    <x v="0"/>
    <b v="0"/>
    <b v="0"/>
    <s v="Prefer not to say"/>
    <x v="0"/>
    <x v="0"/>
    <n v="50"/>
    <x v="1"/>
    <n v="0"/>
    <n v="50"/>
    <x v="0"/>
    <s v="Anaheim, CA"/>
    <n v="33.836599999999997"/>
    <n v="-117.9143"/>
    <d v="2024-08-14T00:00:00"/>
    <n v="0"/>
    <x v="0"/>
    <d v="2025-07-05T00:00:00"/>
    <s v="20–29"/>
    <s v="20–29"/>
  </r>
  <r>
    <n v="30"/>
    <x v="0"/>
    <n v="3"/>
    <s v="Sun, Thu, Tue"/>
    <b v="0"/>
    <d v="1899-12-30T13:51:00"/>
    <d v="1899-12-30T16:13:00"/>
    <n v="142"/>
    <x v="0"/>
    <b v="1"/>
    <b v="1"/>
    <s v="Non-binary"/>
    <x v="0"/>
    <x v="1"/>
    <n v="37.5"/>
    <x v="1"/>
    <n v="0"/>
    <n v="37.5"/>
    <x v="0"/>
    <s v="San Francisco, CA"/>
    <n v="37.774900000000002"/>
    <n v="-122.4194"/>
    <d v="2022-11-11T00:00:00"/>
    <n v="8"/>
    <x v="0"/>
    <d v="2025-05-30T00:00:00"/>
    <s v="30–39"/>
    <s v="30–39"/>
  </r>
  <r>
    <n v="29"/>
    <x v="1"/>
    <n v="2"/>
    <s v="Sat, Tue"/>
    <b v="1"/>
    <d v="1899-12-30T20:00:00"/>
    <d v="1899-12-30T21:50:00"/>
    <n v="110"/>
    <x v="1"/>
    <b v="1"/>
    <b v="0"/>
    <s v="Female"/>
    <x v="1"/>
    <x v="0"/>
    <n v="30"/>
    <x v="1"/>
    <n v="0"/>
    <n v="30"/>
    <x v="1"/>
    <s v="San Diego, CA"/>
    <n v="32.715699999999998"/>
    <n v="-117.1611"/>
    <d v="2025-06-09T00:00:00"/>
    <n v="7"/>
    <x v="1"/>
    <d v="2025-07-22T00:00:00"/>
    <s v="20–29"/>
    <s v="20–29"/>
  </r>
  <r>
    <n v="36"/>
    <x v="0"/>
    <n v="3"/>
    <s v="Fri, Thu, Wed"/>
    <b v="0"/>
    <d v="1899-12-30T15:28:00"/>
    <d v="1899-12-30T17:57:00"/>
    <n v="149"/>
    <x v="1"/>
    <b v="0"/>
    <b v="0"/>
    <s v="Male"/>
    <x v="0"/>
    <x v="0"/>
    <n v="50"/>
    <x v="0"/>
    <n v="0.05"/>
    <n v="47.5"/>
    <x v="0"/>
    <s v="Long Beach, CA"/>
    <n v="33.770099999999999"/>
    <n v="-118.19370000000001"/>
    <d v="2025-03-23T00:00:00"/>
    <n v="0"/>
    <x v="0"/>
    <d v="2025-07-17T00:00:00"/>
    <s v="30–39"/>
    <s v="30–39"/>
  </r>
  <r>
    <n v="27"/>
    <x v="1"/>
    <n v="1"/>
    <s v="Wed"/>
    <b v="0"/>
    <d v="1899-12-30T11:25:00"/>
    <d v="1899-12-30T12:56:00"/>
    <n v="91"/>
    <x v="1"/>
    <b v="0"/>
    <b v="1"/>
    <s v="Female"/>
    <x v="1"/>
    <x v="0"/>
    <n v="30"/>
    <x v="3"/>
    <n v="0.15"/>
    <n v="25.5"/>
    <x v="1"/>
    <s v="Fresno, CA"/>
    <n v="36.7378"/>
    <n v="-119.7871"/>
    <d v="2024-11-13T00:00:00"/>
    <n v="0"/>
    <x v="1"/>
    <d v="2025-07-10T00:00:00"/>
    <s v="20–29"/>
    <s v="20–29"/>
  </r>
  <r>
    <n v="29"/>
    <x v="3"/>
    <n v="4"/>
    <s v="Fri, Mon, Sun, Thu"/>
    <b v="1"/>
    <d v="1899-12-30T18:15:00"/>
    <d v="1899-12-30T18:54:00"/>
    <n v="39"/>
    <x v="0"/>
    <b v="1"/>
    <b v="1"/>
    <s v="Prefer not to say"/>
    <x v="3"/>
    <x v="0"/>
    <n v="70"/>
    <x v="1"/>
    <n v="0"/>
    <n v="70"/>
    <x v="3"/>
    <s v="San Diego, CA"/>
    <n v="32.715699999999998"/>
    <n v="-117.1611"/>
    <d v="2025-05-25T00:00:00"/>
    <n v="7"/>
    <x v="0"/>
    <d v="2025-07-21T00:00:00"/>
    <s v="20–29"/>
    <s v="20–29"/>
  </r>
  <r>
    <n v="29"/>
    <x v="1"/>
    <n v="2"/>
    <s v="Sat, Tue"/>
    <b v="1"/>
    <d v="1899-12-30T20:00:00"/>
    <d v="1899-12-30T21:50:00"/>
    <n v="110"/>
    <x v="1"/>
    <b v="1"/>
    <b v="0"/>
    <s v="Female"/>
    <x v="1"/>
    <x v="0"/>
    <n v="30"/>
    <x v="1"/>
    <n v="0"/>
    <n v="30"/>
    <x v="1"/>
    <s v="San Diego, CA"/>
    <n v="32.715699999999998"/>
    <n v="-117.1611"/>
    <d v="2024-12-11T00:00:00"/>
    <n v="7"/>
    <x v="0"/>
    <d v="2025-07-12T00:00:00"/>
    <s v="20–29"/>
    <s v="20–29"/>
  </r>
  <r>
    <n v="45"/>
    <x v="2"/>
    <n v="2"/>
    <s v="Fri, Wed"/>
    <b v="1"/>
    <d v="1899-12-30T18:26:00"/>
    <d v="1899-12-30T21:21:00"/>
    <n v="175"/>
    <x v="1"/>
    <b v="1"/>
    <b v="0"/>
    <s v="Male"/>
    <x v="2"/>
    <x v="1"/>
    <n v="15"/>
    <x v="3"/>
    <n v="0.15"/>
    <n v="12.75"/>
    <x v="2"/>
    <s v="San Francisco, CA"/>
    <n v="37.774900000000002"/>
    <n v="-122.4194"/>
    <d v="2023-10-11T00:00:00"/>
    <n v="8"/>
    <x v="1"/>
    <d v="2025-06-18T00:00:00"/>
    <s v="40–49"/>
    <s v="40–49"/>
  </r>
  <r>
    <n v="24"/>
    <x v="0"/>
    <n v="5"/>
    <s v="Fri, Mon, Sat, Sun, Wed"/>
    <b v="0"/>
    <d v="1899-12-30T20:53:00"/>
    <d v="1899-12-30T23:33:00"/>
    <n v="160"/>
    <x v="1"/>
    <b v="0"/>
    <b v="0"/>
    <s v="Male"/>
    <x v="0"/>
    <x v="0"/>
    <n v="50"/>
    <x v="2"/>
    <n v="0.1"/>
    <n v="45"/>
    <x v="0"/>
    <s v="Bakersfield, CA"/>
    <n v="35.3733"/>
    <n v="-119.0187"/>
    <d v="2024-03-31T00:00:00"/>
    <n v="0"/>
    <x v="0"/>
    <d v="2025-06-27T00:00:00"/>
    <s v="20–29"/>
    <s v="20–29"/>
  </r>
  <r>
    <n v="48"/>
    <x v="0"/>
    <n v="3"/>
    <s v="Fri, Sat, Thu"/>
    <b v="1"/>
    <d v="1899-12-30T08:33:00"/>
    <d v="1899-12-30T10:13:00"/>
    <n v="100"/>
    <x v="1"/>
    <b v="1"/>
    <b v="1"/>
    <s v="Male"/>
    <x v="0"/>
    <x v="0"/>
    <n v="50"/>
    <x v="3"/>
    <n v="0.15"/>
    <n v="42.5"/>
    <x v="0"/>
    <s v="Sacramento, CA"/>
    <n v="38.581600000000002"/>
    <n v="-121.4944"/>
    <d v="2022-11-15T00:00:00"/>
    <n v="5"/>
    <x v="0"/>
    <d v="2025-05-30T00:00:00"/>
    <s v="40–49"/>
    <s v="40–49"/>
  </r>
  <r>
    <n v="22"/>
    <x v="1"/>
    <n v="1"/>
    <s v="Sun"/>
    <b v="1"/>
    <d v="1899-12-30T08:18:00"/>
    <d v="1899-12-30T11:08:00"/>
    <n v="170"/>
    <x v="0"/>
    <b v="0"/>
    <b v="0"/>
    <s v="Male"/>
    <x v="1"/>
    <x v="0"/>
    <n v="30"/>
    <x v="1"/>
    <n v="0"/>
    <n v="30"/>
    <x v="1"/>
    <s v="Oakland, CA"/>
    <n v="37.804400000000001"/>
    <n v="-122.27119999999999"/>
    <d v="2023-02-03T00:00:00"/>
    <n v="0"/>
    <x v="0"/>
    <d v="2025-06-03T00:00:00"/>
    <s v="20–29"/>
    <s v="20–29"/>
  </r>
  <r>
    <n v="41"/>
    <x v="0"/>
    <n v="1"/>
    <s v="Fri"/>
    <b v="1"/>
    <d v="1899-12-30T09:46:00"/>
    <d v="1899-12-30T11:10:00"/>
    <n v="84"/>
    <x v="1"/>
    <b v="1"/>
    <b v="0"/>
    <s v="Female"/>
    <x v="0"/>
    <x v="2"/>
    <n v="45"/>
    <x v="1"/>
    <n v="0"/>
    <n v="45"/>
    <x v="0"/>
    <s v="Long Beach, CA"/>
    <n v="33.770099999999999"/>
    <n v="-118.19370000000001"/>
    <d v="2024-06-23T00:00:00"/>
    <n v="6"/>
    <x v="1"/>
    <d v="2025-07-02T00:00:00"/>
    <s v="40–49"/>
    <s v="40–4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4-09-19T00:00:00"/>
    <n v="0"/>
    <x v="0"/>
    <d v="2025-07-07T00:00:00"/>
    <s v="20–29"/>
    <s v="20–29"/>
  </r>
  <r>
    <n v="29"/>
    <x v="1"/>
    <n v="1"/>
    <s v="Wed"/>
    <b v="1"/>
    <d v="1899-12-30T19:10:00"/>
    <d v="1899-12-30T21:32:00"/>
    <n v="142"/>
    <x v="1"/>
    <b v="1"/>
    <b v="0"/>
    <s v="Male"/>
    <x v="1"/>
    <x v="2"/>
    <n v="27"/>
    <x v="2"/>
    <n v="0.1"/>
    <n v="24.3"/>
    <x v="1"/>
    <s v="Sacramento, CA"/>
    <n v="38.581600000000002"/>
    <n v="-121.4944"/>
    <d v="2024-05-14T00:00:00"/>
    <n v="1"/>
    <x v="1"/>
    <d v="2025-06-30T00:00:00"/>
    <s v="20–29"/>
    <s v="20–2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3-10-03T00:00:00"/>
    <n v="0"/>
    <x v="0"/>
    <d v="2025-06-17T00:00:00"/>
    <s v="20–29"/>
    <s v="20–29"/>
  </r>
  <r>
    <n v="17"/>
    <x v="2"/>
    <n v="4"/>
    <s v="Mon, Sun, Thu, Tue"/>
    <b v="1"/>
    <d v="1899-12-30T19:50:00"/>
    <d v="1899-12-30T22:43:00"/>
    <n v="173"/>
    <x v="1"/>
    <b v="1"/>
    <b v="0"/>
    <s v="Female"/>
    <x v="2"/>
    <x v="0"/>
    <n v="20"/>
    <x v="1"/>
    <n v="0"/>
    <n v="20"/>
    <x v="2"/>
    <s v="Oakland, CA"/>
    <n v="37.804400000000001"/>
    <n v="-122.27119999999999"/>
    <d v="2024-09-10T00:00:00"/>
    <n v="8"/>
    <x v="1"/>
    <d v="2025-07-06T00:00:00"/>
    <s v="10–19"/>
    <s v="16–19"/>
  </r>
  <r>
    <n v="36"/>
    <x v="3"/>
    <n v="4"/>
    <s v="Mon, Sun, Thu, Wed"/>
    <b v="0"/>
    <d v="1899-12-30T12:32:00"/>
    <d v="1899-12-30T13:02:00"/>
    <n v="30"/>
    <x v="0"/>
    <b v="0"/>
    <b v="0"/>
    <s v="Female"/>
    <x v="3"/>
    <x v="0"/>
    <n v="70"/>
    <x v="3"/>
    <n v="0.15"/>
    <n v="59.5"/>
    <x v="3"/>
    <s v="Fresno, CA"/>
    <n v="36.7378"/>
    <n v="-119.7871"/>
    <d v="2023-08-28T00:00:00"/>
    <n v="0"/>
    <x v="0"/>
    <d v="2025-06-15T00:00:00"/>
    <s v="30–39"/>
    <s v="30–39"/>
  </r>
  <r>
    <n v="27"/>
    <x v="2"/>
    <n v="4"/>
    <s v="Mon, Sat, Tue, Wed"/>
    <b v="1"/>
    <d v="1899-12-30T19:31:00"/>
    <d v="1899-12-30T21:27:00"/>
    <n v="116"/>
    <x v="0"/>
    <b v="0"/>
    <b v="1"/>
    <s v="Female"/>
    <x v="2"/>
    <x v="0"/>
    <n v="20"/>
    <x v="3"/>
    <n v="0.15"/>
    <n v="17"/>
    <x v="2"/>
    <s v="Anaheim, CA"/>
    <n v="33.836599999999997"/>
    <n v="-117.9143"/>
    <d v="2024-04-12T00:00:00"/>
    <n v="0"/>
    <x v="1"/>
    <d v="2025-06-28T00:00:00"/>
    <s v="20–29"/>
    <s v="20–29"/>
  </r>
  <r>
    <n v="41"/>
    <x v="0"/>
    <n v="5"/>
    <s v="Fri, Sat, Thu, Tue, Wed"/>
    <b v="0"/>
    <d v="1899-12-30T13:53:00"/>
    <d v="1899-12-30T16:05:00"/>
    <n v="132"/>
    <x v="0"/>
    <b v="0"/>
    <b v="1"/>
    <s v="Female"/>
    <x v="0"/>
    <x v="0"/>
    <n v="50"/>
    <x v="1"/>
    <n v="0"/>
    <n v="50"/>
    <x v="0"/>
    <s v="San Francisco, CA"/>
    <n v="37.774900000000002"/>
    <n v="-122.4194"/>
    <d v="2023-11-13T00:00:00"/>
    <n v="0"/>
    <x v="1"/>
    <d v="2025-06-19T00:00:00"/>
    <s v="40–49"/>
    <s v="40–49"/>
  </r>
  <r>
    <n v="28"/>
    <x v="0"/>
    <n v="2"/>
    <s v="Thu, Tue"/>
    <b v="1"/>
    <d v="1899-12-30T20:22:00"/>
    <d v="1899-12-30T22:56:00"/>
    <n v="154"/>
    <x v="1"/>
    <b v="0"/>
    <b v="0"/>
    <s v="Other (self-described)"/>
    <x v="0"/>
    <x v="0"/>
    <n v="50"/>
    <x v="1"/>
    <n v="0"/>
    <n v="50"/>
    <x v="0"/>
    <s v="Anaheim, CA"/>
    <n v="33.836599999999997"/>
    <n v="-117.9143"/>
    <d v="2024-03-15T00:00:00"/>
    <n v="0"/>
    <x v="0"/>
    <d v="2025-06-26T00:00:00"/>
    <s v="20–29"/>
    <s v="20–29"/>
  </r>
  <r>
    <n v="29"/>
    <x v="1"/>
    <n v="3"/>
    <s v="Mon, Sat, Sun"/>
    <b v="0"/>
    <d v="1899-12-30T11:00:00"/>
    <d v="1899-12-30T12:12:00"/>
    <n v="72"/>
    <x v="1"/>
    <b v="0"/>
    <b v="0"/>
    <s v="Male"/>
    <x v="1"/>
    <x v="0"/>
    <n v="30"/>
    <x v="2"/>
    <n v="0.1"/>
    <n v="27"/>
    <x v="1"/>
    <s v="Oakland, CA"/>
    <n v="37.804400000000001"/>
    <n v="-122.27119999999999"/>
    <d v="2024-08-13T00:00:00"/>
    <n v="0"/>
    <x v="1"/>
    <d v="2025-07-05T00:00:00"/>
    <s v="20–29"/>
    <s v="20–29"/>
  </r>
  <r>
    <n v="16"/>
    <x v="3"/>
    <n v="3"/>
    <s v="Sat, Sun, Wed"/>
    <b v="1"/>
    <d v="1899-12-30T14:06:00"/>
    <d v="1899-12-30T16:15:00"/>
    <n v="129"/>
    <x v="1"/>
    <b v="0"/>
    <b v="0"/>
    <s v="Prefer not to say"/>
    <x v="3"/>
    <x v="2"/>
    <n v="63"/>
    <x v="3"/>
    <n v="0.15"/>
    <n v="53.55"/>
    <x v="3"/>
    <s v="Anaheim, CA"/>
    <n v="33.836599999999997"/>
    <n v="-117.9143"/>
    <d v="2022-09-16T00:00:00"/>
    <n v="0"/>
    <x v="0"/>
    <d v="2025-05-27T00:00:00"/>
    <s v="10–19"/>
    <s v="16–19"/>
  </r>
  <r>
    <n v="21"/>
    <x v="0"/>
    <n v="2"/>
    <s v="Mon, Wed"/>
    <b v="1"/>
    <d v="1899-12-30T18:40:00"/>
    <d v="1899-12-30T21:21:00"/>
    <n v="161"/>
    <x v="1"/>
    <b v="1"/>
    <b v="1"/>
    <s v="Prefer not to say"/>
    <x v="0"/>
    <x v="0"/>
    <n v="50"/>
    <x v="0"/>
    <n v="0.05"/>
    <n v="47.5"/>
    <x v="0"/>
    <s v="Los Angeles, CA"/>
    <n v="34.052199999999999"/>
    <n v="-118.2437"/>
    <d v="2023-04-01T00:00:00"/>
    <n v="6"/>
    <x v="0"/>
    <d v="2025-06-07T00:00:00"/>
    <s v="20–29"/>
    <s v="20–2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5-01-24T00:00:00"/>
    <n v="0"/>
    <x v="0"/>
    <d v="2025-07-14T00:00:00"/>
    <s v="30–39"/>
    <s v="30–39"/>
  </r>
  <r>
    <n v="14"/>
    <x v="1"/>
    <n v="3"/>
    <s v="Sat, Sun, Wed"/>
    <b v="0"/>
    <d v="1899-12-30T10:11:00"/>
    <d v="1899-12-30T11:56:00"/>
    <n v="105"/>
    <x v="1"/>
    <b v="0"/>
    <b v="1"/>
    <s v="Male"/>
    <x v="1"/>
    <x v="0"/>
    <n v="30"/>
    <x v="1"/>
    <n v="0"/>
    <n v="30"/>
    <x v="1"/>
    <s v="San Francisco, CA"/>
    <n v="37.774900000000002"/>
    <n v="-122.4194"/>
    <d v="2022-12-11T00:00:00"/>
    <n v="0"/>
    <x v="1"/>
    <d v="2025-05-31T00:00:00"/>
    <s v="10–19"/>
    <s v="Under 16"/>
  </r>
  <r>
    <n v="45"/>
    <x v="1"/>
    <n v="2"/>
    <s v="Mon, Wed"/>
    <b v="1"/>
    <d v="1899-12-30T14:20:00"/>
    <d v="1899-12-30T17:20:00"/>
    <n v="180"/>
    <x v="1"/>
    <b v="1"/>
    <b v="1"/>
    <s v="Female"/>
    <x v="1"/>
    <x v="1"/>
    <n v="22.5"/>
    <x v="2"/>
    <n v="0.1"/>
    <n v="20.25"/>
    <x v="1"/>
    <s v="Anaheim, CA"/>
    <n v="33.836599999999997"/>
    <n v="-117.9143"/>
    <d v="2024-01-20T00:00:00"/>
    <n v="4"/>
    <x v="1"/>
    <d v="2025-06-23T00:00:00"/>
    <s v="40–49"/>
    <s v="40–49"/>
  </r>
  <r>
    <n v="45"/>
    <x v="3"/>
    <n v="4"/>
    <s v="Sat, Sun, Thu, Tue"/>
    <b v="0"/>
    <d v="1899-12-30T11:19:00"/>
    <d v="1899-12-30T12:16:00"/>
    <n v="57"/>
    <x v="0"/>
    <b v="1"/>
    <b v="1"/>
    <s v="Female"/>
    <x v="3"/>
    <x v="0"/>
    <n v="70"/>
    <x v="1"/>
    <n v="0"/>
    <n v="70"/>
    <x v="3"/>
    <s v="Fresno, CA"/>
    <n v="36.7378"/>
    <n v="-119.7871"/>
    <d v="2022-11-13T00:00:00"/>
    <n v="3"/>
    <x v="1"/>
    <d v="2025-05-30T00:00:00"/>
    <s v="40–49"/>
    <s v="40–49"/>
  </r>
  <r>
    <n v="24"/>
    <x v="1"/>
    <n v="3"/>
    <s v="Fri, Mon, Sun"/>
    <b v="0"/>
    <d v="1899-12-30T20:08:00"/>
    <d v="1899-12-30T22:44:00"/>
    <n v="156"/>
    <x v="1"/>
    <b v="0"/>
    <b v="0"/>
    <s v="Male"/>
    <x v="1"/>
    <x v="0"/>
    <n v="30"/>
    <x v="1"/>
    <n v="0"/>
    <n v="30"/>
    <x v="1"/>
    <s v="San Diego, CA"/>
    <n v="32.715699999999998"/>
    <n v="-117.1611"/>
    <d v="2023-02-22T00:00:00"/>
    <n v="0"/>
    <x v="1"/>
    <d v="2025-06-05T00:00:00"/>
    <s v="20–29"/>
    <s v="20–29"/>
  </r>
  <r>
    <n v="34"/>
    <x v="2"/>
    <n v="2"/>
    <s v="Mon, Sun"/>
    <b v="0"/>
    <d v="1899-12-30T19:17:00"/>
    <d v="1899-12-30T20:30:00"/>
    <n v="73"/>
    <x v="0"/>
    <b v="1"/>
    <b v="1"/>
    <s v="Male"/>
    <x v="2"/>
    <x v="0"/>
    <n v="20"/>
    <x v="1"/>
    <n v="0"/>
    <n v="20"/>
    <x v="2"/>
    <s v="Bakersfield, CA"/>
    <n v="35.3733"/>
    <n v="-119.0187"/>
    <d v="2024-03-27T00:00:00"/>
    <n v="3"/>
    <x v="1"/>
    <d v="2025-06-27T00:00:00"/>
    <s v="30–39"/>
    <s v="30–39"/>
  </r>
  <r>
    <n v="47"/>
    <x v="0"/>
    <n v="2"/>
    <s v="Fri, Tue"/>
    <b v="1"/>
    <d v="1899-12-30T16:41:00"/>
    <d v="1899-12-30T18:02:00"/>
    <n v="81"/>
    <x v="1"/>
    <b v="1"/>
    <b v="1"/>
    <s v="Male"/>
    <x v="0"/>
    <x v="1"/>
    <n v="37.5"/>
    <x v="3"/>
    <n v="0.15"/>
    <n v="31.875"/>
    <x v="0"/>
    <s v="Sacramento, CA"/>
    <n v="38.581600000000002"/>
    <n v="-121.4944"/>
    <d v="2025-05-30T00:00:00"/>
    <n v="8"/>
    <x v="0"/>
    <d v="2025-07-21T00:00:00"/>
    <s v="40–49"/>
    <s v="40–49"/>
  </r>
  <r>
    <n v="32"/>
    <x v="3"/>
    <n v="2"/>
    <s v="Fri, Sun"/>
    <b v="1"/>
    <d v="1899-12-30T13:19:00"/>
    <d v="1899-12-30T14:52:00"/>
    <n v="93"/>
    <x v="1"/>
    <b v="1"/>
    <b v="1"/>
    <s v="Female"/>
    <x v="3"/>
    <x v="0"/>
    <n v="70"/>
    <x v="2"/>
    <n v="0.1"/>
    <n v="63"/>
    <x v="3"/>
    <s v="Bakersfield, CA"/>
    <n v="35.3733"/>
    <n v="-119.0187"/>
    <d v="2024-09-09T00:00:00"/>
    <n v="6"/>
    <x v="1"/>
    <d v="2025-07-06T00:00:00"/>
    <s v="30–39"/>
    <s v="30–39"/>
  </r>
  <r>
    <n v="39"/>
    <x v="1"/>
    <n v="2"/>
    <s v="Mon, Thu"/>
    <b v="0"/>
    <d v="1899-12-30T17:57:00"/>
    <d v="1899-12-30T19:45:00"/>
    <n v="108"/>
    <x v="1"/>
    <b v="1"/>
    <b v="1"/>
    <s v="Non-binary"/>
    <x v="1"/>
    <x v="0"/>
    <n v="30"/>
    <x v="1"/>
    <n v="0"/>
    <n v="30"/>
    <x v="1"/>
    <s v="Oakland, CA"/>
    <n v="37.804400000000001"/>
    <n v="-122.27119999999999"/>
    <d v="2023-11-24T00:00:00"/>
    <n v="2"/>
    <x v="1"/>
    <d v="2025-06-20T00:00:00"/>
    <s v="30–39"/>
    <s v="30–39"/>
  </r>
  <r>
    <n v="35"/>
    <x v="1"/>
    <n v="3"/>
    <s v="Sun, Tue, Wed"/>
    <b v="0"/>
    <d v="1899-12-30T15:02:00"/>
    <d v="1899-12-30T16:29:00"/>
    <n v="87"/>
    <x v="0"/>
    <b v="0"/>
    <b v="0"/>
    <s v="Male"/>
    <x v="1"/>
    <x v="0"/>
    <n v="30"/>
    <x v="2"/>
    <n v="0.1"/>
    <n v="27"/>
    <x v="1"/>
    <s v="Bakersfield, CA"/>
    <n v="35.3733"/>
    <n v="-119.0187"/>
    <d v="2023-08-18T00:00:00"/>
    <n v="0"/>
    <x v="1"/>
    <d v="2025-06-14T00:00:00"/>
    <s v="30–39"/>
    <s v="30–39"/>
  </r>
  <r>
    <n v="17"/>
    <x v="2"/>
    <n v="1"/>
    <s v="Fri"/>
    <b v="0"/>
    <d v="1899-12-30T16:59:00"/>
    <d v="1899-12-30T18:41:00"/>
    <n v="102"/>
    <x v="1"/>
    <b v="0"/>
    <b v="0"/>
    <s v="Male"/>
    <x v="2"/>
    <x v="0"/>
    <n v="20"/>
    <x v="0"/>
    <n v="0.05"/>
    <n v="19"/>
    <x v="2"/>
    <s v="Fresno, CA"/>
    <n v="36.7378"/>
    <n v="-119.7871"/>
    <d v="2024-09-21T00:00:00"/>
    <n v="0"/>
    <x v="1"/>
    <d v="2025-07-07T00:00:00"/>
    <s v="10–19"/>
    <s v="16–19"/>
  </r>
  <r>
    <n v="32"/>
    <x v="2"/>
    <n v="3"/>
    <s v="Sat, Sun, Wed"/>
    <b v="0"/>
    <d v="1899-12-30T10:38:00"/>
    <d v="1899-12-30T13:05:00"/>
    <n v="147"/>
    <x v="1"/>
    <b v="0"/>
    <b v="0"/>
    <s v="Male"/>
    <x v="2"/>
    <x v="0"/>
    <n v="20"/>
    <x v="0"/>
    <n v="0.05"/>
    <n v="19"/>
    <x v="2"/>
    <s v="Fresno, CA"/>
    <n v="36.7378"/>
    <n v="-119.7871"/>
    <d v="2025-01-25T00:00:00"/>
    <n v="0"/>
    <x v="1"/>
    <d v="2025-07-14T00:00:00"/>
    <s v="30–39"/>
    <s v="30–39"/>
  </r>
  <r>
    <n v="33"/>
    <x v="1"/>
    <n v="1"/>
    <s v="Wed"/>
    <b v="1"/>
    <d v="1899-12-30T09:04:00"/>
    <d v="1899-12-30T09:47:00"/>
    <n v="43"/>
    <x v="1"/>
    <b v="0"/>
    <b v="0"/>
    <s v="Male"/>
    <x v="1"/>
    <x v="0"/>
    <n v="30"/>
    <x v="1"/>
    <n v="0"/>
    <n v="30"/>
    <x v="1"/>
    <s v="Long Beach, CA"/>
    <n v="33.770099999999999"/>
    <n v="-118.19370000000001"/>
    <d v="2023-01-15T00:00:00"/>
    <n v="0"/>
    <x v="1"/>
    <d v="2025-06-02T00:00:00"/>
    <s v="30–39"/>
    <s v="30–39"/>
  </r>
  <r>
    <n v="32"/>
    <x v="2"/>
    <n v="3"/>
    <s v="Sat, Sun, Wed"/>
    <b v="0"/>
    <d v="1899-12-30T10:38:00"/>
    <d v="1899-12-30T13:05:00"/>
    <n v="147"/>
    <x v="1"/>
    <b v="0"/>
    <b v="0"/>
    <s v="Male"/>
    <x v="2"/>
    <x v="0"/>
    <n v="20"/>
    <x v="0"/>
    <n v="0.05"/>
    <n v="19"/>
    <x v="2"/>
    <s v="Fresno, CA"/>
    <n v="36.7378"/>
    <n v="-119.7871"/>
    <d v="2022-08-09T00:00:00"/>
    <n v="0"/>
    <x v="0"/>
    <d v="2025-05-24T00:00:00"/>
    <s v="30–39"/>
    <s v="30–39"/>
  </r>
  <r>
    <n v="20"/>
    <x v="1"/>
    <n v="1"/>
    <s v="Tue"/>
    <b v="1"/>
    <d v="1899-12-30T15:06:00"/>
    <d v="1899-12-30T16:40:00"/>
    <n v="94"/>
    <x v="0"/>
    <b v="0"/>
    <b v="0"/>
    <s v="Female"/>
    <x v="1"/>
    <x v="1"/>
    <n v="22.5"/>
    <x v="2"/>
    <n v="0.1"/>
    <n v="20.25"/>
    <x v="1"/>
    <s v="San Francisco, CA"/>
    <n v="37.774900000000002"/>
    <n v="-122.4194"/>
    <d v="2023-12-11T00:00:00"/>
    <n v="0"/>
    <x v="1"/>
    <d v="2025-06-21T00:00:00"/>
    <s v="20–29"/>
    <s v="20–29"/>
  </r>
  <r>
    <n v="37"/>
    <x v="3"/>
    <n v="1"/>
    <s v="Wed"/>
    <b v="1"/>
    <d v="1899-12-30T15:26:00"/>
    <d v="1899-12-30T16:15:00"/>
    <n v="49"/>
    <x v="1"/>
    <b v="0"/>
    <b v="0"/>
    <s v="Female"/>
    <x v="3"/>
    <x v="0"/>
    <n v="70"/>
    <x v="0"/>
    <n v="0.05"/>
    <n v="66.5"/>
    <x v="3"/>
    <s v="San Diego, CA"/>
    <n v="32.715699999999998"/>
    <n v="-117.1611"/>
    <d v="2024-12-22T00:00:00"/>
    <n v="0"/>
    <x v="0"/>
    <d v="2025-07-12T00:00:00"/>
    <s v="30–39"/>
    <s v="30–39"/>
  </r>
  <r>
    <n v="18"/>
    <x v="0"/>
    <n v="3"/>
    <s v="Fri, Mon, Sun"/>
    <b v="0"/>
    <d v="1899-12-30T13:26:00"/>
    <d v="1899-12-30T16:15:00"/>
    <n v="169"/>
    <x v="0"/>
    <b v="0"/>
    <b v="0"/>
    <s v="Prefer not to say"/>
    <x v="0"/>
    <x v="0"/>
    <n v="50"/>
    <x v="3"/>
    <n v="0.15"/>
    <n v="42.5"/>
    <x v="0"/>
    <s v="Long Beach, CA"/>
    <n v="33.770099999999999"/>
    <n v="-118.19370000000001"/>
    <d v="2024-09-05T00:00:00"/>
    <n v="0"/>
    <x v="0"/>
    <d v="2025-07-06T00:00:00"/>
    <s v="10–19"/>
    <s v="16–19"/>
  </r>
  <r>
    <n v="43"/>
    <x v="0"/>
    <n v="4"/>
    <s v="Fri, Mon, Sat, Tue"/>
    <b v="1"/>
    <d v="1899-12-30T18:41:00"/>
    <d v="1899-12-30T21:36:00"/>
    <n v="175"/>
    <x v="0"/>
    <b v="1"/>
    <b v="0"/>
    <s v="Female"/>
    <x v="0"/>
    <x v="1"/>
    <n v="37.5"/>
    <x v="3"/>
    <n v="0.15"/>
    <n v="31.875"/>
    <x v="0"/>
    <s v="Anaheim, CA"/>
    <n v="33.836599999999997"/>
    <n v="-117.9143"/>
    <d v="2025-06-03T00:00:00"/>
    <n v="5"/>
    <x v="0"/>
    <d v="2025-07-21T00:00:00"/>
    <s v="40–49"/>
    <s v="40–4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2-10-23T00:00:00"/>
    <n v="0"/>
    <x v="1"/>
    <d v="2025-05-29T00:00:00"/>
    <s v="20–29"/>
    <s v="20–29"/>
  </r>
  <r>
    <n v="25"/>
    <x v="1"/>
    <n v="3"/>
    <s v="Fri, Sun, Tue"/>
    <b v="0"/>
    <d v="1899-12-30T15:21:00"/>
    <d v="1899-12-30T16:26:00"/>
    <n v="65"/>
    <x v="0"/>
    <b v="1"/>
    <b v="0"/>
    <s v="Prefer not to say"/>
    <x v="1"/>
    <x v="0"/>
    <n v="30"/>
    <x v="0"/>
    <n v="0.05"/>
    <n v="28.5"/>
    <x v="1"/>
    <s v="Sacramento, CA"/>
    <n v="38.581600000000002"/>
    <n v="-121.4944"/>
    <d v="2025-02-17T00:00:00"/>
    <n v="7"/>
    <x v="0"/>
    <d v="2025-07-15T00:00:00"/>
    <s v="20–29"/>
    <s v="20–29"/>
  </r>
  <r>
    <n v="46"/>
    <x v="2"/>
    <n v="5"/>
    <s v="Fri, Sun, Thu, Tue, Wed"/>
    <b v="1"/>
    <d v="1899-12-30T11:18:00"/>
    <d v="1899-12-30T14:06:00"/>
    <n v="168"/>
    <x v="1"/>
    <b v="1"/>
    <b v="1"/>
    <s v="Male"/>
    <x v="2"/>
    <x v="1"/>
    <n v="15"/>
    <x v="2"/>
    <n v="0.1"/>
    <n v="13.5"/>
    <x v="2"/>
    <s v="San Francisco, CA"/>
    <n v="37.774900000000002"/>
    <n v="-122.4194"/>
    <d v="2023-10-18T00:00:00"/>
    <n v="5"/>
    <x v="1"/>
    <d v="2025-06-18T00:00:00"/>
    <s v="40–49"/>
    <s v="40–49"/>
  </r>
  <r>
    <n v="43"/>
    <x v="1"/>
    <n v="5"/>
    <s v="Mon, Sat, Sun, Tue, Wed"/>
    <b v="0"/>
    <d v="1899-12-30T12:50:00"/>
    <d v="1899-12-30T15:20:00"/>
    <n v="150"/>
    <x v="1"/>
    <b v="1"/>
    <b v="1"/>
    <s v="Male"/>
    <x v="1"/>
    <x v="2"/>
    <n v="27"/>
    <x v="1"/>
    <n v="0"/>
    <n v="27"/>
    <x v="1"/>
    <s v="San Francisco, CA"/>
    <n v="37.774900000000002"/>
    <n v="-122.4194"/>
    <d v="2024-09-04T00:00:00"/>
    <n v="5"/>
    <x v="1"/>
    <d v="2025-07-06T00:00:00"/>
    <s v="40–49"/>
    <s v="40–49"/>
  </r>
  <r>
    <n v="46"/>
    <x v="1"/>
    <n v="5"/>
    <s v="Fri, Mon, Sat, Thu, Tue"/>
    <b v="1"/>
    <d v="1899-12-30T12:19:00"/>
    <d v="1899-12-30T12:49:00"/>
    <n v="30"/>
    <x v="0"/>
    <b v="1"/>
    <b v="1"/>
    <s v="Male"/>
    <x v="1"/>
    <x v="0"/>
    <n v="30"/>
    <x v="1"/>
    <n v="0"/>
    <n v="30"/>
    <x v="1"/>
    <s v="San Francisco, CA"/>
    <n v="37.774900000000002"/>
    <n v="-122.4194"/>
    <d v="2023-11-10T00:00:00"/>
    <n v="8"/>
    <x v="1"/>
    <d v="2025-06-19T00:00:00"/>
    <s v="40–49"/>
    <s v="40–49"/>
  </r>
  <r>
    <n v="19"/>
    <x v="0"/>
    <n v="2"/>
    <s v="Mon, Wed"/>
    <b v="1"/>
    <d v="1899-12-30T10:42:00"/>
    <d v="1899-12-30T13:29:00"/>
    <n v="167"/>
    <x v="0"/>
    <b v="1"/>
    <b v="0"/>
    <s v="Male"/>
    <x v="0"/>
    <x v="0"/>
    <n v="50"/>
    <x v="2"/>
    <n v="0.1"/>
    <n v="45"/>
    <x v="0"/>
    <s v="Sacramento, CA"/>
    <n v="38.581600000000002"/>
    <n v="-121.4944"/>
    <d v="2023-07-30T00:00:00"/>
    <n v="4"/>
    <x v="0"/>
    <d v="2025-06-13T00:00:00"/>
    <s v="10–19"/>
    <s v="16–19"/>
  </r>
  <r>
    <n v="47"/>
    <x v="3"/>
    <n v="2"/>
    <s v="Fri, Tue"/>
    <b v="1"/>
    <d v="1899-12-30T19:19:00"/>
    <d v="1899-12-30T20:50:00"/>
    <n v="91"/>
    <x v="0"/>
    <b v="0"/>
    <b v="0"/>
    <s v="Non-binary"/>
    <x v="3"/>
    <x v="1"/>
    <n v="52.5"/>
    <x v="1"/>
    <n v="0"/>
    <n v="52.5"/>
    <x v="3"/>
    <s v="San Diego, CA"/>
    <n v="32.715699999999998"/>
    <n v="-117.1611"/>
    <d v="2023-01-21T00:00:00"/>
    <n v="0"/>
    <x v="0"/>
    <d v="2025-06-03T00:00:00"/>
    <s v="40–49"/>
    <s v="40–49"/>
  </r>
  <r>
    <n v="44"/>
    <x v="3"/>
    <n v="5"/>
    <s v="Fri, Sun, Thu, Tue, Wed"/>
    <b v="1"/>
    <d v="1899-12-30T20:04:00"/>
    <d v="1899-12-30T22:29:00"/>
    <n v="145"/>
    <x v="0"/>
    <b v="1"/>
    <b v="1"/>
    <s v="Female"/>
    <x v="3"/>
    <x v="0"/>
    <n v="70"/>
    <x v="3"/>
    <n v="0.15"/>
    <n v="59.5"/>
    <x v="3"/>
    <s v="San Francisco, CA"/>
    <n v="37.774900000000002"/>
    <n v="-122.4194"/>
    <d v="2024-11-15T00:00:00"/>
    <n v="5"/>
    <x v="0"/>
    <d v="2025-07-10T00:00:00"/>
    <s v="40–49"/>
    <s v="40–49"/>
  </r>
  <r>
    <n v="47"/>
    <x v="2"/>
    <n v="2"/>
    <s v="Mon, Sat"/>
    <b v="1"/>
    <d v="1899-12-30T14:42:00"/>
    <d v="1899-12-30T16:08:00"/>
    <n v="86"/>
    <x v="0"/>
    <b v="1"/>
    <b v="1"/>
    <s v="Prefer not to say"/>
    <x v="2"/>
    <x v="2"/>
    <n v="18"/>
    <x v="1"/>
    <n v="0"/>
    <n v="18"/>
    <x v="2"/>
    <s v="Bakersfield, CA"/>
    <n v="35.3733"/>
    <n v="-119.0187"/>
    <d v="2025-06-11T00:00:00"/>
    <n v="3"/>
    <x v="1"/>
    <d v="2025-07-22T00:00:00"/>
    <s v="40–49"/>
    <s v="40–49"/>
  </r>
  <r>
    <n v="16"/>
    <x v="2"/>
    <n v="3"/>
    <s v="Mon, Sat, Thu"/>
    <b v="0"/>
    <d v="1899-12-30T15:10:00"/>
    <d v="1899-12-30T16:06:00"/>
    <n v="56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5-01-28T00:00:00"/>
    <n v="4"/>
    <x v="1"/>
    <d v="2025-07-14T00:00:00"/>
    <s v="10–19"/>
    <s v="16–19"/>
  </r>
  <r>
    <n v="24"/>
    <x v="2"/>
    <n v="2"/>
    <s v="Sun, Tue"/>
    <b v="1"/>
    <d v="1899-12-30T18:58:00"/>
    <d v="1899-12-30T19:40:00"/>
    <n v="42"/>
    <x v="1"/>
    <b v="0"/>
    <b v="1"/>
    <s v="Female"/>
    <x v="2"/>
    <x v="2"/>
    <n v="18"/>
    <x v="2"/>
    <n v="0.1"/>
    <n v="16.2"/>
    <x v="2"/>
    <s v="Los Angeles, CA"/>
    <n v="34.052199999999999"/>
    <n v="-118.2437"/>
    <d v="2022-11-07T00:00:00"/>
    <n v="0"/>
    <x v="0"/>
    <d v="2025-05-29T00:00:00"/>
    <s v="20–29"/>
    <s v="20–29"/>
  </r>
  <r>
    <n v="23"/>
    <x v="0"/>
    <n v="1"/>
    <s v="Tue"/>
    <b v="0"/>
    <d v="1899-12-30T16:54:00"/>
    <d v="1899-12-30T19:49:00"/>
    <n v="175"/>
    <x v="1"/>
    <b v="0"/>
    <b v="0"/>
    <s v="Female"/>
    <x v="0"/>
    <x v="0"/>
    <n v="50"/>
    <x v="1"/>
    <n v="0"/>
    <n v="50"/>
    <x v="0"/>
    <s v="Bakersfield, CA"/>
    <n v="35.3733"/>
    <n v="-119.0187"/>
    <d v="2022-12-05T00:00:00"/>
    <n v="0"/>
    <x v="0"/>
    <d v="2025-05-31T00:00:00"/>
    <s v="20–29"/>
    <s v="20–29"/>
  </r>
  <r>
    <n v="31"/>
    <x v="0"/>
    <n v="4"/>
    <s v="Fri, Mon, Sat, Thu"/>
    <b v="0"/>
    <d v="1899-12-30T11:54:00"/>
    <d v="1899-12-30T13:21:00"/>
    <n v="87"/>
    <x v="0"/>
    <b v="0"/>
    <b v="1"/>
    <s v="Male"/>
    <x v="0"/>
    <x v="1"/>
    <n v="37.5"/>
    <x v="1"/>
    <n v="0"/>
    <n v="37.5"/>
    <x v="0"/>
    <s v="Sacramento, CA"/>
    <n v="38.581600000000002"/>
    <n v="-121.4944"/>
    <d v="2023-09-25T00:00:00"/>
    <n v="0"/>
    <x v="0"/>
    <d v="2025-06-17T00:00:00"/>
    <s v="30–39"/>
    <s v="30–39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3-09-22T00:00:00"/>
    <n v="1"/>
    <x v="1"/>
    <d v="2025-06-16T00:00:00"/>
    <s v="10–19"/>
    <s v="Under 16"/>
  </r>
  <r>
    <n v="39"/>
    <x v="2"/>
    <n v="2"/>
    <s v="Thu, Wed"/>
    <b v="1"/>
    <d v="1899-12-30T08:25:00"/>
    <d v="1899-12-30T10:10:00"/>
    <n v="105"/>
    <x v="0"/>
    <b v="1"/>
    <b v="0"/>
    <s v="Female"/>
    <x v="2"/>
    <x v="0"/>
    <n v="20"/>
    <x v="0"/>
    <n v="0.05"/>
    <n v="19"/>
    <x v="2"/>
    <s v="Bakersfield, CA"/>
    <n v="35.3733"/>
    <n v="-119.0187"/>
    <d v="2023-07-15T00:00:00"/>
    <n v="5"/>
    <x v="1"/>
    <d v="2025-06-13T00:00:00"/>
    <s v="30–39"/>
    <s v="30–39"/>
  </r>
  <r>
    <n v="32"/>
    <x v="1"/>
    <n v="5"/>
    <s v="Fri, Mon, Thu, Tue, Wed"/>
    <b v="1"/>
    <d v="1899-12-30T10:17:00"/>
    <d v="1899-12-30T13:05:00"/>
    <n v="168"/>
    <x v="1"/>
    <b v="0"/>
    <b v="0"/>
    <s v="Female"/>
    <x v="1"/>
    <x v="2"/>
    <n v="27"/>
    <x v="1"/>
    <n v="0"/>
    <n v="27"/>
    <x v="1"/>
    <s v="Sacramento, CA"/>
    <n v="38.581600000000002"/>
    <n v="-121.4944"/>
    <d v="2024-12-18T00:00:00"/>
    <n v="0"/>
    <x v="0"/>
    <d v="2025-07-12T00:00:00"/>
    <s v="30–39"/>
    <s v="30–39"/>
  </r>
  <r>
    <n v="22"/>
    <x v="1"/>
    <n v="5"/>
    <s v="Fri, Sat, Sun, Tue, Wed"/>
    <b v="1"/>
    <d v="1899-12-30T08:13:00"/>
    <d v="1899-12-30T09:46:00"/>
    <n v="93"/>
    <x v="0"/>
    <b v="0"/>
    <b v="1"/>
    <s v="Male"/>
    <x v="1"/>
    <x v="0"/>
    <n v="30"/>
    <x v="0"/>
    <n v="0.05"/>
    <n v="28.5"/>
    <x v="1"/>
    <s v="San Jose, CA"/>
    <n v="37.338200000000001"/>
    <n v="-121.88630000000001"/>
    <d v="2022-10-23T00:00:00"/>
    <n v="0"/>
    <x v="0"/>
    <d v="2025-05-29T00:00:00"/>
    <s v="20–29"/>
    <s v="20–29"/>
  </r>
  <r>
    <n v="32"/>
    <x v="1"/>
    <n v="3"/>
    <s v="Fri, Sun, Thu"/>
    <b v="0"/>
    <d v="1899-12-30T14:23:00"/>
    <d v="1899-12-30T15:48:00"/>
    <n v="85"/>
    <x v="1"/>
    <b v="0"/>
    <b v="0"/>
    <s v="Prefer not to say"/>
    <x v="1"/>
    <x v="0"/>
    <n v="30"/>
    <x v="1"/>
    <n v="0"/>
    <n v="30"/>
    <x v="1"/>
    <s v="Long Beach, CA"/>
    <n v="33.770099999999999"/>
    <n v="-118.19370000000001"/>
    <d v="2024-04-03T00:00:00"/>
    <n v="0"/>
    <x v="1"/>
    <d v="2025-06-27T00:00:00"/>
    <s v="30–39"/>
    <s v="30–39"/>
  </r>
  <r>
    <n v="19"/>
    <x v="2"/>
    <n v="2"/>
    <s v="Fri, Sat"/>
    <b v="1"/>
    <d v="1899-12-30T20:23:00"/>
    <d v="1899-12-30T21:49:00"/>
    <n v="86"/>
    <x v="0"/>
    <b v="1"/>
    <b v="0"/>
    <s v="Male"/>
    <x v="2"/>
    <x v="1"/>
    <n v="15"/>
    <x v="2"/>
    <n v="0.1"/>
    <n v="13.5"/>
    <x v="2"/>
    <s v="San Diego, CA"/>
    <n v="32.715699999999998"/>
    <n v="-117.1611"/>
    <d v="2024-05-10T00:00:00"/>
    <n v="5"/>
    <x v="1"/>
    <d v="2025-06-30T00:00:00"/>
    <s v="10–19"/>
    <s v="16–19"/>
  </r>
  <r>
    <n v="30"/>
    <x v="1"/>
    <n v="1"/>
    <s v="Sun"/>
    <b v="1"/>
    <d v="1899-12-30T08:38:00"/>
    <d v="1899-12-30T10:08:00"/>
    <n v="90"/>
    <x v="0"/>
    <b v="1"/>
    <b v="1"/>
    <s v="Other (self-described)"/>
    <x v="1"/>
    <x v="0"/>
    <n v="30"/>
    <x v="1"/>
    <n v="0"/>
    <n v="30"/>
    <x v="1"/>
    <s v="San Francisco, CA"/>
    <n v="37.774900000000002"/>
    <n v="-122.4194"/>
    <d v="2023-12-18T00:00:00"/>
    <n v="1"/>
    <x v="1"/>
    <d v="2025-06-21T00:00:00"/>
    <s v="30–39"/>
    <s v="30–39"/>
  </r>
  <r>
    <n v="13"/>
    <x v="3"/>
    <n v="5"/>
    <s v="Fri, Mon, Sat, Sun, Thu"/>
    <b v="1"/>
    <d v="1899-12-30T17:13:00"/>
    <d v="1899-12-30T19:00:00"/>
    <n v="107"/>
    <x v="0"/>
    <b v="0"/>
    <b v="0"/>
    <s v="Male"/>
    <x v="3"/>
    <x v="0"/>
    <n v="70"/>
    <x v="1"/>
    <n v="0"/>
    <n v="70"/>
    <x v="3"/>
    <s v="Bakersfield, CA"/>
    <n v="35.3733"/>
    <n v="-119.0187"/>
    <d v="2025-05-03T00:00:00"/>
    <n v="0"/>
    <x v="1"/>
    <d v="2025-07-20T00:00:00"/>
    <s v="10–19"/>
    <s v="Under 16"/>
  </r>
  <r>
    <n v="36"/>
    <x v="2"/>
    <n v="1"/>
    <s v="Tue"/>
    <b v="1"/>
    <d v="1899-12-30T20:44:00"/>
    <d v="1899-12-30T22:22:00"/>
    <n v="98"/>
    <x v="1"/>
    <b v="1"/>
    <b v="1"/>
    <s v="Female"/>
    <x v="2"/>
    <x v="1"/>
    <n v="15"/>
    <x v="1"/>
    <n v="0"/>
    <n v="15"/>
    <x v="2"/>
    <s v="Oakland, CA"/>
    <n v="37.804400000000001"/>
    <n v="-122.27119999999999"/>
    <d v="2024-12-27T00:00:00"/>
    <n v="5"/>
    <x v="1"/>
    <d v="2025-07-13T00:00:00"/>
    <s v="30–39"/>
    <s v="30–39"/>
  </r>
  <r>
    <n v="35"/>
    <x v="0"/>
    <n v="2"/>
    <s v="Sun, Wed"/>
    <b v="0"/>
    <d v="1899-12-30T19:50:00"/>
    <d v="1899-12-30T22:24:00"/>
    <n v="154"/>
    <x v="0"/>
    <b v="1"/>
    <b v="1"/>
    <s v="Female"/>
    <x v="0"/>
    <x v="0"/>
    <n v="50"/>
    <x v="3"/>
    <n v="0.15"/>
    <n v="42.5"/>
    <x v="0"/>
    <s v="San Francisco, CA"/>
    <n v="37.774900000000002"/>
    <n v="-122.4194"/>
    <d v="2023-04-28T00:00:00"/>
    <n v="1"/>
    <x v="1"/>
    <d v="2025-06-08T00:00:00"/>
    <s v="30–39"/>
    <s v="30–39"/>
  </r>
  <r>
    <n v="30"/>
    <x v="1"/>
    <n v="3"/>
    <s v="Fri, Thu, Tue"/>
    <b v="0"/>
    <d v="1899-12-30T08:05:00"/>
    <d v="1899-12-30T09:06:00"/>
    <n v="61"/>
    <x v="1"/>
    <b v="1"/>
    <b v="0"/>
    <s v="Prefer not to say"/>
    <x v="1"/>
    <x v="1"/>
    <n v="22.5"/>
    <x v="0"/>
    <n v="0.05"/>
    <n v="21.375"/>
    <x v="1"/>
    <s v="Long Beach, CA"/>
    <n v="33.770099999999999"/>
    <n v="-118.19370000000001"/>
    <d v="2025-03-26T00:00:00"/>
    <n v="4"/>
    <x v="1"/>
    <d v="2025-07-18T00:00:00"/>
    <s v="30–39"/>
    <s v="30–39"/>
  </r>
  <r>
    <n v="29"/>
    <x v="3"/>
    <n v="3"/>
    <s v="Sat, Tue, Wed"/>
    <b v="0"/>
    <d v="1899-12-30T10:28:00"/>
    <d v="1899-12-30T11:36:00"/>
    <n v="68"/>
    <x v="0"/>
    <b v="1"/>
    <b v="1"/>
    <s v="Male"/>
    <x v="3"/>
    <x v="0"/>
    <n v="70"/>
    <x v="1"/>
    <n v="0"/>
    <n v="70"/>
    <x v="3"/>
    <s v="San Francisco, CA"/>
    <n v="37.774900000000002"/>
    <n v="-122.4194"/>
    <d v="2023-09-19T00:00:00"/>
    <n v="3"/>
    <x v="0"/>
    <d v="2025-06-16T00:00:00"/>
    <s v="20–29"/>
    <s v="20–29"/>
  </r>
  <r>
    <n v="47"/>
    <x v="2"/>
    <n v="2"/>
    <s v="Mon, Tue"/>
    <b v="1"/>
    <d v="1899-12-30T19:06:00"/>
    <d v="1899-12-30T19:43:00"/>
    <n v="37"/>
    <x v="0"/>
    <b v="1"/>
    <b v="1"/>
    <s v="Non-binary"/>
    <x v="2"/>
    <x v="0"/>
    <n v="20"/>
    <x v="1"/>
    <n v="0"/>
    <n v="20"/>
    <x v="2"/>
    <s v="San Francisco, CA"/>
    <n v="37.774900000000002"/>
    <n v="-122.4194"/>
    <d v="2024-10-04T00:00:00"/>
    <n v="1"/>
    <x v="1"/>
    <d v="2025-07-08T00:00:00"/>
    <s v="40–49"/>
    <s v="40–4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4-05-04T00:00:00"/>
    <n v="0"/>
    <x v="0"/>
    <d v="2025-06-29T00:00:00"/>
    <s v="20–29"/>
    <s v="20–29"/>
  </r>
  <r>
    <n v="49"/>
    <x v="0"/>
    <n v="2"/>
    <s v="Tue, Wed"/>
    <b v="0"/>
    <d v="1899-12-30T10:11:00"/>
    <d v="1899-12-30T11:28:00"/>
    <n v="77"/>
    <x v="1"/>
    <b v="1"/>
    <b v="0"/>
    <s v="Female"/>
    <x v="0"/>
    <x v="0"/>
    <n v="50"/>
    <x v="1"/>
    <n v="0"/>
    <n v="50"/>
    <x v="0"/>
    <s v="Bakersfield, CA"/>
    <n v="35.3733"/>
    <n v="-119.0187"/>
    <d v="2024-08-19T00:00:00"/>
    <n v="2"/>
    <x v="0"/>
    <d v="2025-07-05T00:00:00"/>
    <s v="40–49"/>
    <s v="40–49"/>
  </r>
  <r>
    <n v="16"/>
    <x v="0"/>
    <n v="3"/>
    <s v="Sat, Sun, Wed"/>
    <b v="1"/>
    <d v="1899-12-30T13:30:00"/>
    <d v="1899-12-30T14:20:00"/>
    <n v="50"/>
    <x v="1"/>
    <b v="0"/>
    <b v="1"/>
    <s v="Female"/>
    <x v="0"/>
    <x v="1"/>
    <n v="37.5"/>
    <x v="1"/>
    <n v="0"/>
    <n v="37.5"/>
    <x v="0"/>
    <s v="San Diego, CA"/>
    <n v="32.715699999999998"/>
    <n v="-117.1611"/>
    <d v="2024-06-09T00:00:00"/>
    <n v="0"/>
    <x v="0"/>
    <d v="2025-07-01T00:00:00"/>
    <s v="10–19"/>
    <s v="16–19"/>
  </r>
  <r>
    <n v="13"/>
    <x v="1"/>
    <n v="3"/>
    <s v="Fri, Sat, Wed"/>
    <b v="1"/>
    <d v="1899-12-30T13:37:00"/>
    <d v="1899-12-30T14:09:00"/>
    <n v="32"/>
    <x v="1"/>
    <b v="0"/>
    <b v="0"/>
    <s v="Male"/>
    <x v="1"/>
    <x v="1"/>
    <n v="22.5"/>
    <x v="1"/>
    <n v="0"/>
    <n v="22.5"/>
    <x v="1"/>
    <s v="Long Beach, CA"/>
    <n v="33.770099999999999"/>
    <n v="-118.19370000000001"/>
    <d v="2023-05-19T00:00:00"/>
    <n v="0"/>
    <x v="1"/>
    <d v="2025-06-09T00:00:00"/>
    <s v="10–19"/>
    <s v="Under 16"/>
  </r>
  <r>
    <n v="47"/>
    <x v="0"/>
    <n v="2"/>
    <s v="Sun, Tue"/>
    <b v="1"/>
    <d v="1899-12-30T15:09:00"/>
    <d v="1899-12-30T16:18:00"/>
    <n v="69"/>
    <x v="1"/>
    <b v="1"/>
    <b v="1"/>
    <s v="Prefer not to say"/>
    <x v="0"/>
    <x v="1"/>
    <n v="37.5"/>
    <x v="0"/>
    <n v="0.05"/>
    <n v="35.625"/>
    <x v="0"/>
    <s v="Los Angeles, CA"/>
    <n v="34.052199999999999"/>
    <n v="-118.2437"/>
    <d v="2024-08-10T00:00:00"/>
    <n v="8"/>
    <x v="0"/>
    <d v="2025-07-05T00:00:00"/>
    <s v="40–49"/>
    <s v="40–49"/>
  </r>
  <r>
    <n v="23"/>
    <x v="0"/>
    <n v="5"/>
    <s v="Fri, Mon, Sun, Tue, Wed"/>
    <b v="0"/>
    <d v="1899-12-30T16:33:00"/>
    <d v="1899-12-30T18:03:00"/>
    <n v="90"/>
    <x v="0"/>
    <b v="0"/>
    <b v="0"/>
    <s v="Male"/>
    <x v="0"/>
    <x v="0"/>
    <n v="50"/>
    <x v="0"/>
    <n v="0.05"/>
    <n v="47.5"/>
    <x v="0"/>
    <s v="Long Beach, CA"/>
    <n v="33.770099999999999"/>
    <n v="-118.19370000000001"/>
    <d v="2023-10-28T00:00:00"/>
    <n v="0"/>
    <x v="0"/>
    <d v="2025-06-19T00:00:00"/>
    <s v="20–29"/>
    <s v="20–29"/>
  </r>
  <r>
    <n v="29"/>
    <x v="2"/>
    <n v="4"/>
    <s v="Mon, Sat, Tue, Wed"/>
    <b v="1"/>
    <d v="1899-12-30T09:11:00"/>
    <d v="1899-12-30T10:48:00"/>
    <n v="97"/>
    <x v="0"/>
    <b v="0"/>
    <b v="1"/>
    <s v="Female"/>
    <x v="2"/>
    <x v="2"/>
    <n v="18"/>
    <x v="1"/>
    <n v="0"/>
    <n v="18"/>
    <x v="2"/>
    <s v="Fresno, CA"/>
    <n v="36.7378"/>
    <n v="-119.7871"/>
    <d v="2024-02-02T00:00:00"/>
    <n v="0"/>
    <x v="1"/>
    <d v="2025-06-24T00:00:00"/>
    <s v="20–29"/>
    <s v="20–29"/>
  </r>
  <r>
    <n v="49"/>
    <x v="3"/>
    <n v="3"/>
    <s v="Fri, Sun, Wed"/>
    <b v="0"/>
    <d v="1899-12-30T17:42:00"/>
    <d v="1899-12-30T19:00:00"/>
    <n v="78"/>
    <x v="1"/>
    <b v="1"/>
    <b v="1"/>
    <s v="Female"/>
    <x v="3"/>
    <x v="2"/>
    <n v="63"/>
    <x v="2"/>
    <n v="0.1"/>
    <n v="56.7"/>
    <x v="3"/>
    <s v="Los Angeles, CA"/>
    <n v="34.052199999999999"/>
    <n v="-118.2437"/>
    <d v="2023-07-17T00:00:00"/>
    <n v="8"/>
    <x v="0"/>
    <d v="2025-06-13T00:00:00"/>
    <s v="40–49"/>
    <s v="40–4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2-09-29T00:00:00"/>
    <n v="0"/>
    <x v="0"/>
    <d v="2025-05-27T00:00:00"/>
    <s v="20–29"/>
    <s v="20–29"/>
  </r>
  <r>
    <n v="21"/>
    <x v="0"/>
    <n v="3"/>
    <s v="Mon, Sat, Wed"/>
    <b v="0"/>
    <d v="1899-12-30T13:49:00"/>
    <d v="1899-12-30T14:55:00"/>
    <n v="66"/>
    <x v="0"/>
    <b v="1"/>
    <b v="1"/>
    <s v="Male"/>
    <x v="0"/>
    <x v="0"/>
    <n v="50"/>
    <x v="1"/>
    <n v="0"/>
    <n v="50"/>
    <x v="0"/>
    <s v="Anaheim, CA"/>
    <n v="33.836599999999997"/>
    <n v="-117.9143"/>
    <d v="2023-05-04T00:00:00"/>
    <n v="1"/>
    <x v="0"/>
    <d v="2025-06-09T00:00:00"/>
    <s v="20–29"/>
    <s v="20–29"/>
  </r>
  <r>
    <n v="27"/>
    <x v="0"/>
    <n v="1"/>
    <s v="Thu"/>
    <b v="0"/>
    <d v="1899-12-30T14:17:00"/>
    <d v="1899-12-30T15:42:00"/>
    <n v="85"/>
    <x v="0"/>
    <b v="0"/>
    <b v="0"/>
    <s v="Prefer not to say"/>
    <x v="0"/>
    <x v="1"/>
    <n v="37.5"/>
    <x v="0"/>
    <n v="0.05"/>
    <n v="35.625"/>
    <x v="0"/>
    <s v="Bakersfield, CA"/>
    <n v="35.3733"/>
    <n v="-119.0187"/>
    <d v="2024-11-06T00:00:00"/>
    <n v="0"/>
    <x v="0"/>
    <d v="2025-07-10T00:00:00"/>
    <s v="20–29"/>
    <s v="20–29"/>
  </r>
  <r>
    <n v="38"/>
    <x v="2"/>
    <n v="1"/>
    <s v="Tue"/>
    <b v="0"/>
    <d v="1899-12-30T14:12:00"/>
    <d v="1899-12-30T14:59:00"/>
    <n v="47"/>
    <x v="0"/>
    <b v="0"/>
    <b v="0"/>
    <s v="Prefer not to say"/>
    <x v="2"/>
    <x v="0"/>
    <n v="20"/>
    <x v="1"/>
    <n v="0"/>
    <n v="20"/>
    <x v="2"/>
    <s v="Sacramento, CA"/>
    <n v="38.581600000000002"/>
    <n v="-121.4944"/>
    <d v="2025-05-20T00:00:00"/>
    <n v="0"/>
    <x v="1"/>
    <d v="2025-07-21T00:00:00"/>
    <s v="30–39"/>
    <s v="30–39"/>
  </r>
  <r>
    <n v="22"/>
    <x v="2"/>
    <n v="3"/>
    <s v="Sat, Thu, Tue"/>
    <b v="1"/>
    <d v="1899-12-30T18:51:00"/>
    <d v="1899-12-30T21:17:00"/>
    <n v="146"/>
    <x v="0"/>
    <b v="1"/>
    <b v="0"/>
    <s v="Male"/>
    <x v="2"/>
    <x v="0"/>
    <n v="20"/>
    <x v="3"/>
    <n v="0.15"/>
    <n v="17"/>
    <x v="2"/>
    <s v="Los Angeles, CA"/>
    <n v="34.052199999999999"/>
    <n v="-118.2437"/>
    <d v="2024-09-16T00:00:00"/>
    <n v="8"/>
    <x v="1"/>
    <d v="2025-07-07T00:00:00"/>
    <s v="20–29"/>
    <s v="20–29"/>
  </r>
  <r>
    <n v="30"/>
    <x v="2"/>
    <n v="2"/>
    <s v="Sun, Wed"/>
    <b v="1"/>
    <d v="1899-12-30T14:19:00"/>
    <d v="1899-12-30T16:18:00"/>
    <n v="119"/>
    <x v="1"/>
    <b v="1"/>
    <b v="0"/>
    <s v="Male"/>
    <x v="2"/>
    <x v="1"/>
    <n v="15"/>
    <x v="1"/>
    <n v="0"/>
    <n v="15"/>
    <x v="2"/>
    <s v="Bakersfield, CA"/>
    <n v="35.3733"/>
    <n v="-119.0187"/>
    <d v="2023-09-28T00:00:00"/>
    <n v="5"/>
    <x v="1"/>
    <d v="2025-06-17T00:00:00"/>
    <s v="30–39"/>
    <s v="30–39"/>
  </r>
  <r>
    <n v="25"/>
    <x v="1"/>
    <n v="2"/>
    <s v="Thu, Wed"/>
    <b v="0"/>
    <d v="1899-12-30T10:38:00"/>
    <d v="1899-12-30T12:32:00"/>
    <n v="114"/>
    <x v="1"/>
    <b v="1"/>
    <b v="0"/>
    <s v="Non-binary"/>
    <x v="1"/>
    <x v="1"/>
    <n v="22.5"/>
    <x v="0"/>
    <n v="0.05"/>
    <n v="21.375"/>
    <x v="1"/>
    <s v="Sacramento, CA"/>
    <n v="38.581600000000002"/>
    <n v="-121.4944"/>
    <d v="2025-04-29T00:00:00"/>
    <n v="7"/>
    <x v="1"/>
    <d v="2025-07-19T00:00:00"/>
    <s v="20–29"/>
    <s v="20–29"/>
  </r>
  <r>
    <n v="35"/>
    <x v="1"/>
    <n v="1"/>
    <s v="Tue"/>
    <b v="0"/>
    <d v="1899-12-30T16:19:00"/>
    <d v="1899-12-30T19:13:00"/>
    <n v="174"/>
    <x v="1"/>
    <b v="0"/>
    <b v="0"/>
    <s v="Female"/>
    <x v="1"/>
    <x v="0"/>
    <n v="30"/>
    <x v="0"/>
    <n v="0.05"/>
    <n v="28.5"/>
    <x v="1"/>
    <s v="Oakland, CA"/>
    <n v="37.804400000000001"/>
    <n v="-122.27119999999999"/>
    <d v="2024-01-11T00:00:00"/>
    <n v="0"/>
    <x v="0"/>
    <d v="2025-06-23T00:00:00"/>
    <s v="30–39"/>
    <s v="30–39"/>
  </r>
  <r>
    <n v="16"/>
    <x v="0"/>
    <n v="3"/>
    <s v="Mon, Sun, Tue"/>
    <b v="0"/>
    <d v="1899-12-30T16:04:00"/>
    <d v="1899-12-30T17:51:00"/>
    <n v="107"/>
    <x v="1"/>
    <b v="1"/>
    <b v="1"/>
    <s v="Male"/>
    <x v="0"/>
    <x v="1"/>
    <n v="37.5"/>
    <x v="1"/>
    <n v="0"/>
    <n v="37.5"/>
    <x v="0"/>
    <s v="San Jose, CA"/>
    <n v="37.338200000000001"/>
    <n v="-121.88630000000001"/>
    <d v="2023-09-26T00:00:00"/>
    <n v="7"/>
    <x v="1"/>
    <d v="2025-06-17T00:00:00"/>
    <s v="10–19"/>
    <s v="16–19"/>
  </r>
  <r>
    <n v="18"/>
    <x v="0"/>
    <n v="3"/>
    <s v="Fri, Mon, Thu"/>
    <b v="1"/>
    <d v="1899-12-30T11:41:00"/>
    <d v="1899-12-30T13:08:00"/>
    <n v="87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4-07-02T00:00:00"/>
    <n v="0"/>
    <x v="1"/>
    <d v="2025-07-02T00:00:00"/>
    <s v="10–19"/>
    <s v="16–19"/>
  </r>
  <r>
    <n v="36"/>
    <x v="0"/>
    <n v="1"/>
    <s v="Sat"/>
    <b v="1"/>
    <d v="1899-12-30T11:56:00"/>
    <d v="1899-12-30T12:58:00"/>
    <n v="62"/>
    <x v="1"/>
    <b v="1"/>
    <b v="1"/>
    <s v="Female"/>
    <x v="0"/>
    <x v="0"/>
    <n v="50"/>
    <x v="1"/>
    <n v="0"/>
    <n v="50"/>
    <x v="0"/>
    <s v="San Diego, CA"/>
    <n v="32.715699999999998"/>
    <n v="-117.1611"/>
    <d v="2023-03-24T00:00:00"/>
    <n v="8"/>
    <x v="0"/>
    <d v="2025-06-06T00:00:00"/>
    <s v="30–39"/>
    <s v="30–39"/>
  </r>
  <r>
    <n v="30"/>
    <x v="0"/>
    <n v="3"/>
    <s v="Sat, Sun, Wed"/>
    <b v="1"/>
    <d v="1899-12-30T17:43:00"/>
    <d v="1899-12-30T18:23:00"/>
    <n v="40"/>
    <x v="0"/>
    <b v="0"/>
    <b v="0"/>
    <s v="Male"/>
    <x v="0"/>
    <x v="0"/>
    <n v="50"/>
    <x v="3"/>
    <n v="0.15"/>
    <n v="42.5"/>
    <x v="0"/>
    <s v="Fresno, CA"/>
    <n v="36.7378"/>
    <n v="-119.7871"/>
    <d v="2025-03-01T00:00:00"/>
    <n v="0"/>
    <x v="0"/>
    <d v="2025-07-16T00:00:00"/>
    <s v="30–39"/>
    <s v="30–39"/>
  </r>
  <r>
    <n v="43"/>
    <x v="2"/>
    <n v="1"/>
    <s v="Sat"/>
    <b v="1"/>
    <d v="1899-12-30T14:44:00"/>
    <d v="1899-12-30T16:44:00"/>
    <n v="120"/>
    <x v="1"/>
    <b v="1"/>
    <b v="1"/>
    <s v="Male"/>
    <x v="2"/>
    <x v="2"/>
    <n v="18"/>
    <x v="3"/>
    <n v="0.15"/>
    <n v="15.3"/>
    <x v="2"/>
    <s v="San Diego, CA"/>
    <n v="32.715699999999998"/>
    <n v="-117.1611"/>
    <d v="2025-04-03T00:00:00"/>
    <n v="4"/>
    <x v="0"/>
    <d v="2025-07-18T00:00:00"/>
    <s v="40–49"/>
    <s v="40–49"/>
  </r>
  <r>
    <n v="16"/>
    <x v="2"/>
    <n v="3"/>
    <s v="Mon, Sat, Thu"/>
    <b v="0"/>
    <d v="1899-12-30T15:10:00"/>
    <d v="1899-12-30T16:06:00"/>
    <n v="56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3-05-09T00:00:00"/>
    <n v="6"/>
    <x v="1"/>
    <d v="2025-06-09T00:00:00"/>
    <s v="10–19"/>
    <s v="16–19"/>
  </r>
  <r>
    <n v="27"/>
    <x v="2"/>
    <n v="2"/>
    <s v="Fri, Tue"/>
    <b v="1"/>
    <d v="1899-12-30T11:35:00"/>
    <d v="1899-12-30T13:34:00"/>
    <n v="119"/>
    <x v="1"/>
    <b v="0"/>
    <b v="1"/>
    <s v="Male"/>
    <x v="2"/>
    <x v="0"/>
    <n v="20"/>
    <x v="0"/>
    <n v="0.05"/>
    <n v="19"/>
    <x v="2"/>
    <s v="Oakland, CA"/>
    <n v="37.804400000000001"/>
    <n v="-122.27119999999999"/>
    <d v="2024-01-12T00:00:00"/>
    <n v="0"/>
    <x v="1"/>
    <d v="2025-06-23T00:00:00"/>
    <s v="20–29"/>
    <s v="20–29"/>
  </r>
  <r>
    <n v="37"/>
    <x v="2"/>
    <n v="3"/>
    <s v="Mon, Tue, Wed"/>
    <b v="1"/>
    <d v="1899-12-30T18:07:00"/>
    <d v="1899-12-30T20:01:00"/>
    <n v="114"/>
    <x v="0"/>
    <b v="0"/>
    <b v="1"/>
    <s v="Non-binary"/>
    <x v="2"/>
    <x v="1"/>
    <n v="15"/>
    <x v="1"/>
    <n v="0"/>
    <n v="15"/>
    <x v="2"/>
    <s v="Los Angeles, CA"/>
    <n v="34.052199999999999"/>
    <n v="-118.2437"/>
    <d v="2023-06-20T00:00:00"/>
    <n v="0"/>
    <x v="0"/>
    <d v="2025-06-11T00:00:00"/>
    <s v="30–39"/>
    <s v="30–39"/>
  </r>
  <r>
    <n v="14"/>
    <x v="0"/>
    <n v="3"/>
    <s v="Sat, Sun, Tue"/>
    <b v="0"/>
    <d v="1899-12-30T14:09:00"/>
    <d v="1899-12-30T16:34:00"/>
    <n v="145"/>
    <x v="0"/>
    <b v="1"/>
    <b v="0"/>
    <s v="Male"/>
    <x v="0"/>
    <x v="2"/>
    <n v="45"/>
    <x v="3"/>
    <n v="0.15"/>
    <n v="38.25"/>
    <x v="0"/>
    <s v="Bakersfield, CA"/>
    <n v="35.3733"/>
    <n v="-119.0187"/>
    <d v="2024-03-16T00:00:00"/>
    <n v="4"/>
    <x v="1"/>
    <d v="2025-06-26T00:00:00"/>
    <s v="10–19"/>
    <s v="Under 16"/>
  </r>
  <r>
    <n v="16"/>
    <x v="0"/>
    <n v="3"/>
    <s v="Sun, Thu, Wed"/>
    <b v="1"/>
    <d v="1899-12-30T12:45:00"/>
    <d v="1899-12-30T14:42:00"/>
    <n v="117"/>
    <x v="1"/>
    <b v="1"/>
    <b v="0"/>
    <s v="Non-binary"/>
    <x v="0"/>
    <x v="0"/>
    <n v="50"/>
    <x v="1"/>
    <n v="0"/>
    <n v="50"/>
    <x v="0"/>
    <s v="Oakland, CA"/>
    <n v="37.804400000000001"/>
    <n v="-122.27119999999999"/>
    <d v="2024-10-03T00:00:00"/>
    <n v="6"/>
    <x v="0"/>
    <d v="2025-07-08T00:00:00"/>
    <s v="10–19"/>
    <s v="16–19"/>
  </r>
  <r>
    <n v="45"/>
    <x v="0"/>
    <n v="5"/>
    <s v="Fri, Mon, Sun, Tue, Wed"/>
    <b v="1"/>
    <d v="1899-12-30T14:59:00"/>
    <d v="1899-12-30T16:59:00"/>
    <n v="120"/>
    <x v="0"/>
    <b v="0"/>
    <b v="1"/>
    <s v="Female"/>
    <x v="0"/>
    <x v="1"/>
    <n v="37.5"/>
    <x v="3"/>
    <n v="0.15"/>
    <n v="31.875"/>
    <x v="0"/>
    <s v="San Francisco, CA"/>
    <n v="37.774900000000002"/>
    <n v="-122.4194"/>
    <d v="2023-02-01T00:00:00"/>
    <n v="0"/>
    <x v="1"/>
    <d v="2025-06-03T00:00:00"/>
    <s v="40–49"/>
    <s v="40–49"/>
  </r>
  <r>
    <n v="26"/>
    <x v="1"/>
    <n v="4"/>
    <s v="Mon, Sat, Thu, Wed"/>
    <b v="1"/>
    <d v="1899-12-30T13:03:00"/>
    <d v="1899-12-30T15:39:00"/>
    <n v="156"/>
    <x v="0"/>
    <b v="1"/>
    <b v="1"/>
    <s v="Prefer not to say"/>
    <x v="1"/>
    <x v="1"/>
    <n v="22.5"/>
    <x v="0"/>
    <n v="0.05"/>
    <n v="21.375"/>
    <x v="1"/>
    <s v="Sacramento, CA"/>
    <n v="38.581600000000002"/>
    <n v="-121.4944"/>
    <d v="2023-02-22T00:00:00"/>
    <n v="7"/>
    <x v="1"/>
    <d v="2025-06-05T00:00:00"/>
    <s v="20–29"/>
    <s v="20–29"/>
  </r>
  <r>
    <n v="45"/>
    <x v="0"/>
    <n v="1"/>
    <s v="Mon"/>
    <b v="0"/>
    <d v="1899-12-30T19:23:00"/>
    <d v="1899-12-30T20:50:00"/>
    <n v="87"/>
    <x v="0"/>
    <b v="1"/>
    <b v="1"/>
    <s v="Non-binary"/>
    <x v="0"/>
    <x v="0"/>
    <n v="50"/>
    <x v="2"/>
    <n v="0.1"/>
    <n v="45"/>
    <x v="0"/>
    <s v="Sacramento, CA"/>
    <n v="38.581600000000002"/>
    <n v="-121.4944"/>
    <d v="2023-06-14T00:00:00"/>
    <n v="7"/>
    <x v="1"/>
    <d v="2025-06-11T00:00:00"/>
    <s v="40–49"/>
    <s v="40–49"/>
  </r>
  <r>
    <n v="27"/>
    <x v="3"/>
    <n v="5"/>
    <s v="Fri, Mon, Sat, Thu, Tue"/>
    <b v="0"/>
    <d v="1899-12-30T09:57:00"/>
    <d v="1899-12-30T12:22:00"/>
    <n v="145"/>
    <x v="0"/>
    <b v="0"/>
    <b v="0"/>
    <s v="Non-binary"/>
    <x v="3"/>
    <x v="1"/>
    <n v="52.5"/>
    <x v="2"/>
    <n v="0.1"/>
    <n v="47.25"/>
    <x v="3"/>
    <s v="Los Angeles, CA"/>
    <n v="34.052199999999999"/>
    <n v="-118.2437"/>
    <d v="2024-09-06T00:00:00"/>
    <n v="0"/>
    <x v="0"/>
    <d v="2025-07-06T00:00:00"/>
    <s v="20–29"/>
    <s v="20–29"/>
  </r>
  <r>
    <n v="19"/>
    <x v="0"/>
    <n v="1"/>
    <s v="Sat"/>
    <b v="0"/>
    <d v="1899-12-30T16:10:00"/>
    <d v="1899-12-30T17:20:00"/>
    <n v="70"/>
    <x v="0"/>
    <b v="1"/>
    <b v="1"/>
    <s v="Male"/>
    <x v="0"/>
    <x v="1"/>
    <n v="37.5"/>
    <x v="2"/>
    <n v="0.1"/>
    <n v="33.75"/>
    <x v="0"/>
    <s v="Oakland, CA"/>
    <n v="37.804400000000001"/>
    <n v="-122.27119999999999"/>
    <d v="2023-10-03T00:00:00"/>
    <n v="1"/>
    <x v="0"/>
    <d v="2025-06-17T00:00:00"/>
    <s v="10–19"/>
    <s v="16–19"/>
  </r>
  <r>
    <n v="37"/>
    <x v="2"/>
    <n v="4"/>
    <s v="Fri, Sat, Thu, Wed"/>
    <b v="1"/>
    <d v="1899-12-30T18:44:00"/>
    <d v="1899-12-30T20:56:00"/>
    <n v="132"/>
    <x v="1"/>
    <b v="0"/>
    <b v="1"/>
    <s v="Female"/>
    <x v="2"/>
    <x v="0"/>
    <n v="20"/>
    <x v="2"/>
    <n v="0.1"/>
    <n v="18"/>
    <x v="2"/>
    <s v="Anaheim, CA"/>
    <n v="33.836599999999997"/>
    <n v="-117.9143"/>
    <d v="2024-06-03T00:00:00"/>
    <n v="0"/>
    <x v="0"/>
    <d v="2025-07-01T00:00:00"/>
    <s v="30–39"/>
    <s v="30–39"/>
  </r>
  <r>
    <n v="49"/>
    <x v="2"/>
    <n v="3"/>
    <s v="Mon, Sun, Wed"/>
    <b v="0"/>
    <d v="1899-12-30T19:37:00"/>
    <d v="1899-12-30T21:31:00"/>
    <n v="114"/>
    <x v="1"/>
    <b v="0"/>
    <b v="0"/>
    <s v="Male"/>
    <x v="2"/>
    <x v="0"/>
    <n v="20"/>
    <x v="3"/>
    <n v="0.15"/>
    <n v="17"/>
    <x v="2"/>
    <s v="Anaheim, CA"/>
    <n v="33.836599999999997"/>
    <n v="-117.9143"/>
    <d v="2025-03-17T00:00:00"/>
    <n v="0"/>
    <x v="1"/>
    <d v="2025-07-17T00:00:00"/>
    <s v="40–49"/>
    <s v="40–49"/>
  </r>
  <r>
    <n v="34"/>
    <x v="1"/>
    <n v="2"/>
    <s v="Fri, Tue"/>
    <b v="0"/>
    <d v="1899-12-30T17:02:00"/>
    <d v="1899-12-30T18:36:00"/>
    <n v="94"/>
    <x v="1"/>
    <b v="1"/>
    <b v="1"/>
    <s v="Male"/>
    <x v="1"/>
    <x v="0"/>
    <n v="30"/>
    <x v="3"/>
    <n v="0.15"/>
    <n v="25.5"/>
    <x v="1"/>
    <s v="San Jose, CA"/>
    <n v="37.338200000000001"/>
    <n v="-121.88630000000001"/>
    <d v="2022-10-20T00:00:00"/>
    <n v="3"/>
    <x v="1"/>
    <d v="2025-05-28T00:00:00"/>
    <s v="30–39"/>
    <s v="30–39"/>
  </r>
  <r>
    <n v="42"/>
    <x v="0"/>
    <n v="4"/>
    <s v="Fri, Mon, Thu, Tue"/>
    <b v="1"/>
    <d v="1899-12-30T09:55:00"/>
    <d v="1899-12-30T10:59:00"/>
    <n v="64"/>
    <x v="0"/>
    <b v="0"/>
    <b v="1"/>
    <s v="Male"/>
    <x v="0"/>
    <x v="1"/>
    <n v="37.5"/>
    <x v="0"/>
    <n v="0.05"/>
    <n v="35.625"/>
    <x v="0"/>
    <s v="San Jose, CA"/>
    <n v="37.338200000000001"/>
    <n v="-121.88630000000001"/>
    <d v="2025-01-28T00:00:00"/>
    <n v="0"/>
    <x v="1"/>
    <d v="2025-07-14T00:00:00"/>
    <s v="40–49"/>
    <s v="40–49"/>
  </r>
  <r>
    <n v="25"/>
    <x v="0"/>
    <n v="5"/>
    <s v="Fri, Sat, Sun, Thu, Tue"/>
    <b v="0"/>
    <d v="1899-12-30T16:13:00"/>
    <d v="1899-12-30T18:45:00"/>
    <n v="152"/>
    <x v="0"/>
    <b v="0"/>
    <b v="0"/>
    <s v="Non-binary"/>
    <x v="0"/>
    <x v="2"/>
    <n v="45"/>
    <x v="0"/>
    <n v="0.05"/>
    <n v="42.75"/>
    <x v="0"/>
    <s v="Los Angeles, CA"/>
    <n v="34.052199999999999"/>
    <n v="-118.2437"/>
    <d v="2022-09-14T00:00:00"/>
    <n v="0"/>
    <x v="1"/>
    <d v="2025-05-26T00:00:00"/>
    <s v="20–29"/>
    <s v="20–29"/>
  </r>
  <r>
    <n v="39"/>
    <x v="1"/>
    <n v="2"/>
    <s v="Fri, Wed"/>
    <b v="0"/>
    <d v="1899-12-30T10:32:00"/>
    <d v="1899-12-30T12:28:00"/>
    <n v="116"/>
    <x v="0"/>
    <b v="0"/>
    <b v="1"/>
    <s v="Female"/>
    <x v="1"/>
    <x v="2"/>
    <n v="27"/>
    <x v="3"/>
    <n v="0.15"/>
    <n v="22.95"/>
    <x v="1"/>
    <s v="San Diego, CA"/>
    <n v="32.715699999999998"/>
    <n v="-117.1611"/>
    <d v="2024-03-05T00:00:00"/>
    <n v="0"/>
    <x v="0"/>
    <d v="2025-06-26T00:00:00"/>
    <s v="30–39"/>
    <s v="30–39"/>
  </r>
  <r>
    <n v="47"/>
    <x v="3"/>
    <n v="2"/>
    <s v="Sat, Tue"/>
    <b v="0"/>
    <d v="1899-12-30T13:19:00"/>
    <d v="1899-12-30T14:50:00"/>
    <n v="91"/>
    <x v="1"/>
    <b v="1"/>
    <b v="1"/>
    <s v="Female"/>
    <x v="3"/>
    <x v="1"/>
    <n v="52.5"/>
    <x v="2"/>
    <n v="0.1"/>
    <n v="47.25"/>
    <x v="3"/>
    <s v="Los Angeles, CA"/>
    <n v="34.052199999999999"/>
    <n v="-118.2437"/>
    <d v="2024-12-07T00:00:00"/>
    <n v="2"/>
    <x v="0"/>
    <d v="2025-07-11T00:00:00"/>
    <s v="40–49"/>
    <s v="40–49"/>
  </r>
  <r>
    <n v="20"/>
    <x v="1"/>
    <n v="1"/>
    <s v="Tue"/>
    <b v="0"/>
    <d v="1899-12-30T08:55:00"/>
    <d v="1899-12-30T10:23:00"/>
    <n v="88"/>
    <x v="1"/>
    <b v="1"/>
    <b v="1"/>
    <s v="Female"/>
    <x v="1"/>
    <x v="0"/>
    <n v="30"/>
    <x v="1"/>
    <n v="0"/>
    <n v="30"/>
    <x v="1"/>
    <s v="San Francisco, CA"/>
    <n v="37.774900000000002"/>
    <n v="-122.4194"/>
    <d v="2023-11-23T00:00:00"/>
    <n v="4"/>
    <x v="0"/>
    <d v="2025-06-20T00:00:00"/>
    <s v="20–29"/>
    <s v="20–29"/>
  </r>
  <r>
    <n v="40"/>
    <x v="2"/>
    <n v="1"/>
    <s v="Sat"/>
    <b v="0"/>
    <d v="1899-12-30T10:28:00"/>
    <d v="1899-12-30T13:25:00"/>
    <n v="177"/>
    <x v="0"/>
    <b v="0"/>
    <b v="1"/>
    <s v="Female"/>
    <x v="2"/>
    <x v="1"/>
    <n v="15"/>
    <x v="3"/>
    <n v="0.15"/>
    <n v="12.75"/>
    <x v="2"/>
    <s v="San Francisco, CA"/>
    <n v="37.774900000000002"/>
    <n v="-122.4194"/>
    <d v="2022-12-06T00:00:00"/>
    <n v="0"/>
    <x v="0"/>
    <d v="2025-05-31T00:00:00"/>
    <s v="40–49"/>
    <s v="40–49"/>
  </r>
  <r>
    <n v="39"/>
    <x v="3"/>
    <n v="2"/>
    <s v="Fri, Sat"/>
    <b v="0"/>
    <d v="1899-12-30T20:04:00"/>
    <d v="1899-12-30T20:43:00"/>
    <n v="39"/>
    <x v="0"/>
    <b v="0"/>
    <b v="0"/>
    <s v="Female"/>
    <x v="3"/>
    <x v="2"/>
    <n v="63"/>
    <x v="3"/>
    <n v="0.15"/>
    <n v="53.55"/>
    <x v="3"/>
    <s v="San Francisco, CA"/>
    <n v="37.774900000000002"/>
    <n v="-122.4194"/>
    <d v="2023-05-05T00:00:00"/>
    <n v="0"/>
    <x v="0"/>
    <d v="2025-06-09T00:00:00"/>
    <s v="30–39"/>
    <s v="30–39"/>
  </r>
  <r>
    <n v="12"/>
    <x v="2"/>
    <n v="1"/>
    <s v="Tue"/>
    <b v="0"/>
    <d v="1899-12-30T15:47:00"/>
    <d v="1899-12-30T16:28:00"/>
    <n v="41"/>
    <x v="1"/>
    <b v="1"/>
    <b v="1"/>
    <s v="Non-binary"/>
    <x v="2"/>
    <x v="0"/>
    <n v="20"/>
    <x v="1"/>
    <n v="0"/>
    <n v="20"/>
    <x v="2"/>
    <s v="Bakersfield, CA"/>
    <n v="35.3733"/>
    <n v="-119.0187"/>
    <d v="2023-02-15T00:00:00"/>
    <n v="5"/>
    <x v="1"/>
    <d v="2025-06-04T00:00:00"/>
    <s v="10–19"/>
    <s v="Under 16"/>
  </r>
  <r>
    <n v="36"/>
    <x v="1"/>
    <n v="3"/>
    <s v="Fri, Sun, Tue"/>
    <b v="0"/>
    <d v="1899-12-30T11:11:00"/>
    <d v="1899-12-30T13:56:00"/>
    <n v="165"/>
    <x v="0"/>
    <b v="0"/>
    <b v="1"/>
    <s v="Other (self-described)"/>
    <x v="1"/>
    <x v="0"/>
    <n v="30"/>
    <x v="3"/>
    <n v="0.15"/>
    <n v="25.5"/>
    <x v="1"/>
    <s v="San Jose, CA"/>
    <n v="37.338200000000001"/>
    <n v="-121.88630000000001"/>
    <d v="2023-07-22T00:00:00"/>
    <n v="0"/>
    <x v="0"/>
    <d v="2025-06-13T00:00:00"/>
    <s v="30–39"/>
    <s v="30–39"/>
  </r>
  <r>
    <n v="41"/>
    <x v="2"/>
    <n v="2"/>
    <s v="Sat, Sun"/>
    <b v="1"/>
    <d v="1899-12-30T09:57:00"/>
    <d v="1899-12-30T11:42:00"/>
    <n v="105"/>
    <x v="1"/>
    <b v="0"/>
    <b v="0"/>
    <s v="Non-binary"/>
    <x v="2"/>
    <x v="1"/>
    <n v="15"/>
    <x v="1"/>
    <n v="0"/>
    <n v="15"/>
    <x v="2"/>
    <s v="Oakland, CA"/>
    <n v="37.804400000000001"/>
    <n v="-122.27119999999999"/>
    <d v="2023-06-16T00:00:00"/>
    <n v="0"/>
    <x v="0"/>
    <d v="2025-06-11T00:00:00"/>
    <s v="40–49"/>
    <s v="40–49"/>
  </r>
  <r>
    <n v="14"/>
    <x v="3"/>
    <n v="3"/>
    <s v="Sat, Tue, Wed"/>
    <b v="0"/>
    <d v="1899-12-30T14:34:00"/>
    <d v="1899-12-30T16:33:00"/>
    <n v="119"/>
    <x v="1"/>
    <b v="1"/>
    <b v="1"/>
    <s v="Female"/>
    <x v="3"/>
    <x v="0"/>
    <n v="70"/>
    <x v="1"/>
    <n v="0"/>
    <n v="70"/>
    <x v="3"/>
    <s v="Sacramento, CA"/>
    <n v="38.581600000000002"/>
    <n v="-121.4944"/>
    <d v="2022-12-31T00:00:00"/>
    <n v="6"/>
    <x v="0"/>
    <d v="2025-06-02T00:00:00"/>
    <s v="10–19"/>
    <s v="Under 16"/>
  </r>
  <r>
    <n v="39"/>
    <x v="0"/>
    <n v="4"/>
    <s v="Fri, Sat, Sun, Wed"/>
    <b v="1"/>
    <d v="1899-12-30T11:51:00"/>
    <d v="1899-12-30T12:22:00"/>
    <n v="31"/>
    <x v="0"/>
    <b v="0"/>
    <b v="1"/>
    <s v="Male"/>
    <x v="0"/>
    <x v="0"/>
    <n v="50"/>
    <x v="1"/>
    <n v="0"/>
    <n v="50"/>
    <x v="0"/>
    <s v="Long Beach, CA"/>
    <n v="33.770099999999999"/>
    <n v="-118.19370000000001"/>
    <d v="2024-09-30T00:00:00"/>
    <n v="0"/>
    <x v="0"/>
    <d v="2025-07-08T00:00:00"/>
    <s v="30–39"/>
    <s v="30–39"/>
  </r>
  <r>
    <n v="21"/>
    <x v="1"/>
    <n v="2"/>
    <s v="Fri, Mon"/>
    <b v="0"/>
    <d v="1899-12-30T20:13:00"/>
    <d v="1899-12-30T21:48:00"/>
    <n v="95"/>
    <x v="1"/>
    <b v="0"/>
    <b v="0"/>
    <s v="Female"/>
    <x v="1"/>
    <x v="1"/>
    <n v="22.5"/>
    <x v="3"/>
    <n v="0.15"/>
    <n v="19.125"/>
    <x v="1"/>
    <s v="Fresno, CA"/>
    <n v="36.7378"/>
    <n v="-119.7871"/>
    <d v="2024-01-18T00:00:00"/>
    <n v="0"/>
    <x v="1"/>
    <d v="2025-06-23T00:00:00"/>
    <s v="20–29"/>
    <s v="20–29"/>
  </r>
  <r>
    <n v="18"/>
    <x v="1"/>
    <n v="2"/>
    <s v="Mon, Tue"/>
    <b v="1"/>
    <d v="1899-12-30T10:26:00"/>
    <d v="1899-12-30T12:13:00"/>
    <n v="107"/>
    <x v="1"/>
    <b v="0"/>
    <b v="1"/>
    <s v="Female"/>
    <x v="1"/>
    <x v="0"/>
    <n v="30"/>
    <x v="2"/>
    <n v="0.1"/>
    <n v="27"/>
    <x v="1"/>
    <s v="Long Beach, CA"/>
    <n v="33.770099999999999"/>
    <n v="-118.19370000000001"/>
    <d v="2024-10-30T00:00:00"/>
    <n v="0"/>
    <x v="1"/>
    <d v="2025-07-09T00:00:00"/>
    <s v="10–19"/>
    <s v="16–19"/>
  </r>
  <r>
    <n v="24"/>
    <x v="0"/>
    <n v="5"/>
    <s v="Fri, Mon, Sat, Sun, Wed"/>
    <b v="0"/>
    <d v="1899-12-30T20:53:00"/>
    <d v="1899-12-30T23:33:00"/>
    <n v="160"/>
    <x v="1"/>
    <b v="0"/>
    <b v="0"/>
    <s v="Male"/>
    <x v="0"/>
    <x v="0"/>
    <n v="50"/>
    <x v="2"/>
    <n v="0.1"/>
    <n v="45"/>
    <x v="0"/>
    <s v="Bakersfield, CA"/>
    <n v="35.3733"/>
    <n v="-119.0187"/>
    <d v="2022-08-06T00:00:00"/>
    <n v="0"/>
    <x v="1"/>
    <d v="2025-05-24T00:00:00"/>
    <s v="20–29"/>
    <s v="20–29"/>
  </r>
  <r>
    <n v="41"/>
    <x v="0"/>
    <n v="1"/>
    <s v="Wed"/>
    <b v="1"/>
    <d v="1899-12-30T13:14:00"/>
    <d v="1899-12-30T15:34:00"/>
    <n v="140"/>
    <x v="0"/>
    <b v="0"/>
    <b v="0"/>
    <s v="Female"/>
    <x v="0"/>
    <x v="0"/>
    <n v="50"/>
    <x v="2"/>
    <n v="0.1"/>
    <n v="45"/>
    <x v="0"/>
    <s v="Los Angeles, CA"/>
    <n v="34.052199999999999"/>
    <n v="-118.2437"/>
    <d v="2022-09-21T00:00:00"/>
    <n v="0"/>
    <x v="0"/>
    <d v="2025-05-27T00:00:00"/>
    <s v="40–49"/>
    <s v="40–49"/>
  </r>
  <r>
    <n v="44"/>
    <x v="2"/>
    <n v="1"/>
    <s v="Wed"/>
    <b v="0"/>
    <d v="1899-12-30T20:43:00"/>
    <d v="1899-12-30T22:58:00"/>
    <n v="135"/>
    <x v="1"/>
    <b v="0"/>
    <b v="0"/>
    <s v="Female"/>
    <x v="2"/>
    <x v="0"/>
    <n v="20"/>
    <x v="1"/>
    <n v="0"/>
    <n v="20"/>
    <x v="2"/>
    <s v="Sacramento, CA"/>
    <n v="38.581600000000002"/>
    <n v="-121.4944"/>
    <d v="2025-05-12T00:00:00"/>
    <n v="0"/>
    <x v="0"/>
    <d v="2025-07-20T00:00:00"/>
    <s v="40–49"/>
    <s v="40–49"/>
  </r>
  <r>
    <n v="39"/>
    <x v="2"/>
    <n v="2"/>
    <s v="Mon, Tue"/>
    <b v="1"/>
    <d v="1899-12-30T09:20:00"/>
    <d v="1899-12-30T09:52:00"/>
    <n v="32"/>
    <x v="1"/>
    <b v="0"/>
    <b v="0"/>
    <s v="Male"/>
    <x v="2"/>
    <x v="1"/>
    <n v="15"/>
    <x v="2"/>
    <n v="0.1"/>
    <n v="13.5"/>
    <x v="2"/>
    <s v="San Diego, CA"/>
    <n v="32.715699999999998"/>
    <n v="-117.1611"/>
    <d v="2023-06-02T00:00:00"/>
    <n v="0"/>
    <x v="1"/>
    <d v="2025-06-10T00:00:00"/>
    <s v="30–39"/>
    <s v="30–39"/>
  </r>
  <r>
    <n v="40"/>
    <x v="1"/>
    <n v="3"/>
    <s v="Fri, Sun, Thu"/>
    <b v="1"/>
    <d v="1899-12-30T17:05:00"/>
    <d v="1899-12-30T19:39:00"/>
    <n v="154"/>
    <x v="0"/>
    <b v="1"/>
    <b v="0"/>
    <s v="Male"/>
    <x v="1"/>
    <x v="0"/>
    <n v="30"/>
    <x v="1"/>
    <n v="0"/>
    <n v="30"/>
    <x v="1"/>
    <s v="Fresno, CA"/>
    <n v="36.7378"/>
    <n v="-119.7871"/>
    <d v="2022-10-11T00:00:00"/>
    <n v="8"/>
    <x v="1"/>
    <d v="2025-05-28T00:00:00"/>
    <s v="40–49"/>
    <s v="40–49"/>
  </r>
  <r>
    <n v="13"/>
    <x v="0"/>
    <n v="3"/>
    <s v="Sat, Thu, Wed"/>
    <b v="1"/>
    <d v="1899-12-30T13:47:00"/>
    <d v="1899-12-30T15:04:00"/>
    <n v="77"/>
    <x v="1"/>
    <b v="0"/>
    <b v="0"/>
    <s v="Female"/>
    <x v="0"/>
    <x v="0"/>
    <n v="50"/>
    <x v="0"/>
    <n v="0.05"/>
    <n v="47.5"/>
    <x v="0"/>
    <s v="Los Angeles, CA"/>
    <n v="34.052199999999999"/>
    <n v="-118.2437"/>
    <d v="2024-12-12T00:00:00"/>
    <n v="0"/>
    <x v="0"/>
    <d v="2025-07-12T00:00:00"/>
    <s v="10–19"/>
    <s v="Under 16"/>
  </r>
  <r>
    <n v="26"/>
    <x v="1"/>
    <n v="3"/>
    <s v="Thu, Tue, Wed"/>
    <b v="0"/>
    <d v="1899-12-30T14:54:00"/>
    <d v="1899-12-30T16:46:00"/>
    <n v="112"/>
    <x v="1"/>
    <b v="1"/>
    <b v="1"/>
    <s v="Non-binary"/>
    <x v="1"/>
    <x v="0"/>
    <n v="30"/>
    <x v="3"/>
    <n v="0.15"/>
    <n v="25.5"/>
    <x v="1"/>
    <s v="Sacramento, CA"/>
    <n v="38.581600000000002"/>
    <n v="-121.4944"/>
    <d v="2023-10-27T00:00:00"/>
    <n v="5"/>
    <x v="0"/>
    <d v="2025-06-18T00:00:00"/>
    <s v="20–29"/>
    <s v="20–29"/>
  </r>
  <r>
    <n v="35"/>
    <x v="0"/>
    <n v="2"/>
    <s v="Sun, Wed"/>
    <b v="0"/>
    <d v="1899-12-30T19:50:00"/>
    <d v="1899-12-30T22:24:00"/>
    <n v="154"/>
    <x v="0"/>
    <b v="1"/>
    <b v="1"/>
    <s v="Female"/>
    <x v="0"/>
    <x v="0"/>
    <n v="50"/>
    <x v="3"/>
    <n v="0.15"/>
    <n v="42.5"/>
    <x v="0"/>
    <s v="San Francisco, CA"/>
    <n v="37.774900000000002"/>
    <n v="-122.4194"/>
    <d v="2022-10-22T00:00:00"/>
    <n v="3"/>
    <x v="0"/>
    <d v="2025-05-29T00:00:00"/>
    <s v="30–39"/>
    <s v="30–39"/>
  </r>
  <r>
    <n v="37"/>
    <x v="1"/>
    <n v="1"/>
    <s v="Sat"/>
    <b v="1"/>
    <d v="1899-12-30T08:37:00"/>
    <d v="1899-12-30T10:12:00"/>
    <n v="95"/>
    <x v="1"/>
    <b v="1"/>
    <b v="0"/>
    <s v="Non-binary"/>
    <x v="1"/>
    <x v="0"/>
    <n v="30"/>
    <x v="3"/>
    <n v="0.15"/>
    <n v="25.5"/>
    <x v="1"/>
    <s v="Anaheim, CA"/>
    <n v="33.836599999999997"/>
    <n v="-117.9143"/>
    <d v="2025-05-17T00:00:00"/>
    <n v="6"/>
    <x v="0"/>
    <d v="2025-07-20T00:00:00"/>
    <s v="30–39"/>
    <s v="30–39"/>
  </r>
  <r>
    <n v="34"/>
    <x v="0"/>
    <n v="2"/>
    <s v="Sat, Thu"/>
    <b v="1"/>
    <d v="1899-12-30T13:39:00"/>
    <d v="1899-12-30T14:34:00"/>
    <n v="55"/>
    <x v="0"/>
    <b v="1"/>
    <b v="0"/>
    <s v="Male"/>
    <x v="0"/>
    <x v="0"/>
    <n v="50"/>
    <x v="0"/>
    <n v="0.05"/>
    <n v="47.5"/>
    <x v="0"/>
    <s v="San Diego, CA"/>
    <n v="32.715699999999998"/>
    <n v="-117.1611"/>
    <d v="2023-06-11T00:00:00"/>
    <n v="4"/>
    <x v="0"/>
    <d v="2025-06-11T00:00:00"/>
    <s v="30–39"/>
    <s v="30–39"/>
  </r>
  <r>
    <n v="36"/>
    <x v="0"/>
    <n v="3"/>
    <s v="Sat, Sun, Tue"/>
    <b v="1"/>
    <d v="1899-12-30T09:39:00"/>
    <d v="1899-12-30T11:08:00"/>
    <n v="89"/>
    <x v="0"/>
    <b v="0"/>
    <b v="1"/>
    <s v="Male"/>
    <x v="0"/>
    <x v="0"/>
    <n v="50"/>
    <x v="1"/>
    <n v="0"/>
    <n v="50"/>
    <x v="0"/>
    <s v="Fresno, CA"/>
    <n v="36.7378"/>
    <n v="-119.7871"/>
    <d v="2024-08-10T00:00:00"/>
    <n v="0"/>
    <x v="0"/>
    <d v="2025-07-05T00:00:00"/>
    <s v="30–39"/>
    <s v="30–39"/>
  </r>
  <r>
    <n v="37"/>
    <x v="2"/>
    <n v="3"/>
    <s v="Fri, Sat, Sun"/>
    <b v="0"/>
    <d v="1899-12-30T09:25:00"/>
    <d v="1899-12-30T12:06:00"/>
    <n v="161"/>
    <x v="0"/>
    <b v="1"/>
    <b v="1"/>
    <s v="Male"/>
    <x v="2"/>
    <x v="0"/>
    <n v="20"/>
    <x v="3"/>
    <n v="0.15"/>
    <n v="17"/>
    <x v="2"/>
    <s v="Long Beach, CA"/>
    <n v="33.770099999999999"/>
    <n v="-118.19370000000001"/>
    <d v="2022-10-12T00:00:00"/>
    <n v="1"/>
    <x v="0"/>
    <d v="2025-05-28T00:00:00"/>
    <s v="30–39"/>
    <s v="30–39"/>
  </r>
  <r>
    <n v="29"/>
    <x v="2"/>
    <n v="4"/>
    <s v="Mon, Sat, Tue, Wed"/>
    <b v="1"/>
    <d v="1899-12-30T09:11:00"/>
    <d v="1899-12-30T10:48:00"/>
    <n v="97"/>
    <x v="0"/>
    <b v="0"/>
    <b v="1"/>
    <s v="Female"/>
    <x v="2"/>
    <x v="2"/>
    <n v="18"/>
    <x v="1"/>
    <n v="0"/>
    <n v="18"/>
    <x v="2"/>
    <s v="Fresno, CA"/>
    <n v="36.7378"/>
    <n v="-119.7871"/>
    <d v="2022-08-23T00:00:00"/>
    <n v="0"/>
    <x v="0"/>
    <d v="2025-05-25T00:00:00"/>
    <s v="20–29"/>
    <s v="20–29"/>
  </r>
  <r>
    <n v="24"/>
    <x v="0"/>
    <n v="3"/>
    <s v="Fri, Sat, Wed"/>
    <b v="0"/>
    <d v="1899-12-30T19:13:00"/>
    <d v="1899-12-30T20:02:00"/>
    <n v="49"/>
    <x v="0"/>
    <b v="1"/>
    <b v="1"/>
    <s v="Male"/>
    <x v="0"/>
    <x v="0"/>
    <n v="50"/>
    <x v="0"/>
    <n v="0.05"/>
    <n v="47.5"/>
    <x v="0"/>
    <s v="San Francisco, CA"/>
    <n v="37.774900000000002"/>
    <n v="-122.4194"/>
    <d v="2022-09-21T00:00:00"/>
    <n v="5"/>
    <x v="1"/>
    <d v="2025-05-27T00:00:00"/>
    <s v="20–29"/>
    <s v="20–29"/>
  </r>
  <r>
    <n v="27"/>
    <x v="0"/>
    <n v="1"/>
    <s v="Thu"/>
    <b v="0"/>
    <d v="1899-12-30T14:17:00"/>
    <d v="1899-12-30T15:42:00"/>
    <n v="85"/>
    <x v="0"/>
    <b v="0"/>
    <b v="0"/>
    <s v="Prefer not to say"/>
    <x v="0"/>
    <x v="1"/>
    <n v="37.5"/>
    <x v="0"/>
    <n v="0.05"/>
    <n v="35.625"/>
    <x v="0"/>
    <s v="Bakersfield, CA"/>
    <n v="35.3733"/>
    <n v="-119.0187"/>
    <d v="2024-02-03T00:00:00"/>
    <n v="0"/>
    <x v="0"/>
    <d v="2025-06-24T00:00:00"/>
    <s v="20–29"/>
    <s v="20–29"/>
  </r>
  <r>
    <n v="48"/>
    <x v="1"/>
    <n v="3"/>
    <s v="Fri, Sun, Wed"/>
    <b v="0"/>
    <d v="1899-12-30T11:07:00"/>
    <d v="1899-12-30T12:43:00"/>
    <n v="96"/>
    <x v="1"/>
    <b v="1"/>
    <b v="1"/>
    <s v="Male"/>
    <x v="1"/>
    <x v="0"/>
    <n v="30"/>
    <x v="1"/>
    <n v="0"/>
    <n v="30"/>
    <x v="1"/>
    <s v="San Diego, CA"/>
    <n v="32.715699999999998"/>
    <n v="-117.1611"/>
    <d v="2022-12-17T00:00:00"/>
    <n v="3"/>
    <x v="1"/>
    <d v="2025-06-01T00:00:00"/>
    <s v="40–49"/>
    <s v="40–49"/>
  </r>
  <r>
    <n v="15"/>
    <x v="0"/>
    <n v="2"/>
    <s v="Fri, Sun"/>
    <b v="0"/>
    <d v="1899-12-30T09:12:00"/>
    <d v="1899-12-30T11:42:00"/>
    <n v="150"/>
    <x v="0"/>
    <b v="1"/>
    <b v="0"/>
    <s v="Non-binary"/>
    <x v="0"/>
    <x v="0"/>
    <n v="50"/>
    <x v="1"/>
    <n v="0"/>
    <n v="50"/>
    <x v="0"/>
    <s v="Long Beach, CA"/>
    <n v="33.770099999999999"/>
    <n v="-118.19370000000001"/>
    <d v="2023-01-05T00:00:00"/>
    <n v="4"/>
    <x v="1"/>
    <d v="2025-06-02T00:00:00"/>
    <s v="10–19"/>
    <s v="Under 16"/>
  </r>
  <r>
    <n v="35"/>
    <x v="0"/>
    <n v="3"/>
    <s v="Sat, Tue, Wed"/>
    <b v="0"/>
    <d v="1899-12-30T16:35:00"/>
    <d v="1899-12-30T17:35:00"/>
    <n v="60"/>
    <x v="1"/>
    <b v="0"/>
    <b v="0"/>
    <s v="Female"/>
    <x v="0"/>
    <x v="1"/>
    <n v="37.5"/>
    <x v="1"/>
    <n v="0"/>
    <n v="37.5"/>
    <x v="0"/>
    <s v="San Jose, CA"/>
    <n v="37.338200000000001"/>
    <n v="-121.88630000000001"/>
    <d v="2024-07-18T00:00:00"/>
    <n v="0"/>
    <x v="0"/>
    <d v="2025-07-03T00:00:00"/>
    <s v="30–39"/>
    <s v="30–39"/>
  </r>
  <r>
    <n v="33"/>
    <x v="1"/>
    <n v="2"/>
    <s v="Thu, Wed"/>
    <b v="0"/>
    <d v="1899-12-30T09:56:00"/>
    <d v="1899-12-30T12:52:00"/>
    <n v="176"/>
    <x v="0"/>
    <b v="1"/>
    <b v="1"/>
    <s v="Female"/>
    <x v="1"/>
    <x v="0"/>
    <n v="30"/>
    <x v="3"/>
    <n v="0.15"/>
    <n v="25.5"/>
    <x v="1"/>
    <s v="Fresno, CA"/>
    <n v="36.7378"/>
    <n v="-119.7871"/>
    <d v="2023-01-22T00:00:00"/>
    <n v="7"/>
    <x v="0"/>
    <d v="2025-06-03T00:00:00"/>
    <s v="30–39"/>
    <s v="30–39"/>
  </r>
  <r>
    <n v="43"/>
    <x v="3"/>
    <n v="1"/>
    <s v="Fri"/>
    <b v="1"/>
    <d v="1899-12-30T20:09:00"/>
    <d v="1899-12-30T21:57:00"/>
    <n v="108"/>
    <x v="0"/>
    <b v="0"/>
    <b v="1"/>
    <s v="Prefer not to say"/>
    <x v="3"/>
    <x v="0"/>
    <n v="70"/>
    <x v="1"/>
    <n v="0"/>
    <n v="70"/>
    <x v="3"/>
    <s v="Anaheim, CA"/>
    <n v="33.836599999999997"/>
    <n v="-117.9143"/>
    <d v="2025-05-14T00:00:00"/>
    <n v="0"/>
    <x v="0"/>
    <d v="2025-07-20T00:00:00"/>
    <s v="40–49"/>
    <s v="40–49"/>
  </r>
  <r>
    <n v="28"/>
    <x v="2"/>
    <n v="3"/>
    <s v="Fri, Mon, Thu"/>
    <b v="0"/>
    <d v="1899-12-30T10:11:00"/>
    <d v="1899-12-30T12:26:00"/>
    <n v="135"/>
    <x v="1"/>
    <b v="0"/>
    <b v="1"/>
    <s v="Female"/>
    <x v="2"/>
    <x v="0"/>
    <n v="20"/>
    <x v="1"/>
    <n v="0"/>
    <n v="20"/>
    <x v="2"/>
    <s v="San Diego, CA"/>
    <n v="32.715699999999998"/>
    <n v="-117.1611"/>
    <d v="2023-09-26T00:00:00"/>
    <n v="0"/>
    <x v="1"/>
    <d v="2025-06-17T00:00:00"/>
    <s v="20–29"/>
    <s v="20–29"/>
  </r>
  <r>
    <n v="17"/>
    <x v="0"/>
    <n v="5"/>
    <s v="Fri, Mon, Sat, Sun, Wed"/>
    <b v="1"/>
    <d v="1899-12-30T13:50:00"/>
    <d v="1899-12-30T14:29:00"/>
    <n v="39"/>
    <x v="1"/>
    <b v="1"/>
    <b v="1"/>
    <s v="Female"/>
    <x v="0"/>
    <x v="2"/>
    <n v="45"/>
    <x v="3"/>
    <n v="0.15"/>
    <n v="38.25"/>
    <x v="0"/>
    <s v="Sacramento, CA"/>
    <n v="38.581600000000002"/>
    <n v="-121.4944"/>
    <d v="2024-10-21T00:00:00"/>
    <n v="7"/>
    <x v="0"/>
    <d v="2025-07-09T00:00:00"/>
    <s v="10–19"/>
    <s v="16–19"/>
  </r>
  <r>
    <n v="23"/>
    <x v="2"/>
    <n v="2"/>
    <s v="Fri, Tue"/>
    <b v="0"/>
    <d v="1899-12-30T19:04:00"/>
    <d v="1899-12-30T19:56:00"/>
    <n v="52"/>
    <x v="1"/>
    <b v="0"/>
    <b v="1"/>
    <s v="Female"/>
    <x v="2"/>
    <x v="0"/>
    <n v="20"/>
    <x v="0"/>
    <n v="0.05"/>
    <n v="19"/>
    <x v="2"/>
    <s v="Bakersfield, CA"/>
    <n v="35.3733"/>
    <n v="-119.0187"/>
    <d v="2025-02-14T00:00:00"/>
    <n v="0"/>
    <x v="1"/>
    <d v="2025-07-15T00:00:00"/>
    <s v="20–29"/>
    <s v="20–29"/>
  </r>
  <r>
    <n v="36"/>
    <x v="0"/>
    <n v="2"/>
    <s v="Sat, Wed"/>
    <b v="0"/>
    <d v="1899-12-30T16:49:00"/>
    <d v="1899-12-30T19:10:00"/>
    <n v="141"/>
    <x v="0"/>
    <b v="1"/>
    <b v="1"/>
    <s v="Female"/>
    <x v="0"/>
    <x v="1"/>
    <n v="37.5"/>
    <x v="3"/>
    <n v="0.15"/>
    <n v="31.875"/>
    <x v="0"/>
    <s v="Oakland, CA"/>
    <n v="37.804400000000001"/>
    <n v="-122.27119999999999"/>
    <d v="2025-04-02T00:00:00"/>
    <n v="4"/>
    <x v="0"/>
    <d v="2025-07-18T00:00:00"/>
    <s v="30–39"/>
    <s v="30–39"/>
  </r>
  <r>
    <n v="17"/>
    <x v="0"/>
    <n v="3"/>
    <s v="Fri, Mon, Tue"/>
    <b v="1"/>
    <d v="1899-12-30T11:51:00"/>
    <d v="1899-12-30T14:30:00"/>
    <n v="159"/>
    <x v="0"/>
    <b v="0"/>
    <b v="1"/>
    <s v="Female"/>
    <x v="0"/>
    <x v="0"/>
    <n v="50"/>
    <x v="0"/>
    <n v="0.05"/>
    <n v="47.5"/>
    <x v="0"/>
    <s v="Los Angeles, CA"/>
    <n v="34.052199999999999"/>
    <n v="-118.2437"/>
    <d v="2023-06-12T00:00:00"/>
    <n v="0"/>
    <x v="0"/>
    <d v="2025-06-11T00:00:00"/>
    <s v="10–19"/>
    <s v="16–19"/>
  </r>
  <r>
    <n v="46"/>
    <x v="1"/>
    <n v="3"/>
    <s v="Sat, Thu, Tue"/>
    <b v="0"/>
    <d v="1899-12-30T18:28:00"/>
    <d v="1899-12-30T19:40:00"/>
    <n v="72"/>
    <x v="0"/>
    <b v="1"/>
    <b v="0"/>
    <s v="Male"/>
    <x v="1"/>
    <x v="0"/>
    <n v="30"/>
    <x v="3"/>
    <n v="0.15"/>
    <n v="25.5"/>
    <x v="1"/>
    <s v="Oakland, CA"/>
    <n v="37.804400000000001"/>
    <n v="-122.27119999999999"/>
    <d v="2024-06-26T00:00:00"/>
    <n v="4"/>
    <x v="1"/>
    <d v="2025-07-02T00:00:00"/>
    <s v="40–49"/>
    <s v="40–49"/>
  </r>
  <r>
    <n v="12"/>
    <x v="0"/>
    <n v="5"/>
    <s v="Mon, Sun, Thu, Tue, Wed"/>
    <b v="1"/>
    <d v="1899-12-30T18:32:00"/>
    <d v="1899-12-30T19:28:00"/>
    <n v="56"/>
    <x v="1"/>
    <b v="0"/>
    <b v="1"/>
    <s v="Male"/>
    <x v="0"/>
    <x v="0"/>
    <n v="50"/>
    <x v="2"/>
    <n v="0.1"/>
    <n v="45"/>
    <x v="0"/>
    <s v="San Jose, CA"/>
    <n v="37.338200000000001"/>
    <n v="-121.88630000000001"/>
    <d v="2023-05-13T00:00:00"/>
    <n v="0"/>
    <x v="0"/>
    <d v="2025-06-09T00:00:00"/>
    <s v="10–19"/>
    <s v="Under 16"/>
  </r>
  <r>
    <n v="29"/>
    <x v="3"/>
    <n v="3"/>
    <s v="Mon, Sat, Sun"/>
    <b v="1"/>
    <d v="1899-12-30T09:13:00"/>
    <d v="1899-12-30T11:27:00"/>
    <n v="134"/>
    <x v="0"/>
    <b v="0"/>
    <b v="1"/>
    <s v="Female"/>
    <x v="3"/>
    <x v="0"/>
    <n v="70"/>
    <x v="0"/>
    <n v="0.05"/>
    <n v="66.5"/>
    <x v="3"/>
    <s v="Sacramento, CA"/>
    <n v="38.581600000000002"/>
    <n v="-121.4944"/>
    <d v="2025-04-14T00:00:00"/>
    <n v="0"/>
    <x v="0"/>
    <d v="2025-07-19T00:00:00"/>
    <s v="20–29"/>
    <s v="20–29"/>
  </r>
  <r>
    <n v="20"/>
    <x v="0"/>
    <n v="2"/>
    <s v="Fri, Sat"/>
    <b v="0"/>
    <d v="1899-12-30T18:54:00"/>
    <d v="1899-12-30T19:37:00"/>
    <n v="43"/>
    <x v="1"/>
    <b v="1"/>
    <b v="1"/>
    <s v="Male"/>
    <x v="0"/>
    <x v="0"/>
    <n v="50"/>
    <x v="3"/>
    <n v="0.15"/>
    <n v="42.5"/>
    <x v="0"/>
    <s v="Oakland, CA"/>
    <n v="37.804400000000001"/>
    <n v="-122.27119999999999"/>
    <d v="2024-07-22T00:00:00"/>
    <n v="4"/>
    <x v="0"/>
    <d v="2025-07-04T00:00:00"/>
    <s v="20–29"/>
    <s v="20–29"/>
  </r>
  <r>
    <n v="14"/>
    <x v="0"/>
    <n v="5"/>
    <s v="Sat, Sun, Thu, Tue, Wed"/>
    <b v="1"/>
    <d v="1899-12-30T20:16:00"/>
    <d v="1899-12-30T22:33:00"/>
    <n v="137"/>
    <x v="0"/>
    <b v="0"/>
    <b v="1"/>
    <s v="Female"/>
    <x v="0"/>
    <x v="0"/>
    <n v="50"/>
    <x v="1"/>
    <n v="0"/>
    <n v="50"/>
    <x v="0"/>
    <s v="Bakersfield, CA"/>
    <n v="35.3733"/>
    <n v="-119.0187"/>
    <d v="2023-11-26T00:00:00"/>
    <n v="0"/>
    <x v="0"/>
    <d v="2025-06-20T00:00:00"/>
    <s v="10–19"/>
    <s v="Under 16"/>
  </r>
  <r>
    <n v="29"/>
    <x v="1"/>
    <n v="3"/>
    <s v="Mon, Sat, Sun"/>
    <b v="0"/>
    <d v="1899-12-30T11:00:00"/>
    <d v="1899-12-30T12:12:00"/>
    <n v="72"/>
    <x v="1"/>
    <b v="0"/>
    <b v="0"/>
    <s v="Male"/>
    <x v="1"/>
    <x v="0"/>
    <n v="30"/>
    <x v="2"/>
    <n v="0.1"/>
    <n v="27"/>
    <x v="1"/>
    <s v="Oakland, CA"/>
    <n v="37.804400000000001"/>
    <n v="-122.27119999999999"/>
    <d v="2023-03-03T00:00:00"/>
    <n v="0"/>
    <x v="0"/>
    <d v="2025-06-05T00:00:00"/>
    <s v="20–29"/>
    <s v="20–29"/>
  </r>
  <r>
    <n v="49"/>
    <x v="1"/>
    <n v="3"/>
    <s v="Mon, Sat, Sun"/>
    <b v="0"/>
    <d v="1899-12-30T15:25:00"/>
    <d v="1899-12-30T18:05:00"/>
    <n v="160"/>
    <x v="1"/>
    <b v="0"/>
    <b v="1"/>
    <s v="Female"/>
    <x v="1"/>
    <x v="0"/>
    <n v="30"/>
    <x v="2"/>
    <n v="0.1"/>
    <n v="27"/>
    <x v="1"/>
    <s v="Los Angeles, CA"/>
    <n v="34.052199999999999"/>
    <n v="-118.2437"/>
    <d v="2024-07-18T00:00:00"/>
    <n v="0"/>
    <x v="1"/>
    <d v="2025-07-03T00:00:00"/>
    <s v="40–49"/>
    <s v="40–49"/>
  </r>
  <r>
    <n v="37"/>
    <x v="0"/>
    <n v="1"/>
    <s v="Sun"/>
    <b v="1"/>
    <d v="1899-12-30T15:55:00"/>
    <d v="1899-12-30T16:33:00"/>
    <n v="38"/>
    <x v="0"/>
    <b v="0"/>
    <b v="0"/>
    <s v="Prefer not to say"/>
    <x v="0"/>
    <x v="0"/>
    <n v="50"/>
    <x v="1"/>
    <n v="0"/>
    <n v="50"/>
    <x v="0"/>
    <s v="San Jose, CA"/>
    <n v="37.338200000000001"/>
    <n v="-121.88630000000001"/>
    <d v="2023-08-26T00:00:00"/>
    <n v="0"/>
    <x v="0"/>
    <d v="2025-06-15T00:00:00"/>
    <s v="30–39"/>
    <s v="30–39"/>
  </r>
  <r>
    <n v="29"/>
    <x v="0"/>
    <n v="5"/>
    <s v="Fri, Mon, Sat, Thu, Wed"/>
    <b v="1"/>
    <d v="1899-12-30T09:38:00"/>
    <d v="1899-12-30T10:39:00"/>
    <n v="61"/>
    <x v="0"/>
    <b v="0"/>
    <b v="1"/>
    <s v="Female"/>
    <x v="0"/>
    <x v="1"/>
    <n v="37.5"/>
    <x v="3"/>
    <n v="0.15"/>
    <n v="31.875"/>
    <x v="0"/>
    <s v="Los Angeles, CA"/>
    <n v="34.052199999999999"/>
    <n v="-118.2437"/>
    <d v="2022-11-22T00:00:00"/>
    <n v="0"/>
    <x v="1"/>
    <d v="2025-05-30T00:00:00"/>
    <s v="20–29"/>
    <s v="20–29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9-06T00:00:00"/>
    <n v="6"/>
    <x v="0"/>
    <d v="2025-06-16T00:00:00"/>
    <s v="20–29"/>
    <s v="20–29"/>
  </r>
  <r>
    <n v="14"/>
    <x v="2"/>
    <n v="2"/>
    <s v="Sat, Sun"/>
    <b v="0"/>
    <d v="1899-12-30T10:09:00"/>
    <d v="1899-12-30T11:15:00"/>
    <n v="66"/>
    <x v="0"/>
    <b v="1"/>
    <b v="1"/>
    <s v="Female"/>
    <x v="2"/>
    <x v="0"/>
    <n v="20"/>
    <x v="1"/>
    <n v="0"/>
    <n v="20"/>
    <x v="2"/>
    <s v="San Francisco, CA"/>
    <n v="37.774900000000002"/>
    <n v="-122.4194"/>
    <d v="2024-10-17T00:00:00"/>
    <n v="4"/>
    <x v="1"/>
    <d v="2025-07-09T00:00:00"/>
    <s v="10–19"/>
    <s v="Under 16"/>
  </r>
  <r>
    <n v="20"/>
    <x v="1"/>
    <n v="1"/>
    <s v="Tue"/>
    <b v="0"/>
    <d v="1899-12-30T08:55:00"/>
    <d v="1899-12-30T10:23:00"/>
    <n v="88"/>
    <x v="1"/>
    <b v="1"/>
    <b v="1"/>
    <s v="Female"/>
    <x v="1"/>
    <x v="0"/>
    <n v="30"/>
    <x v="1"/>
    <n v="0"/>
    <n v="30"/>
    <x v="1"/>
    <s v="San Francisco, CA"/>
    <n v="37.774900000000002"/>
    <n v="-122.4194"/>
    <d v="2025-05-28T00:00:00"/>
    <n v="5"/>
    <x v="1"/>
    <d v="2025-07-21T00:00:00"/>
    <s v="20–29"/>
    <s v="20–29"/>
  </r>
  <r>
    <n v="21"/>
    <x v="0"/>
    <n v="3"/>
    <s v="Fri, Sat, Tue"/>
    <b v="0"/>
    <d v="1899-12-30T09:22:00"/>
    <d v="1899-12-30T10:52:00"/>
    <n v="90"/>
    <x v="1"/>
    <b v="1"/>
    <b v="0"/>
    <s v="Male"/>
    <x v="0"/>
    <x v="0"/>
    <n v="50"/>
    <x v="1"/>
    <n v="0"/>
    <n v="50"/>
    <x v="0"/>
    <s v="Bakersfield, CA"/>
    <n v="35.3733"/>
    <n v="-119.0187"/>
    <d v="2022-12-09T00:00:00"/>
    <n v="3"/>
    <x v="0"/>
    <d v="2025-05-31T00:00:00"/>
    <s v="20–29"/>
    <s v="20–29"/>
  </r>
  <r>
    <n v="32"/>
    <x v="1"/>
    <n v="3"/>
    <s v="Fri, Sun, Tue"/>
    <b v="1"/>
    <d v="1899-12-30T12:16:00"/>
    <d v="1899-12-30T13:03:00"/>
    <n v="47"/>
    <x v="0"/>
    <b v="1"/>
    <b v="0"/>
    <s v="Male"/>
    <x v="1"/>
    <x v="2"/>
    <n v="27"/>
    <x v="1"/>
    <n v="0"/>
    <n v="27"/>
    <x v="1"/>
    <s v="Fresno, CA"/>
    <n v="36.7378"/>
    <n v="-119.7871"/>
    <d v="2025-05-31T00:00:00"/>
    <n v="6"/>
    <x v="1"/>
    <d v="2025-07-21T00:00:00"/>
    <s v="30–39"/>
    <s v="30–3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2-12-04T00:00:00"/>
    <n v="4"/>
    <x v="0"/>
    <d v="2025-05-31T00:00:00"/>
    <s v="30–39"/>
    <s v="30–39"/>
  </r>
  <r>
    <n v="33"/>
    <x v="2"/>
    <n v="2"/>
    <s v="Mon, Wed"/>
    <b v="1"/>
    <d v="1899-12-30T20:25:00"/>
    <d v="1899-12-30T23:16:00"/>
    <n v="171"/>
    <x v="1"/>
    <b v="0"/>
    <b v="0"/>
    <s v="Female"/>
    <x v="2"/>
    <x v="0"/>
    <n v="20"/>
    <x v="2"/>
    <n v="0.1"/>
    <n v="18"/>
    <x v="2"/>
    <s v="Anaheim, CA"/>
    <n v="33.836599999999997"/>
    <n v="-117.9143"/>
    <d v="2023-12-07T00:00:00"/>
    <n v="0"/>
    <x v="1"/>
    <d v="2025-06-21T00:00:00"/>
    <s v="30–39"/>
    <s v="30–39"/>
  </r>
  <r>
    <n v="29"/>
    <x v="3"/>
    <n v="3"/>
    <s v="Sat, Tue, Wed"/>
    <b v="0"/>
    <d v="1899-12-30T10:28:00"/>
    <d v="1899-12-30T11:36:00"/>
    <n v="68"/>
    <x v="0"/>
    <b v="1"/>
    <b v="1"/>
    <s v="Male"/>
    <x v="3"/>
    <x v="0"/>
    <n v="70"/>
    <x v="1"/>
    <n v="0"/>
    <n v="70"/>
    <x v="3"/>
    <s v="San Francisco, CA"/>
    <n v="37.774900000000002"/>
    <n v="-122.4194"/>
    <d v="2022-09-26T00:00:00"/>
    <n v="2"/>
    <x v="1"/>
    <d v="2025-05-27T00:00:00"/>
    <s v="20–29"/>
    <s v="20–29"/>
  </r>
  <r>
    <n v="25"/>
    <x v="0"/>
    <n v="2"/>
    <s v="Tue, Wed"/>
    <b v="0"/>
    <d v="1899-12-30T20:20:00"/>
    <d v="1899-12-30T23:10:00"/>
    <n v="170"/>
    <x v="1"/>
    <b v="0"/>
    <b v="0"/>
    <s v="Prefer not to say"/>
    <x v="0"/>
    <x v="2"/>
    <n v="45"/>
    <x v="0"/>
    <n v="0.05"/>
    <n v="42.75"/>
    <x v="0"/>
    <s v="Fresno, CA"/>
    <n v="36.7378"/>
    <n v="-119.7871"/>
    <d v="2023-02-23T00:00:00"/>
    <n v="0"/>
    <x v="0"/>
    <d v="2025-06-05T00:00:00"/>
    <s v="20–29"/>
    <s v="20–29"/>
  </r>
  <r>
    <n v="35"/>
    <x v="2"/>
    <n v="1"/>
    <s v="Thu"/>
    <b v="1"/>
    <d v="1899-12-30T16:27:00"/>
    <d v="1899-12-30T17:25:00"/>
    <n v="58"/>
    <x v="0"/>
    <b v="1"/>
    <b v="1"/>
    <s v="Female"/>
    <x v="2"/>
    <x v="0"/>
    <n v="20"/>
    <x v="1"/>
    <n v="0"/>
    <n v="20"/>
    <x v="2"/>
    <s v="San Diego, CA"/>
    <n v="32.715699999999998"/>
    <n v="-117.1611"/>
    <d v="2022-07-26T00:00:00"/>
    <n v="8"/>
    <x v="1"/>
    <d v="2025-05-24T00:00:00"/>
    <s v="30–39"/>
    <s v="30–39"/>
  </r>
  <r>
    <n v="46"/>
    <x v="2"/>
    <n v="4"/>
    <s v="Mon, Sat, Thu, Wed"/>
    <b v="1"/>
    <d v="1899-12-30T16:32:00"/>
    <d v="1899-12-30T18:14:00"/>
    <n v="102"/>
    <x v="1"/>
    <b v="1"/>
    <b v="1"/>
    <s v="Female"/>
    <x v="2"/>
    <x v="0"/>
    <n v="20"/>
    <x v="1"/>
    <n v="0"/>
    <n v="20"/>
    <x v="2"/>
    <s v="San Francisco, CA"/>
    <n v="37.774900000000002"/>
    <n v="-122.4194"/>
    <d v="2024-06-14T00:00:00"/>
    <n v="2"/>
    <x v="1"/>
    <d v="2025-07-01T00:00:00"/>
    <s v="40–49"/>
    <s v="40–49"/>
  </r>
  <r>
    <n v="47"/>
    <x v="0"/>
    <n v="2"/>
    <s v="Sun, Tue"/>
    <b v="1"/>
    <d v="1899-12-30T15:09:00"/>
    <d v="1899-12-30T16:18:00"/>
    <n v="69"/>
    <x v="1"/>
    <b v="1"/>
    <b v="1"/>
    <s v="Prefer not to say"/>
    <x v="0"/>
    <x v="1"/>
    <n v="37.5"/>
    <x v="0"/>
    <n v="0.05"/>
    <n v="35.625"/>
    <x v="0"/>
    <s v="Los Angeles, CA"/>
    <n v="34.052199999999999"/>
    <n v="-118.2437"/>
    <d v="2023-03-28T00:00:00"/>
    <n v="3"/>
    <x v="1"/>
    <d v="2025-06-06T00:00:00"/>
    <s v="40–49"/>
    <s v="40–49"/>
  </r>
  <r>
    <n v="34"/>
    <x v="0"/>
    <n v="2"/>
    <s v="Tue, Wed"/>
    <b v="0"/>
    <d v="1899-12-30T17:18:00"/>
    <d v="1899-12-30T18:57:00"/>
    <n v="99"/>
    <x v="1"/>
    <b v="1"/>
    <b v="0"/>
    <s v="Non-binary"/>
    <x v="0"/>
    <x v="0"/>
    <n v="50"/>
    <x v="2"/>
    <n v="0.1"/>
    <n v="45"/>
    <x v="0"/>
    <s v="Bakersfield, CA"/>
    <n v="35.3733"/>
    <n v="-119.0187"/>
    <d v="2024-04-20T00:00:00"/>
    <n v="7"/>
    <x v="1"/>
    <d v="2025-06-28T00:00:00"/>
    <s v="30–39"/>
    <s v="30–39"/>
  </r>
  <r>
    <n v="23"/>
    <x v="2"/>
    <n v="2"/>
    <s v="Fri, Tue"/>
    <b v="0"/>
    <d v="1899-12-30T19:04:00"/>
    <d v="1899-12-30T19:56:00"/>
    <n v="52"/>
    <x v="1"/>
    <b v="0"/>
    <b v="1"/>
    <s v="Female"/>
    <x v="2"/>
    <x v="0"/>
    <n v="20"/>
    <x v="0"/>
    <n v="0.05"/>
    <n v="19"/>
    <x v="2"/>
    <s v="Bakersfield, CA"/>
    <n v="35.3733"/>
    <n v="-119.0187"/>
    <d v="2024-01-28T00:00:00"/>
    <n v="0"/>
    <x v="1"/>
    <d v="2025-06-24T00:00:00"/>
    <s v="20–29"/>
    <s v="20–29"/>
  </r>
  <r>
    <n v="21"/>
    <x v="0"/>
    <n v="2"/>
    <s v="Fri, Sat"/>
    <b v="1"/>
    <d v="1899-12-30T14:55:00"/>
    <d v="1899-12-30T15:28:00"/>
    <n v="33"/>
    <x v="1"/>
    <b v="1"/>
    <b v="0"/>
    <s v="Female"/>
    <x v="0"/>
    <x v="0"/>
    <n v="50"/>
    <x v="0"/>
    <n v="0.05"/>
    <n v="47.5"/>
    <x v="0"/>
    <s v="San Jose, CA"/>
    <n v="37.338200000000001"/>
    <n v="-121.88630000000001"/>
    <d v="2023-08-24T00:00:00"/>
    <n v="1"/>
    <x v="0"/>
    <d v="2025-06-15T00:00:00"/>
    <s v="20–29"/>
    <s v="20–29"/>
  </r>
  <r>
    <n v="17"/>
    <x v="1"/>
    <n v="2"/>
    <s v="Tue, Wed"/>
    <b v="0"/>
    <d v="1899-12-30T08:06:00"/>
    <d v="1899-12-30T08:47:00"/>
    <n v="41"/>
    <x v="1"/>
    <b v="0"/>
    <b v="1"/>
    <s v="Male"/>
    <x v="1"/>
    <x v="1"/>
    <n v="22.5"/>
    <x v="2"/>
    <n v="0.1"/>
    <n v="20.25"/>
    <x v="1"/>
    <s v="Long Beach, CA"/>
    <n v="33.770099999999999"/>
    <n v="-118.19370000000001"/>
    <d v="2022-12-05T00:00:00"/>
    <n v="0"/>
    <x v="1"/>
    <d v="2025-05-31T00:00:00"/>
    <s v="10–19"/>
    <s v="16–19"/>
  </r>
  <r>
    <n v="40"/>
    <x v="2"/>
    <n v="2"/>
    <s v="Fri, Tue"/>
    <b v="0"/>
    <d v="1899-12-30T17:21:00"/>
    <d v="1899-12-30T19:53:00"/>
    <n v="152"/>
    <x v="1"/>
    <b v="1"/>
    <b v="1"/>
    <s v="Male"/>
    <x v="2"/>
    <x v="0"/>
    <n v="20"/>
    <x v="1"/>
    <n v="0"/>
    <n v="20"/>
    <x v="2"/>
    <s v="Long Beach, CA"/>
    <n v="33.770099999999999"/>
    <n v="-118.19370000000001"/>
    <d v="2022-08-09T00:00:00"/>
    <n v="1"/>
    <x v="1"/>
    <d v="2025-05-24T00:00:00"/>
    <s v="40–49"/>
    <s v="40–49"/>
  </r>
  <r>
    <n v="45"/>
    <x v="2"/>
    <n v="3"/>
    <s v="Fri, Mon, Wed"/>
    <b v="1"/>
    <d v="1899-12-30T15:39:00"/>
    <d v="1899-12-30T17:34:00"/>
    <n v="115"/>
    <x v="1"/>
    <b v="1"/>
    <b v="1"/>
    <s v="Male"/>
    <x v="2"/>
    <x v="1"/>
    <n v="15"/>
    <x v="2"/>
    <n v="0.1"/>
    <n v="13.5"/>
    <x v="2"/>
    <s v="Anaheim, CA"/>
    <n v="33.836599999999997"/>
    <n v="-117.9143"/>
    <d v="2023-03-27T00:00:00"/>
    <n v="8"/>
    <x v="1"/>
    <d v="2025-06-06T00:00:00"/>
    <s v="40–49"/>
    <s v="40–49"/>
  </r>
  <r>
    <n v="45"/>
    <x v="0"/>
    <n v="4"/>
    <s v="Fri, Sun, Thu, Tue"/>
    <b v="0"/>
    <d v="1899-12-30T10:05:00"/>
    <d v="1899-12-30T10:55:00"/>
    <n v="50"/>
    <x v="1"/>
    <b v="1"/>
    <b v="1"/>
    <s v="Male"/>
    <x v="0"/>
    <x v="1"/>
    <n v="37.5"/>
    <x v="0"/>
    <n v="0.05"/>
    <n v="35.625"/>
    <x v="0"/>
    <s v="Sacramento, CA"/>
    <n v="38.581600000000002"/>
    <n v="-121.4944"/>
    <d v="2024-04-04T00:00:00"/>
    <n v="7"/>
    <x v="0"/>
    <d v="2025-06-27T00:00:00"/>
    <s v="40–49"/>
    <s v="40–49"/>
  </r>
  <r>
    <n v="28"/>
    <x v="2"/>
    <n v="2"/>
    <s v="Fri, Tue"/>
    <b v="0"/>
    <d v="1899-12-30T14:12:00"/>
    <d v="1899-12-30T15:26:00"/>
    <n v="74"/>
    <x v="1"/>
    <b v="0"/>
    <b v="0"/>
    <s v="Female"/>
    <x v="2"/>
    <x v="0"/>
    <n v="20"/>
    <x v="0"/>
    <n v="0.05"/>
    <n v="19"/>
    <x v="2"/>
    <s v="Oakland, CA"/>
    <n v="37.804400000000001"/>
    <n v="-122.27119999999999"/>
    <d v="2024-03-31T00:00:00"/>
    <n v="0"/>
    <x v="1"/>
    <d v="2025-06-27T00:00:00"/>
    <s v="20–29"/>
    <s v="20–29"/>
  </r>
  <r>
    <n v="27"/>
    <x v="1"/>
    <n v="5"/>
    <s v="Fri, Mon, Sun, Tue, Wed"/>
    <b v="0"/>
    <d v="1899-12-30T18:22:00"/>
    <d v="1899-12-30T19:04:00"/>
    <n v="42"/>
    <x v="0"/>
    <b v="0"/>
    <b v="0"/>
    <s v="Non-binary"/>
    <x v="1"/>
    <x v="1"/>
    <n v="22.5"/>
    <x v="1"/>
    <n v="0"/>
    <n v="22.5"/>
    <x v="1"/>
    <s v="Long Beach, CA"/>
    <n v="33.770099999999999"/>
    <n v="-118.19370000000001"/>
    <d v="2023-04-29T00:00:00"/>
    <n v="0"/>
    <x v="1"/>
    <d v="2025-06-08T00:00:00"/>
    <s v="20–29"/>
    <s v="20–29"/>
  </r>
  <r>
    <n v="17"/>
    <x v="1"/>
    <n v="2"/>
    <s v="Sat, Tue"/>
    <b v="1"/>
    <d v="1899-12-30T10:09:00"/>
    <d v="1899-12-30T11:05:00"/>
    <n v="56"/>
    <x v="0"/>
    <b v="0"/>
    <b v="1"/>
    <s v="Prefer not to say"/>
    <x v="1"/>
    <x v="1"/>
    <n v="22.5"/>
    <x v="1"/>
    <n v="0"/>
    <n v="22.5"/>
    <x v="1"/>
    <s v="San Diego, CA"/>
    <n v="32.715699999999998"/>
    <n v="-117.1611"/>
    <d v="2024-10-11T00:00:00"/>
    <n v="0"/>
    <x v="1"/>
    <d v="2025-07-08T00:00:00"/>
    <s v="10–19"/>
    <s v="16–19"/>
  </r>
  <r>
    <n v="45"/>
    <x v="2"/>
    <n v="2"/>
    <s v="Fri, Wed"/>
    <b v="1"/>
    <d v="1899-12-30T18:26:00"/>
    <d v="1899-12-30T21:21:00"/>
    <n v="175"/>
    <x v="1"/>
    <b v="1"/>
    <b v="0"/>
    <s v="Male"/>
    <x v="2"/>
    <x v="1"/>
    <n v="15"/>
    <x v="3"/>
    <n v="0.15"/>
    <n v="12.75"/>
    <x v="2"/>
    <s v="San Francisco, CA"/>
    <n v="37.774900000000002"/>
    <n v="-122.4194"/>
    <d v="2025-02-25T00:00:00"/>
    <n v="6"/>
    <x v="1"/>
    <d v="2025-07-16T00:00:00"/>
    <s v="40–49"/>
    <s v="40–49"/>
  </r>
  <r>
    <n v="25"/>
    <x v="0"/>
    <n v="5"/>
    <s v="Mon, Sat, Sun, Thu, Wed"/>
    <b v="1"/>
    <d v="1899-12-30T12:25:00"/>
    <d v="1899-12-30T13:40:00"/>
    <n v="75"/>
    <x v="1"/>
    <b v="0"/>
    <b v="1"/>
    <s v="Male"/>
    <x v="0"/>
    <x v="0"/>
    <n v="50"/>
    <x v="1"/>
    <n v="0"/>
    <n v="50"/>
    <x v="0"/>
    <s v="San Jose, CA"/>
    <n v="37.338200000000001"/>
    <n v="-121.88630000000001"/>
    <d v="2024-06-10T00:00:00"/>
    <n v="0"/>
    <x v="0"/>
    <d v="2025-07-01T00:00:00"/>
    <s v="20–29"/>
    <s v="20–29"/>
  </r>
  <r>
    <n v="27"/>
    <x v="0"/>
    <n v="1"/>
    <s v="Sun"/>
    <b v="0"/>
    <d v="1899-12-30T18:02:00"/>
    <d v="1899-12-30T19:46:00"/>
    <n v="104"/>
    <x v="1"/>
    <b v="0"/>
    <b v="0"/>
    <s v="Male"/>
    <x v="0"/>
    <x v="0"/>
    <n v="50"/>
    <x v="0"/>
    <n v="0.05"/>
    <n v="47.5"/>
    <x v="0"/>
    <s v="Bakersfield, CA"/>
    <n v="35.3733"/>
    <n v="-119.0187"/>
    <d v="2024-08-21T00:00:00"/>
    <n v="0"/>
    <x v="0"/>
    <d v="2025-07-05T00:00:00"/>
    <s v="20–29"/>
    <s v="20–29"/>
  </r>
  <r>
    <n v="49"/>
    <x v="1"/>
    <n v="1"/>
    <s v="Fri"/>
    <b v="1"/>
    <d v="1899-12-30T13:06:00"/>
    <d v="1899-12-30T14:29:00"/>
    <n v="83"/>
    <x v="0"/>
    <b v="1"/>
    <b v="1"/>
    <s v="Non-binary"/>
    <x v="1"/>
    <x v="0"/>
    <n v="30"/>
    <x v="0"/>
    <n v="0.05"/>
    <n v="28.5"/>
    <x v="1"/>
    <s v="Oakland, CA"/>
    <n v="37.804400000000001"/>
    <n v="-122.27119999999999"/>
    <d v="2024-08-11T00:00:00"/>
    <n v="6"/>
    <x v="1"/>
    <d v="2025-07-05T00:00:00"/>
    <s v="40–49"/>
    <s v="40–49"/>
  </r>
  <r>
    <n v="39"/>
    <x v="1"/>
    <n v="2"/>
    <s v="Tue, Wed"/>
    <b v="1"/>
    <d v="1899-12-30T15:14:00"/>
    <d v="1899-12-30T17:39:00"/>
    <n v="145"/>
    <x v="1"/>
    <b v="0"/>
    <b v="0"/>
    <s v="Male"/>
    <x v="1"/>
    <x v="1"/>
    <n v="22.5"/>
    <x v="0"/>
    <n v="0.05"/>
    <n v="21.375"/>
    <x v="1"/>
    <s v="Sacramento, CA"/>
    <n v="38.581600000000002"/>
    <n v="-121.4944"/>
    <d v="2024-10-17T00:00:00"/>
    <n v="0"/>
    <x v="0"/>
    <d v="2025-07-08T00:00:00"/>
    <s v="30–39"/>
    <s v="30–39"/>
  </r>
  <r>
    <n v="34"/>
    <x v="3"/>
    <n v="3"/>
    <s v="Fri, Sun, Tue"/>
    <b v="0"/>
    <d v="1899-12-30T10:54:00"/>
    <d v="1899-12-30T12:49:00"/>
    <n v="115"/>
    <x v="1"/>
    <b v="1"/>
    <b v="1"/>
    <s v="Male"/>
    <x v="3"/>
    <x v="1"/>
    <n v="52.5"/>
    <x v="1"/>
    <n v="0"/>
    <n v="52.5"/>
    <x v="3"/>
    <s v="Long Beach, CA"/>
    <n v="33.770099999999999"/>
    <n v="-118.19370000000001"/>
    <d v="2025-05-09T00:00:00"/>
    <n v="6"/>
    <x v="0"/>
    <d v="2025-07-20T00:00:00"/>
    <s v="30–39"/>
    <s v="30–39"/>
  </r>
  <r>
    <n v="24"/>
    <x v="0"/>
    <n v="2"/>
    <s v="Thu, Wed"/>
    <b v="1"/>
    <d v="1899-12-30T10:26:00"/>
    <d v="1899-12-30T10:58:00"/>
    <n v="32"/>
    <x v="1"/>
    <b v="0"/>
    <b v="0"/>
    <s v="Non-binary"/>
    <x v="0"/>
    <x v="0"/>
    <n v="50"/>
    <x v="1"/>
    <n v="0"/>
    <n v="50"/>
    <x v="0"/>
    <s v="Oakland, CA"/>
    <n v="37.804400000000001"/>
    <n v="-122.27119999999999"/>
    <d v="2025-06-03T00:00:00"/>
    <n v="0"/>
    <x v="1"/>
    <d v="2025-07-21T00:00:00"/>
    <s v="20–29"/>
    <s v="20–29"/>
  </r>
  <r>
    <n v="35"/>
    <x v="2"/>
    <n v="5"/>
    <s v="Sat, Sun, Thu, Tue, Wed"/>
    <b v="0"/>
    <d v="1899-12-30T10:41:00"/>
    <d v="1899-12-30T13:41:00"/>
    <n v="180"/>
    <x v="0"/>
    <b v="0"/>
    <b v="1"/>
    <s v="Female"/>
    <x v="2"/>
    <x v="0"/>
    <n v="20"/>
    <x v="3"/>
    <n v="0.15"/>
    <n v="17"/>
    <x v="2"/>
    <s v="Anaheim, CA"/>
    <n v="33.836599999999997"/>
    <n v="-117.9143"/>
    <d v="2022-08-06T00:00:00"/>
    <n v="0"/>
    <x v="0"/>
    <d v="2025-05-24T00:00:00"/>
    <s v="30–39"/>
    <s v="30–39"/>
  </r>
  <r>
    <n v="35"/>
    <x v="2"/>
    <n v="5"/>
    <s v="Sat, Sun, Thu, Tue, Wed"/>
    <b v="0"/>
    <d v="1899-12-30T10:41:00"/>
    <d v="1899-12-30T13:41:00"/>
    <n v="180"/>
    <x v="0"/>
    <b v="0"/>
    <b v="1"/>
    <s v="Female"/>
    <x v="2"/>
    <x v="0"/>
    <n v="20"/>
    <x v="3"/>
    <n v="0.15"/>
    <n v="17"/>
    <x v="2"/>
    <s v="Anaheim, CA"/>
    <n v="33.836599999999997"/>
    <n v="-117.9143"/>
    <d v="2024-03-24T00:00:00"/>
    <n v="0"/>
    <x v="1"/>
    <d v="2025-06-27T00:00:00"/>
    <s v="30–39"/>
    <s v="30–39"/>
  </r>
  <r>
    <n v="18"/>
    <x v="3"/>
    <n v="3"/>
    <s v="Fri, Thu, Wed"/>
    <b v="1"/>
    <d v="1899-12-30T18:43:00"/>
    <d v="1899-12-30T21:06:00"/>
    <n v="143"/>
    <x v="1"/>
    <b v="0"/>
    <b v="1"/>
    <s v="Female"/>
    <x v="3"/>
    <x v="0"/>
    <n v="70"/>
    <x v="2"/>
    <n v="0.1"/>
    <n v="63"/>
    <x v="3"/>
    <s v="Long Beach, CA"/>
    <n v="33.770099999999999"/>
    <n v="-118.19370000000001"/>
    <d v="2024-05-09T00:00:00"/>
    <n v="0"/>
    <x v="0"/>
    <d v="2025-06-29T00:00:00"/>
    <s v="10–19"/>
    <s v="16–19"/>
  </r>
  <r>
    <n v="13"/>
    <x v="3"/>
    <n v="5"/>
    <s v="Fri, Mon, Sat, Sun, Thu"/>
    <b v="1"/>
    <d v="1899-12-30T17:13:00"/>
    <d v="1899-12-30T19:00:00"/>
    <n v="107"/>
    <x v="0"/>
    <b v="0"/>
    <b v="0"/>
    <s v="Male"/>
    <x v="3"/>
    <x v="0"/>
    <n v="70"/>
    <x v="1"/>
    <n v="0"/>
    <n v="70"/>
    <x v="3"/>
    <s v="Bakersfield, CA"/>
    <n v="35.3733"/>
    <n v="-119.0187"/>
    <d v="2023-06-30T00:00:00"/>
    <n v="0"/>
    <x v="0"/>
    <d v="2025-06-12T00:00:00"/>
    <s v="10–19"/>
    <s v="Under 16"/>
  </r>
  <r>
    <n v="22"/>
    <x v="0"/>
    <n v="1"/>
    <s v="Thu"/>
    <b v="0"/>
    <d v="1899-12-30T09:43:00"/>
    <d v="1899-12-30T10:37:00"/>
    <n v="54"/>
    <x v="1"/>
    <b v="0"/>
    <b v="0"/>
    <s v="Male"/>
    <x v="0"/>
    <x v="0"/>
    <n v="50"/>
    <x v="0"/>
    <n v="0.05"/>
    <n v="47.5"/>
    <x v="0"/>
    <s v="Bakersfield, CA"/>
    <n v="35.3733"/>
    <n v="-119.0187"/>
    <d v="2024-11-02T00:00:00"/>
    <n v="0"/>
    <x v="0"/>
    <d v="2025-07-09T00:00:00"/>
    <s v="20–29"/>
    <s v="20–29"/>
  </r>
  <r>
    <n v="30"/>
    <x v="2"/>
    <n v="5"/>
    <s v="Fri, Mon, Sun, Thu, Wed"/>
    <b v="0"/>
    <d v="1899-12-30T17:29:00"/>
    <d v="1899-12-30T18:25:00"/>
    <n v="56"/>
    <x v="0"/>
    <b v="1"/>
    <b v="0"/>
    <s v="Non-binary"/>
    <x v="2"/>
    <x v="0"/>
    <n v="20"/>
    <x v="3"/>
    <n v="0.15"/>
    <n v="17"/>
    <x v="2"/>
    <s v="Fresno, CA"/>
    <n v="36.7378"/>
    <n v="-119.7871"/>
    <d v="2022-09-15T00:00:00"/>
    <n v="1"/>
    <x v="0"/>
    <d v="2025-05-27T00:00:00"/>
    <s v="30–39"/>
    <s v="30–39"/>
  </r>
  <r>
    <n v="36"/>
    <x v="0"/>
    <n v="3"/>
    <s v="Mon, Sat, Thu"/>
    <b v="0"/>
    <d v="1899-12-30T11:06:00"/>
    <d v="1899-12-30T11:44:00"/>
    <n v="38"/>
    <x v="1"/>
    <b v="1"/>
    <b v="0"/>
    <s v="Female"/>
    <x v="0"/>
    <x v="0"/>
    <n v="50"/>
    <x v="2"/>
    <n v="0.1"/>
    <n v="45"/>
    <x v="0"/>
    <s v="Anaheim, CA"/>
    <n v="33.836599999999997"/>
    <n v="-117.9143"/>
    <d v="2023-03-08T00:00:00"/>
    <n v="2"/>
    <x v="0"/>
    <d v="2025-06-05T00:00:00"/>
    <s v="30–39"/>
    <s v="30–39"/>
  </r>
  <r>
    <n v="30"/>
    <x v="0"/>
    <n v="1"/>
    <s v="Fri"/>
    <b v="0"/>
    <d v="1899-12-30T16:34:00"/>
    <d v="1899-12-30T19:02:00"/>
    <n v="148"/>
    <x v="0"/>
    <b v="0"/>
    <b v="1"/>
    <s v="Female"/>
    <x v="0"/>
    <x v="0"/>
    <n v="50"/>
    <x v="1"/>
    <n v="0"/>
    <n v="50"/>
    <x v="0"/>
    <s v="Bakersfield, CA"/>
    <n v="35.3733"/>
    <n v="-119.0187"/>
    <d v="2025-03-19T00:00:00"/>
    <n v="0"/>
    <x v="0"/>
    <d v="2025-07-17T00:00:00"/>
    <s v="30–39"/>
    <s v="30–39"/>
  </r>
  <r>
    <n v="29"/>
    <x v="0"/>
    <n v="5"/>
    <s v="Mon, Sat, Sun, Thu, Tue"/>
    <b v="0"/>
    <d v="1899-12-30T18:14:00"/>
    <d v="1899-12-30T21:04:00"/>
    <n v="170"/>
    <x v="0"/>
    <b v="0"/>
    <b v="0"/>
    <s v="Male"/>
    <x v="0"/>
    <x v="0"/>
    <n v="50"/>
    <x v="2"/>
    <n v="0.1"/>
    <n v="45"/>
    <x v="0"/>
    <s v="Long Beach, CA"/>
    <n v="33.770099999999999"/>
    <n v="-118.19370000000001"/>
    <d v="2024-04-04T00:00:00"/>
    <n v="0"/>
    <x v="0"/>
    <d v="2025-06-27T00:00:00"/>
    <s v="20–29"/>
    <s v="20–29"/>
  </r>
  <r>
    <n v="13"/>
    <x v="0"/>
    <n v="2"/>
    <s v="Mon, Tue"/>
    <b v="0"/>
    <d v="1899-12-30T17:27:00"/>
    <d v="1899-12-30T19:12:00"/>
    <n v="105"/>
    <x v="0"/>
    <b v="0"/>
    <b v="0"/>
    <s v="Prefer not to say"/>
    <x v="0"/>
    <x v="1"/>
    <n v="37.5"/>
    <x v="0"/>
    <n v="0.05"/>
    <n v="35.625"/>
    <x v="0"/>
    <s v="San Jose, CA"/>
    <n v="37.338200000000001"/>
    <n v="-121.88630000000001"/>
    <d v="2022-11-29T00:00:00"/>
    <n v="0"/>
    <x v="0"/>
    <d v="2025-05-31T00:00:00"/>
    <s v="10–19"/>
    <s v="Under 16"/>
  </r>
  <r>
    <n v="14"/>
    <x v="0"/>
    <n v="5"/>
    <s v="Sat, Sun, Thu, Tue, Wed"/>
    <b v="1"/>
    <d v="1899-12-30T10:49:00"/>
    <d v="1899-12-30T12:40:00"/>
    <n v="111"/>
    <x v="1"/>
    <b v="0"/>
    <b v="0"/>
    <s v="Male"/>
    <x v="0"/>
    <x v="1"/>
    <n v="37.5"/>
    <x v="3"/>
    <n v="0.15"/>
    <n v="31.875"/>
    <x v="0"/>
    <s v="Bakersfield, CA"/>
    <n v="35.3733"/>
    <n v="-119.0187"/>
    <d v="2022-09-20T00:00:00"/>
    <n v="0"/>
    <x v="0"/>
    <d v="2025-05-27T00:00:00"/>
    <s v="10–19"/>
    <s v="Under 16"/>
  </r>
  <r>
    <n v="45"/>
    <x v="0"/>
    <n v="5"/>
    <s v="Fri, Mon, Sun, Tue, Wed"/>
    <b v="1"/>
    <d v="1899-12-30T14:59:00"/>
    <d v="1899-12-30T16:59:00"/>
    <n v="120"/>
    <x v="0"/>
    <b v="0"/>
    <b v="1"/>
    <s v="Female"/>
    <x v="0"/>
    <x v="1"/>
    <n v="37.5"/>
    <x v="3"/>
    <n v="0.15"/>
    <n v="31.875"/>
    <x v="0"/>
    <s v="San Francisco, CA"/>
    <n v="37.774900000000002"/>
    <n v="-122.4194"/>
    <d v="2024-02-11T00:00:00"/>
    <n v="0"/>
    <x v="0"/>
    <d v="2025-06-24T00:00:00"/>
    <s v="40–49"/>
    <s v="40–49"/>
  </r>
  <r>
    <n v="25"/>
    <x v="1"/>
    <n v="2"/>
    <s v="Thu, Wed"/>
    <b v="0"/>
    <d v="1899-12-30T10:38:00"/>
    <d v="1899-12-30T12:32:00"/>
    <n v="114"/>
    <x v="1"/>
    <b v="1"/>
    <b v="0"/>
    <s v="Non-binary"/>
    <x v="1"/>
    <x v="1"/>
    <n v="22.5"/>
    <x v="0"/>
    <n v="0.05"/>
    <n v="21.375"/>
    <x v="1"/>
    <s v="Sacramento, CA"/>
    <n v="38.581600000000002"/>
    <n v="-121.4944"/>
    <d v="2023-09-08T00:00:00"/>
    <n v="1"/>
    <x v="0"/>
    <d v="2025-06-16T00:00:00"/>
    <s v="20–29"/>
    <s v="20–29"/>
  </r>
  <r>
    <n v="29"/>
    <x v="1"/>
    <n v="3"/>
    <s v="Mon, Sat, Thu"/>
    <b v="0"/>
    <d v="1899-12-30T15:05:00"/>
    <d v="1899-12-30T16:19:00"/>
    <n v="74"/>
    <x v="0"/>
    <b v="1"/>
    <b v="1"/>
    <s v="Non-binary"/>
    <x v="1"/>
    <x v="0"/>
    <n v="30"/>
    <x v="1"/>
    <n v="0"/>
    <n v="30"/>
    <x v="1"/>
    <s v="San Diego, CA"/>
    <n v="32.715699999999998"/>
    <n v="-117.1611"/>
    <d v="2024-12-27T00:00:00"/>
    <n v="5"/>
    <x v="0"/>
    <d v="2025-07-12T00:00:00"/>
    <s v="20–29"/>
    <s v="20–29"/>
  </r>
  <r>
    <n v="36"/>
    <x v="3"/>
    <n v="2"/>
    <s v="Mon, Sun"/>
    <b v="0"/>
    <d v="1899-12-30T15:38:00"/>
    <d v="1899-12-30T17:36:00"/>
    <n v="118"/>
    <x v="0"/>
    <b v="1"/>
    <b v="0"/>
    <s v="Female"/>
    <x v="3"/>
    <x v="0"/>
    <n v="70"/>
    <x v="0"/>
    <n v="0.05"/>
    <n v="66.5"/>
    <x v="3"/>
    <s v="Los Angeles, CA"/>
    <n v="34.052199999999999"/>
    <n v="-118.2437"/>
    <d v="2022-08-02T00:00:00"/>
    <n v="4"/>
    <x v="0"/>
    <d v="2025-05-24T00:00:00"/>
    <s v="30–39"/>
    <s v="30–39"/>
  </r>
  <r>
    <n v="18"/>
    <x v="0"/>
    <n v="4"/>
    <s v="Fri, Sat, Sun, Tue"/>
    <b v="1"/>
    <d v="1899-12-30T19:08:00"/>
    <d v="1899-12-30T21:32:00"/>
    <n v="144"/>
    <x v="1"/>
    <b v="0"/>
    <b v="0"/>
    <s v="Male"/>
    <x v="0"/>
    <x v="0"/>
    <n v="50"/>
    <x v="1"/>
    <n v="0"/>
    <n v="50"/>
    <x v="0"/>
    <s v="San Diego, CA"/>
    <n v="32.715699999999998"/>
    <n v="-117.1611"/>
    <d v="2024-10-19T00:00:00"/>
    <n v="0"/>
    <x v="1"/>
    <d v="2025-07-09T00:00:00"/>
    <s v="10–19"/>
    <s v="16–19"/>
  </r>
  <r>
    <n v="30"/>
    <x v="2"/>
    <n v="2"/>
    <s v="Sat, Wed"/>
    <b v="0"/>
    <d v="1899-12-30T08:38:00"/>
    <d v="1899-12-30T10:58:00"/>
    <n v="140"/>
    <x v="1"/>
    <b v="1"/>
    <b v="0"/>
    <s v="Prefer not to say"/>
    <x v="2"/>
    <x v="1"/>
    <n v="15"/>
    <x v="1"/>
    <n v="0"/>
    <n v="15"/>
    <x v="2"/>
    <s v="Sacramento, CA"/>
    <n v="38.581600000000002"/>
    <n v="-121.4944"/>
    <d v="2022-09-22T00:00:00"/>
    <n v="6"/>
    <x v="0"/>
    <d v="2025-05-27T00:00:00"/>
    <s v="30–39"/>
    <s v="30–39"/>
  </r>
  <r>
    <n v="44"/>
    <x v="0"/>
    <n v="5"/>
    <s v="Fri, Sat, Sun, Thu, Tue"/>
    <b v="1"/>
    <d v="1899-12-30T15:27:00"/>
    <d v="1899-12-30T17:39:00"/>
    <n v="132"/>
    <x v="0"/>
    <b v="1"/>
    <b v="1"/>
    <s v="Prefer not to say"/>
    <x v="0"/>
    <x v="0"/>
    <n v="50"/>
    <x v="1"/>
    <n v="0"/>
    <n v="50"/>
    <x v="0"/>
    <s v="Los Angeles, CA"/>
    <n v="34.052199999999999"/>
    <n v="-118.2437"/>
    <d v="2023-08-01T00:00:00"/>
    <n v="2"/>
    <x v="1"/>
    <d v="2025-06-14T00:00:00"/>
    <s v="40–49"/>
    <s v="40–49"/>
  </r>
  <r>
    <n v="38"/>
    <x v="1"/>
    <n v="3"/>
    <s v="Sat, Sun, Wed"/>
    <b v="1"/>
    <d v="1899-12-30T13:20:00"/>
    <d v="1899-12-30T14:42:00"/>
    <n v="82"/>
    <x v="0"/>
    <b v="0"/>
    <b v="0"/>
    <s v="Non-binary"/>
    <x v="1"/>
    <x v="2"/>
    <n v="27"/>
    <x v="1"/>
    <n v="0"/>
    <n v="27"/>
    <x v="1"/>
    <s v="San Diego, CA"/>
    <n v="32.715699999999998"/>
    <n v="-117.1611"/>
    <d v="2023-09-14T00:00:00"/>
    <n v="0"/>
    <x v="1"/>
    <d v="2025-06-16T00:00:00"/>
    <s v="30–39"/>
    <s v="30–39"/>
  </r>
  <r>
    <n v="46"/>
    <x v="1"/>
    <n v="1"/>
    <s v="Sat"/>
    <b v="0"/>
    <d v="1899-12-30T11:13:00"/>
    <d v="1899-12-30T13:19:00"/>
    <n v="126"/>
    <x v="1"/>
    <b v="0"/>
    <b v="1"/>
    <s v="Female"/>
    <x v="1"/>
    <x v="0"/>
    <n v="30"/>
    <x v="1"/>
    <n v="0"/>
    <n v="30"/>
    <x v="1"/>
    <s v="San Diego, CA"/>
    <n v="32.715699999999998"/>
    <n v="-117.1611"/>
    <d v="2023-12-24T00:00:00"/>
    <n v="0"/>
    <x v="1"/>
    <d v="2025-06-22T00:00:00"/>
    <s v="40–49"/>
    <s v="40–49"/>
  </r>
  <r>
    <n v="48"/>
    <x v="0"/>
    <n v="3"/>
    <s v="Mon, Sat, Tue"/>
    <b v="0"/>
    <d v="1899-12-30T19:44:00"/>
    <d v="1899-12-30T20:51:00"/>
    <n v="67"/>
    <x v="1"/>
    <b v="0"/>
    <b v="0"/>
    <s v="Female"/>
    <x v="0"/>
    <x v="0"/>
    <n v="50"/>
    <x v="2"/>
    <n v="0.1"/>
    <n v="45"/>
    <x v="0"/>
    <s v="Oakland, CA"/>
    <n v="37.804400000000001"/>
    <n v="-122.27119999999999"/>
    <d v="2024-10-20T00:00:00"/>
    <n v="0"/>
    <x v="0"/>
    <d v="2025-07-09T00:00:00"/>
    <s v="40–49"/>
    <s v="40–49"/>
  </r>
  <r>
    <n v="43"/>
    <x v="0"/>
    <n v="3"/>
    <s v="Mon, Sun, Thu"/>
    <b v="0"/>
    <d v="1899-12-30T08:22:00"/>
    <d v="1899-12-30T10:40:00"/>
    <n v="138"/>
    <x v="0"/>
    <b v="1"/>
    <b v="0"/>
    <s v="Non-binary"/>
    <x v="0"/>
    <x v="0"/>
    <n v="50"/>
    <x v="1"/>
    <n v="0"/>
    <n v="50"/>
    <x v="0"/>
    <s v="Fresno, CA"/>
    <n v="36.7378"/>
    <n v="-119.7871"/>
    <d v="2024-12-16T00:00:00"/>
    <n v="3"/>
    <x v="0"/>
    <d v="2025-07-12T00:00:00"/>
    <s v="40–49"/>
    <s v="40–49"/>
  </r>
  <r>
    <n v="21"/>
    <x v="2"/>
    <n v="2"/>
    <s v="Mon, Wed"/>
    <b v="0"/>
    <d v="1899-12-30T10:26:00"/>
    <d v="1899-12-30T12:21:00"/>
    <n v="115"/>
    <x v="1"/>
    <b v="1"/>
    <b v="1"/>
    <s v="Male"/>
    <x v="2"/>
    <x v="2"/>
    <n v="18"/>
    <x v="1"/>
    <n v="0"/>
    <n v="18"/>
    <x v="2"/>
    <s v="Long Beach, CA"/>
    <n v="33.770099999999999"/>
    <n v="-118.19370000000001"/>
    <d v="2024-10-31T00:00:00"/>
    <n v="8"/>
    <x v="1"/>
    <d v="2025-07-09T00:00:00"/>
    <s v="20–29"/>
    <s v="20–29"/>
  </r>
  <r>
    <n v="29"/>
    <x v="1"/>
    <n v="1"/>
    <s v="Thu"/>
    <b v="1"/>
    <d v="1899-12-30T10:25:00"/>
    <d v="1899-12-30T12:04:00"/>
    <n v="99"/>
    <x v="1"/>
    <b v="1"/>
    <b v="0"/>
    <s v="Male"/>
    <x v="1"/>
    <x v="0"/>
    <n v="30"/>
    <x v="1"/>
    <n v="0"/>
    <n v="30"/>
    <x v="1"/>
    <s v="Anaheim, CA"/>
    <n v="33.836599999999997"/>
    <n v="-117.9143"/>
    <d v="2024-12-06T00:00:00"/>
    <n v="3"/>
    <x v="1"/>
    <d v="2025-07-11T00:00:00"/>
    <s v="20–29"/>
    <s v="20–29"/>
  </r>
  <r>
    <n v="47"/>
    <x v="3"/>
    <n v="2"/>
    <s v="Sat, Thu"/>
    <b v="0"/>
    <d v="1899-12-30T12:18:00"/>
    <d v="1899-12-30T13:33:00"/>
    <n v="75"/>
    <x v="1"/>
    <b v="1"/>
    <b v="0"/>
    <s v="Female"/>
    <x v="3"/>
    <x v="1"/>
    <n v="52.5"/>
    <x v="2"/>
    <n v="0.1"/>
    <n v="47.25"/>
    <x v="3"/>
    <s v="San Jose, CA"/>
    <n v="37.338200000000001"/>
    <n v="-121.88630000000001"/>
    <d v="2023-03-15T00:00:00"/>
    <n v="4"/>
    <x v="0"/>
    <d v="2025-06-06T00:00:00"/>
    <s v="40–49"/>
    <s v="40–49"/>
  </r>
  <r>
    <n v="18"/>
    <x v="0"/>
    <n v="4"/>
    <s v="Sun, Thu, Tue, Wed"/>
    <b v="0"/>
    <d v="1899-12-30T11:23:00"/>
    <d v="1899-12-30T14:03:00"/>
    <n v="160"/>
    <x v="1"/>
    <b v="0"/>
    <b v="0"/>
    <s v="Prefer not to say"/>
    <x v="0"/>
    <x v="1"/>
    <n v="37.5"/>
    <x v="1"/>
    <n v="0"/>
    <n v="37.5"/>
    <x v="0"/>
    <s v="Fresno, CA"/>
    <n v="36.7378"/>
    <n v="-119.7871"/>
    <d v="2024-06-15T00:00:00"/>
    <n v="0"/>
    <x v="0"/>
    <d v="2025-07-01T00:00:00"/>
    <s v="10–19"/>
    <s v="16–19"/>
  </r>
  <r>
    <n v="19"/>
    <x v="2"/>
    <n v="2"/>
    <s v="Sat, Tue"/>
    <b v="0"/>
    <d v="1899-12-30T16:57:00"/>
    <d v="1899-12-30T18:54:00"/>
    <n v="117"/>
    <x v="1"/>
    <b v="1"/>
    <b v="0"/>
    <s v="Female"/>
    <x v="2"/>
    <x v="1"/>
    <n v="15"/>
    <x v="1"/>
    <n v="0"/>
    <n v="15"/>
    <x v="2"/>
    <s v="Sacramento, CA"/>
    <n v="38.581600000000002"/>
    <n v="-121.4944"/>
    <d v="2025-04-22T00:00:00"/>
    <n v="2"/>
    <x v="1"/>
    <d v="2025-07-19T00:00:00"/>
    <s v="10–19"/>
    <s v="16–19"/>
  </r>
  <r>
    <n v="47"/>
    <x v="0"/>
    <n v="3"/>
    <s v="Mon, Sat, Wed"/>
    <b v="0"/>
    <d v="1899-12-30T19:31:00"/>
    <d v="1899-12-30T20:19:00"/>
    <n v="48"/>
    <x v="0"/>
    <b v="1"/>
    <b v="0"/>
    <s v="Other (self-described)"/>
    <x v="0"/>
    <x v="0"/>
    <n v="50"/>
    <x v="3"/>
    <n v="0.15"/>
    <n v="42.5"/>
    <x v="0"/>
    <s v="San Jose, CA"/>
    <n v="37.338200000000001"/>
    <n v="-121.88630000000001"/>
    <d v="2022-08-25T00:00:00"/>
    <n v="1"/>
    <x v="0"/>
    <d v="2025-05-25T00:00:00"/>
    <s v="40–49"/>
    <s v="40–49"/>
  </r>
  <r>
    <n v="46"/>
    <x v="1"/>
    <n v="1"/>
    <s v="Sat"/>
    <b v="0"/>
    <d v="1899-12-30T11:13:00"/>
    <d v="1899-12-30T13:19:00"/>
    <n v="126"/>
    <x v="1"/>
    <b v="0"/>
    <b v="1"/>
    <s v="Female"/>
    <x v="1"/>
    <x v="0"/>
    <n v="30"/>
    <x v="1"/>
    <n v="0"/>
    <n v="30"/>
    <x v="1"/>
    <s v="San Diego, CA"/>
    <n v="32.715699999999998"/>
    <n v="-117.1611"/>
    <d v="2022-11-24T00:00:00"/>
    <n v="0"/>
    <x v="0"/>
    <d v="2025-05-30T00:00:00"/>
    <s v="40–49"/>
    <s v="40–49"/>
  </r>
  <r>
    <n v="44"/>
    <x v="2"/>
    <n v="1"/>
    <s v="Wed"/>
    <b v="0"/>
    <d v="1899-12-30T20:43:00"/>
    <d v="1899-12-30T22:58:00"/>
    <n v="135"/>
    <x v="1"/>
    <b v="0"/>
    <b v="0"/>
    <s v="Female"/>
    <x v="2"/>
    <x v="0"/>
    <n v="20"/>
    <x v="1"/>
    <n v="0"/>
    <n v="20"/>
    <x v="2"/>
    <s v="Sacramento, CA"/>
    <n v="38.581600000000002"/>
    <n v="-121.4944"/>
    <d v="2022-10-08T00:00:00"/>
    <n v="0"/>
    <x v="1"/>
    <d v="2025-05-28T00:00:00"/>
    <s v="40–49"/>
    <s v="40–49"/>
  </r>
  <r>
    <n v="39"/>
    <x v="1"/>
    <n v="4"/>
    <s v="Sun, Thu, Tue, Wed"/>
    <b v="1"/>
    <d v="1899-12-30T13:35:00"/>
    <d v="1899-12-30T14:37:00"/>
    <n v="62"/>
    <x v="1"/>
    <b v="1"/>
    <b v="1"/>
    <s v="Male"/>
    <x v="1"/>
    <x v="0"/>
    <n v="30"/>
    <x v="2"/>
    <n v="0.1"/>
    <n v="27"/>
    <x v="1"/>
    <s v="Oakland, CA"/>
    <n v="37.804400000000001"/>
    <n v="-122.27119999999999"/>
    <d v="2022-07-29T00:00:00"/>
    <n v="1"/>
    <x v="0"/>
    <d v="2025-05-24T00:00:00"/>
    <s v="30–39"/>
    <s v="30–39"/>
  </r>
  <r>
    <n v="24"/>
    <x v="0"/>
    <n v="3"/>
    <s v="Sat, Sun, Tue"/>
    <b v="0"/>
    <d v="1899-12-30T10:46:00"/>
    <d v="1899-12-30T12:59:00"/>
    <n v="133"/>
    <x v="0"/>
    <b v="1"/>
    <b v="1"/>
    <s v="Male"/>
    <x v="0"/>
    <x v="0"/>
    <n v="50"/>
    <x v="2"/>
    <n v="0.1"/>
    <n v="45"/>
    <x v="0"/>
    <s v="Long Beach, CA"/>
    <n v="33.770099999999999"/>
    <n v="-118.19370000000001"/>
    <d v="2024-12-19T00:00:00"/>
    <n v="5"/>
    <x v="0"/>
    <d v="2025-07-12T00:00:00"/>
    <s v="20–29"/>
    <s v="20–29"/>
  </r>
  <r>
    <n v="38"/>
    <x v="3"/>
    <n v="1"/>
    <s v="Tue"/>
    <b v="1"/>
    <d v="1899-12-30T10:01:00"/>
    <d v="1899-12-30T12:48:00"/>
    <n v="167"/>
    <x v="1"/>
    <b v="1"/>
    <b v="1"/>
    <s v="Female"/>
    <x v="3"/>
    <x v="0"/>
    <n v="70"/>
    <x v="1"/>
    <n v="0"/>
    <n v="70"/>
    <x v="3"/>
    <s v="Fresno, CA"/>
    <n v="36.7378"/>
    <n v="-119.7871"/>
    <d v="2024-04-27T00:00:00"/>
    <n v="5"/>
    <x v="1"/>
    <d v="2025-06-29T00:00:00"/>
    <s v="30–39"/>
    <s v="30–3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3-04-07T00:00:00"/>
    <n v="1"/>
    <x v="0"/>
    <d v="2025-06-07T00:00:00"/>
    <s v="20–29"/>
    <s v="20–2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3-06-12T00:00:00"/>
    <n v="3"/>
    <x v="0"/>
    <d v="2025-06-11T00:00:00"/>
    <s v="20–29"/>
    <s v="20–29"/>
  </r>
  <r>
    <n v="20"/>
    <x v="0"/>
    <n v="4"/>
    <s v="Mon, Sat, Tue, Wed"/>
    <b v="1"/>
    <d v="1899-12-30T09:46:00"/>
    <d v="1899-12-30T11:55:00"/>
    <n v="129"/>
    <x v="0"/>
    <b v="1"/>
    <b v="0"/>
    <s v="Male"/>
    <x v="0"/>
    <x v="2"/>
    <n v="45"/>
    <x v="3"/>
    <n v="0.15"/>
    <n v="38.25"/>
    <x v="0"/>
    <s v="Long Beach, CA"/>
    <n v="33.770099999999999"/>
    <n v="-118.19370000000001"/>
    <d v="2025-01-10T00:00:00"/>
    <n v="8"/>
    <x v="0"/>
    <d v="2025-07-13T00:00:00"/>
    <s v="20–29"/>
    <s v="20–29"/>
  </r>
  <r>
    <n v="39"/>
    <x v="1"/>
    <n v="2"/>
    <s v="Tue, Wed"/>
    <b v="1"/>
    <d v="1899-12-30T15:14:00"/>
    <d v="1899-12-30T17:39:00"/>
    <n v="145"/>
    <x v="1"/>
    <b v="0"/>
    <b v="0"/>
    <s v="Male"/>
    <x v="1"/>
    <x v="1"/>
    <n v="22.5"/>
    <x v="0"/>
    <n v="0.05"/>
    <n v="21.375"/>
    <x v="1"/>
    <s v="Sacramento, CA"/>
    <n v="38.581600000000002"/>
    <n v="-121.4944"/>
    <d v="2023-02-05T00:00:00"/>
    <n v="0"/>
    <x v="1"/>
    <d v="2025-06-04T00:00:00"/>
    <s v="30–39"/>
    <s v="30–39"/>
  </r>
  <r>
    <n v="23"/>
    <x v="1"/>
    <n v="2"/>
    <s v="Sat, Thu"/>
    <b v="0"/>
    <d v="1899-12-30T11:56:00"/>
    <d v="1899-12-30T13:42:00"/>
    <n v="106"/>
    <x v="0"/>
    <b v="1"/>
    <b v="1"/>
    <s v="Female"/>
    <x v="1"/>
    <x v="0"/>
    <n v="30"/>
    <x v="0"/>
    <n v="0.05"/>
    <n v="28.5"/>
    <x v="1"/>
    <s v="Fresno, CA"/>
    <n v="36.7378"/>
    <n v="-119.7871"/>
    <d v="2024-10-26T00:00:00"/>
    <n v="6"/>
    <x v="1"/>
    <d v="2025-07-09T00:00:00"/>
    <s v="20–29"/>
    <s v="20–29"/>
  </r>
  <r>
    <n v="41"/>
    <x v="1"/>
    <n v="3"/>
    <s v="Fri, Sat, Sun"/>
    <b v="0"/>
    <d v="1899-12-30T09:56:00"/>
    <d v="1899-12-30T11:39:00"/>
    <n v="103"/>
    <x v="0"/>
    <b v="1"/>
    <b v="1"/>
    <s v="Prefer not to say"/>
    <x v="1"/>
    <x v="0"/>
    <n v="30"/>
    <x v="3"/>
    <n v="0.15"/>
    <n v="25.5"/>
    <x v="1"/>
    <s v="Long Beach, CA"/>
    <n v="33.770099999999999"/>
    <n v="-118.19370000000001"/>
    <d v="2024-10-27T00:00:00"/>
    <n v="3"/>
    <x v="1"/>
    <d v="2025-07-09T00:00:00"/>
    <s v="40–49"/>
    <s v="40–49"/>
  </r>
  <r>
    <n v="23"/>
    <x v="1"/>
    <n v="4"/>
    <s v="Fri, Sun, Thu, Wed"/>
    <b v="0"/>
    <d v="1899-12-30T10:17:00"/>
    <d v="1899-12-30T12:21:00"/>
    <n v="124"/>
    <x v="1"/>
    <b v="0"/>
    <b v="1"/>
    <s v="Female"/>
    <x v="1"/>
    <x v="0"/>
    <n v="30"/>
    <x v="1"/>
    <n v="0"/>
    <n v="30"/>
    <x v="1"/>
    <s v="Anaheim, CA"/>
    <n v="33.836599999999997"/>
    <n v="-117.9143"/>
    <d v="2023-11-29T00:00:00"/>
    <n v="0"/>
    <x v="1"/>
    <d v="2025-06-20T00:00:00"/>
    <s v="20–29"/>
    <s v="20–29"/>
  </r>
  <r>
    <n v="39"/>
    <x v="2"/>
    <n v="5"/>
    <s v="Sat, Sun, Thu, Tue, Wed"/>
    <b v="1"/>
    <d v="1899-12-30T16:05:00"/>
    <d v="1899-12-30T18:42:00"/>
    <n v="157"/>
    <x v="0"/>
    <b v="1"/>
    <b v="0"/>
    <s v="Male"/>
    <x v="2"/>
    <x v="0"/>
    <n v="20"/>
    <x v="2"/>
    <n v="0.1"/>
    <n v="18"/>
    <x v="2"/>
    <s v="San Jose, CA"/>
    <n v="37.338200000000001"/>
    <n v="-121.88630000000001"/>
    <d v="2023-09-30T00:00:00"/>
    <n v="8"/>
    <x v="0"/>
    <d v="2025-06-17T00:00:00"/>
    <s v="30–39"/>
    <s v="30–39"/>
  </r>
  <r>
    <n v="32"/>
    <x v="1"/>
    <n v="3"/>
    <s v="Fri, Sun, Thu"/>
    <b v="0"/>
    <d v="1899-12-30T14:23:00"/>
    <d v="1899-12-30T15:48:00"/>
    <n v="85"/>
    <x v="1"/>
    <b v="0"/>
    <b v="0"/>
    <s v="Prefer not to say"/>
    <x v="1"/>
    <x v="0"/>
    <n v="30"/>
    <x v="1"/>
    <n v="0"/>
    <n v="30"/>
    <x v="1"/>
    <s v="Long Beach, CA"/>
    <n v="33.770099999999999"/>
    <n v="-118.19370000000001"/>
    <d v="2023-10-14T00:00:00"/>
    <n v="0"/>
    <x v="1"/>
    <d v="2025-06-18T00:00:00"/>
    <s v="30–39"/>
    <s v="30–39"/>
  </r>
  <r>
    <n v="49"/>
    <x v="0"/>
    <n v="2"/>
    <s v="Fri, Tue"/>
    <b v="1"/>
    <d v="1899-12-30T13:20:00"/>
    <d v="1899-12-30T14:26:00"/>
    <n v="66"/>
    <x v="0"/>
    <b v="1"/>
    <b v="1"/>
    <s v="Non-binary"/>
    <x v="0"/>
    <x v="0"/>
    <n v="50"/>
    <x v="1"/>
    <n v="0"/>
    <n v="50"/>
    <x v="0"/>
    <s v="Sacramento, CA"/>
    <n v="38.581600000000002"/>
    <n v="-121.4944"/>
    <d v="2025-03-17T00:00:00"/>
    <n v="5"/>
    <x v="0"/>
    <d v="2025-07-17T00:00:00"/>
    <s v="40–49"/>
    <s v="40–49"/>
  </r>
  <r>
    <n v="41"/>
    <x v="0"/>
    <n v="1"/>
    <s v="Wed"/>
    <b v="1"/>
    <d v="1899-12-30T13:14:00"/>
    <d v="1899-12-30T15:34:00"/>
    <n v="140"/>
    <x v="0"/>
    <b v="0"/>
    <b v="0"/>
    <s v="Female"/>
    <x v="0"/>
    <x v="0"/>
    <n v="50"/>
    <x v="2"/>
    <n v="0.1"/>
    <n v="45"/>
    <x v="0"/>
    <s v="Los Angeles, CA"/>
    <n v="34.052199999999999"/>
    <n v="-118.2437"/>
    <d v="2022-12-01T00:00:00"/>
    <n v="0"/>
    <x v="0"/>
    <d v="2025-05-31T00:00:00"/>
    <s v="40–49"/>
    <s v="40–49"/>
  </r>
  <r>
    <n v="26"/>
    <x v="1"/>
    <n v="2"/>
    <s v="Sat, Wed"/>
    <b v="1"/>
    <d v="1899-12-30T15:44:00"/>
    <d v="1899-12-30T18:17:00"/>
    <n v="153"/>
    <x v="0"/>
    <b v="1"/>
    <b v="1"/>
    <s v="Male"/>
    <x v="1"/>
    <x v="0"/>
    <n v="30"/>
    <x v="1"/>
    <n v="0"/>
    <n v="30"/>
    <x v="1"/>
    <s v="Bakersfield, CA"/>
    <n v="35.3733"/>
    <n v="-119.0187"/>
    <d v="2024-09-13T00:00:00"/>
    <n v="4"/>
    <x v="1"/>
    <d v="2025-07-07T00:00:00"/>
    <s v="20–29"/>
    <s v="20–29"/>
  </r>
  <r>
    <n v="39"/>
    <x v="0"/>
    <n v="5"/>
    <s v="Mon, Sat, Sun, Tue, Wed"/>
    <b v="1"/>
    <d v="1899-12-30T09:42:00"/>
    <d v="1899-12-30T12:23:00"/>
    <n v="161"/>
    <x v="1"/>
    <b v="1"/>
    <b v="0"/>
    <s v="Male"/>
    <x v="0"/>
    <x v="0"/>
    <n v="50"/>
    <x v="3"/>
    <n v="0.15"/>
    <n v="42.5"/>
    <x v="0"/>
    <s v="Bakersfield, CA"/>
    <n v="35.3733"/>
    <n v="-119.0187"/>
    <d v="2025-02-05T00:00:00"/>
    <n v="8"/>
    <x v="1"/>
    <d v="2025-07-15T00:00:00"/>
    <s v="30–39"/>
    <s v="30–39"/>
  </r>
  <r>
    <n v="29"/>
    <x v="2"/>
    <n v="2"/>
    <s v="Fri, Sat"/>
    <b v="1"/>
    <d v="1899-12-30T14:45:00"/>
    <d v="1899-12-30T17:41:00"/>
    <n v="176"/>
    <x v="0"/>
    <b v="1"/>
    <b v="1"/>
    <s v="Male"/>
    <x v="2"/>
    <x v="0"/>
    <n v="20"/>
    <x v="1"/>
    <n v="0"/>
    <n v="20"/>
    <x v="2"/>
    <s v="San Jose, CA"/>
    <n v="37.338200000000001"/>
    <n v="-121.88630000000001"/>
    <d v="2022-11-19T00:00:00"/>
    <n v="1"/>
    <x v="0"/>
    <d v="2025-05-30T00:00:00"/>
    <s v="20–29"/>
    <s v="20–29"/>
  </r>
  <r>
    <n v="37"/>
    <x v="1"/>
    <n v="1"/>
    <s v="Mon"/>
    <b v="1"/>
    <d v="1899-12-30T16:45:00"/>
    <d v="1899-12-30T18:58:00"/>
    <n v="133"/>
    <x v="0"/>
    <b v="0"/>
    <b v="0"/>
    <s v="Male"/>
    <x v="1"/>
    <x v="1"/>
    <n v="22.5"/>
    <x v="1"/>
    <n v="0"/>
    <n v="22.5"/>
    <x v="1"/>
    <s v="Oakland, CA"/>
    <n v="37.804400000000001"/>
    <n v="-122.27119999999999"/>
    <d v="2022-09-09T00:00:00"/>
    <n v="0"/>
    <x v="0"/>
    <d v="2025-05-26T00:00:00"/>
    <s v="30–39"/>
    <s v="30–39"/>
  </r>
  <r>
    <n v="32"/>
    <x v="1"/>
    <n v="3"/>
    <s v="Fri, Sun, Thu"/>
    <b v="0"/>
    <d v="1899-12-30T14:23:00"/>
    <d v="1899-12-30T15:48:00"/>
    <n v="85"/>
    <x v="1"/>
    <b v="0"/>
    <b v="0"/>
    <s v="Prefer not to say"/>
    <x v="1"/>
    <x v="0"/>
    <n v="30"/>
    <x v="1"/>
    <n v="0"/>
    <n v="30"/>
    <x v="1"/>
    <s v="Long Beach, CA"/>
    <n v="33.770099999999999"/>
    <n v="-118.19370000000001"/>
    <d v="2022-12-17T00:00:00"/>
    <n v="0"/>
    <x v="0"/>
    <d v="2025-06-01T00:00:00"/>
    <s v="30–39"/>
    <s v="30–39"/>
  </r>
  <r>
    <n v="20"/>
    <x v="3"/>
    <n v="3"/>
    <s v="Fri, Mon, Thu"/>
    <b v="1"/>
    <d v="1899-12-30T17:30:00"/>
    <d v="1899-12-30T19:17:00"/>
    <n v="107"/>
    <x v="0"/>
    <b v="1"/>
    <b v="1"/>
    <s v="Female"/>
    <x v="3"/>
    <x v="0"/>
    <n v="70"/>
    <x v="3"/>
    <n v="0.15"/>
    <n v="59.5"/>
    <x v="3"/>
    <s v="Sacramento, CA"/>
    <n v="38.581600000000002"/>
    <n v="-121.4944"/>
    <d v="2023-02-11T00:00:00"/>
    <n v="5"/>
    <x v="0"/>
    <d v="2025-06-04T00:00:00"/>
    <s v="20–29"/>
    <s v="20–29"/>
  </r>
  <r>
    <n v="27"/>
    <x v="1"/>
    <n v="2"/>
    <s v="Fri, Sun"/>
    <b v="0"/>
    <d v="1899-12-30T17:22:00"/>
    <d v="1899-12-30T18:50:00"/>
    <n v="88"/>
    <x v="1"/>
    <b v="1"/>
    <b v="0"/>
    <s v="Non-binary"/>
    <x v="1"/>
    <x v="1"/>
    <n v="22.5"/>
    <x v="1"/>
    <n v="0"/>
    <n v="22.5"/>
    <x v="1"/>
    <s v="Fresno, CA"/>
    <n v="36.7378"/>
    <n v="-119.7871"/>
    <d v="2023-07-26T00:00:00"/>
    <n v="5"/>
    <x v="1"/>
    <d v="2025-06-13T00:00:00"/>
    <s v="20–29"/>
    <s v="20–29"/>
  </r>
  <r>
    <n v="42"/>
    <x v="1"/>
    <n v="3"/>
    <s v="Sat, Sun, Tue"/>
    <b v="1"/>
    <d v="1899-12-30T10:23:00"/>
    <d v="1899-12-30T12:01:00"/>
    <n v="98"/>
    <x v="0"/>
    <b v="1"/>
    <b v="1"/>
    <s v="Male"/>
    <x v="1"/>
    <x v="0"/>
    <n v="30"/>
    <x v="3"/>
    <n v="0.15"/>
    <n v="25.5"/>
    <x v="1"/>
    <s v="Sacramento, CA"/>
    <n v="38.581600000000002"/>
    <n v="-121.4944"/>
    <d v="2023-11-14T00:00:00"/>
    <n v="6"/>
    <x v="1"/>
    <d v="2025-06-19T00:00:00"/>
    <s v="40–49"/>
    <s v="40–49"/>
  </r>
  <r>
    <n v="39"/>
    <x v="1"/>
    <n v="3"/>
    <s v="Sun, Thu, Wed"/>
    <b v="0"/>
    <d v="1899-12-30T12:36:00"/>
    <d v="1899-12-30T14:19:00"/>
    <n v="103"/>
    <x v="0"/>
    <b v="1"/>
    <b v="0"/>
    <s v="Male"/>
    <x v="1"/>
    <x v="1"/>
    <n v="22.5"/>
    <x v="1"/>
    <n v="0"/>
    <n v="22.5"/>
    <x v="1"/>
    <s v="Sacramento, CA"/>
    <n v="38.581600000000002"/>
    <n v="-121.4944"/>
    <d v="2025-03-22T00:00:00"/>
    <n v="1"/>
    <x v="1"/>
    <d v="2025-07-17T00:00:00"/>
    <s v="30–39"/>
    <s v="30–39"/>
  </r>
  <r>
    <n v="40"/>
    <x v="2"/>
    <n v="2"/>
    <s v="Fri, Tue"/>
    <b v="0"/>
    <d v="1899-12-30T17:21:00"/>
    <d v="1899-12-30T19:53:00"/>
    <n v="152"/>
    <x v="1"/>
    <b v="1"/>
    <b v="1"/>
    <s v="Male"/>
    <x v="2"/>
    <x v="0"/>
    <n v="20"/>
    <x v="1"/>
    <n v="0"/>
    <n v="20"/>
    <x v="2"/>
    <s v="Long Beach, CA"/>
    <n v="33.770099999999999"/>
    <n v="-118.19370000000001"/>
    <d v="2024-04-13T00:00:00"/>
    <n v="6"/>
    <x v="1"/>
    <d v="2025-06-28T00:00:00"/>
    <s v="40–49"/>
    <s v="40–4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4-05-22T00:00:00"/>
    <n v="0"/>
    <x v="0"/>
    <d v="2025-06-30T00:00:00"/>
    <s v="20–29"/>
    <s v="20–29"/>
  </r>
  <r>
    <n v="47"/>
    <x v="1"/>
    <n v="1"/>
    <s v="Sun"/>
    <b v="0"/>
    <d v="1899-12-30T16:23:00"/>
    <d v="1899-12-30T18:07:00"/>
    <n v="104"/>
    <x v="0"/>
    <b v="1"/>
    <b v="0"/>
    <s v="Prefer not to say"/>
    <x v="1"/>
    <x v="0"/>
    <n v="30"/>
    <x v="3"/>
    <n v="0.15"/>
    <n v="25.5"/>
    <x v="1"/>
    <s v="Sacramento, CA"/>
    <n v="38.581600000000002"/>
    <n v="-121.4944"/>
    <d v="2024-09-19T00:00:00"/>
    <n v="1"/>
    <x v="1"/>
    <d v="2025-07-07T00:00:00"/>
    <s v="40–49"/>
    <s v="40–49"/>
  </r>
  <r>
    <n v="45"/>
    <x v="0"/>
    <n v="3"/>
    <s v="Mon, Sun, Thu"/>
    <b v="0"/>
    <d v="1899-12-30T09:43:00"/>
    <d v="1899-12-30T11:16:00"/>
    <n v="93"/>
    <x v="1"/>
    <b v="0"/>
    <b v="1"/>
    <s v="Other (self-described)"/>
    <x v="0"/>
    <x v="0"/>
    <n v="50"/>
    <x v="1"/>
    <n v="0"/>
    <n v="50"/>
    <x v="0"/>
    <s v="San Diego, CA"/>
    <n v="32.715699999999998"/>
    <n v="-117.1611"/>
    <d v="2023-05-14T00:00:00"/>
    <n v="0"/>
    <x v="0"/>
    <d v="2025-06-09T00:00:00"/>
    <s v="40–49"/>
    <s v="40–49"/>
  </r>
  <r>
    <n v="28"/>
    <x v="2"/>
    <n v="3"/>
    <s v="Sun, Thu, Tue"/>
    <b v="0"/>
    <d v="1899-12-30T10:17:00"/>
    <d v="1899-12-30T11:47:00"/>
    <n v="90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4-01-11T00:00:00"/>
    <n v="6"/>
    <x v="1"/>
    <d v="2025-06-23T00:00:00"/>
    <s v="20–29"/>
    <s v="20–29"/>
  </r>
  <r>
    <n v="17"/>
    <x v="0"/>
    <n v="3"/>
    <s v="Sat, Thu, Tue"/>
    <b v="1"/>
    <d v="1899-12-30T15:41:00"/>
    <d v="1899-12-30T16:58:00"/>
    <n v="77"/>
    <x v="1"/>
    <b v="1"/>
    <b v="0"/>
    <s v="Female"/>
    <x v="0"/>
    <x v="1"/>
    <n v="37.5"/>
    <x v="2"/>
    <n v="0.1"/>
    <n v="33.75"/>
    <x v="0"/>
    <s v="San Francisco, CA"/>
    <n v="37.774900000000002"/>
    <n v="-122.4194"/>
    <d v="2025-03-28T00:00:00"/>
    <n v="8"/>
    <x v="1"/>
    <d v="2025-07-18T00:00:00"/>
    <s v="10–19"/>
    <s v="16–1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4-10-31T00:00:00"/>
    <n v="3"/>
    <x v="0"/>
    <d v="2025-07-09T00:00:00"/>
    <s v="10–19"/>
    <s v="16–19"/>
  </r>
  <r>
    <n v="32"/>
    <x v="0"/>
    <n v="3"/>
    <s v="Mon, Sun, Thu"/>
    <b v="1"/>
    <d v="1899-12-30T09:57:00"/>
    <d v="1899-12-30T12:09:00"/>
    <n v="132"/>
    <x v="1"/>
    <b v="1"/>
    <b v="1"/>
    <s v="Prefer not to say"/>
    <x v="0"/>
    <x v="0"/>
    <n v="50"/>
    <x v="1"/>
    <n v="0"/>
    <n v="50"/>
    <x v="0"/>
    <s v="Anaheim, CA"/>
    <n v="33.836599999999997"/>
    <n v="-117.9143"/>
    <d v="2023-06-26T00:00:00"/>
    <n v="4"/>
    <x v="0"/>
    <d v="2025-06-12T00:00:00"/>
    <s v="30–39"/>
    <s v="30–39"/>
  </r>
  <r>
    <n v="19"/>
    <x v="0"/>
    <n v="5"/>
    <s v="Fri, Mon, Sat, Thu, Wed"/>
    <b v="1"/>
    <d v="1899-12-30T10:54:00"/>
    <d v="1899-12-30T13:17:00"/>
    <n v="143"/>
    <x v="1"/>
    <b v="1"/>
    <b v="0"/>
    <s v="Female"/>
    <x v="0"/>
    <x v="0"/>
    <n v="50"/>
    <x v="0"/>
    <n v="0.05"/>
    <n v="47.5"/>
    <x v="0"/>
    <s v="Long Beach, CA"/>
    <n v="33.770099999999999"/>
    <n v="-118.19370000000001"/>
    <d v="2025-04-02T00:00:00"/>
    <n v="4"/>
    <x v="1"/>
    <d v="2025-07-18T00:00:00"/>
    <s v="10–19"/>
    <s v="16–19"/>
  </r>
  <r>
    <n v="47"/>
    <x v="0"/>
    <n v="3"/>
    <s v="Mon, Sat, Wed"/>
    <b v="0"/>
    <d v="1899-12-30T19:31:00"/>
    <d v="1899-12-30T20:19:00"/>
    <n v="48"/>
    <x v="0"/>
    <b v="1"/>
    <b v="0"/>
    <s v="Other (self-described)"/>
    <x v="0"/>
    <x v="0"/>
    <n v="50"/>
    <x v="3"/>
    <n v="0.15"/>
    <n v="42.5"/>
    <x v="0"/>
    <s v="San Jose, CA"/>
    <n v="37.338200000000001"/>
    <n v="-121.88630000000001"/>
    <d v="2022-12-29T00:00:00"/>
    <n v="1"/>
    <x v="0"/>
    <d v="2025-06-01T00:00:00"/>
    <s v="40–49"/>
    <s v="40–49"/>
  </r>
  <r>
    <n v="34"/>
    <x v="0"/>
    <n v="2"/>
    <s v="Mon, Thu"/>
    <b v="1"/>
    <d v="1899-12-30T14:03:00"/>
    <d v="1899-12-30T16:10:00"/>
    <n v="127"/>
    <x v="1"/>
    <b v="0"/>
    <b v="1"/>
    <s v="Female"/>
    <x v="0"/>
    <x v="0"/>
    <n v="50"/>
    <x v="0"/>
    <n v="0.05"/>
    <n v="47.5"/>
    <x v="0"/>
    <s v="San Francisco, CA"/>
    <n v="37.774900000000002"/>
    <n v="-122.4194"/>
    <d v="2024-01-12T00:00:00"/>
    <n v="0"/>
    <x v="0"/>
    <d v="2025-06-23T00:00:00"/>
    <s v="30–39"/>
    <s v="30–39"/>
  </r>
  <r>
    <n v="25"/>
    <x v="1"/>
    <n v="2"/>
    <s v="Fri, Mon"/>
    <b v="0"/>
    <d v="1899-12-30T16:54:00"/>
    <d v="1899-12-30T18:20:00"/>
    <n v="86"/>
    <x v="0"/>
    <b v="1"/>
    <b v="0"/>
    <s v="Male"/>
    <x v="1"/>
    <x v="1"/>
    <n v="22.5"/>
    <x v="0"/>
    <n v="0.05"/>
    <n v="21.375"/>
    <x v="1"/>
    <s v="Anaheim, CA"/>
    <n v="33.836599999999997"/>
    <n v="-117.9143"/>
    <d v="2024-01-28T00:00:00"/>
    <n v="2"/>
    <x v="0"/>
    <d v="2025-06-24T00:00:00"/>
    <s v="20–29"/>
    <s v="20–29"/>
  </r>
  <r>
    <n v="48"/>
    <x v="0"/>
    <n v="3"/>
    <s v="Fri, Sat, Thu"/>
    <b v="1"/>
    <d v="1899-12-30T08:33:00"/>
    <d v="1899-12-30T10:13:00"/>
    <n v="100"/>
    <x v="1"/>
    <b v="1"/>
    <b v="1"/>
    <s v="Male"/>
    <x v="0"/>
    <x v="0"/>
    <n v="50"/>
    <x v="3"/>
    <n v="0.15"/>
    <n v="42.5"/>
    <x v="0"/>
    <s v="Sacramento, CA"/>
    <n v="38.581600000000002"/>
    <n v="-121.4944"/>
    <d v="2023-10-01T00:00:00"/>
    <n v="7"/>
    <x v="0"/>
    <d v="2025-06-17T00:00:00"/>
    <s v="40–49"/>
    <s v="40–49"/>
  </r>
  <r>
    <n v="29"/>
    <x v="0"/>
    <n v="2"/>
    <s v="Fri, Thu"/>
    <b v="0"/>
    <d v="1899-12-30T14:45:00"/>
    <d v="1899-12-30T16:43:00"/>
    <n v="118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3-01-26T00:00:00"/>
    <n v="5"/>
    <x v="0"/>
    <d v="2025-06-03T00:00:00"/>
    <s v="20–29"/>
    <s v="20–29"/>
  </r>
  <r>
    <n v="33"/>
    <x v="0"/>
    <n v="2"/>
    <s v="Sat, Wed"/>
    <b v="1"/>
    <d v="1899-12-30T17:06:00"/>
    <d v="1899-12-30T19:09:00"/>
    <n v="123"/>
    <x v="1"/>
    <b v="1"/>
    <b v="0"/>
    <s v="Prefer not to say"/>
    <x v="0"/>
    <x v="0"/>
    <n v="50"/>
    <x v="2"/>
    <n v="0.1"/>
    <n v="45"/>
    <x v="0"/>
    <s v="Fresno, CA"/>
    <n v="36.7378"/>
    <n v="-119.7871"/>
    <d v="2024-06-17T00:00:00"/>
    <n v="5"/>
    <x v="0"/>
    <d v="2025-07-02T00:00:00"/>
    <s v="30–39"/>
    <s v="30–39"/>
  </r>
  <r>
    <n v="45"/>
    <x v="0"/>
    <n v="3"/>
    <s v="Mon, Sat, Tue"/>
    <b v="0"/>
    <d v="1899-12-30T13:10:00"/>
    <d v="1899-12-30T15:15:00"/>
    <n v="125"/>
    <x v="1"/>
    <b v="0"/>
    <b v="1"/>
    <s v="Male"/>
    <x v="0"/>
    <x v="0"/>
    <n v="50"/>
    <x v="1"/>
    <n v="0"/>
    <n v="50"/>
    <x v="0"/>
    <s v="Bakersfield, CA"/>
    <n v="35.3733"/>
    <n v="-119.0187"/>
    <d v="2023-07-01T00:00:00"/>
    <n v="0"/>
    <x v="1"/>
    <d v="2025-06-12T00:00:00"/>
    <s v="40–49"/>
    <s v="40–49"/>
  </r>
  <r>
    <n v="27"/>
    <x v="0"/>
    <n v="3"/>
    <s v="Mon, Thu, Wed"/>
    <b v="1"/>
    <d v="1899-12-30T10:06:00"/>
    <d v="1899-12-30T11:38:00"/>
    <n v="92"/>
    <x v="1"/>
    <b v="0"/>
    <b v="0"/>
    <s v="Non-binary"/>
    <x v="0"/>
    <x v="0"/>
    <n v="50"/>
    <x v="3"/>
    <n v="0.15"/>
    <n v="42.5"/>
    <x v="0"/>
    <s v="Sacramento, CA"/>
    <n v="38.581600000000002"/>
    <n v="-121.4944"/>
    <d v="2023-10-29T00:00:00"/>
    <n v="0"/>
    <x v="0"/>
    <d v="2025-06-19T00:00:00"/>
    <s v="20–29"/>
    <s v="20–29"/>
  </r>
  <r>
    <n v="16"/>
    <x v="0"/>
    <n v="3"/>
    <s v="Sat, Sun, Wed"/>
    <b v="1"/>
    <d v="1899-12-30T13:30:00"/>
    <d v="1899-12-30T14:20:00"/>
    <n v="50"/>
    <x v="1"/>
    <b v="0"/>
    <b v="1"/>
    <s v="Female"/>
    <x v="0"/>
    <x v="1"/>
    <n v="37.5"/>
    <x v="1"/>
    <n v="0"/>
    <n v="37.5"/>
    <x v="0"/>
    <s v="San Diego, CA"/>
    <n v="32.715699999999998"/>
    <n v="-117.1611"/>
    <d v="2024-09-11T00:00:00"/>
    <n v="0"/>
    <x v="0"/>
    <d v="2025-07-06T00:00:00"/>
    <s v="10–19"/>
    <s v="16–19"/>
  </r>
  <r>
    <n v="41"/>
    <x v="0"/>
    <n v="2"/>
    <s v="Mon, Thu"/>
    <b v="1"/>
    <d v="1899-12-30T20:54:00"/>
    <d v="1899-12-30T23:49:00"/>
    <n v="175"/>
    <x v="0"/>
    <b v="1"/>
    <b v="1"/>
    <s v="Prefer not to say"/>
    <x v="0"/>
    <x v="1"/>
    <n v="37.5"/>
    <x v="2"/>
    <n v="0.1"/>
    <n v="33.75"/>
    <x v="0"/>
    <s v="Sacramento, CA"/>
    <n v="38.581600000000002"/>
    <n v="-121.4944"/>
    <d v="2022-11-30T00:00:00"/>
    <n v="1"/>
    <x v="0"/>
    <d v="2025-05-31T00:00:00"/>
    <s v="40–49"/>
    <s v="40–49"/>
  </r>
  <r>
    <n v="30"/>
    <x v="3"/>
    <n v="3"/>
    <s v="Sat, Thu, Wed"/>
    <b v="1"/>
    <d v="1899-12-30T14:55:00"/>
    <d v="1899-12-30T16:01:00"/>
    <n v="66"/>
    <x v="0"/>
    <b v="1"/>
    <b v="1"/>
    <s v="Female"/>
    <x v="3"/>
    <x v="0"/>
    <n v="70"/>
    <x v="1"/>
    <n v="0"/>
    <n v="70"/>
    <x v="3"/>
    <s v="San Diego, CA"/>
    <n v="32.715699999999998"/>
    <n v="-117.1611"/>
    <d v="2023-02-24T00:00:00"/>
    <n v="8"/>
    <x v="0"/>
    <d v="2025-06-05T00:00:00"/>
    <s v="30–39"/>
    <s v="30–39"/>
  </r>
  <r>
    <n v="46"/>
    <x v="1"/>
    <n v="1"/>
    <s v="Thu"/>
    <b v="1"/>
    <d v="1899-12-30T14:44:00"/>
    <d v="1899-12-30T16:58:00"/>
    <n v="134"/>
    <x v="0"/>
    <b v="1"/>
    <b v="0"/>
    <s v="Female"/>
    <x v="1"/>
    <x v="2"/>
    <n v="27"/>
    <x v="1"/>
    <n v="0"/>
    <n v="27"/>
    <x v="1"/>
    <s v="Anaheim, CA"/>
    <n v="33.836599999999997"/>
    <n v="-117.9143"/>
    <d v="2023-07-22T00:00:00"/>
    <n v="6"/>
    <x v="1"/>
    <d v="2025-06-13T00:00:00"/>
    <s v="40–49"/>
    <s v="40–49"/>
  </r>
  <r>
    <n v="26"/>
    <x v="1"/>
    <n v="4"/>
    <s v="Mon, Sat, Thu, Wed"/>
    <b v="1"/>
    <d v="1899-12-30T13:03:00"/>
    <d v="1899-12-30T15:39:00"/>
    <n v="156"/>
    <x v="0"/>
    <b v="1"/>
    <b v="1"/>
    <s v="Prefer not to say"/>
    <x v="1"/>
    <x v="1"/>
    <n v="22.5"/>
    <x v="0"/>
    <n v="0.05"/>
    <n v="21.375"/>
    <x v="1"/>
    <s v="Sacramento, CA"/>
    <n v="38.581600000000002"/>
    <n v="-121.4944"/>
    <d v="2022-12-30T00:00:00"/>
    <n v="2"/>
    <x v="1"/>
    <d v="2025-06-01T00:00:00"/>
    <s v="20–29"/>
    <s v="20–29"/>
  </r>
  <r>
    <n v="31"/>
    <x v="1"/>
    <n v="2"/>
    <s v="Fri, Tue"/>
    <b v="1"/>
    <d v="1899-12-30T14:51:00"/>
    <d v="1899-12-30T17:44:00"/>
    <n v="173"/>
    <x v="0"/>
    <b v="1"/>
    <b v="1"/>
    <s v="Non-binary"/>
    <x v="1"/>
    <x v="1"/>
    <n v="22.5"/>
    <x v="1"/>
    <n v="0"/>
    <n v="22.5"/>
    <x v="1"/>
    <s v="San Diego, CA"/>
    <n v="32.715699999999998"/>
    <n v="-117.1611"/>
    <d v="2022-12-12T00:00:00"/>
    <n v="3"/>
    <x v="1"/>
    <d v="2025-05-31T00:00:00"/>
    <s v="30–39"/>
    <s v="30–39"/>
  </r>
  <r>
    <n v="29"/>
    <x v="3"/>
    <n v="3"/>
    <s v="Mon, Sat, Sun"/>
    <b v="1"/>
    <d v="1899-12-30T09:13:00"/>
    <d v="1899-12-30T11:27:00"/>
    <n v="134"/>
    <x v="0"/>
    <b v="0"/>
    <b v="1"/>
    <s v="Female"/>
    <x v="3"/>
    <x v="0"/>
    <n v="70"/>
    <x v="0"/>
    <n v="0.05"/>
    <n v="66.5"/>
    <x v="3"/>
    <s v="Sacramento, CA"/>
    <n v="38.581600000000002"/>
    <n v="-121.4944"/>
    <d v="2023-05-30T00:00:00"/>
    <n v="0"/>
    <x v="0"/>
    <d v="2025-06-10T00:00:00"/>
    <s v="20–29"/>
    <s v="20–29"/>
  </r>
  <r>
    <n v="47"/>
    <x v="0"/>
    <n v="2"/>
    <s v="Sun, Thu"/>
    <b v="0"/>
    <d v="1899-12-30T16:55:00"/>
    <d v="1899-12-30T19:13:00"/>
    <n v="138"/>
    <x v="1"/>
    <b v="0"/>
    <b v="1"/>
    <s v="Female"/>
    <x v="0"/>
    <x v="0"/>
    <n v="50"/>
    <x v="1"/>
    <n v="0"/>
    <n v="50"/>
    <x v="0"/>
    <s v="Long Beach, CA"/>
    <n v="33.770099999999999"/>
    <n v="-118.19370000000001"/>
    <d v="2023-01-13T00:00:00"/>
    <n v="0"/>
    <x v="0"/>
    <d v="2025-06-02T00:00:00"/>
    <s v="40–49"/>
    <s v="40–49"/>
  </r>
  <r>
    <n v="33"/>
    <x v="0"/>
    <n v="4"/>
    <s v="Fri, Sat, Thu, Wed"/>
    <b v="0"/>
    <d v="1899-12-30T13:30:00"/>
    <d v="1899-12-30T14:17:00"/>
    <n v="47"/>
    <x v="1"/>
    <b v="1"/>
    <b v="1"/>
    <s v="Non-binary"/>
    <x v="0"/>
    <x v="0"/>
    <n v="50"/>
    <x v="0"/>
    <n v="0.05"/>
    <n v="47.5"/>
    <x v="0"/>
    <s v="Anaheim, CA"/>
    <n v="33.836599999999997"/>
    <n v="-117.9143"/>
    <d v="2023-06-11T00:00:00"/>
    <n v="6"/>
    <x v="0"/>
    <d v="2025-06-11T00:00:00"/>
    <s v="30–39"/>
    <s v="30–39"/>
  </r>
  <r>
    <n v="36"/>
    <x v="1"/>
    <n v="1"/>
    <s v="Tue"/>
    <b v="0"/>
    <d v="1899-12-30T20:55:00"/>
    <d v="1899-12-30T22:44:00"/>
    <n v="109"/>
    <x v="1"/>
    <b v="0"/>
    <b v="1"/>
    <s v="Non-binary"/>
    <x v="1"/>
    <x v="1"/>
    <n v="22.5"/>
    <x v="3"/>
    <n v="0.15"/>
    <n v="19.125"/>
    <x v="1"/>
    <s v="San Jose, CA"/>
    <n v="37.338200000000001"/>
    <n v="-121.88630000000001"/>
    <d v="2023-06-29T00:00:00"/>
    <n v="0"/>
    <x v="0"/>
    <d v="2025-06-12T00:00:00"/>
    <s v="30–39"/>
    <s v="30–39"/>
  </r>
  <r>
    <n v="34"/>
    <x v="3"/>
    <n v="1"/>
    <s v="Thu"/>
    <b v="1"/>
    <d v="1899-12-30T17:57:00"/>
    <d v="1899-12-30T19:46:00"/>
    <n v="109"/>
    <x v="0"/>
    <b v="1"/>
    <b v="1"/>
    <s v="Non-binary"/>
    <x v="3"/>
    <x v="1"/>
    <n v="52.5"/>
    <x v="1"/>
    <n v="0"/>
    <n v="52.5"/>
    <x v="3"/>
    <s v="San Jose, CA"/>
    <n v="37.338200000000001"/>
    <n v="-121.88630000000001"/>
    <d v="2023-09-03T00:00:00"/>
    <n v="6"/>
    <x v="0"/>
    <d v="2025-06-15T00:00:00"/>
    <s v="30–39"/>
    <s v="30–3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3-04-13T00:00:00"/>
    <n v="1"/>
    <x v="0"/>
    <d v="2025-06-07T00:00:00"/>
    <s v="30–39"/>
    <s v="30–39"/>
  </r>
  <r>
    <n v="23"/>
    <x v="0"/>
    <n v="3"/>
    <s v="Sun, Tue, Wed"/>
    <b v="1"/>
    <d v="1899-12-30T19:02:00"/>
    <d v="1899-12-30T21:09:00"/>
    <n v="127"/>
    <x v="0"/>
    <b v="0"/>
    <b v="0"/>
    <s v="Female"/>
    <x v="0"/>
    <x v="1"/>
    <n v="37.5"/>
    <x v="1"/>
    <n v="0"/>
    <n v="37.5"/>
    <x v="0"/>
    <s v="Anaheim, CA"/>
    <n v="33.836599999999997"/>
    <n v="-117.9143"/>
    <d v="2025-01-05T00:00:00"/>
    <n v="0"/>
    <x v="0"/>
    <d v="2025-07-13T00:00:00"/>
    <s v="20–29"/>
    <s v="20–29"/>
  </r>
  <r>
    <n v="16"/>
    <x v="0"/>
    <n v="1"/>
    <s v="Wed"/>
    <b v="0"/>
    <d v="1899-12-30T08:41:00"/>
    <d v="1899-12-30T11:33:00"/>
    <n v="172"/>
    <x v="0"/>
    <b v="0"/>
    <b v="1"/>
    <s v="Female"/>
    <x v="0"/>
    <x v="1"/>
    <n v="37.5"/>
    <x v="0"/>
    <n v="0.05"/>
    <n v="35.625"/>
    <x v="0"/>
    <s v="San Francisco, CA"/>
    <n v="37.774900000000002"/>
    <n v="-122.4194"/>
    <d v="2022-11-27T00:00:00"/>
    <n v="0"/>
    <x v="0"/>
    <d v="2025-05-31T00:00:00"/>
    <s v="10–19"/>
    <s v="16–19"/>
  </r>
  <r>
    <n v="27"/>
    <x v="0"/>
    <n v="2"/>
    <s v="Thu, Wed"/>
    <b v="0"/>
    <d v="1899-12-30T20:44:00"/>
    <d v="1899-12-30T21:57:00"/>
    <n v="73"/>
    <x v="0"/>
    <b v="1"/>
    <b v="1"/>
    <s v="Male"/>
    <x v="0"/>
    <x v="0"/>
    <n v="50"/>
    <x v="1"/>
    <n v="0"/>
    <n v="50"/>
    <x v="0"/>
    <s v="Sacramento, CA"/>
    <n v="38.581600000000002"/>
    <n v="-121.4944"/>
    <d v="2022-12-07T00:00:00"/>
    <n v="1"/>
    <x v="0"/>
    <d v="2025-05-31T00:00:00"/>
    <s v="20–29"/>
    <s v="20–29"/>
  </r>
  <r>
    <n v="40"/>
    <x v="2"/>
    <n v="1"/>
    <s v="Sat"/>
    <b v="0"/>
    <d v="1899-12-30T10:28:00"/>
    <d v="1899-12-30T13:25:00"/>
    <n v="177"/>
    <x v="0"/>
    <b v="0"/>
    <b v="1"/>
    <s v="Female"/>
    <x v="2"/>
    <x v="1"/>
    <n v="15"/>
    <x v="3"/>
    <n v="0.15"/>
    <n v="12.75"/>
    <x v="2"/>
    <s v="San Francisco, CA"/>
    <n v="37.774900000000002"/>
    <n v="-122.4194"/>
    <d v="2025-05-22T00:00:00"/>
    <n v="0"/>
    <x v="0"/>
    <d v="2025-07-21T00:00:00"/>
    <s v="40–49"/>
    <s v="40–49"/>
  </r>
  <r>
    <n v="41"/>
    <x v="0"/>
    <n v="1"/>
    <s v="Wed"/>
    <b v="1"/>
    <d v="1899-12-30T19:23:00"/>
    <d v="1899-12-30T20:27:00"/>
    <n v="64"/>
    <x v="0"/>
    <b v="0"/>
    <b v="0"/>
    <s v="Non-binary"/>
    <x v="0"/>
    <x v="0"/>
    <n v="50"/>
    <x v="1"/>
    <n v="0"/>
    <n v="50"/>
    <x v="0"/>
    <s v="Fresno, CA"/>
    <n v="36.7378"/>
    <n v="-119.7871"/>
    <d v="2023-01-25T00:00:00"/>
    <n v="0"/>
    <x v="0"/>
    <d v="2025-06-03T00:00:00"/>
    <s v="40–49"/>
    <s v="40–49"/>
  </r>
  <r>
    <n v="37"/>
    <x v="2"/>
    <n v="1"/>
    <s v="Sat"/>
    <b v="1"/>
    <d v="1899-12-30T08:21:00"/>
    <d v="1899-12-30T08:55:00"/>
    <n v="34"/>
    <x v="1"/>
    <b v="0"/>
    <b v="0"/>
    <s v="Female"/>
    <x v="2"/>
    <x v="1"/>
    <n v="15"/>
    <x v="1"/>
    <n v="0"/>
    <n v="15"/>
    <x v="2"/>
    <s v="Fresno, CA"/>
    <n v="36.7378"/>
    <n v="-119.7871"/>
    <d v="2025-02-05T00:00:00"/>
    <n v="0"/>
    <x v="1"/>
    <d v="2025-07-15T00:00:00"/>
    <s v="30–39"/>
    <s v="30–39"/>
  </r>
  <r>
    <n v="27"/>
    <x v="0"/>
    <n v="1"/>
    <s v="Sun"/>
    <b v="0"/>
    <d v="1899-12-30T18:02:00"/>
    <d v="1899-12-30T19:46:00"/>
    <n v="104"/>
    <x v="1"/>
    <b v="0"/>
    <b v="0"/>
    <s v="Male"/>
    <x v="0"/>
    <x v="0"/>
    <n v="50"/>
    <x v="0"/>
    <n v="0.05"/>
    <n v="47.5"/>
    <x v="0"/>
    <s v="Bakersfield, CA"/>
    <n v="35.3733"/>
    <n v="-119.0187"/>
    <d v="2024-07-01T00:00:00"/>
    <n v="0"/>
    <x v="0"/>
    <d v="2025-07-02T00:00:00"/>
    <s v="20–29"/>
    <s v="20–29"/>
  </r>
  <r>
    <n v="18"/>
    <x v="2"/>
    <n v="2"/>
    <s v="Mon, Sat"/>
    <b v="0"/>
    <d v="1899-12-30T19:45:00"/>
    <d v="1899-12-30T22:44:00"/>
    <n v="179"/>
    <x v="0"/>
    <b v="1"/>
    <b v="0"/>
    <s v="Male"/>
    <x v="2"/>
    <x v="1"/>
    <n v="15"/>
    <x v="1"/>
    <n v="0"/>
    <n v="15"/>
    <x v="2"/>
    <s v="Bakersfield, CA"/>
    <n v="35.3733"/>
    <n v="-119.0187"/>
    <d v="2023-04-23T00:00:00"/>
    <n v="8"/>
    <x v="1"/>
    <d v="2025-06-08T00:00:00"/>
    <s v="10–19"/>
    <s v="16–19"/>
  </r>
  <r>
    <n v="41"/>
    <x v="1"/>
    <n v="2"/>
    <s v="Sun, Tue"/>
    <b v="0"/>
    <d v="1899-12-30T13:55:00"/>
    <d v="1899-12-30T16:22:00"/>
    <n v="147"/>
    <x v="0"/>
    <b v="0"/>
    <b v="1"/>
    <s v="Male"/>
    <x v="1"/>
    <x v="0"/>
    <n v="30"/>
    <x v="3"/>
    <n v="0.15"/>
    <n v="25.5"/>
    <x v="1"/>
    <s v="Long Beach, CA"/>
    <n v="33.770099999999999"/>
    <n v="-118.19370000000001"/>
    <d v="2025-01-02T00:00:00"/>
    <n v="0"/>
    <x v="0"/>
    <d v="2025-07-13T00:00:00"/>
    <s v="40–49"/>
    <s v="40–49"/>
  </r>
  <r>
    <n v="16"/>
    <x v="0"/>
    <n v="3"/>
    <s v="Sat, Sun, Wed"/>
    <b v="1"/>
    <d v="1899-12-30T13:30:00"/>
    <d v="1899-12-30T14:20:00"/>
    <n v="50"/>
    <x v="1"/>
    <b v="0"/>
    <b v="1"/>
    <s v="Female"/>
    <x v="0"/>
    <x v="1"/>
    <n v="37.5"/>
    <x v="1"/>
    <n v="0"/>
    <n v="37.5"/>
    <x v="0"/>
    <s v="San Diego, CA"/>
    <n v="32.715699999999998"/>
    <n v="-117.1611"/>
    <d v="2023-02-02T00:00:00"/>
    <n v="0"/>
    <x v="0"/>
    <d v="2025-06-03T00:00:00"/>
    <s v="10–19"/>
    <s v="16–19"/>
  </r>
  <r>
    <n v="36"/>
    <x v="3"/>
    <n v="3"/>
    <s v="Sat, Sun, Wed"/>
    <b v="1"/>
    <d v="1899-12-30T19:37:00"/>
    <d v="1899-12-30T20:38:00"/>
    <n v="61"/>
    <x v="0"/>
    <b v="0"/>
    <b v="1"/>
    <s v="Female"/>
    <x v="3"/>
    <x v="2"/>
    <n v="63"/>
    <x v="2"/>
    <n v="0.1"/>
    <n v="56.7"/>
    <x v="3"/>
    <s v="Anaheim, CA"/>
    <n v="33.836599999999997"/>
    <n v="-117.9143"/>
    <d v="2023-01-18T00:00:00"/>
    <n v="0"/>
    <x v="0"/>
    <d v="2025-06-03T00:00:00"/>
    <s v="30–39"/>
    <s v="30–39"/>
  </r>
  <r>
    <n v="47"/>
    <x v="0"/>
    <n v="2"/>
    <s v="Fri, Mon"/>
    <b v="1"/>
    <d v="1899-12-30T12:42:00"/>
    <d v="1899-12-30T13:37:00"/>
    <n v="55"/>
    <x v="1"/>
    <b v="1"/>
    <b v="1"/>
    <s v="Male"/>
    <x v="0"/>
    <x v="0"/>
    <n v="50"/>
    <x v="0"/>
    <n v="0.05"/>
    <n v="47.5"/>
    <x v="0"/>
    <s v="San Diego, CA"/>
    <n v="32.715699999999998"/>
    <n v="-117.1611"/>
    <d v="2023-12-30T00:00:00"/>
    <n v="5"/>
    <x v="0"/>
    <d v="2025-06-22T00:00:00"/>
    <s v="40–49"/>
    <s v="40–49"/>
  </r>
  <r>
    <n v="32"/>
    <x v="3"/>
    <n v="2"/>
    <s v="Sat, Sun"/>
    <b v="1"/>
    <d v="1899-12-30T19:07:00"/>
    <d v="1899-12-30T22:00:00"/>
    <n v="173"/>
    <x v="0"/>
    <b v="0"/>
    <b v="0"/>
    <s v="Male"/>
    <x v="3"/>
    <x v="0"/>
    <n v="70"/>
    <x v="3"/>
    <n v="0.15"/>
    <n v="59.5"/>
    <x v="3"/>
    <s v="San Diego, CA"/>
    <n v="32.715699999999998"/>
    <n v="-117.1611"/>
    <d v="2025-06-16T00:00:00"/>
    <n v="0"/>
    <x v="0"/>
    <d v="2025-07-22T00:00:00"/>
    <s v="30–39"/>
    <s v="30–39"/>
  </r>
  <r>
    <n v="48"/>
    <x v="1"/>
    <n v="3"/>
    <s v="Fri, Sun, Wed"/>
    <b v="0"/>
    <d v="1899-12-30T11:07:00"/>
    <d v="1899-12-30T12:43:00"/>
    <n v="96"/>
    <x v="1"/>
    <b v="1"/>
    <b v="1"/>
    <s v="Male"/>
    <x v="1"/>
    <x v="0"/>
    <n v="30"/>
    <x v="1"/>
    <n v="0"/>
    <n v="30"/>
    <x v="1"/>
    <s v="San Diego, CA"/>
    <n v="32.715699999999998"/>
    <n v="-117.1611"/>
    <d v="2024-08-21T00:00:00"/>
    <n v="1"/>
    <x v="1"/>
    <d v="2025-07-05T00:00:00"/>
    <s v="40–49"/>
    <s v="40–49"/>
  </r>
  <r>
    <n v="19"/>
    <x v="2"/>
    <n v="1"/>
    <s v="Sun"/>
    <b v="0"/>
    <d v="1899-12-30T20:26:00"/>
    <d v="1899-12-30T21:45:00"/>
    <n v="79"/>
    <x v="0"/>
    <b v="0"/>
    <b v="1"/>
    <s v="Female"/>
    <x v="2"/>
    <x v="1"/>
    <n v="15"/>
    <x v="1"/>
    <n v="0"/>
    <n v="15"/>
    <x v="2"/>
    <s v="Fresno, CA"/>
    <n v="36.7378"/>
    <n v="-119.7871"/>
    <d v="2023-09-04T00:00:00"/>
    <n v="0"/>
    <x v="1"/>
    <d v="2025-06-15T00:00:00"/>
    <s v="10–19"/>
    <s v="16–19"/>
  </r>
  <r>
    <n v="33"/>
    <x v="1"/>
    <n v="1"/>
    <s v="Wed"/>
    <b v="1"/>
    <d v="1899-12-30T09:04:00"/>
    <d v="1899-12-30T09:47:00"/>
    <n v="43"/>
    <x v="1"/>
    <b v="0"/>
    <b v="0"/>
    <s v="Male"/>
    <x v="1"/>
    <x v="0"/>
    <n v="30"/>
    <x v="1"/>
    <n v="0"/>
    <n v="30"/>
    <x v="1"/>
    <s v="Long Beach, CA"/>
    <n v="33.770099999999999"/>
    <n v="-118.19370000000001"/>
    <d v="2022-08-13T00:00:00"/>
    <n v="0"/>
    <x v="0"/>
    <d v="2025-05-25T00:00:00"/>
    <s v="30–39"/>
    <s v="30–39"/>
  </r>
  <r>
    <n v="24"/>
    <x v="3"/>
    <n v="2"/>
    <s v="Sun, Thu"/>
    <b v="1"/>
    <d v="1899-12-30T15:49:00"/>
    <d v="1899-12-30T18:31:00"/>
    <n v="162"/>
    <x v="1"/>
    <b v="1"/>
    <b v="1"/>
    <s v="Female"/>
    <x v="3"/>
    <x v="1"/>
    <n v="52.5"/>
    <x v="3"/>
    <n v="0.15"/>
    <n v="44.625"/>
    <x v="3"/>
    <s v="San Jose, CA"/>
    <n v="37.338200000000001"/>
    <n v="-121.88630000000001"/>
    <d v="2023-08-20T00:00:00"/>
    <n v="1"/>
    <x v="0"/>
    <d v="2025-06-15T00:00:00"/>
    <s v="20–29"/>
    <s v="20–29"/>
  </r>
  <r>
    <n v="35"/>
    <x v="1"/>
    <n v="1"/>
    <s v="Fri"/>
    <b v="1"/>
    <d v="1899-12-30T13:12:00"/>
    <d v="1899-12-30T14:54:00"/>
    <n v="102"/>
    <x v="1"/>
    <b v="1"/>
    <b v="0"/>
    <s v="Non-binary"/>
    <x v="1"/>
    <x v="0"/>
    <n v="30"/>
    <x v="1"/>
    <n v="0"/>
    <n v="30"/>
    <x v="1"/>
    <s v="Long Beach, CA"/>
    <n v="33.770099999999999"/>
    <n v="-118.19370000000001"/>
    <d v="2024-09-19T00:00:00"/>
    <n v="1"/>
    <x v="1"/>
    <d v="2025-07-07T00:00:00"/>
    <s v="30–39"/>
    <s v="30–39"/>
  </r>
  <r>
    <n v="41"/>
    <x v="1"/>
    <n v="3"/>
    <s v="Fri, Sat, Sun"/>
    <b v="0"/>
    <d v="1899-12-30T09:56:00"/>
    <d v="1899-12-30T11:39:00"/>
    <n v="103"/>
    <x v="0"/>
    <b v="1"/>
    <b v="1"/>
    <s v="Prefer not to say"/>
    <x v="1"/>
    <x v="0"/>
    <n v="30"/>
    <x v="3"/>
    <n v="0.15"/>
    <n v="25.5"/>
    <x v="1"/>
    <s v="Long Beach, CA"/>
    <n v="33.770099999999999"/>
    <n v="-118.19370000000001"/>
    <d v="2023-08-17T00:00:00"/>
    <n v="8"/>
    <x v="1"/>
    <d v="2025-06-14T00:00:00"/>
    <s v="40–49"/>
    <s v="40–49"/>
  </r>
  <r>
    <n v="39"/>
    <x v="2"/>
    <n v="2"/>
    <s v="Sun, Tue"/>
    <b v="1"/>
    <d v="1899-12-30T19:02:00"/>
    <d v="1899-12-30T19:47:00"/>
    <n v="45"/>
    <x v="1"/>
    <b v="1"/>
    <b v="0"/>
    <s v="Other (self-described)"/>
    <x v="2"/>
    <x v="0"/>
    <n v="20"/>
    <x v="1"/>
    <n v="0"/>
    <n v="20"/>
    <x v="2"/>
    <s v="Long Beach, CA"/>
    <n v="33.770099999999999"/>
    <n v="-118.19370000000001"/>
    <d v="2023-11-25T00:00:00"/>
    <n v="5"/>
    <x v="1"/>
    <d v="2025-06-20T00:00:00"/>
    <s v="30–39"/>
    <s v="30–39"/>
  </r>
  <r>
    <n v="45"/>
    <x v="2"/>
    <n v="3"/>
    <s v="Fri, Mon, Wed"/>
    <b v="1"/>
    <d v="1899-12-30T15:39:00"/>
    <d v="1899-12-30T17:34:00"/>
    <n v="115"/>
    <x v="1"/>
    <b v="1"/>
    <b v="1"/>
    <s v="Male"/>
    <x v="2"/>
    <x v="1"/>
    <n v="15"/>
    <x v="2"/>
    <n v="0.1"/>
    <n v="13.5"/>
    <x v="2"/>
    <s v="Anaheim, CA"/>
    <n v="33.836599999999997"/>
    <n v="-117.9143"/>
    <d v="2023-03-15T00:00:00"/>
    <n v="3"/>
    <x v="0"/>
    <d v="2025-06-06T00:00:00"/>
    <s v="40–49"/>
    <s v="40–49"/>
  </r>
  <r>
    <n v="31"/>
    <x v="0"/>
    <n v="2"/>
    <s v="Mon, Wed"/>
    <b v="1"/>
    <d v="1899-12-30T20:28:00"/>
    <d v="1899-12-30T21:52:00"/>
    <n v="84"/>
    <x v="1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5-03-01T00:00:00"/>
    <n v="3"/>
    <x v="0"/>
    <d v="2025-07-16T00:00:00"/>
    <s v="30–39"/>
    <s v="30–39"/>
  </r>
  <r>
    <n v="45"/>
    <x v="2"/>
    <n v="3"/>
    <s v="Mon, Sat, Tue"/>
    <b v="1"/>
    <d v="1899-12-30T17:42:00"/>
    <d v="1899-12-30T20:36:00"/>
    <n v="174"/>
    <x v="0"/>
    <b v="0"/>
    <b v="1"/>
    <s v="Male"/>
    <x v="2"/>
    <x v="0"/>
    <n v="20"/>
    <x v="1"/>
    <n v="0"/>
    <n v="20"/>
    <x v="2"/>
    <s v="San Jose, CA"/>
    <n v="37.338200000000001"/>
    <n v="-121.88630000000001"/>
    <d v="2023-04-04T00:00:00"/>
    <n v="0"/>
    <x v="0"/>
    <d v="2025-06-07T00:00:00"/>
    <s v="40–49"/>
    <s v="40–49"/>
  </r>
  <r>
    <n v="44"/>
    <x v="0"/>
    <n v="2"/>
    <s v="Mon, Sun"/>
    <b v="0"/>
    <d v="1899-12-30T14:58:00"/>
    <d v="1899-12-30T17:38:00"/>
    <n v="160"/>
    <x v="1"/>
    <b v="1"/>
    <b v="1"/>
    <s v="Male"/>
    <x v="0"/>
    <x v="0"/>
    <n v="50"/>
    <x v="0"/>
    <n v="0.05"/>
    <n v="47.5"/>
    <x v="0"/>
    <s v="Los Angeles, CA"/>
    <n v="34.052199999999999"/>
    <n v="-118.2437"/>
    <d v="2023-11-24T00:00:00"/>
    <n v="7"/>
    <x v="1"/>
    <d v="2025-06-20T00:00:00"/>
    <s v="40–49"/>
    <s v="40–49"/>
  </r>
  <r>
    <n v="42"/>
    <x v="1"/>
    <n v="4"/>
    <s v="Mon, Sat, Sun, Tue"/>
    <b v="1"/>
    <d v="1899-12-30T19:21:00"/>
    <d v="1899-12-30T21:49:00"/>
    <n v="148"/>
    <x v="0"/>
    <b v="1"/>
    <b v="1"/>
    <s v="Female"/>
    <x v="1"/>
    <x v="1"/>
    <n v="22.5"/>
    <x v="0"/>
    <n v="0.05"/>
    <n v="21.375"/>
    <x v="1"/>
    <s v="Los Angeles, CA"/>
    <n v="34.052199999999999"/>
    <n v="-118.2437"/>
    <d v="2022-09-01T00:00:00"/>
    <n v="7"/>
    <x v="1"/>
    <d v="2025-05-26T00:00:00"/>
    <s v="40–49"/>
    <s v="40–49"/>
  </r>
  <r>
    <n v="20"/>
    <x v="0"/>
    <n v="3"/>
    <s v="Sun, Tue, Wed"/>
    <b v="0"/>
    <d v="1899-12-30T14:04:00"/>
    <d v="1899-12-30T16:42:00"/>
    <n v="158"/>
    <x v="0"/>
    <b v="0"/>
    <b v="0"/>
    <s v="Female"/>
    <x v="0"/>
    <x v="0"/>
    <n v="50"/>
    <x v="0"/>
    <n v="0.05"/>
    <n v="47.5"/>
    <x v="0"/>
    <s v="San Francisco, CA"/>
    <n v="37.774900000000002"/>
    <n v="-122.4194"/>
    <d v="2024-06-23T00:00:00"/>
    <n v="0"/>
    <x v="1"/>
    <d v="2025-07-02T00:00:00"/>
    <s v="20–29"/>
    <s v="20–29"/>
  </r>
  <r>
    <n v="40"/>
    <x v="1"/>
    <n v="3"/>
    <s v="Fri, Sun, Tue"/>
    <b v="0"/>
    <d v="1899-12-30T11:18:00"/>
    <d v="1899-12-30T14:09:00"/>
    <n v="171"/>
    <x v="0"/>
    <b v="1"/>
    <b v="1"/>
    <s v="Male"/>
    <x v="1"/>
    <x v="1"/>
    <n v="22.5"/>
    <x v="1"/>
    <n v="0"/>
    <n v="22.5"/>
    <x v="1"/>
    <s v="Anaheim, CA"/>
    <n v="33.836599999999997"/>
    <n v="-117.9143"/>
    <d v="2023-08-19T00:00:00"/>
    <n v="1"/>
    <x v="0"/>
    <d v="2025-06-15T00:00:00"/>
    <s v="40–49"/>
    <s v="40–4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2-10-04T00:00:00"/>
    <n v="0"/>
    <x v="0"/>
    <d v="2025-05-28T00:00:00"/>
    <s v="10–19"/>
    <s v="16–19"/>
  </r>
  <r>
    <n v="21"/>
    <x v="0"/>
    <n v="3"/>
    <s v="Mon, Sat, Wed"/>
    <b v="0"/>
    <d v="1899-12-30T13:49:00"/>
    <d v="1899-12-30T14:55:00"/>
    <n v="66"/>
    <x v="0"/>
    <b v="1"/>
    <b v="1"/>
    <s v="Male"/>
    <x v="0"/>
    <x v="0"/>
    <n v="50"/>
    <x v="1"/>
    <n v="0"/>
    <n v="50"/>
    <x v="0"/>
    <s v="Anaheim, CA"/>
    <n v="33.836599999999997"/>
    <n v="-117.9143"/>
    <d v="2025-03-05T00:00:00"/>
    <n v="7"/>
    <x v="0"/>
    <d v="2025-07-16T00:00:00"/>
    <s v="20–29"/>
    <s v="20–29"/>
  </r>
  <r>
    <n v="27"/>
    <x v="3"/>
    <n v="3"/>
    <s v="Fri, Thu, Wed"/>
    <b v="1"/>
    <d v="1899-12-30T10:12:00"/>
    <d v="1899-12-30T10:45:00"/>
    <n v="33"/>
    <x v="1"/>
    <b v="1"/>
    <b v="1"/>
    <s v="Other (self-described)"/>
    <x v="3"/>
    <x v="0"/>
    <n v="70"/>
    <x v="1"/>
    <n v="0"/>
    <n v="70"/>
    <x v="3"/>
    <s v="San Francisco, CA"/>
    <n v="37.774900000000002"/>
    <n v="-122.4194"/>
    <d v="2022-09-28T00:00:00"/>
    <n v="5"/>
    <x v="0"/>
    <d v="2025-05-27T00:00:00"/>
    <s v="20–29"/>
    <s v="20–29"/>
  </r>
  <r>
    <n v="20"/>
    <x v="0"/>
    <n v="3"/>
    <s v="Sat, Sun, Thu"/>
    <b v="0"/>
    <d v="1899-12-30T10:32:00"/>
    <d v="1899-12-30T11:09:00"/>
    <n v="37"/>
    <x v="0"/>
    <b v="0"/>
    <b v="1"/>
    <s v="Female"/>
    <x v="0"/>
    <x v="0"/>
    <n v="50"/>
    <x v="3"/>
    <n v="0.15"/>
    <n v="42.5"/>
    <x v="0"/>
    <s v="San Francisco, CA"/>
    <n v="37.774900000000002"/>
    <n v="-122.4194"/>
    <d v="2023-06-21T00:00:00"/>
    <n v="0"/>
    <x v="1"/>
    <d v="2025-06-11T00:00:00"/>
    <s v="20–29"/>
    <s v="20–29"/>
  </r>
  <r>
    <n v="41"/>
    <x v="2"/>
    <n v="2"/>
    <s v="Sun, Tue"/>
    <b v="1"/>
    <d v="1899-12-30T14:06:00"/>
    <d v="1899-12-30T16:06:00"/>
    <n v="120"/>
    <x v="1"/>
    <b v="1"/>
    <b v="1"/>
    <s v="Prefer not to say"/>
    <x v="2"/>
    <x v="0"/>
    <n v="20"/>
    <x v="3"/>
    <n v="0.15"/>
    <n v="17"/>
    <x v="2"/>
    <s v="Anaheim, CA"/>
    <n v="33.836599999999997"/>
    <n v="-117.9143"/>
    <d v="2025-04-11T00:00:00"/>
    <n v="8"/>
    <x v="1"/>
    <d v="2025-07-18T00:00:00"/>
    <s v="40–49"/>
    <s v="40–49"/>
  </r>
  <r>
    <n v="29"/>
    <x v="1"/>
    <n v="1"/>
    <s v="Wed"/>
    <b v="1"/>
    <d v="1899-12-30T19:10:00"/>
    <d v="1899-12-30T21:32:00"/>
    <n v="142"/>
    <x v="1"/>
    <b v="1"/>
    <b v="0"/>
    <s v="Male"/>
    <x v="1"/>
    <x v="2"/>
    <n v="27"/>
    <x v="2"/>
    <n v="0.1"/>
    <n v="24.3"/>
    <x v="1"/>
    <s v="Sacramento, CA"/>
    <n v="38.581600000000002"/>
    <n v="-121.4944"/>
    <d v="2024-08-06T00:00:00"/>
    <n v="3"/>
    <x v="1"/>
    <d v="2025-07-04T00:00:00"/>
    <s v="20–29"/>
    <s v="20–29"/>
  </r>
  <r>
    <n v="27"/>
    <x v="0"/>
    <n v="2"/>
    <s v="Thu, Wed"/>
    <b v="0"/>
    <d v="1899-12-30T20:44:00"/>
    <d v="1899-12-30T21:57:00"/>
    <n v="73"/>
    <x v="0"/>
    <b v="1"/>
    <b v="1"/>
    <s v="Male"/>
    <x v="0"/>
    <x v="0"/>
    <n v="50"/>
    <x v="1"/>
    <n v="0"/>
    <n v="50"/>
    <x v="0"/>
    <s v="Sacramento, CA"/>
    <n v="38.581600000000002"/>
    <n v="-121.4944"/>
    <d v="2023-05-30T00:00:00"/>
    <n v="6"/>
    <x v="0"/>
    <d v="2025-06-10T00:00:00"/>
    <s v="20–29"/>
    <s v="20–29"/>
  </r>
  <r>
    <n v="39"/>
    <x v="0"/>
    <n v="2"/>
    <s v="Mon, Sat"/>
    <b v="0"/>
    <d v="1899-12-30T14:30:00"/>
    <d v="1899-12-30T16:14:00"/>
    <n v="104"/>
    <x v="0"/>
    <b v="1"/>
    <b v="0"/>
    <s v="Female"/>
    <x v="0"/>
    <x v="2"/>
    <n v="45"/>
    <x v="2"/>
    <n v="0.1"/>
    <n v="40.5"/>
    <x v="0"/>
    <s v="Sacramento, CA"/>
    <n v="38.581600000000002"/>
    <n v="-121.4944"/>
    <d v="2025-04-12T00:00:00"/>
    <n v="3"/>
    <x v="0"/>
    <d v="2025-07-18T00:00:00"/>
    <s v="30–39"/>
    <s v="30–39"/>
  </r>
  <r>
    <n v="46"/>
    <x v="0"/>
    <n v="3"/>
    <s v="Sun, Thu, Wed"/>
    <b v="1"/>
    <d v="1899-12-30T18:01:00"/>
    <d v="1899-12-30T18:36:00"/>
    <n v="35"/>
    <x v="1"/>
    <b v="0"/>
    <b v="0"/>
    <s v="Non-binary"/>
    <x v="0"/>
    <x v="0"/>
    <n v="50"/>
    <x v="1"/>
    <n v="0"/>
    <n v="50"/>
    <x v="0"/>
    <s v="Los Angeles, CA"/>
    <n v="34.052199999999999"/>
    <n v="-118.2437"/>
    <d v="2023-10-11T00:00:00"/>
    <n v="0"/>
    <x v="0"/>
    <d v="2025-06-18T00:00:00"/>
    <s v="40–49"/>
    <s v="40–49"/>
  </r>
  <r>
    <n v="14"/>
    <x v="3"/>
    <n v="5"/>
    <s v="Sat, Sun, Thu, Tue, Wed"/>
    <b v="1"/>
    <d v="1899-12-30T08:25:00"/>
    <d v="1899-12-30T10:08:00"/>
    <n v="103"/>
    <x v="0"/>
    <b v="1"/>
    <b v="1"/>
    <s v="Male"/>
    <x v="3"/>
    <x v="0"/>
    <n v="70"/>
    <x v="2"/>
    <n v="0.1"/>
    <n v="63"/>
    <x v="3"/>
    <s v="Oakland, CA"/>
    <n v="37.804400000000001"/>
    <n v="-122.27119999999999"/>
    <d v="2024-06-19T00:00:00"/>
    <n v="3"/>
    <x v="1"/>
    <d v="2025-07-02T00:00:00"/>
    <s v="10–19"/>
    <s v="Under 16"/>
  </r>
  <r>
    <n v="27"/>
    <x v="1"/>
    <n v="2"/>
    <s v="Mon, Tue"/>
    <b v="1"/>
    <d v="1899-12-30T09:10:00"/>
    <d v="1899-12-30T11:36:00"/>
    <n v="146"/>
    <x v="0"/>
    <b v="1"/>
    <b v="1"/>
    <s v="Female"/>
    <x v="1"/>
    <x v="1"/>
    <n v="22.5"/>
    <x v="1"/>
    <n v="0"/>
    <n v="22.5"/>
    <x v="1"/>
    <s v="San Diego, CA"/>
    <n v="32.715699999999998"/>
    <n v="-117.1611"/>
    <d v="2023-08-31T00:00:00"/>
    <n v="5"/>
    <x v="0"/>
    <d v="2025-06-15T00:00:00"/>
    <s v="20–29"/>
    <s v="20–29"/>
  </r>
  <r>
    <n v="15"/>
    <x v="0"/>
    <n v="1"/>
    <s v="Mon"/>
    <b v="0"/>
    <d v="1899-12-30T17:19:00"/>
    <d v="1899-12-30T20:19:00"/>
    <n v="180"/>
    <x v="0"/>
    <b v="0"/>
    <b v="1"/>
    <s v="Male"/>
    <x v="0"/>
    <x v="1"/>
    <n v="37.5"/>
    <x v="0"/>
    <n v="0.05"/>
    <n v="35.625"/>
    <x v="0"/>
    <s v="Sacramento, CA"/>
    <n v="38.581600000000002"/>
    <n v="-121.4944"/>
    <d v="2025-05-05T00:00:00"/>
    <n v="0"/>
    <x v="0"/>
    <d v="2025-07-20T00:00:00"/>
    <s v="10–19"/>
    <s v="Under 16"/>
  </r>
  <r>
    <n v="29"/>
    <x v="0"/>
    <n v="2"/>
    <s v="Fri, Sun"/>
    <b v="0"/>
    <d v="1899-12-30T11:02:00"/>
    <d v="1899-12-30T12:22:00"/>
    <n v="80"/>
    <x v="1"/>
    <b v="1"/>
    <b v="1"/>
    <s v="Male"/>
    <x v="0"/>
    <x v="0"/>
    <n v="50"/>
    <x v="1"/>
    <n v="0"/>
    <n v="50"/>
    <x v="0"/>
    <s v="Los Angeles, CA"/>
    <n v="34.052199999999999"/>
    <n v="-118.2437"/>
    <d v="2022-12-07T00:00:00"/>
    <n v="7"/>
    <x v="0"/>
    <d v="2025-05-31T00:00:00"/>
    <s v="20–29"/>
    <s v="20–29"/>
  </r>
  <r>
    <n v="49"/>
    <x v="0"/>
    <n v="1"/>
    <s v="Tue"/>
    <b v="1"/>
    <d v="1899-12-30T20:23:00"/>
    <d v="1899-12-30T21:08:00"/>
    <n v="45"/>
    <x v="1"/>
    <b v="0"/>
    <b v="1"/>
    <s v="Male"/>
    <x v="0"/>
    <x v="0"/>
    <n v="50"/>
    <x v="3"/>
    <n v="0.15"/>
    <n v="42.5"/>
    <x v="0"/>
    <s v="San Jose, CA"/>
    <n v="37.338200000000001"/>
    <n v="-121.88630000000001"/>
    <d v="2022-08-21T00:00:00"/>
    <n v="0"/>
    <x v="0"/>
    <d v="2025-05-25T00:00:00"/>
    <s v="40–49"/>
    <s v="40–49"/>
  </r>
  <r>
    <n v="38"/>
    <x v="2"/>
    <n v="1"/>
    <s v="Tue"/>
    <b v="0"/>
    <d v="1899-12-30T14:12:00"/>
    <d v="1899-12-30T14:59:00"/>
    <n v="47"/>
    <x v="0"/>
    <b v="0"/>
    <b v="0"/>
    <s v="Prefer not to say"/>
    <x v="2"/>
    <x v="0"/>
    <n v="20"/>
    <x v="1"/>
    <n v="0"/>
    <n v="20"/>
    <x v="2"/>
    <s v="Sacramento, CA"/>
    <n v="38.581600000000002"/>
    <n v="-121.4944"/>
    <d v="2022-08-26T00:00:00"/>
    <n v="0"/>
    <x v="1"/>
    <d v="2025-05-25T00:00:00"/>
    <s v="30–39"/>
    <s v="30–39"/>
  </r>
  <r>
    <n v="28"/>
    <x v="1"/>
    <n v="5"/>
    <s v="Fri, Mon, Sat, Tue, Wed"/>
    <b v="0"/>
    <d v="1899-12-30T14:53:00"/>
    <d v="1899-12-30T16:53:00"/>
    <n v="120"/>
    <x v="1"/>
    <b v="0"/>
    <b v="0"/>
    <s v="Female"/>
    <x v="1"/>
    <x v="0"/>
    <n v="30"/>
    <x v="1"/>
    <n v="0"/>
    <n v="30"/>
    <x v="1"/>
    <s v="Anaheim, CA"/>
    <n v="33.836599999999997"/>
    <n v="-117.9143"/>
    <d v="2023-04-16T00:00:00"/>
    <n v="0"/>
    <x v="1"/>
    <d v="2025-06-08T00:00:00"/>
    <s v="20–29"/>
    <s v="20–29"/>
  </r>
  <r>
    <n v="24"/>
    <x v="2"/>
    <n v="2"/>
    <s v="Mon, Tue"/>
    <b v="1"/>
    <d v="1899-12-30T11:39:00"/>
    <d v="1899-12-30T13:24:00"/>
    <n v="105"/>
    <x v="0"/>
    <b v="0"/>
    <b v="0"/>
    <s v="Prefer not to say"/>
    <x v="2"/>
    <x v="0"/>
    <n v="20"/>
    <x v="3"/>
    <n v="0.15"/>
    <n v="17"/>
    <x v="2"/>
    <s v="Oakland, CA"/>
    <n v="37.804400000000001"/>
    <n v="-122.27119999999999"/>
    <d v="2025-02-04T00:00:00"/>
    <n v="0"/>
    <x v="1"/>
    <d v="2025-07-15T00:00:00"/>
    <s v="20–29"/>
    <s v="20–29"/>
  </r>
  <r>
    <n v="40"/>
    <x v="0"/>
    <n v="5"/>
    <s v="Sat, Sun, Thu, Tue, Wed"/>
    <b v="0"/>
    <d v="1899-12-30T08:23:00"/>
    <d v="1899-12-30T09:19:00"/>
    <n v="56"/>
    <x v="0"/>
    <b v="0"/>
    <b v="0"/>
    <s v="Male"/>
    <x v="0"/>
    <x v="1"/>
    <n v="37.5"/>
    <x v="1"/>
    <n v="0"/>
    <n v="37.5"/>
    <x v="0"/>
    <s v="Bakersfield, CA"/>
    <n v="35.3733"/>
    <n v="-119.0187"/>
    <d v="2023-04-07T00:00:00"/>
    <n v="0"/>
    <x v="0"/>
    <d v="2025-06-07T00:00:00"/>
    <s v="40–49"/>
    <s v="40–49"/>
  </r>
  <r>
    <n v="32"/>
    <x v="2"/>
    <n v="3"/>
    <s v="Fri, Mon, Thu"/>
    <b v="0"/>
    <d v="1899-12-30T08:13:00"/>
    <d v="1899-12-30T09:06:00"/>
    <n v="53"/>
    <x v="1"/>
    <b v="0"/>
    <b v="0"/>
    <s v="Male"/>
    <x v="2"/>
    <x v="1"/>
    <n v="15"/>
    <x v="1"/>
    <n v="0"/>
    <n v="15"/>
    <x v="2"/>
    <s v="San Francisco, CA"/>
    <n v="37.774900000000002"/>
    <n v="-122.4194"/>
    <d v="2025-05-27T00:00:00"/>
    <n v="0"/>
    <x v="1"/>
    <d v="2025-07-21T00:00:00"/>
    <s v="30–39"/>
    <s v="30–39"/>
  </r>
  <r>
    <n v="43"/>
    <x v="1"/>
    <n v="5"/>
    <s v="Mon, Sat, Sun, Tue, Wed"/>
    <b v="0"/>
    <d v="1899-12-30T12:50:00"/>
    <d v="1899-12-30T15:20:00"/>
    <n v="150"/>
    <x v="1"/>
    <b v="1"/>
    <b v="1"/>
    <s v="Male"/>
    <x v="1"/>
    <x v="2"/>
    <n v="27"/>
    <x v="1"/>
    <n v="0"/>
    <n v="27"/>
    <x v="1"/>
    <s v="San Francisco, CA"/>
    <n v="37.774900000000002"/>
    <n v="-122.4194"/>
    <d v="2025-05-30T00:00:00"/>
    <n v="6"/>
    <x v="0"/>
    <d v="2025-07-21T00:00:00"/>
    <s v="40–49"/>
    <s v="40–49"/>
  </r>
  <r>
    <n v="30"/>
    <x v="2"/>
    <n v="3"/>
    <s v="Sat, Sun, Wed"/>
    <b v="1"/>
    <d v="1899-12-30T11:09:00"/>
    <d v="1899-12-30T12:25:00"/>
    <n v="76"/>
    <x v="1"/>
    <b v="0"/>
    <b v="1"/>
    <s v="Female"/>
    <x v="2"/>
    <x v="0"/>
    <n v="20"/>
    <x v="1"/>
    <n v="0"/>
    <n v="20"/>
    <x v="2"/>
    <s v="Sacramento, CA"/>
    <n v="38.581600000000002"/>
    <n v="-121.4944"/>
    <d v="2024-07-13T00:00:00"/>
    <n v="0"/>
    <x v="1"/>
    <d v="2025-07-03T00:00:00"/>
    <s v="30–39"/>
    <s v="30–39"/>
  </r>
  <r>
    <n v="17"/>
    <x v="1"/>
    <n v="3"/>
    <s v="Fri, Sat, Sun"/>
    <b v="0"/>
    <d v="1899-12-30T18:02:00"/>
    <d v="1899-12-30T19:49:00"/>
    <n v="107"/>
    <x v="0"/>
    <b v="0"/>
    <b v="1"/>
    <s v="Female"/>
    <x v="1"/>
    <x v="0"/>
    <n v="30"/>
    <x v="3"/>
    <n v="0.15"/>
    <n v="25.5"/>
    <x v="1"/>
    <s v="Anaheim, CA"/>
    <n v="33.836599999999997"/>
    <n v="-117.9143"/>
    <d v="2024-01-19T00:00:00"/>
    <n v="0"/>
    <x v="1"/>
    <d v="2025-06-23T00:00:00"/>
    <s v="10–19"/>
    <s v="16–19"/>
  </r>
  <r>
    <n v="27"/>
    <x v="0"/>
    <n v="2"/>
    <s v="Thu, Wed"/>
    <b v="0"/>
    <d v="1899-12-30T20:44:00"/>
    <d v="1899-12-30T21:57:00"/>
    <n v="73"/>
    <x v="0"/>
    <b v="1"/>
    <b v="1"/>
    <s v="Male"/>
    <x v="0"/>
    <x v="0"/>
    <n v="50"/>
    <x v="1"/>
    <n v="0"/>
    <n v="50"/>
    <x v="0"/>
    <s v="Sacramento, CA"/>
    <n v="38.581600000000002"/>
    <n v="-121.4944"/>
    <d v="2023-03-25T00:00:00"/>
    <n v="5"/>
    <x v="1"/>
    <d v="2025-06-06T00:00:00"/>
    <s v="20–29"/>
    <s v="20–29"/>
  </r>
  <r>
    <n v="48"/>
    <x v="1"/>
    <n v="3"/>
    <s v="Mon, Tue, Wed"/>
    <b v="0"/>
    <d v="1899-12-30T15:32:00"/>
    <d v="1899-12-30T16:25:00"/>
    <n v="53"/>
    <x v="1"/>
    <b v="1"/>
    <b v="1"/>
    <s v="Male"/>
    <x v="1"/>
    <x v="0"/>
    <n v="30"/>
    <x v="2"/>
    <n v="0.1"/>
    <n v="27"/>
    <x v="1"/>
    <s v="Fresno, CA"/>
    <n v="36.7378"/>
    <n v="-119.7871"/>
    <d v="2023-06-26T00:00:00"/>
    <n v="1"/>
    <x v="0"/>
    <d v="2025-06-12T00:00:00"/>
    <s v="40–49"/>
    <s v="40–49"/>
  </r>
  <r>
    <n v="24"/>
    <x v="1"/>
    <n v="2"/>
    <s v="Sat, Tue"/>
    <b v="1"/>
    <d v="1899-12-30T11:46:00"/>
    <d v="1899-12-30T14:43:00"/>
    <n v="177"/>
    <x v="0"/>
    <b v="0"/>
    <b v="1"/>
    <s v="Female"/>
    <x v="1"/>
    <x v="1"/>
    <n v="22.5"/>
    <x v="2"/>
    <n v="0.1"/>
    <n v="20.25"/>
    <x v="1"/>
    <s v="Los Angeles, CA"/>
    <n v="34.052199999999999"/>
    <n v="-118.2437"/>
    <d v="2024-03-05T00:00:00"/>
    <n v="0"/>
    <x v="1"/>
    <d v="2025-06-26T00:00:00"/>
    <s v="20–29"/>
    <s v="20–29"/>
  </r>
  <r>
    <n v="45"/>
    <x v="1"/>
    <n v="2"/>
    <s v="Mon, Wed"/>
    <b v="1"/>
    <d v="1899-12-30T14:20:00"/>
    <d v="1899-12-30T17:20:00"/>
    <n v="180"/>
    <x v="1"/>
    <b v="1"/>
    <b v="1"/>
    <s v="Female"/>
    <x v="1"/>
    <x v="1"/>
    <n v="22.5"/>
    <x v="2"/>
    <n v="0.1"/>
    <n v="20.25"/>
    <x v="1"/>
    <s v="Anaheim, CA"/>
    <n v="33.836599999999997"/>
    <n v="-117.9143"/>
    <d v="2024-09-04T00:00:00"/>
    <n v="8"/>
    <x v="1"/>
    <d v="2025-07-06T00:00:00"/>
    <s v="40–49"/>
    <s v="40–49"/>
  </r>
  <r>
    <n v="42"/>
    <x v="0"/>
    <n v="1"/>
    <s v="Thu"/>
    <b v="1"/>
    <d v="1899-12-30T12:52:00"/>
    <d v="1899-12-30T14:18:00"/>
    <n v="86"/>
    <x v="0"/>
    <b v="0"/>
    <b v="0"/>
    <s v="Female"/>
    <x v="0"/>
    <x v="0"/>
    <n v="50"/>
    <x v="2"/>
    <n v="0.1"/>
    <n v="45"/>
    <x v="0"/>
    <s v="Long Beach, CA"/>
    <n v="33.770099999999999"/>
    <n v="-118.19370000000001"/>
    <d v="2022-07-27T00:00:00"/>
    <n v="0"/>
    <x v="0"/>
    <d v="2025-05-24T00:00:00"/>
    <s v="40–49"/>
    <s v="40–49"/>
  </r>
  <r>
    <n v="23"/>
    <x v="2"/>
    <n v="5"/>
    <s v="Fri, Mon, Sat, Thu, Wed"/>
    <b v="0"/>
    <d v="1899-12-30T13:57:00"/>
    <d v="1899-12-30T16:26:00"/>
    <n v="149"/>
    <x v="1"/>
    <b v="0"/>
    <b v="0"/>
    <s v="Male"/>
    <x v="2"/>
    <x v="0"/>
    <n v="20"/>
    <x v="1"/>
    <n v="0"/>
    <n v="20"/>
    <x v="2"/>
    <s v="San Jose, CA"/>
    <n v="37.338200000000001"/>
    <n v="-121.88630000000001"/>
    <d v="2024-03-26T00:00:00"/>
    <n v="0"/>
    <x v="0"/>
    <d v="2025-06-27T00:00:00"/>
    <s v="20–29"/>
    <s v="20–29"/>
  </r>
  <r>
    <n v="27"/>
    <x v="1"/>
    <n v="1"/>
    <s v="Mon"/>
    <b v="0"/>
    <d v="1899-12-30T12:30:00"/>
    <d v="1899-12-30T13:08:00"/>
    <n v="38"/>
    <x v="1"/>
    <b v="0"/>
    <b v="0"/>
    <s v="Male"/>
    <x v="1"/>
    <x v="2"/>
    <n v="27"/>
    <x v="1"/>
    <n v="0"/>
    <n v="27"/>
    <x v="1"/>
    <s v="San Diego, CA"/>
    <n v="32.715699999999998"/>
    <n v="-117.1611"/>
    <d v="2024-02-28T00:00:00"/>
    <n v="0"/>
    <x v="0"/>
    <d v="2025-06-25T00:00:00"/>
    <s v="20–29"/>
    <s v="20–29"/>
  </r>
  <r>
    <n v="24"/>
    <x v="1"/>
    <n v="3"/>
    <s v="Mon, Sat, Sun"/>
    <b v="1"/>
    <d v="1899-12-30T20:53:00"/>
    <d v="1899-12-30T21:33:00"/>
    <n v="40"/>
    <x v="0"/>
    <b v="0"/>
    <b v="1"/>
    <s v="Female"/>
    <x v="1"/>
    <x v="0"/>
    <n v="30"/>
    <x v="1"/>
    <n v="0"/>
    <n v="30"/>
    <x v="1"/>
    <s v="Sacramento, CA"/>
    <n v="38.581600000000002"/>
    <n v="-121.4944"/>
    <d v="2024-12-30T00:00:00"/>
    <n v="0"/>
    <x v="1"/>
    <d v="2025-07-13T00:00:00"/>
    <s v="20–29"/>
    <s v="20–29"/>
  </r>
  <r>
    <n v="44"/>
    <x v="0"/>
    <n v="5"/>
    <s v="Fri, Sat, Sun, Thu, Tue"/>
    <b v="1"/>
    <d v="1899-12-30T15:27:00"/>
    <d v="1899-12-30T17:39:00"/>
    <n v="132"/>
    <x v="0"/>
    <b v="1"/>
    <b v="1"/>
    <s v="Prefer not to say"/>
    <x v="0"/>
    <x v="0"/>
    <n v="50"/>
    <x v="1"/>
    <n v="0"/>
    <n v="50"/>
    <x v="0"/>
    <s v="Los Angeles, CA"/>
    <n v="34.052199999999999"/>
    <n v="-118.2437"/>
    <d v="2023-02-27T00:00:00"/>
    <n v="4"/>
    <x v="0"/>
    <d v="2025-06-05T00:00:00"/>
    <s v="40–49"/>
    <s v="40–49"/>
  </r>
  <r>
    <n v="23"/>
    <x v="3"/>
    <n v="1"/>
    <s v="Sun"/>
    <b v="1"/>
    <d v="1899-12-30T20:41:00"/>
    <d v="1899-12-30T23:00:00"/>
    <n v="139"/>
    <x v="0"/>
    <b v="1"/>
    <b v="0"/>
    <s v="Prefer not to say"/>
    <x v="3"/>
    <x v="0"/>
    <n v="70"/>
    <x v="1"/>
    <n v="0"/>
    <n v="70"/>
    <x v="3"/>
    <s v="Long Beach, CA"/>
    <n v="33.770099999999999"/>
    <n v="-118.19370000000001"/>
    <d v="2023-06-15T00:00:00"/>
    <n v="3"/>
    <x v="1"/>
    <d v="2025-06-11T00:00:00"/>
    <s v="20–29"/>
    <s v="20–29"/>
  </r>
  <r>
    <n v="41"/>
    <x v="2"/>
    <n v="2"/>
    <s v="Sun, Tue"/>
    <b v="1"/>
    <d v="1899-12-30T14:06:00"/>
    <d v="1899-12-30T16:06:00"/>
    <n v="120"/>
    <x v="1"/>
    <b v="1"/>
    <b v="1"/>
    <s v="Prefer not to say"/>
    <x v="2"/>
    <x v="0"/>
    <n v="20"/>
    <x v="3"/>
    <n v="0.15"/>
    <n v="17"/>
    <x v="2"/>
    <s v="Anaheim, CA"/>
    <n v="33.836599999999997"/>
    <n v="-117.9143"/>
    <d v="2024-10-30T00:00:00"/>
    <n v="4"/>
    <x v="1"/>
    <d v="2025-07-09T00:00:00"/>
    <s v="40–49"/>
    <s v="40–49"/>
  </r>
  <r>
    <n v="37"/>
    <x v="1"/>
    <n v="1"/>
    <s v="Sat"/>
    <b v="0"/>
    <d v="1899-12-30T09:11:00"/>
    <d v="1899-12-30T11:33:00"/>
    <n v="142"/>
    <x v="1"/>
    <b v="1"/>
    <b v="0"/>
    <s v="Non-binary"/>
    <x v="1"/>
    <x v="0"/>
    <n v="30"/>
    <x v="3"/>
    <n v="0.15"/>
    <n v="25.5"/>
    <x v="1"/>
    <s v="San Jose, CA"/>
    <n v="37.338200000000001"/>
    <n v="-121.88630000000001"/>
    <d v="2025-03-27T00:00:00"/>
    <n v="8"/>
    <x v="1"/>
    <d v="2025-07-18T00:00:00"/>
    <s v="30–39"/>
    <s v="30–39"/>
  </r>
  <r>
    <n v="33"/>
    <x v="1"/>
    <n v="3"/>
    <s v="Fri, Sat, Sun"/>
    <b v="0"/>
    <d v="1899-12-30T15:13:00"/>
    <d v="1899-12-30T16:46:00"/>
    <n v="93"/>
    <x v="0"/>
    <b v="1"/>
    <b v="1"/>
    <s v="Male"/>
    <x v="1"/>
    <x v="0"/>
    <n v="30"/>
    <x v="3"/>
    <n v="0.15"/>
    <n v="25.5"/>
    <x v="1"/>
    <s v="Los Angeles, CA"/>
    <n v="34.052199999999999"/>
    <n v="-118.2437"/>
    <d v="2023-06-29T00:00:00"/>
    <n v="8"/>
    <x v="0"/>
    <d v="2025-06-12T00:00:00"/>
    <s v="30–39"/>
    <s v="30–39"/>
  </r>
  <r>
    <n v="33"/>
    <x v="0"/>
    <n v="4"/>
    <s v="Fri, Sat, Sun, Tue"/>
    <b v="1"/>
    <d v="1899-12-30T09:15:00"/>
    <d v="1899-12-30T10:04:00"/>
    <n v="49"/>
    <x v="0"/>
    <b v="0"/>
    <b v="1"/>
    <s v="Female"/>
    <x v="0"/>
    <x v="1"/>
    <n v="37.5"/>
    <x v="1"/>
    <n v="0"/>
    <n v="37.5"/>
    <x v="0"/>
    <s v="San Francisco, CA"/>
    <n v="37.774900000000002"/>
    <n v="-122.4194"/>
    <d v="2023-07-26T00:00:00"/>
    <n v="0"/>
    <x v="0"/>
    <d v="2025-06-13T00:00:00"/>
    <s v="30–39"/>
    <s v="30–39"/>
  </r>
  <r>
    <n v="28"/>
    <x v="1"/>
    <n v="3"/>
    <s v="Fri, Sat, Sun"/>
    <b v="0"/>
    <d v="1899-12-30T13:28:00"/>
    <d v="1899-12-30T15:44:00"/>
    <n v="136"/>
    <x v="1"/>
    <b v="1"/>
    <b v="1"/>
    <s v="Female"/>
    <x v="1"/>
    <x v="0"/>
    <n v="30"/>
    <x v="1"/>
    <n v="0"/>
    <n v="30"/>
    <x v="1"/>
    <s v="Oakland, CA"/>
    <n v="37.804400000000001"/>
    <n v="-122.27119999999999"/>
    <d v="2024-09-04T00:00:00"/>
    <n v="5"/>
    <x v="1"/>
    <d v="2025-07-06T00:00:00"/>
    <s v="20–29"/>
    <s v="20–29"/>
  </r>
  <r>
    <n v="29"/>
    <x v="2"/>
    <n v="4"/>
    <s v="Fri, Mon, Sun, Wed"/>
    <b v="0"/>
    <d v="1899-12-30T10:43:00"/>
    <d v="1899-12-30T11:52:00"/>
    <n v="69"/>
    <x v="1"/>
    <b v="1"/>
    <b v="0"/>
    <s v="Non-binary"/>
    <x v="2"/>
    <x v="1"/>
    <n v="15"/>
    <x v="1"/>
    <n v="0"/>
    <n v="15"/>
    <x v="2"/>
    <s v="Anaheim, CA"/>
    <n v="33.836599999999997"/>
    <n v="-117.9143"/>
    <d v="2022-09-14T00:00:00"/>
    <n v="5"/>
    <x v="1"/>
    <d v="2025-05-26T00:00:00"/>
    <s v="20–29"/>
    <s v="20–29"/>
  </r>
  <r>
    <n v="41"/>
    <x v="0"/>
    <n v="1"/>
    <s v="Sat"/>
    <b v="1"/>
    <d v="1899-12-30T08:29:00"/>
    <d v="1899-12-30T10:32:00"/>
    <n v="123"/>
    <x v="1"/>
    <b v="1"/>
    <b v="0"/>
    <s v="Non-binary"/>
    <x v="0"/>
    <x v="2"/>
    <n v="45"/>
    <x v="1"/>
    <n v="0"/>
    <n v="45"/>
    <x v="0"/>
    <s v="San Jose, CA"/>
    <n v="37.338200000000001"/>
    <n v="-121.88630000000001"/>
    <d v="2025-01-13T00:00:00"/>
    <n v="5"/>
    <x v="0"/>
    <d v="2025-07-13T00:00:00"/>
    <s v="40–49"/>
    <s v="40–49"/>
  </r>
  <r>
    <n v="38"/>
    <x v="0"/>
    <n v="3"/>
    <s v="Fri, Thu, Wed"/>
    <b v="1"/>
    <d v="1899-12-30T08:17:00"/>
    <d v="1899-12-30T10:38:00"/>
    <n v="141"/>
    <x v="0"/>
    <b v="0"/>
    <b v="1"/>
    <s v="Non-binary"/>
    <x v="0"/>
    <x v="1"/>
    <n v="37.5"/>
    <x v="1"/>
    <n v="0"/>
    <n v="37.5"/>
    <x v="0"/>
    <s v="Anaheim, CA"/>
    <n v="33.836599999999997"/>
    <n v="-117.9143"/>
    <d v="2024-03-19T00:00:00"/>
    <n v="0"/>
    <x v="0"/>
    <d v="2025-06-27T00:00:00"/>
    <s v="30–39"/>
    <s v="30–39"/>
  </r>
  <r>
    <n v="22"/>
    <x v="1"/>
    <n v="2"/>
    <s v="Sat, Thu"/>
    <b v="0"/>
    <d v="1899-12-30T19:49:00"/>
    <d v="1899-12-30T20:33:00"/>
    <n v="44"/>
    <x v="1"/>
    <b v="0"/>
    <b v="1"/>
    <s v="Female"/>
    <x v="1"/>
    <x v="0"/>
    <n v="30"/>
    <x v="1"/>
    <n v="0"/>
    <n v="30"/>
    <x v="1"/>
    <s v="Anaheim, CA"/>
    <n v="33.836599999999997"/>
    <n v="-117.9143"/>
    <d v="2022-09-22T00:00:00"/>
    <n v="0"/>
    <x v="1"/>
    <d v="2025-05-27T00:00:00"/>
    <s v="20–29"/>
    <s v="20–29"/>
  </r>
  <r>
    <n v="35"/>
    <x v="2"/>
    <n v="2"/>
    <s v="Mon, Tue"/>
    <b v="0"/>
    <d v="1899-12-30T17:06:00"/>
    <d v="1899-12-30T18:39:00"/>
    <n v="93"/>
    <x v="1"/>
    <b v="1"/>
    <b v="0"/>
    <s v="Male"/>
    <x v="2"/>
    <x v="0"/>
    <n v="20"/>
    <x v="1"/>
    <n v="0"/>
    <n v="20"/>
    <x v="2"/>
    <s v="Anaheim, CA"/>
    <n v="33.836599999999997"/>
    <n v="-117.9143"/>
    <d v="2024-04-01T00:00:00"/>
    <n v="4"/>
    <x v="1"/>
    <d v="2025-06-27T00:00:00"/>
    <s v="30–39"/>
    <s v="30–39"/>
  </r>
  <r>
    <n v="31"/>
    <x v="0"/>
    <n v="4"/>
    <s v="Fri, Mon, Sat, Thu"/>
    <b v="0"/>
    <d v="1899-12-30T11:54:00"/>
    <d v="1899-12-30T13:21:00"/>
    <n v="87"/>
    <x v="0"/>
    <b v="0"/>
    <b v="1"/>
    <s v="Male"/>
    <x v="0"/>
    <x v="1"/>
    <n v="37.5"/>
    <x v="1"/>
    <n v="0"/>
    <n v="37.5"/>
    <x v="0"/>
    <s v="Sacramento, CA"/>
    <n v="38.581600000000002"/>
    <n v="-121.4944"/>
    <d v="2023-08-12T00:00:00"/>
    <n v="0"/>
    <x v="0"/>
    <d v="2025-06-14T00:00:00"/>
    <s v="30–39"/>
    <s v="30–39"/>
  </r>
  <r>
    <n v="30"/>
    <x v="3"/>
    <n v="3"/>
    <s v="Sat, Thu, Wed"/>
    <b v="1"/>
    <d v="1899-12-30T14:55:00"/>
    <d v="1899-12-30T16:01:00"/>
    <n v="66"/>
    <x v="0"/>
    <b v="1"/>
    <b v="1"/>
    <s v="Female"/>
    <x v="3"/>
    <x v="0"/>
    <n v="70"/>
    <x v="1"/>
    <n v="0"/>
    <n v="70"/>
    <x v="3"/>
    <s v="San Diego, CA"/>
    <n v="32.715699999999998"/>
    <n v="-117.1611"/>
    <d v="2024-04-25T00:00:00"/>
    <n v="5"/>
    <x v="0"/>
    <d v="2025-06-29T00:00:00"/>
    <s v="30–39"/>
    <s v="30–39"/>
  </r>
  <r>
    <n v="24"/>
    <x v="0"/>
    <n v="3"/>
    <s v="Sat, Sun, Tue"/>
    <b v="0"/>
    <d v="1899-12-30T10:46:00"/>
    <d v="1899-12-30T12:59:00"/>
    <n v="133"/>
    <x v="0"/>
    <b v="1"/>
    <b v="1"/>
    <s v="Male"/>
    <x v="0"/>
    <x v="0"/>
    <n v="50"/>
    <x v="2"/>
    <n v="0.1"/>
    <n v="45"/>
    <x v="0"/>
    <s v="Long Beach, CA"/>
    <n v="33.770099999999999"/>
    <n v="-118.19370000000001"/>
    <d v="2024-09-03T00:00:00"/>
    <n v="8"/>
    <x v="0"/>
    <d v="2025-07-06T00:00:00"/>
    <s v="20–29"/>
    <s v="20–29"/>
  </r>
  <r>
    <n v="23"/>
    <x v="3"/>
    <n v="5"/>
    <s v="Mon, Sun, Thu, Tue, Wed"/>
    <b v="1"/>
    <d v="1899-12-30T20:57:00"/>
    <d v="1899-12-30T23:35:00"/>
    <n v="158"/>
    <x v="0"/>
    <b v="0"/>
    <b v="1"/>
    <s v="Non-binary"/>
    <x v="3"/>
    <x v="0"/>
    <n v="70"/>
    <x v="1"/>
    <n v="0"/>
    <n v="70"/>
    <x v="3"/>
    <s v="Anaheim, CA"/>
    <n v="33.836599999999997"/>
    <n v="-117.9143"/>
    <d v="2022-08-10T00:00:00"/>
    <n v="0"/>
    <x v="0"/>
    <d v="2025-05-24T00:00:00"/>
    <s v="20–29"/>
    <s v="20–2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4-04-13T00:00:00"/>
    <n v="1"/>
    <x v="0"/>
    <d v="2025-06-28T00:00:00"/>
    <s v="30–39"/>
    <s v="30–39"/>
  </r>
  <r>
    <n v="28"/>
    <x v="3"/>
    <n v="4"/>
    <s v="Fri, Sat, Thu, Wed"/>
    <b v="0"/>
    <d v="1899-12-30T09:35:00"/>
    <d v="1899-12-30T11:56:00"/>
    <n v="141"/>
    <x v="1"/>
    <b v="1"/>
    <b v="1"/>
    <s v="Male"/>
    <x v="3"/>
    <x v="0"/>
    <n v="70"/>
    <x v="1"/>
    <n v="0"/>
    <n v="70"/>
    <x v="3"/>
    <s v="Fresno, CA"/>
    <n v="36.7378"/>
    <n v="-119.7871"/>
    <d v="2022-11-13T00:00:00"/>
    <n v="5"/>
    <x v="0"/>
    <d v="2025-05-30T00:00:00"/>
    <s v="20–29"/>
    <s v="20–29"/>
  </r>
  <r>
    <n v="43"/>
    <x v="1"/>
    <n v="5"/>
    <s v="Mon, Sat, Sun, Thu, Wed"/>
    <b v="1"/>
    <d v="1899-12-30T13:20:00"/>
    <d v="1899-12-30T14:41:00"/>
    <n v="81"/>
    <x v="1"/>
    <b v="0"/>
    <b v="1"/>
    <s v="Non-binary"/>
    <x v="1"/>
    <x v="1"/>
    <n v="22.5"/>
    <x v="1"/>
    <n v="0"/>
    <n v="22.5"/>
    <x v="1"/>
    <s v="Fresno, CA"/>
    <n v="36.7378"/>
    <n v="-119.7871"/>
    <d v="2024-10-21T00:00:00"/>
    <n v="0"/>
    <x v="1"/>
    <d v="2025-07-09T00:00:00"/>
    <s v="40–49"/>
    <s v="40–49"/>
  </r>
  <r>
    <n v="45"/>
    <x v="1"/>
    <n v="2"/>
    <s v="Mon, Wed"/>
    <b v="1"/>
    <d v="1899-12-30T08:12:00"/>
    <d v="1899-12-30T10:09:00"/>
    <n v="117"/>
    <x v="1"/>
    <b v="0"/>
    <b v="0"/>
    <s v="Prefer not to say"/>
    <x v="1"/>
    <x v="0"/>
    <n v="30"/>
    <x v="3"/>
    <n v="0.15"/>
    <n v="25.5"/>
    <x v="1"/>
    <s v="Long Beach, CA"/>
    <n v="33.770099999999999"/>
    <n v="-118.19370000000001"/>
    <d v="2024-11-08T00:00:00"/>
    <n v="0"/>
    <x v="1"/>
    <d v="2025-07-10T00:00:00"/>
    <s v="40–49"/>
    <s v="40–49"/>
  </r>
  <r>
    <n v="39"/>
    <x v="1"/>
    <n v="4"/>
    <s v="Mon, Sun, Tue, Wed"/>
    <b v="1"/>
    <d v="1899-12-30T19:22:00"/>
    <d v="1899-12-30T21:18:00"/>
    <n v="116"/>
    <x v="1"/>
    <b v="0"/>
    <b v="0"/>
    <s v="Prefer not to say"/>
    <x v="1"/>
    <x v="0"/>
    <n v="30"/>
    <x v="1"/>
    <n v="0"/>
    <n v="30"/>
    <x v="1"/>
    <s v="San Francisco, CA"/>
    <n v="37.774900000000002"/>
    <n v="-122.4194"/>
    <d v="2025-05-20T00:00:00"/>
    <n v="0"/>
    <x v="1"/>
    <d v="2025-07-21T00:00:00"/>
    <s v="30–39"/>
    <s v="30–39"/>
  </r>
  <r>
    <n v="23"/>
    <x v="1"/>
    <n v="4"/>
    <s v="Fri, Sun, Thu, Wed"/>
    <b v="0"/>
    <d v="1899-12-30T10:17:00"/>
    <d v="1899-12-30T12:21:00"/>
    <n v="124"/>
    <x v="1"/>
    <b v="0"/>
    <b v="1"/>
    <s v="Female"/>
    <x v="1"/>
    <x v="0"/>
    <n v="30"/>
    <x v="1"/>
    <n v="0"/>
    <n v="30"/>
    <x v="1"/>
    <s v="Anaheim, CA"/>
    <n v="33.836599999999997"/>
    <n v="-117.9143"/>
    <d v="2023-07-29T00:00:00"/>
    <n v="0"/>
    <x v="1"/>
    <d v="2025-06-13T00:00:00"/>
    <s v="20–29"/>
    <s v="20–29"/>
  </r>
  <r>
    <n v="48"/>
    <x v="2"/>
    <n v="1"/>
    <s v="Wed"/>
    <b v="1"/>
    <d v="1899-12-30T14:44:00"/>
    <d v="1899-12-30T17:01:00"/>
    <n v="137"/>
    <x v="0"/>
    <b v="1"/>
    <b v="0"/>
    <s v="Male"/>
    <x v="2"/>
    <x v="2"/>
    <n v="18"/>
    <x v="0"/>
    <n v="0.05"/>
    <n v="17.100000000000001"/>
    <x v="2"/>
    <s v="Long Beach, CA"/>
    <n v="33.770099999999999"/>
    <n v="-118.19370000000001"/>
    <d v="2024-05-26T00:00:00"/>
    <n v="2"/>
    <x v="1"/>
    <d v="2025-06-30T00:00:00"/>
    <s v="40–49"/>
    <s v="40–49"/>
  </r>
  <r>
    <n v="30"/>
    <x v="2"/>
    <n v="1"/>
    <s v="Sat"/>
    <b v="0"/>
    <d v="1899-12-30T14:08:00"/>
    <d v="1899-12-30T17:08:00"/>
    <n v="180"/>
    <x v="0"/>
    <b v="1"/>
    <b v="0"/>
    <s v="Other (self-described)"/>
    <x v="2"/>
    <x v="0"/>
    <n v="20"/>
    <x v="2"/>
    <n v="0.1"/>
    <n v="18"/>
    <x v="2"/>
    <s v="Long Beach, CA"/>
    <n v="33.770099999999999"/>
    <n v="-118.19370000000001"/>
    <d v="2022-12-15T00:00:00"/>
    <n v="7"/>
    <x v="1"/>
    <d v="2025-06-01T00:00:00"/>
    <s v="30–39"/>
    <s v="30–3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4-02-05T00:00:00"/>
    <n v="4"/>
    <x v="0"/>
    <d v="2025-06-24T00:00:00"/>
    <s v="10–19"/>
    <s v="16–19"/>
  </r>
  <r>
    <n v="33"/>
    <x v="1"/>
    <n v="2"/>
    <s v="Thu, Wed"/>
    <b v="0"/>
    <d v="1899-12-30T09:56:00"/>
    <d v="1899-12-30T12:52:00"/>
    <n v="176"/>
    <x v="0"/>
    <b v="1"/>
    <b v="1"/>
    <s v="Female"/>
    <x v="1"/>
    <x v="0"/>
    <n v="30"/>
    <x v="3"/>
    <n v="0.15"/>
    <n v="25.5"/>
    <x v="1"/>
    <s v="Fresno, CA"/>
    <n v="36.7378"/>
    <n v="-119.7871"/>
    <d v="2022-08-26T00:00:00"/>
    <n v="2"/>
    <x v="0"/>
    <d v="2025-05-25T00:00:00"/>
    <s v="30–39"/>
    <s v="30–39"/>
  </r>
  <r>
    <n v="33"/>
    <x v="2"/>
    <n v="2"/>
    <s v="Mon, Wed"/>
    <b v="1"/>
    <d v="1899-12-30T20:25:00"/>
    <d v="1899-12-30T23:16:00"/>
    <n v="171"/>
    <x v="1"/>
    <b v="0"/>
    <b v="0"/>
    <s v="Female"/>
    <x v="2"/>
    <x v="0"/>
    <n v="20"/>
    <x v="2"/>
    <n v="0.1"/>
    <n v="18"/>
    <x v="2"/>
    <s v="Anaheim, CA"/>
    <n v="33.836599999999997"/>
    <n v="-117.9143"/>
    <d v="2024-12-07T00:00:00"/>
    <n v="0"/>
    <x v="0"/>
    <d v="2025-07-11T00:00:00"/>
    <s v="30–39"/>
    <s v="30–39"/>
  </r>
  <r>
    <n v="22"/>
    <x v="2"/>
    <n v="3"/>
    <s v="Fri, Mon, Tue"/>
    <b v="1"/>
    <d v="1899-12-30T16:37:00"/>
    <d v="1899-12-30T17:48:00"/>
    <n v="71"/>
    <x v="1"/>
    <b v="0"/>
    <b v="1"/>
    <s v="Female"/>
    <x v="2"/>
    <x v="0"/>
    <n v="20"/>
    <x v="0"/>
    <n v="0.05"/>
    <n v="19"/>
    <x v="2"/>
    <s v="Los Angeles, CA"/>
    <n v="34.052199999999999"/>
    <n v="-118.2437"/>
    <d v="2022-12-10T00:00:00"/>
    <n v="0"/>
    <x v="1"/>
    <d v="2025-05-31T00:00:00"/>
    <s v="20–29"/>
    <s v="20–29"/>
  </r>
  <r>
    <n v="39"/>
    <x v="2"/>
    <n v="5"/>
    <s v="Sat, Sun, Thu, Tue, Wed"/>
    <b v="1"/>
    <d v="1899-12-30T16:05:00"/>
    <d v="1899-12-30T18:42:00"/>
    <n v="157"/>
    <x v="0"/>
    <b v="1"/>
    <b v="0"/>
    <s v="Male"/>
    <x v="2"/>
    <x v="0"/>
    <n v="20"/>
    <x v="2"/>
    <n v="0.1"/>
    <n v="18"/>
    <x v="2"/>
    <s v="San Jose, CA"/>
    <n v="37.338200000000001"/>
    <n v="-121.88630000000001"/>
    <d v="2023-03-18T00:00:00"/>
    <n v="5"/>
    <x v="1"/>
    <d v="2025-06-06T00:00:00"/>
    <s v="30–39"/>
    <s v="30–39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3-24T00:00:00"/>
    <n v="8"/>
    <x v="1"/>
    <d v="2025-06-06T00:00:00"/>
    <s v="20–29"/>
    <s v="20–29"/>
  </r>
  <r>
    <n v="43"/>
    <x v="0"/>
    <n v="3"/>
    <s v="Fri, Sat, Thu"/>
    <b v="1"/>
    <d v="1899-12-30T13:40:00"/>
    <d v="1899-12-30T16:26:00"/>
    <n v="166"/>
    <x v="1"/>
    <b v="1"/>
    <b v="1"/>
    <s v="Other (self-described)"/>
    <x v="0"/>
    <x v="2"/>
    <n v="45"/>
    <x v="2"/>
    <n v="0.1"/>
    <n v="40.5"/>
    <x v="0"/>
    <s v="Los Angeles, CA"/>
    <n v="34.052199999999999"/>
    <n v="-118.2437"/>
    <d v="2023-01-05T00:00:00"/>
    <n v="1"/>
    <x v="0"/>
    <d v="2025-06-02T00:00:00"/>
    <s v="40–49"/>
    <s v="40–49"/>
  </r>
  <r>
    <n v="35"/>
    <x v="0"/>
    <n v="3"/>
    <s v="Sat, Tue, Wed"/>
    <b v="0"/>
    <d v="1899-12-30T16:35:00"/>
    <d v="1899-12-30T17:35:00"/>
    <n v="60"/>
    <x v="1"/>
    <b v="0"/>
    <b v="0"/>
    <s v="Female"/>
    <x v="0"/>
    <x v="1"/>
    <n v="37.5"/>
    <x v="1"/>
    <n v="0"/>
    <n v="37.5"/>
    <x v="0"/>
    <s v="San Jose, CA"/>
    <n v="37.338200000000001"/>
    <n v="-121.88630000000001"/>
    <d v="2023-04-04T00:00:00"/>
    <n v="0"/>
    <x v="0"/>
    <d v="2025-06-07T00:00:00"/>
    <s v="30–39"/>
    <s v="30–39"/>
  </r>
  <r>
    <n v="26"/>
    <x v="0"/>
    <n v="5"/>
    <s v="Mon, Sat, Sun, Thu, Wed"/>
    <b v="1"/>
    <d v="1899-12-30T17:11:00"/>
    <d v="1899-12-30T18:02:00"/>
    <n v="51"/>
    <x v="0"/>
    <b v="1"/>
    <b v="1"/>
    <s v="Female"/>
    <x v="0"/>
    <x v="1"/>
    <n v="37.5"/>
    <x v="3"/>
    <n v="0.15"/>
    <n v="31.875"/>
    <x v="0"/>
    <s v="Long Beach, CA"/>
    <n v="33.770099999999999"/>
    <n v="-118.19370000000001"/>
    <d v="2023-08-26T00:00:00"/>
    <n v="3"/>
    <x v="0"/>
    <d v="2025-06-15T00:00:00"/>
    <s v="20–29"/>
    <s v="20–29"/>
  </r>
  <r>
    <n v="29"/>
    <x v="1"/>
    <n v="1"/>
    <s v="Wed"/>
    <b v="1"/>
    <d v="1899-12-30T19:10:00"/>
    <d v="1899-12-30T21:32:00"/>
    <n v="142"/>
    <x v="1"/>
    <b v="1"/>
    <b v="0"/>
    <s v="Male"/>
    <x v="1"/>
    <x v="2"/>
    <n v="27"/>
    <x v="2"/>
    <n v="0.1"/>
    <n v="24.3"/>
    <x v="1"/>
    <s v="Sacramento, CA"/>
    <n v="38.581600000000002"/>
    <n v="-121.4944"/>
    <d v="2025-02-03T00:00:00"/>
    <n v="6"/>
    <x v="0"/>
    <d v="2025-07-15T00:00:00"/>
    <s v="20–29"/>
    <s v="20–29"/>
  </r>
  <r>
    <n v="35"/>
    <x v="1"/>
    <n v="2"/>
    <s v="Tue, Wed"/>
    <b v="0"/>
    <d v="1899-12-30T18:42:00"/>
    <d v="1899-12-30T21:41:00"/>
    <n v="179"/>
    <x v="0"/>
    <b v="1"/>
    <b v="1"/>
    <s v="Male"/>
    <x v="1"/>
    <x v="0"/>
    <n v="30"/>
    <x v="1"/>
    <n v="0"/>
    <n v="30"/>
    <x v="1"/>
    <s v="Sacramento, CA"/>
    <n v="38.581600000000002"/>
    <n v="-121.4944"/>
    <d v="2025-05-19T00:00:00"/>
    <n v="7"/>
    <x v="1"/>
    <d v="2025-07-21T00:00:00"/>
    <s v="30–39"/>
    <s v="30–39"/>
  </r>
  <r>
    <n v="47"/>
    <x v="0"/>
    <n v="2"/>
    <s v="Mon, Sat"/>
    <b v="1"/>
    <d v="1899-12-30T08:39:00"/>
    <d v="1899-12-30T09:38:00"/>
    <n v="59"/>
    <x v="1"/>
    <b v="1"/>
    <b v="1"/>
    <s v="Other (self-described)"/>
    <x v="0"/>
    <x v="1"/>
    <n v="37.5"/>
    <x v="2"/>
    <n v="0.1"/>
    <n v="33.75"/>
    <x v="0"/>
    <s v="San Diego, CA"/>
    <n v="32.715699999999998"/>
    <n v="-117.1611"/>
    <d v="2022-10-16T00:00:00"/>
    <n v="6"/>
    <x v="0"/>
    <d v="2025-05-28T00:00:00"/>
    <s v="40–49"/>
    <s v="40–49"/>
  </r>
  <r>
    <n v="19"/>
    <x v="0"/>
    <n v="3"/>
    <s v="Fri, Sun, Wed"/>
    <b v="1"/>
    <d v="1899-12-30T15:01:00"/>
    <d v="1899-12-30T16:59:00"/>
    <n v="118"/>
    <x v="1"/>
    <b v="0"/>
    <b v="0"/>
    <s v="Male"/>
    <x v="0"/>
    <x v="1"/>
    <n v="37.5"/>
    <x v="0"/>
    <n v="0.05"/>
    <n v="35.625"/>
    <x v="0"/>
    <s v="San Diego, CA"/>
    <n v="32.715699999999998"/>
    <n v="-117.1611"/>
    <d v="2023-09-05T00:00:00"/>
    <n v="0"/>
    <x v="0"/>
    <d v="2025-06-16T00:00:00"/>
    <s v="10–19"/>
    <s v="16–19"/>
  </r>
  <r>
    <n v="43"/>
    <x v="1"/>
    <n v="3"/>
    <s v="Fri, Sun, Tue"/>
    <b v="0"/>
    <d v="1899-12-30T18:37:00"/>
    <d v="1899-12-30T20:15:00"/>
    <n v="98"/>
    <x v="0"/>
    <b v="1"/>
    <b v="1"/>
    <s v="Female"/>
    <x v="1"/>
    <x v="2"/>
    <n v="27"/>
    <x v="2"/>
    <n v="0.1"/>
    <n v="24.3"/>
    <x v="1"/>
    <s v="Fresno, CA"/>
    <n v="36.7378"/>
    <n v="-119.7871"/>
    <d v="2023-02-25T00:00:00"/>
    <n v="5"/>
    <x v="1"/>
    <d v="2025-06-05T00:00:00"/>
    <s v="40–49"/>
    <s v="40–49"/>
  </r>
  <r>
    <n v="24"/>
    <x v="0"/>
    <n v="5"/>
    <s v="Fri, Mon, Sat, Sun, Wed"/>
    <b v="0"/>
    <d v="1899-12-30T20:53:00"/>
    <d v="1899-12-30T23:33:00"/>
    <n v="160"/>
    <x v="1"/>
    <b v="0"/>
    <b v="0"/>
    <s v="Male"/>
    <x v="0"/>
    <x v="0"/>
    <n v="50"/>
    <x v="2"/>
    <n v="0.1"/>
    <n v="45"/>
    <x v="0"/>
    <s v="Bakersfield, CA"/>
    <n v="35.3733"/>
    <n v="-119.0187"/>
    <d v="2024-01-27T00:00:00"/>
    <n v="0"/>
    <x v="0"/>
    <d v="2025-06-24T00:00:00"/>
    <s v="20–29"/>
    <s v="20–29"/>
  </r>
  <r>
    <n v="15"/>
    <x v="2"/>
    <n v="2"/>
    <s v="Fri, Sun"/>
    <b v="1"/>
    <d v="1899-12-30T14:20:00"/>
    <d v="1899-12-30T17:01:00"/>
    <n v="161"/>
    <x v="0"/>
    <b v="0"/>
    <b v="0"/>
    <s v="Non-binary"/>
    <x v="2"/>
    <x v="0"/>
    <n v="20"/>
    <x v="1"/>
    <n v="0"/>
    <n v="20"/>
    <x v="2"/>
    <s v="Anaheim, CA"/>
    <n v="33.836599999999997"/>
    <n v="-117.9143"/>
    <d v="2025-02-18T00:00:00"/>
    <n v="0"/>
    <x v="0"/>
    <d v="2025-07-15T00:00:00"/>
    <s v="10–19"/>
    <s v="Under 16"/>
  </r>
  <r>
    <n v="19"/>
    <x v="2"/>
    <n v="2"/>
    <s v="Fri, Sat"/>
    <b v="1"/>
    <d v="1899-12-30T20:23:00"/>
    <d v="1899-12-30T21:49:00"/>
    <n v="86"/>
    <x v="0"/>
    <b v="1"/>
    <b v="0"/>
    <s v="Male"/>
    <x v="2"/>
    <x v="1"/>
    <n v="15"/>
    <x v="2"/>
    <n v="0.1"/>
    <n v="13.5"/>
    <x v="2"/>
    <s v="San Diego, CA"/>
    <n v="32.715699999999998"/>
    <n v="-117.1611"/>
    <d v="2025-02-09T00:00:00"/>
    <n v="7"/>
    <x v="1"/>
    <d v="2025-07-15T00:00:00"/>
    <s v="10–19"/>
    <s v="16–19"/>
  </r>
  <r>
    <n v="27"/>
    <x v="1"/>
    <n v="1"/>
    <s v="Mon"/>
    <b v="0"/>
    <d v="1899-12-30T12:30:00"/>
    <d v="1899-12-30T13:08:00"/>
    <n v="38"/>
    <x v="1"/>
    <b v="0"/>
    <b v="0"/>
    <s v="Male"/>
    <x v="1"/>
    <x v="2"/>
    <n v="27"/>
    <x v="1"/>
    <n v="0"/>
    <n v="27"/>
    <x v="1"/>
    <s v="San Diego, CA"/>
    <n v="32.715699999999998"/>
    <n v="-117.1611"/>
    <d v="2023-06-23T00:00:00"/>
    <n v="0"/>
    <x v="1"/>
    <d v="2025-06-11T00:00:00"/>
    <s v="20–29"/>
    <s v="20–29"/>
  </r>
  <r>
    <n v="43"/>
    <x v="1"/>
    <n v="2"/>
    <s v="Sat, Tue"/>
    <b v="0"/>
    <d v="1899-12-30T19:40:00"/>
    <d v="1899-12-30T22:32:00"/>
    <n v="172"/>
    <x v="0"/>
    <b v="1"/>
    <b v="0"/>
    <s v="Female"/>
    <x v="1"/>
    <x v="0"/>
    <n v="30"/>
    <x v="0"/>
    <n v="0.05"/>
    <n v="28.5"/>
    <x v="1"/>
    <s v="Los Angeles, CA"/>
    <n v="34.052199999999999"/>
    <n v="-118.2437"/>
    <d v="2024-03-21T00:00:00"/>
    <n v="7"/>
    <x v="1"/>
    <d v="2025-06-27T00:00:00"/>
    <s v="40–49"/>
    <s v="40–49"/>
  </r>
  <r>
    <n v="35"/>
    <x v="2"/>
    <n v="3"/>
    <s v="Mon, Tue, Wed"/>
    <b v="0"/>
    <d v="1899-12-30T19:50:00"/>
    <d v="1899-12-30T20:51:00"/>
    <n v="61"/>
    <x v="1"/>
    <b v="0"/>
    <b v="0"/>
    <s v="Male"/>
    <x v="2"/>
    <x v="0"/>
    <n v="20"/>
    <x v="1"/>
    <n v="0"/>
    <n v="20"/>
    <x v="2"/>
    <s v="Fresno, CA"/>
    <n v="36.7378"/>
    <n v="-119.7871"/>
    <d v="2024-11-21T00:00:00"/>
    <n v="0"/>
    <x v="1"/>
    <d v="2025-07-10T00:00:00"/>
    <s v="30–39"/>
    <s v="30–39"/>
  </r>
  <r>
    <n v="36"/>
    <x v="0"/>
    <n v="2"/>
    <s v="Sat, Thu"/>
    <b v="1"/>
    <d v="1899-12-30T19:38:00"/>
    <d v="1899-12-30T21:40:00"/>
    <n v="122"/>
    <x v="1"/>
    <b v="1"/>
    <b v="1"/>
    <s v="Male"/>
    <x v="0"/>
    <x v="0"/>
    <n v="50"/>
    <x v="0"/>
    <n v="0.05"/>
    <n v="47.5"/>
    <x v="0"/>
    <s v="Anaheim, CA"/>
    <n v="33.836599999999997"/>
    <n v="-117.9143"/>
    <d v="2024-01-16T00:00:00"/>
    <n v="1"/>
    <x v="0"/>
    <d v="2025-06-23T00:00:00"/>
    <s v="30–39"/>
    <s v="30–39"/>
  </r>
  <r>
    <n v="40"/>
    <x v="0"/>
    <n v="2"/>
    <s v="Sat, Tue"/>
    <b v="1"/>
    <d v="1899-12-30T20:33:00"/>
    <d v="1899-12-30T21:52:00"/>
    <n v="79"/>
    <x v="1"/>
    <b v="1"/>
    <b v="1"/>
    <s v="Non-binary"/>
    <x v="0"/>
    <x v="1"/>
    <n v="37.5"/>
    <x v="3"/>
    <n v="0.15"/>
    <n v="31.875"/>
    <x v="0"/>
    <s v="Bakersfield, CA"/>
    <n v="35.3733"/>
    <n v="-119.0187"/>
    <d v="2025-04-15T00:00:00"/>
    <n v="7"/>
    <x v="1"/>
    <d v="2025-07-19T00:00:00"/>
    <s v="40–49"/>
    <s v="40–49"/>
  </r>
  <r>
    <n v="38"/>
    <x v="3"/>
    <n v="3"/>
    <s v="Thu, Tue, Wed"/>
    <b v="1"/>
    <d v="1899-12-30T16:41:00"/>
    <d v="1899-12-30T17:48:00"/>
    <n v="67"/>
    <x v="1"/>
    <b v="0"/>
    <b v="1"/>
    <s v="Male"/>
    <x v="3"/>
    <x v="0"/>
    <n v="70"/>
    <x v="1"/>
    <n v="0"/>
    <n v="70"/>
    <x v="3"/>
    <s v="San Jose, CA"/>
    <n v="37.338200000000001"/>
    <n v="-121.88630000000001"/>
    <d v="2023-10-12T00:00:00"/>
    <n v="0"/>
    <x v="1"/>
    <d v="2025-06-18T00:00:00"/>
    <s v="30–39"/>
    <s v="30–39"/>
  </r>
  <r>
    <n v="19"/>
    <x v="2"/>
    <n v="1"/>
    <s v="Sun"/>
    <b v="0"/>
    <d v="1899-12-30T11:29:00"/>
    <d v="1899-12-30T14:26:00"/>
    <n v="177"/>
    <x v="1"/>
    <b v="1"/>
    <b v="0"/>
    <s v="Male"/>
    <x v="2"/>
    <x v="1"/>
    <n v="15"/>
    <x v="0"/>
    <n v="0.05"/>
    <n v="14.25"/>
    <x v="2"/>
    <s v="Long Beach, CA"/>
    <n v="33.770099999999999"/>
    <n v="-118.19370000000001"/>
    <d v="2024-09-09T00:00:00"/>
    <n v="4"/>
    <x v="1"/>
    <d v="2025-07-06T00:00:00"/>
    <s v="10–19"/>
    <s v="16–19"/>
  </r>
  <r>
    <n v="20"/>
    <x v="0"/>
    <n v="3"/>
    <s v="Sat, Sun, Thu"/>
    <b v="0"/>
    <d v="1899-12-30T10:32:00"/>
    <d v="1899-12-30T11:09:00"/>
    <n v="37"/>
    <x v="0"/>
    <b v="0"/>
    <b v="1"/>
    <s v="Female"/>
    <x v="0"/>
    <x v="0"/>
    <n v="50"/>
    <x v="3"/>
    <n v="0.15"/>
    <n v="42.5"/>
    <x v="0"/>
    <s v="San Francisco, CA"/>
    <n v="37.774900000000002"/>
    <n v="-122.4194"/>
    <d v="2023-02-24T00:00:00"/>
    <n v="0"/>
    <x v="0"/>
    <d v="2025-06-05T00:00:00"/>
    <s v="20–29"/>
    <s v="20–29"/>
  </r>
  <r>
    <n v="44"/>
    <x v="2"/>
    <n v="1"/>
    <s v="Wed"/>
    <b v="0"/>
    <d v="1899-12-30T20:43:00"/>
    <d v="1899-12-30T22:58:00"/>
    <n v="135"/>
    <x v="1"/>
    <b v="0"/>
    <b v="0"/>
    <s v="Female"/>
    <x v="2"/>
    <x v="0"/>
    <n v="20"/>
    <x v="1"/>
    <n v="0"/>
    <n v="20"/>
    <x v="2"/>
    <s v="Sacramento, CA"/>
    <n v="38.581600000000002"/>
    <n v="-121.4944"/>
    <d v="2024-07-27T00:00:00"/>
    <n v="0"/>
    <x v="1"/>
    <d v="2025-07-04T00:00:00"/>
    <s v="40–49"/>
    <s v="40–49"/>
  </r>
  <r>
    <n v="34"/>
    <x v="3"/>
    <n v="1"/>
    <s v="Thu"/>
    <b v="1"/>
    <d v="1899-12-30T17:57:00"/>
    <d v="1899-12-30T19:46:00"/>
    <n v="109"/>
    <x v="0"/>
    <b v="1"/>
    <b v="1"/>
    <s v="Non-binary"/>
    <x v="3"/>
    <x v="1"/>
    <n v="52.5"/>
    <x v="1"/>
    <n v="0"/>
    <n v="52.5"/>
    <x v="3"/>
    <s v="San Jose, CA"/>
    <n v="37.338200000000001"/>
    <n v="-121.88630000000001"/>
    <d v="2024-02-24T00:00:00"/>
    <n v="2"/>
    <x v="0"/>
    <d v="2025-06-25T00:00:00"/>
    <s v="30–39"/>
    <s v="30–39"/>
  </r>
  <r>
    <n v="13"/>
    <x v="2"/>
    <n v="3"/>
    <s v="Mon, Sun, Thu"/>
    <b v="0"/>
    <d v="1899-12-30T14:01:00"/>
    <d v="1899-12-30T16:23:00"/>
    <n v="142"/>
    <x v="1"/>
    <b v="0"/>
    <b v="1"/>
    <s v="Female"/>
    <x v="2"/>
    <x v="1"/>
    <n v="15"/>
    <x v="0"/>
    <n v="0.05"/>
    <n v="14.25"/>
    <x v="2"/>
    <s v="Fresno, CA"/>
    <n v="36.7378"/>
    <n v="-119.7871"/>
    <d v="2025-06-10T00:00:00"/>
    <n v="0"/>
    <x v="1"/>
    <d v="2025-07-22T00:00:00"/>
    <s v="10–19"/>
    <s v="Under 16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5-04-06T00:00:00"/>
    <n v="2"/>
    <x v="0"/>
    <d v="2025-07-18T00:00:00"/>
    <s v="20–29"/>
    <s v="20–29"/>
  </r>
  <r>
    <n v="31"/>
    <x v="1"/>
    <n v="5"/>
    <s v="Fri, Sat, Sun, Tue, Wed"/>
    <b v="1"/>
    <d v="1899-12-30T09:47:00"/>
    <d v="1899-12-30T11:32:00"/>
    <n v="105"/>
    <x v="0"/>
    <b v="1"/>
    <b v="1"/>
    <s v="Female"/>
    <x v="1"/>
    <x v="1"/>
    <n v="22.5"/>
    <x v="1"/>
    <n v="0"/>
    <n v="22.5"/>
    <x v="1"/>
    <s v="Oakland, CA"/>
    <n v="37.804400000000001"/>
    <n v="-122.27119999999999"/>
    <d v="2024-04-30T00:00:00"/>
    <n v="2"/>
    <x v="1"/>
    <d v="2025-06-29T00:00:00"/>
    <s v="30–39"/>
    <s v="30–39"/>
  </r>
  <r>
    <n v="15"/>
    <x v="0"/>
    <n v="1"/>
    <s v="Mon"/>
    <b v="0"/>
    <d v="1899-12-30T17:19:00"/>
    <d v="1899-12-30T20:19:00"/>
    <n v="180"/>
    <x v="0"/>
    <b v="0"/>
    <b v="1"/>
    <s v="Male"/>
    <x v="0"/>
    <x v="1"/>
    <n v="37.5"/>
    <x v="0"/>
    <n v="0.05"/>
    <n v="35.625"/>
    <x v="0"/>
    <s v="Sacramento, CA"/>
    <n v="38.581600000000002"/>
    <n v="-121.4944"/>
    <d v="2024-01-28T00:00:00"/>
    <n v="0"/>
    <x v="1"/>
    <d v="2025-06-24T00:00:00"/>
    <s v="10–19"/>
    <s v="Under 16"/>
  </r>
  <r>
    <n v="38"/>
    <x v="0"/>
    <n v="4"/>
    <s v="Fri, Mon, Thu, Wed"/>
    <b v="1"/>
    <d v="1899-12-30T20:54:00"/>
    <d v="1899-12-30T22:41:00"/>
    <n v="107"/>
    <x v="0"/>
    <b v="1"/>
    <b v="1"/>
    <s v="Female"/>
    <x v="0"/>
    <x v="0"/>
    <n v="50"/>
    <x v="2"/>
    <n v="0.1"/>
    <n v="45"/>
    <x v="0"/>
    <s v="San Diego, CA"/>
    <n v="32.715699999999998"/>
    <n v="-117.1611"/>
    <d v="2023-09-22T00:00:00"/>
    <n v="4"/>
    <x v="0"/>
    <d v="2025-06-16T00:00:00"/>
    <s v="30–39"/>
    <s v="30–39"/>
  </r>
  <r>
    <n v="32"/>
    <x v="3"/>
    <n v="2"/>
    <s v="Sat, Sun"/>
    <b v="1"/>
    <d v="1899-12-30T19:07:00"/>
    <d v="1899-12-30T22:00:00"/>
    <n v="173"/>
    <x v="0"/>
    <b v="0"/>
    <b v="0"/>
    <s v="Male"/>
    <x v="3"/>
    <x v="0"/>
    <n v="70"/>
    <x v="3"/>
    <n v="0.15"/>
    <n v="59.5"/>
    <x v="3"/>
    <s v="San Diego, CA"/>
    <n v="32.715699999999998"/>
    <n v="-117.1611"/>
    <d v="2024-08-16T00:00:00"/>
    <n v="0"/>
    <x v="0"/>
    <d v="2025-07-05T00:00:00"/>
    <s v="30–39"/>
    <s v="30–39"/>
  </r>
  <r>
    <n v="37"/>
    <x v="2"/>
    <n v="1"/>
    <s v="Sat"/>
    <b v="1"/>
    <d v="1899-12-30T08:21:00"/>
    <d v="1899-12-30T08:55:00"/>
    <n v="34"/>
    <x v="1"/>
    <b v="0"/>
    <b v="0"/>
    <s v="Female"/>
    <x v="2"/>
    <x v="1"/>
    <n v="15"/>
    <x v="1"/>
    <n v="0"/>
    <n v="15"/>
    <x v="2"/>
    <s v="Fresno, CA"/>
    <n v="36.7378"/>
    <n v="-119.7871"/>
    <d v="2023-06-13T00:00:00"/>
    <n v="0"/>
    <x v="1"/>
    <d v="2025-06-11T00:00:00"/>
    <s v="30–39"/>
    <s v="30–39"/>
  </r>
  <r>
    <n v="24"/>
    <x v="0"/>
    <n v="5"/>
    <s v="Fri, Mon, Sat, Sun, Wed"/>
    <b v="0"/>
    <d v="1899-12-30T20:53:00"/>
    <d v="1899-12-30T23:33:00"/>
    <n v="160"/>
    <x v="1"/>
    <b v="0"/>
    <b v="0"/>
    <s v="Male"/>
    <x v="0"/>
    <x v="0"/>
    <n v="50"/>
    <x v="2"/>
    <n v="0.1"/>
    <n v="45"/>
    <x v="0"/>
    <s v="Bakersfield, CA"/>
    <n v="35.3733"/>
    <n v="-119.0187"/>
    <d v="2022-12-19T00:00:00"/>
    <n v="0"/>
    <x v="0"/>
    <d v="2025-06-01T00:00:00"/>
    <s v="20–29"/>
    <s v="20–29"/>
  </r>
  <r>
    <n v="23"/>
    <x v="1"/>
    <n v="2"/>
    <s v="Sat, Thu"/>
    <b v="0"/>
    <d v="1899-12-30T11:56:00"/>
    <d v="1899-12-30T13:42:00"/>
    <n v="106"/>
    <x v="0"/>
    <b v="1"/>
    <b v="1"/>
    <s v="Female"/>
    <x v="1"/>
    <x v="0"/>
    <n v="30"/>
    <x v="0"/>
    <n v="0.05"/>
    <n v="28.5"/>
    <x v="1"/>
    <s v="Fresno, CA"/>
    <n v="36.7378"/>
    <n v="-119.7871"/>
    <d v="2023-03-15T00:00:00"/>
    <n v="6"/>
    <x v="1"/>
    <d v="2025-06-06T00:00:00"/>
    <s v="20–29"/>
    <s v="20–2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5-05-11T00:00:00"/>
    <n v="0"/>
    <x v="0"/>
    <d v="2025-07-20T00:00:00"/>
    <s v="20–29"/>
    <s v="20–29"/>
  </r>
  <r>
    <n v="35"/>
    <x v="1"/>
    <n v="5"/>
    <s v="Fri, Sat, Thu, Tue, Wed"/>
    <b v="1"/>
    <d v="1899-12-30T15:45:00"/>
    <d v="1899-12-30T18:43:00"/>
    <n v="178"/>
    <x v="0"/>
    <b v="0"/>
    <b v="0"/>
    <s v="Non-binary"/>
    <x v="1"/>
    <x v="0"/>
    <n v="30"/>
    <x v="1"/>
    <n v="0"/>
    <n v="30"/>
    <x v="1"/>
    <s v="Fresno, CA"/>
    <n v="36.7378"/>
    <n v="-119.7871"/>
    <d v="2024-01-28T00:00:00"/>
    <n v="0"/>
    <x v="0"/>
    <d v="2025-06-24T00:00:00"/>
    <s v="30–39"/>
    <s v="30–39"/>
  </r>
  <r>
    <n v="26"/>
    <x v="0"/>
    <n v="5"/>
    <s v="Mon, Sat, Sun, Thu, Wed"/>
    <b v="1"/>
    <d v="1899-12-30T17:11:00"/>
    <d v="1899-12-30T18:02:00"/>
    <n v="51"/>
    <x v="0"/>
    <b v="1"/>
    <b v="1"/>
    <s v="Female"/>
    <x v="0"/>
    <x v="1"/>
    <n v="37.5"/>
    <x v="3"/>
    <n v="0.15"/>
    <n v="31.875"/>
    <x v="0"/>
    <s v="Long Beach, CA"/>
    <n v="33.770099999999999"/>
    <n v="-118.19370000000001"/>
    <d v="2025-03-03T00:00:00"/>
    <n v="1"/>
    <x v="0"/>
    <d v="2025-07-16T00:00:00"/>
    <s v="20–29"/>
    <s v="20–29"/>
  </r>
  <r>
    <n v="17"/>
    <x v="0"/>
    <n v="3"/>
    <s v="Sat, Thu, Tue"/>
    <b v="1"/>
    <d v="1899-12-30T15:41:00"/>
    <d v="1899-12-30T16:58:00"/>
    <n v="77"/>
    <x v="1"/>
    <b v="1"/>
    <b v="0"/>
    <s v="Female"/>
    <x v="0"/>
    <x v="1"/>
    <n v="37.5"/>
    <x v="2"/>
    <n v="0.1"/>
    <n v="33.75"/>
    <x v="0"/>
    <s v="San Francisco, CA"/>
    <n v="37.774900000000002"/>
    <n v="-122.4194"/>
    <d v="2024-10-08T00:00:00"/>
    <n v="7"/>
    <x v="0"/>
    <d v="2025-07-08T00:00:00"/>
    <s v="10–19"/>
    <s v="16–19"/>
  </r>
  <r>
    <n v="40"/>
    <x v="0"/>
    <n v="3"/>
    <s v="Sun, Thu, Wed"/>
    <b v="0"/>
    <d v="1899-12-30T11:58:00"/>
    <d v="1899-12-30T14:31:00"/>
    <n v="153"/>
    <x v="1"/>
    <b v="1"/>
    <b v="0"/>
    <s v="Female"/>
    <x v="0"/>
    <x v="0"/>
    <n v="50"/>
    <x v="1"/>
    <n v="0"/>
    <n v="50"/>
    <x v="0"/>
    <s v="Long Beach, CA"/>
    <n v="33.770099999999999"/>
    <n v="-118.19370000000001"/>
    <d v="2022-08-07T00:00:00"/>
    <n v="4"/>
    <x v="0"/>
    <d v="2025-05-24T00:00:00"/>
    <s v="40–49"/>
    <s v="40–49"/>
  </r>
  <r>
    <n v="28"/>
    <x v="0"/>
    <n v="4"/>
    <s v="Mon, Sat, Thu, Wed"/>
    <b v="0"/>
    <d v="1899-12-30T09:22:00"/>
    <d v="1899-12-30T10:57:00"/>
    <n v="95"/>
    <x v="0"/>
    <b v="1"/>
    <b v="0"/>
    <s v="Male"/>
    <x v="0"/>
    <x v="0"/>
    <n v="50"/>
    <x v="3"/>
    <n v="0.15"/>
    <n v="42.5"/>
    <x v="0"/>
    <s v="Long Beach, CA"/>
    <n v="33.770099999999999"/>
    <n v="-118.19370000000001"/>
    <d v="2025-01-22T00:00:00"/>
    <n v="2"/>
    <x v="0"/>
    <d v="2025-07-14T00:00:00"/>
    <s v="20–29"/>
    <s v="20–29"/>
  </r>
  <r>
    <n v="17"/>
    <x v="1"/>
    <n v="2"/>
    <s v="Tue, Wed"/>
    <b v="0"/>
    <d v="1899-12-30T08:06:00"/>
    <d v="1899-12-30T08:47:00"/>
    <n v="41"/>
    <x v="1"/>
    <b v="0"/>
    <b v="1"/>
    <s v="Male"/>
    <x v="1"/>
    <x v="1"/>
    <n v="22.5"/>
    <x v="2"/>
    <n v="0.1"/>
    <n v="20.25"/>
    <x v="1"/>
    <s v="Long Beach, CA"/>
    <n v="33.770099999999999"/>
    <n v="-118.19370000000001"/>
    <d v="2024-01-08T00:00:00"/>
    <n v="0"/>
    <x v="1"/>
    <d v="2025-06-23T00:00:00"/>
    <s v="10–19"/>
    <s v="16–19"/>
  </r>
  <r>
    <n v="23"/>
    <x v="2"/>
    <n v="3"/>
    <s v="Fri, Sat, Thu"/>
    <b v="1"/>
    <d v="1899-12-30T13:06:00"/>
    <d v="1899-12-30T14:35:00"/>
    <n v="89"/>
    <x v="1"/>
    <b v="1"/>
    <b v="0"/>
    <s v="Male"/>
    <x v="2"/>
    <x v="1"/>
    <n v="15"/>
    <x v="2"/>
    <n v="0.1"/>
    <n v="13.5"/>
    <x v="2"/>
    <s v="San Francisco, CA"/>
    <n v="37.774900000000002"/>
    <n v="-122.4194"/>
    <d v="2023-09-03T00:00:00"/>
    <n v="5"/>
    <x v="0"/>
    <d v="2025-06-15T00:00:00"/>
    <s v="20–29"/>
    <s v="20–29"/>
  </r>
  <r>
    <n v="24"/>
    <x v="0"/>
    <n v="2"/>
    <s v="Sun, Tue"/>
    <b v="1"/>
    <d v="1899-12-30T17:44:00"/>
    <d v="1899-12-30T20:02:00"/>
    <n v="138"/>
    <x v="0"/>
    <b v="1"/>
    <b v="1"/>
    <s v="Male"/>
    <x v="0"/>
    <x v="0"/>
    <n v="50"/>
    <x v="0"/>
    <n v="0.05"/>
    <n v="47.5"/>
    <x v="0"/>
    <s v="Fresno, CA"/>
    <n v="36.7378"/>
    <n v="-119.7871"/>
    <d v="2023-06-05T00:00:00"/>
    <n v="3"/>
    <x v="0"/>
    <d v="2025-06-10T00:00:00"/>
    <s v="20–29"/>
    <s v="20–29"/>
  </r>
  <r>
    <n v="18"/>
    <x v="0"/>
    <n v="1"/>
    <s v="Sat"/>
    <b v="0"/>
    <d v="1899-12-30T18:01:00"/>
    <d v="1899-12-30T18:36:00"/>
    <n v="35"/>
    <x v="1"/>
    <b v="1"/>
    <b v="0"/>
    <s v="Non-binary"/>
    <x v="0"/>
    <x v="0"/>
    <n v="50"/>
    <x v="2"/>
    <n v="0.1"/>
    <n v="45"/>
    <x v="0"/>
    <s v="Sacramento, CA"/>
    <n v="38.581600000000002"/>
    <n v="-121.4944"/>
    <d v="2023-11-04T00:00:00"/>
    <n v="7"/>
    <x v="0"/>
    <d v="2025-06-19T00:00:00"/>
    <s v="10–19"/>
    <s v="16–19"/>
  </r>
  <r>
    <n v="48"/>
    <x v="0"/>
    <n v="4"/>
    <s v="Fri, Thu, Tue, Wed"/>
    <b v="0"/>
    <d v="1899-12-30T09:34:00"/>
    <d v="1899-12-30T10:11:00"/>
    <n v="37"/>
    <x v="0"/>
    <b v="0"/>
    <b v="0"/>
    <s v="Male"/>
    <x v="0"/>
    <x v="1"/>
    <n v="37.5"/>
    <x v="1"/>
    <n v="0"/>
    <n v="37.5"/>
    <x v="0"/>
    <s v="Bakersfield, CA"/>
    <n v="35.3733"/>
    <n v="-119.0187"/>
    <d v="2025-06-12T00:00:00"/>
    <n v="0"/>
    <x v="0"/>
    <d v="2025-07-22T00:00:00"/>
    <s v="40–49"/>
    <s v="40–49"/>
  </r>
  <r>
    <n v="38"/>
    <x v="0"/>
    <n v="3"/>
    <s v="Mon, Sun, Tue"/>
    <b v="1"/>
    <d v="1899-12-30T11:37:00"/>
    <d v="1899-12-30T12:57:00"/>
    <n v="80"/>
    <x v="1"/>
    <b v="1"/>
    <b v="1"/>
    <s v="Female"/>
    <x v="0"/>
    <x v="1"/>
    <n v="37.5"/>
    <x v="3"/>
    <n v="0.15"/>
    <n v="31.875"/>
    <x v="0"/>
    <s v="Oakland, CA"/>
    <n v="37.804400000000001"/>
    <n v="-122.27119999999999"/>
    <d v="2024-07-10T00:00:00"/>
    <n v="4"/>
    <x v="1"/>
    <d v="2025-07-03T00:00:00"/>
    <s v="30–39"/>
    <s v="30–39"/>
  </r>
  <r>
    <n v="23"/>
    <x v="1"/>
    <n v="2"/>
    <s v="Sat, Thu"/>
    <b v="0"/>
    <d v="1899-12-30T11:56:00"/>
    <d v="1899-12-30T13:42:00"/>
    <n v="106"/>
    <x v="0"/>
    <b v="1"/>
    <b v="1"/>
    <s v="Female"/>
    <x v="1"/>
    <x v="0"/>
    <n v="30"/>
    <x v="0"/>
    <n v="0.05"/>
    <n v="28.5"/>
    <x v="1"/>
    <s v="Fresno, CA"/>
    <n v="36.7378"/>
    <n v="-119.7871"/>
    <d v="2023-12-19T00:00:00"/>
    <n v="8"/>
    <x v="1"/>
    <d v="2025-06-21T00:00:00"/>
    <s v="20–29"/>
    <s v="20–29"/>
  </r>
  <r>
    <n v="36"/>
    <x v="1"/>
    <n v="4"/>
    <s v="Fri, Mon, Thu, Wed"/>
    <b v="0"/>
    <d v="1899-12-30T14:02:00"/>
    <d v="1899-12-30T16:28:00"/>
    <n v="146"/>
    <x v="0"/>
    <b v="0"/>
    <b v="1"/>
    <s v="Female"/>
    <x v="1"/>
    <x v="1"/>
    <n v="22.5"/>
    <x v="0"/>
    <n v="0.05"/>
    <n v="21.375"/>
    <x v="1"/>
    <s v="San Jose, CA"/>
    <n v="37.338200000000001"/>
    <n v="-121.88630000000001"/>
    <d v="2025-03-21T00:00:00"/>
    <n v="0"/>
    <x v="1"/>
    <d v="2025-07-17T00:00:00"/>
    <s v="30–39"/>
    <s v="30–39"/>
  </r>
  <r>
    <n v="26"/>
    <x v="0"/>
    <n v="3"/>
    <s v="Thu, Tue, Wed"/>
    <b v="0"/>
    <d v="1899-12-30T09:38:00"/>
    <d v="1899-12-30T10:45:00"/>
    <n v="67"/>
    <x v="0"/>
    <b v="1"/>
    <b v="1"/>
    <s v="Male"/>
    <x v="0"/>
    <x v="1"/>
    <n v="37.5"/>
    <x v="0"/>
    <n v="0.05"/>
    <n v="35.625"/>
    <x v="0"/>
    <s v="San Diego, CA"/>
    <n v="32.715699999999998"/>
    <n v="-117.1611"/>
    <d v="2024-06-14T00:00:00"/>
    <n v="4"/>
    <x v="0"/>
    <d v="2025-07-01T00:00:00"/>
    <s v="20–29"/>
    <s v="20–29"/>
  </r>
  <r>
    <n v="18"/>
    <x v="0"/>
    <n v="4"/>
    <s v="Fri, Sat, Sun, Tue"/>
    <b v="1"/>
    <d v="1899-12-30T19:08:00"/>
    <d v="1899-12-30T21:32:00"/>
    <n v="144"/>
    <x v="1"/>
    <b v="0"/>
    <b v="0"/>
    <s v="Male"/>
    <x v="0"/>
    <x v="0"/>
    <n v="50"/>
    <x v="1"/>
    <n v="0"/>
    <n v="50"/>
    <x v="0"/>
    <s v="San Diego, CA"/>
    <n v="32.715699999999998"/>
    <n v="-117.1611"/>
    <d v="2025-05-18T00:00:00"/>
    <n v="0"/>
    <x v="1"/>
    <d v="2025-07-21T00:00:00"/>
    <s v="10–19"/>
    <s v="16–19"/>
  </r>
  <r>
    <n v="20"/>
    <x v="3"/>
    <n v="2"/>
    <s v="Sun, Thu"/>
    <b v="1"/>
    <d v="1899-12-30T09:26:00"/>
    <d v="1899-12-30T10:35:00"/>
    <n v="69"/>
    <x v="0"/>
    <b v="0"/>
    <b v="0"/>
    <s v="Prefer not to say"/>
    <x v="3"/>
    <x v="0"/>
    <n v="70"/>
    <x v="1"/>
    <n v="0"/>
    <n v="70"/>
    <x v="3"/>
    <s v="San Diego, CA"/>
    <n v="32.715699999999998"/>
    <n v="-117.1611"/>
    <d v="2025-03-31T00:00:00"/>
    <n v="0"/>
    <x v="0"/>
    <d v="2025-07-18T00:00:00"/>
    <s v="20–29"/>
    <s v="20–29"/>
  </r>
  <r>
    <n v="19"/>
    <x v="0"/>
    <n v="5"/>
    <s v="Fri, Mon, Sat, Thu, Wed"/>
    <b v="1"/>
    <d v="1899-12-30T10:54:00"/>
    <d v="1899-12-30T13:17:00"/>
    <n v="143"/>
    <x v="1"/>
    <b v="1"/>
    <b v="0"/>
    <s v="Female"/>
    <x v="0"/>
    <x v="0"/>
    <n v="50"/>
    <x v="0"/>
    <n v="0.05"/>
    <n v="47.5"/>
    <x v="0"/>
    <s v="Long Beach, CA"/>
    <n v="33.770099999999999"/>
    <n v="-118.19370000000001"/>
    <d v="2024-04-26T00:00:00"/>
    <n v="1"/>
    <x v="0"/>
    <d v="2025-06-29T00:00:00"/>
    <s v="10–19"/>
    <s v="16–19"/>
  </r>
  <r>
    <n v="13"/>
    <x v="0"/>
    <n v="2"/>
    <s v="Fri, Tue"/>
    <b v="1"/>
    <d v="1899-12-30T09:23:00"/>
    <d v="1899-12-30T12:02:00"/>
    <n v="159"/>
    <x v="0"/>
    <b v="0"/>
    <b v="1"/>
    <s v="Male"/>
    <x v="0"/>
    <x v="0"/>
    <n v="50"/>
    <x v="1"/>
    <n v="0"/>
    <n v="50"/>
    <x v="0"/>
    <s v="San Diego, CA"/>
    <n v="32.715699999999998"/>
    <n v="-117.1611"/>
    <d v="2025-02-01T00:00:00"/>
    <n v="0"/>
    <x v="0"/>
    <d v="2025-07-15T00:00:00"/>
    <s v="10–19"/>
    <s v="Under 16"/>
  </r>
  <r>
    <n v="43"/>
    <x v="1"/>
    <n v="3"/>
    <s v="Mon, Sat, Thu"/>
    <b v="1"/>
    <d v="1899-12-30T12:17:00"/>
    <d v="1899-12-30T15:09:00"/>
    <n v="172"/>
    <x v="0"/>
    <b v="0"/>
    <b v="0"/>
    <s v="Female"/>
    <x v="1"/>
    <x v="1"/>
    <n v="22.5"/>
    <x v="3"/>
    <n v="0.15"/>
    <n v="19.125"/>
    <x v="1"/>
    <s v="Fresno, CA"/>
    <n v="36.7378"/>
    <n v="-119.7871"/>
    <d v="2023-10-27T00:00:00"/>
    <n v="0"/>
    <x v="0"/>
    <d v="2025-06-18T00:00:00"/>
    <s v="40–49"/>
    <s v="40–49"/>
  </r>
  <r>
    <n v="27"/>
    <x v="1"/>
    <n v="1"/>
    <s v="Wed"/>
    <b v="0"/>
    <d v="1899-12-30T11:25:00"/>
    <d v="1899-12-30T12:56:00"/>
    <n v="91"/>
    <x v="1"/>
    <b v="0"/>
    <b v="1"/>
    <s v="Female"/>
    <x v="1"/>
    <x v="0"/>
    <n v="30"/>
    <x v="3"/>
    <n v="0.15"/>
    <n v="25.5"/>
    <x v="1"/>
    <s v="Fresno, CA"/>
    <n v="36.7378"/>
    <n v="-119.7871"/>
    <d v="2023-06-19T00:00:00"/>
    <n v="0"/>
    <x v="1"/>
    <d v="2025-06-11T00:00:00"/>
    <s v="20–29"/>
    <s v="20–29"/>
  </r>
  <r>
    <n v="48"/>
    <x v="0"/>
    <n v="3"/>
    <s v="Mon, Sat, Tue"/>
    <b v="0"/>
    <d v="1899-12-30T19:44:00"/>
    <d v="1899-12-30T20:51:00"/>
    <n v="67"/>
    <x v="1"/>
    <b v="0"/>
    <b v="0"/>
    <s v="Female"/>
    <x v="0"/>
    <x v="0"/>
    <n v="50"/>
    <x v="2"/>
    <n v="0.1"/>
    <n v="45"/>
    <x v="0"/>
    <s v="Oakland, CA"/>
    <n v="37.804400000000001"/>
    <n v="-122.27119999999999"/>
    <d v="2023-02-21T00:00:00"/>
    <n v="0"/>
    <x v="0"/>
    <d v="2025-06-04T00:00:00"/>
    <s v="40–49"/>
    <s v="40–49"/>
  </r>
  <r>
    <n v="45"/>
    <x v="0"/>
    <n v="4"/>
    <s v="Fri, Thu, Tue, Wed"/>
    <b v="0"/>
    <d v="1899-12-30T19:32:00"/>
    <d v="1899-12-30T20:18:00"/>
    <n v="46"/>
    <x v="1"/>
    <b v="0"/>
    <b v="0"/>
    <s v="Prefer not to say"/>
    <x v="0"/>
    <x v="0"/>
    <n v="50"/>
    <x v="1"/>
    <n v="0"/>
    <n v="50"/>
    <x v="0"/>
    <s v="San Jose, CA"/>
    <n v="37.338200000000001"/>
    <n v="-121.88630000000001"/>
    <d v="2024-11-21T00:00:00"/>
    <n v="0"/>
    <x v="0"/>
    <d v="2025-07-10T00:00:00"/>
    <s v="40–49"/>
    <s v="40–49"/>
  </r>
  <r>
    <n v="36"/>
    <x v="3"/>
    <n v="4"/>
    <s v="Mon, Sun, Thu, Wed"/>
    <b v="0"/>
    <d v="1899-12-30T12:32:00"/>
    <d v="1899-12-30T13:02:00"/>
    <n v="30"/>
    <x v="0"/>
    <b v="0"/>
    <b v="0"/>
    <s v="Female"/>
    <x v="3"/>
    <x v="0"/>
    <n v="70"/>
    <x v="3"/>
    <n v="0.15"/>
    <n v="59.5"/>
    <x v="3"/>
    <s v="Fresno, CA"/>
    <n v="36.7378"/>
    <n v="-119.7871"/>
    <d v="2024-12-26T00:00:00"/>
    <n v="0"/>
    <x v="0"/>
    <d v="2025-07-12T00:00:00"/>
    <s v="30–39"/>
    <s v="30–39"/>
  </r>
  <r>
    <n v="21"/>
    <x v="1"/>
    <n v="5"/>
    <s v="Fri, Mon, Sat, Sun, Thu"/>
    <b v="1"/>
    <d v="1899-12-30T20:15:00"/>
    <d v="1899-12-30T23:14:00"/>
    <n v="179"/>
    <x v="1"/>
    <b v="0"/>
    <b v="1"/>
    <s v="Male"/>
    <x v="1"/>
    <x v="0"/>
    <n v="30"/>
    <x v="0"/>
    <n v="0.05"/>
    <n v="28.5"/>
    <x v="1"/>
    <s v="Fresno, CA"/>
    <n v="36.7378"/>
    <n v="-119.7871"/>
    <d v="2025-03-03T00:00:00"/>
    <n v="0"/>
    <x v="0"/>
    <d v="2025-07-16T00:00:00"/>
    <s v="20–29"/>
    <s v="20–29"/>
  </r>
  <r>
    <n v="41"/>
    <x v="1"/>
    <n v="1"/>
    <s v="Thu"/>
    <b v="1"/>
    <d v="1899-12-30T11:28:00"/>
    <d v="1899-12-30T13:10:00"/>
    <n v="102"/>
    <x v="1"/>
    <b v="1"/>
    <b v="1"/>
    <s v="Female"/>
    <x v="1"/>
    <x v="1"/>
    <n v="22.5"/>
    <x v="3"/>
    <n v="0.15"/>
    <n v="19.125"/>
    <x v="1"/>
    <s v="Oakland, CA"/>
    <n v="37.804400000000001"/>
    <n v="-122.27119999999999"/>
    <d v="2023-08-15T00:00:00"/>
    <n v="1"/>
    <x v="1"/>
    <d v="2025-06-14T00:00:00"/>
    <s v="40–49"/>
    <s v="40–49"/>
  </r>
  <r>
    <n v="28"/>
    <x v="1"/>
    <n v="3"/>
    <s v="Sat, Thu, Wed"/>
    <b v="0"/>
    <d v="1899-12-30T19:59:00"/>
    <d v="1899-12-30T20:40:00"/>
    <n v="41"/>
    <x v="0"/>
    <b v="1"/>
    <b v="0"/>
    <s v="Male"/>
    <x v="1"/>
    <x v="1"/>
    <n v="22.5"/>
    <x v="0"/>
    <n v="0.05"/>
    <n v="21.375"/>
    <x v="1"/>
    <s v="Anaheim, CA"/>
    <n v="33.836599999999997"/>
    <n v="-117.9143"/>
    <d v="2023-06-01T00:00:00"/>
    <n v="4"/>
    <x v="1"/>
    <d v="2025-06-10T00:00:00"/>
    <s v="20–29"/>
    <s v="20–29"/>
  </r>
  <r>
    <n v="21"/>
    <x v="0"/>
    <n v="1"/>
    <s v="Sun"/>
    <b v="1"/>
    <d v="1899-12-30T14:34:00"/>
    <d v="1899-12-30T15:04:00"/>
    <n v="30"/>
    <x v="1"/>
    <b v="1"/>
    <b v="1"/>
    <s v="Male"/>
    <x v="0"/>
    <x v="1"/>
    <n v="37.5"/>
    <x v="1"/>
    <n v="0"/>
    <n v="37.5"/>
    <x v="0"/>
    <s v="Long Beach, CA"/>
    <n v="33.770099999999999"/>
    <n v="-118.19370000000001"/>
    <d v="2025-05-20T00:00:00"/>
    <n v="2"/>
    <x v="1"/>
    <d v="2025-07-21T00:00:00"/>
    <s v="20–29"/>
    <s v="20–29"/>
  </r>
  <r>
    <n v="29"/>
    <x v="2"/>
    <n v="1"/>
    <s v="Sun"/>
    <b v="1"/>
    <d v="1899-12-30T12:26:00"/>
    <d v="1899-12-30T13:45:00"/>
    <n v="79"/>
    <x v="0"/>
    <b v="0"/>
    <b v="0"/>
    <s v="Female"/>
    <x v="2"/>
    <x v="0"/>
    <n v="20"/>
    <x v="1"/>
    <n v="0"/>
    <n v="20"/>
    <x v="2"/>
    <s v="Fresno, CA"/>
    <n v="36.7378"/>
    <n v="-119.7871"/>
    <d v="2022-09-29T00:00:00"/>
    <n v="0"/>
    <x v="1"/>
    <d v="2025-05-27T00:00:00"/>
    <s v="20–29"/>
    <s v="20–29"/>
  </r>
  <r>
    <n v="14"/>
    <x v="0"/>
    <n v="5"/>
    <s v="Fri, Sat, Sun, Thu, Tue"/>
    <b v="1"/>
    <d v="1899-12-30T20:23:00"/>
    <d v="1899-12-30T21:30:00"/>
    <n v="67"/>
    <x v="1"/>
    <b v="1"/>
    <b v="1"/>
    <s v="Male"/>
    <x v="0"/>
    <x v="1"/>
    <n v="37.5"/>
    <x v="1"/>
    <n v="0"/>
    <n v="37.5"/>
    <x v="0"/>
    <s v="Oakland, CA"/>
    <n v="37.804400000000001"/>
    <n v="-122.27119999999999"/>
    <d v="2025-04-28T00:00:00"/>
    <n v="3"/>
    <x v="0"/>
    <d v="2025-07-19T00:00:00"/>
    <s v="10–19"/>
    <s v="Under 16"/>
  </r>
  <r>
    <n v="17"/>
    <x v="3"/>
    <n v="2"/>
    <s v="Fri, Sun"/>
    <b v="0"/>
    <d v="1899-12-30T17:44:00"/>
    <d v="1899-12-30T18:20:00"/>
    <n v="36"/>
    <x v="1"/>
    <b v="1"/>
    <b v="0"/>
    <s v="Male"/>
    <x v="3"/>
    <x v="2"/>
    <n v="63"/>
    <x v="3"/>
    <n v="0.15"/>
    <n v="53.55"/>
    <x v="3"/>
    <s v="Anaheim, CA"/>
    <n v="33.836599999999997"/>
    <n v="-117.9143"/>
    <d v="2023-11-24T00:00:00"/>
    <n v="7"/>
    <x v="0"/>
    <d v="2025-06-20T00:00:00"/>
    <s v="10–19"/>
    <s v="16–19"/>
  </r>
  <r>
    <n v="31"/>
    <x v="1"/>
    <n v="2"/>
    <s v="Sun, Tue"/>
    <b v="1"/>
    <d v="1899-12-30T16:01:00"/>
    <d v="1899-12-30T18:11:00"/>
    <n v="130"/>
    <x v="1"/>
    <b v="0"/>
    <b v="1"/>
    <s v="Male"/>
    <x v="1"/>
    <x v="1"/>
    <n v="22.5"/>
    <x v="2"/>
    <n v="0.1"/>
    <n v="20.25"/>
    <x v="1"/>
    <s v="Bakersfield, CA"/>
    <n v="35.3733"/>
    <n v="-119.0187"/>
    <d v="2023-05-29T00:00:00"/>
    <n v="0"/>
    <x v="1"/>
    <d v="2025-06-10T00:00:00"/>
    <s v="30–39"/>
    <s v="30–3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2-12-08T00:00:00"/>
    <n v="0"/>
    <x v="1"/>
    <d v="2025-05-31T00:00:00"/>
    <s v="20–29"/>
    <s v="20–29"/>
  </r>
  <r>
    <n v="13"/>
    <x v="0"/>
    <n v="3"/>
    <s v="Sat, Thu, Tue"/>
    <b v="0"/>
    <d v="1899-12-30T16:54:00"/>
    <d v="1899-12-30T18:53:00"/>
    <n v="119"/>
    <x v="0"/>
    <b v="1"/>
    <b v="1"/>
    <s v="Female"/>
    <x v="0"/>
    <x v="1"/>
    <n v="37.5"/>
    <x v="2"/>
    <n v="0.1"/>
    <n v="33.75"/>
    <x v="0"/>
    <s v="San Francisco, CA"/>
    <n v="37.774900000000002"/>
    <n v="-122.4194"/>
    <d v="2023-05-24T00:00:00"/>
    <n v="1"/>
    <x v="0"/>
    <d v="2025-06-10T00:00:00"/>
    <s v="10–19"/>
    <s v="Under 16"/>
  </r>
  <r>
    <n v="16"/>
    <x v="3"/>
    <n v="3"/>
    <s v="Sat, Tue, Wed"/>
    <b v="0"/>
    <d v="1899-12-30T18:39:00"/>
    <d v="1899-12-30T20:54:00"/>
    <n v="135"/>
    <x v="0"/>
    <b v="0"/>
    <b v="0"/>
    <s v="Male"/>
    <x v="3"/>
    <x v="2"/>
    <n v="63"/>
    <x v="1"/>
    <n v="0"/>
    <n v="63"/>
    <x v="3"/>
    <s v="Bakersfield, CA"/>
    <n v="35.3733"/>
    <n v="-119.0187"/>
    <d v="2023-02-20T00:00:00"/>
    <n v="0"/>
    <x v="0"/>
    <d v="2025-06-04T00:00:00"/>
    <s v="10–19"/>
    <s v="16–19"/>
  </r>
  <r>
    <n v="47"/>
    <x v="0"/>
    <n v="3"/>
    <s v="Fri, Sat, Tue"/>
    <b v="1"/>
    <d v="1899-12-30T12:51:00"/>
    <d v="1899-12-30T14:37:00"/>
    <n v="106"/>
    <x v="0"/>
    <b v="1"/>
    <b v="1"/>
    <s v="Non-binary"/>
    <x v="0"/>
    <x v="0"/>
    <n v="50"/>
    <x v="2"/>
    <n v="0.1"/>
    <n v="45"/>
    <x v="0"/>
    <s v="Oakland, CA"/>
    <n v="37.804400000000001"/>
    <n v="-122.27119999999999"/>
    <d v="2024-06-26T00:00:00"/>
    <n v="7"/>
    <x v="0"/>
    <d v="2025-07-02T00:00:00"/>
    <s v="40–49"/>
    <s v="40–49"/>
  </r>
  <r>
    <n v="40"/>
    <x v="0"/>
    <n v="2"/>
    <s v="Sun, Thu"/>
    <b v="0"/>
    <d v="1899-12-30T11:37:00"/>
    <d v="1899-12-30T14:23:00"/>
    <n v="166"/>
    <x v="0"/>
    <b v="1"/>
    <b v="1"/>
    <s v="Male"/>
    <x v="0"/>
    <x v="0"/>
    <n v="50"/>
    <x v="1"/>
    <n v="0"/>
    <n v="50"/>
    <x v="0"/>
    <s v="San Jose, CA"/>
    <n v="37.338200000000001"/>
    <n v="-121.88630000000001"/>
    <d v="2023-02-06T00:00:00"/>
    <n v="2"/>
    <x v="0"/>
    <d v="2025-06-04T00:00:00"/>
    <s v="40–49"/>
    <s v="40–49"/>
  </r>
  <r>
    <n v="26"/>
    <x v="1"/>
    <n v="3"/>
    <s v="Sat, Thu, Tue"/>
    <b v="0"/>
    <d v="1899-12-30T14:11:00"/>
    <d v="1899-12-30T15:11:00"/>
    <n v="60"/>
    <x v="1"/>
    <b v="0"/>
    <b v="0"/>
    <s v="Female"/>
    <x v="1"/>
    <x v="2"/>
    <n v="27"/>
    <x v="2"/>
    <n v="0.1"/>
    <n v="24.3"/>
    <x v="1"/>
    <s v="Anaheim, CA"/>
    <n v="33.836599999999997"/>
    <n v="-117.9143"/>
    <d v="2025-03-29T00:00:00"/>
    <n v="0"/>
    <x v="1"/>
    <d v="2025-07-18T00:00:00"/>
    <s v="20–29"/>
    <s v="20–29"/>
  </r>
  <r>
    <n v="33"/>
    <x v="3"/>
    <n v="3"/>
    <s v="Mon, Sat, Thu"/>
    <b v="0"/>
    <d v="1899-12-30T19:30:00"/>
    <d v="1899-12-30T21:59:00"/>
    <n v="149"/>
    <x v="1"/>
    <b v="0"/>
    <b v="1"/>
    <s v="Male"/>
    <x v="3"/>
    <x v="1"/>
    <n v="52.5"/>
    <x v="1"/>
    <n v="0"/>
    <n v="52.5"/>
    <x v="3"/>
    <s v="Fresno, CA"/>
    <n v="36.7378"/>
    <n v="-119.7871"/>
    <d v="2022-11-13T00:00:00"/>
    <n v="0"/>
    <x v="1"/>
    <d v="2025-05-30T00:00:00"/>
    <s v="30–39"/>
    <s v="30–39"/>
  </r>
  <r>
    <n v="36"/>
    <x v="2"/>
    <n v="1"/>
    <s v="Tue"/>
    <b v="1"/>
    <d v="1899-12-30T20:44:00"/>
    <d v="1899-12-30T22:22:00"/>
    <n v="98"/>
    <x v="1"/>
    <b v="1"/>
    <b v="1"/>
    <s v="Female"/>
    <x v="2"/>
    <x v="1"/>
    <n v="15"/>
    <x v="1"/>
    <n v="0"/>
    <n v="15"/>
    <x v="2"/>
    <s v="Oakland, CA"/>
    <n v="37.804400000000001"/>
    <n v="-122.27119999999999"/>
    <d v="2023-11-17T00:00:00"/>
    <n v="7"/>
    <x v="0"/>
    <d v="2025-06-20T00:00:00"/>
    <s v="30–39"/>
    <s v="30–39"/>
  </r>
  <r>
    <n v="24"/>
    <x v="2"/>
    <n v="4"/>
    <s v="Mon, Sat, Sun, Thu"/>
    <b v="1"/>
    <d v="1899-12-30T11:43:00"/>
    <d v="1899-12-30T12:27:00"/>
    <n v="44"/>
    <x v="1"/>
    <b v="0"/>
    <b v="0"/>
    <s v="Female"/>
    <x v="2"/>
    <x v="0"/>
    <n v="20"/>
    <x v="1"/>
    <n v="0"/>
    <n v="20"/>
    <x v="2"/>
    <s v="San Jose, CA"/>
    <n v="37.338200000000001"/>
    <n v="-121.88630000000001"/>
    <d v="2023-02-03T00:00:00"/>
    <n v="0"/>
    <x v="1"/>
    <d v="2025-06-03T00:00:00"/>
    <s v="20–29"/>
    <s v="20–29"/>
  </r>
  <r>
    <n v="46"/>
    <x v="0"/>
    <n v="5"/>
    <s v="Fri, Mon, Sat, Tue, Wed"/>
    <b v="1"/>
    <d v="1899-12-30T09:41:00"/>
    <d v="1899-12-30T12:38:00"/>
    <n v="177"/>
    <x v="1"/>
    <b v="1"/>
    <b v="1"/>
    <s v="Prefer not to say"/>
    <x v="0"/>
    <x v="0"/>
    <n v="50"/>
    <x v="2"/>
    <n v="0.1"/>
    <n v="45"/>
    <x v="0"/>
    <s v="Oakland, CA"/>
    <n v="37.804400000000001"/>
    <n v="-122.27119999999999"/>
    <d v="2024-02-27T00:00:00"/>
    <n v="5"/>
    <x v="1"/>
    <d v="2025-06-25T00:00:00"/>
    <s v="40–49"/>
    <s v="40–49"/>
  </r>
  <r>
    <n v="37"/>
    <x v="2"/>
    <n v="3"/>
    <s v="Sun, Thu, Tue"/>
    <b v="0"/>
    <d v="1899-12-30T14:33:00"/>
    <d v="1899-12-30T15:10:00"/>
    <n v="37"/>
    <x v="0"/>
    <b v="0"/>
    <b v="0"/>
    <s v="Non-binary"/>
    <x v="2"/>
    <x v="0"/>
    <n v="20"/>
    <x v="0"/>
    <n v="0.05"/>
    <n v="19"/>
    <x v="2"/>
    <s v="Sacramento, CA"/>
    <n v="38.581600000000002"/>
    <n v="-121.4944"/>
    <d v="2023-08-07T00:00:00"/>
    <n v="0"/>
    <x v="1"/>
    <d v="2025-06-14T00:00:00"/>
    <s v="30–39"/>
    <s v="30–39"/>
  </r>
  <r>
    <n v="28"/>
    <x v="2"/>
    <n v="2"/>
    <s v="Fri, Tue"/>
    <b v="0"/>
    <d v="1899-12-30T14:12:00"/>
    <d v="1899-12-30T15:26:00"/>
    <n v="74"/>
    <x v="1"/>
    <b v="0"/>
    <b v="0"/>
    <s v="Female"/>
    <x v="2"/>
    <x v="0"/>
    <n v="20"/>
    <x v="0"/>
    <n v="0.05"/>
    <n v="19"/>
    <x v="2"/>
    <s v="Oakland, CA"/>
    <n v="37.804400000000001"/>
    <n v="-122.27119999999999"/>
    <d v="2023-12-10T00:00:00"/>
    <n v="0"/>
    <x v="1"/>
    <d v="2025-06-21T00:00:00"/>
    <s v="20–29"/>
    <s v="20–2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3-05-05T00:00:00"/>
    <n v="1"/>
    <x v="0"/>
    <d v="2025-06-09T00:00:00"/>
    <s v="20–29"/>
    <s v="20–29"/>
  </r>
  <r>
    <n v="26"/>
    <x v="0"/>
    <n v="3"/>
    <s v="Fri, Thu, Wed"/>
    <b v="1"/>
    <d v="1899-12-30T18:41:00"/>
    <d v="1899-12-30T21:00:00"/>
    <n v="139"/>
    <x v="1"/>
    <b v="1"/>
    <b v="1"/>
    <s v="Female"/>
    <x v="0"/>
    <x v="2"/>
    <n v="45"/>
    <x v="1"/>
    <n v="0"/>
    <n v="45"/>
    <x v="0"/>
    <s v="Anaheim, CA"/>
    <n v="33.836599999999997"/>
    <n v="-117.9143"/>
    <d v="2025-03-28T00:00:00"/>
    <n v="2"/>
    <x v="0"/>
    <d v="2025-07-18T00:00:00"/>
    <s v="20–29"/>
    <s v="20–29"/>
  </r>
  <r>
    <n v="22"/>
    <x v="1"/>
    <n v="3"/>
    <s v="Fri, Sun, Tue"/>
    <b v="0"/>
    <d v="1899-12-30T17:13:00"/>
    <d v="1899-12-30T18:24:00"/>
    <n v="71"/>
    <x v="0"/>
    <b v="0"/>
    <b v="1"/>
    <s v="Prefer not to say"/>
    <x v="1"/>
    <x v="1"/>
    <n v="22.5"/>
    <x v="0"/>
    <n v="0.05"/>
    <n v="21.375"/>
    <x v="1"/>
    <s v="San Diego, CA"/>
    <n v="32.715699999999998"/>
    <n v="-117.1611"/>
    <d v="2025-04-19T00:00:00"/>
    <n v="0"/>
    <x v="1"/>
    <d v="2025-07-19T00:00:00"/>
    <s v="20–29"/>
    <s v="20–29"/>
  </r>
  <r>
    <n v="14"/>
    <x v="1"/>
    <n v="3"/>
    <s v="Sat, Sun, Tue"/>
    <b v="0"/>
    <d v="1899-12-30T08:34:00"/>
    <d v="1899-12-30T10:49:00"/>
    <n v="135"/>
    <x v="0"/>
    <b v="0"/>
    <b v="1"/>
    <s v="Female"/>
    <x v="1"/>
    <x v="2"/>
    <n v="27"/>
    <x v="1"/>
    <n v="0"/>
    <n v="27"/>
    <x v="1"/>
    <s v="San Diego, CA"/>
    <n v="32.715699999999998"/>
    <n v="-117.1611"/>
    <d v="2024-10-02T00:00:00"/>
    <n v="0"/>
    <x v="0"/>
    <d v="2025-07-08T00:00:00"/>
    <s v="10–19"/>
    <s v="Under 16"/>
  </r>
  <r>
    <n v="47"/>
    <x v="0"/>
    <n v="2"/>
    <s v="Mon, Sat"/>
    <b v="1"/>
    <d v="1899-12-30T08:39:00"/>
    <d v="1899-12-30T09:38:00"/>
    <n v="59"/>
    <x v="1"/>
    <b v="1"/>
    <b v="1"/>
    <s v="Other (self-described)"/>
    <x v="0"/>
    <x v="1"/>
    <n v="37.5"/>
    <x v="2"/>
    <n v="0.1"/>
    <n v="33.75"/>
    <x v="0"/>
    <s v="San Diego, CA"/>
    <n v="32.715699999999998"/>
    <n v="-117.1611"/>
    <d v="2025-01-04T00:00:00"/>
    <n v="2"/>
    <x v="1"/>
    <d v="2025-07-13T00:00:00"/>
    <s v="40–49"/>
    <s v="40–49"/>
  </r>
  <r>
    <n v="32"/>
    <x v="0"/>
    <n v="3"/>
    <s v="Mon, Sun, Wed"/>
    <b v="0"/>
    <d v="1899-12-30T17:30:00"/>
    <d v="1899-12-30T20:14:00"/>
    <n v="164"/>
    <x v="0"/>
    <b v="1"/>
    <b v="1"/>
    <s v="Female"/>
    <x v="0"/>
    <x v="0"/>
    <n v="50"/>
    <x v="1"/>
    <n v="0"/>
    <n v="50"/>
    <x v="0"/>
    <s v="Los Angeles, CA"/>
    <n v="34.052199999999999"/>
    <n v="-118.2437"/>
    <d v="2022-12-07T00:00:00"/>
    <n v="3"/>
    <x v="0"/>
    <d v="2025-05-31T00:00:00"/>
    <s v="30–39"/>
    <s v="30–39"/>
  </r>
  <r>
    <n v="35"/>
    <x v="0"/>
    <n v="2"/>
    <s v="Fri, Sun"/>
    <b v="1"/>
    <d v="1899-12-30T14:22:00"/>
    <d v="1899-12-30T15:43:00"/>
    <n v="81"/>
    <x v="1"/>
    <b v="0"/>
    <b v="0"/>
    <s v="Non-binary"/>
    <x v="0"/>
    <x v="1"/>
    <n v="37.5"/>
    <x v="0"/>
    <n v="0.05"/>
    <n v="35.625"/>
    <x v="0"/>
    <s v="Oakland, CA"/>
    <n v="37.804400000000001"/>
    <n v="-122.27119999999999"/>
    <d v="2024-11-01T00:00:00"/>
    <n v="0"/>
    <x v="0"/>
    <d v="2025-07-09T00:00:00"/>
    <s v="30–39"/>
    <s v="30–39"/>
  </r>
  <r>
    <n v="39"/>
    <x v="0"/>
    <n v="4"/>
    <s v="Mon, Sat, Sun, Thu"/>
    <b v="0"/>
    <d v="1899-12-30T17:07:00"/>
    <d v="1899-12-30T17:55:00"/>
    <n v="48"/>
    <x v="0"/>
    <b v="0"/>
    <b v="1"/>
    <s v="Prefer not to say"/>
    <x v="0"/>
    <x v="2"/>
    <n v="45"/>
    <x v="0"/>
    <n v="0.05"/>
    <n v="42.75"/>
    <x v="0"/>
    <s v="San Diego, CA"/>
    <n v="32.715699999999998"/>
    <n v="-117.1611"/>
    <d v="2022-08-18T00:00:00"/>
    <n v="0"/>
    <x v="0"/>
    <d v="2025-05-25T00:00:00"/>
    <s v="30–39"/>
    <s v="30–39"/>
  </r>
  <r>
    <n v="36"/>
    <x v="1"/>
    <n v="4"/>
    <s v="Sat, Thu, Tue, Wed"/>
    <b v="0"/>
    <d v="1899-12-30T17:34:00"/>
    <d v="1899-12-30T18:06:00"/>
    <n v="32"/>
    <x v="1"/>
    <b v="1"/>
    <b v="0"/>
    <s v="Female"/>
    <x v="1"/>
    <x v="0"/>
    <n v="30"/>
    <x v="3"/>
    <n v="0.15"/>
    <n v="25.5"/>
    <x v="1"/>
    <s v="Bakersfield, CA"/>
    <n v="35.3733"/>
    <n v="-119.0187"/>
    <d v="2024-06-29T00:00:00"/>
    <n v="3"/>
    <x v="1"/>
    <d v="2025-07-02T00:00:00"/>
    <s v="30–39"/>
    <s v="30–39"/>
  </r>
  <r>
    <n v="12"/>
    <x v="2"/>
    <n v="3"/>
    <s v="Fri, Sun, Thu"/>
    <b v="1"/>
    <d v="1899-12-30T19:57:00"/>
    <d v="1899-12-30T21:28:00"/>
    <n v="91"/>
    <x v="1"/>
    <b v="0"/>
    <b v="0"/>
    <s v="Male"/>
    <x v="2"/>
    <x v="0"/>
    <n v="20"/>
    <x v="2"/>
    <n v="0.1"/>
    <n v="18"/>
    <x v="2"/>
    <s v="Bakersfield, CA"/>
    <n v="35.3733"/>
    <n v="-119.0187"/>
    <d v="2024-12-11T00:00:00"/>
    <n v="0"/>
    <x v="1"/>
    <d v="2025-07-12T00:00:00"/>
    <s v="10–19"/>
    <s v="Under 16"/>
  </r>
  <r>
    <n v="23"/>
    <x v="0"/>
    <n v="5"/>
    <s v="Fri, Mon, Sun, Tue, Wed"/>
    <b v="0"/>
    <d v="1899-12-30T16:33:00"/>
    <d v="1899-12-30T18:03:00"/>
    <n v="90"/>
    <x v="0"/>
    <b v="0"/>
    <b v="0"/>
    <s v="Male"/>
    <x v="0"/>
    <x v="0"/>
    <n v="50"/>
    <x v="0"/>
    <n v="0.05"/>
    <n v="47.5"/>
    <x v="0"/>
    <s v="Long Beach, CA"/>
    <n v="33.770099999999999"/>
    <n v="-118.19370000000001"/>
    <d v="2023-03-04T00:00:00"/>
    <n v="0"/>
    <x v="0"/>
    <d v="2025-06-05T00:00:00"/>
    <s v="20–29"/>
    <s v="20–29"/>
  </r>
  <r>
    <n v="48"/>
    <x v="1"/>
    <n v="3"/>
    <s v="Mon, Sat, Tue"/>
    <b v="1"/>
    <d v="1899-12-30T20:37:00"/>
    <d v="1899-12-30T21:48:00"/>
    <n v="71"/>
    <x v="0"/>
    <b v="1"/>
    <b v="1"/>
    <s v="Other (self-described)"/>
    <x v="1"/>
    <x v="0"/>
    <n v="30"/>
    <x v="1"/>
    <n v="0"/>
    <n v="30"/>
    <x v="1"/>
    <s v="San Jose, CA"/>
    <n v="37.338200000000001"/>
    <n v="-121.88630000000001"/>
    <d v="2023-07-22T00:00:00"/>
    <n v="5"/>
    <x v="1"/>
    <d v="2025-06-13T00:00:00"/>
    <s v="40–49"/>
    <s v="40–49"/>
  </r>
  <r>
    <n v="32"/>
    <x v="0"/>
    <n v="3"/>
    <s v="Fri, Tue, Wed"/>
    <b v="1"/>
    <d v="1899-12-30T17:47:00"/>
    <d v="1899-12-30T19:28:00"/>
    <n v="101"/>
    <x v="0"/>
    <b v="0"/>
    <b v="1"/>
    <s v="Female"/>
    <x v="0"/>
    <x v="2"/>
    <n v="45"/>
    <x v="2"/>
    <n v="0.1"/>
    <n v="40.5"/>
    <x v="0"/>
    <s v="Fresno, CA"/>
    <n v="36.7378"/>
    <n v="-119.7871"/>
    <d v="2024-01-09T00:00:00"/>
    <n v="0"/>
    <x v="1"/>
    <d v="2025-06-23T00:00:00"/>
    <s v="30–39"/>
    <s v="30–39"/>
  </r>
  <r>
    <n v="45"/>
    <x v="1"/>
    <n v="2"/>
    <s v="Sat, Tue"/>
    <b v="1"/>
    <d v="1899-12-30T15:59:00"/>
    <d v="1899-12-30T18:46:00"/>
    <n v="167"/>
    <x v="0"/>
    <b v="1"/>
    <b v="1"/>
    <s v="Female"/>
    <x v="1"/>
    <x v="0"/>
    <n v="30"/>
    <x v="3"/>
    <n v="0.15"/>
    <n v="25.5"/>
    <x v="1"/>
    <s v="San Francisco, CA"/>
    <n v="37.774900000000002"/>
    <n v="-122.4194"/>
    <d v="2023-11-09T00:00:00"/>
    <n v="2"/>
    <x v="1"/>
    <d v="2025-06-19T00:00:00"/>
    <s v="40–49"/>
    <s v="40–49"/>
  </r>
  <r>
    <n v="32"/>
    <x v="0"/>
    <n v="3"/>
    <s v="Sat, Tue, Wed"/>
    <b v="0"/>
    <d v="1899-12-30T20:34:00"/>
    <d v="1899-12-30T21:40:00"/>
    <n v="66"/>
    <x v="0"/>
    <b v="1"/>
    <b v="1"/>
    <s v="Non-binary"/>
    <x v="0"/>
    <x v="2"/>
    <n v="45"/>
    <x v="2"/>
    <n v="0.1"/>
    <n v="40.5"/>
    <x v="0"/>
    <s v="Sacramento, CA"/>
    <n v="38.581600000000002"/>
    <n v="-121.4944"/>
    <d v="2023-05-19T00:00:00"/>
    <n v="6"/>
    <x v="0"/>
    <d v="2025-06-09T00:00:00"/>
    <s v="30–39"/>
    <s v="30–39"/>
  </r>
  <r>
    <n v="33"/>
    <x v="1"/>
    <n v="3"/>
    <s v="Sat, Sun, Wed"/>
    <b v="1"/>
    <d v="1899-12-30T16:59:00"/>
    <d v="1899-12-30T18:31:00"/>
    <n v="92"/>
    <x v="1"/>
    <b v="1"/>
    <b v="0"/>
    <s v="Prefer not to say"/>
    <x v="1"/>
    <x v="1"/>
    <n v="22.5"/>
    <x v="3"/>
    <n v="0.15"/>
    <n v="19.125"/>
    <x v="1"/>
    <s v="Long Beach, CA"/>
    <n v="33.770099999999999"/>
    <n v="-118.19370000000001"/>
    <d v="2024-10-22T00:00:00"/>
    <n v="2"/>
    <x v="0"/>
    <d v="2025-07-09T00:00:00"/>
    <s v="30–39"/>
    <s v="30–39"/>
  </r>
  <r>
    <n v="21"/>
    <x v="2"/>
    <n v="5"/>
    <s v="Fri, Mon, Sat, Tue, Wed"/>
    <b v="1"/>
    <d v="1899-12-30T11:36:00"/>
    <d v="1899-12-30T14:23:00"/>
    <n v="167"/>
    <x v="0"/>
    <b v="0"/>
    <b v="0"/>
    <s v="Female"/>
    <x v="2"/>
    <x v="1"/>
    <n v="15"/>
    <x v="1"/>
    <n v="0"/>
    <n v="15"/>
    <x v="2"/>
    <s v="Anaheim, CA"/>
    <n v="33.836599999999997"/>
    <n v="-117.9143"/>
    <d v="2022-07-27T00:00:00"/>
    <n v="0"/>
    <x v="1"/>
    <d v="2025-05-24T00:00:00"/>
    <s v="20–29"/>
    <s v="20–29"/>
  </r>
  <r>
    <n v="44"/>
    <x v="1"/>
    <n v="2"/>
    <s v="Thu, Tue"/>
    <b v="0"/>
    <d v="1899-12-30T12:01:00"/>
    <d v="1899-12-30T14:07:00"/>
    <n v="126"/>
    <x v="0"/>
    <b v="0"/>
    <b v="1"/>
    <s v="Female"/>
    <x v="1"/>
    <x v="1"/>
    <n v="22.5"/>
    <x v="1"/>
    <n v="0"/>
    <n v="22.5"/>
    <x v="1"/>
    <s v="San Francisco, CA"/>
    <n v="37.774900000000002"/>
    <n v="-122.4194"/>
    <d v="2022-08-19T00:00:00"/>
    <n v="0"/>
    <x v="0"/>
    <d v="2025-05-25T00:00:00"/>
    <s v="40–49"/>
    <s v="40–4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3-07-31T00:00:00"/>
    <n v="3"/>
    <x v="0"/>
    <d v="2025-06-13T00:00:00"/>
    <s v="10–19"/>
    <s v="16–19"/>
  </r>
  <r>
    <n v="14"/>
    <x v="0"/>
    <n v="2"/>
    <s v="Mon, Wed"/>
    <b v="1"/>
    <d v="1899-12-30T10:33:00"/>
    <d v="1899-12-30T12:57:00"/>
    <n v="144"/>
    <x v="1"/>
    <b v="0"/>
    <b v="1"/>
    <s v="Other (self-described)"/>
    <x v="0"/>
    <x v="1"/>
    <n v="37.5"/>
    <x v="1"/>
    <n v="0"/>
    <n v="37.5"/>
    <x v="0"/>
    <s v="Long Beach, CA"/>
    <n v="33.770099999999999"/>
    <n v="-118.19370000000001"/>
    <d v="2024-11-22T00:00:00"/>
    <n v="0"/>
    <x v="1"/>
    <d v="2025-07-11T00:00:00"/>
    <s v="10–19"/>
    <s v="Under 16"/>
  </r>
  <r>
    <n v="13"/>
    <x v="2"/>
    <n v="1"/>
    <s v="Sat"/>
    <b v="1"/>
    <d v="1899-12-30T11:55:00"/>
    <d v="1899-12-30T12:55:00"/>
    <n v="60"/>
    <x v="0"/>
    <b v="0"/>
    <b v="1"/>
    <s v="Female"/>
    <x v="2"/>
    <x v="1"/>
    <n v="15"/>
    <x v="0"/>
    <n v="0.05"/>
    <n v="14.25"/>
    <x v="2"/>
    <s v="Long Beach, CA"/>
    <n v="33.770099999999999"/>
    <n v="-118.19370000000001"/>
    <d v="2023-06-29T00:00:00"/>
    <n v="0"/>
    <x v="1"/>
    <d v="2025-06-12T00:00:00"/>
    <s v="10–19"/>
    <s v="Under 16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5-04-07T00:00:00"/>
    <n v="6"/>
    <x v="0"/>
    <d v="2025-07-18T00:00:00"/>
    <s v="20–29"/>
    <s v="20–29"/>
  </r>
  <r>
    <n v="33"/>
    <x v="1"/>
    <n v="3"/>
    <s v="Sat, Sun, Wed"/>
    <b v="1"/>
    <d v="1899-12-30T16:59:00"/>
    <d v="1899-12-30T18:31:00"/>
    <n v="92"/>
    <x v="1"/>
    <b v="1"/>
    <b v="0"/>
    <s v="Prefer not to say"/>
    <x v="1"/>
    <x v="1"/>
    <n v="22.5"/>
    <x v="3"/>
    <n v="0.15"/>
    <n v="19.125"/>
    <x v="1"/>
    <s v="Long Beach, CA"/>
    <n v="33.770099999999999"/>
    <n v="-118.19370000000001"/>
    <d v="2025-05-21T00:00:00"/>
    <n v="1"/>
    <x v="1"/>
    <d v="2025-07-21T00:00:00"/>
    <s v="30–39"/>
    <s v="30–39"/>
  </r>
  <r>
    <n v="16"/>
    <x v="2"/>
    <n v="3"/>
    <s v="Fri, Sun, Wed"/>
    <b v="1"/>
    <d v="1899-12-30T14:53:00"/>
    <d v="1899-12-30T17:02:00"/>
    <n v="129"/>
    <x v="1"/>
    <b v="0"/>
    <b v="1"/>
    <s v="Male"/>
    <x v="2"/>
    <x v="0"/>
    <n v="20"/>
    <x v="1"/>
    <n v="0"/>
    <n v="20"/>
    <x v="2"/>
    <s v="Los Angeles, CA"/>
    <n v="34.052199999999999"/>
    <n v="-118.2437"/>
    <d v="2024-09-21T00:00:00"/>
    <n v="0"/>
    <x v="1"/>
    <d v="2025-07-07T00:00:00"/>
    <s v="10–19"/>
    <s v="16–19"/>
  </r>
  <r>
    <n v="28"/>
    <x v="2"/>
    <n v="3"/>
    <s v="Sun, Thu, Tue"/>
    <b v="0"/>
    <d v="1899-12-30T10:17:00"/>
    <d v="1899-12-30T11:47:00"/>
    <n v="90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4-02-16T00:00:00"/>
    <n v="1"/>
    <x v="1"/>
    <d v="2025-06-25T00:00:00"/>
    <s v="20–29"/>
    <s v="20–29"/>
  </r>
  <r>
    <n v="14"/>
    <x v="1"/>
    <n v="3"/>
    <s v="Sat, Sun, Tue"/>
    <b v="0"/>
    <d v="1899-12-30T08:34:00"/>
    <d v="1899-12-30T10:49:00"/>
    <n v="135"/>
    <x v="0"/>
    <b v="0"/>
    <b v="1"/>
    <s v="Female"/>
    <x v="1"/>
    <x v="2"/>
    <n v="27"/>
    <x v="1"/>
    <n v="0"/>
    <n v="27"/>
    <x v="1"/>
    <s v="San Diego, CA"/>
    <n v="32.715699999999998"/>
    <n v="-117.1611"/>
    <d v="2022-12-11T00:00:00"/>
    <n v="0"/>
    <x v="1"/>
    <d v="2025-05-31T00:00:00"/>
    <s v="10–19"/>
    <s v="Under 16"/>
  </r>
  <r>
    <n v="16"/>
    <x v="0"/>
    <n v="4"/>
    <s v="Mon, Sun, Thu, Tue"/>
    <b v="1"/>
    <d v="1899-12-30T16:21:00"/>
    <d v="1899-12-30T17:38:00"/>
    <n v="77"/>
    <x v="0"/>
    <b v="1"/>
    <b v="0"/>
    <s v="Female"/>
    <x v="0"/>
    <x v="0"/>
    <n v="50"/>
    <x v="2"/>
    <n v="0.1"/>
    <n v="45"/>
    <x v="0"/>
    <s v="San Diego, CA"/>
    <n v="32.715699999999998"/>
    <n v="-117.1611"/>
    <d v="2023-05-10T00:00:00"/>
    <n v="7"/>
    <x v="1"/>
    <d v="2025-06-09T00:00:00"/>
    <s v="10–19"/>
    <s v="16–19"/>
  </r>
  <r>
    <n v="49"/>
    <x v="0"/>
    <n v="1"/>
    <s v="Tue"/>
    <b v="1"/>
    <d v="1899-12-30T20:23:00"/>
    <d v="1899-12-30T21:08:00"/>
    <n v="45"/>
    <x v="1"/>
    <b v="0"/>
    <b v="1"/>
    <s v="Male"/>
    <x v="0"/>
    <x v="0"/>
    <n v="50"/>
    <x v="3"/>
    <n v="0.15"/>
    <n v="42.5"/>
    <x v="0"/>
    <s v="San Jose, CA"/>
    <n v="37.338200000000001"/>
    <n v="-121.88630000000001"/>
    <d v="2023-04-24T00:00:00"/>
    <n v="0"/>
    <x v="0"/>
    <d v="2025-06-08T00:00:00"/>
    <s v="40–49"/>
    <s v="40–49"/>
  </r>
  <r>
    <n v="22"/>
    <x v="0"/>
    <n v="1"/>
    <s v="Fri"/>
    <b v="0"/>
    <d v="1899-12-30T11:31:00"/>
    <d v="1899-12-30T12:13:00"/>
    <n v="42"/>
    <x v="1"/>
    <b v="1"/>
    <b v="1"/>
    <s v="Male"/>
    <x v="0"/>
    <x v="0"/>
    <n v="50"/>
    <x v="0"/>
    <n v="0.05"/>
    <n v="47.5"/>
    <x v="0"/>
    <s v="San Jose, CA"/>
    <n v="37.338200000000001"/>
    <n v="-121.88630000000001"/>
    <d v="2024-03-26T00:00:00"/>
    <n v="4"/>
    <x v="0"/>
    <d v="2025-06-27T00:00:00"/>
    <s v="20–29"/>
    <s v="20–29"/>
  </r>
  <r>
    <n v="49"/>
    <x v="0"/>
    <n v="1"/>
    <s v="Tue"/>
    <b v="1"/>
    <d v="1899-12-30T16:18:00"/>
    <d v="1899-12-30T17:35:00"/>
    <n v="77"/>
    <x v="1"/>
    <b v="0"/>
    <b v="0"/>
    <s v="Male"/>
    <x v="0"/>
    <x v="0"/>
    <n v="50"/>
    <x v="1"/>
    <n v="0"/>
    <n v="50"/>
    <x v="0"/>
    <s v="San Jose, CA"/>
    <n v="37.338200000000001"/>
    <n v="-121.88630000000001"/>
    <d v="2024-06-19T00:00:00"/>
    <n v="0"/>
    <x v="0"/>
    <d v="2025-07-02T00:00:00"/>
    <s v="40–49"/>
    <s v="40–49"/>
  </r>
  <r>
    <n v="14"/>
    <x v="0"/>
    <n v="3"/>
    <s v="Mon, Sat, Thu"/>
    <b v="0"/>
    <d v="1899-12-30T08:40:00"/>
    <d v="1899-12-30T10:15:00"/>
    <n v="95"/>
    <x v="0"/>
    <b v="1"/>
    <b v="1"/>
    <s v="Female"/>
    <x v="0"/>
    <x v="1"/>
    <n v="37.5"/>
    <x v="3"/>
    <n v="0.15"/>
    <n v="31.875"/>
    <x v="0"/>
    <s v="San Francisco, CA"/>
    <n v="37.774900000000002"/>
    <n v="-122.4194"/>
    <d v="2024-05-23T00:00:00"/>
    <n v="3"/>
    <x v="0"/>
    <d v="2025-06-30T00:00:00"/>
    <s v="10–19"/>
    <s v="Under 16"/>
  </r>
  <r>
    <n v="49"/>
    <x v="1"/>
    <n v="2"/>
    <s v="Sat, Wed"/>
    <b v="0"/>
    <d v="1899-12-30T15:41:00"/>
    <d v="1899-12-30T17:45:00"/>
    <n v="124"/>
    <x v="1"/>
    <b v="0"/>
    <b v="0"/>
    <s v="Male"/>
    <x v="1"/>
    <x v="0"/>
    <n v="30"/>
    <x v="2"/>
    <n v="0.1"/>
    <n v="27"/>
    <x v="1"/>
    <s v="Los Angeles, CA"/>
    <n v="34.052199999999999"/>
    <n v="-118.2437"/>
    <d v="2022-08-06T00:00:00"/>
    <n v="0"/>
    <x v="1"/>
    <d v="2025-05-24T00:00:00"/>
    <s v="40–49"/>
    <s v="40–49"/>
  </r>
  <r>
    <n v="28"/>
    <x v="0"/>
    <n v="1"/>
    <s v="Sun"/>
    <b v="0"/>
    <d v="1899-12-30T11:49:00"/>
    <d v="1899-12-30T14:11:00"/>
    <n v="142"/>
    <x v="1"/>
    <b v="1"/>
    <b v="1"/>
    <s v="Prefer not to say"/>
    <x v="0"/>
    <x v="0"/>
    <n v="50"/>
    <x v="2"/>
    <n v="0.1"/>
    <n v="45"/>
    <x v="0"/>
    <s v="Sacramento, CA"/>
    <n v="38.581600000000002"/>
    <n v="-121.4944"/>
    <d v="2025-05-11T00:00:00"/>
    <n v="4"/>
    <x v="0"/>
    <d v="2025-07-20T00:00:00"/>
    <s v="20–29"/>
    <s v="20–29"/>
  </r>
  <r>
    <n v="21"/>
    <x v="0"/>
    <n v="1"/>
    <s v="Sun"/>
    <b v="1"/>
    <d v="1899-12-30T14:34:00"/>
    <d v="1899-12-30T15:04:00"/>
    <n v="30"/>
    <x v="1"/>
    <b v="1"/>
    <b v="1"/>
    <s v="Male"/>
    <x v="0"/>
    <x v="1"/>
    <n v="37.5"/>
    <x v="1"/>
    <n v="0"/>
    <n v="37.5"/>
    <x v="0"/>
    <s v="Long Beach, CA"/>
    <n v="33.770099999999999"/>
    <n v="-118.19370000000001"/>
    <d v="2022-12-12T00:00:00"/>
    <n v="6"/>
    <x v="0"/>
    <d v="2025-05-31T00:00:00"/>
    <s v="20–29"/>
    <s v="20–29"/>
  </r>
  <r>
    <n v="21"/>
    <x v="3"/>
    <n v="2"/>
    <s v="Mon, Wed"/>
    <b v="0"/>
    <d v="1899-12-30T20:10:00"/>
    <d v="1899-12-30T21:56:00"/>
    <n v="106"/>
    <x v="0"/>
    <b v="0"/>
    <b v="1"/>
    <s v="Male"/>
    <x v="3"/>
    <x v="1"/>
    <n v="52.5"/>
    <x v="1"/>
    <n v="0"/>
    <n v="52.5"/>
    <x v="3"/>
    <s v="Fresno, CA"/>
    <n v="36.7378"/>
    <n v="-119.7871"/>
    <d v="2023-10-15T00:00:00"/>
    <n v="0"/>
    <x v="0"/>
    <d v="2025-06-18T00:00:00"/>
    <s v="20–29"/>
    <s v="20–29"/>
  </r>
  <r>
    <n v="49"/>
    <x v="0"/>
    <n v="1"/>
    <s v="Tue"/>
    <b v="1"/>
    <d v="1899-12-30T16:18:00"/>
    <d v="1899-12-30T17:35:00"/>
    <n v="77"/>
    <x v="1"/>
    <b v="0"/>
    <b v="0"/>
    <s v="Male"/>
    <x v="0"/>
    <x v="0"/>
    <n v="50"/>
    <x v="1"/>
    <n v="0"/>
    <n v="50"/>
    <x v="0"/>
    <s v="San Jose, CA"/>
    <n v="37.338200000000001"/>
    <n v="-121.88630000000001"/>
    <d v="2024-03-12T00:00:00"/>
    <n v="0"/>
    <x v="0"/>
    <d v="2025-06-26T00:00:00"/>
    <s v="40–49"/>
    <s v="40–49"/>
  </r>
  <r>
    <n v="24"/>
    <x v="3"/>
    <n v="4"/>
    <s v="Fri, Sat, Sun, Tue"/>
    <b v="0"/>
    <d v="1899-12-30T15:28:00"/>
    <d v="1899-12-30T16:34:00"/>
    <n v="66"/>
    <x v="0"/>
    <b v="1"/>
    <b v="0"/>
    <s v="Male"/>
    <x v="3"/>
    <x v="0"/>
    <n v="70"/>
    <x v="2"/>
    <n v="0.1"/>
    <n v="63"/>
    <x v="3"/>
    <s v="Fresno, CA"/>
    <n v="36.7378"/>
    <n v="-119.7871"/>
    <d v="2023-05-12T00:00:00"/>
    <n v="3"/>
    <x v="0"/>
    <d v="2025-06-09T00:00:00"/>
    <s v="20–29"/>
    <s v="20–2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4-01-21T00:00:00"/>
    <n v="0"/>
    <x v="0"/>
    <d v="2025-06-23T00:00:00"/>
    <s v="20–29"/>
    <s v="20–29"/>
  </r>
  <r>
    <n v="40"/>
    <x v="2"/>
    <n v="1"/>
    <s v="Sat"/>
    <b v="0"/>
    <d v="1899-12-30T10:28:00"/>
    <d v="1899-12-30T13:25:00"/>
    <n v="177"/>
    <x v="0"/>
    <b v="0"/>
    <b v="1"/>
    <s v="Female"/>
    <x v="2"/>
    <x v="1"/>
    <n v="15"/>
    <x v="3"/>
    <n v="0.15"/>
    <n v="12.75"/>
    <x v="2"/>
    <s v="San Francisco, CA"/>
    <n v="37.774900000000002"/>
    <n v="-122.4194"/>
    <d v="2022-12-05T00:00:00"/>
    <n v="0"/>
    <x v="0"/>
    <d v="2025-05-31T00:00:00"/>
    <s v="40–49"/>
    <s v="40–49"/>
  </r>
  <r>
    <n v="48"/>
    <x v="1"/>
    <n v="4"/>
    <s v="Mon, Sun, Thu, Wed"/>
    <b v="0"/>
    <d v="1899-12-30T13:33:00"/>
    <d v="1899-12-30T14:08:00"/>
    <n v="35"/>
    <x v="1"/>
    <b v="0"/>
    <b v="0"/>
    <s v="Female"/>
    <x v="1"/>
    <x v="0"/>
    <n v="30"/>
    <x v="2"/>
    <n v="0.1"/>
    <n v="27"/>
    <x v="1"/>
    <s v="Oakland, CA"/>
    <n v="37.804400000000001"/>
    <n v="-122.27119999999999"/>
    <d v="2022-11-06T00:00:00"/>
    <n v="0"/>
    <x v="1"/>
    <d v="2025-05-29T00:00:00"/>
    <s v="40–49"/>
    <s v="40–49"/>
  </r>
  <r>
    <n v="41"/>
    <x v="1"/>
    <n v="2"/>
    <s v="Sun, Tue"/>
    <b v="0"/>
    <d v="1899-12-30T13:55:00"/>
    <d v="1899-12-30T16:22:00"/>
    <n v="147"/>
    <x v="0"/>
    <b v="0"/>
    <b v="1"/>
    <s v="Male"/>
    <x v="1"/>
    <x v="0"/>
    <n v="30"/>
    <x v="3"/>
    <n v="0.15"/>
    <n v="25.5"/>
    <x v="1"/>
    <s v="Long Beach, CA"/>
    <n v="33.770099999999999"/>
    <n v="-118.19370000000001"/>
    <d v="2024-03-30T00:00:00"/>
    <n v="0"/>
    <x v="0"/>
    <d v="2025-06-27T00:00:00"/>
    <s v="40–49"/>
    <s v="40–49"/>
  </r>
  <r>
    <n v="14"/>
    <x v="0"/>
    <n v="3"/>
    <s v="Sat, Sun, Tue"/>
    <b v="0"/>
    <d v="1899-12-30T14:36:00"/>
    <d v="1899-12-30T15:11:00"/>
    <n v="35"/>
    <x v="0"/>
    <b v="1"/>
    <b v="0"/>
    <s v="Female"/>
    <x v="0"/>
    <x v="1"/>
    <n v="37.5"/>
    <x v="1"/>
    <n v="0"/>
    <n v="37.5"/>
    <x v="0"/>
    <s v="Bakersfield, CA"/>
    <n v="35.3733"/>
    <n v="-119.0187"/>
    <d v="2024-09-01T00:00:00"/>
    <n v="5"/>
    <x v="0"/>
    <d v="2025-07-06T00:00:00"/>
    <s v="10–19"/>
    <s v="Under 16"/>
  </r>
  <r>
    <n v="38"/>
    <x v="0"/>
    <n v="3"/>
    <s v="Fri, Thu, Wed"/>
    <b v="1"/>
    <d v="1899-12-30T08:17:00"/>
    <d v="1899-12-30T10:38:00"/>
    <n v="141"/>
    <x v="0"/>
    <b v="0"/>
    <b v="1"/>
    <s v="Non-binary"/>
    <x v="0"/>
    <x v="1"/>
    <n v="37.5"/>
    <x v="1"/>
    <n v="0"/>
    <n v="37.5"/>
    <x v="0"/>
    <s v="Anaheim, CA"/>
    <n v="33.836599999999997"/>
    <n v="-117.9143"/>
    <d v="2023-10-01T00:00:00"/>
    <n v="0"/>
    <x v="0"/>
    <d v="2025-06-17T00:00:00"/>
    <s v="30–39"/>
    <s v="30–39"/>
  </r>
  <r>
    <n v="35"/>
    <x v="0"/>
    <n v="5"/>
    <s v="Sat, Sun, Thu, Tue, Wed"/>
    <b v="0"/>
    <d v="1899-12-30T13:07:00"/>
    <d v="1899-12-30T14:57:00"/>
    <n v="110"/>
    <x v="1"/>
    <b v="1"/>
    <b v="0"/>
    <s v="Non-binary"/>
    <x v="0"/>
    <x v="0"/>
    <n v="50"/>
    <x v="2"/>
    <n v="0.1"/>
    <n v="45"/>
    <x v="0"/>
    <s v="San Francisco, CA"/>
    <n v="37.774900000000002"/>
    <n v="-122.4194"/>
    <d v="2022-10-25T00:00:00"/>
    <n v="2"/>
    <x v="1"/>
    <d v="2025-05-29T00:00:00"/>
    <s v="30–39"/>
    <s v="30–39"/>
  </r>
  <r>
    <n v="18"/>
    <x v="2"/>
    <n v="3"/>
    <s v="Mon, Thu, Wed"/>
    <b v="1"/>
    <d v="1899-12-30T14:33:00"/>
    <d v="1899-12-30T15:35:00"/>
    <n v="62"/>
    <x v="0"/>
    <b v="0"/>
    <b v="0"/>
    <s v="Male"/>
    <x v="2"/>
    <x v="1"/>
    <n v="15"/>
    <x v="2"/>
    <n v="0.1"/>
    <n v="13.5"/>
    <x v="2"/>
    <s v="Sacramento, CA"/>
    <n v="38.581600000000002"/>
    <n v="-121.4944"/>
    <d v="2024-11-10T00:00:00"/>
    <n v="0"/>
    <x v="1"/>
    <d v="2025-07-10T00:00:00"/>
    <s v="10–19"/>
    <s v="16–1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3-08-29T00:00:00"/>
    <n v="0"/>
    <x v="0"/>
    <d v="2025-06-15T00:00:00"/>
    <s v="20–29"/>
    <s v="20–29"/>
  </r>
  <r>
    <n v="17"/>
    <x v="3"/>
    <n v="5"/>
    <s v="Mon, Sat, Sun, Tue, Wed"/>
    <b v="1"/>
    <d v="1899-12-30T10:00:00"/>
    <d v="1899-12-30T11:55:00"/>
    <n v="115"/>
    <x v="1"/>
    <b v="0"/>
    <b v="0"/>
    <s v="Female"/>
    <x v="3"/>
    <x v="1"/>
    <n v="52.5"/>
    <x v="1"/>
    <n v="0"/>
    <n v="52.5"/>
    <x v="3"/>
    <s v="San Diego, CA"/>
    <n v="32.715699999999998"/>
    <n v="-117.1611"/>
    <d v="2023-08-20T00:00:00"/>
    <n v="0"/>
    <x v="0"/>
    <d v="2025-06-15T00:00:00"/>
    <s v="10–19"/>
    <s v="16–19"/>
  </r>
  <r>
    <n v="31"/>
    <x v="0"/>
    <n v="4"/>
    <s v="Fri, Mon, Sat, Thu"/>
    <b v="0"/>
    <d v="1899-12-30T11:54:00"/>
    <d v="1899-12-30T13:21:00"/>
    <n v="87"/>
    <x v="0"/>
    <b v="0"/>
    <b v="1"/>
    <s v="Male"/>
    <x v="0"/>
    <x v="1"/>
    <n v="37.5"/>
    <x v="1"/>
    <n v="0"/>
    <n v="37.5"/>
    <x v="0"/>
    <s v="Sacramento, CA"/>
    <n v="38.581600000000002"/>
    <n v="-121.4944"/>
    <d v="2023-05-04T00:00:00"/>
    <n v="0"/>
    <x v="0"/>
    <d v="2025-06-09T00:00:00"/>
    <s v="30–39"/>
    <s v="30–39"/>
  </r>
  <r>
    <n v="45"/>
    <x v="1"/>
    <n v="5"/>
    <s v="Fri, Sat, Sun, Thu, Tue"/>
    <b v="0"/>
    <d v="1899-12-30T19:43:00"/>
    <d v="1899-12-30T21:01:00"/>
    <n v="78"/>
    <x v="1"/>
    <b v="0"/>
    <b v="0"/>
    <s v="Non-binary"/>
    <x v="1"/>
    <x v="0"/>
    <n v="30"/>
    <x v="3"/>
    <n v="0.15"/>
    <n v="25.5"/>
    <x v="1"/>
    <s v="San Francisco, CA"/>
    <n v="37.774900000000002"/>
    <n v="-122.4194"/>
    <d v="2025-02-02T00:00:00"/>
    <n v="0"/>
    <x v="1"/>
    <d v="2025-07-15T00:00:00"/>
    <s v="40–49"/>
    <s v="40–49"/>
  </r>
  <r>
    <n v="41"/>
    <x v="1"/>
    <n v="1"/>
    <s v="Fri"/>
    <b v="0"/>
    <d v="1899-12-30T13:50:00"/>
    <d v="1899-12-30T14:26:00"/>
    <n v="36"/>
    <x v="0"/>
    <b v="1"/>
    <b v="0"/>
    <s v="Male"/>
    <x v="1"/>
    <x v="0"/>
    <n v="30"/>
    <x v="2"/>
    <n v="0.1"/>
    <n v="27"/>
    <x v="1"/>
    <s v="Fresno, CA"/>
    <n v="36.7378"/>
    <n v="-119.7871"/>
    <d v="2023-05-22T00:00:00"/>
    <n v="5"/>
    <x v="0"/>
    <d v="2025-06-10T00:00:00"/>
    <s v="40–49"/>
    <s v="40–49"/>
  </r>
  <r>
    <n v="12"/>
    <x v="0"/>
    <n v="5"/>
    <s v="Mon, Sun, Thu, Tue, Wed"/>
    <b v="1"/>
    <d v="1899-12-30T18:32:00"/>
    <d v="1899-12-30T19:28:00"/>
    <n v="56"/>
    <x v="1"/>
    <b v="0"/>
    <b v="1"/>
    <s v="Male"/>
    <x v="0"/>
    <x v="0"/>
    <n v="50"/>
    <x v="2"/>
    <n v="0.1"/>
    <n v="45"/>
    <x v="0"/>
    <s v="San Jose, CA"/>
    <n v="37.338200000000001"/>
    <n v="-121.88630000000001"/>
    <d v="2022-10-28T00:00:00"/>
    <n v="0"/>
    <x v="1"/>
    <d v="2025-05-29T00:00:00"/>
    <s v="10–19"/>
    <s v="Under 16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4-12-13T00:00:00"/>
    <n v="6"/>
    <x v="1"/>
    <d v="2025-07-12T00:00:00"/>
    <s v="10–19"/>
    <s v="Under 16"/>
  </r>
  <r>
    <n v="19"/>
    <x v="0"/>
    <n v="2"/>
    <s v="Sun, Tue"/>
    <b v="1"/>
    <d v="1899-12-30T19:22:00"/>
    <d v="1899-12-30T20:25:00"/>
    <n v="63"/>
    <x v="0"/>
    <b v="0"/>
    <b v="0"/>
    <s v="Female"/>
    <x v="0"/>
    <x v="1"/>
    <n v="37.5"/>
    <x v="1"/>
    <n v="0"/>
    <n v="37.5"/>
    <x v="0"/>
    <s v="Bakersfield, CA"/>
    <n v="35.3733"/>
    <n v="-119.0187"/>
    <d v="2024-10-13T00:00:00"/>
    <n v="0"/>
    <x v="1"/>
    <d v="2025-07-08T00:00:00"/>
    <s v="10–19"/>
    <s v="16–19"/>
  </r>
  <r>
    <n v="24"/>
    <x v="1"/>
    <n v="1"/>
    <s v="Mon"/>
    <b v="0"/>
    <d v="1899-12-30T13:05:00"/>
    <d v="1899-12-30T15:29:00"/>
    <n v="144"/>
    <x v="0"/>
    <b v="1"/>
    <b v="1"/>
    <s v="Non-binary"/>
    <x v="1"/>
    <x v="0"/>
    <n v="30"/>
    <x v="1"/>
    <n v="0"/>
    <n v="30"/>
    <x v="1"/>
    <s v="San Francisco, CA"/>
    <n v="37.774900000000002"/>
    <n v="-122.4194"/>
    <d v="2022-08-23T00:00:00"/>
    <n v="3"/>
    <x v="1"/>
    <d v="2025-05-25T00:00:00"/>
    <s v="20–29"/>
    <s v="20–29"/>
  </r>
  <r>
    <n v="47"/>
    <x v="3"/>
    <n v="2"/>
    <s v="Sat, Tue"/>
    <b v="0"/>
    <d v="1899-12-30T13:19:00"/>
    <d v="1899-12-30T14:50:00"/>
    <n v="91"/>
    <x v="1"/>
    <b v="1"/>
    <b v="1"/>
    <s v="Female"/>
    <x v="3"/>
    <x v="1"/>
    <n v="52.5"/>
    <x v="2"/>
    <n v="0.1"/>
    <n v="47.25"/>
    <x v="3"/>
    <s v="Los Angeles, CA"/>
    <n v="34.052199999999999"/>
    <n v="-118.2437"/>
    <d v="2024-12-12T00:00:00"/>
    <n v="8"/>
    <x v="0"/>
    <d v="2025-07-12T00:00:00"/>
    <s v="40–49"/>
    <s v="40–49"/>
  </r>
  <r>
    <n v="21"/>
    <x v="0"/>
    <n v="2"/>
    <s v="Sun, Thu"/>
    <b v="0"/>
    <d v="1899-12-30T13:05:00"/>
    <d v="1899-12-30T14:45:00"/>
    <n v="100"/>
    <x v="1"/>
    <b v="1"/>
    <b v="0"/>
    <s v="Prefer not to say"/>
    <x v="0"/>
    <x v="1"/>
    <n v="37.5"/>
    <x v="1"/>
    <n v="0"/>
    <n v="37.5"/>
    <x v="0"/>
    <s v="San Francisco, CA"/>
    <n v="37.774900000000002"/>
    <n v="-122.4194"/>
    <d v="2022-12-26T00:00:00"/>
    <n v="6"/>
    <x v="0"/>
    <d v="2025-06-01T00:00:00"/>
    <s v="20–29"/>
    <s v="20–29"/>
  </r>
  <r>
    <n v="39"/>
    <x v="1"/>
    <n v="3"/>
    <s v="Sun, Thu, Wed"/>
    <b v="0"/>
    <d v="1899-12-30T12:36:00"/>
    <d v="1899-12-30T14:19:00"/>
    <n v="103"/>
    <x v="0"/>
    <b v="1"/>
    <b v="0"/>
    <s v="Male"/>
    <x v="1"/>
    <x v="1"/>
    <n v="22.5"/>
    <x v="1"/>
    <n v="0"/>
    <n v="22.5"/>
    <x v="1"/>
    <s v="Sacramento, CA"/>
    <n v="38.581600000000002"/>
    <n v="-121.4944"/>
    <d v="2024-01-15T00:00:00"/>
    <n v="8"/>
    <x v="1"/>
    <d v="2025-06-23T00:00:00"/>
    <s v="30–39"/>
    <s v="30–39"/>
  </r>
  <r>
    <n v="41"/>
    <x v="0"/>
    <n v="1"/>
    <s v="Fri"/>
    <b v="1"/>
    <d v="1899-12-30T09:46:00"/>
    <d v="1899-12-30T11:10:00"/>
    <n v="84"/>
    <x v="1"/>
    <b v="1"/>
    <b v="0"/>
    <s v="Female"/>
    <x v="0"/>
    <x v="2"/>
    <n v="45"/>
    <x v="1"/>
    <n v="0"/>
    <n v="45"/>
    <x v="0"/>
    <s v="Long Beach, CA"/>
    <n v="33.770099999999999"/>
    <n v="-118.19370000000001"/>
    <d v="2024-10-02T00:00:00"/>
    <n v="2"/>
    <x v="0"/>
    <d v="2025-07-08T00:00:00"/>
    <s v="40–49"/>
    <s v="40–49"/>
  </r>
  <r>
    <n v="17"/>
    <x v="1"/>
    <n v="3"/>
    <s v="Fri, Sat, Sun"/>
    <b v="0"/>
    <d v="1899-12-30T18:02:00"/>
    <d v="1899-12-30T19:49:00"/>
    <n v="107"/>
    <x v="0"/>
    <b v="0"/>
    <b v="1"/>
    <s v="Female"/>
    <x v="1"/>
    <x v="0"/>
    <n v="30"/>
    <x v="3"/>
    <n v="0.15"/>
    <n v="25.5"/>
    <x v="1"/>
    <s v="Anaheim, CA"/>
    <n v="33.836599999999997"/>
    <n v="-117.9143"/>
    <d v="2022-12-08T00:00:00"/>
    <n v="0"/>
    <x v="1"/>
    <d v="2025-05-31T00:00:00"/>
    <s v="10–19"/>
    <s v="16–19"/>
  </r>
  <r>
    <n v="26"/>
    <x v="1"/>
    <n v="3"/>
    <s v="Mon, Sun, Thu"/>
    <b v="0"/>
    <d v="1899-12-30T13:11:00"/>
    <d v="1899-12-30T14:21:00"/>
    <n v="70"/>
    <x v="0"/>
    <b v="0"/>
    <b v="0"/>
    <s v="Female"/>
    <x v="1"/>
    <x v="0"/>
    <n v="30"/>
    <x v="0"/>
    <n v="0.05"/>
    <n v="28.5"/>
    <x v="1"/>
    <s v="Long Beach, CA"/>
    <n v="33.770099999999999"/>
    <n v="-118.19370000000001"/>
    <d v="2024-03-05T00:00:00"/>
    <n v="0"/>
    <x v="1"/>
    <d v="2025-06-26T00:00:00"/>
    <s v="20–29"/>
    <s v="20–29"/>
  </r>
  <r>
    <n v="27"/>
    <x v="1"/>
    <n v="2"/>
    <s v="Sat, Thu"/>
    <b v="0"/>
    <d v="1899-12-30T11:43:00"/>
    <d v="1899-12-30T14:26:00"/>
    <n v="163"/>
    <x v="1"/>
    <b v="0"/>
    <b v="1"/>
    <s v="Male"/>
    <x v="1"/>
    <x v="0"/>
    <n v="30"/>
    <x v="3"/>
    <n v="0.15"/>
    <n v="25.5"/>
    <x v="1"/>
    <s v="Los Angeles, CA"/>
    <n v="34.052199999999999"/>
    <n v="-118.2437"/>
    <d v="2023-12-22T00:00:00"/>
    <n v="0"/>
    <x v="1"/>
    <d v="2025-06-22T00:00:00"/>
    <s v="20–29"/>
    <s v="20–29"/>
  </r>
  <r>
    <n v="27"/>
    <x v="3"/>
    <n v="5"/>
    <s v="Fri, Mon, Sat, Thu, Tue"/>
    <b v="0"/>
    <d v="1899-12-30T09:57:00"/>
    <d v="1899-12-30T12:22:00"/>
    <n v="145"/>
    <x v="0"/>
    <b v="0"/>
    <b v="0"/>
    <s v="Non-binary"/>
    <x v="3"/>
    <x v="1"/>
    <n v="52.5"/>
    <x v="2"/>
    <n v="0.1"/>
    <n v="47.25"/>
    <x v="3"/>
    <s v="Los Angeles, CA"/>
    <n v="34.052199999999999"/>
    <n v="-118.2437"/>
    <d v="2024-06-05T00:00:00"/>
    <n v="0"/>
    <x v="1"/>
    <d v="2025-07-01T00:00:00"/>
    <s v="20–29"/>
    <s v="20–29"/>
  </r>
  <r>
    <n v="21"/>
    <x v="1"/>
    <n v="3"/>
    <s v="Sat, Sun, Tue"/>
    <b v="0"/>
    <d v="1899-12-30T12:59:00"/>
    <d v="1899-12-30T13:48:00"/>
    <n v="49"/>
    <x v="1"/>
    <b v="0"/>
    <b v="0"/>
    <s v="Male"/>
    <x v="1"/>
    <x v="0"/>
    <n v="30"/>
    <x v="1"/>
    <n v="0"/>
    <n v="30"/>
    <x v="1"/>
    <s v="Sacramento, CA"/>
    <n v="38.581600000000002"/>
    <n v="-121.4944"/>
    <d v="2023-09-30T00:00:00"/>
    <n v="0"/>
    <x v="0"/>
    <d v="2025-06-17T00:00:00"/>
    <s v="20–29"/>
    <s v="20–29"/>
  </r>
  <r>
    <n v="28"/>
    <x v="1"/>
    <n v="3"/>
    <s v="Fri, Sat, Sun"/>
    <b v="0"/>
    <d v="1899-12-30T13:28:00"/>
    <d v="1899-12-30T15:44:00"/>
    <n v="136"/>
    <x v="1"/>
    <b v="1"/>
    <b v="1"/>
    <s v="Female"/>
    <x v="1"/>
    <x v="0"/>
    <n v="30"/>
    <x v="1"/>
    <n v="0"/>
    <n v="30"/>
    <x v="1"/>
    <s v="Oakland, CA"/>
    <n v="37.804400000000001"/>
    <n v="-122.27119999999999"/>
    <d v="2024-12-30T00:00:00"/>
    <n v="1"/>
    <x v="1"/>
    <d v="2025-07-13T00:00:00"/>
    <s v="20–29"/>
    <s v="20–29"/>
  </r>
  <r>
    <n v="35"/>
    <x v="0"/>
    <n v="1"/>
    <s v="Wed"/>
    <b v="0"/>
    <d v="1899-12-30T08:34:00"/>
    <d v="1899-12-30T09:27:00"/>
    <n v="53"/>
    <x v="0"/>
    <b v="1"/>
    <b v="0"/>
    <s v="Male"/>
    <x v="0"/>
    <x v="2"/>
    <n v="45"/>
    <x v="3"/>
    <n v="0.15"/>
    <n v="38.25"/>
    <x v="0"/>
    <s v="Los Angeles, CA"/>
    <n v="34.052199999999999"/>
    <n v="-118.2437"/>
    <d v="2024-05-02T00:00:00"/>
    <n v="1"/>
    <x v="0"/>
    <d v="2025-06-29T00:00:00"/>
    <s v="30–39"/>
    <s v="30–39"/>
  </r>
  <r>
    <n v="33"/>
    <x v="1"/>
    <n v="2"/>
    <s v="Thu, Wed"/>
    <b v="0"/>
    <d v="1899-12-30T09:56:00"/>
    <d v="1899-12-30T12:52:00"/>
    <n v="176"/>
    <x v="0"/>
    <b v="1"/>
    <b v="1"/>
    <s v="Female"/>
    <x v="1"/>
    <x v="0"/>
    <n v="30"/>
    <x v="3"/>
    <n v="0.15"/>
    <n v="25.5"/>
    <x v="1"/>
    <s v="Fresno, CA"/>
    <n v="36.7378"/>
    <n v="-119.7871"/>
    <d v="2022-08-25T00:00:00"/>
    <n v="6"/>
    <x v="1"/>
    <d v="2025-05-25T00:00:00"/>
    <s v="30–39"/>
    <s v="30–39"/>
  </r>
  <r>
    <n v="37"/>
    <x v="0"/>
    <n v="1"/>
    <s v="Sun"/>
    <b v="0"/>
    <d v="1899-12-30T16:39:00"/>
    <d v="1899-12-30T19:05:00"/>
    <n v="146"/>
    <x v="1"/>
    <b v="1"/>
    <b v="0"/>
    <s v="Female"/>
    <x v="0"/>
    <x v="1"/>
    <n v="37.5"/>
    <x v="3"/>
    <n v="0.15"/>
    <n v="31.875"/>
    <x v="0"/>
    <s v="Fresno, CA"/>
    <n v="36.7378"/>
    <n v="-119.7871"/>
    <d v="2024-09-21T00:00:00"/>
    <n v="4"/>
    <x v="0"/>
    <d v="2025-07-07T00:00:00"/>
    <s v="30–39"/>
    <s v="30–39"/>
  </r>
  <r>
    <n v="24"/>
    <x v="2"/>
    <n v="2"/>
    <s v="Sun, Tue"/>
    <b v="1"/>
    <d v="1899-12-30T18:58:00"/>
    <d v="1899-12-30T19:40:00"/>
    <n v="42"/>
    <x v="1"/>
    <b v="0"/>
    <b v="1"/>
    <s v="Female"/>
    <x v="2"/>
    <x v="2"/>
    <n v="18"/>
    <x v="2"/>
    <n v="0.1"/>
    <n v="16.2"/>
    <x v="2"/>
    <s v="Los Angeles, CA"/>
    <n v="34.052199999999999"/>
    <n v="-118.2437"/>
    <d v="2023-07-24T00:00:00"/>
    <n v="0"/>
    <x v="1"/>
    <d v="2025-06-13T00:00:00"/>
    <s v="20–29"/>
    <s v="20–29"/>
  </r>
  <r>
    <n v="17"/>
    <x v="0"/>
    <n v="2"/>
    <s v="Fri, Tue"/>
    <b v="0"/>
    <d v="1899-12-30T09:30:00"/>
    <d v="1899-12-30T12:24:00"/>
    <n v="174"/>
    <x v="1"/>
    <b v="1"/>
    <b v="1"/>
    <s v="Non-binary"/>
    <x v="0"/>
    <x v="0"/>
    <n v="50"/>
    <x v="1"/>
    <n v="0"/>
    <n v="50"/>
    <x v="0"/>
    <s v="Los Angeles, CA"/>
    <n v="34.052199999999999"/>
    <n v="-118.2437"/>
    <d v="2024-07-11T00:00:00"/>
    <n v="3"/>
    <x v="1"/>
    <d v="2025-07-03T00:00:00"/>
    <s v="10–19"/>
    <s v="16–19"/>
  </r>
  <r>
    <n v="29"/>
    <x v="2"/>
    <n v="2"/>
    <s v="Fri, Sat"/>
    <b v="1"/>
    <d v="1899-12-30T14:45:00"/>
    <d v="1899-12-30T17:41:00"/>
    <n v="176"/>
    <x v="0"/>
    <b v="1"/>
    <b v="1"/>
    <s v="Male"/>
    <x v="2"/>
    <x v="0"/>
    <n v="20"/>
    <x v="1"/>
    <n v="0"/>
    <n v="20"/>
    <x v="2"/>
    <s v="San Jose, CA"/>
    <n v="37.338200000000001"/>
    <n v="-121.88630000000001"/>
    <d v="2023-03-22T00:00:00"/>
    <n v="3"/>
    <x v="0"/>
    <d v="2025-06-06T00:00:00"/>
    <s v="20–29"/>
    <s v="20–29"/>
  </r>
  <r>
    <n v="45"/>
    <x v="0"/>
    <n v="1"/>
    <s v="Mon"/>
    <b v="1"/>
    <d v="1899-12-30T09:31:00"/>
    <d v="1899-12-30T10:42:00"/>
    <n v="71"/>
    <x v="1"/>
    <b v="0"/>
    <b v="1"/>
    <s v="Other (self-described)"/>
    <x v="0"/>
    <x v="2"/>
    <n v="45"/>
    <x v="3"/>
    <n v="0.15"/>
    <n v="38.25"/>
    <x v="0"/>
    <s v="Bakersfield, CA"/>
    <n v="35.3733"/>
    <n v="-119.0187"/>
    <d v="2025-02-03T00:00:00"/>
    <n v="0"/>
    <x v="1"/>
    <d v="2025-07-15T00:00:00"/>
    <s v="40–49"/>
    <s v="40–49"/>
  </r>
  <r>
    <n v="37"/>
    <x v="2"/>
    <n v="1"/>
    <s v="Sat"/>
    <b v="1"/>
    <d v="1899-12-30T08:21:00"/>
    <d v="1899-12-30T08:55:00"/>
    <n v="34"/>
    <x v="1"/>
    <b v="0"/>
    <b v="0"/>
    <s v="Female"/>
    <x v="2"/>
    <x v="1"/>
    <n v="15"/>
    <x v="1"/>
    <n v="0"/>
    <n v="15"/>
    <x v="2"/>
    <s v="Fresno, CA"/>
    <n v="36.7378"/>
    <n v="-119.7871"/>
    <d v="2022-08-25T00:00:00"/>
    <n v="0"/>
    <x v="1"/>
    <d v="2025-05-25T00:00:00"/>
    <s v="30–39"/>
    <s v="30–39"/>
  </r>
  <r>
    <n v="44"/>
    <x v="0"/>
    <n v="2"/>
    <s v="Mon, Sun"/>
    <b v="0"/>
    <d v="1899-12-30T14:58:00"/>
    <d v="1899-12-30T17:38:00"/>
    <n v="160"/>
    <x v="1"/>
    <b v="1"/>
    <b v="1"/>
    <s v="Male"/>
    <x v="0"/>
    <x v="0"/>
    <n v="50"/>
    <x v="0"/>
    <n v="0.05"/>
    <n v="47.5"/>
    <x v="0"/>
    <s v="Los Angeles, CA"/>
    <n v="34.052199999999999"/>
    <n v="-118.2437"/>
    <d v="2024-02-25T00:00:00"/>
    <n v="1"/>
    <x v="0"/>
    <d v="2025-06-25T00:00:00"/>
    <s v="40–49"/>
    <s v="40–49"/>
  </r>
  <r>
    <n v="34"/>
    <x v="0"/>
    <n v="2"/>
    <s v="Tue, Wed"/>
    <b v="0"/>
    <d v="1899-12-30T17:18:00"/>
    <d v="1899-12-30T18:57:00"/>
    <n v="99"/>
    <x v="1"/>
    <b v="1"/>
    <b v="0"/>
    <s v="Non-binary"/>
    <x v="0"/>
    <x v="0"/>
    <n v="50"/>
    <x v="2"/>
    <n v="0.1"/>
    <n v="45"/>
    <x v="0"/>
    <s v="Bakersfield, CA"/>
    <n v="35.3733"/>
    <n v="-119.0187"/>
    <d v="2024-10-14T00:00:00"/>
    <n v="7"/>
    <x v="0"/>
    <d v="2025-07-08T00:00:00"/>
    <s v="30–39"/>
    <s v="30–39"/>
  </r>
  <r>
    <n v="37"/>
    <x v="1"/>
    <n v="1"/>
    <s v="Fri"/>
    <b v="1"/>
    <d v="1899-12-30T16:04:00"/>
    <d v="1899-12-30T18:16:00"/>
    <n v="132"/>
    <x v="1"/>
    <b v="1"/>
    <b v="1"/>
    <s v="Male"/>
    <x v="1"/>
    <x v="1"/>
    <n v="22.5"/>
    <x v="1"/>
    <n v="0"/>
    <n v="22.5"/>
    <x v="1"/>
    <s v="Anaheim, CA"/>
    <n v="33.836599999999997"/>
    <n v="-117.9143"/>
    <d v="2025-04-05T00:00:00"/>
    <n v="5"/>
    <x v="1"/>
    <d v="2025-07-18T00:00:00"/>
    <s v="30–39"/>
    <s v="30–39"/>
  </r>
  <r>
    <n v="31"/>
    <x v="1"/>
    <n v="2"/>
    <s v="Fri, Tue"/>
    <b v="1"/>
    <d v="1899-12-30T14:51:00"/>
    <d v="1899-12-30T17:44:00"/>
    <n v="173"/>
    <x v="0"/>
    <b v="1"/>
    <b v="1"/>
    <s v="Non-binary"/>
    <x v="1"/>
    <x v="1"/>
    <n v="22.5"/>
    <x v="1"/>
    <n v="0"/>
    <n v="22.5"/>
    <x v="1"/>
    <s v="San Diego, CA"/>
    <n v="32.715699999999998"/>
    <n v="-117.1611"/>
    <d v="2024-12-24T00:00:00"/>
    <n v="7"/>
    <x v="1"/>
    <d v="2025-07-12T00:00:00"/>
    <s v="30–39"/>
    <s v="30–39"/>
  </r>
  <r>
    <n v="21"/>
    <x v="1"/>
    <n v="2"/>
    <s v="Fri, Mon"/>
    <b v="0"/>
    <d v="1899-12-30T20:13:00"/>
    <d v="1899-12-30T21:48:00"/>
    <n v="95"/>
    <x v="1"/>
    <b v="0"/>
    <b v="0"/>
    <s v="Female"/>
    <x v="1"/>
    <x v="1"/>
    <n v="22.5"/>
    <x v="3"/>
    <n v="0.15"/>
    <n v="19.125"/>
    <x v="1"/>
    <s v="Fresno, CA"/>
    <n v="36.7378"/>
    <n v="-119.7871"/>
    <d v="2023-12-17T00:00:00"/>
    <n v="0"/>
    <x v="0"/>
    <d v="2025-06-21T00:00:00"/>
    <s v="20–29"/>
    <s v="20–29"/>
  </r>
  <r>
    <n v="26"/>
    <x v="1"/>
    <n v="3"/>
    <s v="Fri, Mon, Sat"/>
    <b v="1"/>
    <d v="1899-12-30T15:06:00"/>
    <d v="1899-12-30T17:40:00"/>
    <n v="154"/>
    <x v="1"/>
    <b v="0"/>
    <b v="1"/>
    <s v="Male"/>
    <x v="1"/>
    <x v="0"/>
    <n v="30"/>
    <x v="2"/>
    <n v="0.1"/>
    <n v="27"/>
    <x v="1"/>
    <s v="Sacramento, CA"/>
    <n v="38.581600000000002"/>
    <n v="-121.4944"/>
    <d v="2024-06-29T00:00:00"/>
    <n v="0"/>
    <x v="0"/>
    <d v="2025-07-02T00:00:00"/>
    <s v="20–29"/>
    <s v="20–29"/>
  </r>
  <r>
    <n v="20"/>
    <x v="2"/>
    <n v="5"/>
    <s v="Mon, Sat, Sun, Thu, Wed"/>
    <b v="1"/>
    <d v="1899-12-30T13:04:00"/>
    <d v="1899-12-30T13:37:00"/>
    <n v="33"/>
    <x v="1"/>
    <b v="1"/>
    <b v="1"/>
    <s v="Non-binary"/>
    <x v="2"/>
    <x v="0"/>
    <n v="20"/>
    <x v="0"/>
    <n v="0.05"/>
    <n v="19"/>
    <x v="2"/>
    <s v="Los Angeles, CA"/>
    <n v="34.052199999999999"/>
    <n v="-118.2437"/>
    <d v="2023-01-22T00:00:00"/>
    <n v="2"/>
    <x v="0"/>
    <d v="2025-06-03T00:00:00"/>
    <s v="20–29"/>
    <s v="20–29"/>
  </r>
  <r>
    <n v="19"/>
    <x v="0"/>
    <n v="3"/>
    <s v="Sun, Tue, Wed"/>
    <b v="1"/>
    <d v="1899-12-30T12:56:00"/>
    <d v="1899-12-30T15:52:00"/>
    <n v="176"/>
    <x v="0"/>
    <b v="1"/>
    <b v="0"/>
    <s v="Non-binary"/>
    <x v="0"/>
    <x v="1"/>
    <n v="37.5"/>
    <x v="1"/>
    <n v="0"/>
    <n v="37.5"/>
    <x v="0"/>
    <s v="San Francisco, CA"/>
    <n v="37.774900000000002"/>
    <n v="-122.4194"/>
    <d v="2024-03-21T00:00:00"/>
    <n v="5"/>
    <x v="1"/>
    <d v="2025-06-27T00:00:00"/>
    <s v="10–19"/>
    <s v="16–19"/>
  </r>
  <r>
    <n v="35"/>
    <x v="0"/>
    <n v="1"/>
    <s v="Sat"/>
    <b v="0"/>
    <d v="1899-12-30T20:12:00"/>
    <d v="1899-12-30T22:37:00"/>
    <n v="145"/>
    <x v="1"/>
    <b v="1"/>
    <b v="0"/>
    <s v="Male"/>
    <x v="0"/>
    <x v="0"/>
    <n v="50"/>
    <x v="3"/>
    <n v="0.15"/>
    <n v="42.5"/>
    <x v="0"/>
    <s v="Sacramento, CA"/>
    <n v="38.581600000000002"/>
    <n v="-121.4944"/>
    <d v="2024-10-01T00:00:00"/>
    <n v="5"/>
    <x v="1"/>
    <d v="2025-07-08T00:00:00"/>
    <s v="30–39"/>
    <s v="30–39"/>
  </r>
  <r>
    <n v="26"/>
    <x v="0"/>
    <n v="2"/>
    <s v="Fri, Mon"/>
    <b v="0"/>
    <d v="1899-12-30T08:19:00"/>
    <d v="1899-12-30T10:45:00"/>
    <n v="146"/>
    <x v="0"/>
    <b v="1"/>
    <b v="0"/>
    <s v="Female"/>
    <x v="0"/>
    <x v="2"/>
    <n v="45"/>
    <x v="1"/>
    <n v="0"/>
    <n v="45"/>
    <x v="0"/>
    <s v="Fresno, CA"/>
    <n v="36.7378"/>
    <n v="-119.7871"/>
    <d v="2023-09-04T00:00:00"/>
    <n v="6"/>
    <x v="0"/>
    <d v="2025-06-15T00:00:00"/>
    <s v="20–29"/>
    <s v="20–29"/>
  </r>
  <r>
    <n v="26"/>
    <x v="2"/>
    <n v="5"/>
    <s v="Fri, Mon, Sun, Tue, Wed"/>
    <b v="0"/>
    <d v="1899-12-30T18:01:00"/>
    <d v="1899-12-30T18:43:00"/>
    <n v="42"/>
    <x v="1"/>
    <b v="0"/>
    <b v="0"/>
    <s v="Male"/>
    <x v="2"/>
    <x v="1"/>
    <n v="15"/>
    <x v="1"/>
    <n v="0"/>
    <n v="15"/>
    <x v="2"/>
    <s v="Long Beach, CA"/>
    <n v="33.770099999999999"/>
    <n v="-118.19370000000001"/>
    <d v="2023-06-01T00:00:00"/>
    <n v="0"/>
    <x v="1"/>
    <d v="2025-06-10T00:00:00"/>
    <s v="20–29"/>
    <s v="20–29"/>
  </r>
  <r>
    <n v="21"/>
    <x v="0"/>
    <n v="2"/>
    <s v="Fri, Thu"/>
    <b v="1"/>
    <d v="1899-12-30T19:59:00"/>
    <d v="1899-12-30T20:43:00"/>
    <n v="44"/>
    <x v="0"/>
    <b v="1"/>
    <b v="0"/>
    <s v="Non-binary"/>
    <x v="0"/>
    <x v="0"/>
    <n v="50"/>
    <x v="0"/>
    <n v="0.05"/>
    <n v="47.5"/>
    <x v="0"/>
    <s v="San Diego, CA"/>
    <n v="32.715699999999998"/>
    <n v="-117.1611"/>
    <d v="2024-12-27T00:00:00"/>
    <n v="1"/>
    <x v="0"/>
    <d v="2025-07-12T00:00:00"/>
    <s v="20–29"/>
    <s v="20–29"/>
  </r>
  <r>
    <n v="37"/>
    <x v="2"/>
    <n v="3"/>
    <s v="Mon, Tue, Wed"/>
    <b v="1"/>
    <d v="1899-12-30T18:07:00"/>
    <d v="1899-12-30T20:01:00"/>
    <n v="114"/>
    <x v="0"/>
    <b v="0"/>
    <b v="1"/>
    <s v="Non-binary"/>
    <x v="2"/>
    <x v="1"/>
    <n v="15"/>
    <x v="1"/>
    <n v="0"/>
    <n v="15"/>
    <x v="2"/>
    <s v="Los Angeles, CA"/>
    <n v="34.052199999999999"/>
    <n v="-118.2437"/>
    <d v="2024-12-26T00:00:00"/>
    <n v="0"/>
    <x v="1"/>
    <d v="2025-07-12T00:00:00"/>
    <s v="30–39"/>
    <s v="30–39"/>
  </r>
  <r>
    <n v="39"/>
    <x v="1"/>
    <n v="4"/>
    <s v="Mon, Sun, Tue, Wed"/>
    <b v="1"/>
    <d v="1899-12-30T19:22:00"/>
    <d v="1899-12-30T21:18:00"/>
    <n v="116"/>
    <x v="1"/>
    <b v="0"/>
    <b v="0"/>
    <s v="Prefer not to say"/>
    <x v="1"/>
    <x v="0"/>
    <n v="30"/>
    <x v="1"/>
    <n v="0"/>
    <n v="30"/>
    <x v="1"/>
    <s v="San Francisco, CA"/>
    <n v="37.774900000000002"/>
    <n v="-122.4194"/>
    <d v="2025-05-14T00:00:00"/>
    <n v="0"/>
    <x v="1"/>
    <d v="2025-07-20T00:00:00"/>
    <s v="30–39"/>
    <s v="30–39"/>
  </r>
  <r>
    <n v="13"/>
    <x v="0"/>
    <n v="2"/>
    <s v="Fri, Tue"/>
    <b v="1"/>
    <d v="1899-12-30T09:23:00"/>
    <d v="1899-12-30T12:02:00"/>
    <n v="159"/>
    <x v="0"/>
    <b v="0"/>
    <b v="1"/>
    <s v="Male"/>
    <x v="0"/>
    <x v="0"/>
    <n v="50"/>
    <x v="1"/>
    <n v="0"/>
    <n v="50"/>
    <x v="0"/>
    <s v="San Diego, CA"/>
    <n v="32.715699999999998"/>
    <n v="-117.1611"/>
    <d v="2023-04-30T00:00:00"/>
    <n v="0"/>
    <x v="1"/>
    <d v="2025-06-08T00:00:00"/>
    <s v="10–19"/>
    <s v="Under 16"/>
  </r>
  <r>
    <n v="41"/>
    <x v="2"/>
    <n v="4"/>
    <s v="Fri, Mon, Thu, Wed"/>
    <b v="0"/>
    <d v="1899-12-30T17:08:00"/>
    <d v="1899-12-30T18:16:00"/>
    <n v="68"/>
    <x v="1"/>
    <b v="1"/>
    <b v="0"/>
    <s v="Female"/>
    <x v="2"/>
    <x v="2"/>
    <n v="18"/>
    <x v="1"/>
    <n v="0"/>
    <n v="18"/>
    <x v="2"/>
    <s v="Long Beach, CA"/>
    <n v="33.770099999999999"/>
    <n v="-118.19370000000001"/>
    <d v="2023-07-17T00:00:00"/>
    <n v="7"/>
    <x v="1"/>
    <d v="2025-06-13T00:00:00"/>
    <s v="40–49"/>
    <s v="40–49"/>
  </r>
  <r>
    <n v="34"/>
    <x v="0"/>
    <n v="3"/>
    <s v="Sat, Thu, Wed"/>
    <b v="1"/>
    <d v="1899-12-30T10:47:00"/>
    <d v="1899-12-30T12:03:00"/>
    <n v="76"/>
    <x v="0"/>
    <b v="1"/>
    <b v="1"/>
    <s v="Female"/>
    <x v="0"/>
    <x v="0"/>
    <n v="50"/>
    <x v="1"/>
    <n v="0"/>
    <n v="50"/>
    <x v="0"/>
    <s v="San Jose, CA"/>
    <n v="37.338200000000001"/>
    <n v="-121.88630000000001"/>
    <d v="2024-02-03T00:00:00"/>
    <n v="7"/>
    <x v="0"/>
    <d v="2025-06-24T00:00:00"/>
    <s v="30–39"/>
    <s v="30–39"/>
  </r>
  <r>
    <n v="34"/>
    <x v="3"/>
    <n v="1"/>
    <s v="Sun"/>
    <b v="1"/>
    <d v="1899-12-30T14:47:00"/>
    <d v="1899-12-30T16:49:00"/>
    <n v="122"/>
    <x v="1"/>
    <b v="0"/>
    <b v="0"/>
    <s v="Female"/>
    <x v="3"/>
    <x v="1"/>
    <n v="52.5"/>
    <x v="1"/>
    <n v="0"/>
    <n v="52.5"/>
    <x v="3"/>
    <s v="Los Angeles, CA"/>
    <n v="34.052199999999999"/>
    <n v="-118.2437"/>
    <d v="2023-01-05T00:00:00"/>
    <n v="0"/>
    <x v="0"/>
    <d v="2025-06-02T00:00:00"/>
    <s v="30–39"/>
    <s v="30–39"/>
  </r>
  <r>
    <n v="18"/>
    <x v="2"/>
    <n v="3"/>
    <s v="Mon, Thu, Wed"/>
    <b v="1"/>
    <d v="1899-12-30T14:33:00"/>
    <d v="1899-12-30T15:35:00"/>
    <n v="62"/>
    <x v="0"/>
    <b v="0"/>
    <b v="0"/>
    <s v="Male"/>
    <x v="2"/>
    <x v="1"/>
    <n v="15"/>
    <x v="2"/>
    <n v="0.1"/>
    <n v="13.5"/>
    <x v="2"/>
    <s v="Sacramento, CA"/>
    <n v="38.581600000000002"/>
    <n v="-121.4944"/>
    <d v="2023-02-15T00:00:00"/>
    <n v="0"/>
    <x v="1"/>
    <d v="2025-06-04T00:00:00"/>
    <s v="10–19"/>
    <s v="16–19"/>
  </r>
  <r>
    <n v="33"/>
    <x v="0"/>
    <n v="2"/>
    <s v="Mon, Sun"/>
    <b v="1"/>
    <d v="1899-12-30T16:16:00"/>
    <d v="1899-12-30T18:03:00"/>
    <n v="107"/>
    <x v="1"/>
    <b v="1"/>
    <b v="0"/>
    <s v="Male"/>
    <x v="0"/>
    <x v="0"/>
    <n v="50"/>
    <x v="1"/>
    <n v="0"/>
    <n v="50"/>
    <x v="0"/>
    <s v="San Jose, CA"/>
    <n v="37.338200000000001"/>
    <n v="-121.88630000000001"/>
    <d v="2023-10-08T00:00:00"/>
    <n v="1"/>
    <x v="0"/>
    <d v="2025-06-17T00:00:00"/>
    <s v="30–39"/>
    <s v="30–39"/>
  </r>
  <r>
    <n v="29"/>
    <x v="1"/>
    <n v="1"/>
    <s v="Thu"/>
    <b v="1"/>
    <d v="1899-12-30T10:25:00"/>
    <d v="1899-12-30T12:04:00"/>
    <n v="99"/>
    <x v="1"/>
    <b v="1"/>
    <b v="0"/>
    <s v="Male"/>
    <x v="1"/>
    <x v="0"/>
    <n v="30"/>
    <x v="1"/>
    <n v="0"/>
    <n v="30"/>
    <x v="1"/>
    <s v="Anaheim, CA"/>
    <n v="33.836599999999997"/>
    <n v="-117.9143"/>
    <d v="2022-12-11T00:00:00"/>
    <n v="7"/>
    <x v="1"/>
    <d v="2025-05-31T00:00:00"/>
    <s v="20–29"/>
    <s v="20–29"/>
  </r>
  <r>
    <n v="17"/>
    <x v="2"/>
    <n v="1"/>
    <s v="Fri"/>
    <b v="0"/>
    <d v="1899-12-30T16:59:00"/>
    <d v="1899-12-30T18:41:00"/>
    <n v="102"/>
    <x v="1"/>
    <b v="0"/>
    <b v="0"/>
    <s v="Male"/>
    <x v="2"/>
    <x v="0"/>
    <n v="20"/>
    <x v="0"/>
    <n v="0.05"/>
    <n v="19"/>
    <x v="2"/>
    <s v="Fresno, CA"/>
    <n v="36.7378"/>
    <n v="-119.7871"/>
    <d v="2024-11-15T00:00:00"/>
    <n v="0"/>
    <x v="1"/>
    <d v="2025-07-10T00:00:00"/>
    <s v="10–19"/>
    <s v="16–19"/>
  </r>
  <r>
    <n v="43"/>
    <x v="0"/>
    <n v="3"/>
    <s v="Fri, Sat, Thu"/>
    <b v="1"/>
    <d v="1899-12-30T13:40:00"/>
    <d v="1899-12-30T16:26:00"/>
    <n v="166"/>
    <x v="1"/>
    <b v="1"/>
    <b v="1"/>
    <s v="Other (self-described)"/>
    <x v="0"/>
    <x v="2"/>
    <n v="45"/>
    <x v="2"/>
    <n v="0.1"/>
    <n v="40.5"/>
    <x v="0"/>
    <s v="Los Angeles, CA"/>
    <n v="34.052199999999999"/>
    <n v="-118.2437"/>
    <d v="2025-02-23T00:00:00"/>
    <n v="8"/>
    <x v="0"/>
    <d v="2025-07-16T00:00:00"/>
    <s v="40–49"/>
    <s v="40–49"/>
  </r>
  <r>
    <n v="20"/>
    <x v="2"/>
    <n v="4"/>
    <s v="Fri, Thu, Tue, Wed"/>
    <b v="0"/>
    <d v="1899-12-30T11:51:00"/>
    <d v="1899-12-30T14:21:00"/>
    <n v="150"/>
    <x v="1"/>
    <b v="1"/>
    <b v="0"/>
    <s v="Female"/>
    <x v="2"/>
    <x v="0"/>
    <n v="20"/>
    <x v="0"/>
    <n v="0.05"/>
    <n v="19"/>
    <x v="2"/>
    <s v="Bakersfield, CA"/>
    <n v="35.3733"/>
    <n v="-119.0187"/>
    <d v="2024-09-08T00:00:00"/>
    <n v="1"/>
    <x v="0"/>
    <d v="2025-07-06T00:00:00"/>
    <s v="20–29"/>
    <s v="20–29"/>
  </r>
  <r>
    <n v="43"/>
    <x v="2"/>
    <n v="2"/>
    <s v="Fri, Wed"/>
    <b v="0"/>
    <d v="1899-12-30T13:10:00"/>
    <d v="1899-12-30T14:25:00"/>
    <n v="75"/>
    <x v="0"/>
    <b v="1"/>
    <b v="1"/>
    <s v="Female"/>
    <x v="2"/>
    <x v="0"/>
    <n v="20"/>
    <x v="3"/>
    <n v="0.15"/>
    <n v="17"/>
    <x v="2"/>
    <s v="Long Beach, CA"/>
    <n v="33.770099999999999"/>
    <n v="-118.19370000000001"/>
    <d v="2025-04-23T00:00:00"/>
    <n v="6"/>
    <x v="1"/>
    <d v="2025-07-19T00:00:00"/>
    <s v="40–49"/>
    <s v="40–49"/>
  </r>
  <r>
    <n v="27"/>
    <x v="1"/>
    <n v="3"/>
    <s v="Mon, Sun, Tue"/>
    <b v="1"/>
    <d v="1899-12-30T20:29:00"/>
    <d v="1899-12-30T21:35:00"/>
    <n v="66"/>
    <x v="0"/>
    <b v="1"/>
    <b v="0"/>
    <s v="Male"/>
    <x v="1"/>
    <x v="0"/>
    <n v="30"/>
    <x v="3"/>
    <n v="0.15"/>
    <n v="25.5"/>
    <x v="1"/>
    <s v="Anaheim, CA"/>
    <n v="33.836599999999997"/>
    <n v="-117.9143"/>
    <d v="2023-12-05T00:00:00"/>
    <n v="4"/>
    <x v="0"/>
    <d v="2025-06-21T00:00:00"/>
    <s v="20–29"/>
    <s v="20–29"/>
  </r>
  <r>
    <n v="20"/>
    <x v="2"/>
    <n v="5"/>
    <s v="Mon, Sun, Thu, Tue, Wed"/>
    <b v="0"/>
    <d v="1899-12-30T18:15:00"/>
    <d v="1899-12-30T20:54:00"/>
    <n v="159"/>
    <x v="0"/>
    <b v="1"/>
    <b v="1"/>
    <s v="Other (self-described)"/>
    <x v="2"/>
    <x v="1"/>
    <n v="15"/>
    <x v="1"/>
    <n v="0"/>
    <n v="15"/>
    <x v="2"/>
    <s v="Sacramento, CA"/>
    <n v="38.581600000000002"/>
    <n v="-121.4944"/>
    <d v="2022-09-29T00:00:00"/>
    <n v="5"/>
    <x v="1"/>
    <d v="2025-05-27T00:00:00"/>
    <s v="20–29"/>
    <s v="20–29"/>
  </r>
  <r>
    <n v="45"/>
    <x v="2"/>
    <n v="3"/>
    <s v="Fri, Sat, Sun"/>
    <b v="0"/>
    <d v="1899-12-30T10:21:00"/>
    <d v="1899-12-30T12:38:00"/>
    <n v="137"/>
    <x v="0"/>
    <b v="1"/>
    <b v="1"/>
    <s v="Male"/>
    <x v="2"/>
    <x v="0"/>
    <n v="20"/>
    <x v="3"/>
    <n v="0.15"/>
    <n v="17"/>
    <x v="2"/>
    <s v="Sacramento, CA"/>
    <n v="38.581600000000002"/>
    <n v="-121.4944"/>
    <d v="2025-05-12T00:00:00"/>
    <n v="6"/>
    <x v="0"/>
    <d v="2025-07-20T00:00:00"/>
    <s v="40–49"/>
    <s v="40–49"/>
  </r>
  <r>
    <n v="27"/>
    <x v="0"/>
    <n v="4"/>
    <s v="Sun, Thu, Tue, Wed"/>
    <b v="0"/>
    <d v="1899-12-30T11:49:00"/>
    <d v="1899-12-30T14:25:00"/>
    <n v="156"/>
    <x v="1"/>
    <b v="1"/>
    <b v="0"/>
    <s v="Male"/>
    <x v="0"/>
    <x v="1"/>
    <n v="37.5"/>
    <x v="1"/>
    <n v="0"/>
    <n v="37.5"/>
    <x v="0"/>
    <s v="San Diego, CA"/>
    <n v="32.715699999999998"/>
    <n v="-117.1611"/>
    <d v="2025-02-12T00:00:00"/>
    <n v="3"/>
    <x v="0"/>
    <d v="2025-07-15T00:00:00"/>
    <s v="20–29"/>
    <s v="20–29"/>
  </r>
  <r>
    <n v="45"/>
    <x v="3"/>
    <n v="2"/>
    <s v="Sun, Tue"/>
    <b v="0"/>
    <d v="1899-12-30T12:13:00"/>
    <d v="1899-12-30T14:47:00"/>
    <n v="154"/>
    <x v="1"/>
    <b v="1"/>
    <b v="1"/>
    <s v="Female"/>
    <x v="3"/>
    <x v="1"/>
    <n v="52.5"/>
    <x v="2"/>
    <n v="0.1"/>
    <n v="47.25"/>
    <x v="3"/>
    <s v="Fresno, CA"/>
    <n v="36.7378"/>
    <n v="-119.7871"/>
    <d v="2024-02-27T00:00:00"/>
    <n v="2"/>
    <x v="0"/>
    <d v="2025-06-25T00:00:00"/>
    <s v="40–49"/>
    <s v="40–49"/>
  </r>
  <r>
    <n v="27"/>
    <x v="1"/>
    <n v="1"/>
    <s v="Mon"/>
    <b v="1"/>
    <d v="1899-12-30T18:22:00"/>
    <d v="1899-12-30T21:20:00"/>
    <n v="178"/>
    <x v="1"/>
    <b v="0"/>
    <b v="1"/>
    <s v="Male"/>
    <x v="1"/>
    <x v="1"/>
    <n v="22.5"/>
    <x v="0"/>
    <n v="0.05"/>
    <n v="21.375"/>
    <x v="1"/>
    <s v="Los Angeles, CA"/>
    <n v="34.052199999999999"/>
    <n v="-118.2437"/>
    <d v="2022-10-02T00:00:00"/>
    <n v="0"/>
    <x v="1"/>
    <d v="2025-05-27T00:00:00"/>
    <s v="20–29"/>
    <s v="20–29"/>
  </r>
  <r>
    <n v="41"/>
    <x v="2"/>
    <n v="4"/>
    <s v="Mon, Sun, Tue, Wed"/>
    <b v="1"/>
    <d v="1899-12-30T10:09:00"/>
    <d v="1899-12-30T10:57:00"/>
    <n v="48"/>
    <x v="1"/>
    <b v="0"/>
    <b v="0"/>
    <s v="Female"/>
    <x v="2"/>
    <x v="0"/>
    <n v="20"/>
    <x v="0"/>
    <n v="0.05"/>
    <n v="19"/>
    <x v="2"/>
    <s v="Anaheim, CA"/>
    <n v="33.836599999999997"/>
    <n v="-117.9143"/>
    <d v="2024-07-21T00:00:00"/>
    <n v="0"/>
    <x v="0"/>
    <d v="2025-07-04T00:00:00"/>
    <s v="40–49"/>
    <s v="40–49"/>
  </r>
  <r>
    <n v="29"/>
    <x v="2"/>
    <n v="4"/>
    <s v="Mon, Sat, Tue, Wed"/>
    <b v="1"/>
    <d v="1899-12-30T09:11:00"/>
    <d v="1899-12-30T10:48:00"/>
    <n v="97"/>
    <x v="0"/>
    <b v="0"/>
    <b v="1"/>
    <s v="Female"/>
    <x v="2"/>
    <x v="2"/>
    <n v="18"/>
    <x v="1"/>
    <n v="0"/>
    <n v="18"/>
    <x v="2"/>
    <s v="Fresno, CA"/>
    <n v="36.7378"/>
    <n v="-119.7871"/>
    <d v="2023-12-30T00:00:00"/>
    <n v="0"/>
    <x v="0"/>
    <d v="2025-06-22T00:00:00"/>
    <s v="20–29"/>
    <s v="20–29"/>
  </r>
  <r>
    <n v="21"/>
    <x v="2"/>
    <n v="2"/>
    <s v="Mon, Wed"/>
    <b v="0"/>
    <d v="1899-12-30T10:26:00"/>
    <d v="1899-12-30T12:21:00"/>
    <n v="115"/>
    <x v="1"/>
    <b v="1"/>
    <b v="1"/>
    <s v="Male"/>
    <x v="2"/>
    <x v="2"/>
    <n v="18"/>
    <x v="1"/>
    <n v="0"/>
    <n v="18"/>
    <x v="2"/>
    <s v="Long Beach, CA"/>
    <n v="33.770099999999999"/>
    <n v="-118.19370000000001"/>
    <d v="2025-05-09T00:00:00"/>
    <n v="4"/>
    <x v="1"/>
    <d v="2025-07-20T00:00:00"/>
    <s v="20–29"/>
    <s v="20–29"/>
  </r>
  <r>
    <n v="27"/>
    <x v="0"/>
    <n v="2"/>
    <s v="Mon, Thu"/>
    <b v="1"/>
    <d v="1899-12-30T20:32:00"/>
    <d v="1899-12-30T22:20:00"/>
    <n v="108"/>
    <x v="1"/>
    <b v="0"/>
    <b v="0"/>
    <s v="Other (self-described)"/>
    <x v="0"/>
    <x v="2"/>
    <n v="45"/>
    <x v="1"/>
    <n v="0"/>
    <n v="45"/>
    <x v="0"/>
    <s v="Long Beach, CA"/>
    <n v="33.770099999999999"/>
    <n v="-118.19370000000001"/>
    <d v="2025-01-16T00:00:00"/>
    <n v="0"/>
    <x v="0"/>
    <d v="2025-07-14T00:00:00"/>
    <s v="20–29"/>
    <s v="20–29"/>
  </r>
  <r>
    <n v="13"/>
    <x v="1"/>
    <n v="2"/>
    <s v="Fri, Tue"/>
    <b v="0"/>
    <d v="1899-12-30T09:38:00"/>
    <d v="1899-12-30T10:11:00"/>
    <n v="33"/>
    <x v="0"/>
    <b v="0"/>
    <b v="1"/>
    <s v="Female"/>
    <x v="1"/>
    <x v="2"/>
    <n v="27"/>
    <x v="0"/>
    <n v="0.05"/>
    <n v="25.65"/>
    <x v="1"/>
    <s v="Long Beach, CA"/>
    <n v="33.770099999999999"/>
    <n v="-118.19370000000001"/>
    <d v="2022-08-07T00:00:00"/>
    <n v="0"/>
    <x v="1"/>
    <d v="2025-05-24T00:00:00"/>
    <s v="10–19"/>
    <s v="Under 16"/>
  </r>
  <r>
    <n v="42"/>
    <x v="0"/>
    <n v="4"/>
    <s v="Fri, Mon, Thu, Tue"/>
    <b v="1"/>
    <d v="1899-12-30T09:55:00"/>
    <d v="1899-12-30T10:59:00"/>
    <n v="64"/>
    <x v="0"/>
    <b v="0"/>
    <b v="1"/>
    <s v="Male"/>
    <x v="0"/>
    <x v="1"/>
    <n v="37.5"/>
    <x v="0"/>
    <n v="0.05"/>
    <n v="35.625"/>
    <x v="0"/>
    <s v="San Jose, CA"/>
    <n v="37.338200000000001"/>
    <n v="-121.88630000000001"/>
    <d v="2022-08-30T00:00:00"/>
    <n v="0"/>
    <x v="0"/>
    <d v="2025-05-26T00:00:00"/>
    <s v="40–49"/>
    <s v="40–49"/>
  </r>
  <r>
    <n v="27"/>
    <x v="0"/>
    <n v="1"/>
    <s v="Mon"/>
    <b v="1"/>
    <d v="1899-12-30T12:11:00"/>
    <d v="1899-12-30T14:52:00"/>
    <n v="161"/>
    <x v="0"/>
    <b v="1"/>
    <b v="0"/>
    <s v="Male"/>
    <x v="0"/>
    <x v="1"/>
    <n v="37.5"/>
    <x v="3"/>
    <n v="0.15"/>
    <n v="31.875"/>
    <x v="0"/>
    <s v="Oakland, CA"/>
    <n v="37.804400000000001"/>
    <n v="-122.27119999999999"/>
    <d v="2025-06-17T00:00:00"/>
    <n v="3"/>
    <x v="0"/>
    <d v="2025-07-22T00:00:00"/>
    <s v="20–29"/>
    <s v="20–29"/>
  </r>
  <r>
    <n v="12"/>
    <x v="1"/>
    <n v="5"/>
    <s v="Fri, Mon, Sun, Thu, Wed"/>
    <b v="0"/>
    <d v="1899-12-30T10:25:00"/>
    <d v="1899-12-30T12:18:00"/>
    <n v="113"/>
    <x v="0"/>
    <b v="0"/>
    <b v="1"/>
    <s v="Male"/>
    <x v="1"/>
    <x v="0"/>
    <n v="30"/>
    <x v="1"/>
    <n v="0"/>
    <n v="30"/>
    <x v="1"/>
    <s v="Los Angeles, CA"/>
    <n v="34.052199999999999"/>
    <n v="-118.2437"/>
    <d v="2022-09-13T00:00:00"/>
    <n v="0"/>
    <x v="0"/>
    <d v="2025-05-26T00:00:00"/>
    <s v="10–19"/>
    <s v="Under 16"/>
  </r>
  <r>
    <n v="47"/>
    <x v="0"/>
    <n v="2"/>
    <s v="Mon, Wed"/>
    <b v="1"/>
    <d v="1899-12-30T18:47:00"/>
    <d v="1899-12-30T21:35:00"/>
    <n v="168"/>
    <x v="1"/>
    <b v="0"/>
    <b v="0"/>
    <s v="Male"/>
    <x v="0"/>
    <x v="1"/>
    <n v="37.5"/>
    <x v="0"/>
    <n v="0.05"/>
    <n v="35.625"/>
    <x v="0"/>
    <s v="Sacramento, CA"/>
    <n v="38.581600000000002"/>
    <n v="-121.4944"/>
    <d v="2023-08-12T00:00:00"/>
    <n v="0"/>
    <x v="0"/>
    <d v="2025-06-14T00:00:00"/>
    <s v="40–49"/>
    <s v="40–49"/>
  </r>
  <r>
    <n v="27"/>
    <x v="3"/>
    <n v="5"/>
    <s v="Mon, Sat, Sun, Thu, Tue"/>
    <b v="1"/>
    <d v="1899-12-30T10:50:00"/>
    <d v="1899-12-30T13:38:00"/>
    <n v="168"/>
    <x v="1"/>
    <b v="0"/>
    <b v="1"/>
    <s v="Male"/>
    <x v="3"/>
    <x v="0"/>
    <n v="70"/>
    <x v="1"/>
    <n v="0"/>
    <n v="70"/>
    <x v="3"/>
    <s v="Long Beach, CA"/>
    <n v="33.770099999999999"/>
    <n v="-118.19370000000001"/>
    <d v="2022-12-11T00:00:00"/>
    <n v="0"/>
    <x v="0"/>
    <d v="2025-05-31T00:00:00"/>
    <s v="20–29"/>
    <s v="20–29"/>
  </r>
  <r>
    <n v="47"/>
    <x v="2"/>
    <n v="2"/>
    <s v="Mon, Tue"/>
    <b v="1"/>
    <d v="1899-12-30T19:06:00"/>
    <d v="1899-12-30T19:43:00"/>
    <n v="37"/>
    <x v="0"/>
    <b v="1"/>
    <b v="1"/>
    <s v="Non-binary"/>
    <x v="2"/>
    <x v="0"/>
    <n v="20"/>
    <x v="1"/>
    <n v="0"/>
    <n v="20"/>
    <x v="2"/>
    <s v="San Francisco, CA"/>
    <n v="37.774900000000002"/>
    <n v="-122.4194"/>
    <d v="2024-02-24T00:00:00"/>
    <n v="5"/>
    <x v="1"/>
    <d v="2025-06-25T00:00:00"/>
    <s v="40–49"/>
    <s v="40–49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3-12-21T00:00:00"/>
    <n v="7"/>
    <x v="0"/>
    <d v="2025-06-22T00:00:00"/>
    <s v="20–29"/>
    <s v="20–29"/>
  </r>
  <r>
    <n v="14"/>
    <x v="0"/>
    <n v="1"/>
    <s v="Mon"/>
    <b v="1"/>
    <d v="1899-12-30T11:56:00"/>
    <d v="1899-12-30T13:37:00"/>
    <n v="101"/>
    <x v="0"/>
    <b v="0"/>
    <b v="0"/>
    <s v="Male"/>
    <x v="0"/>
    <x v="1"/>
    <n v="37.5"/>
    <x v="1"/>
    <n v="0"/>
    <n v="37.5"/>
    <x v="0"/>
    <s v="Sacramento, CA"/>
    <n v="38.581600000000002"/>
    <n v="-121.4944"/>
    <d v="2024-01-19T00:00:00"/>
    <n v="0"/>
    <x v="0"/>
    <d v="2025-06-23T00:00:00"/>
    <s v="10–19"/>
    <s v="Under 16"/>
  </r>
  <r>
    <n v="12"/>
    <x v="2"/>
    <n v="3"/>
    <s v="Sat, Thu, Wed"/>
    <b v="1"/>
    <d v="1899-12-30T11:50:00"/>
    <d v="1899-12-30T13:43:00"/>
    <n v="113"/>
    <x v="1"/>
    <b v="0"/>
    <b v="1"/>
    <s v="Male"/>
    <x v="2"/>
    <x v="0"/>
    <n v="20"/>
    <x v="0"/>
    <n v="0.05"/>
    <n v="19"/>
    <x v="2"/>
    <s v="Bakersfield, CA"/>
    <n v="35.3733"/>
    <n v="-119.0187"/>
    <d v="2023-07-13T00:00:00"/>
    <n v="0"/>
    <x v="0"/>
    <d v="2025-06-12T00:00:00"/>
    <s v="10–19"/>
    <s v="Under 16"/>
  </r>
  <r>
    <n v="35"/>
    <x v="1"/>
    <n v="1"/>
    <s v="Fri"/>
    <b v="1"/>
    <d v="1899-12-30T13:12:00"/>
    <d v="1899-12-30T14:54:00"/>
    <n v="102"/>
    <x v="1"/>
    <b v="1"/>
    <b v="0"/>
    <s v="Non-binary"/>
    <x v="1"/>
    <x v="0"/>
    <n v="30"/>
    <x v="1"/>
    <n v="0"/>
    <n v="30"/>
    <x v="1"/>
    <s v="Long Beach, CA"/>
    <n v="33.770099999999999"/>
    <n v="-118.19370000000001"/>
    <d v="2025-01-25T00:00:00"/>
    <n v="1"/>
    <x v="1"/>
    <d v="2025-07-14T00:00:00"/>
    <s v="30–39"/>
    <s v="30–39"/>
  </r>
  <r>
    <n v="13"/>
    <x v="1"/>
    <n v="3"/>
    <s v="Fri, Sat, Wed"/>
    <b v="1"/>
    <d v="1899-12-30T13:37:00"/>
    <d v="1899-12-30T14:09:00"/>
    <n v="32"/>
    <x v="1"/>
    <b v="0"/>
    <b v="0"/>
    <s v="Male"/>
    <x v="1"/>
    <x v="1"/>
    <n v="22.5"/>
    <x v="1"/>
    <n v="0"/>
    <n v="22.5"/>
    <x v="1"/>
    <s v="Long Beach, CA"/>
    <n v="33.770099999999999"/>
    <n v="-118.19370000000001"/>
    <d v="2025-05-22T00:00:00"/>
    <n v="0"/>
    <x v="1"/>
    <d v="2025-07-21T00:00:00"/>
    <s v="10–19"/>
    <s v="Under 16"/>
  </r>
  <r>
    <n v="32"/>
    <x v="0"/>
    <n v="1"/>
    <s v="Sat"/>
    <b v="1"/>
    <d v="1899-12-30T18:44:00"/>
    <d v="1899-12-30T19:28:00"/>
    <n v="44"/>
    <x v="0"/>
    <b v="0"/>
    <b v="1"/>
    <s v="Female"/>
    <x v="0"/>
    <x v="0"/>
    <n v="50"/>
    <x v="1"/>
    <n v="0"/>
    <n v="50"/>
    <x v="0"/>
    <s v="San Diego, CA"/>
    <n v="32.715699999999998"/>
    <n v="-117.1611"/>
    <d v="2024-07-30T00:00:00"/>
    <n v="0"/>
    <x v="0"/>
    <d v="2025-07-04T00:00:00"/>
    <s v="30–39"/>
    <s v="30–39"/>
  </r>
  <r>
    <n v="44"/>
    <x v="1"/>
    <n v="2"/>
    <s v="Sun, Wed"/>
    <b v="1"/>
    <d v="1899-12-30T14:41:00"/>
    <d v="1899-12-30T16:35:00"/>
    <n v="114"/>
    <x v="0"/>
    <b v="0"/>
    <b v="0"/>
    <s v="Other (self-described)"/>
    <x v="1"/>
    <x v="1"/>
    <n v="22.5"/>
    <x v="0"/>
    <n v="0.05"/>
    <n v="21.375"/>
    <x v="1"/>
    <s v="San Jose, CA"/>
    <n v="37.338200000000001"/>
    <n v="-121.88630000000001"/>
    <d v="2023-06-03T00:00:00"/>
    <n v="0"/>
    <x v="0"/>
    <d v="2025-06-10T00:00:00"/>
    <s v="40–49"/>
    <s v="40–49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4-11-20T00:00:00"/>
    <n v="5"/>
    <x v="1"/>
    <d v="2025-07-10T00:00:00"/>
    <s v="10–19"/>
    <s v="Under 16"/>
  </r>
  <r>
    <n v="36"/>
    <x v="0"/>
    <n v="2"/>
    <s v="Sat, Thu"/>
    <b v="1"/>
    <d v="1899-12-30T19:38:00"/>
    <d v="1899-12-30T21:40:00"/>
    <n v="122"/>
    <x v="1"/>
    <b v="1"/>
    <b v="1"/>
    <s v="Male"/>
    <x v="0"/>
    <x v="0"/>
    <n v="50"/>
    <x v="0"/>
    <n v="0.05"/>
    <n v="47.5"/>
    <x v="0"/>
    <s v="Anaheim, CA"/>
    <n v="33.836599999999997"/>
    <n v="-117.9143"/>
    <d v="2023-07-06T00:00:00"/>
    <n v="6"/>
    <x v="1"/>
    <d v="2025-06-12T00:00:00"/>
    <s v="30–39"/>
    <s v="30–39"/>
  </r>
  <r>
    <n v="32"/>
    <x v="2"/>
    <n v="3"/>
    <s v="Sat, Sun, Wed"/>
    <b v="0"/>
    <d v="1899-12-30T10:38:00"/>
    <d v="1899-12-30T13:05:00"/>
    <n v="147"/>
    <x v="1"/>
    <b v="0"/>
    <b v="0"/>
    <s v="Male"/>
    <x v="2"/>
    <x v="0"/>
    <n v="20"/>
    <x v="0"/>
    <n v="0.05"/>
    <n v="19"/>
    <x v="2"/>
    <s v="Fresno, CA"/>
    <n v="36.7378"/>
    <n v="-119.7871"/>
    <d v="2022-08-25T00:00:00"/>
    <n v="0"/>
    <x v="1"/>
    <d v="2025-05-25T00:00:00"/>
    <s v="30–39"/>
    <s v="30–39"/>
  </r>
  <r>
    <n v="21"/>
    <x v="0"/>
    <n v="3"/>
    <s v="Fri, Mon, Thu"/>
    <b v="1"/>
    <d v="1899-12-30T20:15:00"/>
    <d v="1899-12-30T21:36:00"/>
    <n v="81"/>
    <x v="1"/>
    <b v="0"/>
    <b v="1"/>
    <s v="Male"/>
    <x v="0"/>
    <x v="1"/>
    <n v="37.5"/>
    <x v="3"/>
    <n v="0.15"/>
    <n v="31.875"/>
    <x v="0"/>
    <s v="Fresno, CA"/>
    <n v="36.7378"/>
    <n v="-119.7871"/>
    <d v="2025-03-14T00:00:00"/>
    <n v="0"/>
    <x v="0"/>
    <d v="2025-07-17T00:00:00"/>
    <s v="20–29"/>
    <s v="20–29"/>
  </r>
  <r>
    <n v="26"/>
    <x v="0"/>
    <n v="5"/>
    <s v="Mon, Sat, Sun, Thu, Wed"/>
    <b v="1"/>
    <d v="1899-12-30T17:11:00"/>
    <d v="1899-12-30T18:02:00"/>
    <n v="51"/>
    <x v="0"/>
    <b v="1"/>
    <b v="1"/>
    <s v="Female"/>
    <x v="0"/>
    <x v="1"/>
    <n v="37.5"/>
    <x v="3"/>
    <n v="0.15"/>
    <n v="31.875"/>
    <x v="0"/>
    <s v="Long Beach, CA"/>
    <n v="33.770099999999999"/>
    <n v="-118.19370000000001"/>
    <d v="2023-07-07T00:00:00"/>
    <n v="2"/>
    <x v="0"/>
    <d v="2025-06-12T00:00:00"/>
    <s v="20–29"/>
    <s v="20–29"/>
  </r>
  <r>
    <n v="26"/>
    <x v="1"/>
    <n v="3"/>
    <s v="Sun, Tue, Wed"/>
    <b v="1"/>
    <d v="1899-12-30T13:24:00"/>
    <d v="1899-12-30T15:53:00"/>
    <n v="149"/>
    <x v="1"/>
    <b v="1"/>
    <b v="0"/>
    <s v="Female"/>
    <x v="1"/>
    <x v="1"/>
    <n v="22.5"/>
    <x v="2"/>
    <n v="0.1"/>
    <n v="20.25"/>
    <x v="1"/>
    <s v="Los Angeles, CA"/>
    <n v="34.052199999999999"/>
    <n v="-118.2437"/>
    <d v="2024-03-07T00:00:00"/>
    <n v="6"/>
    <x v="1"/>
    <d v="2025-06-26T00:00:00"/>
    <s v="20–29"/>
    <s v="20–29"/>
  </r>
  <r>
    <n v="42"/>
    <x v="1"/>
    <n v="3"/>
    <s v="Sat, Sun, Tue"/>
    <b v="1"/>
    <d v="1899-12-30T10:23:00"/>
    <d v="1899-12-30T12:01:00"/>
    <n v="98"/>
    <x v="0"/>
    <b v="1"/>
    <b v="1"/>
    <s v="Male"/>
    <x v="1"/>
    <x v="0"/>
    <n v="30"/>
    <x v="3"/>
    <n v="0.15"/>
    <n v="25.5"/>
    <x v="1"/>
    <s v="Sacramento, CA"/>
    <n v="38.581600000000002"/>
    <n v="-121.4944"/>
    <d v="2022-12-11T00:00:00"/>
    <n v="4"/>
    <x v="1"/>
    <d v="2025-05-31T00:00:00"/>
    <s v="40–49"/>
    <s v="40–49"/>
  </r>
  <r>
    <n v="48"/>
    <x v="1"/>
    <n v="2"/>
    <s v="Fri, Tue"/>
    <b v="0"/>
    <d v="1899-12-30T20:26:00"/>
    <d v="1899-12-30T22:46:00"/>
    <n v="140"/>
    <x v="0"/>
    <b v="1"/>
    <b v="0"/>
    <s v="Female"/>
    <x v="1"/>
    <x v="0"/>
    <n v="30"/>
    <x v="3"/>
    <n v="0.15"/>
    <n v="25.5"/>
    <x v="1"/>
    <s v="San Francisco, CA"/>
    <n v="37.774900000000002"/>
    <n v="-122.4194"/>
    <d v="2024-12-16T00:00:00"/>
    <n v="4"/>
    <x v="0"/>
    <d v="2025-07-12T00:00:00"/>
    <s v="40–49"/>
    <s v="40–49"/>
  </r>
  <r>
    <n v="18"/>
    <x v="0"/>
    <n v="3"/>
    <s v="Fri, Mon, Sun"/>
    <b v="0"/>
    <d v="1899-12-30T13:26:00"/>
    <d v="1899-12-30T16:15:00"/>
    <n v="169"/>
    <x v="0"/>
    <b v="0"/>
    <b v="0"/>
    <s v="Prefer not to say"/>
    <x v="0"/>
    <x v="0"/>
    <n v="50"/>
    <x v="3"/>
    <n v="0.15"/>
    <n v="42.5"/>
    <x v="0"/>
    <s v="Long Beach, CA"/>
    <n v="33.770099999999999"/>
    <n v="-118.19370000000001"/>
    <d v="2023-06-16T00:00:00"/>
    <n v="0"/>
    <x v="0"/>
    <d v="2025-06-11T00:00:00"/>
    <s v="10–19"/>
    <s v="16–19"/>
  </r>
  <r>
    <n v="19"/>
    <x v="0"/>
    <n v="3"/>
    <s v="Sat, Sun, Thu"/>
    <b v="0"/>
    <d v="1899-12-30T17:43:00"/>
    <d v="1899-12-30T18:34:00"/>
    <n v="51"/>
    <x v="0"/>
    <b v="1"/>
    <b v="1"/>
    <s v="Female"/>
    <x v="0"/>
    <x v="1"/>
    <n v="37.5"/>
    <x v="0"/>
    <n v="0.05"/>
    <n v="35.625"/>
    <x v="0"/>
    <s v="San Jose, CA"/>
    <n v="37.338200000000001"/>
    <n v="-121.88630000000001"/>
    <d v="2023-01-12T00:00:00"/>
    <n v="2"/>
    <x v="0"/>
    <d v="2025-06-02T00:00:00"/>
    <s v="10–19"/>
    <s v="16–19"/>
  </r>
  <r>
    <n v="35"/>
    <x v="2"/>
    <n v="2"/>
    <s v="Fri, Mon"/>
    <b v="1"/>
    <d v="1899-12-30T16:20:00"/>
    <d v="1899-12-30T17:21:00"/>
    <n v="61"/>
    <x v="1"/>
    <b v="1"/>
    <b v="0"/>
    <s v="Female"/>
    <x v="2"/>
    <x v="0"/>
    <n v="20"/>
    <x v="1"/>
    <n v="0"/>
    <n v="20"/>
    <x v="2"/>
    <s v="Long Beach, CA"/>
    <n v="33.770099999999999"/>
    <n v="-118.19370000000001"/>
    <d v="2022-09-20T00:00:00"/>
    <n v="8"/>
    <x v="1"/>
    <d v="2025-05-27T00:00:00"/>
    <s v="30–39"/>
    <s v="30–39"/>
  </r>
  <r>
    <n v="46"/>
    <x v="0"/>
    <n v="4"/>
    <s v="Fri, Mon, Sat, Wed"/>
    <b v="1"/>
    <d v="1899-12-30T13:31:00"/>
    <d v="1899-12-30T15:47:00"/>
    <n v="136"/>
    <x v="1"/>
    <b v="1"/>
    <b v="0"/>
    <s v="Female"/>
    <x v="0"/>
    <x v="2"/>
    <n v="45"/>
    <x v="2"/>
    <n v="0.1"/>
    <n v="40.5"/>
    <x v="0"/>
    <s v="Oakland, CA"/>
    <n v="37.804400000000001"/>
    <n v="-122.27119999999999"/>
    <d v="2023-06-26T00:00:00"/>
    <n v="3"/>
    <x v="0"/>
    <d v="2025-06-12T00:00:00"/>
    <s v="40–49"/>
    <s v="40–49"/>
  </r>
  <r>
    <n v="39"/>
    <x v="1"/>
    <n v="2"/>
    <s v="Mon, Thu"/>
    <b v="0"/>
    <d v="1899-12-30T17:57:00"/>
    <d v="1899-12-30T19:45:00"/>
    <n v="108"/>
    <x v="1"/>
    <b v="1"/>
    <b v="1"/>
    <s v="Non-binary"/>
    <x v="1"/>
    <x v="0"/>
    <n v="30"/>
    <x v="1"/>
    <n v="0"/>
    <n v="30"/>
    <x v="1"/>
    <s v="Oakland, CA"/>
    <n v="37.804400000000001"/>
    <n v="-122.27119999999999"/>
    <d v="2024-01-10T00:00:00"/>
    <n v="3"/>
    <x v="0"/>
    <d v="2025-06-23T00:00:00"/>
    <s v="30–39"/>
    <s v="30–39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9-03T00:00:00"/>
    <n v="4"/>
    <x v="0"/>
    <d v="2025-06-15T00:00:00"/>
    <s v="20–29"/>
    <s v="20–29"/>
  </r>
  <r>
    <n v="27"/>
    <x v="0"/>
    <n v="3"/>
    <s v="Sat, Thu, Wed"/>
    <b v="0"/>
    <d v="1899-12-30T11:50:00"/>
    <d v="1899-12-30T12:54:00"/>
    <n v="64"/>
    <x v="0"/>
    <b v="0"/>
    <b v="0"/>
    <s v="Non-binary"/>
    <x v="0"/>
    <x v="1"/>
    <n v="37.5"/>
    <x v="0"/>
    <n v="0.05"/>
    <n v="35.625"/>
    <x v="0"/>
    <s v="Los Angeles, CA"/>
    <n v="34.052199999999999"/>
    <n v="-118.2437"/>
    <d v="2022-12-10T00:00:00"/>
    <n v="0"/>
    <x v="0"/>
    <d v="2025-05-31T00:00:00"/>
    <s v="20–29"/>
    <s v="20–29"/>
  </r>
  <r>
    <n v="33"/>
    <x v="1"/>
    <n v="1"/>
    <s v="Wed"/>
    <b v="1"/>
    <d v="1899-12-30T09:04:00"/>
    <d v="1899-12-30T09:47:00"/>
    <n v="43"/>
    <x v="1"/>
    <b v="0"/>
    <b v="0"/>
    <s v="Male"/>
    <x v="1"/>
    <x v="0"/>
    <n v="30"/>
    <x v="1"/>
    <n v="0"/>
    <n v="30"/>
    <x v="1"/>
    <s v="Long Beach, CA"/>
    <n v="33.770099999999999"/>
    <n v="-118.19370000000001"/>
    <d v="2023-10-24T00:00:00"/>
    <n v="0"/>
    <x v="1"/>
    <d v="2025-06-18T00:00:00"/>
    <s v="30–39"/>
    <s v="30–39"/>
  </r>
  <r>
    <n v="36"/>
    <x v="3"/>
    <n v="2"/>
    <s v="Mon, Sun"/>
    <b v="0"/>
    <d v="1899-12-30T15:38:00"/>
    <d v="1899-12-30T17:36:00"/>
    <n v="118"/>
    <x v="0"/>
    <b v="1"/>
    <b v="0"/>
    <s v="Female"/>
    <x v="3"/>
    <x v="0"/>
    <n v="70"/>
    <x v="0"/>
    <n v="0.05"/>
    <n v="66.5"/>
    <x v="3"/>
    <s v="Los Angeles, CA"/>
    <n v="34.052199999999999"/>
    <n v="-118.2437"/>
    <d v="2025-05-21T00:00:00"/>
    <n v="4"/>
    <x v="0"/>
    <d v="2025-07-21T00:00:00"/>
    <s v="30–39"/>
    <s v="30–39"/>
  </r>
  <r>
    <n v="36"/>
    <x v="0"/>
    <n v="3"/>
    <s v="Mon, Sat, Thu"/>
    <b v="0"/>
    <d v="1899-12-30T11:06:00"/>
    <d v="1899-12-30T11:44:00"/>
    <n v="38"/>
    <x v="1"/>
    <b v="1"/>
    <b v="0"/>
    <s v="Female"/>
    <x v="0"/>
    <x v="0"/>
    <n v="50"/>
    <x v="2"/>
    <n v="0.1"/>
    <n v="45"/>
    <x v="0"/>
    <s v="Anaheim, CA"/>
    <n v="33.836599999999997"/>
    <n v="-117.9143"/>
    <d v="2022-10-05T00:00:00"/>
    <n v="7"/>
    <x v="0"/>
    <d v="2025-05-28T00:00:00"/>
    <s v="30–39"/>
    <s v="30–39"/>
  </r>
  <r>
    <n v="19"/>
    <x v="2"/>
    <n v="2"/>
    <s v="Sat, Tue"/>
    <b v="0"/>
    <d v="1899-12-30T16:57:00"/>
    <d v="1899-12-30T18:54:00"/>
    <n v="117"/>
    <x v="1"/>
    <b v="1"/>
    <b v="0"/>
    <s v="Female"/>
    <x v="2"/>
    <x v="1"/>
    <n v="15"/>
    <x v="1"/>
    <n v="0"/>
    <n v="15"/>
    <x v="2"/>
    <s v="Sacramento, CA"/>
    <n v="38.581600000000002"/>
    <n v="-121.4944"/>
    <d v="2023-06-19T00:00:00"/>
    <n v="1"/>
    <x v="1"/>
    <d v="2025-06-11T00:00:00"/>
    <s v="10–19"/>
    <s v="16–19"/>
  </r>
  <r>
    <n v="16"/>
    <x v="2"/>
    <n v="3"/>
    <s v="Mon, Sat, Thu"/>
    <b v="0"/>
    <d v="1899-12-30T15:10:00"/>
    <d v="1899-12-30T16:06:00"/>
    <n v="56"/>
    <x v="0"/>
    <b v="1"/>
    <b v="0"/>
    <s v="Male"/>
    <x v="2"/>
    <x v="0"/>
    <n v="20"/>
    <x v="0"/>
    <n v="0.05"/>
    <n v="19"/>
    <x v="2"/>
    <s v="Oakland, CA"/>
    <n v="37.804400000000001"/>
    <n v="-122.27119999999999"/>
    <d v="2023-07-03T00:00:00"/>
    <n v="7"/>
    <x v="0"/>
    <d v="2025-06-12T00:00:00"/>
    <s v="10–19"/>
    <s v="16–19"/>
  </r>
  <r>
    <n v="46"/>
    <x v="1"/>
    <n v="3"/>
    <s v="Mon, Thu, Tue"/>
    <b v="1"/>
    <d v="1899-12-30T20:17:00"/>
    <d v="1899-12-30T21:11:00"/>
    <n v="54"/>
    <x v="0"/>
    <b v="0"/>
    <b v="1"/>
    <s v="Non-binary"/>
    <x v="1"/>
    <x v="0"/>
    <n v="30"/>
    <x v="2"/>
    <n v="0.1"/>
    <n v="27"/>
    <x v="1"/>
    <s v="Oakland, CA"/>
    <n v="37.804400000000001"/>
    <n v="-122.27119999999999"/>
    <d v="2024-11-05T00:00:00"/>
    <n v="0"/>
    <x v="1"/>
    <d v="2025-07-10T00:00:00"/>
    <s v="40–49"/>
    <s v="40–49"/>
  </r>
  <r>
    <n v="41"/>
    <x v="0"/>
    <n v="1"/>
    <s v="Fri"/>
    <b v="1"/>
    <d v="1899-12-30T09:46:00"/>
    <d v="1899-12-30T11:10:00"/>
    <n v="84"/>
    <x v="1"/>
    <b v="1"/>
    <b v="0"/>
    <s v="Female"/>
    <x v="0"/>
    <x v="2"/>
    <n v="45"/>
    <x v="1"/>
    <n v="0"/>
    <n v="45"/>
    <x v="0"/>
    <s v="Long Beach, CA"/>
    <n v="33.770099999999999"/>
    <n v="-118.19370000000001"/>
    <d v="2023-07-22T00:00:00"/>
    <n v="7"/>
    <x v="0"/>
    <d v="2025-06-13T00:00:00"/>
    <s v="40–49"/>
    <s v="40–49"/>
  </r>
  <r>
    <n v="23"/>
    <x v="3"/>
    <n v="3"/>
    <s v="Mon, Sat, Sun"/>
    <b v="0"/>
    <d v="1899-12-30T13:42:00"/>
    <d v="1899-12-30T14:33:00"/>
    <n v="51"/>
    <x v="0"/>
    <b v="0"/>
    <b v="1"/>
    <s v="Male"/>
    <x v="3"/>
    <x v="0"/>
    <n v="70"/>
    <x v="0"/>
    <n v="0.05"/>
    <n v="66.5"/>
    <x v="3"/>
    <s v="Long Beach, CA"/>
    <n v="33.770099999999999"/>
    <n v="-118.19370000000001"/>
    <d v="2024-04-29T00:00:00"/>
    <n v="0"/>
    <x v="0"/>
    <d v="2025-06-29T00:00:00"/>
    <s v="20–29"/>
    <s v="20–29"/>
  </r>
  <r>
    <n v="16"/>
    <x v="0"/>
    <n v="1"/>
    <s v="Wed"/>
    <b v="0"/>
    <d v="1899-12-30T08:41:00"/>
    <d v="1899-12-30T11:33:00"/>
    <n v="172"/>
    <x v="0"/>
    <b v="0"/>
    <b v="1"/>
    <s v="Female"/>
    <x v="0"/>
    <x v="1"/>
    <n v="37.5"/>
    <x v="0"/>
    <n v="0.05"/>
    <n v="35.625"/>
    <x v="0"/>
    <s v="San Francisco, CA"/>
    <n v="37.774900000000002"/>
    <n v="-122.4194"/>
    <d v="2023-07-30T00:00:00"/>
    <n v="0"/>
    <x v="0"/>
    <d v="2025-06-13T00:00:00"/>
    <s v="10–19"/>
    <s v="16–19"/>
  </r>
  <r>
    <n v="41"/>
    <x v="2"/>
    <n v="4"/>
    <s v="Fri, Mon, Thu, Wed"/>
    <b v="0"/>
    <d v="1899-12-30T17:08:00"/>
    <d v="1899-12-30T18:16:00"/>
    <n v="68"/>
    <x v="1"/>
    <b v="1"/>
    <b v="0"/>
    <s v="Female"/>
    <x v="2"/>
    <x v="2"/>
    <n v="18"/>
    <x v="1"/>
    <n v="0"/>
    <n v="18"/>
    <x v="2"/>
    <s v="Long Beach, CA"/>
    <n v="33.770099999999999"/>
    <n v="-118.19370000000001"/>
    <d v="2025-03-01T00:00:00"/>
    <n v="8"/>
    <x v="1"/>
    <d v="2025-07-16T00:00:00"/>
    <s v="40–49"/>
    <s v="40–49"/>
  </r>
  <r>
    <n v="46"/>
    <x v="3"/>
    <n v="2"/>
    <s v="Fri, Tue"/>
    <b v="0"/>
    <d v="1899-12-30T11:27:00"/>
    <d v="1899-12-30T13:39:00"/>
    <n v="132"/>
    <x v="1"/>
    <b v="1"/>
    <b v="0"/>
    <s v="Non-binary"/>
    <x v="3"/>
    <x v="0"/>
    <n v="70"/>
    <x v="1"/>
    <n v="0"/>
    <n v="70"/>
    <x v="3"/>
    <s v="San Francisco, CA"/>
    <n v="37.774900000000002"/>
    <n v="-122.4194"/>
    <d v="2023-07-23T00:00:00"/>
    <n v="3"/>
    <x v="1"/>
    <d v="2025-06-13T00:00:00"/>
    <s v="40–49"/>
    <s v="40–49"/>
  </r>
  <r>
    <n v="37"/>
    <x v="0"/>
    <n v="1"/>
    <s v="Sat"/>
    <b v="1"/>
    <d v="1899-12-30T13:10:00"/>
    <d v="1899-12-30T16:02:00"/>
    <n v="172"/>
    <x v="0"/>
    <b v="0"/>
    <b v="1"/>
    <s v="Male"/>
    <x v="0"/>
    <x v="0"/>
    <n v="50"/>
    <x v="0"/>
    <n v="0.05"/>
    <n v="47.5"/>
    <x v="0"/>
    <s v="Fresno, CA"/>
    <n v="36.7378"/>
    <n v="-119.7871"/>
    <d v="2022-07-24T00:00:00"/>
    <n v="0"/>
    <x v="1"/>
    <d v="2025-05-24T00:00:00"/>
    <s v="30–39"/>
    <s v="30–39"/>
  </r>
  <r>
    <n v="41"/>
    <x v="0"/>
    <n v="1"/>
    <s v="Wed"/>
    <b v="1"/>
    <d v="1899-12-30T19:23:00"/>
    <d v="1899-12-30T20:27:00"/>
    <n v="64"/>
    <x v="0"/>
    <b v="0"/>
    <b v="0"/>
    <s v="Non-binary"/>
    <x v="0"/>
    <x v="0"/>
    <n v="50"/>
    <x v="1"/>
    <n v="0"/>
    <n v="50"/>
    <x v="0"/>
    <s v="Fresno, CA"/>
    <n v="36.7378"/>
    <n v="-119.7871"/>
    <d v="2025-05-02T00:00:00"/>
    <n v="0"/>
    <x v="0"/>
    <d v="2025-07-20T00:00:00"/>
    <s v="40–49"/>
    <s v="40–49"/>
  </r>
  <r>
    <n v="20"/>
    <x v="2"/>
    <n v="4"/>
    <s v="Fri, Thu, Tue, Wed"/>
    <b v="0"/>
    <d v="1899-12-30T11:51:00"/>
    <d v="1899-12-30T14:21:00"/>
    <n v="150"/>
    <x v="1"/>
    <b v="1"/>
    <b v="0"/>
    <s v="Female"/>
    <x v="2"/>
    <x v="0"/>
    <n v="20"/>
    <x v="0"/>
    <n v="0.05"/>
    <n v="19"/>
    <x v="2"/>
    <s v="Bakersfield, CA"/>
    <n v="35.3733"/>
    <n v="-119.0187"/>
    <d v="2022-08-17T00:00:00"/>
    <n v="8"/>
    <x v="0"/>
    <d v="2025-05-25T00:00:00"/>
    <s v="20–29"/>
    <s v="20–29"/>
  </r>
  <r>
    <n v="30"/>
    <x v="0"/>
    <n v="3"/>
    <s v="Sat, Thu, Wed"/>
    <b v="0"/>
    <d v="1899-12-30T10:16:00"/>
    <d v="1899-12-30T11:47:00"/>
    <n v="91"/>
    <x v="1"/>
    <b v="0"/>
    <b v="1"/>
    <s v="Female"/>
    <x v="0"/>
    <x v="0"/>
    <n v="50"/>
    <x v="2"/>
    <n v="0.1"/>
    <n v="45"/>
    <x v="0"/>
    <s v="San Francisco, CA"/>
    <n v="37.774900000000002"/>
    <n v="-122.4194"/>
    <d v="2024-04-15T00:00:00"/>
    <n v="0"/>
    <x v="1"/>
    <d v="2025-06-28T00:00:00"/>
    <s v="30–39"/>
    <s v="30–39"/>
  </r>
  <r>
    <n v="40"/>
    <x v="0"/>
    <n v="4"/>
    <s v="Mon, Sat, Sun, Wed"/>
    <b v="1"/>
    <d v="1899-12-30T09:55:00"/>
    <d v="1899-12-30T10:43:00"/>
    <n v="48"/>
    <x v="0"/>
    <b v="0"/>
    <b v="1"/>
    <s v="Non-binary"/>
    <x v="0"/>
    <x v="0"/>
    <n v="50"/>
    <x v="1"/>
    <n v="0"/>
    <n v="50"/>
    <x v="0"/>
    <s v="Fresno, CA"/>
    <n v="36.7378"/>
    <n v="-119.7871"/>
    <d v="2022-12-08T00:00:00"/>
    <n v="0"/>
    <x v="1"/>
    <d v="2025-05-31T00:00:00"/>
    <s v="40–49"/>
    <s v="40–49"/>
  </r>
  <r>
    <n v="38"/>
    <x v="3"/>
    <n v="3"/>
    <s v="Thu, Tue, Wed"/>
    <b v="1"/>
    <d v="1899-12-30T16:41:00"/>
    <d v="1899-12-30T17:48:00"/>
    <n v="67"/>
    <x v="1"/>
    <b v="0"/>
    <b v="1"/>
    <s v="Male"/>
    <x v="3"/>
    <x v="0"/>
    <n v="70"/>
    <x v="1"/>
    <n v="0"/>
    <n v="70"/>
    <x v="3"/>
    <s v="San Jose, CA"/>
    <n v="37.338200000000001"/>
    <n v="-121.88630000000001"/>
    <d v="2023-03-12T00:00:00"/>
    <n v="0"/>
    <x v="0"/>
    <d v="2025-06-06T00:00:00"/>
    <s v="30–39"/>
    <s v="30–39"/>
  </r>
  <r>
    <n v="47"/>
    <x v="2"/>
    <n v="5"/>
    <s v="Sat, Sun, Thu, Tue, Wed"/>
    <b v="0"/>
    <d v="1899-12-30T11:26:00"/>
    <d v="1899-12-30T12:55:00"/>
    <n v="89"/>
    <x v="0"/>
    <b v="0"/>
    <b v="1"/>
    <s v="Non-binary"/>
    <x v="2"/>
    <x v="0"/>
    <n v="20"/>
    <x v="3"/>
    <n v="0.15"/>
    <n v="17"/>
    <x v="2"/>
    <s v="San Jose, CA"/>
    <n v="37.338200000000001"/>
    <n v="-121.88630000000001"/>
    <d v="2023-10-28T00:00:00"/>
    <n v="0"/>
    <x v="1"/>
    <d v="2025-06-18T00:00:00"/>
    <s v="40–49"/>
    <s v="40–49"/>
  </r>
  <r>
    <n v="15"/>
    <x v="1"/>
    <n v="3"/>
    <s v="Fri, Sun, Thu"/>
    <b v="0"/>
    <d v="1899-12-30T14:33:00"/>
    <d v="1899-12-30T16:48:00"/>
    <n v="135"/>
    <x v="0"/>
    <b v="0"/>
    <b v="1"/>
    <s v="Male"/>
    <x v="1"/>
    <x v="0"/>
    <n v="30"/>
    <x v="2"/>
    <n v="0.1"/>
    <n v="27"/>
    <x v="1"/>
    <s v="San Jose, CA"/>
    <n v="37.338200000000001"/>
    <n v="-121.88630000000001"/>
    <d v="2023-04-28T00:00:00"/>
    <n v="0"/>
    <x v="1"/>
    <d v="2025-06-08T00:00:00"/>
    <s v="10–19"/>
    <s v="Under 16"/>
  </r>
  <r>
    <n v="26"/>
    <x v="0"/>
    <n v="4"/>
    <s v="Mon, Thu, Tue, Wed"/>
    <b v="0"/>
    <d v="1899-12-30T08:44:00"/>
    <d v="1899-12-30T11:11:00"/>
    <n v="147"/>
    <x v="1"/>
    <b v="0"/>
    <b v="0"/>
    <s v="Female"/>
    <x v="0"/>
    <x v="0"/>
    <n v="50"/>
    <x v="1"/>
    <n v="0"/>
    <n v="50"/>
    <x v="0"/>
    <s v="San Jose, CA"/>
    <n v="37.338200000000001"/>
    <n v="-121.88630000000001"/>
    <d v="2022-11-30T00:00:00"/>
    <n v="0"/>
    <x v="1"/>
    <d v="2025-05-31T00:00:00"/>
    <s v="20–29"/>
    <s v="20–29"/>
  </r>
  <r>
    <n v="18"/>
    <x v="1"/>
    <n v="4"/>
    <s v="Mon, Sun, Thu, Tue"/>
    <b v="1"/>
    <d v="1899-12-30T19:42:00"/>
    <d v="1899-12-30T20:57:00"/>
    <n v="75"/>
    <x v="0"/>
    <b v="0"/>
    <b v="0"/>
    <s v="Non-binary"/>
    <x v="1"/>
    <x v="0"/>
    <n v="30"/>
    <x v="1"/>
    <n v="0"/>
    <n v="30"/>
    <x v="1"/>
    <s v="San Francisco, CA"/>
    <n v="37.774900000000002"/>
    <n v="-122.4194"/>
    <d v="2024-04-18T00:00:00"/>
    <n v="0"/>
    <x v="0"/>
    <d v="2025-06-28T00:00:00"/>
    <s v="10–19"/>
    <s v="16–19"/>
  </r>
  <r>
    <n v="30"/>
    <x v="0"/>
    <n v="3"/>
    <s v="Fri, Sat, Thu"/>
    <b v="1"/>
    <d v="1899-12-30T14:44:00"/>
    <d v="1899-12-30T16:00:00"/>
    <n v="76"/>
    <x v="1"/>
    <b v="1"/>
    <b v="1"/>
    <s v="Prefer not to say"/>
    <x v="0"/>
    <x v="0"/>
    <n v="50"/>
    <x v="2"/>
    <n v="0.1"/>
    <n v="45"/>
    <x v="0"/>
    <s v="Los Angeles, CA"/>
    <n v="34.052199999999999"/>
    <n v="-118.2437"/>
    <d v="2024-07-09T00:00:00"/>
    <n v="8"/>
    <x v="0"/>
    <d v="2025-07-03T00:00:00"/>
    <s v="30–39"/>
    <s v="30–39"/>
  </r>
  <r>
    <n v="24"/>
    <x v="0"/>
    <n v="5"/>
    <s v="Fri, Mon, Sat, Sun, Wed"/>
    <b v="0"/>
    <d v="1899-12-30T20:53:00"/>
    <d v="1899-12-30T23:33:00"/>
    <n v="160"/>
    <x v="1"/>
    <b v="0"/>
    <b v="0"/>
    <s v="Male"/>
    <x v="0"/>
    <x v="0"/>
    <n v="50"/>
    <x v="2"/>
    <n v="0.1"/>
    <n v="45"/>
    <x v="0"/>
    <s v="Bakersfield, CA"/>
    <n v="35.3733"/>
    <n v="-119.0187"/>
    <d v="2023-07-13T00:00:00"/>
    <n v="0"/>
    <x v="0"/>
    <d v="2025-06-12T00:00:00"/>
    <s v="20–29"/>
    <s v="20–29"/>
  </r>
  <r>
    <n v="15"/>
    <x v="0"/>
    <n v="2"/>
    <s v="Mon, Sun"/>
    <b v="1"/>
    <d v="1899-12-30T20:07:00"/>
    <d v="1899-12-30T21:39:00"/>
    <n v="92"/>
    <x v="1"/>
    <b v="0"/>
    <b v="0"/>
    <s v="Female"/>
    <x v="0"/>
    <x v="0"/>
    <n v="50"/>
    <x v="0"/>
    <n v="0.05"/>
    <n v="47.5"/>
    <x v="0"/>
    <s v="Oakland, CA"/>
    <n v="37.804400000000001"/>
    <n v="-122.27119999999999"/>
    <d v="2023-02-13T00:00:00"/>
    <n v="0"/>
    <x v="0"/>
    <d v="2025-06-04T00:00:00"/>
    <s v="10–19"/>
    <s v="Under 16"/>
  </r>
  <r>
    <n v="17"/>
    <x v="1"/>
    <n v="2"/>
    <s v="Mon, Tue"/>
    <b v="0"/>
    <d v="1899-12-30T15:54:00"/>
    <d v="1899-12-30T16:46:00"/>
    <n v="52"/>
    <x v="0"/>
    <b v="1"/>
    <b v="0"/>
    <s v="Non-binary"/>
    <x v="1"/>
    <x v="0"/>
    <n v="30"/>
    <x v="0"/>
    <n v="0.05"/>
    <n v="28.5"/>
    <x v="1"/>
    <s v="Los Angeles, CA"/>
    <n v="34.052199999999999"/>
    <n v="-118.2437"/>
    <d v="2023-04-03T00:00:00"/>
    <n v="2"/>
    <x v="1"/>
    <d v="2025-06-07T00:00:00"/>
    <s v="10–19"/>
    <s v="16–19"/>
  </r>
  <r>
    <n v="27"/>
    <x v="1"/>
    <n v="2"/>
    <s v="Fri, Thu"/>
    <b v="1"/>
    <d v="1899-12-30T16:29:00"/>
    <d v="1899-12-30T19:08:00"/>
    <n v="159"/>
    <x v="1"/>
    <b v="0"/>
    <b v="1"/>
    <s v="Male"/>
    <x v="1"/>
    <x v="0"/>
    <n v="30"/>
    <x v="1"/>
    <n v="0"/>
    <n v="30"/>
    <x v="1"/>
    <s v="Los Angeles, CA"/>
    <n v="34.052199999999999"/>
    <n v="-118.2437"/>
    <d v="2023-02-24T00:00:00"/>
    <n v="0"/>
    <x v="1"/>
    <d v="2025-06-05T00:00:00"/>
    <s v="20–29"/>
    <s v="20–29"/>
  </r>
  <r>
    <n v="18"/>
    <x v="0"/>
    <n v="2"/>
    <s v="Fri, Thu"/>
    <b v="1"/>
    <d v="1899-12-30T08:05:00"/>
    <d v="1899-12-30T09:23:00"/>
    <n v="78"/>
    <x v="1"/>
    <b v="0"/>
    <b v="0"/>
    <s v="Male"/>
    <x v="0"/>
    <x v="0"/>
    <n v="50"/>
    <x v="2"/>
    <n v="0.1"/>
    <n v="45"/>
    <x v="0"/>
    <s v="Bakersfield, CA"/>
    <n v="35.3733"/>
    <n v="-119.0187"/>
    <d v="2024-03-16T00:00:00"/>
    <n v="0"/>
    <x v="0"/>
    <d v="2025-06-26T00:00:00"/>
    <s v="10–19"/>
    <s v="16–19"/>
  </r>
  <r>
    <n v="40"/>
    <x v="0"/>
    <n v="4"/>
    <s v="Sat, Sun, Thu, Tue"/>
    <b v="1"/>
    <d v="1899-12-30T19:35:00"/>
    <d v="1899-12-30T21:08:00"/>
    <n v="93"/>
    <x v="0"/>
    <b v="0"/>
    <b v="0"/>
    <s v="Prefer not to say"/>
    <x v="0"/>
    <x v="1"/>
    <n v="37.5"/>
    <x v="2"/>
    <n v="0.1"/>
    <n v="33.75"/>
    <x v="0"/>
    <s v="Fresno, CA"/>
    <n v="36.7378"/>
    <n v="-119.7871"/>
    <d v="2023-02-03T00:00:00"/>
    <n v="0"/>
    <x v="0"/>
    <d v="2025-06-03T00:00:00"/>
    <s v="40–49"/>
    <s v="40–49"/>
  </r>
  <r>
    <n v="46"/>
    <x v="0"/>
    <n v="5"/>
    <s v="Mon, Sat, Thu, Tue, Wed"/>
    <b v="0"/>
    <d v="1899-12-30T20:46:00"/>
    <d v="1899-12-30T22:09:00"/>
    <n v="83"/>
    <x v="1"/>
    <b v="1"/>
    <b v="1"/>
    <s v="Female"/>
    <x v="0"/>
    <x v="1"/>
    <n v="37.5"/>
    <x v="3"/>
    <n v="0.15"/>
    <n v="31.875"/>
    <x v="0"/>
    <s v="Bakersfield, CA"/>
    <n v="35.3733"/>
    <n v="-119.0187"/>
    <d v="2025-02-14T00:00:00"/>
    <n v="3"/>
    <x v="0"/>
    <d v="2025-07-15T00:00:00"/>
    <s v="40–49"/>
    <s v="40–49"/>
  </r>
  <r>
    <n v="30"/>
    <x v="2"/>
    <n v="2"/>
    <s v="Sat, Wed"/>
    <b v="0"/>
    <d v="1899-12-30T08:38:00"/>
    <d v="1899-12-30T10:58:00"/>
    <n v="140"/>
    <x v="1"/>
    <b v="1"/>
    <b v="0"/>
    <s v="Prefer not to say"/>
    <x v="2"/>
    <x v="1"/>
    <n v="15"/>
    <x v="1"/>
    <n v="0"/>
    <n v="15"/>
    <x v="2"/>
    <s v="Sacramento, CA"/>
    <n v="38.581600000000002"/>
    <n v="-121.4944"/>
    <d v="2023-11-21T00:00:00"/>
    <n v="1"/>
    <x v="0"/>
    <d v="2025-06-20T00:00:00"/>
    <s v="30–39"/>
    <s v="30–39"/>
  </r>
  <r>
    <n v="29"/>
    <x v="0"/>
    <n v="2"/>
    <s v="Fri, Sun"/>
    <b v="0"/>
    <d v="1899-12-30T11:02:00"/>
    <d v="1899-12-30T12:22:00"/>
    <n v="80"/>
    <x v="1"/>
    <b v="1"/>
    <b v="1"/>
    <s v="Male"/>
    <x v="0"/>
    <x v="0"/>
    <n v="50"/>
    <x v="1"/>
    <n v="0"/>
    <n v="50"/>
    <x v="0"/>
    <s v="Los Angeles, CA"/>
    <n v="34.052199999999999"/>
    <n v="-118.2437"/>
    <d v="2025-06-16T00:00:00"/>
    <n v="6"/>
    <x v="0"/>
    <d v="2025-07-22T00:00:00"/>
    <s v="20–29"/>
    <s v="20–29"/>
  </r>
  <r>
    <n v="45"/>
    <x v="1"/>
    <n v="1"/>
    <s v="Mon"/>
    <b v="1"/>
    <d v="1899-12-30T18:07:00"/>
    <d v="1899-12-30T19:42:00"/>
    <n v="95"/>
    <x v="0"/>
    <b v="0"/>
    <b v="0"/>
    <s v="Female"/>
    <x v="1"/>
    <x v="0"/>
    <n v="30"/>
    <x v="2"/>
    <n v="0.1"/>
    <n v="27"/>
    <x v="1"/>
    <s v="Oakland, CA"/>
    <n v="37.804400000000001"/>
    <n v="-122.27119999999999"/>
    <d v="2024-07-12T00:00:00"/>
    <n v="0"/>
    <x v="1"/>
    <d v="2025-07-03T00:00:00"/>
    <s v="40–49"/>
    <s v="40–49"/>
  </r>
  <r>
    <n v="27"/>
    <x v="3"/>
    <n v="5"/>
    <s v="Fri, Mon, Sat, Thu, Tue"/>
    <b v="0"/>
    <d v="1899-12-30T09:57:00"/>
    <d v="1899-12-30T12:22:00"/>
    <n v="145"/>
    <x v="0"/>
    <b v="0"/>
    <b v="0"/>
    <s v="Non-binary"/>
    <x v="3"/>
    <x v="1"/>
    <n v="52.5"/>
    <x v="2"/>
    <n v="0.1"/>
    <n v="47.25"/>
    <x v="3"/>
    <s v="Los Angeles, CA"/>
    <n v="34.052199999999999"/>
    <n v="-118.2437"/>
    <d v="2024-05-28T00:00:00"/>
    <n v="0"/>
    <x v="0"/>
    <d v="2025-07-01T00:00:00"/>
    <s v="20–29"/>
    <s v="20–29"/>
  </r>
  <r>
    <n v="30"/>
    <x v="0"/>
    <n v="1"/>
    <s v="Fri"/>
    <b v="0"/>
    <d v="1899-12-30T16:34:00"/>
    <d v="1899-12-30T19:02:00"/>
    <n v="148"/>
    <x v="0"/>
    <b v="0"/>
    <b v="1"/>
    <s v="Female"/>
    <x v="0"/>
    <x v="0"/>
    <n v="50"/>
    <x v="1"/>
    <n v="0"/>
    <n v="50"/>
    <x v="0"/>
    <s v="Bakersfield, CA"/>
    <n v="35.3733"/>
    <n v="-119.0187"/>
    <d v="2024-04-27T00:00:00"/>
    <n v="0"/>
    <x v="0"/>
    <d v="2025-06-29T00:00:00"/>
    <s v="30–39"/>
    <s v="30–39"/>
  </r>
  <r>
    <n v="43"/>
    <x v="0"/>
    <n v="1"/>
    <s v="Mon"/>
    <b v="0"/>
    <d v="1899-12-30T15:04:00"/>
    <d v="1899-12-30T17:05:00"/>
    <n v="121"/>
    <x v="0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3-06-13T00:00:00"/>
    <n v="4"/>
    <x v="0"/>
    <d v="2025-06-11T00:00:00"/>
    <s v="40–49"/>
    <s v="40–49"/>
  </r>
  <r>
    <n v="15"/>
    <x v="0"/>
    <n v="2"/>
    <s v="Mon, Sun"/>
    <b v="1"/>
    <d v="1899-12-30T20:07:00"/>
    <d v="1899-12-30T21:39:00"/>
    <n v="92"/>
    <x v="1"/>
    <b v="0"/>
    <b v="0"/>
    <s v="Female"/>
    <x v="0"/>
    <x v="0"/>
    <n v="50"/>
    <x v="0"/>
    <n v="0.05"/>
    <n v="47.5"/>
    <x v="0"/>
    <s v="Oakland, CA"/>
    <n v="37.804400000000001"/>
    <n v="-122.27119999999999"/>
    <d v="2024-05-05T00:00:00"/>
    <n v="0"/>
    <x v="0"/>
    <d v="2025-06-29T00:00:00"/>
    <s v="10–19"/>
    <s v="Under 16"/>
  </r>
  <r>
    <n v="49"/>
    <x v="3"/>
    <n v="3"/>
    <s v="Fri, Sun, Wed"/>
    <b v="0"/>
    <d v="1899-12-30T17:42:00"/>
    <d v="1899-12-30T19:00:00"/>
    <n v="78"/>
    <x v="1"/>
    <b v="1"/>
    <b v="1"/>
    <s v="Female"/>
    <x v="3"/>
    <x v="2"/>
    <n v="63"/>
    <x v="2"/>
    <n v="0.1"/>
    <n v="56.7"/>
    <x v="3"/>
    <s v="Los Angeles, CA"/>
    <n v="34.052199999999999"/>
    <n v="-118.2437"/>
    <d v="2024-03-02T00:00:00"/>
    <n v="4"/>
    <x v="0"/>
    <d v="2025-06-26T00:00:00"/>
    <s v="40–49"/>
    <s v="40–49"/>
  </r>
  <r>
    <n v="29"/>
    <x v="2"/>
    <n v="4"/>
    <s v="Mon, Sat, Tue, Wed"/>
    <b v="1"/>
    <d v="1899-12-30T09:11:00"/>
    <d v="1899-12-30T10:48:00"/>
    <n v="97"/>
    <x v="0"/>
    <b v="0"/>
    <b v="1"/>
    <s v="Female"/>
    <x v="2"/>
    <x v="2"/>
    <n v="18"/>
    <x v="1"/>
    <n v="0"/>
    <n v="18"/>
    <x v="2"/>
    <s v="Fresno, CA"/>
    <n v="36.7378"/>
    <n v="-119.7871"/>
    <d v="2024-10-13T00:00:00"/>
    <n v="0"/>
    <x v="1"/>
    <d v="2025-07-08T00:00:00"/>
    <s v="20–29"/>
    <s v="20–29"/>
  </r>
  <r>
    <n v="21"/>
    <x v="1"/>
    <n v="3"/>
    <s v="Mon, Sat, Wed"/>
    <b v="0"/>
    <d v="1899-12-30T08:34:00"/>
    <d v="1899-12-30T10:00:00"/>
    <n v="86"/>
    <x v="0"/>
    <b v="0"/>
    <b v="1"/>
    <s v="Male"/>
    <x v="1"/>
    <x v="0"/>
    <n v="30"/>
    <x v="2"/>
    <n v="0.1"/>
    <n v="27"/>
    <x v="1"/>
    <s v="Bakersfield, CA"/>
    <n v="35.3733"/>
    <n v="-119.0187"/>
    <d v="2024-05-21T00:00:00"/>
    <n v="0"/>
    <x v="1"/>
    <d v="2025-06-30T00:00:00"/>
    <s v="20–29"/>
    <s v="20–29"/>
  </r>
  <r>
    <n v="18"/>
    <x v="3"/>
    <n v="3"/>
    <s v="Fri, Thu, Wed"/>
    <b v="1"/>
    <d v="1899-12-30T18:43:00"/>
    <d v="1899-12-30T21:06:00"/>
    <n v="143"/>
    <x v="1"/>
    <b v="0"/>
    <b v="1"/>
    <s v="Female"/>
    <x v="3"/>
    <x v="0"/>
    <n v="70"/>
    <x v="2"/>
    <n v="0.1"/>
    <n v="63"/>
    <x v="3"/>
    <s v="Long Beach, CA"/>
    <n v="33.770099999999999"/>
    <n v="-118.19370000000001"/>
    <d v="2024-10-23T00:00:00"/>
    <n v="0"/>
    <x v="0"/>
    <d v="2025-07-09T00:00:00"/>
    <s v="10–19"/>
    <s v="16–19"/>
  </r>
  <r>
    <n v="40"/>
    <x v="0"/>
    <n v="4"/>
    <s v="Sat, Sun, Thu, Tue"/>
    <b v="1"/>
    <d v="1899-12-30T19:35:00"/>
    <d v="1899-12-30T21:08:00"/>
    <n v="93"/>
    <x v="0"/>
    <b v="0"/>
    <b v="0"/>
    <s v="Prefer not to say"/>
    <x v="0"/>
    <x v="1"/>
    <n v="37.5"/>
    <x v="2"/>
    <n v="0.1"/>
    <n v="33.75"/>
    <x v="0"/>
    <s v="Fresno, CA"/>
    <n v="36.7378"/>
    <n v="-119.7871"/>
    <d v="2025-04-06T00:00:00"/>
    <n v="0"/>
    <x v="0"/>
    <d v="2025-07-18T00:00:00"/>
    <s v="40–49"/>
    <s v="40–49"/>
  </r>
  <r>
    <n v="23"/>
    <x v="1"/>
    <n v="1"/>
    <s v="Wed"/>
    <b v="1"/>
    <d v="1899-12-30T19:00:00"/>
    <d v="1899-12-30T19:49:00"/>
    <n v="49"/>
    <x v="1"/>
    <b v="0"/>
    <b v="1"/>
    <s v="Female"/>
    <x v="1"/>
    <x v="0"/>
    <n v="30"/>
    <x v="0"/>
    <n v="0.05"/>
    <n v="28.5"/>
    <x v="1"/>
    <s v="Bakersfield, CA"/>
    <n v="35.3733"/>
    <n v="-119.0187"/>
    <d v="2023-09-19T00:00:00"/>
    <n v="0"/>
    <x v="1"/>
    <d v="2025-06-16T00:00:00"/>
    <s v="20–29"/>
    <s v="20–29"/>
  </r>
  <r>
    <n v="33"/>
    <x v="2"/>
    <n v="3"/>
    <s v="Fri, Sat, Tue"/>
    <b v="1"/>
    <d v="1899-12-30T10:24:00"/>
    <d v="1899-12-30T12:48:00"/>
    <n v="144"/>
    <x v="0"/>
    <b v="1"/>
    <b v="0"/>
    <s v="Female"/>
    <x v="2"/>
    <x v="1"/>
    <n v="15"/>
    <x v="1"/>
    <n v="0"/>
    <n v="15"/>
    <x v="2"/>
    <s v="Long Beach, CA"/>
    <n v="33.770099999999999"/>
    <n v="-118.19370000000001"/>
    <d v="2023-07-12T00:00:00"/>
    <n v="1"/>
    <x v="1"/>
    <d v="2025-06-12T00:00:00"/>
    <s v="30–39"/>
    <s v="30–39"/>
  </r>
  <r>
    <n v="35"/>
    <x v="0"/>
    <n v="1"/>
    <s v="Sun"/>
    <b v="0"/>
    <d v="1899-12-30T09:38:00"/>
    <d v="1899-12-30T10:36:00"/>
    <n v="58"/>
    <x v="0"/>
    <b v="0"/>
    <b v="0"/>
    <s v="Female"/>
    <x v="0"/>
    <x v="0"/>
    <n v="50"/>
    <x v="0"/>
    <n v="0.05"/>
    <n v="47.5"/>
    <x v="0"/>
    <s v="Fresno, CA"/>
    <n v="36.7378"/>
    <n v="-119.7871"/>
    <d v="2023-09-02T00:00:00"/>
    <n v="0"/>
    <x v="0"/>
    <d v="2025-06-15T00:00:00"/>
    <s v="30–39"/>
    <s v="30–39"/>
  </r>
  <r>
    <n v="29"/>
    <x v="1"/>
    <n v="3"/>
    <s v="Mon, Sat, Thu"/>
    <b v="1"/>
    <d v="1899-12-30T20:43:00"/>
    <d v="1899-12-30T21:23:00"/>
    <n v="40"/>
    <x v="1"/>
    <b v="0"/>
    <b v="0"/>
    <s v="Other (self-described)"/>
    <x v="1"/>
    <x v="2"/>
    <n v="27"/>
    <x v="1"/>
    <n v="0"/>
    <n v="27"/>
    <x v="1"/>
    <s v="San Francisco, CA"/>
    <n v="37.774900000000002"/>
    <n v="-122.4194"/>
    <d v="2024-02-15T00:00:00"/>
    <n v="0"/>
    <x v="1"/>
    <d v="2025-06-25T00:00:00"/>
    <s v="20–29"/>
    <s v="20–29"/>
  </r>
  <r>
    <n v="48"/>
    <x v="0"/>
    <n v="3"/>
    <s v="Fri, Sat, Sun"/>
    <b v="1"/>
    <d v="1899-12-30T16:01:00"/>
    <d v="1899-12-30T18:16:00"/>
    <n v="135"/>
    <x v="0"/>
    <b v="1"/>
    <b v="1"/>
    <s v="Female"/>
    <x v="0"/>
    <x v="0"/>
    <n v="50"/>
    <x v="1"/>
    <n v="0"/>
    <n v="50"/>
    <x v="0"/>
    <s v="San Jose, CA"/>
    <n v="37.338200000000001"/>
    <n v="-121.88630000000001"/>
    <d v="2024-05-14T00:00:00"/>
    <n v="8"/>
    <x v="0"/>
    <d v="2025-06-30T00:00:00"/>
    <s v="40–49"/>
    <s v="40–49"/>
  </r>
  <r>
    <n v="32"/>
    <x v="0"/>
    <n v="1"/>
    <s v="Sat"/>
    <b v="0"/>
    <d v="1899-12-30T17:58:00"/>
    <d v="1899-12-30T19:58:00"/>
    <n v="120"/>
    <x v="1"/>
    <b v="0"/>
    <b v="1"/>
    <s v="Prefer not to say"/>
    <x v="0"/>
    <x v="1"/>
    <n v="37.5"/>
    <x v="1"/>
    <n v="0"/>
    <n v="37.5"/>
    <x v="0"/>
    <s v="Oakland, CA"/>
    <n v="37.804400000000001"/>
    <n v="-122.27119999999999"/>
    <d v="2022-12-16T00:00:00"/>
    <n v="0"/>
    <x v="1"/>
    <d v="2025-06-01T00:00:00"/>
    <s v="30–39"/>
    <s v="30–39"/>
  </r>
  <r>
    <n v="13"/>
    <x v="0"/>
    <n v="5"/>
    <s v="Fri, Sun, Thu, Tue, Wed"/>
    <b v="0"/>
    <d v="1899-12-30T09:47:00"/>
    <d v="1899-12-30T12:16:00"/>
    <n v="149"/>
    <x v="0"/>
    <b v="1"/>
    <b v="0"/>
    <s v="Non-binary"/>
    <x v="0"/>
    <x v="0"/>
    <n v="50"/>
    <x v="1"/>
    <n v="0"/>
    <n v="50"/>
    <x v="0"/>
    <s v="Anaheim, CA"/>
    <n v="33.836599999999997"/>
    <n v="-117.9143"/>
    <d v="2023-12-18T00:00:00"/>
    <n v="7"/>
    <x v="1"/>
    <d v="2025-06-21T00:00:00"/>
    <s v="10–19"/>
    <s v="Under 16"/>
  </r>
  <r>
    <n v="49"/>
    <x v="0"/>
    <n v="1"/>
    <s v="Tue"/>
    <b v="1"/>
    <d v="1899-12-30T20:23:00"/>
    <d v="1899-12-30T21:08:00"/>
    <n v="45"/>
    <x v="1"/>
    <b v="0"/>
    <b v="1"/>
    <s v="Male"/>
    <x v="0"/>
    <x v="0"/>
    <n v="50"/>
    <x v="3"/>
    <n v="0.15"/>
    <n v="42.5"/>
    <x v="0"/>
    <s v="San Jose, CA"/>
    <n v="37.338200000000001"/>
    <n v="-121.88630000000001"/>
    <d v="2024-01-29T00:00:00"/>
    <n v="0"/>
    <x v="0"/>
    <d v="2025-06-24T00:00:00"/>
    <s v="40–49"/>
    <s v="40–49"/>
  </r>
  <r>
    <n v="28"/>
    <x v="1"/>
    <n v="1"/>
    <s v="Tue"/>
    <b v="1"/>
    <d v="1899-12-30T13:08:00"/>
    <d v="1899-12-30T14:35:00"/>
    <n v="87"/>
    <x v="1"/>
    <b v="1"/>
    <b v="1"/>
    <s v="Male"/>
    <x v="1"/>
    <x v="1"/>
    <n v="22.5"/>
    <x v="3"/>
    <n v="0.15"/>
    <n v="19.125"/>
    <x v="1"/>
    <s v="Sacramento, CA"/>
    <n v="38.581600000000002"/>
    <n v="-121.4944"/>
    <d v="2025-05-26T00:00:00"/>
    <n v="2"/>
    <x v="0"/>
    <d v="2025-07-21T00:00:00"/>
    <s v="20–29"/>
    <s v="20–29"/>
  </r>
  <r>
    <n v="49"/>
    <x v="0"/>
    <n v="1"/>
    <s v="Sun"/>
    <b v="0"/>
    <d v="1899-12-30T13:58:00"/>
    <d v="1899-12-30T14:35:00"/>
    <n v="37"/>
    <x v="1"/>
    <b v="1"/>
    <b v="0"/>
    <s v="Prefer not to say"/>
    <x v="0"/>
    <x v="0"/>
    <n v="50"/>
    <x v="2"/>
    <n v="0.1"/>
    <n v="45"/>
    <x v="0"/>
    <s v="Oakland, CA"/>
    <n v="37.804400000000001"/>
    <n v="-122.27119999999999"/>
    <d v="2024-06-24T00:00:00"/>
    <n v="8"/>
    <x v="0"/>
    <d v="2025-07-02T00:00:00"/>
    <s v="40–49"/>
    <s v="40–49"/>
  </r>
  <r>
    <n v="34"/>
    <x v="1"/>
    <n v="2"/>
    <s v="Fri, Mon"/>
    <b v="0"/>
    <d v="1899-12-30T17:01:00"/>
    <d v="1899-12-30T19:09:00"/>
    <n v="128"/>
    <x v="0"/>
    <b v="1"/>
    <b v="0"/>
    <s v="Prefer not to say"/>
    <x v="1"/>
    <x v="0"/>
    <n v="30"/>
    <x v="1"/>
    <n v="0"/>
    <n v="30"/>
    <x v="1"/>
    <s v="Fresno, CA"/>
    <n v="36.7378"/>
    <n v="-119.7871"/>
    <d v="2024-05-14T00:00:00"/>
    <n v="4"/>
    <x v="0"/>
    <d v="2025-06-30T00:00:00"/>
    <s v="30–39"/>
    <s v="30–39"/>
  </r>
  <r>
    <n v="32"/>
    <x v="3"/>
    <n v="3"/>
    <s v="Sat, Sun, Thu"/>
    <b v="0"/>
    <d v="1899-12-30T14:01:00"/>
    <d v="1899-12-30T16:17:00"/>
    <n v="136"/>
    <x v="0"/>
    <b v="0"/>
    <b v="0"/>
    <s v="Female"/>
    <x v="3"/>
    <x v="0"/>
    <n v="70"/>
    <x v="1"/>
    <n v="0"/>
    <n v="70"/>
    <x v="3"/>
    <s v="Anaheim, CA"/>
    <n v="33.836599999999997"/>
    <n v="-117.9143"/>
    <d v="2024-04-24T00:00:00"/>
    <n v="0"/>
    <x v="0"/>
    <d v="2025-06-29T00:00:00"/>
    <s v="30–39"/>
    <s v="30–39"/>
  </r>
  <r>
    <n v="21"/>
    <x v="2"/>
    <n v="2"/>
    <s v="Mon, Wed"/>
    <b v="0"/>
    <d v="1899-12-30T10:26:00"/>
    <d v="1899-12-30T12:21:00"/>
    <n v="115"/>
    <x v="1"/>
    <b v="1"/>
    <b v="1"/>
    <s v="Male"/>
    <x v="2"/>
    <x v="2"/>
    <n v="18"/>
    <x v="1"/>
    <n v="0"/>
    <n v="18"/>
    <x v="2"/>
    <s v="Long Beach, CA"/>
    <n v="33.770099999999999"/>
    <n v="-118.19370000000001"/>
    <d v="2023-10-14T00:00:00"/>
    <n v="5"/>
    <x v="1"/>
    <d v="2025-06-18T00:00:00"/>
    <s v="20–29"/>
    <s v="20–29"/>
  </r>
  <r>
    <n v="26"/>
    <x v="2"/>
    <n v="1"/>
    <s v="Mon"/>
    <b v="1"/>
    <d v="1899-12-30T11:42:00"/>
    <d v="1899-12-30T13:39:00"/>
    <n v="117"/>
    <x v="0"/>
    <b v="1"/>
    <b v="0"/>
    <s v="Non-binary"/>
    <x v="2"/>
    <x v="1"/>
    <n v="15"/>
    <x v="1"/>
    <n v="0"/>
    <n v="15"/>
    <x v="2"/>
    <s v="Fresno, CA"/>
    <n v="36.7378"/>
    <n v="-119.7871"/>
    <d v="2023-12-02T00:00:00"/>
    <n v="7"/>
    <x v="1"/>
    <d v="2025-06-20T00:00:00"/>
    <s v="20–29"/>
    <s v="20–29"/>
  </r>
  <r>
    <n v="13"/>
    <x v="0"/>
    <n v="4"/>
    <s v="Sat, Sun, Thu, Tue"/>
    <b v="0"/>
    <d v="1899-12-30T14:47:00"/>
    <d v="1899-12-30T15:21:00"/>
    <n v="34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3-09-14T00:00:00"/>
    <n v="0"/>
    <x v="1"/>
    <d v="2025-06-16T00:00:00"/>
    <s v="10–19"/>
    <s v="Under 16"/>
  </r>
  <r>
    <n v="36"/>
    <x v="1"/>
    <n v="2"/>
    <s v="Fri, Tue"/>
    <b v="1"/>
    <d v="1899-12-30T11:28:00"/>
    <d v="1899-12-30T14:14:00"/>
    <n v="166"/>
    <x v="0"/>
    <b v="0"/>
    <b v="1"/>
    <s v="Female"/>
    <x v="1"/>
    <x v="1"/>
    <n v="22.5"/>
    <x v="0"/>
    <n v="0.05"/>
    <n v="21.375"/>
    <x v="1"/>
    <s v="Long Beach, CA"/>
    <n v="33.770099999999999"/>
    <n v="-118.19370000000001"/>
    <d v="2023-03-31T00:00:00"/>
    <n v="0"/>
    <x v="1"/>
    <d v="2025-06-07T00:00:00"/>
    <s v="30–39"/>
    <s v="30–39"/>
  </r>
  <r>
    <n v="44"/>
    <x v="2"/>
    <n v="3"/>
    <s v="Fri, Mon, Tue"/>
    <b v="0"/>
    <d v="1899-12-30T10:31:00"/>
    <d v="1899-12-30T12:28:00"/>
    <n v="117"/>
    <x v="1"/>
    <b v="1"/>
    <b v="0"/>
    <s v="Female"/>
    <x v="2"/>
    <x v="0"/>
    <n v="20"/>
    <x v="3"/>
    <n v="0.15"/>
    <n v="17"/>
    <x v="2"/>
    <s v="Long Beach, CA"/>
    <n v="33.770099999999999"/>
    <n v="-118.19370000000001"/>
    <d v="2023-02-08T00:00:00"/>
    <n v="4"/>
    <x v="0"/>
    <d v="2025-06-04T00:00:00"/>
    <s v="40–49"/>
    <s v="40–49"/>
  </r>
  <r>
    <n v="29"/>
    <x v="1"/>
    <n v="3"/>
    <s v="Fri, Sun, Wed"/>
    <b v="0"/>
    <d v="1899-12-30T14:16:00"/>
    <d v="1899-12-30T17:08:00"/>
    <n v="172"/>
    <x v="0"/>
    <b v="0"/>
    <b v="0"/>
    <s v="Female"/>
    <x v="1"/>
    <x v="0"/>
    <n v="30"/>
    <x v="0"/>
    <n v="0.05"/>
    <n v="28.5"/>
    <x v="1"/>
    <s v="Fresno, CA"/>
    <n v="36.7378"/>
    <n v="-119.7871"/>
    <d v="2023-05-20T00:00:00"/>
    <n v="0"/>
    <x v="1"/>
    <d v="2025-06-09T00:00:00"/>
    <s v="20–29"/>
    <s v="20–29"/>
  </r>
  <r>
    <n v="20"/>
    <x v="0"/>
    <n v="2"/>
    <s v="Fri, Sat"/>
    <b v="0"/>
    <d v="1899-12-30T18:54:00"/>
    <d v="1899-12-30T19:37:00"/>
    <n v="43"/>
    <x v="1"/>
    <b v="1"/>
    <b v="1"/>
    <s v="Male"/>
    <x v="0"/>
    <x v="0"/>
    <n v="50"/>
    <x v="3"/>
    <n v="0.15"/>
    <n v="42.5"/>
    <x v="0"/>
    <s v="Oakland, CA"/>
    <n v="37.804400000000001"/>
    <n v="-122.27119999999999"/>
    <d v="2022-09-09T00:00:00"/>
    <n v="5"/>
    <x v="0"/>
    <d v="2025-05-26T00:00:00"/>
    <s v="20–29"/>
    <s v="20–29"/>
  </r>
  <r>
    <n v="45"/>
    <x v="1"/>
    <n v="2"/>
    <s v="Mon, Wed"/>
    <b v="1"/>
    <d v="1899-12-30T08:12:00"/>
    <d v="1899-12-30T10:09:00"/>
    <n v="117"/>
    <x v="1"/>
    <b v="0"/>
    <b v="0"/>
    <s v="Prefer not to say"/>
    <x v="1"/>
    <x v="0"/>
    <n v="30"/>
    <x v="3"/>
    <n v="0.15"/>
    <n v="25.5"/>
    <x v="1"/>
    <s v="Long Beach, CA"/>
    <n v="33.770099999999999"/>
    <n v="-118.19370000000001"/>
    <d v="2025-06-03T00:00:00"/>
    <n v="0"/>
    <x v="1"/>
    <d v="2025-07-21T00:00:00"/>
    <s v="40–49"/>
    <s v="40–49"/>
  </r>
  <r>
    <n v="48"/>
    <x v="1"/>
    <n v="2"/>
    <s v="Fri, Tue"/>
    <b v="1"/>
    <d v="1899-12-30T11:46:00"/>
    <d v="1899-12-30T13:17:00"/>
    <n v="91"/>
    <x v="1"/>
    <b v="0"/>
    <b v="1"/>
    <s v="Male"/>
    <x v="1"/>
    <x v="0"/>
    <n v="30"/>
    <x v="0"/>
    <n v="0.05"/>
    <n v="28.5"/>
    <x v="1"/>
    <s v="San Francisco, CA"/>
    <n v="37.774900000000002"/>
    <n v="-122.4194"/>
    <d v="2024-11-26T00:00:00"/>
    <n v="0"/>
    <x v="0"/>
    <d v="2025-07-11T00:00:00"/>
    <s v="40–49"/>
    <s v="40–49"/>
  </r>
  <r>
    <n v="20"/>
    <x v="0"/>
    <n v="3"/>
    <s v="Fri, Thu, Tue"/>
    <b v="0"/>
    <d v="1899-12-30T08:23:00"/>
    <d v="1899-12-30T11:22:00"/>
    <n v="179"/>
    <x v="0"/>
    <b v="0"/>
    <b v="0"/>
    <s v="Male"/>
    <x v="0"/>
    <x v="0"/>
    <n v="50"/>
    <x v="0"/>
    <n v="0.05"/>
    <n v="47.5"/>
    <x v="0"/>
    <s v="San Diego, CA"/>
    <n v="32.715699999999998"/>
    <n v="-117.1611"/>
    <d v="2025-06-14T00:00:00"/>
    <n v="0"/>
    <x v="0"/>
    <d v="2025-07-22T00:00:00"/>
    <s v="20–29"/>
    <s v="20–29"/>
  </r>
  <r>
    <n v="25"/>
    <x v="1"/>
    <n v="2"/>
    <s v="Thu, Wed"/>
    <b v="0"/>
    <d v="1899-12-30T10:38:00"/>
    <d v="1899-12-30T12:32:00"/>
    <n v="114"/>
    <x v="1"/>
    <b v="1"/>
    <b v="0"/>
    <s v="Non-binary"/>
    <x v="1"/>
    <x v="1"/>
    <n v="22.5"/>
    <x v="0"/>
    <n v="0.05"/>
    <n v="21.375"/>
    <x v="1"/>
    <s v="Sacramento, CA"/>
    <n v="38.581600000000002"/>
    <n v="-121.4944"/>
    <d v="2023-08-03T00:00:00"/>
    <n v="8"/>
    <x v="1"/>
    <d v="2025-06-14T00:00:00"/>
    <s v="20–29"/>
    <s v="20–29"/>
  </r>
  <r>
    <n v="45"/>
    <x v="2"/>
    <n v="3"/>
    <s v="Fri, Mon, Wed"/>
    <b v="1"/>
    <d v="1899-12-30T15:39:00"/>
    <d v="1899-12-30T17:34:00"/>
    <n v="115"/>
    <x v="1"/>
    <b v="1"/>
    <b v="1"/>
    <s v="Male"/>
    <x v="2"/>
    <x v="1"/>
    <n v="15"/>
    <x v="2"/>
    <n v="0.1"/>
    <n v="13.5"/>
    <x v="2"/>
    <s v="Anaheim, CA"/>
    <n v="33.836599999999997"/>
    <n v="-117.9143"/>
    <d v="2022-11-09T00:00:00"/>
    <n v="1"/>
    <x v="0"/>
    <d v="2025-05-30T00:00:00"/>
    <s v="40–49"/>
    <s v="40–49"/>
  </r>
  <r>
    <n v="19"/>
    <x v="0"/>
    <n v="3"/>
    <s v="Fri, Sun, Wed"/>
    <b v="1"/>
    <d v="1899-12-30T15:01:00"/>
    <d v="1899-12-30T16:59:00"/>
    <n v="118"/>
    <x v="1"/>
    <b v="0"/>
    <b v="0"/>
    <s v="Male"/>
    <x v="0"/>
    <x v="1"/>
    <n v="37.5"/>
    <x v="0"/>
    <n v="0.05"/>
    <n v="35.625"/>
    <x v="0"/>
    <s v="San Diego, CA"/>
    <n v="32.715699999999998"/>
    <n v="-117.1611"/>
    <d v="2024-10-06T00:00:00"/>
    <n v="0"/>
    <x v="1"/>
    <d v="2025-07-08T00:00:00"/>
    <s v="10–19"/>
    <s v="16–19"/>
  </r>
  <r>
    <n v="28"/>
    <x v="1"/>
    <n v="3"/>
    <s v="Fri, Sat, Sun"/>
    <b v="0"/>
    <d v="1899-12-30T13:28:00"/>
    <d v="1899-12-30T15:44:00"/>
    <n v="136"/>
    <x v="1"/>
    <b v="1"/>
    <b v="1"/>
    <s v="Female"/>
    <x v="1"/>
    <x v="0"/>
    <n v="30"/>
    <x v="1"/>
    <n v="0"/>
    <n v="30"/>
    <x v="1"/>
    <s v="Oakland, CA"/>
    <n v="37.804400000000001"/>
    <n v="-122.27119999999999"/>
    <d v="2022-10-09T00:00:00"/>
    <n v="1"/>
    <x v="1"/>
    <d v="2025-05-28T00:00:00"/>
    <s v="20–29"/>
    <s v="20–29"/>
  </r>
  <r>
    <n v="37"/>
    <x v="1"/>
    <n v="1"/>
    <s v="Tue"/>
    <b v="1"/>
    <d v="1899-12-30T18:06:00"/>
    <d v="1899-12-30T19:59:00"/>
    <n v="113"/>
    <x v="0"/>
    <b v="0"/>
    <b v="0"/>
    <s v="Female"/>
    <x v="1"/>
    <x v="0"/>
    <n v="30"/>
    <x v="1"/>
    <n v="0"/>
    <n v="30"/>
    <x v="1"/>
    <s v="San Francisco, CA"/>
    <n v="37.774900000000002"/>
    <n v="-122.4194"/>
    <d v="2025-04-19T00:00:00"/>
    <n v="0"/>
    <x v="1"/>
    <d v="2025-07-19T00:00:00"/>
    <s v="30–39"/>
    <s v="30–3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2-10-01T00:00:00"/>
    <n v="7"/>
    <x v="0"/>
    <d v="2025-05-27T00:00:00"/>
    <s v="20–29"/>
    <s v="20–29"/>
  </r>
  <r>
    <n v="33"/>
    <x v="1"/>
    <n v="2"/>
    <s v="Sun, Tue"/>
    <b v="0"/>
    <d v="1899-12-30T12:42:00"/>
    <d v="1899-12-30T15:01:00"/>
    <n v="139"/>
    <x v="1"/>
    <b v="1"/>
    <b v="0"/>
    <s v="Other (self-described)"/>
    <x v="1"/>
    <x v="0"/>
    <n v="30"/>
    <x v="1"/>
    <n v="0"/>
    <n v="30"/>
    <x v="1"/>
    <s v="Bakersfield, CA"/>
    <n v="35.3733"/>
    <n v="-119.0187"/>
    <d v="2024-06-13T00:00:00"/>
    <n v="4"/>
    <x v="1"/>
    <d v="2025-07-01T00:00:00"/>
    <s v="30–39"/>
    <s v="30–39"/>
  </r>
  <r>
    <n v="20"/>
    <x v="0"/>
    <n v="1"/>
    <s v="Fri"/>
    <b v="0"/>
    <d v="1899-12-30T11:35:00"/>
    <d v="1899-12-30T13:30:00"/>
    <n v="115"/>
    <x v="0"/>
    <b v="0"/>
    <b v="1"/>
    <s v="Female"/>
    <x v="0"/>
    <x v="2"/>
    <n v="45"/>
    <x v="2"/>
    <n v="0.1"/>
    <n v="40.5"/>
    <x v="0"/>
    <s v="Fresno, CA"/>
    <n v="36.7378"/>
    <n v="-119.7871"/>
    <d v="2025-03-06T00:00:00"/>
    <n v="0"/>
    <x v="1"/>
    <d v="2025-07-16T00:00:00"/>
    <s v="20–29"/>
    <s v="20–29"/>
  </r>
  <r>
    <n v="19"/>
    <x v="0"/>
    <n v="3"/>
    <s v="Sat, Sun, Thu"/>
    <b v="0"/>
    <d v="1899-12-30T17:43:00"/>
    <d v="1899-12-30T18:34:00"/>
    <n v="51"/>
    <x v="0"/>
    <b v="1"/>
    <b v="1"/>
    <s v="Female"/>
    <x v="0"/>
    <x v="1"/>
    <n v="37.5"/>
    <x v="0"/>
    <n v="0.05"/>
    <n v="35.625"/>
    <x v="0"/>
    <s v="San Jose, CA"/>
    <n v="37.338200000000001"/>
    <n v="-121.88630000000001"/>
    <d v="2024-01-22T00:00:00"/>
    <n v="3"/>
    <x v="0"/>
    <d v="2025-06-23T00:00:00"/>
    <s v="10–19"/>
    <s v="16–19"/>
  </r>
  <r>
    <n v="20"/>
    <x v="2"/>
    <n v="4"/>
    <s v="Fri, Mon, Sun, Wed"/>
    <b v="0"/>
    <d v="1899-12-30T17:12:00"/>
    <d v="1899-12-30T18:19:00"/>
    <n v="67"/>
    <x v="0"/>
    <b v="0"/>
    <b v="1"/>
    <s v="Male"/>
    <x v="2"/>
    <x v="1"/>
    <n v="15"/>
    <x v="1"/>
    <n v="0"/>
    <n v="15"/>
    <x v="2"/>
    <s v="San Diego, CA"/>
    <n v="32.715699999999998"/>
    <n v="-117.1611"/>
    <d v="2024-09-22T00:00:00"/>
    <n v="0"/>
    <x v="1"/>
    <d v="2025-07-07T00:00:00"/>
    <s v="20–29"/>
    <s v="20–29"/>
  </r>
  <r>
    <n v="14"/>
    <x v="3"/>
    <n v="5"/>
    <s v="Sat, Sun, Thu, Tue, Wed"/>
    <b v="1"/>
    <d v="1899-12-30T08:25:00"/>
    <d v="1899-12-30T10:08:00"/>
    <n v="103"/>
    <x v="0"/>
    <b v="1"/>
    <b v="1"/>
    <s v="Male"/>
    <x v="3"/>
    <x v="0"/>
    <n v="70"/>
    <x v="2"/>
    <n v="0.1"/>
    <n v="63"/>
    <x v="3"/>
    <s v="Oakland, CA"/>
    <n v="37.804400000000001"/>
    <n v="-122.27119999999999"/>
    <d v="2024-08-23T00:00:00"/>
    <n v="5"/>
    <x v="0"/>
    <d v="2025-07-05T00:00:00"/>
    <s v="10–19"/>
    <s v="Under 16"/>
  </r>
  <r>
    <n v="31"/>
    <x v="0"/>
    <n v="2"/>
    <s v="Sun, Thu"/>
    <b v="1"/>
    <d v="1899-12-30T20:28:00"/>
    <d v="1899-12-30T21:26:00"/>
    <n v="58"/>
    <x v="0"/>
    <b v="1"/>
    <b v="0"/>
    <s v="Non-binary"/>
    <x v="0"/>
    <x v="0"/>
    <n v="50"/>
    <x v="3"/>
    <n v="0.15"/>
    <n v="42.5"/>
    <x v="0"/>
    <s v="Sacramento, CA"/>
    <n v="38.581600000000002"/>
    <n v="-121.4944"/>
    <d v="2024-07-30T00:00:00"/>
    <n v="2"/>
    <x v="0"/>
    <d v="2025-07-04T00:00:00"/>
    <s v="30–39"/>
    <s v="30–39"/>
  </r>
  <r>
    <n v="14"/>
    <x v="0"/>
    <n v="3"/>
    <s v="Fri, Tue, Wed"/>
    <b v="0"/>
    <d v="1899-12-30T20:52:00"/>
    <d v="1899-12-30T22:02:00"/>
    <n v="70"/>
    <x v="1"/>
    <b v="1"/>
    <b v="1"/>
    <s v="Female"/>
    <x v="0"/>
    <x v="0"/>
    <n v="50"/>
    <x v="3"/>
    <n v="0.15"/>
    <n v="42.5"/>
    <x v="0"/>
    <s v="Fresno, CA"/>
    <n v="36.7378"/>
    <n v="-119.7871"/>
    <d v="2023-02-18T00:00:00"/>
    <n v="4"/>
    <x v="0"/>
    <d v="2025-06-04T00:00:00"/>
    <s v="10–19"/>
    <s v="Under 16"/>
  </r>
  <r>
    <n v="21"/>
    <x v="1"/>
    <n v="5"/>
    <s v="Fri, Mon, Sat, Sun, Tue"/>
    <b v="0"/>
    <d v="1899-12-30T14:29:00"/>
    <d v="1899-12-30T16:01:00"/>
    <n v="92"/>
    <x v="1"/>
    <b v="1"/>
    <b v="1"/>
    <s v="Male"/>
    <x v="1"/>
    <x v="0"/>
    <n v="30"/>
    <x v="3"/>
    <n v="0.15"/>
    <n v="25.5"/>
    <x v="1"/>
    <s v="Sacramento, CA"/>
    <n v="38.581600000000002"/>
    <n v="-121.4944"/>
    <d v="2023-11-26T00:00:00"/>
    <n v="2"/>
    <x v="1"/>
    <d v="2025-06-20T00:00:00"/>
    <s v="20–29"/>
    <s v="20–29"/>
  </r>
  <r>
    <n v="28"/>
    <x v="1"/>
    <n v="1"/>
    <s v="Tue"/>
    <b v="1"/>
    <d v="1899-12-30T13:08:00"/>
    <d v="1899-12-30T14:35:00"/>
    <n v="87"/>
    <x v="1"/>
    <b v="1"/>
    <b v="1"/>
    <s v="Male"/>
    <x v="1"/>
    <x v="1"/>
    <n v="22.5"/>
    <x v="3"/>
    <n v="0.15"/>
    <n v="19.125"/>
    <x v="1"/>
    <s v="Sacramento, CA"/>
    <n v="38.581600000000002"/>
    <n v="-121.4944"/>
    <d v="2024-07-26T00:00:00"/>
    <n v="4"/>
    <x v="1"/>
    <d v="2025-07-04T00:00:00"/>
    <s v="20–29"/>
    <s v="20–29"/>
  </r>
  <r>
    <n v="33"/>
    <x v="1"/>
    <n v="1"/>
    <s v="Sun"/>
    <b v="0"/>
    <d v="1899-12-30T16:29:00"/>
    <d v="1899-12-30T17:07:00"/>
    <n v="38"/>
    <x v="0"/>
    <b v="1"/>
    <b v="0"/>
    <s v="Prefer not to say"/>
    <x v="1"/>
    <x v="0"/>
    <n v="30"/>
    <x v="0"/>
    <n v="0.05"/>
    <n v="28.5"/>
    <x v="1"/>
    <s v="Long Beach, CA"/>
    <n v="33.770099999999999"/>
    <n v="-118.19370000000001"/>
    <d v="2023-09-11T00:00:00"/>
    <n v="3"/>
    <x v="1"/>
    <d v="2025-06-16T00:00:00"/>
    <s v="30–39"/>
    <s v="30–39"/>
  </r>
  <r>
    <n v="29"/>
    <x v="1"/>
    <n v="3"/>
    <s v="Mon, Sat, Thu"/>
    <b v="1"/>
    <d v="1899-12-30T20:43:00"/>
    <d v="1899-12-30T21:23:00"/>
    <n v="40"/>
    <x v="1"/>
    <b v="0"/>
    <b v="0"/>
    <s v="Other (self-described)"/>
    <x v="1"/>
    <x v="2"/>
    <n v="27"/>
    <x v="1"/>
    <n v="0"/>
    <n v="27"/>
    <x v="1"/>
    <s v="San Francisco, CA"/>
    <n v="37.774900000000002"/>
    <n v="-122.4194"/>
    <d v="2023-05-22T00:00:00"/>
    <n v="0"/>
    <x v="0"/>
    <d v="2025-06-10T00:00:00"/>
    <s v="20–29"/>
    <s v="20–29"/>
  </r>
  <r>
    <n v="37"/>
    <x v="2"/>
    <n v="1"/>
    <s v="Wed"/>
    <b v="1"/>
    <d v="1899-12-30T09:10:00"/>
    <d v="1899-12-30T10:30:00"/>
    <n v="80"/>
    <x v="1"/>
    <b v="0"/>
    <b v="0"/>
    <s v="Other (self-described)"/>
    <x v="2"/>
    <x v="0"/>
    <n v="20"/>
    <x v="0"/>
    <n v="0.05"/>
    <n v="19"/>
    <x v="2"/>
    <s v="Bakersfield, CA"/>
    <n v="35.3733"/>
    <n v="-119.0187"/>
    <d v="2024-09-05T00:00:00"/>
    <n v="0"/>
    <x v="1"/>
    <d v="2025-07-06T00:00:00"/>
    <s v="30–39"/>
    <s v="30–39"/>
  </r>
  <r>
    <n v="13"/>
    <x v="1"/>
    <n v="1"/>
    <s v="Thu"/>
    <b v="0"/>
    <d v="1899-12-30T10:20:00"/>
    <d v="1899-12-30T10:57:00"/>
    <n v="37"/>
    <x v="1"/>
    <b v="0"/>
    <b v="1"/>
    <s v="Male"/>
    <x v="1"/>
    <x v="1"/>
    <n v="22.5"/>
    <x v="1"/>
    <n v="0"/>
    <n v="22.5"/>
    <x v="1"/>
    <s v="Anaheim, CA"/>
    <n v="33.836599999999997"/>
    <n v="-117.9143"/>
    <d v="2024-04-08T00:00:00"/>
    <n v="0"/>
    <x v="1"/>
    <d v="2025-06-28T00:00:00"/>
    <s v="10–19"/>
    <s v="Under 16"/>
  </r>
  <r>
    <n v="49"/>
    <x v="1"/>
    <n v="3"/>
    <s v="Mon, Sat, Sun"/>
    <b v="0"/>
    <d v="1899-12-30T15:25:00"/>
    <d v="1899-12-30T18:05:00"/>
    <n v="160"/>
    <x v="1"/>
    <b v="0"/>
    <b v="1"/>
    <s v="Female"/>
    <x v="1"/>
    <x v="0"/>
    <n v="30"/>
    <x v="2"/>
    <n v="0.1"/>
    <n v="27"/>
    <x v="1"/>
    <s v="Los Angeles, CA"/>
    <n v="34.052199999999999"/>
    <n v="-118.2437"/>
    <d v="2025-02-13T00:00:00"/>
    <n v="0"/>
    <x v="1"/>
    <d v="2025-07-15T00:00:00"/>
    <s v="40–49"/>
    <s v="40–49"/>
  </r>
  <r>
    <n v="19"/>
    <x v="0"/>
    <n v="5"/>
    <s v="Fri, Mon, Sat, Thu, Wed"/>
    <b v="1"/>
    <d v="1899-12-30T10:54:00"/>
    <d v="1899-12-30T13:17:00"/>
    <n v="143"/>
    <x v="1"/>
    <b v="1"/>
    <b v="0"/>
    <s v="Female"/>
    <x v="0"/>
    <x v="0"/>
    <n v="50"/>
    <x v="0"/>
    <n v="0.05"/>
    <n v="47.5"/>
    <x v="0"/>
    <s v="Long Beach, CA"/>
    <n v="33.770099999999999"/>
    <n v="-118.19370000000001"/>
    <d v="2024-12-12T00:00:00"/>
    <n v="3"/>
    <x v="0"/>
    <d v="2025-07-12T00:00:00"/>
    <s v="10–19"/>
    <s v="16–19"/>
  </r>
  <r>
    <n v="13"/>
    <x v="0"/>
    <n v="4"/>
    <s v="Sat, Sun, Thu, Tue"/>
    <b v="0"/>
    <d v="1899-12-30T14:47:00"/>
    <d v="1899-12-30T15:21:00"/>
    <n v="34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3-06-28T00:00:00"/>
    <n v="0"/>
    <x v="0"/>
    <d v="2025-06-12T00:00:00"/>
    <s v="10–19"/>
    <s v="Under 16"/>
  </r>
  <r>
    <n v="38"/>
    <x v="0"/>
    <n v="4"/>
    <s v="Fri, Mon, Sun, Thu"/>
    <b v="1"/>
    <d v="1899-12-30T12:50:00"/>
    <d v="1899-12-30T14:19:00"/>
    <n v="89"/>
    <x v="0"/>
    <b v="0"/>
    <b v="1"/>
    <s v="Female"/>
    <x v="0"/>
    <x v="0"/>
    <n v="50"/>
    <x v="1"/>
    <n v="0"/>
    <n v="50"/>
    <x v="0"/>
    <s v="Los Angeles, CA"/>
    <n v="34.052199999999999"/>
    <n v="-118.2437"/>
    <d v="2024-12-11T00:00:00"/>
    <n v="0"/>
    <x v="0"/>
    <d v="2025-07-12T00:00:00"/>
    <s v="30–39"/>
    <s v="30–39"/>
  </r>
  <r>
    <n v="30"/>
    <x v="1"/>
    <n v="4"/>
    <s v="Fri, Sat, Sun, Wed"/>
    <b v="1"/>
    <d v="1899-12-30T14:27:00"/>
    <d v="1899-12-30T16:09:00"/>
    <n v="102"/>
    <x v="0"/>
    <b v="1"/>
    <b v="0"/>
    <s v="Non-binary"/>
    <x v="1"/>
    <x v="0"/>
    <n v="30"/>
    <x v="2"/>
    <n v="0.1"/>
    <n v="27"/>
    <x v="1"/>
    <s v="San Diego, CA"/>
    <n v="32.715699999999998"/>
    <n v="-117.1611"/>
    <d v="2023-12-11T00:00:00"/>
    <n v="7"/>
    <x v="1"/>
    <d v="2025-06-21T00:00:00"/>
    <s v="30–39"/>
    <s v="30–39"/>
  </r>
  <r>
    <n v="48"/>
    <x v="0"/>
    <n v="3"/>
    <s v="Mon, Sat, Tue"/>
    <b v="0"/>
    <d v="1899-12-30T19:44:00"/>
    <d v="1899-12-30T20:51:00"/>
    <n v="67"/>
    <x v="1"/>
    <b v="0"/>
    <b v="0"/>
    <s v="Female"/>
    <x v="0"/>
    <x v="0"/>
    <n v="50"/>
    <x v="2"/>
    <n v="0.1"/>
    <n v="45"/>
    <x v="0"/>
    <s v="Oakland, CA"/>
    <n v="37.804400000000001"/>
    <n v="-122.27119999999999"/>
    <d v="2023-05-29T00:00:00"/>
    <n v="0"/>
    <x v="0"/>
    <d v="2025-06-10T00:00:00"/>
    <s v="40–49"/>
    <s v="40–49"/>
  </r>
  <r>
    <n v="43"/>
    <x v="0"/>
    <n v="5"/>
    <s v="Fri, Mon, Sat, Thu, Wed"/>
    <b v="1"/>
    <d v="1899-12-30T09:29:00"/>
    <d v="1899-12-30T12:05:00"/>
    <n v="156"/>
    <x v="0"/>
    <b v="1"/>
    <b v="1"/>
    <s v="Non-binary"/>
    <x v="0"/>
    <x v="0"/>
    <n v="50"/>
    <x v="0"/>
    <n v="0.05"/>
    <n v="47.5"/>
    <x v="0"/>
    <s v="San Francisco, CA"/>
    <n v="37.774900000000002"/>
    <n v="-122.4194"/>
    <d v="2025-03-01T00:00:00"/>
    <n v="7"/>
    <x v="1"/>
    <d v="2025-07-16T00:00:00"/>
    <s v="40–49"/>
    <s v="40–49"/>
  </r>
  <r>
    <n v="24"/>
    <x v="2"/>
    <n v="5"/>
    <s v="Fri, Sat, Sun, Thu, Wed"/>
    <b v="1"/>
    <d v="1899-12-30T09:06:00"/>
    <d v="1899-12-30T10:19:00"/>
    <n v="73"/>
    <x v="1"/>
    <b v="0"/>
    <b v="1"/>
    <s v="Male"/>
    <x v="2"/>
    <x v="0"/>
    <n v="20"/>
    <x v="1"/>
    <n v="0"/>
    <n v="20"/>
    <x v="2"/>
    <s v="Los Angeles, CA"/>
    <n v="34.052199999999999"/>
    <n v="-118.2437"/>
    <d v="2023-10-27T00:00:00"/>
    <n v="0"/>
    <x v="1"/>
    <d v="2025-06-18T00:00:00"/>
    <s v="20–29"/>
    <s v="20–29"/>
  </r>
  <r>
    <n v="45"/>
    <x v="0"/>
    <n v="4"/>
    <s v="Fri, Thu, Tue, Wed"/>
    <b v="0"/>
    <d v="1899-12-30T19:32:00"/>
    <d v="1899-12-30T20:18:00"/>
    <n v="46"/>
    <x v="1"/>
    <b v="0"/>
    <b v="0"/>
    <s v="Prefer not to say"/>
    <x v="0"/>
    <x v="0"/>
    <n v="50"/>
    <x v="1"/>
    <n v="0"/>
    <n v="50"/>
    <x v="0"/>
    <s v="San Jose, CA"/>
    <n v="37.338200000000001"/>
    <n v="-121.88630000000001"/>
    <d v="2024-09-22T00:00:00"/>
    <n v="0"/>
    <x v="0"/>
    <d v="2025-07-07T00:00:00"/>
    <s v="40–49"/>
    <s v="40–49"/>
  </r>
  <r>
    <n v="19"/>
    <x v="0"/>
    <n v="1"/>
    <s v="Sat"/>
    <b v="0"/>
    <d v="1899-12-30T16:10:00"/>
    <d v="1899-12-30T17:20:00"/>
    <n v="70"/>
    <x v="0"/>
    <b v="1"/>
    <b v="1"/>
    <s v="Male"/>
    <x v="0"/>
    <x v="1"/>
    <n v="37.5"/>
    <x v="2"/>
    <n v="0.1"/>
    <n v="33.75"/>
    <x v="0"/>
    <s v="Oakland, CA"/>
    <n v="37.804400000000001"/>
    <n v="-122.27119999999999"/>
    <d v="2022-09-01T00:00:00"/>
    <n v="3"/>
    <x v="0"/>
    <d v="2025-05-26T00:00:00"/>
    <s v="10–19"/>
    <s v="16–19"/>
  </r>
  <r>
    <n v="46"/>
    <x v="0"/>
    <n v="1"/>
    <s v="Sun"/>
    <b v="1"/>
    <d v="1899-12-30T18:06:00"/>
    <d v="1899-12-30T20:49:00"/>
    <n v="163"/>
    <x v="1"/>
    <b v="0"/>
    <b v="0"/>
    <s v="Male"/>
    <x v="0"/>
    <x v="2"/>
    <n v="45"/>
    <x v="0"/>
    <n v="0.05"/>
    <n v="42.75"/>
    <x v="0"/>
    <s v="Long Beach, CA"/>
    <n v="33.770099999999999"/>
    <n v="-118.19370000000001"/>
    <d v="2024-01-25T00:00:00"/>
    <n v="0"/>
    <x v="0"/>
    <d v="2025-06-23T00:00:00"/>
    <s v="40–49"/>
    <s v="40–49"/>
  </r>
  <r>
    <n v="17"/>
    <x v="0"/>
    <n v="1"/>
    <s v="Tue"/>
    <b v="1"/>
    <d v="1899-12-30T12:17:00"/>
    <d v="1899-12-30T15:14:00"/>
    <n v="177"/>
    <x v="1"/>
    <b v="1"/>
    <b v="0"/>
    <s v="Female"/>
    <x v="0"/>
    <x v="0"/>
    <n v="50"/>
    <x v="3"/>
    <n v="0.15"/>
    <n v="42.5"/>
    <x v="0"/>
    <s v="Sacramento, CA"/>
    <n v="38.581600000000002"/>
    <n v="-121.4944"/>
    <d v="2023-02-15T00:00:00"/>
    <n v="6"/>
    <x v="0"/>
    <d v="2025-06-04T00:00:00"/>
    <s v="10–19"/>
    <s v="16–19"/>
  </r>
  <r>
    <n v="18"/>
    <x v="0"/>
    <n v="3"/>
    <s v="Fri, Mon, Thu"/>
    <b v="1"/>
    <d v="1899-12-30T11:41:00"/>
    <d v="1899-12-30T13:08:00"/>
    <n v="87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3-11-15T00:00:00"/>
    <n v="0"/>
    <x v="1"/>
    <d v="2025-06-19T00:00:00"/>
    <s v="10–19"/>
    <s v="16–19"/>
  </r>
  <r>
    <n v="41"/>
    <x v="0"/>
    <n v="1"/>
    <s v="Wed"/>
    <b v="1"/>
    <d v="1899-12-30T19:23:00"/>
    <d v="1899-12-30T20:27:00"/>
    <n v="64"/>
    <x v="0"/>
    <b v="0"/>
    <b v="0"/>
    <s v="Non-binary"/>
    <x v="0"/>
    <x v="0"/>
    <n v="50"/>
    <x v="1"/>
    <n v="0"/>
    <n v="50"/>
    <x v="0"/>
    <s v="Fresno, CA"/>
    <n v="36.7378"/>
    <n v="-119.7871"/>
    <d v="2025-05-07T00:00:00"/>
    <n v="0"/>
    <x v="0"/>
    <d v="2025-07-20T00:00:00"/>
    <s v="40–49"/>
    <s v="40–49"/>
  </r>
  <r>
    <n v="48"/>
    <x v="1"/>
    <n v="2"/>
    <s v="Fri, Tue"/>
    <b v="1"/>
    <d v="1899-12-30T11:46:00"/>
    <d v="1899-12-30T13:17:00"/>
    <n v="91"/>
    <x v="1"/>
    <b v="0"/>
    <b v="1"/>
    <s v="Male"/>
    <x v="1"/>
    <x v="0"/>
    <n v="30"/>
    <x v="0"/>
    <n v="0.05"/>
    <n v="28.5"/>
    <x v="1"/>
    <s v="San Francisco, CA"/>
    <n v="37.774900000000002"/>
    <n v="-122.4194"/>
    <d v="2023-08-18T00:00:00"/>
    <n v="0"/>
    <x v="0"/>
    <d v="2025-06-15T00:00:00"/>
    <s v="40–49"/>
    <s v="40–49"/>
  </r>
  <r>
    <n v="33"/>
    <x v="1"/>
    <n v="3"/>
    <s v="Fri, Sat, Sun"/>
    <b v="0"/>
    <d v="1899-12-30T15:13:00"/>
    <d v="1899-12-30T16:46:00"/>
    <n v="93"/>
    <x v="0"/>
    <b v="1"/>
    <b v="1"/>
    <s v="Male"/>
    <x v="1"/>
    <x v="0"/>
    <n v="30"/>
    <x v="3"/>
    <n v="0.15"/>
    <n v="25.5"/>
    <x v="1"/>
    <s v="Los Angeles, CA"/>
    <n v="34.052199999999999"/>
    <n v="-118.2437"/>
    <d v="2022-09-13T00:00:00"/>
    <n v="3"/>
    <x v="1"/>
    <d v="2025-05-26T00:00:00"/>
    <s v="30–39"/>
    <s v="30–39"/>
  </r>
  <r>
    <n v="16"/>
    <x v="2"/>
    <n v="3"/>
    <s v="Fri, Sun, Wed"/>
    <b v="1"/>
    <d v="1899-12-30T14:53:00"/>
    <d v="1899-12-30T17:02:00"/>
    <n v="129"/>
    <x v="1"/>
    <b v="0"/>
    <b v="1"/>
    <s v="Male"/>
    <x v="2"/>
    <x v="0"/>
    <n v="20"/>
    <x v="1"/>
    <n v="0"/>
    <n v="20"/>
    <x v="2"/>
    <s v="Los Angeles, CA"/>
    <n v="34.052199999999999"/>
    <n v="-118.2437"/>
    <d v="2023-09-21T00:00:00"/>
    <n v="0"/>
    <x v="1"/>
    <d v="2025-06-16T00:00:00"/>
    <s v="10–19"/>
    <s v="16–19"/>
  </r>
  <r>
    <n v="31"/>
    <x v="2"/>
    <n v="4"/>
    <s v="Fri, Mon, Tue, Wed"/>
    <b v="0"/>
    <d v="1899-12-30T20:33:00"/>
    <d v="1899-12-30T22:56:00"/>
    <n v="143"/>
    <x v="1"/>
    <b v="0"/>
    <b v="0"/>
    <s v="Female"/>
    <x v="2"/>
    <x v="1"/>
    <n v="15"/>
    <x v="1"/>
    <n v="0"/>
    <n v="15"/>
    <x v="2"/>
    <s v="San Francisco, CA"/>
    <n v="37.774900000000002"/>
    <n v="-122.4194"/>
    <d v="2023-02-01T00:00:00"/>
    <n v="0"/>
    <x v="1"/>
    <d v="2025-06-03T00:00:00"/>
    <s v="30–39"/>
    <s v="30–39"/>
  </r>
  <r>
    <n v="33"/>
    <x v="0"/>
    <n v="1"/>
    <s v="Wed"/>
    <b v="0"/>
    <d v="1899-12-30T14:09:00"/>
    <d v="1899-12-30T16:46:00"/>
    <n v="157"/>
    <x v="0"/>
    <b v="0"/>
    <b v="0"/>
    <s v="Female"/>
    <x v="0"/>
    <x v="0"/>
    <n v="50"/>
    <x v="0"/>
    <n v="0.05"/>
    <n v="47.5"/>
    <x v="0"/>
    <s v="Long Beach, CA"/>
    <n v="33.770099999999999"/>
    <n v="-118.19370000000001"/>
    <d v="2022-11-24T00:00:00"/>
    <n v="0"/>
    <x v="0"/>
    <d v="2025-05-30T00:00:00"/>
    <s v="30–39"/>
    <s v="30–39"/>
  </r>
  <r>
    <n v="13"/>
    <x v="0"/>
    <n v="2"/>
    <s v="Thu, Wed"/>
    <b v="0"/>
    <d v="1899-12-30T19:29:00"/>
    <d v="1899-12-30T21:02:00"/>
    <n v="93"/>
    <x v="1"/>
    <b v="0"/>
    <b v="1"/>
    <s v="Male"/>
    <x v="0"/>
    <x v="1"/>
    <n v="37.5"/>
    <x v="3"/>
    <n v="0.15"/>
    <n v="31.875"/>
    <x v="0"/>
    <s v="Sacramento, CA"/>
    <n v="38.581600000000002"/>
    <n v="-121.4944"/>
    <d v="2024-10-23T00:00:00"/>
    <n v="0"/>
    <x v="0"/>
    <d v="2025-07-09T00:00:00"/>
    <s v="10–19"/>
    <s v="Under 16"/>
  </r>
  <r>
    <n v="33"/>
    <x v="1"/>
    <n v="1"/>
    <s v="Wed"/>
    <b v="1"/>
    <d v="1899-12-30T09:04:00"/>
    <d v="1899-12-30T09:47:00"/>
    <n v="43"/>
    <x v="1"/>
    <b v="0"/>
    <b v="0"/>
    <s v="Male"/>
    <x v="1"/>
    <x v="0"/>
    <n v="30"/>
    <x v="1"/>
    <n v="0"/>
    <n v="30"/>
    <x v="1"/>
    <s v="Long Beach, CA"/>
    <n v="33.770099999999999"/>
    <n v="-118.19370000000001"/>
    <d v="2024-11-09T00:00:00"/>
    <n v="0"/>
    <x v="1"/>
    <d v="2025-07-10T00:00:00"/>
    <s v="30–39"/>
    <s v="30–39"/>
  </r>
  <r>
    <n v="33"/>
    <x v="0"/>
    <n v="2"/>
    <s v="Sat, Wed"/>
    <b v="1"/>
    <d v="1899-12-30T17:06:00"/>
    <d v="1899-12-30T19:09:00"/>
    <n v="123"/>
    <x v="1"/>
    <b v="1"/>
    <b v="0"/>
    <s v="Prefer not to say"/>
    <x v="0"/>
    <x v="0"/>
    <n v="50"/>
    <x v="2"/>
    <n v="0.1"/>
    <n v="45"/>
    <x v="0"/>
    <s v="Fresno, CA"/>
    <n v="36.7378"/>
    <n v="-119.7871"/>
    <d v="2023-09-11T00:00:00"/>
    <n v="1"/>
    <x v="0"/>
    <d v="2025-06-16T00:00:00"/>
    <s v="30–39"/>
    <s v="30–39"/>
  </r>
  <r>
    <n v="44"/>
    <x v="2"/>
    <n v="1"/>
    <s v="Mon"/>
    <b v="0"/>
    <d v="1899-12-30T17:41:00"/>
    <d v="1899-12-30T18:15:00"/>
    <n v="34"/>
    <x v="1"/>
    <b v="1"/>
    <b v="0"/>
    <s v="Female"/>
    <x v="2"/>
    <x v="0"/>
    <n v="20"/>
    <x v="3"/>
    <n v="0.15"/>
    <n v="17"/>
    <x v="2"/>
    <s v="San Diego, CA"/>
    <n v="32.715699999999998"/>
    <n v="-117.1611"/>
    <d v="2024-04-11T00:00:00"/>
    <n v="1"/>
    <x v="1"/>
    <d v="2025-06-28T00:00:00"/>
    <s v="40–49"/>
    <s v="40–49"/>
  </r>
  <r>
    <n v="34"/>
    <x v="2"/>
    <n v="3"/>
    <s v="Mon, Sun, Tue"/>
    <b v="0"/>
    <d v="1899-12-30T10:54:00"/>
    <d v="1899-12-30T11:32:00"/>
    <n v="38"/>
    <x v="0"/>
    <b v="0"/>
    <b v="0"/>
    <s v="Non-binary"/>
    <x v="2"/>
    <x v="0"/>
    <n v="20"/>
    <x v="0"/>
    <n v="0.05"/>
    <n v="19"/>
    <x v="2"/>
    <s v="Anaheim, CA"/>
    <n v="33.836599999999997"/>
    <n v="-117.9143"/>
    <d v="2023-01-10T00:00:00"/>
    <n v="0"/>
    <x v="1"/>
    <d v="2025-06-02T00:00:00"/>
    <s v="30–39"/>
    <s v="30–39"/>
  </r>
  <r>
    <n v="26"/>
    <x v="1"/>
    <n v="3"/>
    <s v="Sat, Thu, Tue"/>
    <b v="1"/>
    <d v="1899-12-30T17:35:00"/>
    <d v="1899-12-30T18:31:00"/>
    <n v="56"/>
    <x v="1"/>
    <b v="0"/>
    <b v="1"/>
    <s v="Prefer not to say"/>
    <x v="1"/>
    <x v="0"/>
    <n v="30"/>
    <x v="1"/>
    <n v="0"/>
    <n v="30"/>
    <x v="1"/>
    <s v="Fresno, CA"/>
    <n v="36.7378"/>
    <n v="-119.7871"/>
    <d v="2022-11-07T00:00:00"/>
    <n v="0"/>
    <x v="1"/>
    <d v="2025-05-29T00:00:00"/>
    <s v="20–29"/>
    <s v="20–29"/>
  </r>
  <r>
    <n v="18"/>
    <x v="1"/>
    <n v="2"/>
    <s v="Thu, Tue"/>
    <b v="0"/>
    <d v="1899-12-30T16:41:00"/>
    <d v="1899-12-30T19:00:00"/>
    <n v="139"/>
    <x v="1"/>
    <b v="0"/>
    <b v="0"/>
    <s v="Female"/>
    <x v="1"/>
    <x v="1"/>
    <n v="22.5"/>
    <x v="1"/>
    <n v="0"/>
    <n v="22.5"/>
    <x v="1"/>
    <s v="Bakersfield, CA"/>
    <n v="35.3733"/>
    <n v="-119.0187"/>
    <d v="2024-06-11T00:00:00"/>
    <n v="0"/>
    <x v="0"/>
    <d v="2025-07-01T00:00:00"/>
    <s v="10–19"/>
    <s v="16–19"/>
  </r>
  <r>
    <n v="24"/>
    <x v="1"/>
    <n v="3"/>
    <s v="Mon, Thu, Wed"/>
    <b v="0"/>
    <d v="1899-12-30T09:13:00"/>
    <d v="1899-12-30T11:37:00"/>
    <n v="144"/>
    <x v="0"/>
    <b v="0"/>
    <b v="0"/>
    <s v="Female"/>
    <x v="1"/>
    <x v="2"/>
    <n v="27"/>
    <x v="2"/>
    <n v="0.1"/>
    <n v="24.3"/>
    <x v="1"/>
    <s v="San Francisco, CA"/>
    <n v="37.774900000000002"/>
    <n v="-122.4194"/>
    <d v="2024-10-13T00:00:00"/>
    <n v="0"/>
    <x v="1"/>
    <d v="2025-07-08T00:00:00"/>
    <s v="20–29"/>
    <s v="20–29"/>
  </r>
  <r>
    <n v="23"/>
    <x v="1"/>
    <n v="3"/>
    <s v="Sat, Tue, Wed"/>
    <b v="1"/>
    <d v="1899-12-30T12:33:00"/>
    <d v="1899-12-30T14:41:00"/>
    <n v="128"/>
    <x v="0"/>
    <b v="0"/>
    <b v="0"/>
    <s v="Non-binary"/>
    <x v="1"/>
    <x v="2"/>
    <n v="27"/>
    <x v="1"/>
    <n v="0"/>
    <n v="27"/>
    <x v="1"/>
    <s v="Bakersfield, CA"/>
    <n v="35.3733"/>
    <n v="-119.0187"/>
    <d v="2023-03-14T00:00:00"/>
    <n v="0"/>
    <x v="0"/>
    <d v="2025-06-06T00:00:00"/>
    <s v="20–29"/>
    <s v="20–29"/>
  </r>
  <r>
    <n v="43"/>
    <x v="2"/>
    <n v="3"/>
    <s v="Fri, Sun, Tue"/>
    <b v="0"/>
    <d v="1899-12-30T12:02:00"/>
    <d v="1899-12-30T14:07:00"/>
    <n v="125"/>
    <x v="1"/>
    <b v="1"/>
    <b v="1"/>
    <s v="Male"/>
    <x v="2"/>
    <x v="0"/>
    <n v="20"/>
    <x v="0"/>
    <n v="0.05"/>
    <n v="19"/>
    <x v="2"/>
    <s v="Anaheim, CA"/>
    <n v="33.836599999999997"/>
    <n v="-117.9143"/>
    <d v="2024-09-03T00:00:00"/>
    <n v="6"/>
    <x v="1"/>
    <d v="2025-07-06T00:00:00"/>
    <s v="40–49"/>
    <s v="40–49"/>
  </r>
  <r>
    <n v="46"/>
    <x v="1"/>
    <n v="1"/>
    <s v="Sat"/>
    <b v="0"/>
    <d v="1899-12-30T11:13:00"/>
    <d v="1899-12-30T13:19:00"/>
    <n v="126"/>
    <x v="1"/>
    <b v="0"/>
    <b v="1"/>
    <s v="Female"/>
    <x v="1"/>
    <x v="0"/>
    <n v="30"/>
    <x v="1"/>
    <n v="0"/>
    <n v="30"/>
    <x v="1"/>
    <s v="San Diego, CA"/>
    <n v="32.715699999999998"/>
    <n v="-117.1611"/>
    <d v="2023-01-28T00:00:00"/>
    <n v="0"/>
    <x v="0"/>
    <d v="2025-06-03T00:00:00"/>
    <s v="40–49"/>
    <s v="40–49"/>
  </r>
  <r>
    <n v="42"/>
    <x v="0"/>
    <n v="3"/>
    <s v="Mon, Sun, Thu"/>
    <b v="1"/>
    <d v="1899-12-30T11:44:00"/>
    <d v="1899-12-30T13:19:00"/>
    <n v="95"/>
    <x v="0"/>
    <b v="1"/>
    <b v="1"/>
    <s v="Female"/>
    <x v="0"/>
    <x v="2"/>
    <n v="45"/>
    <x v="1"/>
    <n v="0"/>
    <n v="45"/>
    <x v="0"/>
    <s v="Sacramento, CA"/>
    <n v="38.581600000000002"/>
    <n v="-121.4944"/>
    <d v="2024-03-28T00:00:00"/>
    <n v="8"/>
    <x v="0"/>
    <d v="2025-06-27T00:00:00"/>
    <s v="40–49"/>
    <s v="40–49"/>
  </r>
  <r>
    <n v="32"/>
    <x v="2"/>
    <n v="5"/>
    <s v="Sat, Sun, Thu, Tue, Wed"/>
    <b v="0"/>
    <d v="1899-12-30T11:08:00"/>
    <d v="1899-12-30T13:20:00"/>
    <n v="132"/>
    <x v="1"/>
    <b v="0"/>
    <b v="1"/>
    <s v="Female"/>
    <x v="2"/>
    <x v="2"/>
    <n v="18"/>
    <x v="1"/>
    <n v="0"/>
    <n v="18"/>
    <x v="2"/>
    <s v="San Jose, CA"/>
    <n v="37.338200000000001"/>
    <n v="-121.88630000000001"/>
    <d v="2023-07-13T00:00:00"/>
    <n v="0"/>
    <x v="1"/>
    <d v="2025-06-12T00:00:00"/>
    <s v="30–39"/>
    <s v="30–39"/>
  </r>
  <r>
    <n v="45"/>
    <x v="0"/>
    <n v="5"/>
    <s v="Fri, Mon, Sun, Thu, Wed"/>
    <b v="0"/>
    <d v="1899-12-30T19:04:00"/>
    <d v="1899-12-30T20:44:00"/>
    <n v="100"/>
    <x v="1"/>
    <b v="1"/>
    <b v="1"/>
    <s v="Female"/>
    <x v="0"/>
    <x v="0"/>
    <n v="50"/>
    <x v="1"/>
    <n v="0"/>
    <n v="50"/>
    <x v="0"/>
    <s v="San Francisco, CA"/>
    <n v="37.774900000000002"/>
    <n v="-122.4194"/>
    <d v="2025-03-13T00:00:00"/>
    <n v="5"/>
    <x v="0"/>
    <d v="2025-07-17T00:00:00"/>
    <s v="40–49"/>
    <s v="40–49"/>
  </r>
  <r>
    <n v="20"/>
    <x v="3"/>
    <n v="2"/>
    <s v="Sun, Tue"/>
    <b v="0"/>
    <d v="1899-12-30T14:03:00"/>
    <d v="1899-12-30T16:48:00"/>
    <n v="165"/>
    <x v="1"/>
    <b v="1"/>
    <b v="1"/>
    <s v="Female"/>
    <x v="3"/>
    <x v="1"/>
    <n v="52.5"/>
    <x v="1"/>
    <n v="0"/>
    <n v="52.5"/>
    <x v="3"/>
    <s v="San Diego, CA"/>
    <n v="32.715699999999998"/>
    <n v="-117.1611"/>
    <d v="2023-08-28T00:00:00"/>
    <n v="8"/>
    <x v="0"/>
    <d v="2025-06-15T00:00:00"/>
    <s v="20–29"/>
    <s v="20–29"/>
  </r>
  <r>
    <n v="37"/>
    <x v="0"/>
    <n v="3"/>
    <s v="Sat, Sun, Wed"/>
    <b v="0"/>
    <d v="1899-12-30T13:08:00"/>
    <d v="1899-12-30T13:56:00"/>
    <n v="48"/>
    <x v="0"/>
    <b v="0"/>
    <b v="1"/>
    <s v="Prefer not to say"/>
    <x v="0"/>
    <x v="0"/>
    <n v="50"/>
    <x v="0"/>
    <n v="0.05"/>
    <n v="47.5"/>
    <x v="0"/>
    <s v="San Jose, CA"/>
    <n v="37.338200000000001"/>
    <n v="-121.88630000000001"/>
    <d v="2024-02-27T00:00:00"/>
    <n v="0"/>
    <x v="0"/>
    <d v="2025-06-25T00:00:00"/>
    <s v="30–39"/>
    <s v="30–39"/>
  </r>
  <r>
    <n v="43"/>
    <x v="1"/>
    <n v="5"/>
    <s v="Mon, Sat, Sun, Tue, Wed"/>
    <b v="0"/>
    <d v="1899-12-30T12:50:00"/>
    <d v="1899-12-30T15:20:00"/>
    <n v="150"/>
    <x v="1"/>
    <b v="1"/>
    <b v="1"/>
    <s v="Male"/>
    <x v="1"/>
    <x v="2"/>
    <n v="27"/>
    <x v="1"/>
    <n v="0"/>
    <n v="27"/>
    <x v="1"/>
    <s v="San Francisco, CA"/>
    <n v="37.774900000000002"/>
    <n v="-122.4194"/>
    <d v="2023-10-07T00:00:00"/>
    <n v="2"/>
    <x v="1"/>
    <d v="2025-06-17T00:00:00"/>
    <s v="40–49"/>
    <s v="40–49"/>
  </r>
  <r>
    <n v="28"/>
    <x v="1"/>
    <n v="3"/>
    <s v="Sat, Thu, Wed"/>
    <b v="0"/>
    <d v="1899-12-30T19:59:00"/>
    <d v="1899-12-30T20:40:00"/>
    <n v="41"/>
    <x v="0"/>
    <b v="1"/>
    <b v="0"/>
    <s v="Male"/>
    <x v="1"/>
    <x v="1"/>
    <n v="22.5"/>
    <x v="0"/>
    <n v="0.05"/>
    <n v="21.375"/>
    <x v="1"/>
    <s v="Anaheim, CA"/>
    <n v="33.836599999999997"/>
    <n v="-117.9143"/>
    <d v="2024-12-26T00:00:00"/>
    <n v="8"/>
    <x v="1"/>
    <d v="2025-07-12T00:00:00"/>
    <s v="20–29"/>
    <s v="20–29"/>
  </r>
  <r>
    <n v="34"/>
    <x v="2"/>
    <n v="1"/>
    <s v="Sun"/>
    <b v="0"/>
    <d v="1899-12-30T12:42:00"/>
    <d v="1899-12-30T13:21:00"/>
    <n v="39"/>
    <x v="1"/>
    <b v="1"/>
    <b v="1"/>
    <s v="Male"/>
    <x v="2"/>
    <x v="1"/>
    <n v="15"/>
    <x v="1"/>
    <n v="0"/>
    <n v="15"/>
    <x v="2"/>
    <s v="Los Angeles, CA"/>
    <n v="34.052199999999999"/>
    <n v="-118.2437"/>
    <d v="2023-04-30T00:00:00"/>
    <n v="4"/>
    <x v="0"/>
    <d v="2025-06-08T00:00:00"/>
    <s v="30–39"/>
    <s v="30–39"/>
  </r>
  <r>
    <n v="16"/>
    <x v="3"/>
    <n v="1"/>
    <s v="Fri"/>
    <b v="0"/>
    <d v="1899-12-30T08:42:00"/>
    <d v="1899-12-30T10:34:00"/>
    <n v="112"/>
    <x v="0"/>
    <b v="0"/>
    <b v="0"/>
    <s v="Female"/>
    <x v="3"/>
    <x v="0"/>
    <n v="70"/>
    <x v="1"/>
    <n v="0"/>
    <n v="70"/>
    <x v="3"/>
    <s v="Bakersfield, CA"/>
    <n v="35.3733"/>
    <n v="-119.0187"/>
    <d v="2022-12-17T00:00:00"/>
    <n v="0"/>
    <x v="0"/>
    <d v="2025-06-01T00:00:00"/>
    <s v="10–19"/>
    <s v="16–19"/>
  </r>
  <r>
    <n v="47"/>
    <x v="3"/>
    <n v="2"/>
    <s v="Sat, Thu"/>
    <b v="0"/>
    <d v="1899-12-30T12:18:00"/>
    <d v="1899-12-30T13:33:00"/>
    <n v="75"/>
    <x v="1"/>
    <b v="1"/>
    <b v="0"/>
    <s v="Female"/>
    <x v="3"/>
    <x v="1"/>
    <n v="52.5"/>
    <x v="2"/>
    <n v="0.1"/>
    <n v="47.25"/>
    <x v="3"/>
    <s v="San Jose, CA"/>
    <n v="37.338200000000001"/>
    <n v="-121.88630000000001"/>
    <d v="2024-11-04T00:00:00"/>
    <n v="8"/>
    <x v="0"/>
    <d v="2025-07-09T00:00:00"/>
    <s v="40–49"/>
    <s v="40–49"/>
  </r>
  <r>
    <n v="18"/>
    <x v="0"/>
    <n v="3"/>
    <s v="Fri, Mon, Sun"/>
    <b v="0"/>
    <d v="1899-12-30T13:26:00"/>
    <d v="1899-12-30T16:15:00"/>
    <n v="169"/>
    <x v="0"/>
    <b v="0"/>
    <b v="0"/>
    <s v="Prefer not to say"/>
    <x v="0"/>
    <x v="0"/>
    <n v="50"/>
    <x v="3"/>
    <n v="0.15"/>
    <n v="42.5"/>
    <x v="0"/>
    <s v="Long Beach, CA"/>
    <n v="33.770099999999999"/>
    <n v="-118.19370000000001"/>
    <d v="2025-03-13T00:00:00"/>
    <n v="0"/>
    <x v="0"/>
    <d v="2025-07-17T00:00:00"/>
    <s v="10–19"/>
    <s v="16–19"/>
  </r>
  <r>
    <n v="30"/>
    <x v="0"/>
    <n v="3"/>
    <s v="Sat, Sun, Wed"/>
    <b v="1"/>
    <d v="1899-12-30T18:36:00"/>
    <d v="1899-12-30T20:33:00"/>
    <n v="117"/>
    <x v="1"/>
    <b v="1"/>
    <b v="0"/>
    <s v="Female"/>
    <x v="0"/>
    <x v="0"/>
    <n v="50"/>
    <x v="3"/>
    <n v="0.15"/>
    <n v="42.5"/>
    <x v="0"/>
    <s v="San Diego, CA"/>
    <n v="32.715699999999998"/>
    <n v="-117.1611"/>
    <d v="2025-05-28T00:00:00"/>
    <n v="4"/>
    <x v="1"/>
    <d v="2025-07-21T00:00:00"/>
    <s v="30–39"/>
    <s v="30–39"/>
  </r>
  <r>
    <n v="33"/>
    <x v="2"/>
    <n v="2"/>
    <s v="Mon, Wed"/>
    <b v="1"/>
    <d v="1899-12-30T20:25:00"/>
    <d v="1899-12-30T23:16:00"/>
    <n v="171"/>
    <x v="1"/>
    <b v="0"/>
    <b v="0"/>
    <s v="Female"/>
    <x v="2"/>
    <x v="0"/>
    <n v="20"/>
    <x v="2"/>
    <n v="0.1"/>
    <n v="18"/>
    <x v="2"/>
    <s v="Anaheim, CA"/>
    <n v="33.836599999999997"/>
    <n v="-117.9143"/>
    <d v="2023-08-09T00:00:00"/>
    <n v="0"/>
    <x v="1"/>
    <d v="2025-06-14T00:00:00"/>
    <s v="30–39"/>
    <s v="30–39"/>
  </r>
  <r>
    <n v="33"/>
    <x v="0"/>
    <n v="4"/>
    <s v="Fri, Sat, Thu, Wed"/>
    <b v="0"/>
    <d v="1899-12-30T13:30:00"/>
    <d v="1899-12-30T14:17:00"/>
    <n v="47"/>
    <x v="1"/>
    <b v="1"/>
    <b v="1"/>
    <s v="Non-binary"/>
    <x v="0"/>
    <x v="0"/>
    <n v="50"/>
    <x v="0"/>
    <n v="0.05"/>
    <n v="47.5"/>
    <x v="0"/>
    <s v="Anaheim, CA"/>
    <n v="33.836599999999997"/>
    <n v="-117.9143"/>
    <d v="2023-09-15T00:00:00"/>
    <n v="6"/>
    <x v="0"/>
    <d v="2025-06-16T00:00:00"/>
    <s v="30–39"/>
    <s v="30–39"/>
  </r>
  <r>
    <n v="24"/>
    <x v="0"/>
    <n v="1"/>
    <s v="Sat"/>
    <b v="0"/>
    <d v="1899-12-30T16:51:00"/>
    <d v="1899-12-30T18:31:00"/>
    <n v="100"/>
    <x v="0"/>
    <b v="1"/>
    <b v="1"/>
    <s v="Female"/>
    <x v="0"/>
    <x v="0"/>
    <n v="50"/>
    <x v="1"/>
    <n v="0"/>
    <n v="50"/>
    <x v="0"/>
    <s v="Sacramento, CA"/>
    <n v="38.581600000000002"/>
    <n v="-121.4944"/>
    <d v="2023-11-18T00:00:00"/>
    <n v="1"/>
    <x v="0"/>
    <d v="2025-06-20T00:00:00"/>
    <s v="20–29"/>
    <s v="20–29"/>
  </r>
  <r>
    <n v="22"/>
    <x v="1"/>
    <n v="5"/>
    <s v="Fri, Sat, Sun, Tue, Wed"/>
    <b v="1"/>
    <d v="1899-12-30T08:13:00"/>
    <d v="1899-12-30T09:46:00"/>
    <n v="93"/>
    <x v="0"/>
    <b v="0"/>
    <b v="1"/>
    <s v="Male"/>
    <x v="1"/>
    <x v="0"/>
    <n v="30"/>
    <x v="0"/>
    <n v="0.05"/>
    <n v="28.5"/>
    <x v="1"/>
    <s v="San Jose, CA"/>
    <n v="37.338200000000001"/>
    <n v="-121.88630000000001"/>
    <d v="2024-10-18T00:00:00"/>
    <n v="0"/>
    <x v="0"/>
    <d v="2025-07-09T00:00:00"/>
    <s v="20–29"/>
    <s v="20–29"/>
  </r>
  <r>
    <n v="30"/>
    <x v="0"/>
    <n v="3"/>
    <s v="Sat, Thu, Wed"/>
    <b v="1"/>
    <d v="1899-12-30T19:46:00"/>
    <d v="1899-12-30T20:48:00"/>
    <n v="62"/>
    <x v="0"/>
    <b v="0"/>
    <b v="0"/>
    <s v="Male"/>
    <x v="0"/>
    <x v="0"/>
    <n v="50"/>
    <x v="0"/>
    <n v="0.05"/>
    <n v="47.5"/>
    <x v="0"/>
    <s v="Bakersfield, CA"/>
    <n v="35.3733"/>
    <n v="-119.0187"/>
    <d v="2024-05-02T00:00:00"/>
    <n v="0"/>
    <x v="0"/>
    <d v="2025-06-29T00:00:00"/>
    <s v="30–39"/>
    <s v="30–39"/>
  </r>
  <r>
    <n v="41"/>
    <x v="0"/>
    <n v="1"/>
    <s v="Sat"/>
    <b v="1"/>
    <d v="1899-12-30T08:29:00"/>
    <d v="1899-12-30T10:32:00"/>
    <n v="123"/>
    <x v="1"/>
    <b v="1"/>
    <b v="0"/>
    <s v="Non-binary"/>
    <x v="0"/>
    <x v="2"/>
    <n v="45"/>
    <x v="1"/>
    <n v="0"/>
    <n v="45"/>
    <x v="0"/>
    <s v="San Jose, CA"/>
    <n v="37.338200000000001"/>
    <n v="-121.88630000000001"/>
    <d v="2023-09-28T00:00:00"/>
    <n v="7"/>
    <x v="0"/>
    <d v="2025-06-17T00:00:00"/>
    <s v="40–49"/>
    <s v="40–49"/>
  </r>
  <r>
    <n v="30"/>
    <x v="1"/>
    <n v="3"/>
    <s v="Fri, Thu, Wed"/>
    <b v="1"/>
    <d v="1899-12-30T19:16:00"/>
    <d v="1899-12-30T20:15:00"/>
    <n v="59"/>
    <x v="0"/>
    <b v="1"/>
    <b v="1"/>
    <s v="Male"/>
    <x v="1"/>
    <x v="0"/>
    <n v="30"/>
    <x v="2"/>
    <n v="0.1"/>
    <n v="27"/>
    <x v="1"/>
    <s v="Bakersfield, CA"/>
    <n v="35.3733"/>
    <n v="-119.0187"/>
    <d v="2024-01-10T00:00:00"/>
    <n v="4"/>
    <x v="1"/>
    <d v="2025-06-23T00:00:00"/>
    <s v="30–39"/>
    <s v="30–39"/>
  </r>
  <r>
    <n v="35"/>
    <x v="2"/>
    <n v="2"/>
    <s v="Fri, Mon"/>
    <b v="1"/>
    <d v="1899-12-30T16:20:00"/>
    <d v="1899-12-30T17:21:00"/>
    <n v="61"/>
    <x v="1"/>
    <b v="1"/>
    <b v="0"/>
    <s v="Female"/>
    <x v="2"/>
    <x v="0"/>
    <n v="20"/>
    <x v="1"/>
    <n v="0"/>
    <n v="20"/>
    <x v="2"/>
    <s v="Long Beach, CA"/>
    <n v="33.770099999999999"/>
    <n v="-118.19370000000001"/>
    <d v="2022-08-06T00:00:00"/>
    <n v="1"/>
    <x v="1"/>
    <d v="2025-05-24T00:00:00"/>
    <s v="30–39"/>
    <s v="30–39"/>
  </r>
  <r>
    <n v="27"/>
    <x v="0"/>
    <n v="4"/>
    <s v="Sun, Thu, Tue, Wed"/>
    <b v="0"/>
    <d v="1899-12-30T11:49:00"/>
    <d v="1899-12-30T14:25:00"/>
    <n v="156"/>
    <x v="1"/>
    <b v="1"/>
    <b v="0"/>
    <s v="Male"/>
    <x v="0"/>
    <x v="1"/>
    <n v="37.5"/>
    <x v="1"/>
    <n v="0"/>
    <n v="37.5"/>
    <x v="0"/>
    <s v="San Diego, CA"/>
    <n v="32.715699999999998"/>
    <n v="-117.1611"/>
    <d v="2025-01-28T00:00:00"/>
    <n v="5"/>
    <x v="0"/>
    <d v="2025-07-14T00:00:00"/>
    <s v="20–29"/>
    <s v="20–29"/>
  </r>
  <r>
    <n v="34"/>
    <x v="3"/>
    <n v="1"/>
    <s v="Thu"/>
    <b v="1"/>
    <d v="1899-12-30T17:57:00"/>
    <d v="1899-12-30T19:46:00"/>
    <n v="109"/>
    <x v="0"/>
    <b v="1"/>
    <b v="1"/>
    <s v="Non-binary"/>
    <x v="3"/>
    <x v="1"/>
    <n v="52.5"/>
    <x v="1"/>
    <n v="0"/>
    <n v="52.5"/>
    <x v="3"/>
    <s v="San Jose, CA"/>
    <n v="37.338200000000001"/>
    <n v="-121.88630000000001"/>
    <d v="2023-06-13T00:00:00"/>
    <n v="2"/>
    <x v="0"/>
    <d v="2025-06-11T00:00:00"/>
    <s v="30–39"/>
    <s v="30–39"/>
  </r>
  <r>
    <n v="20"/>
    <x v="2"/>
    <n v="4"/>
    <s v="Fri, Thu, Tue, Wed"/>
    <b v="0"/>
    <d v="1899-12-30T11:51:00"/>
    <d v="1899-12-30T14:21:00"/>
    <n v="150"/>
    <x v="1"/>
    <b v="1"/>
    <b v="0"/>
    <s v="Female"/>
    <x v="2"/>
    <x v="0"/>
    <n v="20"/>
    <x v="0"/>
    <n v="0.05"/>
    <n v="19"/>
    <x v="2"/>
    <s v="Bakersfield, CA"/>
    <n v="35.3733"/>
    <n v="-119.0187"/>
    <d v="2024-04-18T00:00:00"/>
    <n v="5"/>
    <x v="0"/>
    <d v="2025-06-28T00:00:00"/>
    <s v="20–29"/>
    <s v="20–29"/>
  </r>
  <r>
    <n v="34"/>
    <x v="0"/>
    <n v="3"/>
    <s v="Sat, Sun, Tue"/>
    <b v="1"/>
    <d v="1899-12-30T13:39:00"/>
    <d v="1899-12-30T16:20:00"/>
    <n v="161"/>
    <x v="1"/>
    <b v="0"/>
    <b v="1"/>
    <s v="Non-binary"/>
    <x v="0"/>
    <x v="0"/>
    <n v="50"/>
    <x v="1"/>
    <n v="0"/>
    <n v="50"/>
    <x v="0"/>
    <s v="San Francisco, CA"/>
    <n v="37.774900000000002"/>
    <n v="-122.4194"/>
    <d v="2024-03-23T00:00:00"/>
    <n v="0"/>
    <x v="0"/>
    <d v="2025-06-27T00:00:00"/>
    <s v="30–39"/>
    <s v="30–39"/>
  </r>
  <r>
    <n v="40"/>
    <x v="2"/>
    <n v="2"/>
    <s v="Fri, Tue"/>
    <b v="0"/>
    <d v="1899-12-30T17:21:00"/>
    <d v="1899-12-30T19:53:00"/>
    <n v="152"/>
    <x v="1"/>
    <b v="1"/>
    <b v="1"/>
    <s v="Male"/>
    <x v="2"/>
    <x v="0"/>
    <n v="20"/>
    <x v="1"/>
    <n v="0"/>
    <n v="20"/>
    <x v="2"/>
    <s v="Long Beach, CA"/>
    <n v="33.770099999999999"/>
    <n v="-118.19370000000001"/>
    <d v="2023-05-20T00:00:00"/>
    <n v="6"/>
    <x v="1"/>
    <d v="2025-06-09T00:00:00"/>
    <s v="40–49"/>
    <s v="40–49"/>
  </r>
  <r>
    <n v="16"/>
    <x v="0"/>
    <n v="3"/>
    <s v="Sat, Sun, Wed"/>
    <b v="1"/>
    <d v="1899-12-30T13:30:00"/>
    <d v="1899-12-30T14:20:00"/>
    <n v="50"/>
    <x v="1"/>
    <b v="0"/>
    <b v="1"/>
    <s v="Female"/>
    <x v="0"/>
    <x v="1"/>
    <n v="37.5"/>
    <x v="1"/>
    <n v="0"/>
    <n v="37.5"/>
    <x v="0"/>
    <s v="San Diego, CA"/>
    <n v="32.715699999999998"/>
    <n v="-117.1611"/>
    <d v="2023-06-16T00:00:00"/>
    <n v="0"/>
    <x v="0"/>
    <d v="2025-06-11T00:00:00"/>
    <s v="10–19"/>
    <s v="16–19"/>
  </r>
  <r>
    <n v="25"/>
    <x v="1"/>
    <n v="3"/>
    <s v="Fri, Sun, Tue"/>
    <b v="0"/>
    <d v="1899-12-30T15:21:00"/>
    <d v="1899-12-30T16:26:00"/>
    <n v="65"/>
    <x v="0"/>
    <b v="1"/>
    <b v="0"/>
    <s v="Prefer not to say"/>
    <x v="1"/>
    <x v="0"/>
    <n v="30"/>
    <x v="0"/>
    <n v="0.05"/>
    <n v="28.5"/>
    <x v="1"/>
    <s v="Sacramento, CA"/>
    <n v="38.581600000000002"/>
    <n v="-121.4944"/>
    <d v="2022-08-02T00:00:00"/>
    <n v="8"/>
    <x v="1"/>
    <d v="2025-05-24T00:00:00"/>
    <s v="20–29"/>
    <s v="20–29"/>
  </r>
  <r>
    <n v="46"/>
    <x v="0"/>
    <n v="1"/>
    <s v="Sun"/>
    <b v="1"/>
    <d v="1899-12-30T18:06:00"/>
    <d v="1899-12-30T20:49:00"/>
    <n v="163"/>
    <x v="1"/>
    <b v="0"/>
    <b v="0"/>
    <s v="Male"/>
    <x v="0"/>
    <x v="2"/>
    <n v="45"/>
    <x v="0"/>
    <n v="0.05"/>
    <n v="42.75"/>
    <x v="0"/>
    <s v="Long Beach, CA"/>
    <n v="33.770099999999999"/>
    <n v="-118.19370000000001"/>
    <d v="2025-02-06T00:00:00"/>
    <n v="0"/>
    <x v="0"/>
    <d v="2025-07-15T00:00:00"/>
    <s v="40–49"/>
    <s v="40–4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5-03-04T00:00:00"/>
    <n v="0"/>
    <x v="0"/>
    <d v="2025-07-16T00:00:00"/>
    <s v="10–19"/>
    <s v="16–19"/>
  </r>
  <r>
    <n v="43"/>
    <x v="1"/>
    <n v="5"/>
    <s v="Fri, Sat, Thu, Tue, Wed"/>
    <b v="1"/>
    <d v="1899-12-30T12:44:00"/>
    <d v="1899-12-30T15:44:00"/>
    <n v="180"/>
    <x v="0"/>
    <b v="0"/>
    <b v="0"/>
    <s v="Female"/>
    <x v="1"/>
    <x v="2"/>
    <n v="27"/>
    <x v="1"/>
    <n v="0"/>
    <n v="27"/>
    <x v="1"/>
    <s v="Anaheim, CA"/>
    <n v="33.836599999999997"/>
    <n v="-117.9143"/>
    <d v="2023-05-13T00:00:00"/>
    <n v="0"/>
    <x v="1"/>
    <d v="2025-06-09T00:00:00"/>
    <s v="40–49"/>
    <s v="40–49"/>
  </r>
  <r>
    <n v="37"/>
    <x v="0"/>
    <n v="3"/>
    <s v="Mon, Tue, Wed"/>
    <b v="0"/>
    <d v="1899-12-30T20:35:00"/>
    <d v="1899-12-30T22:58:00"/>
    <n v="143"/>
    <x v="0"/>
    <b v="1"/>
    <b v="0"/>
    <s v="Male"/>
    <x v="0"/>
    <x v="0"/>
    <n v="50"/>
    <x v="0"/>
    <n v="0.05"/>
    <n v="47.5"/>
    <x v="0"/>
    <s v="Fresno, CA"/>
    <n v="36.7378"/>
    <n v="-119.7871"/>
    <d v="2023-10-16T00:00:00"/>
    <n v="8"/>
    <x v="0"/>
    <d v="2025-06-18T00:00:00"/>
    <s v="30–39"/>
    <s v="30–39"/>
  </r>
  <r>
    <n v="26"/>
    <x v="1"/>
    <n v="5"/>
    <s v="Fri, Mon, Sat, Thu, Tue"/>
    <b v="0"/>
    <d v="1899-12-30T13:34:00"/>
    <d v="1899-12-30T15:19:00"/>
    <n v="105"/>
    <x v="1"/>
    <b v="0"/>
    <b v="1"/>
    <s v="Other (self-described)"/>
    <x v="1"/>
    <x v="0"/>
    <n v="30"/>
    <x v="1"/>
    <n v="0"/>
    <n v="30"/>
    <x v="1"/>
    <s v="San Jose, CA"/>
    <n v="37.338200000000001"/>
    <n v="-121.88630000000001"/>
    <d v="2024-09-04T00:00:00"/>
    <n v="0"/>
    <x v="0"/>
    <d v="2025-07-06T00:00:00"/>
    <s v="20–29"/>
    <s v="20–29"/>
  </r>
  <r>
    <n v="36"/>
    <x v="1"/>
    <n v="5"/>
    <s v="Fri, Mon, Sun, Thu, Tue"/>
    <b v="0"/>
    <d v="1899-12-30T20:57:00"/>
    <d v="1899-12-30T22:15:00"/>
    <n v="78"/>
    <x v="1"/>
    <b v="1"/>
    <b v="0"/>
    <s v="Non-binary"/>
    <x v="1"/>
    <x v="0"/>
    <n v="30"/>
    <x v="3"/>
    <n v="0.15"/>
    <n v="25.5"/>
    <x v="1"/>
    <s v="Sacramento, CA"/>
    <n v="38.581600000000002"/>
    <n v="-121.4944"/>
    <d v="2025-03-30T00:00:00"/>
    <n v="3"/>
    <x v="1"/>
    <d v="2025-07-18T00:00:00"/>
    <s v="30–39"/>
    <s v="30–39"/>
  </r>
  <r>
    <n v="39"/>
    <x v="0"/>
    <n v="3"/>
    <s v="Sat, Tue, Wed"/>
    <b v="1"/>
    <d v="1899-12-30T16:37:00"/>
    <d v="1899-12-30T17:45:00"/>
    <n v="68"/>
    <x v="0"/>
    <b v="1"/>
    <b v="0"/>
    <s v="Female"/>
    <x v="0"/>
    <x v="0"/>
    <n v="50"/>
    <x v="3"/>
    <n v="0.15"/>
    <n v="42.5"/>
    <x v="0"/>
    <s v="San Francisco, CA"/>
    <n v="37.774900000000002"/>
    <n v="-122.4194"/>
    <d v="2025-03-23T00:00:00"/>
    <n v="3"/>
    <x v="0"/>
    <d v="2025-07-17T00:00:00"/>
    <s v="30–39"/>
    <s v="30–39"/>
  </r>
  <r>
    <n v="26"/>
    <x v="0"/>
    <n v="2"/>
    <s v="Sat, Thu"/>
    <b v="0"/>
    <d v="1899-12-30T17:57:00"/>
    <d v="1899-12-30T20:08:00"/>
    <n v="131"/>
    <x v="0"/>
    <b v="0"/>
    <b v="0"/>
    <s v="Male"/>
    <x v="0"/>
    <x v="0"/>
    <n v="50"/>
    <x v="3"/>
    <n v="0.15"/>
    <n v="42.5"/>
    <x v="0"/>
    <s v="Fresno, CA"/>
    <n v="36.7378"/>
    <n v="-119.7871"/>
    <d v="2022-11-13T00:00:00"/>
    <n v="0"/>
    <x v="1"/>
    <d v="2025-05-30T00:00:00"/>
    <s v="20–29"/>
    <s v="20–29"/>
  </r>
  <r>
    <n v="27"/>
    <x v="0"/>
    <n v="2"/>
    <s v="Thu, Wed"/>
    <b v="0"/>
    <d v="1899-12-30T20:44:00"/>
    <d v="1899-12-30T21:57:00"/>
    <n v="73"/>
    <x v="0"/>
    <b v="1"/>
    <b v="1"/>
    <s v="Male"/>
    <x v="0"/>
    <x v="0"/>
    <n v="50"/>
    <x v="1"/>
    <n v="0"/>
    <n v="50"/>
    <x v="0"/>
    <s v="Sacramento, CA"/>
    <n v="38.581600000000002"/>
    <n v="-121.4944"/>
    <d v="2024-11-30T00:00:00"/>
    <n v="3"/>
    <x v="0"/>
    <d v="2025-07-11T00:00:00"/>
    <s v="20–29"/>
    <s v="20–29"/>
  </r>
  <r>
    <n v="16"/>
    <x v="0"/>
    <n v="1"/>
    <s v="Wed"/>
    <b v="0"/>
    <d v="1899-12-30T08:41:00"/>
    <d v="1899-12-30T11:33:00"/>
    <n v="172"/>
    <x v="0"/>
    <b v="0"/>
    <b v="1"/>
    <s v="Female"/>
    <x v="0"/>
    <x v="1"/>
    <n v="37.5"/>
    <x v="0"/>
    <n v="0.05"/>
    <n v="35.625"/>
    <x v="0"/>
    <s v="San Francisco, CA"/>
    <n v="37.774900000000002"/>
    <n v="-122.4194"/>
    <d v="2024-07-13T00:00:00"/>
    <n v="0"/>
    <x v="0"/>
    <d v="2025-07-03T00:00:00"/>
    <s v="10–19"/>
    <s v="16–19"/>
  </r>
  <r>
    <n v="28"/>
    <x v="2"/>
    <n v="2"/>
    <s v="Fri, Tue"/>
    <b v="0"/>
    <d v="1899-12-30T14:12:00"/>
    <d v="1899-12-30T15:26:00"/>
    <n v="74"/>
    <x v="1"/>
    <b v="0"/>
    <b v="0"/>
    <s v="Female"/>
    <x v="2"/>
    <x v="0"/>
    <n v="20"/>
    <x v="0"/>
    <n v="0.05"/>
    <n v="19"/>
    <x v="2"/>
    <s v="Oakland, CA"/>
    <n v="37.804400000000001"/>
    <n v="-122.27119999999999"/>
    <d v="2024-10-24T00:00:00"/>
    <n v="0"/>
    <x v="1"/>
    <d v="2025-07-09T00:00:00"/>
    <s v="20–29"/>
    <s v="20–29"/>
  </r>
  <r>
    <n v="24"/>
    <x v="2"/>
    <n v="4"/>
    <s v="Fri, Sat, Sun, Wed"/>
    <b v="1"/>
    <d v="1899-12-30T13:12:00"/>
    <d v="1899-12-30T14:49:00"/>
    <n v="97"/>
    <x v="0"/>
    <b v="1"/>
    <b v="0"/>
    <s v="Female"/>
    <x v="2"/>
    <x v="0"/>
    <n v="20"/>
    <x v="3"/>
    <n v="0.15"/>
    <n v="17"/>
    <x v="2"/>
    <s v="Long Beach, CA"/>
    <n v="33.770099999999999"/>
    <n v="-118.19370000000001"/>
    <d v="2024-06-09T00:00:00"/>
    <n v="5"/>
    <x v="0"/>
    <d v="2025-07-01T00:00:00"/>
    <s v="20–29"/>
    <s v="20–29"/>
  </r>
  <r>
    <n v="43"/>
    <x v="1"/>
    <n v="1"/>
    <s v="Thu"/>
    <b v="0"/>
    <d v="1899-12-30T08:17:00"/>
    <d v="1899-12-30T09:08:00"/>
    <n v="51"/>
    <x v="0"/>
    <b v="1"/>
    <b v="1"/>
    <s v="Male"/>
    <x v="1"/>
    <x v="1"/>
    <n v="22.5"/>
    <x v="2"/>
    <n v="0.1"/>
    <n v="20.25"/>
    <x v="1"/>
    <s v="Fresno, CA"/>
    <n v="36.7378"/>
    <n v="-119.7871"/>
    <d v="2025-04-10T00:00:00"/>
    <n v="4"/>
    <x v="1"/>
    <d v="2025-07-18T00:00:00"/>
    <s v="40–49"/>
    <s v="40–49"/>
  </r>
  <r>
    <n v="24"/>
    <x v="0"/>
    <n v="2"/>
    <s v="Sun, Thu"/>
    <b v="0"/>
    <d v="1899-12-30T13:22:00"/>
    <d v="1899-12-30T14:37:00"/>
    <n v="75"/>
    <x v="1"/>
    <b v="1"/>
    <b v="0"/>
    <s v="Prefer not to say"/>
    <x v="0"/>
    <x v="2"/>
    <n v="45"/>
    <x v="0"/>
    <n v="0.05"/>
    <n v="42.75"/>
    <x v="0"/>
    <s v="Oakland, CA"/>
    <n v="37.804400000000001"/>
    <n v="-122.27119999999999"/>
    <d v="2023-12-18T00:00:00"/>
    <n v="2"/>
    <x v="0"/>
    <d v="2025-06-21T00:00:00"/>
    <s v="20–29"/>
    <s v="20–29"/>
  </r>
  <r>
    <n v="33"/>
    <x v="2"/>
    <n v="4"/>
    <s v="Fri, Mon, Sun, Thu"/>
    <b v="0"/>
    <d v="1899-12-30T10:24:00"/>
    <d v="1899-12-30T11:48:00"/>
    <n v="84"/>
    <x v="1"/>
    <b v="0"/>
    <b v="0"/>
    <s v="Male"/>
    <x v="2"/>
    <x v="0"/>
    <n v="20"/>
    <x v="2"/>
    <n v="0.1"/>
    <n v="18"/>
    <x v="2"/>
    <s v="San Diego, CA"/>
    <n v="32.715699999999998"/>
    <n v="-117.1611"/>
    <d v="2025-04-11T00:00:00"/>
    <n v="0"/>
    <x v="1"/>
    <d v="2025-07-18T00:00:00"/>
    <s v="30–39"/>
    <s v="30–39"/>
  </r>
  <r>
    <n v="45"/>
    <x v="0"/>
    <n v="3"/>
    <s v="Mon, Sun, Thu"/>
    <b v="0"/>
    <d v="1899-12-30T09:43:00"/>
    <d v="1899-12-30T11:16:00"/>
    <n v="93"/>
    <x v="1"/>
    <b v="0"/>
    <b v="1"/>
    <s v="Other (self-described)"/>
    <x v="0"/>
    <x v="0"/>
    <n v="50"/>
    <x v="1"/>
    <n v="0"/>
    <n v="50"/>
    <x v="0"/>
    <s v="San Diego, CA"/>
    <n v="32.715699999999998"/>
    <n v="-117.1611"/>
    <d v="2023-02-21T00:00:00"/>
    <n v="0"/>
    <x v="0"/>
    <d v="2025-06-04T00:00:00"/>
    <s v="40–49"/>
    <s v="40–49"/>
  </r>
  <r>
    <n v="21"/>
    <x v="3"/>
    <n v="3"/>
    <s v="Mon, Sat, Sun"/>
    <b v="0"/>
    <d v="1899-12-30T13:04:00"/>
    <d v="1899-12-30T14:21:00"/>
    <n v="77"/>
    <x v="1"/>
    <b v="0"/>
    <b v="0"/>
    <s v="Male"/>
    <x v="3"/>
    <x v="1"/>
    <n v="52.5"/>
    <x v="2"/>
    <n v="0.1"/>
    <n v="47.25"/>
    <x v="3"/>
    <s v="Anaheim, CA"/>
    <n v="33.836599999999997"/>
    <n v="-117.9143"/>
    <d v="2024-10-17T00:00:00"/>
    <n v="0"/>
    <x v="0"/>
    <d v="2025-07-08T00:00:00"/>
    <s v="20–29"/>
    <s v="20–29"/>
  </r>
  <r>
    <n v="24"/>
    <x v="1"/>
    <n v="1"/>
    <s v="Mon"/>
    <b v="0"/>
    <d v="1899-12-30T13:05:00"/>
    <d v="1899-12-30T15:29:00"/>
    <n v="144"/>
    <x v="0"/>
    <b v="1"/>
    <b v="1"/>
    <s v="Non-binary"/>
    <x v="1"/>
    <x v="0"/>
    <n v="30"/>
    <x v="1"/>
    <n v="0"/>
    <n v="30"/>
    <x v="1"/>
    <s v="San Francisco, CA"/>
    <n v="37.774900000000002"/>
    <n v="-122.4194"/>
    <d v="2023-11-25T00:00:00"/>
    <n v="3"/>
    <x v="1"/>
    <d v="2025-06-20T00:00:00"/>
    <s v="20–29"/>
    <s v="20–29"/>
  </r>
  <r>
    <n v="37"/>
    <x v="0"/>
    <n v="3"/>
    <s v="Mon, Tue, Wed"/>
    <b v="0"/>
    <d v="1899-12-30T20:35:00"/>
    <d v="1899-12-30T22:58:00"/>
    <n v="143"/>
    <x v="0"/>
    <b v="1"/>
    <b v="0"/>
    <s v="Male"/>
    <x v="0"/>
    <x v="0"/>
    <n v="50"/>
    <x v="0"/>
    <n v="0.05"/>
    <n v="47.5"/>
    <x v="0"/>
    <s v="Fresno, CA"/>
    <n v="36.7378"/>
    <n v="-119.7871"/>
    <d v="2022-11-28T00:00:00"/>
    <n v="6"/>
    <x v="1"/>
    <d v="2025-05-31T00:00:00"/>
    <s v="30–39"/>
    <s v="30–39"/>
  </r>
  <r>
    <n v="35"/>
    <x v="0"/>
    <n v="2"/>
    <s v="Fri, Sun"/>
    <b v="1"/>
    <d v="1899-12-30T14:22:00"/>
    <d v="1899-12-30T15:43:00"/>
    <n v="81"/>
    <x v="1"/>
    <b v="0"/>
    <b v="0"/>
    <s v="Non-binary"/>
    <x v="0"/>
    <x v="1"/>
    <n v="37.5"/>
    <x v="0"/>
    <n v="0.05"/>
    <n v="35.625"/>
    <x v="0"/>
    <s v="Oakland, CA"/>
    <n v="37.804400000000001"/>
    <n v="-122.27119999999999"/>
    <d v="2023-07-30T00:00:00"/>
    <n v="0"/>
    <x v="0"/>
    <d v="2025-06-13T00:00:00"/>
    <s v="30–39"/>
    <s v="30–39"/>
  </r>
  <r>
    <n v="43"/>
    <x v="1"/>
    <n v="3"/>
    <s v="Fri, Sun, Tue"/>
    <b v="0"/>
    <d v="1899-12-30T18:37:00"/>
    <d v="1899-12-30T20:15:00"/>
    <n v="98"/>
    <x v="0"/>
    <b v="1"/>
    <b v="1"/>
    <s v="Female"/>
    <x v="1"/>
    <x v="2"/>
    <n v="27"/>
    <x v="2"/>
    <n v="0.1"/>
    <n v="24.3"/>
    <x v="1"/>
    <s v="Fresno, CA"/>
    <n v="36.7378"/>
    <n v="-119.7871"/>
    <d v="2023-12-03T00:00:00"/>
    <n v="6"/>
    <x v="0"/>
    <d v="2025-06-21T00:00:00"/>
    <s v="40–49"/>
    <s v="40–49"/>
  </r>
  <r>
    <n v="14"/>
    <x v="2"/>
    <n v="2"/>
    <s v="Fri, Thu"/>
    <b v="1"/>
    <d v="1899-12-30T09:21:00"/>
    <d v="1899-12-30T12:12:00"/>
    <n v="171"/>
    <x v="0"/>
    <b v="1"/>
    <b v="0"/>
    <s v="Male"/>
    <x v="2"/>
    <x v="0"/>
    <n v="20"/>
    <x v="2"/>
    <n v="0.1"/>
    <n v="18"/>
    <x v="2"/>
    <s v="Bakersfield, CA"/>
    <n v="35.3733"/>
    <n v="-119.0187"/>
    <d v="2024-07-12T00:00:00"/>
    <n v="3"/>
    <x v="0"/>
    <d v="2025-07-03T00:00:00"/>
    <s v="10–19"/>
    <s v="Under 16"/>
  </r>
  <r>
    <n v="44"/>
    <x v="0"/>
    <n v="1"/>
    <s v="Sun"/>
    <b v="0"/>
    <d v="1899-12-30T15:34:00"/>
    <d v="1899-12-30T16:41:00"/>
    <n v="67"/>
    <x v="1"/>
    <b v="1"/>
    <b v="0"/>
    <s v="Female"/>
    <x v="0"/>
    <x v="0"/>
    <n v="50"/>
    <x v="1"/>
    <n v="0"/>
    <n v="50"/>
    <x v="0"/>
    <s v="Fresno, CA"/>
    <n v="36.7378"/>
    <n v="-119.7871"/>
    <d v="2024-07-03T00:00:00"/>
    <n v="8"/>
    <x v="0"/>
    <d v="2025-07-03T00:00:00"/>
    <s v="40–49"/>
    <s v="40–49"/>
  </r>
  <r>
    <n v="47"/>
    <x v="2"/>
    <n v="2"/>
    <s v="Mon, Sat"/>
    <b v="1"/>
    <d v="1899-12-30T14:42:00"/>
    <d v="1899-12-30T16:08:00"/>
    <n v="86"/>
    <x v="0"/>
    <b v="1"/>
    <b v="1"/>
    <s v="Prefer not to say"/>
    <x v="2"/>
    <x v="2"/>
    <n v="18"/>
    <x v="1"/>
    <n v="0"/>
    <n v="18"/>
    <x v="2"/>
    <s v="Bakersfield, CA"/>
    <n v="35.3733"/>
    <n v="-119.0187"/>
    <d v="2023-07-10T00:00:00"/>
    <n v="3"/>
    <x v="1"/>
    <d v="2025-06-12T00:00:00"/>
    <s v="40–49"/>
    <s v="40–49"/>
  </r>
  <r>
    <n v="30"/>
    <x v="3"/>
    <n v="3"/>
    <s v="Sat, Thu, Wed"/>
    <b v="1"/>
    <d v="1899-12-30T14:55:00"/>
    <d v="1899-12-30T16:01:00"/>
    <n v="66"/>
    <x v="0"/>
    <b v="1"/>
    <b v="1"/>
    <s v="Female"/>
    <x v="3"/>
    <x v="0"/>
    <n v="70"/>
    <x v="1"/>
    <n v="0"/>
    <n v="70"/>
    <x v="3"/>
    <s v="San Diego, CA"/>
    <n v="32.715699999999998"/>
    <n v="-117.1611"/>
    <d v="2022-07-30T00:00:00"/>
    <n v="2"/>
    <x v="0"/>
    <d v="2025-05-24T00:00:00"/>
    <s v="30–39"/>
    <s v="30–39"/>
  </r>
  <r>
    <n v="43"/>
    <x v="3"/>
    <n v="1"/>
    <s v="Fri"/>
    <b v="1"/>
    <d v="1899-12-30T20:09:00"/>
    <d v="1899-12-30T21:57:00"/>
    <n v="108"/>
    <x v="0"/>
    <b v="0"/>
    <b v="1"/>
    <s v="Prefer not to say"/>
    <x v="3"/>
    <x v="0"/>
    <n v="70"/>
    <x v="1"/>
    <n v="0"/>
    <n v="70"/>
    <x v="3"/>
    <s v="Anaheim, CA"/>
    <n v="33.836599999999997"/>
    <n v="-117.9143"/>
    <d v="2023-07-19T00:00:00"/>
    <n v="0"/>
    <x v="0"/>
    <d v="2025-06-13T00:00:00"/>
    <s v="40–49"/>
    <s v="40–49"/>
  </r>
  <r>
    <n v="41"/>
    <x v="2"/>
    <n v="4"/>
    <s v="Mon, Sun, Tue, Wed"/>
    <b v="1"/>
    <d v="1899-12-30T10:09:00"/>
    <d v="1899-12-30T10:57:00"/>
    <n v="48"/>
    <x v="1"/>
    <b v="0"/>
    <b v="0"/>
    <s v="Female"/>
    <x v="2"/>
    <x v="0"/>
    <n v="20"/>
    <x v="0"/>
    <n v="0.05"/>
    <n v="19"/>
    <x v="2"/>
    <s v="Anaheim, CA"/>
    <n v="33.836599999999997"/>
    <n v="-117.9143"/>
    <d v="2023-11-06T00:00:00"/>
    <n v="0"/>
    <x v="0"/>
    <d v="2025-06-19T00:00:00"/>
    <s v="40–49"/>
    <s v="40–49"/>
  </r>
  <r>
    <n v="43"/>
    <x v="0"/>
    <n v="5"/>
    <s v="Fri, Mon, Sat, Thu, Wed"/>
    <b v="0"/>
    <d v="1899-12-30T17:52:00"/>
    <d v="1899-12-30T20:52:00"/>
    <n v="180"/>
    <x v="0"/>
    <b v="1"/>
    <b v="0"/>
    <s v="Male"/>
    <x v="0"/>
    <x v="1"/>
    <n v="37.5"/>
    <x v="1"/>
    <n v="0"/>
    <n v="37.5"/>
    <x v="0"/>
    <s v="San Francisco, CA"/>
    <n v="37.774900000000002"/>
    <n v="-122.4194"/>
    <d v="2023-05-06T00:00:00"/>
    <n v="3"/>
    <x v="0"/>
    <d v="2025-06-09T00:00:00"/>
    <s v="40–49"/>
    <s v="40–49"/>
  </r>
  <r>
    <n v="15"/>
    <x v="1"/>
    <n v="3"/>
    <s v="Fri, Sun, Thu"/>
    <b v="0"/>
    <d v="1899-12-30T14:33:00"/>
    <d v="1899-12-30T16:48:00"/>
    <n v="135"/>
    <x v="0"/>
    <b v="0"/>
    <b v="1"/>
    <s v="Male"/>
    <x v="1"/>
    <x v="0"/>
    <n v="30"/>
    <x v="2"/>
    <n v="0.1"/>
    <n v="27"/>
    <x v="1"/>
    <s v="San Jose, CA"/>
    <n v="37.338200000000001"/>
    <n v="-121.88630000000001"/>
    <d v="2024-02-13T00:00:00"/>
    <n v="0"/>
    <x v="1"/>
    <d v="2025-06-25T00:00:00"/>
    <s v="10–19"/>
    <s v="Under 16"/>
  </r>
  <r>
    <n v="47"/>
    <x v="2"/>
    <n v="2"/>
    <s v="Mon, Sat"/>
    <b v="1"/>
    <d v="1899-12-30T14:42:00"/>
    <d v="1899-12-30T16:08:00"/>
    <n v="86"/>
    <x v="0"/>
    <b v="1"/>
    <b v="1"/>
    <s v="Prefer not to say"/>
    <x v="2"/>
    <x v="2"/>
    <n v="18"/>
    <x v="1"/>
    <n v="0"/>
    <n v="18"/>
    <x v="2"/>
    <s v="Bakersfield, CA"/>
    <n v="35.3733"/>
    <n v="-119.0187"/>
    <d v="2025-04-19T00:00:00"/>
    <n v="2"/>
    <x v="1"/>
    <d v="2025-07-19T00:00:00"/>
    <s v="40–49"/>
    <s v="40–49"/>
  </r>
  <r>
    <n v="18"/>
    <x v="1"/>
    <n v="2"/>
    <s v="Thu, Tue"/>
    <b v="0"/>
    <d v="1899-12-30T16:41:00"/>
    <d v="1899-12-30T19:00:00"/>
    <n v="139"/>
    <x v="1"/>
    <b v="0"/>
    <b v="0"/>
    <s v="Female"/>
    <x v="1"/>
    <x v="1"/>
    <n v="22.5"/>
    <x v="1"/>
    <n v="0"/>
    <n v="22.5"/>
    <x v="1"/>
    <s v="Bakersfield, CA"/>
    <n v="35.3733"/>
    <n v="-119.0187"/>
    <d v="2023-11-02T00:00:00"/>
    <n v="0"/>
    <x v="1"/>
    <d v="2025-06-19T00:00:00"/>
    <s v="10–19"/>
    <s v="16–19"/>
  </r>
  <r>
    <n v="25"/>
    <x v="3"/>
    <n v="4"/>
    <s v="Fri, Thu, Tue, Wed"/>
    <b v="1"/>
    <d v="1899-12-30T09:25:00"/>
    <d v="1899-12-30T10:36:00"/>
    <n v="71"/>
    <x v="0"/>
    <b v="0"/>
    <b v="1"/>
    <s v="Male"/>
    <x v="3"/>
    <x v="2"/>
    <n v="63"/>
    <x v="1"/>
    <n v="0"/>
    <n v="63"/>
    <x v="3"/>
    <s v="San Francisco, CA"/>
    <n v="37.774900000000002"/>
    <n v="-122.4194"/>
    <d v="2022-09-07T00:00:00"/>
    <n v="0"/>
    <x v="0"/>
    <d v="2025-05-26T00:00:00"/>
    <s v="20–29"/>
    <s v="20–29"/>
  </r>
  <r>
    <n v="45"/>
    <x v="2"/>
    <n v="2"/>
    <s v="Fri, Wed"/>
    <b v="1"/>
    <d v="1899-12-30T18:26:00"/>
    <d v="1899-12-30T21:21:00"/>
    <n v="175"/>
    <x v="1"/>
    <b v="1"/>
    <b v="0"/>
    <s v="Male"/>
    <x v="2"/>
    <x v="1"/>
    <n v="15"/>
    <x v="3"/>
    <n v="0.15"/>
    <n v="12.75"/>
    <x v="2"/>
    <s v="San Francisco, CA"/>
    <n v="37.774900000000002"/>
    <n v="-122.4194"/>
    <d v="2024-12-18T00:00:00"/>
    <n v="6"/>
    <x v="0"/>
    <d v="2025-07-12T00:00:00"/>
    <s v="40–49"/>
    <s v="40–49"/>
  </r>
  <r>
    <n v="41"/>
    <x v="2"/>
    <n v="2"/>
    <s v="Sun, Tue"/>
    <b v="1"/>
    <d v="1899-12-30T14:06:00"/>
    <d v="1899-12-30T16:06:00"/>
    <n v="120"/>
    <x v="1"/>
    <b v="1"/>
    <b v="1"/>
    <s v="Prefer not to say"/>
    <x v="2"/>
    <x v="0"/>
    <n v="20"/>
    <x v="3"/>
    <n v="0.15"/>
    <n v="17"/>
    <x v="2"/>
    <s v="Anaheim, CA"/>
    <n v="33.836599999999997"/>
    <n v="-117.9143"/>
    <d v="2023-06-19T00:00:00"/>
    <n v="3"/>
    <x v="0"/>
    <d v="2025-06-11T00:00:00"/>
    <s v="40–49"/>
    <s v="40–49"/>
  </r>
  <r>
    <n v="33"/>
    <x v="3"/>
    <n v="3"/>
    <s v="Mon, Sat, Thu"/>
    <b v="0"/>
    <d v="1899-12-30T19:30:00"/>
    <d v="1899-12-30T21:59:00"/>
    <n v="149"/>
    <x v="1"/>
    <b v="0"/>
    <b v="1"/>
    <s v="Male"/>
    <x v="3"/>
    <x v="1"/>
    <n v="52.5"/>
    <x v="1"/>
    <n v="0"/>
    <n v="52.5"/>
    <x v="3"/>
    <s v="Fresno, CA"/>
    <n v="36.7378"/>
    <n v="-119.7871"/>
    <d v="2024-11-21T00:00:00"/>
    <n v="0"/>
    <x v="1"/>
    <d v="2025-07-10T00:00:00"/>
    <s v="30–39"/>
    <s v="30–39"/>
  </r>
  <r>
    <n v="18"/>
    <x v="3"/>
    <n v="2"/>
    <s v="Sat, Tue"/>
    <b v="1"/>
    <d v="1899-12-30T15:53:00"/>
    <d v="1899-12-30T16:42:00"/>
    <n v="49"/>
    <x v="0"/>
    <b v="1"/>
    <b v="0"/>
    <s v="Male"/>
    <x v="3"/>
    <x v="0"/>
    <n v="70"/>
    <x v="2"/>
    <n v="0.1"/>
    <n v="63"/>
    <x v="3"/>
    <s v="Long Beach, CA"/>
    <n v="33.770099999999999"/>
    <n v="-118.19370000000001"/>
    <d v="2023-11-30T00:00:00"/>
    <n v="5"/>
    <x v="1"/>
    <d v="2025-06-20T00:00:00"/>
    <s v="10–19"/>
    <s v="16–19"/>
  </r>
  <r>
    <n v="39"/>
    <x v="3"/>
    <n v="2"/>
    <s v="Fri, Sat"/>
    <b v="0"/>
    <d v="1899-12-30T20:04:00"/>
    <d v="1899-12-30T20:43:00"/>
    <n v="39"/>
    <x v="0"/>
    <b v="0"/>
    <b v="0"/>
    <s v="Female"/>
    <x v="3"/>
    <x v="2"/>
    <n v="63"/>
    <x v="3"/>
    <n v="0.15"/>
    <n v="53.55"/>
    <x v="3"/>
    <s v="San Francisco, CA"/>
    <n v="37.774900000000002"/>
    <n v="-122.4194"/>
    <d v="2025-03-12T00:00:00"/>
    <n v="0"/>
    <x v="0"/>
    <d v="2025-07-17T00:00:00"/>
    <s v="30–39"/>
    <s v="30–39"/>
  </r>
  <r>
    <n v="32"/>
    <x v="0"/>
    <n v="5"/>
    <s v="Fri, Sat, Sun, Tue, Wed"/>
    <b v="1"/>
    <d v="1899-12-30T19:41:00"/>
    <d v="1899-12-30T21:35:00"/>
    <n v="114"/>
    <x v="1"/>
    <b v="1"/>
    <b v="0"/>
    <s v="Female"/>
    <x v="0"/>
    <x v="2"/>
    <n v="45"/>
    <x v="3"/>
    <n v="0.15"/>
    <n v="38.25"/>
    <x v="0"/>
    <s v="San Diego, CA"/>
    <n v="32.715699999999998"/>
    <n v="-117.1611"/>
    <d v="2024-02-29T00:00:00"/>
    <n v="7"/>
    <x v="0"/>
    <d v="2025-06-25T00:00:00"/>
    <s v="30–39"/>
    <s v="30–39"/>
  </r>
  <r>
    <n v="15"/>
    <x v="1"/>
    <n v="3"/>
    <s v="Fri, Sun, Thu"/>
    <b v="0"/>
    <d v="1899-12-30T14:33:00"/>
    <d v="1899-12-30T16:48:00"/>
    <n v="135"/>
    <x v="0"/>
    <b v="0"/>
    <b v="1"/>
    <s v="Male"/>
    <x v="1"/>
    <x v="0"/>
    <n v="30"/>
    <x v="2"/>
    <n v="0.1"/>
    <n v="27"/>
    <x v="1"/>
    <s v="San Jose, CA"/>
    <n v="37.338200000000001"/>
    <n v="-121.88630000000001"/>
    <d v="2023-04-09T00:00:00"/>
    <n v="0"/>
    <x v="1"/>
    <d v="2025-06-07T00:00:00"/>
    <s v="10–19"/>
    <s v="Under 16"/>
  </r>
  <r>
    <n v="30"/>
    <x v="2"/>
    <n v="5"/>
    <s v="Fri, Mon, Sun, Thu, Wed"/>
    <b v="0"/>
    <d v="1899-12-30T17:29:00"/>
    <d v="1899-12-30T18:25:00"/>
    <n v="56"/>
    <x v="0"/>
    <b v="1"/>
    <b v="0"/>
    <s v="Non-binary"/>
    <x v="2"/>
    <x v="0"/>
    <n v="20"/>
    <x v="3"/>
    <n v="0.15"/>
    <n v="17"/>
    <x v="2"/>
    <s v="Fresno, CA"/>
    <n v="36.7378"/>
    <n v="-119.7871"/>
    <d v="2024-06-17T00:00:00"/>
    <n v="5"/>
    <x v="1"/>
    <d v="2025-07-02T00:00:00"/>
    <s v="30–39"/>
    <s v="30–39"/>
  </r>
  <r>
    <n v="47"/>
    <x v="2"/>
    <n v="5"/>
    <s v="Sat, Sun, Thu, Tue, Wed"/>
    <b v="0"/>
    <d v="1899-12-30T11:26:00"/>
    <d v="1899-12-30T12:55:00"/>
    <n v="89"/>
    <x v="0"/>
    <b v="0"/>
    <b v="1"/>
    <s v="Non-binary"/>
    <x v="2"/>
    <x v="0"/>
    <n v="20"/>
    <x v="3"/>
    <n v="0.15"/>
    <n v="17"/>
    <x v="2"/>
    <s v="San Jose, CA"/>
    <n v="37.338200000000001"/>
    <n v="-121.88630000000001"/>
    <d v="2023-07-15T00:00:00"/>
    <n v="0"/>
    <x v="1"/>
    <d v="2025-06-13T00:00:00"/>
    <s v="40–49"/>
    <s v="40–49"/>
  </r>
  <r>
    <n v="30"/>
    <x v="3"/>
    <n v="3"/>
    <s v="Sat, Thu, Wed"/>
    <b v="1"/>
    <d v="1899-12-30T14:55:00"/>
    <d v="1899-12-30T16:01:00"/>
    <n v="66"/>
    <x v="0"/>
    <b v="1"/>
    <b v="1"/>
    <s v="Female"/>
    <x v="3"/>
    <x v="0"/>
    <n v="70"/>
    <x v="1"/>
    <n v="0"/>
    <n v="70"/>
    <x v="3"/>
    <s v="San Diego, CA"/>
    <n v="32.715699999999998"/>
    <n v="-117.1611"/>
    <d v="2023-02-26T00:00:00"/>
    <n v="6"/>
    <x v="0"/>
    <d v="2025-06-05T00:00:00"/>
    <s v="30–39"/>
    <s v="30–39"/>
  </r>
  <r>
    <n v="17"/>
    <x v="2"/>
    <n v="2"/>
    <s v="Tue, Wed"/>
    <b v="1"/>
    <d v="1899-12-30T12:09:00"/>
    <d v="1899-12-30T14:55:00"/>
    <n v="166"/>
    <x v="1"/>
    <b v="1"/>
    <b v="1"/>
    <s v="Prefer not to say"/>
    <x v="2"/>
    <x v="0"/>
    <n v="20"/>
    <x v="3"/>
    <n v="0.15"/>
    <n v="17"/>
    <x v="2"/>
    <s v="Anaheim, CA"/>
    <n v="33.836599999999997"/>
    <n v="-117.9143"/>
    <d v="2022-10-09T00:00:00"/>
    <n v="2"/>
    <x v="0"/>
    <d v="2025-05-28T00:00:00"/>
    <s v="10–19"/>
    <s v="16–19"/>
  </r>
  <r>
    <n v="48"/>
    <x v="1"/>
    <n v="3"/>
    <s v="Mon, Tue, Wed"/>
    <b v="0"/>
    <d v="1899-12-30T15:32:00"/>
    <d v="1899-12-30T16:25:00"/>
    <n v="53"/>
    <x v="1"/>
    <b v="1"/>
    <b v="1"/>
    <s v="Male"/>
    <x v="1"/>
    <x v="0"/>
    <n v="30"/>
    <x v="2"/>
    <n v="0.1"/>
    <n v="27"/>
    <x v="1"/>
    <s v="Fresno, CA"/>
    <n v="36.7378"/>
    <n v="-119.7871"/>
    <d v="2024-10-16T00:00:00"/>
    <n v="5"/>
    <x v="1"/>
    <d v="2025-07-08T00:00:00"/>
    <s v="40–49"/>
    <s v="40–49"/>
  </r>
  <r>
    <n v="32"/>
    <x v="2"/>
    <n v="5"/>
    <s v="Sat, Sun, Thu, Tue, Wed"/>
    <b v="0"/>
    <d v="1899-12-30T11:08:00"/>
    <d v="1899-12-30T13:20:00"/>
    <n v="132"/>
    <x v="1"/>
    <b v="0"/>
    <b v="1"/>
    <s v="Female"/>
    <x v="2"/>
    <x v="2"/>
    <n v="18"/>
    <x v="1"/>
    <n v="0"/>
    <n v="18"/>
    <x v="2"/>
    <s v="San Jose, CA"/>
    <n v="37.338200000000001"/>
    <n v="-121.88630000000001"/>
    <d v="2024-04-23T00:00:00"/>
    <n v="0"/>
    <x v="1"/>
    <d v="2025-06-29T00:00:00"/>
    <s v="30–39"/>
    <s v="30–39"/>
  </r>
  <r>
    <n v="12"/>
    <x v="0"/>
    <n v="3"/>
    <s v="Fri, Mon, Wed"/>
    <b v="1"/>
    <d v="1899-12-30T14:54:00"/>
    <d v="1899-12-30T16:52:00"/>
    <n v="118"/>
    <x v="0"/>
    <b v="0"/>
    <b v="0"/>
    <s v="Female"/>
    <x v="0"/>
    <x v="0"/>
    <n v="50"/>
    <x v="0"/>
    <n v="0.05"/>
    <n v="47.5"/>
    <x v="0"/>
    <s v="Los Angeles, CA"/>
    <n v="34.052199999999999"/>
    <n v="-118.2437"/>
    <d v="2025-01-11T00:00:00"/>
    <n v="0"/>
    <x v="0"/>
    <d v="2025-07-13T00:00:00"/>
    <s v="10–19"/>
    <s v="Under 16"/>
  </r>
  <r>
    <n v="30"/>
    <x v="1"/>
    <n v="3"/>
    <s v="Fri, Thu, Tue"/>
    <b v="0"/>
    <d v="1899-12-30T08:05:00"/>
    <d v="1899-12-30T09:06:00"/>
    <n v="61"/>
    <x v="1"/>
    <b v="1"/>
    <b v="0"/>
    <s v="Prefer not to say"/>
    <x v="1"/>
    <x v="1"/>
    <n v="22.5"/>
    <x v="0"/>
    <n v="0.05"/>
    <n v="21.375"/>
    <x v="1"/>
    <s v="Long Beach, CA"/>
    <n v="33.770099999999999"/>
    <n v="-118.19370000000001"/>
    <d v="2022-08-01T00:00:00"/>
    <n v="2"/>
    <x v="0"/>
    <d v="2025-05-24T00:00:00"/>
    <s v="30–39"/>
    <s v="30–39"/>
  </r>
  <r>
    <n v="49"/>
    <x v="2"/>
    <n v="1"/>
    <s v="Fri"/>
    <b v="1"/>
    <d v="1899-12-30T15:17:00"/>
    <d v="1899-12-30T17:00:00"/>
    <n v="103"/>
    <x v="1"/>
    <b v="0"/>
    <b v="0"/>
    <s v="Non-binary"/>
    <x v="2"/>
    <x v="0"/>
    <n v="20"/>
    <x v="0"/>
    <n v="0.05"/>
    <n v="19"/>
    <x v="2"/>
    <s v="San Francisco, CA"/>
    <n v="37.774900000000002"/>
    <n v="-122.4194"/>
    <d v="2022-10-09T00:00:00"/>
    <n v="0"/>
    <x v="1"/>
    <d v="2025-05-28T00:00:00"/>
    <s v="40–49"/>
    <s v="40–49"/>
  </r>
  <r>
    <n v="35"/>
    <x v="1"/>
    <n v="3"/>
    <s v="Sun, Tue, Wed"/>
    <b v="0"/>
    <d v="1899-12-30T15:02:00"/>
    <d v="1899-12-30T16:29:00"/>
    <n v="87"/>
    <x v="0"/>
    <b v="0"/>
    <b v="0"/>
    <s v="Male"/>
    <x v="1"/>
    <x v="0"/>
    <n v="30"/>
    <x v="2"/>
    <n v="0.1"/>
    <n v="27"/>
    <x v="1"/>
    <s v="Bakersfield, CA"/>
    <n v="35.3733"/>
    <n v="-119.0187"/>
    <d v="2023-11-25T00:00:00"/>
    <n v="0"/>
    <x v="1"/>
    <d v="2025-06-20T00:00:00"/>
    <s v="30–39"/>
    <s v="30–39"/>
  </r>
  <r>
    <n v="24"/>
    <x v="0"/>
    <n v="1"/>
    <s v="Sat"/>
    <b v="0"/>
    <d v="1899-12-30T16:51:00"/>
    <d v="1899-12-30T18:31:00"/>
    <n v="100"/>
    <x v="0"/>
    <b v="1"/>
    <b v="1"/>
    <s v="Female"/>
    <x v="0"/>
    <x v="0"/>
    <n v="50"/>
    <x v="1"/>
    <n v="0"/>
    <n v="50"/>
    <x v="0"/>
    <s v="Sacramento, CA"/>
    <n v="38.581600000000002"/>
    <n v="-121.4944"/>
    <d v="2023-01-08T00:00:00"/>
    <n v="5"/>
    <x v="1"/>
    <d v="2025-06-02T00:00:00"/>
    <s v="20–29"/>
    <s v="20–29"/>
  </r>
  <r>
    <n v="49"/>
    <x v="0"/>
    <n v="2"/>
    <s v="Tue, Wed"/>
    <b v="0"/>
    <d v="1899-12-30T10:11:00"/>
    <d v="1899-12-30T11:28:00"/>
    <n v="77"/>
    <x v="1"/>
    <b v="1"/>
    <b v="0"/>
    <s v="Female"/>
    <x v="0"/>
    <x v="0"/>
    <n v="50"/>
    <x v="1"/>
    <n v="0"/>
    <n v="50"/>
    <x v="0"/>
    <s v="Bakersfield, CA"/>
    <n v="35.3733"/>
    <n v="-119.0187"/>
    <d v="2023-12-16T00:00:00"/>
    <n v="5"/>
    <x v="0"/>
    <d v="2025-06-21T00:00:00"/>
    <s v="40–49"/>
    <s v="40–49"/>
  </r>
  <r>
    <n v="26"/>
    <x v="1"/>
    <n v="3"/>
    <s v="Fri, Mon, Sat"/>
    <b v="1"/>
    <d v="1899-12-30T15:06:00"/>
    <d v="1899-12-30T17:40:00"/>
    <n v="154"/>
    <x v="1"/>
    <b v="0"/>
    <b v="1"/>
    <s v="Male"/>
    <x v="1"/>
    <x v="0"/>
    <n v="30"/>
    <x v="2"/>
    <n v="0.1"/>
    <n v="27"/>
    <x v="1"/>
    <s v="Sacramento, CA"/>
    <n v="38.581600000000002"/>
    <n v="-121.4944"/>
    <d v="2023-08-28T00:00:00"/>
    <n v="0"/>
    <x v="1"/>
    <d v="2025-06-15T00:00:00"/>
    <s v="20–29"/>
    <s v="20–29"/>
  </r>
  <r>
    <n v="21"/>
    <x v="2"/>
    <n v="5"/>
    <s v="Fri, Mon, Sat, Tue, Wed"/>
    <b v="1"/>
    <d v="1899-12-30T11:36:00"/>
    <d v="1899-12-30T14:23:00"/>
    <n v="167"/>
    <x v="0"/>
    <b v="0"/>
    <b v="0"/>
    <s v="Female"/>
    <x v="2"/>
    <x v="1"/>
    <n v="15"/>
    <x v="1"/>
    <n v="0"/>
    <n v="15"/>
    <x v="2"/>
    <s v="Anaheim, CA"/>
    <n v="33.836599999999997"/>
    <n v="-117.9143"/>
    <d v="2025-03-20T00:00:00"/>
    <n v="0"/>
    <x v="0"/>
    <d v="2025-07-17T00:00:00"/>
    <s v="20–29"/>
    <s v="20–29"/>
  </r>
  <r>
    <n v="45"/>
    <x v="1"/>
    <n v="2"/>
    <s v="Mon, Wed"/>
    <b v="1"/>
    <d v="1899-12-30T08:12:00"/>
    <d v="1899-12-30T10:09:00"/>
    <n v="117"/>
    <x v="1"/>
    <b v="0"/>
    <b v="0"/>
    <s v="Prefer not to say"/>
    <x v="1"/>
    <x v="0"/>
    <n v="30"/>
    <x v="3"/>
    <n v="0.15"/>
    <n v="25.5"/>
    <x v="1"/>
    <s v="Long Beach, CA"/>
    <n v="33.770099999999999"/>
    <n v="-118.19370000000001"/>
    <d v="2023-04-10T00:00:00"/>
    <n v="0"/>
    <x v="1"/>
    <d v="2025-06-07T00:00:00"/>
    <s v="40–49"/>
    <s v="40–49"/>
  </r>
  <r>
    <n v="47"/>
    <x v="1"/>
    <n v="2"/>
    <s v="Fri, Sun"/>
    <b v="0"/>
    <d v="1899-12-30T09:58:00"/>
    <d v="1899-12-30T12:31:00"/>
    <n v="153"/>
    <x v="0"/>
    <b v="0"/>
    <b v="1"/>
    <s v="Female"/>
    <x v="1"/>
    <x v="1"/>
    <n v="22.5"/>
    <x v="0"/>
    <n v="0.05"/>
    <n v="21.375"/>
    <x v="1"/>
    <s v="Fresno, CA"/>
    <n v="36.7378"/>
    <n v="-119.7871"/>
    <d v="2025-02-06T00:00:00"/>
    <n v="0"/>
    <x v="1"/>
    <d v="2025-07-15T00:00:00"/>
    <s v="40–49"/>
    <s v="40–49"/>
  </r>
  <r>
    <n v="36"/>
    <x v="0"/>
    <n v="2"/>
    <s v="Mon, Sat"/>
    <b v="1"/>
    <d v="1899-12-30T09:08:00"/>
    <d v="1899-12-30T11:19:00"/>
    <n v="131"/>
    <x v="1"/>
    <b v="1"/>
    <b v="0"/>
    <s v="Female"/>
    <x v="0"/>
    <x v="0"/>
    <n v="50"/>
    <x v="3"/>
    <n v="0.15"/>
    <n v="42.5"/>
    <x v="0"/>
    <s v="Anaheim, CA"/>
    <n v="33.836599999999997"/>
    <n v="-117.9143"/>
    <d v="2023-01-25T00:00:00"/>
    <n v="2"/>
    <x v="0"/>
    <d v="2025-06-03T00:00:00"/>
    <s v="30–39"/>
    <s v="30–39"/>
  </r>
  <r>
    <n v="25"/>
    <x v="0"/>
    <n v="2"/>
    <s v="Tue, Wed"/>
    <b v="0"/>
    <d v="1899-12-30T20:20:00"/>
    <d v="1899-12-30T23:10:00"/>
    <n v="170"/>
    <x v="1"/>
    <b v="0"/>
    <b v="0"/>
    <s v="Prefer not to say"/>
    <x v="0"/>
    <x v="2"/>
    <n v="45"/>
    <x v="0"/>
    <n v="0.05"/>
    <n v="42.75"/>
    <x v="0"/>
    <s v="Fresno, CA"/>
    <n v="36.7378"/>
    <n v="-119.7871"/>
    <d v="2023-03-13T00:00:00"/>
    <n v="0"/>
    <x v="0"/>
    <d v="2025-06-06T00:00:00"/>
    <s v="20–29"/>
    <s v="20–29"/>
  </r>
  <r>
    <n v="32"/>
    <x v="0"/>
    <n v="5"/>
    <s v="Fri, Sat, Sun, Tue, Wed"/>
    <b v="1"/>
    <d v="1899-12-30T19:41:00"/>
    <d v="1899-12-30T21:35:00"/>
    <n v="114"/>
    <x v="1"/>
    <b v="1"/>
    <b v="0"/>
    <s v="Female"/>
    <x v="0"/>
    <x v="2"/>
    <n v="45"/>
    <x v="3"/>
    <n v="0.15"/>
    <n v="38.25"/>
    <x v="0"/>
    <s v="San Diego, CA"/>
    <n v="32.715699999999998"/>
    <n v="-117.1611"/>
    <d v="2023-05-30T00:00:00"/>
    <n v="4"/>
    <x v="0"/>
    <d v="2025-06-10T00:00:00"/>
    <s v="30–39"/>
    <s v="30–39"/>
  </r>
  <r>
    <n v="19"/>
    <x v="2"/>
    <n v="2"/>
    <s v="Sat, Tue"/>
    <b v="0"/>
    <d v="1899-12-30T16:57:00"/>
    <d v="1899-12-30T18:54:00"/>
    <n v="117"/>
    <x v="1"/>
    <b v="1"/>
    <b v="0"/>
    <s v="Female"/>
    <x v="2"/>
    <x v="1"/>
    <n v="15"/>
    <x v="1"/>
    <n v="0"/>
    <n v="15"/>
    <x v="2"/>
    <s v="Sacramento, CA"/>
    <n v="38.581600000000002"/>
    <n v="-121.4944"/>
    <d v="2025-05-15T00:00:00"/>
    <n v="5"/>
    <x v="0"/>
    <d v="2025-07-20T00:00:00"/>
    <s v="10–19"/>
    <s v="16–19"/>
  </r>
  <r>
    <n v="13"/>
    <x v="1"/>
    <n v="3"/>
    <s v="Fri, Sat, Wed"/>
    <b v="1"/>
    <d v="1899-12-30T13:37:00"/>
    <d v="1899-12-30T14:09:00"/>
    <n v="32"/>
    <x v="1"/>
    <b v="0"/>
    <b v="0"/>
    <s v="Male"/>
    <x v="1"/>
    <x v="1"/>
    <n v="22.5"/>
    <x v="1"/>
    <n v="0"/>
    <n v="22.5"/>
    <x v="1"/>
    <s v="Long Beach, CA"/>
    <n v="33.770099999999999"/>
    <n v="-118.19370000000001"/>
    <d v="2024-08-04T00:00:00"/>
    <n v="0"/>
    <x v="1"/>
    <d v="2025-07-04T00:00:00"/>
    <s v="10–19"/>
    <s v="Under 16"/>
  </r>
  <r>
    <n v="20"/>
    <x v="3"/>
    <n v="3"/>
    <s v="Fri, Mon, Thu"/>
    <b v="1"/>
    <d v="1899-12-30T17:30:00"/>
    <d v="1899-12-30T19:17:00"/>
    <n v="107"/>
    <x v="0"/>
    <b v="1"/>
    <b v="1"/>
    <s v="Female"/>
    <x v="3"/>
    <x v="0"/>
    <n v="70"/>
    <x v="3"/>
    <n v="0.15"/>
    <n v="59.5"/>
    <x v="3"/>
    <s v="Sacramento, CA"/>
    <n v="38.581600000000002"/>
    <n v="-121.4944"/>
    <d v="2024-09-15T00:00:00"/>
    <n v="3"/>
    <x v="0"/>
    <d v="2025-07-07T00:00:00"/>
    <s v="20–29"/>
    <s v="20–29"/>
  </r>
  <r>
    <n v="43"/>
    <x v="2"/>
    <n v="2"/>
    <s v="Fri, Wed"/>
    <b v="0"/>
    <d v="1899-12-30T13:10:00"/>
    <d v="1899-12-30T14:25:00"/>
    <n v="75"/>
    <x v="0"/>
    <b v="1"/>
    <b v="1"/>
    <s v="Female"/>
    <x v="2"/>
    <x v="0"/>
    <n v="20"/>
    <x v="3"/>
    <n v="0.15"/>
    <n v="17"/>
    <x v="2"/>
    <s v="Long Beach, CA"/>
    <n v="33.770099999999999"/>
    <n v="-118.19370000000001"/>
    <d v="2024-06-04T00:00:00"/>
    <n v="7"/>
    <x v="0"/>
    <d v="2025-07-01T00:00:00"/>
    <s v="40–49"/>
    <s v="40–49"/>
  </r>
  <r>
    <n v="26"/>
    <x v="1"/>
    <n v="4"/>
    <s v="Mon, Sat, Thu, Wed"/>
    <b v="1"/>
    <d v="1899-12-30T13:03:00"/>
    <d v="1899-12-30T15:39:00"/>
    <n v="156"/>
    <x v="0"/>
    <b v="1"/>
    <b v="1"/>
    <s v="Prefer not to say"/>
    <x v="1"/>
    <x v="1"/>
    <n v="22.5"/>
    <x v="0"/>
    <n v="0.05"/>
    <n v="21.375"/>
    <x v="1"/>
    <s v="Sacramento, CA"/>
    <n v="38.581600000000002"/>
    <n v="-121.4944"/>
    <d v="2025-03-21T00:00:00"/>
    <n v="6"/>
    <x v="1"/>
    <d v="2025-07-17T00:00:00"/>
    <s v="20–29"/>
    <s v="20–29"/>
  </r>
  <r>
    <n v="35"/>
    <x v="0"/>
    <n v="1"/>
    <s v="Fri"/>
    <b v="1"/>
    <d v="1899-12-30T19:27:00"/>
    <d v="1899-12-30T22:03:00"/>
    <n v="156"/>
    <x v="0"/>
    <b v="0"/>
    <b v="0"/>
    <s v="Female"/>
    <x v="0"/>
    <x v="1"/>
    <n v="37.5"/>
    <x v="1"/>
    <n v="0"/>
    <n v="37.5"/>
    <x v="0"/>
    <s v="San Francisco, CA"/>
    <n v="37.774900000000002"/>
    <n v="-122.4194"/>
    <d v="2022-09-29T00:00:00"/>
    <n v="0"/>
    <x v="0"/>
    <d v="2025-05-27T00:00:00"/>
    <s v="30–39"/>
    <s v="30–39"/>
  </r>
  <r>
    <n v="19"/>
    <x v="2"/>
    <n v="4"/>
    <s v="Sat, Sun, Tue, Wed"/>
    <b v="1"/>
    <d v="1899-12-30T15:49:00"/>
    <d v="1899-12-30T17:10:00"/>
    <n v="81"/>
    <x v="1"/>
    <b v="0"/>
    <b v="0"/>
    <s v="Male"/>
    <x v="2"/>
    <x v="0"/>
    <n v="20"/>
    <x v="2"/>
    <n v="0.1"/>
    <n v="18"/>
    <x v="2"/>
    <s v="San Jose, CA"/>
    <n v="37.338200000000001"/>
    <n v="-121.88630000000001"/>
    <d v="2023-11-11T00:00:00"/>
    <n v="0"/>
    <x v="1"/>
    <d v="2025-06-19T00:00:00"/>
    <s v="10–19"/>
    <s v="16–19"/>
  </r>
  <r>
    <n v="16"/>
    <x v="2"/>
    <n v="3"/>
    <s v="Sat, Sun, Tue"/>
    <b v="0"/>
    <d v="1899-12-30T15:15:00"/>
    <d v="1899-12-30T15:46:00"/>
    <n v="31"/>
    <x v="1"/>
    <b v="1"/>
    <b v="0"/>
    <s v="Female"/>
    <x v="2"/>
    <x v="0"/>
    <n v="20"/>
    <x v="0"/>
    <n v="0.05"/>
    <n v="19"/>
    <x v="2"/>
    <s v="Los Angeles, CA"/>
    <n v="34.052199999999999"/>
    <n v="-118.2437"/>
    <d v="2024-08-01T00:00:00"/>
    <n v="4"/>
    <x v="1"/>
    <d v="2025-07-04T00:00:00"/>
    <s v="10–19"/>
    <s v="16–19"/>
  </r>
  <r>
    <n v="23"/>
    <x v="1"/>
    <n v="2"/>
    <s v="Mon, Wed"/>
    <b v="1"/>
    <d v="1899-12-30T18:01:00"/>
    <d v="1899-12-30T19:30:00"/>
    <n v="89"/>
    <x v="0"/>
    <b v="1"/>
    <b v="1"/>
    <s v="Non-binary"/>
    <x v="1"/>
    <x v="0"/>
    <n v="30"/>
    <x v="1"/>
    <n v="0"/>
    <n v="30"/>
    <x v="1"/>
    <s v="Oakland, CA"/>
    <n v="37.804400000000001"/>
    <n v="-122.27119999999999"/>
    <d v="2024-04-26T00:00:00"/>
    <n v="2"/>
    <x v="1"/>
    <d v="2025-06-29T00:00:00"/>
    <s v="20–29"/>
    <s v="20–29"/>
  </r>
  <r>
    <n v="17"/>
    <x v="2"/>
    <n v="1"/>
    <s v="Fri"/>
    <b v="0"/>
    <d v="1899-12-30T16:59:00"/>
    <d v="1899-12-30T18:41:00"/>
    <n v="102"/>
    <x v="1"/>
    <b v="0"/>
    <b v="0"/>
    <s v="Male"/>
    <x v="2"/>
    <x v="0"/>
    <n v="20"/>
    <x v="0"/>
    <n v="0.05"/>
    <n v="19"/>
    <x v="2"/>
    <s v="Fresno, CA"/>
    <n v="36.7378"/>
    <n v="-119.7871"/>
    <d v="2024-03-03T00:00:00"/>
    <n v="0"/>
    <x v="1"/>
    <d v="2025-06-26T00:00:00"/>
    <s v="10–19"/>
    <s v="16–19"/>
  </r>
  <r>
    <n v="40"/>
    <x v="2"/>
    <n v="1"/>
    <s v="Sat"/>
    <b v="0"/>
    <d v="1899-12-30T10:28:00"/>
    <d v="1899-12-30T13:25:00"/>
    <n v="177"/>
    <x v="0"/>
    <b v="0"/>
    <b v="1"/>
    <s v="Female"/>
    <x v="2"/>
    <x v="1"/>
    <n v="15"/>
    <x v="3"/>
    <n v="0.15"/>
    <n v="12.75"/>
    <x v="2"/>
    <s v="San Francisco, CA"/>
    <n v="37.774900000000002"/>
    <n v="-122.4194"/>
    <d v="2023-09-22T00:00:00"/>
    <n v="0"/>
    <x v="1"/>
    <d v="2025-06-16T00:00:00"/>
    <s v="40–49"/>
    <s v="40–49"/>
  </r>
  <r>
    <n v="21"/>
    <x v="0"/>
    <n v="3"/>
    <s v="Fri, Mon, Thu"/>
    <b v="1"/>
    <d v="1899-12-30T20:15:00"/>
    <d v="1899-12-30T21:36:00"/>
    <n v="81"/>
    <x v="1"/>
    <b v="0"/>
    <b v="1"/>
    <s v="Male"/>
    <x v="0"/>
    <x v="1"/>
    <n v="37.5"/>
    <x v="3"/>
    <n v="0.15"/>
    <n v="31.875"/>
    <x v="0"/>
    <s v="Fresno, CA"/>
    <n v="36.7378"/>
    <n v="-119.7871"/>
    <d v="2023-12-21T00:00:00"/>
    <n v="0"/>
    <x v="0"/>
    <d v="2025-06-22T00:00:00"/>
    <s v="20–29"/>
    <s v="20–29"/>
  </r>
  <r>
    <n v="32"/>
    <x v="0"/>
    <n v="2"/>
    <s v="Sat, Wed"/>
    <b v="1"/>
    <d v="1899-12-30T17:04:00"/>
    <d v="1899-12-30T19:46:00"/>
    <n v="162"/>
    <x v="0"/>
    <b v="1"/>
    <b v="0"/>
    <s v="Female"/>
    <x v="0"/>
    <x v="0"/>
    <n v="50"/>
    <x v="3"/>
    <n v="0.15"/>
    <n v="42.5"/>
    <x v="0"/>
    <s v="Bakersfield, CA"/>
    <n v="35.3733"/>
    <n v="-119.0187"/>
    <d v="2022-10-17T00:00:00"/>
    <n v="4"/>
    <x v="0"/>
    <d v="2025-05-28T00:00:00"/>
    <s v="30–39"/>
    <s v="30–39"/>
  </r>
  <r>
    <n v="29"/>
    <x v="2"/>
    <n v="4"/>
    <s v="Fri, Mon, Sun, Wed"/>
    <b v="0"/>
    <d v="1899-12-30T10:43:00"/>
    <d v="1899-12-30T11:52:00"/>
    <n v="69"/>
    <x v="1"/>
    <b v="1"/>
    <b v="0"/>
    <s v="Non-binary"/>
    <x v="2"/>
    <x v="1"/>
    <n v="15"/>
    <x v="1"/>
    <n v="0"/>
    <n v="15"/>
    <x v="2"/>
    <s v="Anaheim, CA"/>
    <n v="33.836599999999997"/>
    <n v="-117.9143"/>
    <d v="2024-01-10T00:00:00"/>
    <n v="1"/>
    <x v="1"/>
    <d v="2025-06-23T00:00:00"/>
    <s v="20–29"/>
    <s v="20–29"/>
  </r>
  <r>
    <n v="38"/>
    <x v="3"/>
    <n v="3"/>
    <s v="Thu, Tue, Wed"/>
    <b v="1"/>
    <d v="1899-12-30T16:41:00"/>
    <d v="1899-12-30T17:48:00"/>
    <n v="67"/>
    <x v="1"/>
    <b v="0"/>
    <b v="1"/>
    <s v="Male"/>
    <x v="3"/>
    <x v="0"/>
    <n v="70"/>
    <x v="1"/>
    <n v="0"/>
    <n v="70"/>
    <x v="3"/>
    <s v="San Jose, CA"/>
    <n v="37.338200000000001"/>
    <n v="-121.88630000000001"/>
    <d v="2022-08-01T00:00:00"/>
    <n v="0"/>
    <x v="0"/>
    <d v="2025-05-24T00:00:00"/>
    <s v="30–39"/>
    <s v="30–39"/>
  </r>
  <r>
    <n v="24"/>
    <x v="2"/>
    <n v="1"/>
    <s v="Sun"/>
    <b v="0"/>
    <d v="1899-12-30T14:59:00"/>
    <d v="1899-12-30T17:17:00"/>
    <n v="138"/>
    <x v="0"/>
    <b v="1"/>
    <b v="1"/>
    <s v="Other (self-described)"/>
    <x v="2"/>
    <x v="1"/>
    <n v="15"/>
    <x v="2"/>
    <n v="0.1"/>
    <n v="13.5"/>
    <x v="2"/>
    <s v="San Diego, CA"/>
    <n v="32.715699999999998"/>
    <n v="-117.1611"/>
    <d v="2022-12-29T00:00:00"/>
    <n v="1"/>
    <x v="1"/>
    <d v="2025-06-01T00:00:00"/>
    <s v="20–29"/>
    <s v="20–29"/>
  </r>
  <r>
    <n v="37"/>
    <x v="1"/>
    <n v="1"/>
    <s v="Sat"/>
    <b v="1"/>
    <d v="1899-12-30T08:37:00"/>
    <d v="1899-12-30T10:12:00"/>
    <n v="95"/>
    <x v="1"/>
    <b v="1"/>
    <b v="0"/>
    <s v="Non-binary"/>
    <x v="1"/>
    <x v="0"/>
    <n v="30"/>
    <x v="3"/>
    <n v="0.15"/>
    <n v="25.5"/>
    <x v="1"/>
    <s v="Anaheim, CA"/>
    <n v="33.836599999999997"/>
    <n v="-117.9143"/>
    <d v="2024-11-12T00:00:00"/>
    <n v="5"/>
    <x v="1"/>
    <d v="2025-07-10T00:00:00"/>
    <s v="30–39"/>
    <s v="30–39"/>
  </r>
  <r>
    <n v="30"/>
    <x v="0"/>
    <n v="2"/>
    <s v="Sat, Thu"/>
    <b v="0"/>
    <d v="1899-12-30T11:18:00"/>
    <d v="1899-12-30T13:15:00"/>
    <n v="117"/>
    <x v="0"/>
    <b v="1"/>
    <b v="0"/>
    <s v="Other (self-described)"/>
    <x v="0"/>
    <x v="0"/>
    <n v="50"/>
    <x v="3"/>
    <n v="0.15"/>
    <n v="42.5"/>
    <x v="0"/>
    <s v="Anaheim, CA"/>
    <n v="33.836599999999997"/>
    <n v="-117.9143"/>
    <d v="2022-10-05T00:00:00"/>
    <n v="5"/>
    <x v="0"/>
    <d v="2025-05-28T00:00:00"/>
    <s v="30–39"/>
    <s v="30–39"/>
  </r>
  <r>
    <n v="26"/>
    <x v="3"/>
    <n v="2"/>
    <s v="Fri, Sun"/>
    <b v="1"/>
    <d v="1899-12-30T20:45:00"/>
    <d v="1899-12-30T21:48:00"/>
    <n v="63"/>
    <x v="0"/>
    <b v="1"/>
    <b v="1"/>
    <s v="Female"/>
    <x v="3"/>
    <x v="0"/>
    <n v="70"/>
    <x v="2"/>
    <n v="0.1"/>
    <n v="63"/>
    <x v="3"/>
    <s v="Long Beach, CA"/>
    <n v="33.770099999999999"/>
    <n v="-118.19370000000001"/>
    <d v="2025-02-19T00:00:00"/>
    <n v="3"/>
    <x v="0"/>
    <d v="2025-07-16T00:00:00"/>
    <s v="20–29"/>
    <s v="20–29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3-02-03T00:00:00"/>
    <n v="7"/>
    <x v="0"/>
    <d v="2025-06-03T00:00:00"/>
    <s v="10–19"/>
    <s v="Under 16"/>
  </r>
  <r>
    <n v="39"/>
    <x v="1"/>
    <n v="4"/>
    <s v="Sun, Thu, Tue, Wed"/>
    <b v="1"/>
    <d v="1899-12-30T13:35:00"/>
    <d v="1899-12-30T14:37:00"/>
    <n v="62"/>
    <x v="1"/>
    <b v="1"/>
    <b v="1"/>
    <s v="Male"/>
    <x v="1"/>
    <x v="0"/>
    <n v="30"/>
    <x v="2"/>
    <n v="0.1"/>
    <n v="27"/>
    <x v="1"/>
    <s v="Oakland, CA"/>
    <n v="37.804400000000001"/>
    <n v="-122.27119999999999"/>
    <d v="2024-05-13T00:00:00"/>
    <n v="6"/>
    <x v="1"/>
    <d v="2025-06-30T00:00:00"/>
    <s v="30–39"/>
    <s v="30–39"/>
  </r>
  <r>
    <n v="33"/>
    <x v="0"/>
    <n v="2"/>
    <s v="Sat, Wed"/>
    <b v="1"/>
    <d v="1899-12-30T17:06:00"/>
    <d v="1899-12-30T19:09:00"/>
    <n v="123"/>
    <x v="1"/>
    <b v="1"/>
    <b v="0"/>
    <s v="Prefer not to say"/>
    <x v="0"/>
    <x v="0"/>
    <n v="50"/>
    <x v="2"/>
    <n v="0.1"/>
    <n v="45"/>
    <x v="0"/>
    <s v="Fresno, CA"/>
    <n v="36.7378"/>
    <n v="-119.7871"/>
    <d v="2022-11-30T00:00:00"/>
    <n v="4"/>
    <x v="0"/>
    <d v="2025-05-31T00:00:00"/>
    <s v="30–39"/>
    <s v="30–39"/>
  </r>
  <r>
    <n v="26"/>
    <x v="0"/>
    <n v="1"/>
    <s v="Sat"/>
    <b v="1"/>
    <d v="1899-12-30T12:44:00"/>
    <d v="1899-12-30T13:40:00"/>
    <n v="56"/>
    <x v="0"/>
    <b v="0"/>
    <b v="0"/>
    <s v="Female"/>
    <x v="0"/>
    <x v="0"/>
    <n v="50"/>
    <x v="2"/>
    <n v="0.1"/>
    <n v="45"/>
    <x v="0"/>
    <s v="Anaheim, CA"/>
    <n v="33.836599999999997"/>
    <n v="-117.9143"/>
    <d v="2022-12-11T00:00:00"/>
    <n v="0"/>
    <x v="0"/>
    <d v="2025-05-31T00:00:00"/>
    <s v="20–29"/>
    <s v="20–29"/>
  </r>
  <r>
    <n v="23"/>
    <x v="3"/>
    <n v="5"/>
    <s v="Mon, Sun, Thu, Tue, Wed"/>
    <b v="1"/>
    <d v="1899-12-30T20:57:00"/>
    <d v="1899-12-30T23:35:00"/>
    <n v="158"/>
    <x v="0"/>
    <b v="0"/>
    <b v="1"/>
    <s v="Non-binary"/>
    <x v="3"/>
    <x v="0"/>
    <n v="70"/>
    <x v="1"/>
    <n v="0"/>
    <n v="70"/>
    <x v="3"/>
    <s v="Anaheim, CA"/>
    <n v="33.836599999999997"/>
    <n v="-117.9143"/>
    <d v="2023-02-15T00:00:00"/>
    <n v="0"/>
    <x v="0"/>
    <d v="2025-06-04T00:00:00"/>
    <s v="20–29"/>
    <s v="20–29"/>
  </r>
  <r>
    <n v="20"/>
    <x v="0"/>
    <n v="3"/>
    <s v="Sat, Sun, Thu"/>
    <b v="0"/>
    <d v="1899-12-30T10:32:00"/>
    <d v="1899-12-30T11:09:00"/>
    <n v="37"/>
    <x v="0"/>
    <b v="0"/>
    <b v="1"/>
    <s v="Female"/>
    <x v="0"/>
    <x v="0"/>
    <n v="50"/>
    <x v="3"/>
    <n v="0.15"/>
    <n v="42.5"/>
    <x v="0"/>
    <s v="San Francisco, CA"/>
    <n v="37.774900000000002"/>
    <n v="-122.4194"/>
    <d v="2023-03-04T00:00:00"/>
    <n v="0"/>
    <x v="1"/>
    <d v="2025-06-05T00:00:00"/>
    <s v="20–29"/>
    <s v="20–29"/>
  </r>
  <r>
    <n v="40"/>
    <x v="0"/>
    <n v="2"/>
    <s v="Sun, Thu"/>
    <b v="0"/>
    <d v="1899-12-30T11:37:00"/>
    <d v="1899-12-30T14:23:00"/>
    <n v="166"/>
    <x v="0"/>
    <b v="1"/>
    <b v="1"/>
    <s v="Male"/>
    <x v="0"/>
    <x v="0"/>
    <n v="50"/>
    <x v="1"/>
    <n v="0"/>
    <n v="50"/>
    <x v="0"/>
    <s v="San Jose, CA"/>
    <n v="37.338200000000001"/>
    <n v="-121.88630000000001"/>
    <d v="2024-08-02T00:00:00"/>
    <n v="1"/>
    <x v="0"/>
    <d v="2025-07-04T00:00:00"/>
    <s v="40–49"/>
    <s v="40–49"/>
  </r>
  <r>
    <n v="14"/>
    <x v="3"/>
    <n v="3"/>
    <s v="Sat, Tue, Wed"/>
    <b v="0"/>
    <d v="1899-12-30T14:34:00"/>
    <d v="1899-12-30T16:33:00"/>
    <n v="119"/>
    <x v="1"/>
    <b v="1"/>
    <b v="1"/>
    <s v="Female"/>
    <x v="3"/>
    <x v="0"/>
    <n v="70"/>
    <x v="1"/>
    <n v="0"/>
    <n v="70"/>
    <x v="3"/>
    <s v="Sacramento, CA"/>
    <n v="38.581600000000002"/>
    <n v="-121.4944"/>
    <d v="2025-03-28T00:00:00"/>
    <n v="5"/>
    <x v="0"/>
    <d v="2025-07-18T00:00:00"/>
    <s v="10–19"/>
    <s v="Under 16"/>
  </r>
  <r>
    <n v="40"/>
    <x v="0"/>
    <n v="3"/>
    <s v="Mon, Sat, Tue"/>
    <b v="0"/>
    <d v="1899-12-30T08:41:00"/>
    <d v="1899-12-30T09:35:00"/>
    <n v="54"/>
    <x v="1"/>
    <b v="0"/>
    <b v="1"/>
    <s v="Female"/>
    <x v="0"/>
    <x v="0"/>
    <n v="50"/>
    <x v="3"/>
    <n v="0.15"/>
    <n v="42.5"/>
    <x v="0"/>
    <s v="Long Beach, CA"/>
    <n v="33.770099999999999"/>
    <n v="-118.19370000000001"/>
    <d v="2024-04-19T00:00:00"/>
    <n v="0"/>
    <x v="0"/>
    <d v="2025-06-28T00:00:00"/>
    <s v="40–49"/>
    <s v="40–49"/>
  </r>
  <r>
    <n v="42"/>
    <x v="1"/>
    <n v="5"/>
    <s v="Fri, Sat, Sun, Thu, Wed"/>
    <b v="0"/>
    <d v="1899-12-30T09:49:00"/>
    <d v="1899-12-30T12:43:00"/>
    <n v="174"/>
    <x v="1"/>
    <b v="0"/>
    <b v="1"/>
    <s v="Male"/>
    <x v="1"/>
    <x v="1"/>
    <n v="22.5"/>
    <x v="1"/>
    <n v="0"/>
    <n v="22.5"/>
    <x v="1"/>
    <s v="Sacramento, CA"/>
    <n v="38.581600000000002"/>
    <n v="-121.4944"/>
    <d v="2024-12-20T00:00:00"/>
    <n v="0"/>
    <x v="0"/>
    <d v="2025-07-12T00:00:00"/>
    <s v="40–49"/>
    <s v="40–49"/>
  </r>
  <r>
    <n v="43"/>
    <x v="0"/>
    <n v="3"/>
    <s v="Mon, Sun, Thu"/>
    <b v="0"/>
    <d v="1899-12-30T08:22:00"/>
    <d v="1899-12-30T10:40:00"/>
    <n v="138"/>
    <x v="0"/>
    <b v="1"/>
    <b v="0"/>
    <s v="Non-binary"/>
    <x v="0"/>
    <x v="0"/>
    <n v="50"/>
    <x v="1"/>
    <n v="0"/>
    <n v="50"/>
    <x v="0"/>
    <s v="Fresno, CA"/>
    <n v="36.7378"/>
    <n v="-119.7871"/>
    <d v="2023-06-13T00:00:00"/>
    <n v="8"/>
    <x v="0"/>
    <d v="2025-06-11T00:00:00"/>
    <s v="40–49"/>
    <s v="40–49"/>
  </r>
  <r>
    <n v="32"/>
    <x v="1"/>
    <n v="5"/>
    <s v="Fri, Mon, Thu, Tue, Wed"/>
    <b v="1"/>
    <d v="1899-12-30T10:17:00"/>
    <d v="1899-12-30T13:05:00"/>
    <n v="168"/>
    <x v="1"/>
    <b v="0"/>
    <b v="0"/>
    <s v="Female"/>
    <x v="1"/>
    <x v="2"/>
    <n v="27"/>
    <x v="1"/>
    <n v="0"/>
    <n v="27"/>
    <x v="1"/>
    <s v="Sacramento, CA"/>
    <n v="38.581600000000002"/>
    <n v="-121.4944"/>
    <d v="2024-06-19T00:00:00"/>
    <n v="0"/>
    <x v="0"/>
    <d v="2025-07-02T00:00:00"/>
    <s v="30–39"/>
    <s v="30–39"/>
  </r>
  <r>
    <n v="21"/>
    <x v="1"/>
    <n v="1"/>
    <s v="Wed"/>
    <b v="0"/>
    <d v="1899-12-30T18:11:00"/>
    <d v="1899-12-30T20:51:00"/>
    <n v="160"/>
    <x v="1"/>
    <b v="1"/>
    <b v="1"/>
    <s v="Male"/>
    <x v="1"/>
    <x v="0"/>
    <n v="30"/>
    <x v="0"/>
    <n v="0.05"/>
    <n v="28.5"/>
    <x v="1"/>
    <s v="Sacramento, CA"/>
    <n v="38.581600000000002"/>
    <n v="-121.4944"/>
    <d v="2022-08-18T00:00:00"/>
    <n v="8"/>
    <x v="1"/>
    <d v="2025-05-25T00:00:00"/>
    <s v="20–29"/>
    <s v="20–29"/>
  </r>
  <r>
    <n v="22"/>
    <x v="0"/>
    <n v="5"/>
    <s v="Fri, Sat, Thu, Tue, Wed"/>
    <b v="1"/>
    <d v="1899-12-30T17:41:00"/>
    <d v="1899-12-30T19:31:00"/>
    <n v="110"/>
    <x v="0"/>
    <b v="0"/>
    <b v="0"/>
    <s v="Male"/>
    <x v="0"/>
    <x v="1"/>
    <n v="37.5"/>
    <x v="3"/>
    <n v="0.15"/>
    <n v="31.875"/>
    <x v="0"/>
    <s v="Sacramento, CA"/>
    <n v="38.581600000000002"/>
    <n v="-121.4944"/>
    <d v="2023-08-10T00:00:00"/>
    <n v="0"/>
    <x v="0"/>
    <d v="2025-06-14T00:00:00"/>
    <s v="20–29"/>
    <s v="20–29"/>
  </r>
  <r>
    <n v="12"/>
    <x v="0"/>
    <n v="2"/>
    <s v="Sat, Sun"/>
    <b v="0"/>
    <d v="1899-12-30T08:05:00"/>
    <d v="1899-12-30T10:14:00"/>
    <n v="129"/>
    <x v="0"/>
    <b v="0"/>
    <b v="0"/>
    <s v="Female"/>
    <x v="0"/>
    <x v="0"/>
    <n v="50"/>
    <x v="0"/>
    <n v="0.05"/>
    <n v="47.5"/>
    <x v="0"/>
    <s v="San Jose, CA"/>
    <n v="37.338200000000001"/>
    <n v="-121.88630000000001"/>
    <d v="2023-01-29T00:00:00"/>
    <n v="0"/>
    <x v="1"/>
    <d v="2025-06-03T00:00:00"/>
    <s v="10–19"/>
    <s v="Under 16"/>
  </r>
  <r>
    <n v="14"/>
    <x v="0"/>
    <n v="2"/>
    <s v="Fri, Tue"/>
    <b v="1"/>
    <d v="1899-12-30T13:45:00"/>
    <d v="1899-12-30T16:26:00"/>
    <n v="161"/>
    <x v="0"/>
    <b v="0"/>
    <b v="0"/>
    <s v="Male"/>
    <x v="0"/>
    <x v="1"/>
    <n v="37.5"/>
    <x v="1"/>
    <n v="0"/>
    <n v="37.5"/>
    <x v="0"/>
    <s v="Sacramento, CA"/>
    <n v="38.581600000000002"/>
    <n v="-121.4944"/>
    <d v="2025-02-01T00:00:00"/>
    <n v="0"/>
    <x v="0"/>
    <d v="2025-07-15T00:00:00"/>
    <s v="10–19"/>
    <s v="Under 16"/>
  </r>
  <r>
    <n v="14"/>
    <x v="0"/>
    <n v="1"/>
    <s v="Mon"/>
    <b v="1"/>
    <d v="1899-12-30T11:56:00"/>
    <d v="1899-12-30T13:37:00"/>
    <n v="101"/>
    <x v="0"/>
    <b v="0"/>
    <b v="0"/>
    <s v="Male"/>
    <x v="0"/>
    <x v="1"/>
    <n v="37.5"/>
    <x v="1"/>
    <n v="0"/>
    <n v="37.5"/>
    <x v="0"/>
    <s v="Sacramento, CA"/>
    <n v="38.581600000000002"/>
    <n v="-121.4944"/>
    <d v="2022-12-17T00:00:00"/>
    <n v="0"/>
    <x v="0"/>
    <d v="2025-06-01T00:00:00"/>
    <s v="10–19"/>
    <s v="Under 16"/>
  </r>
  <r>
    <n v="36"/>
    <x v="3"/>
    <n v="4"/>
    <s v="Mon, Thu, Tue, Wed"/>
    <b v="1"/>
    <d v="1899-12-30T17:28:00"/>
    <d v="1899-12-30T18:29:00"/>
    <n v="61"/>
    <x v="0"/>
    <b v="0"/>
    <b v="0"/>
    <s v="Male"/>
    <x v="3"/>
    <x v="0"/>
    <n v="70"/>
    <x v="1"/>
    <n v="0"/>
    <n v="70"/>
    <x v="3"/>
    <s v="San Diego, CA"/>
    <n v="32.715699999999998"/>
    <n v="-117.1611"/>
    <d v="2022-10-14T00:00:00"/>
    <n v="0"/>
    <x v="1"/>
    <d v="2025-05-28T00:00:00"/>
    <s v="30–39"/>
    <s v="30–39"/>
  </r>
  <r>
    <n v="21"/>
    <x v="0"/>
    <n v="2"/>
    <s v="Fri, Mon"/>
    <b v="1"/>
    <d v="1899-12-30T15:40:00"/>
    <d v="1899-12-30T16:47:00"/>
    <n v="67"/>
    <x v="0"/>
    <b v="1"/>
    <b v="1"/>
    <s v="Prefer not to say"/>
    <x v="0"/>
    <x v="0"/>
    <n v="50"/>
    <x v="2"/>
    <n v="0.1"/>
    <n v="45"/>
    <x v="0"/>
    <s v="San Diego, CA"/>
    <n v="32.715699999999998"/>
    <n v="-117.1611"/>
    <d v="2024-01-21T00:00:00"/>
    <n v="6"/>
    <x v="0"/>
    <d v="2025-06-23T00:00:00"/>
    <s v="20–29"/>
    <s v="20–29"/>
  </r>
  <r>
    <n v="43"/>
    <x v="0"/>
    <n v="3"/>
    <s v="Mon, Sun, Thu"/>
    <b v="0"/>
    <d v="1899-12-30T08:22:00"/>
    <d v="1899-12-30T10:40:00"/>
    <n v="138"/>
    <x v="0"/>
    <b v="1"/>
    <b v="0"/>
    <s v="Non-binary"/>
    <x v="0"/>
    <x v="0"/>
    <n v="50"/>
    <x v="1"/>
    <n v="0"/>
    <n v="50"/>
    <x v="0"/>
    <s v="Fresno, CA"/>
    <n v="36.7378"/>
    <n v="-119.7871"/>
    <d v="2023-09-16T00:00:00"/>
    <n v="4"/>
    <x v="0"/>
    <d v="2025-06-16T00:00:00"/>
    <s v="40–49"/>
    <s v="40–49"/>
  </r>
  <r>
    <n v="33"/>
    <x v="1"/>
    <n v="1"/>
    <s v="Sun"/>
    <b v="0"/>
    <d v="1899-12-30T16:29:00"/>
    <d v="1899-12-30T17:07:00"/>
    <n v="38"/>
    <x v="0"/>
    <b v="1"/>
    <b v="0"/>
    <s v="Prefer not to say"/>
    <x v="1"/>
    <x v="0"/>
    <n v="30"/>
    <x v="0"/>
    <n v="0.05"/>
    <n v="28.5"/>
    <x v="1"/>
    <s v="Long Beach, CA"/>
    <n v="33.770099999999999"/>
    <n v="-118.19370000000001"/>
    <d v="2023-03-31T00:00:00"/>
    <n v="5"/>
    <x v="1"/>
    <d v="2025-06-07T00:00:00"/>
    <s v="30–39"/>
    <s v="30–39"/>
  </r>
  <r>
    <n v="21"/>
    <x v="1"/>
    <n v="2"/>
    <s v="Fri, Mon"/>
    <b v="0"/>
    <d v="1899-12-30T20:13:00"/>
    <d v="1899-12-30T21:48:00"/>
    <n v="95"/>
    <x v="1"/>
    <b v="0"/>
    <b v="0"/>
    <s v="Female"/>
    <x v="1"/>
    <x v="1"/>
    <n v="22.5"/>
    <x v="3"/>
    <n v="0.15"/>
    <n v="19.125"/>
    <x v="1"/>
    <s v="Fresno, CA"/>
    <n v="36.7378"/>
    <n v="-119.7871"/>
    <d v="2024-12-18T00:00:00"/>
    <n v="0"/>
    <x v="1"/>
    <d v="2025-07-12T00:00:00"/>
    <s v="20–29"/>
    <s v="20–29"/>
  </r>
  <r>
    <n v="43"/>
    <x v="3"/>
    <n v="1"/>
    <s v="Fri"/>
    <b v="1"/>
    <d v="1899-12-30T20:09:00"/>
    <d v="1899-12-30T21:57:00"/>
    <n v="108"/>
    <x v="0"/>
    <b v="0"/>
    <b v="1"/>
    <s v="Prefer not to say"/>
    <x v="3"/>
    <x v="0"/>
    <n v="70"/>
    <x v="1"/>
    <n v="0"/>
    <n v="70"/>
    <x v="3"/>
    <s v="Anaheim, CA"/>
    <n v="33.836599999999997"/>
    <n v="-117.9143"/>
    <d v="2024-01-04T00:00:00"/>
    <n v="0"/>
    <x v="0"/>
    <d v="2025-06-22T00:00:00"/>
    <s v="40–49"/>
    <s v="40–49"/>
  </r>
  <r>
    <n v="12"/>
    <x v="2"/>
    <n v="1"/>
    <s v="Tue"/>
    <b v="1"/>
    <d v="1899-12-30T17:08:00"/>
    <d v="1899-12-30T19:26:00"/>
    <n v="138"/>
    <x v="0"/>
    <b v="0"/>
    <b v="0"/>
    <s v="Female"/>
    <x v="2"/>
    <x v="1"/>
    <n v="15"/>
    <x v="3"/>
    <n v="0.15"/>
    <n v="12.75"/>
    <x v="2"/>
    <s v="San Diego, CA"/>
    <n v="32.715699999999998"/>
    <n v="-117.1611"/>
    <d v="2024-04-24T00:00:00"/>
    <n v="0"/>
    <x v="0"/>
    <d v="2025-06-29T00:00:00"/>
    <s v="10–19"/>
    <s v="Under 16"/>
  </r>
  <r>
    <n v="36"/>
    <x v="0"/>
    <n v="1"/>
    <s v="Fri"/>
    <b v="1"/>
    <d v="1899-12-30T14:49:00"/>
    <d v="1899-12-30T16:32:00"/>
    <n v="103"/>
    <x v="1"/>
    <b v="1"/>
    <b v="0"/>
    <s v="Male"/>
    <x v="0"/>
    <x v="1"/>
    <n v="37.5"/>
    <x v="2"/>
    <n v="0.1"/>
    <n v="33.75"/>
    <x v="0"/>
    <s v="Bakersfield, CA"/>
    <n v="35.3733"/>
    <n v="-119.0187"/>
    <d v="2025-01-18T00:00:00"/>
    <n v="5"/>
    <x v="0"/>
    <d v="2025-07-14T00:00:00"/>
    <s v="30–39"/>
    <s v="30–39"/>
  </r>
  <r>
    <n v="21"/>
    <x v="1"/>
    <n v="5"/>
    <s v="Fri, Mon, Sat, Sun, Thu"/>
    <b v="1"/>
    <d v="1899-12-30T20:15:00"/>
    <d v="1899-12-30T23:14:00"/>
    <n v="179"/>
    <x v="1"/>
    <b v="0"/>
    <b v="1"/>
    <s v="Male"/>
    <x v="1"/>
    <x v="0"/>
    <n v="30"/>
    <x v="0"/>
    <n v="0.05"/>
    <n v="28.5"/>
    <x v="1"/>
    <s v="Fresno, CA"/>
    <n v="36.7378"/>
    <n v="-119.7871"/>
    <d v="2024-05-27T00:00:00"/>
    <n v="0"/>
    <x v="1"/>
    <d v="2025-06-30T00:00:00"/>
    <s v="20–29"/>
    <s v="20–29"/>
  </r>
  <r>
    <n v="45"/>
    <x v="3"/>
    <n v="2"/>
    <s v="Thu, Wed"/>
    <b v="0"/>
    <d v="1899-12-30T15:36:00"/>
    <d v="1899-12-30T17:56:00"/>
    <n v="140"/>
    <x v="0"/>
    <b v="1"/>
    <b v="1"/>
    <s v="Female"/>
    <x v="3"/>
    <x v="0"/>
    <n v="70"/>
    <x v="2"/>
    <n v="0.1"/>
    <n v="63"/>
    <x v="3"/>
    <s v="Fresno, CA"/>
    <n v="36.7378"/>
    <n v="-119.7871"/>
    <d v="2025-04-11T00:00:00"/>
    <n v="1"/>
    <x v="0"/>
    <d v="2025-07-18T00:00:00"/>
    <s v="40–49"/>
    <s v="40–49"/>
  </r>
  <r>
    <n v="45"/>
    <x v="0"/>
    <n v="1"/>
    <s v="Mon"/>
    <b v="1"/>
    <d v="1899-12-30T09:31:00"/>
    <d v="1899-12-30T10:42:00"/>
    <n v="71"/>
    <x v="1"/>
    <b v="0"/>
    <b v="1"/>
    <s v="Other (self-described)"/>
    <x v="0"/>
    <x v="2"/>
    <n v="45"/>
    <x v="3"/>
    <n v="0.15"/>
    <n v="38.25"/>
    <x v="0"/>
    <s v="Bakersfield, CA"/>
    <n v="35.3733"/>
    <n v="-119.0187"/>
    <d v="2025-05-26T00:00:00"/>
    <n v="0"/>
    <x v="0"/>
    <d v="2025-07-21T00:00:00"/>
    <s v="40–49"/>
    <s v="40–49"/>
  </r>
  <r>
    <n v="33"/>
    <x v="1"/>
    <n v="2"/>
    <s v="Sun, Tue"/>
    <b v="0"/>
    <d v="1899-12-30T12:42:00"/>
    <d v="1899-12-30T15:01:00"/>
    <n v="139"/>
    <x v="1"/>
    <b v="1"/>
    <b v="0"/>
    <s v="Other (self-described)"/>
    <x v="1"/>
    <x v="0"/>
    <n v="30"/>
    <x v="1"/>
    <n v="0"/>
    <n v="30"/>
    <x v="1"/>
    <s v="Bakersfield, CA"/>
    <n v="35.3733"/>
    <n v="-119.0187"/>
    <d v="2025-01-30T00:00:00"/>
    <n v="1"/>
    <x v="1"/>
    <d v="2025-07-14T00:00:00"/>
    <s v="30–39"/>
    <s v="30–39"/>
  </r>
  <r>
    <n v="20"/>
    <x v="0"/>
    <n v="5"/>
    <s v="Mon, Sat, Thu, Tue, Wed"/>
    <b v="0"/>
    <d v="1899-12-30T17:41:00"/>
    <d v="1899-12-30T20:22:00"/>
    <n v="161"/>
    <x v="0"/>
    <b v="0"/>
    <b v="0"/>
    <s v="Female"/>
    <x v="0"/>
    <x v="1"/>
    <n v="37.5"/>
    <x v="2"/>
    <n v="0.1"/>
    <n v="33.75"/>
    <x v="0"/>
    <s v="Long Beach, CA"/>
    <n v="33.770099999999999"/>
    <n v="-118.19370000000001"/>
    <d v="2022-09-01T00:00:00"/>
    <n v="0"/>
    <x v="1"/>
    <d v="2025-05-26T00:00:00"/>
    <s v="20–29"/>
    <s v="20–29"/>
  </r>
  <r>
    <n v="19"/>
    <x v="0"/>
    <n v="2"/>
    <s v="Sun, Tue"/>
    <b v="1"/>
    <d v="1899-12-30T19:22:00"/>
    <d v="1899-12-30T20:25:00"/>
    <n v="63"/>
    <x v="0"/>
    <b v="0"/>
    <b v="0"/>
    <s v="Female"/>
    <x v="0"/>
    <x v="1"/>
    <n v="37.5"/>
    <x v="1"/>
    <n v="0"/>
    <n v="37.5"/>
    <x v="0"/>
    <s v="Bakersfield, CA"/>
    <n v="35.3733"/>
    <n v="-119.0187"/>
    <d v="2023-11-15T00:00:00"/>
    <n v="0"/>
    <x v="0"/>
    <d v="2025-06-20T00:00:00"/>
    <s v="10–19"/>
    <s v="16–19"/>
  </r>
  <r>
    <n v="40"/>
    <x v="0"/>
    <n v="2"/>
    <s v="Mon, Sat"/>
    <b v="1"/>
    <d v="1899-12-30T14:58:00"/>
    <d v="1899-12-30T16:42:00"/>
    <n v="104"/>
    <x v="0"/>
    <b v="0"/>
    <b v="1"/>
    <s v="Male"/>
    <x v="0"/>
    <x v="1"/>
    <n v="37.5"/>
    <x v="1"/>
    <n v="0"/>
    <n v="37.5"/>
    <x v="0"/>
    <s v="Fresno, CA"/>
    <n v="36.7378"/>
    <n v="-119.7871"/>
    <d v="2022-08-29T00:00:00"/>
    <n v="0"/>
    <x v="0"/>
    <d v="2025-05-26T00:00:00"/>
    <s v="40–49"/>
    <s v="40–49"/>
  </r>
  <r>
    <n v="49"/>
    <x v="1"/>
    <n v="3"/>
    <s v="Fri, Mon, Wed"/>
    <b v="0"/>
    <d v="1899-12-30T12:37:00"/>
    <d v="1899-12-30T13:15:00"/>
    <n v="38"/>
    <x v="1"/>
    <b v="1"/>
    <b v="0"/>
    <s v="Male"/>
    <x v="1"/>
    <x v="0"/>
    <n v="30"/>
    <x v="1"/>
    <n v="0"/>
    <n v="30"/>
    <x v="1"/>
    <s v="San Jose, CA"/>
    <n v="37.338200000000001"/>
    <n v="-121.88630000000001"/>
    <d v="2024-03-19T00:00:00"/>
    <n v="5"/>
    <x v="1"/>
    <d v="2025-06-27T00:00:00"/>
    <s v="40–49"/>
    <s v="40–49"/>
  </r>
  <r>
    <n v="19"/>
    <x v="2"/>
    <n v="4"/>
    <s v="Sat, Sun, Tue, Wed"/>
    <b v="1"/>
    <d v="1899-12-30T15:49:00"/>
    <d v="1899-12-30T17:10:00"/>
    <n v="81"/>
    <x v="1"/>
    <b v="0"/>
    <b v="0"/>
    <s v="Male"/>
    <x v="2"/>
    <x v="0"/>
    <n v="20"/>
    <x v="2"/>
    <n v="0.1"/>
    <n v="18"/>
    <x v="2"/>
    <s v="San Jose, CA"/>
    <n v="37.338200000000001"/>
    <n v="-121.88630000000001"/>
    <d v="2024-07-25T00:00:00"/>
    <n v="0"/>
    <x v="0"/>
    <d v="2025-07-04T00:00:00"/>
    <s v="10–19"/>
    <s v="16–19"/>
  </r>
  <r>
    <n v="23"/>
    <x v="1"/>
    <n v="2"/>
    <s v="Sat, Thu"/>
    <b v="0"/>
    <d v="1899-12-30T11:56:00"/>
    <d v="1899-12-30T13:42:00"/>
    <n v="106"/>
    <x v="0"/>
    <b v="1"/>
    <b v="1"/>
    <s v="Female"/>
    <x v="1"/>
    <x v="0"/>
    <n v="30"/>
    <x v="0"/>
    <n v="0.05"/>
    <n v="28.5"/>
    <x v="1"/>
    <s v="Fresno, CA"/>
    <n v="36.7378"/>
    <n v="-119.7871"/>
    <d v="2023-12-31T00:00:00"/>
    <n v="2"/>
    <x v="1"/>
    <d v="2025-06-22T00:00:00"/>
    <s v="20–29"/>
    <s v="20–29"/>
  </r>
  <r>
    <n v="48"/>
    <x v="1"/>
    <n v="3"/>
    <s v="Fri, Sun, Wed"/>
    <b v="0"/>
    <d v="1899-12-30T11:07:00"/>
    <d v="1899-12-30T12:43:00"/>
    <n v="96"/>
    <x v="1"/>
    <b v="1"/>
    <b v="1"/>
    <s v="Male"/>
    <x v="1"/>
    <x v="0"/>
    <n v="30"/>
    <x v="1"/>
    <n v="0"/>
    <n v="30"/>
    <x v="1"/>
    <s v="San Diego, CA"/>
    <n v="32.715699999999998"/>
    <n v="-117.1611"/>
    <d v="2024-03-11T00:00:00"/>
    <n v="5"/>
    <x v="1"/>
    <d v="2025-06-26T00:00:00"/>
    <s v="40–49"/>
    <s v="40–49"/>
  </r>
  <r>
    <n v="38"/>
    <x v="0"/>
    <n v="4"/>
    <s v="Fri, Mon, Sun, Thu"/>
    <b v="1"/>
    <d v="1899-12-30T12:50:00"/>
    <d v="1899-12-30T14:19:00"/>
    <n v="89"/>
    <x v="0"/>
    <b v="0"/>
    <b v="1"/>
    <s v="Female"/>
    <x v="0"/>
    <x v="0"/>
    <n v="50"/>
    <x v="1"/>
    <n v="0"/>
    <n v="50"/>
    <x v="0"/>
    <s v="Los Angeles, CA"/>
    <n v="34.052199999999999"/>
    <n v="-118.2437"/>
    <d v="2025-03-02T00:00:00"/>
    <n v="0"/>
    <x v="1"/>
    <d v="2025-07-16T00:00:00"/>
    <s v="30–39"/>
    <s v="30–39"/>
  </r>
  <r>
    <n v="49"/>
    <x v="3"/>
    <n v="3"/>
    <s v="Fri, Sun, Wed"/>
    <b v="0"/>
    <d v="1899-12-30T17:42:00"/>
    <d v="1899-12-30T19:00:00"/>
    <n v="78"/>
    <x v="1"/>
    <b v="1"/>
    <b v="1"/>
    <s v="Female"/>
    <x v="3"/>
    <x v="2"/>
    <n v="63"/>
    <x v="2"/>
    <n v="0.1"/>
    <n v="56.7"/>
    <x v="3"/>
    <s v="Los Angeles, CA"/>
    <n v="34.052199999999999"/>
    <n v="-118.2437"/>
    <d v="2023-08-10T00:00:00"/>
    <n v="6"/>
    <x v="1"/>
    <d v="2025-06-14T00:00:00"/>
    <s v="40–49"/>
    <s v="40–49"/>
  </r>
  <r>
    <n v="21"/>
    <x v="0"/>
    <n v="2"/>
    <s v="Fri, Mon"/>
    <b v="1"/>
    <d v="1899-12-30T15:40:00"/>
    <d v="1899-12-30T16:47:00"/>
    <n v="67"/>
    <x v="0"/>
    <b v="1"/>
    <b v="1"/>
    <s v="Prefer not to say"/>
    <x v="0"/>
    <x v="0"/>
    <n v="50"/>
    <x v="2"/>
    <n v="0.1"/>
    <n v="45"/>
    <x v="0"/>
    <s v="San Diego, CA"/>
    <n v="32.715699999999998"/>
    <n v="-117.1611"/>
    <d v="2024-11-04T00:00:00"/>
    <n v="5"/>
    <x v="0"/>
    <d v="2025-07-10T00:00:00"/>
    <s v="20–29"/>
    <s v="20–29"/>
  </r>
  <r>
    <n v="42"/>
    <x v="1"/>
    <n v="4"/>
    <s v="Mon, Sat, Sun, Tue"/>
    <b v="1"/>
    <d v="1899-12-30T19:21:00"/>
    <d v="1899-12-30T21:49:00"/>
    <n v="148"/>
    <x v="0"/>
    <b v="1"/>
    <b v="1"/>
    <s v="Female"/>
    <x v="1"/>
    <x v="1"/>
    <n v="22.5"/>
    <x v="0"/>
    <n v="0.05"/>
    <n v="21.375"/>
    <x v="1"/>
    <s v="Los Angeles, CA"/>
    <n v="34.052199999999999"/>
    <n v="-118.2437"/>
    <d v="2023-09-02T00:00:00"/>
    <n v="3"/>
    <x v="1"/>
    <d v="2025-06-15T00:00:00"/>
    <s v="40–49"/>
    <s v="40–49"/>
  </r>
  <r>
    <n v="17"/>
    <x v="0"/>
    <n v="3"/>
    <s v="Fri, Mon, Tue"/>
    <b v="1"/>
    <d v="1899-12-30T11:51:00"/>
    <d v="1899-12-30T14:30:00"/>
    <n v="159"/>
    <x v="0"/>
    <b v="0"/>
    <b v="1"/>
    <s v="Female"/>
    <x v="0"/>
    <x v="0"/>
    <n v="50"/>
    <x v="0"/>
    <n v="0.05"/>
    <n v="47.5"/>
    <x v="0"/>
    <s v="Los Angeles, CA"/>
    <n v="34.052199999999999"/>
    <n v="-118.2437"/>
    <d v="2023-07-31T00:00:00"/>
    <n v="0"/>
    <x v="0"/>
    <d v="2025-06-13T00:00:00"/>
    <s v="10–19"/>
    <s v="16–19"/>
  </r>
  <r>
    <n v="29"/>
    <x v="1"/>
    <n v="3"/>
    <s v="Mon, Sat, Thu"/>
    <b v="0"/>
    <d v="1899-12-30T15:05:00"/>
    <d v="1899-12-30T16:19:00"/>
    <n v="74"/>
    <x v="0"/>
    <b v="1"/>
    <b v="1"/>
    <s v="Non-binary"/>
    <x v="1"/>
    <x v="0"/>
    <n v="30"/>
    <x v="1"/>
    <n v="0"/>
    <n v="30"/>
    <x v="1"/>
    <s v="San Diego, CA"/>
    <n v="32.715699999999998"/>
    <n v="-117.1611"/>
    <d v="2025-01-12T00:00:00"/>
    <n v="7"/>
    <x v="1"/>
    <d v="2025-07-13T00:00:00"/>
    <s v="20–29"/>
    <s v="20–2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5-04-18T00:00:00"/>
    <n v="0"/>
    <x v="0"/>
    <d v="2025-07-19T00:00:00"/>
    <s v="30–39"/>
    <s v="30–39"/>
  </r>
  <r>
    <n v="29"/>
    <x v="0"/>
    <n v="3"/>
    <s v="Fri, Sat, Thu"/>
    <b v="1"/>
    <d v="1899-12-30T13:02:00"/>
    <d v="1899-12-30T14:08:00"/>
    <n v="66"/>
    <x v="0"/>
    <b v="0"/>
    <b v="1"/>
    <s v="Non-binary"/>
    <x v="0"/>
    <x v="1"/>
    <n v="37.5"/>
    <x v="2"/>
    <n v="0.1"/>
    <n v="33.75"/>
    <x v="0"/>
    <s v="Fresno, CA"/>
    <n v="36.7378"/>
    <n v="-119.7871"/>
    <d v="2023-03-14T00:00:00"/>
    <n v="0"/>
    <x v="0"/>
    <d v="2025-06-06T00:00:00"/>
    <s v="20–29"/>
    <s v="20–29"/>
  </r>
  <r>
    <n v="39"/>
    <x v="0"/>
    <n v="5"/>
    <s v="Fri, Mon, Sat, Thu, Wed"/>
    <b v="0"/>
    <d v="1899-12-30T20:01:00"/>
    <d v="1899-12-30T21:08:00"/>
    <n v="67"/>
    <x v="1"/>
    <b v="1"/>
    <b v="0"/>
    <s v="Male"/>
    <x v="0"/>
    <x v="0"/>
    <n v="50"/>
    <x v="2"/>
    <n v="0.1"/>
    <n v="45"/>
    <x v="0"/>
    <s v="Bakersfield, CA"/>
    <n v="35.3733"/>
    <n v="-119.0187"/>
    <d v="2024-02-19T00:00:00"/>
    <n v="3"/>
    <x v="0"/>
    <d v="2025-06-25T00:00:00"/>
    <s v="30–39"/>
    <s v="30–39"/>
  </r>
  <r>
    <n v="28"/>
    <x v="2"/>
    <n v="2"/>
    <s v="Fri, Sun"/>
    <b v="0"/>
    <d v="1899-12-30T20:17:00"/>
    <d v="1899-12-30T23:03:00"/>
    <n v="166"/>
    <x v="1"/>
    <b v="0"/>
    <b v="1"/>
    <s v="Non-binary"/>
    <x v="2"/>
    <x v="1"/>
    <n v="15"/>
    <x v="1"/>
    <n v="0"/>
    <n v="15"/>
    <x v="2"/>
    <s v="San Francisco, CA"/>
    <n v="37.774900000000002"/>
    <n v="-122.4194"/>
    <d v="2025-04-22T00:00:00"/>
    <n v="0"/>
    <x v="1"/>
    <d v="2025-07-19T00:00:00"/>
    <s v="20–29"/>
    <s v="20–2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2-07-29T00:00:00"/>
    <n v="0"/>
    <x v="0"/>
    <d v="2025-05-24T00:00:00"/>
    <s v="10–19"/>
    <s v="16–19"/>
  </r>
  <r>
    <n v="27"/>
    <x v="0"/>
    <n v="2"/>
    <s v="Mon, Sun"/>
    <b v="1"/>
    <d v="1899-12-30T16:35:00"/>
    <d v="1899-12-30T18:56:00"/>
    <n v="141"/>
    <x v="1"/>
    <b v="1"/>
    <b v="0"/>
    <s v="Male"/>
    <x v="0"/>
    <x v="1"/>
    <n v="37.5"/>
    <x v="3"/>
    <n v="0.15"/>
    <n v="31.875"/>
    <x v="0"/>
    <s v="San Francisco, CA"/>
    <n v="37.774900000000002"/>
    <n v="-122.4194"/>
    <d v="2025-04-22T00:00:00"/>
    <n v="3"/>
    <x v="1"/>
    <d v="2025-07-19T00:00:00"/>
    <s v="20–29"/>
    <s v="20–29"/>
  </r>
  <r>
    <n v="26"/>
    <x v="0"/>
    <n v="5"/>
    <s v="Mon, Sat, Sun, Thu, Wed"/>
    <b v="1"/>
    <d v="1899-12-30T17:11:00"/>
    <d v="1899-12-30T18:02:00"/>
    <n v="51"/>
    <x v="0"/>
    <b v="1"/>
    <b v="1"/>
    <s v="Female"/>
    <x v="0"/>
    <x v="1"/>
    <n v="37.5"/>
    <x v="3"/>
    <n v="0.15"/>
    <n v="31.875"/>
    <x v="0"/>
    <s v="Long Beach, CA"/>
    <n v="33.770099999999999"/>
    <n v="-118.19370000000001"/>
    <d v="2023-06-13T00:00:00"/>
    <n v="2"/>
    <x v="0"/>
    <d v="2025-06-11T00:00:00"/>
    <s v="20–29"/>
    <s v="20–29"/>
  </r>
  <r>
    <n v="43"/>
    <x v="0"/>
    <n v="3"/>
    <s v="Mon, Sun, Thu"/>
    <b v="0"/>
    <d v="1899-12-30T08:22:00"/>
    <d v="1899-12-30T10:40:00"/>
    <n v="138"/>
    <x v="0"/>
    <b v="1"/>
    <b v="0"/>
    <s v="Non-binary"/>
    <x v="0"/>
    <x v="0"/>
    <n v="50"/>
    <x v="1"/>
    <n v="0"/>
    <n v="50"/>
    <x v="0"/>
    <s v="Fresno, CA"/>
    <n v="36.7378"/>
    <n v="-119.7871"/>
    <d v="2022-08-10T00:00:00"/>
    <n v="2"/>
    <x v="0"/>
    <d v="2025-05-24T00:00:00"/>
    <s v="40–49"/>
    <s v="40–49"/>
  </r>
  <r>
    <n v="30"/>
    <x v="3"/>
    <n v="2"/>
    <s v="Sun, Wed"/>
    <b v="1"/>
    <d v="1899-12-30T17:04:00"/>
    <d v="1899-12-30T19:42:00"/>
    <n v="158"/>
    <x v="1"/>
    <b v="0"/>
    <b v="1"/>
    <s v="Non-binary"/>
    <x v="3"/>
    <x v="2"/>
    <n v="63"/>
    <x v="1"/>
    <n v="0"/>
    <n v="63"/>
    <x v="3"/>
    <s v="San Jose, CA"/>
    <n v="37.338200000000001"/>
    <n v="-121.88630000000001"/>
    <d v="2024-10-11T00:00:00"/>
    <n v="0"/>
    <x v="0"/>
    <d v="2025-07-08T00:00:00"/>
    <s v="30–39"/>
    <s v="30–39"/>
  </r>
  <r>
    <n v="45"/>
    <x v="0"/>
    <n v="3"/>
    <s v="Sun, Tue, Wed"/>
    <b v="0"/>
    <d v="1899-12-30T11:20:00"/>
    <d v="1899-12-30T14:08:00"/>
    <n v="168"/>
    <x v="0"/>
    <b v="1"/>
    <b v="1"/>
    <s v="Male"/>
    <x v="0"/>
    <x v="0"/>
    <n v="50"/>
    <x v="1"/>
    <n v="0"/>
    <n v="50"/>
    <x v="0"/>
    <s v="San Francisco, CA"/>
    <n v="37.774900000000002"/>
    <n v="-122.4194"/>
    <d v="2025-01-22T00:00:00"/>
    <n v="8"/>
    <x v="0"/>
    <d v="2025-07-14T00:00:00"/>
    <s v="40–49"/>
    <s v="40–49"/>
  </r>
  <r>
    <n v="25"/>
    <x v="0"/>
    <n v="1"/>
    <s v="Tue"/>
    <b v="0"/>
    <d v="1899-12-30T08:37:00"/>
    <d v="1899-12-30T10:52:00"/>
    <n v="135"/>
    <x v="1"/>
    <b v="1"/>
    <b v="0"/>
    <s v="Male"/>
    <x v="0"/>
    <x v="0"/>
    <n v="50"/>
    <x v="1"/>
    <n v="0"/>
    <n v="50"/>
    <x v="0"/>
    <s v="Long Beach, CA"/>
    <n v="33.770099999999999"/>
    <n v="-118.19370000000001"/>
    <d v="2025-02-13T00:00:00"/>
    <n v="5"/>
    <x v="0"/>
    <d v="2025-07-15T00:00:00"/>
    <s v="20–29"/>
    <s v="20–29"/>
  </r>
  <r>
    <n v="19"/>
    <x v="2"/>
    <n v="2"/>
    <s v="Sat, Tue"/>
    <b v="0"/>
    <d v="1899-12-30T16:57:00"/>
    <d v="1899-12-30T18:54:00"/>
    <n v="117"/>
    <x v="1"/>
    <b v="1"/>
    <b v="0"/>
    <s v="Female"/>
    <x v="2"/>
    <x v="1"/>
    <n v="15"/>
    <x v="1"/>
    <n v="0"/>
    <n v="15"/>
    <x v="2"/>
    <s v="Sacramento, CA"/>
    <n v="38.581600000000002"/>
    <n v="-121.4944"/>
    <d v="2024-08-04T00:00:00"/>
    <n v="3"/>
    <x v="1"/>
    <d v="2025-07-04T00:00:00"/>
    <s v="10–19"/>
    <s v="16–19"/>
  </r>
  <r>
    <n v="48"/>
    <x v="1"/>
    <n v="3"/>
    <s v="Mon, Sat, Tue"/>
    <b v="1"/>
    <d v="1899-12-30T20:37:00"/>
    <d v="1899-12-30T21:48:00"/>
    <n v="71"/>
    <x v="0"/>
    <b v="1"/>
    <b v="1"/>
    <s v="Other (self-described)"/>
    <x v="1"/>
    <x v="0"/>
    <n v="30"/>
    <x v="1"/>
    <n v="0"/>
    <n v="30"/>
    <x v="1"/>
    <s v="San Jose, CA"/>
    <n v="37.338200000000001"/>
    <n v="-121.88630000000001"/>
    <d v="2025-03-07T00:00:00"/>
    <n v="2"/>
    <x v="1"/>
    <d v="2025-07-16T00:00:00"/>
    <s v="40–49"/>
    <s v="40–4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3-06-16T00:00:00"/>
    <n v="1"/>
    <x v="0"/>
    <d v="2025-06-11T00:00:00"/>
    <s v="20–29"/>
    <s v="20–29"/>
  </r>
  <r>
    <n v="14"/>
    <x v="0"/>
    <n v="2"/>
    <s v="Mon, Wed"/>
    <b v="1"/>
    <d v="1899-12-30T10:33:00"/>
    <d v="1899-12-30T12:57:00"/>
    <n v="144"/>
    <x v="1"/>
    <b v="0"/>
    <b v="1"/>
    <s v="Other (self-described)"/>
    <x v="0"/>
    <x v="1"/>
    <n v="37.5"/>
    <x v="1"/>
    <n v="0"/>
    <n v="37.5"/>
    <x v="0"/>
    <s v="Long Beach, CA"/>
    <n v="33.770099999999999"/>
    <n v="-118.19370000000001"/>
    <d v="2025-04-17T00:00:00"/>
    <n v="0"/>
    <x v="0"/>
    <d v="2025-07-19T00:00:00"/>
    <s v="10–19"/>
    <s v="Under 16"/>
  </r>
  <r>
    <n v="39"/>
    <x v="1"/>
    <n v="3"/>
    <s v="Mon, Tue, Wed"/>
    <b v="0"/>
    <d v="1899-12-30T16:51:00"/>
    <d v="1899-12-30T18:36:00"/>
    <n v="105"/>
    <x v="0"/>
    <b v="0"/>
    <b v="1"/>
    <s v="Female"/>
    <x v="1"/>
    <x v="1"/>
    <n v="22.5"/>
    <x v="1"/>
    <n v="0"/>
    <n v="22.5"/>
    <x v="1"/>
    <s v="Anaheim, CA"/>
    <n v="33.836599999999997"/>
    <n v="-117.9143"/>
    <d v="2023-12-28T00:00:00"/>
    <n v="0"/>
    <x v="1"/>
    <d v="2025-06-22T00:00:00"/>
    <s v="30–39"/>
    <s v="30–3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2-07-27T00:00:00"/>
    <n v="0"/>
    <x v="0"/>
    <d v="2025-05-24T00:00:00"/>
    <s v="30–39"/>
    <s v="30–39"/>
  </r>
  <r>
    <n v="17"/>
    <x v="0"/>
    <n v="5"/>
    <s v="Fri, Mon, Sat, Sun, Wed"/>
    <b v="1"/>
    <d v="1899-12-30T13:50:00"/>
    <d v="1899-12-30T14:29:00"/>
    <n v="39"/>
    <x v="1"/>
    <b v="1"/>
    <b v="1"/>
    <s v="Female"/>
    <x v="0"/>
    <x v="2"/>
    <n v="45"/>
    <x v="3"/>
    <n v="0.15"/>
    <n v="38.25"/>
    <x v="0"/>
    <s v="Sacramento, CA"/>
    <n v="38.581600000000002"/>
    <n v="-121.4944"/>
    <d v="2023-02-07T00:00:00"/>
    <n v="5"/>
    <x v="1"/>
    <d v="2025-06-04T00:00:00"/>
    <s v="10–19"/>
    <s v="16–19"/>
  </r>
  <r>
    <n v="24"/>
    <x v="3"/>
    <n v="2"/>
    <s v="Sun, Thu"/>
    <b v="1"/>
    <d v="1899-12-30T15:49:00"/>
    <d v="1899-12-30T18:31:00"/>
    <n v="162"/>
    <x v="1"/>
    <b v="1"/>
    <b v="1"/>
    <s v="Female"/>
    <x v="3"/>
    <x v="1"/>
    <n v="52.5"/>
    <x v="3"/>
    <n v="0.15"/>
    <n v="44.625"/>
    <x v="3"/>
    <s v="San Jose, CA"/>
    <n v="37.338200000000001"/>
    <n v="-121.88630000000001"/>
    <d v="2023-09-06T00:00:00"/>
    <n v="6"/>
    <x v="0"/>
    <d v="2025-06-16T00:00:00"/>
    <s v="20–29"/>
    <s v="20–29"/>
  </r>
  <r>
    <n v="12"/>
    <x v="0"/>
    <n v="5"/>
    <s v="Mon, Sun, Thu, Tue, Wed"/>
    <b v="1"/>
    <d v="1899-12-30T18:32:00"/>
    <d v="1899-12-30T19:28:00"/>
    <n v="56"/>
    <x v="1"/>
    <b v="0"/>
    <b v="1"/>
    <s v="Male"/>
    <x v="0"/>
    <x v="0"/>
    <n v="50"/>
    <x v="2"/>
    <n v="0.1"/>
    <n v="45"/>
    <x v="0"/>
    <s v="San Jose, CA"/>
    <n v="37.338200000000001"/>
    <n v="-121.88630000000001"/>
    <d v="2024-07-31T00:00:00"/>
    <n v="0"/>
    <x v="0"/>
    <d v="2025-07-04T00:00:00"/>
    <s v="10–19"/>
    <s v="Under 16"/>
  </r>
  <r>
    <n v="26"/>
    <x v="2"/>
    <n v="1"/>
    <s v="Thu"/>
    <b v="0"/>
    <d v="1899-12-30T14:21:00"/>
    <d v="1899-12-30T17:17:00"/>
    <n v="176"/>
    <x v="1"/>
    <b v="0"/>
    <b v="0"/>
    <s v="Male"/>
    <x v="2"/>
    <x v="0"/>
    <n v="20"/>
    <x v="2"/>
    <n v="0.1"/>
    <n v="18"/>
    <x v="2"/>
    <s v="Long Beach, CA"/>
    <n v="33.770099999999999"/>
    <n v="-118.19370000000001"/>
    <d v="2023-08-28T00:00:00"/>
    <n v="0"/>
    <x v="1"/>
    <d v="2025-06-15T00:00:00"/>
    <s v="20–29"/>
    <s v="20–29"/>
  </r>
  <r>
    <n v="23"/>
    <x v="0"/>
    <n v="2"/>
    <s v="Thu, Tue"/>
    <b v="1"/>
    <d v="1899-12-30T14:42:00"/>
    <d v="1899-12-30T16:56:00"/>
    <n v="134"/>
    <x v="1"/>
    <b v="1"/>
    <b v="0"/>
    <s v="Female"/>
    <x v="0"/>
    <x v="0"/>
    <n v="50"/>
    <x v="0"/>
    <n v="0.05"/>
    <n v="47.5"/>
    <x v="0"/>
    <s v="San Francisco, CA"/>
    <n v="37.774900000000002"/>
    <n v="-122.4194"/>
    <d v="2023-12-09T00:00:00"/>
    <n v="7"/>
    <x v="1"/>
    <d v="2025-06-21T00:00:00"/>
    <s v="20–29"/>
    <s v="20–29"/>
  </r>
  <r>
    <n v="13"/>
    <x v="1"/>
    <n v="3"/>
    <s v="Mon, Thu, Tue"/>
    <b v="0"/>
    <d v="1899-12-30T20:25:00"/>
    <d v="1899-12-30T22:44:00"/>
    <n v="139"/>
    <x v="0"/>
    <b v="1"/>
    <b v="0"/>
    <s v="Male"/>
    <x v="1"/>
    <x v="0"/>
    <n v="30"/>
    <x v="1"/>
    <n v="0"/>
    <n v="30"/>
    <x v="1"/>
    <s v="Anaheim, CA"/>
    <n v="33.836599999999997"/>
    <n v="-117.9143"/>
    <d v="2024-03-26T00:00:00"/>
    <n v="4"/>
    <x v="1"/>
    <d v="2025-06-27T00:00:00"/>
    <s v="10–19"/>
    <s v="Under 16"/>
  </r>
  <r>
    <n v="25"/>
    <x v="0"/>
    <n v="2"/>
    <s v="Thu, Tue"/>
    <b v="0"/>
    <d v="1899-12-30T10:55:00"/>
    <d v="1899-12-30T13:51:00"/>
    <n v="176"/>
    <x v="1"/>
    <b v="0"/>
    <b v="1"/>
    <s v="Female"/>
    <x v="0"/>
    <x v="1"/>
    <n v="37.5"/>
    <x v="1"/>
    <n v="0"/>
    <n v="37.5"/>
    <x v="0"/>
    <s v="Sacramento, CA"/>
    <n v="38.581600000000002"/>
    <n v="-121.4944"/>
    <d v="2025-02-03T00:00:00"/>
    <n v="0"/>
    <x v="0"/>
    <d v="2025-07-15T00:00:00"/>
    <s v="20–29"/>
    <s v="20–29"/>
  </r>
  <r>
    <n v="34"/>
    <x v="1"/>
    <n v="2"/>
    <s v="Fri, Tue"/>
    <b v="0"/>
    <d v="1899-12-30T17:02:00"/>
    <d v="1899-12-30T18:36:00"/>
    <n v="94"/>
    <x v="1"/>
    <b v="1"/>
    <b v="1"/>
    <s v="Male"/>
    <x v="1"/>
    <x v="0"/>
    <n v="30"/>
    <x v="3"/>
    <n v="0.15"/>
    <n v="25.5"/>
    <x v="1"/>
    <s v="San Jose, CA"/>
    <n v="37.338200000000001"/>
    <n v="-121.88630000000001"/>
    <d v="2022-11-21T00:00:00"/>
    <n v="5"/>
    <x v="1"/>
    <d v="2025-05-30T00:00:00"/>
    <s v="30–39"/>
    <s v="30–39"/>
  </r>
  <r>
    <n v="30"/>
    <x v="2"/>
    <n v="5"/>
    <s v="Fri, Mon, Sun, Thu, Wed"/>
    <b v="0"/>
    <d v="1899-12-30T17:29:00"/>
    <d v="1899-12-30T18:25:00"/>
    <n v="56"/>
    <x v="0"/>
    <b v="1"/>
    <b v="0"/>
    <s v="Non-binary"/>
    <x v="2"/>
    <x v="0"/>
    <n v="20"/>
    <x v="3"/>
    <n v="0.15"/>
    <n v="17"/>
    <x v="2"/>
    <s v="Fresno, CA"/>
    <n v="36.7378"/>
    <n v="-119.7871"/>
    <d v="2024-02-29T00:00:00"/>
    <n v="4"/>
    <x v="1"/>
    <d v="2025-06-26T00:00:00"/>
    <s v="30–39"/>
    <s v="30–39"/>
  </r>
  <r>
    <n v="49"/>
    <x v="1"/>
    <n v="2"/>
    <s v="Mon, Sun"/>
    <b v="0"/>
    <d v="1899-12-30T18:40:00"/>
    <d v="1899-12-30T20:46:00"/>
    <n v="126"/>
    <x v="0"/>
    <b v="1"/>
    <b v="1"/>
    <s v="Female"/>
    <x v="1"/>
    <x v="1"/>
    <n v="22.5"/>
    <x v="0"/>
    <n v="0.05"/>
    <n v="21.375"/>
    <x v="1"/>
    <s v="Anaheim, CA"/>
    <n v="33.836599999999997"/>
    <n v="-117.9143"/>
    <d v="2024-11-27T00:00:00"/>
    <n v="3"/>
    <x v="0"/>
    <d v="2025-07-11T00:00:00"/>
    <s v="40–49"/>
    <s v="40–49"/>
  </r>
  <r>
    <n v="33"/>
    <x v="2"/>
    <n v="3"/>
    <s v="Fri, Sat, Tue"/>
    <b v="1"/>
    <d v="1899-12-30T10:24:00"/>
    <d v="1899-12-30T12:48:00"/>
    <n v="144"/>
    <x v="0"/>
    <b v="1"/>
    <b v="0"/>
    <s v="Female"/>
    <x v="2"/>
    <x v="1"/>
    <n v="15"/>
    <x v="1"/>
    <n v="0"/>
    <n v="15"/>
    <x v="2"/>
    <s v="Long Beach, CA"/>
    <n v="33.770099999999999"/>
    <n v="-118.19370000000001"/>
    <d v="2024-05-27T00:00:00"/>
    <n v="7"/>
    <x v="1"/>
    <d v="2025-06-30T00:00:00"/>
    <s v="30–39"/>
    <s v="30–39"/>
  </r>
  <r>
    <n v="31"/>
    <x v="0"/>
    <n v="2"/>
    <s v="Sun, Thu"/>
    <b v="1"/>
    <d v="1899-12-30T20:28:00"/>
    <d v="1899-12-30T21:26:00"/>
    <n v="58"/>
    <x v="0"/>
    <b v="1"/>
    <b v="0"/>
    <s v="Non-binary"/>
    <x v="0"/>
    <x v="0"/>
    <n v="50"/>
    <x v="3"/>
    <n v="0.15"/>
    <n v="42.5"/>
    <x v="0"/>
    <s v="Sacramento, CA"/>
    <n v="38.581600000000002"/>
    <n v="-121.4944"/>
    <d v="2024-04-07T00:00:00"/>
    <n v="4"/>
    <x v="1"/>
    <d v="2025-06-28T00:00:00"/>
    <s v="30–39"/>
    <s v="30–39"/>
  </r>
  <r>
    <n v="24"/>
    <x v="2"/>
    <n v="3"/>
    <s v="Sat, Thu, Wed"/>
    <b v="1"/>
    <d v="1899-12-30T12:00:00"/>
    <d v="1899-12-30T14:08:00"/>
    <n v="128"/>
    <x v="1"/>
    <b v="0"/>
    <b v="1"/>
    <s v="Other (self-described)"/>
    <x v="2"/>
    <x v="0"/>
    <n v="20"/>
    <x v="2"/>
    <n v="0.1"/>
    <n v="18"/>
    <x v="2"/>
    <s v="San Francisco, CA"/>
    <n v="37.774900000000002"/>
    <n v="-122.4194"/>
    <d v="2023-01-23T00:00:00"/>
    <n v="0"/>
    <x v="1"/>
    <d v="2025-06-03T00:00:00"/>
    <s v="20–29"/>
    <s v="20–29"/>
  </r>
  <r>
    <n v="49"/>
    <x v="1"/>
    <n v="2"/>
    <s v="Sat, Wed"/>
    <b v="0"/>
    <d v="1899-12-30T15:41:00"/>
    <d v="1899-12-30T17:45:00"/>
    <n v="124"/>
    <x v="1"/>
    <b v="0"/>
    <b v="0"/>
    <s v="Male"/>
    <x v="1"/>
    <x v="0"/>
    <n v="30"/>
    <x v="2"/>
    <n v="0.1"/>
    <n v="27"/>
    <x v="1"/>
    <s v="Los Angeles, CA"/>
    <n v="34.052199999999999"/>
    <n v="-118.2437"/>
    <d v="2023-05-03T00:00:00"/>
    <n v="0"/>
    <x v="1"/>
    <d v="2025-06-08T00:00:00"/>
    <s v="40–49"/>
    <s v="40–49"/>
  </r>
  <r>
    <n v="34"/>
    <x v="2"/>
    <n v="3"/>
    <s v="Fri, Sun, Wed"/>
    <b v="0"/>
    <d v="1899-12-30T09:21:00"/>
    <d v="1899-12-30T11:11:00"/>
    <n v="110"/>
    <x v="1"/>
    <b v="0"/>
    <b v="0"/>
    <s v="Prefer not to say"/>
    <x v="2"/>
    <x v="0"/>
    <n v="20"/>
    <x v="2"/>
    <n v="0.1"/>
    <n v="18"/>
    <x v="2"/>
    <s v="Sacramento, CA"/>
    <n v="38.581600000000002"/>
    <n v="-121.4944"/>
    <d v="2023-03-26T00:00:00"/>
    <n v="0"/>
    <x v="1"/>
    <d v="2025-06-06T00:00:00"/>
    <s v="30–39"/>
    <s v="30–39"/>
  </r>
  <r>
    <n v="40"/>
    <x v="0"/>
    <n v="3"/>
    <s v="Mon, Sat, Tue"/>
    <b v="0"/>
    <d v="1899-12-30T08:41:00"/>
    <d v="1899-12-30T09:35:00"/>
    <n v="54"/>
    <x v="1"/>
    <b v="0"/>
    <b v="1"/>
    <s v="Female"/>
    <x v="0"/>
    <x v="0"/>
    <n v="50"/>
    <x v="3"/>
    <n v="0.15"/>
    <n v="42.5"/>
    <x v="0"/>
    <s v="Long Beach, CA"/>
    <n v="33.770099999999999"/>
    <n v="-118.19370000000001"/>
    <d v="2025-06-11T00:00:00"/>
    <n v="0"/>
    <x v="0"/>
    <d v="2025-07-22T00:00:00"/>
    <s v="40–49"/>
    <s v="40–49"/>
  </r>
  <r>
    <n v="49"/>
    <x v="0"/>
    <n v="3"/>
    <s v="Sat, Sun, Tue"/>
    <b v="1"/>
    <d v="1899-12-30T10:53:00"/>
    <d v="1899-12-30T13:29:00"/>
    <n v="156"/>
    <x v="0"/>
    <b v="1"/>
    <b v="0"/>
    <s v="Female"/>
    <x v="0"/>
    <x v="0"/>
    <n v="50"/>
    <x v="1"/>
    <n v="0"/>
    <n v="50"/>
    <x v="0"/>
    <s v="Los Angeles, CA"/>
    <n v="34.052199999999999"/>
    <n v="-118.2437"/>
    <d v="2024-04-05T00:00:00"/>
    <n v="3"/>
    <x v="1"/>
    <d v="2025-06-28T00:00:00"/>
    <s v="40–49"/>
    <s v="40–49"/>
  </r>
  <r>
    <n v="16"/>
    <x v="3"/>
    <n v="3"/>
    <s v="Sat, Tue, Wed"/>
    <b v="0"/>
    <d v="1899-12-30T18:39:00"/>
    <d v="1899-12-30T20:54:00"/>
    <n v="135"/>
    <x v="0"/>
    <b v="0"/>
    <b v="0"/>
    <s v="Male"/>
    <x v="3"/>
    <x v="2"/>
    <n v="63"/>
    <x v="1"/>
    <n v="0"/>
    <n v="63"/>
    <x v="3"/>
    <s v="Bakersfield, CA"/>
    <n v="35.3733"/>
    <n v="-119.0187"/>
    <d v="2024-01-27T00:00:00"/>
    <n v="0"/>
    <x v="0"/>
    <d v="2025-06-24T00:00:00"/>
    <s v="10–19"/>
    <s v="16–19"/>
  </r>
  <r>
    <n v="47"/>
    <x v="2"/>
    <n v="2"/>
    <s v="Mon, Sat"/>
    <b v="1"/>
    <d v="1899-12-30T14:42:00"/>
    <d v="1899-12-30T16:08:00"/>
    <n v="86"/>
    <x v="0"/>
    <b v="1"/>
    <b v="1"/>
    <s v="Prefer not to say"/>
    <x v="2"/>
    <x v="2"/>
    <n v="18"/>
    <x v="1"/>
    <n v="0"/>
    <n v="18"/>
    <x v="2"/>
    <s v="Bakersfield, CA"/>
    <n v="35.3733"/>
    <n v="-119.0187"/>
    <d v="2025-06-02T00:00:00"/>
    <n v="1"/>
    <x v="1"/>
    <d v="2025-07-21T00:00:00"/>
    <s v="40–49"/>
    <s v="40–49"/>
  </r>
  <r>
    <n v="37"/>
    <x v="2"/>
    <n v="5"/>
    <s v="Fri, Mon, Sat, Sun, Thu"/>
    <b v="1"/>
    <d v="1899-12-30T18:48:00"/>
    <d v="1899-12-30T21:03:00"/>
    <n v="135"/>
    <x v="0"/>
    <b v="1"/>
    <b v="1"/>
    <s v="Male"/>
    <x v="2"/>
    <x v="1"/>
    <n v="15"/>
    <x v="3"/>
    <n v="0.15"/>
    <n v="12.75"/>
    <x v="2"/>
    <s v="San Francisco, CA"/>
    <n v="37.774900000000002"/>
    <n v="-122.4194"/>
    <d v="2024-09-19T00:00:00"/>
    <n v="4"/>
    <x v="1"/>
    <d v="2025-07-07T00:00:00"/>
    <s v="30–39"/>
    <s v="30–39"/>
  </r>
  <r>
    <n v="34"/>
    <x v="1"/>
    <n v="1"/>
    <s v="Sun"/>
    <b v="1"/>
    <d v="1899-12-30T09:14:00"/>
    <d v="1899-12-30T11:52:00"/>
    <n v="158"/>
    <x v="0"/>
    <b v="1"/>
    <b v="0"/>
    <s v="Male"/>
    <x v="1"/>
    <x v="1"/>
    <n v="22.5"/>
    <x v="1"/>
    <n v="0"/>
    <n v="22.5"/>
    <x v="1"/>
    <s v="Anaheim, CA"/>
    <n v="33.836599999999997"/>
    <n v="-117.9143"/>
    <d v="2023-04-05T00:00:00"/>
    <n v="7"/>
    <x v="1"/>
    <d v="2025-06-07T00:00:00"/>
    <s v="30–39"/>
    <s v="30–39"/>
  </r>
  <r>
    <n v="16"/>
    <x v="1"/>
    <n v="2"/>
    <s v="Fri, Thu"/>
    <b v="0"/>
    <d v="1899-12-30T11:43:00"/>
    <d v="1899-12-30T12:52:00"/>
    <n v="69"/>
    <x v="0"/>
    <b v="0"/>
    <b v="1"/>
    <s v="Female"/>
    <x v="1"/>
    <x v="0"/>
    <n v="30"/>
    <x v="3"/>
    <n v="0.15"/>
    <n v="25.5"/>
    <x v="1"/>
    <s v="Bakersfield, CA"/>
    <n v="35.3733"/>
    <n v="-119.0187"/>
    <d v="2025-01-27T00:00:00"/>
    <n v="0"/>
    <x v="1"/>
    <d v="2025-07-14T00:00:00"/>
    <s v="10–19"/>
    <s v="16–19"/>
  </r>
  <r>
    <n v="27"/>
    <x v="0"/>
    <n v="2"/>
    <s v="Mon, Sun"/>
    <b v="1"/>
    <d v="1899-12-30T16:35:00"/>
    <d v="1899-12-30T18:56:00"/>
    <n v="141"/>
    <x v="1"/>
    <b v="1"/>
    <b v="0"/>
    <s v="Male"/>
    <x v="0"/>
    <x v="1"/>
    <n v="37.5"/>
    <x v="3"/>
    <n v="0.15"/>
    <n v="31.875"/>
    <x v="0"/>
    <s v="San Francisco, CA"/>
    <n v="37.774900000000002"/>
    <n v="-122.4194"/>
    <d v="2023-11-30T00:00:00"/>
    <n v="8"/>
    <x v="0"/>
    <d v="2025-06-20T00:00:00"/>
    <s v="20–29"/>
    <s v="20–29"/>
  </r>
  <r>
    <n v="24"/>
    <x v="1"/>
    <n v="3"/>
    <s v="Mon, Sat, Sun"/>
    <b v="1"/>
    <d v="1899-12-30T20:53:00"/>
    <d v="1899-12-30T21:33:00"/>
    <n v="40"/>
    <x v="0"/>
    <b v="0"/>
    <b v="1"/>
    <s v="Female"/>
    <x v="1"/>
    <x v="0"/>
    <n v="30"/>
    <x v="1"/>
    <n v="0"/>
    <n v="30"/>
    <x v="1"/>
    <s v="Sacramento, CA"/>
    <n v="38.581600000000002"/>
    <n v="-121.4944"/>
    <d v="2024-11-05T00:00:00"/>
    <n v="0"/>
    <x v="1"/>
    <d v="2025-07-10T00:00:00"/>
    <s v="20–29"/>
    <s v="20–29"/>
  </r>
  <r>
    <n v="24"/>
    <x v="3"/>
    <n v="2"/>
    <s v="Mon, Thu"/>
    <b v="1"/>
    <d v="1899-12-30T20:25:00"/>
    <d v="1899-12-30T20:55:00"/>
    <n v="30"/>
    <x v="0"/>
    <b v="0"/>
    <b v="1"/>
    <s v="Female"/>
    <x v="3"/>
    <x v="0"/>
    <n v="70"/>
    <x v="2"/>
    <n v="0.1"/>
    <n v="63"/>
    <x v="3"/>
    <s v="San Francisco, CA"/>
    <n v="37.774900000000002"/>
    <n v="-122.4194"/>
    <d v="2025-06-10T00:00:00"/>
    <n v="0"/>
    <x v="1"/>
    <d v="2025-07-22T00:00:00"/>
    <s v="20–29"/>
    <s v="20–29"/>
  </r>
  <r>
    <n v="49"/>
    <x v="1"/>
    <n v="1"/>
    <s v="Fri"/>
    <b v="1"/>
    <d v="1899-12-30T08:06:00"/>
    <d v="1899-12-30T10:41:00"/>
    <n v="155"/>
    <x v="0"/>
    <b v="1"/>
    <b v="0"/>
    <s v="Female"/>
    <x v="1"/>
    <x v="0"/>
    <n v="30"/>
    <x v="1"/>
    <n v="0"/>
    <n v="30"/>
    <x v="1"/>
    <s v="Anaheim, CA"/>
    <n v="33.836599999999997"/>
    <n v="-117.9143"/>
    <d v="2024-10-09T00:00:00"/>
    <n v="5"/>
    <x v="1"/>
    <d v="2025-07-08T00:00:00"/>
    <s v="40–49"/>
    <s v="40–49"/>
  </r>
  <r>
    <n v="30"/>
    <x v="1"/>
    <n v="3"/>
    <s v="Fri, Thu, Wed"/>
    <b v="1"/>
    <d v="1899-12-30T19:16:00"/>
    <d v="1899-12-30T20:15:00"/>
    <n v="59"/>
    <x v="0"/>
    <b v="1"/>
    <b v="1"/>
    <s v="Male"/>
    <x v="1"/>
    <x v="0"/>
    <n v="30"/>
    <x v="2"/>
    <n v="0.1"/>
    <n v="27"/>
    <x v="1"/>
    <s v="Bakersfield, CA"/>
    <n v="35.3733"/>
    <n v="-119.0187"/>
    <d v="2022-08-18T00:00:00"/>
    <n v="3"/>
    <x v="1"/>
    <d v="2025-05-25T00:00:00"/>
    <s v="30–39"/>
    <s v="30–39"/>
  </r>
  <r>
    <n v="15"/>
    <x v="2"/>
    <n v="1"/>
    <s v="Thu"/>
    <b v="1"/>
    <d v="1899-12-30T08:01:00"/>
    <d v="1899-12-30T10:30:00"/>
    <n v="149"/>
    <x v="1"/>
    <b v="1"/>
    <b v="1"/>
    <s v="Male"/>
    <x v="2"/>
    <x v="0"/>
    <n v="20"/>
    <x v="2"/>
    <n v="0.1"/>
    <n v="18"/>
    <x v="2"/>
    <s v="Sacramento, CA"/>
    <n v="38.581600000000002"/>
    <n v="-121.4944"/>
    <d v="2023-02-20T00:00:00"/>
    <n v="5"/>
    <x v="0"/>
    <d v="2025-06-04T00:00:00"/>
    <s v="10–19"/>
    <s v="Under 16"/>
  </r>
  <r>
    <n v="36"/>
    <x v="3"/>
    <n v="2"/>
    <s v="Fri, Tue"/>
    <b v="1"/>
    <d v="1899-12-30T18:19:00"/>
    <d v="1899-12-30T20:02:00"/>
    <n v="103"/>
    <x v="0"/>
    <b v="1"/>
    <b v="1"/>
    <s v="Male"/>
    <x v="3"/>
    <x v="1"/>
    <n v="52.5"/>
    <x v="0"/>
    <n v="0.05"/>
    <n v="49.875"/>
    <x v="3"/>
    <s v="Long Beach, CA"/>
    <n v="33.770099999999999"/>
    <n v="-118.19370000000001"/>
    <d v="2022-09-05T00:00:00"/>
    <n v="7"/>
    <x v="0"/>
    <d v="2025-05-26T00:00:00"/>
    <s v="30–39"/>
    <s v="30–39"/>
  </r>
  <r>
    <n v="24"/>
    <x v="0"/>
    <n v="3"/>
    <s v="Fri, Sat, Wed"/>
    <b v="0"/>
    <d v="1899-12-30T19:13:00"/>
    <d v="1899-12-30T20:02:00"/>
    <n v="49"/>
    <x v="0"/>
    <b v="1"/>
    <b v="1"/>
    <s v="Male"/>
    <x v="0"/>
    <x v="0"/>
    <n v="50"/>
    <x v="0"/>
    <n v="0.05"/>
    <n v="47.5"/>
    <x v="0"/>
    <s v="San Francisco, CA"/>
    <n v="37.774900000000002"/>
    <n v="-122.4194"/>
    <d v="2024-01-20T00:00:00"/>
    <n v="2"/>
    <x v="0"/>
    <d v="2025-06-23T00:00:00"/>
    <s v="20–29"/>
    <s v="20–29"/>
  </r>
  <r>
    <n v="48"/>
    <x v="0"/>
    <n v="4"/>
    <s v="Fri, Thu, Tue, Wed"/>
    <b v="0"/>
    <d v="1899-12-30T09:34:00"/>
    <d v="1899-12-30T10:11:00"/>
    <n v="37"/>
    <x v="0"/>
    <b v="0"/>
    <b v="0"/>
    <s v="Male"/>
    <x v="0"/>
    <x v="1"/>
    <n v="37.5"/>
    <x v="1"/>
    <n v="0"/>
    <n v="37.5"/>
    <x v="0"/>
    <s v="Bakersfield, CA"/>
    <n v="35.3733"/>
    <n v="-119.0187"/>
    <d v="2025-02-26T00:00:00"/>
    <n v="0"/>
    <x v="0"/>
    <d v="2025-07-16T00:00:00"/>
    <s v="40–49"/>
    <s v="40–49"/>
  </r>
  <r>
    <n v="16"/>
    <x v="2"/>
    <n v="1"/>
    <s v="Mon"/>
    <b v="1"/>
    <d v="1899-12-30T20:02:00"/>
    <d v="1899-12-30T22:37:00"/>
    <n v="155"/>
    <x v="0"/>
    <b v="1"/>
    <b v="0"/>
    <s v="Male"/>
    <x v="2"/>
    <x v="0"/>
    <n v="20"/>
    <x v="0"/>
    <n v="0.05"/>
    <n v="19"/>
    <x v="2"/>
    <s v="Fresno, CA"/>
    <n v="36.7378"/>
    <n v="-119.7871"/>
    <d v="2023-11-17T00:00:00"/>
    <n v="3"/>
    <x v="1"/>
    <d v="2025-06-20T00:00:00"/>
    <s v="10–19"/>
    <s v="16–19"/>
  </r>
  <r>
    <n v="14"/>
    <x v="2"/>
    <n v="3"/>
    <s v="Fri, Mon, Sun"/>
    <b v="0"/>
    <d v="1899-12-30T16:05:00"/>
    <d v="1899-12-30T19:05:00"/>
    <n v="180"/>
    <x v="1"/>
    <b v="1"/>
    <b v="0"/>
    <s v="Female"/>
    <x v="2"/>
    <x v="0"/>
    <n v="20"/>
    <x v="2"/>
    <n v="0.1"/>
    <n v="18"/>
    <x v="2"/>
    <s v="Fresno, CA"/>
    <n v="36.7378"/>
    <n v="-119.7871"/>
    <d v="2024-02-25T00:00:00"/>
    <n v="4"/>
    <x v="1"/>
    <d v="2025-06-25T00:00:00"/>
    <s v="10–19"/>
    <s v="Under 16"/>
  </r>
  <r>
    <n v="49"/>
    <x v="0"/>
    <n v="3"/>
    <s v="Fri, Sun, Thu"/>
    <b v="0"/>
    <d v="1899-12-30T17:16:00"/>
    <d v="1899-12-30T19:52:00"/>
    <n v="156"/>
    <x v="1"/>
    <b v="0"/>
    <b v="0"/>
    <s v="Prefer not to say"/>
    <x v="0"/>
    <x v="0"/>
    <n v="50"/>
    <x v="1"/>
    <n v="0"/>
    <n v="50"/>
    <x v="0"/>
    <s v="Bakersfield, CA"/>
    <n v="35.3733"/>
    <n v="-119.0187"/>
    <d v="2023-01-05T00:00:00"/>
    <n v="0"/>
    <x v="0"/>
    <d v="2025-06-02T00:00:00"/>
    <s v="40–49"/>
    <s v="40–49"/>
  </r>
  <r>
    <n v="27"/>
    <x v="0"/>
    <n v="2"/>
    <s v="Mon, Sun"/>
    <b v="1"/>
    <d v="1899-12-30T16:35:00"/>
    <d v="1899-12-30T18:56:00"/>
    <n v="141"/>
    <x v="1"/>
    <b v="1"/>
    <b v="0"/>
    <s v="Male"/>
    <x v="0"/>
    <x v="1"/>
    <n v="37.5"/>
    <x v="3"/>
    <n v="0.15"/>
    <n v="31.875"/>
    <x v="0"/>
    <s v="San Francisco, CA"/>
    <n v="37.774900000000002"/>
    <n v="-122.4194"/>
    <d v="2025-03-10T00:00:00"/>
    <n v="3"/>
    <x v="0"/>
    <d v="2025-07-17T00:00:00"/>
    <s v="20–29"/>
    <s v="20–29"/>
  </r>
  <r>
    <n v="44"/>
    <x v="0"/>
    <n v="5"/>
    <s v="Fri, Sat, Sun, Thu, Tue"/>
    <b v="1"/>
    <d v="1899-12-30T15:27:00"/>
    <d v="1899-12-30T17:39:00"/>
    <n v="132"/>
    <x v="0"/>
    <b v="1"/>
    <b v="1"/>
    <s v="Prefer not to say"/>
    <x v="0"/>
    <x v="0"/>
    <n v="50"/>
    <x v="1"/>
    <n v="0"/>
    <n v="50"/>
    <x v="0"/>
    <s v="Los Angeles, CA"/>
    <n v="34.052199999999999"/>
    <n v="-118.2437"/>
    <d v="2024-01-20T00:00:00"/>
    <n v="5"/>
    <x v="0"/>
    <d v="2025-06-23T00:00:00"/>
    <s v="40–49"/>
    <s v="40–49"/>
  </r>
  <r>
    <n v="37"/>
    <x v="2"/>
    <n v="1"/>
    <s v="Sat"/>
    <b v="1"/>
    <d v="1899-12-30T08:21:00"/>
    <d v="1899-12-30T08:55:00"/>
    <n v="34"/>
    <x v="1"/>
    <b v="0"/>
    <b v="0"/>
    <s v="Female"/>
    <x v="2"/>
    <x v="1"/>
    <n v="15"/>
    <x v="1"/>
    <n v="0"/>
    <n v="15"/>
    <x v="2"/>
    <s v="Fresno, CA"/>
    <n v="36.7378"/>
    <n v="-119.7871"/>
    <d v="2025-01-14T00:00:00"/>
    <n v="0"/>
    <x v="1"/>
    <d v="2025-07-13T00:00:00"/>
    <s v="30–39"/>
    <s v="30–39"/>
  </r>
  <r>
    <n v="21"/>
    <x v="2"/>
    <n v="5"/>
    <s v="Fri, Mon, Sat, Tue, Wed"/>
    <b v="1"/>
    <d v="1899-12-30T11:36:00"/>
    <d v="1899-12-30T14:23:00"/>
    <n v="167"/>
    <x v="0"/>
    <b v="0"/>
    <b v="0"/>
    <s v="Female"/>
    <x v="2"/>
    <x v="1"/>
    <n v="15"/>
    <x v="1"/>
    <n v="0"/>
    <n v="15"/>
    <x v="2"/>
    <s v="Anaheim, CA"/>
    <n v="33.836599999999997"/>
    <n v="-117.9143"/>
    <d v="2024-07-12T00:00:00"/>
    <n v="0"/>
    <x v="0"/>
    <d v="2025-07-03T00:00:00"/>
    <s v="20–29"/>
    <s v="20–29"/>
  </r>
  <r>
    <n v="28"/>
    <x v="0"/>
    <n v="4"/>
    <s v="Fri, Mon, Tue, Wed"/>
    <b v="1"/>
    <d v="1899-12-30T11:10:00"/>
    <d v="1899-12-30T13:56:00"/>
    <n v="166"/>
    <x v="0"/>
    <b v="1"/>
    <b v="1"/>
    <s v="Male"/>
    <x v="0"/>
    <x v="1"/>
    <n v="37.5"/>
    <x v="3"/>
    <n v="0.15"/>
    <n v="31.875"/>
    <x v="0"/>
    <s v="Long Beach, CA"/>
    <n v="33.770099999999999"/>
    <n v="-118.19370000000001"/>
    <d v="2023-04-29T00:00:00"/>
    <n v="1"/>
    <x v="0"/>
    <d v="2025-06-08T00:00:00"/>
    <s v="20–29"/>
    <s v="20–2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4-02-02T00:00:00"/>
    <n v="0"/>
    <x v="0"/>
    <d v="2025-06-24T00:00:00"/>
    <s v="30–39"/>
    <s v="30–39"/>
  </r>
  <r>
    <n v="16"/>
    <x v="1"/>
    <n v="1"/>
    <s v="Tue"/>
    <b v="1"/>
    <d v="1899-12-30T08:38:00"/>
    <d v="1899-12-30T10:25:00"/>
    <n v="107"/>
    <x v="0"/>
    <b v="1"/>
    <b v="1"/>
    <s v="Non-binary"/>
    <x v="1"/>
    <x v="2"/>
    <n v="27"/>
    <x v="1"/>
    <n v="0"/>
    <n v="27"/>
    <x v="1"/>
    <s v="San Diego, CA"/>
    <n v="32.715699999999998"/>
    <n v="-117.1611"/>
    <d v="2024-05-18T00:00:00"/>
    <n v="3"/>
    <x v="1"/>
    <d v="2025-06-30T00:00:00"/>
    <s v="10–19"/>
    <s v="16–19"/>
  </r>
  <r>
    <n v="33"/>
    <x v="0"/>
    <n v="3"/>
    <s v="Fri, Mon, Wed"/>
    <b v="1"/>
    <d v="1899-12-30T13:11:00"/>
    <d v="1899-12-30T15:56:00"/>
    <n v="165"/>
    <x v="1"/>
    <b v="0"/>
    <b v="0"/>
    <s v="Male"/>
    <x v="0"/>
    <x v="0"/>
    <n v="50"/>
    <x v="0"/>
    <n v="0.05"/>
    <n v="47.5"/>
    <x v="0"/>
    <s v="Sacramento, CA"/>
    <n v="38.581600000000002"/>
    <n v="-121.4944"/>
    <d v="2024-04-28T00:00:00"/>
    <n v="0"/>
    <x v="1"/>
    <d v="2025-06-29T00:00:00"/>
    <s v="30–39"/>
    <s v="30–39"/>
  </r>
  <r>
    <n v="36"/>
    <x v="3"/>
    <n v="2"/>
    <s v="Fri, Tue"/>
    <b v="1"/>
    <d v="1899-12-30T18:19:00"/>
    <d v="1899-12-30T20:02:00"/>
    <n v="103"/>
    <x v="0"/>
    <b v="1"/>
    <b v="1"/>
    <s v="Male"/>
    <x v="3"/>
    <x v="1"/>
    <n v="52.5"/>
    <x v="0"/>
    <n v="0.05"/>
    <n v="49.875"/>
    <x v="3"/>
    <s v="Long Beach, CA"/>
    <n v="33.770099999999999"/>
    <n v="-118.19370000000001"/>
    <d v="2024-02-19T00:00:00"/>
    <n v="4"/>
    <x v="0"/>
    <d v="2025-06-25T00:00:00"/>
    <s v="30–39"/>
    <s v="30–39"/>
  </r>
  <r>
    <n v="15"/>
    <x v="0"/>
    <n v="1"/>
    <s v="Fri"/>
    <b v="1"/>
    <d v="1899-12-30T19:06:00"/>
    <d v="1899-12-30T21:17:00"/>
    <n v="131"/>
    <x v="1"/>
    <b v="1"/>
    <b v="0"/>
    <s v="Other (self-described)"/>
    <x v="0"/>
    <x v="0"/>
    <n v="50"/>
    <x v="3"/>
    <n v="0.15"/>
    <n v="42.5"/>
    <x v="0"/>
    <s v="Los Angeles, CA"/>
    <n v="34.052199999999999"/>
    <n v="-118.2437"/>
    <d v="2023-03-09T00:00:00"/>
    <n v="2"/>
    <x v="0"/>
    <d v="2025-06-05T00:00:00"/>
    <s v="10–19"/>
    <s v="Under 16"/>
  </r>
  <r>
    <n v="35"/>
    <x v="1"/>
    <n v="3"/>
    <s v="Mon, Sat, Thu"/>
    <b v="1"/>
    <d v="1899-12-30T10:36:00"/>
    <d v="1899-12-30T11:46:00"/>
    <n v="70"/>
    <x v="1"/>
    <b v="1"/>
    <b v="1"/>
    <s v="Female"/>
    <x v="1"/>
    <x v="1"/>
    <n v="22.5"/>
    <x v="1"/>
    <n v="0"/>
    <n v="22.5"/>
    <x v="1"/>
    <s v="Bakersfield, CA"/>
    <n v="35.3733"/>
    <n v="-119.0187"/>
    <d v="2022-11-15T00:00:00"/>
    <n v="8"/>
    <x v="1"/>
    <d v="2025-05-30T00:00:00"/>
    <s v="30–39"/>
    <s v="30–39"/>
  </r>
  <r>
    <n v="15"/>
    <x v="3"/>
    <n v="3"/>
    <s v="Fri, Sat, Sun"/>
    <b v="1"/>
    <d v="1899-12-30T18:06:00"/>
    <d v="1899-12-30T20:42:00"/>
    <n v="156"/>
    <x v="0"/>
    <b v="1"/>
    <b v="1"/>
    <s v="Male"/>
    <x v="3"/>
    <x v="1"/>
    <n v="52.5"/>
    <x v="0"/>
    <n v="0.05"/>
    <n v="49.875"/>
    <x v="3"/>
    <s v="Oakland, CA"/>
    <n v="37.804400000000001"/>
    <n v="-122.27119999999999"/>
    <d v="2022-09-09T00:00:00"/>
    <n v="6"/>
    <x v="0"/>
    <d v="2025-05-26T00:00:00"/>
    <s v="10–19"/>
    <s v="Under 16"/>
  </r>
  <r>
    <n v="15"/>
    <x v="1"/>
    <n v="3"/>
    <s v="Fri, Sun, Thu"/>
    <b v="0"/>
    <d v="1899-12-30T14:33:00"/>
    <d v="1899-12-30T16:48:00"/>
    <n v="135"/>
    <x v="0"/>
    <b v="0"/>
    <b v="1"/>
    <s v="Male"/>
    <x v="1"/>
    <x v="0"/>
    <n v="30"/>
    <x v="2"/>
    <n v="0.1"/>
    <n v="27"/>
    <x v="1"/>
    <s v="San Jose, CA"/>
    <n v="37.338200000000001"/>
    <n v="-121.88630000000001"/>
    <d v="2023-03-07T00:00:00"/>
    <n v="0"/>
    <x v="0"/>
    <d v="2025-06-05T00:00:00"/>
    <s v="10–19"/>
    <s v="Under 16"/>
  </r>
  <r>
    <n v="16"/>
    <x v="2"/>
    <n v="2"/>
    <s v="Fri, Wed"/>
    <b v="1"/>
    <d v="1899-12-30T12:40:00"/>
    <d v="1899-12-30T13:52:00"/>
    <n v="72"/>
    <x v="1"/>
    <b v="1"/>
    <b v="0"/>
    <s v="Prefer not to say"/>
    <x v="2"/>
    <x v="1"/>
    <n v="15"/>
    <x v="1"/>
    <n v="0"/>
    <n v="15"/>
    <x v="2"/>
    <s v="San Diego, CA"/>
    <n v="32.715699999999998"/>
    <n v="-117.1611"/>
    <d v="2024-07-22T00:00:00"/>
    <n v="1"/>
    <x v="1"/>
    <d v="2025-07-04T00:00:00"/>
    <s v="10–19"/>
    <s v="16–19"/>
  </r>
  <r>
    <n v="46"/>
    <x v="2"/>
    <n v="2"/>
    <s v="Thu, Tue"/>
    <b v="0"/>
    <d v="1899-12-30T08:22:00"/>
    <d v="1899-12-30T10:52:00"/>
    <n v="150"/>
    <x v="0"/>
    <b v="1"/>
    <b v="1"/>
    <s v="Female"/>
    <x v="2"/>
    <x v="0"/>
    <n v="20"/>
    <x v="1"/>
    <n v="0"/>
    <n v="20"/>
    <x v="2"/>
    <s v="Fresno, CA"/>
    <n v="36.7378"/>
    <n v="-119.7871"/>
    <d v="2023-06-21T00:00:00"/>
    <n v="8"/>
    <x v="1"/>
    <d v="2025-06-11T00:00:00"/>
    <s v="40–49"/>
    <s v="40–49"/>
  </r>
  <r>
    <n v="46"/>
    <x v="0"/>
    <n v="5"/>
    <s v="Mon, Sat, Thu, Tue, Wed"/>
    <b v="0"/>
    <d v="1899-12-30T20:46:00"/>
    <d v="1899-12-30T22:09:00"/>
    <n v="83"/>
    <x v="1"/>
    <b v="1"/>
    <b v="1"/>
    <s v="Female"/>
    <x v="0"/>
    <x v="1"/>
    <n v="37.5"/>
    <x v="3"/>
    <n v="0.15"/>
    <n v="31.875"/>
    <x v="0"/>
    <s v="Bakersfield, CA"/>
    <n v="35.3733"/>
    <n v="-119.0187"/>
    <d v="2024-03-13T00:00:00"/>
    <n v="2"/>
    <x v="0"/>
    <d v="2025-06-26T00:00:00"/>
    <s v="40–49"/>
    <s v="40–49"/>
  </r>
  <r>
    <n v="40"/>
    <x v="0"/>
    <n v="3"/>
    <s v="Mon, Thu, Tue"/>
    <b v="0"/>
    <d v="1899-12-30T19:38:00"/>
    <d v="1899-12-30T21:10:00"/>
    <n v="92"/>
    <x v="1"/>
    <b v="1"/>
    <b v="1"/>
    <s v="Male"/>
    <x v="0"/>
    <x v="0"/>
    <n v="50"/>
    <x v="1"/>
    <n v="0"/>
    <n v="50"/>
    <x v="0"/>
    <s v="Long Beach, CA"/>
    <n v="33.770099999999999"/>
    <n v="-118.19370000000001"/>
    <d v="2024-09-24T00:00:00"/>
    <n v="3"/>
    <x v="0"/>
    <d v="2025-07-07T00:00:00"/>
    <s v="40–49"/>
    <s v="40–49"/>
  </r>
  <r>
    <n v="27"/>
    <x v="1"/>
    <n v="1"/>
    <s v="Mon"/>
    <b v="1"/>
    <d v="1899-12-30T18:22:00"/>
    <d v="1899-12-30T21:20:00"/>
    <n v="178"/>
    <x v="1"/>
    <b v="0"/>
    <b v="1"/>
    <s v="Male"/>
    <x v="1"/>
    <x v="1"/>
    <n v="22.5"/>
    <x v="0"/>
    <n v="0.05"/>
    <n v="21.375"/>
    <x v="1"/>
    <s v="Los Angeles, CA"/>
    <n v="34.052199999999999"/>
    <n v="-118.2437"/>
    <d v="2023-01-09T00:00:00"/>
    <n v="0"/>
    <x v="0"/>
    <d v="2025-06-02T00:00:00"/>
    <s v="20–29"/>
    <s v="20–29"/>
  </r>
  <r>
    <n v="27"/>
    <x v="0"/>
    <n v="5"/>
    <s v="Fri, Mon, Sat, Tue, Wed"/>
    <b v="1"/>
    <d v="1899-12-30T14:42:00"/>
    <d v="1899-12-30T15:53:00"/>
    <n v="71"/>
    <x v="0"/>
    <b v="0"/>
    <b v="0"/>
    <s v="Female"/>
    <x v="0"/>
    <x v="0"/>
    <n v="50"/>
    <x v="2"/>
    <n v="0.1"/>
    <n v="45"/>
    <x v="0"/>
    <s v="Los Angeles, CA"/>
    <n v="34.052199999999999"/>
    <n v="-118.2437"/>
    <d v="2025-05-13T00:00:00"/>
    <n v="0"/>
    <x v="0"/>
    <d v="2025-07-20T00:00:00"/>
    <s v="20–29"/>
    <s v="20–29"/>
  </r>
  <r>
    <n v="38"/>
    <x v="0"/>
    <n v="5"/>
    <s v="Fri, Sat, Sun, Thu, Tue"/>
    <b v="0"/>
    <d v="1899-12-30T17:59:00"/>
    <d v="1899-12-30T20:54:00"/>
    <n v="175"/>
    <x v="1"/>
    <b v="0"/>
    <b v="1"/>
    <s v="Female"/>
    <x v="0"/>
    <x v="0"/>
    <n v="50"/>
    <x v="1"/>
    <n v="0"/>
    <n v="50"/>
    <x v="0"/>
    <s v="Sacramento, CA"/>
    <n v="38.581600000000002"/>
    <n v="-121.4944"/>
    <d v="2022-11-05T00:00:00"/>
    <n v="0"/>
    <x v="0"/>
    <d v="2025-05-29T00:00:00"/>
    <s v="30–39"/>
    <s v="30–39"/>
  </r>
  <r>
    <n v="34"/>
    <x v="3"/>
    <n v="5"/>
    <s v="Fri, Mon, Sun, Thu, Tue"/>
    <b v="0"/>
    <d v="1899-12-30T08:33:00"/>
    <d v="1899-12-30T10:29:00"/>
    <n v="116"/>
    <x v="0"/>
    <b v="0"/>
    <b v="0"/>
    <s v="Male"/>
    <x v="3"/>
    <x v="1"/>
    <n v="52.5"/>
    <x v="2"/>
    <n v="0.1"/>
    <n v="47.25"/>
    <x v="3"/>
    <s v="Bakersfield, CA"/>
    <n v="35.3733"/>
    <n v="-119.0187"/>
    <d v="2024-02-17T00:00:00"/>
    <n v="0"/>
    <x v="0"/>
    <d v="2025-06-25T00:00:00"/>
    <s v="30–39"/>
    <s v="30–39"/>
  </r>
  <r>
    <n v="26"/>
    <x v="2"/>
    <n v="1"/>
    <s v="Mon"/>
    <b v="1"/>
    <d v="1899-12-30T11:42:00"/>
    <d v="1899-12-30T13:39:00"/>
    <n v="117"/>
    <x v="0"/>
    <b v="1"/>
    <b v="0"/>
    <s v="Non-binary"/>
    <x v="2"/>
    <x v="1"/>
    <n v="15"/>
    <x v="1"/>
    <n v="0"/>
    <n v="15"/>
    <x v="2"/>
    <s v="Fresno, CA"/>
    <n v="36.7378"/>
    <n v="-119.7871"/>
    <d v="2023-08-14T00:00:00"/>
    <n v="5"/>
    <x v="0"/>
    <d v="2025-06-14T00:00:00"/>
    <s v="20–29"/>
    <s v="20–29"/>
  </r>
  <r>
    <n v="49"/>
    <x v="2"/>
    <n v="1"/>
    <s v="Tue"/>
    <b v="1"/>
    <d v="1899-12-30T18:02:00"/>
    <d v="1899-12-30T18:44:00"/>
    <n v="42"/>
    <x v="1"/>
    <b v="0"/>
    <b v="0"/>
    <s v="Non-binary"/>
    <x v="2"/>
    <x v="0"/>
    <n v="20"/>
    <x v="3"/>
    <n v="0.15"/>
    <n v="17"/>
    <x v="2"/>
    <s v="Anaheim, CA"/>
    <n v="33.836599999999997"/>
    <n v="-117.9143"/>
    <d v="2023-07-21T00:00:00"/>
    <n v="0"/>
    <x v="1"/>
    <d v="2025-06-13T00:00:00"/>
    <s v="40–49"/>
    <s v="40–49"/>
  </r>
  <r>
    <n v="32"/>
    <x v="0"/>
    <n v="5"/>
    <s v="Fri, Sat, Sun, Tue, Wed"/>
    <b v="1"/>
    <d v="1899-12-30T19:41:00"/>
    <d v="1899-12-30T21:35:00"/>
    <n v="114"/>
    <x v="1"/>
    <b v="1"/>
    <b v="0"/>
    <s v="Female"/>
    <x v="0"/>
    <x v="2"/>
    <n v="45"/>
    <x v="3"/>
    <n v="0.15"/>
    <n v="38.25"/>
    <x v="0"/>
    <s v="San Diego, CA"/>
    <n v="32.715699999999998"/>
    <n v="-117.1611"/>
    <d v="2022-11-12T00:00:00"/>
    <n v="7"/>
    <x v="0"/>
    <d v="2025-05-30T00:00:00"/>
    <s v="30–39"/>
    <s v="30–3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3-08-14T00:00:00"/>
    <n v="5"/>
    <x v="1"/>
    <d v="2025-06-14T00:00:00"/>
    <s v="40–49"/>
    <s v="40–49"/>
  </r>
  <r>
    <n v="22"/>
    <x v="1"/>
    <n v="5"/>
    <s v="Fri, Mon, Sat, Sun, Wed"/>
    <b v="1"/>
    <d v="1899-12-30T15:44:00"/>
    <d v="1899-12-30T17:05:00"/>
    <n v="81"/>
    <x v="0"/>
    <b v="1"/>
    <b v="0"/>
    <s v="Female"/>
    <x v="1"/>
    <x v="2"/>
    <n v="27"/>
    <x v="1"/>
    <n v="0"/>
    <n v="27"/>
    <x v="1"/>
    <s v="Fresno, CA"/>
    <n v="36.7378"/>
    <n v="-119.7871"/>
    <d v="2023-09-08T00:00:00"/>
    <n v="8"/>
    <x v="1"/>
    <d v="2025-06-16T00:00:00"/>
    <s v="20–29"/>
    <s v="20–29"/>
  </r>
  <r>
    <n v="44"/>
    <x v="1"/>
    <n v="2"/>
    <s v="Sun, Wed"/>
    <b v="1"/>
    <d v="1899-12-30T14:41:00"/>
    <d v="1899-12-30T16:35:00"/>
    <n v="114"/>
    <x v="0"/>
    <b v="0"/>
    <b v="0"/>
    <s v="Other (self-described)"/>
    <x v="1"/>
    <x v="1"/>
    <n v="22.5"/>
    <x v="0"/>
    <n v="0.05"/>
    <n v="21.375"/>
    <x v="1"/>
    <s v="San Jose, CA"/>
    <n v="37.338200000000001"/>
    <n v="-121.88630000000001"/>
    <d v="2025-04-13T00:00:00"/>
    <n v="0"/>
    <x v="0"/>
    <d v="2025-07-19T00:00:00"/>
    <s v="40–49"/>
    <s v="40–49"/>
  </r>
  <r>
    <n v="30"/>
    <x v="0"/>
    <n v="3"/>
    <s v="Sat, Sun, Wed"/>
    <b v="1"/>
    <d v="1899-12-30T18:36:00"/>
    <d v="1899-12-30T20:33:00"/>
    <n v="117"/>
    <x v="1"/>
    <b v="1"/>
    <b v="0"/>
    <s v="Female"/>
    <x v="0"/>
    <x v="0"/>
    <n v="50"/>
    <x v="3"/>
    <n v="0.15"/>
    <n v="42.5"/>
    <x v="0"/>
    <s v="San Diego, CA"/>
    <n v="32.715699999999998"/>
    <n v="-117.1611"/>
    <d v="2023-12-18T00:00:00"/>
    <n v="4"/>
    <x v="0"/>
    <d v="2025-06-21T00:00:00"/>
    <s v="30–39"/>
    <s v="30–39"/>
  </r>
  <r>
    <n v="41"/>
    <x v="1"/>
    <n v="2"/>
    <s v="Fri, Thu"/>
    <b v="1"/>
    <d v="1899-12-30T10:29:00"/>
    <d v="1899-12-30T12:37:00"/>
    <n v="128"/>
    <x v="1"/>
    <b v="1"/>
    <b v="1"/>
    <s v="Non-binary"/>
    <x v="1"/>
    <x v="0"/>
    <n v="30"/>
    <x v="3"/>
    <n v="0.15"/>
    <n v="25.5"/>
    <x v="1"/>
    <s v="Fresno, CA"/>
    <n v="36.7378"/>
    <n v="-119.7871"/>
    <d v="2025-01-14T00:00:00"/>
    <n v="5"/>
    <x v="1"/>
    <d v="2025-07-13T00:00:00"/>
    <s v="40–49"/>
    <s v="40–49"/>
  </r>
  <r>
    <n v="31"/>
    <x v="1"/>
    <n v="2"/>
    <s v="Sun, Tue"/>
    <b v="1"/>
    <d v="1899-12-30T16:01:00"/>
    <d v="1899-12-30T18:11:00"/>
    <n v="130"/>
    <x v="1"/>
    <b v="0"/>
    <b v="1"/>
    <s v="Male"/>
    <x v="1"/>
    <x v="1"/>
    <n v="22.5"/>
    <x v="2"/>
    <n v="0.1"/>
    <n v="20.25"/>
    <x v="1"/>
    <s v="Bakersfield, CA"/>
    <n v="35.3733"/>
    <n v="-119.0187"/>
    <d v="2023-04-29T00:00:00"/>
    <n v="0"/>
    <x v="1"/>
    <d v="2025-06-08T00:00:00"/>
    <s v="30–39"/>
    <s v="30–39"/>
  </r>
  <r>
    <n v="23"/>
    <x v="1"/>
    <n v="4"/>
    <s v="Fri, Sun, Thu, Wed"/>
    <b v="0"/>
    <d v="1899-12-30T10:17:00"/>
    <d v="1899-12-30T12:21:00"/>
    <n v="124"/>
    <x v="1"/>
    <b v="0"/>
    <b v="1"/>
    <s v="Female"/>
    <x v="1"/>
    <x v="0"/>
    <n v="30"/>
    <x v="1"/>
    <n v="0"/>
    <n v="30"/>
    <x v="1"/>
    <s v="Anaheim, CA"/>
    <n v="33.836599999999997"/>
    <n v="-117.9143"/>
    <d v="2023-12-25T00:00:00"/>
    <n v="0"/>
    <x v="1"/>
    <d v="2025-06-22T00:00:00"/>
    <s v="20–29"/>
    <s v="20–29"/>
  </r>
  <r>
    <n v="22"/>
    <x v="1"/>
    <n v="1"/>
    <s v="Sun"/>
    <b v="1"/>
    <d v="1899-12-30T08:18:00"/>
    <d v="1899-12-30T11:08:00"/>
    <n v="170"/>
    <x v="0"/>
    <b v="0"/>
    <b v="0"/>
    <s v="Male"/>
    <x v="1"/>
    <x v="0"/>
    <n v="30"/>
    <x v="1"/>
    <n v="0"/>
    <n v="30"/>
    <x v="1"/>
    <s v="Oakland, CA"/>
    <n v="37.804400000000001"/>
    <n v="-122.27119999999999"/>
    <d v="2023-06-29T00:00:00"/>
    <n v="0"/>
    <x v="0"/>
    <d v="2025-06-12T00:00:00"/>
    <s v="20–29"/>
    <s v="20–29"/>
  </r>
  <r>
    <n v="15"/>
    <x v="3"/>
    <n v="3"/>
    <s v="Mon, Sat, Sun"/>
    <b v="0"/>
    <d v="1899-12-30T17:29:00"/>
    <d v="1899-12-30T18:03:00"/>
    <n v="34"/>
    <x v="0"/>
    <b v="0"/>
    <b v="1"/>
    <s v="Male"/>
    <x v="3"/>
    <x v="1"/>
    <n v="52.5"/>
    <x v="1"/>
    <n v="0"/>
    <n v="52.5"/>
    <x v="3"/>
    <s v="Bakersfield, CA"/>
    <n v="35.3733"/>
    <n v="-119.0187"/>
    <d v="2025-05-09T00:00:00"/>
    <n v="0"/>
    <x v="1"/>
    <d v="2025-07-20T00:00:00"/>
    <s v="10–19"/>
    <s v="Under 16"/>
  </r>
  <r>
    <n v="48"/>
    <x v="0"/>
    <n v="3"/>
    <s v="Mon, Sun, Tue"/>
    <b v="0"/>
    <d v="1899-12-30T14:29:00"/>
    <d v="1899-12-30T15:10:00"/>
    <n v="41"/>
    <x v="0"/>
    <b v="1"/>
    <b v="0"/>
    <s v="Non-binary"/>
    <x v="0"/>
    <x v="1"/>
    <n v="37.5"/>
    <x v="3"/>
    <n v="0.15"/>
    <n v="31.875"/>
    <x v="0"/>
    <s v="San Francisco, CA"/>
    <n v="37.774900000000002"/>
    <n v="-122.4194"/>
    <d v="2025-03-24T00:00:00"/>
    <n v="1"/>
    <x v="0"/>
    <d v="2025-07-17T00:00:00"/>
    <s v="40–49"/>
    <s v="40–49"/>
  </r>
  <r>
    <n v="47"/>
    <x v="0"/>
    <n v="1"/>
    <s v="Fri"/>
    <b v="0"/>
    <d v="1899-12-30T14:41:00"/>
    <d v="1899-12-30T15:21:00"/>
    <n v="40"/>
    <x v="1"/>
    <b v="1"/>
    <b v="0"/>
    <s v="Other (self-described)"/>
    <x v="0"/>
    <x v="0"/>
    <n v="50"/>
    <x v="2"/>
    <n v="0.1"/>
    <n v="45"/>
    <x v="0"/>
    <s v="Sacramento, CA"/>
    <n v="38.581600000000002"/>
    <n v="-121.4944"/>
    <d v="2023-05-22T00:00:00"/>
    <n v="5"/>
    <x v="1"/>
    <d v="2025-06-10T00:00:00"/>
    <s v="40–49"/>
    <s v="40–49"/>
  </r>
  <r>
    <n v="33"/>
    <x v="0"/>
    <n v="1"/>
    <s v="Fri"/>
    <b v="1"/>
    <d v="1899-12-30T16:06:00"/>
    <d v="1899-12-30T17:02:00"/>
    <n v="56"/>
    <x v="0"/>
    <b v="0"/>
    <b v="0"/>
    <s v="Female"/>
    <x v="0"/>
    <x v="0"/>
    <n v="50"/>
    <x v="2"/>
    <n v="0.1"/>
    <n v="45"/>
    <x v="0"/>
    <s v="Fresno, CA"/>
    <n v="36.7378"/>
    <n v="-119.7871"/>
    <d v="2025-04-07T00:00:00"/>
    <n v="0"/>
    <x v="1"/>
    <d v="2025-07-18T00:00:00"/>
    <s v="30–39"/>
    <s v="30–39"/>
  </r>
  <r>
    <n v="17"/>
    <x v="3"/>
    <n v="5"/>
    <s v="Mon, Sat, Sun, Tue, Wed"/>
    <b v="1"/>
    <d v="1899-12-30T10:00:00"/>
    <d v="1899-12-30T11:55:00"/>
    <n v="115"/>
    <x v="1"/>
    <b v="0"/>
    <b v="0"/>
    <s v="Female"/>
    <x v="3"/>
    <x v="1"/>
    <n v="52.5"/>
    <x v="1"/>
    <n v="0"/>
    <n v="52.5"/>
    <x v="3"/>
    <s v="San Diego, CA"/>
    <n v="32.715699999999998"/>
    <n v="-117.1611"/>
    <d v="2025-04-08T00:00:00"/>
    <n v="0"/>
    <x v="0"/>
    <d v="2025-07-18T00:00:00"/>
    <s v="10–19"/>
    <s v="16–19"/>
  </r>
  <r>
    <n v="17"/>
    <x v="2"/>
    <n v="2"/>
    <s v="Fri, Thu"/>
    <b v="1"/>
    <d v="1899-12-30T16:58:00"/>
    <d v="1899-12-30T19:40:00"/>
    <n v="162"/>
    <x v="1"/>
    <b v="0"/>
    <b v="1"/>
    <s v="Prefer not to say"/>
    <x v="2"/>
    <x v="0"/>
    <n v="20"/>
    <x v="1"/>
    <n v="0"/>
    <n v="20"/>
    <x v="2"/>
    <s v="Long Beach, CA"/>
    <n v="33.770099999999999"/>
    <n v="-118.19370000000001"/>
    <d v="2025-06-10T00:00:00"/>
    <n v="0"/>
    <x v="1"/>
    <d v="2025-07-22T00:00:00"/>
    <s v="10–19"/>
    <s v="16–19"/>
  </r>
  <r>
    <n v="44"/>
    <x v="0"/>
    <n v="3"/>
    <s v="Sun, Tue, Wed"/>
    <b v="0"/>
    <d v="1899-12-30T19:40:00"/>
    <d v="1899-12-30T22:29:00"/>
    <n v="169"/>
    <x v="0"/>
    <b v="1"/>
    <b v="0"/>
    <s v="Male"/>
    <x v="0"/>
    <x v="0"/>
    <n v="50"/>
    <x v="3"/>
    <n v="0.15"/>
    <n v="42.5"/>
    <x v="0"/>
    <s v="Anaheim, CA"/>
    <n v="33.836599999999997"/>
    <n v="-117.9143"/>
    <d v="2022-09-08T00:00:00"/>
    <n v="4"/>
    <x v="0"/>
    <d v="2025-05-26T00:00:00"/>
    <s v="40–49"/>
    <s v="40–49"/>
  </r>
  <r>
    <n v="27"/>
    <x v="1"/>
    <n v="2"/>
    <s v="Fri, Sun"/>
    <b v="0"/>
    <d v="1899-12-30T17:22:00"/>
    <d v="1899-12-30T18:50:00"/>
    <n v="88"/>
    <x v="1"/>
    <b v="1"/>
    <b v="0"/>
    <s v="Non-binary"/>
    <x v="1"/>
    <x v="1"/>
    <n v="22.5"/>
    <x v="1"/>
    <n v="0"/>
    <n v="22.5"/>
    <x v="1"/>
    <s v="Fresno, CA"/>
    <n v="36.7378"/>
    <n v="-119.7871"/>
    <d v="2023-04-29T00:00:00"/>
    <n v="6"/>
    <x v="1"/>
    <d v="2025-06-08T00:00:00"/>
    <s v="20–29"/>
    <s v="20–29"/>
  </r>
  <r>
    <n v="49"/>
    <x v="1"/>
    <n v="1"/>
    <s v="Sat"/>
    <b v="0"/>
    <d v="1899-12-30T11:21:00"/>
    <d v="1899-12-30T12:46:00"/>
    <n v="85"/>
    <x v="0"/>
    <b v="0"/>
    <b v="1"/>
    <s v="Male"/>
    <x v="1"/>
    <x v="1"/>
    <n v="22.5"/>
    <x v="1"/>
    <n v="0"/>
    <n v="22.5"/>
    <x v="1"/>
    <s v="Long Beach, CA"/>
    <n v="33.770099999999999"/>
    <n v="-118.19370000000001"/>
    <d v="2024-06-11T00:00:00"/>
    <n v="0"/>
    <x v="1"/>
    <d v="2025-07-01T00:00:00"/>
    <s v="40–49"/>
    <s v="40–49"/>
  </r>
  <r>
    <n v="38"/>
    <x v="3"/>
    <n v="3"/>
    <s v="Fri, Tue, Wed"/>
    <b v="1"/>
    <d v="1899-12-30T12:46:00"/>
    <d v="1899-12-30T13:49:00"/>
    <n v="63"/>
    <x v="1"/>
    <b v="1"/>
    <b v="1"/>
    <s v="Female"/>
    <x v="3"/>
    <x v="2"/>
    <n v="63"/>
    <x v="1"/>
    <n v="0"/>
    <n v="63"/>
    <x v="3"/>
    <s v="Sacramento, CA"/>
    <n v="38.581600000000002"/>
    <n v="-121.4944"/>
    <d v="2024-08-11T00:00:00"/>
    <n v="3"/>
    <x v="0"/>
    <d v="2025-07-05T00:00:00"/>
    <s v="30–39"/>
    <s v="30–39"/>
  </r>
  <r>
    <n v="26"/>
    <x v="1"/>
    <n v="4"/>
    <s v="Mon, Sat, Thu, Wed"/>
    <b v="1"/>
    <d v="1899-12-30T13:03:00"/>
    <d v="1899-12-30T15:39:00"/>
    <n v="156"/>
    <x v="0"/>
    <b v="1"/>
    <b v="1"/>
    <s v="Prefer not to say"/>
    <x v="1"/>
    <x v="1"/>
    <n v="22.5"/>
    <x v="0"/>
    <n v="0.05"/>
    <n v="21.375"/>
    <x v="1"/>
    <s v="Sacramento, CA"/>
    <n v="38.581600000000002"/>
    <n v="-121.4944"/>
    <d v="2024-06-15T00:00:00"/>
    <n v="7"/>
    <x v="1"/>
    <d v="2025-07-02T00:00:00"/>
    <s v="20–29"/>
    <s v="20–29"/>
  </r>
  <r>
    <n v="19"/>
    <x v="2"/>
    <n v="4"/>
    <s v="Sat, Sun, Tue, Wed"/>
    <b v="1"/>
    <d v="1899-12-30T15:49:00"/>
    <d v="1899-12-30T17:10:00"/>
    <n v="81"/>
    <x v="1"/>
    <b v="0"/>
    <b v="0"/>
    <s v="Male"/>
    <x v="2"/>
    <x v="0"/>
    <n v="20"/>
    <x v="2"/>
    <n v="0.1"/>
    <n v="18"/>
    <x v="2"/>
    <s v="San Jose, CA"/>
    <n v="37.338200000000001"/>
    <n v="-121.88630000000001"/>
    <d v="2023-03-20T00:00:00"/>
    <n v="0"/>
    <x v="1"/>
    <d v="2025-06-06T00:00:00"/>
    <s v="10–19"/>
    <s v="16–19"/>
  </r>
  <r>
    <n v="45"/>
    <x v="0"/>
    <n v="3"/>
    <s v="Fri, Sat, Tue"/>
    <b v="1"/>
    <d v="1899-12-30T19:59:00"/>
    <d v="1899-12-30T20:57:00"/>
    <n v="58"/>
    <x v="1"/>
    <b v="0"/>
    <b v="1"/>
    <s v="Prefer not to say"/>
    <x v="0"/>
    <x v="2"/>
    <n v="45"/>
    <x v="2"/>
    <n v="0.1"/>
    <n v="40.5"/>
    <x v="0"/>
    <s v="San Diego, CA"/>
    <n v="32.715699999999998"/>
    <n v="-117.1611"/>
    <d v="2023-07-19T00:00:00"/>
    <n v="0"/>
    <x v="0"/>
    <d v="2025-06-13T00:00:00"/>
    <s v="40–49"/>
    <s v="40–49"/>
  </r>
  <r>
    <n v="22"/>
    <x v="2"/>
    <n v="5"/>
    <s v="Fri, Sat, Sun, Tue, Wed"/>
    <b v="1"/>
    <d v="1899-12-30T10:31:00"/>
    <d v="1899-12-30T11:48:00"/>
    <n v="77"/>
    <x v="1"/>
    <b v="1"/>
    <b v="0"/>
    <s v="Male"/>
    <x v="2"/>
    <x v="1"/>
    <n v="15"/>
    <x v="0"/>
    <n v="0.05"/>
    <n v="14.25"/>
    <x v="2"/>
    <s v="Anaheim, CA"/>
    <n v="33.836599999999997"/>
    <n v="-117.9143"/>
    <d v="2024-12-07T00:00:00"/>
    <n v="8"/>
    <x v="1"/>
    <d v="2025-07-11T00:00:00"/>
    <s v="20–29"/>
    <s v="20–29"/>
  </r>
  <r>
    <n v="26"/>
    <x v="2"/>
    <n v="2"/>
    <s v="Sun, Tue"/>
    <b v="1"/>
    <d v="1899-12-30T15:52:00"/>
    <d v="1899-12-30T18:05:00"/>
    <n v="133"/>
    <x v="0"/>
    <b v="0"/>
    <b v="0"/>
    <s v="Female"/>
    <x v="2"/>
    <x v="0"/>
    <n v="20"/>
    <x v="1"/>
    <n v="0"/>
    <n v="20"/>
    <x v="2"/>
    <s v="Bakersfield, CA"/>
    <n v="35.3733"/>
    <n v="-119.0187"/>
    <d v="2024-12-19T00:00:00"/>
    <n v="0"/>
    <x v="1"/>
    <d v="2025-07-12T00:00:00"/>
    <s v="20–29"/>
    <s v="20–29"/>
  </r>
  <r>
    <n v="16"/>
    <x v="3"/>
    <n v="3"/>
    <s v="Sat, Sun, Wed"/>
    <b v="1"/>
    <d v="1899-12-30T14:06:00"/>
    <d v="1899-12-30T16:15:00"/>
    <n v="129"/>
    <x v="1"/>
    <b v="0"/>
    <b v="0"/>
    <s v="Prefer not to say"/>
    <x v="3"/>
    <x v="2"/>
    <n v="63"/>
    <x v="3"/>
    <n v="0.15"/>
    <n v="53.55"/>
    <x v="3"/>
    <s v="Anaheim, CA"/>
    <n v="33.836599999999997"/>
    <n v="-117.9143"/>
    <d v="2025-03-10T00:00:00"/>
    <n v="0"/>
    <x v="0"/>
    <d v="2025-07-17T00:00:00"/>
    <s v="10–19"/>
    <s v="16–19"/>
  </r>
  <r>
    <n v="43"/>
    <x v="0"/>
    <n v="3"/>
    <s v="Fri, Sat, Thu"/>
    <b v="1"/>
    <d v="1899-12-30T13:40:00"/>
    <d v="1899-12-30T16:26:00"/>
    <n v="166"/>
    <x v="1"/>
    <b v="1"/>
    <b v="1"/>
    <s v="Other (self-described)"/>
    <x v="0"/>
    <x v="2"/>
    <n v="45"/>
    <x v="2"/>
    <n v="0.1"/>
    <n v="40.5"/>
    <x v="0"/>
    <s v="Los Angeles, CA"/>
    <n v="34.052199999999999"/>
    <n v="-118.2437"/>
    <d v="2023-07-20T00:00:00"/>
    <n v="3"/>
    <x v="1"/>
    <d v="2025-06-13T00:00:00"/>
    <s v="40–49"/>
    <s v="40–49"/>
  </r>
  <r>
    <n v="26"/>
    <x v="0"/>
    <n v="3"/>
    <s v="Fri, Thu, Wed"/>
    <b v="1"/>
    <d v="1899-12-30T18:41:00"/>
    <d v="1899-12-30T21:00:00"/>
    <n v="139"/>
    <x v="1"/>
    <b v="1"/>
    <b v="1"/>
    <s v="Female"/>
    <x v="0"/>
    <x v="2"/>
    <n v="45"/>
    <x v="1"/>
    <n v="0"/>
    <n v="45"/>
    <x v="0"/>
    <s v="Anaheim, CA"/>
    <n v="33.836599999999997"/>
    <n v="-117.9143"/>
    <d v="2023-03-31T00:00:00"/>
    <n v="5"/>
    <x v="0"/>
    <d v="2025-06-07T00:00:00"/>
    <s v="20–29"/>
    <s v="20–29"/>
  </r>
  <r>
    <n v="21"/>
    <x v="2"/>
    <n v="1"/>
    <s v="Mon"/>
    <b v="0"/>
    <d v="1899-12-30T08:29:00"/>
    <d v="1899-12-30T09:53:00"/>
    <n v="84"/>
    <x v="1"/>
    <b v="0"/>
    <b v="0"/>
    <s v="Male"/>
    <x v="2"/>
    <x v="1"/>
    <n v="15"/>
    <x v="0"/>
    <n v="0.05"/>
    <n v="14.25"/>
    <x v="2"/>
    <s v="Oakland, CA"/>
    <n v="37.804400000000001"/>
    <n v="-122.27119999999999"/>
    <d v="2024-09-13T00:00:00"/>
    <n v="0"/>
    <x v="1"/>
    <d v="2025-07-07T00:00:00"/>
    <s v="20–29"/>
    <s v="20–29"/>
  </r>
  <r>
    <n v="15"/>
    <x v="1"/>
    <n v="2"/>
    <s v="Fri, Mon"/>
    <b v="0"/>
    <d v="1899-12-30T13:37:00"/>
    <d v="1899-12-30T14:50:00"/>
    <n v="73"/>
    <x v="1"/>
    <b v="1"/>
    <b v="1"/>
    <s v="Female"/>
    <x v="1"/>
    <x v="1"/>
    <n v="22.5"/>
    <x v="0"/>
    <n v="0.05"/>
    <n v="21.375"/>
    <x v="1"/>
    <s v="San Diego, CA"/>
    <n v="32.715699999999998"/>
    <n v="-117.1611"/>
    <d v="2025-05-31T00:00:00"/>
    <n v="2"/>
    <x v="0"/>
    <d v="2025-07-21T00:00:00"/>
    <s v="10–19"/>
    <s v="Under 16"/>
  </r>
  <r>
    <n v="39"/>
    <x v="1"/>
    <n v="3"/>
    <s v="Mon, Tue, Wed"/>
    <b v="0"/>
    <d v="1899-12-30T16:51:00"/>
    <d v="1899-12-30T18:36:00"/>
    <n v="105"/>
    <x v="0"/>
    <b v="0"/>
    <b v="1"/>
    <s v="Female"/>
    <x v="1"/>
    <x v="1"/>
    <n v="22.5"/>
    <x v="1"/>
    <n v="0"/>
    <n v="22.5"/>
    <x v="1"/>
    <s v="Anaheim, CA"/>
    <n v="33.836599999999997"/>
    <n v="-117.9143"/>
    <d v="2025-03-27T00:00:00"/>
    <n v="0"/>
    <x v="0"/>
    <d v="2025-07-18T00:00:00"/>
    <s v="30–39"/>
    <s v="30–39"/>
  </r>
  <r>
    <n v="18"/>
    <x v="0"/>
    <n v="3"/>
    <s v="Sun, Thu, Tue"/>
    <b v="1"/>
    <d v="1899-12-30T09:15:00"/>
    <d v="1899-12-30T10:04:00"/>
    <n v="49"/>
    <x v="1"/>
    <b v="0"/>
    <b v="0"/>
    <s v="Male"/>
    <x v="0"/>
    <x v="2"/>
    <n v="45"/>
    <x v="2"/>
    <n v="0.1"/>
    <n v="40.5"/>
    <x v="0"/>
    <s v="Sacramento, CA"/>
    <n v="38.581600000000002"/>
    <n v="-121.4944"/>
    <d v="2022-08-27T00:00:00"/>
    <n v="0"/>
    <x v="0"/>
    <d v="2025-05-25T00:00:00"/>
    <s v="10–19"/>
    <s v="16–19"/>
  </r>
  <r>
    <n v="43"/>
    <x v="0"/>
    <n v="1"/>
    <s v="Mon"/>
    <b v="0"/>
    <d v="1899-12-30T15:04:00"/>
    <d v="1899-12-30T17:05:00"/>
    <n v="121"/>
    <x v="0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4-08-12T00:00:00"/>
    <n v="3"/>
    <x v="0"/>
    <d v="2025-07-05T00:00:00"/>
    <s v="40–49"/>
    <s v="40–49"/>
  </r>
  <r>
    <n v="44"/>
    <x v="1"/>
    <n v="2"/>
    <s v="Tue, Wed"/>
    <b v="0"/>
    <d v="1899-12-30T11:53:00"/>
    <d v="1899-12-30T12:48:00"/>
    <n v="55"/>
    <x v="0"/>
    <b v="0"/>
    <b v="0"/>
    <s v="Male"/>
    <x v="1"/>
    <x v="1"/>
    <n v="22.5"/>
    <x v="2"/>
    <n v="0.1"/>
    <n v="20.25"/>
    <x v="1"/>
    <s v="San Diego, CA"/>
    <n v="32.715699999999998"/>
    <n v="-117.1611"/>
    <d v="2023-03-26T00:00:00"/>
    <n v="0"/>
    <x v="1"/>
    <d v="2025-06-06T00:00:00"/>
    <s v="40–49"/>
    <s v="40–49"/>
  </r>
  <r>
    <n v="46"/>
    <x v="2"/>
    <n v="5"/>
    <s v="Fri, Sun, Thu, Tue, Wed"/>
    <b v="1"/>
    <d v="1899-12-30T11:18:00"/>
    <d v="1899-12-30T14:06:00"/>
    <n v="168"/>
    <x v="1"/>
    <b v="1"/>
    <b v="1"/>
    <s v="Male"/>
    <x v="2"/>
    <x v="1"/>
    <n v="15"/>
    <x v="2"/>
    <n v="0.1"/>
    <n v="13.5"/>
    <x v="2"/>
    <s v="San Francisco, CA"/>
    <n v="37.774900000000002"/>
    <n v="-122.4194"/>
    <d v="2023-08-27T00:00:00"/>
    <n v="6"/>
    <x v="0"/>
    <d v="2025-06-15T00:00:00"/>
    <s v="40–49"/>
    <s v="40–49"/>
  </r>
  <r>
    <n v="34"/>
    <x v="1"/>
    <n v="2"/>
    <s v="Fri, Mon"/>
    <b v="0"/>
    <d v="1899-12-30T17:01:00"/>
    <d v="1899-12-30T19:09:00"/>
    <n v="128"/>
    <x v="0"/>
    <b v="1"/>
    <b v="0"/>
    <s v="Prefer not to say"/>
    <x v="1"/>
    <x v="0"/>
    <n v="30"/>
    <x v="1"/>
    <n v="0"/>
    <n v="30"/>
    <x v="1"/>
    <s v="Fresno, CA"/>
    <n v="36.7378"/>
    <n v="-119.7871"/>
    <d v="2024-05-12T00:00:00"/>
    <n v="5"/>
    <x v="1"/>
    <d v="2025-06-30T00:00:00"/>
    <s v="30–39"/>
    <s v="30–39"/>
  </r>
  <r>
    <n v="22"/>
    <x v="1"/>
    <n v="3"/>
    <s v="Fri, Sun, Tue"/>
    <b v="0"/>
    <d v="1899-12-30T17:13:00"/>
    <d v="1899-12-30T18:24:00"/>
    <n v="71"/>
    <x v="0"/>
    <b v="0"/>
    <b v="1"/>
    <s v="Prefer not to say"/>
    <x v="1"/>
    <x v="1"/>
    <n v="22.5"/>
    <x v="0"/>
    <n v="0.05"/>
    <n v="21.375"/>
    <x v="1"/>
    <s v="San Diego, CA"/>
    <n v="32.715699999999998"/>
    <n v="-117.1611"/>
    <d v="2024-11-15T00:00:00"/>
    <n v="0"/>
    <x v="1"/>
    <d v="2025-07-10T00:00:00"/>
    <s v="20–29"/>
    <s v="20–29"/>
  </r>
  <r>
    <n v="20"/>
    <x v="0"/>
    <n v="2"/>
    <s v="Mon, Wed"/>
    <b v="1"/>
    <d v="1899-12-30T17:45:00"/>
    <d v="1899-12-30T19:20:00"/>
    <n v="95"/>
    <x v="1"/>
    <b v="0"/>
    <b v="1"/>
    <s v="Prefer not to say"/>
    <x v="0"/>
    <x v="1"/>
    <n v="37.5"/>
    <x v="1"/>
    <n v="0"/>
    <n v="37.5"/>
    <x v="0"/>
    <s v="Fresno, CA"/>
    <n v="36.7378"/>
    <n v="-119.7871"/>
    <d v="2025-02-13T00:00:00"/>
    <n v="0"/>
    <x v="0"/>
    <d v="2025-07-15T00:00:00"/>
    <s v="20–29"/>
    <s v="20–29"/>
  </r>
  <r>
    <n v="21"/>
    <x v="0"/>
    <n v="3"/>
    <s v="Fri, Sat, Tue"/>
    <b v="0"/>
    <d v="1899-12-30T09:22:00"/>
    <d v="1899-12-30T10:52:00"/>
    <n v="90"/>
    <x v="1"/>
    <b v="1"/>
    <b v="0"/>
    <s v="Male"/>
    <x v="0"/>
    <x v="0"/>
    <n v="50"/>
    <x v="1"/>
    <n v="0"/>
    <n v="50"/>
    <x v="0"/>
    <s v="Bakersfield, CA"/>
    <n v="35.3733"/>
    <n v="-119.0187"/>
    <d v="2023-09-07T00:00:00"/>
    <n v="7"/>
    <x v="0"/>
    <d v="2025-06-16T00:00:00"/>
    <s v="20–29"/>
    <s v="20–29"/>
  </r>
  <r>
    <n v="19"/>
    <x v="1"/>
    <n v="4"/>
    <s v="Fri, Sat, Sun, Thu"/>
    <b v="0"/>
    <d v="1899-12-30T11:16:00"/>
    <d v="1899-12-30T12:38:00"/>
    <n v="82"/>
    <x v="0"/>
    <b v="0"/>
    <b v="1"/>
    <s v="Female"/>
    <x v="1"/>
    <x v="0"/>
    <n v="30"/>
    <x v="2"/>
    <n v="0.1"/>
    <n v="27"/>
    <x v="1"/>
    <s v="San Diego, CA"/>
    <n v="32.715699999999998"/>
    <n v="-117.1611"/>
    <d v="2023-03-21T00:00:00"/>
    <n v="0"/>
    <x v="1"/>
    <d v="2025-06-06T00:00:00"/>
    <s v="10–19"/>
    <s v="16–19"/>
  </r>
  <r>
    <n v="24"/>
    <x v="2"/>
    <n v="3"/>
    <s v="Mon, Thu, Wed"/>
    <b v="1"/>
    <d v="1899-12-30T15:17:00"/>
    <d v="1899-12-30T16:04:00"/>
    <n v="47"/>
    <x v="0"/>
    <b v="1"/>
    <b v="1"/>
    <s v="Non-binary"/>
    <x v="2"/>
    <x v="1"/>
    <n v="15"/>
    <x v="1"/>
    <n v="0"/>
    <n v="15"/>
    <x v="2"/>
    <s v="Sacramento, CA"/>
    <n v="38.581600000000002"/>
    <n v="-121.4944"/>
    <d v="2023-08-07T00:00:00"/>
    <n v="4"/>
    <x v="0"/>
    <d v="2025-06-14T00:00:00"/>
    <s v="20–29"/>
    <s v="20–29"/>
  </r>
  <r>
    <n v="24"/>
    <x v="2"/>
    <n v="3"/>
    <s v="Sat, Thu, Wed"/>
    <b v="1"/>
    <d v="1899-12-30T12:00:00"/>
    <d v="1899-12-30T14:08:00"/>
    <n v="128"/>
    <x v="1"/>
    <b v="0"/>
    <b v="1"/>
    <s v="Other (self-described)"/>
    <x v="2"/>
    <x v="0"/>
    <n v="20"/>
    <x v="2"/>
    <n v="0.1"/>
    <n v="18"/>
    <x v="2"/>
    <s v="San Francisco, CA"/>
    <n v="37.774900000000002"/>
    <n v="-122.4194"/>
    <d v="2023-12-06T00:00:00"/>
    <n v="0"/>
    <x v="1"/>
    <d v="2025-06-21T00:00:00"/>
    <s v="20–29"/>
    <s v="20–29"/>
  </r>
  <r>
    <n v="34"/>
    <x v="1"/>
    <n v="1"/>
    <s v="Sun"/>
    <b v="1"/>
    <d v="1899-12-30T09:14:00"/>
    <d v="1899-12-30T11:52:00"/>
    <n v="158"/>
    <x v="0"/>
    <b v="1"/>
    <b v="0"/>
    <s v="Male"/>
    <x v="1"/>
    <x v="1"/>
    <n v="22.5"/>
    <x v="1"/>
    <n v="0"/>
    <n v="22.5"/>
    <x v="1"/>
    <s v="Anaheim, CA"/>
    <n v="33.836599999999997"/>
    <n v="-117.9143"/>
    <d v="2025-05-09T00:00:00"/>
    <n v="6"/>
    <x v="1"/>
    <d v="2025-07-20T00:00:00"/>
    <s v="30–39"/>
    <s v="30–39"/>
  </r>
  <r>
    <n v="15"/>
    <x v="1"/>
    <n v="2"/>
    <s v="Mon, Thu"/>
    <b v="1"/>
    <d v="1899-12-30T19:07:00"/>
    <d v="1899-12-30T22:02:00"/>
    <n v="175"/>
    <x v="1"/>
    <b v="0"/>
    <b v="1"/>
    <s v="Male"/>
    <x v="1"/>
    <x v="2"/>
    <n v="27"/>
    <x v="1"/>
    <n v="0"/>
    <n v="27"/>
    <x v="1"/>
    <s v="Anaheim, CA"/>
    <n v="33.836599999999997"/>
    <n v="-117.9143"/>
    <d v="2022-08-26T00:00:00"/>
    <n v="0"/>
    <x v="1"/>
    <d v="2025-05-25T00:00:00"/>
    <s v="10–19"/>
    <s v="Under 16"/>
  </r>
  <r>
    <n v="40"/>
    <x v="0"/>
    <n v="3"/>
    <s v="Sun, Thu, Wed"/>
    <b v="0"/>
    <d v="1899-12-30T11:58:00"/>
    <d v="1899-12-30T14:31:00"/>
    <n v="153"/>
    <x v="1"/>
    <b v="1"/>
    <b v="0"/>
    <s v="Female"/>
    <x v="0"/>
    <x v="0"/>
    <n v="50"/>
    <x v="1"/>
    <n v="0"/>
    <n v="50"/>
    <x v="0"/>
    <s v="Long Beach, CA"/>
    <n v="33.770099999999999"/>
    <n v="-118.19370000000001"/>
    <d v="2023-02-23T00:00:00"/>
    <n v="5"/>
    <x v="0"/>
    <d v="2025-06-05T00:00:00"/>
    <s v="40–49"/>
    <s v="40–49"/>
  </r>
  <r>
    <n v="40"/>
    <x v="1"/>
    <n v="3"/>
    <s v="Fri, Sun, Thu"/>
    <b v="1"/>
    <d v="1899-12-30T17:05:00"/>
    <d v="1899-12-30T19:39:00"/>
    <n v="154"/>
    <x v="0"/>
    <b v="1"/>
    <b v="0"/>
    <s v="Male"/>
    <x v="1"/>
    <x v="0"/>
    <n v="30"/>
    <x v="1"/>
    <n v="0"/>
    <n v="30"/>
    <x v="1"/>
    <s v="Fresno, CA"/>
    <n v="36.7378"/>
    <n v="-119.7871"/>
    <d v="2024-08-15T00:00:00"/>
    <n v="6"/>
    <x v="1"/>
    <d v="2025-07-05T00:00:00"/>
    <s v="40–49"/>
    <s v="40–49"/>
  </r>
  <r>
    <n v="15"/>
    <x v="0"/>
    <n v="3"/>
    <s v="Mon, Thu, Tue"/>
    <b v="0"/>
    <d v="1899-12-30T09:55:00"/>
    <d v="1899-12-30T11:07:00"/>
    <n v="72"/>
    <x v="1"/>
    <b v="1"/>
    <b v="1"/>
    <s v="Prefer not to say"/>
    <x v="0"/>
    <x v="0"/>
    <n v="50"/>
    <x v="1"/>
    <n v="0"/>
    <n v="50"/>
    <x v="0"/>
    <s v="San Jose, CA"/>
    <n v="37.338200000000001"/>
    <n v="-121.88630000000001"/>
    <d v="2022-08-14T00:00:00"/>
    <n v="3"/>
    <x v="0"/>
    <d v="2025-05-25T00:00:00"/>
    <s v="10–19"/>
    <s v="Under 16"/>
  </r>
  <r>
    <n v="49"/>
    <x v="1"/>
    <n v="3"/>
    <s v="Fri, Sat, Thu"/>
    <b v="1"/>
    <d v="1899-12-30T20:40:00"/>
    <d v="1899-12-30T21:24:00"/>
    <n v="44"/>
    <x v="0"/>
    <b v="1"/>
    <b v="0"/>
    <s v="Female"/>
    <x v="1"/>
    <x v="0"/>
    <n v="30"/>
    <x v="1"/>
    <n v="0"/>
    <n v="30"/>
    <x v="1"/>
    <s v="San Diego, CA"/>
    <n v="32.715699999999998"/>
    <n v="-117.1611"/>
    <d v="2023-09-20T00:00:00"/>
    <n v="7"/>
    <x v="1"/>
    <d v="2025-06-16T00:00:00"/>
    <s v="40–49"/>
    <s v="40–49"/>
  </r>
  <r>
    <n v="38"/>
    <x v="0"/>
    <n v="5"/>
    <s v="Fri, Sat, Sun, Thu, Tue"/>
    <b v="0"/>
    <d v="1899-12-30T17:59:00"/>
    <d v="1899-12-30T20:54:00"/>
    <n v="175"/>
    <x v="1"/>
    <b v="0"/>
    <b v="1"/>
    <s v="Female"/>
    <x v="0"/>
    <x v="0"/>
    <n v="50"/>
    <x v="1"/>
    <n v="0"/>
    <n v="50"/>
    <x v="0"/>
    <s v="Sacramento, CA"/>
    <n v="38.581600000000002"/>
    <n v="-121.4944"/>
    <d v="2023-10-11T00:00:00"/>
    <n v="0"/>
    <x v="0"/>
    <d v="2025-06-18T00:00:00"/>
    <s v="30–39"/>
    <s v="30–39"/>
  </r>
  <r>
    <n v="40"/>
    <x v="0"/>
    <n v="4"/>
    <s v="Mon, Sat, Sun, Wed"/>
    <b v="1"/>
    <d v="1899-12-30T09:55:00"/>
    <d v="1899-12-30T10:43:00"/>
    <n v="48"/>
    <x v="0"/>
    <b v="0"/>
    <b v="1"/>
    <s v="Non-binary"/>
    <x v="0"/>
    <x v="0"/>
    <n v="50"/>
    <x v="1"/>
    <n v="0"/>
    <n v="50"/>
    <x v="0"/>
    <s v="Fresno, CA"/>
    <n v="36.7378"/>
    <n v="-119.7871"/>
    <d v="2023-04-18T00:00:00"/>
    <n v="0"/>
    <x v="0"/>
    <d v="2025-06-08T00:00:00"/>
    <s v="40–49"/>
    <s v="40–49"/>
  </r>
  <r>
    <n v="37"/>
    <x v="1"/>
    <n v="1"/>
    <s v="Mon"/>
    <b v="1"/>
    <d v="1899-12-30T16:45:00"/>
    <d v="1899-12-30T18:58:00"/>
    <n v="133"/>
    <x v="0"/>
    <b v="0"/>
    <b v="0"/>
    <s v="Male"/>
    <x v="1"/>
    <x v="1"/>
    <n v="22.5"/>
    <x v="1"/>
    <n v="0"/>
    <n v="22.5"/>
    <x v="1"/>
    <s v="Oakland, CA"/>
    <n v="37.804400000000001"/>
    <n v="-122.27119999999999"/>
    <d v="2023-02-09T00:00:00"/>
    <n v="0"/>
    <x v="1"/>
    <d v="2025-06-04T00:00:00"/>
    <s v="30–39"/>
    <s v="30–39"/>
  </r>
  <r>
    <n v="23"/>
    <x v="3"/>
    <n v="5"/>
    <s v="Mon, Sun, Thu, Tue, Wed"/>
    <b v="1"/>
    <d v="1899-12-30T20:57:00"/>
    <d v="1899-12-30T23:35:00"/>
    <n v="158"/>
    <x v="0"/>
    <b v="0"/>
    <b v="1"/>
    <s v="Non-binary"/>
    <x v="3"/>
    <x v="0"/>
    <n v="70"/>
    <x v="1"/>
    <n v="0"/>
    <n v="70"/>
    <x v="3"/>
    <s v="Anaheim, CA"/>
    <n v="33.836599999999997"/>
    <n v="-117.9143"/>
    <d v="2023-07-24T00:00:00"/>
    <n v="0"/>
    <x v="0"/>
    <d v="2025-06-13T00:00:00"/>
    <s v="20–29"/>
    <s v="20–29"/>
  </r>
  <r>
    <n v="35"/>
    <x v="0"/>
    <n v="1"/>
    <s v="Wed"/>
    <b v="0"/>
    <d v="1899-12-30T08:34:00"/>
    <d v="1899-12-30T09:27:00"/>
    <n v="53"/>
    <x v="0"/>
    <b v="1"/>
    <b v="0"/>
    <s v="Male"/>
    <x v="0"/>
    <x v="2"/>
    <n v="45"/>
    <x v="3"/>
    <n v="0.15"/>
    <n v="38.25"/>
    <x v="0"/>
    <s v="Los Angeles, CA"/>
    <n v="34.052199999999999"/>
    <n v="-118.2437"/>
    <d v="2025-02-06T00:00:00"/>
    <n v="4"/>
    <x v="1"/>
    <d v="2025-07-15T00:00:00"/>
    <s v="30–39"/>
    <s v="30–39"/>
  </r>
  <r>
    <n v="27"/>
    <x v="3"/>
    <n v="5"/>
    <s v="Fri, Mon, Sat, Thu, Tue"/>
    <b v="0"/>
    <d v="1899-12-30T09:57:00"/>
    <d v="1899-12-30T12:22:00"/>
    <n v="145"/>
    <x v="0"/>
    <b v="0"/>
    <b v="0"/>
    <s v="Non-binary"/>
    <x v="3"/>
    <x v="1"/>
    <n v="52.5"/>
    <x v="2"/>
    <n v="0.1"/>
    <n v="47.25"/>
    <x v="3"/>
    <s v="Los Angeles, CA"/>
    <n v="34.052199999999999"/>
    <n v="-118.2437"/>
    <d v="2024-06-27T00:00:00"/>
    <n v="0"/>
    <x v="0"/>
    <d v="2025-07-02T00:00:00"/>
    <s v="20–29"/>
    <s v="20–29"/>
  </r>
  <r>
    <n v="29"/>
    <x v="0"/>
    <n v="3"/>
    <s v="Fri, Sat, Thu"/>
    <b v="1"/>
    <d v="1899-12-30T13:02:00"/>
    <d v="1899-12-30T14:08:00"/>
    <n v="66"/>
    <x v="0"/>
    <b v="0"/>
    <b v="1"/>
    <s v="Non-binary"/>
    <x v="0"/>
    <x v="1"/>
    <n v="37.5"/>
    <x v="2"/>
    <n v="0.1"/>
    <n v="33.75"/>
    <x v="0"/>
    <s v="Fresno, CA"/>
    <n v="36.7378"/>
    <n v="-119.7871"/>
    <d v="2022-10-08T00:00:00"/>
    <n v="0"/>
    <x v="0"/>
    <d v="2025-05-28T00:00:00"/>
    <s v="20–29"/>
    <s v="20–29"/>
  </r>
  <r>
    <n v="21"/>
    <x v="1"/>
    <n v="5"/>
    <s v="Fri, Mon, Sat, Sun, Tue"/>
    <b v="0"/>
    <d v="1899-12-30T14:29:00"/>
    <d v="1899-12-30T16:01:00"/>
    <n v="92"/>
    <x v="1"/>
    <b v="1"/>
    <b v="1"/>
    <s v="Male"/>
    <x v="1"/>
    <x v="0"/>
    <n v="30"/>
    <x v="3"/>
    <n v="0.15"/>
    <n v="25.5"/>
    <x v="1"/>
    <s v="Sacramento, CA"/>
    <n v="38.581600000000002"/>
    <n v="-121.4944"/>
    <d v="2024-10-26T00:00:00"/>
    <n v="5"/>
    <x v="0"/>
    <d v="2025-07-09T00:00:00"/>
    <s v="20–29"/>
    <s v="20–29"/>
  </r>
  <r>
    <n v="16"/>
    <x v="0"/>
    <n v="3"/>
    <s v="Fri, Sun, Wed"/>
    <b v="0"/>
    <d v="1899-12-30T17:21:00"/>
    <d v="1899-12-30T18:46:00"/>
    <n v="85"/>
    <x v="0"/>
    <b v="1"/>
    <b v="0"/>
    <s v="Female"/>
    <x v="0"/>
    <x v="1"/>
    <n v="37.5"/>
    <x v="2"/>
    <n v="0.1"/>
    <n v="33.75"/>
    <x v="0"/>
    <s v="Anaheim, CA"/>
    <n v="33.836599999999997"/>
    <n v="-117.9143"/>
    <d v="2024-05-22T00:00:00"/>
    <n v="1"/>
    <x v="0"/>
    <d v="2025-06-30T00:00:00"/>
    <s v="10–19"/>
    <s v="16–19"/>
  </r>
  <r>
    <n v="31"/>
    <x v="0"/>
    <n v="2"/>
    <s v="Mon, Wed"/>
    <b v="1"/>
    <d v="1899-12-30T20:28:00"/>
    <d v="1899-12-30T21:52:00"/>
    <n v="84"/>
    <x v="1"/>
    <b v="1"/>
    <b v="0"/>
    <s v="Prefer not to say"/>
    <x v="0"/>
    <x v="1"/>
    <n v="37.5"/>
    <x v="3"/>
    <n v="0.15"/>
    <n v="31.875"/>
    <x v="0"/>
    <s v="Oakland, CA"/>
    <n v="37.804400000000001"/>
    <n v="-122.27119999999999"/>
    <d v="2024-03-19T00:00:00"/>
    <n v="8"/>
    <x v="0"/>
    <d v="2025-06-27T00:00:00"/>
    <s v="30–39"/>
    <s v="30–39"/>
  </r>
  <r>
    <n v="49"/>
    <x v="1"/>
    <n v="3"/>
    <s v="Fri, Mon, Wed"/>
    <b v="0"/>
    <d v="1899-12-30T12:37:00"/>
    <d v="1899-12-30T13:15:00"/>
    <n v="38"/>
    <x v="1"/>
    <b v="1"/>
    <b v="0"/>
    <s v="Male"/>
    <x v="1"/>
    <x v="0"/>
    <n v="30"/>
    <x v="1"/>
    <n v="0"/>
    <n v="30"/>
    <x v="1"/>
    <s v="San Jose, CA"/>
    <n v="37.338200000000001"/>
    <n v="-121.88630000000001"/>
    <d v="2024-03-12T00:00:00"/>
    <n v="4"/>
    <x v="0"/>
    <d v="2025-06-26T00:00:00"/>
    <s v="40–49"/>
    <s v="40–49"/>
  </r>
  <r>
    <n v="47"/>
    <x v="0"/>
    <n v="3"/>
    <s v="Mon, Sat, Wed"/>
    <b v="0"/>
    <d v="1899-12-30T19:31:00"/>
    <d v="1899-12-30T20:19:00"/>
    <n v="48"/>
    <x v="0"/>
    <b v="1"/>
    <b v="0"/>
    <s v="Other (self-described)"/>
    <x v="0"/>
    <x v="0"/>
    <n v="50"/>
    <x v="3"/>
    <n v="0.15"/>
    <n v="42.5"/>
    <x v="0"/>
    <s v="San Jose, CA"/>
    <n v="37.338200000000001"/>
    <n v="-121.88630000000001"/>
    <d v="2023-09-09T00:00:00"/>
    <n v="1"/>
    <x v="0"/>
    <d v="2025-06-16T00:00:00"/>
    <s v="40–49"/>
    <s v="40–49"/>
  </r>
  <r>
    <n v="32"/>
    <x v="2"/>
    <n v="3"/>
    <s v="Fri, Sun, Wed"/>
    <b v="1"/>
    <d v="1899-12-30T14:52:00"/>
    <d v="1899-12-30T17:32:00"/>
    <n v="160"/>
    <x v="0"/>
    <b v="0"/>
    <b v="0"/>
    <s v="Male"/>
    <x v="2"/>
    <x v="0"/>
    <n v="20"/>
    <x v="0"/>
    <n v="0.05"/>
    <n v="19"/>
    <x v="2"/>
    <s v="Sacramento, CA"/>
    <n v="38.581600000000002"/>
    <n v="-121.4944"/>
    <d v="2022-09-22T00:00:00"/>
    <n v="0"/>
    <x v="1"/>
    <d v="2025-05-27T00:00:00"/>
    <s v="30–39"/>
    <s v="30–39"/>
  </r>
  <r>
    <n v="29"/>
    <x v="3"/>
    <n v="4"/>
    <s v="Fri, Mon, Sun, Thu"/>
    <b v="1"/>
    <d v="1899-12-30T18:15:00"/>
    <d v="1899-12-30T18:54:00"/>
    <n v="39"/>
    <x v="0"/>
    <b v="1"/>
    <b v="1"/>
    <s v="Prefer not to say"/>
    <x v="3"/>
    <x v="0"/>
    <n v="70"/>
    <x v="1"/>
    <n v="0"/>
    <n v="70"/>
    <x v="3"/>
    <s v="San Diego, CA"/>
    <n v="32.715699999999998"/>
    <n v="-117.1611"/>
    <d v="2024-10-09T00:00:00"/>
    <n v="6"/>
    <x v="0"/>
    <d v="2025-07-08T00:00:00"/>
    <s v="20–29"/>
    <s v="20–29"/>
  </r>
  <r>
    <n v="40"/>
    <x v="1"/>
    <n v="3"/>
    <s v="Fri, Sun, Tue"/>
    <b v="0"/>
    <d v="1899-12-30T11:18:00"/>
    <d v="1899-12-30T14:09:00"/>
    <n v="171"/>
    <x v="0"/>
    <b v="1"/>
    <b v="1"/>
    <s v="Male"/>
    <x v="1"/>
    <x v="1"/>
    <n v="22.5"/>
    <x v="1"/>
    <n v="0"/>
    <n v="22.5"/>
    <x v="1"/>
    <s v="Anaheim, CA"/>
    <n v="33.836599999999997"/>
    <n v="-117.9143"/>
    <d v="2025-02-13T00:00:00"/>
    <n v="2"/>
    <x v="1"/>
    <d v="2025-07-15T00:00:00"/>
    <s v="40–49"/>
    <s v="40–49"/>
  </r>
  <r>
    <n v="19"/>
    <x v="2"/>
    <n v="4"/>
    <s v="Sat, Sun, Tue, Wed"/>
    <b v="1"/>
    <d v="1899-12-30T15:49:00"/>
    <d v="1899-12-30T17:10:00"/>
    <n v="81"/>
    <x v="1"/>
    <b v="0"/>
    <b v="0"/>
    <s v="Male"/>
    <x v="2"/>
    <x v="0"/>
    <n v="20"/>
    <x v="2"/>
    <n v="0.1"/>
    <n v="18"/>
    <x v="2"/>
    <s v="San Jose, CA"/>
    <n v="37.338200000000001"/>
    <n v="-121.88630000000001"/>
    <d v="2024-11-24T00:00:00"/>
    <n v="0"/>
    <x v="0"/>
    <d v="2025-07-11T00:00:00"/>
    <s v="10–19"/>
    <s v="16–19"/>
  </r>
  <r>
    <n v="45"/>
    <x v="0"/>
    <n v="5"/>
    <s v="Fri, Mon, Sun, Thu, Wed"/>
    <b v="0"/>
    <d v="1899-12-30T19:04:00"/>
    <d v="1899-12-30T20:44:00"/>
    <n v="100"/>
    <x v="1"/>
    <b v="1"/>
    <b v="1"/>
    <s v="Female"/>
    <x v="0"/>
    <x v="0"/>
    <n v="50"/>
    <x v="1"/>
    <n v="0"/>
    <n v="50"/>
    <x v="0"/>
    <s v="San Francisco, CA"/>
    <n v="37.774900000000002"/>
    <n v="-122.4194"/>
    <d v="2022-11-21T00:00:00"/>
    <n v="4"/>
    <x v="0"/>
    <d v="2025-05-30T00:00:00"/>
    <s v="40–49"/>
    <s v="40–49"/>
  </r>
  <r>
    <n v="17"/>
    <x v="1"/>
    <n v="3"/>
    <s v="Fri, Sat, Sun"/>
    <b v="0"/>
    <d v="1899-12-30T18:02:00"/>
    <d v="1899-12-30T19:49:00"/>
    <n v="107"/>
    <x v="0"/>
    <b v="0"/>
    <b v="1"/>
    <s v="Female"/>
    <x v="1"/>
    <x v="0"/>
    <n v="30"/>
    <x v="3"/>
    <n v="0.15"/>
    <n v="25.5"/>
    <x v="1"/>
    <s v="Anaheim, CA"/>
    <n v="33.836599999999997"/>
    <n v="-117.9143"/>
    <d v="2023-08-05T00:00:00"/>
    <n v="0"/>
    <x v="0"/>
    <d v="2025-06-14T00:00:00"/>
    <s v="10–19"/>
    <s v="16–19"/>
  </r>
  <r>
    <n v="30"/>
    <x v="0"/>
    <n v="3"/>
    <s v="Fri, Sun, Thu"/>
    <b v="0"/>
    <d v="1899-12-30T17:22:00"/>
    <d v="1899-12-30T17:57:00"/>
    <n v="35"/>
    <x v="1"/>
    <b v="0"/>
    <b v="1"/>
    <s v="Non-binary"/>
    <x v="0"/>
    <x v="1"/>
    <n v="37.5"/>
    <x v="2"/>
    <n v="0.1"/>
    <n v="33.75"/>
    <x v="0"/>
    <s v="Oakland, CA"/>
    <n v="37.804400000000001"/>
    <n v="-122.27119999999999"/>
    <d v="2024-08-22T00:00:00"/>
    <n v="0"/>
    <x v="0"/>
    <d v="2025-07-05T00:00:00"/>
    <s v="30–39"/>
    <s v="30–39"/>
  </r>
  <r>
    <n v="43"/>
    <x v="1"/>
    <n v="3"/>
    <s v="Thu, Tue, Wed"/>
    <b v="0"/>
    <d v="1899-12-30T10:47:00"/>
    <d v="1899-12-30T13:15:00"/>
    <n v="148"/>
    <x v="0"/>
    <b v="1"/>
    <b v="0"/>
    <s v="Female"/>
    <x v="1"/>
    <x v="1"/>
    <n v="22.5"/>
    <x v="0"/>
    <n v="0.05"/>
    <n v="21.375"/>
    <x v="1"/>
    <s v="San Diego, CA"/>
    <n v="32.715699999999998"/>
    <n v="-117.1611"/>
    <d v="2023-02-05T00:00:00"/>
    <n v="6"/>
    <x v="0"/>
    <d v="2025-06-04T00:00:00"/>
    <s v="40–49"/>
    <s v="40–49"/>
  </r>
  <r>
    <n v="14"/>
    <x v="0"/>
    <n v="3"/>
    <s v="Sat, Sun, Wed"/>
    <b v="0"/>
    <d v="1899-12-30T19:16:00"/>
    <d v="1899-12-30T22:13:00"/>
    <n v="177"/>
    <x v="1"/>
    <b v="1"/>
    <b v="0"/>
    <s v="Male"/>
    <x v="0"/>
    <x v="0"/>
    <n v="50"/>
    <x v="1"/>
    <n v="0"/>
    <n v="50"/>
    <x v="0"/>
    <s v="San Francisco, CA"/>
    <n v="37.774900000000002"/>
    <n v="-122.4194"/>
    <d v="2022-12-18T00:00:00"/>
    <n v="1"/>
    <x v="0"/>
    <d v="2025-06-01T00:00:00"/>
    <s v="10–19"/>
    <s v="Under 16"/>
  </r>
  <r>
    <n v="29"/>
    <x v="1"/>
    <n v="3"/>
    <s v="Mon, Sat, Thu"/>
    <b v="0"/>
    <d v="1899-12-30T15:05:00"/>
    <d v="1899-12-30T16:19:00"/>
    <n v="74"/>
    <x v="0"/>
    <b v="1"/>
    <b v="1"/>
    <s v="Non-binary"/>
    <x v="1"/>
    <x v="0"/>
    <n v="30"/>
    <x v="1"/>
    <n v="0"/>
    <n v="30"/>
    <x v="1"/>
    <s v="San Diego, CA"/>
    <n v="32.715699999999998"/>
    <n v="-117.1611"/>
    <d v="2023-01-03T00:00:00"/>
    <n v="3"/>
    <x v="0"/>
    <d v="2025-06-02T00:00:00"/>
    <s v="20–29"/>
    <s v="20–29"/>
  </r>
  <r>
    <n v="48"/>
    <x v="1"/>
    <n v="4"/>
    <s v="Mon, Sun, Thu, Wed"/>
    <b v="0"/>
    <d v="1899-12-30T13:33:00"/>
    <d v="1899-12-30T14:08:00"/>
    <n v="35"/>
    <x v="1"/>
    <b v="0"/>
    <b v="0"/>
    <s v="Female"/>
    <x v="1"/>
    <x v="0"/>
    <n v="30"/>
    <x v="2"/>
    <n v="0.1"/>
    <n v="27"/>
    <x v="1"/>
    <s v="Oakland, CA"/>
    <n v="37.804400000000001"/>
    <n v="-122.27119999999999"/>
    <d v="2022-10-18T00:00:00"/>
    <n v="0"/>
    <x v="1"/>
    <d v="2025-05-28T00:00:00"/>
    <s v="40–49"/>
    <s v="40–49"/>
  </r>
  <r>
    <n v="44"/>
    <x v="0"/>
    <n v="3"/>
    <s v="Sun, Tue, Wed"/>
    <b v="0"/>
    <d v="1899-12-30T19:40:00"/>
    <d v="1899-12-30T22:29:00"/>
    <n v="169"/>
    <x v="0"/>
    <b v="1"/>
    <b v="0"/>
    <s v="Male"/>
    <x v="0"/>
    <x v="0"/>
    <n v="50"/>
    <x v="3"/>
    <n v="0.15"/>
    <n v="42.5"/>
    <x v="0"/>
    <s v="Anaheim, CA"/>
    <n v="33.836599999999997"/>
    <n v="-117.9143"/>
    <d v="2024-09-27T00:00:00"/>
    <n v="3"/>
    <x v="0"/>
    <d v="2025-07-07T00:00:00"/>
    <s v="40–49"/>
    <s v="40–49"/>
  </r>
  <r>
    <n v="36"/>
    <x v="0"/>
    <n v="3"/>
    <s v="Fri, Thu, Wed"/>
    <b v="0"/>
    <d v="1899-12-30T15:28:00"/>
    <d v="1899-12-30T17:57:00"/>
    <n v="149"/>
    <x v="1"/>
    <b v="0"/>
    <b v="0"/>
    <s v="Male"/>
    <x v="0"/>
    <x v="0"/>
    <n v="50"/>
    <x v="0"/>
    <n v="0.05"/>
    <n v="47.5"/>
    <x v="0"/>
    <s v="Long Beach, CA"/>
    <n v="33.770099999999999"/>
    <n v="-118.19370000000001"/>
    <d v="2023-04-10T00:00:00"/>
    <n v="0"/>
    <x v="0"/>
    <d v="2025-06-07T00:00:00"/>
    <s v="30–39"/>
    <s v="30–39"/>
  </r>
  <r>
    <n v="26"/>
    <x v="0"/>
    <n v="2"/>
    <s v="Sat, Thu"/>
    <b v="0"/>
    <d v="1899-12-30T17:57:00"/>
    <d v="1899-12-30T20:08:00"/>
    <n v="131"/>
    <x v="0"/>
    <b v="0"/>
    <b v="0"/>
    <s v="Male"/>
    <x v="0"/>
    <x v="0"/>
    <n v="50"/>
    <x v="3"/>
    <n v="0.15"/>
    <n v="42.5"/>
    <x v="0"/>
    <s v="Fresno, CA"/>
    <n v="36.7378"/>
    <n v="-119.7871"/>
    <d v="2024-02-18T00:00:00"/>
    <n v="0"/>
    <x v="0"/>
    <d v="2025-06-25T00:00:00"/>
    <s v="20–29"/>
    <s v="20–29"/>
  </r>
  <r>
    <n v="34"/>
    <x v="0"/>
    <n v="2"/>
    <s v="Mon, Thu"/>
    <b v="1"/>
    <d v="1899-12-30T14:03:00"/>
    <d v="1899-12-30T16:10:00"/>
    <n v="127"/>
    <x v="1"/>
    <b v="0"/>
    <b v="1"/>
    <s v="Female"/>
    <x v="0"/>
    <x v="0"/>
    <n v="50"/>
    <x v="0"/>
    <n v="0.05"/>
    <n v="47.5"/>
    <x v="0"/>
    <s v="San Francisco, CA"/>
    <n v="37.774900000000002"/>
    <n v="-122.4194"/>
    <d v="2023-01-08T00:00:00"/>
    <n v="0"/>
    <x v="0"/>
    <d v="2025-06-02T00:00:00"/>
    <s v="30–39"/>
    <s v="30–39"/>
  </r>
  <r>
    <n v="48"/>
    <x v="0"/>
    <n v="3"/>
    <s v="Fri, Sat, Thu"/>
    <b v="1"/>
    <d v="1899-12-30T08:33:00"/>
    <d v="1899-12-30T10:13:00"/>
    <n v="100"/>
    <x v="1"/>
    <b v="1"/>
    <b v="1"/>
    <s v="Male"/>
    <x v="0"/>
    <x v="0"/>
    <n v="50"/>
    <x v="3"/>
    <n v="0.15"/>
    <n v="42.5"/>
    <x v="0"/>
    <s v="Sacramento, CA"/>
    <n v="38.581600000000002"/>
    <n v="-121.4944"/>
    <d v="2023-05-09T00:00:00"/>
    <n v="2"/>
    <x v="0"/>
    <d v="2025-06-09T00:00:00"/>
    <s v="40–49"/>
    <s v="40–49"/>
  </r>
  <r>
    <n v="30"/>
    <x v="0"/>
    <n v="3"/>
    <s v="Sat, Sun, Wed"/>
    <b v="1"/>
    <d v="1899-12-30T17:43:00"/>
    <d v="1899-12-30T18:23:00"/>
    <n v="40"/>
    <x v="0"/>
    <b v="0"/>
    <b v="0"/>
    <s v="Male"/>
    <x v="0"/>
    <x v="0"/>
    <n v="50"/>
    <x v="3"/>
    <n v="0.15"/>
    <n v="42.5"/>
    <x v="0"/>
    <s v="Fresno, CA"/>
    <n v="36.7378"/>
    <n v="-119.7871"/>
    <d v="2023-03-19T00:00:00"/>
    <n v="0"/>
    <x v="1"/>
    <d v="2025-06-06T00:00:00"/>
    <s v="30–39"/>
    <s v="30–39"/>
  </r>
  <r>
    <n v="16"/>
    <x v="2"/>
    <n v="5"/>
    <s v="Fri, Sat, Sun, Thu, Wed"/>
    <b v="1"/>
    <d v="1899-12-30T17:04:00"/>
    <d v="1899-12-30T17:45:00"/>
    <n v="41"/>
    <x v="1"/>
    <b v="0"/>
    <b v="1"/>
    <s v="Non-binary"/>
    <x v="2"/>
    <x v="2"/>
    <n v="18"/>
    <x v="2"/>
    <n v="0.1"/>
    <n v="16.2"/>
    <x v="2"/>
    <s v="Bakersfield, CA"/>
    <n v="35.3733"/>
    <n v="-119.0187"/>
    <d v="2023-07-25T00:00:00"/>
    <n v="0"/>
    <x v="0"/>
    <d v="2025-06-13T00:00:00"/>
    <s v="10–19"/>
    <s v="16–19"/>
  </r>
  <r>
    <n v="35"/>
    <x v="0"/>
    <n v="1"/>
    <s v="Fri"/>
    <b v="1"/>
    <d v="1899-12-30T19:27:00"/>
    <d v="1899-12-30T22:03:00"/>
    <n v="156"/>
    <x v="0"/>
    <b v="0"/>
    <b v="0"/>
    <s v="Female"/>
    <x v="0"/>
    <x v="1"/>
    <n v="37.5"/>
    <x v="1"/>
    <n v="0"/>
    <n v="37.5"/>
    <x v="0"/>
    <s v="San Francisco, CA"/>
    <n v="37.774900000000002"/>
    <n v="-122.4194"/>
    <d v="2024-12-16T00:00:00"/>
    <n v="0"/>
    <x v="0"/>
    <d v="2025-07-12T00:00:00"/>
    <s v="30–39"/>
    <s v="30–39"/>
  </r>
  <r>
    <n v="18"/>
    <x v="3"/>
    <n v="3"/>
    <s v="Fri, Thu, Wed"/>
    <b v="1"/>
    <d v="1899-12-30T18:43:00"/>
    <d v="1899-12-30T21:06:00"/>
    <n v="143"/>
    <x v="1"/>
    <b v="0"/>
    <b v="1"/>
    <s v="Female"/>
    <x v="3"/>
    <x v="0"/>
    <n v="70"/>
    <x v="2"/>
    <n v="0.1"/>
    <n v="63"/>
    <x v="3"/>
    <s v="Long Beach, CA"/>
    <n v="33.770099999999999"/>
    <n v="-118.19370000000001"/>
    <d v="2023-11-20T00:00:00"/>
    <n v="0"/>
    <x v="0"/>
    <d v="2025-06-20T00:00:00"/>
    <s v="10–19"/>
    <s v="16–19"/>
  </r>
  <r>
    <n v="34"/>
    <x v="1"/>
    <n v="3"/>
    <s v="Mon, Tue, Wed"/>
    <b v="0"/>
    <d v="1899-12-30T11:15:00"/>
    <d v="1899-12-30T13:24:00"/>
    <n v="129"/>
    <x v="1"/>
    <b v="1"/>
    <b v="1"/>
    <s v="Female"/>
    <x v="1"/>
    <x v="0"/>
    <n v="30"/>
    <x v="0"/>
    <n v="0.05"/>
    <n v="28.5"/>
    <x v="1"/>
    <s v="San Francisco, CA"/>
    <n v="37.774900000000002"/>
    <n v="-122.4194"/>
    <d v="2022-08-09T00:00:00"/>
    <n v="8"/>
    <x v="0"/>
    <d v="2025-05-24T00:00:00"/>
    <s v="30–39"/>
    <s v="30–39"/>
  </r>
  <r>
    <n v="19"/>
    <x v="2"/>
    <n v="2"/>
    <s v="Fri, Tue"/>
    <b v="1"/>
    <d v="1899-12-30T12:50:00"/>
    <d v="1899-12-30T14:56:00"/>
    <n v="126"/>
    <x v="1"/>
    <b v="0"/>
    <b v="0"/>
    <s v="Female"/>
    <x v="2"/>
    <x v="1"/>
    <n v="15"/>
    <x v="2"/>
    <n v="0.1"/>
    <n v="13.5"/>
    <x v="2"/>
    <s v="Los Angeles, CA"/>
    <n v="34.052199999999999"/>
    <n v="-118.2437"/>
    <d v="2022-09-28T00:00:00"/>
    <n v="0"/>
    <x v="1"/>
    <d v="2025-05-27T00:00:00"/>
    <s v="10–19"/>
    <s v="16–19"/>
  </r>
  <r>
    <n v="29"/>
    <x v="1"/>
    <n v="3"/>
    <s v="Mon, Sat, Thu"/>
    <b v="0"/>
    <d v="1899-12-30T15:05:00"/>
    <d v="1899-12-30T16:19:00"/>
    <n v="74"/>
    <x v="0"/>
    <b v="1"/>
    <b v="1"/>
    <s v="Non-binary"/>
    <x v="1"/>
    <x v="0"/>
    <n v="30"/>
    <x v="1"/>
    <n v="0"/>
    <n v="30"/>
    <x v="1"/>
    <s v="San Diego, CA"/>
    <n v="32.715699999999998"/>
    <n v="-117.1611"/>
    <d v="2025-05-08T00:00:00"/>
    <n v="4"/>
    <x v="1"/>
    <d v="2025-07-20T00:00:00"/>
    <s v="20–29"/>
    <s v="20–29"/>
  </r>
  <r>
    <n v="48"/>
    <x v="0"/>
    <n v="2"/>
    <s v="Tue, Wed"/>
    <b v="0"/>
    <d v="1899-12-30T09:57:00"/>
    <d v="1899-12-30T12:35:00"/>
    <n v="158"/>
    <x v="0"/>
    <b v="1"/>
    <b v="1"/>
    <s v="Male"/>
    <x v="0"/>
    <x v="1"/>
    <n v="37.5"/>
    <x v="3"/>
    <n v="0.15"/>
    <n v="31.875"/>
    <x v="0"/>
    <s v="San Francisco, CA"/>
    <n v="37.774900000000002"/>
    <n v="-122.4194"/>
    <d v="2024-12-29T00:00:00"/>
    <n v="4"/>
    <x v="1"/>
    <d v="2025-07-13T00:00:00"/>
    <s v="40–49"/>
    <s v="40–49"/>
  </r>
  <r>
    <n v="20"/>
    <x v="0"/>
    <n v="2"/>
    <s v="Mon, Wed"/>
    <b v="0"/>
    <d v="1899-12-30T08:50:00"/>
    <d v="1899-12-30T10:13:00"/>
    <n v="83"/>
    <x v="0"/>
    <b v="0"/>
    <b v="0"/>
    <s v="Male"/>
    <x v="0"/>
    <x v="0"/>
    <n v="50"/>
    <x v="0"/>
    <n v="0.05"/>
    <n v="47.5"/>
    <x v="0"/>
    <s v="Long Beach, CA"/>
    <n v="33.770099999999999"/>
    <n v="-118.19370000000001"/>
    <d v="2025-02-02T00:00:00"/>
    <n v="0"/>
    <x v="0"/>
    <d v="2025-07-15T00:00:00"/>
    <s v="20–29"/>
    <s v="20–29"/>
  </r>
  <r>
    <n v="32"/>
    <x v="1"/>
    <n v="3"/>
    <s v="Mon, Sat, Wed"/>
    <b v="1"/>
    <d v="1899-12-30T17:29:00"/>
    <d v="1899-12-30T18:47:00"/>
    <n v="78"/>
    <x v="1"/>
    <b v="0"/>
    <b v="1"/>
    <s v="Male"/>
    <x v="1"/>
    <x v="1"/>
    <n v="22.5"/>
    <x v="0"/>
    <n v="0.05"/>
    <n v="21.375"/>
    <x v="1"/>
    <s v="Long Beach, CA"/>
    <n v="33.770099999999999"/>
    <n v="-118.19370000000001"/>
    <d v="2023-05-11T00:00:00"/>
    <n v="0"/>
    <x v="1"/>
    <d v="2025-06-09T00:00:00"/>
    <s v="30–39"/>
    <s v="30–39"/>
  </r>
  <r>
    <n v="44"/>
    <x v="2"/>
    <n v="3"/>
    <s v="Fri, Mon, Tue"/>
    <b v="0"/>
    <d v="1899-12-30T10:31:00"/>
    <d v="1899-12-30T12:28:00"/>
    <n v="117"/>
    <x v="1"/>
    <b v="1"/>
    <b v="0"/>
    <s v="Female"/>
    <x v="2"/>
    <x v="0"/>
    <n v="20"/>
    <x v="3"/>
    <n v="0.15"/>
    <n v="17"/>
    <x v="2"/>
    <s v="Long Beach, CA"/>
    <n v="33.770099999999999"/>
    <n v="-118.19370000000001"/>
    <d v="2023-02-03T00:00:00"/>
    <n v="4"/>
    <x v="0"/>
    <d v="2025-06-03T00:00:00"/>
    <s v="40–49"/>
    <s v="40–49"/>
  </r>
  <r>
    <n v="20"/>
    <x v="2"/>
    <n v="2"/>
    <s v="Fri, Wed"/>
    <b v="1"/>
    <d v="1899-12-30T17:52:00"/>
    <d v="1899-12-30T20:41:00"/>
    <n v="169"/>
    <x v="0"/>
    <b v="0"/>
    <b v="1"/>
    <s v="Male"/>
    <x v="2"/>
    <x v="2"/>
    <n v="18"/>
    <x v="3"/>
    <n v="0.15"/>
    <n v="15.3"/>
    <x v="2"/>
    <s v="Fresno, CA"/>
    <n v="36.7378"/>
    <n v="-119.7871"/>
    <d v="2024-11-07T00:00:00"/>
    <n v="0"/>
    <x v="0"/>
    <d v="2025-07-10T00:00:00"/>
    <s v="20–29"/>
    <s v="20–29"/>
  </r>
  <r>
    <n v="32"/>
    <x v="1"/>
    <n v="5"/>
    <s v="Fri, Mon, Thu, Tue, Wed"/>
    <b v="1"/>
    <d v="1899-12-30T10:17:00"/>
    <d v="1899-12-30T13:05:00"/>
    <n v="168"/>
    <x v="1"/>
    <b v="0"/>
    <b v="0"/>
    <s v="Female"/>
    <x v="1"/>
    <x v="2"/>
    <n v="27"/>
    <x v="1"/>
    <n v="0"/>
    <n v="27"/>
    <x v="1"/>
    <s v="Sacramento, CA"/>
    <n v="38.581600000000002"/>
    <n v="-121.4944"/>
    <d v="2024-01-01T00:00:00"/>
    <n v="0"/>
    <x v="0"/>
    <d v="2025-06-22T00:00:00"/>
    <s v="30–39"/>
    <s v="30–39"/>
  </r>
  <r>
    <n v="23"/>
    <x v="0"/>
    <n v="3"/>
    <s v="Mon, Sun, Thu"/>
    <b v="1"/>
    <d v="1899-12-30T10:03:00"/>
    <d v="1899-12-30T12:22:00"/>
    <n v="139"/>
    <x v="1"/>
    <b v="1"/>
    <b v="0"/>
    <s v="Male"/>
    <x v="0"/>
    <x v="1"/>
    <n v="37.5"/>
    <x v="3"/>
    <n v="0.15"/>
    <n v="31.875"/>
    <x v="0"/>
    <s v="San Francisco, CA"/>
    <n v="37.774900000000002"/>
    <n v="-122.4194"/>
    <d v="2023-01-09T00:00:00"/>
    <n v="8"/>
    <x v="0"/>
    <d v="2025-06-02T00:00:00"/>
    <s v="20–29"/>
    <s v="20–29"/>
  </r>
  <r>
    <n v="16"/>
    <x v="0"/>
    <n v="3"/>
    <s v="Sat, Sun, Wed"/>
    <b v="1"/>
    <d v="1899-12-30T13:30:00"/>
    <d v="1899-12-30T14:20:00"/>
    <n v="50"/>
    <x v="1"/>
    <b v="0"/>
    <b v="1"/>
    <s v="Female"/>
    <x v="0"/>
    <x v="1"/>
    <n v="37.5"/>
    <x v="1"/>
    <n v="0"/>
    <n v="37.5"/>
    <x v="0"/>
    <s v="San Diego, CA"/>
    <n v="32.715699999999998"/>
    <n v="-117.1611"/>
    <d v="2023-05-04T00:00:00"/>
    <n v="0"/>
    <x v="0"/>
    <d v="2025-06-09T00:00:00"/>
    <s v="10–19"/>
    <s v="16–19"/>
  </r>
  <r>
    <n v="15"/>
    <x v="3"/>
    <n v="3"/>
    <s v="Fri, Mon, Sun"/>
    <b v="1"/>
    <d v="1899-12-30T09:14:00"/>
    <d v="1899-12-30T11:28:00"/>
    <n v="134"/>
    <x v="1"/>
    <b v="0"/>
    <b v="1"/>
    <s v="Prefer not to say"/>
    <x v="3"/>
    <x v="0"/>
    <n v="70"/>
    <x v="1"/>
    <n v="0"/>
    <n v="70"/>
    <x v="3"/>
    <s v="Oakland, CA"/>
    <n v="37.804400000000001"/>
    <n v="-122.27119999999999"/>
    <d v="2023-11-23T00:00:00"/>
    <n v="0"/>
    <x v="0"/>
    <d v="2025-06-20T00:00:00"/>
    <s v="10–19"/>
    <s v="Under 16"/>
  </r>
  <r>
    <n v="30"/>
    <x v="1"/>
    <n v="1"/>
    <s v="Fri"/>
    <b v="0"/>
    <d v="1899-12-30T17:59:00"/>
    <d v="1899-12-30T20:47:00"/>
    <n v="168"/>
    <x v="0"/>
    <b v="1"/>
    <b v="1"/>
    <s v="Other (self-described)"/>
    <x v="1"/>
    <x v="0"/>
    <n v="30"/>
    <x v="1"/>
    <n v="0"/>
    <n v="30"/>
    <x v="1"/>
    <s v="San Francisco, CA"/>
    <n v="37.774900000000002"/>
    <n v="-122.4194"/>
    <d v="2023-10-03T00:00:00"/>
    <n v="6"/>
    <x v="0"/>
    <d v="2025-06-17T00:00:00"/>
    <s v="30–39"/>
    <s v="30–39"/>
  </r>
  <r>
    <n v="43"/>
    <x v="0"/>
    <n v="4"/>
    <s v="Fri, Mon, Sat, Tue"/>
    <b v="1"/>
    <d v="1899-12-30T18:41:00"/>
    <d v="1899-12-30T21:36:00"/>
    <n v="175"/>
    <x v="0"/>
    <b v="1"/>
    <b v="0"/>
    <s v="Female"/>
    <x v="0"/>
    <x v="1"/>
    <n v="37.5"/>
    <x v="3"/>
    <n v="0.15"/>
    <n v="31.875"/>
    <x v="0"/>
    <s v="Anaheim, CA"/>
    <n v="33.836599999999997"/>
    <n v="-117.9143"/>
    <d v="2023-12-29T00:00:00"/>
    <n v="7"/>
    <x v="1"/>
    <d v="2025-06-22T00:00:00"/>
    <s v="40–49"/>
    <s v="40–49"/>
  </r>
  <r>
    <n v="34"/>
    <x v="2"/>
    <n v="1"/>
    <s v="Sun"/>
    <b v="0"/>
    <d v="1899-12-30T12:42:00"/>
    <d v="1899-12-30T13:21:00"/>
    <n v="39"/>
    <x v="1"/>
    <b v="1"/>
    <b v="1"/>
    <s v="Male"/>
    <x v="2"/>
    <x v="1"/>
    <n v="15"/>
    <x v="1"/>
    <n v="0"/>
    <n v="15"/>
    <x v="2"/>
    <s v="Los Angeles, CA"/>
    <n v="34.052199999999999"/>
    <n v="-118.2437"/>
    <d v="2024-08-10T00:00:00"/>
    <n v="7"/>
    <x v="1"/>
    <d v="2025-07-05T00:00:00"/>
    <s v="30–39"/>
    <s v="30–39"/>
  </r>
  <r>
    <n v="39"/>
    <x v="0"/>
    <n v="5"/>
    <s v="Fri, Mon, Sun, Thu, Wed"/>
    <b v="1"/>
    <d v="1899-12-30T12:50:00"/>
    <d v="1899-12-30T14:58:00"/>
    <n v="128"/>
    <x v="0"/>
    <b v="1"/>
    <b v="1"/>
    <s v="Male"/>
    <x v="0"/>
    <x v="1"/>
    <n v="37.5"/>
    <x v="0"/>
    <n v="0.05"/>
    <n v="35.625"/>
    <x v="0"/>
    <s v="Anaheim, CA"/>
    <n v="33.836599999999997"/>
    <n v="-117.9143"/>
    <d v="2023-10-30T00:00:00"/>
    <n v="2"/>
    <x v="0"/>
    <d v="2025-06-19T00:00:00"/>
    <s v="30–39"/>
    <s v="30–39"/>
  </r>
  <r>
    <n v="47"/>
    <x v="3"/>
    <n v="2"/>
    <s v="Sat, Tue"/>
    <b v="0"/>
    <d v="1899-12-30T13:19:00"/>
    <d v="1899-12-30T14:50:00"/>
    <n v="91"/>
    <x v="1"/>
    <b v="1"/>
    <b v="1"/>
    <s v="Female"/>
    <x v="3"/>
    <x v="1"/>
    <n v="52.5"/>
    <x v="2"/>
    <n v="0.1"/>
    <n v="47.25"/>
    <x v="3"/>
    <s v="Los Angeles, CA"/>
    <n v="34.052199999999999"/>
    <n v="-118.2437"/>
    <d v="2023-06-20T00:00:00"/>
    <n v="4"/>
    <x v="0"/>
    <d v="2025-06-11T00:00:00"/>
    <s v="40–49"/>
    <s v="40–49"/>
  </r>
  <r>
    <n v="45"/>
    <x v="2"/>
    <n v="2"/>
    <s v="Fri, Wed"/>
    <b v="1"/>
    <d v="1899-12-30T18:26:00"/>
    <d v="1899-12-30T21:21:00"/>
    <n v="175"/>
    <x v="1"/>
    <b v="1"/>
    <b v="0"/>
    <s v="Male"/>
    <x v="2"/>
    <x v="1"/>
    <n v="15"/>
    <x v="3"/>
    <n v="0.15"/>
    <n v="12.75"/>
    <x v="2"/>
    <s v="San Francisco, CA"/>
    <n v="37.774900000000002"/>
    <n v="-122.4194"/>
    <d v="2022-12-05T00:00:00"/>
    <n v="6"/>
    <x v="0"/>
    <d v="2025-05-31T00:00:00"/>
    <s v="40–49"/>
    <s v="40–49"/>
  </r>
  <r>
    <n v="14"/>
    <x v="0"/>
    <n v="3"/>
    <s v="Fri, Tue, Wed"/>
    <b v="0"/>
    <d v="1899-12-30T20:52:00"/>
    <d v="1899-12-30T22:02:00"/>
    <n v="70"/>
    <x v="1"/>
    <b v="1"/>
    <b v="1"/>
    <s v="Female"/>
    <x v="0"/>
    <x v="0"/>
    <n v="50"/>
    <x v="3"/>
    <n v="0.15"/>
    <n v="42.5"/>
    <x v="0"/>
    <s v="Fresno, CA"/>
    <n v="36.7378"/>
    <n v="-119.7871"/>
    <d v="2023-08-15T00:00:00"/>
    <n v="3"/>
    <x v="0"/>
    <d v="2025-06-14T00:00:00"/>
    <s v="10–19"/>
    <s v="Under 16"/>
  </r>
  <r>
    <n v="22"/>
    <x v="3"/>
    <n v="3"/>
    <s v="Fri, Thu, Wed"/>
    <b v="1"/>
    <d v="1899-12-30T11:46:00"/>
    <d v="1899-12-30T13:47:00"/>
    <n v="121"/>
    <x v="0"/>
    <b v="1"/>
    <b v="1"/>
    <s v="Female"/>
    <x v="3"/>
    <x v="0"/>
    <n v="70"/>
    <x v="1"/>
    <n v="0"/>
    <n v="70"/>
    <x v="3"/>
    <s v="San Diego, CA"/>
    <n v="32.715699999999998"/>
    <n v="-117.1611"/>
    <d v="2023-04-04T00:00:00"/>
    <n v="1"/>
    <x v="0"/>
    <d v="2025-06-07T00:00:00"/>
    <s v="20–29"/>
    <s v="20–29"/>
  </r>
  <r>
    <n v="49"/>
    <x v="0"/>
    <n v="1"/>
    <s v="Tue"/>
    <b v="1"/>
    <d v="1899-12-30T20:23:00"/>
    <d v="1899-12-30T21:08:00"/>
    <n v="45"/>
    <x v="1"/>
    <b v="0"/>
    <b v="1"/>
    <s v="Male"/>
    <x v="0"/>
    <x v="0"/>
    <n v="50"/>
    <x v="3"/>
    <n v="0.15"/>
    <n v="42.5"/>
    <x v="0"/>
    <s v="San Jose, CA"/>
    <n v="37.338200000000001"/>
    <n v="-121.88630000000001"/>
    <d v="2025-01-03T00:00:00"/>
    <n v="0"/>
    <x v="0"/>
    <d v="2025-07-13T00:00:00"/>
    <s v="40–49"/>
    <s v="40–49"/>
  </r>
  <r>
    <n v="32"/>
    <x v="1"/>
    <n v="3"/>
    <s v="Mon, Sat, Wed"/>
    <b v="1"/>
    <d v="1899-12-30T17:29:00"/>
    <d v="1899-12-30T18:47:00"/>
    <n v="78"/>
    <x v="1"/>
    <b v="0"/>
    <b v="1"/>
    <s v="Male"/>
    <x v="1"/>
    <x v="1"/>
    <n v="22.5"/>
    <x v="0"/>
    <n v="0.05"/>
    <n v="21.375"/>
    <x v="1"/>
    <s v="Long Beach, CA"/>
    <n v="33.770099999999999"/>
    <n v="-118.19370000000001"/>
    <d v="2024-02-17T00:00:00"/>
    <n v="0"/>
    <x v="0"/>
    <d v="2025-06-25T00:00:00"/>
    <s v="30–39"/>
    <s v="30–39"/>
  </r>
  <r>
    <n v="47"/>
    <x v="0"/>
    <n v="2"/>
    <s v="Mon, Sat"/>
    <b v="1"/>
    <d v="1899-12-30T08:39:00"/>
    <d v="1899-12-30T09:38:00"/>
    <n v="59"/>
    <x v="1"/>
    <b v="1"/>
    <b v="1"/>
    <s v="Other (self-described)"/>
    <x v="0"/>
    <x v="1"/>
    <n v="37.5"/>
    <x v="2"/>
    <n v="0.1"/>
    <n v="33.75"/>
    <x v="0"/>
    <s v="San Diego, CA"/>
    <n v="32.715699999999998"/>
    <n v="-117.1611"/>
    <d v="2025-06-13T00:00:00"/>
    <n v="6"/>
    <x v="0"/>
    <d v="2025-07-22T00:00:00"/>
    <s v="40–49"/>
    <s v="40–49"/>
  </r>
  <r>
    <n v="17"/>
    <x v="1"/>
    <n v="3"/>
    <s v="Fri, Mon, Sun"/>
    <b v="0"/>
    <d v="1899-12-30T15:24:00"/>
    <d v="1899-12-30T17:42:00"/>
    <n v="138"/>
    <x v="0"/>
    <b v="0"/>
    <b v="1"/>
    <s v="Male"/>
    <x v="1"/>
    <x v="1"/>
    <n v="22.5"/>
    <x v="1"/>
    <n v="0"/>
    <n v="22.5"/>
    <x v="1"/>
    <s v="Long Beach, CA"/>
    <n v="33.770099999999999"/>
    <n v="-118.19370000000001"/>
    <d v="2024-10-03T00:00:00"/>
    <n v="0"/>
    <x v="1"/>
    <d v="2025-07-08T00:00:00"/>
    <s v="10–19"/>
    <s v="16–19"/>
  </r>
  <r>
    <n v="29"/>
    <x v="3"/>
    <n v="2"/>
    <s v="Sun, Wed"/>
    <b v="0"/>
    <d v="1899-12-30T17:09:00"/>
    <d v="1899-12-30T18:06:00"/>
    <n v="57"/>
    <x v="0"/>
    <b v="1"/>
    <b v="1"/>
    <s v="Male"/>
    <x v="3"/>
    <x v="0"/>
    <n v="70"/>
    <x v="1"/>
    <n v="0"/>
    <n v="70"/>
    <x v="3"/>
    <s v="Los Angeles, CA"/>
    <n v="34.052199999999999"/>
    <n v="-118.2437"/>
    <d v="2023-05-11T00:00:00"/>
    <n v="8"/>
    <x v="0"/>
    <d v="2025-06-09T00:00:00"/>
    <s v="20–29"/>
    <s v="20–29"/>
  </r>
  <r>
    <n v="35"/>
    <x v="2"/>
    <n v="5"/>
    <s v="Sat, Sun, Thu, Tue, Wed"/>
    <b v="0"/>
    <d v="1899-12-30T10:41:00"/>
    <d v="1899-12-30T13:41:00"/>
    <n v="180"/>
    <x v="0"/>
    <b v="0"/>
    <b v="1"/>
    <s v="Female"/>
    <x v="2"/>
    <x v="0"/>
    <n v="20"/>
    <x v="3"/>
    <n v="0.15"/>
    <n v="17"/>
    <x v="2"/>
    <s v="Anaheim, CA"/>
    <n v="33.836599999999997"/>
    <n v="-117.9143"/>
    <d v="2022-08-01T00:00:00"/>
    <n v="0"/>
    <x v="1"/>
    <d v="2025-05-24T00:00:00"/>
    <s v="30–39"/>
    <s v="30–39"/>
  </r>
  <r>
    <n v="43"/>
    <x v="1"/>
    <n v="4"/>
    <s v="Mon, Sat, Tue, Wed"/>
    <b v="1"/>
    <d v="1899-12-30T10:38:00"/>
    <d v="1899-12-30T11:41:00"/>
    <n v="63"/>
    <x v="1"/>
    <b v="1"/>
    <b v="1"/>
    <s v="Male"/>
    <x v="1"/>
    <x v="1"/>
    <n v="22.5"/>
    <x v="0"/>
    <n v="0.05"/>
    <n v="21.375"/>
    <x v="1"/>
    <s v="Bakersfield, CA"/>
    <n v="35.3733"/>
    <n v="-119.0187"/>
    <d v="2025-03-09T00:00:00"/>
    <n v="7"/>
    <x v="0"/>
    <d v="2025-07-17T00:00:00"/>
    <s v="40–49"/>
    <s v="40–49"/>
  </r>
  <r>
    <n v="43"/>
    <x v="0"/>
    <n v="5"/>
    <s v="Fri, Sat, Sun, Tue, Wed"/>
    <b v="0"/>
    <d v="1899-12-30T12:31:00"/>
    <d v="1899-12-30T14:11:00"/>
    <n v="100"/>
    <x v="1"/>
    <b v="1"/>
    <b v="0"/>
    <s v="Female"/>
    <x v="0"/>
    <x v="0"/>
    <n v="50"/>
    <x v="1"/>
    <n v="0"/>
    <n v="50"/>
    <x v="0"/>
    <s v="Long Beach, CA"/>
    <n v="33.770099999999999"/>
    <n v="-118.19370000000001"/>
    <d v="2024-04-21T00:00:00"/>
    <n v="7"/>
    <x v="0"/>
    <d v="2025-06-28T00:00:00"/>
    <s v="40–49"/>
    <s v="40–49"/>
  </r>
  <r>
    <n v="25"/>
    <x v="1"/>
    <n v="2"/>
    <s v="Thu, Wed"/>
    <b v="0"/>
    <d v="1899-12-30T10:38:00"/>
    <d v="1899-12-30T12:32:00"/>
    <n v="114"/>
    <x v="1"/>
    <b v="1"/>
    <b v="0"/>
    <s v="Non-binary"/>
    <x v="1"/>
    <x v="1"/>
    <n v="22.5"/>
    <x v="0"/>
    <n v="0.05"/>
    <n v="21.375"/>
    <x v="1"/>
    <s v="Sacramento, CA"/>
    <n v="38.581600000000002"/>
    <n v="-121.4944"/>
    <d v="2023-02-21T00:00:00"/>
    <n v="3"/>
    <x v="1"/>
    <d v="2025-06-04T00:00:00"/>
    <s v="20–29"/>
    <s v="20–29"/>
  </r>
  <r>
    <n v="33"/>
    <x v="0"/>
    <n v="3"/>
    <s v="Fri, Mon, Wed"/>
    <b v="1"/>
    <d v="1899-12-30T13:11:00"/>
    <d v="1899-12-30T15:56:00"/>
    <n v="165"/>
    <x v="1"/>
    <b v="0"/>
    <b v="0"/>
    <s v="Male"/>
    <x v="0"/>
    <x v="0"/>
    <n v="50"/>
    <x v="0"/>
    <n v="0.05"/>
    <n v="47.5"/>
    <x v="0"/>
    <s v="Sacramento, CA"/>
    <n v="38.581600000000002"/>
    <n v="-121.4944"/>
    <d v="2024-11-17T00:00:00"/>
    <n v="0"/>
    <x v="0"/>
    <d v="2025-07-10T00:00:00"/>
    <s v="30–39"/>
    <s v="30–39"/>
  </r>
  <r>
    <n v="39"/>
    <x v="3"/>
    <n v="4"/>
    <s v="Fri, Mon, Sat, Wed"/>
    <b v="1"/>
    <d v="1899-12-30T10:34:00"/>
    <d v="1899-12-30T11:27:00"/>
    <n v="53"/>
    <x v="0"/>
    <b v="0"/>
    <b v="1"/>
    <s v="Prefer not to say"/>
    <x v="3"/>
    <x v="1"/>
    <n v="52.5"/>
    <x v="2"/>
    <n v="0.1"/>
    <n v="47.25"/>
    <x v="3"/>
    <s v="San Diego, CA"/>
    <n v="32.715699999999998"/>
    <n v="-117.1611"/>
    <d v="2023-11-09T00:00:00"/>
    <n v="0"/>
    <x v="0"/>
    <d v="2025-06-19T00:00:00"/>
    <s v="30–39"/>
    <s v="30–39"/>
  </r>
  <r>
    <n v="14"/>
    <x v="0"/>
    <n v="1"/>
    <s v="Mon"/>
    <b v="1"/>
    <d v="1899-12-30T11:56:00"/>
    <d v="1899-12-30T13:37:00"/>
    <n v="101"/>
    <x v="0"/>
    <b v="0"/>
    <b v="0"/>
    <s v="Male"/>
    <x v="0"/>
    <x v="1"/>
    <n v="37.5"/>
    <x v="1"/>
    <n v="0"/>
    <n v="37.5"/>
    <x v="0"/>
    <s v="Sacramento, CA"/>
    <n v="38.581600000000002"/>
    <n v="-121.4944"/>
    <d v="2023-05-04T00:00:00"/>
    <n v="0"/>
    <x v="0"/>
    <d v="2025-06-09T00:00:00"/>
    <s v="10–19"/>
    <s v="Under 16"/>
  </r>
  <r>
    <n v="13"/>
    <x v="1"/>
    <n v="2"/>
    <s v="Fri, Tue"/>
    <b v="0"/>
    <d v="1899-12-30T09:38:00"/>
    <d v="1899-12-30T10:11:00"/>
    <n v="33"/>
    <x v="0"/>
    <b v="0"/>
    <b v="1"/>
    <s v="Female"/>
    <x v="1"/>
    <x v="2"/>
    <n v="27"/>
    <x v="0"/>
    <n v="0.05"/>
    <n v="25.65"/>
    <x v="1"/>
    <s v="Long Beach, CA"/>
    <n v="33.770099999999999"/>
    <n v="-118.19370000000001"/>
    <d v="2023-09-05T00:00:00"/>
    <n v="0"/>
    <x v="1"/>
    <d v="2025-06-16T00:00:00"/>
    <s v="10–19"/>
    <s v="Under 16"/>
  </r>
  <r>
    <n v="40"/>
    <x v="0"/>
    <n v="4"/>
    <s v="Mon, Sat, Sun, Wed"/>
    <b v="1"/>
    <d v="1899-12-30T09:55:00"/>
    <d v="1899-12-30T10:43:00"/>
    <n v="48"/>
    <x v="0"/>
    <b v="0"/>
    <b v="1"/>
    <s v="Non-binary"/>
    <x v="0"/>
    <x v="0"/>
    <n v="50"/>
    <x v="1"/>
    <n v="0"/>
    <n v="50"/>
    <x v="0"/>
    <s v="Fresno, CA"/>
    <n v="36.7378"/>
    <n v="-119.7871"/>
    <d v="2024-12-04T00:00:00"/>
    <n v="0"/>
    <x v="0"/>
    <d v="2025-07-11T00:00:00"/>
    <s v="40–49"/>
    <s v="40–49"/>
  </r>
  <r>
    <n v="29"/>
    <x v="0"/>
    <n v="5"/>
    <s v="Mon, Sat, Sun, Thu, Tue"/>
    <b v="0"/>
    <d v="1899-12-30T18:14:00"/>
    <d v="1899-12-30T21:04:00"/>
    <n v="170"/>
    <x v="0"/>
    <b v="0"/>
    <b v="0"/>
    <s v="Male"/>
    <x v="0"/>
    <x v="0"/>
    <n v="50"/>
    <x v="2"/>
    <n v="0.1"/>
    <n v="45"/>
    <x v="0"/>
    <s v="Long Beach, CA"/>
    <n v="33.770099999999999"/>
    <n v="-118.19370000000001"/>
    <d v="2024-06-09T00:00:00"/>
    <n v="0"/>
    <x v="0"/>
    <d v="2025-07-01T00:00:00"/>
    <s v="20–29"/>
    <s v="20–29"/>
  </r>
  <r>
    <n v="25"/>
    <x v="1"/>
    <n v="3"/>
    <s v="Sat, Sun, Tue"/>
    <b v="0"/>
    <d v="1899-12-30T17:21:00"/>
    <d v="1899-12-30T18:17:00"/>
    <n v="56"/>
    <x v="0"/>
    <b v="0"/>
    <b v="1"/>
    <s v="Female"/>
    <x v="1"/>
    <x v="1"/>
    <n v="22.5"/>
    <x v="3"/>
    <n v="0.15"/>
    <n v="19.125"/>
    <x v="1"/>
    <s v="Sacramento, CA"/>
    <n v="38.581600000000002"/>
    <n v="-121.4944"/>
    <d v="2023-03-11T00:00:00"/>
    <n v="0"/>
    <x v="1"/>
    <d v="2025-06-05T00:00:00"/>
    <s v="20–29"/>
    <s v="20–29"/>
  </r>
  <r>
    <n v="49"/>
    <x v="0"/>
    <n v="3"/>
    <s v="Fri, Thu, Wed"/>
    <b v="1"/>
    <d v="1899-12-30T20:30:00"/>
    <d v="1899-12-30T21:24:00"/>
    <n v="54"/>
    <x v="1"/>
    <b v="1"/>
    <b v="1"/>
    <s v="Male"/>
    <x v="0"/>
    <x v="0"/>
    <n v="50"/>
    <x v="2"/>
    <n v="0.1"/>
    <n v="45"/>
    <x v="0"/>
    <s v="San Jose, CA"/>
    <n v="37.338200000000001"/>
    <n v="-121.88630000000001"/>
    <d v="2023-11-10T00:00:00"/>
    <n v="3"/>
    <x v="0"/>
    <d v="2025-06-19T00:00:00"/>
    <s v="40–49"/>
    <s v="40–49"/>
  </r>
  <r>
    <n v="45"/>
    <x v="0"/>
    <n v="3"/>
    <s v="Fri, Sat, Tue"/>
    <b v="1"/>
    <d v="1899-12-30T19:59:00"/>
    <d v="1899-12-30T20:57:00"/>
    <n v="58"/>
    <x v="1"/>
    <b v="0"/>
    <b v="1"/>
    <s v="Prefer not to say"/>
    <x v="0"/>
    <x v="2"/>
    <n v="45"/>
    <x v="2"/>
    <n v="0.1"/>
    <n v="40.5"/>
    <x v="0"/>
    <s v="San Diego, CA"/>
    <n v="32.715699999999998"/>
    <n v="-117.1611"/>
    <d v="2025-06-17T00:00:00"/>
    <n v="0"/>
    <x v="0"/>
    <d v="2025-07-22T00:00:00"/>
    <s v="40–49"/>
    <s v="40–49"/>
  </r>
  <r>
    <n v="13"/>
    <x v="0"/>
    <n v="4"/>
    <s v="Sat, Sun, Thu, Tue"/>
    <b v="0"/>
    <d v="1899-12-30T14:47:00"/>
    <d v="1899-12-30T15:21:00"/>
    <n v="34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3-04-04T00:00:00"/>
    <n v="0"/>
    <x v="0"/>
    <d v="2025-06-07T00:00:00"/>
    <s v="10–19"/>
    <s v="Under 16"/>
  </r>
  <r>
    <n v="15"/>
    <x v="2"/>
    <n v="2"/>
    <s v="Mon, Tue"/>
    <b v="0"/>
    <d v="1899-12-30T16:51:00"/>
    <d v="1899-12-30T19:45:00"/>
    <n v="174"/>
    <x v="1"/>
    <b v="0"/>
    <b v="0"/>
    <s v="Male"/>
    <x v="2"/>
    <x v="1"/>
    <n v="15"/>
    <x v="3"/>
    <n v="0.15"/>
    <n v="12.75"/>
    <x v="2"/>
    <s v="Bakersfield, CA"/>
    <n v="35.3733"/>
    <n v="-119.0187"/>
    <d v="2025-05-16T00:00:00"/>
    <n v="0"/>
    <x v="0"/>
    <d v="2025-07-20T00:00:00"/>
    <s v="10–19"/>
    <s v="Under 16"/>
  </r>
  <r>
    <n v="40"/>
    <x v="0"/>
    <n v="2"/>
    <s v="Sat, Tue"/>
    <b v="1"/>
    <d v="1899-12-30T20:33:00"/>
    <d v="1899-12-30T21:52:00"/>
    <n v="79"/>
    <x v="1"/>
    <b v="1"/>
    <b v="1"/>
    <s v="Non-binary"/>
    <x v="0"/>
    <x v="1"/>
    <n v="37.5"/>
    <x v="3"/>
    <n v="0.15"/>
    <n v="31.875"/>
    <x v="0"/>
    <s v="Bakersfield, CA"/>
    <n v="35.3733"/>
    <n v="-119.0187"/>
    <d v="2023-04-20T00:00:00"/>
    <n v="8"/>
    <x v="1"/>
    <d v="2025-06-08T00:00:00"/>
    <s v="40–49"/>
    <s v="40–49"/>
  </r>
  <r>
    <n v="43"/>
    <x v="0"/>
    <n v="5"/>
    <s v="Fri, Mon, Sat, Thu, Wed"/>
    <b v="0"/>
    <d v="1899-12-30T17:52:00"/>
    <d v="1899-12-30T20:52:00"/>
    <n v="180"/>
    <x v="0"/>
    <b v="1"/>
    <b v="0"/>
    <s v="Male"/>
    <x v="0"/>
    <x v="1"/>
    <n v="37.5"/>
    <x v="1"/>
    <n v="0"/>
    <n v="37.5"/>
    <x v="0"/>
    <s v="San Francisco, CA"/>
    <n v="37.774900000000002"/>
    <n v="-122.4194"/>
    <d v="2024-11-19T00:00:00"/>
    <n v="1"/>
    <x v="0"/>
    <d v="2025-07-10T00:00:00"/>
    <s v="40–49"/>
    <s v="40–49"/>
  </r>
  <r>
    <n v="33"/>
    <x v="2"/>
    <n v="4"/>
    <s v="Fri, Mon, Sun, Thu"/>
    <b v="0"/>
    <d v="1899-12-30T10:24:00"/>
    <d v="1899-12-30T11:48:00"/>
    <n v="84"/>
    <x v="1"/>
    <b v="0"/>
    <b v="0"/>
    <s v="Male"/>
    <x v="2"/>
    <x v="0"/>
    <n v="20"/>
    <x v="2"/>
    <n v="0.1"/>
    <n v="18"/>
    <x v="2"/>
    <s v="San Diego, CA"/>
    <n v="32.715699999999998"/>
    <n v="-117.1611"/>
    <d v="2022-09-06T00:00:00"/>
    <n v="0"/>
    <x v="1"/>
    <d v="2025-05-26T00:00:00"/>
    <s v="30–39"/>
    <s v="30–39"/>
  </r>
  <r>
    <n v="22"/>
    <x v="1"/>
    <n v="3"/>
    <s v="Fri, Sun, Tue"/>
    <b v="0"/>
    <d v="1899-12-30T17:13:00"/>
    <d v="1899-12-30T18:24:00"/>
    <n v="71"/>
    <x v="0"/>
    <b v="0"/>
    <b v="1"/>
    <s v="Prefer not to say"/>
    <x v="1"/>
    <x v="1"/>
    <n v="22.5"/>
    <x v="0"/>
    <n v="0.05"/>
    <n v="21.375"/>
    <x v="1"/>
    <s v="San Diego, CA"/>
    <n v="32.715699999999998"/>
    <n v="-117.1611"/>
    <d v="2024-05-27T00:00:00"/>
    <n v="0"/>
    <x v="1"/>
    <d v="2025-06-30T00:00:00"/>
    <s v="20–29"/>
    <s v="20–29"/>
  </r>
  <r>
    <n v="34"/>
    <x v="0"/>
    <n v="3"/>
    <s v="Fri, Thu, Tue"/>
    <b v="0"/>
    <d v="1899-12-30T15:41:00"/>
    <d v="1899-12-30T17:04:00"/>
    <n v="83"/>
    <x v="1"/>
    <b v="1"/>
    <b v="0"/>
    <s v="Female"/>
    <x v="0"/>
    <x v="0"/>
    <n v="50"/>
    <x v="0"/>
    <n v="0.05"/>
    <n v="47.5"/>
    <x v="0"/>
    <s v="San Diego, CA"/>
    <n v="32.715699999999998"/>
    <n v="-117.1611"/>
    <d v="2024-07-09T00:00:00"/>
    <n v="3"/>
    <x v="0"/>
    <d v="2025-07-03T00:00:00"/>
    <s v="30–39"/>
    <s v="30–39"/>
  </r>
  <r>
    <n v="23"/>
    <x v="1"/>
    <n v="2"/>
    <s v="Sat, Thu"/>
    <b v="0"/>
    <d v="1899-12-30T11:56:00"/>
    <d v="1899-12-30T13:42:00"/>
    <n v="106"/>
    <x v="0"/>
    <b v="1"/>
    <b v="1"/>
    <s v="Female"/>
    <x v="1"/>
    <x v="0"/>
    <n v="30"/>
    <x v="0"/>
    <n v="0.05"/>
    <n v="28.5"/>
    <x v="1"/>
    <s v="Fresno, CA"/>
    <n v="36.7378"/>
    <n v="-119.7871"/>
    <d v="2025-01-15T00:00:00"/>
    <n v="2"/>
    <x v="0"/>
    <d v="2025-07-14T00:00:00"/>
    <s v="20–29"/>
    <s v="20–29"/>
  </r>
  <r>
    <n v="19"/>
    <x v="0"/>
    <n v="3"/>
    <s v="Mon, Sun, Wed"/>
    <b v="0"/>
    <d v="1899-12-30T14:34:00"/>
    <d v="1899-12-30T15:34:00"/>
    <n v="60"/>
    <x v="1"/>
    <b v="0"/>
    <b v="1"/>
    <s v="Other (self-described)"/>
    <x v="0"/>
    <x v="0"/>
    <n v="50"/>
    <x v="3"/>
    <n v="0.15"/>
    <n v="42.5"/>
    <x v="0"/>
    <s v="San Francisco, CA"/>
    <n v="37.774900000000002"/>
    <n v="-122.4194"/>
    <d v="2024-08-01T00:00:00"/>
    <n v="0"/>
    <x v="0"/>
    <d v="2025-07-04T00:00:00"/>
    <s v="10–19"/>
    <s v="16–19"/>
  </r>
  <r>
    <n v="27"/>
    <x v="2"/>
    <n v="2"/>
    <s v="Fri, Tue"/>
    <b v="1"/>
    <d v="1899-12-30T11:35:00"/>
    <d v="1899-12-30T13:34:00"/>
    <n v="119"/>
    <x v="1"/>
    <b v="0"/>
    <b v="1"/>
    <s v="Male"/>
    <x v="2"/>
    <x v="0"/>
    <n v="20"/>
    <x v="0"/>
    <n v="0.05"/>
    <n v="19"/>
    <x v="2"/>
    <s v="Oakland, CA"/>
    <n v="37.804400000000001"/>
    <n v="-122.27119999999999"/>
    <d v="2022-12-02T00:00:00"/>
    <n v="0"/>
    <x v="0"/>
    <d v="2025-05-31T00:00:00"/>
    <s v="20–29"/>
    <s v="20–29"/>
  </r>
  <r>
    <n v="37"/>
    <x v="2"/>
    <n v="3"/>
    <s v="Fri, Sat, Sun"/>
    <b v="0"/>
    <d v="1899-12-30T09:25:00"/>
    <d v="1899-12-30T12:06:00"/>
    <n v="161"/>
    <x v="0"/>
    <b v="1"/>
    <b v="1"/>
    <s v="Male"/>
    <x v="2"/>
    <x v="0"/>
    <n v="20"/>
    <x v="3"/>
    <n v="0.15"/>
    <n v="17"/>
    <x v="2"/>
    <s v="Long Beach, CA"/>
    <n v="33.770099999999999"/>
    <n v="-118.19370000000001"/>
    <d v="2022-07-27T00:00:00"/>
    <n v="1"/>
    <x v="1"/>
    <d v="2025-05-24T00:00:00"/>
    <s v="30–39"/>
    <s v="30–39"/>
  </r>
  <r>
    <n v="25"/>
    <x v="0"/>
    <n v="2"/>
    <s v="Thu, Tue"/>
    <b v="0"/>
    <d v="1899-12-30T10:55:00"/>
    <d v="1899-12-30T13:51:00"/>
    <n v="176"/>
    <x v="1"/>
    <b v="0"/>
    <b v="1"/>
    <s v="Female"/>
    <x v="0"/>
    <x v="1"/>
    <n v="37.5"/>
    <x v="1"/>
    <n v="0"/>
    <n v="37.5"/>
    <x v="0"/>
    <s v="Sacramento, CA"/>
    <n v="38.581600000000002"/>
    <n v="-121.4944"/>
    <d v="2024-05-26T00:00:00"/>
    <n v="0"/>
    <x v="0"/>
    <d v="2025-06-30T00:00:00"/>
    <s v="20–29"/>
    <s v="20–29"/>
  </r>
  <r>
    <n v="49"/>
    <x v="1"/>
    <n v="3"/>
    <s v="Mon, Sat, Sun"/>
    <b v="0"/>
    <d v="1899-12-30T15:25:00"/>
    <d v="1899-12-30T18:05:00"/>
    <n v="160"/>
    <x v="1"/>
    <b v="0"/>
    <b v="1"/>
    <s v="Female"/>
    <x v="1"/>
    <x v="0"/>
    <n v="30"/>
    <x v="2"/>
    <n v="0.1"/>
    <n v="27"/>
    <x v="1"/>
    <s v="Los Angeles, CA"/>
    <n v="34.052199999999999"/>
    <n v="-118.2437"/>
    <d v="2024-03-02T00:00:00"/>
    <n v="0"/>
    <x v="1"/>
    <d v="2025-06-26T00:00:00"/>
    <s v="40–49"/>
    <s v="40–49"/>
  </r>
  <r>
    <n v="37"/>
    <x v="2"/>
    <n v="2"/>
    <s v="Fri, Thu"/>
    <b v="1"/>
    <d v="1899-12-30T19:39:00"/>
    <d v="1899-12-30T20:39:00"/>
    <n v="60"/>
    <x v="0"/>
    <b v="0"/>
    <b v="1"/>
    <s v="Female"/>
    <x v="2"/>
    <x v="2"/>
    <n v="18"/>
    <x v="1"/>
    <n v="0"/>
    <n v="18"/>
    <x v="2"/>
    <s v="Bakersfield, CA"/>
    <n v="35.3733"/>
    <n v="-119.0187"/>
    <d v="2023-05-15T00:00:00"/>
    <n v="0"/>
    <x v="1"/>
    <d v="2025-06-09T00:00:00"/>
    <s v="30–39"/>
    <s v="30–39"/>
  </r>
  <r>
    <n v="20"/>
    <x v="3"/>
    <n v="2"/>
    <s v="Sun, Thu"/>
    <b v="1"/>
    <d v="1899-12-30T09:26:00"/>
    <d v="1899-12-30T10:35:00"/>
    <n v="69"/>
    <x v="0"/>
    <b v="0"/>
    <b v="0"/>
    <s v="Prefer not to say"/>
    <x v="3"/>
    <x v="0"/>
    <n v="70"/>
    <x v="1"/>
    <n v="0"/>
    <n v="70"/>
    <x v="3"/>
    <s v="San Diego, CA"/>
    <n v="32.715699999999998"/>
    <n v="-117.1611"/>
    <d v="2022-11-22T00:00:00"/>
    <n v="0"/>
    <x v="1"/>
    <d v="2025-05-30T00:00:00"/>
    <s v="20–29"/>
    <s v="20–29"/>
  </r>
  <r>
    <n v="32"/>
    <x v="2"/>
    <n v="3"/>
    <s v="Fri, Sun, Wed"/>
    <b v="1"/>
    <d v="1899-12-30T14:52:00"/>
    <d v="1899-12-30T17:32:00"/>
    <n v="160"/>
    <x v="0"/>
    <b v="0"/>
    <b v="0"/>
    <s v="Male"/>
    <x v="2"/>
    <x v="0"/>
    <n v="20"/>
    <x v="0"/>
    <n v="0.05"/>
    <n v="19"/>
    <x v="2"/>
    <s v="Sacramento, CA"/>
    <n v="38.581600000000002"/>
    <n v="-121.4944"/>
    <d v="2023-09-30T00:00:00"/>
    <n v="0"/>
    <x v="0"/>
    <d v="2025-06-17T00:00:00"/>
    <s v="30–39"/>
    <s v="30–39"/>
  </r>
  <r>
    <n v="26"/>
    <x v="1"/>
    <n v="3"/>
    <s v="Thu, Tue, Wed"/>
    <b v="0"/>
    <d v="1899-12-30T14:54:00"/>
    <d v="1899-12-30T16:46:00"/>
    <n v="112"/>
    <x v="1"/>
    <b v="1"/>
    <b v="1"/>
    <s v="Non-binary"/>
    <x v="1"/>
    <x v="0"/>
    <n v="30"/>
    <x v="3"/>
    <n v="0.15"/>
    <n v="25.5"/>
    <x v="1"/>
    <s v="Sacramento, CA"/>
    <n v="38.581600000000002"/>
    <n v="-121.4944"/>
    <d v="2024-05-02T00:00:00"/>
    <n v="3"/>
    <x v="0"/>
    <d v="2025-06-29T00:00:00"/>
    <s v="20–29"/>
    <s v="20–29"/>
  </r>
  <r>
    <n v="37"/>
    <x v="1"/>
    <n v="1"/>
    <s v="Mon"/>
    <b v="1"/>
    <d v="1899-12-30T16:45:00"/>
    <d v="1899-12-30T18:58:00"/>
    <n v="133"/>
    <x v="0"/>
    <b v="0"/>
    <b v="0"/>
    <s v="Male"/>
    <x v="1"/>
    <x v="1"/>
    <n v="22.5"/>
    <x v="1"/>
    <n v="0"/>
    <n v="22.5"/>
    <x v="1"/>
    <s v="Oakland, CA"/>
    <n v="37.804400000000001"/>
    <n v="-122.27119999999999"/>
    <d v="2024-04-09T00:00:00"/>
    <n v="0"/>
    <x v="1"/>
    <d v="2025-06-28T00:00:00"/>
    <s v="30–39"/>
    <s v="30–39"/>
  </r>
  <r>
    <n v="16"/>
    <x v="3"/>
    <n v="3"/>
    <s v="Sat, Tue, Wed"/>
    <b v="0"/>
    <d v="1899-12-30T18:39:00"/>
    <d v="1899-12-30T20:54:00"/>
    <n v="135"/>
    <x v="0"/>
    <b v="0"/>
    <b v="0"/>
    <s v="Male"/>
    <x v="3"/>
    <x v="2"/>
    <n v="63"/>
    <x v="1"/>
    <n v="0"/>
    <n v="63"/>
    <x v="3"/>
    <s v="Bakersfield, CA"/>
    <n v="35.3733"/>
    <n v="-119.0187"/>
    <d v="2025-06-19T00:00:00"/>
    <n v="0"/>
    <x v="1"/>
    <d v="2025-07-22T00:00:00"/>
    <s v="10–19"/>
    <s v="16–19"/>
  </r>
  <r>
    <n v="15"/>
    <x v="0"/>
    <n v="2"/>
    <s v="Mon, Sun"/>
    <b v="1"/>
    <d v="1899-12-30T20:07:00"/>
    <d v="1899-12-30T21:39:00"/>
    <n v="92"/>
    <x v="1"/>
    <b v="0"/>
    <b v="0"/>
    <s v="Female"/>
    <x v="0"/>
    <x v="0"/>
    <n v="50"/>
    <x v="0"/>
    <n v="0.05"/>
    <n v="47.5"/>
    <x v="0"/>
    <s v="Oakland, CA"/>
    <n v="37.804400000000001"/>
    <n v="-122.27119999999999"/>
    <d v="2023-09-02T00:00:00"/>
    <n v="0"/>
    <x v="0"/>
    <d v="2025-06-15T00:00:00"/>
    <s v="10–19"/>
    <s v="Under 16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4-06-09T00:00:00"/>
    <n v="5"/>
    <x v="1"/>
    <d v="2025-07-01T00:00:00"/>
    <s v="10–19"/>
    <s v="Under 16"/>
  </r>
  <r>
    <n v="21"/>
    <x v="0"/>
    <n v="2"/>
    <s v="Mon, Wed"/>
    <b v="1"/>
    <d v="1899-12-30T18:40:00"/>
    <d v="1899-12-30T21:21:00"/>
    <n v="161"/>
    <x v="1"/>
    <b v="1"/>
    <b v="1"/>
    <s v="Prefer not to say"/>
    <x v="0"/>
    <x v="0"/>
    <n v="50"/>
    <x v="0"/>
    <n v="0.05"/>
    <n v="47.5"/>
    <x v="0"/>
    <s v="Los Angeles, CA"/>
    <n v="34.052199999999999"/>
    <n v="-118.2437"/>
    <d v="2023-02-28T00:00:00"/>
    <n v="6"/>
    <x v="1"/>
    <d v="2025-06-05T00:00:00"/>
    <s v="20–29"/>
    <s v="20–29"/>
  </r>
  <r>
    <n v="27"/>
    <x v="0"/>
    <n v="3"/>
    <s v="Fri, Sat, Thu"/>
    <b v="1"/>
    <d v="1899-12-30T10:48:00"/>
    <d v="1899-12-30T13:15:00"/>
    <n v="147"/>
    <x v="1"/>
    <b v="0"/>
    <b v="0"/>
    <s v="Non-binary"/>
    <x v="0"/>
    <x v="1"/>
    <n v="37.5"/>
    <x v="1"/>
    <n v="0"/>
    <n v="37.5"/>
    <x v="0"/>
    <s v="Anaheim, CA"/>
    <n v="33.836599999999997"/>
    <n v="-117.9143"/>
    <d v="2025-03-15T00:00:00"/>
    <n v="0"/>
    <x v="0"/>
    <d v="2025-07-17T00:00:00"/>
    <s v="20–29"/>
    <s v="20–29"/>
  </r>
  <r>
    <n v="17"/>
    <x v="0"/>
    <n v="3"/>
    <s v="Sat, Thu, Tue"/>
    <b v="1"/>
    <d v="1899-12-30T15:41:00"/>
    <d v="1899-12-30T16:58:00"/>
    <n v="77"/>
    <x v="1"/>
    <b v="1"/>
    <b v="0"/>
    <s v="Female"/>
    <x v="0"/>
    <x v="1"/>
    <n v="37.5"/>
    <x v="2"/>
    <n v="0.1"/>
    <n v="33.75"/>
    <x v="0"/>
    <s v="San Francisco, CA"/>
    <n v="37.774900000000002"/>
    <n v="-122.4194"/>
    <d v="2023-10-05T00:00:00"/>
    <n v="3"/>
    <x v="0"/>
    <d v="2025-06-17T00:00:00"/>
    <s v="10–19"/>
    <s v="16–19"/>
  </r>
  <r>
    <n v="20"/>
    <x v="0"/>
    <n v="3"/>
    <s v="Fri, Thu, Tue"/>
    <b v="0"/>
    <d v="1899-12-30T08:23:00"/>
    <d v="1899-12-30T11:22:00"/>
    <n v="179"/>
    <x v="0"/>
    <b v="0"/>
    <b v="0"/>
    <s v="Male"/>
    <x v="0"/>
    <x v="0"/>
    <n v="50"/>
    <x v="0"/>
    <n v="0.05"/>
    <n v="47.5"/>
    <x v="0"/>
    <s v="San Diego, CA"/>
    <n v="32.715699999999998"/>
    <n v="-117.1611"/>
    <d v="2024-01-27T00:00:00"/>
    <n v="0"/>
    <x v="0"/>
    <d v="2025-06-24T00:00:00"/>
    <s v="20–29"/>
    <s v="20–29"/>
  </r>
  <r>
    <n v="31"/>
    <x v="0"/>
    <n v="4"/>
    <s v="Fri, Mon, Sat, Thu"/>
    <b v="0"/>
    <d v="1899-12-30T11:54:00"/>
    <d v="1899-12-30T13:21:00"/>
    <n v="87"/>
    <x v="0"/>
    <b v="0"/>
    <b v="1"/>
    <s v="Male"/>
    <x v="0"/>
    <x v="1"/>
    <n v="37.5"/>
    <x v="1"/>
    <n v="0"/>
    <n v="37.5"/>
    <x v="0"/>
    <s v="Sacramento, CA"/>
    <n v="38.581600000000002"/>
    <n v="-121.4944"/>
    <d v="2023-08-08T00:00:00"/>
    <n v="0"/>
    <x v="1"/>
    <d v="2025-06-14T00:00:00"/>
    <s v="30–39"/>
    <s v="30–39"/>
  </r>
  <r>
    <n v="15"/>
    <x v="0"/>
    <n v="1"/>
    <s v="Mon"/>
    <b v="0"/>
    <d v="1899-12-30T17:19:00"/>
    <d v="1899-12-30T20:19:00"/>
    <n v="180"/>
    <x v="0"/>
    <b v="0"/>
    <b v="1"/>
    <s v="Male"/>
    <x v="0"/>
    <x v="1"/>
    <n v="37.5"/>
    <x v="0"/>
    <n v="0.05"/>
    <n v="35.625"/>
    <x v="0"/>
    <s v="Sacramento, CA"/>
    <n v="38.581600000000002"/>
    <n v="-121.4944"/>
    <d v="2025-04-14T00:00:00"/>
    <n v="0"/>
    <x v="0"/>
    <d v="2025-07-19T00:00:00"/>
    <s v="10–19"/>
    <s v="Under 16"/>
  </r>
  <r>
    <n v="26"/>
    <x v="2"/>
    <n v="2"/>
    <s v="Sun, Tue"/>
    <b v="1"/>
    <d v="1899-12-30T15:52:00"/>
    <d v="1899-12-30T18:05:00"/>
    <n v="133"/>
    <x v="0"/>
    <b v="0"/>
    <b v="0"/>
    <s v="Female"/>
    <x v="2"/>
    <x v="0"/>
    <n v="20"/>
    <x v="1"/>
    <n v="0"/>
    <n v="20"/>
    <x v="2"/>
    <s v="Bakersfield, CA"/>
    <n v="35.3733"/>
    <n v="-119.0187"/>
    <d v="2023-10-14T00:00:00"/>
    <n v="0"/>
    <x v="1"/>
    <d v="2025-06-18T00:00:00"/>
    <s v="20–29"/>
    <s v="20–29"/>
  </r>
  <r>
    <n v="47"/>
    <x v="1"/>
    <n v="1"/>
    <s v="Sun"/>
    <b v="1"/>
    <d v="1899-12-30T12:24:00"/>
    <d v="1899-12-30T13:14:00"/>
    <n v="50"/>
    <x v="0"/>
    <b v="1"/>
    <b v="1"/>
    <s v="Male"/>
    <x v="1"/>
    <x v="1"/>
    <n v="22.5"/>
    <x v="0"/>
    <n v="0.05"/>
    <n v="21.375"/>
    <x v="1"/>
    <s v="San Francisco, CA"/>
    <n v="37.774900000000002"/>
    <n v="-122.4194"/>
    <d v="2023-11-03T00:00:00"/>
    <n v="2"/>
    <x v="1"/>
    <d v="2025-06-19T00:00:00"/>
    <s v="40–49"/>
    <s v="40–49"/>
  </r>
  <r>
    <n v="37"/>
    <x v="2"/>
    <n v="3"/>
    <s v="Mon, Tue, Wed"/>
    <b v="1"/>
    <d v="1899-12-30T18:07:00"/>
    <d v="1899-12-30T20:01:00"/>
    <n v="114"/>
    <x v="0"/>
    <b v="0"/>
    <b v="1"/>
    <s v="Non-binary"/>
    <x v="2"/>
    <x v="1"/>
    <n v="15"/>
    <x v="1"/>
    <n v="0"/>
    <n v="15"/>
    <x v="2"/>
    <s v="Los Angeles, CA"/>
    <n v="34.052199999999999"/>
    <n v="-118.2437"/>
    <d v="2023-11-03T00:00:00"/>
    <n v="0"/>
    <x v="1"/>
    <d v="2025-06-19T00:00:00"/>
    <s v="30–39"/>
    <s v="30–39"/>
  </r>
  <r>
    <n v="12"/>
    <x v="1"/>
    <n v="2"/>
    <s v="Mon, Tue"/>
    <b v="1"/>
    <d v="1899-12-30T09:49:00"/>
    <d v="1899-12-30T11:30:00"/>
    <n v="101"/>
    <x v="0"/>
    <b v="1"/>
    <b v="0"/>
    <s v="Female"/>
    <x v="1"/>
    <x v="1"/>
    <n v="22.5"/>
    <x v="1"/>
    <n v="0"/>
    <n v="22.5"/>
    <x v="1"/>
    <s v="Fresno, CA"/>
    <n v="36.7378"/>
    <n v="-119.7871"/>
    <d v="2023-09-19T00:00:00"/>
    <n v="4"/>
    <x v="1"/>
    <d v="2025-06-16T00:00:00"/>
    <s v="10–19"/>
    <s v="Under 16"/>
  </r>
  <r>
    <n v="27"/>
    <x v="0"/>
    <n v="3"/>
    <s v="Fri, Sat, Thu"/>
    <b v="1"/>
    <d v="1899-12-30T10:48:00"/>
    <d v="1899-12-30T13:15:00"/>
    <n v="147"/>
    <x v="1"/>
    <b v="0"/>
    <b v="0"/>
    <s v="Non-binary"/>
    <x v="0"/>
    <x v="1"/>
    <n v="37.5"/>
    <x v="1"/>
    <n v="0"/>
    <n v="37.5"/>
    <x v="0"/>
    <s v="Anaheim, CA"/>
    <n v="33.836599999999997"/>
    <n v="-117.9143"/>
    <d v="2023-07-03T00:00:00"/>
    <n v="0"/>
    <x v="0"/>
    <d v="2025-06-12T00:00:00"/>
    <s v="20–29"/>
    <s v="20–29"/>
  </r>
  <r>
    <n v="25"/>
    <x v="0"/>
    <n v="1"/>
    <s v="Sat"/>
    <b v="0"/>
    <d v="1899-12-30T15:55:00"/>
    <d v="1899-12-30T16:50:00"/>
    <n v="55"/>
    <x v="1"/>
    <b v="0"/>
    <b v="1"/>
    <s v="Male"/>
    <x v="0"/>
    <x v="0"/>
    <n v="50"/>
    <x v="1"/>
    <n v="0"/>
    <n v="50"/>
    <x v="0"/>
    <s v="San Francisco, CA"/>
    <n v="37.774900000000002"/>
    <n v="-122.4194"/>
    <d v="2023-02-16T00:00:00"/>
    <n v="0"/>
    <x v="1"/>
    <d v="2025-06-04T00:00:00"/>
    <s v="20–29"/>
    <s v="20–29"/>
  </r>
  <r>
    <n v="19"/>
    <x v="0"/>
    <n v="3"/>
    <s v="Sat, Sun, Thu"/>
    <b v="0"/>
    <d v="1899-12-30T17:43:00"/>
    <d v="1899-12-30T18:34:00"/>
    <n v="51"/>
    <x v="0"/>
    <b v="1"/>
    <b v="1"/>
    <s v="Female"/>
    <x v="0"/>
    <x v="1"/>
    <n v="37.5"/>
    <x v="0"/>
    <n v="0.05"/>
    <n v="35.625"/>
    <x v="0"/>
    <s v="San Jose, CA"/>
    <n v="37.338200000000001"/>
    <n v="-121.88630000000001"/>
    <d v="2024-09-08T00:00:00"/>
    <n v="3"/>
    <x v="1"/>
    <d v="2025-07-06T00:00:00"/>
    <s v="10–19"/>
    <s v="16–19"/>
  </r>
  <r>
    <n v="36"/>
    <x v="3"/>
    <n v="2"/>
    <s v="Mon, Sun"/>
    <b v="0"/>
    <d v="1899-12-30T15:38:00"/>
    <d v="1899-12-30T17:36:00"/>
    <n v="118"/>
    <x v="0"/>
    <b v="1"/>
    <b v="0"/>
    <s v="Female"/>
    <x v="3"/>
    <x v="0"/>
    <n v="70"/>
    <x v="0"/>
    <n v="0.05"/>
    <n v="66.5"/>
    <x v="3"/>
    <s v="Los Angeles, CA"/>
    <n v="34.052199999999999"/>
    <n v="-118.2437"/>
    <d v="2023-01-26T00:00:00"/>
    <n v="7"/>
    <x v="1"/>
    <d v="2025-06-03T00:00:00"/>
    <s v="30–39"/>
    <s v="30–39"/>
  </r>
  <r>
    <n v="18"/>
    <x v="1"/>
    <n v="3"/>
    <s v="Mon, Sat, Sun"/>
    <b v="0"/>
    <d v="1899-12-30T11:06:00"/>
    <d v="1899-12-30T13:25:00"/>
    <n v="139"/>
    <x v="0"/>
    <b v="0"/>
    <b v="0"/>
    <s v="Female"/>
    <x v="1"/>
    <x v="0"/>
    <n v="30"/>
    <x v="1"/>
    <n v="0"/>
    <n v="30"/>
    <x v="1"/>
    <s v="Oakland, CA"/>
    <n v="37.804400000000001"/>
    <n v="-122.27119999999999"/>
    <d v="2024-01-09T00:00:00"/>
    <n v="0"/>
    <x v="0"/>
    <d v="2025-06-23T00:00:00"/>
    <s v="10–19"/>
    <s v="16–19"/>
  </r>
  <r>
    <n v="23"/>
    <x v="2"/>
    <n v="3"/>
    <s v="Fri, Sat, Thu"/>
    <b v="1"/>
    <d v="1899-12-30T13:06:00"/>
    <d v="1899-12-30T14:35:00"/>
    <n v="89"/>
    <x v="1"/>
    <b v="1"/>
    <b v="0"/>
    <s v="Male"/>
    <x v="2"/>
    <x v="1"/>
    <n v="15"/>
    <x v="2"/>
    <n v="0.1"/>
    <n v="13.5"/>
    <x v="2"/>
    <s v="San Francisco, CA"/>
    <n v="37.774900000000002"/>
    <n v="-122.4194"/>
    <d v="2025-04-01T00:00:00"/>
    <n v="7"/>
    <x v="1"/>
    <d v="2025-07-18T00:00:00"/>
    <s v="20–29"/>
    <s v="20–29"/>
  </r>
  <r>
    <n v="49"/>
    <x v="3"/>
    <n v="5"/>
    <s v="Sat, Sun, Thu, Tue, Wed"/>
    <b v="1"/>
    <d v="1899-12-30T08:15:00"/>
    <d v="1899-12-30T08:50:00"/>
    <n v="35"/>
    <x v="0"/>
    <b v="0"/>
    <b v="0"/>
    <s v="Male"/>
    <x v="3"/>
    <x v="0"/>
    <n v="70"/>
    <x v="1"/>
    <n v="0"/>
    <n v="70"/>
    <x v="3"/>
    <s v="Los Angeles, CA"/>
    <n v="34.052199999999999"/>
    <n v="-118.2437"/>
    <d v="2025-04-21T00:00:00"/>
    <n v="0"/>
    <x v="0"/>
    <d v="2025-07-19T00:00:00"/>
    <s v="40–49"/>
    <s v="40–49"/>
  </r>
  <r>
    <n v="34"/>
    <x v="1"/>
    <n v="2"/>
    <s v="Mon, Sat"/>
    <b v="0"/>
    <d v="1899-12-30T18:44:00"/>
    <d v="1899-12-30T19:47:00"/>
    <n v="63"/>
    <x v="1"/>
    <b v="0"/>
    <b v="1"/>
    <s v="Male"/>
    <x v="1"/>
    <x v="0"/>
    <n v="30"/>
    <x v="0"/>
    <n v="0.05"/>
    <n v="28.5"/>
    <x v="1"/>
    <s v="Long Beach, CA"/>
    <n v="33.770099999999999"/>
    <n v="-118.19370000000001"/>
    <d v="2024-07-02T00:00:00"/>
    <n v="0"/>
    <x v="1"/>
    <d v="2025-07-02T00:00:00"/>
    <s v="30–39"/>
    <s v="30–39"/>
  </r>
  <r>
    <n v="21"/>
    <x v="0"/>
    <n v="3"/>
    <s v="Fri, Sat, Tue"/>
    <b v="0"/>
    <d v="1899-12-30T09:22:00"/>
    <d v="1899-12-30T10:52:00"/>
    <n v="90"/>
    <x v="1"/>
    <b v="1"/>
    <b v="0"/>
    <s v="Male"/>
    <x v="0"/>
    <x v="0"/>
    <n v="50"/>
    <x v="1"/>
    <n v="0"/>
    <n v="50"/>
    <x v="0"/>
    <s v="Bakersfield, CA"/>
    <n v="35.3733"/>
    <n v="-119.0187"/>
    <d v="2023-03-10T00:00:00"/>
    <n v="7"/>
    <x v="0"/>
    <d v="2025-06-05T00:00:00"/>
    <s v="20–29"/>
    <s v="20–29"/>
  </r>
  <r>
    <n v="47"/>
    <x v="1"/>
    <n v="1"/>
    <s v="Sun"/>
    <b v="0"/>
    <d v="1899-12-30T16:23:00"/>
    <d v="1899-12-30T18:07:00"/>
    <n v="104"/>
    <x v="0"/>
    <b v="1"/>
    <b v="0"/>
    <s v="Prefer not to say"/>
    <x v="1"/>
    <x v="0"/>
    <n v="30"/>
    <x v="3"/>
    <n v="0.15"/>
    <n v="25.5"/>
    <x v="1"/>
    <s v="Sacramento, CA"/>
    <n v="38.581600000000002"/>
    <n v="-121.4944"/>
    <d v="2023-05-31T00:00:00"/>
    <n v="4"/>
    <x v="1"/>
    <d v="2025-06-10T00:00:00"/>
    <s v="40–49"/>
    <s v="40–49"/>
  </r>
  <r>
    <n v="47"/>
    <x v="0"/>
    <n v="2"/>
    <s v="Mon, Wed"/>
    <b v="1"/>
    <d v="1899-12-30T18:47:00"/>
    <d v="1899-12-30T21:35:00"/>
    <n v="168"/>
    <x v="1"/>
    <b v="0"/>
    <b v="0"/>
    <s v="Male"/>
    <x v="0"/>
    <x v="1"/>
    <n v="37.5"/>
    <x v="0"/>
    <n v="0.05"/>
    <n v="35.625"/>
    <x v="0"/>
    <s v="Sacramento, CA"/>
    <n v="38.581600000000002"/>
    <n v="-121.4944"/>
    <d v="2023-03-06T00:00:00"/>
    <n v="0"/>
    <x v="0"/>
    <d v="2025-06-05T00:00:00"/>
    <s v="40–49"/>
    <s v="40–49"/>
  </r>
  <r>
    <n v="36"/>
    <x v="1"/>
    <n v="3"/>
    <s v="Fri, Thu, Tue"/>
    <b v="1"/>
    <d v="1899-12-30T17:33:00"/>
    <d v="1899-12-30T19:16:00"/>
    <n v="103"/>
    <x v="0"/>
    <b v="0"/>
    <b v="1"/>
    <s v="Female"/>
    <x v="1"/>
    <x v="1"/>
    <n v="22.5"/>
    <x v="0"/>
    <n v="0.05"/>
    <n v="21.375"/>
    <x v="1"/>
    <s v="Bakersfield, CA"/>
    <n v="35.3733"/>
    <n v="-119.0187"/>
    <d v="2023-12-20T00:00:00"/>
    <n v="0"/>
    <x v="1"/>
    <d v="2025-06-21T00:00:00"/>
    <s v="30–39"/>
    <s v="30–39"/>
  </r>
  <r>
    <n v="35"/>
    <x v="2"/>
    <n v="2"/>
    <s v="Fri, Mon"/>
    <b v="1"/>
    <d v="1899-12-30T16:20:00"/>
    <d v="1899-12-30T17:21:00"/>
    <n v="61"/>
    <x v="1"/>
    <b v="1"/>
    <b v="0"/>
    <s v="Female"/>
    <x v="2"/>
    <x v="0"/>
    <n v="20"/>
    <x v="1"/>
    <n v="0"/>
    <n v="20"/>
    <x v="2"/>
    <s v="Long Beach, CA"/>
    <n v="33.770099999999999"/>
    <n v="-118.19370000000001"/>
    <d v="2024-03-11T00:00:00"/>
    <n v="7"/>
    <x v="0"/>
    <d v="2025-06-26T00:00:00"/>
    <s v="30–39"/>
    <s v="30–39"/>
  </r>
  <r>
    <n v="27"/>
    <x v="1"/>
    <n v="2"/>
    <s v="Fri, Thu"/>
    <b v="1"/>
    <d v="1899-12-30T16:29:00"/>
    <d v="1899-12-30T19:08:00"/>
    <n v="159"/>
    <x v="1"/>
    <b v="0"/>
    <b v="1"/>
    <s v="Male"/>
    <x v="1"/>
    <x v="0"/>
    <n v="30"/>
    <x v="1"/>
    <n v="0"/>
    <n v="30"/>
    <x v="1"/>
    <s v="Los Angeles, CA"/>
    <n v="34.052199999999999"/>
    <n v="-118.2437"/>
    <d v="2025-01-16T00:00:00"/>
    <n v="0"/>
    <x v="1"/>
    <d v="2025-07-14T00:00:00"/>
    <s v="20–29"/>
    <s v="20–29"/>
  </r>
  <r>
    <n v="44"/>
    <x v="3"/>
    <n v="5"/>
    <s v="Fri, Sun, Thu, Tue, Wed"/>
    <b v="1"/>
    <d v="1899-12-30T20:04:00"/>
    <d v="1899-12-30T22:29:00"/>
    <n v="145"/>
    <x v="0"/>
    <b v="1"/>
    <b v="1"/>
    <s v="Female"/>
    <x v="3"/>
    <x v="0"/>
    <n v="70"/>
    <x v="3"/>
    <n v="0.15"/>
    <n v="59.5"/>
    <x v="3"/>
    <s v="San Francisco, CA"/>
    <n v="37.774900000000002"/>
    <n v="-122.4194"/>
    <d v="2024-07-08T00:00:00"/>
    <n v="5"/>
    <x v="0"/>
    <d v="2025-07-03T00:00:00"/>
    <s v="40–49"/>
    <s v="40–49"/>
  </r>
  <r>
    <n v="41"/>
    <x v="3"/>
    <n v="1"/>
    <s v="Fri"/>
    <b v="1"/>
    <d v="1899-12-30T11:45:00"/>
    <d v="1899-12-30T12:38:00"/>
    <n v="53"/>
    <x v="1"/>
    <b v="1"/>
    <b v="0"/>
    <s v="Male"/>
    <x v="3"/>
    <x v="1"/>
    <n v="52.5"/>
    <x v="2"/>
    <n v="0.1"/>
    <n v="47.25"/>
    <x v="3"/>
    <s v="Bakersfield, CA"/>
    <n v="35.3733"/>
    <n v="-119.0187"/>
    <d v="2024-03-17T00:00:00"/>
    <n v="3"/>
    <x v="0"/>
    <d v="2025-06-26T00:00:00"/>
    <s v="40–49"/>
    <s v="40–49"/>
  </r>
  <r>
    <n v="19"/>
    <x v="0"/>
    <n v="1"/>
    <s v="Wed"/>
    <b v="1"/>
    <d v="1899-12-30T14:30:00"/>
    <d v="1899-12-30T17:29:00"/>
    <n v="179"/>
    <x v="0"/>
    <b v="1"/>
    <b v="1"/>
    <s v="Non-binary"/>
    <x v="0"/>
    <x v="1"/>
    <n v="37.5"/>
    <x v="2"/>
    <n v="0.1"/>
    <n v="33.75"/>
    <x v="0"/>
    <s v="San Jose, CA"/>
    <n v="37.338200000000001"/>
    <n v="-121.88630000000001"/>
    <d v="2025-03-20T00:00:00"/>
    <n v="8"/>
    <x v="0"/>
    <d v="2025-07-17T00:00:00"/>
    <s v="10–19"/>
    <s v="16–19"/>
  </r>
  <r>
    <n v="16"/>
    <x v="0"/>
    <n v="4"/>
    <s v="Mon, Sun, Thu, Tue"/>
    <b v="1"/>
    <d v="1899-12-30T16:21:00"/>
    <d v="1899-12-30T17:38:00"/>
    <n v="77"/>
    <x v="0"/>
    <b v="1"/>
    <b v="0"/>
    <s v="Female"/>
    <x v="0"/>
    <x v="0"/>
    <n v="50"/>
    <x v="2"/>
    <n v="0.1"/>
    <n v="45"/>
    <x v="0"/>
    <s v="San Diego, CA"/>
    <n v="32.715699999999998"/>
    <n v="-117.1611"/>
    <d v="2024-10-31T00:00:00"/>
    <n v="7"/>
    <x v="1"/>
    <d v="2025-07-09T00:00:00"/>
    <s v="10–19"/>
    <s v="16–19"/>
  </r>
  <r>
    <n v="36"/>
    <x v="1"/>
    <n v="5"/>
    <s v="Fri, Mon, Sat, Sun, Tue"/>
    <b v="0"/>
    <d v="1899-12-30T11:33:00"/>
    <d v="1899-12-30T12:40:00"/>
    <n v="67"/>
    <x v="1"/>
    <b v="0"/>
    <b v="1"/>
    <s v="Female"/>
    <x v="1"/>
    <x v="0"/>
    <n v="30"/>
    <x v="2"/>
    <n v="0.1"/>
    <n v="27"/>
    <x v="1"/>
    <s v="Anaheim, CA"/>
    <n v="33.836599999999997"/>
    <n v="-117.9143"/>
    <d v="2023-09-24T00:00:00"/>
    <n v="0"/>
    <x v="1"/>
    <d v="2025-06-17T00:00:00"/>
    <s v="30–39"/>
    <s v="30–39"/>
  </r>
  <r>
    <n v="12"/>
    <x v="1"/>
    <n v="3"/>
    <s v="Fri, Thu, Wed"/>
    <b v="1"/>
    <d v="1899-12-30T10:10:00"/>
    <d v="1899-12-30T12:50:00"/>
    <n v="160"/>
    <x v="1"/>
    <b v="0"/>
    <b v="1"/>
    <s v="Non-binary"/>
    <x v="1"/>
    <x v="0"/>
    <n v="30"/>
    <x v="1"/>
    <n v="0"/>
    <n v="30"/>
    <x v="1"/>
    <s v="Los Angeles, CA"/>
    <n v="34.052199999999999"/>
    <n v="-118.2437"/>
    <d v="2023-05-01T00:00:00"/>
    <n v="0"/>
    <x v="1"/>
    <d v="2025-06-08T00:00:00"/>
    <s v="10–19"/>
    <s v="Under 16"/>
  </r>
  <r>
    <n v="38"/>
    <x v="1"/>
    <n v="1"/>
    <s v="Tue"/>
    <b v="1"/>
    <d v="1899-12-30T12:52:00"/>
    <d v="1899-12-30T15:23:00"/>
    <n v="151"/>
    <x v="1"/>
    <b v="0"/>
    <b v="0"/>
    <s v="Male"/>
    <x v="1"/>
    <x v="1"/>
    <n v="22.5"/>
    <x v="0"/>
    <n v="0.05"/>
    <n v="21.375"/>
    <x v="1"/>
    <s v="San Diego, CA"/>
    <n v="32.715699999999998"/>
    <n v="-117.1611"/>
    <d v="2022-07-25T00:00:00"/>
    <n v="0"/>
    <x v="1"/>
    <d v="2025-05-24T00:00:00"/>
    <s v="30–39"/>
    <s v="30–39"/>
  </r>
  <r>
    <n v="20"/>
    <x v="0"/>
    <n v="1"/>
    <s v="Fri"/>
    <b v="0"/>
    <d v="1899-12-30T11:35:00"/>
    <d v="1899-12-30T13:30:00"/>
    <n v="115"/>
    <x v="0"/>
    <b v="0"/>
    <b v="1"/>
    <s v="Female"/>
    <x v="0"/>
    <x v="2"/>
    <n v="45"/>
    <x v="2"/>
    <n v="0.1"/>
    <n v="40.5"/>
    <x v="0"/>
    <s v="Fresno, CA"/>
    <n v="36.7378"/>
    <n v="-119.7871"/>
    <d v="2022-10-03T00:00:00"/>
    <n v="0"/>
    <x v="0"/>
    <d v="2025-05-28T00:00:00"/>
    <s v="20–29"/>
    <s v="20–29"/>
  </r>
  <r>
    <n v="14"/>
    <x v="0"/>
    <n v="3"/>
    <s v="Sat, Sun, Tue"/>
    <b v="0"/>
    <d v="1899-12-30T14:09:00"/>
    <d v="1899-12-30T16:34:00"/>
    <n v="145"/>
    <x v="0"/>
    <b v="1"/>
    <b v="0"/>
    <s v="Male"/>
    <x v="0"/>
    <x v="2"/>
    <n v="45"/>
    <x v="3"/>
    <n v="0.15"/>
    <n v="38.25"/>
    <x v="0"/>
    <s v="Bakersfield, CA"/>
    <n v="35.3733"/>
    <n v="-119.0187"/>
    <d v="2023-08-08T00:00:00"/>
    <n v="1"/>
    <x v="0"/>
    <d v="2025-06-14T00:00:00"/>
    <s v="10–19"/>
    <s v="Under 16"/>
  </r>
  <r>
    <n v="31"/>
    <x v="1"/>
    <n v="5"/>
    <s v="Fri, Sun, Thu, Tue, Wed"/>
    <b v="0"/>
    <d v="1899-12-30T19:28:00"/>
    <d v="1899-12-30T20:10:00"/>
    <n v="42"/>
    <x v="0"/>
    <b v="0"/>
    <b v="0"/>
    <s v="Female"/>
    <x v="1"/>
    <x v="0"/>
    <n v="30"/>
    <x v="2"/>
    <n v="0.1"/>
    <n v="27"/>
    <x v="1"/>
    <s v="Sacramento, CA"/>
    <n v="38.581600000000002"/>
    <n v="-121.4944"/>
    <d v="2024-03-31T00:00:00"/>
    <n v="0"/>
    <x v="1"/>
    <d v="2025-06-27T00:00:00"/>
    <s v="30–39"/>
    <s v="30–39"/>
  </r>
  <r>
    <n v="29"/>
    <x v="3"/>
    <n v="3"/>
    <s v="Sat, Tue, Wed"/>
    <b v="0"/>
    <d v="1899-12-30T10:28:00"/>
    <d v="1899-12-30T11:36:00"/>
    <n v="68"/>
    <x v="0"/>
    <b v="1"/>
    <b v="1"/>
    <s v="Male"/>
    <x v="3"/>
    <x v="0"/>
    <n v="70"/>
    <x v="1"/>
    <n v="0"/>
    <n v="70"/>
    <x v="3"/>
    <s v="San Francisco, CA"/>
    <n v="37.774900000000002"/>
    <n v="-122.4194"/>
    <d v="2023-08-15T00:00:00"/>
    <n v="8"/>
    <x v="0"/>
    <d v="2025-06-14T00:00:00"/>
    <s v="20–29"/>
    <s v="20–29"/>
  </r>
  <r>
    <n v="13"/>
    <x v="0"/>
    <n v="3"/>
    <s v="Mon, Thu, Wed"/>
    <b v="1"/>
    <d v="1899-12-30T15:31:00"/>
    <d v="1899-12-30T16:07:00"/>
    <n v="36"/>
    <x v="1"/>
    <b v="0"/>
    <b v="1"/>
    <s v="Male"/>
    <x v="0"/>
    <x v="0"/>
    <n v="50"/>
    <x v="2"/>
    <n v="0.1"/>
    <n v="45"/>
    <x v="0"/>
    <s v="Fresno, CA"/>
    <n v="36.7378"/>
    <n v="-119.7871"/>
    <d v="2023-03-09T00:00:00"/>
    <n v="0"/>
    <x v="0"/>
    <d v="2025-06-05T00:00:00"/>
    <s v="10–19"/>
    <s v="Under 16"/>
  </r>
  <r>
    <n v="26"/>
    <x v="1"/>
    <n v="5"/>
    <s v="Fri, Mon, Sat, Thu, Tue"/>
    <b v="0"/>
    <d v="1899-12-30T13:34:00"/>
    <d v="1899-12-30T15:19:00"/>
    <n v="105"/>
    <x v="1"/>
    <b v="0"/>
    <b v="1"/>
    <s v="Other (self-described)"/>
    <x v="1"/>
    <x v="0"/>
    <n v="30"/>
    <x v="1"/>
    <n v="0"/>
    <n v="30"/>
    <x v="1"/>
    <s v="San Jose, CA"/>
    <n v="37.338200000000001"/>
    <n v="-121.88630000000001"/>
    <d v="2025-02-16T00:00:00"/>
    <n v="0"/>
    <x v="1"/>
    <d v="2025-07-15T00:00:00"/>
    <s v="20–29"/>
    <s v="20–29"/>
  </r>
  <r>
    <n v="26"/>
    <x v="0"/>
    <n v="1"/>
    <s v="Sat"/>
    <b v="1"/>
    <d v="1899-12-30T12:44:00"/>
    <d v="1899-12-30T13:40:00"/>
    <n v="56"/>
    <x v="0"/>
    <b v="0"/>
    <b v="0"/>
    <s v="Female"/>
    <x v="0"/>
    <x v="0"/>
    <n v="50"/>
    <x v="2"/>
    <n v="0.1"/>
    <n v="45"/>
    <x v="0"/>
    <s v="Anaheim, CA"/>
    <n v="33.836599999999997"/>
    <n v="-117.9143"/>
    <d v="2024-04-12T00:00:00"/>
    <n v="0"/>
    <x v="0"/>
    <d v="2025-06-28T00:00:00"/>
    <s v="20–29"/>
    <s v="20–29"/>
  </r>
  <r>
    <n v="18"/>
    <x v="1"/>
    <n v="4"/>
    <s v="Mon, Sun, Thu, Tue"/>
    <b v="1"/>
    <d v="1899-12-30T19:42:00"/>
    <d v="1899-12-30T20:57:00"/>
    <n v="75"/>
    <x v="0"/>
    <b v="0"/>
    <b v="0"/>
    <s v="Non-binary"/>
    <x v="1"/>
    <x v="0"/>
    <n v="30"/>
    <x v="1"/>
    <n v="0"/>
    <n v="30"/>
    <x v="1"/>
    <s v="San Francisco, CA"/>
    <n v="37.774900000000002"/>
    <n v="-122.4194"/>
    <d v="2023-01-10T00:00:00"/>
    <n v="0"/>
    <x v="1"/>
    <d v="2025-06-02T00:00:00"/>
    <s v="10–19"/>
    <s v="16–19"/>
  </r>
  <r>
    <n v="39"/>
    <x v="1"/>
    <n v="4"/>
    <s v="Sun, Thu, Tue, Wed"/>
    <b v="1"/>
    <d v="1899-12-30T13:35:00"/>
    <d v="1899-12-30T14:37:00"/>
    <n v="62"/>
    <x v="1"/>
    <b v="1"/>
    <b v="1"/>
    <s v="Male"/>
    <x v="1"/>
    <x v="0"/>
    <n v="30"/>
    <x v="2"/>
    <n v="0.1"/>
    <n v="27"/>
    <x v="1"/>
    <s v="Oakland, CA"/>
    <n v="37.804400000000001"/>
    <n v="-122.27119999999999"/>
    <d v="2024-05-10T00:00:00"/>
    <n v="4"/>
    <x v="0"/>
    <d v="2025-06-29T00:00:00"/>
    <s v="30–39"/>
    <s v="30–39"/>
  </r>
  <r>
    <n v="49"/>
    <x v="0"/>
    <n v="1"/>
    <s v="Tue"/>
    <b v="1"/>
    <d v="1899-12-30T16:18:00"/>
    <d v="1899-12-30T17:35:00"/>
    <n v="77"/>
    <x v="1"/>
    <b v="0"/>
    <b v="0"/>
    <s v="Male"/>
    <x v="0"/>
    <x v="0"/>
    <n v="50"/>
    <x v="1"/>
    <n v="0"/>
    <n v="50"/>
    <x v="0"/>
    <s v="San Jose, CA"/>
    <n v="37.338200000000001"/>
    <n v="-121.88630000000001"/>
    <d v="2023-10-22T00:00:00"/>
    <n v="0"/>
    <x v="0"/>
    <d v="2025-06-18T00:00:00"/>
    <s v="40–49"/>
    <s v="40–49"/>
  </r>
  <r>
    <n v="25"/>
    <x v="0"/>
    <n v="1"/>
    <s v="Tue"/>
    <b v="0"/>
    <d v="1899-12-30T08:37:00"/>
    <d v="1899-12-30T10:52:00"/>
    <n v="135"/>
    <x v="1"/>
    <b v="1"/>
    <b v="0"/>
    <s v="Male"/>
    <x v="0"/>
    <x v="0"/>
    <n v="50"/>
    <x v="1"/>
    <n v="0"/>
    <n v="50"/>
    <x v="0"/>
    <s v="Long Beach, CA"/>
    <n v="33.770099999999999"/>
    <n v="-118.19370000000001"/>
    <d v="2023-10-06T00:00:00"/>
    <n v="5"/>
    <x v="0"/>
    <d v="2025-06-17T00:00:00"/>
    <s v="20–29"/>
    <s v="20–29"/>
  </r>
  <r>
    <n v="29"/>
    <x v="0"/>
    <n v="2"/>
    <s v="Fri, Tue"/>
    <b v="0"/>
    <d v="1899-12-30T20:52:00"/>
    <d v="1899-12-30T22:40:00"/>
    <n v="108"/>
    <x v="0"/>
    <b v="1"/>
    <b v="0"/>
    <s v="Non-binary"/>
    <x v="0"/>
    <x v="0"/>
    <n v="50"/>
    <x v="0"/>
    <n v="0.05"/>
    <n v="47.5"/>
    <x v="0"/>
    <s v="San Francisco, CA"/>
    <n v="37.774900000000002"/>
    <n v="-122.4194"/>
    <d v="2024-12-08T00:00:00"/>
    <n v="1"/>
    <x v="0"/>
    <d v="2025-07-11T00:00:00"/>
    <s v="20–29"/>
    <s v="20–29"/>
  </r>
  <r>
    <n v="28"/>
    <x v="0"/>
    <n v="2"/>
    <s v="Sat, Wed"/>
    <b v="1"/>
    <d v="1899-12-30T20:58:00"/>
    <d v="1899-12-30T22:20:00"/>
    <n v="82"/>
    <x v="0"/>
    <b v="0"/>
    <b v="1"/>
    <s v="Non-binary"/>
    <x v="0"/>
    <x v="0"/>
    <n v="50"/>
    <x v="2"/>
    <n v="0.1"/>
    <n v="45"/>
    <x v="0"/>
    <s v="Anaheim, CA"/>
    <n v="33.836599999999997"/>
    <n v="-117.9143"/>
    <d v="2024-06-02T00:00:00"/>
    <n v="0"/>
    <x v="0"/>
    <d v="2025-07-01T00:00:00"/>
    <s v="20–29"/>
    <s v="20–29"/>
  </r>
  <r>
    <n v="29"/>
    <x v="0"/>
    <n v="3"/>
    <s v="Fri, Sat, Thu"/>
    <b v="1"/>
    <d v="1899-12-30T13:02:00"/>
    <d v="1899-12-30T14:08:00"/>
    <n v="66"/>
    <x v="0"/>
    <b v="0"/>
    <b v="1"/>
    <s v="Non-binary"/>
    <x v="0"/>
    <x v="1"/>
    <n v="37.5"/>
    <x v="2"/>
    <n v="0.1"/>
    <n v="33.75"/>
    <x v="0"/>
    <s v="Fresno, CA"/>
    <n v="36.7378"/>
    <n v="-119.7871"/>
    <d v="2024-07-01T00:00:00"/>
    <n v="0"/>
    <x v="0"/>
    <d v="2025-07-02T00:00:00"/>
    <s v="20–29"/>
    <s v="20–29"/>
  </r>
  <r>
    <n v="23"/>
    <x v="1"/>
    <n v="2"/>
    <s v="Mon, Wed"/>
    <b v="1"/>
    <d v="1899-12-30T18:01:00"/>
    <d v="1899-12-30T19:30:00"/>
    <n v="89"/>
    <x v="0"/>
    <b v="1"/>
    <b v="1"/>
    <s v="Non-binary"/>
    <x v="1"/>
    <x v="0"/>
    <n v="30"/>
    <x v="1"/>
    <n v="0"/>
    <n v="30"/>
    <x v="1"/>
    <s v="Oakland, CA"/>
    <n v="37.804400000000001"/>
    <n v="-122.27119999999999"/>
    <d v="2025-05-26T00:00:00"/>
    <n v="1"/>
    <x v="0"/>
    <d v="2025-07-21T00:00:00"/>
    <s v="20–29"/>
    <s v="20–29"/>
  </r>
  <r>
    <n v="42"/>
    <x v="2"/>
    <n v="3"/>
    <s v="Sun, Thu, Wed"/>
    <b v="1"/>
    <d v="1899-12-30T18:55:00"/>
    <d v="1899-12-30T21:00:00"/>
    <n v="125"/>
    <x v="0"/>
    <b v="0"/>
    <b v="0"/>
    <s v="Female"/>
    <x v="2"/>
    <x v="0"/>
    <n v="20"/>
    <x v="0"/>
    <n v="0.05"/>
    <n v="19"/>
    <x v="2"/>
    <s v="Anaheim, CA"/>
    <n v="33.836599999999997"/>
    <n v="-117.9143"/>
    <d v="2025-05-28T00:00:00"/>
    <n v="0"/>
    <x v="1"/>
    <d v="2025-07-21T00:00:00"/>
    <s v="40–49"/>
    <s v="40–49"/>
  </r>
  <r>
    <n v="14"/>
    <x v="0"/>
    <n v="3"/>
    <s v="Fri, Tue, Wed"/>
    <b v="0"/>
    <d v="1899-12-30T20:52:00"/>
    <d v="1899-12-30T22:02:00"/>
    <n v="70"/>
    <x v="1"/>
    <b v="1"/>
    <b v="1"/>
    <s v="Female"/>
    <x v="0"/>
    <x v="0"/>
    <n v="50"/>
    <x v="3"/>
    <n v="0.15"/>
    <n v="42.5"/>
    <x v="0"/>
    <s v="Fresno, CA"/>
    <n v="36.7378"/>
    <n v="-119.7871"/>
    <d v="2023-01-19T00:00:00"/>
    <n v="1"/>
    <x v="0"/>
    <d v="2025-06-03T00:00:00"/>
    <s v="10–19"/>
    <s v="Under 16"/>
  </r>
  <r>
    <n v="20"/>
    <x v="0"/>
    <n v="3"/>
    <s v="Fri, Thu, Tue"/>
    <b v="0"/>
    <d v="1899-12-30T15:37:00"/>
    <d v="1899-12-30T18:07:00"/>
    <n v="150"/>
    <x v="0"/>
    <b v="1"/>
    <b v="0"/>
    <s v="Female"/>
    <x v="0"/>
    <x v="0"/>
    <n v="50"/>
    <x v="2"/>
    <n v="0.1"/>
    <n v="45"/>
    <x v="0"/>
    <s v="Sacramento, CA"/>
    <n v="38.581600000000002"/>
    <n v="-121.4944"/>
    <d v="2024-09-05T00:00:00"/>
    <n v="1"/>
    <x v="0"/>
    <d v="2025-07-06T00:00:00"/>
    <s v="20–29"/>
    <s v="20–29"/>
  </r>
  <r>
    <n v="47"/>
    <x v="0"/>
    <n v="1"/>
    <s v="Mon"/>
    <b v="0"/>
    <d v="1899-12-30T19:32:00"/>
    <d v="1899-12-30T20:22:00"/>
    <n v="50"/>
    <x v="1"/>
    <b v="0"/>
    <b v="0"/>
    <s v="Male"/>
    <x v="0"/>
    <x v="0"/>
    <n v="50"/>
    <x v="1"/>
    <n v="0"/>
    <n v="50"/>
    <x v="0"/>
    <s v="San Francisco, CA"/>
    <n v="37.774900000000002"/>
    <n v="-122.4194"/>
    <d v="2023-12-19T00:00:00"/>
    <n v="0"/>
    <x v="0"/>
    <d v="2025-06-21T00:00:00"/>
    <s v="40–49"/>
    <s v="40–49"/>
  </r>
  <r>
    <n v="42"/>
    <x v="1"/>
    <n v="5"/>
    <s v="Mon, Sat, Sun, Thu, Wed"/>
    <b v="1"/>
    <d v="1899-12-30T12:05:00"/>
    <d v="1899-12-30T14:14:00"/>
    <n v="129"/>
    <x v="1"/>
    <b v="1"/>
    <b v="0"/>
    <s v="Female"/>
    <x v="1"/>
    <x v="0"/>
    <n v="30"/>
    <x v="1"/>
    <n v="0"/>
    <n v="30"/>
    <x v="1"/>
    <s v="San Francisco, CA"/>
    <n v="37.774900000000002"/>
    <n v="-122.4194"/>
    <d v="2024-08-08T00:00:00"/>
    <n v="8"/>
    <x v="1"/>
    <d v="2025-07-05T00:00:00"/>
    <s v="40–49"/>
    <s v="40–49"/>
  </r>
  <r>
    <n v="33"/>
    <x v="2"/>
    <n v="4"/>
    <s v="Fri, Mon, Sun, Thu"/>
    <b v="0"/>
    <d v="1899-12-30T10:24:00"/>
    <d v="1899-12-30T11:48:00"/>
    <n v="84"/>
    <x v="1"/>
    <b v="0"/>
    <b v="0"/>
    <s v="Male"/>
    <x v="2"/>
    <x v="0"/>
    <n v="20"/>
    <x v="2"/>
    <n v="0.1"/>
    <n v="18"/>
    <x v="2"/>
    <s v="San Diego, CA"/>
    <n v="32.715699999999998"/>
    <n v="-117.1611"/>
    <d v="2022-09-25T00:00:00"/>
    <n v="0"/>
    <x v="1"/>
    <d v="2025-05-27T00:00:00"/>
    <s v="30–39"/>
    <s v="30–39"/>
  </r>
  <r>
    <n v="48"/>
    <x v="0"/>
    <n v="4"/>
    <s v="Mon, Sun, Thu, Tue"/>
    <b v="1"/>
    <d v="1899-12-30T16:04:00"/>
    <d v="1899-12-30T18:33:00"/>
    <n v="149"/>
    <x v="0"/>
    <b v="1"/>
    <b v="0"/>
    <s v="Other (self-described)"/>
    <x v="0"/>
    <x v="1"/>
    <n v="37.5"/>
    <x v="3"/>
    <n v="0.15"/>
    <n v="31.875"/>
    <x v="0"/>
    <s v="Long Beach, CA"/>
    <n v="33.770099999999999"/>
    <n v="-118.19370000000001"/>
    <d v="2024-09-19T00:00:00"/>
    <n v="8"/>
    <x v="0"/>
    <d v="2025-07-07T00:00:00"/>
    <s v="40–49"/>
    <s v="40–49"/>
  </r>
  <r>
    <n v="47"/>
    <x v="0"/>
    <n v="2"/>
    <s v="Sun, Thu"/>
    <b v="0"/>
    <d v="1899-12-30T16:55:00"/>
    <d v="1899-12-30T19:13:00"/>
    <n v="138"/>
    <x v="1"/>
    <b v="0"/>
    <b v="1"/>
    <s v="Female"/>
    <x v="0"/>
    <x v="0"/>
    <n v="50"/>
    <x v="1"/>
    <n v="0"/>
    <n v="50"/>
    <x v="0"/>
    <s v="Long Beach, CA"/>
    <n v="33.770099999999999"/>
    <n v="-118.19370000000001"/>
    <d v="2024-03-22T00:00:00"/>
    <n v="0"/>
    <x v="0"/>
    <d v="2025-06-27T00:00:00"/>
    <s v="40–49"/>
    <s v="40–49"/>
  </r>
  <r>
    <n v="40"/>
    <x v="1"/>
    <n v="3"/>
    <s v="Fri, Sun, Thu"/>
    <b v="1"/>
    <d v="1899-12-30T17:05:00"/>
    <d v="1899-12-30T19:39:00"/>
    <n v="154"/>
    <x v="0"/>
    <b v="1"/>
    <b v="0"/>
    <s v="Male"/>
    <x v="1"/>
    <x v="0"/>
    <n v="30"/>
    <x v="1"/>
    <n v="0"/>
    <n v="30"/>
    <x v="1"/>
    <s v="Fresno, CA"/>
    <n v="36.7378"/>
    <n v="-119.7871"/>
    <d v="2022-12-06T00:00:00"/>
    <n v="3"/>
    <x v="1"/>
    <d v="2025-05-31T00:00:00"/>
    <s v="40–49"/>
    <s v="40–49"/>
  </r>
  <r>
    <n v="29"/>
    <x v="3"/>
    <n v="3"/>
    <s v="Sat, Tue, Wed"/>
    <b v="0"/>
    <d v="1899-12-30T10:28:00"/>
    <d v="1899-12-30T11:36:00"/>
    <n v="68"/>
    <x v="0"/>
    <b v="1"/>
    <b v="1"/>
    <s v="Male"/>
    <x v="3"/>
    <x v="0"/>
    <n v="70"/>
    <x v="1"/>
    <n v="0"/>
    <n v="70"/>
    <x v="3"/>
    <s v="San Francisco, CA"/>
    <n v="37.774900000000002"/>
    <n v="-122.4194"/>
    <d v="2023-01-08T00:00:00"/>
    <n v="7"/>
    <x v="0"/>
    <d v="2025-06-02T00:00:00"/>
    <s v="20–29"/>
    <s v="20–29"/>
  </r>
  <r>
    <n v="28"/>
    <x v="1"/>
    <n v="5"/>
    <s v="Fri, Mon, Sat, Tue, Wed"/>
    <b v="0"/>
    <d v="1899-12-30T14:53:00"/>
    <d v="1899-12-30T16:53:00"/>
    <n v="120"/>
    <x v="1"/>
    <b v="0"/>
    <b v="0"/>
    <s v="Female"/>
    <x v="1"/>
    <x v="0"/>
    <n v="30"/>
    <x v="1"/>
    <n v="0"/>
    <n v="30"/>
    <x v="1"/>
    <s v="Anaheim, CA"/>
    <n v="33.836599999999997"/>
    <n v="-117.9143"/>
    <d v="2024-12-06T00:00:00"/>
    <n v="0"/>
    <x v="0"/>
    <d v="2025-07-11T00:00:00"/>
    <s v="20–29"/>
    <s v="20–29"/>
  </r>
  <r>
    <n v="18"/>
    <x v="0"/>
    <n v="3"/>
    <s v="Fri, Mon, Thu"/>
    <b v="1"/>
    <d v="1899-12-30T11:41:00"/>
    <d v="1899-12-30T13:08:00"/>
    <n v="87"/>
    <x v="0"/>
    <b v="0"/>
    <b v="0"/>
    <s v="Male"/>
    <x v="0"/>
    <x v="1"/>
    <n v="37.5"/>
    <x v="3"/>
    <n v="0.15"/>
    <n v="31.875"/>
    <x v="0"/>
    <s v="Oakland, CA"/>
    <n v="37.804400000000001"/>
    <n v="-122.27119999999999"/>
    <d v="2023-02-19T00:00:00"/>
    <n v="0"/>
    <x v="0"/>
    <d v="2025-06-04T00:00:00"/>
    <s v="10–19"/>
    <s v="16–19"/>
  </r>
  <r>
    <n v="16"/>
    <x v="0"/>
    <n v="3"/>
    <s v="Sun, Thu, Wed"/>
    <b v="1"/>
    <d v="1899-12-30T12:45:00"/>
    <d v="1899-12-30T14:42:00"/>
    <n v="117"/>
    <x v="1"/>
    <b v="1"/>
    <b v="0"/>
    <s v="Non-binary"/>
    <x v="0"/>
    <x v="0"/>
    <n v="50"/>
    <x v="1"/>
    <n v="0"/>
    <n v="50"/>
    <x v="0"/>
    <s v="Oakland, CA"/>
    <n v="37.804400000000001"/>
    <n v="-122.27119999999999"/>
    <d v="2024-02-21T00:00:00"/>
    <n v="6"/>
    <x v="0"/>
    <d v="2025-06-25T00:00:00"/>
    <s v="10–19"/>
    <s v="16–19"/>
  </r>
  <r>
    <n v="12"/>
    <x v="2"/>
    <n v="5"/>
    <s v="Mon, Sat, Sun, Thu, Wed"/>
    <b v="1"/>
    <d v="1899-12-30T09:36:00"/>
    <d v="1899-12-30T12:09:00"/>
    <n v="153"/>
    <x v="1"/>
    <b v="1"/>
    <b v="1"/>
    <s v="Male"/>
    <x v="2"/>
    <x v="0"/>
    <n v="20"/>
    <x v="3"/>
    <n v="0.15"/>
    <n v="17"/>
    <x v="2"/>
    <s v="Sacramento, CA"/>
    <n v="38.581600000000002"/>
    <n v="-121.4944"/>
    <d v="2024-01-25T00:00:00"/>
    <n v="3"/>
    <x v="1"/>
    <d v="2025-06-24T00:00:00"/>
    <s v="10–19"/>
    <s v="Under 16"/>
  </r>
  <r>
    <n v="42"/>
    <x v="2"/>
    <n v="3"/>
    <s v="Mon, Sat, Thu"/>
    <b v="0"/>
    <d v="1899-12-30T16:20:00"/>
    <d v="1899-12-30T17:20:00"/>
    <n v="60"/>
    <x v="1"/>
    <b v="1"/>
    <b v="0"/>
    <s v="Male"/>
    <x v="2"/>
    <x v="0"/>
    <n v="20"/>
    <x v="0"/>
    <n v="0.05"/>
    <n v="19"/>
    <x v="2"/>
    <s v="San Jose, CA"/>
    <n v="37.338200000000001"/>
    <n v="-121.88630000000001"/>
    <d v="2025-01-31T00:00:00"/>
    <n v="3"/>
    <x v="1"/>
    <d v="2025-07-14T00:00:00"/>
    <s v="40–49"/>
    <s v="40–49"/>
  </r>
  <r>
    <n v="32"/>
    <x v="2"/>
    <n v="3"/>
    <s v="Fri, Sun, Wed"/>
    <b v="1"/>
    <d v="1899-12-30T14:52:00"/>
    <d v="1899-12-30T17:32:00"/>
    <n v="160"/>
    <x v="0"/>
    <b v="0"/>
    <b v="0"/>
    <s v="Male"/>
    <x v="2"/>
    <x v="0"/>
    <n v="20"/>
    <x v="0"/>
    <n v="0.05"/>
    <n v="19"/>
    <x v="2"/>
    <s v="Sacramento, CA"/>
    <n v="38.581600000000002"/>
    <n v="-121.4944"/>
    <d v="2025-03-29T00:00:00"/>
    <n v="0"/>
    <x v="0"/>
    <d v="2025-07-18T00:00:00"/>
    <s v="30–39"/>
    <s v="30–39"/>
  </r>
  <r>
    <n v="47"/>
    <x v="0"/>
    <n v="2"/>
    <s v="Fri, Mon"/>
    <b v="1"/>
    <d v="1899-12-30T12:42:00"/>
    <d v="1899-12-30T13:37:00"/>
    <n v="55"/>
    <x v="1"/>
    <b v="1"/>
    <b v="1"/>
    <s v="Male"/>
    <x v="0"/>
    <x v="0"/>
    <n v="50"/>
    <x v="0"/>
    <n v="0.05"/>
    <n v="47.5"/>
    <x v="0"/>
    <s v="San Diego, CA"/>
    <n v="32.715699999999998"/>
    <n v="-117.1611"/>
    <d v="2023-05-09T00:00:00"/>
    <n v="5"/>
    <x v="0"/>
    <d v="2025-06-09T00:00:00"/>
    <s v="40–49"/>
    <s v="40–49"/>
  </r>
  <r>
    <n v="36"/>
    <x v="1"/>
    <n v="4"/>
    <s v="Fri, Mon, Thu, Wed"/>
    <b v="0"/>
    <d v="1899-12-30T14:02:00"/>
    <d v="1899-12-30T16:28:00"/>
    <n v="146"/>
    <x v="0"/>
    <b v="0"/>
    <b v="1"/>
    <s v="Female"/>
    <x v="1"/>
    <x v="1"/>
    <n v="22.5"/>
    <x v="0"/>
    <n v="0.05"/>
    <n v="21.375"/>
    <x v="1"/>
    <s v="San Jose, CA"/>
    <n v="37.338200000000001"/>
    <n v="-121.88630000000001"/>
    <d v="2024-01-11T00:00:00"/>
    <n v="0"/>
    <x v="1"/>
    <d v="2025-06-23T00:00:00"/>
    <s v="30–39"/>
    <s v="30–39"/>
  </r>
  <r>
    <n v="43"/>
    <x v="2"/>
    <n v="2"/>
    <s v="Fri, Wed"/>
    <b v="0"/>
    <d v="1899-12-30T13:10:00"/>
    <d v="1899-12-30T14:25:00"/>
    <n v="75"/>
    <x v="0"/>
    <b v="1"/>
    <b v="1"/>
    <s v="Female"/>
    <x v="2"/>
    <x v="0"/>
    <n v="20"/>
    <x v="3"/>
    <n v="0.15"/>
    <n v="17"/>
    <x v="2"/>
    <s v="Long Beach, CA"/>
    <n v="33.770099999999999"/>
    <n v="-118.19370000000001"/>
    <d v="2024-03-14T00:00:00"/>
    <n v="5"/>
    <x v="0"/>
    <d v="2025-06-26T00:00:00"/>
    <s v="40–49"/>
    <s v="40–49"/>
  </r>
  <r>
    <n v="36"/>
    <x v="1"/>
    <n v="2"/>
    <s v="Fri, Tue"/>
    <b v="1"/>
    <d v="1899-12-30T11:28:00"/>
    <d v="1899-12-30T14:14:00"/>
    <n v="166"/>
    <x v="0"/>
    <b v="0"/>
    <b v="1"/>
    <s v="Female"/>
    <x v="1"/>
    <x v="1"/>
    <n v="22.5"/>
    <x v="0"/>
    <n v="0.05"/>
    <n v="21.375"/>
    <x v="1"/>
    <s v="Long Beach, CA"/>
    <n v="33.770099999999999"/>
    <n v="-118.19370000000001"/>
    <d v="2023-05-08T00:00:00"/>
    <n v="0"/>
    <x v="1"/>
    <d v="2025-06-09T00:00:00"/>
    <s v="30–39"/>
    <s v="30–39"/>
  </r>
  <r>
    <n v="42"/>
    <x v="1"/>
    <n v="3"/>
    <s v="Fri, Sat, Thu"/>
    <b v="0"/>
    <d v="1899-12-30T09:57:00"/>
    <d v="1899-12-30T12:50:00"/>
    <n v="173"/>
    <x v="1"/>
    <b v="1"/>
    <b v="0"/>
    <s v="Female"/>
    <x v="1"/>
    <x v="1"/>
    <n v="22.5"/>
    <x v="3"/>
    <n v="0.15"/>
    <n v="19.125"/>
    <x v="1"/>
    <s v="Long Beach, CA"/>
    <n v="33.770099999999999"/>
    <n v="-118.19370000000001"/>
    <d v="2023-03-30T00:00:00"/>
    <n v="7"/>
    <x v="0"/>
    <d v="2025-06-07T00:00:00"/>
    <s v="40–49"/>
    <s v="40–49"/>
  </r>
  <r>
    <n v="13"/>
    <x v="3"/>
    <n v="2"/>
    <s v="Mon, Tue"/>
    <b v="1"/>
    <d v="1899-12-30T20:56:00"/>
    <d v="1899-12-30T23:36:00"/>
    <n v="160"/>
    <x v="1"/>
    <b v="1"/>
    <b v="0"/>
    <s v="Male"/>
    <x v="3"/>
    <x v="2"/>
    <n v="63"/>
    <x v="3"/>
    <n v="0.15"/>
    <n v="53.55"/>
    <x v="3"/>
    <s v="Sacramento, CA"/>
    <n v="38.581600000000002"/>
    <n v="-121.4944"/>
    <d v="2025-01-04T00:00:00"/>
    <n v="6"/>
    <x v="0"/>
    <d v="2025-07-13T00:00:00"/>
    <s v="10–19"/>
    <s v="Under 16"/>
  </r>
  <r>
    <n v="16"/>
    <x v="0"/>
    <n v="3"/>
    <s v="Fri, Sun, Wed"/>
    <b v="0"/>
    <d v="1899-12-30T17:21:00"/>
    <d v="1899-12-30T18:46:00"/>
    <n v="85"/>
    <x v="0"/>
    <b v="1"/>
    <b v="0"/>
    <s v="Female"/>
    <x v="0"/>
    <x v="1"/>
    <n v="37.5"/>
    <x v="2"/>
    <n v="0.1"/>
    <n v="33.75"/>
    <x v="0"/>
    <s v="Anaheim, CA"/>
    <n v="33.836599999999997"/>
    <n v="-117.9143"/>
    <d v="2023-09-12T00:00:00"/>
    <n v="5"/>
    <x v="1"/>
    <d v="2025-06-16T00:00:00"/>
    <s v="10–19"/>
    <s v="16–19"/>
  </r>
  <r>
    <n v="19"/>
    <x v="0"/>
    <n v="3"/>
    <s v="Sun, Thu, Wed"/>
    <b v="0"/>
    <d v="1899-12-30T18:07:00"/>
    <d v="1899-12-30T20:51:00"/>
    <n v="164"/>
    <x v="0"/>
    <b v="1"/>
    <b v="1"/>
    <s v="Prefer not to say"/>
    <x v="0"/>
    <x v="2"/>
    <n v="45"/>
    <x v="1"/>
    <n v="0"/>
    <n v="45"/>
    <x v="0"/>
    <s v="Fresno, CA"/>
    <n v="36.7378"/>
    <n v="-119.7871"/>
    <d v="2025-01-29T00:00:00"/>
    <n v="7"/>
    <x v="0"/>
    <d v="2025-07-14T00:00:00"/>
    <s v="10–19"/>
    <s v="16–19"/>
  </r>
  <r>
    <n v="19"/>
    <x v="0"/>
    <n v="2"/>
    <s v="Mon, Tue"/>
    <b v="1"/>
    <d v="1899-12-30T14:01:00"/>
    <d v="1899-12-30T15:56:00"/>
    <n v="115"/>
    <x v="0"/>
    <b v="0"/>
    <b v="0"/>
    <s v="Female"/>
    <x v="0"/>
    <x v="0"/>
    <n v="50"/>
    <x v="1"/>
    <n v="0"/>
    <n v="50"/>
    <x v="0"/>
    <s v="Los Angeles, CA"/>
    <n v="34.052199999999999"/>
    <n v="-118.2437"/>
    <d v="2023-04-14T00:00:00"/>
    <n v="0"/>
    <x v="0"/>
    <d v="2025-06-07T00:00:00"/>
    <s v="10–19"/>
    <s v="16–19"/>
  </r>
  <r>
    <n v="12"/>
    <x v="0"/>
    <n v="2"/>
    <s v="Sun, Thu"/>
    <b v="1"/>
    <d v="1899-12-30T10:42:00"/>
    <d v="1899-12-30T12:12:00"/>
    <n v="90"/>
    <x v="0"/>
    <b v="0"/>
    <b v="0"/>
    <s v="Prefer not to say"/>
    <x v="0"/>
    <x v="1"/>
    <n v="37.5"/>
    <x v="2"/>
    <n v="0.1"/>
    <n v="33.75"/>
    <x v="0"/>
    <s v="San Diego, CA"/>
    <n v="32.715699999999998"/>
    <n v="-117.1611"/>
    <d v="2023-07-24T00:00:00"/>
    <n v="0"/>
    <x v="0"/>
    <d v="2025-06-13T00:00:00"/>
    <s v="10–19"/>
    <s v="Under 16"/>
  </r>
  <r>
    <n v="16"/>
    <x v="1"/>
    <n v="2"/>
    <s v="Fri, Thu"/>
    <b v="0"/>
    <d v="1899-12-30T11:43:00"/>
    <d v="1899-12-30T12:52:00"/>
    <n v="69"/>
    <x v="0"/>
    <b v="0"/>
    <b v="1"/>
    <s v="Female"/>
    <x v="1"/>
    <x v="0"/>
    <n v="30"/>
    <x v="3"/>
    <n v="0.15"/>
    <n v="25.5"/>
    <x v="1"/>
    <s v="Bakersfield, CA"/>
    <n v="35.3733"/>
    <n v="-119.0187"/>
    <d v="2022-09-08T00:00:00"/>
    <n v="0"/>
    <x v="1"/>
    <d v="2025-05-26T00:00:00"/>
    <s v="10–19"/>
    <s v="16–19"/>
  </r>
  <r>
    <n v="24"/>
    <x v="3"/>
    <n v="4"/>
    <s v="Fri, Sat, Sun, Tue"/>
    <b v="0"/>
    <d v="1899-12-30T15:28:00"/>
    <d v="1899-12-30T16:34:00"/>
    <n v="66"/>
    <x v="0"/>
    <b v="1"/>
    <b v="0"/>
    <s v="Male"/>
    <x v="3"/>
    <x v="0"/>
    <n v="70"/>
    <x v="2"/>
    <n v="0.1"/>
    <n v="63"/>
    <x v="3"/>
    <s v="Fresno, CA"/>
    <n v="36.7378"/>
    <n v="-119.7871"/>
    <d v="2025-04-10T00:00:00"/>
    <n v="7"/>
    <x v="0"/>
    <d v="2025-07-18T00:00:00"/>
    <s v="20–29"/>
    <s v="20–29"/>
  </r>
  <r>
    <n v="20"/>
    <x v="2"/>
    <n v="3"/>
    <s v="Mon, Sat, Tue"/>
    <b v="1"/>
    <d v="1899-12-30T08:53:00"/>
    <d v="1899-12-30T11:11:00"/>
    <n v="138"/>
    <x v="0"/>
    <b v="1"/>
    <b v="1"/>
    <s v="Male"/>
    <x v="2"/>
    <x v="0"/>
    <n v="20"/>
    <x v="0"/>
    <n v="0.05"/>
    <n v="19"/>
    <x v="2"/>
    <s v="Fresno, CA"/>
    <n v="36.7378"/>
    <n v="-119.7871"/>
    <d v="2025-04-23T00:00:00"/>
    <n v="8"/>
    <x v="1"/>
    <d v="2025-07-19T00:00:00"/>
    <s v="20–29"/>
    <s v="20–29"/>
  </r>
  <r>
    <n v="19"/>
    <x v="1"/>
    <n v="4"/>
    <s v="Fri, Mon, Tue, Wed"/>
    <b v="0"/>
    <d v="1899-12-30T19:07:00"/>
    <d v="1899-12-30T20:06:00"/>
    <n v="59"/>
    <x v="1"/>
    <b v="1"/>
    <b v="0"/>
    <s v="Male"/>
    <x v="1"/>
    <x v="0"/>
    <n v="30"/>
    <x v="2"/>
    <n v="0.1"/>
    <n v="27"/>
    <x v="1"/>
    <s v="Fresno, CA"/>
    <n v="36.7378"/>
    <n v="-119.7871"/>
    <d v="2024-08-26T00:00:00"/>
    <n v="2"/>
    <x v="1"/>
    <d v="2025-07-06T00:00:00"/>
    <s v="10–19"/>
    <s v="16–19"/>
  </r>
  <r>
    <m/>
    <x v="4"/>
    <m/>
    <m/>
    <m/>
    <m/>
    <m/>
    <m/>
    <x v="2"/>
    <m/>
    <m/>
    <m/>
    <x v="4"/>
    <x v="3"/>
    <m/>
    <x v="4"/>
    <m/>
    <m/>
    <x v="4"/>
    <m/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2A34A-EE07-487C-AE80-DD38CE8EBEB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H3:N10" firstHeaderRow="1" firstDataRow="2" firstDataCol="1"/>
  <pivotFields count="28">
    <pivotField compact="0" outline="0" showAll="0"/>
    <pivotField axis="axisRow" compact="0" outline="0" showAll="0">
      <items count="6">
        <item x="2"/>
        <item x="3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  <pivotField compact="0" outline="0" showAll="0"/>
    <pivotField compact="0" outline="0" showAll="0" defaultSubtotal="0">
      <items count="5">
        <item x="2"/>
        <item x="1"/>
        <item x="0"/>
        <item x="3"/>
        <item x="4"/>
      </items>
    </pivotField>
    <pivotField compact="0" outline="0" showAll="0"/>
    <pivotField compact="0" outline="0" showAll="0"/>
    <pivotField axis="axisCol" dataField="1"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cess_hours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77664-D7DB-4A38-9C45-547C62B7E7E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1" firstHeaderRow="2" firstDataRow="2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4"/>
        <item x="0"/>
        <item x="1"/>
        <item x="3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1"/>
        <item x="0"/>
        <item x="4"/>
        <item t="default"/>
      </items>
    </pivotField>
    <pivotField axis="axisRow" dataField="1" compact="0" outline="0" showAll="0" sortType="descending">
      <items count="7">
        <item x="2"/>
        <item x="3"/>
        <item x="1"/>
        <item x="0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3"/>
  </rowFields>
  <rowItems count="7">
    <i>
      <x v="1"/>
    </i>
    <i>
      <x v="3"/>
    </i>
    <i>
      <x v="2"/>
    </i>
    <i>
      <x/>
    </i>
    <i>
      <x v="4"/>
    </i>
    <i>
      <x v="5"/>
    </i>
    <i t="grand">
      <x/>
    </i>
  </rowItems>
  <colItems count="1">
    <i/>
  </colItems>
  <dataFields count="1">
    <dataField name="Count of Updated Age group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22DFA-6CF5-4A78-9BB5-E527FB93CBC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F53:G58" firstHeaderRow="1" firstDataRow="1" firstDataCol="1"/>
  <pivotFields count="26"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14" outline="0" showAll="0"/>
  </pivotFields>
  <rowFields count="1">
    <field x="1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subscription_price" fld="12" baseField="0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outline="0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DF3A6-0961-4DBD-8B57-2C60C89234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53:D114" firstHeaderRow="1" firstDataRow="1" firstDataCol="1"/>
  <pivotFields count="2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numFmtId="14" outline="0" showAll="0">
      <items count="61">
        <item x="43"/>
        <item x="10"/>
        <item x="1"/>
        <item x="25"/>
        <item x="38"/>
        <item x="32"/>
        <item x="37"/>
        <item x="54"/>
        <item x="6"/>
        <item x="57"/>
        <item x="11"/>
        <item x="26"/>
        <item x="22"/>
        <item x="36"/>
        <item x="49"/>
        <item x="58"/>
        <item x="2"/>
        <item x="8"/>
        <item x="28"/>
        <item x="56"/>
        <item x="34"/>
        <item x="47"/>
        <item x="46"/>
        <item x="7"/>
        <item x="3"/>
        <item x="59"/>
        <item x="50"/>
        <item x="35"/>
        <item x="16"/>
        <item x="23"/>
        <item x="31"/>
        <item x="48"/>
        <item x="21"/>
        <item x="29"/>
        <item x="17"/>
        <item x="52"/>
        <item x="40"/>
        <item x="0"/>
        <item x="20"/>
        <item x="55"/>
        <item x="39"/>
        <item x="15"/>
        <item x="18"/>
        <item x="41"/>
        <item x="33"/>
        <item x="51"/>
        <item x="53"/>
        <item x="12"/>
        <item x="14"/>
        <item x="13"/>
        <item x="4"/>
        <item x="19"/>
        <item x="30"/>
        <item x="45"/>
        <item x="27"/>
        <item x="42"/>
        <item x="5"/>
        <item x="24"/>
        <item x="9"/>
        <item x="44"/>
        <item t="default"/>
      </items>
    </pivotField>
  </pivotFields>
  <rowFields count="1">
    <field x="25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visit_per_week" fld="2" baseField="0" baseItem="0"/>
  </dataFields>
  <formats count="8">
    <format dxfId="20">
      <pivotArea outline="0" fieldPosition="0">
        <references count="1">
          <reference field="25" count="3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9">
      <pivotArea field="25" type="button" dataOnly="0" labelOnly="1" outline="0" axis="axisRow" fieldPosition="0"/>
    </format>
    <format dxfId="18">
      <pivotArea dataOnly="0" labelOnly="1" outline="0" fieldPosition="0">
        <references count="1">
          <reference field="25" count="3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7">
      <pivotArea dataOnly="0" labelOnly="1" outline="0" axis="axisValues" fieldPosition="0"/>
    </format>
    <format dxfId="16">
      <pivotArea outline="0" fieldPosition="0">
        <references count="1">
          <reference field="25" count="31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5">
      <pivotArea field="25" type="button" dataOnly="0" labelOnly="1" outline="0" axis="axisRow" fieldPosition="0"/>
    </format>
    <format dxfId="14">
      <pivotArea dataOnly="0" labelOnly="1" outline="0" fieldPosition="0">
        <references count="1">
          <reference field="25" count="3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B4CFE4-2EE0-4717-933C-BEBB79113FB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T53:U57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  <pivotField compact="0" numFmtId="14" outline="0" showAll="0"/>
  </pivotFields>
  <rowFields count="1">
    <field x="1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personal_training_hours" fld="23" baseField="0" baseItem="0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13" type="button" dataOnly="0" labelOnly="1" outline="0" axis="axisRow" fieldPosition="0"/>
    </format>
    <format dxfId="29">
      <pivotArea dataOnly="0" labelOnly="1" outline="0" fieldPosition="0">
        <references count="1">
          <reference field="13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3" type="button" dataOnly="0" labelOnly="1" outline="0" axis="axisRow" fieldPosition="0"/>
    </format>
    <format dxfId="23">
      <pivotArea dataOnly="0" labelOnly="1" outline="0" fieldPosition="0">
        <references count="1">
          <reference field="13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88DFB-304D-42BC-B90A-6A5A5308BBF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Q53:R59" firstHeaderRow="1" firstDataRow="1" firstDataCol="1"/>
  <pivotFields count="2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14" outline="0" showAll="0"/>
  </pivotFields>
  <rowFields count="1">
    <field x="11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Sum of visit_per_week" fld="2" baseField="0" baseItem="0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1" type="button" dataOnly="0" labelOnly="1" outline="0" axis="axisRow" fieldPosition="0"/>
    </format>
    <format dxfId="41">
      <pivotArea dataOnly="0" labelOnly="1" outline="0" fieldPosition="0">
        <references count="1">
          <reference field="1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1" type="button" dataOnly="0" labelOnly="1" outline="0" axis="axisRow" fieldPosition="0"/>
    </format>
    <format dxfId="35">
      <pivotArea dataOnly="0" labelOnly="1" outline="0" fieldPosition="0">
        <references count="1">
          <reference field="11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F3EAB-84A0-4062-9740-713AF47E21E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N53:O58" firstHeaderRow="1" firstDataRow="1" firstDataCol="1"/>
  <pivotFields count="2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14" outline="0" showAll="0"/>
  </pivotFields>
  <rowFields count="1">
    <field x="15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Sum of visit_per_week" fld="2" baseField="0" baseItem="0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5" type="button" dataOnly="0" labelOnly="1" outline="0" axis="axisRow" fieldPosition="0"/>
    </format>
    <format dxfId="53">
      <pivotArea dataOnly="0" labelOnly="1" outline="0" fieldPosition="0">
        <references count="1">
          <reference field="15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5" type="button" dataOnly="0" labelOnly="1" outline="0" axis="axisRow" fieldPosition="0"/>
    </format>
    <format dxfId="47">
      <pivotArea dataOnly="0" labelOnly="1" outline="0" fieldPosition="0">
        <references count="1">
          <reference field="15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EC41-675C-43D7-91D6-C82E56CB780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53:L57" firstHeaderRow="1" firstDataRow="2" firstDataCol="1"/>
  <pivotFields count="2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</pivotFields>
  <rowFields count="1">
    <field x="10"/>
  </rowFields>
  <rowItems count="3">
    <i>
      <x/>
    </i>
    <i>
      <x v="1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Average of age" fld="0" subtotal="average" baseField="0" baseItem="0"/>
  </dataFields>
  <formats count="20"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24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10" type="button" dataOnly="0" labelOnly="1" outline="0" axis="axisRow" fieldPosition="0"/>
    </format>
    <format dxfId="70">
      <pivotArea dataOnly="0" labelOnly="1" outline="0" fieldPosition="0">
        <references count="1">
          <reference field="10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24" count="0"/>
        </references>
      </pivotArea>
    </format>
    <format dxfId="67">
      <pivotArea dataOnly="0" labelOnly="1" grandCol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24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10" type="button" dataOnly="0" labelOnly="1" outline="0" axis="axisRow" fieldPosition="0"/>
    </format>
    <format dxfId="60">
      <pivotArea dataOnly="0" labelOnly="1" outline="0" fieldPosition="0">
        <references count="1">
          <reference field="10" count="0"/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24" count="0"/>
        </references>
      </pivotArea>
    </format>
    <format dxfId="57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87789-FEE8-4C63-B43E-31A73739EF40}" name="Table1" displayName="Table1" ref="A1:AP1999" totalsRowShown="0">
  <autoFilter ref="A1:AP1999" xr:uid="{2D887789-FEE8-4C63-B43E-31A73739EF40}"/>
  <tableColumns count="42">
    <tableColumn id="1" xr3:uid="{C1521BE4-1F6E-4151-A8C3-307B1552FC11}" name="age"/>
    <tableColumn id="2" xr3:uid="{1000ED09-FFCF-46A4-922A-2290429AD83E}" name="membership_type"/>
    <tableColumn id="3" xr3:uid="{4D04B2F3-A18B-406E-A3F0-1EDB075C8B2A}" name="visit_per_week"/>
    <tableColumn id="4" xr3:uid="{9C693F2B-E68B-4D0D-B17C-87352B27842B}" name="days_per_week"/>
    <tableColumn id="5" xr3:uid="{B9596290-3A2C-4D28-AD99-D5CC7E36E6E2}" name="attend_group_lesson"/>
    <tableColumn id="6" xr3:uid="{33E7DFF8-9E6F-40C6-8D38-DB2395F920DE}" name="avg_time_check_in" dataDxfId="87"/>
    <tableColumn id="7" xr3:uid="{4C302DAE-34A1-4A7A-9CBB-A6BD5061CA53}" name="avg_time_check_out" dataDxfId="86"/>
    <tableColumn id="8" xr3:uid="{F77D1654-6DC1-4A04-8912-2C1D25BDB18F}" name="duration_in_gym_minutes"/>
    <tableColumn id="9" xr3:uid="{5019795C-80C7-4CBB-AF8B-31528FF83455}" name="has_drink_subscription"/>
    <tableColumn id="10" xr3:uid="{80B0DF21-95E5-438D-A412-5F4E68EDAAF6}" name="personal_training"/>
    <tableColumn id="11" xr3:uid="{94B30A7D-0D86-440F-AA95-DB9C2B186DEC}" name="uses_sauna"/>
    <tableColumn id="12" xr3:uid="{B189841F-5B3D-4D9B-A431-09FA18586C10}" name="self_identified_gender"/>
    <tableColumn id="13" xr3:uid="{88EB40FD-DAA1-48D8-B59F-6D8CFC648FD7}" name="subscription_price"/>
    <tableColumn id="14" xr3:uid="{242DC7B8-B694-47C1-9A8E-EF6811DD1E2E}" name="subscription_model"/>
    <tableColumn id="15" xr3:uid="{2299272E-35EF-4133-83AE-81E7B2464A42}" name="adjusted_price"/>
    <tableColumn id="16" xr3:uid="{0E28EB3D-7ECD-48BC-B6E7-8EF2B2B22EE7}" name="discount_type"/>
    <tableColumn id="17" xr3:uid="{2B1EADC5-1F7A-4F07-B3AC-E5E2461C3555}" name="discount_rate"/>
    <tableColumn id="18" xr3:uid="{277C73C6-37E3-4B39-85FD-3F056DAF0FA5}" name="final_price"/>
    <tableColumn id="19" xr3:uid="{75526FC6-BE48-466B-A5C2-542423D49068}" name="access_hours"/>
    <tableColumn id="20" xr3:uid="{DE3459D6-D6CC-44E1-9AF5-08BFDCC320C5}" name="home_gym_location"/>
    <tableColumn id="21" xr3:uid="{02D60780-C1F8-415C-9359-1B8897F6EE7A}" name="latitude"/>
    <tableColumn id="22" xr3:uid="{7A7BFC72-BD8C-42FC-BD55-B763A2BD4164}" name="longitude"/>
    <tableColumn id="23" xr3:uid="{CED3C3F5-AA5F-41F8-8155-3A5E533CC945}" name="join_date" dataDxfId="85"/>
    <tableColumn id="24" xr3:uid="{81D00339-D572-4B09-884B-ED66D9EEC910}" name="personal_training_hours"/>
    <tableColumn id="25" xr3:uid="{962777C4-B878-40DE-93CD-375513ED2D5F}" name="multi_location_access"/>
    <tableColumn id="26" xr3:uid="{64D182FE-BA96-4A01-8D7B-46D7E8E81FC8}" name="last_visit_date" dataDxfId="84"/>
    <tableColumn id="27" xr3:uid="{6515B924-D193-4557-88C9-6C96C298119F}" name="Age group">
      <calculatedColumnFormula>TEXT(10*INT($A2/10),"0")&amp;"–"&amp;TEXT(10*INT($A2/10)+9,"0")</calculatedColumnFormula>
    </tableColumn>
    <tableColumn id="28" xr3:uid="{D319AA6B-6BDB-4D4C-AF4C-0A7C8519D6E2}" name="Updated Age group" dataDxfId="83">
      <calculatedColumnFormula>IF(AND($AA2 = "10–19", $A2 &lt; 16), "Under 16", IF(AND($AA2 = "10–19", $A2 &gt;= 16), "16–19", $AA2))</calculatedColumnFormula>
    </tableColumn>
    <tableColumn id="29" xr3:uid="{6FFEAE8D-C91E-4A7B-A8C8-A8EC9E9FF2FD}" name="Monday">
      <calculatedColumnFormula>IF(ISNUMBER(SEARCH("Mon", $D2)), "Monday", "")</calculatedColumnFormula>
    </tableColumn>
    <tableColumn id="30" xr3:uid="{B02240D4-A9E1-45FE-950E-67BC43CBE1DA}" name="Tuesday">
      <calculatedColumnFormula>IF(ISNUMBER(SEARCH("Tue", $D2)), "Tuesday", "")</calculatedColumnFormula>
    </tableColumn>
    <tableColumn id="31" xr3:uid="{BF585B68-7FAB-44EA-B706-52EF42837E12}" name="Wednesday">
      <calculatedColumnFormula>IF(ISNUMBER(SEARCH("Wed", $D2)), "Wednesday", "")</calculatedColumnFormula>
    </tableColumn>
    <tableColumn id="32" xr3:uid="{EF37A294-35DC-4D48-BDA0-F7C210E3699A}" name="Thursday">
      <calculatedColumnFormula>IF(ISNUMBER(SEARCH("Thu", $D2)), "Thursday", "")</calculatedColumnFormula>
    </tableColumn>
    <tableColumn id="33" xr3:uid="{E815181A-2C9D-480F-A54B-8E8696B676BF}" name="Friday">
      <calculatedColumnFormula>IF(ISNUMBER(SEARCH("Fri", $D2)), "Friday", "")</calculatedColumnFormula>
    </tableColumn>
    <tableColumn id="34" xr3:uid="{D85F1086-E5B4-4617-996F-BFEA18803D6F}" name="Saturday">
      <calculatedColumnFormula>IF(ISNUMBER(SEARCH("Sat", $D2)), "Saturday", "")</calculatedColumnFormula>
    </tableColumn>
    <tableColumn id="35" xr3:uid="{44A8417A-79C8-4F70-983A-5B86ADC5B30C}" name="Sunday">
      <calculatedColumnFormula>IF(ISNUMBER(SEARCH("Sun", $D2)), "Sunday", "")</calculatedColumnFormula>
    </tableColumn>
    <tableColumn id="36" xr3:uid="{B9EEB1D3-FB7E-48A8-A6ED-0F28500349BC}" name="Unique ID" dataDxfId="82">
      <calculatedColumnFormula>LEFT(Table1[[#This Row],[membership_type]],2)&amp;TEXT(Table1[[#This Row],[age]],"00")&amp;"-"&amp;TEXT(ROW(),"000")</calculatedColumnFormula>
    </tableColumn>
    <tableColumn id="37" xr3:uid="{2A078367-6824-4417-9B99-6522060309A0}" name="Membership Type ID" dataDxfId="81">
      <calculatedColumnFormula>LEFT(Table1[[#This Row],[membership_type]],1)&amp;TEXT(MATCH(Table1[[#This Row],[membership_type]],Table1[membership_type],0),"00")</calculatedColumnFormula>
    </tableColumn>
    <tableColumn id="38" xr3:uid="{788152A4-FDDE-497D-86F7-CA27820C3900}" name="Discount ID" dataDxfId="80">
      <calculatedColumnFormula>LEFT(Table1[[#This Row],[discount_type]],1)&amp;TEXT(ROUND(Table1[[#This Row],[discount_rate]]*100,0),"00")</calculatedColumnFormula>
    </tableColumn>
    <tableColumn id="39" xr3:uid="{D98F0702-5BAC-44B3-A280-45484871C2C1}" name="Location ID" dataDxfId="79">
      <calculatedColumnFormula array="1">TEXT(SUMPRODUCT(CODE(MID(Table1[[#This Row],[home_gym_location]],_xlfn.SEQUENCE(LEN(Table1[[#This Row],[home_gym_location]])),1))),"00000")</calculatedColumnFormula>
    </tableColumn>
    <tableColumn id="40" xr3:uid="{9DCC5A02-F7BD-40D8-8B6D-6F799132FE18}" name="Location Identifier" dataDxfId="78">
      <calculatedColumnFormula>UPPER(_xlfn.TEXTBEFORE(Table1[[#This Row],[home_gym_location]],","))&amp;"-"&amp;TEXT(MATCH(Table1[[#This Row],[home_gym_location]],_xlfn._xlws.SORT(_xlfn.UNIQUE(Table1[home_gym_location])),0),"000")</calculatedColumnFormula>
    </tableColumn>
    <tableColumn id="41" xr3:uid="{53096790-0F56-40BE-936F-6DCE45C36DDF}" name="Short location identifier" dataDxfId="77">
      <calculatedColumnFormula>LEFT(_xlfn.TEXTBEFORE(Table1[[#This Row],[Location Identifier]],"-"),3) &amp; "-" &amp; _xlfn.TEXTAFTER(Table1[[#This Row],[Location Identifier]],"-")</calculatedColumnFormula>
    </tableColumn>
    <tableColumn id="42" xr3:uid="{D2A4E486-AFD6-44D7-BB3B-3DB91119D30C}" name="Reporting date" dataDxfId="0">
      <calculatedColumnFormula>EOMONTH(DATE(YEAR(TODAY()),7,1),0)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F9A3-D069-4B01-B9F0-4F4CAAD4D61F}">
  <dimension ref="A3:N11"/>
  <sheetViews>
    <sheetView topLeftCell="I1" workbookViewId="0">
      <selection activeCell="H3" sqref="H3"/>
    </sheetView>
  </sheetViews>
  <sheetFormatPr defaultRowHeight="15" x14ac:dyDescent="0.25"/>
  <cols>
    <col min="1" max="1" width="26.7109375" bestFit="1" customWidth="1"/>
    <col min="2" max="3" width="5.42578125" bestFit="1" customWidth="1"/>
    <col min="8" max="8" width="21.85546875" bestFit="1" customWidth="1"/>
    <col min="9" max="13" width="24.28515625" bestFit="1" customWidth="1"/>
    <col min="14" max="15" width="11.28515625" bestFit="1" customWidth="1"/>
    <col min="16" max="52" width="12.7109375" bestFit="1" customWidth="1"/>
    <col min="53" max="55" width="11.28515625" bestFit="1" customWidth="1"/>
  </cols>
  <sheetData>
    <row r="3" spans="1:14" x14ac:dyDescent="0.25">
      <c r="A3" s="8" t="s">
        <v>184</v>
      </c>
      <c r="H3" s="8" t="s">
        <v>193</v>
      </c>
      <c r="I3" s="8" t="s">
        <v>18</v>
      </c>
    </row>
    <row r="4" spans="1:14" x14ac:dyDescent="0.25">
      <c r="A4" s="8" t="s">
        <v>181</v>
      </c>
      <c r="B4" t="s">
        <v>185</v>
      </c>
      <c r="H4" s="8" t="s">
        <v>1</v>
      </c>
      <c r="I4" t="s">
        <v>31</v>
      </c>
      <c r="J4" t="s">
        <v>53</v>
      </c>
      <c r="K4" t="s">
        <v>44</v>
      </c>
      <c r="L4" t="s">
        <v>37</v>
      </c>
      <c r="M4" t="s">
        <v>180</v>
      </c>
      <c r="N4" t="s">
        <v>170</v>
      </c>
    </row>
    <row r="5" spans="1:14" x14ac:dyDescent="0.25">
      <c r="A5" t="s">
        <v>177</v>
      </c>
      <c r="B5">
        <v>592</v>
      </c>
      <c r="H5" t="s">
        <v>42</v>
      </c>
      <c r="K5">
        <v>394</v>
      </c>
      <c r="N5">
        <v>394</v>
      </c>
    </row>
    <row r="6" spans="1:14" x14ac:dyDescent="0.25">
      <c r="A6" t="s">
        <v>179</v>
      </c>
      <c r="B6">
        <v>508</v>
      </c>
      <c r="H6" t="s">
        <v>51</v>
      </c>
      <c r="J6">
        <v>199</v>
      </c>
      <c r="N6">
        <v>199</v>
      </c>
    </row>
    <row r="7" spans="1:14" x14ac:dyDescent="0.25">
      <c r="A7" t="s">
        <v>178</v>
      </c>
      <c r="B7">
        <v>506</v>
      </c>
      <c r="H7" t="s">
        <v>26</v>
      </c>
      <c r="I7">
        <v>812</v>
      </c>
      <c r="N7">
        <v>812</v>
      </c>
    </row>
    <row r="8" spans="1:14" x14ac:dyDescent="0.25">
      <c r="A8" t="s">
        <v>182</v>
      </c>
      <c r="B8">
        <v>216</v>
      </c>
      <c r="H8" t="s">
        <v>33</v>
      </c>
      <c r="L8">
        <v>593</v>
      </c>
      <c r="N8">
        <v>593</v>
      </c>
    </row>
    <row r="9" spans="1:14" x14ac:dyDescent="0.25">
      <c r="A9" t="s">
        <v>183</v>
      </c>
      <c r="B9">
        <v>176</v>
      </c>
      <c r="H9" t="s">
        <v>180</v>
      </c>
    </row>
    <row r="10" spans="1:14" x14ac:dyDescent="0.25">
      <c r="A10" t="s">
        <v>180</v>
      </c>
      <c r="H10" t="s">
        <v>170</v>
      </c>
      <c r="I10">
        <v>812</v>
      </c>
      <c r="J10">
        <v>199</v>
      </c>
      <c r="K10">
        <v>394</v>
      </c>
      <c r="L10">
        <v>593</v>
      </c>
      <c r="N10">
        <v>1998</v>
      </c>
    </row>
    <row r="11" spans="1:14" x14ac:dyDescent="0.25">
      <c r="A11" t="s">
        <v>170</v>
      </c>
      <c r="B11">
        <v>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D701-CBED-4147-97C8-44B343BBFF65}">
  <dimension ref="A1:AP1999"/>
  <sheetViews>
    <sheetView tabSelected="1" topLeftCell="AH1" workbookViewId="0">
      <selection activeCell="AP1" sqref="AP1:AP1999"/>
    </sheetView>
  </sheetViews>
  <sheetFormatPr defaultRowHeight="15" x14ac:dyDescent="0.25"/>
  <cols>
    <col min="2" max="2" width="18.7109375" customWidth="1"/>
    <col min="3" max="3" width="15.7109375" customWidth="1"/>
    <col min="4" max="4" width="16.28515625" customWidth="1"/>
    <col min="5" max="5" width="21.42578125" customWidth="1"/>
    <col min="6" max="6" width="19.42578125" customWidth="1"/>
    <col min="7" max="7" width="20.5703125" customWidth="1"/>
    <col min="8" max="8" width="25.7109375" customWidth="1"/>
    <col min="9" max="9" width="23.85546875" customWidth="1"/>
    <col min="10" max="10" width="18.7109375" customWidth="1"/>
    <col min="11" max="11" width="13.7109375" customWidth="1"/>
    <col min="12" max="12" width="22.28515625" customWidth="1"/>
    <col min="13" max="13" width="19.5703125" customWidth="1"/>
    <col min="14" max="14" width="20.7109375" customWidth="1"/>
    <col min="15" max="15" width="16.140625" customWidth="1"/>
    <col min="16" max="16" width="15.28515625" customWidth="1"/>
    <col min="17" max="17" width="15.140625" customWidth="1"/>
    <col min="18" max="18" width="12.42578125" customWidth="1"/>
    <col min="19" max="19" width="15.28515625" customWidth="1"/>
    <col min="20" max="20" width="20.7109375" customWidth="1"/>
    <col min="21" max="21" width="9.85546875" customWidth="1"/>
    <col min="22" max="22" width="11.42578125" customWidth="1"/>
    <col min="23" max="23" width="11.28515625" customWidth="1"/>
    <col min="24" max="24" width="24.7109375" customWidth="1"/>
    <col min="25" max="25" width="22.85546875" customWidth="1"/>
    <col min="26" max="26" width="15.5703125" customWidth="1"/>
    <col min="27" max="27" width="11.85546875" customWidth="1"/>
    <col min="28" max="28" width="19.7109375" customWidth="1"/>
    <col min="29" max="29" width="10.140625" customWidth="1"/>
    <col min="30" max="30" width="10.42578125" customWidth="1"/>
    <col min="31" max="31" width="13.28515625" customWidth="1"/>
    <col min="32" max="32" width="11.28515625" customWidth="1"/>
    <col min="33" max="33" width="8.5703125" customWidth="1"/>
    <col min="34" max="34" width="10.85546875" customWidth="1"/>
    <col min="35" max="35" width="9.5703125" customWidth="1"/>
    <col min="36" max="36" width="12.140625" bestFit="1" customWidth="1"/>
    <col min="37" max="37" width="22" bestFit="1" customWidth="1"/>
    <col min="38" max="38" width="13.85546875" bestFit="1" customWidth="1"/>
    <col min="39" max="39" width="13.42578125" bestFit="1" customWidth="1"/>
    <col min="40" max="40" width="20.140625" bestFit="1" customWidth="1"/>
    <col min="41" max="41" width="25.140625" bestFit="1" customWidth="1"/>
    <col min="42" max="42" width="16.710937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176</v>
      </c>
      <c r="AB1" t="s">
        <v>181</v>
      </c>
      <c r="AC1" t="s">
        <v>186</v>
      </c>
      <c r="AD1" t="s">
        <v>187</v>
      </c>
      <c r="AE1" t="s">
        <v>188</v>
      </c>
      <c r="AF1" t="s">
        <v>189</v>
      </c>
      <c r="AG1" t="s">
        <v>190</v>
      </c>
      <c r="AH1" t="s">
        <v>191</v>
      </c>
      <c r="AI1" t="s">
        <v>192</v>
      </c>
      <c r="AJ1" t="s">
        <v>194</v>
      </c>
      <c r="AK1" t="s">
        <v>195</v>
      </c>
      <c r="AL1" t="s">
        <v>196</v>
      </c>
      <c r="AM1" t="s">
        <v>197</v>
      </c>
      <c r="AN1" t="s">
        <v>198</v>
      </c>
      <c r="AO1" t="s">
        <v>199</v>
      </c>
      <c r="AP1" t="s">
        <v>200</v>
      </c>
    </row>
    <row r="2" spans="1:42" x14ac:dyDescent="0.25">
      <c r="A2">
        <v>40</v>
      </c>
      <c r="B2" t="s">
        <v>26</v>
      </c>
      <c r="C2">
        <v>2</v>
      </c>
      <c r="D2" t="s">
        <v>27</v>
      </c>
      <c r="E2" t="b">
        <v>0</v>
      </c>
      <c r="F2" s="1">
        <v>0.36041666666666666</v>
      </c>
      <c r="G2" s="1">
        <v>0.44236111111111109</v>
      </c>
      <c r="H2">
        <v>118</v>
      </c>
      <c r="I2" t="b">
        <v>0</v>
      </c>
      <c r="J2" t="b">
        <v>0</v>
      </c>
      <c r="K2" t="b">
        <v>0</v>
      </c>
      <c r="L2" t="s">
        <v>28</v>
      </c>
      <c r="M2">
        <v>50</v>
      </c>
      <c r="N2" t="s">
        <v>29</v>
      </c>
      <c r="O2">
        <v>50</v>
      </c>
      <c r="P2" t="s">
        <v>30</v>
      </c>
      <c r="Q2">
        <v>0.05</v>
      </c>
      <c r="R2">
        <v>47.5</v>
      </c>
      <c r="S2" t="s">
        <v>31</v>
      </c>
      <c r="T2" t="s">
        <v>32</v>
      </c>
      <c r="U2">
        <v>37.338200000000001</v>
      </c>
      <c r="V2">
        <v>-121.88630000000001</v>
      </c>
      <c r="W2" s="2">
        <v>45432</v>
      </c>
      <c r="X2">
        <v>0</v>
      </c>
      <c r="Y2" t="b">
        <v>1</v>
      </c>
      <c r="Z2" s="2">
        <v>45838</v>
      </c>
      <c r="AA2" t="str">
        <f>TEXT(10*INT($A2/10),"0")&amp;"–"&amp;TEXT(10*INT($A2/10)+9,"0")</f>
        <v>40–49</v>
      </c>
      <c r="AB2" t="str">
        <f>IF(AND($AA2 = "10–19", $A2 &lt; 16), "Under 16", IF(AND($AA2 = "10–19", $A2 &gt;= 16), "16–19", $AA2))</f>
        <v>40–49</v>
      </c>
      <c r="AC2" t="str">
        <f>IF(ISNUMBER(SEARCH("Mon", $D2)), "Monday", "")</f>
        <v/>
      </c>
      <c r="AD2" t="str">
        <f>IF(ISNUMBER(SEARCH("Tue", $D2)), "Tuesday", "")</f>
        <v/>
      </c>
      <c r="AE2" t="str">
        <f>IF(ISNUMBER(SEARCH("Wed", $D2)), "Wednesday", "")</f>
        <v/>
      </c>
      <c r="AF2" t="str">
        <f>IF(ISNUMBER(SEARCH("Thu", $D2)), "Thursday", "")</f>
        <v>Thursday</v>
      </c>
      <c r="AG2" t="str">
        <f>IF(ISNUMBER(SEARCH("Fri", $D2)), "Friday", "")</f>
        <v/>
      </c>
      <c r="AH2" t="str">
        <f>IF(ISNUMBER(SEARCH("Sat", $D2)), "Saturday", "")</f>
        <v>Saturday</v>
      </c>
      <c r="AI2" t="str">
        <f>IF(ISNUMBER(SEARCH("Sun", $D2)), "Sunday", "")</f>
        <v/>
      </c>
      <c r="AJ2" t="str">
        <f>LEFT(Table1[[#This Row],[membership_type]],2)&amp;TEXT(Table1[[#This Row],[age]],"00")&amp;"-"&amp;TEXT(ROW(),"000")</f>
        <v>Pr40-002</v>
      </c>
      <c r="AK2" t="str">
        <f>LEFT(Table1[[#This Row],[membership_type]],1)&amp;TEXT(MATCH(Table1[[#This Row],[membership_type]],Table1[membership_type],0),"00")</f>
        <v>P01</v>
      </c>
      <c r="AL2" t="str">
        <f>LEFT(Table1[[#This Row],[discount_type]],1)&amp;TEXT(ROUND(Table1[[#This Row],[discount_rate]]*100,0),"00")</f>
        <v>P05</v>
      </c>
      <c r="AM2" t="str" cm="1">
        <f t="array" ref="AM2">TEXT(SUMPRODUCT(CODE(MID(Table1[[#This Row],[home_gym_location]],_xlfn.SEQUENCE(LEN(Table1[[#This Row],[home_gym_location]])),1))),"00000")</f>
        <v>00931</v>
      </c>
      <c r="AN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" t="str">
        <f>LEFT(_xlfn.TEXTBEFORE(Table1[[#This Row],[Location Identifier]],"-"),3) &amp; "-" &amp; _xlfn.TEXTAFTER(Table1[[#This Row],[Location Identifier]],"-")</f>
        <v>SAN-010</v>
      </c>
      <c r="AP2" s="9">
        <f t="shared" ref="AP2:AP65" ca="1" si="0">EOMONTH(DATE(YEAR(TODAY()),7,1),0)</f>
        <v>45869</v>
      </c>
    </row>
    <row r="3" spans="1:42" x14ac:dyDescent="0.25">
      <c r="A3">
        <v>35</v>
      </c>
      <c r="B3" t="s">
        <v>33</v>
      </c>
      <c r="C3">
        <v>5</v>
      </c>
      <c r="D3" t="s">
        <v>34</v>
      </c>
      <c r="E3" t="b">
        <v>1</v>
      </c>
      <c r="F3" s="1">
        <v>0.65625</v>
      </c>
      <c r="G3" s="1">
        <v>0.77986111111111112</v>
      </c>
      <c r="H3">
        <v>178</v>
      </c>
      <c r="I3" t="b">
        <v>0</v>
      </c>
      <c r="J3" t="b">
        <v>0</v>
      </c>
      <c r="K3" t="b">
        <v>0</v>
      </c>
      <c r="L3" t="s">
        <v>35</v>
      </c>
      <c r="M3">
        <v>30</v>
      </c>
      <c r="N3" t="s">
        <v>29</v>
      </c>
      <c r="O3">
        <v>30</v>
      </c>
      <c r="P3" t="s">
        <v>36</v>
      </c>
      <c r="Q3">
        <v>0</v>
      </c>
      <c r="R3">
        <v>30</v>
      </c>
      <c r="S3" t="s">
        <v>37</v>
      </c>
      <c r="T3" t="s">
        <v>38</v>
      </c>
      <c r="U3">
        <v>36.7378</v>
      </c>
      <c r="V3">
        <v>-119.7871</v>
      </c>
      <c r="W3" s="2">
        <v>44818</v>
      </c>
      <c r="X3">
        <v>0</v>
      </c>
      <c r="Y3" t="b">
        <v>0</v>
      </c>
      <c r="Z3" s="2">
        <v>45803</v>
      </c>
      <c r="AA3" t="str">
        <f t="shared" ref="AA3:AA66" si="1">TEXT(10*INT($A3/10),"0")&amp;"–"&amp;TEXT(10*INT($A3/10)+9,"0")</f>
        <v>30–39</v>
      </c>
      <c r="AB3" t="str">
        <f t="shared" ref="AB3:AB66" si="2">IF(AND($AA3 = "10–19", $A3 &lt; 16), "Under 16", IF(AND($AA3 = "10–19", $A3 &gt;= 16), "16–19", $AA3))</f>
        <v>30–39</v>
      </c>
      <c r="AC3" t="str">
        <f t="shared" ref="AC3:AC66" si="3">IF(ISNUMBER(SEARCH("Mon", $D3)), "Monday", "")</f>
        <v/>
      </c>
      <c r="AD3" t="str">
        <f t="shared" ref="AD3:AD66" si="4">IF(ISNUMBER(SEARCH("Tue", $D3)), "Tuesday", "")</f>
        <v>Tuesday</v>
      </c>
      <c r="AE3" t="str">
        <f t="shared" ref="AE3:AE66" si="5">IF(ISNUMBER(SEARCH("Wed", $D3)), "Wednesday", "")</f>
        <v>Wednesday</v>
      </c>
      <c r="AF3" t="str">
        <f t="shared" ref="AF3:AF66" si="6">IF(ISNUMBER(SEARCH("Thu", $D3)), "Thursday", "")</f>
        <v>Thursday</v>
      </c>
      <c r="AG3" t="str">
        <f t="shared" ref="AG3:AG66" si="7">IF(ISNUMBER(SEARCH("Fri", $D3)), "Friday", "")</f>
        <v>Friday</v>
      </c>
      <c r="AH3" t="str">
        <f t="shared" ref="AH3:AH66" si="8">IF(ISNUMBER(SEARCH("Sat", $D3)), "Saturday", "")</f>
        <v>Saturday</v>
      </c>
      <c r="AI3" t="str">
        <f t="shared" ref="AI3:AI66" si="9">IF(ISNUMBER(SEARCH("Sun", $D3)), "Sunday", "")</f>
        <v/>
      </c>
      <c r="AJ3" t="str">
        <f>LEFT(Table1[[#This Row],[membership_type]],2)&amp;TEXT(Table1[[#This Row],[age]],"00")&amp;"-"&amp;TEXT(ROW(),"000")</f>
        <v>St35-003</v>
      </c>
      <c r="AK3" t="str">
        <f>LEFT(Table1[[#This Row],[membership_type]],1)&amp;TEXT(MATCH(Table1[[#This Row],[membership_type]],Table1[membership_type],0),"00")</f>
        <v>S02</v>
      </c>
      <c r="AL3" t="str">
        <f>LEFT(Table1[[#This Row],[discount_type]],1)&amp;TEXT(ROUND(Table1[[#This Row],[discount_rate]]*100,0),"00")</f>
        <v>N00</v>
      </c>
      <c r="AM3" t="str" cm="1">
        <f t="array" ref="AM3">TEXT(SUMPRODUCT(CODE(MID(Table1[[#This Row],[home_gym_location]],_xlfn.SEQUENCE(LEN(Table1[[#This Row],[home_gym_location]])),1))),"00000")</f>
        <v>00829</v>
      </c>
      <c r="AN3" t="str">
        <f>UPPER(_xlfn.TEXTBEFORE(Table1[[#This Row],[home_gym_location]],","))&amp;"-"&amp;TEXT(MATCH(Table1[[#This Row],[home_gym_location]],_xlfn._xlws.SORT(_xlfn.UNIQUE(Table1[home_gym_location])),0),"000")</f>
        <v>FRESNO-003</v>
      </c>
      <c r="AO3" t="str">
        <f>LEFT(_xlfn.TEXTBEFORE(Table1[[#This Row],[Location Identifier]],"-"),3) &amp; "-" &amp; _xlfn.TEXTAFTER(Table1[[#This Row],[Location Identifier]],"-")</f>
        <v>FRE-003</v>
      </c>
      <c r="AP3" s="9">
        <f t="shared" ca="1" si="0"/>
        <v>45869</v>
      </c>
    </row>
    <row r="4" spans="1:42" x14ac:dyDescent="0.25">
      <c r="A4">
        <v>39</v>
      </c>
      <c r="B4" t="s">
        <v>33</v>
      </c>
      <c r="C4">
        <v>4</v>
      </c>
      <c r="D4" t="s">
        <v>39</v>
      </c>
      <c r="E4" t="b">
        <v>1</v>
      </c>
      <c r="F4" s="1">
        <v>0.56597222222222221</v>
      </c>
      <c r="G4" s="1">
        <v>0.60902777777777772</v>
      </c>
      <c r="H4">
        <v>62</v>
      </c>
      <c r="I4" t="b">
        <v>1</v>
      </c>
      <c r="J4" t="b">
        <v>1</v>
      </c>
      <c r="K4" t="b">
        <v>1</v>
      </c>
      <c r="L4" t="s">
        <v>28</v>
      </c>
      <c r="M4">
        <v>30</v>
      </c>
      <c r="N4" t="s">
        <v>29</v>
      </c>
      <c r="O4">
        <v>30</v>
      </c>
      <c r="P4" t="s">
        <v>40</v>
      </c>
      <c r="Q4">
        <v>0.1</v>
      </c>
      <c r="R4">
        <v>27</v>
      </c>
      <c r="S4" t="s">
        <v>37</v>
      </c>
      <c r="T4" t="s">
        <v>41</v>
      </c>
      <c r="U4">
        <v>37.804400000000001</v>
      </c>
      <c r="V4">
        <v>-122.27119999999999</v>
      </c>
      <c r="W4" s="2">
        <v>45051</v>
      </c>
      <c r="X4">
        <v>4</v>
      </c>
      <c r="Y4" t="b">
        <v>0</v>
      </c>
      <c r="Z4" s="2">
        <v>45817</v>
      </c>
      <c r="AA4" t="str">
        <f t="shared" si="1"/>
        <v>30–39</v>
      </c>
      <c r="AB4" t="str">
        <f t="shared" si="2"/>
        <v>30–39</v>
      </c>
      <c r="AC4" t="str">
        <f t="shared" si="3"/>
        <v/>
      </c>
      <c r="AD4" t="str">
        <f t="shared" si="4"/>
        <v>Tuesday</v>
      </c>
      <c r="AE4" t="str">
        <f t="shared" si="5"/>
        <v>Wednesday</v>
      </c>
      <c r="AF4" t="str">
        <f t="shared" si="6"/>
        <v>Thursday</v>
      </c>
      <c r="AG4" t="str">
        <f t="shared" si="7"/>
        <v/>
      </c>
      <c r="AH4" t="str">
        <f t="shared" si="8"/>
        <v/>
      </c>
      <c r="AI4" t="str">
        <f t="shared" si="9"/>
        <v>Sunday</v>
      </c>
      <c r="AJ4" t="str">
        <f>LEFT(Table1[[#This Row],[membership_type]],2)&amp;TEXT(Table1[[#This Row],[age]],"00")&amp;"-"&amp;TEXT(ROW(),"000")</f>
        <v>St39-004</v>
      </c>
      <c r="AK4" t="str">
        <f>LEFT(Table1[[#This Row],[membership_type]],1)&amp;TEXT(MATCH(Table1[[#This Row],[membership_type]],Table1[membership_type],0),"00")</f>
        <v>S02</v>
      </c>
      <c r="AL4" t="str">
        <f>LEFT(Table1[[#This Row],[discount_type]],1)&amp;TEXT(ROUND(Table1[[#This Row],[discount_rate]]*100,0),"00")</f>
        <v>L10</v>
      </c>
      <c r="AM4" t="str" cm="1">
        <f t="array" ref="AM4">TEXT(SUMPRODUCT(CODE(MID(Table1[[#This Row],[home_gym_location]],_xlfn.SEQUENCE(LEN(Table1[[#This Row],[home_gym_location]])),1))),"00000")</f>
        <v>00906</v>
      </c>
      <c r="AN4" t="str">
        <f>UPPER(_xlfn.TEXTBEFORE(Table1[[#This Row],[home_gym_location]],","))&amp;"-"&amp;TEXT(MATCH(Table1[[#This Row],[home_gym_location]],_xlfn._xlws.SORT(_xlfn.UNIQUE(Table1[home_gym_location])),0),"000")</f>
        <v>OAKLAND-006</v>
      </c>
      <c r="AO4" t="str">
        <f>LEFT(_xlfn.TEXTBEFORE(Table1[[#This Row],[Location Identifier]],"-"),3) &amp; "-" &amp; _xlfn.TEXTAFTER(Table1[[#This Row],[Location Identifier]],"-")</f>
        <v>OAK-006</v>
      </c>
      <c r="AP4" s="9">
        <f t="shared" ca="1" si="0"/>
        <v>45869</v>
      </c>
    </row>
    <row r="5" spans="1:42" x14ac:dyDescent="0.25">
      <c r="A5">
        <v>35</v>
      </c>
      <c r="B5" t="s">
        <v>42</v>
      </c>
      <c r="C5">
        <v>2</v>
      </c>
      <c r="D5" t="s">
        <v>43</v>
      </c>
      <c r="E5" t="b">
        <v>0</v>
      </c>
      <c r="F5" s="1">
        <v>0.71250000000000002</v>
      </c>
      <c r="G5" s="1">
        <v>0.77708333333333335</v>
      </c>
      <c r="H5">
        <v>93</v>
      </c>
      <c r="I5" t="b">
        <v>1</v>
      </c>
      <c r="J5" t="b">
        <v>1</v>
      </c>
      <c r="K5" t="b">
        <v>0</v>
      </c>
      <c r="L5" t="s">
        <v>28</v>
      </c>
      <c r="M5">
        <v>20</v>
      </c>
      <c r="N5" t="s">
        <v>29</v>
      </c>
      <c r="O5">
        <v>20</v>
      </c>
      <c r="P5" t="s">
        <v>36</v>
      </c>
      <c r="Q5">
        <v>0</v>
      </c>
      <c r="R5">
        <v>20</v>
      </c>
      <c r="S5" t="s">
        <v>44</v>
      </c>
      <c r="T5" t="s">
        <v>45</v>
      </c>
      <c r="U5">
        <v>33.836599999999997</v>
      </c>
      <c r="V5">
        <v>-117.9143</v>
      </c>
      <c r="W5" s="2">
        <v>45193</v>
      </c>
      <c r="X5">
        <v>7</v>
      </c>
      <c r="Y5" t="b">
        <v>0</v>
      </c>
      <c r="Z5" s="2">
        <v>45825</v>
      </c>
      <c r="AA5" t="str">
        <f t="shared" si="1"/>
        <v>30–39</v>
      </c>
      <c r="AB5" t="str">
        <f t="shared" si="2"/>
        <v>30–39</v>
      </c>
      <c r="AC5" t="str">
        <f t="shared" si="3"/>
        <v>Monday</v>
      </c>
      <c r="AD5" t="str">
        <f t="shared" si="4"/>
        <v>Tuesday</v>
      </c>
      <c r="AE5" t="str">
        <f t="shared" si="5"/>
        <v/>
      </c>
      <c r="AF5" t="str">
        <f t="shared" si="6"/>
        <v/>
      </c>
      <c r="AG5" t="str">
        <f t="shared" si="7"/>
        <v/>
      </c>
      <c r="AH5" t="str">
        <f t="shared" si="8"/>
        <v/>
      </c>
      <c r="AI5" t="str">
        <f t="shared" si="9"/>
        <v/>
      </c>
      <c r="AJ5" t="str">
        <f>LEFT(Table1[[#This Row],[membership_type]],2)&amp;TEXT(Table1[[#This Row],[age]],"00")&amp;"-"&amp;TEXT(ROW(),"000")</f>
        <v>Ba35-005</v>
      </c>
      <c r="AK5" t="str">
        <f>LEFT(Table1[[#This Row],[membership_type]],1)&amp;TEXT(MATCH(Table1[[#This Row],[membership_type]],Table1[membership_type],0),"00")</f>
        <v>B04</v>
      </c>
      <c r="AL5" t="str">
        <f>LEFT(Table1[[#This Row],[discount_type]],1)&amp;TEXT(ROUND(Table1[[#This Row],[discount_rate]]*100,0),"00")</f>
        <v>N00</v>
      </c>
      <c r="AM5" t="str" cm="1">
        <f t="array" ref="AM5">TEXT(SUMPRODUCT(CODE(MID(Table1[[#This Row],[home_gym_location]],_xlfn.SEQUENCE(LEN(Table1[[#This Row],[home_gym_location]])),1))),"00000")</f>
        <v>00899</v>
      </c>
      <c r="AN5" t="str">
        <f>UPPER(_xlfn.TEXTBEFORE(Table1[[#This Row],[home_gym_location]],","))&amp;"-"&amp;TEXT(MATCH(Table1[[#This Row],[home_gym_location]],_xlfn._xlws.SORT(_xlfn.UNIQUE(Table1[home_gym_location])),0),"000")</f>
        <v>ANAHEIM-001</v>
      </c>
      <c r="AO5" t="str">
        <f>LEFT(_xlfn.TEXTBEFORE(Table1[[#This Row],[Location Identifier]],"-"),3) &amp; "-" &amp; _xlfn.TEXTAFTER(Table1[[#This Row],[Location Identifier]],"-")</f>
        <v>ANA-001</v>
      </c>
      <c r="AP5" s="9">
        <f t="shared" ca="1" si="0"/>
        <v>45869</v>
      </c>
    </row>
    <row r="6" spans="1:42" x14ac:dyDescent="0.25">
      <c r="A6">
        <v>18</v>
      </c>
      <c r="B6" t="s">
        <v>33</v>
      </c>
      <c r="C6">
        <v>2</v>
      </c>
      <c r="D6" t="s">
        <v>46</v>
      </c>
      <c r="E6" t="b">
        <v>0</v>
      </c>
      <c r="F6" s="1">
        <v>0.59444444444444444</v>
      </c>
      <c r="G6" s="1">
        <v>0.70625000000000004</v>
      </c>
      <c r="H6">
        <v>161</v>
      </c>
      <c r="I6" t="b">
        <v>1</v>
      </c>
      <c r="J6" t="b">
        <v>1</v>
      </c>
      <c r="K6" t="b">
        <v>0</v>
      </c>
      <c r="L6" t="s">
        <v>47</v>
      </c>
      <c r="M6">
        <v>30</v>
      </c>
      <c r="N6" t="s">
        <v>29</v>
      </c>
      <c r="O6">
        <v>30</v>
      </c>
      <c r="P6" t="s">
        <v>40</v>
      </c>
      <c r="Q6">
        <v>0.1</v>
      </c>
      <c r="R6">
        <v>27</v>
      </c>
      <c r="S6" t="s">
        <v>37</v>
      </c>
      <c r="T6" t="s">
        <v>48</v>
      </c>
      <c r="U6">
        <v>38.581600000000002</v>
      </c>
      <c r="V6">
        <v>-121.4944</v>
      </c>
      <c r="W6" s="2">
        <v>45664</v>
      </c>
      <c r="X6">
        <v>3</v>
      </c>
      <c r="Y6" t="b">
        <v>1</v>
      </c>
      <c r="Z6" s="2">
        <v>45851</v>
      </c>
      <c r="AA6" t="str">
        <f t="shared" si="1"/>
        <v>10–19</v>
      </c>
      <c r="AB6" t="str">
        <f t="shared" si="2"/>
        <v>16–19</v>
      </c>
      <c r="AC6" t="str">
        <f t="shared" si="3"/>
        <v/>
      </c>
      <c r="AD6" t="str">
        <f t="shared" si="4"/>
        <v/>
      </c>
      <c r="AE6" t="str">
        <f t="shared" si="5"/>
        <v>Wednesday</v>
      </c>
      <c r="AF6" t="str">
        <f t="shared" si="6"/>
        <v/>
      </c>
      <c r="AG6" t="str">
        <f t="shared" si="7"/>
        <v/>
      </c>
      <c r="AH6" t="str">
        <f t="shared" si="8"/>
        <v/>
      </c>
      <c r="AI6" t="str">
        <f t="shared" si="9"/>
        <v>Sunday</v>
      </c>
      <c r="AJ6" t="str">
        <f>LEFT(Table1[[#This Row],[membership_type]],2)&amp;TEXT(Table1[[#This Row],[age]],"00")&amp;"-"&amp;TEXT(ROW(),"000")</f>
        <v>St18-006</v>
      </c>
      <c r="AK6" t="str">
        <f>LEFT(Table1[[#This Row],[membership_type]],1)&amp;TEXT(MATCH(Table1[[#This Row],[membership_type]],Table1[membership_type],0),"00")</f>
        <v>S02</v>
      </c>
      <c r="AL6" t="str">
        <f>LEFT(Table1[[#This Row],[discount_type]],1)&amp;TEXT(ROUND(Table1[[#This Row],[discount_rate]]*100,0),"00")</f>
        <v>L10</v>
      </c>
      <c r="AM6" t="str" cm="1">
        <f t="array" ref="AM6">TEXT(SUMPRODUCT(CODE(MID(Table1[[#This Row],[home_gym_location]],_xlfn.SEQUENCE(LEN(Table1[[#This Row],[home_gym_location]])),1))),"00000")</f>
        <v>01245</v>
      </c>
      <c r="AN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" t="str">
        <f>LEFT(_xlfn.TEXTBEFORE(Table1[[#This Row],[Location Identifier]],"-"),3) &amp; "-" &amp; _xlfn.TEXTAFTER(Table1[[#This Row],[Location Identifier]],"-")</f>
        <v>SAC-007</v>
      </c>
      <c r="AP6" s="9">
        <f t="shared" ca="1" si="0"/>
        <v>45869</v>
      </c>
    </row>
    <row r="7" spans="1:42" x14ac:dyDescent="0.25">
      <c r="A7">
        <v>43</v>
      </c>
      <c r="B7" t="s">
        <v>33</v>
      </c>
      <c r="C7">
        <v>1</v>
      </c>
      <c r="D7" t="s">
        <v>49</v>
      </c>
      <c r="E7" t="b">
        <v>0</v>
      </c>
      <c r="F7" s="1">
        <v>0.39027777777777778</v>
      </c>
      <c r="G7" s="1">
        <v>0.42708333333333331</v>
      </c>
      <c r="H7">
        <v>53</v>
      </c>
      <c r="I7" t="b">
        <v>0</v>
      </c>
      <c r="J7" t="b">
        <v>1</v>
      </c>
      <c r="K7" t="b">
        <v>0</v>
      </c>
      <c r="L7" t="s">
        <v>47</v>
      </c>
      <c r="M7">
        <v>30</v>
      </c>
      <c r="N7" t="s">
        <v>29</v>
      </c>
      <c r="O7">
        <v>30</v>
      </c>
      <c r="P7" t="s">
        <v>40</v>
      </c>
      <c r="Q7">
        <v>0.1</v>
      </c>
      <c r="R7">
        <v>27</v>
      </c>
      <c r="S7" t="s">
        <v>37</v>
      </c>
      <c r="T7" t="s">
        <v>50</v>
      </c>
      <c r="U7">
        <v>34.052199999999999</v>
      </c>
      <c r="V7">
        <v>-118.2437</v>
      </c>
      <c r="W7" s="2">
        <v>45664</v>
      </c>
      <c r="X7">
        <v>7</v>
      </c>
      <c r="Y7" t="b">
        <v>1</v>
      </c>
      <c r="Z7" s="2">
        <v>45851</v>
      </c>
      <c r="AA7" t="str">
        <f t="shared" si="1"/>
        <v>40–49</v>
      </c>
      <c r="AB7" t="str">
        <f t="shared" si="2"/>
        <v>40–49</v>
      </c>
      <c r="AC7" t="str">
        <f t="shared" si="3"/>
        <v/>
      </c>
      <c r="AD7" t="str">
        <f t="shared" si="4"/>
        <v/>
      </c>
      <c r="AE7" t="str">
        <f t="shared" si="5"/>
        <v/>
      </c>
      <c r="AF7" t="str">
        <f t="shared" si="6"/>
        <v/>
      </c>
      <c r="AG7" t="str">
        <f t="shared" si="7"/>
        <v/>
      </c>
      <c r="AH7" t="str">
        <f t="shared" si="8"/>
        <v/>
      </c>
      <c r="AI7" t="str">
        <f t="shared" si="9"/>
        <v>Sunday</v>
      </c>
      <c r="AJ7" t="str">
        <f>LEFT(Table1[[#This Row],[membership_type]],2)&amp;TEXT(Table1[[#This Row],[age]],"00")&amp;"-"&amp;TEXT(ROW(),"000")</f>
        <v>St43-007</v>
      </c>
      <c r="AK7" t="str">
        <f>LEFT(Table1[[#This Row],[membership_type]],1)&amp;TEXT(MATCH(Table1[[#This Row],[membership_type]],Table1[membership_type],0),"00")</f>
        <v>S02</v>
      </c>
      <c r="AL7" t="str">
        <f>LEFT(Table1[[#This Row],[discount_type]],1)&amp;TEXT(ROUND(Table1[[#This Row],[discount_rate]]*100,0),"00")</f>
        <v>L10</v>
      </c>
      <c r="AM7" t="str" cm="1">
        <f t="array" ref="AM7">TEXT(SUMPRODUCT(CODE(MID(Table1[[#This Row],[home_gym_location]],_xlfn.SEQUENCE(LEN(Table1[[#This Row],[home_gym_location]])),1))),"00000")</f>
        <v>01245</v>
      </c>
      <c r="AN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" t="str">
        <f>LEFT(_xlfn.TEXTBEFORE(Table1[[#This Row],[Location Identifier]],"-"),3) &amp; "-" &amp; _xlfn.TEXTAFTER(Table1[[#This Row],[Location Identifier]],"-")</f>
        <v>LOS-005</v>
      </c>
      <c r="AP7" s="9">
        <f t="shared" ca="1" si="0"/>
        <v>45869</v>
      </c>
    </row>
    <row r="8" spans="1:42" x14ac:dyDescent="0.25">
      <c r="A8">
        <v>29</v>
      </c>
      <c r="B8" t="s">
        <v>51</v>
      </c>
      <c r="C8">
        <v>4</v>
      </c>
      <c r="D8" t="s">
        <v>52</v>
      </c>
      <c r="E8" t="b">
        <v>1</v>
      </c>
      <c r="F8" s="1">
        <v>0.76041666666666663</v>
      </c>
      <c r="G8" s="1">
        <v>0.78749999999999998</v>
      </c>
      <c r="H8">
        <v>39</v>
      </c>
      <c r="I8" t="b">
        <v>0</v>
      </c>
      <c r="J8" t="b">
        <v>1</v>
      </c>
      <c r="K8" t="b">
        <v>1</v>
      </c>
      <c r="L8" t="s">
        <v>47</v>
      </c>
      <c r="M8">
        <v>70</v>
      </c>
      <c r="N8" t="s">
        <v>29</v>
      </c>
      <c r="O8">
        <v>70</v>
      </c>
      <c r="P8" t="s">
        <v>36</v>
      </c>
      <c r="Q8">
        <v>0</v>
      </c>
      <c r="R8">
        <v>70</v>
      </c>
      <c r="S8" t="s">
        <v>53</v>
      </c>
      <c r="T8" t="s">
        <v>54</v>
      </c>
      <c r="U8">
        <v>32.715699999999998</v>
      </c>
      <c r="V8">
        <v>-117.1611</v>
      </c>
      <c r="W8" s="2">
        <v>45769</v>
      </c>
      <c r="X8">
        <v>4</v>
      </c>
      <c r="Y8" t="b">
        <v>1</v>
      </c>
      <c r="Z8" s="2">
        <v>45857</v>
      </c>
      <c r="AA8" t="str">
        <f t="shared" si="1"/>
        <v>20–29</v>
      </c>
      <c r="AB8" t="str">
        <f t="shared" si="2"/>
        <v>20–29</v>
      </c>
      <c r="AC8" t="str">
        <f t="shared" si="3"/>
        <v>Monday</v>
      </c>
      <c r="AD8" t="str">
        <f t="shared" si="4"/>
        <v/>
      </c>
      <c r="AE8" t="str">
        <f t="shared" si="5"/>
        <v/>
      </c>
      <c r="AF8" t="str">
        <f t="shared" si="6"/>
        <v>Thursday</v>
      </c>
      <c r="AG8" t="str">
        <f t="shared" si="7"/>
        <v>Friday</v>
      </c>
      <c r="AH8" t="str">
        <f t="shared" si="8"/>
        <v/>
      </c>
      <c r="AI8" t="str">
        <f t="shared" si="9"/>
        <v>Sunday</v>
      </c>
      <c r="AJ8" t="str">
        <f>LEFT(Table1[[#This Row],[membership_type]],2)&amp;TEXT(Table1[[#This Row],[age]],"00")&amp;"-"&amp;TEXT(ROW(),"000")</f>
        <v>El29-008</v>
      </c>
      <c r="AK8" t="str">
        <f>LEFT(Table1[[#This Row],[membership_type]],1)&amp;TEXT(MATCH(Table1[[#This Row],[membership_type]],Table1[membership_type],0),"00")</f>
        <v>E07</v>
      </c>
      <c r="AL8" t="str">
        <f>LEFT(Table1[[#This Row],[discount_type]],1)&amp;TEXT(ROUND(Table1[[#This Row],[discount_rate]]*100,0),"00")</f>
        <v>N00</v>
      </c>
      <c r="AM8" t="str" cm="1">
        <f t="array" ref="AM8">TEXT(SUMPRODUCT(CODE(MID(Table1[[#This Row],[home_gym_location]],_xlfn.SEQUENCE(LEN(Table1[[#This Row],[home_gym_location]])),1))),"00000")</f>
        <v>01018</v>
      </c>
      <c r="AN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" t="str">
        <f>LEFT(_xlfn.TEXTBEFORE(Table1[[#This Row],[Location Identifier]],"-"),3) &amp; "-" &amp; _xlfn.TEXTAFTER(Table1[[#This Row],[Location Identifier]],"-")</f>
        <v>SAN-008</v>
      </c>
      <c r="AP8" s="9">
        <f t="shared" ca="1" si="0"/>
        <v>45869</v>
      </c>
    </row>
    <row r="9" spans="1:42" x14ac:dyDescent="0.25">
      <c r="A9">
        <v>49</v>
      </c>
      <c r="B9" t="s">
        <v>26</v>
      </c>
      <c r="C9">
        <v>3</v>
      </c>
      <c r="D9" t="s">
        <v>55</v>
      </c>
      <c r="E9" t="b">
        <v>0</v>
      </c>
      <c r="F9" s="1">
        <v>0.71944444444444444</v>
      </c>
      <c r="G9" s="1">
        <v>0.82777777777777772</v>
      </c>
      <c r="H9">
        <v>156</v>
      </c>
      <c r="I9" t="b">
        <v>1</v>
      </c>
      <c r="J9" t="b">
        <v>0</v>
      </c>
      <c r="K9" t="b">
        <v>0</v>
      </c>
      <c r="L9" t="s">
        <v>47</v>
      </c>
      <c r="M9">
        <v>50</v>
      </c>
      <c r="N9" t="s">
        <v>29</v>
      </c>
      <c r="O9">
        <v>50</v>
      </c>
      <c r="P9" t="s">
        <v>36</v>
      </c>
      <c r="Q9">
        <v>0</v>
      </c>
      <c r="R9">
        <v>50</v>
      </c>
      <c r="S9" t="s">
        <v>31</v>
      </c>
      <c r="T9" t="s">
        <v>56</v>
      </c>
      <c r="U9">
        <v>35.3733</v>
      </c>
      <c r="V9">
        <v>-119.0187</v>
      </c>
      <c r="W9" s="2">
        <v>44908</v>
      </c>
      <c r="X9">
        <v>0</v>
      </c>
      <c r="Y9" t="b">
        <v>0</v>
      </c>
      <c r="Z9" s="2">
        <v>45809</v>
      </c>
      <c r="AA9" t="str">
        <f t="shared" si="1"/>
        <v>40–49</v>
      </c>
      <c r="AB9" t="str">
        <f t="shared" si="2"/>
        <v>40–49</v>
      </c>
      <c r="AC9" t="str">
        <f t="shared" si="3"/>
        <v/>
      </c>
      <c r="AD9" t="str">
        <f t="shared" si="4"/>
        <v/>
      </c>
      <c r="AE9" t="str">
        <f t="shared" si="5"/>
        <v/>
      </c>
      <c r="AF9" t="str">
        <f t="shared" si="6"/>
        <v>Thursday</v>
      </c>
      <c r="AG9" t="str">
        <f t="shared" si="7"/>
        <v>Friday</v>
      </c>
      <c r="AH9" t="str">
        <f t="shared" si="8"/>
        <v/>
      </c>
      <c r="AI9" t="str">
        <f t="shared" si="9"/>
        <v>Sunday</v>
      </c>
      <c r="AJ9" t="str">
        <f>LEFT(Table1[[#This Row],[membership_type]],2)&amp;TEXT(Table1[[#This Row],[age]],"00")&amp;"-"&amp;TEXT(ROW(),"000")</f>
        <v>Pr49-009</v>
      </c>
      <c r="AK9" t="str">
        <f>LEFT(Table1[[#This Row],[membership_type]],1)&amp;TEXT(MATCH(Table1[[#This Row],[membership_type]],Table1[membership_type],0),"00")</f>
        <v>P01</v>
      </c>
      <c r="AL9" t="str">
        <f>LEFT(Table1[[#This Row],[discount_type]],1)&amp;TEXT(ROUND(Table1[[#This Row],[discount_rate]]*100,0),"00")</f>
        <v>N00</v>
      </c>
      <c r="AM9" t="str" cm="1">
        <f t="array" ref="AM9">TEXT(SUMPRODUCT(CODE(MID(Table1[[#This Row],[home_gym_location]],_xlfn.SEQUENCE(LEN(Table1[[#This Row],[home_gym_location]])),1))),"00000")</f>
        <v>01324</v>
      </c>
      <c r="AN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" t="str">
        <f>LEFT(_xlfn.TEXTBEFORE(Table1[[#This Row],[Location Identifier]],"-"),3) &amp; "-" &amp; _xlfn.TEXTAFTER(Table1[[#This Row],[Location Identifier]],"-")</f>
        <v>BAK-002</v>
      </c>
      <c r="AP9" s="9">
        <f t="shared" ca="1" si="0"/>
        <v>45869</v>
      </c>
    </row>
    <row r="10" spans="1:42" x14ac:dyDescent="0.25">
      <c r="A10">
        <v>24</v>
      </c>
      <c r="B10" t="s">
        <v>42</v>
      </c>
      <c r="C10">
        <v>3</v>
      </c>
      <c r="D10" t="s">
        <v>57</v>
      </c>
      <c r="E10" t="b">
        <v>1</v>
      </c>
      <c r="F10" s="1">
        <v>0.5</v>
      </c>
      <c r="G10" s="1">
        <v>0.58888888888888891</v>
      </c>
      <c r="H10">
        <v>128</v>
      </c>
      <c r="I10" t="b">
        <v>1</v>
      </c>
      <c r="J10" t="b">
        <v>0</v>
      </c>
      <c r="K10" t="b">
        <v>1</v>
      </c>
      <c r="L10" t="s">
        <v>58</v>
      </c>
      <c r="M10">
        <v>20</v>
      </c>
      <c r="N10" t="s">
        <v>29</v>
      </c>
      <c r="O10">
        <v>20</v>
      </c>
      <c r="P10" t="s">
        <v>40</v>
      </c>
      <c r="Q10">
        <v>0.1</v>
      </c>
      <c r="R10">
        <v>18</v>
      </c>
      <c r="S10" t="s">
        <v>44</v>
      </c>
      <c r="T10" t="s">
        <v>59</v>
      </c>
      <c r="U10">
        <v>37.774900000000002</v>
      </c>
      <c r="V10">
        <v>-122.4194</v>
      </c>
      <c r="W10" s="2">
        <v>45190</v>
      </c>
      <c r="X10">
        <v>0</v>
      </c>
      <c r="Y10" t="b">
        <v>1</v>
      </c>
      <c r="Z10" s="2">
        <v>45824</v>
      </c>
      <c r="AA10" t="str">
        <f t="shared" si="1"/>
        <v>20–29</v>
      </c>
      <c r="AB10" t="str">
        <f t="shared" si="2"/>
        <v>20–29</v>
      </c>
      <c r="AC10" t="str">
        <f t="shared" si="3"/>
        <v/>
      </c>
      <c r="AD10" t="str">
        <f t="shared" si="4"/>
        <v/>
      </c>
      <c r="AE10" t="str">
        <f t="shared" si="5"/>
        <v>Wednesday</v>
      </c>
      <c r="AF10" t="str">
        <f t="shared" si="6"/>
        <v>Thursday</v>
      </c>
      <c r="AG10" t="str">
        <f t="shared" si="7"/>
        <v/>
      </c>
      <c r="AH10" t="str">
        <f t="shared" si="8"/>
        <v>Saturday</v>
      </c>
      <c r="AI10" t="str">
        <f t="shared" si="9"/>
        <v/>
      </c>
      <c r="AJ10" t="str">
        <f>LEFT(Table1[[#This Row],[membership_type]],2)&amp;TEXT(Table1[[#This Row],[age]],"00")&amp;"-"&amp;TEXT(ROW(),"000")</f>
        <v>Ba24-010</v>
      </c>
      <c r="AK10" t="str">
        <f>LEFT(Table1[[#This Row],[membership_type]],1)&amp;TEXT(MATCH(Table1[[#This Row],[membership_type]],Table1[membership_type],0),"00")</f>
        <v>B04</v>
      </c>
      <c r="AL10" t="str">
        <f>LEFT(Table1[[#This Row],[discount_type]],1)&amp;TEXT(ROUND(Table1[[#This Row],[discount_rate]]*100,0),"00")</f>
        <v>L10</v>
      </c>
      <c r="AM10" t="str" cm="1">
        <f t="array" ref="AM10">TEXT(SUMPRODUCT(CODE(MID(Table1[[#This Row],[home_gym_location]],_xlfn.SEQUENCE(LEN(Table1[[#This Row],[home_gym_location]])),1))),"00000")</f>
        <v>01450</v>
      </c>
      <c r="AN1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" t="str">
        <f>LEFT(_xlfn.TEXTBEFORE(Table1[[#This Row],[Location Identifier]],"-"),3) &amp; "-" &amp; _xlfn.TEXTAFTER(Table1[[#This Row],[Location Identifier]],"-")</f>
        <v>SAN-009</v>
      </c>
      <c r="AP10" s="9">
        <f t="shared" ca="1" si="0"/>
        <v>45869</v>
      </c>
    </row>
    <row r="11" spans="1:42" x14ac:dyDescent="0.25">
      <c r="A11">
        <v>33</v>
      </c>
      <c r="B11" t="s">
        <v>42</v>
      </c>
      <c r="C11">
        <v>4</v>
      </c>
      <c r="D11" t="s">
        <v>52</v>
      </c>
      <c r="E11" t="b">
        <v>0</v>
      </c>
      <c r="F11" s="1">
        <v>0.43333333333333335</v>
      </c>
      <c r="G11" s="1">
        <v>0.49166666666666664</v>
      </c>
      <c r="H11">
        <v>84</v>
      </c>
      <c r="I11" t="b">
        <v>1</v>
      </c>
      <c r="J11" t="b">
        <v>0</v>
      </c>
      <c r="K11" t="b">
        <v>0</v>
      </c>
      <c r="L11" t="s">
        <v>28</v>
      </c>
      <c r="M11">
        <v>20</v>
      </c>
      <c r="N11" t="s">
        <v>29</v>
      </c>
      <c r="O11">
        <v>20</v>
      </c>
      <c r="P11" t="s">
        <v>40</v>
      </c>
      <c r="Q11">
        <v>0.1</v>
      </c>
      <c r="R11">
        <v>18</v>
      </c>
      <c r="S11" t="s">
        <v>44</v>
      </c>
      <c r="T11" t="s">
        <v>54</v>
      </c>
      <c r="U11">
        <v>32.715699999999998</v>
      </c>
      <c r="V11">
        <v>-117.1611</v>
      </c>
      <c r="W11" s="2">
        <v>45076</v>
      </c>
      <c r="X11">
        <v>0</v>
      </c>
      <c r="Y11" t="b">
        <v>1</v>
      </c>
      <c r="Z11" s="2">
        <v>45818</v>
      </c>
      <c r="AA11" t="str">
        <f t="shared" si="1"/>
        <v>30–39</v>
      </c>
      <c r="AB11" t="str">
        <f t="shared" si="2"/>
        <v>30–39</v>
      </c>
      <c r="AC11" t="str">
        <f t="shared" si="3"/>
        <v>Monday</v>
      </c>
      <c r="AD11" t="str">
        <f t="shared" si="4"/>
        <v/>
      </c>
      <c r="AE11" t="str">
        <f t="shared" si="5"/>
        <v/>
      </c>
      <c r="AF11" t="str">
        <f t="shared" si="6"/>
        <v>Thursday</v>
      </c>
      <c r="AG11" t="str">
        <f t="shared" si="7"/>
        <v>Friday</v>
      </c>
      <c r="AH11" t="str">
        <f t="shared" si="8"/>
        <v/>
      </c>
      <c r="AI11" t="str">
        <f t="shared" si="9"/>
        <v>Sunday</v>
      </c>
      <c r="AJ11" t="str">
        <f>LEFT(Table1[[#This Row],[membership_type]],2)&amp;TEXT(Table1[[#This Row],[age]],"00")&amp;"-"&amp;TEXT(ROW(),"000")</f>
        <v>Ba33-011</v>
      </c>
      <c r="AK11" t="str">
        <f>LEFT(Table1[[#This Row],[membership_type]],1)&amp;TEXT(MATCH(Table1[[#This Row],[membership_type]],Table1[membership_type],0),"00")</f>
        <v>B04</v>
      </c>
      <c r="AL11" t="str">
        <f>LEFT(Table1[[#This Row],[discount_type]],1)&amp;TEXT(ROUND(Table1[[#This Row],[discount_rate]]*100,0),"00")</f>
        <v>L10</v>
      </c>
      <c r="AM11" t="str" cm="1">
        <f t="array" ref="AM11">TEXT(SUMPRODUCT(CODE(MID(Table1[[#This Row],[home_gym_location]],_xlfn.SEQUENCE(LEN(Table1[[#This Row],[home_gym_location]])),1))),"00000")</f>
        <v>01018</v>
      </c>
      <c r="AN1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" t="str">
        <f>LEFT(_xlfn.TEXTBEFORE(Table1[[#This Row],[Location Identifier]],"-"),3) &amp; "-" &amp; _xlfn.TEXTAFTER(Table1[[#This Row],[Location Identifier]],"-")</f>
        <v>SAN-008</v>
      </c>
      <c r="AP11" s="9">
        <f t="shared" ca="1" si="0"/>
        <v>45869</v>
      </c>
    </row>
    <row r="12" spans="1:42" x14ac:dyDescent="0.25">
      <c r="A12">
        <v>14</v>
      </c>
      <c r="B12" t="s">
        <v>33</v>
      </c>
      <c r="C12">
        <v>3</v>
      </c>
      <c r="D12" t="s">
        <v>60</v>
      </c>
      <c r="E12" t="b">
        <v>0</v>
      </c>
      <c r="F12" s="1">
        <v>0.42430555555555555</v>
      </c>
      <c r="G12" s="1">
        <v>0.49722222222222223</v>
      </c>
      <c r="H12">
        <v>105</v>
      </c>
      <c r="I12" t="b">
        <v>1</v>
      </c>
      <c r="J12" t="b">
        <v>0</v>
      </c>
      <c r="K12" t="b">
        <v>1</v>
      </c>
      <c r="L12" t="s">
        <v>28</v>
      </c>
      <c r="M12">
        <v>30</v>
      </c>
      <c r="N12" t="s">
        <v>29</v>
      </c>
      <c r="O12">
        <v>30</v>
      </c>
      <c r="P12" t="s">
        <v>36</v>
      </c>
      <c r="Q12">
        <v>0</v>
      </c>
      <c r="R12">
        <v>30</v>
      </c>
      <c r="S12" t="s">
        <v>37</v>
      </c>
      <c r="T12" t="s">
        <v>59</v>
      </c>
      <c r="U12">
        <v>37.774900000000002</v>
      </c>
      <c r="V12">
        <v>-122.4194</v>
      </c>
      <c r="W12" s="2">
        <v>45809</v>
      </c>
      <c r="X12">
        <v>0</v>
      </c>
      <c r="Y12" t="b">
        <v>0</v>
      </c>
      <c r="Z12" s="2">
        <v>45859</v>
      </c>
      <c r="AA12" t="str">
        <f t="shared" si="1"/>
        <v>10–19</v>
      </c>
      <c r="AB12" t="str">
        <f t="shared" si="2"/>
        <v>Under 16</v>
      </c>
      <c r="AC12" t="str">
        <f t="shared" si="3"/>
        <v/>
      </c>
      <c r="AD12" t="str">
        <f t="shared" si="4"/>
        <v/>
      </c>
      <c r="AE12" t="str">
        <f t="shared" si="5"/>
        <v>Wednesday</v>
      </c>
      <c r="AF12" t="str">
        <f t="shared" si="6"/>
        <v/>
      </c>
      <c r="AG12" t="str">
        <f t="shared" si="7"/>
        <v/>
      </c>
      <c r="AH12" t="str">
        <f t="shared" si="8"/>
        <v>Saturday</v>
      </c>
      <c r="AI12" t="str">
        <f t="shared" si="9"/>
        <v>Sunday</v>
      </c>
      <c r="AJ12" t="str">
        <f>LEFT(Table1[[#This Row],[membership_type]],2)&amp;TEXT(Table1[[#This Row],[age]],"00")&amp;"-"&amp;TEXT(ROW(),"000")</f>
        <v>St14-012</v>
      </c>
      <c r="AK12" t="str">
        <f>LEFT(Table1[[#This Row],[membership_type]],1)&amp;TEXT(MATCH(Table1[[#This Row],[membership_type]],Table1[membership_type],0),"00")</f>
        <v>S02</v>
      </c>
      <c r="AL12" t="str">
        <f>LEFT(Table1[[#This Row],[discount_type]],1)&amp;TEXT(ROUND(Table1[[#This Row],[discount_rate]]*100,0),"00")</f>
        <v>N00</v>
      </c>
      <c r="AM12" t="str" cm="1">
        <f t="array" ref="AM12">TEXT(SUMPRODUCT(CODE(MID(Table1[[#This Row],[home_gym_location]],_xlfn.SEQUENCE(LEN(Table1[[#This Row],[home_gym_location]])),1))),"00000")</f>
        <v>01450</v>
      </c>
      <c r="AN1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" t="str">
        <f>LEFT(_xlfn.TEXTBEFORE(Table1[[#This Row],[Location Identifier]],"-"),3) &amp; "-" &amp; _xlfn.TEXTAFTER(Table1[[#This Row],[Location Identifier]],"-")</f>
        <v>SAN-009</v>
      </c>
      <c r="AP12" s="9">
        <f t="shared" ca="1" si="0"/>
        <v>45869</v>
      </c>
    </row>
    <row r="13" spans="1:42" x14ac:dyDescent="0.25">
      <c r="A13">
        <v>43</v>
      </c>
      <c r="B13" t="s">
        <v>33</v>
      </c>
      <c r="C13">
        <v>2</v>
      </c>
      <c r="D13" t="s">
        <v>61</v>
      </c>
      <c r="E13" t="b">
        <v>0</v>
      </c>
      <c r="F13" s="1">
        <v>0.81944444444444442</v>
      </c>
      <c r="G13" s="1">
        <v>0.93888888888888888</v>
      </c>
      <c r="H13">
        <v>172</v>
      </c>
      <c r="I13" t="b">
        <v>0</v>
      </c>
      <c r="J13" t="b">
        <v>1</v>
      </c>
      <c r="K13" t="b">
        <v>0</v>
      </c>
      <c r="L13" t="s">
        <v>62</v>
      </c>
      <c r="M13">
        <v>30</v>
      </c>
      <c r="N13" t="s">
        <v>29</v>
      </c>
      <c r="O13">
        <v>30</v>
      </c>
      <c r="P13" t="s">
        <v>30</v>
      </c>
      <c r="Q13">
        <v>0.05</v>
      </c>
      <c r="R13">
        <v>28.5</v>
      </c>
      <c r="S13" t="s">
        <v>37</v>
      </c>
      <c r="T13" t="s">
        <v>50</v>
      </c>
      <c r="U13">
        <v>34.052199999999999</v>
      </c>
      <c r="V13">
        <v>-118.2437</v>
      </c>
      <c r="W13" s="2">
        <v>44798</v>
      </c>
      <c r="X13">
        <v>6</v>
      </c>
      <c r="Y13" t="b">
        <v>1</v>
      </c>
      <c r="Z13" s="2">
        <v>45802</v>
      </c>
      <c r="AA13" t="str">
        <f t="shared" si="1"/>
        <v>40–49</v>
      </c>
      <c r="AB13" t="str">
        <f t="shared" si="2"/>
        <v>40–49</v>
      </c>
      <c r="AC13" t="str">
        <f t="shared" si="3"/>
        <v/>
      </c>
      <c r="AD13" t="str">
        <f t="shared" si="4"/>
        <v>Tuesday</v>
      </c>
      <c r="AE13" t="str">
        <f t="shared" si="5"/>
        <v/>
      </c>
      <c r="AF13" t="str">
        <f t="shared" si="6"/>
        <v/>
      </c>
      <c r="AG13" t="str">
        <f t="shared" si="7"/>
        <v/>
      </c>
      <c r="AH13" t="str">
        <f t="shared" si="8"/>
        <v>Saturday</v>
      </c>
      <c r="AI13" t="str">
        <f t="shared" si="9"/>
        <v/>
      </c>
      <c r="AJ13" t="str">
        <f>LEFT(Table1[[#This Row],[membership_type]],2)&amp;TEXT(Table1[[#This Row],[age]],"00")&amp;"-"&amp;TEXT(ROW(),"000")</f>
        <v>St43-013</v>
      </c>
      <c r="AK13" t="str">
        <f>LEFT(Table1[[#This Row],[membership_type]],1)&amp;TEXT(MATCH(Table1[[#This Row],[membership_type]],Table1[membership_type],0),"00")</f>
        <v>S02</v>
      </c>
      <c r="AL13" t="str">
        <f>LEFT(Table1[[#This Row],[discount_type]],1)&amp;TEXT(ROUND(Table1[[#This Row],[discount_rate]]*100,0),"00")</f>
        <v>P05</v>
      </c>
      <c r="AM13" t="str" cm="1">
        <f t="array" ref="AM13">TEXT(SUMPRODUCT(CODE(MID(Table1[[#This Row],[home_gym_location]],_xlfn.SEQUENCE(LEN(Table1[[#This Row],[home_gym_location]])),1))),"00000")</f>
        <v>01245</v>
      </c>
      <c r="AN1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" t="str">
        <f>LEFT(_xlfn.TEXTBEFORE(Table1[[#This Row],[Location Identifier]],"-"),3) &amp; "-" &amp; _xlfn.TEXTAFTER(Table1[[#This Row],[Location Identifier]],"-")</f>
        <v>LOS-005</v>
      </c>
      <c r="AP13" s="9">
        <f t="shared" ca="1" si="0"/>
        <v>45869</v>
      </c>
    </row>
    <row r="14" spans="1:42" x14ac:dyDescent="0.25">
      <c r="A14">
        <v>33</v>
      </c>
      <c r="B14" t="s">
        <v>33</v>
      </c>
      <c r="C14">
        <v>1</v>
      </c>
      <c r="D14" t="s">
        <v>63</v>
      </c>
      <c r="E14" t="b">
        <v>1</v>
      </c>
      <c r="F14" s="1">
        <v>0.69513888888888886</v>
      </c>
      <c r="G14" s="1">
        <v>0.77013888888888893</v>
      </c>
      <c r="H14">
        <v>108</v>
      </c>
      <c r="I14" t="b">
        <v>0</v>
      </c>
      <c r="J14" t="b">
        <v>0</v>
      </c>
      <c r="K14" t="b">
        <v>1</v>
      </c>
      <c r="L14" t="s">
        <v>35</v>
      </c>
      <c r="M14">
        <v>30</v>
      </c>
      <c r="N14" t="s">
        <v>64</v>
      </c>
      <c r="O14">
        <v>22.5</v>
      </c>
      <c r="P14" t="s">
        <v>36</v>
      </c>
      <c r="Q14">
        <v>0</v>
      </c>
      <c r="R14">
        <v>22.5</v>
      </c>
      <c r="S14" t="s">
        <v>37</v>
      </c>
      <c r="T14" t="s">
        <v>41</v>
      </c>
      <c r="U14">
        <v>37.804400000000001</v>
      </c>
      <c r="V14">
        <v>-122.27119999999999</v>
      </c>
      <c r="W14" s="2">
        <v>44944</v>
      </c>
      <c r="X14">
        <v>0</v>
      </c>
      <c r="Y14" t="b">
        <v>0</v>
      </c>
      <c r="Z14" s="2">
        <v>45811</v>
      </c>
      <c r="AA14" t="str">
        <f t="shared" si="1"/>
        <v>30–39</v>
      </c>
      <c r="AB14" t="str">
        <f t="shared" si="2"/>
        <v>30–39</v>
      </c>
      <c r="AC14" t="str">
        <f t="shared" si="3"/>
        <v/>
      </c>
      <c r="AD14" t="str">
        <f t="shared" si="4"/>
        <v/>
      </c>
      <c r="AE14" t="str">
        <f t="shared" si="5"/>
        <v>Wednesday</v>
      </c>
      <c r="AF14" t="str">
        <f t="shared" si="6"/>
        <v/>
      </c>
      <c r="AG14" t="str">
        <f t="shared" si="7"/>
        <v/>
      </c>
      <c r="AH14" t="str">
        <f t="shared" si="8"/>
        <v/>
      </c>
      <c r="AI14" t="str">
        <f t="shared" si="9"/>
        <v/>
      </c>
      <c r="AJ14" t="str">
        <f>LEFT(Table1[[#This Row],[membership_type]],2)&amp;TEXT(Table1[[#This Row],[age]],"00")&amp;"-"&amp;TEXT(ROW(),"000")</f>
        <v>St33-014</v>
      </c>
      <c r="AK14" t="str">
        <f>LEFT(Table1[[#This Row],[membership_type]],1)&amp;TEXT(MATCH(Table1[[#This Row],[membership_type]],Table1[membership_type],0),"00")</f>
        <v>S02</v>
      </c>
      <c r="AL14" t="str">
        <f>LEFT(Table1[[#This Row],[discount_type]],1)&amp;TEXT(ROUND(Table1[[#This Row],[discount_rate]]*100,0),"00")</f>
        <v>N00</v>
      </c>
      <c r="AM14" t="str" cm="1">
        <f t="array" ref="AM14">TEXT(SUMPRODUCT(CODE(MID(Table1[[#This Row],[home_gym_location]],_xlfn.SEQUENCE(LEN(Table1[[#This Row],[home_gym_location]])),1))),"00000")</f>
        <v>00906</v>
      </c>
      <c r="AN1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" t="str">
        <f>LEFT(_xlfn.TEXTBEFORE(Table1[[#This Row],[Location Identifier]],"-"),3) &amp; "-" &amp; _xlfn.TEXTAFTER(Table1[[#This Row],[Location Identifier]],"-")</f>
        <v>OAK-006</v>
      </c>
      <c r="AP14" s="9">
        <f t="shared" ca="1" si="0"/>
        <v>45869</v>
      </c>
    </row>
    <row r="15" spans="1:42" x14ac:dyDescent="0.25">
      <c r="A15">
        <v>28</v>
      </c>
      <c r="B15" t="s">
        <v>33</v>
      </c>
      <c r="C15">
        <v>3</v>
      </c>
      <c r="D15" t="s">
        <v>57</v>
      </c>
      <c r="E15" t="b">
        <v>0</v>
      </c>
      <c r="F15" s="1">
        <v>0.45</v>
      </c>
      <c r="G15" s="1">
        <v>0.50624999999999998</v>
      </c>
      <c r="H15">
        <v>81</v>
      </c>
      <c r="I15" t="b">
        <v>0</v>
      </c>
      <c r="J15" t="b">
        <v>0</v>
      </c>
      <c r="K15" t="b">
        <v>0</v>
      </c>
      <c r="L15" t="s">
        <v>28</v>
      </c>
      <c r="M15">
        <v>30</v>
      </c>
      <c r="N15" t="s">
        <v>29</v>
      </c>
      <c r="O15">
        <v>30</v>
      </c>
      <c r="P15" t="s">
        <v>30</v>
      </c>
      <c r="Q15">
        <v>0.05</v>
      </c>
      <c r="R15">
        <v>28.5</v>
      </c>
      <c r="S15" t="s">
        <v>37</v>
      </c>
      <c r="T15" t="s">
        <v>65</v>
      </c>
      <c r="U15">
        <v>33.770099999999999</v>
      </c>
      <c r="V15">
        <v>-118.19370000000001</v>
      </c>
      <c r="W15" s="2">
        <v>45604</v>
      </c>
      <c r="X15">
        <v>0</v>
      </c>
      <c r="Y15" t="b">
        <v>0</v>
      </c>
      <c r="Z15" s="2">
        <v>45848</v>
      </c>
      <c r="AA15" t="str">
        <f t="shared" si="1"/>
        <v>20–29</v>
      </c>
      <c r="AB15" t="str">
        <f t="shared" si="2"/>
        <v>20–29</v>
      </c>
      <c r="AC15" t="str">
        <f t="shared" si="3"/>
        <v/>
      </c>
      <c r="AD15" t="str">
        <f t="shared" si="4"/>
        <v/>
      </c>
      <c r="AE15" t="str">
        <f t="shared" si="5"/>
        <v>Wednesday</v>
      </c>
      <c r="AF15" t="str">
        <f t="shared" si="6"/>
        <v>Thursday</v>
      </c>
      <c r="AG15" t="str">
        <f t="shared" si="7"/>
        <v/>
      </c>
      <c r="AH15" t="str">
        <f t="shared" si="8"/>
        <v>Saturday</v>
      </c>
      <c r="AI15" t="str">
        <f t="shared" si="9"/>
        <v/>
      </c>
      <c r="AJ15" t="str">
        <f>LEFT(Table1[[#This Row],[membership_type]],2)&amp;TEXT(Table1[[#This Row],[age]],"00")&amp;"-"&amp;TEXT(ROW(),"000")</f>
        <v>St28-015</v>
      </c>
      <c r="AK15" t="str">
        <f>LEFT(Table1[[#This Row],[membership_type]],1)&amp;TEXT(MATCH(Table1[[#This Row],[membership_type]],Table1[membership_type],0),"00")</f>
        <v>S02</v>
      </c>
      <c r="AL15" t="str">
        <f>LEFT(Table1[[#This Row],[discount_type]],1)&amp;TEXT(ROUND(Table1[[#This Row],[discount_rate]]*100,0),"00")</f>
        <v>P05</v>
      </c>
      <c r="AM15" t="str" cm="1">
        <f t="array" ref="AM15">TEXT(SUMPRODUCT(CODE(MID(Table1[[#This Row],[home_gym_location]],_xlfn.SEQUENCE(LEN(Table1[[#This Row],[home_gym_location]])),1))),"00000")</f>
        <v>01107</v>
      </c>
      <c r="AN1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" t="str">
        <f>LEFT(_xlfn.TEXTBEFORE(Table1[[#This Row],[Location Identifier]],"-"),3) &amp; "-" &amp; _xlfn.TEXTAFTER(Table1[[#This Row],[Location Identifier]],"-")</f>
        <v>LON-004</v>
      </c>
      <c r="AP15" s="9">
        <f t="shared" ca="1" si="0"/>
        <v>45869</v>
      </c>
    </row>
    <row r="16" spans="1:42" x14ac:dyDescent="0.25">
      <c r="A16">
        <v>49</v>
      </c>
      <c r="B16" t="s">
        <v>42</v>
      </c>
      <c r="C16">
        <v>5</v>
      </c>
      <c r="D16" t="s">
        <v>66</v>
      </c>
      <c r="E16" t="b">
        <v>1</v>
      </c>
      <c r="F16" s="1">
        <v>0.43611111111111112</v>
      </c>
      <c r="G16" s="1">
        <v>0.47152777777777777</v>
      </c>
      <c r="H16">
        <v>51</v>
      </c>
      <c r="I16" t="b">
        <v>0</v>
      </c>
      <c r="J16" t="b">
        <v>0</v>
      </c>
      <c r="K16" t="b">
        <v>0</v>
      </c>
      <c r="L16" t="s">
        <v>62</v>
      </c>
      <c r="M16">
        <v>20</v>
      </c>
      <c r="N16" t="s">
        <v>64</v>
      </c>
      <c r="O16">
        <v>15</v>
      </c>
      <c r="P16" t="s">
        <v>30</v>
      </c>
      <c r="Q16">
        <v>0.05</v>
      </c>
      <c r="R16">
        <v>14.25</v>
      </c>
      <c r="S16" t="s">
        <v>44</v>
      </c>
      <c r="T16" t="s">
        <v>38</v>
      </c>
      <c r="U16">
        <v>36.7378</v>
      </c>
      <c r="V16">
        <v>-119.7871</v>
      </c>
      <c r="W16" s="2">
        <v>45637</v>
      </c>
      <c r="X16">
        <v>0</v>
      </c>
      <c r="Y16" t="b">
        <v>0</v>
      </c>
      <c r="Z16" s="2">
        <v>45850</v>
      </c>
      <c r="AA16" t="str">
        <f t="shared" si="1"/>
        <v>40–49</v>
      </c>
      <c r="AB16" t="str">
        <f t="shared" si="2"/>
        <v>40–49</v>
      </c>
      <c r="AC16" t="str">
        <f t="shared" si="3"/>
        <v>Monday</v>
      </c>
      <c r="AD16" t="str">
        <f t="shared" si="4"/>
        <v>Tuesday</v>
      </c>
      <c r="AE16" t="str">
        <f t="shared" si="5"/>
        <v>Wednesday</v>
      </c>
      <c r="AF16" t="str">
        <f t="shared" si="6"/>
        <v/>
      </c>
      <c r="AG16" t="str">
        <f t="shared" si="7"/>
        <v>Friday</v>
      </c>
      <c r="AH16" t="str">
        <f t="shared" si="8"/>
        <v/>
      </c>
      <c r="AI16" t="str">
        <f t="shared" si="9"/>
        <v>Sunday</v>
      </c>
      <c r="AJ16" t="str">
        <f>LEFT(Table1[[#This Row],[membership_type]],2)&amp;TEXT(Table1[[#This Row],[age]],"00")&amp;"-"&amp;TEXT(ROW(),"000")</f>
        <v>Ba49-016</v>
      </c>
      <c r="AK16" t="str">
        <f>LEFT(Table1[[#This Row],[membership_type]],1)&amp;TEXT(MATCH(Table1[[#This Row],[membership_type]],Table1[membership_type],0),"00")</f>
        <v>B04</v>
      </c>
      <c r="AL16" t="str">
        <f>LEFT(Table1[[#This Row],[discount_type]],1)&amp;TEXT(ROUND(Table1[[#This Row],[discount_rate]]*100,0),"00")</f>
        <v>P05</v>
      </c>
      <c r="AM16" t="str" cm="1">
        <f t="array" ref="AM16">TEXT(SUMPRODUCT(CODE(MID(Table1[[#This Row],[home_gym_location]],_xlfn.SEQUENCE(LEN(Table1[[#This Row],[home_gym_location]])),1))),"00000")</f>
        <v>00829</v>
      </c>
      <c r="AN16" t="str">
        <f>UPPER(_xlfn.TEXTBEFORE(Table1[[#This Row],[home_gym_location]],","))&amp;"-"&amp;TEXT(MATCH(Table1[[#This Row],[home_gym_location]],_xlfn._xlws.SORT(_xlfn.UNIQUE(Table1[home_gym_location])),0),"000")</f>
        <v>FRESNO-003</v>
      </c>
      <c r="AO16" t="str">
        <f>LEFT(_xlfn.TEXTBEFORE(Table1[[#This Row],[Location Identifier]],"-"),3) &amp; "-" &amp; _xlfn.TEXTAFTER(Table1[[#This Row],[Location Identifier]],"-")</f>
        <v>FRE-003</v>
      </c>
      <c r="AP16" s="9">
        <f t="shared" ca="1" si="0"/>
        <v>45869</v>
      </c>
    </row>
    <row r="17" spans="1:42" x14ac:dyDescent="0.25">
      <c r="A17">
        <v>27</v>
      </c>
      <c r="B17" t="s">
        <v>26</v>
      </c>
      <c r="C17">
        <v>1</v>
      </c>
      <c r="D17" t="s">
        <v>67</v>
      </c>
      <c r="E17" t="b">
        <v>0</v>
      </c>
      <c r="F17" s="1">
        <v>0.59513888888888888</v>
      </c>
      <c r="G17" s="1">
        <v>0.65416666666666667</v>
      </c>
      <c r="H17">
        <v>85</v>
      </c>
      <c r="I17" t="b">
        <v>0</v>
      </c>
      <c r="J17" t="b">
        <v>0</v>
      </c>
      <c r="K17" t="b">
        <v>0</v>
      </c>
      <c r="L17" t="s">
        <v>47</v>
      </c>
      <c r="M17">
        <v>50</v>
      </c>
      <c r="N17" t="s">
        <v>64</v>
      </c>
      <c r="O17">
        <v>37.5</v>
      </c>
      <c r="P17" t="s">
        <v>30</v>
      </c>
      <c r="Q17">
        <v>0.05</v>
      </c>
      <c r="R17">
        <v>35.625</v>
      </c>
      <c r="S17" t="s">
        <v>31</v>
      </c>
      <c r="T17" t="s">
        <v>56</v>
      </c>
      <c r="U17">
        <v>35.3733</v>
      </c>
      <c r="V17">
        <v>-119.0187</v>
      </c>
      <c r="W17" s="2">
        <v>45635</v>
      </c>
      <c r="X17">
        <v>0</v>
      </c>
      <c r="Y17" t="b">
        <v>1</v>
      </c>
      <c r="Z17" s="2">
        <v>45849</v>
      </c>
      <c r="AA17" t="str">
        <f t="shared" si="1"/>
        <v>20–29</v>
      </c>
      <c r="AB17" t="str">
        <f t="shared" si="2"/>
        <v>20–29</v>
      </c>
      <c r="AC17" t="str">
        <f t="shared" si="3"/>
        <v/>
      </c>
      <c r="AD17" t="str">
        <f t="shared" si="4"/>
        <v/>
      </c>
      <c r="AE17" t="str">
        <f t="shared" si="5"/>
        <v/>
      </c>
      <c r="AF17" t="str">
        <f t="shared" si="6"/>
        <v>Thursday</v>
      </c>
      <c r="AG17" t="str">
        <f t="shared" si="7"/>
        <v/>
      </c>
      <c r="AH17" t="str">
        <f t="shared" si="8"/>
        <v/>
      </c>
      <c r="AI17" t="str">
        <f t="shared" si="9"/>
        <v/>
      </c>
      <c r="AJ17" t="str">
        <f>LEFT(Table1[[#This Row],[membership_type]],2)&amp;TEXT(Table1[[#This Row],[age]],"00")&amp;"-"&amp;TEXT(ROW(),"000")</f>
        <v>Pr27-017</v>
      </c>
      <c r="AK17" t="str">
        <f>LEFT(Table1[[#This Row],[membership_type]],1)&amp;TEXT(MATCH(Table1[[#This Row],[membership_type]],Table1[membership_type],0),"00")</f>
        <v>P01</v>
      </c>
      <c r="AL17" t="str">
        <f>LEFT(Table1[[#This Row],[discount_type]],1)&amp;TEXT(ROUND(Table1[[#This Row],[discount_rate]]*100,0),"00")</f>
        <v>P05</v>
      </c>
      <c r="AM17" t="str" cm="1">
        <f t="array" ref="AM17">TEXT(SUMPRODUCT(CODE(MID(Table1[[#This Row],[home_gym_location]],_xlfn.SEQUENCE(LEN(Table1[[#This Row],[home_gym_location]])),1))),"00000")</f>
        <v>01324</v>
      </c>
      <c r="AN1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" t="str">
        <f>LEFT(_xlfn.TEXTBEFORE(Table1[[#This Row],[Location Identifier]],"-"),3) &amp; "-" &amp; _xlfn.TEXTAFTER(Table1[[#This Row],[Location Identifier]],"-")</f>
        <v>BAK-002</v>
      </c>
      <c r="AP17" s="9">
        <f t="shared" ca="1" si="0"/>
        <v>45869</v>
      </c>
    </row>
    <row r="18" spans="1:42" x14ac:dyDescent="0.25">
      <c r="A18">
        <v>26</v>
      </c>
      <c r="B18" t="s">
        <v>33</v>
      </c>
      <c r="C18">
        <v>5</v>
      </c>
      <c r="D18" t="s">
        <v>68</v>
      </c>
      <c r="E18" t="b">
        <v>0</v>
      </c>
      <c r="F18" s="1">
        <v>0.56527777777777777</v>
      </c>
      <c r="G18" s="1">
        <v>0.6381944444444444</v>
      </c>
      <c r="H18">
        <v>105</v>
      </c>
      <c r="I18" t="b">
        <v>1</v>
      </c>
      <c r="J18" t="b">
        <v>0</v>
      </c>
      <c r="K18" t="b">
        <v>1</v>
      </c>
      <c r="L18" t="s">
        <v>58</v>
      </c>
      <c r="M18">
        <v>30</v>
      </c>
      <c r="N18" t="s">
        <v>29</v>
      </c>
      <c r="O18">
        <v>30</v>
      </c>
      <c r="P18" t="s">
        <v>36</v>
      </c>
      <c r="Q18">
        <v>0</v>
      </c>
      <c r="R18">
        <v>30</v>
      </c>
      <c r="S18" t="s">
        <v>37</v>
      </c>
      <c r="T18" t="s">
        <v>32</v>
      </c>
      <c r="U18">
        <v>37.338200000000001</v>
      </c>
      <c r="V18">
        <v>-121.88630000000001</v>
      </c>
      <c r="W18" s="2">
        <v>45506</v>
      </c>
      <c r="X18">
        <v>0</v>
      </c>
      <c r="Y18" t="b">
        <v>1</v>
      </c>
      <c r="Z18" s="2">
        <v>45842</v>
      </c>
      <c r="AA18" t="str">
        <f t="shared" si="1"/>
        <v>20–29</v>
      </c>
      <c r="AB18" t="str">
        <f t="shared" si="2"/>
        <v>20–29</v>
      </c>
      <c r="AC18" t="str">
        <f t="shared" si="3"/>
        <v>Monday</v>
      </c>
      <c r="AD18" t="str">
        <f t="shared" si="4"/>
        <v>Tuesday</v>
      </c>
      <c r="AE18" t="str">
        <f t="shared" si="5"/>
        <v/>
      </c>
      <c r="AF18" t="str">
        <f t="shared" si="6"/>
        <v>Thursday</v>
      </c>
      <c r="AG18" t="str">
        <f t="shared" si="7"/>
        <v>Friday</v>
      </c>
      <c r="AH18" t="str">
        <f t="shared" si="8"/>
        <v>Saturday</v>
      </c>
      <c r="AI18" t="str">
        <f t="shared" si="9"/>
        <v/>
      </c>
      <c r="AJ18" t="str">
        <f>LEFT(Table1[[#This Row],[membership_type]],2)&amp;TEXT(Table1[[#This Row],[age]],"00")&amp;"-"&amp;TEXT(ROW(),"000")</f>
        <v>St26-018</v>
      </c>
      <c r="AK18" t="str">
        <f>LEFT(Table1[[#This Row],[membership_type]],1)&amp;TEXT(MATCH(Table1[[#This Row],[membership_type]],Table1[membership_type],0),"00")</f>
        <v>S02</v>
      </c>
      <c r="AL18" t="str">
        <f>LEFT(Table1[[#This Row],[discount_type]],1)&amp;TEXT(ROUND(Table1[[#This Row],[discount_rate]]*100,0),"00")</f>
        <v>N00</v>
      </c>
      <c r="AM18" t="str" cm="1">
        <f t="array" ref="AM18">TEXT(SUMPRODUCT(CODE(MID(Table1[[#This Row],[home_gym_location]],_xlfn.SEQUENCE(LEN(Table1[[#This Row],[home_gym_location]])),1))),"00000")</f>
        <v>00931</v>
      </c>
      <c r="AN1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" t="str">
        <f>LEFT(_xlfn.TEXTBEFORE(Table1[[#This Row],[Location Identifier]],"-"),3) &amp; "-" &amp; _xlfn.TEXTAFTER(Table1[[#This Row],[Location Identifier]],"-")</f>
        <v>SAN-010</v>
      </c>
      <c r="AP18" s="9">
        <f t="shared" ca="1" si="0"/>
        <v>45869</v>
      </c>
    </row>
    <row r="19" spans="1:42" x14ac:dyDescent="0.25">
      <c r="A19">
        <v>25</v>
      </c>
      <c r="B19" t="s">
        <v>26</v>
      </c>
      <c r="C19">
        <v>5</v>
      </c>
      <c r="D19" t="s">
        <v>69</v>
      </c>
      <c r="E19" t="b">
        <v>1</v>
      </c>
      <c r="F19" s="1">
        <v>0.51736111111111116</v>
      </c>
      <c r="G19" s="1">
        <v>0.56944444444444442</v>
      </c>
      <c r="H19">
        <v>75</v>
      </c>
      <c r="I19" t="b">
        <v>1</v>
      </c>
      <c r="J19" t="b">
        <v>0</v>
      </c>
      <c r="K19" t="b">
        <v>1</v>
      </c>
      <c r="L19" t="s">
        <v>28</v>
      </c>
      <c r="M19">
        <v>50</v>
      </c>
      <c r="N19" t="s">
        <v>29</v>
      </c>
      <c r="O19">
        <v>50</v>
      </c>
      <c r="P19" t="s">
        <v>36</v>
      </c>
      <c r="Q19">
        <v>0</v>
      </c>
      <c r="R19">
        <v>50</v>
      </c>
      <c r="S19" t="s">
        <v>31</v>
      </c>
      <c r="T19" t="s">
        <v>32</v>
      </c>
      <c r="U19">
        <v>37.338200000000001</v>
      </c>
      <c r="V19">
        <v>-121.88630000000001</v>
      </c>
      <c r="W19" s="2">
        <v>45272</v>
      </c>
      <c r="X19">
        <v>0</v>
      </c>
      <c r="Y19" t="b">
        <v>1</v>
      </c>
      <c r="Z19" s="2">
        <v>45829</v>
      </c>
      <c r="AA19" t="str">
        <f t="shared" si="1"/>
        <v>20–29</v>
      </c>
      <c r="AB19" t="str">
        <f t="shared" si="2"/>
        <v>20–29</v>
      </c>
      <c r="AC19" t="str">
        <f t="shared" si="3"/>
        <v>Monday</v>
      </c>
      <c r="AD19" t="str">
        <f t="shared" si="4"/>
        <v/>
      </c>
      <c r="AE19" t="str">
        <f t="shared" si="5"/>
        <v>Wednesday</v>
      </c>
      <c r="AF19" t="str">
        <f t="shared" si="6"/>
        <v>Thursday</v>
      </c>
      <c r="AG19" t="str">
        <f t="shared" si="7"/>
        <v/>
      </c>
      <c r="AH19" t="str">
        <f t="shared" si="8"/>
        <v>Saturday</v>
      </c>
      <c r="AI19" t="str">
        <f t="shared" si="9"/>
        <v>Sunday</v>
      </c>
      <c r="AJ19" t="str">
        <f>LEFT(Table1[[#This Row],[membership_type]],2)&amp;TEXT(Table1[[#This Row],[age]],"00")&amp;"-"&amp;TEXT(ROW(),"000")</f>
        <v>Pr25-019</v>
      </c>
      <c r="AK19" t="str">
        <f>LEFT(Table1[[#This Row],[membership_type]],1)&amp;TEXT(MATCH(Table1[[#This Row],[membership_type]],Table1[membership_type],0),"00")</f>
        <v>P01</v>
      </c>
      <c r="AL19" t="str">
        <f>LEFT(Table1[[#This Row],[discount_type]],1)&amp;TEXT(ROUND(Table1[[#This Row],[discount_rate]]*100,0),"00")</f>
        <v>N00</v>
      </c>
      <c r="AM19" t="str" cm="1">
        <f t="array" ref="AM19">TEXT(SUMPRODUCT(CODE(MID(Table1[[#This Row],[home_gym_location]],_xlfn.SEQUENCE(LEN(Table1[[#This Row],[home_gym_location]])),1))),"00000")</f>
        <v>00931</v>
      </c>
      <c r="AN1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" t="str">
        <f>LEFT(_xlfn.TEXTBEFORE(Table1[[#This Row],[Location Identifier]],"-"),3) &amp; "-" &amp; _xlfn.TEXTAFTER(Table1[[#This Row],[Location Identifier]],"-")</f>
        <v>SAN-010</v>
      </c>
      <c r="AP19" s="9">
        <f t="shared" ca="1" si="0"/>
        <v>45869</v>
      </c>
    </row>
    <row r="20" spans="1:42" x14ac:dyDescent="0.25">
      <c r="A20">
        <v>13</v>
      </c>
      <c r="B20" t="s">
        <v>26</v>
      </c>
      <c r="C20">
        <v>2</v>
      </c>
      <c r="D20" t="s">
        <v>43</v>
      </c>
      <c r="E20" t="b">
        <v>0</v>
      </c>
      <c r="F20" s="1">
        <v>0.7270833333333333</v>
      </c>
      <c r="G20" s="1">
        <v>0.8</v>
      </c>
      <c r="H20">
        <v>105</v>
      </c>
      <c r="I20" t="b">
        <v>0</v>
      </c>
      <c r="J20" t="b">
        <v>0</v>
      </c>
      <c r="K20" t="b">
        <v>0</v>
      </c>
      <c r="L20" t="s">
        <v>47</v>
      </c>
      <c r="M20">
        <v>50</v>
      </c>
      <c r="N20" t="s">
        <v>64</v>
      </c>
      <c r="O20">
        <v>37.5</v>
      </c>
      <c r="P20" t="s">
        <v>30</v>
      </c>
      <c r="Q20">
        <v>0.05</v>
      </c>
      <c r="R20">
        <v>35.625</v>
      </c>
      <c r="S20" t="s">
        <v>31</v>
      </c>
      <c r="T20" t="s">
        <v>32</v>
      </c>
      <c r="U20">
        <v>37.338200000000001</v>
      </c>
      <c r="V20">
        <v>-121.88630000000001</v>
      </c>
      <c r="W20" s="2">
        <v>45370</v>
      </c>
      <c r="X20">
        <v>0</v>
      </c>
      <c r="Y20" t="b">
        <v>0</v>
      </c>
      <c r="Z20" s="2">
        <v>45835</v>
      </c>
      <c r="AA20" t="str">
        <f t="shared" si="1"/>
        <v>10–19</v>
      </c>
      <c r="AB20" t="str">
        <f t="shared" si="2"/>
        <v>Under 16</v>
      </c>
      <c r="AC20" t="str">
        <f t="shared" si="3"/>
        <v>Monday</v>
      </c>
      <c r="AD20" t="str">
        <f t="shared" si="4"/>
        <v>Tuesday</v>
      </c>
      <c r="AE20" t="str">
        <f t="shared" si="5"/>
        <v/>
      </c>
      <c r="AF20" t="str">
        <f t="shared" si="6"/>
        <v/>
      </c>
      <c r="AG20" t="str">
        <f t="shared" si="7"/>
        <v/>
      </c>
      <c r="AH20" t="str">
        <f t="shared" si="8"/>
        <v/>
      </c>
      <c r="AI20" t="str">
        <f t="shared" si="9"/>
        <v/>
      </c>
      <c r="AJ20" t="str">
        <f>LEFT(Table1[[#This Row],[membership_type]],2)&amp;TEXT(Table1[[#This Row],[age]],"00")&amp;"-"&amp;TEXT(ROW(),"000")</f>
        <v>Pr13-020</v>
      </c>
      <c r="AK20" t="str">
        <f>LEFT(Table1[[#This Row],[membership_type]],1)&amp;TEXT(MATCH(Table1[[#This Row],[membership_type]],Table1[membership_type],0),"00")</f>
        <v>P01</v>
      </c>
      <c r="AL20" t="str">
        <f>LEFT(Table1[[#This Row],[discount_type]],1)&amp;TEXT(ROUND(Table1[[#This Row],[discount_rate]]*100,0),"00")</f>
        <v>P05</v>
      </c>
      <c r="AM20" t="str" cm="1">
        <f t="array" ref="AM20">TEXT(SUMPRODUCT(CODE(MID(Table1[[#This Row],[home_gym_location]],_xlfn.SEQUENCE(LEN(Table1[[#This Row],[home_gym_location]])),1))),"00000")</f>
        <v>00931</v>
      </c>
      <c r="AN2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0" t="str">
        <f>LEFT(_xlfn.TEXTBEFORE(Table1[[#This Row],[Location Identifier]],"-"),3) &amp; "-" &amp; _xlfn.TEXTAFTER(Table1[[#This Row],[Location Identifier]],"-")</f>
        <v>SAN-010</v>
      </c>
      <c r="AP20" s="9">
        <f t="shared" ca="1" si="0"/>
        <v>45869</v>
      </c>
    </row>
    <row r="21" spans="1:42" x14ac:dyDescent="0.25">
      <c r="A21">
        <v>25</v>
      </c>
      <c r="B21" t="s">
        <v>33</v>
      </c>
      <c r="C21">
        <v>2</v>
      </c>
      <c r="D21" t="s">
        <v>70</v>
      </c>
      <c r="E21" t="b">
        <v>0</v>
      </c>
      <c r="F21" s="1">
        <v>0.44305555555555554</v>
      </c>
      <c r="G21" s="1">
        <v>0.52222222222222225</v>
      </c>
      <c r="H21">
        <v>114</v>
      </c>
      <c r="I21" t="b">
        <v>1</v>
      </c>
      <c r="J21" t="b">
        <v>1</v>
      </c>
      <c r="K21" t="b">
        <v>0</v>
      </c>
      <c r="L21" t="s">
        <v>35</v>
      </c>
      <c r="M21">
        <v>30</v>
      </c>
      <c r="N21" t="s">
        <v>64</v>
      </c>
      <c r="O21">
        <v>22.5</v>
      </c>
      <c r="P21" t="s">
        <v>30</v>
      </c>
      <c r="Q21">
        <v>0.05</v>
      </c>
      <c r="R21">
        <v>21.375</v>
      </c>
      <c r="S21" t="s">
        <v>37</v>
      </c>
      <c r="T21" t="s">
        <v>48</v>
      </c>
      <c r="U21">
        <v>38.581600000000002</v>
      </c>
      <c r="V21">
        <v>-121.4944</v>
      </c>
      <c r="W21" s="2">
        <v>45520</v>
      </c>
      <c r="X21">
        <v>8</v>
      </c>
      <c r="Y21" t="b">
        <v>0</v>
      </c>
      <c r="Z21" s="2">
        <v>45843</v>
      </c>
      <c r="AA21" t="str">
        <f t="shared" si="1"/>
        <v>20–29</v>
      </c>
      <c r="AB21" t="str">
        <f t="shared" si="2"/>
        <v>20–29</v>
      </c>
      <c r="AC21" t="str">
        <f t="shared" si="3"/>
        <v/>
      </c>
      <c r="AD21" t="str">
        <f t="shared" si="4"/>
        <v/>
      </c>
      <c r="AE21" t="str">
        <f t="shared" si="5"/>
        <v>Wednesday</v>
      </c>
      <c r="AF21" t="str">
        <f t="shared" si="6"/>
        <v>Thursday</v>
      </c>
      <c r="AG21" t="str">
        <f t="shared" si="7"/>
        <v/>
      </c>
      <c r="AH21" t="str">
        <f t="shared" si="8"/>
        <v/>
      </c>
      <c r="AI21" t="str">
        <f t="shared" si="9"/>
        <v/>
      </c>
      <c r="AJ21" t="str">
        <f>LEFT(Table1[[#This Row],[membership_type]],2)&amp;TEXT(Table1[[#This Row],[age]],"00")&amp;"-"&amp;TEXT(ROW(),"000")</f>
        <v>St25-021</v>
      </c>
      <c r="AK21" t="str">
        <f>LEFT(Table1[[#This Row],[membership_type]],1)&amp;TEXT(MATCH(Table1[[#This Row],[membership_type]],Table1[membership_type],0),"00")</f>
        <v>S02</v>
      </c>
      <c r="AL21" t="str">
        <f>LEFT(Table1[[#This Row],[discount_type]],1)&amp;TEXT(ROUND(Table1[[#This Row],[discount_rate]]*100,0),"00")</f>
        <v>P05</v>
      </c>
      <c r="AM21" t="str" cm="1">
        <f t="array" ref="AM21">TEXT(SUMPRODUCT(CODE(MID(Table1[[#This Row],[home_gym_location]],_xlfn.SEQUENCE(LEN(Table1[[#This Row],[home_gym_location]])),1))),"00000")</f>
        <v>01245</v>
      </c>
      <c r="AN2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1" t="str">
        <f>LEFT(_xlfn.TEXTBEFORE(Table1[[#This Row],[Location Identifier]],"-"),3) &amp; "-" &amp; _xlfn.TEXTAFTER(Table1[[#This Row],[Location Identifier]],"-")</f>
        <v>SAC-007</v>
      </c>
      <c r="AP21" s="9">
        <f t="shared" ca="1" si="0"/>
        <v>45869</v>
      </c>
    </row>
    <row r="22" spans="1:42" x14ac:dyDescent="0.25">
      <c r="A22">
        <v>21</v>
      </c>
      <c r="B22" t="s">
        <v>26</v>
      </c>
      <c r="C22">
        <v>1</v>
      </c>
      <c r="D22" t="s">
        <v>49</v>
      </c>
      <c r="E22" t="b">
        <v>1</v>
      </c>
      <c r="F22" s="1">
        <v>0.6069444444444444</v>
      </c>
      <c r="G22" s="1">
        <v>0.62777777777777777</v>
      </c>
      <c r="H22">
        <v>30</v>
      </c>
      <c r="I22" t="b">
        <v>1</v>
      </c>
      <c r="J22" t="b">
        <v>1</v>
      </c>
      <c r="K22" t="b">
        <v>1</v>
      </c>
      <c r="L22" t="s">
        <v>28</v>
      </c>
      <c r="M22">
        <v>50</v>
      </c>
      <c r="N22" t="s">
        <v>64</v>
      </c>
      <c r="O22">
        <v>37.5</v>
      </c>
      <c r="P22" t="s">
        <v>36</v>
      </c>
      <c r="Q22">
        <v>0</v>
      </c>
      <c r="R22">
        <v>37.5</v>
      </c>
      <c r="S22" t="s">
        <v>31</v>
      </c>
      <c r="T22" t="s">
        <v>65</v>
      </c>
      <c r="U22">
        <v>33.770099999999999</v>
      </c>
      <c r="V22">
        <v>-118.19370000000001</v>
      </c>
      <c r="W22" s="2">
        <v>45179</v>
      </c>
      <c r="X22">
        <v>2</v>
      </c>
      <c r="Y22" t="b">
        <v>1</v>
      </c>
      <c r="Z22" s="2">
        <v>45824</v>
      </c>
      <c r="AA22" t="str">
        <f t="shared" si="1"/>
        <v>20–29</v>
      </c>
      <c r="AB22" t="str">
        <f t="shared" si="2"/>
        <v>20–29</v>
      </c>
      <c r="AC22" t="str">
        <f t="shared" si="3"/>
        <v/>
      </c>
      <c r="AD22" t="str">
        <f t="shared" si="4"/>
        <v/>
      </c>
      <c r="AE22" t="str">
        <f t="shared" si="5"/>
        <v/>
      </c>
      <c r="AF22" t="str">
        <f t="shared" si="6"/>
        <v/>
      </c>
      <c r="AG22" t="str">
        <f t="shared" si="7"/>
        <v/>
      </c>
      <c r="AH22" t="str">
        <f t="shared" si="8"/>
        <v/>
      </c>
      <c r="AI22" t="str">
        <f t="shared" si="9"/>
        <v>Sunday</v>
      </c>
      <c r="AJ22" t="str">
        <f>LEFT(Table1[[#This Row],[membership_type]],2)&amp;TEXT(Table1[[#This Row],[age]],"00")&amp;"-"&amp;TEXT(ROW(),"000")</f>
        <v>Pr21-022</v>
      </c>
      <c r="AK22" t="str">
        <f>LEFT(Table1[[#This Row],[membership_type]],1)&amp;TEXT(MATCH(Table1[[#This Row],[membership_type]],Table1[membership_type],0),"00")</f>
        <v>P01</v>
      </c>
      <c r="AL22" t="str">
        <f>LEFT(Table1[[#This Row],[discount_type]],1)&amp;TEXT(ROUND(Table1[[#This Row],[discount_rate]]*100,0),"00")</f>
        <v>N00</v>
      </c>
      <c r="AM22" t="str" cm="1">
        <f t="array" ref="AM22">TEXT(SUMPRODUCT(CODE(MID(Table1[[#This Row],[home_gym_location]],_xlfn.SEQUENCE(LEN(Table1[[#This Row],[home_gym_location]])),1))),"00000")</f>
        <v>01107</v>
      </c>
      <c r="AN2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2" t="str">
        <f>LEFT(_xlfn.TEXTBEFORE(Table1[[#This Row],[Location Identifier]],"-"),3) &amp; "-" &amp; _xlfn.TEXTAFTER(Table1[[#This Row],[Location Identifier]],"-")</f>
        <v>LON-004</v>
      </c>
      <c r="AP22" s="9">
        <f t="shared" ca="1" si="0"/>
        <v>45869</v>
      </c>
    </row>
    <row r="23" spans="1:42" x14ac:dyDescent="0.25">
      <c r="A23">
        <v>37</v>
      </c>
      <c r="B23" t="s">
        <v>33</v>
      </c>
      <c r="C23">
        <v>1</v>
      </c>
      <c r="D23" t="s">
        <v>71</v>
      </c>
      <c r="E23" t="b">
        <v>1</v>
      </c>
      <c r="F23" s="1">
        <v>0.75416666666666665</v>
      </c>
      <c r="G23" s="1">
        <v>0.83263888888888893</v>
      </c>
      <c r="H23">
        <v>113</v>
      </c>
      <c r="I23" t="b">
        <v>0</v>
      </c>
      <c r="J23" t="b">
        <v>0</v>
      </c>
      <c r="K23" t="b">
        <v>0</v>
      </c>
      <c r="L23" t="s">
        <v>62</v>
      </c>
      <c r="M23">
        <v>30</v>
      </c>
      <c r="N23" t="s">
        <v>29</v>
      </c>
      <c r="O23">
        <v>30</v>
      </c>
      <c r="P23" t="s">
        <v>36</v>
      </c>
      <c r="Q23">
        <v>0</v>
      </c>
      <c r="R23">
        <v>30</v>
      </c>
      <c r="S23" t="s">
        <v>37</v>
      </c>
      <c r="T23" t="s">
        <v>59</v>
      </c>
      <c r="U23">
        <v>37.774900000000002</v>
      </c>
      <c r="V23">
        <v>-122.4194</v>
      </c>
      <c r="W23" s="2">
        <v>45682</v>
      </c>
      <c r="X23">
        <v>0</v>
      </c>
      <c r="Y23" t="b">
        <v>0</v>
      </c>
      <c r="Z23" s="2">
        <v>45852</v>
      </c>
      <c r="AA23" t="str">
        <f t="shared" si="1"/>
        <v>30–39</v>
      </c>
      <c r="AB23" t="str">
        <f t="shared" si="2"/>
        <v>30–39</v>
      </c>
      <c r="AC23" t="str">
        <f t="shared" si="3"/>
        <v/>
      </c>
      <c r="AD23" t="str">
        <f t="shared" si="4"/>
        <v>Tuesday</v>
      </c>
      <c r="AE23" t="str">
        <f t="shared" si="5"/>
        <v/>
      </c>
      <c r="AF23" t="str">
        <f t="shared" si="6"/>
        <v/>
      </c>
      <c r="AG23" t="str">
        <f t="shared" si="7"/>
        <v/>
      </c>
      <c r="AH23" t="str">
        <f t="shared" si="8"/>
        <v/>
      </c>
      <c r="AI23" t="str">
        <f t="shared" si="9"/>
        <v/>
      </c>
      <c r="AJ23" t="str">
        <f>LEFT(Table1[[#This Row],[membership_type]],2)&amp;TEXT(Table1[[#This Row],[age]],"00")&amp;"-"&amp;TEXT(ROW(),"000")</f>
        <v>St37-023</v>
      </c>
      <c r="AK23" t="str">
        <f>LEFT(Table1[[#This Row],[membership_type]],1)&amp;TEXT(MATCH(Table1[[#This Row],[membership_type]],Table1[membership_type],0),"00")</f>
        <v>S02</v>
      </c>
      <c r="AL23" t="str">
        <f>LEFT(Table1[[#This Row],[discount_type]],1)&amp;TEXT(ROUND(Table1[[#This Row],[discount_rate]]*100,0),"00")</f>
        <v>N00</v>
      </c>
      <c r="AM23" t="str" cm="1">
        <f t="array" ref="AM23">TEXT(SUMPRODUCT(CODE(MID(Table1[[#This Row],[home_gym_location]],_xlfn.SEQUENCE(LEN(Table1[[#This Row],[home_gym_location]])),1))),"00000")</f>
        <v>01450</v>
      </c>
      <c r="AN2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3" t="str">
        <f>LEFT(_xlfn.TEXTBEFORE(Table1[[#This Row],[Location Identifier]],"-"),3) &amp; "-" &amp; _xlfn.TEXTAFTER(Table1[[#This Row],[Location Identifier]],"-")</f>
        <v>SAN-009</v>
      </c>
      <c r="AP23" s="9">
        <f t="shared" ca="1" si="0"/>
        <v>45869</v>
      </c>
    </row>
    <row r="24" spans="1:42" x14ac:dyDescent="0.25">
      <c r="A24">
        <v>23</v>
      </c>
      <c r="B24" t="s">
        <v>33</v>
      </c>
      <c r="C24">
        <v>1</v>
      </c>
      <c r="D24" t="s">
        <v>63</v>
      </c>
      <c r="E24" t="b">
        <v>1</v>
      </c>
      <c r="F24" s="1">
        <v>0.79166666666666663</v>
      </c>
      <c r="G24" s="1">
        <v>0.8256944444444444</v>
      </c>
      <c r="H24">
        <v>49</v>
      </c>
      <c r="I24" t="b">
        <v>1</v>
      </c>
      <c r="J24" t="b">
        <v>0</v>
      </c>
      <c r="K24" t="b">
        <v>1</v>
      </c>
      <c r="L24" t="s">
        <v>62</v>
      </c>
      <c r="M24">
        <v>30</v>
      </c>
      <c r="N24" t="s">
        <v>29</v>
      </c>
      <c r="O24">
        <v>30</v>
      </c>
      <c r="P24" t="s">
        <v>30</v>
      </c>
      <c r="Q24">
        <v>0.05</v>
      </c>
      <c r="R24">
        <v>28.5</v>
      </c>
      <c r="S24" t="s">
        <v>37</v>
      </c>
      <c r="T24" t="s">
        <v>56</v>
      </c>
      <c r="U24">
        <v>35.3733</v>
      </c>
      <c r="V24">
        <v>-119.0187</v>
      </c>
      <c r="W24" s="2">
        <v>45519</v>
      </c>
      <c r="X24">
        <v>0</v>
      </c>
      <c r="Y24" t="b">
        <v>0</v>
      </c>
      <c r="Z24" s="2">
        <v>45843</v>
      </c>
      <c r="AA24" t="str">
        <f t="shared" si="1"/>
        <v>20–29</v>
      </c>
      <c r="AB24" t="str">
        <f t="shared" si="2"/>
        <v>20–29</v>
      </c>
      <c r="AC24" t="str">
        <f t="shared" si="3"/>
        <v/>
      </c>
      <c r="AD24" t="str">
        <f t="shared" si="4"/>
        <v/>
      </c>
      <c r="AE24" t="str">
        <f t="shared" si="5"/>
        <v>Wednesday</v>
      </c>
      <c r="AF24" t="str">
        <f t="shared" si="6"/>
        <v/>
      </c>
      <c r="AG24" t="str">
        <f t="shared" si="7"/>
        <v/>
      </c>
      <c r="AH24" t="str">
        <f t="shared" si="8"/>
        <v/>
      </c>
      <c r="AI24" t="str">
        <f t="shared" si="9"/>
        <v/>
      </c>
      <c r="AJ24" t="str">
        <f>LEFT(Table1[[#This Row],[membership_type]],2)&amp;TEXT(Table1[[#This Row],[age]],"00")&amp;"-"&amp;TEXT(ROW(),"000")</f>
        <v>St23-024</v>
      </c>
      <c r="AK24" t="str">
        <f>LEFT(Table1[[#This Row],[membership_type]],1)&amp;TEXT(MATCH(Table1[[#This Row],[membership_type]],Table1[membership_type],0),"00")</f>
        <v>S02</v>
      </c>
      <c r="AL24" t="str">
        <f>LEFT(Table1[[#This Row],[discount_type]],1)&amp;TEXT(ROUND(Table1[[#This Row],[discount_rate]]*100,0),"00")</f>
        <v>P05</v>
      </c>
      <c r="AM24" t="str" cm="1">
        <f t="array" ref="AM24">TEXT(SUMPRODUCT(CODE(MID(Table1[[#This Row],[home_gym_location]],_xlfn.SEQUENCE(LEN(Table1[[#This Row],[home_gym_location]])),1))),"00000")</f>
        <v>01324</v>
      </c>
      <c r="AN2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4" t="str">
        <f>LEFT(_xlfn.TEXTBEFORE(Table1[[#This Row],[Location Identifier]],"-"),3) &amp; "-" &amp; _xlfn.TEXTAFTER(Table1[[#This Row],[Location Identifier]],"-")</f>
        <v>BAK-002</v>
      </c>
      <c r="AP24" s="9">
        <f t="shared" ca="1" si="0"/>
        <v>45869</v>
      </c>
    </row>
    <row r="25" spans="1:42" x14ac:dyDescent="0.25">
      <c r="A25">
        <v>34</v>
      </c>
      <c r="B25" t="s">
        <v>26</v>
      </c>
      <c r="C25">
        <v>2</v>
      </c>
      <c r="D25" t="s">
        <v>27</v>
      </c>
      <c r="E25" t="b">
        <v>1</v>
      </c>
      <c r="F25" s="1">
        <v>0.56874999999999998</v>
      </c>
      <c r="G25" s="1">
        <v>0.6069444444444444</v>
      </c>
      <c r="H25">
        <v>55</v>
      </c>
      <c r="I25" t="b">
        <v>0</v>
      </c>
      <c r="J25" t="b">
        <v>1</v>
      </c>
      <c r="K25" t="b">
        <v>0</v>
      </c>
      <c r="L25" t="s">
        <v>28</v>
      </c>
      <c r="M25">
        <v>50</v>
      </c>
      <c r="N25" t="s">
        <v>29</v>
      </c>
      <c r="O25">
        <v>50</v>
      </c>
      <c r="P25" t="s">
        <v>30</v>
      </c>
      <c r="Q25">
        <v>0.05</v>
      </c>
      <c r="R25">
        <v>47.5</v>
      </c>
      <c r="S25" t="s">
        <v>31</v>
      </c>
      <c r="T25" t="s">
        <v>54</v>
      </c>
      <c r="U25">
        <v>32.715699999999998</v>
      </c>
      <c r="V25">
        <v>-117.1611</v>
      </c>
      <c r="W25" s="2">
        <v>45440</v>
      </c>
      <c r="X25">
        <v>8</v>
      </c>
      <c r="Y25" t="b">
        <v>1</v>
      </c>
      <c r="Z25" s="2">
        <v>45839</v>
      </c>
      <c r="AA25" t="str">
        <f t="shared" si="1"/>
        <v>30–39</v>
      </c>
      <c r="AB25" t="str">
        <f t="shared" si="2"/>
        <v>30–39</v>
      </c>
      <c r="AC25" t="str">
        <f t="shared" si="3"/>
        <v/>
      </c>
      <c r="AD25" t="str">
        <f t="shared" si="4"/>
        <v/>
      </c>
      <c r="AE25" t="str">
        <f t="shared" si="5"/>
        <v/>
      </c>
      <c r="AF25" t="str">
        <f t="shared" si="6"/>
        <v>Thursday</v>
      </c>
      <c r="AG25" t="str">
        <f t="shared" si="7"/>
        <v/>
      </c>
      <c r="AH25" t="str">
        <f t="shared" si="8"/>
        <v>Saturday</v>
      </c>
      <c r="AI25" t="str">
        <f t="shared" si="9"/>
        <v/>
      </c>
      <c r="AJ25" t="str">
        <f>LEFT(Table1[[#This Row],[membership_type]],2)&amp;TEXT(Table1[[#This Row],[age]],"00")&amp;"-"&amp;TEXT(ROW(),"000")</f>
        <v>Pr34-025</v>
      </c>
      <c r="AK25" t="str">
        <f>LEFT(Table1[[#This Row],[membership_type]],1)&amp;TEXT(MATCH(Table1[[#This Row],[membership_type]],Table1[membership_type],0),"00")</f>
        <v>P01</v>
      </c>
      <c r="AL25" t="str">
        <f>LEFT(Table1[[#This Row],[discount_type]],1)&amp;TEXT(ROUND(Table1[[#This Row],[discount_rate]]*100,0),"00")</f>
        <v>P05</v>
      </c>
      <c r="AM25" t="str" cm="1">
        <f t="array" ref="AM25">TEXT(SUMPRODUCT(CODE(MID(Table1[[#This Row],[home_gym_location]],_xlfn.SEQUENCE(LEN(Table1[[#This Row],[home_gym_location]])),1))),"00000")</f>
        <v>01018</v>
      </c>
      <c r="AN2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5" t="str">
        <f>LEFT(_xlfn.TEXTBEFORE(Table1[[#This Row],[Location Identifier]],"-"),3) &amp; "-" &amp; _xlfn.TEXTAFTER(Table1[[#This Row],[Location Identifier]],"-")</f>
        <v>SAN-008</v>
      </c>
      <c r="AP25" s="9">
        <f t="shared" ca="1" si="0"/>
        <v>45869</v>
      </c>
    </row>
    <row r="26" spans="1:42" x14ac:dyDescent="0.25">
      <c r="A26">
        <v>12</v>
      </c>
      <c r="B26" t="s">
        <v>33</v>
      </c>
      <c r="C26">
        <v>5</v>
      </c>
      <c r="D26" t="s">
        <v>72</v>
      </c>
      <c r="E26" t="b">
        <v>0</v>
      </c>
      <c r="F26" s="1">
        <v>0.43402777777777779</v>
      </c>
      <c r="G26" s="1">
        <v>0.51249999999999996</v>
      </c>
      <c r="H26">
        <v>113</v>
      </c>
      <c r="I26" t="b">
        <v>0</v>
      </c>
      <c r="J26" t="b">
        <v>0</v>
      </c>
      <c r="K26" t="b">
        <v>1</v>
      </c>
      <c r="L26" t="s">
        <v>28</v>
      </c>
      <c r="M26">
        <v>30</v>
      </c>
      <c r="N26" t="s">
        <v>29</v>
      </c>
      <c r="O26">
        <v>30</v>
      </c>
      <c r="P26" t="s">
        <v>36</v>
      </c>
      <c r="Q26">
        <v>0</v>
      </c>
      <c r="R26">
        <v>30</v>
      </c>
      <c r="S26" t="s">
        <v>37</v>
      </c>
      <c r="T26" t="s">
        <v>50</v>
      </c>
      <c r="U26">
        <v>34.052199999999999</v>
      </c>
      <c r="V26">
        <v>-118.2437</v>
      </c>
      <c r="W26" s="2">
        <v>45345</v>
      </c>
      <c r="X26">
        <v>0</v>
      </c>
      <c r="Y26" t="b">
        <v>0</v>
      </c>
      <c r="Z26" s="2">
        <v>45833</v>
      </c>
      <c r="AA26" t="str">
        <f t="shared" si="1"/>
        <v>10–19</v>
      </c>
      <c r="AB26" t="str">
        <f t="shared" si="2"/>
        <v>Under 16</v>
      </c>
      <c r="AC26" t="str">
        <f t="shared" si="3"/>
        <v>Monday</v>
      </c>
      <c r="AD26" t="str">
        <f t="shared" si="4"/>
        <v/>
      </c>
      <c r="AE26" t="str">
        <f t="shared" si="5"/>
        <v>Wednesday</v>
      </c>
      <c r="AF26" t="str">
        <f t="shared" si="6"/>
        <v>Thursday</v>
      </c>
      <c r="AG26" t="str">
        <f t="shared" si="7"/>
        <v>Friday</v>
      </c>
      <c r="AH26" t="str">
        <f t="shared" si="8"/>
        <v/>
      </c>
      <c r="AI26" t="str">
        <f t="shared" si="9"/>
        <v>Sunday</v>
      </c>
      <c r="AJ26" t="str">
        <f>LEFT(Table1[[#This Row],[membership_type]],2)&amp;TEXT(Table1[[#This Row],[age]],"00")&amp;"-"&amp;TEXT(ROW(),"000")</f>
        <v>St12-026</v>
      </c>
      <c r="AK26" t="str">
        <f>LEFT(Table1[[#This Row],[membership_type]],1)&amp;TEXT(MATCH(Table1[[#This Row],[membership_type]],Table1[membership_type],0),"00")</f>
        <v>S02</v>
      </c>
      <c r="AL26" t="str">
        <f>LEFT(Table1[[#This Row],[discount_type]],1)&amp;TEXT(ROUND(Table1[[#This Row],[discount_rate]]*100,0),"00")</f>
        <v>N00</v>
      </c>
      <c r="AM26" t="str" cm="1">
        <f t="array" ref="AM26">TEXT(SUMPRODUCT(CODE(MID(Table1[[#This Row],[home_gym_location]],_xlfn.SEQUENCE(LEN(Table1[[#This Row],[home_gym_location]])),1))),"00000")</f>
        <v>01245</v>
      </c>
      <c r="AN2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6" t="str">
        <f>LEFT(_xlfn.TEXTBEFORE(Table1[[#This Row],[Location Identifier]],"-"),3) &amp; "-" &amp; _xlfn.TEXTAFTER(Table1[[#This Row],[Location Identifier]],"-")</f>
        <v>LOS-005</v>
      </c>
      <c r="AP26" s="9">
        <f t="shared" ca="1" si="0"/>
        <v>45869</v>
      </c>
    </row>
    <row r="27" spans="1:42" x14ac:dyDescent="0.25">
      <c r="A27">
        <v>40</v>
      </c>
      <c r="B27" t="s">
        <v>42</v>
      </c>
      <c r="C27">
        <v>2</v>
      </c>
      <c r="D27" t="s">
        <v>73</v>
      </c>
      <c r="E27" t="b">
        <v>1</v>
      </c>
      <c r="F27" s="1">
        <v>0.60624999999999996</v>
      </c>
      <c r="G27" s="1">
        <v>0.65277777777777779</v>
      </c>
      <c r="H27">
        <v>67</v>
      </c>
      <c r="I27" t="b">
        <v>1</v>
      </c>
      <c r="J27" t="b">
        <v>1</v>
      </c>
      <c r="K27" t="b">
        <v>0</v>
      </c>
      <c r="L27" t="s">
        <v>47</v>
      </c>
      <c r="M27">
        <v>20</v>
      </c>
      <c r="N27" t="s">
        <v>64</v>
      </c>
      <c r="O27">
        <v>15</v>
      </c>
      <c r="P27" t="s">
        <v>74</v>
      </c>
      <c r="Q27">
        <v>0.15</v>
      </c>
      <c r="R27">
        <v>12.75</v>
      </c>
      <c r="S27" t="s">
        <v>44</v>
      </c>
      <c r="T27" t="s">
        <v>41</v>
      </c>
      <c r="U27">
        <v>37.804400000000001</v>
      </c>
      <c r="V27">
        <v>-122.27119999999999</v>
      </c>
      <c r="W27" s="2">
        <v>44994</v>
      </c>
      <c r="X27">
        <v>8</v>
      </c>
      <c r="Y27" t="b">
        <v>0</v>
      </c>
      <c r="Z27" s="2">
        <v>45813</v>
      </c>
      <c r="AA27" t="str">
        <f t="shared" si="1"/>
        <v>40–49</v>
      </c>
      <c r="AB27" t="str">
        <f t="shared" si="2"/>
        <v>40–49</v>
      </c>
      <c r="AC27" t="str">
        <f t="shared" si="3"/>
        <v/>
      </c>
      <c r="AD27" t="str">
        <f t="shared" si="4"/>
        <v>Tuesday</v>
      </c>
      <c r="AE27" t="str">
        <f t="shared" si="5"/>
        <v/>
      </c>
      <c r="AF27" t="str">
        <f t="shared" si="6"/>
        <v/>
      </c>
      <c r="AG27" t="str">
        <f t="shared" si="7"/>
        <v>Friday</v>
      </c>
      <c r="AH27" t="str">
        <f t="shared" si="8"/>
        <v/>
      </c>
      <c r="AI27" t="str">
        <f t="shared" si="9"/>
        <v/>
      </c>
      <c r="AJ27" t="str">
        <f>LEFT(Table1[[#This Row],[membership_type]],2)&amp;TEXT(Table1[[#This Row],[age]],"00")&amp;"-"&amp;TEXT(ROW(),"000")</f>
        <v>Ba40-027</v>
      </c>
      <c r="AK27" t="str">
        <f>LEFT(Table1[[#This Row],[membership_type]],1)&amp;TEXT(MATCH(Table1[[#This Row],[membership_type]],Table1[membership_type],0),"00")</f>
        <v>B04</v>
      </c>
      <c r="AL27" t="str">
        <f>LEFT(Table1[[#This Row],[discount_type]],1)&amp;TEXT(ROUND(Table1[[#This Row],[discount_rate]]*100,0),"00")</f>
        <v>S15</v>
      </c>
      <c r="AM27" t="str" cm="1">
        <f t="array" ref="AM27">TEXT(SUMPRODUCT(CODE(MID(Table1[[#This Row],[home_gym_location]],_xlfn.SEQUENCE(LEN(Table1[[#This Row],[home_gym_location]])),1))),"00000")</f>
        <v>00906</v>
      </c>
      <c r="AN27" t="str">
        <f>UPPER(_xlfn.TEXTBEFORE(Table1[[#This Row],[home_gym_location]],","))&amp;"-"&amp;TEXT(MATCH(Table1[[#This Row],[home_gym_location]],_xlfn._xlws.SORT(_xlfn.UNIQUE(Table1[home_gym_location])),0),"000")</f>
        <v>OAKLAND-006</v>
      </c>
      <c r="AO27" t="str">
        <f>LEFT(_xlfn.TEXTBEFORE(Table1[[#This Row],[Location Identifier]],"-"),3) &amp; "-" &amp; _xlfn.TEXTAFTER(Table1[[#This Row],[Location Identifier]],"-")</f>
        <v>OAK-006</v>
      </c>
      <c r="AP27" s="9">
        <f t="shared" ca="1" si="0"/>
        <v>45869</v>
      </c>
    </row>
    <row r="28" spans="1:42" x14ac:dyDescent="0.25">
      <c r="A28">
        <v>49</v>
      </c>
      <c r="B28" t="s">
        <v>33</v>
      </c>
      <c r="C28">
        <v>1</v>
      </c>
      <c r="D28" t="s">
        <v>75</v>
      </c>
      <c r="E28" t="b">
        <v>1</v>
      </c>
      <c r="F28" s="1">
        <v>0.33750000000000002</v>
      </c>
      <c r="G28" s="1">
        <v>0.44513888888888886</v>
      </c>
      <c r="H28">
        <v>155</v>
      </c>
      <c r="I28" t="b">
        <v>0</v>
      </c>
      <c r="J28" t="b">
        <v>1</v>
      </c>
      <c r="K28" t="b">
        <v>0</v>
      </c>
      <c r="L28" t="s">
        <v>62</v>
      </c>
      <c r="M28">
        <v>30</v>
      </c>
      <c r="N28" t="s">
        <v>29</v>
      </c>
      <c r="O28">
        <v>30</v>
      </c>
      <c r="P28" t="s">
        <v>36</v>
      </c>
      <c r="Q28">
        <v>0</v>
      </c>
      <c r="R28">
        <v>30</v>
      </c>
      <c r="S28" t="s">
        <v>37</v>
      </c>
      <c r="T28" t="s">
        <v>45</v>
      </c>
      <c r="U28">
        <v>33.836599999999997</v>
      </c>
      <c r="V28">
        <v>-117.9143</v>
      </c>
      <c r="W28" s="2">
        <v>45618</v>
      </c>
      <c r="X28">
        <v>6</v>
      </c>
      <c r="Y28" t="b">
        <v>0</v>
      </c>
      <c r="Z28" s="2">
        <v>45849</v>
      </c>
      <c r="AA28" t="str">
        <f t="shared" si="1"/>
        <v>40–49</v>
      </c>
      <c r="AB28" t="str">
        <f t="shared" si="2"/>
        <v>40–49</v>
      </c>
      <c r="AC28" t="str">
        <f t="shared" si="3"/>
        <v/>
      </c>
      <c r="AD28" t="str">
        <f t="shared" si="4"/>
        <v/>
      </c>
      <c r="AE28" t="str">
        <f t="shared" si="5"/>
        <v/>
      </c>
      <c r="AF28" t="str">
        <f t="shared" si="6"/>
        <v/>
      </c>
      <c r="AG28" t="str">
        <f t="shared" si="7"/>
        <v>Friday</v>
      </c>
      <c r="AH28" t="str">
        <f t="shared" si="8"/>
        <v/>
      </c>
      <c r="AI28" t="str">
        <f t="shared" si="9"/>
        <v/>
      </c>
      <c r="AJ28" t="str">
        <f>LEFT(Table1[[#This Row],[membership_type]],2)&amp;TEXT(Table1[[#This Row],[age]],"00")&amp;"-"&amp;TEXT(ROW(),"000")</f>
        <v>St49-028</v>
      </c>
      <c r="AK28" t="str">
        <f>LEFT(Table1[[#This Row],[membership_type]],1)&amp;TEXT(MATCH(Table1[[#This Row],[membership_type]],Table1[membership_type],0),"00")</f>
        <v>S02</v>
      </c>
      <c r="AL28" t="str">
        <f>LEFT(Table1[[#This Row],[discount_type]],1)&amp;TEXT(ROUND(Table1[[#This Row],[discount_rate]]*100,0),"00")</f>
        <v>N00</v>
      </c>
      <c r="AM28" t="str" cm="1">
        <f t="array" ref="AM28">TEXT(SUMPRODUCT(CODE(MID(Table1[[#This Row],[home_gym_location]],_xlfn.SEQUENCE(LEN(Table1[[#This Row],[home_gym_location]])),1))),"00000")</f>
        <v>00899</v>
      </c>
      <c r="AN28" t="str">
        <f>UPPER(_xlfn.TEXTBEFORE(Table1[[#This Row],[home_gym_location]],","))&amp;"-"&amp;TEXT(MATCH(Table1[[#This Row],[home_gym_location]],_xlfn._xlws.SORT(_xlfn.UNIQUE(Table1[home_gym_location])),0),"000")</f>
        <v>ANAHEIM-001</v>
      </c>
      <c r="AO28" t="str">
        <f>LEFT(_xlfn.TEXTBEFORE(Table1[[#This Row],[Location Identifier]],"-"),3) &amp; "-" &amp; _xlfn.TEXTAFTER(Table1[[#This Row],[Location Identifier]],"-")</f>
        <v>ANA-001</v>
      </c>
      <c r="AP28" s="9">
        <f t="shared" ca="1" si="0"/>
        <v>45869</v>
      </c>
    </row>
    <row r="29" spans="1:42" x14ac:dyDescent="0.25">
      <c r="A29">
        <v>39</v>
      </c>
      <c r="B29" t="s">
        <v>42</v>
      </c>
      <c r="C29">
        <v>5</v>
      </c>
      <c r="D29" t="s">
        <v>76</v>
      </c>
      <c r="E29" t="b">
        <v>1</v>
      </c>
      <c r="F29" s="1">
        <v>0.7944444444444444</v>
      </c>
      <c r="G29" s="1">
        <v>0.83472222222222225</v>
      </c>
      <c r="H29">
        <v>58</v>
      </c>
      <c r="I29" t="b">
        <v>1</v>
      </c>
      <c r="J29" t="b">
        <v>0</v>
      </c>
      <c r="K29" t="b">
        <v>1</v>
      </c>
      <c r="L29" t="s">
        <v>28</v>
      </c>
      <c r="M29">
        <v>20</v>
      </c>
      <c r="N29" t="s">
        <v>64</v>
      </c>
      <c r="O29">
        <v>15</v>
      </c>
      <c r="P29" t="s">
        <v>36</v>
      </c>
      <c r="Q29">
        <v>0</v>
      </c>
      <c r="R29">
        <v>15</v>
      </c>
      <c r="S29" t="s">
        <v>44</v>
      </c>
      <c r="T29" t="s">
        <v>48</v>
      </c>
      <c r="U29">
        <v>38.581600000000002</v>
      </c>
      <c r="V29">
        <v>-121.4944</v>
      </c>
      <c r="W29" s="2">
        <v>45283</v>
      </c>
      <c r="X29">
        <v>0</v>
      </c>
      <c r="Y29" t="b">
        <v>1</v>
      </c>
      <c r="Z29" s="2">
        <v>45830</v>
      </c>
      <c r="AA29" t="str">
        <f t="shared" si="1"/>
        <v>30–39</v>
      </c>
      <c r="AB29" t="str">
        <f t="shared" si="2"/>
        <v>30–39</v>
      </c>
      <c r="AC29" t="str">
        <f t="shared" si="3"/>
        <v>Monday</v>
      </c>
      <c r="AD29" t="str">
        <f t="shared" si="4"/>
        <v>Tuesday</v>
      </c>
      <c r="AE29" t="str">
        <f t="shared" si="5"/>
        <v>Wednesday</v>
      </c>
      <c r="AF29" t="str">
        <f t="shared" si="6"/>
        <v>Thursday</v>
      </c>
      <c r="AG29" t="str">
        <f t="shared" si="7"/>
        <v/>
      </c>
      <c r="AH29" t="str">
        <f t="shared" si="8"/>
        <v/>
      </c>
      <c r="AI29" t="str">
        <f t="shared" si="9"/>
        <v>Sunday</v>
      </c>
      <c r="AJ29" t="str">
        <f>LEFT(Table1[[#This Row],[membership_type]],2)&amp;TEXT(Table1[[#This Row],[age]],"00")&amp;"-"&amp;TEXT(ROW(),"000")</f>
        <v>Ba39-029</v>
      </c>
      <c r="AK29" t="str">
        <f>LEFT(Table1[[#This Row],[membership_type]],1)&amp;TEXT(MATCH(Table1[[#This Row],[membership_type]],Table1[membership_type],0),"00")</f>
        <v>B04</v>
      </c>
      <c r="AL29" t="str">
        <f>LEFT(Table1[[#This Row],[discount_type]],1)&amp;TEXT(ROUND(Table1[[#This Row],[discount_rate]]*100,0),"00")</f>
        <v>N00</v>
      </c>
      <c r="AM29" t="str" cm="1">
        <f t="array" ref="AM29">TEXT(SUMPRODUCT(CODE(MID(Table1[[#This Row],[home_gym_location]],_xlfn.SEQUENCE(LEN(Table1[[#This Row],[home_gym_location]])),1))),"00000")</f>
        <v>01245</v>
      </c>
      <c r="AN2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9" t="str">
        <f>LEFT(_xlfn.TEXTBEFORE(Table1[[#This Row],[Location Identifier]],"-"),3) &amp; "-" &amp; _xlfn.TEXTAFTER(Table1[[#This Row],[Location Identifier]],"-")</f>
        <v>SAC-007</v>
      </c>
      <c r="AP29" s="9">
        <f t="shared" ca="1" si="0"/>
        <v>45869</v>
      </c>
    </row>
    <row r="30" spans="1:42" x14ac:dyDescent="0.25">
      <c r="A30">
        <v>22</v>
      </c>
      <c r="B30" t="s">
        <v>42</v>
      </c>
      <c r="C30">
        <v>5</v>
      </c>
      <c r="D30" t="s">
        <v>77</v>
      </c>
      <c r="E30" t="b">
        <v>0</v>
      </c>
      <c r="F30" s="1">
        <v>0.38611111111111113</v>
      </c>
      <c r="G30" s="1">
        <v>0.50555555555555554</v>
      </c>
      <c r="H30">
        <v>172</v>
      </c>
      <c r="I30" t="b">
        <v>0</v>
      </c>
      <c r="J30" t="b">
        <v>1</v>
      </c>
      <c r="K30" t="b">
        <v>0</v>
      </c>
      <c r="L30" t="s">
        <v>28</v>
      </c>
      <c r="M30">
        <v>20</v>
      </c>
      <c r="N30" t="s">
        <v>78</v>
      </c>
      <c r="O30">
        <v>18</v>
      </c>
      <c r="P30" t="s">
        <v>36</v>
      </c>
      <c r="Q30">
        <v>0</v>
      </c>
      <c r="R30">
        <v>18</v>
      </c>
      <c r="S30" t="s">
        <v>44</v>
      </c>
      <c r="T30" t="s">
        <v>41</v>
      </c>
      <c r="U30">
        <v>37.804400000000001</v>
      </c>
      <c r="V30">
        <v>-122.27119999999999</v>
      </c>
      <c r="W30" s="2">
        <v>45200</v>
      </c>
      <c r="X30">
        <v>7</v>
      </c>
      <c r="Y30" t="b">
        <v>0</v>
      </c>
      <c r="Z30" s="2">
        <v>45825</v>
      </c>
      <c r="AA30" t="str">
        <f t="shared" si="1"/>
        <v>20–29</v>
      </c>
      <c r="AB30" t="str">
        <f t="shared" si="2"/>
        <v>20–29</v>
      </c>
      <c r="AC30" t="str">
        <f t="shared" si="3"/>
        <v/>
      </c>
      <c r="AD30" t="str">
        <f t="shared" si="4"/>
        <v>Tuesday</v>
      </c>
      <c r="AE30" t="str">
        <f t="shared" si="5"/>
        <v>Wednesday</v>
      </c>
      <c r="AF30" t="str">
        <f t="shared" si="6"/>
        <v>Thursday</v>
      </c>
      <c r="AG30" t="str">
        <f t="shared" si="7"/>
        <v>Friday</v>
      </c>
      <c r="AH30" t="str">
        <f t="shared" si="8"/>
        <v/>
      </c>
      <c r="AI30" t="str">
        <f t="shared" si="9"/>
        <v>Sunday</v>
      </c>
      <c r="AJ30" t="str">
        <f>LEFT(Table1[[#This Row],[membership_type]],2)&amp;TEXT(Table1[[#This Row],[age]],"00")&amp;"-"&amp;TEXT(ROW(),"000")</f>
        <v>Ba22-030</v>
      </c>
      <c r="AK30" t="str">
        <f>LEFT(Table1[[#This Row],[membership_type]],1)&amp;TEXT(MATCH(Table1[[#This Row],[membership_type]],Table1[membership_type],0),"00")</f>
        <v>B04</v>
      </c>
      <c r="AL30" t="str">
        <f>LEFT(Table1[[#This Row],[discount_type]],1)&amp;TEXT(ROUND(Table1[[#This Row],[discount_rate]]*100,0),"00")</f>
        <v>N00</v>
      </c>
      <c r="AM30" t="str" cm="1">
        <f t="array" ref="AM30">TEXT(SUMPRODUCT(CODE(MID(Table1[[#This Row],[home_gym_location]],_xlfn.SEQUENCE(LEN(Table1[[#This Row],[home_gym_location]])),1))),"00000")</f>
        <v>00906</v>
      </c>
      <c r="AN30" t="str">
        <f>UPPER(_xlfn.TEXTBEFORE(Table1[[#This Row],[home_gym_location]],","))&amp;"-"&amp;TEXT(MATCH(Table1[[#This Row],[home_gym_location]],_xlfn._xlws.SORT(_xlfn.UNIQUE(Table1[home_gym_location])),0),"000")</f>
        <v>OAKLAND-006</v>
      </c>
      <c r="AO30" t="str">
        <f>LEFT(_xlfn.TEXTBEFORE(Table1[[#This Row],[Location Identifier]],"-"),3) &amp; "-" &amp; _xlfn.TEXTAFTER(Table1[[#This Row],[Location Identifier]],"-")</f>
        <v>OAK-006</v>
      </c>
      <c r="AP30" s="9">
        <f t="shared" ca="1" si="0"/>
        <v>45869</v>
      </c>
    </row>
    <row r="31" spans="1:42" x14ac:dyDescent="0.25">
      <c r="A31">
        <v>17</v>
      </c>
      <c r="B31" t="s">
        <v>26</v>
      </c>
      <c r="C31">
        <v>2</v>
      </c>
      <c r="D31" t="s">
        <v>79</v>
      </c>
      <c r="E31" t="b">
        <v>0</v>
      </c>
      <c r="F31" s="1">
        <v>0.35972222222222222</v>
      </c>
      <c r="G31" s="1">
        <v>0.47499999999999998</v>
      </c>
      <c r="H31">
        <v>166</v>
      </c>
      <c r="I31" t="b">
        <v>0</v>
      </c>
      <c r="J31" t="b">
        <v>1</v>
      </c>
      <c r="K31" t="b">
        <v>1</v>
      </c>
      <c r="L31" t="s">
        <v>35</v>
      </c>
      <c r="M31">
        <v>50</v>
      </c>
      <c r="N31" t="s">
        <v>64</v>
      </c>
      <c r="O31">
        <v>37.5</v>
      </c>
      <c r="P31" t="s">
        <v>36</v>
      </c>
      <c r="Q31">
        <v>0</v>
      </c>
      <c r="R31">
        <v>37.5</v>
      </c>
      <c r="S31" t="s">
        <v>31</v>
      </c>
      <c r="T31" t="s">
        <v>56</v>
      </c>
      <c r="U31">
        <v>35.3733</v>
      </c>
      <c r="V31">
        <v>-119.0187</v>
      </c>
      <c r="W31" s="2">
        <v>45781</v>
      </c>
      <c r="X31">
        <v>2</v>
      </c>
      <c r="Y31" t="b">
        <v>1</v>
      </c>
      <c r="Z31" s="2">
        <v>45858</v>
      </c>
      <c r="AA31" t="str">
        <f t="shared" si="1"/>
        <v>10–19</v>
      </c>
      <c r="AB31" t="str">
        <f t="shared" si="2"/>
        <v>16–19</v>
      </c>
      <c r="AC31" t="str">
        <f t="shared" si="3"/>
        <v/>
      </c>
      <c r="AD31" t="str">
        <f t="shared" si="4"/>
        <v/>
      </c>
      <c r="AE31" t="str">
        <f t="shared" si="5"/>
        <v/>
      </c>
      <c r="AF31" t="str">
        <f t="shared" si="6"/>
        <v/>
      </c>
      <c r="AG31" t="str">
        <f t="shared" si="7"/>
        <v>Friday</v>
      </c>
      <c r="AH31" t="str">
        <f t="shared" si="8"/>
        <v>Saturday</v>
      </c>
      <c r="AI31" t="str">
        <f t="shared" si="9"/>
        <v/>
      </c>
      <c r="AJ31" t="str">
        <f>LEFT(Table1[[#This Row],[membership_type]],2)&amp;TEXT(Table1[[#This Row],[age]],"00")&amp;"-"&amp;TEXT(ROW(),"000")</f>
        <v>Pr17-031</v>
      </c>
      <c r="AK31" t="str">
        <f>LEFT(Table1[[#This Row],[membership_type]],1)&amp;TEXT(MATCH(Table1[[#This Row],[membership_type]],Table1[membership_type],0),"00")</f>
        <v>P01</v>
      </c>
      <c r="AL31" t="str">
        <f>LEFT(Table1[[#This Row],[discount_type]],1)&amp;TEXT(ROUND(Table1[[#This Row],[discount_rate]]*100,0),"00")</f>
        <v>N00</v>
      </c>
      <c r="AM31" t="str" cm="1">
        <f t="array" ref="AM31">TEXT(SUMPRODUCT(CODE(MID(Table1[[#This Row],[home_gym_location]],_xlfn.SEQUENCE(LEN(Table1[[#This Row],[home_gym_location]])),1))),"00000")</f>
        <v>01324</v>
      </c>
      <c r="AN3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1" t="str">
        <f>LEFT(_xlfn.TEXTBEFORE(Table1[[#This Row],[Location Identifier]],"-"),3) &amp; "-" &amp; _xlfn.TEXTAFTER(Table1[[#This Row],[Location Identifier]],"-")</f>
        <v>BAK-002</v>
      </c>
      <c r="AP31" s="9">
        <f t="shared" ca="1" si="0"/>
        <v>45869</v>
      </c>
    </row>
    <row r="32" spans="1:42" x14ac:dyDescent="0.25">
      <c r="A32">
        <v>16</v>
      </c>
      <c r="B32" t="s">
        <v>26</v>
      </c>
      <c r="C32">
        <v>5</v>
      </c>
      <c r="D32" t="s">
        <v>34</v>
      </c>
      <c r="E32" t="b">
        <v>0</v>
      </c>
      <c r="F32" s="1">
        <v>0.77708333333333335</v>
      </c>
      <c r="G32" s="1">
        <v>0.83750000000000002</v>
      </c>
      <c r="H32">
        <v>87</v>
      </c>
      <c r="I32" t="b">
        <v>0</v>
      </c>
      <c r="J32" t="b">
        <v>1</v>
      </c>
      <c r="K32" t="b">
        <v>1</v>
      </c>
      <c r="L32" t="s">
        <v>28</v>
      </c>
      <c r="M32">
        <v>50</v>
      </c>
      <c r="N32" t="s">
        <v>29</v>
      </c>
      <c r="O32">
        <v>50</v>
      </c>
      <c r="P32" t="s">
        <v>36</v>
      </c>
      <c r="Q32">
        <v>0</v>
      </c>
      <c r="R32">
        <v>50</v>
      </c>
      <c r="S32" t="s">
        <v>31</v>
      </c>
      <c r="T32" t="s">
        <v>41</v>
      </c>
      <c r="U32">
        <v>37.804400000000001</v>
      </c>
      <c r="V32">
        <v>-122.27119999999999</v>
      </c>
      <c r="W32" s="2">
        <v>45183</v>
      </c>
      <c r="X32">
        <v>1</v>
      </c>
      <c r="Y32" t="b">
        <v>1</v>
      </c>
      <c r="Z32" s="2">
        <v>45824</v>
      </c>
      <c r="AA32" t="str">
        <f t="shared" si="1"/>
        <v>10–19</v>
      </c>
      <c r="AB32" t="str">
        <f t="shared" si="2"/>
        <v>16–19</v>
      </c>
      <c r="AC32" t="str">
        <f t="shared" si="3"/>
        <v/>
      </c>
      <c r="AD32" t="str">
        <f t="shared" si="4"/>
        <v>Tuesday</v>
      </c>
      <c r="AE32" t="str">
        <f t="shared" si="5"/>
        <v>Wednesday</v>
      </c>
      <c r="AF32" t="str">
        <f t="shared" si="6"/>
        <v>Thursday</v>
      </c>
      <c r="AG32" t="str">
        <f t="shared" si="7"/>
        <v>Friday</v>
      </c>
      <c r="AH32" t="str">
        <f t="shared" si="8"/>
        <v>Saturday</v>
      </c>
      <c r="AI32" t="str">
        <f t="shared" si="9"/>
        <v/>
      </c>
      <c r="AJ32" t="str">
        <f>LEFT(Table1[[#This Row],[membership_type]],2)&amp;TEXT(Table1[[#This Row],[age]],"00")&amp;"-"&amp;TEXT(ROW(),"000")</f>
        <v>Pr16-032</v>
      </c>
      <c r="AK32" t="str">
        <f>LEFT(Table1[[#This Row],[membership_type]],1)&amp;TEXT(MATCH(Table1[[#This Row],[membership_type]],Table1[membership_type],0),"00")</f>
        <v>P01</v>
      </c>
      <c r="AL32" t="str">
        <f>LEFT(Table1[[#This Row],[discount_type]],1)&amp;TEXT(ROUND(Table1[[#This Row],[discount_rate]]*100,0),"00")</f>
        <v>N00</v>
      </c>
      <c r="AM32" t="str" cm="1">
        <f t="array" ref="AM32">TEXT(SUMPRODUCT(CODE(MID(Table1[[#This Row],[home_gym_location]],_xlfn.SEQUENCE(LEN(Table1[[#This Row],[home_gym_location]])),1))),"00000")</f>
        <v>00906</v>
      </c>
      <c r="AN32" t="str">
        <f>UPPER(_xlfn.TEXTBEFORE(Table1[[#This Row],[home_gym_location]],","))&amp;"-"&amp;TEXT(MATCH(Table1[[#This Row],[home_gym_location]],_xlfn._xlws.SORT(_xlfn.UNIQUE(Table1[home_gym_location])),0),"000")</f>
        <v>OAKLAND-006</v>
      </c>
      <c r="AO32" t="str">
        <f>LEFT(_xlfn.TEXTBEFORE(Table1[[#This Row],[Location Identifier]],"-"),3) &amp; "-" &amp; _xlfn.TEXTAFTER(Table1[[#This Row],[Location Identifier]],"-")</f>
        <v>OAK-006</v>
      </c>
      <c r="AP32" s="9">
        <f t="shared" ca="1" si="0"/>
        <v>45869</v>
      </c>
    </row>
    <row r="33" spans="1:42" x14ac:dyDescent="0.25">
      <c r="A33">
        <v>49</v>
      </c>
      <c r="B33" t="s">
        <v>33</v>
      </c>
      <c r="C33">
        <v>3</v>
      </c>
      <c r="D33" t="s">
        <v>80</v>
      </c>
      <c r="E33" t="b">
        <v>0</v>
      </c>
      <c r="F33" s="1">
        <v>0.64236111111111116</v>
      </c>
      <c r="G33" s="1">
        <v>0.75347222222222221</v>
      </c>
      <c r="H33">
        <v>160</v>
      </c>
      <c r="I33" t="b">
        <v>1</v>
      </c>
      <c r="J33" t="b">
        <v>0</v>
      </c>
      <c r="K33" t="b">
        <v>1</v>
      </c>
      <c r="L33" t="s">
        <v>62</v>
      </c>
      <c r="M33">
        <v>30</v>
      </c>
      <c r="N33" t="s">
        <v>29</v>
      </c>
      <c r="O33">
        <v>30</v>
      </c>
      <c r="P33" t="s">
        <v>40</v>
      </c>
      <c r="Q33">
        <v>0.1</v>
      </c>
      <c r="R33">
        <v>27</v>
      </c>
      <c r="S33" t="s">
        <v>37</v>
      </c>
      <c r="T33" t="s">
        <v>50</v>
      </c>
      <c r="U33">
        <v>34.052199999999999</v>
      </c>
      <c r="V33">
        <v>-118.2437</v>
      </c>
      <c r="W33" s="2">
        <v>45649</v>
      </c>
      <c r="X33">
        <v>0</v>
      </c>
      <c r="Y33" t="b">
        <v>0</v>
      </c>
      <c r="Z33" s="2">
        <v>45850</v>
      </c>
      <c r="AA33" t="str">
        <f t="shared" si="1"/>
        <v>40–49</v>
      </c>
      <c r="AB33" t="str">
        <f t="shared" si="2"/>
        <v>40–49</v>
      </c>
      <c r="AC33" t="str">
        <f t="shared" si="3"/>
        <v>Monday</v>
      </c>
      <c r="AD33" t="str">
        <f t="shared" si="4"/>
        <v/>
      </c>
      <c r="AE33" t="str">
        <f t="shared" si="5"/>
        <v/>
      </c>
      <c r="AF33" t="str">
        <f t="shared" si="6"/>
        <v/>
      </c>
      <c r="AG33" t="str">
        <f t="shared" si="7"/>
        <v/>
      </c>
      <c r="AH33" t="str">
        <f t="shared" si="8"/>
        <v>Saturday</v>
      </c>
      <c r="AI33" t="str">
        <f t="shared" si="9"/>
        <v>Sunday</v>
      </c>
      <c r="AJ33" t="str">
        <f>LEFT(Table1[[#This Row],[membership_type]],2)&amp;TEXT(Table1[[#This Row],[age]],"00")&amp;"-"&amp;TEXT(ROW(),"000")</f>
        <v>St49-033</v>
      </c>
      <c r="AK33" t="str">
        <f>LEFT(Table1[[#This Row],[membership_type]],1)&amp;TEXT(MATCH(Table1[[#This Row],[membership_type]],Table1[membership_type],0),"00")</f>
        <v>S02</v>
      </c>
      <c r="AL33" t="str">
        <f>LEFT(Table1[[#This Row],[discount_type]],1)&amp;TEXT(ROUND(Table1[[#This Row],[discount_rate]]*100,0),"00")</f>
        <v>L10</v>
      </c>
      <c r="AM33" t="str" cm="1">
        <f t="array" ref="AM33">TEXT(SUMPRODUCT(CODE(MID(Table1[[#This Row],[home_gym_location]],_xlfn.SEQUENCE(LEN(Table1[[#This Row],[home_gym_location]])),1))),"00000")</f>
        <v>01245</v>
      </c>
      <c r="AN3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3" t="str">
        <f>LEFT(_xlfn.TEXTBEFORE(Table1[[#This Row],[Location Identifier]],"-"),3) &amp; "-" &amp; _xlfn.TEXTAFTER(Table1[[#This Row],[Location Identifier]],"-")</f>
        <v>LOS-005</v>
      </c>
      <c r="AP33" s="9">
        <f t="shared" ca="1" si="0"/>
        <v>45869</v>
      </c>
    </row>
    <row r="34" spans="1:42" x14ac:dyDescent="0.25">
      <c r="A34">
        <v>49</v>
      </c>
      <c r="B34" t="s">
        <v>33</v>
      </c>
      <c r="C34">
        <v>3</v>
      </c>
      <c r="D34" t="s">
        <v>81</v>
      </c>
      <c r="E34" t="b">
        <v>0</v>
      </c>
      <c r="F34" s="1">
        <v>0.52569444444444446</v>
      </c>
      <c r="G34" s="1">
        <v>0.55208333333333337</v>
      </c>
      <c r="H34">
        <v>38</v>
      </c>
      <c r="I34" t="b">
        <v>1</v>
      </c>
      <c r="J34" t="b">
        <v>1</v>
      </c>
      <c r="K34" t="b">
        <v>0</v>
      </c>
      <c r="L34" t="s">
        <v>28</v>
      </c>
      <c r="M34">
        <v>30</v>
      </c>
      <c r="N34" t="s">
        <v>29</v>
      </c>
      <c r="O34">
        <v>30</v>
      </c>
      <c r="P34" t="s">
        <v>36</v>
      </c>
      <c r="Q34">
        <v>0</v>
      </c>
      <c r="R34">
        <v>30</v>
      </c>
      <c r="S34" t="s">
        <v>37</v>
      </c>
      <c r="T34" t="s">
        <v>32</v>
      </c>
      <c r="U34">
        <v>37.338200000000001</v>
      </c>
      <c r="V34">
        <v>-121.88630000000001</v>
      </c>
      <c r="W34" s="2">
        <v>45761</v>
      </c>
      <c r="X34">
        <v>5</v>
      </c>
      <c r="Y34" t="b">
        <v>1</v>
      </c>
      <c r="Z34" s="2">
        <v>45857</v>
      </c>
      <c r="AA34" t="str">
        <f t="shared" si="1"/>
        <v>40–49</v>
      </c>
      <c r="AB34" t="str">
        <f t="shared" si="2"/>
        <v>40–49</v>
      </c>
      <c r="AC34" t="str">
        <f t="shared" si="3"/>
        <v>Monday</v>
      </c>
      <c r="AD34" t="str">
        <f t="shared" si="4"/>
        <v/>
      </c>
      <c r="AE34" t="str">
        <f t="shared" si="5"/>
        <v>Wednesday</v>
      </c>
      <c r="AF34" t="str">
        <f t="shared" si="6"/>
        <v/>
      </c>
      <c r="AG34" t="str">
        <f t="shared" si="7"/>
        <v>Friday</v>
      </c>
      <c r="AH34" t="str">
        <f t="shared" si="8"/>
        <v/>
      </c>
      <c r="AI34" t="str">
        <f t="shared" si="9"/>
        <v/>
      </c>
      <c r="AJ34" t="str">
        <f>LEFT(Table1[[#This Row],[membership_type]],2)&amp;TEXT(Table1[[#This Row],[age]],"00")&amp;"-"&amp;TEXT(ROW(),"000")</f>
        <v>St49-034</v>
      </c>
      <c r="AK34" t="str">
        <f>LEFT(Table1[[#This Row],[membership_type]],1)&amp;TEXT(MATCH(Table1[[#This Row],[membership_type]],Table1[membership_type],0),"00")</f>
        <v>S02</v>
      </c>
      <c r="AL34" t="str">
        <f>LEFT(Table1[[#This Row],[discount_type]],1)&amp;TEXT(ROUND(Table1[[#This Row],[discount_rate]]*100,0),"00")</f>
        <v>N00</v>
      </c>
      <c r="AM34" t="str" cm="1">
        <f t="array" ref="AM34">TEXT(SUMPRODUCT(CODE(MID(Table1[[#This Row],[home_gym_location]],_xlfn.SEQUENCE(LEN(Table1[[#This Row],[home_gym_location]])),1))),"00000")</f>
        <v>00931</v>
      </c>
      <c r="AN3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4" t="str">
        <f>LEFT(_xlfn.TEXTBEFORE(Table1[[#This Row],[Location Identifier]],"-"),3) &amp; "-" &amp; _xlfn.TEXTAFTER(Table1[[#This Row],[Location Identifier]],"-")</f>
        <v>SAN-010</v>
      </c>
      <c r="AP34" s="9">
        <f t="shared" ca="1" si="0"/>
        <v>45869</v>
      </c>
    </row>
    <row r="35" spans="1:42" x14ac:dyDescent="0.25">
      <c r="A35">
        <v>37</v>
      </c>
      <c r="B35" t="s">
        <v>33</v>
      </c>
      <c r="C35">
        <v>1</v>
      </c>
      <c r="D35" t="s">
        <v>75</v>
      </c>
      <c r="E35" t="b">
        <v>1</v>
      </c>
      <c r="F35" s="1">
        <v>0.6694444444444444</v>
      </c>
      <c r="G35" s="1">
        <v>0.76111111111111107</v>
      </c>
      <c r="H35">
        <v>132</v>
      </c>
      <c r="I35" t="b">
        <v>1</v>
      </c>
      <c r="J35" t="b">
        <v>1</v>
      </c>
      <c r="K35" t="b">
        <v>1</v>
      </c>
      <c r="L35" t="s">
        <v>28</v>
      </c>
      <c r="M35">
        <v>30</v>
      </c>
      <c r="N35" t="s">
        <v>64</v>
      </c>
      <c r="O35">
        <v>22.5</v>
      </c>
      <c r="P35" t="s">
        <v>36</v>
      </c>
      <c r="Q35">
        <v>0</v>
      </c>
      <c r="R35">
        <v>22.5</v>
      </c>
      <c r="S35" t="s">
        <v>37</v>
      </c>
      <c r="T35" t="s">
        <v>45</v>
      </c>
      <c r="U35">
        <v>33.836599999999997</v>
      </c>
      <c r="V35">
        <v>-117.9143</v>
      </c>
      <c r="W35" s="2">
        <v>44820</v>
      </c>
      <c r="X35">
        <v>6</v>
      </c>
      <c r="Y35" t="b">
        <v>0</v>
      </c>
      <c r="Z35" s="2">
        <v>45804</v>
      </c>
      <c r="AA35" t="str">
        <f t="shared" si="1"/>
        <v>30–39</v>
      </c>
      <c r="AB35" t="str">
        <f t="shared" si="2"/>
        <v>30–39</v>
      </c>
      <c r="AC35" t="str">
        <f t="shared" si="3"/>
        <v/>
      </c>
      <c r="AD35" t="str">
        <f t="shared" si="4"/>
        <v/>
      </c>
      <c r="AE35" t="str">
        <f t="shared" si="5"/>
        <v/>
      </c>
      <c r="AF35" t="str">
        <f t="shared" si="6"/>
        <v/>
      </c>
      <c r="AG35" t="str">
        <f t="shared" si="7"/>
        <v>Friday</v>
      </c>
      <c r="AH35" t="str">
        <f t="shared" si="8"/>
        <v/>
      </c>
      <c r="AI35" t="str">
        <f t="shared" si="9"/>
        <v/>
      </c>
      <c r="AJ35" t="str">
        <f>LEFT(Table1[[#This Row],[membership_type]],2)&amp;TEXT(Table1[[#This Row],[age]],"00")&amp;"-"&amp;TEXT(ROW(),"000")</f>
        <v>St37-035</v>
      </c>
      <c r="AK35" t="str">
        <f>LEFT(Table1[[#This Row],[membership_type]],1)&amp;TEXT(MATCH(Table1[[#This Row],[membership_type]],Table1[membership_type],0),"00")</f>
        <v>S02</v>
      </c>
      <c r="AL35" t="str">
        <f>LEFT(Table1[[#This Row],[discount_type]],1)&amp;TEXT(ROUND(Table1[[#This Row],[discount_rate]]*100,0),"00")</f>
        <v>N00</v>
      </c>
      <c r="AM35" t="str" cm="1">
        <f t="array" ref="AM35">TEXT(SUMPRODUCT(CODE(MID(Table1[[#This Row],[home_gym_location]],_xlfn.SEQUENCE(LEN(Table1[[#This Row],[home_gym_location]])),1))),"00000")</f>
        <v>00899</v>
      </c>
      <c r="AN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35" t="str">
        <f>LEFT(_xlfn.TEXTBEFORE(Table1[[#This Row],[Location Identifier]],"-"),3) &amp; "-" &amp; _xlfn.TEXTAFTER(Table1[[#This Row],[Location Identifier]],"-")</f>
        <v>ANA-001</v>
      </c>
      <c r="AP35" s="9">
        <f t="shared" ca="1" si="0"/>
        <v>45869</v>
      </c>
    </row>
    <row r="36" spans="1:42" x14ac:dyDescent="0.25">
      <c r="A36">
        <v>33</v>
      </c>
      <c r="B36" t="s">
        <v>33</v>
      </c>
      <c r="C36">
        <v>3</v>
      </c>
      <c r="D36" t="s">
        <v>82</v>
      </c>
      <c r="E36" t="b">
        <v>0</v>
      </c>
      <c r="F36" s="1">
        <v>0.63402777777777775</v>
      </c>
      <c r="G36" s="1">
        <v>0.69861111111111107</v>
      </c>
      <c r="H36">
        <v>93</v>
      </c>
      <c r="I36" t="b">
        <v>0</v>
      </c>
      <c r="J36" t="b">
        <v>1</v>
      </c>
      <c r="K36" t="b">
        <v>1</v>
      </c>
      <c r="L36" t="s">
        <v>28</v>
      </c>
      <c r="M36">
        <v>30</v>
      </c>
      <c r="N36" t="s">
        <v>29</v>
      </c>
      <c r="O36">
        <v>30</v>
      </c>
      <c r="P36" t="s">
        <v>74</v>
      </c>
      <c r="Q36">
        <v>0.15</v>
      </c>
      <c r="R36">
        <v>25.5</v>
      </c>
      <c r="S36" t="s">
        <v>37</v>
      </c>
      <c r="T36" t="s">
        <v>50</v>
      </c>
      <c r="U36">
        <v>34.052199999999999</v>
      </c>
      <c r="V36">
        <v>-118.2437</v>
      </c>
      <c r="W36" s="2">
        <v>44802</v>
      </c>
      <c r="X36">
        <v>4</v>
      </c>
      <c r="Y36" t="b">
        <v>1</v>
      </c>
      <c r="Z36" s="2">
        <v>45803</v>
      </c>
      <c r="AA36" t="str">
        <f t="shared" si="1"/>
        <v>30–39</v>
      </c>
      <c r="AB36" t="str">
        <f t="shared" si="2"/>
        <v>30–39</v>
      </c>
      <c r="AC36" t="str">
        <f t="shared" si="3"/>
        <v/>
      </c>
      <c r="AD36" t="str">
        <f t="shared" si="4"/>
        <v/>
      </c>
      <c r="AE36" t="str">
        <f t="shared" si="5"/>
        <v/>
      </c>
      <c r="AF36" t="str">
        <f t="shared" si="6"/>
        <v/>
      </c>
      <c r="AG36" t="str">
        <f t="shared" si="7"/>
        <v>Friday</v>
      </c>
      <c r="AH36" t="str">
        <f t="shared" si="8"/>
        <v>Saturday</v>
      </c>
      <c r="AI36" t="str">
        <f t="shared" si="9"/>
        <v>Sunday</v>
      </c>
      <c r="AJ36" t="str">
        <f>LEFT(Table1[[#This Row],[membership_type]],2)&amp;TEXT(Table1[[#This Row],[age]],"00")&amp;"-"&amp;TEXT(ROW(),"000")</f>
        <v>St33-036</v>
      </c>
      <c r="AK36" t="str">
        <f>LEFT(Table1[[#This Row],[membership_type]],1)&amp;TEXT(MATCH(Table1[[#This Row],[membership_type]],Table1[membership_type],0),"00")</f>
        <v>S02</v>
      </c>
      <c r="AL36" t="str">
        <f>LEFT(Table1[[#This Row],[discount_type]],1)&amp;TEXT(ROUND(Table1[[#This Row],[discount_rate]]*100,0),"00")</f>
        <v>S15</v>
      </c>
      <c r="AM36" t="str" cm="1">
        <f t="array" ref="AM36">TEXT(SUMPRODUCT(CODE(MID(Table1[[#This Row],[home_gym_location]],_xlfn.SEQUENCE(LEN(Table1[[#This Row],[home_gym_location]])),1))),"00000")</f>
        <v>01245</v>
      </c>
      <c r="AN3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6" t="str">
        <f>LEFT(_xlfn.TEXTBEFORE(Table1[[#This Row],[Location Identifier]],"-"),3) &amp; "-" &amp; _xlfn.TEXTAFTER(Table1[[#This Row],[Location Identifier]],"-")</f>
        <v>LOS-005</v>
      </c>
      <c r="AP36" s="9">
        <f t="shared" ca="1" si="0"/>
        <v>45869</v>
      </c>
    </row>
    <row r="37" spans="1:42" x14ac:dyDescent="0.25">
      <c r="A37">
        <v>23</v>
      </c>
      <c r="B37" t="s">
        <v>33</v>
      </c>
      <c r="C37">
        <v>3</v>
      </c>
      <c r="D37" t="s">
        <v>83</v>
      </c>
      <c r="E37" t="b">
        <v>1</v>
      </c>
      <c r="F37" s="1">
        <v>0.5229166666666667</v>
      </c>
      <c r="G37" s="1">
        <v>0.6118055555555556</v>
      </c>
      <c r="H37">
        <v>128</v>
      </c>
      <c r="I37" t="b">
        <v>0</v>
      </c>
      <c r="J37" t="b">
        <v>0</v>
      </c>
      <c r="K37" t="b">
        <v>0</v>
      </c>
      <c r="L37" t="s">
        <v>35</v>
      </c>
      <c r="M37">
        <v>30</v>
      </c>
      <c r="N37" t="s">
        <v>78</v>
      </c>
      <c r="O37">
        <v>27</v>
      </c>
      <c r="P37" t="s">
        <v>36</v>
      </c>
      <c r="Q37">
        <v>0</v>
      </c>
      <c r="R37">
        <v>27</v>
      </c>
      <c r="S37" t="s">
        <v>37</v>
      </c>
      <c r="T37" t="s">
        <v>56</v>
      </c>
      <c r="U37">
        <v>35.3733</v>
      </c>
      <c r="V37">
        <v>-119.0187</v>
      </c>
      <c r="W37" s="2">
        <v>44970</v>
      </c>
      <c r="X37">
        <v>0</v>
      </c>
      <c r="Y37" t="b">
        <v>0</v>
      </c>
      <c r="Z37" s="2">
        <v>45812</v>
      </c>
      <c r="AA37" t="str">
        <f t="shared" si="1"/>
        <v>20–29</v>
      </c>
      <c r="AB37" t="str">
        <f t="shared" si="2"/>
        <v>20–29</v>
      </c>
      <c r="AC37" t="str">
        <f t="shared" si="3"/>
        <v/>
      </c>
      <c r="AD37" t="str">
        <f t="shared" si="4"/>
        <v>Tuesday</v>
      </c>
      <c r="AE37" t="str">
        <f t="shared" si="5"/>
        <v>Wednesday</v>
      </c>
      <c r="AF37" t="str">
        <f t="shared" si="6"/>
        <v/>
      </c>
      <c r="AG37" t="str">
        <f t="shared" si="7"/>
        <v/>
      </c>
      <c r="AH37" t="str">
        <f t="shared" si="8"/>
        <v>Saturday</v>
      </c>
      <c r="AI37" t="str">
        <f t="shared" si="9"/>
        <v/>
      </c>
      <c r="AJ37" t="str">
        <f>LEFT(Table1[[#This Row],[membership_type]],2)&amp;TEXT(Table1[[#This Row],[age]],"00")&amp;"-"&amp;TEXT(ROW(),"000")</f>
        <v>St23-037</v>
      </c>
      <c r="AK37" t="str">
        <f>LEFT(Table1[[#This Row],[membership_type]],1)&amp;TEXT(MATCH(Table1[[#This Row],[membership_type]],Table1[membership_type],0),"00")</f>
        <v>S02</v>
      </c>
      <c r="AL37" t="str">
        <f>LEFT(Table1[[#This Row],[discount_type]],1)&amp;TEXT(ROUND(Table1[[#This Row],[discount_rate]]*100,0),"00")</f>
        <v>N00</v>
      </c>
      <c r="AM37" t="str" cm="1">
        <f t="array" ref="AM37">TEXT(SUMPRODUCT(CODE(MID(Table1[[#This Row],[home_gym_location]],_xlfn.SEQUENCE(LEN(Table1[[#This Row],[home_gym_location]])),1))),"00000")</f>
        <v>01324</v>
      </c>
      <c r="AN3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7" t="str">
        <f>LEFT(_xlfn.TEXTBEFORE(Table1[[#This Row],[Location Identifier]],"-"),3) &amp; "-" &amp; _xlfn.TEXTAFTER(Table1[[#This Row],[Location Identifier]],"-")</f>
        <v>BAK-002</v>
      </c>
      <c r="AP37" s="9">
        <f t="shared" ca="1" si="0"/>
        <v>45869</v>
      </c>
    </row>
    <row r="38" spans="1:42" x14ac:dyDescent="0.25">
      <c r="A38">
        <v>14</v>
      </c>
      <c r="B38" t="s">
        <v>26</v>
      </c>
      <c r="C38">
        <v>2</v>
      </c>
      <c r="D38" t="s">
        <v>84</v>
      </c>
      <c r="E38" t="b">
        <v>0</v>
      </c>
      <c r="F38" s="1">
        <v>0.51597222222222228</v>
      </c>
      <c r="G38" s="1">
        <v>0.61388888888888893</v>
      </c>
      <c r="H38">
        <v>141</v>
      </c>
      <c r="I38" t="b">
        <v>1</v>
      </c>
      <c r="J38" t="b">
        <v>1</v>
      </c>
      <c r="K38" t="b">
        <v>1</v>
      </c>
      <c r="L38" t="s">
        <v>58</v>
      </c>
      <c r="M38">
        <v>50</v>
      </c>
      <c r="N38" t="s">
        <v>29</v>
      </c>
      <c r="O38">
        <v>50</v>
      </c>
      <c r="P38" t="s">
        <v>40</v>
      </c>
      <c r="Q38">
        <v>0.1</v>
      </c>
      <c r="R38">
        <v>45</v>
      </c>
      <c r="S38" t="s">
        <v>31</v>
      </c>
      <c r="T38" t="s">
        <v>41</v>
      </c>
      <c r="U38">
        <v>37.804400000000001</v>
      </c>
      <c r="V38">
        <v>-122.27119999999999</v>
      </c>
      <c r="W38" s="2">
        <v>45506</v>
      </c>
      <c r="X38">
        <v>1</v>
      </c>
      <c r="Y38" t="b">
        <v>0</v>
      </c>
      <c r="Z38" s="2">
        <v>45842</v>
      </c>
      <c r="AA38" t="str">
        <f t="shared" si="1"/>
        <v>10–19</v>
      </c>
      <c r="AB38" t="str">
        <f t="shared" si="2"/>
        <v>Under 16</v>
      </c>
      <c r="AC38" t="str">
        <f t="shared" si="3"/>
        <v/>
      </c>
      <c r="AD38" t="str">
        <f t="shared" si="4"/>
        <v>Tuesday</v>
      </c>
      <c r="AE38" t="str">
        <f t="shared" si="5"/>
        <v/>
      </c>
      <c r="AF38" t="str">
        <f t="shared" si="6"/>
        <v/>
      </c>
      <c r="AG38" t="str">
        <f t="shared" si="7"/>
        <v/>
      </c>
      <c r="AH38" t="str">
        <f t="shared" si="8"/>
        <v/>
      </c>
      <c r="AI38" t="str">
        <f t="shared" si="9"/>
        <v>Sunday</v>
      </c>
      <c r="AJ38" t="str">
        <f>LEFT(Table1[[#This Row],[membership_type]],2)&amp;TEXT(Table1[[#This Row],[age]],"00")&amp;"-"&amp;TEXT(ROW(),"000")</f>
        <v>Pr14-038</v>
      </c>
      <c r="AK38" t="str">
        <f>LEFT(Table1[[#This Row],[membership_type]],1)&amp;TEXT(MATCH(Table1[[#This Row],[membership_type]],Table1[membership_type],0),"00")</f>
        <v>P01</v>
      </c>
      <c r="AL38" t="str">
        <f>LEFT(Table1[[#This Row],[discount_type]],1)&amp;TEXT(ROUND(Table1[[#This Row],[discount_rate]]*100,0),"00")</f>
        <v>L10</v>
      </c>
      <c r="AM38" t="str" cm="1">
        <f t="array" ref="AM38">TEXT(SUMPRODUCT(CODE(MID(Table1[[#This Row],[home_gym_location]],_xlfn.SEQUENCE(LEN(Table1[[#This Row],[home_gym_location]])),1))),"00000")</f>
        <v>00906</v>
      </c>
      <c r="AN38" t="str">
        <f>UPPER(_xlfn.TEXTBEFORE(Table1[[#This Row],[home_gym_location]],","))&amp;"-"&amp;TEXT(MATCH(Table1[[#This Row],[home_gym_location]],_xlfn._xlws.SORT(_xlfn.UNIQUE(Table1[home_gym_location])),0),"000")</f>
        <v>OAKLAND-006</v>
      </c>
      <c r="AO38" t="str">
        <f>LEFT(_xlfn.TEXTBEFORE(Table1[[#This Row],[Location Identifier]],"-"),3) &amp; "-" &amp; _xlfn.TEXTAFTER(Table1[[#This Row],[Location Identifier]],"-")</f>
        <v>OAK-006</v>
      </c>
      <c r="AP38" s="9">
        <f t="shared" ca="1" si="0"/>
        <v>45869</v>
      </c>
    </row>
    <row r="39" spans="1:42" x14ac:dyDescent="0.25">
      <c r="A39">
        <v>45</v>
      </c>
      <c r="B39" t="s">
        <v>51</v>
      </c>
      <c r="C39">
        <v>4</v>
      </c>
      <c r="D39" t="s">
        <v>85</v>
      </c>
      <c r="E39" t="b">
        <v>0</v>
      </c>
      <c r="F39" s="1">
        <v>0.47152777777777777</v>
      </c>
      <c r="G39" s="1">
        <v>0.51111111111111107</v>
      </c>
      <c r="H39">
        <v>57</v>
      </c>
      <c r="I39" t="b">
        <v>0</v>
      </c>
      <c r="J39" t="b">
        <v>1</v>
      </c>
      <c r="K39" t="b">
        <v>1</v>
      </c>
      <c r="L39" t="s">
        <v>62</v>
      </c>
      <c r="M39">
        <v>70</v>
      </c>
      <c r="N39" t="s">
        <v>29</v>
      </c>
      <c r="O39">
        <v>70</v>
      </c>
      <c r="P39" t="s">
        <v>36</v>
      </c>
      <c r="Q39">
        <v>0</v>
      </c>
      <c r="R39">
        <v>70</v>
      </c>
      <c r="S39" t="s">
        <v>53</v>
      </c>
      <c r="T39" t="s">
        <v>38</v>
      </c>
      <c r="U39">
        <v>36.7378</v>
      </c>
      <c r="V39">
        <v>-119.7871</v>
      </c>
      <c r="W39" s="2">
        <v>45726</v>
      </c>
      <c r="X39">
        <v>5</v>
      </c>
      <c r="Y39" t="b">
        <v>1</v>
      </c>
      <c r="Z39" s="2">
        <v>45855</v>
      </c>
      <c r="AA39" t="str">
        <f t="shared" si="1"/>
        <v>40–49</v>
      </c>
      <c r="AB39" t="str">
        <f t="shared" si="2"/>
        <v>40–49</v>
      </c>
      <c r="AC39" t="str">
        <f t="shared" si="3"/>
        <v/>
      </c>
      <c r="AD39" t="str">
        <f t="shared" si="4"/>
        <v>Tuesday</v>
      </c>
      <c r="AE39" t="str">
        <f t="shared" si="5"/>
        <v/>
      </c>
      <c r="AF39" t="str">
        <f t="shared" si="6"/>
        <v>Thursday</v>
      </c>
      <c r="AG39" t="str">
        <f t="shared" si="7"/>
        <v/>
      </c>
      <c r="AH39" t="str">
        <f t="shared" si="8"/>
        <v>Saturday</v>
      </c>
      <c r="AI39" t="str">
        <f t="shared" si="9"/>
        <v>Sunday</v>
      </c>
      <c r="AJ39" t="str">
        <f>LEFT(Table1[[#This Row],[membership_type]],2)&amp;TEXT(Table1[[#This Row],[age]],"00")&amp;"-"&amp;TEXT(ROW(),"000")</f>
        <v>El45-039</v>
      </c>
      <c r="AK39" t="str">
        <f>LEFT(Table1[[#This Row],[membership_type]],1)&amp;TEXT(MATCH(Table1[[#This Row],[membership_type]],Table1[membership_type],0),"00")</f>
        <v>E07</v>
      </c>
      <c r="AL39" t="str">
        <f>LEFT(Table1[[#This Row],[discount_type]],1)&amp;TEXT(ROUND(Table1[[#This Row],[discount_rate]]*100,0),"00")</f>
        <v>N00</v>
      </c>
      <c r="AM39" t="str" cm="1">
        <f t="array" ref="AM39">TEXT(SUMPRODUCT(CODE(MID(Table1[[#This Row],[home_gym_location]],_xlfn.SEQUENCE(LEN(Table1[[#This Row],[home_gym_location]])),1))),"00000")</f>
        <v>00829</v>
      </c>
      <c r="AN39" t="str">
        <f>UPPER(_xlfn.TEXTBEFORE(Table1[[#This Row],[home_gym_location]],","))&amp;"-"&amp;TEXT(MATCH(Table1[[#This Row],[home_gym_location]],_xlfn._xlws.SORT(_xlfn.UNIQUE(Table1[home_gym_location])),0),"000")</f>
        <v>FRESNO-003</v>
      </c>
      <c r="AO39" t="str">
        <f>LEFT(_xlfn.TEXTBEFORE(Table1[[#This Row],[Location Identifier]],"-"),3) &amp; "-" &amp; _xlfn.TEXTAFTER(Table1[[#This Row],[Location Identifier]],"-")</f>
        <v>FRE-003</v>
      </c>
      <c r="AP39" s="9">
        <f t="shared" ca="1" si="0"/>
        <v>45869</v>
      </c>
    </row>
    <row r="40" spans="1:42" x14ac:dyDescent="0.25">
      <c r="A40">
        <v>47</v>
      </c>
      <c r="B40" t="s">
        <v>26</v>
      </c>
      <c r="C40">
        <v>3</v>
      </c>
      <c r="D40" t="s">
        <v>86</v>
      </c>
      <c r="E40" t="b">
        <v>1</v>
      </c>
      <c r="F40" s="1">
        <v>0.53541666666666665</v>
      </c>
      <c r="G40" s="1">
        <v>0.60902777777777772</v>
      </c>
      <c r="H40">
        <v>106</v>
      </c>
      <c r="I40" t="b">
        <v>0</v>
      </c>
      <c r="J40" t="b">
        <v>1</v>
      </c>
      <c r="K40" t="b">
        <v>1</v>
      </c>
      <c r="L40" t="s">
        <v>35</v>
      </c>
      <c r="M40">
        <v>50</v>
      </c>
      <c r="N40" t="s">
        <v>29</v>
      </c>
      <c r="O40">
        <v>50</v>
      </c>
      <c r="P40" t="s">
        <v>40</v>
      </c>
      <c r="Q40">
        <v>0.1</v>
      </c>
      <c r="R40">
        <v>45</v>
      </c>
      <c r="S40" t="s">
        <v>31</v>
      </c>
      <c r="T40" t="s">
        <v>41</v>
      </c>
      <c r="U40">
        <v>37.804400000000001</v>
      </c>
      <c r="V40">
        <v>-122.27119999999999</v>
      </c>
      <c r="W40" s="2">
        <v>45102</v>
      </c>
      <c r="X40">
        <v>4</v>
      </c>
      <c r="Y40" t="b">
        <v>0</v>
      </c>
      <c r="Z40" s="2">
        <v>45819</v>
      </c>
      <c r="AA40" t="str">
        <f t="shared" si="1"/>
        <v>40–49</v>
      </c>
      <c r="AB40" t="str">
        <f t="shared" si="2"/>
        <v>40–49</v>
      </c>
      <c r="AC40" t="str">
        <f t="shared" si="3"/>
        <v/>
      </c>
      <c r="AD40" t="str">
        <f t="shared" si="4"/>
        <v>Tuesday</v>
      </c>
      <c r="AE40" t="str">
        <f t="shared" si="5"/>
        <v/>
      </c>
      <c r="AF40" t="str">
        <f t="shared" si="6"/>
        <v/>
      </c>
      <c r="AG40" t="str">
        <f t="shared" si="7"/>
        <v>Friday</v>
      </c>
      <c r="AH40" t="str">
        <f t="shared" si="8"/>
        <v>Saturday</v>
      </c>
      <c r="AI40" t="str">
        <f t="shared" si="9"/>
        <v/>
      </c>
      <c r="AJ40" t="str">
        <f>LEFT(Table1[[#This Row],[membership_type]],2)&amp;TEXT(Table1[[#This Row],[age]],"00")&amp;"-"&amp;TEXT(ROW(),"000")</f>
        <v>Pr47-040</v>
      </c>
      <c r="AK40" t="str">
        <f>LEFT(Table1[[#This Row],[membership_type]],1)&amp;TEXT(MATCH(Table1[[#This Row],[membership_type]],Table1[membership_type],0),"00")</f>
        <v>P01</v>
      </c>
      <c r="AL40" t="str">
        <f>LEFT(Table1[[#This Row],[discount_type]],1)&amp;TEXT(ROUND(Table1[[#This Row],[discount_rate]]*100,0),"00")</f>
        <v>L10</v>
      </c>
      <c r="AM40" t="str" cm="1">
        <f t="array" ref="AM40">TEXT(SUMPRODUCT(CODE(MID(Table1[[#This Row],[home_gym_location]],_xlfn.SEQUENCE(LEN(Table1[[#This Row],[home_gym_location]])),1))),"00000")</f>
        <v>00906</v>
      </c>
      <c r="AN40" t="str">
        <f>UPPER(_xlfn.TEXTBEFORE(Table1[[#This Row],[home_gym_location]],","))&amp;"-"&amp;TEXT(MATCH(Table1[[#This Row],[home_gym_location]],_xlfn._xlws.SORT(_xlfn.UNIQUE(Table1[home_gym_location])),0),"000")</f>
        <v>OAKLAND-006</v>
      </c>
      <c r="AO40" t="str">
        <f>LEFT(_xlfn.TEXTBEFORE(Table1[[#This Row],[Location Identifier]],"-"),3) &amp; "-" &amp; _xlfn.TEXTAFTER(Table1[[#This Row],[Location Identifier]],"-")</f>
        <v>OAK-006</v>
      </c>
      <c r="AP40" s="9">
        <f t="shared" ca="1" si="0"/>
        <v>45869</v>
      </c>
    </row>
    <row r="41" spans="1:42" x14ac:dyDescent="0.25">
      <c r="A41">
        <v>22</v>
      </c>
      <c r="B41" t="s">
        <v>33</v>
      </c>
      <c r="C41">
        <v>5</v>
      </c>
      <c r="D41" t="s">
        <v>87</v>
      </c>
      <c r="E41" t="b">
        <v>1</v>
      </c>
      <c r="F41" s="1">
        <v>0.34236111111111112</v>
      </c>
      <c r="G41" s="1">
        <v>0.40694444444444444</v>
      </c>
      <c r="H41">
        <v>93</v>
      </c>
      <c r="I41" t="b">
        <v>0</v>
      </c>
      <c r="J41" t="b">
        <v>0</v>
      </c>
      <c r="K41" t="b">
        <v>1</v>
      </c>
      <c r="L41" t="s">
        <v>28</v>
      </c>
      <c r="M41">
        <v>30</v>
      </c>
      <c r="N41" t="s">
        <v>29</v>
      </c>
      <c r="O41">
        <v>30</v>
      </c>
      <c r="P41" t="s">
        <v>30</v>
      </c>
      <c r="Q41">
        <v>0.05</v>
      </c>
      <c r="R41">
        <v>28.5</v>
      </c>
      <c r="S41" t="s">
        <v>37</v>
      </c>
      <c r="T41" t="s">
        <v>32</v>
      </c>
      <c r="U41">
        <v>37.338200000000001</v>
      </c>
      <c r="V41">
        <v>-121.88630000000001</v>
      </c>
      <c r="W41" s="2">
        <v>45362</v>
      </c>
      <c r="X41">
        <v>0</v>
      </c>
      <c r="Y41" t="b">
        <v>0</v>
      </c>
      <c r="Z41" s="2">
        <v>45834</v>
      </c>
      <c r="AA41" t="str">
        <f t="shared" si="1"/>
        <v>20–29</v>
      </c>
      <c r="AB41" t="str">
        <f t="shared" si="2"/>
        <v>20–29</v>
      </c>
      <c r="AC41" t="str">
        <f t="shared" si="3"/>
        <v/>
      </c>
      <c r="AD41" t="str">
        <f t="shared" si="4"/>
        <v>Tuesday</v>
      </c>
      <c r="AE41" t="str">
        <f t="shared" si="5"/>
        <v>Wednesday</v>
      </c>
      <c r="AF41" t="str">
        <f t="shared" si="6"/>
        <v/>
      </c>
      <c r="AG41" t="str">
        <f t="shared" si="7"/>
        <v>Friday</v>
      </c>
      <c r="AH41" t="str">
        <f t="shared" si="8"/>
        <v>Saturday</v>
      </c>
      <c r="AI41" t="str">
        <f t="shared" si="9"/>
        <v>Sunday</v>
      </c>
      <c r="AJ41" t="str">
        <f>LEFT(Table1[[#This Row],[membership_type]],2)&amp;TEXT(Table1[[#This Row],[age]],"00")&amp;"-"&amp;TEXT(ROW(),"000")</f>
        <v>St22-041</v>
      </c>
      <c r="AK41" t="str">
        <f>LEFT(Table1[[#This Row],[membership_type]],1)&amp;TEXT(MATCH(Table1[[#This Row],[membership_type]],Table1[membership_type],0),"00")</f>
        <v>S02</v>
      </c>
      <c r="AL41" t="str">
        <f>LEFT(Table1[[#This Row],[discount_type]],1)&amp;TEXT(ROUND(Table1[[#This Row],[discount_rate]]*100,0),"00")</f>
        <v>P05</v>
      </c>
      <c r="AM41" t="str" cm="1">
        <f t="array" ref="AM41">TEXT(SUMPRODUCT(CODE(MID(Table1[[#This Row],[home_gym_location]],_xlfn.SEQUENCE(LEN(Table1[[#This Row],[home_gym_location]])),1))),"00000")</f>
        <v>00931</v>
      </c>
      <c r="AN4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1" t="str">
        <f>LEFT(_xlfn.TEXTBEFORE(Table1[[#This Row],[Location Identifier]],"-"),3) &amp; "-" &amp; _xlfn.TEXTAFTER(Table1[[#This Row],[Location Identifier]],"-")</f>
        <v>SAN-010</v>
      </c>
      <c r="AP41" s="9">
        <f t="shared" ca="1" si="0"/>
        <v>45869</v>
      </c>
    </row>
    <row r="42" spans="1:42" x14ac:dyDescent="0.25">
      <c r="A42">
        <v>17</v>
      </c>
      <c r="B42" t="s">
        <v>26</v>
      </c>
      <c r="C42">
        <v>2</v>
      </c>
      <c r="D42" t="s">
        <v>73</v>
      </c>
      <c r="E42" t="b">
        <v>0</v>
      </c>
      <c r="F42" s="1">
        <v>0.39583333333333331</v>
      </c>
      <c r="G42" s="1">
        <v>0.51666666666666672</v>
      </c>
      <c r="H42">
        <v>174</v>
      </c>
      <c r="I42" t="b">
        <v>1</v>
      </c>
      <c r="J42" t="b">
        <v>1</v>
      </c>
      <c r="K42" t="b">
        <v>1</v>
      </c>
      <c r="L42" t="s">
        <v>35</v>
      </c>
      <c r="M42">
        <v>50</v>
      </c>
      <c r="N42" t="s">
        <v>29</v>
      </c>
      <c r="O42">
        <v>50</v>
      </c>
      <c r="P42" t="s">
        <v>36</v>
      </c>
      <c r="Q42">
        <v>0</v>
      </c>
      <c r="R42">
        <v>50</v>
      </c>
      <c r="S42" t="s">
        <v>31</v>
      </c>
      <c r="T42" t="s">
        <v>50</v>
      </c>
      <c r="U42">
        <v>34.052199999999999</v>
      </c>
      <c r="V42">
        <v>-118.2437</v>
      </c>
      <c r="W42" s="2">
        <v>45701</v>
      </c>
      <c r="X42">
        <v>8</v>
      </c>
      <c r="Y42" t="b">
        <v>1</v>
      </c>
      <c r="Z42" s="2">
        <v>45853</v>
      </c>
      <c r="AA42" t="str">
        <f t="shared" si="1"/>
        <v>10–19</v>
      </c>
      <c r="AB42" t="str">
        <f t="shared" si="2"/>
        <v>16–19</v>
      </c>
      <c r="AC42" t="str">
        <f t="shared" si="3"/>
        <v/>
      </c>
      <c r="AD42" t="str">
        <f t="shared" si="4"/>
        <v>Tuesday</v>
      </c>
      <c r="AE42" t="str">
        <f t="shared" si="5"/>
        <v/>
      </c>
      <c r="AF42" t="str">
        <f t="shared" si="6"/>
        <v/>
      </c>
      <c r="AG42" t="str">
        <f t="shared" si="7"/>
        <v>Friday</v>
      </c>
      <c r="AH42" t="str">
        <f t="shared" si="8"/>
        <v/>
      </c>
      <c r="AI42" t="str">
        <f t="shared" si="9"/>
        <v/>
      </c>
      <c r="AJ42" t="str">
        <f>LEFT(Table1[[#This Row],[membership_type]],2)&amp;TEXT(Table1[[#This Row],[age]],"00")&amp;"-"&amp;TEXT(ROW(),"000")</f>
        <v>Pr17-042</v>
      </c>
      <c r="AK42" t="str">
        <f>LEFT(Table1[[#This Row],[membership_type]],1)&amp;TEXT(MATCH(Table1[[#This Row],[membership_type]],Table1[membership_type],0),"00")</f>
        <v>P01</v>
      </c>
      <c r="AL42" t="str">
        <f>LEFT(Table1[[#This Row],[discount_type]],1)&amp;TEXT(ROUND(Table1[[#This Row],[discount_rate]]*100,0),"00")</f>
        <v>N00</v>
      </c>
      <c r="AM42" t="str" cm="1">
        <f t="array" ref="AM42">TEXT(SUMPRODUCT(CODE(MID(Table1[[#This Row],[home_gym_location]],_xlfn.SEQUENCE(LEN(Table1[[#This Row],[home_gym_location]])),1))),"00000")</f>
        <v>01245</v>
      </c>
      <c r="AN4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2" t="str">
        <f>LEFT(_xlfn.TEXTBEFORE(Table1[[#This Row],[Location Identifier]],"-"),3) &amp; "-" &amp; _xlfn.TEXTAFTER(Table1[[#This Row],[Location Identifier]],"-")</f>
        <v>LOS-005</v>
      </c>
      <c r="AP42" s="9">
        <f t="shared" ca="1" si="0"/>
        <v>45869</v>
      </c>
    </row>
    <row r="43" spans="1:42" x14ac:dyDescent="0.25">
      <c r="A43">
        <v>20</v>
      </c>
      <c r="B43" t="s">
        <v>26</v>
      </c>
      <c r="C43">
        <v>2</v>
      </c>
      <c r="D43" t="s">
        <v>88</v>
      </c>
      <c r="E43" t="b">
        <v>1</v>
      </c>
      <c r="F43" s="1">
        <v>0.73958333333333337</v>
      </c>
      <c r="G43" s="1">
        <v>0.80555555555555558</v>
      </c>
      <c r="H43">
        <v>95</v>
      </c>
      <c r="I43" t="b">
        <v>1</v>
      </c>
      <c r="J43" t="b">
        <v>0</v>
      </c>
      <c r="K43" t="b">
        <v>1</v>
      </c>
      <c r="L43" t="s">
        <v>47</v>
      </c>
      <c r="M43">
        <v>50</v>
      </c>
      <c r="N43" t="s">
        <v>64</v>
      </c>
      <c r="O43">
        <v>37.5</v>
      </c>
      <c r="P43" t="s">
        <v>36</v>
      </c>
      <c r="Q43">
        <v>0</v>
      </c>
      <c r="R43">
        <v>37.5</v>
      </c>
      <c r="S43" t="s">
        <v>31</v>
      </c>
      <c r="T43" t="s">
        <v>38</v>
      </c>
      <c r="U43">
        <v>36.7378</v>
      </c>
      <c r="V43">
        <v>-119.7871</v>
      </c>
      <c r="W43" s="2">
        <v>45303</v>
      </c>
      <c r="X43">
        <v>0</v>
      </c>
      <c r="Y43" t="b">
        <v>1</v>
      </c>
      <c r="Z43" s="2">
        <v>45831</v>
      </c>
      <c r="AA43" t="str">
        <f t="shared" si="1"/>
        <v>20–29</v>
      </c>
      <c r="AB43" t="str">
        <f t="shared" si="2"/>
        <v>20–29</v>
      </c>
      <c r="AC43" t="str">
        <f t="shared" si="3"/>
        <v>Monday</v>
      </c>
      <c r="AD43" t="str">
        <f t="shared" si="4"/>
        <v/>
      </c>
      <c r="AE43" t="str">
        <f t="shared" si="5"/>
        <v>Wednesday</v>
      </c>
      <c r="AF43" t="str">
        <f t="shared" si="6"/>
        <v/>
      </c>
      <c r="AG43" t="str">
        <f t="shared" si="7"/>
        <v/>
      </c>
      <c r="AH43" t="str">
        <f t="shared" si="8"/>
        <v/>
      </c>
      <c r="AI43" t="str">
        <f t="shared" si="9"/>
        <v/>
      </c>
      <c r="AJ43" t="str">
        <f>LEFT(Table1[[#This Row],[membership_type]],2)&amp;TEXT(Table1[[#This Row],[age]],"00")&amp;"-"&amp;TEXT(ROW(),"000")</f>
        <v>Pr20-043</v>
      </c>
      <c r="AK43" t="str">
        <f>LEFT(Table1[[#This Row],[membership_type]],1)&amp;TEXT(MATCH(Table1[[#This Row],[membership_type]],Table1[membership_type],0),"00")</f>
        <v>P01</v>
      </c>
      <c r="AL43" t="str">
        <f>LEFT(Table1[[#This Row],[discount_type]],1)&amp;TEXT(ROUND(Table1[[#This Row],[discount_rate]]*100,0),"00")</f>
        <v>N00</v>
      </c>
      <c r="AM43" t="str" cm="1">
        <f t="array" ref="AM43">TEXT(SUMPRODUCT(CODE(MID(Table1[[#This Row],[home_gym_location]],_xlfn.SEQUENCE(LEN(Table1[[#This Row],[home_gym_location]])),1))),"00000")</f>
        <v>00829</v>
      </c>
      <c r="AN43" t="str">
        <f>UPPER(_xlfn.TEXTBEFORE(Table1[[#This Row],[home_gym_location]],","))&amp;"-"&amp;TEXT(MATCH(Table1[[#This Row],[home_gym_location]],_xlfn._xlws.SORT(_xlfn.UNIQUE(Table1[home_gym_location])),0),"000")</f>
        <v>FRESNO-003</v>
      </c>
      <c r="AO43" t="str">
        <f>LEFT(_xlfn.TEXTBEFORE(Table1[[#This Row],[Location Identifier]],"-"),3) &amp; "-" &amp; _xlfn.TEXTAFTER(Table1[[#This Row],[Location Identifier]],"-")</f>
        <v>FRE-003</v>
      </c>
      <c r="AP43" s="9">
        <f t="shared" ca="1" si="0"/>
        <v>45869</v>
      </c>
    </row>
    <row r="44" spans="1:42" x14ac:dyDescent="0.25">
      <c r="A44">
        <v>12</v>
      </c>
      <c r="B44" t="s">
        <v>42</v>
      </c>
      <c r="C44">
        <v>5</v>
      </c>
      <c r="D44" t="s">
        <v>69</v>
      </c>
      <c r="E44" t="b">
        <v>1</v>
      </c>
      <c r="F44" s="1">
        <v>0.4</v>
      </c>
      <c r="G44" s="1">
        <v>0.50624999999999998</v>
      </c>
      <c r="H44">
        <v>153</v>
      </c>
      <c r="I44" t="b">
        <v>1</v>
      </c>
      <c r="J44" t="b">
        <v>1</v>
      </c>
      <c r="K44" t="b">
        <v>1</v>
      </c>
      <c r="L44" t="s">
        <v>28</v>
      </c>
      <c r="M44">
        <v>20</v>
      </c>
      <c r="N44" t="s">
        <v>29</v>
      </c>
      <c r="O44">
        <v>20</v>
      </c>
      <c r="P44" t="s">
        <v>74</v>
      </c>
      <c r="Q44">
        <v>0.15</v>
      </c>
      <c r="R44">
        <v>17</v>
      </c>
      <c r="S44" t="s">
        <v>44</v>
      </c>
      <c r="T44" t="s">
        <v>48</v>
      </c>
      <c r="U44">
        <v>38.581600000000002</v>
      </c>
      <c r="V44">
        <v>-121.4944</v>
      </c>
      <c r="W44" s="2">
        <v>45794</v>
      </c>
      <c r="X44">
        <v>3</v>
      </c>
      <c r="Y44" t="b">
        <v>0</v>
      </c>
      <c r="Z44" s="2">
        <v>45858</v>
      </c>
      <c r="AA44" t="str">
        <f t="shared" si="1"/>
        <v>10–19</v>
      </c>
      <c r="AB44" t="str">
        <f t="shared" si="2"/>
        <v>Under 16</v>
      </c>
      <c r="AC44" t="str">
        <f t="shared" si="3"/>
        <v>Monday</v>
      </c>
      <c r="AD44" t="str">
        <f t="shared" si="4"/>
        <v/>
      </c>
      <c r="AE44" t="str">
        <f t="shared" si="5"/>
        <v>Wednesday</v>
      </c>
      <c r="AF44" t="str">
        <f t="shared" si="6"/>
        <v>Thursday</v>
      </c>
      <c r="AG44" t="str">
        <f t="shared" si="7"/>
        <v/>
      </c>
      <c r="AH44" t="str">
        <f t="shared" si="8"/>
        <v>Saturday</v>
      </c>
      <c r="AI44" t="str">
        <f t="shared" si="9"/>
        <v>Sunday</v>
      </c>
      <c r="AJ44" t="str">
        <f>LEFT(Table1[[#This Row],[membership_type]],2)&amp;TEXT(Table1[[#This Row],[age]],"00")&amp;"-"&amp;TEXT(ROW(),"000")</f>
        <v>Ba12-044</v>
      </c>
      <c r="AK44" t="str">
        <f>LEFT(Table1[[#This Row],[membership_type]],1)&amp;TEXT(MATCH(Table1[[#This Row],[membership_type]],Table1[membership_type],0),"00")</f>
        <v>B04</v>
      </c>
      <c r="AL44" t="str">
        <f>LEFT(Table1[[#This Row],[discount_type]],1)&amp;TEXT(ROUND(Table1[[#This Row],[discount_rate]]*100,0),"00")</f>
        <v>S15</v>
      </c>
      <c r="AM44" t="str" cm="1">
        <f t="array" ref="AM44">TEXT(SUMPRODUCT(CODE(MID(Table1[[#This Row],[home_gym_location]],_xlfn.SEQUENCE(LEN(Table1[[#This Row],[home_gym_location]])),1))),"00000")</f>
        <v>01245</v>
      </c>
      <c r="AN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4" t="str">
        <f>LEFT(_xlfn.TEXTBEFORE(Table1[[#This Row],[Location Identifier]],"-"),3) &amp; "-" &amp; _xlfn.TEXTAFTER(Table1[[#This Row],[Location Identifier]],"-")</f>
        <v>SAC-007</v>
      </c>
      <c r="AP44" s="9">
        <f t="shared" ca="1" si="0"/>
        <v>45869</v>
      </c>
    </row>
    <row r="45" spans="1:42" x14ac:dyDescent="0.25">
      <c r="A45">
        <v>42</v>
      </c>
      <c r="B45" t="s">
        <v>33</v>
      </c>
      <c r="C45">
        <v>5</v>
      </c>
      <c r="D45" t="s">
        <v>69</v>
      </c>
      <c r="E45" t="b">
        <v>1</v>
      </c>
      <c r="F45" s="1">
        <v>0.50347222222222221</v>
      </c>
      <c r="G45" s="1">
        <v>0.59305555555555556</v>
      </c>
      <c r="H45">
        <v>129</v>
      </c>
      <c r="I45" t="b">
        <v>1</v>
      </c>
      <c r="J45" t="b">
        <v>1</v>
      </c>
      <c r="K45" t="b">
        <v>0</v>
      </c>
      <c r="L45" t="s">
        <v>62</v>
      </c>
      <c r="M45">
        <v>30</v>
      </c>
      <c r="N45" t="s">
        <v>29</v>
      </c>
      <c r="O45">
        <v>30</v>
      </c>
      <c r="P45" t="s">
        <v>36</v>
      </c>
      <c r="Q45">
        <v>0</v>
      </c>
      <c r="R45">
        <v>30</v>
      </c>
      <c r="S45" t="s">
        <v>37</v>
      </c>
      <c r="T45" t="s">
        <v>59</v>
      </c>
      <c r="U45">
        <v>37.774900000000002</v>
      </c>
      <c r="V45">
        <v>-122.4194</v>
      </c>
      <c r="W45" s="2">
        <v>44862</v>
      </c>
      <c r="X45">
        <v>4</v>
      </c>
      <c r="Y45" t="b">
        <v>0</v>
      </c>
      <c r="Z45" s="2">
        <v>45806</v>
      </c>
      <c r="AA45" t="str">
        <f t="shared" si="1"/>
        <v>40–49</v>
      </c>
      <c r="AB45" t="str">
        <f t="shared" si="2"/>
        <v>40–49</v>
      </c>
      <c r="AC45" t="str">
        <f t="shared" si="3"/>
        <v>Monday</v>
      </c>
      <c r="AD45" t="str">
        <f t="shared" si="4"/>
        <v/>
      </c>
      <c r="AE45" t="str">
        <f t="shared" si="5"/>
        <v>Wednesday</v>
      </c>
      <c r="AF45" t="str">
        <f t="shared" si="6"/>
        <v>Thursday</v>
      </c>
      <c r="AG45" t="str">
        <f t="shared" si="7"/>
        <v/>
      </c>
      <c r="AH45" t="str">
        <f t="shared" si="8"/>
        <v>Saturday</v>
      </c>
      <c r="AI45" t="str">
        <f t="shared" si="9"/>
        <v>Sunday</v>
      </c>
      <c r="AJ45" t="str">
        <f>LEFT(Table1[[#This Row],[membership_type]],2)&amp;TEXT(Table1[[#This Row],[age]],"00")&amp;"-"&amp;TEXT(ROW(),"000")</f>
        <v>St42-045</v>
      </c>
      <c r="AK45" t="str">
        <f>LEFT(Table1[[#This Row],[membership_type]],1)&amp;TEXT(MATCH(Table1[[#This Row],[membership_type]],Table1[membership_type],0),"00")</f>
        <v>S02</v>
      </c>
      <c r="AL45" t="str">
        <f>LEFT(Table1[[#This Row],[discount_type]],1)&amp;TEXT(ROUND(Table1[[#This Row],[discount_rate]]*100,0),"00")</f>
        <v>N00</v>
      </c>
      <c r="AM45" t="str" cm="1">
        <f t="array" ref="AM45">TEXT(SUMPRODUCT(CODE(MID(Table1[[#This Row],[home_gym_location]],_xlfn.SEQUENCE(LEN(Table1[[#This Row],[home_gym_location]])),1))),"00000")</f>
        <v>01450</v>
      </c>
      <c r="AN4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5" t="str">
        <f>LEFT(_xlfn.TEXTBEFORE(Table1[[#This Row],[Location Identifier]],"-"),3) &amp; "-" &amp; _xlfn.TEXTAFTER(Table1[[#This Row],[Location Identifier]],"-")</f>
        <v>SAN-009</v>
      </c>
      <c r="AP45" s="9">
        <f t="shared" ca="1" si="0"/>
        <v>45869</v>
      </c>
    </row>
    <row r="46" spans="1:42" x14ac:dyDescent="0.25">
      <c r="A46">
        <v>18</v>
      </c>
      <c r="B46" t="s">
        <v>33</v>
      </c>
      <c r="C46">
        <v>3</v>
      </c>
      <c r="D46" t="s">
        <v>89</v>
      </c>
      <c r="E46" t="b">
        <v>1</v>
      </c>
      <c r="F46" s="1">
        <v>0.74027777777777781</v>
      </c>
      <c r="G46" s="1">
        <v>0.85347222222222219</v>
      </c>
      <c r="H46">
        <v>163</v>
      </c>
      <c r="I46" t="b">
        <v>0</v>
      </c>
      <c r="J46" t="b">
        <v>1</v>
      </c>
      <c r="K46" t="b">
        <v>0</v>
      </c>
      <c r="L46" t="s">
        <v>35</v>
      </c>
      <c r="M46">
        <v>30</v>
      </c>
      <c r="N46" t="s">
        <v>64</v>
      </c>
      <c r="O46">
        <v>22.5</v>
      </c>
      <c r="P46" t="s">
        <v>36</v>
      </c>
      <c r="Q46">
        <v>0</v>
      </c>
      <c r="R46">
        <v>22.5</v>
      </c>
      <c r="S46" t="s">
        <v>37</v>
      </c>
      <c r="T46" t="s">
        <v>38</v>
      </c>
      <c r="U46">
        <v>36.7378</v>
      </c>
      <c r="V46">
        <v>-119.7871</v>
      </c>
      <c r="W46" s="2">
        <v>45555</v>
      </c>
      <c r="X46">
        <v>2</v>
      </c>
      <c r="Y46" t="b">
        <v>0</v>
      </c>
      <c r="Z46" s="2">
        <v>45845</v>
      </c>
      <c r="AA46" t="str">
        <f t="shared" si="1"/>
        <v>10–19</v>
      </c>
      <c r="AB46" t="str">
        <f t="shared" si="2"/>
        <v>16–19</v>
      </c>
      <c r="AC46" t="str">
        <f t="shared" si="3"/>
        <v>Monday</v>
      </c>
      <c r="AD46" t="str">
        <f t="shared" si="4"/>
        <v>Tuesday</v>
      </c>
      <c r="AE46" t="str">
        <f t="shared" si="5"/>
        <v/>
      </c>
      <c r="AF46" t="str">
        <f t="shared" si="6"/>
        <v/>
      </c>
      <c r="AG46" t="str">
        <f t="shared" si="7"/>
        <v/>
      </c>
      <c r="AH46" t="str">
        <f t="shared" si="8"/>
        <v>Saturday</v>
      </c>
      <c r="AI46" t="str">
        <f t="shared" si="9"/>
        <v/>
      </c>
      <c r="AJ46" t="str">
        <f>LEFT(Table1[[#This Row],[membership_type]],2)&amp;TEXT(Table1[[#This Row],[age]],"00")&amp;"-"&amp;TEXT(ROW(),"000")</f>
        <v>St18-046</v>
      </c>
      <c r="AK46" t="str">
        <f>LEFT(Table1[[#This Row],[membership_type]],1)&amp;TEXT(MATCH(Table1[[#This Row],[membership_type]],Table1[membership_type],0),"00")</f>
        <v>S02</v>
      </c>
      <c r="AL46" t="str">
        <f>LEFT(Table1[[#This Row],[discount_type]],1)&amp;TEXT(ROUND(Table1[[#This Row],[discount_rate]]*100,0),"00")</f>
        <v>N00</v>
      </c>
      <c r="AM46" t="str" cm="1">
        <f t="array" ref="AM46">TEXT(SUMPRODUCT(CODE(MID(Table1[[#This Row],[home_gym_location]],_xlfn.SEQUENCE(LEN(Table1[[#This Row],[home_gym_location]])),1))),"00000")</f>
        <v>00829</v>
      </c>
      <c r="AN46" t="str">
        <f>UPPER(_xlfn.TEXTBEFORE(Table1[[#This Row],[home_gym_location]],","))&amp;"-"&amp;TEXT(MATCH(Table1[[#This Row],[home_gym_location]],_xlfn._xlws.SORT(_xlfn.UNIQUE(Table1[home_gym_location])),0),"000")</f>
        <v>FRESNO-003</v>
      </c>
      <c r="AO46" t="str">
        <f>LEFT(_xlfn.TEXTBEFORE(Table1[[#This Row],[Location Identifier]],"-"),3) &amp; "-" &amp; _xlfn.TEXTAFTER(Table1[[#This Row],[Location Identifier]],"-")</f>
        <v>FRE-003</v>
      </c>
      <c r="AP46" s="9">
        <f t="shared" ca="1" si="0"/>
        <v>45869</v>
      </c>
    </row>
    <row r="47" spans="1:42" x14ac:dyDescent="0.25">
      <c r="A47">
        <v>36</v>
      </c>
      <c r="B47" t="s">
        <v>26</v>
      </c>
      <c r="C47">
        <v>1</v>
      </c>
      <c r="D47" t="s">
        <v>49</v>
      </c>
      <c r="E47" t="b">
        <v>0</v>
      </c>
      <c r="F47" s="1">
        <v>0.80555555555555558</v>
      </c>
      <c r="G47" s="1">
        <v>0.91527777777777775</v>
      </c>
      <c r="H47">
        <v>158</v>
      </c>
      <c r="I47" t="b">
        <v>1</v>
      </c>
      <c r="J47" t="b">
        <v>0</v>
      </c>
      <c r="K47" t="b">
        <v>0</v>
      </c>
      <c r="L47" t="s">
        <v>58</v>
      </c>
      <c r="M47">
        <v>50</v>
      </c>
      <c r="N47" t="s">
        <v>64</v>
      </c>
      <c r="O47">
        <v>37.5</v>
      </c>
      <c r="P47" t="s">
        <v>36</v>
      </c>
      <c r="Q47">
        <v>0</v>
      </c>
      <c r="R47">
        <v>37.5</v>
      </c>
      <c r="S47" t="s">
        <v>31</v>
      </c>
      <c r="T47" t="s">
        <v>56</v>
      </c>
      <c r="U47">
        <v>35.3733</v>
      </c>
      <c r="V47">
        <v>-119.0187</v>
      </c>
      <c r="W47" s="2">
        <v>45125</v>
      </c>
      <c r="X47">
        <v>0</v>
      </c>
      <c r="Y47" t="b">
        <v>1</v>
      </c>
      <c r="Z47" s="2">
        <v>45821</v>
      </c>
      <c r="AA47" t="str">
        <f t="shared" si="1"/>
        <v>30–39</v>
      </c>
      <c r="AB47" t="str">
        <f t="shared" si="2"/>
        <v>30–39</v>
      </c>
      <c r="AC47" t="str">
        <f t="shared" si="3"/>
        <v/>
      </c>
      <c r="AD47" t="str">
        <f t="shared" si="4"/>
        <v/>
      </c>
      <c r="AE47" t="str">
        <f t="shared" si="5"/>
        <v/>
      </c>
      <c r="AF47" t="str">
        <f t="shared" si="6"/>
        <v/>
      </c>
      <c r="AG47" t="str">
        <f t="shared" si="7"/>
        <v/>
      </c>
      <c r="AH47" t="str">
        <f t="shared" si="8"/>
        <v/>
      </c>
      <c r="AI47" t="str">
        <f t="shared" si="9"/>
        <v>Sunday</v>
      </c>
      <c r="AJ47" t="str">
        <f>LEFT(Table1[[#This Row],[membership_type]],2)&amp;TEXT(Table1[[#This Row],[age]],"00")&amp;"-"&amp;TEXT(ROW(),"000")</f>
        <v>Pr36-047</v>
      </c>
      <c r="AK47" t="str">
        <f>LEFT(Table1[[#This Row],[membership_type]],1)&amp;TEXT(MATCH(Table1[[#This Row],[membership_type]],Table1[membership_type],0),"00")</f>
        <v>P01</v>
      </c>
      <c r="AL47" t="str">
        <f>LEFT(Table1[[#This Row],[discount_type]],1)&amp;TEXT(ROUND(Table1[[#This Row],[discount_rate]]*100,0),"00")</f>
        <v>N00</v>
      </c>
      <c r="AM47" t="str" cm="1">
        <f t="array" ref="AM47">TEXT(SUMPRODUCT(CODE(MID(Table1[[#This Row],[home_gym_location]],_xlfn.SEQUENCE(LEN(Table1[[#This Row],[home_gym_location]])),1))),"00000")</f>
        <v>01324</v>
      </c>
      <c r="AN4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7" t="str">
        <f>LEFT(_xlfn.TEXTBEFORE(Table1[[#This Row],[Location Identifier]],"-"),3) &amp; "-" &amp; _xlfn.TEXTAFTER(Table1[[#This Row],[Location Identifier]],"-")</f>
        <v>BAK-002</v>
      </c>
      <c r="AP47" s="9">
        <f t="shared" ca="1" si="0"/>
        <v>45869</v>
      </c>
    </row>
    <row r="48" spans="1:42" x14ac:dyDescent="0.25">
      <c r="A48">
        <v>23</v>
      </c>
      <c r="B48" t="s">
        <v>42</v>
      </c>
      <c r="C48">
        <v>3</v>
      </c>
      <c r="D48" t="s">
        <v>81</v>
      </c>
      <c r="E48" t="b">
        <v>1</v>
      </c>
      <c r="F48" s="1">
        <v>0.52986111111111112</v>
      </c>
      <c r="G48" s="1">
        <v>0.55069444444444449</v>
      </c>
      <c r="H48">
        <v>30</v>
      </c>
      <c r="I48" t="b">
        <v>1</v>
      </c>
      <c r="J48" t="b">
        <v>0</v>
      </c>
      <c r="K48" t="b">
        <v>0</v>
      </c>
      <c r="L48" t="s">
        <v>47</v>
      </c>
      <c r="M48">
        <v>20</v>
      </c>
      <c r="N48" t="s">
        <v>29</v>
      </c>
      <c r="O48">
        <v>20</v>
      </c>
      <c r="P48" t="s">
        <v>30</v>
      </c>
      <c r="Q48">
        <v>0.05</v>
      </c>
      <c r="R48">
        <v>19</v>
      </c>
      <c r="S48" t="s">
        <v>44</v>
      </c>
      <c r="T48" t="s">
        <v>38</v>
      </c>
      <c r="U48">
        <v>36.7378</v>
      </c>
      <c r="V48">
        <v>-119.7871</v>
      </c>
      <c r="W48" s="2">
        <v>45499</v>
      </c>
      <c r="X48">
        <v>0</v>
      </c>
      <c r="Y48" t="b">
        <v>1</v>
      </c>
      <c r="Z48" s="2">
        <v>45842</v>
      </c>
      <c r="AA48" t="str">
        <f t="shared" si="1"/>
        <v>20–29</v>
      </c>
      <c r="AB48" t="str">
        <f t="shared" si="2"/>
        <v>20–29</v>
      </c>
      <c r="AC48" t="str">
        <f t="shared" si="3"/>
        <v>Monday</v>
      </c>
      <c r="AD48" t="str">
        <f t="shared" si="4"/>
        <v/>
      </c>
      <c r="AE48" t="str">
        <f t="shared" si="5"/>
        <v>Wednesday</v>
      </c>
      <c r="AF48" t="str">
        <f t="shared" si="6"/>
        <v/>
      </c>
      <c r="AG48" t="str">
        <f t="shared" si="7"/>
        <v>Friday</v>
      </c>
      <c r="AH48" t="str">
        <f t="shared" si="8"/>
        <v/>
      </c>
      <c r="AI48" t="str">
        <f t="shared" si="9"/>
        <v/>
      </c>
      <c r="AJ48" t="str">
        <f>LEFT(Table1[[#This Row],[membership_type]],2)&amp;TEXT(Table1[[#This Row],[age]],"00")&amp;"-"&amp;TEXT(ROW(),"000")</f>
        <v>Ba23-048</v>
      </c>
      <c r="AK48" t="str">
        <f>LEFT(Table1[[#This Row],[membership_type]],1)&amp;TEXT(MATCH(Table1[[#This Row],[membership_type]],Table1[membership_type],0),"00")</f>
        <v>B04</v>
      </c>
      <c r="AL48" t="str">
        <f>LEFT(Table1[[#This Row],[discount_type]],1)&amp;TEXT(ROUND(Table1[[#This Row],[discount_rate]]*100,0),"00")</f>
        <v>P05</v>
      </c>
      <c r="AM48" t="str" cm="1">
        <f t="array" ref="AM48">TEXT(SUMPRODUCT(CODE(MID(Table1[[#This Row],[home_gym_location]],_xlfn.SEQUENCE(LEN(Table1[[#This Row],[home_gym_location]])),1))),"00000")</f>
        <v>00829</v>
      </c>
      <c r="AN48" t="str">
        <f>UPPER(_xlfn.TEXTBEFORE(Table1[[#This Row],[home_gym_location]],","))&amp;"-"&amp;TEXT(MATCH(Table1[[#This Row],[home_gym_location]],_xlfn._xlws.SORT(_xlfn.UNIQUE(Table1[home_gym_location])),0),"000")</f>
        <v>FRESNO-003</v>
      </c>
      <c r="AO48" t="str">
        <f>LEFT(_xlfn.TEXTBEFORE(Table1[[#This Row],[Location Identifier]],"-"),3) &amp; "-" &amp; _xlfn.TEXTAFTER(Table1[[#This Row],[Location Identifier]],"-")</f>
        <v>FRE-003</v>
      </c>
      <c r="AP48" s="9">
        <f t="shared" ca="1" si="0"/>
        <v>45869</v>
      </c>
    </row>
    <row r="49" spans="1:42" x14ac:dyDescent="0.25">
      <c r="A49">
        <v>36</v>
      </c>
      <c r="B49" t="s">
        <v>26</v>
      </c>
      <c r="C49">
        <v>3</v>
      </c>
      <c r="D49" t="s">
        <v>90</v>
      </c>
      <c r="E49" t="b">
        <v>1</v>
      </c>
      <c r="F49" s="1">
        <v>0.40208333333333335</v>
      </c>
      <c r="G49" s="1">
        <v>0.46388888888888891</v>
      </c>
      <c r="H49">
        <v>89</v>
      </c>
      <c r="I49" t="b">
        <v>0</v>
      </c>
      <c r="J49" t="b">
        <v>0</v>
      </c>
      <c r="K49" t="b">
        <v>1</v>
      </c>
      <c r="L49" t="s">
        <v>28</v>
      </c>
      <c r="M49">
        <v>50</v>
      </c>
      <c r="N49" t="s">
        <v>29</v>
      </c>
      <c r="O49">
        <v>50</v>
      </c>
      <c r="P49" t="s">
        <v>36</v>
      </c>
      <c r="Q49">
        <v>0</v>
      </c>
      <c r="R49">
        <v>50</v>
      </c>
      <c r="S49" t="s">
        <v>31</v>
      </c>
      <c r="T49" t="s">
        <v>38</v>
      </c>
      <c r="U49">
        <v>36.7378</v>
      </c>
      <c r="V49">
        <v>-119.7871</v>
      </c>
      <c r="W49" s="2">
        <v>45277</v>
      </c>
      <c r="X49">
        <v>0</v>
      </c>
      <c r="Y49" t="b">
        <v>1</v>
      </c>
      <c r="Z49" s="2">
        <v>45829</v>
      </c>
      <c r="AA49" t="str">
        <f t="shared" si="1"/>
        <v>30–39</v>
      </c>
      <c r="AB49" t="str">
        <f t="shared" si="2"/>
        <v>30–39</v>
      </c>
      <c r="AC49" t="str">
        <f t="shared" si="3"/>
        <v/>
      </c>
      <c r="AD49" t="str">
        <f t="shared" si="4"/>
        <v>Tuesday</v>
      </c>
      <c r="AE49" t="str">
        <f t="shared" si="5"/>
        <v/>
      </c>
      <c r="AF49" t="str">
        <f t="shared" si="6"/>
        <v/>
      </c>
      <c r="AG49" t="str">
        <f t="shared" si="7"/>
        <v/>
      </c>
      <c r="AH49" t="str">
        <f t="shared" si="8"/>
        <v>Saturday</v>
      </c>
      <c r="AI49" t="str">
        <f t="shared" si="9"/>
        <v>Sunday</v>
      </c>
      <c r="AJ49" t="str">
        <f>LEFT(Table1[[#This Row],[membership_type]],2)&amp;TEXT(Table1[[#This Row],[age]],"00")&amp;"-"&amp;TEXT(ROW(),"000")</f>
        <v>Pr36-049</v>
      </c>
      <c r="AK49" t="str">
        <f>LEFT(Table1[[#This Row],[membership_type]],1)&amp;TEXT(MATCH(Table1[[#This Row],[membership_type]],Table1[membership_type],0),"00")</f>
        <v>P01</v>
      </c>
      <c r="AL49" t="str">
        <f>LEFT(Table1[[#This Row],[discount_type]],1)&amp;TEXT(ROUND(Table1[[#This Row],[discount_rate]]*100,0),"00")</f>
        <v>N00</v>
      </c>
      <c r="AM49" t="str" cm="1">
        <f t="array" ref="AM49">TEXT(SUMPRODUCT(CODE(MID(Table1[[#This Row],[home_gym_location]],_xlfn.SEQUENCE(LEN(Table1[[#This Row],[home_gym_location]])),1))),"00000")</f>
        <v>00829</v>
      </c>
      <c r="AN49" t="str">
        <f>UPPER(_xlfn.TEXTBEFORE(Table1[[#This Row],[home_gym_location]],","))&amp;"-"&amp;TEXT(MATCH(Table1[[#This Row],[home_gym_location]],_xlfn._xlws.SORT(_xlfn.UNIQUE(Table1[home_gym_location])),0),"000")</f>
        <v>FRESNO-003</v>
      </c>
      <c r="AO49" t="str">
        <f>LEFT(_xlfn.TEXTBEFORE(Table1[[#This Row],[Location Identifier]],"-"),3) &amp; "-" &amp; _xlfn.TEXTAFTER(Table1[[#This Row],[Location Identifier]],"-")</f>
        <v>FRE-003</v>
      </c>
      <c r="AP49" s="9">
        <f t="shared" ca="1" si="0"/>
        <v>45869</v>
      </c>
    </row>
    <row r="50" spans="1:42" x14ac:dyDescent="0.25">
      <c r="A50">
        <v>36</v>
      </c>
      <c r="B50" t="s">
        <v>26</v>
      </c>
      <c r="C50">
        <v>3</v>
      </c>
      <c r="D50" t="s">
        <v>91</v>
      </c>
      <c r="E50" t="b">
        <v>0</v>
      </c>
      <c r="F50" s="1">
        <v>0.46250000000000002</v>
      </c>
      <c r="G50" s="1">
        <v>0.48888888888888887</v>
      </c>
      <c r="H50">
        <v>38</v>
      </c>
      <c r="I50" t="b">
        <v>1</v>
      </c>
      <c r="J50" t="b">
        <v>1</v>
      </c>
      <c r="K50" t="b">
        <v>0</v>
      </c>
      <c r="L50" t="s">
        <v>62</v>
      </c>
      <c r="M50">
        <v>50</v>
      </c>
      <c r="N50" t="s">
        <v>29</v>
      </c>
      <c r="O50">
        <v>50</v>
      </c>
      <c r="P50" t="s">
        <v>40</v>
      </c>
      <c r="Q50">
        <v>0.1</v>
      </c>
      <c r="R50">
        <v>45</v>
      </c>
      <c r="S50" t="s">
        <v>31</v>
      </c>
      <c r="T50" t="s">
        <v>45</v>
      </c>
      <c r="U50">
        <v>33.836599999999997</v>
      </c>
      <c r="V50">
        <v>-117.9143</v>
      </c>
      <c r="W50" s="2">
        <v>45248</v>
      </c>
      <c r="X50">
        <v>2</v>
      </c>
      <c r="Y50" t="b">
        <v>1</v>
      </c>
      <c r="Z50" s="2">
        <v>45828</v>
      </c>
      <c r="AA50" t="str">
        <f t="shared" si="1"/>
        <v>30–39</v>
      </c>
      <c r="AB50" t="str">
        <f t="shared" si="2"/>
        <v>30–39</v>
      </c>
      <c r="AC50" t="str">
        <f t="shared" si="3"/>
        <v>Monday</v>
      </c>
      <c r="AD50" t="str">
        <f t="shared" si="4"/>
        <v/>
      </c>
      <c r="AE50" t="str">
        <f t="shared" si="5"/>
        <v/>
      </c>
      <c r="AF50" t="str">
        <f t="shared" si="6"/>
        <v>Thursday</v>
      </c>
      <c r="AG50" t="str">
        <f t="shared" si="7"/>
        <v/>
      </c>
      <c r="AH50" t="str">
        <f t="shared" si="8"/>
        <v>Saturday</v>
      </c>
      <c r="AI50" t="str">
        <f t="shared" si="9"/>
        <v/>
      </c>
      <c r="AJ50" t="str">
        <f>LEFT(Table1[[#This Row],[membership_type]],2)&amp;TEXT(Table1[[#This Row],[age]],"00")&amp;"-"&amp;TEXT(ROW(),"000")</f>
        <v>Pr36-050</v>
      </c>
      <c r="AK50" t="str">
        <f>LEFT(Table1[[#This Row],[membership_type]],1)&amp;TEXT(MATCH(Table1[[#This Row],[membership_type]],Table1[membership_type],0),"00")</f>
        <v>P01</v>
      </c>
      <c r="AL50" t="str">
        <f>LEFT(Table1[[#This Row],[discount_type]],1)&amp;TEXT(ROUND(Table1[[#This Row],[discount_rate]]*100,0),"00")</f>
        <v>L10</v>
      </c>
      <c r="AM50" t="str" cm="1">
        <f t="array" ref="AM50">TEXT(SUMPRODUCT(CODE(MID(Table1[[#This Row],[home_gym_location]],_xlfn.SEQUENCE(LEN(Table1[[#This Row],[home_gym_location]])),1))),"00000")</f>
        <v>00899</v>
      </c>
      <c r="AN50" t="str">
        <f>UPPER(_xlfn.TEXTBEFORE(Table1[[#This Row],[home_gym_location]],","))&amp;"-"&amp;TEXT(MATCH(Table1[[#This Row],[home_gym_location]],_xlfn._xlws.SORT(_xlfn.UNIQUE(Table1[home_gym_location])),0),"000")</f>
        <v>ANAHEIM-001</v>
      </c>
      <c r="AO50" t="str">
        <f>LEFT(_xlfn.TEXTBEFORE(Table1[[#This Row],[Location Identifier]],"-"),3) &amp; "-" &amp; _xlfn.TEXTAFTER(Table1[[#This Row],[Location Identifier]],"-")</f>
        <v>ANA-001</v>
      </c>
      <c r="AP50" s="9">
        <f t="shared" ca="1" si="0"/>
        <v>45869</v>
      </c>
    </row>
    <row r="51" spans="1:42" x14ac:dyDescent="0.25">
      <c r="A51">
        <v>17</v>
      </c>
      <c r="B51" t="s">
        <v>51</v>
      </c>
      <c r="C51">
        <v>2</v>
      </c>
      <c r="D51" t="s">
        <v>92</v>
      </c>
      <c r="E51" t="b">
        <v>0</v>
      </c>
      <c r="F51" s="1">
        <v>0.73888888888888893</v>
      </c>
      <c r="G51" s="1">
        <v>0.76388888888888884</v>
      </c>
      <c r="H51">
        <v>36</v>
      </c>
      <c r="I51" t="b">
        <v>1</v>
      </c>
      <c r="J51" t="b">
        <v>1</v>
      </c>
      <c r="K51" t="b">
        <v>0</v>
      </c>
      <c r="L51" t="s">
        <v>28</v>
      </c>
      <c r="M51">
        <v>70</v>
      </c>
      <c r="N51" t="s">
        <v>78</v>
      </c>
      <c r="O51">
        <v>63</v>
      </c>
      <c r="P51" t="s">
        <v>74</v>
      </c>
      <c r="Q51">
        <v>0.15</v>
      </c>
      <c r="R51">
        <v>53.55</v>
      </c>
      <c r="S51" t="s">
        <v>53</v>
      </c>
      <c r="T51" t="s">
        <v>45</v>
      </c>
      <c r="U51">
        <v>33.836599999999997</v>
      </c>
      <c r="V51">
        <v>-117.9143</v>
      </c>
      <c r="W51" s="2">
        <v>45634</v>
      </c>
      <c r="X51">
        <v>3</v>
      </c>
      <c r="Y51" t="b">
        <v>1</v>
      </c>
      <c r="Z51" s="2">
        <v>45849</v>
      </c>
      <c r="AA51" t="str">
        <f t="shared" si="1"/>
        <v>10–19</v>
      </c>
      <c r="AB51" t="str">
        <f t="shared" si="2"/>
        <v>16–19</v>
      </c>
      <c r="AC51" t="str">
        <f t="shared" si="3"/>
        <v/>
      </c>
      <c r="AD51" t="str">
        <f t="shared" si="4"/>
        <v/>
      </c>
      <c r="AE51" t="str">
        <f t="shared" si="5"/>
        <v/>
      </c>
      <c r="AF51" t="str">
        <f t="shared" si="6"/>
        <v/>
      </c>
      <c r="AG51" t="str">
        <f t="shared" si="7"/>
        <v>Friday</v>
      </c>
      <c r="AH51" t="str">
        <f t="shared" si="8"/>
        <v/>
      </c>
      <c r="AI51" t="str">
        <f t="shared" si="9"/>
        <v>Sunday</v>
      </c>
      <c r="AJ51" t="str">
        <f>LEFT(Table1[[#This Row],[membership_type]],2)&amp;TEXT(Table1[[#This Row],[age]],"00")&amp;"-"&amp;TEXT(ROW(),"000")</f>
        <v>El17-051</v>
      </c>
      <c r="AK51" t="str">
        <f>LEFT(Table1[[#This Row],[membership_type]],1)&amp;TEXT(MATCH(Table1[[#This Row],[membership_type]],Table1[membership_type],0),"00")</f>
        <v>E07</v>
      </c>
      <c r="AL51" t="str">
        <f>LEFT(Table1[[#This Row],[discount_type]],1)&amp;TEXT(ROUND(Table1[[#This Row],[discount_rate]]*100,0),"00")</f>
        <v>S15</v>
      </c>
      <c r="AM51" t="str" cm="1">
        <f t="array" ref="AM51">TEXT(SUMPRODUCT(CODE(MID(Table1[[#This Row],[home_gym_location]],_xlfn.SEQUENCE(LEN(Table1[[#This Row],[home_gym_location]])),1))),"00000")</f>
        <v>00899</v>
      </c>
      <c r="AN51" t="str">
        <f>UPPER(_xlfn.TEXTBEFORE(Table1[[#This Row],[home_gym_location]],","))&amp;"-"&amp;TEXT(MATCH(Table1[[#This Row],[home_gym_location]],_xlfn._xlws.SORT(_xlfn.UNIQUE(Table1[home_gym_location])),0),"000")</f>
        <v>ANAHEIM-001</v>
      </c>
      <c r="AO51" t="str">
        <f>LEFT(_xlfn.TEXTBEFORE(Table1[[#This Row],[Location Identifier]],"-"),3) &amp; "-" &amp; _xlfn.TEXTAFTER(Table1[[#This Row],[Location Identifier]],"-")</f>
        <v>ANA-001</v>
      </c>
      <c r="AP51" s="9">
        <f t="shared" ca="1" si="0"/>
        <v>45869</v>
      </c>
    </row>
    <row r="52" spans="1:42" x14ac:dyDescent="0.25">
      <c r="A52">
        <v>32</v>
      </c>
      <c r="B52" t="s">
        <v>42</v>
      </c>
      <c r="C52">
        <v>5</v>
      </c>
      <c r="D52" t="s">
        <v>77</v>
      </c>
      <c r="E52" t="b">
        <v>0</v>
      </c>
      <c r="F52" s="1">
        <v>0.82777777777777772</v>
      </c>
      <c r="G52" s="1">
        <v>0.88680555555555551</v>
      </c>
      <c r="H52">
        <v>85</v>
      </c>
      <c r="I52" t="b">
        <v>1</v>
      </c>
      <c r="J52" t="b">
        <v>1</v>
      </c>
      <c r="K52" t="b">
        <v>1</v>
      </c>
      <c r="L52" t="s">
        <v>47</v>
      </c>
      <c r="M52">
        <v>20</v>
      </c>
      <c r="N52" t="s">
        <v>64</v>
      </c>
      <c r="O52">
        <v>15</v>
      </c>
      <c r="P52" t="s">
        <v>74</v>
      </c>
      <c r="Q52">
        <v>0.15</v>
      </c>
      <c r="R52">
        <v>12.75</v>
      </c>
      <c r="S52" t="s">
        <v>44</v>
      </c>
      <c r="T52" t="s">
        <v>38</v>
      </c>
      <c r="U52">
        <v>36.7378</v>
      </c>
      <c r="V52">
        <v>-119.7871</v>
      </c>
      <c r="W52" s="2">
        <v>44798</v>
      </c>
      <c r="X52">
        <v>1</v>
      </c>
      <c r="Y52" t="b">
        <v>1</v>
      </c>
      <c r="Z52" s="2">
        <v>45802</v>
      </c>
      <c r="AA52" t="str">
        <f t="shared" si="1"/>
        <v>30–39</v>
      </c>
      <c r="AB52" t="str">
        <f t="shared" si="2"/>
        <v>30–39</v>
      </c>
      <c r="AC52" t="str">
        <f t="shared" si="3"/>
        <v/>
      </c>
      <c r="AD52" t="str">
        <f t="shared" si="4"/>
        <v>Tuesday</v>
      </c>
      <c r="AE52" t="str">
        <f t="shared" si="5"/>
        <v>Wednesday</v>
      </c>
      <c r="AF52" t="str">
        <f t="shared" si="6"/>
        <v>Thursday</v>
      </c>
      <c r="AG52" t="str">
        <f t="shared" si="7"/>
        <v>Friday</v>
      </c>
      <c r="AH52" t="str">
        <f t="shared" si="8"/>
        <v/>
      </c>
      <c r="AI52" t="str">
        <f t="shared" si="9"/>
        <v>Sunday</v>
      </c>
      <c r="AJ52" t="str">
        <f>LEFT(Table1[[#This Row],[membership_type]],2)&amp;TEXT(Table1[[#This Row],[age]],"00")&amp;"-"&amp;TEXT(ROW(),"000")</f>
        <v>Ba32-052</v>
      </c>
      <c r="AK52" t="str">
        <f>LEFT(Table1[[#This Row],[membership_type]],1)&amp;TEXT(MATCH(Table1[[#This Row],[membership_type]],Table1[membership_type],0),"00")</f>
        <v>B04</v>
      </c>
      <c r="AL52" t="str">
        <f>LEFT(Table1[[#This Row],[discount_type]],1)&amp;TEXT(ROUND(Table1[[#This Row],[discount_rate]]*100,0),"00")</f>
        <v>S15</v>
      </c>
      <c r="AM52" t="str" cm="1">
        <f t="array" ref="AM52">TEXT(SUMPRODUCT(CODE(MID(Table1[[#This Row],[home_gym_location]],_xlfn.SEQUENCE(LEN(Table1[[#This Row],[home_gym_location]])),1))),"00000")</f>
        <v>00829</v>
      </c>
      <c r="AN52" t="str">
        <f>UPPER(_xlfn.TEXTBEFORE(Table1[[#This Row],[home_gym_location]],","))&amp;"-"&amp;TEXT(MATCH(Table1[[#This Row],[home_gym_location]],_xlfn._xlws.SORT(_xlfn.UNIQUE(Table1[home_gym_location])),0),"000")</f>
        <v>FRESNO-003</v>
      </c>
      <c r="AO52" t="str">
        <f>LEFT(_xlfn.TEXTBEFORE(Table1[[#This Row],[Location Identifier]],"-"),3) &amp; "-" &amp; _xlfn.TEXTAFTER(Table1[[#This Row],[Location Identifier]],"-")</f>
        <v>FRE-003</v>
      </c>
      <c r="AP52" s="9">
        <f t="shared" ca="1" si="0"/>
        <v>45869</v>
      </c>
    </row>
    <row r="53" spans="1:42" x14ac:dyDescent="0.25">
      <c r="A53">
        <v>40</v>
      </c>
      <c r="B53" t="s">
        <v>26</v>
      </c>
      <c r="C53">
        <v>3</v>
      </c>
      <c r="D53" t="s">
        <v>93</v>
      </c>
      <c r="E53" t="b">
        <v>0</v>
      </c>
      <c r="F53" s="1">
        <v>0.81805555555555554</v>
      </c>
      <c r="G53" s="1">
        <v>0.88194444444444442</v>
      </c>
      <c r="H53">
        <v>92</v>
      </c>
      <c r="I53" t="b">
        <v>1</v>
      </c>
      <c r="J53" t="b">
        <v>1</v>
      </c>
      <c r="K53" t="b">
        <v>1</v>
      </c>
      <c r="L53" t="s">
        <v>28</v>
      </c>
      <c r="M53">
        <v>50</v>
      </c>
      <c r="N53" t="s">
        <v>29</v>
      </c>
      <c r="O53">
        <v>50</v>
      </c>
      <c r="P53" t="s">
        <v>36</v>
      </c>
      <c r="Q53">
        <v>0</v>
      </c>
      <c r="R53">
        <v>50</v>
      </c>
      <c r="S53" t="s">
        <v>31</v>
      </c>
      <c r="T53" t="s">
        <v>65</v>
      </c>
      <c r="U53">
        <v>33.770099999999999</v>
      </c>
      <c r="V53">
        <v>-118.19370000000001</v>
      </c>
      <c r="W53" s="2">
        <v>45005</v>
      </c>
      <c r="X53">
        <v>5</v>
      </c>
      <c r="Y53" t="b">
        <v>0</v>
      </c>
      <c r="Z53" s="2">
        <v>45814</v>
      </c>
      <c r="AA53" t="str">
        <f t="shared" si="1"/>
        <v>40–49</v>
      </c>
      <c r="AB53" t="str">
        <f t="shared" si="2"/>
        <v>40–49</v>
      </c>
      <c r="AC53" t="str">
        <f t="shared" si="3"/>
        <v>Monday</v>
      </c>
      <c r="AD53" t="str">
        <f t="shared" si="4"/>
        <v>Tuesday</v>
      </c>
      <c r="AE53" t="str">
        <f t="shared" si="5"/>
        <v/>
      </c>
      <c r="AF53" t="str">
        <f t="shared" si="6"/>
        <v>Thursday</v>
      </c>
      <c r="AG53" t="str">
        <f t="shared" si="7"/>
        <v/>
      </c>
      <c r="AH53" t="str">
        <f t="shared" si="8"/>
        <v/>
      </c>
      <c r="AI53" t="str">
        <f t="shared" si="9"/>
        <v/>
      </c>
      <c r="AJ53" t="str">
        <f>LEFT(Table1[[#This Row],[membership_type]],2)&amp;TEXT(Table1[[#This Row],[age]],"00")&amp;"-"&amp;TEXT(ROW(),"000")</f>
        <v>Pr40-053</v>
      </c>
      <c r="AK53" t="str">
        <f>LEFT(Table1[[#This Row],[membership_type]],1)&amp;TEXT(MATCH(Table1[[#This Row],[membership_type]],Table1[membership_type],0),"00")</f>
        <v>P01</v>
      </c>
      <c r="AL53" t="str">
        <f>LEFT(Table1[[#This Row],[discount_type]],1)&amp;TEXT(ROUND(Table1[[#This Row],[discount_rate]]*100,0),"00")</f>
        <v>N00</v>
      </c>
      <c r="AM53" t="str" cm="1">
        <f t="array" ref="AM53">TEXT(SUMPRODUCT(CODE(MID(Table1[[#This Row],[home_gym_location]],_xlfn.SEQUENCE(LEN(Table1[[#This Row],[home_gym_location]])),1))),"00000")</f>
        <v>01107</v>
      </c>
      <c r="AN5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3" t="str">
        <f>LEFT(_xlfn.TEXTBEFORE(Table1[[#This Row],[Location Identifier]],"-"),3) &amp; "-" &amp; _xlfn.TEXTAFTER(Table1[[#This Row],[Location Identifier]],"-")</f>
        <v>LON-004</v>
      </c>
      <c r="AP53" s="9">
        <f t="shared" ca="1" si="0"/>
        <v>45869</v>
      </c>
    </row>
    <row r="54" spans="1:42" x14ac:dyDescent="0.25">
      <c r="A54">
        <v>46</v>
      </c>
      <c r="B54" t="s">
        <v>33</v>
      </c>
      <c r="C54">
        <v>1</v>
      </c>
      <c r="D54" t="s">
        <v>49</v>
      </c>
      <c r="E54" t="b">
        <v>0</v>
      </c>
      <c r="F54" s="1">
        <v>0.60972222222222228</v>
      </c>
      <c r="G54" s="1">
        <v>0.72291666666666665</v>
      </c>
      <c r="H54">
        <v>163</v>
      </c>
      <c r="I54" t="b">
        <v>1</v>
      </c>
      <c r="J54" t="b">
        <v>0</v>
      </c>
      <c r="K54" t="b">
        <v>1</v>
      </c>
      <c r="L54" t="s">
        <v>35</v>
      </c>
      <c r="M54">
        <v>30</v>
      </c>
      <c r="N54" t="s">
        <v>29</v>
      </c>
      <c r="O54">
        <v>30</v>
      </c>
      <c r="P54" t="s">
        <v>36</v>
      </c>
      <c r="Q54">
        <v>0</v>
      </c>
      <c r="R54">
        <v>30</v>
      </c>
      <c r="S54" t="s">
        <v>37</v>
      </c>
      <c r="T54" t="s">
        <v>59</v>
      </c>
      <c r="U54">
        <v>37.774900000000002</v>
      </c>
      <c r="V54">
        <v>-122.4194</v>
      </c>
      <c r="W54" s="2">
        <v>44830</v>
      </c>
      <c r="X54">
        <v>0</v>
      </c>
      <c r="Y54" t="b">
        <v>0</v>
      </c>
      <c r="Z54" s="2">
        <v>45804</v>
      </c>
      <c r="AA54" t="str">
        <f t="shared" si="1"/>
        <v>40–49</v>
      </c>
      <c r="AB54" t="str">
        <f t="shared" si="2"/>
        <v>40–49</v>
      </c>
      <c r="AC54" t="str">
        <f t="shared" si="3"/>
        <v/>
      </c>
      <c r="AD54" t="str">
        <f t="shared" si="4"/>
        <v/>
      </c>
      <c r="AE54" t="str">
        <f t="shared" si="5"/>
        <v/>
      </c>
      <c r="AF54" t="str">
        <f t="shared" si="6"/>
        <v/>
      </c>
      <c r="AG54" t="str">
        <f t="shared" si="7"/>
        <v/>
      </c>
      <c r="AH54" t="str">
        <f t="shared" si="8"/>
        <v/>
      </c>
      <c r="AI54" t="str">
        <f t="shared" si="9"/>
        <v>Sunday</v>
      </c>
      <c r="AJ54" t="str">
        <f>LEFT(Table1[[#This Row],[membership_type]],2)&amp;TEXT(Table1[[#This Row],[age]],"00")&amp;"-"&amp;TEXT(ROW(),"000")</f>
        <v>St46-054</v>
      </c>
      <c r="AK54" t="str">
        <f>LEFT(Table1[[#This Row],[membership_type]],1)&amp;TEXT(MATCH(Table1[[#This Row],[membership_type]],Table1[membership_type],0),"00")</f>
        <v>S02</v>
      </c>
      <c r="AL54" t="str">
        <f>LEFT(Table1[[#This Row],[discount_type]],1)&amp;TEXT(ROUND(Table1[[#This Row],[discount_rate]]*100,0),"00")</f>
        <v>N00</v>
      </c>
      <c r="AM54" t="str" cm="1">
        <f t="array" ref="AM54">TEXT(SUMPRODUCT(CODE(MID(Table1[[#This Row],[home_gym_location]],_xlfn.SEQUENCE(LEN(Table1[[#This Row],[home_gym_location]])),1))),"00000")</f>
        <v>01450</v>
      </c>
      <c r="AN5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4" t="str">
        <f>LEFT(_xlfn.TEXTBEFORE(Table1[[#This Row],[Location Identifier]],"-"),3) &amp; "-" &amp; _xlfn.TEXTAFTER(Table1[[#This Row],[Location Identifier]],"-")</f>
        <v>SAN-009</v>
      </c>
      <c r="AP54" s="9">
        <f t="shared" ca="1" si="0"/>
        <v>45869</v>
      </c>
    </row>
    <row r="55" spans="1:42" x14ac:dyDescent="0.25">
      <c r="A55">
        <v>39</v>
      </c>
      <c r="B55" t="s">
        <v>26</v>
      </c>
      <c r="C55">
        <v>2</v>
      </c>
      <c r="D55" t="s">
        <v>94</v>
      </c>
      <c r="E55" t="b">
        <v>0</v>
      </c>
      <c r="F55" s="1">
        <v>0.70347222222222228</v>
      </c>
      <c r="G55" s="1">
        <v>0.75555555555555554</v>
      </c>
      <c r="H55">
        <v>75</v>
      </c>
      <c r="I55" t="b">
        <v>0</v>
      </c>
      <c r="J55" t="b">
        <v>1</v>
      </c>
      <c r="K55" t="b">
        <v>0</v>
      </c>
      <c r="L55" t="s">
        <v>35</v>
      </c>
      <c r="M55">
        <v>50</v>
      </c>
      <c r="N55" t="s">
        <v>64</v>
      </c>
      <c r="O55">
        <v>37.5</v>
      </c>
      <c r="P55" t="s">
        <v>30</v>
      </c>
      <c r="Q55">
        <v>0.05</v>
      </c>
      <c r="R55">
        <v>35.625</v>
      </c>
      <c r="S55" t="s">
        <v>31</v>
      </c>
      <c r="T55" t="s">
        <v>59</v>
      </c>
      <c r="U55">
        <v>37.774900000000002</v>
      </c>
      <c r="V55">
        <v>-122.4194</v>
      </c>
      <c r="W55" s="2">
        <v>44878</v>
      </c>
      <c r="X55">
        <v>4</v>
      </c>
      <c r="Y55" t="b">
        <v>1</v>
      </c>
      <c r="Z55" s="2">
        <v>45807</v>
      </c>
      <c r="AA55" t="str">
        <f t="shared" si="1"/>
        <v>30–39</v>
      </c>
      <c r="AB55" t="str">
        <f t="shared" si="2"/>
        <v>30–39</v>
      </c>
      <c r="AC55" t="str">
        <f t="shared" si="3"/>
        <v/>
      </c>
      <c r="AD55" t="str">
        <f t="shared" si="4"/>
        <v/>
      </c>
      <c r="AE55" t="str">
        <f t="shared" si="5"/>
        <v/>
      </c>
      <c r="AF55" t="str">
        <f t="shared" si="6"/>
        <v/>
      </c>
      <c r="AG55" t="str">
        <f t="shared" si="7"/>
        <v/>
      </c>
      <c r="AH55" t="str">
        <f t="shared" si="8"/>
        <v>Saturday</v>
      </c>
      <c r="AI55" t="str">
        <f t="shared" si="9"/>
        <v>Sunday</v>
      </c>
      <c r="AJ55" t="str">
        <f>LEFT(Table1[[#This Row],[membership_type]],2)&amp;TEXT(Table1[[#This Row],[age]],"00")&amp;"-"&amp;TEXT(ROW(),"000")</f>
        <v>Pr39-055</v>
      </c>
      <c r="AK55" t="str">
        <f>LEFT(Table1[[#This Row],[membership_type]],1)&amp;TEXT(MATCH(Table1[[#This Row],[membership_type]],Table1[membership_type],0),"00")</f>
        <v>P01</v>
      </c>
      <c r="AL55" t="str">
        <f>LEFT(Table1[[#This Row],[discount_type]],1)&amp;TEXT(ROUND(Table1[[#This Row],[discount_rate]]*100,0),"00")</f>
        <v>P05</v>
      </c>
      <c r="AM55" t="str" cm="1">
        <f t="array" ref="AM55">TEXT(SUMPRODUCT(CODE(MID(Table1[[#This Row],[home_gym_location]],_xlfn.SEQUENCE(LEN(Table1[[#This Row],[home_gym_location]])),1))),"00000")</f>
        <v>01450</v>
      </c>
      <c r="AN5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5" t="str">
        <f>LEFT(_xlfn.TEXTBEFORE(Table1[[#This Row],[Location Identifier]],"-"),3) &amp; "-" &amp; _xlfn.TEXTAFTER(Table1[[#This Row],[Location Identifier]],"-")</f>
        <v>SAN-009</v>
      </c>
      <c r="AP55" s="9">
        <f t="shared" ca="1" si="0"/>
        <v>45869</v>
      </c>
    </row>
    <row r="56" spans="1:42" x14ac:dyDescent="0.25">
      <c r="A56">
        <v>30</v>
      </c>
      <c r="B56" t="s">
        <v>26</v>
      </c>
      <c r="C56">
        <v>5</v>
      </c>
      <c r="D56" t="s">
        <v>66</v>
      </c>
      <c r="E56" t="b">
        <v>1</v>
      </c>
      <c r="F56" s="1">
        <v>0.45555555555555555</v>
      </c>
      <c r="G56" s="1">
        <v>0.56944444444444442</v>
      </c>
      <c r="H56">
        <v>164</v>
      </c>
      <c r="I56" t="b">
        <v>0</v>
      </c>
      <c r="J56" t="b">
        <v>1</v>
      </c>
      <c r="K56" t="b">
        <v>1</v>
      </c>
      <c r="L56" t="s">
        <v>35</v>
      </c>
      <c r="M56">
        <v>50</v>
      </c>
      <c r="N56" t="s">
        <v>64</v>
      </c>
      <c r="O56">
        <v>37.5</v>
      </c>
      <c r="P56" t="s">
        <v>30</v>
      </c>
      <c r="Q56">
        <v>0.05</v>
      </c>
      <c r="R56">
        <v>35.625</v>
      </c>
      <c r="S56" t="s">
        <v>31</v>
      </c>
      <c r="T56" t="s">
        <v>32</v>
      </c>
      <c r="U56">
        <v>37.338200000000001</v>
      </c>
      <c r="V56">
        <v>-121.88630000000001</v>
      </c>
      <c r="W56" s="2">
        <v>45194</v>
      </c>
      <c r="X56">
        <v>2</v>
      </c>
      <c r="Y56" t="b">
        <v>0</v>
      </c>
      <c r="Z56" s="2">
        <v>45825</v>
      </c>
      <c r="AA56" t="str">
        <f t="shared" si="1"/>
        <v>30–39</v>
      </c>
      <c r="AB56" t="str">
        <f t="shared" si="2"/>
        <v>30–39</v>
      </c>
      <c r="AC56" t="str">
        <f t="shared" si="3"/>
        <v>Monday</v>
      </c>
      <c r="AD56" t="str">
        <f t="shared" si="4"/>
        <v>Tuesday</v>
      </c>
      <c r="AE56" t="str">
        <f t="shared" si="5"/>
        <v>Wednesday</v>
      </c>
      <c r="AF56" t="str">
        <f t="shared" si="6"/>
        <v/>
      </c>
      <c r="AG56" t="str">
        <f t="shared" si="7"/>
        <v>Friday</v>
      </c>
      <c r="AH56" t="str">
        <f t="shared" si="8"/>
        <v/>
      </c>
      <c r="AI56" t="str">
        <f t="shared" si="9"/>
        <v>Sunday</v>
      </c>
      <c r="AJ56" t="str">
        <f>LEFT(Table1[[#This Row],[membership_type]],2)&amp;TEXT(Table1[[#This Row],[age]],"00")&amp;"-"&amp;TEXT(ROW(),"000")</f>
        <v>Pr30-056</v>
      </c>
      <c r="AK56" t="str">
        <f>LEFT(Table1[[#This Row],[membership_type]],1)&amp;TEXT(MATCH(Table1[[#This Row],[membership_type]],Table1[membership_type],0),"00")</f>
        <v>P01</v>
      </c>
      <c r="AL56" t="str">
        <f>LEFT(Table1[[#This Row],[discount_type]],1)&amp;TEXT(ROUND(Table1[[#This Row],[discount_rate]]*100,0),"00")</f>
        <v>P05</v>
      </c>
      <c r="AM56" t="str" cm="1">
        <f t="array" ref="AM56">TEXT(SUMPRODUCT(CODE(MID(Table1[[#This Row],[home_gym_location]],_xlfn.SEQUENCE(LEN(Table1[[#This Row],[home_gym_location]])),1))),"00000")</f>
        <v>00931</v>
      </c>
      <c r="AN5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6" t="str">
        <f>LEFT(_xlfn.TEXTBEFORE(Table1[[#This Row],[Location Identifier]],"-"),3) &amp; "-" &amp; _xlfn.TEXTAFTER(Table1[[#This Row],[Location Identifier]],"-")</f>
        <v>SAN-010</v>
      </c>
      <c r="AP56" s="9">
        <f t="shared" ca="1" si="0"/>
        <v>45869</v>
      </c>
    </row>
    <row r="57" spans="1:42" x14ac:dyDescent="0.25">
      <c r="A57">
        <v>24</v>
      </c>
      <c r="B57" t="s">
        <v>26</v>
      </c>
      <c r="C57">
        <v>1</v>
      </c>
      <c r="D57" t="s">
        <v>95</v>
      </c>
      <c r="E57" t="b">
        <v>0</v>
      </c>
      <c r="F57" s="1">
        <v>0.70208333333333328</v>
      </c>
      <c r="G57" s="1">
        <v>0.77152777777777781</v>
      </c>
      <c r="H57">
        <v>100</v>
      </c>
      <c r="I57" t="b">
        <v>0</v>
      </c>
      <c r="J57" t="b">
        <v>1</v>
      </c>
      <c r="K57" t="b">
        <v>1</v>
      </c>
      <c r="L57" t="s">
        <v>62</v>
      </c>
      <c r="M57">
        <v>50</v>
      </c>
      <c r="N57" t="s">
        <v>29</v>
      </c>
      <c r="O57">
        <v>50</v>
      </c>
      <c r="P57" t="s">
        <v>36</v>
      </c>
      <c r="Q57">
        <v>0</v>
      </c>
      <c r="R57">
        <v>50</v>
      </c>
      <c r="S57" t="s">
        <v>31</v>
      </c>
      <c r="T57" t="s">
        <v>48</v>
      </c>
      <c r="U57">
        <v>38.581600000000002</v>
      </c>
      <c r="V57">
        <v>-121.4944</v>
      </c>
      <c r="W57" s="2">
        <v>44849</v>
      </c>
      <c r="X57">
        <v>1</v>
      </c>
      <c r="Y57" t="b">
        <v>1</v>
      </c>
      <c r="Z57" s="2">
        <v>45805</v>
      </c>
      <c r="AA57" t="str">
        <f t="shared" si="1"/>
        <v>20–29</v>
      </c>
      <c r="AB57" t="str">
        <f t="shared" si="2"/>
        <v>20–29</v>
      </c>
      <c r="AC57" t="str">
        <f t="shared" si="3"/>
        <v/>
      </c>
      <c r="AD57" t="str">
        <f t="shared" si="4"/>
        <v/>
      </c>
      <c r="AE57" t="str">
        <f t="shared" si="5"/>
        <v/>
      </c>
      <c r="AF57" t="str">
        <f t="shared" si="6"/>
        <v/>
      </c>
      <c r="AG57" t="str">
        <f t="shared" si="7"/>
        <v/>
      </c>
      <c r="AH57" t="str">
        <f t="shared" si="8"/>
        <v>Saturday</v>
      </c>
      <c r="AI57" t="str">
        <f t="shared" si="9"/>
        <v/>
      </c>
      <c r="AJ57" t="str">
        <f>LEFT(Table1[[#This Row],[membership_type]],2)&amp;TEXT(Table1[[#This Row],[age]],"00")&amp;"-"&amp;TEXT(ROW(),"000")</f>
        <v>Pr24-057</v>
      </c>
      <c r="AK57" t="str">
        <f>LEFT(Table1[[#This Row],[membership_type]],1)&amp;TEXT(MATCH(Table1[[#This Row],[membership_type]],Table1[membership_type],0),"00")</f>
        <v>P01</v>
      </c>
      <c r="AL57" t="str">
        <f>LEFT(Table1[[#This Row],[discount_type]],1)&amp;TEXT(ROUND(Table1[[#This Row],[discount_rate]]*100,0),"00")</f>
        <v>N00</v>
      </c>
      <c r="AM57" t="str" cm="1">
        <f t="array" ref="AM57">TEXT(SUMPRODUCT(CODE(MID(Table1[[#This Row],[home_gym_location]],_xlfn.SEQUENCE(LEN(Table1[[#This Row],[home_gym_location]])),1))),"00000")</f>
        <v>01245</v>
      </c>
      <c r="AN5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7" t="str">
        <f>LEFT(_xlfn.TEXTBEFORE(Table1[[#This Row],[Location Identifier]],"-"),3) &amp; "-" &amp; _xlfn.TEXTAFTER(Table1[[#This Row],[Location Identifier]],"-")</f>
        <v>SAC-007</v>
      </c>
      <c r="AP57" s="9">
        <f t="shared" ca="1" si="0"/>
        <v>45869</v>
      </c>
    </row>
    <row r="58" spans="1:42" x14ac:dyDescent="0.25">
      <c r="A58">
        <v>41</v>
      </c>
      <c r="B58" t="s">
        <v>26</v>
      </c>
      <c r="C58">
        <v>1</v>
      </c>
      <c r="D58" t="s">
        <v>63</v>
      </c>
      <c r="E58" t="b">
        <v>0</v>
      </c>
      <c r="F58" s="1">
        <v>0.68125000000000002</v>
      </c>
      <c r="G58" s="1">
        <v>0.77708333333333335</v>
      </c>
      <c r="H58">
        <v>138</v>
      </c>
      <c r="I58" t="b">
        <v>1</v>
      </c>
      <c r="J58" t="b">
        <v>1</v>
      </c>
      <c r="K58" t="b">
        <v>0</v>
      </c>
      <c r="L58" t="s">
        <v>28</v>
      </c>
      <c r="M58">
        <v>50</v>
      </c>
      <c r="N58" t="s">
        <v>29</v>
      </c>
      <c r="O58">
        <v>50</v>
      </c>
      <c r="P58" t="s">
        <v>40</v>
      </c>
      <c r="Q58">
        <v>0.1</v>
      </c>
      <c r="R58">
        <v>45</v>
      </c>
      <c r="S58" t="s">
        <v>31</v>
      </c>
      <c r="T58" t="s">
        <v>54</v>
      </c>
      <c r="U58">
        <v>32.715699999999998</v>
      </c>
      <c r="V58">
        <v>-117.1611</v>
      </c>
      <c r="W58" s="2">
        <v>45736</v>
      </c>
      <c r="X58">
        <v>3</v>
      </c>
      <c r="Y58" t="b">
        <v>1</v>
      </c>
      <c r="Z58" s="2">
        <v>45855</v>
      </c>
      <c r="AA58" t="str">
        <f t="shared" si="1"/>
        <v>40–49</v>
      </c>
      <c r="AB58" t="str">
        <f t="shared" si="2"/>
        <v>40–49</v>
      </c>
      <c r="AC58" t="str">
        <f t="shared" si="3"/>
        <v/>
      </c>
      <c r="AD58" t="str">
        <f t="shared" si="4"/>
        <v/>
      </c>
      <c r="AE58" t="str">
        <f t="shared" si="5"/>
        <v>Wednesday</v>
      </c>
      <c r="AF58" t="str">
        <f t="shared" si="6"/>
        <v/>
      </c>
      <c r="AG58" t="str">
        <f t="shared" si="7"/>
        <v/>
      </c>
      <c r="AH58" t="str">
        <f t="shared" si="8"/>
        <v/>
      </c>
      <c r="AI58" t="str">
        <f t="shared" si="9"/>
        <v/>
      </c>
      <c r="AJ58" t="str">
        <f>LEFT(Table1[[#This Row],[membership_type]],2)&amp;TEXT(Table1[[#This Row],[age]],"00")&amp;"-"&amp;TEXT(ROW(),"000")</f>
        <v>Pr41-058</v>
      </c>
      <c r="AK58" t="str">
        <f>LEFT(Table1[[#This Row],[membership_type]],1)&amp;TEXT(MATCH(Table1[[#This Row],[membership_type]],Table1[membership_type],0),"00")</f>
        <v>P01</v>
      </c>
      <c r="AL58" t="str">
        <f>LEFT(Table1[[#This Row],[discount_type]],1)&amp;TEXT(ROUND(Table1[[#This Row],[discount_rate]]*100,0),"00")</f>
        <v>L10</v>
      </c>
      <c r="AM58" t="str" cm="1">
        <f t="array" ref="AM58">TEXT(SUMPRODUCT(CODE(MID(Table1[[#This Row],[home_gym_location]],_xlfn.SEQUENCE(LEN(Table1[[#This Row],[home_gym_location]])),1))),"00000")</f>
        <v>01018</v>
      </c>
      <c r="AN5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8" t="str">
        <f>LEFT(_xlfn.TEXTBEFORE(Table1[[#This Row],[Location Identifier]],"-"),3) &amp; "-" &amp; _xlfn.TEXTAFTER(Table1[[#This Row],[Location Identifier]],"-")</f>
        <v>SAN-008</v>
      </c>
      <c r="AP58" s="9">
        <f t="shared" ca="1" si="0"/>
        <v>45869</v>
      </c>
    </row>
    <row r="59" spans="1:42" x14ac:dyDescent="0.25">
      <c r="A59">
        <v>29</v>
      </c>
      <c r="B59" t="s">
        <v>26</v>
      </c>
      <c r="C59">
        <v>2</v>
      </c>
      <c r="D59" t="s">
        <v>96</v>
      </c>
      <c r="E59" t="b">
        <v>0</v>
      </c>
      <c r="F59" s="1">
        <v>0.61458333333333337</v>
      </c>
      <c r="G59" s="1">
        <v>0.69652777777777775</v>
      </c>
      <c r="H59">
        <v>118</v>
      </c>
      <c r="I59" t="b">
        <v>1</v>
      </c>
      <c r="J59" t="b">
        <v>1</v>
      </c>
      <c r="K59" t="b">
        <v>1</v>
      </c>
      <c r="L59" t="s">
        <v>28</v>
      </c>
      <c r="M59">
        <v>50</v>
      </c>
      <c r="N59" t="s">
        <v>64</v>
      </c>
      <c r="O59">
        <v>37.5</v>
      </c>
      <c r="P59" t="s">
        <v>36</v>
      </c>
      <c r="Q59">
        <v>0</v>
      </c>
      <c r="R59">
        <v>37.5</v>
      </c>
      <c r="S59" t="s">
        <v>31</v>
      </c>
      <c r="T59" t="s">
        <v>41</v>
      </c>
      <c r="U59">
        <v>37.804400000000001</v>
      </c>
      <c r="V59">
        <v>-122.27119999999999</v>
      </c>
      <c r="W59" s="2">
        <v>45622</v>
      </c>
      <c r="X59">
        <v>7</v>
      </c>
      <c r="Y59" t="b">
        <v>1</v>
      </c>
      <c r="Z59" s="2">
        <v>45849</v>
      </c>
      <c r="AA59" t="str">
        <f t="shared" si="1"/>
        <v>20–29</v>
      </c>
      <c r="AB59" t="str">
        <f t="shared" si="2"/>
        <v>20–29</v>
      </c>
      <c r="AC59" t="str">
        <f t="shared" si="3"/>
        <v/>
      </c>
      <c r="AD59" t="str">
        <f t="shared" si="4"/>
        <v/>
      </c>
      <c r="AE59" t="str">
        <f t="shared" si="5"/>
        <v/>
      </c>
      <c r="AF59" t="str">
        <f t="shared" si="6"/>
        <v>Thursday</v>
      </c>
      <c r="AG59" t="str">
        <f t="shared" si="7"/>
        <v>Friday</v>
      </c>
      <c r="AH59" t="str">
        <f t="shared" si="8"/>
        <v/>
      </c>
      <c r="AI59" t="str">
        <f t="shared" si="9"/>
        <v/>
      </c>
      <c r="AJ59" t="str">
        <f>LEFT(Table1[[#This Row],[membership_type]],2)&amp;TEXT(Table1[[#This Row],[age]],"00")&amp;"-"&amp;TEXT(ROW(),"000")</f>
        <v>Pr29-059</v>
      </c>
      <c r="AK59" t="str">
        <f>LEFT(Table1[[#This Row],[membership_type]],1)&amp;TEXT(MATCH(Table1[[#This Row],[membership_type]],Table1[membership_type],0),"00")</f>
        <v>P01</v>
      </c>
      <c r="AL59" t="str">
        <f>LEFT(Table1[[#This Row],[discount_type]],1)&amp;TEXT(ROUND(Table1[[#This Row],[discount_rate]]*100,0),"00")</f>
        <v>N00</v>
      </c>
      <c r="AM59" t="str" cm="1">
        <f t="array" ref="AM59">TEXT(SUMPRODUCT(CODE(MID(Table1[[#This Row],[home_gym_location]],_xlfn.SEQUENCE(LEN(Table1[[#This Row],[home_gym_location]])),1))),"00000")</f>
        <v>00906</v>
      </c>
      <c r="AN59" t="str">
        <f>UPPER(_xlfn.TEXTBEFORE(Table1[[#This Row],[home_gym_location]],","))&amp;"-"&amp;TEXT(MATCH(Table1[[#This Row],[home_gym_location]],_xlfn._xlws.SORT(_xlfn.UNIQUE(Table1[home_gym_location])),0),"000")</f>
        <v>OAKLAND-006</v>
      </c>
      <c r="AO59" t="str">
        <f>LEFT(_xlfn.TEXTBEFORE(Table1[[#This Row],[Location Identifier]],"-"),3) &amp; "-" &amp; _xlfn.TEXTAFTER(Table1[[#This Row],[Location Identifier]],"-")</f>
        <v>OAK-006</v>
      </c>
      <c r="AP59" s="9">
        <f t="shared" ca="1" si="0"/>
        <v>45869</v>
      </c>
    </row>
    <row r="60" spans="1:42" x14ac:dyDescent="0.25">
      <c r="A60">
        <v>17</v>
      </c>
      <c r="B60" t="s">
        <v>33</v>
      </c>
      <c r="C60">
        <v>1</v>
      </c>
      <c r="D60" t="s">
        <v>63</v>
      </c>
      <c r="E60" t="b">
        <v>0</v>
      </c>
      <c r="F60" s="1">
        <v>0.4375</v>
      </c>
      <c r="G60" s="1">
        <v>0.56041666666666667</v>
      </c>
      <c r="H60">
        <v>177</v>
      </c>
      <c r="I60" t="b">
        <v>1</v>
      </c>
      <c r="J60" t="b">
        <v>1</v>
      </c>
      <c r="K60" t="b">
        <v>1</v>
      </c>
      <c r="L60" t="s">
        <v>28</v>
      </c>
      <c r="M60">
        <v>30</v>
      </c>
      <c r="N60" t="s">
        <v>29</v>
      </c>
      <c r="O60">
        <v>30</v>
      </c>
      <c r="P60" t="s">
        <v>74</v>
      </c>
      <c r="Q60">
        <v>0.15</v>
      </c>
      <c r="R60">
        <v>25.5</v>
      </c>
      <c r="S60" t="s">
        <v>37</v>
      </c>
      <c r="T60" t="s">
        <v>65</v>
      </c>
      <c r="U60">
        <v>33.770099999999999</v>
      </c>
      <c r="V60">
        <v>-118.19370000000001</v>
      </c>
      <c r="W60" s="2">
        <v>45782</v>
      </c>
      <c r="X60">
        <v>6</v>
      </c>
      <c r="Y60" t="b">
        <v>0</v>
      </c>
      <c r="Z60" s="2">
        <v>45858</v>
      </c>
      <c r="AA60" t="str">
        <f t="shared" si="1"/>
        <v>10–19</v>
      </c>
      <c r="AB60" t="str">
        <f t="shared" si="2"/>
        <v>16–19</v>
      </c>
      <c r="AC60" t="str">
        <f t="shared" si="3"/>
        <v/>
      </c>
      <c r="AD60" t="str">
        <f t="shared" si="4"/>
        <v/>
      </c>
      <c r="AE60" t="str">
        <f t="shared" si="5"/>
        <v>Wednesday</v>
      </c>
      <c r="AF60" t="str">
        <f t="shared" si="6"/>
        <v/>
      </c>
      <c r="AG60" t="str">
        <f t="shared" si="7"/>
        <v/>
      </c>
      <c r="AH60" t="str">
        <f t="shared" si="8"/>
        <v/>
      </c>
      <c r="AI60" t="str">
        <f t="shared" si="9"/>
        <v/>
      </c>
      <c r="AJ60" t="str">
        <f>LEFT(Table1[[#This Row],[membership_type]],2)&amp;TEXT(Table1[[#This Row],[age]],"00")&amp;"-"&amp;TEXT(ROW(),"000")</f>
        <v>St17-060</v>
      </c>
      <c r="AK60" t="str">
        <f>LEFT(Table1[[#This Row],[membership_type]],1)&amp;TEXT(MATCH(Table1[[#This Row],[membership_type]],Table1[membership_type],0),"00")</f>
        <v>S02</v>
      </c>
      <c r="AL60" t="str">
        <f>LEFT(Table1[[#This Row],[discount_type]],1)&amp;TEXT(ROUND(Table1[[#This Row],[discount_rate]]*100,0),"00")</f>
        <v>S15</v>
      </c>
      <c r="AM60" t="str" cm="1">
        <f t="array" ref="AM60">TEXT(SUMPRODUCT(CODE(MID(Table1[[#This Row],[home_gym_location]],_xlfn.SEQUENCE(LEN(Table1[[#This Row],[home_gym_location]])),1))),"00000")</f>
        <v>01107</v>
      </c>
      <c r="AN6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0" t="str">
        <f>LEFT(_xlfn.TEXTBEFORE(Table1[[#This Row],[Location Identifier]],"-"),3) &amp; "-" &amp; _xlfn.TEXTAFTER(Table1[[#This Row],[Location Identifier]],"-")</f>
        <v>LON-004</v>
      </c>
      <c r="AP60" s="9">
        <f t="shared" ca="1" si="0"/>
        <v>45869</v>
      </c>
    </row>
    <row r="61" spans="1:42" x14ac:dyDescent="0.25">
      <c r="A61">
        <v>19</v>
      </c>
      <c r="B61" t="s">
        <v>42</v>
      </c>
      <c r="C61">
        <v>2</v>
      </c>
      <c r="D61" t="s">
        <v>79</v>
      </c>
      <c r="E61" t="b">
        <v>1</v>
      </c>
      <c r="F61" s="1">
        <v>0.84930555555555554</v>
      </c>
      <c r="G61" s="1">
        <v>0.90902777777777777</v>
      </c>
      <c r="H61">
        <v>86</v>
      </c>
      <c r="I61" t="b">
        <v>0</v>
      </c>
      <c r="J61" t="b">
        <v>1</v>
      </c>
      <c r="K61" t="b">
        <v>0</v>
      </c>
      <c r="L61" t="s">
        <v>28</v>
      </c>
      <c r="M61">
        <v>20</v>
      </c>
      <c r="N61" t="s">
        <v>64</v>
      </c>
      <c r="O61">
        <v>15</v>
      </c>
      <c r="P61" t="s">
        <v>40</v>
      </c>
      <c r="Q61">
        <v>0.1</v>
      </c>
      <c r="R61">
        <v>13.5</v>
      </c>
      <c r="S61" t="s">
        <v>44</v>
      </c>
      <c r="T61" t="s">
        <v>54</v>
      </c>
      <c r="U61">
        <v>32.715699999999998</v>
      </c>
      <c r="V61">
        <v>-117.1611</v>
      </c>
      <c r="W61" s="2">
        <v>45484</v>
      </c>
      <c r="X61">
        <v>7</v>
      </c>
      <c r="Y61" t="b">
        <v>0</v>
      </c>
      <c r="Z61" s="2">
        <v>45841</v>
      </c>
      <c r="AA61" t="str">
        <f t="shared" si="1"/>
        <v>10–19</v>
      </c>
      <c r="AB61" t="str">
        <f t="shared" si="2"/>
        <v>16–19</v>
      </c>
      <c r="AC61" t="str">
        <f t="shared" si="3"/>
        <v/>
      </c>
      <c r="AD61" t="str">
        <f t="shared" si="4"/>
        <v/>
      </c>
      <c r="AE61" t="str">
        <f t="shared" si="5"/>
        <v/>
      </c>
      <c r="AF61" t="str">
        <f t="shared" si="6"/>
        <v/>
      </c>
      <c r="AG61" t="str">
        <f t="shared" si="7"/>
        <v>Friday</v>
      </c>
      <c r="AH61" t="str">
        <f t="shared" si="8"/>
        <v>Saturday</v>
      </c>
      <c r="AI61" t="str">
        <f t="shared" si="9"/>
        <v/>
      </c>
      <c r="AJ61" t="str">
        <f>LEFT(Table1[[#This Row],[membership_type]],2)&amp;TEXT(Table1[[#This Row],[age]],"00")&amp;"-"&amp;TEXT(ROW(),"000")</f>
        <v>Ba19-061</v>
      </c>
      <c r="AK61" t="str">
        <f>LEFT(Table1[[#This Row],[membership_type]],1)&amp;TEXT(MATCH(Table1[[#This Row],[membership_type]],Table1[membership_type],0),"00")</f>
        <v>B04</v>
      </c>
      <c r="AL61" t="str">
        <f>LEFT(Table1[[#This Row],[discount_type]],1)&amp;TEXT(ROUND(Table1[[#This Row],[discount_rate]]*100,0),"00")</f>
        <v>L10</v>
      </c>
      <c r="AM61" t="str" cm="1">
        <f t="array" ref="AM61">TEXT(SUMPRODUCT(CODE(MID(Table1[[#This Row],[home_gym_location]],_xlfn.SEQUENCE(LEN(Table1[[#This Row],[home_gym_location]])),1))),"00000")</f>
        <v>01018</v>
      </c>
      <c r="AN6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1" t="str">
        <f>LEFT(_xlfn.TEXTBEFORE(Table1[[#This Row],[Location Identifier]],"-"),3) &amp; "-" &amp; _xlfn.TEXTAFTER(Table1[[#This Row],[Location Identifier]],"-")</f>
        <v>SAN-008</v>
      </c>
      <c r="AP61" s="9">
        <f t="shared" ca="1" si="0"/>
        <v>45869</v>
      </c>
    </row>
    <row r="62" spans="1:42" x14ac:dyDescent="0.25">
      <c r="A62">
        <v>16</v>
      </c>
      <c r="B62" t="s">
        <v>42</v>
      </c>
      <c r="C62">
        <v>1</v>
      </c>
      <c r="D62" t="s">
        <v>97</v>
      </c>
      <c r="E62" t="b">
        <v>1</v>
      </c>
      <c r="F62" s="1">
        <v>0.83472222222222225</v>
      </c>
      <c r="G62" s="1">
        <v>0.94236111111111109</v>
      </c>
      <c r="H62">
        <v>155</v>
      </c>
      <c r="I62" t="b">
        <v>0</v>
      </c>
      <c r="J62" t="b">
        <v>1</v>
      </c>
      <c r="K62" t="b">
        <v>0</v>
      </c>
      <c r="L62" t="s">
        <v>28</v>
      </c>
      <c r="M62">
        <v>20</v>
      </c>
      <c r="N62" t="s">
        <v>29</v>
      </c>
      <c r="O62">
        <v>20</v>
      </c>
      <c r="P62" t="s">
        <v>30</v>
      </c>
      <c r="Q62">
        <v>0.05</v>
      </c>
      <c r="R62">
        <v>19</v>
      </c>
      <c r="S62" t="s">
        <v>44</v>
      </c>
      <c r="T62" t="s">
        <v>38</v>
      </c>
      <c r="U62">
        <v>36.7378</v>
      </c>
      <c r="V62">
        <v>-119.7871</v>
      </c>
      <c r="W62" s="2">
        <v>45417</v>
      </c>
      <c r="X62">
        <v>7</v>
      </c>
      <c r="Y62" t="b">
        <v>0</v>
      </c>
      <c r="Z62" s="2">
        <v>45837</v>
      </c>
      <c r="AA62" t="str">
        <f t="shared" si="1"/>
        <v>10–19</v>
      </c>
      <c r="AB62" t="str">
        <f t="shared" si="2"/>
        <v>16–19</v>
      </c>
      <c r="AC62" t="str">
        <f t="shared" si="3"/>
        <v>Monday</v>
      </c>
      <c r="AD62" t="str">
        <f t="shared" si="4"/>
        <v/>
      </c>
      <c r="AE62" t="str">
        <f t="shared" si="5"/>
        <v/>
      </c>
      <c r="AF62" t="str">
        <f t="shared" si="6"/>
        <v/>
      </c>
      <c r="AG62" t="str">
        <f t="shared" si="7"/>
        <v/>
      </c>
      <c r="AH62" t="str">
        <f t="shared" si="8"/>
        <v/>
      </c>
      <c r="AI62" t="str">
        <f t="shared" si="9"/>
        <v/>
      </c>
      <c r="AJ62" t="str">
        <f>LEFT(Table1[[#This Row],[membership_type]],2)&amp;TEXT(Table1[[#This Row],[age]],"00")&amp;"-"&amp;TEXT(ROW(),"000")</f>
        <v>Ba16-062</v>
      </c>
      <c r="AK62" t="str">
        <f>LEFT(Table1[[#This Row],[membership_type]],1)&amp;TEXT(MATCH(Table1[[#This Row],[membership_type]],Table1[membership_type],0),"00")</f>
        <v>B04</v>
      </c>
      <c r="AL62" t="str">
        <f>LEFT(Table1[[#This Row],[discount_type]],1)&amp;TEXT(ROUND(Table1[[#This Row],[discount_rate]]*100,0),"00")</f>
        <v>P05</v>
      </c>
      <c r="AM62" t="str" cm="1">
        <f t="array" ref="AM62">TEXT(SUMPRODUCT(CODE(MID(Table1[[#This Row],[home_gym_location]],_xlfn.SEQUENCE(LEN(Table1[[#This Row],[home_gym_location]])),1))),"00000")</f>
        <v>00829</v>
      </c>
      <c r="AN62" t="str">
        <f>UPPER(_xlfn.TEXTBEFORE(Table1[[#This Row],[home_gym_location]],","))&amp;"-"&amp;TEXT(MATCH(Table1[[#This Row],[home_gym_location]],_xlfn._xlws.SORT(_xlfn.UNIQUE(Table1[home_gym_location])),0),"000")</f>
        <v>FRESNO-003</v>
      </c>
      <c r="AO62" t="str">
        <f>LEFT(_xlfn.TEXTBEFORE(Table1[[#This Row],[Location Identifier]],"-"),3) &amp; "-" &amp; _xlfn.TEXTAFTER(Table1[[#This Row],[Location Identifier]],"-")</f>
        <v>FRE-003</v>
      </c>
      <c r="AP62" s="9">
        <f t="shared" ca="1" si="0"/>
        <v>45869</v>
      </c>
    </row>
    <row r="63" spans="1:42" x14ac:dyDescent="0.25">
      <c r="A63">
        <v>18</v>
      </c>
      <c r="B63" t="s">
        <v>26</v>
      </c>
      <c r="C63">
        <v>4</v>
      </c>
      <c r="D63" t="s">
        <v>39</v>
      </c>
      <c r="E63" t="b">
        <v>0</v>
      </c>
      <c r="F63" s="1">
        <v>0.47430555555555554</v>
      </c>
      <c r="G63" s="1">
        <v>0.5854166666666667</v>
      </c>
      <c r="H63">
        <v>160</v>
      </c>
      <c r="I63" t="b">
        <v>1</v>
      </c>
      <c r="J63" t="b">
        <v>0</v>
      </c>
      <c r="K63" t="b">
        <v>0</v>
      </c>
      <c r="L63" t="s">
        <v>47</v>
      </c>
      <c r="M63">
        <v>50</v>
      </c>
      <c r="N63" t="s">
        <v>64</v>
      </c>
      <c r="O63">
        <v>37.5</v>
      </c>
      <c r="P63" t="s">
        <v>36</v>
      </c>
      <c r="Q63">
        <v>0</v>
      </c>
      <c r="R63">
        <v>37.5</v>
      </c>
      <c r="S63" t="s">
        <v>31</v>
      </c>
      <c r="T63" t="s">
        <v>38</v>
      </c>
      <c r="U63">
        <v>36.7378</v>
      </c>
      <c r="V63">
        <v>-119.7871</v>
      </c>
      <c r="W63" s="2">
        <v>45542</v>
      </c>
      <c r="X63">
        <v>0</v>
      </c>
      <c r="Y63" t="b">
        <v>1</v>
      </c>
      <c r="Z63" s="2">
        <v>45844</v>
      </c>
      <c r="AA63" t="str">
        <f t="shared" si="1"/>
        <v>10–19</v>
      </c>
      <c r="AB63" t="str">
        <f t="shared" si="2"/>
        <v>16–19</v>
      </c>
      <c r="AC63" t="str">
        <f t="shared" si="3"/>
        <v/>
      </c>
      <c r="AD63" t="str">
        <f t="shared" si="4"/>
        <v>Tuesday</v>
      </c>
      <c r="AE63" t="str">
        <f t="shared" si="5"/>
        <v>Wednesday</v>
      </c>
      <c r="AF63" t="str">
        <f t="shared" si="6"/>
        <v>Thursday</v>
      </c>
      <c r="AG63" t="str">
        <f t="shared" si="7"/>
        <v/>
      </c>
      <c r="AH63" t="str">
        <f t="shared" si="8"/>
        <v/>
      </c>
      <c r="AI63" t="str">
        <f t="shared" si="9"/>
        <v>Sunday</v>
      </c>
      <c r="AJ63" t="str">
        <f>LEFT(Table1[[#This Row],[membership_type]],2)&amp;TEXT(Table1[[#This Row],[age]],"00")&amp;"-"&amp;TEXT(ROW(),"000")</f>
        <v>Pr18-063</v>
      </c>
      <c r="AK63" t="str">
        <f>LEFT(Table1[[#This Row],[membership_type]],1)&amp;TEXT(MATCH(Table1[[#This Row],[membership_type]],Table1[membership_type],0),"00")</f>
        <v>P01</v>
      </c>
      <c r="AL63" t="str">
        <f>LEFT(Table1[[#This Row],[discount_type]],1)&amp;TEXT(ROUND(Table1[[#This Row],[discount_rate]]*100,0),"00")</f>
        <v>N00</v>
      </c>
      <c r="AM63" t="str" cm="1">
        <f t="array" ref="AM63">TEXT(SUMPRODUCT(CODE(MID(Table1[[#This Row],[home_gym_location]],_xlfn.SEQUENCE(LEN(Table1[[#This Row],[home_gym_location]])),1))),"00000")</f>
        <v>00829</v>
      </c>
      <c r="AN63" t="str">
        <f>UPPER(_xlfn.TEXTBEFORE(Table1[[#This Row],[home_gym_location]],","))&amp;"-"&amp;TEXT(MATCH(Table1[[#This Row],[home_gym_location]],_xlfn._xlws.SORT(_xlfn.UNIQUE(Table1[home_gym_location])),0),"000")</f>
        <v>FRESNO-003</v>
      </c>
      <c r="AO63" t="str">
        <f>LEFT(_xlfn.TEXTBEFORE(Table1[[#This Row],[Location Identifier]],"-"),3) &amp; "-" &amp; _xlfn.TEXTAFTER(Table1[[#This Row],[Location Identifier]],"-")</f>
        <v>FRE-003</v>
      </c>
      <c r="AP63" s="9">
        <f t="shared" ca="1" si="0"/>
        <v>45869</v>
      </c>
    </row>
    <row r="64" spans="1:42" x14ac:dyDescent="0.25">
      <c r="A64">
        <v>38</v>
      </c>
      <c r="B64" t="s">
        <v>33</v>
      </c>
      <c r="C64">
        <v>1</v>
      </c>
      <c r="D64" t="s">
        <v>71</v>
      </c>
      <c r="E64" t="b">
        <v>1</v>
      </c>
      <c r="F64" s="1">
        <v>0.53611111111111109</v>
      </c>
      <c r="G64" s="1">
        <v>0.64097222222222228</v>
      </c>
      <c r="H64">
        <v>151</v>
      </c>
      <c r="I64" t="b">
        <v>1</v>
      </c>
      <c r="J64" t="b">
        <v>0</v>
      </c>
      <c r="K64" t="b">
        <v>0</v>
      </c>
      <c r="L64" t="s">
        <v>28</v>
      </c>
      <c r="M64">
        <v>30</v>
      </c>
      <c r="N64" t="s">
        <v>64</v>
      </c>
      <c r="O64">
        <v>22.5</v>
      </c>
      <c r="P64" t="s">
        <v>30</v>
      </c>
      <c r="Q64">
        <v>0.05</v>
      </c>
      <c r="R64">
        <v>21.375</v>
      </c>
      <c r="S64" t="s">
        <v>37</v>
      </c>
      <c r="T64" t="s">
        <v>54</v>
      </c>
      <c r="U64">
        <v>32.715699999999998</v>
      </c>
      <c r="V64">
        <v>-117.1611</v>
      </c>
      <c r="W64" s="2">
        <v>44948</v>
      </c>
      <c r="X64">
        <v>0</v>
      </c>
      <c r="Y64" t="b">
        <v>0</v>
      </c>
      <c r="Z64" s="2">
        <v>45811</v>
      </c>
      <c r="AA64" t="str">
        <f t="shared" si="1"/>
        <v>30–39</v>
      </c>
      <c r="AB64" t="str">
        <f t="shared" si="2"/>
        <v>30–39</v>
      </c>
      <c r="AC64" t="str">
        <f t="shared" si="3"/>
        <v/>
      </c>
      <c r="AD64" t="str">
        <f t="shared" si="4"/>
        <v>Tuesday</v>
      </c>
      <c r="AE64" t="str">
        <f t="shared" si="5"/>
        <v/>
      </c>
      <c r="AF64" t="str">
        <f t="shared" si="6"/>
        <v/>
      </c>
      <c r="AG64" t="str">
        <f t="shared" si="7"/>
        <v/>
      </c>
      <c r="AH64" t="str">
        <f t="shared" si="8"/>
        <v/>
      </c>
      <c r="AI64" t="str">
        <f t="shared" si="9"/>
        <v/>
      </c>
      <c r="AJ64" t="str">
        <f>LEFT(Table1[[#This Row],[membership_type]],2)&amp;TEXT(Table1[[#This Row],[age]],"00")&amp;"-"&amp;TEXT(ROW(),"000")</f>
        <v>St38-064</v>
      </c>
      <c r="AK64" t="str">
        <f>LEFT(Table1[[#This Row],[membership_type]],1)&amp;TEXT(MATCH(Table1[[#This Row],[membership_type]],Table1[membership_type],0),"00")</f>
        <v>S02</v>
      </c>
      <c r="AL64" t="str">
        <f>LEFT(Table1[[#This Row],[discount_type]],1)&amp;TEXT(ROUND(Table1[[#This Row],[discount_rate]]*100,0),"00")</f>
        <v>P05</v>
      </c>
      <c r="AM64" t="str" cm="1">
        <f t="array" ref="AM64">TEXT(SUMPRODUCT(CODE(MID(Table1[[#This Row],[home_gym_location]],_xlfn.SEQUENCE(LEN(Table1[[#This Row],[home_gym_location]])),1))),"00000")</f>
        <v>01018</v>
      </c>
      <c r="AN6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4" t="str">
        <f>LEFT(_xlfn.TEXTBEFORE(Table1[[#This Row],[Location Identifier]],"-"),3) &amp; "-" &amp; _xlfn.TEXTAFTER(Table1[[#This Row],[Location Identifier]],"-")</f>
        <v>SAN-008</v>
      </c>
      <c r="AP64" s="9">
        <f t="shared" ca="1" si="0"/>
        <v>45869</v>
      </c>
    </row>
    <row r="65" spans="1:42" x14ac:dyDescent="0.25">
      <c r="A65">
        <v>36</v>
      </c>
      <c r="B65" t="s">
        <v>26</v>
      </c>
      <c r="C65">
        <v>1</v>
      </c>
      <c r="D65" t="s">
        <v>49</v>
      </c>
      <c r="E65" t="b">
        <v>0</v>
      </c>
      <c r="F65" s="1">
        <v>0.80555555555555558</v>
      </c>
      <c r="G65" s="1">
        <v>0.91527777777777775</v>
      </c>
      <c r="H65">
        <v>158</v>
      </c>
      <c r="I65" t="b">
        <v>1</v>
      </c>
      <c r="J65" t="b">
        <v>0</v>
      </c>
      <c r="K65" t="b">
        <v>0</v>
      </c>
      <c r="L65" t="s">
        <v>58</v>
      </c>
      <c r="M65">
        <v>50</v>
      </c>
      <c r="N65" t="s">
        <v>64</v>
      </c>
      <c r="O65">
        <v>37.5</v>
      </c>
      <c r="P65" t="s">
        <v>36</v>
      </c>
      <c r="Q65">
        <v>0</v>
      </c>
      <c r="R65">
        <v>37.5</v>
      </c>
      <c r="S65" t="s">
        <v>31</v>
      </c>
      <c r="T65" t="s">
        <v>56</v>
      </c>
      <c r="U65">
        <v>35.3733</v>
      </c>
      <c r="V65">
        <v>-119.0187</v>
      </c>
      <c r="W65" s="2">
        <v>45451</v>
      </c>
      <c r="X65">
        <v>0</v>
      </c>
      <c r="Y65" t="b">
        <v>1</v>
      </c>
      <c r="Z65" s="2">
        <v>45839</v>
      </c>
      <c r="AA65" t="str">
        <f t="shared" si="1"/>
        <v>30–39</v>
      </c>
      <c r="AB65" t="str">
        <f t="shared" si="2"/>
        <v>30–39</v>
      </c>
      <c r="AC65" t="str">
        <f t="shared" si="3"/>
        <v/>
      </c>
      <c r="AD65" t="str">
        <f t="shared" si="4"/>
        <v/>
      </c>
      <c r="AE65" t="str">
        <f t="shared" si="5"/>
        <v/>
      </c>
      <c r="AF65" t="str">
        <f t="shared" si="6"/>
        <v/>
      </c>
      <c r="AG65" t="str">
        <f t="shared" si="7"/>
        <v/>
      </c>
      <c r="AH65" t="str">
        <f t="shared" si="8"/>
        <v/>
      </c>
      <c r="AI65" t="str">
        <f t="shared" si="9"/>
        <v>Sunday</v>
      </c>
      <c r="AJ65" t="str">
        <f>LEFT(Table1[[#This Row],[membership_type]],2)&amp;TEXT(Table1[[#This Row],[age]],"00")&amp;"-"&amp;TEXT(ROW(),"000")</f>
        <v>Pr36-065</v>
      </c>
      <c r="AK65" t="str">
        <f>LEFT(Table1[[#This Row],[membership_type]],1)&amp;TEXT(MATCH(Table1[[#This Row],[membership_type]],Table1[membership_type],0),"00")</f>
        <v>P01</v>
      </c>
      <c r="AL65" t="str">
        <f>LEFT(Table1[[#This Row],[discount_type]],1)&amp;TEXT(ROUND(Table1[[#This Row],[discount_rate]]*100,0),"00")</f>
        <v>N00</v>
      </c>
      <c r="AM65" t="str" cm="1">
        <f t="array" ref="AM65">TEXT(SUMPRODUCT(CODE(MID(Table1[[#This Row],[home_gym_location]],_xlfn.SEQUENCE(LEN(Table1[[#This Row],[home_gym_location]])),1))),"00000")</f>
        <v>01324</v>
      </c>
      <c r="AN6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5" t="str">
        <f>LEFT(_xlfn.TEXTBEFORE(Table1[[#This Row],[Location Identifier]],"-"),3) &amp; "-" &amp; _xlfn.TEXTAFTER(Table1[[#This Row],[Location Identifier]],"-")</f>
        <v>BAK-002</v>
      </c>
      <c r="AP65" s="9">
        <f t="shared" ca="1" si="0"/>
        <v>45869</v>
      </c>
    </row>
    <row r="66" spans="1:42" x14ac:dyDescent="0.25">
      <c r="A66">
        <v>48</v>
      </c>
      <c r="B66" t="s">
        <v>42</v>
      </c>
      <c r="C66">
        <v>1</v>
      </c>
      <c r="D66" t="s">
        <v>63</v>
      </c>
      <c r="E66" t="b">
        <v>1</v>
      </c>
      <c r="F66" s="1">
        <v>0.61388888888888893</v>
      </c>
      <c r="G66" s="1">
        <v>0.70902777777777781</v>
      </c>
      <c r="H66">
        <v>137</v>
      </c>
      <c r="I66" t="b">
        <v>0</v>
      </c>
      <c r="J66" t="b">
        <v>1</v>
      </c>
      <c r="K66" t="b">
        <v>0</v>
      </c>
      <c r="L66" t="s">
        <v>28</v>
      </c>
      <c r="M66">
        <v>20</v>
      </c>
      <c r="N66" t="s">
        <v>78</v>
      </c>
      <c r="O66">
        <v>18</v>
      </c>
      <c r="P66" t="s">
        <v>30</v>
      </c>
      <c r="Q66">
        <v>0.05</v>
      </c>
      <c r="R66">
        <v>17.100000000000001</v>
      </c>
      <c r="S66" t="s">
        <v>44</v>
      </c>
      <c r="T66" t="s">
        <v>65</v>
      </c>
      <c r="U66">
        <v>33.770099999999999</v>
      </c>
      <c r="V66">
        <v>-118.19370000000001</v>
      </c>
      <c r="W66" s="2">
        <v>45531</v>
      </c>
      <c r="X66">
        <v>2</v>
      </c>
      <c r="Y66" t="b">
        <v>0</v>
      </c>
      <c r="Z66" s="2">
        <v>45844</v>
      </c>
      <c r="AA66" t="str">
        <f t="shared" si="1"/>
        <v>40–49</v>
      </c>
      <c r="AB66" t="str">
        <f t="shared" si="2"/>
        <v>40–49</v>
      </c>
      <c r="AC66" t="str">
        <f t="shared" si="3"/>
        <v/>
      </c>
      <c r="AD66" t="str">
        <f t="shared" si="4"/>
        <v/>
      </c>
      <c r="AE66" t="str">
        <f t="shared" si="5"/>
        <v>Wednesday</v>
      </c>
      <c r="AF66" t="str">
        <f t="shared" si="6"/>
        <v/>
      </c>
      <c r="AG66" t="str">
        <f t="shared" si="7"/>
        <v/>
      </c>
      <c r="AH66" t="str">
        <f t="shared" si="8"/>
        <v/>
      </c>
      <c r="AI66" t="str">
        <f t="shared" si="9"/>
        <v/>
      </c>
      <c r="AJ66" t="str">
        <f>LEFT(Table1[[#This Row],[membership_type]],2)&amp;TEXT(Table1[[#This Row],[age]],"00")&amp;"-"&amp;TEXT(ROW(),"000")</f>
        <v>Ba48-066</v>
      </c>
      <c r="AK66" t="str">
        <f>LEFT(Table1[[#This Row],[membership_type]],1)&amp;TEXT(MATCH(Table1[[#This Row],[membership_type]],Table1[membership_type],0),"00")</f>
        <v>B04</v>
      </c>
      <c r="AL66" t="str">
        <f>LEFT(Table1[[#This Row],[discount_type]],1)&amp;TEXT(ROUND(Table1[[#This Row],[discount_rate]]*100,0),"00")</f>
        <v>P05</v>
      </c>
      <c r="AM66" t="str" cm="1">
        <f t="array" ref="AM66">TEXT(SUMPRODUCT(CODE(MID(Table1[[#This Row],[home_gym_location]],_xlfn.SEQUENCE(LEN(Table1[[#This Row],[home_gym_location]])),1))),"00000")</f>
        <v>01107</v>
      </c>
      <c r="AN6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6" t="str">
        <f>LEFT(_xlfn.TEXTBEFORE(Table1[[#This Row],[Location Identifier]],"-"),3) &amp; "-" &amp; _xlfn.TEXTAFTER(Table1[[#This Row],[Location Identifier]],"-")</f>
        <v>LON-004</v>
      </c>
      <c r="AP66" s="9">
        <f t="shared" ref="AP66:AP129" ca="1" si="10">EOMONTH(DATE(YEAR(TODAY()),7,1),0)</f>
        <v>45869</v>
      </c>
    </row>
    <row r="67" spans="1:42" x14ac:dyDescent="0.25">
      <c r="A67">
        <v>14</v>
      </c>
      <c r="B67" t="s">
        <v>26</v>
      </c>
      <c r="C67">
        <v>1</v>
      </c>
      <c r="D67" t="s">
        <v>97</v>
      </c>
      <c r="E67" t="b">
        <v>1</v>
      </c>
      <c r="F67" s="1">
        <v>0.49722222222222223</v>
      </c>
      <c r="G67" s="1">
        <v>0.56736111111111109</v>
      </c>
      <c r="H67">
        <v>101</v>
      </c>
      <c r="I67" t="b">
        <v>0</v>
      </c>
      <c r="J67" t="b">
        <v>0</v>
      </c>
      <c r="K67" t="b">
        <v>0</v>
      </c>
      <c r="L67" t="s">
        <v>28</v>
      </c>
      <c r="M67">
        <v>50</v>
      </c>
      <c r="N67" t="s">
        <v>64</v>
      </c>
      <c r="O67">
        <v>37.5</v>
      </c>
      <c r="P67" t="s">
        <v>36</v>
      </c>
      <c r="Q67">
        <v>0</v>
      </c>
      <c r="R67">
        <v>37.5</v>
      </c>
      <c r="S67" t="s">
        <v>31</v>
      </c>
      <c r="T67" t="s">
        <v>48</v>
      </c>
      <c r="U67">
        <v>38.581600000000002</v>
      </c>
      <c r="V67">
        <v>-121.4944</v>
      </c>
      <c r="W67" s="2">
        <v>45253</v>
      </c>
      <c r="X67">
        <v>0</v>
      </c>
      <c r="Y67" t="b">
        <v>1</v>
      </c>
      <c r="Z67" s="2">
        <v>45828</v>
      </c>
      <c r="AA67" t="str">
        <f t="shared" ref="AA67:AA130" si="11">TEXT(10*INT($A67/10),"0")&amp;"–"&amp;TEXT(10*INT($A67/10)+9,"0")</f>
        <v>10–19</v>
      </c>
      <c r="AB67" t="str">
        <f t="shared" ref="AB67:AB130" si="12">IF(AND($AA67 = "10–19", $A67 &lt; 16), "Under 16", IF(AND($AA67 = "10–19", $A67 &gt;= 16), "16–19", $AA67))</f>
        <v>Under 16</v>
      </c>
      <c r="AC67" t="str">
        <f t="shared" ref="AC67:AC130" si="13">IF(ISNUMBER(SEARCH("Mon", $D67)), "Monday", "")</f>
        <v>Monday</v>
      </c>
      <c r="AD67" t="str">
        <f t="shared" ref="AD67:AD130" si="14">IF(ISNUMBER(SEARCH("Tue", $D67)), "Tuesday", "")</f>
        <v/>
      </c>
      <c r="AE67" t="str">
        <f t="shared" ref="AE67:AE130" si="15">IF(ISNUMBER(SEARCH("Wed", $D67)), "Wednesday", "")</f>
        <v/>
      </c>
      <c r="AF67" t="str">
        <f t="shared" ref="AF67:AF130" si="16">IF(ISNUMBER(SEARCH("Thu", $D67)), "Thursday", "")</f>
        <v/>
      </c>
      <c r="AG67" t="str">
        <f t="shared" ref="AG67:AG130" si="17">IF(ISNUMBER(SEARCH("Fri", $D67)), "Friday", "")</f>
        <v/>
      </c>
      <c r="AH67" t="str">
        <f t="shared" ref="AH67:AH130" si="18">IF(ISNUMBER(SEARCH("Sat", $D67)), "Saturday", "")</f>
        <v/>
      </c>
      <c r="AI67" t="str">
        <f t="shared" ref="AI67:AI130" si="19">IF(ISNUMBER(SEARCH("Sun", $D67)), "Sunday", "")</f>
        <v/>
      </c>
      <c r="AJ67" t="str">
        <f>LEFT(Table1[[#This Row],[membership_type]],2)&amp;TEXT(Table1[[#This Row],[age]],"00")&amp;"-"&amp;TEXT(ROW(),"000")</f>
        <v>Pr14-067</v>
      </c>
      <c r="AK67" t="str">
        <f>LEFT(Table1[[#This Row],[membership_type]],1)&amp;TEXT(MATCH(Table1[[#This Row],[membership_type]],Table1[membership_type],0),"00")</f>
        <v>P01</v>
      </c>
      <c r="AL67" t="str">
        <f>LEFT(Table1[[#This Row],[discount_type]],1)&amp;TEXT(ROUND(Table1[[#This Row],[discount_rate]]*100,0),"00")</f>
        <v>N00</v>
      </c>
      <c r="AM67" t="str" cm="1">
        <f t="array" ref="AM67">TEXT(SUMPRODUCT(CODE(MID(Table1[[#This Row],[home_gym_location]],_xlfn.SEQUENCE(LEN(Table1[[#This Row],[home_gym_location]])),1))),"00000")</f>
        <v>01245</v>
      </c>
      <c r="AN6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7" t="str">
        <f>LEFT(_xlfn.TEXTBEFORE(Table1[[#This Row],[Location Identifier]],"-"),3) &amp; "-" &amp; _xlfn.TEXTAFTER(Table1[[#This Row],[Location Identifier]],"-")</f>
        <v>SAC-007</v>
      </c>
      <c r="AP67" s="9">
        <f t="shared" ca="1" si="10"/>
        <v>45869</v>
      </c>
    </row>
    <row r="68" spans="1:42" x14ac:dyDescent="0.25">
      <c r="A68">
        <v>33</v>
      </c>
      <c r="B68" t="s">
        <v>26</v>
      </c>
      <c r="C68">
        <v>1</v>
      </c>
      <c r="D68" t="s">
        <v>75</v>
      </c>
      <c r="E68" t="b">
        <v>1</v>
      </c>
      <c r="F68" s="1">
        <v>0.67083333333333328</v>
      </c>
      <c r="G68" s="1">
        <v>0.70972222222222225</v>
      </c>
      <c r="H68">
        <v>56</v>
      </c>
      <c r="I68" t="b">
        <v>0</v>
      </c>
      <c r="J68" t="b">
        <v>0</v>
      </c>
      <c r="K68" t="b">
        <v>0</v>
      </c>
      <c r="L68" t="s">
        <v>62</v>
      </c>
      <c r="M68">
        <v>50</v>
      </c>
      <c r="N68" t="s">
        <v>29</v>
      </c>
      <c r="O68">
        <v>50</v>
      </c>
      <c r="P68" t="s">
        <v>40</v>
      </c>
      <c r="Q68">
        <v>0.1</v>
      </c>
      <c r="R68">
        <v>45</v>
      </c>
      <c r="S68" t="s">
        <v>31</v>
      </c>
      <c r="T68" t="s">
        <v>38</v>
      </c>
      <c r="U68">
        <v>36.7378</v>
      </c>
      <c r="V68">
        <v>-119.7871</v>
      </c>
      <c r="W68" s="2">
        <v>45680</v>
      </c>
      <c r="X68">
        <v>0</v>
      </c>
      <c r="Y68" t="b">
        <v>1</v>
      </c>
      <c r="Z68" s="2">
        <v>45852</v>
      </c>
      <c r="AA68" t="str">
        <f t="shared" si="11"/>
        <v>30–39</v>
      </c>
      <c r="AB68" t="str">
        <f t="shared" si="12"/>
        <v>30–39</v>
      </c>
      <c r="AC68" t="str">
        <f t="shared" si="13"/>
        <v/>
      </c>
      <c r="AD68" t="str">
        <f t="shared" si="14"/>
        <v/>
      </c>
      <c r="AE68" t="str">
        <f t="shared" si="15"/>
        <v/>
      </c>
      <c r="AF68" t="str">
        <f t="shared" si="16"/>
        <v/>
      </c>
      <c r="AG68" t="str">
        <f t="shared" si="17"/>
        <v>Friday</v>
      </c>
      <c r="AH68" t="str">
        <f t="shared" si="18"/>
        <v/>
      </c>
      <c r="AI68" t="str">
        <f t="shared" si="19"/>
        <v/>
      </c>
      <c r="AJ68" t="str">
        <f>LEFT(Table1[[#This Row],[membership_type]],2)&amp;TEXT(Table1[[#This Row],[age]],"00")&amp;"-"&amp;TEXT(ROW(),"000")</f>
        <v>Pr33-068</v>
      </c>
      <c r="AK68" t="str">
        <f>LEFT(Table1[[#This Row],[membership_type]],1)&amp;TEXT(MATCH(Table1[[#This Row],[membership_type]],Table1[membership_type],0),"00")</f>
        <v>P01</v>
      </c>
      <c r="AL68" t="str">
        <f>LEFT(Table1[[#This Row],[discount_type]],1)&amp;TEXT(ROUND(Table1[[#This Row],[discount_rate]]*100,0),"00")</f>
        <v>L10</v>
      </c>
      <c r="AM68" t="str" cm="1">
        <f t="array" ref="AM68">TEXT(SUMPRODUCT(CODE(MID(Table1[[#This Row],[home_gym_location]],_xlfn.SEQUENCE(LEN(Table1[[#This Row],[home_gym_location]])),1))),"00000")</f>
        <v>00829</v>
      </c>
      <c r="AN68" t="str">
        <f>UPPER(_xlfn.TEXTBEFORE(Table1[[#This Row],[home_gym_location]],","))&amp;"-"&amp;TEXT(MATCH(Table1[[#This Row],[home_gym_location]],_xlfn._xlws.SORT(_xlfn.UNIQUE(Table1[home_gym_location])),0),"000")</f>
        <v>FRESNO-003</v>
      </c>
      <c r="AO68" t="str">
        <f>LEFT(_xlfn.TEXTBEFORE(Table1[[#This Row],[Location Identifier]],"-"),3) &amp; "-" &amp; _xlfn.TEXTAFTER(Table1[[#This Row],[Location Identifier]],"-")</f>
        <v>FRE-003</v>
      </c>
      <c r="AP68" s="9">
        <f t="shared" ca="1" si="10"/>
        <v>45869</v>
      </c>
    </row>
    <row r="69" spans="1:42" x14ac:dyDescent="0.25">
      <c r="A69">
        <v>43</v>
      </c>
      <c r="B69" t="s">
        <v>33</v>
      </c>
      <c r="C69">
        <v>4</v>
      </c>
      <c r="D69" t="s">
        <v>98</v>
      </c>
      <c r="E69" t="b">
        <v>1</v>
      </c>
      <c r="F69" s="1">
        <v>0.44305555555555554</v>
      </c>
      <c r="G69" s="1">
        <v>0.48680555555555555</v>
      </c>
      <c r="H69">
        <v>63</v>
      </c>
      <c r="I69" t="b">
        <v>1</v>
      </c>
      <c r="J69" t="b">
        <v>1</v>
      </c>
      <c r="K69" t="b">
        <v>1</v>
      </c>
      <c r="L69" t="s">
        <v>28</v>
      </c>
      <c r="M69">
        <v>30</v>
      </c>
      <c r="N69" t="s">
        <v>64</v>
      </c>
      <c r="O69">
        <v>22.5</v>
      </c>
      <c r="P69" t="s">
        <v>30</v>
      </c>
      <c r="Q69">
        <v>0.05</v>
      </c>
      <c r="R69">
        <v>21.375</v>
      </c>
      <c r="S69" t="s">
        <v>37</v>
      </c>
      <c r="T69" t="s">
        <v>56</v>
      </c>
      <c r="U69">
        <v>35.3733</v>
      </c>
      <c r="V69">
        <v>-119.0187</v>
      </c>
      <c r="W69" s="2">
        <v>44976</v>
      </c>
      <c r="X69">
        <v>8</v>
      </c>
      <c r="Y69" t="b">
        <v>0</v>
      </c>
      <c r="Z69" s="2">
        <v>45812</v>
      </c>
      <c r="AA69" t="str">
        <f t="shared" si="11"/>
        <v>40–49</v>
      </c>
      <c r="AB69" t="str">
        <f t="shared" si="12"/>
        <v>40–49</v>
      </c>
      <c r="AC69" t="str">
        <f t="shared" si="13"/>
        <v>Monday</v>
      </c>
      <c r="AD69" t="str">
        <f t="shared" si="14"/>
        <v>Tuesday</v>
      </c>
      <c r="AE69" t="str">
        <f t="shared" si="15"/>
        <v>Wednesday</v>
      </c>
      <c r="AF69" t="str">
        <f t="shared" si="16"/>
        <v/>
      </c>
      <c r="AG69" t="str">
        <f t="shared" si="17"/>
        <v/>
      </c>
      <c r="AH69" t="str">
        <f t="shared" si="18"/>
        <v>Saturday</v>
      </c>
      <c r="AI69" t="str">
        <f t="shared" si="19"/>
        <v/>
      </c>
      <c r="AJ69" t="str">
        <f>LEFT(Table1[[#This Row],[membership_type]],2)&amp;TEXT(Table1[[#This Row],[age]],"00")&amp;"-"&amp;TEXT(ROW(),"000")</f>
        <v>St43-069</v>
      </c>
      <c r="AK69" t="str">
        <f>LEFT(Table1[[#This Row],[membership_type]],1)&amp;TEXT(MATCH(Table1[[#This Row],[membership_type]],Table1[membership_type],0),"00")</f>
        <v>S02</v>
      </c>
      <c r="AL69" t="str">
        <f>LEFT(Table1[[#This Row],[discount_type]],1)&amp;TEXT(ROUND(Table1[[#This Row],[discount_rate]]*100,0),"00")</f>
        <v>P05</v>
      </c>
      <c r="AM69" t="str" cm="1">
        <f t="array" ref="AM69">TEXT(SUMPRODUCT(CODE(MID(Table1[[#This Row],[home_gym_location]],_xlfn.SEQUENCE(LEN(Table1[[#This Row],[home_gym_location]])),1))),"00000")</f>
        <v>01324</v>
      </c>
      <c r="AN6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9" t="str">
        <f>LEFT(_xlfn.TEXTBEFORE(Table1[[#This Row],[Location Identifier]],"-"),3) &amp; "-" &amp; _xlfn.TEXTAFTER(Table1[[#This Row],[Location Identifier]],"-")</f>
        <v>BAK-002</v>
      </c>
      <c r="AP69" s="9">
        <f t="shared" ca="1" si="10"/>
        <v>45869</v>
      </c>
    </row>
    <row r="70" spans="1:42" x14ac:dyDescent="0.25">
      <c r="A70">
        <v>28</v>
      </c>
      <c r="B70" t="s">
        <v>26</v>
      </c>
      <c r="C70">
        <v>1</v>
      </c>
      <c r="D70" t="s">
        <v>49</v>
      </c>
      <c r="E70" t="b">
        <v>0</v>
      </c>
      <c r="F70" s="1">
        <v>0.49236111111111114</v>
      </c>
      <c r="G70" s="1">
        <v>0.59097222222222223</v>
      </c>
      <c r="H70">
        <v>142</v>
      </c>
      <c r="I70" t="b">
        <v>1</v>
      </c>
      <c r="J70" t="b">
        <v>1</v>
      </c>
      <c r="K70" t="b">
        <v>1</v>
      </c>
      <c r="L70" t="s">
        <v>47</v>
      </c>
      <c r="M70">
        <v>50</v>
      </c>
      <c r="N70" t="s">
        <v>29</v>
      </c>
      <c r="O70">
        <v>50</v>
      </c>
      <c r="P70" t="s">
        <v>40</v>
      </c>
      <c r="Q70">
        <v>0.1</v>
      </c>
      <c r="R70">
        <v>45</v>
      </c>
      <c r="S70" t="s">
        <v>31</v>
      </c>
      <c r="T70" t="s">
        <v>48</v>
      </c>
      <c r="U70">
        <v>38.581600000000002</v>
      </c>
      <c r="V70">
        <v>-121.4944</v>
      </c>
      <c r="W70" s="2">
        <v>45751</v>
      </c>
      <c r="X70">
        <v>8</v>
      </c>
      <c r="Y70" t="b">
        <v>1</v>
      </c>
      <c r="Z70" s="2">
        <v>45856</v>
      </c>
      <c r="AA70" t="str">
        <f t="shared" si="11"/>
        <v>20–29</v>
      </c>
      <c r="AB70" t="str">
        <f t="shared" si="12"/>
        <v>20–29</v>
      </c>
      <c r="AC70" t="str">
        <f t="shared" si="13"/>
        <v/>
      </c>
      <c r="AD70" t="str">
        <f t="shared" si="14"/>
        <v/>
      </c>
      <c r="AE70" t="str">
        <f t="shared" si="15"/>
        <v/>
      </c>
      <c r="AF70" t="str">
        <f t="shared" si="16"/>
        <v/>
      </c>
      <c r="AG70" t="str">
        <f t="shared" si="17"/>
        <v/>
      </c>
      <c r="AH70" t="str">
        <f t="shared" si="18"/>
        <v/>
      </c>
      <c r="AI70" t="str">
        <f t="shared" si="19"/>
        <v>Sunday</v>
      </c>
      <c r="AJ70" t="str">
        <f>LEFT(Table1[[#This Row],[membership_type]],2)&amp;TEXT(Table1[[#This Row],[age]],"00")&amp;"-"&amp;TEXT(ROW(),"000")</f>
        <v>Pr28-070</v>
      </c>
      <c r="AK70" t="str">
        <f>LEFT(Table1[[#This Row],[membership_type]],1)&amp;TEXT(MATCH(Table1[[#This Row],[membership_type]],Table1[membership_type],0),"00")</f>
        <v>P01</v>
      </c>
      <c r="AL70" t="str">
        <f>LEFT(Table1[[#This Row],[discount_type]],1)&amp;TEXT(ROUND(Table1[[#This Row],[discount_rate]]*100,0),"00")</f>
        <v>L10</v>
      </c>
      <c r="AM70" t="str" cm="1">
        <f t="array" ref="AM70">TEXT(SUMPRODUCT(CODE(MID(Table1[[#This Row],[home_gym_location]],_xlfn.SEQUENCE(LEN(Table1[[#This Row],[home_gym_location]])),1))),"00000")</f>
        <v>01245</v>
      </c>
      <c r="AN7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0" t="str">
        <f>LEFT(_xlfn.TEXTBEFORE(Table1[[#This Row],[Location Identifier]],"-"),3) &amp; "-" &amp; _xlfn.TEXTAFTER(Table1[[#This Row],[Location Identifier]],"-")</f>
        <v>SAC-007</v>
      </c>
      <c r="AP70" s="9">
        <f t="shared" ca="1" si="10"/>
        <v>45869</v>
      </c>
    </row>
    <row r="71" spans="1:42" x14ac:dyDescent="0.25">
      <c r="A71">
        <v>15</v>
      </c>
      <c r="B71" t="s">
        <v>33</v>
      </c>
      <c r="C71">
        <v>4</v>
      </c>
      <c r="D71" t="s">
        <v>99</v>
      </c>
      <c r="E71" t="b">
        <v>0</v>
      </c>
      <c r="F71" s="1">
        <v>0.58750000000000002</v>
      </c>
      <c r="G71" s="1">
        <v>0.66249999999999998</v>
      </c>
      <c r="H71">
        <v>108</v>
      </c>
      <c r="I71" t="b">
        <v>1</v>
      </c>
      <c r="J71" t="b">
        <v>0</v>
      </c>
      <c r="K71" t="b">
        <v>1</v>
      </c>
      <c r="L71" t="s">
        <v>28</v>
      </c>
      <c r="M71">
        <v>30</v>
      </c>
      <c r="N71" t="s">
        <v>29</v>
      </c>
      <c r="O71">
        <v>30</v>
      </c>
      <c r="P71" t="s">
        <v>36</v>
      </c>
      <c r="Q71">
        <v>0</v>
      </c>
      <c r="R71">
        <v>30</v>
      </c>
      <c r="S71" t="s">
        <v>37</v>
      </c>
      <c r="T71" t="s">
        <v>41</v>
      </c>
      <c r="U71">
        <v>37.804400000000001</v>
      </c>
      <c r="V71">
        <v>-122.27119999999999</v>
      </c>
      <c r="W71" s="2">
        <v>44779</v>
      </c>
      <c r="X71">
        <v>0</v>
      </c>
      <c r="Y71" t="b">
        <v>1</v>
      </c>
      <c r="Z71" s="2">
        <v>45801</v>
      </c>
      <c r="AA71" t="str">
        <f t="shared" si="11"/>
        <v>10–19</v>
      </c>
      <c r="AB71" t="str">
        <f t="shared" si="12"/>
        <v>Under 16</v>
      </c>
      <c r="AC71" t="str">
        <f t="shared" si="13"/>
        <v/>
      </c>
      <c r="AD71" t="str">
        <f t="shared" si="14"/>
        <v/>
      </c>
      <c r="AE71" t="str">
        <f t="shared" si="15"/>
        <v>Wednesday</v>
      </c>
      <c r="AF71" t="str">
        <f t="shared" si="16"/>
        <v/>
      </c>
      <c r="AG71" t="str">
        <f t="shared" si="17"/>
        <v>Friday</v>
      </c>
      <c r="AH71" t="str">
        <f t="shared" si="18"/>
        <v>Saturday</v>
      </c>
      <c r="AI71" t="str">
        <f t="shared" si="19"/>
        <v>Sunday</v>
      </c>
      <c r="AJ71" t="str">
        <f>LEFT(Table1[[#This Row],[membership_type]],2)&amp;TEXT(Table1[[#This Row],[age]],"00")&amp;"-"&amp;TEXT(ROW(),"000")</f>
        <v>St15-071</v>
      </c>
      <c r="AK71" t="str">
        <f>LEFT(Table1[[#This Row],[membership_type]],1)&amp;TEXT(MATCH(Table1[[#This Row],[membership_type]],Table1[membership_type],0),"00")</f>
        <v>S02</v>
      </c>
      <c r="AL71" t="str">
        <f>LEFT(Table1[[#This Row],[discount_type]],1)&amp;TEXT(ROUND(Table1[[#This Row],[discount_rate]]*100,0),"00")</f>
        <v>N00</v>
      </c>
      <c r="AM71" t="str" cm="1">
        <f t="array" ref="AM71">TEXT(SUMPRODUCT(CODE(MID(Table1[[#This Row],[home_gym_location]],_xlfn.SEQUENCE(LEN(Table1[[#This Row],[home_gym_location]])),1))),"00000")</f>
        <v>00906</v>
      </c>
      <c r="AN71" t="str">
        <f>UPPER(_xlfn.TEXTBEFORE(Table1[[#This Row],[home_gym_location]],","))&amp;"-"&amp;TEXT(MATCH(Table1[[#This Row],[home_gym_location]],_xlfn._xlws.SORT(_xlfn.UNIQUE(Table1[home_gym_location])),0),"000")</f>
        <v>OAKLAND-006</v>
      </c>
      <c r="AO71" t="str">
        <f>LEFT(_xlfn.TEXTBEFORE(Table1[[#This Row],[Location Identifier]],"-"),3) &amp; "-" &amp; _xlfn.TEXTAFTER(Table1[[#This Row],[Location Identifier]],"-")</f>
        <v>OAK-006</v>
      </c>
      <c r="AP71" s="9">
        <f t="shared" ca="1" si="10"/>
        <v>45869</v>
      </c>
    </row>
    <row r="72" spans="1:42" x14ac:dyDescent="0.25">
      <c r="A72">
        <v>19</v>
      </c>
      <c r="B72" t="s">
        <v>26</v>
      </c>
      <c r="C72">
        <v>3</v>
      </c>
      <c r="D72" t="s">
        <v>100</v>
      </c>
      <c r="E72" t="b">
        <v>1</v>
      </c>
      <c r="F72" s="1">
        <v>0.62569444444444444</v>
      </c>
      <c r="G72" s="1">
        <v>0.70763888888888893</v>
      </c>
      <c r="H72">
        <v>118</v>
      </c>
      <c r="I72" t="b">
        <v>1</v>
      </c>
      <c r="J72" t="b">
        <v>0</v>
      </c>
      <c r="K72" t="b">
        <v>0</v>
      </c>
      <c r="L72" t="s">
        <v>28</v>
      </c>
      <c r="M72">
        <v>50</v>
      </c>
      <c r="N72" t="s">
        <v>64</v>
      </c>
      <c r="O72">
        <v>37.5</v>
      </c>
      <c r="P72" t="s">
        <v>30</v>
      </c>
      <c r="Q72">
        <v>0.05</v>
      </c>
      <c r="R72">
        <v>35.625</v>
      </c>
      <c r="S72" t="s">
        <v>31</v>
      </c>
      <c r="T72" t="s">
        <v>54</v>
      </c>
      <c r="U72">
        <v>32.715699999999998</v>
      </c>
      <c r="V72">
        <v>-117.1611</v>
      </c>
      <c r="W72" s="2">
        <v>45008</v>
      </c>
      <c r="X72">
        <v>0</v>
      </c>
      <c r="Y72" t="b">
        <v>1</v>
      </c>
      <c r="Z72" s="2">
        <v>45814</v>
      </c>
      <c r="AA72" t="str">
        <f t="shared" si="11"/>
        <v>10–19</v>
      </c>
      <c r="AB72" t="str">
        <f t="shared" si="12"/>
        <v>16–19</v>
      </c>
      <c r="AC72" t="str">
        <f t="shared" si="13"/>
        <v/>
      </c>
      <c r="AD72" t="str">
        <f t="shared" si="14"/>
        <v/>
      </c>
      <c r="AE72" t="str">
        <f t="shared" si="15"/>
        <v>Wednesday</v>
      </c>
      <c r="AF72" t="str">
        <f t="shared" si="16"/>
        <v/>
      </c>
      <c r="AG72" t="str">
        <f t="shared" si="17"/>
        <v>Friday</v>
      </c>
      <c r="AH72" t="str">
        <f t="shared" si="18"/>
        <v/>
      </c>
      <c r="AI72" t="str">
        <f t="shared" si="19"/>
        <v>Sunday</v>
      </c>
      <c r="AJ72" t="str">
        <f>LEFT(Table1[[#This Row],[membership_type]],2)&amp;TEXT(Table1[[#This Row],[age]],"00")&amp;"-"&amp;TEXT(ROW(),"000")</f>
        <v>Pr19-072</v>
      </c>
      <c r="AK72" t="str">
        <f>LEFT(Table1[[#This Row],[membership_type]],1)&amp;TEXT(MATCH(Table1[[#This Row],[membership_type]],Table1[membership_type],0),"00")</f>
        <v>P01</v>
      </c>
      <c r="AL72" t="str">
        <f>LEFT(Table1[[#This Row],[discount_type]],1)&amp;TEXT(ROUND(Table1[[#This Row],[discount_rate]]*100,0),"00")</f>
        <v>P05</v>
      </c>
      <c r="AM72" t="str" cm="1">
        <f t="array" ref="AM72">TEXT(SUMPRODUCT(CODE(MID(Table1[[#This Row],[home_gym_location]],_xlfn.SEQUENCE(LEN(Table1[[#This Row],[home_gym_location]])),1))),"00000")</f>
        <v>01018</v>
      </c>
      <c r="AN7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2" t="str">
        <f>LEFT(_xlfn.TEXTBEFORE(Table1[[#This Row],[Location Identifier]],"-"),3) &amp; "-" &amp; _xlfn.TEXTAFTER(Table1[[#This Row],[Location Identifier]],"-")</f>
        <v>SAN-008</v>
      </c>
      <c r="AP72" s="9">
        <f t="shared" ca="1" si="10"/>
        <v>45869</v>
      </c>
    </row>
    <row r="73" spans="1:42" x14ac:dyDescent="0.25">
      <c r="A73">
        <v>38</v>
      </c>
      <c r="B73" t="s">
        <v>33</v>
      </c>
      <c r="C73">
        <v>3</v>
      </c>
      <c r="D73" t="s">
        <v>60</v>
      </c>
      <c r="E73" t="b">
        <v>1</v>
      </c>
      <c r="F73" s="1">
        <v>0.55555555555555558</v>
      </c>
      <c r="G73" s="1">
        <v>0.61250000000000004</v>
      </c>
      <c r="H73">
        <v>82</v>
      </c>
      <c r="I73" t="b">
        <v>0</v>
      </c>
      <c r="J73" t="b">
        <v>0</v>
      </c>
      <c r="K73" t="b">
        <v>0</v>
      </c>
      <c r="L73" t="s">
        <v>35</v>
      </c>
      <c r="M73">
        <v>30</v>
      </c>
      <c r="N73" t="s">
        <v>78</v>
      </c>
      <c r="O73">
        <v>27</v>
      </c>
      <c r="P73" t="s">
        <v>36</v>
      </c>
      <c r="Q73">
        <v>0</v>
      </c>
      <c r="R73">
        <v>27</v>
      </c>
      <c r="S73" t="s">
        <v>37</v>
      </c>
      <c r="T73" t="s">
        <v>54</v>
      </c>
      <c r="U73">
        <v>32.715699999999998</v>
      </c>
      <c r="V73">
        <v>-117.1611</v>
      </c>
      <c r="W73" s="2">
        <v>45619</v>
      </c>
      <c r="X73">
        <v>0</v>
      </c>
      <c r="Y73" t="b">
        <v>1</v>
      </c>
      <c r="Z73" s="2">
        <v>45849</v>
      </c>
      <c r="AA73" t="str">
        <f t="shared" si="11"/>
        <v>30–39</v>
      </c>
      <c r="AB73" t="str">
        <f t="shared" si="12"/>
        <v>30–39</v>
      </c>
      <c r="AC73" t="str">
        <f t="shared" si="13"/>
        <v/>
      </c>
      <c r="AD73" t="str">
        <f t="shared" si="14"/>
        <v/>
      </c>
      <c r="AE73" t="str">
        <f t="shared" si="15"/>
        <v>Wednesday</v>
      </c>
      <c r="AF73" t="str">
        <f t="shared" si="16"/>
        <v/>
      </c>
      <c r="AG73" t="str">
        <f t="shared" si="17"/>
        <v/>
      </c>
      <c r="AH73" t="str">
        <f t="shared" si="18"/>
        <v>Saturday</v>
      </c>
      <c r="AI73" t="str">
        <f t="shared" si="19"/>
        <v>Sunday</v>
      </c>
      <c r="AJ73" t="str">
        <f>LEFT(Table1[[#This Row],[membership_type]],2)&amp;TEXT(Table1[[#This Row],[age]],"00")&amp;"-"&amp;TEXT(ROW(),"000")</f>
        <v>St38-073</v>
      </c>
      <c r="AK73" t="str">
        <f>LEFT(Table1[[#This Row],[membership_type]],1)&amp;TEXT(MATCH(Table1[[#This Row],[membership_type]],Table1[membership_type],0),"00")</f>
        <v>S02</v>
      </c>
      <c r="AL73" t="str">
        <f>LEFT(Table1[[#This Row],[discount_type]],1)&amp;TEXT(ROUND(Table1[[#This Row],[discount_rate]]*100,0),"00")</f>
        <v>N00</v>
      </c>
      <c r="AM73" t="str" cm="1">
        <f t="array" ref="AM73">TEXT(SUMPRODUCT(CODE(MID(Table1[[#This Row],[home_gym_location]],_xlfn.SEQUENCE(LEN(Table1[[#This Row],[home_gym_location]])),1))),"00000")</f>
        <v>01018</v>
      </c>
      <c r="AN7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3" t="str">
        <f>LEFT(_xlfn.TEXTBEFORE(Table1[[#This Row],[Location Identifier]],"-"),3) &amp; "-" &amp; _xlfn.TEXTAFTER(Table1[[#This Row],[Location Identifier]],"-")</f>
        <v>SAN-008</v>
      </c>
      <c r="AP73" s="9">
        <f t="shared" ca="1" si="10"/>
        <v>45869</v>
      </c>
    </row>
    <row r="74" spans="1:42" x14ac:dyDescent="0.25">
      <c r="A74">
        <v>42</v>
      </c>
      <c r="B74" t="s">
        <v>42</v>
      </c>
      <c r="C74">
        <v>2</v>
      </c>
      <c r="D74" t="s">
        <v>101</v>
      </c>
      <c r="E74" t="b">
        <v>0</v>
      </c>
      <c r="F74" s="1">
        <v>0.76527777777777772</v>
      </c>
      <c r="G74" s="1">
        <v>0.84583333333333333</v>
      </c>
      <c r="H74">
        <v>116</v>
      </c>
      <c r="I74" t="b">
        <v>1</v>
      </c>
      <c r="J74" t="b">
        <v>1</v>
      </c>
      <c r="K74" t="b">
        <v>0</v>
      </c>
      <c r="L74" t="s">
        <v>47</v>
      </c>
      <c r="M74">
        <v>20</v>
      </c>
      <c r="N74" t="s">
        <v>29</v>
      </c>
      <c r="O74">
        <v>20</v>
      </c>
      <c r="P74" t="s">
        <v>30</v>
      </c>
      <c r="Q74">
        <v>0.05</v>
      </c>
      <c r="R74">
        <v>19</v>
      </c>
      <c r="S74" t="s">
        <v>44</v>
      </c>
      <c r="T74" t="s">
        <v>38</v>
      </c>
      <c r="U74">
        <v>36.7378</v>
      </c>
      <c r="V74">
        <v>-119.7871</v>
      </c>
      <c r="W74" s="2">
        <v>45825</v>
      </c>
      <c r="X74">
        <v>3</v>
      </c>
      <c r="Y74" t="b">
        <v>0</v>
      </c>
      <c r="Z74" s="2">
        <v>45860</v>
      </c>
      <c r="AA74" t="str">
        <f t="shared" si="11"/>
        <v>40–49</v>
      </c>
      <c r="AB74" t="str">
        <f t="shared" si="12"/>
        <v>40–49</v>
      </c>
      <c r="AC74" t="str">
        <f t="shared" si="13"/>
        <v>Monday</v>
      </c>
      <c r="AD74" t="str">
        <f t="shared" si="14"/>
        <v/>
      </c>
      <c r="AE74" t="str">
        <f t="shared" si="15"/>
        <v/>
      </c>
      <c r="AF74" t="str">
        <f t="shared" si="16"/>
        <v/>
      </c>
      <c r="AG74" t="str">
        <f t="shared" si="17"/>
        <v>Friday</v>
      </c>
      <c r="AH74" t="str">
        <f t="shared" si="18"/>
        <v/>
      </c>
      <c r="AI74" t="str">
        <f t="shared" si="19"/>
        <v/>
      </c>
      <c r="AJ74" t="str">
        <f>LEFT(Table1[[#This Row],[membership_type]],2)&amp;TEXT(Table1[[#This Row],[age]],"00")&amp;"-"&amp;TEXT(ROW(),"000")</f>
        <v>Ba42-074</v>
      </c>
      <c r="AK74" t="str">
        <f>LEFT(Table1[[#This Row],[membership_type]],1)&amp;TEXT(MATCH(Table1[[#This Row],[membership_type]],Table1[membership_type],0),"00")</f>
        <v>B04</v>
      </c>
      <c r="AL74" t="str">
        <f>LEFT(Table1[[#This Row],[discount_type]],1)&amp;TEXT(ROUND(Table1[[#This Row],[discount_rate]]*100,0),"00")</f>
        <v>P05</v>
      </c>
      <c r="AM74" t="str" cm="1">
        <f t="array" ref="AM74">TEXT(SUMPRODUCT(CODE(MID(Table1[[#This Row],[home_gym_location]],_xlfn.SEQUENCE(LEN(Table1[[#This Row],[home_gym_location]])),1))),"00000")</f>
        <v>00829</v>
      </c>
      <c r="AN74" t="str">
        <f>UPPER(_xlfn.TEXTBEFORE(Table1[[#This Row],[home_gym_location]],","))&amp;"-"&amp;TEXT(MATCH(Table1[[#This Row],[home_gym_location]],_xlfn._xlws.SORT(_xlfn.UNIQUE(Table1[home_gym_location])),0),"000")</f>
        <v>FRESNO-003</v>
      </c>
      <c r="AO74" t="str">
        <f>LEFT(_xlfn.TEXTBEFORE(Table1[[#This Row],[Location Identifier]],"-"),3) &amp; "-" &amp; _xlfn.TEXTAFTER(Table1[[#This Row],[Location Identifier]],"-")</f>
        <v>FRE-003</v>
      </c>
      <c r="AP74" s="9">
        <f t="shared" ca="1" si="10"/>
        <v>45869</v>
      </c>
    </row>
    <row r="75" spans="1:42" x14ac:dyDescent="0.25">
      <c r="A75">
        <v>48</v>
      </c>
      <c r="B75" t="s">
        <v>42</v>
      </c>
      <c r="C75">
        <v>3</v>
      </c>
      <c r="D75" t="s">
        <v>102</v>
      </c>
      <c r="E75" t="b">
        <v>1</v>
      </c>
      <c r="F75" s="1">
        <v>0.64583333333333337</v>
      </c>
      <c r="G75" s="1">
        <v>0.68472222222222223</v>
      </c>
      <c r="H75">
        <v>56</v>
      </c>
      <c r="I75" t="b">
        <v>1</v>
      </c>
      <c r="J75" t="b">
        <v>1</v>
      </c>
      <c r="K75" t="b">
        <v>0</v>
      </c>
      <c r="L75" t="s">
        <v>28</v>
      </c>
      <c r="M75">
        <v>20</v>
      </c>
      <c r="N75" t="s">
        <v>64</v>
      </c>
      <c r="O75">
        <v>15</v>
      </c>
      <c r="P75" t="s">
        <v>36</v>
      </c>
      <c r="Q75">
        <v>0</v>
      </c>
      <c r="R75">
        <v>15</v>
      </c>
      <c r="S75" t="s">
        <v>44</v>
      </c>
      <c r="T75" t="s">
        <v>65</v>
      </c>
      <c r="U75">
        <v>33.770099999999999</v>
      </c>
      <c r="V75">
        <v>-118.19370000000001</v>
      </c>
      <c r="W75" s="2">
        <v>44962</v>
      </c>
      <c r="X75">
        <v>4</v>
      </c>
      <c r="Y75" t="b">
        <v>0</v>
      </c>
      <c r="Z75" s="2">
        <v>45812</v>
      </c>
      <c r="AA75" t="str">
        <f t="shared" si="11"/>
        <v>40–49</v>
      </c>
      <c r="AB75" t="str">
        <f t="shared" si="12"/>
        <v>40–49</v>
      </c>
      <c r="AC75" t="str">
        <f t="shared" si="13"/>
        <v/>
      </c>
      <c r="AD75" t="str">
        <f t="shared" si="14"/>
        <v/>
      </c>
      <c r="AE75" t="str">
        <f t="shared" si="15"/>
        <v/>
      </c>
      <c r="AF75" t="str">
        <f t="shared" si="16"/>
        <v>Thursday</v>
      </c>
      <c r="AG75" t="str">
        <f t="shared" si="17"/>
        <v>Friday</v>
      </c>
      <c r="AH75" t="str">
        <f t="shared" si="18"/>
        <v>Saturday</v>
      </c>
      <c r="AI75" t="str">
        <f t="shared" si="19"/>
        <v/>
      </c>
      <c r="AJ75" t="str">
        <f>LEFT(Table1[[#This Row],[membership_type]],2)&amp;TEXT(Table1[[#This Row],[age]],"00")&amp;"-"&amp;TEXT(ROW(),"000")</f>
        <v>Ba48-075</v>
      </c>
      <c r="AK75" t="str">
        <f>LEFT(Table1[[#This Row],[membership_type]],1)&amp;TEXT(MATCH(Table1[[#This Row],[membership_type]],Table1[membership_type],0),"00")</f>
        <v>B04</v>
      </c>
      <c r="AL75" t="str">
        <f>LEFT(Table1[[#This Row],[discount_type]],1)&amp;TEXT(ROUND(Table1[[#This Row],[discount_rate]]*100,0),"00")</f>
        <v>N00</v>
      </c>
      <c r="AM75" t="str" cm="1">
        <f t="array" ref="AM75">TEXT(SUMPRODUCT(CODE(MID(Table1[[#This Row],[home_gym_location]],_xlfn.SEQUENCE(LEN(Table1[[#This Row],[home_gym_location]])),1))),"00000")</f>
        <v>01107</v>
      </c>
      <c r="AN7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5" t="str">
        <f>LEFT(_xlfn.TEXTBEFORE(Table1[[#This Row],[Location Identifier]],"-"),3) &amp; "-" &amp; _xlfn.TEXTAFTER(Table1[[#This Row],[Location Identifier]],"-")</f>
        <v>LON-004</v>
      </c>
      <c r="AP75" s="9">
        <f t="shared" ca="1" si="10"/>
        <v>45869</v>
      </c>
    </row>
    <row r="76" spans="1:42" x14ac:dyDescent="0.25">
      <c r="A76">
        <v>49</v>
      </c>
      <c r="B76" t="s">
        <v>26</v>
      </c>
      <c r="C76">
        <v>1</v>
      </c>
      <c r="D76" t="s">
        <v>71</v>
      </c>
      <c r="E76" t="b">
        <v>1</v>
      </c>
      <c r="F76" s="1">
        <v>0.6791666666666667</v>
      </c>
      <c r="G76" s="1">
        <v>0.73263888888888884</v>
      </c>
      <c r="H76">
        <v>77</v>
      </c>
      <c r="I76" t="b">
        <v>1</v>
      </c>
      <c r="J76" t="b">
        <v>0</v>
      </c>
      <c r="K76" t="b">
        <v>0</v>
      </c>
      <c r="L76" t="s">
        <v>28</v>
      </c>
      <c r="M76">
        <v>50</v>
      </c>
      <c r="N76" t="s">
        <v>29</v>
      </c>
      <c r="O76">
        <v>50</v>
      </c>
      <c r="P76" t="s">
        <v>36</v>
      </c>
      <c r="Q76">
        <v>0</v>
      </c>
      <c r="R76">
        <v>50</v>
      </c>
      <c r="S76" t="s">
        <v>31</v>
      </c>
      <c r="T76" t="s">
        <v>32</v>
      </c>
      <c r="U76">
        <v>37.338200000000001</v>
      </c>
      <c r="V76">
        <v>-121.88630000000001</v>
      </c>
      <c r="W76" s="2">
        <v>45078</v>
      </c>
      <c r="X76">
        <v>0</v>
      </c>
      <c r="Y76" t="b">
        <v>0</v>
      </c>
      <c r="Z76" s="2">
        <v>45818</v>
      </c>
      <c r="AA76" t="str">
        <f t="shared" si="11"/>
        <v>40–49</v>
      </c>
      <c r="AB76" t="str">
        <f t="shared" si="12"/>
        <v>40–49</v>
      </c>
      <c r="AC76" t="str">
        <f t="shared" si="13"/>
        <v/>
      </c>
      <c r="AD76" t="str">
        <f t="shared" si="14"/>
        <v>Tuesday</v>
      </c>
      <c r="AE76" t="str">
        <f t="shared" si="15"/>
        <v/>
      </c>
      <c r="AF76" t="str">
        <f t="shared" si="16"/>
        <v/>
      </c>
      <c r="AG76" t="str">
        <f t="shared" si="17"/>
        <v/>
      </c>
      <c r="AH76" t="str">
        <f t="shared" si="18"/>
        <v/>
      </c>
      <c r="AI76" t="str">
        <f t="shared" si="19"/>
        <v/>
      </c>
      <c r="AJ76" t="str">
        <f>LEFT(Table1[[#This Row],[membership_type]],2)&amp;TEXT(Table1[[#This Row],[age]],"00")&amp;"-"&amp;TEXT(ROW(),"000")</f>
        <v>Pr49-076</v>
      </c>
      <c r="AK76" t="str">
        <f>LEFT(Table1[[#This Row],[membership_type]],1)&amp;TEXT(MATCH(Table1[[#This Row],[membership_type]],Table1[membership_type],0),"00")</f>
        <v>P01</v>
      </c>
      <c r="AL76" t="str">
        <f>LEFT(Table1[[#This Row],[discount_type]],1)&amp;TEXT(ROUND(Table1[[#This Row],[discount_rate]]*100,0),"00")</f>
        <v>N00</v>
      </c>
      <c r="AM76" t="str" cm="1">
        <f t="array" ref="AM76">TEXT(SUMPRODUCT(CODE(MID(Table1[[#This Row],[home_gym_location]],_xlfn.SEQUENCE(LEN(Table1[[#This Row],[home_gym_location]])),1))),"00000")</f>
        <v>00931</v>
      </c>
      <c r="AN7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6" t="str">
        <f>LEFT(_xlfn.TEXTBEFORE(Table1[[#This Row],[Location Identifier]],"-"),3) &amp; "-" &amp; _xlfn.TEXTAFTER(Table1[[#This Row],[Location Identifier]],"-")</f>
        <v>SAN-010</v>
      </c>
      <c r="AP76" s="9">
        <f t="shared" ca="1" si="10"/>
        <v>45869</v>
      </c>
    </row>
    <row r="77" spans="1:42" x14ac:dyDescent="0.25">
      <c r="A77">
        <v>34</v>
      </c>
      <c r="B77" t="s">
        <v>42</v>
      </c>
      <c r="C77">
        <v>2</v>
      </c>
      <c r="D77" t="s">
        <v>103</v>
      </c>
      <c r="E77" t="b">
        <v>0</v>
      </c>
      <c r="F77" s="1">
        <v>0.80347222222222225</v>
      </c>
      <c r="G77" s="1">
        <v>0.85416666666666663</v>
      </c>
      <c r="H77">
        <v>73</v>
      </c>
      <c r="I77" t="b">
        <v>0</v>
      </c>
      <c r="J77" t="b">
        <v>1</v>
      </c>
      <c r="K77" t="b">
        <v>1</v>
      </c>
      <c r="L77" t="s">
        <v>28</v>
      </c>
      <c r="M77">
        <v>20</v>
      </c>
      <c r="N77" t="s">
        <v>29</v>
      </c>
      <c r="O77">
        <v>20</v>
      </c>
      <c r="P77" t="s">
        <v>36</v>
      </c>
      <c r="Q77">
        <v>0</v>
      </c>
      <c r="R77">
        <v>20</v>
      </c>
      <c r="S77" t="s">
        <v>44</v>
      </c>
      <c r="T77" t="s">
        <v>56</v>
      </c>
      <c r="U77">
        <v>35.3733</v>
      </c>
      <c r="V77">
        <v>-119.0187</v>
      </c>
      <c r="W77" s="2">
        <v>45054</v>
      </c>
      <c r="X77">
        <v>8</v>
      </c>
      <c r="Y77" t="b">
        <v>0</v>
      </c>
      <c r="Z77" s="2">
        <v>45817</v>
      </c>
      <c r="AA77" t="str">
        <f t="shared" si="11"/>
        <v>30–39</v>
      </c>
      <c r="AB77" t="str">
        <f t="shared" si="12"/>
        <v>30–39</v>
      </c>
      <c r="AC77" t="str">
        <f t="shared" si="13"/>
        <v>Monday</v>
      </c>
      <c r="AD77" t="str">
        <f t="shared" si="14"/>
        <v/>
      </c>
      <c r="AE77" t="str">
        <f t="shared" si="15"/>
        <v/>
      </c>
      <c r="AF77" t="str">
        <f t="shared" si="16"/>
        <v/>
      </c>
      <c r="AG77" t="str">
        <f t="shared" si="17"/>
        <v/>
      </c>
      <c r="AH77" t="str">
        <f t="shared" si="18"/>
        <v/>
      </c>
      <c r="AI77" t="str">
        <f t="shared" si="19"/>
        <v>Sunday</v>
      </c>
      <c r="AJ77" t="str">
        <f>LEFT(Table1[[#This Row],[membership_type]],2)&amp;TEXT(Table1[[#This Row],[age]],"00")&amp;"-"&amp;TEXT(ROW(),"000")</f>
        <v>Ba34-077</v>
      </c>
      <c r="AK77" t="str">
        <f>LEFT(Table1[[#This Row],[membership_type]],1)&amp;TEXT(MATCH(Table1[[#This Row],[membership_type]],Table1[membership_type],0),"00")</f>
        <v>B04</v>
      </c>
      <c r="AL77" t="str">
        <f>LEFT(Table1[[#This Row],[discount_type]],1)&amp;TEXT(ROUND(Table1[[#This Row],[discount_rate]]*100,0),"00")</f>
        <v>N00</v>
      </c>
      <c r="AM77" t="str" cm="1">
        <f t="array" ref="AM77">TEXT(SUMPRODUCT(CODE(MID(Table1[[#This Row],[home_gym_location]],_xlfn.SEQUENCE(LEN(Table1[[#This Row],[home_gym_location]])),1))),"00000")</f>
        <v>01324</v>
      </c>
      <c r="AN7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7" t="str">
        <f>LEFT(_xlfn.TEXTBEFORE(Table1[[#This Row],[Location Identifier]],"-"),3) &amp; "-" &amp; _xlfn.TEXTAFTER(Table1[[#This Row],[Location Identifier]],"-")</f>
        <v>BAK-002</v>
      </c>
      <c r="AP77" s="9">
        <f t="shared" ca="1" si="10"/>
        <v>45869</v>
      </c>
    </row>
    <row r="78" spans="1:42" x14ac:dyDescent="0.25">
      <c r="A78">
        <v>14</v>
      </c>
      <c r="B78" t="s">
        <v>51</v>
      </c>
      <c r="C78">
        <v>5</v>
      </c>
      <c r="D78" t="s">
        <v>104</v>
      </c>
      <c r="E78" t="b">
        <v>1</v>
      </c>
      <c r="F78" s="1">
        <v>0.35069444444444442</v>
      </c>
      <c r="G78" s="1">
        <v>0.42222222222222222</v>
      </c>
      <c r="H78">
        <v>103</v>
      </c>
      <c r="I78" t="b">
        <v>0</v>
      </c>
      <c r="J78" t="b">
        <v>1</v>
      </c>
      <c r="K78" t="b">
        <v>1</v>
      </c>
      <c r="L78" t="s">
        <v>28</v>
      </c>
      <c r="M78">
        <v>70</v>
      </c>
      <c r="N78" t="s">
        <v>29</v>
      </c>
      <c r="O78">
        <v>70</v>
      </c>
      <c r="P78" t="s">
        <v>40</v>
      </c>
      <c r="Q78">
        <v>0.1</v>
      </c>
      <c r="R78">
        <v>63</v>
      </c>
      <c r="S78" t="s">
        <v>53</v>
      </c>
      <c r="T78" t="s">
        <v>41</v>
      </c>
      <c r="U78">
        <v>37.804400000000001</v>
      </c>
      <c r="V78">
        <v>-122.27119999999999</v>
      </c>
      <c r="W78" s="2">
        <v>45009</v>
      </c>
      <c r="X78">
        <v>7</v>
      </c>
      <c r="Y78" t="b">
        <v>1</v>
      </c>
      <c r="Z78" s="2">
        <v>45814</v>
      </c>
      <c r="AA78" t="str">
        <f t="shared" si="11"/>
        <v>10–19</v>
      </c>
      <c r="AB78" t="str">
        <f t="shared" si="12"/>
        <v>Under 16</v>
      </c>
      <c r="AC78" t="str">
        <f t="shared" si="13"/>
        <v/>
      </c>
      <c r="AD78" t="str">
        <f t="shared" si="14"/>
        <v>Tuesday</v>
      </c>
      <c r="AE78" t="str">
        <f t="shared" si="15"/>
        <v>Wednesday</v>
      </c>
      <c r="AF78" t="str">
        <f t="shared" si="16"/>
        <v>Thursday</v>
      </c>
      <c r="AG78" t="str">
        <f t="shared" si="17"/>
        <v/>
      </c>
      <c r="AH78" t="str">
        <f t="shared" si="18"/>
        <v>Saturday</v>
      </c>
      <c r="AI78" t="str">
        <f t="shared" si="19"/>
        <v>Sunday</v>
      </c>
      <c r="AJ78" t="str">
        <f>LEFT(Table1[[#This Row],[membership_type]],2)&amp;TEXT(Table1[[#This Row],[age]],"00")&amp;"-"&amp;TEXT(ROW(),"000")</f>
        <v>El14-078</v>
      </c>
      <c r="AK78" t="str">
        <f>LEFT(Table1[[#This Row],[membership_type]],1)&amp;TEXT(MATCH(Table1[[#This Row],[membership_type]],Table1[membership_type],0),"00")</f>
        <v>E07</v>
      </c>
      <c r="AL78" t="str">
        <f>LEFT(Table1[[#This Row],[discount_type]],1)&amp;TEXT(ROUND(Table1[[#This Row],[discount_rate]]*100,0),"00")</f>
        <v>L10</v>
      </c>
      <c r="AM78" t="str" cm="1">
        <f t="array" ref="AM78">TEXT(SUMPRODUCT(CODE(MID(Table1[[#This Row],[home_gym_location]],_xlfn.SEQUENCE(LEN(Table1[[#This Row],[home_gym_location]])),1))),"00000")</f>
        <v>00906</v>
      </c>
      <c r="AN78" t="str">
        <f>UPPER(_xlfn.TEXTBEFORE(Table1[[#This Row],[home_gym_location]],","))&amp;"-"&amp;TEXT(MATCH(Table1[[#This Row],[home_gym_location]],_xlfn._xlws.SORT(_xlfn.UNIQUE(Table1[home_gym_location])),0),"000")</f>
        <v>OAKLAND-006</v>
      </c>
      <c r="AO78" t="str">
        <f>LEFT(_xlfn.TEXTBEFORE(Table1[[#This Row],[Location Identifier]],"-"),3) &amp; "-" &amp; _xlfn.TEXTAFTER(Table1[[#This Row],[Location Identifier]],"-")</f>
        <v>OAK-006</v>
      </c>
      <c r="AP78" s="9">
        <f t="shared" ca="1" si="10"/>
        <v>45869</v>
      </c>
    </row>
    <row r="79" spans="1:42" x14ac:dyDescent="0.25">
      <c r="A79">
        <v>36</v>
      </c>
      <c r="B79" t="s">
        <v>51</v>
      </c>
      <c r="C79">
        <v>4</v>
      </c>
      <c r="D79" t="s">
        <v>105</v>
      </c>
      <c r="E79" t="b">
        <v>1</v>
      </c>
      <c r="F79" s="1">
        <v>0.72777777777777775</v>
      </c>
      <c r="G79" s="1">
        <v>0.77013888888888893</v>
      </c>
      <c r="H79">
        <v>61</v>
      </c>
      <c r="I79" t="b">
        <v>0</v>
      </c>
      <c r="J79" t="b">
        <v>0</v>
      </c>
      <c r="K79" t="b">
        <v>0</v>
      </c>
      <c r="L79" t="s">
        <v>28</v>
      </c>
      <c r="M79">
        <v>70</v>
      </c>
      <c r="N79" t="s">
        <v>29</v>
      </c>
      <c r="O79">
        <v>70</v>
      </c>
      <c r="P79" t="s">
        <v>36</v>
      </c>
      <c r="Q79">
        <v>0</v>
      </c>
      <c r="R79">
        <v>70</v>
      </c>
      <c r="S79" t="s">
        <v>53</v>
      </c>
      <c r="T79" t="s">
        <v>54</v>
      </c>
      <c r="U79">
        <v>32.715699999999998</v>
      </c>
      <c r="V79">
        <v>-117.1611</v>
      </c>
      <c r="W79" s="2">
        <v>45752</v>
      </c>
      <c r="X79">
        <v>0</v>
      </c>
      <c r="Y79" t="b">
        <v>1</v>
      </c>
      <c r="Z79" s="2">
        <v>45856</v>
      </c>
      <c r="AA79" t="str">
        <f t="shared" si="11"/>
        <v>30–39</v>
      </c>
      <c r="AB79" t="str">
        <f t="shared" si="12"/>
        <v>30–39</v>
      </c>
      <c r="AC79" t="str">
        <f t="shared" si="13"/>
        <v>Monday</v>
      </c>
      <c r="AD79" t="str">
        <f t="shared" si="14"/>
        <v>Tuesday</v>
      </c>
      <c r="AE79" t="str">
        <f t="shared" si="15"/>
        <v>Wednesday</v>
      </c>
      <c r="AF79" t="str">
        <f t="shared" si="16"/>
        <v>Thursday</v>
      </c>
      <c r="AG79" t="str">
        <f t="shared" si="17"/>
        <v/>
      </c>
      <c r="AH79" t="str">
        <f t="shared" si="18"/>
        <v/>
      </c>
      <c r="AI79" t="str">
        <f t="shared" si="19"/>
        <v/>
      </c>
      <c r="AJ79" t="str">
        <f>LEFT(Table1[[#This Row],[membership_type]],2)&amp;TEXT(Table1[[#This Row],[age]],"00")&amp;"-"&amp;TEXT(ROW(),"000")</f>
        <v>El36-079</v>
      </c>
      <c r="AK79" t="str">
        <f>LEFT(Table1[[#This Row],[membership_type]],1)&amp;TEXT(MATCH(Table1[[#This Row],[membership_type]],Table1[membership_type],0),"00")</f>
        <v>E07</v>
      </c>
      <c r="AL79" t="str">
        <f>LEFT(Table1[[#This Row],[discount_type]],1)&amp;TEXT(ROUND(Table1[[#This Row],[discount_rate]]*100,0),"00")</f>
        <v>N00</v>
      </c>
      <c r="AM79" t="str" cm="1">
        <f t="array" ref="AM79">TEXT(SUMPRODUCT(CODE(MID(Table1[[#This Row],[home_gym_location]],_xlfn.SEQUENCE(LEN(Table1[[#This Row],[home_gym_location]])),1))),"00000")</f>
        <v>01018</v>
      </c>
      <c r="AN7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9" t="str">
        <f>LEFT(_xlfn.TEXTBEFORE(Table1[[#This Row],[Location Identifier]],"-"),3) &amp; "-" &amp; _xlfn.TEXTAFTER(Table1[[#This Row],[Location Identifier]],"-")</f>
        <v>SAN-008</v>
      </c>
      <c r="AP79" s="9">
        <f t="shared" ca="1" si="10"/>
        <v>45869</v>
      </c>
    </row>
    <row r="80" spans="1:42" x14ac:dyDescent="0.25">
      <c r="A80">
        <v>41</v>
      </c>
      <c r="B80" t="s">
        <v>33</v>
      </c>
      <c r="C80">
        <v>2</v>
      </c>
      <c r="D80" t="s">
        <v>84</v>
      </c>
      <c r="E80" t="b">
        <v>0</v>
      </c>
      <c r="F80" s="1">
        <v>0.57986111111111116</v>
      </c>
      <c r="G80" s="1">
        <v>0.68194444444444446</v>
      </c>
      <c r="H80">
        <v>147</v>
      </c>
      <c r="I80" t="b">
        <v>0</v>
      </c>
      <c r="J80" t="b">
        <v>0</v>
      </c>
      <c r="K80" t="b">
        <v>1</v>
      </c>
      <c r="L80" t="s">
        <v>28</v>
      </c>
      <c r="M80">
        <v>30</v>
      </c>
      <c r="N80" t="s">
        <v>29</v>
      </c>
      <c r="O80">
        <v>30</v>
      </c>
      <c r="P80" t="s">
        <v>74</v>
      </c>
      <c r="Q80">
        <v>0.15</v>
      </c>
      <c r="R80">
        <v>25.5</v>
      </c>
      <c r="S80" t="s">
        <v>37</v>
      </c>
      <c r="T80" t="s">
        <v>65</v>
      </c>
      <c r="U80">
        <v>33.770099999999999</v>
      </c>
      <c r="V80">
        <v>-118.19370000000001</v>
      </c>
      <c r="W80" s="2">
        <v>45449</v>
      </c>
      <c r="X80">
        <v>0</v>
      </c>
      <c r="Y80" t="b">
        <v>0</v>
      </c>
      <c r="Z80" s="2">
        <v>45839</v>
      </c>
      <c r="AA80" t="str">
        <f t="shared" si="11"/>
        <v>40–49</v>
      </c>
      <c r="AB80" t="str">
        <f t="shared" si="12"/>
        <v>40–49</v>
      </c>
      <c r="AC80" t="str">
        <f t="shared" si="13"/>
        <v/>
      </c>
      <c r="AD80" t="str">
        <f t="shared" si="14"/>
        <v>Tuesday</v>
      </c>
      <c r="AE80" t="str">
        <f t="shared" si="15"/>
        <v/>
      </c>
      <c r="AF80" t="str">
        <f t="shared" si="16"/>
        <v/>
      </c>
      <c r="AG80" t="str">
        <f t="shared" si="17"/>
        <v/>
      </c>
      <c r="AH80" t="str">
        <f t="shared" si="18"/>
        <v/>
      </c>
      <c r="AI80" t="str">
        <f t="shared" si="19"/>
        <v>Sunday</v>
      </c>
      <c r="AJ80" t="str">
        <f>LEFT(Table1[[#This Row],[membership_type]],2)&amp;TEXT(Table1[[#This Row],[age]],"00")&amp;"-"&amp;TEXT(ROW(),"000")</f>
        <v>St41-080</v>
      </c>
      <c r="AK80" t="str">
        <f>LEFT(Table1[[#This Row],[membership_type]],1)&amp;TEXT(MATCH(Table1[[#This Row],[membership_type]],Table1[membership_type],0),"00")</f>
        <v>S02</v>
      </c>
      <c r="AL80" t="str">
        <f>LEFT(Table1[[#This Row],[discount_type]],1)&amp;TEXT(ROUND(Table1[[#This Row],[discount_rate]]*100,0),"00")</f>
        <v>S15</v>
      </c>
      <c r="AM80" t="str" cm="1">
        <f t="array" ref="AM80">TEXT(SUMPRODUCT(CODE(MID(Table1[[#This Row],[home_gym_location]],_xlfn.SEQUENCE(LEN(Table1[[#This Row],[home_gym_location]])),1))),"00000")</f>
        <v>01107</v>
      </c>
      <c r="AN8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0" t="str">
        <f>LEFT(_xlfn.TEXTBEFORE(Table1[[#This Row],[Location Identifier]],"-"),3) &amp; "-" &amp; _xlfn.TEXTAFTER(Table1[[#This Row],[Location Identifier]],"-")</f>
        <v>LON-004</v>
      </c>
      <c r="AP80" s="9">
        <f t="shared" ca="1" si="10"/>
        <v>45869</v>
      </c>
    </row>
    <row r="81" spans="1:42" x14ac:dyDescent="0.25">
      <c r="A81">
        <v>14</v>
      </c>
      <c r="B81" t="s">
        <v>51</v>
      </c>
      <c r="C81">
        <v>2</v>
      </c>
      <c r="D81" t="s">
        <v>43</v>
      </c>
      <c r="E81" t="b">
        <v>0</v>
      </c>
      <c r="F81" s="1">
        <v>0.57847222222222228</v>
      </c>
      <c r="G81" s="1">
        <v>0.67083333333333328</v>
      </c>
      <c r="H81">
        <v>133</v>
      </c>
      <c r="I81" t="b">
        <v>1</v>
      </c>
      <c r="J81" t="b">
        <v>1</v>
      </c>
      <c r="K81" t="b">
        <v>0</v>
      </c>
      <c r="L81" t="s">
        <v>35</v>
      </c>
      <c r="M81">
        <v>70</v>
      </c>
      <c r="N81" t="s">
        <v>29</v>
      </c>
      <c r="O81">
        <v>70</v>
      </c>
      <c r="P81" t="s">
        <v>30</v>
      </c>
      <c r="Q81">
        <v>0.05</v>
      </c>
      <c r="R81">
        <v>66.5</v>
      </c>
      <c r="S81" t="s">
        <v>53</v>
      </c>
      <c r="T81" t="s">
        <v>38</v>
      </c>
      <c r="U81">
        <v>36.7378</v>
      </c>
      <c r="V81">
        <v>-119.7871</v>
      </c>
      <c r="W81" s="2">
        <v>45707</v>
      </c>
      <c r="X81">
        <v>8</v>
      </c>
      <c r="Y81" t="b">
        <v>1</v>
      </c>
      <c r="Z81" s="2">
        <v>45854</v>
      </c>
      <c r="AA81" t="str">
        <f t="shared" si="11"/>
        <v>10–19</v>
      </c>
      <c r="AB81" t="str">
        <f t="shared" si="12"/>
        <v>Under 16</v>
      </c>
      <c r="AC81" t="str">
        <f t="shared" si="13"/>
        <v>Monday</v>
      </c>
      <c r="AD81" t="str">
        <f t="shared" si="14"/>
        <v>Tuesday</v>
      </c>
      <c r="AE81" t="str">
        <f t="shared" si="15"/>
        <v/>
      </c>
      <c r="AF81" t="str">
        <f t="shared" si="16"/>
        <v/>
      </c>
      <c r="AG81" t="str">
        <f t="shared" si="17"/>
        <v/>
      </c>
      <c r="AH81" t="str">
        <f t="shared" si="18"/>
        <v/>
      </c>
      <c r="AI81" t="str">
        <f t="shared" si="19"/>
        <v/>
      </c>
      <c r="AJ81" t="str">
        <f>LEFT(Table1[[#This Row],[membership_type]],2)&amp;TEXT(Table1[[#This Row],[age]],"00")&amp;"-"&amp;TEXT(ROW(),"000")</f>
        <v>El14-081</v>
      </c>
      <c r="AK81" t="str">
        <f>LEFT(Table1[[#This Row],[membership_type]],1)&amp;TEXT(MATCH(Table1[[#This Row],[membership_type]],Table1[membership_type],0),"00")</f>
        <v>E07</v>
      </c>
      <c r="AL81" t="str">
        <f>LEFT(Table1[[#This Row],[discount_type]],1)&amp;TEXT(ROUND(Table1[[#This Row],[discount_rate]]*100,0),"00")</f>
        <v>P05</v>
      </c>
      <c r="AM81" t="str" cm="1">
        <f t="array" ref="AM81">TEXT(SUMPRODUCT(CODE(MID(Table1[[#This Row],[home_gym_location]],_xlfn.SEQUENCE(LEN(Table1[[#This Row],[home_gym_location]])),1))),"00000")</f>
        <v>00829</v>
      </c>
      <c r="AN81" t="str">
        <f>UPPER(_xlfn.TEXTBEFORE(Table1[[#This Row],[home_gym_location]],","))&amp;"-"&amp;TEXT(MATCH(Table1[[#This Row],[home_gym_location]],_xlfn._xlws.SORT(_xlfn.UNIQUE(Table1[home_gym_location])),0),"000")</f>
        <v>FRESNO-003</v>
      </c>
      <c r="AO81" t="str">
        <f>LEFT(_xlfn.TEXTBEFORE(Table1[[#This Row],[Location Identifier]],"-"),3) &amp; "-" &amp; _xlfn.TEXTAFTER(Table1[[#This Row],[Location Identifier]],"-")</f>
        <v>FRE-003</v>
      </c>
      <c r="AP81" s="9">
        <f t="shared" ca="1" si="10"/>
        <v>45869</v>
      </c>
    </row>
    <row r="82" spans="1:42" x14ac:dyDescent="0.25">
      <c r="A82">
        <v>35</v>
      </c>
      <c r="B82" t="s">
        <v>33</v>
      </c>
      <c r="C82">
        <v>1</v>
      </c>
      <c r="D82" t="s">
        <v>75</v>
      </c>
      <c r="E82" t="b">
        <v>1</v>
      </c>
      <c r="F82" s="1">
        <v>0.55000000000000004</v>
      </c>
      <c r="G82" s="1">
        <v>0.62083333333333335</v>
      </c>
      <c r="H82">
        <v>102</v>
      </c>
      <c r="I82" t="b">
        <v>1</v>
      </c>
      <c r="J82" t="b">
        <v>1</v>
      </c>
      <c r="K82" t="b">
        <v>0</v>
      </c>
      <c r="L82" t="s">
        <v>35</v>
      </c>
      <c r="M82">
        <v>30</v>
      </c>
      <c r="N82" t="s">
        <v>29</v>
      </c>
      <c r="O82">
        <v>30</v>
      </c>
      <c r="P82" t="s">
        <v>36</v>
      </c>
      <c r="Q82">
        <v>0</v>
      </c>
      <c r="R82">
        <v>30</v>
      </c>
      <c r="S82" t="s">
        <v>37</v>
      </c>
      <c r="T82" t="s">
        <v>65</v>
      </c>
      <c r="U82">
        <v>33.770099999999999</v>
      </c>
      <c r="V82">
        <v>-118.19370000000001</v>
      </c>
      <c r="W82" s="2">
        <v>44911</v>
      </c>
      <c r="X82">
        <v>7</v>
      </c>
      <c r="Y82" t="b">
        <v>0</v>
      </c>
      <c r="Z82" s="2">
        <v>45809</v>
      </c>
      <c r="AA82" t="str">
        <f t="shared" si="11"/>
        <v>30–39</v>
      </c>
      <c r="AB82" t="str">
        <f t="shared" si="12"/>
        <v>30–39</v>
      </c>
      <c r="AC82" t="str">
        <f t="shared" si="13"/>
        <v/>
      </c>
      <c r="AD82" t="str">
        <f t="shared" si="14"/>
        <v/>
      </c>
      <c r="AE82" t="str">
        <f t="shared" si="15"/>
        <v/>
      </c>
      <c r="AF82" t="str">
        <f t="shared" si="16"/>
        <v/>
      </c>
      <c r="AG82" t="str">
        <f t="shared" si="17"/>
        <v>Friday</v>
      </c>
      <c r="AH82" t="str">
        <f t="shared" si="18"/>
        <v/>
      </c>
      <c r="AI82" t="str">
        <f t="shared" si="19"/>
        <v/>
      </c>
      <c r="AJ82" t="str">
        <f>LEFT(Table1[[#This Row],[membership_type]],2)&amp;TEXT(Table1[[#This Row],[age]],"00")&amp;"-"&amp;TEXT(ROW(),"000")</f>
        <v>St35-082</v>
      </c>
      <c r="AK82" t="str">
        <f>LEFT(Table1[[#This Row],[membership_type]],1)&amp;TEXT(MATCH(Table1[[#This Row],[membership_type]],Table1[membership_type],0),"00")</f>
        <v>S02</v>
      </c>
      <c r="AL82" t="str">
        <f>LEFT(Table1[[#This Row],[discount_type]],1)&amp;TEXT(ROUND(Table1[[#This Row],[discount_rate]]*100,0),"00")</f>
        <v>N00</v>
      </c>
      <c r="AM82" t="str" cm="1">
        <f t="array" ref="AM82">TEXT(SUMPRODUCT(CODE(MID(Table1[[#This Row],[home_gym_location]],_xlfn.SEQUENCE(LEN(Table1[[#This Row],[home_gym_location]])),1))),"00000")</f>
        <v>01107</v>
      </c>
      <c r="AN8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2" t="str">
        <f>LEFT(_xlfn.TEXTBEFORE(Table1[[#This Row],[Location Identifier]],"-"),3) &amp; "-" &amp; _xlfn.TEXTAFTER(Table1[[#This Row],[Location Identifier]],"-")</f>
        <v>LON-004</v>
      </c>
      <c r="AP82" s="9">
        <f t="shared" ca="1" si="10"/>
        <v>45869</v>
      </c>
    </row>
    <row r="83" spans="1:42" x14ac:dyDescent="0.25">
      <c r="A83">
        <v>23</v>
      </c>
      <c r="B83" t="s">
        <v>51</v>
      </c>
      <c r="C83">
        <v>1</v>
      </c>
      <c r="D83" t="s">
        <v>49</v>
      </c>
      <c r="E83" t="b">
        <v>1</v>
      </c>
      <c r="F83" s="1">
        <v>0.8618055555555556</v>
      </c>
      <c r="G83" s="1">
        <v>0.95833333333333337</v>
      </c>
      <c r="H83">
        <v>139</v>
      </c>
      <c r="I83" t="b">
        <v>0</v>
      </c>
      <c r="J83" t="b">
        <v>1</v>
      </c>
      <c r="K83" t="b">
        <v>0</v>
      </c>
      <c r="L83" t="s">
        <v>47</v>
      </c>
      <c r="M83">
        <v>70</v>
      </c>
      <c r="N83" t="s">
        <v>29</v>
      </c>
      <c r="O83">
        <v>70</v>
      </c>
      <c r="P83" t="s">
        <v>36</v>
      </c>
      <c r="Q83">
        <v>0</v>
      </c>
      <c r="R83">
        <v>70</v>
      </c>
      <c r="S83" t="s">
        <v>53</v>
      </c>
      <c r="T83" t="s">
        <v>65</v>
      </c>
      <c r="U83">
        <v>33.770099999999999</v>
      </c>
      <c r="V83">
        <v>-118.19370000000001</v>
      </c>
      <c r="W83" s="2">
        <v>45167</v>
      </c>
      <c r="X83">
        <v>5</v>
      </c>
      <c r="Y83" t="b">
        <v>1</v>
      </c>
      <c r="Z83" s="2">
        <v>45823</v>
      </c>
      <c r="AA83" t="str">
        <f t="shared" si="11"/>
        <v>20–29</v>
      </c>
      <c r="AB83" t="str">
        <f t="shared" si="12"/>
        <v>20–29</v>
      </c>
      <c r="AC83" t="str">
        <f t="shared" si="13"/>
        <v/>
      </c>
      <c r="AD83" t="str">
        <f t="shared" si="14"/>
        <v/>
      </c>
      <c r="AE83" t="str">
        <f t="shared" si="15"/>
        <v/>
      </c>
      <c r="AF83" t="str">
        <f t="shared" si="16"/>
        <v/>
      </c>
      <c r="AG83" t="str">
        <f t="shared" si="17"/>
        <v/>
      </c>
      <c r="AH83" t="str">
        <f t="shared" si="18"/>
        <v/>
      </c>
      <c r="AI83" t="str">
        <f t="shared" si="19"/>
        <v>Sunday</v>
      </c>
      <c r="AJ83" t="str">
        <f>LEFT(Table1[[#This Row],[membership_type]],2)&amp;TEXT(Table1[[#This Row],[age]],"00")&amp;"-"&amp;TEXT(ROW(),"000")</f>
        <v>El23-083</v>
      </c>
      <c r="AK83" t="str">
        <f>LEFT(Table1[[#This Row],[membership_type]],1)&amp;TEXT(MATCH(Table1[[#This Row],[membership_type]],Table1[membership_type],0),"00")</f>
        <v>E07</v>
      </c>
      <c r="AL83" t="str">
        <f>LEFT(Table1[[#This Row],[discount_type]],1)&amp;TEXT(ROUND(Table1[[#This Row],[discount_rate]]*100,0),"00")</f>
        <v>N00</v>
      </c>
      <c r="AM83" t="str" cm="1">
        <f t="array" ref="AM83">TEXT(SUMPRODUCT(CODE(MID(Table1[[#This Row],[home_gym_location]],_xlfn.SEQUENCE(LEN(Table1[[#This Row],[home_gym_location]])),1))),"00000")</f>
        <v>01107</v>
      </c>
      <c r="AN8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3" t="str">
        <f>LEFT(_xlfn.TEXTBEFORE(Table1[[#This Row],[Location Identifier]],"-"),3) &amp; "-" &amp; _xlfn.TEXTAFTER(Table1[[#This Row],[Location Identifier]],"-")</f>
        <v>LON-004</v>
      </c>
      <c r="AP83" s="9">
        <f t="shared" ca="1" si="10"/>
        <v>45869</v>
      </c>
    </row>
    <row r="84" spans="1:42" x14ac:dyDescent="0.25">
      <c r="A84">
        <v>20</v>
      </c>
      <c r="B84" t="s">
        <v>33</v>
      </c>
      <c r="C84">
        <v>3</v>
      </c>
      <c r="D84" t="s">
        <v>106</v>
      </c>
      <c r="E84" t="b">
        <v>0</v>
      </c>
      <c r="F84" s="1">
        <v>0.64444444444444449</v>
      </c>
      <c r="G84" s="1">
        <v>0.74861111111111112</v>
      </c>
      <c r="H84">
        <v>150</v>
      </c>
      <c r="I84" t="b">
        <v>1</v>
      </c>
      <c r="J84" t="b">
        <v>0</v>
      </c>
      <c r="K84" t="b">
        <v>1</v>
      </c>
      <c r="L84" t="s">
        <v>62</v>
      </c>
      <c r="M84">
        <v>30</v>
      </c>
      <c r="N84" t="s">
        <v>78</v>
      </c>
      <c r="O84">
        <v>27</v>
      </c>
      <c r="P84" t="s">
        <v>74</v>
      </c>
      <c r="Q84">
        <v>0.15</v>
      </c>
      <c r="R84">
        <v>22.95</v>
      </c>
      <c r="S84" t="s">
        <v>37</v>
      </c>
      <c r="T84" t="s">
        <v>38</v>
      </c>
      <c r="U84">
        <v>36.7378</v>
      </c>
      <c r="V84">
        <v>-119.7871</v>
      </c>
      <c r="W84" s="2">
        <v>45478</v>
      </c>
      <c r="X84">
        <v>0</v>
      </c>
      <c r="Y84" t="b">
        <v>1</v>
      </c>
      <c r="Z84" s="2">
        <v>45841</v>
      </c>
      <c r="AA84" t="str">
        <f t="shared" si="11"/>
        <v>20–29</v>
      </c>
      <c r="AB84" t="str">
        <f t="shared" si="12"/>
        <v>20–29</v>
      </c>
      <c r="AC84" t="str">
        <f t="shared" si="13"/>
        <v/>
      </c>
      <c r="AD84" t="str">
        <f t="shared" si="14"/>
        <v/>
      </c>
      <c r="AE84" t="str">
        <f t="shared" si="15"/>
        <v>Wednesday</v>
      </c>
      <c r="AF84" t="str">
        <f t="shared" si="16"/>
        <v>Thursday</v>
      </c>
      <c r="AG84" t="str">
        <f t="shared" si="17"/>
        <v>Friday</v>
      </c>
      <c r="AH84" t="str">
        <f t="shared" si="18"/>
        <v/>
      </c>
      <c r="AI84" t="str">
        <f t="shared" si="19"/>
        <v/>
      </c>
      <c r="AJ84" t="str">
        <f>LEFT(Table1[[#This Row],[membership_type]],2)&amp;TEXT(Table1[[#This Row],[age]],"00")&amp;"-"&amp;TEXT(ROW(),"000")</f>
        <v>St20-084</v>
      </c>
      <c r="AK84" t="str">
        <f>LEFT(Table1[[#This Row],[membership_type]],1)&amp;TEXT(MATCH(Table1[[#This Row],[membership_type]],Table1[membership_type],0),"00")</f>
        <v>S02</v>
      </c>
      <c r="AL84" t="str">
        <f>LEFT(Table1[[#This Row],[discount_type]],1)&amp;TEXT(ROUND(Table1[[#This Row],[discount_rate]]*100,0),"00")</f>
        <v>S15</v>
      </c>
      <c r="AM84" t="str" cm="1">
        <f t="array" ref="AM84">TEXT(SUMPRODUCT(CODE(MID(Table1[[#This Row],[home_gym_location]],_xlfn.SEQUENCE(LEN(Table1[[#This Row],[home_gym_location]])),1))),"00000")</f>
        <v>00829</v>
      </c>
      <c r="AN84" t="str">
        <f>UPPER(_xlfn.TEXTBEFORE(Table1[[#This Row],[home_gym_location]],","))&amp;"-"&amp;TEXT(MATCH(Table1[[#This Row],[home_gym_location]],_xlfn._xlws.SORT(_xlfn.UNIQUE(Table1[home_gym_location])),0),"000")</f>
        <v>FRESNO-003</v>
      </c>
      <c r="AO84" t="str">
        <f>LEFT(_xlfn.TEXTBEFORE(Table1[[#This Row],[Location Identifier]],"-"),3) &amp; "-" &amp; _xlfn.TEXTAFTER(Table1[[#This Row],[Location Identifier]],"-")</f>
        <v>FRE-003</v>
      </c>
      <c r="AP84" s="9">
        <f t="shared" ca="1" si="10"/>
        <v>45869</v>
      </c>
    </row>
    <row r="85" spans="1:42" x14ac:dyDescent="0.25">
      <c r="A85">
        <v>45</v>
      </c>
      <c r="B85" t="s">
        <v>26</v>
      </c>
      <c r="C85">
        <v>1</v>
      </c>
      <c r="D85" t="s">
        <v>97</v>
      </c>
      <c r="E85" t="b">
        <v>1</v>
      </c>
      <c r="F85" s="1">
        <v>0.39652777777777776</v>
      </c>
      <c r="G85" s="1">
        <v>0.44583333333333336</v>
      </c>
      <c r="H85">
        <v>71</v>
      </c>
      <c r="I85" t="b">
        <v>1</v>
      </c>
      <c r="J85" t="b">
        <v>0</v>
      </c>
      <c r="K85" t="b">
        <v>1</v>
      </c>
      <c r="L85" t="s">
        <v>58</v>
      </c>
      <c r="M85">
        <v>50</v>
      </c>
      <c r="N85" t="s">
        <v>78</v>
      </c>
      <c r="O85">
        <v>45</v>
      </c>
      <c r="P85" t="s">
        <v>74</v>
      </c>
      <c r="Q85">
        <v>0.15</v>
      </c>
      <c r="R85">
        <v>38.25</v>
      </c>
      <c r="S85" t="s">
        <v>31</v>
      </c>
      <c r="T85" t="s">
        <v>56</v>
      </c>
      <c r="U85">
        <v>35.3733</v>
      </c>
      <c r="V85">
        <v>-119.0187</v>
      </c>
      <c r="W85" s="2">
        <v>45763</v>
      </c>
      <c r="X85">
        <v>0</v>
      </c>
      <c r="Y85" t="b">
        <v>1</v>
      </c>
      <c r="Z85" s="2">
        <v>45857</v>
      </c>
      <c r="AA85" t="str">
        <f t="shared" si="11"/>
        <v>40–49</v>
      </c>
      <c r="AB85" t="str">
        <f t="shared" si="12"/>
        <v>40–49</v>
      </c>
      <c r="AC85" t="str">
        <f t="shared" si="13"/>
        <v>Monday</v>
      </c>
      <c r="AD85" t="str">
        <f t="shared" si="14"/>
        <v/>
      </c>
      <c r="AE85" t="str">
        <f t="shared" si="15"/>
        <v/>
      </c>
      <c r="AF85" t="str">
        <f t="shared" si="16"/>
        <v/>
      </c>
      <c r="AG85" t="str">
        <f t="shared" si="17"/>
        <v/>
      </c>
      <c r="AH85" t="str">
        <f t="shared" si="18"/>
        <v/>
      </c>
      <c r="AI85" t="str">
        <f t="shared" si="19"/>
        <v/>
      </c>
      <c r="AJ85" t="str">
        <f>LEFT(Table1[[#This Row],[membership_type]],2)&amp;TEXT(Table1[[#This Row],[age]],"00")&amp;"-"&amp;TEXT(ROW(),"000")</f>
        <v>Pr45-085</v>
      </c>
      <c r="AK85" t="str">
        <f>LEFT(Table1[[#This Row],[membership_type]],1)&amp;TEXT(MATCH(Table1[[#This Row],[membership_type]],Table1[membership_type],0),"00")</f>
        <v>P01</v>
      </c>
      <c r="AL85" t="str">
        <f>LEFT(Table1[[#This Row],[discount_type]],1)&amp;TEXT(ROUND(Table1[[#This Row],[discount_rate]]*100,0),"00")</f>
        <v>S15</v>
      </c>
      <c r="AM85" t="str" cm="1">
        <f t="array" ref="AM85">TEXT(SUMPRODUCT(CODE(MID(Table1[[#This Row],[home_gym_location]],_xlfn.SEQUENCE(LEN(Table1[[#This Row],[home_gym_location]])),1))),"00000")</f>
        <v>01324</v>
      </c>
      <c r="AN8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5" t="str">
        <f>LEFT(_xlfn.TEXTBEFORE(Table1[[#This Row],[Location Identifier]],"-"),3) &amp; "-" &amp; _xlfn.TEXTAFTER(Table1[[#This Row],[Location Identifier]],"-")</f>
        <v>BAK-002</v>
      </c>
      <c r="AP85" s="9">
        <f t="shared" ca="1" si="10"/>
        <v>45869</v>
      </c>
    </row>
    <row r="86" spans="1:42" x14ac:dyDescent="0.25">
      <c r="A86">
        <v>14</v>
      </c>
      <c r="B86" t="s">
        <v>42</v>
      </c>
      <c r="C86">
        <v>2</v>
      </c>
      <c r="D86" t="s">
        <v>94</v>
      </c>
      <c r="E86" t="b">
        <v>0</v>
      </c>
      <c r="F86" s="1">
        <v>0.42291666666666666</v>
      </c>
      <c r="G86" s="1">
        <v>0.46875</v>
      </c>
      <c r="H86">
        <v>66</v>
      </c>
      <c r="I86" t="b">
        <v>0</v>
      </c>
      <c r="J86" t="b">
        <v>1</v>
      </c>
      <c r="K86" t="b">
        <v>1</v>
      </c>
      <c r="L86" t="s">
        <v>62</v>
      </c>
      <c r="M86">
        <v>20</v>
      </c>
      <c r="N86" t="s">
        <v>29</v>
      </c>
      <c r="O86">
        <v>20</v>
      </c>
      <c r="P86" t="s">
        <v>36</v>
      </c>
      <c r="Q86">
        <v>0</v>
      </c>
      <c r="R86">
        <v>20</v>
      </c>
      <c r="S86" t="s">
        <v>44</v>
      </c>
      <c r="T86" t="s">
        <v>59</v>
      </c>
      <c r="U86">
        <v>37.774900000000002</v>
      </c>
      <c r="V86">
        <v>-122.4194</v>
      </c>
      <c r="W86" s="2">
        <v>45499</v>
      </c>
      <c r="X86">
        <v>2</v>
      </c>
      <c r="Y86" t="b">
        <v>1</v>
      </c>
      <c r="Z86" s="2">
        <v>45842</v>
      </c>
      <c r="AA86" t="str">
        <f t="shared" si="11"/>
        <v>10–19</v>
      </c>
      <c r="AB86" t="str">
        <f t="shared" si="12"/>
        <v>Under 16</v>
      </c>
      <c r="AC86" t="str">
        <f t="shared" si="13"/>
        <v/>
      </c>
      <c r="AD86" t="str">
        <f t="shared" si="14"/>
        <v/>
      </c>
      <c r="AE86" t="str">
        <f t="shared" si="15"/>
        <v/>
      </c>
      <c r="AF86" t="str">
        <f t="shared" si="16"/>
        <v/>
      </c>
      <c r="AG86" t="str">
        <f t="shared" si="17"/>
        <v/>
      </c>
      <c r="AH86" t="str">
        <f t="shared" si="18"/>
        <v>Saturday</v>
      </c>
      <c r="AI86" t="str">
        <f t="shared" si="19"/>
        <v>Sunday</v>
      </c>
      <c r="AJ86" t="str">
        <f>LEFT(Table1[[#This Row],[membership_type]],2)&amp;TEXT(Table1[[#This Row],[age]],"00")&amp;"-"&amp;TEXT(ROW(),"000")</f>
        <v>Ba14-086</v>
      </c>
      <c r="AK86" t="str">
        <f>LEFT(Table1[[#This Row],[membership_type]],1)&amp;TEXT(MATCH(Table1[[#This Row],[membership_type]],Table1[membership_type],0),"00")</f>
        <v>B04</v>
      </c>
      <c r="AL86" t="str">
        <f>LEFT(Table1[[#This Row],[discount_type]],1)&amp;TEXT(ROUND(Table1[[#This Row],[discount_rate]]*100,0),"00")</f>
        <v>N00</v>
      </c>
      <c r="AM86" t="str" cm="1">
        <f t="array" ref="AM86">TEXT(SUMPRODUCT(CODE(MID(Table1[[#This Row],[home_gym_location]],_xlfn.SEQUENCE(LEN(Table1[[#This Row],[home_gym_location]])),1))),"00000")</f>
        <v>01450</v>
      </c>
      <c r="AN8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6" t="str">
        <f>LEFT(_xlfn.TEXTBEFORE(Table1[[#This Row],[Location Identifier]],"-"),3) &amp; "-" &amp; _xlfn.TEXTAFTER(Table1[[#This Row],[Location Identifier]],"-")</f>
        <v>SAN-009</v>
      </c>
      <c r="AP86" s="9">
        <f t="shared" ca="1" si="10"/>
        <v>45869</v>
      </c>
    </row>
    <row r="87" spans="1:42" x14ac:dyDescent="0.25">
      <c r="A87">
        <v>21</v>
      </c>
      <c r="B87" t="s">
        <v>26</v>
      </c>
      <c r="C87">
        <v>2</v>
      </c>
      <c r="D87" t="s">
        <v>79</v>
      </c>
      <c r="E87" t="b">
        <v>1</v>
      </c>
      <c r="F87" s="1">
        <v>0.62152777777777779</v>
      </c>
      <c r="G87" s="1">
        <v>0.64444444444444449</v>
      </c>
      <c r="H87">
        <v>33</v>
      </c>
      <c r="I87" t="b">
        <v>1</v>
      </c>
      <c r="J87" t="b">
        <v>1</v>
      </c>
      <c r="K87" t="b">
        <v>0</v>
      </c>
      <c r="L87" t="s">
        <v>62</v>
      </c>
      <c r="M87">
        <v>50</v>
      </c>
      <c r="N87" t="s">
        <v>29</v>
      </c>
      <c r="O87">
        <v>50</v>
      </c>
      <c r="P87" t="s">
        <v>30</v>
      </c>
      <c r="Q87">
        <v>0.05</v>
      </c>
      <c r="R87">
        <v>47.5</v>
      </c>
      <c r="S87" t="s">
        <v>31</v>
      </c>
      <c r="T87" t="s">
        <v>32</v>
      </c>
      <c r="U87">
        <v>37.338200000000001</v>
      </c>
      <c r="V87">
        <v>-121.88630000000001</v>
      </c>
      <c r="W87" s="2">
        <v>45484</v>
      </c>
      <c r="X87">
        <v>2</v>
      </c>
      <c r="Y87" t="b">
        <v>1</v>
      </c>
      <c r="Z87" s="2">
        <v>45841</v>
      </c>
      <c r="AA87" t="str">
        <f t="shared" si="11"/>
        <v>20–29</v>
      </c>
      <c r="AB87" t="str">
        <f t="shared" si="12"/>
        <v>20–29</v>
      </c>
      <c r="AC87" t="str">
        <f t="shared" si="13"/>
        <v/>
      </c>
      <c r="AD87" t="str">
        <f t="shared" si="14"/>
        <v/>
      </c>
      <c r="AE87" t="str">
        <f t="shared" si="15"/>
        <v/>
      </c>
      <c r="AF87" t="str">
        <f t="shared" si="16"/>
        <v/>
      </c>
      <c r="AG87" t="str">
        <f t="shared" si="17"/>
        <v>Friday</v>
      </c>
      <c r="AH87" t="str">
        <f t="shared" si="18"/>
        <v>Saturday</v>
      </c>
      <c r="AI87" t="str">
        <f t="shared" si="19"/>
        <v/>
      </c>
      <c r="AJ87" t="str">
        <f>LEFT(Table1[[#This Row],[membership_type]],2)&amp;TEXT(Table1[[#This Row],[age]],"00")&amp;"-"&amp;TEXT(ROW(),"000")</f>
        <v>Pr21-087</v>
      </c>
      <c r="AK87" t="str">
        <f>LEFT(Table1[[#This Row],[membership_type]],1)&amp;TEXT(MATCH(Table1[[#This Row],[membership_type]],Table1[membership_type],0),"00")</f>
        <v>P01</v>
      </c>
      <c r="AL87" t="str">
        <f>LEFT(Table1[[#This Row],[discount_type]],1)&amp;TEXT(ROUND(Table1[[#This Row],[discount_rate]]*100,0),"00")</f>
        <v>P05</v>
      </c>
      <c r="AM87" t="str" cm="1">
        <f t="array" ref="AM87">TEXT(SUMPRODUCT(CODE(MID(Table1[[#This Row],[home_gym_location]],_xlfn.SEQUENCE(LEN(Table1[[#This Row],[home_gym_location]])),1))),"00000")</f>
        <v>00931</v>
      </c>
      <c r="AN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7" t="str">
        <f>LEFT(_xlfn.TEXTBEFORE(Table1[[#This Row],[Location Identifier]],"-"),3) &amp; "-" &amp; _xlfn.TEXTAFTER(Table1[[#This Row],[Location Identifier]],"-")</f>
        <v>SAN-010</v>
      </c>
      <c r="AP87" s="9">
        <f t="shared" ca="1" si="10"/>
        <v>45869</v>
      </c>
    </row>
    <row r="88" spans="1:42" x14ac:dyDescent="0.25">
      <c r="A88">
        <v>19</v>
      </c>
      <c r="B88" t="s">
        <v>26</v>
      </c>
      <c r="C88">
        <v>2</v>
      </c>
      <c r="D88" t="s">
        <v>88</v>
      </c>
      <c r="E88" t="b">
        <v>1</v>
      </c>
      <c r="F88" s="1">
        <v>0.44583333333333336</v>
      </c>
      <c r="G88" s="1">
        <v>0.56180555555555556</v>
      </c>
      <c r="H88">
        <v>167</v>
      </c>
      <c r="I88" t="b">
        <v>0</v>
      </c>
      <c r="J88" t="b">
        <v>1</v>
      </c>
      <c r="K88" t="b">
        <v>0</v>
      </c>
      <c r="L88" t="s">
        <v>28</v>
      </c>
      <c r="M88">
        <v>50</v>
      </c>
      <c r="N88" t="s">
        <v>29</v>
      </c>
      <c r="O88">
        <v>50</v>
      </c>
      <c r="P88" t="s">
        <v>40</v>
      </c>
      <c r="Q88">
        <v>0.1</v>
      </c>
      <c r="R88">
        <v>45</v>
      </c>
      <c r="S88" t="s">
        <v>31</v>
      </c>
      <c r="T88" t="s">
        <v>48</v>
      </c>
      <c r="U88">
        <v>38.581600000000002</v>
      </c>
      <c r="V88">
        <v>-121.4944</v>
      </c>
      <c r="W88" s="2">
        <v>45053</v>
      </c>
      <c r="X88">
        <v>4</v>
      </c>
      <c r="Y88" t="b">
        <v>1</v>
      </c>
      <c r="Z88" s="2">
        <v>45817</v>
      </c>
      <c r="AA88" t="str">
        <f t="shared" si="11"/>
        <v>10–19</v>
      </c>
      <c r="AB88" t="str">
        <f t="shared" si="12"/>
        <v>16–19</v>
      </c>
      <c r="AC88" t="str">
        <f t="shared" si="13"/>
        <v>Monday</v>
      </c>
      <c r="AD88" t="str">
        <f t="shared" si="14"/>
        <v/>
      </c>
      <c r="AE88" t="str">
        <f t="shared" si="15"/>
        <v>Wednesday</v>
      </c>
      <c r="AF88" t="str">
        <f t="shared" si="16"/>
        <v/>
      </c>
      <c r="AG88" t="str">
        <f t="shared" si="17"/>
        <v/>
      </c>
      <c r="AH88" t="str">
        <f t="shared" si="18"/>
        <v/>
      </c>
      <c r="AI88" t="str">
        <f t="shared" si="19"/>
        <v/>
      </c>
      <c r="AJ88" t="str">
        <f>LEFT(Table1[[#This Row],[membership_type]],2)&amp;TEXT(Table1[[#This Row],[age]],"00")&amp;"-"&amp;TEXT(ROW(),"000")</f>
        <v>Pr19-088</v>
      </c>
      <c r="AK88" t="str">
        <f>LEFT(Table1[[#This Row],[membership_type]],1)&amp;TEXT(MATCH(Table1[[#This Row],[membership_type]],Table1[membership_type],0),"00")</f>
        <v>P01</v>
      </c>
      <c r="AL88" t="str">
        <f>LEFT(Table1[[#This Row],[discount_type]],1)&amp;TEXT(ROUND(Table1[[#This Row],[discount_rate]]*100,0),"00")</f>
        <v>L10</v>
      </c>
      <c r="AM88" t="str" cm="1">
        <f t="array" ref="AM88">TEXT(SUMPRODUCT(CODE(MID(Table1[[#This Row],[home_gym_location]],_xlfn.SEQUENCE(LEN(Table1[[#This Row],[home_gym_location]])),1))),"00000")</f>
        <v>01245</v>
      </c>
      <c r="AN8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8" t="str">
        <f>LEFT(_xlfn.TEXTBEFORE(Table1[[#This Row],[Location Identifier]],"-"),3) &amp; "-" &amp; _xlfn.TEXTAFTER(Table1[[#This Row],[Location Identifier]],"-")</f>
        <v>SAC-007</v>
      </c>
      <c r="AP88" s="9">
        <f t="shared" ca="1" si="10"/>
        <v>45869</v>
      </c>
    </row>
    <row r="89" spans="1:42" x14ac:dyDescent="0.25">
      <c r="A89">
        <v>24</v>
      </c>
      <c r="B89" t="s">
        <v>51</v>
      </c>
      <c r="C89">
        <v>4</v>
      </c>
      <c r="D89" t="s">
        <v>107</v>
      </c>
      <c r="E89" t="b">
        <v>0</v>
      </c>
      <c r="F89" s="1">
        <v>0.64444444444444449</v>
      </c>
      <c r="G89" s="1">
        <v>0.69027777777777777</v>
      </c>
      <c r="H89">
        <v>66</v>
      </c>
      <c r="I89" t="b">
        <v>0</v>
      </c>
      <c r="J89" t="b">
        <v>1</v>
      </c>
      <c r="K89" t="b">
        <v>0</v>
      </c>
      <c r="L89" t="s">
        <v>28</v>
      </c>
      <c r="M89">
        <v>70</v>
      </c>
      <c r="N89" t="s">
        <v>29</v>
      </c>
      <c r="O89">
        <v>70</v>
      </c>
      <c r="P89" t="s">
        <v>40</v>
      </c>
      <c r="Q89">
        <v>0.1</v>
      </c>
      <c r="R89">
        <v>63</v>
      </c>
      <c r="S89" t="s">
        <v>53</v>
      </c>
      <c r="T89" t="s">
        <v>38</v>
      </c>
      <c r="U89">
        <v>36.7378</v>
      </c>
      <c r="V89">
        <v>-119.7871</v>
      </c>
      <c r="W89" s="2">
        <v>45152</v>
      </c>
      <c r="X89">
        <v>8</v>
      </c>
      <c r="Y89" t="b">
        <v>1</v>
      </c>
      <c r="Z89" s="2">
        <v>45822</v>
      </c>
      <c r="AA89" t="str">
        <f t="shared" si="11"/>
        <v>20–29</v>
      </c>
      <c r="AB89" t="str">
        <f t="shared" si="12"/>
        <v>20–29</v>
      </c>
      <c r="AC89" t="str">
        <f t="shared" si="13"/>
        <v/>
      </c>
      <c r="AD89" t="str">
        <f t="shared" si="14"/>
        <v>Tuesday</v>
      </c>
      <c r="AE89" t="str">
        <f t="shared" si="15"/>
        <v/>
      </c>
      <c r="AF89" t="str">
        <f t="shared" si="16"/>
        <v/>
      </c>
      <c r="AG89" t="str">
        <f t="shared" si="17"/>
        <v>Friday</v>
      </c>
      <c r="AH89" t="str">
        <f t="shared" si="18"/>
        <v>Saturday</v>
      </c>
      <c r="AI89" t="str">
        <f t="shared" si="19"/>
        <v>Sunday</v>
      </c>
      <c r="AJ89" t="str">
        <f>LEFT(Table1[[#This Row],[membership_type]],2)&amp;TEXT(Table1[[#This Row],[age]],"00")&amp;"-"&amp;TEXT(ROW(),"000")</f>
        <v>El24-089</v>
      </c>
      <c r="AK89" t="str">
        <f>LEFT(Table1[[#This Row],[membership_type]],1)&amp;TEXT(MATCH(Table1[[#This Row],[membership_type]],Table1[membership_type],0),"00")</f>
        <v>E07</v>
      </c>
      <c r="AL89" t="str">
        <f>LEFT(Table1[[#This Row],[discount_type]],1)&amp;TEXT(ROUND(Table1[[#This Row],[discount_rate]]*100,0),"00")</f>
        <v>L10</v>
      </c>
      <c r="AM89" t="str" cm="1">
        <f t="array" ref="AM89">TEXT(SUMPRODUCT(CODE(MID(Table1[[#This Row],[home_gym_location]],_xlfn.SEQUENCE(LEN(Table1[[#This Row],[home_gym_location]])),1))),"00000")</f>
        <v>00829</v>
      </c>
      <c r="AN89" t="str">
        <f>UPPER(_xlfn.TEXTBEFORE(Table1[[#This Row],[home_gym_location]],","))&amp;"-"&amp;TEXT(MATCH(Table1[[#This Row],[home_gym_location]],_xlfn._xlws.SORT(_xlfn.UNIQUE(Table1[home_gym_location])),0),"000")</f>
        <v>FRESNO-003</v>
      </c>
      <c r="AO89" t="str">
        <f>LEFT(_xlfn.TEXTBEFORE(Table1[[#This Row],[Location Identifier]],"-"),3) &amp; "-" &amp; _xlfn.TEXTAFTER(Table1[[#This Row],[Location Identifier]],"-")</f>
        <v>FRE-003</v>
      </c>
      <c r="AP89" s="9">
        <f t="shared" ca="1" si="10"/>
        <v>45869</v>
      </c>
    </row>
    <row r="90" spans="1:42" x14ac:dyDescent="0.25">
      <c r="A90">
        <v>13</v>
      </c>
      <c r="B90" t="s">
        <v>51</v>
      </c>
      <c r="C90">
        <v>2</v>
      </c>
      <c r="D90" t="s">
        <v>43</v>
      </c>
      <c r="E90" t="b">
        <v>1</v>
      </c>
      <c r="F90" s="1">
        <v>0.87222222222222223</v>
      </c>
      <c r="G90" s="1">
        <v>0.98333333333333328</v>
      </c>
      <c r="H90">
        <v>160</v>
      </c>
      <c r="I90" t="b">
        <v>1</v>
      </c>
      <c r="J90" t="b">
        <v>1</v>
      </c>
      <c r="K90" t="b">
        <v>0</v>
      </c>
      <c r="L90" t="s">
        <v>28</v>
      </c>
      <c r="M90">
        <v>70</v>
      </c>
      <c r="N90" t="s">
        <v>78</v>
      </c>
      <c r="O90">
        <v>63</v>
      </c>
      <c r="P90" t="s">
        <v>74</v>
      </c>
      <c r="Q90">
        <v>0.15</v>
      </c>
      <c r="R90">
        <v>53.55</v>
      </c>
      <c r="S90" t="s">
        <v>53</v>
      </c>
      <c r="T90" t="s">
        <v>48</v>
      </c>
      <c r="U90">
        <v>38.581600000000002</v>
      </c>
      <c r="V90">
        <v>-121.4944</v>
      </c>
      <c r="W90" s="2">
        <v>44886</v>
      </c>
      <c r="X90">
        <v>8</v>
      </c>
      <c r="Y90" t="b">
        <v>1</v>
      </c>
      <c r="Z90" s="2">
        <v>45807</v>
      </c>
      <c r="AA90" t="str">
        <f t="shared" si="11"/>
        <v>10–19</v>
      </c>
      <c r="AB90" t="str">
        <f t="shared" si="12"/>
        <v>Under 16</v>
      </c>
      <c r="AC90" t="str">
        <f t="shared" si="13"/>
        <v>Monday</v>
      </c>
      <c r="AD90" t="str">
        <f t="shared" si="14"/>
        <v>Tuesday</v>
      </c>
      <c r="AE90" t="str">
        <f t="shared" si="15"/>
        <v/>
      </c>
      <c r="AF90" t="str">
        <f t="shared" si="16"/>
        <v/>
      </c>
      <c r="AG90" t="str">
        <f t="shared" si="17"/>
        <v/>
      </c>
      <c r="AH90" t="str">
        <f t="shared" si="18"/>
        <v/>
      </c>
      <c r="AI90" t="str">
        <f t="shared" si="19"/>
        <v/>
      </c>
      <c r="AJ90" t="str">
        <f>LEFT(Table1[[#This Row],[membership_type]],2)&amp;TEXT(Table1[[#This Row],[age]],"00")&amp;"-"&amp;TEXT(ROW(),"000")</f>
        <v>El13-090</v>
      </c>
      <c r="AK90" t="str">
        <f>LEFT(Table1[[#This Row],[membership_type]],1)&amp;TEXT(MATCH(Table1[[#This Row],[membership_type]],Table1[membership_type],0),"00")</f>
        <v>E07</v>
      </c>
      <c r="AL90" t="str">
        <f>LEFT(Table1[[#This Row],[discount_type]],1)&amp;TEXT(ROUND(Table1[[#This Row],[discount_rate]]*100,0),"00")</f>
        <v>S15</v>
      </c>
      <c r="AM90" t="str" cm="1">
        <f t="array" ref="AM90">TEXT(SUMPRODUCT(CODE(MID(Table1[[#This Row],[home_gym_location]],_xlfn.SEQUENCE(LEN(Table1[[#This Row],[home_gym_location]])),1))),"00000")</f>
        <v>01245</v>
      </c>
      <c r="AN9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0" t="str">
        <f>LEFT(_xlfn.TEXTBEFORE(Table1[[#This Row],[Location Identifier]],"-"),3) &amp; "-" &amp; _xlfn.TEXTAFTER(Table1[[#This Row],[Location Identifier]],"-")</f>
        <v>SAC-007</v>
      </c>
      <c r="AP90" s="9">
        <f t="shared" ca="1" si="10"/>
        <v>45869</v>
      </c>
    </row>
    <row r="91" spans="1:42" x14ac:dyDescent="0.25">
      <c r="A91">
        <v>46</v>
      </c>
      <c r="B91" t="s">
        <v>33</v>
      </c>
      <c r="C91">
        <v>3</v>
      </c>
      <c r="D91" t="s">
        <v>93</v>
      </c>
      <c r="E91" t="b">
        <v>1</v>
      </c>
      <c r="F91" s="1">
        <v>0.84513888888888888</v>
      </c>
      <c r="G91" s="1">
        <v>0.88263888888888886</v>
      </c>
      <c r="H91">
        <v>54</v>
      </c>
      <c r="I91" t="b">
        <v>0</v>
      </c>
      <c r="J91" t="b">
        <v>0</v>
      </c>
      <c r="K91" t="b">
        <v>1</v>
      </c>
      <c r="L91" t="s">
        <v>35</v>
      </c>
      <c r="M91">
        <v>30</v>
      </c>
      <c r="N91" t="s">
        <v>29</v>
      </c>
      <c r="O91">
        <v>30</v>
      </c>
      <c r="P91" t="s">
        <v>40</v>
      </c>
      <c r="Q91">
        <v>0.1</v>
      </c>
      <c r="R91">
        <v>27</v>
      </c>
      <c r="S91" t="s">
        <v>37</v>
      </c>
      <c r="T91" t="s">
        <v>41</v>
      </c>
      <c r="U91">
        <v>37.804400000000001</v>
      </c>
      <c r="V91">
        <v>-122.27119999999999</v>
      </c>
      <c r="W91" s="2">
        <v>45328</v>
      </c>
      <c r="X91">
        <v>0</v>
      </c>
      <c r="Y91" t="b">
        <v>1</v>
      </c>
      <c r="Z91" s="2">
        <v>45832</v>
      </c>
      <c r="AA91" t="str">
        <f t="shared" si="11"/>
        <v>40–49</v>
      </c>
      <c r="AB91" t="str">
        <f t="shared" si="12"/>
        <v>40–49</v>
      </c>
      <c r="AC91" t="str">
        <f t="shared" si="13"/>
        <v>Monday</v>
      </c>
      <c r="AD91" t="str">
        <f t="shared" si="14"/>
        <v>Tuesday</v>
      </c>
      <c r="AE91" t="str">
        <f t="shared" si="15"/>
        <v/>
      </c>
      <c r="AF91" t="str">
        <f t="shared" si="16"/>
        <v>Thursday</v>
      </c>
      <c r="AG91" t="str">
        <f t="shared" si="17"/>
        <v/>
      </c>
      <c r="AH91" t="str">
        <f t="shared" si="18"/>
        <v/>
      </c>
      <c r="AI91" t="str">
        <f t="shared" si="19"/>
        <v/>
      </c>
      <c r="AJ91" t="str">
        <f>LEFT(Table1[[#This Row],[membership_type]],2)&amp;TEXT(Table1[[#This Row],[age]],"00")&amp;"-"&amp;TEXT(ROW(),"000")</f>
        <v>St46-091</v>
      </c>
      <c r="AK91" t="str">
        <f>LEFT(Table1[[#This Row],[membership_type]],1)&amp;TEXT(MATCH(Table1[[#This Row],[membership_type]],Table1[membership_type],0),"00")</f>
        <v>S02</v>
      </c>
      <c r="AL91" t="str">
        <f>LEFT(Table1[[#This Row],[discount_type]],1)&amp;TEXT(ROUND(Table1[[#This Row],[discount_rate]]*100,0),"00")</f>
        <v>L10</v>
      </c>
      <c r="AM91" t="str" cm="1">
        <f t="array" ref="AM91">TEXT(SUMPRODUCT(CODE(MID(Table1[[#This Row],[home_gym_location]],_xlfn.SEQUENCE(LEN(Table1[[#This Row],[home_gym_location]])),1))),"00000")</f>
        <v>00906</v>
      </c>
      <c r="AN91" t="str">
        <f>UPPER(_xlfn.TEXTBEFORE(Table1[[#This Row],[home_gym_location]],","))&amp;"-"&amp;TEXT(MATCH(Table1[[#This Row],[home_gym_location]],_xlfn._xlws.SORT(_xlfn.UNIQUE(Table1[home_gym_location])),0),"000")</f>
        <v>OAKLAND-006</v>
      </c>
      <c r="AO91" t="str">
        <f>LEFT(_xlfn.TEXTBEFORE(Table1[[#This Row],[Location Identifier]],"-"),3) &amp; "-" &amp; _xlfn.TEXTAFTER(Table1[[#This Row],[Location Identifier]],"-")</f>
        <v>OAK-006</v>
      </c>
      <c r="AP91" s="9">
        <f t="shared" ca="1" si="10"/>
        <v>45869</v>
      </c>
    </row>
    <row r="92" spans="1:42" x14ac:dyDescent="0.25">
      <c r="A92">
        <v>23</v>
      </c>
      <c r="B92" t="s">
        <v>33</v>
      </c>
      <c r="C92">
        <v>2</v>
      </c>
      <c r="D92" t="s">
        <v>88</v>
      </c>
      <c r="E92" t="b">
        <v>1</v>
      </c>
      <c r="F92" s="1">
        <v>0.75069444444444444</v>
      </c>
      <c r="G92" s="1">
        <v>0.8125</v>
      </c>
      <c r="H92">
        <v>89</v>
      </c>
      <c r="I92" t="b">
        <v>0</v>
      </c>
      <c r="J92" t="b">
        <v>1</v>
      </c>
      <c r="K92" t="b">
        <v>1</v>
      </c>
      <c r="L92" t="s">
        <v>35</v>
      </c>
      <c r="M92">
        <v>30</v>
      </c>
      <c r="N92" t="s">
        <v>29</v>
      </c>
      <c r="O92">
        <v>30</v>
      </c>
      <c r="P92" t="s">
        <v>36</v>
      </c>
      <c r="Q92">
        <v>0</v>
      </c>
      <c r="R92">
        <v>30</v>
      </c>
      <c r="S92" t="s">
        <v>37</v>
      </c>
      <c r="T92" t="s">
        <v>41</v>
      </c>
      <c r="U92">
        <v>37.804400000000001</v>
      </c>
      <c r="V92">
        <v>-122.27119999999999</v>
      </c>
      <c r="W92" s="2">
        <v>45703</v>
      </c>
      <c r="X92">
        <v>6</v>
      </c>
      <c r="Y92" t="b">
        <v>1</v>
      </c>
      <c r="Z92" s="2">
        <v>45853</v>
      </c>
      <c r="AA92" t="str">
        <f t="shared" si="11"/>
        <v>20–29</v>
      </c>
      <c r="AB92" t="str">
        <f t="shared" si="12"/>
        <v>20–29</v>
      </c>
      <c r="AC92" t="str">
        <f t="shared" si="13"/>
        <v>Monday</v>
      </c>
      <c r="AD92" t="str">
        <f t="shared" si="14"/>
        <v/>
      </c>
      <c r="AE92" t="str">
        <f t="shared" si="15"/>
        <v>Wednesday</v>
      </c>
      <c r="AF92" t="str">
        <f t="shared" si="16"/>
        <v/>
      </c>
      <c r="AG92" t="str">
        <f t="shared" si="17"/>
        <v/>
      </c>
      <c r="AH92" t="str">
        <f t="shared" si="18"/>
        <v/>
      </c>
      <c r="AI92" t="str">
        <f t="shared" si="19"/>
        <v/>
      </c>
      <c r="AJ92" t="str">
        <f>LEFT(Table1[[#This Row],[membership_type]],2)&amp;TEXT(Table1[[#This Row],[age]],"00")&amp;"-"&amp;TEXT(ROW(),"000")</f>
        <v>St23-092</v>
      </c>
      <c r="AK92" t="str">
        <f>LEFT(Table1[[#This Row],[membership_type]],1)&amp;TEXT(MATCH(Table1[[#This Row],[membership_type]],Table1[membership_type],0),"00")</f>
        <v>S02</v>
      </c>
      <c r="AL92" t="str">
        <f>LEFT(Table1[[#This Row],[discount_type]],1)&amp;TEXT(ROUND(Table1[[#This Row],[discount_rate]]*100,0),"00")</f>
        <v>N00</v>
      </c>
      <c r="AM92" t="str" cm="1">
        <f t="array" ref="AM92">TEXT(SUMPRODUCT(CODE(MID(Table1[[#This Row],[home_gym_location]],_xlfn.SEQUENCE(LEN(Table1[[#This Row],[home_gym_location]])),1))),"00000")</f>
        <v>00906</v>
      </c>
      <c r="AN92" t="str">
        <f>UPPER(_xlfn.TEXTBEFORE(Table1[[#This Row],[home_gym_location]],","))&amp;"-"&amp;TEXT(MATCH(Table1[[#This Row],[home_gym_location]],_xlfn._xlws.SORT(_xlfn.UNIQUE(Table1[home_gym_location])),0),"000")</f>
        <v>OAKLAND-006</v>
      </c>
      <c r="AO92" t="str">
        <f>LEFT(_xlfn.TEXTBEFORE(Table1[[#This Row],[Location Identifier]],"-"),3) &amp; "-" &amp; _xlfn.TEXTAFTER(Table1[[#This Row],[Location Identifier]],"-")</f>
        <v>OAK-006</v>
      </c>
      <c r="AP92" s="9">
        <f t="shared" ca="1" si="10"/>
        <v>45869</v>
      </c>
    </row>
    <row r="93" spans="1:42" x14ac:dyDescent="0.25">
      <c r="A93">
        <v>18</v>
      </c>
      <c r="B93" t="s">
        <v>33</v>
      </c>
      <c r="C93">
        <v>2</v>
      </c>
      <c r="D93" t="s">
        <v>108</v>
      </c>
      <c r="E93" t="b">
        <v>0</v>
      </c>
      <c r="F93" s="1">
        <v>0.69513888888888886</v>
      </c>
      <c r="G93" s="1">
        <v>0.79166666666666663</v>
      </c>
      <c r="H93">
        <v>139</v>
      </c>
      <c r="I93" t="b">
        <v>1</v>
      </c>
      <c r="J93" t="b">
        <v>0</v>
      </c>
      <c r="K93" t="b">
        <v>0</v>
      </c>
      <c r="L93" t="s">
        <v>62</v>
      </c>
      <c r="M93">
        <v>30</v>
      </c>
      <c r="N93" t="s">
        <v>64</v>
      </c>
      <c r="O93">
        <v>22.5</v>
      </c>
      <c r="P93" t="s">
        <v>36</v>
      </c>
      <c r="Q93">
        <v>0</v>
      </c>
      <c r="R93">
        <v>22.5</v>
      </c>
      <c r="S93" t="s">
        <v>37</v>
      </c>
      <c r="T93" t="s">
        <v>56</v>
      </c>
      <c r="U93">
        <v>35.3733</v>
      </c>
      <c r="V93">
        <v>-119.0187</v>
      </c>
      <c r="W93" s="2">
        <v>45071</v>
      </c>
      <c r="X93">
        <v>0</v>
      </c>
      <c r="Y93" t="b">
        <v>0</v>
      </c>
      <c r="Z93" s="2">
        <v>45818</v>
      </c>
      <c r="AA93" t="str">
        <f t="shared" si="11"/>
        <v>10–19</v>
      </c>
      <c r="AB93" t="str">
        <f t="shared" si="12"/>
        <v>16–19</v>
      </c>
      <c r="AC93" t="str">
        <f t="shared" si="13"/>
        <v/>
      </c>
      <c r="AD93" t="str">
        <f t="shared" si="14"/>
        <v>Tuesday</v>
      </c>
      <c r="AE93" t="str">
        <f t="shared" si="15"/>
        <v/>
      </c>
      <c r="AF93" t="str">
        <f t="shared" si="16"/>
        <v>Thursday</v>
      </c>
      <c r="AG93" t="str">
        <f t="shared" si="17"/>
        <v/>
      </c>
      <c r="AH93" t="str">
        <f t="shared" si="18"/>
        <v/>
      </c>
      <c r="AI93" t="str">
        <f t="shared" si="19"/>
        <v/>
      </c>
      <c r="AJ93" t="str">
        <f>LEFT(Table1[[#This Row],[membership_type]],2)&amp;TEXT(Table1[[#This Row],[age]],"00")&amp;"-"&amp;TEXT(ROW(),"000")</f>
        <v>St18-093</v>
      </c>
      <c r="AK93" t="str">
        <f>LEFT(Table1[[#This Row],[membership_type]],1)&amp;TEXT(MATCH(Table1[[#This Row],[membership_type]],Table1[membership_type],0),"00")</f>
        <v>S02</v>
      </c>
      <c r="AL93" t="str">
        <f>LEFT(Table1[[#This Row],[discount_type]],1)&amp;TEXT(ROUND(Table1[[#This Row],[discount_rate]]*100,0),"00")</f>
        <v>N00</v>
      </c>
      <c r="AM93" t="str" cm="1">
        <f t="array" ref="AM93">TEXT(SUMPRODUCT(CODE(MID(Table1[[#This Row],[home_gym_location]],_xlfn.SEQUENCE(LEN(Table1[[#This Row],[home_gym_location]])),1))),"00000")</f>
        <v>01324</v>
      </c>
      <c r="AN9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3" t="str">
        <f>LEFT(_xlfn.TEXTBEFORE(Table1[[#This Row],[Location Identifier]],"-"),3) &amp; "-" &amp; _xlfn.TEXTAFTER(Table1[[#This Row],[Location Identifier]],"-")</f>
        <v>BAK-002</v>
      </c>
      <c r="AP93" s="9">
        <f t="shared" ca="1" si="10"/>
        <v>45869</v>
      </c>
    </row>
    <row r="94" spans="1:42" x14ac:dyDescent="0.25">
      <c r="A94">
        <v>19</v>
      </c>
      <c r="B94" t="s">
        <v>42</v>
      </c>
      <c r="C94">
        <v>3</v>
      </c>
      <c r="D94" t="s">
        <v>109</v>
      </c>
      <c r="E94" t="b">
        <v>0</v>
      </c>
      <c r="F94" s="1">
        <v>0.45694444444444443</v>
      </c>
      <c r="G94" s="1">
        <v>0.51527777777777772</v>
      </c>
      <c r="H94">
        <v>84</v>
      </c>
      <c r="I94" t="b">
        <v>0</v>
      </c>
      <c r="J94" t="b">
        <v>1</v>
      </c>
      <c r="K94" t="b">
        <v>1</v>
      </c>
      <c r="L94" t="s">
        <v>35</v>
      </c>
      <c r="M94">
        <v>20</v>
      </c>
      <c r="N94" t="s">
        <v>64</v>
      </c>
      <c r="O94">
        <v>15</v>
      </c>
      <c r="P94" t="s">
        <v>74</v>
      </c>
      <c r="Q94">
        <v>0.15</v>
      </c>
      <c r="R94">
        <v>12.75</v>
      </c>
      <c r="S94" t="s">
        <v>44</v>
      </c>
      <c r="T94" t="s">
        <v>48</v>
      </c>
      <c r="U94">
        <v>38.581600000000002</v>
      </c>
      <c r="V94">
        <v>-121.4944</v>
      </c>
      <c r="W94" s="2">
        <v>45020</v>
      </c>
      <c r="X94">
        <v>1</v>
      </c>
      <c r="Y94" t="b">
        <v>1</v>
      </c>
      <c r="Z94" s="2">
        <v>45815</v>
      </c>
      <c r="AA94" t="str">
        <f t="shared" si="11"/>
        <v>10–19</v>
      </c>
      <c r="AB94" t="str">
        <f t="shared" si="12"/>
        <v>16–19</v>
      </c>
      <c r="AC94" t="str">
        <f t="shared" si="13"/>
        <v/>
      </c>
      <c r="AD94" t="str">
        <f t="shared" si="14"/>
        <v>Tuesday</v>
      </c>
      <c r="AE94" t="str">
        <f t="shared" si="15"/>
        <v/>
      </c>
      <c r="AF94" t="str">
        <f t="shared" si="16"/>
        <v>Thursday</v>
      </c>
      <c r="AG94" t="str">
        <f t="shared" si="17"/>
        <v>Friday</v>
      </c>
      <c r="AH94" t="str">
        <f t="shared" si="18"/>
        <v/>
      </c>
      <c r="AI94" t="str">
        <f t="shared" si="19"/>
        <v/>
      </c>
      <c r="AJ94" t="str">
        <f>LEFT(Table1[[#This Row],[membership_type]],2)&amp;TEXT(Table1[[#This Row],[age]],"00")&amp;"-"&amp;TEXT(ROW(),"000")</f>
        <v>Ba19-094</v>
      </c>
      <c r="AK94" t="str">
        <f>LEFT(Table1[[#This Row],[membership_type]],1)&amp;TEXT(MATCH(Table1[[#This Row],[membership_type]],Table1[membership_type],0),"00")</f>
        <v>B04</v>
      </c>
      <c r="AL94" t="str">
        <f>LEFT(Table1[[#This Row],[discount_type]],1)&amp;TEXT(ROUND(Table1[[#This Row],[discount_rate]]*100,0),"00")</f>
        <v>S15</v>
      </c>
      <c r="AM94" t="str" cm="1">
        <f t="array" ref="AM94">TEXT(SUMPRODUCT(CODE(MID(Table1[[#This Row],[home_gym_location]],_xlfn.SEQUENCE(LEN(Table1[[#This Row],[home_gym_location]])),1))),"00000")</f>
        <v>01245</v>
      </c>
      <c r="AN9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4" t="str">
        <f>LEFT(_xlfn.TEXTBEFORE(Table1[[#This Row],[Location Identifier]],"-"),3) &amp; "-" &amp; _xlfn.TEXTAFTER(Table1[[#This Row],[Location Identifier]],"-")</f>
        <v>SAC-007</v>
      </c>
      <c r="AP94" s="9">
        <f t="shared" ca="1" si="10"/>
        <v>45869</v>
      </c>
    </row>
    <row r="95" spans="1:42" x14ac:dyDescent="0.25">
      <c r="A95">
        <v>41</v>
      </c>
      <c r="B95" t="s">
        <v>33</v>
      </c>
      <c r="C95">
        <v>2</v>
      </c>
      <c r="D95" t="s">
        <v>96</v>
      </c>
      <c r="E95" t="b">
        <v>1</v>
      </c>
      <c r="F95" s="1">
        <v>0.43680555555555556</v>
      </c>
      <c r="G95" s="1">
        <v>0.52569444444444446</v>
      </c>
      <c r="H95">
        <v>128</v>
      </c>
      <c r="I95" t="b">
        <v>1</v>
      </c>
      <c r="J95" t="b">
        <v>1</v>
      </c>
      <c r="K95" t="b">
        <v>1</v>
      </c>
      <c r="L95" t="s">
        <v>35</v>
      </c>
      <c r="M95">
        <v>30</v>
      </c>
      <c r="N95" t="s">
        <v>29</v>
      </c>
      <c r="O95">
        <v>30</v>
      </c>
      <c r="P95" t="s">
        <v>74</v>
      </c>
      <c r="Q95">
        <v>0.15</v>
      </c>
      <c r="R95">
        <v>25.5</v>
      </c>
      <c r="S95" t="s">
        <v>37</v>
      </c>
      <c r="T95" t="s">
        <v>38</v>
      </c>
      <c r="U95">
        <v>36.7378</v>
      </c>
      <c r="V95">
        <v>-119.7871</v>
      </c>
      <c r="W95" s="2">
        <v>45233</v>
      </c>
      <c r="X95">
        <v>5</v>
      </c>
      <c r="Y95" t="b">
        <v>0</v>
      </c>
      <c r="Z95" s="2">
        <v>45827</v>
      </c>
      <c r="AA95" t="str">
        <f t="shared" si="11"/>
        <v>40–49</v>
      </c>
      <c r="AB95" t="str">
        <f t="shared" si="12"/>
        <v>40–49</v>
      </c>
      <c r="AC95" t="str">
        <f t="shared" si="13"/>
        <v/>
      </c>
      <c r="AD95" t="str">
        <f t="shared" si="14"/>
        <v/>
      </c>
      <c r="AE95" t="str">
        <f t="shared" si="15"/>
        <v/>
      </c>
      <c r="AF95" t="str">
        <f t="shared" si="16"/>
        <v>Thursday</v>
      </c>
      <c r="AG95" t="str">
        <f t="shared" si="17"/>
        <v>Friday</v>
      </c>
      <c r="AH95" t="str">
        <f t="shared" si="18"/>
        <v/>
      </c>
      <c r="AI95" t="str">
        <f t="shared" si="19"/>
        <v/>
      </c>
      <c r="AJ95" t="str">
        <f>LEFT(Table1[[#This Row],[membership_type]],2)&amp;TEXT(Table1[[#This Row],[age]],"00")&amp;"-"&amp;TEXT(ROW(),"000")</f>
        <v>St41-095</v>
      </c>
      <c r="AK95" t="str">
        <f>LEFT(Table1[[#This Row],[membership_type]],1)&amp;TEXT(MATCH(Table1[[#This Row],[membership_type]],Table1[membership_type],0),"00")</f>
        <v>S02</v>
      </c>
      <c r="AL95" t="str">
        <f>LEFT(Table1[[#This Row],[discount_type]],1)&amp;TEXT(ROUND(Table1[[#This Row],[discount_rate]]*100,0),"00")</f>
        <v>S15</v>
      </c>
      <c r="AM95" t="str" cm="1">
        <f t="array" ref="AM95">TEXT(SUMPRODUCT(CODE(MID(Table1[[#This Row],[home_gym_location]],_xlfn.SEQUENCE(LEN(Table1[[#This Row],[home_gym_location]])),1))),"00000")</f>
        <v>00829</v>
      </c>
      <c r="AN95" t="str">
        <f>UPPER(_xlfn.TEXTBEFORE(Table1[[#This Row],[home_gym_location]],","))&amp;"-"&amp;TEXT(MATCH(Table1[[#This Row],[home_gym_location]],_xlfn._xlws.SORT(_xlfn.UNIQUE(Table1[home_gym_location])),0),"000")</f>
        <v>FRESNO-003</v>
      </c>
      <c r="AO95" t="str">
        <f>LEFT(_xlfn.TEXTBEFORE(Table1[[#This Row],[Location Identifier]],"-"),3) &amp; "-" &amp; _xlfn.TEXTAFTER(Table1[[#This Row],[Location Identifier]],"-")</f>
        <v>FRE-003</v>
      </c>
      <c r="AP95" s="9">
        <f t="shared" ca="1" si="10"/>
        <v>45869</v>
      </c>
    </row>
    <row r="96" spans="1:42" x14ac:dyDescent="0.25">
      <c r="A96">
        <v>45</v>
      </c>
      <c r="B96" t="s">
        <v>33</v>
      </c>
      <c r="C96">
        <v>2</v>
      </c>
      <c r="D96" t="s">
        <v>88</v>
      </c>
      <c r="E96" t="b">
        <v>1</v>
      </c>
      <c r="F96" s="1">
        <v>0.59722222222222221</v>
      </c>
      <c r="G96" s="1">
        <v>0.72222222222222221</v>
      </c>
      <c r="H96">
        <v>180</v>
      </c>
      <c r="I96" t="b">
        <v>1</v>
      </c>
      <c r="J96" t="b">
        <v>1</v>
      </c>
      <c r="K96" t="b">
        <v>1</v>
      </c>
      <c r="L96" t="s">
        <v>62</v>
      </c>
      <c r="M96">
        <v>30</v>
      </c>
      <c r="N96" t="s">
        <v>64</v>
      </c>
      <c r="O96">
        <v>22.5</v>
      </c>
      <c r="P96" t="s">
        <v>40</v>
      </c>
      <c r="Q96">
        <v>0.1</v>
      </c>
      <c r="R96">
        <v>20.25</v>
      </c>
      <c r="S96" t="s">
        <v>37</v>
      </c>
      <c r="T96" t="s">
        <v>45</v>
      </c>
      <c r="U96">
        <v>33.836599999999997</v>
      </c>
      <c r="V96">
        <v>-117.9143</v>
      </c>
      <c r="W96" s="2">
        <v>45009</v>
      </c>
      <c r="X96">
        <v>2</v>
      </c>
      <c r="Y96" t="b">
        <v>1</v>
      </c>
      <c r="Z96" s="2">
        <v>45814</v>
      </c>
      <c r="AA96" t="str">
        <f t="shared" si="11"/>
        <v>40–49</v>
      </c>
      <c r="AB96" t="str">
        <f t="shared" si="12"/>
        <v>40–49</v>
      </c>
      <c r="AC96" t="str">
        <f t="shared" si="13"/>
        <v>Monday</v>
      </c>
      <c r="AD96" t="str">
        <f t="shared" si="14"/>
        <v/>
      </c>
      <c r="AE96" t="str">
        <f t="shared" si="15"/>
        <v>Wednesday</v>
      </c>
      <c r="AF96" t="str">
        <f t="shared" si="16"/>
        <v/>
      </c>
      <c r="AG96" t="str">
        <f t="shared" si="17"/>
        <v/>
      </c>
      <c r="AH96" t="str">
        <f t="shared" si="18"/>
        <v/>
      </c>
      <c r="AI96" t="str">
        <f t="shared" si="19"/>
        <v/>
      </c>
      <c r="AJ96" t="str">
        <f>LEFT(Table1[[#This Row],[membership_type]],2)&amp;TEXT(Table1[[#This Row],[age]],"00")&amp;"-"&amp;TEXT(ROW(),"000")</f>
        <v>St45-096</v>
      </c>
      <c r="AK96" t="str">
        <f>LEFT(Table1[[#This Row],[membership_type]],1)&amp;TEXT(MATCH(Table1[[#This Row],[membership_type]],Table1[membership_type],0),"00")</f>
        <v>S02</v>
      </c>
      <c r="AL96" t="str">
        <f>LEFT(Table1[[#This Row],[discount_type]],1)&amp;TEXT(ROUND(Table1[[#This Row],[discount_rate]]*100,0),"00")</f>
        <v>L10</v>
      </c>
      <c r="AM96" t="str" cm="1">
        <f t="array" ref="AM96">TEXT(SUMPRODUCT(CODE(MID(Table1[[#This Row],[home_gym_location]],_xlfn.SEQUENCE(LEN(Table1[[#This Row],[home_gym_location]])),1))),"00000")</f>
        <v>00899</v>
      </c>
      <c r="AN96" t="str">
        <f>UPPER(_xlfn.TEXTBEFORE(Table1[[#This Row],[home_gym_location]],","))&amp;"-"&amp;TEXT(MATCH(Table1[[#This Row],[home_gym_location]],_xlfn._xlws.SORT(_xlfn.UNIQUE(Table1[home_gym_location])),0),"000")</f>
        <v>ANAHEIM-001</v>
      </c>
      <c r="AO96" t="str">
        <f>LEFT(_xlfn.TEXTBEFORE(Table1[[#This Row],[Location Identifier]],"-"),3) &amp; "-" &amp; _xlfn.TEXTAFTER(Table1[[#This Row],[Location Identifier]],"-")</f>
        <v>ANA-001</v>
      </c>
      <c r="AP96" s="9">
        <f t="shared" ca="1" si="10"/>
        <v>45869</v>
      </c>
    </row>
    <row r="97" spans="1:42" x14ac:dyDescent="0.25">
      <c r="A97">
        <v>17</v>
      </c>
      <c r="B97" t="s">
        <v>51</v>
      </c>
      <c r="C97">
        <v>2</v>
      </c>
      <c r="D97" t="s">
        <v>92</v>
      </c>
      <c r="E97" t="b">
        <v>1</v>
      </c>
      <c r="F97" s="1">
        <v>0.87152777777777779</v>
      </c>
      <c r="G97" s="1">
        <v>0.9291666666666667</v>
      </c>
      <c r="H97">
        <v>83</v>
      </c>
      <c r="I97" t="b">
        <v>1</v>
      </c>
      <c r="J97" t="b">
        <v>0</v>
      </c>
      <c r="K97" t="b">
        <v>0</v>
      </c>
      <c r="L97" t="s">
        <v>28</v>
      </c>
      <c r="M97">
        <v>70</v>
      </c>
      <c r="N97" t="s">
        <v>78</v>
      </c>
      <c r="O97">
        <v>63</v>
      </c>
      <c r="P97" t="s">
        <v>74</v>
      </c>
      <c r="Q97">
        <v>0.15</v>
      </c>
      <c r="R97">
        <v>53.55</v>
      </c>
      <c r="S97" t="s">
        <v>53</v>
      </c>
      <c r="T97" t="s">
        <v>48</v>
      </c>
      <c r="U97">
        <v>38.581600000000002</v>
      </c>
      <c r="V97">
        <v>-121.4944</v>
      </c>
      <c r="W97" s="2">
        <v>45305</v>
      </c>
      <c r="X97">
        <v>0</v>
      </c>
      <c r="Y97" t="b">
        <v>1</v>
      </c>
      <c r="Z97" s="2">
        <v>45831</v>
      </c>
      <c r="AA97" t="str">
        <f t="shared" si="11"/>
        <v>10–19</v>
      </c>
      <c r="AB97" t="str">
        <f t="shared" si="12"/>
        <v>16–19</v>
      </c>
      <c r="AC97" t="str">
        <f t="shared" si="13"/>
        <v/>
      </c>
      <c r="AD97" t="str">
        <f t="shared" si="14"/>
        <v/>
      </c>
      <c r="AE97" t="str">
        <f t="shared" si="15"/>
        <v/>
      </c>
      <c r="AF97" t="str">
        <f t="shared" si="16"/>
        <v/>
      </c>
      <c r="AG97" t="str">
        <f t="shared" si="17"/>
        <v>Friday</v>
      </c>
      <c r="AH97" t="str">
        <f t="shared" si="18"/>
        <v/>
      </c>
      <c r="AI97" t="str">
        <f t="shared" si="19"/>
        <v>Sunday</v>
      </c>
      <c r="AJ97" t="str">
        <f>LEFT(Table1[[#This Row],[membership_type]],2)&amp;TEXT(Table1[[#This Row],[age]],"00")&amp;"-"&amp;TEXT(ROW(),"000")</f>
        <v>El17-097</v>
      </c>
      <c r="AK97" t="str">
        <f>LEFT(Table1[[#This Row],[membership_type]],1)&amp;TEXT(MATCH(Table1[[#This Row],[membership_type]],Table1[membership_type],0),"00")</f>
        <v>E07</v>
      </c>
      <c r="AL97" t="str">
        <f>LEFT(Table1[[#This Row],[discount_type]],1)&amp;TEXT(ROUND(Table1[[#This Row],[discount_rate]]*100,0),"00")</f>
        <v>S15</v>
      </c>
      <c r="AM97" t="str" cm="1">
        <f t="array" ref="AM97">TEXT(SUMPRODUCT(CODE(MID(Table1[[#This Row],[home_gym_location]],_xlfn.SEQUENCE(LEN(Table1[[#This Row],[home_gym_location]])),1))),"00000")</f>
        <v>01245</v>
      </c>
      <c r="AN9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7" t="str">
        <f>LEFT(_xlfn.TEXTBEFORE(Table1[[#This Row],[Location Identifier]],"-"),3) &amp; "-" &amp; _xlfn.TEXTAFTER(Table1[[#This Row],[Location Identifier]],"-")</f>
        <v>SAC-007</v>
      </c>
      <c r="AP97" s="9">
        <f t="shared" ca="1" si="10"/>
        <v>45869</v>
      </c>
    </row>
    <row r="98" spans="1:42" x14ac:dyDescent="0.25">
      <c r="A98">
        <v>20</v>
      </c>
      <c r="B98" t="s">
        <v>26</v>
      </c>
      <c r="C98">
        <v>2</v>
      </c>
      <c r="D98" t="s">
        <v>79</v>
      </c>
      <c r="E98" t="b">
        <v>0</v>
      </c>
      <c r="F98" s="1">
        <v>0.78749999999999998</v>
      </c>
      <c r="G98" s="1">
        <v>0.81736111111111109</v>
      </c>
      <c r="H98">
        <v>43</v>
      </c>
      <c r="I98" t="b">
        <v>1</v>
      </c>
      <c r="J98" t="b">
        <v>1</v>
      </c>
      <c r="K98" t="b">
        <v>1</v>
      </c>
      <c r="L98" t="s">
        <v>28</v>
      </c>
      <c r="M98">
        <v>50</v>
      </c>
      <c r="N98" t="s">
        <v>29</v>
      </c>
      <c r="O98">
        <v>50</v>
      </c>
      <c r="P98" t="s">
        <v>74</v>
      </c>
      <c r="Q98">
        <v>0.15</v>
      </c>
      <c r="R98">
        <v>42.5</v>
      </c>
      <c r="S98" t="s">
        <v>31</v>
      </c>
      <c r="T98" t="s">
        <v>41</v>
      </c>
      <c r="U98">
        <v>37.804400000000001</v>
      </c>
      <c r="V98">
        <v>-122.27119999999999</v>
      </c>
      <c r="W98" s="2">
        <v>45274</v>
      </c>
      <c r="X98">
        <v>5</v>
      </c>
      <c r="Y98" t="b">
        <v>1</v>
      </c>
      <c r="Z98" s="2">
        <v>45829</v>
      </c>
      <c r="AA98" t="str">
        <f t="shared" si="11"/>
        <v>20–29</v>
      </c>
      <c r="AB98" t="str">
        <f t="shared" si="12"/>
        <v>20–29</v>
      </c>
      <c r="AC98" t="str">
        <f t="shared" si="13"/>
        <v/>
      </c>
      <c r="AD98" t="str">
        <f t="shared" si="14"/>
        <v/>
      </c>
      <c r="AE98" t="str">
        <f t="shared" si="15"/>
        <v/>
      </c>
      <c r="AF98" t="str">
        <f t="shared" si="16"/>
        <v/>
      </c>
      <c r="AG98" t="str">
        <f t="shared" si="17"/>
        <v>Friday</v>
      </c>
      <c r="AH98" t="str">
        <f t="shared" si="18"/>
        <v>Saturday</v>
      </c>
      <c r="AI98" t="str">
        <f t="shared" si="19"/>
        <v/>
      </c>
      <c r="AJ98" t="str">
        <f>LEFT(Table1[[#This Row],[membership_type]],2)&amp;TEXT(Table1[[#This Row],[age]],"00")&amp;"-"&amp;TEXT(ROW(),"000")</f>
        <v>Pr20-098</v>
      </c>
      <c r="AK98" t="str">
        <f>LEFT(Table1[[#This Row],[membership_type]],1)&amp;TEXT(MATCH(Table1[[#This Row],[membership_type]],Table1[membership_type],0),"00")</f>
        <v>P01</v>
      </c>
      <c r="AL98" t="str">
        <f>LEFT(Table1[[#This Row],[discount_type]],1)&amp;TEXT(ROUND(Table1[[#This Row],[discount_rate]]*100,0),"00")</f>
        <v>S15</v>
      </c>
      <c r="AM98" t="str" cm="1">
        <f t="array" ref="AM98">TEXT(SUMPRODUCT(CODE(MID(Table1[[#This Row],[home_gym_location]],_xlfn.SEQUENCE(LEN(Table1[[#This Row],[home_gym_location]])),1))),"00000")</f>
        <v>00906</v>
      </c>
      <c r="AN98" t="str">
        <f>UPPER(_xlfn.TEXTBEFORE(Table1[[#This Row],[home_gym_location]],","))&amp;"-"&amp;TEXT(MATCH(Table1[[#This Row],[home_gym_location]],_xlfn._xlws.SORT(_xlfn.UNIQUE(Table1[home_gym_location])),0),"000")</f>
        <v>OAKLAND-006</v>
      </c>
      <c r="AO98" t="str">
        <f>LEFT(_xlfn.TEXTBEFORE(Table1[[#This Row],[Location Identifier]],"-"),3) &amp; "-" &amp; _xlfn.TEXTAFTER(Table1[[#This Row],[Location Identifier]],"-")</f>
        <v>OAK-006</v>
      </c>
      <c r="AP98" s="9">
        <f t="shared" ca="1" si="10"/>
        <v>45869</v>
      </c>
    </row>
    <row r="99" spans="1:42" x14ac:dyDescent="0.25">
      <c r="A99">
        <v>41</v>
      </c>
      <c r="B99" t="s">
        <v>26</v>
      </c>
      <c r="C99">
        <v>5</v>
      </c>
      <c r="D99" t="s">
        <v>34</v>
      </c>
      <c r="E99" t="b">
        <v>0</v>
      </c>
      <c r="F99" s="1">
        <v>0.57847222222222228</v>
      </c>
      <c r="G99" s="1">
        <v>0.67013888888888884</v>
      </c>
      <c r="H99">
        <v>132</v>
      </c>
      <c r="I99" t="b">
        <v>0</v>
      </c>
      <c r="J99" t="b">
        <v>0</v>
      </c>
      <c r="K99" t="b">
        <v>1</v>
      </c>
      <c r="L99" t="s">
        <v>62</v>
      </c>
      <c r="M99">
        <v>50</v>
      </c>
      <c r="N99" t="s">
        <v>29</v>
      </c>
      <c r="O99">
        <v>50</v>
      </c>
      <c r="P99" t="s">
        <v>36</v>
      </c>
      <c r="Q99">
        <v>0</v>
      </c>
      <c r="R99">
        <v>50</v>
      </c>
      <c r="S99" t="s">
        <v>31</v>
      </c>
      <c r="T99" t="s">
        <v>59</v>
      </c>
      <c r="U99">
        <v>37.774900000000002</v>
      </c>
      <c r="V99">
        <v>-122.4194</v>
      </c>
      <c r="W99" s="2">
        <v>45375</v>
      </c>
      <c r="X99">
        <v>0</v>
      </c>
      <c r="Y99" t="b">
        <v>1</v>
      </c>
      <c r="Z99" s="2">
        <v>45835</v>
      </c>
      <c r="AA99" t="str">
        <f t="shared" si="11"/>
        <v>40–49</v>
      </c>
      <c r="AB99" t="str">
        <f t="shared" si="12"/>
        <v>40–49</v>
      </c>
      <c r="AC99" t="str">
        <f t="shared" si="13"/>
        <v/>
      </c>
      <c r="AD99" t="str">
        <f t="shared" si="14"/>
        <v>Tuesday</v>
      </c>
      <c r="AE99" t="str">
        <f t="shared" si="15"/>
        <v>Wednesday</v>
      </c>
      <c r="AF99" t="str">
        <f t="shared" si="16"/>
        <v>Thursday</v>
      </c>
      <c r="AG99" t="str">
        <f t="shared" si="17"/>
        <v>Friday</v>
      </c>
      <c r="AH99" t="str">
        <f t="shared" si="18"/>
        <v>Saturday</v>
      </c>
      <c r="AI99" t="str">
        <f t="shared" si="19"/>
        <v/>
      </c>
      <c r="AJ99" t="str">
        <f>LEFT(Table1[[#This Row],[membership_type]],2)&amp;TEXT(Table1[[#This Row],[age]],"00")&amp;"-"&amp;TEXT(ROW(),"000")</f>
        <v>Pr41-099</v>
      </c>
      <c r="AK99" t="str">
        <f>LEFT(Table1[[#This Row],[membership_type]],1)&amp;TEXT(MATCH(Table1[[#This Row],[membership_type]],Table1[membership_type],0),"00")</f>
        <v>P01</v>
      </c>
      <c r="AL99" t="str">
        <f>LEFT(Table1[[#This Row],[discount_type]],1)&amp;TEXT(ROUND(Table1[[#This Row],[discount_rate]]*100,0),"00")</f>
        <v>N00</v>
      </c>
      <c r="AM99" t="str" cm="1">
        <f t="array" ref="AM99">TEXT(SUMPRODUCT(CODE(MID(Table1[[#This Row],[home_gym_location]],_xlfn.SEQUENCE(LEN(Table1[[#This Row],[home_gym_location]])),1))),"00000")</f>
        <v>01450</v>
      </c>
      <c r="AN9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9" t="str">
        <f>LEFT(_xlfn.TEXTBEFORE(Table1[[#This Row],[Location Identifier]],"-"),3) &amp; "-" &amp; _xlfn.TEXTAFTER(Table1[[#This Row],[Location Identifier]],"-")</f>
        <v>SAN-009</v>
      </c>
      <c r="AP99" s="9">
        <f t="shared" ca="1" si="10"/>
        <v>45869</v>
      </c>
    </row>
    <row r="100" spans="1:42" x14ac:dyDescent="0.25">
      <c r="A100">
        <v>36</v>
      </c>
      <c r="B100" t="s">
        <v>26</v>
      </c>
      <c r="C100">
        <v>1</v>
      </c>
      <c r="D100" t="s">
        <v>49</v>
      </c>
      <c r="E100" t="b">
        <v>0</v>
      </c>
      <c r="F100" s="1">
        <v>0.80555555555555558</v>
      </c>
      <c r="G100" s="1">
        <v>0.91527777777777775</v>
      </c>
      <c r="H100">
        <v>158</v>
      </c>
      <c r="I100" t="b">
        <v>1</v>
      </c>
      <c r="J100" t="b">
        <v>0</v>
      </c>
      <c r="K100" t="b">
        <v>0</v>
      </c>
      <c r="L100" t="s">
        <v>58</v>
      </c>
      <c r="M100">
        <v>50</v>
      </c>
      <c r="N100" t="s">
        <v>64</v>
      </c>
      <c r="O100">
        <v>37.5</v>
      </c>
      <c r="P100" t="s">
        <v>36</v>
      </c>
      <c r="Q100">
        <v>0</v>
      </c>
      <c r="R100">
        <v>37.5</v>
      </c>
      <c r="S100" t="s">
        <v>31</v>
      </c>
      <c r="T100" t="s">
        <v>56</v>
      </c>
      <c r="U100">
        <v>35.3733</v>
      </c>
      <c r="V100">
        <v>-119.0187</v>
      </c>
      <c r="W100" s="2">
        <v>45803</v>
      </c>
      <c r="X100">
        <v>0</v>
      </c>
      <c r="Y100" t="b">
        <v>1</v>
      </c>
      <c r="Z100" s="2">
        <v>45859</v>
      </c>
      <c r="AA100" t="str">
        <f t="shared" si="11"/>
        <v>30–39</v>
      </c>
      <c r="AB100" t="str">
        <f t="shared" si="12"/>
        <v>30–39</v>
      </c>
      <c r="AC100" t="str">
        <f t="shared" si="13"/>
        <v/>
      </c>
      <c r="AD100" t="str">
        <f t="shared" si="14"/>
        <v/>
      </c>
      <c r="AE100" t="str">
        <f t="shared" si="15"/>
        <v/>
      </c>
      <c r="AF100" t="str">
        <f t="shared" si="16"/>
        <v/>
      </c>
      <c r="AG100" t="str">
        <f t="shared" si="17"/>
        <v/>
      </c>
      <c r="AH100" t="str">
        <f t="shared" si="18"/>
        <v/>
      </c>
      <c r="AI100" t="str">
        <f t="shared" si="19"/>
        <v>Sunday</v>
      </c>
      <c r="AJ100" t="str">
        <f>LEFT(Table1[[#This Row],[membership_type]],2)&amp;TEXT(Table1[[#This Row],[age]],"00")&amp;"-"&amp;TEXT(ROW(),"000")</f>
        <v>Pr36-100</v>
      </c>
      <c r="AK100" t="str">
        <f>LEFT(Table1[[#This Row],[membership_type]],1)&amp;TEXT(MATCH(Table1[[#This Row],[membership_type]],Table1[membership_type],0),"00")</f>
        <v>P01</v>
      </c>
      <c r="AL100" t="str">
        <f>LEFT(Table1[[#This Row],[discount_type]],1)&amp;TEXT(ROUND(Table1[[#This Row],[discount_rate]]*100,0),"00")</f>
        <v>N00</v>
      </c>
      <c r="AM100" t="str" cm="1">
        <f t="array" ref="AM100">TEXT(SUMPRODUCT(CODE(MID(Table1[[#This Row],[home_gym_location]],_xlfn.SEQUENCE(LEN(Table1[[#This Row],[home_gym_location]])),1))),"00000")</f>
        <v>01324</v>
      </c>
      <c r="AN10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0" t="str">
        <f>LEFT(_xlfn.TEXTBEFORE(Table1[[#This Row],[Location Identifier]],"-"),3) &amp; "-" &amp; _xlfn.TEXTAFTER(Table1[[#This Row],[Location Identifier]],"-")</f>
        <v>BAK-002</v>
      </c>
      <c r="AP100" s="9">
        <f t="shared" ca="1" si="10"/>
        <v>45869</v>
      </c>
    </row>
    <row r="101" spans="1:42" x14ac:dyDescent="0.25">
      <c r="A101">
        <v>46</v>
      </c>
      <c r="B101" t="s">
        <v>26</v>
      </c>
      <c r="C101">
        <v>5</v>
      </c>
      <c r="D101" t="s">
        <v>110</v>
      </c>
      <c r="E101" t="b">
        <v>0</v>
      </c>
      <c r="F101" s="1">
        <v>0.86527777777777781</v>
      </c>
      <c r="G101" s="1">
        <v>0.92291666666666672</v>
      </c>
      <c r="H101">
        <v>83</v>
      </c>
      <c r="I101" t="b">
        <v>1</v>
      </c>
      <c r="J101" t="b">
        <v>1</v>
      </c>
      <c r="K101" t="b">
        <v>1</v>
      </c>
      <c r="L101" t="s">
        <v>62</v>
      </c>
      <c r="M101">
        <v>50</v>
      </c>
      <c r="N101" t="s">
        <v>64</v>
      </c>
      <c r="O101">
        <v>37.5</v>
      </c>
      <c r="P101" t="s">
        <v>74</v>
      </c>
      <c r="Q101">
        <v>0.15</v>
      </c>
      <c r="R101">
        <v>31.875</v>
      </c>
      <c r="S101" t="s">
        <v>31</v>
      </c>
      <c r="T101" t="s">
        <v>56</v>
      </c>
      <c r="U101">
        <v>35.3733</v>
      </c>
      <c r="V101">
        <v>-119.0187</v>
      </c>
      <c r="W101" s="2">
        <v>45716</v>
      </c>
      <c r="X101">
        <v>2</v>
      </c>
      <c r="Y101" t="b">
        <v>1</v>
      </c>
      <c r="Z101" s="2">
        <v>45854</v>
      </c>
      <c r="AA101" t="str">
        <f t="shared" si="11"/>
        <v>40–49</v>
      </c>
      <c r="AB101" t="str">
        <f t="shared" si="12"/>
        <v>40–49</v>
      </c>
      <c r="AC101" t="str">
        <f t="shared" si="13"/>
        <v>Monday</v>
      </c>
      <c r="AD101" t="str">
        <f t="shared" si="14"/>
        <v>Tuesday</v>
      </c>
      <c r="AE101" t="str">
        <f t="shared" si="15"/>
        <v>Wednesday</v>
      </c>
      <c r="AF101" t="str">
        <f t="shared" si="16"/>
        <v>Thursday</v>
      </c>
      <c r="AG101" t="str">
        <f t="shared" si="17"/>
        <v/>
      </c>
      <c r="AH101" t="str">
        <f t="shared" si="18"/>
        <v>Saturday</v>
      </c>
      <c r="AI101" t="str">
        <f t="shared" si="19"/>
        <v/>
      </c>
      <c r="AJ101" t="str">
        <f>LEFT(Table1[[#This Row],[membership_type]],2)&amp;TEXT(Table1[[#This Row],[age]],"00")&amp;"-"&amp;TEXT(ROW(),"000")</f>
        <v>Pr46-101</v>
      </c>
      <c r="AK101" t="str">
        <f>LEFT(Table1[[#This Row],[membership_type]],1)&amp;TEXT(MATCH(Table1[[#This Row],[membership_type]],Table1[membership_type],0),"00")</f>
        <v>P01</v>
      </c>
      <c r="AL101" t="str">
        <f>LEFT(Table1[[#This Row],[discount_type]],1)&amp;TEXT(ROUND(Table1[[#This Row],[discount_rate]]*100,0),"00")</f>
        <v>S15</v>
      </c>
      <c r="AM101" t="str" cm="1">
        <f t="array" ref="AM101">TEXT(SUMPRODUCT(CODE(MID(Table1[[#This Row],[home_gym_location]],_xlfn.SEQUENCE(LEN(Table1[[#This Row],[home_gym_location]])),1))),"00000")</f>
        <v>01324</v>
      </c>
      <c r="AN10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1" t="str">
        <f>LEFT(_xlfn.TEXTBEFORE(Table1[[#This Row],[Location Identifier]],"-"),3) &amp; "-" &amp; _xlfn.TEXTAFTER(Table1[[#This Row],[Location Identifier]],"-")</f>
        <v>BAK-002</v>
      </c>
      <c r="AP101" s="9">
        <f t="shared" ca="1" si="10"/>
        <v>45869</v>
      </c>
    </row>
    <row r="102" spans="1:42" x14ac:dyDescent="0.25">
      <c r="A102">
        <v>42</v>
      </c>
      <c r="B102" t="s">
        <v>26</v>
      </c>
      <c r="C102">
        <v>4</v>
      </c>
      <c r="D102" t="s">
        <v>111</v>
      </c>
      <c r="E102" t="b">
        <v>1</v>
      </c>
      <c r="F102" s="1">
        <v>0.41319444444444442</v>
      </c>
      <c r="G102" s="1">
        <v>0.45763888888888887</v>
      </c>
      <c r="H102">
        <v>64</v>
      </c>
      <c r="I102" t="b">
        <v>0</v>
      </c>
      <c r="J102" t="b">
        <v>0</v>
      </c>
      <c r="K102" t="b">
        <v>1</v>
      </c>
      <c r="L102" t="s">
        <v>28</v>
      </c>
      <c r="M102">
        <v>50</v>
      </c>
      <c r="N102" t="s">
        <v>64</v>
      </c>
      <c r="O102">
        <v>37.5</v>
      </c>
      <c r="P102" t="s">
        <v>30</v>
      </c>
      <c r="Q102">
        <v>0.05</v>
      </c>
      <c r="R102">
        <v>35.625</v>
      </c>
      <c r="S102" t="s">
        <v>31</v>
      </c>
      <c r="T102" t="s">
        <v>32</v>
      </c>
      <c r="U102">
        <v>37.338200000000001</v>
      </c>
      <c r="V102">
        <v>-121.88630000000001</v>
      </c>
      <c r="W102" s="2">
        <v>45797</v>
      </c>
      <c r="X102">
        <v>0</v>
      </c>
      <c r="Y102" t="b">
        <v>1</v>
      </c>
      <c r="Z102" s="2">
        <v>45859</v>
      </c>
      <c r="AA102" t="str">
        <f t="shared" si="11"/>
        <v>40–49</v>
      </c>
      <c r="AB102" t="str">
        <f t="shared" si="12"/>
        <v>40–49</v>
      </c>
      <c r="AC102" t="str">
        <f t="shared" si="13"/>
        <v>Monday</v>
      </c>
      <c r="AD102" t="str">
        <f t="shared" si="14"/>
        <v>Tuesday</v>
      </c>
      <c r="AE102" t="str">
        <f t="shared" si="15"/>
        <v/>
      </c>
      <c r="AF102" t="str">
        <f t="shared" si="16"/>
        <v>Thursday</v>
      </c>
      <c r="AG102" t="str">
        <f t="shared" si="17"/>
        <v>Friday</v>
      </c>
      <c r="AH102" t="str">
        <f t="shared" si="18"/>
        <v/>
      </c>
      <c r="AI102" t="str">
        <f t="shared" si="19"/>
        <v/>
      </c>
      <c r="AJ102" t="str">
        <f>LEFT(Table1[[#This Row],[membership_type]],2)&amp;TEXT(Table1[[#This Row],[age]],"00")&amp;"-"&amp;TEXT(ROW(),"000")</f>
        <v>Pr42-102</v>
      </c>
      <c r="AK102" t="str">
        <f>LEFT(Table1[[#This Row],[membership_type]],1)&amp;TEXT(MATCH(Table1[[#This Row],[membership_type]],Table1[membership_type],0),"00")</f>
        <v>P01</v>
      </c>
      <c r="AL102" t="str">
        <f>LEFT(Table1[[#This Row],[discount_type]],1)&amp;TEXT(ROUND(Table1[[#This Row],[discount_rate]]*100,0),"00")</f>
        <v>P05</v>
      </c>
      <c r="AM102" t="str" cm="1">
        <f t="array" ref="AM102">TEXT(SUMPRODUCT(CODE(MID(Table1[[#This Row],[home_gym_location]],_xlfn.SEQUENCE(LEN(Table1[[#This Row],[home_gym_location]])),1))),"00000")</f>
        <v>00931</v>
      </c>
      <c r="AN10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2" t="str">
        <f>LEFT(_xlfn.TEXTBEFORE(Table1[[#This Row],[Location Identifier]],"-"),3) &amp; "-" &amp; _xlfn.TEXTAFTER(Table1[[#This Row],[Location Identifier]],"-")</f>
        <v>SAN-010</v>
      </c>
      <c r="AP102" s="9">
        <f t="shared" ca="1" si="10"/>
        <v>45869</v>
      </c>
    </row>
    <row r="103" spans="1:42" x14ac:dyDescent="0.25">
      <c r="A103">
        <v>22</v>
      </c>
      <c r="B103" t="s">
        <v>26</v>
      </c>
      <c r="C103">
        <v>5</v>
      </c>
      <c r="D103" t="s">
        <v>66</v>
      </c>
      <c r="E103" t="b">
        <v>0</v>
      </c>
      <c r="F103" s="1">
        <v>0.57638888888888884</v>
      </c>
      <c r="G103" s="1">
        <v>0.65069444444444446</v>
      </c>
      <c r="H103">
        <v>107</v>
      </c>
      <c r="I103" t="b">
        <v>0</v>
      </c>
      <c r="J103" t="b">
        <v>0</v>
      </c>
      <c r="K103" t="b">
        <v>0</v>
      </c>
      <c r="L103" t="s">
        <v>35</v>
      </c>
      <c r="M103">
        <v>50</v>
      </c>
      <c r="N103" t="s">
        <v>29</v>
      </c>
      <c r="O103">
        <v>50</v>
      </c>
      <c r="P103" t="s">
        <v>40</v>
      </c>
      <c r="Q103">
        <v>0.1</v>
      </c>
      <c r="R103">
        <v>45</v>
      </c>
      <c r="S103" t="s">
        <v>31</v>
      </c>
      <c r="T103" t="s">
        <v>54</v>
      </c>
      <c r="U103">
        <v>32.715699999999998</v>
      </c>
      <c r="V103">
        <v>-117.1611</v>
      </c>
      <c r="W103" s="2">
        <v>45153</v>
      </c>
      <c r="X103">
        <v>0</v>
      </c>
      <c r="Y103" t="b">
        <v>0</v>
      </c>
      <c r="Z103" s="2">
        <v>45822</v>
      </c>
      <c r="AA103" t="str">
        <f t="shared" si="11"/>
        <v>20–29</v>
      </c>
      <c r="AB103" t="str">
        <f t="shared" si="12"/>
        <v>20–29</v>
      </c>
      <c r="AC103" t="str">
        <f t="shared" si="13"/>
        <v>Monday</v>
      </c>
      <c r="AD103" t="str">
        <f t="shared" si="14"/>
        <v>Tuesday</v>
      </c>
      <c r="AE103" t="str">
        <f t="shared" si="15"/>
        <v>Wednesday</v>
      </c>
      <c r="AF103" t="str">
        <f t="shared" si="16"/>
        <v/>
      </c>
      <c r="AG103" t="str">
        <f t="shared" si="17"/>
        <v>Friday</v>
      </c>
      <c r="AH103" t="str">
        <f t="shared" si="18"/>
        <v/>
      </c>
      <c r="AI103" t="str">
        <f t="shared" si="19"/>
        <v>Sunday</v>
      </c>
      <c r="AJ103" t="str">
        <f>LEFT(Table1[[#This Row],[membership_type]],2)&amp;TEXT(Table1[[#This Row],[age]],"00")&amp;"-"&amp;TEXT(ROW(),"000")</f>
        <v>Pr22-103</v>
      </c>
      <c r="AK103" t="str">
        <f>LEFT(Table1[[#This Row],[membership_type]],1)&amp;TEXT(MATCH(Table1[[#This Row],[membership_type]],Table1[membership_type],0),"00")</f>
        <v>P01</v>
      </c>
      <c r="AL103" t="str">
        <f>LEFT(Table1[[#This Row],[discount_type]],1)&amp;TEXT(ROUND(Table1[[#This Row],[discount_rate]]*100,0),"00")</f>
        <v>L10</v>
      </c>
      <c r="AM103" t="str" cm="1">
        <f t="array" ref="AM103">TEXT(SUMPRODUCT(CODE(MID(Table1[[#This Row],[home_gym_location]],_xlfn.SEQUENCE(LEN(Table1[[#This Row],[home_gym_location]])),1))),"00000")</f>
        <v>01018</v>
      </c>
      <c r="AN10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3" t="str">
        <f>LEFT(_xlfn.TEXTBEFORE(Table1[[#This Row],[Location Identifier]],"-"),3) &amp; "-" &amp; _xlfn.TEXTAFTER(Table1[[#This Row],[Location Identifier]],"-")</f>
        <v>SAN-008</v>
      </c>
      <c r="AP103" s="9">
        <f t="shared" ca="1" si="10"/>
        <v>45869</v>
      </c>
    </row>
    <row r="104" spans="1:42" x14ac:dyDescent="0.25">
      <c r="A104">
        <v>20</v>
      </c>
      <c r="B104" t="s">
        <v>42</v>
      </c>
      <c r="C104">
        <v>3</v>
      </c>
      <c r="D104" t="s">
        <v>89</v>
      </c>
      <c r="E104" t="b">
        <v>1</v>
      </c>
      <c r="F104" s="1">
        <v>0.37013888888888891</v>
      </c>
      <c r="G104" s="1">
        <v>0.46597222222222223</v>
      </c>
      <c r="H104">
        <v>138</v>
      </c>
      <c r="I104" t="b">
        <v>0</v>
      </c>
      <c r="J104" t="b">
        <v>1</v>
      </c>
      <c r="K104" t="b">
        <v>1</v>
      </c>
      <c r="L104" t="s">
        <v>28</v>
      </c>
      <c r="M104">
        <v>20</v>
      </c>
      <c r="N104" t="s">
        <v>29</v>
      </c>
      <c r="O104">
        <v>20</v>
      </c>
      <c r="P104" t="s">
        <v>30</v>
      </c>
      <c r="Q104">
        <v>0.05</v>
      </c>
      <c r="R104">
        <v>19</v>
      </c>
      <c r="S104" t="s">
        <v>44</v>
      </c>
      <c r="T104" t="s">
        <v>38</v>
      </c>
      <c r="U104">
        <v>36.7378</v>
      </c>
      <c r="V104">
        <v>-119.7871</v>
      </c>
      <c r="W104" s="2">
        <v>45496</v>
      </c>
      <c r="X104">
        <v>5</v>
      </c>
      <c r="Y104" t="b">
        <v>0</v>
      </c>
      <c r="Z104" s="2">
        <v>45842</v>
      </c>
      <c r="AA104" t="str">
        <f t="shared" si="11"/>
        <v>20–29</v>
      </c>
      <c r="AB104" t="str">
        <f t="shared" si="12"/>
        <v>20–29</v>
      </c>
      <c r="AC104" t="str">
        <f t="shared" si="13"/>
        <v>Monday</v>
      </c>
      <c r="AD104" t="str">
        <f t="shared" si="14"/>
        <v>Tuesday</v>
      </c>
      <c r="AE104" t="str">
        <f t="shared" si="15"/>
        <v/>
      </c>
      <c r="AF104" t="str">
        <f t="shared" si="16"/>
        <v/>
      </c>
      <c r="AG104" t="str">
        <f t="shared" si="17"/>
        <v/>
      </c>
      <c r="AH104" t="str">
        <f t="shared" si="18"/>
        <v>Saturday</v>
      </c>
      <c r="AI104" t="str">
        <f t="shared" si="19"/>
        <v/>
      </c>
      <c r="AJ104" t="str">
        <f>LEFT(Table1[[#This Row],[membership_type]],2)&amp;TEXT(Table1[[#This Row],[age]],"00")&amp;"-"&amp;TEXT(ROW(),"000")</f>
        <v>Ba20-104</v>
      </c>
      <c r="AK104" t="str">
        <f>LEFT(Table1[[#This Row],[membership_type]],1)&amp;TEXT(MATCH(Table1[[#This Row],[membership_type]],Table1[membership_type],0),"00")</f>
        <v>B04</v>
      </c>
      <c r="AL104" t="str">
        <f>LEFT(Table1[[#This Row],[discount_type]],1)&amp;TEXT(ROUND(Table1[[#This Row],[discount_rate]]*100,0),"00")</f>
        <v>P05</v>
      </c>
      <c r="AM104" t="str" cm="1">
        <f t="array" ref="AM104">TEXT(SUMPRODUCT(CODE(MID(Table1[[#This Row],[home_gym_location]],_xlfn.SEQUENCE(LEN(Table1[[#This Row],[home_gym_location]])),1))),"00000")</f>
        <v>00829</v>
      </c>
      <c r="AN104" t="str">
        <f>UPPER(_xlfn.TEXTBEFORE(Table1[[#This Row],[home_gym_location]],","))&amp;"-"&amp;TEXT(MATCH(Table1[[#This Row],[home_gym_location]],_xlfn._xlws.SORT(_xlfn.UNIQUE(Table1[home_gym_location])),0),"000")</f>
        <v>FRESNO-003</v>
      </c>
      <c r="AO104" t="str">
        <f>LEFT(_xlfn.TEXTBEFORE(Table1[[#This Row],[Location Identifier]],"-"),3) &amp; "-" &amp; _xlfn.TEXTAFTER(Table1[[#This Row],[Location Identifier]],"-")</f>
        <v>FRE-003</v>
      </c>
      <c r="AP104" s="9">
        <f t="shared" ca="1" si="10"/>
        <v>45869</v>
      </c>
    </row>
    <row r="105" spans="1:42" x14ac:dyDescent="0.25">
      <c r="A105">
        <v>19</v>
      </c>
      <c r="B105" t="s">
        <v>33</v>
      </c>
      <c r="C105">
        <v>3</v>
      </c>
      <c r="D105" t="s">
        <v>83</v>
      </c>
      <c r="E105" t="b">
        <v>1</v>
      </c>
      <c r="F105" s="1">
        <v>0.43958333333333333</v>
      </c>
      <c r="G105" s="1">
        <v>0.48055555555555557</v>
      </c>
      <c r="H105">
        <v>59</v>
      </c>
      <c r="I105" t="b">
        <v>0</v>
      </c>
      <c r="J105" t="b">
        <v>0</v>
      </c>
      <c r="K105" t="b">
        <v>0</v>
      </c>
      <c r="L105" t="s">
        <v>62</v>
      </c>
      <c r="M105">
        <v>30</v>
      </c>
      <c r="N105" t="s">
        <v>29</v>
      </c>
      <c r="O105">
        <v>30</v>
      </c>
      <c r="P105" t="s">
        <v>36</v>
      </c>
      <c r="Q105">
        <v>0</v>
      </c>
      <c r="R105">
        <v>30</v>
      </c>
      <c r="S105" t="s">
        <v>37</v>
      </c>
      <c r="T105" t="s">
        <v>48</v>
      </c>
      <c r="U105">
        <v>38.581600000000002</v>
      </c>
      <c r="V105">
        <v>-121.4944</v>
      </c>
      <c r="W105" s="2">
        <v>45289</v>
      </c>
      <c r="X105">
        <v>0</v>
      </c>
      <c r="Y105" t="b">
        <v>0</v>
      </c>
      <c r="Z105" s="2">
        <v>45830</v>
      </c>
      <c r="AA105" t="str">
        <f t="shared" si="11"/>
        <v>10–19</v>
      </c>
      <c r="AB105" t="str">
        <f t="shared" si="12"/>
        <v>16–19</v>
      </c>
      <c r="AC105" t="str">
        <f t="shared" si="13"/>
        <v/>
      </c>
      <c r="AD105" t="str">
        <f t="shared" si="14"/>
        <v>Tuesday</v>
      </c>
      <c r="AE105" t="str">
        <f t="shared" si="15"/>
        <v>Wednesday</v>
      </c>
      <c r="AF105" t="str">
        <f t="shared" si="16"/>
        <v/>
      </c>
      <c r="AG105" t="str">
        <f t="shared" si="17"/>
        <v/>
      </c>
      <c r="AH105" t="str">
        <f t="shared" si="18"/>
        <v>Saturday</v>
      </c>
      <c r="AI105" t="str">
        <f t="shared" si="19"/>
        <v/>
      </c>
      <c r="AJ105" t="str">
        <f>LEFT(Table1[[#This Row],[membership_type]],2)&amp;TEXT(Table1[[#This Row],[age]],"00")&amp;"-"&amp;TEXT(ROW(),"000")</f>
        <v>St19-105</v>
      </c>
      <c r="AK105" t="str">
        <f>LEFT(Table1[[#This Row],[membership_type]],1)&amp;TEXT(MATCH(Table1[[#This Row],[membership_type]],Table1[membership_type],0),"00")</f>
        <v>S02</v>
      </c>
      <c r="AL105" t="str">
        <f>LEFT(Table1[[#This Row],[discount_type]],1)&amp;TEXT(ROUND(Table1[[#This Row],[discount_rate]]*100,0),"00")</f>
        <v>N00</v>
      </c>
      <c r="AM105" t="str" cm="1">
        <f t="array" ref="AM105">TEXT(SUMPRODUCT(CODE(MID(Table1[[#This Row],[home_gym_location]],_xlfn.SEQUENCE(LEN(Table1[[#This Row],[home_gym_location]])),1))),"00000")</f>
        <v>01245</v>
      </c>
      <c r="AN10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5" t="str">
        <f>LEFT(_xlfn.TEXTBEFORE(Table1[[#This Row],[Location Identifier]],"-"),3) &amp; "-" &amp; _xlfn.TEXTAFTER(Table1[[#This Row],[Location Identifier]],"-")</f>
        <v>SAC-007</v>
      </c>
      <c r="AP105" s="9">
        <f t="shared" ca="1" si="10"/>
        <v>45869</v>
      </c>
    </row>
    <row r="106" spans="1:42" x14ac:dyDescent="0.25">
      <c r="A106">
        <v>37</v>
      </c>
      <c r="B106" t="s">
        <v>33</v>
      </c>
      <c r="C106">
        <v>1</v>
      </c>
      <c r="D106" t="s">
        <v>95</v>
      </c>
      <c r="E106" t="b">
        <v>1</v>
      </c>
      <c r="F106" s="1">
        <v>0.35902777777777778</v>
      </c>
      <c r="G106" s="1">
        <v>0.42499999999999999</v>
      </c>
      <c r="H106">
        <v>95</v>
      </c>
      <c r="I106" t="b">
        <v>1</v>
      </c>
      <c r="J106" t="b">
        <v>1</v>
      </c>
      <c r="K106" t="b">
        <v>0</v>
      </c>
      <c r="L106" t="s">
        <v>35</v>
      </c>
      <c r="M106">
        <v>30</v>
      </c>
      <c r="N106" t="s">
        <v>29</v>
      </c>
      <c r="O106">
        <v>30</v>
      </c>
      <c r="P106" t="s">
        <v>74</v>
      </c>
      <c r="Q106">
        <v>0.15</v>
      </c>
      <c r="R106">
        <v>25.5</v>
      </c>
      <c r="S106" t="s">
        <v>37</v>
      </c>
      <c r="T106" t="s">
        <v>45</v>
      </c>
      <c r="U106">
        <v>33.836599999999997</v>
      </c>
      <c r="V106">
        <v>-117.9143</v>
      </c>
      <c r="W106" s="2">
        <v>44864</v>
      </c>
      <c r="X106">
        <v>3</v>
      </c>
      <c r="Y106" t="b">
        <v>0</v>
      </c>
      <c r="Z106" s="2">
        <v>45806</v>
      </c>
      <c r="AA106" t="str">
        <f t="shared" si="11"/>
        <v>30–39</v>
      </c>
      <c r="AB106" t="str">
        <f t="shared" si="12"/>
        <v>30–39</v>
      </c>
      <c r="AC106" t="str">
        <f t="shared" si="13"/>
        <v/>
      </c>
      <c r="AD106" t="str">
        <f t="shared" si="14"/>
        <v/>
      </c>
      <c r="AE106" t="str">
        <f t="shared" si="15"/>
        <v/>
      </c>
      <c r="AF106" t="str">
        <f t="shared" si="16"/>
        <v/>
      </c>
      <c r="AG106" t="str">
        <f t="shared" si="17"/>
        <v/>
      </c>
      <c r="AH106" t="str">
        <f t="shared" si="18"/>
        <v>Saturday</v>
      </c>
      <c r="AI106" t="str">
        <f t="shared" si="19"/>
        <v/>
      </c>
      <c r="AJ106" t="str">
        <f>LEFT(Table1[[#This Row],[membership_type]],2)&amp;TEXT(Table1[[#This Row],[age]],"00")&amp;"-"&amp;TEXT(ROW(),"000")</f>
        <v>St37-106</v>
      </c>
      <c r="AK106" t="str">
        <f>LEFT(Table1[[#This Row],[membership_type]],1)&amp;TEXT(MATCH(Table1[[#This Row],[membership_type]],Table1[membership_type],0),"00")</f>
        <v>S02</v>
      </c>
      <c r="AL106" t="str">
        <f>LEFT(Table1[[#This Row],[discount_type]],1)&amp;TEXT(ROUND(Table1[[#This Row],[discount_rate]]*100,0),"00")</f>
        <v>S15</v>
      </c>
      <c r="AM106" t="str" cm="1">
        <f t="array" ref="AM106">TEXT(SUMPRODUCT(CODE(MID(Table1[[#This Row],[home_gym_location]],_xlfn.SEQUENCE(LEN(Table1[[#This Row],[home_gym_location]])),1))),"00000")</f>
        <v>00899</v>
      </c>
      <c r="AN10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6" t="str">
        <f>LEFT(_xlfn.TEXTBEFORE(Table1[[#This Row],[Location Identifier]],"-"),3) &amp; "-" &amp; _xlfn.TEXTAFTER(Table1[[#This Row],[Location Identifier]],"-")</f>
        <v>ANA-001</v>
      </c>
      <c r="AP106" s="9">
        <f t="shared" ca="1" si="10"/>
        <v>45869</v>
      </c>
    </row>
    <row r="107" spans="1:42" x14ac:dyDescent="0.25">
      <c r="A107">
        <v>41</v>
      </c>
      <c r="B107" t="s">
        <v>33</v>
      </c>
      <c r="C107">
        <v>2</v>
      </c>
      <c r="D107" t="s">
        <v>96</v>
      </c>
      <c r="E107" t="b">
        <v>1</v>
      </c>
      <c r="F107" s="1">
        <v>0.43680555555555556</v>
      </c>
      <c r="G107" s="1">
        <v>0.52569444444444446</v>
      </c>
      <c r="H107">
        <v>128</v>
      </c>
      <c r="I107" t="b">
        <v>1</v>
      </c>
      <c r="J107" t="b">
        <v>1</v>
      </c>
      <c r="K107" t="b">
        <v>1</v>
      </c>
      <c r="L107" t="s">
        <v>35</v>
      </c>
      <c r="M107">
        <v>30</v>
      </c>
      <c r="N107" t="s">
        <v>29</v>
      </c>
      <c r="O107">
        <v>30</v>
      </c>
      <c r="P107" t="s">
        <v>74</v>
      </c>
      <c r="Q107">
        <v>0.15</v>
      </c>
      <c r="R107">
        <v>25.5</v>
      </c>
      <c r="S107" t="s">
        <v>37</v>
      </c>
      <c r="T107" t="s">
        <v>38</v>
      </c>
      <c r="U107">
        <v>36.7378</v>
      </c>
      <c r="V107">
        <v>-119.7871</v>
      </c>
      <c r="W107" s="2">
        <v>45565</v>
      </c>
      <c r="X107">
        <v>7</v>
      </c>
      <c r="Y107" t="b">
        <v>0</v>
      </c>
      <c r="Z107" s="2">
        <v>45846</v>
      </c>
      <c r="AA107" t="str">
        <f t="shared" si="11"/>
        <v>40–49</v>
      </c>
      <c r="AB107" t="str">
        <f t="shared" si="12"/>
        <v>40–49</v>
      </c>
      <c r="AC107" t="str">
        <f t="shared" si="13"/>
        <v/>
      </c>
      <c r="AD107" t="str">
        <f t="shared" si="14"/>
        <v/>
      </c>
      <c r="AE107" t="str">
        <f t="shared" si="15"/>
        <v/>
      </c>
      <c r="AF107" t="str">
        <f t="shared" si="16"/>
        <v>Thursday</v>
      </c>
      <c r="AG107" t="str">
        <f t="shared" si="17"/>
        <v>Friday</v>
      </c>
      <c r="AH107" t="str">
        <f t="shared" si="18"/>
        <v/>
      </c>
      <c r="AI107" t="str">
        <f t="shared" si="19"/>
        <v/>
      </c>
      <c r="AJ107" t="str">
        <f>LEFT(Table1[[#This Row],[membership_type]],2)&amp;TEXT(Table1[[#This Row],[age]],"00")&amp;"-"&amp;TEXT(ROW(),"000")</f>
        <v>St41-107</v>
      </c>
      <c r="AK107" t="str">
        <f>LEFT(Table1[[#This Row],[membership_type]],1)&amp;TEXT(MATCH(Table1[[#This Row],[membership_type]],Table1[membership_type],0),"00")</f>
        <v>S02</v>
      </c>
      <c r="AL107" t="str">
        <f>LEFT(Table1[[#This Row],[discount_type]],1)&amp;TEXT(ROUND(Table1[[#This Row],[discount_rate]]*100,0),"00")</f>
        <v>S15</v>
      </c>
      <c r="AM107" t="str" cm="1">
        <f t="array" ref="AM107">TEXT(SUMPRODUCT(CODE(MID(Table1[[#This Row],[home_gym_location]],_xlfn.SEQUENCE(LEN(Table1[[#This Row],[home_gym_location]])),1))),"00000")</f>
        <v>00829</v>
      </c>
      <c r="AN107" t="str">
        <f>UPPER(_xlfn.TEXTBEFORE(Table1[[#This Row],[home_gym_location]],","))&amp;"-"&amp;TEXT(MATCH(Table1[[#This Row],[home_gym_location]],_xlfn._xlws.SORT(_xlfn.UNIQUE(Table1[home_gym_location])),0),"000")</f>
        <v>FRESNO-003</v>
      </c>
      <c r="AO107" t="str">
        <f>LEFT(_xlfn.TEXTBEFORE(Table1[[#This Row],[Location Identifier]],"-"),3) &amp; "-" &amp; _xlfn.TEXTAFTER(Table1[[#This Row],[Location Identifier]],"-")</f>
        <v>FRE-003</v>
      </c>
      <c r="AP107" s="9">
        <f t="shared" ca="1" si="10"/>
        <v>45869</v>
      </c>
    </row>
    <row r="108" spans="1:42" x14ac:dyDescent="0.25">
      <c r="A108">
        <v>13</v>
      </c>
      <c r="B108" t="s">
        <v>51</v>
      </c>
      <c r="C108">
        <v>5</v>
      </c>
      <c r="D108" t="s">
        <v>112</v>
      </c>
      <c r="E108" t="b">
        <v>1</v>
      </c>
      <c r="F108" s="1">
        <v>0.71736111111111112</v>
      </c>
      <c r="G108" s="1">
        <v>0.79166666666666663</v>
      </c>
      <c r="H108">
        <v>107</v>
      </c>
      <c r="I108" t="b">
        <v>0</v>
      </c>
      <c r="J108" t="b">
        <v>0</v>
      </c>
      <c r="K108" t="b">
        <v>0</v>
      </c>
      <c r="L108" t="s">
        <v>28</v>
      </c>
      <c r="M108">
        <v>70</v>
      </c>
      <c r="N108" t="s">
        <v>29</v>
      </c>
      <c r="O108">
        <v>70</v>
      </c>
      <c r="P108" t="s">
        <v>36</v>
      </c>
      <c r="Q108">
        <v>0</v>
      </c>
      <c r="R108">
        <v>70</v>
      </c>
      <c r="S108" t="s">
        <v>53</v>
      </c>
      <c r="T108" t="s">
        <v>56</v>
      </c>
      <c r="U108">
        <v>35.3733</v>
      </c>
      <c r="V108">
        <v>-119.0187</v>
      </c>
      <c r="W108" s="2">
        <v>45393</v>
      </c>
      <c r="X108">
        <v>0</v>
      </c>
      <c r="Y108" t="b">
        <v>0</v>
      </c>
      <c r="Z108" s="2">
        <v>45836</v>
      </c>
      <c r="AA108" t="str">
        <f t="shared" si="11"/>
        <v>10–19</v>
      </c>
      <c r="AB108" t="str">
        <f t="shared" si="12"/>
        <v>Under 16</v>
      </c>
      <c r="AC108" t="str">
        <f t="shared" si="13"/>
        <v>Monday</v>
      </c>
      <c r="AD108" t="str">
        <f t="shared" si="14"/>
        <v/>
      </c>
      <c r="AE108" t="str">
        <f t="shared" si="15"/>
        <v/>
      </c>
      <c r="AF108" t="str">
        <f t="shared" si="16"/>
        <v>Thursday</v>
      </c>
      <c r="AG108" t="str">
        <f t="shared" si="17"/>
        <v>Friday</v>
      </c>
      <c r="AH108" t="str">
        <f t="shared" si="18"/>
        <v>Saturday</v>
      </c>
      <c r="AI108" t="str">
        <f t="shared" si="19"/>
        <v>Sunday</v>
      </c>
      <c r="AJ108" t="str">
        <f>LEFT(Table1[[#This Row],[membership_type]],2)&amp;TEXT(Table1[[#This Row],[age]],"00")&amp;"-"&amp;TEXT(ROW(),"000")</f>
        <v>El13-108</v>
      </c>
      <c r="AK108" t="str">
        <f>LEFT(Table1[[#This Row],[membership_type]],1)&amp;TEXT(MATCH(Table1[[#This Row],[membership_type]],Table1[membership_type],0),"00")</f>
        <v>E07</v>
      </c>
      <c r="AL108" t="str">
        <f>LEFT(Table1[[#This Row],[discount_type]],1)&amp;TEXT(ROUND(Table1[[#This Row],[discount_rate]]*100,0),"00")</f>
        <v>N00</v>
      </c>
      <c r="AM108" t="str" cm="1">
        <f t="array" ref="AM108">TEXT(SUMPRODUCT(CODE(MID(Table1[[#This Row],[home_gym_location]],_xlfn.SEQUENCE(LEN(Table1[[#This Row],[home_gym_location]])),1))),"00000")</f>
        <v>01324</v>
      </c>
      <c r="AN10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8" t="str">
        <f>LEFT(_xlfn.TEXTBEFORE(Table1[[#This Row],[Location Identifier]],"-"),3) &amp; "-" &amp; _xlfn.TEXTAFTER(Table1[[#This Row],[Location Identifier]],"-")</f>
        <v>BAK-002</v>
      </c>
      <c r="AP108" s="9">
        <f t="shared" ca="1" si="10"/>
        <v>45869</v>
      </c>
    </row>
    <row r="109" spans="1:42" x14ac:dyDescent="0.25">
      <c r="A109">
        <v>30</v>
      </c>
      <c r="B109" t="s">
        <v>33</v>
      </c>
      <c r="C109">
        <v>3</v>
      </c>
      <c r="D109" t="s">
        <v>109</v>
      </c>
      <c r="E109" t="b">
        <v>0</v>
      </c>
      <c r="F109" s="1">
        <v>0.33680555555555558</v>
      </c>
      <c r="G109" s="1">
        <v>0.37916666666666665</v>
      </c>
      <c r="H109">
        <v>61</v>
      </c>
      <c r="I109" t="b">
        <v>1</v>
      </c>
      <c r="J109" t="b">
        <v>1</v>
      </c>
      <c r="K109" t="b">
        <v>0</v>
      </c>
      <c r="L109" t="s">
        <v>47</v>
      </c>
      <c r="M109">
        <v>30</v>
      </c>
      <c r="N109" t="s">
        <v>64</v>
      </c>
      <c r="O109">
        <v>22.5</v>
      </c>
      <c r="P109" t="s">
        <v>30</v>
      </c>
      <c r="Q109">
        <v>0.05</v>
      </c>
      <c r="R109">
        <v>21.375</v>
      </c>
      <c r="S109" t="s">
        <v>37</v>
      </c>
      <c r="T109" t="s">
        <v>65</v>
      </c>
      <c r="U109">
        <v>33.770099999999999</v>
      </c>
      <c r="V109">
        <v>-118.19370000000001</v>
      </c>
      <c r="W109" s="2">
        <v>45026</v>
      </c>
      <c r="X109">
        <v>2</v>
      </c>
      <c r="Y109" t="b">
        <v>0</v>
      </c>
      <c r="Z109" s="2">
        <v>45815</v>
      </c>
      <c r="AA109" t="str">
        <f t="shared" si="11"/>
        <v>30–39</v>
      </c>
      <c r="AB109" t="str">
        <f t="shared" si="12"/>
        <v>30–39</v>
      </c>
      <c r="AC109" t="str">
        <f t="shared" si="13"/>
        <v/>
      </c>
      <c r="AD109" t="str">
        <f t="shared" si="14"/>
        <v>Tuesday</v>
      </c>
      <c r="AE109" t="str">
        <f t="shared" si="15"/>
        <v/>
      </c>
      <c r="AF109" t="str">
        <f t="shared" si="16"/>
        <v>Thursday</v>
      </c>
      <c r="AG109" t="str">
        <f t="shared" si="17"/>
        <v>Friday</v>
      </c>
      <c r="AH109" t="str">
        <f t="shared" si="18"/>
        <v/>
      </c>
      <c r="AI109" t="str">
        <f t="shared" si="19"/>
        <v/>
      </c>
      <c r="AJ109" t="str">
        <f>LEFT(Table1[[#This Row],[membership_type]],2)&amp;TEXT(Table1[[#This Row],[age]],"00")&amp;"-"&amp;TEXT(ROW(),"000")</f>
        <v>St30-109</v>
      </c>
      <c r="AK109" t="str">
        <f>LEFT(Table1[[#This Row],[membership_type]],1)&amp;TEXT(MATCH(Table1[[#This Row],[membership_type]],Table1[membership_type],0),"00")</f>
        <v>S02</v>
      </c>
      <c r="AL109" t="str">
        <f>LEFT(Table1[[#This Row],[discount_type]],1)&amp;TEXT(ROUND(Table1[[#This Row],[discount_rate]]*100,0),"00")</f>
        <v>P05</v>
      </c>
      <c r="AM109" t="str" cm="1">
        <f t="array" ref="AM109">TEXT(SUMPRODUCT(CODE(MID(Table1[[#This Row],[home_gym_location]],_xlfn.SEQUENCE(LEN(Table1[[#This Row],[home_gym_location]])),1))),"00000")</f>
        <v>01107</v>
      </c>
      <c r="AN10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9" t="str">
        <f>LEFT(_xlfn.TEXTBEFORE(Table1[[#This Row],[Location Identifier]],"-"),3) &amp; "-" &amp; _xlfn.TEXTAFTER(Table1[[#This Row],[Location Identifier]],"-")</f>
        <v>LON-004</v>
      </c>
      <c r="AP109" s="9">
        <f t="shared" ca="1" si="10"/>
        <v>45869</v>
      </c>
    </row>
    <row r="110" spans="1:42" x14ac:dyDescent="0.25">
      <c r="A110">
        <v>16</v>
      </c>
      <c r="B110" t="s">
        <v>42</v>
      </c>
      <c r="C110">
        <v>2</v>
      </c>
      <c r="D110" t="s">
        <v>94</v>
      </c>
      <c r="E110" t="b">
        <v>0</v>
      </c>
      <c r="F110" s="1">
        <v>0.47847222222222224</v>
      </c>
      <c r="G110" s="1">
        <v>0.54374999999999996</v>
      </c>
      <c r="H110">
        <v>94</v>
      </c>
      <c r="I110" t="b">
        <v>1</v>
      </c>
      <c r="J110" t="b">
        <v>0</v>
      </c>
      <c r="K110" t="b">
        <v>1</v>
      </c>
      <c r="L110" t="s">
        <v>62</v>
      </c>
      <c r="M110">
        <v>20</v>
      </c>
      <c r="N110" t="s">
        <v>64</v>
      </c>
      <c r="O110">
        <v>15</v>
      </c>
      <c r="P110" t="s">
        <v>36</v>
      </c>
      <c r="Q110">
        <v>0</v>
      </c>
      <c r="R110">
        <v>15</v>
      </c>
      <c r="S110" t="s">
        <v>44</v>
      </c>
      <c r="T110" t="s">
        <v>59</v>
      </c>
      <c r="U110">
        <v>37.774900000000002</v>
      </c>
      <c r="V110">
        <v>-122.4194</v>
      </c>
      <c r="W110" s="2">
        <v>45587</v>
      </c>
      <c r="X110">
        <v>0</v>
      </c>
      <c r="Y110" t="b">
        <v>0</v>
      </c>
      <c r="Z110" s="2">
        <v>45847</v>
      </c>
      <c r="AA110" t="str">
        <f t="shared" si="11"/>
        <v>10–19</v>
      </c>
      <c r="AB110" t="str">
        <f t="shared" si="12"/>
        <v>16–19</v>
      </c>
      <c r="AC110" t="str">
        <f t="shared" si="13"/>
        <v/>
      </c>
      <c r="AD110" t="str">
        <f t="shared" si="14"/>
        <v/>
      </c>
      <c r="AE110" t="str">
        <f t="shared" si="15"/>
        <v/>
      </c>
      <c r="AF110" t="str">
        <f t="shared" si="16"/>
        <v/>
      </c>
      <c r="AG110" t="str">
        <f t="shared" si="17"/>
        <v/>
      </c>
      <c r="AH110" t="str">
        <f t="shared" si="18"/>
        <v>Saturday</v>
      </c>
      <c r="AI110" t="str">
        <f t="shared" si="19"/>
        <v>Sunday</v>
      </c>
      <c r="AJ110" t="str">
        <f>LEFT(Table1[[#This Row],[membership_type]],2)&amp;TEXT(Table1[[#This Row],[age]],"00")&amp;"-"&amp;TEXT(ROW(),"000")</f>
        <v>Ba16-110</v>
      </c>
      <c r="AK110" t="str">
        <f>LEFT(Table1[[#This Row],[membership_type]],1)&amp;TEXT(MATCH(Table1[[#This Row],[membership_type]],Table1[membership_type],0),"00")</f>
        <v>B04</v>
      </c>
      <c r="AL110" t="str">
        <f>LEFT(Table1[[#This Row],[discount_type]],1)&amp;TEXT(ROUND(Table1[[#This Row],[discount_rate]]*100,0),"00")</f>
        <v>N00</v>
      </c>
      <c r="AM110" t="str" cm="1">
        <f t="array" ref="AM110">TEXT(SUMPRODUCT(CODE(MID(Table1[[#This Row],[home_gym_location]],_xlfn.SEQUENCE(LEN(Table1[[#This Row],[home_gym_location]])),1))),"00000")</f>
        <v>01450</v>
      </c>
      <c r="AN11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0" t="str">
        <f>LEFT(_xlfn.TEXTBEFORE(Table1[[#This Row],[Location Identifier]],"-"),3) &amp; "-" &amp; _xlfn.TEXTAFTER(Table1[[#This Row],[Location Identifier]],"-")</f>
        <v>SAN-009</v>
      </c>
      <c r="AP110" s="9">
        <f t="shared" ca="1" si="10"/>
        <v>45869</v>
      </c>
    </row>
    <row r="111" spans="1:42" x14ac:dyDescent="0.25">
      <c r="A111">
        <v>24</v>
      </c>
      <c r="B111" t="s">
        <v>26</v>
      </c>
      <c r="C111">
        <v>4</v>
      </c>
      <c r="D111" t="s">
        <v>113</v>
      </c>
      <c r="E111" t="b">
        <v>0</v>
      </c>
      <c r="F111" s="1">
        <v>0.72013888888888888</v>
      </c>
      <c r="G111" s="1">
        <v>0.83680555555555558</v>
      </c>
      <c r="H111">
        <v>168</v>
      </c>
      <c r="I111" t="b">
        <v>1</v>
      </c>
      <c r="J111" t="b">
        <v>0</v>
      </c>
      <c r="K111" t="b">
        <v>0</v>
      </c>
      <c r="L111" t="s">
        <v>62</v>
      </c>
      <c r="M111">
        <v>50</v>
      </c>
      <c r="N111" t="s">
        <v>29</v>
      </c>
      <c r="O111">
        <v>50</v>
      </c>
      <c r="P111" t="s">
        <v>74</v>
      </c>
      <c r="Q111">
        <v>0.15</v>
      </c>
      <c r="R111">
        <v>42.5</v>
      </c>
      <c r="S111" t="s">
        <v>31</v>
      </c>
      <c r="T111" t="s">
        <v>65</v>
      </c>
      <c r="U111">
        <v>33.770099999999999</v>
      </c>
      <c r="V111">
        <v>-118.19370000000001</v>
      </c>
      <c r="W111" s="2">
        <v>45749</v>
      </c>
      <c r="X111">
        <v>0</v>
      </c>
      <c r="Y111" t="b">
        <v>1</v>
      </c>
      <c r="Z111" s="2">
        <v>45856</v>
      </c>
      <c r="AA111" t="str">
        <f t="shared" si="11"/>
        <v>20–29</v>
      </c>
      <c r="AB111" t="str">
        <f t="shared" si="12"/>
        <v>20–29</v>
      </c>
      <c r="AC111" t="str">
        <f t="shared" si="13"/>
        <v>Monday</v>
      </c>
      <c r="AD111" t="str">
        <f t="shared" si="14"/>
        <v/>
      </c>
      <c r="AE111" t="str">
        <f t="shared" si="15"/>
        <v/>
      </c>
      <c r="AF111" t="str">
        <f t="shared" si="16"/>
        <v>Thursday</v>
      </c>
      <c r="AG111" t="str">
        <f t="shared" si="17"/>
        <v/>
      </c>
      <c r="AH111" t="str">
        <f t="shared" si="18"/>
        <v>Saturday</v>
      </c>
      <c r="AI111" t="str">
        <f t="shared" si="19"/>
        <v>Sunday</v>
      </c>
      <c r="AJ111" t="str">
        <f>LEFT(Table1[[#This Row],[membership_type]],2)&amp;TEXT(Table1[[#This Row],[age]],"00")&amp;"-"&amp;TEXT(ROW(),"000")</f>
        <v>Pr24-111</v>
      </c>
      <c r="AK111" t="str">
        <f>LEFT(Table1[[#This Row],[membership_type]],1)&amp;TEXT(MATCH(Table1[[#This Row],[membership_type]],Table1[membership_type],0),"00")</f>
        <v>P01</v>
      </c>
      <c r="AL111" t="str">
        <f>LEFT(Table1[[#This Row],[discount_type]],1)&amp;TEXT(ROUND(Table1[[#This Row],[discount_rate]]*100,0),"00")</f>
        <v>S15</v>
      </c>
      <c r="AM111" t="str" cm="1">
        <f t="array" ref="AM111">TEXT(SUMPRODUCT(CODE(MID(Table1[[#This Row],[home_gym_location]],_xlfn.SEQUENCE(LEN(Table1[[#This Row],[home_gym_location]])),1))),"00000")</f>
        <v>01107</v>
      </c>
      <c r="AN11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1" t="str">
        <f>LEFT(_xlfn.TEXTBEFORE(Table1[[#This Row],[Location Identifier]],"-"),3) &amp; "-" &amp; _xlfn.TEXTAFTER(Table1[[#This Row],[Location Identifier]],"-")</f>
        <v>LON-004</v>
      </c>
      <c r="AP111" s="9">
        <f t="shared" ca="1" si="10"/>
        <v>45869</v>
      </c>
    </row>
    <row r="112" spans="1:42" x14ac:dyDescent="0.25">
      <c r="A112">
        <v>13</v>
      </c>
      <c r="B112" t="s">
        <v>33</v>
      </c>
      <c r="C112">
        <v>3</v>
      </c>
      <c r="D112" t="s">
        <v>114</v>
      </c>
      <c r="E112" t="b">
        <v>0</v>
      </c>
      <c r="F112" s="1">
        <v>0.56666666666666665</v>
      </c>
      <c r="G112" s="1">
        <v>0.58888888888888891</v>
      </c>
      <c r="H112">
        <v>32</v>
      </c>
      <c r="I112" t="b">
        <v>0</v>
      </c>
      <c r="J112" t="b">
        <v>1</v>
      </c>
      <c r="K112" t="b">
        <v>0</v>
      </c>
      <c r="L112" t="s">
        <v>28</v>
      </c>
      <c r="M112">
        <v>30</v>
      </c>
      <c r="N112" t="s">
        <v>29</v>
      </c>
      <c r="O112">
        <v>30</v>
      </c>
      <c r="P112" t="s">
        <v>36</v>
      </c>
      <c r="Q112">
        <v>0</v>
      </c>
      <c r="R112">
        <v>30</v>
      </c>
      <c r="S112" t="s">
        <v>37</v>
      </c>
      <c r="T112" t="s">
        <v>41</v>
      </c>
      <c r="U112">
        <v>37.804400000000001</v>
      </c>
      <c r="V112">
        <v>-122.27119999999999</v>
      </c>
      <c r="W112" s="2">
        <v>45522</v>
      </c>
      <c r="X112">
        <v>5</v>
      </c>
      <c r="Y112" t="b">
        <v>0</v>
      </c>
      <c r="Z112" s="2">
        <v>45843</v>
      </c>
      <c r="AA112" t="str">
        <f t="shared" si="11"/>
        <v>10–19</v>
      </c>
      <c r="AB112" t="str">
        <f t="shared" si="12"/>
        <v>Under 16</v>
      </c>
      <c r="AC112" t="str">
        <f t="shared" si="13"/>
        <v>Monday</v>
      </c>
      <c r="AD112" t="str">
        <f t="shared" si="14"/>
        <v>Tuesday</v>
      </c>
      <c r="AE112" t="str">
        <f t="shared" si="15"/>
        <v>Wednesday</v>
      </c>
      <c r="AF112" t="str">
        <f t="shared" si="16"/>
        <v/>
      </c>
      <c r="AG112" t="str">
        <f t="shared" si="17"/>
        <v/>
      </c>
      <c r="AH112" t="str">
        <f t="shared" si="18"/>
        <v/>
      </c>
      <c r="AI112" t="str">
        <f t="shared" si="19"/>
        <v/>
      </c>
      <c r="AJ112" t="str">
        <f>LEFT(Table1[[#This Row],[membership_type]],2)&amp;TEXT(Table1[[#This Row],[age]],"00")&amp;"-"&amp;TEXT(ROW(),"000")</f>
        <v>St13-112</v>
      </c>
      <c r="AK112" t="str">
        <f>LEFT(Table1[[#This Row],[membership_type]],1)&amp;TEXT(MATCH(Table1[[#This Row],[membership_type]],Table1[membership_type],0),"00")</f>
        <v>S02</v>
      </c>
      <c r="AL112" t="str">
        <f>LEFT(Table1[[#This Row],[discount_type]],1)&amp;TEXT(ROUND(Table1[[#This Row],[discount_rate]]*100,0),"00")</f>
        <v>N00</v>
      </c>
      <c r="AM112" t="str" cm="1">
        <f t="array" ref="AM112">TEXT(SUMPRODUCT(CODE(MID(Table1[[#This Row],[home_gym_location]],_xlfn.SEQUENCE(LEN(Table1[[#This Row],[home_gym_location]])),1))),"00000")</f>
        <v>00906</v>
      </c>
      <c r="AN11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2" t="str">
        <f>LEFT(_xlfn.TEXTBEFORE(Table1[[#This Row],[Location Identifier]],"-"),3) &amp; "-" &amp; _xlfn.TEXTAFTER(Table1[[#This Row],[Location Identifier]],"-")</f>
        <v>OAK-006</v>
      </c>
      <c r="AP112" s="9">
        <f t="shared" ca="1" si="10"/>
        <v>45869</v>
      </c>
    </row>
    <row r="113" spans="1:42" x14ac:dyDescent="0.25">
      <c r="A113">
        <v>17</v>
      </c>
      <c r="B113" t="s">
        <v>26</v>
      </c>
      <c r="C113">
        <v>5</v>
      </c>
      <c r="D113" t="s">
        <v>115</v>
      </c>
      <c r="E113" t="b">
        <v>1</v>
      </c>
      <c r="F113" s="1">
        <v>0.57638888888888884</v>
      </c>
      <c r="G113" s="1">
        <v>0.60347222222222219</v>
      </c>
      <c r="H113">
        <v>39</v>
      </c>
      <c r="I113" t="b">
        <v>1</v>
      </c>
      <c r="J113" t="b">
        <v>1</v>
      </c>
      <c r="K113" t="b">
        <v>1</v>
      </c>
      <c r="L113" t="s">
        <v>62</v>
      </c>
      <c r="M113">
        <v>50</v>
      </c>
      <c r="N113" t="s">
        <v>78</v>
      </c>
      <c r="O113">
        <v>45</v>
      </c>
      <c r="P113" t="s">
        <v>74</v>
      </c>
      <c r="Q113">
        <v>0.15</v>
      </c>
      <c r="R113">
        <v>38.25</v>
      </c>
      <c r="S113" t="s">
        <v>31</v>
      </c>
      <c r="T113" t="s">
        <v>48</v>
      </c>
      <c r="U113">
        <v>38.581600000000002</v>
      </c>
      <c r="V113">
        <v>-121.4944</v>
      </c>
      <c r="W113" s="2">
        <v>45659</v>
      </c>
      <c r="X113">
        <v>8</v>
      </c>
      <c r="Y113" t="b">
        <v>1</v>
      </c>
      <c r="Z113" s="2">
        <v>45851</v>
      </c>
      <c r="AA113" t="str">
        <f t="shared" si="11"/>
        <v>10–19</v>
      </c>
      <c r="AB113" t="str">
        <f t="shared" si="12"/>
        <v>16–19</v>
      </c>
      <c r="AC113" t="str">
        <f t="shared" si="13"/>
        <v>Monday</v>
      </c>
      <c r="AD113" t="str">
        <f t="shared" si="14"/>
        <v/>
      </c>
      <c r="AE113" t="str">
        <f t="shared" si="15"/>
        <v>Wednesday</v>
      </c>
      <c r="AF113" t="str">
        <f t="shared" si="16"/>
        <v/>
      </c>
      <c r="AG113" t="str">
        <f t="shared" si="17"/>
        <v>Friday</v>
      </c>
      <c r="AH113" t="str">
        <f t="shared" si="18"/>
        <v>Saturday</v>
      </c>
      <c r="AI113" t="str">
        <f t="shared" si="19"/>
        <v>Sunday</v>
      </c>
      <c r="AJ113" t="str">
        <f>LEFT(Table1[[#This Row],[membership_type]],2)&amp;TEXT(Table1[[#This Row],[age]],"00")&amp;"-"&amp;TEXT(ROW(),"000")</f>
        <v>Pr17-113</v>
      </c>
      <c r="AK113" t="str">
        <f>LEFT(Table1[[#This Row],[membership_type]],1)&amp;TEXT(MATCH(Table1[[#This Row],[membership_type]],Table1[membership_type],0),"00")</f>
        <v>P01</v>
      </c>
      <c r="AL113" t="str">
        <f>LEFT(Table1[[#This Row],[discount_type]],1)&amp;TEXT(ROUND(Table1[[#This Row],[discount_rate]]*100,0),"00")</f>
        <v>S15</v>
      </c>
      <c r="AM113" t="str" cm="1">
        <f t="array" ref="AM113">TEXT(SUMPRODUCT(CODE(MID(Table1[[#This Row],[home_gym_location]],_xlfn.SEQUENCE(LEN(Table1[[#This Row],[home_gym_location]])),1))),"00000")</f>
        <v>01245</v>
      </c>
      <c r="AN11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3" t="str">
        <f>LEFT(_xlfn.TEXTBEFORE(Table1[[#This Row],[Location Identifier]],"-"),3) &amp; "-" &amp; _xlfn.TEXTAFTER(Table1[[#This Row],[Location Identifier]],"-")</f>
        <v>SAC-007</v>
      </c>
      <c r="AP113" s="9">
        <f t="shared" ca="1" si="10"/>
        <v>45869</v>
      </c>
    </row>
    <row r="114" spans="1:42" x14ac:dyDescent="0.25">
      <c r="A114">
        <v>39</v>
      </c>
      <c r="B114" t="s">
        <v>51</v>
      </c>
      <c r="C114">
        <v>2</v>
      </c>
      <c r="D114" t="s">
        <v>116</v>
      </c>
      <c r="E114" t="b">
        <v>0</v>
      </c>
      <c r="F114" s="1">
        <v>0.53680555555555554</v>
      </c>
      <c r="G114" s="1">
        <v>0.62083333333333335</v>
      </c>
      <c r="H114">
        <v>121</v>
      </c>
      <c r="I114" t="b">
        <v>0</v>
      </c>
      <c r="J114" t="b">
        <v>1</v>
      </c>
      <c r="K114" t="b">
        <v>0</v>
      </c>
      <c r="L114" t="s">
        <v>62</v>
      </c>
      <c r="M114">
        <v>70</v>
      </c>
      <c r="N114" t="s">
        <v>29</v>
      </c>
      <c r="O114">
        <v>70</v>
      </c>
      <c r="P114" t="s">
        <v>36</v>
      </c>
      <c r="Q114">
        <v>0</v>
      </c>
      <c r="R114">
        <v>70</v>
      </c>
      <c r="S114" t="s">
        <v>53</v>
      </c>
      <c r="T114" t="s">
        <v>50</v>
      </c>
      <c r="U114">
        <v>34.052199999999999</v>
      </c>
      <c r="V114">
        <v>-118.2437</v>
      </c>
      <c r="W114" s="2">
        <v>44840</v>
      </c>
      <c r="X114">
        <v>1</v>
      </c>
      <c r="Y114" t="b">
        <v>1</v>
      </c>
      <c r="Z114" s="2">
        <v>45805</v>
      </c>
      <c r="AA114" t="str">
        <f t="shared" si="11"/>
        <v>30–39</v>
      </c>
      <c r="AB114" t="str">
        <f t="shared" si="12"/>
        <v>30–39</v>
      </c>
      <c r="AC114" t="str">
        <f t="shared" si="13"/>
        <v/>
      </c>
      <c r="AD114" t="str">
        <f t="shared" si="14"/>
        <v/>
      </c>
      <c r="AE114" t="str">
        <f t="shared" si="15"/>
        <v/>
      </c>
      <c r="AF114" t="str">
        <f t="shared" si="16"/>
        <v>Thursday</v>
      </c>
      <c r="AG114" t="str">
        <f t="shared" si="17"/>
        <v/>
      </c>
      <c r="AH114" t="str">
        <f t="shared" si="18"/>
        <v/>
      </c>
      <c r="AI114" t="str">
        <f t="shared" si="19"/>
        <v>Sunday</v>
      </c>
      <c r="AJ114" t="str">
        <f>LEFT(Table1[[#This Row],[membership_type]],2)&amp;TEXT(Table1[[#This Row],[age]],"00")&amp;"-"&amp;TEXT(ROW(),"000")</f>
        <v>El39-114</v>
      </c>
      <c r="AK114" t="str">
        <f>LEFT(Table1[[#This Row],[membership_type]],1)&amp;TEXT(MATCH(Table1[[#This Row],[membership_type]],Table1[membership_type],0),"00")</f>
        <v>E07</v>
      </c>
      <c r="AL114" t="str">
        <f>LEFT(Table1[[#This Row],[discount_type]],1)&amp;TEXT(ROUND(Table1[[#This Row],[discount_rate]]*100,0),"00")</f>
        <v>N00</v>
      </c>
      <c r="AM114" t="str" cm="1">
        <f t="array" ref="AM114">TEXT(SUMPRODUCT(CODE(MID(Table1[[#This Row],[home_gym_location]],_xlfn.SEQUENCE(LEN(Table1[[#This Row],[home_gym_location]])),1))),"00000")</f>
        <v>01245</v>
      </c>
      <c r="AN11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4" t="str">
        <f>LEFT(_xlfn.TEXTBEFORE(Table1[[#This Row],[Location Identifier]],"-"),3) &amp; "-" &amp; _xlfn.TEXTAFTER(Table1[[#This Row],[Location Identifier]],"-")</f>
        <v>LOS-005</v>
      </c>
      <c r="AP114" s="9">
        <f t="shared" ca="1" si="10"/>
        <v>45869</v>
      </c>
    </row>
    <row r="115" spans="1:42" x14ac:dyDescent="0.25">
      <c r="A115">
        <v>26</v>
      </c>
      <c r="B115" t="s">
        <v>26</v>
      </c>
      <c r="C115">
        <v>5</v>
      </c>
      <c r="D115" t="s">
        <v>87</v>
      </c>
      <c r="E115" t="b">
        <v>1</v>
      </c>
      <c r="F115" s="1">
        <v>0.6645833333333333</v>
      </c>
      <c r="G115" s="1">
        <v>0.73472222222222228</v>
      </c>
      <c r="H115">
        <v>101</v>
      </c>
      <c r="I115" t="b">
        <v>0</v>
      </c>
      <c r="J115" t="b">
        <v>0</v>
      </c>
      <c r="K115" t="b">
        <v>1</v>
      </c>
      <c r="L115" t="s">
        <v>28</v>
      </c>
      <c r="M115">
        <v>50</v>
      </c>
      <c r="N115" t="s">
        <v>29</v>
      </c>
      <c r="O115">
        <v>50</v>
      </c>
      <c r="P115" t="s">
        <v>40</v>
      </c>
      <c r="Q115">
        <v>0.1</v>
      </c>
      <c r="R115">
        <v>45</v>
      </c>
      <c r="S115" t="s">
        <v>31</v>
      </c>
      <c r="T115" t="s">
        <v>41</v>
      </c>
      <c r="U115">
        <v>37.804400000000001</v>
      </c>
      <c r="V115">
        <v>-122.27119999999999</v>
      </c>
      <c r="W115" s="2">
        <v>44970</v>
      </c>
      <c r="X115">
        <v>0</v>
      </c>
      <c r="Y115" t="b">
        <v>1</v>
      </c>
      <c r="Z115" s="2">
        <v>45812</v>
      </c>
      <c r="AA115" t="str">
        <f t="shared" si="11"/>
        <v>20–29</v>
      </c>
      <c r="AB115" t="str">
        <f t="shared" si="12"/>
        <v>20–29</v>
      </c>
      <c r="AC115" t="str">
        <f t="shared" si="13"/>
        <v/>
      </c>
      <c r="AD115" t="str">
        <f t="shared" si="14"/>
        <v>Tuesday</v>
      </c>
      <c r="AE115" t="str">
        <f t="shared" si="15"/>
        <v>Wednesday</v>
      </c>
      <c r="AF115" t="str">
        <f t="shared" si="16"/>
        <v/>
      </c>
      <c r="AG115" t="str">
        <f t="shared" si="17"/>
        <v>Friday</v>
      </c>
      <c r="AH115" t="str">
        <f t="shared" si="18"/>
        <v>Saturday</v>
      </c>
      <c r="AI115" t="str">
        <f t="shared" si="19"/>
        <v>Sunday</v>
      </c>
      <c r="AJ115" t="str">
        <f>LEFT(Table1[[#This Row],[membership_type]],2)&amp;TEXT(Table1[[#This Row],[age]],"00")&amp;"-"&amp;TEXT(ROW(),"000")</f>
        <v>Pr26-115</v>
      </c>
      <c r="AK115" t="str">
        <f>LEFT(Table1[[#This Row],[membership_type]],1)&amp;TEXT(MATCH(Table1[[#This Row],[membership_type]],Table1[membership_type],0),"00")</f>
        <v>P01</v>
      </c>
      <c r="AL115" t="str">
        <f>LEFT(Table1[[#This Row],[discount_type]],1)&amp;TEXT(ROUND(Table1[[#This Row],[discount_rate]]*100,0),"00")</f>
        <v>L10</v>
      </c>
      <c r="AM115" t="str" cm="1">
        <f t="array" ref="AM115">TEXT(SUMPRODUCT(CODE(MID(Table1[[#This Row],[home_gym_location]],_xlfn.SEQUENCE(LEN(Table1[[#This Row],[home_gym_location]])),1))),"00000")</f>
        <v>00906</v>
      </c>
      <c r="AN11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5" t="str">
        <f>LEFT(_xlfn.TEXTBEFORE(Table1[[#This Row],[Location Identifier]],"-"),3) &amp; "-" &amp; _xlfn.TEXTAFTER(Table1[[#This Row],[Location Identifier]],"-")</f>
        <v>OAK-006</v>
      </c>
      <c r="AP115" s="9">
        <f t="shared" ca="1" si="10"/>
        <v>45869</v>
      </c>
    </row>
    <row r="116" spans="1:42" x14ac:dyDescent="0.25">
      <c r="A116">
        <v>31</v>
      </c>
      <c r="B116" t="s">
        <v>42</v>
      </c>
      <c r="C116">
        <v>2</v>
      </c>
      <c r="D116" t="s">
        <v>88</v>
      </c>
      <c r="E116" t="b">
        <v>0</v>
      </c>
      <c r="F116" s="1">
        <v>0.57499999999999996</v>
      </c>
      <c r="G116" s="1">
        <v>0.6958333333333333</v>
      </c>
      <c r="H116">
        <v>174</v>
      </c>
      <c r="I116" t="b">
        <v>0</v>
      </c>
      <c r="J116" t="b">
        <v>0</v>
      </c>
      <c r="K116" t="b">
        <v>0</v>
      </c>
      <c r="L116" t="s">
        <v>28</v>
      </c>
      <c r="M116">
        <v>20</v>
      </c>
      <c r="N116" t="s">
        <v>29</v>
      </c>
      <c r="O116">
        <v>20</v>
      </c>
      <c r="P116" t="s">
        <v>36</v>
      </c>
      <c r="Q116">
        <v>0</v>
      </c>
      <c r="R116">
        <v>20</v>
      </c>
      <c r="S116" t="s">
        <v>44</v>
      </c>
      <c r="T116" t="s">
        <v>48</v>
      </c>
      <c r="U116">
        <v>38.581600000000002</v>
      </c>
      <c r="V116">
        <v>-121.4944</v>
      </c>
      <c r="W116" s="2">
        <v>45156</v>
      </c>
      <c r="X116">
        <v>0</v>
      </c>
      <c r="Y116" t="b">
        <v>0</v>
      </c>
      <c r="Z116" s="2">
        <v>45822</v>
      </c>
      <c r="AA116" t="str">
        <f t="shared" si="11"/>
        <v>30–39</v>
      </c>
      <c r="AB116" t="str">
        <f t="shared" si="12"/>
        <v>30–39</v>
      </c>
      <c r="AC116" t="str">
        <f t="shared" si="13"/>
        <v>Monday</v>
      </c>
      <c r="AD116" t="str">
        <f t="shared" si="14"/>
        <v/>
      </c>
      <c r="AE116" t="str">
        <f t="shared" si="15"/>
        <v>Wednesday</v>
      </c>
      <c r="AF116" t="str">
        <f t="shared" si="16"/>
        <v/>
      </c>
      <c r="AG116" t="str">
        <f t="shared" si="17"/>
        <v/>
      </c>
      <c r="AH116" t="str">
        <f t="shared" si="18"/>
        <v/>
      </c>
      <c r="AI116" t="str">
        <f t="shared" si="19"/>
        <v/>
      </c>
      <c r="AJ116" t="str">
        <f>LEFT(Table1[[#This Row],[membership_type]],2)&amp;TEXT(Table1[[#This Row],[age]],"00")&amp;"-"&amp;TEXT(ROW(),"000")</f>
        <v>Ba31-116</v>
      </c>
      <c r="AK116" t="str">
        <f>LEFT(Table1[[#This Row],[membership_type]],1)&amp;TEXT(MATCH(Table1[[#This Row],[membership_type]],Table1[membership_type],0),"00")</f>
        <v>B04</v>
      </c>
      <c r="AL116" t="str">
        <f>LEFT(Table1[[#This Row],[discount_type]],1)&amp;TEXT(ROUND(Table1[[#This Row],[discount_rate]]*100,0),"00")</f>
        <v>N00</v>
      </c>
      <c r="AM116" t="str" cm="1">
        <f t="array" ref="AM116">TEXT(SUMPRODUCT(CODE(MID(Table1[[#This Row],[home_gym_location]],_xlfn.SEQUENCE(LEN(Table1[[#This Row],[home_gym_location]])),1))),"00000")</f>
        <v>01245</v>
      </c>
      <c r="AN11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6" t="str">
        <f>LEFT(_xlfn.TEXTBEFORE(Table1[[#This Row],[Location Identifier]],"-"),3) &amp; "-" &amp; _xlfn.TEXTAFTER(Table1[[#This Row],[Location Identifier]],"-")</f>
        <v>SAC-007</v>
      </c>
      <c r="AP116" s="9">
        <f t="shared" ca="1" si="10"/>
        <v>45869</v>
      </c>
    </row>
    <row r="117" spans="1:42" x14ac:dyDescent="0.25">
      <c r="A117">
        <v>42</v>
      </c>
      <c r="B117" t="s">
        <v>42</v>
      </c>
      <c r="C117">
        <v>3</v>
      </c>
      <c r="D117" t="s">
        <v>117</v>
      </c>
      <c r="E117" t="b">
        <v>0</v>
      </c>
      <c r="F117" s="1">
        <v>0.56388888888888888</v>
      </c>
      <c r="G117" s="1">
        <v>0.62222222222222223</v>
      </c>
      <c r="H117">
        <v>84</v>
      </c>
      <c r="I117" t="b">
        <v>0</v>
      </c>
      <c r="J117" t="b">
        <v>1</v>
      </c>
      <c r="K117" t="b">
        <v>1</v>
      </c>
      <c r="L117" t="s">
        <v>62</v>
      </c>
      <c r="M117">
        <v>20</v>
      </c>
      <c r="N117" t="s">
        <v>29</v>
      </c>
      <c r="O117">
        <v>20</v>
      </c>
      <c r="P117" t="s">
        <v>40</v>
      </c>
      <c r="Q117">
        <v>0.1</v>
      </c>
      <c r="R117">
        <v>18</v>
      </c>
      <c r="S117" t="s">
        <v>44</v>
      </c>
      <c r="T117" t="s">
        <v>45</v>
      </c>
      <c r="U117">
        <v>33.836599999999997</v>
      </c>
      <c r="V117">
        <v>-117.9143</v>
      </c>
      <c r="W117" s="2">
        <v>44902</v>
      </c>
      <c r="X117">
        <v>3</v>
      </c>
      <c r="Y117" t="b">
        <v>1</v>
      </c>
      <c r="Z117" s="2">
        <v>45808</v>
      </c>
      <c r="AA117" t="str">
        <f t="shared" si="11"/>
        <v>40–49</v>
      </c>
      <c r="AB117" t="str">
        <f t="shared" si="12"/>
        <v>40–49</v>
      </c>
      <c r="AC117" t="str">
        <f t="shared" si="13"/>
        <v/>
      </c>
      <c r="AD117" t="str">
        <f t="shared" si="14"/>
        <v/>
      </c>
      <c r="AE117" t="str">
        <f t="shared" si="15"/>
        <v>Wednesday</v>
      </c>
      <c r="AF117" t="str">
        <f t="shared" si="16"/>
        <v>Thursday</v>
      </c>
      <c r="AG117" t="str">
        <f t="shared" si="17"/>
        <v/>
      </c>
      <c r="AH117" t="str">
        <f t="shared" si="18"/>
        <v/>
      </c>
      <c r="AI117" t="str">
        <f t="shared" si="19"/>
        <v>Sunday</v>
      </c>
      <c r="AJ117" t="str">
        <f>LEFT(Table1[[#This Row],[membership_type]],2)&amp;TEXT(Table1[[#This Row],[age]],"00")&amp;"-"&amp;TEXT(ROW(),"000")</f>
        <v>Ba42-117</v>
      </c>
      <c r="AK117" t="str">
        <f>LEFT(Table1[[#This Row],[membership_type]],1)&amp;TEXT(MATCH(Table1[[#This Row],[membership_type]],Table1[membership_type],0),"00")</f>
        <v>B04</v>
      </c>
      <c r="AL117" t="str">
        <f>LEFT(Table1[[#This Row],[discount_type]],1)&amp;TEXT(ROUND(Table1[[#This Row],[discount_rate]]*100,0),"00")</f>
        <v>L10</v>
      </c>
      <c r="AM117" t="str" cm="1">
        <f t="array" ref="AM117">TEXT(SUMPRODUCT(CODE(MID(Table1[[#This Row],[home_gym_location]],_xlfn.SEQUENCE(LEN(Table1[[#This Row],[home_gym_location]])),1))),"00000")</f>
        <v>00899</v>
      </c>
      <c r="AN11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7" t="str">
        <f>LEFT(_xlfn.TEXTBEFORE(Table1[[#This Row],[Location Identifier]],"-"),3) &amp; "-" &amp; _xlfn.TEXTAFTER(Table1[[#This Row],[Location Identifier]],"-")</f>
        <v>ANA-001</v>
      </c>
      <c r="AP117" s="9">
        <f t="shared" ca="1" si="10"/>
        <v>45869</v>
      </c>
    </row>
    <row r="118" spans="1:42" x14ac:dyDescent="0.25">
      <c r="A118">
        <v>29</v>
      </c>
      <c r="B118" t="s">
        <v>26</v>
      </c>
      <c r="C118">
        <v>5</v>
      </c>
      <c r="D118" t="s">
        <v>118</v>
      </c>
      <c r="E118" t="b">
        <v>1</v>
      </c>
      <c r="F118" s="1">
        <v>0.40138888888888891</v>
      </c>
      <c r="G118" s="1">
        <v>0.44374999999999998</v>
      </c>
      <c r="H118">
        <v>61</v>
      </c>
      <c r="I118" t="b">
        <v>0</v>
      </c>
      <c r="J118" t="b">
        <v>0</v>
      </c>
      <c r="K118" t="b">
        <v>1</v>
      </c>
      <c r="L118" t="s">
        <v>62</v>
      </c>
      <c r="M118">
        <v>50</v>
      </c>
      <c r="N118" t="s">
        <v>64</v>
      </c>
      <c r="O118">
        <v>37.5</v>
      </c>
      <c r="P118" t="s">
        <v>74</v>
      </c>
      <c r="Q118">
        <v>0.15</v>
      </c>
      <c r="R118">
        <v>31.875</v>
      </c>
      <c r="S118" t="s">
        <v>31</v>
      </c>
      <c r="T118" t="s">
        <v>50</v>
      </c>
      <c r="U118">
        <v>34.052199999999999</v>
      </c>
      <c r="V118">
        <v>-118.2437</v>
      </c>
      <c r="W118" s="2">
        <v>44975</v>
      </c>
      <c r="X118">
        <v>0</v>
      </c>
      <c r="Y118" t="b">
        <v>1</v>
      </c>
      <c r="Z118" s="2">
        <v>45812</v>
      </c>
      <c r="AA118" t="str">
        <f t="shared" si="11"/>
        <v>20–29</v>
      </c>
      <c r="AB118" t="str">
        <f t="shared" si="12"/>
        <v>20–29</v>
      </c>
      <c r="AC118" t="str">
        <f t="shared" si="13"/>
        <v>Monday</v>
      </c>
      <c r="AD118" t="str">
        <f t="shared" si="14"/>
        <v/>
      </c>
      <c r="AE118" t="str">
        <f t="shared" si="15"/>
        <v>Wednesday</v>
      </c>
      <c r="AF118" t="str">
        <f t="shared" si="16"/>
        <v>Thursday</v>
      </c>
      <c r="AG118" t="str">
        <f t="shared" si="17"/>
        <v>Friday</v>
      </c>
      <c r="AH118" t="str">
        <f t="shared" si="18"/>
        <v>Saturday</v>
      </c>
      <c r="AI118" t="str">
        <f t="shared" si="19"/>
        <v/>
      </c>
      <c r="AJ118" t="str">
        <f>LEFT(Table1[[#This Row],[membership_type]],2)&amp;TEXT(Table1[[#This Row],[age]],"00")&amp;"-"&amp;TEXT(ROW(),"000")</f>
        <v>Pr29-118</v>
      </c>
      <c r="AK118" t="str">
        <f>LEFT(Table1[[#This Row],[membership_type]],1)&amp;TEXT(MATCH(Table1[[#This Row],[membership_type]],Table1[membership_type],0),"00")</f>
        <v>P01</v>
      </c>
      <c r="AL118" t="str">
        <f>LEFT(Table1[[#This Row],[discount_type]],1)&amp;TEXT(ROUND(Table1[[#This Row],[discount_rate]]*100,0),"00")</f>
        <v>S15</v>
      </c>
      <c r="AM118" t="str" cm="1">
        <f t="array" ref="AM118">TEXT(SUMPRODUCT(CODE(MID(Table1[[#This Row],[home_gym_location]],_xlfn.SEQUENCE(LEN(Table1[[#This Row],[home_gym_location]])),1))),"00000")</f>
        <v>01245</v>
      </c>
      <c r="AN11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8" t="str">
        <f>LEFT(_xlfn.TEXTBEFORE(Table1[[#This Row],[Location Identifier]],"-"),3) &amp; "-" &amp; _xlfn.TEXTAFTER(Table1[[#This Row],[Location Identifier]],"-")</f>
        <v>LOS-005</v>
      </c>
      <c r="AP118" s="9">
        <f t="shared" ca="1" si="10"/>
        <v>45869</v>
      </c>
    </row>
    <row r="119" spans="1:42" x14ac:dyDescent="0.25">
      <c r="A119">
        <v>40</v>
      </c>
      <c r="B119" t="s">
        <v>26</v>
      </c>
      <c r="C119">
        <v>3</v>
      </c>
      <c r="D119" t="s">
        <v>93</v>
      </c>
      <c r="E119" t="b">
        <v>0</v>
      </c>
      <c r="F119" s="1">
        <v>0.81805555555555554</v>
      </c>
      <c r="G119" s="1">
        <v>0.88194444444444442</v>
      </c>
      <c r="H119">
        <v>92</v>
      </c>
      <c r="I119" t="b">
        <v>1</v>
      </c>
      <c r="J119" t="b">
        <v>1</v>
      </c>
      <c r="K119" t="b">
        <v>1</v>
      </c>
      <c r="L119" t="s">
        <v>28</v>
      </c>
      <c r="M119">
        <v>50</v>
      </c>
      <c r="N119" t="s">
        <v>29</v>
      </c>
      <c r="O119">
        <v>50</v>
      </c>
      <c r="P119" t="s">
        <v>36</v>
      </c>
      <c r="Q119">
        <v>0</v>
      </c>
      <c r="R119">
        <v>50</v>
      </c>
      <c r="S119" t="s">
        <v>31</v>
      </c>
      <c r="T119" t="s">
        <v>65</v>
      </c>
      <c r="U119">
        <v>33.770099999999999</v>
      </c>
      <c r="V119">
        <v>-118.19370000000001</v>
      </c>
      <c r="W119" s="2">
        <v>45632</v>
      </c>
      <c r="X119">
        <v>3</v>
      </c>
      <c r="Y119" t="b">
        <v>1</v>
      </c>
      <c r="Z119" s="2">
        <v>45849</v>
      </c>
      <c r="AA119" t="str">
        <f t="shared" si="11"/>
        <v>40–49</v>
      </c>
      <c r="AB119" t="str">
        <f t="shared" si="12"/>
        <v>40–49</v>
      </c>
      <c r="AC119" t="str">
        <f t="shared" si="13"/>
        <v>Monday</v>
      </c>
      <c r="AD119" t="str">
        <f t="shared" si="14"/>
        <v>Tuesday</v>
      </c>
      <c r="AE119" t="str">
        <f t="shared" si="15"/>
        <v/>
      </c>
      <c r="AF119" t="str">
        <f t="shared" si="16"/>
        <v>Thursday</v>
      </c>
      <c r="AG119" t="str">
        <f t="shared" si="17"/>
        <v/>
      </c>
      <c r="AH119" t="str">
        <f t="shared" si="18"/>
        <v/>
      </c>
      <c r="AI119" t="str">
        <f t="shared" si="19"/>
        <v/>
      </c>
      <c r="AJ119" t="str">
        <f>LEFT(Table1[[#This Row],[membership_type]],2)&amp;TEXT(Table1[[#This Row],[age]],"00")&amp;"-"&amp;TEXT(ROW(),"000")</f>
        <v>Pr40-119</v>
      </c>
      <c r="AK119" t="str">
        <f>LEFT(Table1[[#This Row],[membership_type]],1)&amp;TEXT(MATCH(Table1[[#This Row],[membership_type]],Table1[membership_type],0),"00")</f>
        <v>P01</v>
      </c>
      <c r="AL119" t="str">
        <f>LEFT(Table1[[#This Row],[discount_type]],1)&amp;TEXT(ROUND(Table1[[#This Row],[discount_rate]]*100,0),"00")</f>
        <v>N00</v>
      </c>
      <c r="AM119" t="str" cm="1">
        <f t="array" ref="AM119">TEXT(SUMPRODUCT(CODE(MID(Table1[[#This Row],[home_gym_location]],_xlfn.SEQUENCE(LEN(Table1[[#This Row],[home_gym_location]])),1))),"00000")</f>
        <v>01107</v>
      </c>
      <c r="AN11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9" t="str">
        <f>LEFT(_xlfn.TEXTBEFORE(Table1[[#This Row],[Location Identifier]],"-"),3) &amp; "-" &amp; _xlfn.TEXTAFTER(Table1[[#This Row],[Location Identifier]],"-")</f>
        <v>LON-004</v>
      </c>
      <c r="AP119" s="9">
        <f t="shared" ca="1" si="10"/>
        <v>45869</v>
      </c>
    </row>
    <row r="120" spans="1:42" x14ac:dyDescent="0.25">
      <c r="A120">
        <v>27</v>
      </c>
      <c r="B120" t="s">
        <v>26</v>
      </c>
      <c r="C120">
        <v>2</v>
      </c>
      <c r="D120" t="s">
        <v>70</v>
      </c>
      <c r="E120" t="b">
        <v>0</v>
      </c>
      <c r="F120" s="1">
        <v>0.86388888888888893</v>
      </c>
      <c r="G120" s="1">
        <v>0.9145833333333333</v>
      </c>
      <c r="H120">
        <v>73</v>
      </c>
      <c r="I120" t="b">
        <v>0</v>
      </c>
      <c r="J120" t="b">
        <v>1</v>
      </c>
      <c r="K120" t="b">
        <v>1</v>
      </c>
      <c r="L120" t="s">
        <v>28</v>
      </c>
      <c r="M120">
        <v>50</v>
      </c>
      <c r="N120" t="s">
        <v>29</v>
      </c>
      <c r="O120">
        <v>50</v>
      </c>
      <c r="P120" t="s">
        <v>36</v>
      </c>
      <c r="Q120">
        <v>0</v>
      </c>
      <c r="R120">
        <v>50</v>
      </c>
      <c r="S120" t="s">
        <v>31</v>
      </c>
      <c r="T120" t="s">
        <v>48</v>
      </c>
      <c r="U120">
        <v>38.581600000000002</v>
      </c>
      <c r="V120">
        <v>-121.4944</v>
      </c>
      <c r="W120" s="2">
        <v>44880</v>
      </c>
      <c r="X120">
        <v>1</v>
      </c>
      <c r="Y120" t="b">
        <v>1</v>
      </c>
      <c r="Z120" s="2">
        <v>45807</v>
      </c>
      <c r="AA120" t="str">
        <f t="shared" si="11"/>
        <v>20–29</v>
      </c>
      <c r="AB120" t="str">
        <f t="shared" si="12"/>
        <v>20–29</v>
      </c>
      <c r="AC120" t="str">
        <f t="shared" si="13"/>
        <v/>
      </c>
      <c r="AD120" t="str">
        <f t="shared" si="14"/>
        <v/>
      </c>
      <c r="AE120" t="str">
        <f t="shared" si="15"/>
        <v>Wednesday</v>
      </c>
      <c r="AF120" t="str">
        <f t="shared" si="16"/>
        <v>Thursday</v>
      </c>
      <c r="AG120" t="str">
        <f t="shared" si="17"/>
        <v/>
      </c>
      <c r="AH120" t="str">
        <f t="shared" si="18"/>
        <v/>
      </c>
      <c r="AI120" t="str">
        <f t="shared" si="19"/>
        <v/>
      </c>
      <c r="AJ120" t="str">
        <f>LEFT(Table1[[#This Row],[membership_type]],2)&amp;TEXT(Table1[[#This Row],[age]],"00")&amp;"-"&amp;TEXT(ROW(),"000")</f>
        <v>Pr27-120</v>
      </c>
      <c r="AK120" t="str">
        <f>LEFT(Table1[[#This Row],[membership_type]],1)&amp;TEXT(MATCH(Table1[[#This Row],[membership_type]],Table1[membership_type],0),"00")</f>
        <v>P01</v>
      </c>
      <c r="AL120" t="str">
        <f>LEFT(Table1[[#This Row],[discount_type]],1)&amp;TEXT(ROUND(Table1[[#This Row],[discount_rate]]*100,0),"00")</f>
        <v>N00</v>
      </c>
      <c r="AM120" t="str" cm="1">
        <f t="array" ref="AM120">TEXT(SUMPRODUCT(CODE(MID(Table1[[#This Row],[home_gym_location]],_xlfn.SEQUENCE(LEN(Table1[[#This Row],[home_gym_location]])),1))),"00000")</f>
        <v>01245</v>
      </c>
      <c r="AN12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0" t="str">
        <f>LEFT(_xlfn.TEXTBEFORE(Table1[[#This Row],[Location Identifier]],"-"),3) &amp; "-" &amp; _xlfn.TEXTAFTER(Table1[[#This Row],[Location Identifier]],"-")</f>
        <v>SAC-007</v>
      </c>
      <c r="AP120" s="9">
        <f t="shared" ca="1" si="10"/>
        <v>45869</v>
      </c>
    </row>
    <row r="121" spans="1:42" x14ac:dyDescent="0.25">
      <c r="A121">
        <v>24</v>
      </c>
      <c r="B121" t="s">
        <v>42</v>
      </c>
      <c r="C121">
        <v>4</v>
      </c>
      <c r="D121" t="s">
        <v>113</v>
      </c>
      <c r="E121" t="b">
        <v>1</v>
      </c>
      <c r="F121" s="1">
        <v>0.48819444444444443</v>
      </c>
      <c r="G121" s="1">
        <v>0.51875000000000004</v>
      </c>
      <c r="H121">
        <v>44</v>
      </c>
      <c r="I121" t="b">
        <v>1</v>
      </c>
      <c r="J121" t="b">
        <v>0</v>
      </c>
      <c r="K121" t="b">
        <v>0</v>
      </c>
      <c r="L121" t="s">
        <v>62</v>
      </c>
      <c r="M121">
        <v>20</v>
      </c>
      <c r="N121" t="s">
        <v>29</v>
      </c>
      <c r="O121">
        <v>20</v>
      </c>
      <c r="P121" t="s">
        <v>36</v>
      </c>
      <c r="Q121">
        <v>0</v>
      </c>
      <c r="R121">
        <v>20</v>
      </c>
      <c r="S121" t="s">
        <v>44</v>
      </c>
      <c r="T121" t="s">
        <v>32</v>
      </c>
      <c r="U121">
        <v>37.338200000000001</v>
      </c>
      <c r="V121">
        <v>-121.88630000000001</v>
      </c>
      <c r="W121" s="2">
        <v>45256</v>
      </c>
      <c r="X121">
        <v>0</v>
      </c>
      <c r="Y121" t="b">
        <v>0</v>
      </c>
      <c r="Z121" s="2">
        <v>45828</v>
      </c>
      <c r="AA121" t="str">
        <f t="shared" si="11"/>
        <v>20–29</v>
      </c>
      <c r="AB121" t="str">
        <f t="shared" si="12"/>
        <v>20–29</v>
      </c>
      <c r="AC121" t="str">
        <f t="shared" si="13"/>
        <v>Monday</v>
      </c>
      <c r="AD121" t="str">
        <f t="shared" si="14"/>
        <v/>
      </c>
      <c r="AE121" t="str">
        <f t="shared" si="15"/>
        <v/>
      </c>
      <c r="AF121" t="str">
        <f t="shared" si="16"/>
        <v>Thursday</v>
      </c>
      <c r="AG121" t="str">
        <f t="shared" si="17"/>
        <v/>
      </c>
      <c r="AH121" t="str">
        <f t="shared" si="18"/>
        <v>Saturday</v>
      </c>
      <c r="AI121" t="str">
        <f t="shared" si="19"/>
        <v>Sunday</v>
      </c>
      <c r="AJ121" t="str">
        <f>LEFT(Table1[[#This Row],[membership_type]],2)&amp;TEXT(Table1[[#This Row],[age]],"00")&amp;"-"&amp;TEXT(ROW(),"000")</f>
        <v>Ba24-121</v>
      </c>
      <c r="AK121" t="str">
        <f>LEFT(Table1[[#This Row],[membership_type]],1)&amp;TEXT(MATCH(Table1[[#This Row],[membership_type]],Table1[membership_type],0),"00")</f>
        <v>B04</v>
      </c>
      <c r="AL121" t="str">
        <f>LEFT(Table1[[#This Row],[discount_type]],1)&amp;TEXT(ROUND(Table1[[#This Row],[discount_rate]]*100,0),"00")</f>
        <v>N00</v>
      </c>
      <c r="AM121" t="str" cm="1">
        <f t="array" ref="AM121">TEXT(SUMPRODUCT(CODE(MID(Table1[[#This Row],[home_gym_location]],_xlfn.SEQUENCE(LEN(Table1[[#This Row],[home_gym_location]])),1))),"00000")</f>
        <v>00931</v>
      </c>
      <c r="AN12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1" t="str">
        <f>LEFT(_xlfn.TEXTBEFORE(Table1[[#This Row],[Location Identifier]],"-"),3) &amp; "-" &amp; _xlfn.TEXTAFTER(Table1[[#This Row],[Location Identifier]],"-")</f>
        <v>SAN-010</v>
      </c>
      <c r="AP121" s="9">
        <f t="shared" ca="1" si="10"/>
        <v>45869</v>
      </c>
    </row>
    <row r="122" spans="1:42" x14ac:dyDescent="0.25">
      <c r="A122">
        <v>23</v>
      </c>
      <c r="B122" t="s">
        <v>42</v>
      </c>
      <c r="C122">
        <v>2</v>
      </c>
      <c r="D122" t="s">
        <v>79</v>
      </c>
      <c r="E122" t="b">
        <v>0</v>
      </c>
      <c r="F122" s="1">
        <v>0.84583333333333333</v>
      </c>
      <c r="G122" s="1">
        <v>0.87152777777777779</v>
      </c>
      <c r="H122">
        <v>37</v>
      </c>
      <c r="I122" t="b">
        <v>0</v>
      </c>
      <c r="J122" t="b">
        <v>1</v>
      </c>
      <c r="K122" t="b">
        <v>0</v>
      </c>
      <c r="L122" t="s">
        <v>35</v>
      </c>
      <c r="M122">
        <v>20</v>
      </c>
      <c r="N122" t="s">
        <v>64</v>
      </c>
      <c r="O122">
        <v>15</v>
      </c>
      <c r="P122" t="s">
        <v>36</v>
      </c>
      <c r="Q122">
        <v>0</v>
      </c>
      <c r="R122">
        <v>15</v>
      </c>
      <c r="S122" t="s">
        <v>44</v>
      </c>
      <c r="T122" t="s">
        <v>38</v>
      </c>
      <c r="U122">
        <v>36.7378</v>
      </c>
      <c r="V122">
        <v>-119.7871</v>
      </c>
      <c r="W122" s="2">
        <v>44971</v>
      </c>
      <c r="X122">
        <v>5</v>
      </c>
      <c r="Y122" t="b">
        <v>0</v>
      </c>
      <c r="Z122" s="2">
        <v>45812</v>
      </c>
      <c r="AA122" t="str">
        <f t="shared" si="11"/>
        <v>20–29</v>
      </c>
      <c r="AB122" t="str">
        <f t="shared" si="12"/>
        <v>20–29</v>
      </c>
      <c r="AC122" t="str">
        <f t="shared" si="13"/>
        <v/>
      </c>
      <c r="AD122" t="str">
        <f t="shared" si="14"/>
        <v/>
      </c>
      <c r="AE122" t="str">
        <f t="shared" si="15"/>
        <v/>
      </c>
      <c r="AF122" t="str">
        <f t="shared" si="16"/>
        <v/>
      </c>
      <c r="AG122" t="str">
        <f t="shared" si="17"/>
        <v>Friday</v>
      </c>
      <c r="AH122" t="str">
        <f t="shared" si="18"/>
        <v>Saturday</v>
      </c>
      <c r="AI122" t="str">
        <f t="shared" si="19"/>
        <v/>
      </c>
      <c r="AJ122" t="str">
        <f>LEFT(Table1[[#This Row],[membership_type]],2)&amp;TEXT(Table1[[#This Row],[age]],"00")&amp;"-"&amp;TEXT(ROW(),"000")</f>
        <v>Ba23-122</v>
      </c>
      <c r="AK122" t="str">
        <f>LEFT(Table1[[#This Row],[membership_type]],1)&amp;TEXT(MATCH(Table1[[#This Row],[membership_type]],Table1[membership_type],0),"00")</f>
        <v>B04</v>
      </c>
      <c r="AL122" t="str">
        <f>LEFT(Table1[[#This Row],[discount_type]],1)&amp;TEXT(ROUND(Table1[[#This Row],[discount_rate]]*100,0),"00")</f>
        <v>N00</v>
      </c>
      <c r="AM122" t="str" cm="1">
        <f t="array" ref="AM122">TEXT(SUMPRODUCT(CODE(MID(Table1[[#This Row],[home_gym_location]],_xlfn.SEQUENCE(LEN(Table1[[#This Row],[home_gym_location]])),1))),"00000")</f>
        <v>00829</v>
      </c>
      <c r="AN122" t="str">
        <f>UPPER(_xlfn.TEXTBEFORE(Table1[[#This Row],[home_gym_location]],","))&amp;"-"&amp;TEXT(MATCH(Table1[[#This Row],[home_gym_location]],_xlfn._xlws.SORT(_xlfn.UNIQUE(Table1[home_gym_location])),0),"000")</f>
        <v>FRESNO-003</v>
      </c>
      <c r="AO122" t="str">
        <f>LEFT(_xlfn.TEXTBEFORE(Table1[[#This Row],[Location Identifier]],"-"),3) &amp; "-" &amp; _xlfn.TEXTAFTER(Table1[[#This Row],[Location Identifier]],"-")</f>
        <v>FRE-003</v>
      </c>
      <c r="AP122" s="9">
        <f t="shared" ca="1" si="10"/>
        <v>45869</v>
      </c>
    </row>
    <row r="123" spans="1:42" x14ac:dyDescent="0.25">
      <c r="A123">
        <v>28</v>
      </c>
      <c r="B123" t="s">
        <v>33</v>
      </c>
      <c r="C123">
        <v>1</v>
      </c>
      <c r="D123" t="s">
        <v>71</v>
      </c>
      <c r="E123" t="b">
        <v>1</v>
      </c>
      <c r="F123" s="1">
        <v>0.54722222222222228</v>
      </c>
      <c r="G123" s="1">
        <v>0.60763888888888884</v>
      </c>
      <c r="H123">
        <v>87</v>
      </c>
      <c r="I123" t="b">
        <v>1</v>
      </c>
      <c r="J123" t="b">
        <v>1</v>
      </c>
      <c r="K123" t="b">
        <v>1</v>
      </c>
      <c r="L123" t="s">
        <v>28</v>
      </c>
      <c r="M123">
        <v>30</v>
      </c>
      <c r="N123" t="s">
        <v>64</v>
      </c>
      <c r="O123">
        <v>22.5</v>
      </c>
      <c r="P123" t="s">
        <v>74</v>
      </c>
      <c r="Q123">
        <v>0.15</v>
      </c>
      <c r="R123">
        <v>19.125</v>
      </c>
      <c r="S123" t="s">
        <v>37</v>
      </c>
      <c r="T123" t="s">
        <v>48</v>
      </c>
      <c r="U123">
        <v>38.581600000000002</v>
      </c>
      <c r="V123">
        <v>-121.4944</v>
      </c>
      <c r="W123" s="2">
        <v>44876</v>
      </c>
      <c r="X123">
        <v>8</v>
      </c>
      <c r="Y123" t="b">
        <v>0</v>
      </c>
      <c r="Z123" s="2">
        <v>45807</v>
      </c>
      <c r="AA123" t="str">
        <f t="shared" si="11"/>
        <v>20–29</v>
      </c>
      <c r="AB123" t="str">
        <f t="shared" si="12"/>
        <v>20–29</v>
      </c>
      <c r="AC123" t="str">
        <f t="shared" si="13"/>
        <v/>
      </c>
      <c r="AD123" t="str">
        <f t="shared" si="14"/>
        <v>Tuesday</v>
      </c>
      <c r="AE123" t="str">
        <f t="shared" si="15"/>
        <v/>
      </c>
      <c r="AF123" t="str">
        <f t="shared" si="16"/>
        <v/>
      </c>
      <c r="AG123" t="str">
        <f t="shared" si="17"/>
        <v/>
      </c>
      <c r="AH123" t="str">
        <f t="shared" si="18"/>
        <v/>
      </c>
      <c r="AI123" t="str">
        <f t="shared" si="19"/>
        <v/>
      </c>
      <c r="AJ123" t="str">
        <f>LEFT(Table1[[#This Row],[membership_type]],2)&amp;TEXT(Table1[[#This Row],[age]],"00")&amp;"-"&amp;TEXT(ROW(),"000")</f>
        <v>St28-123</v>
      </c>
      <c r="AK123" t="str">
        <f>LEFT(Table1[[#This Row],[membership_type]],1)&amp;TEXT(MATCH(Table1[[#This Row],[membership_type]],Table1[membership_type],0),"00")</f>
        <v>S02</v>
      </c>
      <c r="AL123" t="str">
        <f>LEFT(Table1[[#This Row],[discount_type]],1)&amp;TEXT(ROUND(Table1[[#This Row],[discount_rate]]*100,0),"00")</f>
        <v>S15</v>
      </c>
      <c r="AM123" t="str" cm="1">
        <f t="array" ref="AM123">TEXT(SUMPRODUCT(CODE(MID(Table1[[#This Row],[home_gym_location]],_xlfn.SEQUENCE(LEN(Table1[[#This Row],[home_gym_location]])),1))),"00000")</f>
        <v>01245</v>
      </c>
      <c r="AN12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3" t="str">
        <f>LEFT(_xlfn.TEXTBEFORE(Table1[[#This Row],[Location Identifier]],"-"),3) &amp; "-" &amp; _xlfn.TEXTAFTER(Table1[[#This Row],[Location Identifier]],"-")</f>
        <v>SAC-007</v>
      </c>
      <c r="AP123" s="9">
        <f t="shared" ca="1" si="10"/>
        <v>45869</v>
      </c>
    </row>
    <row r="124" spans="1:42" x14ac:dyDescent="0.25">
      <c r="A124">
        <v>45</v>
      </c>
      <c r="B124" t="s">
        <v>33</v>
      </c>
      <c r="C124">
        <v>2</v>
      </c>
      <c r="D124" t="s">
        <v>61</v>
      </c>
      <c r="E124" t="b">
        <v>1</v>
      </c>
      <c r="F124" s="1">
        <v>0.66597222222222219</v>
      </c>
      <c r="G124" s="1">
        <v>0.78194444444444444</v>
      </c>
      <c r="H124">
        <v>167</v>
      </c>
      <c r="I124" t="b">
        <v>0</v>
      </c>
      <c r="J124" t="b">
        <v>1</v>
      </c>
      <c r="K124" t="b">
        <v>1</v>
      </c>
      <c r="L124" t="s">
        <v>62</v>
      </c>
      <c r="M124">
        <v>30</v>
      </c>
      <c r="N124" t="s">
        <v>29</v>
      </c>
      <c r="O124">
        <v>30</v>
      </c>
      <c r="P124" t="s">
        <v>74</v>
      </c>
      <c r="Q124">
        <v>0.15</v>
      </c>
      <c r="R124">
        <v>25.5</v>
      </c>
      <c r="S124" t="s">
        <v>37</v>
      </c>
      <c r="T124" t="s">
        <v>59</v>
      </c>
      <c r="U124">
        <v>37.774900000000002</v>
      </c>
      <c r="V124">
        <v>-122.4194</v>
      </c>
      <c r="W124" s="2">
        <v>45492</v>
      </c>
      <c r="X124">
        <v>4</v>
      </c>
      <c r="Y124" t="b">
        <v>0</v>
      </c>
      <c r="Z124" s="2">
        <v>45841</v>
      </c>
      <c r="AA124" t="str">
        <f t="shared" si="11"/>
        <v>40–49</v>
      </c>
      <c r="AB124" t="str">
        <f t="shared" si="12"/>
        <v>40–49</v>
      </c>
      <c r="AC124" t="str">
        <f t="shared" si="13"/>
        <v/>
      </c>
      <c r="AD124" t="str">
        <f t="shared" si="14"/>
        <v>Tuesday</v>
      </c>
      <c r="AE124" t="str">
        <f t="shared" si="15"/>
        <v/>
      </c>
      <c r="AF124" t="str">
        <f t="shared" si="16"/>
        <v/>
      </c>
      <c r="AG124" t="str">
        <f t="shared" si="17"/>
        <v/>
      </c>
      <c r="AH124" t="str">
        <f t="shared" si="18"/>
        <v>Saturday</v>
      </c>
      <c r="AI124" t="str">
        <f t="shared" si="19"/>
        <v/>
      </c>
      <c r="AJ124" t="str">
        <f>LEFT(Table1[[#This Row],[membership_type]],2)&amp;TEXT(Table1[[#This Row],[age]],"00")&amp;"-"&amp;TEXT(ROW(),"000")</f>
        <v>St45-124</v>
      </c>
      <c r="AK124" t="str">
        <f>LEFT(Table1[[#This Row],[membership_type]],1)&amp;TEXT(MATCH(Table1[[#This Row],[membership_type]],Table1[membership_type],0),"00")</f>
        <v>S02</v>
      </c>
      <c r="AL124" t="str">
        <f>LEFT(Table1[[#This Row],[discount_type]],1)&amp;TEXT(ROUND(Table1[[#This Row],[discount_rate]]*100,0),"00")</f>
        <v>S15</v>
      </c>
      <c r="AM124" t="str" cm="1">
        <f t="array" ref="AM124">TEXT(SUMPRODUCT(CODE(MID(Table1[[#This Row],[home_gym_location]],_xlfn.SEQUENCE(LEN(Table1[[#This Row],[home_gym_location]])),1))),"00000")</f>
        <v>01450</v>
      </c>
      <c r="AN12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4" t="str">
        <f>LEFT(_xlfn.TEXTBEFORE(Table1[[#This Row],[Location Identifier]],"-"),3) &amp; "-" &amp; _xlfn.TEXTAFTER(Table1[[#This Row],[Location Identifier]],"-")</f>
        <v>SAN-009</v>
      </c>
      <c r="AP124" s="9">
        <f t="shared" ca="1" si="10"/>
        <v>45869</v>
      </c>
    </row>
    <row r="125" spans="1:42" x14ac:dyDescent="0.25">
      <c r="A125">
        <v>29</v>
      </c>
      <c r="B125" t="s">
        <v>26</v>
      </c>
      <c r="C125">
        <v>2</v>
      </c>
      <c r="D125" t="s">
        <v>73</v>
      </c>
      <c r="E125" t="b">
        <v>0</v>
      </c>
      <c r="F125" s="1">
        <v>0.86944444444444446</v>
      </c>
      <c r="G125" s="1">
        <v>0.94444444444444442</v>
      </c>
      <c r="H125">
        <v>108</v>
      </c>
      <c r="I125" t="b">
        <v>0</v>
      </c>
      <c r="J125" t="b">
        <v>1</v>
      </c>
      <c r="K125" t="b">
        <v>0</v>
      </c>
      <c r="L125" t="s">
        <v>35</v>
      </c>
      <c r="M125">
        <v>50</v>
      </c>
      <c r="N125" t="s">
        <v>29</v>
      </c>
      <c r="O125">
        <v>50</v>
      </c>
      <c r="P125" t="s">
        <v>30</v>
      </c>
      <c r="Q125">
        <v>0.05</v>
      </c>
      <c r="R125">
        <v>47.5</v>
      </c>
      <c r="S125" t="s">
        <v>31</v>
      </c>
      <c r="T125" t="s">
        <v>59</v>
      </c>
      <c r="U125">
        <v>37.774900000000002</v>
      </c>
      <c r="V125">
        <v>-122.4194</v>
      </c>
      <c r="W125" s="2">
        <v>45713</v>
      </c>
      <c r="X125">
        <v>1</v>
      </c>
      <c r="Y125" t="b">
        <v>1</v>
      </c>
      <c r="Z125" s="2">
        <v>45854</v>
      </c>
      <c r="AA125" t="str">
        <f t="shared" si="11"/>
        <v>20–29</v>
      </c>
      <c r="AB125" t="str">
        <f t="shared" si="12"/>
        <v>20–29</v>
      </c>
      <c r="AC125" t="str">
        <f t="shared" si="13"/>
        <v/>
      </c>
      <c r="AD125" t="str">
        <f t="shared" si="14"/>
        <v>Tuesday</v>
      </c>
      <c r="AE125" t="str">
        <f t="shared" si="15"/>
        <v/>
      </c>
      <c r="AF125" t="str">
        <f t="shared" si="16"/>
        <v/>
      </c>
      <c r="AG125" t="str">
        <f t="shared" si="17"/>
        <v>Friday</v>
      </c>
      <c r="AH125" t="str">
        <f t="shared" si="18"/>
        <v/>
      </c>
      <c r="AI125" t="str">
        <f t="shared" si="19"/>
        <v/>
      </c>
      <c r="AJ125" t="str">
        <f>LEFT(Table1[[#This Row],[membership_type]],2)&amp;TEXT(Table1[[#This Row],[age]],"00")&amp;"-"&amp;TEXT(ROW(),"000")</f>
        <v>Pr29-125</v>
      </c>
      <c r="AK125" t="str">
        <f>LEFT(Table1[[#This Row],[membership_type]],1)&amp;TEXT(MATCH(Table1[[#This Row],[membership_type]],Table1[membership_type],0),"00")</f>
        <v>P01</v>
      </c>
      <c r="AL125" t="str">
        <f>LEFT(Table1[[#This Row],[discount_type]],1)&amp;TEXT(ROUND(Table1[[#This Row],[discount_rate]]*100,0),"00")</f>
        <v>P05</v>
      </c>
      <c r="AM125" t="str" cm="1">
        <f t="array" ref="AM125">TEXT(SUMPRODUCT(CODE(MID(Table1[[#This Row],[home_gym_location]],_xlfn.SEQUENCE(LEN(Table1[[#This Row],[home_gym_location]])),1))),"00000")</f>
        <v>01450</v>
      </c>
      <c r="AN12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5" t="str">
        <f>LEFT(_xlfn.TEXTBEFORE(Table1[[#This Row],[Location Identifier]],"-"),3) &amp; "-" &amp; _xlfn.TEXTAFTER(Table1[[#This Row],[Location Identifier]],"-")</f>
        <v>SAN-009</v>
      </c>
      <c r="AP125" s="9">
        <f t="shared" ca="1" si="10"/>
        <v>45869</v>
      </c>
    </row>
    <row r="126" spans="1:42" x14ac:dyDescent="0.25">
      <c r="A126">
        <v>36</v>
      </c>
      <c r="B126" t="s">
        <v>26</v>
      </c>
      <c r="C126">
        <v>3</v>
      </c>
      <c r="D126" t="s">
        <v>90</v>
      </c>
      <c r="E126" t="b">
        <v>1</v>
      </c>
      <c r="F126" s="1">
        <v>0.40208333333333335</v>
      </c>
      <c r="G126" s="1">
        <v>0.46388888888888891</v>
      </c>
      <c r="H126">
        <v>89</v>
      </c>
      <c r="I126" t="b">
        <v>0</v>
      </c>
      <c r="J126" t="b">
        <v>0</v>
      </c>
      <c r="K126" t="b">
        <v>1</v>
      </c>
      <c r="L126" t="s">
        <v>28</v>
      </c>
      <c r="M126">
        <v>50</v>
      </c>
      <c r="N126" t="s">
        <v>29</v>
      </c>
      <c r="O126">
        <v>50</v>
      </c>
      <c r="P126" t="s">
        <v>36</v>
      </c>
      <c r="Q126">
        <v>0</v>
      </c>
      <c r="R126">
        <v>50</v>
      </c>
      <c r="S126" t="s">
        <v>31</v>
      </c>
      <c r="T126" t="s">
        <v>38</v>
      </c>
      <c r="U126">
        <v>36.7378</v>
      </c>
      <c r="V126">
        <v>-119.7871</v>
      </c>
      <c r="W126" s="2">
        <v>45588</v>
      </c>
      <c r="X126">
        <v>0</v>
      </c>
      <c r="Y126" t="b">
        <v>1</v>
      </c>
      <c r="Z126" s="2">
        <v>45847</v>
      </c>
      <c r="AA126" t="str">
        <f t="shared" si="11"/>
        <v>30–39</v>
      </c>
      <c r="AB126" t="str">
        <f t="shared" si="12"/>
        <v>30–39</v>
      </c>
      <c r="AC126" t="str">
        <f t="shared" si="13"/>
        <v/>
      </c>
      <c r="AD126" t="str">
        <f t="shared" si="14"/>
        <v>Tuesday</v>
      </c>
      <c r="AE126" t="str">
        <f t="shared" si="15"/>
        <v/>
      </c>
      <c r="AF126" t="str">
        <f t="shared" si="16"/>
        <v/>
      </c>
      <c r="AG126" t="str">
        <f t="shared" si="17"/>
        <v/>
      </c>
      <c r="AH126" t="str">
        <f t="shared" si="18"/>
        <v>Saturday</v>
      </c>
      <c r="AI126" t="str">
        <f t="shared" si="19"/>
        <v>Sunday</v>
      </c>
      <c r="AJ126" t="str">
        <f>LEFT(Table1[[#This Row],[membership_type]],2)&amp;TEXT(Table1[[#This Row],[age]],"00")&amp;"-"&amp;TEXT(ROW(),"000")</f>
        <v>Pr36-126</v>
      </c>
      <c r="AK126" t="str">
        <f>LEFT(Table1[[#This Row],[membership_type]],1)&amp;TEXT(MATCH(Table1[[#This Row],[membership_type]],Table1[membership_type],0),"00")</f>
        <v>P01</v>
      </c>
      <c r="AL126" t="str">
        <f>LEFT(Table1[[#This Row],[discount_type]],1)&amp;TEXT(ROUND(Table1[[#This Row],[discount_rate]]*100,0),"00")</f>
        <v>N00</v>
      </c>
      <c r="AM126" t="str" cm="1">
        <f t="array" ref="AM126">TEXT(SUMPRODUCT(CODE(MID(Table1[[#This Row],[home_gym_location]],_xlfn.SEQUENCE(LEN(Table1[[#This Row],[home_gym_location]])),1))),"00000")</f>
        <v>00829</v>
      </c>
      <c r="AN126" t="str">
        <f>UPPER(_xlfn.TEXTBEFORE(Table1[[#This Row],[home_gym_location]],","))&amp;"-"&amp;TEXT(MATCH(Table1[[#This Row],[home_gym_location]],_xlfn._xlws.SORT(_xlfn.UNIQUE(Table1[home_gym_location])),0),"000")</f>
        <v>FRESNO-003</v>
      </c>
      <c r="AO126" t="str">
        <f>LEFT(_xlfn.TEXTBEFORE(Table1[[#This Row],[Location Identifier]],"-"),3) &amp; "-" &amp; _xlfn.TEXTAFTER(Table1[[#This Row],[Location Identifier]],"-")</f>
        <v>FRE-003</v>
      </c>
      <c r="AP126" s="9">
        <f t="shared" ca="1" si="10"/>
        <v>45869</v>
      </c>
    </row>
    <row r="127" spans="1:42" x14ac:dyDescent="0.25">
      <c r="A127">
        <v>20</v>
      </c>
      <c r="B127" t="s">
        <v>42</v>
      </c>
      <c r="C127">
        <v>4</v>
      </c>
      <c r="D127" t="s">
        <v>119</v>
      </c>
      <c r="E127" t="b">
        <v>0</v>
      </c>
      <c r="F127" s="1">
        <v>0.71666666666666667</v>
      </c>
      <c r="G127" s="1">
        <v>0.7631944444444444</v>
      </c>
      <c r="H127">
        <v>67</v>
      </c>
      <c r="I127" t="b">
        <v>0</v>
      </c>
      <c r="J127" t="b">
        <v>0</v>
      </c>
      <c r="K127" t="b">
        <v>1</v>
      </c>
      <c r="L127" t="s">
        <v>28</v>
      </c>
      <c r="M127">
        <v>20</v>
      </c>
      <c r="N127" t="s">
        <v>64</v>
      </c>
      <c r="O127">
        <v>15</v>
      </c>
      <c r="P127" t="s">
        <v>36</v>
      </c>
      <c r="Q127">
        <v>0</v>
      </c>
      <c r="R127">
        <v>15</v>
      </c>
      <c r="S127" t="s">
        <v>44</v>
      </c>
      <c r="T127" t="s">
        <v>54</v>
      </c>
      <c r="U127">
        <v>32.715699999999998</v>
      </c>
      <c r="V127">
        <v>-117.1611</v>
      </c>
      <c r="W127" s="2">
        <v>45376</v>
      </c>
      <c r="X127">
        <v>0</v>
      </c>
      <c r="Y127" t="b">
        <v>0</v>
      </c>
      <c r="Z127" s="2">
        <v>45835</v>
      </c>
      <c r="AA127" t="str">
        <f t="shared" si="11"/>
        <v>20–29</v>
      </c>
      <c r="AB127" t="str">
        <f t="shared" si="12"/>
        <v>20–29</v>
      </c>
      <c r="AC127" t="str">
        <f t="shared" si="13"/>
        <v>Monday</v>
      </c>
      <c r="AD127" t="str">
        <f t="shared" si="14"/>
        <v/>
      </c>
      <c r="AE127" t="str">
        <f t="shared" si="15"/>
        <v>Wednesday</v>
      </c>
      <c r="AF127" t="str">
        <f t="shared" si="16"/>
        <v/>
      </c>
      <c r="AG127" t="str">
        <f t="shared" si="17"/>
        <v>Friday</v>
      </c>
      <c r="AH127" t="str">
        <f t="shared" si="18"/>
        <v/>
      </c>
      <c r="AI127" t="str">
        <f t="shared" si="19"/>
        <v>Sunday</v>
      </c>
      <c r="AJ127" t="str">
        <f>LEFT(Table1[[#This Row],[membership_type]],2)&amp;TEXT(Table1[[#This Row],[age]],"00")&amp;"-"&amp;TEXT(ROW(),"000")</f>
        <v>Ba20-127</v>
      </c>
      <c r="AK127" t="str">
        <f>LEFT(Table1[[#This Row],[membership_type]],1)&amp;TEXT(MATCH(Table1[[#This Row],[membership_type]],Table1[membership_type],0),"00")</f>
        <v>B04</v>
      </c>
      <c r="AL127" t="str">
        <f>LEFT(Table1[[#This Row],[discount_type]],1)&amp;TEXT(ROUND(Table1[[#This Row],[discount_rate]]*100,0),"00")</f>
        <v>N00</v>
      </c>
      <c r="AM127" t="str" cm="1">
        <f t="array" ref="AM127">TEXT(SUMPRODUCT(CODE(MID(Table1[[#This Row],[home_gym_location]],_xlfn.SEQUENCE(LEN(Table1[[#This Row],[home_gym_location]])),1))),"00000")</f>
        <v>01018</v>
      </c>
      <c r="AN12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7" t="str">
        <f>LEFT(_xlfn.TEXTBEFORE(Table1[[#This Row],[Location Identifier]],"-"),3) &amp; "-" &amp; _xlfn.TEXTAFTER(Table1[[#This Row],[Location Identifier]],"-")</f>
        <v>SAN-008</v>
      </c>
      <c r="AP127" s="9">
        <f t="shared" ca="1" si="10"/>
        <v>45869</v>
      </c>
    </row>
    <row r="128" spans="1:42" x14ac:dyDescent="0.25">
      <c r="A128">
        <v>25</v>
      </c>
      <c r="B128" t="s">
        <v>26</v>
      </c>
      <c r="C128">
        <v>2</v>
      </c>
      <c r="D128" t="s">
        <v>108</v>
      </c>
      <c r="E128" t="b">
        <v>0</v>
      </c>
      <c r="F128" s="1">
        <v>0.4548611111111111</v>
      </c>
      <c r="G128" s="1">
        <v>0.57708333333333328</v>
      </c>
      <c r="H128">
        <v>176</v>
      </c>
      <c r="I128" t="b">
        <v>1</v>
      </c>
      <c r="J128" t="b">
        <v>0</v>
      </c>
      <c r="K128" t="b">
        <v>1</v>
      </c>
      <c r="L128" t="s">
        <v>62</v>
      </c>
      <c r="M128">
        <v>50</v>
      </c>
      <c r="N128" t="s">
        <v>64</v>
      </c>
      <c r="O128">
        <v>37.5</v>
      </c>
      <c r="P128" t="s">
        <v>36</v>
      </c>
      <c r="Q128">
        <v>0</v>
      </c>
      <c r="R128">
        <v>37.5</v>
      </c>
      <c r="S128" t="s">
        <v>31</v>
      </c>
      <c r="T128" t="s">
        <v>48</v>
      </c>
      <c r="U128">
        <v>38.581600000000002</v>
      </c>
      <c r="V128">
        <v>-121.4944</v>
      </c>
      <c r="W128" s="2">
        <v>44959</v>
      </c>
      <c r="X128">
        <v>0</v>
      </c>
      <c r="Y128" t="b">
        <v>1</v>
      </c>
      <c r="Z128" s="2">
        <v>45811</v>
      </c>
      <c r="AA128" t="str">
        <f t="shared" si="11"/>
        <v>20–29</v>
      </c>
      <c r="AB128" t="str">
        <f t="shared" si="12"/>
        <v>20–29</v>
      </c>
      <c r="AC128" t="str">
        <f t="shared" si="13"/>
        <v/>
      </c>
      <c r="AD128" t="str">
        <f t="shared" si="14"/>
        <v>Tuesday</v>
      </c>
      <c r="AE128" t="str">
        <f t="shared" si="15"/>
        <v/>
      </c>
      <c r="AF128" t="str">
        <f t="shared" si="16"/>
        <v>Thursday</v>
      </c>
      <c r="AG128" t="str">
        <f t="shared" si="17"/>
        <v/>
      </c>
      <c r="AH128" t="str">
        <f t="shared" si="18"/>
        <v/>
      </c>
      <c r="AI128" t="str">
        <f t="shared" si="19"/>
        <v/>
      </c>
      <c r="AJ128" t="str">
        <f>LEFT(Table1[[#This Row],[membership_type]],2)&amp;TEXT(Table1[[#This Row],[age]],"00")&amp;"-"&amp;TEXT(ROW(),"000")</f>
        <v>Pr25-128</v>
      </c>
      <c r="AK128" t="str">
        <f>LEFT(Table1[[#This Row],[membership_type]],1)&amp;TEXT(MATCH(Table1[[#This Row],[membership_type]],Table1[membership_type],0),"00")</f>
        <v>P01</v>
      </c>
      <c r="AL128" t="str">
        <f>LEFT(Table1[[#This Row],[discount_type]],1)&amp;TEXT(ROUND(Table1[[#This Row],[discount_rate]]*100,0),"00")</f>
        <v>N00</v>
      </c>
      <c r="AM128" t="str" cm="1">
        <f t="array" ref="AM128">TEXT(SUMPRODUCT(CODE(MID(Table1[[#This Row],[home_gym_location]],_xlfn.SEQUENCE(LEN(Table1[[#This Row],[home_gym_location]])),1))),"00000")</f>
        <v>01245</v>
      </c>
      <c r="AN12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8" t="str">
        <f>LEFT(_xlfn.TEXTBEFORE(Table1[[#This Row],[Location Identifier]],"-"),3) &amp; "-" &amp; _xlfn.TEXTAFTER(Table1[[#This Row],[Location Identifier]],"-")</f>
        <v>SAC-007</v>
      </c>
      <c r="AP128" s="9">
        <f t="shared" ca="1" si="10"/>
        <v>45869</v>
      </c>
    </row>
    <row r="129" spans="1:42" x14ac:dyDescent="0.25">
      <c r="A129">
        <v>12</v>
      </c>
      <c r="B129" t="s">
        <v>26</v>
      </c>
      <c r="C129">
        <v>5</v>
      </c>
      <c r="D129" t="s">
        <v>120</v>
      </c>
      <c r="E129" t="b">
        <v>1</v>
      </c>
      <c r="F129" s="1">
        <v>0.39930555555555558</v>
      </c>
      <c r="G129" s="1">
        <v>0.48958333333333331</v>
      </c>
      <c r="H129">
        <v>130</v>
      </c>
      <c r="I129" t="b">
        <v>1</v>
      </c>
      <c r="J129" t="b">
        <v>0</v>
      </c>
      <c r="K129" t="b">
        <v>0</v>
      </c>
      <c r="L129" t="s">
        <v>35</v>
      </c>
      <c r="M129">
        <v>50</v>
      </c>
      <c r="N129" t="s">
        <v>29</v>
      </c>
      <c r="O129">
        <v>50</v>
      </c>
      <c r="P129" t="s">
        <v>74</v>
      </c>
      <c r="Q129">
        <v>0.15</v>
      </c>
      <c r="R129">
        <v>42.5</v>
      </c>
      <c r="S129" t="s">
        <v>31</v>
      </c>
      <c r="T129" t="s">
        <v>56</v>
      </c>
      <c r="U129">
        <v>35.3733</v>
      </c>
      <c r="V129">
        <v>-119.0187</v>
      </c>
      <c r="W129" s="2">
        <v>44914</v>
      </c>
      <c r="X129">
        <v>0</v>
      </c>
      <c r="Y129" t="b">
        <v>1</v>
      </c>
      <c r="Z129" s="2">
        <v>45809</v>
      </c>
      <c r="AA129" t="str">
        <f t="shared" si="11"/>
        <v>10–19</v>
      </c>
      <c r="AB129" t="str">
        <f t="shared" si="12"/>
        <v>Under 16</v>
      </c>
      <c r="AC129" t="str">
        <f t="shared" si="13"/>
        <v>Monday</v>
      </c>
      <c r="AD129" t="str">
        <f t="shared" si="14"/>
        <v>Tuesday</v>
      </c>
      <c r="AE129" t="str">
        <f t="shared" si="15"/>
        <v/>
      </c>
      <c r="AF129" t="str">
        <f t="shared" si="16"/>
        <v>Thursday</v>
      </c>
      <c r="AG129" t="str">
        <f t="shared" si="17"/>
        <v>Friday</v>
      </c>
      <c r="AH129" t="str">
        <f t="shared" si="18"/>
        <v/>
      </c>
      <c r="AI129" t="str">
        <f t="shared" si="19"/>
        <v>Sunday</v>
      </c>
      <c r="AJ129" t="str">
        <f>LEFT(Table1[[#This Row],[membership_type]],2)&amp;TEXT(Table1[[#This Row],[age]],"00")&amp;"-"&amp;TEXT(ROW(),"000")</f>
        <v>Pr12-129</v>
      </c>
      <c r="AK129" t="str">
        <f>LEFT(Table1[[#This Row],[membership_type]],1)&amp;TEXT(MATCH(Table1[[#This Row],[membership_type]],Table1[membership_type],0),"00")</f>
        <v>P01</v>
      </c>
      <c r="AL129" t="str">
        <f>LEFT(Table1[[#This Row],[discount_type]],1)&amp;TEXT(ROUND(Table1[[#This Row],[discount_rate]]*100,0),"00")</f>
        <v>S15</v>
      </c>
      <c r="AM129" t="str" cm="1">
        <f t="array" ref="AM129">TEXT(SUMPRODUCT(CODE(MID(Table1[[#This Row],[home_gym_location]],_xlfn.SEQUENCE(LEN(Table1[[#This Row],[home_gym_location]])),1))),"00000")</f>
        <v>01324</v>
      </c>
      <c r="AN12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9" t="str">
        <f>LEFT(_xlfn.TEXTBEFORE(Table1[[#This Row],[Location Identifier]],"-"),3) &amp; "-" &amp; _xlfn.TEXTAFTER(Table1[[#This Row],[Location Identifier]],"-")</f>
        <v>BAK-002</v>
      </c>
      <c r="AP129" s="9">
        <f t="shared" ca="1" si="10"/>
        <v>45869</v>
      </c>
    </row>
    <row r="130" spans="1:42" x14ac:dyDescent="0.25">
      <c r="A130">
        <v>42</v>
      </c>
      <c r="B130" t="s">
        <v>26</v>
      </c>
      <c r="C130">
        <v>1</v>
      </c>
      <c r="D130" t="s">
        <v>67</v>
      </c>
      <c r="E130" t="b">
        <v>1</v>
      </c>
      <c r="F130" s="1">
        <v>0.53611111111111109</v>
      </c>
      <c r="G130" s="1">
        <v>0.59583333333333333</v>
      </c>
      <c r="H130">
        <v>86</v>
      </c>
      <c r="I130" t="b">
        <v>0</v>
      </c>
      <c r="J130" t="b">
        <v>0</v>
      </c>
      <c r="K130" t="b">
        <v>0</v>
      </c>
      <c r="L130" t="s">
        <v>62</v>
      </c>
      <c r="M130">
        <v>50</v>
      </c>
      <c r="N130" t="s">
        <v>29</v>
      </c>
      <c r="O130">
        <v>50</v>
      </c>
      <c r="P130" t="s">
        <v>40</v>
      </c>
      <c r="Q130">
        <v>0.1</v>
      </c>
      <c r="R130">
        <v>45</v>
      </c>
      <c r="S130" t="s">
        <v>31</v>
      </c>
      <c r="T130" t="s">
        <v>65</v>
      </c>
      <c r="U130">
        <v>33.770099999999999</v>
      </c>
      <c r="V130">
        <v>-118.19370000000001</v>
      </c>
      <c r="W130" s="2">
        <v>45823</v>
      </c>
      <c r="X130">
        <v>0</v>
      </c>
      <c r="Y130" t="b">
        <v>1</v>
      </c>
      <c r="Z130" s="2">
        <v>45860</v>
      </c>
      <c r="AA130" t="str">
        <f t="shared" si="11"/>
        <v>40–49</v>
      </c>
      <c r="AB130" t="str">
        <f t="shared" si="12"/>
        <v>40–49</v>
      </c>
      <c r="AC130" t="str">
        <f t="shared" si="13"/>
        <v/>
      </c>
      <c r="AD130" t="str">
        <f t="shared" si="14"/>
        <v/>
      </c>
      <c r="AE130" t="str">
        <f t="shared" si="15"/>
        <v/>
      </c>
      <c r="AF130" t="str">
        <f t="shared" si="16"/>
        <v>Thursday</v>
      </c>
      <c r="AG130" t="str">
        <f t="shared" si="17"/>
        <v/>
      </c>
      <c r="AH130" t="str">
        <f t="shared" si="18"/>
        <v/>
      </c>
      <c r="AI130" t="str">
        <f t="shared" si="19"/>
        <v/>
      </c>
      <c r="AJ130" t="str">
        <f>LEFT(Table1[[#This Row],[membership_type]],2)&amp;TEXT(Table1[[#This Row],[age]],"00")&amp;"-"&amp;TEXT(ROW(),"000")</f>
        <v>Pr42-130</v>
      </c>
      <c r="AK130" t="str">
        <f>LEFT(Table1[[#This Row],[membership_type]],1)&amp;TEXT(MATCH(Table1[[#This Row],[membership_type]],Table1[membership_type],0),"00")</f>
        <v>P01</v>
      </c>
      <c r="AL130" t="str">
        <f>LEFT(Table1[[#This Row],[discount_type]],1)&amp;TEXT(ROUND(Table1[[#This Row],[discount_rate]]*100,0),"00")</f>
        <v>L10</v>
      </c>
      <c r="AM130" t="str" cm="1">
        <f t="array" ref="AM130">TEXT(SUMPRODUCT(CODE(MID(Table1[[#This Row],[home_gym_location]],_xlfn.SEQUENCE(LEN(Table1[[#This Row],[home_gym_location]])),1))),"00000")</f>
        <v>01107</v>
      </c>
      <c r="AN13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0" t="str">
        <f>LEFT(_xlfn.TEXTBEFORE(Table1[[#This Row],[Location Identifier]],"-"),3) &amp; "-" &amp; _xlfn.TEXTAFTER(Table1[[#This Row],[Location Identifier]],"-")</f>
        <v>LON-004</v>
      </c>
      <c r="AP130" s="9">
        <f t="shared" ref="AP130:AP193" ca="1" si="20">EOMONTH(DATE(YEAR(TODAY()),7,1),0)</f>
        <v>45869</v>
      </c>
    </row>
    <row r="131" spans="1:42" x14ac:dyDescent="0.25">
      <c r="A131">
        <v>26</v>
      </c>
      <c r="B131" t="s">
        <v>26</v>
      </c>
      <c r="C131">
        <v>1</v>
      </c>
      <c r="D131" t="s">
        <v>75</v>
      </c>
      <c r="E131" t="b">
        <v>1</v>
      </c>
      <c r="F131" s="1">
        <v>0.53125</v>
      </c>
      <c r="G131" s="1">
        <v>0.58958333333333335</v>
      </c>
      <c r="H131">
        <v>84</v>
      </c>
      <c r="I131" t="b">
        <v>1</v>
      </c>
      <c r="J131" t="b">
        <v>1</v>
      </c>
      <c r="K131" t="b">
        <v>1</v>
      </c>
      <c r="L131" t="s">
        <v>58</v>
      </c>
      <c r="M131">
        <v>50</v>
      </c>
      <c r="N131" t="s">
        <v>29</v>
      </c>
      <c r="O131">
        <v>50</v>
      </c>
      <c r="P131" t="s">
        <v>36</v>
      </c>
      <c r="Q131">
        <v>0</v>
      </c>
      <c r="R131">
        <v>50</v>
      </c>
      <c r="S131" t="s">
        <v>31</v>
      </c>
      <c r="T131" t="s">
        <v>56</v>
      </c>
      <c r="U131">
        <v>35.3733</v>
      </c>
      <c r="V131">
        <v>-119.0187</v>
      </c>
      <c r="W131" s="2">
        <v>45287</v>
      </c>
      <c r="X131">
        <v>5</v>
      </c>
      <c r="Y131" t="b">
        <v>0</v>
      </c>
      <c r="Z131" s="2">
        <v>45830</v>
      </c>
      <c r="AA131" t="str">
        <f t="shared" ref="AA131:AA194" si="21">TEXT(10*INT($A131/10),"0")&amp;"–"&amp;TEXT(10*INT($A131/10)+9,"0")</f>
        <v>20–29</v>
      </c>
      <c r="AB131" t="str">
        <f t="shared" ref="AB131:AB194" si="22">IF(AND($AA131 = "10–19", $A131 &lt; 16), "Under 16", IF(AND($AA131 = "10–19", $A131 &gt;= 16), "16–19", $AA131))</f>
        <v>20–29</v>
      </c>
      <c r="AC131" t="str">
        <f t="shared" ref="AC131:AC194" si="23">IF(ISNUMBER(SEARCH("Mon", $D131)), "Monday", "")</f>
        <v/>
      </c>
      <c r="AD131" t="str">
        <f t="shared" ref="AD131:AD194" si="24">IF(ISNUMBER(SEARCH("Tue", $D131)), "Tuesday", "")</f>
        <v/>
      </c>
      <c r="AE131" t="str">
        <f t="shared" ref="AE131:AE194" si="25">IF(ISNUMBER(SEARCH("Wed", $D131)), "Wednesday", "")</f>
        <v/>
      </c>
      <c r="AF131" t="str">
        <f t="shared" ref="AF131:AF194" si="26">IF(ISNUMBER(SEARCH("Thu", $D131)), "Thursday", "")</f>
        <v/>
      </c>
      <c r="AG131" t="str">
        <f t="shared" ref="AG131:AG194" si="27">IF(ISNUMBER(SEARCH("Fri", $D131)), "Friday", "")</f>
        <v>Friday</v>
      </c>
      <c r="AH131" t="str">
        <f t="shared" ref="AH131:AH194" si="28">IF(ISNUMBER(SEARCH("Sat", $D131)), "Saturday", "")</f>
        <v/>
      </c>
      <c r="AI131" t="str">
        <f t="shared" ref="AI131:AI194" si="29">IF(ISNUMBER(SEARCH("Sun", $D131)), "Sunday", "")</f>
        <v/>
      </c>
      <c r="AJ131" t="str">
        <f>LEFT(Table1[[#This Row],[membership_type]],2)&amp;TEXT(Table1[[#This Row],[age]],"00")&amp;"-"&amp;TEXT(ROW(),"000")</f>
        <v>Pr26-131</v>
      </c>
      <c r="AK131" t="str">
        <f>LEFT(Table1[[#This Row],[membership_type]],1)&amp;TEXT(MATCH(Table1[[#This Row],[membership_type]],Table1[membership_type],0),"00")</f>
        <v>P01</v>
      </c>
      <c r="AL131" t="str">
        <f>LEFT(Table1[[#This Row],[discount_type]],1)&amp;TEXT(ROUND(Table1[[#This Row],[discount_rate]]*100,0),"00")</f>
        <v>N00</v>
      </c>
      <c r="AM131" t="str" cm="1">
        <f t="array" ref="AM131">TEXT(SUMPRODUCT(CODE(MID(Table1[[#This Row],[home_gym_location]],_xlfn.SEQUENCE(LEN(Table1[[#This Row],[home_gym_location]])),1))),"00000")</f>
        <v>01324</v>
      </c>
      <c r="AN13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1" t="str">
        <f>LEFT(_xlfn.TEXTBEFORE(Table1[[#This Row],[Location Identifier]],"-"),3) &amp; "-" &amp; _xlfn.TEXTAFTER(Table1[[#This Row],[Location Identifier]],"-")</f>
        <v>BAK-002</v>
      </c>
      <c r="AP131" s="9">
        <f t="shared" ca="1" si="20"/>
        <v>45869</v>
      </c>
    </row>
    <row r="132" spans="1:42" x14ac:dyDescent="0.25">
      <c r="A132">
        <v>16</v>
      </c>
      <c r="B132" t="s">
        <v>42</v>
      </c>
      <c r="C132">
        <v>1</v>
      </c>
      <c r="D132" t="s">
        <v>97</v>
      </c>
      <c r="E132" t="b">
        <v>1</v>
      </c>
      <c r="F132" s="1">
        <v>0.83472222222222225</v>
      </c>
      <c r="G132" s="1">
        <v>0.94236111111111109</v>
      </c>
      <c r="H132">
        <v>155</v>
      </c>
      <c r="I132" t="b">
        <v>0</v>
      </c>
      <c r="J132" t="b">
        <v>1</v>
      </c>
      <c r="K132" t="b">
        <v>0</v>
      </c>
      <c r="L132" t="s">
        <v>28</v>
      </c>
      <c r="M132">
        <v>20</v>
      </c>
      <c r="N132" t="s">
        <v>29</v>
      </c>
      <c r="O132">
        <v>20</v>
      </c>
      <c r="P132" t="s">
        <v>30</v>
      </c>
      <c r="Q132">
        <v>0.05</v>
      </c>
      <c r="R132">
        <v>19</v>
      </c>
      <c r="S132" t="s">
        <v>44</v>
      </c>
      <c r="T132" t="s">
        <v>38</v>
      </c>
      <c r="U132">
        <v>36.7378</v>
      </c>
      <c r="V132">
        <v>-119.7871</v>
      </c>
      <c r="W132" s="2">
        <v>45386</v>
      </c>
      <c r="X132">
        <v>1</v>
      </c>
      <c r="Y132" t="b">
        <v>0</v>
      </c>
      <c r="Z132" s="2">
        <v>45835</v>
      </c>
      <c r="AA132" t="str">
        <f t="shared" si="21"/>
        <v>10–19</v>
      </c>
      <c r="AB132" t="str">
        <f t="shared" si="22"/>
        <v>16–19</v>
      </c>
      <c r="AC132" t="str">
        <f t="shared" si="23"/>
        <v>Monday</v>
      </c>
      <c r="AD132" t="str">
        <f t="shared" si="24"/>
        <v/>
      </c>
      <c r="AE132" t="str">
        <f t="shared" si="25"/>
        <v/>
      </c>
      <c r="AF132" t="str">
        <f t="shared" si="26"/>
        <v/>
      </c>
      <c r="AG132" t="str">
        <f t="shared" si="27"/>
        <v/>
      </c>
      <c r="AH132" t="str">
        <f t="shared" si="28"/>
        <v/>
      </c>
      <c r="AI132" t="str">
        <f t="shared" si="29"/>
        <v/>
      </c>
      <c r="AJ132" t="str">
        <f>LEFT(Table1[[#This Row],[membership_type]],2)&amp;TEXT(Table1[[#This Row],[age]],"00")&amp;"-"&amp;TEXT(ROW(),"000")</f>
        <v>Ba16-132</v>
      </c>
      <c r="AK132" t="str">
        <f>LEFT(Table1[[#This Row],[membership_type]],1)&amp;TEXT(MATCH(Table1[[#This Row],[membership_type]],Table1[membership_type],0),"00")</f>
        <v>B04</v>
      </c>
      <c r="AL132" t="str">
        <f>LEFT(Table1[[#This Row],[discount_type]],1)&amp;TEXT(ROUND(Table1[[#This Row],[discount_rate]]*100,0),"00")</f>
        <v>P05</v>
      </c>
      <c r="AM132" t="str" cm="1">
        <f t="array" ref="AM132">TEXT(SUMPRODUCT(CODE(MID(Table1[[#This Row],[home_gym_location]],_xlfn.SEQUENCE(LEN(Table1[[#This Row],[home_gym_location]])),1))),"00000")</f>
        <v>00829</v>
      </c>
      <c r="AN132" t="str">
        <f>UPPER(_xlfn.TEXTBEFORE(Table1[[#This Row],[home_gym_location]],","))&amp;"-"&amp;TEXT(MATCH(Table1[[#This Row],[home_gym_location]],_xlfn._xlws.SORT(_xlfn.UNIQUE(Table1[home_gym_location])),0),"000")</f>
        <v>FRESNO-003</v>
      </c>
      <c r="AO132" t="str">
        <f>LEFT(_xlfn.TEXTBEFORE(Table1[[#This Row],[Location Identifier]],"-"),3) &amp; "-" &amp; _xlfn.TEXTAFTER(Table1[[#This Row],[Location Identifier]],"-")</f>
        <v>FRE-003</v>
      </c>
      <c r="AP132" s="9">
        <f t="shared" ca="1" si="20"/>
        <v>45869</v>
      </c>
    </row>
    <row r="133" spans="1:42" x14ac:dyDescent="0.25">
      <c r="A133">
        <v>21</v>
      </c>
      <c r="B133" t="s">
        <v>42</v>
      </c>
      <c r="C133">
        <v>1</v>
      </c>
      <c r="D133" t="s">
        <v>97</v>
      </c>
      <c r="E133" t="b">
        <v>0</v>
      </c>
      <c r="F133" s="1">
        <v>0.35347222222222224</v>
      </c>
      <c r="G133" s="1">
        <v>0.41180555555555554</v>
      </c>
      <c r="H133">
        <v>84</v>
      </c>
      <c r="I133" t="b">
        <v>1</v>
      </c>
      <c r="J133" t="b">
        <v>0</v>
      </c>
      <c r="K133" t="b">
        <v>0</v>
      </c>
      <c r="L133" t="s">
        <v>28</v>
      </c>
      <c r="M133">
        <v>20</v>
      </c>
      <c r="N133" t="s">
        <v>64</v>
      </c>
      <c r="O133">
        <v>15</v>
      </c>
      <c r="P133" t="s">
        <v>30</v>
      </c>
      <c r="Q133">
        <v>0.05</v>
      </c>
      <c r="R133">
        <v>14.25</v>
      </c>
      <c r="S133" t="s">
        <v>44</v>
      </c>
      <c r="T133" t="s">
        <v>41</v>
      </c>
      <c r="U133">
        <v>37.804400000000001</v>
      </c>
      <c r="V133">
        <v>-122.27119999999999</v>
      </c>
      <c r="W133" s="2">
        <v>45594</v>
      </c>
      <c r="X133">
        <v>0</v>
      </c>
      <c r="Y133" t="b">
        <v>0</v>
      </c>
      <c r="Z133" s="2">
        <v>45847</v>
      </c>
      <c r="AA133" t="str">
        <f t="shared" si="21"/>
        <v>20–29</v>
      </c>
      <c r="AB133" t="str">
        <f t="shared" si="22"/>
        <v>20–29</v>
      </c>
      <c r="AC133" t="str">
        <f t="shared" si="23"/>
        <v>Monday</v>
      </c>
      <c r="AD133" t="str">
        <f t="shared" si="24"/>
        <v/>
      </c>
      <c r="AE133" t="str">
        <f t="shared" si="25"/>
        <v/>
      </c>
      <c r="AF133" t="str">
        <f t="shared" si="26"/>
        <v/>
      </c>
      <c r="AG133" t="str">
        <f t="shared" si="27"/>
        <v/>
      </c>
      <c r="AH133" t="str">
        <f t="shared" si="28"/>
        <v/>
      </c>
      <c r="AI133" t="str">
        <f t="shared" si="29"/>
        <v/>
      </c>
      <c r="AJ133" t="str">
        <f>LEFT(Table1[[#This Row],[membership_type]],2)&amp;TEXT(Table1[[#This Row],[age]],"00")&amp;"-"&amp;TEXT(ROW(),"000")</f>
        <v>Ba21-133</v>
      </c>
      <c r="AK133" t="str">
        <f>LEFT(Table1[[#This Row],[membership_type]],1)&amp;TEXT(MATCH(Table1[[#This Row],[membership_type]],Table1[membership_type],0),"00")</f>
        <v>B04</v>
      </c>
      <c r="AL133" t="str">
        <f>LEFT(Table1[[#This Row],[discount_type]],1)&amp;TEXT(ROUND(Table1[[#This Row],[discount_rate]]*100,0),"00")</f>
        <v>P05</v>
      </c>
      <c r="AM133" t="str" cm="1">
        <f t="array" ref="AM133">TEXT(SUMPRODUCT(CODE(MID(Table1[[#This Row],[home_gym_location]],_xlfn.SEQUENCE(LEN(Table1[[#This Row],[home_gym_location]])),1))),"00000")</f>
        <v>00906</v>
      </c>
      <c r="AN13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3" t="str">
        <f>LEFT(_xlfn.TEXTBEFORE(Table1[[#This Row],[Location Identifier]],"-"),3) &amp; "-" &amp; _xlfn.TEXTAFTER(Table1[[#This Row],[Location Identifier]],"-")</f>
        <v>OAK-006</v>
      </c>
      <c r="AP133" s="9">
        <f t="shared" ca="1" si="20"/>
        <v>45869</v>
      </c>
    </row>
    <row r="134" spans="1:42" x14ac:dyDescent="0.25">
      <c r="A134">
        <v>15</v>
      </c>
      <c r="B134" t="s">
        <v>33</v>
      </c>
      <c r="C134">
        <v>4</v>
      </c>
      <c r="D134" t="s">
        <v>99</v>
      </c>
      <c r="E134" t="b">
        <v>0</v>
      </c>
      <c r="F134" s="1">
        <v>0.58750000000000002</v>
      </c>
      <c r="G134" s="1">
        <v>0.66249999999999998</v>
      </c>
      <c r="H134">
        <v>108</v>
      </c>
      <c r="I134" t="b">
        <v>1</v>
      </c>
      <c r="J134" t="b">
        <v>0</v>
      </c>
      <c r="K134" t="b">
        <v>1</v>
      </c>
      <c r="L134" t="s">
        <v>28</v>
      </c>
      <c r="M134">
        <v>30</v>
      </c>
      <c r="N134" t="s">
        <v>29</v>
      </c>
      <c r="O134">
        <v>30</v>
      </c>
      <c r="P134" t="s">
        <v>36</v>
      </c>
      <c r="Q134">
        <v>0</v>
      </c>
      <c r="R134">
        <v>30</v>
      </c>
      <c r="S134" t="s">
        <v>37</v>
      </c>
      <c r="T134" t="s">
        <v>41</v>
      </c>
      <c r="U134">
        <v>37.804400000000001</v>
      </c>
      <c r="V134">
        <v>-122.27119999999999</v>
      </c>
      <c r="W134" s="2">
        <v>45703</v>
      </c>
      <c r="X134">
        <v>0</v>
      </c>
      <c r="Y134" t="b">
        <v>0</v>
      </c>
      <c r="Z134" s="2">
        <v>45853</v>
      </c>
      <c r="AA134" t="str">
        <f t="shared" si="21"/>
        <v>10–19</v>
      </c>
      <c r="AB134" t="str">
        <f t="shared" si="22"/>
        <v>Under 16</v>
      </c>
      <c r="AC134" t="str">
        <f t="shared" si="23"/>
        <v/>
      </c>
      <c r="AD134" t="str">
        <f t="shared" si="24"/>
        <v/>
      </c>
      <c r="AE134" t="str">
        <f t="shared" si="25"/>
        <v>Wednesday</v>
      </c>
      <c r="AF134" t="str">
        <f t="shared" si="26"/>
        <v/>
      </c>
      <c r="AG134" t="str">
        <f t="shared" si="27"/>
        <v>Friday</v>
      </c>
      <c r="AH134" t="str">
        <f t="shared" si="28"/>
        <v>Saturday</v>
      </c>
      <c r="AI134" t="str">
        <f t="shared" si="29"/>
        <v>Sunday</v>
      </c>
      <c r="AJ134" t="str">
        <f>LEFT(Table1[[#This Row],[membership_type]],2)&amp;TEXT(Table1[[#This Row],[age]],"00")&amp;"-"&amp;TEXT(ROW(),"000")</f>
        <v>St15-134</v>
      </c>
      <c r="AK134" t="str">
        <f>LEFT(Table1[[#This Row],[membership_type]],1)&amp;TEXT(MATCH(Table1[[#This Row],[membership_type]],Table1[membership_type],0),"00")</f>
        <v>S02</v>
      </c>
      <c r="AL134" t="str">
        <f>LEFT(Table1[[#This Row],[discount_type]],1)&amp;TEXT(ROUND(Table1[[#This Row],[discount_rate]]*100,0),"00")</f>
        <v>N00</v>
      </c>
      <c r="AM134" t="str" cm="1">
        <f t="array" ref="AM134">TEXT(SUMPRODUCT(CODE(MID(Table1[[#This Row],[home_gym_location]],_xlfn.SEQUENCE(LEN(Table1[[#This Row],[home_gym_location]])),1))),"00000")</f>
        <v>00906</v>
      </c>
      <c r="AN13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4" t="str">
        <f>LEFT(_xlfn.TEXTBEFORE(Table1[[#This Row],[Location Identifier]],"-"),3) &amp; "-" &amp; _xlfn.TEXTAFTER(Table1[[#This Row],[Location Identifier]],"-")</f>
        <v>OAK-006</v>
      </c>
      <c r="AP134" s="9">
        <f t="shared" ca="1" si="20"/>
        <v>45869</v>
      </c>
    </row>
    <row r="135" spans="1:42" x14ac:dyDescent="0.25">
      <c r="A135">
        <v>47</v>
      </c>
      <c r="B135" t="s">
        <v>33</v>
      </c>
      <c r="C135">
        <v>3</v>
      </c>
      <c r="D135" t="s">
        <v>121</v>
      </c>
      <c r="E135" t="b">
        <v>0</v>
      </c>
      <c r="F135" s="1">
        <v>0.45</v>
      </c>
      <c r="G135" s="1">
        <v>0.5229166666666667</v>
      </c>
      <c r="H135">
        <v>105</v>
      </c>
      <c r="I135" t="b">
        <v>1</v>
      </c>
      <c r="J135" t="b">
        <v>0</v>
      </c>
      <c r="K135" t="b">
        <v>1</v>
      </c>
      <c r="L135" t="s">
        <v>62</v>
      </c>
      <c r="M135">
        <v>30</v>
      </c>
      <c r="N135" t="s">
        <v>29</v>
      </c>
      <c r="O135">
        <v>30</v>
      </c>
      <c r="P135" t="s">
        <v>40</v>
      </c>
      <c r="Q135">
        <v>0.1</v>
      </c>
      <c r="R135">
        <v>27</v>
      </c>
      <c r="S135" t="s">
        <v>37</v>
      </c>
      <c r="T135" t="s">
        <v>65</v>
      </c>
      <c r="U135">
        <v>33.770099999999999</v>
      </c>
      <c r="V135">
        <v>-118.19370000000001</v>
      </c>
      <c r="W135" s="2">
        <v>45471</v>
      </c>
      <c r="X135">
        <v>0</v>
      </c>
      <c r="Y135" t="b">
        <v>1</v>
      </c>
      <c r="Z135" s="2">
        <v>45840</v>
      </c>
      <c r="AA135" t="str">
        <f t="shared" si="21"/>
        <v>40–49</v>
      </c>
      <c r="AB135" t="str">
        <f t="shared" si="22"/>
        <v>40–49</v>
      </c>
      <c r="AC135" t="str">
        <f t="shared" si="23"/>
        <v>Monday</v>
      </c>
      <c r="AD135" t="str">
        <f t="shared" si="24"/>
        <v>Tuesday</v>
      </c>
      <c r="AE135" t="str">
        <f t="shared" si="25"/>
        <v/>
      </c>
      <c r="AF135" t="str">
        <f t="shared" si="26"/>
        <v/>
      </c>
      <c r="AG135" t="str">
        <f t="shared" si="27"/>
        <v/>
      </c>
      <c r="AH135" t="str">
        <f t="shared" si="28"/>
        <v/>
      </c>
      <c r="AI135" t="str">
        <f t="shared" si="29"/>
        <v>Sunday</v>
      </c>
      <c r="AJ135" t="str">
        <f>LEFT(Table1[[#This Row],[membership_type]],2)&amp;TEXT(Table1[[#This Row],[age]],"00")&amp;"-"&amp;TEXT(ROW(),"000")</f>
        <v>St47-135</v>
      </c>
      <c r="AK135" t="str">
        <f>LEFT(Table1[[#This Row],[membership_type]],1)&amp;TEXT(MATCH(Table1[[#This Row],[membership_type]],Table1[membership_type],0),"00")</f>
        <v>S02</v>
      </c>
      <c r="AL135" t="str">
        <f>LEFT(Table1[[#This Row],[discount_type]],1)&amp;TEXT(ROUND(Table1[[#This Row],[discount_rate]]*100,0),"00")</f>
        <v>L10</v>
      </c>
      <c r="AM135" t="str" cm="1">
        <f t="array" ref="AM135">TEXT(SUMPRODUCT(CODE(MID(Table1[[#This Row],[home_gym_location]],_xlfn.SEQUENCE(LEN(Table1[[#This Row],[home_gym_location]])),1))),"00000")</f>
        <v>01107</v>
      </c>
      <c r="AN13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5" t="str">
        <f>LEFT(_xlfn.TEXTBEFORE(Table1[[#This Row],[Location Identifier]],"-"),3) &amp; "-" &amp; _xlfn.TEXTAFTER(Table1[[#This Row],[Location Identifier]],"-")</f>
        <v>LON-004</v>
      </c>
      <c r="AP135" s="9">
        <f t="shared" ca="1" si="20"/>
        <v>45869</v>
      </c>
    </row>
    <row r="136" spans="1:42" x14ac:dyDescent="0.25">
      <c r="A136">
        <v>19</v>
      </c>
      <c r="B136" t="s">
        <v>26</v>
      </c>
      <c r="C136">
        <v>1</v>
      </c>
      <c r="D136" t="s">
        <v>95</v>
      </c>
      <c r="E136" t="b">
        <v>0</v>
      </c>
      <c r="F136" s="1">
        <v>0.67361111111111116</v>
      </c>
      <c r="G136" s="1">
        <v>0.72222222222222221</v>
      </c>
      <c r="H136">
        <v>70</v>
      </c>
      <c r="I136" t="b">
        <v>0</v>
      </c>
      <c r="J136" t="b">
        <v>1</v>
      </c>
      <c r="K136" t="b">
        <v>1</v>
      </c>
      <c r="L136" t="s">
        <v>28</v>
      </c>
      <c r="M136">
        <v>50</v>
      </c>
      <c r="N136" t="s">
        <v>64</v>
      </c>
      <c r="O136">
        <v>37.5</v>
      </c>
      <c r="P136" t="s">
        <v>40</v>
      </c>
      <c r="Q136">
        <v>0.1</v>
      </c>
      <c r="R136">
        <v>33.75</v>
      </c>
      <c r="S136" t="s">
        <v>31</v>
      </c>
      <c r="T136" t="s">
        <v>41</v>
      </c>
      <c r="U136">
        <v>37.804400000000001</v>
      </c>
      <c r="V136">
        <v>-122.27119999999999</v>
      </c>
      <c r="W136" s="2">
        <v>44826</v>
      </c>
      <c r="X136">
        <v>1</v>
      </c>
      <c r="Y136" t="b">
        <v>1</v>
      </c>
      <c r="Z136" s="2">
        <v>45804</v>
      </c>
      <c r="AA136" t="str">
        <f t="shared" si="21"/>
        <v>10–19</v>
      </c>
      <c r="AB136" t="str">
        <f t="shared" si="22"/>
        <v>16–19</v>
      </c>
      <c r="AC136" t="str">
        <f t="shared" si="23"/>
        <v/>
      </c>
      <c r="AD136" t="str">
        <f t="shared" si="24"/>
        <v/>
      </c>
      <c r="AE136" t="str">
        <f t="shared" si="25"/>
        <v/>
      </c>
      <c r="AF136" t="str">
        <f t="shared" si="26"/>
        <v/>
      </c>
      <c r="AG136" t="str">
        <f t="shared" si="27"/>
        <v/>
      </c>
      <c r="AH136" t="str">
        <f t="shared" si="28"/>
        <v>Saturday</v>
      </c>
      <c r="AI136" t="str">
        <f t="shared" si="29"/>
        <v/>
      </c>
      <c r="AJ136" t="str">
        <f>LEFT(Table1[[#This Row],[membership_type]],2)&amp;TEXT(Table1[[#This Row],[age]],"00")&amp;"-"&amp;TEXT(ROW(),"000")</f>
        <v>Pr19-136</v>
      </c>
      <c r="AK136" t="str">
        <f>LEFT(Table1[[#This Row],[membership_type]],1)&amp;TEXT(MATCH(Table1[[#This Row],[membership_type]],Table1[membership_type],0),"00")</f>
        <v>P01</v>
      </c>
      <c r="AL136" t="str">
        <f>LEFT(Table1[[#This Row],[discount_type]],1)&amp;TEXT(ROUND(Table1[[#This Row],[discount_rate]]*100,0),"00")</f>
        <v>L10</v>
      </c>
      <c r="AM136" t="str" cm="1">
        <f t="array" ref="AM136">TEXT(SUMPRODUCT(CODE(MID(Table1[[#This Row],[home_gym_location]],_xlfn.SEQUENCE(LEN(Table1[[#This Row],[home_gym_location]])),1))),"00000")</f>
        <v>00906</v>
      </c>
      <c r="AN136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6" t="str">
        <f>LEFT(_xlfn.TEXTBEFORE(Table1[[#This Row],[Location Identifier]],"-"),3) &amp; "-" &amp; _xlfn.TEXTAFTER(Table1[[#This Row],[Location Identifier]],"-")</f>
        <v>OAK-006</v>
      </c>
      <c r="AP136" s="9">
        <f t="shared" ca="1" si="20"/>
        <v>45869</v>
      </c>
    </row>
    <row r="137" spans="1:42" x14ac:dyDescent="0.25">
      <c r="A137">
        <v>29</v>
      </c>
      <c r="B137" t="s">
        <v>51</v>
      </c>
      <c r="C137">
        <v>4</v>
      </c>
      <c r="D137" t="s">
        <v>52</v>
      </c>
      <c r="E137" t="b">
        <v>1</v>
      </c>
      <c r="F137" s="1">
        <v>0.76041666666666663</v>
      </c>
      <c r="G137" s="1">
        <v>0.78749999999999998</v>
      </c>
      <c r="H137">
        <v>39</v>
      </c>
      <c r="I137" t="b">
        <v>0</v>
      </c>
      <c r="J137" t="b">
        <v>1</v>
      </c>
      <c r="K137" t="b">
        <v>1</v>
      </c>
      <c r="L137" t="s">
        <v>47</v>
      </c>
      <c r="M137">
        <v>70</v>
      </c>
      <c r="N137" t="s">
        <v>29</v>
      </c>
      <c r="O137">
        <v>70</v>
      </c>
      <c r="P137" t="s">
        <v>36</v>
      </c>
      <c r="Q137">
        <v>0</v>
      </c>
      <c r="R137">
        <v>70</v>
      </c>
      <c r="S137" t="s">
        <v>53</v>
      </c>
      <c r="T137" t="s">
        <v>54</v>
      </c>
      <c r="U137">
        <v>32.715699999999998</v>
      </c>
      <c r="V137">
        <v>-117.1611</v>
      </c>
      <c r="W137" s="2">
        <v>45486</v>
      </c>
      <c r="X137">
        <v>2</v>
      </c>
      <c r="Y137" t="b">
        <v>1</v>
      </c>
      <c r="Z137" s="2">
        <v>45841</v>
      </c>
      <c r="AA137" t="str">
        <f t="shared" si="21"/>
        <v>20–29</v>
      </c>
      <c r="AB137" t="str">
        <f t="shared" si="22"/>
        <v>20–29</v>
      </c>
      <c r="AC137" t="str">
        <f t="shared" si="23"/>
        <v>Monday</v>
      </c>
      <c r="AD137" t="str">
        <f t="shared" si="24"/>
        <v/>
      </c>
      <c r="AE137" t="str">
        <f t="shared" si="25"/>
        <v/>
      </c>
      <c r="AF137" t="str">
        <f t="shared" si="26"/>
        <v>Thursday</v>
      </c>
      <c r="AG137" t="str">
        <f t="shared" si="27"/>
        <v>Friday</v>
      </c>
      <c r="AH137" t="str">
        <f t="shared" si="28"/>
        <v/>
      </c>
      <c r="AI137" t="str">
        <f t="shared" si="29"/>
        <v>Sunday</v>
      </c>
      <c r="AJ137" t="str">
        <f>LEFT(Table1[[#This Row],[membership_type]],2)&amp;TEXT(Table1[[#This Row],[age]],"00")&amp;"-"&amp;TEXT(ROW(),"000")</f>
        <v>El29-137</v>
      </c>
      <c r="AK137" t="str">
        <f>LEFT(Table1[[#This Row],[membership_type]],1)&amp;TEXT(MATCH(Table1[[#This Row],[membership_type]],Table1[membership_type],0),"00")</f>
        <v>E07</v>
      </c>
      <c r="AL137" t="str">
        <f>LEFT(Table1[[#This Row],[discount_type]],1)&amp;TEXT(ROUND(Table1[[#This Row],[discount_rate]]*100,0),"00")</f>
        <v>N00</v>
      </c>
      <c r="AM137" t="str" cm="1">
        <f t="array" ref="AM137">TEXT(SUMPRODUCT(CODE(MID(Table1[[#This Row],[home_gym_location]],_xlfn.SEQUENCE(LEN(Table1[[#This Row],[home_gym_location]])),1))),"00000")</f>
        <v>01018</v>
      </c>
      <c r="AN13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7" t="str">
        <f>LEFT(_xlfn.TEXTBEFORE(Table1[[#This Row],[Location Identifier]],"-"),3) &amp; "-" &amp; _xlfn.TEXTAFTER(Table1[[#This Row],[Location Identifier]],"-")</f>
        <v>SAN-008</v>
      </c>
      <c r="AP137" s="9">
        <f t="shared" ca="1" si="20"/>
        <v>45869</v>
      </c>
    </row>
    <row r="138" spans="1:42" x14ac:dyDescent="0.25">
      <c r="A138">
        <v>48</v>
      </c>
      <c r="B138" t="s">
        <v>33</v>
      </c>
      <c r="C138">
        <v>5</v>
      </c>
      <c r="D138" t="s">
        <v>112</v>
      </c>
      <c r="E138" t="b">
        <v>0</v>
      </c>
      <c r="F138" s="1">
        <v>0.65416666666666667</v>
      </c>
      <c r="G138" s="1">
        <v>0.77430555555555558</v>
      </c>
      <c r="H138">
        <v>173</v>
      </c>
      <c r="I138" t="b">
        <v>0</v>
      </c>
      <c r="J138" t="b">
        <v>1</v>
      </c>
      <c r="K138" t="b">
        <v>1</v>
      </c>
      <c r="L138" t="s">
        <v>62</v>
      </c>
      <c r="M138">
        <v>30</v>
      </c>
      <c r="N138" t="s">
        <v>29</v>
      </c>
      <c r="O138">
        <v>30</v>
      </c>
      <c r="P138" t="s">
        <v>36</v>
      </c>
      <c r="Q138">
        <v>0</v>
      </c>
      <c r="R138">
        <v>30</v>
      </c>
      <c r="S138" t="s">
        <v>37</v>
      </c>
      <c r="T138" t="s">
        <v>48</v>
      </c>
      <c r="U138">
        <v>38.581600000000002</v>
      </c>
      <c r="V138">
        <v>-121.4944</v>
      </c>
      <c r="W138" s="2">
        <v>45278</v>
      </c>
      <c r="X138">
        <v>5</v>
      </c>
      <c r="Y138" t="b">
        <v>1</v>
      </c>
      <c r="Z138" s="2">
        <v>45829</v>
      </c>
      <c r="AA138" t="str">
        <f t="shared" si="21"/>
        <v>40–49</v>
      </c>
      <c r="AB138" t="str">
        <f t="shared" si="22"/>
        <v>40–49</v>
      </c>
      <c r="AC138" t="str">
        <f t="shared" si="23"/>
        <v>Monday</v>
      </c>
      <c r="AD138" t="str">
        <f t="shared" si="24"/>
        <v/>
      </c>
      <c r="AE138" t="str">
        <f t="shared" si="25"/>
        <v/>
      </c>
      <c r="AF138" t="str">
        <f t="shared" si="26"/>
        <v>Thursday</v>
      </c>
      <c r="AG138" t="str">
        <f t="shared" si="27"/>
        <v>Friday</v>
      </c>
      <c r="AH138" t="str">
        <f t="shared" si="28"/>
        <v>Saturday</v>
      </c>
      <c r="AI138" t="str">
        <f t="shared" si="29"/>
        <v>Sunday</v>
      </c>
      <c r="AJ138" t="str">
        <f>LEFT(Table1[[#This Row],[membership_type]],2)&amp;TEXT(Table1[[#This Row],[age]],"00")&amp;"-"&amp;TEXT(ROW(),"000")</f>
        <v>St48-138</v>
      </c>
      <c r="AK138" t="str">
        <f>LEFT(Table1[[#This Row],[membership_type]],1)&amp;TEXT(MATCH(Table1[[#This Row],[membership_type]],Table1[membership_type],0),"00")</f>
        <v>S02</v>
      </c>
      <c r="AL138" t="str">
        <f>LEFT(Table1[[#This Row],[discount_type]],1)&amp;TEXT(ROUND(Table1[[#This Row],[discount_rate]]*100,0),"00")</f>
        <v>N00</v>
      </c>
      <c r="AM138" t="str" cm="1">
        <f t="array" ref="AM138">TEXT(SUMPRODUCT(CODE(MID(Table1[[#This Row],[home_gym_location]],_xlfn.SEQUENCE(LEN(Table1[[#This Row],[home_gym_location]])),1))),"00000")</f>
        <v>01245</v>
      </c>
      <c r="AN13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8" t="str">
        <f>LEFT(_xlfn.TEXTBEFORE(Table1[[#This Row],[Location Identifier]],"-"),3) &amp; "-" &amp; _xlfn.TEXTAFTER(Table1[[#This Row],[Location Identifier]],"-")</f>
        <v>SAC-007</v>
      </c>
      <c r="AP138" s="9">
        <f t="shared" ca="1" si="20"/>
        <v>45869</v>
      </c>
    </row>
    <row r="139" spans="1:42" x14ac:dyDescent="0.25">
      <c r="A139">
        <v>33</v>
      </c>
      <c r="B139" t="s">
        <v>26</v>
      </c>
      <c r="C139">
        <v>2</v>
      </c>
      <c r="D139" t="s">
        <v>103</v>
      </c>
      <c r="E139" t="b">
        <v>1</v>
      </c>
      <c r="F139" s="1">
        <v>0.67777777777777781</v>
      </c>
      <c r="G139" s="1">
        <v>0.75208333333333333</v>
      </c>
      <c r="H139">
        <v>107</v>
      </c>
      <c r="I139" t="b">
        <v>1</v>
      </c>
      <c r="J139" t="b">
        <v>1</v>
      </c>
      <c r="K139" t="b">
        <v>0</v>
      </c>
      <c r="L139" t="s">
        <v>28</v>
      </c>
      <c r="M139">
        <v>50</v>
      </c>
      <c r="N139" t="s">
        <v>29</v>
      </c>
      <c r="O139">
        <v>50</v>
      </c>
      <c r="P139" t="s">
        <v>36</v>
      </c>
      <c r="Q139">
        <v>0</v>
      </c>
      <c r="R139">
        <v>50</v>
      </c>
      <c r="S139" t="s">
        <v>31</v>
      </c>
      <c r="T139" t="s">
        <v>32</v>
      </c>
      <c r="U139">
        <v>37.338200000000001</v>
      </c>
      <c r="V139">
        <v>-121.88630000000001</v>
      </c>
      <c r="W139" s="2">
        <v>45082</v>
      </c>
      <c r="X139">
        <v>4</v>
      </c>
      <c r="Y139" t="b">
        <v>1</v>
      </c>
      <c r="Z139" s="2">
        <v>45818</v>
      </c>
      <c r="AA139" t="str">
        <f t="shared" si="21"/>
        <v>30–39</v>
      </c>
      <c r="AB139" t="str">
        <f t="shared" si="22"/>
        <v>30–39</v>
      </c>
      <c r="AC139" t="str">
        <f t="shared" si="23"/>
        <v>Monday</v>
      </c>
      <c r="AD139" t="str">
        <f t="shared" si="24"/>
        <v/>
      </c>
      <c r="AE139" t="str">
        <f t="shared" si="25"/>
        <v/>
      </c>
      <c r="AF139" t="str">
        <f t="shared" si="26"/>
        <v/>
      </c>
      <c r="AG139" t="str">
        <f t="shared" si="27"/>
        <v/>
      </c>
      <c r="AH139" t="str">
        <f t="shared" si="28"/>
        <v/>
      </c>
      <c r="AI139" t="str">
        <f t="shared" si="29"/>
        <v>Sunday</v>
      </c>
      <c r="AJ139" t="str">
        <f>LEFT(Table1[[#This Row],[membership_type]],2)&amp;TEXT(Table1[[#This Row],[age]],"00")&amp;"-"&amp;TEXT(ROW(),"000")</f>
        <v>Pr33-139</v>
      </c>
      <c r="AK139" t="str">
        <f>LEFT(Table1[[#This Row],[membership_type]],1)&amp;TEXT(MATCH(Table1[[#This Row],[membership_type]],Table1[membership_type],0),"00")</f>
        <v>P01</v>
      </c>
      <c r="AL139" t="str">
        <f>LEFT(Table1[[#This Row],[discount_type]],1)&amp;TEXT(ROUND(Table1[[#This Row],[discount_rate]]*100,0),"00")</f>
        <v>N00</v>
      </c>
      <c r="AM139" t="str" cm="1">
        <f t="array" ref="AM139">TEXT(SUMPRODUCT(CODE(MID(Table1[[#This Row],[home_gym_location]],_xlfn.SEQUENCE(LEN(Table1[[#This Row],[home_gym_location]])),1))),"00000")</f>
        <v>00931</v>
      </c>
      <c r="AN13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9" t="str">
        <f>LEFT(_xlfn.TEXTBEFORE(Table1[[#This Row],[Location Identifier]],"-"),3) &amp; "-" &amp; _xlfn.TEXTAFTER(Table1[[#This Row],[Location Identifier]],"-")</f>
        <v>SAN-010</v>
      </c>
      <c r="AP139" s="9">
        <f t="shared" ca="1" si="20"/>
        <v>45869</v>
      </c>
    </row>
    <row r="140" spans="1:42" x14ac:dyDescent="0.25">
      <c r="A140">
        <v>37</v>
      </c>
      <c r="B140" t="s">
        <v>26</v>
      </c>
      <c r="C140">
        <v>3</v>
      </c>
      <c r="D140" t="s">
        <v>117</v>
      </c>
      <c r="E140" t="b">
        <v>1</v>
      </c>
      <c r="F140" s="1">
        <v>0.44236111111111109</v>
      </c>
      <c r="G140" s="1">
        <v>0.52777777777777779</v>
      </c>
      <c r="H140">
        <v>123</v>
      </c>
      <c r="I140" t="b">
        <v>0</v>
      </c>
      <c r="J140" t="b">
        <v>1</v>
      </c>
      <c r="K140" t="b">
        <v>0</v>
      </c>
      <c r="L140" t="s">
        <v>62</v>
      </c>
      <c r="M140">
        <v>50</v>
      </c>
      <c r="N140" t="s">
        <v>29</v>
      </c>
      <c r="O140">
        <v>50</v>
      </c>
      <c r="P140" t="s">
        <v>74</v>
      </c>
      <c r="Q140">
        <v>0.15</v>
      </c>
      <c r="R140">
        <v>42.5</v>
      </c>
      <c r="S140" t="s">
        <v>31</v>
      </c>
      <c r="T140" t="s">
        <v>32</v>
      </c>
      <c r="U140">
        <v>37.338200000000001</v>
      </c>
      <c r="V140">
        <v>-121.88630000000001</v>
      </c>
      <c r="W140" s="2">
        <v>45443</v>
      </c>
      <c r="X140">
        <v>7</v>
      </c>
      <c r="Y140" t="b">
        <v>1</v>
      </c>
      <c r="Z140" s="2">
        <v>45839</v>
      </c>
      <c r="AA140" t="str">
        <f t="shared" si="21"/>
        <v>30–39</v>
      </c>
      <c r="AB140" t="str">
        <f t="shared" si="22"/>
        <v>30–39</v>
      </c>
      <c r="AC140" t="str">
        <f t="shared" si="23"/>
        <v/>
      </c>
      <c r="AD140" t="str">
        <f t="shared" si="24"/>
        <v/>
      </c>
      <c r="AE140" t="str">
        <f t="shared" si="25"/>
        <v>Wednesday</v>
      </c>
      <c r="AF140" t="str">
        <f t="shared" si="26"/>
        <v>Thursday</v>
      </c>
      <c r="AG140" t="str">
        <f t="shared" si="27"/>
        <v/>
      </c>
      <c r="AH140" t="str">
        <f t="shared" si="28"/>
        <v/>
      </c>
      <c r="AI140" t="str">
        <f t="shared" si="29"/>
        <v>Sunday</v>
      </c>
      <c r="AJ140" t="str">
        <f>LEFT(Table1[[#This Row],[membership_type]],2)&amp;TEXT(Table1[[#This Row],[age]],"00")&amp;"-"&amp;TEXT(ROW(),"000")</f>
        <v>Pr37-140</v>
      </c>
      <c r="AK140" t="str">
        <f>LEFT(Table1[[#This Row],[membership_type]],1)&amp;TEXT(MATCH(Table1[[#This Row],[membership_type]],Table1[membership_type],0),"00")</f>
        <v>P01</v>
      </c>
      <c r="AL140" t="str">
        <f>LEFT(Table1[[#This Row],[discount_type]],1)&amp;TEXT(ROUND(Table1[[#This Row],[discount_rate]]*100,0),"00")</f>
        <v>S15</v>
      </c>
      <c r="AM140" t="str" cm="1">
        <f t="array" ref="AM140">TEXT(SUMPRODUCT(CODE(MID(Table1[[#This Row],[home_gym_location]],_xlfn.SEQUENCE(LEN(Table1[[#This Row],[home_gym_location]])),1))),"00000")</f>
        <v>00931</v>
      </c>
      <c r="AN14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0" t="str">
        <f>LEFT(_xlfn.TEXTBEFORE(Table1[[#This Row],[Location Identifier]],"-"),3) &amp; "-" &amp; _xlfn.TEXTAFTER(Table1[[#This Row],[Location Identifier]],"-")</f>
        <v>SAN-010</v>
      </c>
      <c r="AP140" s="9">
        <f t="shared" ca="1" si="20"/>
        <v>45869</v>
      </c>
    </row>
    <row r="141" spans="1:42" x14ac:dyDescent="0.25">
      <c r="A141">
        <v>20</v>
      </c>
      <c r="B141" t="s">
        <v>33</v>
      </c>
      <c r="C141">
        <v>1</v>
      </c>
      <c r="D141" t="s">
        <v>49</v>
      </c>
      <c r="E141" t="b">
        <v>0</v>
      </c>
      <c r="F141" s="1">
        <v>0.6479166666666667</v>
      </c>
      <c r="G141" s="1">
        <v>0.70902777777777781</v>
      </c>
      <c r="H141">
        <v>88</v>
      </c>
      <c r="I141" t="b">
        <v>0</v>
      </c>
      <c r="J141" t="b">
        <v>1</v>
      </c>
      <c r="K141" t="b">
        <v>1</v>
      </c>
      <c r="L141" t="s">
        <v>35</v>
      </c>
      <c r="M141">
        <v>30</v>
      </c>
      <c r="N141" t="s">
        <v>64</v>
      </c>
      <c r="O141">
        <v>22.5</v>
      </c>
      <c r="P141" t="s">
        <v>30</v>
      </c>
      <c r="Q141">
        <v>0.05</v>
      </c>
      <c r="R141">
        <v>21.375</v>
      </c>
      <c r="S141" t="s">
        <v>37</v>
      </c>
      <c r="T141" t="s">
        <v>50</v>
      </c>
      <c r="U141">
        <v>34.052199999999999</v>
      </c>
      <c r="V141">
        <v>-118.2437</v>
      </c>
      <c r="W141" s="2">
        <v>44796</v>
      </c>
      <c r="X141">
        <v>2</v>
      </c>
      <c r="Y141" t="b">
        <v>0</v>
      </c>
      <c r="Z141" s="2">
        <v>45802</v>
      </c>
      <c r="AA141" t="str">
        <f t="shared" si="21"/>
        <v>20–29</v>
      </c>
      <c r="AB141" t="str">
        <f t="shared" si="22"/>
        <v>20–29</v>
      </c>
      <c r="AC141" t="str">
        <f t="shared" si="23"/>
        <v/>
      </c>
      <c r="AD141" t="str">
        <f t="shared" si="24"/>
        <v/>
      </c>
      <c r="AE141" t="str">
        <f t="shared" si="25"/>
        <v/>
      </c>
      <c r="AF141" t="str">
        <f t="shared" si="26"/>
        <v/>
      </c>
      <c r="AG141" t="str">
        <f t="shared" si="27"/>
        <v/>
      </c>
      <c r="AH141" t="str">
        <f t="shared" si="28"/>
        <v/>
      </c>
      <c r="AI141" t="str">
        <f t="shared" si="29"/>
        <v>Sunday</v>
      </c>
      <c r="AJ141" t="str">
        <f>LEFT(Table1[[#This Row],[membership_type]],2)&amp;TEXT(Table1[[#This Row],[age]],"00")&amp;"-"&amp;TEXT(ROW(),"000")</f>
        <v>St20-141</v>
      </c>
      <c r="AK141" t="str">
        <f>LEFT(Table1[[#This Row],[membership_type]],1)&amp;TEXT(MATCH(Table1[[#This Row],[membership_type]],Table1[membership_type],0),"00")</f>
        <v>S02</v>
      </c>
      <c r="AL141" t="str">
        <f>LEFT(Table1[[#This Row],[discount_type]],1)&amp;TEXT(ROUND(Table1[[#This Row],[discount_rate]]*100,0),"00")</f>
        <v>P05</v>
      </c>
      <c r="AM141" t="str" cm="1">
        <f t="array" ref="AM141">TEXT(SUMPRODUCT(CODE(MID(Table1[[#This Row],[home_gym_location]],_xlfn.SEQUENCE(LEN(Table1[[#This Row],[home_gym_location]])),1))),"00000")</f>
        <v>01245</v>
      </c>
      <c r="AN14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1" t="str">
        <f>LEFT(_xlfn.TEXTBEFORE(Table1[[#This Row],[Location Identifier]],"-"),3) &amp; "-" &amp; _xlfn.TEXTAFTER(Table1[[#This Row],[Location Identifier]],"-")</f>
        <v>LOS-005</v>
      </c>
      <c r="AP141" s="9">
        <f t="shared" ca="1" si="20"/>
        <v>45869</v>
      </c>
    </row>
    <row r="142" spans="1:42" x14ac:dyDescent="0.25">
      <c r="A142">
        <v>40</v>
      </c>
      <c r="B142" t="s">
        <v>33</v>
      </c>
      <c r="C142">
        <v>3</v>
      </c>
      <c r="D142" t="s">
        <v>122</v>
      </c>
      <c r="E142" t="b">
        <v>0</v>
      </c>
      <c r="F142" s="1">
        <v>0.47083333333333333</v>
      </c>
      <c r="G142" s="1">
        <v>0.58958333333333335</v>
      </c>
      <c r="H142">
        <v>171</v>
      </c>
      <c r="I142" t="b">
        <v>0</v>
      </c>
      <c r="J142" t="b">
        <v>1</v>
      </c>
      <c r="K142" t="b">
        <v>1</v>
      </c>
      <c r="L142" t="s">
        <v>28</v>
      </c>
      <c r="M142">
        <v>30</v>
      </c>
      <c r="N142" t="s">
        <v>64</v>
      </c>
      <c r="O142">
        <v>22.5</v>
      </c>
      <c r="P142" t="s">
        <v>36</v>
      </c>
      <c r="Q142">
        <v>0</v>
      </c>
      <c r="R142">
        <v>22.5</v>
      </c>
      <c r="S142" t="s">
        <v>37</v>
      </c>
      <c r="T142" t="s">
        <v>45</v>
      </c>
      <c r="U142">
        <v>33.836599999999997</v>
      </c>
      <c r="V142">
        <v>-117.9143</v>
      </c>
      <c r="W142" s="2">
        <v>44805</v>
      </c>
      <c r="X142">
        <v>1</v>
      </c>
      <c r="Y142" t="b">
        <v>0</v>
      </c>
      <c r="Z142" s="2">
        <v>45803</v>
      </c>
      <c r="AA142" t="str">
        <f t="shared" si="21"/>
        <v>40–49</v>
      </c>
      <c r="AB142" t="str">
        <f t="shared" si="22"/>
        <v>40–49</v>
      </c>
      <c r="AC142" t="str">
        <f t="shared" si="23"/>
        <v/>
      </c>
      <c r="AD142" t="str">
        <f t="shared" si="24"/>
        <v>Tuesday</v>
      </c>
      <c r="AE142" t="str">
        <f t="shared" si="25"/>
        <v/>
      </c>
      <c r="AF142" t="str">
        <f t="shared" si="26"/>
        <v/>
      </c>
      <c r="AG142" t="str">
        <f t="shared" si="27"/>
        <v>Friday</v>
      </c>
      <c r="AH142" t="str">
        <f t="shared" si="28"/>
        <v/>
      </c>
      <c r="AI142" t="str">
        <f t="shared" si="29"/>
        <v>Sunday</v>
      </c>
      <c r="AJ142" t="str">
        <f>LEFT(Table1[[#This Row],[membership_type]],2)&amp;TEXT(Table1[[#This Row],[age]],"00")&amp;"-"&amp;TEXT(ROW(),"000")</f>
        <v>St40-142</v>
      </c>
      <c r="AK142" t="str">
        <f>LEFT(Table1[[#This Row],[membership_type]],1)&amp;TEXT(MATCH(Table1[[#This Row],[membership_type]],Table1[membership_type],0),"00")</f>
        <v>S02</v>
      </c>
      <c r="AL142" t="str">
        <f>LEFT(Table1[[#This Row],[discount_type]],1)&amp;TEXT(ROUND(Table1[[#This Row],[discount_rate]]*100,0),"00")</f>
        <v>N00</v>
      </c>
      <c r="AM142" t="str" cm="1">
        <f t="array" ref="AM142">TEXT(SUMPRODUCT(CODE(MID(Table1[[#This Row],[home_gym_location]],_xlfn.SEQUENCE(LEN(Table1[[#This Row],[home_gym_location]])),1))),"00000")</f>
        <v>00899</v>
      </c>
      <c r="AN14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2" t="str">
        <f>LEFT(_xlfn.TEXTBEFORE(Table1[[#This Row],[Location Identifier]],"-"),3) &amp; "-" &amp; _xlfn.TEXTAFTER(Table1[[#This Row],[Location Identifier]],"-")</f>
        <v>ANA-001</v>
      </c>
      <c r="AP142" s="9">
        <f t="shared" ca="1" si="20"/>
        <v>45869</v>
      </c>
    </row>
    <row r="143" spans="1:42" x14ac:dyDescent="0.25">
      <c r="A143">
        <v>28</v>
      </c>
      <c r="B143" t="s">
        <v>26</v>
      </c>
      <c r="C143">
        <v>1</v>
      </c>
      <c r="D143" t="s">
        <v>49</v>
      </c>
      <c r="E143" t="b">
        <v>0</v>
      </c>
      <c r="F143" s="1">
        <v>0.49236111111111114</v>
      </c>
      <c r="G143" s="1">
        <v>0.59097222222222223</v>
      </c>
      <c r="H143">
        <v>142</v>
      </c>
      <c r="I143" t="b">
        <v>1</v>
      </c>
      <c r="J143" t="b">
        <v>1</v>
      </c>
      <c r="K143" t="b">
        <v>1</v>
      </c>
      <c r="L143" t="s">
        <v>47</v>
      </c>
      <c r="M143">
        <v>50</v>
      </c>
      <c r="N143" t="s">
        <v>29</v>
      </c>
      <c r="O143">
        <v>50</v>
      </c>
      <c r="P143" t="s">
        <v>40</v>
      </c>
      <c r="Q143">
        <v>0.1</v>
      </c>
      <c r="R143">
        <v>45</v>
      </c>
      <c r="S143" t="s">
        <v>31</v>
      </c>
      <c r="T143" t="s">
        <v>48</v>
      </c>
      <c r="U143">
        <v>38.581600000000002</v>
      </c>
      <c r="V143">
        <v>-121.4944</v>
      </c>
      <c r="W143" s="2">
        <v>45562</v>
      </c>
      <c r="X143">
        <v>7</v>
      </c>
      <c r="Y143" t="b">
        <v>1</v>
      </c>
      <c r="Z143" s="2">
        <v>45845</v>
      </c>
      <c r="AA143" t="str">
        <f t="shared" si="21"/>
        <v>20–29</v>
      </c>
      <c r="AB143" t="str">
        <f t="shared" si="22"/>
        <v>20–29</v>
      </c>
      <c r="AC143" t="str">
        <f t="shared" si="23"/>
        <v/>
      </c>
      <c r="AD143" t="str">
        <f t="shared" si="24"/>
        <v/>
      </c>
      <c r="AE143" t="str">
        <f t="shared" si="25"/>
        <v/>
      </c>
      <c r="AF143" t="str">
        <f t="shared" si="26"/>
        <v/>
      </c>
      <c r="AG143" t="str">
        <f t="shared" si="27"/>
        <v/>
      </c>
      <c r="AH143" t="str">
        <f t="shared" si="28"/>
        <v/>
      </c>
      <c r="AI143" t="str">
        <f t="shared" si="29"/>
        <v>Sunday</v>
      </c>
      <c r="AJ143" t="str">
        <f>LEFT(Table1[[#This Row],[membership_type]],2)&amp;TEXT(Table1[[#This Row],[age]],"00")&amp;"-"&amp;TEXT(ROW(),"000")</f>
        <v>Pr28-143</v>
      </c>
      <c r="AK143" t="str">
        <f>LEFT(Table1[[#This Row],[membership_type]],1)&amp;TEXT(MATCH(Table1[[#This Row],[membership_type]],Table1[membership_type],0),"00")</f>
        <v>P01</v>
      </c>
      <c r="AL143" t="str">
        <f>LEFT(Table1[[#This Row],[discount_type]],1)&amp;TEXT(ROUND(Table1[[#This Row],[discount_rate]]*100,0),"00")</f>
        <v>L10</v>
      </c>
      <c r="AM143" t="str" cm="1">
        <f t="array" ref="AM143">TEXT(SUMPRODUCT(CODE(MID(Table1[[#This Row],[home_gym_location]],_xlfn.SEQUENCE(LEN(Table1[[#This Row],[home_gym_location]])),1))),"00000")</f>
        <v>01245</v>
      </c>
      <c r="AN1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3" t="str">
        <f>LEFT(_xlfn.TEXTBEFORE(Table1[[#This Row],[Location Identifier]],"-"),3) &amp; "-" &amp; _xlfn.TEXTAFTER(Table1[[#This Row],[Location Identifier]],"-")</f>
        <v>SAC-007</v>
      </c>
      <c r="AP143" s="9">
        <f t="shared" ca="1" si="20"/>
        <v>45869</v>
      </c>
    </row>
    <row r="144" spans="1:42" x14ac:dyDescent="0.25">
      <c r="A144">
        <v>39</v>
      </c>
      <c r="B144" t="s">
        <v>26</v>
      </c>
      <c r="C144">
        <v>4</v>
      </c>
      <c r="D144" t="s">
        <v>105</v>
      </c>
      <c r="E144" t="b">
        <v>0</v>
      </c>
      <c r="F144" s="1">
        <v>0.79027777777777775</v>
      </c>
      <c r="G144" s="1">
        <v>0.86319444444444449</v>
      </c>
      <c r="H144">
        <v>105</v>
      </c>
      <c r="I144" t="b">
        <v>0</v>
      </c>
      <c r="J144" t="b">
        <v>0</v>
      </c>
      <c r="K144" t="b">
        <v>0</v>
      </c>
      <c r="L144" t="s">
        <v>58</v>
      </c>
      <c r="M144">
        <v>50</v>
      </c>
      <c r="N144" t="s">
        <v>29</v>
      </c>
      <c r="O144">
        <v>50</v>
      </c>
      <c r="P144" t="s">
        <v>36</v>
      </c>
      <c r="Q144">
        <v>0</v>
      </c>
      <c r="R144">
        <v>50</v>
      </c>
      <c r="S144" t="s">
        <v>31</v>
      </c>
      <c r="T144" t="s">
        <v>32</v>
      </c>
      <c r="U144">
        <v>37.338200000000001</v>
      </c>
      <c r="V144">
        <v>-121.88630000000001</v>
      </c>
      <c r="W144" s="2">
        <v>45301</v>
      </c>
      <c r="X144">
        <v>0</v>
      </c>
      <c r="Y144" t="b">
        <v>1</v>
      </c>
      <c r="Z144" s="2">
        <v>45831</v>
      </c>
      <c r="AA144" t="str">
        <f t="shared" si="21"/>
        <v>30–39</v>
      </c>
      <c r="AB144" t="str">
        <f t="shared" si="22"/>
        <v>30–39</v>
      </c>
      <c r="AC144" t="str">
        <f t="shared" si="23"/>
        <v>Monday</v>
      </c>
      <c r="AD144" t="str">
        <f t="shared" si="24"/>
        <v>Tuesday</v>
      </c>
      <c r="AE144" t="str">
        <f t="shared" si="25"/>
        <v>Wednesday</v>
      </c>
      <c r="AF144" t="str">
        <f t="shared" si="26"/>
        <v>Thursday</v>
      </c>
      <c r="AG144" t="str">
        <f t="shared" si="27"/>
        <v/>
      </c>
      <c r="AH144" t="str">
        <f t="shared" si="28"/>
        <v/>
      </c>
      <c r="AI144" t="str">
        <f t="shared" si="29"/>
        <v/>
      </c>
      <c r="AJ144" t="str">
        <f>LEFT(Table1[[#This Row],[membership_type]],2)&amp;TEXT(Table1[[#This Row],[age]],"00")&amp;"-"&amp;TEXT(ROW(),"000")</f>
        <v>Pr39-144</v>
      </c>
      <c r="AK144" t="str">
        <f>LEFT(Table1[[#This Row],[membership_type]],1)&amp;TEXT(MATCH(Table1[[#This Row],[membership_type]],Table1[membership_type],0),"00")</f>
        <v>P01</v>
      </c>
      <c r="AL144" t="str">
        <f>LEFT(Table1[[#This Row],[discount_type]],1)&amp;TEXT(ROUND(Table1[[#This Row],[discount_rate]]*100,0),"00")</f>
        <v>N00</v>
      </c>
      <c r="AM144" t="str" cm="1">
        <f t="array" ref="AM144">TEXT(SUMPRODUCT(CODE(MID(Table1[[#This Row],[home_gym_location]],_xlfn.SEQUENCE(LEN(Table1[[#This Row],[home_gym_location]])),1))),"00000")</f>
        <v>00931</v>
      </c>
      <c r="AN14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4" t="str">
        <f>LEFT(_xlfn.TEXTBEFORE(Table1[[#This Row],[Location Identifier]],"-"),3) &amp; "-" &amp; _xlfn.TEXTAFTER(Table1[[#This Row],[Location Identifier]],"-")</f>
        <v>SAN-010</v>
      </c>
      <c r="AP144" s="9">
        <f t="shared" ca="1" si="20"/>
        <v>45869</v>
      </c>
    </row>
    <row r="145" spans="1:42" x14ac:dyDescent="0.25">
      <c r="A145">
        <v>29</v>
      </c>
      <c r="B145" t="s">
        <v>26</v>
      </c>
      <c r="C145">
        <v>2</v>
      </c>
      <c r="D145" t="s">
        <v>96</v>
      </c>
      <c r="E145" t="b">
        <v>0</v>
      </c>
      <c r="F145" s="1">
        <v>0.61458333333333337</v>
      </c>
      <c r="G145" s="1">
        <v>0.69652777777777775</v>
      </c>
      <c r="H145">
        <v>118</v>
      </c>
      <c r="I145" t="b">
        <v>1</v>
      </c>
      <c r="J145" t="b">
        <v>1</v>
      </c>
      <c r="K145" t="b">
        <v>1</v>
      </c>
      <c r="L145" t="s">
        <v>28</v>
      </c>
      <c r="M145">
        <v>50</v>
      </c>
      <c r="N145" t="s">
        <v>64</v>
      </c>
      <c r="O145">
        <v>37.5</v>
      </c>
      <c r="P145" t="s">
        <v>36</v>
      </c>
      <c r="Q145">
        <v>0</v>
      </c>
      <c r="R145">
        <v>37.5</v>
      </c>
      <c r="S145" t="s">
        <v>31</v>
      </c>
      <c r="T145" t="s">
        <v>41</v>
      </c>
      <c r="U145">
        <v>37.804400000000001</v>
      </c>
      <c r="V145">
        <v>-122.27119999999999</v>
      </c>
      <c r="W145" s="2">
        <v>45510</v>
      </c>
      <c r="X145">
        <v>6</v>
      </c>
      <c r="Y145" t="b">
        <v>1</v>
      </c>
      <c r="Z145" s="2">
        <v>45842</v>
      </c>
      <c r="AA145" t="str">
        <f t="shared" si="21"/>
        <v>20–29</v>
      </c>
      <c r="AB145" t="str">
        <f t="shared" si="22"/>
        <v>20–29</v>
      </c>
      <c r="AC145" t="str">
        <f t="shared" si="23"/>
        <v/>
      </c>
      <c r="AD145" t="str">
        <f t="shared" si="24"/>
        <v/>
      </c>
      <c r="AE145" t="str">
        <f t="shared" si="25"/>
        <v/>
      </c>
      <c r="AF145" t="str">
        <f t="shared" si="26"/>
        <v>Thursday</v>
      </c>
      <c r="AG145" t="str">
        <f t="shared" si="27"/>
        <v>Friday</v>
      </c>
      <c r="AH145" t="str">
        <f t="shared" si="28"/>
        <v/>
      </c>
      <c r="AI145" t="str">
        <f t="shared" si="29"/>
        <v/>
      </c>
      <c r="AJ145" t="str">
        <f>LEFT(Table1[[#This Row],[membership_type]],2)&amp;TEXT(Table1[[#This Row],[age]],"00")&amp;"-"&amp;TEXT(ROW(),"000")</f>
        <v>Pr29-145</v>
      </c>
      <c r="AK145" t="str">
        <f>LEFT(Table1[[#This Row],[membership_type]],1)&amp;TEXT(MATCH(Table1[[#This Row],[membership_type]],Table1[membership_type],0),"00")</f>
        <v>P01</v>
      </c>
      <c r="AL145" t="str">
        <f>LEFT(Table1[[#This Row],[discount_type]],1)&amp;TEXT(ROUND(Table1[[#This Row],[discount_rate]]*100,0),"00")</f>
        <v>N00</v>
      </c>
      <c r="AM145" t="str" cm="1">
        <f t="array" ref="AM145">TEXT(SUMPRODUCT(CODE(MID(Table1[[#This Row],[home_gym_location]],_xlfn.SEQUENCE(LEN(Table1[[#This Row],[home_gym_location]])),1))),"00000")</f>
        <v>00906</v>
      </c>
      <c r="AN14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5" t="str">
        <f>LEFT(_xlfn.TEXTBEFORE(Table1[[#This Row],[Location Identifier]],"-"),3) &amp; "-" &amp; _xlfn.TEXTAFTER(Table1[[#This Row],[Location Identifier]],"-")</f>
        <v>OAK-006</v>
      </c>
      <c r="AP145" s="9">
        <f t="shared" ca="1" si="20"/>
        <v>45869</v>
      </c>
    </row>
    <row r="146" spans="1:42" x14ac:dyDescent="0.25">
      <c r="A146">
        <v>35</v>
      </c>
      <c r="B146" t="s">
        <v>42</v>
      </c>
      <c r="C146">
        <v>1</v>
      </c>
      <c r="D146" t="s">
        <v>67</v>
      </c>
      <c r="E146" t="b">
        <v>1</v>
      </c>
      <c r="F146" s="1">
        <v>0.68541666666666667</v>
      </c>
      <c r="G146" s="1">
        <v>0.72569444444444442</v>
      </c>
      <c r="H146">
        <v>58</v>
      </c>
      <c r="I146" t="b">
        <v>0</v>
      </c>
      <c r="J146" t="b">
        <v>1</v>
      </c>
      <c r="K146" t="b">
        <v>1</v>
      </c>
      <c r="L146" t="s">
        <v>62</v>
      </c>
      <c r="M146">
        <v>20</v>
      </c>
      <c r="N146" t="s">
        <v>29</v>
      </c>
      <c r="O146">
        <v>20</v>
      </c>
      <c r="P146" t="s">
        <v>36</v>
      </c>
      <c r="Q146">
        <v>0</v>
      </c>
      <c r="R146">
        <v>20</v>
      </c>
      <c r="S146" t="s">
        <v>44</v>
      </c>
      <c r="T146" t="s">
        <v>54</v>
      </c>
      <c r="U146">
        <v>32.715699999999998</v>
      </c>
      <c r="V146">
        <v>-117.1611</v>
      </c>
      <c r="W146" s="2">
        <v>45527</v>
      </c>
      <c r="X146">
        <v>7</v>
      </c>
      <c r="Y146" t="b">
        <v>0</v>
      </c>
      <c r="Z146" s="2">
        <v>45843</v>
      </c>
      <c r="AA146" t="str">
        <f t="shared" si="21"/>
        <v>30–39</v>
      </c>
      <c r="AB146" t="str">
        <f t="shared" si="22"/>
        <v>30–39</v>
      </c>
      <c r="AC146" t="str">
        <f t="shared" si="23"/>
        <v/>
      </c>
      <c r="AD146" t="str">
        <f t="shared" si="24"/>
        <v/>
      </c>
      <c r="AE146" t="str">
        <f t="shared" si="25"/>
        <v/>
      </c>
      <c r="AF146" t="str">
        <f t="shared" si="26"/>
        <v>Thursday</v>
      </c>
      <c r="AG146" t="str">
        <f t="shared" si="27"/>
        <v/>
      </c>
      <c r="AH146" t="str">
        <f t="shared" si="28"/>
        <v/>
      </c>
      <c r="AI146" t="str">
        <f t="shared" si="29"/>
        <v/>
      </c>
      <c r="AJ146" t="str">
        <f>LEFT(Table1[[#This Row],[membership_type]],2)&amp;TEXT(Table1[[#This Row],[age]],"00")&amp;"-"&amp;TEXT(ROW(),"000")</f>
        <v>Ba35-146</v>
      </c>
      <c r="AK146" t="str">
        <f>LEFT(Table1[[#This Row],[membership_type]],1)&amp;TEXT(MATCH(Table1[[#This Row],[membership_type]],Table1[membership_type],0),"00")</f>
        <v>B04</v>
      </c>
      <c r="AL146" t="str">
        <f>LEFT(Table1[[#This Row],[discount_type]],1)&amp;TEXT(ROUND(Table1[[#This Row],[discount_rate]]*100,0),"00")</f>
        <v>N00</v>
      </c>
      <c r="AM146" t="str" cm="1">
        <f t="array" ref="AM146">TEXT(SUMPRODUCT(CODE(MID(Table1[[#This Row],[home_gym_location]],_xlfn.SEQUENCE(LEN(Table1[[#This Row],[home_gym_location]])),1))),"00000")</f>
        <v>01018</v>
      </c>
      <c r="AN14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6" t="str">
        <f>LEFT(_xlfn.TEXTBEFORE(Table1[[#This Row],[Location Identifier]],"-"),3) &amp; "-" &amp; _xlfn.TEXTAFTER(Table1[[#This Row],[Location Identifier]],"-")</f>
        <v>SAN-008</v>
      </c>
      <c r="AP146" s="9">
        <f t="shared" ca="1" si="20"/>
        <v>45869</v>
      </c>
    </row>
    <row r="147" spans="1:42" x14ac:dyDescent="0.25">
      <c r="A147">
        <v>14</v>
      </c>
      <c r="B147" t="s">
        <v>33</v>
      </c>
      <c r="C147">
        <v>2</v>
      </c>
      <c r="D147" t="s">
        <v>88</v>
      </c>
      <c r="E147" t="b">
        <v>0</v>
      </c>
      <c r="F147" s="1">
        <v>0.40694444444444444</v>
      </c>
      <c r="G147" s="1">
        <v>0.45555555555555555</v>
      </c>
      <c r="H147">
        <v>70</v>
      </c>
      <c r="I147" t="b">
        <v>0</v>
      </c>
      <c r="J147" t="b">
        <v>0</v>
      </c>
      <c r="K147" t="b">
        <v>1</v>
      </c>
      <c r="L147" t="s">
        <v>28</v>
      </c>
      <c r="M147">
        <v>30</v>
      </c>
      <c r="N147" t="s">
        <v>78</v>
      </c>
      <c r="O147">
        <v>27</v>
      </c>
      <c r="P147" t="s">
        <v>36</v>
      </c>
      <c r="Q147">
        <v>0</v>
      </c>
      <c r="R147">
        <v>27</v>
      </c>
      <c r="S147" t="s">
        <v>37</v>
      </c>
      <c r="T147" t="s">
        <v>45</v>
      </c>
      <c r="U147">
        <v>33.836599999999997</v>
      </c>
      <c r="V147">
        <v>-117.9143</v>
      </c>
      <c r="W147" s="2">
        <v>45791</v>
      </c>
      <c r="X147">
        <v>0</v>
      </c>
      <c r="Y147" t="b">
        <v>1</v>
      </c>
      <c r="Z147" s="2">
        <v>45858</v>
      </c>
      <c r="AA147" t="str">
        <f t="shared" si="21"/>
        <v>10–19</v>
      </c>
      <c r="AB147" t="str">
        <f t="shared" si="22"/>
        <v>Under 16</v>
      </c>
      <c r="AC147" t="str">
        <f t="shared" si="23"/>
        <v>Monday</v>
      </c>
      <c r="AD147" t="str">
        <f t="shared" si="24"/>
        <v/>
      </c>
      <c r="AE147" t="str">
        <f t="shared" si="25"/>
        <v>Wednesday</v>
      </c>
      <c r="AF147" t="str">
        <f t="shared" si="26"/>
        <v/>
      </c>
      <c r="AG147" t="str">
        <f t="shared" si="27"/>
        <v/>
      </c>
      <c r="AH147" t="str">
        <f t="shared" si="28"/>
        <v/>
      </c>
      <c r="AI147" t="str">
        <f t="shared" si="29"/>
        <v/>
      </c>
      <c r="AJ147" t="str">
        <f>LEFT(Table1[[#This Row],[membership_type]],2)&amp;TEXT(Table1[[#This Row],[age]],"00")&amp;"-"&amp;TEXT(ROW(),"000")</f>
        <v>St14-147</v>
      </c>
      <c r="AK147" t="str">
        <f>LEFT(Table1[[#This Row],[membership_type]],1)&amp;TEXT(MATCH(Table1[[#This Row],[membership_type]],Table1[membership_type],0),"00")</f>
        <v>S02</v>
      </c>
      <c r="AL147" t="str">
        <f>LEFT(Table1[[#This Row],[discount_type]],1)&amp;TEXT(ROUND(Table1[[#This Row],[discount_rate]]*100,0),"00")</f>
        <v>N00</v>
      </c>
      <c r="AM147" t="str" cm="1">
        <f t="array" ref="AM147">TEXT(SUMPRODUCT(CODE(MID(Table1[[#This Row],[home_gym_location]],_xlfn.SEQUENCE(LEN(Table1[[#This Row],[home_gym_location]])),1))),"00000")</f>
        <v>00899</v>
      </c>
      <c r="AN14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7" t="str">
        <f>LEFT(_xlfn.TEXTBEFORE(Table1[[#This Row],[Location Identifier]],"-"),3) &amp; "-" &amp; _xlfn.TEXTAFTER(Table1[[#This Row],[Location Identifier]],"-")</f>
        <v>ANA-001</v>
      </c>
      <c r="AP147" s="9">
        <f t="shared" ca="1" si="20"/>
        <v>45869</v>
      </c>
    </row>
    <row r="148" spans="1:42" x14ac:dyDescent="0.25">
      <c r="A148">
        <v>34</v>
      </c>
      <c r="B148" t="s">
        <v>33</v>
      </c>
      <c r="C148">
        <v>2</v>
      </c>
      <c r="D148" t="s">
        <v>123</v>
      </c>
      <c r="E148" t="b">
        <v>0</v>
      </c>
      <c r="F148" s="1">
        <v>0.78055555555555556</v>
      </c>
      <c r="G148" s="1">
        <v>0.82430555555555551</v>
      </c>
      <c r="H148">
        <v>63</v>
      </c>
      <c r="I148" t="b">
        <v>1</v>
      </c>
      <c r="J148" t="b">
        <v>0</v>
      </c>
      <c r="K148" t="b">
        <v>1</v>
      </c>
      <c r="L148" t="s">
        <v>28</v>
      </c>
      <c r="M148">
        <v>30</v>
      </c>
      <c r="N148" t="s">
        <v>29</v>
      </c>
      <c r="O148">
        <v>30</v>
      </c>
      <c r="P148" t="s">
        <v>30</v>
      </c>
      <c r="Q148">
        <v>0.05</v>
      </c>
      <c r="R148">
        <v>28.5</v>
      </c>
      <c r="S148" t="s">
        <v>37</v>
      </c>
      <c r="T148" t="s">
        <v>65</v>
      </c>
      <c r="U148">
        <v>33.770099999999999</v>
      </c>
      <c r="V148">
        <v>-118.19370000000001</v>
      </c>
      <c r="W148" s="2">
        <v>45181</v>
      </c>
      <c r="X148">
        <v>0</v>
      </c>
      <c r="Y148" t="b">
        <v>0</v>
      </c>
      <c r="Z148" s="2">
        <v>45824</v>
      </c>
      <c r="AA148" t="str">
        <f t="shared" si="21"/>
        <v>30–39</v>
      </c>
      <c r="AB148" t="str">
        <f t="shared" si="22"/>
        <v>30–39</v>
      </c>
      <c r="AC148" t="str">
        <f t="shared" si="23"/>
        <v>Monday</v>
      </c>
      <c r="AD148" t="str">
        <f t="shared" si="24"/>
        <v/>
      </c>
      <c r="AE148" t="str">
        <f t="shared" si="25"/>
        <v/>
      </c>
      <c r="AF148" t="str">
        <f t="shared" si="26"/>
        <v/>
      </c>
      <c r="AG148" t="str">
        <f t="shared" si="27"/>
        <v/>
      </c>
      <c r="AH148" t="str">
        <f t="shared" si="28"/>
        <v>Saturday</v>
      </c>
      <c r="AI148" t="str">
        <f t="shared" si="29"/>
        <v/>
      </c>
      <c r="AJ148" t="str">
        <f>LEFT(Table1[[#This Row],[membership_type]],2)&amp;TEXT(Table1[[#This Row],[age]],"00")&amp;"-"&amp;TEXT(ROW(),"000")</f>
        <v>St34-148</v>
      </c>
      <c r="AK148" t="str">
        <f>LEFT(Table1[[#This Row],[membership_type]],1)&amp;TEXT(MATCH(Table1[[#This Row],[membership_type]],Table1[membership_type],0),"00")</f>
        <v>S02</v>
      </c>
      <c r="AL148" t="str">
        <f>LEFT(Table1[[#This Row],[discount_type]],1)&amp;TEXT(ROUND(Table1[[#This Row],[discount_rate]]*100,0),"00")</f>
        <v>P05</v>
      </c>
      <c r="AM148" t="str" cm="1">
        <f t="array" ref="AM148">TEXT(SUMPRODUCT(CODE(MID(Table1[[#This Row],[home_gym_location]],_xlfn.SEQUENCE(LEN(Table1[[#This Row],[home_gym_location]])),1))),"00000")</f>
        <v>01107</v>
      </c>
      <c r="AN14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8" t="str">
        <f>LEFT(_xlfn.TEXTBEFORE(Table1[[#This Row],[Location Identifier]],"-"),3) &amp; "-" &amp; _xlfn.TEXTAFTER(Table1[[#This Row],[Location Identifier]],"-")</f>
        <v>LON-004</v>
      </c>
      <c r="AP148" s="9">
        <f t="shared" ca="1" si="20"/>
        <v>45869</v>
      </c>
    </row>
    <row r="149" spans="1:42" x14ac:dyDescent="0.25">
      <c r="A149">
        <v>27</v>
      </c>
      <c r="B149" t="s">
        <v>42</v>
      </c>
      <c r="C149">
        <v>1</v>
      </c>
      <c r="D149" t="s">
        <v>49</v>
      </c>
      <c r="E149" t="b">
        <v>1</v>
      </c>
      <c r="F149" s="1">
        <v>0.64861111111111114</v>
      </c>
      <c r="G149" s="1">
        <v>0.74861111111111112</v>
      </c>
      <c r="H149">
        <v>144</v>
      </c>
      <c r="I149" t="b">
        <v>1</v>
      </c>
      <c r="J149" t="b">
        <v>1</v>
      </c>
      <c r="K149" t="b">
        <v>1</v>
      </c>
      <c r="L149" t="s">
        <v>47</v>
      </c>
      <c r="M149">
        <v>20</v>
      </c>
      <c r="N149" t="s">
        <v>29</v>
      </c>
      <c r="O149">
        <v>20</v>
      </c>
      <c r="P149" t="s">
        <v>74</v>
      </c>
      <c r="Q149">
        <v>0.15</v>
      </c>
      <c r="R149">
        <v>17</v>
      </c>
      <c r="S149" t="s">
        <v>44</v>
      </c>
      <c r="T149" t="s">
        <v>59</v>
      </c>
      <c r="U149">
        <v>37.774900000000002</v>
      </c>
      <c r="V149">
        <v>-122.4194</v>
      </c>
      <c r="W149" s="2">
        <v>45295</v>
      </c>
      <c r="X149">
        <v>1</v>
      </c>
      <c r="Y149" t="b">
        <v>0</v>
      </c>
      <c r="Z149" s="2">
        <v>45830</v>
      </c>
      <c r="AA149" t="str">
        <f t="shared" si="21"/>
        <v>20–29</v>
      </c>
      <c r="AB149" t="str">
        <f t="shared" si="22"/>
        <v>20–29</v>
      </c>
      <c r="AC149" t="str">
        <f t="shared" si="23"/>
        <v/>
      </c>
      <c r="AD149" t="str">
        <f t="shared" si="24"/>
        <v/>
      </c>
      <c r="AE149" t="str">
        <f t="shared" si="25"/>
        <v/>
      </c>
      <c r="AF149" t="str">
        <f t="shared" si="26"/>
        <v/>
      </c>
      <c r="AG149" t="str">
        <f t="shared" si="27"/>
        <v/>
      </c>
      <c r="AH149" t="str">
        <f t="shared" si="28"/>
        <v/>
      </c>
      <c r="AI149" t="str">
        <f t="shared" si="29"/>
        <v>Sunday</v>
      </c>
      <c r="AJ149" t="str">
        <f>LEFT(Table1[[#This Row],[membership_type]],2)&amp;TEXT(Table1[[#This Row],[age]],"00")&amp;"-"&amp;TEXT(ROW(),"000")</f>
        <v>Ba27-149</v>
      </c>
      <c r="AK149" t="str">
        <f>LEFT(Table1[[#This Row],[membership_type]],1)&amp;TEXT(MATCH(Table1[[#This Row],[membership_type]],Table1[membership_type],0),"00")</f>
        <v>B04</v>
      </c>
      <c r="AL149" t="str">
        <f>LEFT(Table1[[#This Row],[discount_type]],1)&amp;TEXT(ROUND(Table1[[#This Row],[discount_rate]]*100,0),"00")</f>
        <v>S15</v>
      </c>
      <c r="AM149" t="str" cm="1">
        <f t="array" ref="AM149">TEXT(SUMPRODUCT(CODE(MID(Table1[[#This Row],[home_gym_location]],_xlfn.SEQUENCE(LEN(Table1[[#This Row],[home_gym_location]])),1))),"00000")</f>
        <v>01450</v>
      </c>
      <c r="AN14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9" t="str">
        <f>LEFT(_xlfn.TEXTBEFORE(Table1[[#This Row],[Location Identifier]],"-"),3) &amp; "-" &amp; _xlfn.TEXTAFTER(Table1[[#This Row],[Location Identifier]],"-")</f>
        <v>SAN-009</v>
      </c>
      <c r="AP149" s="9">
        <f t="shared" ca="1" si="20"/>
        <v>45869</v>
      </c>
    </row>
    <row r="150" spans="1:42" x14ac:dyDescent="0.25">
      <c r="A150">
        <v>14</v>
      </c>
      <c r="B150" t="s">
        <v>26</v>
      </c>
      <c r="C150">
        <v>1</v>
      </c>
      <c r="D150" t="s">
        <v>97</v>
      </c>
      <c r="E150" t="b">
        <v>1</v>
      </c>
      <c r="F150" s="1">
        <v>0.49722222222222223</v>
      </c>
      <c r="G150" s="1">
        <v>0.56736111111111109</v>
      </c>
      <c r="H150">
        <v>101</v>
      </c>
      <c r="I150" t="b">
        <v>0</v>
      </c>
      <c r="J150" t="b">
        <v>0</v>
      </c>
      <c r="K150" t="b">
        <v>0</v>
      </c>
      <c r="L150" t="s">
        <v>28</v>
      </c>
      <c r="M150">
        <v>50</v>
      </c>
      <c r="N150" t="s">
        <v>64</v>
      </c>
      <c r="O150">
        <v>37.5</v>
      </c>
      <c r="P150" t="s">
        <v>36</v>
      </c>
      <c r="Q150">
        <v>0</v>
      </c>
      <c r="R150">
        <v>37.5</v>
      </c>
      <c r="S150" t="s">
        <v>31</v>
      </c>
      <c r="T150" t="s">
        <v>48</v>
      </c>
      <c r="U150">
        <v>38.581600000000002</v>
      </c>
      <c r="V150">
        <v>-121.4944</v>
      </c>
      <c r="W150" s="2">
        <v>45776</v>
      </c>
      <c r="X150">
        <v>0</v>
      </c>
      <c r="Y150" t="b">
        <v>1</v>
      </c>
      <c r="Z150" s="2">
        <v>45857</v>
      </c>
      <c r="AA150" t="str">
        <f t="shared" si="21"/>
        <v>10–19</v>
      </c>
      <c r="AB150" t="str">
        <f t="shared" si="22"/>
        <v>Under 16</v>
      </c>
      <c r="AC150" t="str">
        <f t="shared" si="23"/>
        <v>Monday</v>
      </c>
      <c r="AD150" t="str">
        <f t="shared" si="24"/>
        <v/>
      </c>
      <c r="AE150" t="str">
        <f t="shared" si="25"/>
        <v/>
      </c>
      <c r="AF150" t="str">
        <f t="shared" si="26"/>
        <v/>
      </c>
      <c r="AG150" t="str">
        <f t="shared" si="27"/>
        <v/>
      </c>
      <c r="AH150" t="str">
        <f t="shared" si="28"/>
        <v/>
      </c>
      <c r="AI150" t="str">
        <f t="shared" si="29"/>
        <v/>
      </c>
      <c r="AJ150" t="str">
        <f>LEFT(Table1[[#This Row],[membership_type]],2)&amp;TEXT(Table1[[#This Row],[age]],"00")&amp;"-"&amp;TEXT(ROW(),"000")</f>
        <v>Pr14-150</v>
      </c>
      <c r="AK150" t="str">
        <f>LEFT(Table1[[#This Row],[membership_type]],1)&amp;TEXT(MATCH(Table1[[#This Row],[membership_type]],Table1[membership_type],0),"00")</f>
        <v>P01</v>
      </c>
      <c r="AL150" t="str">
        <f>LEFT(Table1[[#This Row],[discount_type]],1)&amp;TEXT(ROUND(Table1[[#This Row],[discount_rate]]*100,0),"00")</f>
        <v>N00</v>
      </c>
      <c r="AM150" t="str" cm="1">
        <f t="array" ref="AM150">TEXT(SUMPRODUCT(CODE(MID(Table1[[#This Row],[home_gym_location]],_xlfn.SEQUENCE(LEN(Table1[[#This Row],[home_gym_location]])),1))),"00000")</f>
        <v>01245</v>
      </c>
      <c r="AN15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0" t="str">
        <f>LEFT(_xlfn.TEXTBEFORE(Table1[[#This Row],[Location Identifier]],"-"),3) &amp; "-" &amp; _xlfn.TEXTAFTER(Table1[[#This Row],[Location Identifier]],"-")</f>
        <v>SAC-007</v>
      </c>
      <c r="AP150" s="9">
        <f t="shared" ca="1" si="20"/>
        <v>45869</v>
      </c>
    </row>
    <row r="151" spans="1:42" x14ac:dyDescent="0.25">
      <c r="A151">
        <v>40</v>
      </c>
      <c r="B151" t="s">
        <v>33</v>
      </c>
      <c r="C151">
        <v>1</v>
      </c>
      <c r="D151" t="s">
        <v>75</v>
      </c>
      <c r="E151" t="b">
        <v>0</v>
      </c>
      <c r="F151" s="1">
        <v>0.77083333333333337</v>
      </c>
      <c r="G151" s="1">
        <v>0.82222222222222219</v>
      </c>
      <c r="H151">
        <v>74</v>
      </c>
      <c r="I151" t="b">
        <v>1</v>
      </c>
      <c r="J151" t="b">
        <v>0</v>
      </c>
      <c r="K151" t="b">
        <v>1</v>
      </c>
      <c r="L151" t="s">
        <v>28</v>
      </c>
      <c r="M151">
        <v>30</v>
      </c>
      <c r="N151" t="s">
        <v>78</v>
      </c>
      <c r="O151">
        <v>27</v>
      </c>
      <c r="P151" t="s">
        <v>30</v>
      </c>
      <c r="Q151">
        <v>0.05</v>
      </c>
      <c r="R151">
        <v>25.65</v>
      </c>
      <c r="S151" t="s">
        <v>37</v>
      </c>
      <c r="T151" t="s">
        <v>32</v>
      </c>
      <c r="U151">
        <v>37.338200000000001</v>
      </c>
      <c r="V151">
        <v>-121.88630000000001</v>
      </c>
      <c r="W151" s="2">
        <v>45534</v>
      </c>
      <c r="X151">
        <v>0</v>
      </c>
      <c r="Y151" t="b">
        <v>1</v>
      </c>
      <c r="Z151" s="2">
        <v>45844</v>
      </c>
      <c r="AA151" t="str">
        <f t="shared" si="21"/>
        <v>40–49</v>
      </c>
      <c r="AB151" t="str">
        <f t="shared" si="22"/>
        <v>40–49</v>
      </c>
      <c r="AC151" t="str">
        <f t="shared" si="23"/>
        <v/>
      </c>
      <c r="AD151" t="str">
        <f t="shared" si="24"/>
        <v/>
      </c>
      <c r="AE151" t="str">
        <f t="shared" si="25"/>
        <v/>
      </c>
      <c r="AF151" t="str">
        <f t="shared" si="26"/>
        <v/>
      </c>
      <c r="AG151" t="str">
        <f t="shared" si="27"/>
        <v>Friday</v>
      </c>
      <c r="AH151" t="str">
        <f t="shared" si="28"/>
        <v/>
      </c>
      <c r="AI151" t="str">
        <f t="shared" si="29"/>
        <v/>
      </c>
      <c r="AJ151" t="str">
        <f>LEFT(Table1[[#This Row],[membership_type]],2)&amp;TEXT(Table1[[#This Row],[age]],"00")&amp;"-"&amp;TEXT(ROW(),"000")</f>
        <v>St40-151</v>
      </c>
      <c r="AK151" t="str">
        <f>LEFT(Table1[[#This Row],[membership_type]],1)&amp;TEXT(MATCH(Table1[[#This Row],[membership_type]],Table1[membership_type],0),"00")</f>
        <v>S02</v>
      </c>
      <c r="AL151" t="str">
        <f>LEFT(Table1[[#This Row],[discount_type]],1)&amp;TEXT(ROUND(Table1[[#This Row],[discount_rate]]*100,0),"00")</f>
        <v>P05</v>
      </c>
      <c r="AM151" t="str" cm="1">
        <f t="array" ref="AM151">TEXT(SUMPRODUCT(CODE(MID(Table1[[#This Row],[home_gym_location]],_xlfn.SEQUENCE(LEN(Table1[[#This Row],[home_gym_location]])),1))),"00000")</f>
        <v>00931</v>
      </c>
      <c r="AN15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1" t="str">
        <f>LEFT(_xlfn.TEXTBEFORE(Table1[[#This Row],[Location Identifier]],"-"),3) &amp; "-" &amp; _xlfn.TEXTAFTER(Table1[[#This Row],[Location Identifier]],"-")</f>
        <v>SAN-010</v>
      </c>
      <c r="AP151" s="9">
        <f t="shared" ca="1" si="20"/>
        <v>45869</v>
      </c>
    </row>
    <row r="152" spans="1:42" x14ac:dyDescent="0.25">
      <c r="A152">
        <v>28</v>
      </c>
      <c r="B152" t="s">
        <v>42</v>
      </c>
      <c r="C152">
        <v>3</v>
      </c>
      <c r="D152" t="s">
        <v>124</v>
      </c>
      <c r="E152" t="b">
        <v>0</v>
      </c>
      <c r="F152" s="1">
        <v>0.42430555555555555</v>
      </c>
      <c r="G152" s="1">
        <v>0.5180555555555556</v>
      </c>
      <c r="H152">
        <v>135</v>
      </c>
      <c r="I152" t="b">
        <v>1</v>
      </c>
      <c r="J152" t="b">
        <v>0</v>
      </c>
      <c r="K152" t="b">
        <v>1</v>
      </c>
      <c r="L152" t="s">
        <v>62</v>
      </c>
      <c r="M152">
        <v>20</v>
      </c>
      <c r="N152" t="s">
        <v>29</v>
      </c>
      <c r="O152">
        <v>20</v>
      </c>
      <c r="P152" t="s">
        <v>36</v>
      </c>
      <c r="Q152">
        <v>0</v>
      </c>
      <c r="R152">
        <v>20</v>
      </c>
      <c r="S152" t="s">
        <v>44</v>
      </c>
      <c r="T152" t="s">
        <v>54</v>
      </c>
      <c r="U152">
        <v>32.715699999999998</v>
      </c>
      <c r="V152">
        <v>-117.1611</v>
      </c>
      <c r="W152" s="2">
        <v>44863</v>
      </c>
      <c r="X152">
        <v>0</v>
      </c>
      <c r="Y152" t="b">
        <v>0</v>
      </c>
      <c r="Z152" s="2">
        <v>45806</v>
      </c>
      <c r="AA152" t="str">
        <f t="shared" si="21"/>
        <v>20–29</v>
      </c>
      <c r="AB152" t="str">
        <f t="shared" si="22"/>
        <v>20–29</v>
      </c>
      <c r="AC152" t="str">
        <f t="shared" si="23"/>
        <v>Monday</v>
      </c>
      <c r="AD152" t="str">
        <f t="shared" si="24"/>
        <v/>
      </c>
      <c r="AE152" t="str">
        <f t="shared" si="25"/>
        <v/>
      </c>
      <c r="AF152" t="str">
        <f t="shared" si="26"/>
        <v>Thursday</v>
      </c>
      <c r="AG152" t="str">
        <f t="shared" si="27"/>
        <v>Friday</v>
      </c>
      <c r="AH152" t="str">
        <f t="shared" si="28"/>
        <v/>
      </c>
      <c r="AI152" t="str">
        <f t="shared" si="29"/>
        <v/>
      </c>
      <c r="AJ152" t="str">
        <f>LEFT(Table1[[#This Row],[membership_type]],2)&amp;TEXT(Table1[[#This Row],[age]],"00")&amp;"-"&amp;TEXT(ROW(),"000")</f>
        <v>Ba28-152</v>
      </c>
      <c r="AK152" t="str">
        <f>LEFT(Table1[[#This Row],[membership_type]],1)&amp;TEXT(MATCH(Table1[[#This Row],[membership_type]],Table1[membership_type],0),"00")</f>
        <v>B04</v>
      </c>
      <c r="AL152" t="str">
        <f>LEFT(Table1[[#This Row],[discount_type]],1)&amp;TEXT(ROUND(Table1[[#This Row],[discount_rate]]*100,0),"00")</f>
        <v>N00</v>
      </c>
      <c r="AM152" t="str" cm="1">
        <f t="array" ref="AM152">TEXT(SUMPRODUCT(CODE(MID(Table1[[#This Row],[home_gym_location]],_xlfn.SEQUENCE(LEN(Table1[[#This Row],[home_gym_location]])),1))),"00000")</f>
        <v>01018</v>
      </c>
      <c r="AN15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2" t="str">
        <f>LEFT(_xlfn.TEXTBEFORE(Table1[[#This Row],[Location Identifier]],"-"),3) &amp; "-" &amp; _xlfn.TEXTAFTER(Table1[[#This Row],[Location Identifier]],"-")</f>
        <v>SAN-008</v>
      </c>
      <c r="AP152" s="9">
        <f t="shared" ca="1" si="20"/>
        <v>45869</v>
      </c>
    </row>
    <row r="153" spans="1:42" x14ac:dyDescent="0.25">
      <c r="A153">
        <v>27</v>
      </c>
      <c r="B153" t="s">
        <v>26</v>
      </c>
      <c r="C153">
        <v>1</v>
      </c>
      <c r="D153" t="s">
        <v>67</v>
      </c>
      <c r="E153" t="b">
        <v>0</v>
      </c>
      <c r="F153" s="1">
        <v>0.59513888888888888</v>
      </c>
      <c r="G153" s="1">
        <v>0.65416666666666667</v>
      </c>
      <c r="H153">
        <v>85</v>
      </c>
      <c r="I153" t="b">
        <v>0</v>
      </c>
      <c r="J153" t="b">
        <v>0</v>
      </c>
      <c r="K153" t="b">
        <v>0</v>
      </c>
      <c r="L153" t="s">
        <v>47</v>
      </c>
      <c r="M153">
        <v>50</v>
      </c>
      <c r="N153" t="s">
        <v>64</v>
      </c>
      <c r="O153">
        <v>37.5</v>
      </c>
      <c r="P153" t="s">
        <v>30</v>
      </c>
      <c r="Q153">
        <v>0.05</v>
      </c>
      <c r="R153">
        <v>35.625</v>
      </c>
      <c r="S153" t="s">
        <v>31</v>
      </c>
      <c r="T153" t="s">
        <v>56</v>
      </c>
      <c r="U153">
        <v>35.3733</v>
      </c>
      <c r="V153">
        <v>-119.0187</v>
      </c>
      <c r="W153" s="2">
        <v>45575</v>
      </c>
      <c r="X153">
        <v>0</v>
      </c>
      <c r="Y153" t="b">
        <v>1</v>
      </c>
      <c r="Z153" s="2">
        <v>45846</v>
      </c>
      <c r="AA153" t="str">
        <f t="shared" si="21"/>
        <v>20–29</v>
      </c>
      <c r="AB153" t="str">
        <f t="shared" si="22"/>
        <v>20–29</v>
      </c>
      <c r="AC153" t="str">
        <f t="shared" si="23"/>
        <v/>
      </c>
      <c r="AD153" t="str">
        <f t="shared" si="24"/>
        <v/>
      </c>
      <c r="AE153" t="str">
        <f t="shared" si="25"/>
        <v/>
      </c>
      <c r="AF153" t="str">
        <f t="shared" si="26"/>
        <v>Thursday</v>
      </c>
      <c r="AG153" t="str">
        <f t="shared" si="27"/>
        <v/>
      </c>
      <c r="AH153" t="str">
        <f t="shared" si="28"/>
        <v/>
      </c>
      <c r="AI153" t="str">
        <f t="shared" si="29"/>
        <v/>
      </c>
      <c r="AJ153" t="str">
        <f>LEFT(Table1[[#This Row],[membership_type]],2)&amp;TEXT(Table1[[#This Row],[age]],"00")&amp;"-"&amp;TEXT(ROW(),"000")</f>
        <v>Pr27-153</v>
      </c>
      <c r="AK153" t="str">
        <f>LEFT(Table1[[#This Row],[membership_type]],1)&amp;TEXT(MATCH(Table1[[#This Row],[membership_type]],Table1[membership_type],0),"00")</f>
        <v>P01</v>
      </c>
      <c r="AL153" t="str">
        <f>LEFT(Table1[[#This Row],[discount_type]],1)&amp;TEXT(ROUND(Table1[[#This Row],[discount_rate]]*100,0),"00")</f>
        <v>P05</v>
      </c>
      <c r="AM153" t="str" cm="1">
        <f t="array" ref="AM153">TEXT(SUMPRODUCT(CODE(MID(Table1[[#This Row],[home_gym_location]],_xlfn.SEQUENCE(LEN(Table1[[#This Row],[home_gym_location]])),1))),"00000")</f>
        <v>01324</v>
      </c>
      <c r="AN15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3" t="str">
        <f>LEFT(_xlfn.TEXTBEFORE(Table1[[#This Row],[Location Identifier]],"-"),3) &amp; "-" &amp; _xlfn.TEXTAFTER(Table1[[#This Row],[Location Identifier]],"-")</f>
        <v>BAK-002</v>
      </c>
      <c r="AP153" s="9">
        <f t="shared" ca="1" si="20"/>
        <v>45869</v>
      </c>
    </row>
    <row r="154" spans="1:42" x14ac:dyDescent="0.25">
      <c r="A154">
        <v>27</v>
      </c>
      <c r="B154" t="s">
        <v>33</v>
      </c>
      <c r="C154">
        <v>2</v>
      </c>
      <c r="D154" t="s">
        <v>43</v>
      </c>
      <c r="E154" t="b">
        <v>1</v>
      </c>
      <c r="F154" s="1">
        <v>0.38194444444444442</v>
      </c>
      <c r="G154" s="1">
        <v>0.48333333333333334</v>
      </c>
      <c r="H154">
        <v>146</v>
      </c>
      <c r="I154" t="b">
        <v>0</v>
      </c>
      <c r="J154" t="b">
        <v>1</v>
      </c>
      <c r="K154" t="b">
        <v>1</v>
      </c>
      <c r="L154" t="s">
        <v>62</v>
      </c>
      <c r="M154">
        <v>30</v>
      </c>
      <c r="N154" t="s">
        <v>64</v>
      </c>
      <c r="O154">
        <v>22.5</v>
      </c>
      <c r="P154" t="s">
        <v>36</v>
      </c>
      <c r="Q154">
        <v>0</v>
      </c>
      <c r="R154">
        <v>22.5</v>
      </c>
      <c r="S154" t="s">
        <v>37</v>
      </c>
      <c r="T154" t="s">
        <v>54</v>
      </c>
      <c r="U154">
        <v>32.715699999999998</v>
      </c>
      <c r="V154">
        <v>-117.1611</v>
      </c>
      <c r="W154" s="2">
        <v>45676</v>
      </c>
      <c r="X154">
        <v>1</v>
      </c>
      <c r="Y154" t="b">
        <v>0</v>
      </c>
      <c r="Z154" s="2">
        <v>45852</v>
      </c>
      <c r="AA154" t="str">
        <f t="shared" si="21"/>
        <v>20–29</v>
      </c>
      <c r="AB154" t="str">
        <f t="shared" si="22"/>
        <v>20–29</v>
      </c>
      <c r="AC154" t="str">
        <f t="shared" si="23"/>
        <v>Monday</v>
      </c>
      <c r="AD154" t="str">
        <f t="shared" si="24"/>
        <v>Tuesday</v>
      </c>
      <c r="AE154" t="str">
        <f t="shared" si="25"/>
        <v/>
      </c>
      <c r="AF154" t="str">
        <f t="shared" si="26"/>
        <v/>
      </c>
      <c r="AG154" t="str">
        <f t="shared" si="27"/>
        <v/>
      </c>
      <c r="AH154" t="str">
        <f t="shared" si="28"/>
        <v/>
      </c>
      <c r="AI154" t="str">
        <f t="shared" si="29"/>
        <v/>
      </c>
      <c r="AJ154" t="str">
        <f>LEFT(Table1[[#This Row],[membership_type]],2)&amp;TEXT(Table1[[#This Row],[age]],"00")&amp;"-"&amp;TEXT(ROW(),"000")</f>
        <v>St27-154</v>
      </c>
      <c r="AK154" t="str">
        <f>LEFT(Table1[[#This Row],[membership_type]],1)&amp;TEXT(MATCH(Table1[[#This Row],[membership_type]],Table1[membership_type],0),"00")</f>
        <v>S02</v>
      </c>
      <c r="AL154" t="str">
        <f>LEFT(Table1[[#This Row],[discount_type]],1)&amp;TEXT(ROUND(Table1[[#This Row],[discount_rate]]*100,0),"00")</f>
        <v>N00</v>
      </c>
      <c r="AM154" t="str" cm="1">
        <f t="array" ref="AM154">TEXT(SUMPRODUCT(CODE(MID(Table1[[#This Row],[home_gym_location]],_xlfn.SEQUENCE(LEN(Table1[[#This Row],[home_gym_location]])),1))),"00000")</f>
        <v>01018</v>
      </c>
      <c r="AN1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4" t="str">
        <f>LEFT(_xlfn.TEXTBEFORE(Table1[[#This Row],[Location Identifier]],"-"),3) &amp; "-" &amp; _xlfn.TEXTAFTER(Table1[[#This Row],[Location Identifier]],"-")</f>
        <v>SAN-008</v>
      </c>
      <c r="AP154" s="9">
        <f t="shared" ca="1" si="20"/>
        <v>45869</v>
      </c>
    </row>
    <row r="155" spans="1:42" x14ac:dyDescent="0.25">
      <c r="A155">
        <v>29</v>
      </c>
      <c r="B155" t="s">
        <v>33</v>
      </c>
      <c r="C155">
        <v>3</v>
      </c>
      <c r="D155" t="s">
        <v>100</v>
      </c>
      <c r="E155" t="b">
        <v>0</v>
      </c>
      <c r="F155" s="1">
        <v>0.59444444444444444</v>
      </c>
      <c r="G155" s="1">
        <v>0.71388888888888891</v>
      </c>
      <c r="H155">
        <v>172</v>
      </c>
      <c r="I155" t="b">
        <v>0</v>
      </c>
      <c r="J155" t="b">
        <v>0</v>
      </c>
      <c r="K155" t="b">
        <v>0</v>
      </c>
      <c r="L155" t="s">
        <v>62</v>
      </c>
      <c r="M155">
        <v>30</v>
      </c>
      <c r="N155" t="s">
        <v>29</v>
      </c>
      <c r="O155">
        <v>30</v>
      </c>
      <c r="P155" t="s">
        <v>30</v>
      </c>
      <c r="Q155">
        <v>0.05</v>
      </c>
      <c r="R155">
        <v>28.5</v>
      </c>
      <c r="S155" t="s">
        <v>37</v>
      </c>
      <c r="T155" t="s">
        <v>38</v>
      </c>
      <c r="U155">
        <v>36.7378</v>
      </c>
      <c r="V155">
        <v>-119.7871</v>
      </c>
      <c r="W155" s="2">
        <v>45309</v>
      </c>
      <c r="X155">
        <v>0</v>
      </c>
      <c r="Y155" t="b">
        <v>0</v>
      </c>
      <c r="Z155" s="2">
        <v>45831</v>
      </c>
      <c r="AA155" t="str">
        <f t="shared" si="21"/>
        <v>20–29</v>
      </c>
      <c r="AB155" t="str">
        <f t="shared" si="22"/>
        <v>20–29</v>
      </c>
      <c r="AC155" t="str">
        <f t="shared" si="23"/>
        <v/>
      </c>
      <c r="AD155" t="str">
        <f t="shared" si="24"/>
        <v/>
      </c>
      <c r="AE155" t="str">
        <f t="shared" si="25"/>
        <v>Wednesday</v>
      </c>
      <c r="AF155" t="str">
        <f t="shared" si="26"/>
        <v/>
      </c>
      <c r="AG155" t="str">
        <f t="shared" si="27"/>
        <v>Friday</v>
      </c>
      <c r="AH155" t="str">
        <f t="shared" si="28"/>
        <v/>
      </c>
      <c r="AI155" t="str">
        <f t="shared" si="29"/>
        <v>Sunday</v>
      </c>
      <c r="AJ155" t="str">
        <f>LEFT(Table1[[#This Row],[membership_type]],2)&amp;TEXT(Table1[[#This Row],[age]],"00")&amp;"-"&amp;TEXT(ROW(),"000")</f>
        <v>St29-155</v>
      </c>
      <c r="AK155" t="str">
        <f>LEFT(Table1[[#This Row],[membership_type]],1)&amp;TEXT(MATCH(Table1[[#This Row],[membership_type]],Table1[membership_type],0),"00")</f>
        <v>S02</v>
      </c>
      <c r="AL155" t="str">
        <f>LEFT(Table1[[#This Row],[discount_type]],1)&amp;TEXT(ROUND(Table1[[#This Row],[discount_rate]]*100,0),"00")</f>
        <v>P05</v>
      </c>
      <c r="AM155" t="str" cm="1">
        <f t="array" ref="AM155">TEXT(SUMPRODUCT(CODE(MID(Table1[[#This Row],[home_gym_location]],_xlfn.SEQUENCE(LEN(Table1[[#This Row],[home_gym_location]])),1))),"00000")</f>
        <v>00829</v>
      </c>
      <c r="AN155" t="str">
        <f>UPPER(_xlfn.TEXTBEFORE(Table1[[#This Row],[home_gym_location]],","))&amp;"-"&amp;TEXT(MATCH(Table1[[#This Row],[home_gym_location]],_xlfn._xlws.SORT(_xlfn.UNIQUE(Table1[home_gym_location])),0),"000")</f>
        <v>FRESNO-003</v>
      </c>
      <c r="AO155" t="str">
        <f>LEFT(_xlfn.TEXTBEFORE(Table1[[#This Row],[Location Identifier]],"-"),3) &amp; "-" &amp; _xlfn.TEXTAFTER(Table1[[#This Row],[Location Identifier]],"-")</f>
        <v>FRE-003</v>
      </c>
      <c r="AP155" s="9">
        <f t="shared" ca="1" si="20"/>
        <v>45869</v>
      </c>
    </row>
    <row r="156" spans="1:42" x14ac:dyDescent="0.25">
      <c r="A156">
        <v>39</v>
      </c>
      <c r="B156" t="s">
        <v>33</v>
      </c>
      <c r="C156">
        <v>3</v>
      </c>
      <c r="D156" t="s">
        <v>57</v>
      </c>
      <c r="E156" t="b">
        <v>1</v>
      </c>
      <c r="F156" s="1">
        <v>0.6381944444444444</v>
      </c>
      <c r="G156" s="1">
        <v>0.73263888888888884</v>
      </c>
      <c r="H156">
        <v>136</v>
      </c>
      <c r="I156" t="b">
        <v>0</v>
      </c>
      <c r="J156" t="b">
        <v>1</v>
      </c>
      <c r="K156" t="b">
        <v>1</v>
      </c>
      <c r="L156" t="s">
        <v>28</v>
      </c>
      <c r="M156">
        <v>30</v>
      </c>
      <c r="N156" t="s">
        <v>29</v>
      </c>
      <c r="O156">
        <v>30</v>
      </c>
      <c r="P156" t="s">
        <v>74</v>
      </c>
      <c r="Q156">
        <v>0.15</v>
      </c>
      <c r="R156">
        <v>25.5</v>
      </c>
      <c r="S156" t="s">
        <v>37</v>
      </c>
      <c r="T156" t="s">
        <v>41</v>
      </c>
      <c r="U156">
        <v>37.804400000000001</v>
      </c>
      <c r="V156">
        <v>-122.27119999999999</v>
      </c>
      <c r="W156" s="2">
        <v>44781</v>
      </c>
      <c r="X156">
        <v>8</v>
      </c>
      <c r="Y156" t="b">
        <v>0</v>
      </c>
      <c r="Z156" s="2">
        <v>45801</v>
      </c>
      <c r="AA156" t="str">
        <f t="shared" si="21"/>
        <v>30–39</v>
      </c>
      <c r="AB156" t="str">
        <f t="shared" si="22"/>
        <v>30–39</v>
      </c>
      <c r="AC156" t="str">
        <f t="shared" si="23"/>
        <v/>
      </c>
      <c r="AD156" t="str">
        <f t="shared" si="24"/>
        <v/>
      </c>
      <c r="AE156" t="str">
        <f t="shared" si="25"/>
        <v>Wednesday</v>
      </c>
      <c r="AF156" t="str">
        <f t="shared" si="26"/>
        <v>Thursday</v>
      </c>
      <c r="AG156" t="str">
        <f t="shared" si="27"/>
        <v/>
      </c>
      <c r="AH156" t="str">
        <f t="shared" si="28"/>
        <v>Saturday</v>
      </c>
      <c r="AI156" t="str">
        <f t="shared" si="29"/>
        <v/>
      </c>
      <c r="AJ156" t="str">
        <f>LEFT(Table1[[#This Row],[membership_type]],2)&amp;TEXT(Table1[[#This Row],[age]],"00")&amp;"-"&amp;TEXT(ROW(),"000")</f>
        <v>St39-156</v>
      </c>
      <c r="AK156" t="str">
        <f>LEFT(Table1[[#This Row],[membership_type]],1)&amp;TEXT(MATCH(Table1[[#This Row],[membership_type]],Table1[membership_type],0),"00")</f>
        <v>S02</v>
      </c>
      <c r="AL156" t="str">
        <f>LEFT(Table1[[#This Row],[discount_type]],1)&amp;TEXT(ROUND(Table1[[#This Row],[discount_rate]]*100,0),"00")</f>
        <v>S15</v>
      </c>
      <c r="AM156" t="str" cm="1">
        <f t="array" ref="AM156">TEXT(SUMPRODUCT(CODE(MID(Table1[[#This Row],[home_gym_location]],_xlfn.SEQUENCE(LEN(Table1[[#This Row],[home_gym_location]])),1))),"00000")</f>
        <v>00906</v>
      </c>
      <c r="AN156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6" t="str">
        <f>LEFT(_xlfn.TEXTBEFORE(Table1[[#This Row],[Location Identifier]],"-"),3) &amp; "-" &amp; _xlfn.TEXTAFTER(Table1[[#This Row],[Location Identifier]],"-")</f>
        <v>OAK-006</v>
      </c>
      <c r="AP156" s="9">
        <f t="shared" ca="1" si="20"/>
        <v>45869</v>
      </c>
    </row>
    <row r="157" spans="1:42" x14ac:dyDescent="0.25">
      <c r="A157">
        <v>41</v>
      </c>
      <c r="B157" t="s">
        <v>33</v>
      </c>
      <c r="C157">
        <v>1</v>
      </c>
      <c r="D157" t="s">
        <v>75</v>
      </c>
      <c r="E157" t="b">
        <v>0</v>
      </c>
      <c r="F157" s="1">
        <v>0.57638888888888884</v>
      </c>
      <c r="G157" s="1">
        <v>0.60138888888888886</v>
      </c>
      <c r="H157">
        <v>36</v>
      </c>
      <c r="I157" t="b">
        <v>0</v>
      </c>
      <c r="J157" t="b">
        <v>1</v>
      </c>
      <c r="K157" t="b">
        <v>0</v>
      </c>
      <c r="L157" t="s">
        <v>28</v>
      </c>
      <c r="M157">
        <v>30</v>
      </c>
      <c r="N157" t="s">
        <v>29</v>
      </c>
      <c r="O157">
        <v>30</v>
      </c>
      <c r="P157" t="s">
        <v>40</v>
      </c>
      <c r="Q157">
        <v>0.1</v>
      </c>
      <c r="R157">
        <v>27</v>
      </c>
      <c r="S157" t="s">
        <v>37</v>
      </c>
      <c r="T157" t="s">
        <v>38</v>
      </c>
      <c r="U157">
        <v>36.7378</v>
      </c>
      <c r="V157">
        <v>-119.7871</v>
      </c>
      <c r="W157" s="2">
        <v>45573</v>
      </c>
      <c r="X157">
        <v>5</v>
      </c>
      <c r="Y157" t="b">
        <v>0</v>
      </c>
      <c r="Z157" s="2">
        <v>45846</v>
      </c>
      <c r="AA157" t="str">
        <f t="shared" si="21"/>
        <v>40–49</v>
      </c>
      <c r="AB157" t="str">
        <f t="shared" si="22"/>
        <v>40–49</v>
      </c>
      <c r="AC157" t="str">
        <f t="shared" si="23"/>
        <v/>
      </c>
      <c r="AD157" t="str">
        <f t="shared" si="24"/>
        <v/>
      </c>
      <c r="AE157" t="str">
        <f t="shared" si="25"/>
        <v/>
      </c>
      <c r="AF157" t="str">
        <f t="shared" si="26"/>
        <v/>
      </c>
      <c r="AG157" t="str">
        <f t="shared" si="27"/>
        <v>Friday</v>
      </c>
      <c r="AH157" t="str">
        <f t="shared" si="28"/>
        <v/>
      </c>
      <c r="AI157" t="str">
        <f t="shared" si="29"/>
        <v/>
      </c>
      <c r="AJ157" t="str">
        <f>LEFT(Table1[[#This Row],[membership_type]],2)&amp;TEXT(Table1[[#This Row],[age]],"00")&amp;"-"&amp;TEXT(ROW(),"000")</f>
        <v>St41-157</v>
      </c>
      <c r="AK157" t="str">
        <f>LEFT(Table1[[#This Row],[membership_type]],1)&amp;TEXT(MATCH(Table1[[#This Row],[membership_type]],Table1[membership_type],0),"00")</f>
        <v>S02</v>
      </c>
      <c r="AL157" t="str">
        <f>LEFT(Table1[[#This Row],[discount_type]],1)&amp;TEXT(ROUND(Table1[[#This Row],[discount_rate]]*100,0),"00")</f>
        <v>L10</v>
      </c>
      <c r="AM157" t="str" cm="1">
        <f t="array" ref="AM157">TEXT(SUMPRODUCT(CODE(MID(Table1[[#This Row],[home_gym_location]],_xlfn.SEQUENCE(LEN(Table1[[#This Row],[home_gym_location]])),1))),"00000")</f>
        <v>00829</v>
      </c>
      <c r="AN157" t="str">
        <f>UPPER(_xlfn.TEXTBEFORE(Table1[[#This Row],[home_gym_location]],","))&amp;"-"&amp;TEXT(MATCH(Table1[[#This Row],[home_gym_location]],_xlfn._xlws.SORT(_xlfn.UNIQUE(Table1[home_gym_location])),0),"000")</f>
        <v>FRESNO-003</v>
      </c>
      <c r="AO157" t="str">
        <f>LEFT(_xlfn.TEXTBEFORE(Table1[[#This Row],[Location Identifier]],"-"),3) &amp; "-" &amp; _xlfn.TEXTAFTER(Table1[[#This Row],[Location Identifier]],"-")</f>
        <v>FRE-003</v>
      </c>
      <c r="AP157" s="9">
        <f t="shared" ca="1" si="20"/>
        <v>45869</v>
      </c>
    </row>
    <row r="158" spans="1:42" x14ac:dyDescent="0.25">
      <c r="A158">
        <v>41</v>
      </c>
      <c r="B158" t="s">
        <v>33</v>
      </c>
      <c r="C158">
        <v>2</v>
      </c>
      <c r="D158" t="s">
        <v>96</v>
      </c>
      <c r="E158" t="b">
        <v>1</v>
      </c>
      <c r="F158" s="1">
        <v>0.43680555555555556</v>
      </c>
      <c r="G158" s="1">
        <v>0.52569444444444446</v>
      </c>
      <c r="H158">
        <v>128</v>
      </c>
      <c r="I158" t="b">
        <v>1</v>
      </c>
      <c r="J158" t="b">
        <v>1</v>
      </c>
      <c r="K158" t="b">
        <v>1</v>
      </c>
      <c r="L158" t="s">
        <v>35</v>
      </c>
      <c r="M158">
        <v>30</v>
      </c>
      <c r="N158" t="s">
        <v>29</v>
      </c>
      <c r="O158">
        <v>30</v>
      </c>
      <c r="P158" t="s">
        <v>74</v>
      </c>
      <c r="Q158">
        <v>0.15</v>
      </c>
      <c r="R158">
        <v>25.5</v>
      </c>
      <c r="S158" t="s">
        <v>37</v>
      </c>
      <c r="T158" t="s">
        <v>38</v>
      </c>
      <c r="U158">
        <v>36.7378</v>
      </c>
      <c r="V158">
        <v>-119.7871</v>
      </c>
      <c r="W158" s="2">
        <v>45115</v>
      </c>
      <c r="X158">
        <v>5</v>
      </c>
      <c r="Y158" t="b">
        <v>1</v>
      </c>
      <c r="Z158" s="2">
        <v>45820</v>
      </c>
      <c r="AA158" t="str">
        <f t="shared" si="21"/>
        <v>40–49</v>
      </c>
      <c r="AB158" t="str">
        <f t="shared" si="22"/>
        <v>40–49</v>
      </c>
      <c r="AC158" t="str">
        <f t="shared" si="23"/>
        <v/>
      </c>
      <c r="AD158" t="str">
        <f t="shared" si="24"/>
        <v/>
      </c>
      <c r="AE158" t="str">
        <f t="shared" si="25"/>
        <v/>
      </c>
      <c r="AF158" t="str">
        <f t="shared" si="26"/>
        <v>Thursday</v>
      </c>
      <c r="AG158" t="str">
        <f t="shared" si="27"/>
        <v>Friday</v>
      </c>
      <c r="AH158" t="str">
        <f t="shared" si="28"/>
        <v/>
      </c>
      <c r="AI158" t="str">
        <f t="shared" si="29"/>
        <v/>
      </c>
      <c r="AJ158" t="str">
        <f>LEFT(Table1[[#This Row],[membership_type]],2)&amp;TEXT(Table1[[#This Row],[age]],"00")&amp;"-"&amp;TEXT(ROW(),"000")</f>
        <v>St41-158</v>
      </c>
      <c r="AK158" t="str">
        <f>LEFT(Table1[[#This Row],[membership_type]],1)&amp;TEXT(MATCH(Table1[[#This Row],[membership_type]],Table1[membership_type],0),"00")</f>
        <v>S02</v>
      </c>
      <c r="AL158" t="str">
        <f>LEFT(Table1[[#This Row],[discount_type]],1)&amp;TEXT(ROUND(Table1[[#This Row],[discount_rate]]*100,0),"00")</f>
        <v>S15</v>
      </c>
      <c r="AM158" t="str" cm="1">
        <f t="array" ref="AM158">TEXT(SUMPRODUCT(CODE(MID(Table1[[#This Row],[home_gym_location]],_xlfn.SEQUENCE(LEN(Table1[[#This Row],[home_gym_location]])),1))),"00000")</f>
        <v>00829</v>
      </c>
      <c r="AN158" t="str">
        <f>UPPER(_xlfn.TEXTBEFORE(Table1[[#This Row],[home_gym_location]],","))&amp;"-"&amp;TEXT(MATCH(Table1[[#This Row],[home_gym_location]],_xlfn._xlws.SORT(_xlfn.UNIQUE(Table1[home_gym_location])),0),"000")</f>
        <v>FRESNO-003</v>
      </c>
      <c r="AO158" t="str">
        <f>LEFT(_xlfn.TEXTBEFORE(Table1[[#This Row],[Location Identifier]],"-"),3) &amp; "-" &amp; _xlfn.TEXTAFTER(Table1[[#This Row],[Location Identifier]],"-")</f>
        <v>FRE-003</v>
      </c>
      <c r="AP158" s="9">
        <f t="shared" ca="1" si="20"/>
        <v>45869</v>
      </c>
    </row>
    <row r="159" spans="1:42" x14ac:dyDescent="0.25">
      <c r="A159">
        <v>40</v>
      </c>
      <c r="B159" t="s">
        <v>26</v>
      </c>
      <c r="C159">
        <v>2</v>
      </c>
      <c r="D159" t="s">
        <v>61</v>
      </c>
      <c r="E159" t="b">
        <v>1</v>
      </c>
      <c r="F159" s="1">
        <v>0.85624999999999996</v>
      </c>
      <c r="G159" s="1">
        <v>0.91111111111111109</v>
      </c>
      <c r="H159">
        <v>79</v>
      </c>
      <c r="I159" t="b">
        <v>1</v>
      </c>
      <c r="J159" t="b">
        <v>1</v>
      </c>
      <c r="K159" t="b">
        <v>1</v>
      </c>
      <c r="L159" t="s">
        <v>35</v>
      </c>
      <c r="M159">
        <v>50</v>
      </c>
      <c r="N159" t="s">
        <v>64</v>
      </c>
      <c r="O159">
        <v>37.5</v>
      </c>
      <c r="P159" t="s">
        <v>74</v>
      </c>
      <c r="Q159">
        <v>0.15</v>
      </c>
      <c r="R159">
        <v>31.875</v>
      </c>
      <c r="S159" t="s">
        <v>31</v>
      </c>
      <c r="T159" t="s">
        <v>56</v>
      </c>
      <c r="U159">
        <v>35.3733</v>
      </c>
      <c r="V159">
        <v>-119.0187</v>
      </c>
      <c r="W159" s="2">
        <v>45019</v>
      </c>
      <c r="X159">
        <v>2</v>
      </c>
      <c r="Y159" t="b">
        <v>0</v>
      </c>
      <c r="Z159" s="2">
        <v>45815</v>
      </c>
      <c r="AA159" t="str">
        <f t="shared" si="21"/>
        <v>40–49</v>
      </c>
      <c r="AB159" t="str">
        <f t="shared" si="22"/>
        <v>40–49</v>
      </c>
      <c r="AC159" t="str">
        <f t="shared" si="23"/>
        <v/>
      </c>
      <c r="AD159" t="str">
        <f t="shared" si="24"/>
        <v>Tuesday</v>
      </c>
      <c r="AE159" t="str">
        <f t="shared" si="25"/>
        <v/>
      </c>
      <c r="AF159" t="str">
        <f t="shared" si="26"/>
        <v/>
      </c>
      <c r="AG159" t="str">
        <f t="shared" si="27"/>
        <v/>
      </c>
      <c r="AH159" t="str">
        <f t="shared" si="28"/>
        <v>Saturday</v>
      </c>
      <c r="AI159" t="str">
        <f t="shared" si="29"/>
        <v/>
      </c>
      <c r="AJ159" t="str">
        <f>LEFT(Table1[[#This Row],[membership_type]],2)&amp;TEXT(Table1[[#This Row],[age]],"00")&amp;"-"&amp;TEXT(ROW(),"000")</f>
        <v>Pr40-159</v>
      </c>
      <c r="AK159" t="str">
        <f>LEFT(Table1[[#This Row],[membership_type]],1)&amp;TEXT(MATCH(Table1[[#This Row],[membership_type]],Table1[membership_type],0),"00")</f>
        <v>P01</v>
      </c>
      <c r="AL159" t="str">
        <f>LEFT(Table1[[#This Row],[discount_type]],1)&amp;TEXT(ROUND(Table1[[#This Row],[discount_rate]]*100,0),"00")</f>
        <v>S15</v>
      </c>
      <c r="AM159" t="str" cm="1">
        <f t="array" ref="AM159">TEXT(SUMPRODUCT(CODE(MID(Table1[[#This Row],[home_gym_location]],_xlfn.SEQUENCE(LEN(Table1[[#This Row],[home_gym_location]])),1))),"00000")</f>
        <v>01324</v>
      </c>
      <c r="AN1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9" t="str">
        <f>LEFT(_xlfn.TEXTBEFORE(Table1[[#This Row],[Location Identifier]],"-"),3) &amp; "-" &amp; _xlfn.TEXTAFTER(Table1[[#This Row],[Location Identifier]],"-")</f>
        <v>BAK-002</v>
      </c>
      <c r="AP159" s="9">
        <f t="shared" ca="1" si="20"/>
        <v>45869</v>
      </c>
    </row>
    <row r="160" spans="1:42" x14ac:dyDescent="0.25">
      <c r="A160">
        <v>33</v>
      </c>
      <c r="B160" t="s">
        <v>26</v>
      </c>
      <c r="C160">
        <v>2</v>
      </c>
      <c r="D160" t="s">
        <v>27</v>
      </c>
      <c r="E160" t="b">
        <v>1</v>
      </c>
      <c r="F160" s="1">
        <v>0.62222222222222223</v>
      </c>
      <c r="G160" s="1">
        <v>0.6645833333333333</v>
      </c>
      <c r="H160">
        <v>61</v>
      </c>
      <c r="I160" t="b">
        <v>1</v>
      </c>
      <c r="J160" t="b">
        <v>1</v>
      </c>
      <c r="K160" t="b">
        <v>1</v>
      </c>
      <c r="L160" t="s">
        <v>62</v>
      </c>
      <c r="M160">
        <v>50</v>
      </c>
      <c r="N160" t="s">
        <v>29</v>
      </c>
      <c r="O160">
        <v>50</v>
      </c>
      <c r="P160" t="s">
        <v>36</v>
      </c>
      <c r="Q160">
        <v>0</v>
      </c>
      <c r="R160">
        <v>50</v>
      </c>
      <c r="S160" t="s">
        <v>31</v>
      </c>
      <c r="T160" t="s">
        <v>38</v>
      </c>
      <c r="U160">
        <v>36.7378</v>
      </c>
      <c r="V160">
        <v>-119.7871</v>
      </c>
      <c r="W160" s="2">
        <v>45577</v>
      </c>
      <c r="X160">
        <v>4</v>
      </c>
      <c r="Y160" t="b">
        <v>1</v>
      </c>
      <c r="Z160" s="2">
        <v>45846</v>
      </c>
      <c r="AA160" t="str">
        <f t="shared" si="21"/>
        <v>30–39</v>
      </c>
      <c r="AB160" t="str">
        <f t="shared" si="22"/>
        <v>30–39</v>
      </c>
      <c r="AC160" t="str">
        <f t="shared" si="23"/>
        <v/>
      </c>
      <c r="AD160" t="str">
        <f t="shared" si="24"/>
        <v/>
      </c>
      <c r="AE160" t="str">
        <f t="shared" si="25"/>
        <v/>
      </c>
      <c r="AF160" t="str">
        <f t="shared" si="26"/>
        <v>Thursday</v>
      </c>
      <c r="AG160" t="str">
        <f t="shared" si="27"/>
        <v/>
      </c>
      <c r="AH160" t="str">
        <f t="shared" si="28"/>
        <v>Saturday</v>
      </c>
      <c r="AI160" t="str">
        <f t="shared" si="29"/>
        <v/>
      </c>
      <c r="AJ160" t="str">
        <f>LEFT(Table1[[#This Row],[membership_type]],2)&amp;TEXT(Table1[[#This Row],[age]],"00")&amp;"-"&amp;TEXT(ROW(),"000")</f>
        <v>Pr33-160</v>
      </c>
      <c r="AK160" t="str">
        <f>LEFT(Table1[[#This Row],[membership_type]],1)&amp;TEXT(MATCH(Table1[[#This Row],[membership_type]],Table1[membership_type],0),"00")</f>
        <v>P01</v>
      </c>
      <c r="AL160" t="str">
        <f>LEFT(Table1[[#This Row],[discount_type]],1)&amp;TEXT(ROUND(Table1[[#This Row],[discount_rate]]*100,0),"00")</f>
        <v>N00</v>
      </c>
      <c r="AM160" t="str" cm="1">
        <f t="array" ref="AM160">TEXT(SUMPRODUCT(CODE(MID(Table1[[#This Row],[home_gym_location]],_xlfn.SEQUENCE(LEN(Table1[[#This Row],[home_gym_location]])),1))),"00000")</f>
        <v>00829</v>
      </c>
      <c r="AN160" t="str">
        <f>UPPER(_xlfn.TEXTBEFORE(Table1[[#This Row],[home_gym_location]],","))&amp;"-"&amp;TEXT(MATCH(Table1[[#This Row],[home_gym_location]],_xlfn._xlws.SORT(_xlfn.UNIQUE(Table1[home_gym_location])),0),"000")</f>
        <v>FRESNO-003</v>
      </c>
      <c r="AO160" t="str">
        <f>LEFT(_xlfn.TEXTBEFORE(Table1[[#This Row],[Location Identifier]],"-"),3) &amp; "-" &amp; _xlfn.TEXTAFTER(Table1[[#This Row],[Location Identifier]],"-")</f>
        <v>FRE-003</v>
      </c>
      <c r="AP160" s="9">
        <f t="shared" ca="1" si="20"/>
        <v>45869</v>
      </c>
    </row>
    <row r="161" spans="1:42" x14ac:dyDescent="0.25">
      <c r="A161">
        <v>14</v>
      </c>
      <c r="B161" t="s">
        <v>42</v>
      </c>
      <c r="C161">
        <v>2</v>
      </c>
      <c r="D161" t="s">
        <v>94</v>
      </c>
      <c r="E161" t="b">
        <v>0</v>
      </c>
      <c r="F161" s="1">
        <v>0.42291666666666666</v>
      </c>
      <c r="G161" s="1">
        <v>0.46875</v>
      </c>
      <c r="H161">
        <v>66</v>
      </c>
      <c r="I161" t="b">
        <v>0</v>
      </c>
      <c r="J161" t="b">
        <v>1</v>
      </c>
      <c r="K161" t="b">
        <v>1</v>
      </c>
      <c r="L161" t="s">
        <v>62</v>
      </c>
      <c r="M161">
        <v>20</v>
      </c>
      <c r="N161" t="s">
        <v>29</v>
      </c>
      <c r="O161">
        <v>20</v>
      </c>
      <c r="P161" t="s">
        <v>36</v>
      </c>
      <c r="Q161">
        <v>0</v>
      </c>
      <c r="R161">
        <v>20</v>
      </c>
      <c r="S161" t="s">
        <v>44</v>
      </c>
      <c r="T161" t="s">
        <v>59</v>
      </c>
      <c r="U161">
        <v>37.774900000000002</v>
      </c>
      <c r="V161">
        <v>-122.4194</v>
      </c>
      <c r="W161" s="2">
        <v>45055</v>
      </c>
      <c r="X161">
        <v>2</v>
      </c>
      <c r="Y161" t="b">
        <v>0</v>
      </c>
      <c r="Z161" s="2">
        <v>45817</v>
      </c>
      <c r="AA161" t="str">
        <f t="shared" si="21"/>
        <v>10–19</v>
      </c>
      <c r="AB161" t="str">
        <f t="shared" si="22"/>
        <v>Under 16</v>
      </c>
      <c r="AC161" t="str">
        <f t="shared" si="23"/>
        <v/>
      </c>
      <c r="AD161" t="str">
        <f t="shared" si="24"/>
        <v/>
      </c>
      <c r="AE161" t="str">
        <f t="shared" si="25"/>
        <v/>
      </c>
      <c r="AF161" t="str">
        <f t="shared" si="26"/>
        <v/>
      </c>
      <c r="AG161" t="str">
        <f t="shared" si="27"/>
        <v/>
      </c>
      <c r="AH161" t="str">
        <f t="shared" si="28"/>
        <v>Saturday</v>
      </c>
      <c r="AI161" t="str">
        <f t="shared" si="29"/>
        <v>Sunday</v>
      </c>
      <c r="AJ161" t="str">
        <f>LEFT(Table1[[#This Row],[membership_type]],2)&amp;TEXT(Table1[[#This Row],[age]],"00")&amp;"-"&amp;TEXT(ROW(),"000")</f>
        <v>Ba14-161</v>
      </c>
      <c r="AK161" t="str">
        <f>LEFT(Table1[[#This Row],[membership_type]],1)&amp;TEXT(MATCH(Table1[[#This Row],[membership_type]],Table1[membership_type],0),"00")</f>
        <v>B04</v>
      </c>
      <c r="AL161" t="str">
        <f>LEFT(Table1[[#This Row],[discount_type]],1)&amp;TEXT(ROUND(Table1[[#This Row],[discount_rate]]*100,0),"00")</f>
        <v>N00</v>
      </c>
      <c r="AM161" t="str" cm="1">
        <f t="array" ref="AM161">TEXT(SUMPRODUCT(CODE(MID(Table1[[#This Row],[home_gym_location]],_xlfn.SEQUENCE(LEN(Table1[[#This Row],[home_gym_location]])),1))),"00000")</f>
        <v>01450</v>
      </c>
      <c r="AN16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1" t="str">
        <f>LEFT(_xlfn.TEXTBEFORE(Table1[[#This Row],[Location Identifier]],"-"),3) &amp; "-" &amp; _xlfn.TEXTAFTER(Table1[[#This Row],[Location Identifier]],"-")</f>
        <v>SAN-009</v>
      </c>
      <c r="AP161" s="9">
        <f t="shared" ca="1" si="20"/>
        <v>45869</v>
      </c>
    </row>
    <row r="162" spans="1:42" x14ac:dyDescent="0.25">
      <c r="A162">
        <v>27</v>
      </c>
      <c r="B162" t="s">
        <v>51</v>
      </c>
      <c r="C162">
        <v>3</v>
      </c>
      <c r="D162" t="s">
        <v>57</v>
      </c>
      <c r="E162" t="b">
        <v>0</v>
      </c>
      <c r="F162" s="1">
        <v>0.84583333333333333</v>
      </c>
      <c r="G162" s="1">
        <v>0.93055555555555558</v>
      </c>
      <c r="H162">
        <v>122</v>
      </c>
      <c r="I162" t="b">
        <v>1</v>
      </c>
      <c r="J162" t="b">
        <v>1</v>
      </c>
      <c r="K162" t="b">
        <v>0</v>
      </c>
      <c r="L162" t="s">
        <v>28</v>
      </c>
      <c r="M162">
        <v>70</v>
      </c>
      <c r="N162" t="s">
        <v>64</v>
      </c>
      <c r="O162">
        <v>52.5</v>
      </c>
      <c r="P162" t="s">
        <v>40</v>
      </c>
      <c r="Q162">
        <v>0.1</v>
      </c>
      <c r="R162">
        <v>47.25</v>
      </c>
      <c r="S162" t="s">
        <v>53</v>
      </c>
      <c r="T162" t="s">
        <v>56</v>
      </c>
      <c r="U162">
        <v>35.3733</v>
      </c>
      <c r="V162">
        <v>-119.0187</v>
      </c>
      <c r="W162" s="2">
        <v>45439</v>
      </c>
      <c r="X162">
        <v>3</v>
      </c>
      <c r="Y162" t="b">
        <v>1</v>
      </c>
      <c r="Z162" s="2">
        <v>45838</v>
      </c>
      <c r="AA162" t="str">
        <f t="shared" si="21"/>
        <v>20–29</v>
      </c>
      <c r="AB162" t="str">
        <f t="shared" si="22"/>
        <v>20–29</v>
      </c>
      <c r="AC162" t="str">
        <f t="shared" si="23"/>
        <v/>
      </c>
      <c r="AD162" t="str">
        <f t="shared" si="24"/>
        <v/>
      </c>
      <c r="AE162" t="str">
        <f t="shared" si="25"/>
        <v>Wednesday</v>
      </c>
      <c r="AF162" t="str">
        <f t="shared" si="26"/>
        <v>Thursday</v>
      </c>
      <c r="AG162" t="str">
        <f t="shared" si="27"/>
        <v/>
      </c>
      <c r="AH162" t="str">
        <f t="shared" si="28"/>
        <v>Saturday</v>
      </c>
      <c r="AI162" t="str">
        <f t="shared" si="29"/>
        <v/>
      </c>
      <c r="AJ162" t="str">
        <f>LEFT(Table1[[#This Row],[membership_type]],2)&amp;TEXT(Table1[[#This Row],[age]],"00")&amp;"-"&amp;TEXT(ROW(),"000")</f>
        <v>El27-162</v>
      </c>
      <c r="AK162" t="str">
        <f>LEFT(Table1[[#This Row],[membership_type]],1)&amp;TEXT(MATCH(Table1[[#This Row],[membership_type]],Table1[membership_type],0),"00")</f>
        <v>E07</v>
      </c>
      <c r="AL162" t="str">
        <f>LEFT(Table1[[#This Row],[discount_type]],1)&amp;TEXT(ROUND(Table1[[#This Row],[discount_rate]]*100,0),"00")</f>
        <v>L10</v>
      </c>
      <c r="AM162" t="str" cm="1">
        <f t="array" ref="AM162">TEXT(SUMPRODUCT(CODE(MID(Table1[[#This Row],[home_gym_location]],_xlfn.SEQUENCE(LEN(Table1[[#This Row],[home_gym_location]])),1))),"00000")</f>
        <v>01324</v>
      </c>
      <c r="AN1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2" t="str">
        <f>LEFT(_xlfn.TEXTBEFORE(Table1[[#This Row],[Location Identifier]],"-"),3) &amp; "-" &amp; _xlfn.TEXTAFTER(Table1[[#This Row],[Location Identifier]],"-")</f>
        <v>BAK-002</v>
      </c>
      <c r="AP162" s="9">
        <f t="shared" ca="1" si="20"/>
        <v>45869</v>
      </c>
    </row>
    <row r="163" spans="1:42" x14ac:dyDescent="0.25">
      <c r="A163">
        <v>47</v>
      </c>
      <c r="B163" t="s">
        <v>26</v>
      </c>
      <c r="C163">
        <v>2</v>
      </c>
      <c r="D163" t="s">
        <v>73</v>
      </c>
      <c r="E163" t="b">
        <v>1</v>
      </c>
      <c r="F163" s="1">
        <v>0.69513888888888886</v>
      </c>
      <c r="G163" s="1">
        <v>0.75138888888888888</v>
      </c>
      <c r="H163">
        <v>81</v>
      </c>
      <c r="I163" t="b">
        <v>1</v>
      </c>
      <c r="J163" t="b">
        <v>1</v>
      </c>
      <c r="K163" t="b">
        <v>1</v>
      </c>
      <c r="L163" t="s">
        <v>28</v>
      </c>
      <c r="M163">
        <v>50</v>
      </c>
      <c r="N163" t="s">
        <v>64</v>
      </c>
      <c r="O163">
        <v>37.5</v>
      </c>
      <c r="P163" t="s">
        <v>74</v>
      </c>
      <c r="Q163">
        <v>0.15</v>
      </c>
      <c r="R163">
        <v>31.875</v>
      </c>
      <c r="S163" t="s">
        <v>31</v>
      </c>
      <c r="T163" t="s">
        <v>48</v>
      </c>
      <c r="U163">
        <v>38.581600000000002</v>
      </c>
      <c r="V163">
        <v>-121.4944</v>
      </c>
      <c r="W163" s="2">
        <v>45157</v>
      </c>
      <c r="X163">
        <v>1</v>
      </c>
      <c r="Y163" t="b">
        <v>1</v>
      </c>
      <c r="Z163" s="2">
        <v>45823</v>
      </c>
      <c r="AA163" t="str">
        <f t="shared" si="21"/>
        <v>40–49</v>
      </c>
      <c r="AB163" t="str">
        <f t="shared" si="22"/>
        <v>40–49</v>
      </c>
      <c r="AC163" t="str">
        <f t="shared" si="23"/>
        <v/>
      </c>
      <c r="AD163" t="str">
        <f t="shared" si="24"/>
        <v>Tuesday</v>
      </c>
      <c r="AE163" t="str">
        <f t="shared" si="25"/>
        <v/>
      </c>
      <c r="AF163" t="str">
        <f t="shared" si="26"/>
        <v/>
      </c>
      <c r="AG163" t="str">
        <f t="shared" si="27"/>
        <v>Friday</v>
      </c>
      <c r="AH163" t="str">
        <f t="shared" si="28"/>
        <v/>
      </c>
      <c r="AI163" t="str">
        <f t="shared" si="29"/>
        <v/>
      </c>
      <c r="AJ163" t="str">
        <f>LEFT(Table1[[#This Row],[membership_type]],2)&amp;TEXT(Table1[[#This Row],[age]],"00")&amp;"-"&amp;TEXT(ROW(),"000")</f>
        <v>Pr47-163</v>
      </c>
      <c r="AK163" t="str">
        <f>LEFT(Table1[[#This Row],[membership_type]],1)&amp;TEXT(MATCH(Table1[[#This Row],[membership_type]],Table1[membership_type],0),"00")</f>
        <v>P01</v>
      </c>
      <c r="AL163" t="str">
        <f>LEFT(Table1[[#This Row],[discount_type]],1)&amp;TEXT(ROUND(Table1[[#This Row],[discount_rate]]*100,0),"00")</f>
        <v>S15</v>
      </c>
      <c r="AM163" t="str" cm="1">
        <f t="array" ref="AM163">TEXT(SUMPRODUCT(CODE(MID(Table1[[#This Row],[home_gym_location]],_xlfn.SEQUENCE(LEN(Table1[[#This Row],[home_gym_location]])),1))),"00000")</f>
        <v>01245</v>
      </c>
      <c r="AN16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3" t="str">
        <f>LEFT(_xlfn.TEXTBEFORE(Table1[[#This Row],[Location Identifier]],"-"),3) &amp; "-" &amp; _xlfn.TEXTAFTER(Table1[[#This Row],[Location Identifier]],"-")</f>
        <v>SAC-007</v>
      </c>
      <c r="AP163" s="9">
        <f t="shared" ca="1" si="20"/>
        <v>45869</v>
      </c>
    </row>
    <row r="164" spans="1:42" x14ac:dyDescent="0.25">
      <c r="A164">
        <v>43</v>
      </c>
      <c r="B164" t="s">
        <v>42</v>
      </c>
      <c r="C164">
        <v>3</v>
      </c>
      <c r="D164" t="s">
        <v>122</v>
      </c>
      <c r="E164" t="b">
        <v>0</v>
      </c>
      <c r="F164" s="1">
        <v>0.50138888888888888</v>
      </c>
      <c r="G164" s="1">
        <v>0.58819444444444446</v>
      </c>
      <c r="H164">
        <v>125</v>
      </c>
      <c r="I164" t="b">
        <v>1</v>
      </c>
      <c r="J164" t="b">
        <v>1</v>
      </c>
      <c r="K164" t="b">
        <v>1</v>
      </c>
      <c r="L164" t="s">
        <v>28</v>
      </c>
      <c r="M164">
        <v>20</v>
      </c>
      <c r="N164" t="s">
        <v>29</v>
      </c>
      <c r="O164">
        <v>20</v>
      </c>
      <c r="P164" t="s">
        <v>30</v>
      </c>
      <c r="Q164">
        <v>0.05</v>
      </c>
      <c r="R164">
        <v>19</v>
      </c>
      <c r="S164" t="s">
        <v>44</v>
      </c>
      <c r="T164" t="s">
        <v>45</v>
      </c>
      <c r="U164">
        <v>33.836599999999997</v>
      </c>
      <c r="V164">
        <v>-117.9143</v>
      </c>
      <c r="W164" s="2">
        <v>45156</v>
      </c>
      <c r="X164">
        <v>7</v>
      </c>
      <c r="Y164" t="b">
        <v>0</v>
      </c>
      <c r="Z164" s="2">
        <v>45822</v>
      </c>
      <c r="AA164" t="str">
        <f t="shared" si="21"/>
        <v>40–49</v>
      </c>
      <c r="AB164" t="str">
        <f t="shared" si="22"/>
        <v>40–49</v>
      </c>
      <c r="AC164" t="str">
        <f t="shared" si="23"/>
        <v/>
      </c>
      <c r="AD164" t="str">
        <f t="shared" si="24"/>
        <v>Tuesday</v>
      </c>
      <c r="AE164" t="str">
        <f t="shared" si="25"/>
        <v/>
      </c>
      <c r="AF164" t="str">
        <f t="shared" si="26"/>
        <v/>
      </c>
      <c r="AG164" t="str">
        <f t="shared" si="27"/>
        <v>Friday</v>
      </c>
      <c r="AH164" t="str">
        <f t="shared" si="28"/>
        <v/>
      </c>
      <c r="AI164" t="str">
        <f t="shared" si="29"/>
        <v>Sunday</v>
      </c>
      <c r="AJ164" t="str">
        <f>LEFT(Table1[[#This Row],[membership_type]],2)&amp;TEXT(Table1[[#This Row],[age]],"00")&amp;"-"&amp;TEXT(ROW(),"000")</f>
        <v>Ba43-164</v>
      </c>
      <c r="AK164" t="str">
        <f>LEFT(Table1[[#This Row],[membership_type]],1)&amp;TEXT(MATCH(Table1[[#This Row],[membership_type]],Table1[membership_type],0),"00")</f>
        <v>B04</v>
      </c>
      <c r="AL164" t="str">
        <f>LEFT(Table1[[#This Row],[discount_type]],1)&amp;TEXT(ROUND(Table1[[#This Row],[discount_rate]]*100,0),"00")</f>
        <v>P05</v>
      </c>
      <c r="AM164" t="str" cm="1">
        <f t="array" ref="AM164">TEXT(SUMPRODUCT(CODE(MID(Table1[[#This Row],[home_gym_location]],_xlfn.SEQUENCE(LEN(Table1[[#This Row],[home_gym_location]])),1))),"00000")</f>
        <v>00899</v>
      </c>
      <c r="AN16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4" t="str">
        <f>LEFT(_xlfn.TEXTBEFORE(Table1[[#This Row],[Location Identifier]],"-"),3) &amp; "-" &amp; _xlfn.TEXTAFTER(Table1[[#This Row],[Location Identifier]],"-")</f>
        <v>ANA-001</v>
      </c>
      <c r="AP164" s="9">
        <f t="shared" ca="1" si="20"/>
        <v>45869</v>
      </c>
    </row>
    <row r="165" spans="1:42" x14ac:dyDescent="0.25">
      <c r="A165">
        <v>22</v>
      </c>
      <c r="B165" t="s">
        <v>26</v>
      </c>
      <c r="C165">
        <v>1</v>
      </c>
      <c r="D165" t="s">
        <v>67</v>
      </c>
      <c r="E165" t="b">
        <v>0</v>
      </c>
      <c r="F165" s="1">
        <v>0.40486111111111112</v>
      </c>
      <c r="G165" s="1">
        <v>0.44236111111111109</v>
      </c>
      <c r="H165">
        <v>54</v>
      </c>
      <c r="I165" t="b">
        <v>1</v>
      </c>
      <c r="J165" t="b">
        <v>0</v>
      </c>
      <c r="K165" t="b">
        <v>0</v>
      </c>
      <c r="L165" t="s">
        <v>28</v>
      </c>
      <c r="M165">
        <v>50</v>
      </c>
      <c r="N165" t="s">
        <v>29</v>
      </c>
      <c r="O165">
        <v>50</v>
      </c>
      <c r="P165" t="s">
        <v>30</v>
      </c>
      <c r="Q165">
        <v>0.05</v>
      </c>
      <c r="R165">
        <v>47.5</v>
      </c>
      <c r="S165" t="s">
        <v>31</v>
      </c>
      <c r="T165" t="s">
        <v>56</v>
      </c>
      <c r="U165">
        <v>35.3733</v>
      </c>
      <c r="V165">
        <v>-119.0187</v>
      </c>
      <c r="W165" s="2">
        <v>45260</v>
      </c>
      <c r="X165">
        <v>0</v>
      </c>
      <c r="Y165" t="b">
        <v>1</v>
      </c>
      <c r="Z165" s="2">
        <v>45828</v>
      </c>
      <c r="AA165" t="str">
        <f t="shared" si="21"/>
        <v>20–29</v>
      </c>
      <c r="AB165" t="str">
        <f t="shared" si="22"/>
        <v>20–29</v>
      </c>
      <c r="AC165" t="str">
        <f t="shared" si="23"/>
        <v/>
      </c>
      <c r="AD165" t="str">
        <f t="shared" si="24"/>
        <v/>
      </c>
      <c r="AE165" t="str">
        <f t="shared" si="25"/>
        <v/>
      </c>
      <c r="AF165" t="str">
        <f t="shared" si="26"/>
        <v>Thursday</v>
      </c>
      <c r="AG165" t="str">
        <f t="shared" si="27"/>
        <v/>
      </c>
      <c r="AH165" t="str">
        <f t="shared" si="28"/>
        <v/>
      </c>
      <c r="AI165" t="str">
        <f t="shared" si="29"/>
        <v/>
      </c>
      <c r="AJ165" t="str">
        <f>LEFT(Table1[[#This Row],[membership_type]],2)&amp;TEXT(Table1[[#This Row],[age]],"00")&amp;"-"&amp;TEXT(ROW(),"000")</f>
        <v>Pr22-165</v>
      </c>
      <c r="AK165" t="str">
        <f>LEFT(Table1[[#This Row],[membership_type]],1)&amp;TEXT(MATCH(Table1[[#This Row],[membership_type]],Table1[membership_type],0),"00")</f>
        <v>P01</v>
      </c>
      <c r="AL165" t="str">
        <f>LEFT(Table1[[#This Row],[discount_type]],1)&amp;TEXT(ROUND(Table1[[#This Row],[discount_rate]]*100,0),"00")</f>
        <v>P05</v>
      </c>
      <c r="AM165" t="str" cm="1">
        <f t="array" ref="AM165">TEXT(SUMPRODUCT(CODE(MID(Table1[[#This Row],[home_gym_location]],_xlfn.SEQUENCE(LEN(Table1[[#This Row],[home_gym_location]])),1))),"00000")</f>
        <v>01324</v>
      </c>
      <c r="AN16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5" t="str">
        <f>LEFT(_xlfn.TEXTBEFORE(Table1[[#This Row],[Location Identifier]],"-"),3) &amp; "-" &amp; _xlfn.TEXTAFTER(Table1[[#This Row],[Location Identifier]],"-")</f>
        <v>BAK-002</v>
      </c>
      <c r="AP165" s="9">
        <f t="shared" ca="1" si="20"/>
        <v>45869</v>
      </c>
    </row>
    <row r="166" spans="1:42" x14ac:dyDescent="0.25">
      <c r="A166">
        <v>14</v>
      </c>
      <c r="B166" t="s">
        <v>26</v>
      </c>
      <c r="C166">
        <v>3</v>
      </c>
      <c r="D166" t="s">
        <v>125</v>
      </c>
      <c r="E166" t="b">
        <v>1</v>
      </c>
      <c r="F166" s="1">
        <v>0.70972222222222225</v>
      </c>
      <c r="G166" s="1">
        <v>0.73055555555555551</v>
      </c>
      <c r="H166">
        <v>30</v>
      </c>
      <c r="I166" t="b">
        <v>0</v>
      </c>
      <c r="J166" t="b">
        <v>0</v>
      </c>
      <c r="K166" t="b">
        <v>0</v>
      </c>
      <c r="L166" t="s">
        <v>62</v>
      </c>
      <c r="M166">
        <v>50</v>
      </c>
      <c r="N166" t="s">
        <v>29</v>
      </c>
      <c r="O166">
        <v>50</v>
      </c>
      <c r="P166" t="s">
        <v>40</v>
      </c>
      <c r="Q166">
        <v>0.1</v>
      </c>
      <c r="R166">
        <v>45</v>
      </c>
      <c r="S166" t="s">
        <v>31</v>
      </c>
      <c r="T166" t="s">
        <v>56</v>
      </c>
      <c r="U166">
        <v>35.3733</v>
      </c>
      <c r="V166">
        <v>-119.0187</v>
      </c>
      <c r="W166" s="2">
        <v>45734</v>
      </c>
      <c r="X166">
        <v>0</v>
      </c>
      <c r="Y166" t="b">
        <v>0</v>
      </c>
      <c r="Z166" s="2">
        <v>45855</v>
      </c>
      <c r="AA166" t="str">
        <f t="shared" si="21"/>
        <v>10–19</v>
      </c>
      <c r="AB166" t="str">
        <f t="shared" si="22"/>
        <v>Under 16</v>
      </c>
      <c r="AC166" t="str">
        <f t="shared" si="23"/>
        <v/>
      </c>
      <c r="AD166" t="str">
        <f t="shared" si="24"/>
        <v/>
      </c>
      <c r="AE166" t="str">
        <f t="shared" si="25"/>
        <v/>
      </c>
      <c r="AF166" t="str">
        <f t="shared" si="26"/>
        <v>Thursday</v>
      </c>
      <c r="AG166" t="str">
        <f t="shared" si="27"/>
        <v/>
      </c>
      <c r="AH166" t="str">
        <f t="shared" si="28"/>
        <v>Saturday</v>
      </c>
      <c r="AI166" t="str">
        <f t="shared" si="29"/>
        <v>Sunday</v>
      </c>
      <c r="AJ166" t="str">
        <f>LEFT(Table1[[#This Row],[membership_type]],2)&amp;TEXT(Table1[[#This Row],[age]],"00")&amp;"-"&amp;TEXT(ROW(),"000")</f>
        <v>Pr14-166</v>
      </c>
      <c r="AK166" t="str">
        <f>LEFT(Table1[[#This Row],[membership_type]],1)&amp;TEXT(MATCH(Table1[[#This Row],[membership_type]],Table1[membership_type],0),"00")</f>
        <v>P01</v>
      </c>
      <c r="AL166" t="str">
        <f>LEFT(Table1[[#This Row],[discount_type]],1)&amp;TEXT(ROUND(Table1[[#This Row],[discount_rate]]*100,0),"00")</f>
        <v>L10</v>
      </c>
      <c r="AM166" t="str" cm="1">
        <f t="array" ref="AM166">TEXT(SUMPRODUCT(CODE(MID(Table1[[#This Row],[home_gym_location]],_xlfn.SEQUENCE(LEN(Table1[[#This Row],[home_gym_location]])),1))),"00000")</f>
        <v>01324</v>
      </c>
      <c r="AN16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6" t="str">
        <f>LEFT(_xlfn.TEXTBEFORE(Table1[[#This Row],[Location Identifier]],"-"),3) &amp; "-" &amp; _xlfn.TEXTAFTER(Table1[[#This Row],[Location Identifier]],"-")</f>
        <v>BAK-002</v>
      </c>
      <c r="AP166" s="9">
        <f t="shared" ca="1" si="20"/>
        <v>45869</v>
      </c>
    </row>
    <row r="167" spans="1:42" x14ac:dyDescent="0.25">
      <c r="A167">
        <v>16</v>
      </c>
      <c r="B167" t="s">
        <v>42</v>
      </c>
      <c r="C167">
        <v>3</v>
      </c>
      <c r="D167" t="s">
        <v>100</v>
      </c>
      <c r="E167" t="b">
        <v>1</v>
      </c>
      <c r="F167" s="1">
        <v>0.62013888888888891</v>
      </c>
      <c r="G167" s="1">
        <v>0.70972222222222225</v>
      </c>
      <c r="H167">
        <v>129</v>
      </c>
      <c r="I167" t="b">
        <v>1</v>
      </c>
      <c r="J167" t="b">
        <v>0</v>
      </c>
      <c r="K167" t="b">
        <v>1</v>
      </c>
      <c r="L167" t="s">
        <v>28</v>
      </c>
      <c r="M167">
        <v>20</v>
      </c>
      <c r="N167" t="s">
        <v>29</v>
      </c>
      <c r="O167">
        <v>20</v>
      </c>
      <c r="P167" t="s">
        <v>36</v>
      </c>
      <c r="Q167">
        <v>0</v>
      </c>
      <c r="R167">
        <v>20</v>
      </c>
      <c r="S167" t="s">
        <v>44</v>
      </c>
      <c r="T167" t="s">
        <v>50</v>
      </c>
      <c r="U167">
        <v>34.052199999999999</v>
      </c>
      <c r="V167">
        <v>-118.2437</v>
      </c>
      <c r="W167" s="2">
        <v>44941</v>
      </c>
      <c r="X167">
        <v>0</v>
      </c>
      <c r="Y167" t="b">
        <v>1</v>
      </c>
      <c r="Z167" s="2">
        <v>45810</v>
      </c>
      <c r="AA167" t="str">
        <f t="shared" si="21"/>
        <v>10–19</v>
      </c>
      <c r="AB167" t="str">
        <f t="shared" si="22"/>
        <v>16–19</v>
      </c>
      <c r="AC167" t="str">
        <f t="shared" si="23"/>
        <v/>
      </c>
      <c r="AD167" t="str">
        <f t="shared" si="24"/>
        <v/>
      </c>
      <c r="AE167" t="str">
        <f t="shared" si="25"/>
        <v>Wednesday</v>
      </c>
      <c r="AF167" t="str">
        <f t="shared" si="26"/>
        <v/>
      </c>
      <c r="AG167" t="str">
        <f t="shared" si="27"/>
        <v>Friday</v>
      </c>
      <c r="AH167" t="str">
        <f t="shared" si="28"/>
        <v/>
      </c>
      <c r="AI167" t="str">
        <f t="shared" si="29"/>
        <v>Sunday</v>
      </c>
      <c r="AJ167" t="str">
        <f>LEFT(Table1[[#This Row],[membership_type]],2)&amp;TEXT(Table1[[#This Row],[age]],"00")&amp;"-"&amp;TEXT(ROW(),"000")</f>
        <v>Ba16-167</v>
      </c>
      <c r="AK167" t="str">
        <f>LEFT(Table1[[#This Row],[membership_type]],1)&amp;TEXT(MATCH(Table1[[#This Row],[membership_type]],Table1[membership_type],0),"00")</f>
        <v>B04</v>
      </c>
      <c r="AL167" t="str">
        <f>LEFT(Table1[[#This Row],[discount_type]],1)&amp;TEXT(ROUND(Table1[[#This Row],[discount_rate]]*100,0),"00")</f>
        <v>N00</v>
      </c>
      <c r="AM167" t="str" cm="1">
        <f t="array" ref="AM167">TEXT(SUMPRODUCT(CODE(MID(Table1[[#This Row],[home_gym_location]],_xlfn.SEQUENCE(LEN(Table1[[#This Row],[home_gym_location]])),1))),"00000")</f>
        <v>01245</v>
      </c>
      <c r="AN16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67" t="str">
        <f>LEFT(_xlfn.TEXTBEFORE(Table1[[#This Row],[Location Identifier]],"-"),3) &amp; "-" &amp; _xlfn.TEXTAFTER(Table1[[#This Row],[Location Identifier]],"-")</f>
        <v>LOS-005</v>
      </c>
      <c r="AP167" s="9">
        <f t="shared" ca="1" si="20"/>
        <v>45869</v>
      </c>
    </row>
    <row r="168" spans="1:42" x14ac:dyDescent="0.25">
      <c r="A168">
        <v>40</v>
      </c>
      <c r="B168" t="s">
        <v>26</v>
      </c>
      <c r="C168">
        <v>3</v>
      </c>
      <c r="D168" t="s">
        <v>93</v>
      </c>
      <c r="E168" t="b">
        <v>1</v>
      </c>
      <c r="F168" s="1">
        <v>0.83263888888888893</v>
      </c>
      <c r="G168" s="1">
        <v>0.87777777777777777</v>
      </c>
      <c r="H168">
        <v>65</v>
      </c>
      <c r="I168" t="b">
        <v>0</v>
      </c>
      <c r="J168" t="b">
        <v>1</v>
      </c>
      <c r="K168" t="b">
        <v>0</v>
      </c>
      <c r="L168" t="s">
        <v>58</v>
      </c>
      <c r="M168">
        <v>50</v>
      </c>
      <c r="N168" t="s">
        <v>64</v>
      </c>
      <c r="O168">
        <v>37.5</v>
      </c>
      <c r="P168" t="s">
        <v>36</v>
      </c>
      <c r="Q168">
        <v>0</v>
      </c>
      <c r="R168">
        <v>37.5</v>
      </c>
      <c r="S168" t="s">
        <v>31</v>
      </c>
      <c r="T168" t="s">
        <v>41</v>
      </c>
      <c r="U168">
        <v>37.804400000000001</v>
      </c>
      <c r="V168">
        <v>-122.27119999999999</v>
      </c>
      <c r="W168" s="2">
        <v>45489</v>
      </c>
      <c r="X168">
        <v>6</v>
      </c>
      <c r="Y168" t="b">
        <v>1</v>
      </c>
      <c r="Z168" s="2">
        <v>45841</v>
      </c>
      <c r="AA168" t="str">
        <f t="shared" si="21"/>
        <v>40–49</v>
      </c>
      <c r="AB168" t="str">
        <f t="shared" si="22"/>
        <v>40–49</v>
      </c>
      <c r="AC168" t="str">
        <f t="shared" si="23"/>
        <v>Monday</v>
      </c>
      <c r="AD168" t="str">
        <f t="shared" si="24"/>
        <v>Tuesday</v>
      </c>
      <c r="AE168" t="str">
        <f t="shared" si="25"/>
        <v/>
      </c>
      <c r="AF168" t="str">
        <f t="shared" si="26"/>
        <v>Thursday</v>
      </c>
      <c r="AG168" t="str">
        <f t="shared" si="27"/>
        <v/>
      </c>
      <c r="AH168" t="str">
        <f t="shared" si="28"/>
        <v/>
      </c>
      <c r="AI168" t="str">
        <f t="shared" si="29"/>
        <v/>
      </c>
      <c r="AJ168" t="str">
        <f>LEFT(Table1[[#This Row],[membership_type]],2)&amp;TEXT(Table1[[#This Row],[age]],"00")&amp;"-"&amp;TEXT(ROW(),"000")</f>
        <v>Pr40-168</v>
      </c>
      <c r="AK168" t="str">
        <f>LEFT(Table1[[#This Row],[membership_type]],1)&amp;TEXT(MATCH(Table1[[#This Row],[membership_type]],Table1[membership_type],0),"00")</f>
        <v>P01</v>
      </c>
      <c r="AL168" t="str">
        <f>LEFT(Table1[[#This Row],[discount_type]],1)&amp;TEXT(ROUND(Table1[[#This Row],[discount_rate]]*100,0),"00")</f>
        <v>N00</v>
      </c>
      <c r="AM168" t="str" cm="1">
        <f t="array" ref="AM168">TEXT(SUMPRODUCT(CODE(MID(Table1[[#This Row],[home_gym_location]],_xlfn.SEQUENCE(LEN(Table1[[#This Row],[home_gym_location]])),1))),"00000")</f>
        <v>00906</v>
      </c>
      <c r="AN16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8" t="str">
        <f>LEFT(_xlfn.TEXTBEFORE(Table1[[#This Row],[Location Identifier]],"-"),3) &amp; "-" &amp; _xlfn.TEXTAFTER(Table1[[#This Row],[Location Identifier]],"-")</f>
        <v>OAK-006</v>
      </c>
      <c r="AP168" s="9">
        <f t="shared" ca="1" si="20"/>
        <v>45869</v>
      </c>
    </row>
    <row r="169" spans="1:42" x14ac:dyDescent="0.25">
      <c r="A169">
        <v>23</v>
      </c>
      <c r="B169" t="s">
        <v>26</v>
      </c>
      <c r="C169">
        <v>1</v>
      </c>
      <c r="D169" t="s">
        <v>71</v>
      </c>
      <c r="E169" t="b">
        <v>0</v>
      </c>
      <c r="F169" s="1">
        <v>0.70416666666666672</v>
      </c>
      <c r="G169" s="1">
        <v>0.8256944444444444</v>
      </c>
      <c r="H169">
        <v>175</v>
      </c>
      <c r="I169" t="b">
        <v>1</v>
      </c>
      <c r="J169" t="b">
        <v>0</v>
      </c>
      <c r="K169" t="b">
        <v>0</v>
      </c>
      <c r="L169" t="s">
        <v>62</v>
      </c>
      <c r="M169">
        <v>50</v>
      </c>
      <c r="N169" t="s">
        <v>29</v>
      </c>
      <c r="O169">
        <v>50</v>
      </c>
      <c r="P169" t="s">
        <v>36</v>
      </c>
      <c r="Q169">
        <v>0</v>
      </c>
      <c r="R169">
        <v>50</v>
      </c>
      <c r="S169" t="s">
        <v>31</v>
      </c>
      <c r="T169" t="s">
        <v>56</v>
      </c>
      <c r="U169">
        <v>35.3733</v>
      </c>
      <c r="V169">
        <v>-119.0187</v>
      </c>
      <c r="W169" s="2">
        <v>45632</v>
      </c>
      <c r="X169">
        <v>0</v>
      </c>
      <c r="Y169" t="b">
        <v>1</v>
      </c>
      <c r="Z169" s="2">
        <v>45849</v>
      </c>
      <c r="AA169" t="str">
        <f t="shared" si="21"/>
        <v>20–29</v>
      </c>
      <c r="AB169" t="str">
        <f t="shared" si="22"/>
        <v>20–29</v>
      </c>
      <c r="AC169" t="str">
        <f t="shared" si="23"/>
        <v/>
      </c>
      <c r="AD169" t="str">
        <f t="shared" si="24"/>
        <v>Tuesday</v>
      </c>
      <c r="AE169" t="str">
        <f t="shared" si="25"/>
        <v/>
      </c>
      <c r="AF169" t="str">
        <f t="shared" si="26"/>
        <v/>
      </c>
      <c r="AG169" t="str">
        <f t="shared" si="27"/>
        <v/>
      </c>
      <c r="AH169" t="str">
        <f t="shared" si="28"/>
        <v/>
      </c>
      <c r="AI169" t="str">
        <f t="shared" si="29"/>
        <v/>
      </c>
      <c r="AJ169" t="str">
        <f>LEFT(Table1[[#This Row],[membership_type]],2)&amp;TEXT(Table1[[#This Row],[age]],"00")&amp;"-"&amp;TEXT(ROW(),"000")</f>
        <v>Pr23-169</v>
      </c>
      <c r="AK169" t="str">
        <f>LEFT(Table1[[#This Row],[membership_type]],1)&amp;TEXT(MATCH(Table1[[#This Row],[membership_type]],Table1[membership_type],0),"00")</f>
        <v>P01</v>
      </c>
      <c r="AL169" t="str">
        <f>LEFT(Table1[[#This Row],[discount_type]],1)&amp;TEXT(ROUND(Table1[[#This Row],[discount_rate]]*100,0),"00")</f>
        <v>N00</v>
      </c>
      <c r="AM169" t="str" cm="1">
        <f t="array" ref="AM169">TEXT(SUMPRODUCT(CODE(MID(Table1[[#This Row],[home_gym_location]],_xlfn.SEQUENCE(LEN(Table1[[#This Row],[home_gym_location]])),1))),"00000")</f>
        <v>01324</v>
      </c>
      <c r="AN16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9" t="str">
        <f>LEFT(_xlfn.TEXTBEFORE(Table1[[#This Row],[Location Identifier]],"-"),3) &amp; "-" &amp; _xlfn.TEXTAFTER(Table1[[#This Row],[Location Identifier]],"-")</f>
        <v>BAK-002</v>
      </c>
      <c r="AP169" s="9">
        <f t="shared" ca="1" si="20"/>
        <v>45869</v>
      </c>
    </row>
    <row r="170" spans="1:42" x14ac:dyDescent="0.25">
      <c r="A170">
        <v>42</v>
      </c>
      <c r="B170" t="s">
        <v>42</v>
      </c>
      <c r="C170">
        <v>3</v>
      </c>
      <c r="D170" t="s">
        <v>91</v>
      </c>
      <c r="E170" t="b">
        <v>0</v>
      </c>
      <c r="F170" s="1">
        <v>0.68055555555555558</v>
      </c>
      <c r="G170" s="1">
        <v>0.72222222222222221</v>
      </c>
      <c r="H170">
        <v>60</v>
      </c>
      <c r="I170" t="b">
        <v>1</v>
      </c>
      <c r="J170" t="b">
        <v>1</v>
      </c>
      <c r="K170" t="b">
        <v>0</v>
      </c>
      <c r="L170" t="s">
        <v>28</v>
      </c>
      <c r="M170">
        <v>20</v>
      </c>
      <c r="N170" t="s">
        <v>29</v>
      </c>
      <c r="O170">
        <v>20</v>
      </c>
      <c r="P170" t="s">
        <v>30</v>
      </c>
      <c r="Q170">
        <v>0.05</v>
      </c>
      <c r="R170">
        <v>19</v>
      </c>
      <c r="S170" t="s">
        <v>44</v>
      </c>
      <c r="T170" t="s">
        <v>32</v>
      </c>
      <c r="U170">
        <v>37.338200000000001</v>
      </c>
      <c r="V170">
        <v>-121.88630000000001</v>
      </c>
      <c r="W170" s="2">
        <v>45787</v>
      </c>
      <c r="X170">
        <v>1</v>
      </c>
      <c r="Y170" t="b">
        <v>1</v>
      </c>
      <c r="Z170" s="2">
        <v>45858</v>
      </c>
      <c r="AA170" t="str">
        <f t="shared" si="21"/>
        <v>40–49</v>
      </c>
      <c r="AB170" t="str">
        <f t="shared" si="22"/>
        <v>40–49</v>
      </c>
      <c r="AC170" t="str">
        <f t="shared" si="23"/>
        <v>Monday</v>
      </c>
      <c r="AD170" t="str">
        <f t="shared" si="24"/>
        <v/>
      </c>
      <c r="AE170" t="str">
        <f t="shared" si="25"/>
        <v/>
      </c>
      <c r="AF170" t="str">
        <f t="shared" si="26"/>
        <v>Thursday</v>
      </c>
      <c r="AG170" t="str">
        <f t="shared" si="27"/>
        <v/>
      </c>
      <c r="AH170" t="str">
        <f t="shared" si="28"/>
        <v>Saturday</v>
      </c>
      <c r="AI170" t="str">
        <f t="shared" si="29"/>
        <v/>
      </c>
      <c r="AJ170" t="str">
        <f>LEFT(Table1[[#This Row],[membership_type]],2)&amp;TEXT(Table1[[#This Row],[age]],"00")&amp;"-"&amp;TEXT(ROW(),"000")</f>
        <v>Ba42-170</v>
      </c>
      <c r="AK170" t="str">
        <f>LEFT(Table1[[#This Row],[membership_type]],1)&amp;TEXT(MATCH(Table1[[#This Row],[membership_type]],Table1[membership_type],0),"00")</f>
        <v>B04</v>
      </c>
      <c r="AL170" t="str">
        <f>LEFT(Table1[[#This Row],[discount_type]],1)&amp;TEXT(ROUND(Table1[[#This Row],[discount_rate]]*100,0),"00")</f>
        <v>P05</v>
      </c>
      <c r="AM170" t="str" cm="1">
        <f t="array" ref="AM170">TEXT(SUMPRODUCT(CODE(MID(Table1[[#This Row],[home_gym_location]],_xlfn.SEQUENCE(LEN(Table1[[#This Row],[home_gym_location]])),1))),"00000")</f>
        <v>00931</v>
      </c>
      <c r="AN17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0" t="str">
        <f>LEFT(_xlfn.TEXTBEFORE(Table1[[#This Row],[Location Identifier]],"-"),3) &amp; "-" &amp; _xlfn.TEXTAFTER(Table1[[#This Row],[Location Identifier]],"-")</f>
        <v>SAN-010</v>
      </c>
      <c r="AP170" s="9">
        <f t="shared" ca="1" si="20"/>
        <v>45869</v>
      </c>
    </row>
    <row r="171" spans="1:42" x14ac:dyDescent="0.25">
      <c r="A171">
        <v>27</v>
      </c>
      <c r="B171" t="s">
        <v>26</v>
      </c>
      <c r="C171">
        <v>3</v>
      </c>
      <c r="D171" t="s">
        <v>91</v>
      </c>
      <c r="E171" t="b">
        <v>0</v>
      </c>
      <c r="F171" s="1">
        <v>0.76111111111111107</v>
      </c>
      <c r="G171" s="1">
        <v>0.85902777777777772</v>
      </c>
      <c r="H171">
        <v>141</v>
      </c>
      <c r="I171" t="b">
        <v>0</v>
      </c>
      <c r="J171" t="b">
        <v>0</v>
      </c>
      <c r="K171" t="b">
        <v>0</v>
      </c>
      <c r="L171" t="s">
        <v>62</v>
      </c>
      <c r="M171">
        <v>50</v>
      </c>
      <c r="N171" t="s">
        <v>29</v>
      </c>
      <c r="O171">
        <v>50</v>
      </c>
      <c r="P171" t="s">
        <v>30</v>
      </c>
      <c r="Q171">
        <v>0.05</v>
      </c>
      <c r="R171">
        <v>47.5</v>
      </c>
      <c r="S171" t="s">
        <v>31</v>
      </c>
      <c r="T171" t="s">
        <v>50</v>
      </c>
      <c r="U171">
        <v>34.052199999999999</v>
      </c>
      <c r="V171">
        <v>-118.2437</v>
      </c>
      <c r="W171" s="2">
        <v>45201</v>
      </c>
      <c r="X171">
        <v>0</v>
      </c>
      <c r="Y171" t="b">
        <v>1</v>
      </c>
      <c r="Z171" s="2">
        <v>45825</v>
      </c>
      <c r="AA171" t="str">
        <f t="shared" si="21"/>
        <v>20–29</v>
      </c>
      <c r="AB171" t="str">
        <f t="shared" si="22"/>
        <v>20–29</v>
      </c>
      <c r="AC171" t="str">
        <f t="shared" si="23"/>
        <v>Monday</v>
      </c>
      <c r="AD171" t="str">
        <f t="shared" si="24"/>
        <v/>
      </c>
      <c r="AE171" t="str">
        <f t="shared" si="25"/>
        <v/>
      </c>
      <c r="AF171" t="str">
        <f t="shared" si="26"/>
        <v>Thursday</v>
      </c>
      <c r="AG171" t="str">
        <f t="shared" si="27"/>
        <v/>
      </c>
      <c r="AH171" t="str">
        <f t="shared" si="28"/>
        <v>Saturday</v>
      </c>
      <c r="AI171" t="str">
        <f t="shared" si="29"/>
        <v/>
      </c>
      <c r="AJ171" t="str">
        <f>LEFT(Table1[[#This Row],[membership_type]],2)&amp;TEXT(Table1[[#This Row],[age]],"00")&amp;"-"&amp;TEXT(ROW(),"000")</f>
        <v>Pr27-171</v>
      </c>
      <c r="AK171" t="str">
        <f>LEFT(Table1[[#This Row],[membership_type]],1)&amp;TEXT(MATCH(Table1[[#This Row],[membership_type]],Table1[membership_type],0),"00")</f>
        <v>P01</v>
      </c>
      <c r="AL171" t="str">
        <f>LEFT(Table1[[#This Row],[discount_type]],1)&amp;TEXT(ROUND(Table1[[#This Row],[discount_rate]]*100,0),"00")</f>
        <v>P05</v>
      </c>
      <c r="AM171" t="str" cm="1">
        <f t="array" ref="AM171">TEXT(SUMPRODUCT(CODE(MID(Table1[[#This Row],[home_gym_location]],_xlfn.SEQUENCE(LEN(Table1[[#This Row],[home_gym_location]])),1))),"00000")</f>
        <v>01245</v>
      </c>
      <c r="AN17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1" t="str">
        <f>LEFT(_xlfn.TEXTBEFORE(Table1[[#This Row],[Location Identifier]],"-"),3) &amp; "-" &amp; _xlfn.TEXTAFTER(Table1[[#This Row],[Location Identifier]],"-")</f>
        <v>LOS-005</v>
      </c>
      <c r="AP171" s="9">
        <f t="shared" ca="1" si="20"/>
        <v>45869</v>
      </c>
    </row>
    <row r="172" spans="1:42" x14ac:dyDescent="0.25">
      <c r="A172">
        <v>28</v>
      </c>
      <c r="B172" t="s">
        <v>33</v>
      </c>
      <c r="C172">
        <v>3</v>
      </c>
      <c r="D172" t="s">
        <v>122</v>
      </c>
      <c r="E172" t="b">
        <v>0</v>
      </c>
      <c r="F172" s="1">
        <v>0.41319444444444442</v>
      </c>
      <c r="G172" s="1">
        <v>0.4548611111111111</v>
      </c>
      <c r="H172">
        <v>60</v>
      </c>
      <c r="I172" t="b">
        <v>0</v>
      </c>
      <c r="J172" t="b">
        <v>1</v>
      </c>
      <c r="K172" t="b">
        <v>0</v>
      </c>
      <c r="L172" t="s">
        <v>47</v>
      </c>
      <c r="M172">
        <v>30</v>
      </c>
      <c r="N172" t="s">
        <v>29</v>
      </c>
      <c r="O172">
        <v>30</v>
      </c>
      <c r="P172" t="s">
        <v>40</v>
      </c>
      <c r="Q172">
        <v>0.1</v>
      </c>
      <c r="R172">
        <v>27</v>
      </c>
      <c r="S172" t="s">
        <v>37</v>
      </c>
      <c r="T172" t="s">
        <v>50</v>
      </c>
      <c r="U172">
        <v>34.052199999999999</v>
      </c>
      <c r="V172">
        <v>-118.2437</v>
      </c>
      <c r="W172" s="2">
        <v>45109</v>
      </c>
      <c r="X172">
        <v>1</v>
      </c>
      <c r="Y172" t="b">
        <v>0</v>
      </c>
      <c r="Z172" s="2">
        <v>45820</v>
      </c>
      <c r="AA172" t="str">
        <f t="shared" si="21"/>
        <v>20–29</v>
      </c>
      <c r="AB172" t="str">
        <f t="shared" si="22"/>
        <v>20–29</v>
      </c>
      <c r="AC172" t="str">
        <f t="shared" si="23"/>
        <v/>
      </c>
      <c r="AD172" t="str">
        <f t="shared" si="24"/>
        <v>Tuesday</v>
      </c>
      <c r="AE172" t="str">
        <f t="shared" si="25"/>
        <v/>
      </c>
      <c r="AF172" t="str">
        <f t="shared" si="26"/>
        <v/>
      </c>
      <c r="AG172" t="str">
        <f t="shared" si="27"/>
        <v>Friday</v>
      </c>
      <c r="AH172" t="str">
        <f t="shared" si="28"/>
        <v/>
      </c>
      <c r="AI172" t="str">
        <f t="shared" si="29"/>
        <v>Sunday</v>
      </c>
      <c r="AJ172" t="str">
        <f>LEFT(Table1[[#This Row],[membership_type]],2)&amp;TEXT(Table1[[#This Row],[age]],"00")&amp;"-"&amp;TEXT(ROW(),"000")</f>
        <v>St28-172</v>
      </c>
      <c r="AK172" t="str">
        <f>LEFT(Table1[[#This Row],[membership_type]],1)&amp;TEXT(MATCH(Table1[[#This Row],[membership_type]],Table1[membership_type],0),"00")</f>
        <v>S02</v>
      </c>
      <c r="AL172" t="str">
        <f>LEFT(Table1[[#This Row],[discount_type]],1)&amp;TEXT(ROUND(Table1[[#This Row],[discount_rate]]*100,0),"00")</f>
        <v>L10</v>
      </c>
      <c r="AM172" t="str" cm="1">
        <f t="array" ref="AM172">TEXT(SUMPRODUCT(CODE(MID(Table1[[#This Row],[home_gym_location]],_xlfn.SEQUENCE(LEN(Table1[[#This Row],[home_gym_location]])),1))),"00000")</f>
        <v>01245</v>
      </c>
      <c r="AN17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2" t="str">
        <f>LEFT(_xlfn.TEXTBEFORE(Table1[[#This Row],[Location Identifier]],"-"),3) &amp; "-" &amp; _xlfn.TEXTAFTER(Table1[[#This Row],[Location Identifier]],"-")</f>
        <v>LOS-005</v>
      </c>
      <c r="AP172" s="9">
        <f t="shared" ca="1" si="20"/>
        <v>45869</v>
      </c>
    </row>
    <row r="173" spans="1:42" x14ac:dyDescent="0.25">
      <c r="A173">
        <v>47</v>
      </c>
      <c r="B173" t="s">
        <v>26</v>
      </c>
      <c r="C173">
        <v>2</v>
      </c>
      <c r="D173" t="s">
        <v>73</v>
      </c>
      <c r="E173" t="b">
        <v>1</v>
      </c>
      <c r="F173" s="1">
        <v>0.69513888888888886</v>
      </c>
      <c r="G173" s="1">
        <v>0.75138888888888888</v>
      </c>
      <c r="H173">
        <v>81</v>
      </c>
      <c r="I173" t="b">
        <v>1</v>
      </c>
      <c r="J173" t="b">
        <v>1</v>
      </c>
      <c r="K173" t="b">
        <v>1</v>
      </c>
      <c r="L173" t="s">
        <v>28</v>
      </c>
      <c r="M173">
        <v>50</v>
      </c>
      <c r="N173" t="s">
        <v>64</v>
      </c>
      <c r="O173">
        <v>37.5</v>
      </c>
      <c r="P173" t="s">
        <v>74</v>
      </c>
      <c r="Q173">
        <v>0.15</v>
      </c>
      <c r="R173">
        <v>31.875</v>
      </c>
      <c r="S173" t="s">
        <v>31</v>
      </c>
      <c r="T173" t="s">
        <v>48</v>
      </c>
      <c r="U173">
        <v>38.581600000000002</v>
      </c>
      <c r="V173">
        <v>-121.4944</v>
      </c>
      <c r="W173" s="2">
        <v>45813</v>
      </c>
      <c r="X173">
        <v>2</v>
      </c>
      <c r="Y173" t="b">
        <v>1</v>
      </c>
      <c r="Z173" s="2">
        <v>45860</v>
      </c>
      <c r="AA173" t="str">
        <f t="shared" si="21"/>
        <v>40–49</v>
      </c>
      <c r="AB173" t="str">
        <f t="shared" si="22"/>
        <v>40–49</v>
      </c>
      <c r="AC173" t="str">
        <f t="shared" si="23"/>
        <v/>
      </c>
      <c r="AD173" t="str">
        <f t="shared" si="24"/>
        <v>Tuesday</v>
      </c>
      <c r="AE173" t="str">
        <f t="shared" si="25"/>
        <v/>
      </c>
      <c r="AF173" t="str">
        <f t="shared" si="26"/>
        <v/>
      </c>
      <c r="AG173" t="str">
        <f t="shared" si="27"/>
        <v>Friday</v>
      </c>
      <c r="AH173" t="str">
        <f t="shared" si="28"/>
        <v/>
      </c>
      <c r="AI173" t="str">
        <f t="shared" si="29"/>
        <v/>
      </c>
      <c r="AJ173" t="str">
        <f>LEFT(Table1[[#This Row],[membership_type]],2)&amp;TEXT(Table1[[#This Row],[age]],"00")&amp;"-"&amp;TEXT(ROW(),"000")</f>
        <v>Pr47-173</v>
      </c>
      <c r="AK173" t="str">
        <f>LEFT(Table1[[#This Row],[membership_type]],1)&amp;TEXT(MATCH(Table1[[#This Row],[membership_type]],Table1[membership_type],0),"00")</f>
        <v>P01</v>
      </c>
      <c r="AL173" t="str">
        <f>LEFT(Table1[[#This Row],[discount_type]],1)&amp;TEXT(ROUND(Table1[[#This Row],[discount_rate]]*100,0),"00")</f>
        <v>S15</v>
      </c>
      <c r="AM173" t="str" cm="1">
        <f t="array" ref="AM173">TEXT(SUMPRODUCT(CODE(MID(Table1[[#This Row],[home_gym_location]],_xlfn.SEQUENCE(LEN(Table1[[#This Row],[home_gym_location]])),1))),"00000")</f>
        <v>01245</v>
      </c>
      <c r="AN17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3" t="str">
        <f>LEFT(_xlfn.TEXTBEFORE(Table1[[#This Row],[Location Identifier]],"-"),3) &amp; "-" &amp; _xlfn.TEXTAFTER(Table1[[#This Row],[Location Identifier]],"-")</f>
        <v>SAC-007</v>
      </c>
      <c r="AP173" s="9">
        <f t="shared" ca="1" si="20"/>
        <v>45869</v>
      </c>
    </row>
    <row r="174" spans="1:42" x14ac:dyDescent="0.25">
      <c r="A174">
        <v>41</v>
      </c>
      <c r="B174" t="s">
        <v>42</v>
      </c>
      <c r="C174">
        <v>3</v>
      </c>
      <c r="D174" t="s">
        <v>117</v>
      </c>
      <c r="E174" t="b">
        <v>1</v>
      </c>
      <c r="F174" s="1">
        <v>0.65277777777777779</v>
      </c>
      <c r="G174" s="1">
        <v>0.72291666666666665</v>
      </c>
      <c r="H174">
        <v>101</v>
      </c>
      <c r="I174" t="b">
        <v>1</v>
      </c>
      <c r="J174" t="b">
        <v>1</v>
      </c>
      <c r="K174" t="b">
        <v>0</v>
      </c>
      <c r="L174" t="s">
        <v>62</v>
      </c>
      <c r="M174">
        <v>20</v>
      </c>
      <c r="N174" t="s">
        <v>29</v>
      </c>
      <c r="O174">
        <v>20</v>
      </c>
      <c r="P174" t="s">
        <v>40</v>
      </c>
      <c r="Q174">
        <v>0.1</v>
      </c>
      <c r="R174">
        <v>18</v>
      </c>
      <c r="S174" t="s">
        <v>44</v>
      </c>
      <c r="T174" t="s">
        <v>50</v>
      </c>
      <c r="U174">
        <v>34.052199999999999</v>
      </c>
      <c r="V174">
        <v>-118.2437</v>
      </c>
      <c r="W174" s="2">
        <v>45285</v>
      </c>
      <c r="X174">
        <v>6</v>
      </c>
      <c r="Y174" t="b">
        <v>0</v>
      </c>
      <c r="Z174" s="2">
        <v>45830</v>
      </c>
      <c r="AA174" t="str">
        <f t="shared" si="21"/>
        <v>40–49</v>
      </c>
      <c r="AB174" t="str">
        <f t="shared" si="22"/>
        <v>40–49</v>
      </c>
      <c r="AC174" t="str">
        <f t="shared" si="23"/>
        <v/>
      </c>
      <c r="AD174" t="str">
        <f t="shared" si="24"/>
        <v/>
      </c>
      <c r="AE174" t="str">
        <f t="shared" si="25"/>
        <v>Wednesday</v>
      </c>
      <c r="AF174" t="str">
        <f t="shared" si="26"/>
        <v>Thursday</v>
      </c>
      <c r="AG174" t="str">
        <f t="shared" si="27"/>
        <v/>
      </c>
      <c r="AH174" t="str">
        <f t="shared" si="28"/>
        <v/>
      </c>
      <c r="AI174" t="str">
        <f t="shared" si="29"/>
        <v>Sunday</v>
      </c>
      <c r="AJ174" t="str">
        <f>LEFT(Table1[[#This Row],[membership_type]],2)&amp;TEXT(Table1[[#This Row],[age]],"00")&amp;"-"&amp;TEXT(ROW(),"000")</f>
        <v>Ba41-174</v>
      </c>
      <c r="AK174" t="str">
        <f>LEFT(Table1[[#This Row],[membership_type]],1)&amp;TEXT(MATCH(Table1[[#This Row],[membership_type]],Table1[membership_type],0),"00")</f>
        <v>B04</v>
      </c>
      <c r="AL174" t="str">
        <f>LEFT(Table1[[#This Row],[discount_type]],1)&amp;TEXT(ROUND(Table1[[#This Row],[discount_rate]]*100,0),"00")</f>
        <v>L10</v>
      </c>
      <c r="AM174" t="str" cm="1">
        <f t="array" ref="AM174">TEXT(SUMPRODUCT(CODE(MID(Table1[[#This Row],[home_gym_location]],_xlfn.SEQUENCE(LEN(Table1[[#This Row],[home_gym_location]])),1))),"00000")</f>
        <v>01245</v>
      </c>
      <c r="AN17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4" t="str">
        <f>LEFT(_xlfn.TEXTBEFORE(Table1[[#This Row],[Location Identifier]],"-"),3) &amp; "-" &amp; _xlfn.TEXTAFTER(Table1[[#This Row],[Location Identifier]],"-")</f>
        <v>LOS-005</v>
      </c>
      <c r="AP174" s="9">
        <f t="shared" ca="1" si="20"/>
        <v>45869</v>
      </c>
    </row>
    <row r="175" spans="1:42" x14ac:dyDescent="0.25">
      <c r="A175">
        <v>49</v>
      </c>
      <c r="B175" t="s">
        <v>26</v>
      </c>
      <c r="C175">
        <v>1</v>
      </c>
      <c r="D175" t="s">
        <v>71</v>
      </c>
      <c r="E175" t="b">
        <v>1</v>
      </c>
      <c r="F175" s="1">
        <v>0.6791666666666667</v>
      </c>
      <c r="G175" s="1">
        <v>0.73263888888888884</v>
      </c>
      <c r="H175">
        <v>77</v>
      </c>
      <c r="I175" t="b">
        <v>1</v>
      </c>
      <c r="J175" t="b">
        <v>0</v>
      </c>
      <c r="K175" t="b">
        <v>0</v>
      </c>
      <c r="L175" t="s">
        <v>28</v>
      </c>
      <c r="M175">
        <v>50</v>
      </c>
      <c r="N175" t="s">
        <v>29</v>
      </c>
      <c r="O175">
        <v>50</v>
      </c>
      <c r="P175" t="s">
        <v>36</v>
      </c>
      <c r="Q175">
        <v>0</v>
      </c>
      <c r="R175">
        <v>50</v>
      </c>
      <c r="S175" t="s">
        <v>31</v>
      </c>
      <c r="T175" t="s">
        <v>32</v>
      </c>
      <c r="U175">
        <v>37.338200000000001</v>
      </c>
      <c r="V175">
        <v>-121.88630000000001</v>
      </c>
      <c r="W175" s="2">
        <v>45589</v>
      </c>
      <c r="X175">
        <v>0</v>
      </c>
      <c r="Y175" t="b">
        <v>1</v>
      </c>
      <c r="Z175" s="2">
        <v>45847</v>
      </c>
      <c r="AA175" t="str">
        <f t="shared" si="21"/>
        <v>40–49</v>
      </c>
      <c r="AB175" t="str">
        <f t="shared" si="22"/>
        <v>40–49</v>
      </c>
      <c r="AC175" t="str">
        <f t="shared" si="23"/>
        <v/>
      </c>
      <c r="AD175" t="str">
        <f t="shared" si="24"/>
        <v>Tuesday</v>
      </c>
      <c r="AE175" t="str">
        <f t="shared" si="25"/>
        <v/>
      </c>
      <c r="AF175" t="str">
        <f t="shared" si="26"/>
        <v/>
      </c>
      <c r="AG175" t="str">
        <f t="shared" si="27"/>
        <v/>
      </c>
      <c r="AH175" t="str">
        <f t="shared" si="28"/>
        <v/>
      </c>
      <c r="AI175" t="str">
        <f t="shared" si="29"/>
        <v/>
      </c>
      <c r="AJ175" t="str">
        <f>LEFT(Table1[[#This Row],[membership_type]],2)&amp;TEXT(Table1[[#This Row],[age]],"00")&amp;"-"&amp;TEXT(ROW(),"000")</f>
        <v>Pr49-175</v>
      </c>
      <c r="AK175" t="str">
        <f>LEFT(Table1[[#This Row],[membership_type]],1)&amp;TEXT(MATCH(Table1[[#This Row],[membership_type]],Table1[membership_type],0),"00")</f>
        <v>P01</v>
      </c>
      <c r="AL175" t="str">
        <f>LEFT(Table1[[#This Row],[discount_type]],1)&amp;TEXT(ROUND(Table1[[#This Row],[discount_rate]]*100,0),"00")</f>
        <v>N00</v>
      </c>
      <c r="AM175" t="str" cm="1">
        <f t="array" ref="AM175">TEXT(SUMPRODUCT(CODE(MID(Table1[[#This Row],[home_gym_location]],_xlfn.SEQUENCE(LEN(Table1[[#This Row],[home_gym_location]])),1))),"00000")</f>
        <v>00931</v>
      </c>
      <c r="AN17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5" t="str">
        <f>LEFT(_xlfn.TEXTBEFORE(Table1[[#This Row],[Location Identifier]],"-"),3) &amp; "-" &amp; _xlfn.TEXTAFTER(Table1[[#This Row],[Location Identifier]],"-")</f>
        <v>SAN-010</v>
      </c>
      <c r="AP175" s="9">
        <f t="shared" ca="1" si="20"/>
        <v>45869</v>
      </c>
    </row>
    <row r="176" spans="1:42" x14ac:dyDescent="0.25">
      <c r="A176">
        <v>22</v>
      </c>
      <c r="B176" t="s">
        <v>51</v>
      </c>
      <c r="C176">
        <v>3</v>
      </c>
      <c r="D176" t="s">
        <v>106</v>
      </c>
      <c r="E176" t="b">
        <v>1</v>
      </c>
      <c r="F176" s="1">
        <v>0.49027777777777776</v>
      </c>
      <c r="G176" s="1">
        <v>0.57430555555555551</v>
      </c>
      <c r="H176">
        <v>121</v>
      </c>
      <c r="I176" t="b">
        <v>0</v>
      </c>
      <c r="J176" t="b">
        <v>1</v>
      </c>
      <c r="K176" t="b">
        <v>1</v>
      </c>
      <c r="L176" t="s">
        <v>62</v>
      </c>
      <c r="M176">
        <v>70</v>
      </c>
      <c r="N176" t="s">
        <v>29</v>
      </c>
      <c r="O176">
        <v>70</v>
      </c>
      <c r="P176" t="s">
        <v>36</v>
      </c>
      <c r="Q176">
        <v>0</v>
      </c>
      <c r="R176">
        <v>70</v>
      </c>
      <c r="S176" t="s">
        <v>53</v>
      </c>
      <c r="T176" t="s">
        <v>54</v>
      </c>
      <c r="U176">
        <v>32.715699999999998</v>
      </c>
      <c r="V176">
        <v>-117.1611</v>
      </c>
      <c r="W176" s="2">
        <v>45143</v>
      </c>
      <c r="X176">
        <v>6</v>
      </c>
      <c r="Y176" t="b">
        <v>1</v>
      </c>
      <c r="Z176" s="2">
        <v>45822</v>
      </c>
      <c r="AA176" t="str">
        <f t="shared" si="21"/>
        <v>20–29</v>
      </c>
      <c r="AB176" t="str">
        <f t="shared" si="22"/>
        <v>20–29</v>
      </c>
      <c r="AC176" t="str">
        <f t="shared" si="23"/>
        <v/>
      </c>
      <c r="AD176" t="str">
        <f t="shared" si="24"/>
        <v/>
      </c>
      <c r="AE176" t="str">
        <f t="shared" si="25"/>
        <v>Wednesday</v>
      </c>
      <c r="AF176" t="str">
        <f t="shared" si="26"/>
        <v>Thursday</v>
      </c>
      <c r="AG176" t="str">
        <f t="shared" si="27"/>
        <v>Friday</v>
      </c>
      <c r="AH176" t="str">
        <f t="shared" si="28"/>
        <v/>
      </c>
      <c r="AI176" t="str">
        <f t="shared" si="29"/>
        <v/>
      </c>
      <c r="AJ176" t="str">
        <f>LEFT(Table1[[#This Row],[membership_type]],2)&amp;TEXT(Table1[[#This Row],[age]],"00")&amp;"-"&amp;TEXT(ROW(),"000")</f>
        <v>El22-176</v>
      </c>
      <c r="AK176" t="str">
        <f>LEFT(Table1[[#This Row],[membership_type]],1)&amp;TEXT(MATCH(Table1[[#This Row],[membership_type]],Table1[membership_type],0),"00")</f>
        <v>E07</v>
      </c>
      <c r="AL176" t="str">
        <f>LEFT(Table1[[#This Row],[discount_type]],1)&amp;TEXT(ROUND(Table1[[#This Row],[discount_rate]]*100,0),"00")</f>
        <v>N00</v>
      </c>
      <c r="AM176" t="str" cm="1">
        <f t="array" ref="AM176">TEXT(SUMPRODUCT(CODE(MID(Table1[[#This Row],[home_gym_location]],_xlfn.SEQUENCE(LEN(Table1[[#This Row],[home_gym_location]])),1))),"00000")</f>
        <v>01018</v>
      </c>
      <c r="AN17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6" t="str">
        <f>LEFT(_xlfn.TEXTBEFORE(Table1[[#This Row],[Location Identifier]],"-"),3) &amp; "-" &amp; _xlfn.TEXTAFTER(Table1[[#This Row],[Location Identifier]],"-")</f>
        <v>SAN-008</v>
      </c>
      <c r="AP176" s="9">
        <f t="shared" ca="1" si="20"/>
        <v>45869</v>
      </c>
    </row>
    <row r="177" spans="1:42" x14ac:dyDescent="0.25">
      <c r="A177">
        <v>34</v>
      </c>
      <c r="B177" t="s">
        <v>26</v>
      </c>
      <c r="C177">
        <v>3</v>
      </c>
      <c r="D177" t="s">
        <v>109</v>
      </c>
      <c r="E177" t="b">
        <v>0</v>
      </c>
      <c r="F177" s="1">
        <v>0.65347222222222223</v>
      </c>
      <c r="G177" s="1">
        <v>0.71111111111111114</v>
      </c>
      <c r="H177">
        <v>83</v>
      </c>
      <c r="I177" t="b">
        <v>1</v>
      </c>
      <c r="J177" t="b">
        <v>1</v>
      </c>
      <c r="K177" t="b">
        <v>0</v>
      </c>
      <c r="L177" t="s">
        <v>62</v>
      </c>
      <c r="M177">
        <v>50</v>
      </c>
      <c r="N177" t="s">
        <v>29</v>
      </c>
      <c r="O177">
        <v>50</v>
      </c>
      <c r="P177" t="s">
        <v>30</v>
      </c>
      <c r="Q177">
        <v>0.05</v>
      </c>
      <c r="R177">
        <v>47.5</v>
      </c>
      <c r="S177" t="s">
        <v>31</v>
      </c>
      <c r="T177" t="s">
        <v>54</v>
      </c>
      <c r="U177">
        <v>32.715699999999998</v>
      </c>
      <c r="V177">
        <v>-117.1611</v>
      </c>
      <c r="W177" s="2">
        <v>45645</v>
      </c>
      <c r="X177">
        <v>6</v>
      </c>
      <c r="Y177" t="b">
        <v>1</v>
      </c>
      <c r="Z177" s="2">
        <v>45850</v>
      </c>
      <c r="AA177" t="str">
        <f t="shared" si="21"/>
        <v>30–39</v>
      </c>
      <c r="AB177" t="str">
        <f t="shared" si="22"/>
        <v>30–39</v>
      </c>
      <c r="AC177" t="str">
        <f t="shared" si="23"/>
        <v/>
      </c>
      <c r="AD177" t="str">
        <f t="shared" si="24"/>
        <v>Tuesday</v>
      </c>
      <c r="AE177" t="str">
        <f t="shared" si="25"/>
        <v/>
      </c>
      <c r="AF177" t="str">
        <f t="shared" si="26"/>
        <v>Thursday</v>
      </c>
      <c r="AG177" t="str">
        <f t="shared" si="27"/>
        <v>Friday</v>
      </c>
      <c r="AH177" t="str">
        <f t="shared" si="28"/>
        <v/>
      </c>
      <c r="AI177" t="str">
        <f t="shared" si="29"/>
        <v/>
      </c>
      <c r="AJ177" t="str">
        <f>LEFT(Table1[[#This Row],[membership_type]],2)&amp;TEXT(Table1[[#This Row],[age]],"00")&amp;"-"&amp;TEXT(ROW(),"000")</f>
        <v>Pr34-177</v>
      </c>
      <c r="AK177" t="str">
        <f>LEFT(Table1[[#This Row],[membership_type]],1)&amp;TEXT(MATCH(Table1[[#This Row],[membership_type]],Table1[membership_type],0),"00")</f>
        <v>P01</v>
      </c>
      <c r="AL177" t="str">
        <f>LEFT(Table1[[#This Row],[discount_type]],1)&amp;TEXT(ROUND(Table1[[#This Row],[discount_rate]]*100,0),"00")</f>
        <v>P05</v>
      </c>
      <c r="AM177" t="str" cm="1">
        <f t="array" ref="AM177">TEXT(SUMPRODUCT(CODE(MID(Table1[[#This Row],[home_gym_location]],_xlfn.SEQUENCE(LEN(Table1[[#This Row],[home_gym_location]])),1))),"00000")</f>
        <v>01018</v>
      </c>
      <c r="AN17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7" t="str">
        <f>LEFT(_xlfn.TEXTBEFORE(Table1[[#This Row],[Location Identifier]],"-"),3) &amp; "-" &amp; _xlfn.TEXTAFTER(Table1[[#This Row],[Location Identifier]],"-")</f>
        <v>SAN-008</v>
      </c>
      <c r="AP177" s="9">
        <f t="shared" ca="1" si="20"/>
        <v>45869</v>
      </c>
    </row>
    <row r="178" spans="1:42" x14ac:dyDescent="0.25">
      <c r="A178">
        <v>39</v>
      </c>
      <c r="B178" t="s">
        <v>33</v>
      </c>
      <c r="C178">
        <v>2</v>
      </c>
      <c r="D178" t="s">
        <v>126</v>
      </c>
      <c r="E178" t="b">
        <v>1</v>
      </c>
      <c r="F178" s="1">
        <v>0.63472222222222219</v>
      </c>
      <c r="G178" s="1">
        <v>0.73541666666666672</v>
      </c>
      <c r="H178">
        <v>145</v>
      </c>
      <c r="I178" t="b">
        <v>1</v>
      </c>
      <c r="J178" t="b">
        <v>0</v>
      </c>
      <c r="K178" t="b">
        <v>0</v>
      </c>
      <c r="L178" t="s">
        <v>28</v>
      </c>
      <c r="M178">
        <v>30</v>
      </c>
      <c r="N178" t="s">
        <v>64</v>
      </c>
      <c r="O178">
        <v>22.5</v>
      </c>
      <c r="P178" t="s">
        <v>30</v>
      </c>
      <c r="Q178">
        <v>0.05</v>
      </c>
      <c r="R178">
        <v>21.375</v>
      </c>
      <c r="S178" t="s">
        <v>37</v>
      </c>
      <c r="T178" t="s">
        <v>48</v>
      </c>
      <c r="U178">
        <v>38.581600000000002</v>
      </c>
      <c r="V178">
        <v>-121.4944</v>
      </c>
      <c r="W178" s="2">
        <v>45095</v>
      </c>
      <c r="X178">
        <v>0</v>
      </c>
      <c r="Y178" t="b">
        <v>0</v>
      </c>
      <c r="Z178" s="2">
        <v>45819</v>
      </c>
      <c r="AA178" t="str">
        <f t="shared" si="21"/>
        <v>30–39</v>
      </c>
      <c r="AB178" t="str">
        <f t="shared" si="22"/>
        <v>30–39</v>
      </c>
      <c r="AC178" t="str">
        <f t="shared" si="23"/>
        <v/>
      </c>
      <c r="AD178" t="str">
        <f t="shared" si="24"/>
        <v>Tuesday</v>
      </c>
      <c r="AE178" t="str">
        <f t="shared" si="25"/>
        <v>Wednesday</v>
      </c>
      <c r="AF178" t="str">
        <f t="shared" si="26"/>
        <v/>
      </c>
      <c r="AG178" t="str">
        <f t="shared" si="27"/>
        <v/>
      </c>
      <c r="AH178" t="str">
        <f t="shared" si="28"/>
        <v/>
      </c>
      <c r="AI178" t="str">
        <f t="shared" si="29"/>
        <v/>
      </c>
      <c r="AJ178" t="str">
        <f>LEFT(Table1[[#This Row],[membership_type]],2)&amp;TEXT(Table1[[#This Row],[age]],"00")&amp;"-"&amp;TEXT(ROW(),"000")</f>
        <v>St39-178</v>
      </c>
      <c r="AK178" t="str">
        <f>LEFT(Table1[[#This Row],[membership_type]],1)&amp;TEXT(MATCH(Table1[[#This Row],[membership_type]],Table1[membership_type],0),"00")</f>
        <v>S02</v>
      </c>
      <c r="AL178" t="str">
        <f>LEFT(Table1[[#This Row],[discount_type]],1)&amp;TEXT(ROUND(Table1[[#This Row],[discount_rate]]*100,0),"00")</f>
        <v>P05</v>
      </c>
      <c r="AM178" t="str" cm="1">
        <f t="array" ref="AM178">TEXT(SUMPRODUCT(CODE(MID(Table1[[#This Row],[home_gym_location]],_xlfn.SEQUENCE(LEN(Table1[[#This Row],[home_gym_location]])),1))),"00000")</f>
        <v>01245</v>
      </c>
      <c r="AN17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8" t="str">
        <f>LEFT(_xlfn.TEXTBEFORE(Table1[[#This Row],[Location Identifier]],"-"),3) &amp; "-" &amp; _xlfn.TEXTAFTER(Table1[[#This Row],[Location Identifier]],"-")</f>
        <v>SAC-007</v>
      </c>
      <c r="AP178" s="9">
        <f t="shared" ca="1" si="20"/>
        <v>45869</v>
      </c>
    </row>
    <row r="179" spans="1:42" x14ac:dyDescent="0.25">
      <c r="A179">
        <v>47</v>
      </c>
      <c r="B179" t="s">
        <v>26</v>
      </c>
      <c r="C179">
        <v>1</v>
      </c>
      <c r="D179" t="s">
        <v>71</v>
      </c>
      <c r="E179" t="b">
        <v>1</v>
      </c>
      <c r="F179" s="1">
        <v>0.76041666666666663</v>
      </c>
      <c r="G179" s="1">
        <v>0.83263888888888893</v>
      </c>
      <c r="H179">
        <v>104</v>
      </c>
      <c r="I179" t="b">
        <v>1</v>
      </c>
      <c r="J179" t="b">
        <v>0</v>
      </c>
      <c r="K179" t="b">
        <v>1</v>
      </c>
      <c r="L179" t="s">
        <v>62</v>
      </c>
      <c r="M179">
        <v>50</v>
      </c>
      <c r="N179" t="s">
        <v>29</v>
      </c>
      <c r="O179">
        <v>50</v>
      </c>
      <c r="P179" t="s">
        <v>40</v>
      </c>
      <c r="Q179">
        <v>0.1</v>
      </c>
      <c r="R179">
        <v>45</v>
      </c>
      <c r="S179" t="s">
        <v>31</v>
      </c>
      <c r="T179" t="s">
        <v>54</v>
      </c>
      <c r="U179">
        <v>32.715699999999998</v>
      </c>
      <c r="V179">
        <v>-117.1611</v>
      </c>
      <c r="W179" s="2">
        <v>45419</v>
      </c>
      <c r="X179">
        <v>0</v>
      </c>
      <c r="Y179" t="b">
        <v>0</v>
      </c>
      <c r="Z179" s="2">
        <v>45837</v>
      </c>
      <c r="AA179" t="str">
        <f t="shared" si="21"/>
        <v>40–49</v>
      </c>
      <c r="AB179" t="str">
        <f t="shared" si="22"/>
        <v>40–49</v>
      </c>
      <c r="AC179" t="str">
        <f t="shared" si="23"/>
        <v/>
      </c>
      <c r="AD179" t="str">
        <f t="shared" si="24"/>
        <v>Tuesday</v>
      </c>
      <c r="AE179" t="str">
        <f t="shared" si="25"/>
        <v/>
      </c>
      <c r="AF179" t="str">
        <f t="shared" si="26"/>
        <v/>
      </c>
      <c r="AG179" t="str">
        <f t="shared" si="27"/>
        <v/>
      </c>
      <c r="AH179" t="str">
        <f t="shared" si="28"/>
        <v/>
      </c>
      <c r="AI179" t="str">
        <f t="shared" si="29"/>
        <v/>
      </c>
      <c r="AJ179" t="str">
        <f>LEFT(Table1[[#This Row],[membership_type]],2)&amp;TEXT(Table1[[#This Row],[age]],"00")&amp;"-"&amp;TEXT(ROW(),"000")</f>
        <v>Pr47-179</v>
      </c>
      <c r="AK179" t="str">
        <f>LEFT(Table1[[#This Row],[membership_type]],1)&amp;TEXT(MATCH(Table1[[#This Row],[membership_type]],Table1[membership_type],0),"00")</f>
        <v>P01</v>
      </c>
      <c r="AL179" t="str">
        <f>LEFT(Table1[[#This Row],[discount_type]],1)&amp;TEXT(ROUND(Table1[[#This Row],[discount_rate]]*100,0),"00")</f>
        <v>L10</v>
      </c>
      <c r="AM179" t="str" cm="1">
        <f t="array" ref="AM179">TEXT(SUMPRODUCT(CODE(MID(Table1[[#This Row],[home_gym_location]],_xlfn.SEQUENCE(LEN(Table1[[#This Row],[home_gym_location]])),1))),"00000")</f>
        <v>01018</v>
      </c>
      <c r="AN17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9" t="str">
        <f>LEFT(_xlfn.TEXTBEFORE(Table1[[#This Row],[Location Identifier]],"-"),3) &amp; "-" &amp; _xlfn.TEXTAFTER(Table1[[#This Row],[Location Identifier]],"-")</f>
        <v>SAN-008</v>
      </c>
      <c r="AP179" s="9">
        <f t="shared" ca="1" si="20"/>
        <v>45869</v>
      </c>
    </row>
    <row r="180" spans="1:42" x14ac:dyDescent="0.25">
      <c r="A180">
        <v>37</v>
      </c>
      <c r="B180" t="s">
        <v>26</v>
      </c>
      <c r="C180">
        <v>2</v>
      </c>
      <c r="D180" t="s">
        <v>126</v>
      </c>
      <c r="E180" t="b">
        <v>0</v>
      </c>
      <c r="F180" s="1">
        <v>0.47916666666666669</v>
      </c>
      <c r="G180" s="1">
        <v>0.50694444444444442</v>
      </c>
      <c r="H180">
        <v>40</v>
      </c>
      <c r="I180" t="b">
        <v>1</v>
      </c>
      <c r="J180" t="b">
        <v>0</v>
      </c>
      <c r="K180" t="b">
        <v>0</v>
      </c>
      <c r="L180" t="s">
        <v>47</v>
      </c>
      <c r="M180">
        <v>50</v>
      </c>
      <c r="N180" t="s">
        <v>29</v>
      </c>
      <c r="O180">
        <v>50</v>
      </c>
      <c r="P180" t="s">
        <v>36</v>
      </c>
      <c r="Q180">
        <v>0</v>
      </c>
      <c r="R180">
        <v>50</v>
      </c>
      <c r="S180" t="s">
        <v>31</v>
      </c>
      <c r="T180" t="s">
        <v>56</v>
      </c>
      <c r="U180">
        <v>35.3733</v>
      </c>
      <c r="V180">
        <v>-119.0187</v>
      </c>
      <c r="W180" s="2">
        <v>44833</v>
      </c>
      <c r="X180">
        <v>0</v>
      </c>
      <c r="Y180" t="b">
        <v>1</v>
      </c>
      <c r="Z180" s="2">
        <v>45804</v>
      </c>
      <c r="AA180" t="str">
        <f t="shared" si="21"/>
        <v>30–39</v>
      </c>
      <c r="AB180" t="str">
        <f t="shared" si="22"/>
        <v>30–39</v>
      </c>
      <c r="AC180" t="str">
        <f t="shared" si="23"/>
        <v/>
      </c>
      <c r="AD180" t="str">
        <f t="shared" si="24"/>
        <v>Tuesday</v>
      </c>
      <c r="AE180" t="str">
        <f t="shared" si="25"/>
        <v>Wednesday</v>
      </c>
      <c r="AF180" t="str">
        <f t="shared" si="26"/>
        <v/>
      </c>
      <c r="AG180" t="str">
        <f t="shared" si="27"/>
        <v/>
      </c>
      <c r="AH180" t="str">
        <f t="shared" si="28"/>
        <v/>
      </c>
      <c r="AI180" t="str">
        <f t="shared" si="29"/>
        <v/>
      </c>
      <c r="AJ180" t="str">
        <f>LEFT(Table1[[#This Row],[membership_type]],2)&amp;TEXT(Table1[[#This Row],[age]],"00")&amp;"-"&amp;TEXT(ROW(),"000")</f>
        <v>Pr37-180</v>
      </c>
      <c r="AK180" t="str">
        <f>LEFT(Table1[[#This Row],[membership_type]],1)&amp;TEXT(MATCH(Table1[[#This Row],[membership_type]],Table1[membership_type],0),"00")</f>
        <v>P01</v>
      </c>
      <c r="AL180" t="str">
        <f>LEFT(Table1[[#This Row],[discount_type]],1)&amp;TEXT(ROUND(Table1[[#This Row],[discount_rate]]*100,0),"00")</f>
        <v>N00</v>
      </c>
      <c r="AM180" t="str" cm="1">
        <f t="array" ref="AM180">TEXT(SUMPRODUCT(CODE(MID(Table1[[#This Row],[home_gym_location]],_xlfn.SEQUENCE(LEN(Table1[[#This Row],[home_gym_location]])),1))),"00000")</f>
        <v>01324</v>
      </c>
      <c r="AN18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80" t="str">
        <f>LEFT(_xlfn.TEXTBEFORE(Table1[[#This Row],[Location Identifier]],"-"),3) &amp; "-" &amp; _xlfn.TEXTAFTER(Table1[[#This Row],[Location Identifier]],"-")</f>
        <v>BAK-002</v>
      </c>
      <c r="AP180" s="9">
        <f t="shared" ca="1" si="20"/>
        <v>45869</v>
      </c>
    </row>
    <row r="181" spans="1:42" x14ac:dyDescent="0.25">
      <c r="A181">
        <v>39</v>
      </c>
      <c r="B181" t="s">
        <v>42</v>
      </c>
      <c r="C181">
        <v>5</v>
      </c>
      <c r="D181" t="s">
        <v>104</v>
      </c>
      <c r="E181" t="b">
        <v>1</v>
      </c>
      <c r="F181" s="1">
        <v>0.67013888888888884</v>
      </c>
      <c r="G181" s="1">
        <v>0.77916666666666667</v>
      </c>
      <c r="H181">
        <v>157</v>
      </c>
      <c r="I181" t="b">
        <v>0</v>
      </c>
      <c r="J181" t="b">
        <v>1</v>
      </c>
      <c r="K181" t="b">
        <v>0</v>
      </c>
      <c r="L181" t="s">
        <v>28</v>
      </c>
      <c r="M181">
        <v>20</v>
      </c>
      <c r="N181" t="s">
        <v>29</v>
      </c>
      <c r="O181">
        <v>20</v>
      </c>
      <c r="P181" t="s">
        <v>40</v>
      </c>
      <c r="Q181">
        <v>0.1</v>
      </c>
      <c r="R181">
        <v>18</v>
      </c>
      <c r="S181" t="s">
        <v>44</v>
      </c>
      <c r="T181" t="s">
        <v>32</v>
      </c>
      <c r="U181">
        <v>37.338200000000001</v>
      </c>
      <c r="V181">
        <v>-121.88630000000001</v>
      </c>
      <c r="W181" s="2">
        <v>45684</v>
      </c>
      <c r="X181">
        <v>2</v>
      </c>
      <c r="Y181" t="b">
        <v>0</v>
      </c>
      <c r="Z181" s="2">
        <v>45852</v>
      </c>
      <c r="AA181" t="str">
        <f t="shared" si="21"/>
        <v>30–39</v>
      </c>
      <c r="AB181" t="str">
        <f t="shared" si="22"/>
        <v>30–39</v>
      </c>
      <c r="AC181" t="str">
        <f t="shared" si="23"/>
        <v/>
      </c>
      <c r="AD181" t="str">
        <f t="shared" si="24"/>
        <v>Tuesday</v>
      </c>
      <c r="AE181" t="str">
        <f t="shared" si="25"/>
        <v>Wednesday</v>
      </c>
      <c r="AF181" t="str">
        <f t="shared" si="26"/>
        <v>Thursday</v>
      </c>
      <c r="AG181" t="str">
        <f t="shared" si="27"/>
        <v/>
      </c>
      <c r="AH181" t="str">
        <f t="shared" si="28"/>
        <v>Saturday</v>
      </c>
      <c r="AI181" t="str">
        <f t="shared" si="29"/>
        <v>Sunday</v>
      </c>
      <c r="AJ181" t="str">
        <f>LEFT(Table1[[#This Row],[membership_type]],2)&amp;TEXT(Table1[[#This Row],[age]],"00")&amp;"-"&amp;TEXT(ROW(),"000")</f>
        <v>Ba39-181</v>
      </c>
      <c r="AK181" t="str">
        <f>LEFT(Table1[[#This Row],[membership_type]],1)&amp;TEXT(MATCH(Table1[[#This Row],[membership_type]],Table1[membership_type],0),"00")</f>
        <v>B04</v>
      </c>
      <c r="AL181" t="str">
        <f>LEFT(Table1[[#This Row],[discount_type]],1)&amp;TEXT(ROUND(Table1[[#This Row],[discount_rate]]*100,0),"00")</f>
        <v>L10</v>
      </c>
      <c r="AM181" t="str" cm="1">
        <f t="array" ref="AM181">TEXT(SUMPRODUCT(CODE(MID(Table1[[#This Row],[home_gym_location]],_xlfn.SEQUENCE(LEN(Table1[[#This Row],[home_gym_location]])),1))),"00000")</f>
        <v>00931</v>
      </c>
      <c r="AN18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1" t="str">
        <f>LEFT(_xlfn.TEXTBEFORE(Table1[[#This Row],[Location Identifier]],"-"),3) &amp; "-" &amp; _xlfn.TEXTAFTER(Table1[[#This Row],[Location Identifier]],"-")</f>
        <v>SAN-010</v>
      </c>
      <c r="AP181" s="9">
        <f t="shared" ca="1" si="20"/>
        <v>45869</v>
      </c>
    </row>
    <row r="182" spans="1:42" x14ac:dyDescent="0.25">
      <c r="A182">
        <v>36</v>
      </c>
      <c r="B182" t="s">
        <v>33</v>
      </c>
      <c r="C182">
        <v>5</v>
      </c>
      <c r="D182" t="s">
        <v>127</v>
      </c>
      <c r="E182" t="b">
        <v>0</v>
      </c>
      <c r="F182" s="1">
        <v>0.48125000000000001</v>
      </c>
      <c r="G182" s="1">
        <v>0.52777777777777779</v>
      </c>
      <c r="H182">
        <v>67</v>
      </c>
      <c r="I182" t="b">
        <v>1</v>
      </c>
      <c r="J182" t="b">
        <v>0</v>
      </c>
      <c r="K182" t="b">
        <v>1</v>
      </c>
      <c r="L182" t="s">
        <v>62</v>
      </c>
      <c r="M182">
        <v>30</v>
      </c>
      <c r="N182" t="s">
        <v>29</v>
      </c>
      <c r="O182">
        <v>30</v>
      </c>
      <c r="P182" t="s">
        <v>40</v>
      </c>
      <c r="Q182">
        <v>0.1</v>
      </c>
      <c r="R182">
        <v>27</v>
      </c>
      <c r="S182" t="s">
        <v>37</v>
      </c>
      <c r="T182" t="s">
        <v>45</v>
      </c>
      <c r="U182">
        <v>33.836599999999997</v>
      </c>
      <c r="V182">
        <v>-117.9143</v>
      </c>
      <c r="W182" s="2">
        <v>45467</v>
      </c>
      <c r="X182">
        <v>0</v>
      </c>
      <c r="Y182" t="b">
        <v>0</v>
      </c>
      <c r="Z182" s="2">
        <v>45840</v>
      </c>
      <c r="AA182" t="str">
        <f t="shared" si="21"/>
        <v>30–39</v>
      </c>
      <c r="AB182" t="str">
        <f t="shared" si="22"/>
        <v>30–39</v>
      </c>
      <c r="AC182" t="str">
        <f t="shared" si="23"/>
        <v>Monday</v>
      </c>
      <c r="AD182" t="str">
        <f t="shared" si="24"/>
        <v>Tuesday</v>
      </c>
      <c r="AE182" t="str">
        <f t="shared" si="25"/>
        <v/>
      </c>
      <c r="AF182" t="str">
        <f t="shared" si="26"/>
        <v/>
      </c>
      <c r="AG182" t="str">
        <f t="shared" si="27"/>
        <v>Friday</v>
      </c>
      <c r="AH182" t="str">
        <f t="shared" si="28"/>
        <v>Saturday</v>
      </c>
      <c r="AI182" t="str">
        <f t="shared" si="29"/>
        <v>Sunday</v>
      </c>
      <c r="AJ182" t="str">
        <f>LEFT(Table1[[#This Row],[membership_type]],2)&amp;TEXT(Table1[[#This Row],[age]],"00")&amp;"-"&amp;TEXT(ROW(),"000")</f>
        <v>St36-182</v>
      </c>
      <c r="AK182" t="str">
        <f>LEFT(Table1[[#This Row],[membership_type]],1)&amp;TEXT(MATCH(Table1[[#This Row],[membership_type]],Table1[membership_type],0),"00")</f>
        <v>S02</v>
      </c>
      <c r="AL182" t="str">
        <f>LEFT(Table1[[#This Row],[discount_type]],1)&amp;TEXT(ROUND(Table1[[#This Row],[discount_rate]]*100,0),"00")</f>
        <v>L10</v>
      </c>
      <c r="AM182" t="str" cm="1">
        <f t="array" ref="AM182">TEXT(SUMPRODUCT(CODE(MID(Table1[[#This Row],[home_gym_location]],_xlfn.SEQUENCE(LEN(Table1[[#This Row],[home_gym_location]])),1))),"00000")</f>
        <v>00899</v>
      </c>
      <c r="AN18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2" t="str">
        <f>LEFT(_xlfn.TEXTBEFORE(Table1[[#This Row],[Location Identifier]],"-"),3) &amp; "-" &amp; _xlfn.TEXTAFTER(Table1[[#This Row],[Location Identifier]],"-")</f>
        <v>ANA-001</v>
      </c>
      <c r="AP182" s="9">
        <f t="shared" ca="1" si="20"/>
        <v>45869</v>
      </c>
    </row>
    <row r="183" spans="1:42" x14ac:dyDescent="0.25">
      <c r="A183">
        <v>27</v>
      </c>
      <c r="B183" t="s">
        <v>33</v>
      </c>
      <c r="C183">
        <v>1</v>
      </c>
      <c r="D183" t="s">
        <v>97</v>
      </c>
      <c r="E183" t="b">
        <v>0</v>
      </c>
      <c r="F183" s="1">
        <v>0.52083333333333337</v>
      </c>
      <c r="G183" s="1">
        <v>0.54722222222222228</v>
      </c>
      <c r="H183">
        <v>38</v>
      </c>
      <c r="I183" t="b">
        <v>1</v>
      </c>
      <c r="J183" t="b">
        <v>0</v>
      </c>
      <c r="K183" t="b">
        <v>0</v>
      </c>
      <c r="L183" t="s">
        <v>28</v>
      </c>
      <c r="M183">
        <v>30</v>
      </c>
      <c r="N183" t="s">
        <v>78</v>
      </c>
      <c r="O183">
        <v>27</v>
      </c>
      <c r="P183" t="s">
        <v>36</v>
      </c>
      <c r="Q183">
        <v>0</v>
      </c>
      <c r="R183">
        <v>27</v>
      </c>
      <c r="S183" t="s">
        <v>37</v>
      </c>
      <c r="T183" t="s">
        <v>54</v>
      </c>
      <c r="U183">
        <v>32.715699999999998</v>
      </c>
      <c r="V183">
        <v>-117.1611</v>
      </c>
      <c r="W183" s="2">
        <v>45710</v>
      </c>
      <c r="X183">
        <v>0</v>
      </c>
      <c r="Y183" t="b">
        <v>0</v>
      </c>
      <c r="Z183" s="2">
        <v>45854</v>
      </c>
      <c r="AA183" t="str">
        <f t="shared" si="21"/>
        <v>20–29</v>
      </c>
      <c r="AB183" t="str">
        <f t="shared" si="22"/>
        <v>20–29</v>
      </c>
      <c r="AC183" t="str">
        <f t="shared" si="23"/>
        <v>Monday</v>
      </c>
      <c r="AD183" t="str">
        <f t="shared" si="24"/>
        <v/>
      </c>
      <c r="AE183" t="str">
        <f t="shared" si="25"/>
        <v/>
      </c>
      <c r="AF183" t="str">
        <f t="shared" si="26"/>
        <v/>
      </c>
      <c r="AG183" t="str">
        <f t="shared" si="27"/>
        <v/>
      </c>
      <c r="AH183" t="str">
        <f t="shared" si="28"/>
        <v/>
      </c>
      <c r="AI183" t="str">
        <f t="shared" si="29"/>
        <v/>
      </c>
      <c r="AJ183" t="str">
        <f>LEFT(Table1[[#This Row],[membership_type]],2)&amp;TEXT(Table1[[#This Row],[age]],"00")&amp;"-"&amp;TEXT(ROW(),"000")</f>
        <v>St27-183</v>
      </c>
      <c r="AK183" t="str">
        <f>LEFT(Table1[[#This Row],[membership_type]],1)&amp;TEXT(MATCH(Table1[[#This Row],[membership_type]],Table1[membership_type],0),"00")</f>
        <v>S02</v>
      </c>
      <c r="AL183" t="str">
        <f>LEFT(Table1[[#This Row],[discount_type]],1)&amp;TEXT(ROUND(Table1[[#This Row],[discount_rate]]*100,0),"00")</f>
        <v>N00</v>
      </c>
      <c r="AM183" t="str" cm="1">
        <f t="array" ref="AM183">TEXT(SUMPRODUCT(CODE(MID(Table1[[#This Row],[home_gym_location]],_xlfn.SEQUENCE(LEN(Table1[[#This Row],[home_gym_location]])),1))),"00000")</f>
        <v>01018</v>
      </c>
      <c r="AN18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3" t="str">
        <f>LEFT(_xlfn.TEXTBEFORE(Table1[[#This Row],[Location Identifier]],"-"),3) &amp; "-" &amp; _xlfn.TEXTAFTER(Table1[[#This Row],[Location Identifier]],"-")</f>
        <v>SAN-008</v>
      </c>
      <c r="AP183" s="9">
        <f t="shared" ca="1" si="20"/>
        <v>45869</v>
      </c>
    </row>
    <row r="184" spans="1:42" x14ac:dyDescent="0.25">
      <c r="A184">
        <v>45</v>
      </c>
      <c r="B184" t="s">
        <v>51</v>
      </c>
      <c r="C184">
        <v>4</v>
      </c>
      <c r="D184" t="s">
        <v>85</v>
      </c>
      <c r="E184" t="b">
        <v>0</v>
      </c>
      <c r="F184" s="1">
        <v>0.47152777777777777</v>
      </c>
      <c r="G184" s="1">
        <v>0.51111111111111107</v>
      </c>
      <c r="H184">
        <v>57</v>
      </c>
      <c r="I184" t="b">
        <v>0</v>
      </c>
      <c r="J184" t="b">
        <v>1</v>
      </c>
      <c r="K184" t="b">
        <v>1</v>
      </c>
      <c r="L184" t="s">
        <v>62</v>
      </c>
      <c r="M184">
        <v>70</v>
      </c>
      <c r="N184" t="s">
        <v>29</v>
      </c>
      <c r="O184">
        <v>70</v>
      </c>
      <c r="P184" t="s">
        <v>36</v>
      </c>
      <c r="Q184">
        <v>0</v>
      </c>
      <c r="R184">
        <v>70</v>
      </c>
      <c r="S184" t="s">
        <v>53</v>
      </c>
      <c r="T184" t="s">
        <v>38</v>
      </c>
      <c r="U184">
        <v>36.7378</v>
      </c>
      <c r="V184">
        <v>-119.7871</v>
      </c>
      <c r="W184" s="2">
        <v>44846</v>
      </c>
      <c r="X184">
        <v>1</v>
      </c>
      <c r="Y184" t="b">
        <v>1</v>
      </c>
      <c r="Z184" s="2">
        <v>45805</v>
      </c>
      <c r="AA184" t="str">
        <f t="shared" si="21"/>
        <v>40–49</v>
      </c>
      <c r="AB184" t="str">
        <f t="shared" si="22"/>
        <v>40–49</v>
      </c>
      <c r="AC184" t="str">
        <f t="shared" si="23"/>
        <v/>
      </c>
      <c r="AD184" t="str">
        <f t="shared" si="24"/>
        <v>Tuesday</v>
      </c>
      <c r="AE184" t="str">
        <f t="shared" si="25"/>
        <v/>
      </c>
      <c r="AF184" t="str">
        <f t="shared" si="26"/>
        <v>Thursday</v>
      </c>
      <c r="AG184" t="str">
        <f t="shared" si="27"/>
        <v/>
      </c>
      <c r="AH184" t="str">
        <f t="shared" si="28"/>
        <v>Saturday</v>
      </c>
      <c r="AI184" t="str">
        <f t="shared" si="29"/>
        <v>Sunday</v>
      </c>
      <c r="AJ184" t="str">
        <f>LEFT(Table1[[#This Row],[membership_type]],2)&amp;TEXT(Table1[[#This Row],[age]],"00")&amp;"-"&amp;TEXT(ROW(),"000")</f>
        <v>El45-184</v>
      </c>
      <c r="AK184" t="str">
        <f>LEFT(Table1[[#This Row],[membership_type]],1)&amp;TEXT(MATCH(Table1[[#This Row],[membership_type]],Table1[membership_type],0),"00")</f>
        <v>E07</v>
      </c>
      <c r="AL184" t="str">
        <f>LEFT(Table1[[#This Row],[discount_type]],1)&amp;TEXT(ROUND(Table1[[#This Row],[discount_rate]]*100,0),"00")</f>
        <v>N00</v>
      </c>
      <c r="AM184" t="str" cm="1">
        <f t="array" ref="AM184">TEXT(SUMPRODUCT(CODE(MID(Table1[[#This Row],[home_gym_location]],_xlfn.SEQUENCE(LEN(Table1[[#This Row],[home_gym_location]])),1))),"00000")</f>
        <v>00829</v>
      </c>
      <c r="AN184" t="str">
        <f>UPPER(_xlfn.TEXTBEFORE(Table1[[#This Row],[home_gym_location]],","))&amp;"-"&amp;TEXT(MATCH(Table1[[#This Row],[home_gym_location]],_xlfn._xlws.SORT(_xlfn.UNIQUE(Table1[home_gym_location])),0),"000")</f>
        <v>FRESNO-003</v>
      </c>
      <c r="AO184" t="str">
        <f>LEFT(_xlfn.TEXTBEFORE(Table1[[#This Row],[Location Identifier]],"-"),3) &amp; "-" &amp; _xlfn.TEXTAFTER(Table1[[#This Row],[Location Identifier]],"-")</f>
        <v>FRE-003</v>
      </c>
      <c r="AP184" s="9">
        <f t="shared" ca="1" si="20"/>
        <v>45869</v>
      </c>
    </row>
    <row r="185" spans="1:42" x14ac:dyDescent="0.25">
      <c r="A185">
        <v>28</v>
      </c>
      <c r="B185" t="s">
        <v>33</v>
      </c>
      <c r="C185">
        <v>3</v>
      </c>
      <c r="D185" t="s">
        <v>122</v>
      </c>
      <c r="E185" t="b">
        <v>0</v>
      </c>
      <c r="F185" s="1">
        <v>0.41319444444444442</v>
      </c>
      <c r="G185" s="1">
        <v>0.4548611111111111</v>
      </c>
      <c r="H185">
        <v>60</v>
      </c>
      <c r="I185" t="b">
        <v>0</v>
      </c>
      <c r="J185" t="b">
        <v>1</v>
      </c>
      <c r="K185" t="b">
        <v>0</v>
      </c>
      <c r="L185" t="s">
        <v>47</v>
      </c>
      <c r="M185">
        <v>30</v>
      </c>
      <c r="N185" t="s">
        <v>29</v>
      </c>
      <c r="O185">
        <v>30</v>
      </c>
      <c r="P185" t="s">
        <v>40</v>
      </c>
      <c r="Q185">
        <v>0.1</v>
      </c>
      <c r="R185">
        <v>27</v>
      </c>
      <c r="S185" t="s">
        <v>37</v>
      </c>
      <c r="T185" t="s">
        <v>50</v>
      </c>
      <c r="U185">
        <v>34.052199999999999</v>
      </c>
      <c r="V185">
        <v>-118.2437</v>
      </c>
      <c r="W185" s="2">
        <v>44896</v>
      </c>
      <c r="X185">
        <v>2</v>
      </c>
      <c r="Y185" t="b">
        <v>0</v>
      </c>
      <c r="Z185" s="2">
        <v>45808</v>
      </c>
      <c r="AA185" t="str">
        <f t="shared" si="21"/>
        <v>20–29</v>
      </c>
      <c r="AB185" t="str">
        <f t="shared" si="22"/>
        <v>20–29</v>
      </c>
      <c r="AC185" t="str">
        <f t="shared" si="23"/>
        <v/>
      </c>
      <c r="AD185" t="str">
        <f t="shared" si="24"/>
        <v>Tuesday</v>
      </c>
      <c r="AE185" t="str">
        <f t="shared" si="25"/>
        <v/>
      </c>
      <c r="AF185" t="str">
        <f t="shared" si="26"/>
        <v/>
      </c>
      <c r="AG185" t="str">
        <f t="shared" si="27"/>
        <v>Friday</v>
      </c>
      <c r="AH185" t="str">
        <f t="shared" si="28"/>
        <v/>
      </c>
      <c r="AI185" t="str">
        <f t="shared" si="29"/>
        <v>Sunday</v>
      </c>
      <c r="AJ185" t="str">
        <f>LEFT(Table1[[#This Row],[membership_type]],2)&amp;TEXT(Table1[[#This Row],[age]],"00")&amp;"-"&amp;TEXT(ROW(),"000")</f>
        <v>St28-185</v>
      </c>
      <c r="AK185" t="str">
        <f>LEFT(Table1[[#This Row],[membership_type]],1)&amp;TEXT(MATCH(Table1[[#This Row],[membership_type]],Table1[membership_type],0),"00")</f>
        <v>S02</v>
      </c>
      <c r="AL185" t="str">
        <f>LEFT(Table1[[#This Row],[discount_type]],1)&amp;TEXT(ROUND(Table1[[#This Row],[discount_rate]]*100,0),"00")</f>
        <v>L10</v>
      </c>
      <c r="AM185" t="str" cm="1">
        <f t="array" ref="AM185">TEXT(SUMPRODUCT(CODE(MID(Table1[[#This Row],[home_gym_location]],_xlfn.SEQUENCE(LEN(Table1[[#This Row],[home_gym_location]])),1))),"00000")</f>
        <v>01245</v>
      </c>
      <c r="AN1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5" t="str">
        <f>LEFT(_xlfn.TEXTBEFORE(Table1[[#This Row],[Location Identifier]],"-"),3) &amp; "-" &amp; _xlfn.TEXTAFTER(Table1[[#This Row],[Location Identifier]],"-")</f>
        <v>LOS-005</v>
      </c>
      <c r="AP185" s="9">
        <f t="shared" ca="1" si="20"/>
        <v>45869</v>
      </c>
    </row>
    <row r="186" spans="1:42" x14ac:dyDescent="0.25">
      <c r="A186">
        <v>17</v>
      </c>
      <c r="B186" t="s">
        <v>33</v>
      </c>
      <c r="C186">
        <v>2</v>
      </c>
      <c r="D186" t="s">
        <v>126</v>
      </c>
      <c r="E186" t="b">
        <v>0</v>
      </c>
      <c r="F186" s="1">
        <v>0.33750000000000002</v>
      </c>
      <c r="G186" s="1">
        <v>0.3659722222222222</v>
      </c>
      <c r="H186">
        <v>41</v>
      </c>
      <c r="I186" t="b">
        <v>1</v>
      </c>
      <c r="J186" t="b">
        <v>0</v>
      </c>
      <c r="K186" t="b">
        <v>1</v>
      </c>
      <c r="L186" t="s">
        <v>28</v>
      </c>
      <c r="M186">
        <v>30</v>
      </c>
      <c r="N186" t="s">
        <v>64</v>
      </c>
      <c r="O186">
        <v>22.5</v>
      </c>
      <c r="P186" t="s">
        <v>40</v>
      </c>
      <c r="Q186">
        <v>0.1</v>
      </c>
      <c r="R186">
        <v>20.25</v>
      </c>
      <c r="S186" t="s">
        <v>37</v>
      </c>
      <c r="T186" t="s">
        <v>65</v>
      </c>
      <c r="U186">
        <v>33.770099999999999</v>
      </c>
      <c r="V186">
        <v>-118.19370000000001</v>
      </c>
      <c r="W186" s="2">
        <v>45556</v>
      </c>
      <c r="X186">
        <v>0</v>
      </c>
      <c r="Y186" t="b">
        <v>0</v>
      </c>
      <c r="Z186" s="2">
        <v>45845</v>
      </c>
      <c r="AA186" t="str">
        <f t="shared" si="21"/>
        <v>10–19</v>
      </c>
      <c r="AB186" t="str">
        <f t="shared" si="22"/>
        <v>16–19</v>
      </c>
      <c r="AC186" t="str">
        <f t="shared" si="23"/>
        <v/>
      </c>
      <c r="AD186" t="str">
        <f t="shared" si="24"/>
        <v>Tuesday</v>
      </c>
      <c r="AE186" t="str">
        <f t="shared" si="25"/>
        <v>Wednesday</v>
      </c>
      <c r="AF186" t="str">
        <f t="shared" si="26"/>
        <v/>
      </c>
      <c r="AG186" t="str">
        <f t="shared" si="27"/>
        <v/>
      </c>
      <c r="AH186" t="str">
        <f t="shared" si="28"/>
        <v/>
      </c>
      <c r="AI186" t="str">
        <f t="shared" si="29"/>
        <v/>
      </c>
      <c r="AJ186" t="str">
        <f>LEFT(Table1[[#This Row],[membership_type]],2)&amp;TEXT(Table1[[#This Row],[age]],"00")&amp;"-"&amp;TEXT(ROW(),"000")</f>
        <v>St17-186</v>
      </c>
      <c r="AK186" t="str">
        <f>LEFT(Table1[[#This Row],[membership_type]],1)&amp;TEXT(MATCH(Table1[[#This Row],[membership_type]],Table1[membership_type],0),"00")</f>
        <v>S02</v>
      </c>
      <c r="AL186" t="str">
        <f>LEFT(Table1[[#This Row],[discount_type]],1)&amp;TEXT(ROUND(Table1[[#This Row],[discount_rate]]*100,0),"00")</f>
        <v>L10</v>
      </c>
      <c r="AM186" t="str" cm="1">
        <f t="array" ref="AM186">TEXT(SUMPRODUCT(CODE(MID(Table1[[#This Row],[home_gym_location]],_xlfn.SEQUENCE(LEN(Table1[[#This Row],[home_gym_location]])),1))),"00000")</f>
        <v>01107</v>
      </c>
      <c r="AN18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6" t="str">
        <f>LEFT(_xlfn.TEXTBEFORE(Table1[[#This Row],[Location Identifier]],"-"),3) &amp; "-" &amp; _xlfn.TEXTAFTER(Table1[[#This Row],[Location Identifier]],"-")</f>
        <v>LON-004</v>
      </c>
      <c r="AP186" s="9">
        <f t="shared" ca="1" si="20"/>
        <v>45869</v>
      </c>
    </row>
    <row r="187" spans="1:42" x14ac:dyDescent="0.25">
      <c r="A187">
        <v>48</v>
      </c>
      <c r="B187" t="s">
        <v>26</v>
      </c>
      <c r="C187">
        <v>1</v>
      </c>
      <c r="D187" t="s">
        <v>75</v>
      </c>
      <c r="E187" t="b">
        <v>0</v>
      </c>
      <c r="F187" s="1">
        <v>0.44583333333333336</v>
      </c>
      <c r="G187" s="1">
        <v>0.49791666666666667</v>
      </c>
      <c r="H187">
        <v>75</v>
      </c>
      <c r="I187" t="b">
        <v>1</v>
      </c>
      <c r="J187" t="b">
        <v>1</v>
      </c>
      <c r="K187" t="b">
        <v>1</v>
      </c>
      <c r="L187" t="s">
        <v>28</v>
      </c>
      <c r="M187">
        <v>50</v>
      </c>
      <c r="N187" t="s">
        <v>29</v>
      </c>
      <c r="O187">
        <v>50</v>
      </c>
      <c r="P187" t="s">
        <v>36</v>
      </c>
      <c r="Q187">
        <v>0</v>
      </c>
      <c r="R187">
        <v>50</v>
      </c>
      <c r="S187" t="s">
        <v>31</v>
      </c>
      <c r="T187" t="s">
        <v>32</v>
      </c>
      <c r="U187">
        <v>37.338200000000001</v>
      </c>
      <c r="V187">
        <v>-121.88630000000001</v>
      </c>
      <c r="W187" s="2">
        <v>45128</v>
      </c>
      <c r="X187">
        <v>5</v>
      </c>
      <c r="Y187" t="b">
        <v>1</v>
      </c>
      <c r="Z187" s="2">
        <v>45821</v>
      </c>
      <c r="AA187" t="str">
        <f t="shared" si="21"/>
        <v>40–49</v>
      </c>
      <c r="AB187" t="str">
        <f t="shared" si="22"/>
        <v>40–49</v>
      </c>
      <c r="AC187" t="str">
        <f t="shared" si="23"/>
        <v/>
      </c>
      <c r="AD187" t="str">
        <f t="shared" si="24"/>
        <v/>
      </c>
      <c r="AE187" t="str">
        <f t="shared" si="25"/>
        <v/>
      </c>
      <c r="AF187" t="str">
        <f t="shared" si="26"/>
        <v/>
      </c>
      <c r="AG187" t="str">
        <f t="shared" si="27"/>
        <v>Friday</v>
      </c>
      <c r="AH187" t="str">
        <f t="shared" si="28"/>
        <v/>
      </c>
      <c r="AI187" t="str">
        <f t="shared" si="29"/>
        <v/>
      </c>
      <c r="AJ187" t="str">
        <f>LEFT(Table1[[#This Row],[membership_type]],2)&amp;TEXT(Table1[[#This Row],[age]],"00")&amp;"-"&amp;TEXT(ROW(),"000")</f>
        <v>Pr48-187</v>
      </c>
      <c r="AK187" t="str">
        <f>LEFT(Table1[[#This Row],[membership_type]],1)&amp;TEXT(MATCH(Table1[[#This Row],[membership_type]],Table1[membership_type],0),"00")</f>
        <v>P01</v>
      </c>
      <c r="AL187" t="str">
        <f>LEFT(Table1[[#This Row],[discount_type]],1)&amp;TEXT(ROUND(Table1[[#This Row],[discount_rate]]*100,0),"00")</f>
        <v>N00</v>
      </c>
      <c r="AM187" t="str" cm="1">
        <f t="array" ref="AM187">TEXT(SUMPRODUCT(CODE(MID(Table1[[#This Row],[home_gym_location]],_xlfn.SEQUENCE(LEN(Table1[[#This Row],[home_gym_location]])),1))),"00000")</f>
        <v>00931</v>
      </c>
      <c r="AN1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7" t="str">
        <f>LEFT(_xlfn.TEXTBEFORE(Table1[[#This Row],[Location Identifier]],"-"),3) &amp; "-" &amp; _xlfn.TEXTAFTER(Table1[[#This Row],[Location Identifier]],"-")</f>
        <v>SAN-010</v>
      </c>
      <c r="AP187" s="9">
        <f t="shared" ca="1" si="20"/>
        <v>45869</v>
      </c>
    </row>
    <row r="188" spans="1:42" x14ac:dyDescent="0.25">
      <c r="A188">
        <v>15</v>
      </c>
      <c r="B188" t="s">
        <v>26</v>
      </c>
      <c r="C188">
        <v>3</v>
      </c>
      <c r="D188" t="s">
        <v>93</v>
      </c>
      <c r="E188" t="b">
        <v>0</v>
      </c>
      <c r="F188" s="1">
        <v>0.41319444444444442</v>
      </c>
      <c r="G188" s="1">
        <v>0.46319444444444446</v>
      </c>
      <c r="H188">
        <v>72</v>
      </c>
      <c r="I188" t="b">
        <v>1</v>
      </c>
      <c r="J188" t="b">
        <v>1</v>
      </c>
      <c r="K188" t="b">
        <v>1</v>
      </c>
      <c r="L188" t="s">
        <v>47</v>
      </c>
      <c r="M188">
        <v>50</v>
      </c>
      <c r="N188" t="s">
        <v>29</v>
      </c>
      <c r="O188">
        <v>50</v>
      </c>
      <c r="P188" t="s">
        <v>36</v>
      </c>
      <c r="Q188">
        <v>0</v>
      </c>
      <c r="R188">
        <v>50</v>
      </c>
      <c r="S188" t="s">
        <v>31</v>
      </c>
      <c r="T188" t="s">
        <v>32</v>
      </c>
      <c r="U188">
        <v>37.338200000000001</v>
      </c>
      <c r="V188">
        <v>-121.88630000000001</v>
      </c>
      <c r="W188" s="2">
        <v>44960</v>
      </c>
      <c r="X188">
        <v>5</v>
      </c>
      <c r="Y188" t="b">
        <v>1</v>
      </c>
      <c r="Z188" s="2">
        <v>45811</v>
      </c>
      <c r="AA188" t="str">
        <f t="shared" si="21"/>
        <v>10–19</v>
      </c>
      <c r="AB188" t="str">
        <f t="shared" si="22"/>
        <v>Under 16</v>
      </c>
      <c r="AC188" t="str">
        <f t="shared" si="23"/>
        <v>Monday</v>
      </c>
      <c r="AD188" t="str">
        <f t="shared" si="24"/>
        <v>Tuesday</v>
      </c>
      <c r="AE188" t="str">
        <f t="shared" si="25"/>
        <v/>
      </c>
      <c r="AF188" t="str">
        <f t="shared" si="26"/>
        <v>Thursday</v>
      </c>
      <c r="AG188" t="str">
        <f t="shared" si="27"/>
        <v/>
      </c>
      <c r="AH188" t="str">
        <f t="shared" si="28"/>
        <v/>
      </c>
      <c r="AI188" t="str">
        <f t="shared" si="29"/>
        <v/>
      </c>
      <c r="AJ188" t="str">
        <f>LEFT(Table1[[#This Row],[membership_type]],2)&amp;TEXT(Table1[[#This Row],[age]],"00")&amp;"-"&amp;TEXT(ROW(),"000")</f>
        <v>Pr15-188</v>
      </c>
      <c r="AK188" t="str">
        <f>LEFT(Table1[[#This Row],[membership_type]],1)&amp;TEXT(MATCH(Table1[[#This Row],[membership_type]],Table1[membership_type],0),"00")</f>
        <v>P01</v>
      </c>
      <c r="AL188" t="str">
        <f>LEFT(Table1[[#This Row],[discount_type]],1)&amp;TEXT(ROUND(Table1[[#This Row],[discount_rate]]*100,0),"00")</f>
        <v>N00</v>
      </c>
      <c r="AM188" t="str" cm="1">
        <f t="array" ref="AM188">TEXT(SUMPRODUCT(CODE(MID(Table1[[#This Row],[home_gym_location]],_xlfn.SEQUENCE(LEN(Table1[[#This Row],[home_gym_location]])),1))),"00000")</f>
        <v>00931</v>
      </c>
      <c r="AN18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8" t="str">
        <f>LEFT(_xlfn.TEXTBEFORE(Table1[[#This Row],[Location Identifier]],"-"),3) &amp; "-" &amp; _xlfn.TEXTAFTER(Table1[[#This Row],[Location Identifier]],"-")</f>
        <v>SAN-010</v>
      </c>
      <c r="AP188" s="9">
        <f t="shared" ca="1" si="20"/>
        <v>45869</v>
      </c>
    </row>
    <row r="189" spans="1:42" x14ac:dyDescent="0.25">
      <c r="A189">
        <v>28</v>
      </c>
      <c r="B189" t="s">
        <v>26</v>
      </c>
      <c r="C189">
        <v>5</v>
      </c>
      <c r="D189" t="s">
        <v>69</v>
      </c>
      <c r="E189" t="b">
        <v>1</v>
      </c>
      <c r="F189" s="1">
        <v>0.56319444444444444</v>
      </c>
      <c r="G189" s="1">
        <v>0.65208333333333335</v>
      </c>
      <c r="H189">
        <v>128</v>
      </c>
      <c r="I189" t="b">
        <v>0</v>
      </c>
      <c r="J189" t="b">
        <v>1</v>
      </c>
      <c r="K189" t="b">
        <v>1</v>
      </c>
      <c r="L189" t="s">
        <v>28</v>
      </c>
      <c r="M189">
        <v>50</v>
      </c>
      <c r="N189" t="s">
        <v>29</v>
      </c>
      <c r="O189">
        <v>50</v>
      </c>
      <c r="P189" t="s">
        <v>74</v>
      </c>
      <c r="Q189">
        <v>0.15</v>
      </c>
      <c r="R189">
        <v>42.5</v>
      </c>
      <c r="S189" t="s">
        <v>31</v>
      </c>
      <c r="T189" t="s">
        <v>38</v>
      </c>
      <c r="U189">
        <v>36.7378</v>
      </c>
      <c r="V189">
        <v>-119.7871</v>
      </c>
      <c r="W189" s="2">
        <v>45239</v>
      </c>
      <c r="X189">
        <v>2</v>
      </c>
      <c r="Y189" t="b">
        <v>1</v>
      </c>
      <c r="Z189" s="2">
        <v>45827</v>
      </c>
      <c r="AA189" t="str">
        <f t="shared" si="21"/>
        <v>20–29</v>
      </c>
      <c r="AB189" t="str">
        <f t="shared" si="22"/>
        <v>20–29</v>
      </c>
      <c r="AC189" t="str">
        <f t="shared" si="23"/>
        <v>Monday</v>
      </c>
      <c r="AD189" t="str">
        <f t="shared" si="24"/>
        <v/>
      </c>
      <c r="AE189" t="str">
        <f t="shared" si="25"/>
        <v>Wednesday</v>
      </c>
      <c r="AF189" t="str">
        <f t="shared" si="26"/>
        <v>Thursday</v>
      </c>
      <c r="AG189" t="str">
        <f t="shared" si="27"/>
        <v/>
      </c>
      <c r="AH189" t="str">
        <f t="shared" si="28"/>
        <v>Saturday</v>
      </c>
      <c r="AI189" t="str">
        <f t="shared" si="29"/>
        <v>Sunday</v>
      </c>
      <c r="AJ189" t="str">
        <f>LEFT(Table1[[#This Row],[membership_type]],2)&amp;TEXT(Table1[[#This Row],[age]],"00")&amp;"-"&amp;TEXT(ROW(),"000")</f>
        <v>Pr28-189</v>
      </c>
      <c r="AK189" t="str">
        <f>LEFT(Table1[[#This Row],[membership_type]],1)&amp;TEXT(MATCH(Table1[[#This Row],[membership_type]],Table1[membership_type],0),"00")</f>
        <v>P01</v>
      </c>
      <c r="AL189" t="str">
        <f>LEFT(Table1[[#This Row],[discount_type]],1)&amp;TEXT(ROUND(Table1[[#This Row],[discount_rate]]*100,0),"00")</f>
        <v>S15</v>
      </c>
      <c r="AM189" t="str" cm="1">
        <f t="array" ref="AM189">TEXT(SUMPRODUCT(CODE(MID(Table1[[#This Row],[home_gym_location]],_xlfn.SEQUENCE(LEN(Table1[[#This Row],[home_gym_location]])),1))),"00000")</f>
        <v>00829</v>
      </c>
      <c r="AN189" t="str">
        <f>UPPER(_xlfn.TEXTBEFORE(Table1[[#This Row],[home_gym_location]],","))&amp;"-"&amp;TEXT(MATCH(Table1[[#This Row],[home_gym_location]],_xlfn._xlws.SORT(_xlfn.UNIQUE(Table1[home_gym_location])),0),"000")</f>
        <v>FRESNO-003</v>
      </c>
      <c r="AO189" t="str">
        <f>LEFT(_xlfn.TEXTBEFORE(Table1[[#This Row],[Location Identifier]],"-"),3) &amp; "-" &amp; _xlfn.TEXTAFTER(Table1[[#This Row],[Location Identifier]],"-")</f>
        <v>FRE-003</v>
      </c>
      <c r="AP189" s="9">
        <f t="shared" ca="1" si="20"/>
        <v>45869</v>
      </c>
    </row>
    <row r="190" spans="1:42" x14ac:dyDescent="0.25">
      <c r="A190">
        <v>22</v>
      </c>
      <c r="B190" t="s">
        <v>26</v>
      </c>
      <c r="C190">
        <v>5</v>
      </c>
      <c r="D190" t="s">
        <v>66</v>
      </c>
      <c r="E190" t="b">
        <v>0</v>
      </c>
      <c r="F190" s="1">
        <v>0.57777777777777772</v>
      </c>
      <c r="G190" s="1">
        <v>0.61319444444444449</v>
      </c>
      <c r="H190">
        <v>51</v>
      </c>
      <c r="I190" t="b">
        <v>0</v>
      </c>
      <c r="J190" t="b">
        <v>0</v>
      </c>
      <c r="K190" t="b">
        <v>1</v>
      </c>
      <c r="L190" t="s">
        <v>62</v>
      </c>
      <c r="M190">
        <v>50</v>
      </c>
      <c r="N190" t="s">
        <v>29</v>
      </c>
      <c r="O190">
        <v>50</v>
      </c>
      <c r="P190" t="s">
        <v>40</v>
      </c>
      <c r="Q190">
        <v>0.1</v>
      </c>
      <c r="R190">
        <v>45</v>
      </c>
      <c r="S190" t="s">
        <v>31</v>
      </c>
      <c r="T190" t="s">
        <v>50</v>
      </c>
      <c r="U190">
        <v>34.052199999999999</v>
      </c>
      <c r="V190">
        <v>-118.2437</v>
      </c>
      <c r="W190" s="2">
        <v>45266</v>
      </c>
      <c r="X190">
        <v>0</v>
      </c>
      <c r="Y190" t="b">
        <v>0</v>
      </c>
      <c r="Z190" s="2">
        <v>45829</v>
      </c>
      <c r="AA190" t="str">
        <f t="shared" si="21"/>
        <v>20–29</v>
      </c>
      <c r="AB190" t="str">
        <f t="shared" si="22"/>
        <v>20–29</v>
      </c>
      <c r="AC190" t="str">
        <f t="shared" si="23"/>
        <v>Monday</v>
      </c>
      <c r="AD190" t="str">
        <f t="shared" si="24"/>
        <v>Tuesday</v>
      </c>
      <c r="AE190" t="str">
        <f t="shared" si="25"/>
        <v>Wednesday</v>
      </c>
      <c r="AF190" t="str">
        <f t="shared" si="26"/>
        <v/>
      </c>
      <c r="AG190" t="str">
        <f t="shared" si="27"/>
        <v>Friday</v>
      </c>
      <c r="AH190" t="str">
        <f t="shared" si="28"/>
        <v/>
      </c>
      <c r="AI190" t="str">
        <f t="shared" si="29"/>
        <v>Sunday</v>
      </c>
      <c r="AJ190" t="str">
        <f>LEFT(Table1[[#This Row],[membership_type]],2)&amp;TEXT(Table1[[#This Row],[age]],"00")&amp;"-"&amp;TEXT(ROW(),"000")</f>
        <v>Pr22-190</v>
      </c>
      <c r="AK190" t="str">
        <f>LEFT(Table1[[#This Row],[membership_type]],1)&amp;TEXT(MATCH(Table1[[#This Row],[membership_type]],Table1[membership_type],0),"00")</f>
        <v>P01</v>
      </c>
      <c r="AL190" t="str">
        <f>LEFT(Table1[[#This Row],[discount_type]],1)&amp;TEXT(ROUND(Table1[[#This Row],[discount_rate]]*100,0),"00")</f>
        <v>L10</v>
      </c>
      <c r="AM190" t="str" cm="1">
        <f t="array" ref="AM190">TEXT(SUMPRODUCT(CODE(MID(Table1[[#This Row],[home_gym_location]],_xlfn.SEQUENCE(LEN(Table1[[#This Row],[home_gym_location]])),1))),"00000")</f>
        <v>01245</v>
      </c>
      <c r="AN19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0" t="str">
        <f>LEFT(_xlfn.TEXTBEFORE(Table1[[#This Row],[Location Identifier]],"-"),3) &amp; "-" &amp; _xlfn.TEXTAFTER(Table1[[#This Row],[Location Identifier]],"-")</f>
        <v>LOS-005</v>
      </c>
      <c r="AP190" s="9">
        <f t="shared" ca="1" si="20"/>
        <v>45869</v>
      </c>
    </row>
    <row r="191" spans="1:42" x14ac:dyDescent="0.25">
      <c r="A191">
        <v>18</v>
      </c>
      <c r="B191" t="s">
        <v>33</v>
      </c>
      <c r="C191">
        <v>2</v>
      </c>
      <c r="D191" t="s">
        <v>108</v>
      </c>
      <c r="E191" t="b">
        <v>0</v>
      </c>
      <c r="F191" s="1">
        <v>0.69513888888888886</v>
      </c>
      <c r="G191" s="1">
        <v>0.79166666666666663</v>
      </c>
      <c r="H191">
        <v>139</v>
      </c>
      <c r="I191" t="b">
        <v>1</v>
      </c>
      <c r="J191" t="b">
        <v>0</v>
      </c>
      <c r="K191" t="b">
        <v>0</v>
      </c>
      <c r="L191" t="s">
        <v>62</v>
      </c>
      <c r="M191">
        <v>30</v>
      </c>
      <c r="N191" t="s">
        <v>64</v>
      </c>
      <c r="O191">
        <v>22.5</v>
      </c>
      <c r="P191" t="s">
        <v>36</v>
      </c>
      <c r="Q191">
        <v>0</v>
      </c>
      <c r="R191">
        <v>22.5</v>
      </c>
      <c r="S191" t="s">
        <v>37</v>
      </c>
      <c r="T191" t="s">
        <v>56</v>
      </c>
      <c r="U191">
        <v>35.3733</v>
      </c>
      <c r="V191">
        <v>-119.0187</v>
      </c>
      <c r="W191" s="2">
        <v>45573</v>
      </c>
      <c r="X191">
        <v>0</v>
      </c>
      <c r="Y191" t="b">
        <v>1</v>
      </c>
      <c r="Z191" s="2">
        <v>45846</v>
      </c>
      <c r="AA191" t="str">
        <f t="shared" si="21"/>
        <v>10–19</v>
      </c>
      <c r="AB191" t="str">
        <f t="shared" si="22"/>
        <v>16–19</v>
      </c>
      <c r="AC191" t="str">
        <f t="shared" si="23"/>
        <v/>
      </c>
      <c r="AD191" t="str">
        <f t="shared" si="24"/>
        <v>Tuesday</v>
      </c>
      <c r="AE191" t="str">
        <f t="shared" si="25"/>
        <v/>
      </c>
      <c r="AF191" t="str">
        <f t="shared" si="26"/>
        <v>Thursday</v>
      </c>
      <c r="AG191" t="str">
        <f t="shared" si="27"/>
        <v/>
      </c>
      <c r="AH191" t="str">
        <f t="shared" si="28"/>
        <v/>
      </c>
      <c r="AI191" t="str">
        <f t="shared" si="29"/>
        <v/>
      </c>
      <c r="AJ191" t="str">
        <f>LEFT(Table1[[#This Row],[membership_type]],2)&amp;TEXT(Table1[[#This Row],[age]],"00")&amp;"-"&amp;TEXT(ROW(),"000")</f>
        <v>St18-191</v>
      </c>
      <c r="AK191" t="str">
        <f>LEFT(Table1[[#This Row],[membership_type]],1)&amp;TEXT(MATCH(Table1[[#This Row],[membership_type]],Table1[membership_type],0),"00")</f>
        <v>S02</v>
      </c>
      <c r="AL191" t="str">
        <f>LEFT(Table1[[#This Row],[discount_type]],1)&amp;TEXT(ROUND(Table1[[#This Row],[discount_rate]]*100,0),"00")</f>
        <v>N00</v>
      </c>
      <c r="AM191" t="str" cm="1">
        <f t="array" ref="AM191">TEXT(SUMPRODUCT(CODE(MID(Table1[[#This Row],[home_gym_location]],_xlfn.SEQUENCE(LEN(Table1[[#This Row],[home_gym_location]])),1))),"00000")</f>
        <v>01324</v>
      </c>
      <c r="AN19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1" t="str">
        <f>LEFT(_xlfn.TEXTBEFORE(Table1[[#This Row],[Location Identifier]],"-"),3) &amp; "-" &amp; _xlfn.TEXTAFTER(Table1[[#This Row],[Location Identifier]],"-")</f>
        <v>BAK-002</v>
      </c>
      <c r="AP191" s="9">
        <f t="shared" ca="1" si="20"/>
        <v>45869</v>
      </c>
    </row>
    <row r="192" spans="1:42" x14ac:dyDescent="0.25">
      <c r="A192">
        <v>23</v>
      </c>
      <c r="B192" t="s">
        <v>26</v>
      </c>
      <c r="C192">
        <v>3</v>
      </c>
      <c r="D192" t="s">
        <v>128</v>
      </c>
      <c r="E192" t="b">
        <v>0</v>
      </c>
      <c r="F192" s="1">
        <v>0.41388888888888886</v>
      </c>
      <c r="G192" s="1">
        <v>0.47222222222222221</v>
      </c>
      <c r="H192">
        <v>84</v>
      </c>
      <c r="I192" t="b">
        <v>1</v>
      </c>
      <c r="J192" t="b">
        <v>1</v>
      </c>
      <c r="K192" t="b">
        <v>0</v>
      </c>
      <c r="L192" t="s">
        <v>62</v>
      </c>
      <c r="M192">
        <v>50</v>
      </c>
      <c r="N192" t="s">
        <v>29</v>
      </c>
      <c r="O192">
        <v>50</v>
      </c>
      <c r="P192" t="s">
        <v>74</v>
      </c>
      <c r="Q192">
        <v>0.15</v>
      </c>
      <c r="R192">
        <v>42.5</v>
      </c>
      <c r="S192" t="s">
        <v>31</v>
      </c>
      <c r="T192" t="s">
        <v>38</v>
      </c>
      <c r="U192">
        <v>36.7378</v>
      </c>
      <c r="V192">
        <v>-119.7871</v>
      </c>
      <c r="W192" s="2">
        <v>45731</v>
      </c>
      <c r="X192">
        <v>6</v>
      </c>
      <c r="Y192" t="b">
        <v>1</v>
      </c>
      <c r="Z192" s="2">
        <v>45855</v>
      </c>
      <c r="AA192" t="str">
        <f t="shared" si="21"/>
        <v>20–29</v>
      </c>
      <c r="AB192" t="str">
        <f t="shared" si="22"/>
        <v>20–29</v>
      </c>
      <c r="AC192" t="str">
        <f t="shared" si="23"/>
        <v>Monday</v>
      </c>
      <c r="AD192" t="str">
        <f t="shared" si="24"/>
        <v/>
      </c>
      <c r="AE192" t="str">
        <f t="shared" si="25"/>
        <v/>
      </c>
      <c r="AF192" t="str">
        <f t="shared" si="26"/>
        <v>Thursday</v>
      </c>
      <c r="AG192" t="str">
        <f t="shared" si="27"/>
        <v/>
      </c>
      <c r="AH192" t="str">
        <f t="shared" si="28"/>
        <v/>
      </c>
      <c r="AI192" t="str">
        <f t="shared" si="29"/>
        <v>Sunday</v>
      </c>
      <c r="AJ192" t="str">
        <f>LEFT(Table1[[#This Row],[membership_type]],2)&amp;TEXT(Table1[[#This Row],[age]],"00")&amp;"-"&amp;TEXT(ROW(),"000")</f>
        <v>Pr23-192</v>
      </c>
      <c r="AK192" t="str">
        <f>LEFT(Table1[[#This Row],[membership_type]],1)&amp;TEXT(MATCH(Table1[[#This Row],[membership_type]],Table1[membership_type],0),"00")</f>
        <v>P01</v>
      </c>
      <c r="AL192" t="str">
        <f>LEFT(Table1[[#This Row],[discount_type]],1)&amp;TEXT(ROUND(Table1[[#This Row],[discount_rate]]*100,0),"00")</f>
        <v>S15</v>
      </c>
      <c r="AM192" t="str" cm="1">
        <f t="array" ref="AM192">TEXT(SUMPRODUCT(CODE(MID(Table1[[#This Row],[home_gym_location]],_xlfn.SEQUENCE(LEN(Table1[[#This Row],[home_gym_location]])),1))),"00000")</f>
        <v>00829</v>
      </c>
      <c r="AN192" t="str">
        <f>UPPER(_xlfn.TEXTBEFORE(Table1[[#This Row],[home_gym_location]],","))&amp;"-"&amp;TEXT(MATCH(Table1[[#This Row],[home_gym_location]],_xlfn._xlws.SORT(_xlfn.UNIQUE(Table1[home_gym_location])),0),"000")</f>
        <v>FRESNO-003</v>
      </c>
      <c r="AO192" t="str">
        <f>LEFT(_xlfn.TEXTBEFORE(Table1[[#This Row],[Location Identifier]],"-"),3) &amp; "-" &amp; _xlfn.TEXTAFTER(Table1[[#This Row],[Location Identifier]],"-")</f>
        <v>FRE-003</v>
      </c>
      <c r="AP192" s="9">
        <f t="shared" ca="1" si="20"/>
        <v>45869</v>
      </c>
    </row>
    <row r="193" spans="1:42" x14ac:dyDescent="0.25">
      <c r="A193">
        <v>44</v>
      </c>
      <c r="B193" t="s">
        <v>26</v>
      </c>
      <c r="C193">
        <v>4</v>
      </c>
      <c r="D193" t="s">
        <v>105</v>
      </c>
      <c r="E193" t="b">
        <v>1</v>
      </c>
      <c r="F193" s="1">
        <v>0.79791666666666672</v>
      </c>
      <c r="G193" s="1">
        <v>0.91319444444444442</v>
      </c>
      <c r="H193">
        <v>166</v>
      </c>
      <c r="I193" t="b">
        <v>1</v>
      </c>
      <c r="J193" t="b">
        <v>0</v>
      </c>
      <c r="K193" t="b">
        <v>1</v>
      </c>
      <c r="L193" t="s">
        <v>62</v>
      </c>
      <c r="M193">
        <v>50</v>
      </c>
      <c r="N193" t="s">
        <v>29</v>
      </c>
      <c r="O193">
        <v>50</v>
      </c>
      <c r="P193" t="s">
        <v>40</v>
      </c>
      <c r="Q193">
        <v>0.1</v>
      </c>
      <c r="R193">
        <v>45</v>
      </c>
      <c r="S193" t="s">
        <v>31</v>
      </c>
      <c r="T193" t="s">
        <v>32</v>
      </c>
      <c r="U193">
        <v>37.338200000000001</v>
      </c>
      <c r="V193">
        <v>-121.88630000000001</v>
      </c>
      <c r="W193" s="2">
        <v>44875</v>
      </c>
      <c r="X193">
        <v>0</v>
      </c>
      <c r="Y193" t="b">
        <v>1</v>
      </c>
      <c r="Z193" s="2">
        <v>45807</v>
      </c>
      <c r="AA193" t="str">
        <f t="shared" si="21"/>
        <v>40–49</v>
      </c>
      <c r="AB193" t="str">
        <f t="shared" si="22"/>
        <v>40–49</v>
      </c>
      <c r="AC193" t="str">
        <f t="shared" si="23"/>
        <v>Monday</v>
      </c>
      <c r="AD193" t="str">
        <f t="shared" si="24"/>
        <v>Tuesday</v>
      </c>
      <c r="AE193" t="str">
        <f t="shared" si="25"/>
        <v>Wednesday</v>
      </c>
      <c r="AF193" t="str">
        <f t="shared" si="26"/>
        <v>Thursday</v>
      </c>
      <c r="AG193" t="str">
        <f t="shared" si="27"/>
        <v/>
      </c>
      <c r="AH193" t="str">
        <f t="shared" si="28"/>
        <v/>
      </c>
      <c r="AI193" t="str">
        <f t="shared" si="29"/>
        <v/>
      </c>
      <c r="AJ193" t="str">
        <f>LEFT(Table1[[#This Row],[membership_type]],2)&amp;TEXT(Table1[[#This Row],[age]],"00")&amp;"-"&amp;TEXT(ROW(),"000")</f>
        <v>Pr44-193</v>
      </c>
      <c r="AK193" t="str">
        <f>LEFT(Table1[[#This Row],[membership_type]],1)&amp;TEXT(MATCH(Table1[[#This Row],[membership_type]],Table1[membership_type],0),"00")</f>
        <v>P01</v>
      </c>
      <c r="AL193" t="str">
        <f>LEFT(Table1[[#This Row],[discount_type]],1)&amp;TEXT(ROUND(Table1[[#This Row],[discount_rate]]*100,0),"00")</f>
        <v>L10</v>
      </c>
      <c r="AM193" t="str" cm="1">
        <f t="array" ref="AM193">TEXT(SUMPRODUCT(CODE(MID(Table1[[#This Row],[home_gym_location]],_xlfn.SEQUENCE(LEN(Table1[[#This Row],[home_gym_location]])),1))),"00000")</f>
        <v>00931</v>
      </c>
      <c r="AN19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3" t="str">
        <f>LEFT(_xlfn.TEXTBEFORE(Table1[[#This Row],[Location Identifier]],"-"),3) &amp; "-" &amp; _xlfn.TEXTAFTER(Table1[[#This Row],[Location Identifier]],"-")</f>
        <v>SAN-010</v>
      </c>
      <c r="AP193" s="9">
        <f t="shared" ca="1" si="20"/>
        <v>45869</v>
      </c>
    </row>
    <row r="194" spans="1:42" x14ac:dyDescent="0.25">
      <c r="A194">
        <v>36</v>
      </c>
      <c r="B194" t="s">
        <v>51</v>
      </c>
      <c r="C194">
        <v>4</v>
      </c>
      <c r="D194" t="s">
        <v>105</v>
      </c>
      <c r="E194" t="b">
        <v>1</v>
      </c>
      <c r="F194" s="1">
        <v>0.72777777777777775</v>
      </c>
      <c r="G194" s="1">
        <v>0.77013888888888893</v>
      </c>
      <c r="H194">
        <v>61</v>
      </c>
      <c r="I194" t="b">
        <v>0</v>
      </c>
      <c r="J194" t="b">
        <v>0</v>
      </c>
      <c r="K194" t="b">
        <v>0</v>
      </c>
      <c r="L194" t="s">
        <v>28</v>
      </c>
      <c r="M194">
        <v>70</v>
      </c>
      <c r="N194" t="s">
        <v>29</v>
      </c>
      <c r="O194">
        <v>70</v>
      </c>
      <c r="P194" t="s">
        <v>36</v>
      </c>
      <c r="Q194">
        <v>0</v>
      </c>
      <c r="R194">
        <v>70</v>
      </c>
      <c r="S194" t="s">
        <v>53</v>
      </c>
      <c r="T194" t="s">
        <v>54</v>
      </c>
      <c r="U194">
        <v>32.715699999999998</v>
      </c>
      <c r="V194">
        <v>-117.1611</v>
      </c>
      <c r="W194" s="2">
        <v>44872</v>
      </c>
      <c r="X194">
        <v>0</v>
      </c>
      <c r="Y194" t="b">
        <v>1</v>
      </c>
      <c r="Z194" s="2">
        <v>45806</v>
      </c>
      <c r="AA194" t="str">
        <f t="shared" si="21"/>
        <v>30–39</v>
      </c>
      <c r="AB194" t="str">
        <f t="shared" si="22"/>
        <v>30–39</v>
      </c>
      <c r="AC194" t="str">
        <f t="shared" si="23"/>
        <v>Monday</v>
      </c>
      <c r="AD194" t="str">
        <f t="shared" si="24"/>
        <v>Tuesday</v>
      </c>
      <c r="AE194" t="str">
        <f t="shared" si="25"/>
        <v>Wednesday</v>
      </c>
      <c r="AF194" t="str">
        <f t="shared" si="26"/>
        <v>Thursday</v>
      </c>
      <c r="AG194" t="str">
        <f t="shared" si="27"/>
        <v/>
      </c>
      <c r="AH194" t="str">
        <f t="shared" si="28"/>
        <v/>
      </c>
      <c r="AI194" t="str">
        <f t="shared" si="29"/>
        <v/>
      </c>
      <c r="AJ194" t="str">
        <f>LEFT(Table1[[#This Row],[membership_type]],2)&amp;TEXT(Table1[[#This Row],[age]],"00")&amp;"-"&amp;TEXT(ROW(),"000")</f>
        <v>El36-194</v>
      </c>
      <c r="AK194" t="str">
        <f>LEFT(Table1[[#This Row],[membership_type]],1)&amp;TEXT(MATCH(Table1[[#This Row],[membership_type]],Table1[membership_type],0),"00")</f>
        <v>E07</v>
      </c>
      <c r="AL194" t="str">
        <f>LEFT(Table1[[#This Row],[discount_type]],1)&amp;TEXT(ROUND(Table1[[#This Row],[discount_rate]]*100,0),"00")</f>
        <v>N00</v>
      </c>
      <c r="AM194" t="str" cm="1">
        <f t="array" ref="AM194">TEXT(SUMPRODUCT(CODE(MID(Table1[[#This Row],[home_gym_location]],_xlfn.SEQUENCE(LEN(Table1[[#This Row],[home_gym_location]])),1))),"00000")</f>
        <v>01018</v>
      </c>
      <c r="AN19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4" t="str">
        <f>LEFT(_xlfn.TEXTBEFORE(Table1[[#This Row],[Location Identifier]],"-"),3) &amp; "-" &amp; _xlfn.TEXTAFTER(Table1[[#This Row],[Location Identifier]],"-")</f>
        <v>SAN-008</v>
      </c>
      <c r="AP194" s="9">
        <f t="shared" ref="AP194:AP257" ca="1" si="30">EOMONTH(DATE(YEAR(TODAY()),7,1),0)</f>
        <v>45869</v>
      </c>
    </row>
    <row r="195" spans="1:42" x14ac:dyDescent="0.25">
      <c r="A195">
        <v>40</v>
      </c>
      <c r="B195" t="s">
        <v>42</v>
      </c>
      <c r="C195">
        <v>1</v>
      </c>
      <c r="D195" t="s">
        <v>49</v>
      </c>
      <c r="E195" t="b">
        <v>1</v>
      </c>
      <c r="F195" s="1">
        <v>0.66874999999999996</v>
      </c>
      <c r="G195" s="1">
        <v>0.74236111111111114</v>
      </c>
      <c r="H195">
        <v>106</v>
      </c>
      <c r="I195" t="b">
        <v>0</v>
      </c>
      <c r="J195" t="b">
        <v>0</v>
      </c>
      <c r="K195" t="b">
        <v>1</v>
      </c>
      <c r="L195" t="s">
        <v>28</v>
      </c>
      <c r="M195">
        <v>20</v>
      </c>
      <c r="N195" t="s">
        <v>64</v>
      </c>
      <c r="O195">
        <v>15</v>
      </c>
      <c r="P195" t="s">
        <v>36</v>
      </c>
      <c r="Q195">
        <v>0</v>
      </c>
      <c r="R195">
        <v>15</v>
      </c>
      <c r="S195" t="s">
        <v>44</v>
      </c>
      <c r="T195" t="s">
        <v>38</v>
      </c>
      <c r="U195">
        <v>36.7378</v>
      </c>
      <c r="V195">
        <v>-119.7871</v>
      </c>
      <c r="W195" s="2">
        <v>45156</v>
      </c>
      <c r="X195">
        <v>0</v>
      </c>
      <c r="Y195" t="b">
        <v>0</v>
      </c>
      <c r="Z195" s="2">
        <v>45823</v>
      </c>
      <c r="AA195" t="str">
        <f t="shared" ref="AA195:AA258" si="31">TEXT(10*INT($A195/10),"0")&amp;"–"&amp;TEXT(10*INT($A195/10)+9,"0")</f>
        <v>40–49</v>
      </c>
      <c r="AB195" t="str">
        <f t="shared" ref="AB195:AB258" si="32">IF(AND($AA195 = "10–19", $A195 &lt; 16), "Under 16", IF(AND($AA195 = "10–19", $A195 &gt;= 16), "16–19", $AA195))</f>
        <v>40–49</v>
      </c>
      <c r="AC195" t="str">
        <f t="shared" ref="AC195:AC258" si="33">IF(ISNUMBER(SEARCH("Mon", $D195)), "Monday", "")</f>
        <v/>
      </c>
      <c r="AD195" t="str">
        <f t="shared" ref="AD195:AD258" si="34">IF(ISNUMBER(SEARCH("Tue", $D195)), "Tuesday", "")</f>
        <v/>
      </c>
      <c r="AE195" t="str">
        <f t="shared" ref="AE195:AE258" si="35">IF(ISNUMBER(SEARCH("Wed", $D195)), "Wednesday", "")</f>
        <v/>
      </c>
      <c r="AF195" t="str">
        <f t="shared" ref="AF195:AF258" si="36">IF(ISNUMBER(SEARCH("Thu", $D195)), "Thursday", "")</f>
        <v/>
      </c>
      <c r="AG195" t="str">
        <f t="shared" ref="AG195:AG258" si="37">IF(ISNUMBER(SEARCH("Fri", $D195)), "Friday", "")</f>
        <v/>
      </c>
      <c r="AH195" t="str">
        <f t="shared" ref="AH195:AH258" si="38">IF(ISNUMBER(SEARCH("Sat", $D195)), "Saturday", "")</f>
        <v/>
      </c>
      <c r="AI195" t="str">
        <f t="shared" ref="AI195:AI258" si="39">IF(ISNUMBER(SEARCH("Sun", $D195)), "Sunday", "")</f>
        <v>Sunday</v>
      </c>
      <c r="AJ195" t="str">
        <f>LEFT(Table1[[#This Row],[membership_type]],2)&amp;TEXT(Table1[[#This Row],[age]],"00")&amp;"-"&amp;TEXT(ROW(),"000")</f>
        <v>Ba40-195</v>
      </c>
      <c r="AK195" t="str">
        <f>LEFT(Table1[[#This Row],[membership_type]],1)&amp;TEXT(MATCH(Table1[[#This Row],[membership_type]],Table1[membership_type],0),"00")</f>
        <v>B04</v>
      </c>
      <c r="AL195" t="str">
        <f>LEFT(Table1[[#This Row],[discount_type]],1)&amp;TEXT(ROUND(Table1[[#This Row],[discount_rate]]*100,0),"00")</f>
        <v>N00</v>
      </c>
      <c r="AM195" t="str" cm="1">
        <f t="array" ref="AM195">TEXT(SUMPRODUCT(CODE(MID(Table1[[#This Row],[home_gym_location]],_xlfn.SEQUENCE(LEN(Table1[[#This Row],[home_gym_location]])),1))),"00000")</f>
        <v>00829</v>
      </c>
      <c r="AN195" t="str">
        <f>UPPER(_xlfn.TEXTBEFORE(Table1[[#This Row],[home_gym_location]],","))&amp;"-"&amp;TEXT(MATCH(Table1[[#This Row],[home_gym_location]],_xlfn._xlws.SORT(_xlfn.UNIQUE(Table1[home_gym_location])),0),"000")</f>
        <v>FRESNO-003</v>
      </c>
      <c r="AO195" t="str">
        <f>LEFT(_xlfn.TEXTBEFORE(Table1[[#This Row],[Location Identifier]],"-"),3) &amp; "-" &amp; _xlfn.TEXTAFTER(Table1[[#This Row],[Location Identifier]],"-")</f>
        <v>FRE-003</v>
      </c>
      <c r="AP195" s="9">
        <f t="shared" ca="1" si="30"/>
        <v>45869</v>
      </c>
    </row>
    <row r="196" spans="1:42" x14ac:dyDescent="0.25">
      <c r="A196">
        <v>17</v>
      </c>
      <c r="B196" t="s">
        <v>42</v>
      </c>
      <c r="C196">
        <v>2</v>
      </c>
      <c r="D196" t="s">
        <v>96</v>
      </c>
      <c r="E196" t="b">
        <v>1</v>
      </c>
      <c r="F196" s="1">
        <v>0.70694444444444449</v>
      </c>
      <c r="G196" s="1">
        <v>0.81944444444444442</v>
      </c>
      <c r="H196">
        <v>162</v>
      </c>
      <c r="I196" t="b">
        <v>1</v>
      </c>
      <c r="J196" t="b">
        <v>0</v>
      </c>
      <c r="K196" t="b">
        <v>1</v>
      </c>
      <c r="L196" t="s">
        <v>47</v>
      </c>
      <c r="M196">
        <v>20</v>
      </c>
      <c r="N196" t="s">
        <v>29</v>
      </c>
      <c r="O196">
        <v>20</v>
      </c>
      <c r="P196" t="s">
        <v>36</v>
      </c>
      <c r="Q196">
        <v>0</v>
      </c>
      <c r="R196">
        <v>20</v>
      </c>
      <c r="S196" t="s">
        <v>44</v>
      </c>
      <c r="T196" t="s">
        <v>65</v>
      </c>
      <c r="U196">
        <v>33.770099999999999</v>
      </c>
      <c r="V196">
        <v>-118.19370000000001</v>
      </c>
      <c r="W196" s="2">
        <v>45469</v>
      </c>
      <c r="X196">
        <v>0</v>
      </c>
      <c r="Y196" t="b">
        <v>0</v>
      </c>
      <c r="Z196" s="2">
        <v>45840</v>
      </c>
      <c r="AA196" t="str">
        <f t="shared" si="31"/>
        <v>10–19</v>
      </c>
      <c r="AB196" t="str">
        <f t="shared" si="32"/>
        <v>16–19</v>
      </c>
      <c r="AC196" t="str">
        <f t="shared" si="33"/>
        <v/>
      </c>
      <c r="AD196" t="str">
        <f t="shared" si="34"/>
        <v/>
      </c>
      <c r="AE196" t="str">
        <f t="shared" si="35"/>
        <v/>
      </c>
      <c r="AF196" t="str">
        <f t="shared" si="36"/>
        <v>Thursday</v>
      </c>
      <c r="AG196" t="str">
        <f t="shared" si="37"/>
        <v>Friday</v>
      </c>
      <c r="AH196" t="str">
        <f t="shared" si="38"/>
        <v/>
      </c>
      <c r="AI196" t="str">
        <f t="shared" si="39"/>
        <v/>
      </c>
      <c r="AJ196" t="str">
        <f>LEFT(Table1[[#This Row],[membership_type]],2)&amp;TEXT(Table1[[#This Row],[age]],"00")&amp;"-"&amp;TEXT(ROW(),"000")</f>
        <v>Ba17-196</v>
      </c>
      <c r="AK196" t="str">
        <f>LEFT(Table1[[#This Row],[membership_type]],1)&amp;TEXT(MATCH(Table1[[#This Row],[membership_type]],Table1[membership_type],0),"00")</f>
        <v>B04</v>
      </c>
      <c r="AL196" t="str">
        <f>LEFT(Table1[[#This Row],[discount_type]],1)&amp;TEXT(ROUND(Table1[[#This Row],[discount_rate]]*100,0),"00")</f>
        <v>N00</v>
      </c>
      <c r="AM196" t="str" cm="1">
        <f t="array" ref="AM196">TEXT(SUMPRODUCT(CODE(MID(Table1[[#This Row],[home_gym_location]],_xlfn.SEQUENCE(LEN(Table1[[#This Row],[home_gym_location]])),1))),"00000")</f>
        <v>01107</v>
      </c>
      <c r="AN19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6" t="str">
        <f>LEFT(_xlfn.TEXTBEFORE(Table1[[#This Row],[Location Identifier]],"-"),3) &amp; "-" &amp; _xlfn.TEXTAFTER(Table1[[#This Row],[Location Identifier]],"-")</f>
        <v>LON-004</v>
      </c>
      <c r="AP196" s="9">
        <f t="shared" ca="1" si="30"/>
        <v>45869</v>
      </c>
    </row>
    <row r="197" spans="1:42" x14ac:dyDescent="0.25">
      <c r="A197">
        <v>37</v>
      </c>
      <c r="B197" t="s">
        <v>26</v>
      </c>
      <c r="C197">
        <v>1</v>
      </c>
      <c r="D197" t="s">
        <v>49</v>
      </c>
      <c r="E197" t="b">
        <v>0</v>
      </c>
      <c r="F197" s="1">
        <v>0.69374999999999998</v>
      </c>
      <c r="G197" s="1">
        <v>0.79513888888888884</v>
      </c>
      <c r="H197">
        <v>146</v>
      </c>
      <c r="I197" t="b">
        <v>1</v>
      </c>
      <c r="J197" t="b">
        <v>1</v>
      </c>
      <c r="K197" t="b">
        <v>0</v>
      </c>
      <c r="L197" t="s">
        <v>62</v>
      </c>
      <c r="M197">
        <v>50</v>
      </c>
      <c r="N197" t="s">
        <v>64</v>
      </c>
      <c r="O197">
        <v>37.5</v>
      </c>
      <c r="P197" t="s">
        <v>74</v>
      </c>
      <c r="Q197">
        <v>0.15</v>
      </c>
      <c r="R197">
        <v>31.875</v>
      </c>
      <c r="S197" t="s">
        <v>31</v>
      </c>
      <c r="T197" t="s">
        <v>38</v>
      </c>
      <c r="U197">
        <v>36.7378</v>
      </c>
      <c r="V197">
        <v>-119.7871</v>
      </c>
      <c r="W197" s="2">
        <v>45459</v>
      </c>
      <c r="X197">
        <v>8</v>
      </c>
      <c r="Y197" t="b">
        <v>1</v>
      </c>
      <c r="Z197" s="2">
        <v>45840</v>
      </c>
      <c r="AA197" t="str">
        <f t="shared" si="31"/>
        <v>30–39</v>
      </c>
      <c r="AB197" t="str">
        <f t="shared" si="32"/>
        <v>30–39</v>
      </c>
      <c r="AC197" t="str">
        <f t="shared" si="33"/>
        <v/>
      </c>
      <c r="AD197" t="str">
        <f t="shared" si="34"/>
        <v/>
      </c>
      <c r="AE197" t="str">
        <f t="shared" si="35"/>
        <v/>
      </c>
      <c r="AF197" t="str">
        <f t="shared" si="36"/>
        <v/>
      </c>
      <c r="AG197" t="str">
        <f t="shared" si="37"/>
        <v/>
      </c>
      <c r="AH197" t="str">
        <f t="shared" si="38"/>
        <v/>
      </c>
      <c r="AI197" t="str">
        <f t="shared" si="39"/>
        <v>Sunday</v>
      </c>
      <c r="AJ197" t="str">
        <f>LEFT(Table1[[#This Row],[membership_type]],2)&amp;TEXT(Table1[[#This Row],[age]],"00")&amp;"-"&amp;TEXT(ROW(),"000")</f>
        <v>Pr37-197</v>
      </c>
      <c r="AK197" t="str">
        <f>LEFT(Table1[[#This Row],[membership_type]],1)&amp;TEXT(MATCH(Table1[[#This Row],[membership_type]],Table1[membership_type],0),"00")</f>
        <v>P01</v>
      </c>
      <c r="AL197" t="str">
        <f>LEFT(Table1[[#This Row],[discount_type]],1)&amp;TEXT(ROUND(Table1[[#This Row],[discount_rate]]*100,0),"00")</f>
        <v>S15</v>
      </c>
      <c r="AM197" t="str" cm="1">
        <f t="array" ref="AM197">TEXT(SUMPRODUCT(CODE(MID(Table1[[#This Row],[home_gym_location]],_xlfn.SEQUENCE(LEN(Table1[[#This Row],[home_gym_location]])),1))),"00000")</f>
        <v>00829</v>
      </c>
      <c r="AN197" t="str">
        <f>UPPER(_xlfn.TEXTBEFORE(Table1[[#This Row],[home_gym_location]],","))&amp;"-"&amp;TEXT(MATCH(Table1[[#This Row],[home_gym_location]],_xlfn._xlws.SORT(_xlfn.UNIQUE(Table1[home_gym_location])),0),"000")</f>
        <v>FRESNO-003</v>
      </c>
      <c r="AO197" t="str">
        <f>LEFT(_xlfn.TEXTBEFORE(Table1[[#This Row],[Location Identifier]],"-"),3) &amp; "-" &amp; _xlfn.TEXTAFTER(Table1[[#This Row],[Location Identifier]],"-")</f>
        <v>FRE-003</v>
      </c>
      <c r="AP197" s="9">
        <f t="shared" ca="1" si="30"/>
        <v>45869</v>
      </c>
    </row>
    <row r="198" spans="1:42" x14ac:dyDescent="0.25">
      <c r="A198">
        <v>26</v>
      </c>
      <c r="B198" t="s">
        <v>26</v>
      </c>
      <c r="C198">
        <v>2</v>
      </c>
      <c r="D198" t="s">
        <v>101</v>
      </c>
      <c r="E198" t="b">
        <v>0</v>
      </c>
      <c r="F198" s="1">
        <v>0.34652777777777777</v>
      </c>
      <c r="G198" s="1">
        <v>0.44791666666666669</v>
      </c>
      <c r="H198">
        <v>146</v>
      </c>
      <c r="I198" t="b">
        <v>0</v>
      </c>
      <c r="J198" t="b">
        <v>1</v>
      </c>
      <c r="K198" t="b">
        <v>0</v>
      </c>
      <c r="L198" t="s">
        <v>62</v>
      </c>
      <c r="M198">
        <v>50</v>
      </c>
      <c r="N198" t="s">
        <v>78</v>
      </c>
      <c r="O198">
        <v>45</v>
      </c>
      <c r="P198" t="s">
        <v>36</v>
      </c>
      <c r="Q198">
        <v>0</v>
      </c>
      <c r="R198">
        <v>45</v>
      </c>
      <c r="S198" t="s">
        <v>31</v>
      </c>
      <c r="T198" t="s">
        <v>38</v>
      </c>
      <c r="U198">
        <v>36.7378</v>
      </c>
      <c r="V198">
        <v>-119.7871</v>
      </c>
      <c r="W198" s="2">
        <v>45057</v>
      </c>
      <c r="X198">
        <v>1</v>
      </c>
      <c r="Y198" t="b">
        <v>1</v>
      </c>
      <c r="Z198" s="2">
        <v>45817</v>
      </c>
      <c r="AA198" t="str">
        <f t="shared" si="31"/>
        <v>20–29</v>
      </c>
      <c r="AB198" t="str">
        <f t="shared" si="32"/>
        <v>20–29</v>
      </c>
      <c r="AC198" t="str">
        <f t="shared" si="33"/>
        <v>Monday</v>
      </c>
      <c r="AD198" t="str">
        <f t="shared" si="34"/>
        <v/>
      </c>
      <c r="AE198" t="str">
        <f t="shared" si="35"/>
        <v/>
      </c>
      <c r="AF198" t="str">
        <f t="shared" si="36"/>
        <v/>
      </c>
      <c r="AG198" t="str">
        <f t="shared" si="37"/>
        <v>Friday</v>
      </c>
      <c r="AH198" t="str">
        <f t="shared" si="38"/>
        <v/>
      </c>
      <c r="AI198" t="str">
        <f t="shared" si="39"/>
        <v/>
      </c>
      <c r="AJ198" t="str">
        <f>LEFT(Table1[[#This Row],[membership_type]],2)&amp;TEXT(Table1[[#This Row],[age]],"00")&amp;"-"&amp;TEXT(ROW(),"000")</f>
        <v>Pr26-198</v>
      </c>
      <c r="AK198" t="str">
        <f>LEFT(Table1[[#This Row],[membership_type]],1)&amp;TEXT(MATCH(Table1[[#This Row],[membership_type]],Table1[membership_type],0),"00")</f>
        <v>P01</v>
      </c>
      <c r="AL198" t="str">
        <f>LEFT(Table1[[#This Row],[discount_type]],1)&amp;TEXT(ROUND(Table1[[#This Row],[discount_rate]]*100,0),"00")</f>
        <v>N00</v>
      </c>
      <c r="AM198" t="str" cm="1">
        <f t="array" ref="AM198">TEXT(SUMPRODUCT(CODE(MID(Table1[[#This Row],[home_gym_location]],_xlfn.SEQUENCE(LEN(Table1[[#This Row],[home_gym_location]])),1))),"00000")</f>
        <v>00829</v>
      </c>
      <c r="AN198" t="str">
        <f>UPPER(_xlfn.TEXTBEFORE(Table1[[#This Row],[home_gym_location]],","))&amp;"-"&amp;TEXT(MATCH(Table1[[#This Row],[home_gym_location]],_xlfn._xlws.SORT(_xlfn.UNIQUE(Table1[home_gym_location])),0),"000")</f>
        <v>FRESNO-003</v>
      </c>
      <c r="AO198" t="str">
        <f>LEFT(_xlfn.TEXTBEFORE(Table1[[#This Row],[Location Identifier]],"-"),3) &amp; "-" &amp; _xlfn.TEXTAFTER(Table1[[#This Row],[Location Identifier]],"-")</f>
        <v>FRE-003</v>
      </c>
      <c r="AP198" s="9">
        <f t="shared" ca="1" si="30"/>
        <v>45869</v>
      </c>
    </row>
    <row r="199" spans="1:42" x14ac:dyDescent="0.25">
      <c r="A199">
        <v>28</v>
      </c>
      <c r="B199" t="s">
        <v>26</v>
      </c>
      <c r="C199">
        <v>3</v>
      </c>
      <c r="D199" t="s">
        <v>57</v>
      </c>
      <c r="E199" t="b">
        <v>0</v>
      </c>
      <c r="F199" s="1">
        <v>0.36805555555555558</v>
      </c>
      <c r="G199" s="1">
        <v>0.47222222222222221</v>
      </c>
      <c r="H199">
        <v>150</v>
      </c>
      <c r="I199" t="b">
        <v>0</v>
      </c>
      <c r="J199" t="b">
        <v>1</v>
      </c>
      <c r="K199" t="b">
        <v>0</v>
      </c>
      <c r="L199" t="s">
        <v>35</v>
      </c>
      <c r="M199">
        <v>50</v>
      </c>
      <c r="N199" t="s">
        <v>64</v>
      </c>
      <c r="O199">
        <v>37.5</v>
      </c>
      <c r="P199" t="s">
        <v>74</v>
      </c>
      <c r="Q199">
        <v>0.15</v>
      </c>
      <c r="R199">
        <v>31.875</v>
      </c>
      <c r="S199" t="s">
        <v>31</v>
      </c>
      <c r="T199" t="s">
        <v>41</v>
      </c>
      <c r="U199">
        <v>37.804400000000001</v>
      </c>
      <c r="V199">
        <v>-122.27119999999999</v>
      </c>
      <c r="W199" s="2">
        <v>44875</v>
      </c>
      <c r="X199">
        <v>2</v>
      </c>
      <c r="Y199" t="b">
        <v>1</v>
      </c>
      <c r="Z199" s="2">
        <v>45807</v>
      </c>
      <c r="AA199" t="str">
        <f t="shared" si="31"/>
        <v>20–29</v>
      </c>
      <c r="AB199" t="str">
        <f t="shared" si="32"/>
        <v>20–29</v>
      </c>
      <c r="AC199" t="str">
        <f t="shared" si="33"/>
        <v/>
      </c>
      <c r="AD199" t="str">
        <f t="shared" si="34"/>
        <v/>
      </c>
      <c r="AE199" t="str">
        <f t="shared" si="35"/>
        <v>Wednesday</v>
      </c>
      <c r="AF199" t="str">
        <f t="shared" si="36"/>
        <v>Thursday</v>
      </c>
      <c r="AG199" t="str">
        <f t="shared" si="37"/>
        <v/>
      </c>
      <c r="AH199" t="str">
        <f t="shared" si="38"/>
        <v>Saturday</v>
      </c>
      <c r="AI199" t="str">
        <f t="shared" si="39"/>
        <v/>
      </c>
      <c r="AJ199" t="str">
        <f>LEFT(Table1[[#This Row],[membership_type]],2)&amp;TEXT(Table1[[#This Row],[age]],"00")&amp;"-"&amp;TEXT(ROW(),"000")</f>
        <v>Pr28-199</v>
      </c>
      <c r="AK199" t="str">
        <f>LEFT(Table1[[#This Row],[membership_type]],1)&amp;TEXT(MATCH(Table1[[#This Row],[membership_type]],Table1[membership_type],0),"00")</f>
        <v>P01</v>
      </c>
      <c r="AL199" t="str">
        <f>LEFT(Table1[[#This Row],[discount_type]],1)&amp;TEXT(ROUND(Table1[[#This Row],[discount_rate]]*100,0),"00")</f>
        <v>S15</v>
      </c>
      <c r="AM199" t="str" cm="1">
        <f t="array" ref="AM199">TEXT(SUMPRODUCT(CODE(MID(Table1[[#This Row],[home_gym_location]],_xlfn.SEQUENCE(LEN(Table1[[#This Row],[home_gym_location]])),1))),"00000")</f>
        <v>00906</v>
      </c>
      <c r="AN19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9" t="str">
        <f>LEFT(_xlfn.TEXTBEFORE(Table1[[#This Row],[Location Identifier]],"-"),3) &amp; "-" &amp; _xlfn.TEXTAFTER(Table1[[#This Row],[Location Identifier]],"-")</f>
        <v>OAK-006</v>
      </c>
      <c r="AP199" s="9">
        <f t="shared" ca="1" si="30"/>
        <v>45869</v>
      </c>
    </row>
    <row r="200" spans="1:42" x14ac:dyDescent="0.25">
      <c r="A200">
        <v>48</v>
      </c>
      <c r="B200" t="s">
        <v>26</v>
      </c>
      <c r="C200">
        <v>2</v>
      </c>
      <c r="D200" t="s">
        <v>70</v>
      </c>
      <c r="E200" t="b">
        <v>0</v>
      </c>
      <c r="F200" s="1">
        <v>0.71805555555555556</v>
      </c>
      <c r="G200" s="1">
        <v>0.83680555555555558</v>
      </c>
      <c r="H200">
        <v>171</v>
      </c>
      <c r="I200" t="b">
        <v>0</v>
      </c>
      <c r="J200" t="b">
        <v>1</v>
      </c>
      <c r="K200" t="b">
        <v>1</v>
      </c>
      <c r="L200" t="s">
        <v>28</v>
      </c>
      <c r="M200">
        <v>50</v>
      </c>
      <c r="N200" t="s">
        <v>64</v>
      </c>
      <c r="O200">
        <v>37.5</v>
      </c>
      <c r="P200" t="s">
        <v>36</v>
      </c>
      <c r="Q200">
        <v>0</v>
      </c>
      <c r="R200">
        <v>37.5</v>
      </c>
      <c r="S200" t="s">
        <v>31</v>
      </c>
      <c r="T200" t="s">
        <v>59</v>
      </c>
      <c r="U200">
        <v>37.774900000000002</v>
      </c>
      <c r="V200">
        <v>-122.4194</v>
      </c>
      <c r="W200" s="2">
        <v>44886</v>
      </c>
      <c r="X200">
        <v>2</v>
      </c>
      <c r="Y200" t="b">
        <v>1</v>
      </c>
      <c r="Z200" s="2">
        <v>45807</v>
      </c>
      <c r="AA200" t="str">
        <f t="shared" si="31"/>
        <v>40–49</v>
      </c>
      <c r="AB200" t="str">
        <f t="shared" si="32"/>
        <v>40–49</v>
      </c>
      <c r="AC200" t="str">
        <f t="shared" si="33"/>
        <v/>
      </c>
      <c r="AD200" t="str">
        <f t="shared" si="34"/>
        <v/>
      </c>
      <c r="AE200" t="str">
        <f t="shared" si="35"/>
        <v>Wednesday</v>
      </c>
      <c r="AF200" t="str">
        <f t="shared" si="36"/>
        <v>Thursday</v>
      </c>
      <c r="AG200" t="str">
        <f t="shared" si="37"/>
        <v/>
      </c>
      <c r="AH200" t="str">
        <f t="shared" si="38"/>
        <v/>
      </c>
      <c r="AI200" t="str">
        <f t="shared" si="39"/>
        <v/>
      </c>
      <c r="AJ200" t="str">
        <f>LEFT(Table1[[#This Row],[membership_type]],2)&amp;TEXT(Table1[[#This Row],[age]],"00")&amp;"-"&amp;TEXT(ROW(),"000")</f>
        <v>Pr48-200</v>
      </c>
      <c r="AK200" t="str">
        <f>LEFT(Table1[[#This Row],[membership_type]],1)&amp;TEXT(MATCH(Table1[[#This Row],[membership_type]],Table1[membership_type],0),"00")</f>
        <v>P01</v>
      </c>
      <c r="AL200" t="str">
        <f>LEFT(Table1[[#This Row],[discount_type]],1)&amp;TEXT(ROUND(Table1[[#This Row],[discount_rate]]*100,0),"00")</f>
        <v>N00</v>
      </c>
      <c r="AM200" t="str" cm="1">
        <f t="array" ref="AM200">TEXT(SUMPRODUCT(CODE(MID(Table1[[#This Row],[home_gym_location]],_xlfn.SEQUENCE(LEN(Table1[[#This Row],[home_gym_location]])),1))),"00000")</f>
        <v>01450</v>
      </c>
      <c r="AN20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00" t="str">
        <f>LEFT(_xlfn.TEXTBEFORE(Table1[[#This Row],[Location Identifier]],"-"),3) &amp; "-" &amp; _xlfn.TEXTAFTER(Table1[[#This Row],[Location Identifier]],"-")</f>
        <v>SAN-009</v>
      </c>
      <c r="AP200" s="9">
        <f t="shared" ca="1" si="30"/>
        <v>45869</v>
      </c>
    </row>
    <row r="201" spans="1:42" x14ac:dyDescent="0.25">
      <c r="A201">
        <v>29</v>
      </c>
      <c r="B201" t="s">
        <v>42</v>
      </c>
      <c r="C201">
        <v>4</v>
      </c>
      <c r="D201" t="s">
        <v>119</v>
      </c>
      <c r="E201" t="b">
        <v>0</v>
      </c>
      <c r="F201" s="1">
        <v>0.4465277777777778</v>
      </c>
      <c r="G201" s="1">
        <v>0.49444444444444446</v>
      </c>
      <c r="H201">
        <v>69</v>
      </c>
      <c r="I201" t="b">
        <v>1</v>
      </c>
      <c r="J201" t="b">
        <v>1</v>
      </c>
      <c r="K201" t="b">
        <v>0</v>
      </c>
      <c r="L201" t="s">
        <v>35</v>
      </c>
      <c r="M201">
        <v>20</v>
      </c>
      <c r="N201" t="s">
        <v>64</v>
      </c>
      <c r="O201">
        <v>15</v>
      </c>
      <c r="P201" t="s">
        <v>36</v>
      </c>
      <c r="Q201">
        <v>0</v>
      </c>
      <c r="R201">
        <v>15</v>
      </c>
      <c r="S201" t="s">
        <v>44</v>
      </c>
      <c r="T201" t="s">
        <v>45</v>
      </c>
      <c r="U201">
        <v>33.836599999999997</v>
      </c>
      <c r="V201">
        <v>-117.9143</v>
      </c>
      <c r="W201" s="2">
        <v>45000</v>
      </c>
      <c r="X201">
        <v>2</v>
      </c>
      <c r="Y201" t="b">
        <v>0</v>
      </c>
      <c r="Z201" s="2">
        <v>45814</v>
      </c>
      <c r="AA201" t="str">
        <f t="shared" si="31"/>
        <v>20–29</v>
      </c>
      <c r="AB201" t="str">
        <f t="shared" si="32"/>
        <v>20–29</v>
      </c>
      <c r="AC201" t="str">
        <f t="shared" si="33"/>
        <v>Monday</v>
      </c>
      <c r="AD201" t="str">
        <f t="shared" si="34"/>
        <v/>
      </c>
      <c r="AE201" t="str">
        <f t="shared" si="35"/>
        <v>Wednesday</v>
      </c>
      <c r="AF201" t="str">
        <f t="shared" si="36"/>
        <v/>
      </c>
      <c r="AG201" t="str">
        <f t="shared" si="37"/>
        <v>Friday</v>
      </c>
      <c r="AH201" t="str">
        <f t="shared" si="38"/>
        <v/>
      </c>
      <c r="AI201" t="str">
        <f t="shared" si="39"/>
        <v>Sunday</v>
      </c>
      <c r="AJ201" t="str">
        <f>LEFT(Table1[[#This Row],[membership_type]],2)&amp;TEXT(Table1[[#This Row],[age]],"00")&amp;"-"&amp;TEXT(ROW(),"000")</f>
        <v>Ba29-201</v>
      </c>
      <c r="AK201" t="str">
        <f>LEFT(Table1[[#This Row],[membership_type]],1)&amp;TEXT(MATCH(Table1[[#This Row],[membership_type]],Table1[membership_type],0),"00")</f>
        <v>B04</v>
      </c>
      <c r="AL201" t="str">
        <f>LEFT(Table1[[#This Row],[discount_type]],1)&amp;TEXT(ROUND(Table1[[#This Row],[discount_rate]]*100,0),"00")</f>
        <v>N00</v>
      </c>
      <c r="AM201" t="str" cm="1">
        <f t="array" ref="AM201">TEXT(SUMPRODUCT(CODE(MID(Table1[[#This Row],[home_gym_location]],_xlfn.SEQUENCE(LEN(Table1[[#This Row],[home_gym_location]])),1))),"00000")</f>
        <v>00899</v>
      </c>
      <c r="AN201" t="str">
        <f>UPPER(_xlfn.TEXTBEFORE(Table1[[#This Row],[home_gym_location]],","))&amp;"-"&amp;TEXT(MATCH(Table1[[#This Row],[home_gym_location]],_xlfn._xlws.SORT(_xlfn.UNIQUE(Table1[home_gym_location])),0),"000")</f>
        <v>ANAHEIM-001</v>
      </c>
      <c r="AO201" t="str">
        <f>LEFT(_xlfn.TEXTBEFORE(Table1[[#This Row],[Location Identifier]],"-"),3) &amp; "-" &amp; _xlfn.TEXTAFTER(Table1[[#This Row],[Location Identifier]],"-")</f>
        <v>ANA-001</v>
      </c>
      <c r="AP201" s="9">
        <f t="shared" ca="1" si="30"/>
        <v>45869</v>
      </c>
    </row>
    <row r="202" spans="1:42" x14ac:dyDescent="0.25">
      <c r="A202">
        <v>49</v>
      </c>
      <c r="B202" t="s">
        <v>33</v>
      </c>
      <c r="C202">
        <v>3</v>
      </c>
      <c r="D202" t="s">
        <v>129</v>
      </c>
      <c r="E202" t="b">
        <v>1</v>
      </c>
      <c r="F202" s="1">
        <v>0.71527777777777779</v>
      </c>
      <c r="G202" s="1">
        <v>0.75208333333333333</v>
      </c>
      <c r="H202">
        <v>53</v>
      </c>
      <c r="I202" t="b">
        <v>1</v>
      </c>
      <c r="J202" t="b">
        <v>1</v>
      </c>
      <c r="K202" t="b">
        <v>1</v>
      </c>
      <c r="L202" t="s">
        <v>47</v>
      </c>
      <c r="M202">
        <v>30</v>
      </c>
      <c r="N202" t="s">
        <v>78</v>
      </c>
      <c r="O202">
        <v>27</v>
      </c>
      <c r="P202" t="s">
        <v>40</v>
      </c>
      <c r="Q202">
        <v>0.1</v>
      </c>
      <c r="R202">
        <v>24.3</v>
      </c>
      <c r="S202" t="s">
        <v>37</v>
      </c>
      <c r="T202" t="s">
        <v>50</v>
      </c>
      <c r="U202">
        <v>34.052199999999999</v>
      </c>
      <c r="V202">
        <v>-118.2437</v>
      </c>
      <c r="W202" s="2">
        <v>45147</v>
      </c>
      <c r="X202">
        <v>8</v>
      </c>
      <c r="Y202" t="b">
        <v>0</v>
      </c>
      <c r="Z202" s="2">
        <v>45822</v>
      </c>
      <c r="AA202" t="str">
        <f t="shared" si="31"/>
        <v>40–49</v>
      </c>
      <c r="AB202" t="str">
        <f t="shared" si="32"/>
        <v>40–49</v>
      </c>
      <c r="AC202" t="str">
        <f t="shared" si="33"/>
        <v/>
      </c>
      <c r="AD202" t="str">
        <f t="shared" si="34"/>
        <v>Tuesday</v>
      </c>
      <c r="AE202" t="str">
        <f t="shared" si="35"/>
        <v>Wednesday</v>
      </c>
      <c r="AF202" t="str">
        <f t="shared" si="36"/>
        <v/>
      </c>
      <c r="AG202" t="str">
        <f t="shared" si="37"/>
        <v/>
      </c>
      <c r="AH202" t="str">
        <f t="shared" si="38"/>
        <v/>
      </c>
      <c r="AI202" t="str">
        <f t="shared" si="39"/>
        <v>Sunday</v>
      </c>
      <c r="AJ202" t="str">
        <f>LEFT(Table1[[#This Row],[membership_type]],2)&amp;TEXT(Table1[[#This Row],[age]],"00")&amp;"-"&amp;TEXT(ROW(),"000")</f>
        <v>St49-202</v>
      </c>
      <c r="AK202" t="str">
        <f>LEFT(Table1[[#This Row],[membership_type]],1)&amp;TEXT(MATCH(Table1[[#This Row],[membership_type]],Table1[membership_type],0),"00")</f>
        <v>S02</v>
      </c>
      <c r="AL202" t="str">
        <f>LEFT(Table1[[#This Row],[discount_type]],1)&amp;TEXT(ROUND(Table1[[#This Row],[discount_rate]]*100,0),"00")</f>
        <v>L10</v>
      </c>
      <c r="AM202" t="str" cm="1">
        <f t="array" ref="AM202">TEXT(SUMPRODUCT(CODE(MID(Table1[[#This Row],[home_gym_location]],_xlfn.SEQUENCE(LEN(Table1[[#This Row],[home_gym_location]])),1))),"00000")</f>
        <v>01245</v>
      </c>
      <c r="AN20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02" t="str">
        <f>LEFT(_xlfn.TEXTBEFORE(Table1[[#This Row],[Location Identifier]],"-"),3) &amp; "-" &amp; _xlfn.TEXTAFTER(Table1[[#This Row],[Location Identifier]],"-")</f>
        <v>LOS-005</v>
      </c>
      <c r="AP202" s="9">
        <f t="shared" ca="1" si="30"/>
        <v>45869</v>
      </c>
    </row>
    <row r="203" spans="1:42" x14ac:dyDescent="0.25">
      <c r="A203">
        <v>30</v>
      </c>
      <c r="B203" t="s">
        <v>42</v>
      </c>
      <c r="C203">
        <v>3</v>
      </c>
      <c r="D203" t="s">
        <v>60</v>
      </c>
      <c r="E203" t="b">
        <v>1</v>
      </c>
      <c r="F203" s="1">
        <v>0.46458333333333335</v>
      </c>
      <c r="G203" s="1">
        <v>0.51736111111111116</v>
      </c>
      <c r="H203">
        <v>76</v>
      </c>
      <c r="I203" t="b">
        <v>1</v>
      </c>
      <c r="J203" t="b">
        <v>0</v>
      </c>
      <c r="K203" t="b">
        <v>1</v>
      </c>
      <c r="L203" t="s">
        <v>62</v>
      </c>
      <c r="M203">
        <v>20</v>
      </c>
      <c r="N203" t="s">
        <v>29</v>
      </c>
      <c r="O203">
        <v>20</v>
      </c>
      <c r="P203" t="s">
        <v>36</v>
      </c>
      <c r="Q203">
        <v>0</v>
      </c>
      <c r="R203">
        <v>20</v>
      </c>
      <c r="S203" t="s">
        <v>44</v>
      </c>
      <c r="T203" t="s">
        <v>48</v>
      </c>
      <c r="U203">
        <v>38.581600000000002</v>
      </c>
      <c r="V203">
        <v>-121.4944</v>
      </c>
      <c r="W203" s="2">
        <v>45741</v>
      </c>
      <c r="X203">
        <v>0</v>
      </c>
      <c r="Y203" t="b">
        <v>0</v>
      </c>
      <c r="Z203" s="2">
        <v>45855</v>
      </c>
      <c r="AA203" t="str">
        <f t="shared" si="31"/>
        <v>30–39</v>
      </c>
      <c r="AB203" t="str">
        <f t="shared" si="32"/>
        <v>30–39</v>
      </c>
      <c r="AC203" t="str">
        <f t="shared" si="33"/>
        <v/>
      </c>
      <c r="AD203" t="str">
        <f t="shared" si="34"/>
        <v/>
      </c>
      <c r="AE203" t="str">
        <f t="shared" si="35"/>
        <v>Wednesday</v>
      </c>
      <c r="AF203" t="str">
        <f t="shared" si="36"/>
        <v/>
      </c>
      <c r="AG203" t="str">
        <f t="shared" si="37"/>
        <v/>
      </c>
      <c r="AH203" t="str">
        <f t="shared" si="38"/>
        <v>Saturday</v>
      </c>
      <c r="AI203" t="str">
        <f t="shared" si="39"/>
        <v>Sunday</v>
      </c>
      <c r="AJ203" t="str">
        <f>LEFT(Table1[[#This Row],[membership_type]],2)&amp;TEXT(Table1[[#This Row],[age]],"00")&amp;"-"&amp;TEXT(ROW(),"000")</f>
        <v>Ba30-203</v>
      </c>
      <c r="AK203" t="str">
        <f>LEFT(Table1[[#This Row],[membership_type]],1)&amp;TEXT(MATCH(Table1[[#This Row],[membership_type]],Table1[membership_type],0),"00")</f>
        <v>B04</v>
      </c>
      <c r="AL203" t="str">
        <f>LEFT(Table1[[#This Row],[discount_type]],1)&amp;TEXT(ROUND(Table1[[#This Row],[discount_rate]]*100,0),"00")</f>
        <v>N00</v>
      </c>
      <c r="AM203" t="str" cm="1">
        <f t="array" ref="AM203">TEXT(SUMPRODUCT(CODE(MID(Table1[[#This Row],[home_gym_location]],_xlfn.SEQUENCE(LEN(Table1[[#This Row],[home_gym_location]])),1))),"00000")</f>
        <v>01245</v>
      </c>
      <c r="AN20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03" t="str">
        <f>LEFT(_xlfn.TEXTBEFORE(Table1[[#This Row],[Location Identifier]],"-"),3) &amp; "-" &amp; _xlfn.TEXTAFTER(Table1[[#This Row],[Location Identifier]],"-")</f>
        <v>SAC-007</v>
      </c>
      <c r="AP203" s="9">
        <f t="shared" ca="1" si="30"/>
        <v>45869</v>
      </c>
    </row>
    <row r="204" spans="1:42" x14ac:dyDescent="0.25">
      <c r="A204">
        <v>29</v>
      </c>
      <c r="B204" t="s">
        <v>33</v>
      </c>
      <c r="C204">
        <v>2</v>
      </c>
      <c r="D204" t="s">
        <v>61</v>
      </c>
      <c r="E204" t="b">
        <v>1</v>
      </c>
      <c r="F204" s="1">
        <v>0.83333333333333337</v>
      </c>
      <c r="G204" s="1">
        <v>0.90972222222222221</v>
      </c>
      <c r="H204">
        <v>110</v>
      </c>
      <c r="I204" t="b">
        <v>1</v>
      </c>
      <c r="J204" t="b">
        <v>1</v>
      </c>
      <c r="K204" t="b">
        <v>0</v>
      </c>
      <c r="L204" t="s">
        <v>62</v>
      </c>
      <c r="M204">
        <v>30</v>
      </c>
      <c r="N204" t="s">
        <v>29</v>
      </c>
      <c r="O204">
        <v>30</v>
      </c>
      <c r="P204" t="s">
        <v>36</v>
      </c>
      <c r="Q204">
        <v>0</v>
      </c>
      <c r="R204">
        <v>30</v>
      </c>
      <c r="S204" t="s">
        <v>37</v>
      </c>
      <c r="T204" t="s">
        <v>54</v>
      </c>
      <c r="U204">
        <v>32.715699999999998</v>
      </c>
      <c r="V204">
        <v>-117.1611</v>
      </c>
      <c r="W204" s="2">
        <v>45658</v>
      </c>
      <c r="X204">
        <v>8</v>
      </c>
      <c r="Y204" t="b">
        <v>1</v>
      </c>
      <c r="Z204" s="2">
        <v>45851</v>
      </c>
      <c r="AA204" t="str">
        <f t="shared" si="31"/>
        <v>20–29</v>
      </c>
      <c r="AB204" t="str">
        <f t="shared" si="32"/>
        <v>20–29</v>
      </c>
      <c r="AC204" t="str">
        <f t="shared" si="33"/>
        <v/>
      </c>
      <c r="AD204" t="str">
        <f t="shared" si="34"/>
        <v>Tuesday</v>
      </c>
      <c r="AE204" t="str">
        <f t="shared" si="35"/>
        <v/>
      </c>
      <c r="AF204" t="str">
        <f t="shared" si="36"/>
        <v/>
      </c>
      <c r="AG204" t="str">
        <f t="shared" si="37"/>
        <v/>
      </c>
      <c r="AH204" t="str">
        <f t="shared" si="38"/>
        <v>Saturday</v>
      </c>
      <c r="AI204" t="str">
        <f t="shared" si="39"/>
        <v/>
      </c>
      <c r="AJ204" t="str">
        <f>LEFT(Table1[[#This Row],[membership_type]],2)&amp;TEXT(Table1[[#This Row],[age]],"00")&amp;"-"&amp;TEXT(ROW(),"000")</f>
        <v>St29-204</v>
      </c>
      <c r="AK204" t="str">
        <f>LEFT(Table1[[#This Row],[membership_type]],1)&amp;TEXT(MATCH(Table1[[#This Row],[membership_type]],Table1[membership_type],0),"00")</f>
        <v>S02</v>
      </c>
      <c r="AL204" t="str">
        <f>LEFT(Table1[[#This Row],[discount_type]],1)&amp;TEXT(ROUND(Table1[[#This Row],[discount_rate]]*100,0),"00")</f>
        <v>N00</v>
      </c>
      <c r="AM204" t="str" cm="1">
        <f t="array" ref="AM204">TEXT(SUMPRODUCT(CODE(MID(Table1[[#This Row],[home_gym_location]],_xlfn.SEQUENCE(LEN(Table1[[#This Row],[home_gym_location]])),1))),"00000")</f>
        <v>01018</v>
      </c>
      <c r="AN20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04" t="str">
        <f>LEFT(_xlfn.TEXTBEFORE(Table1[[#This Row],[Location Identifier]],"-"),3) &amp; "-" &amp; _xlfn.TEXTAFTER(Table1[[#This Row],[Location Identifier]],"-")</f>
        <v>SAN-008</v>
      </c>
      <c r="AP204" s="9">
        <f t="shared" ca="1" si="30"/>
        <v>45869</v>
      </c>
    </row>
    <row r="205" spans="1:42" x14ac:dyDescent="0.25">
      <c r="A205">
        <v>34</v>
      </c>
      <c r="B205" t="s">
        <v>26</v>
      </c>
      <c r="C205">
        <v>2</v>
      </c>
      <c r="D205" t="s">
        <v>130</v>
      </c>
      <c r="E205" t="b">
        <v>1</v>
      </c>
      <c r="F205" s="1">
        <v>0.5854166666666667</v>
      </c>
      <c r="G205" s="1">
        <v>0.67361111111111116</v>
      </c>
      <c r="H205">
        <v>127</v>
      </c>
      <c r="I205" t="b">
        <v>1</v>
      </c>
      <c r="J205" t="b">
        <v>0</v>
      </c>
      <c r="K205" t="b">
        <v>1</v>
      </c>
      <c r="L205" t="s">
        <v>62</v>
      </c>
      <c r="M205">
        <v>50</v>
      </c>
      <c r="N205" t="s">
        <v>29</v>
      </c>
      <c r="O205">
        <v>50</v>
      </c>
      <c r="P205" t="s">
        <v>30</v>
      </c>
      <c r="Q205">
        <v>0.05</v>
      </c>
      <c r="R205">
        <v>47.5</v>
      </c>
      <c r="S205" t="s">
        <v>31</v>
      </c>
      <c r="T205" t="s">
        <v>59</v>
      </c>
      <c r="U205">
        <v>37.774900000000002</v>
      </c>
      <c r="V205">
        <v>-122.4194</v>
      </c>
      <c r="W205" s="2">
        <v>44874</v>
      </c>
      <c r="X205">
        <v>0</v>
      </c>
      <c r="Y205" t="b">
        <v>0</v>
      </c>
      <c r="Z205" s="2">
        <v>45807</v>
      </c>
      <c r="AA205" t="str">
        <f t="shared" si="31"/>
        <v>30–39</v>
      </c>
      <c r="AB205" t="str">
        <f t="shared" si="32"/>
        <v>30–39</v>
      </c>
      <c r="AC205" t="str">
        <f t="shared" si="33"/>
        <v>Monday</v>
      </c>
      <c r="AD205" t="str">
        <f t="shared" si="34"/>
        <v/>
      </c>
      <c r="AE205" t="str">
        <f t="shared" si="35"/>
        <v/>
      </c>
      <c r="AF205" t="str">
        <f t="shared" si="36"/>
        <v>Thursday</v>
      </c>
      <c r="AG205" t="str">
        <f t="shared" si="37"/>
        <v/>
      </c>
      <c r="AH205" t="str">
        <f t="shared" si="38"/>
        <v/>
      </c>
      <c r="AI205" t="str">
        <f t="shared" si="39"/>
        <v/>
      </c>
      <c r="AJ205" t="str">
        <f>LEFT(Table1[[#This Row],[membership_type]],2)&amp;TEXT(Table1[[#This Row],[age]],"00")&amp;"-"&amp;TEXT(ROW(),"000")</f>
        <v>Pr34-205</v>
      </c>
      <c r="AK205" t="str">
        <f>LEFT(Table1[[#This Row],[membership_type]],1)&amp;TEXT(MATCH(Table1[[#This Row],[membership_type]],Table1[membership_type],0),"00")</f>
        <v>P01</v>
      </c>
      <c r="AL205" t="str">
        <f>LEFT(Table1[[#This Row],[discount_type]],1)&amp;TEXT(ROUND(Table1[[#This Row],[discount_rate]]*100,0),"00")</f>
        <v>P05</v>
      </c>
      <c r="AM205" t="str" cm="1">
        <f t="array" ref="AM205">TEXT(SUMPRODUCT(CODE(MID(Table1[[#This Row],[home_gym_location]],_xlfn.SEQUENCE(LEN(Table1[[#This Row],[home_gym_location]])),1))),"00000")</f>
        <v>01450</v>
      </c>
      <c r="AN20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05" t="str">
        <f>LEFT(_xlfn.TEXTBEFORE(Table1[[#This Row],[Location Identifier]],"-"),3) &amp; "-" &amp; _xlfn.TEXTAFTER(Table1[[#This Row],[Location Identifier]],"-")</f>
        <v>SAN-009</v>
      </c>
      <c r="AP205" s="9">
        <f t="shared" ca="1" si="30"/>
        <v>45869</v>
      </c>
    </row>
    <row r="206" spans="1:42" x14ac:dyDescent="0.25">
      <c r="A206">
        <v>19</v>
      </c>
      <c r="B206" t="s">
        <v>42</v>
      </c>
      <c r="C206">
        <v>2</v>
      </c>
      <c r="D206" t="s">
        <v>108</v>
      </c>
      <c r="E206" t="b">
        <v>0</v>
      </c>
      <c r="F206" s="1">
        <v>0.69444444444444442</v>
      </c>
      <c r="G206" s="1">
        <v>0.73402777777777772</v>
      </c>
      <c r="H206">
        <v>57</v>
      </c>
      <c r="I206" t="b">
        <v>0</v>
      </c>
      <c r="J206" t="b">
        <v>1</v>
      </c>
      <c r="K206" t="b">
        <v>1</v>
      </c>
      <c r="L206" t="s">
        <v>28</v>
      </c>
      <c r="M206">
        <v>20</v>
      </c>
      <c r="N206" t="s">
        <v>29</v>
      </c>
      <c r="O206">
        <v>20</v>
      </c>
      <c r="P206" t="s">
        <v>36</v>
      </c>
      <c r="Q206">
        <v>0</v>
      </c>
      <c r="R206">
        <v>20</v>
      </c>
      <c r="S206" t="s">
        <v>44</v>
      </c>
      <c r="T206" t="s">
        <v>32</v>
      </c>
      <c r="U206">
        <v>37.338200000000001</v>
      </c>
      <c r="V206">
        <v>-121.88630000000001</v>
      </c>
      <c r="W206" s="2">
        <v>45185</v>
      </c>
      <c r="X206">
        <v>3</v>
      </c>
      <c r="Y206" t="b">
        <v>0</v>
      </c>
      <c r="Z206" s="2">
        <v>45824</v>
      </c>
      <c r="AA206" t="str">
        <f t="shared" si="31"/>
        <v>10–19</v>
      </c>
      <c r="AB206" t="str">
        <f t="shared" si="32"/>
        <v>16–19</v>
      </c>
      <c r="AC206" t="str">
        <f t="shared" si="33"/>
        <v/>
      </c>
      <c r="AD206" t="str">
        <f t="shared" si="34"/>
        <v>Tuesday</v>
      </c>
      <c r="AE206" t="str">
        <f t="shared" si="35"/>
        <v/>
      </c>
      <c r="AF206" t="str">
        <f t="shared" si="36"/>
        <v>Thursday</v>
      </c>
      <c r="AG206" t="str">
        <f t="shared" si="37"/>
        <v/>
      </c>
      <c r="AH206" t="str">
        <f t="shared" si="38"/>
        <v/>
      </c>
      <c r="AI206" t="str">
        <f t="shared" si="39"/>
        <v/>
      </c>
      <c r="AJ206" t="str">
        <f>LEFT(Table1[[#This Row],[membership_type]],2)&amp;TEXT(Table1[[#This Row],[age]],"00")&amp;"-"&amp;TEXT(ROW(),"000")</f>
        <v>Ba19-206</v>
      </c>
      <c r="AK206" t="str">
        <f>LEFT(Table1[[#This Row],[membership_type]],1)&amp;TEXT(MATCH(Table1[[#This Row],[membership_type]],Table1[membership_type],0),"00")</f>
        <v>B04</v>
      </c>
      <c r="AL206" t="str">
        <f>LEFT(Table1[[#This Row],[discount_type]],1)&amp;TEXT(ROUND(Table1[[#This Row],[discount_rate]]*100,0),"00")</f>
        <v>N00</v>
      </c>
      <c r="AM206" t="str" cm="1">
        <f t="array" ref="AM206">TEXT(SUMPRODUCT(CODE(MID(Table1[[#This Row],[home_gym_location]],_xlfn.SEQUENCE(LEN(Table1[[#This Row],[home_gym_location]])),1))),"00000")</f>
        <v>00931</v>
      </c>
      <c r="AN20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06" t="str">
        <f>LEFT(_xlfn.TEXTBEFORE(Table1[[#This Row],[Location Identifier]],"-"),3) &amp; "-" &amp; _xlfn.TEXTAFTER(Table1[[#This Row],[Location Identifier]],"-")</f>
        <v>SAN-010</v>
      </c>
      <c r="AP206" s="9">
        <f t="shared" ca="1" si="30"/>
        <v>45869</v>
      </c>
    </row>
    <row r="207" spans="1:42" x14ac:dyDescent="0.25">
      <c r="A207">
        <v>39</v>
      </c>
      <c r="B207" t="s">
        <v>26</v>
      </c>
      <c r="C207">
        <v>3</v>
      </c>
      <c r="D207" t="s">
        <v>131</v>
      </c>
      <c r="E207" t="b">
        <v>1</v>
      </c>
      <c r="F207" s="1">
        <v>0.51111111111111107</v>
      </c>
      <c r="G207" s="1">
        <v>0.53402777777777777</v>
      </c>
      <c r="H207">
        <v>33</v>
      </c>
      <c r="I207" t="b">
        <v>0</v>
      </c>
      <c r="J207" t="b">
        <v>0</v>
      </c>
      <c r="K207" t="b">
        <v>0</v>
      </c>
      <c r="L207" t="s">
        <v>28</v>
      </c>
      <c r="M207">
        <v>50</v>
      </c>
      <c r="N207" t="s">
        <v>29</v>
      </c>
      <c r="O207">
        <v>50</v>
      </c>
      <c r="P207" t="s">
        <v>74</v>
      </c>
      <c r="Q207">
        <v>0.15</v>
      </c>
      <c r="R207">
        <v>42.5</v>
      </c>
      <c r="S207" t="s">
        <v>31</v>
      </c>
      <c r="T207" t="s">
        <v>56</v>
      </c>
      <c r="U207">
        <v>35.3733</v>
      </c>
      <c r="V207">
        <v>-119.0187</v>
      </c>
      <c r="W207" s="2">
        <v>45821</v>
      </c>
      <c r="X207">
        <v>0</v>
      </c>
      <c r="Y207" t="b">
        <v>1</v>
      </c>
      <c r="Z207" s="2">
        <v>45860</v>
      </c>
      <c r="AA207" t="str">
        <f t="shared" si="31"/>
        <v>30–39</v>
      </c>
      <c r="AB207" t="str">
        <f t="shared" si="32"/>
        <v>30–39</v>
      </c>
      <c r="AC207" t="str">
        <f t="shared" si="33"/>
        <v>Monday</v>
      </c>
      <c r="AD207" t="str">
        <f t="shared" si="34"/>
        <v/>
      </c>
      <c r="AE207" t="str">
        <f t="shared" si="35"/>
        <v/>
      </c>
      <c r="AF207" t="str">
        <f t="shared" si="36"/>
        <v/>
      </c>
      <c r="AG207" t="str">
        <f t="shared" si="37"/>
        <v>Friday</v>
      </c>
      <c r="AH207" t="str">
        <f t="shared" si="38"/>
        <v/>
      </c>
      <c r="AI207" t="str">
        <f t="shared" si="39"/>
        <v>Sunday</v>
      </c>
      <c r="AJ207" t="str">
        <f>LEFT(Table1[[#This Row],[membership_type]],2)&amp;TEXT(Table1[[#This Row],[age]],"00")&amp;"-"&amp;TEXT(ROW(),"000")</f>
        <v>Pr39-207</v>
      </c>
      <c r="AK207" t="str">
        <f>LEFT(Table1[[#This Row],[membership_type]],1)&amp;TEXT(MATCH(Table1[[#This Row],[membership_type]],Table1[membership_type],0),"00")</f>
        <v>P01</v>
      </c>
      <c r="AL207" t="str">
        <f>LEFT(Table1[[#This Row],[discount_type]],1)&amp;TEXT(ROUND(Table1[[#This Row],[discount_rate]]*100,0),"00")</f>
        <v>S15</v>
      </c>
      <c r="AM207" t="str" cm="1">
        <f t="array" ref="AM207">TEXT(SUMPRODUCT(CODE(MID(Table1[[#This Row],[home_gym_location]],_xlfn.SEQUENCE(LEN(Table1[[#This Row],[home_gym_location]])),1))),"00000")</f>
        <v>01324</v>
      </c>
      <c r="AN20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07" t="str">
        <f>LEFT(_xlfn.TEXTBEFORE(Table1[[#This Row],[Location Identifier]],"-"),3) &amp; "-" &amp; _xlfn.TEXTAFTER(Table1[[#This Row],[Location Identifier]],"-")</f>
        <v>BAK-002</v>
      </c>
      <c r="AP207" s="9">
        <f t="shared" ca="1" si="30"/>
        <v>45869</v>
      </c>
    </row>
    <row r="208" spans="1:42" x14ac:dyDescent="0.25">
      <c r="A208">
        <v>41</v>
      </c>
      <c r="B208" t="s">
        <v>33</v>
      </c>
      <c r="C208">
        <v>1</v>
      </c>
      <c r="D208" t="s">
        <v>75</v>
      </c>
      <c r="E208" t="b">
        <v>0</v>
      </c>
      <c r="F208" s="1">
        <v>0.57638888888888884</v>
      </c>
      <c r="G208" s="1">
        <v>0.60138888888888886</v>
      </c>
      <c r="H208">
        <v>36</v>
      </c>
      <c r="I208" t="b">
        <v>0</v>
      </c>
      <c r="J208" t="b">
        <v>1</v>
      </c>
      <c r="K208" t="b">
        <v>0</v>
      </c>
      <c r="L208" t="s">
        <v>28</v>
      </c>
      <c r="M208">
        <v>30</v>
      </c>
      <c r="N208" t="s">
        <v>29</v>
      </c>
      <c r="O208">
        <v>30</v>
      </c>
      <c r="P208" t="s">
        <v>40</v>
      </c>
      <c r="Q208">
        <v>0.1</v>
      </c>
      <c r="R208">
        <v>27</v>
      </c>
      <c r="S208" t="s">
        <v>37</v>
      </c>
      <c r="T208" t="s">
        <v>38</v>
      </c>
      <c r="U208">
        <v>36.7378</v>
      </c>
      <c r="V208">
        <v>-119.7871</v>
      </c>
      <c r="W208" s="2">
        <v>45722</v>
      </c>
      <c r="X208">
        <v>5</v>
      </c>
      <c r="Y208" t="b">
        <v>0</v>
      </c>
      <c r="Z208" s="2">
        <v>45854</v>
      </c>
      <c r="AA208" t="str">
        <f t="shared" si="31"/>
        <v>40–49</v>
      </c>
      <c r="AB208" t="str">
        <f t="shared" si="32"/>
        <v>40–49</v>
      </c>
      <c r="AC208" t="str">
        <f t="shared" si="33"/>
        <v/>
      </c>
      <c r="AD208" t="str">
        <f t="shared" si="34"/>
        <v/>
      </c>
      <c r="AE208" t="str">
        <f t="shared" si="35"/>
        <v/>
      </c>
      <c r="AF208" t="str">
        <f t="shared" si="36"/>
        <v/>
      </c>
      <c r="AG208" t="str">
        <f t="shared" si="37"/>
        <v>Friday</v>
      </c>
      <c r="AH208" t="str">
        <f t="shared" si="38"/>
        <v/>
      </c>
      <c r="AI208" t="str">
        <f t="shared" si="39"/>
        <v/>
      </c>
      <c r="AJ208" t="str">
        <f>LEFT(Table1[[#This Row],[membership_type]],2)&amp;TEXT(Table1[[#This Row],[age]],"00")&amp;"-"&amp;TEXT(ROW(),"000")</f>
        <v>St41-208</v>
      </c>
      <c r="AK208" t="str">
        <f>LEFT(Table1[[#This Row],[membership_type]],1)&amp;TEXT(MATCH(Table1[[#This Row],[membership_type]],Table1[membership_type],0),"00")</f>
        <v>S02</v>
      </c>
      <c r="AL208" t="str">
        <f>LEFT(Table1[[#This Row],[discount_type]],1)&amp;TEXT(ROUND(Table1[[#This Row],[discount_rate]]*100,0),"00")</f>
        <v>L10</v>
      </c>
      <c r="AM208" t="str" cm="1">
        <f t="array" ref="AM208">TEXT(SUMPRODUCT(CODE(MID(Table1[[#This Row],[home_gym_location]],_xlfn.SEQUENCE(LEN(Table1[[#This Row],[home_gym_location]])),1))),"00000")</f>
        <v>00829</v>
      </c>
      <c r="AN208" t="str">
        <f>UPPER(_xlfn.TEXTBEFORE(Table1[[#This Row],[home_gym_location]],","))&amp;"-"&amp;TEXT(MATCH(Table1[[#This Row],[home_gym_location]],_xlfn._xlws.SORT(_xlfn.UNIQUE(Table1[home_gym_location])),0),"000")</f>
        <v>FRESNO-003</v>
      </c>
      <c r="AO208" t="str">
        <f>LEFT(_xlfn.TEXTBEFORE(Table1[[#This Row],[Location Identifier]],"-"),3) &amp; "-" &amp; _xlfn.TEXTAFTER(Table1[[#This Row],[Location Identifier]],"-")</f>
        <v>FRE-003</v>
      </c>
      <c r="AP208" s="9">
        <f t="shared" ca="1" si="30"/>
        <v>45869</v>
      </c>
    </row>
    <row r="209" spans="1:42" x14ac:dyDescent="0.25">
      <c r="A209">
        <v>29</v>
      </c>
      <c r="B209" t="s">
        <v>33</v>
      </c>
      <c r="C209">
        <v>3</v>
      </c>
      <c r="D209" t="s">
        <v>100</v>
      </c>
      <c r="E209" t="b">
        <v>0</v>
      </c>
      <c r="F209" s="1">
        <v>0.59444444444444444</v>
      </c>
      <c r="G209" s="1">
        <v>0.71388888888888891</v>
      </c>
      <c r="H209">
        <v>172</v>
      </c>
      <c r="I209" t="b">
        <v>0</v>
      </c>
      <c r="J209" t="b">
        <v>0</v>
      </c>
      <c r="K209" t="b">
        <v>0</v>
      </c>
      <c r="L209" t="s">
        <v>62</v>
      </c>
      <c r="M209">
        <v>30</v>
      </c>
      <c r="N209" t="s">
        <v>29</v>
      </c>
      <c r="O209">
        <v>30</v>
      </c>
      <c r="P209" t="s">
        <v>30</v>
      </c>
      <c r="Q209">
        <v>0.05</v>
      </c>
      <c r="R209">
        <v>28.5</v>
      </c>
      <c r="S209" t="s">
        <v>37</v>
      </c>
      <c r="T209" t="s">
        <v>38</v>
      </c>
      <c r="U209">
        <v>36.7378</v>
      </c>
      <c r="V209">
        <v>-119.7871</v>
      </c>
      <c r="W209" s="2">
        <v>45124</v>
      </c>
      <c r="X209">
        <v>0</v>
      </c>
      <c r="Y209" t="b">
        <v>0</v>
      </c>
      <c r="Z209" s="2">
        <v>45821</v>
      </c>
      <c r="AA209" t="str">
        <f t="shared" si="31"/>
        <v>20–29</v>
      </c>
      <c r="AB209" t="str">
        <f t="shared" si="32"/>
        <v>20–29</v>
      </c>
      <c r="AC209" t="str">
        <f t="shared" si="33"/>
        <v/>
      </c>
      <c r="AD209" t="str">
        <f t="shared" si="34"/>
        <v/>
      </c>
      <c r="AE209" t="str">
        <f t="shared" si="35"/>
        <v>Wednesday</v>
      </c>
      <c r="AF209" t="str">
        <f t="shared" si="36"/>
        <v/>
      </c>
      <c r="AG209" t="str">
        <f t="shared" si="37"/>
        <v>Friday</v>
      </c>
      <c r="AH209" t="str">
        <f t="shared" si="38"/>
        <v/>
      </c>
      <c r="AI209" t="str">
        <f t="shared" si="39"/>
        <v>Sunday</v>
      </c>
      <c r="AJ209" t="str">
        <f>LEFT(Table1[[#This Row],[membership_type]],2)&amp;TEXT(Table1[[#This Row],[age]],"00")&amp;"-"&amp;TEXT(ROW(),"000")</f>
        <v>St29-209</v>
      </c>
      <c r="AK209" t="str">
        <f>LEFT(Table1[[#This Row],[membership_type]],1)&amp;TEXT(MATCH(Table1[[#This Row],[membership_type]],Table1[membership_type],0),"00")</f>
        <v>S02</v>
      </c>
      <c r="AL209" t="str">
        <f>LEFT(Table1[[#This Row],[discount_type]],1)&amp;TEXT(ROUND(Table1[[#This Row],[discount_rate]]*100,0),"00")</f>
        <v>P05</v>
      </c>
      <c r="AM209" t="str" cm="1">
        <f t="array" ref="AM209">TEXT(SUMPRODUCT(CODE(MID(Table1[[#This Row],[home_gym_location]],_xlfn.SEQUENCE(LEN(Table1[[#This Row],[home_gym_location]])),1))),"00000")</f>
        <v>00829</v>
      </c>
      <c r="AN209" t="str">
        <f>UPPER(_xlfn.TEXTBEFORE(Table1[[#This Row],[home_gym_location]],","))&amp;"-"&amp;TEXT(MATCH(Table1[[#This Row],[home_gym_location]],_xlfn._xlws.SORT(_xlfn.UNIQUE(Table1[home_gym_location])),0),"000")</f>
        <v>FRESNO-003</v>
      </c>
      <c r="AO209" t="str">
        <f>LEFT(_xlfn.TEXTBEFORE(Table1[[#This Row],[Location Identifier]],"-"),3) &amp; "-" &amp; _xlfn.TEXTAFTER(Table1[[#This Row],[Location Identifier]],"-")</f>
        <v>FRE-003</v>
      </c>
      <c r="AP209" s="9">
        <f t="shared" ca="1" si="30"/>
        <v>45869</v>
      </c>
    </row>
    <row r="210" spans="1:42" x14ac:dyDescent="0.25">
      <c r="A210">
        <v>17</v>
      </c>
      <c r="B210" t="s">
        <v>51</v>
      </c>
      <c r="C210">
        <v>1</v>
      </c>
      <c r="D210" t="s">
        <v>97</v>
      </c>
      <c r="E210" t="b">
        <v>0</v>
      </c>
      <c r="F210" s="1">
        <v>0.74861111111111112</v>
      </c>
      <c r="G210" s="1">
        <v>0.83611111111111114</v>
      </c>
      <c r="H210">
        <v>126</v>
      </c>
      <c r="I210" t="b">
        <v>0</v>
      </c>
      <c r="J210" t="b">
        <v>1</v>
      </c>
      <c r="K210" t="b">
        <v>0</v>
      </c>
      <c r="L210" t="s">
        <v>47</v>
      </c>
      <c r="M210">
        <v>70</v>
      </c>
      <c r="N210" t="s">
        <v>29</v>
      </c>
      <c r="O210">
        <v>70</v>
      </c>
      <c r="P210" t="s">
        <v>36</v>
      </c>
      <c r="Q210">
        <v>0</v>
      </c>
      <c r="R210">
        <v>70</v>
      </c>
      <c r="S210" t="s">
        <v>53</v>
      </c>
      <c r="T210" t="s">
        <v>32</v>
      </c>
      <c r="U210">
        <v>37.338200000000001</v>
      </c>
      <c r="V210">
        <v>-121.88630000000001</v>
      </c>
      <c r="W210" s="2">
        <v>45825</v>
      </c>
      <c r="X210">
        <v>7</v>
      </c>
      <c r="Y210" t="b">
        <v>1</v>
      </c>
      <c r="Z210" s="2">
        <v>45860</v>
      </c>
      <c r="AA210" t="str">
        <f t="shared" si="31"/>
        <v>10–19</v>
      </c>
      <c r="AB210" t="str">
        <f t="shared" si="32"/>
        <v>16–19</v>
      </c>
      <c r="AC210" t="str">
        <f t="shared" si="33"/>
        <v>Monday</v>
      </c>
      <c r="AD210" t="str">
        <f t="shared" si="34"/>
        <v/>
      </c>
      <c r="AE210" t="str">
        <f t="shared" si="35"/>
        <v/>
      </c>
      <c r="AF210" t="str">
        <f t="shared" si="36"/>
        <v/>
      </c>
      <c r="AG210" t="str">
        <f t="shared" si="37"/>
        <v/>
      </c>
      <c r="AH210" t="str">
        <f t="shared" si="38"/>
        <v/>
      </c>
      <c r="AI210" t="str">
        <f t="shared" si="39"/>
        <v/>
      </c>
      <c r="AJ210" t="str">
        <f>LEFT(Table1[[#This Row],[membership_type]],2)&amp;TEXT(Table1[[#This Row],[age]],"00")&amp;"-"&amp;TEXT(ROW(),"000")</f>
        <v>El17-210</v>
      </c>
      <c r="AK210" t="str">
        <f>LEFT(Table1[[#This Row],[membership_type]],1)&amp;TEXT(MATCH(Table1[[#This Row],[membership_type]],Table1[membership_type],0),"00")</f>
        <v>E07</v>
      </c>
      <c r="AL210" t="str">
        <f>LEFT(Table1[[#This Row],[discount_type]],1)&amp;TEXT(ROUND(Table1[[#This Row],[discount_rate]]*100,0),"00")</f>
        <v>N00</v>
      </c>
      <c r="AM210" t="str" cm="1">
        <f t="array" ref="AM210">TEXT(SUMPRODUCT(CODE(MID(Table1[[#This Row],[home_gym_location]],_xlfn.SEQUENCE(LEN(Table1[[#This Row],[home_gym_location]])),1))),"00000")</f>
        <v>00931</v>
      </c>
      <c r="AN21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10" t="str">
        <f>LEFT(_xlfn.TEXTBEFORE(Table1[[#This Row],[Location Identifier]],"-"),3) &amp; "-" &amp; _xlfn.TEXTAFTER(Table1[[#This Row],[Location Identifier]],"-")</f>
        <v>SAN-010</v>
      </c>
      <c r="AP210" s="9">
        <f t="shared" ca="1" si="30"/>
        <v>45869</v>
      </c>
    </row>
    <row r="211" spans="1:42" x14ac:dyDescent="0.25">
      <c r="A211">
        <v>40</v>
      </c>
      <c r="B211" t="s">
        <v>26</v>
      </c>
      <c r="C211">
        <v>2</v>
      </c>
      <c r="D211" t="s">
        <v>116</v>
      </c>
      <c r="E211" t="b">
        <v>0</v>
      </c>
      <c r="F211" s="1">
        <v>0.48402777777777778</v>
      </c>
      <c r="G211" s="1">
        <v>0.59930555555555554</v>
      </c>
      <c r="H211">
        <v>166</v>
      </c>
      <c r="I211" t="b">
        <v>0</v>
      </c>
      <c r="J211" t="b">
        <v>1</v>
      </c>
      <c r="K211" t="b">
        <v>1</v>
      </c>
      <c r="L211" t="s">
        <v>28</v>
      </c>
      <c r="M211">
        <v>50</v>
      </c>
      <c r="N211" t="s">
        <v>29</v>
      </c>
      <c r="O211">
        <v>50</v>
      </c>
      <c r="P211" t="s">
        <v>36</v>
      </c>
      <c r="Q211">
        <v>0</v>
      </c>
      <c r="R211">
        <v>50</v>
      </c>
      <c r="S211" t="s">
        <v>31</v>
      </c>
      <c r="T211" t="s">
        <v>32</v>
      </c>
      <c r="U211">
        <v>37.338200000000001</v>
      </c>
      <c r="V211">
        <v>-121.88630000000001</v>
      </c>
      <c r="W211" s="2">
        <v>45659</v>
      </c>
      <c r="X211">
        <v>6</v>
      </c>
      <c r="Y211" t="b">
        <v>1</v>
      </c>
      <c r="Z211" s="2">
        <v>45851</v>
      </c>
      <c r="AA211" t="str">
        <f t="shared" si="31"/>
        <v>40–49</v>
      </c>
      <c r="AB211" t="str">
        <f t="shared" si="32"/>
        <v>40–49</v>
      </c>
      <c r="AC211" t="str">
        <f t="shared" si="33"/>
        <v/>
      </c>
      <c r="AD211" t="str">
        <f t="shared" si="34"/>
        <v/>
      </c>
      <c r="AE211" t="str">
        <f t="shared" si="35"/>
        <v/>
      </c>
      <c r="AF211" t="str">
        <f t="shared" si="36"/>
        <v>Thursday</v>
      </c>
      <c r="AG211" t="str">
        <f t="shared" si="37"/>
        <v/>
      </c>
      <c r="AH211" t="str">
        <f t="shared" si="38"/>
        <v/>
      </c>
      <c r="AI211" t="str">
        <f t="shared" si="39"/>
        <v>Sunday</v>
      </c>
      <c r="AJ211" t="str">
        <f>LEFT(Table1[[#This Row],[membership_type]],2)&amp;TEXT(Table1[[#This Row],[age]],"00")&amp;"-"&amp;TEXT(ROW(),"000")</f>
        <v>Pr40-211</v>
      </c>
      <c r="AK211" t="str">
        <f>LEFT(Table1[[#This Row],[membership_type]],1)&amp;TEXT(MATCH(Table1[[#This Row],[membership_type]],Table1[membership_type],0),"00")</f>
        <v>P01</v>
      </c>
      <c r="AL211" t="str">
        <f>LEFT(Table1[[#This Row],[discount_type]],1)&amp;TEXT(ROUND(Table1[[#This Row],[discount_rate]]*100,0),"00")</f>
        <v>N00</v>
      </c>
      <c r="AM211" t="str" cm="1">
        <f t="array" ref="AM211">TEXT(SUMPRODUCT(CODE(MID(Table1[[#This Row],[home_gym_location]],_xlfn.SEQUENCE(LEN(Table1[[#This Row],[home_gym_location]])),1))),"00000")</f>
        <v>00931</v>
      </c>
      <c r="AN21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11" t="str">
        <f>LEFT(_xlfn.TEXTBEFORE(Table1[[#This Row],[Location Identifier]],"-"),3) &amp; "-" &amp; _xlfn.TEXTAFTER(Table1[[#This Row],[Location Identifier]],"-")</f>
        <v>SAN-010</v>
      </c>
      <c r="AP211" s="9">
        <f t="shared" ca="1" si="30"/>
        <v>45869</v>
      </c>
    </row>
    <row r="212" spans="1:42" x14ac:dyDescent="0.25">
      <c r="A212">
        <v>31</v>
      </c>
      <c r="B212" t="s">
        <v>26</v>
      </c>
      <c r="C212">
        <v>2</v>
      </c>
      <c r="D212" t="s">
        <v>88</v>
      </c>
      <c r="E212" t="b">
        <v>1</v>
      </c>
      <c r="F212" s="1">
        <v>0.85277777777777775</v>
      </c>
      <c r="G212" s="1">
        <v>0.91111111111111109</v>
      </c>
      <c r="H212">
        <v>84</v>
      </c>
      <c r="I212" t="b">
        <v>1</v>
      </c>
      <c r="J212" t="b">
        <v>1</v>
      </c>
      <c r="K212" t="b">
        <v>0</v>
      </c>
      <c r="L212" t="s">
        <v>47</v>
      </c>
      <c r="M212">
        <v>50</v>
      </c>
      <c r="N212" t="s">
        <v>64</v>
      </c>
      <c r="O212">
        <v>37.5</v>
      </c>
      <c r="P212" t="s">
        <v>74</v>
      </c>
      <c r="Q212">
        <v>0.15</v>
      </c>
      <c r="R212">
        <v>31.875</v>
      </c>
      <c r="S212" t="s">
        <v>31</v>
      </c>
      <c r="T212" t="s">
        <v>41</v>
      </c>
      <c r="U212">
        <v>37.804400000000001</v>
      </c>
      <c r="V212">
        <v>-122.27119999999999</v>
      </c>
      <c r="W212" s="2">
        <v>45246</v>
      </c>
      <c r="X212">
        <v>4</v>
      </c>
      <c r="Y212" t="b">
        <v>1</v>
      </c>
      <c r="Z212" s="2">
        <v>45828</v>
      </c>
      <c r="AA212" t="str">
        <f t="shared" si="31"/>
        <v>30–39</v>
      </c>
      <c r="AB212" t="str">
        <f t="shared" si="32"/>
        <v>30–39</v>
      </c>
      <c r="AC212" t="str">
        <f t="shared" si="33"/>
        <v>Monday</v>
      </c>
      <c r="AD212" t="str">
        <f t="shared" si="34"/>
        <v/>
      </c>
      <c r="AE212" t="str">
        <f t="shared" si="35"/>
        <v>Wednesday</v>
      </c>
      <c r="AF212" t="str">
        <f t="shared" si="36"/>
        <v/>
      </c>
      <c r="AG212" t="str">
        <f t="shared" si="37"/>
        <v/>
      </c>
      <c r="AH212" t="str">
        <f t="shared" si="38"/>
        <v/>
      </c>
      <c r="AI212" t="str">
        <f t="shared" si="39"/>
        <v/>
      </c>
      <c r="AJ212" t="str">
        <f>LEFT(Table1[[#This Row],[membership_type]],2)&amp;TEXT(Table1[[#This Row],[age]],"00")&amp;"-"&amp;TEXT(ROW(),"000")</f>
        <v>Pr31-212</v>
      </c>
      <c r="AK212" t="str">
        <f>LEFT(Table1[[#This Row],[membership_type]],1)&amp;TEXT(MATCH(Table1[[#This Row],[membership_type]],Table1[membership_type],0),"00")</f>
        <v>P01</v>
      </c>
      <c r="AL212" t="str">
        <f>LEFT(Table1[[#This Row],[discount_type]],1)&amp;TEXT(ROUND(Table1[[#This Row],[discount_rate]]*100,0),"00")</f>
        <v>S15</v>
      </c>
      <c r="AM212" t="str" cm="1">
        <f t="array" ref="AM212">TEXT(SUMPRODUCT(CODE(MID(Table1[[#This Row],[home_gym_location]],_xlfn.SEQUENCE(LEN(Table1[[#This Row],[home_gym_location]])),1))),"00000")</f>
        <v>00906</v>
      </c>
      <c r="AN212" t="str">
        <f>UPPER(_xlfn.TEXTBEFORE(Table1[[#This Row],[home_gym_location]],","))&amp;"-"&amp;TEXT(MATCH(Table1[[#This Row],[home_gym_location]],_xlfn._xlws.SORT(_xlfn.UNIQUE(Table1[home_gym_location])),0),"000")</f>
        <v>OAKLAND-006</v>
      </c>
      <c r="AO212" t="str">
        <f>LEFT(_xlfn.TEXTBEFORE(Table1[[#This Row],[Location Identifier]],"-"),3) &amp; "-" &amp; _xlfn.TEXTAFTER(Table1[[#This Row],[Location Identifier]],"-")</f>
        <v>OAK-006</v>
      </c>
      <c r="AP212" s="9">
        <f t="shared" ca="1" si="30"/>
        <v>45869</v>
      </c>
    </row>
    <row r="213" spans="1:42" x14ac:dyDescent="0.25">
      <c r="A213">
        <v>39</v>
      </c>
      <c r="B213" t="s">
        <v>26</v>
      </c>
      <c r="C213">
        <v>5</v>
      </c>
      <c r="D213" t="s">
        <v>76</v>
      </c>
      <c r="E213" t="b">
        <v>0</v>
      </c>
      <c r="F213" s="1">
        <v>0.64444444444444449</v>
      </c>
      <c r="G213" s="1">
        <v>0.6875</v>
      </c>
      <c r="H213">
        <v>62</v>
      </c>
      <c r="I213" t="b">
        <v>0</v>
      </c>
      <c r="J213" t="b">
        <v>1</v>
      </c>
      <c r="K213" t="b">
        <v>1</v>
      </c>
      <c r="L213" t="s">
        <v>28</v>
      </c>
      <c r="M213">
        <v>50</v>
      </c>
      <c r="N213" t="s">
        <v>29</v>
      </c>
      <c r="O213">
        <v>50</v>
      </c>
      <c r="P213" t="s">
        <v>40</v>
      </c>
      <c r="Q213">
        <v>0.1</v>
      </c>
      <c r="R213">
        <v>45</v>
      </c>
      <c r="S213" t="s">
        <v>31</v>
      </c>
      <c r="T213" t="s">
        <v>38</v>
      </c>
      <c r="U213">
        <v>36.7378</v>
      </c>
      <c r="V213">
        <v>-119.7871</v>
      </c>
      <c r="W213" s="2">
        <v>45094</v>
      </c>
      <c r="X213">
        <v>8</v>
      </c>
      <c r="Y213" t="b">
        <v>1</v>
      </c>
      <c r="Z213" s="2">
        <v>45819</v>
      </c>
      <c r="AA213" t="str">
        <f t="shared" si="31"/>
        <v>30–39</v>
      </c>
      <c r="AB213" t="str">
        <f t="shared" si="32"/>
        <v>30–39</v>
      </c>
      <c r="AC213" t="str">
        <f t="shared" si="33"/>
        <v>Monday</v>
      </c>
      <c r="AD213" t="str">
        <f t="shared" si="34"/>
        <v>Tuesday</v>
      </c>
      <c r="AE213" t="str">
        <f t="shared" si="35"/>
        <v>Wednesday</v>
      </c>
      <c r="AF213" t="str">
        <f t="shared" si="36"/>
        <v>Thursday</v>
      </c>
      <c r="AG213" t="str">
        <f t="shared" si="37"/>
        <v/>
      </c>
      <c r="AH213" t="str">
        <f t="shared" si="38"/>
        <v/>
      </c>
      <c r="AI213" t="str">
        <f t="shared" si="39"/>
        <v>Sunday</v>
      </c>
      <c r="AJ213" t="str">
        <f>LEFT(Table1[[#This Row],[membership_type]],2)&amp;TEXT(Table1[[#This Row],[age]],"00")&amp;"-"&amp;TEXT(ROW(),"000")</f>
        <v>Pr39-213</v>
      </c>
      <c r="AK213" t="str">
        <f>LEFT(Table1[[#This Row],[membership_type]],1)&amp;TEXT(MATCH(Table1[[#This Row],[membership_type]],Table1[membership_type],0),"00")</f>
        <v>P01</v>
      </c>
      <c r="AL213" t="str">
        <f>LEFT(Table1[[#This Row],[discount_type]],1)&amp;TEXT(ROUND(Table1[[#This Row],[discount_rate]]*100,0),"00")</f>
        <v>L10</v>
      </c>
      <c r="AM213" t="str" cm="1">
        <f t="array" ref="AM213">TEXT(SUMPRODUCT(CODE(MID(Table1[[#This Row],[home_gym_location]],_xlfn.SEQUENCE(LEN(Table1[[#This Row],[home_gym_location]])),1))),"00000")</f>
        <v>00829</v>
      </c>
      <c r="AN213" t="str">
        <f>UPPER(_xlfn.TEXTBEFORE(Table1[[#This Row],[home_gym_location]],","))&amp;"-"&amp;TEXT(MATCH(Table1[[#This Row],[home_gym_location]],_xlfn._xlws.SORT(_xlfn.UNIQUE(Table1[home_gym_location])),0),"000")</f>
        <v>FRESNO-003</v>
      </c>
      <c r="AO213" t="str">
        <f>LEFT(_xlfn.TEXTBEFORE(Table1[[#This Row],[Location Identifier]],"-"),3) &amp; "-" &amp; _xlfn.TEXTAFTER(Table1[[#This Row],[Location Identifier]],"-")</f>
        <v>FRE-003</v>
      </c>
      <c r="AP213" s="9">
        <f t="shared" ca="1" si="30"/>
        <v>45869</v>
      </c>
    </row>
    <row r="214" spans="1:42" x14ac:dyDescent="0.25">
      <c r="A214">
        <v>26</v>
      </c>
      <c r="B214" t="s">
        <v>33</v>
      </c>
      <c r="C214">
        <v>4</v>
      </c>
      <c r="D214" t="s">
        <v>132</v>
      </c>
      <c r="E214" t="b">
        <v>1</v>
      </c>
      <c r="F214" s="1">
        <v>0.54374999999999996</v>
      </c>
      <c r="G214" s="1">
        <v>0.65208333333333335</v>
      </c>
      <c r="H214">
        <v>156</v>
      </c>
      <c r="I214" t="b">
        <v>0</v>
      </c>
      <c r="J214" t="b">
        <v>1</v>
      </c>
      <c r="K214" t="b">
        <v>1</v>
      </c>
      <c r="L214" t="s">
        <v>47</v>
      </c>
      <c r="M214">
        <v>30</v>
      </c>
      <c r="N214" t="s">
        <v>64</v>
      </c>
      <c r="O214">
        <v>22.5</v>
      </c>
      <c r="P214" t="s">
        <v>30</v>
      </c>
      <c r="Q214">
        <v>0.05</v>
      </c>
      <c r="R214">
        <v>21.375</v>
      </c>
      <c r="S214" t="s">
        <v>37</v>
      </c>
      <c r="T214" t="s">
        <v>48</v>
      </c>
      <c r="U214">
        <v>38.581600000000002</v>
      </c>
      <c r="V214">
        <v>-121.4944</v>
      </c>
      <c r="W214" s="2">
        <v>45136</v>
      </c>
      <c r="X214">
        <v>7</v>
      </c>
      <c r="Y214" t="b">
        <v>0</v>
      </c>
      <c r="Z214" s="2">
        <v>45821</v>
      </c>
      <c r="AA214" t="str">
        <f t="shared" si="31"/>
        <v>20–29</v>
      </c>
      <c r="AB214" t="str">
        <f t="shared" si="32"/>
        <v>20–29</v>
      </c>
      <c r="AC214" t="str">
        <f t="shared" si="33"/>
        <v>Monday</v>
      </c>
      <c r="AD214" t="str">
        <f t="shared" si="34"/>
        <v/>
      </c>
      <c r="AE214" t="str">
        <f t="shared" si="35"/>
        <v>Wednesday</v>
      </c>
      <c r="AF214" t="str">
        <f t="shared" si="36"/>
        <v>Thursday</v>
      </c>
      <c r="AG214" t="str">
        <f t="shared" si="37"/>
        <v/>
      </c>
      <c r="AH214" t="str">
        <f t="shared" si="38"/>
        <v>Saturday</v>
      </c>
      <c r="AI214" t="str">
        <f t="shared" si="39"/>
        <v/>
      </c>
      <c r="AJ214" t="str">
        <f>LEFT(Table1[[#This Row],[membership_type]],2)&amp;TEXT(Table1[[#This Row],[age]],"00")&amp;"-"&amp;TEXT(ROW(),"000")</f>
        <v>St26-214</v>
      </c>
      <c r="AK214" t="str">
        <f>LEFT(Table1[[#This Row],[membership_type]],1)&amp;TEXT(MATCH(Table1[[#This Row],[membership_type]],Table1[membership_type],0),"00")</f>
        <v>S02</v>
      </c>
      <c r="AL214" t="str">
        <f>LEFT(Table1[[#This Row],[discount_type]],1)&amp;TEXT(ROUND(Table1[[#This Row],[discount_rate]]*100,0),"00")</f>
        <v>P05</v>
      </c>
      <c r="AM214" t="str" cm="1">
        <f t="array" ref="AM214">TEXT(SUMPRODUCT(CODE(MID(Table1[[#This Row],[home_gym_location]],_xlfn.SEQUENCE(LEN(Table1[[#This Row],[home_gym_location]])),1))),"00000")</f>
        <v>01245</v>
      </c>
      <c r="AN21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14" t="str">
        <f>LEFT(_xlfn.TEXTBEFORE(Table1[[#This Row],[Location Identifier]],"-"),3) &amp; "-" &amp; _xlfn.TEXTAFTER(Table1[[#This Row],[Location Identifier]],"-")</f>
        <v>SAC-007</v>
      </c>
      <c r="AP214" s="9">
        <f t="shared" ca="1" si="30"/>
        <v>45869</v>
      </c>
    </row>
    <row r="215" spans="1:42" x14ac:dyDescent="0.25">
      <c r="A215">
        <v>39</v>
      </c>
      <c r="B215" t="s">
        <v>33</v>
      </c>
      <c r="C215">
        <v>5</v>
      </c>
      <c r="D215" t="s">
        <v>118</v>
      </c>
      <c r="E215" t="b">
        <v>1</v>
      </c>
      <c r="F215" s="1">
        <v>0.63611111111111107</v>
      </c>
      <c r="G215" s="1">
        <v>0.71875</v>
      </c>
      <c r="H215">
        <v>119</v>
      </c>
      <c r="I215" t="b">
        <v>1</v>
      </c>
      <c r="J215" t="b">
        <v>1</v>
      </c>
      <c r="K215" t="b">
        <v>0</v>
      </c>
      <c r="L215" t="s">
        <v>62</v>
      </c>
      <c r="M215">
        <v>30</v>
      </c>
      <c r="N215" t="s">
        <v>29</v>
      </c>
      <c r="O215">
        <v>30</v>
      </c>
      <c r="P215" t="s">
        <v>74</v>
      </c>
      <c r="Q215">
        <v>0.15</v>
      </c>
      <c r="R215">
        <v>25.5</v>
      </c>
      <c r="S215" t="s">
        <v>37</v>
      </c>
      <c r="T215" t="s">
        <v>48</v>
      </c>
      <c r="U215">
        <v>38.581600000000002</v>
      </c>
      <c r="V215">
        <v>-121.4944</v>
      </c>
      <c r="W215" s="2">
        <v>45592</v>
      </c>
      <c r="X215">
        <v>8</v>
      </c>
      <c r="Y215" t="b">
        <v>0</v>
      </c>
      <c r="Z215" s="2">
        <v>45847</v>
      </c>
      <c r="AA215" t="str">
        <f t="shared" si="31"/>
        <v>30–39</v>
      </c>
      <c r="AB215" t="str">
        <f t="shared" si="32"/>
        <v>30–39</v>
      </c>
      <c r="AC215" t="str">
        <f t="shared" si="33"/>
        <v>Monday</v>
      </c>
      <c r="AD215" t="str">
        <f t="shared" si="34"/>
        <v/>
      </c>
      <c r="AE215" t="str">
        <f t="shared" si="35"/>
        <v>Wednesday</v>
      </c>
      <c r="AF215" t="str">
        <f t="shared" si="36"/>
        <v>Thursday</v>
      </c>
      <c r="AG215" t="str">
        <f t="shared" si="37"/>
        <v>Friday</v>
      </c>
      <c r="AH215" t="str">
        <f t="shared" si="38"/>
        <v>Saturday</v>
      </c>
      <c r="AI215" t="str">
        <f t="shared" si="39"/>
        <v/>
      </c>
      <c r="AJ215" t="str">
        <f>LEFT(Table1[[#This Row],[membership_type]],2)&amp;TEXT(Table1[[#This Row],[age]],"00")&amp;"-"&amp;TEXT(ROW(),"000")</f>
        <v>St39-215</v>
      </c>
      <c r="AK215" t="str">
        <f>LEFT(Table1[[#This Row],[membership_type]],1)&amp;TEXT(MATCH(Table1[[#This Row],[membership_type]],Table1[membership_type],0),"00")</f>
        <v>S02</v>
      </c>
      <c r="AL215" t="str">
        <f>LEFT(Table1[[#This Row],[discount_type]],1)&amp;TEXT(ROUND(Table1[[#This Row],[discount_rate]]*100,0),"00")</f>
        <v>S15</v>
      </c>
      <c r="AM215" t="str" cm="1">
        <f t="array" ref="AM215">TEXT(SUMPRODUCT(CODE(MID(Table1[[#This Row],[home_gym_location]],_xlfn.SEQUENCE(LEN(Table1[[#This Row],[home_gym_location]])),1))),"00000")</f>
        <v>01245</v>
      </c>
      <c r="AN21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15" t="str">
        <f>LEFT(_xlfn.TEXTBEFORE(Table1[[#This Row],[Location Identifier]],"-"),3) &amp; "-" &amp; _xlfn.TEXTAFTER(Table1[[#This Row],[Location Identifier]],"-")</f>
        <v>SAC-007</v>
      </c>
      <c r="AP215" s="9">
        <f t="shared" ca="1" si="30"/>
        <v>45869</v>
      </c>
    </row>
    <row r="216" spans="1:42" x14ac:dyDescent="0.25">
      <c r="A216">
        <v>29</v>
      </c>
      <c r="B216" t="s">
        <v>33</v>
      </c>
      <c r="C216">
        <v>3</v>
      </c>
      <c r="D216" t="s">
        <v>100</v>
      </c>
      <c r="E216" t="b">
        <v>0</v>
      </c>
      <c r="F216" s="1">
        <v>0.59444444444444444</v>
      </c>
      <c r="G216" s="1">
        <v>0.71388888888888891</v>
      </c>
      <c r="H216">
        <v>172</v>
      </c>
      <c r="I216" t="b">
        <v>0</v>
      </c>
      <c r="J216" t="b">
        <v>0</v>
      </c>
      <c r="K216" t="b">
        <v>0</v>
      </c>
      <c r="L216" t="s">
        <v>62</v>
      </c>
      <c r="M216">
        <v>30</v>
      </c>
      <c r="N216" t="s">
        <v>29</v>
      </c>
      <c r="O216">
        <v>30</v>
      </c>
      <c r="P216" t="s">
        <v>30</v>
      </c>
      <c r="Q216">
        <v>0.05</v>
      </c>
      <c r="R216">
        <v>28.5</v>
      </c>
      <c r="S216" t="s">
        <v>37</v>
      </c>
      <c r="T216" t="s">
        <v>38</v>
      </c>
      <c r="U216">
        <v>36.7378</v>
      </c>
      <c r="V216">
        <v>-119.7871</v>
      </c>
      <c r="W216" s="2">
        <v>45072</v>
      </c>
      <c r="X216">
        <v>0</v>
      </c>
      <c r="Y216" t="b">
        <v>0</v>
      </c>
      <c r="Z216" s="2">
        <v>45818</v>
      </c>
      <c r="AA216" t="str">
        <f t="shared" si="31"/>
        <v>20–29</v>
      </c>
      <c r="AB216" t="str">
        <f t="shared" si="32"/>
        <v>20–29</v>
      </c>
      <c r="AC216" t="str">
        <f t="shared" si="33"/>
        <v/>
      </c>
      <c r="AD216" t="str">
        <f t="shared" si="34"/>
        <v/>
      </c>
      <c r="AE216" t="str">
        <f t="shared" si="35"/>
        <v>Wednesday</v>
      </c>
      <c r="AF216" t="str">
        <f t="shared" si="36"/>
        <v/>
      </c>
      <c r="AG216" t="str">
        <f t="shared" si="37"/>
        <v>Friday</v>
      </c>
      <c r="AH216" t="str">
        <f t="shared" si="38"/>
        <v/>
      </c>
      <c r="AI216" t="str">
        <f t="shared" si="39"/>
        <v>Sunday</v>
      </c>
      <c r="AJ216" t="str">
        <f>LEFT(Table1[[#This Row],[membership_type]],2)&amp;TEXT(Table1[[#This Row],[age]],"00")&amp;"-"&amp;TEXT(ROW(),"000")</f>
        <v>St29-216</v>
      </c>
      <c r="AK216" t="str">
        <f>LEFT(Table1[[#This Row],[membership_type]],1)&amp;TEXT(MATCH(Table1[[#This Row],[membership_type]],Table1[membership_type],0),"00")</f>
        <v>S02</v>
      </c>
      <c r="AL216" t="str">
        <f>LEFT(Table1[[#This Row],[discount_type]],1)&amp;TEXT(ROUND(Table1[[#This Row],[discount_rate]]*100,0),"00")</f>
        <v>P05</v>
      </c>
      <c r="AM216" t="str" cm="1">
        <f t="array" ref="AM216">TEXT(SUMPRODUCT(CODE(MID(Table1[[#This Row],[home_gym_location]],_xlfn.SEQUENCE(LEN(Table1[[#This Row],[home_gym_location]])),1))),"00000")</f>
        <v>00829</v>
      </c>
      <c r="AN216" t="str">
        <f>UPPER(_xlfn.TEXTBEFORE(Table1[[#This Row],[home_gym_location]],","))&amp;"-"&amp;TEXT(MATCH(Table1[[#This Row],[home_gym_location]],_xlfn._xlws.SORT(_xlfn.UNIQUE(Table1[home_gym_location])),0),"000")</f>
        <v>FRESNO-003</v>
      </c>
      <c r="AO216" t="str">
        <f>LEFT(_xlfn.TEXTBEFORE(Table1[[#This Row],[Location Identifier]],"-"),3) &amp; "-" &amp; _xlfn.TEXTAFTER(Table1[[#This Row],[Location Identifier]],"-")</f>
        <v>FRE-003</v>
      </c>
      <c r="AP216" s="9">
        <f t="shared" ca="1" si="30"/>
        <v>45869</v>
      </c>
    </row>
    <row r="217" spans="1:42" x14ac:dyDescent="0.25">
      <c r="A217">
        <v>27</v>
      </c>
      <c r="B217" t="s">
        <v>33</v>
      </c>
      <c r="C217">
        <v>2</v>
      </c>
      <c r="D217" t="s">
        <v>126</v>
      </c>
      <c r="E217" t="b">
        <v>0</v>
      </c>
      <c r="F217" s="1">
        <v>0.76944444444444449</v>
      </c>
      <c r="G217" s="1">
        <v>0.84722222222222221</v>
      </c>
      <c r="H217">
        <v>112</v>
      </c>
      <c r="I217" t="b">
        <v>1</v>
      </c>
      <c r="J217" t="b">
        <v>0</v>
      </c>
      <c r="K217" t="b">
        <v>0</v>
      </c>
      <c r="L217" t="s">
        <v>28</v>
      </c>
      <c r="M217">
        <v>30</v>
      </c>
      <c r="N217" t="s">
        <v>29</v>
      </c>
      <c r="O217">
        <v>30</v>
      </c>
      <c r="P217" t="s">
        <v>74</v>
      </c>
      <c r="Q217">
        <v>0.15</v>
      </c>
      <c r="R217">
        <v>25.5</v>
      </c>
      <c r="S217" t="s">
        <v>37</v>
      </c>
      <c r="T217" t="s">
        <v>48</v>
      </c>
      <c r="U217">
        <v>38.581600000000002</v>
      </c>
      <c r="V217">
        <v>-121.4944</v>
      </c>
      <c r="W217" s="2">
        <v>45578</v>
      </c>
      <c r="X217">
        <v>0</v>
      </c>
      <c r="Y217" t="b">
        <v>1</v>
      </c>
      <c r="Z217" s="2">
        <v>45846</v>
      </c>
      <c r="AA217" t="str">
        <f t="shared" si="31"/>
        <v>20–29</v>
      </c>
      <c r="AB217" t="str">
        <f t="shared" si="32"/>
        <v>20–29</v>
      </c>
      <c r="AC217" t="str">
        <f t="shared" si="33"/>
        <v/>
      </c>
      <c r="AD217" t="str">
        <f t="shared" si="34"/>
        <v>Tuesday</v>
      </c>
      <c r="AE217" t="str">
        <f t="shared" si="35"/>
        <v>Wednesday</v>
      </c>
      <c r="AF217" t="str">
        <f t="shared" si="36"/>
        <v/>
      </c>
      <c r="AG217" t="str">
        <f t="shared" si="37"/>
        <v/>
      </c>
      <c r="AH217" t="str">
        <f t="shared" si="38"/>
        <v/>
      </c>
      <c r="AI217" t="str">
        <f t="shared" si="39"/>
        <v/>
      </c>
      <c r="AJ217" t="str">
        <f>LEFT(Table1[[#This Row],[membership_type]],2)&amp;TEXT(Table1[[#This Row],[age]],"00")&amp;"-"&amp;TEXT(ROW(),"000")</f>
        <v>St27-217</v>
      </c>
      <c r="AK217" t="str">
        <f>LEFT(Table1[[#This Row],[membership_type]],1)&amp;TEXT(MATCH(Table1[[#This Row],[membership_type]],Table1[membership_type],0),"00")</f>
        <v>S02</v>
      </c>
      <c r="AL217" t="str">
        <f>LEFT(Table1[[#This Row],[discount_type]],1)&amp;TEXT(ROUND(Table1[[#This Row],[discount_rate]]*100,0),"00")</f>
        <v>S15</v>
      </c>
      <c r="AM217" t="str" cm="1">
        <f t="array" ref="AM217">TEXT(SUMPRODUCT(CODE(MID(Table1[[#This Row],[home_gym_location]],_xlfn.SEQUENCE(LEN(Table1[[#This Row],[home_gym_location]])),1))),"00000")</f>
        <v>01245</v>
      </c>
      <c r="AN21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17" t="str">
        <f>LEFT(_xlfn.TEXTBEFORE(Table1[[#This Row],[Location Identifier]],"-"),3) &amp; "-" &amp; _xlfn.TEXTAFTER(Table1[[#This Row],[Location Identifier]],"-")</f>
        <v>SAC-007</v>
      </c>
      <c r="AP217" s="9">
        <f t="shared" ca="1" si="30"/>
        <v>45869</v>
      </c>
    </row>
    <row r="218" spans="1:42" x14ac:dyDescent="0.25">
      <c r="A218">
        <v>32</v>
      </c>
      <c r="B218" t="s">
        <v>26</v>
      </c>
      <c r="C218">
        <v>3</v>
      </c>
      <c r="D218" t="s">
        <v>133</v>
      </c>
      <c r="E218" t="b">
        <v>1</v>
      </c>
      <c r="F218" s="1">
        <v>0.74097222222222225</v>
      </c>
      <c r="G218" s="1">
        <v>0.81111111111111112</v>
      </c>
      <c r="H218">
        <v>101</v>
      </c>
      <c r="I218" t="b">
        <v>0</v>
      </c>
      <c r="J218" t="b">
        <v>0</v>
      </c>
      <c r="K218" t="b">
        <v>1</v>
      </c>
      <c r="L218" t="s">
        <v>62</v>
      </c>
      <c r="M218">
        <v>50</v>
      </c>
      <c r="N218" t="s">
        <v>78</v>
      </c>
      <c r="O218">
        <v>45</v>
      </c>
      <c r="P218" t="s">
        <v>40</v>
      </c>
      <c r="Q218">
        <v>0.1</v>
      </c>
      <c r="R218">
        <v>40.5</v>
      </c>
      <c r="S218" t="s">
        <v>31</v>
      </c>
      <c r="T218" t="s">
        <v>38</v>
      </c>
      <c r="U218">
        <v>36.7378</v>
      </c>
      <c r="V218">
        <v>-119.7871</v>
      </c>
      <c r="W218" s="2">
        <v>45484</v>
      </c>
      <c r="X218">
        <v>0</v>
      </c>
      <c r="Y218" t="b">
        <v>0</v>
      </c>
      <c r="Z218" s="2">
        <v>45841</v>
      </c>
      <c r="AA218" t="str">
        <f t="shared" si="31"/>
        <v>30–39</v>
      </c>
      <c r="AB218" t="str">
        <f t="shared" si="32"/>
        <v>30–39</v>
      </c>
      <c r="AC218" t="str">
        <f t="shared" si="33"/>
        <v/>
      </c>
      <c r="AD218" t="str">
        <f t="shared" si="34"/>
        <v>Tuesday</v>
      </c>
      <c r="AE218" t="str">
        <f t="shared" si="35"/>
        <v>Wednesday</v>
      </c>
      <c r="AF218" t="str">
        <f t="shared" si="36"/>
        <v/>
      </c>
      <c r="AG218" t="str">
        <f t="shared" si="37"/>
        <v>Friday</v>
      </c>
      <c r="AH218" t="str">
        <f t="shared" si="38"/>
        <v/>
      </c>
      <c r="AI218" t="str">
        <f t="shared" si="39"/>
        <v/>
      </c>
      <c r="AJ218" t="str">
        <f>LEFT(Table1[[#This Row],[membership_type]],2)&amp;TEXT(Table1[[#This Row],[age]],"00")&amp;"-"&amp;TEXT(ROW(),"000")</f>
        <v>Pr32-218</v>
      </c>
      <c r="AK218" t="str">
        <f>LEFT(Table1[[#This Row],[membership_type]],1)&amp;TEXT(MATCH(Table1[[#This Row],[membership_type]],Table1[membership_type],0),"00")</f>
        <v>P01</v>
      </c>
      <c r="AL218" t="str">
        <f>LEFT(Table1[[#This Row],[discount_type]],1)&amp;TEXT(ROUND(Table1[[#This Row],[discount_rate]]*100,0),"00")</f>
        <v>L10</v>
      </c>
      <c r="AM218" t="str" cm="1">
        <f t="array" ref="AM218">TEXT(SUMPRODUCT(CODE(MID(Table1[[#This Row],[home_gym_location]],_xlfn.SEQUENCE(LEN(Table1[[#This Row],[home_gym_location]])),1))),"00000")</f>
        <v>00829</v>
      </c>
      <c r="AN218" t="str">
        <f>UPPER(_xlfn.TEXTBEFORE(Table1[[#This Row],[home_gym_location]],","))&amp;"-"&amp;TEXT(MATCH(Table1[[#This Row],[home_gym_location]],_xlfn._xlws.SORT(_xlfn.UNIQUE(Table1[home_gym_location])),0),"000")</f>
        <v>FRESNO-003</v>
      </c>
      <c r="AO218" t="str">
        <f>LEFT(_xlfn.TEXTBEFORE(Table1[[#This Row],[Location Identifier]],"-"),3) &amp; "-" &amp; _xlfn.TEXTAFTER(Table1[[#This Row],[Location Identifier]],"-")</f>
        <v>FRE-003</v>
      </c>
      <c r="AP218" s="9">
        <f t="shared" ca="1" si="30"/>
        <v>45869</v>
      </c>
    </row>
    <row r="219" spans="1:42" x14ac:dyDescent="0.25">
      <c r="A219">
        <v>35</v>
      </c>
      <c r="B219" t="s">
        <v>33</v>
      </c>
      <c r="C219">
        <v>1</v>
      </c>
      <c r="D219" t="s">
        <v>75</v>
      </c>
      <c r="E219" t="b">
        <v>1</v>
      </c>
      <c r="F219" s="1">
        <v>0.55000000000000004</v>
      </c>
      <c r="G219" s="1">
        <v>0.62083333333333335</v>
      </c>
      <c r="H219">
        <v>102</v>
      </c>
      <c r="I219" t="b">
        <v>1</v>
      </c>
      <c r="J219" t="b">
        <v>1</v>
      </c>
      <c r="K219" t="b">
        <v>0</v>
      </c>
      <c r="L219" t="s">
        <v>35</v>
      </c>
      <c r="M219">
        <v>30</v>
      </c>
      <c r="N219" t="s">
        <v>29</v>
      </c>
      <c r="O219">
        <v>30</v>
      </c>
      <c r="P219" t="s">
        <v>36</v>
      </c>
      <c r="Q219">
        <v>0</v>
      </c>
      <c r="R219">
        <v>30</v>
      </c>
      <c r="S219" t="s">
        <v>37</v>
      </c>
      <c r="T219" t="s">
        <v>65</v>
      </c>
      <c r="U219">
        <v>33.770099999999999</v>
      </c>
      <c r="V219">
        <v>-118.19370000000001</v>
      </c>
      <c r="W219" s="2">
        <v>45035</v>
      </c>
      <c r="X219">
        <v>6</v>
      </c>
      <c r="Y219" t="b">
        <v>0</v>
      </c>
      <c r="Z219" s="2">
        <v>45816</v>
      </c>
      <c r="AA219" t="str">
        <f t="shared" si="31"/>
        <v>30–39</v>
      </c>
      <c r="AB219" t="str">
        <f t="shared" si="32"/>
        <v>30–39</v>
      </c>
      <c r="AC219" t="str">
        <f t="shared" si="33"/>
        <v/>
      </c>
      <c r="AD219" t="str">
        <f t="shared" si="34"/>
        <v/>
      </c>
      <c r="AE219" t="str">
        <f t="shared" si="35"/>
        <v/>
      </c>
      <c r="AF219" t="str">
        <f t="shared" si="36"/>
        <v/>
      </c>
      <c r="AG219" t="str">
        <f t="shared" si="37"/>
        <v>Friday</v>
      </c>
      <c r="AH219" t="str">
        <f t="shared" si="38"/>
        <v/>
      </c>
      <c r="AI219" t="str">
        <f t="shared" si="39"/>
        <v/>
      </c>
      <c r="AJ219" t="str">
        <f>LEFT(Table1[[#This Row],[membership_type]],2)&amp;TEXT(Table1[[#This Row],[age]],"00")&amp;"-"&amp;TEXT(ROW(),"000")</f>
        <v>St35-219</v>
      </c>
      <c r="AK219" t="str">
        <f>LEFT(Table1[[#This Row],[membership_type]],1)&amp;TEXT(MATCH(Table1[[#This Row],[membership_type]],Table1[membership_type],0),"00")</f>
        <v>S02</v>
      </c>
      <c r="AL219" t="str">
        <f>LEFT(Table1[[#This Row],[discount_type]],1)&amp;TEXT(ROUND(Table1[[#This Row],[discount_rate]]*100,0),"00")</f>
        <v>N00</v>
      </c>
      <c r="AM219" t="str" cm="1">
        <f t="array" ref="AM219">TEXT(SUMPRODUCT(CODE(MID(Table1[[#This Row],[home_gym_location]],_xlfn.SEQUENCE(LEN(Table1[[#This Row],[home_gym_location]])),1))),"00000")</f>
        <v>01107</v>
      </c>
      <c r="AN21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19" t="str">
        <f>LEFT(_xlfn.TEXTBEFORE(Table1[[#This Row],[Location Identifier]],"-"),3) &amp; "-" &amp; _xlfn.TEXTAFTER(Table1[[#This Row],[Location Identifier]],"-")</f>
        <v>LON-004</v>
      </c>
      <c r="AP219" s="9">
        <f t="shared" ca="1" si="30"/>
        <v>45869</v>
      </c>
    </row>
    <row r="220" spans="1:42" x14ac:dyDescent="0.25">
      <c r="A220">
        <v>43</v>
      </c>
      <c r="B220" t="s">
        <v>33</v>
      </c>
      <c r="C220">
        <v>4</v>
      </c>
      <c r="D220" t="s">
        <v>98</v>
      </c>
      <c r="E220" t="b">
        <v>1</v>
      </c>
      <c r="F220" s="1">
        <v>0.44305555555555554</v>
      </c>
      <c r="G220" s="1">
        <v>0.48680555555555555</v>
      </c>
      <c r="H220">
        <v>63</v>
      </c>
      <c r="I220" t="b">
        <v>1</v>
      </c>
      <c r="J220" t="b">
        <v>1</v>
      </c>
      <c r="K220" t="b">
        <v>1</v>
      </c>
      <c r="L220" t="s">
        <v>28</v>
      </c>
      <c r="M220">
        <v>30</v>
      </c>
      <c r="N220" t="s">
        <v>64</v>
      </c>
      <c r="O220">
        <v>22.5</v>
      </c>
      <c r="P220" t="s">
        <v>30</v>
      </c>
      <c r="Q220">
        <v>0.05</v>
      </c>
      <c r="R220">
        <v>21.375</v>
      </c>
      <c r="S220" t="s">
        <v>37</v>
      </c>
      <c r="T220" t="s">
        <v>56</v>
      </c>
      <c r="U220">
        <v>35.3733</v>
      </c>
      <c r="V220">
        <v>-119.0187</v>
      </c>
      <c r="W220" s="2">
        <v>45139</v>
      </c>
      <c r="X220">
        <v>4</v>
      </c>
      <c r="Y220" t="b">
        <v>0</v>
      </c>
      <c r="Z220" s="2">
        <v>45822</v>
      </c>
      <c r="AA220" t="str">
        <f t="shared" si="31"/>
        <v>40–49</v>
      </c>
      <c r="AB220" t="str">
        <f t="shared" si="32"/>
        <v>40–49</v>
      </c>
      <c r="AC220" t="str">
        <f t="shared" si="33"/>
        <v>Monday</v>
      </c>
      <c r="AD220" t="str">
        <f t="shared" si="34"/>
        <v>Tuesday</v>
      </c>
      <c r="AE220" t="str">
        <f t="shared" si="35"/>
        <v>Wednesday</v>
      </c>
      <c r="AF220" t="str">
        <f t="shared" si="36"/>
        <v/>
      </c>
      <c r="AG220" t="str">
        <f t="shared" si="37"/>
        <v/>
      </c>
      <c r="AH220" t="str">
        <f t="shared" si="38"/>
        <v>Saturday</v>
      </c>
      <c r="AI220" t="str">
        <f t="shared" si="39"/>
        <v/>
      </c>
      <c r="AJ220" t="str">
        <f>LEFT(Table1[[#This Row],[membership_type]],2)&amp;TEXT(Table1[[#This Row],[age]],"00")&amp;"-"&amp;TEXT(ROW(),"000")</f>
        <v>St43-220</v>
      </c>
      <c r="AK220" t="str">
        <f>LEFT(Table1[[#This Row],[membership_type]],1)&amp;TEXT(MATCH(Table1[[#This Row],[membership_type]],Table1[membership_type],0),"00")</f>
        <v>S02</v>
      </c>
      <c r="AL220" t="str">
        <f>LEFT(Table1[[#This Row],[discount_type]],1)&amp;TEXT(ROUND(Table1[[#This Row],[discount_rate]]*100,0),"00")</f>
        <v>P05</v>
      </c>
      <c r="AM220" t="str" cm="1">
        <f t="array" ref="AM220">TEXT(SUMPRODUCT(CODE(MID(Table1[[#This Row],[home_gym_location]],_xlfn.SEQUENCE(LEN(Table1[[#This Row],[home_gym_location]])),1))),"00000")</f>
        <v>01324</v>
      </c>
      <c r="AN22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20" t="str">
        <f>LEFT(_xlfn.TEXTBEFORE(Table1[[#This Row],[Location Identifier]],"-"),3) &amp; "-" &amp; _xlfn.TEXTAFTER(Table1[[#This Row],[Location Identifier]],"-")</f>
        <v>BAK-002</v>
      </c>
      <c r="AP220" s="9">
        <f t="shared" ca="1" si="30"/>
        <v>45869</v>
      </c>
    </row>
    <row r="221" spans="1:42" x14ac:dyDescent="0.25">
      <c r="A221">
        <v>24</v>
      </c>
      <c r="B221" t="s">
        <v>33</v>
      </c>
      <c r="C221">
        <v>3</v>
      </c>
      <c r="D221" t="s">
        <v>80</v>
      </c>
      <c r="E221" t="b">
        <v>1</v>
      </c>
      <c r="F221" s="1">
        <v>0.87013888888888891</v>
      </c>
      <c r="G221" s="1">
        <v>0.8979166666666667</v>
      </c>
      <c r="H221">
        <v>40</v>
      </c>
      <c r="I221" t="b">
        <v>0</v>
      </c>
      <c r="J221" t="b">
        <v>0</v>
      </c>
      <c r="K221" t="b">
        <v>1</v>
      </c>
      <c r="L221" t="s">
        <v>62</v>
      </c>
      <c r="M221">
        <v>30</v>
      </c>
      <c r="N221" t="s">
        <v>29</v>
      </c>
      <c r="O221">
        <v>30</v>
      </c>
      <c r="P221" t="s">
        <v>36</v>
      </c>
      <c r="Q221">
        <v>0</v>
      </c>
      <c r="R221">
        <v>30</v>
      </c>
      <c r="S221" t="s">
        <v>37</v>
      </c>
      <c r="T221" t="s">
        <v>48</v>
      </c>
      <c r="U221">
        <v>38.581600000000002</v>
      </c>
      <c r="V221">
        <v>-121.4944</v>
      </c>
      <c r="W221" s="2">
        <v>44926</v>
      </c>
      <c r="X221">
        <v>0</v>
      </c>
      <c r="Y221" t="b">
        <v>0</v>
      </c>
      <c r="Z221" s="2">
        <v>45810</v>
      </c>
      <c r="AA221" t="str">
        <f t="shared" si="31"/>
        <v>20–29</v>
      </c>
      <c r="AB221" t="str">
        <f t="shared" si="32"/>
        <v>20–29</v>
      </c>
      <c r="AC221" t="str">
        <f t="shared" si="33"/>
        <v>Monday</v>
      </c>
      <c r="AD221" t="str">
        <f t="shared" si="34"/>
        <v/>
      </c>
      <c r="AE221" t="str">
        <f t="shared" si="35"/>
        <v/>
      </c>
      <c r="AF221" t="str">
        <f t="shared" si="36"/>
        <v/>
      </c>
      <c r="AG221" t="str">
        <f t="shared" si="37"/>
        <v/>
      </c>
      <c r="AH221" t="str">
        <f t="shared" si="38"/>
        <v>Saturday</v>
      </c>
      <c r="AI221" t="str">
        <f t="shared" si="39"/>
        <v>Sunday</v>
      </c>
      <c r="AJ221" t="str">
        <f>LEFT(Table1[[#This Row],[membership_type]],2)&amp;TEXT(Table1[[#This Row],[age]],"00")&amp;"-"&amp;TEXT(ROW(),"000")</f>
        <v>St24-221</v>
      </c>
      <c r="AK221" t="str">
        <f>LEFT(Table1[[#This Row],[membership_type]],1)&amp;TEXT(MATCH(Table1[[#This Row],[membership_type]],Table1[membership_type],0),"00")</f>
        <v>S02</v>
      </c>
      <c r="AL221" t="str">
        <f>LEFT(Table1[[#This Row],[discount_type]],1)&amp;TEXT(ROUND(Table1[[#This Row],[discount_rate]]*100,0),"00")</f>
        <v>N00</v>
      </c>
      <c r="AM221" t="str" cm="1">
        <f t="array" ref="AM221">TEXT(SUMPRODUCT(CODE(MID(Table1[[#This Row],[home_gym_location]],_xlfn.SEQUENCE(LEN(Table1[[#This Row],[home_gym_location]])),1))),"00000")</f>
        <v>01245</v>
      </c>
      <c r="AN22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21" t="str">
        <f>LEFT(_xlfn.TEXTBEFORE(Table1[[#This Row],[Location Identifier]],"-"),3) &amp; "-" &amp; _xlfn.TEXTAFTER(Table1[[#This Row],[Location Identifier]],"-")</f>
        <v>SAC-007</v>
      </c>
      <c r="AP221" s="9">
        <f t="shared" ca="1" si="30"/>
        <v>45869</v>
      </c>
    </row>
    <row r="222" spans="1:42" x14ac:dyDescent="0.25">
      <c r="A222">
        <v>22</v>
      </c>
      <c r="B222" t="s">
        <v>33</v>
      </c>
      <c r="C222">
        <v>5</v>
      </c>
      <c r="D222" t="s">
        <v>87</v>
      </c>
      <c r="E222" t="b">
        <v>1</v>
      </c>
      <c r="F222" s="1">
        <v>0.34236111111111112</v>
      </c>
      <c r="G222" s="1">
        <v>0.40694444444444444</v>
      </c>
      <c r="H222">
        <v>93</v>
      </c>
      <c r="I222" t="b">
        <v>0</v>
      </c>
      <c r="J222" t="b">
        <v>0</v>
      </c>
      <c r="K222" t="b">
        <v>1</v>
      </c>
      <c r="L222" t="s">
        <v>28</v>
      </c>
      <c r="M222">
        <v>30</v>
      </c>
      <c r="N222" t="s">
        <v>29</v>
      </c>
      <c r="O222">
        <v>30</v>
      </c>
      <c r="P222" t="s">
        <v>30</v>
      </c>
      <c r="Q222">
        <v>0.05</v>
      </c>
      <c r="R222">
        <v>28.5</v>
      </c>
      <c r="S222" t="s">
        <v>37</v>
      </c>
      <c r="T222" t="s">
        <v>32</v>
      </c>
      <c r="U222">
        <v>37.338200000000001</v>
      </c>
      <c r="V222">
        <v>-121.88630000000001</v>
      </c>
      <c r="W222" s="2">
        <v>45130</v>
      </c>
      <c r="X222">
        <v>0</v>
      </c>
      <c r="Y222" t="b">
        <v>0</v>
      </c>
      <c r="Z222" s="2">
        <v>45821</v>
      </c>
      <c r="AA222" t="str">
        <f t="shared" si="31"/>
        <v>20–29</v>
      </c>
      <c r="AB222" t="str">
        <f t="shared" si="32"/>
        <v>20–29</v>
      </c>
      <c r="AC222" t="str">
        <f t="shared" si="33"/>
        <v/>
      </c>
      <c r="AD222" t="str">
        <f t="shared" si="34"/>
        <v>Tuesday</v>
      </c>
      <c r="AE222" t="str">
        <f t="shared" si="35"/>
        <v>Wednesday</v>
      </c>
      <c r="AF222" t="str">
        <f t="shared" si="36"/>
        <v/>
      </c>
      <c r="AG222" t="str">
        <f t="shared" si="37"/>
        <v>Friday</v>
      </c>
      <c r="AH222" t="str">
        <f t="shared" si="38"/>
        <v>Saturday</v>
      </c>
      <c r="AI222" t="str">
        <f t="shared" si="39"/>
        <v>Sunday</v>
      </c>
      <c r="AJ222" t="str">
        <f>LEFT(Table1[[#This Row],[membership_type]],2)&amp;TEXT(Table1[[#This Row],[age]],"00")&amp;"-"&amp;TEXT(ROW(),"000")</f>
        <v>St22-222</v>
      </c>
      <c r="AK222" t="str">
        <f>LEFT(Table1[[#This Row],[membership_type]],1)&amp;TEXT(MATCH(Table1[[#This Row],[membership_type]],Table1[membership_type],0),"00")</f>
        <v>S02</v>
      </c>
      <c r="AL222" t="str">
        <f>LEFT(Table1[[#This Row],[discount_type]],1)&amp;TEXT(ROUND(Table1[[#This Row],[discount_rate]]*100,0),"00")</f>
        <v>P05</v>
      </c>
      <c r="AM222" t="str" cm="1">
        <f t="array" ref="AM222">TEXT(SUMPRODUCT(CODE(MID(Table1[[#This Row],[home_gym_location]],_xlfn.SEQUENCE(LEN(Table1[[#This Row],[home_gym_location]])),1))),"00000")</f>
        <v>00931</v>
      </c>
      <c r="AN22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22" t="str">
        <f>LEFT(_xlfn.TEXTBEFORE(Table1[[#This Row],[Location Identifier]],"-"),3) &amp; "-" &amp; _xlfn.TEXTAFTER(Table1[[#This Row],[Location Identifier]],"-")</f>
        <v>SAN-010</v>
      </c>
      <c r="AP222" s="9">
        <f t="shared" ca="1" si="30"/>
        <v>45869</v>
      </c>
    </row>
    <row r="223" spans="1:42" x14ac:dyDescent="0.25">
      <c r="A223">
        <v>23</v>
      </c>
      <c r="B223" t="s">
        <v>42</v>
      </c>
      <c r="C223">
        <v>2</v>
      </c>
      <c r="D223" t="s">
        <v>103</v>
      </c>
      <c r="E223" t="b">
        <v>1</v>
      </c>
      <c r="F223" s="1">
        <v>0.54027777777777775</v>
      </c>
      <c r="G223" s="1">
        <v>0.65694444444444444</v>
      </c>
      <c r="H223">
        <v>168</v>
      </c>
      <c r="I223" t="b">
        <v>0</v>
      </c>
      <c r="J223" t="b">
        <v>0</v>
      </c>
      <c r="K223" t="b">
        <v>0</v>
      </c>
      <c r="L223" t="s">
        <v>62</v>
      </c>
      <c r="M223">
        <v>20</v>
      </c>
      <c r="N223" t="s">
        <v>29</v>
      </c>
      <c r="O223">
        <v>20</v>
      </c>
      <c r="P223" t="s">
        <v>36</v>
      </c>
      <c r="Q223">
        <v>0</v>
      </c>
      <c r="R223">
        <v>20</v>
      </c>
      <c r="S223" t="s">
        <v>44</v>
      </c>
      <c r="T223" t="s">
        <v>54</v>
      </c>
      <c r="U223">
        <v>32.715699999999998</v>
      </c>
      <c r="V223">
        <v>-117.1611</v>
      </c>
      <c r="W223" s="2">
        <v>45225</v>
      </c>
      <c r="X223">
        <v>0</v>
      </c>
      <c r="Y223" t="b">
        <v>0</v>
      </c>
      <c r="Z223" s="2">
        <v>45826</v>
      </c>
      <c r="AA223" t="str">
        <f t="shared" si="31"/>
        <v>20–29</v>
      </c>
      <c r="AB223" t="str">
        <f t="shared" si="32"/>
        <v>20–29</v>
      </c>
      <c r="AC223" t="str">
        <f t="shared" si="33"/>
        <v>Monday</v>
      </c>
      <c r="AD223" t="str">
        <f t="shared" si="34"/>
        <v/>
      </c>
      <c r="AE223" t="str">
        <f t="shared" si="35"/>
        <v/>
      </c>
      <c r="AF223" t="str">
        <f t="shared" si="36"/>
        <v/>
      </c>
      <c r="AG223" t="str">
        <f t="shared" si="37"/>
        <v/>
      </c>
      <c r="AH223" t="str">
        <f t="shared" si="38"/>
        <v/>
      </c>
      <c r="AI223" t="str">
        <f t="shared" si="39"/>
        <v>Sunday</v>
      </c>
      <c r="AJ223" t="str">
        <f>LEFT(Table1[[#This Row],[membership_type]],2)&amp;TEXT(Table1[[#This Row],[age]],"00")&amp;"-"&amp;TEXT(ROW(),"000")</f>
        <v>Ba23-223</v>
      </c>
      <c r="AK223" t="str">
        <f>LEFT(Table1[[#This Row],[membership_type]],1)&amp;TEXT(MATCH(Table1[[#This Row],[membership_type]],Table1[membership_type],0),"00")</f>
        <v>B04</v>
      </c>
      <c r="AL223" t="str">
        <f>LEFT(Table1[[#This Row],[discount_type]],1)&amp;TEXT(ROUND(Table1[[#This Row],[discount_rate]]*100,0),"00")</f>
        <v>N00</v>
      </c>
      <c r="AM223" t="str" cm="1">
        <f t="array" ref="AM223">TEXT(SUMPRODUCT(CODE(MID(Table1[[#This Row],[home_gym_location]],_xlfn.SEQUENCE(LEN(Table1[[#This Row],[home_gym_location]])),1))),"00000")</f>
        <v>01018</v>
      </c>
      <c r="AN22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23" t="str">
        <f>LEFT(_xlfn.TEXTBEFORE(Table1[[#This Row],[Location Identifier]],"-"),3) &amp; "-" &amp; _xlfn.TEXTAFTER(Table1[[#This Row],[Location Identifier]],"-")</f>
        <v>SAN-008</v>
      </c>
      <c r="AP223" s="9">
        <f t="shared" ca="1" si="30"/>
        <v>45869</v>
      </c>
    </row>
    <row r="224" spans="1:42" x14ac:dyDescent="0.25">
      <c r="A224">
        <v>17</v>
      </c>
      <c r="B224" t="s">
        <v>42</v>
      </c>
      <c r="C224">
        <v>3</v>
      </c>
      <c r="D224" t="s">
        <v>134</v>
      </c>
      <c r="E224" t="b">
        <v>0</v>
      </c>
      <c r="F224" s="1">
        <v>0.4597222222222222</v>
      </c>
      <c r="G224" s="1">
        <v>0.51666666666666672</v>
      </c>
      <c r="H224">
        <v>82</v>
      </c>
      <c r="I224" t="b">
        <v>0</v>
      </c>
      <c r="J224" t="b">
        <v>1</v>
      </c>
      <c r="K224" t="b">
        <v>1</v>
      </c>
      <c r="L224" t="s">
        <v>28</v>
      </c>
      <c r="M224">
        <v>20</v>
      </c>
      <c r="N224" t="s">
        <v>29</v>
      </c>
      <c r="O224">
        <v>20</v>
      </c>
      <c r="P224" t="s">
        <v>74</v>
      </c>
      <c r="Q224">
        <v>0.15</v>
      </c>
      <c r="R224">
        <v>17</v>
      </c>
      <c r="S224" t="s">
        <v>44</v>
      </c>
      <c r="T224" t="s">
        <v>50</v>
      </c>
      <c r="U224">
        <v>34.052199999999999</v>
      </c>
      <c r="V224">
        <v>-118.2437</v>
      </c>
      <c r="W224" s="2">
        <v>45731</v>
      </c>
      <c r="X224">
        <v>3</v>
      </c>
      <c r="Y224" t="b">
        <v>1</v>
      </c>
      <c r="Z224" s="2">
        <v>45855</v>
      </c>
      <c r="AA224" t="str">
        <f t="shared" si="31"/>
        <v>10–19</v>
      </c>
      <c r="AB224" t="str">
        <f t="shared" si="32"/>
        <v>16–19</v>
      </c>
      <c r="AC224" t="str">
        <f t="shared" si="33"/>
        <v/>
      </c>
      <c r="AD224" t="str">
        <f t="shared" si="34"/>
        <v>Tuesday</v>
      </c>
      <c r="AE224" t="str">
        <f t="shared" si="35"/>
        <v/>
      </c>
      <c r="AF224" t="str">
        <f t="shared" si="36"/>
        <v>Thursday</v>
      </c>
      <c r="AG224" t="str">
        <f t="shared" si="37"/>
        <v/>
      </c>
      <c r="AH224" t="str">
        <f t="shared" si="38"/>
        <v>Saturday</v>
      </c>
      <c r="AI224" t="str">
        <f t="shared" si="39"/>
        <v/>
      </c>
      <c r="AJ224" t="str">
        <f>LEFT(Table1[[#This Row],[membership_type]],2)&amp;TEXT(Table1[[#This Row],[age]],"00")&amp;"-"&amp;TEXT(ROW(),"000")</f>
        <v>Ba17-224</v>
      </c>
      <c r="AK224" t="str">
        <f>LEFT(Table1[[#This Row],[membership_type]],1)&amp;TEXT(MATCH(Table1[[#This Row],[membership_type]],Table1[membership_type],0),"00")</f>
        <v>B04</v>
      </c>
      <c r="AL224" t="str">
        <f>LEFT(Table1[[#This Row],[discount_type]],1)&amp;TEXT(ROUND(Table1[[#This Row],[discount_rate]]*100,0),"00")</f>
        <v>S15</v>
      </c>
      <c r="AM224" t="str" cm="1">
        <f t="array" ref="AM224">TEXT(SUMPRODUCT(CODE(MID(Table1[[#This Row],[home_gym_location]],_xlfn.SEQUENCE(LEN(Table1[[#This Row],[home_gym_location]])),1))),"00000")</f>
        <v>01245</v>
      </c>
      <c r="AN22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24" t="str">
        <f>LEFT(_xlfn.TEXTBEFORE(Table1[[#This Row],[Location Identifier]],"-"),3) &amp; "-" &amp; _xlfn.TEXTAFTER(Table1[[#This Row],[Location Identifier]],"-")</f>
        <v>LOS-005</v>
      </c>
      <c r="AP224" s="9">
        <f t="shared" ca="1" si="30"/>
        <v>45869</v>
      </c>
    </row>
    <row r="225" spans="1:42" x14ac:dyDescent="0.25">
      <c r="A225">
        <v>19</v>
      </c>
      <c r="B225" t="s">
        <v>26</v>
      </c>
      <c r="C225">
        <v>1</v>
      </c>
      <c r="D225" t="s">
        <v>63</v>
      </c>
      <c r="E225" t="b">
        <v>1</v>
      </c>
      <c r="F225" s="1">
        <v>0.60416666666666663</v>
      </c>
      <c r="G225" s="1">
        <v>0.72847222222222219</v>
      </c>
      <c r="H225">
        <v>179</v>
      </c>
      <c r="I225" t="b">
        <v>0</v>
      </c>
      <c r="J225" t="b">
        <v>1</v>
      </c>
      <c r="K225" t="b">
        <v>1</v>
      </c>
      <c r="L225" t="s">
        <v>35</v>
      </c>
      <c r="M225">
        <v>50</v>
      </c>
      <c r="N225" t="s">
        <v>64</v>
      </c>
      <c r="O225">
        <v>37.5</v>
      </c>
      <c r="P225" t="s">
        <v>40</v>
      </c>
      <c r="Q225">
        <v>0.1</v>
      </c>
      <c r="R225">
        <v>33.75</v>
      </c>
      <c r="S225" t="s">
        <v>31</v>
      </c>
      <c r="T225" t="s">
        <v>32</v>
      </c>
      <c r="U225">
        <v>37.338200000000001</v>
      </c>
      <c r="V225">
        <v>-121.88630000000001</v>
      </c>
      <c r="W225" s="2">
        <v>45439</v>
      </c>
      <c r="X225">
        <v>2</v>
      </c>
      <c r="Y225" t="b">
        <v>1</v>
      </c>
      <c r="Z225" s="2">
        <v>45838</v>
      </c>
      <c r="AA225" t="str">
        <f t="shared" si="31"/>
        <v>10–19</v>
      </c>
      <c r="AB225" t="str">
        <f t="shared" si="32"/>
        <v>16–19</v>
      </c>
      <c r="AC225" t="str">
        <f t="shared" si="33"/>
        <v/>
      </c>
      <c r="AD225" t="str">
        <f t="shared" si="34"/>
        <v/>
      </c>
      <c r="AE225" t="str">
        <f t="shared" si="35"/>
        <v>Wednesday</v>
      </c>
      <c r="AF225" t="str">
        <f t="shared" si="36"/>
        <v/>
      </c>
      <c r="AG225" t="str">
        <f t="shared" si="37"/>
        <v/>
      </c>
      <c r="AH225" t="str">
        <f t="shared" si="38"/>
        <v/>
      </c>
      <c r="AI225" t="str">
        <f t="shared" si="39"/>
        <v/>
      </c>
      <c r="AJ225" t="str">
        <f>LEFT(Table1[[#This Row],[membership_type]],2)&amp;TEXT(Table1[[#This Row],[age]],"00")&amp;"-"&amp;TEXT(ROW(),"000")</f>
        <v>Pr19-225</v>
      </c>
      <c r="AK225" t="str">
        <f>LEFT(Table1[[#This Row],[membership_type]],1)&amp;TEXT(MATCH(Table1[[#This Row],[membership_type]],Table1[membership_type],0),"00")</f>
        <v>P01</v>
      </c>
      <c r="AL225" t="str">
        <f>LEFT(Table1[[#This Row],[discount_type]],1)&amp;TEXT(ROUND(Table1[[#This Row],[discount_rate]]*100,0),"00")</f>
        <v>L10</v>
      </c>
      <c r="AM225" t="str" cm="1">
        <f t="array" ref="AM225">TEXT(SUMPRODUCT(CODE(MID(Table1[[#This Row],[home_gym_location]],_xlfn.SEQUENCE(LEN(Table1[[#This Row],[home_gym_location]])),1))),"00000")</f>
        <v>00931</v>
      </c>
      <c r="AN22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25" t="str">
        <f>LEFT(_xlfn.TEXTBEFORE(Table1[[#This Row],[Location Identifier]],"-"),3) &amp; "-" &amp; _xlfn.TEXTAFTER(Table1[[#This Row],[Location Identifier]],"-")</f>
        <v>SAN-010</v>
      </c>
      <c r="AP225" s="9">
        <f t="shared" ca="1" si="30"/>
        <v>45869</v>
      </c>
    </row>
    <row r="226" spans="1:42" x14ac:dyDescent="0.25">
      <c r="A226">
        <v>24</v>
      </c>
      <c r="B226" t="s">
        <v>42</v>
      </c>
      <c r="C226">
        <v>2</v>
      </c>
      <c r="D226" t="s">
        <v>84</v>
      </c>
      <c r="E226" t="b">
        <v>1</v>
      </c>
      <c r="F226" s="1">
        <v>0.79027777777777775</v>
      </c>
      <c r="G226" s="1">
        <v>0.81944444444444442</v>
      </c>
      <c r="H226">
        <v>42</v>
      </c>
      <c r="I226" t="b">
        <v>1</v>
      </c>
      <c r="J226" t="b">
        <v>0</v>
      </c>
      <c r="K226" t="b">
        <v>1</v>
      </c>
      <c r="L226" t="s">
        <v>62</v>
      </c>
      <c r="M226">
        <v>20</v>
      </c>
      <c r="N226" t="s">
        <v>78</v>
      </c>
      <c r="O226">
        <v>18</v>
      </c>
      <c r="P226" t="s">
        <v>40</v>
      </c>
      <c r="Q226">
        <v>0.1</v>
      </c>
      <c r="R226">
        <v>16.2</v>
      </c>
      <c r="S226" t="s">
        <v>44</v>
      </c>
      <c r="T226" t="s">
        <v>50</v>
      </c>
      <c r="U226">
        <v>34.052199999999999</v>
      </c>
      <c r="V226">
        <v>-118.2437</v>
      </c>
      <c r="W226" s="2">
        <v>45548</v>
      </c>
      <c r="X226">
        <v>0</v>
      </c>
      <c r="Y226" t="b">
        <v>1</v>
      </c>
      <c r="Z226" s="2">
        <v>45845</v>
      </c>
      <c r="AA226" t="str">
        <f t="shared" si="31"/>
        <v>20–29</v>
      </c>
      <c r="AB226" t="str">
        <f t="shared" si="32"/>
        <v>20–29</v>
      </c>
      <c r="AC226" t="str">
        <f t="shared" si="33"/>
        <v/>
      </c>
      <c r="AD226" t="str">
        <f t="shared" si="34"/>
        <v>Tuesday</v>
      </c>
      <c r="AE226" t="str">
        <f t="shared" si="35"/>
        <v/>
      </c>
      <c r="AF226" t="str">
        <f t="shared" si="36"/>
        <v/>
      </c>
      <c r="AG226" t="str">
        <f t="shared" si="37"/>
        <v/>
      </c>
      <c r="AH226" t="str">
        <f t="shared" si="38"/>
        <v/>
      </c>
      <c r="AI226" t="str">
        <f t="shared" si="39"/>
        <v>Sunday</v>
      </c>
      <c r="AJ226" t="str">
        <f>LEFT(Table1[[#This Row],[membership_type]],2)&amp;TEXT(Table1[[#This Row],[age]],"00")&amp;"-"&amp;TEXT(ROW(),"000")</f>
        <v>Ba24-226</v>
      </c>
      <c r="AK226" t="str">
        <f>LEFT(Table1[[#This Row],[membership_type]],1)&amp;TEXT(MATCH(Table1[[#This Row],[membership_type]],Table1[membership_type],0),"00")</f>
        <v>B04</v>
      </c>
      <c r="AL226" t="str">
        <f>LEFT(Table1[[#This Row],[discount_type]],1)&amp;TEXT(ROUND(Table1[[#This Row],[discount_rate]]*100,0),"00")</f>
        <v>L10</v>
      </c>
      <c r="AM226" t="str" cm="1">
        <f t="array" ref="AM226">TEXT(SUMPRODUCT(CODE(MID(Table1[[#This Row],[home_gym_location]],_xlfn.SEQUENCE(LEN(Table1[[#This Row],[home_gym_location]])),1))),"00000")</f>
        <v>01245</v>
      </c>
      <c r="AN22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26" t="str">
        <f>LEFT(_xlfn.TEXTBEFORE(Table1[[#This Row],[Location Identifier]],"-"),3) &amp; "-" &amp; _xlfn.TEXTAFTER(Table1[[#This Row],[Location Identifier]],"-")</f>
        <v>LOS-005</v>
      </c>
      <c r="AP226" s="9">
        <f t="shared" ca="1" si="30"/>
        <v>45869</v>
      </c>
    </row>
    <row r="227" spans="1:42" x14ac:dyDescent="0.25">
      <c r="A227">
        <v>27</v>
      </c>
      <c r="B227" t="s">
        <v>26</v>
      </c>
      <c r="C227">
        <v>2</v>
      </c>
      <c r="D227" t="s">
        <v>130</v>
      </c>
      <c r="E227" t="b">
        <v>1</v>
      </c>
      <c r="F227" s="1">
        <v>0.85555555555555551</v>
      </c>
      <c r="G227" s="1">
        <v>0.93055555555555558</v>
      </c>
      <c r="H227">
        <v>108</v>
      </c>
      <c r="I227" t="b">
        <v>1</v>
      </c>
      <c r="J227" t="b">
        <v>0</v>
      </c>
      <c r="K227" t="b">
        <v>0</v>
      </c>
      <c r="L227" t="s">
        <v>58</v>
      </c>
      <c r="M227">
        <v>50</v>
      </c>
      <c r="N227" t="s">
        <v>78</v>
      </c>
      <c r="O227">
        <v>45</v>
      </c>
      <c r="P227" t="s">
        <v>36</v>
      </c>
      <c r="Q227">
        <v>0</v>
      </c>
      <c r="R227">
        <v>45</v>
      </c>
      <c r="S227" t="s">
        <v>31</v>
      </c>
      <c r="T227" t="s">
        <v>65</v>
      </c>
      <c r="U227">
        <v>33.770099999999999</v>
      </c>
      <c r="V227">
        <v>-118.19370000000001</v>
      </c>
      <c r="W227" s="2">
        <v>45571</v>
      </c>
      <c r="X227">
        <v>0</v>
      </c>
      <c r="Y227" t="b">
        <v>1</v>
      </c>
      <c r="Z227" s="2">
        <v>45846</v>
      </c>
      <c r="AA227" t="str">
        <f t="shared" si="31"/>
        <v>20–29</v>
      </c>
      <c r="AB227" t="str">
        <f t="shared" si="32"/>
        <v>20–29</v>
      </c>
      <c r="AC227" t="str">
        <f t="shared" si="33"/>
        <v>Monday</v>
      </c>
      <c r="AD227" t="str">
        <f t="shared" si="34"/>
        <v/>
      </c>
      <c r="AE227" t="str">
        <f t="shared" si="35"/>
        <v/>
      </c>
      <c r="AF227" t="str">
        <f t="shared" si="36"/>
        <v>Thursday</v>
      </c>
      <c r="AG227" t="str">
        <f t="shared" si="37"/>
        <v/>
      </c>
      <c r="AH227" t="str">
        <f t="shared" si="38"/>
        <v/>
      </c>
      <c r="AI227" t="str">
        <f t="shared" si="39"/>
        <v/>
      </c>
      <c r="AJ227" t="str">
        <f>LEFT(Table1[[#This Row],[membership_type]],2)&amp;TEXT(Table1[[#This Row],[age]],"00")&amp;"-"&amp;TEXT(ROW(),"000")</f>
        <v>Pr27-227</v>
      </c>
      <c r="AK227" t="str">
        <f>LEFT(Table1[[#This Row],[membership_type]],1)&amp;TEXT(MATCH(Table1[[#This Row],[membership_type]],Table1[membership_type],0),"00")</f>
        <v>P01</v>
      </c>
      <c r="AL227" t="str">
        <f>LEFT(Table1[[#This Row],[discount_type]],1)&amp;TEXT(ROUND(Table1[[#This Row],[discount_rate]]*100,0),"00")</f>
        <v>N00</v>
      </c>
      <c r="AM227" t="str" cm="1">
        <f t="array" ref="AM227">TEXT(SUMPRODUCT(CODE(MID(Table1[[#This Row],[home_gym_location]],_xlfn.SEQUENCE(LEN(Table1[[#This Row],[home_gym_location]])),1))),"00000")</f>
        <v>01107</v>
      </c>
      <c r="AN22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27" t="str">
        <f>LEFT(_xlfn.TEXTBEFORE(Table1[[#This Row],[Location Identifier]],"-"),3) &amp; "-" &amp; _xlfn.TEXTAFTER(Table1[[#This Row],[Location Identifier]],"-")</f>
        <v>LON-004</v>
      </c>
      <c r="AP227" s="9">
        <f t="shared" ca="1" si="30"/>
        <v>45869</v>
      </c>
    </row>
    <row r="228" spans="1:42" x14ac:dyDescent="0.25">
      <c r="A228">
        <v>22</v>
      </c>
      <c r="B228" t="s">
        <v>42</v>
      </c>
      <c r="C228">
        <v>5</v>
      </c>
      <c r="D228" t="s">
        <v>87</v>
      </c>
      <c r="E228" t="b">
        <v>1</v>
      </c>
      <c r="F228" s="1">
        <v>0.43819444444444444</v>
      </c>
      <c r="G228" s="1">
        <v>0.49166666666666664</v>
      </c>
      <c r="H228">
        <v>77</v>
      </c>
      <c r="I228" t="b">
        <v>1</v>
      </c>
      <c r="J228" t="b">
        <v>1</v>
      </c>
      <c r="K228" t="b">
        <v>0</v>
      </c>
      <c r="L228" t="s">
        <v>28</v>
      </c>
      <c r="M228">
        <v>20</v>
      </c>
      <c r="N228" t="s">
        <v>64</v>
      </c>
      <c r="O228">
        <v>15</v>
      </c>
      <c r="P228" t="s">
        <v>30</v>
      </c>
      <c r="Q228">
        <v>0.05</v>
      </c>
      <c r="R228">
        <v>14.25</v>
      </c>
      <c r="S228" t="s">
        <v>44</v>
      </c>
      <c r="T228" t="s">
        <v>45</v>
      </c>
      <c r="U228">
        <v>33.836599999999997</v>
      </c>
      <c r="V228">
        <v>-117.9143</v>
      </c>
      <c r="W228" s="2">
        <v>44794</v>
      </c>
      <c r="X228">
        <v>3</v>
      </c>
      <c r="Y228" t="b">
        <v>1</v>
      </c>
      <c r="Z228" s="2">
        <v>45802</v>
      </c>
      <c r="AA228" t="str">
        <f t="shared" si="31"/>
        <v>20–29</v>
      </c>
      <c r="AB228" t="str">
        <f t="shared" si="32"/>
        <v>20–29</v>
      </c>
      <c r="AC228" t="str">
        <f t="shared" si="33"/>
        <v/>
      </c>
      <c r="AD228" t="str">
        <f t="shared" si="34"/>
        <v>Tuesday</v>
      </c>
      <c r="AE228" t="str">
        <f t="shared" si="35"/>
        <v>Wednesday</v>
      </c>
      <c r="AF228" t="str">
        <f t="shared" si="36"/>
        <v/>
      </c>
      <c r="AG228" t="str">
        <f t="shared" si="37"/>
        <v>Friday</v>
      </c>
      <c r="AH228" t="str">
        <f t="shared" si="38"/>
        <v>Saturday</v>
      </c>
      <c r="AI228" t="str">
        <f t="shared" si="39"/>
        <v>Sunday</v>
      </c>
      <c r="AJ228" t="str">
        <f>LEFT(Table1[[#This Row],[membership_type]],2)&amp;TEXT(Table1[[#This Row],[age]],"00")&amp;"-"&amp;TEXT(ROW(),"000")</f>
        <v>Ba22-228</v>
      </c>
      <c r="AK228" t="str">
        <f>LEFT(Table1[[#This Row],[membership_type]],1)&amp;TEXT(MATCH(Table1[[#This Row],[membership_type]],Table1[membership_type],0),"00")</f>
        <v>B04</v>
      </c>
      <c r="AL228" t="str">
        <f>LEFT(Table1[[#This Row],[discount_type]],1)&amp;TEXT(ROUND(Table1[[#This Row],[discount_rate]]*100,0),"00")</f>
        <v>P05</v>
      </c>
      <c r="AM228" t="str" cm="1">
        <f t="array" ref="AM228">TEXT(SUMPRODUCT(CODE(MID(Table1[[#This Row],[home_gym_location]],_xlfn.SEQUENCE(LEN(Table1[[#This Row],[home_gym_location]])),1))),"00000")</f>
        <v>00899</v>
      </c>
      <c r="AN228" t="str">
        <f>UPPER(_xlfn.TEXTBEFORE(Table1[[#This Row],[home_gym_location]],","))&amp;"-"&amp;TEXT(MATCH(Table1[[#This Row],[home_gym_location]],_xlfn._xlws.SORT(_xlfn.UNIQUE(Table1[home_gym_location])),0),"000")</f>
        <v>ANAHEIM-001</v>
      </c>
      <c r="AO228" t="str">
        <f>LEFT(_xlfn.TEXTBEFORE(Table1[[#This Row],[Location Identifier]],"-"),3) &amp; "-" &amp; _xlfn.TEXTAFTER(Table1[[#This Row],[Location Identifier]],"-")</f>
        <v>ANA-001</v>
      </c>
      <c r="AP228" s="9">
        <f t="shared" ca="1" si="30"/>
        <v>45869</v>
      </c>
    </row>
    <row r="229" spans="1:42" x14ac:dyDescent="0.25">
      <c r="A229">
        <v>14</v>
      </c>
      <c r="B229" t="s">
        <v>51</v>
      </c>
      <c r="C229">
        <v>2</v>
      </c>
      <c r="D229" t="s">
        <v>94</v>
      </c>
      <c r="E229" t="b">
        <v>1</v>
      </c>
      <c r="F229" s="1">
        <v>0.59583333333333333</v>
      </c>
      <c r="G229" s="1">
        <v>0.63402777777777775</v>
      </c>
      <c r="H229">
        <v>55</v>
      </c>
      <c r="I229" t="b">
        <v>1</v>
      </c>
      <c r="J229" t="b">
        <v>0</v>
      </c>
      <c r="K229" t="b">
        <v>1</v>
      </c>
      <c r="L229" t="s">
        <v>62</v>
      </c>
      <c r="M229">
        <v>70</v>
      </c>
      <c r="N229" t="s">
        <v>64</v>
      </c>
      <c r="O229">
        <v>52.5</v>
      </c>
      <c r="P229" t="s">
        <v>30</v>
      </c>
      <c r="Q229">
        <v>0.05</v>
      </c>
      <c r="R229">
        <v>49.875</v>
      </c>
      <c r="S229" t="s">
        <v>53</v>
      </c>
      <c r="T229" t="s">
        <v>59</v>
      </c>
      <c r="U229">
        <v>37.774900000000002</v>
      </c>
      <c r="V229">
        <v>-122.4194</v>
      </c>
      <c r="W229" s="2">
        <v>45412</v>
      </c>
      <c r="X229">
        <v>0</v>
      </c>
      <c r="Y229" t="b">
        <v>1</v>
      </c>
      <c r="Z229" s="2">
        <v>45837</v>
      </c>
      <c r="AA229" t="str">
        <f t="shared" si="31"/>
        <v>10–19</v>
      </c>
      <c r="AB229" t="str">
        <f t="shared" si="32"/>
        <v>Under 16</v>
      </c>
      <c r="AC229" t="str">
        <f t="shared" si="33"/>
        <v/>
      </c>
      <c r="AD229" t="str">
        <f t="shared" si="34"/>
        <v/>
      </c>
      <c r="AE229" t="str">
        <f t="shared" si="35"/>
        <v/>
      </c>
      <c r="AF229" t="str">
        <f t="shared" si="36"/>
        <v/>
      </c>
      <c r="AG229" t="str">
        <f t="shared" si="37"/>
        <v/>
      </c>
      <c r="AH229" t="str">
        <f t="shared" si="38"/>
        <v>Saturday</v>
      </c>
      <c r="AI229" t="str">
        <f t="shared" si="39"/>
        <v>Sunday</v>
      </c>
      <c r="AJ229" t="str">
        <f>LEFT(Table1[[#This Row],[membership_type]],2)&amp;TEXT(Table1[[#This Row],[age]],"00")&amp;"-"&amp;TEXT(ROW(),"000")</f>
        <v>El14-229</v>
      </c>
      <c r="AK229" t="str">
        <f>LEFT(Table1[[#This Row],[membership_type]],1)&amp;TEXT(MATCH(Table1[[#This Row],[membership_type]],Table1[membership_type],0),"00")</f>
        <v>E07</v>
      </c>
      <c r="AL229" t="str">
        <f>LEFT(Table1[[#This Row],[discount_type]],1)&amp;TEXT(ROUND(Table1[[#This Row],[discount_rate]]*100,0),"00")</f>
        <v>P05</v>
      </c>
      <c r="AM229" t="str" cm="1">
        <f t="array" ref="AM229">TEXT(SUMPRODUCT(CODE(MID(Table1[[#This Row],[home_gym_location]],_xlfn.SEQUENCE(LEN(Table1[[#This Row],[home_gym_location]])),1))),"00000")</f>
        <v>01450</v>
      </c>
      <c r="AN22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29" t="str">
        <f>LEFT(_xlfn.TEXTBEFORE(Table1[[#This Row],[Location Identifier]],"-"),3) &amp; "-" &amp; _xlfn.TEXTAFTER(Table1[[#This Row],[Location Identifier]],"-")</f>
        <v>SAN-009</v>
      </c>
      <c r="AP229" s="9">
        <f t="shared" ca="1" si="30"/>
        <v>45869</v>
      </c>
    </row>
    <row r="230" spans="1:42" x14ac:dyDescent="0.25">
      <c r="A230">
        <v>47</v>
      </c>
      <c r="B230" t="s">
        <v>26</v>
      </c>
      <c r="C230">
        <v>1</v>
      </c>
      <c r="D230" t="s">
        <v>97</v>
      </c>
      <c r="E230" t="b">
        <v>0</v>
      </c>
      <c r="F230" s="1">
        <v>0.81388888888888888</v>
      </c>
      <c r="G230" s="1">
        <v>0.84861111111111109</v>
      </c>
      <c r="H230">
        <v>50</v>
      </c>
      <c r="I230" t="b">
        <v>1</v>
      </c>
      <c r="J230" t="b">
        <v>0</v>
      </c>
      <c r="K230" t="b">
        <v>0</v>
      </c>
      <c r="L230" t="s">
        <v>28</v>
      </c>
      <c r="M230">
        <v>50</v>
      </c>
      <c r="N230" t="s">
        <v>29</v>
      </c>
      <c r="O230">
        <v>50</v>
      </c>
      <c r="P230" t="s">
        <v>36</v>
      </c>
      <c r="Q230">
        <v>0</v>
      </c>
      <c r="R230">
        <v>50</v>
      </c>
      <c r="S230" t="s">
        <v>31</v>
      </c>
      <c r="T230" t="s">
        <v>59</v>
      </c>
      <c r="U230">
        <v>37.774900000000002</v>
      </c>
      <c r="V230">
        <v>-122.4194</v>
      </c>
      <c r="W230" s="2">
        <v>44880</v>
      </c>
      <c r="X230">
        <v>0</v>
      </c>
      <c r="Y230" t="b">
        <v>1</v>
      </c>
      <c r="Z230" s="2">
        <v>45807</v>
      </c>
      <c r="AA230" t="str">
        <f t="shared" si="31"/>
        <v>40–49</v>
      </c>
      <c r="AB230" t="str">
        <f t="shared" si="32"/>
        <v>40–49</v>
      </c>
      <c r="AC230" t="str">
        <f t="shared" si="33"/>
        <v>Monday</v>
      </c>
      <c r="AD230" t="str">
        <f t="shared" si="34"/>
        <v/>
      </c>
      <c r="AE230" t="str">
        <f t="shared" si="35"/>
        <v/>
      </c>
      <c r="AF230" t="str">
        <f t="shared" si="36"/>
        <v/>
      </c>
      <c r="AG230" t="str">
        <f t="shared" si="37"/>
        <v/>
      </c>
      <c r="AH230" t="str">
        <f t="shared" si="38"/>
        <v/>
      </c>
      <c r="AI230" t="str">
        <f t="shared" si="39"/>
        <v/>
      </c>
      <c r="AJ230" t="str">
        <f>LEFT(Table1[[#This Row],[membership_type]],2)&amp;TEXT(Table1[[#This Row],[age]],"00")&amp;"-"&amp;TEXT(ROW(),"000")</f>
        <v>Pr47-230</v>
      </c>
      <c r="AK230" t="str">
        <f>LEFT(Table1[[#This Row],[membership_type]],1)&amp;TEXT(MATCH(Table1[[#This Row],[membership_type]],Table1[membership_type],0),"00")</f>
        <v>P01</v>
      </c>
      <c r="AL230" t="str">
        <f>LEFT(Table1[[#This Row],[discount_type]],1)&amp;TEXT(ROUND(Table1[[#This Row],[discount_rate]]*100,0),"00")</f>
        <v>N00</v>
      </c>
      <c r="AM230" t="str" cm="1">
        <f t="array" ref="AM230">TEXT(SUMPRODUCT(CODE(MID(Table1[[#This Row],[home_gym_location]],_xlfn.SEQUENCE(LEN(Table1[[#This Row],[home_gym_location]])),1))),"00000")</f>
        <v>01450</v>
      </c>
      <c r="AN23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30" t="str">
        <f>LEFT(_xlfn.TEXTBEFORE(Table1[[#This Row],[Location Identifier]],"-"),3) &amp; "-" &amp; _xlfn.TEXTAFTER(Table1[[#This Row],[Location Identifier]],"-")</f>
        <v>SAN-009</v>
      </c>
      <c r="AP230" s="9">
        <f t="shared" ca="1" si="30"/>
        <v>45869</v>
      </c>
    </row>
    <row r="231" spans="1:42" x14ac:dyDescent="0.25">
      <c r="A231">
        <v>26</v>
      </c>
      <c r="B231" t="s">
        <v>42</v>
      </c>
      <c r="C231">
        <v>3</v>
      </c>
      <c r="D231" t="s">
        <v>60</v>
      </c>
      <c r="E231" t="b">
        <v>1</v>
      </c>
      <c r="F231" s="1">
        <v>0.43194444444444446</v>
      </c>
      <c r="G231" s="1">
        <v>0.48333333333333334</v>
      </c>
      <c r="H231">
        <v>74</v>
      </c>
      <c r="I231" t="b">
        <v>0</v>
      </c>
      <c r="J231" t="b">
        <v>1</v>
      </c>
      <c r="K231" t="b">
        <v>0</v>
      </c>
      <c r="L231" t="s">
        <v>35</v>
      </c>
      <c r="M231">
        <v>20</v>
      </c>
      <c r="N231" t="s">
        <v>64</v>
      </c>
      <c r="O231">
        <v>15</v>
      </c>
      <c r="P231" t="s">
        <v>36</v>
      </c>
      <c r="Q231">
        <v>0</v>
      </c>
      <c r="R231">
        <v>15</v>
      </c>
      <c r="S231" t="s">
        <v>44</v>
      </c>
      <c r="T231" t="s">
        <v>56</v>
      </c>
      <c r="U231">
        <v>35.3733</v>
      </c>
      <c r="V231">
        <v>-119.0187</v>
      </c>
      <c r="W231" s="2">
        <v>45158</v>
      </c>
      <c r="X231">
        <v>8</v>
      </c>
      <c r="Y231" t="b">
        <v>0</v>
      </c>
      <c r="Z231" s="2">
        <v>45823</v>
      </c>
      <c r="AA231" t="str">
        <f t="shared" si="31"/>
        <v>20–29</v>
      </c>
      <c r="AB231" t="str">
        <f t="shared" si="32"/>
        <v>20–29</v>
      </c>
      <c r="AC231" t="str">
        <f t="shared" si="33"/>
        <v/>
      </c>
      <c r="AD231" t="str">
        <f t="shared" si="34"/>
        <v/>
      </c>
      <c r="AE231" t="str">
        <f t="shared" si="35"/>
        <v>Wednesday</v>
      </c>
      <c r="AF231" t="str">
        <f t="shared" si="36"/>
        <v/>
      </c>
      <c r="AG231" t="str">
        <f t="shared" si="37"/>
        <v/>
      </c>
      <c r="AH231" t="str">
        <f t="shared" si="38"/>
        <v>Saturday</v>
      </c>
      <c r="AI231" t="str">
        <f t="shared" si="39"/>
        <v>Sunday</v>
      </c>
      <c r="AJ231" t="str">
        <f>LEFT(Table1[[#This Row],[membership_type]],2)&amp;TEXT(Table1[[#This Row],[age]],"00")&amp;"-"&amp;TEXT(ROW(),"000")</f>
        <v>Ba26-231</v>
      </c>
      <c r="AK231" t="str">
        <f>LEFT(Table1[[#This Row],[membership_type]],1)&amp;TEXT(MATCH(Table1[[#This Row],[membership_type]],Table1[membership_type],0),"00")</f>
        <v>B04</v>
      </c>
      <c r="AL231" t="str">
        <f>LEFT(Table1[[#This Row],[discount_type]],1)&amp;TEXT(ROUND(Table1[[#This Row],[discount_rate]]*100,0),"00")</f>
        <v>N00</v>
      </c>
      <c r="AM231" t="str" cm="1">
        <f t="array" ref="AM231">TEXT(SUMPRODUCT(CODE(MID(Table1[[#This Row],[home_gym_location]],_xlfn.SEQUENCE(LEN(Table1[[#This Row],[home_gym_location]])),1))),"00000")</f>
        <v>01324</v>
      </c>
      <c r="AN23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31" t="str">
        <f>LEFT(_xlfn.TEXTBEFORE(Table1[[#This Row],[Location Identifier]],"-"),3) &amp; "-" &amp; _xlfn.TEXTAFTER(Table1[[#This Row],[Location Identifier]],"-")</f>
        <v>BAK-002</v>
      </c>
      <c r="AP231" s="9">
        <f t="shared" ca="1" si="30"/>
        <v>45869</v>
      </c>
    </row>
    <row r="232" spans="1:42" x14ac:dyDescent="0.25">
      <c r="A232">
        <v>36</v>
      </c>
      <c r="B232" t="s">
        <v>33</v>
      </c>
      <c r="C232">
        <v>1</v>
      </c>
      <c r="D232" t="s">
        <v>71</v>
      </c>
      <c r="E232" t="b">
        <v>0</v>
      </c>
      <c r="F232" s="1">
        <v>0.87152777777777779</v>
      </c>
      <c r="G232" s="1">
        <v>0.94722222222222219</v>
      </c>
      <c r="H232">
        <v>109</v>
      </c>
      <c r="I232" t="b">
        <v>1</v>
      </c>
      <c r="J232" t="b">
        <v>0</v>
      </c>
      <c r="K232" t="b">
        <v>1</v>
      </c>
      <c r="L232" t="s">
        <v>35</v>
      </c>
      <c r="M232">
        <v>30</v>
      </c>
      <c r="N232" t="s">
        <v>64</v>
      </c>
      <c r="O232">
        <v>22.5</v>
      </c>
      <c r="P232" t="s">
        <v>74</v>
      </c>
      <c r="Q232">
        <v>0.15</v>
      </c>
      <c r="R232">
        <v>19.125</v>
      </c>
      <c r="S232" t="s">
        <v>37</v>
      </c>
      <c r="T232" t="s">
        <v>32</v>
      </c>
      <c r="U232">
        <v>37.338200000000001</v>
      </c>
      <c r="V232">
        <v>-121.88630000000001</v>
      </c>
      <c r="W232" s="2">
        <v>44984</v>
      </c>
      <c r="X232">
        <v>0</v>
      </c>
      <c r="Y232" t="b">
        <v>1</v>
      </c>
      <c r="Z232" s="2">
        <v>45813</v>
      </c>
      <c r="AA232" t="str">
        <f t="shared" si="31"/>
        <v>30–39</v>
      </c>
      <c r="AB232" t="str">
        <f t="shared" si="32"/>
        <v>30–39</v>
      </c>
      <c r="AC232" t="str">
        <f t="shared" si="33"/>
        <v/>
      </c>
      <c r="AD232" t="str">
        <f t="shared" si="34"/>
        <v>Tuesday</v>
      </c>
      <c r="AE232" t="str">
        <f t="shared" si="35"/>
        <v/>
      </c>
      <c r="AF232" t="str">
        <f t="shared" si="36"/>
        <v/>
      </c>
      <c r="AG232" t="str">
        <f t="shared" si="37"/>
        <v/>
      </c>
      <c r="AH232" t="str">
        <f t="shared" si="38"/>
        <v/>
      </c>
      <c r="AI232" t="str">
        <f t="shared" si="39"/>
        <v/>
      </c>
      <c r="AJ232" t="str">
        <f>LEFT(Table1[[#This Row],[membership_type]],2)&amp;TEXT(Table1[[#This Row],[age]],"00")&amp;"-"&amp;TEXT(ROW(),"000")</f>
        <v>St36-232</v>
      </c>
      <c r="AK232" t="str">
        <f>LEFT(Table1[[#This Row],[membership_type]],1)&amp;TEXT(MATCH(Table1[[#This Row],[membership_type]],Table1[membership_type],0),"00")</f>
        <v>S02</v>
      </c>
      <c r="AL232" t="str">
        <f>LEFT(Table1[[#This Row],[discount_type]],1)&amp;TEXT(ROUND(Table1[[#This Row],[discount_rate]]*100,0),"00")</f>
        <v>S15</v>
      </c>
      <c r="AM232" t="str" cm="1">
        <f t="array" ref="AM232">TEXT(SUMPRODUCT(CODE(MID(Table1[[#This Row],[home_gym_location]],_xlfn.SEQUENCE(LEN(Table1[[#This Row],[home_gym_location]])),1))),"00000")</f>
        <v>00931</v>
      </c>
      <c r="AN23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32" t="str">
        <f>LEFT(_xlfn.TEXTBEFORE(Table1[[#This Row],[Location Identifier]],"-"),3) &amp; "-" &amp; _xlfn.TEXTAFTER(Table1[[#This Row],[Location Identifier]],"-")</f>
        <v>SAN-010</v>
      </c>
      <c r="AP232" s="9">
        <f t="shared" ca="1" si="30"/>
        <v>45869</v>
      </c>
    </row>
    <row r="233" spans="1:42" x14ac:dyDescent="0.25">
      <c r="A233">
        <v>30</v>
      </c>
      <c r="B233" t="s">
        <v>33</v>
      </c>
      <c r="C233">
        <v>4</v>
      </c>
      <c r="D233" t="s">
        <v>99</v>
      </c>
      <c r="E233" t="b">
        <v>1</v>
      </c>
      <c r="F233" s="1">
        <v>0.6020833333333333</v>
      </c>
      <c r="G233" s="1">
        <v>0.67291666666666672</v>
      </c>
      <c r="H233">
        <v>102</v>
      </c>
      <c r="I233" t="b">
        <v>0</v>
      </c>
      <c r="J233" t="b">
        <v>1</v>
      </c>
      <c r="K233" t="b">
        <v>0</v>
      </c>
      <c r="L233" t="s">
        <v>35</v>
      </c>
      <c r="M233">
        <v>30</v>
      </c>
      <c r="N233" t="s">
        <v>29</v>
      </c>
      <c r="O233">
        <v>30</v>
      </c>
      <c r="P233" t="s">
        <v>40</v>
      </c>
      <c r="Q233">
        <v>0.1</v>
      </c>
      <c r="R233">
        <v>27</v>
      </c>
      <c r="S233" t="s">
        <v>37</v>
      </c>
      <c r="T233" t="s">
        <v>54</v>
      </c>
      <c r="U233">
        <v>32.715699999999998</v>
      </c>
      <c r="V233">
        <v>-117.1611</v>
      </c>
      <c r="W233" s="2">
        <v>45295</v>
      </c>
      <c r="X233">
        <v>3</v>
      </c>
      <c r="Y233" t="b">
        <v>0</v>
      </c>
      <c r="Z233" s="2">
        <v>45830</v>
      </c>
      <c r="AA233" t="str">
        <f t="shared" si="31"/>
        <v>30–39</v>
      </c>
      <c r="AB233" t="str">
        <f t="shared" si="32"/>
        <v>30–39</v>
      </c>
      <c r="AC233" t="str">
        <f t="shared" si="33"/>
        <v/>
      </c>
      <c r="AD233" t="str">
        <f t="shared" si="34"/>
        <v/>
      </c>
      <c r="AE233" t="str">
        <f t="shared" si="35"/>
        <v>Wednesday</v>
      </c>
      <c r="AF233" t="str">
        <f t="shared" si="36"/>
        <v/>
      </c>
      <c r="AG233" t="str">
        <f t="shared" si="37"/>
        <v>Friday</v>
      </c>
      <c r="AH233" t="str">
        <f t="shared" si="38"/>
        <v>Saturday</v>
      </c>
      <c r="AI233" t="str">
        <f t="shared" si="39"/>
        <v>Sunday</v>
      </c>
      <c r="AJ233" t="str">
        <f>LEFT(Table1[[#This Row],[membership_type]],2)&amp;TEXT(Table1[[#This Row],[age]],"00")&amp;"-"&amp;TEXT(ROW(),"000")</f>
        <v>St30-233</v>
      </c>
      <c r="AK233" t="str">
        <f>LEFT(Table1[[#This Row],[membership_type]],1)&amp;TEXT(MATCH(Table1[[#This Row],[membership_type]],Table1[membership_type],0),"00")</f>
        <v>S02</v>
      </c>
      <c r="AL233" t="str">
        <f>LEFT(Table1[[#This Row],[discount_type]],1)&amp;TEXT(ROUND(Table1[[#This Row],[discount_rate]]*100,0),"00")</f>
        <v>L10</v>
      </c>
      <c r="AM233" t="str" cm="1">
        <f t="array" ref="AM233">TEXT(SUMPRODUCT(CODE(MID(Table1[[#This Row],[home_gym_location]],_xlfn.SEQUENCE(LEN(Table1[[#This Row],[home_gym_location]])),1))),"00000")</f>
        <v>01018</v>
      </c>
      <c r="AN23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33" t="str">
        <f>LEFT(_xlfn.TEXTBEFORE(Table1[[#This Row],[Location Identifier]],"-"),3) &amp; "-" &amp; _xlfn.TEXTAFTER(Table1[[#This Row],[Location Identifier]],"-")</f>
        <v>SAN-008</v>
      </c>
      <c r="AP233" s="9">
        <f t="shared" ca="1" si="30"/>
        <v>45869</v>
      </c>
    </row>
    <row r="234" spans="1:42" x14ac:dyDescent="0.25">
      <c r="A234">
        <v>12</v>
      </c>
      <c r="B234" t="s">
        <v>42</v>
      </c>
      <c r="C234">
        <v>1</v>
      </c>
      <c r="D234" t="s">
        <v>71</v>
      </c>
      <c r="E234" t="b">
        <v>0</v>
      </c>
      <c r="F234" s="1">
        <v>0.65763888888888888</v>
      </c>
      <c r="G234" s="1">
        <v>0.68611111111111112</v>
      </c>
      <c r="H234">
        <v>41</v>
      </c>
      <c r="I234" t="b">
        <v>1</v>
      </c>
      <c r="J234" t="b">
        <v>1</v>
      </c>
      <c r="K234" t="b">
        <v>1</v>
      </c>
      <c r="L234" t="s">
        <v>35</v>
      </c>
      <c r="M234">
        <v>20</v>
      </c>
      <c r="N234" t="s">
        <v>29</v>
      </c>
      <c r="O234">
        <v>20</v>
      </c>
      <c r="P234" t="s">
        <v>36</v>
      </c>
      <c r="Q234">
        <v>0</v>
      </c>
      <c r="R234">
        <v>20</v>
      </c>
      <c r="S234" t="s">
        <v>44</v>
      </c>
      <c r="T234" t="s">
        <v>56</v>
      </c>
      <c r="U234">
        <v>35.3733</v>
      </c>
      <c r="V234">
        <v>-119.0187</v>
      </c>
      <c r="W234" s="2">
        <v>45216</v>
      </c>
      <c r="X234">
        <v>7</v>
      </c>
      <c r="Y234" t="b">
        <v>0</v>
      </c>
      <c r="Z234" s="2">
        <v>45826</v>
      </c>
      <c r="AA234" t="str">
        <f t="shared" si="31"/>
        <v>10–19</v>
      </c>
      <c r="AB234" t="str">
        <f t="shared" si="32"/>
        <v>Under 16</v>
      </c>
      <c r="AC234" t="str">
        <f t="shared" si="33"/>
        <v/>
      </c>
      <c r="AD234" t="str">
        <f t="shared" si="34"/>
        <v>Tuesday</v>
      </c>
      <c r="AE234" t="str">
        <f t="shared" si="35"/>
        <v/>
      </c>
      <c r="AF234" t="str">
        <f t="shared" si="36"/>
        <v/>
      </c>
      <c r="AG234" t="str">
        <f t="shared" si="37"/>
        <v/>
      </c>
      <c r="AH234" t="str">
        <f t="shared" si="38"/>
        <v/>
      </c>
      <c r="AI234" t="str">
        <f t="shared" si="39"/>
        <v/>
      </c>
      <c r="AJ234" t="str">
        <f>LEFT(Table1[[#This Row],[membership_type]],2)&amp;TEXT(Table1[[#This Row],[age]],"00")&amp;"-"&amp;TEXT(ROW(),"000")</f>
        <v>Ba12-234</v>
      </c>
      <c r="AK234" t="str">
        <f>LEFT(Table1[[#This Row],[membership_type]],1)&amp;TEXT(MATCH(Table1[[#This Row],[membership_type]],Table1[membership_type],0),"00")</f>
        <v>B04</v>
      </c>
      <c r="AL234" t="str">
        <f>LEFT(Table1[[#This Row],[discount_type]],1)&amp;TEXT(ROUND(Table1[[#This Row],[discount_rate]]*100,0),"00")</f>
        <v>N00</v>
      </c>
      <c r="AM234" t="str" cm="1">
        <f t="array" ref="AM234">TEXT(SUMPRODUCT(CODE(MID(Table1[[#This Row],[home_gym_location]],_xlfn.SEQUENCE(LEN(Table1[[#This Row],[home_gym_location]])),1))),"00000")</f>
        <v>01324</v>
      </c>
      <c r="AN23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34" t="str">
        <f>LEFT(_xlfn.TEXTBEFORE(Table1[[#This Row],[Location Identifier]],"-"),3) &amp; "-" &amp; _xlfn.TEXTAFTER(Table1[[#This Row],[Location Identifier]],"-")</f>
        <v>BAK-002</v>
      </c>
      <c r="AP234" s="9">
        <f t="shared" ca="1" si="30"/>
        <v>45869</v>
      </c>
    </row>
    <row r="235" spans="1:42" x14ac:dyDescent="0.25">
      <c r="A235">
        <v>49</v>
      </c>
      <c r="B235" t="s">
        <v>42</v>
      </c>
      <c r="C235">
        <v>3</v>
      </c>
      <c r="D235" t="s">
        <v>80</v>
      </c>
      <c r="E235" t="b">
        <v>0</v>
      </c>
      <c r="F235" s="1">
        <v>0.82222222222222219</v>
      </c>
      <c r="G235" s="1">
        <v>0.85138888888888886</v>
      </c>
      <c r="H235">
        <v>42</v>
      </c>
      <c r="I235" t="b">
        <v>1</v>
      </c>
      <c r="J235" t="b">
        <v>1</v>
      </c>
      <c r="K235" t="b">
        <v>1</v>
      </c>
      <c r="L235" t="s">
        <v>28</v>
      </c>
      <c r="M235">
        <v>20</v>
      </c>
      <c r="N235" t="s">
        <v>29</v>
      </c>
      <c r="O235">
        <v>20</v>
      </c>
      <c r="P235" t="s">
        <v>36</v>
      </c>
      <c r="Q235">
        <v>0</v>
      </c>
      <c r="R235">
        <v>20</v>
      </c>
      <c r="S235" t="s">
        <v>44</v>
      </c>
      <c r="T235" t="s">
        <v>48</v>
      </c>
      <c r="U235">
        <v>38.581600000000002</v>
      </c>
      <c r="V235">
        <v>-121.4944</v>
      </c>
      <c r="W235" s="2">
        <v>45306</v>
      </c>
      <c r="X235">
        <v>1</v>
      </c>
      <c r="Y235" t="b">
        <v>0</v>
      </c>
      <c r="Z235" s="2">
        <v>45831</v>
      </c>
      <c r="AA235" t="str">
        <f t="shared" si="31"/>
        <v>40–49</v>
      </c>
      <c r="AB235" t="str">
        <f t="shared" si="32"/>
        <v>40–49</v>
      </c>
      <c r="AC235" t="str">
        <f t="shared" si="33"/>
        <v>Monday</v>
      </c>
      <c r="AD235" t="str">
        <f t="shared" si="34"/>
        <v/>
      </c>
      <c r="AE235" t="str">
        <f t="shared" si="35"/>
        <v/>
      </c>
      <c r="AF235" t="str">
        <f t="shared" si="36"/>
        <v/>
      </c>
      <c r="AG235" t="str">
        <f t="shared" si="37"/>
        <v/>
      </c>
      <c r="AH235" t="str">
        <f t="shared" si="38"/>
        <v>Saturday</v>
      </c>
      <c r="AI235" t="str">
        <f t="shared" si="39"/>
        <v>Sunday</v>
      </c>
      <c r="AJ235" t="str">
        <f>LEFT(Table1[[#This Row],[membership_type]],2)&amp;TEXT(Table1[[#This Row],[age]],"00")&amp;"-"&amp;TEXT(ROW(),"000")</f>
        <v>Ba49-235</v>
      </c>
      <c r="AK235" t="str">
        <f>LEFT(Table1[[#This Row],[membership_type]],1)&amp;TEXT(MATCH(Table1[[#This Row],[membership_type]],Table1[membership_type],0),"00")</f>
        <v>B04</v>
      </c>
      <c r="AL235" t="str">
        <f>LEFT(Table1[[#This Row],[discount_type]],1)&amp;TEXT(ROUND(Table1[[#This Row],[discount_rate]]*100,0),"00")</f>
        <v>N00</v>
      </c>
      <c r="AM235" t="str" cm="1">
        <f t="array" ref="AM235">TEXT(SUMPRODUCT(CODE(MID(Table1[[#This Row],[home_gym_location]],_xlfn.SEQUENCE(LEN(Table1[[#This Row],[home_gym_location]])),1))),"00000")</f>
        <v>01245</v>
      </c>
      <c r="AN23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35" t="str">
        <f>LEFT(_xlfn.TEXTBEFORE(Table1[[#This Row],[Location Identifier]],"-"),3) &amp; "-" &amp; _xlfn.TEXTAFTER(Table1[[#This Row],[Location Identifier]],"-")</f>
        <v>SAC-007</v>
      </c>
      <c r="AP235" s="9">
        <f t="shared" ca="1" si="30"/>
        <v>45869</v>
      </c>
    </row>
    <row r="236" spans="1:42" x14ac:dyDescent="0.25">
      <c r="A236">
        <v>47</v>
      </c>
      <c r="B236" t="s">
        <v>33</v>
      </c>
      <c r="C236">
        <v>3</v>
      </c>
      <c r="D236" t="s">
        <v>121</v>
      </c>
      <c r="E236" t="b">
        <v>0</v>
      </c>
      <c r="F236" s="1">
        <v>0.76666666666666672</v>
      </c>
      <c r="G236" s="1">
        <v>0.80069444444444449</v>
      </c>
      <c r="H236">
        <v>49</v>
      </c>
      <c r="I236" t="b">
        <v>1</v>
      </c>
      <c r="J236" t="b">
        <v>0</v>
      </c>
      <c r="K236" t="b">
        <v>0</v>
      </c>
      <c r="L236" t="s">
        <v>35</v>
      </c>
      <c r="M236">
        <v>30</v>
      </c>
      <c r="N236" t="s">
        <v>78</v>
      </c>
      <c r="O236">
        <v>27</v>
      </c>
      <c r="P236" t="s">
        <v>74</v>
      </c>
      <c r="Q236">
        <v>0.15</v>
      </c>
      <c r="R236">
        <v>22.95</v>
      </c>
      <c r="S236" t="s">
        <v>37</v>
      </c>
      <c r="T236" t="s">
        <v>65</v>
      </c>
      <c r="U236">
        <v>33.770099999999999</v>
      </c>
      <c r="V236">
        <v>-118.19370000000001</v>
      </c>
      <c r="W236" s="2">
        <v>45623</v>
      </c>
      <c r="X236">
        <v>0</v>
      </c>
      <c r="Y236" t="b">
        <v>0</v>
      </c>
      <c r="Z236" s="2">
        <v>45849</v>
      </c>
      <c r="AA236" t="str">
        <f t="shared" si="31"/>
        <v>40–49</v>
      </c>
      <c r="AB236" t="str">
        <f t="shared" si="32"/>
        <v>40–49</v>
      </c>
      <c r="AC236" t="str">
        <f t="shared" si="33"/>
        <v>Monday</v>
      </c>
      <c r="AD236" t="str">
        <f t="shared" si="34"/>
        <v>Tuesday</v>
      </c>
      <c r="AE236" t="str">
        <f t="shared" si="35"/>
        <v/>
      </c>
      <c r="AF236" t="str">
        <f t="shared" si="36"/>
        <v/>
      </c>
      <c r="AG236" t="str">
        <f t="shared" si="37"/>
        <v/>
      </c>
      <c r="AH236" t="str">
        <f t="shared" si="38"/>
        <v/>
      </c>
      <c r="AI236" t="str">
        <f t="shared" si="39"/>
        <v>Sunday</v>
      </c>
      <c r="AJ236" t="str">
        <f>LEFT(Table1[[#This Row],[membership_type]],2)&amp;TEXT(Table1[[#This Row],[age]],"00")&amp;"-"&amp;TEXT(ROW(),"000")</f>
        <v>St47-236</v>
      </c>
      <c r="AK236" t="str">
        <f>LEFT(Table1[[#This Row],[membership_type]],1)&amp;TEXT(MATCH(Table1[[#This Row],[membership_type]],Table1[membership_type],0),"00")</f>
        <v>S02</v>
      </c>
      <c r="AL236" t="str">
        <f>LEFT(Table1[[#This Row],[discount_type]],1)&amp;TEXT(ROUND(Table1[[#This Row],[discount_rate]]*100,0),"00")</f>
        <v>S15</v>
      </c>
      <c r="AM236" t="str" cm="1">
        <f t="array" ref="AM236">TEXT(SUMPRODUCT(CODE(MID(Table1[[#This Row],[home_gym_location]],_xlfn.SEQUENCE(LEN(Table1[[#This Row],[home_gym_location]])),1))),"00000")</f>
        <v>01107</v>
      </c>
      <c r="AN2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36" t="str">
        <f>LEFT(_xlfn.TEXTBEFORE(Table1[[#This Row],[Location Identifier]],"-"),3) &amp; "-" &amp; _xlfn.TEXTAFTER(Table1[[#This Row],[Location Identifier]],"-")</f>
        <v>LON-004</v>
      </c>
      <c r="AP236" s="9">
        <f t="shared" ca="1" si="30"/>
        <v>45869</v>
      </c>
    </row>
    <row r="237" spans="1:42" x14ac:dyDescent="0.25">
      <c r="A237">
        <v>26</v>
      </c>
      <c r="B237" t="s">
        <v>33</v>
      </c>
      <c r="C237">
        <v>3</v>
      </c>
      <c r="D237" t="s">
        <v>135</v>
      </c>
      <c r="E237" t="b">
        <v>0</v>
      </c>
      <c r="F237" s="1">
        <v>0.62083333333333335</v>
      </c>
      <c r="G237" s="1">
        <v>0.69861111111111107</v>
      </c>
      <c r="H237">
        <v>112</v>
      </c>
      <c r="I237" t="b">
        <v>1</v>
      </c>
      <c r="J237" t="b">
        <v>1</v>
      </c>
      <c r="K237" t="b">
        <v>1</v>
      </c>
      <c r="L237" t="s">
        <v>35</v>
      </c>
      <c r="M237">
        <v>30</v>
      </c>
      <c r="N237" t="s">
        <v>29</v>
      </c>
      <c r="O237">
        <v>30</v>
      </c>
      <c r="P237" t="s">
        <v>74</v>
      </c>
      <c r="Q237">
        <v>0.15</v>
      </c>
      <c r="R237">
        <v>25.5</v>
      </c>
      <c r="S237" t="s">
        <v>37</v>
      </c>
      <c r="T237" t="s">
        <v>48</v>
      </c>
      <c r="U237">
        <v>38.581600000000002</v>
      </c>
      <c r="V237">
        <v>-121.4944</v>
      </c>
      <c r="W237" s="2">
        <v>45061</v>
      </c>
      <c r="X237">
        <v>8</v>
      </c>
      <c r="Y237" t="b">
        <v>1</v>
      </c>
      <c r="Z237" s="2">
        <v>45817</v>
      </c>
      <c r="AA237" t="str">
        <f t="shared" si="31"/>
        <v>20–29</v>
      </c>
      <c r="AB237" t="str">
        <f t="shared" si="32"/>
        <v>20–29</v>
      </c>
      <c r="AC237" t="str">
        <f t="shared" si="33"/>
        <v/>
      </c>
      <c r="AD237" t="str">
        <f t="shared" si="34"/>
        <v>Tuesday</v>
      </c>
      <c r="AE237" t="str">
        <f t="shared" si="35"/>
        <v>Wednesday</v>
      </c>
      <c r="AF237" t="str">
        <f t="shared" si="36"/>
        <v>Thursday</v>
      </c>
      <c r="AG237" t="str">
        <f t="shared" si="37"/>
        <v/>
      </c>
      <c r="AH237" t="str">
        <f t="shared" si="38"/>
        <v/>
      </c>
      <c r="AI237" t="str">
        <f t="shared" si="39"/>
        <v/>
      </c>
      <c r="AJ237" t="str">
        <f>LEFT(Table1[[#This Row],[membership_type]],2)&amp;TEXT(Table1[[#This Row],[age]],"00")&amp;"-"&amp;TEXT(ROW(),"000")</f>
        <v>St26-237</v>
      </c>
      <c r="AK237" t="str">
        <f>LEFT(Table1[[#This Row],[membership_type]],1)&amp;TEXT(MATCH(Table1[[#This Row],[membership_type]],Table1[membership_type],0),"00")</f>
        <v>S02</v>
      </c>
      <c r="AL237" t="str">
        <f>LEFT(Table1[[#This Row],[discount_type]],1)&amp;TEXT(ROUND(Table1[[#This Row],[discount_rate]]*100,0),"00")</f>
        <v>S15</v>
      </c>
      <c r="AM237" t="str" cm="1">
        <f t="array" ref="AM237">TEXT(SUMPRODUCT(CODE(MID(Table1[[#This Row],[home_gym_location]],_xlfn.SEQUENCE(LEN(Table1[[#This Row],[home_gym_location]])),1))),"00000")</f>
        <v>01245</v>
      </c>
      <c r="AN23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37" t="str">
        <f>LEFT(_xlfn.TEXTBEFORE(Table1[[#This Row],[Location Identifier]],"-"),3) &amp; "-" &amp; _xlfn.TEXTAFTER(Table1[[#This Row],[Location Identifier]],"-")</f>
        <v>SAC-007</v>
      </c>
      <c r="AP237" s="9">
        <f t="shared" ca="1" si="30"/>
        <v>45869</v>
      </c>
    </row>
    <row r="238" spans="1:42" x14ac:dyDescent="0.25">
      <c r="A238">
        <v>35</v>
      </c>
      <c r="B238" t="s">
        <v>26</v>
      </c>
      <c r="C238">
        <v>2</v>
      </c>
      <c r="D238" t="s">
        <v>94</v>
      </c>
      <c r="E238" t="b">
        <v>1</v>
      </c>
      <c r="F238" s="1">
        <v>0.54097222222222219</v>
      </c>
      <c r="G238" s="1">
        <v>0.61250000000000004</v>
      </c>
      <c r="H238">
        <v>103</v>
      </c>
      <c r="I238" t="b">
        <v>0</v>
      </c>
      <c r="J238" t="b">
        <v>0</v>
      </c>
      <c r="K238" t="b">
        <v>0</v>
      </c>
      <c r="L238" t="s">
        <v>47</v>
      </c>
      <c r="M238">
        <v>50</v>
      </c>
      <c r="N238" t="s">
        <v>29</v>
      </c>
      <c r="O238">
        <v>50</v>
      </c>
      <c r="P238" t="s">
        <v>36</v>
      </c>
      <c r="Q238">
        <v>0</v>
      </c>
      <c r="R238">
        <v>50</v>
      </c>
      <c r="S238" t="s">
        <v>31</v>
      </c>
      <c r="T238" t="s">
        <v>50</v>
      </c>
      <c r="U238">
        <v>34.052199999999999</v>
      </c>
      <c r="V238">
        <v>-118.2437</v>
      </c>
      <c r="W238" s="2">
        <v>45531</v>
      </c>
      <c r="X238">
        <v>0</v>
      </c>
      <c r="Y238" t="b">
        <v>1</v>
      </c>
      <c r="Z238" s="2">
        <v>45844</v>
      </c>
      <c r="AA238" t="str">
        <f t="shared" si="31"/>
        <v>30–39</v>
      </c>
      <c r="AB238" t="str">
        <f t="shared" si="32"/>
        <v>30–39</v>
      </c>
      <c r="AC238" t="str">
        <f t="shared" si="33"/>
        <v/>
      </c>
      <c r="AD238" t="str">
        <f t="shared" si="34"/>
        <v/>
      </c>
      <c r="AE238" t="str">
        <f t="shared" si="35"/>
        <v/>
      </c>
      <c r="AF238" t="str">
        <f t="shared" si="36"/>
        <v/>
      </c>
      <c r="AG238" t="str">
        <f t="shared" si="37"/>
        <v/>
      </c>
      <c r="AH238" t="str">
        <f t="shared" si="38"/>
        <v>Saturday</v>
      </c>
      <c r="AI238" t="str">
        <f t="shared" si="39"/>
        <v>Sunday</v>
      </c>
      <c r="AJ238" t="str">
        <f>LEFT(Table1[[#This Row],[membership_type]],2)&amp;TEXT(Table1[[#This Row],[age]],"00")&amp;"-"&amp;TEXT(ROW(),"000")</f>
        <v>Pr35-238</v>
      </c>
      <c r="AK238" t="str">
        <f>LEFT(Table1[[#This Row],[membership_type]],1)&amp;TEXT(MATCH(Table1[[#This Row],[membership_type]],Table1[membership_type],0),"00")</f>
        <v>P01</v>
      </c>
      <c r="AL238" t="str">
        <f>LEFT(Table1[[#This Row],[discount_type]],1)&amp;TEXT(ROUND(Table1[[#This Row],[discount_rate]]*100,0),"00")</f>
        <v>N00</v>
      </c>
      <c r="AM238" t="str" cm="1">
        <f t="array" ref="AM238">TEXT(SUMPRODUCT(CODE(MID(Table1[[#This Row],[home_gym_location]],_xlfn.SEQUENCE(LEN(Table1[[#This Row],[home_gym_location]])),1))),"00000")</f>
        <v>01245</v>
      </c>
      <c r="AN23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38" t="str">
        <f>LEFT(_xlfn.TEXTBEFORE(Table1[[#This Row],[Location Identifier]],"-"),3) &amp; "-" &amp; _xlfn.TEXTAFTER(Table1[[#This Row],[Location Identifier]],"-")</f>
        <v>LOS-005</v>
      </c>
      <c r="AP238" s="9">
        <f t="shared" ca="1" si="30"/>
        <v>45869</v>
      </c>
    </row>
    <row r="239" spans="1:42" x14ac:dyDescent="0.25">
      <c r="A239">
        <v>41</v>
      </c>
      <c r="B239" t="s">
        <v>33</v>
      </c>
      <c r="C239">
        <v>1</v>
      </c>
      <c r="D239" t="s">
        <v>49</v>
      </c>
      <c r="E239" t="b">
        <v>1</v>
      </c>
      <c r="F239" s="1">
        <v>0.57013888888888886</v>
      </c>
      <c r="G239" s="1">
        <v>0.67847222222222225</v>
      </c>
      <c r="H239">
        <v>156</v>
      </c>
      <c r="I239" t="b">
        <v>1</v>
      </c>
      <c r="J239" t="b">
        <v>1</v>
      </c>
      <c r="K239" t="b">
        <v>0</v>
      </c>
      <c r="L239" t="s">
        <v>28</v>
      </c>
      <c r="M239">
        <v>30</v>
      </c>
      <c r="N239" t="s">
        <v>29</v>
      </c>
      <c r="O239">
        <v>30</v>
      </c>
      <c r="P239" t="s">
        <v>36</v>
      </c>
      <c r="Q239">
        <v>0</v>
      </c>
      <c r="R239">
        <v>30</v>
      </c>
      <c r="S239" t="s">
        <v>37</v>
      </c>
      <c r="T239" t="s">
        <v>48</v>
      </c>
      <c r="U239">
        <v>38.581600000000002</v>
      </c>
      <c r="V239">
        <v>-121.4944</v>
      </c>
      <c r="W239" s="2">
        <v>45805</v>
      </c>
      <c r="X239">
        <v>8</v>
      </c>
      <c r="Y239" t="b">
        <v>0</v>
      </c>
      <c r="Z239" s="2">
        <v>45859</v>
      </c>
      <c r="AA239" t="str">
        <f t="shared" si="31"/>
        <v>40–49</v>
      </c>
      <c r="AB239" t="str">
        <f t="shared" si="32"/>
        <v>40–49</v>
      </c>
      <c r="AC239" t="str">
        <f t="shared" si="33"/>
        <v/>
      </c>
      <c r="AD239" t="str">
        <f t="shared" si="34"/>
        <v/>
      </c>
      <c r="AE239" t="str">
        <f t="shared" si="35"/>
        <v/>
      </c>
      <c r="AF239" t="str">
        <f t="shared" si="36"/>
        <v/>
      </c>
      <c r="AG239" t="str">
        <f t="shared" si="37"/>
        <v/>
      </c>
      <c r="AH239" t="str">
        <f t="shared" si="38"/>
        <v/>
      </c>
      <c r="AI239" t="str">
        <f t="shared" si="39"/>
        <v>Sunday</v>
      </c>
      <c r="AJ239" t="str">
        <f>LEFT(Table1[[#This Row],[membership_type]],2)&amp;TEXT(Table1[[#This Row],[age]],"00")&amp;"-"&amp;TEXT(ROW(),"000")</f>
        <v>St41-239</v>
      </c>
      <c r="AK239" t="str">
        <f>LEFT(Table1[[#This Row],[membership_type]],1)&amp;TEXT(MATCH(Table1[[#This Row],[membership_type]],Table1[membership_type],0),"00")</f>
        <v>S02</v>
      </c>
      <c r="AL239" t="str">
        <f>LEFT(Table1[[#This Row],[discount_type]],1)&amp;TEXT(ROUND(Table1[[#This Row],[discount_rate]]*100,0),"00")</f>
        <v>N00</v>
      </c>
      <c r="AM239" t="str" cm="1">
        <f t="array" ref="AM239">TEXT(SUMPRODUCT(CODE(MID(Table1[[#This Row],[home_gym_location]],_xlfn.SEQUENCE(LEN(Table1[[#This Row],[home_gym_location]])),1))),"00000")</f>
        <v>01245</v>
      </c>
      <c r="AN23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39" t="str">
        <f>LEFT(_xlfn.TEXTBEFORE(Table1[[#This Row],[Location Identifier]],"-"),3) &amp; "-" &amp; _xlfn.TEXTAFTER(Table1[[#This Row],[Location Identifier]],"-")</f>
        <v>SAC-007</v>
      </c>
      <c r="AP239" s="9">
        <f t="shared" ca="1" si="30"/>
        <v>45869</v>
      </c>
    </row>
    <row r="240" spans="1:42" x14ac:dyDescent="0.25">
      <c r="A240">
        <v>26</v>
      </c>
      <c r="B240" t="s">
        <v>33</v>
      </c>
      <c r="C240">
        <v>3</v>
      </c>
      <c r="D240" t="s">
        <v>136</v>
      </c>
      <c r="E240" t="b">
        <v>1</v>
      </c>
      <c r="F240" s="1">
        <v>0.62916666666666665</v>
      </c>
      <c r="G240" s="1">
        <v>0.73611111111111116</v>
      </c>
      <c r="H240">
        <v>154</v>
      </c>
      <c r="I240" t="b">
        <v>1</v>
      </c>
      <c r="J240" t="b">
        <v>0</v>
      </c>
      <c r="K240" t="b">
        <v>1</v>
      </c>
      <c r="L240" t="s">
        <v>28</v>
      </c>
      <c r="M240">
        <v>30</v>
      </c>
      <c r="N240" t="s">
        <v>29</v>
      </c>
      <c r="O240">
        <v>30</v>
      </c>
      <c r="P240" t="s">
        <v>40</v>
      </c>
      <c r="Q240">
        <v>0.1</v>
      </c>
      <c r="R240">
        <v>27</v>
      </c>
      <c r="S240" t="s">
        <v>37</v>
      </c>
      <c r="T240" t="s">
        <v>48</v>
      </c>
      <c r="U240">
        <v>38.581600000000002</v>
      </c>
      <c r="V240">
        <v>-121.4944</v>
      </c>
      <c r="W240" s="2">
        <v>45143</v>
      </c>
      <c r="X240">
        <v>0</v>
      </c>
      <c r="Y240" t="b">
        <v>1</v>
      </c>
      <c r="Z240" s="2">
        <v>45822</v>
      </c>
      <c r="AA240" t="str">
        <f t="shared" si="31"/>
        <v>20–29</v>
      </c>
      <c r="AB240" t="str">
        <f t="shared" si="32"/>
        <v>20–29</v>
      </c>
      <c r="AC240" t="str">
        <f t="shared" si="33"/>
        <v>Monday</v>
      </c>
      <c r="AD240" t="str">
        <f t="shared" si="34"/>
        <v/>
      </c>
      <c r="AE240" t="str">
        <f t="shared" si="35"/>
        <v/>
      </c>
      <c r="AF240" t="str">
        <f t="shared" si="36"/>
        <v/>
      </c>
      <c r="AG240" t="str">
        <f t="shared" si="37"/>
        <v>Friday</v>
      </c>
      <c r="AH240" t="str">
        <f t="shared" si="38"/>
        <v>Saturday</v>
      </c>
      <c r="AI240" t="str">
        <f t="shared" si="39"/>
        <v/>
      </c>
      <c r="AJ240" t="str">
        <f>LEFT(Table1[[#This Row],[membership_type]],2)&amp;TEXT(Table1[[#This Row],[age]],"00")&amp;"-"&amp;TEXT(ROW(),"000")</f>
        <v>St26-240</v>
      </c>
      <c r="AK240" t="str">
        <f>LEFT(Table1[[#This Row],[membership_type]],1)&amp;TEXT(MATCH(Table1[[#This Row],[membership_type]],Table1[membership_type],0),"00")</f>
        <v>S02</v>
      </c>
      <c r="AL240" t="str">
        <f>LEFT(Table1[[#This Row],[discount_type]],1)&amp;TEXT(ROUND(Table1[[#This Row],[discount_rate]]*100,0),"00")</f>
        <v>L10</v>
      </c>
      <c r="AM240" t="str" cm="1">
        <f t="array" ref="AM240">TEXT(SUMPRODUCT(CODE(MID(Table1[[#This Row],[home_gym_location]],_xlfn.SEQUENCE(LEN(Table1[[#This Row],[home_gym_location]])),1))),"00000")</f>
        <v>01245</v>
      </c>
      <c r="AN24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40" t="str">
        <f>LEFT(_xlfn.TEXTBEFORE(Table1[[#This Row],[Location Identifier]],"-"),3) &amp; "-" &amp; _xlfn.TEXTAFTER(Table1[[#This Row],[Location Identifier]],"-")</f>
        <v>SAC-007</v>
      </c>
      <c r="AP240" s="9">
        <f t="shared" ca="1" si="30"/>
        <v>45869</v>
      </c>
    </row>
    <row r="241" spans="1:42" x14ac:dyDescent="0.25">
      <c r="A241">
        <v>30</v>
      </c>
      <c r="B241" t="s">
        <v>42</v>
      </c>
      <c r="C241">
        <v>5</v>
      </c>
      <c r="D241" t="s">
        <v>72</v>
      </c>
      <c r="E241" t="b">
        <v>0</v>
      </c>
      <c r="F241" s="1">
        <v>0.72847222222222219</v>
      </c>
      <c r="G241" s="1">
        <v>0.76736111111111116</v>
      </c>
      <c r="H241">
        <v>56</v>
      </c>
      <c r="I241" t="b">
        <v>0</v>
      </c>
      <c r="J241" t="b">
        <v>1</v>
      </c>
      <c r="K241" t="b">
        <v>0</v>
      </c>
      <c r="L241" t="s">
        <v>35</v>
      </c>
      <c r="M241">
        <v>20</v>
      </c>
      <c r="N241" t="s">
        <v>29</v>
      </c>
      <c r="O241">
        <v>20</v>
      </c>
      <c r="P241" t="s">
        <v>74</v>
      </c>
      <c r="Q241">
        <v>0.15</v>
      </c>
      <c r="R241">
        <v>17</v>
      </c>
      <c r="S241" t="s">
        <v>44</v>
      </c>
      <c r="T241" t="s">
        <v>38</v>
      </c>
      <c r="U241">
        <v>36.7378</v>
      </c>
      <c r="V241">
        <v>-119.7871</v>
      </c>
      <c r="W241" s="2">
        <v>45642</v>
      </c>
      <c r="X241">
        <v>7</v>
      </c>
      <c r="Y241" t="b">
        <v>0</v>
      </c>
      <c r="Z241" s="2">
        <v>45850</v>
      </c>
      <c r="AA241" t="str">
        <f t="shared" si="31"/>
        <v>30–39</v>
      </c>
      <c r="AB241" t="str">
        <f t="shared" si="32"/>
        <v>30–39</v>
      </c>
      <c r="AC241" t="str">
        <f t="shared" si="33"/>
        <v>Monday</v>
      </c>
      <c r="AD241" t="str">
        <f t="shared" si="34"/>
        <v/>
      </c>
      <c r="AE241" t="str">
        <f t="shared" si="35"/>
        <v>Wednesday</v>
      </c>
      <c r="AF241" t="str">
        <f t="shared" si="36"/>
        <v>Thursday</v>
      </c>
      <c r="AG241" t="str">
        <f t="shared" si="37"/>
        <v>Friday</v>
      </c>
      <c r="AH241" t="str">
        <f t="shared" si="38"/>
        <v/>
      </c>
      <c r="AI241" t="str">
        <f t="shared" si="39"/>
        <v>Sunday</v>
      </c>
      <c r="AJ241" t="str">
        <f>LEFT(Table1[[#This Row],[membership_type]],2)&amp;TEXT(Table1[[#This Row],[age]],"00")&amp;"-"&amp;TEXT(ROW(),"000")</f>
        <v>Ba30-241</v>
      </c>
      <c r="AK241" t="str">
        <f>LEFT(Table1[[#This Row],[membership_type]],1)&amp;TEXT(MATCH(Table1[[#This Row],[membership_type]],Table1[membership_type],0),"00")</f>
        <v>B04</v>
      </c>
      <c r="AL241" t="str">
        <f>LEFT(Table1[[#This Row],[discount_type]],1)&amp;TEXT(ROUND(Table1[[#This Row],[discount_rate]]*100,0),"00")</f>
        <v>S15</v>
      </c>
      <c r="AM241" t="str" cm="1">
        <f t="array" ref="AM241">TEXT(SUMPRODUCT(CODE(MID(Table1[[#This Row],[home_gym_location]],_xlfn.SEQUENCE(LEN(Table1[[#This Row],[home_gym_location]])),1))),"00000")</f>
        <v>00829</v>
      </c>
      <c r="AN241" t="str">
        <f>UPPER(_xlfn.TEXTBEFORE(Table1[[#This Row],[home_gym_location]],","))&amp;"-"&amp;TEXT(MATCH(Table1[[#This Row],[home_gym_location]],_xlfn._xlws.SORT(_xlfn.UNIQUE(Table1[home_gym_location])),0),"000")</f>
        <v>FRESNO-003</v>
      </c>
      <c r="AO241" t="str">
        <f>LEFT(_xlfn.TEXTBEFORE(Table1[[#This Row],[Location Identifier]],"-"),3) &amp; "-" &amp; _xlfn.TEXTAFTER(Table1[[#This Row],[Location Identifier]],"-")</f>
        <v>FRE-003</v>
      </c>
      <c r="AP241" s="9">
        <f t="shared" ca="1" si="30"/>
        <v>45869</v>
      </c>
    </row>
    <row r="242" spans="1:42" x14ac:dyDescent="0.25">
      <c r="A242">
        <v>33</v>
      </c>
      <c r="B242" t="s">
        <v>26</v>
      </c>
      <c r="C242">
        <v>2</v>
      </c>
      <c r="D242" t="s">
        <v>103</v>
      </c>
      <c r="E242" t="b">
        <v>1</v>
      </c>
      <c r="F242" s="1">
        <v>0.67777777777777781</v>
      </c>
      <c r="G242" s="1">
        <v>0.75208333333333333</v>
      </c>
      <c r="H242">
        <v>107</v>
      </c>
      <c r="I242" t="b">
        <v>1</v>
      </c>
      <c r="J242" t="b">
        <v>1</v>
      </c>
      <c r="K242" t="b">
        <v>0</v>
      </c>
      <c r="L242" t="s">
        <v>28</v>
      </c>
      <c r="M242">
        <v>50</v>
      </c>
      <c r="N242" t="s">
        <v>29</v>
      </c>
      <c r="O242">
        <v>50</v>
      </c>
      <c r="P242" t="s">
        <v>36</v>
      </c>
      <c r="Q242">
        <v>0</v>
      </c>
      <c r="R242">
        <v>50</v>
      </c>
      <c r="S242" t="s">
        <v>31</v>
      </c>
      <c r="T242" t="s">
        <v>32</v>
      </c>
      <c r="U242">
        <v>37.338200000000001</v>
      </c>
      <c r="V242">
        <v>-121.88630000000001</v>
      </c>
      <c r="W242" s="2">
        <v>44829</v>
      </c>
      <c r="X242">
        <v>5</v>
      </c>
      <c r="Y242" t="b">
        <v>0</v>
      </c>
      <c r="Z242" s="2">
        <v>45804</v>
      </c>
      <c r="AA242" t="str">
        <f t="shared" si="31"/>
        <v>30–39</v>
      </c>
      <c r="AB242" t="str">
        <f t="shared" si="32"/>
        <v>30–39</v>
      </c>
      <c r="AC242" t="str">
        <f t="shared" si="33"/>
        <v>Monday</v>
      </c>
      <c r="AD242" t="str">
        <f t="shared" si="34"/>
        <v/>
      </c>
      <c r="AE242" t="str">
        <f t="shared" si="35"/>
        <v/>
      </c>
      <c r="AF242" t="str">
        <f t="shared" si="36"/>
        <v/>
      </c>
      <c r="AG242" t="str">
        <f t="shared" si="37"/>
        <v/>
      </c>
      <c r="AH242" t="str">
        <f t="shared" si="38"/>
        <v/>
      </c>
      <c r="AI242" t="str">
        <f t="shared" si="39"/>
        <v>Sunday</v>
      </c>
      <c r="AJ242" t="str">
        <f>LEFT(Table1[[#This Row],[membership_type]],2)&amp;TEXT(Table1[[#This Row],[age]],"00")&amp;"-"&amp;TEXT(ROW(),"000")</f>
        <v>Pr33-242</v>
      </c>
      <c r="AK242" t="str">
        <f>LEFT(Table1[[#This Row],[membership_type]],1)&amp;TEXT(MATCH(Table1[[#This Row],[membership_type]],Table1[membership_type],0),"00")</f>
        <v>P01</v>
      </c>
      <c r="AL242" t="str">
        <f>LEFT(Table1[[#This Row],[discount_type]],1)&amp;TEXT(ROUND(Table1[[#This Row],[discount_rate]]*100,0),"00")</f>
        <v>N00</v>
      </c>
      <c r="AM242" t="str" cm="1">
        <f t="array" ref="AM242">TEXT(SUMPRODUCT(CODE(MID(Table1[[#This Row],[home_gym_location]],_xlfn.SEQUENCE(LEN(Table1[[#This Row],[home_gym_location]])),1))),"00000")</f>
        <v>00931</v>
      </c>
      <c r="AN24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42" t="str">
        <f>LEFT(_xlfn.TEXTBEFORE(Table1[[#This Row],[Location Identifier]],"-"),3) &amp; "-" &amp; _xlfn.TEXTAFTER(Table1[[#This Row],[Location Identifier]],"-")</f>
        <v>SAN-010</v>
      </c>
      <c r="AP242" s="9">
        <f t="shared" ca="1" si="30"/>
        <v>45869</v>
      </c>
    </row>
    <row r="243" spans="1:42" x14ac:dyDescent="0.25">
      <c r="A243">
        <v>36</v>
      </c>
      <c r="B243" t="s">
        <v>33</v>
      </c>
      <c r="C243">
        <v>5</v>
      </c>
      <c r="D243" t="s">
        <v>120</v>
      </c>
      <c r="E243" t="b">
        <v>0</v>
      </c>
      <c r="F243" s="1">
        <v>0.87291666666666667</v>
      </c>
      <c r="G243" s="1">
        <v>0.92708333333333337</v>
      </c>
      <c r="H243">
        <v>78</v>
      </c>
      <c r="I243" t="b">
        <v>1</v>
      </c>
      <c r="J243" t="b">
        <v>1</v>
      </c>
      <c r="K243" t="b">
        <v>0</v>
      </c>
      <c r="L243" t="s">
        <v>35</v>
      </c>
      <c r="M243">
        <v>30</v>
      </c>
      <c r="N243" t="s">
        <v>29</v>
      </c>
      <c r="O243">
        <v>30</v>
      </c>
      <c r="P243" t="s">
        <v>74</v>
      </c>
      <c r="Q243">
        <v>0.15</v>
      </c>
      <c r="R243">
        <v>25.5</v>
      </c>
      <c r="S243" t="s">
        <v>37</v>
      </c>
      <c r="T243" t="s">
        <v>48</v>
      </c>
      <c r="U243">
        <v>38.581600000000002</v>
      </c>
      <c r="V243">
        <v>-121.4944</v>
      </c>
      <c r="W243" s="2">
        <v>44815</v>
      </c>
      <c r="X243">
        <v>4</v>
      </c>
      <c r="Y243" t="b">
        <v>0</v>
      </c>
      <c r="Z243" s="2">
        <v>45803</v>
      </c>
      <c r="AA243" t="str">
        <f t="shared" si="31"/>
        <v>30–39</v>
      </c>
      <c r="AB243" t="str">
        <f t="shared" si="32"/>
        <v>30–39</v>
      </c>
      <c r="AC243" t="str">
        <f t="shared" si="33"/>
        <v>Monday</v>
      </c>
      <c r="AD243" t="str">
        <f t="shared" si="34"/>
        <v>Tuesday</v>
      </c>
      <c r="AE243" t="str">
        <f t="shared" si="35"/>
        <v/>
      </c>
      <c r="AF243" t="str">
        <f t="shared" si="36"/>
        <v>Thursday</v>
      </c>
      <c r="AG243" t="str">
        <f t="shared" si="37"/>
        <v>Friday</v>
      </c>
      <c r="AH243" t="str">
        <f t="shared" si="38"/>
        <v/>
      </c>
      <c r="AI243" t="str">
        <f t="shared" si="39"/>
        <v>Sunday</v>
      </c>
      <c r="AJ243" t="str">
        <f>LEFT(Table1[[#This Row],[membership_type]],2)&amp;TEXT(Table1[[#This Row],[age]],"00")&amp;"-"&amp;TEXT(ROW(),"000")</f>
        <v>St36-243</v>
      </c>
      <c r="AK243" t="str">
        <f>LEFT(Table1[[#This Row],[membership_type]],1)&amp;TEXT(MATCH(Table1[[#This Row],[membership_type]],Table1[membership_type],0),"00")</f>
        <v>S02</v>
      </c>
      <c r="AL243" t="str">
        <f>LEFT(Table1[[#This Row],[discount_type]],1)&amp;TEXT(ROUND(Table1[[#This Row],[discount_rate]]*100,0),"00")</f>
        <v>S15</v>
      </c>
      <c r="AM243" t="str" cm="1">
        <f t="array" ref="AM243">TEXT(SUMPRODUCT(CODE(MID(Table1[[#This Row],[home_gym_location]],_xlfn.SEQUENCE(LEN(Table1[[#This Row],[home_gym_location]])),1))),"00000")</f>
        <v>01245</v>
      </c>
      <c r="AN2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43" t="str">
        <f>LEFT(_xlfn.TEXTBEFORE(Table1[[#This Row],[Location Identifier]],"-"),3) &amp; "-" &amp; _xlfn.TEXTAFTER(Table1[[#This Row],[Location Identifier]],"-")</f>
        <v>SAC-007</v>
      </c>
      <c r="AP243" s="9">
        <f t="shared" ca="1" si="30"/>
        <v>45869</v>
      </c>
    </row>
    <row r="244" spans="1:42" x14ac:dyDescent="0.25">
      <c r="A244">
        <v>45</v>
      </c>
      <c r="B244" t="s">
        <v>26</v>
      </c>
      <c r="C244">
        <v>3</v>
      </c>
      <c r="D244" t="s">
        <v>89</v>
      </c>
      <c r="E244" t="b">
        <v>0</v>
      </c>
      <c r="F244" s="1">
        <v>0.54861111111111116</v>
      </c>
      <c r="G244" s="1">
        <v>0.63541666666666663</v>
      </c>
      <c r="H244">
        <v>125</v>
      </c>
      <c r="I244" t="b">
        <v>1</v>
      </c>
      <c r="J244" t="b">
        <v>0</v>
      </c>
      <c r="K244" t="b">
        <v>1</v>
      </c>
      <c r="L244" t="s">
        <v>28</v>
      </c>
      <c r="M244">
        <v>50</v>
      </c>
      <c r="N244" t="s">
        <v>29</v>
      </c>
      <c r="O244">
        <v>50</v>
      </c>
      <c r="P244" t="s">
        <v>36</v>
      </c>
      <c r="Q244">
        <v>0</v>
      </c>
      <c r="R244">
        <v>50</v>
      </c>
      <c r="S244" t="s">
        <v>31</v>
      </c>
      <c r="T244" t="s">
        <v>56</v>
      </c>
      <c r="U244">
        <v>35.3733</v>
      </c>
      <c r="V244">
        <v>-119.0187</v>
      </c>
      <c r="W244" s="2">
        <v>44856</v>
      </c>
      <c r="X244">
        <v>0</v>
      </c>
      <c r="Y244" t="b">
        <v>1</v>
      </c>
      <c r="Z244" s="2">
        <v>45806</v>
      </c>
      <c r="AA244" t="str">
        <f t="shared" si="31"/>
        <v>40–49</v>
      </c>
      <c r="AB244" t="str">
        <f t="shared" si="32"/>
        <v>40–49</v>
      </c>
      <c r="AC244" t="str">
        <f t="shared" si="33"/>
        <v>Monday</v>
      </c>
      <c r="AD244" t="str">
        <f t="shared" si="34"/>
        <v>Tuesday</v>
      </c>
      <c r="AE244" t="str">
        <f t="shared" si="35"/>
        <v/>
      </c>
      <c r="AF244" t="str">
        <f t="shared" si="36"/>
        <v/>
      </c>
      <c r="AG244" t="str">
        <f t="shared" si="37"/>
        <v/>
      </c>
      <c r="AH244" t="str">
        <f t="shared" si="38"/>
        <v>Saturday</v>
      </c>
      <c r="AI244" t="str">
        <f t="shared" si="39"/>
        <v/>
      </c>
      <c r="AJ244" t="str">
        <f>LEFT(Table1[[#This Row],[membership_type]],2)&amp;TEXT(Table1[[#This Row],[age]],"00")&amp;"-"&amp;TEXT(ROW(),"000")</f>
        <v>Pr45-244</v>
      </c>
      <c r="AK244" t="str">
        <f>LEFT(Table1[[#This Row],[membership_type]],1)&amp;TEXT(MATCH(Table1[[#This Row],[membership_type]],Table1[membership_type],0),"00")</f>
        <v>P01</v>
      </c>
      <c r="AL244" t="str">
        <f>LEFT(Table1[[#This Row],[discount_type]],1)&amp;TEXT(ROUND(Table1[[#This Row],[discount_rate]]*100,0),"00")</f>
        <v>N00</v>
      </c>
      <c r="AM244" t="str" cm="1">
        <f t="array" ref="AM244">TEXT(SUMPRODUCT(CODE(MID(Table1[[#This Row],[home_gym_location]],_xlfn.SEQUENCE(LEN(Table1[[#This Row],[home_gym_location]])),1))),"00000")</f>
        <v>01324</v>
      </c>
      <c r="AN24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44" t="str">
        <f>LEFT(_xlfn.TEXTBEFORE(Table1[[#This Row],[Location Identifier]],"-"),3) &amp; "-" &amp; _xlfn.TEXTAFTER(Table1[[#This Row],[Location Identifier]],"-")</f>
        <v>BAK-002</v>
      </c>
      <c r="AP244" s="9">
        <f t="shared" ca="1" si="30"/>
        <v>45869</v>
      </c>
    </row>
    <row r="245" spans="1:42" x14ac:dyDescent="0.25">
      <c r="A245">
        <v>28</v>
      </c>
      <c r="B245" t="s">
        <v>33</v>
      </c>
      <c r="C245">
        <v>1</v>
      </c>
      <c r="D245" t="s">
        <v>71</v>
      </c>
      <c r="E245" t="b">
        <v>1</v>
      </c>
      <c r="F245" s="1">
        <v>0.54722222222222228</v>
      </c>
      <c r="G245" s="1">
        <v>0.60763888888888884</v>
      </c>
      <c r="H245">
        <v>87</v>
      </c>
      <c r="I245" t="b">
        <v>1</v>
      </c>
      <c r="J245" t="b">
        <v>1</v>
      </c>
      <c r="K245" t="b">
        <v>1</v>
      </c>
      <c r="L245" t="s">
        <v>28</v>
      </c>
      <c r="M245">
        <v>30</v>
      </c>
      <c r="N245" t="s">
        <v>64</v>
      </c>
      <c r="O245">
        <v>22.5</v>
      </c>
      <c r="P245" t="s">
        <v>74</v>
      </c>
      <c r="Q245">
        <v>0.15</v>
      </c>
      <c r="R245">
        <v>19.125</v>
      </c>
      <c r="S245" t="s">
        <v>37</v>
      </c>
      <c r="T245" t="s">
        <v>48</v>
      </c>
      <c r="U245">
        <v>38.581600000000002</v>
      </c>
      <c r="V245">
        <v>-121.4944</v>
      </c>
      <c r="W245" s="2">
        <v>45436</v>
      </c>
      <c r="X245">
        <v>2</v>
      </c>
      <c r="Y245" t="b">
        <v>1</v>
      </c>
      <c r="Z245" s="2">
        <v>45838</v>
      </c>
      <c r="AA245" t="str">
        <f t="shared" si="31"/>
        <v>20–29</v>
      </c>
      <c r="AB245" t="str">
        <f t="shared" si="32"/>
        <v>20–29</v>
      </c>
      <c r="AC245" t="str">
        <f t="shared" si="33"/>
        <v/>
      </c>
      <c r="AD245" t="str">
        <f t="shared" si="34"/>
        <v>Tuesday</v>
      </c>
      <c r="AE245" t="str">
        <f t="shared" si="35"/>
        <v/>
      </c>
      <c r="AF245" t="str">
        <f t="shared" si="36"/>
        <v/>
      </c>
      <c r="AG245" t="str">
        <f t="shared" si="37"/>
        <v/>
      </c>
      <c r="AH245" t="str">
        <f t="shared" si="38"/>
        <v/>
      </c>
      <c r="AI245" t="str">
        <f t="shared" si="39"/>
        <v/>
      </c>
      <c r="AJ245" t="str">
        <f>LEFT(Table1[[#This Row],[membership_type]],2)&amp;TEXT(Table1[[#This Row],[age]],"00")&amp;"-"&amp;TEXT(ROW(),"000")</f>
        <v>St28-245</v>
      </c>
      <c r="AK245" t="str">
        <f>LEFT(Table1[[#This Row],[membership_type]],1)&amp;TEXT(MATCH(Table1[[#This Row],[membership_type]],Table1[membership_type],0),"00")</f>
        <v>S02</v>
      </c>
      <c r="AL245" t="str">
        <f>LEFT(Table1[[#This Row],[discount_type]],1)&amp;TEXT(ROUND(Table1[[#This Row],[discount_rate]]*100,0),"00")</f>
        <v>S15</v>
      </c>
      <c r="AM245" t="str" cm="1">
        <f t="array" ref="AM245">TEXT(SUMPRODUCT(CODE(MID(Table1[[#This Row],[home_gym_location]],_xlfn.SEQUENCE(LEN(Table1[[#This Row],[home_gym_location]])),1))),"00000")</f>
        <v>01245</v>
      </c>
      <c r="AN24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45" t="str">
        <f>LEFT(_xlfn.TEXTBEFORE(Table1[[#This Row],[Location Identifier]],"-"),3) &amp; "-" &amp; _xlfn.TEXTAFTER(Table1[[#This Row],[Location Identifier]],"-")</f>
        <v>SAC-007</v>
      </c>
      <c r="AP245" s="9">
        <f t="shared" ca="1" si="30"/>
        <v>45869</v>
      </c>
    </row>
    <row r="246" spans="1:42" x14ac:dyDescent="0.25">
      <c r="A246">
        <v>35</v>
      </c>
      <c r="B246" t="s">
        <v>26</v>
      </c>
      <c r="C246">
        <v>1</v>
      </c>
      <c r="D246" t="s">
        <v>95</v>
      </c>
      <c r="E246" t="b">
        <v>0</v>
      </c>
      <c r="F246" s="1">
        <v>0.57847222222222228</v>
      </c>
      <c r="G246" s="1">
        <v>0.60624999999999996</v>
      </c>
      <c r="H246">
        <v>40</v>
      </c>
      <c r="I246" t="b">
        <v>0</v>
      </c>
      <c r="J246" t="b">
        <v>0</v>
      </c>
      <c r="K246" t="b">
        <v>0</v>
      </c>
      <c r="L246" t="s">
        <v>62</v>
      </c>
      <c r="M246">
        <v>50</v>
      </c>
      <c r="N246" t="s">
        <v>29</v>
      </c>
      <c r="O246">
        <v>50</v>
      </c>
      <c r="P246" t="s">
        <v>36</v>
      </c>
      <c r="Q246">
        <v>0</v>
      </c>
      <c r="R246">
        <v>50</v>
      </c>
      <c r="S246" t="s">
        <v>31</v>
      </c>
      <c r="T246" t="s">
        <v>56</v>
      </c>
      <c r="U246">
        <v>35.3733</v>
      </c>
      <c r="V246">
        <v>-119.0187</v>
      </c>
      <c r="W246" s="2">
        <v>45814</v>
      </c>
      <c r="X246">
        <v>0</v>
      </c>
      <c r="Y246" t="b">
        <v>1</v>
      </c>
      <c r="Z246" s="2">
        <v>45860</v>
      </c>
      <c r="AA246" t="str">
        <f t="shared" si="31"/>
        <v>30–39</v>
      </c>
      <c r="AB246" t="str">
        <f t="shared" si="32"/>
        <v>30–39</v>
      </c>
      <c r="AC246" t="str">
        <f t="shared" si="33"/>
        <v/>
      </c>
      <c r="AD246" t="str">
        <f t="shared" si="34"/>
        <v/>
      </c>
      <c r="AE246" t="str">
        <f t="shared" si="35"/>
        <v/>
      </c>
      <c r="AF246" t="str">
        <f t="shared" si="36"/>
        <v/>
      </c>
      <c r="AG246" t="str">
        <f t="shared" si="37"/>
        <v/>
      </c>
      <c r="AH246" t="str">
        <f t="shared" si="38"/>
        <v>Saturday</v>
      </c>
      <c r="AI246" t="str">
        <f t="shared" si="39"/>
        <v/>
      </c>
      <c r="AJ246" t="str">
        <f>LEFT(Table1[[#This Row],[membership_type]],2)&amp;TEXT(Table1[[#This Row],[age]],"00")&amp;"-"&amp;TEXT(ROW(),"000")</f>
        <v>Pr35-246</v>
      </c>
      <c r="AK246" t="str">
        <f>LEFT(Table1[[#This Row],[membership_type]],1)&amp;TEXT(MATCH(Table1[[#This Row],[membership_type]],Table1[membership_type],0),"00")</f>
        <v>P01</v>
      </c>
      <c r="AL246" t="str">
        <f>LEFT(Table1[[#This Row],[discount_type]],1)&amp;TEXT(ROUND(Table1[[#This Row],[discount_rate]]*100,0),"00")</f>
        <v>N00</v>
      </c>
      <c r="AM246" t="str" cm="1">
        <f t="array" ref="AM246">TEXT(SUMPRODUCT(CODE(MID(Table1[[#This Row],[home_gym_location]],_xlfn.SEQUENCE(LEN(Table1[[#This Row],[home_gym_location]])),1))),"00000")</f>
        <v>01324</v>
      </c>
      <c r="AN2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46" t="str">
        <f>LEFT(_xlfn.TEXTBEFORE(Table1[[#This Row],[Location Identifier]],"-"),3) &amp; "-" &amp; _xlfn.TEXTAFTER(Table1[[#This Row],[Location Identifier]],"-")</f>
        <v>BAK-002</v>
      </c>
      <c r="AP246" s="9">
        <f t="shared" ca="1" si="30"/>
        <v>45869</v>
      </c>
    </row>
    <row r="247" spans="1:42" x14ac:dyDescent="0.25">
      <c r="A247">
        <v>25</v>
      </c>
      <c r="B247" t="s">
        <v>26</v>
      </c>
      <c r="C247">
        <v>2</v>
      </c>
      <c r="D247" t="s">
        <v>108</v>
      </c>
      <c r="E247" t="b">
        <v>0</v>
      </c>
      <c r="F247" s="1">
        <v>0.4548611111111111</v>
      </c>
      <c r="G247" s="1">
        <v>0.57708333333333328</v>
      </c>
      <c r="H247">
        <v>176</v>
      </c>
      <c r="I247" t="b">
        <v>1</v>
      </c>
      <c r="J247" t="b">
        <v>0</v>
      </c>
      <c r="K247" t="b">
        <v>1</v>
      </c>
      <c r="L247" t="s">
        <v>62</v>
      </c>
      <c r="M247">
        <v>50</v>
      </c>
      <c r="N247" t="s">
        <v>64</v>
      </c>
      <c r="O247">
        <v>37.5</v>
      </c>
      <c r="P247" t="s">
        <v>36</v>
      </c>
      <c r="Q247">
        <v>0</v>
      </c>
      <c r="R247">
        <v>37.5</v>
      </c>
      <c r="S247" t="s">
        <v>31</v>
      </c>
      <c r="T247" t="s">
        <v>48</v>
      </c>
      <c r="U247">
        <v>38.581600000000002</v>
      </c>
      <c r="V247">
        <v>-121.4944</v>
      </c>
      <c r="W247" s="2">
        <v>44842</v>
      </c>
      <c r="X247">
        <v>0</v>
      </c>
      <c r="Y247" t="b">
        <v>1</v>
      </c>
      <c r="Z247" s="2">
        <v>45805</v>
      </c>
      <c r="AA247" t="str">
        <f t="shared" si="31"/>
        <v>20–29</v>
      </c>
      <c r="AB247" t="str">
        <f t="shared" si="32"/>
        <v>20–29</v>
      </c>
      <c r="AC247" t="str">
        <f t="shared" si="33"/>
        <v/>
      </c>
      <c r="AD247" t="str">
        <f t="shared" si="34"/>
        <v>Tuesday</v>
      </c>
      <c r="AE247" t="str">
        <f t="shared" si="35"/>
        <v/>
      </c>
      <c r="AF247" t="str">
        <f t="shared" si="36"/>
        <v>Thursday</v>
      </c>
      <c r="AG247" t="str">
        <f t="shared" si="37"/>
        <v/>
      </c>
      <c r="AH247" t="str">
        <f t="shared" si="38"/>
        <v/>
      </c>
      <c r="AI247" t="str">
        <f t="shared" si="39"/>
        <v/>
      </c>
      <c r="AJ247" t="str">
        <f>LEFT(Table1[[#This Row],[membership_type]],2)&amp;TEXT(Table1[[#This Row],[age]],"00")&amp;"-"&amp;TEXT(ROW(),"000")</f>
        <v>Pr25-247</v>
      </c>
      <c r="AK247" t="str">
        <f>LEFT(Table1[[#This Row],[membership_type]],1)&amp;TEXT(MATCH(Table1[[#This Row],[membership_type]],Table1[membership_type],0),"00")</f>
        <v>P01</v>
      </c>
      <c r="AL247" t="str">
        <f>LEFT(Table1[[#This Row],[discount_type]],1)&amp;TEXT(ROUND(Table1[[#This Row],[discount_rate]]*100,0),"00")</f>
        <v>N00</v>
      </c>
      <c r="AM247" t="str" cm="1">
        <f t="array" ref="AM247">TEXT(SUMPRODUCT(CODE(MID(Table1[[#This Row],[home_gym_location]],_xlfn.SEQUENCE(LEN(Table1[[#This Row],[home_gym_location]])),1))),"00000")</f>
        <v>01245</v>
      </c>
      <c r="AN24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47" t="str">
        <f>LEFT(_xlfn.TEXTBEFORE(Table1[[#This Row],[Location Identifier]],"-"),3) &amp; "-" &amp; _xlfn.TEXTAFTER(Table1[[#This Row],[Location Identifier]],"-")</f>
        <v>SAC-007</v>
      </c>
      <c r="AP247" s="9">
        <f t="shared" ca="1" si="30"/>
        <v>45869</v>
      </c>
    </row>
    <row r="248" spans="1:42" x14ac:dyDescent="0.25">
      <c r="A248">
        <v>41</v>
      </c>
      <c r="B248" t="s">
        <v>51</v>
      </c>
      <c r="C248">
        <v>5</v>
      </c>
      <c r="D248" t="s">
        <v>137</v>
      </c>
      <c r="E248" t="b">
        <v>0</v>
      </c>
      <c r="F248" s="1">
        <v>0.68125000000000002</v>
      </c>
      <c r="G248" s="1">
        <v>0.77638888888888891</v>
      </c>
      <c r="H248">
        <v>137</v>
      </c>
      <c r="I248" t="b">
        <v>0</v>
      </c>
      <c r="J248" t="b">
        <v>1</v>
      </c>
      <c r="K248" t="b">
        <v>0</v>
      </c>
      <c r="L248" t="s">
        <v>28</v>
      </c>
      <c r="M248">
        <v>70</v>
      </c>
      <c r="N248" t="s">
        <v>29</v>
      </c>
      <c r="O248">
        <v>70</v>
      </c>
      <c r="P248" t="s">
        <v>30</v>
      </c>
      <c r="Q248">
        <v>0.05</v>
      </c>
      <c r="R248">
        <v>66.5</v>
      </c>
      <c r="S248" t="s">
        <v>53</v>
      </c>
      <c r="T248" t="s">
        <v>38</v>
      </c>
      <c r="U248">
        <v>36.7378</v>
      </c>
      <c r="V248">
        <v>-119.7871</v>
      </c>
      <c r="W248" s="2">
        <v>45374</v>
      </c>
      <c r="X248">
        <v>7</v>
      </c>
      <c r="Y248" t="b">
        <v>1</v>
      </c>
      <c r="Z248" s="2">
        <v>45835</v>
      </c>
      <c r="AA248" t="str">
        <f t="shared" si="31"/>
        <v>40–49</v>
      </c>
      <c r="AB248" t="str">
        <f t="shared" si="32"/>
        <v>40–49</v>
      </c>
      <c r="AC248" t="str">
        <f t="shared" si="33"/>
        <v>Monday</v>
      </c>
      <c r="AD248" t="str">
        <f t="shared" si="34"/>
        <v>Tuesday</v>
      </c>
      <c r="AE248" t="str">
        <f t="shared" si="35"/>
        <v>Wednesday</v>
      </c>
      <c r="AF248" t="str">
        <f t="shared" si="36"/>
        <v/>
      </c>
      <c r="AG248" t="str">
        <f t="shared" si="37"/>
        <v/>
      </c>
      <c r="AH248" t="str">
        <f t="shared" si="38"/>
        <v>Saturday</v>
      </c>
      <c r="AI248" t="str">
        <f t="shared" si="39"/>
        <v>Sunday</v>
      </c>
      <c r="AJ248" t="str">
        <f>LEFT(Table1[[#This Row],[membership_type]],2)&amp;TEXT(Table1[[#This Row],[age]],"00")&amp;"-"&amp;TEXT(ROW(),"000")</f>
        <v>El41-248</v>
      </c>
      <c r="AK248" t="str">
        <f>LEFT(Table1[[#This Row],[membership_type]],1)&amp;TEXT(MATCH(Table1[[#This Row],[membership_type]],Table1[membership_type],0),"00")</f>
        <v>E07</v>
      </c>
      <c r="AL248" t="str">
        <f>LEFT(Table1[[#This Row],[discount_type]],1)&amp;TEXT(ROUND(Table1[[#This Row],[discount_rate]]*100,0),"00")</f>
        <v>P05</v>
      </c>
      <c r="AM248" t="str" cm="1">
        <f t="array" ref="AM248">TEXT(SUMPRODUCT(CODE(MID(Table1[[#This Row],[home_gym_location]],_xlfn.SEQUENCE(LEN(Table1[[#This Row],[home_gym_location]])),1))),"00000")</f>
        <v>00829</v>
      </c>
      <c r="AN248" t="str">
        <f>UPPER(_xlfn.TEXTBEFORE(Table1[[#This Row],[home_gym_location]],","))&amp;"-"&amp;TEXT(MATCH(Table1[[#This Row],[home_gym_location]],_xlfn._xlws.SORT(_xlfn.UNIQUE(Table1[home_gym_location])),0),"000")</f>
        <v>FRESNO-003</v>
      </c>
      <c r="AO248" t="str">
        <f>LEFT(_xlfn.TEXTBEFORE(Table1[[#This Row],[Location Identifier]],"-"),3) &amp; "-" &amp; _xlfn.TEXTAFTER(Table1[[#This Row],[Location Identifier]],"-")</f>
        <v>FRE-003</v>
      </c>
      <c r="AP248" s="9">
        <f t="shared" ca="1" si="30"/>
        <v>45869</v>
      </c>
    </row>
    <row r="249" spans="1:42" x14ac:dyDescent="0.25">
      <c r="A249">
        <v>18</v>
      </c>
      <c r="B249" t="s">
        <v>42</v>
      </c>
      <c r="C249">
        <v>2</v>
      </c>
      <c r="D249" t="s">
        <v>73</v>
      </c>
      <c r="E249" t="b">
        <v>0</v>
      </c>
      <c r="F249" s="1">
        <v>0.76041666666666663</v>
      </c>
      <c r="G249" s="1">
        <v>0.87430555555555556</v>
      </c>
      <c r="H249">
        <v>164</v>
      </c>
      <c r="I249" t="b">
        <v>0</v>
      </c>
      <c r="J249" t="b">
        <v>0</v>
      </c>
      <c r="K249" t="b">
        <v>0</v>
      </c>
      <c r="L249" t="s">
        <v>35</v>
      </c>
      <c r="M249">
        <v>20</v>
      </c>
      <c r="N249" t="s">
        <v>64</v>
      </c>
      <c r="O249">
        <v>15</v>
      </c>
      <c r="P249" t="s">
        <v>74</v>
      </c>
      <c r="Q249">
        <v>0.15</v>
      </c>
      <c r="R249">
        <v>12.75</v>
      </c>
      <c r="S249" t="s">
        <v>44</v>
      </c>
      <c r="T249" t="s">
        <v>48</v>
      </c>
      <c r="U249">
        <v>38.581600000000002</v>
      </c>
      <c r="V249">
        <v>-121.4944</v>
      </c>
      <c r="W249" s="2">
        <v>44801</v>
      </c>
      <c r="X249">
        <v>0</v>
      </c>
      <c r="Y249" t="b">
        <v>1</v>
      </c>
      <c r="Z249" s="2">
        <v>45803</v>
      </c>
      <c r="AA249" t="str">
        <f t="shared" si="31"/>
        <v>10–19</v>
      </c>
      <c r="AB249" t="str">
        <f t="shared" si="32"/>
        <v>16–19</v>
      </c>
      <c r="AC249" t="str">
        <f t="shared" si="33"/>
        <v/>
      </c>
      <c r="AD249" t="str">
        <f t="shared" si="34"/>
        <v>Tuesday</v>
      </c>
      <c r="AE249" t="str">
        <f t="shared" si="35"/>
        <v/>
      </c>
      <c r="AF249" t="str">
        <f t="shared" si="36"/>
        <v/>
      </c>
      <c r="AG249" t="str">
        <f t="shared" si="37"/>
        <v>Friday</v>
      </c>
      <c r="AH249" t="str">
        <f t="shared" si="38"/>
        <v/>
      </c>
      <c r="AI249" t="str">
        <f t="shared" si="39"/>
        <v/>
      </c>
      <c r="AJ249" t="str">
        <f>LEFT(Table1[[#This Row],[membership_type]],2)&amp;TEXT(Table1[[#This Row],[age]],"00")&amp;"-"&amp;TEXT(ROW(),"000")</f>
        <v>Ba18-249</v>
      </c>
      <c r="AK249" t="str">
        <f>LEFT(Table1[[#This Row],[membership_type]],1)&amp;TEXT(MATCH(Table1[[#This Row],[membership_type]],Table1[membership_type],0),"00")</f>
        <v>B04</v>
      </c>
      <c r="AL249" t="str">
        <f>LEFT(Table1[[#This Row],[discount_type]],1)&amp;TEXT(ROUND(Table1[[#This Row],[discount_rate]]*100,0),"00")</f>
        <v>S15</v>
      </c>
      <c r="AM249" t="str" cm="1">
        <f t="array" ref="AM249">TEXT(SUMPRODUCT(CODE(MID(Table1[[#This Row],[home_gym_location]],_xlfn.SEQUENCE(LEN(Table1[[#This Row],[home_gym_location]])),1))),"00000")</f>
        <v>01245</v>
      </c>
      <c r="AN24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49" t="str">
        <f>LEFT(_xlfn.TEXTBEFORE(Table1[[#This Row],[Location Identifier]],"-"),3) &amp; "-" &amp; _xlfn.TEXTAFTER(Table1[[#This Row],[Location Identifier]],"-")</f>
        <v>SAC-007</v>
      </c>
      <c r="AP249" s="9">
        <f t="shared" ca="1" si="30"/>
        <v>45869</v>
      </c>
    </row>
    <row r="250" spans="1:42" x14ac:dyDescent="0.25">
      <c r="A250">
        <v>48</v>
      </c>
      <c r="B250" t="s">
        <v>33</v>
      </c>
      <c r="C250">
        <v>3</v>
      </c>
      <c r="D250" t="s">
        <v>114</v>
      </c>
      <c r="E250" t="b">
        <v>0</v>
      </c>
      <c r="F250" s="1">
        <v>0.64722222222222225</v>
      </c>
      <c r="G250" s="1">
        <v>0.68402777777777779</v>
      </c>
      <c r="H250">
        <v>53</v>
      </c>
      <c r="I250" t="b">
        <v>1</v>
      </c>
      <c r="J250" t="b">
        <v>1</v>
      </c>
      <c r="K250" t="b">
        <v>1</v>
      </c>
      <c r="L250" t="s">
        <v>28</v>
      </c>
      <c r="M250">
        <v>30</v>
      </c>
      <c r="N250" t="s">
        <v>29</v>
      </c>
      <c r="O250">
        <v>30</v>
      </c>
      <c r="P250" t="s">
        <v>40</v>
      </c>
      <c r="Q250">
        <v>0.1</v>
      </c>
      <c r="R250">
        <v>27</v>
      </c>
      <c r="S250" t="s">
        <v>37</v>
      </c>
      <c r="T250" t="s">
        <v>38</v>
      </c>
      <c r="U250">
        <v>36.7378</v>
      </c>
      <c r="V250">
        <v>-119.7871</v>
      </c>
      <c r="W250" s="2">
        <v>44804</v>
      </c>
      <c r="X250">
        <v>4</v>
      </c>
      <c r="Y250" t="b">
        <v>0</v>
      </c>
      <c r="Z250" s="2">
        <v>45803</v>
      </c>
      <c r="AA250" t="str">
        <f t="shared" si="31"/>
        <v>40–49</v>
      </c>
      <c r="AB250" t="str">
        <f t="shared" si="32"/>
        <v>40–49</v>
      </c>
      <c r="AC250" t="str">
        <f t="shared" si="33"/>
        <v>Monday</v>
      </c>
      <c r="AD250" t="str">
        <f t="shared" si="34"/>
        <v>Tuesday</v>
      </c>
      <c r="AE250" t="str">
        <f t="shared" si="35"/>
        <v>Wednesday</v>
      </c>
      <c r="AF250" t="str">
        <f t="shared" si="36"/>
        <v/>
      </c>
      <c r="AG250" t="str">
        <f t="shared" si="37"/>
        <v/>
      </c>
      <c r="AH250" t="str">
        <f t="shared" si="38"/>
        <v/>
      </c>
      <c r="AI250" t="str">
        <f t="shared" si="39"/>
        <v/>
      </c>
      <c r="AJ250" t="str">
        <f>LEFT(Table1[[#This Row],[membership_type]],2)&amp;TEXT(Table1[[#This Row],[age]],"00")&amp;"-"&amp;TEXT(ROW(),"000")</f>
        <v>St48-250</v>
      </c>
      <c r="AK250" t="str">
        <f>LEFT(Table1[[#This Row],[membership_type]],1)&amp;TEXT(MATCH(Table1[[#This Row],[membership_type]],Table1[membership_type],0),"00")</f>
        <v>S02</v>
      </c>
      <c r="AL250" t="str">
        <f>LEFT(Table1[[#This Row],[discount_type]],1)&amp;TEXT(ROUND(Table1[[#This Row],[discount_rate]]*100,0),"00")</f>
        <v>L10</v>
      </c>
      <c r="AM250" t="str" cm="1">
        <f t="array" ref="AM250">TEXT(SUMPRODUCT(CODE(MID(Table1[[#This Row],[home_gym_location]],_xlfn.SEQUENCE(LEN(Table1[[#This Row],[home_gym_location]])),1))),"00000")</f>
        <v>00829</v>
      </c>
      <c r="AN250" t="str">
        <f>UPPER(_xlfn.TEXTBEFORE(Table1[[#This Row],[home_gym_location]],","))&amp;"-"&amp;TEXT(MATCH(Table1[[#This Row],[home_gym_location]],_xlfn._xlws.SORT(_xlfn.UNIQUE(Table1[home_gym_location])),0),"000")</f>
        <v>FRESNO-003</v>
      </c>
      <c r="AO250" t="str">
        <f>LEFT(_xlfn.TEXTBEFORE(Table1[[#This Row],[Location Identifier]],"-"),3) &amp; "-" &amp; _xlfn.TEXTAFTER(Table1[[#This Row],[Location Identifier]],"-")</f>
        <v>FRE-003</v>
      </c>
      <c r="AP250" s="9">
        <f t="shared" ca="1" si="30"/>
        <v>45869</v>
      </c>
    </row>
    <row r="251" spans="1:42" x14ac:dyDescent="0.25">
      <c r="A251">
        <v>40</v>
      </c>
      <c r="B251" t="s">
        <v>33</v>
      </c>
      <c r="C251">
        <v>3</v>
      </c>
      <c r="D251" t="s">
        <v>55</v>
      </c>
      <c r="E251" t="b">
        <v>1</v>
      </c>
      <c r="F251" s="1">
        <v>0.71180555555555558</v>
      </c>
      <c r="G251" s="1">
        <v>0.81874999999999998</v>
      </c>
      <c r="H251">
        <v>154</v>
      </c>
      <c r="I251" t="b">
        <v>0</v>
      </c>
      <c r="J251" t="b">
        <v>1</v>
      </c>
      <c r="K251" t="b">
        <v>0</v>
      </c>
      <c r="L251" t="s">
        <v>28</v>
      </c>
      <c r="M251">
        <v>30</v>
      </c>
      <c r="N251" t="s">
        <v>29</v>
      </c>
      <c r="O251">
        <v>30</v>
      </c>
      <c r="P251" t="s">
        <v>36</v>
      </c>
      <c r="Q251">
        <v>0</v>
      </c>
      <c r="R251">
        <v>30</v>
      </c>
      <c r="S251" t="s">
        <v>37</v>
      </c>
      <c r="T251" t="s">
        <v>38</v>
      </c>
      <c r="U251">
        <v>36.7378</v>
      </c>
      <c r="V251">
        <v>-119.7871</v>
      </c>
      <c r="W251" s="2">
        <v>44922</v>
      </c>
      <c r="X251">
        <v>6</v>
      </c>
      <c r="Y251" t="b">
        <v>0</v>
      </c>
      <c r="Z251" s="2">
        <v>45809</v>
      </c>
      <c r="AA251" t="str">
        <f t="shared" si="31"/>
        <v>40–49</v>
      </c>
      <c r="AB251" t="str">
        <f t="shared" si="32"/>
        <v>40–49</v>
      </c>
      <c r="AC251" t="str">
        <f t="shared" si="33"/>
        <v/>
      </c>
      <c r="AD251" t="str">
        <f t="shared" si="34"/>
        <v/>
      </c>
      <c r="AE251" t="str">
        <f t="shared" si="35"/>
        <v/>
      </c>
      <c r="AF251" t="str">
        <f t="shared" si="36"/>
        <v>Thursday</v>
      </c>
      <c r="AG251" t="str">
        <f t="shared" si="37"/>
        <v>Friday</v>
      </c>
      <c r="AH251" t="str">
        <f t="shared" si="38"/>
        <v/>
      </c>
      <c r="AI251" t="str">
        <f t="shared" si="39"/>
        <v>Sunday</v>
      </c>
      <c r="AJ251" t="str">
        <f>LEFT(Table1[[#This Row],[membership_type]],2)&amp;TEXT(Table1[[#This Row],[age]],"00")&amp;"-"&amp;TEXT(ROW(),"000")</f>
        <v>St40-251</v>
      </c>
      <c r="AK251" t="str">
        <f>LEFT(Table1[[#This Row],[membership_type]],1)&amp;TEXT(MATCH(Table1[[#This Row],[membership_type]],Table1[membership_type],0),"00")</f>
        <v>S02</v>
      </c>
      <c r="AL251" t="str">
        <f>LEFT(Table1[[#This Row],[discount_type]],1)&amp;TEXT(ROUND(Table1[[#This Row],[discount_rate]]*100,0),"00")</f>
        <v>N00</v>
      </c>
      <c r="AM251" t="str" cm="1">
        <f t="array" ref="AM251">TEXT(SUMPRODUCT(CODE(MID(Table1[[#This Row],[home_gym_location]],_xlfn.SEQUENCE(LEN(Table1[[#This Row],[home_gym_location]])),1))),"00000")</f>
        <v>00829</v>
      </c>
      <c r="AN251" t="str">
        <f>UPPER(_xlfn.TEXTBEFORE(Table1[[#This Row],[home_gym_location]],","))&amp;"-"&amp;TEXT(MATCH(Table1[[#This Row],[home_gym_location]],_xlfn._xlws.SORT(_xlfn.UNIQUE(Table1[home_gym_location])),0),"000")</f>
        <v>FRESNO-003</v>
      </c>
      <c r="AO251" t="str">
        <f>LEFT(_xlfn.TEXTBEFORE(Table1[[#This Row],[Location Identifier]],"-"),3) &amp; "-" &amp; _xlfn.TEXTAFTER(Table1[[#This Row],[Location Identifier]],"-")</f>
        <v>FRE-003</v>
      </c>
      <c r="AP251" s="9">
        <f t="shared" ca="1" si="30"/>
        <v>45869</v>
      </c>
    </row>
    <row r="252" spans="1:42" x14ac:dyDescent="0.25">
      <c r="A252">
        <v>40</v>
      </c>
      <c r="B252" t="s">
        <v>26</v>
      </c>
      <c r="C252">
        <v>2</v>
      </c>
      <c r="D252" t="s">
        <v>123</v>
      </c>
      <c r="E252" t="b">
        <v>1</v>
      </c>
      <c r="F252" s="1">
        <v>0.62361111111111112</v>
      </c>
      <c r="G252" s="1">
        <v>0.6958333333333333</v>
      </c>
      <c r="H252">
        <v>104</v>
      </c>
      <c r="I252" t="b">
        <v>0</v>
      </c>
      <c r="J252" t="b">
        <v>0</v>
      </c>
      <c r="K252" t="b">
        <v>1</v>
      </c>
      <c r="L252" t="s">
        <v>28</v>
      </c>
      <c r="M252">
        <v>50</v>
      </c>
      <c r="N252" t="s">
        <v>64</v>
      </c>
      <c r="O252">
        <v>37.5</v>
      </c>
      <c r="P252" t="s">
        <v>36</v>
      </c>
      <c r="Q252">
        <v>0</v>
      </c>
      <c r="R252">
        <v>37.5</v>
      </c>
      <c r="S252" t="s">
        <v>31</v>
      </c>
      <c r="T252" t="s">
        <v>38</v>
      </c>
      <c r="U252">
        <v>36.7378</v>
      </c>
      <c r="V252">
        <v>-119.7871</v>
      </c>
      <c r="W252" s="2">
        <v>45517</v>
      </c>
      <c r="X252">
        <v>0</v>
      </c>
      <c r="Y252" t="b">
        <v>1</v>
      </c>
      <c r="Z252" s="2">
        <v>45843</v>
      </c>
      <c r="AA252" t="str">
        <f t="shared" si="31"/>
        <v>40–49</v>
      </c>
      <c r="AB252" t="str">
        <f t="shared" si="32"/>
        <v>40–49</v>
      </c>
      <c r="AC252" t="str">
        <f t="shared" si="33"/>
        <v>Monday</v>
      </c>
      <c r="AD252" t="str">
        <f t="shared" si="34"/>
        <v/>
      </c>
      <c r="AE252" t="str">
        <f t="shared" si="35"/>
        <v/>
      </c>
      <c r="AF252" t="str">
        <f t="shared" si="36"/>
        <v/>
      </c>
      <c r="AG252" t="str">
        <f t="shared" si="37"/>
        <v/>
      </c>
      <c r="AH252" t="str">
        <f t="shared" si="38"/>
        <v>Saturday</v>
      </c>
      <c r="AI252" t="str">
        <f t="shared" si="39"/>
        <v/>
      </c>
      <c r="AJ252" t="str">
        <f>LEFT(Table1[[#This Row],[membership_type]],2)&amp;TEXT(Table1[[#This Row],[age]],"00")&amp;"-"&amp;TEXT(ROW(),"000")</f>
        <v>Pr40-252</v>
      </c>
      <c r="AK252" t="str">
        <f>LEFT(Table1[[#This Row],[membership_type]],1)&amp;TEXT(MATCH(Table1[[#This Row],[membership_type]],Table1[membership_type],0),"00")</f>
        <v>P01</v>
      </c>
      <c r="AL252" t="str">
        <f>LEFT(Table1[[#This Row],[discount_type]],1)&amp;TEXT(ROUND(Table1[[#This Row],[discount_rate]]*100,0),"00")</f>
        <v>N00</v>
      </c>
      <c r="AM252" t="str" cm="1">
        <f t="array" ref="AM252">TEXT(SUMPRODUCT(CODE(MID(Table1[[#This Row],[home_gym_location]],_xlfn.SEQUENCE(LEN(Table1[[#This Row],[home_gym_location]])),1))),"00000")</f>
        <v>00829</v>
      </c>
      <c r="AN252" t="str">
        <f>UPPER(_xlfn.TEXTBEFORE(Table1[[#This Row],[home_gym_location]],","))&amp;"-"&amp;TEXT(MATCH(Table1[[#This Row],[home_gym_location]],_xlfn._xlws.SORT(_xlfn.UNIQUE(Table1[home_gym_location])),0),"000")</f>
        <v>FRESNO-003</v>
      </c>
      <c r="AO252" t="str">
        <f>LEFT(_xlfn.TEXTBEFORE(Table1[[#This Row],[Location Identifier]],"-"),3) &amp; "-" &amp; _xlfn.TEXTAFTER(Table1[[#This Row],[Location Identifier]],"-")</f>
        <v>FRE-003</v>
      </c>
      <c r="AP252" s="9">
        <f t="shared" ca="1" si="30"/>
        <v>45869</v>
      </c>
    </row>
    <row r="253" spans="1:42" x14ac:dyDescent="0.25">
      <c r="A253">
        <v>13</v>
      </c>
      <c r="B253" t="s">
        <v>26</v>
      </c>
      <c r="C253">
        <v>3</v>
      </c>
      <c r="D253" t="s">
        <v>57</v>
      </c>
      <c r="E253" t="b">
        <v>1</v>
      </c>
      <c r="F253" s="1">
        <v>0.57430555555555551</v>
      </c>
      <c r="G253" s="1">
        <v>0.62777777777777777</v>
      </c>
      <c r="H253">
        <v>77</v>
      </c>
      <c r="I253" t="b">
        <v>1</v>
      </c>
      <c r="J253" t="b">
        <v>0</v>
      </c>
      <c r="K253" t="b">
        <v>0</v>
      </c>
      <c r="L253" t="s">
        <v>62</v>
      </c>
      <c r="M253">
        <v>50</v>
      </c>
      <c r="N253" t="s">
        <v>29</v>
      </c>
      <c r="O253">
        <v>50</v>
      </c>
      <c r="P253" t="s">
        <v>30</v>
      </c>
      <c r="Q253">
        <v>0.05</v>
      </c>
      <c r="R253">
        <v>47.5</v>
      </c>
      <c r="S253" t="s">
        <v>31</v>
      </c>
      <c r="T253" t="s">
        <v>50</v>
      </c>
      <c r="U253">
        <v>34.052199999999999</v>
      </c>
      <c r="V253">
        <v>-118.2437</v>
      </c>
      <c r="W253" s="2">
        <v>45420</v>
      </c>
      <c r="X253">
        <v>0</v>
      </c>
      <c r="Y253" t="b">
        <v>1</v>
      </c>
      <c r="Z253" s="2">
        <v>45837</v>
      </c>
      <c r="AA253" t="str">
        <f t="shared" si="31"/>
        <v>10–19</v>
      </c>
      <c r="AB253" t="str">
        <f t="shared" si="32"/>
        <v>Under 16</v>
      </c>
      <c r="AC253" t="str">
        <f t="shared" si="33"/>
        <v/>
      </c>
      <c r="AD253" t="str">
        <f t="shared" si="34"/>
        <v/>
      </c>
      <c r="AE253" t="str">
        <f t="shared" si="35"/>
        <v>Wednesday</v>
      </c>
      <c r="AF253" t="str">
        <f t="shared" si="36"/>
        <v>Thursday</v>
      </c>
      <c r="AG253" t="str">
        <f t="shared" si="37"/>
        <v/>
      </c>
      <c r="AH253" t="str">
        <f t="shared" si="38"/>
        <v>Saturday</v>
      </c>
      <c r="AI253" t="str">
        <f t="shared" si="39"/>
        <v/>
      </c>
      <c r="AJ253" t="str">
        <f>LEFT(Table1[[#This Row],[membership_type]],2)&amp;TEXT(Table1[[#This Row],[age]],"00")&amp;"-"&amp;TEXT(ROW(),"000")</f>
        <v>Pr13-253</v>
      </c>
      <c r="AK253" t="str">
        <f>LEFT(Table1[[#This Row],[membership_type]],1)&amp;TEXT(MATCH(Table1[[#This Row],[membership_type]],Table1[membership_type],0),"00")</f>
        <v>P01</v>
      </c>
      <c r="AL253" t="str">
        <f>LEFT(Table1[[#This Row],[discount_type]],1)&amp;TEXT(ROUND(Table1[[#This Row],[discount_rate]]*100,0),"00")</f>
        <v>P05</v>
      </c>
      <c r="AM253" t="str" cm="1">
        <f t="array" ref="AM253">TEXT(SUMPRODUCT(CODE(MID(Table1[[#This Row],[home_gym_location]],_xlfn.SEQUENCE(LEN(Table1[[#This Row],[home_gym_location]])),1))),"00000")</f>
        <v>01245</v>
      </c>
      <c r="AN25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53" t="str">
        <f>LEFT(_xlfn.TEXTBEFORE(Table1[[#This Row],[Location Identifier]],"-"),3) &amp; "-" &amp; _xlfn.TEXTAFTER(Table1[[#This Row],[Location Identifier]],"-")</f>
        <v>LOS-005</v>
      </c>
      <c r="AP253" s="9">
        <f t="shared" ca="1" si="30"/>
        <v>45869</v>
      </c>
    </row>
    <row r="254" spans="1:42" x14ac:dyDescent="0.25">
      <c r="A254">
        <v>27</v>
      </c>
      <c r="B254" t="s">
        <v>26</v>
      </c>
      <c r="C254">
        <v>4</v>
      </c>
      <c r="D254" t="s">
        <v>39</v>
      </c>
      <c r="E254" t="b">
        <v>0</v>
      </c>
      <c r="F254" s="1">
        <v>0.49236111111111114</v>
      </c>
      <c r="G254" s="1">
        <v>0.60069444444444442</v>
      </c>
      <c r="H254">
        <v>156</v>
      </c>
      <c r="I254" t="b">
        <v>1</v>
      </c>
      <c r="J254" t="b">
        <v>1</v>
      </c>
      <c r="K254" t="b">
        <v>0</v>
      </c>
      <c r="L254" t="s">
        <v>28</v>
      </c>
      <c r="M254">
        <v>50</v>
      </c>
      <c r="N254" t="s">
        <v>64</v>
      </c>
      <c r="O254">
        <v>37.5</v>
      </c>
      <c r="P254" t="s">
        <v>36</v>
      </c>
      <c r="Q254">
        <v>0</v>
      </c>
      <c r="R254">
        <v>37.5</v>
      </c>
      <c r="S254" t="s">
        <v>31</v>
      </c>
      <c r="T254" t="s">
        <v>54</v>
      </c>
      <c r="U254">
        <v>32.715699999999998</v>
      </c>
      <c r="V254">
        <v>-117.1611</v>
      </c>
      <c r="W254" s="2">
        <v>44924</v>
      </c>
      <c r="X254">
        <v>4</v>
      </c>
      <c r="Y254" t="b">
        <v>1</v>
      </c>
      <c r="Z254" s="2">
        <v>45809</v>
      </c>
      <c r="AA254" t="str">
        <f t="shared" si="31"/>
        <v>20–29</v>
      </c>
      <c r="AB254" t="str">
        <f t="shared" si="32"/>
        <v>20–29</v>
      </c>
      <c r="AC254" t="str">
        <f t="shared" si="33"/>
        <v/>
      </c>
      <c r="AD254" t="str">
        <f t="shared" si="34"/>
        <v>Tuesday</v>
      </c>
      <c r="AE254" t="str">
        <f t="shared" si="35"/>
        <v>Wednesday</v>
      </c>
      <c r="AF254" t="str">
        <f t="shared" si="36"/>
        <v>Thursday</v>
      </c>
      <c r="AG254" t="str">
        <f t="shared" si="37"/>
        <v/>
      </c>
      <c r="AH254" t="str">
        <f t="shared" si="38"/>
        <v/>
      </c>
      <c r="AI254" t="str">
        <f t="shared" si="39"/>
        <v>Sunday</v>
      </c>
      <c r="AJ254" t="str">
        <f>LEFT(Table1[[#This Row],[membership_type]],2)&amp;TEXT(Table1[[#This Row],[age]],"00")&amp;"-"&amp;TEXT(ROW(),"000")</f>
        <v>Pr27-254</v>
      </c>
      <c r="AK254" t="str">
        <f>LEFT(Table1[[#This Row],[membership_type]],1)&amp;TEXT(MATCH(Table1[[#This Row],[membership_type]],Table1[membership_type],0),"00")</f>
        <v>P01</v>
      </c>
      <c r="AL254" t="str">
        <f>LEFT(Table1[[#This Row],[discount_type]],1)&amp;TEXT(ROUND(Table1[[#This Row],[discount_rate]]*100,0),"00")</f>
        <v>N00</v>
      </c>
      <c r="AM254" t="str" cm="1">
        <f t="array" ref="AM254">TEXT(SUMPRODUCT(CODE(MID(Table1[[#This Row],[home_gym_location]],_xlfn.SEQUENCE(LEN(Table1[[#This Row],[home_gym_location]])),1))),"00000")</f>
        <v>01018</v>
      </c>
      <c r="AN2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54" t="str">
        <f>LEFT(_xlfn.TEXTBEFORE(Table1[[#This Row],[Location Identifier]],"-"),3) &amp; "-" &amp; _xlfn.TEXTAFTER(Table1[[#This Row],[Location Identifier]],"-")</f>
        <v>SAN-008</v>
      </c>
      <c r="AP254" s="9">
        <f t="shared" ca="1" si="30"/>
        <v>45869</v>
      </c>
    </row>
    <row r="255" spans="1:42" x14ac:dyDescent="0.25">
      <c r="A255">
        <v>48</v>
      </c>
      <c r="B255" t="s">
        <v>33</v>
      </c>
      <c r="C255">
        <v>3</v>
      </c>
      <c r="D255" t="s">
        <v>114</v>
      </c>
      <c r="E255" t="b">
        <v>0</v>
      </c>
      <c r="F255" s="1">
        <v>0.64722222222222225</v>
      </c>
      <c r="G255" s="1">
        <v>0.68402777777777779</v>
      </c>
      <c r="H255">
        <v>53</v>
      </c>
      <c r="I255" t="b">
        <v>1</v>
      </c>
      <c r="J255" t="b">
        <v>1</v>
      </c>
      <c r="K255" t="b">
        <v>1</v>
      </c>
      <c r="L255" t="s">
        <v>28</v>
      </c>
      <c r="M255">
        <v>30</v>
      </c>
      <c r="N255" t="s">
        <v>29</v>
      </c>
      <c r="O255">
        <v>30</v>
      </c>
      <c r="P255" t="s">
        <v>40</v>
      </c>
      <c r="Q255">
        <v>0.1</v>
      </c>
      <c r="R255">
        <v>27</v>
      </c>
      <c r="S255" t="s">
        <v>37</v>
      </c>
      <c r="T255" t="s">
        <v>38</v>
      </c>
      <c r="U255">
        <v>36.7378</v>
      </c>
      <c r="V255">
        <v>-119.7871</v>
      </c>
      <c r="W255" s="2">
        <v>45493</v>
      </c>
      <c r="X255">
        <v>6</v>
      </c>
      <c r="Y255" t="b">
        <v>1</v>
      </c>
      <c r="Z255" s="2">
        <v>45841</v>
      </c>
      <c r="AA255" t="str">
        <f t="shared" si="31"/>
        <v>40–49</v>
      </c>
      <c r="AB255" t="str">
        <f t="shared" si="32"/>
        <v>40–49</v>
      </c>
      <c r="AC255" t="str">
        <f t="shared" si="33"/>
        <v>Monday</v>
      </c>
      <c r="AD255" t="str">
        <f t="shared" si="34"/>
        <v>Tuesday</v>
      </c>
      <c r="AE255" t="str">
        <f t="shared" si="35"/>
        <v>Wednesday</v>
      </c>
      <c r="AF255" t="str">
        <f t="shared" si="36"/>
        <v/>
      </c>
      <c r="AG255" t="str">
        <f t="shared" si="37"/>
        <v/>
      </c>
      <c r="AH255" t="str">
        <f t="shared" si="38"/>
        <v/>
      </c>
      <c r="AI255" t="str">
        <f t="shared" si="39"/>
        <v/>
      </c>
      <c r="AJ255" t="str">
        <f>LEFT(Table1[[#This Row],[membership_type]],2)&amp;TEXT(Table1[[#This Row],[age]],"00")&amp;"-"&amp;TEXT(ROW(),"000")</f>
        <v>St48-255</v>
      </c>
      <c r="AK255" t="str">
        <f>LEFT(Table1[[#This Row],[membership_type]],1)&amp;TEXT(MATCH(Table1[[#This Row],[membership_type]],Table1[membership_type],0),"00")</f>
        <v>S02</v>
      </c>
      <c r="AL255" t="str">
        <f>LEFT(Table1[[#This Row],[discount_type]],1)&amp;TEXT(ROUND(Table1[[#This Row],[discount_rate]]*100,0),"00")</f>
        <v>L10</v>
      </c>
      <c r="AM255" t="str" cm="1">
        <f t="array" ref="AM255">TEXT(SUMPRODUCT(CODE(MID(Table1[[#This Row],[home_gym_location]],_xlfn.SEQUENCE(LEN(Table1[[#This Row],[home_gym_location]])),1))),"00000")</f>
        <v>00829</v>
      </c>
      <c r="AN255" t="str">
        <f>UPPER(_xlfn.TEXTBEFORE(Table1[[#This Row],[home_gym_location]],","))&amp;"-"&amp;TEXT(MATCH(Table1[[#This Row],[home_gym_location]],_xlfn._xlws.SORT(_xlfn.UNIQUE(Table1[home_gym_location])),0),"000")</f>
        <v>FRESNO-003</v>
      </c>
      <c r="AO255" t="str">
        <f>LEFT(_xlfn.TEXTBEFORE(Table1[[#This Row],[Location Identifier]],"-"),3) &amp; "-" &amp; _xlfn.TEXTAFTER(Table1[[#This Row],[Location Identifier]],"-")</f>
        <v>FRE-003</v>
      </c>
      <c r="AP255" s="9">
        <f t="shared" ca="1" si="30"/>
        <v>45869</v>
      </c>
    </row>
    <row r="256" spans="1:42" x14ac:dyDescent="0.25">
      <c r="A256">
        <v>39</v>
      </c>
      <c r="B256" t="s">
        <v>26</v>
      </c>
      <c r="C256">
        <v>4</v>
      </c>
      <c r="D256" t="s">
        <v>85</v>
      </c>
      <c r="E256" t="b">
        <v>1</v>
      </c>
      <c r="F256" s="1">
        <v>0.68125000000000002</v>
      </c>
      <c r="G256" s="1">
        <v>0.7319444444444444</v>
      </c>
      <c r="H256">
        <v>73</v>
      </c>
      <c r="I256" t="b">
        <v>1</v>
      </c>
      <c r="J256" t="b">
        <v>1</v>
      </c>
      <c r="K256" t="b">
        <v>0</v>
      </c>
      <c r="L256" t="s">
        <v>62</v>
      </c>
      <c r="M256">
        <v>50</v>
      </c>
      <c r="N256" t="s">
        <v>78</v>
      </c>
      <c r="O256">
        <v>45</v>
      </c>
      <c r="P256" t="s">
        <v>74</v>
      </c>
      <c r="Q256">
        <v>0.15</v>
      </c>
      <c r="R256">
        <v>38.25</v>
      </c>
      <c r="S256" t="s">
        <v>31</v>
      </c>
      <c r="T256" t="s">
        <v>45</v>
      </c>
      <c r="U256">
        <v>33.836599999999997</v>
      </c>
      <c r="V256">
        <v>-117.9143</v>
      </c>
      <c r="W256" s="2">
        <v>45650</v>
      </c>
      <c r="X256">
        <v>7</v>
      </c>
      <c r="Y256" t="b">
        <v>1</v>
      </c>
      <c r="Z256" s="2">
        <v>45850</v>
      </c>
      <c r="AA256" t="str">
        <f t="shared" si="31"/>
        <v>30–39</v>
      </c>
      <c r="AB256" t="str">
        <f t="shared" si="32"/>
        <v>30–39</v>
      </c>
      <c r="AC256" t="str">
        <f t="shared" si="33"/>
        <v/>
      </c>
      <c r="AD256" t="str">
        <f t="shared" si="34"/>
        <v>Tuesday</v>
      </c>
      <c r="AE256" t="str">
        <f t="shared" si="35"/>
        <v/>
      </c>
      <c r="AF256" t="str">
        <f t="shared" si="36"/>
        <v>Thursday</v>
      </c>
      <c r="AG256" t="str">
        <f t="shared" si="37"/>
        <v/>
      </c>
      <c r="AH256" t="str">
        <f t="shared" si="38"/>
        <v>Saturday</v>
      </c>
      <c r="AI256" t="str">
        <f t="shared" si="39"/>
        <v>Sunday</v>
      </c>
      <c r="AJ256" t="str">
        <f>LEFT(Table1[[#This Row],[membership_type]],2)&amp;TEXT(Table1[[#This Row],[age]],"00")&amp;"-"&amp;TEXT(ROW(),"000")</f>
        <v>Pr39-256</v>
      </c>
      <c r="AK256" t="str">
        <f>LEFT(Table1[[#This Row],[membership_type]],1)&amp;TEXT(MATCH(Table1[[#This Row],[membership_type]],Table1[membership_type],0),"00")</f>
        <v>P01</v>
      </c>
      <c r="AL256" t="str">
        <f>LEFT(Table1[[#This Row],[discount_type]],1)&amp;TEXT(ROUND(Table1[[#This Row],[discount_rate]]*100,0),"00")</f>
        <v>S15</v>
      </c>
      <c r="AM256" t="str" cm="1">
        <f t="array" ref="AM256">TEXT(SUMPRODUCT(CODE(MID(Table1[[#This Row],[home_gym_location]],_xlfn.SEQUENCE(LEN(Table1[[#This Row],[home_gym_location]])),1))),"00000")</f>
        <v>00899</v>
      </c>
      <c r="AN256" t="str">
        <f>UPPER(_xlfn.TEXTBEFORE(Table1[[#This Row],[home_gym_location]],","))&amp;"-"&amp;TEXT(MATCH(Table1[[#This Row],[home_gym_location]],_xlfn._xlws.SORT(_xlfn.UNIQUE(Table1[home_gym_location])),0),"000")</f>
        <v>ANAHEIM-001</v>
      </c>
      <c r="AO256" t="str">
        <f>LEFT(_xlfn.TEXTBEFORE(Table1[[#This Row],[Location Identifier]],"-"),3) &amp; "-" &amp; _xlfn.TEXTAFTER(Table1[[#This Row],[Location Identifier]],"-")</f>
        <v>ANA-001</v>
      </c>
      <c r="AP256" s="9">
        <f t="shared" ca="1" si="30"/>
        <v>45869</v>
      </c>
    </row>
    <row r="257" spans="1:42" x14ac:dyDescent="0.25">
      <c r="A257">
        <v>37</v>
      </c>
      <c r="B257" t="s">
        <v>42</v>
      </c>
      <c r="C257">
        <v>3</v>
      </c>
      <c r="D257" t="s">
        <v>138</v>
      </c>
      <c r="E257" t="b">
        <v>0</v>
      </c>
      <c r="F257" s="1">
        <v>0.60624999999999996</v>
      </c>
      <c r="G257" s="1">
        <v>0.63194444444444442</v>
      </c>
      <c r="H257">
        <v>37</v>
      </c>
      <c r="I257" t="b">
        <v>0</v>
      </c>
      <c r="J257" t="b">
        <v>0</v>
      </c>
      <c r="K257" t="b">
        <v>0</v>
      </c>
      <c r="L257" t="s">
        <v>35</v>
      </c>
      <c r="M257">
        <v>20</v>
      </c>
      <c r="N257" t="s">
        <v>29</v>
      </c>
      <c r="O257">
        <v>20</v>
      </c>
      <c r="P257" t="s">
        <v>30</v>
      </c>
      <c r="Q257">
        <v>0.05</v>
      </c>
      <c r="R257">
        <v>19</v>
      </c>
      <c r="S257" t="s">
        <v>44</v>
      </c>
      <c r="T257" t="s">
        <v>48</v>
      </c>
      <c r="U257">
        <v>38.581600000000002</v>
      </c>
      <c r="V257">
        <v>-121.4944</v>
      </c>
      <c r="W257" s="2">
        <v>45238</v>
      </c>
      <c r="X257">
        <v>0</v>
      </c>
      <c r="Y257" t="b">
        <v>0</v>
      </c>
      <c r="Z257" s="2">
        <v>45827</v>
      </c>
      <c r="AA257" t="str">
        <f t="shared" si="31"/>
        <v>30–39</v>
      </c>
      <c r="AB257" t="str">
        <f t="shared" si="32"/>
        <v>30–39</v>
      </c>
      <c r="AC257" t="str">
        <f t="shared" si="33"/>
        <v/>
      </c>
      <c r="AD257" t="str">
        <f t="shared" si="34"/>
        <v>Tuesday</v>
      </c>
      <c r="AE257" t="str">
        <f t="shared" si="35"/>
        <v/>
      </c>
      <c r="AF257" t="str">
        <f t="shared" si="36"/>
        <v>Thursday</v>
      </c>
      <c r="AG257" t="str">
        <f t="shared" si="37"/>
        <v/>
      </c>
      <c r="AH257" t="str">
        <f t="shared" si="38"/>
        <v/>
      </c>
      <c r="AI257" t="str">
        <f t="shared" si="39"/>
        <v>Sunday</v>
      </c>
      <c r="AJ257" t="str">
        <f>LEFT(Table1[[#This Row],[membership_type]],2)&amp;TEXT(Table1[[#This Row],[age]],"00")&amp;"-"&amp;TEXT(ROW(),"000")</f>
        <v>Ba37-257</v>
      </c>
      <c r="AK257" t="str">
        <f>LEFT(Table1[[#This Row],[membership_type]],1)&amp;TEXT(MATCH(Table1[[#This Row],[membership_type]],Table1[membership_type],0),"00")</f>
        <v>B04</v>
      </c>
      <c r="AL257" t="str">
        <f>LEFT(Table1[[#This Row],[discount_type]],1)&amp;TEXT(ROUND(Table1[[#This Row],[discount_rate]]*100,0),"00")</f>
        <v>P05</v>
      </c>
      <c r="AM257" t="str" cm="1">
        <f t="array" ref="AM257">TEXT(SUMPRODUCT(CODE(MID(Table1[[#This Row],[home_gym_location]],_xlfn.SEQUENCE(LEN(Table1[[#This Row],[home_gym_location]])),1))),"00000")</f>
        <v>01245</v>
      </c>
      <c r="AN25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57" t="str">
        <f>LEFT(_xlfn.TEXTBEFORE(Table1[[#This Row],[Location Identifier]],"-"),3) &amp; "-" &amp; _xlfn.TEXTAFTER(Table1[[#This Row],[Location Identifier]],"-")</f>
        <v>SAC-007</v>
      </c>
      <c r="AP257" s="9">
        <f t="shared" ca="1" si="30"/>
        <v>45869</v>
      </c>
    </row>
    <row r="258" spans="1:42" x14ac:dyDescent="0.25">
      <c r="A258">
        <v>26</v>
      </c>
      <c r="B258" t="s">
        <v>26</v>
      </c>
      <c r="C258">
        <v>5</v>
      </c>
      <c r="D258" t="s">
        <v>69</v>
      </c>
      <c r="E258" t="b">
        <v>1</v>
      </c>
      <c r="F258" s="1">
        <v>0.71597222222222223</v>
      </c>
      <c r="G258" s="1">
        <v>0.75138888888888888</v>
      </c>
      <c r="H258">
        <v>51</v>
      </c>
      <c r="I258" t="b">
        <v>0</v>
      </c>
      <c r="J258" t="b">
        <v>1</v>
      </c>
      <c r="K258" t="b">
        <v>1</v>
      </c>
      <c r="L258" t="s">
        <v>62</v>
      </c>
      <c r="M258">
        <v>50</v>
      </c>
      <c r="N258" t="s">
        <v>64</v>
      </c>
      <c r="O258">
        <v>37.5</v>
      </c>
      <c r="P258" t="s">
        <v>74</v>
      </c>
      <c r="Q258">
        <v>0.15</v>
      </c>
      <c r="R258">
        <v>31.875</v>
      </c>
      <c r="S258" t="s">
        <v>31</v>
      </c>
      <c r="T258" t="s">
        <v>65</v>
      </c>
      <c r="U258">
        <v>33.770099999999999</v>
      </c>
      <c r="V258">
        <v>-118.19370000000001</v>
      </c>
      <c r="W258" s="2">
        <v>44833</v>
      </c>
      <c r="X258">
        <v>8</v>
      </c>
      <c r="Y258" t="b">
        <v>1</v>
      </c>
      <c r="Z258" s="2">
        <v>45804</v>
      </c>
      <c r="AA258" t="str">
        <f t="shared" si="31"/>
        <v>20–29</v>
      </c>
      <c r="AB258" t="str">
        <f t="shared" si="32"/>
        <v>20–29</v>
      </c>
      <c r="AC258" t="str">
        <f t="shared" si="33"/>
        <v>Monday</v>
      </c>
      <c r="AD258" t="str">
        <f t="shared" si="34"/>
        <v/>
      </c>
      <c r="AE258" t="str">
        <f t="shared" si="35"/>
        <v>Wednesday</v>
      </c>
      <c r="AF258" t="str">
        <f t="shared" si="36"/>
        <v>Thursday</v>
      </c>
      <c r="AG258" t="str">
        <f t="shared" si="37"/>
        <v/>
      </c>
      <c r="AH258" t="str">
        <f t="shared" si="38"/>
        <v>Saturday</v>
      </c>
      <c r="AI258" t="str">
        <f t="shared" si="39"/>
        <v>Sunday</v>
      </c>
      <c r="AJ258" t="str">
        <f>LEFT(Table1[[#This Row],[membership_type]],2)&amp;TEXT(Table1[[#This Row],[age]],"00")&amp;"-"&amp;TEXT(ROW(),"000")</f>
        <v>Pr26-258</v>
      </c>
      <c r="AK258" t="str">
        <f>LEFT(Table1[[#This Row],[membership_type]],1)&amp;TEXT(MATCH(Table1[[#This Row],[membership_type]],Table1[membership_type],0),"00")</f>
        <v>P01</v>
      </c>
      <c r="AL258" t="str">
        <f>LEFT(Table1[[#This Row],[discount_type]],1)&amp;TEXT(ROUND(Table1[[#This Row],[discount_rate]]*100,0),"00")</f>
        <v>S15</v>
      </c>
      <c r="AM258" t="str" cm="1">
        <f t="array" ref="AM258">TEXT(SUMPRODUCT(CODE(MID(Table1[[#This Row],[home_gym_location]],_xlfn.SEQUENCE(LEN(Table1[[#This Row],[home_gym_location]])),1))),"00000")</f>
        <v>01107</v>
      </c>
      <c r="AN25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58" t="str">
        <f>LEFT(_xlfn.TEXTBEFORE(Table1[[#This Row],[Location Identifier]],"-"),3) &amp; "-" &amp; _xlfn.TEXTAFTER(Table1[[#This Row],[Location Identifier]],"-")</f>
        <v>LON-004</v>
      </c>
      <c r="AP258" s="9">
        <f t="shared" ref="AP258:AP321" ca="1" si="40">EOMONTH(DATE(YEAR(TODAY()),7,1),0)</f>
        <v>45869</v>
      </c>
    </row>
    <row r="259" spans="1:42" x14ac:dyDescent="0.25">
      <c r="A259">
        <v>48</v>
      </c>
      <c r="B259" t="s">
        <v>33</v>
      </c>
      <c r="C259">
        <v>3</v>
      </c>
      <c r="D259" t="s">
        <v>100</v>
      </c>
      <c r="E259" t="b">
        <v>0</v>
      </c>
      <c r="F259" s="1">
        <v>0.46319444444444446</v>
      </c>
      <c r="G259" s="1">
        <v>0.52986111111111112</v>
      </c>
      <c r="H259">
        <v>96</v>
      </c>
      <c r="I259" t="b">
        <v>1</v>
      </c>
      <c r="J259" t="b">
        <v>1</v>
      </c>
      <c r="K259" t="b">
        <v>1</v>
      </c>
      <c r="L259" t="s">
        <v>28</v>
      </c>
      <c r="M259">
        <v>30</v>
      </c>
      <c r="N259" t="s">
        <v>29</v>
      </c>
      <c r="O259">
        <v>30</v>
      </c>
      <c r="P259" t="s">
        <v>36</v>
      </c>
      <c r="Q259">
        <v>0</v>
      </c>
      <c r="R259">
        <v>30</v>
      </c>
      <c r="S259" t="s">
        <v>37</v>
      </c>
      <c r="T259" t="s">
        <v>54</v>
      </c>
      <c r="U259">
        <v>32.715699999999998</v>
      </c>
      <c r="V259">
        <v>-117.1611</v>
      </c>
      <c r="W259" s="2">
        <v>45089</v>
      </c>
      <c r="X259">
        <v>8</v>
      </c>
      <c r="Y259" t="b">
        <v>0</v>
      </c>
      <c r="Z259" s="2">
        <v>45819</v>
      </c>
      <c r="AA259" t="str">
        <f t="shared" ref="AA259:AA322" si="41">TEXT(10*INT($A259/10),"0")&amp;"–"&amp;TEXT(10*INT($A259/10)+9,"0")</f>
        <v>40–49</v>
      </c>
      <c r="AB259" t="str">
        <f t="shared" ref="AB259:AB322" si="42">IF(AND($AA259 = "10–19", $A259 &lt; 16), "Under 16", IF(AND($AA259 = "10–19", $A259 &gt;= 16), "16–19", $AA259))</f>
        <v>40–49</v>
      </c>
      <c r="AC259" t="str">
        <f t="shared" ref="AC259:AC322" si="43">IF(ISNUMBER(SEARCH("Mon", $D259)), "Monday", "")</f>
        <v/>
      </c>
      <c r="AD259" t="str">
        <f t="shared" ref="AD259:AD322" si="44">IF(ISNUMBER(SEARCH("Tue", $D259)), "Tuesday", "")</f>
        <v/>
      </c>
      <c r="AE259" t="str">
        <f t="shared" ref="AE259:AE322" si="45">IF(ISNUMBER(SEARCH("Wed", $D259)), "Wednesday", "")</f>
        <v>Wednesday</v>
      </c>
      <c r="AF259" t="str">
        <f t="shared" ref="AF259:AF322" si="46">IF(ISNUMBER(SEARCH("Thu", $D259)), "Thursday", "")</f>
        <v/>
      </c>
      <c r="AG259" t="str">
        <f t="shared" ref="AG259:AG322" si="47">IF(ISNUMBER(SEARCH("Fri", $D259)), "Friday", "")</f>
        <v>Friday</v>
      </c>
      <c r="AH259" t="str">
        <f t="shared" ref="AH259:AH322" si="48">IF(ISNUMBER(SEARCH("Sat", $D259)), "Saturday", "")</f>
        <v/>
      </c>
      <c r="AI259" t="str">
        <f t="shared" ref="AI259:AI322" si="49">IF(ISNUMBER(SEARCH("Sun", $D259)), "Sunday", "")</f>
        <v>Sunday</v>
      </c>
      <c r="AJ259" t="str">
        <f>LEFT(Table1[[#This Row],[membership_type]],2)&amp;TEXT(Table1[[#This Row],[age]],"00")&amp;"-"&amp;TEXT(ROW(),"000")</f>
        <v>St48-259</v>
      </c>
      <c r="AK259" t="str">
        <f>LEFT(Table1[[#This Row],[membership_type]],1)&amp;TEXT(MATCH(Table1[[#This Row],[membership_type]],Table1[membership_type],0),"00")</f>
        <v>S02</v>
      </c>
      <c r="AL259" t="str">
        <f>LEFT(Table1[[#This Row],[discount_type]],1)&amp;TEXT(ROUND(Table1[[#This Row],[discount_rate]]*100,0),"00")</f>
        <v>N00</v>
      </c>
      <c r="AM259" t="str" cm="1">
        <f t="array" ref="AM259">TEXT(SUMPRODUCT(CODE(MID(Table1[[#This Row],[home_gym_location]],_xlfn.SEQUENCE(LEN(Table1[[#This Row],[home_gym_location]])),1))),"00000")</f>
        <v>01018</v>
      </c>
      <c r="AN25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59" t="str">
        <f>LEFT(_xlfn.TEXTBEFORE(Table1[[#This Row],[Location Identifier]],"-"),3) &amp; "-" &amp; _xlfn.TEXTAFTER(Table1[[#This Row],[Location Identifier]],"-")</f>
        <v>SAN-008</v>
      </c>
      <c r="AP259" s="9">
        <f t="shared" ca="1" si="40"/>
        <v>45869</v>
      </c>
    </row>
    <row r="260" spans="1:42" x14ac:dyDescent="0.25">
      <c r="A260">
        <v>42</v>
      </c>
      <c r="B260" t="s">
        <v>42</v>
      </c>
      <c r="C260">
        <v>3</v>
      </c>
      <c r="D260" t="s">
        <v>117</v>
      </c>
      <c r="E260" t="b">
        <v>0</v>
      </c>
      <c r="F260" s="1">
        <v>0.56388888888888888</v>
      </c>
      <c r="G260" s="1">
        <v>0.62222222222222223</v>
      </c>
      <c r="H260">
        <v>84</v>
      </c>
      <c r="I260" t="b">
        <v>0</v>
      </c>
      <c r="J260" t="b">
        <v>1</v>
      </c>
      <c r="K260" t="b">
        <v>1</v>
      </c>
      <c r="L260" t="s">
        <v>62</v>
      </c>
      <c r="M260">
        <v>20</v>
      </c>
      <c r="N260" t="s">
        <v>29</v>
      </c>
      <c r="O260">
        <v>20</v>
      </c>
      <c r="P260" t="s">
        <v>40</v>
      </c>
      <c r="Q260">
        <v>0.1</v>
      </c>
      <c r="R260">
        <v>18</v>
      </c>
      <c r="S260" t="s">
        <v>44</v>
      </c>
      <c r="T260" t="s">
        <v>45</v>
      </c>
      <c r="U260">
        <v>33.836599999999997</v>
      </c>
      <c r="V260">
        <v>-117.9143</v>
      </c>
      <c r="W260" s="2">
        <v>45223</v>
      </c>
      <c r="X260">
        <v>5</v>
      </c>
      <c r="Y260" t="b">
        <v>0</v>
      </c>
      <c r="Z260" s="2">
        <v>45826</v>
      </c>
      <c r="AA260" t="str">
        <f t="shared" si="41"/>
        <v>40–49</v>
      </c>
      <c r="AB260" t="str">
        <f t="shared" si="42"/>
        <v>40–49</v>
      </c>
      <c r="AC260" t="str">
        <f t="shared" si="43"/>
        <v/>
      </c>
      <c r="AD260" t="str">
        <f t="shared" si="44"/>
        <v/>
      </c>
      <c r="AE260" t="str">
        <f t="shared" si="45"/>
        <v>Wednesday</v>
      </c>
      <c r="AF260" t="str">
        <f t="shared" si="46"/>
        <v>Thursday</v>
      </c>
      <c r="AG260" t="str">
        <f t="shared" si="47"/>
        <v/>
      </c>
      <c r="AH260" t="str">
        <f t="shared" si="48"/>
        <v/>
      </c>
      <c r="AI260" t="str">
        <f t="shared" si="49"/>
        <v>Sunday</v>
      </c>
      <c r="AJ260" t="str">
        <f>LEFT(Table1[[#This Row],[membership_type]],2)&amp;TEXT(Table1[[#This Row],[age]],"00")&amp;"-"&amp;TEXT(ROW(),"000")</f>
        <v>Ba42-260</v>
      </c>
      <c r="AK260" t="str">
        <f>LEFT(Table1[[#This Row],[membership_type]],1)&amp;TEXT(MATCH(Table1[[#This Row],[membership_type]],Table1[membership_type],0),"00")</f>
        <v>B04</v>
      </c>
      <c r="AL260" t="str">
        <f>LEFT(Table1[[#This Row],[discount_type]],1)&amp;TEXT(ROUND(Table1[[#This Row],[discount_rate]]*100,0),"00")</f>
        <v>L10</v>
      </c>
      <c r="AM260" t="str" cm="1">
        <f t="array" ref="AM260">TEXT(SUMPRODUCT(CODE(MID(Table1[[#This Row],[home_gym_location]],_xlfn.SEQUENCE(LEN(Table1[[#This Row],[home_gym_location]])),1))),"00000")</f>
        <v>00899</v>
      </c>
      <c r="AN260" t="str">
        <f>UPPER(_xlfn.TEXTBEFORE(Table1[[#This Row],[home_gym_location]],","))&amp;"-"&amp;TEXT(MATCH(Table1[[#This Row],[home_gym_location]],_xlfn._xlws.SORT(_xlfn.UNIQUE(Table1[home_gym_location])),0),"000")</f>
        <v>ANAHEIM-001</v>
      </c>
      <c r="AO260" t="str">
        <f>LEFT(_xlfn.TEXTBEFORE(Table1[[#This Row],[Location Identifier]],"-"),3) &amp; "-" &amp; _xlfn.TEXTAFTER(Table1[[#This Row],[Location Identifier]],"-")</f>
        <v>ANA-001</v>
      </c>
      <c r="AP260" s="9">
        <f t="shared" ca="1" si="40"/>
        <v>45869</v>
      </c>
    </row>
    <row r="261" spans="1:42" x14ac:dyDescent="0.25">
      <c r="A261">
        <v>16</v>
      </c>
      <c r="B261" t="s">
        <v>26</v>
      </c>
      <c r="C261">
        <v>3</v>
      </c>
      <c r="D261" t="s">
        <v>117</v>
      </c>
      <c r="E261" t="b">
        <v>1</v>
      </c>
      <c r="F261" s="1">
        <v>0.53125</v>
      </c>
      <c r="G261" s="1">
        <v>0.61250000000000004</v>
      </c>
      <c r="H261">
        <v>117</v>
      </c>
      <c r="I261" t="b">
        <v>1</v>
      </c>
      <c r="J261" t="b">
        <v>1</v>
      </c>
      <c r="K261" t="b">
        <v>0</v>
      </c>
      <c r="L261" t="s">
        <v>35</v>
      </c>
      <c r="M261">
        <v>50</v>
      </c>
      <c r="N261" t="s">
        <v>29</v>
      </c>
      <c r="O261">
        <v>50</v>
      </c>
      <c r="P261" t="s">
        <v>36</v>
      </c>
      <c r="Q261">
        <v>0</v>
      </c>
      <c r="R261">
        <v>50</v>
      </c>
      <c r="S261" t="s">
        <v>31</v>
      </c>
      <c r="T261" t="s">
        <v>41</v>
      </c>
      <c r="U261">
        <v>37.804400000000001</v>
      </c>
      <c r="V261">
        <v>-122.27119999999999</v>
      </c>
      <c r="W261" s="2">
        <v>45727</v>
      </c>
      <c r="X261">
        <v>7</v>
      </c>
      <c r="Y261" t="b">
        <v>1</v>
      </c>
      <c r="Z261" s="2">
        <v>45855</v>
      </c>
      <c r="AA261" t="str">
        <f t="shared" si="41"/>
        <v>10–19</v>
      </c>
      <c r="AB261" t="str">
        <f t="shared" si="42"/>
        <v>16–19</v>
      </c>
      <c r="AC261" t="str">
        <f t="shared" si="43"/>
        <v/>
      </c>
      <c r="AD261" t="str">
        <f t="shared" si="44"/>
        <v/>
      </c>
      <c r="AE261" t="str">
        <f t="shared" si="45"/>
        <v>Wednesday</v>
      </c>
      <c r="AF261" t="str">
        <f t="shared" si="46"/>
        <v>Thursday</v>
      </c>
      <c r="AG261" t="str">
        <f t="shared" si="47"/>
        <v/>
      </c>
      <c r="AH261" t="str">
        <f t="shared" si="48"/>
        <v/>
      </c>
      <c r="AI261" t="str">
        <f t="shared" si="49"/>
        <v>Sunday</v>
      </c>
      <c r="AJ261" t="str">
        <f>LEFT(Table1[[#This Row],[membership_type]],2)&amp;TEXT(Table1[[#This Row],[age]],"00")&amp;"-"&amp;TEXT(ROW(),"000")</f>
        <v>Pr16-261</v>
      </c>
      <c r="AK261" t="str">
        <f>LEFT(Table1[[#This Row],[membership_type]],1)&amp;TEXT(MATCH(Table1[[#This Row],[membership_type]],Table1[membership_type],0),"00")</f>
        <v>P01</v>
      </c>
      <c r="AL261" t="str">
        <f>LEFT(Table1[[#This Row],[discount_type]],1)&amp;TEXT(ROUND(Table1[[#This Row],[discount_rate]]*100,0),"00")</f>
        <v>N00</v>
      </c>
      <c r="AM261" t="str" cm="1">
        <f t="array" ref="AM261">TEXT(SUMPRODUCT(CODE(MID(Table1[[#This Row],[home_gym_location]],_xlfn.SEQUENCE(LEN(Table1[[#This Row],[home_gym_location]])),1))),"00000")</f>
        <v>00906</v>
      </c>
      <c r="AN261" t="str">
        <f>UPPER(_xlfn.TEXTBEFORE(Table1[[#This Row],[home_gym_location]],","))&amp;"-"&amp;TEXT(MATCH(Table1[[#This Row],[home_gym_location]],_xlfn._xlws.SORT(_xlfn.UNIQUE(Table1[home_gym_location])),0),"000")</f>
        <v>OAKLAND-006</v>
      </c>
      <c r="AO261" t="str">
        <f>LEFT(_xlfn.TEXTBEFORE(Table1[[#This Row],[Location Identifier]],"-"),3) &amp; "-" &amp; _xlfn.TEXTAFTER(Table1[[#This Row],[Location Identifier]],"-")</f>
        <v>OAK-006</v>
      </c>
      <c r="AP261" s="9">
        <f t="shared" ca="1" si="40"/>
        <v>45869</v>
      </c>
    </row>
    <row r="262" spans="1:42" x14ac:dyDescent="0.25">
      <c r="A262">
        <v>29</v>
      </c>
      <c r="B262" t="s">
        <v>42</v>
      </c>
      <c r="C262">
        <v>1</v>
      </c>
      <c r="D262" t="s">
        <v>49</v>
      </c>
      <c r="E262" t="b">
        <v>1</v>
      </c>
      <c r="F262" s="1">
        <v>0.5180555555555556</v>
      </c>
      <c r="G262" s="1">
        <v>0.57291666666666663</v>
      </c>
      <c r="H262">
        <v>79</v>
      </c>
      <c r="I262" t="b">
        <v>0</v>
      </c>
      <c r="J262" t="b">
        <v>0</v>
      </c>
      <c r="K262" t="b">
        <v>0</v>
      </c>
      <c r="L262" t="s">
        <v>62</v>
      </c>
      <c r="M262">
        <v>20</v>
      </c>
      <c r="N262" t="s">
        <v>29</v>
      </c>
      <c r="O262">
        <v>20</v>
      </c>
      <c r="P262" t="s">
        <v>36</v>
      </c>
      <c r="Q262">
        <v>0</v>
      </c>
      <c r="R262">
        <v>20</v>
      </c>
      <c r="S262" t="s">
        <v>44</v>
      </c>
      <c r="T262" t="s">
        <v>38</v>
      </c>
      <c r="U262">
        <v>36.7378</v>
      </c>
      <c r="V262">
        <v>-119.7871</v>
      </c>
      <c r="W262" s="2">
        <v>45176</v>
      </c>
      <c r="X262">
        <v>0</v>
      </c>
      <c r="Y262" t="b">
        <v>1</v>
      </c>
      <c r="Z262" s="2">
        <v>45824</v>
      </c>
      <c r="AA262" t="str">
        <f t="shared" si="41"/>
        <v>20–29</v>
      </c>
      <c r="AB262" t="str">
        <f t="shared" si="42"/>
        <v>20–29</v>
      </c>
      <c r="AC262" t="str">
        <f t="shared" si="43"/>
        <v/>
      </c>
      <c r="AD262" t="str">
        <f t="shared" si="44"/>
        <v/>
      </c>
      <c r="AE262" t="str">
        <f t="shared" si="45"/>
        <v/>
      </c>
      <c r="AF262" t="str">
        <f t="shared" si="46"/>
        <v/>
      </c>
      <c r="AG262" t="str">
        <f t="shared" si="47"/>
        <v/>
      </c>
      <c r="AH262" t="str">
        <f t="shared" si="48"/>
        <v/>
      </c>
      <c r="AI262" t="str">
        <f t="shared" si="49"/>
        <v>Sunday</v>
      </c>
      <c r="AJ262" t="str">
        <f>LEFT(Table1[[#This Row],[membership_type]],2)&amp;TEXT(Table1[[#This Row],[age]],"00")&amp;"-"&amp;TEXT(ROW(),"000")</f>
        <v>Ba29-262</v>
      </c>
      <c r="AK262" t="str">
        <f>LEFT(Table1[[#This Row],[membership_type]],1)&amp;TEXT(MATCH(Table1[[#This Row],[membership_type]],Table1[membership_type],0),"00")</f>
        <v>B04</v>
      </c>
      <c r="AL262" t="str">
        <f>LEFT(Table1[[#This Row],[discount_type]],1)&amp;TEXT(ROUND(Table1[[#This Row],[discount_rate]]*100,0),"00")</f>
        <v>N00</v>
      </c>
      <c r="AM262" t="str" cm="1">
        <f t="array" ref="AM262">TEXT(SUMPRODUCT(CODE(MID(Table1[[#This Row],[home_gym_location]],_xlfn.SEQUENCE(LEN(Table1[[#This Row],[home_gym_location]])),1))),"00000")</f>
        <v>00829</v>
      </c>
      <c r="AN262" t="str">
        <f>UPPER(_xlfn.TEXTBEFORE(Table1[[#This Row],[home_gym_location]],","))&amp;"-"&amp;TEXT(MATCH(Table1[[#This Row],[home_gym_location]],_xlfn._xlws.SORT(_xlfn.UNIQUE(Table1[home_gym_location])),0),"000")</f>
        <v>FRESNO-003</v>
      </c>
      <c r="AO262" t="str">
        <f>LEFT(_xlfn.TEXTBEFORE(Table1[[#This Row],[Location Identifier]],"-"),3) &amp; "-" &amp; _xlfn.TEXTAFTER(Table1[[#This Row],[Location Identifier]],"-")</f>
        <v>FRE-003</v>
      </c>
      <c r="AP262" s="9">
        <f t="shared" ca="1" si="40"/>
        <v>45869</v>
      </c>
    </row>
    <row r="263" spans="1:42" x14ac:dyDescent="0.25">
      <c r="A263">
        <v>22</v>
      </c>
      <c r="B263" t="s">
        <v>33</v>
      </c>
      <c r="C263">
        <v>3</v>
      </c>
      <c r="D263" t="s">
        <v>82</v>
      </c>
      <c r="E263" t="b">
        <v>0</v>
      </c>
      <c r="F263" s="1">
        <v>0.44513888888888886</v>
      </c>
      <c r="G263" s="1">
        <v>0.48472222222222222</v>
      </c>
      <c r="H263">
        <v>57</v>
      </c>
      <c r="I263" t="b">
        <v>1</v>
      </c>
      <c r="J263" t="b">
        <v>1</v>
      </c>
      <c r="K263" t="b">
        <v>1</v>
      </c>
      <c r="L263" t="s">
        <v>62</v>
      </c>
      <c r="M263">
        <v>30</v>
      </c>
      <c r="N263" t="s">
        <v>29</v>
      </c>
      <c r="O263">
        <v>30</v>
      </c>
      <c r="P263" t="s">
        <v>74</v>
      </c>
      <c r="Q263">
        <v>0.15</v>
      </c>
      <c r="R263">
        <v>25.5</v>
      </c>
      <c r="S263" t="s">
        <v>37</v>
      </c>
      <c r="T263" t="s">
        <v>50</v>
      </c>
      <c r="U263">
        <v>34.052199999999999</v>
      </c>
      <c r="V263">
        <v>-118.2437</v>
      </c>
      <c r="W263" s="2">
        <v>44776</v>
      </c>
      <c r="X263">
        <v>6</v>
      </c>
      <c r="Y263" t="b">
        <v>0</v>
      </c>
      <c r="Z263" s="2">
        <v>45801</v>
      </c>
      <c r="AA263" t="str">
        <f t="shared" si="41"/>
        <v>20–29</v>
      </c>
      <c r="AB263" t="str">
        <f t="shared" si="42"/>
        <v>20–29</v>
      </c>
      <c r="AC263" t="str">
        <f t="shared" si="43"/>
        <v/>
      </c>
      <c r="AD263" t="str">
        <f t="shared" si="44"/>
        <v/>
      </c>
      <c r="AE263" t="str">
        <f t="shared" si="45"/>
        <v/>
      </c>
      <c r="AF263" t="str">
        <f t="shared" si="46"/>
        <v/>
      </c>
      <c r="AG263" t="str">
        <f t="shared" si="47"/>
        <v>Friday</v>
      </c>
      <c r="AH263" t="str">
        <f t="shared" si="48"/>
        <v>Saturday</v>
      </c>
      <c r="AI263" t="str">
        <f t="shared" si="49"/>
        <v>Sunday</v>
      </c>
      <c r="AJ263" t="str">
        <f>LEFT(Table1[[#This Row],[membership_type]],2)&amp;TEXT(Table1[[#This Row],[age]],"00")&amp;"-"&amp;TEXT(ROW(),"000")</f>
        <v>St22-263</v>
      </c>
      <c r="AK263" t="str">
        <f>LEFT(Table1[[#This Row],[membership_type]],1)&amp;TEXT(MATCH(Table1[[#This Row],[membership_type]],Table1[membership_type],0),"00")</f>
        <v>S02</v>
      </c>
      <c r="AL263" t="str">
        <f>LEFT(Table1[[#This Row],[discount_type]],1)&amp;TEXT(ROUND(Table1[[#This Row],[discount_rate]]*100,0),"00")</f>
        <v>S15</v>
      </c>
      <c r="AM263" t="str" cm="1">
        <f t="array" ref="AM263">TEXT(SUMPRODUCT(CODE(MID(Table1[[#This Row],[home_gym_location]],_xlfn.SEQUENCE(LEN(Table1[[#This Row],[home_gym_location]])),1))),"00000")</f>
        <v>01245</v>
      </c>
      <c r="AN26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63" t="str">
        <f>LEFT(_xlfn.TEXTBEFORE(Table1[[#This Row],[Location Identifier]],"-"),3) &amp; "-" &amp; _xlfn.TEXTAFTER(Table1[[#This Row],[Location Identifier]],"-")</f>
        <v>LOS-005</v>
      </c>
      <c r="AP263" s="9">
        <f t="shared" ca="1" si="40"/>
        <v>45869</v>
      </c>
    </row>
    <row r="264" spans="1:42" x14ac:dyDescent="0.25">
      <c r="A264">
        <v>43</v>
      </c>
      <c r="B264" t="s">
        <v>26</v>
      </c>
      <c r="C264">
        <v>3</v>
      </c>
      <c r="D264" t="s">
        <v>102</v>
      </c>
      <c r="E264" t="b">
        <v>1</v>
      </c>
      <c r="F264" s="1">
        <v>0.56944444444444442</v>
      </c>
      <c r="G264" s="1">
        <v>0.68472222222222223</v>
      </c>
      <c r="H264">
        <v>166</v>
      </c>
      <c r="I264" t="b">
        <v>1</v>
      </c>
      <c r="J264" t="b">
        <v>1</v>
      </c>
      <c r="K264" t="b">
        <v>1</v>
      </c>
      <c r="L264" t="s">
        <v>58</v>
      </c>
      <c r="M264">
        <v>50</v>
      </c>
      <c r="N264" t="s">
        <v>78</v>
      </c>
      <c r="O264">
        <v>45</v>
      </c>
      <c r="P264" t="s">
        <v>40</v>
      </c>
      <c r="Q264">
        <v>0.1</v>
      </c>
      <c r="R264">
        <v>40.5</v>
      </c>
      <c r="S264" t="s">
        <v>31</v>
      </c>
      <c r="T264" t="s">
        <v>50</v>
      </c>
      <c r="U264">
        <v>34.052199999999999</v>
      </c>
      <c r="V264">
        <v>-118.2437</v>
      </c>
      <c r="W264" s="2">
        <v>45681</v>
      </c>
      <c r="X264">
        <v>4</v>
      </c>
      <c r="Y264" t="b">
        <v>1</v>
      </c>
      <c r="Z264" s="2">
        <v>45852</v>
      </c>
      <c r="AA264" t="str">
        <f t="shared" si="41"/>
        <v>40–49</v>
      </c>
      <c r="AB264" t="str">
        <f t="shared" si="42"/>
        <v>40–49</v>
      </c>
      <c r="AC264" t="str">
        <f t="shared" si="43"/>
        <v/>
      </c>
      <c r="AD264" t="str">
        <f t="shared" si="44"/>
        <v/>
      </c>
      <c r="AE264" t="str">
        <f t="shared" si="45"/>
        <v/>
      </c>
      <c r="AF264" t="str">
        <f t="shared" si="46"/>
        <v>Thursday</v>
      </c>
      <c r="AG264" t="str">
        <f t="shared" si="47"/>
        <v>Friday</v>
      </c>
      <c r="AH264" t="str">
        <f t="shared" si="48"/>
        <v>Saturday</v>
      </c>
      <c r="AI264" t="str">
        <f t="shared" si="49"/>
        <v/>
      </c>
      <c r="AJ264" t="str">
        <f>LEFT(Table1[[#This Row],[membership_type]],2)&amp;TEXT(Table1[[#This Row],[age]],"00")&amp;"-"&amp;TEXT(ROW(),"000")</f>
        <v>Pr43-264</v>
      </c>
      <c r="AK264" t="str">
        <f>LEFT(Table1[[#This Row],[membership_type]],1)&amp;TEXT(MATCH(Table1[[#This Row],[membership_type]],Table1[membership_type],0),"00")</f>
        <v>P01</v>
      </c>
      <c r="AL264" t="str">
        <f>LEFT(Table1[[#This Row],[discount_type]],1)&amp;TEXT(ROUND(Table1[[#This Row],[discount_rate]]*100,0),"00")</f>
        <v>L10</v>
      </c>
      <c r="AM264" t="str" cm="1">
        <f t="array" ref="AM264">TEXT(SUMPRODUCT(CODE(MID(Table1[[#This Row],[home_gym_location]],_xlfn.SEQUENCE(LEN(Table1[[#This Row],[home_gym_location]])),1))),"00000")</f>
        <v>01245</v>
      </c>
      <c r="AN26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64" t="str">
        <f>LEFT(_xlfn.TEXTBEFORE(Table1[[#This Row],[Location Identifier]],"-"),3) &amp; "-" &amp; _xlfn.TEXTAFTER(Table1[[#This Row],[Location Identifier]],"-")</f>
        <v>LOS-005</v>
      </c>
      <c r="AP264" s="9">
        <f t="shared" ca="1" si="40"/>
        <v>45869</v>
      </c>
    </row>
    <row r="265" spans="1:42" x14ac:dyDescent="0.25">
      <c r="A265">
        <v>13</v>
      </c>
      <c r="B265" t="s">
        <v>26</v>
      </c>
      <c r="C265">
        <v>2</v>
      </c>
      <c r="D265" t="s">
        <v>139</v>
      </c>
      <c r="E265" t="b">
        <v>1</v>
      </c>
      <c r="F265" s="1">
        <v>0.69166666666666665</v>
      </c>
      <c r="G265" s="1">
        <v>0.73055555555555551</v>
      </c>
      <c r="H265">
        <v>56</v>
      </c>
      <c r="I265" t="b">
        <v>1</v>
      </c>
      <c r="J265" t="b">
        <v>0</v>
      </c>
      <c r="K265" t="b">
        <v>0</v>
      </c>
      <c r="L265" t="s">
        <v>62</v>
      </c>
      <c r="M265">
        <v>50</v>
      </c>
      <c r="N265" t="s">
        <v>29</v>
      </c>
      <c r="O265">
        <v>50</v>
      </c>
      <c r="P265" t="s">
        <v>40</v>
      </c>
      <c r="Q265">
        <v>0.1</v>
      </c>
      <c r="R265">
        <v>45</v>
      </c>
      <c r="S265" t="s">
        <v>31</v>
      </c>
      <c r="T265" t="s">
        <v>50</v>
      </c>
      <c r="U265">
        <v>34.052199999999999</v>
      </c>
      <c r="V265">
        <v>-118.2437</v>
      </c>
      <c r="W265" s="2">
        <v>45278</v>
      </c>
      <c r="X265">
        <v>0</v>
      </c>
      <c r="Y265" t="b">
        <v>1</v>
      </c>
      <c r="Z265" s="2">
        <v>45829</v>
      </c>
      <c r="AA265" t="str">
        <f t="shared" si="41"/>
        <v>10–19</v>
      </c>
      <c r="AB265" t="str">
        <f t="shared" si="42"/>
        <v>Under 16</v>
      </c>
      <c r="AC265" t="str">
        <f t="shared" si="43"/>
        <v/>
      </c>
      <c r="AD265" t="str">
        <f t="shared" si="44"/>
        <v/>
      </c>
      <c r="AE265" t="str">
        <f t="shared" si="45"/>
        <v>Wednesday</v>
      </c>
      <c r="AF265" t="str">
        <f t="shared" si="46"/>
        <v/>
      </c>
      <c r="AG265" t="str">
        <f t="shared" si="47"/>
        <v/>
      </c>
      <c r="AH265" t="str">
        <f t="shared" si="48"/>
        <v>Saturday</v>
      </c>
      <c r="AI265" t="str">
        <f t="shared" si="49"/>
        <v/>
      </c>
      <c r="AJ265" t="str">
        <f>LEFT(Table1[[#This Row],[membership_type]],2)&amp;TEXT(Table1[[#This Row],[age]],"00")&amp;"-"&amp;TEXT(ROW(),"000")</f>
        <v>Pr13-265</v>
      </c>
      <c r="AK265" t="str">
        <f>LEFT(Table1[[#This Row],[membership_type]],1)&amp;TEXT(MATCH(Table1[[#This Row],[membership_type]],Table1[membership_type],0),"00")</f>
        <v>P01</v>
      </c>
      <c r="AL265" t="str">
        <f>LEFT(Table1[[#This Row],[discount_type]],1)&amp;TEXT(ROUND(Table1[[#This Row],[discount_rate]]*100,0),"00")</f>
        <v>L10</v>
      </c>
      <c r="AM265" t="str" cm="1">
        <f t="array" ref="AM265">TEXT(SUMPRODUCT(CODE(MID(Table1[[#This Row],[home_gym_location]],_xlfn.SEQUENCE(LEN(Table1[[#This Row],[home_gym_location]])),1))),"00000")</f>
        <v>01245</v>
      </c>
      <c r="AN26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65" t="str">
        <f>LEFT(_xlfn.TEXTBEFORE(Table1[[#This Row],[Location Identifier]],"-"),3) &amp; "-" &amp; _xlfn.TEXTAFTER(Table1[[#This Row],[Location Identifier]],"-")</f>
        <v>LOS-005</v>
      </c>
      <c r="AP265" s="9">
        <f t="shared" ca="1" si="40"/>
        <v>45869</v>
      </c>
    </row>
    <row r="266" spans="1:42" x14ac:dyDescent="0.25">
      <c r="A266">
        <v>22</v>
      </c>
      <c r="B266" t="s">
        <v>33</v>
      </c>
      <c r="C266">
        <v>5</v>
      </c>
      <c r="D266" t="s">
        <v>115</v>
      </c>
      <c r="E266" t="b">
        <v>1</v>
      </c>
      <c r="F266" s="1">
        <v>0.65555555555555556</v>
      </c>
      <c r="G266" s="1">
        <v>0.71180555555555558</v>
      </c>
      <c r="H266">
        <v>81</v>
      </c>
      <c r="I266" t="b">
        <v>0</v>
      </c>
      <c r="J266" t="b">
        <v>1</v>
      </c>
      <c r="K266" t="b">
        <v>0</v>
      </c>
      <c r="L266" t="s">
        <v>62</v>
      </c>
      <c r="M266">
        <v>30</v>
      </c>
      <c r="N266" t="s">
        <v>78</v>
      </c>
      <c r="O266">
        <v>27</v>
      </c>
      <c r="P266" t="s">
        <v>36</v>
      </c>
      <c r="Q266">
        <v>0</v>
      </c>
      <c r="R266">
        <v>27</v>
      </c>
      <c r="S266" t="s">
        <v>37</v>
      </c>
      <c r="T266" t="s">
        <v>38</v>
      </c>
      <c r="U266">
        <v>36.7378</v>
      </c>
      <c r="V266">
        <v>-119.7871</v>
      </c>
      <c r="W266" s="2">
        <v>44896</v>
      </c>
      <c r="X266">
        <v>4</v>
      </c>
      <c r="Y266" t="b">
        <v>0</v>
      </c>
      <c r="Z266" s="2">
        <v>45808</v>
      </c>
      <c r="AA266" t="str">
        <f t="shared" si="41"/>
        <v>20–29</v>
      </c>
      <c r="AB266" t="str">
        <f t="shared" si="42"/>
        <v>20–29</v>
      </c>
      <c r="AC266" t="str">
        <f t="shared" si="43"/>
        <v>Monday</v>
      </c>
      <c r="AD266" t="str">
        <f t="shared" si="44"/>
        <v/>
      </c>
      <c r="AE266" t="str">
        <f t="shared" si="45"/>
        <v>Wednesday</v>
      </c>
      <c r="AF266" t="str">
        <f t="shared" si="46"/>
        <v/>
      </c>
      <c r="AG266" t="str">
        <f t="shared" si="47"/>
        <v>Friday</v>
      </c>
      <c r="AH266" t="str">
        <f t="shared" si="48"/>
        <v>Saturday</v>
      </c>
      <c r="AI266" t="str">
        <f t="shared" si="49"/>
        <v>Sunday</v>
      </c>
      <c r="AJ266" t="str">
        <f>LEFT(Table1[[#This Row],[membership_type]],2)&amp;TEXT(Table1[[#This Row],[age]],"00")&amp;"-"&amp;TEXT(ROW(),"000")</f>
        <v>St22-266</v>
      </c>
      <c r="AK266" t="str">
        <f>LEFT(Table1[[#This Row],[membership_type]],1)&amp;TEXT(MATCH(Table1[[#This Row],[membership_type]],Table1[membership_type],0),"00")</f>
        <v>S02</v>
      </c>
      <c r="AL266" t="str">
        <f>LEFT(Table1[[#This Row],[discount_type]],1)&amp;TEXT(ROUND(Table1[[#This Row],[discount_rate]]*100,0),"00")</f>
        <v>N00</v>
      </c>
      <c r="AM266" t="str" cm="1">
        <f t="array" ref="AM266">TEXT(SUMPRODUCT(CODE(MID(Table1[[#This Row],[home_gym_location]],_xlfn.SEQUENCE(LEN(Table1[[#This Row],[home_gym_location]])),1))),"00000")</f>
        <v>00829</v>
      </c>
      <c r="AN266" t="str">
        <f>UPPER(_xlfn.TEXTBEFORE(Table1[[#This Row],[home_gym_location]],","))&amp;"-"&amp;TEXT(MATCH(Table1[[#This Row],[home_gym_location]],_xlfn._xlws.SORT(_xlfn.UNIQUE(Table1[home_gym_location])),0),"000")</f>
        <v>FRESNO-003</v>
      </c>
      <c r="AO266" t="str">
        <f>LEFT(_xlfn.TEXTBEFORE(Table1[[#This Row],[Location Identifier]],"-"),3) &amp; "-" &amp; _xlfn.TEXTAFTER(Table1[[#This Row],[Location Identifier]],"-")</f>
        <v>FRE-003</v>
      </c>
      <c r="AP266" s="9">
        <f t="shared" ca="1" si="40"/>
        <v>45869</v>
      </c>
    </row>
    <row r="267" spans="1:42" x14ac:dyDescent="0.25">
      <c r="A267">
        <v>43</v>
      </c>
      <c r="B267" t="s">
        <v>26</v>
      </c>
      <c r="C267">
        <v>3</v>
      </c>
      <c r="D267" t="s">
        <v>140</v>
      </c>
      <c r="E267" t="b">
        <v>0</v>
      </c>
      <c r="F267" s="1">
        <v>0.49722222222222223</v>
      </c>
      <c r="G267" s="1">
        <v>0.52430555555555558</v>
      </c>
      <c r="H267">
        <v>39</v>
      </c>
      <c r="I267" t="b">
        <v>0</v>
      </c>
      <c r="J267" t="b">
        <v>1</v>
      </c>
      <c r="K267" t="b">
        <v>1</v>
      </c>
      <c r="L267" t="s">
        <v>62</v>
      </c>
      <c r="M267">
        <v>50</v>
      </c>
      <c r="N267" t="s">
        <v>64</v>
      </c>
      <c r="O267">
        <v>37.5</v>
      </c>
      <c r="P267" t="s">
        <v>40</v>
      </c>
      <c r="Q267">
        <v>0.1</v>
      </c>
      <c r="R267">
        <v>33.75</v>
      </c>
      <c r="S267" t="s">
        <v>31</v>
      </c>
      <c r="T267" t="s">
        <v>38</v>
      </c>
      <c r="U267">
        <v>36.7378</v>
      </c>
      <c r="V267">
        <v>-119.7871</v>
      </c>
      <c r="W267" s="2">
        <v>45042</v>
      </c>
      <c r="X267">
        <v>6</v>
      </c>
      <c r="Y267" t="b">
        <v>0</v>
      </c>
      <c r="Z267" s="2">
        <v>45816</v>
      </c>
      <c r="AA267" t="str">
        <f t="shared" si="41"/>
        <v>40–49</v>
      </c>
      <c r="AB267" t="str">
        <f t="shared" si="42"/>
        <v>40–49</v>
      </c>
      <c r="AC267" t="str">
        <f t="shared" si="43"/>
        <v>Monday</v>
      </c>
      <c r="AD267" t="str">
        <f t="shared" si="44"/>
        <v>Tuesday</v>
      </c>
      <c r="AE267" t="str">
        <f t="shared" si="45"/>
        <v/>
      </c>
      <c r="AF267" t="str">
        <f t="shared" si="46"/>
        <v/>
      </c>
      <c r="AG267" t="str">
        <f t="shared" si="47"/>
        <v>Friday</v>
      </c>
      <c r="AH267" t="str">
        <f t="shared" si="48"/>
        <v/>
      </c>
      <c r="AI267" t="str">
        <f t="shared" si="49"/>
        <v/>
      </c>
      <c r="AJ267" t="str">
        <f>LEFT(Table1[[#This Row],[membership_type]],2)&amp;TEXT(Table1[[#This Row],[age]],"00")&amp;"-"&amp;TEXT(ROW(),"000")</f>
        <v>Pr43-267</v>
      </c>
      <c r="AK267" t="str">
        <f>LEFT(Table1[[#This Row],[membership_type]],1)&amp;TEXT(MATCH(Table1[[#This Row],[membership_type]],Table1[membership_type],0),"00")</f>
        <v>P01</v>
      </c>
      <c r="AL267" t="str">
        <f>LEFT(Table1[[#This Row],[discount_type]],1)&amp;TEXT(ROUND(Table1[[#This Row],[discount_rate]]*100,0),"00")</f>
        <v>L10</v>
      </c>
      <c r="AM267" t="str" cm="1">
        <f t="array" ref="AM267">TEXT(SUMPRODUCT(CODE(MID(Table1[[#This Row],[home_gym_location]],_xlfn.SEQUENCE(LEN(Table1[[#This Row],[home_gym_location]])),1))),"00000")</f>
        <v>00829</v>
      </c>
      <c r="AN267" t="str">
        <f>UPPER(_xlfn.TEXTBEFORE(Table1[[#This Row],[home_gym_location]],","))&amp;"-"&amp;TEXT(MATCH(Table1[[#This Row],[home_gym_location]],_xlfn._xlws.SORT(_xlfn.UNIQUE(Table1[home_gym_location])),0),"000")</f>
        <v>FRESNO-003</v>
      </c>
      <c r="AO267" t="str">
        <f>LEFT(_xlfn.TEXTBEFORE(Table1[[#This Row],[Location Identifier]],"-"),3) &amp; "-" &amp; _xlfn.TEXTAFTER(Table1[[#This Row],[Location Identifier]],"-")</f>
        <v>FRE-003</v>
      </c>
      <c r="AP267" s="9">
        <f t="shared" ca="1" si="40"/>
        <v>45869</v>
      </c>
    </row>
    <row r="268" spans="1:42" x14ac:dyDescent="0.25">
      <c r="A268">
        <v>20</v>
      </c>
      <c r="B268" t="s">
        <v>33</v>
      </c>
      <c r="C268">
        <v>1</v>
      </c>
      <c r="D268" t="s">
        <v>71</v>
      </c>
      <c r="E268" t="b">
        <v>0</v>
      </c>
      <c r="F268" s="1">
        <v>0.37152777777777779</v>
      </c>
      <c r="G268" s="1">
        <v>0.43263888888888891</v>
      </c>
      <c r="H268">
        <v>88</v>
      </c>
      <c r="I268" t="b">
        <v>1</v>
      </c>
      <c r="J268" t="b">
        <v>1</v>
      </c>
      <c r="K268" t="b">
        <v>1</v>
      </c>
      <c r="L268" t="s">
        <v>62</v>
      </c>
      <c r="M268">
        <v>30</v>
      </c>
      <c r="N268" t="s">
        <v>29</v>
      </c>
      <c r="O268">
        <v>30</v>
      </c>
      <c r="P268" t="s">
        <v>36</v>
      </c>
      <c r="Q268">
        <v>0</v>
      </c>
      <c r="R268">
        <v>30</v>
      </c>
      <c r="S268" t="s">
        <v>37</v>
      </c>
      <c r="T268" t="s">
        <v>59</v>
      </c>
      <c r="U268">
        <v>37.774900000000002</v>
      </c>
      <c r="V268">
        <v>-122.4194</v>
      </c>
      <c r="W268" s="2">
        <v>45088</v>
      </c>
      <c r="X268">
        <v>3</v>
      </c>
      <c r="Y268" t="b">
        <v>0</v>
      </c>
      <c r="Z268" s="2">
        <v>45819</v>
      </c>
      <c r="AA268" t="str">
        <f t="shared" si="41"/>
        <v>20–29</v>
      </c>
      <c r="AB268" t="str">
        <f t="shared" si="42"/>
        <v>20–29</v>
      </c>
      <c r="AC268" t="str">
        <f t="shared" si="43"/>
        <v/>
      </c>
      <c r="AD268" t="str">
        <f t="shared" si="44"/>
        <v>Tuesday</v>
      </c>
      <c r="AE268" t="str">
        <f t="shared" si="45"/>
        <v/>
      </c>
      <c r="AF268" t="str">
        <f t="shared" si="46"/>
        <v/>
      </c>
      <c r="AG268" t="str">
        <f t="shared" si="47"/>
        <v/>
      </c>
      <c r="AH268" t="str">
        <f t="shared" si="48"/>
        <v/>
      </c>
      <c r="AI268" t="str">
        <f t="shared" si="49"/>
        <v/>
      </c>
      <c r="AJ268" t="str">
        <f>LEFT(Table1[[#This Row],[membership_type]],2)&amp;TEXT(Table1[[#This Row],[age]],"00")&amp;"-"&amp;TEXT(ROW(),"000")</f>
        <v>St20-268</v>
      </c>
      <c r="AK268" t="str">
        <f>LEFT(Table1[[#This Row],[membership_type]],1)&amp;TEXT(MATCH(Table1[[#This Row],[membership_type]],Table1[membership_type],0),"00")</f>
        <v>S02</v>
      </c>
      <c r="AL268" t="str">
        <f>LEFT(Table1[[#This Row],[discount_type]],1)&amp;TEXT(ROUND(Table1[[#This Row],[discount_rate]]*100,0),"00")</f>
        <v>N00</v>
      </c>
      <c r="AM268" t="str" cm="1">
        <f t="array" ref="AM268">TEXT(SUMPRODUCT(CODE(MID(Table1[[#This Row],[home_gym_location]],_xlfn.SEQUENCE(LEN(Table1[[#This Row],[home_gym_location]])),1))),"00000")</f>
        <v>01450</v>
      </c>
      <c r="AN2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68" t="str">
        <f>LEFT(_xlfn.TEXTBEFORE(Table1[[#This Row],[Location Identifier]],"-"),3) &amp; "-" &amp; _xlfn.TEXTAFTER(Table1[[#This Row],[Location Identifier]],"-")</f>
        <v>SAN-009</v>
      </c>
      <c r="AP268" s="9">
        <f t="shared" ca="1" si="40"/>
        <v>45869</v>
      </c>
    </row>
    <row r="269" spans="1:42" x14ac:dyDescent="0.25">
      <c r="A269">
        <v>25</v>
      </c>
      <c r="B269" t="s">
        <v>26</v>
      </c>
      <c r="C269">
        <v>2</v>
      </c>
      <c r="D269" t="s">
        <v>70</v>
      </c>
      <c r="E269" t="b">
        <v>1</v>
      </c>
      <c r="F269" s="1">
        <v>0.85486111111111107</v>
      </c>
      <c r="G269" s="1">
        <v>0.88055555555555554</v>
      </c>
      <c r="H269">
        <v>37</v>
      </c>
      <c r="I269" t="b">
        <v>0</v>
      </c>
      <c r="J269" t="b">
        <v>1</v>
      </c>
      <c r="K269" t="b">
        <v>1</v>
      </c>
      <c r="L269" t="s">
        <v>28</v>
      </c>
      <c r="M269">
        <v>50</v>
      </c>
      <c r="N269" t="s">
        <v>64</v>
      </c>
      <c r="O269">
        <v>37.5</v>
      </c>
      <c r="P269" t="s">
        <v>40</v>
      </c>
      <c r="Q269">
        <v>0.1</v>
      </c>
      <c r="R269">
        <v>33.75</v>
      </c>
      <c r="S269" t="s">
        <v>31</v>
      </c>
      <c r="T269" t="s">
        <v>56</v>
      </c>
      <c r="U269">
        <v>35.3733</v>
      </c>
      <c r="V269">
        <v>-119.0187</v>
      </c>
      <c r="W269" s="2">
        <v>45082</v>
      </c>
      <c r="X269">
        <v>5</v>
      </c>
      <c r="Y269" t="b">
        <v>0</v>
      </c>
      <c r="Z269" s="2">
        <v>45818</v>
      </c>
      <c r="AA269" t="str">
        <f t="shared" si="41"/>
        <v>20–29</v>
      </c>
      <c r="AB269" t="str">
        <f t="shared" si="42"/>
        <v>20–29</v>
      </c>
      <c r="AC269" t="str">
        <f t="shared" si="43"/>
        <v/>
      </c>
      <c r="AD269" t="str">
        <f t="shared" si="44"/>
        <v/>
      </c>
      <c r="AE269" t="str">
        <f t="shared" si="45"/>
        <v>Wednesday</v>
      </c>
      <c r="AF269" t="str">
        <f t="shared" si="46"/>
        <v>Thursday</v>
      </c>
      <c r="AG269" t="str">
        <f t="shared" si="47"/>
        <v/>
      </c>
      <c r="AH269" t="str">
        <f t="shared" si="48"/>
        <v/>
      </c>
      <c r="AI269" t="str">
        <f t="shared" si="49"/>
        <v/>
      </c>
      <c r="AJ269" t="str">
        <f>LEFT(Table1[[#This Row],[membership_type]],2)&amp;TEXT(Table1[[#This Row],[age]],"00")&amp;"-"&amp;TEXT(ROW(),"000")</f>
        <v>Pr25-269</v>
      </c>
      <c r="AK269" t="str">
        <f>LEFT(Table1[[#This Row],[membership_type]],1)&amp;TEXT(MATCH(Table1[[#This Row],[membership_type]],Table1[membership_type],0),"00")</f>
        <v>P01</v>
      </c>
      <c r="AL269" t="str">
        <f>LEFT(Table1[[#This Row],[discount_type]],1)&amp;TEXT(ROUND(Table1[[#This Row],[discount_rate]]*100,0),"00")</f>
        <v>L10</v>
      </c>
      <c r="AM269" t="str" cm="1">
        <f t="array" ref="AM269">TEXT(SUMPRODUCT(CODE(MID(Table1[[#This Row],[home_gym_location]],_xlfn.SEQUENCE(LEN(Table1[[#This Row],[home_gym_location]])),1))),"00000")</f>
        <v>01324</v>
      </c>
      <c r="AN26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69" t="str">
        <f>LEFT(_xlfn.TEXTBEFORE(Table1[[#This Row],[Location Identifier]],"-"),3) &amp; "-" &amp; _xlfn.TEXTAFTER(Table1[[#This Row],[Location Identifier]],"-")</f>
        <v>BAK-002</v>
      </c>
      <c r="AP269" s="9">
        <f t="shared" ca="1" si="40"/>
        <v>45869</v>
      </c>
    </row>
    <row r="270" spans="1:42" x14ac:dyDescent="0.25">
      <c r="A270">
        <v>34</v>
      </c>
      <c r="B270" t="s">
        <v>26</v>
      </c>
      <c r="C270">
        <v>2</v>
      </c>
      <c r="D270" t="s">
        <v>27</v>
      </c>
      <c r="E270" t="b">
        <v>1</v>
      </c>
      <c r="F270" s="1">
        <v>0.56874999999999998</v>
      </c>
      <c r="G270" s="1">
        <v>0.6069444444444444</v>
      </c>
      <c r="H270">
        <v>55</v>
      </c>
      <c r="I270" t="b">
        <v>0</v>
      </c>
      <c r="J270" t="b">
        <v>1</v>
      </c>
      <c r="K270" t="b">
        <v>0</v>
      </c>
      <c r="L270" t="s">
        <v>28</v>
      </c>
      <c r="M270">
        <v>50</v>
      </c>
      <c r="N270" t="s">
        <v>29</v>
      </c>
      <c r="O270">
        <v>50</v>
      </c>
      <c r="P270" t="s">
        <v>30</v>
      </c>
      <c r="Q270">
        <v>0.05</v>
      </c>
      <c r="R270">
        <v>47.5</v>
      </c>
      <c r="S270" t="s">
        <v>31</v>
      </c>
      <c r="T270" t="s">
        <v>54</v>
      </c>
      <c r="U270">
        <v>32.715699999999998</v>
      </c>
      <c r="V270">
        <v>-117.1611</v>
      </c>
      <c r="W270" s="2">
        <v>45448</v>
      </c>
      <c r="X270">
        <v>1</v>
      </c>
      <c r="Y270" t="b">
        <v>1</v>
      </c>
      <c r="Z270" s="2">
        <v>45839</v>
      </c>
      <c r="AA270" t="str">
        <f t="shared" si="41"/>
        <v>30–39</v>
      </c>
      <c r="AB270" t="str">
        <f t="shared" si="42"/>
        <v>30–39</v>
      </c>
      <c r="AC270" t="str">
        <f t="shared" si="43"/>
        <v/>
      </c>
      <c r="AD270" t="str">
        <f t="shared" si="44"/>
        <v/>
      </c>
      <c r="AE270" t="str">
        <f t="shared" si="45"/>
        <v/>
      </c>
      <c r="AF270" t="str">
        <f t="shared" si="46"/>
        <v>Thursday</v>
      </c>
      <c r="AG270" t="str">
        <f t="shared" si="47"/>
        <v/>
      </c>
      <c r="AH270" t="str">
        <f t="shared" si="48"/>
        <v>Saturday</v>
      </c>
      <c r="AI270" t="str">
        <f t="shared" si="49"/>
        <v/>
      </c>
      <c r="AJ270" t="str">
        <f>LEFT(Table1[[#This Row],[membership_type]],2)&amp;TEXT(Table1[[#This Row],[age]],"00")&amp;"-"&amp;TEXT(ROW(),"000")</f>
        <v>Pr34-270</v>
      </c>
      <c r="AK270" t="str">
        <f>LEFT(Table1[[#This Row],[membership_type]],1)&amp;TEXT(MATCH(Table1[[#This Row],[membership_type]],Table1[membership_type],0),"00")</f>
        <v>P01</v>
      </c>
      <c r="AL270" t="str">
        <f>LEFT(Table1[[#This Row],[discount_type]],1)&amp;TEXT(ROUND(Table1[[#This Row],[discount_rate]]*100,0),"00")</f>
        <v>P05</v>
      </c>
      <c r="AM270" t="str" cm="1">
        <f t="array" ref="AM270">TEXT(SUMPRODUCT(CODE(MID(Table1[[#This Row],[home_gym_location]],_xlfn.SEQUENCE(LEN(Table1[[#This Row],[home_gym_location]])),1))),"00000")</f>
        <v>01018</v>
      </c>
      <c r="AN27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70" t="str">
        <f>LEFT(_xlfn.TEXTBEFORE(Table1[[#This Row],[Location Identifier]],"-"),3) &amp; "-" &amp; _xlfn.TEXTAFTER(Table1[[#This Row],[Location Identifier]],"-")</f>
        <v>SAN-008</v>
      </c>
      <c r="AP270" s="9">
        <f t="shared" ca="1" si="40"/>
        <v>45869</v>
      </c>
    </row>
    <row r="271" spans="1:42" x14ac:dyDescent="0.25">
      <c r="A271">
        <v>46</v>
      </c>
      <c r="B271" t="s">
        <v>26</v>
      </c>
      <c r="C271">
        <v>5</v>
      </c>
      <c r="D271" t="s">
        <v>110</v>
      </c>
      <c r="E271" t="b">
        <v>0</v>
      </c>
      <c r="F271" s="1">
        <v>0.86527777777777781</v>
      </c>
      <c r="G271" s="1">
        <v>0.92291666666666672</v>
      </c>
      <c r="H271">
        <v>83</v>
      </c>
      <c r="I271" t="b">
        <v>1</v>
      </c>
      <c r="J271" t="b">
        <v>1</v>
      </c>
      <c r="K271" t="b">
        <v>1</v>
      </c>
      <c r="L271" t="s">
        <v>62</v>
      </c>
      <c r="M271">
        <v>50</v>
      </c>
      <c r="N271" t="s">
        <v>64</v>
      </c>
      <c r="O271">
        <v>37.5</v>
      </c>
      <c r="P271" t="s">
        <v>74</v>
      </c>
      <c r="Q271">
        <v>0.15</v>
      </c>
      <c r="R271">
        <v>31.875</v>
      </c>
      <c r="S271" t="s">
        <v>31</v>
      </c>
      <c r="T271" t="s">
        <v>56</v>
      </c>
      <c r="U271">
        <v>35.3733</v>
      </c>
      <c r="V271">
        <v>-119.0187</v>
      </c>
      <c r="W271" s="2">
        <v>45518</v>
      </c>
      <c r="X271">
        <v>8</v>
      </c>
      <c r="Y271" t="b">
        <v>0</v>
      </c>
      <c r="Z271" s="2">
        <v>45843</v>
      </c>
      <c r="AA271" t="str">
        <f t="shared" si="41"/>
        <v>40–49</v>
      </c>
      <c r="AB271" t="str">
        <f t="shared" si="42"/>
        <v>40–49</v>
      </c>
      <c r="AC271" t="str">
        <f t="shared" si="43"/>
        <v>Monday</v>
      </c>
      <c r="AD271" t="str">
        <f t="shared" si="44"/>
        <v>Tuesday</v>
      </c>
      <c r="AE271" t="str">
        <f t="shared" si="45"/>
        <v>Wednesday</v>
      </c>
      <c r="AF271" t="str">
        <f t="shared" si="46"/>
        <v>Thursday</v>
      </c>
      <c r="AG271" t="str">
        <f t="shared" si="47"/>
        <v/>
      </c>
      <c r="AH271" t="str">
        <f t="shared" si="48"/>
        <v>Saturday</v>
      </c>
      <c r="AI271" t="str">
        <f t="shared" si="49"/>
        <v/>
      </c>
      <c r="AJ271" t="str">
        <f>LEFT(Table1[[#This Row],[membership_type]],2)&amp;TEXT(Table1[[#This Row],[age]],"00")&amp;"-"&amp;TEXT(ROW(),"000")</f>
        <v>Pr46-271</v>
      </c>
      <c r="AK271" t="str">
        <f>LEFT(Table1[[#This Row],[membership_type]],1)&amp;TEXT(MATCH(Table1[[#This Row],[membership_type]],Table1[membership_type],0),"00")</f>
        <v>P01</v>
      </c>
      <c r="AL271" t="str">
        <f>LEFT(Table1[[#This Row],[discount_type]],1)&amp;TEXT(ROUND(Table1[[#This Row],[discount_rate]]*100,0),"00")</f>
        <v>S15</v>
      </c>
      <c r="AM271" t="str" cm="1">
        <f t="array" ref="AM271">TEXT(SUMPRODUCT(CODE(MID(Table1[[#This Row],[home_gym_location]],_xlfn.SEQUENCE(LEN(Table1[[#This Row],[home_gym_location]])),1))),"00000")</f>
        <v>01324</v>
      </c>
      <c r="AN27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71" t="str">
        <f>LEFT(_xlfn.TEXTBEFORE(Table1[[#This Row],[Location Identifier]],"-"),3) &amp; "-" &amp; _xlfn.TEXTAFTER(Table1[[#This Row],[Location Identifier]],"-")</f>
        <v>BAK-002</v>
      </c>
      <c r="AP271" s="9">
        <f t="shared" ca="1" si="40"/>
        <v>45869</v>
      </c>
    </row>
    <row r="272" spans="1:42" x14ac:dyDescent="0.25">
      <c r="A272">
        <v>48</v>
      </c>
      <c r="B272" t="s">
        <v>26</v>
      </c>
      <c r="C272">
        <v>3</v>
      </c>
      <c r="D272" t="s">
        <v>109</v>
      </c>
      <c r="E272" t="b">
        <v>1</v>
      </c>
      <c r="F272" s="1">
        <v>0.49722222222222223</v>
      </c>
      <c r="G272" s="1">
        <v>0.59236111111111112</v>
      </c>
      <c r="H272">
        <v>137</v>
      </c>
      <c r="I272" t="b">
        <v>0</v>
      </c>
      <c r="J272" t="b">
        <v>1</v>
      </c>
      <c r="K272" t="b">
        <v>1</v>
      </c>
      <c r="L272" t="s">
        <v>62</v>
      </c>
      <c r="M272">
        <v>50</v>
      </c>
      <c r="N272" t="s">
        <v>29</v>
      </c>
      <c r="O272">
        <v>50</v>
      </c>
      <c r="P272" t="s">
        <v>36</v>
      </c>
      <c r="Q272">
        <v>0</v>
      </c>
      <c r="R272">
        <v>50</v>
      </c>
      <c r="S272" t="s">
        <v>31</v>
      </c>
      <c r="T272" t="s">
        <v>65</v>
      </c>
      <c r="U272">
        <v>33.770099999999999</v>
      </c>
      <c r="V272">
        <v>-118.19370000000001</v>
      </c>
      <c r="W272" s="2">
        <v>44969</v>
      </c>
      <c r="X272">
        <v>2</v>
      </c>
      <c r="Y272" t="b">
        <v>1</v>
      </c>
      <c r="Z272" s="2">
        <v>45812</v>
      </c>
      <c r="AA272" t="str">
        <f t="shared" si="41"/>
        <v>40–49</v>
      </c>
      <c r="AB272" t="str">
        <f t="shared" si="42"/>
        <v>40–49</v>
      </c>
      <c r="AC272" t="str">
        <f t="shared" si="43"/>
        <v/>
      </c>
      <c r="AD272" t="str">
        <f t="shared" si="44"/>
        <v>Tuesday</v>
      </c>
      <c r="AE272" t="str">
        <f t="shared" si="45"/>
        <v/>
      </c>
      <c r="AF272" t="str">
        <f t="shared" si="46"/>
        <v>Thursday</v>
      </c>
      <c r="AG272" t="str">
        <f t="shared" si="47"/>
        <v>Friday</v>
      </c>
      <c r="AH272" t="str">
        <f t="shared" si="48"/>
        <v/>
      </c>
      <c r="AI272" t="str">
        <f t="shared" si="49"/>
        <v/>
      </c>
      <c r="AJ272" t="str">
        <f>LEFT(Table1[[#This Row],[membership_type]],2)&amp;TEXT(Table1[[#This Row],[age]],"00")&amp;"-"&amp;TEXT(ROW(),"000")</f>
        <v>Pr48-272</v>
      </c>
      <c r="AK272" t="str">
        <f>LEFT(Table1[[#This Row],[membership_type]],1)&amp;TEXT(MATCH(Table1[[#This Row],[membership_type]],Table1[membership_type],0),"00")</f>
        <v>P01</v>
      </c>
      <c r="AL272" t="str">
        <f>LEFT(Table1[[#This Row],[discount_type]],1)&amp;TEXT(ROUND(Table1[[#This Row],[discount_rate]]*100,0),"00")</f>
        <v>N00</v>
      </c>
      <c r="AM272" t="str" cm="1">
        <f t="array" ref="AM272">TEXT(SUMPRODUCT(CODE(MID(Table1[[#This Row],[home_gym_location]],_xlfn.SEQUENCE(LEN(Table1[[#This Row],[home_gym_location]])),1))),"00000")</f>
        <v>01107</v>
      </c>
      <c r="AN27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72" t="str">
        <f>LEFT(_xlfn.TEXTBEFORE(Table1[[#This Row],[Location Identifier]],"-"),3) &amp; "-" &amp; _xlfn.TEXTAFTER(Table1[[#This Row],[Location Identifier]],"-")</f>
        <v>LON-004</v>
      </c>
      <c r="AP272" s="9">
        <f t="shared" ca="1" si="40"/>
        <v>45869</v>
      </c>
    </row>
    <row r="273" spans="1:42" x14ac:dyDescent="0.25">
      <c r="A273">
        <v>28</v>
      </c>
      <c r="B273" t="s">
        <v>26</v>
      </c>
      <c r="C273">
        <v>4</v>
      </c>
      <c r="D273" t="s">
        <v>99</v>
      </c>
      <c r="E273" t="b">
        <v>0</v>
      </c>
      <c r="F273" s="1">
        <v>0.68958333333333333</v>
      </c>
      <c r="G273" s="1">
        <v>0.71597222222222223</v>
      </c>
      <c r="H273">
        <v>38</v>
      </c>
      <c r="I273" t="b">
        <v>0</v>
      </c>
      <c r="J273" t="b">
        <v>0</v>
      </c>
      <c r="K273" t="b">
        <v>1</v>
      </c>
      <c r="L273" t="s">
        <v>28</v>
      </c>
      <c r="M273">
        <v>50</v>
      </c>
      <c r="N273" t="s">
        <v>64</v>
      </c>
      <c r="O273">
        <v>37.5</v>
      </c>
      <c r="P273" t="s">
        <v>30</v>
      </c>
      <c r="Q273">
        <v>0.05</v>
      </c>
      <c r="R273">
        <v>35.625</v>
      </c>
      <c r="S273" t="s">
        <v>31</v>
      </c>
      <c r="T273" t="s">
        <v>54</v>
      </c>
      <c r="U273">
        <v>32.715699999999998</v>
      </c>
      <c r="V273">
        <v>-117.1611</v>
      </c>
      <c r="W273" s="2">
        <v>44968</v>
      </c>
      <c r="X273">
        <v>0</v>
      </c>
      <c r="Y273" t="b">
        <v>0</v>
      </c>
      <c r="Z273" s="2">
        <v>45812</v>
      </c>
      <c r="AA273" t="str">
        <f t="shared" si="41"/>
        <v>20–29</v>
      </c>
      <c r="AB273" t="str">
        <f t="shared" si="42"/>
        <v>20–29</v>
      </c>
      <c r="AC273" t="str">
        <f t="shared" si="43"/>
        <v/>
      </c>
      <c r="AD273" t="str">
        <f t="shared" si="44"/>
        <v/>
      </c>
      <c r="AE273" t="str">
        <f t="shared" si="45"/>
        <v>Wednesday</v>
      </c>
      <c r="AF273" t="str">
        <f t="shared" si="46"/>
        <v/>
      </c>
      <c r="AG273" t="str">
        <f t="shared" si="47"/>
        <v>Friday</v>
      </c>
      <c r="AH273" t="str">
        <f t="shared" si="48"/>
        <v>Saturday</v>
      </c>
      <c r="AI273" t="str">
        <f t="shared" si="49"/>
        <v>Sunday</v>
      </c>
      <c r="AJ273" t="str">
        <f>LEFT(Table1[[#This Row],[membership_type]],2)&amp;TEXT(Table1[[#This Row],[age]],"00")&amp;"-"&amp;TEXT(ROW(),"000")</f>
        <v>Pr28-273</v>
      </c>
      <c r="AK273" t="str">
        <f>LEFT(Table1[[#This Row],[membership_type]],1)&amp;TEXT(MATCH(Table1[[#This Row],[membership_type]],Table1[membership_type],0),"00")</f>
        <v>P01</v>
      </c>
      <c r="AL273" t="str">
        <f>LEFT(Table1[[#This Row],[discount_type]],1)&amp;TEXT(ROUND(Table1[[#This Row],[discount_rate]]*100,0),"00")</f>
        <v>P05</v>
      </c>
      <c r="AM273" t="str" cm="1">
        <f t="array" ref="AM273">TEXT(SUMPRODUCT(CODE(MID(Table1[[#This Row],[home_gym_location]],_xlfn.SEQUENCE(LEN(Table1[[#This Row],[home_gym_location]])),1))),"00000")</f>
        <v>01018</v>
      </c>
      <c r="AN27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73" t="str">
        <f>LEFT(_xlfn.TEXTBEFORE(Table1[[#This Row],[Location Identifier]],"-"),3) &amp; "-" &amp; _xlfn.TEXTAFTER(Table1[[#This Row],[Location Identifier]],"-")</f>
        <v>SAN-008</v>
      </c>
      <c r="AP273" s="9">
        <f t="shared" ca="1" si="40"/>
        <v>45869</v>
      </c>
    </row>
    <row r="274" spans="1:42" x14ac:dyDescent="0.25">
      <c r="A274">
        <v>20</v>
      </c>
      <c r="B274" t="s">
        <v>42</v>
      </c>
      <c r="C274">
        <v>3</v>
      </c>
      <c r="D274" t="s">
        <v>89</v>
      </c>
      <c r="E274" t="b">
        <v>1</v>
      </c>
      <c r="F274" s="1">
        <v>0.37013888888888891</v>
      </c>
      <c r="G274" s="1">
        <v>0.46597222222222223</v>
      </c>
      <c r="H274">
        <v>138</v>
      </c>
      <c r="I274" t="b">
        <v>0</v>
      </c>
      <c r="J274" t="b">
        <v>1</v>
      </c>
      <c r="K274" t="b">
        <v>1</v>
      </c>
      <c r="L274" t="s">
        <v>28</v>
      </c>
      <c r="M274">
        <v>20</v>
      </c>
      <c r="N274" t="s">
        <v>29</v>
      </c>
      <c r="O274">
        <v>20</v>
      </c>
      <c r="P274" t="s">
        <v>30</v>
      </c>
      <c r="Q274">
        <v>0.05</v>
      </c>
      <c r="R274">
        <v>19</v>
      </c>
      <c r="S274" t="s">
        <v>44</v>
      </c>
      <c r="T274" t="s">
        <v>38</v>
      </c>
      <c r="U274">
        <v>36.7378</v>
      </c>
      <c r="V274">
        <v>-119.7871</v>
      </c>
      <c r="W274" s="2">
        <v>44907</v>
      </c>
      <c r="X274">
        <v>4</v>
      </c>
      <c r="Y274" t="b">
        <v>0</v>
      </c>
      <c r="Z274" s="2">
        <v>45808</v>
      </c>
      <c r="AA274" t="str">
        <f t="shared" si="41"/>
        <v>20–29</v>
      </c>
      <c r="AB274" t="str">
        <f t="shared" si="42"/>
        <v>20–29</v>
      </c>
      <c r="AC274" t="str">
        <f t="shared" si="43"/>
        <v>Monday</v>
      </c>
      <c r="AD274" t="str">
        <f t="shared" si="44"/>
        <v>Tuesday</v>
      </c>
      <c r="AE274" t="str">
        <f t="shared" si="45"/>
        <v/>
      </c>
      <c r="AF274" t="str">
        <f t="shared" si="46"/>
        <v/>
      </c>
      <c r="AG274" t="str">
        <f t="shared" si="47"/>
        <v/>
      </c>
      <c r="AH274" t="str">
        <f t="shared" si="48"/>
        <v>Saturday</v>
      </c>
      <c r="AI274" t="str">
        <f t="shared" si="49"/>
        <v/>
      </c>
      <c r="AJ274" t="str">
        <f>LEFT(Table1[[#This Row],[membership_type]],2)&amp;TEXT(Table1[[#This Row],[age]],"00")&amp;"-"&amp;TEXT(ROW(),"000")</f>
        <v>Ba20-274</v>
      </c>
      <c r="AK274" t="str">
        <f>LEFT(Table1[[#This Row],[membership_type]],1)&amp;TEXT(MATCH(Table1[[#This Row],[membership_type]],Table1[membership_type],0),"00")</f>
        <v>B04</v>
      </c>
      <c r="AL274" t="str">
        <f>LEFT(Table1[[#This Row],[discount_type]],1)&amp;TEXT(ROUND(Table1[[#This Row],[discount_rate]]*100,0),"00")</f>
        <v>P05</v>
      </c>
      <c r="AM274" t="str" cm="1">
        <f t="array" ref="AM274">TEXT(SUMPRODUCT(CODE(MID(Table1[[#This Row],[home_gym_location]],_xlfn.SEQUENCE(LEN(Table1[[#This Row],[home_gym_location]])),1))),"00000")</f>
        <v>00829</v>
      </c>
      <c r="AN274" t="str">
        <f>UPPER(_xlfn.TEXTBEFORE(Table1[[#This Row],[home_gym_location]],","))&amp;"-"&amp;TEXT(MATCH(Table1[[#This Row],[home_gym_location]],_xlfn._xlws.SORT(_xlfn.UNIQUE(Table1[home_gym_location])),0),"000")</f>
        <v>FRESNO-003</v>
      </c>
      <c r="AO274" t="str">
        <f>LEFT(_xlfn.TEXTBEFORE(Table1[[#This Row],[Location Identifier]],"-"),3) &amp; "-" &amp; _xlfn.TEXTAFTER(Table1[[#This Row],[Location Identifier]],"-")</f>
        <v>FRE-003</v>
      </c>
      <c r="AP274" s="9">
        <f t="shared" ca="1" si="40"/>
        <v>45869</v>
      </c>
    </row>
    <row r="275" spans="1:42" x14ac:dyDescent="0.25">
      <c r="A275">
        <v>20</v>
      </c>
      <c r="B275" t="s">
        <v>42</v>
      </c>
      <c r="C275">
        <v>4</v>
      </c>
      <c r="D275" t="s">
        <v>119</v>
      </c>
      <c r="E275" t="b">
        <v>0</v>
      </c>
      <c r="F275" s="1">
        <v>0.71666666666666667</v>
      </c>
      <c r="G275" s="1">
        <v>0.7631944444444444</v>
      </c>
      <c r="H275">
        <v>67</v>
      </c>
      <c r="I275" t="b">
        <v>0</v>
      </c>
      <c r="J275" t="b">
        <v>0</v>
      </c>
      <c r="K275" t="b">
        <v>1</v>
      </c>
      <c r="L275" t="s">
        <v>28</v>
      </c>
      <c r="M275">
        <v>20</v>
      </c>
      <c r="N275" t="s">
        <v>64</v>
      </c>
      <c r="O275">
        <v>15</v>
      </c>
      <c r="P275" t="s">
        <v>36</v>
      </c>
      <c r="Q275">
        <v>0</v>
      </c>
      <c r="R275">
        <v>15</v>
      </c>
      <c r="S275" t="s">
        <v>44</v>
      </c>
      <c r="T275" t="s">
        <v>54</v>
      </c>
      <c r="U275">
        <v>32.715699999999998</v>
      </c>
      <c r="V275">
        <v>-117.1611</v>
      </c>
      <c r="W275" s="2">
        <v>44858</v>
      </c>
      <c r="X275">
        <v>0</v>
      </c>
      <c r="Y275" t="b">
        <v>0</v>
      </c>
      <c r="Z275" s="2">
        <v>45806</v>
      </c>
      <c r="AA275" t="str">
        <f t="shared" si="41"/>
        <v>20–29</v>
      </c>
      <c r="AB275" t="str">
        <f t="shared" si="42"/>
        <v>20–29</v>
      </c>
      <c r="AC275" t="str">
        <f t="shared" si="43"/>
        <v>Monday</v>
      </c>
      <c r="AD275" t="str">
        <f t="shared" si="44"/>
        <v/>
      </c>
      <c r="AE275" t="str">
        <f t="shared" si="45"/>
        <v>Wednesday</v>
      </c>
      <c r="AF275" t="str">
        <f t="shared" si="46"/>
        <v/>
      </c>
      <c r="AG275" t="str">
        <f t="shared" si="47"/>
        <v>Friday</v>
      </c>
      <c r="AH275" t="str">
        <f t="shared" si="48"/>
        <v/>
      </c>
      <c r="AI275" t="str">
        <f t="shared" si="49"/>
        <v>Sunday</v>
      </c>
      <c r="AJ275" t="str">
        <f>LEFT(Table1[[#This Row],[membership_type]],2)&amp;TEXT(Table1[[#This Row],[age]],"00")&amp;"-"&amp;TEXT(ROW(),"000")</f>
        <v>Ba20-275</v>
      </c>
      <c r="AK275" t="str">
        <f>LEFT(Table1[[#This Row],[membership_type]],1)&amp;TEXT(MATCH(Table1[[#This Row],[membership_type]],Table1[membership_type],0),"00")</f>
        <v>B04</v>
      </c>
      <c r="AL275" t="str">
        <f>LEFT(Table1[[#This Row],[discount_type]],1)&amp;TEXT(ROUND(Table1[[#This Row],[discount_rate]]*100,0),"00")</f>
        <v>N00</v>
      </c>
      <c r="AM275" t="str" cm="1">
        <f t="array" ref="AM275">TEXT(SUMPRODUCT(CODE(MID(Table1[[#This Row],[home_gym_location]],_xlfn.SEQUENCE(LEN(Table1[[#This Row],[home_gym_location]])),1))),"00000")</f>
        <v>01018</v>
      </c>
      <c r="AN27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75" t="str">
        <f>LEFT(_xlfn.TEXTBEFORE(Table1[[#This Row],[Location Identifier]],"-"),3) &amp; "-" &amp; _xlfn.TEXTAFTER(Table1[[#This Row],[Location Identifier]],"-")</f>
        <v>SAN-008</v>
      </c>
      <c r="AP275" s="9">
        <f t="shared" ca="1" si="40"/>
        <v>45869</v>
      </c>
    </row>
    <row r="276" spans="1:42" x14ac:dyDescent="0.25">
      <c r="A276">
        <v>39</v>
      </c>
      <c r="B276" t="s">
        <v>42</v>
      </c>
      <c r="C276">
        <v>5</v>
      </c>
      <c r="D276" t="s">
        <v>76</v>
      </c>
      <c r="E276" t="b">
        <v>1</v>
      </c>
      <c r="F276" s="1">
        <v>0.7944444444444444</v>
      </c>
      <c r="G276" s="1">
        <v>0.83472222222222225</v>
      </c>
      <c r="H276">
        <v>58</v>
      </c>
      <c r="I276" t="b">
        <v>1</v>
      </c>
      <c r="J276" t="b">
        <v>0</v>
      </c>
      <c r="K276" t="b">
        <v>1</v>
      </c>
      <c r="L276" t="s">
        <v>28</v>
      </c>
      <c r="M276">
        <v>20</v>
      </c>
      <c r="N276" t="s">
        <v>64</v>
      </c>
      <c r="O276">
        <v>15</v>
      </c>
      <c r="P276" t="s">
        <v>36</v>
      </c>
      <c r="Q276">
        <v>0</v>
      </c>
      <c r="R276">
        <v>15</v>
      </c>
      <c r="S276" t="s">
        <v>44</v>
      </c>
      <c r="T276" t="s">
        <v>48</v>
      </c>
      <c r="U276">
        <v>38.581600000000002</v>
      </c>
      <c r="V276">
        <v>-121.4944</v>
      </c>
      <c r="W276" s="2">
        <v>45286</v>
      </c>
      <c r="X276">
        <v>0</v>
      </c>
      <c r="Y276" t="b">
        <v>0</v>
      </c>
      <c r="Z276" s="2">
        <v>45830</v>
      </c>
      <c r="AA276" t="str">
        <f t="shared" si="41"/>
        <v>30–39</v>
      </c>
      <c r="AB276" t="str">
        <f t="shared" si="42"/>
        <v>30–39</v>
      </c>
      <c r="AC276" t="str">
        <f t="shared" si="43"/>
        <v>Monday</v>
      </c>
      <c r="AD276" t="str">
        <f t="shared" si="44"/>
        <v>Tuesday</v>
      </c>
      <c r="AE276" t="str">
        <f t="shared" si="45"/>
        <v>Wednesday</v>
      </c>
      <c r="AF276" t="str">
        <f t="shared" si="46"/>
        <v>Thursday</v>
      </c>
      <c r="AG276" t="str">
        <f t="shared" si="47"/>
        <v/>
      </c>
      <c r="AH276" t="str">
        <f t="shared" si="48"/>
        <v/>
      </c>
      <c r="AI276" t="str">
        <f t="shared" si="49"/>
        <v>Sunday</v>
      </c>
      <c r="AJ276" t="str">
        <f>LEFT(Table1[[#This Row],[membership_type]],2)&amp;TEXT(Table1[[#This Row],[age]],"00")&amp;"-"&amp;TEXT(ROW(),"000")</f>
        <v>Ba39-276</v>
      </c>
      <c r="AK276" t="str">
        <f>LEFT(Table1[[#This Row],[membership_type]],1)&amp;TEXT(MATCH(Table1[[#This Row],[membership_type]],Table1[membership_type],0),"00")</f>
        <v>B04</v>
      </c>
      <c r="AL276" t="str">
        <f>LEFT(Table1[[#This Row],[discount_type]],1)&amp;TEXT(ROUND(Table1[[#This Row],[discount_rate]]*100,0),"00")</f>
        <v>N00</v>
      </c>
      <c r="AM276" t="str" cm="1">
        <f t="array" ref="AM276">TEXT(SUMPRODUCT(CODE(MID(Table1[[#This Row],[home_gym_location]],_xlfn.SEQUENCE(LEN(Table1[[#This Row],[home_gym_location]])),1))),"00000")</f>
        <v>01245</v>
      </c>
      <c r="AN27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76" t="str">
        <f>LEFT(_xlfn.TEXTBEFORE(Table1[[#This Row],[Location Identifier]],"-"),3) &amp; "-" &amp; _xlfn.TEXTAFTER(Table1[[#This Row],[Location Identifier]],"-")</f>
        <v>SAC-007</v>
      </c>
      <c r="AP276" s="9">
        <f t="shared" ca="1" si="40"/>
        <v>45869</v>
      </c>
    </row>
    <row r="277" spans="1:42" x14ac:dyDescent="0.25">
      <c r="A277">
        <v>22</v>
      </c>
      <c r="B277" t="s">
        <v>33</v>
      </c>
      <c r="C277">
        <v>3</v>
      </c>
      <c r="D277" t="s">
        <v>122</v>
      </c>
      <c r="E277" t="b">
        <v>0</v>
      </c>
      <c r="F277" s="1">
        <v>0.71736111111111112</v>
      </c>
      <c r="G277" s="1">
        <v>0.76666666666666672</v>
      </c>
      <c r="H277">
        <v>71</v>
      </c>
      <c r="I277" t="b">
        <v>0</v>
      </c>
      <c r="J277" t="b">
        <v>0</v>
      </c>
      <c r="K277" t="b">
        <v>1</v>
      </c>
      <c r="L277" t="s">
        <v>47</v>
      </c>
      <c r="M277">
        <v>30</v>
      </c>
      <c r="N277" t="s">
        <v>64</v>
      </c>
      <c r="O277">
        <v>22.5</v>
      </c>
      <c r="P277" t="s">
        <v>30</v>
      </c>
      <c r="Q277">
        <v>0.05</v>
      </c>
      <c r="R277">
        <v>21.375</v>
      </c>
      <c r="S277" t="s">
        <v>37</v>
      </c>
      <c r="T277" t="s">
        <v>54</v>
      </c>
      <c r="U277">
        <v>32.715699999999998</v>
      </c>
      <c r="V277">
        <v>-117.1611</v>
      </c>
      <c r="W277" s="2">
        <v>45296</v>
      </c>
      <c r="X277">
        <v>0</v>
      </c>
      <c r="Y277" t="b">
        <v>0</v>
      </c>
      <c r="Z277" s="2">
        <v>45830</v>
      </c>
      <c r="AA277" t="str">
        <f t="shared" si="41"/>
        <v>20–29</v>
      </c>
      <c r="AB277" t="str">
        <f t="shared" si="42"/>
        <v>20–29</v>
      </c>
      <c r="AC277" t="str">
        <f t="shared" si="43"/>
        <v/>
      </c>
      <c r="AD277" t="str">
        <f t="shared" si="44"/>
        <v>Tuesday</v>
      </c>
      <c r="AE277" t="str">
        <f t="shared" si="45"/>
        <v/>
      </c>
      <c r="AF277" t="str">
        <f t="shared" si="46"/>
        <v/>
      </c>
      <c r="AG277" t="str">
        <f t="shared" si="47"/>
        <v>Friday</v>
      </c>
      <c r="AH277" t="str">
        <f t="shared" si="48"/>
        <v/>
      </c>
      <c r="AI277" t="str">
        <f t="shared" si="49"/>
        <v>Sunday</v>
      </c>
      <c r="AJ277" t="str">
        <f>LEFT(Table1[[#This Row],[membership_type]],2)&amp;TEXT(Table1[[#This Row],[age]],"00")&amp;"-"&amp;TEXT(ROW(),"000")</f>
        <v>St22-277</v>
      </c>
      <c r="AK277" t="str">
        <f>LEFT(Table1[[#This Row],[membership_type]],1)&amp;TEXT(MATCH(Table1[[#This Row],[membership_type]],Table1[membership_type],0),"00")</f>
        <v>S02</v>
      </c>
      <c r="AL277" t="str">
        <f>LEFT(Table1[[#This Row],[discount_type]],1)&amp;TEXT(ROUND(Table1[[#This Row],[discount_rate]]*100,0),"00")</f>
        <v>P05</v>
      </c>
      <c r="AM277" t="str" cm="1">
        <f t="array" ref="AM277">TEXT(SUMPRODUCT(CODE(MID(Table1[[#This Row],[home_gym_location]],_xlfn.SEQUENCE(LEN(Table1[[#This Row],[home_gym_location]])),1))),"00000")</f>
        <v>01018</v>
      </c>
      <c r="AN27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77" t="str">
        <f>LEFT(_xlfn.TEXTBEFORE(Table1[[#This Row],[Location Identifier]],"-"),3) &amp; "-" &amp; _xlfn.TEXTAFTER(Table1[[#This Row],[Location Identifier]],"-")</f>
        <v>SAN-008</v>
      </c>
      <c r="AP277" s="9">
        <f t="shared" ca="1" si="40"/>
        <v>45869</v>
      </c>
    </row>
    <row r="278" spans="1:42" x14ac:dyDescent="0.25">
      <c r="A278">
        <v>27</v>
      </c>
      <c r="B278" t="s">
        <v>33</v>
      </c>
      <c r="C278">
        <v>1</v>
      </c>
      <c r="D278" t="s">
        <v>97</v>
      </c>
      <c r="E278" t="b">
        <v>1</v>
      </c>
      <c r="F278" s="1">
        <v>0.76527777777777772</v>
      </c>
      <c r="G278" s="1">
        <v>0.88888888888888884</v>
      </c>
      <c r="H278">
        <v>178</v>
      </c>
      <c r="I278" t="b">
        <v>1</v>
      </c>
      <c r="J278" t="b">
        <v>0</v>
      </c>
      <c r="K278" t="b">
        <v>1</v>
      </c>
      <c r="L278" t="s">
        <v>28</v>
      </c>
      <c r="M278">
        <v>30</v>
      </c>
      <c r="N278" t="s">
        <v>64</v>
      </c>
      <c r="O278">
        <v>22.5</v>
      </c>
      <c r="P278" t="s">
        <v>30</v>
      </c>
      <c r="Q278">
        <v>0.05</v>
      </c>
      <c r="R278">
        <v>21.375</v>
      </c>
      <c r="S278" t="s">
        <v>37</v>
      </c>
      <c r="T278" t="s">
        <v>50</v>
      </c>
      <c r="U278">
        <v>34.052199999999999</v>
      </c>
      <c r="V278">
        <v>-118.2437</v>
      </c>
      <c r="W278" s="2">
        <v>44980</v>
      </c>
      <c r="X278">
        <v>0</v>
      </c>
      <c r="Y278" t="b">
        <v>1</v>
      </c>
      <c r="Z278" s="2">
        <v>45813</v>
      </c>
      <c r="AA278" t="str">
        <f t="shared" si="41"/>
        <v>20–29</v>
      </c>
      <c r="AB278" t="str">
        <f t="shared" si="42"/>
        <v>20–29</v>
      </c>
      <c r="AC278" t="str">
        <f t="shared" si="43"/>
        <v>Monday</v>
      </c>
      <c r="AD278" t="str">
        <f t="shared" si="44"/>
        <v/>
      </c>
      <c r="AE278" t="str">
        <f t="shared" si="45"/>
        <v/>
      </c>
      <c r="AF278" t="str">
        <f t="shared" si="46"/>
        <v/>
      </c>
      <c r="AG278" t="str">
        <f t="shared" si="47"/>
        <v/>
      </c>
      <c r="AH278" t="str">
        <f t="shared" si="48"/>
        <v/>
      </c>
      <c r="AI278" t="str">
        <f t="shared" si="49"/>
        <v/>
      </c>
      <c r="AJ278" t="str">
        <f>LEFT(Table1[[#This Row],[membership_type]],2)&amp;TEXT(Table1[[#This Row],[age]],"00")&amp;"-"&amp;TEXT(ROW(),"000")</f>
        <v>St27-278</v>
      </c>
      <c r="AK278" t="str">
        <f>LEFT(Table1[[#This Row],[membership_type]],1)&amp;TEXT(MATCH(Table1[[#This Row],[membership_type]],Table1[membership_type],0),"00")</f>
        <v>S02</v>
      </c>
      <c r="AL278" t="str">
        <f>LEFT(Table1[[#This Row],[discount_type]],1)&amp;TEXT(ROUND(Table1[[#This Row],[discount_rate]]*100,0),"00")</f>
        <v>P05</v>
      </c>
      <c r="AM278" t="str" cm="1">
        <f t="array" ref="AM278">TEXT(SUMPRODUCT(CODE(MID(Table1[[#This Row],[home_gym_location]],_xlfn.SEQUENCE(LEN(Table1[[#This Row],[home_gym_location]])),1))),"00000")</f>
        <v>01245</v>
      </c>
      <c r="AN27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278" t="str">
        <f>LEFT(_xlfn.TEXTBEFORE(Table1[[#This Row],[Location Identifier]],"-"),3) &amp; "-" &amp; _xlfn.TEXTAFTER(Table1[[#This Row],[Location Identifier]],"-")</f>
        <v>LOS-005</v>
      </c>
      <c r="AP278" s="9">
        <f t="shared" ca="1" si="40"/>
        <v>45869</v>
      </c>
    </row>
    <row r="279" spans="1:42" x14ac:dyDescent="0.25">
      <c r="A279">
        <v>42</v>
      </c>
      <c r="B279" t="s">
        <v>33</v>
      </c>
      <c r="C279">
        <v>5</v>
      </c>
      <c r="D279" t="s">
        <v>68</v>
      </c>
      <c r="E279" t="b">
        <v>0</v>
      </c>
      <c r="F279" s="1">
        <v>0.72916666666666663</v>
      </c>
      <c r="G279" s="1">
        <v>0.84375</v>
      </c>
      <c r="H279">
        <v>165</v>
      </c>
      <c r="I279" t="b">
        <v>1</v>
      </c>
      <c r="J279" t="b">
        <v>0</v>
      </c>
      <c r="K279" t="b">
        <v>1</v>
      </c>
      <c r="L279" t="s">
        <v>62</v>
      </c>
      <c r="M279">
        <v>30</v>
      </c>
      <c r="N279" t="s">
        <v>29</v>
      </c>
      <c r="O279">
        <v>30</v>
      </c>
      <c r="P279" t="s">
        <v>30</v>
      </c>
      <c r="Q279">
        <v>0.05</v>
      </c>
      <c r="R279">
        <v>28.5</v>
      </c>
      <c r="S279" t="s">
        <v>37</v>
      </c>
      <c r="T279" t="s">
        <v>38</v>
      </c>
      <c r="U279">
        <v>36.7378</v>
      </c>
      <c r="V279">
        <v>-119.7871</v>
      </c>
      <c r="W279" s="2">
        <v>45138</v>
      </c>
      <c r="X279">
        <v>0</v>
      </c>
      <c r="Y279" t="b">
        <v>0</v>
      </c>
      <c r="Z279" s="2">
        <v>45822</v>
      </c>
      <c r="AA279" t="str">
        <f t="shared" si="41"/>
        <v>40–49</v>
      </c>
      <c r="AB279" t="str">
        <f t="shared" si="42"/>
        <v>40–49</v>
      </c>
      <c r="AC279" t="str">
        <f t="shared" si="43"/>
        <v>Monday</v>
      </c>
      <c r="AD279" t="str">
        <f t="shared" si="44"/>
        <v>Tuesday</v>
      </c>
      <c r="AE279" t="str">
        <f t="shared" si="45"/>
        <v/>
      </c>
      <c r="AF279" t="str">
        <f t="shared" si="46"/>
        <v>Thursday</v>
      </c>
      <c r="AG279" t="str">
        <f t="shared" si="47"/>
        <v>Friday</v>
      </c>
      <c r="AH279" t="str">
        <f t="shared" si="48"/>
        <v>Saturday</v>
      </c>
      <c r="AI279" t="str">
        <f t="shared" si="49"/>
        <v/>
      </c>
      <c r="AJ279" t="str">
        <f>LEFT(Table1[[#This Row],[membership_type]],2)&amp;TEXT(Table1[[#This Row],[age]],"00")&amp;"-"&amp;TEXT(ROW(),"000")</f>
        <v>St42-279</v>
      </c>
      <c r="AK279" t="str">
        <f>LEFT(Table1[[#This Row],[membership_type]],1)&amp;TEXT(MATCH(Table1[[#This Row],[membership_type]],Table1[membership_type],0),"00")</f>
        <v>S02</v>
      </c>
      <c r="AL279" t="str">
        <f>LEFT(Table1[[#This Row],[discount_type]],1)&amp;TEXT(ROUND(Table1[[#This Row],[discount_rate]]*100,0),"00")</f>
        <v>P05</v>
      </c>
      <c r="AM279" t="str" cm="1">
        <f t="array" ref="AM279">TEXT(SUMPRODUCT(CODE(MID(Table1[[#This Row],[home_gym_location]],_xlfn.SEQUENCE(LEN(Table1[[#This Row],[home_gym_location]])),1))),"00000")</f>
        <v>00829</v>
      </c>
      <c r="AN279" t="str">
        <f>UPPER(_xlfn.TEXTBEFORE(Table1[[#This Row],[home_gym_location]],","))&amp;"-"&amp;TEXT(MATCH(Table1[[#This Row],[home_gym_location]],_xlfn._xlws.SORT(_xlfn.UNIQUE(Table1[home_gym_location])),0),"000")</f>
        <v>FRESNO-003</v>
      </c>
      <c r="AO279" t="str">
        <f>LEFT(_xlfn.TEXTBEFORE(Table1[[#This Row],[Location Identifier]],"-"),3) &amp; "-" &amp; _xlfn.TEXTAFTER(Table1[[#This Row],[Location Identifier]],"-")</f>
        <v>FRE-003</v>
      </c>
      <c r="AP279" s="9">
        <f t="shared" ca="1" si="40"/>
        <v>45869</v>
      </c>
    </row>
    <row r="280" spans="1:42" x14ac:dyDescent="0.25">
      <c r="A280">
        <v>27</v>
      </c>
      <c r="B280" t="s">
        <v>33</v>
      </c>
      <c r="C280">
        <v>1</v>
      </c>
      <c r="D280" t="s">
        <v>63</v>
      </c>
      <c r="E280" t="b">
        <v>0</v>
      </c>
      <c r="F280" s="1">
        <v>0.47569444444444442</v>
      </c>
      <c r="G280" s="1">
        <v>0.53888888888888886</v>
      </c>
      <c r="H280">
        <v>91</v>
      </c>
      <c r="I280" t="b">
        <v>1</v>
      </c>
      <c r="J280" t="b">
        <v>0</v>
      </c>
      <c r="K280" t="b">
        <v>1</v>
      </c>
      <c r="L280" t="s">
        <v>62</v>
      </c>
      <c r="M280">
        <v>30</v>
      </c>
      <c r="N280" t="s">
        <v>29</v>
      </c>
      <c r="O280">
        <v>30</v>
      </c>
      <c r="P280" t="s">
        <v>74</v>
      </c>
      <c r="Q280">
        <v>0.15</v>
      </c>
      <c r="R280">
        <v>25.5</v>
      </c>
      <c r="S280" t="s">
        <v>37</v>
      </c>
      <c r="T280" t="s">
        <v>38</v>
      </c>
      <c r="U280">
        <v>36.7378</v>
      </c>
      <c r="V280">
        <v>-119.7871</v>
      </c>
      <c r="W280" s="2">
        <v>45083</v>
      </c>
      <c r="X280">
        <v>0</v>
      </c>
      <c r="Y280" t="b">
        <v>0</v>
      </c>
      <c r="Z280" s="2">
        <v>45818</v>
      </c>
      <c r="AA280" t="str">
        <f t="shared" si="41"/>
        <v>20–29</v>
      </c>
      <c r="AB280" t="str">
        <f t="shared" si="42"/>
        <v>20–29</v>
      </c>
      <c r="AC280" t="str">
        <f t="shared" si="43"/>
        <v/>
      </c>
      <c r="AD280" t="str">
        <f t="shared" si="44"/>
        <v/>
      </c>
      <c r="AE280" t="str">
        <f t="shared" si="45"/>
        <v>Wednesday</v>
      </c>
      <c r="AF280" t="str">
        <f t="shared" si="46"/>
        <v/>
      </c>
      <c r="AG280" t="str">
        <f t="shared" si="47"/>
        <v/>
      </c>
      <c r="AH280" t="str">
        <f t="shared" si="48"/>
        <v/>
      </c>
      <c r="AI280" t="str">
        <f t="shared" si="49"/>
        <v/>
      </c>
      <c r="AJ280" t="str">
        <f>LEFT(Table1[[#This Row],[membership_type]],2)&amp;TEXT(Table1[[#This Row],[age]],"00")&amp;"-"&amp;TEXT(ROW(),"000")</f>
        <v>St27-280</v>
      </c>
      <c r="AK280" t="str">
        <f>LEFT(Table1[[#This Row],[membership_type]],1)&amp;TEXT(MATCH(Table1[[#This Row],[membership_type]],Table1[membership_type],0),"00")</f>
        <v>S02</v>
      </c>
      <c r="AL280" t="str">
        <f>LEFT(Table1[[#This Row],[discount_type]],1)&amp;TEXT(ROUND(Table1[[#This Row],[discount_rate]]*100,0),"00")</f>
        <v>S15</v>
      </c>
      <c r="AM280" t="str" cm="1">
        <f t="array" ref="AM280">TEXT(SUMPRODUCT(CODE(MID(Table1[[#This Row],[home_gym_location]],_xlfn.SEQUENCE(LEN(Table1[[#This Row],[home_gym_location]])),1))),"00000")</f>
        <v>00829</v>
      </c>
      <c r="AN280" t="str">
        <f>UPPER(_xlfn.TEXTBEFORE(Table1[[#This Row],[home_gym_location]],","))&amp;"-"&amp;TEXT(MATCH(Table1[[#This Row],[home_gym_location]],_xlfn._xlws.SORT(_xlfn.UNIQUE(Table1[home_gym_location])),0),"000")</f>
        <v>FRESNO-003</v>
      </c>
      <c r="AO280" t="str">
        <f>LEFT(_xlfn.TEXTBEFORE(Table1[[#This Row],[Location Identifier]],"-"),3) &amp; "-" &amp; _xlfn.TEXTAFTER(Table1[[#This Row],[Location Identifier]],"-")</f>
        <v>FRE-003</v>
      </c>
      <c r="AP280" s="9">
        <f t="shared" ca="1" si="40"/>
        <v>45869</v>
      </c>
    </row>
    <row r="281" spans="1:42" x14ac:dyDescent="0.25">
      <c r="A281">
        <v>19</v>
      </c>
      <c r="B281" t="s">
        <v>33</v>
      </c>
      <c r="C281">
        <v>5</v>
      </c>
      <c r="D281" t="s">
        <v>120</v>
      </c>
      <c r="E281" t="b">
        <v>0</v>
      </c>
      <c r="F281" s="1">
        <v>0.84930555555555554</v>
      </c>
      <c r="G281" s="1">
        <v>0.91111111111111109</v>
      </c>
      <c r="H281">
        <v>89</v>
      </c>
      <c r="I281" t="b">
        <v>1</v>
      </c>
      <c r="J281" t="b">
        <v>0</v>
      </c>
      <c r="K281" t="b">
        <v>0</v>
      </c>
      <c r="L281" t="s">
        <v>28</v>
      </c>
      <c r="M281">
        <v>30</v>
      </c>
      <c r="N281" t="s">
        <v>29</v>
      </c>
      <c r="O281">
        <v>30</v>
      </c>
      <c r="P281" t="s">
        <v>36</v>
      </c>
      <c r="Q281">
        <v>0</v>
      </c>
      <c r="R281">
        <v>30</v>
      </c>
      <c r="S281" t="s">
        <v>37</v>
      </c>
      <c r="T281" t="s">
        <v>54</v>
      </c>
      <c r="U281">
        <v>32.715699999999998</v>
      </c>
      <c r="V281">
        <v>-117.1611</v>
      </c>
      <c r="W281" s="2">
        <v>44983</v>
      </c>
      <c r="X281">
        <v>0</v>
      </c>
      <c r="Y281" t="b">
        <v>1</v>
      </c>
      <c r="Z281" s="2">
        <v>45813</v>
      </c>
      <c r="AA281" t="str">
        <f t="shared" si="41"/>
        <v>10–19</v>
      </c>
      <c r="AB281" t="str">
        <f t="shared" si="42"/>
        <v>16–19</v>
      </c>
      <c r="AC281" t="str">
        <f t="shared" si="43"/>
        <v>Monday</v>
      </c>
      <c r="AD281" t="str">
        <f t="shared" si="44"/>
        <v>Tuesday</v>
      </c>
      <c r="AE281" t="str">
        <f t="shared" si="45"/>
        <v/>
      </c>
      <c r="AF281" t="str">
        <f t="shared" si="46"/>
        <v>Thursday</v>
      </c>
      <c r="AG281" t="str">
        <f t="shared" si="47"/>
        <v>Friday</v>
      </c>
      <c r="AH281" t="str">
        <f t="shared" si="48"/>
        <v/>
      </c>
      <c r="AI281" t="str">
        <f t="shared" si="49"/>
        <v>Sunday</v>
      </c>
      <c r="AJ281" t="str">
        <f>LEFT(Table1[[#This Row],[membership_type]],2)&amp;TEXT(Table1[[#This Row],[age]],"00")&amp;"-"&amp;TEXT(ROW(),"000")</f>
        <v>St19-281</v>
      </c>
      <c r="AK281" t="str">
        <f>LEFT(Table1[[#This Row],[membership_type]],1)&amp;TEXT(MATCH(Table1[[#This Row],[membership_type]],Table1[membership_type],0),"00")</f>
        <v>S02</v>
      </c>
      <c r="AL281" t="str">
        <f>LEFT(Table1[[#This Row],[discount_type]],1)&amp;TEXT(ROUND(Table1[[#This Row],[discount_rate]]*100,0),"00")</f>
        <v>N00</v>
      </c>
      <c r="AM281" t="str" cm="1">
        <f t="array" ref="AM281">TEXT(SUMPRODUCT(CODE(MID(Table1[[#This Row],[home_gym_location]],_xlfn.SEQUENCE(LEN(Table1[[#This Row],[home_gym_location]])),1))),"00000")</f>
        <v>01018</v>
      </c>
      <c r="AN28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81" t="str">
        <f>LEFT(_xlfn.TEXTBEFORE(Table1[[#This Row],[Location Identifier]],"-"),3) &amp; "-" &amp; _xlfn.TEXTAFTER(Table1[[#This Row],[Location Identifier]],"-")</f>
        <v>SAN-008</v>
      </c>
      <c r="AP281" s="9">
        <f t="shared" ca="1" si="40"/>
        <v>45869</v>
      </c>
    </row>
    <row r="282" spans="1:42" x14ac:dyDescent="0.25">
      <c r="A282">
        <v>35</v>
      </c>
      <c r="B282" t="s">
        <v>26</v>
      </c>
      <c r="C282">
        <v>2</v>
      </c>
      <c r="D282" t="s">
        <v>88</v>
      </c>
      <c r="E282" t="b">
        <v>1</v>
      </c>
      <c r="F282" s="1">
        <v>0.69166666666666665</v>
      </c>
      <c r="G282" s="1">
        <v>0.73750000000000004</v>
      </c>
      <c r="H282">
        <v>66</v>
      </c>
      <c r="I282" t="b">
        <v>1</v>
      </c>
      <c r="J282" t="b">
        <v>0</v>
      </c>
      <c r="K282" t="b">
        <v>0</v>
      </c>
      <c r="L282" t="s">
        <v>62</v>
      </c>
      <c r="M282">
        <v>50</v>
      </c>
      <c r="N282" t="s">
        <v>29</v>
      </c>
      <c r="O282">
        <v>50</v>
      </c>
      <c r="P282" t="s">
        <v>74</v>
      </c>
      <c r="Q282">
        <v>0.15</v>
      </c>
      <c r="R282">
        <v>42.5</v>
      </c>
      <c r="S282" t="s">
        <v>31</v>
      </c>
      <c r="T282" t="s">
        <v>56</v>
      </c>
      <c r="U282">
        <v>35.3733</v>
      </c>
      <c r="V282">
        <v>-119.0187</v>
      </c>
      <c r="W282" s="2">
        <v>44883</v>
      </c>
      <c r="X282">
        <v>0</v>
      </c>
      <c r="Y282" t="b">
        <v>1</v>
      </c>
      <c r="Z282" s="2">
        <v>45807</v>
      </c>
      <c r="AA282" t="str">
        <f t="shared" si="41"/>
        <v>30–39</v>
      </c>
      <c r="AB282" t="str">
        <f t="shared" si="42"/>
        <v>30–39</v>
      </c>
      <c r="AC282" t="str">
        <f t="shared" si="43"/>
        <v>Monday</v>
      </c>
      <c r="AD282" t="str">
        <f t="shared" si="44"/>
        <v/>
      </c>
      <c r="AE282" t="str">
        <f t="shared" si="45"/>
        <v>Wednesday</v>
      </c>
      <c r="AF282" t="str">
        <f t="shared" si="46"/>
        <v/>
      </c>
      <c r="AG282" t="str">
        <f t="shared" si="47"/>
        <v/>
      </c>
      <c r="AH282" t="str">
        <f t="shared" si="48"/>
        <v/>
      </c>
      <c r="AI282" t="str">
        <f t="shared" si="49"/>
        <v/>
      </c>
      <c r="AJ282" t="str">
        <f>LEFT(Table1[[#This Row],[membership_type]],2)&amp;TEXT(Table1[[#This Row],[age]],"00")&amp;"-"&amp;TEXT(ROW(),"000")</f>
        <v>Pr35-282</v>
      </c>
      <c r="AK282" t="str">
        <f>LEFT(Table1[[#This Row],[membership_type]],1)&amp;TEXT(MATCH(Table1[[#This Row],[membership_type]],Table1[membership_type],0),"00")</f>
        <v>P01</v>
      </c>
      <c r="AL282" t="str">
        <f>LEFT(Table1[[#This Row],[discount_type]],1)&amp;TEXT(ROUND(Table1[[#This Row],[discount_rate]]*100,0),"00")</f>
        <v>S15</v>
      </c>
      <c r="AM282" t="str" cm="1">
        <f t="array" ref="AM282">TEXT(SUMPRODUCT(CODE(MID(Table1[[#This Row],[home_gym_location]],_xlfn.SEQUENCE(LEN(Table1[[#This Row],[home_gym_location]])),1))),"00000")</f>
        <v>01324</v>
      </c>
      <c r="AN28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82" t="str">
        <f>LEFT(_xlfn.TEXTBEFORE(Table1[[#This Row],[Location Identifier]],"-"),3) &amp; "-" &amp; _xlfn.TEXTAFTER(Table1[[#This Row],[Location Identifier]],"-")</f>
        <v>BAK-002</v>
      </c>
      <c r="AP282" s="9">
        <f t="shared" ca="1" si="40"/>
        <v>45869</v>
      </c>
    </row>
    <row r="283" spans="1:42" x14ac:dyDescent="0.25">
      <c r="A283">
        <v>20</v>
      </c>
      <c r="B283" t="s">
        <v>26</v>
      </c>
      <c r="C283">
        <v>3</v>
      </c>
      <c r="D283" t="s">
        <v>125</v>
      </c>
      <c r="E283" t="b">
        <v>0</v>
      </c>
      <c r="F283" s="1">
        <v>0.43888888888888888</v>
      </c>
      <c r="G283" s="1">
        <v>0.46458333333333335</v>
      </c>
      <c r="H283">
        <v>37</v>
      </c>
      <c r="I283" t="b">
        <v>0</v>
      </c>
      <c r="J283" t="b">
        <v>0</v>
      </c>
      <c r="K283" t="b">
        <v>1</v>
      </c>
      <c r="L283" t="s">
        <v>62</v>
      </c>
      <c r="M283">
        <v>50</v>
      </c>
      <c r="N283" t="s">
        <v>29</v>
      </c>
      <c r="O283">
        <v>50</v>
      </c>
      <c r="P283" t="s">
        <v>74</v>
      </c>
      <c r="Q283">
        <v>0.15</v>
      </c>
      <c r="R283">
        <v>42.5</v>
      </c>
      <c r="S283" t="s">
        <v>31</v>
      </c>
      <c r="T283" t="s">
        <v>59</v>
      </c>
      <c r="U283">
        <v>37.774900000000002</v>
      </c>
      <c r="V283">
        <v>-122.4194</v>
      </c>
      <c r="W283" s="2">
        <v>45471</v>
      </c>
      <c r="X283">
        <v>0</v>
      </c>
      <c r="Y283" t="b">
        <v>0</v>
      </c>
      <c r="Z283" s="2">
        <v>45840</v>
      </c>
      <c r="AA283" t="str">
        <f t="shared" si="41"/>
        <v>20–29</v>
      </c>
      <c r="AB283" t="str">
        <f t="shared" si="42"/>
        <v>20–29</v>
      </c>
      <c r="AC283" t="str">
        <f t="shared" si="43"/>
        <v/>
      </c>
      <c r="AD283" t="str">
        <f t="shared" si="44"/>
        <v/>
      </c>
      <c r="AE283" t="str">
        <f t="shared" si="45"/>
        <v/>
      </c>
      <c r="AF283" t="str">
        <f t="shared" si="46"/>
        <v>Thursday</v>
      </c>
      <c r="AG283" t="str">
        <f t="shared" si="47"/>
        <v/>
      </c>
      <c r="AH283" t="str">
        <f t="shared" si="48"/>
        <v>Saturday</v>
      </c>
      <c r="AI283" t="str">
        <f t="shared" si="49"/>
        <v>Sunday</v>
      </c>
      <c r="AJ283" t="str">
        <f>LEFT(Table1[[#This Row],[membership_type]],2)&amp;TEXT(Table1[[#This Row],[age]],"00")&amp;"-"&amp;TEXT(ROW(),"000")</f>
        <v>Pr20-283</v>
      </c>
      <c r="AK283" t="str">
        <f>LEFT(Table1[[#This Row],[membership_type]],1)&amp;TEXT(MATCH(Table1[[#This Row],[membership_type]],Table1[membership_type],0),"00")</f>
        <v>P01</v>
      </c>
      <c r="AL283" t="str">
        <f>LEFT(Table1[[#This Row],[discount_type]],1)&amp;TEXT(ROUND(Table1[[#This Row],[discount_rate]]*100,0),"00")</f>
        <v>S15</v>
      </c>
      <c r="AM283" t="str" cm="1">
        <f t="array" ref="AM283">TEXT(SUMPRODUCT(CODE(MID(Table1[[#This Row],[home_gym_location]],_xlfn.SEQUENCE(LEN(Table1[[#This Row],[home_gym_location]])),1))),"00000")</f>
        <v>01450</v>
      </c>
      <c r="AN28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83" t="str">
        <f>LEFT(_xlfn.TEXTBEFORE(Table1[[#This Row],[Location Identifier]],"-"),3) &amp; "-" &amp; _xlfn.TEXTAFTER(Table1[[#This Row],[Location Identifier]],"-")</f>
        <v>SAN-009</v>
      </c>
      <c r="AP283" s="9">
        <f t="shared" ca="1" si="40"/>
        <v>45869</v>
      </c>
    </row>
    <row r="284" spans="1:42" x14ac:dyDescent="0.25">
      <c r="A284">
        <v>20</v>
      </c>
      <c r="B284" t="s">
        <v>42</v>
      </c>
      <c r="C284">
        <v>2</v>
      </c>
      <c r="D284" t="s">
        <v>141</v>
      </c>
      <c r="E284" t="b">
        <v>1</v>
      </c>
      <c r="F284" s="1">
        <v>0.74444444444444446</v>
      </c>
      <c r="G284" s="1">
        <v>0.8618055555555556</v>
      </c>
      <c r="H284">
        <v>169</v>
      </c>
      <c r="I284" t="b">
        <v>0</v>
      </c>
      <c r="J284" t="b">
        <v>0</v>
      </c>
      <c r="K284" t="b">
        <v>1</v>
      </c>
      <c r="L284" t="s">
        <v>28</v>
      </c>
      <c r="M284">
        <v>20</v>
      </c>
      <c r="N284" t="s">
        <v>78</v>
      </c>
      <c r="O284">
        <v>18</v>
      </c>
      <c r="P284" t="s">
        <v>74</v>
      </c>
      <c r="Q284">
        <v>0.15</v>
      </c>
      <c r="R284">
        <v>15.3</v>
      </c>
      <c r="S284" t="s">
        <v>44</v>
      </c>
      <c r="T284" t="s">
        <v>38</v>
      </c>
      <c r="U284">
        <v>36.7378</v>
      </c>
      <c r="V284">
        <v>-119.7871</v>
      </c>
      <c r="W284" s="2">
        <v>45431</v>
      </c>
      <c r="X284">
        <v>0</v>
      </c>
      <c r="Y284" t="b">
        <v>1</v>
      </c>
      <c r="Z284" s="2">
        <v>45838</v>
      </c>
      <c r="AA284" t="str">
        <f t="shared" si="41"/>
        <v>20–29</v>
      </c>
      <c r="AB284" t="str">
        <f t="shared" si="42"/>
        <v>20–29</v>
      </c>
      <c r="AC284" t="str">
        <f t="shared" si="43"/>
        <v/>
      </c>
      <c r="AD284" t="str">
        <f t="shared" si="44"/>
        <v/>
      </c>
      <c r="AE284" t="str">
        <f t="shared" si="45"/>
        <v>Wednesday</v>
      </c>
      <c r="AF284" t="str">
        <f t="shared" si="46"/>
        <v/>
      </c>
      <c r="AG284" t="str">
        <f t="shared" si="47"/>
        <v>Friday</v>
      </c>
      <c r="AH284" t="str">
        <f t="shared" si="48"/>
        <v/>
      </c>
      <c r="AI284" t="str">
        <f t="shared" si="49"/>
        <v/>
      </c>
      <c r="AJ284" t="str">
        <f>LEFT(Table1[[#This Row],[membership_type]],2)&amp;TEXT(Table1[[#This Row],[age]],"00")&amp;"-"&amp;TEXT(ROW(),"000")</f>
        <v>Ba20-284</v>
      </c>
      <c r="AK284" t="str">
        <f>LEFT(Table1[[#This Row],[membership_type]],1)&amp;TEXT(MATCH(Table1[[#This Row],[membership_type]],Table1[membership_type],0),"00")</f>
        <v>B04</v>
      </c>
      <c r="AL284" t="str">
        <f>LEFT(Table1[[#This Row],[discount_type]],1)&amp;TEXT(ROUND(Table1[[#This Row],[discount_rate]]*100,0),"00")</f>
        <v>S15</v>
      </c>
      <c r="AM284" t="str" cm="1">
        <f t="array" ref="AM284">TEXT(SUMPRODUCT(CODE(MID(Table1[[#This Row],[home_gym_location]],_xlfn.SEQUENCE(LEN(Table1[[#This Row],[home_gym_location]])),1))),"00000")</f>
        <v>00829</v>
      </c>
      <c r="AN284" t="str">
        <f>UPPER(_xlfn.TEXTBEFORE(Table1[[#This Row],[home_gym_location]],","))&amp;"-"&amp;TEXT(MATCH(Table1[[#This Row],[home_gym_location]],_xlfn._xlws.SORT(_xlfn.UNIQUE(Table1[home_gym_location])),0),"000")</f>
        <v>FRESNO-003</v>
      </c>
      <c r="AO284" t="str">
        <f>LEFT(_xlfn.TEXTBEFORE(Table1[[#This Row],[Location Identifier]],"-"),3) &amp; "-" &amp; _xlfn.TEXTAFTER(Table1[[#This Row],[Location Identifier]],"-")</f>
        <v>FRE-003</v>
      </c>
      <c r="AP284" s="9">
        <f t="shared" ca="1" si="40"/>
        <v>45869</v>
      </c>
    </row>
    <row r="285" spans="1:42" x14ac:dyDescent="0.25">
      <c r="A285">
        <v>45</v>
      </c>
      <c r="B285" t="s">
        <v>26</v>
      </c>
      <c r="C285">
        <v>3</v>
      </c>
      <c r="D285" t="s">
        <v>142</v>
      </c>
      <c r="E285" t="b">
        <v>0</v>
      </c>
      <c r="F285" s="1">
        <v>0.5708333333333333</v>
      </c>
      <c r="G285" s="1">
        <v>0.66249999999999998</v>
      </c>
      <c r="H285">
        <v>132</v>
      </c>
      <c r="I285" t="b">
        <v>0</v>
      </c>
      <c r="J285" t="b">
        <v>0</v>
      </c>
      <c r="K285" t="b">
        <v>0</v>
      </c>
      <c r="L285" t="s">
        <v>35</v>
      </c>
      <c r="M285">
        <v>50</v>
      </c>
      <c r="N285" t="s">
        <v>29</v>
      </c>
      <c r="O285">
        <v>50</v>
      </c>
      <c r="P285" t="s">
        <v>36</v>
      </c>
      <c r="Q285">
        <v>0</v>
      </c>
      <c r="R285">
        <v>50</v>
      </c>
      <c r="S285" t="s">
        <v>31</v>
      </c>
      <c r="T285" t="s">
        <v>45</v>
      </c>
      <c r="U285">
        <v>33.836599999999997</v>
      </c>
      <c r="V285">
        <v>-117.9143</v>
      </c>
      <c r="W285" s="2">
        <v>45730</v>
      </c>
      <c r="X285">
        <v>0</v>
      </c>
      <c r="Y285" t="b">
        <v>1</v>
      </c>
      <c r="Z285" s="2">
        <v>45855</v>
      </c>
      <c r="AA285" t="str">
        <f t="shared" si="41"/>
        <v>40–49</v>
      </c>
      <c r="AB285" t="str">
        <f t="shared" si="42"/>
        <v>40–49</v>
      </c>
      <c r="AC285" t="str">
        <f t="shared" si="43"/>
        <v>Monday</v>
      </c>
      <c r="AD285" t="str">
        <f t="shared" si="44"/>
        <v/>
      </c>
      <c r="AE285" t="str">
        <f t="shared" si="45"/>
        <v>Wednesday</v>
      </c>
      <c r="AF285" t="str">
        <f t="shared" si="46"/>
        <v/>
      </c>
      <c r="AG285" t="str">
        <f t="shared" si="47"/>
        <v/>
      </c>
      <c r="AH285" t="str">
        <f t="shared" si="48"/>
        <v/>
      </c>
      <c r="AI285" t="str">
        <f t="shared" si="49"/>
        <v>Sunday</v>
      </c>
      <c r="AJ285" t="str">
        <f>LEFT(Table1[[#This Row],[membership_type]],2)&amp;TEXT(Table1[[#This Row],[age]],"00")&amp;"-"&amp;TEXT(ROW(),"000")</f>
        <v>Pr45-285</v>
      </c>
      <c r="AK285" t="str">
        <f>LEFT(Table1[[#This Row],[membership_type]],1)&amp;TEXT(MATCH(Table1[[#This Row],[membership_type]],Table1[membership_type],0),"00")</f>
        <v>P01</v>
      </c>
      <c r="AL285" t="str">
        <f>LEFT(Table1[[#This Row],[discount_type]],1)&amp;TEXT(ROUND(Table1[[#This Row],[discount_rate]]*100,0),"00")</f>
        <v>N00</v>
      </c>
      <c r="AM285" t="str" cm="1">
        <f t="array" ref="AM285">TEXT(SUMPRODUCT(CODE(MID(Table1[[#This Row],[home_gym_location]],_xlfn.SEQUENCE(LEN(Table1[[#This Row],[home_gym_location]])),1))),"00000")</f>
        <v>00899</v>
      </c>
      <c r="AN285" t="str">
        <f>UPPER(_xlfn.TEXTBEFORE(Table1[[#This Row],[home_gym_location]],","))&amp;"-"&amp;TEXT(MATCH(Table1[[#This Row],[home_gym_location]],_xlfn._xlws.SORT(_xlfn.UNIQUE(Table1[home_gym_location])),0),"000")</f>
        <v>ANAHEIM-001</v>
      </c>
      <c r="AO285" t="str">
        <f>LEFT(_xlfn.TEXTBEFORE(Table1[[#This Row],[Location Identifier]],"-"),3) &amp; "-" &amp; _xlfn.TEXTAFTER(Table1[[#This Row],[Location Identifier]],"-")</f>
        <v>ANA-001</v>
      </c>
      <c r="AP285" s="9">
        <f t="shared" ca="1" si="40"/>
        <v>45869</v>
      </c>
    </row>
    <row r="286" spans="1:42" x14ac:dyDescent="0.25">
      <c r="A286">
        <v>42</v>
      </c>
      <c r="B286" t="s">
        <v>33</v>
      </c>
      <c r="C286">
        <v>3</v>
      </c>
      <c r="D286" t="s">
        <v>90</v>
      </c>
      <c r="E286" t="b">
        <v>1</v>
      </c>
      <c r="F286" s="1">
        <v>0.43263888888888891</v>
      </c>
      <c r="G286" s="1">
        <v>0.50069444444444444</v>
      </c>
      <c r="H286">
        <v>98</v>
      </c>
      <c r="I286" t="b">
        <v>0</v>
      </c>
      <c r="J286" t="b">
        <v>1</v>
      </c>
      <c r="K286" t="b">
        <v>1</v>
      </c>
      <c r="L286" t="s">
        <v>28</v>
      </c>
      <c r="M286">
        <v>30</v>
      </c>
      <c r="N286" t="s">
        <v>29</v>
      </c>
      <c r="O286">
        <v>30</v>
      </c>
      <c r="P286" t="s">
        <v>74</v>
      </c>
      <c r="Q286">
        <v>0.15</v>
      </c>
      <c r="R286">
        <v>25.5</v>
      </c>
      <c r="S286" t="s">
        <v>37</v>
      </c>
      <c r="T286" t="s">
        <v>48</v>
      </c>
      <c r="U286">
        <v>38.581600000000002</v>
      </c>
      <c r="V286">
        <v>-121.4944</v>
      </c>
      <c r="W286" s="2">
        <v>45215</v>
      </c>
      <c r="X286">
        <v>2</v>
      </c>
      <c r="Y286" t="b">
        <v>0</v>
      </c>
      <c r="Z286" s="2">
        <v>45826</v>
      </c>
      <c r="AA286" t="str">
        <f t="shared" si="41"/>
        <v>40–49</v>
      </c>
      <c r="AB286" t="str">
        <f t="shared" si="42"/>
        <v>40–49</v>
      </c>
      <c r="AC286" t="str">
        <f t="shared" si="43"/>
        <v/>
      </c>
      <c r="AD286" t="str">
        <f t="shared" si="44"/>
        <v>Tuesday</v>
      </c>
      <c r="AE286" t="str">
        <f t="shared" si="45"/>
        <v/>
      </c>
      <c r="AF286" t="str">
        <f t="shared" si="46"/>
        <v/>
      </c>
      <c r="AG286" t="str">
        <f t="shared" si="47"/>
        <v/>
      </c>
      <c r="AH286" t="str">
        <f t="shared" si="48"/>
        <v>Saturday</v>
      </c>
      <c r="AI286" t="str">
        <f t="shared" si="49"/>
        <v>Sunday</v>
      </c>
      <c r="AJ286" t="str">
        <f>LEFT(Table1[[#This Row],[membership_type]],2)&amp;TEXT(Table1[[#This Row],[age]],"00")&amp;"-"&amp;TEXT(ROW(),"000")</f>
        <v>St42-286</v>
      </c>
      <c r="AK286" t="str">
        <f>LEFT(Table1[[#This Row],[membership_type]],1)&amp;TEXT(MATCH(Table1[[#This Row],[membership_type]],Table1[membership_type],0),"00")</f>
        <v>S02</v>
      </c>
      <c r="AL286" t="str">
        <f>LEFT(Table1[[#This Row],[discount_type]],1)&amp;TEXT(ROUND(Table1[[#This Row],[discount_rate]]*100,0),"00")</f>
        <v>S15</v>
      </c>
      <c r="AM286" t="str" cm="1">
        <f t="array" ref="AM286">TEXT(SUMPRODUCT(CODE(MID(Table1[[#This Row],[home_gym_location]],_xlfn.SEQUENCE(LEN(Table1[[#This Row],[home_gym_location]])),1))),"00000")</f>
        <v>01245</v>
      </c>
      <c r="AN28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86" t="str">
        <f>LEFT(_xlfn.TEXTBEFORE(Table1[[#This Row],[Location Identifier]],"-"),3) &amp; "-" &amp; _xlfn.TEXTAFTER(Table1[[#This Row],[Location Identifier]],"-")</f>
        <v>SAC-007</v>
      </c>
      <c r="AP286" s="9">
        <f t="shared" ca="1" si="40"/>
        <v>45869</v>
      </c>
    </row>
    <row r="287" spans="1:42" x14ac:dyDescent="0.25">
      <c r="A287">
        <v>31</v>
      </c>
      <c r="B287" t="s">
        <v>42</v>
      </c>
      <c r="C287">
        <v>4</v>
      </c>
      <c r="D287" t="s">
        <v>143</v>
      </c>
      <c r="E287" t="b">
        <v>0</v>
      </c>
      <c r="F287" s="1">
        <v>0.85624999999999996</v>
      </c>
      <c r="G287" s="1">
        <v>0.9555555555555556</v>
      </c>
      <c r="H287">
        <v>143</v>
      </c>
      <c r="I287" t="b">
        <v>1</v>
      </c>
      <c r="J287" t="b">
        <v>0</v>
      </c>
      <c r="K287" t="b">
        <v>0</v>
      </c>
      <c r="L287" t="s">
        <v>62</v>
      </c>
      <c r="M287">
        <v>20</v>
      </c>
      <c r="N287" t="s">
        <v>64</v>
      </c>
      <c r="O287">
        <v>15</v>
      </c>
      <c r="P287" t="s">
        <v>36</v>
      </c>
      <c r="Q287">
        <v>0</v>
      </c>
      <c r="R287">
        <v>15</v>
      </c>
      <c r="S287" t="s">
        <v>44</v>
      </c>
      <c r="T287" t="s">
        <v>59</v>
      </c>
      <c r="U287">
        <v>37.774900000000002</v>
      </c>
      <c r="V287">
        <v>-122.4194</v>
      </c>
      <c r="W287" s="2">
        <v>45792</v>
      </c>
      <c r="X287">
        <v>0</v>
      </c>
      <c r="Y287" t="b">
        <v>0</v>
      </c>
      <c r="Z287" s="2">
        <v>45858</v>
      </c>
      <c r="AA287" t="str">
        <f t="shared" si="41"/>
        <v>30–39</v>
      </c>
      <c r="AB287" t="str">
        <f t="shared" si="42"/>
        <v>30–39</v>
      </c>
      <c r="AC287" t="str">
        <f t="shared" si="43"/>
        <v>Monday</v>
      </c>
      <c r="AD287" t="str">
        <f t="shared" si="44"/>
        <v>Tuesday</v>
      </c>
      <c r="AE287" t="str">
        <f t="shared" si="45"/>
        <v>Wednesday</v>
      </c>
      <c r="AF287" t="str">
        <f t="shared" si="46"/>
        <v/>
      </c>
      <c r="AG287" t="str">
        <f t="shared" si="47"/>
        <v>Friday</v>
      </c>
      <c r="AH287" t="str">
        <f t="shared" si="48"/>
        <v/>
      </c>
      <c r="AI287" t="str">
        <f t="shared" si="49"/>
        <v/>
      </c>
      <c r="AJ287" t="str">
        <f>LEFT(Table1[[#This Row],[membership_type]],2)&amp;TEXT(Table1[[#This Row],[age]],"00")&amp;"-"&amp;TEXT(ROW(),"000")</f>
        <v>Ba31-287</v>
      </c>
      <c r="AK287" t="str">
        <f>LEFT(Table1[[#This Row],[membership_type]],1)&amp;TEXT(MATCH(Table1[[#This Row],[membership_type]],Table1[membership_type],0),"00")</f>
        <v>B04</v>
      </c>
      <c r="AL287" t="str">
        <f>LEFT(Table1[[#This Row],[discount_type]],1)&amp;TEXT(ROUND(Table1[[#This Row],[discount_rate]]*100,0),"00")</f>
        <v>N00</v>
      </c>
      <c r="AM287" t="str" cm="1">
        <f t="array" ref="AM287">TEXT(SUMPRODUCT(CODE(MID(Table1[[#This Row],[home_gym_location]],_xlfn.SEQUENCE(LEN(Table1[[#This Row],[home_gym_location]])),1))),"00000")</f>
        <v>01450</v>
      </c>
      <c r="AN28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87" t="str">
        <f>LEFT(_xlfn.TEXTBEFORE(Table1[[#This Row],[Location Identifier]],"-"),3) &amp; "-" &amp; _xlfn.TEXTAFTER(Table1[[#This Row],[Location Identifier]],"-")</f>
        <v>SAN-009</v>
      </c>
      <c r="AP287" s="9">
        <f t="shared" ca="1" si="40"/>
        <v>45869</v>
      </c>
    </row>
    <row r="288" spans="1:42" x14ac:dyDescent="0.25">
      <c r="A288">
        <v>48</v>
      </c>
      <c r="B288" t="s">
        <v>33</v>
      </c>
      <c r="C288">
        <v>1</v>
      </c>
      <c r="D288" t="s">
        <v>75</v>
      </c>
      <c r="E288" t="b">
        <v>0</v>
      </c>
      <c r="F288" s="1">
        <v>0.78611111111111109</v>
      </c>
      <c r="G288" s="1">
        <v>0.84097222222222223</v>
      </c>
      <c r="H288">
        <v>79</v>
      </c>
      <c r="I288" t="b">
        <v>1</v>
      </c>
      <c r="J288" t="b">
        <v>1</v>
      </c>
      <c r="K288" t="b">
        <v>0</v>
      </c>
      <c r="L288" t="s">
        <v>62</v>
      </c>
      <c r="M288">
        <v>30</v>
      </c>
      <c r="N288" t="s">
        <v>29</v>
      </c>
      <c r="O288">
        <v>30</v>
      </c>
      <c r="P288" t="s">
        <v>36</v>
      </c>
      <c r="Q288">
        <v>0</v>
      </c>
      <c r="R288">
        <v>30</v>
      </c>
      <c r="S288" t="s">
        <v>37</v>
      </c>
      <c r="T288" t="s">
        <v>32</v>
      </c>
      <c r="U288">
        <v>37.338200000000001</v>
      </c>
      <c r="V288">
        <v>-121.88630000000001</v>
      </c>
      <c r="W288" s="2">
        <v>45335</v>
      </c>
      <c r="X288">
        <v>1</v>
      </c>
      <c r="Y288" t="b">
        <v>0</v>
      </c>
      <c r="Z288" s="2">
        <v>45833</v>
      </c>
      <c r="AA288" t="str">
        <f t="shared" si="41"/>
        <v>40–49</v>
      </c>
      <c r="AB288" t="str">
        <f t="shared" si="42"/>
        <v>40–49</v>
      </c>
      <c r="AC288" t="str">
        <f t="shared" si="43"/>
        <v/>
      </c>
      <c r="AD288" t="str">
        <f t="shared" si="44"/>
        <v/>
      </c>
      <c r="AE288" t="str">
        <f t="shared" si="45"/>
        <v/>
      </c>
      <c r="AF288" t="str">
        <f t="shared" si="46"/>
        <v/>
      </c>
      <c r="AG288" t="str">
        <f t="shared" si="47"/>
        <v>Friday</v>
      </c>
      <c r="AH288" t="str">
        <f t="shared" si="48"/>
        <v/>
      </c>
      <c r="AI288" t="str">
        <f t="shared" si="49"/>
        <v/>
      </c>
      <c r="AJ288" t="str">
        <f>LEFT(Table1[[#This Row],[membership_type]],2)&amp;TEXT(Table1[[#This Row],[age]],"00")&amp;"-"&amp;TEXT(ROW(),"000")</f>
        <v>St48-288</v>
      </c>
      <c r="AK288" t="str">
        <f>LEFT(Table1[[#This Row],[membership_type]],1)&amp;TEXT(MATCH(Table1[[#This Row],[membership_type]],Table1[membership_type],0),"00")</f>
        <v>S02</v>
      </c>
      <c r="AL288" t="str">
        <f>LEFT(Table1[[#This Row],[discount_type]],1)&amp;TEXT(ROUND(Table1[[#This Row],[discount_rate]]*100,0),"00")</f>
        <v>N00</v>
      </c>
      <c r="AM288" t="str" cm="1">
        <f t="array" ref="AM288">TEXT(SUMPRODUCT(CODE(MID(Table1[[#This Row],[home_gym_location]],_xlfn.SEQUENCE(LEN(Table1[[#This Row],[home_gym_location]])),1))),"00000")</f>
        <v>00931</v>
      </c>
      <c r="AN28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288" t="str">
        <f>LEFT(_xlfn.TEXTBEFORE(Table1[[#This Row],[Location Identifier]],"-"),3) &amp; "-" &amp; _xlfn.TEXTAFTER(Table1[[#This Row],[Location Identifier]],"-")</f>
        <v>SAN-010</v>
      </c>
      <c r="AP288" s="9">
        <f t="shared" ca="1" si="40"/>
        <v>45869</v>
      </c>
    </row>
    <row r="289" spans="1:42" x14ac:dyDescent="0.25">
      <c r="A289">
        <v>28</v>
      </c>
      <c r="B289" t="s">
        <v>26</v>
      </c>
      <c r="C289">
        <v>4</v>
      </c>
      <c r="D289" t="s">
        <v>143</v>
      </c>
      <c r="E289" t="b">
        <v>1</v>
      </c>
      <c r="F289" s="1">
        <v>0.46527777777777779</v>
      </c>
      <c r="G289" s="1">
        <v>0.5805555555555556</v>
      </c>
      <c r="H289">
        <v>166</v>
      </c>
      <c r="I289" t="b">
        <v>0</v>
      </c>
      <c r="J289" t="b">
        <v>1</v>
      </c>
      <c r="K289" t="b">
        <v>1</v>
      </c>
      <c r="L289" t="s">
        <v>28</v>
      </c>
      <c r="M289">
        <v>50</v>
      </c>
      <c r="N289" t="s">
        <v>64</v>
      </c>
      <c r="O289">
        <v>37.5</v>
      </c>
      <c r="P289" t="s">
        <v>74</v>
      </c>
      <c r="Q289">
        <v>0.15</v>
      </c>
      <c r="R289">
        <v>31.875</v>
      </c>
      <c r="S289" t="s">
        <v>31</v>
      </c>
      <c r="T289" t="s">
        <v>65</v>
      </c>
      <c r="U289">
        <v>33.770099999999999</v>
      </c>
      <c r="V289">
        <v>-118.19370000000001</v>
      </c>
      <c r="W289" s="2">
        <v>45253</v>
      </c>
      <c r="X289">
        <v>7</v>
      </c>
      <c r="Y289" t="b">
        <v>1</v>
      </c>
      <c r="Z289" s="2">
        <v>45828</v>
      </c>
      <c r="AA289" t="str">
        <f t="shared" si="41"/>
        <v>20–29</v>
      </c>
      <c r="AB289" t="str">
        <f t="shared" si="42"/>
        <v>20–29</v>
      </c>
      <c r="AC289" t="str">
        <f t="shared" si="43"/>
        <v>Monday</v>
      </c>
      <c r="AD289" t="str">
        <f t="shared" si="44"/>
        <v>Tuesday</v>
      </c>
      <c r="AE289" t="str">
        <f t="shared" si="45"/>
        <v>Wednesday</v>
      </c>
      <c r="AF289" t="str">
        <f t="shared" si="46"/>
        <v/>
      </c>
      <c r="AG289" t="str">
        <f t="shared" si="47"/>
        <v>Friday</v>
      </c>
      <c r="AH289" t="str">
        <f t="shared" si="48"/>
        <v/>
      </c>
      <c r="AI289" t="str">
        <f t="shared" si="49"/>
        <v/>
      </c>
      <c r="AJ289" t="str">
        <f>LEFT(Table1[[#This Row],[membership_type]],2)&amp;TEXT(Table1[[#This Row],[age]],"00")&amp;"-"&amp;TEXT(ROW(),"000")</f>
        <v>Pr28-289</v>
      </c>
      <c r="AK289" t="str">
        <f>LEFT(Table1[[#This Row],[membership_type]],1)&amp;TEXT(MATCH(Table1[[#This Row],[membership_type]],Table1[membership_type],0),"00")</f>
        <v>P01</v>
      </c>
      <c r="AL289" t="str">
        <f>LEFT(Table1[[#This Row],[discount_type]],1)&amp;TEXT(ROUND(Table1[[#This Row],[discount_rate]]*100,0),"00")</f>
        <v>S15</v>
      </c>
      <c r="AM289" t="str" cm="1">
        <f t="array" ref="AM289">TEXT(SUMPRODUCT(CODE(MID(Table1[[#This Row],[home_gym_location]],_xlfn.SEQUENCE(LEN(Table1[[#This Row],[home_gym_location]])),1))),"00000")</f>
        <v>01107</v>
      </c>
      <c r="AN28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89" t="str">
        <f>LEFT(_xlfn.TEXTBEFORE(Table1[[#This Row],[Location Identifier]],"-"),3) &amp; "-" &amp; _xlfn.TEXTAFTER(Table1[[#This Row],[Location Identifier]],"-")</f>
        <v>LON-004</v>
      </c>
      <c r="AP289" s="9">
        <f t="shared" ca="1" si="40"/>
        <v>45869</v>
      </c>
    </row>
    <row r="290" spans="1:42" x14ac:dyDescent="0.25">
      <c r="A290">
        <v>16</v>
      </c>
      <c r="B290" t="s">
        <v>26</v>
      </c>
      <c r="C290">
        <v>5</v>
      </c>
      <c r="D290" t="s">
        <v>34</v>
      </c>
      <c r="E290" t="b">
        <v>0</v>
      </c>
      <c r="F290" s="1">
        <v>0.77708333333333335</v>
      </c>
      <c r="G290" s="1">
        <v>0.83750000000000002</v>
      </c>
      <c r="H290">
        <v>87</v>
      </c>
      <c r="I290" t="b">
        <v>0</v>
      </c>
      <c r="J290" t="b">
        <v>1</v>
      </c>
      <c r="K290" t="b">
        <v>1</v>
      </c>
      <c r="L290" t="s">
        <v>28</v>
      </c>
      <c r="M290">
        <v>50</v>
      </c>
      <c r="N290" t="s">
        <v>29</v>
      </c>
      <c r="O290">
        <v>50</v>
      </c>
      <c r="P290" t="s">
        <v>36</v>
      </c>
      <c r="Q290">
        <v>0</v>
      </c>
      <c r="R290">
        <v>50</v>
      </c>
      <c r="S290" t="s">
        <v>31</v>
      </c>
      <c r="T290" t="s">
        <v>41</v>
      </c>
      <c r="U290">
        <v>37.804400000000001</v>
      </c>
      <c r="V290">
        <v>-122.27119999999999</v>
      </c>
      <c r="W290" s="2">
        <v>45525</v>
      </c>
      <c r="X290">
        <v>2</v>
      </c>
      <c r="Y290" t="b">
        <v>0</v>
      </c>
      <c r="Z290" s="2">
        <v>45843</v>
      </c>
      <c r="AA290" t="str">
        <f t="shared" si="41"/>
        <v>10–19</v>
      </c>
      <c r="AB290" t="str">
        <f t="shared" si="42"/>
        <v>16–19</v>
      </c>
      <c r="AC290" t="str">
        <f t="shared" si="43"/>
        <v/>
      </c>
      <c r="AD290" t="str">
        <f t="shared" si="44"/>
        <v>Tuesday</v>
      </c>
      <c r="AE290" t="str">
        <f t="shared" si="45"/>
        <v>Wednesday</v>
      </c>
      <c r="AF290" t="str">
        <f t="shared" si="46"/>
        <v>Thursday</v>
      </c>
      <c r="AG290" t="str">
        <f t="shared" si="47"/>
        <v>Friday</v>
      </c>
      <c r="AH290" t="str">
        <f t="shared" si="48"/>
        <v>Saturday</v>
      </c>
      <c r="AI290" t="str">
        <f t="shared" si="49"/>
        <v/>
      </c>
      <c r="AJ290" t="str">
        <f>LEFT(Table1[[#This Row],[membership_type]],2)&amp;TEXT(Table1[[#This Row],[age]],"00")&amp;"-"&amp;TEXT(ROW(),"000")</f>
        <v>Pr16-290</v>
      </c>
      <c r="AK290" t="str">
        <f>LEFT(Table1[[#This Row],[membership_type]],1)&amp;TEXT(MATCH(Table1[[#This Row],[membership_type]],Table1[membership_type],0),"00")</f>
        <v>P01</v>
      </c>
      <c r="AL290" t="str">
        <f>LEFT(Table1[[#This Row],[discount_type]],1)&amp;TEXT(ROUND(Table1[[#This Row],[discount_rate]]*100,0),"00")</f>
        <v>N00</v>
      </c>
      <c r="AM290" t="str" cm="1">
        <f t="array" ref="AM290">TEXT(SUMPRODUCT(CODE(MID(Table1[[#This Row],[home_gym_location]],_xlfn.SEQUENCE(LEN(Table1[[#This Row],[home_gym_location]])),1))),"00000")</f>
        <v>00906</v>
      </c>
      <c r="AN290" t="str">
        <f>UPPER(_xlfn.TEXTBEFORE(Table1[[#This Row],[home_gym_location]],","))&amp;"-"&amp;TEXT(MATCH(Table1[[#This Row],[home_gym_location]],_xlfn._xlws.SORT(_xlfn.UNIQUE(Table1[home_gym_location])),0),"000")</f>
        <v>OAKLAND-006</v>
      </c>
      <c r="AO290" t="str">
        <f>LEFT(_xlfn.TEXTBEFORE(Table1[[#This Row],[Location Identifier]],"-"),3) &amp; "-" &amp; _xlfn.TEXTAFTER(Table1[[#This Row],[Location Identifier]],"-")</f>
        <v>OAK-006</v>
      </c>
      <c r="AP290" s="9">
        <f t="shared" ca="1" si="40"/>
        <v>45869</v>
      </c>
    </row>
    <row r="291" spans="1:42" x14ac:dyDescent="0.25">
      <c r="A291">
        <v>43</v>
      </c>
      <c r="B291" t="s">
        <v>51</v>
      </c>
      <c r="C291">
        <v>3</v>
      </c>
      <c r="D291" t="s">
        <v>60</v>
      </c>
      <c r="E291" t="b">
        <v>1</v>
      </c>
      <c r="F291" s="1">
        <v>0.4284722222222222</v>
      </c>
      <c r="G291" s="1">
        <v>0.5</v>
      </c>
      <c r="H291">
        <v>103</v>
      </c>
      <c r="I291" t="b">
        <v>0</v>
      </c>
      <c r="J291" t="b">
        <v>1</v>
      </c>
      <c r="K291" t="b">
        <v>0</v>
      </c>
      <c r="L291" t="s">
        <v>62</v>
      </c>
      <c r="M291">
        <v>70</v>
      </c>
      <c r="N291" t="s">
        <v>64</v>
      </c>
      <c r="O291">
        <v>52.5</v>
      </c>
      <c r="P291" t="s">
        <v>36</v>
      </c>
      <c r="Q291">
        <v>0</v>
      </c>
      <c r="R291">
        <v>52.5</v>
      </c>
      <c r="S291" t="s">
        <v>53</v>
      </c>
      <c r="T291" t="s">
        <v>65</v>
      </c>
      <c r="U291">
        <v>33.770099999999999</v>
      </c>
      <c r="V291">
        <v>-118.19370000000001</v>
      </c>
      <c r="W291" s="2">
        <v>45201</v>
      </c>
      <c r="X291">
        <v>1</v>
      </c>
      <c r="Y291" t="b">
        <v>1</v>
      </c>
      <c r="Z291" s="2">
        <v>45825</v>
      </c>
      <c r="AA291" t="str">
        <f t="shared" si="41"/>
        <v>40–49</v>
      </c>
      <c r="AB291" t="str">
        <f t="shared" si="42"/>
        <v>40–49</v>
      </c>
      <c r="AC291" t="str">
        <f t="shared" si="43"/>
        <v/>
      </c>
      <c r="AD291" t="str">
        <f t="shared" si="44"/>
        <v/>
      </c>
      <c r="AE291" t="str">
        <f t="shared" si="45"/>
        <v>Wednesday</v>
      </c>
      <c r="AF291" t="str">
        <f t="shared" si="46"/>
        <v/>
      </c>
      <c r="AG291" t="str">
        <f t="shared" si="47"/>
        <v/>
      </c>
      <c r="AH291" t="str">
        <f t="shared" si="48"/>
        <v>Saturday</v>
      </c>
      <c r="AI291" t="str">
        <f t="shared" si="49"/>
        <v>Sunday</v>
      </c>
      <c r="AJ291" t="str">
        <f>LEFT(Table1[[#This Row],[membership_type]],2)&amp;TEXT(Table1[[#This Row],[age]],"00")&amp;"-"&amp;TEXT(ROW(),"000")</f>
        <v>El43-291</v>
      </c>
      <c r="AK291" t="str">
        <f>LEFT(Table1[[#This Row],[membership_type]],1)&amp;TEXT(MATCH(Table1[[#This Row],[membership_type]],Table1[membership_type],0),"00")</f>
        <v>E07</v>
      </c>
      <c r="AL291" t="str">
        <f>LEFT(Table1[[#This Row],[discount_type]],1)&amp;TEXT(ROUND(Table1[[#This Row],[discount_rate]]*100,0),"00")</f>
        <v>N00</v>
      </c>
      <c r="AM291" t="str" cm="1">
        <f t="array" ref="AM291">TEXT(SUMPRODUCT(CODE(MID(Table1[[#This Row],[home_gym_location]],_xlfn.SEQUENCE(LEN(Table1[[#This Row],[home_gym_location]])),1))),"00000")</f>
        <v>01107</v>
      </c>
      <c r="AN29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91" t="str">
        <f>LEFT(_xlfn.TEXTBEFORE(Table1[[#This Row],[Location Identifier]],"-"),3) &amp; "-" &amp; _xlfn.TEXTAFTER(Table1[[#This Row],[Location Identifier]],"-")</f>
        <v>LON-004</v>
      </c>
      <c r="AP291" s="9">
        <f t="shared" ca="1" si="40"/>
        <v>45869</v>
      </c>
    </row>
    <row r="292" spans="1:42" x14ac:dyDescent="0.25">
      <c r="A292">
        <v>43</v>
      </c>
      <c r="B292" t="s">
        <v>33</v>
      </c>
      <c r="C292">
        <v>3</v>
      </c>
      <c r="D292" t="s">
        <v>122</v>
      </c>
      <c r="E292" t="b">
        <v>0</v>
      </c>
      <c r="F292" s="1">
        <v>0.5083333333333333</v>
      </c>
      <c r="G292" s="1">
        <v>0.54722222222222228</v>
      </c>
      <c r="H292">
        <v>56</v>
      </c>
      <c r="I292" t="b">
        <v>1</v>
      </c>
      <c r="J292" t="b">
        <v>1</v>
      </c>
      <c r="K292" t="b">
        <v>0</v>
      </c>
      <c r="L292" t="s">
        <v>62</v>
      </c>
      <c r="M292">
        <v>30</v>
      </c>
      <c r="N292" t="s">
        <v>29</v>
      </c>
      <c r="O292">
        <v>30</v>
      </c>
      <c r="P292" t="s">
        <v>40</v>
      </c>
      <c r="Q292">
        <v>0.1</v>
      </c>
      <c r="R292">
        <v>27</v>
      </c>
      <c r="S292" t="s">
        <v>37</v>
      </c>
      <c r="T292" t="s">
        <v>65</v>
      </c>
      <c r="U292">
        <v>33.770099999999999</v>
      </c>
      <c r="V292">
        <v>-118.19370000000001</v>
      </c>
      <c r="W292" s="2">
        <v>45798</v>
      </c>
      <c r="X292">
        <v>8</v>
      </c>
      <c r="Y292" t="b">
        <v>1</v>
      </c>
      <c r="Z292" s="2">
        <v>45859</v>
      </c>
      <c r="AA292" t="str">
        <f t="shared" si="41"/>
        <v>40–49</v>
      </c>
      <c r="AB292" t="str">
        <f t="shared" si="42"/>
        <v>40–49</v>
      </c>
      <c r="AC292" t="str">
        <f t="shared" si="43"/>
        <v/>
      </c>
      <c r="AD292" t="str">
        <f t="shared" si="44"/>
        <v>Tuesday</v>
      </c>
      <c r="AE292" t="str">
        <f t="shared" si="45"/>
        <v/>
      </c>
      <c r="AF292" t="str">
        <f t="shared" si="46"/>
        <v/>
      </c>
      <c r="AG292" t="str">
        <f t="shared" si="47"/>
        <v>Friday</v>
      </c>
      <c r="AH292" t="str">
        <f t="shared" si="48"/>
        <v/>
      </c>
      <c r="AI292" t="str">
        <f t="shared" si="49"/>
        <v>Sunday</v>
      </c>
      <c r="AJ292" t="str">
        <f>LEFT(Table1[[#This Row],[membership_type]],2)&amp;TEXT(Table1[[#This Row],[age]],"00")&amp;"-"&amp;TEXT(ROW(),"000")</f>
        <v>St43-292</v>
      </c>
      <c r="AK292" t="str">
        <f>LEFT(Table1[[#This Row],[membership_type]],1)&amp;TEXT(MATCH(Table1[[#This Row],[membership_type]],Table1[membership_type],0),"00")</f>
        <v>S02</v>
      </c>
      <c r="AL292" t="str">
        <f>LEFT(Table1[[#This Row],[discount_type]],1)&amp;TEXT(ROUND(Table1[[#This Row],[discount_rate]]*100,0),"00")</f>
        <v>L10</v>
      </c>
      <c r="AM292" t="str" cm="1">
        <f t="array" ref="AM292">TEXT(SUMPRODUCT(CODE(MID(Table1[[#This Row],[home_gym_location]],_xlfn.SEQUENCE(LEN(Table1[[#This Row],[home_gym_location]])),1))),"00000")</f>
        <v>01107</v>
      </c>
      <c r="AN29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92" t="str">
        <f>LEFT(_xlfn.TEXTBEFORE(Table1[[#This Row],[Location Identifier]],"-"),3) &amp; "-" &amp; _xlfn.TEXTAFTER(Table1[[#This Row],[Location Identifier]],"-")</f>
        <v>LON-004</v>
      </c>
      <c r="AP292" s="9">
        <f t="shared" ca="1" si="40"/>
        <v>45869</v>
      </c>
    </row>
    <row r="293" spans="1:42" x14ac:dyDescent="0.25">
      <c r="A293">
        <v>24</v>
      </c>
      <c r="B293" t="s">
        <v>26</v>
      </c>
      <c r="C293">
        <v>2</v>
      </c>
      <c r="D293" t="s">
        <v>84</v>
      </c>
      <c r="E293" t="b">
        <v>1</v>
      </c>
      <c r="F293" s="1">
        <v>0.73888888888888893</v>
      </c>
      <c r="G293" s="1">
        <v>0.83472222222222225</v>
      </c>
      <c r="H293">
        <v>138</v>
      </c>
      <c r="I293" t="b">
        <v>0</v>
      </c>
      <c r="J293" t="b">
        <v>1</v>
      </c>
      <c r="K293" t="b">
        <v>1</v>
      </c>
      <c r="L293" t="s">
        <v>28</v>
      </c>
      <c r="M293">
        <v>50</v>
      </c>
      <c r="N293" t="s">
        <v>29</v>
      </c>
      <c r="O293">
        <v>50</v>
      </c>
      <c r="P293" t="s">
        <v>30</v>
      </c>
      <c r="Q293">
        <v>0.05</v>
      </c>
      <c r="R293">
        <v>47.5</v>
      </c>
      <c r="S293" t="s">
        <v>31</v>
      </c>
      <c r="T293" t="s">
        <v>38</v>
      </c>
      <c r="U293">
        <v>36.7378</v>
      </c>
      <c r="V293">
        <v>-119.7871</v>
      </c>
      <c r="W293" s="2">
        <v>45791</v>
      </c>
      <c r="X293">
        <v>6</v>
      </c>
      <c r="Y293" t="b">
        <v>1</v>
      </c>
      <c r="Z293" s="2">
        <v>45858</v>
      </c>
      <c r="AA293" t="str">
        <f t="shared" si="41"/>
        <v>20–29</v>
      </c>
      <c r="AB293" t="str">
        <f t="shared" si="42"/>
        <v>20–29</v>
      </c>
      <c r="AC293" t="str">
        <f t="shared" si="43"/>
        <v/>
      </c>
      <c r="AD293" t="str">
        <f t="shared" si="44"/>
        <v>Tuesday</v>
      </c>
      <c r="AE293" t="str">
        <f t="shared" si="45"/>
        <v/>
      </c>
      <c r="AF293" t="str">
        <f t="shared" si="46"/>
        <v/>
      </c>
      <c r="AG293" t="str">
        <f t="shared" si="47"/>
        <v/>
      </c>
      <c r="AH293" t="str">
        <f t="shared" si="48"/>
        <v/>
      </c>
      <c r="AI293" t="str">
        <f t="shared" si="49"/>
        <v>Sunday</v>
      </c>
      <c r="AJ293" t="str">
        <f>LEFT(Table1[[#This Row],[membership_type]],2)&amp;TEXT(Table1[[#This Row],[age]],"00")&amp;"-"&amp;TEXT(ROW(),"000")</f>
        <v>Pr24-293</v>
      </c>
      <c r="AK293" t="str">
        <f>LEFT(Table1[[#This Row],[membership_type]],1)&amp;TEXT(MATCH(Table1[[#This Row],[membership_type]],Table1[membership_type],0),"00")</f>
        <v>P01</v>
      </c>
      <c r="AL293" t="str">
        <f>LEFT(Table1[[#This Row],[discount_type]],1)&amp;TEXT(ROUND(Table1[[#This Row],[discount_rate]]*100,0),"00")</f>
        <v>P05</v>
      </c>
      <c r="AM293" t="str" cm="1">
        <f t="array" ref="AM293">TEXT(SUMPRODUCT(CODE(MID(Table1[[#This Row],[home_gym_location]],_xlfn.SEQUENCE(LEN(Table1[[#This Row],[home_gym_location]])),1))),"00000")</f>
        <v>00829</v>
      </c>
      <c r="AN293" t="str">
        <f>UPPER(_xlfn.TEXTBEFORE(Table1[[#This Row],[home_gym_location]],","))&amp;"-"&amp;TEXT(MATCH(Table1[[#This Row],[home_gym_location]],_xlfn._xlws.SORT(_xlfn.UNIQUE(Table1[home_gym_location])),0),"000")</f>
        <v>FRESNO-003</v>
      </c>
      <c r="AO293" t="str">
        <f>LEFT(_xlfn.TEXTBEFORE(Table1[[#This Row],[Location Identifier]],"-"),3) &amp; "-" &amp; _xlfn.TEXTAFTER(Table1[[#This Row],[Location Identifier]],"-")</f>
        <v>FRE-003</v>
      </c>
      <c r="AP293" s="9">
        <f t="shared" ca="1" si="40"/>
        <v>45869</v>
      </c>
    </row>
    <row r="294" spans="1:42" x14ac:dyDescent="0.25">
      <c r="A294">
        <v>41</v>
      </c>
      <c r="B294" t="s">
        <v>33</v>
      </c>
      <c r="C294">
        <v>1</v>
      </c>
      <c r="D294" t="s">
        <v>67</v>
      </c>
      <c r="E294" t="b">
        <v>0</v>
      </c>
      <c r="F294" s="1">
        <v>0.45277777777777778</v>
      </c>
      <c r="G294" s="1">
        <v>0.51736111111111116</v>
      </c>
      <c r="H294">
        <v>93</v>
      </c>
      <c r="I294" t="b">
        <v>1</v>
      </c>
      <c r="J294" t="b">
        <v>0</v>
      </c>
      <c r="K294" t="b">
        <v>1</v>
      </c>
      <c r="L294" t="s">
        <v>28</v>
      </c>
      <c r="M294">
        <v>30</v>
      </c>
      <c r="N294" t="s">
        <v>64</v>
      </c>
      <c r="O294">
        <v>22.5</v>
      </c>
      <c r="P294" t="s">
        <v>74</v>
      </c>
      <c r="Q294">
        <v>0.15</v>
      </c>
      <c r="R294">
        <v>19.125</v>
      </c>
      <c r="S294" t="s">
        <v>37</v>
      </c>
      <c r="T294" t="s">
        <v>54</v>
      </c>
      <c r="U294">
        <v>32.715699999999998</v>
      </c>
      <c r="V294">
        <v>-117.1611</v>
      </c>
      <c r="W294" s="2">
        <v>44954</v>
      </c>
      <c r="X294">
        <v>0</v>
      </c>
      <c r="Y294" t="b">
        <v>0</v>
      </c>
      <c r="Z294" s="2">
        <v>45811</v>
      </c>
      <c r="AA294" t="str">
        <f t="shared" si="41"/>
        <v>40–49</v>
      </c>
      <c r="AB294" t="str">
        <f t="shared" si="42"/>
        <v>40–49</v>
      </c>
      <c r="AC294" t="str">
        <f t="shared" si="43"/>
        <v/>
      </c>
      <c r="AD294" t="str">
        <f t="shared" si="44"/>
        <v/>
      </c>
      <c r="AE294" t="str">
        <f t="shared" si="45"/>
        <v/>
      </c>
      <c r="AF294" t="str">
        <f t="shared" si="46"/>
        <v>Thursday</v>
      </c>
      <c r="AG294" t="str">
        <f t="shared" si="47"/>
        <v/>
      </c>
      <c r="AH294" t="str">
        <f t="shared" si="48"/>
        <v/>
      </c>
      <c r="AI294" t="str">
        <f t="shared" si="49"/>
        <v/>
      </c>
      <c r="AJ294" t="str">
        <f>LEFT(Table1[[#This Row],[membership_type]],2)&amp;TEXT(Table1[[#This Row],[age]],"00")&amp;"-"&amp;TEXT(ROW(),"000")</f>
        <v>St41-294</v>
      </c>
      <c r="AK294" t="str">
        <f>LEFT(Table1[[#This Row],[membership_type]],1)&amp;TEXT(MATCH(Table1[[#This Row],[membership_type]],Table1[membership_type],0),"00")</f>
        <v>S02</v>
      </c>
      <c r="AL294" t="str">
        <f>LEFT(Table1[[#This Row],[discount_type]],1)&amp;TEXT(ROUND(Table1[[#This Row],[discount_rate]]*100,0),"00")</f>
        <v>S15</v>
      </c>
      <c r="AM294" t="str" cm="1">
        <f t="array" ref="AM294">TEXT(SUMPRODUCT(CODE(MID(Table1[[#This Row],[home_gym_location]],_xlfn.SEQUENCE(LEN(Table1[[#This Row],[home_gym_location]])),1))),"00000")</f>
        <v>01018</v>
      </c>
      <c r="AN29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294" t="str">
        <f>LEFT(_xlfn.TEXTBEFORE(Table1[[#This Row],[Location Identifier]],"-"),3) &amp; "-" &amp; _xlfn.TEXTAFTER(Table1[[#This Row],[Location Identifier]],"-")</f>
        <v>SAN-008</v>
      </c>
      <c r="AP294" s="9">
        <f t="shared" ca="1" si="40"/>
        <v>45869</v>
      </c>
    </row>
    <row r="295" spans="1:42" x14ac:dyDescent="0.25">
      <c r="A295">
        <v>25</v>
      </c>
      <c r="B295" t="s">
        <v>33</v>
      </c>
      <c r="C295">
        <v>3</v>
      </c>
      <c r="D295" t="s">
        <v>90</v>
      </c>
      <c r="E295" t="b">
        <v>0</v>
      </c>
      <c r="F295" s="1">
        <v>0.72291666666666665</v>
      </c>
      <c r="G295" s="1">
        <v>0.76180555555555551</v>
      </c>
      <c r="H295">
        <v>56</v>
      </c>
      <c r="I295" t="b">
        <v>0</v>
      </c>
      <c r="J295" t="b">
        <v>0</v>
      </c>
      <c r="K295" t="b">
        <v>1</v>
      </c>
      <c r="L295" t="s">
        <v>62</v>
      </c>
      <c r="M295">
        <v>30</v>
      </c>
      <c r="N295" t="s">
        <v>64</v>
      </c>
      <c r="O295">
        <v>22.5</v>
      </c>
      <c r="P295" t="s">
        <v>74</v>
      </c>
      <c r="Q295">
        <v>0.15</v>
      </c>
      <c r="R295">
        <v>19.125</v>
      </c>
      <c r="S295" t="s">
        <v>37</v>
      </c>
      <c r="T295" t="s">
        <v>48</v>
      </c>
      <c r="U295">
        <v>38.581600000000002</v>
      </c>
      <c r="V295">
        <v>-121.4944</v>
      </c>
      <c r="W295" s="2">
        <v>45447</v>
      </c>
      <c r="X295">
        <v>0</v>
      </c>
      <c r="Y295" t="b">
        <v>1</v>
      </c>
      <c r="Z295" s="2">
        <v>45839</v>
      </c>
      <c r="AA295" t="str">
        <f t="shared" si="41"/>
        <v>20–29</v>
      </c>
      <c r="AB295" t="str">
        <f t="shared" si="42"/>
        <v>20–29</v>
      </c>
      <c r="AC295" t="str">
        <f t="shared" si="43"/>
        <v/>
      </c>
      <c r="AD295" t="str">
        <f t="shared" si="44"/>
        <v>Tuesday</v>
      </c>
      <c r="AE295" t="str">
        <f t="shared" si="45"/>
        <v/>
      </c>
      <c r="AF295" t="str">
        <f t="shared" si="46"/>
        <v/>
      </c>
      <c r="AG295" t="str">
        <f t="shared" si="47"/>
        <v/>
      </c>
      <c r="AH295" t="str">
        <f t="shared" si="48"/>
        <v>Saturday</v>
      </c>
      <c r="AI295" t="str">
        <f t="shared" si="49"/>
        <v>Sunday</v>
      </c>
      <c r="AJ295" t="str">
        <f>LEFT(Table1[[#This Row],[membership_type]],2)&amp;TEXT(Table1[[#This Row],[age]],"00")&amp;"-"&amp;TEXT(ROW(),"000")</f>
        <v>St25-295</v>
      </c>
      <c r="AK295" t="str">
        <f>LEFT(Table1[[#This Row],[membership_type]],1)&amp;TEXT(MATCH(Table1[[#This Row],[membership_type]],Table1[membership_type],0),"00")</f>
        <v>S02</v>
      </c>
      <c r="AL295" t="str">
        <f>LEFT(Table1[[#This Row],[discount_type]],1)&amp;TEXT(ROUND(Table1[[#This Row],[discount_rate]]*100,0),"00")</f>
        <v>S15</v>
      </c>
      <c r="AM295" t="str" cm="1">
        <f t="array" ref="AM295">TEXT(SUMPRODUCT(CODE(MID(Table1[[#This Row],[home_gym_location]],_xlfn.SEQUENCE(LEN(Table1[[#This Row],[home_gym_location]])),1))),"00000")</f>
        <v>01245</v>
      </c>
      <c r="AN29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295" t="str">
        <f>LEFT(_xlfn.TEXTBEFORE(Table1[[#This Row],[Location Identifier]],"-"),3) &amp; "-" &amp; _xlfn.TEXTAFTER(Table1[[#This Row],[Location Identifier]],"-")</f>
        <v>SAC-007</v>
      </c>
      <c r="AP295" s="9">
        <f t="shared" ca="1" si="40"/>
        <v>45869</v>
      </c>
    </row>
    <row r="296" spans="1:42" x14ac:dyDescent="0.25">
      <c r="A296">
        <v>16</v>
      </c>
      <c r="B296" t="s">
        <v>51</v>
      </c>
      <c r="C296">
        <v>1</v>
      </c>
      <c r="D296" t="s">
        <v>75</v>
      </c>
      <c r="E296" t="b">
        <v>0</v>
      </c>
      <c r="F296" s="1">
        <v>0.36249999999999999</v>
      </c>
      <c r="G296" s="1">
        <v>0.44027777777777777</v>
      </c>
      <c r="H296">
        <v>112</v>
      </c>
      <c r="I296" t="b">
        <v>0</v>
      </c>
      <c r="J296" t="b">
        <v>0</v>
      </c>
      <c r="K296" t="b">
        <v>0</v>
      </c>
      <c r="L296" t="s">
        <v>62</v>
      </c>
      <c r="M296">
        <v>70</v>
      </c>
      <c r="N296" t="s">
        <v>29</v>
      </c>
      <c r="O296">
        <v>70</v>
      </c>
      <c r="P296" t="s">
        <v>36</v>
      </c>
      <c r="Q296">
        <v>0</v>
      </c>
      <c r="R296">
        <v>70</v>
      </c>
      <c r="S296" t="s">
        <v>53</v>
      </c>
      <c r="T296" t="s">
        <v>56</v>
      </c>
      <c r="U296">
        <v>35.3733</v>
      </c>
      <c r="V296">
        <v>-119.0187</v>
      </c>
      <c r="W296" s="2">
        <v>45695</v>
      </c>
      <c r="X296">
        <v>0</v>
      </c>
      <c r="Y296" t="b">
        <v>1</v>
      </c>
      <c r="Z296" s="2">
        <v>45853</v>
      </c>
      <c r="AA296" t="str">
        <f t="shared" si="41"/>
        <v>10–19</v>
      </c>
      <c r="AB296" t="str">
        <f t="shared" si="42"/>
        <v>16–19</v>
      </c>
      <c r="AC296" t="str">
        <f t="shared" si="43"/>
        <v/>
      </c>
      <c r="AD296" t="str">
        <f t="shared" si="44"/>
        <v/>
      </c>
      <c r="AE296" t="str">
        <f t="shared" si="45"/>
        <v/>
      </c>
      <c r="AF296" t="str">
        <f t="shared" si="46"/>
        <v/>
      </c>
      <c r="AG296" t="str">
        <f t="shared" si="47"/>
        <v>Friday</v>
      </c>
      <c r="AH296" t="str">
        <f t="shared" si="48"/>
        <v/>
      </c>
      <c r="AI296" t="str">
        <f t="shared" si="49"/>
        <v/>
      </c>
      <c r="AJ296" t="str">
        <f>LEFT(Table1[[#This Row],[membership_type]],2)&amp;TEXT(Table1[[#This Row],[age]],"00")&amp;"-"&amp;TEXT(ROW(),"000")</f>
        <v>El16-296</v>
      </c>
      <c r="AK296" t="str">
        <f>LEFT(Table1[[#This Row],[membership_type]],1)&amp;TEXT(MATCH(Table1[[#This Row],[membership_type]],Table1[membership_type],0),"00")</f>
        <v>E07</v>
      </c>
      <c r="AL296" t="str">
        <f>LEFT(Table1[[#This Row],[discount_type]],1)&amp;TEXT(ROUND(Table1[[#This Row],[discount_rate]]*100,0),"00")</f>
        <v>N00</v>
      </c>
      <c r="AM296" t="str" cm="1">
        <f t="array" ref="AM296">TEXT(SUMPRODUCT(CODE(MID(Table1[[#This Row],[home_gym_location]],_xlfn.SEQUENCE(LEN(Table1[[#This Row],[home_gym_location]])),1))),"00000")</f>
        <v>01324</v>
      </c>
      <c r="AN29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296" t="str">
        <f>LEFT(_xlfn.TEXTBEFORE(Table1[[#This Row],[Location Identifier]],"-"),3) &amp; "-" &amp; _xlfn.TEXTAFTER(Table1[[#This Row],[Location Identifier]],"-")</f>
        <v>BAK-002</v>
      </c>
      <c r="AP296" s="9">
        <f t="shared" ca="1" si="40"/>
        <v>45869</v>
      </c>
    </row>
    <row r="297" spans="1:42" x14ac:dyDescent="0.25">
      <c r="A297">
        <v>30</v>
      </c>
      <c r="B297" t="s">
        <v>26</v>
      </c>
      <c r="C297">
        <v>3</v>
      </c>
      <c r="D297" t="s">
        <v>138</v>
      </c>
      <c r="E297" t="b">
        <v>0</v>
      </c>
      <c r="F297" s="1">
        <v>0.57708333333333328</v>
      </c>
      <c r="G297" s="1">
        <v>0.67569444444444449</v>
      </c>
      <c r="H297">
        <v>142</v>
      </c>
      <c r="I297" t="b">
        <v>0</v>
      </c>
      <c r="J297" t="b">
        <v>1</v>
      </c>
      <c r="K297" t="b">
        <v>1</v>
      </c>
      <c r="L297" t="s">
        <v>35</v>
      </c>
      <c r="M297">
        <v>50</v>
      </c>
      <c r="N297" t="s">
        <v>64</v>
      </c>
      <c r="O297">
        <v>37.5</v>
      </c>
      <c r="P297" t="s">
        <v>36</v>
      </c>
      <c r="Q297">
        <v>0</v>
      </c>
      <c r="R297">
        <v>37.5</v>
      </c>
      <c r="S297" t="s">
        <v>31</v>
      </c>
      <c r="T297" t="s">
        <v>59</v>
      </c>
      <c r="U297">
        <v>37.774900000000002</v>
      </c>
      <c r="V297">
        <v>-122.4194</v>
      </c>
      <c r="W297" s="2">
        <v>45274</v>
      </c>
      <c r="X297">
        <v>3</v>
      </c>
      <c r="Y297" t="b">
        <v>1</v>
      </c>
      <c r="Z297" s="2">
        <v>45829</v>
      </c>
      <c r="AA297" t="str">
        <f t="shared" si="41"/>
        <v>30–39</v>
      </c>
      <c r="AB297" t="str">
        <f t="shared" si="42"/>
        <v>30–39</v>
      </c>
      <c r="AC297" t="str">
        <f t="shared" si="43"/>
        <v/>
      </c>
      <c r="AD297" t="str">
        <f t="shared" si="44"/>
        <v>Tuesday</v>
      </c>
      <c r="AE297" t="str">
        <f t="shared" si="45"/>
        <v/>
      </c>
      <c r="AF297" t="str">
        <f t="shared" si="46"/>
        <v>Thursday</v>
      </c>
      <c r="AG297" t="str">
        <f t="shared" si="47"/>
        <v/>
      </c>
      <c r="AH297" t="str">
        <f t="shared" si="48"/>
        <v/>
      </c>
      <c r="AI297" t="str">
        <f t="shared" si="49"/>
        <v>Sunday</v>
      </c>
      <c r="AJ297" t="str">
        <f>LEFT(Table1[[#This Row],[membership_type]],2)&amp;TEXT(Table1[[#This Row],[age]],"00")&amp;"-"&amp;TEXT(ROW(),"000")</f>
        <v>Pr30-297</v>
      </c>
      <c r="AK297" t="str">
        <f>LEFT(Table1[[#This Row],[membership_type]],1)&amp;TEXT(MATCH(Table1[[#This Row],[membership_type]],Table1[membership_type],0),"00")</f>
        <v>P01</v>
      </c>
      <c r="AL297" t="str">
        <f>LEFT(Table1[[#This Row],[discount_type]],1)&amp;TEXT(ROUND(Table1[[#This Row],[discount_rate]]*100,0),"00")</f>
        <v>N00</v>
      </c>
      <c r="AM297" t="str" cm="1">
        <f t="array" ref="AM297">TEXT(SUMPRODUCT(CODE(MID(Table1[[#This Row],[home_gym_location]],_xlfn.SEQUENCE(LEN(Table1[[#This Row],[home_gym_location]])),1))),"00000")</f>
        <v>01450</v>
      </c>
      <c r="AN29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97" t="str">
        <f>LEFT(_xlfn.TEXTBEFORE(Table1[[#This Row],[Location Identifier]],"-"),3) &amp; "-" &amp; _xlfn.TEXTAFTER(Table1[[#This Row],[Location Identifier]],"-")</f>
        <v>SAN-009</v>
      </c>
      <c r="AP297" s="9">
        <f t="shared" ca="1" si="40"/>
        <v>45869</v>
      </c>
    </row>
    <row r="298" spans="1:42" x14ac:dyDescent="0.25">
      <c r="A298">
        <v>41</v>
      </c>
      <c r="B298" t="s">
        <v>42</v>
      </c>
      <c r="C298">
        <v>4</v>
      </c>
      <c r="D298" t="s">
        <v>144</v>
      </c>
      <c r="E298" t="b">
        <v>0</v>
      </c>
      <c r="F298" s="1">
        <v>0.71388888888888891</v>
      </c>
      <c r="G298" s="1">
        <v>0.76111111111111107</v>
      </c>
      <c r="H298">
        <v>68</v>
      </c>
      <c r="I298" t="b">
        <v>1</v>
      </c>
      <c r="J298" t="b">
        <v>1</v>
      </c>
      <c r="K298" t="b">
        <v>0</v>
      </c>
      <c r="L298" t="s">
        <v>62</v>
      </c>
      <c r="M298">
        <v>20</v>
      </c>
      <c r="N298" t="s">
        <v>78</v>
      </c>
      <c r="O298">
        <v>18</v>
      </c>
      <c r="P298" t="s">
        <v>36</v>
      </c>
      <c r="Q298">
        <v>0</v>
      </c>
      <c r="R298">
        <v>18</v>
      </c>
      <c r="S298" t="s">
        <v>44</v>
      </c>
      <c r="T298" t="s">
        <v>65</v>
      </c>
      <c r="U298">
        <v>33.770099999999999</v>
      </c>
      <c r="V298">
        <v>-118.19370000000001</v>
      </c>
      <c r="W298" s="2">
        <v>45010</v>
      </c>
      <c r="X298">
        <v>8</v>
      </c>
      <c r="Y298" t="b">
        <v>1</v>
      </c>
      <c r="Z298" s="2">
        <v>45814</v>
      </c>
      <c r="AA298" t="str">
        <f t="shared" si="41"/>
        <v>40–49</v>
      </c>
      <c r="AB298" t="str">
        <f t="shared" si="42"/>
        <v>40–49</v>
      </c>
      <c r="AC298" t="str">
        <f t="shared" si="43"/>
        <v>Monday</v>
      </c>
      <c r="AD298" t="str">
        <f t="shared" si="44"/>
        <v/>
      </c>
      <c r="AE298" t="str">
        <f t="shared" si="45"/>
        <v>Wednesday</v>
      </c>
      <c r="AF298" t="str">
        <f t="shared" si="46"/>
        <v>Thursday</v>
      </c>
      <c r="AG298" t="str">
        <f t="shared" si="47"/>
        <v>Friday</v>
      </c>
      <c r="AH298" t="str">
        <f t="shared" si="48"/>
        <v/>
      </c>
      <c r="AI298" t="str">
        <f t="shared" si="49"/>
        <v/>
      </c>
      <c r="AJ298" t="str">
        <f>LEFT(Table1[[#This Row],[membership_type]],2)&amp;TEXT(Table1[[#This Row],[age]],"00")&amp;"-"&amp;TEXT(ROW(),"000")</f>
        <v>Ba41-298</v>
      </c>
      <c r="AK298" t="str">
        <f>LEFT(Table1[[#This Row],[membership_type]],1)&amp;TEXT(MATCH(Table1[[#This Row],[membership_type]],Table1[membership_type],0),"00")</f>
        <v>B04</v>
      </c>
      <c r="AL298" t="str">
        <f>LEFT(Table1[[#This Row],[discount_type]],1)&amp;TEXT(ROUND(Table1[[#This Row],[discount_rate]]*100,0),"00")</f>
        <v>N00</v>
      </c>
      <c r="AM298" t="str" cm="1">
        <f t="array" ref="AM298">TEXT(SUMPRODUCT(CODE(MID(Table1[[#This Row],[home_gym_location]],_xlfn.SEQUENCE(LEN(Table1[[#This Row],[home_gym_location]])),1))),"00000")</f>
        <v>01107</v>
      </c>
      <c r="AN29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298" t="str">
        <f>LEFT(_xlfn.TEXTBEFORE(Table1[[#This Row],[Location Identifier]],"-"),3) &amp; "-" &amp; _xlfn.TEXTAFTER(Table1[[#This Row],[Location Identifier]],"-")</f>
        <v>LON-004</v>
      </c>
      <c r="AP298" s="9">
        <f t="shared" ca="1" si="40"/>
        <v>45869</v>
      </c>
    </row>
    <row r="299" spans="1:42" x14ac:dyDescent="0.25">
      <c r="A299">
        <v>48</v>
      </c>
      <c r="B299" t="s">
        <v>26</v>
      </c>
      <c r="C299">
        <v>2</v>
      </c>
      <c r="D299" t="s">
        <v>126</v>
      </c>
      <c r="E299" t="b">
        <v>0</v>
      </c>
      <c r="F299" s="1">
        <v>0.41458333333333336</v>
      </c>
      <c r="G299" s="1">
        <v>0.52430555555555558</v>
      </c>
      <c r="H299">
        <v>158</v>
      </c>
      <c r="I299" t="b">
        <v>0</v>
      </c>
      <c r="J299" t="b">
        <v>1</v>
      </c>
      <c r="K299" t="b">
        <v>1</v>
      </c>
      <c r="L299" t="s">
        <v>28</v>
      </c>
      <c r="M299">
        <v>50</v>
      </c>
      <c r="N299" t="s">
        <v>64</v>
      </c>
      <c r="O299">
        <v>37.5</v>
      </c>
      <c r="P299" t="s">
        <v>74</v>
      </c>
      <c r="Q299">
        <v>0.15</v>
      </c>
      <c r="R299">
        <v>31.875</v>
      </c>
      <c r="S299" t="s">
        <v>31</v>
      </c>
      <c r="T299" t="s">
        <v>59</v>
      </c>
      <c r="U299">
        <v>37.774900000000002</v>
      </c>
      <c r="V299">
        <v>-122.4194</v>
      </c>
      <c r="W299" s="2">
        <v>45601</v>
      </c>
      <c r="X299">
        <v>4</v>
      </c>
      <c r="Y299" t="b">
        <v>1</v>
      </c>
      <c r="Z299" s="2">
        <v>45848</v>
      </c>
      <c r="AA299" t="str">
        <f t="shared" si="41"/>
        <v>40–49</v>
      </c>
      <c r="AB299" t="str">
        <f t="shared" si="42"/>
        <v>40–49</v>
      </c>
      <c r="AC299" t="str">
        <f t="shared" si="43"/>
        <v/>
      </c>
      <c r="AD299" t="str">
        <f t="shared" si="44"/>
        <v>Tuesday</v>
      </c>
      <c r="AE299" t="str">
        <f t="shared" si="45"/>
        <v>Wednesday</v>
      </c>
      <c r="AF299" t="str">
        <f t="shared" si="46"/>
        <v/>
      </c>
      <c r="AG299" t="str">
        <f t="shared" si="47"/>
        <v/>
      </c>
      <c r="AH299" t="str">
        <f t="shared" si="48"/>
        <v/>
      </c>
      <c r="AI299" t="str">
        <f t="shared" si="49"/>
        <v/>
      </c>
      <c r="AJ299" t="str">
        <f>LEFT(Table1[[#This Row],[membership_type]],2)&amp;TEXT(Table1[[#This Row],[age]],"00")&amp;"-"&amp;TEXT(ROW(),"000")</f>
        <v>Pr48-299</v>
      </c>
      <c r="AK299" t="str">
        <f>LEFT(Table1[[#This Row],[membership_type]],1)&amp;TEXT(MATCH(Table1[[#This Row],[membership_type]],Table1[membership_type],0),"00")</f>
        <v>P01</v>
      </c>
      <c r="AL299" t="str">
        <f>LEFT(Table1[[#This Row],[discount_type]],1)&amp;TEXT(ROUND(Table1[[#This Row],[discount_rate]]*100,0),"00")</f>
        <v>S15</v>
      </c>
      <c r="AM299" t="str" cm="1">
        <f t="array" ref="AM299">TEXT(SUMPRODUCT(CODE(MID(Table1[[#This Row],[home_gym_location]],_xlfn.SEQUENCE(LEN(Table1[[#This Row],[home_gym_location]])),1))),"00000")</f>
        <v>01450</v>
      </c>
      <c r="AN29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299" t="str">
        <f>LEFT(_xlfn.TEXTBEFORE(Table1[[#This Row],[Location Identifier]],"-"),3) &amp; "-" &amp; _xlfn.TEXTAFTER(Table1[[#This Row],[Location Identifier]],"-")</f>
        <v>SAN-009</v>
      </c>
      <c r="AP299" s="9">
        <f t="shared" ca="1" si="40"/>
        <v>45869</v>
      </c>
    </row>
    <row r="300" spans="1:42" x14ac:dyDescent="0.25">
      <c r="A300">
        <v>49</v>
      </c>
      <c r="B300" t="s">
        <v>26</v>
      </c>
      <c r="C300">
        <v>2</v>
      </c>
      <c r="D300" t="s">
        <v>73</v>
      </c>
      <c r="E300" t="b">
        <v>1</v>
      </c>
      <c r="F300" s="1">
        <v>0.55555555555555558</v>
      </c>
      <c r="G300" s="1">
        <v>0.60138888888888886</v>
      </c>
      <c r="H300">
        <v>66</v>
      </c>
      <c r="I300" t="b">
        <v>0</v>
      </c>
      <c r="J300" t="b">
        <v>1</v>
      </c>
      <c r="K300" t="b">
        <v>1</v>
      </c>
      <c r="L300" t="s">
        <v>35</v>
      </c>
      <c r="M300">
        <v>50</v>
      </c>
      <c r="N300" t="s">
        <v>29</v>
      </c>
      <c r="O300">
        <v>50</v>
      </c>
      <c r="P300" t="s">
        <v>36</v>
      </c>
      <c r="Q300">
        <v>0</v>
      </c>
      <c r="R300">
        <v>50</v>
      </c>
      <c r="S300" t="s">
        <v>31</v>
      </c>
      <c r="T300" t="s">
        <v>48</v>
      </c>
      <c r="U300">
        <v>38.581600000000002</v>
      </c>
      <c r="V300">
        <v>-121.4944</v>
      </c>
      <c r="W300" s="2">
        <v>45167</v>
      </c>
      <c r="X300">
        <v>1</v>
      </c>
      <c r="Y300" t="b">
        <v>1</v>
      </c>
      <c r="Z300" s="2">
        <v>45823</v>
      </c>
      <c r="AA300" t="str">
        <f t="shared" si="41"/>
        <v>40–49</v>
      </c>
      <c r="AB300" t="str">
        <f t="shared" si="42"/>
        <v>40–49</v>
      </c>
      <c r="AC300" t="str">
        <f t="shared" si="43"/>
        <v/>
      </c>
      <c r="AD300" t="str">
        <f t="shared" si="44"/>
        <v>Tuesday</v>
      </c>
      <c r="AE300" t="str">
        <f t="shared" si="45"/>
        <v/>
      </c>
      <c r="AF300" t="str">
        <f t="shared" si="46"/>
        <v/>
      </c>
      <c r="AG300" t="str">
        <f t="shared" si="47"/>
        <v>Friday</v>
      </c>
      <c r="AH300" t="str">
        <f t="shared" si="48"/>
        <v/>
      </c>
      <c r="AI300" t="str">
        <f t="shared" si="49"/>
        <v/>
      </c>
      <c r="AJ300" t="str">
        <f>LEFT(Table1[[#This Row],[membership_type]],2)&amp;TEXT(Table1[[#This Row],[age]],"00")&amp;"-"&amp;TEXT(ROW(),"000")</f>
        <v>Pr49-300</v>
      </c>
      <c r="AK300" t="str">
        <f>LEFT(Table1[[#This Row],[membership_type]],1)&amp;TEXT(MATCH(Table1[[#This Row],[membership_type]],Table1[membership_type],0),"00")</f>
        <v>P01</v>
      </c>
      <c r="AL300" t="str">
        <f>LEFT(Table1[[#This Row],[discount_type]],1)&amp;TEXT(ROUND(Table1[[#This Row],[discount_rate]]*100,0),"00")</f>
        <v>N00</v>
      </c>
      <c r="AM300" t="str" cm="1">
        <f t="array" ref="AM300">TEXT(SUMPRODUCT(CODE(MID(Table1[[#This Row],[home_gym_location]],_xlfn.SEQUENCE(LEN(Table1[[#This Row],[home_gym_location]])),1))),"00000")</f>
        <v>01245</v>
      </c>
      <c r="AN30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00" t="str">
        <f>LEFT(_xlfn.TEXTBEFORE(Table1[[#This Row],[Location Identifier]],"-"),3) &amp; "-" &amp; _xlfn.TEXTAFTER(Table1[[#This Row],[Location Identifier]],"-")</f>
        <v>SAC-007</v>
      </c>
      <c r="AP300" s="9">
        <f t="shared" ca="1" si="40"/>
        <v>45869</v>
      </c>
    </row>
    <row r="301" spans="1:42" x14ac:dyDescent="0.25">
      <c r="A301">
        <v>39</v>
      </c>
      <c r="B301" t="s">
        <v>33</v>
      </c>
      <c r="C301">
        <v>3</v>
      </c>
      <c r="D301" t="s">
        <v>117</v>
      </c>
      <c r="E301" t="b">
        <v>0</v>
      </c>
      <c r="F301" s="1">
        <v>0.52500000000000002</v>
      </c>
      <c r="G301" s="1">
        <v>0.59652777777777777</v>
      </c>
      <c r="H301">
        <v>103</v>
      </c>
      <c r="I301" t="b">
        <v>0</v>
      </c>
      <c r="J301" t="b">
        <v>1</v>
      </c>
      <c r="K301" t="b">
        <v>0</v>
      </c>
      <c r="L301" t="s">
        <v>28</v>
      </c>
      <c r="M301">
        <v>30</v>
      </c>
      <c r="N301" t="s">
        <v>64</v>
      </c>
      <c r="O301">
        <v>22.5</v>
      </c>
      <c r="P301" t="s">
        <v>36</v>
      </c>
      <c r="Q301">
        <v>0</v>
      </c>
      <c r="R301">
        <v>22.5</v>
      </c>
      <c r="S301" t="s">
        <v>37</v>
      </c>
      <c r="T301" t="s">
        <v>48</v>
      </c>
      <c r="U301">
        <v>38.581600000000002</v>
      </c>
      <c r="V301">
        <v>-121.4944</v>
      </c>
      <c r="W301" s="2">
        <v>45740</v>
      </c>
      <c r="X301">
        <v>2</v>
      </c>
      <c r="Y301" t="b">
        <v>0</v>
      </c>
      <c r="Z301" s="2">
        <v>45855</v>
      </c>
      <c r="AA301" t="str">
        <f t="shared" si="41"/>
        <v>30–39</v>
      </c>
      <c r="AB301" t="str">
        <f t="shared" si="42"/>
        <v>30–39</v>
      </c>
      <c r="AC301" t="str">
        <f t="shared" si="43"/>
        <v/>
      </c>
      <c r="AD301" t="str">
        <f t="shared" si="44"/>
        <v/>
      </c>
      <c r="AE301" t="str">
        <f t="shared" si="45"/>
        <v>Wednesday</v>
      </c>
      <c r="AF301" t="str">
        <f t="shared" si="46"/>
        <v>Thursday</v>
      </c>
      <c r="AG301" t="str">
        <f t="shared" si="47"/>
        <v/>
      </c>
      <c r="AH301" t="str">
        <f t="shared" si="48"/>
        <v/>
      </c>
      <c r="AI301" t="str">
        <f t="shared" si="49"/>
        <v>Sunday</v>
      </c>
      <c r="AJ301" t="str">
        <f>LEFT(Table1[[#This Row],[membership_type]],2)&amp;TEXT(Table1[[#This Row],[age]],"00")&amp;"-"&amp;TEXT(ROW(),"000")</f>
        <v>St39-301</v>
      </c>
      <c r="AK301" t="str">
        <f>LEFT(Table1[[#This Row],[membership_type]],1)&amp;TEXT(MATCH(Table1[[#This Row],[membership_type]],Table1[membership_type],0),"00")</f>
        <v>S02</v>
      </c>
      <c r="AL301" t="str">
        <f>LEFT(Table1[[#This Row],[discount_type]],1)&amp;TEXT(ROUND(Table1[[#This Row],[discount_rate]]*100,0),"00")</f>
        <v>N00</v>
      </c>
      <c r="AM301" t="str" cm="1">
        <f t="array" ref="AM301">TEXT(SUMPRODUCT(CODE(MID(Table1[[#This Row],[home_gym_location]],_xlfn.SEQUENCE(LEN(Table1[[#This Row],[home_gym_location]])),1))),"00000")</f>
        <v>01245</v>
      </c>
      <c r="AN30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01" t="str">
        <f>LEFT(_xlfn.TEXTBEFORE(Table1[[#This Row],[Location Identifier]],"-"),3) &amp; "-" &amp; _xlfn.TEXTAFTER(Table1[[#This Row],[Location Identifier]],"-")</f>
        <v>SAC-007</v>
      </c>
      <c r="AP301" s="9">
        <f t="shared" ca="1" si="40"/>
        <v>45869</v>
      </c>
    </row>
    <row r="302" spans="1:42" x14ac:dyDescent="0.25">
      <c r="A302">
        <v>23</v>
      </c>
      <c r="B302" t="s">
        <v>26</v>
      </c>
      <c r="C302">
        <v>2</v>
      </c>
      <c r="D302" t="s">
        <v>126</v>
      </c>
      <c r="E302" t="b">
        <v>1</v>
      </c>
      <c r="F302" s="1">
        <v>0.73402777777777772</v>
      </c>
      <c r="G302" s="1">
        <v>0.83125000000000004</v>
      </c>
      <c r="H302">
        <v>140</v>
      </c>
      <c r="I302" t="b">
        <v>1</v>
      </c>
      <c r="J302" t="b">
        <v>1</v>
      </c>
      <c r="K302" t="b">
        <v>1</v>
      </c>
      <c r="L302" t="s">
        <v>58</v>
      </c>
      <c r="M302">
        <v>50</v>
      </c>
      <c r="N302" t="s">
        <v>64</v>
      </c>
      <c r="O302">
        <v>37.5</v>
      </c>
      <c r="P302" t="s">
        <v>30</v>
      </c>
      <c r="Q302">
        <v>0.05</v>
      </c>
      <c r="R302">
        <v>35.625</v>
      </c>
      <c r="S302" t="s">
        <v>31</v>
      </c>
      <c r="T302" t="s">
        <v>59</v>
      </c>
      <c r="U302">
        <v>37.774900000000002</v>
      </c>
      <c r="V302">
        <v>-122.4194</v>
      </c>
      <c r="W302" s="2">
        <v>45775</v>
      </c>
      <c r="X302">
        <v>4</v>
      </c>
      <c r="Y302" t="b">
        <v>1</v>
      </c>
      <c r="Z302" s="2">
        <v>45857</v>
      </c>
      <c r="AA302" t="str">
        <f t="shared" si="41"/>
        <v>20–29</v>
      </c>
      <c r="AB302" t="str">
        <f t="shared" si="42"/>
        <v>20–29</v>
      </c>
      <c r="AC302" t="str">
        <f t="shared" si="43"/>
        <v/>
      </c>
      <c r="AD302" t="str">
        <f t="shared" si="44"/>
        <v>Tuesday</v>
      </c>
      <c r="AE302" t="str">
        <f t="shared" si="45"/>
        <v>Wednesday</v>
      </c>
      <c r="AF302" t="str">
        <f t="shared" si="46"/>
        <v/>
      </c>
      <c r="AG302" t="str">
        <f t="shared" si="47"/>
        <v/>
      </c>
      <c r="AH302" t="str">
        <f t="shared" si="48"/>
        <v/>
      </c>
      <c r="AI302" t="str">
        <f t="shared" si="49"/>
        <v/>
      </c>
      <c r="AJ302" t="str">
        <f>LEFT(Table1[[#This Row],[membership_type]],2)&amp;TEXT(Table1[[#This Row],[age]],"00")&amp;"-"&amp;TEXT(ROW(),"000")</f>
        <v>Pr23-302</v>
      </c>
      <c r="AK302" t="str">
        <f>LEFT(Table1[[#This Row],[membership_type]],1)&amp;TEXT(MATCH(Table1[[#This Row],[membership_type]],Table1[membership_type],0),"00")</f>
        <v>P01</v>
      </c>
      <c r="AL302" t="str">
        <f>LEFT(Table1[[#This Row],[discount_type]],1)&amp;TEXT(ROUND(Table1[[#This Row],[discount_rate]]*100,0),"00")</f>
        <v>P05</v>
      </c>
      <c r="AM302" t="str" cm="1">
        <f t="array" ref="AM302">TEXT(SUMPRODUCT(CODE(MID(Table1[[#This Row],[home_gym_location]],_xlfn.SEQUENCE(LEN(Table1[[#This Row],[home_gym_location]])),1))),"00000")</f>
        <v>01450</v>
      </c>
      <c r="AN30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02" t="str">
        <f>LEFT(_xlfn.TEXTBEFORE(Table1[[#This Row],[Location Identifier]],"-"),3) &amp; "-" &amp; _xlfn.TEXTAFTER(Table1[[#This Row],[Location Identifier]],"-")</f>
        <v>SAN-009</v>
      </c>
      <c r="AP302" s="9">
        <f t="shared" ca="1" si="40"/>
        <v>45869</v>
      </c>
    </row>
    <row r="303" spans="1:42" x14ac:dyDescent="0.25">
      <c r="A303">
        <v>24</v>
      </c>
      <c r="B303" t="s">
        <v>33</v>
      </c>
      <c r="C303">
        <v>3</v>
      </c>
      <c r="D303" t="s">
        <v>80</v>
      </c>
      <c r="E303" t="b">
        <v>1</v>
      </c>
      <c r="F303" s="1">
        <v>0.87013888888888891</v>
      </c>
      <c r="G303" s="1">
        <v>0.8979166666666667</v>
      </c>
      <c r="H303">
        <v>40</v>
      </c>
      <c r="I303" t="b">
        <v>0</v>
      </c>
      <c r="J303" t="b">
        <v>0</v>
      </c>
      <c r="K303" t="b">
        <v>1</v>
      </c>
      <c r="L303" t="s">
        <v>62</v>
      </c>
      <c r="M303">
        <v>30</v>
      </c>
      <c r="N303" t="s">
        <v>29</v>
      </c>
      <c r="O303">
        <v>30</v>
      </c>
      <c r="P303" t="s">
        <v>36</v>
      </c>
      <c r="Q303">
        <v>0</v>
      </c>
      <c r="R303">
        <v>30</v>
      </c>
      <c r="S303" t="s">
        <v>37</v>
      </c>
      <c r="T303" t="s">
        <v>48</v>
      </c>
      <c r="U303">
        <v>38.581600000000002</v>
      </c>
      <c r="V303">
        <v>-121.4944</v>
      </c>
      <c r="W303" s="2">
        <v>45265</v>
      </c>
      <c r="X303">
        <v>0</v>
      </c>
      <c r="Y303" t="b">
        <v>1</v>
      </c>
      <c r="Z303" s="2">
        <v>45829</v>
      </c>
      <c r="AA303" t="str">
        <f t="shared" si="41"/>
        <v>20–29</v>
      </c>
      <c r="AB303" t="str">
        <f t="shared" si="42"/>
        <v>20–29</v>
      </c>
      <c r="AC303" t="str">
        <f t="shared" si="43"/>
        <v>Monday</v>
      </c>
      <c r="AD303" t="str">
        <f t="shared" si="44"/>
        <v/>
      </c>
      <c r="AE303" t="str">
        <f t="shared" si="45"/>
        <v/>
      </c>
      <c r="AF303" t="str">
        <f t="shared" si="46"/>
        <v/>
      </c>
      <c r="AG303" t="str">
        <f t="shared" si="47"/>
        <v/>
      </c>
      <c r="AH303" t="str">
        <f t="shared" si="48"/>
        <v>Saturday</v>
      </c>
      <c r="AI303" t="str">
        <f t="shared" si="49"/>
        <v>Sunday</v>
      </c>
      <c r="AJ303" t="str">
        <f>LEFT(Table1[[#This Row],[membership_type]],2)&amp;TEXT(Table1[[#This Row],[age]],"00")&amp;"-"&amp;TEXT(ROW(),"000")</f>
        <v>St24-303</v>
      </c>
      <c r="AK303" t="str">
        <f>LEFT(Table1[[#This Row],[membership_type]],1)&amp;TEXT(MATCH(Table1[[#This Row],[membership_type]],Table1[membership_type],0),"00")</f>
        <v>S02</v>
      </c>
      <c r="AL303" t="str">
        <f>LEFT(Table1[[#This Row],[discount_type]],1)&amp;TEXT(ROUND(Table1[[#This Row],[discount_rate]]*100,0),"00")</f>
        <v>N00</v>
      </c>
      <c r="AM303" t="str" cm="1">
        <f t="array" ref="AM303">TEXT(SUMPRODUCT(CODE(MID(Table1[[#This Row],[home_gym_location]],_xlfn.SEQUENCE(LEN(Table1[[#This Row],[home_gym_location]])),1))),"00000")</f>
        <v>01245</v>
      </c>
      <c r="AN30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03" t="str">
        <f>LEFT(_xlfn.TEXTBEFORE(Table1[[#This Row],[Location Identifier]],"-"),3) &amp; "-" &amp; _xlfn.TEXTAFTER(Table1[[#This Row],[Location Identifier]],"-")</f>
        <v>SAC-007</v>
      </c>
      <c r="AP303" s="9">
        <f t="shared" ca="1" si="40"/>
        <v>45869</v>
      </c>
    </row>
    <row r="304" spans="1:42" x14ac:dyDescent="0.25">
      <c r="A304">
        <v>19</v>
      </c>
      <c r="B304" t="s">
        <v>26</v>
      </c>
      <c r="C304">
        <v>3</v>
      </c>
      <c r="D304" t="s">
        <v>142</v>
      </c>
      <c r="E304" t="b">
        <v>0</v>
      </c>
      <c r="F304" s="1">
        <v>0.6069444444444444</v>
      </c>
      <c r="G304" s="1">
        <v>0.64861111111111114</v>
      </c>
      <c r="H304">
        <v>60</v>
      </c>
      <c r="I304" t="b">
        <v>1</v>
      </c>
      <c r="J304" t="b">
        <v>0</v>
      </c>
      <c r="K304" t="b">
        <v>1</v>
      </c>
      <c r="L304" t="s">
        <v>58</v>
      </c>
      <c r="M304">
        <v>50</v>
      </c>
      <c r="N304" t="s">
        <v>29</v>
      </c>
      <c r="O304">
        <v>50</v>
      </c>
      <c r="P304" t="s">
        <v>74</v>
      </c>
      <c r="Q304">
        <v>0.15</v>
      </c>
      <c r="R304">
        <v>42.5</v>
      </c>
      <c r="S304" t="s">
        <v>31</v>
      </c>
      <c r="T304" t="s">
        <v>59</v>
      </c>
      <c r="U304">
        <v>37.774900000000002</v>
      </c>
      <c r="V304">
        <v>-122.4194</v>
      </c>
      <c r="W304" s="2">
        <v>45255</v>
      </c>
      <c r="X304">
        <v>0</v>
      </c>
      <c r="Y304" t="b">
        <v>1</v>
      </c>
      <c r="Z304" s="2">
        <v>45828</v>
      </c>
      <c r="AA304" t="str">
        <f t="shared" si="41"/>
        <v>10–19</v>
      </c>
      <c r="AB304" t="str">
        <f t="shared" si="42"/>
        <v>16–19</v>
      </c>
      <c r="AC304" t="str">
        <f t="shared" si="43"/>
        <v>Monday</v>
      </c>
      <c r="AD304" t="str">
        <f t="shared" si="44"/>
        <v/>
      </c>
      <c r="AE304" t="str">
        <f t="shared" si="45"/>
        <v>Wednesday</v>
      </c>
      <c r="AF304" t="str">
        <f t="shared" si="46"/>
        <v/>
      </c>
      <c r="AG304" t="str">
        <f t="shared" si="47"/>
        <v/>
      </c>
      <c r="AH304" t="str">
        <f t="shared" si="48"/>
        <v/>
      </c>
      <c r="AI304" t="str">
        <f t="shared" si="49"/>
        <v>Sunday</v>
      </c>
      <c r="AJ304" t="str">
        <f>LEFT(Table1[[#This Row],[membership_type]],2)&amp;TEXT(Table1[[#This Row],[age]],"00")&amp;"-"&amp;TEXT(ROW(),"000")</f>
        <v>Pr19-304</v>
      </c>
      <c r="AK304" t="str">
        <f>LEFT(Table1[[#This Row],[membership_type]],1)&amp;TEXT(MATCH(Table1[[#This Row],[membership_type]],Table1[membership_type],0),"00")</f>
        <v>P01</v>
      </c>
      <c r="AL304" t="str">
        <f>LEFT(Table1[[#This Row],[discount_type]],1)&amp;TEXT(ROUND(Table1[[#This Row],[discount_rate]]*100,0),"00")</f>
        <v>S15</v>
      </c>
      <c r="AM304" t="str" cm="1">
        <f t="array" ref="AM304">TEXT(SUMPRODUCT(CODE(MID(Table1[[#This Row],[home_gym_location]],_xlfn.SEQUENCE(LEN(Table1[[#This Row],[home_gym_location]])),1))),"00000")</f>
        <v>01450</v>
      </c>
      <c r="AN30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04" t="str">
        <f>LEFT(_xlfn.TEXTBEFORE(Table1[[#This Row],[Location Identifier]],"-"),3) &amp; "-" &amp; _xlfn.TEXTAFTER(Table1[[#This Row],[Location Identifier]],"-")</f>
        <v>SAN-009</v>
      </c>
      <c r="AP304" s="9">
        <f t="shared" ca="1" si="40"/>
        <v>45869</v>
      </c>
    </row>
    <row r="305" spans="1:42" x14ac:dyDescent="0.25">
      <c r="A305">
        <v>48</v>
      </c>
      <c r="B305" t="s">
        <v>26</v>
      </c>
      <c r="C305">
        <v>3</v>
      </c>
      <c r="D305" t="s">
        <v>89</v>
      </c>
      <c r="E305" t="b">
        <v>0</v>
      </c>
      <c r="F305" s="1">
        <v>0.82222222222222219</v>
      </c>
      <c r="G305" s="1">
        <v>0.86875000000000002</v>
      </c>
      <c r="H305">
        <v>67</v>
      </c>
      <c r="I305" t="b">
        <v>1</v>
      </c>
      <c r="J305" t="b">
        <v>0</v>
      </c>
      <c r="K305" t="b">
        <v>0</v>
      </c>
      <c r="L305" t="s">
        <v>62</v>
      </c>
      <c r="M305">
        <v>50</v>
      </c>
      <c r="N305" t="s">
        <v>29</v>
      </c>
      <c r="O305">
        <v>50</v>
      </c>
      <c r="P305" t="s">
        <v>40</v>
      </c>
      <c r="Q305">
        <v>0.1</v>
      </c>
      <c r="R305">
        <v>45</v>
      </c>
      <c r="S305" t="s">
        <v>31</v>
      </c>
      <c r="T305" t="s">
        <v>41</v>
      </c>
      <c r="U305">
        <v>37.804400000000001</v>
      </c>
      <c r="V305">
        <v>-122.27119999999999</v>
      </c>
      <c r="W305" s="2">
        <v>45152</v>
      </c>
      <c r="X305">
        <v>0</v>
      </c>
      <c r="Y305" t="b">
        <v>0</v>
      </c>
      <c r="Z305" s="2">
        <v>45822</v>
      </c>
      <c r="AA305" t="str">
        <f t="shared" si="41"/>
        <v>40–49</v>
      </c>
      <c r="AB305" t="str">
        <f t="shared" si="42"/>
        <v>40–49</v>
      </c>
      <c r="AC305" t="str">
        <f t="shared" si="43"/>
        <v>Monday</v>
      </c>
      <c r="AD305" t="str">
        <f t="shared" si="44"/>
        <v>Tuesday</v>
      </c>
      <c r="AE305" t="str">
        <f t="shared" si="45"/>
        <v/>
      </c>
      <c r="AF305" t="str">
        <f t="shared" si="46"/>
        <v/>
      </c>
      <c r="AG305" t="str">
        <f t="shared" si="47"/>
        <v/>
      </c>
      <c r="AH305" t="str">
        <f t="shared" si="48"/>
        <v>Saturday</v>
      </c>
      <c r="AI305" t="str">
        <f t="shared" si="49"/>
        <v/>
      </c>
      <c r="AJ305" t="str">
        <f>LEFT(Table1[[#This Row],[membership_type]],2)&amp;TEXT(Table1[[#This Row],[age]],"00")&amp;"-"&amp;TEXT(ROW(),"000")</f>
        <v>Pr48-305</v>
      </c>
      <c r="AK305" t="str">
        <f>LEFT(Table1[[#This Row],[membership_type]],1)&amp;TEXT(MATCH(Table1[[#This Row],[membership_type]],Table1[membership_type],0),"00")</f>
        <v>P01</v>
      </c>
      <c r="AL305" t="str">
        <f>LEFT(Table1[[#This Row],[discount_type]],1)&amp;TEXT(ROUND(Table1[[#This Row],[discount_rate]]*100,0),"00")</f>
        <v>L10</v>
      </c>
      <c r="AM305" t="str" cm="1">
        <f t="array" ref="AM305">TEXT(SUMPRODUCT(CODE(MID(Table1[[#This Row],[home_gym_location]],_xlfn.SEQUENCE(LEN(Table1[[#This Row],[home_gym_location]])),1))),"00000")</f>
        <v>00906</v>
      </c>
      <c r="AN305" t="str">
        <f>UPPER(_xlfn.TEXTBEFORE(Table1[[#This Row],[home_gym_location]],","))&amp;"-"&amp;TEXT(MATCH(Table1[[#This Row],[home_gym_location]],_xlfn._xlws.SORT(_xlfn.UNIQUE(Table1[home_gym_location])),0),"000")</f>
        <v>OAKLAND-006</v>
      </c>
      <c r="AO305" t="str">
        <f>LEFT(_xlfn.TEXTBEFORE(Table1[[#This Row],[Location Identifier]],"-"),3) &amp; "-" &amp; _xlfn.TEXTAFTER(Table1[[#This Row],[Location Identifier]],"-")</f>
        <v>OAK-006</v>
      </c>
      <c r="AP305" s="9">
        <f t="shared" ca="1" si="40"/>
        <v>45869</v>
      </c>
    </row>
    <row r="306" spans="1:42" x14ac:dyDescent="0.25">
      <c r="A306">
        <v>32</v>
      </c>
      <c r="B306" t="s">
        <v>33</v>
      </c>
      <c r="C306">
        <v>5</v>
      </c>
      <c r="D306" t="s">
        <v>145</v>
      </c>
      <c r="E306" t="b">
        <v>1</v>
      </c>
      <c r="F306" s="1">
        <v>0.4284722222222222</v>
      </c>
      <c r="G306" s="1">
        <v>0.54513888888888884</v>
      </c>
      <c r="H306">
        <v>168</v>
      </c>
      <c r="I306" t="b">
        <v>1</v>
      </c>
      <c r="J306" t="b">
        <v>0</v>
      </c>
      <c r="K306" t="b">
        <v>0</v>
      </c>
      <c r="L306" t="s">
        <v>62</v>
      </c>
      <c r="M306">
        <v>30</v>
      </c>
      <c r="N306" t="s">
        <v>78</v>
      </c>
      <c r="O306">
        <v>27</v>
      </c>
      <c r="P306" t="s">
        <v>36</v>
      </c>
      <c r="Q306">
        <v>0</v>
      </c>
      <c r="R306">
        <v>27</v>
      </c>
      <c r="S306" t="s">
        <v>37</v>
      </c>
      <c r="T306" t="s">
        <v>48</v>
      </c>
      <c r="U306">
        <v>38.581600000000002</v>
      </c>
      <c r="V306">
        <v>-121.4944</v>
      </c>
      <c r="W306" s="2">
        <v>45057</v>
      </c>
      <c r="X306">
        <v>0</v>
      </c>
      <c r="Y306" t="b">
        <v>1</v>
      </c>
      <c r="Z306" s="2">
        <v>45817</v>
      </c>
      <c r="AA306" t="str">
        <f t="shared" si="41"/>
        <v>30–39</v>
      </c>
      <c r="AB306" t="str">
        <f t="shared" si="42"/>
        <v>30–39</v>
      </c>
      <c r="AC306" t="str">
        <f t="shared" si="43"/>
        <v>Monday</v>
      </c>
      <c r="AD306" t="str">
        <f t="shared" si="44"/>
        <v>Tuesday</v>
      </c>
      <c r="AE306" t="str">
        <f t="shared" si="45"/>
        <v>Wednesday</v>
      </c>
      <c r="AF306" t="str">
        <f t="shared" si="46"/>
        <v>Thursday</v>
      </c>
      <c r="AG306" t="str">
        <f t="shared" si="47"/>
        <v>Friday</v>
      </c>
      <c r="AH306" t="str">
        <f t="shared" si="48"/>
        <v/>
      </c>
      <c r="AI306" t="str">
        <f t="shared" si="49"/>
        <v/>
      </c>
      <c r="AJ306" t="str">
        <f>LEFT(Table1[[#This Row],[membership_type]],2)&amp;TEXT(Table1[[#This Row],[age]],"00")&amp;"-"&amp;TEXT(ROW(),"000")</f>
        <v>St32-306</v>
      </c>
      <c r="AK306" t="str">
        <f>LEFT(Table1[[#This Row],[membership_type]],1)&amp;TEXT(MATCH(Table1[[#This Row],[membership_type]],Table1[membership_type],0),"00")</f>
        <v>S02</v>
      </c>
      <c r="AL306" t="str">
        <f>LEFT(Table1[[#This Row],[discount_type]],1)&amp;TEXT(ROUND(Table1[[#This Row],[discount_rate]]*100,0),"00")</f>
        <v>N00</v>
      </c>
      <c r="AM306" t="str" cm="1">
        <f t="array" ref="AM306">TEXT(SUMPRODUCT(CODE(MID(Table1[[#This Row],[home_gym_location]],_xlfn.SEQUENCE(LEN(Table1[[#This Row],[home_gym_location]])),1))),"00000")</f>
        <v>01245</v>
      </c>
      <c r="AN30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06" t="str">
        <f>LEFT(_xlfn.TEXTBEFORE(Table1[[#This Row],[Location Identifier]],"-"),3) &amp; "-" &amp; _xlfn.TEXTAFTER(Table1[[#This Row],[Location Identifier]],"-")</f>
        <v>SAC-007</v>
      </c>
      <c r="AP306" s="9">
        <f t="shared" ca="1" si="40"/>
        <v>45869</v>
      </c>
    </row>
    <row r="307" spans="1:42" x14ac:dyDescent="0.25">
      <c r="A307">
        <v>48</v>
      </c>
      <c r="B307" t="s">
        <v>33</v>
      </c>
      <c r="C307">
        <v>2</v>
      </c>
      <c r="D307" t="s">
        <v>73</v>
      </c>
      <c r="E307" t="b">
        <v>1</v>
      </c>
      <c r="F307" s="1">
        <v>0.49027777777777776</v>
      </c>
      <c r="G307" s="1">
        <v>0.55347222222222225</v>
      </c>
      <c r="H307">
        <v>91</v>
      </c>
      <c r="I307" t="b">
        <v>1</v>
      </c>
      <c r="J307" t="b">
        <v>0</v>
      </c>
      <c r="K307" t="b">
        <v>1</v>
      </c>
      <c r="L307" t="s">
        <v>28</v>
      </c>
      <c r="M307">
        <v>30</v>
      </c>
      <c r="N307" t="s">
        <v>29</v>
      </c>
      <c r="O307">
        <v>30</v>
      </c>
      <c r="P307" t="s">
        <v>30</v>
      </c>
      <c r="Q307">
        <v>0.05</v>
      </c>
      <c r="R307">
        <v>28.5</v>
      </c>
      <c r="S307" t="s">
        <v>37</v>
      </c>
      <c r="T307" t="s">
        <v>59</v>
      </c>
      <c r="U307">
        <v>37.774900000000002</v>
      </c>
      <c r="V307">
        <v>-122.4194</v>
      </c>
      <c r="W307" s="2">
        <v>44791</v>
      </c>
      <c r="X307">
        <v>0</v>
      </c>
      <c r="Y307" t="b">
        <v>0</v>
      </c>
      <c r="Z307" s="2">
        <v>45802</v>
      </c>
      <c r="AA307" t="str">
        <f t="shared" si="41"/>
        <v>40–49</v>
      </c>
      <c r="AB307" t="str">
        <f t="shared" si="42"/>
        <v>40–49</v>
      </c>
      <c r="AC307" t="str">
        <f t="shared" si="43"/>
        <v/>
      </c>
      <c r="AD307" t="str">
        <f t="shared" si="44"/>
        <v>Tuesday</v>
      </c>
      <c r="AE307" t="str">
        <f t="shared" si="45"/>
        <v/>
      </c>
      <c r="AF307" t="str">
        <f t="shared" si="46"/>
        <v/>
      </c>
      <c r="AG307" t="str">
        <f t="shared" si="47"/>
        <v>Friday</v>
      </c>
      <c r="AH307" t="str">
        <f t="shared" si="48"/>
        <v/>
      </c>
      <c r="AI307" t="str">
        <f t="shared" si="49"/>
        <v/>
      </c>
      <c r="AJ307" t="str">
        <f>LEFT(Table1[[#This Row],[membership_type]],2)&amp;TEXT(Table1[[#This Row],[age]],"00")&amp;"-"&amp;TEXT(ROW(),"000")</f>
        <v>St48-307</v>
      </c>
      <c r="AK307" t="str">
        <f>LEFT(Table1[[#This Row],[membership_type]],1)&amp;TEXT(MATCH(Table1[[#This Row],[membership_type]],Table1[membership_type],0),"00")</f>
        <v>S02</v>
      </c>
      <c r="AL307" t="str">
        <f>LEFT(Table1[[#This Row],[discount_type]],1)&amp;TEXT(ROUND(Table1[[#This Row],[discount_rate]]*100,0),"00")</f>
        <v>P05</v>
      </c>
      <c r="AM307" t="str" cm="1">
        <f t="array" ref="AM307">TEXT(SUMPRODUCT(CODE(MID(Table1[[#This Row],[home_gym_location]],_xlfn.SEQUENCE(LEN(Table1[[#This Row],[home_gym_location]])),1))),"00000")</f>
        <v>01450</v>
      </c>
      <c r="AN30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07" t="str">
        <f>LEFT(_xlfn.TEXTBEFORE(Table1[[#This Row],[Location Identifier]],"-"),3) &amp; "-" &amp; _xlfn.TEXTAFTER(Table1[[#This Row],[Location Identifier]],"-")</f>
        <v>SAN-009</v>
      </c>
      <c r="AP307" s="9">
        <f t="shared" ca="1" si="40"/>
        <v>45869</v>
      </c>
    </row>
    <row r="308" spans="1:42" x14ac:dyDescent="0.25">
      <c r="A308">
        <v>35</v>
      </c>
      <c r="B308" t="s">
        <v>33</v>
      </c>
      <c r="C308">
        <v>5</v>
      </c>
      <c r="D308" t="s">
        <v>34</v>
      </c>
      <c r="E308" t="b">
        <v>1</v>
      </c>
      <c r="F308" s="1">
        <v>0.65625</v>
      </c>
      <c r="G308" s="1">
        <v>0.77986111111111112</v>
      </c>
      <c r="H308">
        <v>178</v>
      </c>
      <c r="I308" t="b">
        <v>0</v>
      </c>
      <c r="J308" t="b">
        <v>0</v>
      </c>
      <c r="K308" t="b">
        <v>0</v>
      </c>
      <c r="L308" t="s">
        <v>35</v>
      </c>
      <c r="M308">
        <v>30</v>
      </c>
      <c r="N308" t="s">
        <v>29</v>
      </c>
      <c r="O308">
        <v>30</v>
      </c>
      <c r="P308" t="s">
        <v>36</v>
      </c>
      <c r="Q308">
        <v>0</v>
      </c>
      <c r="R308">
        <v>30</v>
      </c>
      <c r="S308" t="s">
        <v>37</v>
      </c>
      <c r="T308" t="s">
        <v>38</v>
      </c>
      <c r="U308">
        <v>36.7378</v>
      </c>
      <c r="V308">
        <v>-119.7871</v>
      </c>
      <c r="W308" s="2">
        <v>45281</v>
      </c>
      <c r="X308">
        <v>0</v>
      </c>
      <c r="Y308" t="b">
        <v>1</v>
      </c>
      <c r="Z308" s="2">
        <v>45830</v>
      </c>
      <c r="AA308" t="str">
        <f t="shared" si="41"/>
        <v>30–39</v>
      </c>
      <c r="AB308" t="str">
        <f t="shared" si="42"/>
        <v>30–39</v>
      </c>
      <c r="AC308" t="str">
        <f t="shared" si="43"/>
        <v/>
      </c>
      <c r="AD308" t="str">
        <f t="shared" si="44"/>
        <v>Tuesday</v>
      </c>
      <c r="AE308" t="str">
        <f t="shared" si="45"/>
        <v>Wednesday</v>
      </c>
      <c r="AF308" t="str">
        <f t="shared" si="46"/>
        <v>Thursday</v>
      </c>
      <c r="AG308" t="str">
        <f t="shared" si="47"/>
        <v>Friday</v>
      </c>
      <c r="AH308" t="str">
        <f t="shared" si="48"/>
        <v>Saturday</v>
      </c>
      <c r="AI308" t="str">
        <f t="shared" si="49"/>
        <v/>
      </c>
      <c r="AJ308" t="str">
        <f>LEFT(Table1[[#This Row],[membership_type]],2)&amp;TEXT(Table1[[#This Row],[age]],"00")&amp;"-"&amp;TEXT(ROW(),"000")</f>
        <v>St35-308</v>
      </c>
      <c r="AK308" t="str">
        <f>LEFT(Table1[[#This Row],[membership_type]],1)&amp;TEXT(MATCH(Table1[[#This Row],[membership_type]],Table1[membership_type],0),"00")</f>
        <v>S02</v>
      </c>
      <c r="AL308" t="str">
        <f>LEFT(Table1[[#This Row],[discount_type]],1)&amp;TEXT(ROUND(Table1[[#This Row],[discount_rate]]*100,0),"00")</f>
        <v>N00</v>
      </c>
      <c r="AM308" t="str" cm="1">
        <f t="array" ref="AM308">TEXT(SUMPRODUCT(CODE(MID(Table1[[#This Row],[home_gym_location]],_xlfn.SEQUENCE(LEN(Table1[[#This Row],[home_gym_location]])),1))),"00000")</f>
        <v>00829</v>
      </c>
      <c r="AN308" t="str">
        <f>UPPER(_xlfn.TEXTBEFORE(Table1[[#This Row],[home_gym_location]],","))&amp;"-"&amp;TEXT(MATCH(Table1[[#This Row],[home_gym_location]],_xlfn._xlws.SORT(_xlfn.UNIQUE(Table1[home_gym_location])),0),"000")</f>
        <v>FRESNO-003</v>
      </c>
      <c r="AO308" t="str">
        <f>LEFT(_xlfn.TEXTBEFORE(Table1[[#This Row],[Location Identifier]],"-"),3) &amp; "-" &amp; _xlfn.TEXTAFTER(Table1[[#This Row],[Location Identifier]],"-")</f>
        <v>FRE-003</v>
      </c>
      <c r="AP308" s="9">
        <f t="shared" ca="1" si="40"/>
        <v>45869</v>
      </c>
    </row>
    <row r="309" spans="1:42" x14ac:dyDescent="0.25">
      <c r="A309">
        <v>47</v>
      </c>
      <c r="B309" t="s">
        <v>26</v>
      </c>
      <c r="C309">
        <v>3</v>
      </c>
      <c r="D309" t="s">
        <v>86</v>
      </c>
      <c r="E309" t="b">
        <v>1</v>
      </c>
      <c r="F309" s="1">
        <v>0.53541666666666665</v>
      </c>
      <c r="G309" s="1">
        <v>0.60902777777777772</v>
      </c>
      <c r="H309">
        <v>106</v>
      </c>
      <c r="I309" t="b">
        <v>0</v>
      </c>
      <c r="J309" t="b">
        <v>1</v>
      </c>
      <c r="K309" t="b">
        <v>1</v>
      </c>
      <c r="L309" t="s">
        <v>35</v>
      </c>
      <c r="M309">
        <v>50</v>
      </c>
      <c r="N309" t="s">
        <v>29</v>
      </c>
      <c r="O309">
        <v>50</v>
      </c>
      <c r="P309" t="s">
        <v>40</v>
      </c>
      <c r="Q309">
        <v>0.1</v>
      </c>
      <c r="R309">
        <v>45</v>
      </c>
      <c r="S309" t="s">
        <v>31</v>
      </c>
      <c r="T309" t="s">
        <v>41</v>
      </c>
      <c r="U309">
        <v>37.804400000000001</v>
      </c>
      <c r="V309">
        <v>-122.27119999999999</v>
      </c>
      <c r="W309" s="2">
        <v>45487</v>
      </c>
      <c r="X309">
        <v>3</v>
      </c>
      <c r="Y309" t="b">
        <v>1</v>
      </c>
      <c r="Z309" s="2">
        <v>45841</v>
      </c>
      <c r="AA309" t="str">
        <f t="shared" si="41"/>
        <v>40–49</v>
      </c>
      <c r="AB309" t="str">
        <f t="shared" si="42"/>
        <v>40–49</v>
      </c>
      <c r="AC309" t="str">
        <f t="shared" si="43"/>
        <v/>
      </c>
      <c r="AD309" t="str">
        <f t="shared" si="44"/>
        <v>Tuesday</v>
      </c>
      <c r="AE309" t="str">
        <f t="shared" si="45"/>
        <v/>
      </c>
      <c r="AF309" t="str">
        <f t="shared" si="46"/>
        <v/>
      </c>
      <c r="AG309" t="str">
        <f t="shared" si="47"/>
        <v>Friday</v>
      </c>
      <c r="AH309" t="str">
        <f t="shared" si="48"/>
        <v>Saturday</v>
      </c>
      <c r="AI309" t="str">
        <f t="shared" si="49"/>
        <v/>
      </c>
      <c r="AJ309" t="str">
        <f>LEFT(Table1[[#This Row],[membership_type]],2)&amp;TEXT(Table1[[#This Row],[age]],"00")&amp;"-"&amp;TEXT(ROW(),"000")</f>
        <v>Pr47-309</v>
      </c>
      <c r="AK309" t="str">
        <f>LEFT(Table1[[#This Row],[membership_type]],1)&amp;TEXT(MATCH(Table1[[#This Row],[membership_type]],Table1[membership_type],0),"00")</f>
        <v>P01</v>
      </c>
      <c r="AL309" t="str">
        <f>LEFT(Table1[[#This Row],[discount_type]],1)&amp;TEXT(ROUND(Table1[[#This Row],[discount_rate]]*100,0),"00")</f>
        <v>L10</v>
      </c>
      <c r="AM309" t="str" cm="1">
        <f t="array" ref="AM309">TEXT(SUMPRODUCT(CODE(MID(Table1[[#This Row],[home_gym_location]],_xlfn.SEQUENCE(LEN(Table1[[#This Row],[home_gym_location]])),1))),"00000")</f>
        <v>00906</v>
      </c>
      <c r="AN309" t="str">
        <f>UPPER(_xlfn.TEXTBEFORE(Table1[[#This Row],[home_gym_location]],","))&amp;"-"&amp;TEXT(MATCH(Table1[[#This Row],[home_gym_location]],_xlfn._xlws.SORT(_xlfn.UNIQUE(Table1[home_gym_location])),0),"000")</f>
        <v>OAKLAND-006</v>
      </c>
      <c r="AO309" t="str">
        <f>LEFT(_xlfn.TEXTBEFORE(Table1[[#This Row],[Location Identifier]],"-"),3) &amp; "-" &amp; _xlfn.TEXTAFTER(Table1[[#This Row],[Location Identifier]],"-")</f>
        <v>OAK-006</v>
      </c>
      <c r="AP309" s="9">
        <f t="shared" ca="1" si="40"/>
        <v>45869</v>
      </c>
    </row>
    <row r="310" spans="1:42" x14ac:dyDescent="0.25">
      <c r="A310">
        <v>39</v>
      </c>
      <c r="B310" t="s">
        <v>42</v>
      </c>
      <c r="C310">
        <v>2</v>
      </c>
      <c r="D310" t="s">
        <v>70</v>
      </c>
      <c r="E310" t="b">
        <v>1</v>
      </c>
      <c r="F310" s="1">
        <v>0.35069444444444442</v>
      </c>
      <c r="G310" s="1">
        <v>0.4236111111111111</v>
      </c>
      <c r="H310">
        <v>105</v>
      </c>
      <c r="I310" t="b">
        <v>0</v>
      </c>
      <c r="J310" t="b">
        <v>1</v>
      </c>
      <c r="K310" t="b">
        <v>0</v>
      </c>
      <c r="L310" t="s">
        <v>62</v>
      </c>
      <c r="M310">
        <v>20</v>
      </c>
      <c r="N310" t="s">
        <v>29</v>
      </c>
      <c r="O310">
        <v>20</v>
      </c>
      <c r="P310" t="s">
        <v>30</v>
      </c>
      <c r="Q310">
        <v>0.05</v>
      </c>
      <c r="R310">
        <v>19</v>
      </c>
      <c r="S310" t="s">
        <v>44</v>
      </c>
      <c r="T310" t="s">
        <v>56</v>
      </c>
      <c r="U310">
        <v>35.3733</v>
      </c>
      <c r="V310">
        <v>-119.0187</v>
      </c>
      <c r="W310" s="2">
        <v>44984</v>
      </c>
      <c r="X310">
        <v>6</v>
      </c>
      <c r="Y310" t="b">
        <v>0</v>
      </c>
      <c r="Z310" s="2">
        <v>45813</v>
      </c>
      <c r="AA310" t="str">
        <f t="shared" si="41"/>
        <v>30–39</v>
      </c>
      <c r="AB310" t="str">
        <f t="shared" si="42"/>
        <v>30–39</v>
      </c>
      <c r="AC310" t="str">
        <f t="shared" si="43"/>
        <v/>
      </c>
      <c r="AD310" t="str">
        <f t="shared" si="44"/>
        <v/>
      </c>
      <c r="AE310" t="str">
        <f t="shared" si="45"/>
        <v>Wednesday</v>
      </c>
      <c r="AF310" t="str">
        <f t="shared" si="46"/>
        <v>Thursday</v>
      </c>
      <c r="AG310" t="str">
        <f t="shared" si="47"/>
        <v/>
      </c>
      <c r="AH310" t="str">
        <f t="shared" si="48"/>
        <v/>
      </c>
      <c r="AI310" t="str">
        <f t="shared" si="49"/>
        <v/>
      </c>
      <c r="AJ310" t="str">
        <f>LEFT(Table1[[#This Row],[membership_type]],2)&amp;TEXT(Table1[[#This Row],[age]],"00")&amp;"-"&amp;TEXT(ROW(),"000")</f>
        <v>Ba39-310</v>
      </c>
      <c r="AK310" t="str">
        <f>LEFT(Table1[[#This Row],[membership_type]],1)&amp;TEXT(MATCH(Table1[[#This Row],[membership_type]],Table1[membership_type],0),"00")</f>
        <v>B04</v>
      </c>
      <c r="AL310" t="str">
        <f>LEFT(Table1[[#This Row],[discount_type]],1)&amp;TEXT(ROUND(Table1[[#This Row],[discount_rate]]*100,0),"00")</f>
        <v>P05</v>
      </c>
      <c r="AM310" t="str" cm="1">
        <f t="array" ref="AM310">TEXT(SUMPRODUCT(CODE(MID(Table1[[#This Row],[home_gym_location]],_xlfn.SEQUENCE(LEN(Table1[[#This Row],[home_gym_location]])),1))),"00000")</f>
        <v>01324</v>
      </c>
      <c r="AN31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10" t="str">
        <f>LEFT(_xlfn.TEXTBEFORE(Table1[[#This Row],[Location Identifier]],"-"),3) &amp; "-" &amp; _xlfn.TEXTAFTER(Table1[[#This Row],[Location Identifier]],"-")</f>
        <v>BAK-002</v>
      </c>
      <c r="AP310" s="9">
        <f t="shared" ca="1" si="40"/>
        <v>45869</v>
      </c>
    </row>
    <row r="311" spans="1:42" x14ac:dyDescent="0.25">
      <c r="A311">
        <v>19</v>
      </c>
      <c r="B311" t="s">
        <v>33</v>
      </c>
      <c r="C311">
        <v>4</v>
      </c>
      <c r="D311" t="s">
        <v>146</v>
      </c>
      <c r="E311" t="b">
        <v>0</v>
      </c>
      <c r="F311" s="1">
        <v>0.46944444444444444</v>
      </c>
      <c r="G311" s="1">
        <v>0.52638888888888891</v>
      </c>
      <c r="H311">
        <v>82</v>
      </c>
      <c r="I311" t="b">
        <v>0</v>
      </c>
      <c r="J311" t="b">
        <v>0</v>
      </c>
      <c r="K311" t="b">
        <v>1</v>
      </c>
      <c r="L311" t="s">
        <v>62</v>
      </c>
      <c r="M311">
        <v>30</v>
      </c>
      <c r="N311" t="s">
        <v>29</v>
      </c>
      <c r="O311">
        <v>30</v>
      </c>
      <c r="P311" t="s">
        <v>40</v>
      </c>
      <c r="Q311">
        <v>0.1</v>
      </c>
      <c r="R311">
        <v>27</v>
      </c>
      <c r="S311" t="s">
        <v>37</v>
      </c>
      <c r="T311" t="s">
        <v>54</v>
      </c>
      <c r="U311">
        <v>32.715699999999998</v>
      </c>
      <c r="V311">
        <v>-117.1611</v>
      </c>
      <c r="W311" s="2">
        <v>45542</v>
      </c>
      <c r="X311">
        <v>0</v>
      </c>
      <c r="Y311" t="b">
        <v>0</v>
      </c>
      <c r="Z311" s="2">
        <v>45844</v>
      </c>
      <c r="AA311" t="str">
        <f t="shared" si="41"/>
        <v>10–19</v>
      </c>
      <c r="AB311" t="str">
        <f t="shared" si="42"/>
        <v>16–19</v>
      </c>
      <c r="AC311" t="str">
        <f t="shared" si="43"/>
        <v/>
      </c>
      <c r="AD311" t="str">
        <f t="shared" si="44"/>
        <v/>
      </c>
      <c r="AE311" t="str">
        <f t="shared" si="45"/>
        <v/>
      </c>
      <c r="AF311" t="str">
        <f t="shared" si="46"/>
        <v>Thursday</v>
      </c>
      <c r="AG311" t="str">
        <f t="shared" si="47"/>
        <v>Friday</v>
      </c>
      <c r="AH311" t="str">
        <f t="shared" si="48"/>
        <v>Saturday</v>
      </c>
      <c r="AI311" t="str">
        <f t="shared" si="49"/>
        <v>Sunday</v>
      </c>
      <c r="AJ311" t="str">
        <f>LEFT(Table1[[#This Row],[membership_type]],2)&amp;TEXT(Table1[[#This Row],[age]],"00")&amp;"-"&amp;TEXT(ROW(),"000")</f>
        <v>St19-311</v>
      </c>
      <c r="AK311" t="str">
        <f>LEFT(Table1[[#This Row],[membership_type]],1)&amp;TEXT(MATCH(Table1[[#This Row],[membership_type]],Table1[membership_type],0),"00")</f>
        <v>S02</v>
      </c>
      <c r="AL311" t="str">
        <f>LEFT(Table1[[#This Row],[discount_type]],1)&amp;TEXT(ROUND(Table1[[#This Row],[discount_rate]]*100,0),"00")</f>
        <v>L10</v>
      </c>
      <c r="AM311" t="str" cm="1">
        <f t="array" ref="AM311">TEXT(SUMPRODUCT(CODE(MID(Table1[[#This Row],[home_gym_location]],_xlfn.SEQUENCE(LEN(Table1[[#This Row],[home_gym_location]])),1))),"00000")</f>
        <v>01018</v>
      </c>
      <c r="AN31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311" t="str">
        <f>LEFT(_xlfn.TEXTBEFORE(Table1[[#This Row],[Location Identifier]],"-"),3) &amp; "-" &amp; _xlfn.TEXTAFTER(Table1[[#This Row],[Location Identifier]],"-")</f>
        <v>SAN-008</v>
      </c>
      <c r="AP311" s="9">
        <f t="shared" ca="1" si="40"/>
        <v>45869</v>
      </c>
    </row>
    <row r="312" spans="1:42" x14ac:dyDescent="0.25">
      <c r="A312">
        <v>43</v>
      </c>
      <c r="B312" t="s">
        <v>26</v>
      </c>
      <c r="C312">
        <v>4</v>
      </c>
      <c r="D312" t="s">
        <v>147</v>
      </c>
      <c r="E312" t="b">
        <v>1</v>
      </c>
      <c r="F312" s="1">
        <v>0.85833333333333328</v>
      </c>
      <c r="G312" s="1">
        <v>0.97013888888888888</v>
      </c>
      <c r="H312">
        <v>161</v>
      </c>
      <c r="I312" t="b">
        <v>1</v>
      </c>
      <c r="J312" t="b">
        <v>1</v>
      </c>
      <c r="K312" t="b">
        <v>0</v>
      </c>
      <c r="L312" t="s">
        <v>47</v>
      </c>
      <c r="M312">
        <v>50</v>
      </c>
      <c r="N312" t="s">
        <v>78</v>
      </c>
      <c r="O312">
        <v>45</v>
      </c>
      <c r="P312" t="s">
        <v>36</v>
      </c>
      <c r="Q312">
        <v>0</v>
      </c>
      <c r="R312">
        <v>45</v>
      </c>
      <c r="S312" t="s">
        <v>31</v>
      </c>
      <c r="T312" t="s">
        <v>56</v>
      </c>
      <c r="U312">
        <v>35.3733</v>
      </c>
      <c r="V312">
        <v>-119.0187</v>
      </c>
      <c r="W312" s="2">
        <v>45363</v>
      </c>
      <c r="X312">
        <v>7</v>
      </c>
      <c r="Y312" t="b">
        <v>1</v>
      </c>
      <c r="Z312" s="2">
        <v>45834</v>
      </c>
      <c r="AA312" t="str">
        <f t="shared" si="41"/>
        <v>40–49</v>
      </c>
      <c r="AB312" t="str">
        <f t="shared" si="42"/>
        <v>40–49</v>
      </c>
      <c r="AC312" t="str">
        <f t="shared" si="43"/>
        <v>Monday</v>
      </c>
      <c r="AD312" t="str">
        <f t="shared" si="44"/>
        <v/>
      </c>
      <c r="AE312" t="str">
        <f t="shared" si="45"/>
        <v/>
      </c>
      <c r="AF312" t="str">
        <f t="shared" si="46"/>
        <v>Thursday</v>
      </c>
      <c r="AG312" t="str">
        <f t="shared" si="47"/>
        <v>Friday</v>
      </c>
      <c r="AH312" t="str">
        <f t="shared" si="48"/>
        <v>Saturday</v>
      </c>
      <c r="AI312" t="str">
        <f t="shared" si="49"/>
        <v/>
      </c>
      <c r="AJ312" t="str">
        <f>LEFT(Table1[[#This Row],[membership_type]],2)&amp;TEXT(Table1[[#This Row],[age]],"00")&amp;"-"&amp;TEXT(ROW(),"000")</f>
        <v>Pr43-312</v>
      </c>
      <c r="AK312" t="str">
        <f>LEFT(Table1[[#This Row],[membership_type]],1)&amp;TEXT(MATCH(Table1[[#This Row],[membership_type]],Table1[membership_type],0),"00")</f>
        <v>P01</v>
      </c>
      <c r="AL312" t="str">
        <f>LEFT(Table1[[#This Row],[discount_type]],1)&amp;TEXT(ROUND(Table1[[#This Row],[discount_rate]]*100,0),"00")</f>
        <v>N00</v>
      </c>
      <c r="AM312" t="str" cm="1">
        <f t="array" ref="AM312">TEXT(SUMPRODUCT(CODE(MID(Table1[[#This Row],[home_gym_location]],_xlfn.SEQUENCE(LEN(Table1[[#This Row],[home_gym_location]])),1))),"00000")</f>
        <v>01324</v>
      </c>
      <c r="AN31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12" t="str">
        <f>LEFT(_xlfn.TEXTBEFORE(Table1[[#This Row],[Location Identifier]],"-"),3) &amp; "-" &amp; _xlfn.TEXTAFTER(Table1[[#This Row],[Location Identifier]],"-")</f>
        <v>BAK-002</v>
      </c>
      <c r="AP312" s="9">
        <f t="shared" ca="1" si="40"/>
        <v>45869</v>
      </c>
    </row>
    <row r="313" spans="1:42" x14ac:dyDescent="0.25">
      <c r="A313">
        <v>30</v>
      </c>
      <c r="B313" t="s">
        <v>26</v>
      </c>
      <c r="C313">
        <v>5</v>
      </c>
      <c r="D313" t="s">
        <v>66</v>
      </c>
      <c r="E313" t="b">
        <v>1</v>
      </c>
      <c r="F313" s="1">
        <v>0.45555555555555555</v>
      </c>
      <c r="G313" s="1">
        <v>0.56944444444444442</v>
      </c>
      <c r="H313">
        <v>164</v>
      </c>
      <c r="I313" t="b">
        <v>0</v>
      </c>
      <c r="J313" t="b">
        <v>1</v>
      </c>
      <c r="K313" t="b">
        <v>1</v>
      </c>
      <c r="L313" t="s">
        <v>35</v>
      </c>
      <c r="M313">
        <v>50</v>
      </c>
      <c r="N313" t="s">
        <v>64</v>
      </c>
      <c r="O313">
        <v>37.5</v>
      </c>
      <c r="P313" t="s">
        <v>30</v>
      </c>
      <c r="Q313">
        <v>0.05</v>
      </c>
      <c r="R313">
        <v>35.625</v>
      </c>
      <c r="S313" t="s">
        <v>31</v>
      </c>
      <c r="T313" t="s">
        <v>32</v>
      </c>
      <c r="U313">
        <v>37.338200000000001</v>
      </c>
      <c r="V313">
        <v>-121.88630000000001</v>
      </c>
      <c r="W313" s="2">
        <v>45747</v>
      </c>
      <c r="X313">
        <v>4</v>
      </c>
      <c r="Y313" t="b">
        <v>1</v>
      </c>
      <c r="Z313" s="2">
        <v>45856</v>
      </c>
      <c r="AA313" t="str">
        <f t="shared" si="41"/>
        <v>30–39</v>
      </c>
      <c r="AB313" t="str">
        <f t="shared" si="42"/>
        <v>30–39</v>
      </c>
      <c r="AC313" t="str">
        <f t="shared" si="43"/>
        <v>Monday</v>
      </c>
      <c r="AD313" t="str">
        <f t="shared" si="44"/>
        <v>Tuesday</v>
      </c>
      <c r="AE313" t="str">
        <f t="shared" si="45"/>
        <v>Wednesday</v>
      </c>
      <c r="AF313" t="str">
        <f t="shared" si="46"/>
        <v/>
      </c>
      <c r="AG313" t="str">
        <f t="shared" si="47"/>
        <v>Friday</v>
      </c>
      <c r="AH313" t="str">
        <f t="shared" si="48"/>
        <v/>
      </c>
      <c r="AI313" t="str">
        <f t="shared" si="49"/>
        <v>Sunday</v>
      </c>
      <c r="AJ313" t="str">
        <f>LEFT(Table1[[#This Row],[membership_type]],2)&amp;TEXT(Table1[[#This Row],[age]],"00")&amp;"-"&amp;TEXT(ROW(),"000")</f>
        <v>Pr30-313</v>
      </c>
      <c r="AK313" t="str">
        <f>LEFT(Table1[[#This Row],[membership_type]],1)&amp;TEXT(MATCH(Table1[[#This Row],[membership_type]],Table1[membership_type],0),"00")</f>
        <v>P01</v>
      </c>
      <c r="AL313" t="str">
        <f>LEFT(Table1[[#This Row],[discount_type]],1)&amp;TEXT(ROUND(Table1[[#This Row],[discount_rate]]*100,0),"00")</f>
        <v>P05</v>
      </c>
      <c r="AM313" t="str" cm="1">
        <f t="array" ref="AM313">TEXT(SUMPRODUCT(CODE(MID(Table1[[#This Row],[home_gym_location]],_xlfn.SEQUENCE(LEN(Table1[[#This Row],[home_gym_location]])),1))),"00000")</f>
        <v>00931</v>
      </c>
      <c r="AN31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13" t="str">
        <f>LEFT(_xlfn.TEXTBEFORE(Table1[[#This Row],[Location Identifier]],"-"),3) &amp; "-" &amp; _xlfn.TEXTAFTER(Table1[[#This Row],[Location Identifier]],"-")</f>
        <v>SAN-010</v>
      </c>
      <c r="AP313" s="9">
        <f t="shared" ca="1" si="40"/>
        <v>45869</v>
      </c>
    </row>
    <row r="314" spans="1:42" x14ac:dyDescent="0.25">
      <c r="A314">
        <v>21</v>
      </c>
      <c r="B314" t="s">
        <v>33</v>
      </c>
      <c r="C314">
        <v>3</v>
      </c>
      <c r="D314" t="s">
        <v>128</v>
      </c>
      <c r="E314" t="b">
        <v>0</v>
      </c>
      <c r="F314" s="1">
        <v>0.44374999999999998</v>
      </c>
      <c r="G314" s="1">
        <v>0.52569444444444446</v>
      </c>
      <c r="H314">
        <v>118</v>
      </c>
      <c r="I314" t="b">
        <v>1</v>
      </c>
      <c r="J314" t="b">
        <v>1</v>
      </c>
      <c r="K314" t="b">
        <v>0</v>
      </c>
      <c r="L314" t="s">
        <v>28</v>
      </c>
      <c r="M314">
        <v>30</v>
      </c>
      <c r="N314" t="s">
        <v>29</v>
      </c>
      <c r="O314">
        <v>30</v>
      </c>
      <c r="P314" t="s">
        <v>40</v>
      </c>
      <c r="Q314">
        <v>0.1</v>
      </c>
      <c r="R314">
        <v>27</v>
      </c>
      <c r="S314" t="s">
        <v>37</v>
      </c>
      <c r="T314" t="s">
        <v>38</v>
      </c>
      <c r="U314">
        <v>36.7378</v>
      </c>
      <c r="V314">
        <v>-119.7871</v>
      </c>
      <c r="W314" s="2">
        <v>45804</v>
      </c>
      <c r="X314">
        <v>7</v>
      </c>
      <c r="Y314" t="b">
        <v>1</v>
      </c>
      <c r="Z314" s="2">
        <v>45859</v>
      </c>
      <c r="AA314" t="str">
        <f t="shared" si="41"/>
        <v>20–29</v>
      </c>
      <c r="AB314" t="str">
        <f t="shared" si="42"/>
        <v>20–29</v>
      </c>
      <c r="AC314" t="str">
        <f t="shared" si="43"/>
        <v>Monday</v>
      </c>
      <c r="AD314" t="str">
        <f t="shared" si="44"/>
        <v/>
      </c>
      <c r="AE314" t="str">
        <f t="shared" si="45"/>
        <v/>
      </c>
      <c r="AF314" t="str">
        <f t="shared" si="46"/>
        <v>Thursday</v>
      </c>
      <c r="AG314" t="str">
        <f t="shared" si="47"/>
        <v/>
      </c>
      <c r="AH314" t="str">
        <f t="shared" si="48"/>
        <v/>
      </c>
      <c r="AI314" t="str">
        <f t="shared" si="49"/>
        <v>Sunday</v>
      </c>
      <c r="AJ314" t="str">
        <f>LEFT(Table1[[#This Row],[membership_type]],2)&amp;TEXT(Table1[[#This Row],[age]],"00")&amp;"-"&amp;TEXT(ROW(),"000")</f>
        <v>St21-314</v>
      </c>
      <c r="AK314" t="str">
        <f>LEFT(Table1[[#This Row],[membership_type]],1)&amp;TEXT(MATCH(Table1[[#This Row],[membership_type]],Table1[membership_type],0),"00")</f>
        <v>S02</v>
      </c>
      <c r="AL314" t="str">
        <f>LEFT(Table1[[#This Row],[discount_type]],1)&amp;TEXT(ROUND(Table1[[#This Row],[discount_rate]]*100,0),"00")</f>
        <v>L10</v>
      </c>
      <c r="AM314" t="str" cm="1">
        <f t="array" ref="AM314">TEXT(SUMPRODUCT(CODE(MID(Table1[[#This Row],[home_gym_location]],_xlfn.SEQUENCE(LEN(Table1[[#This Row],[home_gym_location]])),1))),"00000")</f>
        <v>00829</v>
      </c>
      <c r="AN314" t="str">
        <f>UPPER(_xlfn.TEXTBEFORE(Table1[[#This Row],[home_gym_location]],","))&amp;"-"&amp;TEXT(MATCH(Table1[[#This Row],[home_gym_location]],_xlfn._xlws.SORT(_xlfn.UNIQUE(Table1[home_gym_location])),0),"000")</f>
        <v>FRESNO-003</v>
      </c>
      <c r="AO314" t="str">
        <f>LEFT(_xlfn.TEXTBEFORE(Table1[[#This Row],[Location Identifier]],"-"),3) &amp; "-" &amp; _xlfn.TEXTAFTER(Table1[[#This Row],[Location Identifier]],"-")</f>
        <v>FRE-003</v>
      </c>
      <c r="AP314" s="9">
        <f t="shared" ca="1" si="40"/>
        <v>45869</v>
      </c>
    </row>
    <row r="315" spans="1:42" x14ac:dyDescent="0.25">
      <c r="A315">
        <v>35</v>
      </c>
      <c r="B315" t="s">
        <v>26</v>
      </c>
      <c r="C315">
        <v>1</v>
      </c>
      <c r="D315" t="s">
        <v>71</v>
      </c>
      <c r="E315" t="b">
        <v>0</v>
      </c>
      <c r="F315" s="1">
        <v>0.5083333333333333</v>
      </c>
      <c r="G315" s="1">
        <v>0.6166666666666667</v>
      </c>
      <c r="H315">
        <v>156</v>
      </c>
      <c r="I315" t="b">
        <v>1</v>
      </c>
      <c r="J315" t="b">
        <v>0</v>
      </c>
      <c r="K315" t="b">
        <v>0</v>
      </c>
      <c r="L315" t="s">
        <v>35</v>
      </c>
      <c r="M315">
        <v>50</v>
      </c>
      <c r="N315" t="s">
        <v>29</v>
      </c>
      <c r="O315">
        <v>50</v>
      </c>
      <c r="P315" t="s">
        <v>30</v>
      </c>
      <c r="Q315">
        <v>0.05</v>
      </c>
      <c r="R315">
        <v>47.5</v>
      </c>
      <c r="S315" t="s">
        <v>31</v>
      </c>
      <c r="T315" t="s">
        <v>32</v>
      </c>
      <c r="U315">
        <v>37.338200000000001</v>
      </c>
      <c r="V315">
        <v>-121.88630000000001</v>
      </c>
      <c r="W315" s="2">
        <v>44805</v>
      </c>
      <c r="X315">
        <v>0</v>
      </c>
      <c r="Y315" t="b">
        <v>1</v>
      </c>
      <c r="Z315" s="2">
        <v>45803</v>
      </c>
      <c r="AA315" t="str">
        <f t="shared" si="41"/>
        <v>30–39</v>
      </c>
      <c r="AB315" t="str">
        <f t="shared" si="42"/>
        <v>30–39</v>
      </c>
      <c r="AC315" t="str">
        <f t="shared" si="43"/>
        <v/>
      </c>
      <c r="AD315" t="str">
        <f t="shared" si="44"/>
        <v>Tuesday</v>
      </c>
      <c r="AE315" t="str">
        <f t="shared" si="45"/>
        <v/>
      </c>
      <c r="AF315" t="str">
        <f t="shared" si="46"/>
        <v/>
      </c>
      <c r="AG315" t="str">
        <f t="shared" si="47"/>
        <v/>
      </c>
      <c r="AH315" t="str">
        <f t="shared" si="48"/>
        <v/>
      </c>
      <c r="AI315" t="str">
        <f t="shared" si="49"/>
        <v/>
      </c>
      <c r="AJ315" t="str">
        <f>LEFT(Table1[[#This Row],[membership_type]],2)&amp;TEXT(Table1[[#This Row],[age]],"00")&amp;"-"&amp;TEXT(ROW(),"000")</f>
        <v>Pr35-315</v>
      </c>
      <c r="AK315" t="str">
        <f>LEFT(Table1[[#This Row],[membership_type]],1)&amp;TEXT(MATCH(Table1[[#This Row],[membership_type]],Table1[membership_type],0),"00")</f>
        <v>P01</v>
      </c>
      <c r="AL315" t="str">
        <f>LEFT(Table1[[#This Row],[discount_type]],1)&amp;TEXT(ROUND(Table1[[#This Row],[discount_rate]]*100,0),"00")</f>
        <v>P05</v>
      </c>
      <c r="AM315" t="str" cm="1">
        <f t="array" ref="AM315">TEXT(SUMPRODUCT(CODE(MID(Table1[[#This Row],[home_gym_location]],_xlfn.SEQUENCE(LEN(Table1[[#This Row],[home_gym_location]])),1))),"00000")</f>
        <v>00931</v>
      </c>
      <c r="AN31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15" t="str">
        <f>LEFT(_xlfn.TEXTBEFORE(Table1[[#This Row],[Location Identifier]],"-"),3) &amp; "-" &amp; _xlfn.TEXTAFTER(Table1[[#This Row],[Location Identifier]],"-")</f>
        <v>SAN-010</v>
      </c>
      <c r="AP315" s="9">
        <f t="shared" ca="1" si="40"/>
        <v>45869</v>
      </c>
    </row>
    <row r="316" spans="1:42" x14ac:dyDescent="0.25">
      <c r="A316">
        <v>41</v>
      </c>
      <c r="B316" t="s">
        <v>26</v>
      </c>
      <c r="C316">
        <v>1</v>
      </c>
      <c r="D316" t="s">
        <v>63</v>
      </c>
      <c r="E316" t="b">
        <v>1</v>
      </c>
      <c r="F316" s="1">
        <v>0.80763888888888891</v>
      </c>
      <c r="G316" s="1">
        <v>0.8520833333333333</v>
      </c>
      <c r="H316">
        <v>64</v>
      </c>
      <c r="I316" t="b">
        <v>0</v>
      </c>
      <c r="J316" t="b">
        <v>0</v>
      </c>
      <c r="K316" t="b">
        <v>0</v>
      </c>
      <c r="L316" t="s">
        <v>35</v>
      </c>
      <c r="M316">
        <v>50</v>
      </c>
      <c r="N316" t="s">
        <v>29</v>
      </c>
      <c r="O316">
        <v>50</v>
      </c>
      <c r="P316" t="s">
        <v>36</v>
      </c>
      <c r="Q316">
        <v>0</v>
      </c>
      <c r="R316">
        <v>50</v>
      </c>
      <c r="S316" t="s">
        <v>31</v>
      </c>
      <c r="T316" t="s">
        <v>38</v>
      </c>
      <c r="U316">
        <v>36.7378</v>
      </c>
      <c r="V316">
        <v>-119.7871</v>
      </c>
      <c r="W316" s="2">
        <v>44940</v>
      </c>
      <c r="X316">
        <v>0</v>
      </c>
      <c r="Y316" t="b">
        <v>1</v>
      </c>
      <c r="Z316" s="2">
        <v>45810</v>
      </c>
      <c r="AA316" t="str">
        <f t="shared" si="41"/>
        <v>40–49</v>
      </c>
      <c r="AB316" t="str">
        <f t="shared" si="42"/>
        <v>40–49</v>
      </c>
      <c r="AC316" t="str">
        <f t="shared" si="43"/>
        <v/>
      </c>
      <c r="AD316" t="str">
        <f t="shared" si="44"/>
        <v/>
      </c>
      <c r="AE316" t="str">
        <f t="shared" si="45"/>
        <v>Wednesday</v>
      </c>
      <c r="AF316" t="str">
        <f t="shared" si="46"/>
        <v/>
      </c>
      <c r="AG316" t="str">
        <f t="shared" si="47"/>
        <v/>
      </c>
      <c r="AH316" t="str">
        <f t="shared" si="48"/>
        <v/>
      </c>
      <c r="AI316" t="str">
        <f t="shared" si="49"/>
        <v/>
      </c>
      <c r="AJ316" t="str">
        <f>LEFT(Table1[[#This Row],[membership_type]],2)&amp;TEXT(Table1[[#This Row],[age]],"00")&amp;"-"&amp;TEXT(ROW(),"000")</f>
        <v>Pr41-316</v>
      </c>
      <c r="AK316" t="str">
        <f>LEFT(Table1[[#This Row],[membership_type]],1)&amp;TEXT(MATCH(Table1[[#This Row],[membership_type]],Table1[membership_type],0),"00")</f>
        <v>P01</v>
      </c>
      <c r="AL316" t="str">
        <f>LEFT(Table1[[#This Row],[discount_type]],1)&amp;TEXT(ROUND(Table1[[#This Row],[discount_rate]]*100,0),"00")</f>
        <v>N00</v>
      </c>
      <c r="AM316" t="str" cm="1">
        <f t="array" ref="AM316">TEXT(SUMPRODUCT(CODE(MID(Table1[[#This Row],[home_gym_location]],_xlfn.SEQUENCE(LEN(Table1[[#This Row],[home_gym_location]])),1))),"00000")</f>
        <v>00829</v>
      </c>
      <c r="AN316" t="str">
        <f>UPPER(_xlfn.TEXTBEFORE(Table1[[#This Row],[home_gym_location]],","))&amp;"-"&amp;TEXT(MATCH(Table1[[#This Row],[home_gym_location]],_xlfn._xlws.SORT(_xlfn.UNIQUE(Table1[home_gym_location])),0),"000")</f>
        <v>FRESNO-003</v>
      </c>
      <c r="AO316" t="str">
        <f>LEFT(_xlfn.TEXTBEFORE(Table1[[#This Row],[Location Identifier]],"-"),3) &amp; "-" &amp; _xlfn.TEXTAFTER(Table1[[#This Row],[Location Identifier]],"-")</f>
        <v>FRE-003</v>
      </c>
      <c r="AP316" s="9">
        <f t="shared" ca="1" si="40"/>
        <v>45869</v>
      </c>
    </row>
    <row r="317" spans="1:42" x14ac:dyDescent="0.25">
      <c r="A317">
        <v>42</v>
      </c>
      <c r="B317" t="s">
        <v>33</v>
      </c>
      <c r="C317">
        <v>5</v>
      </c>
      <c r="D317" t="s">
        <v>148</v>
      </c>
      <c r="E317" t="b">
        <v>0</v>
      </c>
      <c r="F317" s="1">
        <v>0.40902777777777777</v>
      </c>
      <c r="G317" s="1">
        <v>0.52986111111111112</v>
      </c>
      <c r="H317">
        <v>174</v>
      </c>
      <c r="I317" t="b">
        <v>1</v>
      </c>
      <c r="J317" t="b">
        <v>0</v>
      </c>
      <c r="K317" t="b">
        <v>1</v>
      </c>
      <c r="L317" t="s">
        <v>28</v>
      </c>
      <c r="M317">
        <v>30</v>
      </c>
      <c r="N317" t="s">
        <v>64</v>
      </c>
      <c r="O317">
        <v>22.5</v>
      </c>
      <c r="P317" t="s">
        <v>36</v>
      </c>
      <c r="Q317">
        <v>0</v>
      </c>
      <c r="R317">
        <v>22.5</v>
      </c>
      <c r="S317" t="s">
        <v>37</v>
      </c>
      <c r="T317" t="s">
        <v>48</v>
      </c>
      <c r="U317">
        <v>38.581600000000002</v>
      </c>
      <c r="V317">
        <v>-121.4944</v>
      </c>
      <c r="W317" s="2">
        <v>45089</v>
      </c>
      <c r="X317">
        <v>0</v>
      </c>
      <c r="Y317" t="b">
        <v>1</v>
      </c>
      <c r="Z317" s="2">
        <v>45819</v>
      </c>
      <c r="AA317" t="str">
        <f t="shared" si="41"/>
        <v>40–49</v>
      </c>
      <c r="AB317" t="str">
        <f t="shared" si="42"/>
        <v>40–49</v>
      </c>
      <c r="AC317" t="str">
        <f t="shared" si="43"/>
        <v/>
      </c>
      <c r="AD317" t="str">
        <f t="shared" si="44"/>
        <v/>
      </c>
      <c r="AE317" t="str">
        <f t="shared" si="45"/>
        <v>Wednesday</v>
      </c>
      <c r="AF317" t="str">
        <f t="shared" si="46"/>
        <v>Thursday</v>
      </c>
      <c r="AG317" t="str">
        <f t="shared" si="47"/>
        <v>Friday</v>
      </c>
      <c r="AH317" t="str">
        <f t="shared" si="48"/>
        <v>Saturday</v>
      </c>
      <c r="AI317" t="str">
        <f t="shared" si="49"/>
        <v>Sunday</v>
      </c>
      <c r="AJ317" t="str">
        <f>LEFT(Table1[[#This Row],[membership_type]],2)&amp;TEXT(Table1[[#This Row],[age]],"00")&amp;"-"&amp;TEXT(ROW(),"000")</f>
        <v>St42-317</v>
      </c>
      <c r="AK317" t="str">
        <f>LEFT(Table1[[#This Row],[membership_type]],1)&amp;TEXT(MATCH(Table1[[#This Row],[membership_type]],Table1[membership_type],0),"00")</f>
        <v>S02</v>
      </c>
      <c r="AL317" t="str">
        <f>LEFT(Table1[[#This Row],[discount_type]],1)&amp;TEXT(ROUND(Table1[[#This Row],[discount_rate]]*100,0),"00")</f>
        <v>N00</v>
      </c>
      <c r="AM317" t="str" cm="1">
        <f t="array" ref="AM317">TEXT(SUMPRODUCT(CODE(MID(Table1[[#This Row],[home_gym_location]],_xlfn.SEQUENCE(LEN(Table1[[#This Row],[home_gym_location]])),1))),"00000")</f>
        <v>01245</v>
      </c>
      <c r="AN31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17" t="str">
        <f>LEFT(_xlfn.TEXTBEFORE(Table1[[#This Row],[Location Identifier]],"-"),3) &amp; "-" &amp; _xlfn.TEXTAFTER(Table1[[#This Row],[Location Identifier]],"-")</f>
        <v>SAC-007</v>
      </c>
      <c r="AP317" s="9">
        <f t="shared" ca="1" si="40"/>
        <v>45869</v>
      </c>
    </row>
    <row r="318" spans="1:42" x14ac:dyDescent="0.25">
      <c r="A318">
        <v>44</v>
      </c>
      <c r="B318" t="s">
        <v>42</v>
      </c>
      <c r="C318">
        <v>3</v>
      </c>
      <c r="D318" t="s">
        <v>60</v>
      </c>
      <c r="E318" t="b">
        <v>1</v>
      </c>
      <c r="F318" s="1">
        <v>0.42430555555555555</v>
      </c>
      <c r="G318" s="1">
        <v>0.47916666666666669</v>
      </c>
      <c r="H318">
        <v>79</v>
      </c>
      <c r="I318" t="b">
        <v>1</v>
      </c>
      <c r="J318" t="b">
        <v>1</v>
      </c>
      <c r="K318" t="b">
        <v>1</v>
      </c>
      <c r="L318" t="s">
        <v>28</v>
      </c>
      <c r="M318">
        <v>20</v>
      </c>
      <c r="N318" t="s">
        <v>78</v>
      </c>
      <c r="O318">
        <v>18</v>
      </c>
      <c r="P318" t="s">
        <v>36</v>
      </c>
      <c r="Q318">
        <v>0</v>
      </c>
      <c r="R318">
        <v>18</v>
      </c>
      <c r="S318" t="s">
        <v>44</v>
      </c>
      <c r="T318" t="s">
        <v>45</v>
      </c>
      <c r="U318">
        <v>33.836599999999997</v>
      </c>
      <c r="V318">
        <v>-117.9143</v>
      </c>
      <c r="W318" s="2">
        <v>45395</v>
      </c>
      <c r="X318">
        <v>1</v>
      </c>
      <c r="Y318" t="b">
        <v>1</v>
      </c>
      <c r="Z318" s="2">
        <v>45836</v>
      </c>
      <c r="AA318" t="str">
        <f t="shared" si="41"/>
        <v>40–49</v>
      </c>
      <c r="AB318" t="str">
        <f t="shared" si="42"/>
        <v>40–49</v>
      </c>
      <c r="AC318" t="str">
        <f t="shared" si="43"/>
        <v/>
      </c>
      <c r="AD318" t="str">
        <f t="shared" si="44"/>
        <v/>
      </c>
      <c r="AE318" t="str">
        <f t="shared" si="45"/>
        <v>Wednesday</v>
      </c>
      <c r="AF318" t="str">
        <f t="shared" si="46"/>
        <v/>
      </c>
      <c r="AG318" t="str">
        <f t="shared" si="47"/>
        <v/>
      </c>
      <c r="AH318" t="str">
        <f t="shared" si="48"/>
        <v>Saturday</v>
      </c>
      <c r="AI318" t="str">
        <f t="shared" si="49"/>
        <v>Sunday</v>
      </c>
      <c r="AJ318" t="str">
        <f>LEFT(Table1[[#This Row],[membership_type]],2)&amp;TEXT(Table1[[#This Row],[age]],"00")&amp;"-"&amp;TEXT(ROW(),"000")</f>
        <v>Ba44-318</v>
      </c>
      <c r="AK318" t="str">
        <f>LEFT(Table1[[#This Row],[membership_type]],1)&amp;TEXT(MATCH(Table1[[#This Row],[membership_type]],Table1[membership_type],0),"00")</f>
        <v>B04</v>
      </c>
      <c r="AL318" t="str">
        <f>LEFT(Table1[[#This Row],[discount_type]],1)&amp;TEXT(ROUND(Table1[[#This Row],[discount_rate]]*100,0),"00")</f>
        <v>N00</v>
      </c>
      <c r="AM318" t="str" cm="1">
        <f t="array" ref="AM318">TEXT(SUMPRODUCT(CODE(MID(Table1[[#This Row],[home_gym_location]],_xlfn.SEQUENCE(LEN(Table1[[#This Row],[home_gym_location]])),1))),"00000")</f>
        <v>00899</v>
      </c>
      <c r="AN318" t="str">
        <f>UPPER(_xlfn.TEXTBEFORE(Table1[[#This Row],[home_gym_location]],","))&amp;"-"&amp;TEXT(MATCH(Table1[[#This Row],[home_gym_location]],_xlfn._xlws.SORT(_xlfn.UNIQUE(Table1[home_gym_location])),0),"000")</f>
        <v>ANAHEIM-001</v>
      </c>
      <c r="AO318" t="str">
        <f>LEFT(_xlfn.TEXTBEFORE(Table1[[#This Row],[Location Identifier]],"-"),3) &amp; "-" &amp; _xlfn.TEXTAFTER(Table1[[#This Row],[Location Identifier]],"-")</f>
        <v>ANA-001</v>
      </c>
      <c r="AP318" s="9">
        <f t="shared" ca="1" si="40"/>
        <v>45869</v>
      </c>
    </row>
    <row r="319" spans="1:42" x14ac:dyDescent="0.25">
      <c r="A319">
        <v>15</v>
      </c>
      <c r="B319" t="s">
        <v>26</v>
      </c>
      <c r="C319">
        <v>2</v>
      </c>
      <c r="D319" t="s">
        <v>103</v>
      </c>
      <c r="E319" t="b">
        <v>1</v>
      </c>
      <c r="F319" s="1">
        <v>0.83819444444444446</v>
      </c>
      <c r="G319" s="1">
        <v>0.90208333333333335</v>
      </c>
      <c r="H319">
        <v>92</v>
      </c>
      <c r="I319" t="b">
        <v>1</v>
      </c>
      <c r="J319" t="b">
        <v>0</v>
      </c>
      <c r="K319" t="b">
        <v>0</v>
      </c>
      <c r="L319" t="s">
        <v>62</v>
      </c>
      <c r="M319">
        <v>50</v>
      </c>
      <c r="N319" t="s">
        <v>29</v>
      </c>
      <c r="O319">
        <v>50</v>
      </c>
      <c r="P319" t="s">
        <v>30</v>
      </c>
      <c r="Q319">
        <v>0.05</v>
      </c>
      <c r="R319">
        <v>47.5</v>
      </c>
      <c r="S319" t="s">
        <v>31</v>
      </c>
      <c r="T319" t="s">
        <v>41</v>
      </c>
      <c r="U319">
        <v>37.804400000000001</v>
      </c>
      <c r="V319">
        <v>-122.27119999999999</v>
      </c>
      <c r="W319" s="2">
        <v>45646</v>
      </c>
      <c r="X319">
        <v>0</v>
      </c>
      <c r="Y319" t="b">
        <v>1</v>
      </c>
      <c r="Z319" s="2">
        <v>45850</v>
      </c>
      <c r="AA319" t="str">
        <f t="shared" si="41"/>
        <v>10–19</v>
      </c>
      <c r="AB319" t="str">
        <f t="shared" si="42"/>
        <v>Under 16</v>
      </c>
      <c r="AC319" t="str">
        <f t="shared" si="43"/>
        <v>Monday</v>
      </c>
      <c r="AD319" t="str">
        <f t="shared" si="44"/>
        <v/>
      </c>
      <c r="AE319" t="str">
        <f t="shared" si="45"/>
        <v/>
      </c>
      <c r="AF319" t="str">
        <f t="shared" si="46"/>
        <v/>
      </c>
      <c r="AG319" t="str">
        <f t="shared" si="47"/>
        <v/>
      </c>
      <c r="AH319" t="str">
        <f t="shared" si="48"/>
        <v/>
      </c>
      <c r="AI319" t="str">
        <f t="shared" si="49"/>
        <v>Sunday</v>
      </c>
      <c r="AJ319" t="str">
        <f>LEFT(Table1[[#This Row],[membership_type]],2)&amp;TEXT(Table1[[#This Row],[age]],"00")&amp;"-"&amp;TEXT(ROW(),"000")</f>
        <v>Pr15-319</v>
      </c>
      <c r="AK319" t="str">
        <f>LEFT(Table1[[#This Row],[membership_type]],1)&amp;TEXT(MATCH(Table1[[#This Row],[membership_type]],Table1[membership_type],0),"00")</f>
        <v>P01</v>
      </c>
      <c r="AL319" t="str">
        <f>LEFT(Table1[[#This Row],[discount_type]],1)&amp;TEXT(ROUND(Table1[[#This Row],[discount_rate]]*100,0),"00")</f>
        <v>P05</v>
      </c>
      <c r="AM319" t="str" cm="1">
        <f t="array" ref="AM319">TEXT(SUMPRODUCT(CODE(MID(Table1[[#This Row],[home_gym_location]],_xlfn.SEQUENCE(LEN(Table1[[#This Row],[home_gym_location]])),1))),"00000")</f>
        <v>00906</v>
      </c>
      <c r="AN319" t="str">
        <f>UPPER(_xlfn.TEXTBEFORE(Table1[[#This Row],[home_gym_location]],","))&amp;"-"&amp;TEXT(MATCH(Table1[[#This Row],[home_gym_location]],_xlfn._xlws.SORT(_xlfn.UNIQUE(Table1[home_gym_location])),0),"000")</f>
        <v>OAKLAND-006</v>
      </c>
      <c r="AO319" t="str">
        <f>LEFT(_xlfn.TEXTBEFORE(Table1[[#This Row],[Location Identifier]],"-"),3) &amp; "-" &amp; _xlfn.TEXTAFTER(Table1[[#This Row],[Location Identifier]],"-")</f>
        <v>OAK-006</v>
      </c>
      <c r="AP319" s="9">
        <f t="shared" ca="1" si="40"/>
        <v>45869</v>
      </c>
    </row>
    <row r="320" spans="1:42" x14ac:dyDescent="0.25">
      <c r="A320">
        <v>47</v>
      </c>
      <c r="B320" t="s">
        <v>51</v>
      </c>
      <c r="C320">
        <v>2</v>
      </c>
      <c r="D320" t="s">
        <v>73</v>
      </c>
      <c r="E320" t="b">
        <v>1</v>
      </c>
      <c r="F320" s="1">
        <v>0.80486111111111114</v>
      </c>
      <c r="G320" s="1">
        <v>0.86805555555555558</v>
      </c>
      <c r="H320">
        <v>91</v>
      </c>
      <c r="I320" t="b">
        <v>0</v>
      </c>
      <c r="J320" t="b">
        <v>0</v>
      </c>
      <c r="K320" t="b">
        <v>0</v>
      </c>
      <c r="L320" t="s">
        <v>35</v>
      </c>
      <c r="M320">
        <v>70</v>
      </c>
      <c r="N320" t="s">
        <v>64</v>
      </c>
      <c r="O320">
        <v>52.5</v>
      </c>
      <c r="P320" t="s">
        <v>36</v>
      </c>
      <c r="Q320">
        <v>0</v>
      </c>
      <c r="R320">
        <v>52.5</v>
      </c>
      <c r="S320" t="s">
        <v>53</v>
      </c>
      <c r="T320" t="s">
        <v>54</v>
      </c>
      <c r="U320">
        <v>32.715699999999998</v>
      </c>
      <c r="V320">
        <v>-117.1611</v>
      </c>
      <c r="W320" s="2">
        <v>45664</v>
      </c>
      <c r="X320">
        <v>0</v>
      </c>
      <c r="Y320" t="b">
        <v>0</v>
      </c>
      <c r="Z320" s="2">
        <v>45851</v>
      </c>
      <c r="AA320" t="str">
        <f t="shared" si="41"/>
        <v>40–49</v>
      </c>
      <c r="AB320" t="str">
        <f t="shared" si="42"/>
        <v>40–49</v>
      </c>
      <c r="AC320" t="str">
        <f t="shared" si="43"/>
        <v/>
      </c>
      <c r="AD320" t="str">
        <f t="shared" si="44"/>
        <v>Tuesday</v>
      </c>
      <c r="AE320" t="str">
        <f t="shared" si="45"/>
        <v/>
      </c>
      <c r="AF320" t="str">
        <f t="shared" si="46"/>
        <v/>
      </c>
      <c r="AG320" t="str">
        <f t="shared" si="47"/>
        <v>Friday</v>
      </c>
      <c r="AH320" t="str">
        <f t="shared" si="48"/>
        <v/>
      </c>
      <c r="AI320" t="str">
        <f t="shared" si="49"/>
        <v/>
      </c>
      <c r="AJ320" t="str">
        <f>LEFT(Table1[[#This Row],[membership_type]],2)&amp;TEXT(Table1[[#This Row],[age]],"00")&amp;"-"&amp;TEXT(ROW(),"000")</f>
        <v>El47-320</v>
      </c>
      <c r="AK320" t="str">
        <f>LEFT(Table1[[#This Row],[membership_type]],1)&amp;TEXT(MATCH(Table1[[#This Row],[membership_type]],Table1[membership_type],0),"00")</f>
        <v>E07</v>
      </c>
      <c r="AL320" t="str">
        <f>LEFT(Table1[[#This Row],[discount_type]],1)&amp;TEXT(ROUND(Table1[[#This Row],[discount_rate]]*100,0),"00")</f>
        <v>N00</v>
      </c>
      <c r="AM320" t="str" cm="1">
        <f t="array" ref="AM320">TEXT(SUMPRODUCT(CODE(MID(Table1[[#This Row],[home_gym_location]],_xlfn.SEQUENCE(LEN(Table1[[#This Row],[home_gym_location]])),1))),"00000")</f>
        <v>01018</v>
      </c>
      <c r="AN32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320" t="str">
        <f>LEFT(_xlfn.TEXTBEFORE(Table1[[#This Row],[Location Identifier]],"-"),3) &amp; "-" &amp; _xlfn.TEXTAFTER(Table1[[#This Row],[Location Identifier]],"-")</f>
        <v>SAN-008</v>
      </c>
      <c r="AP320" s="9">
        <f t="shared" ca="1" si="40"/>
        <v>45869</v>
      </c>
    </row>
    <row r="321" spans="1:42" x14ac:dyDescent="0.25">
      <c r="A321">
        <v>24</v>
      </c>
      <c r="B321" t="s">
        <v>26</v>
      </c>
      <c r="C321">
        <v>1</v>
      </c>
      <c r="D321" t="s">
        <v>75</v>
      </c>
      <c r="E321" t="b">
        <v>1</v>
      </c>
      <c r="F321" s="1">
        <v>0.62847222222222221</v>
      </c>
      <c r="G321" s="1">
        <v>0.72430555555555554</v>
      </c>
      <c r="H321">
        <v>138</v>
      </c>
      <c r="I321" t="b">
        <v>0</v>
      </c>
      <c r="J321" t="b">
        <v>0</v>
      </c>
      <c r="K321" t="b">
        <v>0</v>
      </c>
      <c r="L321" t="s">
        <v>62</v>
      </c>
      <c r="M321">
        <v>50</v>
      </c>
      <c r="N321" t="s">
        <v>64</v>
      </c>
      <c r="O321">
        <v>37.5</v>
      </c>
      <c r="P321" t="s">
        <v>36</v>
      </c>
      <c r="Q321">
        <v>0</v>
      </c>
      <c r="R321">
        <v>37.5</v>
      </c>
      <c r="S321" t="s">
        <v>31</v>
      </c>
      <c r="T321" t="s">
        <v>65</v>
      </c>
      <c r="U321">
        <v>33.770099999999999</v>
      </c>
      <c r="V321">
        <v>-118.19370000000001</v>
      </c>
      <c r="W321" s="2">
        <v>45564</v>
      </c>
      <c r="X321">
        <v>0</v>
      </c>
      <c r="Y321" t="b">
        <v>0</v>
      </c>
      <c r="Z321" s="2">
        <v>45845</v>
      </c>
      <c r="AA321" t="str">
        <f t="shared" si="41"/>
        <v>20–29</v>
      </c>
      <c r="AB321" t="str">
        <f t="shared" si="42"/>
        <v>20–29</v>
      </c>
      <c r="AC321" t="str">
        <f t="shared" si="43"/>
        <v/>
      </c>
      <c r="AD321" t="str">
        <f t="shared" si="44"/>
        <v/>
      </c>
      <c r="AE321" t="str">
        <f t="shared" si="45"/>
        <v/>
      </c>
      <c r="AF321" t="str">
        <f t="shared" si="46"/>
        <v/>
      </c>
      <c r="AG321" t="str">
        <f t="shared" si="47"/>
        <v>Friday</v>
      </c>
      <c r="AH321" t="str">
        <f t="shared" si="48"/>
        <v/>
      </c>
      <c r="AI321" t="str">
        <f t="shared" si="49"/>
        <v/>
      </c>
      <c r="AJ321" t="str">
        <f>LEFT(Table1[[#This Row],[membership_type]],2)&amp;TEXT(Table1[[#This Row],[age]],"00")&amp;"-"&amp;TEXT(ROW(),"000")</f>
        <v>Pr24-321</v>
      </c>
      <c r="AK321" t="str">
        <f>LEFT(Table1[[#This Row],[membership_type]],1)&amp;TEXT(MATCH(Table1[[#This Row],[membership_type]],Table1[membership_type],0),"00")</f>
        <v>P01</v>
      </c>
      <c r="AL321" t="str">
        <f>LEFT(Table1[[#This Row],[discount_type]],1)&amp;TEXT(ROUND(Table1[[#This Row],[discount_rate]]*100,0),"00")</f>
        <v>N00</v>
      </c>
      <c r="AM321" t="str" cm="1">
        <f t="array" ref="AM321">TEXT(SUMPRODUCT(CODE(MID(Table1[[#This Row],[home_gym_location]],_xlfn.SEQUENCE(LEN(Table1[[#This Row],[home_gym_location]])),1))),"00000")</f>
        <v>01107</v>
      </c>
      <c r="AN32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21" t="str">
        <f>LEFT(_xlfn.TEXTBEFORE(Table1[[#This Row],[Location Identifier]],"-"),3) &amp; "-" &amp; _xlfn.TEXTAFTER(Table1[[#This Row],[Location Identifier]],"-")</f>
        <v>LON-004</v>
      </c>
      <c r="AP321" s="9">
        <f t="shared" ca="1" si="40"/>
        <v>45869</v>
      </c>
    </row>
    <row r="322" spans="1:42" x14ac:dyDescent="0.25">
      <c r="A322">
        <v>39</v>
      </c>
      <c r="B322" t="s">
        <v>26</v>
      </c>
      <c r="C322">
        <v>4</v>
      </c>
      <c r="D322" t="s">
        <v>85</v>
      </c>
      <c r="E322" t="b">
        <v>1</v>
      </c>
      <c r="F322" s="1">
        <v>0.68125000000000002</v>
      </c>
      <c r="G322" s="1">
        <v>0.7319444444444444</v>
      </c>
      <c r="H322">
        <v>73</v>
      </c>
      <c r="I322" t="b">
        <v>1</v>
      </c>
      <c r="J322" t="b">
        <v>1</v>
      </c>
      <c r="K322" t="b">
        <v>0</v>
      </c>
      <c r="L322" t="s">
        <v>62</v>
      </c>
      <c r="M322">
        <v>50</v>
      </c>
      <c r="N322" t="s">
        <v>78</v>
      </c>
      <c r="O322">
        <v>45</v>
      </c>
      <c r="P322" t="s">
        <v>74</v>
      </c>
      <c r="Q322">
        <v>0.15</v>
      </c>
      <c r="R322">
        <v>38.25</v>
      </c>
      <c r="S322" t="s">
        <v>31</v>
      </c>
      <c r="T322" t="s">
        <v>45</v>
      </c>
      <c r="U322">
        <v>33.836599999999997</v>
      </c>
      <c r="V322">
        <v>-117.9143</v>
      </c>
      <c r="W322" s="2">
        <v>45246</v>
      </c>
      <c r="X322">
        <v>3</v>
      </c>
      <c r="Y322" t="b">
        <v>1</v>
      </c>
      <c r="Z322" s="2">
        <v>45828</v>
      </c>
      <c r="AA322" t="str">
        <f t="shared" si="41"/>
        <v>30–39</v>
      </c>
      <c r="AB322" t="str">
        <f t="shared" si="42"/>
        <v>30–39</v>
      </c>
      <c r="AC322" t="str">
        <f t="shared" si="43"/>
        <v/>
      </c>
      <c r="AD322" t="str">
        <f t="shared" si="44"/>
        <v>Tuesday</v>
      </c>
      <c r="AE322" t="str">
        <f t="shared" si="45"/>
        <v/>
      </c>
      <c r="AF322" t="str">
        <f t="shared" si="46"/>
        <v>Thursday</v>
      </c>
      <c r="AG322" t="str">
        <f t="shared" si="47"/>
        <v/>
      </c>
      <c r="AH322" t="str">
        <f t="shared" si="48"/>
        <v>Saturday</v>
      </c>
      <c r="AI322" t="str">
        <f t="shared" si="49"/>
        <v>Sunday</v>
      </c>
      <c r="AJ322" t="str">
        <f>LEFT(Table1[[#This Row],[membership_type]],2)&amp;TEXT(Table1[[#This Row],[age]],"00")&amp;"-"&amp;TEXT(ROW(),"000")</f>
        <v>Pr39-322</v>
      </c>
      <c r="AK322" t="str">
        <f>LEFT(Table1[[#This Row],[membership_type]],1)&amp;TEXT(MATCH(Table1[[#This Row],[membership_type]],Table1[membership_type],0),"00")</f>
        <v>P01</v>
      </c>
      <c r="AL322" t="str">
        <f>LEFT(Table1[[#This Row],[discount_type]],1)&amp;TEXT(ROUND(Table1[[#This Row],[discount_rate]]*100,0),"00")</f>
        <v>S15</v>
      </c>
      <c r="AM322" t="str" cm="1">
        <f t="array" ref="AM322">TEXT(SUMPRODUCT(CODE(MID(Table1[[#This Row],[home_gym_location]],_xlfn.SEQUENCE(LEN(Table1[[#This Row],[home_gym_location]])),1))),"00000")</f>
        <v>00899</v>
      </c>
      <c r="AN322" t="str">
        <f>UPPER(_xlfn.TEXTBEFORE(Table1[[#This Row],[home_gym_location]],","))&amp;"-"&amp;TEXT(MATCH(Table1[[#This Row],[home_gym_location]],_xlfn._xlws.SORT(_xlfn.UNIQUE(Table1[home_gym_location])),0),"000")</f>
        <v>ANAHEIM-001</v>
      </c>
      <c r="AO322" t="str">
        <f>LEFT(_xlfn.TEXTBEFORE(Table1[[#This Row],[Location Identifier]],"-"),3) &amp; "-" &amp; _xlfn.TEXTAFTER(Table1[[#This Row],[Location Identifier]],"-")</f>
        <v>ANA-001</v>
      </c>
      <c r="AP322" s="9">
        <f t="shared" ref="AP322:AP385" ca="1" si="50">EOMONTH(DATE(YEAR(TODAY()),7,1),0)</f>
        <v>45869</v>
      </c>
    </row>
    <row r="323" spans="1:42" x14ac:dyDescent="0.25">
      <c r="A323">
        <v>33</v>
      </c>
      <c r="B323" t="s">
        <v>26</v>
      </c>
      <c r="C323">
        <v>1</v>
      </c>
      <c r="D323" t="s">
        <v>75</v>
      </c>
      <c r="E323" t="b">
        <v>1</v>
      </c>
      <c r="F323" s="1">
        <v>0.67083333333333328</v>
      </c>
      <c r="G323" s="1">
        <v>0.70972222222222225</v>
      </c>
      <c r="H323">
        <v>56</v>
      </c>
      <c r="I323" t="b">
        <v>0</v>
      </c>
      <c r="J323" t="b">
        <v>0</v>
      </c>
      <c r="K323" t="b">
        <v>0</v>
      </c>
      <c r="L323" t="s">
        <v>62</v>
      </c>
      <c r="M323">
        <v>50</v>
      </c>
      <c r="N323" t="s">
        <v>29</v>
      </c>
      <c r="O323">
        <v>50</v>
      </c>
      <c r="P323" t="s">
        <v>40</v>
      </c>
      <c r="Q323">
        <v>0.1</v>
      </c>
      <c r="R323">
        <v>45</v>
      </c>
      <c r="S323" t="s">
        <v>31</v>
      </c>
      <c r="T323" t="s">
        <v>38</v>
      </c>
      <c r="U323">
        <v>36.7378</v>
      </c>
      <c r="V323">
        <v>-119.7871</v>
      </c>
      <c r="W323" s="2">
        <v>45069</v>
      </c>
      <c r="X323">
        <v>0</v>
      </c>
      <c r="Y323" t="b">
        <v>1</v>
      </c>
      <c r="Z323" s="2">
        <v>45818</v>
      </c>
      <c r="AA323" t="str">
        <f t="shared" ref="AA323:AA386" si="51">TEXT(10*INT($A323/10),"0")&amp;"–"&amp;TEXT(10*INT($A323/10)+9,"0")</f>
        <v>30–39</v>
      </c>
      <c r="AB323" t="str">
        <f t="shared" ref="AB323:AB386" si="52">IF(AND($AA323 = "10–19", $A323 &lt; 16), "Under 16", IF(AND($AA323 = "10–19", $A323 &gt;= 16), "16–19", $AA323))</f>
        <v>30–39</v>
      </c>
      <c r="AC323" t="str">
        <f t="shared" ref="AC323:AC386" si="53">IF(ISNUMBER(SEARCH("Mon", $D323)), "Monday", "")</f>
        <v/>
      </c>
      <c r="AD323" t="str">
        <f t="shared" ref="AD323:AD386" si="54">IF(ISNUMBER(SEARCH("Tue", $D323)), "Tuesday", "")</f>
        <v/>
      </c>
      <c r="AE323" t="str">
        <f t="shared" ref="AE323:AE386" si="55">IF(ISNUMBER(SEARCH("Wed", $D323)), "Wednesday", "")</f>
        <v/>
      </c>
      <c r="AF323" t="str">
        <f t="shared" ref="AF323:AF386" si="56">IF(ISNUMBER(SEARCH("Thu", $D323)), "Thursday", "")</f>
        <v/>
      </c>
      <c r="AG323" t="str">
        <f t="shared" ref="AG323:AG386" si="57">IF(ISNUMBER(SEARCH("Fri", $D323)), "Friday", "")</f>
        <v>Friday</v>
      </c>
      <c r="AH323" t="str">
        <f t="shared" ref="AH323:AH386" si="58">IF(ISNUMBER(SEARCH("Sat", $D323)), "Saturday", "")</f>
        <v/>
      </c>
      <c r="AI323" t="str">
        <f t="shared" ref="AI323:AI386" si="59">IF(ISNUMBER(SEARCH("Sun", $D323)), "Sunday", "")</f>
        <v/>
      </c>
      <c r="AJ323" t="str">
        <f>LEFT(Table1[[#This Row],[membership_type]],2)&amp;TEXT(Table1[[#This Row],[age]],"00")&amp;"-"&amp;TEXT(ROW(),"000")</f>
        <v>Pr33-323</v>
      </c>
      <c r="AK323" t="str">
        <f>LEFT(Table1[[#This Row],[membership_type]],1)&amp;TEXT(MATCH(Table1[[#This Row],[membership_type]],Table1[membership_type],0),"00")</f>
        <v>P01</v>
      </c>
      <c r="AL323" t="str">
        <f>LEFT(Table1[[#This Row],[discount_type]],1)&amp;TEXT(ROUND(Table1[[#This Row],[discount_rate]]*100,0),"00")</f>
        <v>L10</v>
      </c>
      <c r="AM323" t="str" cm="1">
        <f t="array" ref="AM323">TEXT(SUMPRODUCT(CODE(MID(Table1[[#This Row],[home_gym_location]],_xlfn.SEQUENCE(LEN(Table1[[#This Row],[home_gym_location]])),1))),"00000")</f>
        <v>00829</v>
      </c>
      <c r="AN323" t="str">
        <f>UPPER(_xlfn.TEXTBEFORE(Table1[[#This Row],[home_gym_location]],","))&amp;"-"&amp;TEXT(MATCH(Table1[[#This Row],[home_gym_location]],_xlfn._xlws.SORT(_xlfn.UNIQUE(Table1[home_gym_location])),0),"000")</f>
        <v>FRESNO-003</v>
      </c>
      <c r="AO323" t="str">
        <f>LEFT(_xlfn.TEXTBEFORE(Table1[[#This Row],[Location Identifier]],"-"),3) &amp; "-" &amp; _xlfn.TEXTAFTER(Table1[[#This Row],[Location Identifier]],"-")</f>
        <v>FRE-003</v>
      </c>
      <c r="AP323" s="9">
        <f t="shared" ca="1" si="50"/>
        <v>45869</v>
      </c>
    </row>
    <row r="324" spans="1:42" x14ac:dyDescent="0.25">
      <c r="A324">
        <v>47</v>
      </c>
      <c r="B324" t="s">
        <v>42</v>
      </c>
      <c r="C324">
        <v>2</v>
      </c>
      <c r="D324" t="s">
        <v>43</v>
      </c>
      <c r="E324" t="b">
        <v>1</v>
      </c>
      <c r="F324" s="1">
        <v>0.79583333333333328</v>
      </c>
      <c r="G324" s="1">
        <v>0.82152777777777775</v>
      </c>
      <c r="H324">
        <v>37</v>
      </c>
      <c r="I324" t="b">
        <v>0</v>
      </c>
      <c r="J324" t="b">
        <v>1</v>
      </c>
      <c r="K324" t="b">
        <v>1</v>
      </c>
      <c r="L324" t="s">
        <v>35</v>
      </c>
      <c r="M324">
        <v>20</v>
      </c>
      <c r="N324" t="s">
        <v>29</v>
      </c>
      <c r="O324">
        <v>20</v>
      </c>
      <c r="P324" t="s">
        <v>36</v>
      </c>
      <c r="Q324">
        <v>0</v>
      </c>
      <c r="R324">
        <v>20</v>
      </c>
      <c r="S324" t="s">
        <v>44</v>
      </c>
      <c r="T324" t="s">
        <v>59</v>
      </c>
      <c r="U324">
        <v>37.774900000000002</v>
      </c>
      <c r="V324">
        <v>-122.4194</v>
      </c>
      <c r="W324" s="2">
        <v>45127</v>
      </c>
      <c r="X324">
        <v>2</v>
      </c>
      <c r="Y324" t="b">
        <v>0</v>
      </c>
      <c r="Z324" s="2">
        <v>45821</v>
      </c>
      <c r="AA324" t="str">
        <f t="shared" si="51"/>
        <v>40–49</v>
      </c>
      <c r="AB324" t="str">
        <f t="shared" si="52"/>
        <v>40–49</v>
      </c>
      <c r="AC324" t="str">
        <f t="shared" si="53"/>
        <v>Monday</v>
      </c>
      <c r="AD324" t="str">
        <f t="shared" si="54"/>
        <v>Tuesday</v>
      </c>
      <c r="AE324" t="str">
        <f t="shared" si="55"/>
        <v/>
      </c>
      <c r="AF324" t="str">
        <f t="shared" si="56"/>
        <v/>
      </c>
      <c r="AG324" t="str">
        <f t="shared" si="57"/>
        <v/>
      </c>
      <c r="AH324" t="str">
        <f t="shared" si="58"/>
        <v/>
      </c>
      <c r="AI324" t="str">
        <f t="shared" si="59"/>
        <v/>
      </c>
      <c r="AJ324" t="str">
        <f>LEFT(Table1[[#This Row],[membership_type]],2)&amp;TEXT(Table1[[#This Row],[age]],"00")&amp;"-"&amp;TEXT(ROW(),"000")</f>
        <v>Ba47-324</v>
      </c>
      <c r="AK324" t="str">
        <f>LEFT(Table1[[#This Row],[membership_type]],1)&amp;TEXT(MATCH(Table1[[#This Row],[membership_type]],Table1[membership_type],0),"00")</f>
        <v>B04</v>
      </c>
      <c r="AL324" t="str">
        <f>LEFT(Table1[[#This Row],[discount_type]],1)&amp;TEXT(ROUND(Table1[[#This Row],[discount_rate]]*100,0),"00")</f>
        <v>N00</v>
      </c>
      <c r="AM324" t="str" cm="1">
        <f t="array" ref="AM324">TEXT(SUMPRODUCT(CODE(MID(Table1[[#This Row],[home_gym_location]],_xlfn.SEQUENCE(LEN(Table1[[#This Row],[home_gym_location]])),1))),"00000")</f>
        <v>01450</v>
      </c>
      <c r="AN32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24" t="str">
        <f>LEFT(_xlfn.TEXTBEFORE(Table1[[#This Row],[Location Identifier]],"-"),3) &amp; "-" &amp; _xlfn.TEXTAFTER(Table1[[#This Row],[Location Identifier]],"-")</f>
        <v>SAN-009</v>
      </c>
      <c r="AP324" s="9">
        <f t="shared" ca="1" si="50"/>
        <v>45869</v>
      </c>
    </row>
    <row r="325" spans="1:42" x14ac:dyDescent="0.25">
      <c r="A325">
        <v>22</v>
      </c>
      <c r="B325" t="s">
        <v>33</v>
      </c>
      <c r="C325">
        <v>3</v>
      </c>
      <c r="D325" t="s">
        <v>100</v>
      </c>
      <c r="E325" t="b">
        <v>1</v>
      </c>
      <c r="F325" s="1">
        <v>0.68819444444444444</v>
      </c>
      <c r="G325" s="1">
        <v>0.77708333333333335</v>
      </c>
      <c r="H325">
        <v>128</v>
      </c>
      <c r="I325" t="b">
        <v>0</v>
      </c>
      <c r="J325" t="b">
        <v>0</v>
      </c>
      <c r="K325" t="b">
        <v>0</v>
      </c>
      <c r="L325" t="s">
        <v>62</v>
      </c>
      <c r="M325">
        <v>30</v>
      </c>
      <c r="N325" t="s">
        <v>29</v>
      </c>
      <c r="O325">
        <v>30</v>
      </c>
      <c r="P325" t="s">
        <v>36</v>
      </c>
      <c r="Q325">
        <v>0</v>
      </c>
      <c r="R325">
        <v>30</v>
      </c>
      <c r="S325" t="s">
        <v>37</v>
      </c>
      <c r="T325" t="s">
        <v>56</v>
      </c>
      <c r="U325">
        <v>35.3733</v>
      </c>
      <c r="V325">
        <v>-119.0187</v>
      </c>
      <c r="W325" s="2">
        <v>45532</v>
      </c>
      <c r="X325">
        <v>0</v>
      </c>
      <c r="Y325" t="b">
        <v>0</v>
      </c>
      <c r="Z325" s="2">
        <v>45844</v>
      </c>
      <c r="AA325" t="str">
        <f t="shared" si="51"/>
        <v>20–29</v>
      </c>
      <c r="AB325" t="str">
        <f t="shared" si="52"/>
        <v>20–29</v>
      </c>
      <c r="AC325" t="str">
        <f t="shared" si="53"/>
        <v/>
      </c>
      <c r="AD325" t="str">
        <f t="shared" si="54"/>
        <v/>
      </c>
      <c r="AE325" t="str">
        <f t="shared" si="55"/>
        <v>Wednesday</v>
      </c>
      <c r="AF325" t="str">
        <f t="shared" si="56"/>
        <v/>
      </c>
      <c r="AG325" t="str">
        <f t="shared" si="57"/>
        <v>Friday</v>
      </c>
      <c r="AH325" t="str">
        <f t="shared" si="58"/>
        <v/>
      </c>
      <c r="AI325" t="str">
        <f t="shared" si="59"/>
        <v>Sunday</v>
      </c>
      <c r="AJ325" t="str">
        <f>LEFT(Table1[[#This Row],[membership_type]],2)&amp;TEXT(Table1[[#This Row],[age]],"00")&amp;"-"&amp;TEXT(ROW(),"000")</f>
        <v>St22-325</v>
      </c>
      <c r="AK325" t="str">
        <f>LEFT(Table1[[#This Row],[membership_type]],1)&amp;TEXT(MATCH(Table1[[#This Row],[membership_type]],Table1[membership_type],0),"00")</f>
        <v>S02</v>
      </c>
      <c r="AL325" t="str">
        <f>LEFT(Table1[[#This Row],[discount_type]],1)&amp;TEXT(ROUND(Table1[[#This Row],[discount_rate]]*100,0),"00")</f>
        <v>N00</v>
      </c>
      <c r="AM325" t="str" cm="1">
        <f t="array" ref="AM325">TEXT(SUMPRODUCT(CODE(MID(Table1[[#This Row],[home_gym_location]],_xlfn.SEQUENCE(LEN(Table1[[#This Row],[home_gym_location]])),1))),"00000")</f>
        <v>01324</v>
      </c>
      <c r="AN32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25" t="str">
        <f>LEFT(_xlfn.TEXTBEFORE(Table1[[#This Row],[Location Identifier]],"-"),3) &amp; "-" &amp; _xlfn.TEXTAFTER(Table1[[#This Row],[Location Identifier]],"-")</f>
        <v>BAK-002</v>
      </c>
      <c r="AP325" s="9">
        <f t="shared" ca="1" si="50"/>
        <v>45869</v>
      </c>
    </row>
    <row r="326" spans="1:42" x14ac:dyDescent="0.25">
      <c r="A326">
        <v>42</v>
      </c>
      <c r="B326" t="s">
        <v>42</v>
      </c>
      <c r="C326">
        <v>3</v>
      </c>
      <c r="D326" t="s">
        <v>91</v>
      </c>
      <c r="E326" t="b">
        <v>0</v>
      </c>
      <c r="F326" s="1">
        <v>0.68055555555555558</v>
      </c>
      <c r="G326" s="1">
        <v>0.72222222222222221</v>
      </c>
      <c r="H326">
        <v>60</v>
      </c>
      <c r="I326" t="b">
        <v>1</v>
      </c>
      <c r="J326" t="b">
        <v>1</v>
      </c>
      <c r="K326" t="b">
        <v>0</v>
      </c>
      <c r="L326" t="s">
        <v>28</v>
      </c>
      <c r="M326">
        <v>20</v>
      </c>
      <c r="N326" t="s">
        <v>29</v>
      </c>
      <c r="O326">
        <v>20</v>
      </c>
      <c r="P326" t="s">
        <v>30</v>
      </c>
      <c r="Q326">
        <v>0.05</v>
      </c>
      <c r="R326">
        <v>19</v>
      </c>
      <c r="S326" t="s">
        <v>44</v>
      </c>
      <c r="T326" t="s">
        <v>32</v>
      </c>
      <c r="U326">
        <v>37.338200000000001</v>
      </c>
      <c r="V326">
        <v>-121.88630000000001</v>
      </c>
      <c r="W326" s="2">
        <v>44814</v>
      </c>
      <c r="X326">
        <v>3</v>
      </c>
      <c r="Y326" t="b">
        <v>0</v>
      </c>
      <c r="Z326" s="2">
        <v>45803</v>
      </c>
      <c r="AA326" t="str">
        <f t="shared" si="51"/>
        <v>40–49</v>
      </c>
      <c r="AB326" t="str">
        <f t="shared" si="52"/>
        <v>40–49</v>
      </c>
      <c r="AC326" t="str">
        <f t="shared" si="53"/>
        <v>Monday</v>
      </c>
      <c r="AD326" t="str">
        <f t="shared" si="54"/>
        <v/>
      </c>
      <c r="AE326" t="str">
        <f t="shared" si="55"/>
        <v/>
      </c>
      <c r="AF326" t="str">
        <f t="shared" si="56"/>
        <v>Thursday</v>
      </c>
      <c r="AG326" t="str">
        <f t="shared" si="57"/>
        <v/>
      </c>
      <c r="AH326" t="str">
        <f t="shared" si="58"/>
        <v>Saturday</v>
      </c>
      <c r="AI326" t="str">
        <f t="shared" si="59"/>
        <v/>
      </c>
      <c r="AJ326" t="str">
        <f>LEFT(Table1[[#This Row],[membership_type]],2)&amp;TEXT(Table1[[#This Row],[age]],"00")&amp;"-"&amp;TEXT(ROW(),"000")</f>
        <v>Ba42-326</v>
      </c>
      <c r="AK326" t="str">
        <f>LEFT(Table1[[#This Row],[membership_type]],1)&amp;TEXT(MATCH(Table1[[#This Row],[membership_type]],Table1[membership_type],0),"00")</f>
        <v>B04</v>
      </c>
      <c r="AL326" t="str">
        <f>LEFT(Table1[[#This Row],[discount_type]],1)&amp;TEXT(ROUND(Table1[[#This Row],[discount_rate]]*100,0),"00")</f>
        <v>P05</v>
      </c>
      <c r="AM326" t="str" cm="1">
        <f t="array" ref="AM326">TEXT(SUMPRODUCT(CODE(MID(Table1[[#This Row],[home_gym_location]],_xlfn.SEQUENCE(LEN(Table1[[#This Row],[home_gym_location]])),1))),"00000")</f>
        <v>00931</v>
      </c>
      <c r="AN32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26" t="str">
        <f>LEFT(_xlfn.TEXTBEFORE(Table1[[#This Row],[Location Identifier]],"-"),3) &amp; "-" &amp; _xlfn.TEXTAFTER(Table1[[#This Row],[Location Identifier]],"-")</f>
        <v>SAN-010</v>
      </c>
      <c r="AP326" s="9">
        <f t="shared" ca="1" si="50"/>
        <v>45869</v>
      </c>
    </row>
    <row r="327" spans="1:42" x14ac:dyDescent="0.25">
      <c r="A327">
        <v>42</v>
      </c>
      <c r="B327" t="s">
        <v>26</v>
      </c>
      <c r="C327">
        <v>4</v>
      </c>
      <c r="D327" t="s">
        <v>111</v>
      </c>
      <c r="E327" t="b">
        <v>1</v>
      </c>
      <c r="F327" s="1">
        <v>0.41319444444444442</v>
      </c>
      <c r="G327" s="1">
        <v>0.45763888888888887</v>
      </c>
      <c r="H327">
        <v>64</v>
      </c>
      <c r="I327" t="b">
        <v>0</v>
      </c>
      <c r="J327" t="b">
        <v>0</v>
      </c>
      <c r="K327" t="b">
        <v>1</v>
      </c>
      <c r="L327" t="s">
        <v>28</v>
      </c>
      <c r="M327">
        <v>50</v>
      </c>
      <c r="N327" t="s">
        <v>64</v>
      </c>
      <c r="O327">
        <v>37.5</v>
      </c>
      <c r="P327" t="s">
        <v>30</v>
      </c>
      <c r="Q327">
        <v>0.05</v>
      </c>
      <c r="R327">
        <v>35.625</v>
      </c>
      <c r="S327" t="s">
        <v>31</v>
      </c>
      <c r="T327" t="s">
        <v>32</v>
      </c>
      <c r="U327">
        <v>37.338200000000001</v>
      </c>
      <c r="V327">
        <v>-121.88630000000001</v>
      </c>
      <c r="W327" s="2">
        <v>45045</v>
      </c>
      <c r="X327">
        <v>0</v>
      </c>
      <c r="Y327" t="b">
        <v>0</v>
      </c>
      <c r="Z327" s="2">
        <v>45816</v>
      </c>
      <c r="AA327" t="str">
        <f t="shared" si="51"/>
        <v>40–49</v>
      </c>
      <c r="AB327" t="str">
        <f t="shared" si="52"/>
        <v>40–49</v>
      </c>
      <c r="AC327" t="str">
        <f t="shared" si="53"/>
        <v>Monday</v>
      </c>
      <c r="AD327" t="str">
        <f t="shared" si="54"/>
        <v>Tuesday</v>
      </c>
      <c r="AE327" t="str">
        <f t="shared" si="55"/>
        <v/>
      </c>
      <c r="AF327" t="str">
        <f t="shared" si="56"/>
        <v>Thursday</v>
      </c>
      <c r="AG327" t="str">
        <f t="shared" si="57"/>
        <v>Friday</v>
      </c>
      <c r="AH327" t="str">
        <f t="shared" si="58"/>
        <v/>
      </c>
      <c r="AI327" t="str">
        <f t="shared" si="59"/>
        <v/>
      </c>
      <c r="AJ327" t="str">
        <f>LEFT(Table1[[#This Row],[membership_type]],2)&amp;TEXT(Table1[[#This Row],[age]],"00")&amp;"-"&amp;TEXT(ROW(),"000")</f>
        <v>Pr42-327</v>
      </c>
      <c r="AK327" t="str">
        <f>LEFT(Table1[[#This Row],[membership_type]],1)&amp;TEXT(MATCH(Table1[[#This Row],[membership_type]],Table1[membership_type],0),"00")</f>
        <v>P01</v>
      </c>
      <c r="AL327" t="str">
        <f>LEFT(Table1[[#This Row],[discount_type]],1)&amp;TEXT(ROUND(Table1[[#This Row],[discount_rate]]*100,0),"00")</f>
        <v>P05</v>
      </c>
      <c r="AM327" t="str" cm="1">
        <f t="array" ref="AM327">TEXT(SUMPRODUCT(CODE(MID(Table1[[#This Row],[home_gym_location]],_xlfn.SEQUENCE(LEN(Table1[[#This Row],[home_gym_location]])),1))),"00000")</f>
        <v>00931</v>
      </c>
      <c r="AN32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27" t="str">
        <f>LEFT(_xlfn.TEXTBEFORE(Table1[[#This Row],[Location Identifier]],"-"),3) &amp; "-" &amp; _xlfn.TEXTAFTER(Table1[[#This Row],[Location Identifier]],"-")</f>
        <v>SAN-010</v>
      </c>
      <c r="AP327" s="9">
        <f t="shared" ca="1" si="50"/>
        <v>45869</v>
      </c>
    </row>
    <row r="328" spans="1:42" x14ac:dyDescent="0.25">
      <c r="A328">
        <v>13</v>
      </c>
      <c r="B328" t="s">
        <v>33</v>
      </c>
      <c r="C328">
        <v>3</v>
      </c>
      <c r="D328" t="s">
        <v>93</v>
      </c>
      <c r="E328" t="b">
        <v>0</v>
      </c>
      <c r="F328" s="1">
        <v>0.85069444444444442</v>
      </c>
      <c r="G328" s="1">
        <v>0.94722222222222219</v>
      </c>
      <c r="H328">
        <v>139</v>
      </c>
      <c r="I328" t="b">
        <v>0</v>
      </c>
      <c r="J328" t="b">
        <v>1</v>
      </c>
      <c r="K328" t="b">
        <v>0</v>
      </c>
      <c r="L328" t="s">
        <v>28</v>
      </c>
      <c r="M328">
        <v>30</v>
      </c>
      <c r="N328" t="s">
        <v>29</v>
      </c>
      <c r="O328">
        <v>30</v>
      </c>
      <c r="P328" t="s">
        <v>36</v>
      </c>
      <c r="Q328">
        <v>0</v>
      </c>
      <c r="R328">
        <v>30</v>
      </c>
      <c r="S328" t="s">
        <v>37</v>
      </c>
      <c r="T328" t="s">
        <v>45</v>
      </c>
      <c r="U328">
        <v>33.836599999999997</v>
      </c>
      <c r="V328">
        <v>-117.9143</v>
      </c>
      <c r="W328" s="2">
        <v>45240</v>
      </c>
      <c r="X328">
        <v>3</v>
      </c>
      <c r="Y328" t="b">
        <v>0</v>
      </c>
      <c r="Z328" s="2">
        <v>45827</v>
      </c>
      <c r="AA328" t="str">
        <f t="shared" si="51"/>
        <v>10–19</v>
      </c>
      <c r="AB328" t="str">
        <f t="shared" si="52"/>
        <v>Under 16</v>
      </c>
      <c r="AC328" t="str">
        <f t="shared" si="53"/>
        <v>Monday</v>
      </c>
      <c r="AD328" t="str">
        <f t="shared" si="54"/>
        <v>Tuesday</v>
      </c>
      <c r="AE328" t="str">
        <f t="shared" si="55"/>
        <v/>
      </c>
      <c r="AF328" t="str">
        <f t="shared" si="56"/>
        <v>Thursday</v>
      </c>
      <c r="AG328" t="str">
        <f t="shared" si="57"/>
        <v/>
      </c>
      <c r="AH328" t="str">
        <f t="shared" si="58"/>
        <v/>
      </c>
      <c r="AI328" t="str">
        <f t="shared" si="59"/>
        <v/>
      </c>
      <c r="AJ328" t="str">
        <f>LEFT(Table1[[#This Row],[membership_type]],2)&amp;TEXT(Table1[[#This Row],[age]],"00")&amp;"-"&amp;TEXT(ROW(),"000")</f>
        <v>St13-328</v>
      </c>
      <c r="AK328" t="str">
        <f>LEFT(Table1[[#This Row],[membership_type]],1)&amp;TEXT(MATCH(Table1[[#This Row],[membership_type]],Table1[membership_type],0),"00")</f>
        <v>S02</v>
      </c>
      <c r="AL328" t="str">
        <f>LEFT(Table1[[#This Row],[discount_type]],1)&amp;TEXT(ROUND(Table1[[#This Row],[discount_rate]]*100,0),"00")</f>
        <v>N00</v>
      </c>
      <c r="AM328" t="str" cm="1">
        <f t="array" ref="AM328">TEXT(SUMPRODUCT(CODE(MID(Table1[[#This Row],[home_gym_location]],_xlfn.SEQUENCE(LEN(Table1[[#This Row],[home_gym_location]])),1))),"00000")</f>
        <v>00899</v>
      </c>
      <c r="AN328" t="str">
        <f>UPPER(_xlfn.TEXTBEFORE(Table1[[#This Row],[home_gym_location]],","))&amp;"-"&amp;TEXT(MATCH(Table1[[#This Row],[home_gym_location]],_xlfn._xlws.SORT(_xlfn.UNIQUE(Table1[home_gym_location])),0),"000")</f>
        <v>ANAHEIM-001</v>
      </c>
      <c r="AO328" t="str">
        <f>LEFT(_xlfn.TEXTBEFORE(Table1[[#This Row],[Location Identifier]],"-"),3) &amp; "-" &amp; _xlfn.TEXTAFTER(Table1[[#This Row],[Location Identifier]],"-")</f>
        <v>ANA-001</v>
      </c>
      <c r="AP328" s="9">
        <f t="shared" ca="1" si="50"/>
        <v>45869</v>
      </c>
    </row>
    <row r="329" spans="1:42" x14ac:dyDescent="0.25">
      <c r="A329">
        <v>39</v>
      </c>
      <c r="B329" t="s">
        <v>33</v>
      </c>
      <c r="C329">
        <v>5</v>
      </c>
      <c r="D329" t="s">
        <v>118</v>
      </c>
      <c r="E329" t="b">
        <v>1</v>
      </c>
      <c r="F329" s="1">
        <v>0.63611111111111107</v>
      </c>
      <c r="G329" s="1">
        <v>0.71875</v>
      </c>
      <c r="H329">
        <v>119</v>
      </c>
      <c r="I329" t="b">
        <v>1</v>
      </c>
      <c r="J329" t="b">
        <v>1</v>
      </c>
      <c r="K329" t="b">
        <v>0</v>
      </c>
      <c r="L329" t="s">
        <v>62</v>
      </c>
      <c r="M329">
        <v>30</v>
      </c>
      <c r="N329" t="s">
        <v>29</v>
      </c>
      <c r="O329">
        <v>30</v>
      </c>
      <c r="P329" t="s">
        <v>74</v>
      </c>
      <c r="Q329">
        <v>0.15</v>
      </c>
      <c r="R329">
        <v>25.5</v>
      </c>
      <c r="S329" t="s">
        <v>37</v>
      </c>
      <c r="T329" t="s">
        <v>48</v>
      </c>
      <c r="U329">
        <v>38.581600000000002</v>
      </c>
      <c r="V329">
        <v>-121.4944</v>
      </c>
      <c r="W329" s="2">
        <v>45179</v>
      </c>
      <c r="X329">
        <v>5</v>
      </c>
      <c r="Y329" t="b">
        <v>0</v>
      </c>
      <c r="Z329" s="2">
        <v>45824</v>
      </c>
      <c r="AA329" t="str">
        <f t="shared" si="51"/>
        <v>30–39</v>
      </c>
      <c r="AB329" t="str">
        <f t="shared" si="52"/>
        <v>30–39</v>
      </c>
      <c r="AC329" t="str">
        <f t="shared" si="53"/>
        <v>Monday</v>
      </c>
      <c r="AD329" t="str">
        <f t="shared" si="54"/>
        <v/>
      </c>
      <c r="AE329" t="str">
        <f t="shared" si="55"/>
        <v>Wednesday</v>
      </c>
      <c r="AF329" t="str">
        <f t="shared" si="56"/>
        <v>Thursday</v>
      </c>
      <c r="AG329" t="str">
        <f t="shared" si="57"/>
        <v>Friday</v>
      </c>
      <c r="AH329" t="str">
        <f t="shared" si="58"/>
        <v>Saturday</v>
      </c>
      <c r="AI329" t="str">
        <f t="shared" si="59"/>
        <v/>
      </c>
      <c r="AJ329" t="str">
        <f>LEFT(Table1[[#This Row],[membership_type]],2)&amp;TEXT(Table1[[#This Row],[age]],"00")&amp;"-"&amp;TEXT(ROW(),"000")</f>
        <v>St39-329</v>
      </c>
      <c r="AK329" t="str">
        <f>LEFT(Table1[[#This Row],[membership_type]],1)&amp;TEXT(MATCH(Table1[[#This Row],[membership_type]],Table1[membership_type],0),"00")</f>
        <v>S02</v>
      </c>
      <c r="AL329" t="str">
        <f>LEFT(Table1[[#This Row],[discount_type]],1)&amp;TEXT(ROUND(Table1[[#This Row],[discount_rate]]*100,0),"00")</f>
        <v>S15</v>
      </c>
      <c r="AM329" t="str" cm="1">
        <f t="array" ref="AM329">TEXT(SUMPRODUCT(CODE(MID(Table1[[#This Row],[home_gym_location]],_xlfn.SEQUENCE(LEN(Table1[[#This Row],[home_gym_location]])),1))),"00000")</f>
        <v>01245</v>
      </c>
      <c r="AN32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29" t="str">
        <f>LEFT(_xlfn.TEXTBEFORE(Table1[[#This Row],[Location Identifier]],"-"),3) &amp; "-" &amp; _xlfn.TEXTAFTER(Table1[[#This Row],[Location Identifier]],"-")</f>
        <v>SAC-007</v>
      </c>
      <c r="AP329" s="9">
        <f t="shared" ca="1" si="50"/>
        <v>45869</v>
      </c>
    </row>
    <row r="330" spans="1:42" x14ac:dyDescent="0.25">
      <c r="A330">
        <v>40</v>
      </c>
      <c r="B330" t="s">
        <v>42</v>
      </c>
      <c r="C330">
        <v>1</v>
      </c>
      <c r="D330" t="s">
        <v>49</v>
      </c>
      <c r="E330" t="b">
        <v>1</v>
      </c>
      <c r="F330" s="1">
        <v>0.66874999999999996</v>
      </c>
      <c r="G330" s="1">
        <v>0.74236111111111114</v>
      </c>
      <c r="H330">
        <v>106</v>
      </c>
      <c r="I330" t="b">
        <v>0</v>
      </c>
      <c r="J330" t="b">
        <v>0</v>
      </c>
      <c r="K330" t="b">
        <v>1</v>
      </c>
      <c r="L330" t="s">
        <v>28</v>
      </c>
      <c r="M330">
        <v>20</v>
      </c>
      <c r="N330" t="s">
        <v>64</v>
      </c>
      <c r="O330">
        <v>15</v>
      </c>
      <c r="P330" t="s">
        <v>36</v>
      </c>
      <c r="Q330">
        <v>0</v>
      </c>
      <c r="R330">
        <v>15</v>
      </c>
      <c r="S330" t="s">
        <v>44</v>
      </c>
      <c r="T330" t="s">
        <v>38</v>
      </c>
      <c r="U330">
        <v>36.7378</v>
      </c>
      <c r="V330">
        <v>-119.7871</v>
      </c>
      <c r="W330" s="2">
        <v>45384</v>
      </c>
      <c r="X330">
        <v>0</v>
      </c>
      <c r="Y330" t="b">
        <v>0</v>
      </c>
      <c r="Z330" s="2">
        <v>45835</v>
      </c>
      <c r="AA330" t="str">
        <f t="shared" si="51"/>
        <v>40–49</v>
      </c>
      <c r="AB330" t="str">
        <f t="shared" si="52"/>
        <v>40–49</v>
      </c>
      <c r="AC330" t="str">
        <f t="shared" si="53"/>
        <v/>
      </c>
      <c r="AD330" t="str">
        <f t="shared" si="54"/>
        <v/>
      </c>
      <c r="AE330" t="str">
        <f t="shared" si="55"/>
        <v/>
      </c>
      <c r="AF330" t="str">
        <f t="shared" si="56"/>
        <v/>
      </c>
      <c r="AG330" t="str">
        <f t="shared" si="57"/>
        <v/>
      </c>
      <c r="AH330" t="str">
        <f t="shared" si="58"/>
        <v/>
      </c>
      <c r="AI330" t="str">
        <f t="shared" si="59"/>
        <v>Sunday</v>
      </c>
      <c r="AJ330" t="str">
        <f>LEFT(Table1[[#This Row],[membership_type]],2)&amp;TEXT(Table1[[#This Row],[age]],"00")&amp;"-"&amp;TEXT(ROW(),"000")</f>
        <v>Ba40-330</v>
      </c>
      <c r="AK330" t="str">
        <f>LEFT(Table1[[#This Row],[membership_type]],1)&amp;TEXT(MATCH(Table1[[#This Row],[membership_type]],Table1[membership_type],0),"00")</f>
        <v>B04</v>
      </c>
      <c r="AL330" t="str">
        <f>LEFT(Table1[[#This Row],[discount_type]],1)&amp;TEXT(ROUND(Table1[[#This Row],[discount_rate]]*100,0),"00")</f>
        <v>N00</v>
      </c>
      <c r="AM330" t="str" cm="1">
        <f t="array" ref="AM330">TEXT(SUMPRODUCT(CODE(MID(Table1[[#This Row],[home_gym_location]],_xlfn.SEQUENCE(LEN(Table1[[#This Row],[home_gym_location]])),1))),"00000")</f>
        <v>00829</v>
      </c>
      <c r="AN330" t="str">
        <f>UPPER(_xlfn.TEXTBEFORE(Table1[[#This Row],[home_gym_location]],","))&amp;"-"&amp;TEXT(MATCH(Table1[[#This Row],[home_gym_location]],_xlfn._xlws.SORT(_xlfn.UNIQUE(Table1[home_gym_location])),0),"000")</f>
        <v>FRESNO-003</v>
      </c>
      <c r="AO330" t="str">
        <f>LEFT(_xlfn.TEXTBEFORE(Table1[[#This Row],[Location Identifier]],"-"),3) &amp; "-" &amp; _xlfn.TEXTAFTER(Table1[[#This Row],[Location Identifier]],"-")</f>
        <v>FRE-003</v>
      </c>
      <c r="AP330" s="9">
        <f t="shared" ca="1" si="50"/>
        <v>45869</v>
      </c>
    </row>
    <row r="331" spans="1:42" x14ac:dyDescent="0.25">
      <c r="A331">
        <v>36</v>
      </c>
      <c r="B331" t="s">
        <v>51</v>
      </c>
      <c r="C331">
        <v>2</v>
      </c>
      <c r="D331" t="s">
        <v>73</v>
      </c>
      <c r="E331" t="b">
        <v>1</v>
      </c>
      <c r="F331" s="1">
        <v>0.7631944444444444</v>
      </c>
      <c r="G331" s="1">
        <v>0.83472222222222225</v>
      </c>
      <c r="H331">
        <v>103</v>
      </c>
      <c r="I331" t="b">
        <v>0</v>
      </c>
      <c r="J331" t="b">
        <v>1</v>
      </c>
      <c r="K331" t="b">
        <v>1</v>
      </c>
      <c r="L331" t="s">
        <v>28</v>
      </c>
      <c r="M331">
        <v>70</v>
      </c>
      <c r="N331" t="s">
        <v>64</v>
      </c>
      <c r="O331">
        <v>52.5</v>
      </c>
      <c r="P331" t="s">
        <v>30</v>
      </c>
      <c r="Q331">
        <v>0.05</v>
      </c>
      <c r="R331">
        <v>49.875</v>
      </c>
      <c r="S331" t="s">
        <v>53</v>
      </c>
      <c r="T331" t="s">
        <v>65</v>
      </c>
      <c r="U331">
        <v>33.770099999999999</v>
      </c>
      <c r="V331">
        <v>-118.19370000000001</v>
      </c>
      <c r="W331" s="2">
        <v>45567</v>
      </c>
      <c r="X331">
        <v>3</v>
      </c>
      <c r="Y331" t="b">
        <v>1</v>
      </c>
      <c r="Z331" s="2">
        <v>45846</v>
      </c>
      <c r="AA331" t="str">
        <f t="shared" si="51"/>
        <v>30–39</v>
      </c>
      <c r="AB331" t="str">
        <f t="shared" si="52"/>
        <v>30–39</v>
      </c>
      <c r="AC331" t="str">
        <f t="shared" si="53"/>
        <v/>
      </c>
      <c r="AD331" t="str">
        <f t="shared" si="54"/>
        <v>Tuesday</v>
      </c>
      <c r="AE331" t="str">
        <f t="shared" si="55"/>
        <v/>
      </c>
      <c r="AF331" t="str">
        <f t="shared" si="56"/>
        <v/>
      </c>
      <c r="AG331" t="str">
        <f t="shared" si="57"/>
        <v>Friday</v>
      </c>
      <c r="AH331" t="str">
        <f t="shared" si="58"/>
        <v/>
      </c>
      <c r="AI331" t="str">
        <f t="shared" si="59"/>
        <v/>
      </c>
      <c r="AJ331" t="str">
        <f>LEFT(Table1[[#This Row],[membership_type]],2)&amp;TEXT(Table1[[#This Row],[age]],"00")&amp;"-"&amp;TEXT(ROW(),"000")</f>
        <v>El36-331</v>
      </c>
      <c r="AK331" t="str">
        <f>LEFT(Table1[[#This Row],[membership_type]],1)&amp;TEXT(MATCH(Table1[[#This Row],[membership_type]],Table1[membership_type],0),"00")</f>
        <v>E07</v>
      </c>
      <c r="AL331" t="str">
        <f>LEFT(Table1[[#This Row],[discount_type]],1)&amp;TEXT(ROUND(Table1[[#This Row],[discount_rate]]*100,0),"00")</f>
        <v>P05</v>
      </c>
      <c r="AM331" t="str" cm="1">
        <f t="array" ref="AM331">TEXT(SUMPRODUCT(CODE(MID(Table1[[#This Row],[home_gym_location]],_xlfn.SEQUENCE(LEN(Table1[[#This Row],[home_gym_location]])),1))),"00000")</f>
        <v>01107</v>
      </c>
      <c r="AN33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31" t="str">
        <f>LEFT(_xlfn.TEXTBEFORE(Table1[[#This Row],[Location Identifier]],"-"),3) &amp; "-" &amp; _xlfn.TEXTAFTER(Table1[[#This Row],[Location Identifier]],"-")</f>
        <v>LON-004</v>
      </c>
      <c r="AP331" s="9">
        <f t="shared" ca="1" si="50"/>
        <v>45869</v>
      </c>
    </row>
    <row r="332" spans="1:42" x14ac:dyDescent="0.25">
      <c r="A332">
        <v>16</v>
      </c>
      <c r="B332" t="s">
        <v>42</v>
      </c>
      <c r="C332">
        <v>2</v>
      </c>
      <c r="D332" t="s">
        <v>141</v>
      </c>
      <c r="E332" t="b">
        <v>1</v>
      </c>
      <c r="F332" s="1">
        <v>0.52777777777777779</v>
      </c>
      <c r="G332" s="1">
        <v>0.57777777777777772</v>
      </c>
      <c r="H332">
        <v>72</v>
      </c>
      <c r="I332" t="b">
        <v>1</v>
      </c>
      <c r="J332" t="b">
        <v>1</v>
      </c>
      <c r="K332" t="b">
        <v>0</v>
      </c>
      <c r="L332" t="s">
        <v>47</v>
      </c>
      <c r="M332">
        <v>20</v>
      </c>
      <c r="N332" t="s">
        <v>64</v>
      </c>
      <c r="O332">
        <v>15</v>
      </c>
      <c r="P332" t="s">
        <v>36</v>
      </c>
      <c r="Q332">
        <v>0</v>
      </c>
      <c r="R332">
        <v>15</v>
      </c>
      <c r="S332" t="s">
        <v>44</v>
      </c>
      <c r="T332" t="s">
        <v>54</v>
      </c>
      <c r="U332">
        <v>32.715699999999998</v>
      </c>
      <c r="V332">
        <v>-117.1611</v>
      </c>
      <c r="W332" s="2">
        <v>45451</v>
      </c>
      <c r="X332">
        <v>3</v>
      </c>
      <c r="Y332" t="b">
        <v>1</v>
      </c>
      <c r="Z332" s="2">
        <v>45839</v>
      </c>
      <c r="AA332" t="str">
        <f t="shared" si="51"/>
        <v>10–19</v>
      </c>
      <c r="AB332" t="str">
        <f t="shared" si="52"/>
        <v>16–19</v>
      </c>
      <c r="AC332" t="str">
        <f t="shared" si="53"/>
        <v/>
      </c>
      <c r="AD332" t="str">
        <f t="shared" si="54"/>
        <v/>
      </c>
      <c r="AE332" t="str">
        <f t="shared" si="55"/>
        <v>Wednesday</v>
      </c>
      <c r="AF332" t="str">
        <f t="shared" si="56"/>
        <v/>
      </c>
      <c r="AG332" t="str">
        <f t="shared" si="57"/>
        <v>Friday</v>
      </c>
      <c r="AH332" t="str">
        <f t="shared" si="58"/>
        <v/>
      </c>
      <c r="AI332" t="str">
        <f t="shared" si="59"/>
        <v/>
      </c>
      <c r="AJ332" t="str">
        <f>LEFT(Table1[[#This Row],[membership_type]],2)&amp;TEXT(Table1[[#This Row],[age]],"00")&amp;"-"&amp;TEXT(ROW(),"000")</f>
        <v>Ba16-332</v>
      </c>
      <c r="AK332" t="str">
        <f>LEFT(Table1[[#This Row],[membership_type]],1)&amp;TEXT(MATCH(Table1[[#This Row],[membership_type]],Table1[membership_type],0),"00")</f>
        <v>B04</v>
      </c>
      <c r="AL332" t="str">
        <f>LEFT(Table1[[#This Row],[discount_type]],1)&amp;TEXT(ROUND(Table1[[#This Row],[discount_rate]]*100,0),"00")</f>
        <v>N00</v>
      </c>
      <c r="AM332" t="str" cm="1">
        <f t="array" ref="AM332">TEXT(SUMPRODUCT(CODE(MID(Table1[[#This Row],[home_gym_location]],_xlfn.SEQUENCE(LEN(Table1[[#This Row],[home_gym_location]])),1))),"00000")</f>
        <v>01018</v>
      </c>
      <c r="AN33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332" t="str">
        <f>LEFT(_xlfn.TEXTBEFORE(Table1[[#This Row],[Location Identifier]],"-"),3) &amp; "-" &amp; _xlfn.TEXTAFTER(Table1[[#This Row],[Location Identifier]],"-")</f>
        <v>SAN-008</v>
      </c>
      <c r="AP332" s="9">
        <f t="shared" ca="1" si="50"/>
        <v>45869</v>
      </c>
    </row>
    <row r="333" spans="1:42" x14ac:dyDescent="0.25">
      <c r="A333">
        <v>29</v>
      </c>
      <c r="B333" t="s">
        <v>26</v>
      </c>
      <c r="C333">
        <v>2</v>
      </c>
      <c r="D333" t="s">
        <v>79</v>
      </c>
      <c r="E333" t="b">
        <v>0</v>
      </c>
      <c r="F333" s="1">
        <v>0.65208333333333335</v>
      </c>
      <c r="G333" s="1">
        <v>0.74930555555555556</v>
      </c>
      <c r="H333">
        <v>140</v>
      </c>
      <c r="I333" t="b">
        <v>0</v>
      </c>
      <c r="J333" t="b">
        <v>1</v>
      </c>
      <c r="K333" t="b">
        <v>1</v>
      </c>
      <c r="L333" t="s">
        <v>62</v>
      </c>
      <c r="M333">
        <v>50</v>
      </c>
      <c r="N333" t="s">
        <v>64</v>
      </c>
      <c r="O333">
        <v>37.5</v>
      </c>
      <c r="P333" t="s">
        <v>74</v>
      </c>
      <c r="Q333">
        <v>0.15</v>
      </c>
      <c r="R333">
        <v>31.875</v>
      </c>
      <c r="S333" t="s">
        <v>31</v>
      </c>
      <c r="T333" t="s">
        <v>56</v>
      </c>
      <c r="U333">
        <v>35.3733</v>
      </c>
      <c r="V333">
        <v>-119.0187</v>
      </c>
      <c r="W333" s="2">
        <v>45023</v>
      </c>
      <c r="X333">
        <v>8</v>
      </c>
      <c r="Y333" t="b">
        <v>1</v>
      </c>
      <c r="Z333" s="2">
        <v>45815</v>
      </c>
      <c r="AA333" t="str">
        <f t="shared" si="51"/>
        <v>20–29</v>
      </c>
      <c r="AB333" t="str">
        <f t="shared" si="52"/>
        <v>20–29</v>
      </c>
      <c r="AC333" t="str">
        <f t="shared" si="53"/>
        <v/>
      </c>
      <c r="AD333" t="str">
        <f t="shared" si="54"/>
        <v/>
      </c>
      <c r="AE333" t="str">
        <f t="shared" si="55"/>
        <v/>
      </c>
      <c r="AF333" t="str">
        <f t="shared" si="56"/>
        <v/>
      </c>
      <c r="AG333" t="str">
        <f t="shared" si="57"/>
        <v>Friday</v>
      </c>
      <c r="AH333" t="str">
        <f t="shared" si="58"/>
        <v>Saturday</v>
      </c>
      <c r="AI333" t="str">
        <f t="shared" si="59"/>
        <v/>
      </c>
      <c r="AJ333" t="str">
        <f>LEFT(Table1[[#This Row],[membership_type]],2)&amp;TEXT(Table1[[#This Row],[age]],"00")&amp;"-"&amp;TEXT(ROW(),"000")</f>
        <v>Pr29-333</v>
      </c>
      <c r="AK333" t="str">
        <f>LEFT(Table1[[#This Row],[membership_type]],1)&amp;TEXT(MATCH(Table1[[#This Row],[membership_type]],Table1[membership_type],0),"00")</f>
        <v>P01</v>
      </c>
      <c r="AL333" t="str">
        <f>LEFT(Table1[[#This Row],[discount_type]],1)&amp;TEXT(ROUND(Table1[[#This Row],[discount_rate]]*100,0),"00")</f>
        <v>S15</v>
      </c>
      <c r="AM333" t="str" cm="1">
        <f t="array" ref="AM333">TEXT(SUMPRODUCT(CODE(MID(Table1[[#This Row],[home_gym_location]],_xlfn.SEQUENCE(LEN(Table1[[#This Row],[home_gym_location]])),1))),"00000")</f>
        <v>01324</v>
      </c>
      <c r="AN33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33" t="str">
        <f>LEFT(_xlfn.TEXTBEFORE(Table1[[#This Row],[Location Identifier]],"-"),3) &amp; "-" &amp; _xlfn.TEXTAFTER(Table1[[#This Row],[Location Identifier]],"-")</f>
        <v>BAK-002</v>
      </c>
      <c r="AP333" s="9">
        <f t="shared" ca="1" si="50"/>
        <v>45869</v>
      </c>
    </row>
    <row r="334" spans="1:42" x14ac:dyDescent="0.25">
      <c r="A334">
        <v>16</v>
      </c>
      <c r="B334" t="s">
        <v>42</v>
      </c>
      <c r="C334">
        <v>2</v>
      </c>
      <c r="D334" t="s">
        <v>94</v>
      </c>
      <c r="E334" t="b">
        <v>0</v>
      </c>
      <c r="F334" s="1">
        <v>0.47847222222222224</v>
      </c>
      <c r="G334" s="1">
        <v>0.54374999999999996</v>
      </c>
      <c r="H334">
        <v>94</v>
      </c>
      <c r="I334" t="b">
        <v>1</v>
      </c>
      <c r="J334" t="b">
        <v>0</v>
      </c>
      <c r="K334" t="b">
        <v>1</v>
      </c>
      <c r="L334" t="s">
        <v>62</v>
      </c>
      <c r="M334">
        <v>20</v>
      </c>
      <c r="N334" t="s">
        <v>64</v>
      </c>
      <c r="O334">
        <v>15</v>
      </c>
      <c r="P334" t="s">
        <v>36</v>
      </c>
      <c r="Q334">
        <v>0</v>
      </c>
      <c r="R334">
        <v>15</v>
      </c>
      <c r="S334" t="s">
        <v>44</v>
      </c>
      <c r="T334" t="s">
        <v>59</v>
      </c>
      <c r="U334">
        <v>37.774900000000002</v>
      </c>
      <c r="V334">
        <v>-122.4194</v>
      </c>
      <c r="W334" s="2">
        <v>45815</v>
      </c>
      <c r="X334">
        <v>0</v>
      </c>
      <c r="Y334" t="b">
        <v>0</v>
      </c>
      <c r="Z334" s="2">
        <v>45860</v>
      </c>
      <c r="AA334" t="str">
        <f t="shared" si="51"/>
        <v>10–19</v>
      </c>
      <c r="AB334" t="str">
        <f t="shared" si="52"/>
        <v>16–19</v>
      </c>
      <c r="AC334" t="str">
        <f t="shared" si="53"/>
        <v/>
      </c>
      <c r="AD334" t="str">
        <f t="shared" si="54"/>
        <v/>
      </c>
      <c r="AE334" t="str">
        <f t="shared" si="55"/>
        <v/>
      </c>
      <c r="AF334" t="str">
        <f t="shared" si="56"/>
        <v/>
      </c>
      <c r="AG334" t="str">
        <f t="shared" si="57"/>
        <v/>
      </c>
      <c r="AH334" t="str">
        <f t="shared" si="58"/>
        <v>Saturday</v>
      </c>
      <c r="AI334" t="str">
        <f t="shared" si="59"/>
        <v>Sunday</v>
      </c>
      <c r="AJ334" t="str">
        <f>LEFT(Table1[[#This Row],[membership_type]],2)&amp;TEXT(Table1[[#This Row],[age]],"00")&amp;"-"&amp;TEXT(ROW(),"000")</f>
        <v>Ba16-334</v>
      </c>
      <c r="AK334" t="str">
        <f>LEFT(Table1[[#This Row],[membership_type]],1)&amp;TEXT(MATCH(Table1[[#This Row],[membership_type]],Table1[membership_type],0),"00")</f>
        <v>B04</v>
      </c>
      <c r="AL334" t="str">
        <f>LEFT(Table1[[#This Row],[discount_type]],1)&amp;TEXT(ROUND(Table1[[#This Row],[discount_rate]]*100,0),"00")</f>
        <v>N00</v>
      </c>
      <c r="AM334" t="str" cm="1">
        <f t="array" ref="AM334">TEXT(SUMPRODUCT(CODE(MID(Table1[[#This Row],[home_gym_location]],_xlfn.SEQUENCE(LEN(Table1[[#This Row],[home_gym_location]])),1))),"00000")</f>
        <v>01450</v>
      </c>
      <c r="AN33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34" t="str">
        <f>LEFT(_xlfn.TEXTBEFORE(Table1[[#This Row],[Location Identifier]],"-"),3) &amp; "-" &amp; _xlfn.TEXTAFTER(Table1[[#This Row],[Location Identifier]],"-")</f>
        <v>SAN-009</v>
      </c>
      <c r="AP334" s="9">
        <f t="shared" ca="1" si="50"/>
        <v>45869</v>
      </c>
    </row>
    <row r="335" spans="1:42" x14ac:dyDescent="0.25">
      <c r="A335">
        <v>16</v>
      </c>
      <c r="B335" t="s">
        <v>42</v>
      </c>
      <c r="C335">
        <v>3</v>
      </c>
      <c r="D335" t="s">
        <v>100</v>
      </c>
      <c r="E335" t="b">
        <v>1</v>
      </c>
      <c r="F335" s="1">
        <v>0.62013888888888891</v>
      </c>
      <c r="G335" s="1">
        <v>0.70972222222222225</v>
      </c>
      <c r="H335">
        <v>129</v>
      </c>
      <c r="I335" t="b">
        <v>1</v>
      </c>
      <c r="J335" t="b">
        <v>0</v>
      </c>
      <c r="K335" t="b">
        <v>1</v>
      </c>
      <c r="L335" t="s">
        <v>28</v>
      </c>
      <c r="M335">
        <v>20</v>
      </c>
      <c r="N335" t="s">
        <v>29</v>
      </c>
      <c r="O335">
        <v>20</v>
      </c>
      <c r="P335" t="s">
        <v>36</v>
      </c>
      <c r="Q335">
        <v>0</v>
      </c>
      <c r="R335">
        <v>20</v>
      </c>
      <c r="S335" t="s">
        <v>44</v>
      </c>
      <c r="T335" t="s">
        <v>50</v>
      </c>
      <c r="U335">
        <v>34.052199999999999</v>
      </c>
      <c r="V335">
        <v>-118.2437</v>
      </c>
      <c r="W335" s="2">
        <v>45707</v>
      </c>
      <c r="X335">
        <v>0</v>
      </c>
      <c r="Y335" t="b">
        <v>0</v>
      </c>
      <c r="Z335" s="2">
        <v>45854</v>
      </c>
      <c r="AA335" t="str">
        <f t="shared" si="51"/>
        <v>10–19</v>
      </c>
      <c r="AB335" t="str">
        <f t="shared" si="52"/>
        <v>16–19</v>
      </c>
      <c r="AC335" t="str">
        <f t="shared" si="53"/>
        <v/>
      </c>
      <c r="AD335" t="str">
        <f t="shared" si="54"/>
        <v/>
      </c>
      <c r="AE335" t="str">
        <f t="shared" si="55"/>
        <v>Wednesday</v>
      </c>
      <c r="AF335" t="str">
        <f t="shared" si="56"/>
        <v/>
      </c>
      <c r="AG335" t="str">
        <f t="shared" si="57"/>
        <v>Friday</v>
      </c>
      <c r="AH335" t="str">
        <f t="shared" si="58"/>
        <v/>
      </c>
      <c r="AI335" t="str">
        <f t="shared" si="59"/>
        <v>Sunday</v>
      </c>
      <c r="AJ335" t="str">
        <f>LEFT(Table1[[#This Row],[membership_type]],2)&amp;TEXT(Table1[[#This Row],[age]],"00")&amp;"-"&amp;TEXT(ROW(),"000")</f>
        <v>Ba16-335</v>
      </c>
      <c r="AK335" t="str">
        <f>LEFT(Table1[[#This Row],[membership_type]],1)&amp;TEXT(MATCH(Table1[[#This Row],[membership_type]],Table1[membership_type],0),"00")</f>
        <v>B04</v>
      </c>
      <c r="AL335" t="str">
        <f>LEFT(Table1[[#This Row],[discount_type]],1)&amp;TEXT(ROUND(Table1[[#This Row],[discount_rate]]*100,0),"00")</f>
        <v>N00</v>
      </c>
      <c r="AM335" t="str" cm="1">
        <f t="array" ref="AM335">TEXT(SUMPRODUCT(CODE(MID(Table1[[#This Row],[home_gym_location]],_xlfn.SEQUENCE(LEN(Table1[[#This Row],[home_gym_location]])),1))),"00000")</f>
        <v>01245</v>
      </c>
      <c r="AN33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35" t="str">
        <f>LEFT(_xlfn.TEXTBEFORE(Table1[[#This Row],[Location Identifier]],"-"),3) &amp; "-" &amp; _xlfn.TEXTAFTER(Table1[[#This Row],[Location Identifier]],"-")</f>
        <v>LOS-005</v>
      </c>
      <c r="AP335" s="9">
        <f t="shared" ca="1" si="50"/>
        <v>45869</v>
      </c>
    </row>
    <row r="336" spans="1:42" x14ac:dyDescent="0.25">
      <c r="A336">
        <v>30</v>
      </c>
      <c r="B336" t="s">
        <v>26</v>
      </c>
      <c r="C336">
        <v>2</v>
      </c>
      <c r="D336" t="s">
        <v>27</v>
      </c>
      <c r="E336" t="b">
        <v>0</v>
      </c>
      <c r="F336" s="1">
        <v>0.47083333333333333</v>
      </c>
      <c r="G336" s="1">
        <v>0.55208333333333337</v>
      </c>
      <c r="H336">
        <v>117</v>
      </c>
      <c r="I336" t="b">
        <v>0</v>
      </c>
      <c r="J336" t="b">
        <v>1</v>
      </c>
      <c r="K336" t="b">
        <v>0</v>
      </c>
      <c r="L336" t="s">
        <v>58</v>
      </c>
      <c r="M336">
        <v>50</v>
      </c>
      <c r="N336" t="s">
        <v>29</v>
      </c>
      <c r="O336">
        <v>50</v>
      </c>
      <c r="P336" t="s">
        <v>74</v>
      </c>
      <c r="Q336">
        <v>0.15</v>
      </c>
      <c r="R336">
        <v>42.5</v>
      </c>
      <c r="S336" t="s">
        <v>31</v>
      </c>
      <c r="T336" t="s">
        <v>45</v>
      </c>
      <c r="U336">
        <v>33.836599999999997</v>
      </c>
      <c r="V336">
        <v>-117.9143</v>
      </c>
      <c r="W336" s="2">
        <v>45782</v>
      </c>
      <c r="X336">
        <v>4</v>
      </c>
      <c r="Y336" t="b">
        <v>1</v>
      </c>
      <c r="Z336" s="2">
        <v>45858</v>
      </c>
      <c r="AA336" t="str">
        <f t="shared" si="51"/>
        <v>30–39</v>
      </c>
      <c r="AB336" t="str">
        <f t="shared" si="52"/>
        <v>30–39</v>
      </c>
      <c r="AC336" t="str">
        <f t="shared" si="53"/>
        <v/>
      </c>
      <c r="AD336" t="str">
        <f t="shared" si="54"/>
        <v/>
      </c>
      <c r="AE336" t="str">
        <f t="shared" si="55"/>
        <v/>
      </c>
      <c r="AF336" t="str">
        <f t="shared" si="56"/>
        <v>Thursday</v>
      </c>
      <c r="AG336" t="str">
        <f t="shared" si="57"/>
        <v/>
      </c>
      <c r="AH336" t="str">
        <f t="shared" si="58"/>
        <v>Saturday</v>
      </c>
      <c r="AI336" t="str">
        <f t="shared" si="59"/>
        <v/>
      </c>
      <c r="AJ336" t="str">
        <f>LEFT(Table1[[#This Row],[membership_type]],2)&amp;TEXT(Table1[[#This Row],[age]],"00")&amp;"-"&amp;TEXT(ROW(),"000")</f>
        <v>Pr30-336</v>
      </c>
      <c r="AK336" t="str">
        <f>LEFT(Table1[[#This Row],[membership_type]],1)&amp;TEXT(MATCH(Table1[[#This Row],[membership_type]],Table1[membership_type],0),"00")</f>
        <v>P01</v>
      </c>
      <c r="AL336" t="str">
        <f>LEFT(Table1[[#This Row],[discount_type]],1)&amp;TEXT(ROUND(Table1[[#This Row],[discount_rate]]*100,0),"00")</f>
        <v>S15</v>
      </c>
      <c r="AM336" t="str" cm="1">
        <f t="array" ref="AM336">TEXT(SUMPRODUCT(CODE(MID(Table1[[#This Row],[home_gym_location]],_xlfn.SEQUENCE(LEN(Table1[[#This Row],[home_gym_location]])),1))),"00000")</f>
        <v>00899</v>
      </c>
      <c r="AN336" t="str">
        <f>UPPER(_xlfn.TEXTBEFORE(Table1[[#This Row],[home_gym_location]],","))&amp;"-"&amp;TEXT(MATCH(Table1[[#This Row],[home_gym_location]],_xlfn._xlws.SORT(_xlfn.UNIQUE(Table1[home_gym_location])),0),"000")</f>
        <v>ANAHEIM-001</v>
      </c>
      <c r="AO336" t="str">
        <f>LEFT(_xlfn.TEXTBEFORE(Table1[[#This Row],[Location Identifier]],"-"),3) &amp; "-" &amp; _xlfn.TEXTAFTER(Table1[[#This Row],[Location Identifier]],"-")</f>
        <v>ANA-001</v>
      </c>
      <c r="AP336" s="9">
        <f t="shared" ca="1" si="50"/>
        <v>45869</v>
      </c>
    </row>
    <row r="337" spans="1:42" x14ac:dyDescent="0.25">
      <c r="A337">
        <v>43</v>
      </c>
      <c r="B337" t="s">
        <v>42</v>
      </c>
      <c r="C337">
        <v>3</v>
      </c>
      <c r="D337" t="s">
        <v>122</v>
      </c>
      <c r="E337" t="b">
        <v>0</v>
      </c>
      <c r="F337" s="1">
        <v>0.50138888888888888</v>
      </c>
      <c r="G337" s="1">
        <v>0.58819444444444446</v>
      </c>
      <c r="H337">
        <v>125</v>
      </c>
      <c r="I337" t="b">
        <v>1</v>
      </c>
      <c r="J337" t="b">
        <v>1</v>
      </c>
      <c r="K337" t="b">
        <v>1</v>
      </c>
      <c r="L337" t="s">
        <v>28</v>
      </c>
      <c r="M337">
        <v>20</v>
      </c>
      <c r="N337" t="s">
        <v>29</v>
      </c>
      <c r="O337">
        <v>20</v>
      </c>
      <c r="P337" t="s">
        <v>30</v>
      </c>
      <c r="Q337">
        <v>0.05</v>
      </c>
      <c r="R337">
        <v>19</v>
      </c>
      <c r="S337" t="s">
        <v>44</v>
      </c>
      <c r="T337" t="s">
        <v>45</v>
      </c>
      <c r="U337">
        <v>33.836599999999997</v>
      </c>
      <c r="V337">
        <v>-117.9143</v>
      </c>
      <c r="W337" s="2">
        <v>45787</v>
      </c>
      <c r="X337">
        <v>2</v>
      </c>
      <c r="Y337" t="b">
        <v>1</v>
      </c>
      <c r="Z337" s="2">
        <v>45858</v>
      </c>
      <c r="AA337" t="str">
        <f t="shared" si="51"/>
        <v>40–49</v>
      </c>
      <c r="AB337" t="str">
        <f t="shared" si="52"/>
        <v>40–49</v>
      </c>
      <c r="AC337" t="str">
        <f t="shared" si="53"/>
        <v/>
      </c>
      <c r="AD337" t="str">
        <f t="shared" si="54"/>
        <v>Tuesday</v>
      </c>
      <c r="AE337" t="str">
        <f t="shared" si="55"/>
        <v/>
      </c>
      <c r="AF337" t="str">
        <f t="shared" si="56"/>
        <v/>
      </c>
      <c r="AG337" t="str">
        <f t="shared" si="57"/>
        <v>Friday</v>
      </c>
      <c r="AH337" t="str">
        <f t="shared" si="58"/>
        <v/>
      </c>
      <c r="AI337" t="str">
        <f t="shared" si="59"/>
        <v>Sunday</v>
      </c>
      <c r="AJ337" t="str">
        <f>LEFT(Table1[[#This Row],[membership_type]],2)&amp;TEXT(Table1[[#This Row],[age]],"00")&amp;"-"&amp;TEXT(ROW(),"000")</f>
        <v>Ba43-337</v>
      </c>
      <c r="AK337" t="str">
        <f>LEFT(Table1[[#This Row],[membership_type]],1)&amp;TEXT(MATCH(Table1[[#This Row],[membership_type]],Table1[membership_type],0),"00")</f>
        <v>B04</v>
      </c>
      <c r="AL337" t="str">
        <f>LEFT(Table1[[#This Row],[discount_type]],1)&amp;TEXT(ROUND(Table1[[#This Row],[discount_rate]]*100,0),"00")</f>
        <v>P05</v>
      </c>
      <c r="AM337" t="str" cm="1">
        <f t="array" ref="AM337">TEXT(SUMPRODUCT(CODE(MID(Table1[[#This Row],[home_gym_location]],_xlfn.SEQUENCE(LEN(Table1[[#This Row],[home_gym_location]])),1))),"00000")</f>
        <v>00899</v>
      </c>
      <c r="AN337" t="str">
        <f>UPPER(_xlfn.TEXTBEFORE(Table1[[#This Row],[home_gym_location]],","))&amp;"-"&amp;TEXT(MATCH(Table1[[#This Row],[home_gym_location]],_xlfn._xlws.SORT(_xlfn.UNIQUE(Table1[home_gym_location])),0),"000")</f>
        <v>ANAHEIM-001</v>
      </c>
      <c r="AO337" t="str">
        <f>LEFT(_xlfn.TEXTBEFORE(Table1[[#This Row],[Location Identifier]],"-"),3) &amp; "-" &amp; _xlfn.TEXTAFTER(Table1[[#This Row],[Location Identifier]],"-")</f>
        <v>ANA-001</v>
      </c>
      <c r="AP337" s="9">
        <f t="shared" ca="1" si="50"/>
        <v>45869</v>
      </c>
    </row>
    <row r="338" spans="1:42" x14ac:dyDescent="0.25">
      <c r="A338">
        <v>28</v>
      </c>
      <c r="B338" t="s">
        <v>26</v>
      </c>
      <c r="C338">
        <v>5</v>
      </c>
      <c r="D338" t="s">
        <v>69</v>
      </c>
      <c r="E338" t="b">
        <v>1</v>
      </c>
      <c r="F338" s="1">
        <v>0.56319444444444444</v>
      </c>
      <c r="G338" s="1">
        <v>0.65208333333333335</v>
      </c>
      <c r="H338">
        <v>128</v>
      </c>
      <c r="I338" t="b">
        <v>0</v>
      </c>
      <c r="J338" t="b">
        <v>1</v>
      </c>
      <c r="K338" t="b">
        <v>1</v>
      </c>
      <c r="L338" t="s">
        <v>28</v>
      </c>
      <c r="M338">
        <v>50</v>
      </c>
      <c r="N338" t="s">
        <v>29</v>
      </c>
      <c r="O338">
        <v>50</v>
      </c>
      <c r="P338" t="s">
        <v>74</v>
      </c>
      <c r="Q338">
        <v>0.15</v>
      </c>
      <c r="R338">
        <v>42.5</v>
      </c>
      <c r="S338" t="s">
        <v>31</v>
      </c>
      <c r="T338" t="s">
        <v>38</v>
      </c>
      <c r="U338">
        <v>36.7378</v>
      </c>
      <c r="V338">
        <v>-119.7871</v>
      </c>
      <c r="W338" s="2">
        <v>44919</v>
      </c>
      <c r="X338">
        <v>8</v>
      </c>
      <c r="Y338" t="b">
        <v>0</v>
      </c>
      <c r="Z338" s="2">
        <v>45809</v>
      </c>
      <c r="AA338" t="str">
        <f t="shared" si="51"/>
        <v>20–29</v>
      </c>
      <c r="AB338" t="str">
        <f t="shared" si="52"/>
        <v>20–29</v>
      </c>
      <c r="AC338" t="str">
        <f t="shared" si="53"/>
        <v>Monday</v>
      </c>
      <c r="AD338" t="str">
        <f t="shared" si="54"/>
        <v/>
      </c>
      <c r="AE338" t="str">
        <f t="shared" si="55"/>
        <v>Wednesday</v>
      </c>
      <c r="AF338" t="str">
        <f t="shared" si="56"/>
        <v>Thursday</v>
      </c>
      <c r="AG338" t="str">
        <f t="shared" si="57"/>
        <v/>
      </c>
      <c r="AH338" t="str">
        <f t="shared" si="58"/>
        <v>Saturday</v>
      </c>
      <c r="AI338" t="str">
        <f t="shared" si="59"/>
        <v>Sunday</v>
      </c>
      <c r="AJ338" t="str">
        <f>LEFT(Table1[[#This Row],[membership_type]],2)&amp;TEXT(Table1[[#This Row],[age]],"00")&amp;"-"&amp;TEXT(ROW(),"000")</f>
        <v>Pr28-338</v>
      </c>
      <c r="AK338" t="str">
        <f>LEFT(Table1[[#This Row],[membership_type]],1)&amp;TEXT(MATCH(Table1[[#This Row],[membership_type]],Table1[membership_type],0),"00")</f>
        <v>P01</v>
      </c>
      <c r="AL338" t="str">
        <f>LEFT(Table1[[#This Row],[discount_type]],1)&amp;TEXT(ROUND(Table1[[#This Row],[discount_rate]]*100,0),"00")</f>
        <v>S15</v>
      </c>
      <c r="AM338" t="str" cm="1">
        <f t="array" ref="AM338">TEXT(SUMPRODUCT(CODE(MID(Table1[[#This Row],[home_gym_location]],_xlfn.SEQUENCE(LEN(Table1[[#This Row],[home_gym_location]])),1))),"00000")</f>
        <v>00829</v>
      </c>
      <c r="AN338" t="str">
        <f>UPPER(_xlfn.TEXTBEFORE(Table1[[#This Row],[home_gym_location]],","))&amp;"-"&amp;TEXT(MATCH(Table1[[#This Row],[home_gym_location]],_xlfn._xlws.SORT(_xlfn.UNIQUE(Table1[home_gym_location])),0),"000")</f>
        <v>FRESNO-003</v>
      </c>
      <c r="AO338" t="str">
        <f>LEFT(_xlfn.TEXTBEFORE(Table1[[#This Row],[Location Identifier]],"-"),3) &amp; "-" &amp; _xlfn.TEXTAFTER(Table1[[#This Row],[Location Identifier]],"-")</f>
        <v>FRE-003</v>
      </c>
      <c r="AP338" s="9">
        <f t="shared" ca="1" si="50"/>
        <v>45869</v>
      </c>
    </row>
    <row r="339" spans="1:42" x14ac:dyDescent="0.25">
      <c r="A339">
        <v>40</v>
      </c>
      <c r="B339" t="s">
        <v>26</v>
      </c>
      <c r="C339">
        <v>3</v>
      </c>
      <c r="D339" t="s">
        <v>93</v>
      </c>
      <c r="E339" t="b">
        <v>0</v>
      </c>
      <c r="F339" s="1">
        <v>0.81805555555555554</v>
      </c>
      <c r="G339" s="1">
        <v>0.88194444444444442</v>
      </c>
      <c r="H339">
        <v>92</v>
      </c>
      <c r="I339" t="b">
        <v>1</v>
      </c>
      <c r="J339" t="b">
        <v>1</v>
      </c>
      <c r="K339" t="b">
        <v>1</v>
      </c>
      <c r="L339" t="s">
        <v>28</v>
      </c>
      <c r="M339">
        <v>50</v>
      </c>
      <c r="N339" t="s">
        <v>29</v>
      </c>
      <c r="O339">
        <v>50</v>
      </c>
      <c r="P339" t="s">
        <v>36</v>
      </c>
      <c r="Q339">
        <v>0</v>
      </c>
      <c r="R339">
        <v>50</v>
      </c>
      <c r="S339" t="s">
        <v>31</v>
      </c>
      <c r="T339" t="s">
        <v>65</v>
      </c>
      <c r="U339">
        <v>33.770099999999999</v>
      </c>
      <c r="V339">
        <v>-118.19370000000001</v>
      </c>
      <c r="W339" s="2">
        <v>45081</v>
      </c>
      <c r="X339">
        <v>8</v>
      </c>
      <c r="Y339" t="b">
        <v>1</v>
      </c>
      <c r="Z339" s="2">
        <v>45818</v>
      </c>
      <c r="AA339" t="str">
        <f t="shared" si="51"/>
        <v>40–49</v>
      </c>
      <c r="AB339" t="str">
        <f t="shared" si="52"/>
        <v>40–49</v>
      </c>
      <c r="AC339" t="str">
        <f t="shared" si="53"/>
        <v>Monday</v>
      </c>
      <c r="AD339" t="str">
        <f t="shared" si="54"/>
        <v>Tuesday</v>
      </c>
      <c r="AE339" t="str">
        <f t="shared" si="55"/>
        <v/>
      </c>
      <c r="AF339" t="str">
        <f t="shared" si="56"/>
        <v>Thursday</v>
      </c>
      <c r="AG339" t="str">
        <f t="shared" si="57"/>
        <v/>
      </c>
      <c r="AH339" t="str">
        <f t="shared" si="58"/>
        <v/>
      </c>
      <c r="AI339" t="str">
        <f t="shared" si="59"/>
        <v/>
      </c>
      <c r="AJ339" t="str">
        <f>LEFT(Table1[[#This Row],[membership_type]],2)&amp;TEXT(Table1[[#This Row],[age]],"00")&amp;"-"&amp;TEXT(ROW(),"000")</f>
        <v>Pr40-339</v>
      </c>
      <c r="AK339" t="str">
        <f>LEFT(Table1[[#This Row],[membership_type]],1)&amp;TEXT(MATCH(Table1[[#This Row],[membership_type]],Table1[membership_type],0),"00")</f>
        <v>P01</v>
      </c>
      <c r="AL339" t="str">
        <f>LEFT(Table1[[#This Row],[discount_type]],1)&amp;TEXT(ROUND(Table1[[#This Row],[discount_rate]]*100,0),"00")</f>
        <v>N00</v>
      </c>
      <c r="AM339" t="str" cm="1">
        <f t="array" ref="AM339">TEXT(SUMPRODUCT(CODE(MID(Table1[[#This Row],[home_gym_location]],_xlfn.SEQUENCE(LEN(Table1[[#This Row],[home_gym_location]])),1))),"00000")</f>
        <v>01107</v>
      </c>
      <c r="AN33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39" t="str">
        <f>LEFT(_xlfn.TEXTBEFORE(Table1[[#This Row],[Location Identifier]],"-"),3) &amp; "-" &amp; _xlfn.TEXTAFTER(Table1[[#This Row],[Location Identifier]],"-")</f>
        <v>LON-004</v>
      </c>
      <c r="AP339" s="9">
        <f t="shared" ca="1" si="50"/>
        <v>45869</v>
      </c>
    </row>
    <row r="340" spans="1:42" x14ac:dyDescent="0.25">
      <c r="A340">
        <v>20</v>
      </c>
      <c r="B340" t="s">
        <v>33</v>
      </c>
      <c r="C340">
        <v>3</v>
      </c>
      <c r="D340" t="s">
        <v>106</v>
      </c>
      <c r="E340" t="b">
        <v>0</v>
      </c>
      <c r="F340" s="1">
        <v>0.64444444444444449</v>
      </c>
      <c r="G340" s="1">
        <v>0.74861111111111112</v>
      </c>
      <c r="H340">
        <v>150</v>
      </c>
      <c r="I340" t="b">
        <v>1</v>
      </c>
      <c r="J340" t="b">
        <v>0</v>
      </c>
      <c r="K340" t="b">
        <v>1</v>
      </c>
      <c r="L340" t="s">
        <v>62</v>
      </c>
      <c r="M340">
        <v>30</v>
      </c>
      <c r="N340" t="s">
        <v>78</v>
      </c>
      <c r="O340">
        <v>27</v>
      </c>
      <c r="P340" t="s">
        <v>74</v>
      </c>
      <c r="Q340">
        <v>0.15</v>
      </c>
      <c r="R340">
        <v>22.95</v>
      </c>
      <c r="S340" t="s">
        <v>37</v>
      </c>
      <c r="T340" t="s">
        <v>38</v>
      </c>
      <c r="U340">
        <v>36.7378</v>
      </c>
      <c r="V340">
        <v>-119.7871</v>
      </c>
      <c r="W340" s="2">
        <v>45326</v>
      </c>
      <c r="X340">
        <v>0</v>
      </c>
      <c r="Y340" t="b">
        <v>0</v>
      </c>
      <c r="Z340" s="2">
        <v>45832</v>
      </c>
      <c r="AA340" t="str">
        <f t="shared" si="51"/>
        <v>20–29</v>
      </c>
      <c r="AB340" t="str">
        <f t="shared" si="52"/>
        <v>20–29</v>
      </c>
      <c r="AC340" t="str">
        <f t="shared" si="53"/>
        <v/>
      </c>
      <c r="AD340" t="str">
        <f t="shared" si="54"/>
        <v/>
      </c>
      <c r="AE340" t="str">
        <f t="shared" si="55"/>
        <v>Wednesday</v>
      </c>
      <c r="AF340" t="str">
        <f t="shared" si="56"/>
        <v>Thursday</v>
      </c>
      <c r="AG340" t="str">
        <f t="shared" si="57"/>
        <v>Friday</v>
      </c>
      <c r="AH340" t="str">
        <f t="shared" si="58"/>
        <v/>
      </c>
      <c r="AI340" t="str">
        <f t="shared" si="59"/>
        <v/>
      </c>
      <c r="AJ340" t="str">
        <f>LEFT(Table1[[#This Row],[membership_type]],2)&amp;TEXT(Table1[[#This Row],[age]],"00")&amp;"-"&amp;TEXT(ROW(),"000")</f>
        <v>St20-340</v>
      </c>
      <c r="AK340" t="str">
        <f>LEFT(Table1[[#This Row],[membership_type]],1)&amp;TEXT(MATCH(Table1[[#This Row],[membership_type]],Table1[membership_type],0),"00")</f>
        <v>S02</v>
      </c>
      <c r="AL340" t="str">
        <f>LEFT(Table1[[#This Row],[discount_type]],1)&amp;TEXT(ROUND(Table1[[#This Row],[discount_rate]]*100,0),"00")</f>
        <v>S15</v>
      </c>
      <c r="AM340" t="str" cm="1">
        <f t="array" ref="AM340">TEXT(SUMPRODUCT(CODE(MID(Table1[[#This Row],[home_gym_location]],_xlfn.SEQUENCE(LEN(Table1[[#This Row],[home_gym_location]])),1))),"00000")</f>
        <v>00829</v>
      </c>
      <c r="AN340" t="str">
        <f>UPPER(_xlfn.TEXTBEFORE(Table1[[#This Row],[home_gym_location]],","))&amp;"-"&amp;TEXT(MATCH(Table1[[#This Row],[home_gym_location]],_xlfn._xlws.SORT(_xlfn.UNIQUE(Table1[home_gym_location])),0),"000")</f>
        <v>FRESNO-003</v>
      </c>
      <c r="AO340" t="str">
        <f>LEFT(_xlfn.TEXTBEFORE(Table1[[#This Row],[Location Identifier]],"-"),3) &amp; "-" &amp; _xlfn.TEXTAFTER(Table1[[#This Row],[Location Identifier]],"-")</f>
        <v>FRE-003</v>
      </c>
      <c r="AP340" s="9">
        <f t="shared" ca="1" si="50"/>
        <v>45869</v>
      </c>
    </row>
    <row r="341" spans="1:42" x14ac:dyDescent="0.25">
      <c r="A341">
        <v>39</v>
      </c>
      <c r="B341" t="s">
        <v>33</v>
      </c>
      <c r="C341">
        <v>3</v>
      </c>
      <c r="D341" t="s">
        <v>117</v>
      </c>
      <c r="E341" t="b">
        <v>0</v>
      </c>
      <c r="F341" s="1">
        <v>0.52500000000000002</v>
      </c>
      <c r="G341" s="1">
        <v>0.59652777777777777</v>
      </c>
      <c r="H341">
        <v>103</v>
      </c>
      <c r="I341" t="b">
        <v>0</v>
      </c>
      <c r="J341" t="b">
        <v>1</v>
      </c>
      <c r="K341" t="b">
        <v>0</v>
      </c>
      <c r="L341" t="s">
        <v>28</v>
      </c>
      <c r="M341">
        <v>30</v>
      </c>
      <c r="N341" t="s">
        <v>64</v>
      </c>
      <c r="O341">
        <v>22.5</v>
      </c>
      <c r="P341" t="s">
        <v>36</v>
      </c>
      <c r="Q341">
        <v>0</v>
      </c>
      <c r="R341">
        <v>22.5</v>
      </c>
      <c r="S341" t="s">
        <v>37</v>
      </c>
      <c r="T341" t="s">
        <v>48</v>
      </c>
      <c r="U341">
        <v>38.581600000000002</v>
      </c>
      <c r="V341">
        <v>-121.4944</v>
      </c>
      <c r="W341" s="2">
        <v>45726</v>
      </c>
      <c r="X341">
        <v>4</v>
      </c>
      <c r="Y341" t="b">
        <v>1</v>
      </c>
      <c r="Z341" s="2">
        <v>45855</v>
      </c>
      <c r="AA341" t="str">
        <f t="shared" si="51"/>
        <v>30–39</v>
      </c>
      <c r="AB341" t="str">
        <f t="shared" si="52"/>
        <v>30–39</v>
      </c>
      <c r="AC341" t="str">
        <f t="shared" si="53"/>
        <v/>
      </c>
      <c r="AD341" t="str">
        <f t="shared" si="54"/>
        <v/>
      </c>
      <c r="AE341" t="str">
        <f t="shared" si="55"/>
        <v>Wednesday</v>
      </c>
      <c r="AF341" t="str">
        <f t="shared" si="56"/>
        <v>Thursday</v>
      </c>
      <c r="AG341" t="str">
        <f t="shared" si="57"/>
        <v/>
      </c>
      <c r="AH341" t="str">
        <f t="shared" si="58"/>
        <v/>
      </c>
      <c r="AI341" t="str">
        <f t="shared" si="59"/>
        <v>Sunday</v>
      </c>
      <c r="AJ341" t="str">
        <f>LEFT(Table1[[#This Row],[membership_type]],2)&amp;TEXT(Table1[[#This Row],[age]],"00")&amp;"-"&amp;TEXT(ROW(),"000")</f>
        <v>St39-341</v>
      </c>
      <c r="AK341" t="str">
        <f>LEFT(Table1[[#This Row],[membership_type]],1)&amp;TEXT(MATCH(Table1[[#This Row],[membership_type]],Table1[membership_type],0),"00")</f>
        <v>S02</v>
      </c>
      <c r="AL341" t="str">
        <f>LEFT(Table1[[#This Row],[discount_type]],1)&amp;TEXT(ROUND(Table1[[#This Row],[discount_rate]]*100,0),"00")</f>
        <v>N00</v>
      </c>
      <c r="AM341" t="str" cm="1">
        <f t="array" ref="AM341">TEXT(SUMPRODUCT(CODE(MID(Table1[[#This Row],[home_gym_location]],_xlfn.SEQUENCE(LEN(Table1[[#This Row],[home_gym_location]])),1))),"00000")</f>
        <v>01245</v>
      </c>
      <c r="AN34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41" t="str">
        <f>LEFT(_xlfn.TEXTBEFORE(Table1[[#This Row],[Location Identifier]],"-"),3) &amp; "-" &amp; _xlfn.TEXTAFTER(Table1[[#This Row],[Location Identifier]],"-")</f>
        <v>SAC-007</v>
      </c>
      <c r="AP341" s="9">
        <f t="shared" ca="1" si="50"/>
        <v>45869</v>
      </c>
    </row>
    <row r="342" spans="1:42" x14ac:dyDescent="0.25">
      <c r="A342">
        <v>25</v>
      </c>
      <c r="B342" t="s">
        <v>33</v>
      </c>
      <c r="C342">
        <v>4</v>
      </c>
      <c r="D342" t="s">
        <v>143</v>
      </c>
      <c r="E342" t="b">
        <v>0</v>
      </c>
      <c r="F342" s="1">
        <v>0.80763888888888891</v>
      </c>
      <c r="G342" s="1">
        <v>0.8666666666666667</v>
      </c>
      <c r="H342">
        <v>85</v>
      </c>
      <c r="I342" t="b">
        <v>0</v>
      </c>
      <c r="J342" t="b">
        <v>0</v>
      </c>
      <c r="K342" t="b">
        <v>1</v>
      </c>
      <c r="L342" t="s">
        <v>62</v>
      </c>
      <c r="M342">
        <v>30</v>
      </c>
      <c r="N342" t="s">
        <v>64</v>
      </c>
      <c r="O342">
        <v>22.5</v>
      </c>
      <c r="P342" t="s">
        <v>40</v>
      </c>
      <c r="Q342">
        <v>0.1</v>
      </c>
      <c r="R342">
        <v>20.25</v>
      </c>
      <c r="S342" t="s">
        <v>37</v>
      </c>
      <c r="T342" t="s">
        <v>32</v>
      </c>
      <c r="U342">
        <v>37.338200000000001</v>
      </c>
      <c r="V342">
        <v>-121.88630000000001</v>
      </c>
      <c r="W342" s="2">
        <v>45307</v>
      </c>
      <c r="X342">
        <v>0</v>
      </c>
      <c r="Y342" t="b">
        <v>1</v>
      </c>
      <c r="Z342" s="2">
        <v>45831</v>
      </c>
      <c r="AA342" t="str">
        <f t="shared" si="51"/>
        <v>20–29</v>
      </c>
      <c r="AB342" t="str">
        <f t="shared" si="52"/>
        <v>20–29</v>
      </c>
      <c r="AC342" t="str">
        <f t="shared" si="53"/>
        <v>Monday</v>
      </c>
      <c r="AD342" t="str">
        <f t="shared" si="54"/>
        <v>Tuesday</v>
      </c>
      <c r="AE342" t="str">
        <f t="shared" si="55"/>
        <v>Wednesday</v>
      </c>
      <c r="AF342" t="str">
        <f t="shared" si="56"/>
        <v/>
      </c>
      <c r="AG342" t="str">
        <f t="shared" si="57"/>
        <v>Friday</v>
      </c>
      <c r="AH342" t="str">
        <f t="shared" si="58"/>
        <v/>
      </c>
      <c r="AI342" t="str">
        <f t="shared" si="59"/>
        <v/>
      </c>
      <c r="AJ342" t="str">
        <f>LEFT(Table1[[#This Row],[membership_type]],2)&amp;TEXT(Table1[[#This Row],[age]],"00")&amp;"-"&amp;TEXT(ROW(),"000")</f>
        <v>St25-342</v>
      </c>
      <c r="AK342" t="str">
        <f>LEFT(Table1[[#This Row],[membership_type]],1)&amp;TEXT(MATCH(Table1[[#This Row],[membership_type]],Table1[membership_type],0),"00")</f>
        <v>S02</v>
      </c>
      <c r="AL342" t="str">
        <f>LEFT(Table1[[#This Row],[discount_type]],1)&amp;TEXT(ROUND(Table1[[#This Row],[discount_rate]]*100,0),"00")</f>
        <v>L10</v>
      </c>
      <c r="AM342" t="str" cm="1">
        <f t="array" ref="AM342">TEXT(SUMPRODUCT(CODE(MID(Table1[[#This Row],[home_gym_location]],_xlfn.SEQUENCE(LEN(Table1[[#This Row],[home_gym_location]])),1))),"00000")</f>
        <v>00931</v>
      </c>
      <c r="AN34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42" t="str">
        <f>LEFT(_xlfn.TEXTBEFORE(Table1[[#This Row],[Location Identifier]],"-"),3) &amp; "-" &amp; _xlfn.TEXTAFTER(Table1[[#This Row],[Location Identifier]],"-")</f>
        <v>SAN-010</v>
      </c>
      <c r="AP342" s="9">
        <f t="shared" ca="1" si="50"/>
        <v>45869</v>
      </c>
    </row>
    <row r="343" spans="1:42" x14ac:dyDescent="0.25">
      <c r="A343">
        <v>29</v>
      </c>
      <c r="B343" t="s">
        <v>51</v>
      </c>
      <c r="C343">
        <v>3</v>
      </c>
      <c r="D343" t="s">
        <v>149</v>
      </c>
      <c r="E343" t="b">
        <v>0</v>
      </c>
      <c r="F343" s="1">
        <v>0.44027777777777777</v>
      </c>
      <c r="G343" s="1">
        <v>0.46736111111111112</v>
      </c>
      <c r="H343">
        <v>39</v>
      </c>
      <c r="I343" t="b">
        <v>0</v>
      </c>
      <c r="J343" t="b">
        <v>0</v>
      </c>
      <c r="K343" t="b">
        <v>1</v>
      </c>
      <c r="L343" t="s">
        <v>58</v>
      </c>
      <c r="M343">
        <v>70</v>
      </c>
      <c r="N343" t="s">
        <v>64</v>
      </c>
      <c r="O343">
        <v>52.5</v>
      </c>
      <c r="P343" t="s">
        <v>74</v>
      </c>
      <c r="Q343">
        <v>0.15</v>
      </c>
      <c r="R343">
        <v>44.625</v>
      </c>
      <c r="S343" t="s">
        <v>53</v>
      </c>
      <c r="T343" t="s">
        <v>45</v>
      </c>
      <c r="U343">
        <v>33.836599999999997</v>
      </c>
      <c r="V343">
        <v>-117.9143</v>
      </c>
      <c r="W343" s="2">
        <v>45326</v>
      </c>
      <c r="X343">
        <v>0</v>
      </c>
      <c r="Y343" t="b">
        <v>1</v>
      </c>
      <c r="Z343" s="2">
        <v>45832</v>
      </c>
      <c r="AA343" t="str">
        <f t="shared" si="51"/>
        <v>20–29</v>
      </c>
      <c r="AB343" t="str">
        <f t="shared" si="52"/>
        <v>20–29</v>
      </c>
      <c r="AC343" t="str">
        <f t="shared" si="53"/>
        <v/>
      </c>
      <c r="AD343" t="str">
        <f t="shared" si="54"/>
        <v/>
      </c>
      <c r="AE343" t="str">
        <f t="shared" si="55"/>
        <v>Wednesday</v>
      </c>
      <c r="AF343" t="str">
        <f t="shared" si="56"/>
        <v/>
      </c>
      <c r="AG343" t="str">
        <f t="shared" si="57"/>
        <v>Friday</v>
      </c>
      <c r="AH343" t="str">
        <f t="shared" si="58"/>
        <v>Saturday</v>
      </c>
      <c r="AI343" t="str">
        <f t="shared" si="59"/>
        <v/>
      </c>
      <c r="AJ343" t="str">
        <f>LEFT(Table1[[#This Row],[membership_type]],2)&amp;TEXT(Table1[[#This Row],[age]],"00")&amp;"-"&amp;TEXT(ROW(),"000")</f>
        <v>El29-343</v>
      </c>
      <c r="AK343" t="str">
        <f>LEFT(Table1[[#This Row],[membership_type]],1)&amp;TEXT(MATCH(Table1[[#This Row],[membership_type]],Table1[membership_type],0),"00")</f>
        <v>E07</v>
      </c>
      <c r="AL343" t="str">
        <f>LEFT(Table1[[#This Row],[discount_type]],1)&amp;TEXT(ROUND(Table1[[#This Row],[discount_rate]]*100,0),"00")</f>
        <v>S15</v>
      </c>
      <c r="AM343" t="str" cm="1">
        <f t="array" ref="AM343">TEXT(SUMPRODUCT(CODE(MID(Table1[[#This Row],[home_gym_location]],_xlfn.SEQUENCE(LEN(Table1[[#This Row],[home_gym_location]])),1))),"00000")</f>
        <v>00899</v>
      </c>
      <c r="AN343" t="str">
        <f>UPPER(_xlfn.TEXTBEFORE(Table1[[#This Row],[home_gym_location]],","))&amp;"-"&amp;TEXT(MATCH(Table1[[#This Row],[home_gym_location]],_xlfn._xlws.SORT(_xlfn.UNIQUE(Table1[home_gym_location])),0),"000")</f>
        <v>ANAHEIM-001</v>
      </c>
      <c r="AO343" t="str">
        <f>LEFT(_xlfn.TEXTBEFORE(Table1[[#This Row],[Location Identifier]],"-"),3) &amp; "-" &amp; _xlfn.TEXTAFTER(Table1[[#This Row],[Location Identifier]],"-")</f>
        <v>ANA-001</v>
      </c>
      <c r="AP343" s="9">
        <f t="shared" ca="1" si="50"/>
        <v>45869</v>
      </c>
    </row>
    <row r="344" spans="1:42" x14ac:dyDescent="0.25">
      <c r="A344">
        <v>24</v>
      </c>
      <c r="B344" t="s">
        <v>26</v>
      </c>
      <c r="C344">
        <v>2</v>
      </c>
      <c r="D344" t="s">
        <v>84</v>
      </c>
      <c r="E344" t="b">
        <v>1</v>
      </c>
      <c r="F344" s="1">
        <v>0.73888888888888893</v>
      </c>
      <c r="G344" s="1">
        <v>0.83472222222222225</v>
      </c>
      <c r="H344">
        <v>138</v>
      </c>
      <c r="I344" t="b">
        <v>0</v>
      </c>
      <c r="J344" t="b">
        <v>1</v>
      </c>
      <c r="K344" t="b">
        <v>1</v>
      </c>
      <c r="L344" t="s">
        <v>28</v>
      </c>
      <c r="M344">
        <v>50</v>
      </c>
      <c r="N344" t="s">
        <v>29</v>
      </c>
      <c r="O344">
        <v>50</v>
      </c>
      <c r="P344" t="s">
        <v>30</v>
      </c>
      <c r="Q344">
        <v>0.05</v>
      </c>
      <c r="R344">
        <v>47.5</v>
      </c>
      <c r="S344" t="s">
        <v>31</v>
      </c>
      <c r="T344" t="s">
        <v>38</v>
      </c>
      <c r="U344">
        <v>36.7378</v>
      </c>
      <c r="V344">
        <v>-119.7871</v>
      </c>
      <c r="W344" s="2">
        <v>45646</v>
      </c>
      <c r="X344">
        <v>4</v>
      </c>
      <c r="Y344" t="b">
        <v>1</v>
      </c>
      <c r="Z344" s="2">
        <v>45850</v>
      </c>
      <c r="AA344" t="str">
        <f t="shared" si="51"/>
        <v>20–29</v>
      </c>
      <c r="AB344" t="str">
        <f t="shared" si="52"/>
        <v>20–29</v>
      </c>
      <c r="AC344" t="str">
        <f t="shared" si="53"/>
        <v/>
      </c>
      <c r="AD344" t="str">
        <f t="shared" si="54"/>
        <v>Tuesday</v>
      </c>
      <c r="AE344" t="str">
        <f t="shared" si="55"/>
        <v/>
      </c>
      <c r="AF344" t="str">
        <f t="shared" si="56"/>
        <v/>
      </c>
      <c r="AG344" t="str">
        <f t="shared" si="57"/>
        <v/>
      </c>
      <c r="AH344" t="str">
        <f t="shared" si="58"/>
        <v/>
      </c>
      <c r="AI344" t="str">
        <f t="shared" si="59"/>
        <v>Sunday</v>
      </c>
      <c r="AJ344" t="str">
        <f>LEFT(Table1[[#This Row],[membership_type]],2)&amp;TEXT(Table1[[#This Row],[age]],"00")&amp;"-"&amp;TEXT(ROW(),"000")</f>
        <v>Pr24-344</v>
      </c>
      <c r="AK344" t="str">
        <f>LEFT(Table1[[#This Row],[membership_type]],1)&amp;TEXT(MATCH(Table1[[#This Row],[membership_type]],Table1[membership_type],0),"00")</f>
        <v>P01</v>
      </c>
      <c r="AL344" t="str">
        <f>LEFT(Table1[[#This Row],[discount_type]],1)&amp;TEXT(ROUND(Table1[[#This Row],[discount_rate]]*100,0),"00")</f>
        <v>P05</v>
      </c>
      <c r="AM344" t="str" cm="1">
        <f t="array" ref="AM344">TEXT(SUMPRODUCT(CODE(MID(Table1[[#This Row],[home_gym_location]],_xlfn.SEQUENCE(LEN(Table1[[#This Row],[home_gym_location]])),1))),"00000")</f>
        <v>00829</v>
      </c>
      <c r="AN344" t="str">
        <f>UPPER(_xlfn.TEXTBEFORE(Table1[[#This Row],[home_gym_location]],","))&amp;"-"&amp;TEXT(MATCH(Table1[[#This Row],[home_gym_location]],_xlfn._xlws.SORT(_xlfn.UNIQUE(Table1[home_gym_location])),0),"000")</f>
        <v>FRESNO-003</v>
      </c>
      <c r="AO344" t="str">
        <f>LEFT(_xlfn.TEXTBEFORE(Table1[[#This Row],[Location Identifier]],"-"),3) &amp; "-" &amp; _xlfn.TEXTAFTER(Table1[[#This Row],[Location Identifier]],"-")</f>
        <v>FRE-003</v>
      </c>
      <c r="AP344" s="9">
        <f t="shared" ca="1" si="50"/>
        <v>45869</v>
      </c>
    </row>
    <row r="345" spans="1:42" x14ac:dyDescent="0.25">
      <c r="A345">
        <v>36</v>
      </c>
      <c r="B345" t="s">
        <v>33</v>
      </c>
      <c r="C345">
        <v>2</v>
      </c>
      <c r="D345" t="s">
        <v>73</v>
      </c>
      <c r="E345" t="b">
        <v>1</v>
      </c>
      <c r="F345" s="1">
        <v>0.4777777777777778</v>
      </c>
      <c r="G345" s="1">
        <v>0.59305555555555556</v>
      </c>
      <c r="H345">
        <v>166</v>
      </c>
      <c r="I345" t="b">
        <v>0</v>
      </c>
      <c r="J345" t="b">
        <v>0</v>
      </c>
      <c r="K345" t="b">
        <v>1</v>
      </c>
      <c r="L345" t="s">
        <v>62</v>
      </c>
      <c r="M345">
        <v>30</v>
      </c>
      <c r="N345" t="s">
        <v>64</v>
      </c>
      <c r="O345">
        <v>22.5</v>
      </c>
      <c r="P345" t="s">
        <v>30</v>
      </c>
      <c r="Q345">
        <v>0.05</v>
      </c>
      <c r="R345">
        <v>21.375</v>
      </c>
      <c r="S345" t="s">
        <v>37</v>
      </c>
      <c r="T345" t="s">
        <v>65</v>
      </c>
      <c r="U345">
        <v>33.770099999999999</v>
      </c>
      <c r="V345">
        <v>-118.19370000000001</v>
      </c>
      <c r="W345" s="2">
        <v>45368</v>
      </c>
      <c r="X345">
        <v>0</v>
      </c>
      <c r="Y345" t="b">
        <v>0</v>
      </c>
      <c r="Z345" s="2">
        <v>45834</v>
      </c>
      <c r="AA345" t="str">
        <f t="shared" si="51"/>
        <v>30–39</v>
      </c>
      <c r="AB345" t="str">
        <f t="shared" si="52"/>
        <v>30–39</v>
      </c>
      <c r="AC345" t="str">
        <f t="shared" si="53"/>
        <v/>
      </c>
      <c r="AD345" t="str">
        <f t="shared" si="54"/>
        <v>Tuesday</v>
      </c>
      <c r="AE345" t="str">
        <f t="shared" si="55"/>
        <v/>
      </c>
      <c r="AF345" t="str">
        <f t="shared" si="56"/>
        <v/>
      </c>
      <c r="AG345" t="str">
        <f t="shared" si="57"/>
        <v>Friday</v>
      </c>
      <c r="AH345" t="str">
        <f t="shared" si="58"/>
        <v/>
      </c>
      <c r="AI345" t="str">
        <f t="shared" si="59"/>
        <v/>
      </c>
      <c r="AJ345" t="str">
        <f>LEFT(Table1[[#This Row],[membership_type]],2)&amp;TEXT(Table1[[#This Row],[age]],"00")&amp;"-"&amp;TEXT(ROW(),"000")</f>
        <v>St36-345</v>
      </c>
      <c r="AK345" t="str">
        <f>LEFT(Table1[[#This Row],[membership_type]],1)&amp;TEXT(MATCH(Table1[[#This Row],[membership_type]],Table1[membership_type],0),"00")</f>
        <v>S02</v>
      </c>
      <c r="AL345" t="str">
        <f>LEFT(Table1[[#This Row],[discount_type]],1)&amp;TEXT(ROUND(Table1[[#This Row],[discount_rate]]*100,0),"00")</f>
        <v>P05</v>
      </c>
      <c r="AM345" t="str" cm="1">
        <f t="array" ref="AM345">TEXT(SUMPRODUCT(CODE(MID(Table1[[#This Row],[home_gym_location]],_xlfn.SEQUENCE(LEN(Table1[[#This Row],[home_gym_location]])),1))),"00000")</f>
        <v>01107</v>
      </c>
      <c r="AN34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45" t="str">
        <f>LEFT(_xlfn.TEXTBEFORE(Table1[[#This Row],[Location Identifier]],"-"),3) &amp; "-" &amp; _xlfn.TEXTAFTER(Table1[[#This Row],[Location Identifier]],"-")</f>
        <v>LON-004</v>
      </c>
      <c r="AP345" s="9">
        <f t="shared" ca="1" si="50"/>
        <v>45869</v>
      </c>
    </row>
    <row r="346" spans="1:42" x14ac:dyDescent="0.25">
      <c r="A346">
        <v>19</v>
      </c>
      <c r="B346" t="s">
        <v>26</v>
      </c>
      <c r="C346">
        <v>2</v>
      </c>
      <c r="D346" t="s">
        <v>84</v>
      </c>
      <c r="E346" t="b">
        <v>1</v>
      </c>
      <c r="F346" s="1">
        <v>0.80694444444444446</v>
      </c>
      <c r="G346" s="1">
        <v>0.85069444444444442</v>
      </c>
      <c r="H346">
        <v>63</v>
      </c>
      <c r="I346" t="b">
        <v>0</v>
      </c>
      <c r="J346" t="b">
        <v>0</v>
      </c>
      <c r="K346" t="b">
        <v>0</v>
      </c>
      <c r="L346" t="s">
        <v>62</v>
      </c>
      <c r="M346">
        <v>50</v>
      </c>
      <c r="N346" t="s">
        <v>64</v>
      </c>
      <c r="O346">
        <v>37.5</v>
      </c>
      <c r="P346" t="s">
        <v>36</v>
      </c>
      <c r="Q346">
        <v>0</v>
      </c>
      <c r="R346">
        <v>37.5</v>
      </c>
      <c r="S346" t="s">
        <v>31</v>
      </c>
      <c r="T346" t="s">
        <v>56</v>
      </c>
      <c r="U346">
        <v>35.3733</v>
      </c>
      <c r="V346">
        <v>-119.0187</v>
      </c>
      <c r="W346" s="2">
        <v>45406</v>
      </c>
      <c r="X346">
        <v>0</v>
      </c>
      <c r="Y346" t="b">
        <v>1</v>
      </c>
      <c r="Z346" s="2">
        <v>45837</v>
      </c>
      <c r="AA346" t="str">
        <f t="shared" si="51"/>
        <v>10–19</v>
      </c>
      <c r="AB346" t="str">
        <f t="shared" si="52"/>
        <v>16–19</v>
      </c>
      <c r="AC346" t="str">
        <f t="shared" si="53"/>
        <v/>
      </c>
      <c r="AD346" t="str">
        <f t="shared" si="54"/>
        <v>Tuesday</v>
      </c>
      <c r="AE346" t="str">
        <f t="shared" si="55"/>
        <v/>
      </c>
      <c r="AF346" t="str">
        <f t="shared" si="56"/>
        <v/>
      </c>
      <c r="AG346" t="str">
        <f t="shared" si="57"/>
        <v/>
      </c>
      <c r="AH346" t="str">
        <f t="shared" si="58"/>
        <v/>
      </c>
      <c r="AI346" t="str">
        <f t="shared" si="59"/>
        <v>Sunday</v>
      </c>
      <c r="AJ346" t="str">
        <f>LEFT(Table1[[#This Row],[membership_type]],2)&amp;TEXT(Table1[[#This Row],[age]],"00")&amp;"-"&amp;TEXT(ROW(),"000")</f>
        <v>Pr19-346</v>
      </c>
      <c r="AK346" t="str">
        <f>LEFT(Table1[[#This Row],[membership_type]],1)&amp;TEXT(MATCH(Table1[[#This Row],[membership_type]],Table1[membership_type],0),"00")</f>
        <v>P01</v>
      </c>
      <c r="AL346" t="str">
        <f>LEFT(Table1[[#This Row],[discount_type]],1)&amp;TEXT(ROUND(Table1[[#This Row],[discount_rate]]*100,0),"00")</f>
        <v>N00</v>
      </c>
      <c r="AM346" t="str" cm="1">
        <f t="array" ref="AM346">TEXT(SUMPRODUCT(CODE(MID(Table1[[#This Row],[home_gym_location]],_xlfn.SEQUENCE(LEN(Table1[[#This Row],[home_gym_location]])),1))),"00000")</f>
        <v>01324</v>
      </c>
      <c r="AN3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46" t="str">
        <f>LEFT(_xlfn.TEXTBEFORE(Table1[[#This Row],[Location Identifier]],"-"),3) &amp; "-" &amp; _xlfn.TEXTAFTER(Table1[[#This Row],[Location Identifier]],"-")</f>
        <v>BAK-002</v>
      </c>
      <c r="AP346" s="9">
        <f t="shared" ca="1" si="50"/>
        <v>45869</v>
      </c>
    </row>
    <row r="347" spans="1:42" x14ac:dyDescent="0.25">
      <c r="A347">
        <v>18</v>
      </c>
      <c r="B347" t="s">
        <v>26</v>
      </c>
      <c r="C347">
        <v>3</v>
      </c>
      <c r="D347" t="s">
        <v>124</v>
      </c>
      <c r="E347" t="b">
        <v>1</v>
      </c>
      <c r="F347" s="1">
        <v>0.4909722222222222</v>
      </c>
      <c r="G347" s="1">
        <v>0.58333333333333337</v>
      </c>
      <c r="H347">
        <v>133</v>
      </c>
      <c r="I347" t="b">
        <v>0</v>
      </c>
      <c r="J347" t="b">
        <v>1</v>
      </c>
      <c r="K347" t="b">
        <v>0</v>
      </c>
      <c r="L347" t="s">
        <v>28</v>
      </c>
      <c r="M347">
        <v>50</v>
      </c>
      <c r="N347" t="s">
        <v>29</v>
      </c>
      <c r="O347">
        <v>50</v>
      </c>
      <c r="P347" t="s">
        <v>30</v>
      </c>
      <c r="Q347">
        <v>0.05</v>
      </c>
      <c r="R347">
        <v>47.5</v>
      </c>
      <c r="S347" t="s">
        <v>31</v>
      </c>
      <c r="T347" t="s">
        <v>38</v>
      </c>
      <c r="U347">
        <v>36.7378</v>
      </c>
      <c r="V347">
        <v>-119.7871</v>
      </c>
      <c r="W347" s="2">
        <v>45175</v>
      </c>
      <c r="X347">
        <v>1</v>
      </c>
      <c r="Y347" t="b">
        <v>0</v>
      </c>
      <c r="Z347" s="2">
        <v>45824</v>
      </c>
      <c r="AA347" t="str">
        <f t="shared" si="51"/>
        <v>10–19</v>
      </c>
      <c r="AB347" t="str">
        <f t="shared" si="52"/>
        <v>16–19</v>
      </c>
      <c r="AC347" t="str">
        <f t="shared" si="53"/>
        <v>Monday</v>
      </c>
      <c r="AD347" t="str">
        <f t="shared" si="54"/>
        <v/>
      </c>
      <c r="AE347" t="str">
        <f t="shared" si="55"/>
        <v/>
      </c>
      <c r="AF347" t="str">
        <f t="shared" si="56"/>
        <v>Thursday</v>
      </c>
      <c r="AG347" t="str">
        <f t="shared" si="57"/>
        <v>Friday</v>
      </c>
      <c r="AH347" t="str">
        <f t="shared" si="58"/>
        <v/>
      </c>
      <c r="AI347" t="str">
        <f t="shared" si="59"/>
        <v/>
      </c>
      <c r="AJ347" t="str">
        <f>LEFT(Table1[[#This Row],[membership_type]],2)&amp;TEXT(Table1[[#This Row],[age]],"00")&amp;"-"&amp;TEXT(ROW(),"000")</f>
        <v>Pr18-347</v>
      </c>
      <c r="AK347" t="str">
        <f>LEFT(Table1[[#This Row],[membership_type]],1)&amp;TEXT(MATCH(Table1[[#This Row],[membership_type]],Table1[membership_type],0),"00")</f>
        <v>P01</v>
      </c>
      <c r="AL347" t="str">
        <f>LEFT(Table1[[#This Row],[discount_type]],1)&amp;TEXT(ROUND(Table1[[#This Row],[discount_rate]]*100,0),"00")</f>
        <v>P05</v>
      </c>
      <c r="AM347" t="str" cm="1">
        <f t="array" ref="AM347">TEXT(SUMPRODUCT(CODE(MID(Table1[[#This Row],[home_gym_location]],_xlfn.SEQUENCE(LEN(Table1[[#This Row],[home_gym_location]])),1))),"00000")</f>
        <v>00829</v>
      </c>
      <c r="AN347" t="str">
        <f>UPPER(_xlfn.TEXTBEFORE(Table1[[#This Row],[home_gym_location]],","))&amp;"-"&amp;TEXT(MATCH(Table1[[#This Row],[home_gym_location]],_xlfn._xlws.SORT(_xlfn.UNIQUE(Table1[home_gym_location])),0),"000")</f>
        <v>FRESNO-003</v>
      </c>
      <c r="AO347" t="str">
        <f>LEFT(_xlfn.TEXTBEFORE(Table1[[#This Row],[Location Identifier]],"-"),3) &amp; "-" &amp; _xlfn.TEXTAFTER(Table1[[#This Row],[Location Identifier]],"-")</f>
        <v>FRE-003</v>
      </c>
      <c r="AP347" s="9">
        <f t="shared" ca="1" si="50"/>
        <v>45869</v>
      </c>
    </row>
    <row r="348" spans="1:42" x14ac:dyDescent="0.25">
      <c r="A348">
        <v>14</v>
      </c>
      <c r="B348" t="s">
        <v>26</v>
      </c>
      <c r="C348">
        <v>5</v>
      </c>
      <c r="D348" t="s">
        <v>150</v>
      </c>
      <c r="E348" t="b">
        <v>1</v>
      </c>
      <c r="F348" s="1">
        <v>0.84930555555555554</v>
      </c>
      <c r="G348" s="1">
        <v>0.89583333333333337</v>
      </c>
      <c r="H348">
        <v>67</v>
      </c>
      <c r="I348" t="b">
        <v>1</v>
      </c>
      <c r="J348" t="b">
        <v>1</v>
      </c>
      <c r="K348" t="b">
        <v>1</v>
      </c>
      <c r="L348" t="s">
        <v>28</v>
      </c>
      <c r="M348">
        <v>50</v>
      </c>
      <c r="N348" t="s">
        <v>64</v>
      </c>
      <c r="O348">
        <v>37.5</v>
      </c>
      <c r="P348" t="s">
        <v>36</v>
      </c>
      <c r="Q348">
        <v>0</v>
      </c>
      <c r="R348">
        <v>37.5</v>
      </c>
      <c r="S348" t="s">
        <v>31</v>
      </c>
      <c r="T348" t="s">
        <v>41</v>
      </c>
      <c r="U348">
        <v>37.804400000000001</v>
      </c>
      <c r="V348">
        <v>-122.27119999999999</v>
      </c>
      <c r="W348" s="2">
        <v>45154</v>
      </c>
      <c r="X348">
        <v>4</v>
      </c>
      <c r="Y348" t="b">
        <v>1</v>
      </c>
      <c r="Z348" s="2">
        <v>45822</v>
      </c>
      <c r="AA348" t="str">
        <f t="shared" si="51"/>
        <v>10–19</v>
      </c>
      <c r="AB348" t="str">
        <f t="shared" si="52"/>
        <v>Under 16</v>
      </c>
      <c r="AC348" t="str">
        <f t="shared" si="53"/>
        <v/>
      </c>
      <c r="AD348" t="str">
        <f t="shared" si="54"/>
        <v>Tuesday</v>
      </c>
      <c r="AE348" t="str">
        <f t="shared" si="55"/>
        <v/>
      </c>
      <c r="AF348" t="str">
        <f t="shared" si="56"/>
        <v>Thursday</v>
      </c>
      <c r="AG348" t="str">
        <f t="shared" si="57"/>
        <v>Friday</v>
      </c>
      <c r="AH348" t="str">
        <f t="shared" si="58"/>
        <v>Saturday</v>
      </c>
      <c r="AI348" t="str">
        <f t="shared" si="59"/>
        <v>Sunday</v>
      </c>
      <c r="AJ348" t="str">
        <f>LEFT(Table1[[#This Row],[membership_type]],2)&amp;TEXT(Table1[[#This Row],[age]],"00")&amp;"-"&amp;TEXT(ROW(),"000")</f>
        <v>Pr14-348</v>
      </c>
      <c r="AK348" t="str">
        <f>LEFT(Table1[[#This Row],[membership_type]],1)&amp;TEXT(MATCH(Table1[[#This Row],[membership_type]],Table1[membership_type],0),"00")</f>
        <v>P01</v>
      </c>
      <c r="AL348" t="str">
        <f>LEFT(Table1[[#This Row],[discount_type]],1)&amp;TEXT(ROUND(Table1[[#This Row],[discount_rate]]*100,0),"00")</f>
        <v>N00</v>
      </c>
      <c r="AM348" t="str" cm="1">
        <f t="array" ref="AM348">TEXT(SUMPRODUCT(CODE(MID(Table1[[#This Row],[home_gym_location]],_xlfn.SEQUENCE(LEN(Table1[[#This Row],[home_gym_location]])),1))),"00000")</f>
        <v>00906</v>
      </c>
      <c r="AN348" t="str">
        <f>UPPER(_xlfn.TEXTBEFORE(Table1[[#This Row],[home_gym_location]],","))&amp;"-"&amp;TEXT(MATCH(Table1[[#This Row],[home_gym_location]],_xlfn._xlws.SORT(_xlfn.UNIQUE(Table1[home_gym_location])),0),"000")</f>
        <v>OAKLAND-006</v>
      </c>
      <c r="AO348" t="str">
        <f>LEFT(_xlfn.TEXTBEFORE(Table1[[#This Row],[Location Identifier]],"-"),3) &amp; "-" &amp; _xlfn.TEXTAFTER(Table1[[#This Row],[Location Identifier]],"-")</f>
        <v>OAK-006</v>
      </c>
      <c r="AP348" s="9">
        <f t="shared" ca="1" si="50"/>
        <v>45869</v>
      </c>
    </row>
    <row r="349" spans="1:42" x14ac:dyDescent="0.25">
      <c r="A349">
        <v>14</v>
      </c>
      <c r="B349" t="s">
        <v>26</v>
      </c>
      <c r="C349">
        <v>3</v>
      </c>
      <c r="D349" t="s">
        <v>128</v>
      </c>
      <c r="E349" t="b">
        <v>1</v>
      </c>
      <c r="F349" s="1">
        <v>0.51875000000000004</v>
      </c>
      <c r="G349" s="1">
        <v>0.59444444444444444</v>
      </c>
      <c r="H349">
        <v>109</v>
      </c>
      <c r="I349" t="b">
        <v>0</v>
      </c>
      <c r="J349" t="b">
        <v>0</v>
      </c>
      <c r="K349" t="b">
        <v>1</v>
      </c>
      <c r="L349" t="s">
        <v>28</v>
      </c>
      <c r="M349">
        <v>50</v>
      </c>
      <c r="N349" t="s">
        <v>29</v>
      </c>
      <c r="O349">
        <v>50</v>
      </c>
      <c r="P349" t="s">
        <v>36</v>
      </c>
      <c r="Q349">
        <v>0</v>
      </c>
      <c r="R349">
        <v>50</v>
      </c>
      <c r="S349" t="s">
        <v>31</v>
      </c>
      <c r="T349" t="s">
        <v>41</v>
      </c>
      <c r="U349">
        <v>37.804400000000001</v>
      </c>
      <c r="V349">
        <v>-122.27119999999999</v>
      </c>
      <c r="W349" s="2">
        <v>45782</v>
      </c>
      <c r="X349">
        <v>0</v>
      </c>
      <c r="Y349" t="b">
        <v>1</v>
      </c>
      <c r="Z349" s="2">
        <v>45858</v>
      </c>
      <c r="AA349" t="str">
        <f t="shared" si="51"/>
        <v>10–19</v>
      </c>
      <c r="AB349" t="str">
        <f t="shared" si="52"/>
        <v>Under 16</v>
      </c>
      <c r="AC349" t="str">
        <f t="shared" si="53"/>
        <v>Monday</v>
      </c>
      <c r="AD349" t="str">
        <f t="shared" si="54"/>
        <v/>
      </c>
      <c r="AE349" t="str">
        <f t="shared" si="55"/>
        <v/>
      </c>
      <c r="AF349" t="str">
        <f t="shared" si="56"/>
        <v>Thursday</v>
      </c>
      <c r="AG349" t="str">
        <f t="shared" si="57"/>
        <v/>
      </c>
      <c r="AH349" t="str">
        <f t="shared" si="58"/>
        <v/>
      </c>
      <c r="AI349" t="str">
        <f t="shared" si="59"/>
        <v>Sunday</v>
      </c>
      <c r="AJ349" t="str">
        <f>LEFT(Table1[[#This Row],[membership_type]],2)&amp;TEXT(Table1[[#This Row],[age]],"00")&amp;"-"&amp;TEXT(ROW(),"000")</f>
        <v>Pr14-349</v>
      </c>
      <c r="AK349" t="str">
        <f>LEFT(Table1[[#This Row],[membership_type]],1)&amp;TEXT(MATCH(Table1[[#This Row],[membership_type]],Table1[membership_type],0),"00")</f>
        <v>P01</v>
      </c>
      <c r="AL349" t="str">
        <f>LEFT(Table1[[#This Row],[discount_type]],1)&amp;TEXT(ROUND(Table1[[#This Row],[discount_rate]]*100,0),"00")</f>
        <v>N00</v>
      </c>
      <c r="AM349" t="str" cm="1">
        <f t="array" ref="AM349">TEXT(SUMPRODUCT(CODE(MID(Table1[[#This Row],[home_gym_location]],_xlfn.SEQUENCE(LEN(Table1[[#This Row],[home_gym_location]])),1))),"00000")</f>
        <v>00906</v>
      </c>
      <c r="AN349" t="str">
        <f>UPPER(_xlfn.TEXTBEFORE(Table1[[#This Row],[home_gym_location]],","))&amp;"-"&amp;TEXT(MATCH(Table1[[#This Row],[home_gym_location]],_xlfn._xlws.SORT(_xlfn.UNIQUE(Table1[home_gym_location])),0),"000")</f>
        <v>OAKLAND-006</v>
      </c>
      <c r="AO349" t="str">
        <f>LEFT(_xlfn.TEXTBEFORE(Table1[[#This Row],[Location Identifier]],"-"),3) &amp; "-" &amp; _xlfn.TEXTAFTER(Table1[[#This Row],[Location Identifier]],"-")</f>
        <v>OAK-006</v>
      </c>
      <c r="AP349" s="9">
        <f t="shared" ca="1" si="50"/>
        <v>45869</v>
      </c>
    </row>
    <row r="350" spans="1:42" x14ac:dyDescent="0.25">
      <c r="A350">
        <v>20</v>
      </c>
      <c r="B350" t="s">
        <v>26</v>
      </c>
      <c r="C350">
        <v>5</v>
      </c>
      <c r="D350" t="s">
        <v>110</v>
      </c>
      <c r="E350" t="b">
        <v>0</v>
      </c>
      <c r="F350" s="1">
        <v>0.7368055555555556</v>
      </c>
      <c r="G350" s="1">
        <v>0.84861111111111109</v>
      </c>
      <c r="H350">
        <v>161</v>
      </c>
      <c r="I350" t="b">
        <v>0</v>
      </c>
      <c r="J350" t="b">
        <v>0</v>
      </c>
      <c r="K350" t="b">
        <v>0</v>
      </c>
      <c r="L350" t="s">
        <v>62</v>
      </c>
      <c r="M350">
        <v>50</v>
      </c>
      <c r="N350" t="s">
        <v>64</v>
      </c>
      <c r="O350">
        <v>37.5</v>
      </c>
      <c r="P350" t="s">
        <v>40</v>
      </c>
      <c r="Q350">
        <v>0.1</v>
      </c>
      <c r="R350">
        <v>33.75</v>
      </c>
      <c r="S350" t="s">
        <v>31</v>
      </c>
      <c r="T350" t="s">
        <v>65</v>
      </c>
      <c r="U350">
        <v>33.770099999999999</v>
      </c>
      <c r="V350">
        <v>-118.19370000000001</v>
      </c>
      <c r="W350" s="2">
        <v>45432</v>
      </c>
      <c r="X350">
        <v>0</v>
      </c>
      <c r="Y350" t="b">
        <v>1</v>
      </c>
      <c r="Z350" s="2">
        <v>45838</v>
      </c>
      <c r="AA350" t="str">
        <f t="shared" si="51"/>
        <v>20–29</v>
      </c>
      <c r="AB350" t="str">
        <f t="shared" si="52"/>
        <v>20–29</v>
      </c>
      <c r="AC350" t="str">
        <f t="shared" si="53"/>
        <v>Monday</v>
      </c>
      <c r="AD350" t="str">
        <f t="shared" si="54"/>
        <v>Tuesday</v>
      </c>
      <c r="AE350" t="str">
        <f t="shared" si="55"/>
        <v>Wednesday</v>
      </c>
      <c r="AF350" t="str">
        <f t="shared" si="56"/>
        <v>Thursday</v>
      </c>
      <c r="AG350" t="str">
        <f t="shared" si="57"/>
        <v/>
      </c>
      <c r="AH350" t="str">
        <f t="shared" si="58"/>
        <v>Saturday</v>
      </c>
      <c r="AI350" t="str">
        <f t="shared" si="59"/>
        <v/>
      </c>
      <c r="AJ350" t="str">
        <f>LEFT(Table1[[#This Row],[membership_type]],2)&amp;TEXT(Table1[[#This Row],[age]],"00")&amp;"-"&amp;TEXT(ROW(),"000")</f>
        <v>Pr20-350</v>
      </c>
      <c r="AK350" t="str">
        <f>LEFT(Table1[[#This Row],[membership_type]],1)&amp;TEXT(MATCH(Table1[[#This Row],[membership_type]],Table1[membership_type],0),"00")</f>
        <v>P01</v>
      </c>
      <c r="AL350" t="str">
        <f>LEFT(Table1[[#This Row],[discount_type]],1)&amp;TEXT(ROUND(Table1[[#This Row],[discount_rate]]*100,0),"00")</f>
        <v>L10</v>
      </c>
      <c r="AM350" t="str" cm="1">
        <f t="array" ref="AM350">TEXT(SUMPRODUCT(CODE(MID(Table1[[#This Row],[home_gym_location]],_xlfn.SEQUENCE(LEN(Table1[[#This Row],[home_gym_location]])),1))),"00000")</f>
        <v>01107</v>
      </c>
      <c r="AN35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50" t="str">
        <f>LEFT(_xlfn.TEXTBEFORE(Table1[[#This Row],[Location Identifier]],"-"),3) &amp; "-" &amp; _xlfn.TEXTAFTER(Table1[[#This Row],[Location Identifier]],"-")</f>
        <v>LON-004</v>
      </c>
      <c r="AP350" s="9">
        <f t="shared" ca="1" si="50"/>
        <v>45869</v>
      </c>
    </row>
    <row r="351" spans="1:42" x14ac:dyDescent="0.25">
      <c r="A351">
        <v>44</v>
      </c>
      <c r="B351" t="s">
        <v>42</v>
      </c>
      <c r="C351">
        <v>3</v>
      </c>
      <c r="D351" t="s">
        <v>91</v>
      </c>
      <c r="E351" t="b">
        <v>0</v>
      </c>
      <c r="F351" s="1">
        <v>0.74097222222222225</v>
      </c>
      <c r="G351" s="1">
        <v>0.77083333333333337</v>
      </c>
      <c r="H351">
        <v>43</v>
      </c>
      <c r="I351" t="b">
        <v>1</v>
      </c>
      <c r="J351" t="b">
        <v>1</v>
      </c>
      <c r="K351" t="b">
        <v>1</v>
      </c>
      <c r="L351" t="s">
        <v>62</v>
      </c>
      <c r="M351">
        <v>20</v>
      </c>
      <c r="N351" t="s">
        <v>29</v>
      </c>
      <c r="O351">
        <v>20</v>
      </c>
      <c r="P351" t="s">
        <v>74</v>
      </c>
      <c r="Q351">
        <v>0.15</v>
      </c>
      <c r="R351">
        <v>17</v>
      </c>
      <c r="S351" t="s">
        <v>44</v>
      </c>
      <c r="T351" t="s">
        <v>54</v>
      </c>
      <c r="U351">
        <v>32.715699999999998</v>
      </c>
      <c r="V351">
        <v>-117.1611</v>
      </c>
      <c r="W351" s="2">
        <v>45164</v>
      </c>
      <c r="X351">
        <v>5</v>
      </c>
      <c r="Y351" t="b">
        <v>0</v>
      </c>
      <c r="Z351" s="2">
        <v>45823</v>
      </c>
      <c r="AA351" t="str">
        <f t="shared" si="51"/>
        <v>40–49</v>
      </c>
      <c r="AB351" t="str">
        <f t="shared" si="52"/>
        <v>40–49</v>
      </c>
      <c r="AC351" t="str">
        <f t="shared" si="53"/>
        <v>Monday</v>
      </c>
      <c r="AD351" t="str">
        <f t="shared" si="54"/>
        <v/>
      </c>
      <c r="AE351" t="str">
        <f t="shared" si="55"/>
        <v/>
      </c>
      <c r="AF351" t="str">
        <f t="shared" si="56"/>
        <v>Thursday</v>
      </c>
      <c r="AG351" t="str">
        <f t="shared" si="57"/>
        <v/>
      </c>
      <c r="AH351" t="str">
        <f t="shared" si="58"/>
        <v>Saturday</v>
      </c>
      <c r="AI351" t="str">
        <f t="shared" si="59"/>
        <v/>
      </c>
      <c r="AJ351" t="str">
        <f>LEFT(Table1[[#This Row],[membership_type]],2)&amp;TEXT(Table1[[#This Row],[age]],"00")&amp;"-"&amp;TEXT(ROW(),"000")</f>
        <v>Ba44-351</v>
      </c>
      <c r="AK351" t="str">
        <f>LEFT(Table1[[#This Row],[membership_type]],1)&amp;TEXT(MATCH(Table1[[#This Row],[membership_type]],Table1[membership_type],0),"00")</f>
        <v>B04</v>
      </c>
      <c r="AL351" t="str">
        <f>LEFT(Table1[[#This Row],[discount_type]],1)&amp;TEXT(ROUND(Table1[[#This Row],[discount_rate]]*100,0),"00")</f>
        <v>S15</v>
      </c>
      <c r="AM351" t="str" cm="1">
        <f t="array" ref="AM351">TEXT(SUMPRODUCT(CODE(MID(Table1[[#This Row],[home_gym_location]],_xlfn.SEQUENCE(LEN(Table1[[#This Row],[home_gym_location]])),1))),"00000")</f>
        <v>01018</v>
      </c>
      <c r="AN35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351" t="str">
        <f>LEFT(_xlfn.TEXTBEFORE(Table1[[#This Row],[Location Identifier]],"-"),3) &amp; "-" &amp; _xlfn.TEXTAFTER(Table1[[#This Row],[Location Identifier]],"-")</f>
        <v>SAN-008</v>
      </c>
      <c r="AP351" s="9">
        <f t="shared" ca="1" si="50"/>
        <v>45869</v>
      </c>
    </row>
    <row r="352" spans="1:42" x14ac:dyDescent="0.25">
      <c r="A352">
        <v>39</v>
      </c>
      <c r="B352" t="s">
        <v>42</v>
      </c>
      <c r="C352">
        <v>5</v>
      </c>
      <c r="D352" t="s">
        <v>76</v>
      </c>
      <c r="E352" t="b">
        <v>1</v>
      </c>
      <c r="F352" s="1">
        <v>0.7944444444444444</v>
      </c>
      <c r="G352" s="1">
        <v>0.83472222222222225</v>
      </c>
      <c r="H352">
        <v>58</v>
      </c>
      <c r="I352" t="b">
        <v>1</v>
      </c>
      <c r="J352" t="b">
        <v>0</v>
      </c>
      <c r="K352" t="b">
        <v>1</v>
      </c>
      <c r="L352" t="s">
        <v>28</v>
      </c>
      <c r="M352">
        <v>20</v>
      </c>
      <c r="N352" t="s">
        <v>64</v>
      </c>
      <c r="O352">
        <v>15</v>
      </c>
      <c r="P352" t="s">
        <v>36</v>
      </c>
      <c r="Q352">
        <v>0</v>
      </c>
      <c r="R352">
        <v>15</v>
      </c>
      <c r="S352" t="s">
        <v>44</v>
      </c>
      <c r="T352" t="s">
        <v>48</v>
      </c>
      <c r="U352">
        <v>38.581600000000002</v>
      </c>
      <c r="V352">
        <v>-121.4944</v>
      </c>
      <c r="W352" s="2">
        <v>45295</v>
      </c>
      <c r="X352">
        <v>0</v>
      </c>
      <c r="Y352" t="b">
        <v>0</v>
      </c>
      <c r="Z352" s="2">
        <v>45830</v>
      </c>
      <c r="AA352" t="str">
        <f t="shared" si="51"/>
        <v>30–39</v>
      </c>
      <c r="AB352" t="str">
        <f t="shared" si="52"/>
        <v>30–39</v>
      </c>
      <c r="AC352" t="str">
        <f t="shared" si="53"/>
        <v>Monday</v>
      </c>
      <c r="AD352" t="str">
        <f t="shared" si="54"/>
        <v>Tuesday</v>
      </c>
      <c r="AE352" t="str">
        <f t="shared" si="55"/>
        <v>Wednesday</v>
      </c>
      <c r="AF352" t="str">
        <f t="shared" si="56"/>
        <v>Thursday</v>
      </c>
      <c r="AG352" t="str">
        <f t="shared" si="57"/>
        <v/>
      </c>
      <c r="AH352" t="str">
        <f t="shared" si="58"/>
        <v/>
      </c>
      <c r="AI352" t="str">
        <f t="shared" si="59"/>
        <v>Sunday</v>
      </c>
      <c r="AJ352" t="str">
        <f>LEFT(Table1[[#This Row],[membership_type]],2)&amp;TEXT(Table1[[#This Row],[age]],"00")&amp;"-"&amp;TEXT(ROW(),"000")</f>
        <v>Ba39-352</v>
      </c>
      <c r="AK352" t="str">
        <f>LEFT(Table1[[#This Row],[membership_type]],1)&amp;TEXT(MATCH(Table1[[#This Row],[membership_type]],Table1[membership_type],0),"00")</f>
        <v>B04</v>
      </c>
      <c r="AL352" t="str">
        <f>LEFT(Table1[[#This Row],[discount_type]],1)&amp;TEXT(ROUND(Table1[[#This Row],[discount_rate]]*100,0),"00")</f>
        <v>N00</v>
      </c>
      <c r="AM352" t="str" cm="1">
        <f t="array" ref="AM352">TEXT(SUMPRODUCT(CODE(MID(Table1[[#This Row],[home_gym_location]],_xlfn.SEQUENCE(LEN(Table1[[#This Row],[home_gym_location]])),1))),"00000")</f>
        <v>01245</v>
      </c>
      <c r="AN35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52" t="str">
        <f>LEFT(_xlfn.TEXTBEFORE(Table1[[#This Row],[Location Identifier]],"-"),3) &amp; "-" &amp; _xlfn.TEXTAFTER(Table1[[#This Row],[Location Identifier]],"-")</f>
        <v>SAC-007</v>
      </c>
      <c r="AP352" s="9">
        <f t="shared" ca="1" si="50"/>
        <v>45869</v>
      </c>
    </row>
    <row r="353" spans="1:42" x14ac:dyDescent="0.25">
      <c r="A353">
        <v>32</v>
      </c>
      <c r="B353" t="s">
        <v>51</v>
      </c>
      <c r="C353">
        <v>3</v>
      </c>
      <c r="D353" t="s">
        <v>125</v>
      </c>
      <c r="E353" t="b">
        <v>0</v>
      </c>
      <c r="F353" s="1">
        <v>0.58402777777777781</v>
      </c>
      <c r="G353" s="1">
        <v>0.67847222222222225</v>
      </c>
      <c r="H353">
        <v>136</v>
      </c>
      <c r="I353" t="b">
        <v>0</v>
      </c>
      <c r="J353" t="b">
        <v>0</v>
      </c>
      <c r="K353" t="b">
        <v>0</v>
      </c>
      <c r="L353" t="s">
        <v>62</v>
      </c>
      <c r="M353">
        <v>70</v>
      </c>
      <c r="N353" t="s">
        <v>29</v>
      </c>
      <c r="O353">
        <v>70</v>
      </c>
      <c r="P353" t="s">
        <v>36</v>
      </c>
      <c r="Q353">
        <v>0</v>
      </c>
      <c r="R353">
        <v>70</v>
      </c>
      <c r="S353" t="s">
        <v>53</v>
      </c>
      <c r="T353" t="s">
        <v>45</v>
      </c>
      <c r="U353">
        <v>33.836599999999997</v>
      </c>
      <c r="V353">
        <v>-117.9143</v>
      </c>
      <c r="W353" s="2">
        <v>44918</v>
      </c>
      <c r="X353">
        <v>0</v>
      </c>
      <c r="Y353" t="b">
        <v>1</v>
      </c>
      <c r="Z353" s="2">
        <v>45809</v>
      </c>
      <c r="AA353" t="str">
        <f t="shared" si="51"/>
        <v>30–39</v>
      </c>
      <c r="AB353" t="str">
        <f t="shared" si="52"/>
        <v>30–39</v>
      </c>
      <c r="AC353" t="str">
        <f t="shared" si="53"/>
        <v/>
      </c>
      <c r="AD353" t="str">
        <f t="shared" si="54"/>
        <v/>
      </c>
      <c r="AE353" t="str">
        <f t="shared" si="55"/>
        <v/>
      </c>
      <c r="AF353" t="str">
        <f t="shared" si="56"/>
        <v>Thursday</v>
      </c>
      <c r="AG353" t="str">
        <f t="shared" si="57"/>
        <v/>
      </c>
      <c r="AH353" t="str">
        <f t="shared" si="58"/>
        <v>Saturday</v>
      </c>
      <c r="AI353" t="str">
        <f t="shared" si="59"/>
        <v>Sunday</v>
      </c>
      <c r="AJ353" t="str">
        <f>LEFT(Table1[[#This Row],[membership_type]],2)&amp;TEXT(Table1[[#This Row],[age]],"00")&amp;"-"&amp;TEXT(ROW(),"000")</f>
        <v>El32-353</v>
      </c>
      <c r="AK353" t="str">
        <f>LEFT(Table1[[#This Row],[membership_type]],1)&amp;TEXT(MATCH(Table1[[#This Row],[membership_type]],Table1[membership_type],0),"00")</f>
        <v>E07</v>
      </c>
      <c r="AL353" t="str">
        <f>LEFT(Table1[[#This Row],[discount_type]],1)&amp;TEXT(ROUND(Table1[[#This Row],[discount_rate]]*100,0),"00")</f>
        <v>N00</v>
      </c>
      <c r="AM353" t="str" cm="1">
        <f t="array" ref="AM353">TEXT(SUMPRODUCT(CODE(MID(Table1[[#This Row],[home_gym_location]],_xlfn.SEQUENCE(LEN(Table1[[#This Row],[home_gym_location]])),1))),"00000")</f>
        <v>00899</v>
      </c>
      <c r="AN353" t="str">
        <f>UPPER(_xlfn.TEXTBEFORE(Table1[[#This Row],[home_gym_location]],","))&amp;"-"&amp;TEXT(MATCH(Table1[[#This Row],[home_gym_location]],_xlfn._xlws.SORT(_xlfn.UNIQUE(Table1[home_gym_location])),0),"000")</f>
        <v>ANAHEIM-001</v>
      </c>
      <c r="AO353" t="str">
        <f>LEFT(_xlfn.TEXTBEFORE(Table1[[#This Row],[Location Identifier]],"-"),3) &amp; "-" &amp; _xlfn.TEXTAFTER(Table1[[#This Row],[Location Identifier]],"-")</f>
        <v>ANA-001</v>
      </c>
      <c r="AP353" s="9">
        <f t="shared" ca="1" si="50"/>
        <v>45869</v>
      </c>
    </row>
    <row r="354" spans="1:42" x14ac:dyDescent="0.25">
      <c r="A354">
        <v>40</v>
      </c>
      <c r="B354" t="s">
        <v>26</v>
      </c>
      <c r="C354">
        <v>4</v>
      </c>
      <c r="D354" t="s">
        <v>85</v>
      </c>
      <c r="E354" t="b">
        <v>1</v>
      </c>
      <c r="F354" s="1">
        <v>0.81597222222222221</v>
      </c>
      <c r="G354" s="1">
        <v>0.88055555555555554</v>
      </c>
      <c r="H354">
        <v>93</v>
      </c>
      <c r="I354" t="b">
        <v>0</v>
      </c>
      <c r="J354" t="b">
        <v>0</v>
      </c>
      <c r="K354" t="b">
        <v>0</v>
      </c>
      <c r="L354" t="s">
        <v>47</v>
      </c>
      <c r="M354">
        <v>50</v>
      </c>
      <c r="N354" t="s">
        <v>64</v>
      </c>
      <c r="O354">
        <v>37.5</v>
      </c>
      <c r="P354" t="s">
        <v>40</v>
      </c>
      <c r="Q354">
        <v>0.1</v>
      </c>
      <c r="R354">
        <v>33.75</v>
      </c>
      <c r="S354" t="s">
        <v>31</v>
      </c>
      <c r="T354" t="s">
        <v>38</v>
      </c>
      <c r="U354">
        <v>36.7378</v>
      </c>
      <c r="V354">
        <v>-119.7871</v>
      </c>
      <c r="W354" s="2">
        <v>45129</v>
      </c>
      <c r="X354">
        <v>0</v>
      </c>
      <c r="Y354" t="b">
        <v>1</v>
      </c>
      <c r="Z354" s="2">
        <v>45821</v>
      </c>
      <c r="AA354" t="str">
        <f t="shared" si="51"/>
        <v>40–49</v>
      </c>
      <c r="AB354" t="str">
        <f t="shared" si="52"/>
        <v>40–49</v>
      </c>
      <c r="AC354" t="str">
        <f t="shared" si="53"/>
        <v/>
      </c>
      <c r="AD354" t="str">
        <f t="shared" si="54"/>
        <v>Tuesday</v>
      </c>
      <c r="AE354" t="str">
        <f t="shared" si="55"/>
        <v/>
      </c>
      <c r="AF354" t="str">
        <f t="shared" si="56"/>
        <v>Thursday</v>
      </c>
      <c r="AG354" t="str">
        <f t="shared" si="57"/>
        <v/>
      </c>
      <c r="AH354" t="str">
        <f t="shared" si="58"/>
        <v>Saturday</v>
      </c>
      <c r="AI354" t="str">
        <f t="shared" si="59"/>
        <v>Sunday</v>
      </c>
      <c r="AJ354" t="str">
        <f>LEFT(Table1[[#This Row],[membership_type]],2)&amp;TEXT(Table1[[#This Row],[age]],"00")&amp;"-"&amp;TEXT(ROW(),"000")</f>
        <v>Pr40-354</v>
      </c>
      <c r="AK354" t="str">
        <f>LEFT(Table1[[#This Row],[membership_type]],1)&amp;TEXT(MATCH(Table1[[#This Row],[membership_type]],Table1[membership_type],0),"00")</f>
        <v>P01</v>
      </c>
      <c r="AL354" t="str">
        <f>LEFT(Table1[[#This Row],[discount_type]],1)&amp;TEXT(ROUND(Table1[[#This Row],[discount_rate]]*100,0),"00")</f>
        <v>L10</v>
      </c>
      <c r="AM354" t="str" cm="1">
        <f t="array" ref="AM354">TEXT(SUMPRODUCT(CODE(MID(Table1[[#This Row],[home_gym_location]],_xlfn.SEQUENCE(LEN(Table1[[#This Row],[home_gym_location]])),1))),"00000")</f>
        <v>00829</v>
      </c>
      <c r="AN354" t="str">
        <f>UPPER(_xlfn.TEXTBEFORE(Table1[[#This Row],[home_gym_location]],","))&amp;"-"&amp;TEXT(MATCH(Table1[[#This Row],[home_gym_location]],_xlfn._xlws.SORT(_xlfn.UNIQUE(Table1[home_gym_location])),0),"000")</f>
        <v>FRESNO-003</v>
      </c>
      <c r="AO354" t="str">
        <f>LEFT(_xlfn.TEXTBEFORE(Table1[[#This Row],[Location Identifier]],"-"),3) &amp; "-" &amp; _xlfn.TEXTAFTER(Table1[[#This Row],[Location Identifier]],"-")</f>
        <v>FRE-003</v>
      </c>
      <c r="AP354" s="9">
        <f t="shared" ca="1" si="50"/>
        <v>45869</v>
      </c>
    </row>
    <row r="355" spans="1:42" x14ac:dyDescent="0.25">
      <c r="A355">
        <v>34</v>
      </c>
      <c r="B355" t="s">
        <v>51</v>
      </c>
      <c r="C355">
        <v>3</v>
      </c>
      <c r="D355" t="s">
        <v>122</v>
      </c>
      <c r="E355" t="b">
        <v>0</v>
      </c>
      <c r="F355" s="1">
        <v>0.45416666666666666</v>
      </c>
      <c r="G355" s="1">
        <v>0.53402777777777777</v>
      </c>
      <c r="H355">
        <v>115</v>
      </c>
      <c r="I355" t="b">
        <v>1</v>
      </c>
      <c r="J355" t="b">
        <v>1</v>
      </c>
      <c r="K355" t="b">
        <v>1</v>
      </c>
      <c r="L355" t="s">
        <v>28</v>
      </c>
      <c r="M355">
        <v>70</v>
      </c>
      <c r="N355" t="s">
        <v>64</v>
      </c>
      <c r="O355">
        <v>52.5</v>
      </c>
      <c r="P355" t="s">
        <v>36</v>
      </c>
      <c r="Q355">
        <v>0</v>
      </c>
      <c r="R355">
        <v>52.5</v>
      </c>
      <c r="S355" t="s">
        <v>53</v>
      </c>
      <c r="T355" t="s">
        <v>65</v>
      </c>
      <c r="U355">
        <v>33.770099999999999</v>
      </c>
      <c r="V355">
        <v>-118.19370000000001</v>
      </c>
      <c r="W355" s="2">
        <v>45657</v>
      </c>
      <c r="X355">
        <v>5</v>
      </c>
      <c r="Y355" t="b">
        <v>0</v>
      </c>
      <c r="Z355" s="2">
        <v>45851</v>
      </c>
      <c r="AA355" t="str">
        <f t="shared" si="51"/>
        <v>30–39</v>
      </c>
      <c r="AB355" t="str">
        <f t="shared" si="52"/>
        <v>30–39</v>
      </c>
      <c r="AC355" t="str">
        <f t="shared" si="53"/>
        <v/>
      </c>
      <c r="AD355" t="str">
        <f t="shared" si="54"/>
        <v>Tuesday</v>
      </c>
      <c r="AE355" t="str">
        <f t="shared" si="55"/>
        <v/>
      </c>
      <c r="AF355" t="str">
        <f t="shared" si="56"/>
        <v/>
      </c>
      <c r="AG355" t="str">
        <f t="shared" si="57"/>
        <v>Friday</v>
      </c>
      <c r="AH355" t="str">
        <f t="shared" si="58"/>
        <v/>
      </c>
      <c r="AI355" t="str">
        <f t="shared" si="59"/>
        <v>Sunday</v>
      </c>
      <c r="AJ355" t="str">
        <f>LEFT(Table1[[#This Row],[membership_type]],2)&amp;TEXT(Table1[[#This Row],[age]],"00")&amp;"-"&amp;TEXT(ROW(),"000")</f>
        <v>El34-355</v>
      </c>
      <c r="AK355" t="str">
        <f>LEFT(Table1[[#This Row],[membership_type]],1)&amp;TEXT(MATCH(Table1[[#This Row],[membership_type]],Table1[membership_type],0),"00")</f>
        <v>E07</v>
      </c>
      <c r="AL355" t="str">
        <f>LEFT(Table1[[#This Row],[discount_type]],1)&amp;TEXT(ROUND(Table1[[#This Row],[discount_rate]]*100,0),"00")</f>
        <v>N00</v>
      </c>
      <c r="AM355" t="str" cm="1">
        <f t="array" ref="AM355">TEXT(SUMPRODUCT(CODE(MID(Table1[[#This Row],[home_gym_location]],_xlfn.SEQUENCE(LEN(Table1[[#This Row],[home_gym_location]])),1))),"00000")</f>
        <v>01107</v>
      </c>
      <c r="AN35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55" t="str">
        <f>LEFT(_xlfn.TEXTBEFORE(Table1[[#This Row],[Location Identifier]],"-"),3) &amp; "-" &amp; _xlfn.TEXTAFTER(Table1[[#This Row],[Location Identifier]],"-")</f>
        <v>LON-004</v>
      </c>
      <c r="AP355" s="9">
        <f t="shared" ca="1" si="50"/>
        <v>45869</v>
      </c>
    </row>
    <row r="356" spans="1:42" x14ac:dyDescent="0.25">
      <c r="A356">
        <v>46</v>
      </c>
      <c r="B356" t="s">
        <v>33</v>
      </c>
      <c r="C356">
        <v>3</v>
      </c>
      <c r="D356" t="s">
        <v>134</v>
      </c>
      <c r="E356" t="b">
        <v>0</v>
      </c>
      <c r="F356" s="1">
        <v>0.76944444444444449</v>
      </c>
      <c r="G356" s="1">
        <v>0.81944444444444442</v>
      </c>
      <c r="H356">
        <v>72</v>
      </c>
      <c r="I356" t="b">
        <v>0</v>
      </c>
      <c r="J356" t="b">
        <v>1</v>
      </c>
      <c r="K356" t="b">
        <v>0</v>
      </c>
      <c r="L356" t="s">
        <v>28</v>
      </c>
      <c r="M356">
        <v>30</v>
      </c>
      <c r="N356" t="s">
        <v>29</v>
      </c>
      <c r="O356">
        <v>30</v>
      </c>
      <c r="P356" t="s">
        <v>74</v>
      </c>
      <c r="Q356">
        <v>0.15</v>
      </c>
      <c r="R356">
        <v>25.5</v>
      </c>
      <c r="S356" t="s">
        <v>37</v>
      </c>
      <c r="T356" t="s">
        <v>41</v>
      </c>
      <c r="U356">
        <v>37.804400000000001</v>
      </c>
      <c r="V356">
        <v>-122.27119999999999</v>
      </c>
      <c r="W356" s="2">
        <v>45755</v>
      </c>
      <c r="X356">
        <v>8</v>
      </c>
      <c r="Y356" t="b">
        <v>0</v>
      </c>
      <c r="Z356" s="2">
        <v>45856</v>
      </c>
      <c r="AA356" t="str">
        <f t="shared" si="51"/>
        <v>40–49</v>
      </c>
      <c r="AB356" t="str">
        <f t="shared" si="52"/>
        <v>40–49</v>
      </c>
      <c r="AC356" t="str">
        <f t="shared" si="53"/>
        <v/>
      </c>
      <c r="AD356" t="str">
        <f t="shared" si="54"/>
        <v>Tuesday</v>
      </c>
      <c r="AE356" t="str">
        <f t="shared" si="55"/>
        <v/>
      </c>
      <c r="AF356" t="str">
        <f t="shared" si="56"/>
        <v>Thursday</v>
      </c>
      <c r="AG356" t="str">
        <f t="shared" si="57"/>
        <v/>
      </c>
      <c r="AH356" t="str">
        <f t="shared" si="58"/>
        <v>Saturday</v>
      </c>
      <c r="AI356" t="str">
        <f t="shared" si="59"/>
        <v/>
      </c>
      <c r="AJ356" t="str">
        <f>LEFT(Table1[[#This Row],[membership_type]],2)&amp;TEXT(Table1[[#This Row],[age]],"00")&amp;"-"&amp;TEXT(ROW(),"000")</f>
        <v>St46-356</v>
      </c>
      <c r="AK356" t="str">
        <f>LEFT(Table1[[#This Row],[membership_type]],1)&amp;TEXT(MATCH(Table1[[#This Row],[membership_type]],Table1[membership_type],0),"00")</f>
        <v>S02</v>
      </c>
      <c r="AL356" t="str">
        <f>LEFT(Table1[[#This Row],[discount_type]],1)&amp;TEXT(ROUND(Table1[[#This Row],[discount_rate]]*100,0),"00")</f>
        <v>S15</v>
      </c>
      <c r="AM356" t="str" cm="1">
        <f t="array" ref="AM356">TEXT(SUMPRODUCT(CODE(MID(Table1[[#This Row],[home_gym_location]],_xlfn.SEQUENCE(LEN(Table1[[#This Row],[home_gym_location]])),1))),"00000")</f>
        <v>00906</v>
      </c>
      <c r="AN356" t="str">
        <f>UPPER(_xlfn.TEXTBEFORE(Table1[[#This Row],[home_gym_location]],","))&amp;"-"&amp;TEXT(MATCH(Table1[[#This Row],[home_gym_location]],_xlfn._xlws.SORT(_xlfn.UNIQUE(Table1[home_gym_location])),0),"000")</f>
        <v>OAKLAND-006</v>
      </c>
      <c r="AO356" t="str">
        <f>LEFT(_xlfn.TEXTBEFORE(Table1[[#This Row],[Location Identifier]],"-"),3) &amp; "-" &amp; _xlfn.TEXTAFTER(Table1[[#This Row],[Location Identifier]],"-")</f>
        <v>OAK-006</v>
      </c>
      <c r="AP356" s="9">
        <f t="shared" ca="1" si="50"/>
        <v>45869</v>
      </c>
    </row>
    <row r="357" spans="1:42" x14ac:dyDescent="0.25">
      <c r="A357">
        <v>27</v>
      </c>
      <c r="B357" t="s">
        <v>26</v>
      </c>
      <c r="C357">
        <v>2</v>
      </c>
      <c r="D357" t="s">
        <v>130</v>
      </c>
      <c r="E357" t="b">
        <v>1</v>
      </c>
      <c r="F357" s="1">
        <v>0.85555555555555551</v>
      </c>
      <c r="G357" s="1">
        <v>0.93055555555555558</v>
      </c>
      <c r="H357">
        <v>108</v>
      </c>
      <c r="I357" t="b">
        <v>1</v>
      </c>
      <c r="J357" t="b">
        <v>0</v>
      </c>
      <c r="K357" t="b">
        <v>0</v>
      </c>
      <c r="L357" t="s">
        <v>58</v>
      </c>
      <c r="M357">
        <v>50</v>
      </c>
      <c r="N357" t="s">
        <v>78</v>
      </c>
      <c r="O357">
        <v>45</v>
      </c>
      <c r="P357" t="s">
        <v>36</v>
      </c>
      <c r="Q357">
        <v>0</v>
      </c>
      <c r="R357">
        <v>45</v>
      </c>
      <c r="S357" t="s">
        <v>31</v>
      </c>
      <c r="T357" t="s">
        <v>65</v>
      </c>
      <c r="U357">
        <v>33.770099999999999</v>
      </c>
      <c r="V357">
        <v>-118.19370000000001</v>
      </c>
      <c r="W357" s="2">
        <v>45146</v>
      </c>
      <c r="X357">
        <v>0</v>
      </c>
      <c r="Y357" t="b">
        <v>0</v>
      </c>
      <c r="Z357" s="2">
        <v>45822</v>
      </c>
      <c r="AA357" t="str">
        <f t="shared" si="51"/>
        <v>20–29</v>
      </c>
      <c r="AB357" t="str">
        <f t="shared" si="52"/>
        <v>20–29</v>
      </c>
      <c r="AC357" t="str">
        <f t="shared" si="53"/>
        <v>Monday</v>
      </c>
      <c r="AD357" t="str">
        <f t="shared" si="54"/>
        <v/>
      </c>
      <c r="AE357" t="str">
        <f t="shared" si="55"/>
        <v/>
      </c>
      <c r="AF357" t="str">
        <f t="shared" si="56"/>
        <v>Thursday</v>
      </c>
      <c r="AG357" t="str">
        <f t="shared" si="57"/>
        <v/>
      </c>
      <c r="AH357" t="str">
        <f t="shared" si="58"/>
        <v/>
      </c>
      <c r="AI357" t="str">
        <f t="shared" si="59"/>
        <v/>
      </c>
      <c r="AJ357" t="str">
        <f>LEFT(Table1[[#This Row],[membership_type]],2)&amp;TEXT(Table1[[#This Row],[age]],"00")&amp;"-"&amp;TEXT(ROW(),"000")</f>
        <v>Pr27-357</v>
      </c>
      <c r="AK357" t="str">
        <f>LEFT(Table1[[#This Row],[membership_type]],1)&amp;TEXT(MATCH(Table1[[#This Row],[membership_type]],Table1[membership_type],0),"00")</f>
        <v>P01</v>
      </c>
      <c r="AL357" t="str">
        <f>LEFT(Table1[[#This Row],[discount_type]],1)&amp;TEXT(ROUND(Table1[[#This Row],[discount_rate]]*100,0),"00")</f>
        <v>N00</v>
      </c>
      <c r="AM357" t="str" cm="1">
        <f t="array" ref="AM357">TEXT(SUMPRODUCT(CODE(MID(Table1[[#This Row],[home_gym_location]],_xlfn.SEQUENCE(LEN(Table1[[#This Row],[home_gym_location]])),1))),"00000")</f>
        <v>01107</v>
      </c>
      <c r="AN35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57" t="str">
        <f>LEFT(_xlfn.TEXTBEFORE(Table1[[#This Row],[Location Identifier]],"-"),3) &amp; "-" &amp; _xlfn.TEXTAFTER(Table1[[#This Row],[Location Identifier]],"-")</f>
        <v>LON-004</v>
      </c>
      <c r="AP357" s="9">
        <f t="shared" ca="1" si="50"/>
        <v>45869</v>
      </c>
    </row>
    <row r="358" spans="1:42" x14ac:dyDescent="0.25">
      <c r="A358">
        <v>13</v>
      </c>
      <c r="B358" t="s">
        <v>42</v>
      </c>
      <c r="C358">
        <v>3</v>
      </c>
      <c r="D358" t="s">
        <v>128</v>
      </c>
      <c r="E358" t="b">
        <v>0</v>
      </c>
      <c r="F358" s="1">
        <v>0.58402777777777781</v>
      </c>
      <c r="G358" s="1">
        <v>0.68263888888888891</v>
      </c>
      <c r="H358">
        <v>142</v>
      </c>
      <c r="I358" t="b">
        <v>1</v>
      </c>
      <c r="J358" t="b">
        <v>0</v>
      </c>
      <c r="K358" t="b">
        <v>1</v>
      </c>
      <c r="L358" t="s">
        <v>62</v>
      </c>
      <c r="M358">
        <v>20</v>
      </c>
      <c r="N358" t="s">
        <v>64</v>
      </c>
      <c r="O358">
        <v>15</v>
      </c>
      <c r="P358" t="s">
        <v>30</v>
      </c>
      <c r="Q358">
        <v>0.05</v>
      </c>
      <c r="R358">
        <v>14.25</v>
      </c>
      <c r="S358" t="s">
        <v>44</v>
      </c>
      <c r="T358" t="s">
        <v>38</v>
      </c>
      <c r="U358">
        <v>36.7378</v>
      </c>
      <c r="V358">
        <v>-119.7871</v>
      </c>
      <c r="W358" s="2">
        <v>45802</v>
      </c>
      <c r="X358">
        <v>0</v>
      </c>
      <c r="Y358" t="b">
        <v>0</v>
      </c>
      <c r="Z358" s="2">
        <v>45859</v>
      </c>
      <c r="AA358" t="str">
        <f t="shared" si="51"/>
        <v>10–19</v>
      </c>
      <c r="AB358" t="str">
        <f t="shared" si="52"/>
        <v>Under 16</v>
      </c>
      <c r="AC358" t="str">
        <f t="shared" si="53"/>
        <v>Monday</v>
      </c>
      <c r="AD358" t="str">
        <f t="shared" si="54"/>
        <v/>
      </c>
      <c r="AE358" t="str">
        <f t="shared" si="55"/>
        <v/>
      </c>
      <c r="AF358" t="str">
        <f t="shared" si="56"/>
        <v>Thursday</v>
      </c>
      <c r="AG358" t="str">
        <f t="shared" si="57"/>
        <v/>
      </c>
      <c r="AH358" t="str">
        <f t="shared" si="58"/>
        <v/>
      </c>
      <c r="AI358" t="str">
        <f t="shared" si="59"/>
        <v>Sunday</v>
      </c>
      <c r="AJ358" t="str">
        <f>LEFT(Table1[[#This Row],[membership_type]],2)&amp;TEXT(Table1[[#This Row],[age]],"00")&amp;"-"&amp;TEXT(ROW(),"000")</f>
        <v>Ba13-358</v>
      </c>
      <c r="AK358" t="str">
        <f>LEFT(Table1[[#This Row],[membership_type]],1)&amp;TEXT(MATCH(Table1[[#This Row],[membership_type]],Table1[membership_type],0),"00")</f>
        <v>B04</v>
      </c>
      <c r="AL358" t="str">
        <f>LEFT(Table1[[#This Row],[discount_type]],1)&amp;TEXT(ROUND(Table1[[#This Row],[discount_rate]]*100,0),"00")</f>
        <v>P05</v>
      </c>
      <c r="AM358" t="str" cm="1">
        <f t="array" ref="AM358">TEXT(SUMPRODUCT(CODE(MID(Table1[[#This Row],[home_gym_location]],_xlfn.SEQUENCE(LEN(Table1[[#This Row],[home_gym_location]])),1))),"00000")</f>
        <v>00829</v>
      </c>
      <c r="AN358" t="str">
        <f>UPPER(_xlfn.TEXTBEFORE(Table1[[#This Row],[home_gym_location]],","))&amp;"-"&amp;TEXT(MATCH(Table1[[#This Row],[home_gym_location]],_xlfn._xlws.SORT(_xlfn.UNIQUE(Table1[home_gym_location])),0),"000")</f>
        <v>FRESNO-003</v>
      </c>
      <c r="AO358" t="str">
        <f>LEFT(_xlfn.TEXTBEFORE(Table1[[#This Row],[Location Identifier]],"-"),3) &amp; "-" &amp; _xlfn.TEXTAFTER(Table1[[#This Row],[Location Identifier]],"-")</f>
        <v>FRE-003</v>
      </c>
      <c r="AP358" s="9">
        <f t="shared" ca="1" si="50"/>
        <v>45869</v>
      </c>
    </row>
    <row r="359" spans="1:42" x14ac:dyDescent="0.25">
      <c r="A359">
        <v>19</v>
      </c>
      <c r="B359" t="s">
        <v>26</v>
      </c>
      <c r="C359">
        <v>2</v>
      </c>
      <c r="D359" t="s">
        <v>88</v>
      </c>
      <c r="E359" t="b">
        <v>1</v>
      </c>
      <c r="F359" s="1">
        <v>0.44583333333333336</v>
      </c>
      <c r="G359" s="1">
        <v>0.56180555555555556</v>
      </c>
      <c r="H359">
        <v>167</v>
      </c>
      <c r="I359" t="b">
        <v>0</v>
      </c>
      <c r="J359" t="b">
        <v>1</v>
      </c>
      <c r="K359" t="b">
        <v>0</v>
      </c>
      <c r="L359" t="s">
        <v>28</v>
      </c>
      <c r="M359">
        <v>50</v>
      </c>
      <c r="N359" t="s">
        <v>29</v>
      </c>
      <c r="O359">
        <v>50</v>
      </c>
      <c r="P359" t="s">
        <v>40</v>
      </c>
      <c r="Q359">
        <v>0.1</v>
      </c>
      <c r="R359">
        <v>45</v>
      </c>
      <c r="S359" t="s">
        <v>31</v>
      </c>
      <c r="T359" t="s">
        <v>48</v>
      </c>
      <c r="U359">
        <v>38.581600000000002</v>
      </c>
      <c r="V359">
        <v>-121.4944</v>
      </c>
      <c r="W359" s="2">
        <v>45207</v>
      </c>
      <c r="X359">
        <v>7</v>
      </c>
      <c r="Y359" t="b">
        <v>1</v>
      </c>
      <c r="Z359" s="2">
        <v>45825</v>
      </c>
      <c r="AA359" t="str">
        <f t="shared" si="51"/>
        <v>10–19</v>
      </c>
      <c r="AB359" t="str">
        <f t="shared" si="52"/>
        <v>16–19</v>
      </c>
      <c r="AC359" t="str">
        <f t="shared" si="53"/>
        <v>Monday</v>
      </c>
      <c r="AD359" t="str">
        <f t="shared" si="54"/>
        <v/>
      </c>
      <c r="AE359" t="str">
        <f t="shared" si="55"/>
        <v>Wednesday</v>
      </c>
      <c r="AF359" t="str">
        <f t="shared" si="56"/>
        <v/>
      </c>
      <c r="AG359" t="str">
        <f t="shared" si="57"/>
        <v/>
      </c>
      <c r="AH359" t="str">
        <f t="shared" si="58"/>
        <v/>
      </c>
      <c r="AI359" t="str">
        <f t="shared" si="59"/>
        <v/>
      </c>
      <c r="AJ359" t="str">
        <f>LEFT(Table1[[#This Row],[membership_type]],2)&amp;TEXT(Table1[[#This Row],[age]],"00")&amp;"-"&amp;TEXT(ROW(),"000")</f>
        <v>Pr19-359</v>
      </c>
      <c r="AK359" t="str">
        <f>LEFT(Table1[[#This Row],[membership_type]],1)&amp;TEXT(MATCH(Table1[[#This Row],[membership_type]],Table1[membership_type],0),"00")</f>
        <v>P01</v>
      </c>
      <c r="AL359" t="str">
        <f>LEFT(Table1[[#This Row],[discount_type]],1)&amp;TEXT(ROUND(Table1[[#This Row],[discount_rate]]*100,0),"00")</f>
        <v>L10</v>
      </c>
      <c r="AM359" t="str" cm="1">
        <f t="array" ref="AM359">TEXT(SUMPRODUCT(CODE(MID(Table1[[#This Row],[home_gym_location]],_xlfn.SEQUENCE(LEN(Table1[[#This Row],[home_gym_location]])),1))),"00000")</f>
        <v>01245</v>
      </c>
      <c r="AN35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59" t="str">
        <f>LEFT(_xlfn.TEXTBEFORE(Table1[[#This Row],[Location Identifier]],"-"),3) &amp; "-" &amp; _xlfn.TEXTAFTER(Table1[[#This Row],[Location Identifier]],"-")</f>
        <v>SAC-007</v>
      </c>
      <c r="AP359" s="9">
        <f t="shared" ca="1" si="50"/>
        <v>45869</v>
      </c>
    </row>
    <row r="360" spans="1:42" x14ac:dyDescent="0.25">
      <c r="A360">
        <v>37</v>
      </c>
      <c r="B360" t="s">
        <v>26</v>
      </c>
      <c r="C360">
        <v>3</v>
      </c>
      <c r="D360" t="s">
        <v>82</v>
      </c>
      <c r="E360" t="b">
        <v>0</v>
      </c>
      <c r="F360" s="1">
        <v>0.74513888888888891</v>
      </c>
      <c r="G360" s="1">
        <v>0.84305555555555556</v>
      </c>
      <c r="H360">
        <v>141</v>
      </c>
      <c r="I360" t="b">
        <v>0</v>
      </c>
      <c r="J360" t="b">
        <v>0</v>
      </c>
      <c r="K360" t="b">
        <v>1</v>
      </c>
      <c r="L360" t="s">
        <v>35</v>
      </c>
      <c r="M360">
        <v>50</v>
      </c>
      <c r="N360" t="s">
        <v>64</v>
      </c>
      <c r="O360">
        <v>37.5</v>
      </c>
      <c r="P360" t="s">
        <v>40</v>
      </c>
      <c r="Q360">
        <v>0.1</v>
      </c>
      <c r="R360">
        <v>33.75</v>
      </c>
      <c r="S360" t="s">
        <v>31</v>
      </c>
      <c r="T360" t="s">
        <v>65</v>
      </c>
      <c r="U360">
        <v>33.770099999999999</v>
      </c>
      <c r="V360">
        <v>-118.19370000000001</v>
      </c>
      <c r="W360" s="2">
        <v>44829</v>
      </c>
      <c r="X360">
        <v>0</v>
      </c>
      <c r="Y360" t="b">
        <v>1</v>
      </c>
      <c r="Z360" s="2">
        <v>45804</v>
      </c>
      <c r="AA360" t="str">
        <f t="shared" si="51"/>
        <v>30–39</v>
      </c>
      <c r="AB360" t="str">
        <f t="shared" si="52"/>
        <v>30–39</v>
      </c>
      <c r="AC360" t="str">
        <f t="shared" si="53"/>
        <v/>
      </c>
      <c r="AD360" t="str">
        <f t="shared" si="54"/>
        <v/>
      </c>
      <c r="AE360" t="str">
        <f t="shared" si="55"/>
        <v/>
      </c>
      <c r="AF360" t="str">
        <f t="shared" si="56"/>
        <v/>
      </c>
      <c r="AG360" t="str">
        <f t="shared" si="57"/>
        <v>Friday</v>
      </c>
      <c r="AH360" t="str">
        <f t="shared" si="58"/>
        <v>Saturday</v>
      </c>
      <c r="AI360" t="str">
        <f t="shared" si="59"/>
        <v>Sunday</v>
      </c>
      <c r="AJ360" t="str">
        <f>LEFT(Table1[[#This Row],[membership_type]],2)&amp;TEXT(Table1[[#This Row],[age]],"00")&amp;"-"&amp;TEXT(ROW(),"000")</f>
        <v>Pr37-360</v>
      </c>
      <c r="AK360" t="str">
        <f>LEFT(Table1[[#This Row],[membership_type]],1)&amp;TEXT(MATCH(Table1[[#This Row],[membership_type]],Table1[membership_type],0),"00")</f>
        <v>P01</v>
      </c>
      <c r="AL360" t="str">
        <f>LEFT(Table1[[#This Row],[discount_type]],1)&amp;TEXT(ROUND(Table1[[#This Row],[discount_rate]]*100,0),"00")</f>
        <v>L10</v>
      </c>
      <c r="AM360" t="str" cm="1">
        <f t="array" ref="AM360">TEXT(SUMPRODUCT(CODE(MID(Table1[[#This Row],[home_gym_location]],_xlfn.SEQUENCE(LEN(Table1[[#This Row],[home_gym_location]])),1))),"00000")</f>
        <v>01107</v>
      </c>
      <c r="AN36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60" t="str">
        <f>LEFT(_xlfn.TEXTBEFORE(Table1[[#This Row],[Location Identifier]],"-"),3) &amp; "-" &amp; _xlfn.TEXTAFTER(Table1[[#This Row],[Location Identifier]],"-")</f>
        <v>LON-004</v>
      </c>
      <c r="AP360" s="9">
        <f t="shared" ca="1" si="50"/>
        <v>45869</v>
      </c>
    </row>
    <row r="361" spans="1:42" x14ac:dyDescent="0.25">
      <c r="A361">
        <v>42</v>
      </c>
      <c r="B361" t="s">
        <v>26</v>
      </c>
      <c r="C361">
        <v>2</v>
      </c>
      <c r="D361" t="s">
        <v>88</v>
      </c>
      <c r="E361" t="b">
        <v>0</v>
      </c>
      <c r="F361" s="1">
        <v>0.46041666666666664</v>
      </c>
      <c r="G361" s="1">
        <v>0.56527777777777777</v>
      </c>
      <c r="H361">
        <v>151</v>
      </c>
      <c r="I361" t="b">
        <v>1</v>
      </c>
      <c r="J361" t="b">
        <v>1</v>
      </c>
      <c r="K361" t="b">
        <v>0</v>
      </c>
      <c r="L361" t="s">
        <v>47</v>
      </c>
      <c r="M361">
        <v>50</v>
      </c>
      <c r="N361" t="s">
        <v>64</v>
      </c>
      <c r="O361">
        <v>37.5</v>
      </c>
      <c r="P361" t="s">
        <v>40</v>
      </c>
      <c r="Q361">
        <v>0.1</v>
      </c>
      <c r="R361">
        <v>33.75</v>
      </c>
      <c r="S361" t="s">
        <v>31</v>
      </c>
      <c r="T361" t="s">
        <v>38</v>
      </c>
      <c r="U361">
        <v>36.7378</v>
      </c>
      <c r="V361">
        <v>-119.7871</v>
      </c>
      <c r="W361" s="2">
        <v>45218</v>
      </c>
      <c r="X361">
        <v>1</v>
      </c>
      <c r="Y361" t="b">
        <v>1</v>
      </c>
      <c r="Z361" s="2">
        <v>45826</v>
      </c>
      <c r="AA361" t="str">
        <f t="shared" si="51"/>
        <v>40–49</v>
      </c>
      <c r="AB361" t="str">
        <f t="shared" si="52"/>
        <v>40–49</v>
      </c>
      <c r="AC361" t="str">
        <f t="shared" si="53"/>
        <v>Monday</v>
      </c>
      <c r="AD361" t="str">
        <f t="shared" si="54"/>
        <v/>
      </c>
      <c r="AE361" t="str">
        <f t="shared" si="55"/>
        <v>Wednesday</v>
      </c>
      <c r="AF361" t="str">
        <f t="shared" si="56"/>
        <v/>
      </c>
      <c r="AG361" t="str">
        <f t="shared" si="57"/>
        <v/>
      </c>
      <c r="AH361" t="str">
        <f t="shared" si="58"/>
        <v/>
      </c>
      <c r="AI361" t="str">
        <f t="shared" si="59"/>
        <v/>
      </c>
      <c r="AJ361" t="str">
        <f>LEFT(Table1[[#This Row],[membership_type]],2)&amp;TEXT(Table1[[#This Row],[age]],"00")&amp;"-"&amp;TEXT(ROW(),"000")</f>
        <v>Pr42-361</v>
      </c>
      <c r="AK361" t="str">
        <f>LEFT(Table1[[#This Row],[membership_type]],1)&amp;TEXT(MATCH(Table1[[#This Row],[membership_type]],Table1[membership_type],0),"00")</f>
        <v>P01</v>
      </c>
      <c r="AL361" t="str">
        <f>LEFT(Table1[[#This Row],[discount_type]],1)&amp;TEXT(ROUND(Table1[[#This Row],[discount_rate]]*100,0),"00")</f>
        <v>L10</v>
      </c>
      <c r="AM361" t="str" cm="1">
        <f t="array" ref="AM361">TEXT(SUMPRODUCT(CODE(MID(Table1[[#This Row],[home_gym_location]],_xlfn.SEQUENCE(LEN(Table1[[#This Row],[home_gym_location]])),1))),"00000")</f>
        <v>00829</v>
      </c>
      <c r="AN361" t="str">
        <f>UPPER(_xlfn.TEXTBEFORE(Table1[[#This Row],[home_gym_location]],","))&amp;"-"&amp;TEXT(MATCH(Table1[[#This Row],[home_gym_location]],_xlfn._xlws.SORT(_xlfn.UNIQUE(Table1[home_gym_location])),0),"000")</f>
        <v>FRESNO-003</v>
      </c>
      <c r="AO361" t="str">
        <f>LEFT(_xlfn.TEXTBEFORE(Table1[[#This Row],[Location Identifier]],"-"),3) &amp; "-" &amp; _xlfn.TEXTAFTER(Table1[[#This Row],[Location Identifier]],"-")</f>
        <v>FRE-003</v>
      </c>
      <c r="AP361" s="9">
        <f t="shared" ca="1" si="50"/>
        <v>45869</v>
      </c>
    </row>
    <row r="362" spans="1:42" x14ac:dyDescent="0.25">
      <c r="A362">
        <v>48</v>
      </c>
      <c r="B362" t="s">
        <v>26</v>
      </c>
      <c r="C362">
        <v>3</v>
      </c>
      <c r="D362" t="s">
        <v>109</v>
      </c>
      <c r="E362" t="b">
        <v>1</v>
      </c>
      <c r="F362" s="1">
        <v>0.49722222222222223</v>
      </c>
      <c r="G362" s="1">
        <v>0.59236111111111112</v>
      </c>
      <c r="H362">
        <v>137</v>
      </c>
      <c r="I362" t="b">
        <v>0</v>
      </c>
      <c r="J362" t="b">
        <v>1</v>
      </c>
      <c r="K362" t="b">
        <v>1</v>
      </c>
      <c r="L362" t="s">
        <v>62</v>
      </c>
      <c r="M362">
        <v>50</v>
      </c>
      <c r="N362" t="s">
        <v>29</v>
      </c>
      <c r="O362">
        <v>50</v>
      </c>
      <c r="P362" t="s">
        <v>36</v>
      </c>
      <c r="Q362">
        <v>0</v>
      </c>
      <c r="R362">
        <v>50</v>
      </c>
      <c r="S362" t="s">
        <v>31</v>
      </c>
      <c r="T362" t="s">
        <v>65</v>
      </c>
      <c r="U362">
        <v>33.770099999999999</v>
      </c>
      <c r="V362">
        <v>-118.19370000000001</v>
      </c>
      <c r="W362" s="2">
        <v>45417</v>
      </c>
      <c r="X362">
        <v>7</v>
      </c>
      <c r="Y362" t="b">
        <v>1</v>
      </c>
      <c r="Z362" s="2">
        <v>45837</v>
      </c>
      <c r="AA362" t="str">
        <f t="shared" si="51"/>
        <v>40–49</v>
      </c>
      <c r="AB362" t="str">
        <f t="shared" si="52"/>
        <v>40–49</v>
      </c>
      <c r="AC362" t="str">
        <f t="shared" si="53"/>
        <v/>
      </c>
      <c r="AD362" t="str">
        <f t="shared" si="54"/>
        <v>Tuesday</v>
      </c>
      <c r="AE362" t="str">
        <f t="shared" si="55"/>
        <v/>
      </c>
      <c r="AF362" t="str">
        <f t="shared" si="56"/>
        <v>Thursday</v>
      </c>
      <c r="AG362" t="str">
        <f t="shared" si="57"/>
        <v>Friday</v>
      </c>
      <c r="AH362" t="str">
        <f t="shared" si="58"/>
        <v/>
      </c>
      <c r="AI362" t="str">
        <f t="shared" si="59"/>
        <v/>
      </c>
      <c r="AJ362" t="str">
        <f>LEFT(Table1[[#This Row],[membership_type]],2)&amp;TEXT(Table1[[#This Row],[age]],"00")&amp;"-"&amp;TEXT(ROW(),"000")</f>
        <v>Pr48-362</v>
      </c>
      <c r="AK362" t="str">
        <f>LEFT(Table1[[#This Row],[membership_type]],1)&amp;TEXT(MATCH(Table1[[#This Row],[membership_type]],Table1[membership_type],0),"00")</f>
        <v>P01</v>
      </c>
      <c r="AL362" t="str">
        <f>LEFT(Table1[[#This Row],[discount_type]],1)&amp;TEXT(ROUND(Table1[[#This Row],[discount_rate]]*100,0),"00")</f>
        <v>N00</v>
      </c>
      <c r="AM362" t="str" cm="1">
        <f t="array" ref="AM362">TEXT(SUMPRODUCT(CODE(MID(Table1[[#This Row],[home_gym_location]],_xlfn.SEQUENCE(LEN(Table1[[#This Row],[home_gym_location]])),1))),"00000")</f>
        <v>01107</v>
      </c>
      <c r="AN36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62" t="str">
        <f>LEFT(_xlfn.TEXTBEFORE(Table1[[#This Row],[Location Identifier]],"-"),3) &amp; "-" &amp; _xlfn.TEXTAFTER(Table1[[#This Row],[Location Identifier]],"-")</f>
        <v>LON-004</v>
      </c>
      <c r="AP362" s="9">
        <f t="shared" ca="1" si="50"/>
        <v>45869</v>
      </c>
    </row>
    <row r="363" spans="1:42" x14ac:dyDescent="0.25">
      <c r="A363">
        <v>28</v>
      </c>
      <c r="B363" t="s">
        <v>42</v>
      </c>
      <c r="C363">
        <v>3</v>
      </c>
      <c r="D363" t="s">
        <v>138</v>
      </c>
      <c r="E363" t="b">
        <v>0</v>
      </c>
      <c r="F363" s="1">
        <v>0.4284722222222222</v>
      </c>
      <c r="G363" s="1">
        <v>0.4909722222222222</v>
      </c>
      <c r="H363">
        <v>90</v>
      </c>
      <c r="I363" t="b">
        <v>0</v>
      </c>
      <c r="J363" t="b">
        <v>1</v>
      </c>
      <c r="K363" t="b">
        <v>0</v>
      </c>
      <c r="L363" t="s">
        <v>28</v>
      </c>
      <c r="M363">
        <v>20</v>
      </c>
      <c r="N363" t="s">
        <v>29</v>
      </c>
      <c r="O363">
        <v>20</v>
      </c>
      <c r="P363" t="s">
        <v>30</v>
      </c>
      <c r="Q363">
        <v>0.05</v>
      </c>
      <c r="R363">
        <v>19</v>
      </c>
      <c r="S363" t="s">
        <v>44</v>
      </c>
      <c r="T363" t="s">
        <v>41</v>
      </c>
      <c r="U363">
        <v>37.804400000000001</v>
      </c>
      <c r="V363">
        <v>-122.27119999999999</v>
      </c>
      <c r="W363" s="2">
        <v>45145</v>
      </c>
      <c r="X363">
        <v>7</v>
      </c>
      <c r="Y363" t="b">
        <v>0</v>
      </c>
      <c r="Z363" s="2">
        <v>45822</v>
      </c>
      <c r="AA363" t="str">
        <f t="shared" si="51"/>
        <v>20–29</v>
      </c>
      <c r="AB363" t="str">
        <f t="shared" si="52"/>
        <v>20–29</v>
      </c>
      <c r="AC363" t="str">
        <f t="shared" si="53"/>
        <v/>
      </c>
      <c r="AD363" t="str">
        <f t="shared" si="54"/>
        <v>Tuesday</v>
      </c>
      <c r="AE363" t="str">
        <f t="shared" si="55"/>
        <v/>
      </c>
      <c r="AF363" t="str">
        <f t="shared" si="56"/>
        <v>Thursday</v>
      </c>
      <c r="AG363" t="str">
        <f t="shared" si="57"/>
        <v/>
      </c>
      <c r="AH363" t="str">
        <f t="shared" si="58"/>
        <v/>
      </c>
      <c r="AI363" t="str">
        <f t="shared" si="59"/>
        <v>Sunday</v>
      </c>
      <c r="AJ363" t="str">
        <f>LEFT(Table1[[#This Row],[membership_type]],2)&amp;TEXT(Table1[[#This Row],[age]],"00")&amp;"-"&amp;TEXT(ROW(),"000")</f>
        <v>Ba28-363</v>
      </c>
      <c r="AK363" t="str">
        <f>LEFT(Table1[[#This Row],[membership_type]],1)&amp;TEXT(MATCH(Table1[[#This Row],[membership_type]],Table1[membership_type],0),"00")</f>
        <v>B04</v>
      </c>
      <c r="AL363" t="str">
        <f>LEFT(Table1[[#This Row],[discount_type]],1)&amp;TEXT(ROUND(Table1[[#This Row],[discount_rate]]*100,0),"00")</f>
        <v>P05</v>
      </c>
      <c r="AM363" t="str" cm="1">
        <f t="array" ref="AM363">TEXT(SUMPRODUCT(CODE(MID(Table1[[#This Row],[home_gym_location]],_xlfn.SEQUENCE(LEN(Table1[[#This Row],[home_gym_location]])),1))),"00000")</f>
        <v>00906</v>
      </c>
      <c r="AN363" t="str">
        <f>UPPER(_xlfn.TEXTBEFORE(Table1[[#This Row],[home_gym_location]],","))&amp;"-"&amp;TEXT(MATCH(Table1[[#This Row],[home_gym_location]],_xlfn._xlws.SORT(_xlfn.UNIQUE(Table1[home_gym_location])),0),"000")</f>
        <v>OAKLAND-006</v>
      </c>
      <c r="AO363" t="str">
        <f>LEFT(_xlfn.TEXTBEFORE(Table1[[#This Row],[Location Identifier]],"-"),3) &amp; "-" &amp; _xlfn.TEXTAFTER(Table1[[#This Row],[Location Identifier]],"-")</f>
        <v>OAK-006</v>
      </c>
      <c r="AP363" s="9">
        <f t="shared" ca="1" si="50"/>
        <v>45869</v>
      </c>
    </row>
    <row r="364" spans="1:42" x14ac:dyDescent="0.25">
      <c r="A364">
        <v>21</v>
      </c>
      <c r="B364" t="s">
        <v>26</v>
      </c>
      <c r="C364">
        <v>3</v>
      </c>
      <c r="D364" t="s">
        <v>86</v>
      </c>
      <c r="E364" t="b">
        <v>0</v>
      </c>
      <c r="F364" s="1">
        <v>0.39027777777777778</v>
      </c>
      <c r="G364" s="1">
        <v>0.45277777777777778</v>
      </c>
      <c r="H364">
        <v>90</v>
      </c>
      <c r="I364" t="b">
        <v>1</v>
      </c>
      <c r="J364" t="b">
        <v>1</v>
      </c>
      <c r="K364" t="b">
        <v>0</v>
      </c>
      <c r="L364" t="s">
        <v>28</v>
      </c>
      <c r="M364">
        <v>50</v>
      </c>
      <c r="N364" t="s">
        <v>29</v>
      </c>
      <c r="O364">
        <v>50</v>
      </c>
      <c r="P364" t="s">
        <v>36</v>
      </c>
      <c r="Q364">
        <v>0</v>
      </c>
      <c r="R364">
        <v>50</v>
      </c>
      <c r="S364" t="s">
        <v>31</v>
      </c>
      <c r="T364" t="s">
        <v>56</v>
      </c>
      <c r="U364">
        <v>35.3733</v>
      </c>
      <c r="V364">
        <v>-119.0187</v>
      </c>
      <c r="W364" s="2">
        <v>45342</v>
      </c>
      <c r="X364">
        <v>8</v>
      </c>
      <c r="Y364" t="b">
        <v>1</v>
      </c>
      <c r="Z364" s="2">
        <v>45833</v>
      </c>
      <c r="AA364" t="str">
        <f t="shared" si="51"/>
        <v>20–29</v>
      </c>
      <c r="AB364" t="str">
        <f t="shared" si="52"/>
        <v>20–29</v>
      </c>
      <c r="AC364" t="str">
        <f t="shared" si="53"/>
        <v/>
      </c>
      <c r="AD364" t="str">
        <f t="shared" si="54"/>
        <v>Tuesday</v>
      </c>
      <c r="AE364" t="str">
        <f t="shared" si="55"/>
        <v/>
      </c>
      <c r="AF364" t="str">
        <f t="shared" si="56"/>
        <v/>
      </c>
      <c r="AG364" t="str">
        <f t="shared" si="57"/>
        <v>Friday</v>
      </c>
      <c r="AH364" t="str">
        <f t="shared" si="58"/>
        <v>Saturday</v>
      </c>
      <c r="AI364" t="str">
        <f t="shared" si="59"/>
        <v/>
      </c>
      <c r="AJ364" t="str">
        <f>LEFT(Table1[[#This Row],[membership_type]],2)&amp;TEXT(Table1[[#This Row],[age]],"00")&amp;"-"&amp;TEXT(ROW(),"000")</f>
        <v>Pr21-364</v>
      </c>
      <c r="AK364" t="str">
        <f>LEFT(Table1[[#This Row],[membership_type]],1)&amp;TEXT(MATCH(Table1[[#This Row],[membership_type]],Table1[membership_type],0),"00")</f>
        <v>P01</v>
      </c>
      <c r="AL364" t="str">
        <f>LEFT(Table1[[#This Row],[discount_type]],1)&amp;TEXT(ROUND(Table1[[#This Row],[discount_rate]]*100,0),"00")</f>
        <v>N00</v>
      </c>
      <c r="AM364" t="str" cm="1">
        <f t="array" ref="AM364">TEXT(SUMPRODUCT(CODE(MID(Table1[[#This Row],[home_gym_location]],_xlfn.SEQUENCE(LEN(Table1[[#This Row],[home_gym_location]])),1))),"00000")</f>
        <v>01324</v>
      </c>
      <c r="AN36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64" t="str">
        <f>LEFT(_xlfn.TEXTBEFORE(Table1[[#This Row],[Location Identifier]],"-"),3) &amp; "-" &amp; _xlfn.TEXTAFTER(Table1[[#This Row],[Location Identifier]],"-")</f>
        <v>BAK-002</v>
      </c>
      <c r="AP364" s="9">
        <f t="shared" ca="1" si="50"/>
        <v>45869</v>
      </c>
    </row>
    <row r="365" spans="1:42" x14ac:dyDescent="0.25">
      <c r="A365">
        <v>23</v>
      </c>
      <c r="B365" t="s">
        <v>42</v>
      </c>
      <c r="C365">
        <v>3</v>
      </c>
      <c r="D365" t="s">
        <v>102</v>
      </c>
      <c r="E365" t="b">
        <v>1</v>
      </c>
      <c r="F365" s="1">
        <v>0.54583333333333328</v>
      </c>
      <c r="G365" s="1">
        <v>0.60763888888888884</v>
      </c>
      <c r="H365">
        <v>89</v>
      </c>
      <c r="I365" t="b">
        <v>1</v>
      </c>
      <c r="J365" t="b">
        <v>1</v>
      </c>
      <c r="K365" t="b">
        <v>0</v>
      </c>
      <c r="L365" t="s">
        <v>28</v>
      </c>
      <c r="M365">
        <v>20</v>
      </c>
      <c r="N365" t="s">
        <v>64</v>
      </c>
      <c r="O365">
        <v>15</v>
      </c>
      <c r="P365" t="s">
        <v>40</v>
      </c>
      <c r="Q365">
        <v>0.1</v>
      </c>
      <c r="R365">
        <v>13.5</v>
      </c>
      <c r="S365" t="s">
        <v>44</v>
      </c>
      <c r="T365" t="s">
        <v>59</v>
      </c>
      <c r="U365">
        <v>37.774900000000002</v>
      </c>
      <c r="V365">
        <v>-122.4194</v>
      </c>
      <c r="W365" s="2">
        <v>45249</v>
      </c>
      <c r="X365">
        <v>6</v>
      </c>
      <c r="Y365" t="b">
        <v>0</v>
      </c>
      <c r="Z365" s="2">
        <v>45828</v>
      </c>
      <c r="AA365" t="str">
        <f t="shared" si="51"/>
        <v>20–29</v>
      </c>
      <c r="AB365" t="str">
        <f t="shared" si="52"/>
        <v>20–29</v>
      </c>
      <c r="AC365" t="str">
        <f t="shared" si="53"/>
        <v/>
      </c>
      <c r="AD365" t="str">
        <f t="shared" si="54"/>
        <v/>
      </c>
      <c r="AE365" t="str">
        <f t="shared" si="55"/>
        <v/>
      </c>
      <c r="AF365" t="str">
        <f t="shared" si="56"/>
        <v>Thursday</v>
      </c>
      <c r="AG365" t="str">
        <f t="shared" si="57"/>
        <v>Friday</v>
      </c>
      <c r="AH365" t="str">
        <f t="shared" si="58"/>
        <v>Saturday</v>
      </c>
      <c r="AI365" t="str">
        <f t="shared" si="59"/>
        <v/>
      </c>
      <c r="AJ365" t="str">
        <f>LEFT(Table1[[#This Row],[membership_type]],2)&amp;TEXT(Table1[[#This Row],[age]],"00")&amp;"-"&amp;TEXT(ROW(),"000")</f>
        <v>Ba23-365</v>
      </c>
      <c r="AK365" t="str">
        <f>LEFT(Table1[[#This Row],[membership_type]],1)&amp;TEXT(MATCH(Table1[[#This Row],[membership_type]],Table1[membership_type],0),"00")</f>
        <v>B04</v>
      </c>
      <c r="AL365" t="str">
        <f>LEFT(Table1[[#This Row],[discount_type]],1)&amp;TEXT(ROUND(Table1[[#This Row],[discount_rate]]*100,0),"00")</f>
        <v>L10</v>
      </c>
      <c r="AM365" t="str" cm="1">
        <f t="array" ref="AM365">TEXT(SUMPRODUCT(CODE(MID(Table1[[#This Row],[home_gym_location]],_xlfn.SEQUENCE(LEN(Table1[[#This Row],[home_gym_location]])),1))),"00000")</f>
        <v>01450</v>
      </c>
      <c r="AN36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65" t="str">
        <f>LEFT(_xlfn.TEXTBEFORE(Table1[[#This Row],[Location Identifier]],"-"),3) &amp; "-" &amp; _xlfn.TEXTAFTER(Table1[[#This Row],[Location Identifier]],"-")</f>
        <v>SAN-009</v>
      </c>
      <c r="AP365" s="9">
        <f t="shared" ca="1" si="50"/>
        <v>45869</v>
      </c>
    </row>
    <row r="366" spans="1:42" x14ac:dyDescent="0.25">
      <c r="A366">
        <v>37</v>
      </c>
      <c r="B366" t="s">
        <v>26</v>
      </c>
      <c r="C366">
        <v>3</v>
      </c>
      <c r="D366" t="s">
        <v>114</v>
      </c>
      <c r="E366" t="b">
        <v>0</v>
      </c>
      <c r="F366" s="1">
        <v>0.85763888888888884</v>
      </c>
      <c r="G366" s="1">
        <v>0.95694444444444449</v>
      </c>
      <c r="H366">
        <v>143</v>
      </c>
      <c r="I366" t="b">
        <v>0</v>
      </c>
      <c r="J366" t="b">
        <v>1</v>
      </c>
      <c r="K366" t="b">
        <v>0</v>
      </c>
      <c r="L366" t="s">
        <v>28</v>
      </c>
      <c r="M366">
        <v>50</v>
      </c>
      <c r="N366" t="s">
        <v>29</v>
      </c>
      <c r="O366">
        <v>50</v>
      </c>
      <c r="P366" t="s">
        <v>30</v>
      </c>
      <c r="Q366">
        <v>0.05</v>
      </c>
      <c r="R366">
        <v>47.5</v>
      </c>
      <c r="S366" t="s">
        <v>31</v>
      </c>
      <c r="T366" t="s">
        <v>38</v>
      </c>
      <c r="U366">
        <v>36.7378</v>
      </c>
      <c r="V366">
        <v>-119.7871</v>
      </c>
      <c r="W366" s="2">
        <v>44828</v>
      </c>
      <c r="X366">
        <v>8</v>
      </c>
      <c r="Y366" t="b">
        <v>0</v>
      </c>
      <c r="Z366" s="2">
        <v>45804</v>
      </c>
      <c r="AA366" t="str">
        <f t="shared" si="51"/>
        <v>30–39</v>
      </c>
      <c r="AB366" t="str">
        <f t="shared" si="52"/>
        <v>30–39</v>
      </c>
      <c r="AC366" t="str">
        <f t="shared" si="53"/>
        <v>Monday</v>
      </c>
      <c r="AD366" t="str">
        <f t="shared" si="54"/>
        <v>Tuesday</v>
      </c>
      <c r="AE366" t="str">
        <f t="shared" si="55"/>
        <v>Wednesday</v>
      </c>
      <c r="AF366" t="str">
        <f t="shared" si="56"/>
        <v/>
      </c>
      <c r="AG366" t="str">
        <f t="shared" si="57"/>
        <v/>
      </c>
      <c r="AH366" t="str">
        <f t="shared" si="58"/>
        <v/>
      </c>
      <c r="AI366" t="str">
        <f t="shared" si="59"/>
        <v/>
      </c>
      <c r="AJ366" t="str">
        <f>LEFT(Table1[[#This Row],[membership_type]],2)&amp;TEXT(Table1[[#This Row],[age]],"00")&amp;"-"&amp;TEXT(ROW(),"000")</f>
        <v>Pr37-366</v>
      </c>
      <c r="AK366" t="str">
        <f>LEFT(Table1[[#This Row],[membership_type]],1)&amp;TEXT(MATCH(Table1[[#This Row],[membership_type]],Table1[membership_type],0),"00")</f>
        <v>P01</v>
      </c>
      <c r="AL366" t="str">
        <f>LEFT(Table1[[#This Row],[discount_type]],1)&amp;TEXT(ROUND(Table1[[#This Row],[discount_rate]]*100,0),"00")</f>
        <v>P05</v>
      </c>
      <c r="AM366" t="str" cm="1">
        <f t="array" ref="AM366">TEXT(SUMPRODUCT(CODE(MID(Table1[[#This Row],[home_gym_location]],_xlfn.SEQUENCE(LEN(Table1[[#This Row],[home_gym_location]])),1))),"00000")</f>
        <v>00829</v>
      </c>
      <c r="AN366" t="str">
        <f>UPPER(_xlfn.TEXTBEFORE(Table1[[#This Row],[home_gym_location]],","))&amp;"-"&amp;TEXT(MATCH(Table1[[#This Row],[home_gym_location]],_xlfn._xlws.SORT(_xlfn.UNIQUE(Table1[home_gym_location])),0),"000")</f>
        <v>FRESNO-003</v>
      </c>
      <c r="AO366" t="str">
        <f>LEFT(_xlfn.TEXTBEFORE(Table1[[#This Row],[Location Identifier]],"-"),3) &amp; "-" &amp; _xlfn.TEXTAFTER(Table1[[#This Row],[Location Identifier]],"-")</f>
        <v>FRE-003</v>
      </c>
      <c r="AP366" s="9">
        <f t="shared" ca="1" si="50"/>
        <v>45869</v>
      </c>
    </row>
    <row r="367" spans="1:42" x14ac:dyDescent="0.25">
      <c r="A367">
        <v>14</v>
      </c>
      <c r="B367" t="s">
        <v>26</v>
      </c>
      <c r="C367">
        <v>1</v>
      </c>
      <c r="D367" t="s">
        <v>75</v>
      </c>
      <c r="E367" t="b">
        <v>0</v>
      </c>
      <c r="F367" s="1">
        <v>0.54583333333333328</v>
      </c>
      <c r="G367" s="1">
        <v>0.60347222222222219</v>
      </c>
      <c r="H367">
        <v>83</v>
      </c>
      <c r="I367" t="b">
        <v>0</v>
      </c>
      <c r="J367" t="b">
        <v>0</v>
      </c>
      <c r="K367" t="b">
        <v>1</v>
      </c>
      <c r="L367" t="s">
        <v>47</v>
      </c>
      <c r="M367">
        <v>50</v>
      </c>
      <c r="N367" t="s">
        <v>29</v>
      </c>
      <c r="O367">
        <v>50</v>
      </c>
      <c r="P367" t="s">
        <v>36</v>
      </c>
      <c r="Q367">
        <v>0</v>
      </c>
      <c r="R367">
        <v>50</v>
      </c>
      <c r="S367" t="s">
        <v>31</v>
      </c>
      <c r="T367" t="s">
        <v>50</v>
      </c>
      <c r="U367">
        <v>34.052199999999999</v>
      </c>
      <c r="V367">
        <v>-118.2437</v>
      </c>
      <c r="W367" s="2">
        <v>45419</v>
      </c>
      <c r="X367">
        <v>0</v>
      </c>
      <c r="Y367" t="b">
        <v>1</v>
      </c>
      <c r="Z367" s="2">
        <v>45837</v>
      </c>
      <c r="AA367" t="str">
        <f t="shared" si="51"/>
        <v>10–19</v>
      </c>
      <c r="AB367" t="str">
        <f t="shared" si="52"/>
        <v>Under 16</v>
      </c>
      <c r="AC367" t="str">
        <f t="shared" si="53"/>
        <v/>
      </c>
      <c r="AD367" t="str">
        <f t="shared" si="54"/>
        <v/>
      </c>
      <c r="AE367" t="str">
        <f t="shared" si="55"/>
        <v/>
      </c>
      <c r="AF367" t="str">
        <f t="shared" si="56"/>
        <v/>
      </c>
      <c r="AG367" t="str">
        <f t="shared" si="57"/>
        <v>Friday</v>
      </c>
      <c r="AH367" t="str">
        <f t="shared" si="58"/>
        <v/>
      </c>
      <c r="AI367" t="str">
        <f t="shared" si="59"/>
        <v/>
      </c>
      <c r="AJ367" t="str">
        <f>LEFT(Table1[[#This Row],[membership_type]],2)&amp;TEXT(Table1[[#This Row],[age]],"00")&amp;"-"&amp;TEXT(ROW(),"000")</f>
        <v>Pr14-367</v>
      </c>
      <c r="AK367" t="str">
        <f>LEFT(Table1[[#This Row],[membership_type]],1)&amp;TEXT(MATCH(Table1[[#This Row],[membership_type]],Table1[membership_type],0),"00")</f>
        <v>P01</v>
      </c>
      <c r="AL367" t="str">
        <f>LEFT(Table1[[#This Row],[discount_type]],1)&amp;TEXT(ROUND(Table1[[#This Row],[discount_rate]]*100,0),"00")</f>
        <v>N00</v>
      </c>
      <c r="AM367" t="str" cm="1">
        <f t="array" ref="AM367">TEXT(SUMPRODUCT(CODE(MID(Table1[[#This Row],[home_gym_location]],_xlfn.SEQUENCE(LEN(Table1[[#This Row],[home_gym_location]])),1))),"00000")</f>
        <v>01245</v>
      </c>
      <c r="AN36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67" t="str">
        <f>LEFT(_xlfn.TEXTBEFORE(Table1[[#This Row],[Location Identifier]],"-"),3) &amp; "-" &amp; _xlfn.TEXTAFTER(Table1[[#This Row],[Location Identifier]],"-")</f>
        <v>LOS-005</v>
      </c>
      <c r="AP367" s="9">
        <f t="shared" ca="1" si="50"/>
        <v>45869</v>
      </c>
    </row>
    <row r="368" spans="1:42" x14ac:dyDescent="0.25">
      <c r="A368">
        <v>45</v>
      </c>
      <c r="B368" t="s">
        <v>33</v>
      </c>
      <c r="C368">
        <v>2</v>
      </c>
      <c r="D368" t="s">
        <v>88</v>
      </c>
      <c r="E368" t="b">
        <v>1</v>
      </c>
      <c r="F368" s="1">
        <v>0.34166666666666667</v>
      </c>
      <c r="G368" s="1">
        <v>0.42291666666666666</v>
      </c>
      <c r="H368">
        <v>117</v>
      </c>
      <c r="I368" t="b">
        <v>1</v>
      </c>
      <c r="J368" t="b">
        <v>0</v>
      </c>
      <c r="K368" t="b">
        <v>0</v>
      </c>
      <c r="L368" t="s">
        <v>47</v>
      </c>
      <c r="M368">
        <v>30</v>
      </c>
      <c r="N368" t="s">
        <v>29</v>
      </c>
      <c r="O368">
        <v>30</v>
      </c>
      <c r="P368" t="s">
        <v>74</v>
      </c>
      <c r="Q368">
        <v>0.15</v>
      </c>
      <c r="R368">
        <v>25.5</v>
      </c>
      <c r="S368" t="s">
        <v>37</v>
      </c>
      <c r="T368" t="s">
        <v>65</v>
      </c>
      <c r="U368">
        <v>33.770099999999999</v>
      </c>
      <c r="V368">
        <v>-118.19370000000001</v>
      </c>
      <c r="W368" s="2">
        <v>44807</v>
      </c>
      <c r="X368">
        <v>0</v>
      </c>
      <c r="Y368" t="b">
        <v>1</v>
      </c>
      <c r="Z368" s="2">
        <v>45803</v>
      </c>
      <c r="AA368" t="str">
        <f t="shared" si="51"/>
        <v>40–49</v>
      </c>
      <c r="AB368" t="str">
        <f t="shared" si="52"/>
        <v>40–49</v>
      </c>
      <c r="AC368" t="str">
        <f t="shared" si="53"/>
        <v>Monday</v>
      </c>
      <c r="AD368" t="str">
        <f t="shared" si="54"/>
        <v/>
      </c>
      <c r="AE368" t="str">
        <f t="shared" si="55"/>
        <v>Wednesday</v>
      </c>
      <c r="AF368" t="str">
        <f t="shared" si="56"/>
        <v/>
      </c>
      <c r="AG368" t="str">
        <f t="shared" si="57"/>
        <v/>
      </c>
      <c r="AH368" t="str">
        <f t="shared" si="58"/>
        <v/>
      </c>
      <c r="AI368" t="str">
        <f t="shared" si="59"/>
        <v/>
      </c>
      <c r="AJ368" t="str">
        <f>LEFT(Table1[[#This Row],[membership_type]],2)&amp;TEXT(Table1[[#This Row],[age]],"00")&amp;"-"&amp;TEXT(ROW(),"000")</f>
        <v>St45-368</v>
      </c>
      <c r="AK368" t="str">
        <f>LEFT(Table1[[#This Row],[membership_type]],1)&amp;TEXT(MATCH(Table1[[#This Row],[membership_type]],Table1[membership_type],0),"00")</f>
        <v>S02</v>
      </c>
      <c r="AL368" t="str">
        <f>LEFT(Table1[[#This Row],[discount_type]],1)&amp;TEXT(ROUND(Table1[[#This Row],[discount_rate]]*100,0),"00")</f>
        <v>S15</v>
      </c>
      <c r="AM368" t="str" cm="1">
        <f t="array" ref="AM368">TEXT(SUMPRODUCT(CODE(MID(Table1[[#This Row],[home_gym_location]],_xlfn.SEQUENCE(LEN(Table1[[#This Row],[home_gym_location]])),1))),"00000")</f>
        <v>01107</v>
      </c>
      <c r="AN36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68" t="str">
        <f>LEFT(_xlfn.TEXTBEFORE(Table1[[#This Row],[Location Identifier]],"-"),3) &amp; "-" &amp; _xlfn.TEXTAFTER(Table1[[#This Row],[Location Identifier]],"-")</f>
        <v>LON-004</v>
      </c>
      <c r="AP368" s="9">
        <f t="shared" ca="1" si="50"/>
        <v>45869</v>
      </c>
    </row>
    <row r="369" spans="1:42" x14ac:dyDescent="0.25">
      <c r="A369">
        <v>19</v>
      </c>
      <c r="B369" t="s">
        <v>26</v>
      </c>
      <c r="C369">
        <v>5</v>
      </c>
      <c r="D369" t="s">
        <v>34</v>
      </c>
      <c r="E369" t="b">
        <v>1</v>
      </c>
      <c r="F369" s="1">
        <v>0.41180555555555554</v>
      </c>
      <c r="G369" s="1">
        <v>0.53402777777777777</v>
      </c>
      <c r="H369">
        <v>176</v>
      </c>
      <c r="I369" t="b">
        <v>0</v>
      </c>
      <c r="J369" t="b">
        <v>1</v>
      </c>
      <c r="K369" t="b">
        <v>1</v>
      </c>
      <c r="L369" t="s">
        <v>28</v>
      </c>
      <c r="M369">
        <v>50</v>
      </c>
      <c r="N369" t="s">
        <v>29</v>
      </c>
      <c r="O369">
        <v>50</v>
      </c>
      <c r="P369" t="s">
        <v>74</v>
      </c>
      <c r="Q369">
        <v>0.15</v>
      </c>
      <c r="R369">
        <v>42.5</v>
      </c>
      <c r="S369" t="s">
        <v>31</v>
      </c>
      <c r="T369" t="s">
        <v>48</v>
      </c>
      <c r="U369">
        <v>38.581600000000002</v>
      </c>
      <c r="V369">
        <v>-121.4944</v>
      </c>
      <c r="W369" s="2">
        <v>44866</v>
      </c>
      <c r="X369">
        <v>2</v>
      </c>
      <c r="Y369" t="b">
        <v>1</v>
      </c>
      <c r="Z369" s="2">
        <v>45806</v>
      </c>
      <c r="AA369" t="str">
        <f t="shared" si="51"/>
        <v>10–19</v>
      </c>
      <c r="AB369" t="str">
        <f t="shared" si="52"/>
        <v>16–19</v>
      </c>
      <c r="AC369" t="str">
        <f t="shared" si="53"/>
        <v/>
      </c>
      <c r="AD369" t="str">
        <f t="shared" si="54"/>
        <v>Tuesday</v>
      </c>
      <c r="AE369" t="str">
        <f t="shared" si="55"/>
        <v>Wednesday</v>
      </c>
      <c r="AF369" t="str">
        <f t="shared" si="56"/>
        <v>Thursday</v>
      </c>
      <c r="AG369" t="str">
        <f t="shared" si="57"/>
        <v>Friday</v>
      </c>
      <c r="AH369" t="str">
        <f t="shared" si="58"/>
        <v>Saturday</v>
      </c>
      <c r="AI369" t="str">
        <f t="shared" si="59"/>
        <v/>
      </c>
      <c r="AJ369" t="str">
        <f>LEFT(Table1[[#This Row],[membership_type]],2)&amp;TEXT(Table1[[#This Row],[age]],"00")&amp;"-"&amp;TEXT(ROW(),"000")</f>
        <v>Pr19-369</v>
      </c>
      <c r="AK369" t="str">
        <f>LEFT(Table1[[#This Row],[membership_type]],1)&amp;TEXT(MATCH(Table1[[#This Row],[membership_type]],Table1[membership_type],0),"00")</f>
        <v>P01</v>
      </c>
      <c r="AL369" t="str">
        <f>LEFT(Table1[[#This Row],[discount_type]],1)&amp;TEXT(ROUND(Table1[[#This Row],[discount_rate]]*100,0),"00")</f>
        <v>S15</v>
      </c>
      <c r="AM369" t="str" cm="1">
        <f t="array" ref="AM369">TEXT(SUMPRODUCT(CODE(MID(Table1[[#This Row],[home_gym_location]],_xlfn.SEQUENCE(LEN(Table1[[#This Row],[home_gym_location]])),1))),"00000")</f>
        <v>01245</v>
      </c>
      <c r="AN36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69" t="str">
        <f>LEFT(_xlfn.TEXTBEFORE(Table1[[#This Row],[Location Identifier]],"-"),3) &amp; "-" &amp; _xlfn.TEXTAFTER(Table1[[#This Row],[Location Identifier]],"-")</f>
        <v>SAC-007</v>
      </c>
      <c r="AP369" s="9">
        <f t="shared" ca="1" si="50"/>
        <v>45869</v>
      </c>
    </row>
    <row r="370" spans="1:42" x14ac:dyDescent="0.25">
      <c r="A370">
        <v>23</v>
      </c>
      <c r="B370" t="s">
        <v>33</v>
      </c>
      <c r="C370">
        <v>3</v>
      </c>
      <c r="D370" t="s">
        <v>83</v>
      </c>
      <c r="E370" t="b">
        <v>1</v>
      </c>
      <c r="F370" s="1">
        <v>0.5229166666666667</v>
      </c>
      <c r="G370" s="1">
        <v>0.6118055555555556</v>
      </c>
      <c r="H370">
        <v>128</v>
      </c>
      <c r="I370" t="b">
        <v>0</v>
      </c>
      <c r="J370" t="b">
        <v>0</v>
      </c>
      <c r="K370" t="b">
        <v>0</v>
      </c>
      <c r="L370" t="s">
        <v>35</v>
      </c>
      <c r="M370">
        <v>30</v>
      </c>
      <c r="N370" t="s">
        <v>78</v>
      </c>
      <c r="O370">
        <v>27</v>
      </c>
      <c r="P370" t="s">
        <v>36</v>
      </c>
      <c r="Q370">
        <v>0</v>
      </c>
      <c r="R370">
        <v>27</v>
      </c>
      <c r="S370" t="s">
        <v>37</v>
      </c>
      <c r="T370" t="s">
        <v>56</v>
      </c>
      <c r="U370">
        <v>35.3733</v>
      </c>
      <c r="V370">
        <v>-119.0187</v>
      </c>
      <c r="W370" s="2">
        <v>45622</v>
      </c>
      <c r="X370">
        <v>0</v>
      </c>
      <c r="Y370" t="b">
        <v>0</v>
      </c>
      <c r="Z370" s="2">
        <v>45849</v>
      </c>
      <c r="AA370" t="str">
        <f t="shared" si="51"/>
        <v>20–29</v>
      </c>
      <c r="AB370" t="str">
        <f t="shared" si="52"/>
        <v>20–29</v>
      </c>
      <c r="AC370" t="str">
        <f t="shared" si="53"/>
        <v/>
      </c>
      <c r="AD370" t="str">
        <f t="shared" si="54"/>
        <v>Tuesday</v>
      </c>
      <c r="AE370" t="str">
        <f t="shared" si="55"/>
        <v>Wednesday</v>
      </c>
      <c r="AF370" t="str">
        <f t="shared" si="56"/>
        <v/>
      </c>
      <c r="AG370" t="str">
        <f t="shared" si="57"/>
        <v/>
      </c>
      <c r="AH370" t="str">
        <f t="shared" si="58"/>
        <v>Saturday</v>
      </c>
      <c r="AI370" t="str">
        <f t="shared" si="59"/>
        <v/>
      </c>
      <c r="AJ370" t="str">
        <f>LEFT(Table1[[#This Row],[membership_type]],2)&amp;TEXT(Table1[[#This Row],[age]],"00")&amp;"-"&amp;TEXT(ROW(),"000")</f>
        <v>St23-370</v>
      </c>
      <c r="AK370" t="str">
        <f>LEFT(Table1[[#This Row],[membership_type]],1)&amp;TEXT(MATCH(Table1[[#This Row],[membership_type]],Table1[membership_type],0),"00")</f>
        <v>S02</v>
      </c>
      <c r="AL370" t="str">
        <f>LEFT(Table1[[#This Row],[discount_type]],1)&amp;TEXT(ROUND(Table1[[#This Row],[discount_rate]]*100,0),"00")</f>
        <v>N00</v>
      </c>
      <c r="AM370" t="str" cm="1">
        <f t="array" ref="AM370">TEXT(SUMPRODUCT(CODE(MID(Table1[[#This Row],[home_gym_location]],_xlfn.SEQUENCE(LEN(Table1[[#This Row],[home_gym_location]])),1))),"00000")</f>
        <v>01324</v>
      </c>
      <c r="AN3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70" t="str">
        <f>LEFT(_xlfn.TEXTBEFORE(Table1[[#This Row],[Location Identifier]],"-"),3) &amp; "-" &amp; _xlfn.TEXTAFTER(Table1[[#This Row],[Location Identifier]],"-")</f>
        <v>BAK-002</v>
      </c>
      <c r="AP370" s="9">
        <f t="shared" ca="1" si="50"/>
        <v>45869</v>
      </c>
    </row>
    <row r="371" spans="1:42" x14ac:dyDescent="0.25">
      <c r="A371">
        <v>38</v>
      </c>
      <c r="B371" t="s">
        <v>26</v>
      </c>
      <c r="C371">
        <v>1</v>
      </c>
      <c r="D371" t="s">
        <v>75</v>
      </c>
      <c r="E371" t="b">
        <v>1</v>
      </c>
      <c r="F371" s="1">
        <v>0.77013888888888893</v>
      </c>
      <c r="G371" s="1">
        <v>0.87361111111111112</v>
      </c>
      <c r="H371">
        <v>149</v>
      </c>
      <c r="I371" t="b">
        <v>0</v>
      </c>
      <c r="J371" t="b">
        <v>0</v>
      </c>
      <c r="K371" t="b">
        <v>1</v>
      </c>
      <c r="L371" t="s">
        <v>28</v>
      </c>
      <c r="M371">
        <v>50</v>
      </c>
      <c r="N371" t="s">
        <v>64</v>
      </c>
      <c r="O371">
        <v>37.5</v>
      </c>
      <c r="P371" t="s">
        <v>30</v>
      </c>
      <c r="Q371">
        <v>0.05</v>
      </c>
      <c r="R371">
        <v>35.625</v>
      </c>
      <c r="S371" t="s">
        <v>31</v>
      </c>
      <c r="T371" t="s">
        <v>45</v>
      </c>
      <c r="U371">
        <v>33.836599999999997</v>
      </c>
      <c r="V371">
        <v>-117.9143</v>
      </c>
      <c r="W371" s="2">
        <v>45757</v>
      </c>
      <c r="X371">
        <v>0</v>
      </c>
      <c r="Y371" t="b">
        <v>1</v>
      </c>
      <c r="Z371" s="2">
        <v>45856</v>
      </c>
      <c r="AA371" t="str">
        <f t="shared" si="51"/>
        <v>30–39</v>
      </c>
      <c r="AB371" t="str">
        <f t="shared" si="52"/>
        <v>30–39</v>
      </c>
      <c r="AC371" t="str">
        <f t="shared" si="53"/>
        <v/>
      </c>
      <c r="AD371" t="str">
        <f t="shared" si="54"/>
        <v/>
      </c>
      <c r="AE371" t="str">
        <f t="shared" si="55"/>
        <v/>
      </c>
      <c r="AF371" t="str">
        <f t="shared" si="56"/>
        <v/>
      </c>
      <c r="AG371" t="str">
        <f t="shared" si="57"/>
        <v>Friday</v>
      </c>
      <c r="AH371" t="str">
        <f t="shared" si="58"/>
        <v/>
      </c>
      <c r="AI371" t="str">
        <f t="shared" si="59"/>
        <v/>
      </c>
      <c r="AJ371" t="str">
        <f>LEFT(Table1[[#This Row],[membership_type]],2)&amp;TEXT(Table1[[#This Row],[age]],"00")&amp;"-"&amp;TEXT(ROW(),"000")</f>
        <v>Pr38-371</v>
      </c>
      <c r="AK371" t="str">
        <f>LEFT(Table1[[#This Row],[membership_type]],1)&amp;TEXT(MATCH(Table1[[#This Row],[membership_type]],Table1[membership_type],0),"00")</f>
        <v>P01</v>
      </c>
      <c r="AL371" t="str">
        <f>LEFT(Table1[[#This Row],[discount_type]],1)&amp;TEXT(ROUND(Table1[[#This Row],[discount_rate]]*100,0),"00")</f>
        <v>P05</v>
      </c>
      <c r="AM371" t="str" cm="1">
        <f t="array" ref="AM371">TEXT(SUMPRODUCT(CODE(MID(Table1[[#This Row],[home_gym_location]],_xlfn.SEQUENCE(LEN(Table1[[#This Row],[home_gym_location]])),1))),"00000")</f>
        <v>00899</v>
      </c>
      <c r="AN371" t="str">
        <f>UPPER(_xlfn.TEXTBEFORE(Table1[[#This Row],[home_gym_location]],","))&amp;"-"&amp;TEXT(MATCH(Table1[[#This Row],[home_gym_location]],_xlfn._xlws.SORT(_xlfn.UNIQUE(Table1[home_gym_location])),0),"000")</f>
        <v>ANAHEIM-001</v>
      </c>
      <c r="AO371" t="str">
        <f>LEFT(_xlfn.TEXTBEFORE(Table1[[#This Row],[Location Identifier]],"-"),3) &amp; "-" &amp; _xlfn.TEXTAFTER(Table1[[#This Row],[Location Identifier]],"-")</f>
        <v>ANA-001</v>
      </c>
      <c r="AP371" s="9">
        <f t="shared" ca="1" si="50"/>
        <v>45869</v>
      </c>
    </row>
    <row r="372" spans="1:42" x14ac:dyDescent="0.25">
      <c r="A372">
        <v>14</v>
      </c>
      <c r="B372" t="s">
        <v>42</v>
      </c>
      <c r="C372">
        <v>2</v>
      </c>
      <c r="D372" t="s">
        <v>108</v>
      </c>
      <c r="E372" t="b">
        <v>1</v>
      </c>
      <c r="F372" s="1">
        <v>0.47291666666666665</v>
      </c>
      <c r="G372" s="1">
        <v>0.59583333333333333</v>
      </c>
      <c r="H372">
        <v>177</v>
      </c>
      <c r="I372" t="b">
        <v>0</v>
      </c>
      <c r="J372" t="b">
        <v>0</v>
      </c>
      <c r="K372" t="b">
        <v>1</v>
      </c>
      <c r="L372" t="s">
        <v>62</v>
      </c>
      <c r="M372">
        <v>20</v>
      </c>
      <c r="N372" t="s">
        <v>64</v>
      </c>
      <c r="O372">
        <v>15</v>
      </c>
      <c r="P372" t="s">
        <v>30</v>
      </c>
      <c r="Q372">
        <v>0.05</v>
      </c>
      <c r="R372">
        <v>14.25</v>
      </c>
      <c r="S372" t="s">
        <v>44</v>
      </c>
      <c r="T372" t="s">
        <v>65</v>
      </c>
      <c r="U372">
        <v>33.770099999999999</v>
      </c>
      <c r="V372">
        <v>-118.19370000000001</v>
      </c>
      <c r="W372" s="2">
        <v>45723</v>
      </c>
      <c r="X372">
        <v>0</v>
      </c>
      <c r="Y372" t="b">
        <v>0</v>
      </c>
      <c r="Z372" s="2">
        <v>45854</v>
      </c>
      <c r="AA372" t="str">
        <f t="shared" si="51"/>
        <v>10–19</v>
      </c>
      <c r="AB372" t="str">
        <f t="shared" si="52"/>
        <v>Under 16</v>
      </c>
      <c r="AC372" t="str">
        <f t="shared" si="53"/>
        <v/>
      </c>
      <c r="AD372" t="str">
        <f t="shared" si="54"/>
        <v>Tuesday</v>
      </c>
      <c r="AE372" t="str">
        <f t="shared" si="55"/>
        <v/>
      </c>
      <c r="AF372" t="str">
        <f t="shared" si="56"/>
        <v>Thursday</v>
      </c>
      <c r="AG372" t="str">
        <f t="shared" si="57"/>
        <v/>
      </c>
      <c r="AH372" t="str">
        <f t="shared" si="58"/>
        <v/>
      </c>
      <c r="AI372" t="str">
        <f t="shared" si="59"/>
        <v/>
      </c>
      <c r="AJ372" t="str">
        <f>LEFT(Table1[[#This Row],[membership_type]],2)&amp;TEXT(Table1[[#This Row],[age]],"00")&amp;"-"&amp;TEXT(ROW(),"000")</f>
        <v>Ba14-372</v>
      </c>
      <c r="AK372" t="str">
        <f>LEFT(Table1[[#This Row],[membership_type]],1)&amp;TEXT(MATCH(Table1[[#This Row],[membership_type]],Table1[membership_type],0),"00")</f>
        <v>B04</v>
      </c>
      <c r="AL372" t="str">
        <f>LEFT(Table1[[#This Row],[discount_type]],1)&amp;TEXT(ROUND(Table1[[#This Row],[discount_rate]]*100,0),"00")</f>
        <v>P05</v>
      </c>
      <c r="AM372" t="str" cm="1">
        <f t="array" ref="AM372">TEXT(SUMPRODUCT(CODE(MID(Table1[[#This Row],[home_gym_location]],_xlfn.SEQUENCE(LEN(Table1[[#This Row],[home_gym_location]])),1))),"00000")</f>
        <v>01107</v>
      </c>
      <c r="AN37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72" t="str">
        <f>LEFT(_xlfn.TEXTBEFORE(Table1[[#This Row],[Location Identifier]],"-"),3) &amp; "-" &amp; _xlfn.TEXTAFTER(Table1[[#This Row],[Location Identifier]],"-")</f>
        <v>LON-004</v>
      </c>
      <c r="AP372" s="9">
        <f t="shared" ca="1" si="50"/>
        <v>45869</v>
      </c>
    </row>
    <row r="373" spans="1:42" x14ac:dyDescent="0.25">
      <c r="A373">
        <v>46</v>
      </c>
      <c r="B373" t="s">
        <v>33</v>
      </c>
      <c r="C373">
        <v>3</v>
      </c>
      <c r="D373" t="s">
        <v>93</v>
      </c>
      <c r="E373" t="b">
        <v>1</v>
      </c>
      <c r="F373" s="1">
        <v>0.84513888888888888</v>
      </c>
      <c r="G373" s="1">
        <v>0.88263888888888886</v>
      </c>
      <c r="H373">
        <v>54</v>
      </c>
      <c r="I373" t="b">
        <v>0</v>
      </c>
      <c r="J373" t="b">
        <v>0</v>
      </c>
      <c r="K373" t="b">
        <v>1</v>
      </c>
      <c r="L373" t="s">
        <v>35</v>
      </c>
      <c r="M373">
        <v>30</v>
      </c>
      <c r="N373" t="s">
        <v>29</v>
      </c>
      <c r="O373">
        <v>30</v>
      </c>
      <c r="P373" t="s">
        <v>40</v>
      </c>
      <c r="Q373">
        <v>0.1</v>
      </c>
      <c r="R373">
        <v>27</v>
      </c>
      <c r="S373" t="s">
        <v>37</v>
      </c>
      <c r="T373" t="s">
        <v>41</v>
      </c>
      <c r="U373">
        <v>37.804400000000001</v>
      </c>
      <c r="V373">
        <v>-122.27119999999999</v>
      </c>
      <c r="W373" s="2">
        <v>45811</v>
      </c>
      <c r="X373">
        <v>0</v>
      </c>
      <c r="Y373" t="b">
        <v>0</v>
      </c>
      <c r="Z373" s="2">
        <v>45859</v>
      </c>
      <c r="AA373" t="str">
        <f t="shared" si="51"/>
        <v>40–49</v>
      </c>
      <c r="AB373" t="str">
        <f t="shared" si="52"/>
        <v>40–49</v>
      </c>
      <c r="AC373" t="str">
        <f t="shared" si="53"/>
        <v>Monday</v>
      </c>
      <c r="AD373" t="str">
        <f t="shared" si="54"/>
        <v>Tuesday</v>
      </c>
      <c r="AE373" t="str">
        <f t="shared" si="55"/>
        <v/>
      </c>
      <c r="AF373" t="str">
        <f t="shared" si="56"/>
        <v>Thursday</v>
      </c>
      <c r="AG373" t="str">
        <f t="shared" si="57"/>
        <v/>
      </c>
      <c r="AH373" t="str">
        <f t="shared" si="58"/>
        <v/>
      </c>
      <c r="AI373" t="str">
        <f t="shared" si="59"/>
        <v/>
      </c>
      <c r="AJ373" t="str">
        <f>LEFT(Table1[[#This Row],[membership_type]],2)&amp;TEXT(Table1[[#This Row],[age]],"00")&amp;"-"&amp;TEXT(ROW(),"000")</f>
        <v>St46-373</v>
      </c>
      <c r="AK373" t="str">
        <f>LEFT(Table1[[#This Row],[membership_type]],1)&amp;TEXT(MATCH(Table1[[#This Row],[membership_type]],Table1[membership_type],0),"00")</f>
        <v>S02</v>
      </c>
      <c r="AL373" t="str">
        <f>LEFT(Table1[[#This Row],[discount_type]],1)&amp;TEXT(ROUND(Table1[[#This Row],[discount_rate]]*100,0),"00")</f>
        <v>L10</v>
      </c>
      <c r="AM373" t="str" cm="1">
        <f t="array" ref="AM373">TEXT(SUMPRODUCT(CODE(MID(Table1[[#This Row],[home_gym_location]],_xlfn.SEQUENCE(LEN(Table1[[#This Row],[home_gym_location]])),1))),"00000")</f>
        <v>00906</v>
      </c>
      <c r="AN373" t="str">
        <f>UPPER(_xlfn.TEXTBEFORE(Table1[[#This Row],[home_gym_location]],","))&amp;"-"&amp;TEXT(MATCH(Table1[[#This Row],[home_gym_location]],_xlfn._xlws.SORT(_xlfn.UNIQUE(Table1[home_gym_location])),0),"000")</f>
        <v>OAKLAND-006</v>
      </c>
      <c r="AO373" t="str">
        <f>LEFT(_xlfn.TEXTBEFORE(Table1[[#This Row],[Location Identifier]],"-"),3) &amp; "-" &amp; _xlfn.TEXTAFTER(Table1[[#This Row],[Location Identifier]],"-")</f>
        <v>OAK-006</v>
      </c>
      <c r="AP373" s="9">
        <f t="shared" ca="1" si="50"/>
        <v>45869</v>
      </c>
    </row>
    <row r="374" spans="1:42" x14ac:dyDescent="0.25">
      <c r="A374">
        <v>22</v>
      </c>
      <c r="B374" t="s">
        <v>42</v>
      </c>
      <c r="C374">
        <v>4</v>
      </c>
      <c r="D374" t="s">
        <v>151</v>
      </c>
      <c r="E374" t="b">
        <v>0</v>
      </c>
      <c r="F374" s="1">
        <v>0.81111111111111112</v>
      </c>
      <c r="G374" s="1">
        <v>0.9291666666666667</v>
      </c>
      <c r="H374">
        <v>170</v>
      </c>
      <c r="I374" t="b">
        <v>1</v>
      </c>
      <c r="J374" t="b">
        <v>1</v>
      </c>
      <c r="K374" t="b">
        <v>0</v>
      </c>
      <c r="L374" t="s">
        <v>62</v>
      </c>
      <c r="M374">
        <v>20</v>
      </c>
      <c r="N374" t="s">
        <v>29</v>
      </c>
      <c r="O374">
        <v>20</v>
      </c>
      <c r="P374" t="s">
        <v>36</v>
      </c>
      <c r="Q374">
        <v>0</v>
      </c>
      <c r="R374">
        <v>20</v>
      </c>
      <c r="S374" t="s">
        <v>44</v>
      </c>
      <c r="T374" t="s">
        <v>50</v>
      </c>
      <c r="U374">
        <v>34.052199999999999</v>
      </c>
      <c r="V374">
        <v>-118.2437</v>
      </c>
      <c r="W374" s="2">
        <v>45730</v>
      </c>
      <c r="X374">
        <v>2</v>
      </c>
      <c r="Y374" t="b">
        <v>0</v>
      </c>
      <c r="Z374" s="2">
        <v>45855</v>
      </c>
      <c r="AA374" t="str">
        <f t="shared" si="51"/>
        <v>20–29</v>
      </c>
      <c r="AB374" t="str">
        <f t="shared" si="52"/>
        <v>20–29</v>
      </c>
      <c r="AC374" t="str">
        <f t="shared" si="53"/>
        <v/>
      </c>
      <c r="AD374" t="str">
        <f t="shared" si="54"/>
        <v>Tuesday</v>
      </c>
      <c r="AE374" t="str">
        <f t="shared" si="55"/>
        <v>Wednesday</v>
      </c>
      <c r="AF374" t="str">
        <f t="shared" si="56"/>
        <v>Thursday</v>
      </c>
      <c r="AG374" t="str">
        <f t="shared" si="57"/>
        <v>Friday</v>
      </c>
      <c r="AH374" t="str">
        <f t="shared" si="58"/>
        <v/>
      </c>
      <c r="AI374" t="str">
        <f t="shared" si="59"/>
        <v/>
      </c>
      <c r="AJ374" t="str">
        <f>LEFT(Table1[[#This Row],[membership_type]],2)&amp;TEXT(Table1[[#This Row],[age]],"00")&amp;"-"&amp;TEXT(ROW(),"000")</f>
        <v>Ba22-374</v>
      </c>
      <c r="AK374" t="str">
        <f>LEFT(Table1[[#This Row],[membership_type]],1)&amp;TEXT(MATCH(Table1[[#This Row],[membership_type]],Table1[membership_type],0),"00")</f>
        <v>B04</v>
      </c>
      <c r="AL374" t="str">
        <f>LEFT(Table1[[#This Row],[discount_type]],1)&amp;TEXT(ROUND(Table1[[#This Row],[discount_rate]]*100,0),"00")</f>
        <v>N00</v>
      </c>
      <c r="AM374" t="str" cm="1">
        <f t="array" ref="AM374">TEXT(SUMPRODUCT(CODE(MID(Table1[[#This Row],[home_gym_location]],_xlfn.SEQUENCE(LEN(Table1[[#This Row],[home_gym_location]])),1))),"00000")</f>
        <v>01245</v>
      </c>
      <c r="AN37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74" t="str">
        <f>LEFT(_xlfn.TEXTBEFORE(Table1[[#This Row],[Location Identifier]],"-"),3) &amp; "-" &amp; _xlfn.TEXTAFTER(Table1[[#This Row],[Location Identifier]],"-")</f>
        <v>LOS-005</v>
      </c>
      <c r="AP374" s="9">
        <f t="shared" ca="1" si="50"/>
        <v>45869</v>
      </c>
    </row>
    <row r="375" spans="1:42" x14ac:dyDescent="0.25">
      <c r="A375">
        <v>47</v>
      </c>
      <c r="B375" t="s">
        <v>26</v>
      </c>
      <c r="C375">
        <v>1</v>
      </c>
      <c r="D375" t="s">
        <v>71</v>
      </c>
      <c r="E375" t="b">
        <v>1</v>
      </c>
      <c r="F375" s="1">
        <v>0.76041666666666663</v>
      </c>
      <c r="G375" s="1">
        <v>0.83263888888888893</v>
      </c>
      <c r="H375">
        <v>104</v>
      </c>
      <c r="I375" t="b">
        <v>1</v>
      </c>
      <c r="J375" t="b">
        <v>0</v>
      </c>
      <c r="K375" t="b">
        <v>1</v>
      </c>
      <c r="L375" t="s">
        <v>62</v>
      </c>
      <c r="M375">
        <v>50</v>
      </c>
      <c r="N375" t="s">
        <v>29</v>
      </c>
      <c r="O375">
        <v>50</v>
      </c>
      <c r="P375" t="s">
        <v>40</v>
      </c>
      <c r="Q375">
        <v>0.1</v>
      </c>
      <c r="R375">
        <v>45</v>
      </c>
      <c r="S375" t="s">
        <v>31</v>
      </c>
      <c r="T375" t="s">
        <v>54</v>
      </c>
      <c r="U375">
        <v>32.715699999999998</v>
      </c>
      <c r="V375">
        <v>-117.1611</v>
      </c>
      <c r="W375" s="2">
        <v>45103</v>
      </c>
      <c r="X375">
        <v>0</v>
      </c>
      <c r="Y375" t="b">
        <v>1</v>
      </c>
      <c r="Z375" s="2">
        <v>45820</v>
      </c>
      <c r="AA375" t="str">
        <f t="shared" si="51"/>
        <v>40–49</v>
      </c>
      <c r="AB375" t="str">
        <f t="shared" si="52"/>
        <v>40–49</v>
      </c>
      <c r="AC375" t="str">
        <f t="shared" si="53"/>
        <v/>
      </c>
      <c r="AD375" t="str">
        <f t="shared" si="54"/>
        <v>Tuesday</v>
      </c>
      <c r="AE375" t="str">
        <f t="shared" si="55"/>
        <v/>
      </c>
      <c r="AF375" t="str">
        <f t="shared" si="56"/>
        <v/>
      </c>
      <c r="AG375" t="str">
        <f t="shared" si="57"/>
        <v/>
      </c>
      <c r="AH375" t="str">
        <f t="shared" si="58"/>
        <v/>
      </c>
      <c r="AI375" t="str">
        <f t="shared" si="59"/>
        <v/>
      </c>
      <c r="AJ375" t="str">
        <f>LEFT(Table1[[#This Row],[membership_type]],2)&amp;TEXT(Table1[[#This Row],[age]],"00")&amp;"-"&amp;TEXT(ROW(),"000")</f>
        <v>Pr47-375</v>
      </c>
      <c r="AK375" t="str">
        <f>LEFT(Table1[[#This Row],[membership_type]],1)&amp;TEXT(MATCH(Table1[[#This Row],[membership_type]],Table1[membership_type],0),"00")</f>
        <v>P01</v>
      </c>
      <c r="AL375" t="str">
        <f>LEFT(Table1[[#This Row],[discount_type]],1)&amp;TEXT(ROUND(Table1[[#This Row],[discount_rate]]*100,0),"00")</f>
        <v>L10</v>
      </c>
      <c r="AM375" t="str" cm="1">
        <f t="array" ref="AM375">TEXT(SUMPRODUCT(CODE(MID(Table1[[#This Row],[home_gym_location]],_xlfn.SEQUENCE(LEN(Table1[[#This Row],[home_gym_location]])),1))),"00000")</f>
        <v>01018</v>
      </c>
      <c r="AN37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375" t="str">
        <f>LEFT(_xlfn.TEXTBEFORE(Table1[[#This Row],[Location Identifier]],"-"),3) &amp; "-" &amp; _xlfn.TEXTAFTER(Table1[[#This Row],[Location Identifier]],"-")</f>
        <v>SAN-008</v>
      </c>
      <c r="AP375" s="9">
        <f t="shared" ca="1" si="50"/>
        <v>45869</v>
      </c>
    </row>
    <row r="376" spans="1:42" x14ac:dyDescent="0.25">
      <c r="A376">
        <v>28</v>
      </c>
      <c r="B376" t="s">
        <v>26</v>
      </c>
      <c r="C376">
        <v>2</v>
      </c>
      <c r="D376" t="s">
        <v>139</v>
      </c>
      <c r="E376" t="b">
        <v>1</v>
      </c>
      <c r="F376" s="1">
        <v>0.87361111111111112</v>
      </c>
      <c r="G376" s="1">
        <v>0.93055555555555558</v>
      </c>
      <c r="H376">
        <v>82</v>
      </c>
      <c r="I376" t="b">
        <v>0</v>
      </c>
      <c r="J376" t="b">
        <v>0</v>
      </c>
      <c r="K376" t="b">
        <v>1</v>
      </c>
      <c r="L376" t="s">
        <v>35</v>
      </c>
      <c r="M376">
        <v>50</v>
      </c>
      <c r="N376" t="s">
        <v>29</v>
      </c>
      <c r="O376">
        <v>50</v>
      </c>
      <c r="P376" t="s">
        <v>40</v>
      </c>
      <c r="Q376">
        <v>0.1</v>
      </c>
      <c r="R376">
        <v>45</v>
      </c>
      <c r="S376" t="s">
        <v>31</v>
      </c>
      <c r="T376" t="s">
        <v>45</v>
      </c>
      <c r="U376">
        <v>33.836599999999997</v>
      </c>
      <c r="V376">
        <v>-117.9143</v>
      </c>
      <c r="W376" s="2">
        <v>45755</v>
      </c>
      <c r="X376">
        <v>0</v>
      </c>
      <c r="Y376" t="b">
        <v>1</v>
      </c>
      <c r="Z376" s="2">
        <v>45856</v>
      </c>
      <c r="AA376" t="str">
        <f t="shared" si="51"/>
        <v>20–29</v>
      </c>
      <c r="AB376" t="str">
        <f t="shared" si="52"/>
        <v>20–29</v>
      </c>
      <c r="AC376" t="str">
        <f t="shared" si="53"/>
        <v/>
      </c>
      <c r="AD376" t="str">
        <f t="shared" si="54"/>
        <v/>
      </c>
      <c r="AE376" t="str">
        <f t="shared" si="55"/>
        <v>Wednesday</v>
      </c>
      <c r="AF376" t="str">
        <f t="shared" si="56"/>
        <v/>
      </c>
      <c r="AG376" t="str">
        <f t="shared" si="57"/>
        <v/>
      </c>
      <c r="AH376" t="str">
        <f t="shared" si="58"/>
        <v>Saturday</v>
      </c>
      <c r="AI376" t="str">
        <f t="shared" si="59"/>
        <v/>
      </c>
      <c r="AJ376" t="str">
        <f>LEFT(Table1[[#This Row],[membership_type]],2)&amp;TEXT(Table1[[#This Row],[age]],"00")&amp;"-"&amp;TEXT(ROW(),"000")</f>
        <v>Pr28-376</v>
      </c>
      <c r="AK376" t="str">
        <f>LEFT(Table1[[#This Row],[membership_type]],1)&amp;TEXT(MATCH(Table1[[#This Row],[membership_type]],Table1[membership_type],0),"00")</f>
        <v>P01</v>
      </c>
      <c r="AL376" t="str">
        <f>LEFT(Table1[[#This Row],[discount_type]],1)&amp;TEXT(ROUND(Table1[[#This Row],[discount_rate]]*100,0),"00")</f>
        <v>L10</v>
      </c>
      <c r="AM376" t="str" cm="1">
        <f t="array" ref="AM376">TEXT(SUMPRODUCT(CODE(MID(Table1[[#This Row],[home_gym_location]],_xlfn.SEQUENCE(LEN(Table1[[#This Row],[home_gym_location]])),1))),"00000")</f>
        <v>00899</v>
      </c>
      <c r="AN376" t="str">
        <f>UPPER(_xlfn.TEXTBEFORE(Table1[[#This Row],[home_gym_location]],","))&amp;"-"&amp;TEXT(MATCH(Table1[[#This Row],[home_gym_location]],_xlfn._xlws.SORT(_xlfn.UNIQUE(Table1[home_gym_location])),0),"000")</f>
        <v>ANAHEIM-001</v>
      </c>
      <c r="AO376" t="str">
        <f>LEFT(_xlfn.TEXTBEFORE(Table1[[#This Row],[Location Identifier]],"-"),3) &amp; "-" &amp; _xlfn.TEXTAFTER(Table1[[#This Row],[Location Identifier]],"-")</f>
        <v>ANA-001</v>
      </c>
      <c r="AP376" s="9">
        <f t="shared" ca="1" si="50"/>
        <v>45869</v>
      </c>
    </row>
    <row r="377" spans="1:42" x14ac:dyDescent="0.25">
      <c r="A377">
        <v>29</v>
      </c>
      <c r="B377" t="s">
        <v>26</v>
      </c>
      <c r="C377">
        <v>2</v>
      </c>
      <c r="D377" t="s">
        <v>92</v>
      </c>
      <c r="E377" t="b">
        <v>0</v>
      </c>
      <c r="F377" s="1">
        <v>0.4597222222222222</v>
      </c>
      <c r="G377" s="1">
        <v>0.51527777777777772</v>
      </c>
      <c r="H377">
        <v>80</v>
      </c>
      <c r="I377" t="b">
        <v>1</v>
      </c>
      <c r="J377" t="b">
        <v>1</v>
      </c>
      <c r="K377" t="b">
        <v>1</v>
      </c>
      <c r="L377" t="s">
        <v>28</v>
      </c>
      <c r="M377">
        <v>50</v>
      </c>
      <c r="N377" t="s">
        <v>29</v>
      </c>
      <c r="O377">
        <v>50</v>
      </c>
      <c r="P377" t="s">
        <v>36</v>
      </c>
      <c r="Q377">
        <v>0</v>
      </c>
      <c r="R377">
        <v>50</v>
      </c>
      <c r="S377" t="s">
        <v>31</v>
      </c>
      <c r="T377" t="s">
        <v>50</v>
      </c>
      <c r="U377">
        <v>34.052199999999999</v>
      </c>
      <c r="V377">
        <v>-118.2437</v>
      </c>
      <c r="W377" s="2">
        <v>45491</v>
      </c>
      <c r="X377">
        <v>4</v>
      </c>
      <c r="Y377" t="b">
        <v>1</v>
      </c>
      <c r="Z377" s="2">
        <v>45841</v>
      </c>
      <c r="AA377" t="str">
        <f t="shared" si="51"/>
        <v>20–29</v>
      </c>
      <c r="AB377" t="str">
        <f t="shared" si="52"/>
        <v>20–29</v>
      </c>
      <c r="AC377" t="str">
        <f t="shared" si="53"/>
        <v/>
      </c>
      <c r="AD377" t="str">
        <f t="shared" si="54"/>
        <v/>
      </c>
      <c r="AE377" t="str">
        <f t="shared" si="55"/>
        <v/>
      </c>
      <c r="AF377" t="str">
        <f t="shared" si="56"/>
        <v/>
      </c>
      <c r="AG377" t="str">
        <f t="shared" si="57"/>
        <v>Friday</v>
      </c>
      <c r="AH377" t="str">
        <f t="shared" si="58"/>
        <v/>
      </c>
      <c r="AI377" t="str">
        <f t="shared" si="59"/>
        <v>Sunday</v>
      </c>
      <c r="AJ377" t="str">
        <f>LEFT(Table1[[#This Row],[membership_type]],2)&amp;TEXT(Table1[[#This Row],[age]],"00")&amp;"-"&amp;TEXT(ROW(),"000")</f>
        <v>Pr29-377</v>
      </c>
      <c r="AK377" t="str">
        <f>LEFT(Table1[[#This Row],[membership_type]],1)&amp;TEXT(MATCH(Table1[[#This Row],[membership_type]],Table1[membership_type],0),"00")</f>
        <v>P01</v>
      </c>
      <c r="AL377" t="str">
        <f>LEFT(Table1[[#This Row],[discount_type]],1)&amp;TEXT(ROUND(Table1[[#This Row],[discount_rate]]*100,0),"00")</f>
        <v>N00</v>
      </c>
      <c r="AM377" t="str" cm="1">
        <f t="array" ref="AM377">TEXT(SUMPRODUCT(CODE(MID(Table1[[#This Row],[home_gym_location]],_xlfn.SEQUENCE(LEN(Table1[[#This Row],[home_gym_location]])),1))),"00000")</f>
        <v>01245</v>
      </c>
      <c r="AN37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77" t="str">
        <f>LEFT(_xlfn.TEXTBEFORE(Table1[[#This Row],[Location Identifier]],"-"),3) &amp; "-" &amp; _xlfn.TEXTAFTER(Table1[[#This Row],[Location Identifier]],"-")</f>
        <v>LOS-005</v>
      </c>
      <c r="AP377" s="9">
        <f t="shared" ca="1" si="50"/>
        <v>45869</v>
      </c>
    </row>
    <row r="378" spans="1:42" x14ac:dyDescent="0.25">
      <c r="A378">
        <v>31</v>
      </c>
      <c r="B378" t="s">
        <v>33</v>
      </c>
      <c r="C378">
        <v>5</v>
      </c>
      <c r="D378" t="s">
        <v>77</v>
      </c>
      <c r="E378" t="b">
        <v>0</v>
      </c>
      <c r="F378" s="1">
        <v>0.81111111111111112</v>
      </c>
      <c r="G378" s="1">
        <v>0.84027777777777779</v>
      </c>
      <c r="H378">
        <v>42</v>
      </c>
      <c r="I378" t="b">
        <v>0</v>
      </c>
      <c r="J378" t="b">
        <v>0</v>
      </c>
      <c r="K378" t="b">
        <v>0</v>
      </c>
      <c r="L378" t="s">
        <v>62</v>
      </c>
      <c r="M378">
        <v>30</v>
      </c>
      <c r="N378" t="s">
        <v>29</v>
      </c>
      <c r="O378">
        <v>30</v>
      </c>
      <c r="P378" t="s">
        <v>40</v>
      </c>
      <c r="Q378">
        <v>0.1</v>
      </c>
      <c r="R378">
        <v>27</v>
      </c>
      <c r="S378" t="s">
        <v>37</v>
      </c>
      <c r="T378" t="s">
        <v>48</v>
      </c>
      <c r="U378">
        <v>38.581600000000002</v>
      </c>
      <c r="V378">
        <v>-121.4944</v>
      </c>
      <c r="W378" s="2">
        <v>44931</v>
      </c>
      <c r="X378">
        <v>0</v>
      </c>
      <c r="Y378" t="b">
        <v>0</v>
      </c>
      <c r="Z378" s="2">
        <v>45810</v>
      </c>
      <c r="AA378" t="str">
        <f t="shared" si="51"/>
        <v>30–39</v>
      </c>
      <c r="AB378" t="str">
        <f t="shared" si="52"/>
        <v>30–39</v>
      </c>
      <c r="AC378" t="str">
        <f t="shared" si="53"/>
        <v/>
      </c>
      <c r="AD378" t="str">
        <f t="shared" si="54"/>
        <v>Tuesday</v>
      </c>
      <c r="AE378" t="str">
        <f t="shared" si="55"/>
        <v>Wednesday</v>
      </c>
      <c r="AF378" t="str">
        <f t="shared" si="56"/>
        <v>Thursday</v>
      </c>
      <c r="AG378" t="str">
        <f t="shared" si="57"/>
        <v>Friday</v>
      </c>
      <c r="AH378" t="str">
        <f t="shared" si="58"/>
        <v/>
      </c>
      <c r="AI378" t="str">
        <f t="shared" si="59"/>
        <v>Sunday</v>
      </c>
      <c r="AJ378" t="str">
        <f>LEFT(Table1[[#This Row],[membership_type]],2)&amp;TEXT(Table1[[#This Row],[age]],"00")&amp;"-"&amp;TEXT(ROW(),"000")</f>
        <v>St31-378</v>
      </c>
      <c r="AK378" t="str">
        <f>LEFT(Table1[[#This Row],[membership_type]],1)&amp;TEXT(MATCH(Table1[[#This Row],[membership_type]],Table1[membership_type],0),"00")</f>
        <v>S02</v>
      </c>
      <c r="AL378" t="str">
        <f>LEFT(Table1[[#This Row],[discount_type]],1)&amp;TEXT(ROUND(Table1[[#This Row],[discount_rate]]*100,0),"00")</f>
        <v>L10</v>
      </c>
      <c r="AM378" t="str" cm="1">
        <f t="array" ref="AM378">TEXT(SUMPRODUCT(CODE(MID(Table1[[#This Row],[home_gym_location]],_xlfn.SEQUENCE(LEN(Table1[[#This Row],[home_gym_location]])),1))),"00000")</f>
        <v>01245</v>
      </c>
      <c r="AN37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78" t="str">
        <f>LEFT(_xlfn.TEXTBEFORE(Table1[[#This Row],[Location Identifier]],"-"),3) &amp; "-" &amp; _xlfn.TEXTAFTER(Table1[[#This Row],[Location Identifier]],"-")</f>
        <v>SAC-007</v>
      </c>
      <c r="AP378" s="9">
        <f t="shared" ca="1" si="50"/>
        <v>45869</v>
      </c>
    </row>
    <row r="379" spans="1:42" x14ac:dyDescent="0.25">
      <c r="A379">
        <v>14</v>
      </c>
      <c r="B379" t="s">
        <v>26</v>
      </c>
      <c r="C379">
        <v>3</v>
      </c>
      <c r="D379" t="s">
        <v>149</v>
      </c>
      <c r="E379" t="b">
        <v>0</v>
      </c>
      <c r="F379" s="1">
        <v>0.61111111111111116</v>
      </c>
      <c r="G379" s="1">
        <v>0.66180555555555554</v>
      </c>
      <c r="H379">
        <v>73</v>
      </c>
      <c r="I379" t="b">
        <v>0</v>
      </c>
      <c r="J379" t="b">
        <v>1</v>
      </c>
      <c r="K379" t="b">
        <v>0</v>
      </c>
      <c r="L379" t="s">
        <v>28</v>
      </c>
      <c r="M379">
        <v>50</v>
      </c>
      <c r="N379" t="s">
        <v>29</v>
      </c>
      <c r="O379">
        <v>50</v>
      </c>
      <c r="P379" t="s">
        <v>40</v>
      </c>
      <c r="Q379">
        <v>0.1</v>
      </c>
      <c r="R379">
        <v>45</v>
      </c>
      <c r="S379" t="s">
        <v>31</v>
      </c>
      <c r="T379" t="s">
        <v>45</v>
      </c>
      <c r="U379">
        <v>33.836599999999997</v>
      </c>
      <c r="V379">
        <v>-117.9143</v>
      </c>
      <c r="W379" s="2">
        <v>45806</v>
      </c>
      <c r="X379">
        <v>4</v>
      </c>
      <c r="Y379" t="b">
        <v>1</v>
      </c>
      <c r="Z379" s="2">
        <v>45859</v>
      </c>
      <c r="AA379" t="str">
        <f t="shared" si="51"/>
        <v>10–19</v>
      </c>
      <c r="AB379" t="str">
        <f t="shared" si="52"/>
        <v>Under 16</v>
      </c>
      <c r="AC379" t="str">
        <f t="shared" si="53"/>
        <v/>
      </c>
      <c r="AD379" t="str">
        <f t="shared" si="54"/>
        <v/>
      </c>
      <c r="AE379" t="str">
        <f t="shared" si="55"/>
        <v>Wednesday</v>
      </c>
      <c r="AF379" t="str">
        <f t="shared" si="56"/>
        <v/>
      </c>
      <c r="AG379" t="str">
        <f t="shared" si="57"/>
        <v>Friday</v>
      </c>
      <c r="AH379" t="str">
        <f t="shared" si="58"/>
        <v>Saturday</v>
      </c>
      <c r="AI379" t="str">
        <f t="shared" si="59"/>
        <v/>
      </c>
      <c r="AJ379" t="str">
        <f>LEFT(Table1[[#This Row],[membership_type]],2)&amp;TEXT(Table1[[#This Row],[age]],"00")&amp;"-"&amp;TEXT(ROW(),"000")</f>
        <v>Pr14-379</v>
      </c>
      <c r="AK379" t="str">
        <f>LEFT(Table1[[#This Row],[membership_type]],1)&amp;TEXT(MATCH(Table1[[#This Row],[membership_type]],Table1[membership_type],0),"00")</f>
        <v>P01</v>
      </c>
      <c r="AL379" t="str">
        <f>LEFT(Table1[[#This Row],[discount_type]],1)&amp;TEXT(ROUND(Table1[[#This Row],[discount_rate]]*100,0),"00")</f>
        <v>L10</v>
      </c>
      <c r="AM379" t="str" cm="1">
        <f t="array" ref="AM379">TEXT(SUMPRODUCT(CODE(MID(Table1[[#This Row],[home_gym_location]],_xlfn.SEQUENCE(LEN(Table1[[#This Row],[home_gym_location]])),1))),"00000")</f>
        <v>00899</v>
      </c>
      <c r="AN379" t="str">
        <f>UPPER(_xlfn.TEXTBEFORE(Table1[[#This Row],[home_gym_location]],","))&amp;"-"&amp;TEXT(MATCH(Table1[[#This Row],[home_gym_location]],_xlfn._xlws.SORT(_xlfn.UNIQUE(Table1[home_gym_location])),0),"000")</f>
        <v>ANAHEIM-001</v>
      </c>
      <c r="AO379" t="str">
        <f>LEFT(_xlfn.TEXTBEFORE(Table1[[#This Row],[Location Identifier]],"-"),3) &amp; "-" &amp; _xlfn.TEXTAFTER(Table1[[#This Row],[Location Identifier]],"-")</f>
        <v>ANA-001</v>
      </c>
      <c r="AP379" s="9">
        <f t="shared" ca="1" si="50"/>
        <v>45869</v>
      </c>
    </row>
    <row r="380" spans="1:42" x14ac:dyDescent="0.25">
      <c r="A380">
        <v>29</v>
      </c>
      <c r="B380" t="s">
        <v>51</v>
      </c>
      <c r="C380">
        <v>3</v>
      </c>
      <c r="D380" t="s">
        <v>149</v>
      </c>
      <c r="E380" t="b">
        <v>0</v>
      </c>
      <c r="F380" s="1">
        <v>0.44027777777777777</v>
      </c>
      <c r="G380" s="1">
        <v>0.46736111111111112</v>
      </c>
      <c r="H380">
        <v>39</v>
      </c>
      <c r="I380" t="b">
        <v>0</v>
      </c>
      <c r="J380" t="b">
        <v>0</v>
      </c>
      <c r="K380" t="b">
        <v>1</v>
      </c>
      <c r="L380" t="s">
        <v>58</v>
      </c>
      <c r="M380">
        <v>70</v>
      </c>
      <c r="N380" t="s">
        <v>64</v>
      </c>
      <c r="O380">
        <v>52.5</v>
      </c>
      <c r="P380" t="s">
        <v>74</v>
      </c>
      <c r="Q380">
        <v>0.15</v>
      </c>
      <c r="R380">
        <v>44.625</v>
      </c>
      <c r="S380" t="s">
        <v>53</v>
      </c>
      <c r="T380" t="s">
        <v>45</v>
      </c>
      <c r="U380">
        <v>33.836599999999997</v>
      </c>
      <c r="V380">
        <v>-117.9143</v>
      </c>
      <c r="W380" s="2">
        <v>44963</v>
      </c>
      <c r="X380">
        <v>0</v>
      </c>
      <c r="Y380" t="b">
        <v>0</v>
      </c>
      <c r="Z380" s="2">
        <v>45812</v>
      </c>
      <c r="AA380" t="str">
        <f t="shared" si="51"/>
        <v>20–29</v>
      </c>
      <c r="AB380" t="str">
        <f t="shared" si="52"/>
        <v>20–29</v>
      </c>
      <c r="AC380" t="str">
        <f t="shared" si="53"/>
        <v/>
      </c>
      <c r="AD380" t="str">
        <f t="shared" si="54"/>
        <v/>
      </c>
      <c r="AE380" t="str">
        <f t="shared" si="55"/>
        <v>Wednesday</v>
      </c>
      <c r="AF380" t="str">
        <f t="shared" si="56"/>
        <v/>
      </c>
      <c r="AG380" t="str">
        <f t="shared" si="57"/>
        <v>Friday</v>
      </c>
      <c r="AH380" t="str">
        <f t="shared" si="58"/>
        <v>Saturday</v>
      </c>
      <c r="AI380" t="str">
        <f t="shared" si="59"/>
        <v/>
      </c>
      <c r="AJ380" t="str">
        <f>LEFT(Table1[[#This Row],[membership_type]],2)&amp;TEXT(Table1[[#This Row],[age]],"00")&amp;"-"&amp;TEXT(ROW(),"000")</f>
        <v>El29-380</v>
      </c>
      <c r="AK380" t="str">
        <f>LEFT(Table1[[#This Row],[membership_type]],1)&amp;TEXT(MATCH(Table1[[#This Row],[membership_type]],Table1[membership_type],0),"00")</f>
        <v>E07</v>
      </c>
      <c r="AL380" t="str">
        <f>LEFT(Table1[[#This Row],[discount_type]],1)&amp;TEXT(ROUND(Table1[[#This Row],[discount_rate]]*100,0),"00")</f>
        <v>S15</v>
      </c>
      <c r="AM380" t="str" cm="1">
        <f t="array" ref="AM380">TEXT(SUMPRODUCT(CODE(MID(Table1[[#This Row],[home_gym_location]],_xlfn.SEQUENCE(LEN(Table1[[#This Row],[home_gym_location]])),1))),"00000")</f>
        <v>00899</v>
      </c>
      <c r="AN380" t="str">
        <f>UPPER(_xlfn.TEXTBEFORE(Table1[[#This Row],[home_gym_location]],","))&amp;"-"&amp;TEXT(MATCH(Table1[[#This Row],[home_gym_location]],_xlfn._xlws.SORT(_xlfn.UNIQUE(Table1[home_gym_location])),0),"000")</f>
        <v>ANAHEIM-001</v>
      </c>
      <c r="AO380" t="str">
        <f>LEFT(_xlfn.TEXTBEFORE(Table1[[#This Row],[Location Identifier]],"-"),3) &amp; "-" &amp; _xlfn.TEXTAFTER(Table1[[#This Row],[Location Identifier]],"-")</f>
        <v>ANA-001</v>
      </c>
      <c r="AP380" s="9">
        <f t="shared" ca="1" si="50"/>
        <v>45869</v>
      </c>
    </row>
    <row r="381" spans="1:42" x14ac:dyDescent="0.25">
      <c r="A381">
        <v>22</v>
      </c>
      <c r="B381" t="s">
        <v>26</v>
      </c>
      <c r="C381">
        <v>1</v>
      </c>
      <c r="D381" t="s">
        <v>75</v>
      </c>
      <c r="E381" t="b">
        <v>0</v>
      </c>
      <c r="F381" s="1">
        <v>0.47986111111111113</v>
      </c>
      <c r="G381" s="1">
        <v>0.50902777777777775</v>
      </c>
      <c r="H381">
        <v>42</v>
      </c>
      <c r="I381" t="b">
        <v>1</v>
      </c>
      <c r="J381" t="b">
        <v>1</v>
      </c>
      <c r="K381" t="b">
        <v>1</v>
      </c>
      <c r="L381" t="s">
        <v>28</v>
      </c>
      <c r="M381">
        <v>50</v>
      </c>
      <c r="N381" t="s">
        <v>29</v>
      </c>
      <c r="O381">
        <v>50</v>
      </c>
      <c r="P381" t="s">
        <v>30</v>
      </c>
      <c r="Q381">
        <v>0.05</v>
      </c>
      <c r="R381">
        <v>47.5</v>
      </c>
      <c r="S381" t="s">
        <v>31</v>
      </c>
      <c r="T381" t="s">
        <v>32</v>
      </c>
      <c r="U381">
        <v>37.338200000000001</v>
      </c>
      <c r="V381">
        <v>-121.88630000000001</v>
      </c>
      <c r="W381" s="2">
        <v>45530</v>
      </c>
      <c r="X381">
        <v>6</v>
      </c>
      <c r="Y381" t="b">
        <v>1</v>
      </c>
      <c r="Z381" s="2">
        <v>45844</v>
      </c>
      <c r="AA381" t="str">
        <f t="shared" si="51"/>
        <v>20–29</v>
      </c>
      <c r="AB381" t="str">
        <f t="shared" si="52"/>
        <v>20–29</v>
      </c>
      <c r="AC381" t="str">
        <f t="shared" si="53"/>
        <v/>
      </c>
      <c r="AD381" t="str">
        <f t="shared" si="54"/>
        <v/>
      </c>
      <c r="AE381" t="str">
        <f t="shared" si="55"/>
        <v/>
      </c>
      <c r="AF381" t="str">
        <f t="shared" si="56"/>
        <v/>
      </c>
      <c r="AG381" t="str">
        <f t="shared" si="57"/>
        <v>Friday</v>
      </c>
      <c r="AH381" t="str">
        <f t="shared" si="58"/>
        <v/>
      </c>
      <c r="AI381" t="str">
        <f t="shared" si="59"/>
        <v/>
      </c>
      <c r="AJ381" t="str">
        <f>LEFT(Table1[[#This Row],[membership_type]],2)&amp;TEXT(Table1[[#This Row],[age]],"00")&amp;"-"&amp;TEXT(ROW(),"000")</f>
        <v>Pr22-381</v>
      </c>
      <c r="AK381" t="str">
        <f>LEFT(Table1[[#This Row],[membership_type]],1)&amp;TEXT(MATCH(Table1[[#This Row],[membership_type]],Table1[membership_type],0),"00")</f>
        <v>P01</v>
      </c>
      <c r="AL381" t="str">
        <f>LEFT(Table1[[#This Row],[discount_type]],1)&amp;TEXT(ROUND(Table1[[#This Row],[discount_rate]]*100,0),"00")</f>
        <v>P05</v>
      </c>
      <c r="AM381" t="str" cm="1">
        <f t="array" ref="AM381">TEXT(SUMPRODUCT(CODE(MID(Table1[[#This Row],[home_gym_location]],_xlfn.SEQUENCE(LEN(Table1[[#This Row],[home_gym_location]])),1))),"00000")</f>
        <v>00931</v>
      </c>
      <c r="AN38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81" t="str">
        <f>LEFT(_xlfn.TEXTBEFORE(Table1[[#This Row],[Location Identifier]],"-"),3) &amp; "-" &amp; _xlfn.TEXTAFTER(Table1[[#This Row],[Location Identifier]],"-")</f>
        <v>SAN-010</v>
      </c>
      <c r="AP381" s="9">
        <f t="shared" ca="1" si="50"/>
        <v>45869</v>
      </c>
    </row>
    <row r="382" spans="1:42" x14ac:dyDescent="0.25">
      <c r="A382">
        <v>47</v>
      </c>
      <c r="B382" t="s">
        <v>26</v>
      </c>
      <c r="C382">
        <v>3</v>
      </c>
      <c r="D382" t="s">
        <v>131</v>
      </c>
      <c r="E382" t="b">
        <v>0</v>
      </c>
      <c r="F382" s="1">
        <v>0.42222222222222222</v>
      </c>
      <c r="G382" s="1">
        <v>0.4597222222222222</v>
      </c>
      <c r="H382">
        <v>54</v>
      </c>
      <c r="I382" t="b">
        <v>0</v>
      </c>
      <c r="J382" t="b">
        <v>1</v>
      </c>
      <c r="K382" t="b">
        <v>0</v>
      </c>
      <c r="L382" t="s">
        <v>35</v>
      </c>
      <c r="M382">
        <v>50</v>
      </c>
      <c r="N382" t="s">
        <v>29</v>
      </c>
      <c r="O382">
        <v>50</v>
      </c>
      <c r="P382" t="s">
        <v>36</v>
      </c>
      <c r="Q382">
        <v>0</v>
      </c>
      <c r="R382">
        <v>50</v>
      </c>
      <c r="S382" t="s">
        <v>31</v>
      </c>
      <c r="T382" t="s">
        <v>41</v>
      </c>
      <c r="U382">
        <v>37.804400000000001</v>
      </c>
      <c r="V382">
        <v>-122.27119999999999</v>
      </c>
      <c r="W382" s="2">
        <v>45705</v>
      </c>
      <c r="X382">
        <v>4</v>
      </c>
      <c r="Y382" t="b">
        <v>1</v>
      </c>
      <c r="Z382" s="2">
        <v>45853</v>
      </c>
      <c r="AA382" t="str">
        <f t="shared" si="51"/>
        <v>40–49</v>
      </c>
      <c r="AB382" t="str">
        <f t="shared" si="52"/>
        <v>40–49</v>
      </c>
      <c r="AC382" t="str">
        <f t="shared" si="53"/>
        <v>Monday</v>
      </c>
      <c r="AD382" t="str">
        <f t="shared" si="54"/>
        <v/>
      </c>
      <c r="AE382" t="str">
        <f t="shared" si="55"/>
        <v/>
      </c>
      <c r="AF382" t="str">
        <f t="shared" si="56"/>
        <v/>
      </c>
      <c r="AG382" t="str">
        <f t="shared" si="57"/>
        <v>Friday</v>
      </c>
      <c r="AH382" t="str">
        <f t="shared" si="58"/>
        <v/>
      </c>
      <c r="AI382" t="str">
        <f t="shared" si="59"/>
        <v>Sunday</v>
      </c>
      <c r="AJ382" t="str">
        <f>LEFT(Table1[[#This Row],[membership_type]],2)&amp;TEXT(Table1[[#This Row],[age]],"00")&amp;"-"&amp;TEXT(ROW(),"000")</f>
        <v>Pr47-382</v>
      </c>
      <c r="AK382" t="str">
        <f>LEFT(Table1[[#This Row],[membership_type]],1)&amp;TEXT(MATCH(Table1[[#This Row],[membership_type]],Table1[membership_type],0),"00")</f>
        <v>P01</v>
      </c>
      <c r="AL382" t="str">
        <f>LEFT(Table1[[#This Row],[discount_type]],1)&amp;TEXT(ROUND(Table1[[#This Row],[discount_rate]]*100,0),"00")</f>
        <v>N00</v>
      </c>
      <c r="AM382" t="str" cm="1">
        <f t="array" ref="AM382">TEXT(SUMPRODUCT(CODE(MID(Table1[[#This Row],[home_gym_location]],_xlfn.SEQUENCE(LEN(Table1[[#This Row],[home_gym_location]])),1))),"00000")</f>
        <v>00906</v>
      </c>
      <c r="AN382" t="str">
        <f>UPPER(_xlfn.TEXTBEFORE(Table1[[#This Row],[home_gym_location]],","))&amp;"-"&amp;TEXT(MATCH(Table1[[#This Row],[home_gym_location]],_xlfn._xlws.SORT(_xlfn.UNIQUE(Table1[home_gym_location])),0),"000")</f>
        <v>OAKLAND-006</v>
      </c>
      <c r="AO382" t="str">
        <f>LEFT(_xlfn.TEXTBEFORE(Table1[[#This Row],[Location Identifier]],"-"),3) &amp; "-" &amp; _xlfn.TEXTAFTER(Table1[[#This Row],[Location Identifier]],"-")</f>
        <v>OAK-006</v>
      </c>
      <c r="AP382" s="9">
        <f t="shared" ca="1" si="50"/>
        <v>45869</v>
      </c>
    </row>
    <row r="383" spans="1:42" x14ac:dyDescent="0.25">
      <c r="A383">
        <v>35</v>
      </c>
      <c r="B383" t="s">
        <v>26</v>
      </c>
      <c r="C383">
        <v>2</v>
      </c>
      <c r="D383" t="s">
        <v>139</v>
      </c>
      <c r="E383" t="b">
        <v>1</v>
      </c>
      <c r="F383" s="1">
        <v>0.84305555555555556</v>
      </c>
      <c r="G383" s="1">
        <v>0.9375</v>
      </c>
      <c r="H383">
        <v>136</v>
      </c>
      <c r="I383" t="b">
        <v>1</v>
      </c>
      <c r="J383" t="b">
        <v>1</v>
      </c>
      <c r="K383" t="b">
        <v>1</v>
      </c>
      <c r="L383" t="s">
        <v>28</v>
      </c>
      <c r="M383">
        <v>50</v>
      </c>
      <c r="N383" t="s">
        <v>29</v>
      </c>
      <c r="O383">
        <v>50</v>
      </c>
      <c r="P383" t="s">
        <v>30</v>
      </c>
      <c r="Q383">
        <v>0.05</v>
      </c>
      <c r="R383">
        <v>47.5</v>
      </c>
      <c r="S383" t="s">
        <v>31</v>
      </c>
      <c r="T383" t="s">
        <v>48</v>
      </c>
      <c r="U383">
        <v>38.581600000000002</v>
      </c>
      <c r="V383">
        <v>-121.4944</v>
      </c>
      <c r="W383" s="2">
        <v>45088</v>
      </c>
      <c r="X383">
        <v>2</v>
      </c>
      <c r="Y383" t="b">
        <v>1</v>
      </c>
      <c r="Z383" s="2">
        <v>45819</v>
      </c>
      <c r="AA383" t="str">
        <f t="shared" si="51"/>
        <v>30–39</v>
      </c>
      <c r="AB383" t="str">
        <f t="shared" si="52"/>
        <v>30–39</v>
      </c>
      <c r="AC383" t="str">
        <f t="shared" si="53"/>
        <v/>
      </c>
      <c r="AD383" t="str">
        <f t="shared" si="54"/>
        <v/>
      </c>
      <c r="AE383" t="str">
        <f t="shared" si="55"/>
        <v>Wednesday</v>
      </c>
      <c r="AF383" t="str">
        <f t="shared" si="56"/>
        <v/>
      </c>
      <c r="AG383" t="str">
        <f t="shared" si="57"/>
        <v/>
      </c>
      <c r="AH383" t="str">
        <f t="shared" si="58"/>
        <v>Saturday</v>
      </c>
      <c r="AI383" t="str">
        <f t="shared" si="59"/>
        <v/>
      </c>
      <c r="AJ383" t="str">
        <f>LEFT(Table1[[#This Row],[membership_type]],2)&amp;TEXT(Table1[[#This Row],[age]],"00")&amp;"-"&amp;TEXT(ROW(),"000")</f>
        <v>Pr35-383</v>
      </c>
      <c r="AK383" t="str">
        <f>LEFT(Table1[[#This Row],[membership_type]],1)&amp;TEXT(MATCH(Table1[[#This Row],[membership_type]],Table1[membership_type],0),"00")</f>
        <v>P01</v>
      </c>
      <c r="AL383" t="str">
        <f>LEFT(Table1[[#This Row],[discount_type]],1)&amp;TEXT(ROUND(Table1[[#This Row],[discount_rate]]*100,0),"00")</f>
        <v>P05</v>
      </c>
      <c r="AM383" t="str" cm="1">
        <f t="array" ref="AM383">TEXT(SUMPRODUCT(CODE(MID(Table1[[#This Row],[home_gym_location]],_xlfn.SEQUENCE(LEN(Table1[[#This Row],[home_gym_location]])),1))),"00000")</f>
        <v>01245</v>
      </c>
      <c r="AN38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83" t="str">
        <f>LEFT(_xlfn.TEXTBEFORE(Table1[[#This Row],[Location Identifier]],"-"),3) &amp; "-" &amp; _xlfn.TEXTAFTER(Table1[[#This Row],[Location Identifier]],"-")</f>
        <v>SAC-007</v>
      </c>
      <c r="AP383" s="9">
        <f t="shared" ca="1" si="50"/>
        <v>45869</v>
      </c>
    </row>
    <row r="384" spans="1:42" x14ac:dyDescent="0.25">
      <c r="A384">
        <v>28</v>
      </c>
      <c r="B384" t="s">
        <v>33</v>
      </c>
      <c r="C384">
        <v>5</v>
      </c>
      <c r="D384" t="s">
        <v>152</v>
      </c>
      <c r="E384" t="b">
        <v>0</v>
      </c>
      <c r="F384" s="1">
        <v>0.62013888888888891</v>
      </c>
      <c r="G384" s="1">
        <v>0.70347222222222228</v>
      </c>
      <c r="H384">
        <v>120</v>
      </c>
      <c r="I384" t="b">
        <v>1</v>
      </c>
      <c r="J384" t="b">
        <v>0</v>
      </c>
      <c r="K384" t="b">
        <v>0</v>
      </c>
      <c r="L384" t="s">
        <v>62</v>
      </c>
      <c r="M384">
        <v>30</v>
      </c>
      <c r="N384" t="s">
        <v>29</v>
      </c>
      <c r="O384">
        <v>30</v>
      </c>
      <c r="P384" t="s">
        <v>36</v>
      </c>
      <c r="Q384">
        <v>0</v>
      </c>
      <c r="R384">
        <v>30</v>
      </c>
      <c r="S384" t="s">
        <v>37</v>
      </c>
      <c r="T384" t="s">
        <v>45</v>
      </c>
      <c r="U384">
        <v>33.836599999999997</v>
      </c>
      <c r="V384">
        <v>-117.9143</v>
      </c>
      <c r="W384" s="2">
        <v>45161</v>
      </c>
      <c r="X384">
        <v>0</v>
      </c>
      <c r="Y384" t="b">
        <v>1</v>
      </c>
      <c r="Z384" s="2">
        <v>45823</v>
      </c>
      <c r="AA384" t="str">
        <f t="shared" si="51"/>
        <v>20–29</v>
      </c>
      <c r="AB384" t="str">
        <f t="shared" si="52"/>
        <v>20–29</v>
      </c>
      <c r="AC384" t="str">
        <f t="shared" si="53"/>
        <v>Monday</v>
      </c>
      <c r="AD384" t="str">
        <f t="shared" si="54"/>
        <v>Tuesday</v>
      </c>
      <c r="AE384" t="str">
        <f t="shared" si="55"/>
        <v>Wednesday</v>
      </c>
      <c r="AF384" t="str">
        <f t="shared" si="56"/>
        <v/>
      </c>
      <c r="AG384" t="str">
        <f t="shared" si="57"/>
        <v>Friday</v>
      </c>
      <c r="AH384" t="str">
        <f t="shared" si="58"/>
        <v>Saturday</v>
      </c>
      <c r="AI384" t="str">
        <f t="shared" si="59"/>
        <v/>
      </c>
      <c r="AJ384" t="str">
        <f>LEFT(Table1[[#This Row],[membership_type]],2)&amp;TEXT(Table1[[#This Row],[age]],"00")&amp;"-"&amp;TEXT(ROW(),"000")</f>
        <v>St28-384</v>
      </c>
      <c r="AK384" t="str">
        <f>LEFT(Table1[[#This Row],[membership_type]],1)&amp;TEXT(MATCH(Table1[[#This Row],[membership_type]],Table1[membership_type],0),"00")</f>
        <v>S02</v>
      </c>
      <c r="AL384" t="str">
        <f>LEFT(Table1[[#This Row],[discount_type]],1)&amp;TEXT(ROUND(Table1[[#This Row],[discount_rate]]*100,0),"00")</f>
        <v>N00</v>
      </c>
      <c r="AM384" t="str" cm="1">
        <f t="array" ref="AM384">TEXT(SUMPRODUCT(CODE(MID(Table1[[#This Row],[home_gym_location]],_xlfn.SEQUENCE(LEN(Table1[[#This Row],[home_gym_location]])),1))),"00000")</f>
        <v>00899</v>
      </c>
      <c r="AN384" t="str">
        <f>UPPER(_xlfn.TEXTBEFORE(Table1[[#This Row],[home_gym_location]],","))&amp;"-"&amp;TEXT(MATCH(Table1[[#This Row],[home_gym_location]],_xlfn._xlws.SORT(_xlfn.UNIQUE(Table1[home_gym_location])),0),"000")</f>
        <v>ANAHEIM-001</v>
      </c>
      <c r="AO384" t="str">
        <f>LEFT(_xlfn.TEXTBEFORE(Table1[[#This Row],[Location Identifier]],"-"),3) &amp; "-" &amp; _xlfn.TEXTAFTER(Table1[[#This Row],[Location Identifier]],"-")</f>
        <v>ANA-001</v>
      </c>
      <c r="AP384" s="9">
        <f t="shared" ca="1" si="50"/>
        <v>45869</v>
      </c>
    </row>
    <row r="385" spans="1:42" x14ac:dyDescent="0.25">
      <c r="A385">
        <v>19</v>
      </c>
      <c r="B385" t="s">
        <v>26</v>
      </c>
      <c r="C385">
        <v>2</v>
      </c>
      <c r="D385" t="s">
        <v>43</v>
      </c>
      <c r="E385" t="b">
        <v>1</v>
      </c>
      <c r="F385" s="1">
        <v>0.58402777777777781</v>
      </c>
      <c r="G385" s="1">
        <v>0.66388888888888886</v>
      </c>
      <c r="H385">
        <v>115</v>
      </c>
      <c r="I385" t="b">
        <v>0</v>
      </c>
      <c r="J385" t="b">
        <v>0</v>
      </c>
      <c r="K385" t="b">
        <v>0</v>
      </c>
      <c r="L385" t="s">
        <v>62</v>
      </c>
      <c r="M385">
        <v>50</v>
      </c>
      <c r="N385" t="s">
        <v>29</v>
      </c>
      <c r="O385">
        <v>50</v>
      </c>
      <c r="P385" t="s">
        <v>36</v>
      </c>
      <c r="Q385">
        <v>0</v>
      </c>
      <c r="R385">
        <v>50</v>
      </c>
      <c r="S385" t="s">
        <v>31</v>
      </c>
      <c r="T385" t="s">
        <v>50</v>
      </c>
      <c r="U385">
        <v>34.052199999999999</v>
      </c>
      <c r="V385">
        <v>-118.2437</v>
      </c>
      <c r="W385" s="2">
        <v>44896</v>
      </c>
      <c r="X385">
        <v>0</v>
      </c>
      <c r="Y385" t="b">
        <v>1</v>
      </c>
      <c r="Z385" s="2">
        <v>45808</v>
      </c>
      <c r="AA385" t="str">
        <f t="shared" si="51"/>
        <v>10–19</v>
      </c>
      <c r="AB385" t="str">
        <f t="shared" si="52"/>
        <v>16–19</v>
      </c>
      <c r="AC385" t="str">
        <f t="shared" si="53"/>
        <v>Monday</v>
      </c>
      <c r="AD385" t="str">
        <f t="shared" si="54"/>
        <v>Tuesday</v>
      </c>
      <c r="AE385" t="str">
        <f t="shared" si="55"/>
        <v/>
      </c>
      <c r="AF385" t="str">
        <f t="shared" si="56"/>
        <v/>
      </c>
      <c r="AG385" t="str">
        <f t="shared" si="57"/>
        <v/>
      </c>
      <c r="AH385" t="str">
        <f t="shared" si="58"/>
        <v/>
      </c>
      <c r="AI385" t="str">
        <f t="shared" si="59"/>
        <v/>
      </c>
      <c r="AJ385" t="str">
        <f>LEFT(Table1[[#This Row],[membership_type]],2)&amp;TEXT(Table1[[#This Row],[age]],"00")&amp;"-"&amp;TEXT(ROW(),"000")</f>
        <v>Pr19-385</v>
      </c>
      <c r="AK385" t="str">
        <f>LEFT(Table1[[#This Row],[membership_type]],1)&amp;TEXT(MATCH(Table1[[#This Row],[membership_type]],Table1[membership_type],0),"00")</f>
        <v>P01</v>
      </c>
      <c r="AL385" t="str">
        <f>LEFT(Table1[[#This Row],[discount_type]],1)&amp;TEXT(ROUND(Table1[[#This Row],[discount_rate]]*100,0),"00")</f>
        <v>N00</v>
      </c>
      <c r="AM385" t="str" cm="1">
        <f t="array" ref="AM385">TEXT(SUMPRODUCT(CODE(MID(Table1[[#This Row],[home_gym_location]],_xlfn.SEQUENCE(LEN(Table1[[#This Row],[home_gym_location]])),1))),"00000")</f>
        <v>01245</v>
      </c>
      <c r="AN3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385" t="str">
        <f>LEFT(_xlfn.TEXTBEFORE(Table1[[#This Row],[Location Identifier]],"-"),3) &amp; "-" &amp; _xlfn.TEXTAFTER(Table1[[#This Row],[Location Identifier]],"-")</f>
        <v>LOS-005</v>
      </c>
      <c r="AP385" s="9">
        <f t="shared" ca="1" si="50"/>
        <v>45869</v>
      </c>
    </row>
    <row r="386" spans="1:42" x14ac:dyDescent="0.25">
      <c r="A386">
        <v>26</v>
      </c>
      <c r="B386" t="s">
        <v>42</v>
      </c>
      <c r="C386">
        <v>5</v>
      </c>
      <c r="D386" t="s">
        <v>66</v>
      </c>
      <c r="E386" t="b">
        <v>0</v>
      </c>
      <c r="F386" s="1">
        <v>0.75069444444444444</v>
      </c>
      <c r="G386" s="1">
        <v>0.77986111111111112</v>
      </c>
      <c r="H386">
        <v>42</v>
      </c>
      <c r="I386" t="b">
        <v>1</v>
      </c>
      <c r="J386" t="b">
        <v>0</v>
      </c>
      <c r="K386" t="b">
        <v>0</v>
      </c>
      <c r="L386" t="s">
        <v>28</v>
      </c>
      <c r="M386">
        <v>20</v>
      </c>
      <c r="N386" t="s">
        <v>64</v>
      </c>
      <c r="O386">
        <v>15</v>
      </c>
      <c r="P386" t="s">
        <v>36</v>
      </c>
      <c r="Q386">
        <v>0</v>
      </c>
      <c r="R386">
        <v>15</v>
      </c>
      <c r="S386" t="s">
        <v>44</v>
      </c>
      <c r="T386" t="s">
        <v>65</v>
      </c>
      <c r="U386">
        <v>33.770099999999999</v>
      </c>
      <c r="V386">
        <v>-118.19370000000001</v>
      </c>
      <c r="W386" s="2">
        <v>45048</v>
      </c>
      <c r="X386">
        <v>0</v>
      </c>
      <c r="Y386" t="b">
        <v>0</v>
      </c>
      <c r="Z386" s="2">
        <v>45816</v>
      </c>
      <c r="AA386" t="str">
        <f t="shared" si="51"/>
        <v>20–29</v>
      </c>
      <c r="AB386" t="str">
        <f t="shared" si="52"/>
        <v>20–29</v>
      </c>
      <c r="AC386" t="str">
        <f t="shared" si="53"/>
        <v>Monday</v>
      </c>
      <c r="AD386" t="str">
        <f t="shared" si="54"/>
        <v>Tuesday</v>
      </c>
      <c r="AE386" t="str">
        <f t="shared" si="55"/>
        <v>Wednesday</v>
      </c>
      <c r="AF386" t="str">
        <f t="shared" si="56"/>
        <v/>
      </c>
      <c r="AG386" t="str">
        <f t="shared" si="57"/>
        <v>Friday</v>
      </c>
      <c r="AH386" t="str">
        <f t="shared" si="58"/>
        <v/>
      </c>
      <c r="AI386" t="str">
        <f t="shared" si="59"/>
        <v>Sunday</v>
      </c>
      <c r="AJ386" t="str">
        <f>LEFT(Table1[[#This Row],[membership_type]],2)&amp;TEXT(Table1[[#This Row],[age]],"00")&amp;"-"&amp;TEXT(ROW(),"000")</f>
        <v>Ba26-386</v>
      </c>
      <c r="AK386" t="str">
        <f>LEFT(Table1[[#This Row],[membership_type]],1)&amp;TEXT(MATCH(Table1[[#This Row],[membership_type]],Table1[membership_type],0),"00")</f>
        <v>B04</v>
      </c>
      <c r="AL386" t="str">
        <f>LEFT(Table1[[#This Row],[discount_type]],1)&amp;TEXT(ROUND(Table1[[#This Row],[discount_rate]]*100,0),"00")</f>
        <v>N00</v>
      </c>
      <c r="AM386" t="str" cm="1">
        <f t="array" ref="AM386">TEXT(SUMPRODUCT(CODE(MID(Table1[[#This Row],[home_gym_location]],_xlfn.SEQUENCE(LEN(Table1[[#This Row],[home_gym_location]])),1))),"00000")</f>
        <v>01107</v>
      </c>
      <c r="AN38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86" t="str">
        <f>LEFT(_xlfn.TEXTBEFORE(Table1[[#This Row],[Location Identifier]],"-"),3) &amp; "-" &amp; _xlfn.TEXTAFTER(Table1[[#This Row],[Location Identifier]],"-")</f>
        <v>LON-004</v>
      </c>
      <c r="AP386" s="9">
        <f t="shared" ref="AP386:AP449" ca="1" si="60">EOMONTH(DATE(YEAR(TODAY()),7,1),0)</f>
        <v>45869</v>
      </c>
    </row>
    <row r="387" spans="1:42" x14ac:dyDescent="0.25">
      <c r="A387">
        <v>21</v>
      </c>
      <c r="B387" t="s">
        <v>33</v>
      </c>
      <c r="C387">
        <v>1</v>
      </c>
      <c r="D387" t="s">
        <v>63</v>
      </c>
      <c r="E387" t="b">
        <v>0</v>
      </c>
      <c r="F387" s="1">
        <v>0.75763888888888886</v>
      </c>
      <c r="G387" s="1">
        <v>0.86875000000000002</v>
      </c>
      <c r="H387">
        <v>160</v>
      </c>
      <c r="I387" t="b">
        <v>1</v>
      </c>
      <c r="J387" t="b">
        <v>1</v>
      </c>
      <c r="K387" t="b">
        <v>1</v>
      </c>
      <c r="L387" t="s">
        <v>28</v>
      </c>
      <c r="M387">
        <v>30</v>
      </c>
      <c r="N387" t="s">
        <v>29</v>
      </c>
      <c r="O387">
        <v>30</v>
      </c>
      <c r="P387" t="s">
        <v>30</v>
      </c>
      <c r="Q387">
        <v>0.05</v>
      </c>
      <c r="R387">
        <v>28.5</v>
      </c>
      <c r="S387" t="s">
        <v>37</v>
      </c>
      <c r="T387" t="s">
        <v>48</v>
      </c>
      <c r="U387">
        <v>38.581600000000002</v>
      </c>
      <c r="V387">
        <v>-121.4944</v>
      </c>
      <c r="W387" s="2">
        <v>44975</v>
      </c>
      <c r="X387">
        <v>7</v>
      </c>
      <c r="Y387" t="b">
        <v>1</v>
      </c>
      <c r="Z387" s="2">
        <v>45812</v>
      </c>
      <c r="AA387" t="str">
        <f t="shared" ref="AA387:AA450" si="61">TEXT(10*INT($A387/10),"0")&amp;"–"&amp;TEXT(10*INT($A387/10)+9,"0")</f>
        <v>20–29</v>
      </c>
      <c r="AB387" t="str">
        <f t="shared" ref="AB387:AB450" si="62">IF(AND($AA387 = "10–19", $A387 &lt; 16), "Under 16", IF(AND($AA387 = "10–19", $A387 &gt;= 16), "16–19", $AA387))</f>
        <v>20–29</v>
      </c>
      <c r="AC387" t="str">
        <f t="shared" ref="AC387:AC450" si="63">IF(ISNUMBER(SEARCH("Mon", $D387)), "Monday", "")</f>
        <v/>
      </c>
      <c r="AD387" t="str">
        <f t="shared" ref="AD387:AD450" si="64">IF(ISNUMBER(SEARCH("Tue", $D387)), "Tuesday", "")</f>
        <v/>
      </c>
      <c r="AE387" t="str">
        <f t="shared" ref="AE387:AE450" si="65">IF(ISNUMBER(SEARCH("Wed", $D387)), "Wednesday", "")</f>
        <v>Wednesday</v>
      </c>
      <c r="AF387" t="str">
        <f t="shared" ref="AF387:AF450" si="66">IF(ISNUMBER(SEARCH("Thu", $D387)), "Thursday", "")</f>
        <v/>
      </c>
      <c r="AG387" t="str">
        <f t="shared" ref="AG387:AG450" si="67">IF(ISNUMBER(SEARCH("Fri", $D387)), "Friday", "")</f>
        <v/>
      </c>
      <c r="AH387" t="str">
        <f t="shared" ref="AH387:AH450" si="68">IF(ISNUMBER(SEARCH("Sat", $D387)), "Saturday", "")</f>
        <v/>
      </c>
      <c r="AI387" t="str">
        <f t="shared" ref="AI387:AI450" si="69">IF(ISNUMBER(SEARCH("Sun", $D387)), "Sunday", "")</f>
        <v/>
      </c>
      <c r="AJ387" t="str">
        <f>LEFT(Table1[[#This Row],[membership_type]],2)&amp;TEXT(Table1[[#This Row],[age]],"00")&amp;"-"&amp;TEXT(ROW(),"000")</f>
        <v>St21-387</v>
      </c>
      <c r="AK387" t="str">
        <f>LEFT(Table1[[#This Row],[membership_type]],1)&amp;TEXT(MATCH(Table1[[#This Row],[membership_type]],Table1[membership_type],0),"00")</f>
        <v>S02</v>
      </c>
      <c r="AL387" t="str">
        <f>LEFT(Table1[[#This Row],[discount_type]],1)&amp;TEXT(ROUND(Table1[[#This Row],[discount_rate]]*100,0),"00")</f>
        <v>P05</v>
      </c>
      <c r="AM387" t="str" cm="1">
        <f t="array" ref="AM387">TEXT(SUMPRODUCT(CODE(MID(Table1[[#This Row],[home_gym_location]],_xlfn.SEQUENCE(LEN(Table1[[#This Row],[home_gym_location]])),1))),"00000")</f>
        <v>01245</v>
      </c>
      <c r="AN38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387" t="str">
        <f>LEFT(_xlfn.TEXTBEFORE(Table1[[#This Row],[Location Identifier]],"-"),3) &amp; "-" &amp; _xlfn.TEXTAFTER(Table1[[#This Row],[Location Identifier]],"-")</f>
        <v>SAC-007</v>
      </c>
      <c r="AP387" s="9">
        <f t="shared" ca="1" si="60"/>
        <v>45869</v>
      </c>
    </row>
    <row r="388" spans="1:42" x14ac:dyDescent="0.25">
      <c r="A388">
        <v>38</v>
      </c>
      <c r="B388" t="s">
        <v>51</v>
      </c>
      <c r="C388">
        <v>3</v>
      </c>
      <c r="D388" t="s">
        <v>135</v>
      </c>
      <c r="E388" t="b">
        <v>1</v>
      </c>
      <c r="F388" s="1">
        <v>0.69513888888888886</v>
      </c>
      <c r="G388" s="1">
        <v>0.7416666666666667</v>
      </c>
      <c r="H388">
        <v>67</v>
      </c>
      <c r="I388" t="b">
        <v>1</v>
      </c>
      <c r="J388" t="b">
        <v>0</v>
      </c>
      <c r="K388" t="b">
        <v>1</v>
      </c>
      <c r="L388" t="s">
        <v>28</v>
      </c>
      <c r="M388">
        <v>70</v>
      </c>
      <c r="N388" t="s">
        <v>29</v>
      </c>
      <c r="O388">
        <v>70</v>
      </c>
      <c r="P388" t="s">
        <v>36</v>
      </c>
      <c r="Q388">
        <v>0</v>
      </c>
      <c r="R388">
        <v>70</v>
      </c>
      <c r="S388" t="s">
        <v>53</v>
      </c>
      <c r="T388" t="s">
        <v>32</v>
      </c>
      <c r="U388">
        <v>37.338200000000001</v>
      </c>
      <c r="V388">
        <v>-121.88630000000001</v>
      </c>
      <c r="W388" s="2">
        <v>45530</v>
      </c>
      <c r="X388">
        <v>0</v>
      </c>
      <c r="Y388" t="b">
        <v>1</v>
      </c>
      <c r="Z388" s="2">
        <v>45844</v>
      </c>
      <c r="AA388" t="str">
        <f t="shared" si="61"/>
        <v>30–39</v>
      </c>
      <c r="AB388" t="str">
        <f t="shared" si="62"/>
        <v>30–39</v>
      </c>
      <c r="AC388" t="str">
        <f t="shared" si="63"/>
        <v/>
      </c>
      <c r="AD388" t="str">
        <f t="shared" si="64"/>
        <v>Tuesday</v>
      </c>
      <c r="AE388" t="str">
        <f t="shared" si="65"/>
        <v>Wednesday</v>
      </c>
      <c r="AF388" t="str">
        <f t="shared" si="66"/>
        <v>Thursday</v>
      </c>
      <c r="AG388" t="str">
        <f t="shared" si="67"/>
        <v/>
      </c>
      <c r="AH388" t="str">
        <f t="shared" si="68"/>
        <v/>
      </c>
      <c r="AI388" t="str">
        <f t="shared" si="69"/>
        <v/>
      </c>
      <c r="AJ388" t="str">
        <f>LEFT(Table1[[#This Row],[membership_type]],2)&amp;TEXT(Table1[[#This Row],[age]],"00")&amp;"-"&amp;TEXT(ROW(),"000")</f>
        <v>El38-388</v>
      </c>
      <c r="AK388" t="str">
        <f>LEFT(Table1[[#This Row],[membership_type]],1)&amp;TEXT(MATCH(Table1[[#This Row],[membership_type]],Table1[membership_type],0),"00")</f>
        <v>E07</v>
      </c>
      <c r="AL388" t="str">
        <f>LEFT(Table1[[#This Row],[discount_type]],1)&amp;TEXT(ROUND(Table1[[#This Row],[discount_rate]]*100,0),"00")</f>
        <v>N00</v>
      </c>
      <c r="AM388" t="str" cm="1">
        <f t="array" ref="AM388">TEXT(SUMPRODUCT(CODE(MID(Table1[[#This Row],[home_gym_location]],_xlfn.SEQUENCE(LEN(Table1[[#This Row],[home_gym_location]])),1))),"00000")</f>
        <v>00931</v>
      </c>
      <c r="AN38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88" t="str">
        <f>LEFT(_xlfn.TEXTBEFORE(Table1[[#This Row],[Location Identifier]],"-"),3) &amp; "-" &amp; _xlfn.TEXTAFTER(Table1[[#This Row],[Location Identifier]],"-")</f>
        <v>SAN-010</v>
      </c>
      <c r="AP388" s="9">
        <f t="shared" ca="1" si="60"/>
        <v>45869</v>
      </c>
    </row>
    <row r="389" spans="1:42" x14ac:dyDescent="0.25">
      <c r="A389">
        <v>25</v>
      </c>
      <c r="B389" t="s">
        <v>26</v>
      </c>
      <c r="C389">
        <v>1</v>
      </c>
      <c r="D389" t="s">
        <v>95</v>
      </c>
      <c r="E389" t="b">
        <v>0</v>
      </c>
      <c r="F389" s="1">
        <v>0.66319444444444442</v>
      </c>
      <c r="G389" s="1">
        <v>0.70138888888888884</v>
      </c>
      <c r="H389">
        <v>55</v>
      </c>
      <c r="I389" t="b">
        <v>1</v>
      </c>
      <c r="J389" t="b">
        <v>0</v>
      </c>
      <c r="K389" t="b">
        <v>1</v>
      </c>
      <c r="L389" t="s">
        <v>28</v>
      </c>
      <c r="M389">
        <v>50</v>
      </c>
      <c r="N389" t="s">
        <v>29</v>
      </c>
      <c r="O389">
        <v>50</v>
      </c>
      <c r="P389" t="s">
        <v>36</v>
      </c>
      <c r="Q389">
        <v>0</v>
      </c>
      <c r="R389">
        <v>50</v>
      </c>
      <c r="S389" t="s">
        <v>31</v>
      </c>
      <c r="T389" t="s">
        <v>59</v>
      </c>
      <c r="U389">
        <v>37.774900000000002</v>
      </c>
      <c r="V389">
        <v>-122.4194</v>
      </c>
      <c r="W389" s="2">
        <v>45642</v>
      </c>
      <c r="X389">
        <v>0</v>
      </c>
      <c r="Y389" t="b">
        <v>1</v>
      </c>
      <c r="Z389" s="2">
        <v>45850</v>
      </c>
      <c r="AA389" t="str">
        <f t="shared" si="61"/>
        <v>20–29</v>
      </c>
      <c r="AB389" t="str">
        <f t="shared" si="62"/>
        <v>20–29</v>
      </c>
      <c r="AC389" t="str">
        <f t="shared" si="63"/>
        <v/>
      </c>
      <c r="AD389" t="str">
        <f t="shared" si="64"/>
        <v/>
      </c>
      <c r="AE389" t="str">
        <f t="shared" si="65"/>
        <v/>
      </c>
      <c r="AF389" t="str">
        <f t="shared" si="66"/>
        <v/>
      </c>
      <c r="AG389" t="str">
        <f t="shared" si="67"/>
        <v/>
      </c>
      <c r="AH389" t="str">
        <f t="shared" si="68"/>
        <v>Saturday</v>
      </c>
      <c r="AI389" t="str">
        <f t="shared" si="69"/>
        <v/>
      </c>
      <c r="AJ389" t="str">
        <f>LEFT(Table1[[#This Row],[membership_type]],2)&amp;TEXT(Table1[[#This Row],[age]],"00")&amp;"-"&amp;TEXT(ROW(),"000")</f>
        <v>Pr25-389</v>
      </c>
      <c r="AK389" t="str">
        <f>LEFT(Table1[[#This Row],[membership_type]],1)&amp;TEXT(MATCH(Table1[[#This Row],[membership_type]],Table1[membership_type],0),"00")</f>
        <v>P01</v>
      </c>
      <c r="AL389" t="str">
        <f>LEFT(Table1[[#This Row],[discount_type]],1)&amp;TEXT(ROUND(Table1[[#This Row],[discount_rate]]*100,0),"00")</f>
        <v>N00</v>
      </c>
      <c r="AM389" t="str" cm="1">
        <f t="array" ref="AM389">TEXT(SUMPRODUCT(CODE(MID(Table1[[#This Row],[home_gym_location]],_xlfn.SEQUENCE(LEN(Table1[[#This Row],[home_gym_location]])),1))),"00000")</f>
        <v>01450</v>
      </c>
      <c r="AN38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89" t="str">
        <f>LEFT(_xlfn.TEXTBEFORE(Table1[[#This Row],[Location Identifier]],"-"),3) &amp; "-" &amp; _xlfn.TEXTAFTER(Table1[[#This Row],[Location Identifier]],"-")</f>
        <v>SAN-009</v>
      </c>
      <c r="AP389" s="9">
        <f t="shared" ca="1" si="60"/>
        <v>45869</v>
      </c>
    </row>
    <row r="390" spans="1:42" x14ac:dyDescent="0.25">
      <c r="A390">
        <v>19</v>
      </c>
      <c r="B390" t="s">
        <v>33</v>
      </c>
      <c r="C390">
        <v>4</v>
      </c>
      <c r="D390" t="s">
        <v>143</v>
      </c>
      <c r="E390" t="b">
        <v>0</v>
      </c>
      <c r="F390" s="1">
        <v>0.79652777777777772</v>
      </c>
      <c r="G390" s="1">
        <v>0.83750000000000002</v>
      </c>
      <c r="H390">
        <v>59</v>
      </c>
      <c r="I390" t="b">
        <v>1</v>
      </c>
      <c r="J390" t="b">
        <v>1</v>
      </c>
      <c r="K390" t="b">
        <v>0</v>
      </c>
      <c r="L390" t="s">
        <v>28</v>
      </c>
      <c r="M390">
        <v>30</v>
      </c>
      <c r="N390" t="s">
        <v>29</v>
      </c>
      <c r="O390">
        <v>30</v>
      </c>
      <c r="P390" t="s">
        <v>40</v>
      </c>
      <c r="Q390">
        <v>0.1</v>
      </c>
      <c r="R390">
        <v>27</v>
      </c>
      <c r="S390" t="s">
        <v>37</v>
      </c>
      <c r="T390" t="s">
        <v>38</v>
      </c>
      <c r="U390">
        <v>36.7378</v>
      </c>
      <c r="V390">
        <v>-119.7871</v>
      </c>
      <c r="W390" s="2">
        <v>45031</v>
      </c>
      <c r="X390">
        <v>8</v>
      </c>
      <c r="Y390" t="b">
        <v>1</v>
      </c>
      <c r="Z390" s="2">
        <v>45815</v>
      </c>
      <c r="AA390" t="str">
        <f t="shared" si="61"/>
        <v>10–19</v>
      </c>
      <c r="AB390" t="str">
        <f t="shared" si="62"/>
        <v>16–19</v>
      </c>
      <c r="AC390" t="str">
        <f t="shared" si="63"/>
        <v>Monday</v>
      </c>
      <c r="AD390" t="str">
        <f t="shared" si="64"/>
        <v>Tuesday</v>
      </c>
      <c r="AE390" t="str">
        <f t="shared" si="65"/>
        <v>Wednesday</v>
      </c>
      <c r="AF390" t="str">
        <f t="shared" si="66"/>
        <v/>
      </c>
      <c r="AG390" t="str">
        <f t="shared" si="67"/>
        <v>Friday</v>
      </c>
      <c r="AH390" t="str">
        <f t="shared" si="68"/>
        <v/>
      </c>
      <c r="AI390" t="str">
        <f t="shared" si="69"/>
        <v/>
      </c>
      <c r="AJ390" t="str">
        <f>LEFT(Table1[[#This Row],[membership_type]],2)&amp;TEXT(Table1[[#This Row],[age]],"00")&amp;"-"&amp;TEXT(ROW(),"000")</f>
        <v>St19-390</v>
      </c>
      <c r="AK390" t="str">
        <f>LEFT(Table1[[#This Row],[membership_type]],1)&amp;TEXT(MATCH(Table1[[#This Row],[membership_type]],Table1[membership_type],0),"00")</f>
        <v>S02</v>
      </c>
      <c r="AL390" t="str">
        <f>LEFT(Table1[[#This Row],[discount_type]],1)&amp;TEXT(ROUND(Table1[[#This Row],[discount_rate]]*100,0),"00")</f>
        <v>L10</v>
      </c>
      <c r="AM390" t="str" cm="1">
        <f t="array" ref="AM390">TEXT(SUMPRODUCT(CODE(MID(Table1[[#This Row],[home_gym_location]],_xlfn.SEQUENCE(LEN(Table1[[#This Row],[home_gym_location]])),1))),"00000")</f>
        <v>00829</v>
      </c>
      <c r="AN390" t="str">
        <f>UPPER(_xlfn.TEXTBEFORE(Table1[[#This Row],[home_gym_location]],","))&amp;"-"&amp;TEXT(MATCH(Table1[[#This Row],[home_gym_location]],_xlfn._xlws.SORT(_xlfn.UNIQUE(Table1[home_gym_location])),0),"000")</f>
        <v>FRESNO-003</v>
      </c>
      <c r="AO390" t="str">
        <f>LEFT(_xlfn.TEXTBEFORE(Table1[[#This Row],[Location Identifier]],"-"),3) &amp; "-" &amp; _xlfn.TEXTAFTER(Table1[[#This Row],[Location Identifier]],"-")</f>
        <v>FRE-003</v>
      </c>
      <c r="AP390" s="9">
        <f t="shared" ca="1" si="60"/>
        <v>45869</v>
      </c>
    </row>
    <row r="391" spans="1:42" x14ac:dyDescent="0.25">
      <c r="A391">
        <v>40</v>
      </c>
      <c r="B391" t="s">
        <v>26</v>
      </c>
      <c r="C391">
        <v>3</v>
      </c>
      <c r="D391" t="s">
        <v>117</v>
      </c>
      <c r="E391" t="b">
        <v>0</v>
      </c>
      <c r="F391" s="1">
        <v>0.49861111111111112</v>
      </c>
      <c r="G391" s="1">
        <v>0.60486111111111107</v>
      </c>
      <c r="H391">
        <v>153</v>
      </c>
      <c r="I391" t="b">
        <v>1</v>
      </c>
      <c r="J391" t="b">
        <v>1</v>
      </c>
      <c r="K391" t="b">
        <v>0</v>
      </c>
      <c r="L391" t="s">
        <v>62</v>
      </c>
      <c r="M391">
        <v>50</v>
      </c>
      <c r="N391" t="s">
        <v>29</v>
      </c>
      <c r="O391">
        <v>50</v>
      </c>
      <c r="P391" t="s">
        <v>36</v>
      </c>
      <c r="Q391">
        <v>0</v>
      </c>
      <c r="R391">
        <v>50</v>
      </c>
      <c r="S391" t="s">
        <v>31</v>
      </c>
      <c r="T391" t="s">
        <v>65</v>
      </c>
      <c r="U391">
        <v>33.770099999999999</v>
      </c>
      <c r="V391">
        <v>-118.19370000000001</v>
      </c>
      <c r="W391" s="2">
        <v>44971</v>
      </c>
      <c r="X391">
        <v>3</v>
      </c>
      <c r="Y391" t="b">
        <v>0</v>
      </c>
      <c r="Z391" s="2">
        <v>45812</v>
      </c>
      <c r="AA391" t="str">
        <f t="shared" si="61"/>
        <v>40–49</v>
      </c>
      <c r="AB391" t="str">
        <f t="shared" si="62"/>
        <v>40–49</v>
      </c>
      <c r="AC391" t="str">
        <f t="shared" si="63"/>
        <v/>
      </c>
      <c r="AD391" t="str">
        <f t="shared" si="64"/>
        <v/>
      </c>
      <c r="AE391" t="str">
        <f t="shared" si="65"/>
        <v>Wednesday</v>
      </c>
      <c r="AF391" t="str">
        <f t="shared" si="66"/>
        <v>Thursday</v>
      </c>
      <c r="AG391" t="str">
        <f t="shared" si="67"/>
        <v/>
      </c>
      <c r="AH391" t="str">
        <f t="shared" si="68"/>
        <v/>
      </c>
      <c r="AI391" t="str">
        <f t="shared" si="69"/>
        <v>Sunday</v>
      </c>
      <c r="AJ391" t="str">
        <f>LEFT(Table1[[#This Row],[membership_type]],2)&amp;TEXT(Table1[[#This Row],[age]],"00")&amp;"-"&amp;TEXT(ROW(),"000")</f>
        <v>Pr40-391</v>
      </c>
      <c r="AK391" t="str">
        <f>LEFT(Table1[[#This Row],[membership_type]],1)&amp;TEXT(MATCH(Table1[[#This Row],[membership_type]],Table1[membership_type],0),"00")</f>
        <v>P01</v>
      </c>
      <c r="AL391" t="str">
        <f>LEFT(Table1[[#This Row],[discount_type]],1)&amp;TEXT(ROUND(Table1[[#This Row],[discount_rate]]*100,0),"00")</f>
        <v>N00</v>
      </c>
      <c r="AM391" t="str" cm="1">
        <f t="array" ref="AM391">TEXT(SUMPRODUCT(CODE(MID(Table1[[#This Row],[home_gym_location]],_xlfn.SEQUENCE(LEN(Table1[[#This Row],[home_gym_location]])),1))),"00000")</f>
        <v>01107</v>
      </c>
      <c r="AN39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91" t="str">
        <f>LEFT(_xlfn.TEXTBEFORE(Table1[[#This Row],[Location Identifier]],"-"),3) &amp; "-" &amp; _xlfn.TEXTAFTER(Table1[[#This Row],[Location Identifier]],"-")</f>
        <v>LON-004</v>
      </c>
      <c r="AP391" s="9">
        <f t="shared" ca="1" si="60"/>
        <v>45869</v>
      </c>
    </row>
    <row r="392" spans="1:42" x14ac:dyDescent="0.25">
      <c r="A392">
        <v>44</v>
      </c>
      <c r="B392" t="s">
        <v>26</v>
      </c>
      <c r="C392">
        <v>4</v>
      </c>
      <c r="D392" t="s">
        <v>105</v>
      </c>
      <c r="E392" t="b">
        <v>1</v>
      </c>
      <c r="F392" s="1">
        <v>0.79791666666666672</v>
      </c>
      <c r="G392" s="1">
        <v>0.91319444444444442</v>
      </c>
      <c r="H392">
        <v>166</v>
      </c>
      <c r="I392" t="b">
        <v>1</v>
      </c>
      <c r="J392" t="b">
        <v>0</v>
      </c>
      <c r="K392" t="b">
        <v>1</v>
      </c>
      <c r="L392" t="s">
        <v>62</v>
      </c>
      <c r="M392">
        <v>50</v>
      </c>
      <c r="N392" t="s">
        <v>29</v>
      </c>
      <c r="O392">
        <v>50</v>
      </c>
      <c r="P392" t="s">
        <v>40</v>
      </c>
      <c r="Q392">
        <v>0.1</v>
      </c>
      <c r="R392">
        <v>45</v>
      </c>
      <c r="S392" t="s">
        <v>31</v>
      </c>
      <c r="T392" t="s">
        <v>32</v>
      </c>
      <c r="U392">
        <v>37.338200000000001</v>
      </c>
      <c r="V392">
        <v>-121.88630000000001</v>
      </c>
      <c r="W392" s="2">
        <v>44776</v>
      </c>
      <c r="X392">
        <v>0</v>
      </c>
      <c r="Y392" t="b">
        <v>1</v>
      </c>
      <c r="Z392" s="2">
        <v>45801</v>
      </c>
      <c r="AA392" t="str">
        <f t="shared" si="61"/>
        <v>40–49</v>
      </c>
      <c r="AB392" t="str">
        <f t="shared" si="62"/>
        <v>40–49</v>
      </c>
      <c r="AC392" t="str">
        <f t="shared" si="63"/>
        <v>Monday</v>
      </c>
      <c r="AD392" t="str">
        <f t="shared" si="64"/>
        <v>Tuesday</v>
      </c>
      <c r="AE392" t="str">
        <f t="shared" si="65"/>
        <v>Wednesday</v>
      </c>
      <c r="AF392" t="str">
        <f t="shared" si="66"/>
        <v>Thursday</v>
      </c>
      <c r="AG392" t="str">
        <f t="shared" si="67"/>
        <v/>
      </c>
      <c r="AH392" t="str">
        <f t="shared" si="68"/>
        <v/>
      </c>
      <c r="AI392" t="str">
        <f t="shared" si="69"/>
        <v/>
      </c>
      <c r="AJ392" t="str">
        <f>LEFT(Table1[[#This Row],[membership_type]],2)&amp;TEXT(Table1[[#This Row],[age]],"00")&amp;"-"&amp;TEXT(ROW(),"000")</f>
        <v>Pr44-392</v>
      </c>
      <c r="AK392" t="str">
        <f>LEFT(Table1[[#This Row],[membership_type]],1)&amp;TEXT(MATCH(Table1[[#This Row],[membership_type]],Table1[membership_type],0),"00")</f>
        <v>P01</v>
      </c>
      <c r="AL392" t="str">
        <f>LEFT(Table1[[#This Row],[discount_type]],1)&amp;TEXT(ROUND(Table1[[#This Row],[discount_rate]]*100,0),"00")</f>
        <v>L10</v>
      </c>
      <c r="AM392" t="str" cm="1">
        <f t="array" ref="AM392">TEXT(SUMPRODUCT(CODE(MID(Table1[[#This Row],[home_gym_location]],_xlfn.SEQUENCE(LEN(Table1[[#This Row],[home_gym_location]])),1))),"00000")</f>
        <v>00931</v>
      </c>
      <c r="AN39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92" t="str">
        <f>LEFT(_xlfn.TEXTBEFORE(Table1[[#This Row],[Location Identifier]],"-"),3) &amp; "-" &amp; _xlfn.TEXTAFTER(Table1[[#This Row],[Location Identifier]],"-")</f>
        <v>SAN-010</v>
      </c>
      <c r="AP392" s="9">
        <f t="shared" ca="1" si="60"/>
        <v>45869</v>
      </c>
    </row>
    <row r="393" spans="1:42" x14ac:dyDescent="0.25">
      <c r="A393">
        <v>16</v>
      </c>
      <c r="B393" t="s">
        <v>51</v>
      </c>
      <c r="C393">
        <v>5</v>
      </c>
      <c r="D393" t="s">
        <v>145</v>
      </c>
      <c r="E393" t="b">
        <v>0</v>
      </c>
      <c r="F393" s="1">
        <v>0.69374999999999998</v>
      </c>
      <c r="G393" s="1">
        <v>0.77083333333333337</v>
      </c>
      <c r="H393">
        <v>111</v>
      </c>
      <c r="I393" t="b">
        <v>1</v>
      </c>
      <c r="J393" t="b">
        <v>0</v>
      </c>
      <c r="K393" t="b">
        <v>0</v>
      </c>
      <c r="L393" t="s">
        <v>28</v>
      </c>
      <c r="M393">
        <v>70</v>
      </c>
      <c r="N393" t="s">
        <v>29</v>
      </c>
      <c r="O393">
        <v>70</v>
      </c>
      <c r="P393" t="s">
        <v>30</v>
      </c>
      <c r="Q393">
        <v>0.05</v>
      </c>
      <c r="R393">
        <v>66.5</v>
      </c>
      <c r="S393" t="s">
        <v>53</v>
      </c>
      <c r="T393" t="s">
        <v>38</v>
      </c>
      <c r="U393">
        <v>36.7378</v>
      </c>
      <c r="V393">
        <v>-119.7871</v>
      </c>
      <c r="W393" s="2">
        <v>45391</v>
      </c>
      <c r="X393">
        <v>0</v>
      </c>
      <c r="Y393" t="b">
        <v>1</v>
      </c>
      <c r="Z393" s="2">
        <v>45836</v>
      </c>
      <c r="AA393" t="str">
        <f t="shared" si="61"/>
        <v>10–19</v>
      </c>
      <c r="AB393" t="str">
        <f t="shared" si="62"/>
        <v>16–19</v>
      </c>
      <c r="AC393" t="str">
        <f t="shared" si="63"/>
        <v>Monday</v>
      </c>
      <c r="AD393" t="str">
        <f t="shared" si="64"/>
        <v>Tuesday</v>
      </c>
      <c r="AE393" t="str">
        <f t="shared" si="65"/>
        <v>Wednesday</v>
      </c>
      <c r="AF393" t="str">
        <f t="shared" si="66"/>
        <v>Thursday</v>
      </c>
      <c r="AG393" t="str">
        <f t="shared" si="67"/>
        <v>Friday</v>
      </c>
      <c r="AH393" t="str">
        <f t="shared" si="68"/>
        <v/>
      </c>
      <c r="AI393" t="str">
        <f t="shared" si="69"/>
        <v/>
      </c>
      <c r="AJ393" t="str">
        <f>LEFT(Table1[[#This Row],[membership_type]],2)&amp;TEXT(Table1[[#This Row],[age]],"00")&amp;"-"&amp;TEXT(ROW(),"000")</f>
        <v>El16-393</v>
      </c>
      <c r="AK393" t="str">
        <f>LEFT(Table1[[#This Row],[membership_type]],1)&amp;TEXT(MATCH(Table1[[#This Row],[membership_type]],Table1[membership_type],0),"00")</f>
        <v>E07</v>
      </c>
      <c r="AL393" t="str">
        <f>LEFT(Table1[[#This Row],[discount_type]],1)&amp;TEXT(ROUND(Table1[[#This Row],[discount_rate]]*100,0),"00")</f>
        <v>P05</v>
      </c>
      <c r="AM393" t="str" cm="1">
        <f t="array" ref="AM393">TEXT(SUMPRODUCT(CODE(MID(Table1[[#This Row],[home_gym_location]],_xlfn.SEQUENCE(LEN(Table1[[#This Row],[home_gym_location]])),1))),"00000")</f>
        <v>00829</v>
      </c>
      <c r="AN393" t="str">
        <f>UPPER(_xlfn.TEXTBEFORE(Table1[[#This Row],[home_gym_location]],","))&amp;"-"&amp;TEXT(MATCH(Table1[[#This Row],[home_gym_location]],_xlfn._xlws.SORT(_xlfn.UNIQUE(Table1[home_gym_location])),0),"000")</f>
        <v>FRESNO-003</v>
      </c>
      <c r="AO393" t="str">
        <f>LEFT(_xlfn.TEXTBEFORE(Table1[[#This Row],[Location Identifier]],"-"),3) &amp; "-" &amp; _xlfn.TEXTAFTER(Table1[[#This Row],[Location Identifier]],"-")</f>
        <v>FRE-003</v>
      </c>
      <c r="AP393" s="9">
        <f t="shared" ca="1" si="60"/>
        <v>45869</v>
      </c>
    </row>
    <row r="394" spans="1:42" x14ac:dyDescent="0.25">
      <c r="A394">
        <v>28</v>
      </c>
      <c r="B394" t="s">
        <v>33</v>
      </c>
      <c r="C394">
        <v>3</v>
      </c>
      <c r="D394" t="s">
        <v>57</v>
      </c>
      <c r="E394" t="b">
        <v>0</v>
      </c>
      <c r="F394" s="1">
        <v>0.45</v>
      </c>
      <c r="G394" s="1">
        <v>0.50624999999999998</v>
      </c>
      <c r="H394">
        <v>81</v>
      </c>
      <c r="I394" t="b">
        <v>0</v>
      </c>
      <c r="J394" t="b">
        <v>0</v>
      </c>
      <c r="K394" t="b">
        <v>0</v>
      </c>
      <c r="L394" t="s">
        <v>28</v>
      </c>
      <c r="M394">
        <v>30</v>
      </c>
      <c r="N394" t="s">
        <v>29</v>
      </c>
      <c r="O394">
        <v>30</v>
      </c>
      <c r="P394" t="s">
        <v>30</v>
      </c>
      <c r="Q394">
        <v>0.05</v>
      </c>
      <c r="R394">
        <v>28.5</v>
      </c>
      <c r="S394" t="s">
        <v>37</v>
      </c>
      <c r="T394" t="s">
        <v>65</v>
      </c>
      <c r="U394">
        <v>33.770099999999999</v>
      </c>
      <c r="V394">
        <v>-118.19370000000001</v>
      </c>
      <c r="W394" s="2">
        <v>45434</v>
      </c>
      <c r="X394">
        <v>0</v>
      </c>
      <c r="Y394" t="b">
        <v>0</v>
      </c>
      <c r="Z394" s="2">
        <v>45838</v>
      </c>
      <c r="AA394" t="str">
        <f t="shared" si="61"/>
        <v>20–29</v>
      </c>
      <c r="AB394" t="str">
        <f t="shared" si="62"/>
        <v>20–29</v>
      </c>
      <c r="AC394" t="str">
        <f t="shared" si="63"/>
        <v/>
      </c>
      <c r="AD394" t="str">
        <f t="shared" si="64"/>
        <v/>
      </c>
      <c r="AE394" t="str">
        <f t="shared" si="65"/>
        <v>Wednesday</v>
      </c>
      <c r="AF394" t="str">
        <f t="shared" si="66"/>
        <v>Thursday</v>
      </c>
      <c r="AG394" t="str">
        <f t="shared" si="67"/>
        <v/>
      </c>
      <c r="AH394" t="str">
        <f t="shared" si="68"/>
        <v>Saturday</v>
      </c>
      <c r="AI394" t="str">
        <f t="shared" si="69"/>
        <v/>
      </c>
      <c r="AJ394" t="str">
        <f>LEFT(Table1[[#This Row],[membership_type]],2)&amp;TEXT(Table1[[#This Row],[age]],"00")&amp;"-"&amp;TEXT(ROW(),"000")</f>
        <v>St28-394</v>
      </c>
      <c r="AK394" t="str">
        <f>LEFT(Table1[[#This Row],[membership_type]],1)&amp;TEXT(MATCH(Table1[[#This Row],[membership_type]],Table1[membership_type],0),"00")</f>
        <v>S02</v>
      </c>
      <c r="AL394" t="str">
        <f>LEFT(Table1[[#This Row],[discount_type]],1)&amp;TEXT(ROUND(Table1[[#This Row],[discount_rate]]*100,0),"00")</f>
        <v>P05</v>
      </c>
      <c r="AM394" t="str" cm="1">
        <f t="array" ref="AM394">TEXT(SUMPRODUCT(CODE(MID(Table1[[#This Row],[home_gym_location]],_xlfn.SEQUENCE(LEN(Table1[[#This Row],[home_gym_location]])),1))),"00000")</f>
        <v>01107</v>
      </c>
      <c r="AN39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94" t="str">
        <f>LEFT(_xlfn.TEXTBEFORE(Table1[[#This Row],[Location Identifier]],"-"),3) &amp; "-" &amp; _xlfn.TEXTAFTER(Table1[[#This Row],[Location Identifier]],"-")</f>
        <v>LON-004</v>
      </c>
      <c r="AP394" s="9">
        <f t="shared" ca="1" si="60"/>
        <v>45869</v>
      </c>
    </row>
    <row r="395" spans="1:42" x14ac:dyDescent="0.25">
      <c r="A395">
        <v>27</v>
      </c>
      <c r="B395" t="s">
        <v>26</v>
      </c>
      <c r="C395">
        <v>1</v>
      </c>
      <c r="D395" t="s">
        <v>67</v>
      </c>
      <c r="E395" t="b">
        <v>0</v>
      </c>
      <c r="F395" s="1">
        <v>0.59513888888888888</v>
      </c>
      <c r="G395" s="1">
        <v>0.65416666666666667</v>
      </c>
      <c r="H395">
        <v>85</v>
      </c>
      <c r="I395" t="b">
        <v>0</v>
      </c>
      <c r="J395" t="b">
        <v>0</v>
      </c>
      <c r="K395" t="b">
        <v>0</v>
      </c>
      <c r="L395" t="s">
        <v>47</v>
      </c>
      <c r="M395">
        <v>50</v>
      </c>
      <c r="N395" t="s">
        <v>64</v>
      </c>
      <c r="O395">
        <v>37.5</v>
      </c>
      <c r="P395" t="s">
        <v>30</v>
      </c>
      <c r="Q395">
        <v>0.05</v>
      </c>
      <c r="R395">
        <v>35.625</v>
      </c>
      <c r="S395" t="s">
        <v>31</v>
      </c>
      <c r="T395" t="s">
        <v>56</v>
      </c>
      <c r="U395">
        <v>35.3733</v>
      </c>
      <c r="V395">
        <v>-119.0187</v>
      </c>
      <c r="W395" s="2">
        <v>45004</v>
      </c>
      <c r="X395">
        <v>0</v>
      </c>
      <c r="Y395" t="b">
        <v>1</v>
      </c>
      <c r="Z395" s="2">
        <v>45814</v>
      </c>
      <c r="AA395" t="str">
        <f t="shared" si="61"/>
        <v>20–29</v>
      </c>
      <c r="AB395" t="str">
        <f t="shared" si="62"/>
        <v>20–29</v>
      </c>
      <c r="AC395" t="str">
        <f t="shared" si="63"/>
        <v/>
      </c>
      <c r="AD395" t="str">
        <f t="shared" si="64"/>
        <v/>
      </c>
      <c r="AE395" t="str">
        <f t="shared" si="65"/>
        <v/>
      </c>
      <c r="AF395" t="str">
        <f t="shared" si="66"/>
        <v>Thursday</v>
      </c>
      <c r="AG395" t="str">
        <f t="shared" si="67"/>
        <v/>
      </c>
      <c r="AH395" t="str">
        <f t="shared" si="68"/>
        <v/>
      </c>
      <c r="AI395" t="str">
        <f t="shared" si="69"/>
        <v/>
      </c>
      <c r="AJ395" t="str">
        <f>LEFT(Table1[[#This Row],[membership_type]],2)&amp;TEXT(Table1[[#This Row],[age]],"00")&amp;"-"&amp;TEXT(ROW(),"000")</f>
        <v>Pr27-395</v>
      </c>
      <c r="AK395" t="str">
        <f>LEFT(Table1[[#This Row],[membership_type]],1)&amp;TEXT(MATCH(Table1[[#This Row],[membership_type]],Table1[membership_type],0),"00")</f>
        <v>P01</v>
      </c>
      <c r="AL395" t="str">
        <f>LEFT(Table1[[#This Row],[discount_type]],1)&amp;TEXT(ROUND(Table1[[#This Row],[discount_rate]]*100,0),"00")</f>
        <v>P05</v>
      </c>
      <c r="AM395" t="str" cm="1">
        <f t="array" ref="AM395">TEXT(SUMPRODUCT(CODE(MID(Table1[[#This Row],[home_gym_location]],_xlfn.SEQUENCE(LEN(Table1[[#This Row],[home_gym_location]])),1))),"00000")</f>
        <v>01324</v>
      </c>
      <c r="AN39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395" t="str">
        <f>LEFT(_xlfn.TEXTBEFORE(Table1[[#This Row],[Location Identifier]],"-"),3) &amp; "-" &amp; _xlfn.TEXTAFTER(Table1[[#This Row],[Location Identifier]],"-")</f>
        <v>BAK-002</v>
      </c>
      <c r="AP395" s="9">
        <f t="shared" ca="1" si="60"/>
        <v>45869</v>
      </c>
    </row>
    <row r="396" spans="1:42" x14ac:dyDescent="0.25">
      <c r="A396">
        <v>34</v>
      </c>
      <c r="B396" t="s">
        <v>33</v>
      </c>
      <c r="C396">
        <v>3</v>
      </c>
      <c r="D396" t="s">
        <v>114</v>
      </c>
      <c r="E396" t="b">
        <v>0</v>
      </c>
      <c r="F396" s="1">
        <v>0.46875</v>
      </c>
      <c r="G396" s="1">
        <v>0.55833333333333335</v>
      </c>
      <c r="H396">
        <v>129</v>
      </c>
      <c r="I396" t="b">
        <v>1</v>
      </c>
      <c r="J396" t="b">
        <v>1</v>
      </c>
      <c r="K396" t="b">
        <v>1</v>
      </c>
      <c r="L396" t="s">
        <v>62</v>
      </c>
      <c r="M396">
        <v>30</v>
      </c>
      <c r="N396" t="s">
        <v>29</v>
      </c>
      <c r="O396">
        <v>30</v>
      </c>
      <c r="P396" t="s">
        <v>30</v>
      </c>
      <c r="Q396">
        <v>0.05</v>
      </c>
      <c r="R396">
        <v>28.5</v>
      </c>
      <c r="S396" t="s">
        <v>37</v>
      </c>
      <c r="T396" t="s">
        <v>59</v>
      </c>
      <c r="U396">
        <v>37.774900000000002</v>
      </c>
      <c r="V396">
        <v>-122.4194</v>
      </c>
      <c r="W396" s="2">
        <v>45468</v>
      </c>
      <c r="X396">
        <v>5</v>
      </c>
      <c r="Y396" t="b">
        <v>1</v>
      </c>
      <c r="Z396" s="2">
        <v>45840</v>
      </c>
      <c r="AA396" t="str">
        <f t="shared" si="61"/>
        <v>30–39</v>
      </c>
      <c r="AB396" t="str">
        <f t="shared" si="62"/>
        <v>30–39</v>
      </c>
      <c r="AC396" t="str">
        <f t="shared" si="63"/>
        <v>Monday</v>
      </c>
      <c r="AD396" t="str">
        <f t="shared" si="64"/>
        <v>Tuesday</v>
      </c>
      <c r="AE396" t="str">
        <f t="shared" si="65"/>
        <v>Wednesday</v>
      </c>
      <c r="AF396" t="str">
        <f t="shared" si="66"/>
        <v/>
      </c>
      <c r="AG396" t="str">
        <f t="shared" si="67"/>
        <v/>
      </c>
      <c r="AH396" t="str">
        <f t="shared" si="68"/>
        <v/>
      </c>
      <c r="AI396" t="str">
        <f t="shared" si="69"/>
        <v/>
      </c>
      <c r="AJ396" t="str">
        <f>LEFT(Table1[[#This Row],[membership_type]],2)&amp;TEXT(Table1[[#This Row],[age]],"00")&amp;"-"&amp;TEXT(ROW(),"000")</f>
        <v>St34-396</v>
      </c>
      <c r="AK396" t="str">
        <f>LEFT(Table1[[#This Row],[membership_type]],1)&amp;TEXT(MATCH(Table1[[#This Row],[membership_type]],Table1[membership_type],0),"00")</f>
        <v>S02</v>
      </c>
      <c r="AL396" t="str">
        <f>LEFT(Table1[[#This Row],[discount_type]],1)&amp;TEXT(ROUND(Table1[[#This Row],[discount_rate]]*100,0),"00")</f>
        <v>P05</v>
      </c>
      <c r="AM396" t="str" cm="1">
        <f t="array" ref="AM396">TEXT(SUMPRODUCT(CODE(MID(Table1[[#This Row],[home_gym_location]],_xlfn.SEQUENCE(LEN(Table1[[#This Row],[home_gym_location]])),1))),"00000")</f>
        <v>01450</v>
      </c>
      <c r="AN39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96" t="str">
        <f>LEFT(_xlfn.TEXTBEFORE(Table1[[#This Row],[Location Identifier]],"-"),3) &amp; "-" &amp; _xlfn.TEXTAFTER(Table1[[#This Row],[Location Identifier]],"-")</f>
        <v>SAN-009</v>
      </c>
      <c r="AP396" s="9">
        <f t="shared" ca="1" si="60"/>
        <v>45869</v>
      </c>
    </row>
    <row r="397" spans="1:42" x14ac:dyDescent="0.25">
      <c r="A397">
        <v>27</v>
      </c>
      <c r="B397" t="s">
        <v>26</v>
      </c>
      <c r="C397">
        <v>2</v>
      </c>
      <c r="D397" t="s">
        <v>130</v>
      </c>
      <c r="E397" t="b">
        <v>1</v>
      </c>
      <c r="F397" s="1">
        <v>0.85555555555555551</v>
      </c>
      <c r="G397" s="1">
        <v>0.93055555555555558</v>
      </c>
      <c r="H397">
        <v>108</v>
      </c>
      <c r="I397" t="b">
        <v>1</v>
      </c>
      <c r="J397" t="b">
        <v>0</v>
      </c>
      <c r="K397" t="b">
        <v>0</v>
      </c>
      <c r="L397" t="s">
        <v>58</v>
      </c>
      <c r="M397">
        <v>50</v>
      </c>
      <c r="N397" t="s">
        <v>78</v>
      </c>
      <c r="O397">
        <v>45</v>
      </c>
      <c r="P397" t="s">
        <v>36</v>
      </c>
      <c r="Q397">
        <v>0</v>
      </c>
      <c r="R397">
        <v>45</v>
      </c>
      <c r="S397" t="s">
        <v>31</v>
      </c>
      <c r="T397" t="s">
        <v>65</v>
      </c>
      <c r="U397">
        <v>33.770099999999999</v>
      </c>
      <c r="V397">
        <v>-118.19370000000001</v>
      </c>
      <c r="W397" s="2">
        <v>44839</v>
      </c>
      <c r="X397">
        <v>0</v>
      </c>
      <c r="Y397" t="b">
        <v>1</v>
      </c>
      <c r="Z397" s="2">
        <v>45805</v>
      </c>
      <c r="AA397" t="str">
        <f t="shared" si="61"/>
        <v>20–29</v>
      </c>
      <c r="AB397" t="str">
        <f t="shared" si="62"/>
        <v>20–29</v>
      </c>
      <c r="AC397" t="str">
        <f t="shared" si="63"/>
        <v>Monday</v>
      </c>
      <c r="AD397" t="str">
        <f t="shared" si="64"/>
        <v/>
      </c>
      <c r="AE397" t="str">
        <f t="shared" si="65"/>
        <v/>
      </c>
      <c r="AF397" t="str">
        <f t="shared" si="66"/>
        <v>Thursday</v>
      </c>
      <c r="AG397" t="str">
        <f t="shared" si="67"/>
        <v/>
      </c>
      <c r="AH397" t="str">
        <f t="shared" si="68"/>
        <v/>
      </c>
      <c r="AI397" t="str">
        <f t="shared" si="69"/>
        <v/>
      </c>
      <c r="AJ397" t="str">
        <f>LEFT(Table1[[#This Row],[membership_type]],2)&amp;TEXT(Table1[[#This Row],[age]],"00")&amp;"-"&amp;TEXT(ROW(),"000")</f>
        <v>Pr27-397</v>
      </c>
      <c r="AK397" t="str">
        <f>LEFT(Table1[[#This Row],[membership_type]],1)&amp;TEXT(MATCH(Table1[[#This Row],[membership_type]],Table1[membership_type],0),"00")</f>
        <v>P01</v>
      </c>
      <c r="AL397" t="str">
        <f>LEFT(Table1[[#This Row],[discount_type]],1)&amp;TEXT(ROUND(Table1[[#This Row],[discount_rate]]*100,0),"00")</f>
        <v>N00</v>
      </c>
      <c r="AM397" t="str" cm="1">
        <f t="array" ref="AM397">TEXT(SUMPRODUCT(CODE(MID(Table1[[#This Row],[home_gym_location]],_xlfn.SEQUENCE(LEN(Table1[[#This Row],[home_gym_location]])),1))),"00000")</f>
        <v>01107</v>
      </c>
      <c r="AN39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397" t="str">
        <f>LEFT(_xlfn.TEXTBEFORE(Table1[[#This Row],[Location Identifier]],"-"),3) &amp; "-" &amp; _xlfn.TEXTAFTER(Table1[[#This Row],[Location Identifier]],"-")</f>
        <v>LON-004</v>
      </c>
      <c r="AP397" s="9">
        <f t="shared" ca="1" si="60"/>
        <v>45869</v>
      </c>
    </row>
    <row r="398" spans="1:42" x14ac:dyDescent="0.25">
      <c r="A398">
        <v>49</v>
      </c>
      <c r="B398" t="s">
        <v>26</v>
      </c>
      <c r="C398">
        <v>3</v>
      </c>
      <c r="D398" t="s">
        <v>106</v>
      </c>
      <c r="E398" t="b">
        <v>1</v>
      </c>
      <c r="F398" s="1">
        <v>0.85416666666666663</v>
      </c>
      <c r="G398" s="1">
        <v>0.89166666666666672</v>
      </c>
      <c r="H398">
        <v>54</v>
      </c>
      <c r="I398" t="b">
        <v>1</v>
      </c>
      <c r="J398" t="b">
        <v>1</v>
      </c>
      <c r="K398" t="b">
        <v>1</v>
      </c>
      <c r="L398" t="s">
        <v>28</v>
      </c>
      <c r="M398">
        <v>50</v>
      </c>
      <c r="N398" t="s">
        <v>29</v>
      </c>
      <c r="O398">
        <v>50</v>
      </c>
      <c r="P398" t="s">
        <v>40</v>
      </c>
      <c r="Q398">
        <v>0.1</v>
      </c>
      <c r="R398">
        <v>45</v>
      </c>
      <c r="S398" t="s">
        <v>31</v>
      </c>
      <c r="T398" t="s">
        <v>32</v>
      </c>
      <c r="U398">
        <v>37.338200000000001</v>
      </c>
      <c r="V398">
        <v>-121.88630000000001</v>
      </c>
      <c r="W398" s="2">
        <v>44916</v>
      </c>
      <c r="X398">
        <v>3</v>
      </c>
      <c r="Y398" t="b">
        <v>0</v>
      </c>
      <c r="Z398" s="2">
        <v>45809</v>
      </c>
      <c r="AA398" t="str">
        <f t="shared" si="61"/>
        <v>40–49</v>
      </c>
      <c r="AB398" t="str">
        <f t="shared" si="62"/>
        <v>40–49</v>
      </c>
      <c r="AC398" t="str">
        <f t="shared" si="63"/>
        <v/>
      </c>
      <c r="AD398" t="str">
        <f t="shared" si="64"/>
        <v/>
      </c>
      <c r="AE398" t="str">
        <f t="shared" si="65"/>
        <v>Wednesday</v>
      </c>
      <c r="AF398" t="str">
        <f t="shared" si="66"/>
        <v>Thursday</v>
      </c>
      <c r="AG398" t="str">
        <f t="shared" si="67"/>
        <v>Friday</v>
      </c>
      <c r="AH398" t="str">
        <f t="shared" si="68"/>
        <v/>
      </c>
      <c r="AI398" t="str">
        <f t="shared" si="69"/>
        <v/>
      </c>
      <c r="AJ398" t="str">
        <f>LEFT(Table1[[#This Row],[membership_type]],2)&amp;TEXT(Table1[[#This Row],[age]],"00")&amp;"-"&amp;TEXT(ROW(),"000")</f>
        <v>Pr49-398</v>
      </c>
      <c r="AK398" t="str">
        <f>LEFT(Table1[[#This Row],[membership_type]],1)&amp;TEXT(MATCH(Table1[[#This Row],[membership_type]],Table1[membership_type],0),"00")</f>
        <v>P01</v>
      </c>
      <c r="AL398" t="str">
        <f>LEFT(Table1[[#This Row],[discount_type]],1)&amp;TEXT(ROUND(Table1[[#This Row],[discount_rate]]*100,0),"00")</f>
        <v>L10</v>
      </c>
      <c r="AM398" t="str" cm="1">
        <f t="array" ref="AM398">TEXT(SUMPRODUCT(CODE(MID(Table1[[#This Row],[home_gym_location]],_xlfn.SEQUENCE(LEN(Table1[[#This Row],[home_gym_location]])),1))),"00000")</f>
        <v>00931</v>
      </c>
      <c r="AN39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398" t="str">
        <f>LEFT(_xlfn.TEXTBEFORE(Table1[[#This Row],[Location Identifier]],"-"),3) &amp; "-" &amp; _xlfn.TEXTAFTER(Table1[[#This Row],[Location Identifier]],"-")</f>
        <v>SAN-010</v>
      </c>
      <c r="AP398" s="9">
        <f t="shared" ca="1" si="60"/>
        <v>45869</v>
      </c>
    </row>
    <row r="399" spans="1:42" x14ac:dyDescent="0.25">
      <c r="A399">
        <v>45</v>
      </c>
      <c r="B399" t="s">
        <v>26</v>
      </c>
      <c r="C399">
        <v>3</v>
      </c>
      <c r="D399" t="s">
        <v>129</v>
      </c>
      <c r="E399" t="b">
        <v>0</v>
      </c>
      <c r="F399" s="1">
        <v>0.47222222222222221</v>
      </c>
      <c r="G399" s="1">
        <v>0.58888888888888891</v>
      </c>
      <c r="H399">
        <v>168</v>
      </c>
      <c r="I399" t="b">
        <v>0</v>
      </c>
      <c r="J399" t="b">
        <v>1</v>
      </c>
      <c r="K399" t="b">
        <v>1</v>
      </c>
      <c r="L399" t="s">
        <v>28</v>
      </c>
      <c r="M399">
        <v>50</v>
      </c>
      <c r="N399" t="s">
        <v>29</v>
      </c>
      <c r="O399">
        <v>50</v>
      </c>
      <c r="P399" t="s">
        <v>36</v>
      </c>
      <c r="Q399">
        <v>0</v>
      </c>
      <c r="R399">
        <v>50</v>
      </c>
      <c r="S399" t="s">
        <v>31</v>
      </c>
      <c r="T399" t="s">
        <v>59</v>
      </c>
      <c r="U399">
        <v>37.774900000000002</v>
      </c>
      <c r="V399">
        <v>-122.4194</v>
      </c>
      <c r="W399" s="2">
        <v>45374</v>
      </c>
      <c r="X399">
        <v>3</v>
      </c>
      <c r="Y399" t="b">
        <v>1</v>
      </c>
      <c r="Z399" s="2">
        <v>45835</v>
      </c>
      <c r="AA399" t="str">
        <f t="shared" si="61"/>
        <v>40–49</v>
      </c>
      <c r="AB399" t="str">
        <f t="shared" si="62"/>
        <v>40–49</v>
      </c>
      <c r="AC399" t="str">
        <f t="shared" si="63"/>
        <v/>
      </c>
      <c r="AD399" t="str">
        <f t="shared" si="64"/>
        <v>Tuesday</v>
      </c>
      <c r="AE399" t="str">
        <f t="shared" si="65"/>
        <v>Wednesday</v>
      </c>
      <c r="AF399" t="str">
        <f t="shared" si="66"/>
        <v/>
      </c>
      <c r="AG399" t="str">
        <f t="shared" si="67"/>
        <v/>
      </c>
      <c r="AH399" t="str">
        <f t="shared" si="68"/>
        <v/>
      </c>
      <c r="AI399" t="str">
        <f t="shared" si="69"/>
        <v>Sunday</v>
      </c>
      <c r="AJ399" t="str">
        <f>LEFT(Table1[[#This Row],[membership_type]],2)&amp;TEXT(Table1[[#This Row],[age]],"00")&amp;"-"&amp;TEXT(ROW(),"000")</f>
        <v>Pr45-399</v>
      </c>
      <c r="AK399" t="str">
        <f>LEFT(Table1[[#This Row],[membership_type]],1)&amp;TEXT(MATCH(Table1[[#This Row],[membership_type]],Table1[membership_type],0),"00")</f>
        <v>P01</v>
      </c>
      <c r="AL399" t="str">
        <f>LEFT(Table1[[#This Row],[discount_type]],1)&amp;TEXT(ROUND(Table1[[#This Row],[discount_rate]]*100,0),"00")</f>
        <v>N00</v>
      </c>
      <c r="AM399" t="str" cm="1">
        <f t="array" ref="AM399">TEXT(SUMPRODUCT(CODE(MID(Table1[[#This Row],[home_gym_location]],_xlfn.SEQUENCE(LEN(Table1[[#This Row],[home_gym_location]])),1))),"00000")</f>
        <v>01450</v>
      </c>
      <c r="AN39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399" t="str">
        <f>LEFT(_xlfn.TEXTBEFORE(Table1[[#This Row],[Location Identifier]],"-"),3) &amp; "-" &amp; _xlfn.TEXTAFTER(Table1[[#This Row],[Location Identifier]],"-")</f>
        <v>SAN-009</v>
      </c>
      <c r="AP399" s="9">
        <f t="shared" ca="1" si="60"/>
        <v>45869</v>
      </c>
    </row>
    <row r="400" spans="1:42" x14ac:dyDescent="0.25">
      <c r="A400">
        <v>49</v>
      </c>
      <c r="B400" t="s">
        <v>42</v>
      </c>
      <c r="C400">
        <v>3</v>
      </c>
      <c r="D400" t="s">
        <v>80</v>
      </c>
      <c r="E400" t="b">
        <v>0</v>
      </c>
      <c r="F400" s="1">
        <v>0.82222222222222219</v>
      </c>
      <c r="G400" s="1">
        <v>0.85138888888888886</v>
      </c>
      <c r="H400">
        <v>42</v>
      </c>
      <c r="I400" t="b">
        <v>1</v>
      </c>
      <c r="J400" t="b">
        <v>1</v>
      </c>
      <c r="K400" t="b">
        <v>1</v>
      </c>
      <c r="L400" t="s">
        <v>28</v>
      </c>
      <c r="M400">
        <v>20</v>
      </c>
      <c r="N400" t="s">
        <v>29</v>
      </c>
      <c r="O400">
        <v>20</v>
      </c>
      <c r="P400" t="s">
        <v>36</v>
      </c>
      <c r="Q400">
        <v>0</v>
      </c>
      <c r="R400">
        <v>20</v>
      </c>
      <c r="S400" t="s">
        <v>44</v>
      </c>
      <c r="T400" t="s">
        <v>48</v>
      </c>
      <c r="U400">
        <v>38.581600000000002</v>
      </c>
      <c r="V400">
        <v>-121.4944</v>
      </c>
      <c r="W400" s="2">
        <v>45031</v>
      </c>
      <c r="X400">
        <v>2</v>
      </c>
      <c r="Y400" t="b">
        <v>0</v>
      </c>
      <c r="Z400" s="2">
        <v>45815</v>
      </c>
      <c r="AA400" t="str">
        <f t="shared" si="61"/>
        <v>40–49</v>
      </c>
      <c r="AB400" t="str">
        <f t="shared" si="62"/>
        <v>40–49</v>
      </c>
      <c r="AC400" t="str">
        <f t="shared" si="63"/>
        <v>Monday</v>
      </c>
      <c r="AD400" t="str">
        <f t="shared" si="64"/>
        <v/>
      </c>
      <c r="AE400" t="str">
        <f t="shared" si="65"/>
        <v/>
      </c>
      <c r="AF400" t="str">
        <f t="shared" si="66"/>
        <v/>
      </c>
      <c r="AG400" t="str">
        <f t="shared" si="67"/>
        <v/>
      </c>
      <c r="AH400" t="str">
        <f t="shared" si="68"/>
        <v>Saturday</v>
      </c>
      <c r="AI400" t="str">
        <f t="shared" si="69"/>
        <v>Sunday</v>
      </c>
      <c r="AJ400" t="str">
        <f>LEFT(Table1[[#This Row],[membership_type]],2)&amp;TEXT(Table1[[#This Row],[age]],"00")&amp;"-"&amp;TEXT(ROW(),"000")</f>
        <v>Ba49-400</v>
      </c>
      <c r="AK400" t="str">
        <f>LEFT(Table1[[#This Row],[membership_type]],1)&amp;TEXT(MATCH(Table1[[#This Row],[membership_type]],Table1[membership_type],0),"00")</f>
        <v>B04</v>
      </c>
      <c r="AL400" t="str">
        <f>LEFT(Table1[[#This Row],[discount_type]],1)&amp;TEXT(ROUND(Table1[[#This Row],[discount_rate]]*100,0),"00")</f>
        <v>N00</v>
      </c>
      <c r="AM400" t="str" cm="1">
        <f t="array" ref="AM400">TEXT(SUMPRODUCT(CODE(MID(Table1[[#This Row],[home_gym_location]],_xlfn.SEQUENCE(LEN(Table1[[#This Row],[home_gym_location]])),1))),"00000")</f>
        <v>01245</v>
      </c>
      <c r="AN40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00" t="str">
        <f>LEFT(_xlfn.TEXTBEFORE(Table1[[#This Row],[Location Identifier]],"-"),3) &amp; "-" &amp; _xlfn.TEXTAFTER(Table1[[#This Row],[Location Identifier]],"-")</f>
        <v>SAC-007</v>
      </c>
      <c r="AP400" s="9">
        <f t="shared" ca="1" si="60"/>
        <v>45869</v>
      </c>
    </row>
    <row r="401" spans="1:42" x14ac:dyDescent="0.25">
      <c r="A401">
        <v>42</v>
      </c>
      <c r="B401" t="s">
        <v>26</v>
      </c>
      <c r="C401">
        <v>2</v>
      </c>
      <c r="D401" t="s">
        <v>108</v>
      </c>
      <c r="E401" t="b">
        <v>0</v>
      </c>
      <c r="F401" s="1">
        <v>0.8041666666666667</v>
      </c>
      <c r="G401" s="1">
        <v>0.90208333333333335</v>
      </c>
      <c r="H401">
        <v>141</v>
      </c>
      <c r="I401" t="b">
        <v>0</v>
      </c>
      <c r="J401" t="b">
        <v>1</v>
      </c>
      <c r="K401" t="b">
        <v>1</v>
      </c>
      <c r="L401" t="s">
        <v>62</v>
      </c>
      <c r="M401">
        <v>50</v>
      </c>
      <c r="N401" t="s">
        <v>29</v>
      </c>
      <c r="O401">
        <v>50</v>
      </c>
      <c r="P401" t="s">
        <v>36</v>
      </c>
      <c r="Q401">
        <v>0</v>
      </c>
      <c r="R401">
        <v>50</v>
      </c>
      <c r="S401" t="s">
        <v>31</v>
      </c>
      <c r="T401" t="s">
        <v>56</v>
      </c>
      <c r="U401">
        <v>35.3733</v>
      </c>
      <c r="V401">
        <v>-119.0187</v>
      </c>
      <c r="W401" s="2">
        <v>45027</v>
      </c>
      <c r="X401">
        <v>3</v>
      </c>
      <c r="Y401" t="b">
        <v>1</v>
      </c>
      <c r="Z401" s="2">
        <v>45815</v>
      </c>
      <c r="AA401" t="str">
        <f t="shared" si="61"/>
        <v>40–49</v>
      </c>
      <c r="AB401" t="str">
        <f t="shared" si="62"/>
        <v>40–49</v>
      </c>
      <c r="AC401" t="str">
        <f t="shared" si="63"/>
        <v/>
      </c>
      <c r="AD401" t="str">
        <f t="shared" si="64"/>
        <v>Tuesday</v>
      </c>
      <c r="AE401" t="str">
        <f t="shared" si="65"/>
        <v/>
      </c>
      <c r="AF401" t="str">
        <f t="shared" si="66"/>
        <v>Thursday</v>
      </c>
      <c r="AG401" t="str">
        <f t="shared" si="67"/>
        <v/>
      </c>
      <c r="AH401" t="str">
        <f t="shared" si="68"/>
        <v/>
      </c>
      <c r="AI401" t="str">
        <f t="shared" si="69"/>
        <v/>
      </c>
      <c r="AJ401" t="str">
        <f>LEFT(Table1[[#This Row],[membership_type]],2)&amp;TEXT(Table1[[#This Row],[age]],"00")&amp;"-"&amp;TEXT(ROW(),"000")</f>
        <v>Pr42-401</v>
      </c>
      <c r="AK401" t="str">
        <f>LEFT(Table1[[#This Row],[membership_type]],1)&amp;TEXT(MATCH(Table1[[#This Row],[membership_type]],Table1[membership_type],0),"00")</f>
        <v>P01</v>
      </c>
      <c r="AL401" t="str">
        <f>LEFT(Table1[[#This Row],[discount_type]],1)&amp;TEXT(ROUND(Table1[[#This Row],[discount_rate]]*100,0),"00")</f>
        <v>N00</v>
      </c>
      <c r="AM401" t="str" cm="1">
        <f t="array" ref="AM401">TEXT(SUMPRODUCT(CODE(MID(Table1[[#This Row],[home_gym_location]],_xlfn.SEQUENCE(LEN(Table1[[#This Row],[home_gym_location]])),1))),"00000")</f>
        <v>01324</v>
      </c>
      <c r="AN40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01" t="str">
        <f>LEFT(_xlfn.TEXTBEFORE(Table1[[#This Row],[Location Identifier]],"-"),3) &amp; "-" &amp; _xlfn.TEXTAFTER(Table1[[#This Row],[Location Identifier]],"-")</f>
        <v>BAK-002</v>
      </c>
      <c r="AP401" s="9">
        <f t="shared" ca="1" si="60"/>
        <v>45869</v>
      </c>
    </row>
    <row r="402" spans="1:42" x14ac:dyDescent="0.25">
      <c r="A402">
        <v>27</v>
      </c>
      <c r="B402" t="s">
        <v>33</v>
      </c>
      <c r="C402">
        <v>2</v>
      </c>
      <c r="D402" t="s">
        <v>126</v>
      </c>
      <c r="E402" t="b">
        <v>0</v>
      </c>
      <c r="F402" s="1">
        <v>0.76944444444444449</v>
      </c>
      <c r="G402" s="1">
        <v>0.84722222222222221</v>
      </c>
      <c r="H402">
        <v>112</v>
      </c>
      <c r="I402" t="b">
        <v>1</v>
      </c>
      <c r="J402" t="b">
        <v>0</v>
      </c>
      <c r="K402" t="b">
        <v>0</v>
      </c>
      <c r="L402" t="s">
        <v>28</v>
      </c>
      <c r="M402">
        <v>30</v>
      </c>
      <c r="N402" t="s">
        <v>29</v>
      </c>
      <c r="O402">
        <v>30</v>
      </c>
      <c r="P402" t="s">
        <v>74</v>
      </c>
      <c r="Q402">
        <v>0.15</v>
      </c>
      <c r="R402">
        <v>25.5</v>
      </c>
      <c r="S402" t="s">
        <v>37</v>
      </c>
      <c r="T402" t="s">
        <v>48</v>
      </c>
      <c r="U402">
        <v>38.581600000000002</v>
      </c>
      <c r="V402">
        <v>-121.4944</v>
      </c>
      <c r="W402" s="2">
        <v>45721</v>
      </c>
      <c r="X402">
        <v>0</v>
      </c>
      <c r="Y402" t="b">
        <v>0</v>
      </c>
      <c r="Z402" s="2">
        <v>45854</v>
      </c>
      <c r="AA402" t="str">
        <f t="shared" si="61"/>
        <v>20–29</v>
      </c>
      <c r="AB402" t="str">
        <f t="shared" si="62"/>
        <v>20–29</v>
      </c>
      <c r="AC402" t="str">
        <f t="shared" si="63"/>
        <v/>
      </c>
      <c r="AD402" t="str">
        <f t="shared" si="64"/>
        <v>Tuesday</v>
      </c>
      <c r="AE402" t="str">
        <f t="shared" si="65"/>
        <v>Wednesday</v>
      </c>
      <c r="AF402" t="str">
        <f t="shared" si="66"/>
        <v/>
      </c>
      <c r="AG402" t="str">
        <f t="shared" si="67"/>
        <v/>
      </c>
      <c r="AH402" t="str">
        <f t="shared" si="68"/>
        <v/>
      </c>
      <c r="AI402" t="str">
        <f t="shared" si="69"/>
        <v/>
      </c>
      <c r="AJ402" t="str">
        <f>LEFT(Table1[[#This Row],[membership_type]],2)&amp;TEXT(Table1[[#This Row],[age]],"00")&amp;"-"&amp;TEXT(ROW(),"000")</f>
        <v>St27-402</v>
      </c>
      <c r="AK402" t="str">
        <f>LEFT(Table1[[#This Row],[membership_type]],1)&amp;TEXT(MATCH(Table1[[#This Row],[membership_type]],Table1[membership_type],0),"00")</f>
        <v>S02</v>
      </c>
      <c r="AL402" t="str">
        <f>LEFT(Table1[[#This Row],[discount_type]],1)&amp;TEXT(ROUND(Table1[[#This Row],[discount_rate]]*100,0),"00")</f>
        <v>S15</v>
      </c>
      <c r="AM402" t="str" cm="1">
        <f t="array" ref="AM402">TEXT(SUMPRODUCT(CODE(MID(Table1[[#This Row],[home_gym_location]],_xlfn.SEQUENCE(LEN(Table1[[#This Row],[home_gym_location]])),1))),"00000")</f>
        <v>01245</v>
      </c>
      <c r="AN40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02" t="str">
        <f>LEFT(_xlfn.TEXTBEFORE(Table1[[#This Row],[Location Identifier]],"-"),3) &amp; "-" &amp; _xlfn.TEXTAFTER(Table1[[#This Row],[Location Identifier]],"-")</f>
        <v>SAC-007</v>
      </c>
      <c r="AP402" s="9">
        <f t="shared" ca="1" si="60"/>
        <v>45869</v>
      </c>
    </row>
    <row r="403" spans="1:42" x14ac:dyDescent="0.25">
      <c r="A403">
        <v>38</v>
      </c>
      <c r="B403" t="s">
        <v>51</v>
      </c>
      <c r="C403">
        <v>3</v>
      </c>
      <c r="D403" t="s">
        <v>133</v>
      </c>
      <c r="E403" t="b">
        <v>1</v>
      </c>
      <c r="F403" s="1">
        <v>0.53194444444444444</v>
      </c>
      <c r="G403" s="1">
        <v>0.5756944444444444</v>
      </c>
      <c r="H403">
        <v>63</v>
      </c>
      <c r="I403" t="b">
        <v>1</v>
      </c>
      <c r="J403" t="b">
        <v>1</v>
      </c>
      <c r="K403" t="b">
        <v>1</v>
      </c>
      <c r="L403" t="s">
        <v>62</v>
      </c>
      <c r="M403">
        <v>70</v>
      </c>
      <c r="N403" t="s">
        <v>78</v>
      </c>
      <c r="O403">
        <v>63</v>
      </c>
      <c r="P403" t="s">
        <v>36</v>
      </c>
      <c r="Q403">
        <v>0</v>
      </c>
      <c r="R403">
        <v>63</v>
      </c>
      <c r="S403" t="s">
        <v>53</v>
      </c>
      <c r="T403" t="s">
        <v>48</v>
      </c>
      <c r="U403">
        <v>38.581600000000002</v>
      </c>
      <c r="V403">
        <v>-121.4944</v>
      </c>
      <c r="W403" s="2">
        <v>44869</v>
      </c>
      <c r="X403">
        <v>8</v>
      </c>
      <c r="Y403" t="b">
        <v>1</v>
      </c>
      <c r="Z403" s="2">
        <v>45806</v>
      </c>
      <c r="AA403" t="str">
        <f t="shared" si="61"/>
        <v>30–39</v>
      </c>
      <c r="AB403" t="str">
        <f t="shared" si="62"/>
        <v>30–39</v>
      </c>
      <c r="AC403" t="str">
        <f t="shared" si="63"/>
        <v/>
      </c>
      <c r="AD403" t="str">
        <f t="shared" si="64"/>
        <v>Tuesday</v>
      </c>
      <c r="AE403" t="str">
        <f t="shared" si="65"/>
        <v>Wednesday</v>
      </c>
      <c r="AF403" t="str">
        <f t="shared" si="66"/>
        <v/>
      </c>
      <c r="AG403" t="str">
        <f t="shared" si="67"/>
        <v>Friday</v>
      </c>
      <c r="AH403" t="str">
        <f t="shared" si="68"/>
        <v/>
      </c>
      <c r="AI403" t="str">
        <f t="shared" si="69"/>
        <v/>
      </c>
      <c r="AJ403" t="str">
        <f>LEFT(Table1[[#This Row],[membership_type]],2)&amp;TEXT(Table1[[#This Row],[age]],"00")&amp;"-"&amp;TEXT(ROW(),"000")</f>
        <v>El38-403</v>
      </c>
      <c r="AK403" t="str">
        <f>LEFT(Table1[[#This Row],[membership_type]],1)&amp;TEXT(MATCH(Table1[[#This Row],[membership_type]],Table1[membership_type],0),"00")</f>
        <v>E07</v>
      </c>
      <c r="AL403" t="str">
        <f>LEFT(Table1[[#This Row],[discount_type]],1)&amp;TEXT(ROUND(Table1[[#This Row],[discount_rate]]*100,0),"00")</f>
        <v>N00</v>
      </c>
      <c r="AM403" t="str" cm="1">
        <f t="array" ref="AM403">TEXT(SUMPRODUCT(CODE(MID(Table1[[#This Row],[home_gym_location]],_xlfn.SEQUENCE(LEN(Table1[[#This Row],[home_gym_location]])),1))),"00000")</f>
        <v>01245</v>
      </c>
      <c r="AN40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03" t="str">
        <f>LEFT(_xlfn.TEXTBEFORE(Table1[[#This Row],[Location Identifier]],"-"),3) &amp; "-" &amp; _xlfn.TEXTAFTER(Table1[[#This Row],[Location Identifier]],"-")</f>
        <v>SAC-007</v>
      </c>
      <c r="AP403" s="9">
        <f t="shared" ca="1" si="60"/>
        <v>45869</v>
      </c>
    </row>
    <row r="404" spans="1:42" x14ac:dyDescent="0.25">
      <c r="A404">
        <v>21</v>
      </c>
      <c r="B404" t="s">
        <v>26</v>
      </c>
      <c r="C404">
        <v>2</v>
      </c>
      <c r="D404" t="s">
        <v>96</v>
      </c>
      <c r="E404" t="b">
        <v>1</v>
      </c>
      <c r="F404" s="1">
        <v>0.83263888888888893</v>
      </c>
      <c r="G404" s="1">
        <v>0.86319444444444449</v>
      </c>
      <c r="H404">
        <v>44</v>
      </c>
      <c r="I404" t="b">
        <v>0</v>
      </c>
      <c r="J404" t="b">
        <v>1</v>
      </c>
      <c r="K404" t="b">
        <v>0</v>
      </c>
      <c r="L404" t="s">
        <v>35</v>
      </c>
      <c r="M404">
        <v>50</v>
      </c>
      <c r="N404" t="s">
        <v>29</v>
      </c>
      <c r="O404">
        <v>50</v>
      </c>
      <c r="P404" t="s">
        <v>30</v>
      </c>
      <c r="Q404">
        <v>0.05</v>
      </c>
      <c r="R404">
        <v>47.5</v>
      </c>
      <c r="S404" t="s">
        <v>31</v>
      </c>
      <c r="T404" t="s">
        <v>54</v>
      </c>
      <c r="U404">
        <v>32.715699999999998</v>
      </c>
      <c r="V404">
        <v>-117.1611</v>
      </c>
      <c r="W404" s="2">
        <v>45292</v>
      </c>
      <c r="X404">
        <v>6</v>
      </c>
      <c r="Y404" t="b">
        <v>1</v>
      </c>
      <c r="Z404" s="2">
        <v>45830</v>
      </c>
      <c r="AA404" t="str">
        <f t="shared" si="61"/>
        <v>20–29</v>
      </c>
      <c r="AB404" t="str">
        <f t="shared" si="62"/>
        <v>20–29</v>
      </c>
      <c r="AC404" t="str">
        <f t="shared" si="63"/>
        <v/>
      </c>
      <c r="AD404" t="str">
        <f t="shared" si="64"/>
        <v/>
      </c>
      <c r="AE404" t="str">
        <f t="shared" si="65"/>
        <v/>
      </c>
      <c r="AF404" t="str">
        <f t="shared" si="66"/>
        <v>Thursday</v>
      </c>
      <c r="AG404" t="str">
        <f t="shared" si="67"/>
        <v>Friday</v>
      </c>
      <c r="AH404" t="str">
        <f t="shared" si="68"/>
        <v/>
      </c>
      <c r="AI404" t="str">
        <f t="shared" si="69"/>
        <v/>
      </c>
      <c r="AJ404" t="str">
        <f>LEFT(Table1[[#This Row],[membership_type]],2)&amp;TEXT(Table1[[#This Row],[age]],"00")&amp;"-"&amp;TEXT(ROW(),"000")</f>
        <v>Pr21-404</v>
      </c>
      <c r="AK404" t="str">
        <f>LEFT(Table1[[#This Row],[membership_type]],1)&amp;TEXT(MATCH(Table1[[#This Row],[membership_type]],Table1[membership_type],0),"00")</f>
        <v>P01</v>
      </c>
      <c r="AL404" t="str">
        <f>LEFT(Table1[[#This Row],[discount_type]],1)&amp;TEXT(ROUND(Table1[[#This Row],[discount_rate]]*100,0),"00")</f>
        <v>P05</v>
      </c>
      <c r="AM404" t="str" cm="1">
        <f t="array" ref="AM404">TEXT(SUMPRODUCT(CODE(MID(Table1[[#This Row],[home_gym_location]],_xlfn.SEQUENCE(LEN(Table1[[#This Row],[home_gym_location]])),1))),"00000")</f>
        <v>01018</v>
      </c>
      <c r="AN40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04" t="str">
        <f>LEFT(_xlfn.TEXTBEFORE(Table1[[#This Row],[Location Identifier]],"-"),3) &amp; "-" &amp; _xlfn.TEXTAFTER(Table1[[#This Row],[Location Identifier]],"-")</f>
        <v>SAN-008</v>
      </c>
      <c r="AP404" s="9">
        <f t="shared" ca="1" si="60"/>
        <v>45869</v>
      </c>
    </row>
    <row r="405" spans="1:42" x14ac:dyDescent="0.25">
      <c r="A405">
        <v>29</v>
      </c>
      <c r="B405" t="s">
        <v>33</v>
      </c>
      <c r="C405">
        <v>2</v>
      </c>
      <c r="D405" t="s">
        <v>61</v>
      </c>
      <c r="E405" t="b">
        <v>1</v>
      </c>
      <c r="F405" s="1">
        <v>0.83333333333333337</v>
      </c>
      <c r="G405" s="1">
        <v>0.90972222222222221</v>
      </c>
      <c r="H405">
        <v>110</v>
      </c>
      <c r="I405" t="b">
        <v>1</v>
      </c>
      <c r="J405" t="b">
        <v>1</v>
      </c>
      <c r="K405" t="b">
        <v>0</v>
      </c>
      <c r="L405" t="s">
        <v>62</v>
      </c>
      <c r="M405">
        <v>30</v>
      </c>
      <c r="N405" t="s">
        <v>29</v>
      </c>
      <c r="O405">
        <v>30</v>
      </c>
      <c r="P405" t="s">
        <v>36</v>
      </c>
      <c r="Q405">
        <v>0</v>
      </c>
      <c r="R405">
        <v>30</v>
      </c>
      <c r="S405" t="s">
        <v>37</v>
      </c>
      <c r="T405" t="s">
        <v>54</v>
      </c>
      <c r="U405">
        <v>32.715699999999998</v>
      </c>
      <c r="V405">
        <v>-117.1611</v>
      </c>
      <c r="W405" s="2">
        <v>44950</v>
      </c>
      <c r="X405">
        <v>1</v>
      </c>
      <c r="Y405" t="b">
        <v>0</v>
      </c>
      <c r="Z405" s="2">
        <v>45811</v>
      </c>
      <c r="AA405" t="str">
        <f t="shared" si="61"/>
        <v>20–29</v>
      </c>
      <c r="AB405" t="str">
        <f t="shared" si="62"/>
        <v>20–29</v>
      </c>
      <c r="AC405" t="str">
        <f t="shared" si="63"/>
        <v/>
      </c>
      <c r="AD405" t="str">
        <f t="shared" si="64"/>
        <v>Tuesday</v>
      </c>
      <c r="AE405" t="str">
        <f t="shared" si="65"/>
        <v/>
      </c>
      <c r="AF405" t="str">
        <f t="shared" si="66"/>
        <v/>
      </c>
      <c r="AG405" t="str">
        <f t="shared" si="67"/>
        <v/>
      </c>
      <c r="AH405" t="str">
        <f t="shared" si="68"/>
        <v>Saturday</v>
      </c>
      <c r="AI405" t="str">
        <f t="shared" si="69"/>
        <v/>
      </c>
      <c r="AJ405" t="str">
        <f>LEFT(Table1[[#This Row],[membership_type]],2)&amp;TEXT(Table1[[#This Row],[age]],"00")&amp;"-"&amp;TEXT(ROW(),"000")</f>
        <v>St29-405</v>
      </c>
      <c r="AK405" t="str">
        <f>LEFT(Table1[[#This Row],[membership_type]],1)&amp;TEXT(MATCH(Table1[[#This Row],[membership_type]],Table1[membership_type],0),"00")</f>
        <v>S02</v>
      </c>
      <c r="AL405" t="str">
        <f>LEFT(Table1[[#This Row],[discount_type]],1)&amp;TEXT(ROUND(Table1[[#This Row],[discount_rate]]*100,0),"00")</f>
        <v>N00</v>
      </c>
      <c r="AM405" t="str" cm="1">
        <f t="array" ref="AM405">TEXT(SUMPRODUCT(CODE(MID(Table1[[#This Row],[home_gym_location]],_xlfn.SEQUENCE(LEN(Table1[[#This Row],[home_gym_location]])),1))),"00000")</f>
        <v>01018</v>
      </c>
      <c r="AN40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05" t="str">
        <f>LEFT(_xlfn.TEXTBEFORE(Table1[[#This Row],[Location Identifier]],"-"),3) &amp; "-" &amp; _xlfn.TEXTAFTER(Table1[[#This Row],[Location Identifier]],"-")</f>
        <v>SAN-008</v>
      </c>
      <c r="AP405" s="9">
        <f t="shared" ca="1" si="60"/>
        <v>45869</v>
      </c>
    </row>
    <row r="406" spans="1:42" x14ac:dyDescent="0.25">
      <c r="A406">
        <v>33</v>
      </c>
      <c r="B406" t="s">
        <v>26</v>
      </c>
      <c r="C406">
        <v>3</v>
      </c>
      <c r="D406" t="s">
        <v>81</v>
      </c>
      <c r="E406" t="b">
        <v>1</v>
      </c>
      <c r="F406" s="1">
        <v>0.5493055555555556</v>
      </c>
      <c r="G406" s="1">
        <v>0.66388888888888886</v>
      </c>
      <c r="H406">
        <v>165</v>
      </c>
      <c r="I406" t="b">
        <v>1</v>
      </c>
      <c r="J406" t="b">
        <v>0</v>
      </c>
      <c r="K406" t="b">
        <v>0</v>
      </c>
      <c r="L406" t="s">
        <v>28</v>
      </c>
      <c r="M406">
        <v>50</v>
      </c>
      <c r="N406" t="s">
        <v>29</v>
      </c>
      <c r="O406">
        <v>50</v>
      </c>
      <c r="P406" t="s">
        <v>30</v>
      </c>
      <c r="Q406">
        <v>0.05</v>
      </c>
      <c r="R406">
        <v>47.5</v>
      </c>
      <c r="S406" t="s">
        <v>31</v>
      </c>
      <c r="T406" t="s">
        <v>48</v>
      </c>
      <c r="U406">
        <v>38.581600000000002</v>
      </c>
      <c r="V406">
        <v>-121.4944</v>
      </c>
      <c r="W406" s="2">
        <v>45490</v>
      </c>
      <c r="X406">
        <v>0</v>
      </c>
      <c r="Y406" t="b">
        <v>1</v>
      </c>
      <c r="Z406" s="2">
        <v>45841</v>
      </c>
      <c r="AA406" t="str">
        <f t="shared" si="61"/>
        <v>30–39</v>
      </c>
      <c r="AB406" t="str">
        <f t="shared" si="62"/>
        <v>30–39</v>
      </c>
      <c r="AC406" t="str">
        <f t="shared" si="63"/>
        <v>Monday</v>
      </c>
      <c r="AD406" t="str">
        <f t="shared" si="64"/>
        <v/>
      </c>
      <c r="AE406" t="str">
        <f t="shared" si="65"/>
        <v>Wednesday</v>
      </c>
      <c r="AF406" t="str">
        <f t="shared" si="66"/>
        <v/>
      </c>
      <c r="AG406" t="str">
        <f t="shared" si="67"/>
        <v>Friday</v>
      </c>
      <c r="AH406" t="str">
        <f t="shared" si="68"/>
        <v/>
      </c>
      <c r="AI406" t="str">
        <f t="shared" si="69"/>
        <v/>
      </c>
      <c r="AJ406" t="str">
        <f>LEFT(Table1[[#This Row],[membership_type]],2)&amp;TEXT(Table1[[#This Row],[age]],"00")&amp;"-"&amp;TEXT(ROW(),"000")</f>
        <v>Pr33-406</v>
      </c>
      <c r="AK406" t="str">
        <f>LEFT(Table1[[#This Row],[membership_type]],1)&amp;TEXT(MATCH(Table1[[#This Row],[membership_type]],Table1[membership_type],0),"00")</f>
        <v>P01</v>
      </c>
      <c r="AL406" t="str">
        <f>LEFT(Table1[[#This Row],[discount_type]],1)&amp;TEXT(ROUND(Table1[[#This Row],[discount_rate]]*100,0),"00")</f>
        <v>P05</v>
      </c>
      <c r="AM406" t="str" cm="1">
        <f t="array" ref="AM406">TEXT(SUMPRODUCT(CODE(MID(Table1[[#This Row],[home_gym_location]],_xlfn.SEQUENCE(LEN(Table1[[#This Row],[home_gym_location]])),1))),"00000")</f>
        <v>01245</v>
      </c>
      <c r="AN40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06" t="str">
        <f>LEFT(_xlfn.TEXTBEFORE(Table1[[#This Row],[Location Identifier]],"-"),3) &amp; "-" &amp; _xlfn.TEXTAFTER(Table1[[#This Row],[Location Identifier]],"-")</f>
        <v>SAC-007</v>
      </c>
      <c r="AP406" s="9">
        <f t="shared" ca="1" si="60"/>
        <v>45869</v>
      </c>
    </row>
    <row r="407" spans="1:42" x14ac:dyDescent="0.25">
      <c r="A407">
        <v>22</v>
      </c>
      <c r="B407" t="s">
        <v>42</v>
      </c>
      <c r="C407">
        <v>5</v>
      </c>
      <c r="D407" t="s">
        <v>77</v>
      </c>
      <c r="E407" t="b">
        <v>0</v>
      </c>
      <c r="F407" s="1">
        <v>0.38611111111111113</v>
      </c>
      <c r="G407" s="1">
        <v>0.50555555555555554</v>
      </c>
      <c r="H407">
        <v>172</v>
      </c>
      <c r="I407" t="b">
        <v>0</v>
      </c>
      <c r="J407" t="b">
        <v>1</v>
      </c>
      <c r="K407" t="b">
        <v>0</v>
      </c>
      <c r="L407" t="s">
        <v>28</v>
      </c>
      <c r="M407">
        <v>20</v>
      </c>
      <c r="N407" t="s">
        <v>78</v>
      </c>
      <c r="O407">
        <v>18</v>
      </c>
      <c r="P407" t="s">
        <v>36</v>
      </c>
      <c r="Q407">
        <v>0</v>
      </c>
      <c r="R407">
        <v>18</v>
      </c>
      <c r="S407" t="s">
        <v>44</v>
      </c>
      <c r="T407" t="s">
        <v>41</v>
      </c>
      <c r="U407">
        <v>37.804400000000001</v>
      </c>
      <c r="V407">
        <v>-122.27119999999999</v>
      </c>
      <c r="W407" s="2">
        <v>44877</v>
      </c>
      <c r="X407">
        <v>4</v>
      </c>
      <c r="Y407" t="b">
        <v>0</v>
      </c>
      <c r="Z407" s="2">
        <v>45807</v>
      </c>
      <c r="AA407" t="str">
        <f t="shared" si="61"/>
        <v>20–29</v>
      </c>
      <c r="AB407" t="str">
        <f t="shared" si="62"/>
        <v>20–29</v>
      </c>
      <c r="AC407" t="str">
        <f t="shared" si="63"/>
        <v/>
      </c>
      <c r="AD407" t="str">
        <f t="shared" si="64"/>
        <v>Tuesday</v>
      </c>
      <c r="AE407" t="str">
        <f t="shared" si="65"/>
        <v>Wednesday</v>
      </c>
      <c r="AF407" t="str">
        <f t="shared" si="66"/>
        <v>Thursday</v>
      </c>
      <c r="AG407" t="str">
        <f t="shared" si="67"/>
        <v>Friday</v>
      </c>
      <c r="AH407" t="str">
        <f t="shared" si="68"/>
        <v/>
      </c>
      <c r="AI407" t="str">
        <f t="shared" si="69"/>
        <v>Sunday</v>
      </c>
      <c r="AJ407" t="str">
        <f>LEFT(Table1[[#This Row],[membership_type]],2)&amp;TEXT(Table1[[#This Row],[age]],"00")&amp;"-"&amp;TEXT(ROW(),"000")</f>
        <v>Ba22-407</v>
      </c>
      <c r="AK407" t="str">
        <f>LEFT(Table1[[#This Row],[membership_type]],1)&amp;TEXT(MATCH(Table1[[#This Row],[membership_type]],Table1[membership_type],0),"00")</f>
        <v>B04</v>
      </c>
      <c r="AL407" t="str">
        <f>LEFT(Table1[[#This Row],[discount_type]],1)&amp;TEXT(ROUND(Table1[[#This Row],[discount_rate]]*100,0),"00")</f>
        <v>N00</v>
      </c>
      <c r="AM407" t="str" cm="1">
        <f t="array" ref="AM407">TEXT(SUMPRODUCT(CODE(MID(Table1[[#This Row],[home_gym_location]],_xlfn.SEQUENCE(LEN(Table1[[#This Row],[home_gym_location]])),1))),"00000")</f>
        <v>00906</v>
      </c>
      <c r="AN407" t="str">
        <f>UPPER(_xlfn.TEXTBEFORE(Table1[[#This Row],[home_gym_location]],","))&amp;"-"&amp;TEXT(MATCH(Table1[[#This Row],[home_gym_location]],_xlfn._xlws.SORT(_xlfn.UNIQUE(Table1[home_gym_location])),0),"000")</f>
        <v>OAKLAND-006</v>
      </c>
      <c r="AO407" t="str">
        <f>LEFT(_xlfn.TEXTBEFORE(Table1[[#This Row],[Location Identifier]],"-"),3) &amp; "-" &amp; _xlfn.TEXTAFTER(Table1[[#This Row],[Location Identifier]],"-")</f>
        <v>OAK-006</v>
      </c>
      <c r="AP407" s="9">
        <f t="shared" ca="1" si="60"/>
        <v>45869</v>
      </c>
    </row>
    <row r="408" spans="1:42" x14ac:dyDescent="0.25">
      <c r="A408">
        <v>37</v>
      </c>
      <c r="B408" t="s">
        <v>26</v>
      </c>
      <c r="C408">
        <v>1</v>
      </c>
      <c r="D408" t="s">
        <v>75</v>
      </c>
      <c r="E408" t="b">
        <v>1</v>
      </c>
      <c r="F408" s="1">
        <v>0.44166666666666665</v>
      </c>
      <c r="G408" s="1">
        <v>0.49722222222222223</v>
      </c>
      <c r="H408">
        <v>80</v>
      </c>
      <c r="I408" t="b">
        <v>1</v>
      </c>
      <c r="J408" t="b">
        <v>0</v>
      </c>
      <c r="K408" t="b">
        <v>1</v>
      </c>
      <c r="L408" t="s">
        <v>28</v>
      </c>
      <c r="M408">
        <v>50</v>
      </c>
      <c r="N408" t="s">
        <v>29</v>
      </c>
      <c r="O408">
        <v>50</v>
      </c>
      <c r="P408" t="s">
        <v>36</v>
      </c>
      <c r="Q408">
        <v>0</v>
      </c>
      <c r="R408">
        <v>50</v>
      </c>
      <c r="S408" t="s">
        <v>31</v>
      </c>
      <c r="T408" t="s">
        <v>41</v>
      </c>
      <c r="U408">
        <v>37.804400000000001</v>
      </c>
      <c r="V408">
        <v>-122.27119999999999</v>
      </c>
      <c r="W408" s="2">
        <v>45416</v>
      </c>
      <c r="X408">
        <v>0</v>
      </c>
      <c r="Y408" t="b">
        <v>1</v>
      </c>
      <c r="Z408" s="2">
        <v>45837</v>
      </c>
      <c r="AA408" t="str">
        <f t="shared" si="61"/>
        <v>30–39</v>
      </c>
      <c r="AB408" t="str">
        <f t="shared" si="62"/>
        <v>30–39</v>
      </c>
      <c r="AC408" t="str">
        <f t="shared" si="63"/>
        <v/>
      </c>
      <c r="AD408" t="str">
        <f t="shared" si="64"/>
        <v/>
      </c>
      <c r="AE408" t="str">
        <f t="shared" si="65"/>
        <v/>
      </c>
      <c r="AF408" t="str">
        <f t="shared" si="66"/>
        <v/>
      </c>
      <c r="AG408" t="str">
        <f t="shared" si="67"/>
        <v>Friday</v>
      </c>
      <c r="AH408" t="str">
        <f t="shared" si="68"/>
        <v/>
      </c>
      <c r="AI408" t="str">
        <f t="shared" si="69"/>
        <v/>
      </c>
      <c r="AJ408" t="str">
        <f>LEFT(Table1[[#This Row],[membership_type]],2)&amp;TEXT(Table1[[#This Row],[age]],"00")&amp;"-"&amp;TEXT(ROW(),"000")</f>
        <v>Pr37-408</v>
      </c>
      <c r="AK408" t="str">
        <f>LEFT(Table1[[#This Row],[membership_type]],1)&amp;TEXT(MATCH(Table1[[#This Row],[membership_type]],Table1[membership_type],0),"00")</f>
        <v>P01</v>
      </c>
      <c r="AL408" t="str">
        <f>LEFT(Table1[[#This Row],[discount_type]],1)&amp;TEXT(ROUND(Table1[[#This Row],[discount_rate]]*100,0),"00")</f>
        <v>N00</v>
      </c>
      <c r="AM408" t="str" cm="1">
        <f t="array" ref="AM408">TEXT(SUMPRODUCT(CODE(MID(Table1[[#This Row],[home_gym_location]],_xlfn.SEQUENCE(LEN(Table1[[#This Row],[home_gym_location]])),1))),"00000")</f>
        <v>00906</v>
      </c>
      <c r="AN408" t="str">
        <f>UPPER(_xlfn.TEXTBEFORE(Table1[[#This Row],[home_gym_location]],","))&amp;"-"&amp;TEXT(MATCH(Table1[[#This Row],[home_gym_location]],_xlfn._xlws.SORT(_xlfn.UNIQUE(Table1[home_gym_location])),0),"000")</f>
        <v>OAKLAND-006</v>
      </c>
      <c r="AO408" t="str">
        <f>LEFT(_xlfn.TEXTBEFORE(Table1[[#This Row],[Location Identifier]],"-"),3) &amp; "-" &amp; _xlfn.TEXTAFTER(Table1[[#This Row],[Location Identifier]],"-")</f>
        <v>OAK-006</v>
      </c>
      <c r="AP408" s="9">
        <f t="shared" ca="1" si="60"/>
        <v>45869</v>
      </c>
    </row>
    <row r="409" spans="1:42" x14ac:dyDescent="0.25">
      <c r="A409">
        <v>40</v>
      </c>
      <c r="B409" t="s">
        <v>26</v>
      </c>
      <c r="C409">
        <v>2</v>
      </c>
      <c r="D409" t="s">
        <v>27</v>
      </c>
      <c r="E409" t="b">
        <v>0</v>
      </c>
      <c r="F409" s="1">
        <v>0.36041666666666666</v>
      </c>
      <c r="G409" s="1">
        <v>0.44236111111111109</v>
      </c>
      <c r="H409">
        <v>118</v>
      </c>
      <c r="I409" t="b">
        <v>0</v>
      </c>
      <c r="J409" t="b">
        <v>0</v>
      </c>
      <c r="K409" t="b">
        <v>0</v>
      </c>
      <c r="L409" t="s">
        <v>28</v>
      </c>
      <c r="M409">
        <v>50</v>
      </c>
      <c r="N409" t="s">
        <v>29</v>
      </c>
      <c r="O409">
        <v>50</v>
      </c>
      <c r="P409" t="s">
        <v>30</v>
      </c>
      <c r="Q409">
        <v>0.05</v>
      </c>
      <c r="R409">
        <v>47.5</v>
      </c>
      <c r="S409" t="s">
        <v>31</v>
      </c>
      <c r="T409" t="s">
        <v>32</v>
      </c>
      <c r="U409">
        <v>37.338200000000001</v>
      </c>
      <c r="V409">
        <v>-121.88630000000001</v>
      </c>
      <c r="W409" s="2">
        <v>45819</v>
      </c>
      <c r="X409">
        <v>0</v>
      </c>
      <c r="Y409" t="b">
        <v>1</v>
      </c>
      <c r="Z409" s="2">
        <v>45860</v>
      </c>
      <c r="AA409" t="str">
        <f t="shared" si="61"/>
        <v>40–49</v>
      </c>
      <c r="AB409" t="str">
        <f t="shared" si="62"/>
        <v>40–49</v>
      </c>
      <c r="AC409" t="str">
        <f t="shared" si="63"/>
        <v/>
      </c>
      <c r="AD409" t="str">
        <f t="shared" si="64"/>
        <v/>
      </c>
      <c r="AE409" t="str">
        <f t="shared" si="65"/>
        <v/>
      </c>
      <c r="AF409" t="str">
        <f t="shared" si="66"/>
        <v>Thursday</v>
      </c>
      <c r="AG409" t="str">
        <f t="shared" si="67"/>
        <v/>
      </c>
      <c r="AH409" t="str">
        <f t="shared" si="68"/>
        <v>Saturday</v>
      </c>
      <c r="AI409" t="str">
        <f t="shared" si="69"/>
        <v/>
      </c>
      <c r="AJ409" t="str">
        <f>LEFT(Table1[[#This Row],[membership_type]],2)&amp;TEXT(Table1[[#This Row],[age]],"00")&amp;"-"&amp;TEXT(ROW(),"000")</f>
        <v>Pr40-409</v>
      </c>
      <c r="AK409" t="str">
        <f>LEFT(Table1[[#This Row],[membership_type]],1)&amp;TEXT(MATCH(Table1[[#This Row],[membership_type]],Table1[membership_type],0),"00")</f>
        <v>P01</v>
      </c>
      <c r="AL409" t="str">
        <f>LEFT(Table1[[#This Row],[discount_type]],1)&amp;TEXT(ROUND(Table1[[#This Row],[discount_rate]]*100,0),"00")</f>
        <v>P05</v>
      </c>
      <c r="AM409" t="str" cm="1">
        <f t="array" ref="AM409">TEXT(SUMPRODUCT(CODE(MID(Table1[[#This Row],[home_gym_location]],_xlfn.SEQUENCE(LEN(Table1[[#This Row],[home_gym_location]])),1))),"00000")</f>
        <v>00931</v>
      </c>
      <c r="AN40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09" t="str">
        <f>LEFT(_xlfn.TEXTBEFORE(Table1[[#This Row],[Location Identifier]],"-"),3) &amp; "-" &amp; _xlfn.TEXTAFTER(Table1[[#This Row],[Location Identifier]],"-")</f>
        <v>SAN-010</v>
      </c>
      <c r="AP409" s="9">
        <f t="shared" ca="1" si="60"/>
        <v>45869</v>
      </c>
    </row>
    <row r="410" spans="1:42" x14ac:dyDescent="0.25">
      <c r="A410">
        <v>29</v>
      </c>
      <c r="B410" t="s">
        <v>26</v>
      </c>
      <c r="C410">
        <v>2</v>
      </c>
      <c r="D410" t="s">
        <v>101</v>
      </c>
      <c r="E410" t="b">
        <v>1</v>
      </c>
      <c r="F410" s="1">
        <v>0.84375</v>
      </c>
      <c r="G410" s="1">
        <v>0.92013888888888884</v>
      </c>
      <c r="H410">
        <v>110</v>
      </c>
      <c r="I410" t="b">
        <v>0</v>
      </c>
      <c r="J410" t="b">
        <v>0</v>
      </c>
      <c r="K410" t="b">
        <v>1</v>
      </c>
      <c r="L410" t="s">
        <v>47</v>
      </c>
      <c r="M410">
        <v>50</v>
      </c>
      <c r="N410" t="s">
        <v>29</v>
      </c>
      <c r="O410">
        <v>50</v>
      </c>
      <c r="P410" t="s">
        <v>74</v>
      </c>
      <c r="Q410">
        <v>0.15</v>
      </c>
      <c r="R410">
        <v>42.5</v>
      </c>
      <c r="S410" t="s">
        <v>31</v>
      </c>
      <c r="T410" t="s">
        <v>38</v>
      </c>
      <c r="U410">
        <v>36.7378</v>
      </c>
      <c r="V410">
        <v>-119.7871</v>
      </c>
      <c r="W410" s="2">
        <v>44866</v>
      </c>
      <c r="X410">
        <v>0</v>
      </c>
      <c r="Y410" t="b">
        <v>0</v>
      </c>
      <c r="Z410" s="2">
        <v>45806</v>
      </c>
      <c r="AA410" t="str">
        <f t="shared" si="61"/>
        <v>20–29</v>
      </c>
      <c r="AB410" t="str">
        <f t="shared" si="62"/>
        <v>20–29</v>
      </c>
      <c r="AC410" t="str">
        <f t="shared" si="63"/>
        <v>Monday</v>
      </c>
      <c r="AD410" t="str">
        <f t="shared" si="64"/>
        <v/>
      </c>
      <c r="AE410" t="str">
        <f t="shared" si="65"/>
        <v/>
      </c>
      <c r="AF410" t="str">
        <f t="shared" si="66"/>
        <v/>
      </c>
      <c r="AG410" t="str">
        <f t="shared" si="67"/>
        <v>Friday</v>
      </c>
      <c r="AH410" t="str">
        <f t="shared" si="68"/>
        <v/>
      </c>
      <c r="AI410" t="str">
        <f t="shared" si="69"/>
        <v/>
      </c>
      <c r="AJ410" t="str">
        <f>LEFT(Table1[[#This Row],[membership_type]],2)&amp;TEXT(Table1[[#This Row],[age]],"00")&amp;"-"&amp;TEXT(ROW(),"000")</f>
        <v>Pr29-410</v>
      </c>
      <c r="AK410" t="str">
        <f>LEFT(Table1[[#This Row],[membership_type]],1)&amp;TEXT(MATCH(Table1[[#This Row],[membership_type]],Table1[membership_type],0),"00")</f>
        <v>P01</v>
      </c>
      <c r="AL410" t="str">
        <f>LEFT(Table1[[#This Row],[discount_type]],1)&amp;TEXT(ROUND(Table1[[#This Row],[discount_rate]]*100,0),"00")</f>
        <v>S15</v>
      </c>
      <c r="AM410" t="str" cm="1">
        <f t="array" ref="AM410">TEXT(SUMPRODUCT(CODE(MID(Table1[[#This Row],[home_gym_location]],_xlfn.SEQUENCE(LEN(Table1[[#This Row],[home_gym_location]])),1))),"00000")</f>
        <v>00829</v>
      </c>
      <c r="AN410" t="str">
        <f>UPPER(_xlfn.TEXTBEFORE(Table1[[#This Row],[home_gym_location]],","))&amp;"-"&amp;TEXT(MATCH(Table1[[#This Row],[home_gym_location]],_xlfn._xlws.SORT(_xlfn.UNIQUE(Table1[home_gym_location])),0),"000")</f>
        <v>FRESNO-003</v>
      </c>
      <c r="AO410" t="str">
        <f>LEFT(_xlfn.TEXTBEFORE(Table1[[#This Row],[Location Identifier]],"-"),3) &amp; "-" &amp; _xlfn.TEXTAFTER(Table1[[#This Row],[Location Identifier]],"-")</f>
        <v>FRE-003</v>
      </c>
      <c r="AP410" s="9">
        <f t="shared" ca="1" si="60"/>
        <v>45869</v>
      </c>
    </row>
    <row r="411" spans="1:42" x14ac:dyDescent="0.25">
      <c r="A411">
        <v>23</v>
      </c>
      <c r="B411" t="s">
        <v>26</v>
      </c>
      <c r="C411">
        <v>2</v>
      </c>
      <c r="D411" t="s">
        <v>126</v>
      </c>
      <c r="E411" t="b">
        <v>1</v>
      </c>
      <c r="F411" s="1">
        <v>0.73402777777777772</v>
      </c>
      <c r="G411" s="1">
        <v>0.83125000000000004</v>
      </c>
      <c r="H411">
        <v>140</v>
      </c>
      <c r="I411" t="b">
        <v>1</v>
      </c>
      <c r="J411" t="b">
        <v>1</v>
      </c>
      <c r="K411" t="b">
        <v>1</v>
      </c>
      <c r="L411" t="s">
        <v>58</v>
      </c>
      <c r="M411">
        <v>50</v>
      </c>
      <c r="N411" t="s">
        <v>64</v>
      </c>
      <c r="O411">
        <v>37.5</v>
      </c>
      <c r="P411" t="s">
        <v>30</v>
      </c>
      <c r="Q411">
        <v>0.05</v>
      </c>
      <c r="R411">
        <v>35.625</v>
      </c>
      <c r="S411" t="s">
        <v>31</v>
      </c>
      <c r="T411" t="s">
        <v>59</v>
      </c>
      <c r="U411">
        <v>37.774900000000002</v>
      </c>
      <c r="V411">
        <v>-122.4194</v>
      </c>
      <c r="W411" s="2">
        <v>45733</v>
      </c>
      <c r="X411">
        <v>1</v>
      </c>
      <c r="Y411" t="b">
        <v>0</v>
      </c>
      <c r="Z411" s="2">
        <v>45855</v>
      </c>
      <c r="AA411" t="str">
        <f t="shared" si="61"/>
        <v>20–29</v>
      </c>
      <c r="AB411" t="str">
        <f t="shared" si="62"/>
        <v>20–29</v>
      </c>
      <c r="AC411" t="str">
        <f t="shared" si="63"/>
        <v/>
      </c>
      <c r="AD411" t="str">
        <f t="shared" si="64"/>
        <v>Tuesday</v>
      </c>
      <c r="AE411" t="str">
        <f t="shared" si="65"/>
        <v>Wednesday</v>
      </c>
      <c r="AF411" t="str">
        <f t="shared" si="66"/>
        <v/>
      </c>
      <c r="AG411" t="str">
        <f t="shared" si="67"/>
        <v/>
      </c>
      <c r="AH411" t="str">
        <f t="shared" si="68"/>
        <v/>
      </c>
      <c r="AI411" t="str">
        <f t="shared" si="69"/>
        <v/>
      </c>
      <c r="AJ411" t="str">
        <f>LEFT(Table1[[#This Row],[membership_type]],2)&amp;TEXT(Table1[[#This Row],[age]],"00")&amp;"-"&amp;TEXT(ROW(),"000")</f>
        <v>Pr23-411</v>
      </c>
      <c r="AK411" t="str">
        <f>LEFT(Table1[[#This Row],[membership_type]],1)&amp;TEXT(MATCH(Table1[[#This Row],[membership_type]],Table1[membership_type],0),"00")</f>
        <v>P01</v>
      </c>
      <c r="AL411" t="str">
        <f>LEFT(Table1[[#This Row],[discount_type]],1)&amp;TEXT(ROUND(Table1[[#This Row],[discount_rate]]*100,0),"00")</f>
        <v>P05</v>
      </c>
      <c r="AM411" t="str" cm="1">
        <f t="array" ref="AM411">TEXT(SUMPRODUCT(CODE(MID(Table1[[#This Row],[home_gym_location]],_xlfn.SEQUENCE(LEN(Table1[[#This Row],[home_gym_location]])),1))),"00000")</f>
        <v>01450</v>
      </c>
      <c r="AN41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11" t="str">
        <f>LEFT(_xlfn.TEXTBEFORE(Table1[[#This Row],[Location Identifier]],"-"),3) &amp; "-" &amp; _xlfn.TEXTAFTER(Table1[[#This Row],[Location Identifier]],"-")</f>
        <v>SAN-009</v>
      </c>
      <c r="AP411" s="9">
        <f t="shared" ca="1" si="60"/>
        <v>45869</v>
      </c>
    </row>
    <row r="412" spans="1:42" x14ac:dyDescent="0.25">
      <c r="A412">
        <v>12</v>
      </c>
      <c r="B412" t="s">
        <v>33</v>
      </c>
      <c r="C412">
        <v>2</v>
      </c>
      <c r="D412" t="s">
        <v>139</v>
      </c>
      <c r="E412" t="b">
        <v>1</v>
      </c>
      <c r="F412" s="1">
        <v>0.58194444444444449</v>
      </c>
      <c r="G412" s="1">
        <v>0.66388888888888886</v>
      </c>
      <c r="H412">
        <v>118</v>
      </c>
      <c r="I412" t="b">
        <v>1</v>
      </c>
      <c r="J412" t="b">
        <v>1</v>
      </c>
      <c r="K412" t="b">
        <v>1</v>
      </c>
      <c r="L412" t="s">
        <v>35</v>
      </c>
      <c r="M412">
        <v>30</v>
      </c>
      <c r="N412" t="s">
        <v>29</v>
      </c>
      <c r="O412">
        <v>30</v>
      </c>
      <c r="P412" t="s">
        <v>30</v>
      </c>
      <c r="Q412">
        <v>0.05</v>
      </c>
      <c r="R412">
        <v>28.5</v>
      </c>
      <c r="S412" t="s">
        <v>37</v>
      </c>
      <c r="T412" t="s">
        <v>45</v>
      </c>
      <c r="U412">
        <v>33.836599999999997</v>
      </c>
      <c r="V412">
        <v>-117.9143</v>
      </c>
      <c r="W412" s="2">
        <v>45490</v>
      </c>
      <c r="X412">
        <v>7</v>
      </c>
      <c r="Y412" t="b">
        <v>0</v>
      </c>
      <c r="Z412" s="2">
        <v>45841</v>
      </c>
      <c r="AA412" t="str">
        <f t="shared" si="61"/>
        <v>10–19</v>
      </c>
      <c r="AB412" t="str">
        <f t="shared" si="62"/>
        <v>Under 16</v>
      </c>
      <c r="AC412" t="str">
        <f t="shared" si="63"/>
        <v/>
      </c>
      <c r="AD412" t="str">
        <f t="shared" si="64"/>
        <v/>
      </c>
      <c r="AE412" t="str">
        <f t="shared" si="65"/>
        <v>Wednesday</v>
      </c>
      <c r="AF412" t="str">
        <f t="shared" si="66"/>
        <v/>
      </c>
      <c r="AG412" t="str">
        <f t="shared" si="67"/>
        <v/>
      </c>
      <c r="AH412" t="str">
        <f t="shared" si="68"/>
        <v>Saturday</v>
      </c>
      <c r="AI412" t="str">
        <f t="shared" si="69"/>
        <v/>
      </c>
      <c r="AJ412" t="str">
        <f>LEFT(Table1[[#This Row],[membership_type]],2)&amp;TEXT(Table1[[#This Row],[age]],"00")&amp;"-"&amp;TEXT(ROW(),"000")</f>
        <v>St12-412</v>
      </c>
      <c r="AK412" t="str">
        <f>LEFT(Table1[[#This Row],[membership_type]],1)&amp;TEXT(MATCH(Table1[[#This Row],[membership_type]],Table1[membership_type],0),"00")</f>
        <v>S02</v>
      </c>
      <c r="AL412" t="str">
        <f>LEFT(Table1[[#This Row],[discount_type]],1)&amp;TEXT(ROUND(Table1[[#This Row],[discount_rate]]*100,0),"00")</f>
        <v>P05</v>
      </c>
      <c r="AM412" t="str" cm="1">
        <f t="array" ref="AM412">TEXT(SUMPRODUCT(CODE(MID(Table1[[#This Row],[home_gym_location]],_xlfn.SEQUENCE(LEN(Table1[[#This Row],[home_gym_location]])),1))),"00000")</f>
        <v>00899</v>
      </c>
      <c r="AN412" t="str">
        <f>UPPER(_xlfn.TEXTBEFORE(Table1[[#This Row],[home_gym_location]],","))&amp;"-"&amp;TEXT(MATCH(Table1[[#This Row],[home_gym_location]],_xlfn._xlws.SORT(_xlfn.UNIQUE(Table1[home_gym_location])),0),"000")</f>
        <v>ANAHEIM-001</v>
      </c>
      <c r="AO412" t="str">
        <f>LEFT(_xlfn.TEXTBEFORE(Table1[[#This Row],[Location Identifier]],"-"),3) &amp; "-" &amp; _xlfn.TEXTAFTER(Table1[[#This Row],[Location Identifier]],"-")</f>
        <v>ANA-001</v>
      </c>
      <c r="AP412" s="9">
        <f t="shared" ca="1" si="60"/>
        <v>45869</v>
      </c>
    </row>
    <row r="413" spans="1:42" x14ac:dyDescent="0.25">
      <c r="A413">
        <v>40</v>
      </c>
      <c r="B413" t="s">
        <v>33</v>
      </c>
      <c r="C413">
        <v>3</v>
      </c>
      <c r="D413" t="s">
        <v>122</v>
      </c>
      <c r="E413" t="b">
        <v>0</v>
      </c>
      <c r="F413" s="1">
        <v>0.47083333333333333</v>
      </c>
      <c r="G413" s="1">
        <v>0.58958333333333335</v>
      </c>
      <c r="H413">
        <v>171</v>
      </c>
      <c r="I413" t="b">
        <v>0</v>
      </c>
      <c r="J413" t="b">
        <v>1</v>
      </c>
      <c r="K413" t="b">
        <v>1</v>
      </c>
      <c r="L413" t="s">
        <v>28</v>
      </c>
      <c r="M413">
        <v>30</v>
      </c>
      <c r="N413" t="s">
        <v>64</v>
      </c>
      <c r="O413">
        <v>22.5</v>
      </c>
      <c r="P413" t="s">
        <v>36</v>
      </c>
      <c r="Q413">
        <v>0</v>
      </c>
      <c r="R413">
        <v>22.5</v>
      </c>
      <c r="S413" t="s">
        <v>37</v>
      </c>
      <c r="T413" t="s">
        <v>45</v>
      </c>
      <c r="U413">
        <v>33.836599999999997</v>
      </c>
      <c r="V413">
        <v>-117.9143</v>
      </c>
      <c r="W413" s="2">
        <v>44819</v>
      </c>
      <c r="X413">
        <v>8</v>
      </c>
      <c r="Y413" t="b">
        <v>0</v>
      </c>
      <c r="Z413" s="2">
        <v>45803</v>
      </c>
      <c r="AA413" t="str">
        <f t="shared" si="61"/>
        <v>40–49</v>
      </c>
      <c r="AB413" t="str">
        <f t="shared" si="62"/>
        <v>40–49</v>
      </c>
      <c r="AC413" t="str">
        <f t="shared" si="63"/>
        <v/>
      </c>
      <c r="AD413" t="str">
        <f t="shared" si="64"/>
        <v>Tuesday</v>
      </c>
      <c r="AE413" t="str">
        <f t="shared" si="65"/>
        <v/>
      </c>
      <c r="AF413" t="str">
        <f t="shared" si="66"/>
        <v/>
      </c>
      <c r="AG413" t="str">
        <f t="shared" si="67"/>
        <v>Friday</v>
      </c>
      <c r="AH413" t="str">
        <f t="shared" si="68"/>
        <v/>
      </c>
      <c r="AI413" t="str">
        <f t="shared" si="69"/>
        <v>Sunday</v>
      </c>
      <c r="AJ413" t="str">
        <f>LEFT(Table1[[#This Row],[membership_type]],2)&amp;TEXT(Table1[[#This Row],[age]],"00")&amp;"-"&amp;TEXT(ROW(),"000")</f>
        <v>St40-413</v>
      </c>
      <c r="AK413" t="str">
        <f>LEFT(Table1[[#This Row],[membership_type]],1)&amp;TEXT(MATCH(Table1[[#This Row],[membership_type]],Table1[membership_type],0),"00")</f>
        <v>S02</v>
      </c>
      <c r="AL413" t="str">
        <f>LEFT(Table1[[#This Row],[discount_type]],1)&amp;TEXT(ROUND(Table1[[#This Row],[discount_rate]]*100,0),"00")</f>
        <v>N00</v>
      </c>
      <c r="AM413" t="str" cm="1">
        <f t="array" ref="AM413">TEXT(SUMPRODUCT(CODE(MID(Table1[[#This Row],[home_gym_location]],_xlfn.SEQUENCE(LEN(Table1[[#This Row],[home_gym_location]])),1))),"00000")</f>
        <v>00899</v>
      </c>
      <c r="AN413" t="str">
        <f>UPPER(_xlfn.TEXTBEFORE(Table1[[#This Row],[home_gym_location]],","))&amp;"-"&amp;TEXT(MATCH(Table1[[#This Row],[home_gym_location]],_xlfn._xlws.SORT(_xlfn.UNIQUE(Table1[home_gym_location])),0),"000")</f>
        <v>ANAHEIM-001</v>
      </c>
      <c r="AO413" t="str">
        <f>LEFT(_xlfn.TEXTBEFORE(Table1[[#This Row],[Location Identifier]],"-"),3) &amp; "-" &amp; _xlfn.TEXTAFTER(Table1[[#This Row],[Location Identifier]],"-")</f>
        <v>ANA-001</v>
      </c>
      <c r="AP413" s="9">
        <f t="shared" ca="1" si="60"/>
        <v>45869</v>
      </c>
    </row>
    <row r="414" spans="1:42" x14ac:dyDescent="0.25">
      <c r="A414">
        <v>27</v>
      </c>
      <c r="B414" t="s">
        <v>33</v>
      </c>
      <c r="C414">
        <v>5</v>
      </c>
      <c r="D414" t="s">
        <v>66</v>
      </c>
      <c r="E414" t="b">
        <v>0</v>
      </c>
      <c r="F414" s="1">
        <v>0.76527777777777772</v>
      </c>
      <c r="G414" s="1">
        <v>0.7944444444444444</v>
      </c>
      <c r="H414">
        <v>42</v>
      </c>
      <c r="I414" t="b">
        <v>0</v>
      </c>
      <c r="J414" t="b">
        <v>0</v>
      </c>
      <c r="K414" t="b">
        <v>0</v>
      </c>
      <c r="L414" t="s">
        <v>35</v>
      </c>
      <c r="M414">
        <v>30</v>
      </c>
      <c r="N414" t="s">
        <v>64</v>
      </c>
      <c r="O414">
        <v>22.5</v>
      </c>
      <c r="P414" t="s">
        <v>36</v>
      </c>
      <c r="Q414">
        <v>0</v>
      </c>
      <c r="R414">
        <v>22.5</v>
      </c>
      <c r="S414" t="s">
        <v>37</v>
      </c>
      <c r="T414" t="s">
        <v>65</v>
      </c>
      <c r="U414">
        <v>33.770099999999999</v>
      </c>
      <c r="V414">
        <v>-118.19370000000001</v>
      </c>
      <c r="W414" s="2">
        <v>44818</v>
      </c>
      <c r="X414">
        <v>0</v>
      </c>
      <c r="Y414" t="b">
        <v>0</v>
      </c>
      <c r="Z414" s="2">
        <v>45803</v>
      </c>
      <c r="AA414" t="str">
        <f t="shared" si="61"/>
        <v>20–29</v>
      </c>
      <c r="AB414" t="str">
        <f t="shared" si="62"/>
        <v>20–29</v>
      </c>
      <c r="AC414" t="str">
        <f t="shared" si="63"/>
        <v>Monday</v>
      </c>
      <c r="AD414" t="str">
        <f t="shared" si="64"/>
        <v>Tuesday</v>
      </c>
      <c r="AE414" t="str">
        <f t="shared" si="65"/>
        <v>Wednesday</v>
      </c>
      <c r="AF414" t="str">
        <f t="shared" si="66"/>
        <v/>
      </c>
      <c r="AG414" t="str">
        <f t="shared" si="67"/>
        <v>Friday</v>
      </c>
      <c r="AH414" t="str">
        <f t="shared" si="68"/>
        <v/>
      </c>
      <c r="AI414" t="str">
        <f t="shared" si="69"/>
        <v>Sunday</v>
      </c>
      <c r="AJ414" t="str">
        <f>LEFT(Table1[[#This Row],[membership_type]],2)&amp;TEXT(Table1[[#This Row],[age]],"00")&amp;"-"&amp;TEXT(ROW(),"000")</f>
        <v>St27-414</v>
      </c>
      <c r="AK414" t="str">
        <f>LEFT(Table1[[#This Row],[membership_type]],1)&amp;TEXT(MATCH(Table1[[#This Row],[membership_type]],Table1[membership_type],0),"00")</f>
        <v>S02</v>
      </c>
      <c r="AL414" t="str">
        <f>LEFT(Table1[[#This Row],[discount_type]],1)&amp;TEXT(ROUND(Table1[[#This Row],[discount_rate]]*100,0),"00")</f>
        <v>N00</v>
      </c>
      <c r="AM414" t="str" cm="1">
        <f t="array" ref="AM414">TEXT(SUMPRODUCT(CODE(MID(Table1[[#This Row],[home_gym_location]],_xlfn.SEQUENCE(LEN(Table1[[#This Row],[home_gym_location]])),1))),"00000")</f>
        <v>01107</v>
      </c>
      <c r="AN41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14" t="str">
        <f>LEFT(_xlfn.TEXTBEFORE(Table1[[#This Row],[Location Identifier]],"-"),3) &amp; "-" &amp; _xlfn.TEXTAFTER(Table1[[#This Row],[Location Identifier]],"-")</f>
        <v>LON-004</v>
      </c>
      <c r="AP414" s="9">
        <f t="shared" ca="1" si="60"/>
        <v>45869</v>
      </c>
    </row>
    <row r="415" spans="1:42" x14ac:dyDescent="0.25">
      <c r="A415">
        <v>34</v>
      </c>
      <c r="B415" t="s">
        <v>33</v>
      </c>
      <c r="C415">
        <v>3</v>
      </c>
      <c r="D415" t="s">
        <v>133</v>
      </c>
      <c r="E415" t="b">
        <v>0</v>
      </c>
      <c r="F415" s="1">
        <v>0.60833333333333328</v>
      </c>
      <c r="G415" s="1">
        <v>0.66388888888888886</v>
      </c>
      <c r="H415">
        <v>80</v>
      </c>
      <c r="I415" t="b">
        <v>0</v>
      </c>
      <c r="J415" t="b">
        <v>1</v>
      </c>
      <c r="K415" t="b">
        <v>0</v>
      </c>
      <c r="L415" t="s">
        <v>35</v>
      </c>
      <c r="M415">
        <v>30</v>
      </c>
      <c r="N415" t="s">
        <v>29</v>
      </c>
      <c r="O415">
        <v>30</v>
      </c>
      <c r="P415" t="s">
        <v>74</v>
      </c>
      <c r="Q415">
        <v>0.15</v>
      </c>
      <c r="R415">
        <v>25.5</v>
      </c>
      <c r="S415" t="s">
        <v>37</v>
      </c>
      <c r="T415" t="s">
        <v>65</v>
      </c>
      <c r="U415">
        <v>33.770099999999999</v>
      </c>
      <c r="V415">
        <v>-118.19370000000001</v>
      </c>
      <c r="W415" s="2">
        <v>45220</v>
      </c>
      <c r="X415">
        <v>8</v>
      </c>
      <c r="Y415" t="b">
        <v>0</v>
      </c>
      <c r="Z415" s="2">
        <v>45826</v>
      </c>
      <c r="AA415" t="str">
        <f t="shared" si="61"/>
        <v>30–39</v>
      </c>
      <c r="AB415" t="str">
        <f t="shared" si="62"/>
        <v>30–39</v>
      </c>
      <c r="AC415" t="str">
        <f t="shared" si="63"/>
        <v/>
      </c>
      <c r="AD415" t="str">
        <f t="shared" si="64"/>
        <v>Tuesday</v>
      </c>
      <c r="AE415" t="str">
        <f t="shared" si="65"/>
        <v>Wednesday</v>
      </c>
      <c r="AF415" t="str">
        <f t="shared" si="66"/>
        <v/>
      </c>
      <c r="AG415" t="str">
        <f t="shared" si="67"/>
        <v>Friday</v>
      </c>
      <c r="AH415" t="str">
        <f t="shared" si="68"/>
        <v/>
      </c>
      <c r="AI415" t="str">
        <f t="shared" si="69"/>
        <v/>
      </c>
      <c r="AJ415" t="str">
        <f>LEFT(Table1[[#This Row],[membership_type]],2)&amp;TEXT(Table1[[#This Row],[age]],"00")&amp;"-"&amp;TEXT(ROW(),"000")</f>
        <v>St34-415</v>
      </c>
      <c r="AK415" t="str">
        <f>LEFT(Table1[[#This Row],[membership_type]],1)&amp;TEXT(MATCH(Table1[[#This Row],[membership_type]],Table1[membership_type],0),"00")</f>
        <v>S02</v>
      </c>
      <c r="AL415" t="str">
        <f>LEFT(Table1[[#This Row],[discount_type]],1)&amp;TEXT(ROUND(Table1[[#This Row],[discount_rate]]*100,0),"00")</f>
        <v>S15</v>
      </c>
      <c r="AM415" t="str" cm="1">
        <f t="array" ref="AM415">TEXT(SUMPRODUCT(CODE(MID(Table1[[#This Row],[home_gym_location]],_xlfn.SEQUENCE(LEN(Table1[[#This Row],[home_gym_location]])),1))),"00000")</f>
        <v>01107</v>
      </c>
      <c r="AN41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15" t="str">
        <f>LEFT(_xlfn.TEXTBEFORE(Table1[[#This Row],[Location Identifier]],"-"),3) &amp; "-" &amp; _xlfn.TEXTAFTER(Table1[[#This Row],[Location Identifier]],"-")</f>
        <v>LON-004</v>
      </c>
      <c r="AP415" s="9">
        <f t="shared" ca="1" si="60"/>
        <v>45869</v>
      </c>
    </row>
    <row r="416" spans="1:42" x14ac:dyDescent="0.25">
      <c r="A416">
        <v>14</v>
      </c>
      <c r="B416" t="s">
        <v>26</v>
      </c>
      <c r="C416">
        <v>3</v>
      </c>
      <c r="D416" t="s">
        <v>133</v>
      </c>
      <c r="E416" t="b">
        <v>0</v>
      </c>
      <c r="F416" s="1">
        <v>0.86944444444444446</v>
      </c>
      <c r="G416" s="1">
        <v>0.91805555555555551</v>
      </c>
      <c r="H416">
        <v>70</v>
      </c>
      <c r="I416" t="b">
        <v>1</v>
      </c>
      <c r="J416" t="b">
        <v>1</v>
      </c>
      <c r="K416" t="b">
        <v>1</v>
      </c>
      <c r="L416" t="s">
        <v>62</v>
      </c>
      <c r="M416">
        <v>50</v>
      </c>
      <c r="N416" t="s">
        <v>29</v>
      </c>
      <c r="O416">
        <v>50</v>
      </c>
      <c r="P416" t="s">
        <v>74</v>
      </c>
      <c r="Q416">
        <v>0.15</v>
      </c>
      <c r="R416">
        <v>42.5</v>
      </c>
      <c r="S416" t="s">
        <v>31</v>
      </c>
      <c r="T416" t="s">
        <v>38</v>
      </c>
      <c r="U416">
        <v>36.7378</v>
      </c>
      <c r="V416">
        <v>-119.7871</v>
      </c>
      <c r="W416" s="2">
        <v>45158</v>
      </c>
      <c r="X416">
        <v>5</v>
      </c>
      <c r="Y416" t="b">
        <v>1</v>
      </c>
      <c r="Z416" s="2">
        <v>45823</v>
      </c>
      <c r="AA416" t="str">
        <f t="shared" si="61"/>
        <v>10–19</v>
      </c>
      <c r="AB416" t="str">
        <f t="shared" si="62"/>
        <v>Under 16</v>
      </c>
      <c r="AC416" t="str">
        <f t="shared" si="63"/>
        <v/>
      </c>
      <c r="AD416" t="str">
        <f t="shared" si="64"/>
        <v>Tuesday</v>
      </c>
      <c r="AE416" t="str">
        <f t="shared" si="65"/>
        <v>Wednesday</v>
      </c>
      <c r="AF416" t="str">
        <f t="shared" si="66"/>
        <v/>
      </c>
      <c r="AG416" t="str">
        <f t="shared" si="67"/>
        <v>Friday</v>
      </c>
      <c r="AH416" t="str">
        <f t="shared" si="68"/>
        <v/>
      </c>
      <c r="AI416" t="str">
        <f t="shared" si="69"/>
        <v/>
      </c>
      <c r="AJ416" t="str">
        <f>LEFT(Table1[[#This Row],[membership_type]],2)&amp;TEXT(Table1[[#This Row],[age]],"00")&amp;"-"&amp;TEXT(ROW(),"000")</f>
        <v>Pr14-416</v>
      </c>
      <c r="AK416" t="str">
        <f>LEFT(Table1[[#This Row],[membership_type]],1)&amp;TEXT(MATCH(Table1[[#This Row],[membership_type]],Table1[membership_type],0),"00")</f>
        <v>P01</v>
      </c>
      <c r="AL416" t="str">
        <f>LEFT(Table1[[#This Row],[discount_type]],1)&amp;TEXT(ROUND(Table1[[#This Row],[discount_rate]]*100,0),"00")</f>
        <v>S15</v>
      </c>
      <c r="AM416" t="str" cm="1">
        <f t="array" ref="AM416">TEXT(SUMPRODUCT(CODE(MID(Table1[[#This Row],[home_gym_location]],_xlfn.SEQUENCE(LEN(Table1[[#This Row],[home_gym_location]])),1))),"00000")</f>
        <v>00829</v>
      </c>
      <c r="AN416" t="str">
        <f>UPPER(_xlfn.TEXTBEFORE(Table1[[#This Row],[home_gym_location]],","))&amp;"-"&amp;TEXT(MATCH(Table1[[#This Row],[home_gym_location]],_xlfn._xlws.SORT(_xlfn.UNIQUE(Table1[home_gym_location])),0),"000")</f>
        <v>FRESNO-003</v>
      </c>
      <c r="AO416" t="str">
        <f>LEFT(_xlfn.TEXTBEFORE(Table1[[#This Row],[Location Identifier]],"-"),3) &amp; "-" &amp; _xlfn.TEXTAFTER(Table1[[#This Row],[Location Identifier]],"-")</f>
        <v>FRE-003</v>
      </c>
      <c r="AP416" s="9">
        <f t="shared" ca="1" si="60"/>
        <v>45869</v>
      </c>
    </row>
    <row r="417" spans="1:42" x14ac:dyDescent="0.25">
      <c r="A417">
        <v>43</v>
      </c>
      <c r="B417" t="s">
        <v>26</v>
      </c>
      <c r="C417">
        <v>1</v>
      </c>
      <c r="D417" t="s">
        <v>97</v>
      </c>
      <c r="E417" t="b">
        <v>0</v>
      </c>
      <c r="F417" s="1">
        <v>0.62777777777777777</v>
      </c>
      <c r="G417" s="1">
        <v>0.71180555555555558</v>
      </c>
      <c r="H417">
        <v>121</v>
      </c>
      <c r="I417" t="b">
        <v>0</v>
      </c>
      <c r="J417" t="b">
        <v>1</v>
      </c>
      <c r="K417" t="b">
        <v>0</v>
      </c>
      <c r="L417" t="s">
        <v>47</v>
      </c>
      <c r="M417">
        <v>50</v>
      </c>
      <c r="N417" t="s">
        <v>64</v>
      </c>
      <c r="O417">
        <v>37.5</v>
      </c>
      <c r="P417" t="s">
        <v>74</v>
      </c>
      <c r="Q417">
        <v>0.15</v>
      </c>
      <c r="R417">
        <v>31.875</v>
      </c>
      <c r="S417" t="s">
        <v>31</v>
      </c>
      <c r="T417" t="s">
        <v>41</v>
      </c>
      <c r="U417">
        <v>37.804400000000001</v>
      </c>
      <c r="V417">
        <v>-122.27119999999999</v>
      </c>
      <c r="W417" s="2">
        <v>45353</v>
      </c>
      <c r="X417">
        <v>8</v>
      </c>
      <c r="Y417" t="b">
        <v>1</v>
      </c>
      <c r="Z417" s="2">
        <v>45834</v>
      </c>
      <c r="AA417" t="str">
        <f t="shared" si="61"/>
        <v>40–49</v>
      </c>
      <c r="AB417" t="str">
        <f t="shared" si="62"/>
        <v>40–49</v>
      </c>
      <c r="AC417" t="str">
        <f t="shared" si="63"/>
        <v>Monday</v>
      </c>
      <c r="AD417" t="str">
        <f t="shared" si="64"/>
        <v/>
      </c>
      <c r="AE417" t="str">
        <f t="shared" si="65"/>
        <v/>
      </c>
      <c r="AF417" t="str">
        <f t="shared" si="66"/>
        <v/>
      </c>
      <c r="AG417" t="str">
        <f t="shared" si="67"/>
        <v/>
      </c>
      <c r="AH417" t="str">
        <f t="shared" si="68"/>
        <v/>
      </c>
      <c r="AI417" t="str">
        <f t="shared" si="69"/>
        <v/>
      </c>
      <c r="AJ417" t="str">
        <f>LEFT(Table1[[#This Row],[membership_type]],2)&amp;TEXT(Table1[[#This Row],[age]],"00")&amp;"-"&amp;TEXT(ROW(),"000")</f>
        <v>Pr43-417</v>
      </c>
      <c r="AK417" t="str">
        <f>LEFT(Table1[[#This Row],[membership_type]],1)&amp;TEXT(MATCH(Table1[[#This Row],[membership_type]],Table1[membership_type],0),"00")</f>
        <v>P01</v>
      </c>
      <c r="AL417" t="str">
        <f>LEFT(Table1[[#This Row],[discount_type]],1)&amp;TEXT(ROUND(Table1[[#This Row],[discount_rate]]*100,0),"00")</f>
        <v>S15</v>
      </c>
      <c r="AM417" t="str" cm="1">
        <f t="array" ref="AM417">TEXT(SUMPRODUCT(CODE(MID(Table1[[#This Row],[home_gym_location]],_xlfn.SEQUENCE(LEN(Table1[[#This Row],[home_gym_location]])),1))),"00000")</f>
        <v>00906</v>
      </c>
      <c r="AN417" t="str">
        <f>UPPER(_xlfn.TEXTBEFORE(Table1[[#This Row],[home_gym_location]],","))&amp;"-"&amp;TEXT(MATCH(Table1[[#This Row],[home_gym_location]],_xlfn._xlws.SORT(_xlfn.UNIQUE(Table1[home_gym_location])),0),"000")</f>
        <v>OAKLAND-006</v>
      </c>
      <c r="AO417" t="str">
        <f>LEFT(_xlfn.TEXTBEFORE(Table1[[#This Row],[Location Identifier]],"-"),3) &amp; "-" &amp; _xlfn.TEXTAFTER(Table1[[#This Row],[Location Identifier]],"-")</f>
        <v>OAK-006</v>
      </c>
      <c r="AP417" s="9">
        <f t="shared" ca="1" si="60"/>
        <v>45869</v>
      </c>
    </row>
    <row r="418" spans="1:42" x14ac:dyDescent="0.25">
      <c r="A418">
        <v>33</v>
      </c>
      <c r="B418" t="s">
        <v>33</v>
      </c>
      <c r="C418">
        <v>1</v>
      </c>
      <c r="D418" t="s">
        <v>63</v>
      </c>
      <c r="E418" t="b">
        <v>1</v>
      </c>
      <c r="F418" s="1">
        <v>0.69513888888888886</v>
      </c>
      <c r="G418" s="1">
        <v>0.77013888888888893</v>
      </c>
      <c r="H418">
        <v>108</v>
      </c>
      <c r="I418" t="b">
        <v>0</v>
      </c>
      <c r="J418" t="b">
        <v>0</v>
      </c>
      <c r="K418" t="b">
        <v>1</v>
      </c>
      <c r="L418" t="s">
        <v>35</v>
      </c>
      <c r="M418">
        <v>30</v>
      </c>
      <c r="N418" t="s">
        <v>64</v>
      </c>
      <c r="O418">
        <v>22.5</v>
      </c>
      <c r="P418" t="s">
        <v>36</v>
      </c>
      <c r="Q418">
        <v>0</v>
      </c>
      <c r="R418">
        <v>22.5</v>
      </c>
      <c r="S418" t="s">
        <v>37</v>
      </c>
      <c r="T418" t="s">
        <v>41</v>
      </c>
      <c r="U418">
        <v>37.804400000000001</v>
      </c>
      <c r="V418">
        <v>-122.27119999999999</v>
      </c>
      <c r="W418" s="2">
        <v>45518</v>
      </c>
      <c r="X418">
        <v>0</v>
      </c>
      <c r="Y418" t="b">
        <v>0</v>
      </c>
      <c r="Z418" s="2">
        <v>45843</v>
      </c>
      <c r="AA418" t="str">
        <f t="shared" si="61"/>
        <v>30–39</v>
      </c>
      <c r="AB418" t="str">
        <f t="shared" si="62"/>
        <v>30–39</v>
      </c>
      <c r="AC418" t="str">
        <f t="shared" si="63"/>
        <v/>
      </c>
      <c r="AD418" t="str">
        <f t="shared" si="64"/>
        <v/>
      </c>
      <c r="AE418" t="str">
        <f t="shared" si="65"/>
        <v>Wednesday</v>
      </c>
      <c r="AF418" t="str">
        <f t="shared" si="66"/>
        <v/>
      </c>
      <c r="AG418" t="str">
        <f t="shared" si="67"/>
        <v/>
      </c>
      <c r="AH418" t="str">
        <f t="shared" si="68"/>
        <v/>
      </c>
      <c r="AI418" t="str">
        <f t="shared" si="69"/>
        <v/>
      </c>
      <c r="AJ418" t="str">
        <f>LEFT(Table1[[#This Row],[membership_type]],2)&amp;TEXT(Table1[[#This Row],[age]],"00")&amp;"-"&amp;TEXT(ROW(),"000")</f>
        <v>St33-418</v>
      </c>
      <c r="AK418" t="str">
        <f>LEFT(Table1[[#This Row],[membership_type]],1)&amp;TEXT(MATCH(Table1[[#This Row],[membership_type]],Table1[membership_type],0),"00")</f>
        <v>S02</v>
      </c>
      <c r="AL418" t="str">
        <f>LEFT(Table1[[#This Row],[discount_type]],1)&amp;TEXT(ROUND(Table1[[#This Row],[discount_rate]]*100,0),"00")</f>
        <v>N00</v>
      </c>
      <c r="AM418" t="str" cm="1">
        <f t="array" ref="AM418">TEXT(SUMPRODUCT(CODE(MID(Table1[[#This Row],[home_gym_location]],_xlfn.SEQUENCE(LEN(Table1[[#This Row],[home_gym_location]])),1))),"00000")</f>
        <v>00906</v>
      </c>
      <c r="AN418" t="str">
        <f>UPPER(_xlfn.TEXTBEFORE(Table1[[#This Row],[home_gym_location]],","))&amp;"-"&amp;TEXT(MATCH(Table1[[#This Row],[home_gym_location]],_xlfn._xlws.SORT(_xlfn.UNIQUE(Table1[home_gym_location])),0),"000")</f>
        <v>OAKLAND-006</v>
      </c>
      <c r="AO418" t="str">
        <f>LEFT(_xlfn.TEXTBEFORE(Table1[[#This Row],[Location Identifier]],"-"),3) &amp; "-" &amp; _xlfn.TEXTAFTER(Table1[[#This Row],[Location Identifier]],"-")</f>
        <v>OAK-006</v>
      </c>
      <c r="AP418" s="9">
        <f t="shared" ca="1" si="60"/>
        <v>45869</v>
      </c>
    </row>
    <row r="419" spans="1:42" x14ac:dyDescent="0.25">
      <c r="A419">
        <v>13</v>
      </c>
      <c r="B419" t="s">
        <v>33</v>
      </c>
      <c r="C419">
        <v>3</v>
      </c>
      <c r="D419" t="s">
        <v>114</v>
      </c>
      <c r="E419" t="b">
        <v>0</v>
      </c>
      <c r="F419" s="1">
        <v>0.56666666666666665</v>
      </c>
      <c r="G419" s="1">
        <v>0.58888888888888891</v>
      </c>
      <c r="H419">
        <v>32</v>
      </c>
      <c r="I419" t="b">
        <v>0</v>
      </c>
      <c r="J419" t="b">
        <v>1</v>
      </c>
      <c r="K419" t="b">
        <v>0</v>
      </c>
      <c r="L419" t="s">
        <v>28</v>
      </c>
      <c r="M419">
        <v>30</v>
      </c>
      <c r="N419" t="s">
        <v>29</v>
      </c>
      <c r="O419">
        <v>30</v>
      </c>
      <c r="P419" t="s">
        <v>36</v>
      </c>
      <c r="Q419">
        <v>0</v>
      </c>
      <c r="R419">
        <v>30</v>
      </c>
      <c r="S419" t="s">
        <v>37</v>
      </c>
      <c r="T419" t="s">
        <v>41</v>
      </c>
      <c r="U419">
        <v>37.804400000000001</v>
      </c>
      <c r="V419">
        <v>-122.27119999999999</v>
      </c>
      <c r="W419" s="2">
        <v>45480</v>
      </c>
      <c r="X419">
        <v>4</v>
      </c>
      <c r="Y419" t="b">
        <v>0</v>
      </c>
      <c r="Z419" s="2">
        <v>45841</v>
      </c>
      <c r="AA419" t="str">
        <f t="shared" si="61"/>
        <v>10–19</v>
      </c>
      <c r="AB419" t="str">
        <f t="shared" si="62"/>
        <v>Under 16</v>
      </c>
      <c r="AC419" t="str">
        <f t="shared" si="63"/>
        <v>Monday</v>
      </c>
      <c r="AD419" t="str">
        <f t="shared" si="64"/>
        <v>Tuesday</v>
      </c>
      <c r="AE419" t="str">
        <f t="shared" si="65"/>
        <v>Wednesday</v>
      </c>
      <c r="AF419" t="str">
        <f t="shared" si="66"/>
        <v/>
      </c>
      <c r="AG419" t="str">
        <f t="shared" si="67"/>
        <v/>
      </c>
      <c r="AH419" t="str">
        <f t="shared" si="68"/>
        <v/>
      </c>
      <c r="AI419" t="str">
        <f t="shared" si="69"/>
        <v/>
      </c>
      <c r="AJ419" t="str">
        <f>LEFT(Table1[[#This Row],[membership_type]],2)&amp;TEXT(Table1[[#This Row],[age]],"00")&amp;"-"&amp;TEXT(ROW(),"000")</f>
        <v>St13-419</v>
      </c>
      <c r="AK419" t="str">
        <f>LEFT(Table1[[#This Row],[membership_type]],1)&amp;TEXT(MATCH(Table1[[#This Row],[membership_type]],Table1[membership_type],0),"00")</f>
        <v>S02</v>
      </c>
      <c r="AL419" t="str">
        <f>LEFT(Table1[[#This Row],[discount_type]],1)&amp;TEXT(ROUND(Table1[[#This Row],[discount_rate]]*100,0),"00")</f>
        <v>N00</v>
      </c>
      <c r="AM419" t="str" cm="1">
        <f t="array" ref="AM419">TEXT(SUMPRODUCT(CODE(MID(Table1[[#This Row],[home_gym_location]],_xlfn.SEQUENCE(LEN(Table1[[#This Row],[home_gym_location]])),1))),"00000")</f>
        <v>00906</v>
      </c>
      <c r="AN419" t="str">
        <f>UPPER(_xlfn.TEXTBEFORE(Table1[[#This Row],[home_gym_location]],","))&amp;"-"&amp;TEXT(MATCH(Table1[[#This Row],[home_gym_location]],_xlfn._xlws.SORT(_xlfn.UNIQUE(Table1[home_gym_location])),0),"000")</f>
        <v>OAKLAND-006</v>
      </c>
      <c r="AO419" t="str">
        <f>LEFT(_xlfn.TEXTBEFORE(Table1[[#This Row],[Location Identifier]],"-"),3) &amp; "-" &amp; _xlfn.TEXTAFTER(Table1[[#This Row],[Location Identifier]],"-")</f>
        <v>OAK-006</v>
      </c>
      <c r="AP419" s="9">
        <f t="shared" ca="1" si="60"/>
        <v>45869</v>
      </c>
    </row>
    <row r="420" spans="1:42" x14ac:dyDescent="0.25">
      <c r="A420">
        <v>23</v>
      </c>
      <c r="B420" t="s">
        <v>51</v>
      </c>
      <c r="C420">
        <v>5</v>
      </c>
      <c r="D420" t="s">
        <v>76</v>
      </c>
      <c r="E420" t="b">
        <v>1</v>
      </c>
      <c r="F420" s="1">
        <v>0.87291666666666667</v>
      </c>
      <c r="G420" s="1">
        <v>0.98263888888888884</v>
      </c>
      <c r="H420">
        <v>158</v>
      </c>
      <c r="I420" t="b">
        <v>0</v>
      </c>
      <c r="J420" t="b">
        <v>0</v>
      </c>
      <c r="K420" t="b">
        <v>1</v>
      </c>
      <c r="L420" t="s">
        <v>35</v>
      </c>
      <c r="M420">
        <v>70</v>
      </c>
      <c r="N420" t="s">
        <v>29</v>
      </c>
      <c r="O420">
        <v>70</v>
      </c>
      <c r="P420" t="s">
        <v>36</v>
      </c>
      <c r="Q420">
        <v>0</v>
      </c>
      <c r="R420">
        <v>70</v>
      </c>
      <c r="S420" t="s">
        <v>53</v>
      </c>
      <c r="T420" t="s">
        <v>45</v>
      </c>
      <c r="U420">
        <v>33.836599999999997</v>
      </c>
      <c r="V420">
        <v>-117.9143</v>
      </c>
      <c r="W420" s="2">
        <v>45114</v>
      </c>
      <c r="X420">
        <v>0</v>
      </c>
      <c r="Y420" t="b">
        <v>1</v>
      </c>
      <c r="Z420" s="2">
        <v>45820</v>
      </c>
      <c r="AA420" t="str">
        <f t="shared" si="61"/>
        <v>20–29</v>
      </c>
      <c r="AB420" t="str">
        <f t="shared" si="62"/>
        <v>20–29</v>
      </c>
      <c r="AC420" t="str">
        <f t="shared" si="63"/>
        <v>Monday</v>
      </c>
      <c r="AD420" t="str">
        <f t="shared" si="64"/>
        <v>Tuesday</v>
      </c>
      <c r="AE420" t="str">
        <f t="shared" si="65"/>
        <v>Wednesday</v>
      </c>
      <c r="AF420" t="str">
        <f t="shared" si="66"/>
        <v>Thursday</v>
      </c>
      <c r="AG420" t="str">
        <f t="shared" si="67"/>
        <v/>
      </c>
      <c r="AH420" t="str">
        <f t="shared" si="68"/>
        <v/>
      </c>
      <c r="AI420" t="str">
        <f t="shared" si="69"/>
        <v>Sunday</v>
      </c>
      <c r="AJ420" t="str">
        <f>LEFT(Table1[[#This Row],[membership_type]],2)&amp;TEXT(Table1[[#This Row],[age]],"00")&amp;"-"&amp;TEXT(ROW(),"000")</f>
        <v>El23-420</v>
      </c>
      <c r="AK420" t="str">
        <f>LEFT(Table1[[#This Row],[membership_type]],1)&amp;TEXT(MATCH(Table1[[#This Row],[membership_type]],Table1[membership_type],0),"00")</f>
        <v>E07</v>
      </c>
      <c r="AL420" t="str">
        <f>LEFT(Table1[[#This Row],[discount_type]],1)&amp;TEXT(ROUND(Table1[[#This Row],[discount_rate]]*100,0),"00")</f>
        <v>N00</v>
      </c>
      <c r="AM420" t="str" cm="1">
        <f t="array" ref="AM420">TEXT(SUMPRODUCT(CODE(MID(Table1[[#This Row],[home_gym_location]],_xlfn.SEQUENCE(LEN(Table1[[#This Row],[home_gym_location]])),1))),"00000")</f>
        <v>00899</v>
      </c>
      <c r="AN420" t="str">
        <f>UPPER(_xlfn.TEXTBEFORE(Table1[[#This Row],[home_gym_location]],","))&amp;"-"&amp;TEXT(MATCH(Table1[[#This Row],[home_gym_location]],_xlfn._xlws.SORT(_xlfn.UNIQUE(Table1[home_gym_location])),0),"000")</f>
        <v>ANAHEIM-001</v>
      </c>
      <c r="AO420" t="str">
        <f>LEFT(_xlfn.TEXTBEFORE(Table1[[#This Row],[Location Identifier]],"-"),3) &amp; "-" &amp; _xlfn.TEXTAFTER(Table1[[#This Row],[Location Identifier]],"-")</f>
        <v>ANA-001</v>
      </c>
      <c r="AP420" s="9">
        <f t="shared" ca="1" si="60"/>
        <v>45869</v>
      </c>
    </row>
    <row r="421" spans="1:42" x14ac:dyDescent="0.25">
      <c r="A421">
        <v>22</v>
      </c>
      <c r="B421" t="s">
        <v>42</v>
      </c>
      <c r="C421">
        <v>1</v>
      </c>
      <c r="D421" t="s">
        <v>49</v>
      </c>
      <c r="E421" t="b">
        <v>1</v>
      </c>
      <c r="F421" s="1">
        <v>0.51875000000000004</v>
      </c>
      <c r="G421" s="1">
        <v>0.5854166666666667</v>
      </c>
      <c r="H421">
        <v>96</v>
      </c>
      <c r="I421" t="b">
        <v>1</v>
      </c>
      <c r="J421" t="b">
        <v>0</v>
      </c>
      <c r="K421" t="b">
        <v>1</v>
      </c>
      <c r="L421" t="s">
        <v>62</v>
      </c>
      <c r="M421">
        <v>20</v>
      </c>
      <c r="N421" t="s">
        <v>29</v>
      </c>
      <c r="O421">
        <v>20</v>
      </c>
      <c r="P421" t="s">
        <v>36</v>
      </c>
      <c r="Q421">
        <v>0</v>
      </c>
      <c r="R421">
        <v>20</v>
      </c>
      <c r="S421" t="s">
        <v>44</v>
      </c>
      <c r="T421" t="s">
        <v>41</v>
      </c>
      <c r="U421">
        <v>37.804400000000001</v>
      </c>
      <c r="V421">
        <v>-122.27119999999999</v>
      </c>
      <c r="W421" s="2">
        <v>45029</v>
      </c>
      <c r="X421">
        <v>0</v>
      </c>
      <c r="Y421" t="b">
        <v>0</v>
      </c>
      <c r="Z421" s="2">
        <v>45815</v>
      </c>
      <c r="AA421" t="str">
        <f t="shared" si="61"/>
        <v>20–29</v>
      </c>
      <c r="AB421" t="str">
        <f t="shared" si="62"/>
        <v>20–29</v>
      </c>
      <c r="AC421" t="str">
        <f t="shared" si="63"/>
        <v/>
      </c>
      <c r="AD421" t="str">
        <f t="shared" si="64"/>
        <v/>
      </c>
      <c r="AE421" t="str">
        <f t="shared" si="65"/>
        <v/>
      </c>
      <c r="AF421" t="str">
        <f t="shared" si="66"/>
        <v/>
      </c>
      <c r="AG421" t="str">
        <f t="shared" si="67"/>
        <v/>
      </c>
      <c r="AH421" t="str">
        <f t="shared" si="68"/>
        <v/>
      </c>
      <c r="AI421" t="str">
        <f t="shared" si="69"/>
        <v>Sunday</v>
      </c>
      <c r="AJ421" t="str">
        <f>LEFT(Table1[[#This Row],[membership_type]],2)&amp;TEXT(Table1[[#This Row],[age]],"00")&amp;"-"&amp;TEXT(ROW(),"000")</f>
        <v>Ba22-421</v>
      </c>
      <c r="AK421" t="str">
        <f>LEFT(Table1[[#This Row],[membership_type]],1)&amp;TEXT(MATCH(Table1[[#This Row],[membership_type]],Table1[membership_type],0),"00")</f>
        <v>B04</v>
      </c>
      <c r="AL421" t="str">
        <f>LEFT(Table1[[#This Row],[discount_type]],1)&amp;TEXT(ROUND(Table1[[#This Row],[discount_rate]]*100,0),"00")</f>
        <v>N00</v>
      </c>
      <c r="AM421" t="str" cm="1">
        <f t="array" ref="AM421">TEXT(SUMPRODUCT(CODE(MID(Table1[[#This Row],[home_gym_location]],_xlfn.SEQUENCE(LEN(Table1[[#This Row],[home_gym_location]])),1))),"00000")</f>
        <v>00906</v>
      </c>
      <c r="AN421" t="str">
        <f>UPPER(_xlfn.TEXTBEFORE(Table1[[#This Row],[home_gym_location]],","))&amp;"-"&amp;TEXT(MATCH(Table1[[#This Row],[home_gym_location]],_xlfn._xlws.SORT(_xlfn.UNIQUE(Table1[home_gym_location])),0),"000")</f>
        <v>OAKLAND-006</v>
      </c>
      <c r="AO421" t="str">
        <f>LEFT(_xlfn.TEXTBEFORE(Table1[[#This Row],[Location Identifier]],"-"),3) &amp; "-" &amp; _xlfn.TEXTAFTER(Table1[[#This Row],[Location Identifier]],"-")</f>
        <v>OAK-006</v>
      </c>
      <c r="AP421" s="9">
        <f t="shared" ca="1" si="60"/>
        <v>45869</v>
      </c>
    </row>
    <row r="422" spans="1:42" x14ac:dyDescent="0.25">
      <c r="A422">
        <v>18</v>
      </c>
      <c r="B422" t="s">
        <v>42</v>
      </c>
      <c r="C422">
        <v>2</v>
      </c>
      <c r="D422" t="s">
        <v>123</v>
      </c>
      <c r="E422" t="b">
        <v>0</v>
      </c>
      <c r="F422" s="1">
        <v>0.82291666666666663</v>
      </c>
      <c r="G422" s="1">
        <v>0.94722222222222219</v>
      </c>
      <c r="H422">
        <v>179</v>
      </c>
      <c r="I422" t="b">
        <v>0</v>
      </c>
      <c r="J422" t="b">
        <v>1</v>
      </c>
      <c r="K422" t="b">
        <v>0</v>
      </c>
      <c r="L422" t="s">
        <v>28</v>
      </c>
      <c r="M422">
        <v>20</v>
      </c>
      <c r="N422" t="s">
        <v>64</v>
      </c>
      <c r="O422">
        <v>15</v>
      </c>
      <c r="P422" t="s">
        <v>36</v>
      </c>
      <c r="Q422">
        <v>0</v>
      </c>
      <c r="R422">
        <v>15</v>
      </c>
      <c r="S422" t="s">
        <v>44</v>
      </c>
      <c r="T422" t="s">
        <v>56</v>
      </c>
      <c r="U422">
        <v>35.3733</v>
      </c>
      <c r="V422">
        <v>-119.0187</v>
      </c>
      <c r="W422" s="2">
        <v>44987</v>
      </c>
      <c r="X422">
        <v>8</v>
      </c>
      <c r="Y422" t="b">
        <v>0</v>
      </c>
      <c r="Z422" s="2">
        <v>45813</v>
      </c>
      <c r="AA422" t="str">
        <f t="shared" si="61"/>
        <v>10–19</v>
      </c>
      <c r="AB422" t="str">
        <f t="shared" si="62"/>
        <v>16–19</v>
      </c>
      <c r="AC422" t="str">
        <f t="shared" si="63"/>
        <v>Monday</v>
      </c>
      <c r="AD422" t="str">
        <f t="shared" si="64"/>
        <v/>
      </c>
      <c r="AE422" t="str">
        <f t="shared" si="65"/>
        <v/>
      </c>
      <c r="AF422" t="str">
        <f t="shared" si="66"/>
        <v/>
      </c>
      <c r="AG422" t="str">
        <f t="shared" si="67"/>
        <v/>
      </c>
      <c r="AH422" t="str">
        <f t="shared" si="68"/>
        <v>Saturday</v>
      </c>
      <c r="AI422" t="str">
        <f t="shared" si="69"/>
        <v/>
      </c>
      <c r="AJ422" t="str">
        <f>LEFT(Table1[[#This Row],[membership_type]],2)&amp;TEXT(Table1[[#This Row],[age]],"00")&amp;"-"&amp;TEXT(ROW(),"000")</f>
        <v>Ba18-422</v>
      </c>
      <c r="AK422" t="str">
        <f>LEFT(Table1[[#This Row],[membership_type]],1)&amp;TEXT(MATCH(Table1[[#This Row],[membership_type]],Table1[membership_type],0),"00")</f>
        <v>B04</v>
      </c>
      <c r="AL422" t="str">
        <f>LEFT(Table1[[#This Row],[discount_type]],1)&amp;TEXT(ROUND(Table1[[#This Row],[discount_rate]]*100,0),"00")</f>
        <v>N00</v>
      </c>
      <c r="AM422" t="str" cm="1">
        <f t="array" ref="AM422">TEXT(SUMPRODUCT(CODE(MID(Table1[[#This Row],[home_gym_location]],_xlfn.SEQUENCE(LEN(Table1[[#This Row],[home_gym_location]])),1))),"00000")</f>
        <v>01324</v>
      </c>
      <c r="AN42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22" t="str">
        <f>LEFT(_xlfn.TEXTBEFORE(Table1[[#This Row],[Location Identifier]],"-"),3) &amp; "-" &amp; _xlfn.TEXTAFTER(Table1[[#This Row],[Location Identifier]],"-")</f>
        <v>BAK-002</v>
      </c>
      <c r="AP422" s="9">
        <f t="shared" ca="1" si="60"/>
        <v>45869</v>
      </c>
    </row>
    <row r="423" spans="1:42" x14ac:dyDescent="0.25">
      <c r="A423">
        <v>28</v>
      </c>
      <c r="B423" t="s">
        <v>26</v>
      </c>
      <c r="C423">
        <v>1</v>
      </c>
      <c r="D423" t="s">
        <v>49</v>
      </c>
      <c r="E423" t="b">
        <v>0</v>
      </c>
      <c r="F423" s="1">
        <v>0.49236111111111114</v>
      </c>
      <c r="G423" s="1">
        <v>0.59097222222222223</v>
      </c>
      <c r="H423">
        <v>142</v>
      </c>
      <c r="I423" t="b">
        <v>1</v>
      </c>
      <c r="J423" t="b">
        <v>1</v>
      </c>
      <c r="K423" t="b">
        <v>1</v>
      </c>
      <c r="L423" t="s">
        <v>47</v>
      </c>
      <c r="M423">
        <v>50</v>
      </c>
      <c r="N423" t="s">
        <v>29</v>
      </c>
      <c r="O423">
        <v>50</v>
      </c>
      <c r="P423" t="s">
        <v>40</v>
      </c>
      <c r="Q423">
        <v>0.1</v>
      </c>
      <c r="R423">
        <v>45</v>
      </c>
      <c r="S423" t="s">
        <v>31</v>
      </c>
      <c r="T423" t="s">
        <v>48</v>
      </c>
      <c r="U423">
        <v>38.581600000000002</v>
      </c>
      <c r="V423">
        <v>-121.4944</v>
      </c>
      <c r="W423" s="2">
        <v>44990</v>
      </c>
      <c r="X423">
        <v>3</v>
      </c>
      <c r="Y423" t="b">
        <v>0</v>
      </c>
      <c r="Z423" s="2">
        <v>45813</v>
      </c>
      <c r="AA423" t="str">
        <f t="shared" si="61"/>
        <v>20–29</v>
      </c>
      <c r="AB423" t="str">
        <f t="shared" si="62"/>
        <v>20–29</v>
      </c>
      <c r="AC423" t="str">
        <f t="shared" si="63"/>
        <v/>
      </c>
      <c r="AD423" t="str">
        <f t="shared" si="64"/>
        <v/>
      </c>
      <c r="AE423" t="str">
        <f t="shared" si="65"/>
        <v/>
      </c>
      <c r="AF423" t="str">
        <f t="shared" si="66"/>
        <v/>
      </c>
      <c r="AG423" t="str">
        <f t="shared" si="67"/>
        <v/>
      </c>
      <c r="AH423" t="str">
        <f t="shared" si="68"/>
        <v/>
      </c>
      <c r="AI423" t="str">
        <f t="shared" si="69"/>
        <v>Sunday</v>
      </c>
      <c r="AJ423" t="str">
        <f>LEFT(Table1[[#This Row],[membership_type]],2)&amp;TEXT(Table1[[#This Row],[age]],"00")&amp;"-"&amp;TEXT(ROW(),"000")</f>
        <v>Pr28-423</v>
      </c>
      <c r="AK423" t="str">
        <f>LEFT(Table1[[#This Row],[membership_type]],1)&amp;TEXT(MATCH(Table1[[#This Row],[membership_type]],Table1[membership_type],0),"00")</f>
        <v>P01</v>
      </c>
      <c r="AL423" t="str">
        <f>LEFT(Table1[[#This Row],[discount_type]],1)&amp;TEXT(ROUND(Table1[[#This Row],[discount_rate]]*100,0),"00")</f>
        <v>L10</v>
      </c>
      <c r="AM423" t="str" cm="1">
        <f t="array" ref="AM423">TEXT(SUMPRODUCT(CODE(MID(Table1[[#This Row],[home_gym_location]],_xlfn.SEQUENCE(LEN(Table1[[#This Row],[home_gym_location]])),1))),"00000")</f>
        <v>01245</v>
      </c>
      <c r="AN42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23" t="str">
        <f>LEFT(_xlfn.TEXTBEFORE(Table1[[#This Row],[Location Identifier]],"-"),3) &amp; "-" &amp; _xlfn.TEXTAFTER(Table1[[#This Row],[Location Identifier]],"-")</f>
        <v>SAC-007</v>
      </c>
      <c r="AP423" s="9">
        <f t="shared" ca="1" si="60"/>
        <v>45869</v>
      </c>
    </row>
    <row r="424" spans="1:42" x14ac:dyDescent="0.25">
      <c r="A424">
        <v>15</v>
      </c>
      <c r="B424" t="s">
        <v>33</v>
      </c>
      <c r="C424">
        <v>2</v>
      </c>
      <c r="D424" t="s">
        <v>130</v>
      </c>
      <c r="E424" t="b">
        <v>1</v>
      </c>
      <c r="F424" s="1">
        <v>0.79652777777777772</v>
      </c>
      <c r="G424" s="1">
        <v>0.91805555555555551</v>
      </c>
      <c r="H424">
        <v>175</v>
      </c>
      <c r="I424" t="b">
        <v>1</v>
      </c>
      <c r="J424" t="b">
        <v>0</v>
      </c>
      <c r="K424" t="b">
        <v>1</v>
      </c>
      <c r="L424" t="s">
        <v>28</v>
      </c>
      <c r="M424">
        <v>30</v>
      </c>
      <c r="N424" t="s">
        <v>78</v>
      </c>
      <c r="O424">
        <v>27</v>
      </c>
      <c r="P424" t="s">
        <v>36</v>
      </c>
      <c r="Q424">
        <v>0</v>
      </c>
      <c r="R424">
        <v>27</v>
      </c>
      <c r="S424" t="s">
        <v>37</v>
      </c>
      <c r="T424" t="s">
        <v>45</v>
      </c>
      <c r="U424">
        <v>33.836599999999997</v>
      </c>
      <c r="V424">
        <v>-117.9143</v>
      </c>
      <c r="W424" s="2">
        <v>45733</v>
      </c>
      <c r="X424">
        <v>0</v>
      </c>
      <c r="Y424" t="b">
        <v>1</v>
      </c>
      <c r="Z424" s="2">
        <v>45855</v>
      </c>
      <c r="AA424" t="str">
        <f t="shared" si="61"/>
        <v>10–19</v>
      </c>
      <c r="AB424" t="str">
        <f t="shared" si="62"/>
        <v>Under 16</v>
      </c>
      <c r="AC424" t="str">
        <f t="shared" si="63"/>
        <v>Monday</v>
      </c>
      <c r="AD424" t="str">
        <f t="shared" si="64"/>
        <v/>
      </c>
      <c r="AE424" t="str">
        <f t="shared" si="65"/>
        <v/>
      </c>
      <c r="AF424" t="str">
        <f t="shared" si="66"/>
        <v>Thursday</v>
      </c>
      <c r="AG424" t="str">
        <f t="shared" si="67"/>
        <v/>
      </c>
      <c r="AH424" t="str">
        <f t="shared" si="68"/>
        <v/>
      </c>
      <c r="AI424" t="str">
        <f t="shared" si="69"/>
        <v/>
      </c>
      <c r="AJ424" t="str">
        <f>LEFT(Table1[[#This Row],[membership_type]],2)&amp;TEXT(Table1[[#This Row],[age]],"00")&amp;"-"&amp;TEXT(ROW(),"000")</f>
        <v>St15-424</v>
      </c>
      <c r="AK424" t="str">
        <f>LEFT(Table1[[#This Row],[membership_type]],1)&amp;TEXT(MATCH(Table1[[#This Row],[membership_type]],Table1[membership_type],0),"00")</f>
        <v>S02</v>
      </c>
      <c r="AL424" t="str">
        <f>LEFT(Table1[[#This Row],[discount_type]],1)&amp;TEXT(ROUND(Table1[[#This Row],[discount_rate]]*100,0),"00")</f>
        <v>N00</v>
      </c>
      <c r="AM424" t="str" cm="1">
        <f t="array" ref="AM424">TEXT(SUMPRODUCT(CODE(MID(Table1[[#This Row],[home_gym_location]],_xlfn.SEQUENCE(LEN(Table1[[#This Row],[home_gym_location]])),1))),"00000")</f>
        <v>00899</v>
      </c>
      <c r="AN424" t="str">
        <f>UPPER(_xlfn.TEXTBEFORE(Table1[[#This Row],[home_gym_location]],","))&amp;"-"&amp;TEXT(MATCH(Table1[[#This Row],[home_gym_location]],_xlfn._xlws.SORT(_xlfn.UNIQUE(Table1[home_gym_location])),0),"000")</f>
        <v>ANAHEIM-001</v>
      </c>
      <c r="AO424" t="str">
        <f>LEFT(_xlfn.TEXTBEFORE(Table1[[#This Row],[Location Identifier]],"-"),3) &amp; "-" &amp; _xlfn.TEXTAFTER(Table1[[#This Row],[Location Identifier]],"-")</f>
        <v>ANA-001</v>
      </c>
      <c r="AP424" s="9">
        <f t="shared" ca="1" si="60"/>
        <v>45869</v>
      </c>
    </row>
    <row r="425" spans="1:42" x14ac:dyDescent="0.25">
      <c r="A425">
        <v>14</v>
      </c>
      <c r="B425" t="s">
        <v>26</v>
      </c>
      <c r="C425">
        <v>3</v>
      </c>
      <c r="D425" t="s">
        <v>140</v>
      </c>
      <c r="E425" t="b">
        <v>1</v>
      </c>
      <c r="F425" s="1">
        <v>0.64652777777777781</v>
      </c>
      <c r="G425" s="1">
        <v>0.76527777777777772</v>
      </c>
      <c r="H425">
        <v>171</v>
      </c>
      <c r="I425" t="b">
        <v>0</v>
      </c>
      <c r="J425" t="b">
        <v>0</v>
      </c>
      <c r="K425" t="b">
        <v>1</v>
      </c>
      <c r="L425" t="s">
        <v>28</v>
      </c>
      <c r="M425">
        <v>50</v>
      </c>
      <c r="N425" t="s">
        <v>29</v>
      </c>
      <c r="O425">
        <v>50</v>
      </c>
      <c r="P425" t="s">
        <v>30</v>
      </c>
      <c r="Q425">
        <v>0.05</v>
      </c>
      <c r="R425">
        <v>47.5</v>
      </c>
      <c r="S425" t="s">
        <v>31</v>
      </c>
      <c r="T425" t="s">
        <v>32</v>
      </c>
      <c r="U425">
        <v>37.338200000000001</v>
      </c>
      <c r="V425">
        <v>-121.88630000000001</v>
      </c>
      <c r="W425" s="2">
        <v>45304</v>
      </c>
      <c r="X425">
        <v>0</v>
      </c>
      <c r="Y425" t="b">
        <v>1</v>
      </c>
      <c r="Z425" s="2">
        <v>45831</v>
      </c>
      <c r="AA425" t="str">
        <f t="shared" si="61"/>
        <v>10–19</v>
      </c>
      <c r="AB425" t="str">
        <f t="shared" si="62"/>
        <v>Under 16</v>
      </c>
      <c r="AC425" t="str">
        <f t="shared" si="63"/>
        <v>Monday</v>
      </c>
      <c r="AD425" t="str">
        <f t="shared" si="64"/>
        <v>Tuesday</v>
      </c>
      <c r="AE425" t="str">
        <f t="shared" si="65"/>
        <v/>
      </c>
      <c r="AF425" t="str">
        <f t="shared" si="66"/>
        <v/>
      </c>
      <c r="AG425" t="str">
        <f t="shared" si="67"/>
        <v>Friday</v>
      </c>
      <c r="AH425" t="str">
        <f t="shared" si="68"/>
        <v/>
      </c>
      <c r="AI425" t="str">
        <f t="shared" si="69"/>
        <v/>
      </c>
      <c r="AJ425" t="str">
        <f>LEFT(Table1[[#This Row],[membership_type]],2)&amp;TEXT(Table1[[#This Row],[age]],"00")&amp;"-"&amp;TEXT(ROW(),"000")</f>
        <v>Pr14-425</v>
      </c>
      <c r="AK425" t="str">
        <f>LEFT(Table1[[#This Row],[membership_type]],1)&amp;TEXT(MATCH(Table1[[#This Row],[membership_type]],Table1[membership_type],0),"00")</f>
        <v>P01</v>
      </c>
      <c r="AL425" t="str">
        <f>LEFT(Table1[[#This Row],[discount_type]],1)&amp;TEXT(ROUND(Table1[[#This Row],[discount_rate]]*100,0),"00")</f>
        <v>P05</v>
      </c>
      <c r="AM425" t="str" cm="1">
        <f t="array" ref="AM425">TEXT(SUMPRODUCT(CODE(MID(Table1[[#This Row],[home_gym_location]],_xlfn.SEQUENCE(LEN(Table1[[#This Row],[home_gym_location]])),1))),"00000")</f>
        <v>00931</v>
      </c>
      <c r="AN42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25" t="str">
        <f>LEFT(_xlfn.TEXTBEFORE(Table1[[#This Row],[Location Identifier]],"-"),3) &amp; "-" &amp; _xlfn.TEXTAFTER(Table1[[#This Row],[Location Identifier]],"-")</f>
        <v>SAN-010</v>
      </c>
      <c r="AP425" s="9">
        <f t="shared" ca="1" si="60"/>
        <v>45869</v>
      </c>
    </row>
    <row r="426" spans="1:42" x14ac:dyDescent="0.25">
      <c r="A426">
        <v>40</v>
      </c>
      <c r="B426" t="s">
        <v>26</v>
      </c>
      <c r="C426">
        <v>4</v>
      </c>
      <c r="D426" t="s">
        <v>85</v>
      </c>
      <c r="E426" t="b">
        <v>1</v>
      </c>
      <c r="F426" s="1">
        <v>0.81597222222222221</v>
      </c>
      <c r="G426" s="1">
        <v>0.88055555555555554</v>
      </c>
      <c r="H426">
        <v>93</v>
      </c>
      <c r="I426" t="b">
        <v>0</v>
      </c>
      <c r="J426" t="b">
        <v>0</v>
      </c>
      <c r="K426" t="b">
        <v>0</v>
      </c>
      <c r="L426" t="s">
        <v>47</v>
      </c>
      <c r="M426">
        <v>50</v>
      </c>
      <c r="N426" t="s">
        <v>64</v>
      </c>
      <c r="O426">
        <v>37.5</v>
      </c>
      <c r="P426" t="s">
        <v>40</v>
      </c>
      <c r="Q426">
        <v>0.1</v>
      </c>
      <c r="R426">
        <v>33.75</v>
      </c>
      <c r="S426" t="s">
        <v>31</v>
      </c>
      <c r="T426" t="s">
        <v>38</v>
      </c>
      <c r="U426">
        <v>36.7378</v>
      </c>
      <c r="V426">
        <v>-119.7871</v>
      </c>
      <c r="W426" s="2">
        <v>45769</v>
      </c>
      <c r="X426">
        <v>0</v>
      </c>
      <c r="Y426" t="b">
        <v>1</v>
      </c>
      <c r="Z426" s="2">
        <v>45857</v>
      </c>
      <c r="AA426" t="str">
        <f t="shared" si="61"/>
        <v>40–49</v>
      </c>
      <c r="AB426" t="str">
        <f t="shared" si="62"/>
        <v>40–49</v>
      </c>
      <c r="AC426" t="str">
        <f t="shared" si="63"/>
        <v/>
      </c>
      <c r="AD426" t="str">
        <f t="shared" si="64"/>
        <v>Tuesday</v>
      </c>
      <c r="AE426" t="str">
        <f t="shared" si="65"/>
        <v/>
      </c>
      <c r="AF426" t="str">
        <f t="shared" si="66"/>
        <v>Thursday</v>
      </c>
      <c r="AG426" t="str">
        <f t="shared" si="67"/>
        <v/>
      </c>
      <c r="AH426" t="str">
        <f t="shared" si="68"/>
        <v>Saturday</v>
      </c>
      <c r="AI426" t="str">
        <f t="shared" si="69"/>
        <v>Sunday</v>
      </c>
      <c r="AJ426" t="str">
        <f>LEFT(Table1[[#This Row],[membership_type]],2)&amp;TEXT(Table1[[#This Row],[age]],"00")&amp;"-"&amp;TEXT(ROW(),"000")</f>
        <v>Pr40-426</v>
      </c>
      <c r="AK426" t="str">
        <f>LEFT(Table1[[#This Row],[membership_type]],1)&amp;TEXT(MATCH(Table1[[#This Row],[membership_type]],Table1[membership_type],0),"00")</f>
        <v>P01</v>
      </c>
      <c r="AL426" t="str">
        <f>LEFT(Table1[[#This Row],[discount_type]],1)&amp;TEXT(ROUND(Table1[[#This Row],[discount_rate]]*100,0),"00")</f>
        <v>L10</v>
      </c>
      <c r="AM426" t="str" cm="1">
        <f t="array" ref="AM426">TEXT(SUMPRODUCT(CODE(MID(Table1[[#This Row],[home_gym_location]],_xlfn.SEQUENCE(LEN(Table1[[#This Row],[home_gym_location]])),1))),"00000")</f>
        <v>00829</v>
      </c>
      <c r="AN426" t="str">
        <f>UPPER(_xlfn.TEXTBEFORE(Table1[[#This Row],[home_gym_location]],","))&amp;"-"&amp;TEXT(MATCH(Table1[[#This Row],[home_gym_location]],_xlfn._xlws.SORT(_xlfn.UNIQUE(Table1[home_gym_location])),0),"000")</f>
        <v>FRESNO-003</v>
      </c>
      <c r="AO426" t="str">
        <f>LEFT(_xlfn.TEXTBEFORE(Table1[[#This Row],[Location Identifier]],"-"),3) &amp; "-" &amp; _xlfn.TEXTAFTER(Table1[[#This Row],[Location Identifier]],"-")</f>
        <v>FRE-003</v>
      </c>
      <c r="AP426" s="9">
        <f t="shared" ca="1" si="60"/>
        <v>45869</v>
      </c>
    </row>
    <row r="427" spans="1:42" x14ac:dyDescent="0.25">
      <c r="A427">
        <v>35</v>
      </c>
      <c r="B427" t="s">
        <v>33</v>
      </c>
      <c r="C427">
        <v>2</v>
      </c>
      <c r="D427" t="s">
        <v>126</v>
      </c>
      <c r="E427" t="b">
        <v>0</v>
      </c>
      <c r="F427" s="1">
        <v>0.77916666666666667</v>
      </c>
      <c r="G427" s="1">
        <v>0.90347222222222223</v>
      </c>
      <c r="H427">
        <v>179</v>
      </c>
      <c r="I427" t="b">
        <v>0</v>
      </c>
      <c r="J427" t="b">
        <v>1</v>
      </c>
      <c r="K427" t="b">
        <v>1</v>
      </c>
      <c r="L427" t="s">
        <v>28</v>
      </c>
      <c r="M427">
        <v>30</v>
      </c>
      <c r="N427" t="s">
        <v>29</v>
      </c>
      <c r="O427">
        <v>30</v>
      </c>
      <c r="P427" t="s">
        <v>36</v>
      </c>
      <c r="Q427">
        <v>0</v>
      </c>
      <c r="R427">
        <v>30</v>
      </c>
      <c r="S427" t="s">
        <v>37</v>
      </c>
      <c r="T427" t="s">
        <v>48</v>
      </c>
      <c r="U427">
        <v>38.581600000000002</v>
      </c>
      <c r="V427">
        <v>-121.4944</v>
      </c>
      <c r="W427" s="2">
        <v>45245</v>
      </c>
      <c r="X427">
        <v>5</v>
      </c>
      <c r="Y427" t="b">
        <v>1</v>
      </c>
      <c r="Z427" s="2">
        <v>45828</v>
      </c>
      <c r="AA427" t="str">
        <f t="shared" si="61"/>
        <v>30–39</v>
      </c>
      <c r="AB427" t="str">
        <f t="shared" si="62"/>
        <v>30–39</v>
      </c>
      <c r="AC427" t="str">
        <f t="shared" si="63"/>
        <v/>
      </c>
      <c r="AD427" t="str">
        <f t="shared" si="64"/>
        <v>Tuesday</v>
      </c>
      <c r="AE427" t="str">
        <f t="shared" si="65"/>
        <v>Wednesday</v>
      </c>
      <c r="AF427" t="str">
        <f t="shared" si="66"/>
        <v/>
      </c>
      <c r="AG427" t="str">
        <f t="shared" si="67"/>
        <v/>
      </c>
      <c r="AH427" t="str">
        <f t="shared" si="68"/>
        <v/>
      </c>
      <c r="AI427" t="str">
        <f t="shared" si="69"/>
        <v/>
      </c>
      <c r="AJ427" t="str">
        <f>LEFT(Table1[[#This Row],[membership_type]],2)&amp;TEXT(Table1[[#This Row],[age]],"00")&amp;"-"&amp;TEXT(ROW(),"000")</f>
        <v>St35-427</v>
      </c>
      <c r="AK427" t="str">
        <f>LEFT(Table1[[#This Row],[membership_type]],1)&amp;TEXT(MATCH(Table1[[#This Row],[membership_type]],Table1[membership_type],0),"00")</f>
        <v>S02</v>
      </c>
      <c r="AL427" t="str">
        <f>LEFT(Table1[[#This Row],[discount_type]],1)&amp;TEXT(ROUND(Table1[[#This Row],[discount_rate]]*100,0),"00")</f>
        <v>N00</v>
      </c>
      <c r="AM427" t="str" cm="1">
        <f t="array" ref="AM427">TEXT(SUMPRODUCT(CODE(MID(Table1[[#This Row],[home_gym_location]],_xlfn.SEQUENCE(LEN(Table1[[#This Row],[home_gym_location]])),1))),"00000")</f>
        <v>01245</v>
      </c>
      <c r="AN42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27" t="str">
        <f>LEFT(_xlfn.TEXTBEFORE(Table1[[#This Row],[Location Identifier]],"-"),3) &amp; "-" &amp; _xlfn.TEXTAFTER(Table1[[#This Row],[Location Identifier]],"-")</f>
        <v>SAC-007</v>
      </c>
      <c r="AP427" s="9">
        <f t="shared" ca="1" si="60"/>
        <v>45869</v>
      </c>
    </row>
    <row r="428" spans="1:42" x14ac:dyDescent="0.25">
      <c r="A428">
        <v>22</v>
      </c>
      <c r="B428" t="s">
        <v>42</v>
      </c>
      <c r="C428">
        <v>4</v>
      </c>
      <c r="D428" t="s">
        <v>151</v>
      </c>
      <c r="E428" t="b">
        <v>0</v>
      </c>
      <c r="F428" s="1">
        <v>0.81111111111111112</v>
      </c>
      <c r="G428" s="1">
        <v>0.9291666666666667</v>
      </c>
      <c r="H428">
        <v>170</v>
      </c>
      <c r="I428" t="b">
        <v>1</v>
      </c>
      <c r="J428" t="b">
        <v>1</v>
      </c>
      <c r="K428" t="b">
        <v>0</v>
      </c>
      <c r="L428" t="s">
        <v>62</v>
      </c>
      <c r="M428">
        <v>20</v>
      </c>
      <c r="N428" t="s">
        <v>29</v>
      </c>
      <c r="O428">
        <v>20</v>
      </c>
      <c r="P428" t="s">
        <v>36</v>
      </c>
      <c r="Q428">
        <v>0</v>
      </c>
      <c r="R428">
        <v>20</v>
      </c>
      <c r="S428" t="s">
        <v>44</v>
      </c>
      <c r="T428" t="s">
        <v>50</v>
      </c>
      <c r="U428">
        <v>34.052199999999999</v>
      </c>
      <c r="V428">
        <v>-118.2437</v>
      </c>
      <c r="W428" s="2">
        <v>45360</v>
      </c>
      <c r="X428">
        <v>4</v>
      </c>
      <c r="Y428" t="b">
        <v>0</v>
      </c>
      <c r="Z428" s="2">
        <v>45834</v>
      </c>
      <c r="AA428" t="str">
        <f t="shared" si="61"/>
        <v>20–29</v>
      </c>
      <c r="AB428" t="str">
        <f t="shared" si="62"/>
        <v>20–29</v>
      </c>
      <c r="AC428" t="str">
        <f t="shared" si="63"/>
        <v/>
      </c>
      <c r="AD428" t="str">
        <f t="shared" si="64"/>
        <v>Tuesday</v>
      </c>
      <c r="AE428" t="str">
        <f t="shared" si="65"/>
        <v>Wednesday</v>
      </c>
      <c r="AF428" t="str">
        <f t="shared" si="66"/>
        <v>Thursday</v>
      </c>
      <c r="AG428" t="str">
        <f t="shared" si="67"/>
        <v>Friday</v>
      </c>
      <c r="AH428" t="str">
        <f t="shared" si="68"/>
        <v/>
      </c>
      <c r="AI428" t="str">
        <f t="shared" si="69"/>
        <v/>
      </c>
      <c r="AJ428" t="str">
        <f>LEFT(Table1[[#This Row],[membership_type]],2)&amp;TEXT(Table1[[#This Row],[age]],"00")&amp;"-"&amp;TEXT(ROW(),"000")</f>
        <v>Ba22-428</v>
      </c>
      <c r="AK428" t="str">
        <f>LEFT(Table1[[#This Row],[membership_type]],1)&amp;TEXT(MATCH(Table1[[#This Row],[membership_type]],Table1[membership_type],0),"00")</f>
        <v>B04</v>
      </c>
      <c r="AL428" t="str">
        <f>LEFT(Table1[[#This Row],[discount_type]],1)&amp;TEXT(ROUND(Table1[[#This Row],[discount_rate]]*100,0),"00")</f>
        <v>N00</v>
      </c>
      <c r="AM428" t="str" cm="1">
        <f t="array" ref="AM428">TEXT(SUMPRODUCT(CODE(MID(Table1[[#This Row],[home_gym_location]],_xlfn.SEQUENCE(LEN(Table1[[#This Row],[home_gym_location]])),1))),"00000")</f>
        <v>01245</v>
      </c>
      <c r="AN42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28" t="str">
        <f>LEFT(_xlfn.TEXTBEFORE(Table1[[#This Row],[Location Identifier]],"-"),3) &amp; "-" &amp; _xlfn.TEXTAFTER(Table1[[#This Row],[Location Identifier]],"-")</f>
        <v>LOS-005</v>
      </c>
      <c r="AP428" s="9">
        <f t="shared" ca="1" si="60"/>
        <v>45869</v>
      </c>
    </row>
    <row r="429" spans="1:42" x14ac:dyDescent="0.25">
      <c r="A429">
        <v>20</v>
      </c>
      <c r="B429" t="s">
        <v>42</v>
      </c>
      <c r="C429">
        <v>4</v>
      </c>
      <c r="D429" t="s">
        <v>119</v>
      </c>
      <c r="E429" t="b">
        <v>0</v>
      </c>
      <c r="F429" s="1">
        <v>0.71666666666666667</v>
      </c>
      <c r="G429" s="1">
        <v>0.7631944444444444</v>
      </c>
      <c r="H429">
        <v>67</v>
      </c>
      <c r="I429" t="b">
        <v>0</v>
      </c>
      <c r="J429" t="b">
        <v>0</v>
      </c>
      <c r="K429" t="b">
        <v>1</v>
      </c>
      <c r="L429" t="s">
        <v>28</v>
      </c>
      <c r="M429">
        <v>20</v>
      </c>
      <c r="N429" t="s">
        <v>64</v>
      </c>
      <c r="O429">
        <v>15</v>
      </c>
      <c r="P429" t="s">
        <v>36</v>
      </c>
      <c r="Q429">
        <v>0</v>
      </c>
      <c r="R429">
        <v>15</v>
      </c>
      <c r="S429" t="s">
        <v>44</v>
      </c>
      <c r="T429" t="s">
        <v>54</v>
      </c>
      <c r="U429">
        <v>32.715699999999998</v>
      </c>
      <c r="V429">
        <v>-117.1611</v>
      </c>
      <c r="W429" s="2">
        <v>44885</v>
      </c>
      <c r="X429">
        <v>0</v>
      </c>
      <c r="Y429" t="b">
        <v>0</v>
      </c>
      <c r="Z429" s="2">
        <v>45807</v>
      </c>
      <c r="AA429" t="str">
        <f t="shared" si="61"/>
        <v>20–29</v>
      </c>
      <c r="AB429" t="str">
        <f t="shared" si="62"/>
        <v>20–29</v>
      </c>
      <c r="AC429" t="str">
        <f t="shared" si="63"/>
        <v>Monday</v>
      </c>
      <c r="AD429" t="str">
        <f t="shared" si="64"/>
        <v/>
      </c>
      <c r="AE429" t="str">
        <f t="shared" si="65"/>
        <v>Wednesday</v>
      </c>
      <c r="AF429" t="str">
        <f t="shared" si="66"/>
        <v/>
      </c>
      <c r="AG429" t="str">
        <f t="shared" si="67"/>
        <v>Friday</v>
      </c>
      <c r="AH429" t="str">
        <f t="shared" si="68"/>
        <v/>
      </c>
      <c r="AI429" t="str">
        <f t="shared" si="69"/>
        <v>Sunday</v>
      </c>
      <c r="AJ429" t="str">
        <f>LEFT(Table1[[#This Row],[membership_type]],2)&amp;TEXT(Table1[[#This Row],[age]],"00")&amp;"-"&amp;TEXT(ROW(),"000")</f>
        <v>Ba20-429</v>
      </c>
      <c r="AK429" t="str">
        <f>LEFT(Table1[[#This Row],[membership_type]],1)&amp;TEXT(MATCH(Table1[[#This Row],[membership_type]],Table1[membership_type],0),"00")</f>
        <v>B04</v>
      </c>
      <c r="AL429" t="str">
        <f>LEFT(Table1[[#This Row],[discount_type]],1)&amp;TEXT(ROUND(Table1[[#This Row],[discount_rate]]*100,0),"00")</f>
        <v>N00</v>
      </c>
      <c r="AM429" t="str" cm="1">
        <f t="array" ref="AM429">TEXT(SUMPRODUCT(CODE(MID(Table1[[#This Row],[home_gym_location]],_xlfn.SEQUENCE(LEN(Table1[[#This Row],[home_gym_location]])),1))),"00000")</f>
        <v>01018</v>
      </c>
      <c r="AN42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29" t="str">
        <f>LEFT(_xlfn.TEXTBEFORE(Table1[[#This Row],[Location Identifier]],"-"),3) &amp; "-" &amp; _xlfn.TEXTAFTER(Table1[[#This Row],[Location Identifier]],"-")</f>
        <v>SAN-008</v>
      </c>
      <c r="AP429" s="9">
        <f t="shared" ca="1" si="60"/>
        <v>45869</v>
      </c>
    </row>
    <row r="430" spans="1:42" x14ac:dyDescent="0.25">
      <c r="A430">
        <v>49</v>
      </c>
      <c r="B430" t="s">
        <v>33</v>
      </c>
      <c r="C430">
        <v>3</v>
      </c>
      <c r="D430" t="s">
        <v>102</v>
      </c>
      <c r="E430" t="b">
        <v>1</v>
      </c>
      <c r="F430" s="1">
        <v>0.86111111111111116</v>
      </c>
      <c r="G430" s="1">
        <v>0.89166666666666672</v>
      </c>
      <c r="H430">
        <v>44</v>
      </c>
      <c r="I430" t="b">
        <v>0</v>
      </c>
      <c r="J430" t="b">
        <v>1</v>
      </c>
      <c r="K430" t="b">
        <v>0</v>
      </c>
      <c r="L430" t="s">
        <v>62</v>
      </c>
      <c r="M430">
        <v>30</v>
      </c>
      <c r="N430" t="s">
        <v>29</v>
      </c>
      <c r="O430">
        <v>30</v>
      </c>
      <c r="P430" t="s">
        <v>36</v>
      </c>
      <c r="Q430">
        <v>0</v>
      </c>
      <c r="R430">
        <v>30</v>
      </c>
      <c r="S430" t="s">
        <v>37</v>
      </c>
      <c r="T430" t="s">
        <v>54</v>
      </c>
      <c r="U430">
        <v>32.715699999999998</v>
      </c>
      <c r="V430">
        <v>-117.1611</v>
      </c>
      <c r="W430" s="2">
        <v>45457</v>
      </c>
      <c r="X430">
        <v>6</v>
      </c>
      <c r="Y430" t="b">
        <v>1</v>
      </c>
      <c r="Z430" s="2">
        <v>45839</v>
      </c>
      <c r="AA430" t="str">
        <f t="shared" si="61"/>
        <v>40–49</v>
      </c>
      <c r="AB430" t="str">
        <f t="shared" si="62"/>
        <v>40–49</v>
      </c>
      <c r="AC430" t="str">
        <f t="shared" si="63"/>
        <v/>
      </c>
      <c r="AD430" t="str">
        <f t="shared" si="64"/>
        <v/>
      </c>
      <c r="AE430" t="str">
        <f t="shared" si="65"/>
        <v/>
      </c>
      <c r="AF430" t="str">
        <f t="shared" si="66"/>
        <v>Thursday</v>
      </c>
      <c r="AG430" t="str">
        <f t="shared" si="67"/>
        <v>Friday</v>
      </c>
      <c r="AH430" t="str">
        <f t="shared" si="68"/>
        <v>Saturday</v>
      </c>
      <c r="AI430" t="str">
        <f t="shared" si="69"/>
        <v/>
      </c>
      <c r="AJ430" t="str">
        <f>LEFT(Table1[[#This Row],[membership_type]],2)&amp;TEXT(Table1[[#This Row],[age]],"00")&amp;"-"&amp;TEXT(ROW(),"000")</f>
        <v>St49-430</v>
      </c>
      <c r="AK430" t="str">
        <f>LEFT(Table1[[#This Row],[membership_type]],1)&amp;TEXT(MATCH(Table1[[#This Row],[membership_type]],Table1[membership_type],0),"00")</f>
        <v>S02</v>
      </c>
      <c r="AL430" t="str">
        <f>LEFT(Table1[[#This Row],[discount_type]],1)&amp;TEXT(ROUND(Table1[[#This Row],[discount_rate]]*100,0),"00")</f>
        <v>N00</v>
      </c>
      <c r="AM430" t="str" cm="1">
        <f t="array" ref="AM430">TEXT(SUMPRODUCT(CODE(MID(Table1[[#This Row],[home_gym_location]],_xlfn.SEQUENCE(LEN(Table1[[#This Row],[home_gym_location]])),1))),"00000")</f>
        <v>01018</v>
      </c>
      <c r="AN43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30" t="str">
        <f>LEFT(_xlfn.TEXTBEFORE(Table1[[#This Row],[Location Identifier]],"-"),3) &amp; "-" &amp; _xlfn.TEXTAFTER(Table1[[#This Row],[Location Identifier]],"-")</f>
        <v>SAN-008</v>
      </c>
      <c r="AP430" s="9">
        <f t="shared" ca="1" si="60"/>
        <v>45869</v>
      </c>
    </row>
    <row r="431" spans="1:42" x14ac:dyDescent="0.25">
      <c r="A431">
        <v>20</v>
      </c>
      <c r="B431" t="s">
        <v>33</v>
      </c>
      <c r="C431">
        <v>3</v>
      </c>
      <c r="D431" t="s">
        <v>106</v>
      </c>
      <c r="E431" t="b">
        <v>0</v>
      </c>
      <c r="F431" s="1">
        <v>0.64444444444444449</v>
      </c>
      <c r="G431" s="1">
        <v>0.74861111111111112</v>
      </c>
      <c r="H431">
        <v>150</v>
      </c>
      <c r="I431" t="b">
        <v>1</v>
      </c>
      <c r="J431" t="b">
        <v>0</v>
      </c>
      <c r="K431" t="b">
        <v>1</v>
      </c>
      <c r="L431" t="s">
        <v>62</v>
      </c>
      <c r="M431">
        <v>30</v>
      </c>
      <c r="N431" t="s">
        <v>78</v>
      </c>
      <c r="O431">
        <v>27</v>
      </c>
      <c r="P431" t="s">
        <v>74</v>
      </c>
      <c r="Q431">
        <v>0.15</v>
      </c>
      <c r="R431">
        <v>22.95</v>
      </c>
      <c r="S431" t="s">
        <v>37</v>
      </c>
      <c r="T431" t="s">
        <v>38</v>
      </c>
      <c r="U431">
        <v>36.7378</v>
      </c>
      <c r="V431">
        <v>-119.7871</v>
      </c>
      <c r="W431" s="2">
        <v>45706</v>
      </c>
      <c r="X431">
        <v>0</v>
      </c>
      <c r="Y431" t="b">
        <v>0</v>
      </c>
      <c r="Z431" s="2">
        <v>45853</v>
      </c>
      <c r="AA431" t="str">
        <f t="shared" si="61"/>
        <v>20–29</v>
      </c>
      <c r="AB431" t="str">
        <f t="shared" si="62"/>
        <v>20–29</v>
      </c>
      <c r="AC431" t="str">
        <f t="shared" si="63"/>
        <v/>
      </c>
      <c r="AD431" t="str">
        <f t="shared" si="64"/>
        <v/>
      </c>
      <c r="AE431" t="str">
        <f t="shared" si="65"/>
        <v>Wednesday</v>
      </c>
      <c r="AF431" t="str">
        <f t="shared" si="66"/>
        <v>Thursday</v>
      </c>
      <c r="AG431" t="str">
        <f t="shared" si="67"/>
        <v>Friday</v>
      </c>
      <c r="AH431" t="str">
        <f t="shared" si="68"/>
        <v/>
      </c>
      <c r="AI431" t="str">
        <f t="shared" si="69"/>
        <v/>
      </c>
      <c r="AJ431" t="str">
        <f>LEFT(Table1[[#This Row],[membership_type]],2)&amp;TEXT(Table1[[#This Row],[age]],"00")&amp;"-"&amp;TEXT(ROW(),"000")</f>
        <v>St20-431</v>
      </c>
      <c r="AK431" t="str">
        <f>LEFT(Table1[[#This Row],[membership_type]],1)&amp;TEXT(MATCH(Table1[[#This Row],[membership_type]],Table1[membership_type],0),"00")</f>
        <v>S02</v>
      </c>
      <c r="AL431" t="str">
        <f>LEFT(Table1[[#This Row],[discount_type]],1)&amp;TEXT(ROUND(Table1[[#This Row],[discount_rate]]*100,0),"00")</f>
        <v>S15</v>
      </c>
      <c r="AM431" t="str" cm="1">
        <f t="array" ref="AM431">TEXT(SUMPRODUCT(CODE(MID(Table1[[#This Row],[home_gym_location]],_xlfn.SEQUENCE(LEN(Table1[[#This Row],[home_gym_location]])),1))),"00000")</f>
        <v>00829</v>
      </c>
      <c r="AN431" t="str">
        <f>UPPER(_xlfn.TEXTBEFORE(Table1[[#This Row],[home_gym_location]],","))&amp;"-"&amp;TEXT(MATCH(Table1[[#This Row],[home_gym_location]],_xlfn._xlws.SORT(_xlfn.UNIQUE(Table1[home_gym_location])),0),"000")</f>
        <v>FRESNO-003</v>
      </c>
      <c r="AO431" t="str">
        <f>LEFT(_xlfn.TEXTBEFORE(Table1[[#This Row],[Location Identifier]],"-"),3) &amp; "-" &amp; _xlfn.TEXTAFTER(Table1[[#This Row],[Location Identifier]],"-")</f>
        <v>FRE-003</v>
      </c>
      <c r="AP431" s="9">
        <f t="shared" ca="1" si="60"/>
        <v>45869</v>
      </c>
    </row>
    <row r="432" spans="1:42" x14ac:dyDescent="0.25">
      <c r="A432">
        <v>49</v>
      </c>
      <c r="B432" t="s">
        <v>42</v>
      </c>
      <c r="C432">
        <v>3</v>
      </c>
      <c r="D432" t="s">
        <v>142</v>
      </c>
      <c r="E432" t="b">
        <v>0</v>
      </c>
      <c r="F432" s="1">
        <v>0.81736111111111109</v>
      </c>
      <c r="G432" s="1">
        <v>0.89652777777777781</v>
      </c>
      <c r="H432">
        <v>114</v>
      </c>
      <c r="I432" t="b">
        <v>1</v>
      </c>
      <c r="J432" t="b">
        <v>0</v>
      </c>
      <c r="K432" t="b">
        <v>0</v>
      </c>
      <c r="L432" t="s">
        <v>28</v>
      </c>
      <c r="M432">
        <v>20</v>
      </c>
      <c r="N432" t="s">
        <v>29</v>
      </c>
      <c r="O432">
        <v>20</v>
      </c>
      <c r="P432" t="s">
        <v>74</v>
      </c>
      <c r="Q432">
        <v>0.15</v>
      </c>
      <c r="R432">
        <v>17</v>
      </c>
      <c r="S432" t="s">
        <v>44</v>
      </c>
      <c r="T432" t="s">
        <v>45</v>
      </c>
      <c r="U432">
        <v>33.836599999999997</v>
      </c>
      <c r="V432">
        <v>-117.9143</v>
      </c>
      <c r="W432" s="2">
        <v>45678</v>
      </c>
      <c r="X432">
        <v>0</v>
      </c>
      <c r="Y432" t="b">
        <v>0</v>
      </c>
      <c r="Z432" s="2">
        <v>45852</v>
      </c>
      <c r="AA432" t="str">
        <f t="shared" si="61"/>
        <v>40–49</v>
      </c>
      <c r="AB432" t="str">
        <f t="shared" si="62"/>
        <v>40–49</v>
      </c>
      <c r="AC432" t="str">
        <f t="shared" si="63"/>
        <v>Monday</v>
      </c>
      <c r="AD432" t="str">
        <f t="shared" si="64"/>
        <v/>
      </c>
      <c r="AE432" t="str">
        <f t="shared" si="65"/>
        <v>Wednesday</v>
      </c>
      <c r="AF432" t="str">
        <f t="shared" si="66"/>
        <v/>
      </c>
      <c r="AG432" t="str">
        <f t="shared" si="67"/>
        <v/>
      </c>
      <c r="AH432" t="str">
        <f t="shared" si="68"/>
        <v/>
      </c>
      <c r="AI432" t="str">
        <f t="shared" si="69"/>
        <v>Sunday</v>
      </c>
      <c r="AJ432" t="str">
        <f>LEFT(Table1[[#This Row],[membership_type]],2)&amp;TEXT(Table1[[#This Row],[age]],"00")&amp;"-"&amp;TEXT(ROW(),"000")</f>
        <v>Ba49-432</v>
      </c>
      <c r="AK432" t="str">
        <f>LEFT(Table1[[#This Row],[membership_type]],1)&amp;TEXT(MATCH(Table1[[#This Row],[membership_type]],Table1[membership_type],0),"00")</f>
        <v>B04</v>
      </c>
      <c r="AL432" t="str">
        <f>LEFT(Table1[[#This Row],[discount_type]],1)&amp;TEXT(ROUND(Table1[[#This Row],[discount_rate]]*100,0),"00")</f>
        <v>S15</v>
      </c>
      <c r="AM432" t="str" cm="1">
        <f t="array" ref="AM432">TEXT(SUMPRODUCT(CODE(MID(Table1[[#This Row],[home_gym_location]],_xlfn.SEQUENCE(LEN(Table1[[#This Row],[home_gym_location]])),1))),"00000")</f>
        <v>00899</v>
      </c>
      <c r="AN432" t="str">
        <f>UPPER(_xlfn.TEXTBEFORE(Table1[[#This Row],[home_gym_location]],","))&amp;"-"&amp;TEXT(MATCH(Table1[[#This Row],[home_gym_location]],_xlfn._xlws.SORT(_xlfn.UNIQUE(Table1[home_gym_location])),0),"000")</f>
        <v>ANAHEIM-001</v>
      </c>
      <c r="AO432" t="str">
        <f>LEFT(_xlfn.TEXTBEFORE(Table1[[#This Row],[Location Identifier]],"-"),3) &amp; "-" &amp; _xlfn.TEXTAFTER(Table1[[#This Row],[Location Identifier]],"-")</f>
        <v>ANA-001</v>
      </c>
      <c r="AP432" s="9">
        <f t="shared" ca="1" si="60"/>
        <v>45869</v>
      </c>
    </row>
    <row r="433" spans="1:42" x14ac:dyDescent="0.25">
      <c r="A433">
        <v>49</v>
      </c>
      <c r="B433" t="s">
        <v>51</v>
      </c>
      <c r="C433">
        <v>5</v>
      </c>
      <c r="D433" t="s">
        <v>104</v>
      </c>
      <c r="E433" t="b">
        <v>1</v>
      </c>
      <c r="F433" s="1">
        <v>0.34375</v>
      </c>
      <c r="G433" s="1">
        <v>0.36805555555555558</v>
      </c>
      <c r="H433">
        <v>35</v>
      </c>
      <c r="I433" t="b">
        <v>0</v>
      </c>
      <c r="J433" t="b">
        <v>0</v>
      </c>
      <c r="K433" t="b">
        <v>0</v>
      </c>
      <c r="L433" t="s">
        <v>28</v>
      </c>
      <c r="M433">
        <v>70</v>
      </c>
      <c r="N433" t="s">
        <v>29</v>
      </c>
      <c r="O433">
        <v>70</v>
      </c>
      <c r="P433" t="s">
        <v>36</v>
      </c>
      <c r="Q433">
        <v>0</v>
      </c>
      <c r="R433">
        <v>70</v>
      </c>
      <c r="S433" t="s">
        <v>53</v>
      </c>
      <c r="T433" t="s">
        <v>50</v>
      </c>
      <c r="U433">
        <v>34.052199999999999</v>
      </c>
      <c r="V433">
        <v>-118.2437</v>
      </c>
      <c r="W433" s="2">
        <v>45019</v>
      </c>
      <c r="X433">
        <v>0</v>
      </c>
      <c r="Y433" t="b">
        <v>1</v>
      </c>
      <c r="Z433" s="2">
        <v>45815</v>
      </c>
      <c r="AA433" t="str">
        <f t="shared" si="61"/>
        <v>40–49</v>
      </c>
      <c r="AB433" t="str">
        <f t="shared" si="62"/>
        <v>40–49</v>
      </c>
      <c r="AC433" t="str">
        <f t="shared" si="63"/>
        <v/>
      </c>
      <c r="AD433" t="str">
        <f t="shared" si="64"/>
        <v>Tuesday</v>
      </c>
      <c r="AE433" t="str">
        <f t="shared" si="65"/>
        <v>Wednesday</v>
      </c>
      <c r="AF433" t="str">
        <f t="shared" si="66"/>
        <v>Thursday</v>
      </c>
      <c r="AG433" t="str">
        <f t="shared" si="67"/>
        <v/>
      </c>
      <c r="AH433" t="str">
        <f t="shared" si="68"/>
        <v>Saturday</v>
      </c>
      <c r="AI433" t="str">
        <f t="shared" si="69"/>
        <v>Sunday</v>
      </c>
      <c r="AJ433" t="str">
        <f>LEFT(Table1[[#This Row],[membership_type]],2)&amp;TEXT(Table1[[#This Row],[age]],"00")&amp;"-"&amp;TEXT(ROW(),"000")</f>
        <v>El49-433</v>
      </c>
      <c r="AK433" t="str">
        <f>LEFT(Table1[[#This Row],[membership_type]],1)&amp;TEXT(MATCH(Table1[[#This Row],[membership_type]],Table1[membership_type],0),"00")</f>
        <v>E07</v>
      </c>
      <c r="AL433" t="str">
        <f>LEFT(Table1[[#This Row],[discount_type]],1)&amp;TEXT(ROUND(Table1[[#This Row],[discount_rate]]*100,0),"00")</f>
        <v>N00</v>
      </c>
      <c r="AM433" t="str" cm="1">
        <f t="array" ref="AM433">TEXT(SUMPRODUCT(CODE(MID(Table1[[#This Row],[home_gym_location]],_xlfn.SEQUENCE(LEN(Table1[[#This Row],[home_gym_location]])),1))),"00000")</f>
        <v>01245</v>
      </c>
      <c r="AN43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33" t="str">
        <f>LEFT(_xlfn.TEXTBEFORE(Table1[[#This Row],[Location Identifier]],"-"),3) &amp; "-" &amp; _xlfn.TEXTAFTER(Table1[[#This Row],[Location Identifier]],"-")</f>
        <v>LOS-005</v>
      </c>
      <c r="AP433" s="9">
        <f t="shared" ca="1" si="60"/>
        <v>45869</v>
      </c>
    </row>
    <row r="434" spans="1:42" x14ac:dyDescent="0.25">
      <c r="A434">
        <v>44</v>
      </c>
      <c r="B434" t="s">
        <v>33</v>
      </c>
      <c r="C434">
        <v>2</v>
      </c>
      <c r="D434" t="s">
        <v>126</v>
      </c>
      <c r="E434" t="b">
        <v>0</v>
      </c>
      <c r="F434" s="1">
        <v>0.49513888888888891</v>
      </c>
      <c r="G434" s="1">
        <v>0.53333333333333333</v>
      </c>
      <c r="H434">
        <v>55</v>
      </c>
      <c r="I434" t="b">
        <v>0</v>
      </c>
      <c r="J434" t="b">
        <v>0</v>
      </c>
      <c r="K434" t="b">
        <v>0</v>
      </c>
      <c r="L434" t="s">
        <v>28</v>
      </c>
      <c r="M434">
        <v>30</v>
      </c>
      <c r="N434" t="s">
        <v>64</v>
      </c>
      <c r="O434">
        <v>22.5</v>
      </c>
      <c r="P434" t="s">
        <v>40</v>
      </c>
      <c r="Q434">
        <v>0.1</v>
      </c>
      <c r="R434">
        <v>20.25</v>
      </c>
      <c r="S434" t="s">
        <v>37</v>
      </c>
      <c r="T434" t="s">
        <v>54</v>
      </c>
      <c r="U434">
        <v>32.715699999999998</v>
      </c>
      <c r="V434">
        <v>-117.1611</v>
      </c>
      <c r="W434" s="2">
        <v>45172</v>
      </c>
      <c r="X434">
        <v>0</v>
      </c>
      <c r="Y434" t="b">
        <v>0</v>
      </c>
      <c r="Z434" s="2">
        <v>45823</v>
      </c>
      <c r="AA434" t="str">
        <f t="shared" si="61"/>
        <v>40–49</v>
      </c>
      <c r="AB434" t="str">
        <f t="shared" si="62"/>
        <v>40–49</v>
      </c>
      <c r="AC434" t="str">
        <f t="shared" si="63"/>
        <v/>
      </c>
      <c r="AD434" t="str">
        <f t="shared" si="64"/>
        <v>Tuesday</v>
      </c>
      <c r="AE434" t="str">
        <f t="shared" si="65"/>
        <v>Wednesday</v>
      </c>
      <c r="AF434" t="str">
        <f t="shared" si="66"/>
        <v/>
      </c>
      <c r="AG434" t="str">
        <f t="shared" si="67"/>
        <v/>
      </c>
      <c r="AH434" t="str">
        <f t="shared" si="68"/>
        <v/>
      </c>
      <c r="AI434" t="str">
        <f t="shared" si="69"/>
        <v/>
      </c>
      <c r="AJ434" t="str">
        <f>LEFT(Table1[[#This Row],[membership_type]],2)&amp;TEXT(Table1[[#This Row],[age]],"00")&amp;"-"&amp;TEXT(ROW(),"000")</f>
        <v>St44-434</v>
      </c>
      <c r="AK434" t="str">
        <f>LEFT(Table1[[#This Row],[membership_type]],1)&amp;TEXT(MATCH(Table1[[#This Row],[membership_type]],Table1[membership_type],0),"00")</f>
        <v>S02</v>
      </c>
      <c r="AL434" t="str">
        <f>LEFT(Table1[[#This Row],[discount_type]],1)&amp;TEXT(ROUND(Table1[[#This Row],[discount_rate]]*100,0),"00")</f>
        <v>L10</v>
      </c>
      <c r="AM434" t="str" cm="1">
        <f t="array" ref="AM434">TEXT(SUMPRODUCT(CODE(MID(Table1[[#This Row],[home_gym_location]],_xlfn.SEQUENCE(LEN(Table1[[#This Row],[home_gym_location]])),1))),"00000")</f>
        <v>01018</v>
      </c>
      <c r="AN43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34" t="str">
        <f>LEFT(_xlfn.TEXTBEFORE(Table1[[#This Row],[Location Identifier]],"-"),3) &amp; "-" &amp; _xlfn.TEXTAFTER(Table1[[#This Row],[Location Identifier]],"-")</f>
        <v>SAN-008</v>
      </c>
      <c r="AP434" s="9">
        <f t="shared" ca="1" si="60"/>
        <v>45869</v>
      </c>
    </row>
    <row r="435" spans="1:42" x14ac:dyDescent="0.25">
      <c r="A435">
        <v>22</v>
      </c>
      <c r="B435" t="s">
        <v>42</v>
      </c>
      <c r="C435">
        <v>5</v>
      </c>
      <c r="D435" t="s">
        <v>87</v>
      </c>
      <c r="E435" t="b">
        <v>1</v>
      </c>
      <c r="F435" s="1">
        <v>0.43819444444444444</v>
      </c>
      <c r="G435" s="1">
        <v>0.49166666666666664</v>
      </c>
      <c r="H435">
        <v>77</v>
      </c>
      <c r="I435" t="b">
        <v>1</v>
      </c>
      <c r="J435" t="b">
        <v>1</v>
      </c>
      <c r="K435" t="b">
        <v>0</v>
      </c>
      <c r="L435" t="s">
        <v>28</v>
      </c>
      <c r="M435">
        <v>20</v>
      </c>
      <c r="N435" t="s">
        <v>64</v>
      </c>
      <c r="O435">
        <v>15</v>
      </c>
      <c r="P435" t="s">
        <v>30</v>
      </c>
      <c r="Q435">
        <v>0.05</v>
      </c>
      <c r="R435">
        <v>14.25</v>
      </c>
      <c r="S435" t="s">
        <v>44</v>
      </c>
      <c r="T435" t="s">
        <v>45</v>
      </c>
      <c r="U435">
        <v>33.836599999999997</v>
      </c>
      <c r="V435">
        <v>-117.9143</v>
      </c>
      <c r="W435" s="2">
        <v>45723</v>
      </c>
      <c r="X435">
        <v>6</v>
      </c>
      <c r="Y435" t="b">
        <v>0</v>
      </c>
      <c r="Z435" s="2">
        <v>45854</v>
      </c>
      <c r="AA435" t="str">
        <f t="shared" si="61"/>
        <v>20–29</v>
      </c>
      <c r="AB435" t="str">
        <f t="shared" si="62"/>
        <v>20–29</v>
      </c>
      <c r="AC435" t="str">
        <f t="shared" si="63"/>
        <v/>
      </c>
      <c r="AD435" t="str">
        <f t="shared" si="64"/>
        <v>Tuesday</v>
      </c>
      <c r="AE435" t="str">
        <f t="shared" si="65"/>
        <v>Wednesday</v>
      </c>
      <c r="AF435" t="str">
        <f t="shared" si="66"/>
        <v/>
      </c>
      <c r="AG435" t="str">
        <f t="shared" si="67"/>
        <v>Friday</v>
      </c>
      <c r="AH435" t="str">
        <f t="shared" si="68"/>
        <v>Saturday</v>
      </c>
      <c r="AI435" t="str">
        <f t="shared" si="69"/>
        <v>Sunday</v>
      </c>
      <c r="AJ435" t="str">
        <f>LEFT(Table1[[#This Row],[membership_type]],2)&amp;TEXT(Table1[[#This Row],[age]],"00")&amp;"-"&amp;TEXT(ROW(),"000")</f>
        <v>Ba22-435</v>
      </c>
      <c r="AK435" t="str">
        <f>LEFT(Table1[[#This Row],[membership_type]],1)&amp;TEXT(MATCH(Table1[[#This Row],[membership_type]],Table1[membership_type],0),"00")</f>
        <v>B04</v>
      </c>
      <c r="AL435" t="str">
        <f>LEFT(Table1[[#This Row],[discount_type]],1)&amp;TEXT(ROUND(Table1[[#This Row],[discount_rate]]*100,0),"00")</f>
        <v>P05</v>
      </c>
      <c r="AM435" t="str" cm="1">
        <f t="array" ref="AM435">TEXT(SUMPRODUCT(CODE(MID(Table1[[#This Row],[home_gym_location]],_xlfn.SEQUENCE(LEN(Table1[[#This Row],[home_gym_location]])),1))),"00000")</f>
        <v>00899</v>
      </c>
      <c r="AN4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435" t="str">
        <f>LEFT(_xlfn.TEXTBEFORE(Table1[[#This Row],[Location Identifier]],"-"),3) &amp; "-" &amp; _xlfn.TEXTAFTER(Table1[[#This Row],[Location Identifier]],"-")</f>
        <v>ANA-001</v>
      </c>
      <c r="AP435" s="9">
        <f t="shared" ca="1" si="60"/>
        <v>45869</v>
      </c>
    </row>
    <row r="436" spans="1:42" x14ac:dyDescent="0.25">
      <c r="A436">
        <v>36</v>
      </c>
      <c r="B436" t="s">
        <v>26</v>
      </c>
      <c r="C436">
        <v>2</v>
      </c>
      <c r="D436" t="s">
        <v>139</v>
      </c>
      <c r="E436" t="b">
        <v>0</v>
      </c>
      <c r="F436" s="1">
        <v>0.7006944444444444</v>
      </c>
      <c r="G436" s="1">
        <v>0.79861111111111116</v>
      </c>
      <c r="H436">
        <v>141</v>
      </c>
      <c r="I436" t="b">
        <v>0</v>
      </c>
      <c r="J436" t="b">
        <v>1</v>
      </c>
      <c r="K436" t="b">
        <v>1</v>
      </c>
      <c r="L436" t="s">
        <v>62</v>
      </c>
      <c r="M436">
        <v>50</v>
      </c>
      <c r="N436" t="s">
        <v>64</v>
      </c>
      <c r="O436">
        <v>37.5</v>
      </c>
      <c r="P436" t="s">
        <v>74</v>
      </c>
      <c r="Q436">
        <v>0.15</v>
      </c>
      <c r="R436">
        <v>31.875</v>
      </c>
      <c r="S436" t="s">
        <v>31</v>
      </c>
      <c r="T436" t="s">
        <v>41</v>
      </c>
      <c r="U436">
        <v>37.804400000000001</v>
      </c>
      <c r="V436">
        <v>-122.27119999999999</v>
      </c>
      <c r="W436" s="2">
        <v>45741</v>
      </c>
      <c r="X436">
        <v>6</v>
      </c>
      <c r="Y436" t="b">
        <v>1</v>
      </c>
      <c r="Z436" s="2">
        <v>45855</v>
      </c>
      <c r="AA436" t="str">
        <f t="shared" si="61"/>
        <v>30–39</v>
      </c>
      <c r="AB436" t="str">
        <f t="shared" si="62"/>
        <v>30–39</v>
      </c>
      <c r="AC436" t="str">
        <f t="shared" si="63"/>
        <v/>
      </c>
      <c r="AD436" t="str">
        <f t="shared" si="64"/>
        <v/>
      </c>
      <c r="AE436" t="str">
        <f t="shared" si="65"/>
        <v>Wednesday</v>
      </c>
      <c r="AF436" t="str">
        <f t="shared" si="66"/>
        <v/>
      </c>
      <c r="AG436" t="str">
        <f t="shared" si="67"/>
        <v/>
      </c>
      <c r="AH436" t="str">
        <f t="shared" si="68"/>
        <v>Saturday</v>
      </c>
      <c r="AI436" t="str">
        <f t="shared" si="69"/>
        <v/>
      </c>
      <c r="AJ436" t="str">
        <f>LEFT(Table1[[#This Row],[membership_type]],2)&amp;TEXT(Table1[[#This Row],[age]],"00")&amp;"-"&amp;TEXT(ROW(),"000")</f>
        <v>Pr36-436</v>
      </c>
      <c r="AK436" t="str">
        <f>LEFT(Table1[[#This Row],[membership_type]],1)&amp;TEXT(MATCH(Table1[[#This Row],[membership_type]],Table1[membership_type],0),"00")</f>
        <v>P01</v>
      </c>
      <c r="AL436" t="str">
        <f>LEFT(Table1[[#This Row],[discount_type]],1)&amp;TEXT(ROUND(Table1[[#This Row],[discount_rate]]*100,0),"00")</f>
        <v>S15</v>
      </c>
      <c r="AM436" t="str" cm="1">
        <f t="array" ref="AM436">TEXT(SUMPRODUCT(CODE(MID(Table1[[#This Row],[home_gym_location]],_xlfn.SEQUENCE(LEN(Table1[[#This Row],[home_gym_location]])),1))),"00000")</f>
        <v>00906</v>
      </c>
      <c r="AN436" t="str">
        <f>UPPER(_xlfn.TEXTBEFORE(Table1[[#This Row],[home_gym_location]],","))&amp;"-"&amp;TEXT(MATCH(Table1[[#This Row],[home_gym_location]],_xlfn._xlws.SORT(_xlfn.UNIQUE(Table1[home_gym_location])),0),"000")</f>
        <v>OAKLAND-006</v>
      </c>
      <c r="AO436" t="str">
        <f>LEFT(_xlfn.TEXTBEFORE(Table1[[#This Row],[Location Identifier]],"-"),3) &amp; "-" &amp; _xlfn.TEXTAFTER(Table1[[#This Row],[Location Identifier]],"-")</f>
        <v>OAK-006</v>
      </c>
      <c r="AP436" s="9">
        <f t="shared" ca="1" si="60"/>
        <v>45869</v>
      </c>
    </row>
    <row r="437" spans="1:42" x14ac:dyDescent="0.25">
      <c r="A437">
        <v>32</v>
      </c>
      <c r="B437" t="s">
        <v>42</v>
      </c>
      <c r="C437">
        <v>3</v>
      </c>
      <c r="D437" t="s">
        <v>124</v>
      </c>
      <c r="E437" t="b">
        <v>0</v>
      </c>
      <c r="F437" s="1">
        <v>0.34236111111111112</v>
      </c>
      <c r="G437" s="1">
        <v>0.37916666666666665</v>
      </c>
      <c r="H437">
        <v>53</v>
      </c>
      <c r="I437" t="b">
        <v>1</v>
      </c>
      <c r="J437" t="b">
        <v>0</v>
      </c>
      <c r="K437" t="b">
        <v>0</v>
      </c>
      <c r="L437" t="s">
        <v>28</v>
      </c>
      <c r="M437">
        <v>20</v>
      </c>
      <c r="N437" t="s">
        <v>64</v>
      </c>
      <c r="O437">
        <v>15</v>
      </c>
      <c r="P437" t="s">
        <v>36</v>
      </c>
      <c r="Q437">
        <v>0</v>
      </c>
      <c r="R437">
        <v>15</v>
      </c>
      <c r="S437" t="s">
        <v>44</v>
      </c>
      <c r="T437" t="s">
        <v>59</v>
      </c>
      <c r="U437">
        <v>37.774900000000002</v>
      </c>
      <c r="V437">
        <v>-122.4194</v>
      </c>
      <c r="W437" s="2">
        <v>45084</v>
      </c>
      <c r="X437">
        <v>0</v>
      </c>
      <c r="Y437" t="b">
        <v>0</v>
      </c>
      <c r="Z437" s="2">
        <v>45818</v>
      </c>
      <c r="AA437" t="str">
        <f t="shared" si="61"/>
        <v>30–39</v>
      </c>
      <c r="AB437" t="str">
        <f t="shared" si="62"/>
        <v>30–39</v>
      </c>
      <c r="AC437" t="str">
        <f t="shared" si="63"/>
        <v>Monday</v>
      </c>
      <c r="AD437" t="str">
        <f t="shared" si="64"/>
        <v/>
      </c>
      <c r="AE437" t="str">
        <f t="shared" si="65"/>
        <v/>
      </c>
      <c r="AF437" t="str">
        <f t="shared" si="66"/>
        <v>Thursday</v>
      </c>
      <c r="AG437" t="str">
        <f t="shared" si="67"/>
        <v>Friday</v>
      </c>
      <c r="AH437" t="str">
        <f t="shared" si="68"/>
        <v/>
      </c>
      <c r="AI437" t="str">
        <f t="shared" si="69"/>
        <v/>
      </c>
      <c r="AJ437" t="str">
        <f>LEFT(Table1[[#This Row],[membership_type]],2)&amp;TEXT(Table1[[#This Row],[age]],"00")&amp;"-"&amp;TEXT(ROW(),"000")</f>
        <v>Ba32-437</v>
      </c>
      <c r="AK437" t="str">
        <f>LEFT(Table1[[#This Row],[membership_type]],1)&amp;TEXT(MATCH(Table1[[#This Row],[membership_type]],Table1[membership_type],0),"00")</f>
        <v>B04</v>
      </c>
      <c r="AL437" t="str">
        <f>LEFT(Table1[[#This Row],[discount_type]],1)&amp;TEXT(ROUND(Table1[[#This Row],[discount_rate]]*100,0),"00")</f>
        <v>N00</v>
      </c>
      <c r="AM437" t="str" cm="1">
        <f t="array" ref="AM437">TEXT(SUMPRODUCT(CODE(MID(Table1[[#This Row],[home_gym_location]],_xlfn.SEQUENCE(LEN(Table1[[#This Row],[home_gym_location]])),1))),"00000")</f>
        <v>01450</v>
      </c>
      <c r="AN43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37" t="str">
        <f>LEFT(_xlfn.TEXTBEFORE(Table1[[#This Row],[Location Identifier]],"-"),3) &amp; "-" &amp; _xlfn.TEXTAFTER(Table1[[#This Row],[Location Identifier]],"-")</f>
        <v>SAN-009</v>
      </c>
      <c r="AP437" s="9">
        <f t="shared" ca="1" si="60"/>
        <v>45869</v>
      </c>
    </row>
    <row r="438" spans="1:42" x14ac:dyDescent="0.25">
      <c r="A438">
        <v>29</v>
      </c>
      <c r="B438" t="s">
        <v>33</v>
      </c>
      <c r="C438">
        <v>3</v>
      </c>
      <c r="D438" t="s">
        <v>91</v>
      </c>
      <c r="E438" t="b">
        <v>0</v>
      </c>
      <c r="F438" s="1">
        <v>0.62847222222222221</v>
      </c>
      <c r="G438" s="1">
        <v>0.67986111111111114</v>
      </c>
      <c r="H438">
        <v>74</v>
      </c>
      <c r="I438" t="b">
        <v>0</v>
      </c>
      <c r="J438" t="b">
        <v>1</v>
      </c>
      <c r="K438" t="b">
        <v>1</v>
      </c>
      <c r="L438" t="s">
        <v>35</v>
      </c>
      <c r="M438">
        <v>30</v>
      </c>
      <c r="N438" t="s">
        <v>29</v>
      </c>
      <c r="O438">
        <v>30</v>
      </c>
      <c r="P438" t="s">
        <v>36</v>
      </c>
      <c r="Q438">
        <v>0</v>
      </c>
      <c r="R438">
        <v>30</v>
      </c>
      <c r="S438" t="s">
        <v>37</v>
      </c>
      <c r="T438" t="s">
        <v>54</v>
      </c>
      <c r="U438">
        <v>32.715699999999998</v>
      </c>
      <c r="V438">
        <v>-117.1611</v>
      </c>
      <c r="W438" s="2">
        <v>45753</v>
      </c>
      <c r="X438">
        <v>6</v>
      </c>
      <c r="Y438" t="b">
        <v>0</v>
      </c>
      <c r="Z438" s="2">
        <v>45856</v>
      </c>
      <c r="AA438" t="str">
        <f t="shared" si="61"/>
        <v>20–29</v>
      </c>
      <c r="AB438" t="str">
        <f t="shared" si="62"/>
        <v>20–29</v>
      </c>
      <c r="AC438" t="str">
        <f t="shared" si="63"/>
        <v>Monday</v>
      </c>
      <c r="AD438" t="str">
        <f t="shared" si="64"/>
        <v/>
      </c>
      <c r="AE438" t="str">
        <f t="shared" si="65"/>
        <v/>
      </c>
      <c r="AF438" t="str">
        <f t="shared" si="66"/>
        <v>Thursday</v>
      </c>
      <c r="AG438" t="str">
        <f t="shared" si="67"/>
        <v/>
      </c>
      <c r="AH438" t="str">
        <f t="shared" si="68"/>
        <v>Saturday</v>
      </c>
      <c r="AI438" t="str">
        <f t="shared" si="69"/>
        <v/>
      </c>
      <c r="AJ438" t="str">
        <f>LEFT(Table1[[#This Row],[membership_type]],2)&amp;TEXT(Table1[[#This Row],[age]],"00")&amp;"-"&amp;TEXT(ROW(),"000")</f>
        <v>St29-438</v>
      </c>
      <c r="AK438" t="str">
        <f>LEFT(Table1[[#This Row],[membership_type]],1)&amp;TEXT(MATCH(Table1[[#This Row],[membership_type]],Table1[membership_type],0),"00")</f>
        <v>S02</v>
      </c>
      <c r="AL438" t="str">
        <f>LEFT(Table1[[#This Row],[discount_type]],1)&amp;TEXT(ROUND(Table1[[#This Row],[discount_rate]]*100,0),"00")</f>
        <v>N00</v>
      </c>
      <c r="AM438" t="str" cm="1">
        <f t="array" ref="AM438">TEXT(SUMPRODUCT(CODE(MID(Table1[[#This Row],[home_gym_location]],_xlfn.SEQUENCE(LEN(Table1[[#This Row],[home_gym_location]])),1))),"00000")</f>
        <v>01018</v>
      </c>
      <c r="AN43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38" t="str">
        <f>LEFT(_xlfn.TEXTBEFORE(Table1[[#This Row],[Location Identifier]],"-"),3) &amp; "-" &amp; _xlfn.TEXTAFTER(Table1[[#This Row],[Location Identifier]],"-")</f>
        <v>SAN-008</v>
      </c>
      <c r="AP438" s="9">
        <f t="shared" ca="1" si="60"/>
        <v>45869</v>
      </c>
    </row>
    <row r="439" spans="1:42" x14ac:dyDescent="0.25">
      <c r="A439">
        <v>49</v>
      </c>
      <c r="B439" t="s">
        <v>33</v>
      </c>
      <c r="C439">
        <v>2</v>
      </c>
      <c r="D439" t="s">
        <v>139</v>
      </c>
      <c r="E439" t="b">
        <v>0</v>
      </c>
      <c r="F439" s="1">
        <v>0.65347222222222223</v>
      </c>
      <c r="G439" s="1">
        <v>0.73958333333333337</v>
      </c>
      <c r="H439">
        <v>124</v>
      </c>
      <c r="I439" t="b">
        <v>1</v>
      </c>
      <c r="J439" t="b">
        <v>0</v>
      </c>
      <c r="K439" t="b">
        <v>0</v>
      </c>
      <c r="L439" t="s">
        <v>28</v>
      </c>
      <c r="M439">
        <v>30</v>
      </c>
      <c r="N439" t="s">
        <v>29</v>
      </c>
      <c r="O439">
        <v>30</v>
      </c>
      <c r="P439" t="s">
        <v>40</v>
      </c>
      <c r="Q439">
        <v>0.1</v>
      </c>
      <c r="R439">
        <v>27</v>
      </c>
      <c r="S439" t="s">
        <v>37</v>
      </c>
      <c r="T439" t="s">
        <v>50</v>
      </c>
      <c r="U439">
        <v>34.052199999999999</v>
      </c>
      <c r="V439">
        <v>-118.2437</v>
      </c>
      <c r="W439" s="2">
        <v>44955</v>
      </c>
      <c r="X439">
        <v>0</v>
      </c>
      <c r="Y439" t="b">
        <v>0</v>
      </c>
      <c r="Z439" s="2">
        <v>45811</v>
      </c>
      <c r="AA439" t="str">
        <f t="shared" si="61"/>
        <v>40–49</v>
      </c>
      <c r="AB439" t="str">
        <f t="shared" si="62"/>
        <v>40–49</v>
      </c>
      <c r="AC439" t="str">
        <f t="shared" si="63"/>
        <v/>
      </c>
      <c r="AD439" t="str">
        <f t="shared" si="64"/>
        <v/>
      </c>
      <c r="AE439" t="str">
        <f t="shared" si="65"/>
        <v>Wednesday</v>
      </c>
      <c r="AF439" t="str">
        <f t="shared" si="66"/>
        <v/>
      </c>
      <c r="AG439" t="str">
        <f t="shared" si="67"/>
        <v/>
      </c>
      <c r="AH439" t="str">
        <f t="shared" si="68"/>
        <v>Saturday</v>
      </c>
      <c r="AI439" t="str">
        <f t="shared" si="69"/>
        <v/>
      </c>
      <c r="AJ439" t="str">
        <f>LEFT(Table1[[#This Row],[membership_type]],2)&amp;TEXT(Table1[[#This Row],[age]],"00")&amp;"-"&amp;TEXT(ROW(),"000")</f>
        <v>St49-439</v>
      </c>
      <c r="AK439" t="str">
        <f>LEFT(Table1[[#This Row],[membership_type]],1)&amp;TEXT(MATCH(Table1[[#This Row],[membership_type]],Table1[membership_type],0),"00")</f>
        <v>S02</v>
      </c>
      <c r="AL439" t="str">
        <f>LEFT(Table1[[#This Row],[discount_type]],1)&amp;TEXT(ROUND(Table1[[#This Row],[discount_rate]]*100,0),"00")</f>
        <v>L10</v>
      </c>
      <c r="AM439" t="str" cm="1">
        <f t="array" ref="AM439">TEXT(SUMPRODUCT(CODE(MID(Table1[[#This Row],[home_gym_location]],_xlfn.SEQUENCE(LEN(Table1[[#This Row],[home_gym_location]])),1))),"00000")</f>
        <v>01245</v>
      </c>
      <c r="AN43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39" t="str">
        <f>LEFT(_xlfn.TEXTBEFORE(Table1[[#This Row],[Location Identifier]],"-"),3) &amp; "-" &amp; _xlfn.TEXTAFTER(Table1[[#This Row],[Location Identifier]],"-")</f>
        <v>LOS-005</v>
      </c>
      <c r="AP439" s="9">
        <f t="shared" ca="1" si="60"/>
        <v>45869</v>
      </c>
    </row>
    <row r="440" spans="1:42" x14ac:dyDescent="0.25">
      <c r="A440">
        <v>24</v>
      </c>
      <c r="B440" t="s">
        <v>26</v>
      </c>
      <c r="C440">
        <v>1</v>
      </c>
      <c r="D440" t="s">
        <v>67</v>
      </c>
      <c r="E440" t="b">
        <v>1</v>
      </c>
      <c r="F440" s="1">
        <v>0.37361111111111112</v>
      </c>
      <c r="G440" s="1">
        <v>0.49513888888888891</v>
      </c>
      <c r="H440">
        <v>175</v>
      </c>
      <c r="I440" t="b">
        <v>0</v>
      </c>
      <c r="J440" t="b">
        <v>1</v>
      </c>
      <c r="K440" t="b">
        <v>1</v>
      </c>
      <c r="L440" t="s">
        <v>28</v>
      </c>
      <c r="M440">
        <v>50</v>
      </c>
      <c r="N440" t="s">
        <v>64</v>
      </c>
      <c r="O440">
        <v>37.5</v>
      </c>
      <c r="P440" t="s">
        <v>36</v>
      </c>
      <c r="Q440">
        <v>0</v>
      </c>
      <c r="R440">
        <v>37.5</v>
      </c>
      <c r="S440" t="s">
        <v>31</v>
      </c>
      <c r="T440" t="s">
        <v>65</v>
      </c>
      <c r="U440">
        <v>33.770099999999999</v>
      </c>
      <c r="V440">
        <v>-118.19370000000001</v>
      </c>
      <c r="W440" s="2">
        <v>45078</v>
      </c>
      <c r="X440">
        <v>3</v>
      </c>
      <c r="Y440" t="b">
        <v>1</v>
      </c>
      <c r="Z440" s="2">
        <v>45818</v>
      </c>
      <c r="AA440" t="str">
        <f t="shared" si="61"/>
        <v>20–29</v>
      </c>
      <c r="AB440" t="str">
        <f t="shared" si="62"/>
        <v>20–29</v>
      </c>
      <c r="AC440" t="str">
        <f t="shared" si="63"/>
        <v/>
      </c>
      <c r="AD440" t="str">
        <f t="shared" si="64"/>
        <v/>
      </c>
      <c r="AE440" t="str">
        <f t="shared" si="65"/>
        <v/>
      </c>
      <c r="AF440" t="str">
        <f t="shared" si="66"/>
        <v>Thursday</v>
      </c>
      <c r="AG440" t="str">
        <f t="shared" si="67"/>
        <v/>
      </c>
      <c r="AH440" t="str">
        <f t="shared" si="68"/>
        <v/>
      </c>
      <c r="AI440" t="str">
        <f t="shared" si="69"/>
        <v/>
      </c>
      <c r="AJ440" t="str">
        <f>LEFT(Table1[[#This Row],[membership_type]],2)&amp;TEXT(Table1[[#This Row],[age]],"00")&amp;"-"&amp;TEXT(ROW(),"000")</f>
        <v>Pr24-440</v>
      </c>
      <c r="AK440" t="str">
        <f>LEFT(Table1[[#This Row],[membership_type]],1)&amp;TEXT(MATCH(Table1[[#This Row],[membership_type]],Table1[membership_type],0),"00")</f>
        <v>P01</v>
      </c>
      <c r="AL440" t="str">
        <f>LEFT(Table1[[#This Row],[discount_type]],1)&amp;TEXT(ROUND(Table1[[#This Row],[discount_rate]]*100,0),"00")</f>
        <v>N00</v>
      </c>
      <c r="AM440" t="str" cm="1">
        <f t="array" ref="AM440">TEXT(SUMPRODUCT(CODE(MID(Table1[[#This Row],[home_gym_location]],_xlfn.SEQUENCE(LEN(Table1[[#This Row],[home_gym_location]])),1))),"00000")</f>
        <v>01107</v>
      </c>
      <c r="AN44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40" t="str">
        <f>LEFT(_xlfn.TEXTBEFORE(Table1[[#This Row],[Location Identifier]],"-"),3) &amp; "-" &amp; _xlfn.TEXTAFTER(Table1[[#This Row],[Location Identifier]],"-")</f>
        <v>LON-004</v>
      </c>
      <c r="AP440" s="9">
        <f t="shared" ca="1" si="60"/>
        <v>45869</v>
      </c>
    </row>
    <row r="441" spans="1:42" x14ac:dyDescent="0.25">
      <c r="A441">
        <v>28</v>
      </c>
      <c r="B441" t="s">
        <v>26</v>
      </c>
      <c r="C441">
        <v>1</v>
      </c>
      <c r="D441" t="s">
        <v>49</v>
      </c>
      <c r="E441" t="b">
        <v>0</v>
      </c>
      <c r="F441" s="1">
        <v>0.49236111111111114</v>
      </c>
      <c r="G441" s="1">
        <v>0.59097222222222223</v>
      </c>
      <c r="H441">
        <v>142</v>
      </c>
      <c r="I441" t="b">
        <v>1</v>
      </c>
      <c r="J441" t="b">
        <v>1</v>
      </c>
      <c r="K441" t="b">
        <v>1</v>
      </c>
      <c r="L441" t="s">
        <v>47</v>
      </c>
      <c r="M441">
        <v>50</v>
      </c>
      <c r="N441" t="s">
        <v>29</v>
      </c>
      <c r="O441">
        <v>50</v>
      </c>
      <c r="P441" t="s">
        <v>40</v>
      </c>
      <c r="Q441">
        <v>0.1</v>
      </c>
      <c r="R441">
        <v>45</v>
      </c>
      <c r="S441" t="s">
        <v>31</v>
      </c>
      <c r="T441" t="s">
        <v>48</v>
      </c>
      <c r="U441">
        <v>38.581600000000002</v>
      </c>
      <c r="V441">
        <v>-121.4944</v>
      </c>
      <c r="W441" s="2">
        <v>45744</v>
      </c>
      <c r="X441">
        <v>8</v>
      </c>
      <c r="Y441" t="b">
        <v>1</v>
      </c>
      <c r="Z441" s="2">
        <v>45856</v>
      </c>
      <c r="AA441" t="str">
        <f t="shared" si="61"/>
        <v>20–29</v>
      </c>
      <c r="AB441" t="str">
        <f t="shared" si="62"/>
        <v>20–29</v>
      </c>
      <c r="AC441" t="str">
        <f t="shared" si="63"/>
        <v/>
      </c>
      <c r="AD441" t="str">
        <f t="shared" si="64"/>
        <v/>
      </c>
      <c r="AE441" t="str">
        <f t="shared" si="65"/>
        <v/>
      </c>
      <c r="AF441" t="str">
        <f t="shared" si="66"/>
        <v/>
      </c>
      <c r="AG441" t="str">
        <f t="shared" si="67"/>
        <v/>
      </c>
      <c r="AH441" t="str">
        <f t="shared" si="68"/>
        <v/>
      </c>
      <c r="AI441" t="str">
        <f t="shared" si="69"/>
        <v>Sunday</v>
      </c>
      <c r="AJ441" t="str">
        <f>LEFT(Table1[[#This Row],[membership_type]],2)&amp;TEXT(Table1[[#This Row],[age]],"00")&amp;"-"&amp;TEXT(ROW(),"000")</f>
        <v>Pr28-441</v>
      </c>
      <c r="AK441" t="str">
        <f>LEFT(Table1[[#This Row],[membership_type]],1)&amp;TEXT(MATCH(Table1[[#This Row],[membership_type]],Table1[membership_type],0),"00")</f>
        <v>P01</v>
      </c>
      <c r="AL441" t="str">
        <f>LEFT(Table1[[#This Row],[discount_type]],1)&amp;TEXT(ROUND(Table1[[#This Row],[discount_rate]]*100,0),"00")</f>
        <v>L10</v>
      </c>
      <c r="AM441" t="str" cm="1">
        <f t="array" ref="AM441">TEXT(SUMPRODUCT(CODE(MID(Table1[[#This Row],[home_gym_location]],_xlfn.SEQUENCE(LEN(Table1[[#This Row],[home_gym_location]])),1))),"00000")</f>
        <v>01245</v>
      </c>
      <c r="AN44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41" t="str">
        <f>LEFT(_xlfn.TEXTBEFORE(Table1[[#This Row],[Location Identifier]],"-"),3) &amp; "-" &amp; _xlfn.TEXTAFTER(Table1[[#This Row],[Location Identifier]],"-")</f>
        <v>SAC-007</v>
      </c>
      <c r="AP441" s="9">
        <f t="shared" ca="1" si="60"/>
        <v>45869</v>
      </c>
    </row>
    <row r="442" spans="1:42" x14ac:dyDescent="0.25">
      <c r="A442">
        <v>47</v>
      </c>
      <c r="B442" t="s">
        <v>26</v>
      </c>
      <c r="C442">
        <v>3</v>
      </c>
      <c r="D442" t="s">
        <v>153</v>
      </c>
      <c r="E442" t="b">
        <v>0</v>
      </c>
      <c r="F442" s="1">
        <v>0.81319444444444444</v>
      </c>
      <c r="G442" s="1">
        <v>0.84652777777777777</v>
      </c>
      <c r="H442">
        <v>48</v>
      </c>
      <c r="I442" t="b">
        <v>0</v>
      </c>
      <c r="J442" t="b">
        <v>1</v>
      </c>
      <c r="K442" t="b">
        <v>0</v>
      </c>
      <c r="L442" t="s">
        <v>58</v>
      </c>
      <c r="M442">
        <v>50</v>
      </c>
      <c r="N442" t="s">
        <v>29</v>
      </c>
      <c r="O442">
        <v>50</v>
      </c>
      <c r="P442" t="s">
        <v>74</v>
      </c>
      <c r="Q442">
        <v>0.15</v>
      </c>
      <c r="R442">
        <v>42.5</v>
      </c>
      <c r="S442" t="s">
        <v>31</v>
      </c>
      <c r="T442" t="s">
        <v>32</v>
      </c>
      <c r="U442">
        <v>37.338200000000001</v>
      </c>
      <c r="V442">
        <v>-121.88630000000001</v>
      </c>
      <c r="W442" s="2">
        <v>45740</v>
      </c>
      <c r="X442">
        <v>1</v>
      </c>
      <c r="Y442" t="b">
        <v>0</v>
      </c>
      <c r="Z442" s="2">
        <v>45855</v>
      </c>
      <c r="AA442" t="str">
        <f t="shared" si="61"/>
        <v>40–49</v>
      </c>
      <c r="AB442" t="str">
        <f t="shared" si="62"/>
        <v>40–49</v>
      </c>
      <c r="AC442" t="str">
        <f t="shared" si="63"/>
        <v>Monday</v>
      </c>
      <c r="AD442" t="str">
        <f t="shared" si="64"/>
        <v/>
      </c>
      <c r="AE442" t="str">
        <f t="shared" si="65"/>
        <v>Wednesday</v>
      </c>
      <c r="AF442" t="str">
        <f t="shared" si="66"/>
        <v/>
      </c>
      <c r="AG442" t="str">
        <f t="shared" si="67"/>
        <v/>
      </c>
      <c r="AH442" t="str">
        <f t="shared" si="68"/>
        <v>Saturday</v>
      </c>
      <c r="AI442" t="str">
        <f t="shared" si="69"/>
        <v/>
      </c>
      <c r="AJ442" t="str">
        <f>LEFT(Table1[[#This Row],[membership_type]],2)&amp;TEXT(Table1[[#This Row],[age]],"00")&amp;"-"&amp;TEXT(ROW(),"000")</f>
        <v>Pr47-442</v>
      </c>
      <c r="AK442" t="str">
        <f>LEFT(Table1[[#This Row],[membership_type]],1)&amp;TEXT(MATCH(Table1[[#This Row],[membership_type]],Table1[membership_type],0),"00")</f>
        <v>P01</v>
      </c>
      <c r="AL442" t="str">
        <f>LEFT(Table1[[#This Row],[discount_type]],1)&amp;TEXT(ROUND(Table1[[#This Row],[discount_rate]]*100,0),"00")</f>
        <v>S15</v>
      </c>
      <c r="AM442" t="str" cm="1">
        <f t="array" ref="AM442">TEXT(SUMPRODUCT(CODE(MID(Table1[[#This Row],[home_gym_location]],_xlfn.SEQUENCE(LEN(Table1[[#This Row],[home_gym_location]])),1))),"00000")</f>
        <v>00931</v>
      </c>
      <c r="AN44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42" t="str">
        <f>LEFT(_xlfn.TEXTBEFORE(Table1[[#This Row],[Location Identifier]],"-"),3) &amp; "-" &amp; _xlfn.TEXTAFTER(Table1[[#This Row],[Location Identifier]],"-")</f>
        <v>SAN-010</v>
      </c>
      <c r="AP442" s="9">
        <f t="shared" ca="1" si="60"/>
        <v>45869</v>
      </c>
    </row>
    <row r="443" spans="1:42" x14ac:dyDescent="0.25">
      <c r="A443">
        <v>41</v>
      </c>
      <c r="B443" t="s">
        <v>42</v>
      </c>
      <c r="C443">
        <v>3</v>
      </c>
      <c r="D443" t="s">
        <v>117</v>
      </c>
      <c r="E443" t="b">
        <v>1</v>
      </c>
      <c r="F443" s="1">
        <v>0.65277777777777779</v>
      </c>
      <c r="G443" s="1">
        <v>0.72291666666666665</v>
      </c>
      <c r="H443">
        <v>101</v>
      </c>
      <c r="I443" t="b">
        <v>1</v>
      </c>
      <c r="J443" t="b">
        <v>1</v>
      </c>
      <c r="K443" t="b">
        <v>0</v>
      </c>
      <c r="L443" t="s">
        <v>62</v>
      </c>
      <c r="M443">
        <v>20</v>
      </c>
      <c r="N443" t="s">
        <v>29</v>
      </c>
      <c r="O443">
        <v>20</v>
      </c>
      <c r="P443" t="s">
        <v>40</v>
      </c>
      <c r="Q443">
        <v>0.1</v>
      </c>
      <c r="R443">
        <v>18</v>
      </c>
      <c r="S443" t="s">
        <v>44</v>
      </c>
      <c r="T443" t="s">
        <v>50</v>
      </c>
      <c r="U443">
        <v>34.052199999999999</v>
      </c>
      <c r="V443">
        <v>-118.2437</v>
      </c>
      <c r="W443" s="2">
        <v>44780</v>
      </c>
      <c r="X443">
        <v>4</v>
      </c>
      <c r="Y443" t="b">
        <v>1</v>
      </c>
      <c r="Z443" s="2">
        <v>45801</v>
      </c>
      <c r="AA443" t="str">
        <f t="shared" si="61"/>
        <v>40–49</v>
      </c>
      <c r="AB443" t="str">
        <f t="shared" si="62"/>
        <v>40–49</v>
      </c>
      <c r="AC443" t="str">
        <f t="shared" si="63"/>
        <v/>
      </c>
      <c r="AD443" t="str">
        <f t="shared" si="64"/>
        <v/>
      </c>
      <c r="AE443" t="str">
        <f t="shared" si="65"/>
        <v>Wednesday</v>
      </c>
      <c r="AF443" t="str">
        <f t="shared" si="66"/>
        <v>Thursday</v>
      </c>
      <c r="AG443" t="str">
        <f t="shared" si="67"/>
        <v/>
      </c>
      <c r="AH443" t="str">
        <f t="shared" si="68"/>
        <v/>
      </c>
      <c r="AI443" t="str">
        <f t="shared" si="69"/>
        <v>Sunday</v>
      </c>
      <c r="AJ443" t="str">
        <f>LEFT(Table1[[#This Row],[membership_type]],2)&amp;TEXT(Table1[[#This Row],[age]],"00")&amp;"-"&amp;TEXT(ROW(),"000")</f>
        <v>Ba41-443</v>
      </c>
      <c r="AK443" t="str">
        <f>LEFT(Table1[[#This Row],[membership_type]],1)&amp;TEXT(MATCH(Table1[[#This Row],[membership_type]],Table1[membership_type],0),"00")</f>
        <v>B04</v>
      </c>
      <c r="AL443" t="str">
        <f>LEFT(Table1[[#This Row],[discount_type]],1)&amp;TEXT(ROUND(Table1[[#This Row],[discount_rate]]*100,0),"00")</f>
        <v>L10</v>
      </c>
      <c r="AM443" t="str" cm="1">
        <f t="array" ref="AM443">TEXT(SUMPRODUCT(CODE(MID(Table1[[#This Row],[home_gym_location]],_xlfn.SEQUENCE(LEN(Table1[[#This Row],[home_gym_location]])),1))),"00000")</f>
        <v>01245</v>
      </c>
      <c r="AN44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43" t="str">
        <f>LEFT(_xlfn.TEXTBEFORE(Table1[[#This Row],[Location Identifier]],"-"),3) &amp; "-" &amp; _xlfn.TEXTAFTER(Table1[[#This Row],[Location Identifier]],"-")</f>
        <v>LOS-005</v>
      </c>
      <c r="AP443" s="9">
        <f t="shared" ca="1" si="60"/>
        <v>45869</v>
      </c>
    </row>
    <row r="444" spans="1:42" x14ac:dyDescent="0.25">
      <c r="A444">
        <v>32</v>
      </c>
      <c r="B444" t="s">
        <v>33</v>
      </c>
      <c r="C444">
        <v>3</v>
      </c>
      <c r="D444" t="s">
        <v>55</v>
      </c>
      <c r="E444" t="b">
        <v>0</v>
      </c>
      <c r="F444" s="1">
        <v>0.59930555555555554</v>
      </c>
      <c r="G444" s="1">
        <v>0.65833333333333333</v>
      </c>
      <c r="H444">
        <v>85</v>
      </c>
      <c r="I444" t="b">
        <v>1</v>
      </c>
      <c r="J444" t="b">
        <v>0</v>
      </c>
      <c r="K444" t="b">
        <v>0</v>
      </c>
      <c r="L444" t="s">
        <v>47</v>
      </c>
      <c r="M444">
        <v>30</v>
      </c>
      <c r="N444" t="s">
        <v>29</v>
      </c>
      <c r="O444">
        <v>30</v>
      </c>
      <c r="P444" t="s">
        <v>36</v>
      </c>
      <c r="Q444">
        <v>0</v>
      </c>
      <c r="R444">
        <v>30</v>
      </c>
      <c r="S444" t="s">
        <v>37</v>
      </c>
      <c r="T444" t="s">
        <v>65</v>
      </c>
      <c r="U444">
        <v>33.770099999999999</v>
      </c>
      <c r="V444">
        <v>-118.19370000000001</v>
      </c>
      <c r="W444" s="2">
        <v>45432</v>
      </c>
      <c r="X444">
        <v>0</v>
      </c>
      <c r="Y444" t="b">
        <v>0</v>
      </c>
      <c r="Z444" s="2">
        <v>45838</v>
      </c>
      <c r="AA444" t="str">
        <f t="shared" si="61"/>
        <v>30–39</v>
      </c>
      <c r="AB444" t="str">
        <f t="shared" si="62"/>
        <v>30–39</v>
      </c>
      <c r="AC444" t="str">
        <f t="shared" si="63"/>
        <v/>
      </c>
      <c r="AD444" t="str">
        <f t="shared" si="64"/>
        <v/>
      </c>
      <c r="AE444" t="str">
        <f t="shared" si="65"/>
        <v/>
      </c>
      <c r="AF444" t="str">
        <f t="shared" si="66"/>
        <v>Thursday</v>
      </c>
      <c r="AG444" t="str">
        <f t="shared" si="67"/>
        <v>Friday</v>
      </c>
      <c r="AH444" t="str">
        <f t="shared" si="68"/>
        <v/>
      </c>
      <c r="AI444" t="str">
        <f t="shared" si="69"/>
        <v>Sunday</v>
      </c>
      <c r="AJ444" t="str">
        <f>LEFT(Table1[[#This Row],[membership_type]],2)&amp;TEXT(Table1[[#This Row],[age]],"00")&amp;"-"&amp;TEXT(ROW(),"000")</f>
        <v>St32-444</v>
      </c>
      <c r="AK444" t="str">
        <f>LEFT(Table1[[#This Row],[membership_type]],1)&amp;TEXT(MATCH(Table1[[#This Row],[membership_type]],Table1[membership_type],0),"00")</f>
        <v>S02</v>
      </c>
      <c r="AL444" t="str">
        <f>LEFT(Table1[[#This Row],[discount_type]],1)&amp;TEXT(ROUND(Table1[[#This Row],[discount_rate]]*100,0),"00")</f>
        <v>N00</v>
      </c>
      <c r="AM444" t="str" cm="1">
        <f t="array" ref="AM444">TEXT(SUMPRODUCT(CODE(MID(Table1[[#This Row],[home_gym_location]],_xlfn.SEQUENCE(LEN(Table1[[#This Row],[home_gym_location]])),1))),"00000")</f>
        <v>01107</v>
      </c>
      <c r="AN44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44" t="str">
        <f>LEFT(_xlfn.TEXTBEFORE(Table1[[#This Row],[Location Identifier]],"-"),3) &amp; "-" &amp; _xlfn.TEXTAFTER(Table1[[#This Row],[Location Identifier]],"-")</f>
        <v>LON-004</v>
      </c>
      <c r="AP444" s="9">
        <f t="shared" ca="1" si="60"/>
        <v>45869</v>
      </c>
    </row>
    <row r="445" spans="1:42" x14ac:dyDescent="0.25">
      <c r="A445">
        <v>42</v>
      </c>
      <c r="B445" t="s">
        <v>42</v>
      </c>
      <c r="C445">
        <v>3</v>
      </c>
      <c r="D445" t="s">
        <v>91</v>
      </c>
      <c r="E445" t="b">
        <v>0</v>
      </c>
      <c r="F445" s="1">
        <v>0.68055555555555558</v>
      </c>
      <c r="G445" s="1">
        <v>0.72222222222222221</v>
      </c>
      <c r="H445">
        <v>60</v>
      </c>
      <c r="I445" t="b">
        <v>1</v>
      </c>
      <c r="J445" t="b">
        <v>1</v>
      </c>
      <c r="K445" t="b">
        <v>0</v>
      </c>
      <c r="L445" t="s">
        <v>28</v>
      </c>
      <c r="M445">
        <v>20</v>
      </c>
      <c r="N445" t="s">
        <v>29</v>
      </c>
      <c r="O445">
        <v>20</v>
      </c>
      <c r="P445" t="s">
        <v>30</v>
      </c>
      <c r="Q445">
        <v>0.05</v>
      </c>
      <c r="R445">
        <v>19</v>
      </c>
      <c r="S445" t="s">
        <v>44</v>
      </c>
      <c r="T445" t="s">
        <v>32</v>
      </c>
      <c r="U445">
        <v>37.338200000000001</v>
      </c>
      <c r="V445">
        <v>-121.88630000000001</v>
      </c>
      <c r="W445" s="2">
        <v>45436</v>
      </c>
      <c r="X445">
        <v>3</v>
      </c>
      <c r="Y445" t="b">
        <v>1</v>
      </c>
      <c r="Z445" s="2">
        <v>45838</v>
      </c>
      <c r="AA445" t="str">
        <f t="shared" si="61"/>
        <v>40–49</v>
      </c>
      <c r="AB445" t="str">
        <f t="shared" si="62"/>
        <v>40–49</v>
      </c>
      <c r="AC445" t="str">
        <f t="shared" si="63"/>
        <v>Monday</v>
      </c>
      <c r="AD445" t="str">
        <f t="shared" si="64"/>
        <v/>
      </c>
      <c r="AE445" t="str">
        <f t="shared" si="65"/>
        <v/>
      </c>
      <c r="AF445" t="str">
        <f t="shared" si="66"/>
        <v>Thursday</v>
      </c>
      <c r="AG445" t="str">
        <f t="shared" si="67"/>
        <v/>
      </c>
      <c r="AH445" t="str">
        <f t="shared" si="68"/>
        <v>Saturday</v>
      </c>
      <c r="AI445" t="str">
        <f t="shared" si="69"/>
        <v/>
      </c>
      <c r="AJ445" t="str">
        <f>LEFT(Table1[[#This Row],[membership_type]],2)&amp;TEXT(Table1[[#This Row],[age]],"00")&amp;"-"&amp;TEXT(ROW(),"000")</f>
        <v>Ba42-445</v>
      </c>
      <c r="AK445" t="str">
        <f>LEFT(Table1[[#This Row],[membership_type]],1)&amp;TEXT(MATCH(Table1[[#This Row],[membership_type]],Table1[membership_type],0),"00")</f>
        <v>B04</v>
      </c>
      <c r="AL445" t="str">
        <f>LEFT(Table1[[#This Row],[discount_type]],1)&amp;TEXT(ROUND(Table1[[#This Row],[discount_rate]]*100,0),"00")</f>
        <v>P05</v>
      </c>
      <c r="AM445" t="str" cm="1">
        <f t="array" ref="AM445">TEXT(SUMPRODUCT(CODE(MID(Table1[[#This Row],[home_gym_location]],_xlfn.SEQUENCE(LEN(Table1[[#This Row],[home_gym_location]])),1))),"00000")</f>
        <v>00931</v>
      </c>
      <c r="AN44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45" t="str">
        <f>LEFT(_xlfn.TEXTBEFORE(Table1[[#This Row],[Location Identifier]],"-"),3) &amp; "-" &amp; _xlfn.TEXTAFTER(Table1[[#This Row],[Location Identifier]],"-")</f>
        <v>SAN-010</v>
      </c>
      <c r="AP445" s="9">
        <f t="shared" ca="1" si="60"/>
        <v>45869</v>
      </c>
    </row>
    <row r="446" spans="1:42" x14ac:dyDescent="0.25">
      <c r="A446">
        <v>39</v>
      </c>
      <c r="B446" t="s">
        <v>26</v>
      </c>
      <c r="C446">
        <v>5</v>
      </c>
      <c r="D446" t="s">
        <v>137</v>
      </c>
      <c r="E446" t="b">
        <v>1</v>
      </c>
      <c r="F446" s="1">
        <v>0.40416666666666667</v>
      </c>
      <c r="G446" s="1">
        <v>0.51597222222222228</v>
      </c>
      <c r="H446">
        <v>161</v>
      </c>
      <c r="I446" t="b">
        <v>1</v>
      </c>
      <c r="J446" t="b">
        <v>1</v>
      </c>
      <c r="K446" t="b">
        <v>0</v>
      </c>
      <c r="L446" t="s">
        <v>28</v>
      </c>
      <c r="M446">
        <v>50</v>
      </c>
      <c r="N446" t="s">
        <v>29</v>
      </c>
      <c r="O446">
        <v>50</v>
      </c>
      <c r="P446" t="s">
        <v>74</v>
      </c>
      <c r="Q446">
        <v>0.15</v>
      </c>
      <c r="R446">
        <v>42.5</v>
      </c>
      <c r="S446" t="s">
        <v>31</v>
      </c>
      <c r="T446" t="s">
        <v>56</v>
      </c>
      <c r="U446">
        <v>35.3733</v>
      </c>
      <c r="V446">
        <v>-119.0187</v>
      </c>
      <c r="W446" s="2">
        <v>44965</v>
      </c>
      <c r="X446">
        <v>6</v>
      </c>
      <c r="Y446" t="b">
        <v>1</v>
      </c>
      <c r="Z446" s="2">
        <v>45812</v>
      </c>
      <c r="AA446" t="str">
        <f t="shared" si="61"/>
        <v>30–39</v>
      </c>
      <c r="AB446" t="str">
        <f t="shared" si="62"/>
        <v>30–39</v>
      </c>
      <c r="AC446" t="str">
        <f t="shared" si="63"/>
        <v>Monday</v>
      </c>
      <c r="AD446" t="str">
        <f t="shared" si="64"/>
        <v>Tuesday</v>
      </c>
      <c r="AE446" t="str">
        <f t="shared" si="65"/>
        <v>Wednesday</v>
      </c>
      <c r="AF446" t="str">
        <f t="shared" si="66"/>
        <v/>
      </c>
      <c r="AG446" t="str">
        <f t="shared" si="67"/>
        <v/>
      </c>
      <c r="AH446" t="str">
        <f t="shared" si="68"/>
        <v>Saturday</v>
      </c>
      <c r="AI446" t="str">
        <f t="shared" si="69"/>
        <v>Sunday</v>
      </c>
      <c r="AJ446" t="str">
        <f>LEFT(Table1[[#This Row],[membership_type]],2)&amp;TEXT(Table1[[#This Row],[age]],"00")&amp;"-"&amp;TEXT(ROW(),"000")</f>
        <v>Pr39-446</v>
      </c>
      <c r="AK446" t="str">
        <f>LEFT(Table1[[#This Row],[membership_type]],1)&amp;TEXT(MATCH(Table1[[#This Row],[membership_type]],Table1[membership_type],0),"00")</f>
        <v>P01</v>
      </c>
      <c r="AL446" t="str">
        <f>LEFT(Table1[[#This Row],[discount_type]],1)&amp;TEXT(ROUND(Table1[[#This Row],[discount_rate]]*100,0),"00")</f>
        <v>S15</v>
      </c>
      <c r="AM446" t="str" cm="1">
        <f t="array" ref="AM446">TEXT(SUMPRODUCT(CODE(MID(Table1[[#This Row],[home_gym_location]],_xlfn.SEQUENCE(LEN(Table1[[#This Row],[home_gym_location]])),1))),"00000")</f>
        <v>01324</v>
      </c>
      <c r="AN4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46" t="str">
        <f>LEFT(_xlfn.TEXTBEFORE(Table1[[#This Row],[Location Identifier]],"-"),3) &amp; "-" &amp; _xlfn.TEXTAFTER(Table1[[#This Row],[Location Identifier]],"-")</f>
        <v>BAK-002</v>
      </c>
      <c r="AP446" s="9">
        <f t="shared" ca="1" si="60"/>
        <v>45869</v>
      </c>
    </row>
    <row r="447" spans="1:42" x14ac:dyDescent="0.25">
      <c r="A447">
        <v>44</v>
      </c>
      <c r="B447" t="s">
        <v>33</v>
      </c>
      <c r="C447">
        <v>2</v>
      </c>
      <c r="D447" t="s">
        <v>126</v>
      </c>
      <c r="E447" t="b">
        <v>0</v>
      </c>
      <c r="F447" s="1">
        <v>0.49513888888888891</v>
      </c>
      <c r="G447" s="1">
        <v>0.53333333333333333</v>
      </c>
      <c r="H447">
        <v>55</v>
      </c>
      <c r="I447" t="b">
        <v>0</v>
      </c>
      <c r="J447" t="b">
        <v>0</v>
      </c>
      <c r="K447" t="b">
        <v>0</v>
      </c>
      <c r="L447" t="s">
        <v>28</v>
      </c>
      <c r="M447">
        <v>30</v>
      </c>
      <c r="N447" t="s">
        <v>64</v>
      </c>
      <c r="O447">
        <v>22.5</v>
      </c>
      <c r="P447" t="s">
        <v>40</v>
      </c>
      <c r="Q447">
        <v>0.1</v>
      </c>
      <c r="R447">
        <v>20.25</v>
      </c>
      <c r="S447" t="s">
        <v>37</v>
      </c>
      <c r="T447" t="s">
        <v>54</v>
      </c>
      <c r="U447">
        <v>32.715699999999998</v>
      </c>
      <c r="V447">
        <v>-117.1611</v>
      </c>
      <c r="W447" s="2">
        <v>44822</v>
      </c>
      <c r="X447">
        <v>0</v>
      </c>
      <c r="Y447" t="b">
        <v>0</v>
      </c>
      <c r="Z447" s="2">
        <v>45804</v>
      </c>
      <c r="AA447" t="str">
        <f t="shared" si="61"/>
        <v>40–49</v>
      </c>
      <c r="AB447" t="str">
        <f t="shared" si="62"/>
        <v>40–49</v>
      </c>
      <c r="AC447" t="str">
        <f t="shared" si="63"/>
        <v/>
      </c>
      <c r="AD447" t="str">
        <f t="shared" si="64"/>
        <v>Tuesday</v>
      </c>
      <c r="AE447" t="str">
        <f t="shared" si="65"/>
        <v>Wednesday</v>
      </c>
      <c r="AF447" t="str">
        <f t="shared" si="66"/>
        <v/>
      </c>
      <c r="AG447" t="str">
        <f t="shared" si="67"/>
        <v/>
      </c>
      <c r="AH447" t="str">
        <f t="shared" si="68"/>
        <v/>
      </c>
      <c r="AI447" t="str">
        <f t="shared" si="69"/>
        <v/>
      </c>
      <c r="AJ447" t="str">
        <f>LEFT(Table1[[#This Row],[membership_type]],2)&amp;TEXT(Table1[[#This Row],[age]],"00")&amp;"-"&amp;TEXT(ROW(),"000")</f>
        <v>St44-447</v>
      </c>
      <c r="AK447" t="str">
        <f>LEFT(Table1[[#This Row],[membership_type]],1)&amp;TEXT(MATCH(Table1[[#This Row],[membership_type]],Table1[membership_type],0),"00")</f>
        <v>S02</v>
      </c>
      <c r="AL447" t="str">
        <f>LEFT(Table1[[#This Row],[discount_type]],1)&amp;TEXT(ROUND(Table1[[#This Row],[discount_rate]]*100,0),"00")</f>
        <v>L10</v>
      </c>
      <c r="AM447" t="str" cm="1">
        <f t="array" ref="AM447">TEXT(SUMPRODUCT(CODE(MID(Table1[[#This Row],[home_gym_location]],_xlfn.SEQUENCE(LEN(Table1[[#This Row],[home_gym_location]])),1))),"00000")</f>
        <v>01018</v>
      </c>
      <c r="AN44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47" t="str">
        <f>LEFT(_xlfn.TEXTBEFORE(Table1[[#This Row],[Location Identifier]],"-"),3) &amp; "-" &amp; _xlfn.TEXTAFTER(Table1[[#This Row],[Location Identifier]],"-")</f>
        <v>SAN-008</v>
      </c>
      <c r="AP447" s="9">
        <f t="shared" ca="1" si="60"/>
        <v>45869</v>
      </c>
    </row>
    <row r="448" spans="1:42" x14ac:dyDescent="0.25">
      <c r="A448">
        <v>39</v>
      </c>
      <c r="B448" t="s">
        <v>26</v>
      </c>
      <c r="C448">
        <v>3</v>
      </c>
      <c r="D448" t="s">
        <v>131</v>
      </c>
      <c r="E448" t="b">
        <v>1</v>
      </c>
      <c r="F448" s="1">
        <v>0.51111111111111107</v>
      </c>
      <c r="G448" s="1">
        <v>0.53402777777777777</v>
      </c>
      <c r="H448">
        <v>33</v>
      </c>
      <c r="I448" t="b">
        <v>0</v>
      </c>
      <c r="J448" t="b">
        <v>0</v>
      </c>
      <c r="K448" t="b">
        <v>0</v>
      </c>
      <c r="L448" t="s">
        <v>28</v>
      </c>
      <c r="M448">
        <v>50</v>
      </c>
      <c r="N448" t="s">
        <v>29</v>
      </c>
      <c r="O448">
        <v>50</v>
      </c>
      <c r="P448" t="s">
        <v>74</v>
      </c>
      <c r="Q448">
        <v>0.15</v>
      </c>
      <c r="R448">
        <v>42.5</v>
      </c>
      <c r="S448" t="s">
        <v>31</v>
      </c>
      <c r="T448" t="s">
        <v>56</v>
      </c>
      <c r="U448">
        <v>35.3733</v>
      </c>
      <c r="V448">
        <v>-119.0187</v>
      </c>
      <c r="W448" s="2">
        <v>44780</v>
      </c>
      <c r="X448">
        <v>0</v>
      </c>
      <c r="Y448" t="b">
        <v>0</v>
      </c>
      <c r="Z448" s="2">
        <v>45801</v>
      </c>
      <c r="AA448" t="str">
        <f t="shared" si="61"/>
        <v>30–39</v>
      </c>
      <c r="AB448" t="str">
        <f t="shared" si="62"/>
        <v>30–39</v>
      </c>
      <c r="AC448" t="str">
        <f t="shared" si="63"/>
        <v>Monday</v>
      </c>
      <c r="AD448" t="str">
        <f t="shared" si="64"/>
        <v/>
      </c>
      <c r="AE448" t="str">
        <f t="shared" si="65"/>
        <v/>
      </c>
      <c r="AF448" t="str">
        <f t="shared" si="66"/>
        <v/>
      </c>
      <c r="AG448" t="str">
        <f t="shared" si="67"/>
        <v>Friday</v>
      </c>
      <c r="AH448" t="str">
        <f t="shared" si="68"/>
        <v/>
      </c>
      <c r="AI448" t="str">
        <f t="shared" si="69"/>
        <v>Sunday</v>
      </c>
      <c r="AJ448" t="str">
        <f>LEFT(Table1[[#This Row],[membership_type]],2)&amp;TEXT(Table1[[#This Row],[age]],"00")&amp;"-"&amp;TEXT(ROW(),"000")</f>
        <v>Pr39-448</v>
      </c>
      <c r="AK448" t="str">
        <f>LEFT(Table1[[#This Row],[membership_type]],1)&amp;TEXT(MATCH(Table1[[#This Row],[membership_type]],Table1[membership_type],0),"00")</f>
        <v>P01</v>
      </c>
      <c r="AL448" t="str">
        <f>LEFT(Table1[[#This Row],[discount_type]],1)&amp;TEXT(ROUND(Table1[[#This Row],[discount_rate]]*100,0),"00")</f>
        <v>S15</v>
      </c>
      <c r="AM448" t="str" cm="1">
        <f t="array" ref="AM448">TEXT(SUMPRODUCT(CODE(MID(Table1[[#This Row],[home_gym_location]],_xlfn.SEQUENCE(LEN(Table1[[#This Row],[home_gym_location]])),1))),"00000")</f>
        <v>01324</v>
      </c>
      <c r="AN44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48" t="str">
        <f>LEFT(_xlfn.TEXTBEFORE(Table1[[#This Row],[Location Identifier]],"-"),3) &amp; "-" &amp; _xlfn.TEXTAFTER(Table1[[#This Row],[Location Identifier]],"-")</f>
        <v>BAK-002</v>
      </c>
      <c r="AP448" s="9">
        <f t="shared" ca="1" si="60"/>
        <v>45869</v>
      </c>
    </row>
    <row r="449" spans="1:42" x14ac:dyDescent="0.25">
      <c r="A449">
        <v>29</v>
      </c>
      <c r="B449" t="s">
        <v>26</v>
      </c>
      <c r="C449">
        <v>2</v>
      </c>
      <c r="D449" t="s">
        <v>96</v>
      </c>
      <c r="E449" t="b">
        <v>0</v>
      </c>
      <c r="F449" s="1">
        <v>0.61458333333333337</v>
      </c>
      <c r="G449" s="1">
        <v>0.69652777777777775</v>
      </c>
      <c r="H449">
        <v>118</v>
      </c>
      <c r="I449" t="b">
        <v>1</v>
      </c>
      <c r="J449" t="b">
        <v>1</v>
      </c>
      <c r="K449" t="b">
        <v>1</v>
      </c>
      <c r="L449" t="s">
        <v>28</v>
      </c>
      <c r="M449">
        <v>50</v>
      </c>
      <c r="N449" t="s">
        <v>64</v>
      </c>
      <c r="O449">
        <v>37.5</v>
      </c>
      <c r="P449" t="s">
        <v>36</v>
      </c>
      <c r="Q449">
        <v>0</v>
      </c>
      <c r="R449">
        <v>37.5</v>
      </c>
      <c r="S449" t="s">
        <v>31</v>
      </c>
      <c r="T449" t="s">
        <v>41</v>
      </c>
      <c r="U449">
        <v>37.804400000000001</v>
      </c>
      <c r="V449">
        <v>-122.27119999999999</v>
      </c>
      <c r="W449" s="2">
        <v>45028</v>
      </c>
      <c r="X449">
        <v>7</v>
      </c>
      <c r="Y449" t="b">
        <v>0</v>
      </c>
      <c r="Z449" s="2">
        <v>45815</v>
      </c>
      <c r="AA449" t="str">
        <f t="shared" si="61"/>
        <v>20–29</v>
      </c>
      <c r="AB449" t="str">
        <f t="shared" si="62"/>
        <v>20–29</v>
      </c>
      <c r="AC449" t="str">
        <f t="shared" si="63"/>
        <v/>
      </c>
      <c r="AD449" t="str">
        <f t="shared" si="64"/>
        <v/>
      </c>
      <c r="AE449" t="str">
        <f t="shared" si="65"/>
        <v/>
      </c>
      <c r="AF449" t="str">
        <f t="shared" si="66"/>
        <v>Thursday</v>
      </c>
      <c r="AG449" t="str">
        <f t="shared" si="67"/>
        <v>Friday</v>
      </c>
      <c r="AH449" t="str">
        <f t="shared" si="68"/>
        <v/>
      </c>
      <c r="AI449" t="str">
        <f t="shared" si="69"/>
        <v/>
      </c>
      <c r="AJ449" t="str">
        <f>LEFT(Table1[[#This Row],[membership_type]],2)&amp;TEXT(Table1[[#This Row],[age]],"00")&amp;"-"&amp;TEXT(ROW(),"000")</f>
        <v>Pr29-449</v>
      </c>
      <c r="AK449" t="str">
        <f>LEFT(Table1[[#This Row],[membership_type]],1)&amp;TEXT(MATCH(Table1[[#This Row],[membership_type]],Table1[membership_type],0),"00")</f>
        <v>P01</v>
      </c>
      <c r="AL449" t="str">
        <f>LEFT(Table1[[#This Row],[discount_type]],1)&amp;TEXT(ROUND(Table1[[#This Row],[discount_rate]]*100,0),"00")</f>
        <v>N00</v>
      </c>
      <c r="AM449" t="str" cm="1">
        <f t="array" ref="AM449">TEXT(SUMPRODUCT(CODE(MID(Table1[[#This Row],[home_gym_location]],_xlfn.SEQUENCE(LEN(Table1[[#This Row],[home_gym_location]])),1))),"00000")</f>
        <v>00906</v>
      </c>
      <c r="AN449" t="str">
        <f>UPPER(_xlfn.TEXTBEFORE(Table1[[#This Row],[home_gym_location]],","))&amp;"-"&amp;TEXT(MATCH(Table1[[#This Row],[home_gym_location]],_xlfn._xlws.SORT(_xlfn.UNIQUE(Table1[home_gym_location])),0),"000")</f>
        <v>OAKLAND-006</v>
      </c>
      <c r="AO449" t="str">
        <f>LEFT(_xlfn.TEXTBEFORE(Table1[[#This Row],[Location Identifier]],"-"),3) &amp; "-" &amp; _xlfn.TEXTAFTER(Table1[[#This Row],[Location Identifier]],"-")</f>
        <v>OAK-006</v>
      </c>
      <c r="AP449" s="9">
        <f t="shared" ca="1" si="60"/>
        <v>45869</v>
      </c>
    </row>
    <row r="450" spans="1:42" x14ac:dyDescent="0.25">
      <c r="A450">
        <v>14</v>
      </c>
      <c r="B450" t="s">
        <v>33</v>
      </c>
      <c r="C450">
        <v>2</v>
      </c>
      <c r="D450" t="s">
        <v>88</v>
      </c>
      <c r="E450" t="b">
        <v>0</v>
      </c>
      <c r="F450" s="1">
        <v>0.40694444444444444</v>
      </c>
      <c r="G450" s="1">
        <v>0.45555555555555555</v>
      </c>
      <c r="H450">
        <v>70</v>
      </c>
      <c r="I450" t="b">
        <v>0</v>
      </c>
      <c r="J450" t="b">
        <v>0</v>
      </c>
      <c r="K450" t="b">
        <v>1</v>
      </c>
      <c r="L450" t="s">
        <v>28</v>
      </c>
      <c r="M450">
        <v>30</v>
      </c>
      <c r="N450" t="s">
        <v>78</v>
      </c>
      <c r="O450">
        <v>27</v>
      </c>
      <c r="P450" t="s">
        <v>36</v>
      </c>
      <c r="Q450">
        <v>0</v>
      </c>
      <c r="R450">
        <v>27</v>
      </c>
      <c r="S450" t="s">
        <v>37</v>
      </c>
      <c r="T450" t="s">
        <v>45</v>
      </c>
      <c r="U450">
        <v>33.836599999999997</v>
      </c>
      <c r="V450">
        <v>-117.9143</v>
      </c>
      <c r="W450" s="2">
        <v>45430</v>
      </c>
      <c r="X450">
        <v>0</v>
      </c>
      <c r="Y450" t="b">
        <v>0</v>
      </c>
      <c r="Z450" s="2">
        <v>45838</v>
      </c>
      <c r="AA450" t="str">
        <f t="shared" si="61"/>
        <v>10–19</v>
      </c>
      <c r="AB450" t="str">
        <f t="shared" si="62"/>
        <v>Under 16</v>
      </c>
      <c r="AC450" t="str">
        <f t="shared" si="63"/>
        <v>Monday</v>
      </c>
      <c r="AD450" t="str">
        <f t="shared" si="64"/>
        <v/>
      </c>
      <c r="AE450" t="str">
        <f t="shared" si="65"/>
        <v>Wednesday</v>
      </c>
      <c r="AF450" t="str">
        <f t="shared" si="66"/>
        <v/>
      </c>
      <c r="AG450" t="str">
        <f t="shared" si="67"/>
        <v/>
      </c>
      <c r="AH450" t="str">
        <f t="shared" si="68"/>
        <v/>
      </c>
      <c r="AI450" t="str">
        <f t="shared" si="69"/>
        <v/>
      </c>
      <c r="AJ450" t="str">
        <f>LEFT(Table1[[#This Row],[membership_type]],2)&amp;TEXT(Table1[[#This Row],[age]],"00")&amp;"-"&amp;TEXT(ROW(),"000")</f>
        <v>St14-450</v>
      </c>
      <c r="AK450" t="str">
        <f>LEFT(Table1[[#This Row],[membership_type]],1)&amp;TEXT(MATCH(Table1[[#This Row],[membership_type]],Table1[membership_type],0),"00")</f>
        <v>S02</v>
      </c>
      <c r="AL450" t="str">
        <f>LEFT(Table1[[#This Row],[discount_type]],1)&amp;TEXT(ROUND(Table1[[#This Row],[discount_rate]]*100,0),"00")</f>
        <v>N00</v>
      </c>
      <c r="AM450" t="str" cm="1">
        <f t="array" ref="AM450">TEXT(SUMPRODUCT(CODE(MID(Table1[[#This Row],[home_gym_location]],_xlfn.SEQUENCE(LEN(Table1[[#This Row],[home_gym_location]])),1))),"00000")</f>
        <v>00899</v>
      </c>
      <c r="AN450" t="str">
        <f>UPPER(_xlfn.TEXTBEFORE(Table1[[#This Row],[home_gym_location]],","))&amp;"-"&amp;TEXT(MATCH(Table1[[#This Row],[home_gym_location]],_xlfn._xlws.SORT(_xlfn.UNIQUE(Table1[home_gym_location])),0),"000")</f>
        <v>ANAHEIM-001</v>
      </c>
      <c r="AO450" t="str">
        <f>LEFT(_xlfn.TEXTBEFORE(Table1[[#This Row],[Location Identifier]],"-"),3) &amp; "-" &amp; _xlfn.TEXTAFTER(Table1[[#This Row],[Location Identifier]],"-")</f>
        <v>ANA-001</v>
      </c>
      <c r="AP450" s="9">
        <f t="shared" ref="AP450:AP513" ca="1" si="70">EOMONTH(DATE(YEAR(TODAY()),7,1),0)</f>
        <v>45869</v>
      </c>
    </row>
    <row r="451" spans="1:42" x14ac:dyDescent="0.25">
      <c r="A451">
        <v>41</v>
      </c>
      <c r="B451" t="s">
        <v>33</v>
      </c>
      <c r="C451">
        <v>2</v>
      </c>
      <c r="D451" t="s">
        <v>84</v>
      </c>
      <c r="E451" t="b">
        <v>0</v>
      </c>
      <c r="F451" s="1">
        <v>0.57986111111111116</v>
      </c>
      <c r="G451" s="1">
        <v>0.68194444444444446</v>
      </c>
      <c r="H451">
        <v>147</v>
      </c>
      <c r="I451" t="b">
        <v>0</v>
      </c>
      <c r="J451" t="b">
        <v>0</v>
      </c>
      <c r="K451" t="b">
        <v>1</v>
      </c>
      <c r="L451" t="s">
        <v>28</v>
      </c>
      <c r="M451">
        <v>30</v>
      </c>
      <c r="N451" t="s">
        <v>29</v>
      </c>
      <c r="O451">
        <v>30</v>
      </c>
      <c r="P451" t="s">
        <v>74</v>
      </c>
      <c r="Q451">
        <v>0.15</v>
      </c>
      <c r="R451">
        <v>25.5</v>
      </c>
      <c r="S451" t="s">
        <v>37</v>
      </c>
      <c r="T451" t="s">
        <v>65</v>
      </c>
      <c r="U451">
        <v>33.770099999999999</v>
      </c>
      <c r="V451">
        <v>-118.19370000000001</v>
      </c>
      <c r="W451" s="2">
        <v>45742</v>
      </c>
      <c r="X451">
        <v>0</v>
      </c>
      <c r="Y451" t="b">
        <v>0</v>
      </c>
      <c r="Z451" s="2">
        <v>45855</v>
      </c>
      <c r="AA451" t="str">
        <f t="shared" ref="AA451:AA514" si="71">TEXT(10*INT($A451/10),"0")&amp;"–"&amp;TEXT(10*INT($A451/10)+9,"0")</f>
        <v>40–49</v>
      </c>
      <c r="AB451" t="str">
        <f t="shared" ref="AB451:AB514" si="72">IF(AND($AA451 = "10–19", $A451 &lt; 16), "Under 16", IF(AND($AA451 = "10–19", $A451 &gt;= 16), "16–19", $AA451))</f>
        <v>40–49</v>
      </c>
      <c r="AC451" t="str">
        <f t="shared" ref="AC451:AC514" si="73">IF(ISNUMBER(SEARCH("Mon", $D451)), "Monday", "")</f>
        <v/>
      </c>
      <c r="AD451" t="str">
        <f t="shared" ref="AD451:AD514" si="74">IF(ISNUMBER(SEARCH("Tue", $D451)), "Tuesday", "")</f>
        <v>Tuesday</v>
      </c>
      <c r="AE451" t="str">
        <f t="shared" ref="AE451:AE514" si="75">IF(ISNUMBER(SEARCH("Wed", $D451)), "Wednesday", "")</f>
        <v/>
      </c>
      <c r="AF451" t="str">
        <f t="shared" ref="AF451:AF514" si="76">IF(ISNUMBER(SEARCH("Thu", $D451)), "Thursday", "")</f>
        <v/>
      </c>
      <c r="AG451" t="str">
        <f t="shared" ref="AG451:AG514" si="77">IF(ISNUMBER(SEARCH("Fri", $D451)), "Friday", "")</f>
        <v/>
      </c>
      <c r="AH451" t="str">
        <f t="shared" ref="AH451:AH514" si="78">IF(ISNUMBER(SEARCH("Sat", $D451)), "Saturday", "")</f>
        <v/>
      </c>
      <c r="AI451" t="str">
        <f t="shared" ref="AI451:AI514" si="79">IF(ISNUMBER(SEARCH("Sun", $D451)), "Sunday", "")</f>
        <v>Sunday</v>
      </c>
      <c r="AJ451" t="str">
        <f>LEFT(Table1[[#This Row],[membership_type]],2)&amp;TEXT(Table1[[#This Row],[age]],"00")&amp;"-"&amp;TEXT(ROW(),"000")</f>
        <v>St41-451</v>
      </c>
      <c r="AK451" t="str">
        <f>LEFT(Table1[[#This Row],[membership_type]],1)&amp;TEXT(MATCH(Table1[[#This Row],[membership_type]],Table1[membership_type],0),"00")</f>
        <v>S02</v>
      </c>
      <c r="AL451" t="str">
        <f>LEFT(Table1[[#This Row],[discount_type]],1)&amp;TEXT(ROUND(Table1[[#This Row],[discount_rate]]*100,0),"00")</f>
        <v>S15</v>
      </c>
      <c r="AM451" t="str" cm="1">
        <f t="array" ref="AM451">TEXT(SUMPRODUCT(CODE(MID(Table1[[#This Row],[home_gym_location]],_xlfn.SEQUENCE(LEN(Table1[[#This Row],[home_gym_location]])),1))),"00000")</f>
        <v>01107</v>
      </c>
      <c r="AN45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51" t="str">
        <f>LEFT(_xlfn.TEXTBEFORE(Table1[[#This Row],[Location Identifier]],"-"),3) &amp; "-" &amp; _xlfn.TEXTAFTER(Table1[[#This Row],[Location Identifier]],"-")</f>
        <v>LON-004</v>
      </c>
      <c r="AP451" s="9">
        <f t="shared" ca="1" si="70"/>
        <v>45869</v>
      </c>
    </row>
    <row r="452" spans="1:42" x14ac:dyDescent="0.25">
      <c r="A452">
        <v>29</v>
      </c>
      <c r="B452" t="s">
        <v>26</v>
      </c>
      <c r="C452">
        <v>2</v>
      </c>
      <c r="D452" t="s">
        <v>101</v>
      </c>
      <c r="E452" t="b">
        <v>1</v>
      </c>
      <c r="F452" s="1">
        <v>0.84375</v>
      </c>
      <c r="G452" s="1">
        <v>0.92013888888888884</v>
      </c>
      <c r="H452">
        <v>110</v>
      </c>
      <c r="I452" t="b">
        <v>0</v>
      </c>
      <c r="J452" t="b">
        <v>0</v>
      </c>
      <c r="K452" t="b">
        <v>1</v>
      </c>
      <c r="L452" t="s">
        <v>47</v>
      </c>
      <c r="M452">
        <v>50</v>
      </c>
      <c r="N452" t="s">
        <v>29</v>
      </c>
      <c r="O452">
        <v>50</v>
      </c>
      <c r="P452" t="s">
        <v>74</v>
      </c>
      <c r="Q452">
        <v>0.15</v>
      </c>
      <c r="R452">
        <v>42.5</v>
      </c>
      <c r="S452" t="s">
        <v>31</v>
      </c>
      <c r="T452" t="s">
        <v>38</v>
      </c>
      <c r="U452">
        <v>36.7378</v>
      </c>
      <c r="V452">
        <v>-119.7871</v>
      </c>
      <c r="W452" s="2">
        <v>45003</v>
      </c>
      <c r="X452">
        <v>0</v>
      </c>
      <c r="Y452" t="b">
        <v>1</v>
      </c>
      <c r="Z452" s="2">
        <v>45814</v>
      </c>
      <c r="AA452" t="str">
        <f t="shared" si="71"/>
        <v>20–29</v>
      </c>
      <c r="AB452" t="str">
        <f t="shared" si="72"/>
        <v>20–29</v>
      </c>
      <c r="AC452" t="str">
        <f t="shared" si="73"/>
        <v>Monday</v>
      </c>
      <c r="AD452" t="str">
        <f t="shared" si="74"/>
        <v/>
      </c>
      <c r="AE452" t="str">
        <f t="shared" si="75"/>
        <v/>
      </c>
      <c r="AF452" t="str">
        <f t="shared" si="76"/>
        <v/>
      </c>
      <c r="AG452" t="str">
        <f t="shared" si="77"/>
        <v>Friday</v>
      </c>
      <c r="AH452" t="str">
        <f t="shared" si="78"/>
        <v/>
      </c>
      <c r="AI452" t="str">
        <f t="shared" si="79"/>
        <v/>
      </c>
      <c r="AJ452" t="str">
        <f>LEFT(Table1[[#This Row],[membership_type]],2)&amp;TEXT(Table1[[#This Row],[age]],"00")&amp;"-"&amp;TEXT(ROW(),"000")</f>
        <v>Pr29-452</v>
      </c>
      <c r="AK452" t="str">
        <f>LEFT(Table1[[#This Row],[membership_type]],1)&amp;TEXT(MATCH(Table1[[#This Row],[membership_type]],Table1[membership_type],0),"00")</f>
        <v>P01</v>
      </c>
      <c r="AL452" t="str">
        <f>LEFT(Table1[[#This Row],[discount_type]],1)&amp;TEXT(ROUND(Table1[[#This Row],[discount_rate]]*100,0),"00")</f>
        <v>S15</v>
      </c>
      <c r="AM452" t="str" cm="1">
        <f t="array" ref="AM452">TEXT(SUMPRODUCT(CODE(MID(Table1[[#This Row],[home_gym_location]],_xlfn.SEQUENCE(LEN(Table1[[#This Row],[home_gym_location]])),1))),"00000")</f>
        <v>00829</v>
      </c>
      <c r="AN452" t="str">
        <f>UPPER(_xlfn.TEXTBEFORE(Table1[[#This Row],[home_gym_location]],","))&amp;"-"&amp;TEXT(MATCH(Table1[[#This Row],[home_gym_location]],_xlfn._xlws.SORT(_xlfn.UNIQUE(Table1[home_gym_location])),0),"000")</f>
        <v>FRESNO-003</v>
      </c>
      <c r="AO452" t="str">
        <f>LEFT(_xlfn.TEXTBEFORE(Table1[[#This Row],[Location Identifier]],"-"),3) &amp; "-" &amp; _xlfn.TEXTAFTER(Table1[[#This Row],[Location Identifier]],"-")</f>
        <v>FRE-003</v>
      </c>
      <c r="AP452" s="9">
        <f t="shared" ca="1" si="70"/>
        <v>45869</v>
      </c>
    </row>
    <row r="453" spans="1:42" x14ac:dyDescent="0.25">
      <c r="A453">
        <v>36</v>
      </c>
      <c r="B453" t="s">
        <v>26</v>
      </c>
      <c r="C453">
        <v>1</v>
      </c>
      <c r="D453" t="s">
        <v>75</v>
      </c>
      <c r="E453" t="b">
        <v>1</v>
      </c>
      <c r="F453" s="1">
        <v>0.61736111111111114</v>
      </c>
      <c r="G453" s="1">
        <v>0.68888888888888888</v>
      </c>
      <c r="H453">
        <v>103</v>
      </c>
      <c r="I453" t="b">
        <v>1</v>
      </c>
      <c r="J453" t="b">
        <v>1</v>
      </c>
      <c r="K453" t="b">
        <v>0</v>
      </c>
      <c r="L453" t="s">
        <v>28</v>
      </c>
      <c r="M453">
        <v>50</v>
      </c>
      <c r="N453" t="s">
        <v>64</v>
      </c>
      <c r="O453">
        <v>37.5</v>
      </c>
      <c r="P453" t="s">
        <v>40</v>
      </c>
      <c r="Q453">
        <v>0.1</v>
      </c>
      <c r="R453">
        <v>33.75</v>
      </c>
      <c r="S453" t="s">
        <v>31</v>
      </c>
      <c r="T453" t="s">
        <v>56</v>
      </c>
      <c r="U453">
        <v>35.3733</v>
      </c>
      <c r="V453">
        <v>-119.0187</v>
      </c>
      <c r="W453" s="2">
        <v>45236</v>
      </c>
      <c r="X453">
        <v>8</v>
      </c>
      <c r="Y453" t="b">
        <v>0</v>
      </c>
      <c r="Z453" s="2">
        <v>45827</v>
      </c>
      <c r="AA453" t="str">
        <f t="shared" si="71"/>
        <v>30–39</v>
      </c>
      <c r="AB453" t="str">
        <f t="shared" si="72"/>
        <v>30–39</v>
      </c>
      <c r="AC453" t="str">
        <f t="shared" si="73"/>
        <v/>
      </c>
      <c r="AD453" t="str">
        <f t="shared" si="74"/>
        <v/>
      </c>
      <c r="AE453" t="str">
        <f t="shared" si="75"/>
        <v/>
      </c>
      <c r="AF453" t="str">
        <f t="shared" si="76"/>
        <v/>
      </c>
      <c r="AG453" t="str">
        <f t="shared" si="77"/>
        <v>Friday</v>
      </c>
      <c r="AH453" t="str">
        <f t="shared" si="78"/>
        <v/>
      </c>
      <c r="AI453" t="str">
        <f t="shared" si="79"/>
        <v/>
      </c>
      <c r="AJ453" t="str">
        <f>LEFT(Table1[[#This Row],[membership_type]],2)&amp;TEXT(Table1[[#This Row],[age]],"00")&amp;"-"&amp;TEXT(ROW(),"000")</f>
        <v>Pr36-453</v>
      </c>
      <c r="AK453" t="str">
        <f>LEFT(Table1[[#This Row],[membership_type]],1)&amp;TEXT(MATCH(Table1[[#This Row],[membership_type]],Table1[membership_type],0),"00")</f>
        <v>P01</v>
      </c>
      <c r="AL453" t="str">
        <f>LEFT(Table1[[#This Row],[discount_type]],1)&amp;TEXT(ROUND(Table1[[#This Row],[discount_rate]]*100,0),"00")</f>
        <v>L10</v>
      </c>
      <c r="AM453" t="str" cm="1">
        <f t="array" ref="AM453">TEXT(SUMPRODUCT(CODE(MID(Table1[[#This Row],[home_gym_location]],_xlfn.SEQUENCE(LEN(Table1[[#This Row],[home_gym_location]])),1))),"00000")</f>
        <v>01324</v>
      </c>
      <c r="AN45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53" t="str">
        <f>LEFT(_xlfn.TEXTBEFORE(Table1[[#This Row],[Location Identifier]],"-"),3) &amp; "-" &amp; _xlfn.TEXTAFTER(Table1[[#This Row],[Location Identifier]],"-")</f>
        <v>BAK-002</v>
      </c>
      <c r="AP453" s="9">
        <f t="shared" ca="1" si="70"/>
        <v>45869</v>
      </c>
    </row>
    <row r="454" spans="1:42" x14ac:dyDescent="0.25">
      <c r="A454">
        <v>38</v>
      </c>
      <c r="B454" t="s">
        <v>33</v>
      </c>
      <c r="C454">
        <v>3</v>
      </c>
      <c r="D454" t="s">
        <v>60</v>
      </c>
      <c r="E454" t="b">
        <v>1</v>
      </c>
      <c r="F454" s="1">
        <v>0.55555555555555558</v>
      </c>
      <c r="G454" s="1">
        <v>0.61250000000000004</v>
      </c>
      <c r="H454">
        <v>82</v>
      </c>
      <c r="I454" t="b">
        <v>0</v>
      </c>
      <c r="J454" t="b">
        <v>0</v>
      </c>
      <c r="K454" t="b">
        <v>0</v>
      </c>
      <c r="L454" t="s">
        <v>35</v>
      </c>
      <c r="M454">
        <v>30</v>
      </c>
      <c r="N454" t="s">
        <v>78</v>
      </c>
      <c r="O454">
        <v>27</v>
      </c>
      <c r="P454" t="s">
        <v>36</v>
      </c>
      <c r="Q454">
        <v>0</v>
      </c>
      <c r="R454">
        <v>27</v>
      </c>
      <c r="S454" t="s">
        <v>37</v>
      </c>
      <c r="T454" t="s">
        <v>54</v>
      </c>
      <c r="U454">
        <v>32.715699999999998</v>
      </c>
      <c r="V454">
        <v>-117.1611</v>
      </c>
      <c r="W454" s="2">
        <v>45379</v>
      </c>
      <c r="X454">
        <v>0</v>
      </c>
      <c r="Y454" t="b">
        <v>0</v>
      </c>
      <c r="Z454" s="2">
        <v>45835</v>
      </c>
      <c r="AA454" t="str">
        <f t="shared" si="71"/>
        <v>30–39</v>
      </c>
      <c r="AB454" t="str">
        <f t="shared" si="72"/>
        <v>30–39</v>
      </c>
      <c r="AC454" t="str">
        <f t="shared" si="73"/>
        <v/>
      </c>
      <c r="AD454" t="str">
        <f t="shared" si="74"/>
        <v/>
      </c>
      <c r="AE454" t="str">
        <f t="shared" si="75"/>
        <v>Wednesday</v>
      </c>
      <c r="AF454" t="str">
        <f t="shared" si="76"/>
        <v/>
      </c>
      <c r="AG454" t="str">
        <f t="shared" si="77"/>
        <v/>
      </c>
      <c r="AH454" t="str">
        <f t="shared" si="78"/>
        <v>Saturday</v>
      </c>
      <c r="AI454" t="str">
        <f t="shared" si="79"/>
        <v>Sunday</v>
      </c>
      <c r="AJ454" t="str">
        <f>LEFT(Table1[[#This Row],[membership_type]],2)&amp;TEXT(Table1[[#This Row],[age]],"00")&amp;"-"&amp;TEXT(ROW(),"000")</f>
        <v>St38-454</v>
      </c>
      <c r="AK454" t="str">
        <f>LEFT(Table1[[#This Row],[membership_type]],1)&amp;TEXT(MATCH(Table1[[#This Row],[membership_type]],Table1[membership_type],0),"00")</f>
        <v>S02</v>
      </c>
      <c r="AL454" t="str">
        <f>LEFT(Table1[[#This Row],[discount_type]],1)&amp;TEXT(ROUND(Table1[[#This Row],[discount_rate]]*100,0),"00")</f>
        <v>N00</v>
      </c>
      <c r="AM454" t="str" cm="1">
        <f t="array" ref="AM454">TEXT(SUMPRODUCT(CODE(MID(Table1[[#This Row],[home_gym_location]],_xlfn.SEQUENCE(LEN(Table1[[#This Row],[home_gym_location]])),1))),"00000")</f>
        <v>01018</v>
      </c>
      <c r="AN4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54" t="str">
        <f>LEFT(_xlfn.TEXTBEFORE(Table1[[#This Row],[Location Identifier]],"-"),3) &amp; "-" &amp; _xlfn.TEXTAFTER(Table1[[#This Row],[Location Identifier]],"-")</f>
        <v>SAN-008</v>
      </c>
      <c r="AP454" s="9">
        <f t="shared" ca="1" si="70"/>
        <v>45869</v>
      </c>
    </row>
    <row r="455" spans="1:42" x14ac:dyDescent="0.25">
      <c r="A455">
        <v>14</v>
      </c>
      <c r="B455" t="s">
        <v>26</v>
      </c>
      <c r="C455">
        <v>5</v>
      </c>
      <c r="D455" t="s">
        <v>115</v>
      </c>
      <c r="E455" t="b">
        <v>1</v>
      </c>
      <c r="F455" s="1">
        <v>0.53749999999999998</v>
      </c>
      <c r="G455" s="1">
        <v>0.63194444444444442</v>
      </c>
      <c r="H455">
        <v>136</v>
      </c>
      <c r="I455" t="b">
        <v>1</v>
      </c>
      <c r="J455" t="b">
        <v>1</v>
      </c>
      <c r="K455" t="b">
        <v>1</v>
      </c>
      <c r="L455" t="s">
        <v>28</v>
      </c>
      <c r="M455">
        <v>50</v>
      </c>
      <c r="N455" t="s">
        <v>64</v>
      </c>
      <c r="O455">
        <v>37.5</v>
      </c>
      <c r="P455" t="s">
        <v>40</v>
      </c>
      <c r="Q455">
        <v>0.1</v>
      </c>
      <c r="R455">
        <v>33.75</v>
      </c>
      <c r="S455" t="s">
        <v>31</v>
      </c>
      <c r="T455" t="s">
        <v>38</v>
      </c>
      <c r="U455">
        <v>36.7378</v>
      </c>
      <c r="V455">
        <v>-119.7871</v>
      </c>
      <c r="W455" s="2">
        <v>44865</v>
      </c>
      <c r="X455">
        <v>1</v>
      </c>
      <c r="Y455" t="b">
        <v>1</v>
      </c>
      <c r="Z455" s="2">
        <v>45806</v>
      </c>
      <c r="AA455" t="str">
        <f t="shared" si="71"/>
        <v>10–19</v>
      </c>
      <c r="AB455" t="str">
        <f t="shared" si="72"/>
        <v>Under 16</v>
      </c>
      <c r="AC455" t="str">
        <f t="shared" si="73"/>
        <v>Monday</v>
      </c>
      <c r="AD455" t="str">
        <f t="shared" si="74"/>
        <v/>
      </c>
      <c r="AE455" t="str">
        <f t="shared" si="75"/>
        <v>Wednesday</v>
      </c>
      <c r="AF455" t="str">
        <f t="shared" si="76"/>
        <v/>
      </c>
      <c r="AG455" t="str">
        <f t="shared" si="77"/>
        <v>Friday</v>
      </c>
      <c r="AH455" t="str">
        <f t="shared" si="78"/>
        <v>Saturday</v>
      </c>
      <c r="AI455" t="str">
        <f t="shared" si="79"/>
        <v>Sunday</v>
      </c>
      <c r="AJ455" t="str">
        <f>LEFT(Table1[[#This Row],[membership_type]],2)&amp;TEXT(Table1[[#This Row],[age]],"00")&amp;"-"&amp;TEXT(ROW(),"000")</f>
        <v>Pr14-455</v>
      </c>
      <c r="AK455" t="str">
        <f>LEFT(Table1[[#This Row],[membership_type]],1)&amp;TEXT(MATCH(Table1[[#This Row],[membership_type]],Table1[membership_type],0),"00")</f>
        <v>P01</v>
      </c>
      <c r="AL455" t="str">
        <f>LEFT(Table1[[#This Row],[discount_type]],1)&amp;TEXT(ROUND(Table1[[#This Row],[discount_rate]]*100,0),"00")</f>
        <v>L10</v>
      </c>
      <c r="AM455" t="str" cm="1">
        <f t="array" ref="AM455">TEXT(SUMPRODUCT(CODE(MID(Table1[[#This Row],[home_gym_location]],_xlfn.SEQUENCE(LEN(Table1[[#This Row],[home_gym_location]])),1))),"00000")</f>
        <v>00829</v>
      </c>
      <c r="AN455" t="str">
        <f>UPPER(_xlfn.TEXTBEFORE(Table1[[#This Row],[home_gym_location]],","))&amp;"-"&amp;TEXT(MATCH(Table1[[#This Row],[home_gym_location]],_xlfn._xlws.SORT(_xlfn.UNIQUE(Table1[home_gym_location])),0),"000")</f>
        <v>FRESNO-003</v>
      </c>
      <c r="AO455" t="str">
        <f>LEFT(_xlfn.TEXTBEFORE(Table1[[#This Row],[Location Identifier]],"-"),3) &amp; "-" &amp; _xlfn.TEXTAFTER(Table1[[#This Row],[Location Identifier]],"-")</f>
        <v>FRE-003</v>
      </c>
      <c r="AP455" s="9">
        <f t="shared" ca="1" si="70"/>
        <v>45869</v>
      </c>
    </row>
    <row r="456" spans="1:42" x14ac:dyDescent="0.25">
      <c r="A456">
        <v>30</v>
      </c>
      <c r="B456" t="s">
        <v>33</v>
      </c>
      <c r="C456">
        <v>5</v>
      </c>
      <c r="D456" t="s">
        <v>127</v>
      </c>
      <c r="E456" t="b">
        <v>1</v>
      </c>
      <c r="F456" s="1">
        <v>0.5444444444444444</v>
      </c>
      <c r="G456" s="1">
        <v>0.58194444444444449</v>
      </c>
      <c r="H456">
        <v>54</v>
      </c>
      <c r="I456" t="b">
        <v>0</v>
      </c>
      <c r="J456" t="b">
        <v>1</v>
      </c>
      <c r="K456" t="b">
        <v>1</v>
      </c>
      <c r="L456" t="s">
        <v>35</v>
      </c>
      <c r="M456">
        <v>30</v>
      </c>
      <c r="N456" t="s">
        <v>64</v>
      </c>
      <c r="O456">
        <v>22.5</v>
      </c>
      <c r="P456" t="s">
        <v>74</v>
      </c>
      <c r="Q456">
        <v>0.15</v>
      </c>
      <c r="R456">
        <v>19.125</v>
      </c>
      <c r="S456" t="s">
        <v>37</v>
      </c>
      <c r="T456" t="s">
        <v>48</v>
      </c>
      <c r="U456">
        <v>38.581600000000002</v>
      </c>
      <c r="V456">
        <v>-121.4944</v>
      </c>
      <c r="W456" s="2">
        <v>45712</v>
      </c>
      <c r="X456">
        <v>7</v>
      </c>
      <c r="Y456" t="b">
        <v>1</v>
      </c>
      <c r="Z456" s="2">
        <v>45854</v>
      </c>
      <c r="AA456" t="str">
        <f t="shared" si="71"/>
        <v>30–39</v>
      </c>
      <c r="AB456" t="str">
        <f t="shared" si="72"/>
        <v>30–39</v>
      </c>
      <c r="AC456" t="str">
        <f t="shared" si="73"/>
        <v>Monday</v>
      </c>
      <c r="AD456" t="str">
        <f t="shared" si="74"/>
        <v>Tuesday</v>
      </c>
      <c r="AE456" t="str">
        <f t="shared" si="75"/>
        <v/>
      </c>
      <c r="AF456" t="str">
        <f t="shared" si="76"/>
        <v/>
      </c>
      <c r="AG456" t="str">
        <f t="shared" si="77"/>
        <v>Friday</v>
      </c>
      <c r="AH456" t="str">
        <f t="shared" si="78"/>
        <v>Saturday</v>
      </c>
      <c r="AI456" t="str">
        <f t="shared" si="79"/>
        <v>Sunday</v>
      </c>
      <c r="AJ456" t="str">
        <f>LEFT(Table1[[#This Row],[membership_type]],2)&amp;TEXT(Table1[[#This Row],[age]],"00")&amp;"-"&amp;TEXT(ROW(),"000")</f>
        <v>St30-456</v>
      </c>
      <c r="AK456" t="str">
        <f>LEFT(Table1[[#This Row],[membership_type]],1)&amp;TEXT(MATCH(Table1[[#This Row],[membership_type]],Table1[membership_type],0),"00")</f>
        <v>S02</v>
      </c>
      <c r="AL456" t="str">
        <f>LEFT(Table1[[#This Row],[discount_type]],1)&amp;TEXT(ROUND(Table1[[#This Row],[discount_rate]]*100,0),"00")</f>
        <v>S15</v>
      </c>
      <c r="AM456" t="str" cm="1">
        <f t="array" ref="AM456">TEXT(SUMPRODUCT(CODE(MID(Table1[[#This Row],[home_gym_location]],_xlfn.SEQUENCE(LEN(Table1[[#This Row],[home_gym_location]])),1))),"00000")</f>
        <v>01245</v>
      </c>
      <c r="AN45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56" t="str">
        <f>LEFT(_xlfn.TEXTBEFORE(Table1[[#This Row],[Location Identifier]],"-"),3) &amp; "-" &amp; _xlfn.TEXTAFTER(Table1[[#This Row],[Location Identifier]],"-")</f>
        <v>SAC-007</v>
      </c>
      <c r="AP456" s="9">
        <f t="shared" ca="1" si="70"/>
        <v>45869</v>
      </c>
    </row>
    <row r="457" spans="1:42" x14ac:dyDescent="0.25">
      <c r="A457">
        <v>26</v>
      </c>
      <c r="B457" t="s">
        <v>33</v>
      </c>
      <c r="C457">
        <v>3</v>
      </c>
      <c r="D457" t="s">
        <v>128</v>
      </c>
      <c r="E457" t="b">
        <v>0</v>
      </c>
      <c r="F457" s="1">
        <v>0.5493055555555556</v>
      </c>
      <c r="G457" s="1">
        <v>0.59791666666666665</v>
      </c>
      <c r="H457">
        <v>70</v>
      </c>
      <c r="I457" t="b">
        <v>0</v>
      </c>
      <c r="J457" t="b">
        <v>0</v>
      </c>
      <c r="K457" t="b">
        <v>0</v>
      </c>
      <c r="L457" t="s">
        <v>62</v>
      </c>
      <c r="M457">
        <v>30</v>
      </c>
      <c r="N457" t="s">
        <v>29</v>
      </c>
      <c r="O457">
        <v>30</v>
      </c>
      <c r="P457" t="s">
        <v>30</v>
      </c>
      <c r="Q457">
        <v>0.05</v>
      </c>
      <c r="R457">
        <v>28.5</v>
      </c>
      <c r="S457" t="s">
        <v>37</v>
      </c>
      <c r="T457" t="s">
        <v>65</v>
      </c>
      <c r="U457">
        <v>33.770099999999999</v>
      </c>
      <c r="V457">
        <v>-118.19370000000001</v>
      </c>
      <c r="W457" s="2">
        <v>45306</v>
      </c>
      <c r="X457">
        <v>0</v>
      </c>
      <c r="Y457" t="b">
        <v>0</v>
      </c>
      <c r="Z457" s="2">
        <v>45831</v>
      </c>
      <c r="AA457" t="str">
        <f t="shared" si="71"/>
        <v>20–29</v>
      </c>
      <c r="AB457" t="str">
        <f t="shared" si="72"/>
        <v>20–29</v>
      </c>
      <c r="AC457" t="str">
        <f t="shared" si="73"/>
        <v>Monday</v>
      </c>
      <c r="AD457" t="str">
        <f t="shared" si="74"/>
        <v/>
      </c>
      <c r="AE457" t="str">
        <f t="shared" si="75"/>
        <v/>
      </c>
      <c r="AF457" t="str">
        <f t="shared" si="76"/>
        <v>Thursday</v>
      </c>
      <c r="AG457" t="str">
        <f t="shared" si="77"/>
        <v/>
      </c>
      <c r="AH457" t="str">
        <f t="shared" si="78"/>
        <v/>
      </c>
      <c r="AI457" t="str">
        <f t="shared" si="79"/>
        <v>Sunday</v>
      </c>
      <c r="AJ457" t="str">
        <f>LEFT(Table1[[#This Row],[membership_type]],2)&amp;TEXT(Table1[[#This Row],[age]],"00")&amp;"-"&amp;TEXT(ROW(),"000")</f>
        <v>St26-457</v>
      </c>
      <c r="AK457" t="str">
        <f>LEFT(Table1[[#This Row],[membership_type]],1)&amp;TEXT(MATCH(Table1[[#This Row],[membership_type]],Table1[membership_type],0),"00")</f>
        <v>S02</v>
      </c>
      <c r="AL457" t="str">
        <f>LEFT(Table1[[#This Row],[discount_type]],1)&amp;TEXT(ROUND(Table1[[#This Row],[discount_rate]]*100,0),"00")</f>
        <v>P05</v>
      </c>
      <c r="AM457" t="str" cm="1">
        <f t="array" ref="AM457">TEXT(SUMPRODUCT(CODE(MID(Table1[[#This Row],[home_gym_location]],_xlfn.SEQUENCE(LEN(Table1[[#This Row],[home_gym_location]])),1))),"00000")</f>
        <v>01107</v>
      </c>
      <c r="AN45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57" t="str">
        <f>LEFT(_xlfn.TEXTBEFORE(Table1[[#This Row],[Location Identifier]],"-"),3) &amp; "-" &amp; _xlfn.TEXTAFTER(Table1[[#This Row],[Location Identifier]],"-")</f>
        <v>LON-004</v>
      </c>
      <c r="AP457" s="9">
        <f t="shared" ca="1" si="70"/>
        <v>45869</v>
      </c>
    </row>
    <row r="458" spans="1:42" x14ac:dyDescent="0.25">
      <c r="A458">
        <v>23</v>
      </c>
      <c r="B458" t="s">
        <v>33</v>
      </c>
      <c r="C458">
        <v>4</v>
      </c>
      <c r="D458" t="s">
        <v>154</v>
      </c>
      <c r="E458" t="b">
        <v>0</v>
      </c>
      <c r="F458" s="1">
        <v>0.4284722222222222</v>
      </c>
      <c r="G458" s="1">
        <v>0.51458333333333328</v>
      </c>
      <c r="H458">
        <v>124</v>
      </c>
      <c r="I458" t="b">
        <v>1</v>
      </c>
      <c r="J458" t="b">
        <v>0</v>
      </c>
      <c r="K458" t="b">
        <v>1</v>
      </c>
      <c r="L458" t="s">
        <v>62</v>
      </c>
      <c r="M458">
        <v>30</v>
      </c>
      <c r="N458" t="s">
        <v>29</v>
      </c>
      <c r="O458">
        <v>30</v>
      </c>
      <c r="P458" t="s">
        <v>36</v>
      </c>
      <c r="Q458">
        <v>0</v>
      </c>
      <c r="R458">
        <v>30</v>
      </c>
      <c r="S458" t="s">
        <v>37</v>
      </c>
      <c r="T458" t="s">
        <v>45</v>
      </c>
      <c r="U458">
        <v>33.836599999999997</v>
      </c>
      <c r="V458">
        <v>-117.9143</v>
      </c>
      <c r="W458" s="2">
        <v>45818</v>
      </c>
      <c r="X458">
        <v>0</v>
      </c>
      <c r="Y458" t="b">
        <v>0</v>
      </c>
      <c r="Z458" s="2">
        <v>45860</v>
      </c>
      <c r="AA458" t="str">
        <f t="shared" si="71"/>
        <v>20–29</v>
      </c>
      <c r="AB458" t="str">
        <f t="shared" si="72"/>
        <v>20–29</v>
      </c>
      <c r="AC458" t="str">
        <f t="shared" si="73"/>
        <v/>
      </c>
      <c r="AD458" t="str">
        <f t="shared" si="74"/>
        <v/>
      </c>
      <c r="AE458" t="str">
        <f t="shared" si="75"/>
        <v>Wednesday</v>
      </c>
      <c r="AF458" t="str">
        <f t="shared" si="76"/>
        <v>Thursday</v>
      </c>
      <c r="AG458" t="str">
        <f t="shared" si="77"/>
        <v>Friday</v>
      </c>
      <c r="AH458" t="str">
        <f t="shared" si="78"/>
        <v/>
      </c>
      <c r="AI458" t="str">
        <f t="shared" si="79"/>
        <v>Sunday</v>
      </c>
      <c r="AJ458" t="str">
        <f>LEFT(Table1[[#This Row],[membership_type]],2)&amp;TEXT(Table1[[#This Row],[age]],"00")&amp;"-"&amp;TEXT(ROW(),"000")</f>
        <v>St23-458</v>
      </c>
      <c r="AK458" t="str">
        <f>LEFT(Table1[[#This Row],[membership_type]],1)&amp;TEXT(MATCH(Table1[[#This Row],[membership_type]],Table1[membership_type],0),"00")</f>
        <v>S02</v>
      </c>
      <c r="AL458" t="str">
        <f>LEFT(Table1[[#This Row],[discount_type]],1)&amp;TEXT(ROUND(Table1[[#This Row],[discount_rate]]*100,0),"00")</f>
        <v>N00</v>
      </c>
      <c r="AM458" t="str" cm="1">
        <f t="array" ref="AM458">TEXT(SUMPRODUCT(CODE(MID(Table1[[#This Row],[home_gym_location]],_xlfn.SEQUENCE(LEN(Table1[[#This Row],[home_gym_location]])),1))),"00000")</f>
        <v>00899</v>
      </c>
      <c r="AN458" t="str">
        <f>UPPER(_xlfn.TEXTBEFORE(Table1[[#This Row],[home_gym_location]],","))&amp;"-"&amp;TEXT(MATCH(Table1[[#This Row],[home_gym_location]],_xlfn._xlws.SORT(_xlfn.UNIQUE(Table1[home_gym_location])),0),"000")</f>
        <v>ANAHEIM-001</v>
      </c>
      <c r="AO458" t="str">
        <f>LEFT(_xlfn.TEXTBEFORE(Table1[[#This Row],[Location Identifier]],"-"),3) &amp; "-" &amp; _xlfn.TEXTAFTER(Table1[[#This Row],[Location Identifier]],"-")</f>
        <v>ANA-001</v>
      </c>
      <c r="AP458" s="9">
        <f t="shared" ca="1" si="70"/>
        <v>45869</v>
      </c>
    </row>
    <row r="459" spans="1:42" x14ac:dyDescent="0.25">
      <c r="A459">
        <v>37</v>
      </c>
      <c r="B459" t="s">
        <v>26</v>
      </c>
      <c r="C459">
        <v>3</v>
      </c>
      <c r="D459" t="s">
        <v>82</v>
      </c>
      <c r="E459" t="b">
        <v>0</v>
      </c>
      <c r="F459" s="1">
        <v>0.74513888888888891</v>
      </c>
      <c r="G459" s="1">
        <v>0.84305555555555556</v>
      </c>
      <c r="H459">
        <v>141</v>
      </c>
      <c r="I459" t="b">
        <v>0</v>
      </c>
      <c r="J459" t="b">
        <v>0</v>
      </c>
      <c r="K459" t="b">
        <v>1</v>
      </c>
      <c r="L459" t="s">
        <v>35</v>
      </c>
      <c r="M459">
        <v>50</v>
      </c>
      <c r="N459" t="s">
        <v>64</v>
      </c>
      <c r="O459">
        <v>37.5</v>
      </c>
      <c r="P459" t="s">
        <v>40</v>
      </c>
      <c r="Q459">
        <v>0.1</v>
      </c>
      <c r="R459">
        <v>33.75</v>
      </c>
      <c r="S459" t="s">
        <v>31</v>
      </c>
      <c r="T459" t="s">
        <v>65</v>
      </c>
      <c r="U459">
        <v>33.770099999999999</v>
      </c>
      <c r="V459">
        <v>-118.19370000000001</v>
      </c>
      <c r="W459" s="2">
        <v>45331</v>
      </c>
      <c r="X459">
        <v>0</v>
      </c>
      <c r="Y459" t="b">
        <v>1</v>
      </c>
      <c r="Z459" s="2">
        <v>45832</v>
      </c>
      <c r="AA459" t="str">
        <f t="shared" si="71"/>
        <v>30–39</v>
      </c>
      <c r="AB459" t="str">
        <f t="shared" si="72"/>
        <v>30–39</v>
      </c>
      <c r="AC459" t="str">
        <f t="shared" si="73"/>
        <v/>
      </c>
      <c r="AD459" t="str">
        <f t="shared" si="74"/>
        <v/>
      </c>
      <c r="AE459" t="str">
        <f t="shared" si="75"/>
        <v/>
      </c>
      <c r="AF459" t="str">
        <f t="shared" si="76"/>
        <v/>
      </c>
      <c r="AG459" t="str">
        <f t="shared" si="77"/>
        <v>Friday</v>
      </c>
      <c r="AH459" t="str">
        <f t="shared" si="78"/>
        <v>Saturday</v>
      </c>
      <c r="AI459" t="str">
        <f t="shared" si="79"/>
        <v>Sunday</v>
      </c>
      <c r="AJ459" t="str">
        <f>LEFT(Table1[[#This Row],[membership_type]],2)&amp;TEXT(Table1[[#This Row],[age]],"00")&amp;"-"&amp;TEXT(ROW(),"000")</f>
        <v>Pr37-459</v>
      </c>
      <c r="AK459" t="str">
        <f>LEFT(Table1[[#This Row],[membership_type]],1)&amp;TEXT(MATCH(Table1[[#This Row],[membership_type]],Table1[membership_type],0),"00")</f>
        <v>P01</v>
      </c>
      <c r="AL459" t="str">
        <f>LEFT(Table1[[#This Row],[discount_type]],1)&amp;TEXT(ROUND(Table1[[#This Row],[discount_rate]]*100,0),"00")</f>
        <v>L10</v>
      </c>
      <c r="AM459" t="str" cm="1">
        <f t="array" ref="AM459">TEXT(SUMPRODUCT(CODE(MID(Table1[[#This Row],[home_gym_location]],_xlfn.SEQUENCE(LEN(Table1[[#This Row],[home_gym_location]])),1))),"00000")</f>
        <v>01107</v>
      </c>
      <c r="AN45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59" t="str">
        <f>LEFT(_xlfn.TEXTBEFORE(Table1[[#This Row],[Location Identifier]],"-"),3) &amp; "-" &amp; _xlfn.TEXTAFTER(Table1[[#This Row],[Location Identifier]],"-")</f>
        <v>LON-004</v>
      </c>
      <c r="AP459" s="9">
        <f t="shared" ca="1" si="70"/>
        <v>45869</v>
      </c>
    </row>
    <row r="460" spans="1:42" x14ac:dyDescent="0.25">
      <c r="A460">
        <v>18</v>
      </c>
      <c r="B460" t="s">
        <v>26</v>
      </c>
      <c r="C460">
        <v>3</v>
      </c>
      <c r="D460" t="s">
        <v>138</v>
      </c>
      <c r="E460" t="b">
        <v>1</v>
      </c>
      <c r="F460" s="1">
        <v>0.38541666666666669</v>
      </c>
      <c r="G460" s="1">
        <v>0.41944444444444445</v>
      </c>
      <c r="H460">
        <v>49</v>
      </c>
      <c r="I460" t="b">
        <v>1</v>
      </c>
      <c r="J460" t="b">
        <v>0</v>
      </c>
      <c r="K460" t="b">
        <v>0</v>
      </c>
      <c r="L460" t="s">
        <v>28</v>
      </c>
      <c r="M460">
        <v>50</v>
      </c>
      <c r="N460" t="s">
        <v>78</v>
      </c>
      <c r="O460">
        <v>45</v>
      </c>
      <c r="P460" t="s">
        <v>40</v>
      </c>
      <c r="Q460">
        <v>0.1</v>
      </c>
      <c r="R460">
        <v>40.5</v>
      </c>
      <c r="S460" t="s">
        <v>31</v>
      </c>
      <c r="T460" t="s">
        <v>48</v>
      </c>
      <c r="U460">
        <v>38.581600000000002</v>
      </c>
      <c r="V460">
        <v>-121.4944</v>
      </c>
      <c r="W460" s="2">
        <v>45771</v>
      </c>
      <c r="X460">
        <v>0</v>
      </c>
      <c r="Y460" t="b">
        <v>1</v>
      </c>
      <c r="Z460" s="2">
        <v>45857</v>
      </c>
      <c r="AA460" t="str">
        <f t="shared" si="71"/>
        <v>10–19</v>
      </c>
      <c r="AB460" t="str">
        <f t="shared" si="72"/>
        <v>16–19</v>
      </c>
      <c r="AC460" t="str">
        <f t="shared" si="73"/>
        <v/>
      </c>
      <c r="AD460" t="str">
        <f t="shared" si="74"/>
        <v>Tuesday</v>
      </c>
      <c r="AE460" t="str">
        <f t="shared" si="75"/>
        <v/>
      </c>
      <c r="AF460" t="str">
        <f t="shared" si="76"/>
        <v>Thursday</v>
      </c>
      <c r="AG460" t="str">
        <f t="shared" si="77"/>
        <v/>
      </c>
      <c r="AH460" t="str">
        <f t="shared" si="78"/>
        <v/>
      </c>
      <c r="AI460" t="str">
        <f t="shared" si="79"/>
        <v>Sunday</v>
      </c>
      <c r="AJ460" t="str">
        <f>LEFT(Table1[[#This Row],[membership_type]],2)&amp;TEXT(Table1[[#This Row],[age]],"00")&amp;"-"&amp;TEXT(ROW(),"000")</f>
        <v>Pr18-460</v>
      </c>
      <c r="AK460" t="str">
        <f>LEFT(Table1[[#This Row],[membership_type]],1)&amp;TEXT(MATCH(Table1[[#This Row],[membership_type]],Table1[membership_type],0),"00")</f>
        <v>P01</v>
      </c>
      <c r="AL460" t="str">
        <f>LEFT(Table1[[#This Row],[discount_type]],1)&amp;TEXT(ROUND(Table1[[#This Row],[discount_rate]]*100,0),"00")</f>
        <v>L10</v>
      </c>
      <c r="AM460" t="str" cm="1">
        <f t="array" ref="AM460">TEXT(SUMPRODUCT(CODE(MID(Table1[[#This Row],[home_gym_location]],_xlfn.SEQUENCE(LEN(Table1[[#This Row],[home_gym_location]])),1))),"00000")</f>
        <v>01245</v>
      </c>
      <c r="AN46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60" t="str">
        <f>LEFT(_xlfn.TEXTBEFORE(Table1[[#This Row],[Location Identifier]],"-"),3) &amp; "-" &amp; _xlfn.TEXTAFTER(Table1[[#This Row],[Location Identifier]],"-")</f>
        <v>SAC-007</v>
      </c>
      <c r="AP460" s="9">
        <f t="shared" ca="1" si="70"/>
        <v>45869</v>
      </c>
    </row>
    <row r="461" spans="1:42" x14ac:dyDescent="0.25">
      <c r="A461">
        <v>30</v>
      </c>
      <c r="B461" t="s">
        <v>33</v>
      </c>
      <c r="C461">
        <v>3</v>
      </c>
      <c r="D461" t="s">
        <v>109</v>
      </c>
      <c r="E461" t="b">
        <v>0</v>
      </c>
      <c r="F461" s="1">
        <v>0.33680555555555558</v>
      </c>
      <c r="G461" s="1">
        <v>0.37916666666666665</v>
      </c>
      <c r="H461">
        <v>61</v>
      </c>
      <c r="I461" t="b">
        <v>1</v>
      </c>
      <c r="J461" t="b">
        <v>1</v>
      </c>
      <c r="K461" t="b">
        <v>0</v>
      </c>
      <c r="L461" t="s">
        <v>47</v>
      </c>
      <c r="M461">
        <v>30</v>
      </c>
      <c r="N461" t="s">
        <v>64</v>
      </c>
      <c r="O461">
        <v>22.5</v>
      </c>
      <c r="P461" t="s">
        <v>30</v>
      </c>
      <c r="Q461">
        <v>0.05</v>
      </c>
      <c r="R461">
        <v>21.375</v>
      </c>
      <c r="S461" t="s">
        <v>37</v>
      </c>
      <c r="T461" t="s">
        <v>65</v>
      </c>
      <c r="U461">
        <v>33.770099999999999</v>
      </c>
      <c r="V461">
        <v>-118.19370000000001</v>
      </c>
      <c r="W461" s="2">
        <v>45704</v>
      </c>
      <c r="X461">
        <v>5</v>
      </c>
      <c r="Y461" t="b">
        <v>0</v>
      </c>
      <c r="Z461" s="2">
        <v>45853</v>
      </c>
      <c r="AA461" t="str">
        <f t="shared" si="71"/>
        <v>30–39</v>
      </c>
      <c r="AB461" t="str">
        <f t="shared" si="72"/>
        <v>30–39</v>
      </c>
      <c r="AC461" t="str">
        <f t="shared" si="73"/>
        <v/>
      </c>
      <c r="AD461" t="str">
        <f t="shared" si="74"/>
        <v>Tuesday</v>
      </c>
      <c r="AE461" t="str">
        <f t="shared" si="75"/>
        <v/>
      </c>
      <c r="AF461" t="str">
        <f t="shared" si="76"/>
        <v>Thursday</v>
      </c>
      <c r="AG461" t="str">
        <f t="shared" si="77"/>
        <v>Friday</v>
      </c>
      <c r="AH461" t="str">
        <f t="shared" si="78"/>
        <v/>
      </c>
      <c r="AI461" t="str">
        <f t="shared" si="79"/>
        <v/>
      </c>
      <c r="AJ461" t="str">
        <f>LEFT(Table1[[#This Row],[membership_type]],2)&amp;TEXT(Table1[[#This Row],[age]],"00")&amp;"-"&amp;TEXT(ROW(),"000")</f>
        <v>St30-461</v>
      </c>
      <c r="AK461" t="str">
        <f>LEFT(Table1[[#This Row],[membership_type]],1)&amp;TEXT(MATCH(Table1[[#This Row],[membership_type]],Table1[membership_type],0),"00")</f>
        <v>S02</v>
      </c>
      <c r="AL461" t="str">
        <f>LEFT(Table1[[#This Row],[discount_type]],1)&amp;TEXT(ROUND(Table1[[#This Row],[discount_rate]]*100,0),"00")</f>
        <v>P05</v>
      </c>
      <c r="AM461" t="str" cm="1">
        <f t="array" ref="AM461">TEXT(SUMPRODUCT(CODE(MID(Table1[[#This Row],[home_gym_location]],_xlfn.SEQUENCE(LEN(Table1[[#This Row],[home_gym_location]])),1))),"00000")</f>
        <v>01107</v>
      </c>
      <c r="AN46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61" t="str">
        <f>LEFT(_xlfn.TEXTBEFORE(Table1[[#This Row],[Location Identifier]],"-"),3) &amp; "-" &amp; _xlfn.TEXTAFTER(Table1[[#This Row],[Location Identifier]],"-")</f>
        <v>LON-004</v>
      </c>
      <c r="AP461" s="9">
        <f t="shared" ca="1" si="70"/>
        <v>45869</v>
      </c>
    </row>
    <row r="462" spans="1:42" x14ac:dyDescent="0.25">
      <c r="A462">
        <v>23</v>
      </c>
      <c r="B462" t="s">
        <v>26</v>
      </c>
      <c r="C462">
        <v>3</v>
      </c>
      <c r="D462" t="s">
        <v>128</v>
      </c>
      <c r="E462" t="b">
        <v>0</v>
      </c>
      <c r="F462" s="1">
        <v>0.41388888888888886</v>
      </c>
      <c r="G462" s="1">
        <v>0.47222222222222221</v>
      </c>
      <c r="H462">
        <v>84</v>
      </c>
      <c r="I462" t="b">
        <v>1</v>
      </c>
      <c r="J462" t="b">
        <v>1</v>
      </c>
      <c r="K462" t="b">
        <v>0</v>
      </c>
      <c r="L462" t="s">
        <v>62</v>
      </c>
      <c r="M462">
        <v>50</v>
      </c>
      <c r="N462" t="s">
        <v>29</v>
      </c>
      <c r="O462">
        <v>50</v>
      </c>
      <c r="P462" t="s">
        <v>74</v>
      </c>
      <c r="Q462">
        <v>0.15</v>
      </c>
      <c r="R462">
        <v>42.5</v>
      </c>
      <c r="S462" t="s">
        <v>31</v>
      </c>
      <c r="T462" t="s">
        <v>38</v>
      </c>
      <c r="U462">
        <v>36.7378</v>
      </c>
      <c r="V462">
        <v>-119.7871</v>
      </c>
      <c r="W462" s="2">
        <v>45705</v>
      </c>
      <c r="X462">
        <v>7</v>
      </c>
      <c r="Y462" t="b">
        <v>1</v>
      </c>
      <c r="Z462" s="2">
        <v>45853</v>
      </c>
      <c r="AA462" t="str">
        <f t="shared" si="71"/>
        <v>20–29</v>
      </c>
      <c r="AB462" t="str">
        <f t="shared" si="72"/>
        <v>20–29</v>
      </c>
      <c r="AC462" t="str">
        <f t="shared" si="73"/>
        <v>Monday</v>
      </c>
      <c r="AD462" t="str">
        <f t="shared" si="74"/>
        <v/>
      </c>
      <c r="AE462" t="str">
        <f t="shared" si="75"/>
        <v/>
      </c>
      <c r="AF462" t="str">
        <f t="shared" si="76"/>
        <v>Thursday</v>
      </c>
      <c r="AG462" t="str">
        <f t="shared" si="77"/>
        <v/>
      </c>
      <c r="AH462" t="str">
        <f t="shared" si="78"/>
        <v/>
      </c>
      <c r="AI462" t="str">
        <f t="shared" si="79"/>
        <v>Sunday</v>
      </c>
      <c r="AJ462" t="str">
        <f>LEFT(Table1[[#This Row],[membership_type]],2)&amp;TEXT(Table1[[#This Row],[age]],"00")&amp;"-"&amp;TEXT(ROW(),"000")</f>
        <v>Pr23-462</v>
      </c>
      <c r="AK462" t="str">
        <f>LEFT(Table1[[#This Row],[membership_type]],1)&amp;TEXT(MATCH(Table1[[#This Row],[membership_type]],Table1[membership_type],0),"00")</f>
        <v>P01</v>
      </c>
      <c r="AL462" t="str">
        <f>LEFT(Table1[[#This Row],[discount_type]],1)&amp;TEXT(ROUND(Table1[[#This Row],[discount_rate]]*100,0),"00")</f>
        <v>S15</v>
      </c>
      <c r="AM462" t="str" cm="1">
        <f t="array" ref="AM462">TEXT(SUMPRODUCT(CODE(MID(Table1[[#This Row],[home_gym_location]],_xlfn.SEQUENCE(LEN(Table1[[#This Row],[home_gym_location]])),1))),"00000")</f>
        <v>00829</v>
      </c>
      <c r="AN462" t="str">
        <f>UPPER(_xlfn.TEXTBEFORE(Table1[[#This Row],[home_gym_location]],","))&amp;"-"&amp;TEXT(MATCH(Table1[[#This Row],[home_gym_location]],_xlfn._xlws.SORT(_xlfn.UNIQUE(Table1[home_gym_location])),0),"000")</f>
        <v>FRESNO-003</v>
      </c>
      <c r="AO462" t="str">
        <f>LEFT(_xlfn.TEXTBEFORE(Table1[[#This Row],[Location Identifier]],"-"),3) &amp; "-" &amp; _xlfn.TEXTAFTER(Table1[[#This Row],[Location Identifier]],"-")</f>
        <v>FRE-003</v>
      </c>
      <c r="AP462" s="9">
        <f t="shared" ca="1" si="70"/>
        <v>45869</v>
      </c>
    </row>
    <row r="463" spans="1:42" x14ac:dyDescent="0.25">
      <c r="A463">
        <v>40</v>
      </c>
      <c r="B463" t="s">
        <v>26</v>
      </c>
      <c r="C463">
        <v>2</v>
      </c>
      <c r="D463" t="s">
        <v>116</v>
      </c>
      <c r="E463" t="b">
        <v>0</v>
      </c>
      <c r="F463" s="1">
        <v>0.48402777777777778</v>
      </c>
      <c r="G463" s="1">
        <v>0.59930555555555554</v>
      </c>
      <c r="H463">
        <v>166</v>
      </c>
      <c r="I463" t="b">
        <v>0</v>
      </c>
      <c r="J463" t="b">
        <v>1</v>
      </c>
      <c r="K463" t="b">
        <v>1</v>
      </c>
      <c r="L463" t="s">
        <v>28</v>
      </c>
      <c r="M463">
        <v>50</v>
      </c>
      <c r="N463" t="s">
        <v>29</v>
      </c>
      <c r="O463">
        <v>50</v>
      </c>
      <c r="P463" t="s">
        <v>36</v>
      </c>
      <c r="Q463">
        <v>0</v>
      </c>
      <c r="R463">
        <v>50</v>
      </c>
      <c r="S463" t="s">
        <v>31</v>
      </c>
      <c r="T463" t="s">
        <v>32</v>
      </c>
      <c r="U463">
        <v>37.338200000000001</v>
      </c>
      <c r="V463">
        <v>-121.88630000000001</v>
      </c>
      <c r="W463" s="2">
        <v>45139</v>
      </c>
      <c r="X463">
        <v>5</v>
      </c>
      <c r="Y463" t="b">
        <v>1</v>
      </c>
      <c r="Z463" s="2">
        <v>45822</v>
      </c>
      <c r="AA463" t="str">
        <f t="shared" si="71"/>
        <v>40–49</v>
      </c>
      <c r="AB463" t="str">
        <f t="shared" si="72"/>
        <v>40–49</v>
      </c>
      <c r="AC463" t="str">
        <f t="shared" si="73"/>
        <v/>
      </c>
      <c r="AD463" t="str">
        <f t="shared" si="74"/>
        <v/>
      </c>
      <c r="AE463" t="str">
        <f t="shared" si="75"/>
        <v/>
      </c>
      <c r="AF463" t="str">
        <f t="shared" si="76"/>
        <v>Thursday</v>
      </c>
      <c r="AG463" t="str">
        <f t="shared" si="77"/>
        <v/>
      </c>
      <c r="AH463" t="str">
        <f t="shared" si="78"/>
        <v/>
      </c>
      <c r="AI463" t="str">
        <f t="shared" si="79"/>
        <v>Sunday</v>
      </c>
      <c r="AJ463" t="str">
        <f>LEFT(Table1[[#This Row],[membership_type]],2)&amp;TEXT(Table1[[#This Row],[age]],"00")&amp;"-"&amp;TEXT(ROW(),"000")</f>
        <v>Pr40-463</v>
      </c>
      <c r="AK463" t="str">
        <f>LEFT(Table1[[#This Row],[membership_type]],1)&amp;TEXT(MATCH(Table1[[#This Row],[membership_type]],Table1[membership_type],0),"00")</f>
        <v>P01</v>
      </c>
      <c r="AL463" t="str">
        <f>LEFT(Table1[[#This Row],[discount_type]],1)&amp;TEXT(ROUND(Table1[[#This Row],[discount_rate]]*100,0),"00")</f>
        <v>N00</v>
      </c>
      <c r="AM463" t="str" cm="1">
        <f t="array" ref="AM463">TEXT(SUMPRODUCT(CODE(MID(Table1[[#This Row],[home_gym_location]],_xlfn.SEQUENCE(LEN(Table1[[#This Row],[home_gym_location]])),1))),"00000")</f>
        <v>00931</v>
      </c>
      <c r="AN46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63" t="str">
        <f>LEFT(_xlfn.TEXTBEFORE(Table1[[#This Row],[Location Identifier]],"-"),3) &amp; "-" &amp; _xlfn.TEXTAFTER(Table1[[#This Row],[Location Identifier]],"-")</f>
        <v>SAN-010</v>
      </c>
      <c r="AP463" s="9">
        <f t="shared" ca="1" si="70"/>
        <v>45869</v>
      </c>
    </row>
    <row r="464" spans="1:42" x14ac:dyDescent="0.25">
      <c r="A464">
        <v>16</v>
      </c>
      <c r="B464" t="s">
        <v>42</v>
      </c>
      <c r="C464">
        <v>1</v>
      </c>
      <c r="D464" t="s">
        <v>97</v>
      </c>
      <c r="E464" t="b">
        <v>1</v>
      </c>
      <c r="F464" s="1">
        <v>0.83472222222222225</v>
      </c>
      <c r="G464" s="1">
        <v>0.94236111111111109</v>
      </c>
      <c r="H464">
        <v>155</v>
      </c>
      <c r="I464" t="b">
        <v>0</v>
      </c>
      <c r="J464" t="b">
        <v>1</v>
      </c>
      <c r="K464" t="b">
        <v>0</v>
      </c>
      <c r="L464" t="s">
        <v>28</v>
      </c>
      <c r="M464">
        <v>20</v>
      </c>
      <c r="N464" t="s">
        <v>29</v>
      </c>
      <c r="O464">
        <v>20</v>
      </c>
      <c r="P464" t="s">
        <v>30</v>
      </c>
      <c r="Q464">
        <v>0.05</v>
      </c>
      <c r="R464">
        <v>19</v>
      </c>
      <c r="S464" t="s">
        <v>44</v>
      </c>
      <c r="T464" t="s">
        <v>38</v>
      </c>
      <c r="U464">
        <v>36.7378</v>
      </c>
      <c r="V464">
        <v>-119.7871</v>
      </c>
      <c r="W464" s="2">
        <v>45036</v>
      </c>
      <c r="X464">
        <v>5</v>
      </c>
      <c r="Y464" t="b">
        <v>0</v>
      </c>
      <c r="Z464" s="2">
        <v>45816</v>
      </c>
      <c r="AA464" t="str">
        <f t="shared" si="71"/>
        <v>10–19</v>
      </c>
      <c r="AB464" t="str">
        <f t="shared" si="72"/>
        <v>16–19</v>
      </c>
      <c r="AC464" t="str">
        <f t="shared" si="73"/>
        <v>Monday</v>
      </c>
      <c r="AD464" t="str">
        <f t="shared" si="74"/>
        <v/>
      </c>
      <c r="AE464" t="str">
        <f t="shared" si="75"/>
        <v/>
      </c>
      <c r="AF464" t="str">
        <f t="shared" si="76"/>
        <v/>
      </c>
      <c r="AG464" t="str">
        <f t="shared" si="77"/>
        <v/>
      </c>
      <c r="AH464" t="str">
        <f t="shared" si="78"/>
        <v/>
      </c>
      <c r="AI464" t="str">
        <f t="shared" si="79"/>
        <v/>
      </c>
      <c r="AJ464" t="str">
        <f>LEFT(Table1[[#This Row],[membership_type]],2)&amp;TEXT(Table1[[#This Row],[age]],"00")&amp;"-"&amp;TEXT(ROW(),"000")</f>
        <v>Ba16-464</v>
      </c>
      <c r="AK464" t="str">
        <f>LEFT(Table1[[#This Row],[membership_type]],1)&amp;TEXT(MATCH(Table1[[#This Row],[membership_type]],Table1[membership_type],0),"00")</f>
        <v>B04</v>
      </c>
      <c r="AL464" t="str">
        <f>LEFT(Table1[[#This Row],[discount_type]],1)&amp;TEXT(ROUND(Table1[[#This Row],[discount_rate]]*100,0),"00")</f>
        <v>P05</v>
      </c>
      <c r="AM464" t="str" cm="1">
        <f t="array" ref="AM464">TEXT(SUMPRODUCT(CODE(MID(Table1[[#This Row],[home_gym_location]],_xlfn.SEQUENCE(LEN(Table1[[#This Row],[home_gym_location]])),1))),"00000")</f>
        <v>00829</v>
      </c>
      <c r="AN464" t="str">
        <f>UPPER(_xlfn.TEXTBEFORE(Table1[[#This Row],[home_gym_location]],","))&amp;"-"&amp;TEXT(MATCH(Table1[[#This Row],[home_gym_location]],_xlfn._xlws.SORT(_xlfn.UNIQUE(Table1[home_gym_location])),0),"000")</f>
        <v>FRESNO-003</v>
      </c>
      <c r="AO464" t="str">
        <f>LEFT(_xlfn.TEXTBEFORE(Table1[[#This Row],[Location Identifier]],"-"),3) &amp; "-" &amp; _xlfn.TEXTAFTER(Table1[[#This Row],[Location Identifier]],"-")</f>
        <v>FRE-003</v>
      </c>
      <c r="AP464" s="9">
        <f t="shared" ca="1" si="70"/>
        <v>45869</v>
      </c>
    </row>
    <row r="465" spans="1:42" x14ac:dyDescent="0.25">
      <c r="A465">
        <v>20</v>
      </c>
      <c r="B465" t="s">
        <v>51</v>
      </c>
      <c r="C465">
        <v>2</v>
      </c>
      <c r="D465" t="s">
        <v>84</v>
      </c>
      <c r="E465" t="b">
        <v>0</v>
      </c>
      <c r="F465" s="1">
        <v>0.5854166666666667</v>
      </c>
      <c r="G465" s="1">
        <v>0.7</v>
      </c>
      <c r="H465">
        <v>165</v>
      </c>
      <c r="I465" t="b">
        <v>1</v>
      </c>
      <c r="J465" t="b">
        <v>1</v>
      </c>
      <c r="K465" t="b">
        <v>1</v>
      </c>
      <c r="L465" t="s">
        <v>62</v>
      </c>
      <c r="M465">
        <v>70</v>
      </c>
      <c r="N465" t="s">
        <v>64</v>
      </c>
      <c r="O465">
        <v>52.5</v>
      </c>
      <c r="P465" t="s">
        <v>36</v>
      </c>
      <c r="Q465">
        <v>0</v>
      </c>
      <c r="R465">
        <v>52.5</v>
      </c>
      <c r="S465" t="s">
        <v>53</v>
      </c>
      <c r="T465" t="s">
        <v>54</v>
      </c>
      <c r="U465">
        <v>32.715699999999998</v>
      </c>
      <c r="V465">
        <v>-117.1611</v>
      </c>
      <c r="W465" s="2">
        <v>45209</v>
      </c>
      <c r="X465">
        <v>6</v>
      </c>
      <c r="Y465" t="b">
        <v>1</v>
      </c>
      <c r="Z465" s="2">
        <v>45825</v>
      </c>
      <c r="AA465" t="str">
        <f t="shared" si="71"/>
        <v>20–29</v>
      </c>
      <c r="AB465" t="str">
        <f t="shared" si="72"/>
        <v>20–29</v>
      </c>
      <c r="AC465" t="str">
        <f t="shared" si="73"/>
        <v/>
      </c>
      <c r="AD465" t="str">
        <f t="shared" si="74"/>
        <v>Tuesday</v>
      </c>
      <c r="AE465" t="str">
        <f t="shared" si="75"/>
        <v/>
      </c>
      <c r="AF465" t="str">
        <f t="shared" si="76"/>
        <v/>
      </c>
      <c r="AG465" t="str">
        <f t="shared" si="77"/>
        <v/>
      </c>
      <c r="AH465" t="str">
        <f t="shared" si="78"/>
        <v/>
      </c>
      <c r="AI465" t="str">
        <f t="shared" si="79"/>
        <v>Sunday</v>
      </c>
      <c r="AJ465" t="str">
        <f>LEFT(Table1[[#This Row],[membership_type]],2)&amp;TEXT(Table1[[#This Row],[age]],"00")&amp;"-"&amp;TEXT(ROW(),"000")</f>
        <v>El20-465</v>
      </c>
      <c r="AK465" t="str">
        <f>LEFT(Table1[[#This Row],[membership_type]],1)&amp;TEXT(MATCH(Table1[[#This Row],[membership_type]],Table1[membership_type],0),"00")</f>
        <v>E07</v>
      </c>
      <c r="AL465" t="str">
        <f>LEFT(Table1[[#This Row],[discount_type]],1)&amp;TEXT(ROUND(Table1[[#This Row],[discount_rate]]*100,0),"00")</f>
        <v>N00</v>
      </c>
      <c r="AM465" t="str" cm="1">
        <f t="array" ref="AM465">TEXT(SUMPRODUCT(CODE(MID(Table1[[#This Row],[home_gym_location]],_xlfn.SEQUENCE(LEN(Table1[[#This Row],[home_gym_location]])),1))),"00000")</f>
        <v>01018</v>
      </c>
      <c r="AN46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65" t="str">
        <f>LEFT(_xlfn.TEXTBEFORE(Table1[[#This Row],[Location Identifier]],"-"),3) &amp; "-" &amp; _xlfn.TEXTAFTER(Table1[[#This Row],[Location Identifier]],"-")</f>
        <v>SAN-008</v>
      </c>
      <c r="AP465" s="9">
        <f t="shared" ca="1" si="70"/>
        <v>45869</v>
      </c>
    </row>
    <row r="466" spans="1:42" x14ac:dyDescent="0.25">
      <c r="A466">
        <v>29</v>
      </c>
      <c r="B466" t="s">
        <v>42</v>
      </c>
      <c r="C466">
        <v>2</v>
      </c>
      <c r="D466" t="s">
        <v>79</v>
      </c>
      <c r="E466" t="b">
        <v>1</v>
      </c>
      <c r="F466" s="1">
        <v>0.61458333333333337</v>
      </c>
      <c r="G466" s="1">
        <v>0.7368055555555556</v>
      </c>
      <c r="H466">
        <v>176</v>
      </c>
      <c r="I466" t="b">
        <v>0</v>
      </c>
      <c r="J466" t="b">
        <v>1</v>
      </c>
      <c r="K466" t="b">
        <v>1</v>
      </c>
      <c r="L466" t="s">
        <v>28</v>
      </c>
      <c r="M466">
        <v>20</v>
      </c>
      <c r="N466" t="s">
        <v>29</v>
      </c>
      <c r="O466">
        <v>20</v>
      </c>
      <c r="P466" t="s">
        <v>36</v>
      </c>
      <c r="Q466">
        <v>0</v>
      </c>
      <c r="R466">
        <v>20</v>
      </c>
      <c r="S466" t="s">
        <v>44</v>
      </c>
      <c r="T466" t="s">
        <v>32</v>
      </c>
      <c r="U466">
        <v>37.338200000000001</v>
      </c>
      <c r="V466">
        <v>-121.88630000000001</v>
      </c>
      <c r="W466" s="2">
        <v>44806</v>
      </c>
      <c r="X466">
        <v>5</v>
      </c>
      <c r="Y466" t="b">
        <v>1</v>
      </c>
      <c r="Z466" s="2">
        <v>45803</v>
      </c>
      <c r="AA466" t="str">
        <f t="shared" si="71"/>
        <v>20–29</v>
      </c>
      <c r="AB466" t="str">
        <f t="shared" si="72"/>
        <v>20–29</v>
      </c>
      <c r="AC466" t="str">
        <f t="shared" si="73"/>
        <v/>
      </c>
      <c r="AD466" t="str">
        <f t="shared" si="74"/>
        <v/>
      </c>
      <c r="AE466" t="str">
        <f t="shared" si="75"/>
        <v/>
      </c>
      <c r="AF466" t="str">
        <f t="shared" si="76"/>
        <v/>
      </c>
      <c r="AG466" t="str">
        <f t="shared" si="77"/>
        <v>Friday</v>
      </c>
      <c r="AH466" t="str">
        <f t="shared" si="78"/>
        <v>Saturday</v>
      </c>
      <c r="AI466" t="str">
        <f t="shared" si="79"/>
        <v/>
      </c>
      <c r="AJ466" t="str">
        <f>LEFT(Table1[[#This Row],[membership_type]],2)&amp;TEXT(Table1[[#This Row],[age]],"00")&amp;"-"&amp;TEXT(ROW(),"000")</f>
        <v>Ba29-466</v>
      </c>
      <c r="AK466" t="str">
        <f>LEFT(Table1[[#This Row],[membership_type]],1)&amp;TEXT(MATCH(Table1[[#This Row],[membership_type]],Table1[membership_type],0),"00")</f>
        <v>B04</v>
      </c>
      <c r="AL466" t="str">
        <f>LEFT(Table1[[#This Row],[discount_type]],1)&amp;TEXT(ROUND(Table1[[#This Row],[discount_rate]]*100,0),"00")</f>
        <v>N00</v>
      </c>
      <c r="AM466" t="str" cm="1">
        <f t="array" ref="AM466">TEXT(SUMPRODUCT(CODE(MID(Table1[[#This Row],[home_gym_location]],_xlfn.SEQUENCE(LEN(Table1[[#This Row],[home_gym_location]])),1))),"00000")</f>
        <v>00931</v>
      </c>
      <c r="AN46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66" t="str">
        <f>LEFT(_xlfn.TEXTBEFORE(Table1[[#This Row],[Location Identifier]],"-"),3) &amp; "-" &amp; _xlfn.TEXTAFTER(Table1[[#This Row],[Location Identifier]],"-")</f>
        <v>SAN-010</v>
      </c>
      <c r="AP466" s="9">
        <f t="shared" ca="1" si="70"/>
        <v>45869</v>
      </c>
    </row>
    <row r="467" spans="1:42" x14ac:dyDescent="0.25">
      <c r="A467">
        <v>41</v>
      </c>
      <c r="B467" t="s">
        <v>33</v>
      </c>
      <c r="C467">
        <v>2</v>
      </c>
      <c r="D467" t="s">
        <v>96</v>
      </c>
      <c r="E467" t="b">
        <v>1</v>
      </c>
      <c r="F467" s="1">
        <v>0.43680555555555556</v>
      </c>
      <c r="G467" s="1">
        <v>0.52569444444444446</v>
      </c>
      <c r="H467">
        <v>128</v>
      </c>
      <c r="I467" t="b">
        <v>1</v>
      </c>
      <c r="J467" t="b">
        <v>1</v>
      </c>
      <c r="K467" t="b">
        <v>1</v>
      </c>
      <c r="L467" t="s">
        <v>35</v>
      </c>
      <c r="M467">
        <v>30</v>
      </c>
      <c r="N467" t="s">
        <v>29</v>
      </c>
      <c r="O467">
        <v>30</v>
      </c>
      <c r="P467" t="s">
        <v>74</v>
      </c>
      <c r="Q467">
        <v>0.15</v>
      </c>
      <c r="R467">
        <v>25.5</v>
      </c>
      <c r="S467" t="s">
        <v>37</v>
      </c>
      <c r="T467" t="s">
        <v>38</v>
      </c>
      <c r="U467">
        <v>36.7378</v>
      </c>
      <c r="V467">
        <v>-119.7871</v>
      </c>
      <c r="W467" s="2">
        <v>45431</v>
      </c>
      <c r="X467">
        <v>2</v>
      </c>
      <c r="Y467" t="b">
        <v>0</v>
      </c>
      <c r="Z467" s="2">
        <v>45838</v>
      </c>
      <c r="AA467" t="str">
        <f t="shared" si="71"/>
        <v>40–49</v>
      </c>
      <c r="AB467" t="str">
        <f t="shared" si="72"/>
        <v>40–49</v>
      </c>
      <c r="AC467" t="str">
        <f t="shared" si="73"/>
        <v/>
      </c>
      <c r="AD467" t="str">
        <f t="shared" si="74"/>
        <v/>
      </c>
      <c r="AE467" t="str">
        <f t="shared" si="75"/>
        <v/>
      </c>
      <c r="AF467" t="str">
        <f t="shared" si="76"/>
        <v>Thursday</v>
      </c>
      <c r="AG467" t="str">
        <f t="shared" si="77"/>
        <v>Friday</v>
      </c>
      <c r="AH467" t="str">
        <f t="shared" si="78"/>
        <v/>
      </c>
      <c r="AI467" t="str">
        <f t="shared" si="79"/>
        <v/>
      </c>
      <c r="AJ467" t="str">
        <f>LEFT(Table1[[#This Row],[membership_type]],2)&amp;TEXT(Table1[[#This Row],[age]],"00")&amp;"-"&amp;TEXT(ROW(),"000")</f>
        <v>St41-467</v>
      </c>
      <c r="AK467" t="str">
        <f>LEFT(Table1[[#This Row],[membership_type]],1)&amp;TEXT(MATCH(Table1[[#This Row],[membership_type]],Table1[membership_type],0),"00")</f>
        <v>S02</v>
      </c>
      <c r="AL467" t="str">
        <f>LEFT(Table1[[#This Row],[discount_type]],1)&amp;TEXT(ROUND(Table1[[#This Row],[discount_rate]]*100,0),"00")</f>
        <v>S15</v>
      </c>
      <c r="AM467" t="str" cm="1">
        <f t="array" ref="AM467">TEXT(SUMPRODUCT(CODE(MID(Table1[[#This Row],[home_gym_location]],_xlfn.SEQUENCE(LEN(Table1[[#This Row],[home_gym_location]])),1))),"00000")</f>
        <v>00829</v>
      </c>
      <c r="AN467" t="str">
        <f>UPPER(_xlfn.TEXTBEFORE(Table1[[#This Row],[home_gym_location]],","))&amp;"-"&amp;TEXT(MATCH(Table1[[#This Row],[home_gym_location]],_xlfn._xlws.SORT(_xlfn.UNIQUE(Table1[home_gym_location])),0),"000")</f>
        <v>FRESNO-003</v>
      </c>
      <c r="AO467" t="str">
        <f>LEFT(_xlfn.TEXTBEFORE(Table1[[#This Row],[Location Identifier]],"-"),3) &amp; "-" &amp; _xlfn.TEXTAFTER(Table1[[#This Row],[Location Identifier]],"-")</f>
        <v>FRE-003</v>
      </c>
      <c r="AP467" s="9">
        <f t="shared" ca="1" si="70"/>
        <v>45869</v>
      </c>
    </row>
    <row r="468" spans="1:42" x14ac:dyDescent="0.25">
      <c r="A468">
        <v>22</v>
      </c>
      <c r="B468" t="s">
        <v>26</v>
      </c>
      <c r="C468">
        <v>3</v>
      </c>
      <c r="D468" t="s">
        <v>134</v>
      </c>
      <c r="E468" t="b">
        <v>1</v>
      </c>
      <c r="F468" s="1">
        <v>0.72847222222222219</v>
      </c>
      <c r="G468" s="1">
        <v>0.79583333333333328</v>
      </c>
      <c r="H468">
        <v>97</v>
      </c>
      <c r="I468" t="b">
        <v>1</v>
      </c>
      <c r="J468" t="b">
        <v>0</v>
      </c>
      <c r="K468" t="b">
        <v>0</v>
      </c>
      <c r="L468" t="s">
        <v>62</v>
      </c>
      <c r="M468">
        <v>50</v>
      </c>
      <c r="N468" t="s">
        <v>29</v>
      </c>
      <c r="O468">
        <v>50</v>
      </c>
      <c r="P468" t="s">
        <v>30</v>
      </c>
      <c r="Q468">
        <v>0.05</v>
      </c>
      <c r="R468">
        <v>47.5</v>
      </c>
      <c r="S468" t="s">
        <v>31</v>
      </c>
      <c r="T468" t="s">
        <v>65</v>
      </c>
      <c r="U468">
        <v>33.770099999999999</v>
      </c>
      <c r="V468">
        <v>-118.19370000000001</v>
      </c>
      <c r="W468" s="2">
        <v>45526</v>
      </c>
      <c r="X468">
        <v>0</v>
      </c>
      <c r="Y468" t="b">
        <v>0</v>
      </c>
      <c r="Z468" s="2">
        <v>45843</v>
      </c>
      <c r="AA468" t="str">
        <f t="shared" si="71"/>
        <v>20–29</v>
      </c>
      <c r="AB468" t="str">
        <f t="shared" si="72"/>
        <v>20–29</v>
      </c>
      <c r="AC468" t="str">
        <f t="shared" si="73"/>
        <v/>
      </c>
      <c r="AD468" t="str">
        <f t="shared" si="74"/>
        <v>Tuesday</v>
      </c>
      <c r="AE468" t="str">
        <f t="shared" si="75"/>
        <v/>
      </c>
      <c r="AF468" t="str">
        <f t="shared" si="76"/>
        <v>Thursday</v>
      </c>
      <c r="AG468" t="str">
        <f t="shared" si="77"/>
        <v/>
      </c>
      <c r="AH468" t="str">
        <f t="shared" si="78"/>
        <v>Saturday</v>
      </c>
      <c r="AI468" t="str">
        <f t="shared" si="79"/>
        <v/>
      </c>
      <c r="AJ468" t="str">
        <f>LEFT(Table1[[#This Row],[membership_type]],2)&amp;TEXT(Table1[[#This Row],[age]],"00")&amp;"-"&amp;TEXT(ROW(),"000")</f>
        <v>Pr22-468</v>
      </c>
      <c r="AK468" t="str">
        <f>LEFT(Table1[[#This Row],[membership_type]],1)&amp;TEXT(MATCH(Table1[[#This Row],[membership_type]],Table1[membership_type],0),"00")</f>
        <v>P01</v>
      </c>
      <c r="AL468" t="str">
        <f>LEFT(Table1[[#This Row],[discount_type]],1)&amp;TEXT(ROUND(Table1[[#This Row],[discount_rate]]*100,0),"00")</f>
        <v>P05</v>
      </c>
      <c r="AM468" t="str" cm="1">
        <f t="array" ref="AM468">TEXT(SUMPRODUCT(CODE(MID(Table1[[#This Row],[home_gym_location]],_xlfn.SEQUENCE(LEN(Table1[[#This Row],[home_gym_location]])),1))),"00000")</f>
        <v>01107</v>
      </c>
      <c r="AN46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68" t="str">
        <f>LEFT(_xlfn.TEXTBEFORE(Table1[[#This Row],[Location Identifier]],"-"),3) &amp; "-" &amp; _xlfn.TEXTAFTER(Table1[[#This Row],[Location Identifier]],"-")</f>
        <v>LON-004</v>
      </c>
      <c r="AP468" s="9">
        <f t="shared" ca="1" si="70"/>
        <v>45869</v>
      </c>
    </row>
    <row r="469" spans="1:42" x14ac:dyDescent="0.25">
      <c r="A469">
        <v>30</v>
      </c>
      <c r="B469" t="s">
        <v>33</v>
      </c>
      <c r="C469">
        <v>4</v>
      </c>
      <c r="D469" t="s">
        <v>99</v>
      </c>
      <c r="E469" t="b">
        <v>1</v>
      </c>
      <c r="F469" s="1">
        <v>0.6020833333333333</v>
      </c>
      <c r="G469" s="1">
        <v>0.67291666666666672</v>
      </c>
      <c r="H469">
        <v>102</v>
      </c>
      <c r="I469" t="b">
        <v>0</v>
      </c>
      <c r="J469" t="b">
        <v>1</v>
      </c>
      <c r="K469" t="b">
        <v>0</v>
      </c>
      <c r="L469" t="s">
        <v>35</v>
      </c>
      <c r="M469">
        <v>30</v>
      </c>
      <c r="N469" t="s">
        <v>29</v>
      </c>
      <c r="O469">
        <v>30</v>
      </c>
      <c r="P469" t="s">
        <v>40</v>
      </c>
      <c r="Q469">
        <v>0.1</v>
      </c>
      <c r="R469">
        <v>27</v>
      </c>
      <c r="S469" t="s">
        <v>37</v>
      </c>
      <c r="T469" t="s">
        <v>54</v>
      </c>
      <c r="U469">
        <v>32.715699999999998</v>
      </c>
      <c r="V469">
        <v>-117.1611</v>
      </c>
      <c r="W469" s="2">
        <v>44905</v>
      </c>
      <c r="X469">
        <v>4</v>
      </c>
      <c r="Y469" t="b">
        <v>0</v>
      </c>
      <c r="Z469" s="2">
        <v>45808</v>
      </c>
      <c r="AA469" t="str">
        <f t="shared" si="71"/>
        <v>30–39</v>
      </c>
      <c r="AB469" t="str">
        <f t="shared" si="72"/>
        <v>30–39</v>
      </c>
      <c r="AC469" t="str">
        <f t="shared" si="73"/>
        <v/>
      </c>
      <c r="AD469" t="str">
        <f t="shared" si="74"/>
        <v/>
      </c>
      <c r="AE469" t="str">
        <f t="shared" si="75"/>
        <v>Wednesday</v>
      </c>
      <c r="AF469" t="str">
        <f t="shared" si="76"/>
        <v/>
      </c>
      <c r="AG469" t="str">
        <f t="shared" si="77"/>
        <v>Friday</v>
      </c>
      <c r="AH469" t="str">
        <f t="shared" si="78"/>
        <v>Saturday</v>
      </c>
      <c r="AI469" t="str">
        <f t="shared" si="79"/>
        <v>Sunday</v>
      </c>
      <c r="AJ469" t="str">
        <f>LEFT(Table1[[#This Row],[membership_type]],2)&amp;TEXT(Table1[[#This Row],[age]],"00")&amp;"-"&amp;TEXT(ROW(),"000")</f>
        <v>St30-469</v>
      </c>
      <c r="AK469" t="str">
        <f>LEFT(Table1[[#This Row],[membership_type]],1)&amp;TEXT(MATCH(Table1[[#This Row],[membership_type]],Table1[membership_type],0),"00")</f>
        <v>S02</v>
      </c>
      <c r="AL469" t="str">
        <f>LEFT(Table1[[#This Row],[discount_type]],1)&amp;TEXT(ROUND(Table1[[#This Row],[discount_rate]]*100,0),"00")</f>
        <v>L10</v>
      </c>
      <c r="AM469" t="str" cm="1">
        <f t="array" ref="AM469">TEXT(SUMPRODUCT(CODE(MID(Table1[[#This Row],[home_gym_location]],_xlfn.SEQUENCE(LEN(Table1[[#This Row],[home_gym_location]])),1))),"00000")</f>
        <v>01018</v>
      </c>
      <c r="AN46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69" t="str">
        <f>LEFT(_xlfn.TEXTBEFORE(Table1[[#This Row],[Location Identifier]],"-"),3) &amp; "-" &amp; _xlfn.TEXTAFTER(Table1[[#This Row],[Location Identifier]],"-")</f>
        <v>SAN-008</v>
      </c>
      <c r="AP469" s="9">
        <f t="shared" ca="1" si="70"/>
        <v>45869</v>
      </c>
    </row>
    <row r="470" spans="1:42" x14ac:dyDescent="0.25">
      <c r="A470">
        <v>18</v>
      </c>
      <c r="B470" t="s">
        <v>51</v>
      </c>
      <c r="C470">
        <v>1</v>
      </c>
      <c r="D470" t="s">
        <v>75</v>
      </c>
      <c r="E470" t="b">
        <v>0</v>
      </c>
      <c r="F470" s="1">
        <v>0.3840277777777778</v>
      </c>
      <c r="G470" s="1">
        <v>0.48819444444444443</v>
      </c>
      <c r="H470">
        <v>150</v>
      </c>
      <c r="I470" t="b">
        <v>1</v>
      </c>
      <c r="J470" t="b">
        <v>1</v>
      </c>
      <c r="K470" t="b">
        <v>1</v>
      </c>
      <c r="L470" t="s">
        <v>28</v>
      </c>
      <c r="M470">
        <v>70</v>
      </c>
      <c r="N470" t="s">
        <v>64</v>
      </c>
      <c r="O470">
        <v>52.5</v>
      </c>
      <c r="P470" t="s">
        <v>36</v>
      </c>
      <c r="Q470">
        <v>0</v>
      </c>
      <c r="R470">
        <v>52.5</v>
      </c>
      <c r="S470" t="s">
        <v>53</v>
      </c>
      <c r="T470" t="s">
        <v>56</v>
      </c>
      <c r="U470">
        <v>35.3733</v>
      </c>
      <c r="V470">
        <v>-119.0187</v>
      </c>
      <c r="W470" s="2">
        <v>45592</v>
      </c>
      <c r="X470">
        <v>4</v>
      </c>
      <c r="Y470" t="b">
        <v>0</v>
      </c>
      <c r="Z470" s="2">
        <v>45847</v>
      </c>
      <c r="AA470" t="str">
        <f t="shared" si="71"/>
        <v>10–19</v>
      </c>
      <c r="AB470" t="str">
        <f t="shared" si="72"/>
        <v>16–19</v>
      </c>
      <c r="AC470" t="str">
        <f t="shared" si="73"/>
        <v/>
      </c>
      <c r="AD470" t="str">
        <f t="shared" si="74"/>
        <v/>
      </c>
      <c r="AE470" t="str">
        <f t="shared" si="75"/>
        <v/>
      </c>
      <c r="AF470" t="str">
        <f t="shared" si="76"/>
        <v/>
      </c>
      <c r="AG470" t="str">
        <f t="shared" si="77"/>
        <v>Friday</v>
      </c>
      <c r="AH470" t="str">
        <f t="shared" si="78"/>
        <v/>
      </c>
      <c r="AI470" t="str">
        <f t="shared" si="79"/>
        <v/>
      </c>
      <c r="AJ470" t="str">
        <f>LEFT(Table1[[#This Row],[membership_type]],2)&amp;TEXT(Table1[[#This Row],[age]],"00")&amp;"-"&amp;TEXT(ROW(),"000")</f>
        <v>El18-470</v>
      </c>
      <c r="AK470" t="str">
        <f>LEFT(Table1[[#This Row],[membership_type]],1)&amp;TEXT(MATCH(Table1[[#This Row],[membership_type]],Table1[membership_type],0),"00")</f>
        <v>E07</v>
      </c>
      <c r="AL470" t="str">
        <f>LEFT(Table1[[#This Row],[discount_type]],1)&amp;TEXT(ROUND(Table1[[#This Row],[discount_rate]]*100,0),"00")</f>
        <v>N00</v>
      </c>
      <c r="AM470" t="str" cm="1">
        <f t="array" ref="AM470">TEXT(SUMPRODUCT(CODE(MID(Table1[[#This Row],[home_gym_location]],_xlfn.SEQUENCE(LEN(Table1[[#This Row],[home_gym_location]])),1))),"00000")</f>
        <v>01324</v>
      </c>
      <c r="AN4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70" t="str">
        <f>LEFT(_xlfn.TEXTBEFORE(Table1[[#This Row],[Location Identifier]],"-"),3) &amp; "-" &amp; _xlfn.TEXTAFTER(Table1[[#This Row],[Location Identifier]],"-")</f>
        <v>BAK-002</v>
      </c>
      <c r="AP470" s="9">
        <f t="shared" ca="1" si="70"/>
        <v>45869</v>
      </c>
    </row>
    <row r="471" spans="1:42" x14ac:dyDescent="0.25">
      <c r="A471">
        <v>22</v>
      </c>
      <c r="B471" t="s">
        <v>26</v>
      </c>
      <c r="C471">
        <v>1</v>
      </c>
      <c r="D471" t="s">
        <v>67</v>
      </c>
      <c r="E471" t="b">
        <v>0</v>
      </c>
      <c r="F471" s="1">
        <v>0.40486111111111112</v>
      </c>
      <c r="G471" s="1">
        <v>0.44236111111111109</v>
      </c>
      <c r="H471">
        <v>54</v>
      </c>
      <c r="I471" t="b">
        <v>1</v>
      </c>
      <c r="J471" t="b">
        <v>0</v>
      </c>
      <c r="K471" t="b">
        <v>0</v>
      </c>
      <c r="L471" t="s">
        <v>28</v>
      </c>
      <c r="M471">
        <v>50</v>
      </c>
      <c r="N471" t="s">
        <v>29</v>
      </c>
      <c r="O471">
        <v>50</v>
      </c>
      <c r="P471" t="s">
        <v>30</v>
      </c>
      <c r="Q471">
        <v>0.05</v>
      </c>
      <c r="R471">
        <v>47.5</v>
      </c>
      <c r="S471" t="s">
        <v>31</v>
      </c>
      <c r="T471" t="s">
        <v>56</v>
      </c>
      <c r="U471">
        <v>35.3733</v>
      </c>
      <c r="V471">
        <v>-119.0187</v>
      </c>
      <c r="W471" s="2">
        <v>44805</v>
      </c>
      <c r="X471">
        <v>0</v>
      </c>
      <c r="Y471" t="b">
        <v>1</v>
      </c>
      <c r="Z471" s="2">
        <v>45803</v>
      </c>
      <c r="AA471" t="str">
        <f t="shared" si="71"/>
        <v>20–29</v>
      </c>
      <c r="AB471" t="str">
        <f t="shared" si="72"/>
        <v>20–29</v>
      </c>
      <c r="AC471" t="str">
        <f t="shared" si="73"/>
        <v/>
      </c>
      <c r="AD471" t="str">
        <f t="shared" si="74"/>
        <v/>
      </c>
      <c r="AE471" t="str">
        <f t="shared" si="75"/>
        <v/>
      </c>
      <c r="AF471" t="str">
        <f t="shared" si="76"/>
        <v>Thursday</v>
      </c>
      <c r="AG471" t="str">
        <f t="shared" si="77"/>
        <v/>
      </c>
      <c r="AH471" t="str">
        <f t="shared" si="78"/>
        <v/>
      </c>
      <c r="AI471" t="str">
        <f t="shared" si="79"/>
        <v/>
      </c>
      <c r="AJ471" t="str">
        <f>LEFT(Table1[[#This Row],[membership_type]],2)&amp;TEXT(Table1[[#This Row],[age]],"00")&amp;"-"&amp;TEXT(ROW(),"000")</f>
        <v>Pr22-471</v>
      </c>
      <c r="AK471" t="str">
        <f>LEFT(Table1[[#This Row],[membership_type]],1)&amp;TEXT(MATCH(Table1[[#This Row],[membership_type]],Table1[membership_type],0),"00")</f>
        <v>P01</v>
      </c>
      <c r="AL471" t="str">
        <f>LEFT(Table1[[#This Row],[discount_type]],1)&amp;TEXT(ROUND(Table1[[#This Row],[discount_rate]]*100,0),"00")</f>
        <v>P05</v>
      </c>
      <c r="AM471" t="str" cm="1">
        <f t="array" ref="AM471">TEXT(SUMPRODUCT(CODE(MID(Table1[[#This Row],[home_gym_location]],_xlfn.SEQUENCE(LEN(Table1[[#This Row],[home_gym_location]])),1))),"00000")</f>
        <v>01324</v>
      </c>
      <c r="AN47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71" t="str">
        <f>LEFT(_xlfn.TEXTBEFORE(Table1[[#This Row],[Location Identifier]],"-"),3) &amp; "-" &amp; _xlfn.TEXTAFTER(Table1[[#This Row],[Location Identifier]],"-")</f>
        <v>BAK-002</v>
      </c>
      <c r="AP471" s="9">
        <f t="shared" ca="1" si="70"/>
        <v>45869</v>
      </c>
    </row>
    <row r="472" spans="1:42" x14ac:dyDescent="0.25">
      <c r="A472">
        <v>18</v>
      </c>
      <c r="B472" t="s">
        <v>26</v>
      </c>
      <c r="C472">
        <v>3</v>
      </c>
      <c r="D472" t="s">
        <v>131</v>
      </c>
      <c r="E472" t="b">
        <v>0</v>
      </c>
      <c r="F472" s="1">
        <v>0.55972222222222223</v>
      </c>
      <c r="G472" s="1">
        <v>0.67708333333333337</v>
      </c>
      <c r="H472">
        <v>169</v>
      </c>
      <c r="I472" t="b">
        <v>0</v>
      </c>
      <c r="J472" t="b">
        <v>0</v>
      </c>
      <c r="K472" t="b">
        <v>0</v>
      </c>
      <c r="L472" t="s">
        <v>47</v>
      </c>
      <c r="M472">
        <v>50</v>
      </c>
      <c r="N472" t="s">
        <v>29</v>
      </c>
      <c r="O472">
        <v>50</v>
      </c>
      <c r="P472" t="s">
        <v>74</v>
      </c>
      <c r="Q472">
        <v>0.15</v>
      </c>
      <c r="R472">
        <v>42.5</v>
      </c>
      <c r="S472" t="s">
        <v>31</v>
      </c>
      <c r="T472" t="s">
        <v>65</v>
      </c>
      <c r="U472">
        <v>33.770099999999999</v>
      </c>
      <c r="V472">
        <v>-118.19370000000001</v>
      </c>
      <c r="W472" s="2">
        <v>45818</v>
      </c>
      <c r="X472">
        <v>0</v>
      </c>
      <c r="Y472" t="b">
        <v>1</v>
      </c>
      <c r="Z472" s="2">
        <v>45860</v>
      </c>
      <c r="AA472" t="str">
        <f t="shared" si="71"/>
        <v>10–19</v>
      </c>
      <c r="AB472" t="str">
        <f t="shared" si="72"/>
        <v>16–19</v>
      </c>
      <c r="AC472" t="str">
        <f t="shared" si="73"/>
        <v>Monday</v>
      </c>
      <c r="AD472" t="str">
        <f t="shared" si="74"/>
        <v/>
      </c>
      <c r="AE472" t="str">
        <f t="shared" si="75"/>
        <v/>
      </c>
      <c r="AF472" t="str">
        <f t="shared" si="76"/>
        <v/>
      </c>
      <c r="AG472" t="str">
        <f t="shared" si="77"/>
        <v>Friday</v>
      </c>
      <c r="AH472" t="str">
        <f t="shared" si="78"/>
        <v/>
      </c>
      <c r="AI472" t="str">
        <f t="shared" si="79"/>
        <v>Sunday</v>
      </c>
      <c r="AJ472" t="str">
        <f>LEFT(Table1[[#This Row],[membership_type]],2)&amp;TEXT(Table1[[#This Row],[age]],"00")&amp;"-"&amp;TEXT(ROW(),"000")</f>
        <v>Pr18-472</v>
      </c>
      <c r="AK472" t="str">
        <f>LEFT(Table1[[#This Row],[membership_type]],1)&amp;TEXT(MATCH(Table1[[#This Row],[membership_type]],Table1[membership_type],0),"00")</f>
        <v>P01</v>
      </c>
      <c r="AL472" t="str">
        <f>LEFT(Table1[[#This Row],[discount_type]],1)&amp;TEXT(ROUND(Table1[[#This Row],[discount_rate]]*100,0),"00")</f>
        <v>S15</v>
      </c>
      <c r="AM472" t="str" cm="1">
        <f t="array" ref="AM472">TEXT(SUMPRODUCT(CODE(MID(Table1[[#This Row],[home_gym_location]],_xlfn.SEQUENCE(LEN(Table1[[#This Row],[home_gym_location]])),1))),"00000")</f>
        <v>01107</v>
      </c>
      <c r="AN47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72" t="str">
        <f>LEFT(_xlfn.TEXTBEFORE(Table1[[#This Row],[Location Identifier]],"-"),3) &amp; "-" &amp; _xlfn.TEXTAFTER(Table1[[#This Row],[Location Identifier]],"-")</f>
        <v>LON-004</v>
      </c>
      <c r="AP472" s="9">
        <f t="shared" ca="1" si="70"/>
        <v>45869</v>
      </c>
    </row>
    <row r="473" spans="1:42" x14ac:dyDescent="0.25">
      <c r="A473">
        <v>49</v>
      </c>
      <c r="B473" t="s">
        <v>33</v>
      </c>
      <c r="C473">
        <v>1</v>
      </c>
      <c r="D473" t="s">
        <v>75</v>
      </c>
      <c r="E473" t="b">
        <v>1</v>
      </c>
      <c r="F473" s="1">
        <v>0.33750000000000002</v>
      </c>
      <c r="G473" s="1">
        <v>0.44513888888888886</v>
      </c>
      <c r="H473">
        <v>155</v>
      </c>
      <c r="I473" t="b">
        <v>0</v>
      </c>
      <c r="J473" t="b">
        <v>1</v>
      </c>
      <c r="K473" t="b">
        <v>0</v>
      </c>
      <c r="L473" t="s">
        <v>62</v>
      </c>
      <c r="M473">
        <v>30</v>
      </c>
      <c r="N473" t="s">
        <v>29</v>
      </c>
      <c r="O473">
        <v>30</v>
      </c>
      <c r="P473" t="s">
        <v>36</v>
      </c>
      <c r="Q473">
        <v>0</v>
      </c>
      <c r="R473">
        <v>30</v>
      </c>
      <c r="S473" t="s">
        <v>37</v>
      </c>
      <c r="T473" t="s">
        <v>45</v>
      </c>
      <c r="U473">
        <v>33.836599999999997</v>
      </c>
      <c r="V473">
        <v>-117.9143</v>
      </c>
      <c r="W473" s="2">
        <v>44798</v>
      </c>
      <c r="X473">
        <v>6</v>
      </c>
      <c r="Y473" t="b">
        <v>0</v>
      </c>
      <c r="Z473" s="2">
        <v>45802</v>
      </c>
      <c r="AA473" t="str">
        <f t="shared" si="71"/>
        <v>40–49</v>
      </c>
      <c r="AB473" t="str">
        <f t="shared" si="72"/>
        <v>40–49</v>
      </c>
      <c r="AC473" t="str">
        <f t="shared" si="73"/>
        <v/>
      </c>
      <c r="AD473" t="str">
        <f t="shared" si="74"/>
        <v/>
      </c>
      <c r="AE473" t="str">
        <f t="shared" si="75"/>
        <v/>
      </c>
      <c r="AF473" t="str">
        <f t="shared" si="76"/>
        <v/>
      </c>
      <c r="AG473" t="str">
        <f t="shared" si="77"/>
        <v>Friday</v>
      </c>
      <c r="AH473" t="str">
        <f t="shared" si="78"/>
        <v/>
      </c>
      <c r="AI473" t="str">
        <f t="shared" si="79"/>
        <v/>
      </c>
      <c r="AJ473" t="str">
        <f>LEFT(Table1[[#This Row],[membership_type]],2)&amp;TEXT(Table1[[#This Row],[age]],"00")&amp;"-"&amp;TEXT(ROW(),"000")</f>
        <v>St49-473</v>
      </c>
      <c r="AK473" t="str">
        <f>LEFT(Table1[[#This Row],[membership_type]],1)&amp;TEXT(MATCH(Table1[[#This Row],[membership_type]],Table1[membership_type],0),"00")</f>
        <v>S02</v>
      </c>
      <c r="AL473" t="str">
        <f>LEFT(Table1[[#This Row],[discount_type]],1)&amp;TEXT(ROUND(Table1[[#This Row],[discount_rate]]*100,0),"00")</f>
        <v>N00</v>
      </c>
      <c r="AM473" t="str" cm="1">
        <f t="array" ref="AM473">TEXT(SUMPRODUCT(CODE(MID(Table1[[#This Row],[home_gym_location]],_xlfn.SEQUENCE(LEN(Table1[[#This Row],[home_gym_location]])),1))),"00000")</f>
        <v>00899</v>
      </c>
      <c r="AN473" t="str">
        <f>UPPER(_xlfn.TEXTBEFORE(Table1[[#This Row],[home_gym_location]],","))&amp;"-"&amp;TEXT(MATCH(Table1[[#This Row],[home_gym_location]],_xlfn._xlws.SORT(_xlfn.UNIQUE(Table1[home_gym_location])),0),"000")</f>
        <v>ANAHEIM-001</v>
      </c>
      <c r="AO473" t="str">
        <f>LEFT(_xlfn.TEXTBEFORE(Table1[[#This Row],[Location Identifier]],"-"),3) &amp; "-" &amp; _xlfn.TEXTAFTER(Table1[[#This Row],[Location Identifier]],"-")</f>
        <v>ANA-001</v>
      </c>
      <c r="AP473" s="9">
        <f t="shared" ca="1" si="70"/>
        <v>45869</v>
      </c>
    </row>
    <row r="474" spans="1:42" x14ac:dyDescent="0.25">
      <c r="A474">
        <v>31</v>
      </c>
      <c r="B474" t="s">
        <v>26</v>
      </c>
      <c r="C474">
        <v>1</v>
      </c>
      <c r="D474" t="s">
        <v>63</v>
      </c>
      <c r="E474" t="b">
        <v>1</v>
      </c>
      <c r="F474" s="1">
        <v>0.40416666666666667</v>
      </c>
      <c r="G474" s="1">
        <v>0.51736111111111116</v>
      </c>
      <c r="H474">
        <v>163</v>
      </c>
      <c r="I474" t="b">
        <v>0</v>
      </c>
      <c r="J474" t="b">
        <v>0</v>
      </c>
      <c r="K474" t="b">
        <v>0</v>
      </c>
      <c r="L474" t="s">
        <v>47</v>
      </c>
      <c r="M474">
        <v>50</v>
      </c>
      <c r="N474" t="s">
        <v>78</v>
      </c>
      <c r="O474">
        <v>45</v>
      </c>
      <c r="P474" t="s">
        <v>40</v>
      </c>
      <c r="Q474">
        <v>0.1</v>
      </c>
      <c r="R474">
        <v>40.5</v>
      </c>
      <c r="S474" t="s">
        <v>31</v>
      </c>
      <c r="T474" t="s">
        <v>56</v>
      </c>
      <c r="U474">
        <v>35.3733</v>
      </c>
      <c r="V474">
        <v>-119.0187</v>
      </c>
      <c r="W474" s="2">
        <v>45785</v>
      </c>
      <c r="X474">
        <v>0</v>
      </c>
      <c r="Y474" t="b">
        <v>0</v>
      </c>
      <c r="Z474" s="2">
        <v>45858</v>
      </c>
      <c r="AA474" t="str">
        <f t="shared" si="71"/>
        <v>30–39</v>
      </c>
      <c r="AB474" t="str">
        <f t="shared" si="72"/>
        <v>30–39</v>
      </c>
      <c r="AC474" t="str">
        <f t="shared" si="73"/>
        <v/>
      </c>
      <c r="AD474" t="str">
        <f t="shared" si="74"/>
        <v/>
      </c>
      <c r="AE474" t="str">
        <f t="shared" si="75"/>
        <v>Wednesday</v>
      </c>
      <c r="AF474" t="str">
        <f t="shared" si="76"/>
        <v/>
      </c>
      <c r="AG474" t="str">
        <f t="shared" si="77"/>
        <v/>
      </c>
      <c r="AH474" t="str">
        <f t="shared" si="78"/>
        <v/>
      </c>
      <c r="AI474" t="str">
        <f t="shared" si="79"/>
        <v/>
      </c>
      <c r="AJ474" t="str">
        <f>LEFT(Table1[[#This Row],[membership_type]],2)&amp;TEXT(Table1[[#This Row],[age]],"00")&amp;"-"&amp;TEXT(ROW(),"000")</f>
        <v>Pr31-474</v>
      </c>
      <c r="AK474" t="str">
        <f>LEFT(Table1[[#This Row],[membership_type]],1)&amp;TEXT(MATCH(Table1[[#This Row],[membership_type]],Table1[membership_type],0),"00")</f>
        <v>P01</v>
      </c>
      <c r="AL474" t="str">
        <f>LEFT(Table1[[#This Row],[discount_type]],1)&amp;TEXT(ROUND(Table1[[#This Row],[discount_rate]]*100,0),"00")</f>
        <v>L10</v>
      </c>
      <c r="AM474" t="str" cm="1">
        <f t="array" ref="AM474">TEXT(SUMPRODUCT(CODE(MID(Table1[[#This Row],[home_gym_location]],_xlfn.SEQUENCE(LEN(Table1[[#This Row],[home_gym_location]])),1))),"00000")</f>
        <v>01324</v>
      </c>
      <c r="AN47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74" t="str">
        <f>LEFT(_xlfn.TEXTBEFORE(Table1[[#This Row],[Location Identifier]],"-"),3) &amp; "-" &amp; _xlfn.TEXTAFTER(Table1[[#This Row],[Location Identifier]],"-")</f>
        <v>BAK-002</v>
      </c>
      <c r="AP474" s="9">
        <f t="shared" ca="1" si="70"/>
        <v>45869</v>
      </c>
    </row>
    <row r="475" spans="1:42" x14ac:dyDescent="0.25">
      <c r="A475">
        <v>33</v>
      </c>
      <c r="B475" t="s">
        <v>33</v>
      </c>
      <c r="C475">
        <v>2</v>
      </c>
      <c r="D475" t="s">
        <v>70</v>
      </c>
      <c r="E475" t="b">
        <v>0</v>
      </c>
      <c r="F475" s="1">
        <v>0.41388888888888886</v>
      </c>
      <c r="G475" s="1">
        <v>0.53611111111111109</v>
      </c>
      <c r="H475">
        <v>176</v>
      </c>
      <c r="I475" t="b">
        <v>0</v>
      </c>
      <c r="J475" t="b">
        <v>1</v>
      </c>
      <c r="K475" t="b">
        <v>1</v>
      </c>
      <c r="L475" t="s">
        <v>62</v>
      </c>
      <c r="M475">
        <v>30</v>
      </c>
      <c r="N475" t="s">
        <v>29</v>
      </c>
      <c r="O475">
        <v>30</v>
      </c>
      <c r="P475" t="s">
        <v>74</v>
      </c>
      <c r="Q475">
        <v>0.15</v>
      </c>
      <c r="R475">
        <v>25.5</v>
      </c>
      <c r="S475" t="s">
        <v>37</v>
      </c>
      <c r="T475" t="s">
        <v>38</v>
      </c>
      <c r="U475">
        <v>36.7378</v>
      </c>
      <c r="V475">
        <v>-119.7871</v>
      </c>
      <c r="W475" s="2">
        <v>44881</v>
      </c>
      <c r="X475">
        <v>2</v>
      </c>
      <c r="Y475" t="b">
        <v>1</v>
      </c>
      <c r="Z475" s="2">
        <v>45807</v>
      </c>
      <c r="AA475" t="str">
        <f t="shared" si="71"/>
        <v>30–39</v>
      </c>
      <c r="AB475" t="str">
        <f t="shared" si="72"/>
        <v>30–39</v>
      </c>
      <c r="AC475" t="str">
        <f t="shared" si="73"/>
        <v/>
      </c>
      <c r="AD475" t="str">
        <f t="shared" si="74"/>
        <v/>
      </c>
      <c r="AE475" t="str">
        <f t="shared" si="75"/>
        <v>Wednesday</v>
      </c>
      <c r="AF475" t="str">
        <f t="shared" si="76"/>
        <v>Thursday</v>
      </c>
      <c r="AG475" t="str">
        <f t="shared" si="77"/>
        <v/>
      </c>
      <c r="AH475" t="str">
        <f t="shared" si="78"/>
        <v/>
      </c>
      <c r="AI475" t="str">
        <f t="shared" si="79"/>
        <v/>
      </c>
      <c r="AJ475" t="str">
        <f>LEFT(Table1[[#This Row],[membership_type]],2)&amp;TEXT(Table1[[#This Row],[age]],"00")&amp;"-"&amp;TEXT(ROW(),"000")</f>
        <v>St33-475</v>
      </c>
      <c r="AK475" t="str">
        <f>LEFT(Table1[[#This Row],[membership_type]],1)&amp;TEXT(MATCH(Table1[[#This Row],[membership_type]],Table1[membership_type],0),"00")</f>
        <v>S02</v>
      </c>
      <c r="AL475" t="str">
        <f>LEFT(Table1[[#This Row],[discount_type]],1)&amp;TEXT(ROUND(Table1[[#This Row],[discount_rate]]*100,0),"00")</f>
        <v>S15</v>
      </c>
      <c r="AM475" t="str" cm="1">
        <f t="array" ref="AM475">TEXT(SUMPRODUCT(CODE(MID(Table1[[#This Row],[home_gym_location]],_xlfn.SEQUENCE(LEN(Table1[[#This Row],[home_gym_location]])),1))),"00000")</f>
        <v>00829</v>
      </c>
      <c r="AN475" t="str">
        <f>UPPER(_xlfn.TEXTBEFORE(Table1[[#This Row],[home_gym_location]],","))&amp;"-"&amp;TEXT(MATCH(Table1[[#This Row],[home_gym_location]],_xlfn._xlws.SORT(_xlfn.UNIQUE(Table1[home_gym_location])),0),"000")</f>
        <v>FRESNO-003</v>
      </c>
      <c r="AO475" t="str">
        <f>LEFT(_xlfn.TEXTBEFORE(Table1[[#This Row],[Location Identifier]],"-"),3) &amp; "-" &amp; _xlfn.TEXTAFTER(Table1[[#This Row],[Location Identifier]],"-")</f>
        <v>FRE-003</v>
      </c>
      <c r="AP475" s="9">
        <f t="shared" ca="1" si="70"/>
        <v>45869</v>
      </c>
    </row>
    <row r="476" spans="1:42" x14ac:dyDescent="0.25">
      <c r="A476">
        <v>43</v>
      </c>
      <c r="B476" t="s">
        <v>33</v>
      </c>
      <c r="C476">
        <v>1</v>
      </c>
      <c r="D476" t="s">
        <v>49</v>
      </c>
      <c r="E476" t="b">
        <v>0</v>
      </c>
      <c r="F476" s="1">
        <v>0.39027777777777778</v>
      </c>
      <c r="G476" s="1">
        <v>0.42708333333333331</v>
      </c>
      <c r="H476">
        <v>53</v>
      </c>
      <c r="I476" t="b">
        <v>0</v>
      </c>
      <c r="J476" t="b">
        <v>1</v>
      </c>
      <c r="K476" t="b">
        <v>0</v>
      </c>
      <c r="L476" t="s">
        <v>47</v>
      </c>
      <c r="M476">
        <v>30</v>
      </c>
      <c r="N476" t="s">
        <v>29</v>
      </c>
      <c r="O476">
        <v>30</v>
      </c>
      <c r="P476" t="s">
        <v>40</v>
      </c>
      <c r="Q476">
        <v>0.1</v>
      </c>
      <c r="R476">
        <v>27</v>
      </c>
      <c r="S476" t="s">
        <v>37</v>
      </c>
      <c r="T476" t="s">
        <v>50</v>
      </c>
      <c r="U476">
        <v>34.052199999999999</v>
      </c>
      <c r="V476">
        <v>-118.2437</v>
      </c>
      <c r="W476" s="2">
        <v>45268</v>
      </c>
      <c r="X476">
        <v>7</v>
      </c>
      <c r="Y476" t="b">
        <v>0</v>
      </c>
      <c r="Z476" s="2">
        <v>45829</v>
      </c>
      <c r="AA476" t="str">
        <f t="shared" si="71"/>
        <v>40–49</v>
      </c>
      <c r="AB476" t="str">
        <f t="shared" si="72"/>
        <v>40–49</v>
      </c>
      <c r="AC476" t="str">
        <f t="shared" si="73"/>
        <v/>
      </c>
      <c r="AD476" t="str">
        <f t="shared" si="74"/>
        <v/>
      </c>
      <c r="AE476" t="str">
        <f t="shared" si="75"/>
        <v/>
      </c>
      <c r="AF476" t="str">
        <f t="shared" si="76"/>
        <v/>
      </c>
      <c r="AG476" t="str">
        <f t="shared" si="77"/>
        <v/>
      </c>
      <c r="AH476" t="str">
        <f t="shared" si="78"/>
        <v/>
      </c>
      <c r="AI476" t="str">
        <f t="shared" si="79"/>
        <v>Sunday</v>
      </c>
      <c r="AJ476" t="str">
        <f>LEFT(Table1[[#This Row],[membership_type]],2)&amp;TEXT(Table1[[#This Row],[age]],"00")&amp;"-"&amp;TEXT(ROW(),"000")</f>
        <v>St43-476</v>
      </c>
      <c r="AK476" t="str">
        <f>LEFT(Table1[[#This Row],[membership_type]],1)&amp;TEXT(MATCH(Table1[[#This Row],[membership_type]],Table1[membership_type],0),"00")</f>
        <v>S02</v>
      </c>
      <c r="AL476" t="str">
        <f>LEFT(Table1[[#This Row],[discount_type]],1)&amp;TEXT(ROUND(Table1[[#This Row],[discount_rate]]*100,0),"00")</f>
        <v>L10</v>
      </c>
      <c r="AM476" t="str" cm="1">
        <f t="array" ref="AM476">TEXT(SUMPRODUCT(CODE(MID(Table1[[#This Row],[home_gym_location]],_xlfn.SEQUENCE(LEN(Table1[[#This Row],[home_gym_location]])),1))),"00000")</f>
        <v>01245</v>
      </c>
      <c r="AN47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76" t="str">
        <f>LEFT(_xlfn.TEXTBEFORE(Table1[[#This Row],[Location Identifier]],"-"),3) &amp; "-" &amp; _xlfn.TEXTAFTER(Table1[[#This Row],[Location Identifier]],"-")</f>
        <v>LOS-005</v>
      </c>
      <c r="AP476" s="9">
        <f t="shared" ca="1" si="70"/>
        <v>45869</v>
      </c>
    </row>
    <row r="477" spans="1:42" x14ac:dyDescent="0.25">
      <c r="A477">
        <v>34</v>
      </c>
      <c r="B477" t="s">
        <v>51</v>
      </c>
      <c r="C477">
        <v>3</v>
      </c>
      <c r="D477" t="s">
        <v>122</v>
      </c>
      <c r="E477" t="b">
        <v>0</v>
      </c>
      <c r="F477" s="1">
        <v>0.45416666666666666</v>
      </c>
      <c r="G477" s="1">
        <v>0.53402777777777777</v>
      </c>
      <c r="H477">
        <v>115</v>
      </c>
      <c r="I477" t="b">
        <v>1</v>
      </c>
      <c r="J477" t="b">
        <v>1</v>
      </c>
      <c r="K477" t="b">
        <v>1</v>
      </c>
      <c r="L477" t="s">
        <v>28</v>
      </c>
      <c r="M477">
        <v>70</v>
      </c>
      <c r="N477" t="s">
        <v>64</v>
      </c>
      <c r="O477">
        <v>52.5</v>
      </c>
      <c r="P477" t="s">
        <v>36</v>
      </c>
      <c r="Q477">
        <v>0</v>
      </c>
      <c r="R477">
        <v>52.5</v>
      </c>
      <c r="S477" t="s">
        <v>53</v>
      </c>
      <c r="T477" t="s">
        <v>65</v>
      </c>
      <c r="U477">
        <v>33.770099999999999</v>
      </c>
      <c r="V477">
        <v>-118.19370000000001</v>
      </c>
      <c r="W477" s="2">
        <v>44773</v>
      </c>
      <c r="X477">
        <v>3</v>
      </c>
      <c r="Y477" t="b">
        <v>1</v>
      </c>
      <c r="Z477" s="2">
        <v>45801</v>
      </c>
      <c r="AA477" t="str">
        <f t="shared" si="71"/>
        <v>30–39</v>
      </c>
      <c r="AB477" t="str">
        <f t="shared" si="72"/>
        <v>30–39</v>
      </c>
      <c r="AC477" t="str">
        <f t="shared" si="73"/>
        <v/>
      </c>
      <c r="AD477" t="str">
        <f t="shared" si="74"/>
        <v>Tuesday</v>
      </c>
      <c r="AE477" t="str">
        <f t="shared" si="75"/>
        <v/>
      </c>
      <c r="AF477" t="str">
        <f t="shared" si="76"/>
        <v/>
      </c>
      <c r="AG477" t="str">
        <f t="shared" si="77"/>
        <v>Friday</v>
      </c>
      <c r="AH477" t="str">
        <f t="shared" si="78"/>
        <v/>
      </c>
      <c r="AI477" t="str">
        <f t="shared" si="79"/>
        <v>Sunday</v>
      </c>
      <c r="AJ477" t="str">
        <f>LEFT(Table1[[#This Row],[membership_type]],2)&amp;TEXT(Table1[[#This Row],[age]],"00")&amp;"-"&amp;TEXT(ROW(),"000")</f>
        <v>El34-477</v>
      </c>
      <c r="AK477" t="str">
        <f>LEFT(Table1[[#This Row],[membership_type]],1)&amp;TEXT(MATCH(Table1[[#This Row],[membership_type]],Table1[membership_type],0),"00")</f>
        <v>E07</v>
      </c>
      <c r="AL477" t="str">
        <f>LEFT(Table1[[#This Row],[discount_type]],1)&amp;TEXT(ROUND(Table1[[#This Row],[discount_rate]]*100,0),"00")</f>
        <v>N00</v>
      </c>
      <c r="AM477" t="str" cm="1">
        <f t="array" ref="AM477">TEXT(SUMPRODUCT(CODE(MID(Table1[[#This Row],[home_gym_location]],_xlfn.SEQUENCE(LEN(Table1[[#This Row],[home_gym_location]])),1))),"00000")</f>
        <v>01107</v>
      </c>
      <c r="AN47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77" t="str">
        <f>LEFT(_xlfn.TEXTBEFORE(Table1[[#This Row],[Location Identifier]],"-"),3) &amp; "-" &amp; _xlfn.TEXTAFTER(Table1[[#This Row],[Location Identifier]],"-")</f>
        <v>LON-004</v>
      </c>
      <c r="AP477" s="9">
        <f t="shared" ca="1" si="70"/>
        <v>45869</v>
      </c>
    </row>
    <row r="478" spans="1:42" x14ac:dyDescent="0.25">
      <c r="A478">
        <v>30</v>
      </c>
      <c r="B478" t="s">
        <v>42</v>
      </c>
      <c r="C478">
        <v>1</v>
      </c>
      <c r="D478" t="s">
        <v>95</v>
      </c>
      <c r="E478" t="b">
        <v>0</v>
      </c>
      <c r="F478" s="1">
        <v>0.58888888888888891</v>
      </c>
      <c r="G478" s="1">
        <v>0.71388888888888891</v>
      </c>
      <c r="H478">
        <v>180</v>
      </c>
      <c r="I478" t="b">
        <v>0</v>
      </c>
      <c r="J478" t="b">
        <v>1</v>
      </c>
      <c r="K478" t="b">
        <v>0</v>
      </c>
      <c r="L478" t="s">
        <v>58</v>
      </c>
      <c r="M478">
        <v>20</v>
      </c>
      <c r="N478" t="s">
        <v>29</v>
      </c>
      <c r="O478">
        <v>20</v>
      </c>
      <c r="P478" t="s">
        <v>40</v>
      </c>
      <c r="Q478">
        <v>0.1</v>
      </c>
      <c r="R478">
        <v>18</v>
      </c>
      <c r="S478" t="s">
        <v>44</v>
      </c>
      <c r="T478" t="s">
        <v>65</v>
      </c>
      <c r="U478">
        <v>33.770099999999999</v>
      </c>
      <c r="V478">
        <v>-118.19370000000001</v>
      </c>
      <c r="W478" s="2">
        <v>45752</v>
      </c>
      <c r="X478">
        <v>7</v>
      </c>
      <c r="Y478" t="b">
        <v>0</v>
      </c>
      <c r="Z478" s="2">
        <v>45856</v>
      </c>
      <c r="AA478" t="str">
        <f t="shared" si="71"/>
        <v>30–39</v>
      </c>
      <c r="AB478" t="str">
        <f t="shared" si="72"/>
        <v>30–39</v>
      </c>
      <c r="AC478" t="str">
        <f t="shared" si="73"/>
        <v/>
      </c>
      <c r="AD478" t="str">
        <f t="shared" si="74"/>
        <v/>
      </c>
      <c r="AE478" t="str">
        <f t="shared" si="75"/>
        <v/>
      </c>
      <c r="AF478" t="str">
        <f t="shared" si="76"/>
        <v/>
      </c>
      <c r="AG478" t="str">
        <f t="shared" si="77"/>
        <v/>
      </c>
      <c r="AH478" t="str">
        <f t="shared" si="78"/>
        <v>Saturday</v>
      </c>
      <c r="AI478" t="str">
        <f t="shared" si="79"/>
        <v/>
      </c>
      <c r="AJ478" t="str">
        <f>LEFT(Table1[[#This Row],[membership_type]],2)&amp;TEXT(Table1[[#This Row],[age]],"00")&amp;"-"&amp;TEXT(ROW(),"000")</f>
        <v>Ba30-478</v>
      </c>
      <c r="AK478" t="str">
        <f>LEFT(Table1[[#This Row],[membership_type]],1)&amp;TEXT(MATCH(Table1[[#This Row],[membership_type]],Table1[membership_type],0),"00")</f>
        <v>B04</v>
      </c>
      <c r="AL478" t="str">
        <f>LEFT(Table1[[#This Row],[discount_type]],1)&amp;TEXT(ROUND(Table1[[#This Row],[discount_rate]]*100,0),"00")</f>
        <v>L10</v>
      </c>
      <c r="AM478" t="str" cm="1">
        <f t="array" ref="AM478">TEXT(SUMPRODUCT(CODE(MID(Table1[[#This Row],[home_gym_location]],_xlfn.SEQUENCE(LEN(Table1[[#This Row],[home_gym_location]])),1))),"00000")</f>
        <v>01107</v>
      </c>
      <c r="AN47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78" t="str">
        <f>LEFT(_xlfn.TEXTBEFORE(Table1[[#This Row],[Location Identifier]],"-"),3) &amp; "-" &amp; _xlfn.TEXTAFTER(Table1[[#This Row],[Location Identifier]],"-")</f>
        <v>LON-004</v>
      </c>
      <c r="AP478" s="9">
        <f t="shared" ca="1" si="70"/>
        <v>45869</v>
      </c>
    </row>
    <row r="479" spans="1:42" x14ac:dyDescent="0.25">
      <c r="A479">
        <v>25</v>
      </c>
      <c r="B479" t="s">
        <v>26</v>
      </c>
      <c r="C479">
        <v>1</v>
      </c>
      <c r="D479" t="s">
        <v>95</v>
      </c>
      <c r="E479" t="b">
        <v>0</v>
      </c>
      <c r="F479" s="1">
        <v>0.66319444444444442</v>
      </c>
      <c r="G479" s="1">
        <v>0.70138888888888884</v>
      </c>
      <c r="H479">
        <v>55</v>
      </c>
      <c r="I479" t="b">
        <v>1</v>
      </c>
      <c r="J479" t="b">
        <v>0</v>
      </c>
      <c r="K479" t="b">
        <v>1</v>
      </c>
      <c r="L479" t="s">
        <v>28</v>
      </c>
      <c r="M479">
        <v>50</v>
      </c>
      <c r="N479" t="s">
        <v>29</v>
      </c>
      <c r="O479">
        <v>50</v>
      </c>
      <c r="P479" t="s">
        <v>36</v>
      </c>
      <c r="Q479">
        <v>0</v>
      </c>
      <c r="R479">
        <v>50</v>
      </c>
      <c r="S479" t="s">
        <v>31</v>
      </c>
      <c r="T479" t="s">
        <v>59</v>
      </c>
      <c r="U479">
        <v>37.774900000000002</v>
      </c>
      <c r="V479">
        <v>-122.4194</v>
      </c>
      <c r="W479" s="2">
        <v>45241</v>
      </c>
      <c r="X479">
        <v>0</v>
      </c>
      <c r="Y479" t="b">
        <v>1</v>
      </c>
      <c r="Z479" s="2">
        <v>45827</v>
      </c>
      <c r="AA479" t="str">
        <f t="shared" si="71"/>
        <v>20–29</v>
      </c>
      <c r="AB479" t="str">
        <f t="shared" si="72"/>
        <v>20–29</v>
      </c>
      <c r="AC479" t="str">
        <f t="shared" si="73"/>
        <v/>
      </c>
      <c r="AD479" t="str">
        <f t="shared" si="74"/>
        <v/>
      </c>
      <c r="AE479" t="str">
        <f t="shared" si="75"/>
        <v/>
      </c>
      <c r="AF479" t="str">
        <f t="shared" si="76"/>
        <v/>
      </c>
      <c r="AG479" t="str">
        <f t="shared" si="77"/>
        <v/>
      </c>
      <c r="AH479" t="str">
        <f t="shared" si="78"/>
        <v>Saturday</v>
      </c>
      <c r="AI479" t="str">
        <f t="shared" si="79"/>
        <v/>
      </c>
      <c r="AJ479" t="str">
        <f>LEFT(Table1[[#This Row],[membership_type]],2)&amp;TEXT(Table1[[#This Row],[age]],"00")&amp;"-"&amp;TEXT(ROW(),"000")</f>
        <v>Pr25-479</v>
      </c>
      <c r="AK479" t="str">
        <f>LEFT(Table1[[#This Row],[membership_type]],1)&amp;TEXT(MATCH(Table1[[#This Row],[membership_type]],Table1[membership_type],0),"00")</f>
        <v>P01</v>
      </c>
      <c r="AL479" t="str">
        <f>LEFT(Table1[[#This Row],[discount_type]],1)&amp;TEXT(ROUND(Table1[[#This Row],[discount_rate]]*100,0),"00")</f>
        <v>N00</v>
      </c>
      <c r="AM479" t="str" cm="1">
        <f t="array" ref="AM479">TEXT(SUMPRODUCT(CODE(MID(Table1[[#This Row],[home_gym_location]],_xlfn.SEQUENCE(LEN(Table1[[#This Row],[home_gym_location]])),1))),"00000")</f>
        <v>01450</v>
      </c>
      <c r="AN47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79" t="str">
        <f>LEFT(_xlfn.TEXTBEFORE(Table1[[#This Row],[Location Identifier]],"-"),3) &amp; "-" &amp; _xlfn.TEXTAFTER(Table1[[#This Row],[Location Identifier]],"-")</f>
        <v>SAN-009</v>
      </c>
      <c r="AP479" s="9">
        <f t="shared" ca="1" si="70"/>
        <v>45869</v>
      </c>
    </row>
    <row r="480" spans="1:42" x14ac:dyDescent="0.25">
      <c r="A480">
        <v>44</v>
      </c>
      <c r="B480" t="s">
        <v>42</v>
      </c>
      <c r="C480">
        <v>3</v>
      </c>
      <c r="D480" t="s">
        <v>140</v>
      </c>
      <c r="E480" t="b">
        <v>0</v>
      </c>
      <c r="F480" s="1">
        <v>0.43819444444444444</v>
      </c>
      <c r="G480" s="1">
        <v>0.51944444444444449</v>
      </c>
      <c r="H480">
        <v>117</v>
      </c>
      <c r="I480" t="b">
        <v>1</v>
      </c>
      <c r="J480" t="b">
        <v>1</v>
      </c>
      <c r="K480" t="b">
        <v>0</v>
      </c>
      <c r="L480" t="s">
        <v>62</v>
      </c>
      <c r="M480">
        <v>20</v>
      </c>
      <c r="N480" t="s">
        <v>29</v>
      </c>
      <c r="O480">
        <v>20</v>
      </c>
      <c r="P480" t="s">
        <v>74</v>
      </c>
      <c r="Q480">
        <v>0.15</v>
      </c>
      <c r="R480">
        <v>17</v>
      </c>
      <c r="S480" t="s">
        <v>44</v>
      </c>
      <c r="T480" t="s">
        <v>65</v>
      </c>
      <c r="U480">
        <v>33.770099999999999</v>
      </c>
      <c r="V480">
        <v>-118.19370000000001</v>
      </c>
      <c r="W480" s="2">
        <v>44798</v>
      </c>
      <c r="X480">
        <v>8</v>
      </c>
      <c r="Y480" t="b">
        <v>0</v>
      </c>
      <c r="Z480" s="2">
        <v>45802</v>
      </c>
      <c r="AA480" t="str">
        <f t="shared" si="71"/>
        <v>40–49</v>
      </c>
      <c r="AB480" t="str">
        <f t="shared" si="72"/>
        <v>40–49</v>
      </c>
      <c r="AC480" t="str">
        <f t="shared" si="73"/>
        <v>Monday</v>
      </c>
      <c r="AD480" t="str">
        <f t="shared" si="74"/>
        <v>Tuesday</v>
      </c>
      <c r="AE480" t="str">
        <f t="shared" si="75"/>
        <v/>
      </c>
      <c r="AF480" t="str">
        <f t="shared" si="76"/>
        <v/>
      </c>
      <c r="AG480" t="str">
        <f t="shared" si="77"/>
        <v>Friday</v>
      </c>
      <c r="AH480" t="str">
        <f t="shared" si="78"/>
        <v/>
      </c>
      <c r="AI480" t="str">
        <f t="shared" si="79"/>
        <v/>
      </c>
      <c r="AJ480" t="str">
        <f>LEFT(Table1[[#This Row],[membership_type]],2)&amp;TEXT(Table1[[#This Row],[age]],"00")&amp;"-"&amp;TEXT(ROW(),"000")</f>
        <v>Ba44-480</v>
      </c>
      <c r="AK480" t="str">
        <f>LEFT(Table1[[#This Row],[membership_type]],1)&amp;TEXT(MATCH(Table1[[#This Row],[membership_type]],Table1[membership_type],0),"00")</f>
        <v>B04</v>
      </c>
      <c r="AL480" t="str">
        <f>LEFT(Table1[[#This Row],[discount_type]],1)&amp;TEXT(ROUND(Table1[[#This Row],[discount_rate]]*100,0),"00")</f>
        <v>S15</v>
      </c>
      <c r="AM480" t="str" cm="1">
        <f t="array" ref="AM480">TEXT(SUMPRODUCT(CODE(MID(Table1[[#This Row],[home_gym_location]],_xlfn.SEQUENCE(LEN(Table1[[#This Row],[home_gym_location]])),1))),"00000")</f>
        <v>01107</v>
      </c>
      <c r="AN48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80" t="str">
        <f>LEFT(_xlfn.TEXTBEFORE(Table1[[#This Row],[Location Identifier]],"-"),3) &amp; "-" &amp; _xlfn.TEXTAFTER(Table1[[#This Row],[Location Identifier]],"-")</f>
        <v>LON-004</v>
      </c>
      <c r="AP480" s="9">
        <f t="shared" ca="1" si="70"/>
        <v>45869</v>
      </c>
    </row>
    <row r="481" spans="1:42" x14ac:dyDescent="0.25">
      <c r="A481">
        <v>19</v>
      </c>
      <c r="B481" t="s">
        <v>42</v>
      </c>
      <c r="C481">
        <v>3</v>
      </c>
      <c r="D481" t="s">
        <v>134</v>
      </c>
      <c r="E481" t="b">
        <v>1</v>
      </c>
      <c r="F481" s="1">
        <v>0.55486111111111114</v>
      </c>
      <c r="G481" s="1">
        <v>0.61388888888888893</v>
      </c>
      <c r="H481">
        <v>85</v>
      </c>
      <c r="I481" t="b">
        <v>1</v>
      </c>
      <c r="J481" t="b">
        <v>0</v>
      </c>
      <c r="K481" t="b">
        <v>0</v>
      </c>
      <c r="L481" t="s">
        <v>47</v>
      </c>
      <c r="M481">
        <v>20</v>
      </c>
      <c r="N481" t="s">
        <v>64</v>
      </c>
      <c r="O481">
        <v>15</v>
      </c>
      <c r="P481" t="s">
        <v>40</v>
      </c>
      <c r="Q481">
        <v>0.1</v>
      </c>
      <c r="R481">
        <v>13.5</v>
      </c>
      <c r="S481" t="s">
        <v>44</v>
      </c>
      <c r="T481" t="s">
        <v>41</v>
      </c>
      <c r="U481">
        <v>37.804400000000001</v>
      </c>
      <c r="V481">
        <v>-122.27119999999999</v>
      </c>
      <c r="W481" s="2">
        <v>45273</v>
      </c>
      <c r="X481">
        <v>0</v>
      </c>
      <c r="Y481" t="b">
        <v>1</v>
      </c>
      <c r="Z481" s="2">
        <v>45829</v>
      </c>
      <c r="AA481" t="str">
        <f t="shared" si="71"/>
        <v>10–19</v>
      </c>
      <c r="AB481" t="str">
        <f t="shared" si="72"/>
        <v>16–19</v>
      </c>
      <c r="AC481" t="str">
        <f t="shared" si="73"/>
        <v/>
      </c>
      <c r="AD481" t="str">
        <f t="shared" si="74"/>
        <v>Tuesday</v>
      </c>
      <c r="AE481" t="str">
        <f t="shared" si="75"/>
        <v/>
      </c>
      <c r="AF481" t="str">
        <f t="shared" si="76"/>
        <v>Thursday</v>
      </c>
      <c r="AG481" t="str">
        <f t="shared" si="77"/>
        <v/>
      </c>
      <c r="AH481" t="str">
        <f t="shared" si="78"/>
        <v>Saturday</v>
      </c>
      <c r="AI481" t="str">
        <f t="shared" si="79"/>
        <v/>
      </c>
      <c r="AJ481" t="str">
        <f>LEFT(Table1[[#This Row],[membership_type]],2)&amp;TEXT(Table1[[#This Row],[age]],"00")&amp;"-"&amp;TEXT(ROW(),"000")</f>
        <v>Ba19-481</v>
      </c>
      <c r="AK481" t="str">
        <f>LEFT(Table1[[#This Row],[membership_type]],1)&amp;TEXT(MATCH(Table1[[#This Row],[membership_type]],Table1[membership_type],0),"00")</f>
        <v>B04</v>
      </c>
      <c r="AL481" t="str">
        <f>LEFT(Table1[[#This Row],[discount_type]],1)&amp;TEXT(ROUND(Table1[[#This Row],[discount_rate]]*100,0),"00")</f>
        <v>L10</v>
      </c>
      <c r="AM481" t="str" cm="1">
        <f t="array" ref="AM481">TEXT(SUMPRODUCT(CODE(MID(Table1[[#This Row],[home_gym_location]],_xlfn.SEQUENCE(LEN(Table1[[#This Row],[home_gym_location]])),1))),"00000")</f>
        <v>00906</v>
      </c>
      <c r="AN481" t="str">
        <f>UPPER(_xlfn.TEXTBEFORE(Table1[[#This Row],[home_gym_location]],","))&amp;"-"&amp;TEXT(MATCH(Table1[[#This Row],[home_gym_location]],_xlfn._xlws.SORT(_xlfn.UNIQUE(Table1[home_gym_location])),0),"000")</f>
        <v>OAKLAND-006</v>
      </c>
      <c r="AO481" t="str">
        <f>LEFT(_xlfn.TEXTBEFORE(Table1[[#This Row],[Location Identifier]],"-"),3) &amp; "-" &amp; _xlfn.TEXTAFTER(Table1[[#This Row],[Location Identifier]],"-")</f>
        <v>OAK-006</v>
      </c>
      <c r="AP481" s="9">
        <f t="shared" ca="1" si="70"/>
        <v>45869</v>
      </c>
    </row>
    <row r="482" spans="1:42" x14ac:dyDescent="0.25">
      <c r="A482">
        <v>24</v>
      </c>
      <c r="B482" t="s">
        <v>33</v>
      </c>
      <c r="C482">
        <v>3</v>
      </c>
      <c r="D482" t="s">
        <v>155</v>
      </c>
      <c r="E482" t="b">
        <v>0</v>
      </c>
      <c r="F482" s="1">
        <v>0.3840277777777778</v>
      </c>
      <c r="G482" s="1">
        <v>0.48402777777777778</v>
      </c>
      <c r="H482">
        <v>144</v>
      </c>
      <c r="I482" t="b">
        <v>0</v>
      </c>
      <c r="J482" t="b">
        <v>0</v>
      </c>
      <c r="K482" t="b">
        <v>0</v>
      </c>
      <c r="L482" t="s">
        <v>62</v>
      </c>
      <c r="M482">
        <v>30</v>
      </c>
      <c r="N482" t="s">
        <v>78</v>
      </c>
      <c r="O482">
        <v>27</v>
      </c>
      <c r="P482" t="s">
        <v>40</v>
      </c>
      <c r="Q482">
        <v>0.1</v>
      </c>
      <c r="R482">
        <v>24.3</v>
      </c>
      <c r="S482" t="s">
        <v>37</v>
      </c>
      <c r="T482" t="s">
        <v>59</v>
      </c>
      <c r="U482">
        <v>37.774900000000002</v>
      </c>
      <c r="V482">
        <v>-122.4194</v>
      </c>
      <c r="W482" s="2">
        <v>45160</v>
      </c>
      <c r="X482">
        <v>0</v>
      </c>
      <c r="Y482" t="b">
        <v>0</v>
      </c>
      <c r="Z482" s="2">
        <v>45823</v>
      </c>
      <c r="AA482" t="str">
        <f t="shared" si="71"/>
        <v>20–29</v>
      </c>
      <c r="AB482" t="str">
        <f t="shared" si="72"/>
        <v>20–29</v>
      </c>
      <c r="AC482" t="str">
        <f t="shared" si="73"/>
        <v>Monday</v>
      </c>
      <c r="AD482" t="str">
        <f t="shared" si="74"/>
        <v/>
      </c>
      <c r="AE482" t="str">
        <f t="shared" si="75"/>
        <v>Wednesday</v>
      </c>
      <c r="AF482" t="str">
        <f t="shared" si="76"/>
        <v>Thursday</v>
      </c>
      <c r="AG482" t="str">
        <f t="shared" si="77"/>
        <v/>
      </c>
      <c r="AH482" t="str">
        <f t="shared" si="78"/>
        <v/>
      </c>
      <c r="AI482" t="str">
        <f t="shared" si="79"/>
        <v/>
      </c>
      <c r="AJ482" t="str">
        <f>LEFT(Table1[[#This Row],[membership_type]],2)&amp;TEXT(Table1[[#This Row],[age]],"00")&amp;"-"&amp;TEXT(ROW(),"000")</f>
        <v>St24-482</v>
      </c>
      <c r="AK482" t="str">
        <f>LEFT(Table1[[#This Row],[membership_type]],1)&amp;TEXT(MATCH(Table1[[#This Row],[membership_type]],Table1[membership_type],0),"00")</f>
        <v>S02</v>
      </c>
      <c r="AL482" t="str">
        <f>LEFT(Table1[[#This Row],[discount_type]],1)&amp;TEXT(ROUND(Table1[[#This Row],[discount_rate]]*100,0),"00")</f>
        <v>L10</v>
      </c>
      <c r="AM482" t="str" cm="1">
        <f t="array" ref="AM482">TEXT(SUMPRODUCT(CODE(MID(Table1[[#This Row],[home_gym_location]],_xlfn.SEQUENCE(LEN(Table1[[#This Row],[home_gym_location]])),1))),"00000")</f>
        <v>01450</v>
      </c>
      <c r="AN48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82" t="str">
        <f>LEFT(_xlfn.TEXTBEFORE(Table1[[#This Row],[Location Identifier]],"-"),3) &amp; "-" &amp; _xlfn.TEXTAFTER(Table1[[#This Row],[Location Identifier]],"-")</f>
        <v>SAN-009</v>
      </c>
      <c r="AP482" s="9">
        <f t="shared" ca="1" si="70"/>
        <v>45869</v>
      </c>
    </row>
    <row r="483" spans="1:42" x14ac:dyDescent="0.25">
      <c r="A483">
        <v>20</v>
      </c>
      <c r="B483" t="s">
        <v>51</v>
      </c>
      <c r="C483">
        <v>1</v>
      </c>
      <c r="D483" t="s">
        <v>49</v>
      </c>
      <c r="E483" t="b">
        <v>0</v>
      </c>
      <c r="F483" s="1">
        <v>0.47430555555555554</v>
      </c>
      <c r="G483" s="1">
        <v>0.58402777777777781</v>
      </c>
      <c r="H483">
        <v>158</v>
      </c>
      <c r="I483" t="b">
        <v>1</v>
      </c>
      <c r="J483" t="b">
        <v>0</v>
      </c>
      <c r="K483" t="b">
        <v>1</v>
      </c>
      <c r="L483" t="s">
        <v>62</v>
      </c>
      <c r="M483">
        <v>70</v>
      </c>
      <c r="N483" t="s">
        <v>29</v>
      </c>
      <c r="O483">
        <v>70</v>
      </c>
      <c r="P483" t="s">
        <v>36</v>
      </c>
      <c r="Q483">
        <v>0</v>
      </c>
      <c r="R483">
        <v>70</v>
      </c>
      <c r="S483" t="s">
        <v>53</v>
      </c>
      <c r="T483" t="s">
        <v>41</v>
      </c>
      <c r="U483">
        <v>37.804400000000001</v>
      </c>
      <c r="V483">
        <v>-122.27119999999999</v>
      </c>
      <c r="W483" s="2">
        <v>45090</v>
      </c>
      <c r="X483">
        <v>0</v>
      </c>
      <c r="Y483" t="b">
        <v>1</v>
      </c>
      <c r="Z483" s="2">
        <v>45819</v>
      </c>
      <c r="AA483" t="str">
        <f t="shared" si="71"/>
        <v>20–29</v>
      </c>
      <c r="AB483" t="str">
        <f t="shared" si="72"/>
        <v>20–29</v>
      </c>
      <c r="AC483" t="str">
        <f t="shared" si="73"/>
        <v/>
      </c>
      <c r="AD483" t="str">
        <f t="shared" si="74"/>
        <v/>
      </c>
      <c r="AE483" t="str">
        <f t="shared" si="75"/>
        <v/>
      </c>
      <c r="AF483" t="str">
        <f t="shared" si="76"/>
        <v/>
      </c>
      <c r="AG483" t="str">
        <f t="shared" si="77"/>
        <v/>
      </c>
      <c r="AH483" t="str">
        <f t="shared" si="78"/>
        <v/>
      </c>
      <c r="AI483" t="str">
        <f t="shared" si="79"/>
        <v>Sunday</v>
      </c>
      <c r="AJ483" t="str">
        <f>LEFT(Table1[[#This Row],[membership_type]],2)&amp;TEXT(Table1[[#This Row],[age]],"00")&amp;"-"&amp;TEXT(ROW(),"000")</f>
        <v>El20-483</v>
      </c>
      <c r="AK483" t="str">
        <f>LEFT(Table1[[#This Row],[membership_type]],1)&amp;TEXT(MATCH(Table1[[#This Row],[membership_type]],Table1[membership_type],0),"00")</f>
        <v>E07</v>
      </c>
      <c r="AL483" t="str">
        <f>LEFT(Table1[[#This Row],[discount_type]],1)&amp;TEXT(ROUND(Table1[[#This Row],[discount_rate]]*100,0),"00")</f>
        <v>N00</v>
      </c>
      <c r="AM483" t="str" cm="1">
        <f t="array" ref="AM483">TEXT(SUMPRODUCT(CODE(MID(Table1[[#This Row],[home_gym_location]],_xlfn.SEQUENCE(LEN(Table1[[#This Row],[home_gym_location]])),1))),"00000")</f>
        <v>00906</v>
      </c>
      <c r="AN483" t="str">
        <f>UPPER(_xlfn.TEXTBEFORE(Table1[[#This Row],[home_gym_location]],","))&amp;"-"&amp;TEXT(MATCH(Table1[[#This Row],[home_gym_location]],_xlfn._xlws.SORT(_xlfn.UNIQUE(Table1[home_gym_location])),0),"000")</f>
        <v>OAKLAND-006</v>
      </c>
      <c r="AO483" t="str">
        <f>LEFT(_xlfn.TEXTBEFORE(Table1[[#This Row],[Location Identifier]],"-"),3) &amp; "-" &amp; _xlfn.TEXTAFTER(Table1[[#This Row],[Location Identifier]],"-")</f>
        <v>OAK-006</v>
      </c>
      <c r="AP483" s="9">
        <f t="shared" ca="1" si="70"/>
        <v>45869</v>
      </c>
    </row>
    <row r="484" spans="1:42" x14ac:dyDescent="0.25">
      <c r="A484">
        <v>44</v>
      </c>
      <c r="B484" t="s">
        <v>42</v>
      </c>
      <c r="C484">
        <v>4</v>
      </c>
      <c r="D484" t="s">
        <v>156</v>
      </c>
      <c r="E484" t="b">
        <v>0</v>
      </c>
      <c r="F484" s="1">
        <v>0.46527777777777779</v>
      </c>
      <c r="G484" s="1">
        <v>0.48888888888888887</v>
      </c>
      <c r="H484">
        <v>34</v>
      </c>
      <c r="I484" t="b">
        <v>0</v>
      </c>
      <c r="J484" t="b">
        <v>0</v>
      </c>
      <c r="K484" t="b">
        <v>1</v>
      </c>
      <c r="L484" t="s">
        <v>35</v>
      </c>
      <c r="M484">
        <v>20</v>
      </c>
      <c r="N484" t="s">
        <v>64</v>
      </c>
      <c r="O484">
        <v>15</v>
      </c>
      <c r="P484" t="s">
        <v>36</v>
      </c>
      <c r="Q484">
        <v>0</v>
      </c>
      <c r="R484">
        <v>15</v>
      </c>
      <c r="S484" t="s">
        <v>44</v>
      </c>
      <c r="T484" t="s">
        <v>32</v>
      </c>
      <c r="U484">
        <v>37.338200000000001</v>
      </c>
      <c r="V484">
        <v>-121.88630000000001</v>
      </c>
      <c r="W484" s="2">
        <v>45346</v>
      </c>
      <c r="X484">
        <v>0</v>
      </c>
      <c r="Y484" t="b">
        <v>0</v>
      </c>
      <c r="Z484" s="2">
        <v>45833</v>
      </c>
      <c r="AA484" t="str">
        <f t="shared" si="71"/>
        <v>40–49</v>
      </c>
      <c r="AB484" t="str">
        <f t="shared" si="72"/>
        <v>40–49</v>
      </c>
      <c r="AC484" t="str">
        <f t="shared" si="73"/>
        <v/>
      </c>
      <c r="AD484" t="str">
        <f t="shared" si="74"/>
        <v>Tuesday</v>
      </c>
      <c r="AE484" t="str">
        <f t="shared" si="75"/>
        <v>Wednesday</v>
      </c>
      <c r="AF484" t="str">
        <f t="shared" si="76"/>
        <v>Thursday</v>
      </c>
      <c r="AG484" t="str">
        <f t="shared" si="77"/>
        <v/>
      </c>
      <c r="AH484" t="str">
        <f t="shared" si="78"/>
        <v>Saturday</v>
      </c>
      <c r="AI484" t="str">
        <f t="shared" si="79"/>
        <v/>
      </c>
      <c r="AJ484" t="str">
        <f>LEFT(Table1[[#This Row],[membership_type]],2)&amp;TEXT(Table1[[#This Row],[age]],"00")&amp;"-"&amp;TEXT(ROW(),"000")</f>
        <v>Ba44-484</v>
      </c>
      <c r="AK484" t="str">
        <f>LEFT(Table1[[#This Row],[membership_type]],1)&amp;TEXT(MATCH(Table1[[#This Row],[membership_type]],Table1[membership_type],0),"00")</f>
        <v>B04</v>
      </c>
      <c r="AL484" t="str">
        <f>LEFT(Table1[[#This Row],[discount_type]],1)&amp;TEXT(ROUND(Table1[[#This Row],[discount_rate]]*100,0),"00")</f>
        <v>N00</v>
      </c>
      <c r="AM484" t="str" cm="1">
        <f t="array" ref="AM484">TEXT(SUMPRODUCT(CODE(MID(Table1[[#This Row],[home_gym_location]],_xlfn.SEQUENCE(LEN(Table1[[#This Row],[home_gym_location]])),1))),"00000")</f>
        <v>00931</v>
      </c>
      <c r="AN48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484" t="str">
        <f>LEFT(_xlfn.TEXTBEFORE(Table1[[#This Row],[Location Identifier]],"-"),3) &amp; "-" &amp; _xlfn.TEXTAFTER(Table1[[#This Row],[Location Identifier]],"-")</f>
        <v>SAN-010</v>
      </c>
      <c r="AP484" s="9">
        <f t="shared" ca="1" si="70"/>
        <v>45869</v>
      </c>
    </row>
    <row r="485" spans="1:42" x14ac:dyDescent="0.25">
      <c r="A485">
        <v>17</v>
      </c>
      <c r="B485" t="s">
        <v>33</v>
      </c>
      <c r="C485">
        <v>2</v>
      </c>
      <c r="D485" t="s">
        <v>126</v>
      </c>
      <c r="E485" t="b">
        <v>0</v>
      </c>
      <c r="F485" s="1">
        <v>0.33750000000000002</v>
      </c>
      <c r="G485" s="1">
        <v>0.3659722222222222</v>
      </c>
      <c r="H485">
        <v>41</v>
      </c>
      <c r="I485" t="b">
        <v>1</v>
      </c>
      <c r="J485" t="b">
        <v>0</v>
      </c>
      <c r="K485" t="b">
        <v>1</v>
      </c>
      <c r="L485" t="s">
        <v>28</v>
      </c>
      <c r="M485">
        <v>30</v>
      </c>
      <c r="N485" t="s">
        <v>64</v>
      </c>
      <c r="O485">
        <v>22.5</v>
      </c>
      <c r="P485" t="s">
        <v>40</v>
      </c>
      <c r="Q485">
        <v>0.1</v>
      </c>
      <c r="R485">
        <v>20.25</v>
      </c>
      <c r="S485" t="s">
        <v>37</v>
      </c>
      <c r="T485" t="s">
        <v>65</v>
      </c>
      <c r="U485">
        <v>33.770099999999999</v>
      </c>
      <c r="V485">
        <v>-118.19370000000001</v>
      </c>
      <c r="W485" s="2">
        <v>45162</v>
      </c>
      <c r="X485">
        <v>0</v>
      </c>
      <c r="Y485" t="b">
        <v>0</v>
      </c>
      <c r="Z485" s="2">
        <v>45823</v>
      </c>
      <c r="AA485" t="str">
        <f t="shared" si="71"/>
        <v>10–19</v>
      </c>
      <c r="AB485" t="str">
        <f t="shared" si="72"/>
        <v>16–19</v>
      </c>
      <c r="AC485" t="str">
        <f t="shared" si="73"/>
        <v/>
      </c>
      <c r="AD485" t="str">
        <f t="shared" si="74"/>
        <v>Tuesday</v>
      </c>
      <c r="AE485" t="str">
        <f t="shared" si="75"/>
        <v>Wednesday</v>
      </c>
      <c r="AF485" t="str">
        <f t="shared" si="76"/>
        <v/>
      </c>
      <c r="AG485" t="str">
        <f t="shared" si="77"/>
        <v/>
      </c>
      <c r="AH485" t="str">
        <f t="shared" si="78"/>
        <v/>
      </c>
      <c r="AI485" t="str">
        <f t="shared" si="79"/>
        <v/>
      </c>
      <c r="AJ485" t="str">
        <f>LEFT(Table1[[#This Row],[membership_type]],2)&amp;TEXT(Table1[[#This Row],[age]],"00")&amp;"-"&amp;TEXT(ROW(),"000")</f>
        <v>St17-485</v>
      </c>
      <c r="AK485" t="str">
        <f>LEFT(Table1[[#This Row],[membership_type]],1)&amp;TEXT(MATCH(Table1[[#This Row],[membership_type]],Table1[membership_type],0),"00")</f>
        <v>S02</v>
      </c>
      <c r="AL485" t="str">
        <f>LEFT(Table1[[#This Row],[discount_type]],1)&amp;TEXT(ROUND(Table1[[#This Row],[discount_rate]]*100,0),"00")</f>
        <v>L10</v>
      </c>
      <c r="AM485" t="str" cm="1">
        <f t="array" ref="AM485">TEXT(SUMPRODUCT(CODE(MID(Table1[[#This Row],[home_gym_location]],_xlfn.SEQUENCE(LEN(Table1[[#This Row],[home_gym_location]])),1))),"00000")</f>
        <v>01107</v>
      </c>
      <c r="AN48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485" t="str">
        <f>LEFT(_xlfn.TEXTBEFORE(Table1[[#This Row],[Location Identifier]],"-"),3) &amp; "-" &amp; _xlfn.TEXTAFTER(Table1[[#This Row],[Location Identifier]],"-")</f>
        <v>LON-004</v>
      </c>
      <c r="AP485" s="9">
        <f t="shared" ca="1" si="70"/>
        <v>45869</v>
      </c>
    </row>
    <row r="486" spans="1:42" x14ac:dyDescent="0.25">
      <c r="A486">
        <v>17</v>
      </c>
      <c r="B486" t="s">
        <v>26</v>
      </c>
      <c r="C486">
        <v>1</v>
      </c>
      <c r="D486" t="s">
        <v>71</v>
      </c>
      <c r="E486" t="b">
        <v>1</v>
      </c>
      <c r="F486" s="1">
        <v>0.51180555555555551</v>
      </c>
      <c r="G486" s="1">
        <v>0.63472222222222219</v>
      </c>
      <c r="H486">
        <v>177</v>
      </c>
      <c r="I486" t="b">
        <v>1</v>
      </c>
      <c r="J486" t="b">
        <v>1</v>
      </c>
      <c r="K486" t="b">
        <v>0</v>
      </c>
      <c r="L486" t="s">
        <v>62</v>
      </c>
      <c r="M486">
        <v>50</v>
      </c>
      <c r="N486" t="s">
        <v>29</v>
      </c>
      <c r="O486">
        <v>50</v>
      </c>
      <c r="P486" t="s">
        <v>74</v>
      </c>
      <c r="Q486">
        <v>0.15</v>
      </c>
      <c r="R486">
        <v>42.5</v>
      </c>
      <c r="S486" t="s">
        <v>31</v>
      </c>
      <c r="T486" t="s">
        <v>48</v>
      </c>
      <c r="U486">
        <v>38.581600000000002</v>
      </c>
      <c r="V486">
        <v>-121.4944</v>
      </c>
      <c r="W486" s="2">
        <v>45208</v>
      </c>
      <c r="X486">
        <v>3</v>
      </c>
      <c r="Y486" t="b">
        <v>1</v>
      </c>
      <c r="Z486" s="2">
        <v>45825</v>
      </c>
      <c r="AA486" t="str">
        <f t="shared" si="71"/>
        <v>10–19</v>
      </c>
      <c r="AB486" t="str">
        <f t="shared" si="72"/>
        <v>16–19</v>
      </c>
      <c r="AC486" t="str">
        <f t="shared" si="73"/>
        <v/>
      </c>
      <c r="AD486" t="str">
        <f t="shared" si="74"/>
        <v>Tuesday</v>
      </c>
      <c r="AE486" t="str">
        <f t="shared" si="75"/>
        <v/>
      </c>
      <c r="AF486" t="str">
        <f t="shared" si="76"/>
        <v/>
      </c>
      <c r="AG486" t="str">
        <f t="shared" si="77"/>
        <v/>
      </c>
      <c r="AH486" t="str">
        <f t="shared" si="78"/>
        <v/>
      </c>
      <c r="AI486" t="str">
        <f t="shared" si="79"/>
        <v/>
      </c>
      <c r="AJ486" t="str">
        <f>LEFT(Table1[[#This Row],[membership_type]],2)&amp;TEXT(Table1[[#This Row],[age]],"00")&amp;"-"&amp;TEXT(ROW(),"000")</f>
        <v>Pr17-486</v>
      </c>
      <c r="AK486" t="str">
        <f>LEFT(Table1[[#This Row],[membership_type]],1)&amp;TEXT(MATCH(Table1[[#This Row],[membership_type]],Table1[membership_type],0),"00")</f>
        <v>P01</v>
      </c>
      <c r="AL486" t="str">
        <f>LEFT(Table1[[#This Row],[discount_type]],1)&amp;TEXT(ROUND(Table1[[#This Row],[discount_rate]]*100,0),"00")</f>
        <v>S15</v>
      </c>
      <c r="AM486" t="str" cm="1">
        <f t="array" ref="AM486">TEXT(SUMPRODUCT(CODE(MID(Table1[[#This Row],[home_gym_location]],_xlfn.SEQUENCE(LEN(Table1[[#This Row],[home_gym_location]])),1))),"00000")</f>
        <v>01245</v>
      </c>
      <c r="AN48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86" t="str">
        <f>LEFT(_xlfn.TEXTBEFORE(Table1[[#This Row],[Location Identifier]],"-"),3) &amp; "-" &amp; _xlfn.TEXTAFTER(Table1[[#This Row],[Location Identifier]],"-")</f>
        <v>SAC-007</v>
      </c>
      <c r="AP486" s="9">
        <f t="shared" ca="1" si="70"/>
        <v>45869</v>
      </c>
    </row>
    <row r="487" spans="1:42" x14ac:dyDescent="0.25">
      <c r="A487">
        <v>12</v>
      </c>
      <c r="B487" t="s">
        <v>33</v>
      </c>
      <c r="C487">
        <v>5</v>
      </c>
      <c r="D487" t="s">
        <v>72</v>
      </c>
      <c r="E487" t="b">
        <v>0</v>
      </c>
      <c r="F487" s="1">
        <v>0.43402777777777779</v>
      </c>
      <c r="G487" s="1">
        <v>0.51249999999999996</v>
      </c>
      <c r="H487">
        <v>113</v>
      </c>
      <c r="I487" t="b">
        <v>0</v>
      </c>
      <c r="J487" t="b">
        <v>0</v>
      </c>
      <c r="K487" t="b">
        <v>1</v>
      </c>
      <c r="L487" t="s">
        <v>28</v>
      </c>
      <c r="M487">
        <v>30</v>
      </c>
      <c r="N487" t="s">
        <v>29</v>
      </c>
      <c r="O487">
        <v>30</v>
      </c>
      <c r="P487" t="s">
        <v>36</v>
      </c>
      <c r="Q487">
        <v>0</v>
      </c>
      <c r="R487">
        <v>30</v>
      </c>
      <c r="S487" t="s">
        <v>37</v>
      </c>
      <c r="T487" t="s">
        <v>50</v>
      </c>
      <c r="U487">
        <v>34.052199999999999</v>
      </c>
      <c r="V487">
        <v>-118.2437</v>
      </c>
      <c r="W487" s="2">
        <v>44871</v>
      </c>
      <c r="X487">
        <v>0</v>
      </c>
      <c r="Y487" t="b">
        <v>1</v>
      </c>
      <c r="Z487" s="2">
        <v>45806</v>
      </c>
      <c r="AA487" t="str">
        <f t="shared" si="71"/>
        <v>10–19</v>
      </c>
      <c r="AB487" t="str">
        <f t="shared" si="72"/>
        <v>Under 16</v>
      </c>
      <c r="AC487" t="str">
        <f t="shared" si="73"/>
        <v>Monday</v>
      </c>
      <c r="AD487" t="str">
        <f t="shared" si="74"/>
        <v/>
      </c>
      <c r="AE487" t="str">
        <f t="shared" si="75"/>
        <v>Wednesday</v>
      </c>
      <c r="AF487" t="str">
        <f t="shared" si="76"/>
        <v>Thursday</v>
      </c>
      <c r="AG487" t="str">
        <f t="shared" si="77"/>
        <v>Friday</v>
      </c>
      <c r="AH487" t="str">
        <f t="shared" si="78"/>
        <v/>
      </c>
      <c r="AI487" t="str">
        <f t="shared" si="79"/>
        <v>Sunday</v>
      </c>
      <c r="AJ487" t="str">
        <f>LEFT(Table1[[#This Row],[membership_type]],2)&amp;TEXT(Table1[[#This Row],[age]],"00")&amp;"-"&amp;TEXT(ROW(),"000")</f>
        <v>St12-487</v>
      </c>
      <c r="AK487" t="str">
        <f>LEFT(Table1[[#This Row],[membership_type]],1)&amp;TEXT(MATCH(Table1[[#This Row],[membership_type]],Table1[membership_type],0),"00")</f>
        <v>S02</v>
      </c>
      <c r="AL487" t="str">
        <f>LEFT(Table1[[#This Row],[discount_type]],1)&amp;TEXT(ROUND(Table1[[#This Row],[discount_rate]]*100,0),"00")</f>
        <v>N00</v>
      </c>
      <c r="AM487" t="str" cm="1">
        <f t="array" ref="AM487">TEXT(SUMPRODUCT(CODE(MID(Table1[[#This Row],[home_gym_location]],_xlfn.SEQUENCE(LEN(Table1[[#This Row],[home_gym_location]])),1))),"00000")</f>
        <v>01245</v>
      </c>
      <c r="AN48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87" t="str">
        <f>LEFT(_xlfn.TEXTBEFORE(Table1[[#This Row],[Location Identifier]],"-"),3) &amp; "-" &amp; _xlfn.TEXTAFTER(Table1[[#This Row],[Location Identifier]],"-")</f>
        <v>LOS-005</v>
      </c>
      <c r="AP487" s="9">
        <f t="shared" ca="1" si="70"/>
        <v>45869</v>
      </c>
    </row>
    <row r="488" spans="1:42" x14ac:dyDescent="0.25">
      <c r="A488">
        <v>12</v>
      </c>
      <c r="B488" t="s">
        <v>42</v>
      </c>
      <c r="C488">
        <v>3</v>
      </c>
      <c r="D488" t="s">
        <v>55</v>
      </c>
      <c r="E488" t="b">
        <v>1</v>
      </c>
      <c r="F488" s="1">
        <v>0.83125000000000004</v>
      </c>
      <c r="G488" s="1">
        <v>0.89444444444444449</v>
      </c>
      <c r="H488">
        <v>91</v>
      </c>
      <c r="I488" t="b">
        <v>1</v>
      </c>
      <c r="J488" t="b">
        <v>0</v>
      </c>
      <c r="K488" t="b">
        <v>0</v>
      </c>
      <c r="L488" t="s">
        <v>28</v>
      </c>
      <c r="M488">
        <v>20</v>
      </c>
      <c r="N488" t="s">
        <v>29</v>
      </c>
      <c r="O488">
        <v>20</v>
      </c>
      <c r="P488" t="s">
        <v>40</v>
      </c>
      <c r="Q488">
        <v>0.1</v>
      </c>
      <c r="R488">
        <v>18</v>
      </c>
      <c r="S488" t="s">
        <v>44</v>
      </c>
      <c r="T488" t="s">
        <v>56</v>
      </c>
      <c r="U488">
        <v>35.3733</v>
      </c>
      <c r="V488">
        <v>-119.0187</v>
      </c>
      <c r="W488" s="2">
        <v>45782</v>
      </c>
      <c r="X488">
        <v>0</v>
      </c>
      <c r="Y488" t="b">
        <v>0</v>
      </c>
      <c r="Z488" s="2">
        <v>45858</v>
      </c>
      <c r="AA488" t="str">
        <f t="shared" si="71"/>
        <v>10–19</v>
      </c>
      <c r="AB488" t="str">
        <f t="shared" si="72"/>
        <v>Under 16</v>
      </c>
      <c r="AC488" t="str">
        <f t="shared" si="73"/>
        <v/>
      </c>
      <c r="AD488" t="str">
        <f t="shared" si="74"/>
        <v/>
      </c>
      <c r="AE488" t="str">
        <f t="shared" si="75"/>
        <v/>
      </c>
      <c r="AF488" t="str">
        <f t="shared" si="76"/>
        <v>Thursday</v>
      </c>
      <c r="AG488" t="str">
        <f t="shared" si="77"/>
        <v>Friday</v>
      </c>
      <c r="AH488" t="str">
        <f t="shared" si="78"/>
        <v/>
      </c>
      <c r="AI488" t="str">
        <f t="shared" si="79"/>
        <v>Sunday</v>
      </c>
      <c r="AJ488" t="str">
        <f>LEFT(Table1[[#This Row],[membership_type]],2)&amp;TEXT(Table1[[#This Row],[age]],"00")&amp;"-"&amp;TEXT(ROW(),"000")</f>
        <v>Ba12-488</v>
      </c>
      <c r="AK488" t="str">
        <f>LEFT(Table1[[#This Row],[membership_type]],1)&amp;TEXT(MATCH(Table1[[#This Row],[membership_type]],Table1[membership_type],0),"00")</f>
        <v>B04</v>
      </c>
      <c r="AL488" t="str">
        <f>LEFT(Table1[[#This Row],[discount_type]],1)&amp;TEXT(ROUND(Table1[[#This Row],[discount_rate]]*100,0),"00")</f>
        <v>L10</v>
      </c>
      <c r="AM488" t="str" cm="1">
        <f t="array" ref="AM488">TEXT(SUMPRODUCT(CODE(MID(Table1[[#This Row],[home_gym_location]],_xlfn.SEQUENCE(LEN(Table1[[#This Row],[home_gym_location]])),1))),"00000")</f>
        <v>01324</v>
      </c>
      <c r="AN48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488" t="str">
        <f>LEFT(_xlfn.TEXTBEFORE(Table1[[#This Row],[Location Identifier]],"-"),3) &amp; "-" &amp; _xlfn.TEXTAFTER(Table1[[#This Row],[Location Identifier]],"-")</f>
        <v>BAK-002</v>
      </c>
      <c r="AP488" s="9">
        <f t="shared" ca="1" si="70"/>
        <v>45869</v>
      </c>
    </row>
    <row r="489" spans="1:42" x14ac:dyDescent="0.25">
      <c r="A489">
        <v>43</v>
      </c>
      <c r="B489" t="s">
        <v>33</v>
      </c>
      <c r="C489">
        <v>5</v>
      </c>
      <c r="D489" t="s">
        <v>87</v>
      </c>
      <c r="E489" t="b">
        <v>0</v>
      </c>
      <c r="F489" s="1">
        <v>0.37638888888888888</v>
      </c>
      <c r="G489" s="1">
        <v>0.43125000000000002</v>
      </c>
      <c r="H489">
        <v>79</v>
      </c>
      <c r="I489" t="b">
        <v>0</v>
      </c>
      <c r="J489" t="b">
        <v>0</v>
      </c>
      <c r="K489" t="b">
        <v>0</v>
      </c>
      <c r="L489" t="s">
        <v>28</v>
      </c>
      <c r="M489">
        <v>30</v>
      </c>
      <c r="N489" t="s">
        <v>29</v>
      </c>
      <c r="O489">
        <v>30</v>
      </c>
      <c r="P489" t="s">
        <v>40</v>
      </c>
      <c r="Q489">
        <v>0.1</v>
      </c>
      <c r="R489">
        <v>27</v>
      </c>
      <c r="S489" t="s">
        <v>37</v>
      </c>
      <c r="T489" t="s">
        <v>59</v>
      </c>
      <c r="U489">
        <v>37.774900000000002</v>
      </c>
      <c r="V489">
        <v>-122.4194</v>
      </c>
      <c r="W489" s="2">
        <v>45531</v>
      </c>
      <c r="X489">
        <v>0</v>
      </c>
      <c r="Y489" t="b">
        <v>0</v>
      </c>
      <c r="Z489" s="2">
        <v>45844</v>
      </c>
      <c r="AA489" t="str">
        <f t="shared" si="71"/>
        <v>40–49</v>
      </c>
      <c r="AB489" t="str">
        <f t="shared" si="72"/>
        <v>40–49</v>
      </c>
      <c r="AC489" t="str">
        <f t="shared" si="73"/>
        <v/>
      </c>
      <c r="AD489" t="str">
        <f t="shared" si="74"/>
        <v>Tuesday</v>
      </c>
      <c r="AE489" t="str">
        <f t="shared" si="75"/>
        <v>Wednesday</v>
      </c>
      <c r="AF489" t="str">
        <f t="shared" si="76"/>
        <v/>
      </c>
      <c r="AG489" t="str">
        <f t="shared" si="77"/>
        <v>Friday</v>
      </c>
      <c r="AH489" t="str">
        <f t="shared" si="78"/>
        <v>Saturday</v>
      </c>
      <c r="AI489" t="str">
        <f t="shared" si="79"/>
        <v>Sunday</v>
      </c>
      <c r="AJ489" t="str">
        <f>LEFT(Table1[[#This Row],[membership_type]],2)&amp;TEXT(Table1[[#This Row],[age]],"00")&amp;"-"&amp;TEXT(ROW(),"000")</f>
        <v>St43-489</v>
      </c>
      <c r="AK489" t="str">
        <f>LEFT(Table1[[#This Row],[membership_type]],1)&amp;TEXT(MATCH(Table1[[#This Row],[membership_type]],Table1[membership_type],0),"00")</f>
        <v>S02</v>
      </c>
      <c r="AL489" t="str">
        <f>LEFT(Table1[[#This Row],[discount_type]],1)&amp;TEXT(ROUND(Table1[[#This Row],[discount_rate]]*100,0),"00")</f>
        <v>L10</v>
      </c>
      <c r="AM489" t="str" cm="1">
        <f t="array" ref="AM489">TEXT(SUMPRODUCT(CODE(MID(Table1[[#This Row],[home_gym_location]],_xlfn.SEQUENCE(LEN(Table1[[#This Row],[home_gym_location]])),1))),"00000")</f>
        <v>01450</v>
      </c>
      <c r="AN48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89" t="str">
        <f>LEFT(_xlfn.TEXTBEFORE(Table1[[#This Row],[Location Identifier]],"-"),3) &amp; "-" &amp; _xlfn.TEXTAFTER(Table1[[#This Row],[Location Identifier]],"-")</f>
        <v>SAN-009</v>
      </c>
      <c r="AP489" s="9">
        <f t="shared" ca="1" si="70"/>
        <v>45869</v>
      </c>
    </row>
    <row r="490" spans="1:42" x14ac:dyDescent="0.25">
      <c r="A490">
        <v>47</v>
      </c>
      <c r="B490" t="s">
        <v>33</v>
      </c>
      <c r="C490">
        <v>1</v>
      </c>
      <c r="D490" t="s">
        <v>49</v>
      </c>
      <c r="E490" t="b">
        <v>0</v>
      </c>
      <c r="F490" s="1">
        <v>0.68263888888888891</v>
      </c>
      <c r="G490" s="1">
        <v>0.75486111111111109</v>
      </c>
      <c r="H490">
        <v>104</v>
      </c>
      <c r="I490" t="b">
        <v>0</v>
      </c>
      <c r="J490" t="b">
        <v>1</v>
      </c>
      <c r="K490" t="b">
        <v>0</v>
      </c>
      <c r="L490" t="s">
        <v>47</v>
      </c>
      <c r="M490">
        <v>30</v>
      </c>
      <c r="N490" t="s">
        <v>29</v>
      </c>
      <c r="O490">
        <v>30</v>
      </c>
      <c r="P490" t="s">
        <v>74</v>
      </c>
      <c r="Q490">
        <v>0.15</v>
      </c>
      <c r="R490">
        <v>25.5</v>
      </c>
      <c r="S490" t="s">
        <v>37</v>
      </c>
      <c r="T490" t="s">
        <v>48</v>
      </c>
      <c r="U490">
        <v>38.581600000000002</v>
      </c>
      <c r="V490">
        <v>-121.4944</v>
      </c>
      <c r="W490" s="2">
        <v>44818</v>
      </c>
      <c r="X490">
        <v>5</v>
      </c>
      <c r="Y490" t="b">
        <v>0</v>
      </c>
      <c r="Z490" s="2">
        <v>45803</v>
      </c>
      <c r="AA490" t="str">
        <f t="shared" si="71"/>
        <v>40–49</v>
      </c>
      <c r="AB490" t="str">
        <f t="shared" si="72"/>
        <v>40–49</v>
      </c>
      <c r="AC490" t="str">
        <f t="shared" si="73"/>
        <v/>
      </c>
      <c r="AD490" t="str">
        <f t="shared" si="74"/>
        <v/>
      </c>
      <c r="AE490" t="str">
        <f t="shared" si="75"/>
        <v/>
      </c>
      <c r="AF490" t="str">
        <f t="shared" si="76"/>
        <v/>
      </c>
      <c r="AG490" t="str">
        <f t="shared" si="77"/>
        <v/>
      </c>
      <c r="AH490" t="str">
        <f t="shared" si="78"/>
        <v/>
      </c>
      <c r="AI490" t="str">
        <f t="shared" si="79"/>
        <v>Sunday</v>
      </c>
      <c r="AJ490" t="str">
        <f>LEFT(Table1[[#This Row],[membership_type]],2)&amp;TEXT(Table1[[#This Row],[age]],"00")&amp;"-"&amp;TEXT(ROW(),"000")</f>
        <v>St47-490</v>
      </c>
      <c r="AK490" t="str">
        <f>LEFT(Table1[[#This Row],[membership_type]],1)&amp;TEXT(MATCH(Table1[[#This Row],[membership_type]],Table1[membership_type],0),"00")</f>
        <v>S02</v>
      </c>
      <c r="AL490" t="str">
        <f>LEFT(Table1[[#This Row],[discount_type]],1)&amp;TEXT(ROUND(Table1[[#This Row],[discount_rate]]*100,0),"00")</f>
        <v>S15</v>
      </c>
      <c r="AM490" t="str" cm="1">
        <f t="array" ref="AM490">TEXT(SUMPRODUCT(CODE(MID(Table1[[#This Row],[home_gym_location]],_xlfn.SEQUENCE(LEN(Table1[[#This Row],[home_gym_location]])),1))),"00000")</f>
        <v>01245</v>
      </c>
      <c r="AN49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90" t="str">
        <f>LEFT(_xlfn.TEXTBEFORE(Table1[[#This Row],[Location Identifier]],"-"),3) &amp; "-" &amp; _xlfn.TEXTAFTER(Table1[[#This Row],[Location Identifier]],"-")</f>
        <v>SAC-007</v>
      </c>
      <c r="AP490" s="9">
        <f t="shared" ca="1" si="70"/>
        <v>45869</v>
      </c>
    </row>
    <row r="491" spans="1:42" x14ac:dyDescent="0.25">
      <c r="A491">
        <v>14</v>
      </c>
      <c r="B491" t="s">
        <v>33</v>
      </c>
      <c r="C491">
        <v>3</v>
      </c>
      <c r="D491" t="s">
        <v>60</v>
      </c>
      <c r="E491" t="b">
        <v>0</v>
      </c>
      <c r="F491" s="1">
        <v>0.42430555555555555</v>
      </c>
      <c r="G491" s="1">
        <v>0.49722222222222223</v>
      </c>
      <c r="H491">
        <v>105</v>
      </c>
      <c r="I491" t="b">
        <v>1</v>
      </c>
      <c r="J491" t="b">
        <v>0</v>
      </c>
      <c r="K491" t="b">
        <v>1</v>
      </c>
      <c r="L491" t="s">
        <v>28</v>
      </c>
      <c r="M491">
        <v>30</v>
      </c>
      <c r="N491" t="s">
        <v>29</v>
      </c>
      <c r="O491">
        <v>30</v>
      </c>
      <c r="P491" t="s">
        <v>36</v>
      </c>
      <c r="Q491">
        <v>0</v>
      </c>
      <c r="R491">
        <v>30</v>
      </c>
      <c r="S491" t="s">
        <v>37</v>
      </c>
      <c r="T491" t="s">
        <v>59</v>
      </c>
      <c r="U491">
        <v>37.774900000000002</v>
      </c>
      <c r="V491">
        <v>-122.4194</v>
      </c>
      <c r="W491" s="2">
        <v>44882</v>
      </c>
      <c r="X491">
        <v>0</v>
      </c>
      <c r="Y491" t="b">
        <v>0</v>
      </c>
      <c r="Z491" s="2">
        <v>45807</v>
      </c>
      <c r="AA491" t="str">
        <f t="shared" si="71"/>
        <v>10–19</v>
      </c>
      <c r="AB491" t="str">
        <f t="shared" si="72"/>
        <v>Under 16</v>
      </c>
      <c r="AC491" t="str">
        <f t="shared" si="73"/>
        <v/>
      </c>
      <c r="AD491" t="str">
        <f t="shared" si="74"/>
        <v/>
      </c>
      <c r="AE491" t="str">
        <f t="shared" si="75"/>
        <v>Wednesday</v>
      </c>
      <c r="AF491" t="str">
        <f t="shared" si="76"/>
        <v/>
      </c>
      <c r="AG491" t="str">
        <f t="shared" si="77"/>
        <v/>
      </c>
      <c r="AH491" t="str">
        <f t="shared" si="78"/>
        <v>Saturday</v>
      </c>
      <c r="AI491" t="str">
        <f t="shared" si="79"/>
        <v>Sunday</v>
      </c>
      <c r="AJ491" t="str">
        <f>LEFT(Table1[[#This Row],[membership_type]],2)&amp;TEXT(Table1[[#This Row],[age]],"00")&amp;"-"&amp;TEXT(ROW(),"000")</f>
        <v>St14-491</v>
      </c>
      <c r="AK491" t="str">
        <f>LEFT(Table1[[#This Row],[membership_type]],1)&amp;TEXT(MATCH(Table1[[#This Row],[membership_type]],Table1[membership_type],0),"00")</f>
        <v>S02</v>
      </c>
      <c r="AL491" t="str">
        <f>LEFT(Table1[[#This Row],[discount_type]],1)&amp;TEXT(ROUND(Table1[[#This Row],[discount_rate]]*100,0),"00")</f>
        <v>N00</v>
      </c>
      <c r="AM491" t="str" cm="1">
        <f t="array" ref="AM491">TEXT(SUMPRODUCT(CODE(MID(Table1[[#This Row],[home_gym_location]],_xlfn.SEQUENCE(LEN(Table1[[#This Row],[home_gym_location]])),1))),"00000")</f>
        <v>01450</v>
      </c>
      <c r="AN49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91" t="str">
        <f>LEFT(_xlfn.TEXTBEFORE(Table1[[#This Row],[Location Identifier]],"-"),3) &amp; "-" &amp; _xlfn.TEXTAFTER(Table1[[#This Row],[Location Identifier]],"-")</f>
        <v>SAN-009</v>
      </c>
      <c r="AP491" s="9">
        <f t="shared" ca="1" si="70"/>
        <v>45869</v>
      </c>
    </row>
    <row r="492" spans="1:42" x14ac:dyDescent="0.25">
      <c r="A492">
        <v>22</v>
      </c>
      <c r="B492" t="s">
        <v>26</v>
      </c>
      <c r="C492">
        <v>3</v>
      </c>
      <c r="D492" t="s">
        <v>60</v>
      </c>
      <c r="E492" t="b">
        <v>1</v>
      </c>
      <c r="F492" s="1">
        <v>0.74791666666666667</v>
      </c>
      <c r="G492" s="1">
        <v>0.82361111111111107</v>
      </c>
      <c r="H492">
        <v>109</v>
      </c>
      <c r="I492" t="b">
        <v>0</v>
      </c>
      <c r="J492" t="b">
        <v>1</v>
      </c>
      <c r="K492" t="b">
        <v>0</v>
      </c>
      <c r="L492" t="s">
        <v>28</v>
      </c>
      <c r="M492">
        <v>50</v>
      </c>
      <c r="N492" t="s">
        <v>29</v>
      </c>
      <c r="O492">
        <v>50</v>
      </c>
      <c r="P492" t="s">
        <v>30</v>
      </c>
      <c r="Q492">
        <v>0.05</v>
      </c>
      <c r="R492">
        <v>47.5</v>
      </c>
      <c r="S492" t="s">
        <v>31</v>
      </c>
      <c r="T492" t="s">
        <v>48</v>
      </c>
      <c r="U492">
        <v>38.581600000000002</v>
      </c>
      <c r="V492">
        <v>-121.4944</v>
      </c>
      <c r="W492" s="2">
        <v>45345</v>
      </c>
      <c r="X492">
        <v>1</v>
      </c>
      <c r="Y492" t="b">
        <v>1</v>
      </c>
      <c r="Z492" s="2">
        <v>45833</v>
      </c>
      <c r="AA492" t="str">
        <f t="shared" si="71"/>
        <v>20–29</v>
      </c>
      <c r="AB492" t="str">
        <f t="shared" si="72"/>
        <v>20–29</v>
      </c>
      <c r="AC492" t="str">
        <f t="shared" si="73"/>
        <v/>
      </c>
      <c r="AD492" t="str">
        <f t="shared" si="74"/>
        <v/>
      </c>
      <c r="AE492" t="str">
        <f t="shared" si="75"/>
        <v>Wednesday</v>
      </c>
      <c r="AF492" t="str">
        <f t="shared" si="76"/>
        <v/>
      </c>
      <c r="AG492" t="str">
        <f t="shared" si="77"/>
        <v/>
      </c>
      <c r="AH492" t="str">
        <f t="shared" si="78"/>
        <v>Saturday</v>
      </c>
      <c r="AI492" t="str">
        <f t="shared" si="79"/>
        <v>Sunday</v>
      </c>
      <c r="AJ492" t="str">
        <f>LEFT(Table1[[#This Row],[membership_type]],2)&amp;TEXT(Table1[[#This Row],[age]],"00")&amp;"-"&amp;TEXT(ROW(),"000")</f>
        <v>Pr22-492</v>
      </c>
      <c r="AK492" t="str">
        <f>LEFT(Table1[[#This Row],[membership_type]],1)&amp;TEXT(MATCH(Table1[[#This Row],[membership_type]],Table1[membership_type],0),"00")</f>
        <v>P01</v>
      </c>
      <c r="AL492" t="str">
        <f>LEFT(Table1[[#This Row],[discount_type]],1)&amp;TEXT(ROUND(Table1[[#This Row],[discount_rate]]*100,0),"00")</f>
        <v>P05</v>
      </c>
      <c r="AM492" t="str" cm="1">
        <f t="array" ref="AM492">TEXT(SUMPRODUCT(CODE(MID(Table1[[#This Row],[home_gym_location]],_xlfn.SEQUENCE(LEN(Table1[[#This Row],[home_gym_location]])),1))),"00000")</f>
        <v>01245</v>
      </c>
      <c r="AN49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92" t="str">
        <f>LEFT(_xlfn.TEXTBEFORE(Table1[[#This Row],[Location Identifier]],"-"),3) &amp; "-" &amp; _xlfn.TEXTAFTER(Table1[[#This Row],[Location Identifier]],"-")</f>
        <v>SAC-007</v>
      </c>
      <c r="AP492" s="9">
        <f t="shared" ca="1" si="70"/>
        <v>45869</v>
      </c>
    </row>
    <row r="493" spans="1:42" x14ac:dyDescent="0.25">
      <c r="A493">
        <v>33</v>
      </c>
      <c r="B493" t="s">
        <v>26</v>
      </c>
      <c r="C493">
        <v>4</v>
      </c>
      <c r="D493" t="s">
        <v>151</v>
      </c>
      <c r="E493" t="b">
        <v>0</v>
      </c>
      <c r="F493" s="1">
        <v>0.79722222222222228</v>
      </c>
      <c r="G493" s="1">
        <v>0.92083333333333328</v>
      </c>
      <c r="H493">
        <v>178</v>
      </c>
      <c r="I493" t="b">
        <v>1</v>
      </c>
      <c r="J493" t="b">
        <v>0</v>
      </c>
      <c r="K493" t="b">
        <v>1</v>
      </c>
      <c r="L493" t="s">
        <v>47</v>
      </c>
      <c r="M493">
        <v>50</v>
      </c>
      <c r="N493" t="s">
        <v>29</v>
      </c>
      <c r="O493">
        <v>50</v>
      </c>
      <c r="P493" t="s">
        <v>30</v>
      </c>
      <c r="Q493">
        <v>0.05</v>
      </c>
      <c r="R493">
        <v>47.5</v>
      </c>
      <c r="S493" t="s">
        <v>31</v>
      </c>
      <c r="T493" t="s">
        <v>59</v>
      </c>
      <c r="U493">
        <v>37.774900000000002</v>
      </c>
      <c r="V493">
        <v>-122.4194</v>
      </c>
      <c r="W493" s="2">
        <v>45170</v>
      </c>
      <c r="X493">
        <v>0</v>
      </c>
      <c r="Y493" t="b">
        <v>1</v>
      </c>
      <c r="Z493" s="2">
        <v>45823</v>
      </c>
      <c r="AA493" t="str">
        <f t="shared" si="71"/>
        <v>30–39</v>
      </c>
      <c r="AB493" t="str">
        <f t="shared" si="72"/>
        <v>30–39</v>
      </c>
      <c r="AC493" t="str">
        <f t="shared" si="73"/>
        <v/>
      </c>
      <c r="AD493" t="str">
        <f t="shared" si="74"/>
        <v>Tuesday</v>
      </c>
      <c r="AE493" t="str">
        <f t="shared" si="75"/>
        <v>Wednesday</v>
      </c>
      <c r="AF493" t="str">
        <f t="shared" si="76"/>
        <v>Thursday</v>
      </c>
      <c r="AG493" t="str">
        <f t="shared" si="77"/>
        <v>Friday</v>
      </c>
      <c r="AH493" t="str">
        <f t="shared" si="78"/>
        <v/>
      </c>
      <c r="AI493" t="str">
        <f t="shared" si="79"/>
        <v/>
      </c>
      <c r="AJ493" t="str">
        <f>LEFT(Table1[[#This Row],[membership_type]],2)&amp;TEXT(Table1[[#This Row],[age]],"00")&amp;"-"&amp;TEXT(ROW(),"000")</f>
        <v>Pr33-493</v>
      </c>
      <c r="AK493" t="str">
        <f>LEFT(Table1[[#This Row],[membership_type]],1)&amp;TEXT(MATCH(Table1[[#This Row],[membership_type]],Table1[membership_type],0),"00")</f>
        <v>P01</v>
      </c>
      <c r="AL493" t="str">
        <f>LEFT(Table1[[#This Row],[discount_type]],1)&amp;TEXT(ROUND(Table1[[#This Row],[discount_rate]]*100,0),"00")</f>
        <v>P05</v>
      </c>
      <c r="AM493" t="str" cm="1">
        <f t="array" ref="AM493">TEXT(SUMPRODUCT(CODE(MID(Table1[[#This Row],[home_gym_location]],_xlfn.SEQUENCE(LEN(Table1[[#This Row],[home_gym_location]])),1))),"00000")</f>
        <v>01450</v>
      </c>
      <c r="AN49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93" t="str">
        <f>LEFT(_xlfn.TEXTBEFORE(Table1[[#This Row],[Location Identifier]],"-"),3) &amp; "-" &amp; _xlfn.TEXTAFTER(Table1[[#This Row],[Location Identifier]],"-")</f>
        <v>SAN-009</v>
      </c>
      <c r="AP493" s="9">
        <f t="shared" ca="1" si="70"/>
        <v>45869</v>
      </c>
    </row>
    <row r="494" spans="1:42" x14ac:dyDescent="0.25">
      <c r="A494">
        <v>48</v>
      </c>
      <c r="B494" t="s">
        <v>26</v>
      </c>
      <c r="C494">
        <v>3</v>
      </c>
      <c r="D494" t="s">
        <v>121</v>
      </c>
      <c r="E494" t="b">
        <v>0</v>
      </c>
      <c r="F494" s="1">
        <v>0.60347222222222219</v>
      </c>
      <c r="G494" s="1">
        <v>0.63194444444444442</v>
      </c>
      <c r="H494">
        <v>41</v>
      </c>
      <c r="I494" t="b">
        <v>0</v>
      </c>
      <c r="J494" t="b">
        <v>1</v>
      </c>
      <c r="K494" t="b">
        <v>0</v>
      </c>
      <c r="L494" t="s">
        <v>35</v>
      </c>
      <c r="M494">
        <v>50</v>
      </c>
      <c r="N494" t="s">
        <v>64</v>
      </c>
      <c r="O494">
        <v>37.5</v>
      </c>
      <c r="P494" t="s">
        <v>74</v>
      </c>
      <c r="Q494">
        <v>0.15</v>
      </c>
      <c r="R494">
        <v>31.875</v>
      </c>
      <c r="S494" t="s">
        <v>31</v>
      </c>
      <c r="T494" t="s">
        <v>59</v>
      </c>
      <c r="U494">
        <v>37.774900000000002</v>
      </c>
      <c r="V494">
        <v>-122.4194</v>
      </c>
      <c r="W494" s="2">
        <v>45535</v>
      </c>
      <c r="X494">
        <v>3</v>
      </c>
      <c r="Y494" t="b">
        <v>1</v>
      </c>
      <c r="Z494" s="2">
        <v>45844</v>
      </c>
      <c r="AA494" t="str">
        <f t="shared" si="71"/>
        <v>40–49</v>
      </c>
      <c r="AB494" t="str">
        <f t="shared" si="72"/>
        <v>40–49</v>
      </c>
      <c r="AC494" t="str">
        <f t="shared" si="73"/>
        <v>Monday</v>
      </c>
      <c r="AD494" t="str">
        <f t="shared" si="74"/>
        <v>Tuesday</v>
      </c>
      <c r="AE494" t="str">
        <f t="shared" si="75"/>
        <v/>
      </c>
      <c r="AF494" t="str">
        <f t="shared" si="76"/>
        <v/>
      </c>
      <c r="AG494" t="str">
        <f t="shared" si="77"/>
        <v/>
      </c>
      <c r="AH494" t="str">
        <f t="shared" si="78"/>
        <v/>
      </c>
      <c r="AI494" t="str">
        <f t="shared" si="79"/>
        <v>Sunday</v>
      </c>
      <c r="AJ494" t="str">
        <f>LEFT(Table1[[#This Row],[membership_type]],2)&amp;TEXT(Table1[[#This Row],[age]],"00")&amp;"-"&amp;TEXT(ROW(),"000")</f>
        <v>Pr48-494</v>
      </c>
      <c r="AK494" t="str">
        <f>LEFT(Table1[[#This Row],[membership_type]],1)&amp;TEXT(MATCH(Table1[[#This Row],[membership_type]],Table1[membership_type],0),"00")</f>
        <v>P01</v>
      </c>
      <c r="AL494" t="str">
        <f>LEFT(Table1[[#This Row],[discount_type]],1)&amp;TEXT(ROUND(Table1[[#This Row],[discount_rate]]*100,0),"00")</f>
        <v>S15</v>
      </c>
      <c r="AM494" t="str" cm="1">
        <f t="array" ref="AM494">TEXT(SUMPRODUCT(CODE(MID(Table1[[#This Row],[home_gym_location]],_xlfn.SEQUENCE(LEN(Table1[[#This Row],[home_gym_location]])),1))),"00000")</f>
        <v>01450</v>
      </c>
      <c r="AN49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94" t="str">
        <f>LEFT(_xlfn.TEXTBEFORE(Table1[[#This Row],[Location Identifier]],"-"),3) &amp; "-" &amp; _xlfn.TEXTAFTER(Table1[[#This Row],[Location Identifier]],"-")</f>
        <v>SAN-009</v>
      </c>
      <c r="AP494" s="9">
        <f t="shared" ca="1" si="70"/>
        <v>45869</v>
      </c>
    </row>
    <row r="495" spans="1:42" x14ac:dyDescent="0.25">
      <c r="A495">
        <v>23</v>
      </c>
      <c r="B495" t="s">
        <v>42</v>
      </c>
      <c r="C495">
        <v>2</v>
      </c>
      <c r="D495" t="s">
        <v>103</v>
      </c>
      <c r="E495" t="b">
        <v>1</v>
      </c>
      <c r="F495" s="1">
        <v>0.54027777777777775</v>
      </c>
      <c r="G495" s="1">
        <v>0.65694444444444444</v>
      </c>
      <c r="H495">
        <v>168</v>
      </c>
      <c r="I495" t="b">
        <v>0</v>
      </c>
      <c r="J495" t="b">
        <v>0</v>
      </c>
      <c r="K495" t="b">
        <v>0</v>
      </c>
      <c r="L495" t="s">
        <v>62</v>
      </c>
      <c r="M495">
        <v>20</v>
      </c>
      <c r="N495" t="s">
        <v>29</v>
      </c>
      <c r="O495">
        <v>20</v>
      </c>
      <c r="P495" t="s">
        <v>36</v>
      </c>
      <c r="Q495">
        <v>0</v>
      </c>
      <c r="R495">
        <v>20</v>
      </c>
      <c r="S495" t="s">
        <v>44</v>
      </c>
      <c r="T495" t="s">
        <v>54</v>
      </c>
      <c r="U495">
        <v>32.715699999999998</v>
      </c>
      <c r="V495">
        <v>-117.1611</v>
      </c>
      <c r="W495" s="2">
        <v>45630</v>
      </c>
      <c r="X495">
        <v>0</v>
      </c>
      <c r="Y495" t="b">
        <v>0</v>
      </c>
      <c r="Z495" s="2">
        <v>45849</v>
      </c>
      <c r="AA495" t="str">
        <f t="shared" si="71"/>
        <v>20–29</v>
      </c>
      <c r="AB495" t="str">
        <f t="shared" si="72"/>
        <v>20–29</v>
      </c>
      <c r="AC495" t="str">
        <f t="shared" si="73"/>
        <v>Monday</v>
      </c>
      <c r="AD495" t="str">
        <f t="shared" si="74"/>
        <v/>
      </c>
      <c r="AE495" t="str">
        <f t="shared" si="75"/>
        <v/>
      </c>
      <c r="AF495" t="str">
        <f t="shared" si="76"/>
        <v/>
      </c>
      <c r="AG495" t="str">
        <f t="shared" si="77"/>
        <v/>
      </c>
      <c r="AH495" t="str">
        <f t="shared" si="78"/>
        <v/>
      </c>
      <c r="AI495" t="str">
        <f t="shared" si="79"/>
        <v>Sunday</v>
      </c>
      <c r="AJ495" t="str">
        <f>LEFT(Table1[[#This Row],[membership_type]],2)&amp;TEXT(Table1[[#This Row],[age]],"00")&amp;"-"&amp;TEXT(ROW(),"000")</f>
        <v>Ba23-495</v>
      </c>
      <c r="AK495" t="str">
        <f>LEFT(Table1[[#This Row],[membership_type]],1)&amp;TEXT(MATCH(Table1[[#This Row],[membership_type]],Table1[membership_type],0),"00")</f>
        <v>B04</v>
      </c>
      <c r="AL495" t="str">
        <f>LEFT(Table1[[#This Row],[discount_type]],1)&amp;TEXT(ROUND(Table1[[#This Row],[discount_rate]]*100,0),"00")</f>
        <v>N00</v>
      </c>
      <c r="AM495" t="str" cm="1">
        <f t="array" ref="AM495">TEXT(SUMPRODUCT(CODE(MID(Table1[[#This Row],[home_gym_location]],_xlfn.SEQUENCE(LEN(Table1[[#This Row],[home_gym_location]])),1))),"00000")</f>
        <v>01018</v>
      </c>
      <c r="AN49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495" t="str">
        <f>LEFT(_xlfn.TEXTBEFORE(Table1[[#This Row],[Location Identifier]],"-"),3) &amp; "-" &amp; _xlfn.TEXTAFTER(Table1[[#This Row],[Location Identifier]],"-")</f>
        <v>SAN-008</v>
      </c>
      <c r="AP495" s="9">
        <f t="shared" ca="1" si="70"/>
        <v>45869</v>
      </c>
    </row>
    <row r="496" spans="1:42" x14ac:dyDescent="0.25">
      <c r="A496">
        <v>44</v>
      </c>
      <c r="B496" t="s">
        <v>26</v>
      </c>
      <c r="C496">
        <v>5</v>
      </c>
      <c r="D496" t="s">
        <v>150</v>
      </c>
      <c r="E496" t="b">
        <v>1</v>
      </c>
      <c r="F496" s="1">
        <v>0.64375000000000004</v>
      </c>
      <c r="G496" s="1">
        <v>0.73541666666666672</v>
      </c>
      <c r="H496">
        <v>132</v>
      </c>
      <c r="I496" t="b">
        <v>0</v>
      </c>
      <c r="J496" t="b">
        <v>1</v>
      </c>
      <c r="K496" t="b">
        <v>1</v>
      </c>
      <c r="L496" t="s">
        <v>47</v>
      </c>
      <c r="M496">
        <v>50</v>
      </c>
      <c r="N496" t="s">
        <v>29</v>
      </c>
      <c r="O496">
        <v>50</v>
      </c>
      <c r="P496" t="s">
        <v>36</v>
      </c>
      <c r="Q496">
        <v>0</v>
      </c>
      <c r="R496">
        <v>50</v>
      </c>
      <c r="S496" t="s">
        <v>31</v>
      </c>
      <c r="T496" t="s">
        <v>50</v>
      </c>
      <c r="U496">
        <v>34.052199999999999</v>
      </c>
      <c r="V496">
        <v>-118.2437</v>
      </c>
      <c r="W496" s="2">
        <v>45337</v>
      </c>
      <c r="X496">
        <v>1</v>
      </c>
      <c r="Y496" t="b">
        <v>1</v>
      </c>
      <c r="Z496" s="2">
        <v>45833</v>
      </c>
      <c r="AA496" t="str">
        <f t="shared" si="71"/>
        <v>40–49</v>
      </c>
      <c r="AB496" t="str">
        <f t="shared" si="72"/>
        <v>40–49</v>
      </c>
      <c r="AC496" t="str">
        <f t="shared" si="73"/>
        <v/>
      </c>
      <c r="AD496" t="str">
        <f t="shared" si="74"/>
        <v>Tuesday</v>
      </c>
      <c r="AE496" t="str">
        <f t="shared" si="75"/>
        <v/>
      </c>
      <c r="AF496" t="str">
        <f t="shared" si="76"/>
        <v>Thursday</v>
      </c>
      <c r="AG496" t="str">
        <f t="shared" si="77"/>
        <v>Friday</v>
      </c>
      <c r="AH496" t="str">
        <f t="shared" si="78"/>
        <v>Saturday</v>
      </c>
      <c r="AI496" t="str">
        <f t="shared" si="79"/>
        <v>Sunday</v>
      </c>
      <c r="AJ496" t="str">
        <f>LEFT(Table1[[#This Row],[membership_type]],2)&amp;TEXT(Table1[[#This Row],[age]],"00")&amp;"-"&amp;TEXT(ROW(),"000")</f>
        <v>Pr44-496</v>
      </c>
      <c r="AK496" t="str">
        <f>LEFT(Table1[[#This Row],[membership_type]],1)&amp;TEXT(MATCH(Table1[[#This Row],[membership_type]],Table1[membership_type],0),"00")</f>
        <v>P01</v>
      </c>
      <c r="AL496" t="str">
        <f>LEFT(Table1[[#This Row],[discount_type]],1)&amp;TEXT(ROUND(Table1[[#This Row],[discount_rate]]*100,0),"00")</f>
        <v>N00</v>
      </c>
      <c r="AM496" t="str" cm="1">
        <f t="array" ref="AM496">TEXT(SUMPRODUCT(CODE(MID(Table1[[#This Row],[home_gym_location]],_xlfn.SEQUENCE(LEN(Table1[[#This Row],[home_gym_location]])),1))),"00000")</f>
        <v>01245</v>
      </c>
      <c r="AN49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496" t="str">
        <f>LEFT(_xlfn.TEXTBEFORE(Table1[[#This Row],[Location Identifier]],"-"),3) &amp; "-" &amp; _xlfn.TEXTAFTER(Table1[[#This Row],[Location Identifier]],"-")</f>
        <v>LOS-005</v>
      </c>
      <c r="AP496" s="9">
        <f t="shared" ca="1" si="70"/>
        <v>45869</v>
      </c>
    </row>
    <row r="497" spans="1:42" x14ac:dyDescent="0.25">
      <c r="A497">
        <v>18</v>
      </c>
      <c r="B497" t="s">
        <v>33</v>
      </c>
      <c r="C497">
        <v>4</v>
      </c>
      <c r="D497" t="s">
        <v>132</v>
      </c>
      <c r="E497" t="b">
        <v>0</v>
      </c>
      <c r="F497" s="1">
        <v>0.37430555555555556</v>
      </c>
      <c r="G497" s="1">
        <v>0.4465277777777778</v>
      </c>
      <c r="H497">
        <v>104</v>
      </c>
      <c r="I497" t="b">
        <v>0</v>
      </c>
      <c r="J497" t="b">
        <v>1</v>
      </c>
      <c r="K497" t="b">
        <v>0</v>
      </c>
      <c r="L497" t="s">
        <v>62</v>
      </c>
      <c r="M497">
        <v>30</v>
      </c>
      <c r="N497" t="s">
        <v>78</v>
      </c>
      <c r="O497">
        <v>27</v>
      </c>
      <c r="P497" t="s">
        <v>30</v>
      </c>
      <c r="Q497">
        <v>0.05</v>
      </c>
      <c r="R497">
        <v>25.65</v>
      </c>
      <c r="S497" t="s">
        <v>37</v>
      </c>
      <c r="T497" t="s">
        <v>41</v>
      </c>
      <c r="U497">
        <v>37.804400000000001</v>
      </c>
      <c r="V497">
        <v>-122.27119999999999</v>
      </c>
      <c r="W497" s="2">
        <v>45454</v>
      </c>
      <c r="X497">
        <v>4</v>
      </c>
      <c r="Y497" t="b">
        <v>0</v>
      </c>
      <c r="Z497" s="2">
        <v>45839</v>
      </c>
      <c r="AA497" t="str">
        <f t="shared" si="71"/>
        <v>10–19</v>
      </c>
      <c r="AB497" t="str">
        <f t="shared" si="72"/>
        <v>16–19</v>
      </c>
      <c r="AC497" t="str">
        <f t="shared" si="73"/>
        <v>Monday</v>
      </c>
      <c r="AD497" t="str">
        <f t="shared" si="74"/>
        <v/>
      </c>
      <c r="AE497" t="str">
        <f t="shared" si="75"/>
        <v>Wednesday</v>
      </c>
      <c r="AF497" t="str">
        <f t="shared" si="76"/>
        <v>Thursday</v>
      </c>
      <c r="AG497" t="str">
        <f t="shared" si="77"/>
        <v/>
      </c>
      <c r="AH497" t="str">
        <f t="shared" si="78"/>
        <v>Saturday</v>
      </c>
      <c r="AI497" t="str">
        <f t="shared" si="79"/>
        <v/>
      </c>
      <c r="AJ497" t="str">
        <f>LEFT(Table1[[#This Row],[membership_type]],2)&amp;TEXT(Table1[[#This Row],[age]],"00")&amp;"-"&amp;TEXT(ROW(),"000")</f>
        <v>St18-497</v>
      </c>
      <c r="AK497" t="str">
        <f>LEFT(Table1[[#This Row],[membership_type]],1)&amp;TEXT(MATCH(Table1[[#This Row],[membership_type]],Table1[membership_type],0),"00")</f>
        <v>S02</v>
      </c>
      <c r="AL497" t="str">
        <f>LEFT(Table1[[#This Row],[discount_type]],1)&amp;TEXT(ROUND(Table1[[#This Row],[discount_rate]]*100,0),"00")</f>
        <v>P05</v>
      </c>
      <c r="AM497" t="str" cm="1">
        <f t="array" ref="AM497">TEXT(SUMPRODUCT(CODE(MID(Table1[[#This Row],[home_gym_location]],_xlfn.SEQUENCE(LEN(Table1[[#This Row],[home_gym_location]])),1))),"00000")</f>
        <v>00906</v>
      </c>
      <c r="AN497" t="str">
        <f>UPPER(_xlfn.TEXTBEFORE(Table1[[#This Row],[home_gym_location]],","))&amp;"-"&amp;TEXT(MATCH(Table1[[#This Row],[home_gym_location]],_xlfn._xlws.SORT(_xlfn.UNIQUE(Table1[home_gym_location])),0),"000")</f>
        <v>OAKLAND-006</v>
      </c>
      <c r="AO497" t="str">
        <f>LEFT(_xlfn.TEXTBEFORE(Table1[[#This Row],[Location Identifier]],"-"),3) &amp; "-" &amp; _xlfn.TEXTAFTER(Table1[[#This Row],[Location Identifier]],"-")</f>
        <v>OAK-006</v>
      </c>
      <c r="AP497" s="9">
        <f t="shared" ca="1" si="70"/>
        <v>45869</v>
      </c>
    </row>
    <row r="498" spans="1:42" x14ac:dyDescent="0.25">
      <c r="A498">
        <v>39</v>
      </c>
      <c r="B498" t="s">
        <v>51</v>
      </c>
      <c r="C498">
        <v>2</v>
      </c>
      <c r="D498" t="s">
        <v>79</v>
      </c>
      <c r="E498" t="b">
        <v>0</v>
      </c>
      <c r="F498" s="1">
        <v>0.83611111111111114</v>
      </c>
      <c r="G498" s="1">
        <v>0.86319444444444449</v>
      </c>
      <c r="H498">
        <v>39</v>
      </c>
      <c r="I498" t="b">
        <v>0</v>
      </c>
      <c r="J498" t="b">
        <v>0</v>
      </c>
      <c r="K498" t="b">
        <v>0</v>
      </c>
      <c r="L498" t="s">
        <v>62</v>
      </c>
      <c r="M498">
        <v>70</v>
      </c>
      <c r="N498" t="s">
        <v>78</v>
      </c>
      <c r="O498">
        <v>63</v>
      </c>
      <c r="P498" t="s">
        <v>74</v>
      </c>
      <c r="Q498">
        <v>0.15</v>
      </c>
      <c r="R498">
        <v>53.55</v>
      </c>
      <c r="S498" t="s">
        <v>53</v>
      </c>
      <c r="T498" t="s">
        <v>59</v>
      </c>
      <c r="U498">
        <v>37.774900000000002</v>
      </c>
      <c r="V498">
        <v>-122.4194</v>
      </c>
      <c r="W498" s="2">
        <v>45209</v>
      </c>
      <c r="X498">
        <v>0</v>
      </c>
      <c r="Y498" t="b">
        <v>1</v>
      </c>
      <c r="Z498" s="2">
        <v>45825</v>
      </c>
      <c r="AA498" t="str">
        <f t="shared" si="71"/>
        <v>30–39</v>
      </c>
      <c r="AB498" t="str">
        <f t="shared" si="72"/>
        <v>30–39</v>
      </c>
      <c r="AC498" t="str">
        <f t="shared" si="73"/>
        <v/>
      </c>
      <c r="AD498" t="str">
        <f t="shared" si="74"/>
        <v/>
      </c>
      <c r="AE498" t="str">
        <f t="shared" si="75"/>
        <v/>
      </c>
      <c r="AF498" t="str">
        <f t="shared" si="76"/>
        <v/>
      </c>
      <c r="AG498" t="str">
        <f t="shared" si="77"/>
        <v>Friday</v>
      </c>
      <c r="AH498" t="str">
        <f t="shared" si="78"/>
        <v>Saturday</v>
      </c>
      <c r="AI498" t="str">
        <f t="shared" si="79"/>
        <v/>
      </c>
      <c r="AJ498" t="str">
        <f>LEFT(Table1[[#This Row],[membership_type]],2)&amp;TEXT(Table1[[#This Row],[age]],"00")&amp;"-"&amp;TEXT(ROW(),"000")</f>
        <v>El39-498</v>
      </c>
      <c r="AK498" t="str">
        <f>LEFT(Table1[[#This Row],[membership_type]],1)&amp;TEXT(MATCH(Table1[[#This Row],[membership_type]],Table1[membership_type],0),"00")</f>
        <v>E07</v>
      </c>
      <c r="AL498" t="str">
        <f>LEFT(Table1[[#This Row],[discount_type]],1)&amp;TEXT(ROUND(Table1[[#This Row],[discount_rate]]*100,0),"00")</f>
        <v>S15</v>
      </c>
      <c r="AM498" t="str" cm="1">
        <f t="array" ref="AM498">TEXT(SUMPRODUCT(CODE(MID(Table1[[#This Row],[home_gym_location]],_xlfn.SEQUENCE(LEN(Table1[[#This Row],[home_gym_location]])),1))),"00000")</f>
        <v>01450</v>
      </c>
      <c r="AN49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498" t="str">
        <f>LEFT(_xlfn.TEXTBEFORE(Table1[[#This Row],[Location Identifier]],"-"),3) &amp; "-" &amp; _xlfn.TEXTAFTER(Table1[[#This Row],[Location Identifier]],"-")</f>
        <v>SAN-009</v>
      </c>
      <c r="AP498" s="9">
        <f t="shared" ca="1" si="70"/>
        <v>45869</v>
      </c>
    </row>
    <row r="499" spans="1:42" x14ac:dyDescent="0.25">
      <c r="A499">
        <v>27</v>
      </c>
      <c r="B499" t="s">
        <v>26</v>
      </c>
      <c r="C499">
        <v>3</v>
      </c>
      <c r="D499" t="s">
        <v>155</v>
      </c>
      <c r="E499" t="b">
        <v>1</v>
      </c>
      <c r="F499" s="1">
        <v>0.42083333333333334</v>
      </c>
      <c r="G499" s="1">
        <v>0.48472222222222222</v>
      </c>
      <c r="H499">
        <v>92</v>
      </c>
      <c r="I499" t="b">
        <v>1</v>
      </c>
      <c r="J499" t="b">
        <v>0</v>
      </c>
      <c r="K499" t="b">
        <v>0</v>
      </c>
      <c r="L499" t="s">
        <v>35</v>
      </c>
      <c r="M499">
        <v>50</v>
      </c>
      <c r="N499" t="s">
        <v>29</v>
      </c>
      <c r="O499">
        <v>50</v>
      </c>
      <c r="P499" t="s">
        <v>74</v>
      </c>
      <c r="Q499">
        <v>0.15</v>
      </c>
      <c r="R499">
        <v>42.5</v>
      </c>
      <c r="S499" t="s">
        <v>31</v>
      </c>
      <c r="T499" t="s">
        <v>48</v>
      </c>
      <c r="U499">
        <v>38.581600000000002</v>
      </c>
      <c r="V499">
        <v>-121.4944</v>
      </c>
      <c r="W499" s="2">
        <v>45748</v>
      </c>
      <c r="X499">
        <v>0</v>
      </c>
      <c r="Y499" t="b">
        <v>1</v>
      </c>
      <c r="Z499" s="2">
        <v>45856</v>
      </c>
      <c r="AA499" t="str">
        <f t="shared" si="71"/>
        <v>20–29</v>
      </c>
      <c r="AB499" t="str">
        <f t="shared" si="72"/>
        <v>20–29</v>
      </c>
      <c r="AC499" t="str">
        <f t="shared" si="73"/>
        <v>Monday</v>
      </c>
      <c r="AD499" t="str">
        <f t="shared" si="74"/>
        <v/>
      </c>
      <c r="AE499" t="str">
        <f t="shared" si="75"/>
        <v>Wednesday</v>
      </c>
      <c r="AF499" t="str">
        <f t="shared" si="76"/>
        <v>Thursday</v>
      </c>
      <c r="AG499" t="str">
        <f t="shared" si="77"/>
        <v/>
      </c>
      <c r="AH499" t="str">
        <f t="shared" si="78"/>
        <v/>
      </c>
      <c r="AI499" t="str">
        <f t="shared" si="79"/>
        <v/>
      </c>
      <c r="AJ499" t="str">
        <f>LEFT(Table1[[#This Row],[membership_type]],2)&amp;TEXT(Table1[[#This Row],[age]],"00")&amp;"-"&amp;TEXT(ROW(),"000")</f>
        <v>Pr27-499</v>
      </c>
      <c r="AK499" t="str">
        <f>LEFT(Table1[[#This Row],[membership_type]],1)&amp;TEXT(MATCH(Table1[[#This Row],[membership_type]],Table1[membership_type],0),"00")</f>
        <v>P01</v>
      </c>
      <c r="AL499" t="str">
        <f>LEFT(Table1[[#This Row],[discount_type]],1)&amp;TEXT(ROUND(Table1[[#This Row],[discount_rate]]*100,0),"00")</f>
        <v>S15</v>
      </c>
      <c r="AM499" t="str" cm="1">
        <f t="array" ref="AM499">TEXT(SUMPRODUCT(CODE(MID(Table1[[#This Row],[home_gym_location]],_xlfn.SEQUENCE(LEN(Table1[[#This Row],[home_gym_location]])),1))),"00000")</f>
        <v>01245</v>
      </c>
      <c r="AN49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499" t="str">
        <f>LEFT(_xlfn.TEXTBEFORE(Table1[[#This Row],[Location Identifier]],"-"),3) &amp; "-" &amp; _xlfn.TEXTAFTER(Table1[[#This Row],[Location Identifier]],"-")</f>
        <v>SAC-007</v>
      </c>
      <c r="AP499" s="9">
        <f t="shared" ca="1" si="70"/>
        <v>45869</v>
      </c>
    </row>
    <row r="500" spans="1:42" x14ac:dyDescent="0.25">
      <c r="A500">
        <v>36</v>
      </c>
      <c r="B500" t="s">
        <v>33</v>
      </c>
      <c r="C500">
        <v>1</v>
      </c>
      <c r="D500" t="s">
        <v>63</v>
      </c>
      <c r="E500" t="b">
        <v>0</v>
      </c>
      <c r="F500" s="1">
        <v>0.83333333333333337</v>
      </c>
      <c r="G500" s="1">
        <v>0.90902777777777777</v>
      </c>
      <c r="H500">
        <v>109</v>
      </c>
      <c r="I500" t="b">
        <v>0</v>
      </c>
      <c r="J500" t="b">
        <v>1</v>
      </c>
      <c r="K500" t="b">
        <v>1</v>
      </c>
      <c r="L500" t="s">
        <v>28</v>
      </c>
      <c r="M500">
        <v>30</v>
      </c>
      <c r="N500" t="s">
        <v>29</v>
      </c>
      <c r="O500">
        <v>30</v>
      </c>
      <c r="P500" t="s">
        <v>40</v>
      </c>
      <c r="Q500">
        <v>0.1</v>
      </c>
      <c r="R500">
        <v>27</v>
      </c>
      <c r="S500" t="s">
        <v>37</v>
      </c>
      <c r="T500" t="s">
        <v>41</v>
      </c>
      <c r="U500">
        <v>37.804400000000001</v>
      </c>
      <c r="V500">
        <v>-122.27119999999999</v>
      </c>
      <c r="W500" s="2">
        <v>44793</v>
      </c>
      <c r="X500">
        <v>1</v>
      </c>
      <c r="Y500" t="b">
        <v>0</v>
      </c>
      <c r="Z500" s="2">
        <v>45802</v>
      </c>
      <c r="AA500" t="str">
        <f t="shared" si="71"/>
        <v>30–39</v>
      </c>
      <c r="AB500" t="str">
        <f t="shared" si="72"/>
        <v>30–39</v>
      </c>
      <c r="AC500" t="str">
        <f t="shared" si="73"/>
        <v/>
      </c>
      <c r="AD500" t="str">
        <f t="shared" si="74"/>
        <v/>
      </c>
      <c r="AE500" t="str">
        <f t="shared" si="75"/>
        <v>Wednesday</v>
      </c>
      <c r="AF500" t="str">
        <f t="shared" si="76"/>
        <v/>
      </c>
      <c r="AG500" t="str">
        <f t="shared" si="77"/>
        <v/>
      </c>
      <c r="AH500" t="str">
        <f t="shared" si="78"/>
        <v/>
      </c>
      <c r="AI500" t="str">
        <f t="shared" si="79"/>
        <v/>
      </c>
      <c r="AJ500" t="str">
        <f>LEFT(Table1[[#This Row],[membership_type]],2)&amp;TEXT(Table1[[#This Row],[age]],"00")&amp;"-"&amp;TEXT(ROW(),"000")</f>
        <v>St36-500</v>
      </c>
      <c r="AK500" t="str">
        <f>LEFT(Table1[[#This Row],[membership_type]],1)&amp;TEXT(MATCH(Table1[[#This Row],[membership_type]],Table1[membership_type],0),"00")</f>
        <v>S02</v>
      </c>
      <c r="AL500" t="str">
        <f>LEFT(Table1[[#This Row],[discount_type]],1)&amp;TEXT(ROUND(Table1[[#This Row],[discount_rate]]*100,0),"00")</f>
        <v>L10</v>
      </c>
      <c r="AM500" t="str" cm="1">
        <f t="array" ref="AM500">TEXT(SUMPRODUCT(CODE(MID(Table1[[#This Row],[home_gym_location]],_xlfn.SEQUENCE(LEN(Table1[[#This Row],[home_gym_location]])),1))),"00000")</f>
        <v>00906</v>
      </c>
      <c r="AN500" t="str">
        <f>UPPER(_xlfn.TEXTBEFORE(Table1[[#This Row],[home_gym_location]],","))&amp;"-"&amp;TEXT(MATCH(Table1[[#This Row],[home_gym_location]],_xlfn._xlws.SORT(_xlfn.UNIQUE(Table1[home_gym_location])),0),"000")</f>
        <v>OAKLAND-006</v>
      </c>
      <c r="AO500" t="str">
        <f>LEFT(_xlfn.TEXTBEFORE(Table1[[#This Row],[Location Identifier]],"-"),3) &amp; "-" &amp; _xlfn.TEXTAFTER(Table1[[#This Row],[Location Identifier]],"-")</f>
        <v>OAK-006</v>
      </c>
      <c r="AP500" s="9">
        <f t="shared" ca="1" si="70"/>
        <v>45869</v>
      </c>
    </row>
    <row r="501" spans="1:42" x14ac:dyDescent="0.25">
      <c r="A501">
        <v>35</v>
      </c>
      <c r="B501" t="s">
        <v>26</v>
      </c>
      <c r="C501">
        <v>1</v>
      </c>
      <c r="D501" t="s">
        <v>63</v>
      </c>
      <c r="E501" t="b">
        <v>0</v>
      </c>
      <c r="F501" s="1">
        <v>0.35694444444444445</v>
      </c>
      <c r="G501" s="1">
        <v>0.39374999999999999</v>
      </c>
      <c r="H501">
        <v>53</v>
      </c>
      <c r="I501" t="b">
        <v>0</v>
      </c>
      <c r="J501" t="b">
        <v>1</v>
      </c>
      <c r="K501" t="b">
        <v>0</v>
      </c>
      <c r="L501" t="s">
        <v>28</v>
      </c>
      <c r="M501">
        <v>50</v>
      </c>
      <c r="N501" t="s">
        <v>78</v>
      </c>
      <c r="O501">
        <v>45</v>
      </c>
      <c r="P501" t="s">
        <v>74</v>
      </c>
      <c r="Q501">
        <v>0.15</v>
      </c>
      <c r="R501">
        <v>38.25</v>
      </c>
      <c r="S501" t="s">
        <v>31</v>
      </c>
      <c r="T501" t="s">
        <v>50</v>
      </c>
      <c r="U501">
        <v>34.052199999999999</v>
      </c>
      <c r="V501">
        <v>-118.2437</v>
      </c>
      <c r="W501" s="2">
        <v>44780</v>
      </c>
      <c r="X501">
        <v>4</v>
      </c>
      <c r="Y501" t="b">
        <v>1</v>
      </c>
      <c r="Z501" s="2">
        <v>45801</v>
      </c>
      <c r="AA501" t="str">
        <f t="shared" si="71"/>
        <v>30–39</v>
      </c>
      <c r="AB501" t="str">
        <f t="shared" si="72"/>
        <v>30–39</v>
      </c>
      <c r="AC501" t="str">
        <f t="shared" si="73"/>
        <v/>
      </c>
      <c r="AD501" t="str">
        <f t="shared" si="74"/>
        <v/>
      </c>
      <c r="AE501" t="str">
        <f t="shared" si="75"/>
        <v>Wednesday</v>
      </c>
      <c r="AF501" t="str">
        <f t="shared" si="76"/>
        <v/>
      </c>
      <c r="AG501" t="str">
        <f t="shared" si="77"/>
        <v/>
      </c>
      <c r="AH501" t="str">
        <f t="shared" si="78"/>
        <v/>
      </c>
      <c r="AI501" t="str">
        <f t="shared" si="79"/>
        <v/>
      </c>
      <c r="AJ501" t="str">
        <f>LEFT(Table1[[#This Row],[membership_type]],2)&amp;TEXT(Table1[[#This Row],[age]],"00")&amp;"-"&amp;TEXT(ROW(),"000")</f>
        <v>Pr35-501</v>
      </c>
      <c r="AK501" t="str">
        <f>LEFT(Table1[[#This Row],[membership_type]],1)&amp;TEXT(MATCH(Table1[[#This Row],[membership_type]],Table1[membership_type],0),"00")</f>
        <v>P01</v>
      </c>
      <c r="AL501" t="str">
        <f>LEFT(Table1[[#This Row],[discount_type]],1)&amp;TEXT(ROUND(Table1[[#This Row],[discount_rate]]*100,0),"00")</f>
        <v>S15</v>
      </c>
      <c r="AM501" t="str" cm="1">
        <f t="array" ref="AM501">TEXT(SUMPRODUCT(CODE(MID(Table1[[#This Row],[home_gym_location]],_xlfn.SEQUENCE(LEN(Table1[[#This Row],[home_gym_location]])),1))),"00000")</f>
        <v>01245</v>
      </c>
      <c r="AN50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01" t="str">
        <f>LEFT(_xlfn.TEXTBEFORE(Table1[[#This Row],[Location Identifier]],"-"),3) &amp; "-" &amp; _xlfn.TEXTAFTER(Table1[[#This Row],[Location Identifier]],"-")</f>
        <v>LOS-005</v>
      </c>
      <c r="AP501" s="9">
        <f t="shared" ca="1" si="70"/>
        <v>45869</v>
      </c>
    </row>
    <row r="502" spans="1:42" x14ac:dyDescent="0.25">
      <c r="A502">
        <v>41</v>
      </c>
      <c r="B502" t="s">
        <v>26</v>
      </c>
      <c r="C502">
        <v>2</v>
      </c>
      <c r="D502" t="s">
        <v>126</v>
      </c>
      <c r="E502" t="b">
        <v>1</v>
      </c>
      <c r="F502" s="1">
        <v>0.69652777777777775</v>
      </c>
      <c r="G502" s="1">
        <v>0.78194444444444444</v>
      </c>
      <c r="H502">
        <v>123</v>
      </c>
      <c r="I502" t="b">
        <v>1</v>
      </c>
      <c r="J502" t="b">
        <v>1</v>
      </c>
      <c r="K502" t="b">
        <v>1</v>
      </c>
      <c r="L502" t="s">
        <v>62</v>
      </c>
      <c r="M502">
        <v>50</v>
      </c>
      <c r="N502" t="s">
        <v>29</v>
      </c>
      <c r="O502">
        <v>50</v>
      </c>
      <c r="P502" t="s">
        <v>30</v>
      </c>
      <c r="Q502">
        <v>0.05</v>
      </c>
      <c r="R502">
        <v>47.5</v>
      </c>
      <c r="S502" t="s">
        <v>31</v>
      </c>
      <c r="T502" t="s">
        <v>59</v>
      </c>
      <c r="U502">
        <v>37.774900000000002</v>
      </c>
      <c r="V502">
        <v>-122.4194</v>
      </c>
      <c r="W502" s="2">
        <v>45087</v>
      </c>
      <c r="X502">
        <v>2</v>
      </c>
      <c r="Y502" t="b">
        <v>1</v>
      </c>
      <c r="Z502" s="2">
        <v>45819</v>
      </c>
      <c r="AA502" t="str">
        <f t="shared" si="71"/>
        <v>40–49</v>
      </c>
      <c r="AB502" t="str">
        <f t="shared" si="72"/>
        <v>40–49</v>
      </c>
      <c r="AC502" t="str">
        <f t="shared" si="73"/>
        <v/>
      </c>
      <c r="AD502" t="str">
        <f t="shared" si="74"/>
        <v>Tuesday</v>
      </c>
      <c r="AE502" t="str">
        <f t="shared" si="75"/>
        <v>Wednesday</v>
      </c>
      <c r="AF502" t="str">
        <f t="shared" si="76"/>
        <v/>
      </c>
      <c r="AG502" t="str">
        <f t="shared" si="77"/>
        <v/>
      </c>
      <c r="AH502" t="str">
        <f t="shared" si="78"/>
        <v/>
      </c>
      <c r="AI502" t="str">
        <f t="shared" si="79"/>
        <v/>
      </c>
      <c r="AJ502" t="str">
        <f>LEFT(Table1[[#This Row],[membership_type]],2)&amp;TEXT(Table1[[#This Row],[age]],"00")&amp;"-"&amp;TEXT(ROW(),"000")</f>
        <v>Pr41-502</v>
      </c>
      <c r="AK502" t="str">
        <f>LEFT(Table1[[#This Row],[membership_type]],1)&amp;TEXT(MATCH(Table1[[#This Row],[membership_type]],Table1[membership_type],0),"00")</f>
        <v>P01</v>
      </c>
      <c r="AL502" t="str">
        <f>LEFT(Table1[[#This Row],[discount_type]],1)&amp;TEXT(ROUND(Table1[[#This Row],[discount_rate]]*100,0),"00")</f>
        <v>P05</v>
      </c>
      <c r="AM502" t="str" cm="1">
        <f t="array" ref="AM502">TEXT(SUMPRODUCT(CODE(MID(Table1[[#This Row],[home_gym_location]],_xlfn.SEQUENCE(LEN(Table1[[#This Row],[home_gym_location]])),1))),"00000")</f>
        <v>01450</v>
      </c>
      <c r="AN50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02" t="str">
        <f>LEFT(_xlfn.TEXTBEFORE(Table1[[#This Row],[Location Identifier]],"-"),3) &amp; "-" &amp; _xlfn.TEXTAFTER(Table1[[#This Row],[Location Identifier]],"-")</f>
        <v>SAN-009</v>
      </c>
      <c r="AP502" s="9">
        <f t="shared" ca="1" si="70"/>
        <v>45869</v>
      </c>
    </row>
    <row r="503" spans="1:42" x14ac:dyDescent="0.25">
      <c r="A503">
        <v>29</v>
      </c>
      <c r="B503" t="s">
        <v>42</v>
      </c>
      <c r="C503">
        <v>2</v>
      </c>
      <c r="D503" t="s">
        <v>79</v>
      </c>
      <c r="E503" t="b">
        <v>1</v>
      </c>
      <c r="F503" s="1">
        <v>0.61458333333333337</v>
      </c>
      <c r="G503" s="1">
        <v>0.7368055555555556</v>
      </c>
      <c r="H503">
        <v>176</v>
      </c>
      <c r="I503" t="b">
        <v>0</v>
      </c>
      <c r="J503" t="b">
        <v>1</v>
      </c>
      <c r="K503" t="b">
        <v>1</v>
      </c>
      <c r="L503" t="s">
        <v>28</v>
      </c>
      <c r="M503">
        <v>20</v>
      </c>
      <c r="N503" t="s">
        <v>29</v>
      </c>
      <c r="O503">
        <v>20</v>
      </c>
      <c r="P503" t="s">
        <v>36</v>
      </c>
      <c r="Q503">
        <v>0</v>
      </c>
      <c r="R503">
        <v>20</v>
      </c>
      <c r="S503" t="s">
        <v>44</v>
      </c>
      <c r="T503" t="s">
        <v>32</v>
      </c>
      <c r="U503">
        <v>37.338200000000001</v>
      </c>
      <c r="V503">
        <v>-121.88630000000001</v>
      </c>
      <c r="W503" s="2">
        <v>45260</v>
      </c>
      <c r="X503">
        <v>2</v>
      </c>
      <c r="Y503" t="b">
        <v>1</v>
      </c>
      <c r="Z503" s="2">
        <v>45828</v>
      </c>
      <c r="AA503" t="str">
        <f t="shared" si="71"/>
        <v>20–29</v>
      </c>
      <c r="AB503" t="str">
        <f t="shared" si="72"/>
        <v>20–29</v>
      </c>
      <c r="AC503" t="str">
        <f t="shared" si="73"/>
        <v/>
      </c>
      <c r="AD503" t="str">
        <f t="shared" si="74"/>
        <v/>
      </c>
      <c r="AE503" t="str">
        <f t="shared" si="75"/>
        <v/>
      </c>
      <c r="AF503" t="str">
        <f t="shared" si="76"/>
        <v/>
      </c>
      <c r="AG503" t="str">
        <f t="shared" si="77"/>
        <v>Friday</v>
      </c>
      <c r="AH503" t="str">
        <f t="shared" si="78"/>
        <v>Saturday</v>
      </c>
      <c r="AI503" t="str">
        <f t="shared" si="79"/>
        <v/>
      </c>
      <c r="AJ503" t="str">
        <f>LEFT(Table1[[#This Row],[membership_type]],2)&amp;TEXT(Table1[[#This Row],[age]],"00")&amp;"-"&amp;TEXT(ROW(),"000")</f>
        <v>Ba29-503</v>
      </c>
      <c r="AK503" t="str">
        <f>LEFT(Table1[[#This Row],[membership_type]],1)&amp;TEXT(MATCH(Table1[[#This Row],[membership_type]],Table1[membership_type],0),"00")</f>
        <v>B04</v>
      </c>
      <c r="AL503" t="str">
        <f>LEFT(Table1[[#This Row],[discount_type]],1)&amp;TEXT(ROUND(Table1[[#This Row],[discount_rate]]*100,0),"00")</f>
        <v>N00</v>
      </c>
      <c r="AM503" t="str" cm="1">
        <f t="array" ref="AM503">TEXT(SUMPRODUCT(CODE(MID(Table1[[#This Row],[home_gym_location]],_xlfn.SEQUENCE(LEN(Table1[[#This Row],[home_gym_location]])),1))),"00000")</f>
        <v>00931</v>
      </c>
      <c r="AN50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03" t="str">
        <f>LEFT(_xlfn.TEXTBEFORE(Table1[[#This Row],[Location Identifier]],"-"),3) &amp; "-" &amp; _xlfn.TEXTAFTER(Table1[[#This Row],[Location Identifier]],"-")</f>
        <v>SAN-010</v>
      </c>
      <c r="AP503" s="9">
        <f t="shared" ca="1" si="70"/>
        <v>45869</v>
      </c>
    </row>
    <row r="504" spans="1:42" x14ac:dyDescent="0.25">
      <c r="A504">
        <v>48</v>
      </c>
      <c r="B504" t="s">
        <v>42</v>
      </c>
      <c r="C504">
        <v>3</v>
      </c>
      <c r="D504" t="s">
        <v>102</v>
      </c>
      <c r="E504" t="b">
        <v>1</v>
      </c>
      <c r="F504" s="1">
        <v>0.64583333333333337</v>
      </c>
      <c r="G504" s="1">
        <v>0.68472222222222223</v>
      </c>
      <c r="H504">
        <v>56</v>
      </c>
      <c r="I504" t="b">
        <v>1</v>
      </c>
      <c r="J504" t="b">
        <v>1</v>
      </c>
      <c r="K504" t="b">
        <v>0</v>
      </c>
      <c r="L504" t="s">
        <v>28</v>
      </c>
      <c r="M504">
        <v>20</v>
      </c>
      <c r="N504" t="s">
        <v>64</v>
      </c>
      <c r="O504">
        <v>15</v>
      </c>
      <c r="P504" t="s">
        <v>36</v>
      </c>
      <c r="Q504">
        <v>0</v>
      </c>
      <c r="R504">
        <v>15</v>
      </c>
      <c r="S504" t="s">
        <v>44</v>
      </c>
      <c r="T504" t="s">
        <v>65</v>
      </c>
      <c r="U504">
        <v>33.770099999999999</v>
      </c>
      <c r="V504">
        <v>-118.19370000000001</v>
      </c>
      <c r="W504" s="2">
        <v>45501</v>
      </c>
      <c r="X504">
        <v>6</v>
      </c>
      <c r="Y504" t="b">
        <v>0</v>
      </c>
      <c r="Z504" s="2">
        <v>45842</v>
      </c>
      <c r="AA504" t="str">
        <f t="shared" si="71"/>
        <v>40–49</v>
      </c>
      <c r="AB504" t="str">
        <f t="shared" si="72"/>
        <v>40–49</v>
      </c>
      <c r="AC504" t="str">
        <f t="shared" si="73"/>
        <v/>
      </c>
      <c r="AD504" t="str">
        <f t="shared" si="74"/>
        <v/>
      </c>
      <c r="AE504" t="str">
        <f t="shared" si="75"/>
        <v/>
      </c>
      <c r="AF504" t="str">
        <f t="shared" si="76"/>
        <v>Thursday</v>
      </c>
      <c r="AG504" t="str">
        <f t="shared" si="77"/>
        <v>Friday</v>
      </c>
      <c r="AH504" t="str">
        <f t="shared" si="78"/>
        <v>Saturday</v>
      </c>
      <c r="AI504" t="str">
        <f t="shared" si="79"/>
        <v/>
      </c>
      <c r="AJ504" t="str">
        <f>LEFT(Table1[[#This Row],[membership_type]],2)&amp;TEXT(Table1[[#This Row],[age]],"00")&amp;"-"&amp;TEXT(ROW(),"000")</f>
        <v>Ba48-504</v>
      </c>
      <c r="AK504" t="str">
        <f>LEFT(Table1[[#This Row],[membership_type]],1)&amp;TEXT(MATCH(Table1[[#This Row],[membership_type]],Table1[membership_type],0),"00")</f>
        <v>B04</v>
      </c>
      <c r="AL504" t="str">
        <f>LEFT(Table1[[#This Row],[discount_type]],1)&amp;TEXT(ROUND(Table1[[#This Row],[discount_rate]]*100,0),"00")</f>
        <v>N00</v>
      </c>
      <c r="AM504" t="str" cm="1">
        <f t="array" ref="AM504">TEXT(SUMPRODUCT(CODE(MID(Table1[[#This Row],[home_gym_location]],_xlfn.SEQUENCE(LEN(Table1[[#This Row],[home_gym_location]])),1))),"00000")</f>
        <v>01107</v>
      </c>
      <c r="AN50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04" t="str">
        <f>LEFT(_xlfn.TEXTBEFORE(Table1[[#This Row],[Location Identifier]],"-"),3) &amp; "-" &amp; _xlfn.TEXTAFTER(Table1[[#This Row],[Location Identifier]],"-")</f>
        <v>LON-004</v>
      </c>
      <c r="AP504" s="9">
        <f t="shared" ca="1" si="70"/>
        <v>45869</v>
      </c>
    </row>
    <row r="505" spans="1:42" x14ac:dyDescent="0.25">
      <c r="A505">
        <v>42</v>
      </c>
      <c r="B505" t="s">
        <v>42</v>
      </c>
      <c r="C505">
        <v>3</v>
      </c>
      <c r="D505" t="s">
        <v>117</v>
      </c>
      <c r="E505" t="b">
        <v>0</v>
      </c>
      <c r="F505" s="1">
        <v>0.56388888888888888</v>
      </c>
      <c r="G505" s="1">
        <v>0.62222222222222223</v>
      </c>
      <c r="H505">
        <v>84</v>
      </c>
      <c r="I505" t="b">
        <v>0</v>
      </c>
      <c r="J505" t="b">
        <v>1</v>
      </c>
      <c r="K505" t="b">
        <v>1</v>
      </c>
      <c r="L505" t="s">
        <v>62</v>
      </c>
      <c r="M505">
        <v>20</v>
      </c>
      <c r="N505" t="s">
        <v>29</v>
      </c>
      <c r="O505">
        <v>20</v>
      </c>
      <c r="P505" t="s">
        <v>40</v>
      </c>
      <c r="Q505">
        <v>0.1</v>
      </c>
      <c r="R505">
        <v>18</v>
      </c>
      <c r="S505" t="s">
        <v>44</v>
      </c>
      <c r="T505" t="s">
        <v>45</v>
      </c>
      <c r="U505">
        <v>33.836599999999997</v>
      </c>
      <c r="V505">
        <v>-117.9143</v>
      </c>
      <c r="W505" s="2">
        <v>44964</v>
      </c>
      <c r="X505">
        <v>6</v>
      </c>
      <c r="Y505" t="b">
        <v>1</v>
      </c>
      <c r="Z505" s="2">
        <v>45812</v>
      </c>
      <c r="AA505" t="str">
        <f t="shared" si="71"/>
        <v>40–49</v>
      </c>
      <c r="AB505" t="str">
        <f t="shared" si="72"/>
        <v>40–49</v>
      </c>
      <c r="AC505" t="str">
        <f t="shared" si="73"/>
        <v/>
      </c>
      <c r="AD505" t="str">
        <f t="shared" si="74"/>
        <v/>
      </c>
      <c r="AE505" t="str">
        <f t="shared" si="75"/>
        <v>Wednesday</v>
      </c>
      <c r="AF505" t="str">
        <f t="shared" si="76"/>
        <v>Thursday</v>
      </c>
      <c r="AG505" t="str">
        <f t="shared" si="77"/>
        <v/>
      </c>
      <c r="AH505" t="str">
        <f t="shared" si="78"/>
        <v/>
      </c>
      <c r="AI505" t="str">
        <f t="shared" si="79"/>
        <v>Sunday</v>
      </c>
      <c r="AJ505" t="str">
        <f>LEFT(Table1[[#This Row],[membership_type]],2)&amp;TEXT(Table1[[#This Row],[age]],"00")&amp;"-"&amp;TEXT(ROW(),"000")</f>
        <v>Ba42-505</v>
      </c>
      <c r="AK505" t="str">
        <f>LEFT(Table1[[#This Row],[membership_type]],1)&amp;TEXT(MATCH(Table1[[#This Row],[membership_type]],Table1[membership_type],0),"00")</f>
        <v>B04</v>
      </c>
      <c r="AL505" t="str">
        <f>LEFT(Table1[[#This Row],[discount_type]],1)&amp;TEXT(ROUND(Table1[[#This Row],[discount_rate]]*100,0),"00")</f>
        <v>L10</v>
      </c>
      <c r="AM505" t="str" cm="1">
        <f t="array" ref="AM505">TEXT(SUMPRODUCT(CODE(MID(Table1[[#This Row],[home_gym_location]],_xlfn.SEQUENCE(LEN(Table1[[#This Row],[home_gym_location]])),1))),"00000")</f>
        <v>00899</v>
      </c>
      <c r="AN505" t="str">
        <f>UPPER(_xlfn.TEXTBEFORE(Table1[[#This Row],[home_gym_location]],","))&amp;"-"&amp;TEXT(MATCH(Table1[[#This Row],[home_gym_location]],_xlfn._xlws.SORT(_xlfn.UNIQUE(Table1[home_gym_location])),0),"000")</f>
        <v>ANAHEIM-001</v>
      </c>
      <c r="AO505" t="str">
        <f>LEFT(_xlfn.TEXTBEFORE(Table1[[#This Row],[Location Identifier]],"-"),3) &amp; "-" &amp; _xlfn.TEXTAFTER(Table1[[#This Row],[Location Identifier]],"-")</f>
        <v>ANA-001</v>
      </c>
      <c r="AP505" s="9">
        <f t="shared" ca="1" si="70"/>
        <v>45869</v>
      </c>
    </row>
    <row r="506" spans="1:42" x14ac:dyDescent="0.25">
      <c r="A506">
        <v>39</v>
      </c>
      <c r="B506" t="s">
        <v>26</v>
      </c>
      <c r="C506">
        <v>3</v>
      </c>
      <c r="D506" t="s">
        <v>83</v>
      </c>
      <c r="E506" t="b">
        <v>1</v>
      </c>
      <c r="F506" s="1">
        <v>0.69236111111111109</v>
      </c>
      <c r="G506" s="1">
        <v>0.73958333333333337</v>
      </c>
      <c r="H506">
        <v>68</v>
      </c>
      <c r="I506" t="b">
        <v>0</v>
      </c>
      <c r="J506" t="b">
        <v>1</v>
      </c>
      <c r="K506" t="b">
        <v>0</v>
      </c>
      <c r="L506" t="s">
        <v>62</v>
      </c>
      <c r="M506">
        <v>50</v>
      </c>
      <c r="N506" t="s">
        <v>29</v>
      </c>
      <c r="O506">
        <v>50</v>
      </c>
      <c r="P506" t="s">
        <v>74</v>
      </c>
      <c r="Q506">
        <v>0.15</v>
      </c>
      <c r="R506">
        <v>42.5</v>
      </c>
      <c r="S506" t="s">
        <v>31</v>
      </c>
      <c r="T506" t="s">
        <v>59</v>
      </c>
      <c r="U506">
        <v>37.774900000000002</v>
      </c>
      <c r="V506">
        <v>-122.4194</v>
      </c>
      <c r="W506" s="2">
        <v>45101</v>
      </c>
      <c r="X506">
        <v>5</v>
      </c>
      <c r="Y506" t="b">
        <v>1</v>
      </c>
      <c r="Z506" s="2">
        <v>45819</v>
      </c>
      <c r="AA506" t="str">
        <f t="shared" si="71"/>
        <v>30–39</v>
      </c>
      <c r="AB506" t="str">
        <f t="shared" si="72"/>
        <v>30–39</v>
      </c>
      <c r="AC506" t="str">
        <f t="shared" si="73"/>
        <v/>
      </c>
      <c r="AD506" t="str">
        <f t="shared" si="74"/>
        <v>Tuesday</v>
      </c>
      <c r="AE506" t="str">
        <f t="shared" si="75"/>
        <v>Wednesday</v>
      </c>
      <c r="AF506" t="str">
        <f t="shared" si="76"/>
        <v/>
      </c>
      <c r="AG506" t="str">
        <f t="shared" si="77"/>
        <v/>
      </c>
      <c r="AH506" t="str">
        <f t="shared" si="78"/>
        <v>Saturday</v>
      </c>
      <c r="AI506" t="str">
        <f t="shared" si="79"/>
        <v/>
      </c>
      <c r="AJ506" t="str">
        <f>LEFT(Table1[[#This Row],[membership_type]],2)&amp;TEXT(Table1[[#This Row],[age]],"00")&amp;"-"&amp;TEXT(ROW(),"000")</f>
        <v>Pr39-506</v>
      </c>
      <c r="AK506" t="str">
        <f>LEFT(Table1[[#This Row],[membership_type]],1)&amp;TEXT(MATCH(Table1[[#This Row],[membership_type]],Table1[membership_type],0),"00")</f>
        <v>P01</v>
      </c>
      <c r="AL506" t="str">
        <f>LEFT(Table1[[#This Row],[discount_type]],1)&amp;TEXT(ROUND(Table1[[#This Row],[discount_rate]]*100,0),"00")</f>
        <v>S15</v>
      </c>
      <c r="AM506" t="str" cm="1">
        <f t="array" ref="AM506">TEXT(SUMPRODUCT(CODE(MID(Table1[[#This Row],[home_gym_location]],_xlfn.SEQUENCE(LEN(Table1[[#This Row],[home_gym_location]])),1))),"00000")</f>
        <v>01450</v>
      </c>
      <c r="AN50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06" t="str">
        <f>LEFT(_xlfn.TEXTBEFORE(Table1[[#This Row],[Location Identifier]],"-"),3) &amp; "-" &amp; _xlfn.TEXTAFTER(Table1[[#This Row],[Location Identifier]],"-")</f>
        <v>SAN-009</v>
      </c>
      <c r="AP506" s="9">
        <f t="shared" ca="1" si="70"/>
        <v>45869</v>
      </c>
    </row>
    <row r="507" spans="1:42" x14ac:dyDescent="0.25">
      <c r="A507">
        <v>30</v>
      </c>
      <c r="B507" t="s">
        <v>42</v>
      </c>
      <c r="C507">
        <v>4</v>
      </c>
      <c r="D507" t="s">
        <v>157</v>
      </c>
      <c r="E507" t="b">
        <v>1</v>
      </c>
      <c r="F507" s="1">
        <v>0.38958333333333334</v>
      </c>
      <c r="G507" s="1">
        <v>0.47986111111111113</v>
      </c>
      <c r="H507">
        <v>130</v>
      </c>
      <c r="I507" t="b">
        <v>1</v>
      </c>
      <c r="J507" t="b">
        <v>1</v>
      </c>
      <c r="K507" t="b">
        <v>1</v>
      </c>
      <c r="L507" t="s">
        <v>47</v>
      </c>
      <c r="M507">
        <v>20</v>
      </c>
      <c r="N507" t="s">
        <v>29</v>
      </c>
      <c r="O507">
        <v>20</v>
      </c>
      <c r="P507" t="s">
        <v>74</v>
      </c>
      <c r="Q507">
        <v>0.15</v>
      </c>
      <c r="R507">
        <v>17</v>
      </c>
      <c r="S507" t="s">
        <v>44</v>
      </c>
      <c r="T507" t="s">
        <v>50</v>
      </c>
      <c r="U507">
        <v>34.052199999999999</v>
      </c>
      <c r="V507">
        <v>-118.2437</v>
      </c>
      <c r="W507" s="2">
        <v>45657</v>
      </c>
      <c r="X507">
        <v>3</v>
      </c>
      <c r="Y507" t="b">
        <v>0</v>
      </c>
      <c r="Z507" s="2">
        <v>45851</v>
      </c>
      <c r="AA507" t="str">
        <f t="shared" si="71"/>
        <v>30–39</v>
      </c>
      <c r="AB507" t="str">
        <f t="shared" si="72"/>
        <v>30–39</v>
      </c>
      <c r="AC507" t="str">
        <f t="shared" si="73"/>
        <v>Monday</v>
      </c>
      <c r="AD507" t="str">
        <f t="shared" si="74"/>
        <v/>
      </c>
      <c r="AE507" t="str">
        <f t="shared" si="75"/>
        <v>Wednesday</v>
      </c>
      <c r="AF507" t="str">
        <f t="shared" si="76"/>
        <v/>
      </c>
      <c r="AG507" t="str">
        <f t="shared" si="77"/>
        <v>Friday</v>
      </c>
      <c r="AH507" t="str">
        <f t="shared" si="78"/>
        <v>Saturday</v>
      </c>
      <c r="AI507" t="str">
        <f t="shared" si="79"/>
        <v/>
      </c>
      <c r="AJ507" t="str">
        <f>LEFT(Table1[[#This Row],[membership_type]],2)&amp;TEXT(Table1[[#This Row],[age]],"00")&amp;"-"&amp;TEXT(ROW(),"000")</f>
        <v>Ba30-507</v>
      </c>
      <c r="AK507" t="str">
        <f>LEFT(Table1[[#This Row],[membership_type]],1)&amp;TEXT(MATCH(Table1[[#This Row],[membership_type]],Table1[membership_type],0),"00")</f>
        <v>B04</v>
      </c>
      <c r="AL507" t="str">
        <f>LEFT(Table1[[#This Row],[discount_type]],1)&amp;TEXT(ROUND(Table1[[#This Row],[discount_rate]]*100,0),"00")</f>
        <v>S15</v>
      </c>
      <c r="AM507" t="str" cm="1">
        <f t="array" ref="AM507">TEXT(SUMPRODUCT(CODE(MID(Table1[[#This Row],[home_gym_location]],_xlfn.SEQUENCE(LEN(Table1[[#This Row],[home_gym_location]])),1))),"00000")</f>
        <v>01245</v>
      </c>
      <c r="AN50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07" t="str">
        <f>LEFT(_xlfn.TEXTBEFORE(Table1[[#This Row],[Location Identifier]],"-"),3) &amp; "-" &amp; _xlfn.TEXTAFTER(Table1[[#This Row],[Location Identifier]],"-")</f>
        <v>LOS-005</v>
      </c>
      <c r="AP507" s="9">
        <f t="shared" ca="1" si="70"/>
        <v>45869</v>
      </c>
    </row>
    <row r="508" spans="1:42" x14ac:dyDescent="0.25">
      <c r="A508">
        <v>33</v>
      </c>
      <c r="B508" t="s">
        <v>26</v>
      </c>
      <c r="C508">
        <v>4</v>
      </c>
      <c r="D508" t="s">
        <v>107</v>
      </c>
      <c r="E508" t="b">
        <v>1</v>
      </c>
      <c r="F508" s="1">
        <v>0.38541666666666669</v>
      </c>
      <c r="G508" s="1">
        <v>0.41944444444444445</v>
      </c>
      <c r="H508">
        <v>49</v>
      </c>
      <c r="I508" t="b">
        <v>0</v>
      </c>
      <c r="J508" t="b">
        <v>0</v>
      </c>
      <c r="K508" t="b">
        <v>1</v>
      </c>
      <c r="L508" t="s">
        <v>62</v>
      </c>
      <c r="M508">
        <v>50</v>
      </c>
      <c r="N508" t="s">
        <v>64</v>
      </c>
      <c r="O508">
        <v>37.5</v>
      </c>
      <c r="P508" t="s">
        <v>36</v>
      </c>
      <c r="Q508">
        <v>0</v>
      </c>
      <c r="R508">
        <v>37.5</v>
      </c>
      <c r="S508" t="s">
        <v>31</v>
      </c>
      <c r="T508" t="s">
        <v>59</v>
      </c>
      <c r="U508">
        <v>37.774900000000002</v>
      </c>
      <c r="V508">
        <v>-122.4194</v>
      </c>
      <c r="W508" s="2">
        <v>44860</v>
      </c>
      <c r="X508">
        <v>0</v>
      </c>
      <c r="Y508" t="b">
        <v>1</v>
      </c>
      <c r="Z508" s="2">
        <v>45806</v>
      </c>
      <c r="AA508" t="str">
        <f t="shared" si="71"/>
        <v>30–39</v>
      </c>
      <c r="AB508" t="str">
        <f t="shared" si="72"/>
        <v>30–39</v>
      </c>
      <c r="AC508" t="str">
        <f t="shared" si="73"/>
        <v/>
      </c>
      <c r="AD508" t="str">
        <f t="shared" si="74"/>
        <v>Tuesday</v>
      </c>
      <c r="AE508" t="str">
        <f t="shared" si="75"/>
        <v/>
      </c>
      <c r="AF508" t="str">
        <f t="shared" si="76"/>
        <v/>
      </c>
      <c r="AG508" t="str">
        <f t="shared" si="77"/>
        <v>Friday</v>
      </c>
      <c r="AH508" t="str">
        <f t="shared" si="78"/>
        <v>Saturday</v>
      </c>
      <c r="AI508" t="str">
        <f t="shared" si="79"/>
        <v>Sunday</v>
      </c>
      <c r="AJ508" t="str">
        <f>LEFT(Table1[[#This Row],[membership_type]],2)&amp;TEXT(Table1[[#This Row],[age]],"00")&amp;"-"&amp;TEXT(ROW(),"000")</f>
        <v>Pr33-508</v>
      </c>
      <c r="AK508" t="str">
        <f>LEFT(Table1[[#This Row],[membership_type]],1)&amp;TEXT(MATCH(Table1[[#This Row],[membership_type]],Table1[membership_type],0),"00")</f>
        <v>P01</v>
      </c>
      <c r="AL508" t="str">
        <f>LEFT(Table1[[#This Row],[discount_type]],1)&amp;TEXT(ROUND(Table1[[#This Row],[discount_rate]]*100,0),"00")</f>
        <v>N00</v>
      </c>
      <c r="AM508" t="str" cm="1">
        <f t="array" ref="AM508">TEXT(SUMPRODUCT(CODE(MID(Table1[[#This Row],[home_gym_location]],_xlfn.SEQUENCE(LEN(Table1[[#This Row],[home_gym_location]])),1))),"00000")</f>
        <v>01450</v>
      </c>
      <c r="AN50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08" t="str">
        <f>LEFT(_xlfn.TEXTBEFORE(Table1[[#This Row],[Location Identifier]],"-"),3) &amp; "-" &amp; _xlfn.TEXTAFTER(Table1[[#This Row],[Location Identifier]],"-")</f>
        <v>SAN-009</v>
      </c>
      <c r="AP508" s="9">
        <f t="shared" ca="1" si="70"/>
        <v>45869</v>
      </c>
    </row>
    <row r="509" spans="1:42" x14ac:dyDescent="0.25">
      <c r="A509">
        <v>48</v>
      </c>
      <c r="B509" t="s">
        <v>26</v>
      </c>
      <c r="C509">
        <v>2</v>
      </c>
      <c r="D509" t="s">
        <v>130</v>
      </c>
      <c r="E509" t="b">
        <v>0</v>
      </c>
      <c r="F509" s="1">
        <v>0.70763888888888893</v>
      </c>
      <c r="G509" s="1">
        <v>0.76249999999999996</v>
      </c>
      <c r="H509">
        <v>79</v>
      </c>
      <c r="I509" t="b">
        <v>0</v>
      </c>
      <c r="J509" t="b">
        <v>0</v>
      </c>
      <c r="K509" t="b">
        <v>0</v>
      </c>
      <c r="L509" t="s">
        <v>58</v>
      </c>
      <c r="M509">
        <v>50</v>
      </c>
      <c r="N509" t="s">
        <v>64</v>
      </c>
      <c r="O509">
        <v>37.5</v>
      </c>
      <c r="P509" t="s">
        <v>36</v>
      </c>
      <c r="Q509">
        <v>0</v>
      </c>
      <c r="R509">
        <v>37.5</v>
      </c>
      <c r="S509" t="s">
        <v>31</v>
      </c>
      <c r="T509" t="s">
        <v>38</v>
      </c>
      <c r="U509">
        <v>36.7378</v>
      </c>
      <c r="V509">
        <v>-119.7871</v>
      </c>
      <c r="W509" s="2">
        <v>44954</v>
      </c>
      <c r="X509">
        <v>0</v>
      </c>
      <c r="Y509" t="b">
        <v>1</v>
      </c>
      <c r="Z509" s="2">
        <v>45811</v>
      </c>
      <c r="AA509" t="str">
        <f t="shared" si="71"/>
        <v>40–49</v>
      </c>
      <c r="AB509" t="str">
        <f t="shared" si="72"/>
        <v>40–49</v>
      </c>
      <c r="AC509" t="str">
        <f t="shared" si="73"/>
        <v>Monday</v>
      </c>
      <c r="AD509" t="str">
        <f t="shared" si="74"/>
        <v/>
      </c>
      <c r="AE509" t="str">
        <f t="shared" si="75"/>
        <v/>
      </c>
      <c r="AF509" t="str">
        <f t="shared" si="76"/>
        <v>Thursday</v>
      </c>
      <c r="AG509" t="str">
        <f t="shared" si="77"/>
        <v/>
      </c>
      <c r="AH509" t="str">
        <f t="shared" si="78"/>
        <v/>
      </c>
      <c r="AI509" t="str">
        <f t="shared" si="79"/>
        <v/>
      </c>
      <c r="AJ509" t="str">
        <f>LEFT(Table1[[#This Row],[membership_type]],2)&amp;TEXT(Table1[[#This Row],[age]],"00")&amp;"-"&amp;TEXT(ROW(),"000")</f>
        <v>Pr48-509</v>
      </c>
      <c r="AK509" t="str">
        <f>LEFT(Table1[[#This Row],[membership_type]],1)&amp;TEXT(MATCH(Table1[[#This Row],[membership_type]],Table1[membership_type],0),"00")</f>
        <v>P01</v>
      </c>
      <c r="AL509" t="str">
        <f>LEFT(Table1[[#This Row],[discount_type]],1)&amp;TEXT(ROUND(Table1[[#This Row],[discount_rate]]*100,0),"00")</f>
        <v>N00</v>
      </c>
      <c r="AM509" t="str" cm="1">
        <f t="array" ref="AM509">TEXT(SUMPRODUCT(CODE(MID(Table1[[#This Row],[home_gym_location]],_xlfn.SEQUENCE(LEN(Table1[[#This Row],[home_gym_location]])),1))),"00000")</f>
        <v>00829</v>
      </c>
      <c r="AN509" t="str">
        <f>UPPER(_xlfn.TEXTBEFORE(Table1[[#This Row],[home_gym_location]],","))&amp;"-"&amp;TEXT(MATCH(Table1[[#This Row],[home_gym_location]],_xlfn._xlws.SORT(_xlfn.UNIQUE(Table1[home_gym_location])),0),"000")</f>
        <v>FRESNO-003</v>
      </c>
      <c r="AO509" t="str">
        <f>LEFT(_xlfn.TEXTBEFORE(Table1[[#This Row],[Location Identifier]],"-"),3) &amp; "-" &amp; _xlfn.TEXTAFTER(Table1[[#This Row],[Location Identifier]],"-")</f>
        <v>FRE-003</v>
      </c>
      <c r="AP509" s="9">
        <f t="shared" ca="1" si="70"/>
        <v>45869</v>
      </c>
    </row>
    <row r="510" spans="1:42" x14ac:dyDescent="0.25">
      <c r="A510">
        <v>25</v>
      </c>
      <c r="B510" t="s">
        <v>26</v>
      </c>
      <c r="C510">
        <v>2</v>
      </c>
      <c r="D510" t="s">
        <v>70</v>
      </c>
      <c r="E510" t="b">
        <v>1</v>
      </c>
      <c r="F510" s="1">
        <v>0.85486111111111107</v>
      </c>
      <c r="G510" s="1">
        <v>0.88055555555555554</v>
      </c>
      <c r="H510">
        <v>37</v>
      </c>
      <c r="I510" t="b">
        <v>0</v>
      </c>
      <c r="J510" t="b">
        <v>1</v>
      </c>
      <c r="K510" t="b">
        <v>1</v>
      </c>
      <c r="L510" t="s">
        <v>28</v>
      </c>
      <c r="M510">
        <v>50</v>
      </c>
      <c r="N510" t="s">
        <v>64</v>
      </c>
      <c r="O510">
        <v>37.5</v>
      </c>
      <c r="P510" t="s">
        <v>40</v>
      </c>
      <c r="Q510">
        <v>0.1</v>
      </c>
      <c r="R510">
        <v>33.75</v>
      </c>
      <c r="S510" t="s">
        <v>31</v>
      </c>
      <c r="T510" t="s">
        <v>56</v>
      </c>
      <c r="U510">
        <v>35.3733</v>
      </c>
      <c r="V510">
        <v>-119.0187</v>
      </c>
      <c r="W510" s="2">
        <v>44819</v>
      </c>
      <c r="X510">
        <v>5</v>
      </c>
      <c r="Y510" t="b">
        <v>1</v>
      </c>
      <c r="Z510" s="2">
        <v>45804</v>
      </c>
      <c r="AA510" t="str">
        <f t="shared" si="71"/>
        <v>20–29</v>
      </c>
      <c r="AB510" t="str">
        <f t="shared" si="72"/>
        <v>20–29</v>
      </c>
      <c r="AC510" t="str">
        <f t="shared" si="73"/>
        <v/>
      </c>
      <c r="AD510" t="str">
        <f t="shared" si="74"/>
        <v/>
      </c>
      <c r="AE510" t="str">
        <f t="shared" si="75"/>
        <v>Wednesday</v>
      </c>
      <c r="AF510" t="str">
        <f t="shared" si="76"/>
        <v>Thursday</v>
      </c>
      <c r="AG510" t="str">
        <f t="shared" si="77"/>
        <v/>
      </c>
      <c r="AH510" t="str">
        <f t="shared" si="78"/>
        <v/>
      </c>
      <c r="AI510" t="str">
        <f t="shared" si="79"/>
        <v/>
      </c>
      <c r="AJ510" t="str">
        <f>LEFT(Table1[[#This Row],[membership_type]],2)&amp;TEXT(Table1[[#This Row],[age]],"00")&amp;"-"&amp;TEXT(ROW(),"000")</f>
        <v>Pr25-510</v>
      </c>
      <c r="AK510" t="str">
        <f>LEFT(Table1[[#This Row],[membership_type]],1)&amp;TEXT(MATCH(Table1[[#This Row],[membership_type]],Table1[membership_type],0),"00")</f>
        <v>P01</v>
      </c>
      <c r="AL510" t="str">
        <f>LEFT(Table1[[#This Row],[discount_type]],1)&amp;TEXT(ROUND(Table1[[#This Row],[discount_rate]]*100,0),"00")</f>
        <v>L10</v>
      </c>
      <c r="AM510" t="str" cm="1">
        <f t="array" ref="AM510">TEXT(SUMPRODUCT(CODE(MID(Table1[[#This Row],[home_gym_location]],_xlfn.SEQUENCE(LEN(Table1[[#This Row],[home_gym_location]])),1))),"00000")</f>
        <v>01324</v>
      </c>
      <c r="AN51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10" t="str">
        <f>LEFT(_xlfn.TEXTBEFORE(Table1[[#This Row],[Location Identifier]],"-"),3) &amp; "-" &amp; _xlfn.TEXTAFTER(Table1[[#This Row],[Location Identifier]],"-")</f>
        <v>BAK-002</v>
      </c>
      <c r="AP510" s="9">
        <f t="shared" ca="1" si="70"/>
        <v>45869</v>
      </c>
    </row>
    <row r="511" spans="1:42" x14ac:dyDescent="0.25">
      <c r="A511">
        <v>19</v>
      </c>
      <c r="B511" t="s">
        <v>33</v>
      </c>
      <c r="C511">
        <v>4</v>
      </c>
      <c r="D511" t="s">
        <v>146</v>
      </c>
      <c r="E511" t="b">
        <v>0</v>
      </c>
      <c r="F511" s="1">
        <v>0.46944444444444444</v>
      </c>
      <c r="G511" s="1">
        <v>0.52638888888888891</v>
      </c>
      <c r="H511">
        <v>82</v>
      </c>
      <c r="I511" t="b">
        <v>0</v>
      </c>
      <c r="J511" t="b">
        <v>0</v>
      </c>
      <c r="K511" t="b">
        <v>1</v>
      </c>
      <c r="L511" t="s">
        <v>62</v>
      </c>
      <c r="M511">
        <v>30</v>
      </c>
      <c r="N511" t="s">
        <v>29</v>
      </c>
      <c r="O511">
        <v>30</v>
      </c>
      <c r="P511" t="s">
        <v>40</v>
      </c>
      <c r="Q511">
        <v>0.1</v>
      </c>
      <c r="R511">
        <v>27</v>
      </c>
      <c r="S511" t="s">
        <v>37</v>
      </c>
      <c r="T511" t="s">
        <v>54</v>
      </c>
      <c r="U511">
        <v>32.715699999999998</v>
      </c>
      <c r="V511">
        <v>-117.1611</v>
      </c>
      <c r="W511" s="2">
        <v>45058</v>
      </c>
      <c r="X511">
        <v>0</v>
      </c>
      <c r="Y511" t="b">
        <v>0</v>
      </c>
      <c r="Z511" s="2">
        <v>45817</v>
      </c>
      <c r="AA511" t="str">
        <f t="shared" si="71"/>
        <v>10–19</v>
      </c>
      <c r="AB511" t="str">
        <f t="shared" si="72"/>
        <v>16–19</v>
      </c>
      <c r="AC511" t="str">
        <f t="shared" si="73"/>
        <v/>
      </c>
      <c r="AD511" t="str">
        <f t="shared" si="74"/>
        <v/>
      </c>
      <c r="AE511" t="str">
        <f t="shared" si="75"/>
        <v/>
      </c>
      <c r="AF511" t="str">
        <f t="shared" si="76"/>
        <v>Thursday</v>
      </c>
      <c r="AG511" t="str">
        <f t="shared" si="77"/>
        <v>Friday</v>
      </c>
      <c r="AH511" t="str">
        <f t="shared" si="78"/>
        <v>Saturday</v>
      </c>
      <c r="AI511" t="str">
        <f t="shared" si="79"/>
        <v>Sunday</v>
      </c>
      <c r="AJ511" t="str">
        <f>LEFT(Table1[[#This Row],[membership_type]],2)&amp;TEXT(Table1[[#This Row],[age]],"00")&amp;"-"&amp;TEXT(ROW(),"000")</f>
        <v>St19-511</v>
      </c>
      <c r="AK511" t="str">
        <f>LEFT(Table1[[#This Row],[membership_type]],1)&amp;TEXT(MATCH(Table1[[#This Row],[membership_type]],Table1[membership_type],0),"00")</f>
        <v>S02</v>
      </c>
      <c r="AL511" t="str">
        <f>LEFT(Table1[[#This Row],[discount_type]],1)&amp;TEXT(ROUND(Table1[[#This Row],[discount_rate]]*100,0),"00")</f>
        <v>L10</v>
      </c>
      <c r="AM511" t="str" cm="1">
        <f t="array" ref="AM511">TEXT(SUMPRODUCT(CODE(MID(Table1[[#This Row],[home_gym_location]],_xlfn.SEQUENCE(LEN(Table1[[#This Row],[home_gym_location]])),1))),"00000")</f>
        <v>01018</v>
      </c>
      <c r="AN51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11" t="str">
        <f>LEFT(_xlfn.TEXTBEFORE(Table1[[#This Row],[Location Identifier]],"-"),3) &amp; "-" &amp; _xlfn.TEXTAFTER(Table1[[#This Row],[Location Identifier]],"-")</f>
        <v>SAN-008</v>
      </c>
      <c r="AP511" s="9">
        <f t="shared" ca="1" si="70"/>
        <v>45869</v>
      </c>
    </row>
    <row r="512" spans="1:42" x14ac:dyDescent="0.25">
      <c r="A512">
        <v>45</v>
      </c>
      <c r="B512" t="s">
        <v>33</v>
      </c>
      <c r="C512">
        <v>2</v>
      </c>
      <c r="D512" t="s">
        <v>130</v>
      </c>
      <c r="E512" t="b">
        <v>1</v>
      </c>
      <c r="F512" s="1">
        <v>0.44236111111111109</v>
      </c>
      <c r="G512" s="1">
        <v>0.54861111111111116</v>
      </c>
      <c r="H512">
        <v>153</v>
      </c>
      <c r="I512" t="b">
        <v>1</v>
      </c>
      <c r="J512" t="b">
        <v>1</v>
      </c>
      <c r="K512" t="b">
        <v>1</v>
      </c>
      <c r="L512" t="s">
        <v>62</v>
      </c>
      <c r="M512">
        <v>30</v>
      </c>
      <c r="N512" t="s">
        <v>29</v>
      </c>
      <c r="O512">
        <v>30</v>
      </c>
      <c r="P512" t="s">
        <v>30</v>
      </c>
      <c r="Q512">
        <v>0.05</v>
      </c>
      <c r="R512">
        <v>28.5</v>
      </c>
      <c r="S512" t="s">
        <v>37</v>
      </c>
      <c r="T512" t="s">
        <v>65</v>
      </c>
      <c r="U512">
        <v>33.770099999999999</v>
      </c>
      <c r="V512">
        <v>-118.19370000000001</v>
      </c>
      <c r="W512" s="2">
        <v>45177</v>
      </c>
      <c r="X512">
        <v>4</v>
      </c>
      <c r="Y512" t="b">
        <v>0</v>
      </c>
      <c r="Z512" s="2">
        <v>45824</v>
      </c>
      <c r="AA512" t="str">
        <f t="shared" si="71"/>
        <v>40–49</v>
      </c>
      <c r="AB512" t="str">
        <f t="shared" si="72"/>
        <v>40–49</v>
      </c>
      <c r="AC512" t="str">
        <f t="shared" si="73"/>
        <v>Monday</v>
      </c>
      <c r="AD512" t="str">
        <f t="shared" si="74"/>
        <v/>
      </c>
      <c r="AE512" t="str">
        <f t="shared" si="75"/>
        <v/>
      </c>
      <c r="AF512" t="str">
        <f t="shared" si="76"/>
        <v>Thursday</v>
      </c>
      <c r="AG512" t="str">
        <f t="shared" si="77"/>
        <v/>
      </c>
      <c r="AH512" t="str">
        <f t="shared" si="78"/>
        <v/>
      </c>
      <c r="AI512" t="str">
        <f t="shared" si="79"/>
        <v/>
      </c>
      <c r="AJ512" t="str">
        <f>LEFT(Table1[[#This Row],[membership_type]],2)&amp;TEXT(Table1[[#This Row],[age]],"00")&amp;"-"&amp;TEXT(ROW(),"000")</f>
        <v>St45-512</v>
      </c>
      <c r="AK512" t="str">
        <f>LEFT(Table1[[#This Row],[membership_type]],1)&amp;TEXT(MATCH(Table1[[#This Row],[membership_type]],Table1[membership_type],0),"00")</f>
        <v>S02</v>
      </c>
      <c r="AL512" t="str">
        <f>LEFT(Table1[[#This Row],[discount_type]],1)&amp;TEXT(ROUND(Table1[[#This Row],[discount_rate]]*100,0),"00")</f>
        <v>P05</v>
      </c>
      <c r="AM512" t="str" cm="1">
        <f t="array" ref="AM512">TEXT(SUMPRODUCT(CODE(MID(Table1[[#This Row],[home_gym_location]],_xlfn.SEQUENCE(LEN(Table1[[#This Row],[home_gym_location]])),1))),"00000")</f>
        <v>01107</v>
      </c>
      <c r="AN51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12" t="str">
        <f>LEFT(_xlfn.TEXTBEFORE(Table1[[#This Row],[Location Identifier]],"-"),3) &amp; "-" &amp; _xlfn.TEXTAFTER(Table1[[#This Row],[Location Identifier]],"-")</f>
        <v>LON-004</v>
      </c>
      <c r="AP512" s="9">
        <f t="shared" ca="1" si="70"/>
        <v>45869</v>
      </c>
    </row>
    <row r="513" spans="1:42" x14ac:dyDescent="0.25">
      <c r="A513">
        <v>39</v>
      </c>
      <c r="B513" t="s">
        <v>51</v>
      </c>
      <c r="C513">
        <v>2</v>
      </c>
      <c r="D513" t="s">
        <v>79</v>
      </c>
      <c r="E513" t="b">
        <v>0</v>
      </c>
      <c r="F513" s="1">
        <v>0.83611111111111114</v>
      </c>
      <c r="G513" s="1">
        <v>0.86319444444444449</v>
      </c>
      <c r="H513">
        <v>39</v>
      </c>
      <c r="I513" t="b">
        <v>0</v>
      </c>
      <c r="J513" t="b">
        <v>0</v>
      </c>
      <c r="K513" t="b">
        <v>0</v>
      </c>
      <c r="L513" t="s">
        <v>62</v>
      </c>
      <c r="M513">
        <v>70</v>
      </c>
      <c r="N513" t="s">
        <v>78</v>
      </c>
      <c r="O513">
        <v>63</v>
      </c>
      <c r="P513" t="s">
        <v>74</v>
      </c>
      <c r="Q513">
        <v>0.15</v>
      </c>
      <c r="R513">
        <v>53.55</v>
      </c>
      <c r="S513" t="s">
        <v>53</v>
      </c>
      <c r="T513" t="s">
        <v>59</v>
      </c>
      <c r="U513">
        <v>37.774900000000002</v>
      </c>
      <c r="V513">
        <v>-122.4194</v>
      </c>
      <c r="W513" s="2">
        <v>45385</v>
      </c>
      <c r="X513">
        <v>0</v>
      </c>
      <c r="Y513" t="b">
        <v>1</v>
      </c>
      <c r="Z513" s="2">
        <v>45835</v>
      </c>
      <c r="AA513" t="str">
        <f t="shared" si="71"/>
        <v>30–39</v>
      </c>
      <c r="AB513" t="str">
        <f t="shared" si="72"/>
        <v>30–39</v>
      </c>
      <c r="AC513" t="str">
        <f t="shared" si="73"/>
        <v/>
      </c>
      <c r="AD513" t="str">
        <f t="shared" si="74"/>
        <v/>
      </c>
      <c r="AE513" t="str">
        <f t="shared" si="75"/>
        <v/>
      </c>
      <c r="AF513" t="str">
        <f t="shared" si="76"/>
        <v/>
      </c>
      <c r="AG513" t="str">
        <f t="shared" si="77"/>
        <v>Friday</v>
      </c>
      <c r="AH513" t="str">
        <f t="shared" si="78"/>
        <v>Saturday</v>
      </c>
      <c r="AI513" t="str">
        <f t="shared" si="79"/>
        <v/>
      </c>
      <c r="AJ513" t="str">
        <f>LEFT(Table1[[#This Row],[membership_type]],2)&amp;TEXT(Table1[[#This Row],[age]],"00")&amp;"-"&amp;TEXT(ROW(),"000")</f>
        <v>El39-513</v>
      </c>
      <c r="AK513" t="str">
        <f>LEFT(Table1[[#This Row],[membership_type]],1)&amp;TEXT(MATCH(Table1[[#This Row],[membership_type]],Table1[membership_type],0),"00")</f>
        <v>E07</v>
      </c>
      <c r="AL513" t="str">
        <f>LEFT(Table1[[#This Row],[discount_type]],1)&amp;TEXT(ROUND(Table1[[#This Row],[discount_rate]]*100,0),"00")</f>
        <v>S15</v>
      </c>
      <c r="AM513" t="str" cm="1">
        <f t="array" ref="AM513">TEXT(SUMPRODUCT(CODE(MID(Table1[[#This Row],[home_gym_location]],_xlfn.SEQUENCE(LEN(Table1[[#This Row],[home_gym_location]])),1))),"00000")</f>
        <v>01450</v>
      </c>
      <c r="AN51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13" t="str">
        <f>LEFT(_xlfn.TEXTBEFORE(Table1[[#This Row],[Location Identifier]],"-"),3) &amp; "-" &amp; _xlfn.TEXTAFTER(Table1[[#This Row],[Location Identifier]],"-")</f>
        <v>SAN-009</v>
      </c>
      <c r="AP513" s="9">
        <f t="shared" ca="1" si="70"/>
        <v>45869</v>
      </c>
    </row>
    <row r="514" spans="1:42" x14ac:dyDescent="0.25">
      <c r="A514">
        <v>27</v>
      </c>
      <c r="B514" t="s">
        <v>51</v>
      </c>
      <c r="C514">
        <v>3</v>
      </c>
      <c r="D514" t="s">
        <v>57</v>
      </c>
      <c r="E514" t="b">
        <v>0</v>
      </c>
      <c r="F514" s="1">
        <v>0.84583333333333333</v>
      </c>
      <c r="G514" s="1">
        <v>0.93055555555555558</v>
      </c>
      <c r="H514">
        <v>122</v>
      </c>
      <c r="I514" t="b">
        <v>1</v>
      </c>
      <c r="J514" t="b">
        <v>1</v>
      </c>
      <c r="K514" t="b">
        <v>0</v>
      </c>
      <c r="L514" t="s">
        <v>28</v>
      </c>
      <c r="M514">
        <v>70</v>
      </c>
      <c r="N514" t="s">
        <v>64</v>
      </c>
      <c r="O514">
        <v>52.5</v>
      </c>
      <c r="P514" t="s">
        <v>40</v>
      </c>
      <c r="Q514">
        <v>0.1</v>
      </c>
      <c r="R514">
        <v>47.25</v>
      </c>
      <c r="S514" t="s">
        <v>53</v>
      </c>
      <c r="T514" t="s">
        <v>56</v>
      </c>
      <c r="U514">
        <v>35.3733</v>
      </c>
      <c r="V514">
        <v>-119.0187</v>
      </c>
      <c r="W514" s="2">
        <v>44837</v>
      </c>
      <c r="X514">
        <v>5</v>
      </c>
      <c r="Y514" t="b">
        <v>1</v>
      </c>
      <c r="Z514" s="2">
        <v>45805</v>
      </c>
      <c r="AA514" t="str">
        <f t="shared" si="71"/>
        <v>20–29</v>
      </c>
      <c r="AB514" t="str">
        <f t="shared" si="72"/>
        <v>20–29</v>
      </c>
      <c r="AC514" t="str">
        <f t="shared" si="73"/>
        <v/>
      </c>
      <c r="AD514" t="str">
        <f t="shared" si="74"/>
        <v/>
      </c>
      <c r="AE514" t="str">
        <f t="shared" si="75"/>
        <v>Wednesday</v>
      </c>
      <c r="AF514" t="str">
        <f t="shared" si="76"/>
        <v>Thursday</v>
      </c>
      <c r="AG514" t="str">
        <f t="shared" si="77"/>
        <v/>
      </c>
      <c r="AH514" t="str">
        <f t="shared" si="78"/>
        <v>Saturday</v>
      </c>
      <c r="AI514" t="str">
        <f t="shared" si="79"/>
        <v/>
      </c>
      <c r="AJ514" t="str">
        <f>LEFT(Table1[[#This Row],[membership_type]],2)&amp;TEXT(Table1[[#This Row],[age]],"00")&amp;"-"&amp;TEXT(ROW(),"000")</f>
        <v>El27-514</v>
      </c>
      <c r="AK514" t="str">
        <f>LEFT(Table1[[#This Row],[membership_type]],1)&amp;TEXT(MATCH(Table1[[#This Row],[membership_type]],Table1[membership_type],0),"00")</f>
        <v>E07</v>
      </c>
      <c r="AL514" t="str">
        <f>LEFT(Table1[[#This Row],[discount_type]],1)&amp;TEXT(ROUND(Table1[[#This Row],[discount_rate]]*100,0),"00")</f>
        <v>L10</v>
      </c>
      <c r="AM514" t="str" cm="1">
        <f t="array" ref="AM514">TEXT(SUMPRODUCT(CODE(MID(Table1[[#This Row],[home_gym_location]],_xlfn.SEQUENCE(LEN(Table1[[#This Row],[home_gym_location]])),1))),"00000")</f>
        <v>01324</v>
      </c>
      <c r="AN51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14" t="str">
        <f>LEFT(_xlfn.TEXTBEFORE(Table1[[#This Row],[Location Identifier]],"-"),3) &amp; "-" &amp; _xlfn.TEXTAFTER(Table1[[#This Row],[Location Identifier]],"-")</f>
        <v>BAK-002</v>
      </c>
      <c r="AP514" s="9">
        <f t="shared" ref="AP514:AP577" ca="1" si="80">EOMONTH(DATE(YEAR(TODAY()),7,1),0)</f>
        <v>45869</v>
      </c>
    </row>
    <row r="515" spans="1:42" x14ac:dyDescent="0.25">
      <c r="A515">
        <v>26</v>
      </c>
      <c r="B515" t="s">
        <v>26</v>
      </c>
      <c r="C515">
        <v>1</v>
      </c>
      <c r="D515" t="s">
        <v>67</v>
      </c>
      <c r="E515" t="b">
        <v>1</v>
      </c>
      <c r="F515" s="1">
        <v>0.68819444444444444</v>
      </c>
      <c r="G515" s="1">
        <v>0.74097222222222225</v>
      </c>
      <c r="H515">
        <v>76</v>
      </c>
      <c r="I515" t="b">
        <v>1</v>
      </c>
      <c r="J515" t="b">
        <v>1</v>
      </c>
      <c r="K515" t="b">
        <v>1</v>
      </c>
      <c r="L515" t="s">
        <v>35</v>
      </c>
      <c r="M515">
        <v>50</v>
      </c>
      <c r="N515" t="s">
        <v>29</v>
      </c>
      <c r="O515">
        <v>50</v>
      </c>
      <c r="P515" t="s">
        <v>36</v>
      </c>
      <c r="Q515">
        <v>0</v>
      </c>
      <c r="R515">
        <v>50</v>
      </c>
      <c r="S515" t="s">
        <v>31</v>
      </c>
      <c r="T515" t="s">
        <v>48</v>
      </c>
      <c r="U515">
        <v>38.581600000000002</v>
      </c>
      <c r="V515">
        <v>-121.4944</v>
      </c>
      <c r="W515" s="2">
        <v>44908</v>
      </c>
      <c r="X515">
        <v>1</v>
      </c>
      <c r="Y515" t="b">
        <v>1</v>
      </c>
      <c r="Z515" s="2">
        <v>45809</v>
      </c>
      <c r="AA515" t="str">
        <f t="shared" ref="AA515:AA578" si="81">TEXT(10*INT($A515/10),"0")&amp;"–"&amp;TEXT(10*INT($A515/10)+9,"0")</f>
        <v>20–29</v>
      </c>
      <c r="AB515" t="str">
        <f t="shared" ref="AB515:AB578" si="82">IF(AND($AA515 = "10–19", $A515 &lt; 16), "Under 16", IF(AND($AA515 = "10–19", $A515 &gt;= 16), "16–19", $AA515))</f>
        <v>20–29</v>
      </c>
      <c r="AC515" t="str">
        <f t="shared" ref="AC515:AC578" si="83">IF(ISNUMBER(SEARCH("Mon", $D515)), "Monday", "")</f>
        <v/>
      </c>
      <c r="AD515" t="str">
        <f t="shared" ref="AD515:AD578" si="84">IF(ISNUMBER(SEARCH("Tue", $D515)), "Tuesday", "")</f>
        <v/>
      </c>
      <c r="AE515" t="str">
        <f t="shared" ref="AE515:AE578" si="85">IF(ISNUMBER(SEARCH("Wed", $D515)), "Wednesday", "")</f>
        <v/>
      </c>
      <c r="AF515" t="str">
        <f t="shared" ref="AF515:AF578" si="86">IF(ISNUMBER(SEARCH("Thu", $D515)), "Thursday", "")</f>
        <v>Thursday</v>
      </c>
      <c r="AG515" t="str">
        <f t="shared" ref="AG515:AG578" si="87">IF(ISNUMBER(SEARCH("Fri", $D515)), "Friday", "")</f>
        <v/>
      </c>
      <c r="AH515" t="str">
        <f t="shared" ref="AH515:AH578" si="88">IF(ISNUMBER(SEARCH("Sat", $D515)), "Saturday", "")</f>
        <v/>
      </c>
      <c r="AI515" t="str">
        <f t="shared" ref="AI515:AI578" si="89">IF(ISNUMBER(SEARCH("Sun", $D515)), "Sunday", "")</f>
        <v/>
      </c>
      <c r="AJ515" t="str">
        <f>LEFT(Table1[[#This Row],[membership_type]],2)&amp;TEXT(Table1[[#This Row],[age]],"00")&amp;"-"&amp;TEXT(ROW(),"000")</f>
        <v>Pr26-515</v>
      </c>
      <c r="AK515" t="str">
        <f>LEFT(Table1[[#This Row],[membership_type]],1)&amp;TEXT(MATCH(Table1[[#This Row],[membership_type]],Table1[membership_type],0),"00")</f>
        <v>P01</v>
      </c>
      <c r="AL515" t="str">
        <f>LEFT(Table1[[#This Row],[discount_type]],1)&amp;TEXT(ROUND(Table1[[#This Row],[discount_rate]]*100,0),"00")</f>
        <v>N00</v>
      </c>
      <c r="AM515" t="str" cm="1">
        <f t="array" ref="AM515">TEXT(SUMPRODUCT(CODE(MID(Table1[[#This Row],[home_gym_location]],_xlfn.SEQUENCE(LEN(Table1[[#This Row],[home_gym_location]])),1))),"00000")</f>
        <v>01245</v>
      </c>
      <c r="AN51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15" t="str">
        <f>LEFT(_xlfn.TEXTBEFORE(Table1[[#This Row],[Location Identifier]],"-"),3) &amp; "-" &amp; _xlfn.TEXTAFTER(Table1[[#This Row],[Location Identifier]],"-")</f>
        <v>SAC-007</v>
      </c>
      <c r="AP515" s="9">
        <f t="shared" ca="1" si="80"/>
        <v>45869</v>
      </c>
    </row>
    <row r="516" spans="1:42" x14ac:dyDescent="0.25">
      <c r="A516">
        <v>15</v>
      </c>
      <c r="B516" t="s">
        <v>26</v>
      </c>
      <c r="C516">
        <v>2</v>
      </c>
      <c r="D516" t="s">
        <v>103</v>
      </c>
      <c r="E516" t="b">
        <v>1</v>
      </c>
      <c r="F516" s="1">
        <v>0.83819444444444446</v>
      </c>
      <c r="G516" s="1">
        <v>0.90208333333333335</v>
      </c>
      <c r="H516">
        <v>92</v>
      </c>
      <c r="I516" t="b">
        <v>1</v>
      </c>
      <c r="J516" t="b">
        <v>0</v>
      </c>
      <c r="K516" t="b">
        <v>0</v>
      </c>
      <c r="L516" t="s">
        <v>62</v>
      </c>
      <c r="M516">
        <v>50</v>
      </c>
      <c r="N516" t="s">
        <v>29</v>
      </c>
      <c r="O516">
        <v>50</v>
      </c>
      <c r="P516" t="s">
        <v>30</v>
      </c>
      <c r="Q516">
        <v>0.05</v>
      </c>
      <c r="R516">
        <v>47.5</v>
      </c>
      <c r="S516" t="s">
        <v>31</v>
      </c>
      <c r="T516" t="s">
        <v>41</v>
      </c>
      <c r="U516">
        <v>37.804400000000001</v>
      </c>
      <c r="V516">
        <v>-122.27119999999999</v>
      </c>
      <c r="W516" s="2">
        <v>45782</v>
      </c>
      <c r="X516">
        <v>0</v>
      </c>
      <c r="Y516" t="b">
        <v>1</v>
      </c>
      <c r="Z516" s="2">
        <v>45858</v>
      </c>
      <c r="AA516" t="str">
        <f t="shared" si="81"/>
        <v>10–19</v>
      </c>
      <c r="AB516" t="str">
        <f t="shared" si="82"/>
        <v>Under 16</v>
      </c>
      <c r="AC516" t="str">
        <f t="shared" si="83"/>
        <v>Monday</v>
      </c>
      <c r="AD516" t="str">
        <f t="shared" si="84"/>
        <v/>
      </c>
      <c r="AE516" t="str">
        <f t="shared" si="85"/>
        <v/>
      </c>
      <c r="AF516" t="str">
        <f t="shared" si="86"/>
        <v/>
      </c>
      <c r="AG516" t="str">
        <f t="shared" si="87"/>
        <v/>
      </c>
      <c r="AH516" t="str">
        <f t="shared" si="88"/>
        <v/>
      </c>
      <c r="AI516" t="str">
        <f t="shared" si="89"/>
        <v>Sunday</v>
      </c>
      <c r="AJ516" t="str">
        <f>LEFT(Table1[[#This Row],[membership_type]],2)&amp;TEXT(Table1[[#This Row],[age]],"00")&amp;"-"&amp;TEXT(ROW(),"000")</f>
        <v>Pr15-516</v>
      </c>
      <c r="AK516" t="str">
        <f>LEFT(Table1[[#This Row],[membership_type]],1)&amp;TEXT(MATCH(Table1[[#This Row],[membership_type]],Table1[membership_type],0),"00")</f>
        <v>P01</v>
      </c>
      <c r="AL516" t="str">
        <f>LEFT(Table1[[#This Row],[discount_type]],1)&amp;TEXT(ROUND(Table1[[#This Row],[discount_rate]]*100,0),"00")</f>
        <v>P05</v>
      </c>
      <c r="AM516" t="str" cm="1">
        <f t="array" ref="AM516">TEXT(SUMPRODUCT(CODE(MID(Table1[[#This Row],[home_gym_location]],_xlfn.SEQUENCE(LEN(Table1[[#This Row],[home_gym_location]])),1))),"00000")</f>
        <v>00906</v>
      </c>
      <c r="AN516" t="str">
        <f>UPPER(_xlfn.TEXTBEFORE(Table1[[#This Row],[home_gym_location]],","))&amp;"-"&amp;TEXT(MATCH(Table1[[#This Row],[home_gym_location]],_xlfn._xlws.SORT(_xlfn.UNIQUE(Table1[home_gym_location])),0),"000")</f>
        <v>OAKLAND-006</v>
      </c>
      <c r="AO516" t="str">
        <f>LEFT(_xlfn.TEXTBEFORE(Table1[[#This Row],[Location Identifier]],"-"),3) &amp; "-" &amp; _xlfn.TEXTAFTER(Table1[[#This Row],[Location Identifier]],"-")</f>
        <v>OAK-006</v>
      </c>
      <c r="AP516" s="9">
        <f t="shared" ca="1" si="80"/>
        <v>45869</v>
      </c>
    </row>
    <row r="517" spans="1:42" x14ac:dyDescent="0.25">
      <c r="A517">
        <v>35</v>
      </c>
      <c r="B517" t="s">
        <v>42</v>
      </c>
      <c r="C517">
        <v>3</v>
      </c>
      <c r="D517" t="s">
        <v>109</v>
      </c>
      <c r="E517" t="b">
        <v>1</v>
      </c>
      <c r="F517" s="1">
        <v>0.56388888888888888</v>
      </c>
      <c r="G517" s="1">
        <v>0.67986111111111114</v>
      </c>
      <c r="H517">
        <v>167</v>
      </c>
      <c r="I517" t="b">
        <v>0</v>
      </c>
      <c r="J517" t="b">
        <v>0</v>
      </c>
      <c r="K517" t="b">
        <v>0</v>
      </c>
      <c r="L517" t="s">
        <v>28</v>
      </c>
      <c r="M517">
        <v>20</v>
      </c>
      <c r="N517" t="s">
        <v>64</v>
      </c>
      <c r="O517">
        <v>15</v>
      </c>
      <c r="P517" t="s">
        <v>74</v>
      </c>
      <c r="Q517">
        <v>0.15</v>
      </c>
      <c r="R517">
        <v>12.75</v>
      </c>
      <c r="S517" t="s">
        <v>44</v>
      </c>
      <c r="T517" t="s">
        <v>54</v>
      </c>
      <c r="U517">
        <v>32.715699999999998</v>
      </c>
      <c r="V517">
        <v>-117.1611</v>
      </c>
      <c r="W517" s="2">
        <v>45802</v>
      </c>
      <c r="X517">
        <v>0</v>
      </c>
      <c r="Y517" t="b">
        <v>0</v>
      </c>
      <c r="Z517" s="2">
        <v>45859</v>
      </c>
      <c r="AA517" t="str">
        <f t="shared" si="81"/>
        <v>30–39</v>
      </c>
      <c r="AB517" t="str">
        <f t="shared" si="82"/>
        <v>30–39</v>
      </c>
      <c r="AC517" t="str">
        <f t="shared" si="83"/>
        <v/>
      </c>
      <c r="AD517" t="str">
        <f t="shared" si="84"/>
        <v>Tuesday</v>
      </c>
      <c r="AE517" t="str">
        <f t="shared" si="85"/>
        <v/>
      </c>
      <c r="AF517" t="str">
        <f t="shared" si="86"/>
        <v>Thursday</v>
      </c>
      <c r="AG517" t="str">
        <f t="shared" si="87"/>
        <v>Friday</v>
      </c>
      <c r="AH517" t="str">
        <f t="shared" si="88"/>
        <v/>
      </c>
      <c r="AI517" t="str">
        <f t="shared" si="89"/>
        <v/>
      </c>
      <c r="AJ517" t="str">
        <f>LEFT(Table1[[#This Row],[membership_type]],2)&amp;TEXT(Table1[[#This Row],[age]],"00")&amp;"-"&amp;TEXT(ROW(),"000")</f>
        <v>Ba35-517</v>
      </c>
      <c r="AK517" t="str">
        <f>LEFT(Table1[[#This Row],[membership_type]],1)&amp;TEXT(MATCH(Table1[[#This Row],[membership_type]],Table1[membership_type],0),"00")</f>
        <v>B04</v>
      </c>
      <c r="AL517" t="str">
        <f>LEFT(Table1[[#This Row],[discount_type]],1)&amp;TEXT(ROUND(Table1[[#This Row],[discount_rate]]*100,0),"00")</f>
        <v>S15</v>
      </c>
      <c r="AM517" t="str" cm="1">
        <f t="array" ref="AM517">TEXT(SUMPRODUCT(CODE(MID(Table1[[#This Row],[home_gym_location]],_xlfn.SEQUENCE(LEN(Table1[[#This Row],[home_gym_location]])),1))),"00000")</f>
        <v>01018</v>
      </c>
      <c r="AN51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17" t="str">
        <f>LEFT(_xlfn.TEXTBEFORE(Table1[[#This Row],[Location Identifier]],"-"),3) &amp; "-" &amp; _xlfn.TEXTAFTER(Table1[[#This Row],[Location Identifier]],"-")</f>
        <v>SAN-008</v>
      </c>
      <c r="AP517" s="9">
        <f t="shared" ca="1" si="80"/>
        <v>45869</v>
      </c>
    </row>
    <row r="518" spans="1:42" x14ac:dyDescent="0.25">
      <c r="A518">
        <v>38</v>
      </c>
      <c r="B518" t="s">
        <v>51</v>
      </c>
      <c r="C518">
        <v>1</v>
      </c>
      <c r="D518" t="s">
        <v>71</v>
      </c>
      <c r="E518" t="b">
        <v>1</v>
      </c>
      <c r="F518" s="1">
        <v>0.41736111111111113</v>
      </c>
      <c r="G518" s="1">
        <v>0.53333333333333333</v>
      </c>
      <c r="H518">
        <v>167</v>
      </c>
      <c r="I518" t="b">
        <v>1</v>
      </c>
      <c r="J518" t="b">
        <v>1</v>
      </c>
      <c r="K518" t="b">
        <v>1</v>
      </c>
      <c r="L518" t="s">
        <v>62</v>
      </c>
      <c r="M518">
        <v>70</v>
      </c>
      <c r="N518" t="s">
        <v>29</v>
      </c>
      <c r="O518">
        <v>70</v>
      </c>
      <c r="P518" t="s">
        <v>36</v>
      </c>
      <c r="Q518">
        <v>0</v>
      </c>
      <c r="R518">
        <v>70</v>
      </c>
      <c r="S518" t="s">
        <v>53</v>
      </c>
      <c r="T518" t="s">
        <v>38</v>
      </c>
      <c r="U518">
        <v>36.7378</v>
      </c>
      <c r="V518">
        <v>-119.7871</v>
      </c>
      <c r="W518" s="2">
        <v>45430</v>
      </c>
      <c r="X518">
        <v>4</v>
      </c>
      <c r="Y518" t="b">
        <v>1</v>
      </c>
      <c r="Z518" s="2">
        <v>45838</v>
      </c>
      <c r="AA518" t="str">
        <f t="shared" si="81"/>
        <v>30–39</v>
      </c>
      <c r="AB518" t="str">
        <f t="shared" si="82"/>
        <v>30–39</v>
      </c>
      <c r="AC518" t="str">
        <f t="shared" si="83"/>
        <v/>
      </c>
      <c r="AD518" t="str">
        <f t="shared" si="84"/>
        <v>Tuesday</v>
      </c>
      <c r="AE518" t="str">
        <f t="shared" si="85"/>
        <v/>
      </c>
      <c r="AF518" t="str">
        <f t="shared" si="86"/>
        <v/>
      </c>
      <c r="AG518" t="str">
        <f t="shared" si="87"/>
        <v/>
      </c>
      <c r="AH518" t="str">
        <f t="shared" si="88"/>
        <v/>
      </c>
      <c r="AI518" t="str">
        <f t="shared" si="89"/>
        <v/>
      </c>
      <c r="AJ518" t="str">
        <f>LEFT(Table1[[#This Row],[membership_type]],2)&amp;TEXT(Table1[[#This Row],[age]],"00")&amp;"-"&amp;TEXT(ROW(),"000")</f>
        <v>El38-518</v>
      </c>
      <c r="AK518" t="str">
        <f>LEFT(Table1[[#This Row],[membership_type]],1)&amp;TEXT(MATCH(Table1[[#This Row],[membership_type]],Table1[membership_type],0),"00")</f>
        <v>E07</v>
      </c>
      <c r="AL518" t="str">
        <f>LEFT(Table1[[#This Row],[discount_type]],1)&amp;TEXT(ROUND(Table1[[#This Row],[discount_rate]]*100,0),"00")</f>
        <v>N00</v>
      </c>
      <c r="AM518" t="str" cm="1">
        <f t="array" ref="AM518">TEXT(SUMPRODUCT(CODE(MID(Table1[[#This Row],[home_gym_location]],_xlfn.SEQUENCE(LEN(Table1[[#This Row],[home_gym_location]])),1))),"00000")</f>
        <v>00829</v>
      </c>
      <c r="AN518" t="str">
        <f>UPPER(_xlfn.TEXTBEFORE(Table1[[#This Row],[home_gym_location]],","))&amp;"-"&amp;TEXT(MATCH(Table1[[#This Row],[home_gym_location]],_xlfn._xlws.SORT(_xlfn.UNIQUE(Table1[home_gym_location])),0),"000")</f>
        <v>FRESNO-003</v>
      </c>
      <c r="AO518" t="str">
        <f>LEFT(_xlfn.TEXTBEFORE(Table1[[#This Row],[Location Identifier]],"-"),3) &amp; "-" &amp; _xlfn.TEXTAFTER(Table1[[#This Row],[Location Identifier]],"-")</f>
        <v>FRE-003</v>
      </c>
      <c r="AP518" s="9">
        <f t="shared" ca="1" si="80"/>
        <v>45869</v>
      </c>
    </row>
    <row r="519" spans="1:42" x14ac:dyDescent="0.25">
      <c r="A519">
        <v>31</v>
      </c>
      <c r="B519" t="s">
        <v>26</v>
      </c>
      <c r="C519">
        <v>1</v>
      </c>
      <c r="D519" t="s">
        <v>67</v>
      </c>
      <c r="E519" t="b">
        <v>0</v>
      </c>
      <c r="F519" s="1">
        <v>0.62569444444444444</v>
      </c>
      <c r="G519" s="1">
        <v>0.73819444444444449</v>
      </c>
      <c r="H519">
        <v>162</v>
      </c>
      <c r="I519" t="b">
        <v>0</v>
      </c>
      <c r="J519" t="b">
        <v>0</v>
      </c>
      <c r="K519" t="b">
        <v>0</v>
      </c>
      <c r="L519" t="s">
        <v>28</v>
      </c>
      <c r="M519">
        <v>50</v>
      </c>
      <c r="N519" t="s">
        <v>29</v>
      </c>
      <c r="O519">
        <v>50</v>
      </c>
      <c r="P519" t="s">
        <v>30</v>
      </c>
      <c r="Q519">
        <v>0.05</v>
      </c>
      <c r="R519">
        <v>47.5</v>
      </c>
      <c r="S519" t="s">
        <v>31</v>
      </c>
      <c r="T519" t="s">
        <v>54</v>
      </c>
      <c r="U519">
        <v>32.715699999999998</v>
      </c>
      <c r="V519">
        <v>-117.1611</v>
      </c>
      <c r="W519" s="2">
        <v>44967</v>
      </c>
      <c r="X519">
        <v>0</v>
      </c>
      <c r="Y519" t="b">
        <v>1</v>
      </c>
      <c r="Z519" s="2">
        <v>45812</v>
      </c>
      <c r="AA519" t="str">
        <f t="shared" si="81"/>
        <v>30–39</v>
      </c>
      <c r="AB519" t="str">
        <f t="shared" si="82"/>
        <v>30–39</v>
      </c>
      <c r="AC519" t="str">
        <f t="shared" si="83"/>
        <v/>
      </c>
      <c r="AD519" t="str">
        <f t="shared" si="84"/>
        <v/>
      </c>
      <c r="AE519" t="str">
        <f t="shared" si="85"/>
        <v/>
      </c>
      <c r="AF519" t="str">
        <f t="shared" si="86"/>
        <v>Thursday</v>
      </c>
      <c r="AG519" t="str">
        <f t="shared" si="87"/>
        <v/>
      </c>
      <c r="AH519" t="str">
        <f t="shared" si="88"/>
        <v/>
      </c>
      <c r="AI519" t="str">
        <f t="shared" si="89"/>
        <v/>
      </c>
      <c r="AJ519" t="str">
        <f>LEFT(Table1[[#This Row],[membership_type]],2)&amp;TEXT(Table1[[#This Row],[age]],"00")&amp;"-"&amp;TEXT(ROW(),"000")</f>
        <v>Pr31-519</v>
      </c>
      <c r="AK519" t="str">
        <f>LEFT(Table1[[#This Row],[membership_type]],1)&amp;TEXT(MATCH(Table1[[#This Row],[membership_type]],Table1[membership_type],0),"00")</f>
        <v>P01</v>
      </c>
      <c r="AL519" t="str">
        <f>LEFT(Table1[[#This Row],[discount_type]],1)&amp;TEXT(ROUND(Table1[[#This Row],[discount_rate]]*100,0),"00")</f>
        <v>P05</v>
      </c>
      <c r="AM519" t="str" cm="1">
        <f t="array" ref="AM519">TEXT(SUMPRODUCT(CODE(MID(Table1[[#This Row],[home_gym_location]],_xlfn.SEQUENCE(LEN(Table1[[#This Row],[home_gym_location]])),1))),"00000")</f>
        <v>01018</v>
      </c>
      <c r="AN51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19" t="str">
        <f>LEFT(_xlfn.TEXTBEFORE(Table1[[#This Row],[Location Identifier]],"-"),3) &amp; "-" &amp; _xlfn.TEXTAFTER(Table1[[#This Row],[Location Identifier]],"-")</f>
        <v>SAN-008</v>
      </c>
      <c r="AP519" s="9">
        <f t="shared" ca="1" si="80"/>
        <v>45869</v>
      </c>
    </row>
    <row r="520" spans="1:42" x14ac:dyDescent="0.25">
      <c r="A520">
        <v>15</v>
      </c>
      <c r="B520" t="s">
        <v>26</v>
      </c>
      <c r="C520">
        <v>2</v>
      </c>
      <c r="D520" t="s">
        <v>46</v>
      </c>
      <c r="E520" t="b">
        <v>0</v>
      </c>
      <c r="F520" s="1">
        <v>0.52430555555555558</v>
      </c>
      <c r="G520" s="1">
        <v>0.58750000000000002</v>
      </c>
      <c r="H520">
        <v>91</v>
      </c>
      <c r="I520" t="b">
        <v>0</v>
      </c>
      <c r="J520" t="b">
        <v>0</v>
      </c>
      <c r="K520" t="b">
        <v>0</v>
      </c>
      <c r="L520" t="s">
        <v>28</v>
      </c>
      <c r="M520">
        <v>50</v>
      </c>
      <c r="N520" t="s">
        <v>64</v>
      </c>
      <c r="O520">
        <v>37.5</v>
      </c>
      <c r="P520" t="s">
        <v>36</v>
      </c>
      <c r="Q520">
        <v>0</v>
      </c>
      <c r="R520">
        <v>37.5</v>
      </c>
      <c r="S520" t="s">
        <v>31</v>
      </c>
      <c r="T520" t="s">
        <v>65</v>
      </c>
      <c r="U520">
        <v>33.770099999999999</v>
      </c>
      <c r="V520">
        <v>-118.19370000000001</v>
      </c>
      <c r="W520" s="2">
        <v>44779</v>
      </c>
      <c r="X520">
        <v>0</v>
      </c>
      <c r="Y520" t="b">
        <v>1</v>
      </c>
      <c r="Z520" s="2">
        <v>45801</v>
      </c>
      <c r="AA520" t="str">
        <f t="shared" si="81"/>
        <v>10–19</v>
      </c>
      <c r="AB520" t="str">
        <f t="shared" si="82"/>
        <v>Under 16</v>
      </c>
      <c r="AC520" t="str">
        <f t="shared" si="83"/>
        <v/>
      </c>
      <c r="AD520" t="str">
        <f t="shared" si="84"/>
        <v/>
      </c>
      <c r="AE520" t="str">
        <f t="shared" si="85"/>
        <v>Wednesday</v>
      </c>
      <c r="AF520" t="str">
        <f t="shared" si="86"/>
        <v/>
      </c>
      <c r="AG520" t="str">
        <f t="shared" si="87"/>
        <v/>
      </c>
      <c r="AH520" t="str">
        <f t="shared" si="88"/>
        <v/>
      </c>
      <c r="AI520" t="str">
        <f t="shared" si="89"/>
        <v>Sunday</v>
      </c>
      <c r="AJ520" t="str">
        <f>LEFT(Table1[[#This Row],[membership_type]],2)&amp;TEXT(Table1[[#This Row],[age]],"00")&amp;"-"&amp;TEXT(ROW(),"000")</f>
        <v>Pr15-520</v>
      </c>
      <c r="AK520" t="str">
        <f>LEFT(Table1[[#This Row],[membership_type]],1)&amp;TEXT(MATCH(Table1[[#This Row],[membership_type]],Table1[membership_type],0),"00")</f>
        <v>P01</v>
      </c>
      <c r="AL520" t="str">
        <f>LEFT(Table1[[#This Row],[discount_type]],1)&amp;TEXT(ROUND(Table1[[#This Row],[discount_rate]]*100,0),"00")</f>
        <v>N00</v>
      </c>
      <c r="AM520" t="str" cm="1">
        <f t="array" ref="AM520">TEXT(SUMPRODUCT(CODE(MID(Table1[[#This Row],[home_gym_location]],_xlfn.SEQUENCE(LEN(Table1[[#This Row],[home_gym_location]])),1))),"00000")</f>
        <v>01107</v>
      </c>
      <c r="AN52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20" t="str">
        <f>LEFT(_xlfn.TEXTBEFORE(Table1[[#This Row],[Location Identifier]],"-"),3) &amp; "-" &amp; _xlfn.TEXTAFTER(Table1[[#This Row],[Location Identifier]],"-")</f>
        <v>LON-004</v>
      </c>
      <c r="AP520" s="9">
        <f t="shared" ca="1" si="80"/>
        <v>45869</v>
      </c>
    </row>
    <row r="521" spans="1:42" x14ac:dyDescent="0.25">
      <c r="A521">
        <v>12</v>
      </c>
      <c r="B521" t="s">
        <v>42</v>
      </c>
      <c r="C521">
        <v>5</v>
      </c>
      <c r="D521" t="s">
        <v>69</v>
      </c>
      <c r="E521" t="b">
        <v>1</v>
      </c>
      <c r="F521" s="1">
        <v>0.4</v>
      </c>
      <c r="G521" s="1">
        <v>0.50624999999999998</v>
      </c>
      <c r="H521">
        <v>153</v>
      </c>
      <c r="I521" t="b">
        <v>1</v>
      </c>
      <c r="J521" t="b">
        <v>1</v>
      </c>
      <c r="K521" t="b">
        <v>1</v>
      </c>
      <c r="L521" t="s">
        <v>28</v>
      </c>
      <c r="M521">
        <v>20</v>
      </c>
      <c r="N521" t="s">
        <v>29</v>
      </c>
      <c r="O521">
        <v>20</v>
      </c>
      <c r="P521" t="s">
        <v>74</v>
      </c>
      <c r="Q521">
        <v>0.15</v>
      </c>
      <c r="R521">
        <v>17</v>
      </c>
      <c r="S521" t="s">
        <v>44</v>
      </c>
      <c r="T521" t="s">
        <v>48</v>
      </c>
      <c r="U521">
        <v>38.581600000000002</v>
      </c>
      <c r="V521">
        <v>-121.4944</v>
      </c>
      <c r="W521" s="2">
        <v>45670</v>
      </c>
      <c r="X521">
        <v>6</v>
      </c>
      <c r="Y521" t="b">
        <v>0</v>
      </c>
      <c r="Z521" s="2">
        <v>45851</v>
      </c>
      <c r="AA521" t="str">
        <f t="shared" si="81"/>
        <v>10–19</v>
      </c>
      <c r="AB521" t="str">
        <f t="shared" si="82"/>
        <v>Under 16</v>
      </c>
      <c r="AC521" t="str">
        <f t="shared" si="83"/>
        <v>Monday</v>
      </c>
      <c r="AD521" t="str">
        <f t="shared" si="84"/>
        <v/>
      </c>
      <c r="AE521" t="str">
        <f t="shared" si="85"/>
        <v>Wednesday</v>
      </c>
      <c r="AF521" t="str">
        <f t="shared" si="86"/>
        <v>Thursday</v>
      </c>
      <c r="AG521" t="str">
        <f t="shared" si="87"/>
        <v/>
      </c>
      <c r="AH521" t="str">
        <f t="shared" si="88"/>
        <v>Saturday</v>
      </c>
      <c r="AI521" t="str">
        <f t="shared" si="89"/>
        <v>Sunday</v>
      </c>
      <c r="AJ521" t="str">
        <f>LEFT(Table1[[#This Row],[membership_type]],2)&amp;TEXT(Table1[[#This Row],[age]],"00")&amp;"-"&amp;TEXT(ROW(),"000")</f>
        <v>Ba12-521</v>
      </c>
      <c r="AK521" t="str">
        <f>LEFT(Table1[[#This Row],[membership_type]],1)&amp;TEXT(MATCH(Table1[[#This Row],[membership_type]],Table1[membership_type],0),"00")</f>
        <v>B04</v>
      </c>
      <c r="AL521" t="str">
        <f>LEFT(Table1[[#This Row],[discount_type]],1)&amp;TEXT(ROUND(Table1[[#This Row],[discount_rate]]*100,0),"00")</f>
        <v>S15</v>
      </c>
      <c r="AM521" t="str" cm="1">
        <f t="array" ref="AM521">TEXT(SUMPRODUCT(CODE(MID(Table1[[#This Row],[home_gym_location]],_xlfn.SEQUENCE(LEN(Table1[[#This Row],[home_gym_location]])),1))),"00000")</f>
        <v>01245</v>
      </c>
      <c r="AN52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21" t="str">
        <f>LEFT(_xlfn.TEXTBEFORE(Table1[[#This Row],[Location Identifier]],"-"),3) &amp; "-" &amp; _xlfn.TEXTAFTER(Table1[[#This Row],[Location Identifier]],"-")</f>
        <v>SAC-007</v>
      </c>
      <c r="AP521" s="9">
        <f t="shared" ca="1" si="80"/>
        <v>45869</v>
      </c>
    </row>
    <row r="522" spans="1:42" x14ac:dyDescent="0.25">
      <c r="A522">
        <v>19</v>
      </c>
      <c r="B522" t="s">
        <v>26</v>
      </c>
      <c r="C522">
        <v>3</v>
      </c>
      <c r="D522" t="s">
        <v>142</v>
      </c>
      <c r="E522" t="b">
        <v>0</v>
      </c>
      <c r="F522" s="1">
        <v>0.6069444444444444</v>
      </c>
      <c r="G522" s="1">
        <v>0.64861111111111114</v>
      </c>
      <c r="H522">
        <v>60</v>
      </c>
      <c r="I522" t="b">
        <v>1</v>
      </c>
      <c r="J522" t="b">
        <v>0</v>
      </c>
      <c r="K522" t="b">
        <v>1</v>
      </c>
      <c r="L522" t="s">
        <v>58</v>
      </c>
      <c r="M522">
        <v>50</v>
      </c>
      <c r="N522" t="s">
        <v>29</v>
      </c>
      <c r="O522">
        <v>50</v>
      </c>
      <c r="P522" t="s">
        <v>74</v>
      </c>
      <c r="Q522">
        <v>0.15</v>
      </c>
      <c r="R522">
        <v>42.5</v>
      </c>
      <c r="S522" t="s">
        <v>31</v>
      </c>
      <c r="T522" t="s">
        <v>59</v>
      </c>
      <c r="U522">
        <v>37.774900000000002</v>
      </c>
      <c r="V522">
        <v>-122.4194</v>
      </c>
      <c r="W522" s="2">
        <v>45198</v>
      </c>
      <c r="X522">
        <v>0</v>
      </c>
      <c r="Y522" t="b">
        <v>0</v>
      </c>
      <c r="Z522" s="2">
        <v>45825</v>
      </c>
      <c r="AA522" t="str">
        <f t="shared" si="81"/>
        <v>10–19</v>
      </c>
      <c r="AB522" t="str">
        <f t="shared" si="82"/>
        <v>16–19</v>
      </c>
      <c r="AC522" t="str">
        <f t="shared" si="83"/>
        <v>Monday</v>
      </c>
      <c r="AD522" t="str">
        <f t="shared" si="84"/>
        <v/>
      </c>
      <c r="AE522" t="str">
        <f t="shared" si="85"/>
        <v>Wednesday</v>
      </c>
      <c r="AF522" t="str">
        <f t="shared" si="86"/>
        <v/>
      </c>
      <c r="AG522" t="str">
        <f t="shared" si="87"/>
        <v/>
      </c>
      <c r="AH522" t="str">
        <f t="shared" si="88"/>
        <v/>
      </c>
      <c r="AI522" t="str">
        <f t="shared" si="89"/>
        <v>Sunday</v>
      </c>
      <c r="AJ522" t="str">
        <f>LEFT(Table1[[#This Row],[membership_type]],2)&amp;TEXT(Table1[[#This Row],[age]],"00")&amp;"-"&amp;TEXT(ROW(),"000")</f>
        <v>Pr19-522</v>
      </c>
      <c r="AK522" t="str">
        <f>LEFT(Table1[[#This Row],[membership_type]],1)&amp;TEXT(MATCH(Table1[[#This Row],[membership_type]],Table1[membership_type],0),"00")</f>
        <v>P01</v>
      </c>
      <c r="AL522" t="str">
        <f>LEFT(Table1[[#This Row],[discount_type]],1)&amp;TEXT(ROUND(Table1[[#This Row],[discount_rate]]*100,0),"00")</f>
        <v>S15</v>
      </c>
      <c r="AM522" t="str" cm="1">
        <f t="array" ref="AM522">TEXT(SUMPRODUCT(CODE(MID(Table1[[#This Row],[home_gym_location]],_xlfn.SEQUENCE(LEN(Table1[[#This Row],[home_gym_location]])),1))),"00000")</f>
        <v>01450</v>
      </c>
      <c r="AN52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22" t="str">
        <f>LEFT(_xlfn.TEXTBEFORE(Table1[[#This Row],[Location Identifier]],"-"),3) &amp; "-" &amp; _xlfn.TEXTAFTER(Table1[[#This Row],[Location Identifier]],"-")</f>
        <v>SAN-009</v>
      </c>
      <c r="AP522" s="9">
        <f t="shared" ca="1" si="80"/>
        <v>45869</v>
      </c>
    </row>
    <row r="523" spans="1:42" x14ac:dyDescent="0.25">
      <c r="A523">
        <v>46</v>
      </c>
      <c r="B523" t="s">
        <v>26</v>
      </c>
      <c r="C523">
        <v>2</v>
      </c>
      <c r="D523" t="s">
        <v>43</v>
      </c>
      <c r="E523" t="b">
        <v>0</v>
      </c>
      <c r="F523" s="1">
        <v>0.74583333333333335</v>
      </c>
      <c r="G523" s="1">
        <v>0.80347222222222225</v>
      </c>
      <c r="H523">
        <v>83</v>
      </c>
      <c r="I523" t="b">
        <v>0</v>
      </c>
      <c r="J523" t="b">
        <v>0</v>
      </c>
      <c r="K523" t="b">
        <v>1</v>
      </c>
      <c r="L523" t="s">
        <v>35</v>
      </c>
      <c r="M523">
        <v>50</v>
      </c>
      <c r="N523" t="s">
        <v>29</v>
      </c>
      <c r="O523">
        <v>50</v>
      </c>
      <c r="P523" t="s">
        <v>36</v>
      </c>
      <c r="Q523">
        <v>0</v>
      </c>
      <c r="R523">
        <v>50</v>
      </c>
      <c r="S523" t="s">
        <v>31</v>
      </c>
      <c r="T523" t="s">
        <v>65</v>
      </c>
      <c r="U523">
        <v>33.770099999999999</v>
      </c>
      <c r="V523">
        <v>-118.19370000000001</v>
      </c>
      <c r="W523" s="2">
        <v>45425</v>
      </c>
      <c r="X523">
        <v>0</v>
      </c>
      <c r="Y523" t="b">
        <v>1</v>
      </c>
      <c r="Z523" s="2">
        <v>45838</v>
      </c>
      <c r="AA523" t="str">
        <f t="shared" si="81"/>
        <v>40–49</v>
      </c>
      <c r="AB523" t="str">
        <f t="shared" si="82"/>
        <v>40–49</v>
      </c>
      <c r="AC523" t="str">
        <f t="shared" si="83"/>
        <v>Monday</v>
      </c>
      <c r="AD523" t="str">
        <f t="shared" si="84"/>
        <v>Tuesday</v>
      </c>
      <c r="AE523" t="str">
        <f t="shared" si="85"/>
        <v/>
      </c>
      <c r="AF523" t="str">
        <f t="shared" si="86"/>
        <v/>
      </c>
      <c r="AG523" t="str">
        <f t="shared" si="87"/>
        <v/>
      </c>
      <c r="AH523" t="str">
        <f t="shared" si="88"/>
        <v/>
      </c>
      <c r="AI523" t="str">
        <f t="shared" si="89"/>
        <v/>
      </c>
      <c r="AJ523" t="str">
        <f>LEFT(Table1[[#This Row],[membership_type]],2)&amp;TEXT(Table1[[#This Row],[age]],"00")&amp;"-"&amp;TEXT(ROW(),"000")</f>
        <v>Pr46-523</v>
      </c>
      <c r="AK523" t="str">
        <f>LEFT(Table1[[#This Row],[membership_type]],1)&amp;TEXT(MATCH(Table1[[#This Row],[membership_type]],Table1[membership_type],0),"00")</f>
        <v>P01</v>
      </c>
      <c r="AL523" t="str">
        <f>LEFT(Table1[[#This Row],[discount_type]],1)&amp;TEXT(ROUND(Table1[[#This Row],[discount_rate]]*100,0),"00")</f>
        <v>N00</v>
      </c>
      <c r="AM523" t="str" cm="1">
        <f t="array" ref="AM523">TEXT(SUMPRODUCT(CODE(MID(Table1[[#This Row],[home_gym_location]],_xlfn.SEQUENCE(LEN(Table1[[#This Row],[home_gym_location]])),1))),"00000")</f>
        <v>01107</v>
      </c>
      <c r="AN52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23" t="str">
        <f>LEFT(_xlfn.TEXTBEFORE(Table1[[#This Row],[Location Identifier]],"-"),3) &amp; "-" &amp; _xlfn.TEXTAFTER(Table1[[#This Row],[Location Identifier]],"-")</f>
        <v>LON-004</v>
      </c>
      <c r="AP523" s="9">
        <f t="shared" ca="1" si="80"/>
        <v>45869</v>
      </c>
    </row>
    <row r="524" spans="1:42" x14ac:dyDescent="0.25">
      <c r="A524">
        <v>44</v>
      </c>
      <c r="B524" t="s">
        <v>51</v>
      </c>
      <c r="C524">
        <v>5</v>
      </c>
      <c r="D524" t="s">
        <v>77</v>
      </c>
      <c r="E524" t="b">
        <v>1</v>
      </c>
      <c r="F524" s="1">
        <v>0.83611111111111114</v>
      </c>
      <c r="G524" s="1">
        <v>0.93680555555555556</v>
      </c>
      <c r="H524">
        <v>145</v>
      </c>
      <c r="I524" t="b">
        <v>0</v>
      </c>
      <c r="J524" t="b">
        <v>1</v>
      </c>
      <c r="K524" t="b">
        <v>1</v>
      </c>
      <c r="L524" t="s">
        <v>62</v>
      </c>
      <c r="M524">
        <v>70</v>
      </c>
      <c r="N524" t="s">
        <v>29</v>
      </c>
      <c r="O524">
        <v>70</v>
      </c>
      <c r="P524" t="s">
        <v>74</v>
      </c>
      <c r="Q524">
        <v>0.15</v>
      </c>
      <c r="R524">
        <v>59.5</v>
      </c>
      <c r="S524" t="s">
        <v>53</v>
      </c>
      <c r="T524" t="s">
        <v>59</v>
      </c>
      <c r="U524">
        <v>37.774900000000002</v>
      </c>
      <c r="V524">
        <v>-122.4194</v>
      </c>
      <c r="W524" s="2">
        <v>44798</v>
      </c>
      <c r="X524">
        <v>2</v>
      </c>
      <c r="Y524" t="b">
        <v>1</v>
      </c>
      <c r="Z524" s="2">
        <v>45802</v>
      </c>
      <c r="AA524" t="str">
        <f t="shared" si="81"/>
        <v>40–49</v>
      </c>
      <c r="AB524" t="str">
        <f t="shared" si="82"/>
        <v>40–49</v>
      </c>
      <c r="AC524" t="str">
        <f t="shared" si="83"/>
        <v/>
      </c>
      <c r="AD524" t="str">
        <f t="shared" si="84"/>
        <v>Tuesday</v>
      </c>
      <c r="AE524" t="str">
        <f t="shared" si="85"/>
        <v>Wednesday</v>
      </c>
      <c r="AF524" t="str">
        <f t="shared" si="86"/>
        <v>Thursday</v>
      </c>
      <c r="AG524" t="str">
        <f t="shared" si="87"/>
        <v>Friday</v>
      </c>
      <c r="AH524" t="str">
        <f t="shared" si="88"/>
        <v/>
      </c>
      <c r="AI524" t="str">
        <f t="shared" si="89"/>
        <v>Sunday</v>
      </c>
      <c r="AJ524" t="str">
        <f>LEFT(Table1[[#This Row],[membership_type]],2)&amp;TEXT(Table1[[#This Row],[age]],"00")&amp;"-"&amp;TEXT(ROW(),"000")</f>
        <v>El44-524</v>
      </c>
      <c r="AK524" t="str">
        <f>LEFT(Table1[[#This Row],[membership_type]],1)&amp;TEXT(MATCH(Table1[[#This Row],[membership_type]],Table1[membership_type],0),"00")</f>
        <v>E07</v>
      </c>
      <c r="AL524" t="str">
        <f>LEFT(Table1[[#This Row],[discount_type]],1)&amp;TEXT(ROUND(Table1[[#This Row],[discount_rate]]*100,0),"00")</f>
        <v>S15</v>
      </c>
      <c r="AM524" t="str" cm="1">
        <f t="array" ref="AM524">TEXT(SUMPRODUCT(CODE(MID(Table1[[#This Row],[home_gym_location]],_xlfn.SEQUENCE(LEN(Table1[[#This Row],[home_gym_location]])),1))),"00000")</f>
        <v>01450</v>
      </c>
      <c r="AN52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24" t="str">
        <f>LEFT(_xlfn.TEXTBEFORE(Table1[[#This Row],[Location Identifier]],"-"),3) &amp; "-" &amp; _xlfn.TEXTAFTER(Table1[[#This Row],[Location Identifier]],"-")</f>
        <v>SAN-009</v>
      </c>
      <c r="AP524" s="9">
        <f t="shared" ca="1" si="80"/>
        <v>45869</v>
      </c>
    </row>
    <row r="525" spans="1:42" x14ac:dyDescent="0.25">
      <c r="A525">
        <v>46</v>
      </c>
      <c r="B525" t="s">
        <v>26</v>
      </c>
      <c r="C525">
        <v>3</v>
      </c>
      <c r="D525" t="s">
        <v>117</v>
      </c>
      <c r="E525" t="b">
        <v>1</v>
      </c>
      <c r="F525" s="1">
        <v>0.75069444444444444</v>
      </c>
      <c r="G525" s="1">
        <v>0.77500000000000002</v>
      </c>
      <c r="H525">
        <v>35</v>
      </c>
      <c r="I525" t="b">
        <v>1</v>
      </c>
      <c r="J525" t="b">
        <v>0</v>
      </c>
      <c r="K525" t="b">
        <v>0</v>
      </c>
      <c r="L525" t="s">
        <v>35</v>
      </c>
      <c r="M525">
        <v>50</v>
      </c>
      <c r="N525" t="s">
        <v>29</v>
      </c>
      <c r="O525">
        <v>50</v>
      </c>
      <c r="P525" t="s">
        <v>36</v>
      </c>
      <c r="Q525">
        <v>0</v>
      </c>
      <c r="R525">
        <v>50</v>
      </c>
      <c r="S525" t="s">
        <v>31</v>
      </c>
      <c r="T525" t="s">
        <v>50</v>
      </c>
      <c r="U525">
        <v>34.052199999999999</v>
      </c>
      <c r="V525">
        <v>-118.2437</v>
      </c>
      <c r="W525" s="2">
        <v>44934</v>
      </c>
      <c r="X525">
        <v>0</v>
      </c>
      <c r="Y525" t="b">
        <v>1</v>
      </c>
      <c r="Z525" s="2">
        <v>45810</v>
      </c>
      <c r="AA525" t="str">
        <f t="shared" si="81"/>
        <v>40–49</v>
      </c>
      <c r="AB525" t="str">
        <f t="shared" si="82"/>
        <v>40–49</v>
      </c>
      <c r="AC525" t="str">
        <f t="shared" si="83"/>
        <v/>
      </c>
      <c r="AD525" t="str">
        <f t="shared" si="84"/>
        <v/>
      </c>
      <c r="AE525" t="str">
        <f t="shared" si="85"/>
        <v>Wednesday</v>
      </c>
      <c r="AF525" t="str">
        <f t="shared" si="86"/>
        <v>Thursday</v>
      </c>
      <c r="AG525" t="str">
        <f t="shared" si="87"/>
        <v/>
      </c>
      <c r="AH525" t="str">
        <f t="shared" si="88"/>
        <v/>
      </c>
      <c r="AI525" t="str">
        <f t="shared" si="89"/>
        <v>Sunday</v>
      </c>
      <c r="AJ525" t="str">
        <f>LEFT(Table1[[#This Row],[membership_type]],2)&amp;TEXT(Table1[[#This Row],[age]],"00")&amp;"-"&amp;TEXT(ROW(),"000")</f>
        <v>Pr46-525</v>
      </c>
      <c r="AK525" t="str">
        <f>LEFT(Table1[[#This Row],[membership_type]],1)&amp;TEXT(MATCH(Table1[[#This Row],[membership_type]],Table1[membership_type],0),"00")</f>
        <v>P01</v>
      </c>
      <c r="AL525" t="str">
        <f>LEFT(Table1[[#This Row],[discount_type]],1)&amp;TEXT(ROUND(Table1[[#This Row],[discount_rate]]*100,0),"00")</f>
        <v>N00</v>
      </c>
      <c r="AM525" t="str" cm="1">
        <f t="array" ref="AM525">TEXT(SUMPRODUCT(CODE(MID(Table1[[#This Row],[home_gym_location]],_xlfn.SEQUENCE(LEN(Table1[[#This Row],[home_gym_location]])),1))),"00000")</f>
        <v>01245</v>
      </c>
      <c r="AN52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25" t="str">
        <f>LEFT(_xlfn.TEXTBEFORE(Table1[[#This Row],[Location Identifier]],"-"),3) &amp; "-" &amp; _xlfn.TEXTAFTER(Table1[[#This Row],[Location Identifier]],"-")</f>
        <v>LOS-005</v>
      </c>
      <c r="AP525" s="9">
        <f t="shared" ca="1" si="80"/>
        <v>45869</v>
      </c>
    </row>
    <row r="526" spans="1:42" x14ac:dyDescent="0.25">
      <c r="A526">
        <v>18</v>
      </c>
      <c r="B526" t="s">
        <v>33</v>
      </c>
      <c r="C526">
        <v>2</v>
      </c>
      <c r="D526" t="s">
        <v>108</v>
      </c>
      <c r="E526" t="b">
        <v>0</v>
      </c>
      <c r="F526" s="1">
        <v>0.69513888888888886</v>
      </c>
      <c r="G526" s="1">
        <v>0.79166666666666663</v>
      </c>
      <c r="H526">
        <v>139</v>
      </c>
      <c r="I526" t="b">
        <v>1</v>
      </c>
      <c r="J526" t="b">
        <v>0</v>
      </c>
      <c r="K526" t="b">
        <v>0</v>
      </c>
      <c r="L526" t="s">
        <v>62</v>
      </c>
      <c r="M526">
        <v>30</v>
      </c>
      <c r="N526" t="s">
        <v>64</v>
      </c>
      <c r="O526">
        <v>22.5</v>
      </c>
      <c r="P526" t="s">
        <v>36</v>
      </c>
      <c r="Q526">
        <v>0</v>
      </c>
      <c r="R526">
        <v>22.5</v>
      </c>
      <c r="S526" t="s">
        <v>37</v>
      </c>
      <c r="T526" t="s">
        <v>56</v>
      </c>
      <c r="U526">
        <v>35.3733</v>
      </c>
      <c r="V526">
        <v>-119.0187</v>
      </c>
      <c r="W526" s="2">
        <v>44938</v>
      </c>
      <c r="X526">
        <v>0</v>
      </c>
      <c r="Y526" t="b">
        <v>0</v>
      </c>
      <c r="Z526" s="2">
        <v>45810</v>
      </c>
      <c r="AA526" t="str">
        <f t="shared" si="81"/>
        <v>10–19</v>
      </c>
      <c r="AB526" t="str">
        <f t="shared" si="82"/>
        <v>16–19</v>
      </c>
      <c r="AC526" t="str">
        <f t="shared" si="83"/>
        <v/>
      </c>
      <c r="AD526" t="str">
        <f t="shared" si="84"/>
        <v>Tuesday</v>
      </c>
      <c r="AE526" t="str">
        <f t="shared" si="85"/>
        <v/>
      </c>
      <c r="AF526" t="str">
        <f t="shared" si="86"/>
        <v>Thursday</v>
      </c>
      <c r="AG526" t="str">
        <f t="shared" si="87"/>
        <v/>
      </c>
      <c r="AH526" t="str">
        <f t="shared" si="88"/>
        <v/>
      </c>
      <c r="AI526" t="str">
        <f t="shared" si="89"/>
        <v/>
      </c>
      <c r="AJ526" t="str">
        <f>LEFT(Table1[[#This Row],[membership_type]],2)&amp;TEXT(Table1[[#This Row],[age]],"00")&amp;"-"&amp;TEXT(ROW(),"000")</f>
        <v>St18-526</v>
      </c>
      <c r="AK526" t="str">
        <f>LEFT(Table1[[#This Row],[membership_type]],1)&amp;TEXT(MATCH(Table1[[#This Row],[membership_type]],Table1[membership_type],0),"00")</f>
        <v>S02</v>
      </c>
      <c r="AL526" t="str">
        <f>LEFT(Table1[[#This Row],[discount_type]],1)&amp;TEXT(ROUND(Table1[[#This Row],[discount_rate]]*100,0),"00")</f>
        <v>N00</v>
      </c>
      <c r="AM526" t="str" cm="1">
        <f t="array" ref="AM526">TEXT(SUMPRODUCT(CODE(MID(Table1[[#This Row],[home_gym_location]],_xlfn.SEQUENCE(LEN(Table1[[#This Row],[home_gym_location]])),1))),"00000")</f>
        <v>01324</v>
      </c>
      <c r="AN52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26" t="str">
        <f>LEFT(_xlfn.TEXTBEFORE(Table1[[#This Row],[Location Identifier]],"-"),3) &amp; "-" &amp; _xlfn.TEXTAFTER(Table1[[#This Row],[Location Identifier]],"-")</f>
        <v>BAK-002</v>
      </c>
      <c r="AP526" s="9">
        <f t="shared" ca="1" si="80"/>
        <v>45869</v>
      </c>
    </row>
    <row r="527" spans="1:42" x14ac:dyDescent="0.25">
      <c r="A527">
        <v>47</v>
      </c>
      <c r="B527" t="s">
        <v>33</v>
      </c>
      <c r="C527">
        <v>1</v>
      </c>
      <c r="D527" t="s">
        <v>49</v>
      </c>
      <c r="E527" t="b">
        <v>0</v>
      </c>
      <c r="F527" s="1">
        <v>0.68263888888888891</v>
      </c>
      <c r="G527" s="1">
        <v>0.75486111111111109</v>
      </c>
      <c r="H527">
        <v>104</v>
      </c>
      <c r="I527" t="b">
        <v>0</v>
      </c>
      <c r="J527" t="b">
        <v>1</v>
      </c>
      <c r="K527" t="b">
        <v>0</v>
      </c>
      <c r="L527" t="s">
        <v>47</v>
      </c>
      <c r="M527">
        <v>30</v>
      </c>
      <c r="N527" t="s">
        <v>29</v>
      </c>
      <c r="O527">
        <v>30</v>
      </c>
      <c r="P527" t="s">
        <v>74</v>
      </c>
      <c r="Q527">
        <v>0.15</v>
      </c>
      <c r="R527">
        <v>25.5</v>
      </c>
      <c r="S527" t="s">
        <v>37</v>
      </c>
      <c r="T527" t="s">
        <v>48</v>
      </c>
      <c r="U527">
        <v>38.581600000000002</v>
      </c>
      <c r="V527">
        <v>-121.4944</v>
      </c>
      <c r="W527" s="2">
        <v>45331</v>
      </c>
      <c r="X527">
        <v>6</v>
      </c>
      <c r="Y527" t="b">
        <v>1</v>
      </c>
      <c r="Z527" s="2">
        <v>45832</v>
      </c>
      <c r="AA527" t="str">
        <f t="shared" si="81"/>
        <v>40–49</v>
      </c>
      <c r="AB527" t="str">
        <f t="shared" si="82"/>
        <v>40–49</v>
      </c>
      <c r="AC527" t="str">
        <f t="shared" si="83"/>
        <v/>
      </c>
      <c r="AD527" t="str">
        <f t="shared" si="84"/>
        <v/>
      </c>
      <c r="AE527" t="str">
        <f t="shared" si="85"/>
        <v/>
      </c>
      <c r="AF527" t="str">
        <f t="shared" si="86"/>
        <v/>
      </c>
      <c r="AG527" t="str">
        <f t="shared" si="87"/>
        <v/>
      </c>
      <c r="AH527" t="str">
        <f t="shared" si="88"/>
        <v/>
      </c>
      <c r="AI527" t="str">
        <f t="shared" si="89"/>
        <v>Sunday</v>
      </c>
      <c r="AJ527" t="str">
        <f>LEFT(Table1[[#This Row],[membership_type]],2)&amp;TEXT(Table1[[#This Row],[age]],"00")&amp;"-"&amp;TEXT(ROW(),"000")</f>
        <v>St47-527</v>
      </c>
      <c r="AK527" t="str">
        <f>LEFT(Table1[[#This Row],[membership_type]],1)&amp;TEXT(MATCH(Table1[[#This Row],[membership_type]],Table1[membership_type],0),"00")</f>
        <v>S02</v>
      </c>
      <c r="AL527" t="str">
        <f>LEFT(Table1[[#This Row],[discount_type]],1)&amp;TEXT(ROUND(Table1[[#This Row],[discount_rate]]*100,0),"00")</f>
        <v>S15</v>
      </c>
      <c r="AM527" t="str" cm="1">
        <f t="array" ref="AM527">TEXT(SUMPRODUCT(CODE(MID(Table1[[#This Row],[home_gym_location]],_xlfn.SEQUENCE(LEN(Table1[[#This Row],[home_gym_location]])),1))),"00000")</f>
        <v>01245</v>
      </c>
      <c r="AN52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27" t="str">
        <f>LEFT(_xlfn.TEXTBEFORE(Table1[[#This Row],[Location Identifier]],"-"),3) &amp; "-" &amp; _xlfn.TEXTAFTER(Table1[[#This Row],[Location Identifier]],"-")</f>
        <v>SAC-007</v>
      </c>
      <c r="AP527" s="9">
        <f t="shared" ca="1" si="80"/>
        <v>45869</v>
      </c>
    </row>
    <row r="528" spans="1:42" x14ac:dyDescent="0.25">
      <c r="A528">
        <v>23</v>
      </c>
      <c r="B528" t="s">
        <v>26</v>
      </c>
      <c r="C528">
        <v>3</v>
      </c>
      <c r="D528" t="s">
        <v>129</v>
      </c>
      <c r="E528" t="b">
        <v>1</v>
      </c>
      <c r="F528" s="1">
        <v>0.79305555555555551</v>
      </c>
      <c r="G528" s="1">
        <v>0.88124999999999998</v>
      </c>
      <c r="H528">
        <v>127</v>
      </c>
      <c r="I528" t="b">
        <v>0</v>
      </c>
      <c r="J528" t="b">
        <v>0</v>
      </c>
      <c r="K528" t="b">
        <v>0</v>
      </c>
      <c r="L528" t="s">
        <v>62</v>
      </c>
      <c r="M528">
        <v>50</v>
      </c>
      <c r="N528" t="s">
        <v>64</v>
      </c>
      <c r="O528">
        <v>37.5</v>
      </c>
      <c r="P528" t="s">
        <v>36</v>
      </c>
      <c r="Q528">
        <v>0</v>
      </c>
      <c r="R528">
        <v>37.5</v>
      </c>
      <c r="S528" t="s">
        <v>31</v>
      </c>
      <c r="T528" t="s">
        <v>45</v>
      </c>
      <c r="U528">
        <v>33.836599999999997</v>
      </c>
      <c r="V528">
        <v>-117.9143</v>
      </c>
      <c r="W528" s="2">
        <v>45389</v>
      </c>
      <c r="X528">
        <v>0</v>
      </c>
      <c r="Y528" t="b">
        <v>1</v>
      </c>
      <c r="Z528" s="2">
        <v>45836</v>
      </c>
      <c r="AA528" t="str">
        <f t="shared" si="81"/>
        <v>20–29</v>
      </c>
      <c r="AB528" t="str">
        <f t="shared" si="82"/>
        <v>20–29</v>
      </c>
      <c r="AC528" t="str">
        <f t="shared" si="83"/>
        <v/>
      </c>
      <c r="AD528" t="str">
        <f t="shared" si="84"/>
        <v>Tuesday</v>
      </c>
      <c r="AE528" t="str">
        <f t="shared" si="85"/>
        <v>Wednesday</v>
      </c>
      <c r="AF528" t="str">
        <f t="shared" si="86"/>
        <v/>
      </c>
      <c r="AG528" t="str">
        <f t="shared" si="87"/>
        <v/>
      </c>
      <c r="AH528" t="str">
        <f t="shared" si="88"/>
        <v/>
      </c>
      <c r="AI528" t="str">
        <f t="shared" si="89"/>
        <v>Sunday</v>
      </c>
      <c r="AJ528" t="str">
        <f>LEFT(Table1[[#This Row],[membership_type]],2)&amp;TEXT(Table1[[#This Row],[age]],"00")&amp;"-"&amp;TEXT(ROW(),"000")</f>
        <v>Pr23-528</v>
      </c>
      <c r="AK528" t="str">
        <f>LEFT(Table1[[#This Row],[membership_type]],1)&amp;TEXT(MATCH(Table1[[#This Row],[membership_type]],Table1[membership_type],0),"00")</f>
        <v>P01</v>
      </c>
      <c r="AL528" t="str">
        <f>LEFT(Table1[[#This Row],[discount_type]],1)&amp;TEXT(ROUND(Table1[[#This Row],[discount_rate]]*100,0),"00")</f>
        <v>N00</v>
      </c>
      <c r="AM528" t="str" cm="1">
        <f t="array" ref="AM528">TEXT(SUMPRODUCT(CODE(MID(Table1[[#This Row],[home_gym_location]],_xlfn.SEQUENCE(LEN(Table1[[#This Row],[home_gym_location]])),1))),"00000")</f>
        <v>00899</v>
      </c>
      <c r="AN528" t="str">
        <f>UPPER(_xlfn.TEXTBEFORE(Table1[[#This Row],[home_gym_location]],","))&amp;"-"&amp;TEXT(MATCH(Table1[[#This Row],[home_gym_location]],_xlfn._xlws.SORT(_xlfn.UNIQUE(Table1[home_gym_location])),0),"000")</f>
        <v>ANAHEIM-001</v>
      </c>
      <c r="AO528" t="str">
        <f>LEFT(_xlfn.TEXTBEFORE(Table1[[#This Row],[Location Identifier]],"-"),3) &amp; "-" &amp; _xlfn.TEXTAFTER(Table1[[#This Row],[Location Identifier]],"-")</f>
        <v>ANA-001</v>
      </c>
      <c r="AP528" s="9">
        <f t="shared" ca="1" si="80"/>
        <v>45869</v>
      </c>
    </row>
    <row r="529" spans="1:42" x14ac:dyDescent="0.25">
      <c r="A529">
        <v>37</v>
      </c>
      <c r="B529" t="s">
        <v>33</v>
      </c>
      <c r="C529">
        <v>1</v>
      </c>
      <c r="D529" t="s">
        <v>71</v>
      </c>
      <c r="E529" t="b">
        <v>1</v>
      </c>
      <c r="F529" s="1">
        <v>0.75416666666666665</v>
      </c>
      <c r="G529" s="1">
        <v>0.83263888888888893</v>
      </c>
      <c r="H529">
        <v>113</v>
      </c>
      <c r="I529" t="b">
        <v>0</v>
      </c>
      <c r="J529" t="b">
        <v>0</v>
      </c>
      <c r="K529" t="b">
        <v>0</v>
      </c>
      <c r="L529" t="s">
        <v>62</v>
      </c>
      <c r="M529">
        <v>30</v>
      </c>
      <c r="N529" t="s">
        <v>29</v>
      </c>
      <c r="O529">
        <v>30</v>
      </c>
      <c r="P529" t="s">
        <v>36</v>
      </c>
      <c r="Q529">
        <v>0</v>
      </c>
      <c r="R529">
        <v>30</v>
      </c>
      <c r="S529" t="s">
        <v>37</v>
      </c>
      <c r="T529" t="s">
        <v>59</v>
      </c>
      <c r="U529">
        <v>37.774900000000002</v>
      </c>
      <c r="V529">
        <v>-122.4194</v>
      </c>
      <c r="W529" s="2">
        <v>45539</v>
      </c>
      <c r="X529">
        <v>0</v>
      </c>
      <c r="Y529" t="b">
        <v>0</v>
      </c>
      <c r="Z529" s="2">
        <v>45844</v>
      </c>
      <c r="AA529" t="str">
        <f t="shared" si="81"/>
        <v>30–39</v>
      </c>
      <c r="AB529" t="str">
        <f t="shared" si="82"/>
        <v>30–39</v>
      </c>
      <c r="AC529" t="str">
        <f t="shared" si="83"/>
        <v/>
      </c>
      <c r="AD529" t="str">
        <f t="shared" si="84"/>
        <v>Tuesday</v>
      </c>
      <c r="AE529" t="str">
        <f t="shared" si="85"/>
        <v/>
      </c>
      <c r="AF529" t="str">
        <f t="shared" si="86"/>
        <v/>
      </c>
      <c r="AG529" t="str">
        <f t="shared" si="87"/>
        <v/>
      </c>
      <c r="AH529" t="str">
        <f t="shared" si="88"/>
        <v/>
      </c>
      <c r="AI529" t="str">
        <f t="shared" si="89"/>
        <v/>
      </c>
      <c r="AJ529" t="str">
        <f>LEFT(Table1[[#This Row],[membership_type]],2)&amp;TEXT(Table1[[#This Row],[age]],"00")&amp;"-"&amp;TEXT(ROW(),"000")</f>
        <v>St37-529</v>
      </c>
      <c r="AK529" t="str">
        <f>LEFT(Table1[[#This Row],[membership_type]],1)&amp;TEXT(MATCH(Table1[[#This Row],[membership_type]],Table1[membership_type],0),"00")</f>
        <v>S02</v>
      </c>
      <c r="AL529" t="str">
        <f>LEFT(Table1[[#This Row],[discount_type]],1)&amp;TEXT(ROUND(Table1[[#This Row],[discount_rate]]*100,0),"00")</f>
        <v>N00</v>
      </c>
      <c r="AM529" t="str" cm="1">
        <f t="array" ref="AM529">TEXT(SUMPRODUCT(CODE(MID(Table1[[#This Row],[home_gym_location]],_xlfn.SEQUENCE(LEN(Table1[[#This Row],[home_gym_location]])),1))),"00000")</f>
        <v>01450</v>
      </c>
      <c r="AN52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29" t="str">
        <f>LEFT(_xlfn.TEXTBEFORE(Table1[[#This Row],[Location Identifier]],"-"),3) &amp; "-" &amp; _xlfn.TEXTAFTER(Table1[[#This Row],[Location Identifier]],"-")</f>
        <v>SAN-009</v>
      </c>
      <c r="AP529" s="9">
        <f t="shared" ca="1" si="80"/>
        <v>45869</v>
      </c>
    </row>
    <row r="530" spans="1:42" x14ac:dyDescent="0.25">
      <c r="A530">
        <v>21</v>
      </c>
      <c r="B530" t="s">
        <v>42</v>
      </c>
      <c r="C530">
        <v>1</v>
      </c>
      <c r="D530" t="s">
        <v>97</v>
      </c>
      <c r="E530" t="b">
        <v>0</v>
      </c>
      <c r="F530" s="1">
        <v>0.35347222222222224</v>
      </c>
      <c r="G530" s="1">
        <v>0.41180555555555554</v>
      </c>
      <c r="H530">
        <v>84</v>
      </c>
      <c r="I530" t="b">
        <v>1</v>
      </c>
      <c r="J530" t="b">
        <v>0</v>
      </c>
      <c r="K530" t="b">
        <v>0</v>
      </c>
      <c r="L530" t="s">
        <v>28</v>
      </c>
      <c r="M530">
        <v>20</v>
      </c>
      <c r="N530" t="s">
        <v>64</v>
      </c>
      <c r="O530">
        <v>15</v>
      </c>
      <c r="P530" t="s">
        <v>30</v>
      </c>
      <c r="Q530">
        <v>0.05</v>
      </c>
      <c r="R530">
        <v>14.25</v>
      </c>
      <c r="S530" t="s">
        <v>44</v>
      </c>
      <c r="T530" t="s">
        <v>41</v>
      </c>
      <c r="U530">
        <v>37.804400000000001</v>
      </c>
      <c r="V530">
        <v>-122.27119999999999</v>
      </c>
      <c r="W530" s="2">
        <v>45770</v>
      </c>
      <c r="X530">
        <v>0</v>
      </c>
      <c r="Y530" t="b">
        <v>0</v>
      </c>
      <c r="Z530" s="2">
        <v>45857</v>
      </c>
      <c r="AA530" t="str">
        <f t="shared" si="81"/>
        <v>20–29</v>
      </c>
      <c r="AB530" t="str">
        <f t="shared" si="82"/>
        <v>20–29</v>
      </c>
      <c r="AC530" t="str">
        <f t="shared" si="83"/>
        <v>Monday</v>
      </c>
      <c r="AD530" t="str">
        <f t="shared" si="84"/>
        <v/>
      </c>
      <c r="AE530" t="str">
        <f t="shared" si="85"/>
        <v/>
      </c>
      <c r="AF530" t="str">
        <f t="shared" si="86"/>
        <v/>
      </c>
      <c r="AG530" t="str">
        <f t="shared" si="87"/>
        <v/>
      </c>
      <c r="AH530" t="str">
        <f t="shared" si="88"/>
        <v/>
      </c>
      <c r="AI530" t="str">
        <f t="shared" si="89"/>
        <v/>
      </c>
      <c r="AJ530" t="str">
        <f>LEFT(Table1[[#This Row],[membership_type]],2)&amp;TEXT(Table1[[#This Row],[age]],"00")&amp;"-"&amp;TEXT(ROW(),"000")</f>
        <v>Ba21-530</v>
      </c>
      <c r="AK530" t="str">
        <f>LEFT(Table1[[#This Row],[membership_type]],1)&amp;TEXT(MATCH(Table1[[#This Row],[membership_type]],Table1[membership_type],0),"00")</f>
        <v>B04</v>
      </c>
      <c r="AL530" t="str">
        <f>LEFT(Table1[[#This Row],[discount_type]],1)&amp;TEXT(ROUND(Table1[[#This Row],[discount_rate]]*100,0),"00")</f>
        <v>P05</v>
      </c>
      <c r="AM530" t="str" cm="1">
        <f t="array" ref="AM530">TEXT(SUMPRODUCT(CODE(MID(Table1[[#This Row],[home_gym_location]],_xlfn.SEQUENCE(LEN(Table1[[#This Row],[home_gym_location]])),1))),"00000")</f>
        <v>00906</v>
      </c>
      <c r="AN530" t="str">
        <f>UPPER(_xlfn.TEXTBEFORE(Table1[[#This Row],[home_gym_location]],","))&amp;"-"&amp;TEXT(MATCH(Table1[[#This Row],[home_gym_location]],_xlfn._xlws.SORT(_xlfn.UNIQUE(Table1[home_gym_location])),0),"000")</f>
        <v>OAKLAND-006</v>
      </c>
      <c r="AO530" t="str">
        <f>LEFT(_xlfn.TEXTBEFORE(Table1[[#This Row],[Location Identifier]],"-"),3) &amp; "-" &amp; _xlfn.TEXTAFTER(Table1[[#This Row],[Location Identifier]],"-")</f>
        <v>OAK-006</v>
      </c>
      <c r="AP530" s="9">
        <f t="shared" ca="1" si="80"/>
        <v>45869</v>
      </c>
    </row>
    <row r="531" spans="1:42" x14ac:dyDescent="0.25">
      <c r="A531">
        <v>34</v>
      </c>
      <c r="B531" t="s">
        <v>26</v>
      </c>
      <c r="C531">
        <v>2</v>
      </c>
      <c r="D531" t="s">
        <v>101</v>
      </c>
      <c r="E531" t="b">
        <v>0</v>
      </c>
      <c r="F531" s="1">
        <v>0.39930555555555558</v>
      </c>
      <c r="G531" s="1">
        <v>0.5</v>
      </c>
      <c r="H531">
        <v>145</v>
      </c>
      <c r="I531" t="b">
        <v>0</v>
      </c>
      <c r="J531" t="b">
        <v>1</v>
      </c>
      <c r="K531" t="b">
        <v>1</v>
      </c>
      <c r="L531" t="s">
        <v>28</v>
      </c>
      <c r="M531">
        <v>50</v>
      </c>
      <c r="N531" t="s">
        <v>64</v>
      </c>
      <c r="O531">
        <v>37.5</v>
      </c>
      <c r="P531" t="s">
        <v>36</v>
      </c>
      <c r="Q531">
        <v>0</v>
      </c>
      <c r="R531">
        <v>37.5</v>
      </c>
      <c r="S531" t="s">
        <v>31</v>
      </c>
      <c r="T531" t="s">
        <v>38</v>
      </c>
      <c r="U531">
        <v>36.7378</v>
      </c>
      <c r="V531">
        <v>-119.7871</v>
      </c>
      <c r="W531" s="2">
        <v>44910</v>
      </c>
      <c r="X531">
        <v>3</v>
      </c>
      <c r="Y531" t="b">
        <v>1</v>
      </c>
      <c r="Z531" s="2">
        <v>45809</v>
      </c>
      <c r="AA531" t="str">
        <f t="shared" si="81"/>
        <v>30–39</v>
      </c>
      <c r="AB531" t="str">
        <f t="shared" si="82"/>
        <v>30–39</v>
      </c>
      <c r="AC531" t="str">
        <f t="shared" si="83"/>
        <v>Monday</v>
      </c>
      <c r="AD531" t="str">
        <f t="shared" si="84"/>
        <v/>
      </c>
      <c r="AE531" t="str">
        <f t="shared" si="85"/>
        <v/>
      </c>
      <c r="AF531" t="str">
        <f t="shared" si="86"/>
        <v/>
      </c>
      <c r="AG531" t="str">
        <f t="shared" si="87"/>
        <v>Friday</v>
      </c>
      <c r="AH531" t="str">
        <f t="shared" si="88"/>
        <v/>
      </c>
      <c r="AI531" t="str">
        <f t="shared" si="89"/>
        <v/>
      </c>
      <c r="AJ531" t="str">
        <f>LEFT(Table1[[#This Row],[membership_type]],2)&amp;TEXT(Table1[[#This Row],[age]],"00")&amp;"-"&amp;TEXT(ROW(),"000")</f>
        <v>Pr34-531</v>
      </c>
      <c r="AK531" t="str">
        <f>LEFT(Table1[[#This Row],[membership_type]],1)&amp;TEXT(MATCH(Table1[[#This Row],[membership_type]],Table1[membership_type],0),"00")</f>
        <v>P01</v>
      </c>
      <c r="AL531" t="str">
        <f>LEFT(Table1[[#This Row],[discount_type]],1)&amp;TEXT(ROUND(Table1[[#This Row],[discount_rate]]*100,0),"00")</f>
        <v>N00</v>
      </c>
      <c r="AM531" t="str" cm="1">
        <f t="array" ref="AM531">TEXT(SUMPRODUCT(CODE(MID(Table1[[#This Row],[home_gym_location]],_xlfn.SEQUENCE(LEN(Table1[[#This Row],[home_gym_location]])),1))),"00000")</f>
        <v>00829</v>
      </c>
      <c r="AN531" t="str">
        <f>UPPER(_xlfn.TEXTBEFORE(Table1[[#This Row],[home_gym_location]],","))&amp;"-"&amp;TEXT(MATCH(Table1[[#This Row],[home_gym_location]],_xlfn._xlws.SORT(_xlfn.UNIQUE(Table1[home_gym_location])),0),"000")</f>
        <v>FRESNO-003</v>
      </c>
      <c r="AO531" t="str">
        <f>LEFT(_xlfn.TEXTBEFORE(Table1[[#This Row],[Location Identifier]],"-"),3) &amp; "-" &amp; _xlfn.TEXTAFTER(Table1[[#This Row],[Location Identifier]],"-")</f>
        <v>FRE-003</v>
      </c>
      <c r="AP531" s="9">
        <f t="shared" ca="1" si="80"/>
        <v>45869</v>
      </c>
    </row>
    <row r="532" spans="1:42" x14ac:dyDescent="0.25">
      <c r="A532">
        <v>46</v>
      </c>
      <c r="B532" t="s">
        <v>26</v>
      </c>
      <c r="C532">
        <v>5</v>
      </c>
      <c r="D532" t="s">
        <v>152</v>
      </c>
      <c r="E532" t="b">
        <v>1</v>
      </c>
      <c r="F532" s="1">
        <v>0.40347222222222223</v>
      </c>
      <c r="G532" s="1">
        <v>0.52638888888888891</v>
      </c>
      <c r="H532">
        <v>177</v>
      </c>
      <c r="I532" t="b">
        <v>1</v>
      </c>
      <c r="J532" t="b">
        <v>1</v>
      </c>
      <c r="K532" t="b">
        <v>1</v>
      </c>
      <c r="L532" t="s">
        <v>47</v>
      </c>
      <c r="M532">
        <v>50</v>
      </c>
      <c r="N532" t="s">
        <v>29</v>
      </c>
      <c r="O532">
        <v>50</v>
      </c>
      <c r="P532" t="s">
        <v>40</v>
      </c>
      <c r="Q532">
        <v>0.1</v>
      </c>
      <c r="R532">
        <v>45</v>
      </c>
      <c r="S532" t="s">
        <v>31</v>
      </c>
      <c r="T532" t="s">
        <v>41</v>
      </c>
      <c r="U532">
        <v>37.804400000000001</v>
      </c>
      <c r="V532">
        <v>-122.27119999999999</v>
      </c>
      <c r="W532" s="2">
        <v>44965</v>
      </c>
      <c r="X532">
        <v>4</v>
      </c>
      <c r="Y532" t="b">
        <v>1</v>
      </c>
      <c r="Z532" s="2">
        <v>45812</v>
      </c>
      <c r="AA532" t="str">
        <f t="shared" si="81"/>
        <v>40–49</v>
      </c>
      <c r="AB532" t="str">
        <f t="shared" si="82"/>
        <v>40–49</v>
      </c>
      <c r="AC532" t="str">
        <f t="shared" si="83"/>
        <v>Monday</v>
      </c>
      <c r="AD532" t="str">
        <f t="shared" si="84"/>
        <v>Tuesday</v>
      </c>
      <c r="AE532" t="str">
        <f t="shared" si="85"/>
        <v>Wednesday</v>
      </c>
      <c r="AF532" t="str">
        <f t="shared" si="86"/>
        <v/>
      </c>
      <c r="AG532" t="str">
        <f t="shared" si="87"/>
        <v>Friday</v>
      </c>
      <c r="AH532" t="str">
        <f t="shared" si="88"/>
        <v>Saturday</v>
      </c>
      <c r="AI532" t="str">
        <f t="shared" si="89"/>
        <v/>
      </c>
      <c r="AJ532" t="str">
        <f>LEFT(Table1[[#This Row],[membership_type]],2)&amp;TEXT(Table1[[#This Row],[age]],"00")&amp;"-"&amp;TEXT(ROW(),"000")</f>
        <v>Pr46-532</v>
      </c>
      <c r="AK532" t="str">
        <f>LEFT(Table1[[#This Row],[membership_type]],1)&amp;TEXT(MATCH(Table1[[#This Row],[membership_type]],Table1[membership_type],0),"00")</f>
        <v>P01</v>
      </c>
      <c r="AL532" t="str">
        <f>LEFT(Table1[[#This Row],[discount_type]],1)&amp;TEXT(ROUND(Table1[[#This Row],[discount_rate]]*100,0),"00")</f>
        <v>L10</v>
      </c>
      <c r="AM532" t="str" cm="1">
        <f t="array" ref="AM532">TEXT(SUMPRODUCT(CODE(MID(Table1[[#This Row],[home_gym_location]],_xlfn.SEQUENCE(LEN(Table1[[#This Row],[home_gym_location]])),1))),"00000")</f>
        <v>00906</v>
      </c>
      <c r="AN532" t="str">
        <f>UPPER(_xlfn.TEXTBEFORE(Table1[[#This Row],[home_gym_location]],","))&amp;"-"&amp;TEXT(MATCH(Table1[[#This Row],[home_gym_location]],_xlfn._xlws.SORT(_xlfn.UNIQUE(Table1[home_gym_location])),0),"000")</f>
        <v>OAKLAND-006</v>
      </c>
      <c r="AO532" t="str">
        <f>LEFT(_xlfn.TEXTBEFORE(Table1[[#This Row],[Location Identifier]],"-"),3) &amp; "-" &amp; _xlfn.TEXTAFTER(Table1[[#This Row],[Location Identifier]],"-")</f>
        <v>OAK-006</v>
      </c>
      <c r="AP532" s="9">
        <f t="shared" ca="1" si="80"/>
        <v>45869</v>
      </c>
    </row>
    <row r="533" spans="1:42" x14ac:dyDescent="0.25">
      <c r="A533">
        <v>34</v>
      </c>
      <c r="B533" t="s">
        <v>51</v>
      </c>
      <c r="C533">
        <v>5</v>
      </c>
      <c r="D533" t="s">
        <v>120</v>
      </c>
      <c r="E533" t="b">
        <v>0</v>
      </c>
      <c r="F533" s="1">
        <v>0.35625000000000001</v>
      </c>
      <c r="G533" s="1">
        <v>0.43680555555555556</v>
      </c>
      <c r="H533">
        <v>116</v>
      </c>
      <c r="I533" t="b">
        <v>0</v>
      </c>
      <c r="J533" t="b">
        <v>0</v>
      </c>
      <c r="K533" t="b">
        <v>0</v>
      </c>
      <c r="L533" t="s">
        <v>28</v>
      </c>
      <c r="M533">
        <v>70</v>
      </c>
      <c r="N533" t="s">
        <v>64</v>
      </c>
      <c r="O533">
        <v>52.5</v>
      </c>
      <c r="P533" t="s">
        <v>40</v>
      </c>
      <c r="Q533">
        <v>0.1</v>
      </c>
      <c r="R533">
        <v>47.25</v>
      </c>
      <c r="S533" t="s">
        <v>53</v>
      </c>
      <c r="T533" t="s">
        <v>56</v>
      </c>
      <c r="U533">
        <v>35.3733</v>
      </c>
      <c r="V533">
        <v>-119.0187</v>
      </c>
      <c r="W533" s="2">
        <v>44766</v>
      </c>
      <c r="X533">
        <v>0</v>
      </c>
      <c r="Y533" t="b">
        <v>1</v>
      </c>
      <c r="Z533" s="2">
        <v>45801</v>
      </c>
      <c r="AA533" t="str">
        <f t="shared" si="81"/>
        <v>30–39</v>
      </c>
      <c r="AB533" t="str">
        <f t="shared" si="82"/>
        <v>30–39</v>
      </c>
      <c r="AC533" t="str">
        <f t="shared" si="83"/>
        <v>Monday</v>
      </c>
      <c r="AD533" t="str">
        <f t="shared" si="84"/>
        <v>Tuesday</v>
      </c>
      <c r="AE533" t="str">
        <f t="shared" si="85"/>
        <v/>
      </c>
      <c r="AF533" t="str">
        <f t="shared" si="86"/>
        <v>Thursday</v>
      </c>
      <c r="AG533" t="str">
        <f t="shared" si="87"/>
        <v>Friday</v>
      </c>
      <c r="AH533" t="str">
        <f t="shared" si="88"/>
        <v/>
      </c>
      <c r="AI533" t="str">
        <f t="shared" si="89"/>
        <v>Sunday</v>
      </c>
      <c r="AJ533" t="str">
        <f>LEFT(Table1[[#This Row],[membership_type]],2)&amp;TEXT(Table1[[#This Row],[age]],"00")&amp;"-"&amp;TEXT(ROW(),"000")</f>
        <v>El34-533</v>
      </c>
      <c r="AK533" t="str">
        <f>LEFT(Table1[[#This Row],[membership_type]],1)&amp;TEXT(MATCH(Table1[[#This Row],[membership_type]],Table1[membership_type],0),"00")</f>
        <v>E07</v>
      </c>
      <c r="AL533" t="str">
        <f>LEFT(Table1[[#This Row],[discount_type]],1)&amp;TEXT(ROUND(Table1[[#This Row],[discount_rate]]*100,0),"00")</f>
        <v>L10</v>
      </c>
      <c r="AM533" t="str" cm="1">
        <f t="array" ref="AM533">TEXT(SUMPRODUCT(CODE(MID(Table1[[#This Row],[home_gym_location]],_xlfn.SEQUENCE(LEN(Table1[[#This Row],[home_gym_location]])),1))),"00000")</f>
        <v>01324</v>
      </c>
      <c r="AN53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33" t="str">
        <f>LEFT(_xlfn.TEXTBEFORE(Table1[[#This Row],[Location Identifier]],"-"),3) &amp; "-" &amp; _xlfn.TEXTAFTER(Table1[[#This Row],[Location Identifier]],"-")</f>
        <v>BAK-002</v>
      </c>
      <c r="AP533" s="9">
        <f t="shared" ca="1" si="80"/>
        <v>45869</v>
      </c>
    </row>
    <row r="534" spans="1:42" x14ac:dyDescent="0.25">
      <c r="A534">
        <v>29</v>
      </c>
      <c r="B534" t="s">
        <v>51</v>
      </c>
      <c r="C534">
        <v>4</v>
      </c>
      <c r="D534" t="s">
        <v>52</v>
      </c>
      <c r="E534" t="b">
        <v>1</v>
      </c>
      <c r="F534" s="1">
        <v>0.76041666666666663</v>
      </c>
      <c r="G534" s="1">
        <v>0.78749999999999998</v>
      </c>
      <c r="H534">
        <v>39</v>
      </c>
      <c r="I534" t="b">
        <v>0</v>
      </c>
      <c r="J534" t="b">
        <v>1</v>
      </c>
      <c r="K534" t="b">
        <v>1</v>
      </c>
      <c r="L534" t="s">
        <v>47</v>
      </c>
      <c r="M534">
        <v>70</v>
      </c>
      <c r="N534" t="s">
        <v>29</v>
      </c>
      <c r="O534">
        <v>70</v>
      </c>
      <c r="P534" t="s">
        <v>36</v>
      </c>
      <c r="Q534">
        <v>0</v>
      </c>
      <c r="R534">
        <v>70</v>
      </c>
      <c r="S534" t="s">
        <v>53</v>
      </c>
      <c r="T534" t="s">
        <v>54</v>
      </c>
      <c r="U534">
        <v>32.715699999999998</v>
      </c>
      <c r="V534">
        <v>-117.1611</v>
      </c>
      <c r="W534" s="2">
        <v>44769</v>
      </c>
      <c r="X534">
        <v>4</v>
      </c>
      <c r="Y534" t="b">
        <v>1</v>
      </c>
      <c r="Z534" s="2">
        <v>45801</v>
      </c>
      <c r="AA534" t="str">
        <f t="shared" si="81"/>
        <v>20–29</v>
      </c>
      <c r="AB534" t="str">
        <f t="shared" si="82"/>
        <v>20–29</v>
      </c>
      <c r="AC534" t="str">
        <f t="shared" si="83"/>
        <v>Monday</v>
      </c>
      <c r="AD534" t="str">
        <f t="shared" si="84"/>
        <v/>
      </c>
      <c r="AE534" t="str">
        <f t="shared" si="85"/>
        <v/>
      </c>
      <c r="AF534" t="str">
        <f t="shared" si="86"/>
        <v>Thursday</v>
      </c>
      <c r="AG534" t="str">
        <f t="shared" si="87"/>
        <v>Friday</v>
      </c>
      <c r="AH534" t="str">
        <f t="shared" si="88"/>
        <v/>
      </c>
      <c r="AI534" t="str">
        <f t="shared" si="89"/>
        <v>Sunday</v>
      </c>
      <c r="AJ534" t="str">
        <f>LEFT(Table1[[#This Row],[membership_type]],2)&amp;TEXT(Table1[[#This Row],[age]],"00")&amp;"-"&amp;TEXT(ROW(),"000")</f>
        <v>El29-534</v>
      </c>
      <c r="AK534" t="str">
        <f>LEFT(Table1[[#This Row],[membership_type]],1)&amp;TEXT(MATCH(Table1[[#This Row],[membership_type]],Table1[membership_type],0),"00")</f>
        <v>E07</v>
      </c>
      <c r="AL534" t="str">
        <f>LEFT(Table1[[#This Row],[discount_type]],1)&amp;TEXT(ROUND(Table1[[#This Row],[discount_rate]]*100,0),"00")</f>
        <v>N00</v>
      </c>
      <c r="AM534" t="str" cm="1">
        <f t="array" ref="AM534">TEXT(SUMPRODUCT(CODE(MID(Table1[[#This Row],[home_gym_location]],_xlfn.SEQUENCE(LEN(Table1[[#This Row],[home_gym_location]])),1))),"00000")</f>
        <v>01018</v>
      </c>
      <c r="AN53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34" t="str">
        <f>LEFT(_xlfn.TEXTBEFORE(Table1[[#This Row],[Location Identifier]],"-"),3) &amp; "-" &amp; _xlfn.TEXTAFTER(Table1[[#This Row],[Location Identifier]],"-")</f>
        <v>SAN-008</v>
      </c>
      <c r="AP534" s="9">
        <f t="shared" ca="1" si="80"/>
        <v>45869</v>
      </c>
    </row>
    <row r="535" spans="1:42" x14ac:dyDescent="0.25">
      <c r="A535">
        <v>25</v>
      </c>
      <c r="B535" t="s">
        <v>26</v>
      </c>
      <c r="C535">
        <v>2</v>
      </c>
      <c r="D535" t="s">
        <v>43</v>
      </c>
      <c r="E535" t="b">
        <v>1</v>
      </c>
      <c r="F535" s="1">
        <v>0.58263888888888893</v>
      </c>
      <c r="G535" s="1">
        <v>0.64513888888888893</v>
      </c>
      <c r="H535">
        <v>90</v>
      </c>
      <c r="I535" t="b">
        <v>0</v>
      </c>
      <c r="J535" t="b">
        <v>1</v>
      </c>
      <c r="K535" t="b">
        <v>1</v>
      </c>
      <c r="L535" t="s">
        <v>62</v>
      </c>
      <c r="M535">
        <v>50</v>
      </c>
      <c r="N535" t="s">
        <v>64</v>
      </c>
      <c r="O535">
        <v>37.5</v>
      </c>
      <c r="P535" t="s">
        <v>36</v>
      </c>
      <c r="Q535">
        <v>0</v>
      </c>
      <c r="R535">
        <v>37.5</v>
      </c>
      <c r="S535" t="s">
        <v>31</v>
      </c>
      <c r="T535" t="s">
        <v>32</v>
      </c>
      <c r="U535">
        <v>37.338200000000001</v>
      </c>
      <c r="V535">
        <v>-121.88630000000001</v>
      </c>
      <c r="W535" s="2">
        <v>45239</v>
      </c>
      <c r="X535">
        <v>1</v>
      </c>
      <c r="Y535" t="b">
        <v>1</v>
      </c>
      <c r="Z535" s="2">
        <v>45827</v>
      </c>
      <c r="AA535" t="str">
        <f t="shared" si="81"/>
        <v>20–29</v>
      </c>
      <c r="AB535" t="str">
        <f t="shared" si="82"/>
        <v>20–29</v>
      </c>
      <c r="AC535" t="str">
        <f t="shared" si="83"/>
        <v>Monday</v>
      </c>
      <c r="AD535" t="str">
        <f t="shared" si="84"/>
        <v>Tuesday</v>
      </c>
      <c r="AE535" t="str">
        <f t="shared" si="85"/>
        <v/>
      </c>
      <c r="AF535" t="str">
        <f t="shared" si="86"/>
        <v/>
      </c>
      <c r="AG535" t="str">
        <f t="shared" si="87"/>
        <v/>
      </c>
      <c r="AH535" t="str">
        <f t="shared" si="88"/>
        <v/>
      </c>
      <c r="AI535" t="str">
        <f t="shared" si="89"/>
        <v/>
      </c>
      <c r="AJ535" t="str">
        <f>LEFT(Table1[[#This Row],[membership_type]],2)&amp;TEXT(Table1[[#This Row],[age]],"00")&amp;"-"&amp;TEXT(ROW(),"000")</f>
        <v>Pr25-535</v>
      </c>
      <c r="AK535" t="str">
        <f>LEFT(Table1[[#This Row],[membership_type]],1)&amp;TEXT(MATCH(Table1[[#This Row],[membership_type]],Table1[membership_type],0),"00")</f>
        <v>P01</v>
      </c>
      <c r="AL535" t="str">
        <f>LEFT(Table1[[#This Row],[discount_type]],1)&amp;TEXT(ROUND(Table1[[#This Row],[discount_rate]]*100,0),"00")</f>
        <v>N00</v>
      </c>
      <c r="AM535" t="str" cm="1">
        <f t="array" ref="AM535">TEXT(SUMPRODUCT(CODE(MID(Table1[[#This Row],[home_gym_location]],_xlfn.SEQUENCE(LEN(Table1[[#This Row],[home_gym_location]])),1))),"00000")</f>
        <v>00931</v>
      </c>
      <c r="AN53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35" t="str">
        <f>LEFT(_xlfn.TEXTBEFORE(Table1[[#This Row],[Location Identifier]],"-"),3) &amp; "-" &amp; _xlfn.TEXTAFTER(Table1[[#This Row],[Location Identifier]],"-")</f>
        <v>SAN-010</v>
      </c>
      <c r="AP535" s="9">
        <f t="shared" ca="1" si="80"/>
        <v>45869</v>
      </c>
    </row>
    <row r="536" spans="1:42" x14ac:dyDescent="0.25">
      <c r="A536">
        <v>49</v>
      </c>
      <c r="B536" t="s">
        <v>26</v>
      </c>
      <c r="C536">
        <v>1</v>
      </c>
      <c r="D536" t="s">
        <v>71</v>
      </c>
      <c r="E536" t="b">
        <v>1</v>
      </c>
      <c r="F536" s="1">
        <v>0.84930555555555554</v>
      </c>
      <c r="G536" s="1">
        <v>0.88055555555555554</v>
      </c>
      <c r="H536">
        <v>45</v>
      </c>
      <c r="I536" t="b">
        <v>1</v>
      </c>
      <c r="J536" t="b">
        <v>0</v>
      </c>
      <c r="K536" t="b">
        <v>1</v>
      </c>
      <c r="L536" t="s">
        <v>28</v>
      </c>
      <c r="M536">
        <v>50</v>
      </c>
      <c r="N536" t="s">
        <v>29</v>
      </c>
      <c r="O536">
        <v>50</v>
      </c>
      <c r="P536" t="s">
        <v>74</v>
      </c>
      <c r="Q536">
        <v>0.15</v>
      </c>
      <c r="R536">
        <v>42.5</v>
      </c>
      <c r="S536" t="s">
        <v>31</v>
      </c>
      <c r="T536" t="s">
        <v>32</v>
      </c>
      <c r="U536">
        <v>37.338200000000001</v>
      </c>
      <c r="V536">
        <v>-121.88630000000001</v>
      </c>
      <c r="W536" s="2">
        <v>45012</v>
      </c>
      <c r="X536">
        <v>0</v>
      </c>
      <c r="Y536" t="b">
        <v>1</v>
      </c>
      <c r="Z536" s="2">
        <v>45814</v>
      </c>
      <c r="AA536" t="str">
        <f t="shared" si="81"/>
        <v>40–49</v>
      </c>
      <c r="AB536" t="str">
        <f t="shared" si="82"/>
        <v>40–49</v>
      </c>
      <c r="AC536" t="str">
        <f t="shared" si="83"/>
        <v/>
      </c>
      <c r="AD536" t="str">
        <f t="shared" si="84"/>
        <v>Tuesday</v>
      </c>
      <c r="AE536" t="str">
        <f t="shared" si="85"/>
        <v/>
      </c>
      <c r="AF536" t="str">
        <f t="shared" si="86"/>
        <v/>
      </c>
      <c r="AG536" t="str">
        <f t="shared" si="87"/>
        <v/>
      </c>
      <c r="AH536" t="str">
        <f t="shared" si="88"/>
        <v/>
      </c>
      <c r="AI536" t="str">
        <f t="shared" si="89"/>
        <v/>
      </c>
      <c r="AJ536" t="str">
        <f>LEFT(Table1[[#This Row],[membership_type]],2)&amp;TEXT(Table1[[#This Row],[age]],"00")&amp;"-"&amp;TEXT(ROW(),"000")</f>
        <v>Pr49-536</v>
      </c>
      <c r="AK536" t="str">
        <f>LEFT(Table1[[#This Row],[membership_type]],1)&amp;TEXT(MATCH(Table1[[#This Row],[membership_type]],Table1[membership_type],0),"00")</f>
        <v>P01</v>
      </c>
      <c r="AL536" t="str">
        <f>LEFT(Table1[[#This Row],[discount_type]],1)&amp;TEXT(ROUND(Table1[[#This Row],[discount_rate]]*100,0),"00")</f>
        <v>S15</v>
      </c>
      <c r="AM536" t="str" cm="1">
        <f t="array" ref="AM536">TEXT(SUMPRODUCT(CODE(MID(Table1[[#This Row],[home_gym_location]],_xlfn.SEQUENCE(LEN(Table1[[#This Row],[home_gym_location]])),1))),"00000")</f>
        <v>00931</v>
      </c>
      <c r="AN53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36" t="str">
        <f>LEFT(_xlfn.TEXTBEFORE(Table1[[#This Row],[Location Identifier]],"-"),3) &amp; "-" &amp; _xlfn.TEXTAFTER(Table1[[#This Row],[Location Identifier]],"-")</f>
        <v>SAN-010</v>
      </c>
      <c r="AP536" s="9">
        <f t="shared" ca="1" si="80"/>
        <v>45869</v>
      </c>
    </row>
    <row r="537" spans="1:42" x14ac:dyDescent="0.25">
      <c r="A537">
        <v>29</v>
      </c>
      <c r="B537" t="s">
        <v>42</v>
      </c>
      <c r="C537">
        <v>1</v>
      </c>
      <c r="D537" t="s">
        <v>71</v>
      </c>
      <c r="E537" t="b">
        <v>1</v>
      </c>
      <c r="F537" s="1">
        <v>0.54097222222222219</v>
      </c>
      <c r="G537" s="1">
        <v>0.58472222222222225</v>
      </c>
      <c r="H537">
        <v>63</v>
      </c>
      <c r="I537" t="b">
        <v>0</v>
      </c>
      <c r="J537" t="b">
        <v>1</v>
      </c>
      <c r="K537" t="b">
        <v>1</v>
      </c>
      <c r="L537" t="s">
        <v>28</v>
      </c>
      <c r="M537">
        <v>20</v>
      </c>
      <c r="N537" t="s">
        <v>29</v>
      </c>
      <c r="O537">
        <v>20</v>
      </c>
      <c r="P537" t="s">
        <v>36</v>
      </c>
      <c r="Q537">
        <v>0</v>
      </c>
      <c r="R537">
        <v>20</v>
      </c>
      <c r="S537" t="s">
        <v>44</v>
      </c>
      <c r="T537" t="s">
        <v>56</v>
      </c>
      <c r="U537">
        <v>35.3733</v>
      </c>
      <c r="V537">
        <v>-119.0187</v>
      </c>
      <c r="W537" s="2">
        <v>44824</v>
      </c>
      <c r="X537">
        <v>3</v>
      </c>
      <c r="Y537" t="b">
        <v>1</v>
      </c>
      <c r="Z537" s="2">
        <v>45804</v>
      </c>
      <c r="AA537" t="str">
        <f t="shared" si="81"/>
        <v>20–29</v>
      </c>
      <c r="AB537" t="str">
        <f t="shared" si="82"/>
        <v>20–29</v>
      </c>
      <c r="AC537" t="str">
        <f t="shared" si="83"/>
        <v/>
      </c>
      <c r="AD537" t="str">
        <f t="shared" si="84"/>
        <v>Tuesday</v>
      </c>
      <c r="AE537" t="str">
        <f t="shared" si="85"/>
        <v/>
      </c>
      <c r="AF537" t="str">
        <f t="shared" si="86"/>
        <v/>
      </c>
      <c r="AG537" t="str">
        <f t="shared" si="87"/>
        <v/>
      </c>
      <c r="AH537" t="str">
        <f t="shared" si="88"/>
        <v/>
      </c>
      <c r="AI537" t="str">
        <f t="shared" si="89"/>
        <v/>
      </c>
      <c r="AJ537" t="str">
        <f>LEFT(Table1[[#This Row],[membership_type]],2)&amp;TEXT(Table1[[#This Row],[age]],"00")&amp;"-"&amp;TEXT(ROW(),"000")</f>
        <v>Ba29-537</v>
      </c>
      <c r="AK537" t="str">
        <f>LEFT(Table1[[#This Row],[membership_type]],1)&amp;TEXT(MATCH(Table1[[#This Row],[membership_type]],Table1[membership_type],0),"00")</f>
        <v>B04</v>
      </c>
      <c r="AL537" t="str">
        <f>LEFT(Table1[[#This Row],[discount_type]],1)&amp;TEXT(ROUND(Table1[[#This Row],[discount_rate]]*100,0),"00")</f>
        <v>N00</v>
      </c>
      <c r="AM537" t="str" cm="1">
        <f t="array" ref="AM537">TEXT(SUMPRODUCT(CODE(MID(Table1[[#This Row],[home_gym_location]],_xlfn.SEQUENCE(LEN(Table1[[#This Row],[home_gym_location]])),1))),"00000")</f>
        <v>01324</v>
      </c>
      <c r="AN53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37" t="str">
        <f>LEFT(_xlfn.TEXTBEFORE(Table1[[#This Row],[Location Identifier]],"-"),3) &amp; "-" &amp; _xlfn.TEXTAFTER(Table1[[#This Row],[Location Identifier]],"-")</f>
        <v>BAK-002</v>
      </c>
      <c r="AP537" s="9">
        <f t="shared" ca="1" si="80"/>
        <v>45869</v>
      </c>
    </row>
    <row r="538" spans="1:42" x14ac:dyDescent="0.25">
      <c r="A538">
        <v>14</v>
      </c>
      <c r="B538" t="s">
        <v>33</v>
      </c>
      <c r="C538">
        <v>3</v>
      </c>
      <c r="D538" t="s">
        <v>90</v>
      </c>
      <c r="E538" t="b">
        <v>0</v>
      </c>
      <c r="F538" s="1">
        <v>0.35694444444444445</v>
      </c>
      <c r="G538" s="1">
        <v>0.45069444444444445</v>
      </c>
      <c r="H538">
        <v>135</v>
      </c>
      <c r="I538" t="b">
        <v>0</v>
      </c>
      <c r="J538" t="b">
        <v>0</v>
      </c>
      <c r="K538" t="b">
        <v>1</v>
      </c>
      <c r="L538" t="s">
        <v>62</v>
      </c>
      <c r="M538">
        <v>30</v>
      </c>
      <c r="N538" t="s">
        <v>78</v>
      </c>
      <c r="O538">
        <v>27</v>
      </c>
      <c r="P538" t="s">
        <v>36</v>
      </c>
      <c r="Q538">
        <v>0</v>
      </c>
      <c r="R538">
        <v>27</v>
      </c>
      <c r="S538" t="s">
        <v>37</v>
      </c>
      <c r="T538" t="s">
        <v>54</v>
      </c>
      <c r="U538">
        <v>32.715699999999998</v>
      </c>
      <c r="V538">
        <v>-117.1611</v>
      </c>
      <c r="W538" s="2">
        <v>44926</v>
      </c>
      <c r="X538">
        <v>0</v>
      </c>
      <c r="Y538" t="b">
        <v>1</v>
      </c>
      <c r="Z538" s="2">
        <v>45810</v>
      </c>
      <c r="AA538" t="str">
        <f t="shared" si="81"/>
        <v>10–19</v>
      </c>
      <c r="AB538" t="str">
        <f t="shared" si="82"/>
        <v>Under 16</v>
      </c>
      <c r="AC538" t="str">
        <f t="shared" si="83"/>
        <v/>
      </c>
      <c r="AD538" t="str">
        <f t="shared" si="84"/>
        <v>Tuesday</v>
      </c>
      <c r="AE538" t="str">
        <f t="shared" si="85"/>
        <v/>
      </c>
      <c r="AF538" t="str">
        <f t="shared" si="86"/>
        <v/>
      </c>
      <c r="AG538" t="str">
        <f t="shared" si="87"/>
        <v/>
      </c>
      <c r="AH538" t="str">
        <f t="shared" si="88"/>
        <v>Saturday</v>
      </c>
      <c r="AI538" t="str">
        <f t="shared" si="89"/>
        <v>Sunday</v>
      </c>
      <c r="AJ538" t="str">
        <f>LEFT(Table1[[#This Row],[membership_type]],2)&amp;TEXT(Table1[[#This Row],[age]],"00")&amp;"-"&amp;TEXT(ROW(),"000")</f>
        <v>St14-538</v>
      </c>
      <c r="AK538" t="str">
        <f>LEFT(Table1[[#This Row],[membership_type]],1)&amp;TEXT(MATCH(Table1[[#This Row],[membership_type]],Table1[membership_type],0),"00")</f>
        <v>S02</v>
      </c>
      <c r="AL538" t="str">
        <f>LEFT(Table1[[#This Row],[discount_type]],1)&amp;TEXT(ROUND(Table1[[#This Row],[discount_rate]]*100,0),"00")</f>
        <v>N00</v>
      </c>
      <c r="AM538" t="str" cm="1">
        <f t="array" ref="AM538">TEXT(SUMPRODUCT(CODE(MID(Table1[[#This Row],[home_gym_location]],_xlfn.SEQUENCE(LEN(Table1[[#This Row],[home_gym_location]])),1))),"00000")</f>
        <v>01018</v>
      </c>
      <c r="AN53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38" t="str">
        <f>LEFT(_xlfn.TEXTBEFORE(Table1[[#This Row],[Location Identifier]],"-"),3) &amp; "-" &amp; _xlfn.TEXTAFTER(Table1[[#This Row],[Location Identifier]],"-")</f>
        <v>SAN-008</v>
      </c>
      <c r="AP538" s="9">
        <f t="shared" ca="1" si="80"/>
        <v>45869</v>
      </c>
    </row>
    <row r="539" spans="1:42" x14ac:dyDescent="0.25">
      <c r="A539">
        <v>18</v>
      </c>
      <c r="B539" t="s">
        <v>26</v>
      </c>
      <c r="C539">
        <v>4</v>
      </c>
      <c r="D539" t="s">
        <v>39</v>
      </c>
      <c r="E539" t="b">
        <v>0</v>
      </c>
      <c r="F539" s="1">
        <v>0.47430555555555554</v>
      </c>
      <c r="G539" s="1">
        <v>0.5854166666666667</v>
      </c>
      <c r="H539">
        <v>160</v>
      </c>
      <c r="I539" t="b">
        <v>1</v>
      </c>
      <c r="J539" t="b">
        <v>0</v>
      </c>
      <c r="K539" t="b">
        <v>0</v>
      </c>
      <c r="L539" t="s">
        <v>47</v>
      </c>
      <c r="M539">
        <v>50</v>
      </c>
      <c r="N539" t="s">
        <v>64</v>
      </c>
      <c r="O539">
        <v>37.5</v>
      </c>
      <c r="P539" t="s">
        <v>36</v>
      </c>
      <c r="Q539">
        <v>0</v>
      </c>
      <c r="R539">
        <v>37.5</v>
      </c>
      <c r="S539" t="s">
        <v>31</v>
      </c>
      <c r="T539" t="s">
        <v>38</v>
      </c>
      <c r="U539">
        <v>36.7378</v>
      </c>
      <c r="V539">
        <v>-119.7871</v>
      </c>
      <c r="W539" s="2">
        <v>45567</v>
      </c>
      <c r="X539">
        <v>0</v>
      </c>
      <c r="Y539" t="b">
        <v>1</v>
      </c>
      <c r="Z539" s="2">
        <v>45846</v>
      </c>
      <c r="AA539" t="str">
        <f t="shared" si="81"/>
        <v>10–19</v>
      </c>
      <c r="AB539" t="str">
        <f t="shared" si="82"/>
        <v>16–19</v>
      </c>
      <c r="AC539" t="str">
        <f t="shared" si="83"/>
        <v/>
      </c>
      <c r="AD539" t="str">
        <f t="shared" si="84"/>
        <v>Tuesday</v>
      </c>
      <c r="AE539" t="str">
        <f t="shared" si="85"/>
        <v>Wednesday</v>
      </c>
      <c r="AF539" t="str">
        <f t="shared" si="86"/>
        <v>Thursday</v>
      </c>
      <c r="AG539" t="str">
        <f t="shared" si="87"/>
        <v/>
      </c>
      <c r="AH539" t="str">
        <f t="shared" si="88"/>
        <v/>
      </c>
      <c r="AI539" t="str">
        <f t="shared" si="89"/>
        <v>Sunday</v>
      </c>
      <c r="AJ539" t="str">
        <f>LEFT(Table1[[#This Row],[membership_type]],2)&amp;TEXT(Table1[[#This Row],[age]],"00")&amp;"-"&amp;TEXT(ROW(),"000")</f>
        <v>Pr18-539</v>
      </c>
      <c r="AK539" t="str">
        <f>LEFT(Table1[[#This Row],[membership_type]],1)&amp;TEXT(MATCH(Table1[[#This Row],[membership_type]],Table1[membership_type],0),"00")</f>
        <v>P01</v>
      </c>
      <c r="AL539" t="str">
        <f>LEFT(Table1[[#This Row],[discount_type]],1)&amp;TEXT(ROUND(Table1[[#This Row],[discount_rate]]*100,0),"00")</f>
        <v>N00</v>
      </c>
      <c r="AM539" t="str" cm="1">
        <f t="array" ref="AM539">TEXT(SUMPRODUCT(CODE(MID(Table1[[#This Row],[home_gym_location]],_xlfn.SEQUENCE(LEN(Table1[[#This Row],[home_gym_location]])),1))),"00000")</f>
        <v>00829</v>
      </c>
      <c r="AN539" t="str">
        <f>UPPER(_xlfn.TEXTBEFORE(Table1[[#This Row],[home_gym_location]],","))&amp;"-"&amp;TEXT(MATCH(Table1[[#This Row],[home_gym_location]],_xlfn._xlws.SORT(_xlfn.UNIQUE(Table1[home_gym_location])),0),"000")</f>
        <v>FRESNO-003</v>
      </c>
      <c r="AO539" t="str">
        <f>LEFT(_xlfn.TEXTBEFORE(Table1[[#This Row],[Location Identifier]],"-"),3) &amp; "-" &amp; _xlfn.TEXTAFTER(Table1[[#This Row],[Location Identifier]],"-")</f>
        <v>FRE-003</v>
      </c>
      <c r="AP539" s="9">
        <f t="shared" ca="1" si="80"/>
        <v>45869</v>
      </c>
    </row>
    <row r="540" spans="1:42" x14ac:dyDescent="0.25">
      <c r="A540">
        <v>49</v>
      </c>
      <c r="B540" t="s">
        <v>26</v>
      </c>
      <c r="C540">
        <v>2</v>
      </c>
      <c r="D540" t="s">
        <v>126</v>
      </c>
      <c r="E540" t="b">
        <v>0</v>
      </c>
      <c r="F540" s="1">
        <v>0.42430555555555555</v>
      </c>
      <c r="G540" s="1">
        <v>0.4777777777777778</v>
      </c>
      <c r="H540">
        <v>77</v>
      </c>
      <c r="I540" t="b">
        <v>1</v>
      </c>
      <c r="J540" t="b">
        <v>1</v>
      </c>
      <c r="K540" t="b">
        <v>0</v>
      </c>
      <c r="L540" t="s">
        <v>62</v>
      </c>
      <c r="M540">
        <v>50</v>
      </c>
      <c r="N540" t="s">
        <v>29</v>
      </c>
      <c r="O540">
        <v>50</v>
      </c>
      <c r="P540" t="s">
        <v>36</v>
      </c>
      <c r="Q540">
        <v>0</v>
      </c>
      <c r="R540">
        <v>50</v>
      </c>
      <c r="S540" t="s">
        <v>31</v>
      </c>
      <c r="T540" t="s">
        <v>56</v>
      </c>
      <c r="U540">
        <v>35.3733</v>
      </c>
      <c r="V540">
        <v>-119.0187</v>
      </c>
      <c r="W540" s="2">
        <v>45351</v>
      </c>
      <c r="X540">
        <v>2</v>
      </c>
      <c r="Y540" t="b">
        <v>0</v>
      </c>
      <c r="Z540" s="2">
        <v>45833</v>
      </c>
      <c r="AA540" t="str">
        <f t="shared" si="81"/>
        <v>40–49</v>
      </c>
      <c r="AB540" t="str">
        <f t="shared" si="82"/>
        <v>40–49</v>
      </c>
      <c r="AC540" t="str">
        <f t="shared" si="83"/>
        <v/>
      </c>
      <c r="AD540" t="str">
        <f t="shared" si="84"/>
        <v>Tuesday</v>
      </c>
      <c r="AE540" t="str">
        <f t="shared" si="85"/>
        <v>Wednesday</v>
      </c>
      <c r="AF540" t="str">
        <f t="shared" si="86"/>
        <v/>
      </c>
      <c r="AG540" t="str">
        <f t="shared" si="87"/>
        <v/>
      </c>
      <c r="AH540" t="str">
        <f t="shared" si="88"/>
        <v/>
      </c>
      <c r="AI540" t="str">
        <f t="shared" si="89"/>
        <v/>
      </c>
      <c r="AJ540" t="str">
        <f>LEFT(Table1[[#This Row],[membership_type]],2)&amp;TEXT(Table1[[#This Row],[age]],"00")&amp;"-"&amp;TEXT(ROW(),"000")</f>
        <v>Pr49-540</v>
      </c>
      <c r="AK540" t="str">
        <f>LEFT(Table1[[#This Row],[membership_type]],1)&amp;TEXT(MATCH(Table1[[#This Row],[membership_type]],Table1[membership_type],0),"00")</f>
        <v>P01</v>
      </c>
      <c r="AL540" t="str">
        <f>LEFT(Table1[[#This Row],[discount_type]],1)&amp;TEXT(ROUND(Table1[[#This Row],[discount_rate]]*100,0),"00")</f>
        <v>N00</v>
      </c>
      <c r="AM540" t="str" cm="1">
        <f t="array" ref="AM540">TEXT(SUMPRODUCT(CODE(MID(Table1[[#This Row],[home_gym_location]],_xlfn.SEQUENCE(LEN(Table1[[#This Row],[home_gym_location]])),1))),"00000")</f>
        <v>01324</v>
      </c>
      <c r="AN54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40" t="str">
        <f>LEFT(_xlfn.TEXTBEFORE(Table1[[#This Row],[Location Identifier]],"-"),3) &amp; "-" &amp; _xlfn.TEXTAFTER(Table1[[#This Row],[Location Identifier]],"-")</f>
        <v>BAK-002</v>
      </c>
      <c r="AP540" s="9">
        <f t="shared" ca="1" si="80"/>
        <v>45869</v>
      </c>
    </row>
    <row r="541" spans="1:42" x14ac:dyDescent="0.25">
      <c r="A541">
        <v>45</v>
      </c>
      <c r="B541" t="s">
        <v>26</v>
      </c>
      <c r="C541">
        <v>4</v>
      </c>
      <c r="D541" t="s">
        <v>158</v>
      </c>
      <c r="E541" t="b">
        <v>0</v>
      </c>
      <c r="F541" s="1">
        <v>0.4201388888888889</v>
      </c>
      <c r="G541" s="1">
        <v>0.4548611111111111</v>
      </c>
      <c r="H541">
        <v>50</v>
      </c>
      <c r="I541" t="b">
        <v>1</v>
      </c>
      <c r="J541" t="b">
        <v>1</v>
      </c>
      <c r="K541" t="b">
        <v>1</v>
      </c>
      <c r="L541" t="s">
        <v>28</v>
      </c>
      <c r="M541">
        <v>50</v>
      </c>
      <c r="N541" t="s">
        <v>64</v>
      </c>
      <c r="O541">
        <v>37.5</v>
      </c>
      <c r="P541" t="s">
        <v>30</v>
      </c>
      <c r="Q541">
        <v>0.05</v>
      </c>
      <c r="R541">
        <v>35.625</v>
      </c>
      <c r="S541" t="s">
        <v>31</v>
      </c>
      <c r="T541" t="s">
        <v>48</v>
      </c>
      <c r="U541">
        <v>38.581600000000002</v>
      </c>
      <c r="V541">
        <v>-121.4944</v>
      </c>
      <c r="W541" s="2">
        <v>45693</v>
      </c>
      <c r="X541">
        <v>7</v>
      </c>
      <c r="Y541" t="b">
        <v>1</v>
      </c>
      <c r="Z541" s="2">
        <v>45853</v>
      </c>
      <c r="AA541" t="str">
        <f t="shared" si="81"/>
        <v>40–49</v>
      </c>
      <c r="AB541" t="str">
        <f t="shared" si="82"/>
        <v>40–49</v>
      </c>
      <c r="AC541" t="str">
        <f t="shared" si="83"/>
        <v/>
      </c>
      <c r="AD541" t="str">
        <f t="shared" si="84"/>
        <v>Tuesday</v>
      </c>
      <c r="AE541" t="str">
        <f t="shared" si="85"/>
        <v/>
      </c>
      <c r="AF541" t="str">
        <f t="shared" si="86"/>
        <v>Thursday</v>
      </c>
      <c r="AG541" t="str">
        <f t="shared" si="87"/>
        <v>Friday</v>
      </c>
      <c r="AH541" t="str">
        <f t="shared" si="88"/>
        <v/>
      </c>
      <c r="AI541" t="str">
        <f t="shared" si="89"/>
        <v>Sunday</v>
      </c>
      <c r="AJ541" t="str">
        <f>LEFT(Table1[[#This Row],[membership_type]],2)&amp;TEXT(Table1[[#This Row],[age]],"00")&amp;"-"&amp;TEXT(ROW(),"000")</f>
        <v>Pr45-541</v>
      </c>
      <c r="AK541" t="str">
        <f>LEFT(Table1[[#This Row],[membership_type]],1)&amp;TEXT(MATCH(Table1[[#This Row],[membership_type]],Table1[membership_type],0),"00")</f>
        <v>P01</v>
      </c>
      <c r="AL541" t="str">
        <f>LEFT(Table1[[#This Row],[discount_type]],1)&amp;TEXT(ROUND(Table1[[#This Row],[discount_rate]]*100,0),"00")</f>
        <v>P05</v>
      </c>
      <c r="AM541" t="str" cm="1">
        <f t="array" ref="AM541">TEXT(SUMPRODUCT(CODE(MID(Table1[[#This Row],[home_gym_location]],_xlfn.SEQUENCE(LEN(Table1[[#This Row],[home_gym_location]])),1))),"00000")</f>
        <v>01245</v>
      </c>
      <c r="AN54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41" t="str">
        <f>LEFT(_xlfn.TEXTBEFORE(Table1[[#This Row],[Location Identifier]],"-"),3) &amp; "-" &amp; _xlfn.TEXTAFTER(Table1[[#This Row],[Location Identifier]],"-")</f>
        <v>SAC-007</v>
      </c>
      <c r="AP541" s="9">
        <f t="shared" ca="1" si="80"/>
        <v>45869</v>
      </c>
    </row>
    <row r="542" spans="1:42" x14ac:dyDescent="0.25">
      <c r="A542">
        <v>20</v>
      </c>
      <c r="B542" t="s">
        <v>42</v>
      </c>
      <c r="C542">
        <v>1</v>
      </c>
      <c r="D542" t="s">
        <v>63</v>
      </c>
      <c r="E542" t="b">
        <v>0</v>
      </c>
      <c r="F542" s="1">
        <v>0.74444444444444446</v>
      </c>
      <c r="G542" s="1">
        <v>0.78402777777777777</v>
      </c>
      <c r="H542">
        <v>57</v>
      </c>
      <c r="I542" t="b">
        <v>1</v>
      </c>
      <c r="J542" t="b">
        <v>1</v>
      </c>
      <c r="K542" t="b">
        <v>1</v>
      </c>
      <c r="L542" t="s">
        <v>28</v>
      </c>
      <c r="M542">
        <v>20</v>
      </c>
      <c r="N542" t="s">
        <v>29</v>
      </c>
      <c r="O542">
        <v>20</v>
      </c>
      <c r="P542" t="s">
        <v>36</v>
      </c>
      <c r="Q542">
        <v>0</v>
      </c>
      <c r="R542">
        <v>20</v>
      </c>
      <c r="S542" t="s">
        <v>44</v>
      </c>
      <c r="T542" t="s">
        <v>32</v>
      </c>
      <c r="U542">
        <v>37.338200000000001</v>
      </c>
      <c r="V542">
        <v>-121.88630000000001</v>
      </c>
      <c r="W542" s="2">
        <v>44814</v>
      </c>
      <c r="X542">
        <v>4</v>
      </c>
      <c r="Y542" t="b">
        <v>1</v>
      </c>
      <c r="Z542" s="2">
        <v>45803</v>
      </c>
      <c r="AA542" t="str">
        <f t="shared" si="81"/>
        <v>20–29</v>
      </c>
      <c r="AB542" t="str">
        <f t="shared" si="82"/>
        <v>20–29</v>
      </c>
      <c r="AC542" t="str">
        <f t="shared" si="83"/>
        <v/>
      </c>
      <c r="AD542" t="str">
        <f t="shared" si="84"/>
        <v/>
      </c>
      <c r="AE542" t="str">
        <f t="shared" si="85"/>
        <v>Wednesday</v>
      </c>
      <c r="AF542" t="str">
        <f t="shared" si="86"/>
        <v/>
      </c>
      <c r="AG542" t="str">
        <f t="shared" si="87"/>
        <v/>
      </c>
      <c r="AH542" t="str">
        <f t="shared" si="88"/>
        <v/>
      </c>
      <c r="AI542" t="str">
        <f t="shared" si="89"/>
        <v/>
      </c>
      <c r="AJ542" t="str">
        <f>LEFT(Table1[[#This Row],[membership_type]],2)&amp;TEXT(Table1[[#This Row],[age]],"00")&amp;"-"&amp;TEXT(ROW(),"000")</f>
        <v>Ba20-542</v>
      </c>
      <c r="AK542" t="str">
        <f>LEFT(Table1[[#This Row],[membership_type]],1)&amp;TEXT(MATCH(Table1[[#This Row],[membership_type]],Table1[membership_type],0),"00")</f>
        <v>B04</v>
      </c>
      <c r="AL542" t="str">
        <f>LEFT(Table1[[#This Row],[discount_type]],1)&amp;TEXT(ROUND(Table1[[#This Row],[discount_rate]]*100,0),"00")</f>
        <v>N00</v>
      </c>
      <c r="AM542" t="str" cm="1">
        <f t="array" ref="AM542">TEXT(SUMPRODUCT(CODE(MID(Table1[[#This Row],[home_gym_location]],_xlfn.SEQUENCE(LEN(Table1[[#This Row],[home_gym_location]])),1))),"00000")</f>
        <v>00931</v>
      </c>
      <c r="AN54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42" t="str">
        <f>LEFT(_xlfn.TEXTBEFORE(Table1[[#This Row],[Location Identifier]],"-"),3) &amp; "-" &amp; _xlfn.TEXTAFTER(Table1[[#This Row],[Location Identifier]],"-")</f>
        <v>SAN-010</v>
      </c>
      <c r="AP542" s="9">
        <f t="shared" ca="1" si="80"/>
        <v>45869</v>
      </c>
    </row>
    <row r="543" spans="1:42" x14ac:dyDescent="0.25">
      <c r="A543">
        <v>34</v>
      </c>
      <c r="B543" t="s">
        <v>33</v>
      </c>
      <c r="C543">
        <v>1</v>
      </c>
      <c r="D543" t="s">
        <v>49</v>
      </c>
      <c r="E543" t="b">
        <v>1</v>
      </c>
      <c r="F543" s="1">
        <v>0.38472222222222224</v>
      </c>
      <c r="G543" s="1">
        <v>0.49444444444444446</v>
      </c>
      <c r="H543">
        <v>158</v>
      </c>
      <c r="I543" t="b">
        <v>0</v>
      </c>
      <c r="J543" t="b">
        <v>1</v>
      </c>
      <c r="K543" t="b">
        <v>0</v>
      </c>
      <c r="L543" t="s">
        <v>28</v>
      </c>
      <c r="M543">
        <v>30</v>
      </c>
      <c r="N543" t="s">
        <v>64</v>
      </c>
      <c r="O543">
        <v>22.5</v>
      </c>
      <c r="P543" t="s">
        <v>36</v>
      </c>
      <c r="Q543">
        <v>0</v>
      </c>
      <c r="R543">
        <v>22.5</v>
      </c>
      <c r="S543" t="s">
        <v>37</v>
      </c>
      <c r="T543" t="s">
        <v>45</v>
      </c>
      <c r="U543">
        <v>33.836599999999997</v>
      </c>
      <c r="V543">
        <v>-117.9143</v>
      </c>
      <c r="W543" s="2">
        <v>45185</v>
      </c>
      <c r="X543">
        <v>4</v>
      </c>
      <c r="Y543" t="b">
        <v>1</v>
      </c>
      <c r="Z543" s="2">
        <v>45824</v>
      </c>
      <c r="AA543" t="str">
        <f t="shared" si="81"/>
        <v>30–39</v>
      </c>
      <c r="AB543" t="str">
        <f t="shared" si="82"/>
        <v>30–39</v>
      </c>
      <c r="AC543" t="str">
        <f t="shared" si="83"/>
        <v/>
      </c>
      <c r="AD543" t="str">
        <f t="shared" si="84"/>
        <v/>
      </c>
      <c r="AE543" t="str">
        <f t="shared" si="85"/>
        <v/>
      </c>
      <c r="AF543" t="str">
        <f t="shared" si="86"/>
        <v/>
      </c>
      <c r="AG543" t="str">
        <f t="shared" si="87"/>
        <v/>
      </c>
      <c r="AH543" t="str">
        <f t="shared" si="88"/>
        <v/>
      </c>
      <c r="AI543" t="str">
        <f t="shared" si="89"/>
        <v>Sunday</v>
      </c>
      <c r="AJ543" t="str">
        <f>LEFT(Table1[[#This Row],[membership_type]],2)&amp;TEXT(Table1[[#This Row],[age]],"00")&amp;"-"&amp;TEXT(ROW(),"000")</f>
        <v>St34-543</v>
      </c>
      <c r="AK543" t="str">
        <f>LEFT(Table1[[#This Row],[membership_type]],1)&amp;TEXT(MATCH(Table1[[#This Row],[membership_type]],Table1[membership_type],0),"00")</f>
        <v>S02</v>
      </c>
      <c r="AL543" t="str">
        <f>LEFT(Table1[[#This Row],[discount_type]],1)&amp;TEXT(ROUND(Table1[[#This Row],[discount_rate]]*100,0),"00")</f>
        <v>N00</v>
      </c>
      <c r="AM543" t="str" cm="1">
        <f t="array" ref="AM543">TEXT(SUMPRODUCT(CODE(MID(Table1[[#This Row],[home_gym_location]],_xlfn.SEQUENCE(LEN(Table1[[#This Row],[home_gym_location]])),1))),"00000")</f>
        <v>00899</v>
      </c>
      <c r="AN543" t="str">
        <f>UPPER(_xlfn.TEXTBEFORE(Table1[[#This Row],[home_gym_location]],","))&amp;"-"&amp;TEXT(MATCH(Table1[[#This Row],[home_gym_location]],_xlfn._xlws.SORT(_xlfn.UNIQUE(Table1[home_gym_location])),0),"000")</f>
        <v>ANAHEIM-001</v>
      </c>
      <c r="AO543" t="str">
        <f>LEFT(_xlfn.TEXTBEFORE(Table1[[#This Row],[Location Identifier]],"-"),3) &amp; "-" &amp; _xlfn.TEXTAFTER(Table1[[#This Row],[Location Identifier]],"-")</f>
        <v>ANA-001</v>
      </c>
      <c r="AP543" s="9">
        <f t="shared" ca="1" si="80"/>
        <v>45869</v>
      </c>
    </row>
    <row r="544" spans="1:42" x14ac:dyDescent="0.25">
      <c r="A544">
        <v>18</v>
      </c>
      <c r="B544" t="s">
        <v>26</v>
      </c>
      <c r="C544">
        <v>1</v>
      </c>
      <c r="D544" t="s">
        <v>95</v>
      </c>
      <c r="E544" t="b">
        <v>0</v>
      </c>
      <c r="F544" s="1">
        <v>0.75069444444444444</v>
      </c>
      <c r="G544" s="1">
        <v>0.77500000000000002</v>
      </c>
      <c r="H544">
        <v>35</v>
      </c>
      <c r="I544" t="b">
        <v>1</v>
      </c>
      <c r="J544" t="b">
        <v>1</v>
      </c>
      <c r="K544" t="b">
        <v>0</v>
      </c>
      <c r="L544" t="s">
        <v>35</v>
      </c>
      <c r="M544">
        <v>50</v>
      </c>
      <c r="N544" t="s">
        <v>29</v>
      </c>
      <c r="O544">
        <v>50</v>
      </c>
      <c r="P544" t="s">
        <v>40</v>
      </c>
      <c r="Q544">
        <v>0.1</v>
      </c>
      <c r="R544">
        <v>45</v>
      </c>
      <c r="S544" t="s">
        <v>31</v>
      </c>
      <c r="T544" t="s">
        <v>48</v>
      </c>
      <c r="U544">
        <v>38.581600000000002</v>
      </c>
      <c r="V544">
        <v>-121.4944</v>
      </c>
      <c r="W544" s="2">
        <v>45587</v>
      </c>
      <c r="X544">
        <v>1</v>
      </c>
      <c r="Y544" t="b">
        <v>0</v>
      </c>
      <c r="Z544" s="2">
        <v>45847</v>
      </c>
      <c r="AA544" t="str">
        <f t="shared" si="81"/>
        <v>10–19</v>
      </c>
      <c r="AB544" t="str">
        <f t="shared" si="82"/>
        <v>16–19</v>
      </c>
      <c r="AC544" t="str">
        <f t="shared" si="83"/>
        <v/>
      </c>
      <c r="AD544" t="str">
        <f t="shared" si="84"/>
        <v/>
      </c>
      <c r="AE544" t="str">
        <f t="shared" si="85"/>
        <v/>
      </c>
      <c r="AF544" t="str">
        <f t="shared" si="86"/>
        <v/>
      </c>
      <c r="AG544" t="str">
        <f t="shared" si="87"/>
        <v/>
      </c>
      <c r="AH544" t="str">
        <f t="shared" si="88"/>
        <v>Saturday</v>
      </c>
      <c r="AI544" t="str">
        <f t="shared" si="89"/>
        <v/>
      </c>
      <c r="AJ544" t="str">
        <f>LEFT(Table1[[#This Row],[membership_type]],2)&amp;TEXT(Table1[[#This Row],[age]],"00")&amp;"-"&amp;TEXT(ROW(),"000")</f>
        <v>Pr18-544</v>
      </c>
      <c r="AK544" t="str">
        <f>LEFT(Table1[[#This Row],[membership_type]],1)&amp;TEXT(MATCH(Table1[[#This Row],[membership_type]],Table1[membership_type],0),"00")</f>
        <v>P01</v>
      </c>
      <c r="AL544" t="str">
        <f>LEFT(Table1[[#This Row],[discount_type]],1)&amp;TEXT(ROUND(Table1[[#This Row],[discount_rate]]*100,0),"00")</f>
        <v>L10</v>
      </c>
      <c r="AM544" t="str" cm="1">
        <f t="array" ref="AM544">TEXT(SUMPRODUCT(CODE(MID(Table1[[#This Row],[home_gym_location]],_xlfn.SEQUENCE(LEN(Table1[[#This Row],[home_gym_location]])),1))),"00000")</f>
        <v>01245</v>
      </c>
      <c r="AN5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44" t="str">
        <f>LEFT(_xlfn.TEXTBEFORE(Table1[[#This Row],[Location Identifier]],"-"),3) &amp; "-" &amp; _xlfn.TEXTAFTER(Table1[[#This Row],[Location Identifier]],"-")</f>
        <v>SAC-007</v>
      </c>
      <c r="AP544" s="9">
        <f t="shared" ca="1" si="80"/>
        <v>45869</v>
      </c>
    </row>
    <row r="545" spans="1:42" x14ac:dyDescent="0.25">
      <c r="A545">
        <v>21</v>
      </c>
      <c r="B545" t="s">
        <v>33</v>
      </c>
      <c r="C545">
        <v>5</v>
      </c>
      <c r="D545" t="s">
        <v>112</v>
      </c>
      <c r="E545" t="b">
        <v>1</v>
      </c>
      <c r="F545" s="1">
        <v>0.84375</v>
      </c>
      <c r="G545" s="1">
        <v>0.96805555555555556</v>
      </c>
      <c r="H545">
        <v>179</v>
      </c>
      <c r="I545" t="b">
        <v>1</v>
      </c>
      <c r="J545" t="b">
        <v>0</v>
      </c>
      <c r="K545" t="b">
        <v>1</v>
      </c>
      <c r="L545" t="s">
        <v>28</v>
      </c>
      <c r="M545">
        <v>30</v>
      </c>
      <c r="N545" t="s">
        <v>29</v>
      </c>
      <c r="O545">
        <v>30</v>
      </c>
      <c r="P545" t="s">
        <v>30</v>
      </c>
      <c r="Q545">
        <v>0.05</v>
      </c>
      <c r="R545">
        <v>28.5</v>
      </c>
      <c r="S545" t="s">
        <v>37</v>
      </c>
      <c r="T545" t="s">
        <v>38</v>
      </c>
      <c r="U545">
        <v>36.7378</v>
      </c>
      <c r="V545">
        <v>-119.7871</v>
      </c>
      <c r="W545" s="2">
        <v>45115</v>
      </c>
      <c r="X545">
        <v>0</v>
      </c>
      <c r="Y545" t="b">
        <v>1</v>
      </c>
      <c r="Z545" s="2">
        <v>45820</v>
      </c>
      <c r="AA545" t="str">
        <f t="shared" si="81"/>
        <v>20–29</v>
      </c>
      <c r="AB545" t="str">
        <f t="shared" si="82"/>
        <v>20–29</v>
      </c>
      <c r="AC545" t="str">
        <f t="shared" si="83"/>
        <v>Monday</v>
      </c>
      <c r="AD545" t="str">
        <f t="shared" si="84"/>
        <v/>
      </c>
      <c r="AE545" t="str">
        <f t="shared" si="85"/>
        <v/>
      </c>
      <c r="AF545" t="str">
        <f t="shared" si="86"/>
        <v>Thursday</v>
      </c>
      <c r="AG545" t="str">
        <f t="shared" si="87"/>
        <v>Friday</v>
      </c>
      <c r="AH545" t="str">
        <f t="shared" si="88"/>
        <v>Saturday</v>
      </c>
      <c r="AI545" t="str">
        <f t="shared" si="89"/>
        <v>Sunday</v>
      </c>
      <c r="AJ545" t="str">
        <f>LEFT(Table1[[#This Row],[membership_type]],2)&amp;TEXT(Table1[[#This Row],[age]],"00")&amp;"-"&amp;TEXT(ROW(),"000")</f>
        <v>St21-545</v>
      </c>
      <c r="AK545" t="str">
        <f>LEFT(Table1[[#This Row],[membership_type]],1)&amp;TEXT(MATCH(Table1[[#This Row],[membership_type]],Table1[membership_type],0),"00")</f>
        <v>S02</v>
      </c>
      <c r="AL545" t="str">
        <f>LEFT(Table1[[#This Row],[discount_type]],1)&amp;TEXT(ROUND(Table1[[#This Row],[discount_rate]]*100,0),"00")</f>
        <v>P05</v>
      </c>
      <c r="AM545" t="str" cm="1">
        <f t="array" ref="AM545">TEXT(SUMPRODUCT(CODE(MID(Table1[[#This Row],[home_gym_location]],_xlfn.SEQUENCE(LEN(Table1[[#This Row],[home_gym_location]])),1))),"00000")</f>
        <v>00829</v>
      </c>
      <c r="AN545" t="str">
        <f>UPPER(_xlfn.TEXTBEFORE(Table1[[#This Row],[home_gym_location]],","))&amp;"-"&amp;TEXT(MATCH(Table1[[#This Row],[home_gym_location]],_xlfn._xlws.SORT(_xlfn.UNIQUE(Table1[home_gym_location])),0),"000")</f>
        <v>FRESNO-003</v>
      </c>
      <c r="AO545" t="str">
        <f>LEFT(_xlfn.TEXTBEFORE(Table1[[#This Row],[Location Identifier]],"-"),3) &amp; "-" &amp; _xlfn.TEXTAFTER(Table1[[#This Row],[Location Identifier]],"-")</f>
        <v>FRE-003</v>
      </c>
      <c r="AP545" s="9">
        <f t="shared" ca="1" si="80"/>
        <v>45869</v>
      </c>
    </row>
    <row r="546" spans="1:42" x14ac:dyDescent="0.25">
      <c r="A546">
        <v>33</v>
      </c>
      <c r="B546" t="s">
        <v>33</v>
      </c>
      <c r="C546">
        <v>2</v>
      </c>
      <c r="D546" t="s">
        <v>84</v>
      </c>
      <c r="E546" t="b">
        <v>0</v>
      </c>
      <c r="F546" s="1">
        <v>0.52916666666666667</v>
      </c>
      <c r="G546" s="1">
        <v>0.62569444444444444</v>
      </c>
      <c r="H546">
        <v>139</v>
      </c>
      <c r="I546" t="b">
        <v>1</v>
      </c>
      <c r="J546" t="b">
        <v>1</v>
      </c>
      <c r="K546" t="b">
        <v>0</v>
      </c>
      <c r="L546" t="s">
        <v>58</v>
      </c>
      <c r="M546">
        <v>30</v>
      </c>
      <c r="N546" t="s">
        <v>29</v>
      </c>
      <c r="O546">
        <v>30</v>
      </c>
      <c r="P546" t="s">
        <v>36</v>
      </c>
      <c r="Q546">
        <v>0</v>
      </c>
      <c r="R546">
        <v>30</v>
      </c>
      <c r="S546" t="s">
        <v>37</v>
      </c>
      <c r="T546" t="s">
        <v>56</v>
      </c>
      <c r="U546">
        <v>35.3733</v>
      </c>
      <c r="V546">
        <v>-119.0187</v>
      </c>
      <c r="W546" s="2">
        <v>45172</v>
      </c>
      <c r="X546">
        <v>5</v>
      </c>
      <c r="Y546" t="b">
        <v>1</v>
      </c>
      <c r="Z546" s="2">
        <v>45823</v>
      </c>
      <c r="AA546" t="str">
        <f t="shared" si="81"/>
        <v>30–39</v>
      </c>
      <c r="AB546" t="str">
        <f t="shared" si="82"/>
        <v>30–39</v>
      </c>
      <c r="AC546" t="str">
        <f t="shared" si="83"/>
        <v/>
      </c>
      <c r="AD546" t="str">
        <f t="shared" si="84"/>
        <v>Tuesday</v>
      </c>
      <c r="AE546" t="str">
        <f t="shared" si="85"/>
        <v/>
      </c>
      <c r="AF546" t="str">
        <f t="shared" si="86"/>
        <v/>
      </c>
      <c r="AG546" t="str">
        <f t="shared" si="87"/>
        <v/>
      </c>
      <c r="AH546" t="str">
        <f t="shared" si="88"/>
        <v/>
      </c>
      <c r="AI546" t="str">
        <f t="shared" si="89"/>
        <v>Sunday</v>
      </c>
      <c r="AJ546" t="str">
        <f>LEFT(Table1[[#This Row],[membership_type]],2)&amp;TEXT(Table1[[#This Row],[age]],"00")&amp;"-"&amp;TEXT(ROW(),"000")</f>
        <v>St33-546</v>
      </c>
      <c r="AK546" t="str">
        <f>LEFT(Table1[[#This Row],[membership_type]],1)&amp;TEXT(MATCH(Table1[[#This Row],[membership_type]],Table1[membership_type],0),"00")</f>
        <v>S02</v>
      </c>
      <c r="AL546" t="str">
        <f>LEFT(Table1[[#This Row],[discount_type]],1)&amp;TEXT(ROUND(Table1[[#This Row],[discount_rate]]*100,0),"00")</f>
        <v>N00</v>
      </c>
      <c r="AM546" t="str" cm="1">
        <f t="array" ref="AM546">TEXT(SUMPRODUCT(CODE(MID(Table1[[#This Row],[home_gym_location]],_xlfn.SEQUENCE(LEN(Table1[[#This Row],[home_gym_location]])),1))),"00000")</f>
        <v>01324</v>
      </c>
      <c r="AN5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46" t="str">
        <f>LEFT(_xlfn.TEXTBEFORE(Table1[[#This Row],[Location Identifier]],"-"),3) &amp; "-" &amp; _xlfn.TEXTAFTER(Table1[[#This Row],[Location Identifier]],"-")</f>
        <v>BAK-002</v>
      </c>
      <c r="AP546" s="9">
        <f t="shared" ca="1" si="80"/>
        <v>45869</v>
      </c>
    </row>
    <row r="547" spans="1:42" x14ac:dyDescent="0.25">
      <c r="A547">
        <v>27</v>
      </c>
      <c r="B547" t="s">
        <v>26</v>
      </c>
      <c r="C547">
        <v>4</v>
      </c>
      <c r="D547" t="s">
        <v>39</v>
      </c>
      <c r="E547" t="b">
        <v>0</v>
      </c>
      <c r="F547" s="1">
        <v>0.49236111111111114</v>
      </c>
      <c r="G547" s="1">
        <v>0.60069444444444442</v>
      </c>
      <c r="H547">
        <v>156</v>
      </c>
      <c r="I547" t="b">
        <v>1</v>
      </c>
      <c r="J547" t="b">
        <v>1</v>
      </c>
      <c r="K547" t="b">
        <v>0</v>
      </c>
      <c r="L547" t="s">
        <v>28</v>
      </c>
      <c r="M547">
        <v>50</v>
      </c>
      <c r="N547" t="s">
        <v>64</v>
      </c>
      <c r="O547">
        <v>37.5</v>
      </c>
      <c r="P547" t="s">
        <v>36</v>
      </c>
      <c r="Q547">
        <v>0</v>
      </c>
      <c r="R547">
        <v>37.5</v>
      </c>
      <c r="S547" t="s">
        <v>31</v>
      </c>
      <c r="T547" t="s">
        <v>54</v>
      </c>
      <c r="U547">
        <v>32.715699999999998</v>
      </c>
      <c r="V547">
        <v>-117.1611</v>
      </c>
      <c r="W547" s="2">
        <v>45449</v>
      </c>
      <c r="X547">
        <v>8</v>
      </c>
      <c r="Y547" t="b">
        <v>1</v>
      </c>
      <c r="Z547" s="2">
        <v>45839</v>
      </c>
      <c r="AA547" t="str">
        <f t="shared" si="81"/>
        <v>20–29</v>
      </c>
      <c r="AB547" t="str">
        <f t="shared" si="82"/>
        <v>20–29</v>
      </c>
      <c r="AC547" t="str">
        <f t="shared" si="83"/>
        <v/>
      </c>
      <c r="AD547" t="str">
        <f t="shared" si="84"/>
        <v>Tuesday</v>
      </c>
      <c r="AE547" t="str">
        <f t="shared" si="85"/>
        <v>Wednesday</v>
      </c>
      <c r="AF547" t="str">
        <f t="shared" si="86"/>
        <v>Thursday</v>
      </c>
      <c r="AG547" t="str">
        <f t="shared" si="87"/>
        <v/>
      </c>
      <c r="AH547" t="str">
        <f t="shared" si="88"/>
        <v/>
      </c>
      <c r="AI547" t="str">
        <f t="shared" si="89"/>
        <v>Sunday</v>
      </c>
      <c r="AJ547" t="str">
        <f>LEFT(Table1[[#This Row],[membership_type]],2)&amp;TEXT(Table1[[#This Row],[age]],"00")&amp;"-"&amp;TEXT(ROW(),"000")</f>
        <v>Pr27-547</v>
      </c>
      <c r="AK547" t="str">
        <f>LEFT(Table1[[#This Row],[membership_type]],1)&amp;TEXT(MATCH(Table1[[#This Row],[membership_type]],Table1[membership_type],0),"00")</f>
        <v>P01</v>
      </c>
      <c r="AL547" t="str">
        <f>LEFT(Table1[[#This Row],[discount_type]],1)&amp;TEXT(ROUND(Table1[[#This Row],[discount_rate]]*100,0),"00")</f>
        <v>N00</v>
      </c>
      <c r="AM547" t="str" cm="1">
        <f t="array" ref="AM547">TEXT(SUMPRODUCT(CODE(MID(Table1[[#This Row],[home_gym_location]],_xlfn.SEQUENCE(LEN(Table1[[#This Row],[home_gym_location]])),1))),"00000")</f>
        <v>01018</v>
      </c>
      <c r="AN54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47" t="str">
        <f>LEFT(_xlfn.TEXTBEFORE(Table1[[#This Row],[Location Identifier]],"-"),3) &amp; "-" &amp; _xlfn.TEXTAFTER(Table1[[#This Row],[Location Identifier]],"-")</f>
        <v>SAN-008</v>
      </c>
      <c r="AP547" s="9">
        <f t="shared" ca="1" si="80"/>
        <v>45869</v>
      </c>
    </row>
    <row r="548" spans="1:42" x14ac:dyDescent="0.25">
      <c r="A548">
        <v>24</v>
      </c>
      <c r="B548" t="s">
        <v>26</v>
      </c>
      <c r="C548">
        <v>3</v>
      </c>
      <c r="D548" t="s">
        <v>80</v>
      </c>
      <c r="E548" t="b">
        <v>0</v>
      </c>
      <c r="F548" s="1">
        <v>0.55555555555555558</v>
      </c>
      <c r="G548" s="1">
        <v>0.62083333333333335</v>
      </c>
      <c r="H548">
        <v>94</v>
      </c>
      <c r="I548" t="b">
        <v>0</v>
      </c>
      <c r="J548" t="b">
        <v>0</v>
      </c>
      <c r="K548" t="b">
        <v>1</v>
      </c>
      <c r="L548" t="s">
        <v>62</v>
      </c>
      <c r="M548">
        <v>50</v>
      </c>
      <c r="N548" t="s">
        <v>29</v>
      </c>
      <c r="O548">
        <v>50</v>
      </c>
      <c r="P548" t="s">
        <v>30</v>
      </c>
      <c r="Q548">
        <v>0.05</v>
      </c>
      <c r="R548">
        <v>47.5</v>
      </c>
      <c r="S548" t="s">
        <v>31</v>
      </c>
      <c r="T548" t="s">
        <v>54</v>
      </c>
      <c r="U548">
        <v>32.715699999999998</v>
      </c>
      <c r="V548">
        <v>-117.1611</v>
      </c>
      <c r="W548" s="2">
        <v>45710</v>
      </c>
      <c r="X548">
        <v>0</v>
      </c>
      <c r="Y548" t="b">
        <v>1</v>
      </c>
      <c r="Z548" s="2">
        <v>45854</v>
      </c>
      <c r="AA548" t="str">
        <f t="shared" si="81"/>
        <v>20–29</v>
      </c>
      <c r="AB548" t="str">
        <f t="shared" si="82"/>
        <v>20–29</v>
      </c>
      <c r="AC548" t="str">
        <f t="shared" si="83"/>
        <v>Monday</v>
      </c>
      <c r="AD548" t="str">
        <f t="shared" si="84"/>
        <v/>
      </c>
      <c r="AE548" t="str">
        <f t="shared" si="85"/>
        <v/>
      </c>
      <c r="AF548" t="str">
        <f t="shared" si="86"/>
        <v/>
      </c>
      <c r="AG548" t="str">
        <f t="shared" si="87"/>
        <v/>
      </c>
      <c r="AH548" t="str">
        <f t="shared" si="88"/>
        <v>Saturday</v>
      </c>
      <c r="AI548" t="str">
        <f t="shared" si="89"/>
        <v>Sunday</v>
      </c>
      <c r="AJ548" t="str">
        <f>LEFT(Table1[[#This Row],[membership_type]],2)&amp;TEXT(Table1[[#This Row],[age]],"00")&amp;"-"&amp;TEXT(ROW(),"000")</f>
        <v>Pr24-548</v>
      </c>
      <c r="AK548" t="str">
        <f>LEFT(Table1[[#This Row],[membership_type]],1)&amp;TEXT(MATCH(Table1[[#This Row],[membership_type]],Table1[membership_type],0),"00")</f>
        <v>P01</v>
      </c>
      <c r="AL548" t="str">
        <f>LEFT(Table1[[#This Row],[discount_type]],1)&amp;TEXT(ROUND(Table1[[#This Row],[discount_rate]]*100,0),"00")</f>
        <v>P05</v>
      </c>
      <c r="AM548" t="str" cm="1">
        <f t="array" ref="AM548">TEXT(SUMPRODUCT(CODE(MID(Table1[[#This Row],[home_gym_location]],_xlfn.SEQUENCE(LEN(Table1[[#This Row],[home_gym_location]])),1))),"00000")</f>
        <v>01018</v>
      </c>
      <c r="AN54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48" t="str">
        <f>LEFT(_xlfn.TEXTBEFORE(Table1[[#This Row],[Location Identifier]],"-"),3) &amp; "-" &amp; _xlfn.TEXTAFTER(Table1[[#This Row],[Location Identifier]],"-")</f>
        <v>SAN-008</v>
      </c>
      <c r="AP548" s="9">
        <f t="shared" ca="1" si="80"/>
        <v>45869</v>
      </c>
    </row>
    <row r="549" spans="1:42" x14ac:dyDescent="0.25">
      <c r="A549">
        <v>45</v>
      </c>
      <c r="B549" t="s">
        <v>33</v>
      </c>
      <c r="C549">
        <v>5</v>
      </c>
      <c r="D549" t="s">
        <v>150</v>
      </c>
      <c r="E549" t="b">
        <v>0</v>
      </c>
      <c r="F549" s="1">
        <v>0.82152777777777775</v>
      </c>
      <c r="G549" s="1">
        <v>0.87569444444444444</v>
      </c>
      <c r="H549">
        <v>78</v>
      </c>
      <c r="I549" t="b">
        <v>1</v>
      </c>
      <c r="J549" t="b">
        <v>0</v>
      </c>
      <c r="K549" t="b">
        <v>0</v>
      </c>
      <c r="L549" t="s">
        <v>35</v>
      </c>
      <c r="M549">
        <v>30</v>
      </c>
      <c r="N549" t="s">
        <v>29</v>
      </c>
      <c r="O549">
        <v>30</v>
      </c>
      <c r="P549" t="s">
        <v>74</v>
      </c>
      <c r="Q549">
        <v>0.15</v>
      </c>
      <c r="R549">
        <v>25.5</v>
      </c>
      <c r="S549" t="s">
        <v>37</v>
      </c>
      <c r="T549" t="s">
        <v>59</v>
      </c>
      <c r="U549">
        <v>37.774900000000002</v>
      </c>
      <c r="V549">
        <v>-122.4194</v>
      </c>
      <c r="W549" s="2">
        <v>45115</v>
      </c>
      <c r="X549">
        <v>0</v>
      </c>
      <c r="Y549" t="b">
        <v>0</v>
      </c>
      <c r="Z549" s="2">
        <v>45820</v>
      </c>
      <c r="AA549" t="str">
        <f t="shared" si="81"/>
        <v>40–49</v>
      </c>
      <c r="AB549" t="str">
        <f t="shared" si="82"/>
        <v>40–49</v>
      </c>
      <c r="AC549" t="str">
        <f t="shared" si="83"/>
        <v/>
      </c>
      <c r="AD549" t="str">
        <f t="shared" si="84"/>
        <v>Tuesday</v>
      </c>
      <c r="AE549" t="str">
        <f t="shared" si="85"/>
        <v/>
      </c>
      <c r="AF549" t="str">
        <f t="shared" si="86"/>
        <v>Thursday</v>
      </c>
      <c r="AG549" t="str">
        <f t="shared" si="87"/>
        <v>Friday</v>
      </c>
      <c r="AH549" t="str">
        <f t="shared" si="88"/>
        <v>Saturday</v>
      </c>
      <c r="AI549" t="str">
        <f t="shared" si="89"/>
        <v>Sunday</v>
      </c>
      <c r="AJ549" t="str">
        <f>LEFT(Table1[[#This Row],[membership_type]],2)&amp;TEXT(Table1[[#This Row],[age]],"00")&amp;"-"&amp;TEXT(ROW(),"000")</f>
        <v>St45-549</v>
      </c>
      <c r="AK549" t="str">
        <f>LEFT(Table1[[#This Row],[membership_type]],1)&amp;TEXT(MATCH(Table1[[#This Row],[membership_type]],Table1[membership_type],0),"00")</f>
        <v>S02</v>
      </c>
      <c r="AL549" t="str">
        <f>LEFT(Table1[[#This Row],[discount_type]],1)&amp;TEXT(ROUND(Table1[[#This Row],[discount_rate]]*100,0),"00")</f>
        <v>S15</v>
      </c>
      <c r="AM549" t="str" cm="1">
        <f t="array" ref="AM549">TEXT(SUMPRODUCT(CODE(MID(Table1[[#This Row],[home_gym_location]],_xlfn.SEQUENCE(LEN(Table1[[#This Row],[home_gym_location]])),1))),"00000")</f>
        <v>01450</v>
      </c>
      <c r="AN54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49" t="str">
        <f>LEFT(_xlfn.TEXTBEFORE(Table1[[#This Row],[Location Identifier]],"-"),3) &amp; "-" &amp; _xlfn.TEXTAFTER(Table1[[#This Row],[Location Identifier]],"-")</f>
        <v>SAN-009</v>
      </c>
      <c r="AP549" s="9">
        <f t="shared" ca="1" si="80"/>
        <v>45869</v>
      </c>
    </row>
    <row r="550" spans="1:42" x14ac:dyDescent="0.25">
      <c r="A550">
        <v>13</v>
      </c>
      <c r="B550" t="s">
        <v>33</v>
      </c>
      <c r="C550">
        <v>2</v>
      </c>
      <c r="D550" t="s">
        <v>84</v>
      </c>
      <c r="E550" t="b">
        <v>1</v>
      </c>
      <c r="F550" s="1">
        <v>0.44027777777777777</v>
      </c>
      <c r="G550" s="1">
        <v>0.53402777777777777</v>
      </c>
      <c r="H550">
        <v>135</v>
      </c>
      <c r="I550" t="b">
        <v>1</v>
      </c>
      <c r="J550" t="b">
        <v>0</v>
      </c>
      <c r="K550" t="b">
        <v>0</v>
      </c>
      <c r="L550" t="s">
        <v>58</v>
      </c>
      <c r="M550">
        <v>30</v>
      </c>
      <c r="N550" t="s">
        <v>64</v>
      </c>
      <c r="O550">
        <v>22.5</v>
      </c>
      <c r="P550" t="s">
        <v>36</v>
      </c>
      <c r="Q550">
        <v>0</v>
      </c>
      <c r="R550">
        <v>22.5</v>
      </c>
      <c r="S550" t="s">
        <v>37</v>
      </c>
      <c r="T550" t="s">
        <v>48</v>
      </c>
      <c r="U550">
        <v>38.581600000000002</v>
      </c>
      <c r="V550">
        <v>-121.4944</v>
      </c>
      <c r="W550" s="2">
        <v>45276</v>
      </c>
      <c r="X550">
        <v>0</v>
      </c>
      <c r="Y550" t="b">
        <v>1</v>
      </c>
      <c r="Z550" s="2">
        <v>45829</v>
      </c>
      <c r="AA550" t="str">
        <f t="shared" si="81"/>
        <v>10–19</v>
      </c>
      <c r="AB550" t="str">
        <f t="shared" si="82"/>
        <v>Under 16</v>
      </c>
      <c r="AC550" t="str">
        <f t="shared" si="83"/>
        <v/>
      </c>
      <c r="AD550" t="str">
        <f t="shared" si="84"/>
        <v>Tuesday</v>
      </c>
      <c r="AE550" t="str">
        <f t="shared" si="85"/>
        <v/>
      </c>
      <c r="AF550" t="str">
        <f t="shared" si="86"/>
        <v/>
      </c>
      <c r="AG550" t="str">
        <f t="shared" si="87"/>
        <v/>
      </c>
      <c r="AH550" t="str">
        <f t="shared" si="88"/>
        <v/>
      </c>
      <c r="AI550" t="str">
        <f t="shared" si="89"/>
        <v>Sunday</v>
      </c>
      <c r="AJ550" t="str">
        <f>LEFT(Table1[[#This Row],[membership_type]],2)&amp;TEXT(Table1[[#This Row],[age]],"00")&amp;"-"&amp;TEXT(ROW(),"000")</f>
        <v>St13-550</v>
      </c>
      <c r="AK550" t="str">
        <f>LEFT(Table1[[#This Row],[membership_type]],1)&amp;TEXT(MATCH(Table1[[#This Row],[membership_type]],Table1[membership_type],0),"00")</f>
        <v>S02</v>
      </c>
      <c r="AL550" t="str">
        <f>LEFT(Table1[[#This Row],[discount_type]],1)&amp;TEXT(ROUND(Table1[[#This Row],[discount_rate]]*100,0),"00")</f>
        <v>N00</v>
      </c>
      <c r="AM550" t="str" cm="1">
        <f t="array" ref="AM550">TEXT(SUMPRODUCT(CODE(MID(Table1[[#This Row],[home_gym_location]],_xlfn.SEQUENCE(LEN(Table1[[#This Row],[home_gym_location]])),1))),"00000")</f>
        <v>01245</v>
      </c>
      <c r="AN55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50" t="str">
        <f>LEFT(_xlfn.TEXTBEFORE(Table1[[#This Row],[Location Identifier]],"-"),3) &amp; "-" &amp; _xlfn.TEXTAFTER(Table1[[#This Row],[Location Identifier]],"-")</f>
        <v>SAC-007</v>
      </c>
      <c r="AP550" s="9">
        <f t="shared" ca="1" si="80"/>
        <v>45869</v>
      </c>
    </row>
    <row r="551" spans="1:42" x14ac:dyDescent="0.25">
      <c r="A551">
        <v>29</v>
      </c>
      <c r="B551" t="s">
        <v>33</v>
      </c>
      <c r="C551">
        <v>3</v>
      </c>
      <c r="D551" t="s">
        <v>100</v>
      </c>
      <c r="E551" t="b">
        <v>0</v>
      </c>
      <c r="F551" s="1">
        <v>0.59444444444444444</v>
      </c>
      <c r="G551" s="1">
        <v>0.71388888888888891</v>
      </c>
      <c r="H551">
        <v>172</v>
      </c>
      <c r="I551" t="b">
        <v>0</v>
      </c>
      <c r="J551" t="b">
        <v>0</v>
      </c>
      <c r="K551" t="b">
        <v>0</v>
      </c>
      <c r="L551" t="s">
        <v>62</v>
      </c>
      <c r="M551">
        <v>30</v>
      </c>
      <c r="N551" t="s">
        <v>29</v>
      </c>
      <c r="O551">
        <v>30</v>
      </c>
      <c r="P551" t="s">
        <v>30</v>
      </c>
      <c r="Q551">
        <v>0.05</v>
      </c>
      <c r="R551">
        <v>28.5</v>
      </c>
      <c r="S551" t="s">
        <v>37</v>
      </c>
      <c r="T551" t="s">
        <v>38</v>
      </c>
      <c r="U551">
        <v>36.7378</v>
      </c>
      <c r="V551">
        <v>-119.7871</v>
      </c>
      <c r="W551" s="2">
        <v>45008</v>
      </c>
      <c r="X551">
        <v>0</v>
      </c>
      <c r="Y551" t="b">
        <v>1</v>
      </c>
      <c r="Z551" s="2">
        <v>45814</v>
      </c>
      <c r="AA551" t="str">
        <f t="shared" si="81"/>
        <v>20–29</v>
      </c>
      <c r="AB551" t="str">
        <f t="shared" si="82"/>
        <v>20–29</v>
      </c>
      <c r="AC551" t="str">
        <f t="shared" si="83"/>
        <v/>
      </c>
      <c r="AD551" t="str">
        <f t="shared" si="84"/>
        <v/>
      </c>
      <c r="AE551" t="str">
        <f t="shared" si="85"/>
        <v>Wednesday</v>
      </c>
      <c r="AF551" t="str">
        <f t="shared" si="86"/>
        <v/>
      </c>
      <c r="AG551" t="str">
        <f t="shared" si="87"/>
        <v>Friday</v>
      </c>
      <c r="AH551" t="str">
        <f t="shared" si="88"/>
        <v/>
      </c>
      <c r="AI551" t="str">
        <f t="shared" si="89"/>
        <v>Sunday</v>
      </c>
      <c r="AJ551" t="str">
        <f>LEFT(Table1[[#This Row],[membership_type]],2)&amp;TEXT(Table1[[#This Row],[age]],"00")&amp;"-"&amp;TEXT(ROW(),"000")</f>
        <v>St29-551</v>
      </c>
      <c r="AK551" t="str">
        <f>LEFT(Table1[[#This Row],[membership_type]],1)&amp;TEXT(MATCH(Table1[[#This Row],[membership_type]],Table1[membership_type],0),"00")</f>
        <v>S02</v>
      </c>
      <c r="AL551" t="str">
        <f>LEFT(Table1[[#This Row],[discount_type]],1)&amp;TEXT(ROUND(Table1[[#This Row],[discount_rate]]*100,0),"00")</f>
        <v>P05</v>
      </c>
      <c r="AM551" t="str" cm="1">
        <f t="array" ref="AM551">TEXT(SUMPRODUCT(CODE(MID(Table1[[#This Row],[home_gym_location]],_xlfn.SEQUENCE(LEN(Table1[[#This Row],[home_gym_location]])),1))),"00000")</f>
        <v>00829</v>
      </c>
      <c r="AN551" t="str">
        <f>UPPER(_xlfn.TEXTBEFORE(Table1[[#This Row],[home_gym_location]],","))&amp;"-"&amp;TEXT(MATCH(Table1[[#This Row],[home_gym_location]],_xlfn._xlws.SORT(_xlfn.UNIQUE(Table1[home_gym_location])),0),"000")</f>
        <v>FRESNO-003</v>
      </c>
      <c r="AO551" t="str">
        <f>LEFT(_xlfn.TEXTBEFORE(Table1[[#This Row],[Location Identifier]],"-"),3) &amp; "-" &amp; _xlfn.TEXTAFTER(Table1[[#This Row],[Location Identifier]],"-")</f>
        <v>FRE-003</v>
      </c>
      <c r="AP551" s="9">
        <f t="shared" ca="1" si="80"/>
        <v>45869</v>
      </c>
    </row>
    <row r="552" spans="1:42" x14ac:dyDescent="0.25">
      <c r="A552">
        <v>28</v>
      </c>
      <c r="B552" t="s">
        <v>42</v>
      </c>
      <c r="C552">
        <v>2</v>
      </c>
      <c r="D552" t="s">
        <v>101</v>
      </c>
      <c r="E552" t="b">
        <v>0</v>
      </c>
      <c r="F552" s="1">
        <v>0.3888888888888889</v>
      </c>
      <c r="G552" s="1">
        <v>0.49791666666666667</v>
      </c>
      <c r="H552">
        <v>157</v>
      </c>
      <c r="I552" t="b">
        <v>0</v>
      </c>
      <c r="J552" t="b">
        <v>1</v>
      </c>
      <c r="K552" t="b">
        <v>1</v>
      </c>
      <c r="L552" t="s">
        <v>62</v>
      </c>
      <c r="M552">
        <v>20</v>
      </c>
      <c r="N552" t="s">
        <v>64</v>
      </c>
      <c r="O552">
        <v>15</v>
      </c>
      <c r="P552" t="s">
        <v>36</v>
      </c>
      <c r="Q552">
        <v>0</v>
      </c>
      <c r="R552">
        <v>15</v>
      </c>
      <c r="S552" t="s">
        <v>44</v>
      </c>
      <c r="T552" t="s">
        <v>59</v>
      </c>
      <c r="U552">
        <v>37.774900000000002</v>
      </c>
      <c r="V552">
        <v>-122.4194</v>
      </c>
      <c r="W552" s="2">
        <v>45277</v>
      </c>
      <c r="X552">
        <v>2</v>
      </c>
      <c r="Y552" t="b">
        <v>0</v>
      </c>
      <c r="Z552" s="2">
        <v>45829</v>
      </c>
      <c r="AA552" t="str">
        <f t="shared" si="81"/>
        <v>20–29</v>
      </c>
      <c r="AB552" t="str">
        <f t="shared" si="82"/>
        <v>20–29</v>
      </c>
      <c r="AC552" t="str">
        <f t="shared" si="83"/>
        <v>Monday</v>
      </c>
      <c r="AD552" t="str">
        <f t="shared" si="84"/>
        <v/>
      </c>
      <c r="AE552" t="str">
        <f t="shared" si="85"/>
        <v/>
      </c>
      <c r="AF552" t="str">
        <f t="shared" si="86"/>
        <v/>
      </c>
      <c r="AG552" t="str">
        <f t="shared" si="87"/>
        <v>Friday</v>
      </c>
      <c r="AH552" t="str">
        <f t="shared" si="88"/>
        <v/>
      </c>
      <c r="AI552" t="str">
        <f t="shared" si="89"/>
        <v/>
      </c>
      <c r="AJ552" t="str">
        <f>LEFT(Table1[[#This Row],[membership_type]],2)&amp;TEXT(Table1[[#This Row],[age]],"00")&amp;"-"&amp;TEXT(ROW(),"000")</f>
        <v>Ba28-552</v>
      </c>
      <c r="AK552" t="str">
        <f>LEFT(Table1[[#This Row],[membership_type]],1)&amp;TEXT(MATCH(Table1[[#This Row],[membership_type]],Table1[membership_type],0),"00")</f>
        <v>B04</v>
      </c>
      <c r="AL552" t="str">
        <f>LEFT(Table1[[#This Row],[discount_type]],1)&amp;TEXT(ROUND(Table1[[#This Row],[discount_rate]]*100,0),"00")</f>
        <v>N00</v>
      </c>
      <c r="AM552" t="str" cm="1">
        <f t="array" ref="AM552">TEXT(SUMPRODUCT(CODE(MID(Table1[[#This Row],[home_gym_location]],_xlfn.SEQUENCE(LEN(Table1[[#This Row],[home_gym_location]])),1))),"00000")</f>
        <v>01450</v>
      </c>
      <c r="AN55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52" t="str">
        <f>LEFT(_xlfn.TEXTBEFORE(Table1[[#This Row],[Location Identifier]],"-"),3) &amp; "-" &amp; _xlfn.TEXTAFTER(Table1[[#This Row],[Location Identifier]],"-")</f>
        <v>SAN-009</v>
      </c>
      <c r="AP552" s="9">
        <f t="shared" ca="1" si="80"/>
        <v>45869</v>
      </c>
    </row>
    <row r="553" spans="1:42" x14ac:dyDescent="0.25">
      <c r="A553">
        <v>44</v>
      </c>
      <c r="B553" t="s">
        <v>42</v>
      </c>
      <c r="C553">
        <v>3</v>
      </c>
      <c r="D553" t="s">
        <v>60</v>
      </c>
      <c r="E553" t="b">
        <v>1</v>
      </c>
      <c r="F553" s="1">
        <v>0.42430555555555555</v>
      </c>
      <c r="G553" s="1">
        <v>0.47916666666666669</v>
      </c>
      <c r="H553">
        <v>79</v>
      </c>
      <c r="I553" t="b">
        <v>1</v>
      </c>
      <c r="J553" t="b">
        <v>1</v>
      </c>
      <c r="K553" t="b">
        <v>1</v>
      </c>
      <c r="L553" t="s">
        <v>28</v>
      </c>
      <c r="M553">
        <v>20</v>
      </c>
      <c r="N553" t="s">
        <v>78</v>
      </c>
      <c r="O553">
        <v>18</v>
      </c>
      <c r="P553" t="s">
        <v>36</v>
      </c>
      <c r="Q553">
        <v>0</v>
      </c>
      <c r="R553">
        <v>18</v>
      </c>
      <c r="S553" t="s">
        <v>44</v>
      </c>
      <c r="T553" t="s">
        <v>45</v>
      </c>
      <c r="U553">
        <v>33.836599999999997</v>
      </c>
      <c r="V553">
        <v>-117.9143</v>
      </c>
      <c r="W553" s="2">
        <v>44923</v>
      </c>
      <c r="X553">
        <v>6</v>
      </c>
      <c r="Y553" t="b">
        <v>1</v>
      </c>
      <c r="Z553" s="2">
        <v>45809</v>
      </c>
      <c r="AA553" t="str">
        <f t="shared" si="81"/>
        <v>40–49</v>
      </c>
      <c r="AB553" t="str">
        <f t="shared" si="82"/>
        <v>40–49</v>
      </c>
      <c r="AC553" t="str">
        <f t="shared" si="83"/>
        <v/>
      </c>
      <c r="AD553" t="str">
        <f t="shared" si="84"/>
        <v/>
      </c>
      <c r="AE553" t="str">
        <f t="shared" si="85"/>
        <v>Wednesday</v>
      </c>
      <c r="AF553" t="str">
        <f t="shared" si="86"/>
        <v/>
      </c>
      <c r="AG553" t="str">
        <f t="shared" si="87"/>
        <v/>
      </c>
      <c r="AH553" t="str">
        <f t="shared" si="88"/>
        <v>Saturday</v>
      </c>
      <c r="AI553" t="str">
        <f t="shared" si="89"/>
        <v>Sunday</v>
      </c>
      <c r="AJ553" t="str">
        <f>LEFT(Table1[[#This Row],[membership_type]],2)&amp;TEXT(Table1[[#This Row],[age]],"00")&amp;"-"&amp;TEXT(ROW(),"000")</f>
        <v>Ba44-553</v>
      </c>
      <c r="AK553" t="str">
        <f>LEFT(Table1[[#This Row],[membership_type]],1)&amp;TEXT(MATCH(Table1[[#This Row],[membership_type]],Table1[membership_type],0),"00")</f>
        <v>B04</v>
      </c>
      <c r="AL553" t="str">
        <f>LEFT(Table1[[#This Row],[discount_type]],1)&amp;TEXT(ROUND(Table1[[#This Row],[discount_rate]]*100,0),"00")</f>
        <v>N00</v>
      </c>
      <c r="AM553" t="str" cm="1">
        <f t="array" ref="AM553">TEXT(SUMPRODUCT(CODE(MID(Table1[[#This Row],[home_gym_location]],_xlfn.SEQUENCE(LEN(Table1[[#This Row],[home_gym_location]])),1))),"00000")</f>
        <v>00899</v>
      </c>
      <c r="AN553" t="str">
        <f>UPPER(_xlfn.TEXTBEFORE(Table1[[#This Row],[home_gym_location]],","))&amp;"-"&amp;TEXT(MATCH(Table1[[#This Row],[home_gym_location]],_xlfn._xlws.SORT(_xlfn.UNIQUE(Table1[home_gym_location])),0),"000")</f>
        <v>ANAHEIM-001</v>
      </c>
      <c r="AO553" t="str">
        <f>LEFT(_xlfn.TEXTBEFORE(Table1[[#This Row],[Location Identifier]],"-"),3) &amp; "-" &amp; _xlfn.TEXTAFTER(Table1[[#This Row],[Location Identifier]],"-")</f>
        <v>ANA-001</v>
      </c>
      <c r="AP553" s="9">
        <f t="shared" ca="1" si="80"/>
        <v>45869</v>
      </c>
    </row>
    <row r="554" spans="1:42" x14ac:dyDescent="0.25">
      <c r="A554">
        <v>38</v>
      </c>
      <c r="B554" t="s">
        <v>26</v>
      </c>
      <c r="C554">
        <v>4</v>
      </c>
      <c r="D554" t="s">
        <v>52</v>
      </c>
      <c r="E554" t="b">
        <v>1</v>
      </c>
      <c r="F554" s="1">
        <v>0.53472222222222221</v>
      </c>
      <c r="G554" s="1">
        <v>0.59652777777777777</v>
      </c>
      <c r="H554">
        <v>89</v>
      </c>
      <c r="I554" t="b">
        <v>0</v>
      </c>
      <c r="J554" t="b">
        <v>0</v>
      </c>
      <c r="K554" t="b">
        <v>1</v>
      </c>
      <c r="L554" t="s">
        <v>62</v>
      </c>
      <c r="M554">
        <v>50</v>
      </c>
      <c r="N554" t="s">
        <v>29</v>
      </c>
      <c r="O554">
        <v>50</v>
      </c>
      <c r="P554" t="s">
        <v>36</v>
      </c>
      <c r="Q554">
        <v>0</v>
      </c>
      <c r="R554">
        <v>50</v>
      </c>
      <c r="S554" t="s">
        <v>31</v>
      </c>
      <c r="T554" t="s">
        <v>50</v>
      </c>
      <c r="U554">
        <v>34.052199999999999</v>
      </c>
      <c r="V554">
        <v>-118.2437</v>
      </c>
      <c r="W554" s="2">
        <v>45243</v>
      </c>
      <c r="X554">
        <v>0</v>
      </c>
      <c r="Y554" t="b">
        <v>1</v>
      </c>
      <c r="Z554" s="2">
        <v>45827</v>
      </c>
      <c r="AA554" t="str">
        <f t="shared" si="81"/>
        <v>30–39</v>
      </c>
      <c r="AB554" t="str">
        <f t="shared" si="82"/>
        <v>30–39</v>
      </c>
      <c r="AC554" t="str">
        <f t="shared" si="83"/>
        <v>Monday</v>
      </c>
      <c r="AD554" t="str">
        <f t="shared" si="84"/>
        <v/>
      </c>
      <c r="AE554" t="str">
        <f t="shared" si="85"/>
        <v/>
      </c>
      <c r="AF554" t="str">
        <f t="shared" si="86"/>
        <v>Thursday</v>
      </c>
      <c r="AG554" t="str">
        <f t="shared" si="87"/>
        <v>Friday</v>
      </c>
      <c r="AH554" t="str">
        <f t="shared" si="88"/>
        <v/>
      </c>
      <c r="AI554" t="str">
        <f t="shared" si="89"/>
        <v>Sunday</v>
      </c>
      <c r="AJ554" t="str">
        <f>LEFT(Table1[[#This Row],[membership_type]],2)&amp;TEXT(Table1[[#This Row],[age]],"00")&amp;"-"&amp;TEXT(ROW(),"000")</f>
        <v>Pr38-554</v>
      </c>
      <c r="AK554" t="str">
        <f>LEFT(Table1[[#This Row],[membership_type]],1)&amp;TEXT(MATCH(Table1[[#This Row],[membership_type]],Table1[membership_type],0),"00")</f>
        <v>P01</v>
      </c>
      <c r="AL554" t="str">
        <f>LEFT(Table1[[#This Row],[discount_type]],1)&amp;TEXT(ROUND(Table1[[#This Row],[discount_rate]]*100,0),"00")</f>
        <v>N00</v>
      </c>
      <c r="AM554" t="str" cm="1">
        <f t="array" ref="AM554">TEXT(SUMPRODUCT(CODE(MID(Table1[[#This Row],[home_gym_location]],_xlfn.SEQUENCE(LEN(Table1[[#This Row],[home_gym_location]])),1))),"00000")</f>
        <v>01245</v>
      </c>
      <c r="AN55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54" t="str">
        <f>LEFT(_xlfn.TEXTBEFORE(Table1[[#This Row],[Location Identifier]],"-"),3) &amp; "-" &amp; _xlfn.TEXTAFTER(Table1[[#This Row],[Location Identifier]],"-")</f>
        <v>LOS-005</v>
      </c>
      <c r="AP554" s="9">
        <f t="shared" ca="1" si="80"/>
        <v>45869</v>
      </c>
    </row>
    <row r="555" spans="1:42" x14ac:dyDescent="0.25">
      <c r="A555">
        <v>19</v>
      </c>
      <c r="B555" t="s">
        <v>33</v>
      </c>
      <c r="C555">
        <v>2</v>
      </c>
      <c r="D555" t="s">
        <v>70</v>
      </c>
      <c r="E555" t="b">
        <v>1</v>
      </c>
      <c r="F555" s="1">
        <v>0.71736111111111112</v>
      </c>
      <c r="G555" s="1">
        <v>0.80972222222222223</v>
      </c>
      <c r="H555">
        <v>133</v>
      </c>
      <c r="I555" t="b">
        <v>1</v>
      </c>
      <c r="J555" t="b">
        <v>1</v>
      </c>
      <c r="K555" t="b">
        <v>0</v>
      </c>
      <c r="L555" t="s">
        <v>47</v>
      </c>
      <c r="M555">
        <v>30</v>
      </c>
      <c r="N555" t="s">
        <v>29</v>
      </c>
      <c r="O555">
        <v>30</v>
      </c>
      <c r="P555" t="s">
        <v>30</v>
      </c>
      <c r="Q555">
        <v>0.05</v>
      </c>
      <c r="R555">
        <v>28.5</v>
      </c>
      <c r="S555" t="s">
        <v>37</v>
      </c>
      <c r="T555" t="s">
        <v>48</v>
      </c>
      <c r="U555">
        <v>38.581600000000002</v>
      </c>
      <c r="V555">
        <v>-121.4944</v>
      </c>
      <c r="W555" s="2">
        <v>45233</v>
      </c>
      <c r="X555">
        <v>3</v>
      </c>
      <c r="Y555" t="b">
        <v>0</v>
      </c>
      <c r="Z555" s="2">
        <v>45827</v>
      </c>
      <c r="AA555" t="str">
        <f t="shared" si="81"/>
        <v>10–19</v>
      </c>
      <c r="AB555" t="str">
        <f t="shared" si="82"/>
        <v>16–19</v>
      </c>
      <c r="AC555" t="str">
        <f t="shared" si="83"/>
        <v/>
      </c>
      <c r="AD555" t="str">
        <f t="shared" si="84"/>
        <v/>
      </c>
      <c r="AE555" t="str">
        <f t="shared" si="85"/>
        <v>Wednesday</v>
      </c>
      <c r="AF555" t="str">
        <f t="shared" si="86"/>
        <v>Thursday</v>
      </c>
      <c r="AG555" t="str">
        <f t="shared" si="87"/>
        <v/>
      </c>
      <c r="AH555" t="str">
        <f t="shared" si="88"/>
        <v/>
      </c>
      <c r="AI555" t="str">
        <f t="shared" si="89"/>
        <v/>
      </c>
      <c r="AJ555" t="str">
        <f>LEFT(Table1[[#This Row],[membership_type]],2)&amp;TEXT(Table1[[#This Row],[age]],"00")&amp;"-"&amp;TEXT(ROW(),"000")</f>
        <v>St19-555</v>
      </c>
      <c r="AK555" t="str">
        <f>LEFT(Table1[[#This Row],[membership_type]],1)&amp;TEXT(MATCH(Table1[[#This Row],[membership_type]],Table1[membership_type],0),"00")</f>
        <v>S02</v>
      </c>
      <c r="AL555" t="str">
        <f>LEFT(Table1[[#This Row],[discount_type]],1)&amp;TEXT(ROUND(Table1[[#This Row],[discount_rate]]*100,0),"00")</f>
        <v>P05</v>
      </c>
      <c r="AM555" t="str" cm="1">
        <f t="array" ref="AM555">TEXT(SUMPRODUCT(CODE(MID(Table1[[#This Row],[home_gym_location]],_xlfn.SEQUENCE(LEN(Table1[[#This Row],[home_gym_location]])),1))),"00000")</f>
        <v>01245</v>
      </c>
      <c r="AN55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55" t="str">
        <f>LEFT(_xlfn.TEXTBEFORE(Table1[[#This Row],[Location Identifier]],"-"),3) &amp; "-" &amp; _xlfn.TEXTAFTER(Table1[[#This Row],[Location Identifier]],"-")</f>
        <v>SAC-007</v>
      </c>
      <c r="AP555" s="9">
        <f t="shared" ca="1" si="80"/>
        <v>45869</v>
      </c>
    </row>
    <row r="556" spans="1:42" x14ac:dyDescent="0.25">
      <c r="A556">
        <v>27</v>
      </c>
      <c r="B556" t="s">
        <v>26</v>
      </c>
      <c r="C556">
        <v>3</v>
      </c>
      <c r="D556" t="s">
        <v>102</v>
      </c>
      <c r="E556" t="b">
        <v>1</v>
      </c>
      <c r="F556" s="1">
        <v>0.45</v>
      </c>
      <c r="G556" s="1">
        <v>0.55208333333333337</v>
      </c>
      <c r="H556">
        <v>147</v>
      </c>
      <c r="I556" t="b">
        <v>1</v>
      </c>
      <c r="J556" t="b">
        <v>0</v>
      </c>
      <c r="K556" t="b">
        <v>0</v>
      </c>
      <c r="L556" t="s">
        <v>35</v>
      </c>
      <c r="M556">
        <v>50</v>
      </c>
      <c r="N556" t="s">
        <v>64</v>
      </c>
      <c r="O556">
        <v>37.5</v>
      </c>
      <c r="P556" t="s">
        <v>36</v>
      </c>
      <c r="Q556">
        <v>0</v>
      </c>
      <c r="R556">
        <v>37.5</v>
      </c>
      <c r="S556" t="s">
        <v>31</v>
      </c>
      <c r="T556" t="s">
        <v>45</v>
      </c>
      <c r="U556">
        <v>33.836599999999997</v>
      </c>
      <c r="V556">
        <v>-117.9143</v>
      </c>
      <c r="W556" s="2">
        <v>44897</v>
      </c>
      <c r="X556">
        <v>0</v>
      </c>
      <c r="Y556" t="b">
        <v>1</v>
      </c>
      <c r="Z556" s="2">
        <v>45808</v>
      </c>
      <c r="AA556" t="str">
        <f t="shared" si="81"/>
        <v>20–29</v>
      </c>
      <c r="AB556" t="str">
        <f t="shared" si="82"/>
        <v>20–29</v>
      </c>
      <c r="AC556" t="str">
        <f t="shared" si="83"/>
        <v/>
      </c>
      <c r="AD556" t="str">
        <f t="shared" si="84"/>
        <v/>
      </c>
      <c r="AE556" t="str">
        <f t="shared" si="85"/>
        <v/>
      </c>
      <c r="AF556" t="str">
        <f t="shared" si="86"/>
        <v>Thursday</v>
      </c>
      <c r="AG556" t="str">
        <f t="shared" si="87"/>
        <v>Friday</v>
      </c>
      <c r="AH556" t="str">
        <f t="shared" si="88"/>
        <v>Saturday</v>
      </c>
      <c r="AI556" t="str">
        <f t="shared" si="89"/>
        <v/>
      </c>
      <c r="AJ556" t="str">
        <f>LEFT(Table1[[#This Row],[membership_type]],2)&amp;TEXT(Table1[[#This Row],[age]],"00")&amp;"-"&amp;TEXT(ROW(),"000")</f>
        <v>Pr27-556</v>
      </c>
      <c r="AK556" t="str">
        <f>LEFT(Table1[[#This Row],[membership_type]],1)&amp;TEXT(MATCH(Table1[[#This Row],[membership_type]],Table1[membership_type],0),"00")</f>
        <v>P01</v>
      </c>
      <c r="AL556" t="str">
        <f>LEFT(Table1[[#This Row],[discount_type]],1)&amp;TEXT(ROUND(Table1[[#This Row],[discount_rate]]*100,0),"00")</f>
        <v>N00</v>
      </c>
      <c r="AM556" t="str" cm="1">
        <f t="array" ref="AM556">TEXT(SUMPRODUCT(CODE(MID(Table1[[#This Row],[home_gym_location]],_xlfn.SEQUENCE(LEN(Table1[[#This Row],[home_gym_location]])),1))),"00000")</f>
        <v>00899</v>
      </c>
      <c r="AN556" t="str">
        <f>UPPER(_xlfn.TEXTBEFORE(Table1[[#This Row],[home_gym_location]],","))&amp;"-"&amp;TEXT(MATCH(Table1[[#This Row],[home_gym_location]],_xlfn._xlws.SORT(_xlfn.UNIQUE(Table1[home_gym_location])),0),"000")</f>
        <v>ANAHEIM-001</v>
      </c>
      <c r="AO556" t="str">
        <f>LEFT(_xlfn.TEXTBEFORE(Table1[[#This Row],[Location Identifier]],"-"),3) &amp; "-" &amp; _xlfn.TEXTAFTER(Table1[[#This Row],[Location Identifier]],"-")</f>
        <v>ANA-001</v>
      </c>
      <c r="AP556" s="9">
        <f t="shared" ca="1" si="80"/>
        <v>45869</v>
      </c>
    </row>
    <row r="557" spans="1:42" x14ac:dyDescent="0.25">
      <c r="A557">
        <v>35</v>
      </c>
      <c r="B557" t="s">
        <v>26</v>
      </c>
      <c r="C557">
        <v>2</v>
      </c>
      <c r="D557" t="s">
        <v>139</v>
      </c>
      <c r="E557" t="b">
        <v>1</v>
      </c>
      <c r="F557" s="1">
        <v>0.84305555555555556</v>
      </c>
      <c r="G557" s="1">
        <v>0.9375</v>
      </c>
      <c r="H557">
        <v>136</v>
      </c>
      <c r="I557" t="b">
        <v>1</v>
      </c>
      <c r="J557" t="b">
        <v>1</v>
      </c>
      <c r="K557" t="b">
        <v>1</v>
      </c>
      <c r="L557" t="s">
        <v>28</v>
      </c>
      <c r="M557">
        <v>50</v>
      </c>
      <c r="N557" t="s">
        <v>29</v>
      </c>
      <c r="O557">
        <v>50</v>
      </c>
      <c r="P557" t="s">
        <v>30</v>
      </c>
      <c r="Q557">
        <v>0.05</v>
      </c>
      <c r="R557">
        <v>47.5</v>
      </c>
      <c r="S557" t="s">
        <v>31</v>
      </c>
      <c r="T557" t="s">
        <v>48</v>
      </c>
      <c r="U557">
        <v>38.581600000000002</v>
      </c>
      <c r="V557">
        <v>-121.4944</v>
      </c>
      <c r="W557" s="2">
        <v>45401</v>
      </c>
      <c r="X557">
        <v>4</v>
      </c>
      <c r="Y557" t="b">
        <v>1</v>
      </c>
      <c r="Z557" s="2">
        <v>45836</v>
      </c>
      <c r="AA557" t="str">
        <f t="shared" si="81"/>
        <v>30–39</v>
      </c>
      <c r="AB557" t="str">
        <f t="shared" si="82"/>
        <v>30–39</v>
      </c>
      <c r="AC557" t="str">
        <f t="shared" si="83"/>
        <v/>
      </c>
      <c r="AD557" t="str">
        <f t="shared" si="84"/>
        <v/>
      </c>
      <c r="AE557" t="str">
        <f t="shared" si="85"/>
        <v>Wednesday</v>
      </c>
      <c r="AF557" t="str">
        <f t="shared" si="86"/>
        <v/>
      </c>
      <c r="AG557" t="str">
        <f t="shared" si="87"/>
        <v/>
      </c>
      <c r="AH557" t="str">
        <f t="shared" si="88"/>
        <v>Saturday</v>
      </c>
      <c r="AI557" t="str">
        <f t="shared" si="89"/>
        <v/>
      </c>
      <c r="AJ557" t="str">
        <f>LEFT(Table1[[#This Row],[membership_type]],2)&amp;TEXT(Table1[[#This Row],[age]],"00")&amp;"-"&amp;TEXT(ROW(),"000")</f>
        <v>Pr35-557</v>
      </c>
      <c r="AK557" t="str">
        <f>LEFT(Table1[[#This Row],[membership_type]],1)&amp;TEXT(MATCH(Table1[[#This Row],[membership_type]],Table1[membership_type],0),"00")</f>
        <v>P01</v>
      </c>
      <c r="AL557" t="str">
        <f>LEFT(Table1[[#This Row],[discount_type]],1)&amp;TEXT(ROUND(Table1[[#This Row],[discount_rate]]*100,0),"00")</f>
        <v>P05</v>
      </c>
      <c r="AM557" t="str" cm="1">
        <f t="array" ref="AM557">TEXT(SUMPRODUCT(CODE(MID(Table1[[#This Row],[home_gym_location]],_xlfn.SEQUENCE(LEN(Table1[[#This Row],[home_gym_location]])),1))),"00000")</f>
        <v>01245</v>
      </c>
      <c r="AN55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57" t="str">
        <f>LEFT(_xlfn.TEXTBEFORE(Table1[[#This Row],[Location Identifier]],"-"),3) &amp; "-" &amp; _xlfn.TEXTAFTER(Table1[[#This Row],[Location Identifier]],"-")</f>
        <v>SAC-007</v>
      </c>
      <c r="AP557" s="9">
        <f t="shared" ca="1" si="80"/>
        <v>45869</v>
      </c>
    </row>
    <row r="558" spans="1:42" x14ac:dyDescent="0.25">
      <c r="A558">
        <v>43</v>
      </c>
      <c r="B558" t="s">
        <v>26</v>
      </c>
      <c r="C558">
        <v>1</v>
      </c>
      <c r="D558" t="s">
        <v>63</v>
      </c>
      <c r="E558" t="b">
        <v>0</v>
      </c>
      <c r="F558" s="1">
        <v>0.81805555555555554</v>
      </c>
      <c r="G558" s="1">
        <v>0.87222222222222223</v>
      </c>
      <c r="H558">
        <v>78</v>
      </c>
      <c r="I558" t="b">
        <v>1</v>
      </c>
      <c r="J558" t="b">
        <v>0</v>
      </c>
      <c r="K558" t="b">
        <v>0</v>
      </c>
      <c r="L558" t="s">
        <v>28</v>
      </c>
      <c r="M558">
        <v>50</v>
      </c>
      <c r="N558" t="s">
        <v>64</v>
      </c>
      <c r="O558">
        <v>37.5</v>
      </c>
      <c r="P558" t="s">
        <v>74</v>
      </c>
      <c r="Q558">
        <v>0.15</v>
      </c>
      <c r="R558">
        <v>31.875</v>
      </c>
      <c r="S558" t="s">
        <v>31</v>
      </c>
      <c r="T558" t="s">
        <v>45</v>
      </c>
      <c r="U558">
        <v>33.836599999999997</v>
      </c>
      <c r="V558">
        <v>-117.9143</v>
      </c>
      <c r="W558" s="2">
        <v>45688</v>
      </c>
      <c r="X558">
        <v>0</v>
      </c>
      <c r="Y558" t="b">
        <v>1</v>
      </c>
      <c r="Z558" s="2">
        <v>45852</v>
      </c>
      <c r="AA558" t="str">
        <f t="shared" si="81"/>
        <v>40–49</v>
      </c>
      <c r="AB558" t="str">
        <f t="shared" si="82"/>
        <v>40–49</v>
      </c>
      <c r="AC558" t="str">
        <f t="shared" si="83"/>
        <v/>
      </c>
      <c r="AD558" t="str">
        <f t="shared" si="84"/>
        <v/>
      </c>
      <c r="AE558" t="str">
        <f t="shared" si="85"/>
        <v>Wednesday</v>
      </c>
      <c r="AF558" t="str">
        <f t="shared" si="86"/>
        <v/>
      </c>
      <c r="AG558" t="str">
        <f t="shared" si="87"/>
        <v/>
      </c>
      <c r="AH558" t="str">
        <f t="shared" si="88"/>
        <v/>
      </c>
      <c r="AI558" t="str">
        <f t="shared" si="89"/>
        <v/>
      </c>
      <c r="AJ558" t="str">
        <f>LEFT(Table1[[#This Row],[membership_type]],2)&amp;TEXT(Table1[[#This Row],[age]],"00")&amp;"-"&amp;TEXT(ROW(),"000")</f>
        <v>Pr43-558</v>
      </c>
      <c r="AK558" t="str">
        <f>LEFT(Table1[[#This Row],[membership_type]],1)&amp;TEXT(MATCH(Table1[[#This Row],[membership_type]],Table1[membership_type],0),"00")</f>
        <v>P01</v>
      </c>
      <c r="AL558" t="str">
        <f>LEFT(Table1[[#This Row],[discount_type]],1)&amp;TEXT(ROUND(Table1[[#This Row],[discount_rate]]*100,0),"00")</f>
        <v>S15</v>
      </c>
      <c r="AM558" t="str" cm="1">
        <f t="array" ref="AM558">TEXT(SUMPRODUCT(CODE(MID(Table1[[#This Row],[home_gym_location]],_xlfn.SEQUENCE(LEN(Table1[[#This Row],[home_gym_location]])),1))),"00000")</f>
        <v>00899</v>
      </c>
      <c r="AN558" t="str">
        <f>UPPER(_xlfn.TEXTBEFORE(Table1[[#This Row],[home_gym_location]],","))&amp;"-"&amp;TEXT(MATCH(Table1[[#This Row],[home_gym_location]],_xlfn._xlws.SORT(_xlfn.UNIQUE(Table1[home_gym_location])),0),"000")</f>
        <v>ANAHEIM-001</v>
      </c>
      <c r="AO558" t="str">
        <f>LEFT(_xlfn.TEXTBEFORE(Table1[[#This Row],[Location Identifier]],"-"),3) &amp; "-" &amp; _xlfn.TEXTAFTER(Table1[[#This Row],[Location Identifier]],"-")</f>
        <v>ANA-001</v>
      </c>
      <c r="AP558" s="9">
        <f t="shared" ca="1" si="80"/>
        <v>45869</v>
      </c>
    </row>
    <row r="559" spans="1:42" x14ac:dyDescent="0.25">
      <c r="A559">
        <v>37</v>
      </c>
      <c r="B559" t="s">
        <v>51</v>
      </c>
      <c r="C559">
        <v>1</v>
      </c>
      <c r="D559" t="s">
        <v>63</v>
      </c>
      <c r="E559" t="b">
        <v>1</v>
      </c>
      <c r="F559" s="1">
        <v>0.6430555555555556</v>
      </c>
      <c r="G559" s="1">
        <v>0.67708333333333337</v>
      </c>
      <c r="H559">
        <v>49</v>
      </c>
      <c r="I559" t="b">
        <v>1</v>
      </c>
      <c r="J559" t="b">
        <v>0</v>
      </c>
      <c r="K559" t="b">
        <v>0</v>
      </c>
      <c r="L559" t="s">
        <v>62</v>
      </c>
      <c r="M559">
        <v>70</v>
      </c>
      <c r="N559" t="s">
        <v>29</v>
      </c>
      <c r="O559">
        <v>70</v>
      </c>
      <c r="P559" t="s">
        <v>30</v>
      </c>
      <c r="Q559">
        <v>0.05</v>
      </c>
      <c r="R559">
        <v>66.5</v>
      </c>
      <c r="S559" t="s">
        <v>53</v>
      </c>
      <c r="T559" t="s">
        <v>54</v>
      </c>
      <c r="U559">
        <v>32.715699999999998</v>
      </c>
      <c r="V559">
        <v>-117.1611</v>
      </c>
      <c r="W559" s="2">
        <v>45800</v>
      </c>
      <c r="X559">
        <v>0</v>
      </c>
      <c r="Y559" t="b">
        <v>1</v>
      </c>
      <c r="Z559" s="2">
        <v>45859</v>
      </c>
      <c r="AA559" t="str">
        <f t="shared" si="81"/>
        <v>30–39</v>
      </c>
      <c r="AB559" t="str">
        <f t="shared" si="82"/>
        <v>30–39</v>
      </c>
      <c r="AC559" t="str">
        <f t="shared" si="83"/>
        <v/>
      </c>
      <c r="AD559" t="str">
        <f t="shared" si="84"/>
        <v/>
      </c>
      <c r="AE559" t="str">
        <f t="shared" si="85"/>
        <v>Wednesday</v>
      </c>
      <c r="AF559" t="str">
        <f t="shared" si="86"/>
        <v/>
      </c>
      <c r="AG559" t="str">
        <f t="shared" si="87"/>
        <v/>
      </c>
      <c r="AH559" t="str">
        <f t="shared" si="88"/>
        <v/>
      </c>
      <c r="AI559" t="str">
        <f t="shared" si="89"/>
        <v/>
      </c>
      <c r="AJ559" t="str">
        <f>LEFT(Table1[[#This Row],[membership_type]],2)&amp;TEXT(Table1[[#This Row],[age]],"00")&amp;"-"&amp;TEXT(ROW(),"000")</f>
        <v>El37-559</v>
      </c>
      <c r="AK559" t="str">
        <f>LEFT(Table1[[#This Row],[membership_type]],1)&amp;TEXT(MATCH(Table1[[#This Row],[membership_type]],Table1[membership_type],0),"00")</f>
        <v>E07</v>
      </c>
      <c r="AL559" t="str">
        <f>LEFT(Table1[[#This Row],[discount_type]],1)&amp;TEXT(ROUND(Table1[[#This Row],[discount_rate]]*100,0),"00")</f>
        <v>P05</v>
      </c>
      <c r="AM559" t="str" cm="1">
        <f t="array" ref="AM559">TEXT(SUMPRODUCT(CODE(MID(Table1[[#This Row],[home_gym_location]],_xlfn.SEQUENCE(LEN(Table1[[#This Row],[home_gym_location]])),1))),"00000")</f>
        <v>01018</v>
      </c>
      <c r="AN55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59" t="str">
        <f>LEFT(_xlfn.TEXTBEFORE(Table1[[#This Row],[Location Identifier]],"-"),3) &amp; "-" &amp; _xlfn.TEXTAFTER(Table1[[#This Row],[Location Identifier]],"-")</f>
        <v>SAN-008</v>
      </c>
      <c r="AP559" s="9">
        <f t="shared" ca="1" si="80"/>
        <v>45869</v>
      </c>
    </row>
    <row r="560" spans="1:42" x14ac:dyDescent="0.25">
      <c r="A560">
        <v>13</v>
      </c>
      <c r="B560" t="s">
        <v>26</v>
      </c>
      <c r="C560">
        <v>2</v>
      </c>
      <c r="D560" t="s">
        <v>94</v>
      </c>
      <c r="E560" t="b">
        <v>1</v>
      </c>
      <c r="F560" s="1">
        <v>0.35069444444444442</v>
      </c>
      <c r="G560" s="1">
        <v>0.38611111111111113</v>
      </c>
      <c r="H560">
        <v>51</v>
      </c>
      <c r="I560" t="b">
        <v>1</v>
      </c>
      <c r="J560" t="b">
        <v>1</v>
      </c>
      <c r="K560" t="b">
        <v>0</v>
      </c>
      <c r="L560" t="s">
        <v>62</v>
      </c>
      <c r="M560">
        <v>50</v>
      </c>
      <c r="N560" t="s">
        <v>29</v>
      </c>
      <c r="O560">
        <v>50</v>
      </c>
      <c r="P560" t="s">
        <v>36</v>
      </c>
      <c r="Q560">
        <v>0</v>
      </c>
      <c r="R560">
        <v>50</v>
      </c>
      <c r="S560" t="s">
        <v>31</v>
      </c>
      <c r="T560" t="s">
        <v>32</v>
      </c>
      <c r="U560">
        <v>37.338200000000001</v>
      </c>
      <c r="V560">
        <v>-121.88630000000001</v>
      </c>
      <c r="W560" s="2">
        <v>45026</v>
      </c>
      <c r="X560">
        <v>4</v>
      </c>
      <c r="Y560" t="b">
        <v>0</v>
      </c>
      <c r="Z560" s="2">
        <v>45815</v>
      </c>
      <c r="AA560" t="str">
        <f t="shared" si="81"/>
        <v>10–19</v>
      </c>
      <c r="AB560" t="str">
        <f t="shared" si="82"/>
        <v>Under 16</v>
      </c>
      <c r="AC560" t="str">
        <f t="shared" si="83"/>
        <v/>
      </c>
      <c r="AD560" t="str">
        <f t="shared" si="84"/>
        <v/>
      </c>
      <c r="AE560" t="str">
        <f t="shared" si="85"/>
        <v/>
      </c>
      <c r="AF560" t="str">
        <f t="shared" si="86"/>
        <v/>
      </c>
      <c r="AG560" t="str">
        <f t="shared" si="87"/>
        <v/>
      </c>
      <c r="AH560" t="str">
        <f t="shared" si="88"/>
        <v>Saturday</v>
      </c>
      <c r="AI560" t="str">
        <f t="shared" si="89"/>
        <v>Sunday</v>
      </c>
      <c r="AJ560" t="str">
        <f>LEFT(Table1[[#This Row],[membership_type]],2)&amp;TEXT(Table1[[#This Row],[age]],"00")&amp;"-"&amp;TEXT(ROW(),"000")</f>
        <v>Pr13-560</v>
      </c>
      <c r="AK560" t="str">
        <f>LEFT(Table1[[#This Row],[membership_type]],1)&amp;TEXT(MATCH(Table1[[#This Row],[membership_type]],Table1[membership_type],0),"00")</f>
        <v>P01</v>
      </c>
      <c r="AL560" t="str">
        <f>LEFT(Table1[[#This Row],[discount_type]],1)&amp;TEXT(ROUND(Table1[[#This Row],[discount_rate]]*100,0),"00")</f>
        <v>N00</v>
      </c>
      <c r="AM560" t="str" cm="1">
        <f t="array" ref="AM560">TEXT(SUMPRODUCT(CODE(MID(Table1[[#This Row],[home_gym_location]],_xlfn.SEQUENCE(LEN(Table1[[#This Row],[home_gym_location]])),1))),"00000")</f>
        <v>00931</v>
      </c>
      <c r="AN56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60" t="str">
        <f>LEFT(_xlfn.TEXTBEFORE(Table1[[#This Row],[Location Identifier]],"-"),3) &amp; "-" &amp; _xlfn.TEXTAFTER(Table1[[#This Row],[Location Identifier]],"-")</f>
        <v>SAN-010</v>
      </c>
      <c r="AP560" s="9">
        <f t="shared" ca="1" si="80"/>
        <v>45869</v>
      </c>
    </row>
    <row r="561" spans="1:42" x14ac:dyDescent="0.25">
      <c r="A561">
        <v>24</v>
      </c>
      <c r="B561" t="s">
        <v>26</v>
      </c>
      <c r="C561">
        <v>2</v>
      </c>
      <c r="D561" t="s">
        <v>27</v>
      </c>
      <c r="E561" t="b">
        <v>1</v>
      </c>
      <c r="F561" s="1">
        <v>0.7729166666666667</v>
      </c>
      <c r="G561" s="1">
        <v>0.85277777777777775</v>
      </c>
      <c r="H561">
        <v>115</v>
      </c>
      <c r="I561" t="b">
        <v>1</v>
      </c>
      <c r="J561" t="b">
        <v>0</v>
      </c>
      <c r="K561" t="b">
        <v>0</v>
      </c>
      <c r="L561" t="s">
        <v>28</v>
      </c>
      <c r="M561">
        <v>50</v>
      </c>
      <c r="N561" t="s">
        <v>29</v>
      </c>
      <c r="O561">
        <v>50</v>
      </c>
      <c r="P561" t="s">
        <v>30</v>
      </c>
      <c r="Q561">
        <v>0.05</v>
      </c>
      <c r="R561">
        <v>47.5</v>
      </c>
      <c r="S561" t="s">
        <v>31</v>
      </c>
      <c r="T561" t="s">
        <v>56</v>
      </c>
      <c r="U561">
        <v>35.3733</v>
      </c>
      <c r="V561">
        <v>-119.0187</v>
      </c>
      <c r="W561" s="2">
        <v>45170</v>
      </c>
      <c r="X561">
        <v>0</v>
      </c>
      <c r="Y561" t="b">
        <v>0</v>
      </c>
      <c r="Z561" s="2">
        <v>45823</v>
      </c>
      <c r="AA561" t="str">
        <f t="shared" si="81"/>
        <v>20–29</v>
      </c>
      <c r="AB561" t="str">
        <f t="shared" si="82"/>
        <v>20–29</v>
      </c>
      <c r="AC561" t="str">
        <f t="shared" si="83"/>
        <v/>
      </c>
      <c r="AD561" t="str">
        <f t="shared" si="84"/>
        <v/>
      </c>
      <c r="AE561" t="str">
        <f t="shared" si="85"/>
        <v/>
      </c>
      <c r="AF561" t="str">
        <f t="shared" si="86"/>
        <v>Thursday</v>
      </c>
      <c r="AG561" t="str">
        <f t="shared" si="87"/>
        <v/>
      </c>
      <c r="AH561" t="str">
        <f t="shared" si="88"/>
        <v>Saturday</v>
      </c>
      <c r="AI561" t="str">
        <f t="shared" si="89"/>
        <v/>
      </c>
      <c r="AJ561" t="str">
        <f>LEFT(Table1[[#This Row],[membership_type]],2)&amp;TEXT(Table1[[#This Row],[age]],"00")&amp;"-"&amp;TEXT(ROW(),"000")</f>
        <v>Pr24-561</v>
      </c>
      <c r="AK561" t="str">
        <f>LEFT(Table1[[#This Row],[membership_type]],1)&amp;TEXT(MATCH(Table1[[#This Row],[membership_type]],Table1[membership_type],0),"00")</f>
        <v>P01</v>
      </c>
      <c r="AL561" t="str">
        <f>LEFT(Table1[[#This Row],[discount_type]],1)&amp;TEXT(ROUND(Table1[[#This Row],[discount_rate]]*100,0),"00")</f>
        <v>P05</v>
      </c>
      <c r="AM561" t="str" cm="1">
        <f t="array" ref="AM561">TEXT(SUMPRODUCT(CODE(MID(Table1[[#This Row],[home_gym_location]],_xlfn.SEQUENCE(LEN(Table1[[#This Row],[home_gym_location]])),1))),"00000")</f>
        <v>01324</v>
      </c>
      <c r="AN56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61" t="str">
        <f>LEFT(_xlfn.TEXTBEFORE(Table1[[#This Row],[Location Identifier]],"-"),3) &amp; "-" &amp; _xlfn.TEXTAFTER(Table1[[#This Row],[Location Identifier]],"-")</f>
        <v>BAK-002</v>
      </c>
      <c r="AP561" s="9">
        <f t="shared" ca="1" si="80"/>
        <v>45869</v>
      </c>
    </row>
    <row r="562" spans="1:42" x14ac:dyDescent="0.25">
      <c r="A562">
        <v>45</v>
      </c>
      <c r="B562" t="s">
        <v>26</v>
      </c>
      <c r="C562">
        <v>3</v>
      </c>
      <c r="D562" t="s">
        <v>89</v>
      </c>
      <c r="E562" t="b">
        <v>0</v>
      </c>
      <c r="F562" s="1">
        <v>0.54861111111111116</v>
      </c>
      <c r="G562" s="1">
        <v>0.63541666666666663</v>
      </c>
      <c r="H562">
        <v>125</v>
      </c>
      <c r="I562" t="b">
        <v>1</v>
      </c>
      <c r="J562" t="b">
        <v>0</v>
      </c>
      <c r="K562" t="b">
        <v>1</v>
      </c>
      <c r="L562" t="s">
        <v>28</v>
      </c>
      <c r="M562">
        <v>50</v>
      </c>
      <c r="N562" t="s">
        <v>29</v>
      </c>
      <c r="O562">
        <v>50</v>
      </c>
      <c r="P562" t="s">
        <v>36</v>
      </c>
      <c r="Q562">
        <v>0</v>
      </c>
      <c r="R562">
        <v>50</v>
      </c>
      <c r="S562" t="s">
        <v>31</v>
      </c>
      <c r="T562" t="s">
        <v>56</v>
      </c>
      <c r="U562">
        <v>35.3733</v>
      </c>
      <c r="V562">
        <v>-119.0187</v>
      </c>
      <c r="W562" s="2">
        <v>45081</v>
      </c>
      <c r="X562">
        <v>0</v>
      </c>
      <c r="Y562" t="b">
        <v>1</v>
      </c>
      <c r="Z562" s="2">
        <v>45818</v>
      </c>
      <c r="AA562" t="str">
        <f t="shared" si="81"/>
        <v>40–49</v>
      </c>
      <c r="AB562" t="str">
        <f t="shared" si="82"/>
        <v>40–49</v>
      </c>
      <c r="AC562" t="str">
        <f t="shared" si="83"/>
        <v>Monday</v>
      </c>
      <c r="AD562" t="str">
        <f t="shared" si="84"/>
        <v>Tuesday</v>
      </c>
      <c r="AE562" t="str">
        <f t="shared" si="85"/>
        <v/>
      </c>
      <c r="AF562" t="str">
        <f t="shared" si="86"/>
        <v/>
      </c>
      <c r="AG562" t="str">
        <f t="shared" si="87"/>
        <v/>
      </c>
      <c r="AH562" t="str">
        <f t="shared" si="88"/>
        <v>Saturday</v>
      </c>
      <c r="AI562" t="str">
        <f t="shared" si="89"/>
        <v/>
      </c>
      <c r="AJ562" t="str">
        <f>LEFT(Table1[[#This Row],[membership_type]],2)&amp;TEXT(Table1[[#This Row],[age]],"00")&amp;"-"&amp;TEXT(ROW(),"000")</f>
        <v>Pr45-562</v>
      </c>
      <c r="AK562" t="str">
        <f>LEFT(Table1[[#This Row],[membership_type]],1)&amp;TEXT(MATCH(Table1[[#This Row],[membership_type]],Table1[membership_type],0),"00")</f>
        <v>P01</v>
      </c>
      <c r="AL562" t="str">
        <f>LEFT(Table1[[#This Row],[discount_type]],1)&amp;TEXT(ROUND(Table1[[#This Row],[discount_rate]]*100,0),"00")</f>
        <v>N00</v>
      </c>
      <c r="AM562" t="str" cm="1">
        <f t="array" ref="AM562">TEXT(SUMPRODUCT(CODE(MID(Table1[[#This Row],[home_gym_location]],_xlfn.SEQUENCE(LEN(Table1[[#This Row],[home_gym_location]])),1))),"00000")</f>
        <v>01324</v>
      </c>
      <c r="AN5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62" t="str">
        <f>LEFT(_xlfn.TEXTBEFORE(Table1[[#This Row],[Location Identifier]],"-"),3) &amp; "-" &amp; _xlfn.TEXTAFTER(Table1[[#This Row],[Location Identifier]],"-")</f>
        <v>BAK-002</v>
      </c>
      <c r="AP562" s="9">
        <f t="shared" ca="1" si="80"/>
        <v>45869</v>
      </c>
    </row>
    <row r="563" spans="1:42" x14ac:dyDescent="0.25">
      <c r="A563">
        <v>23</v>
      </c>
      <c r="B563" t="s">
        <v>42</v>
      </c>
      <c r="C563">
        <v>4</v>
      </c>
      <c r="D563" t="s">
        <v>159</v>
      </c>
      <c r="E563" t="b">
        <v>1</v>
      </c>
      <c r="F563" s="1">
        <v>0.43263888888888891</v>
      </c>
      <c r="G563" s="1">
        <v>0.52013888888888893</v>
      </c>
      <c r="H563">
        <v>126</v>
      </c>
      <c r="I563" t="b">
        <v>1</v>
      </c>
      <c r="J563" t="b">
        <v>1</v>
      </c>
      <c r="K563" t="b">
        <v>0</v>
      </c>
      <c r="L563" t="s">
        <v>58</v>
      </c>
      <c r="M563">
        <v>20</v>
      </c>
      <c r="N563" t="s">
        <v>29</v>
      </c>
      <c r="O563">
        <v>20</v>
      </c>
      <c r="P563" t="s">
        <v>40</v>
      </c>
      <c r="Q563">
        <v>0.1</v>
      </c>
      <c r="R563">
        <v>18</v>
      </c>
      <c r="S563" t="s">
        <v>44</v>
      </c>
      <c r="T563" t="s">
        <v>54</v>
      </c>
      <c r="U563">
        <v>32.715699999999998</v>
      </c>
      <c r="V563">
        <v>-117.1611</v>
      </c>
      <c r="W563" s="2">
        <v>45604</v>
      </c>
      <c r="X563">
        <v>6</v>
      </c>
      <c r="Y563" t="b">
        <v>1</v>
      </c>
      <c r="Z563" s="2">
        <v>45848</v>
      </c>
      <c r="AA563" t="str">
        <f t="shared" si="81"/>
        <v>20–29</v>
      </c>
      <c r="AB563" t="str">
        <f t="shared" si="82"/>
        <v>20–29</v>
      </c>
      <c r="AC563" t="str">
        <f t="shared" si="83"/>
        <v>Monday</v>
      </c>
      <c r="AD563" t="str">
        <f t="shared" si="84"/>
        <v>Tuesday</v>
      </c>
      <c r="AE563" t="str">
        <f t="shared" si="85"/>
        <v/>
      </c>
      <c r="AF563" t="str">
        <f t="shared" si="86"/>
        <v>Thursday</v>
      </c>
      <c r="AG563" t="str">
        <f t="shared" si="87"/>
        <v/>
      </c>
      <c r="AH563" t="str">
        <f t="shared" si="88"/>
        <v/>
      </c>
      <c r="AI563" t="str">
        <f t="shared" si="89"/>
        <v>Sunday</v>
      </c>
      <c r="AJ563" t="str">
        <f>LEFT(Table1[[#This Row],[membership_type]],2)&amp;TEXT(Table1[[#This Row],[age]],"00")&amp;"-"&amp;TEXT(ROW(),"000")</f>
        <v>Ba23-563</v>
      </c>
      <c r="AK563" t="str">
        <f>LEFT(Table1[[#This Row],[membership_type]],1)&amp;TEXT(MATCH(Table1[[#This Row],[membership_type]],Table1[membership_type],0),"00")</f>
        <v>B04</v>
      </c>
      <c r="AL563" t="str">
        <f>LEFT(Table1[[#This Row],[discount_type]],1)&amp;TEXT(ROUND(Table1[[#This Row],[discount_rate]]*100,0),"00")</f>
        <v>L10</v>
      </c>
      <c r="AM563" t="str" cm="1">
        <f t="array" ref="AM563">TEXT(SUMPRODUCT(CODE(MID(Table1[[#This Row],[home_gym_location]],_xlfn.SEQUENCE(LEN(Table1[[#This Row],[home_gym_location]])),1))),"00000")</f>
        <v>01018</v>
      </c>
      <c r="AN56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63" t="str">
        <f>LEFT(_xlfn.TEXTBEFORE(Table1[[#This Row],[Location Identifier]],"-"),3) &amp; "-" &amp; _xlfn.TEXTAFTER(Table1[[#This Row],[Location Identifier]],"-")</f>
        <v>SAN-008</v>
      </c>
      <c r="AP563" s="9">
        <f t="shared" ca="1" si="80"/>
        <v>45869</v>
      </c>
    </row>
    <row r="564" spans="1:42" x14ac:dyDescent="0.25">
      <c r="A564">
        <v>47</v>
      </c>
      <c r="B564" t="s">
        <v>42</v>
      </c>
      <c r="C564">
        <v>5</v>
      </c>
      <c r="D564" t="s">
        <v>104</v>
      </c>
      <c r="E564" t="b">
        <v>0</v>
      </c>
      <c r="F564" s="1">
        <v>0.47638888888888886</v>
      </c>
      <c r="G564" s="1">
        <v>0.53819444444444442</v>
      </c>
      <c r="H564">
        <v>89</v>
      </c>
      <c r="I564" t="b">
        <v>0</v>
      </c>
      <c r="J564" t="b">
        <v>0</v>
      </c>
      <c r="K564" t="b">
        <v>1</v>
      </c>
      <c r="L564" t="s">
        <v>35</v>
      </c>
      <c r="M564">
        <v>20</v>
      </c>
      <c r="N564" t="s">
        <v>29</v>
      </c>
      <c r="O564">
        <v>20</v>
      </c>
      <c r="P564" t="s">
        <v>74</v>
      </c>
      <c r="Q564">
        <v>0.15</v>
      </c>
      <c r="R564">
        <v>17</v>
      </c>
      <c r="S564" t="s">
        <v>44</v>
      </c>
      <c r="T564" t="s">
        <v>32</v>
      </c>
      <c r="U564">
        <v>37.338200000000001</v>
      </c>
      <c r="V564">
        <v>-121.88630000000001</v>
      </c>
      <c r="W564" s="2">
        <v>45685</v>
      </c>
      <c r="X564">
        <v>0</v>
      </c>
      <c r="Y564" t="b">
        <v>0</v>
      </c>
      <c r="Z564" s="2">
        <v>45852</v>
      </c>
      <c r="AA564" t="str">
        <f t="shared" si="81"/>
        <v>40–49</v>
      </c>
      <c r="AB564" t="str">
        <f t="shared" si="82"/>
        <v>40–49</v>
      </c>
      <c r="AC564" t="str">
        <f t="shared" si="83"/>
        <v/>
      </c>
      <c r="AD564" t="str">
        <f t="shared" si="84"/>
        <v>Tuesday</v>
      </c>
      <c r="AE564" t="str">
        <f t="shared" si="85"/>
        <v>Wednesday</v>
      </c>
      <c r="AF564" t="str">
        <f t="shared" si="86"/>
        <v>Thursday</v>
      </c>
      <c r="AG564" t="str">
        <f t="shared" si="87"/>
        <v/>
      </c>
      <c r="AH564" t="str">
        <f t="shared" si="88"/>
        <v>Saturday</v>
      </c>
      <c r="AI564" t="str">
        <f t="shared" si="89"/>
        <v>Sunday</v>
      </c>
      <c r="AJ564" t="str">
        <f>LEFT(Table1[[#This Row],[membership_type]],2)&amp;TEXT(Table1[[#This Row],[age]],"00")&amp;"-"&amp;TEXT(ROW(),"000")</f>
        <v>Ba47-564</v>
      </c>
      <c r="AK564" t="str">
        <f>LEFT(Table1[[#This Row],[membership_type]],1)&amp;TEXT(MATCH(Table1[[#This Row],[membership_type]],Table1[membership_type],0),"00")</f>
        <v>B04</v>
      </c>
      <c r="AL564" t="str">
        <f>LEFT(Table1[[#This Row],[discount_type]],1)&amp;TEXT(ROUND(Table1[[#This Row],[discount_rate]]*100,0),"00")</f>
        <v>S15</v>
      </c>
      <c r="AM564" t="str" cm="1">
        <f t="array" ref="AM564">TEXT(SUMPRODUCT(CODE(MID(Table1[[#This Row],[home_gym_location]],_xlfn.SEQUENCE(LEN(Table1[[#This Row],[home_gym_location]])),1))),"00000")</f>
        <v>00931</v>
      </c>
      <c r="AN56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64" t="str">
        <f>LEFT(_xlfn.TEXTBEFORE(Table1[[#This Row],[Location Identifier]],"-"),3) &amp; "-" &amp; _xlfn.TEXTAFTER(Table1[[#This Row],[Location Identifier]],"-")</f>
        <v>SAN-010</v>
      </c>
      <c r="AP564" s="9">
        <f t="shared" ca="1" si="80"/>
        <v>45869</v>
      </c>
    </row>
    <row r="565" spans="1:42" x14ac:dyDescent="0.25">
      <c r="A565">
        <v>47</v>
      </c>
      <c r="B565" t="s">
        <v>33</v>
      </c>
      <c r="C565">
        <v>1</v>
      </c>
      <c r="D565" t="s">
        <v>49</v>
      </c>
      <c r="E565" t="b">
        <v>1</v>
      </c>
      <c r="F565" s="1">
        <v>0.51666666666666672</v>
      </c>
      <c r="G565" s="1">
        <v>0.55138888888888893</v>
      </c>
      <c r="H565">
        <v>50</v>
      </c>
      <c r="I565" t="b">
        <v>0</v>
      </c>
      <c r="J565" t="b">
        <v>1</v>
      </c>
      <c r="K565" t="b">
        <v>1</v>
      </c>
      <c r="L565" t="s">
        <v>28</v>
      </c>
      <c r="M565">
        <v>30</v>
      </c>
      <c r="N565" t="s">
        <v>64</v>
      </c>
      <c r="O565">
        <v>22.5</v>
      </c>
      <c r="P565" t="s">
        <v>30</v>
      </c>
      <c r="Q565">
        <v>0.05</v>
      </c>
      <c r="R565">
        <v>21.375</v>
      </c>
      <c r="S565" t="s">
        <v>37</v>
      </c>
      <c r="T565" t="s">
        <v>59</v>
      </c>
      <c r="U565">
        <v>37.774900000000002</v>
      </c>
      <c r="V565">
        <v>-122.4194</v>
      </c>
      <c r="W565" s="2">
        <v>45815</v>
      </c>
      <c r="X565">
        <v>2</v>
      </c>
      <c r="Y565" t="b">
        <v>0</v>
      </c>
      <c r="Z565" s="2">
        <v>45860</v>
      </c>
      <c r="AA565" t="str">
        <f t="shared" si="81"/>
        <v>40–49</v>
      </c>
      <c r="AB565" t="str">
        <f t="shared" si="82"/>
        <v>40–49</v>
      </c>
      <c r="AC565" t="str">
        <f t="shared" si="83"/>
        <v/>
      </c>
      <c r="AD565" t="str">
        <f t="shared" si="84"/>
        <v/>
      </c>
      <c r="AE565" t="str">
        <f t="shared" si="85"/>
        <v/>
      </c>
      <c r="AF565" t="str">
        <f t="shared" si="86"/>
        <v/>
      </c>
      <c r="AG565" t="str">
        <f t="shared" si="87"/>
        <v/>
      </c>
      <c r="AH565" t="str">
        <f t="shared" si="88"/>
        <v/>
      </c>
      <c r="AI565" t="str">
        <f t="shared" si="89"/>
        <v>Sunday</v>
      </c>
      <c r="AJ565" t="str">
        <f>LEFT(Table1[[#This Row],[membership_type]],2)&amp;TEXT(Table1[[#This Row],[age]],"00")&amp;"-"&amp;TEXT(ROW(),"000")</f>
        <v>St47-565</v>
      </c>
      <c r="AK565" t="str">
        <f>LEFT(Table1[[#This Row],[membership_type]],1)&amp;TEXT(MATCH(Table1[[#This Row],[membership_type]],Table1[membership_type],0),"00")</f>
        <v>S02</v>
      </c>
      <c r="AL565" t="str">
        <f>LEFT(Table1[[#This Row],[discount_type]],1)&amp;TEXT(ROUND(Table1[[#This Row],[discount_rate]]*100,0),"00")</f>
        <v>P05</v>
      </c>
      <c r="AM565" t="str" cm="1">
        <f t="array" ref="AM565">TEXT(SUMPRODUCT(CODE(MID(Table1[[#This Row],[home_gym_location]],_xlfn.SEQUENCE(LEN(Table1[[#This Row],[home_gym_location]])),1))),"00000")</f>
        <v>01450</v>
      </c>
      <c r="AN56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65" t="str">
        <f>LEFT(_xlfn.TEXTBEFORE(Table1[[#This Row],[Location Identifier]],"-"),3) &amp; "-" &amp; _xlfn.TEXTAFTER(Table1[[#This Row],[Location Identifier]],"-")</f>
        <v>SAN-009</v>
      </c>
      <c r="AP565" s="9">
        <f t="shared" ca="1" si="80"/>
        <v>45869</v>
      </c>
    </row>
    <row r="566" spans="1:42" x14ac:dyDescent="0.25">
      <c r="A566">
        <v>32</v>
      </c>
      <c r="B566" t="s">
        <v>51</v>
      </c>
      <c r="C566">
        <v>3</v>
      </c>
      <c r="D566" t="s">
        <v>125</v>
      </c>
      <c r="E566" t="b">
        <v>0</v>
      </c>
      <c r="F566" s="1">
        <v>0.58402777777777781</v>
      </c>
      <c r="G566" s="1">
        <v>0.67847222222222225</v>
      </c>
      <c r="H566">
        <v>136</v>
      </c>
      <c r="I566" t="b">
        <v>0</v>
      </c>
      <c r="J566" t="b">
        <v>0</v>
      </c>
      <c r="K566" t="b">
        <v>0</v>
      </c>
      <c r="L566" t="s">
        <v>62</v>
      </c>
      <c r="M566">
        <v>70</v>
      </c>
      <c r="N566" t="s">
        <v>29</v>
      </c>
      <c r="O566">
        <v>70</v>
      </c>
      <c r="P566" t="s">
        <v>36</v>
      </c>
      <c r="Q566">
        <v>0</v>
      </c>
      <c r="R566">
        <v>70</v>
      </c>
      <c r="S566" t="s">
        <v>53</v>
      </c>
      <c r="T566" t="s">
        <v>45</v>
      </c>
      <c r="U566">
        <v>33.836599999999997</v>
      </c>
      <c r="V566">
        <v>-117.9143</v>
      </c>
      <c r="W566" s="2">
        <v>45457</v>
      </c>
      <c r="X566">
        <v>0</v>
      </c>
      <c r="Y566" t="b">
        <v>0</v>
      </c>
      <c r="Z566" s="2">
        <v>45839</v>
      </c>
      <c r="AA566" t="str">
        <f t="shared" si="81"/>
        <v>30–39</v>
      </c>
      <c r="AB566" t="str">
        <f t="shared" si="82"/>
        <v>30–39</v>
      </c>
      <c r="AC566" t="str">
        <f t="shared" si="83"/>
        <v/>
      </c>
      <c r="AD566" t="str">
        <f t="shared" si="84"/>
        <v/>
      </c>
      <c r="AE566" t="str">
        <f t="shared" si="85"/>
        <v/>
      </c>
      <c r="AF566" t="str">
        <f t="shared" si="86"/>
        <v>Thursday</v>
      </c>
      <c r="AG566" t="str">
        <f t="shared" si="87"/>
        <v/>
      </c>
      <c r="AH566" t="str">
        <f t="shared" si="88"/>
        <v>Saturday</v>
      </c>
      <c r="AI566" t="str">
        <f t="shared" si="89"/>
        <v>Sunday</v>
      </c>
      <c r="AJ566" t="str">
        <f>LEFT(Table1[[#This Row],[membership_type]],2)&amp;TEXT(Table1[[#This Row],[age]],"00")&amp;"-"&amp;TEXT(ROW(),"000")</f>
        <v>El32-566</v>
      </c>
      <c r="AK566" t="str">
        <f>LEFT(Table1[[#This Row],[membership_type]],1)&amp;TEXT(MATCH(Table1[[#This Row],[membership_type]],Table1[membership_type],0),"00")</f>
        <v>E07</v>
      </c>
      <c r="AL566" t="str">
        <f>LEFT(Table1[[#This Row],[discount_type]],1)&amp;TEXT(ROUND(Table1[[#This Row],[discount_rate]]*100,0),"00")</f>
        <v>N00</v>
      </c>
      <c r="AM566" t="str" cm="1">
        <f t="array" ref="AM566">TEXT(SUMPRODUCT(CODE(MID(Table1[[#This Row],[home_gym_location]],_xlfn.SEQUENCE(LEN(Table1[[#This Row],[home_gym_location]])),1))),"00000")</f>
        <v>00899</v>
      </c>
      <c r="AN566" t="str">
        <f>UPPER(_xlfn.TEXTBEFORE(Table1[[#This Row],[home_gym_location]],","))&amp;"-"&amp;TEXT(MATCH(Table1[[#This Row],[home_gym_location]],_xlfn._xlws.SORT(_xlfn.UNIQUE(Table1[home_gym_location])),0),"000")</f>
        <v>ANAHEIM-001</v>
      </c>
      <c r="AO566" t="str">
        <f>LEFT(_xlfn.TEXTBEFORE(Table1[[#This Row],[Location Identifier]],"-"),3) &amp; "-" &amp; _xlfn.TEXTAFTER(Table1[[#This Row],[Location Identifier]],"-")</f>
        <v>ANA-001</v>
      </c>
      <c r="AP566" s="9">
        <f t="shared" ca="1" si="80"/>
        <v>45869</v>
      </c>
    </row>
    <row r="567" spans="1:42" x14ac:dyDescent="0.25">
      <c r="A567">
        <v>19</v>
      </c>
      <c r="B567" t="s">
        <v>42</v>
      </c>
      <c r="C567">
        <v>2</v>
      </c>
      <c r="D567" t="s">
        <v>61</v>
      </c>
      <c r="E567" t="b">
        <v>0</v>
      </c>
      <c r="F567" s="1">
        <v>0.70625000000000004</v>
      </c>
      <c r="G567" s="1">
        <v>0.78749999999999998</v>
      </c>
      <c r="H567">
        <v>117</v>
      </c>
      <c r="I567" t="b">
        <v>1</v>
      </c>
      <c r="J567" t="b">
        <v>1</v>
      </c>
      <c r="K567" t="b">
        <v>0</v>
      </c>
      <c r="L567" t="s">
        <v>62</v>
      </c>
      <c r="M567">
        <v>20</v>
      </c>
      <c r="N567" t="s">
        <v>64</v>
      </c>
      <c r="O567">
        <v>15</v>
      </c>
      <c r="P567" t="s">
        <v>36</v>
      </c>
      <c r="Q567">
        <v>0</v>
      </c>
      <c r="R567">
        <v>15</v>
      </c>
      <c r="S567" t="s">
        <v>44</v>
      </c>
      <c r="T567" t="s">
        <v>48</v>
      </c>
      <c r="U567">
        <v>38.581600000000002</v>
      </c>
      <c r="V567">
        <v>-121.4944</v>
      </c>
      <c r="W567" s="2">
        <v>45202</v>
      </c>
      <c r="X567">
        <v>8</v>
      </c>
      <c r="Y567" t="b">
        <v>1</v>
      </c>
      <c r="Z567" s="2">
        <v>45825</v>
      </c>
      <c r="AA567" t="str">
        <f t="shared" si="81"/>
        <v>10–19</v>
      </c>
      <c r="AB567" t="str">
        <f t="shared" si="82"/>
        <v>16–19</v>
      </c>
      <c r="AC567" t="str">
        <f t="shared" si="83"/>
        <v/>
      </c>
      <c r="AD567" t="str">
        <f t="shared" si="84"/>
        <v>Tuesday</v>
      </c>
      <c r="AE567" t="str">
        <f t="shared" si="85"/>
        <v/>
      </c>
      <c r="AF567" t="str">
        <f t="shared" si="86"/>
        <v/>
      </c>
      <c r="AG567" t="str">
        <f t="shared" si="87"/>
        <v/>
      </c>
      <c r="AH567" t="str">
        <f t="shared" si="88"/>
        <v>Saturday</v>
      </c>
      <c r="AI567" t="str">
        <f t="shared" si="89"/>
        <v/>
      </c>
      <c r="AJ567" t="str">
        <f>LEFT(Table1[[#This Row],[membership_type]],2)&amp;TEXT(Table1[[#This Row],[age]],"00")&amp;"-"&amp;TEXT(ROW(),"000")</f>
        <v>Ba19-567</v>
      </c>
      <c r="AK567" t="str">
        <f>LEFT(Table1[[#This Row],[membership_type]],1)&amp;TEXT(MATCH(Table1[[#This Row],[membership_type]],Table1[membership_type],0),"00")</f>
        <v>B04</v>
      </c>
      <c r="AL567" t="str">
        <f>LEFT(Table1[[#This Row],[discount_type]],1)&amp;TEXT(ROUND(Table1[[#This Row],[discount_rate]]*100,0),"00")</f>
        <v>N00</v>
      </c>
      <c r="AM567" t="str" cm="1">
        <f t="array" ref="AM567">TEXT(SUMPRODUCT(CODE(MID(Table1[[#This Row],[home_gym_location]],_xlfn.SEQUENCE(LEN(Table1[[#This Row],[home_gym_location]])),1))),"00000")</f>
        <v>01245</v>
      </c>
      <c r="AN56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67" t="str">
        <f>LEFT(_xlfn.TEXTBEFORE(Table1[[#This Row],[Location Identifier]],"-"),3) &amp; "-" &amp; _xlfn.TEXTAFTER(Table1[[#This Row],[Location Identifier]],"-")</f>
        <v>SAC-007</v>
      </c>
      <c r="AP567" s="9">
        <f t="shared" ca="1" si="80"/>
        <v>45869</v>
      </c>
    </row>
    <row r="568" spans="1:42" x14ac:dyDescent="0.25">
      <c r="A568">
        <v>16</v>
      </c>
      <c r="B568" t="s">
        <v>42</v>
      </c>
      <c r="C568">
        <v>1</v>
      </c>
      <c r="D568" t="s">
        <v>97</v>
      </c>
      <c r="E568" t="b">
        <v>1</v>
      </c>
      <c r="F568" s="1">
        <v>0.83472222222222225</v>
      </c>
      <c r="G568" s="1">
        <v>0.94236111111111109</v>
      </c>
      <c r="H568">
        <v>155</v>
      </c>
      <c r="I568" t="b">
        <v>0</v>
      </c>
      <c r="J568" t="b">
        <v>1</v>
      </c>
      <c r="K568" t="b">
        <v>0</v>
      </c>
      <c r="L568" t="s">
        <v>28</v>
      </c>
      <c r="M568">
        <v>20</v>
      </c>
      <c r="N568" t="s">
        <v>29</v>
      </c>
      <c r="O568">
        <v>20</v>
      </c>
      <c r="P568" t="s">
        <v>30</v>
      </c>
      <c r="Q568">
        <v>0.05</v>
      </c>
      <c r="R568">
        <v>19</v>
      </c>
      <c r="S568" t="s">
        <v>44</v>
      </c>
      <c r="T568" t="s">
        <v>38</v>
      </c>
      <c r="U568">
        <v>36.7378</v>
      </c>
      <c r="V568">
        <v>-119.7871</v>
      </c>
      <c r="W568" s="2">
        <v>45413</v>
      </c>
      <c r="X568">
        <v>5</v>
      </c>
      <c r="Y568" t="b">
        <v>0</v>
      </c>
      <c r="Z568" s="2">
        <v>45837</v>
      </c>
      <c r="AA568" t="str">
        <f t="shared" si="81"/>
        <v>10–19</v>
      </c>
      <c r="AB568" t="str">
        <f t="shared" si="82"/>
        <v>16–19</v>
      </c>
      <c r="AC568" t="str">
        <f t="shared" si="83"/>
        <v>Monday</v>
      </c>
      <c r="AD568" t="str">
        <f t="shared" si="84"/>
        <v/>
      </c>
      <c r="AE568" t="str">
        <f t="shared" si="85"/>
        <v/>
      </c>
      <c r="AF568" t="str">
        <f t="shared" si="86"/>
        <v/>
      </c>
      <c r="AG568" t="str">
        <f t="shared" si="87"/>
        <v/>
      </c>
      <c r="AH568" t="str">
        <f t="shared" si="88"/>
        <v/>
      </c>
      <c r="AI568" t="str">
        <f t="shared" si="89"/>
        <v/>
      </c>
      <c r="AJ568" t="str">
        <f>LEFT(Table1[[#This Row],[membership_type]],2)&amp;TEXT(Table1[[#This Row],[age]],"00")&amp;"-"&amp;TEXT(ROW(),"000")</f>
        <v>Ba16-568</v>
      </c>
      <c r="AK568" t="str">
        <f>LEFT(Table1[[#This Row],[membership_type]],1)&amp;TEXT(MATCH(Table1[[#This Row],[membership_type]],Table1[membership_type],0),"00")</f>
        <v>B04</v>
      </c>
      <c r="AL568" t="str">
        <f>LEFT(Table1[[#This Row],[discount_type]],1)&amp;TEXT(ROUND(Table1[[#This Row],[discount_rate]]*100,0),"00")</f>
        <v>P05</v>
      </c>
      <c r="AM568" t="str" cm="1">
        <f t="array" ref="AM568">TEXT(SUMPRODUCT(CODE(MID(Table1[[#This Row],[home_gym_location]],_xlfn.SEQUENCE(LEN(Table1[[#This Row],[home_gym_location]])),1))),"00000")</f>
        <v>00829</v>
      </c>
      <c r="AN568" t="str">
        <f>UPPER(_xlfn.TEXTBEFORE(Table1[[#This Row],[home_gym_location]],","))&amp;"-"&amp;TEXT(MATCH(Table1[[#This Row],[home_gym_location]],_xlfn._xlws.SORT(_xlfn.UNIQUE(Table1[home_gym_location])),0),"000")</f>
        <v>FRESNO-003</v>
      </c>
      <c r="AO568" t="str">
        <f>LEFT(_xlfn.TEXTBEFORE(Table1[[#This Row],[Location Identifier]],"-"),3) &amp; "-" &amp; _xlfn.TEXTAFTER(Table1[[#This Row],[Location Identifier]],"-")</f>
        <v>FRE-003</v>
      </c>
      <c r="AP568" s="9">
        <f t="shared" ca="1" si="80"/>
        <v>45869</v>
      </c>
    </row>
    <row r="569" spans="1:42" x14ac:dyDescent="0.25">
      <c r="A569">
        <v>24</v>
      </c>
      <c r="B569" t="s">
        <v>42</v>
      </c>
      <c r="C569">
        <v>5</v>
      </c>
      <c r="D569" t="s">
        <v>148</v>
      </c>
      <c r="E569" t="b">
        <v>1</v>
      </c>
      <c r="F569" s="1">
        <v>0.37916666666666665</v>
      </c>
      <c r="G569" s="1">
        <v>0.42986111111111114</v>
      </c>
      <c r="H569">
        <v>73</v>
      </c>
      <c r="I569" t="b">
        <v>1</v>
      </c>
      <c r="J569" t="b">
        <v>0</v>
      </c>
      <c r="K569" t="b">
        <v>1</v>
      </c>
      <c r="L569" t="s">
        <v>28</v>
      </c>
      <c r="M569">
        <v>20</v>
      </c>
      <c r="N569" t="s">
        <v>29</v>
      </c>
      <c r="O569">
        <v>20</v>
      </c>
      <c r="P569" t="s">
        <v>36</v>
      </c>
      <c r="Q569">
        <v>0</v>
      </c>
      <c r="R569">
        <v>20</v>
      </c>
      <c r="S569" t="s">
        <v>44</v>
      </c>
      <c r="T569" t="s">
        <v>50</v>
      </c>
      <c r="U569">
        <v>34.052199999999999</v>
      </c>
      <c r="V569">
        <v>-118.2437</v>
      </c>
      <c r="W569" s="2">
        <v>45365</v>
      </c>
      <c r="X569">
        <v>0</v>
      </c>
      <c r="Y569" t="b">
        <v>0</v>
      </c>
      <c r="Z569" s="2">
        <v>45834</v>
      </c>
      <c r="AA569" t="str">
        <f t="shared" si="81"/>
        <v>20–29</v>
      </c>
      <c r="AB569" t="str">
        <f t="shared" si="82"/>
        <v>20–29</v>
      </c>
      <c r="AC569" t="str">
        <f t="shared" si="83"/>
        <v/>
      </c>
      <c r="AD569" t="str">
        <f t="shared" si="84"/>
        <v/>
      </c>
      <c r="AE569" t="str">
        <f t="shared" si="85"/>
        <v>Wednesday</v>
      </c>
      <c r="AF569" t="str">
        <f t="shared" si="86"/>
        <v>Thursday</v>
      </c>
      <c r="AG569" t="str">
        <f t="shared" si="87"/>
        <v>Friday</v>
      </c>
      <c r="AH569" t="str">
        <f t="shared" si="88"/>
        <v>Saturday</v>
      </c>
      <c r="AI569" t="str">
        <f t="shared" si="89"/>
        <v>Sunday</v>
      </c>
      <c r="AJ569" t="str">
        <f>LEFT(Table1[[#This Row],[membership_type]],2)&amp;TEXT(Table1[[#This Row],[age]],"00")&amp;"-"&amp;TEXT(ROW(),"000")</f>
        <v>Ba24-569</v>
      </c>
      <c r="AK569" t="str">
        <f>LEFT(Table1[[#This Row],[membership_type]],1)&amp;TEXT(MATCH(Table1[[#This Row],[membership_type]],Table1[membership_type],0),"00")</f>
        <v>B04</v>
      </c>
      <c r="AL569" t="str">
        <f>LEFT(Table1[[#This Row],[discount_type]],1)&amp;TEXT(ROUND(Table1[[#This Row],[discount_rate]]*100,0),"00")</f>
        <v>N00</v>
      </c>
      <c r="AM569" t="str" cm="1">
        <f t="array" ref="AM569">TEXT(SUMPRODUCT(CODE(MID(Table1[[#This Row],[home_gym_location]],_xlfn.SEQUENCE(LEN(Table1[[#This Row],[home_gym_location]])),1))),"00000")</f>
        <v>01245</v>
      </c>
      <c r="AN56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69" t="str">
        <f>LEFT(_xlfn.TEXTBEFORE(Table1[[#This Row],[Location Identifier]],"-"),3) &amp; "-" &amp; _xlfn.TEXTAFTER(Table1[[#This Row],[Location Identifier]],"-")</f>
        <v>LOS-005</v>
      </c>
      <c r="AP569" s="9">
        <f t="shared" ca="1" si="80"/>
        <v>45869</v>
      </c>
    </row>
    <row r="570" spans="1:42" x14ac:dyDescent="0.25">
      <c r="A570">
        <v>23</v>
      </c>
      <c r="B570" t="s">
        <v>33</v>
      </c>
      <c r="C570">
        <v>1</v>
      </c>
      <c r="D570" t="s">
        <v>63</v>
      </c>
      <c r="E570" t="b">
        <v>1</v>
      </c>
      <c r="F570" s="1">
        <v>0.79166666666666663</v>
      </c>
      <c r="G570" s="1">
        <v>0.8256944444444444</v>
      </c>
      <c r="H570">
        <v>49</v>
      </c>
      <c r="I570" t="b">
        <v>1</v>
      </c>
      <c r="J570" t="b">
        <v>0</v>
      </c>
      <c r="K570" t="b">
        <v>1</v>
      </c>
      <c r="L570" t="s">
        <v>62</v>
      </c>
      <c r="M570">
        <v>30</v>
      </c>
      <c r="N570" t="s">
        <v>29</v>
      </c>
      <c r="O570">
        <v>30</v>
      </c>
      <c r="P570" t="s">
        <v>30</v>
      </c>
      <c r="Q570">
        <v>0.05</v>
      </c>
      <c r="R570">
        <v>28.5</v>
      </c>
      <c r="S570" t="s">
        <v>37</v>
      </c>
      <c r="T570" t="s">
        <v>56</v>
      </c>
      <c r="U570">
        <v>35.3733</v>
      </c>
      <c r="V570">
        <v>-119.0187</v>
      </c>
      <c r="W570" s="2">
        <v>44868</v>
      </c>
      <c r="X570">
        <v>0</v>
      </c>
      <c r="Y570" t="b">
        <v>0</v>
      </c>
      <c r="Z570" s="2">
        <v>45806</v>
      </c>
      <c r="AA570" t="str">
        <f t="shared" si="81"/>
        <v>20–29</v>
      </c>
      <c r="AB570" t="str">
        <f t="shared" si="82"/>
        <v>20–29</v>
      </c>
      <c r="AC570" t="str">
        <f t="shared" si="83"/>
        <v/>
      </c>
      <c r="AD570" t="str">
        <f t="shared" si="84"/>
        <v/>
      </c>
      <c r="AE570" t="str">
        <f t="shared" si="85"/>
        <v>Wednesday</v>
      </c>
      <c r="AF570" t="str">
        <f t="shared" si="86"/>
        <v/>
      </c>
      <c r="AG570" t="str">
        <f t="shared" si="87"/>
        <v/>
      </c>
      <c r="AH570" t="str">
        <f t="shared" si="88"/>
        <v/>
      </c>
      <c r="AI570" t="str">
        <f t="shared" si="89"/>
        <v/>
      </c>
      <c r="AJ570" t="str">
        <f>LEFT(Table1[[#This Row],[membership_type]],2)&amp;TEXT(Table1[[#This Row],[age]],"00")&amp;"-"&amp;TEXT(ROW(),"000")</f>
        <v>St23-570</v>
      </c>
      <c r="AK570" t="str">
        <f>LEFT(Table1[[#This Row],[membership_type]],1)&amp;TEXT(MATCH(Table1[[#This Row],[membership_type]],Table1[membership_type],0),"00")</f>
        <v>S02</v>
      </c>
      <c r="AL570" t="str">
        <f>LEFT(Table1[[#This Row],[discount_type]],1)&amp;TEXT(ROUND(Table1[[#This Row],[discount_rate]]*100,0),"00")</f>
        <v>P05</v>
      </c>
      <c r="AM570" t="str" cm="1">
        <f t="array" ref="AM570">TEXT(SUMPRODUCT(CODE(MID(Table1[[#This Row],[home_gym_location]],_xlfn.SEQUENCE(LEN(Table1[[#This Row],[home_gym_location]])),1))),"00000")</f>
        <v>01324</v>
      </c>
      <c r="AN5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70" t="str">
        <f>LEFT(_xlfn.TEXTBEFORE(Table1[[#This Row],[Location Identifier]],"-"),3) &amp; "-" &amp; _xlfn.TEXTAFTER(Table1[[#This Row],[Location Identifier]],"-")</f>
        <v>BAK-002</v>
      </c>
      <c r="AP570" s="9">
        <f t="shared" ca="1" si="80"/>
        <v>45869</v>
      </c>
    </row>
    <row r="571" spans="1:42" x14ac:dyDescent="0.25">
      <c r="A571">
        <v>30</v>
      </c>
      <c r="B571" t="s">
        <v>42</v>
      </c>
      <c r="C571">
        <v>4</v>
      </c>
      <c r="D571" t="s">
        <v>157</v>
      </c>
      <c r="E571" t="b">
        <v>1</v>
      </c>
      <c r="F571" s="1">
        <v>0.38958333333333334</v>
      </c>
      <c r="G571" s="1">
        <v>0.47986111111111113</v>
      </c>
      <c r="H571">
        <v>130</v>
      </c>
      <c r="I571" t="b">
        <v>1</v>
      </c>
      <c r="J571" t="b">
        <v>1</v>
      </c>
      <c r="K571" t="b">
        <v>1</v>
      </c>
      <c r="L571" t="s">
        <v>47</v>
      </c>
      <c r="M571">
        <v>20</v>
      </c>
      <c r="N571" t="s">
        <v>29</v>
      </c>
      <c r="O571">
        <v>20</v>
      </c>
      <c r="P571" t="s">
        <v>74</v>
      </c>
      <c r="Q571">
        <v>0.15</v>
      </c>
      <c r="R571">
        <v>17</v>
      </c>
      <c r="S571" t="s">
        <v>44</v>
      </c>
      <c r="T571" t="s">
        <v>50</v>
      </c>
      <c r="U571">
        <v>34.052199999999999</v>
      </c>
      <c r="V571">
        <v>-118.2437</v>
      </c>
      <c r="W571" s="2">
        <v>45460</v>
      </c>
      <c r="X571">
        <v>4</v>
      </c>
      <c r="Y571" t="b">
        <v>0</v>
      </c>
      <c r="Z571" s="2">
        <v>45840</v>
      </c>
      <c r="AA571" t="str">
        <f t="shared" si="81"/>
        <v>30–39</v>
      </c>
      <c r="AB571" t="str">
        <f t="shared" si="82"/>
        <v>30–39</v>
      </c>
      <c r="AC571" t="str">
        <f t="shared" si="83"/>
        <v>Monday</v>
      </c>
      <c r="AD571" t="str">
        <f t="shared" si="84"/>
        <v/>
      </c>
      <c r="AE571" t="str">
        <f t="shared" si="85"/>
        <v>Wednesday</v>
      </c>
      <c r="AF571" t="str">
        <f t="shared" si="86"/>
        <v/>
      </c>
      <c r="AG571" t="str">
        <f t="shared" si="87"/>
        <v>Friday</v>
      </c>
      <c r="AH571" t="str">
        <f t="shared" si="88"/>
        <v>Saturday</v>
      </c>
      <c r="AI571" t="str">
        <f t="shared" si="89"/>
        <v/>
      </c>
      <c r="AJ571" t="str">
        <f>LEFT(Table1[[#This Row],[membership_type]],2)&amp;TEXT(Table1[[#This Row],[age]],"00")&amp;"-"&amp;TEXT(ROW(),"000")</f>
        <v>Ba30-571</v>
      </c>
      <c r="AK571" t="str">
        <f>LEFT(Table1[[#This Row],[membership_type]],1)&amp;TEXT(MATCH(Table1[[#This Row],[membership_type]],Table1[membership_type],0),"00")</f>
        <v>B04</v>
      </c>
      <c r="AL571" t="str">
        <f>LEFT(Table1[[#This Row],[discount_type]],1)&amp;TEXT(ROUND(Table1[[#This Row],[discount_rate]]*100,0),"00")</f>
        <v>S15</v>
      </c>
      <c r="AM571" t="str" cm="1">
        <f t="array" ref="AM571">TEXT(SUMPRODUCT(CODE(MID(Table1[[#This Row],[home_gym_location]],_xlfn.SEQUENCE(LEN(Table1[[#This Row],[home_gym_location]])),1))),"00000")</f>
        <v>01245</v>
      </c>
      <c r="AN57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71" t="str">
        <f>LEFT(_xlfn.TEXTBEFORE(Table1[[#This Row],[Location Identifier]],"-"),3) &amp; "-" &amp; _xlfn.TEXTAFTER(Table1[[#This Row],[Location Identifier]],"-")</f>
        <v>LOS-005</v>
      </c>
      <c r="AP571" s="9">
        <f t="shared" ca="1" si="80"/>
        <v>45869</v>
      </c>
    </row>
    <row r="572" spans="1:42" x14ac:dyDescent="0.25">
      <c r="A572">
        <v>49</v>
      </c>
      <c r="B572" t="s">
        <v>33</v>
      </c>
      <c r="C572">
        <v>3</v>
      </c>
      <c r="D572" t="s">
        <v>129</v>
      </c>
      <c r="E572" t="b">
        <v>1</v>
      </c>
      <c r="F572" s="1">
        <v>0.71527777777777779</v>
      </c>
      <c r="G572" s="1">
        <v>0.75208333333333333</v>
      </c>
      <c r="H572">
        <v>53</v>
      </c>
      <c r="I572" t="b">
        <v>1</v>
      </c>
      <c r="J572" t="b">
        <v>1</v>
      </c>
      <c r="K572" t="b">
        <v>1</v>
      </c>
      <c r="L572" t="s">
        <v>47</v>
      </c>
      <c r="M572">
        <v>30</v>
      </c>
      <c r="N572" t="s">
        <v>78</v>
      </c>
      <c r="O572">
        <v>27</v>
      </c>
      <c r="P572" t="s">
        <v>40</v>
      </c>
      <c r="Q572">
        <v>0.1</v>
      </c>
      <c r="R572">
        <v>24.3</v>
      </c>
      <c r="S572" t="s">
        <v>37</v>
      </c>
      <c r="T572" t="s">
        <v>50</v>
      </c>
      <c r="U572">
        <v>34.052199999999999</v>
      </c>
      <c r="V572">
        <v>-118.2437</v>
      </c>
      <c r="W572" s="2">
        <v>44996</v>
      </c>
      <c r="X572">
        <v>8</v>
      </c>
      <c r="Y572" t="b">
        <v>0</v>
      </c>
      <c r="Z572" s="2">
        <v>45813</v>
      </c>
      <c r="AA572" t="str">
        <f t="shared" si="81"/>
        <v>40–49</v>
      </c>
      <c r="AB572" t="str">
        <f t="shared" si="82"/>
        <v>40–49</v>
      </c>
      <c r="AC572" t="str">
        <f t="shared" si="83"/>
        <v/>
      </c>
      <c r="AD572" t="str">
        <f t="shared" si="84"/>
        <v>Tuesday</v>
      </c>
      <c r="AE572" t="str">
        <f t="shared" si="85"/>
        <v>Wednesday</v>
      </c>
      <c r="AF572" t="str">
        <f t="shared" si="86"/>
        <v/>
      </c>
      <c r="AG572" t="str">
        <f t="shared" si="87"/>
        <v/>
      </c>
      <c r="AH572" t="str">
        <f t="shared" si="88"/>
        <v/>
      </c>
      <c r="AI572" t="str">
        <f t="shared" si="89"/>
        <v>Sunday</v>
      </c>
      <c r="AJ572" t="str">
        <f>LEFT(Table1[[#This Row],[membership_type]],2)&amp;TEXT(Table1[[#This Row],[age]],"00")&amp;"-"&amp;TEXT(ROW(),"000")</f>
        <v>St49-572</v>
      </c>
      <c r="AK572" t="str">
        <f>LEFT(Table1[[#This Row],[membership_type]],1)&amp;TEXT(MATCH(Table1[[#This Row],[membership_type]],Table1[membership_type],0),"00")</f>
        <v>S02</v>
      </c>
      <c r="AL572" t="str">
        <f>LEFT(Table1[[#This Row],[discount_type]],1)&amp;TEXT(ROUND(Table1[[#This Row],[discount_rate]]*100,0),"00")</f>
        <v>L10</v>
      </c>
      <c r="AM572" t="str" cm="1">
        <f t="array" ref="AM572">TEXT(SUMPRODUCT(CODE(MID(Table1[[#This Row],[home_gym_location]],_xlfn.SEQUENCE(LEN(Table1[[#This Row],[home_gym_location]])),1))),"00000")</f>
        <v>01245</v>
      </c>
      <c r="AN57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72" t="str">
        <f>LEFT(_xlfn.TEXTBEFORE(Table1[[#This Row],[Location Identifier]],"-"),3) &amp; "-" &amp; _xlfn.TEXTAFTER(Table1[[#This Row],[Location Identifier]],"-")</f>
        <v>LOS-005</v>
      </c>
      <c r="AP572" s="9">
        <f t="shared" ca="1" si="80"/>
        <v>45869</v>
      </c>
    </row>
    <row r="573" spans="1:42" x14ac:dyDescent="0.25">
      <c r="A573">
        <v>42</v>
      </c>
      <c r="B573" t="s">
        <v>26</v>
      </c>
      <c r="C573">
        <v>1</v>
      </c>
      <c r="D573" t="s">
        <v>67</v>
      </c>
      <c r="E573" t="b">
        <v>1</v>
      </c>
      <c r="F573" s="1">
        <v>0.53611111111111109</v>
      </c>
      <c r="G573" s="1">
        <v>0.59583333333333333</v>
      </c>
      <c r="H573">
        <v>86</v>
      </c>
      <c r="I573" t="b">
        <v>0</v>
      </c>
      <c r="J573" t="b">
        <v>0</v>
      </c>
      <c r="K573" t="b">
        <v>0</v>
      </c>
      <c r="L573" t="s">
        <v>62</v>
      </c>
      <c r="M573">
        <v>50</v>
      </c>
      <c r="N573" t="s">
        <v>29</v>
      </c>
      <c r="O573">
        <v>50</v>
      </c>
      <c r="P573" t="s">
        <v>40</v>
      </c>
      <c r="Q573">
        <v>0.1</v>
      </c>
      <c r="R573">
        <v>45</v>
      </c>
      <c r="S573" t="s">
        <v>31</v>
      </c>
      <c r="T573" t="s">
        <v>65</v>
      </c>
      <c r="U573">
        <v>33.770099999999999</v>
      </c>
      <c r="V573">
        <v>-118.19370000000001</v>
      </c>
      <c r="W573" s="2">
        <v>45408</v>
      </c>
      <c r="X573">
        <v>0</v>
      </c>
      <c r="Y573" t="b">
        <v>1</v>
      </c>
      <c r="Z573" s="2">
        <v>45837</v>
      </c>
      <c r="AA573" t="str">
        <f t="shared" si="81"/>
        <v>40–49</v>
      </c>
      <c r="AB573" t="str">
        <f t="shared" si="82"/>
        <v>40–49</v>
      </c>
      <c r="AC573" t="str">
        <f t="shared" si="83"/>
        <v/>
      </c>
      <c r="AD573" t="str">
        <f t="shared" si="84"/>
        <v/>
      </c>
      <c r="AE573" t="str">
        <f t="shared" si="85"/>
        <v/>
      </c>
      <c r="AF573" t="str">
        <f t="shared" si="86"/>
        <v>Thursday</v>
      </c>
      <c r="AG573" t="str">
        <f t="shared" si="87"/>
        <v/>
      </c>
      <c r="AH573" t="str">
        <f t="shared" si="88"/>
        <v/>
      </c>
      <c r="AI573" t="str">
        <f t="shared" si="89"/>
        <v/>
      </c>
      <c r="AJ573" t="str">
        <f>LEFT(Table1[[#This Row],[membership_type]],2)&amp;TEXT(Table1[[#This Row],[age]],"00")&amp;"-"&amp;TEXT(ROW(),"000")</f>
        <v>Pr42-573</v>
      </c>
      <c r="AK573" t="str">
        <f>LEFT(Table1[[#This Row],[membership_type]],1)&amp;TEXT(MATCH(Table1[[#This Row],[membership_type]],Table1[membership_type],0),"00")</f>
        <v>P01</v>
      </c>
      <c r="AL573" t="str">
        <f>LEFT(Table1[[#This Row],[discount_type]],1)&amp;TEXT(ROUND(Table1[[#This Row],[discount_rate]]*100,0),"00")</f>
        <v>L10</v>
      </c>
      <c r="AM573" t="str" cm="1">
        <f t="array" ref="AM573">TEXT(SUMPRODUCT(CODE(MID(Table1[[#This Row],[home_gym_location]],_xlfn.SEQUENCE(LEN(Table1[[#This Row],[home_gym_location]])),1))),"00000")</f>
        <v>01107</v>
      </c>
      <c r="AN57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73" t="str">
        <f>LEFT(_xlfn.TEXTBEFORE(Table1[[#This Row],[Location Identifier]],"-"),3) &amp; "-" &amp; _xlfn.TEXTAFTER(Table1[[#This Row],[Location Identifier]],"-")</f>
        <v>LON-004</v>
      </c>
      <c r="AP573" s="9">
        <f t="shared" ca="1" si="80"/>
        <v>45869</v>
      </c>
    </row>
    <row r="574" spans="1:42" x14ac:dyDescent="0.25">
      <c r="A574">
        <v>39</v>
      </c>
      <c r="B574" t="s">
        <v>33</v>
      </c>
      <c r="C574">
        <v>3</v>
      </c>
      <c r="D574" t="s">
        <v>93</v>
      </c>
      <c r="E574" t="b">
        <v>0</v>
      </c>
      <c r="F574" s="1">
        <v>0.75486111111111109</v>
      </c>
      <c r="G574" s="1">
        <v>0.87430555555555556</v>
      </c>
      <c r="H574">
        <v>172</v>
      </c>
      <c r="I574" t="b">
        <v>1</v>
      </c>
      <c r="J574" t="b">
        <v>0</v>
      </c>
      <c r="K574" t="b">
        <v>0</v>
      </c>
      <c r="L574" t="s">
        <v>47</v>
      </c>
      <c r="M574">
        <v>30</v>
      </c>
      <c r="N574" t="s">
        <v>29</v>
      </c>
      <c r="O574">
        <v>30</v>
      </c>
      <c r="P574" t="s">
        <v>36</v>
      </c>
      <c r="Q574">
        <v>0</v>
      </c>
      <c r="R574">
        <v>30</v>
      </c>
      <c r="S574" t="s">
        <v>37</v>
      </c>
      <c r="T574" t="s">
        <v>38</v>
      </c>
      <c r="U574">
        <v>36.7378</v>
      </c>
      <c r="V574">
        <v>-119.7871</v>
      </c>
      <c r="W574" s="2">
        <v>45168</v>
      </c>
      <c r="X574">
        <v>0</v>
      </c>
      <c r="Y574" t="b">
        <v>0</v>
      </c>
      <c r="Z574" s="2">
        <v>45823</v>
      </c>
      <c r="AA574" t="str">
        <f t="shared" si="81"/>
        <v>30–39</v>
      </c>
      <c r="AB574" t="str">
        <f t="shared" si="82"/>
        <v>30–39</v>
      </c>
      <c r="AC574" t="str">
        <f t="shared" si="83"/>
        <v>Monday</v>
      </c>
      <c r="AD574" t="str">
        <f t="shared" si="84"/>
        <v>Tuesday</v>
      </c>
      <c r="AE574" t="str">
        <f t="shared" si="85"/>
        <v/>
      </c>
      <c r="AF574" t="str">
        <f t="shared" si="86"/>
        <v>Thursday</v>
      </c>
      <c r="AG574" t="str">
        <f t="shared" si="87"/>
        <v/>
      </c>
      <c r="AH574" t="str">
        <f t="shared" si="88"/>
        <v/>
      </c>
      <c r="AI574" t="str">
        <f t="shared" si="89"/>
        <v/>
      </c>
      <c r="AJ574" t="str">
        <f>LEFT(Table1[[#This Row],[membership_type]],2)&amp;TEXT(Table1[[#This Row],[age]],"00")&amp;"-"&amp;TEXT(ROW(),"000")</f>
        <v>St39-574</v>
      </c>
      <c r="AK574" t="str">
        <f>LEFT(Table1[[#This Row],[membership_type]],1)&amp;TEXT(MATCH(Table1[[#This Row],[membership_type]],Table1[membership_type],0),"00")</f>
        <v>S02</v>
      </c>
      <c r="AL574" t="str">
        <f>LEFT(Table1[[#This Row],[discount_type]],1)&amp;TEXT(ROUND(Table1[[#This Row],[discount_rate]]*100,0),"00")</f>
        <v>N00</v>
      </c>
      <c r="AM574" t="str" cm="1">
        <f t="array" ref="AM574">TEXT(SUMPRODUCT(CODE(MID(Table1[[#This Row],[home_gym_location]],_xlfn.SEQUENCE(LEN(Table1[[#This Row],[home_gym_location]])),1))),"00000")</f>
        <v>00829</v>
      </c>
      <c r="AN574" t="str">
        <f>UPPER(_xlfn.TEXTBEFORE(Table1[[#This Row],[home_gym_location]],","))&amp;"-"&amp;TEXT(MATCH(Table1[[#This Row],[home_gym_location]],_xlfn._xlws.SORT(_xlfn.UNIQUE(Table1[home_gym_location])),0),"000")</f>
        <v>FRESNO-003</v>
      </c>
      <c r="AO574" t="str">
        <f>LEFT(_xlfn.TEXTBEFORE(Table1[[#This Row],[Location Identifier]],"-"),3) &amp; "-" &amp; _xlfn.TEXTAFTER(Table1[[#This Row],[Location Identifier]],"-")</f>
        <v>FRE-003</v>
      </c>
      <c r="AP574" s="9">
        <f t="shared" ca="1" si="80"/>
        <v>45869</v>
      </c>
    </row>
    <row r="575" spans="1:42" x14ac:dyDescent="0.25">
      <c r="A575">
        <v>29</v>
      </c>
      <c r="B575" t="s">
        <v>33</v>
      </c>
      <c r="C575">
        <v>3</v>
      </c>
      <c r="D575" t="s">
        <v>91</v>
      </c>
      <c r="E575" t="b">
        <v>1</v>
      </c>
      <c r="F575" s="1">
        <v>0.86319444444444449</v>
      </c>
      <c r="G575" s="1">
        <v>0.89097222222222228</v>
      </c>
      <c r="H575">
        <v>40</v>
      </c>
      <c r="I575" t="b">
        <v>1</v>
      </c>
      <c r="J575" t="b">
        <v>0</v>
      </c>
      <c r="K575" t="b">
        <v>0</v>
      </c>
      <c r="L575" t="s">
        <v>58</v>
      </c>
      <c r="M575">
        <v>30</v>
      </c>
      <c r="N575" t="s">
        <v>78</v>
      </c>
      <c r="O575">
        <v>27</v>
      </c>
      <c r="P575" t="s">
        <v>36</v>
      </c>
      <c r="Q575">
        <v>0</v>
      </c>
      <c r="R575">
        <v>27</v>
      </c>
      <c r="S575" t="s">
        <v>37</v>
      </c>
      <c r="T575" t="s">
        <v>59</v>
      </c>
      <c r="U575">
        <v>37.774900000000002</v>
      </c>
      <c r="V575">
        <v>-122.4194</v>
      </c>
      <c r="W575" s="2">
        <v>44912</v>
      </c>
      <c r="X575">
        <v>0</v>
      </c>
      <c r="Y575" t="b">
        <v>0</v>
      </c>
      <c r="Z575" s="2">
        <v>45809</v>
      </c>
      <c r="AA575" t="str">
        <f t="shared" si="81"/>
        <v>20–29</v>
      </c>
      <c r="AB575" t="str">
        <f t="shared" si="82"/>
        <v>20–29</v>
      </c>
      <c r="AC575" t="str">
        <f t="shared" si="83"/>
        <v>Monday</v>
      </c>
      <c r="AD575" t="str">
        <f t="shared" si="84"/>
        <v/>
      </c>
      <c r="AE575" t="str">
        <f t="shared" si="85"/>
        <v/>
      </c>
      <c r="AF575" t="str">
        <f t="shared" si="86"/>
        <v>Thursday</v>
      </c>
      <c r="AG575" t="str">
        <f t="shared" si="87"/>
        <v/>
      </c>
      <c r="AH575" t="str">
        <f t="shared" si="88"/>
        <v>Saturday</v>
      </c>
      <c r="AI575" t="str">
        <f t="shared" si="89"/>
        <v/>
      </c>
      <c r="AJ575" t="str">
        <f>LEFT(Table1[[#This Row],[membership_type]],2)&amp;TEXT(Table1[[#This Row],[age]],"00")&amp;"-"&amp;TEXT(ROW(),"000")</f>
        <v>St29-575</v>
      </c>
      <c r="AK575" t="str">
        <f>LEFT(Table1[[#This Row],[membership_type]],1)&amp;TEXT(MATCH(Table1[[#This Row],[membership_type]],Table1[membership_type],0),"00")</f>
        <v>S02</v>
      </c>
      <c r="AL575" t="str">
        <f>LEFT(Table1[[#This Row],[discount_type]],1)&amp;TEXT(ROUND(Table1[[#This Row],[discount_rate]]*100,0),"00")</f>
        <v>N00</v>
      </c>
      <c r="AM575" t="str" cm="1">
        <f t="array" ref="AM575">TEXT(SUMPRODUCT(CODE(MID(Table1[[#This Row],[home_gym_location]],_xlfn.SEQUENCE(LEN(Table1[[#This Row],[home_gym_location]])),1))),"00000")</f>
        <v>01450</v>
      </c>
      <c r="AN57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75" t="str">
        <f>LEFT(_xlfn.TEXTBEFORE(Table1[[#This Row],[Location Identifier]],"-"),3) &amp; "-" &amp; _xlfn.TEXTAFTER(Table1[[#This Row],[Location Identifier]],"-")</f>
        <v>SAN-009</v>
      </c>
      <c r="AP575" s="9">
        <f t="shared" ca="1" si="80"/>
        <v>45869</v>
      </c>
    </row>
    <row r="576" spans="1:42" x14ac:dyDescent="0.25">
      <c r="A576">
        <v>33</v>
      </c>
      <c r="B576" t="s">
        <v>42</v>
      </c>
      <c r="C576">
        <v>2</v>
      </c>
      <c r="D576" t="s">
        <v>73</v>
      </c>
      <c r="E576" t="b">
        <v>1</v>
      </c>
      <c r="F576" s="1">
        <v>0.39166666666666666</v>
      </c>
      <c r="G576" s="1">
        <v>0.51666666666666672</v>
      </c>
      <c r="H576">
        <v>180</v>
      </c>
      <c r="I576" t="b">
        <v>0</v>
      </c>
      <c r="J576" t="b">
        <v>1</v>
      </c>
      <c r="K576" t="b">
        <v>0</v>
      </c>
      <c r="L576" t="s">
        <v>62</v>
      </c>
      <c r="M576">
        <v>20</v>
      </c>
      <c r="N576" t="s">
        <v>78</v>
      </c>
      <c r="O576">
        <v>18</v>
      </c>
      <c r="P576" t="s">
        <v>36</v>
      </c>
      <c r="Q576">
        <v>0</v>
      </c>
      <c r="R576">
        <v>18</v>
      </c>
      <c r="S576" t="s">
        <v>44</v>
      </c>
      <c r="T576" t="s">
        <v>38</v>
      </c>
      <c r="U576">
        <v>36.7378</v>
      </c>
      <c r="V576">
        <v>-119.7871</v>
      </c>
      <c r="W576" s="2">
        <v>44819</v>
      </c>
      <c r="X576">
        <v>2</v>
      </c>
      <c r="Y576" t="b">
        <v>0</v>
      </c>
      <c r="Z576" s="2">
        <v>45804</v>
      </c>
      <c r="AA576" t="str">
        <f t="shared" si="81"/>
        <v>30–39</v>
      </c>
      <c r="AB576" t="str">
        <f t="shared" si="82"/>
        <v>30–39</v>
      </c>
      <c r="AC576" t="str">
        <f t="shared" si="83"/>
        <v/>
      </c>
      <c r="AD576" t="str">
        <f t="shared" si="84"/>
        <v>Tuesday</v>
      </c>
      <c r="AE576" t="str">
        <f t="shared" si="85"/>
        <v/>
      </c>
      <c r="AF576" t="str">
        <f t="shared" si="86"/>
        <v/>
      </c>
      <c r="AG576" t="str">
        <f t="shared" si="87"/>
        <v>Friday</v>
      </c>
      <c r="AH576" t="str">
        <f t="shared" si="88"/>
        <v/>
      </c>
      <c r="AI576" t="str">
        <f t="shared" si="89"/>
        <v/>
      </c>
      <c r="AJ576" t="str">
        <f>LEFT(Table1[[#This Row],[membership_type]],2)&amp;TEXT(Table1[[#This Row],[age]],"00")&amp;"-"&amp;TEXT(ROW(),"000")</f>
        <v>Ba33-576</v>
      </c>
      <c r="AK576" t="str">
        <f>LEFT(Table1[[#This Row],[membership_type]],1)&amp;TEXT(MATCH(Table1[[#This Row],[membership_type]],Table1[membership_type],0),"00")</f>
        <v>B04</v>
      </c>
      <c r="AL576" t="str">
        <f>LEFT(Table1[[#This Row],[discount_type]],1)&amp;TEXT(ROUND(Table1[[#This Row],[discount_rate]]*100,0),"00")</f>
        <v>N00</v>
      </c>
      <c r="AM576" t="str" cm="1">
        <f t="array" ref="AM576">TEXT(SUMPRODUCT(CODE(MID(Table1[[#This Row],[home_gym_location]],_xlfn.SEQUENCE(LEN(Table1[[#This Row],[home_gym_location]])),1))),"00000")</f>
        <v>00829</v>
      </c>
      <c r="AN576" t="str">
        <f>UPPER(_xlfn.TEXTBEFORE(Table1[[#This Row],[home_gym_location]],","))&amp;"-"&amp;TEXT(MATCH(Table1[[#This Row],[home_gym_location]],_xlfn._xlws.SORT(_xlfn.UNIQUE(Table1[home_gym_location])),0),"000")</f>
        <v>FRESNO-003</v>
      </c>
      <c r="AO576" t="str">
        <f>LEFT(_xlfn.TEXTBEFORE(Table1[[#This Row],[Location Identifier]],"-"),3) &amp; "-" &amp; _xlfn.TEXTAFTER(Table1[[#This Row],[Location Identifier]],"-")</f>
        <v>FRE-003</v>
      </c>
      <c r="AP576" s="9">
        <f t="shared" ca="1" si="80"/>
        <v>45869</v>
      </c>
    </row>
    <row r="577" spans="1:42" x14ac:dyDescent="0.25">
      <c r="A577">
        <v>40</v>
      </c>
      <c r="B577" t="s">
        <v>26</v>
      </c>
      <c r="C577">
        <v>2</v>
      </c>
      <c r="D577" t="s">
        <v>27</v>
      </c>
      <c r="E577" t="b">
        <v>1</v>
      </c>
      <c r="F577" s="1">
        <v>0.78611111111111109</v>
      </c>
      <c r="G577" s="1">
        <v>0.8208333333333333</v>
      </c>
      <c r="H577">
        <v>50</v>
      </c>
      <c r="I577" t="b">
        <v>1</v>
      </c>
      <c r="J577" t="b">
        <v>0</v>
      </c>
      <c r="K577" t="b">
        <v>1</v>
      </c>
      <c r="L577" t="s">
        <v>28</v>
      </c>
      <c r="M577">
        <v>50</v>
      </c>
      <c r="N577" t="s">
        <v>64</v>
      </c>
      <c r="O577">
        <v>37.5</v>
      </c>
      <c r="P577" t="s">
        <v>36</v>
      </c>
      <c r="Q577">
        <v>0</v>
      </c>
      <c r="R577">
        <v>37.5</v>
      </c>
      <c r="S577" t="s">
        <v>31</v>
      </c>
      <c r="T577" t="s">
        <v>50</v>
      </c>
      <c r="U577">
        <v>34.052199999999999</v>
      </c>
      <c r="V577">
        <v>-118.2437</v>
      </c>
      <c r="W577" s="2">
        <v>45674</v>
      </c>
      <c r="X577">
        <v>0</v>
      </c>
      <c r="Y577" t="b">
        <v>0</v>
      </c>
      <c r="Z577" s="2">
        <v>45852</v>
      </c>
      <c r="AA577" t="str">
        <f t="shared" si="81"/>
        <v>40–49</v>
      </c>
      <c r="AB577" t="str">
        <f t="shared" si="82"/>
        <v>40–49</v>
      </c>
      <c r="AC577" t="str">
        <f t="shared" si="83"/>
        <v/>
      </c>
      <c r="AD577" t="str">
        <f t="shared" si="84"/>
        <v/>
      </c>
      <c r="AE577" t="str">
        <f t="shared" si="85"/>
        <v/>
      </c>
      <c r="AF577" t="str">
        <f t="shared" si="86"/>
        <v>Thursday</v>
      </c>
      <c r="AG577" t="str">
        <f t="shared" si="87"/>
        <v/>
      </c>
      <c r="AH577" t="str">
        <f t="shared" si="88"/>
        <v>Saturday</v>
      </c>
      <c r="AI577" t="str">
        <f t="shared" si="89"/>
        <v/>
      </c>
      <c r="AJ577" t="str">
        <f>LEFT(Table1[[#This Row],[membership_type]],2)&amp;TEXT(Table1[[#This Row],[age]],"00")&amp;"-"&amp;TEXT(ROW(),"000")</f>
        <v>Pr40-577</v>
      </c>
      <c r="AK577" t="str">
        <f>LEFT(Table1[[#This Row],[membership_type]],1)&amp;TEXT(MATCH(Table1[[#This Row],[membership_type]],Table1[membership_type],0),"00")</f>
        <v>P01</v>
      </c>
      <c r="AL577" t="str">
        <f>LEFT(Table1[[#This Row],[discount_type]],1)&amp;TEXT(ROUND(Table1[[#This Row],[discount_rate]]*100,0),"00")</f>
        <v>N00</v>
      </c>
      <c r="AM577" t="str" cm="1">
        <f t="array" ref="AM577">TEXT(SUMPRODUCT(CODE(MID(Table1[[#This Row],[home_gym_location]],_xlfn.SEQUENCE(LEN(Table1[[#This Row],[home_gym_location]])),1))),"00000")</f>
        <v>01245</v>
      </c>
      <c r="AN57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77" t="str">
        <f>LEFT(_xlfn.TEXTBEFORE(Table1[[#This Row],[Location Identifier]],"-"),3) &amp; "-" &amp; _xlfn.TEXTAFTER(Table1[[#This Row],[Location Identifier]],"-")</f>
        <v>LOS-005</v>
      </c>
      <c r="AP577" s="9">
        <f t="shared" ca="1" si="80"/>
        <v>45869</v>
      </c>
    </row>
    <row r="578" spans="1:42" x14ac:dyDescent="0.25">
      <c r="A578">
        <v>20</v>
      </c>
      <c r="B578" t="s">
        <v>26</v>
      </c>
      <c r="C578">
        <v>3</v>
      </c>
      <c r="D578" t="s">
        <v>109</v>
      </c>
      <c r="E578" t="b">
        <v>0</v>
      </c>
      <c r="F578" s="1">
        <v>0.34930555555555554</v>
      </c>
      <c r="G578" s="1">
        <v>0.47361111111111109</v>
      </c>
      <c r="H578">
        <v>179</v>
      </c>
      <c r="I578" t="b">
        <v>0</v>
      </c>
      <c r="J578" t="b">
        <v>0</v>
      </c>
      <c r="K578" t="b">
        <v>0</v>
      </c>
      <c r="L578" t="s">
        <v>28</v>
      </c>
      <c r="M578">
        <v>50</v>
      </c>
      <c r="N578" t="s">
        <v>29</v>
      </c>
      <c r="O578">
        <v>50</v>
      </c>
      <c r="P578" t="s">
        <v>30</v>
      </c>
      <c r="Q578">
        <v>0.05</v>
      </c>
      <c r="R578">
        <v>47.5</v>
      </c>
      <c r="S578" t="s">
        <v>31</v>
      </c>
      <c r="T578" t="s">
        <v>54</v>
      </c>
      <c r="U578">
        <v>32.715699999999998</v>
      </c>
      <c r="V578">
        <v>-117.1611</v>
      </c>
      <c r="W578" s="2">
        <v>44844</v>
      </c>
      <c r="X578">
        <v>0</v>
      </c>
      <c r="Y578" t="b">
        <v>1</v>
      </c>
      <c r="Z578" s="2">
        <v>45805</v>
      </c>
      <c r="AA578" t="str">
        <f t="shared" si="81"/>
        <v>20–29</v>
      </c>
      <c r="AB578" t="str">
        <f t="shared" si="82"/>
        <v>20–29</v>
      </c>
      <c r="AC578" t="str">
        <f t="shared" si="83"/>
        <v/>
      </c>
      <c r="AD578" t="str">
        <f t="shared" si="84"/>
        <v>Tuesday</v>
      </c>
      <c r="AE578" t="str">
        <f t="shared" si="85"/>
        <v/>
      </c>
      <c r="AF578" t="str">
        <f t="shared" si="86"/>
        <v>Thursday</v>
      </c>
      <c r="AG578" t="str">
        <f t="shared" si="87"/>
        <v>Friday</v>
      </c>
      <c r="AH578" t="str">
        <f t="shared" si="88"/>
        <v/>
      </c>
      <c r="AI578" t="str">
        <f t="shared" si="89"/>
        <v/>
      </c>
      <c r="AJ578" t="str">
        <f>LEFT(Table1[[#This Row],[membership_type]],2)&amp;TEXT(Table1[[#This Row],[age]],"00")&amp;"-"&amp;TEXT(ROW(),"000")</f>
        <v>Pr20-578</v>
      </c>
      <c r="AK578" t="str">
        <f>LEFT(Table1[[#This Row],[membership_type]],1)&amp;TEXT(MATCH(Table1[[#This Row],[membership_type]],Table1[membership_type],0),"00")</f>
        <v>P01</v>
      </c>
      <c r="AL578" t="str">
        <f>LEFT(Table1[[#This Row],[discount_type]],1)&amp;TEXT(ROUND(Table1[[#This Row],[discount_rate]]*100,0),"00")</f>
        <v>P05</v>
      </c>
      <c r="AM578" t="str" cm="1">
        <f t="array" ref="AM578">TEXT(SUMPRODUCT(CODE(MID(Table1[[#This Row],[home_gym_location]],_xlfn.SEQUENCE(LEN(Table1[[#This Row],[home_gym_location]])),1))),"00000")</f>
        <v>01018</v>
      </c>
      <c r="AN57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78" t="str">
        <f>LEFT(_xlfn.TEXTBEFORE(Table1[[#This Row],[Location Identifier]],"-"),3) &amp; "-" &amp; _xlfn.TEXTAFTER(Table1[[#This Row],[Location Identifier]],"-")</f>
        <v>SAN-008</v>
      </c>
      <c r="AP578" s="9">
        <f t="shared" ref="AP578:AP641" ca="1" si="90">EOMONTH(DATE(YEAR(TODAY()),7,1),0)</f>
        <v>45869</v>
      </c>
    </row>
    <row r="579" spans="1:42" x14ac:dyDescent="0.25">
      <c r="A579">
        <v>38</v>
      </c>
      <c r="B579" t="s">
        <v>42</v>
      </c>
      <c r="C579">
        <v>1</v>
      </c>
      <c r="D579" t="s">
        <v>71</v>
      </c>
      <c r="E579" t="b">
        <v>0</v>
      </c>
      <c r="F579" s="1">
        <v>0.59166666666666667</v>
      </c>
      <c r="G579" s="1">
        <v>0.62430555555555556</v>
      </c>
      <c r="H579">
        <v>47</v>
      </c>
      <c r="I579" t="b">
        <v>0</v>
      </c>
      <c r="J579" t="b">
        <v>0</v>
      </c>
      <c r="K579" t="b">
        <v>0</v>
      </c>
      <c r="L579" t="s">
        <v>47</v>
      </c>
      <c r="M579">
        <v>20</v>
      </c>
      <c r="N579" t="s">
        <v>29</v>
      </c>
      <c r="O579">
        <v>20</v>
      </c>
      <c r="P579" t="s">
        <v>36</v>
      </c>
      <c r="Q579">
        <v>0</v>
      </c>
      <c r="R579">
        <v>20</v>
      </c>
      <c r="S579" t="s">
        <v>44</v>
      </c>
      <c r="T579" t="s">
        <v>48</v>
      </c>
      <c r="U579">
        <v>38.581600000000002</v>
      </c>
      <c r="V579">
        <v>-121.4944</v>
      </c>
      <c r="W579" s="2">
        <v>45306</v>
      </c>
      <c r="X579">
        <v>0</v>
      </c>
      <c r="Y579" t="b">
        <v>0</v>
      </c>
      <c r="Z579" s="2">
        <v>45831</v>
      </c>
      <c r="AA579" t="str">
        <f t="shared" ref="AA579:AA642" si="91">TEXT(10*INT($A579/10),"0")&amp;"–"&amp;TEXT(10*INT($A579/10)+9,"0")</f>
        <v>30–39</v>
      </c>
      <c r="AB579" t="str">
        <f t="shared" ref="AB579:AB642" si="92">IF(AND($AA579 = "10–19", $A579 &lt; 16), "Under 16", IF(AND($AA579 = "10–19", $A579 &gt;= 16), "16–19", $AA579))</f>
        <v>30–39</v>
      </c>
      <c r="AC579" t="str">
        <f t="shared" ref="AC579:AC642" si="93">IF(ISNUMBER(SEARCH("Mon", $D579)), "Monday", "")</f>
        <v/>
      </c>
      <c r="AD579" t="str">
        <f t="shared" ref="AD579:AD642" si="94">IF(ISNUMBER(SEARCH("Tue", $D579)), "Tuesday", "")</f>
        <v>Tuesday</v>
      </c>
      <c r="AE579" t="str">
        <f t="shared" ref="AE579:AE642" si="95">IF(ISNUMBER(SEARCH("Wed", $D579)), "Wednesday", "")</f>
        <v/>
      </c>
      <c r="AF579" t="str">
        <f t="shared" ref="AF579:AF642" si="96">IF(ISNUMBER(SEARCH("Thu", $D579)), "Thursday", "")</f>
        <v/>
      </c>
      <c r="AG579" t="str">
        <f t="shared" ref="AG579:AG642" si="97">IF(ISNUMBER(SEARCH("Fri", $D579)), "Friday", "")</f>
        <v/>
      </c>
      <c r="AH579" t="str">
        <f t="shared" ref="AH579:AH642" si="98">IF(ISNUMBER(SEARCH("Sat", $D579)), "Saturday", "")</f>
        <v/>
      </c>
      <c r="AI579" t="str">
        <f t="shared" ref="AI579:AI642" si="99">IF(ISNUMBER(SEARCH("Sun", $D579)), "Sunday", "")</f>
        <v/>
      </c>
      <c r="AJ579" t="str">
        <f>LEFT(Table1[[#This Row],[membership_type]],2)&amp;TEXT(Table1[[#This Row],[age]],"00")&amp;"-"&amp;TEXT(ROW(),"000")</f>
        <v>Ba38-579</v>
      </c>
      <c r="AK579" t="str">
        <f>LEFT(Table1[[#This Row],[membership_type]],1)&amp;TEXT(MATCH(Table1[[#This Row],[membership_type]],Table1[membership_type],0),"00")</f>
        <v>B04</v>
      </c>
      <c r="AL579" t="str">
        <f>LEFT(Table1[[#This Row],[discount_type]],1)&amp;TEXT(ROUND(Table1[[#This Row],[discount_rate]]*100,0),"00")</f>
        <v>N00</v>
      </c>
      <c r="AM579" t="str" cm="1">
        <f t="array" ref="AM579">TEXT(SUMPRODUCT(CODE(MID(Table1[[#This Row],[home_gym_location]],_xlfn.SEQUENCE(LEN(Table1[[#This Row],[home_gym_location]])),1))),"00000")</f>
        <v>01245</v>
      </c>
      <c r="AN57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79" t="str">
        <f>LEFT(_xlfn.TEXTBEFORE(Table1[[#This Row],[Location Identifier]],"-"),3) &amp; "-" &amp; _xlfn.TEXTAFTER(Table1[[#This Row],[Location Identifier]],"-")</f>
        <v>SAC-007</v>
      </c>
      <c r="AP579" s="9">
        <f t="shared" ca="1" si="90"/>
        <v>45869</v>
      </c>
    </row>
    <row r="580" spans="1:42" x14ac:dyDescent="0.25">
      <c r="A580">
        <v>33</v>
      </c>
      <c r="B580" t="s">
        <v>51</v>
      </c>
      <c r="C580">
        <v>3</v>
      </c>
      <c r="D580" t="s">
        <v>91</v>
      </c>
      <c r="E580" t="b">
        <v>0</v>
      </c>
      <c r="F580" s="1">
        <v>0.8125</v>
      </c>
      <c r="G580" s="1">
        <v>0.91597222222222219</v>
      </c>
      <c r="H580">
        <v>149</v>
      </c>
      <c r="I580" t="b">
        <v>1</v>
      </c>
      <c r="J580" t="b">
        <v>0</v>
      </c>
      <c r="K580" t="b">
        <v>1</v>
      </c>
      <c r="L580" t="s">
        <v>28</v>
      </c>
      <c r="M580">
        <v>70</v>
      </c>
      <c r="N580" t="s">
        <v>64</v>
      </c>
      <c r="O580">
        <v>52.5</v>
      </c>
      <c r="P580" t="s">
        <v>36</v>
      </c>
      <c r="Q580">
        <v>0</v>
      </c>
      <c r="R580">
        <v>52.5</v>
      </c>
      <c r="S580" t="s">
        <v>53</v>
      </c>
      <c r="T580" t="s">
        <v>38</v>
      </c>
      <c r="U580">
        <v>36.7378</v>
      </c>
      <c r="V580">
        <v>-119.7871</v>
      </c>
      <c r="W580" s="2">
        <v>45555</v>
      </c>
      <c r="X580">
        <v>0</v>
      </c>
      <c r="Y580" t="b">
        <v>0</v>
      </c>
      <c r="Z580" s="2">
        <v>45845</v>
      </c>
      <c r="AA580" t="str">
        <f t="shared" si="91"/>
        <v>30–39</v>
      </c>
      <c r="AB580" t="str">
        <f t="shared" si="92"/>
        <v>30–39</v>
      </c>
      <c r="AC580" t="str">
        <f t="shared" si="93"/>
        <v>Monday</v>
      </c>
      <c r="AD580" t="str">
        <f t="shared" si="94"/>
        <v/>
      </c>
      <c r="AE580" t="str">
        <f t="shared" si="95"/>
        <v/>
      </c>
      <c r="AF580" t="str">
        <f t="shared" si="96"/>
        <v>Thursday</v>
      </c>
      <c r="AG580" t="str">
        <f t="shared" si="97"/>
        <v/>
      </c>
      <c r="AH580" t="str">
        <f t="shared" si="98"/>
        <v>Saturday</v>
      </c>
      <c r="AI580" t="str">
        <f t="shared" si="99"/>
        <v/>
      </c>
      <c r="AJ580" t="str">
        <f>LEFT(Table1[[#This Row],[membership_type]],2)&amp;TEXT(Table1[[#This Row],[age]],"00")&amp;"-"&amp;TEXT(ROW(),"000")</f>
        <v>El33-580</v>
      </c>
      <c r="AK580" t="str">
        <f>LEFT(Table1[[#This Row],[membership_type]],1)&amp;TEXT(MATCH(Table1[[#This Row],[membership_type]],Table1[membership_type],0),"00")</f>
        <v>E07</v>
      </c>
      <c r="AL580" t="str">
        <f>LEFT(Table1[[#This Row],[discount_type]],1)&amp;TEXT(ROUND(Table1[[#This Row],[discount_rate]]*100,0),"00")</f>
        <v>N00</v>
      </c>
      <c r="AM580" t="str" cm="1">
        <f t="array" ref="AM580">TEXT(SUMPRODUCT(CODE(MID(Table1[[#This Row],[home_gym_location]],_xlfn.SEQUENCE(LEN(Table1[[#This Row],[home_gym_location]])),1))),"00000")</f>
        <v>00829</v>
      </c>
      <c r="AN580" t="str">
        <f>UPPER(_xlfn.TEXTBEFORE(Table1[[#This Row],[home_gym_location]],","))&amp;"-"&amp;TEXT(MATCH(Table1[[#This Row],[home_gym_location]],_xlfn._xlws.SORT(_xlfn.UNIQUE(Table1[home_gym_location])),0),"000")</f>
        <v>FRESNO-003</v>
      </c>
      <c r="AO580" t="str">
        <f>LEFT(_xlfn.TEXTBEFORE(Table1[[#This Row],[Location Identifier]],"-"),3) &amp; "-" &amp; _xlfn.TEXTAFTER(Table1[[#This Row],[Location Identifier]],"-")</f>
        <v>FRE-003</v>
      </c>
      <c r="AP580" s="9">
        <f t="shared" ca="1" si="90"/>
        <v>45869</v>
      </c>
    </row>
    <row r="581" spans="1:42" x14ac:dyDescent="0.25">
      <c r="A581">
        <v>26</v>
      </c>
      <c r="B581" t="s">
        <v>26</v>
      </c>
      <c r="C581">
        <v>1</v>
      </c>
      <c r="D581" t="s">
        <v>75</v>
      </c>
      <c r="E581" t="b">
        <v>1</v>
      </c>
      <c r="F581" s="1">
        <v>0.53125</v>
      </c>
      <c r="G581" s="1">
        <v>0.58958333333333335</v>
      </c>
      <c r="H581">
        <v>84</v>
      </c>
      <c r="I581" t="b">
        <v>1</v>
      </c>
      <c r="J581" t="b">
        <v>1</v>
      </c>
      <c r="K581" t="b">
        <v>1</v>
      </c>
      <c r="L581" t="s">
        <v>58</v>
      </c>
      <c r="M581">
        <v>50</v>
      </c>
      <c r="N581" t="s">
        <v>29</v>
      </c>
      <c r="O581">
        <v>50</v>
      </c>
      <c r="P581" t="s">
        <v>36</v>
      </c>
      <c r="Q581">
        <v>0</v>
      </c>
      <c r="R581">
        <v>50</v>
      </c>
      <c r="S581" t="s">
        <v>31</v>
      </c>
      <c r="T581" t="s">
        <v>56</v>
      </c>
      <c r="U581">
        <v>35.3733</v>
      </c>
      <c r="V581">
        <v>-119.0187</v>
      </c>
      <c r="W581" s="2">
        <v>45342</v>
      </c>
      <c r="X581">
        <v>6</v>
      </c>
      <c r="Y581" t="b">
        <v>1</v>
      </c>
      <c r="Z581" s="2">
        <v>45833</v>
      </c>
      <c r="AA581" t="str">
        <f t="shared" si="91"/>
        <v>20–29</v>
      </c>
      <c r="AB581" t="str">
        <f t="shared" si="92"/>
        <v>20–29</v>
      </c>
      <c r="AC581" t="str">
        <f t="shared" si="93"/>
        <v/>
      </c>
      <c r="AD581" t="str">
        <f t="shared" si="94"/>
        <v/>
      </c>
      <c r="AE581" t="str">
        <f t="shared" si="95"/>
        <v/>
      </c>
      <c r="AF581" t="str">
        <f t="shared" si="96"/>
        <v/>
      </c>
      <c r="AG581" t="str">
        <f t="shared" si="97"/>
        <v>Friday</v>
      </c>
      <c r="AH581" t="str">
        <f t="shared" si="98"/>
        <v/>
      </c>
      <c r="AI581" t="str">
        <f t="shared" si="99"/>
        <v/>
      </c>
      <c r="AJ581" t="str">
        <f>LEFT(Table1[[#This Row],[membership_type]],2)&amp;TEXT(Table1[[#This Row],[age]],"00")&amp;"-"&amp;TEXT(ROW(),"000")</f>
        <v>Pr26-581</v>
      </c>
      <c r="AK581" t="str">
        <f>LEFT(Table1[[#This Row],[membership_type]],1)&amp;TEXT(MATCH(Table1[[#This Row],[membership_type]],Table1[membership_type],0),"00")</f>
        <v>P01</v>
      </c>
      <c r="AL581" t="str">
        <f>LEFT(Table1[[#This Row],[discount_type]],1)&amp;TEXT(ROUND(Table1[[#This Row],[discount_rate]]*100,0),"00")</f>
        <v>N00</v>
      </c>
      <c r="AM581" t="str" cm="1">
        <f t="array" ref="AM581">TEXT(SUMPRODUCT(CODE(MID(Table1[[#This Row],[home_gym_location]],_xlfn.SEQUENCE(LEN(Table1[[#This Row],[home_gym_location]])),1))),"00000")</f>
        <v>01324</v>
      </c>
      <c r="AN58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81" t="str">
        <f>LEFT(_xlfn.TEXTBEFORE(Table1[[#This Row],[Location Identifier]],"-"),3) &amp; "-" &amp; _xlfn.TEXTAFTER(Table1[[#This Row],[Location Identifier]],"-")</f>
        <v>BAK-002</v>
      </c>
      <c r="AP581" s="9">
        <f t="shared" ca="1" si="90"/>
        <v>45869</v>
      </c>
    </row>
    <row r="582" spans="1:42" x14ac:dyDescent="0.25">
      <c r="A582">
        <v>27</v>
      </c>
      <c r="B582" t="s">
        <v>26</v>
      </c>
      <c r="C582">
        <v>2</v>
      </c>
      <c r="D582" t="s">
        <v>116</v>
      </c>
      <c r="E582" t="b">
        <v>0</v>
      </c>
      <c r="F582" s="1">
        <v>0.47430555555555554</v>
      </c>
      <c r="G582" s="1">
        <v>0.54166666666666663</v>
      </c>
      <c r="H582">
        <v>97</v>
      </c>
      <c r="I582" t="b">
        <v>0</v>
      </c>
      <c r="J582" t="b">
        <v>1</v>
      </c>
      <c r="K582" t="b">
        <v>1</v>
      </c>
      <c r="L582" t="s">
        <v>47</v>
      </c>
      <c r="M582">
        <v>50</v>
      </c>
      <c r="N582" t="s">
        <v>29</v>
      </c>
      <c r="O582">
        <v>50</v>
      </c>
      <c r="P582" t="s">
        <v>74</v>
      </c>
      <c r="Q582">
        <v>0.15</v>
      </c>
      <c r="R582">
        <v>42.5</v>
      </c>
      <c r="S582" t="s">
        <v>31</v>
      </c>
      <c r="T582" t="s">
        <v>38</v>
      </c>
      <c r="U582">
        <v>36.7378</v>
      </c>
      <c r="V582">
        <v>-119.7871</v>
      </c>
      <c r="W582" s="2">
        <v>44787</v>
      </c>
      <c r="X582">
        <v>1</v>
      </c>
      <c r="Y582" t="b">
        <v>1</v>
      </c>
      <c r="Z582" s="2">
        <v>45802</v>
      </c>
      <c r="AA582" t="str">
        <f t="shared" si="91"/>
        <v>20–29</v>
      </c>
      <c r="AB582" t="str">
        <f t="shared" si="92"/>
        <v>20–29</v>
      </c>
      <c r="AC582" t="str">
        <f t="shared" si="93"/>
        <v/>
      </c>
      <c r="AD582" t="str">
        <f t="shared" si="94"/>
        <v/>
      </c>
      <c r="AE582" t="str">
        <f t="shared" si="95"/>
        <v/>
      </c>
      <c r="AF582" t="str">
        <f t="shared" si="96"/>
        <v>Thursday</v>
      </c>
      <c r="AG582" t="str">
        <f t="shared" si="97"/>
        <v/>
      </c>
      <c r="AH582" t="str">
        <f t="shared" si="98"/>
        <v/>
      </c>
      <c r="AI582" t="str">
        <f t="shared" si="99"/>
        <v>Sunday</v>
      </c>
      <c r="AJ582" t="str">
        <f>LEFT(Table1[[#This Row],[membership_type]],2)&amp;TEXT(Table1[[#This Row],[age]],"00")&amp;"-"&amp;TEXT(ROW(),"000")</f>
        <v>Pr27-582</v>
      </c>
      <c r="AK582" t="str">
        <f>LEFT(Table1[[#This Row],[membership_type]],1)&amp;TEXT(MATCH(Table1[[#This Row],[membership_type]],Table1[membership_type],0),"00")</f>
        <v>P01</v>
      </c>
      <c r="AL582" t="str">
        <f>LEFT(Table1[[#This Row],[discount_type]],1)&amp;TEXT(ROUND(Table1[[#This Row],[discount_rate]]*100,0),"00")</f>
        <v>S15</v>
      </c>
      <c r="AM582" t="str" cm="1">
        <f t="array" ref="AM582">TEXT(SUMPRODUCT(CODE(MID(Table1[[#This Row],[home_gym_location]],_xlfn.SEQUENCE(LEN(Table1[[#This Row],[home_gym_location]])),1))),"00000")</f>
        <v>00829</v>
      </c>
      <c r="AN582" t="str">
        <f>UPPER(_xlfn.TEXTBEFORE(Table1[[#This Row],[home_gym_location]],","))&amp;"-"&amp;TEXT(MATCH(Table1[[#This Row],[home_gym_location]],_xlfn._xlws.SORT(_xlfn.UNIQUE(Table1[home_gym_location])),0),"000")</f>
        <v>FRESNO-003</v>
      </c>
      <c r="AO582" t="str">
        <f>LEFT(_xlfn.TEXTBEFORE(Table1[[#This Row],[Location Identifier]],"-"),3) &amp; "-" &amp; _xlfn.TEXTAFTER(Table1[[#This Row],[Location Identifier]],"-")</f>
        <v>FRE-003</v>
      </c>
      <c r="AP582" s="9">
        <f t="shared" ca="1" si="90"/>
        <v>45869</v>
      </c>
    </row>
    <row r="583" spans="1:42" x14ac:dyDescent="0.25">
      <c r="A583">
        <v>20</v>
      </c>
      <c r="B583" t="s">
        <v>42</v>
      </c>
      <c r="C583">
        <v>3</v>
      </c>
      <c r="D583" t="s">
        <v>155</v>
      </c>
      <c r="E583" t="b">
        <v>1</v>
      </c>
      <c r="F583" s="1">
        <v>0.44583333333333336</v>
      </c>
      <c r="G583" s="1">
        <v>0.55069444444444449</v>
      </c>
      <c r="H583">
        <v>151</v>
      </c>
      <c r="I583" t="b">
        <v>1</v>
      </c>
      <c r="J583" t="b">
        <v>1</v>
      </c>
      <c r="K583" t="b">
        <v>0</v>
      </c>
      <c r="L583" t="s">
        <v>62</v>
      </c>
      <c r="M583">
        <v>20</v>
      </c>
      <c r="N583" t="s">
        <v>29</v>
      </c>
      <c r="O583">
        <v>20</v>
      </c>
      <c r="P583" t="s">
        <v>36</v>
      </c>
      <c r="Q583">
        <v>0</v>
      </c>
      <c r="R583">
        <v>20</v>
      </c>
      <c r="S583" t="s">
        <v>44</v>
      </c>
      <c r="T583" t="s">
        <v>56</v>
      </c>
      <c r="U583">
        <v>35.3733</v>
      </c>
      <c r="V583">
        <v>-119.0187</v>
      </c>
      <c r="W583" s="2">
        <v>45306</v>
      </c>
      <c r="X583">
        <v>5</v>
      </c>
      <c r="Y583" t="b">
        <v>0</v>
      </c>
      <c r="Z583" s="2">
        <v>45831</v>
      </c>
      <c r="AA583" t="str">
        <f t="shared" si="91"/>
        <v>20–29</v>
      </c>
      <c r="AB583" t="str">
        <f t="shared" si="92"/>
        <v>20–29</v>
      </c>
      <c r="AC583" t="str">
        <f t="shared" si="93"/>
        <v>Monday</v>
      </c>
      <c r="AD583" t="str">
        <f t="shared" si="94"/>
        <v/>
      </c>
      <c r="AE583" t="str">
        <f t="shared" si="95"/>
        <v>Wednesday</v>
      </c>
      <c r="AF583" t="str">
        <f t="shared" si="96"/>
        <v>Thursday</v>
      </c>
      <c r="AG583" t="str">
        <f t="shared" si="97"/>
        <v/>
      </c>
      <c r="AH583" t="str">
        <f t="shared" si="98"/>
        <v/>
      </c>
      <c r="AI583" t="str">
        <f t="shared" si="99"/>
        <v/>
      </c>
      <c r="AJ583" t="str">
        <f>LEFT(Table1[[#This Row],[membership_type]],2)&amp;TEXT(Table1[[#This Row],[age]],"00")&amp;"-"&amp;TEXT(ROW(),"000")</f>
        <v>Ba20-583</v>
      </c>
      <c r="AK583" t="str">
        <f>LEFT(Table1[[#This Row],[membership_type]],1)&amp;TEXT(MATCH(Table1[[#This Row],[membership_type]],Table1[membership_type],0),"00")</f>
        <v>B04</v>
      </c>
      <c r="AL583" t="str">
        <f>LEFT(Table1[[#This Row],[discount_type]],1)&amp;TEXT(ROUND(Table1[[#This Row],[discount_rate]]*100,0),"00")</f>
        <v>N00</v>
      </c>
      <c r="AM583" t="str" cm="1">
        <f t="array" ref="AM583">TEXT(SUMPRODUCT(CODE(MID(Table1[[#This Row],[home_gym_location]],_xlfn.SEQUENCE(LEN(Table1[[#This Row],[home_gym_location]])),1))),"00000")</f>
        <v>01324</v>
      </c>
      <c r="AN58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83" t="str">
        <f>LEFT(_xlfn.TEXTBEFORE(Table1[[#This Row],[Location Identifier]],"-"),3) &amp; "-" &amp; _xlfn.TEXTAFTER(Table1[[#This Row],[Location Identifier]],"-")</f>
        <v>BAK-002</v>
      </c>
      <c r="AP583" s="9">
        <f t="shared" ca="1" si="90"/>
        <v>45869</v>
      </c>
    </row>
    <row r="584" spans="1:42" x14ac:dyDescent="0.25">
      <c r="A584">
        <v>23</v>
      </c>
      <c r="B584" t="s">
        <v>26</v>
      </c>
      <c r="C584">
        <v>4</v>
      </c>
      <c r="D584" t="s">
        <v>107</v>
      </c>
      <c r="E584" t="b">
        <v>1</v>
      </c>
      <c r="F584" s="1">
        <v>0.38680555555555557</v>
      </c>
      <c r="G584" s="1">
        <v>0.40902777777777777</v>
      </c>
      <c r="H584">
        <v>32</v>
      </c>
      <c r="I584" t="b">
        <v>0</v>
      </c>
      <c r="J584" t="b">
        <v>0</v>
      </c>
      <c r="K584" t="b">
        <v>0</v>
      </c>
      <c r="L584" t="s">
        <v>28</v>
      </c>
      <c r="M584">
        <v>50</v>
      </c>
      <c r="N584" t="s">
        <v>29</v>
      </c>
      <c r="O584">
        <v>50</v>
      </c>
      <c r="P584" t="s">
        <v>40</v>
      </c>
      <c r="Q584">
        <v>0.1</v>
      </c>
      <c r="R584">
        <v>45</v>
      </c>
      <c r="S584" t="s">
        <v>31</v>
      </c>
      <c r="T584" t="s">
        <v>56</v>
      </c>
      <c r="U584">
        <v>35.3733</v>
      </c>
      <c r="V584">
        <v>-119.0187</v>
      </c>
      <c r="W584" s="2">
        <v>45480</v>
      </c>
      <c r="X584">
        <v>0</v>
      </c>
      <c r="Y584" t="b">
        <v>1</v>
      </c>
      <c r="Z584" s="2">
        <v>45841</v>
      </c>
      <c r="AA584" t="str">
        <f t="shared" si="91"/>
        <v>20–29</v>
      </c>
      <c r="AB584" t="str">
        <f t="shared" si="92"/>
        <v>20–29</v>
      </c>
      <c r="AC584" t="str">
        <f t="shared" si="93"/>
        <v/>
      </c>
      <c r="AD584" t="str">
        <f t="shared" si="94"/>
        <v>Tuesday</v>
      </c>
      <c r="AE584" t="str">
        <f t="shared" si="95"/>
        <v/>
      </c>
      <c r="AF584" t="str">
        <f t="shared" si="96"/>
        <v/>
      </c>
      <c r="AG584" t="str">
        <f t="shared" si="97"/>
        <v>Friday</v>
      </c>
      <c r="AH584" t="str">
        <f t="shared" si="98"/>
        <v>Saturday</v>
      </c>
      <c r="AI584" t="str">
        <f t="shared" si="99"/>
        <v>Sunday</v>
      </c>
      <c r="AJ584" t="str">
        <f>LEFT(Table1[[#This Row],[membership_type]],2)&amp;TEXT(Table1[[#This Row],[age]],"00")&amp;"-"&amp;TEXT(ROW(),"000")</f>
        <v>Pr23-584</v>
      </c>
      <c r="AK584" t="str">
        <f>LEFT(Table1[[#This Row],[membership_type]],1)&amp;TEXT(MATCH(Table1[[#This Row],[membership_type]],Table1[membership_type],0),"00")</f>
        <v>P01</v>
      </c>
      <c r="AL584" t="str">
        <f>LEFT(Table1[[#This Row],[discount_type]],1)&amp;TEXT(ROUND(Table1[[#This Row],[discount_rate]]*100,0),"00")</f>
        <v>L10</v>
      </c>
      <c r="AM584" t="str" cm="1">
        <f t="array" ref="AM584">TEXT(SUMPRODUCT(CODE(MID(Table1[[#This Row],[home_gym_location]],_xlfn.SEQUENCE(LEN(Table1[[#This Row],[home_gym_location]])),1))),"00000")</f>
        <v>01324</v>
      </c>
      <c r="AN58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84" t="str">
        <f>LEFT(_xlfn.TEXTBEFORE(Table1[[#This Row],[Location Identifier]],"-"),3) &amp; "-" &amp; _xlfn.TEXTAFTER(Table1[[#This Row],[Location Identifier]],"-")</f>
        <v>BAK-002</v>
      </c>
      <c r="AP584" s="9">
        <f t="shared" ca="1" si="90"/>
        <v>45869</v>
      </c>
    </row>
    <row r="585" spans="1:42" x14ac:dyDescent="0.25">
      <c r="A585">
        <v>12</v>
      </c>
      <c r="B585" t="s">
        <v>33</v>
      </c>
      <c r="C585">
        <v>5</v>
      </c>
      <c r="D585" t="s">
        <v>72</v>
      </c>
      <c r="E585" t="b">
        <v>0</v>
      </c>
      <c r="F585" s="1">
        <v>0.43402777777777779</v>
      </c>
      <c r="G585" s="1">
        <v>0.51249999999999996</v>
      </c>
      <c r="H585">
        <v>113</v>
      </c>
      <c r="I585" t="b">
        <v>0</v>
      </c>
      <c r="J585" t="b">
        <v>0</v>
      </c>
      <c r="K585" t="b">
        <v>1</v>
      </c>
      <c r="L585" t="s">
        <v>28</v>
      </c>
      <c r="M585">
        <v>30</v>
      </c>
      <c r="N585" t="s">
        <v>29</v>
      </c>
      <c r="O585">
        <v>30</v>
      </c>
      <c r="P585" t="s">
        <v>36</v>
      </c>
      <c r="Q585">
        <v>0</v>
      </c>
      <c r="R585">
        <v>30</v>
      </c>
      <c r="S585" t="s">
        <v>37</v>
      </c>
      <c r="T585" t="s">
        <v>50</v>
      </c>
      <c r="U585">
        <v>34.052199999999999</v>
      </c>
      <c r="V585">
        <v>-118.2437</v>
      </c>
      <c r="W585" s="2">
        <v>45156</v>
      </c>
      <c r="X585">
        <v>0</v>
      </c>
      <c r="Y585" t="b">
        <v>0</v>
      </c>
      <c r="Z585" s="2">
        <v>45822</v>
      </c>
      <c r="AA585" t="str">
        <f t="shared" si="91"/>
        <v>10–19</v>
      </c>
      <c r="AB585" t="str">
        <f t="shared" si="92"/>
        <v>Under 16</v>
      </c>
      <c r="AC585" t="str">
        <f t="shared" si="93"/>
        <v>Monday</v>
      </c>
      <c r="AD585" t="str">
        <f t="shared" si="94"/>
        <v/>
      </c>
      <c r="AE585" t="str">
        <f t="shared" si="95"/>
        <v>Wednesday</v>
      </c>
      <c r="AF585" t="str">
        <f t="shared" si="96"/>
        <v>Thursday</v>
      </c>
      <c r="AG585" t="str">
        <f t="shared" si="97"/>
        <v>Friday</v>
      </c>
      <c r="AH585" t="str">
        <f t="shared" si="98"/>
        <v/>
      </c>
      <c r="AI585" t="str">
        <f t="shared" si="99"/>
        <v>Sunday</v>
      </c>
      <c r="AJ585" t="str">
        <f>LEFT(Table1[[#This Row],[membership_type]],2)&amp;TEXT(Table1[[#This Row],[age]],"00")&amp;"-"&amp;TEXT(ROW(),"000")</f>
        <v>St12-585</v>
      </c>
      <c r="AK585" t="str">
        <f>LEFT(Table1[[#This Row],[membership_type]],1)&amp;TEXT(MATCH(Table1[[#This Row],[membership_type]],Table1[membership_type],0),"00")</f>
        <v>S02</v>
      </c>
      <c r="AL585" t="str">
        <f>LEFT(Table1[[#This Row],[discount_type]],1)&amp;TEXT(ROUND(Table1[[#This Row],[discount_rate]]*100,0),"00")</f>
        <v>N00</v>
      </c>
      <c r="AM585" t="str" cm="1">
        <f t="array" ref="AM585">TEXT(SUMPRODUCT(CODE(MID(Table1[[#This Row],[home_gym_location]],_xlfn.SEQUENCE(LEN(Table1[[#This Row],[home_gym_location]])),1))),"00000")</f>
        <v>01245</v>
      </c>
      <c r="AN5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585" t="str">
        <f>LEFT(_xlfn.TEXTBEFORE(Table1[[#This Row],[Location Identifier]],"-"),3) &amp; "-" &amp; _xlfn.TEXTAFTER(Table1[[#This Row],[Location Identifier]],"-")</f>
        <v>LOS-005</v>
      </c>
      <c r="AP585" s="9">
        <f t="shared" ca="1" si="90"/>
        <v>45869</v>
      </c>
    </row>
    <row r="586" spans="1:42" x14ac:dyDescent="0.25">
      <c r="A586">
        <v>41</v>
      </c>
      <c r="B586" t="s">
        <v>42</v>
      </c>
      <c r="C586">
        <v>2</v>
      </c>
      <c r="D586" t="s">
        <v>84</v>
      </c>
      <c r="E586" t="b">
        <v>1</v>
      </c>
      <c r="F586" s="1">
        <v>0.58750000000000002</v>
      </c>
      <c r="G586" s="1">
        <v>0.67083333333333328</v>
      </c>
      <c r="H586">
        <v>120</v>
      </c>
      <c r="I586" t="b">
        <v>1</v>
      </c>
      <c r="J586" t="b">
        <v>1</v>
      </c>
      <c r="K586" t="b">
        <v>1</v>
      </c>
      <c r="L586" t="s">
        <v>47</v>
      </c>
      <c r="M586">
        <v>20</v>
      </c>
      <c r="N586" t="s">
        <v>29</v>
      </c>
      <c r="O586">
        <v>20</v>
      </c>
      <c r="P586" t="s">
        <v>74</v>
      </c>
      <c r="Q586">
        <v>0.15</v>
      </c>
      <c r="R586">
        <v>17</v>
      </c>
      <c r="S586" t="s">
        <v>44</v>
      </c>
      <c r="T586" t="s">
        <v>45</v>
      </c>
      <c r="U586">
        <v>33.836599999999997</v>
      </c>
      <c r="V586">
        <v>-117.9143</v>
      </c>
      <c r="W586" s="2">
        <v>45575</v>
      </c>
      <c r="X586">
        <v>3</v>
      </c>
      <c r="Y586" t="b">
        <v>0</v>
      </c>
      <c r="Z586" s="2">
        <v>45846</v>
      </c>
      <c r="AA586" t="str">
        <f t="shared" si="91"/>
        <v>40–49</v>
      </c>
      <c r="AB586" t="str">
        <f t="shared" si="92"/>
        <v>40–49</v>
      </c>
      <c r="AC586" t="str">
        <f t="shared" si="93"/>
        <v/>
      </c>
      <c r="AD586" t="str">
        <f t="shared" si="94"/>
        <v>Tuesday</v>
      </c>
      <c r="AE586" t="str">
        <f t="shared" si="95"/>
        <v/>
      </c>
      <c r="AF586" t="str">
        <f t="shared" si="96"/>
        <v/>
      </c>
      <c r="AG586" t="str">
        <f t="shared" si="97"/>
        <v/>
      </c>
      <c r="AH586" t="str">
        <f t="shared" si="98"/>
        <v/>
      </c>
      <c r="AI586" t="str">
        <f t="shared" si="99"/>
        <v>Sunday</v>
      </c>
      <c r="AJ586" t="str">
        <f>LEFT(Table1[[#This Row],[membership_type]],2)&amp;TEXT(Table1[[#This Row],[age]],"00")&amp;"-"&amp;TEXT(ROW(),"000")</f>
        <v>Ba41-586</v>
      </c>
      <c r="AK586" t="str">
        <f>LEFT(Table1[[#This Row],[membership_type]],1)&amp;TEXT(MATCH(Table1[[#This Row],[membership_type]],Table1[membership_type],0),"00")</f>
        <v>B04</v>
      </c>
      <c r="AL586" t="str">
        <f>LEFT(Table1[[#This Row],[discount_type]],1)&amp;TEXT(ROUND(Table1[[#This Row],[discount_rate]]*100,0),"00")</f>
        <v>S15</v>
      </c>
      <c r="AM586" t="str" cm="1">
        <f t="array" ref="AM586">TEXT(SUMPRODUCT(CODE(MID(Table1[[#This Row],[home_gym_location]],_xlfn.SEQUENCE(LEN(Table1[[#This Row],[home_gym_location]])),1))),"00000")</f>
        <v>00899</v>
      </c>
      <c r="AN586" t="str">
        <f>UPPER(_xlfn.TEXTBEFORE(Table1[[#This Row],[home_gym_location]],","))&amp;"-"&amp;TEXT(MATCH(Table1[[#This Row],[home_gym_location]],_xlfn._xlws.SORT(_xlfn.UNIQUE(Table1[home_gym_location])),0),"000")</f>
        <v>ANAHEIM-001</v>
      </c>
      <c r="AO586" t="str">
        <f>LEFT(_xlfn.TEXTBEFORE(Table1[[#This Row],[Location Identifier]],"-"),3) &amp; "-" &amp; _xlfn.TEXTAFTER(Table1[[#This Row],[Location Identifier]],"-")</f>
        <v>ANA-001</v>
      </c>
      <c r="AP586" s="9">
        <f t="shared" ca="1" si="90"/>
        <v>45869</v>
      </c>
    </row>
    <row r="587" spans="1:42" x14ac:dyDescent="0.25">
      <c r="A587">
        <v>32</v>
      </c>
      <c r="B587" t="s">
        <v>33</v>
      </c>
      <c r="C587">
        <v>3</v>
      </c>
      <c r="D587" t="s">
        <v>122</v>
      </c>
      <c r="E587" t="b">
        <v>1</v>
      </c>
      <c r="F587" s="1">
        <v>0.51111111111111107</v>
      </c>
      <c r="G587" s="1">
        <v>0.54374999999999996</v>
      </c>
      <c r="H587">
        <v>47</v>
      </c>
      <c r="I587" t="b">
        <v>0</v>
      </c>
      <c r="J587" t="b">
        <v>1</v>
      </c>
      <c r="K587" t="b">
        <v>0</v>
      </c>
      <c r="L587" t="s">
        <v>28</v>
      </c>
      <c r="M587">
        <v>30</v>
      </c>
      <c r="N587" t="s">
        <v>78</v>
      </c>
      <c r="O587">
        <v>27</v>
      </c>
      <c r="P587" t="s">
        <v>36</v>
      </c>
      <c r="Q587">
        <v>0</v>
      </c>
      <c r="R587">
        <v>27</v>
      </c>
      <c r="S587" t="s">
        <v>37</v>
      </c>
      <c r="T587" t="s">
        <v>38</v>
      </c>
      <c r="U587">
        <v>36.7378</v>
      </c>
      <c r="V587">
        <v>-119.7871</v>
      </c>
      <c r="W587" s="2">
        <v>45750</v>
      </c>
      <c r="X587">
        <v>4</v>
      </c>
      <c r="Y587" t="b">
        <v>0</v>
      </c>
      <c r="Z587" s="2">
        <v>45856</v>
      </c>
      <c r="AA587" t="str">
        <f t="shared" si="91"/>
        <v>30–39</v>
      </c>
      <c r="AB587" t="str">
        <f t="shared" si="92"/>
        <v>30–39</v>
      </c>
      <c r="AC587" t="str">
        <f t="shared" si="93"/>
        <v/>
      </c>
      <c r="AD587" t="str">
        <f t="shared" si="94"/>
        <v>Tuesday</v>
      </c>
      <c r="AE587" t="str">
        <f t="shared" si="95"/>
        <v/>
      </c>
      <c r="AF587" t="str">
        <f t="shared" si="96"/>
        <v/>
      </c>
      <c r="AG587" t="str">
        <f t="shared" si="97"/>
        <v>Friday</v>
      </c>
      <c r="AH587" t="str">
        <f t="shared" si="98"/>
        <v/>
      </c>
      <c r="AI587" t="str">
        <f t="shared" si="99"/>
        <v>Sunday</v>
      </c>
      <c r="AJ587" t="str">
        <f>LEFT(Table1[[#This Row],[membership_type]],2)&amp;TEXT(Table1[[#This Row],[age]],"00")&amp;"-"&amp;TEXT(ROW(),"000")</f>
        <v>St32-587</v>
      </c>
      <c r="AK587" t="str">
        <f>LEFT(Table1[[#This Row],[membership_type]],1)&amp;TEXT(MATCH(Table1[[#This Row],[membership_type]],Table1[membership_type],0),"00")</f>
        <v>S02</v>
      </c>
      <c r="AL587" t="str">
        <f>LEFT(Table1[[#This Row],[discount_type]],1)&amp;TEXT(ROUND(Table1[[#This Row],[discount_rate]]*100,0),"00")</f>
        <v>N00</v>
      </c>
      <c r="AM587" t="str" cm="1">
        <f t="array" ref="AM587">TEXT(SUMPRODUCT(CODE(MID(Table1[[#This Row],[home_gym_location]],_xlfn.SEQUENCE(LEN(Table1[[#This Row],[home_gym_location]])),1))),"00000")</f>
        <v>00829</v>
      </c>
      <c r="AN587" t="str">
        <f>UPPER(_xlfn.TEXTBEFORE(Table1[[#This Row],[home_gym_location]],","))&amp;"-"&amp;TEXT(MATCH(Table1[[#This Row],[home_gym_location]],_xlfn._xlws.SORT(_xlfn.UNIQUE(Table1[home_gym_location])),0),"000")</f>
        <v>FRESNO-003</v>
      </c>
      <c r="AO587" t="str">
        <f>LEFT(_xlfn.TEXTBEFORE(Table1[[#This Row],[Location Identifier]],"-"),3) &amp; "-" &amp; _xlfn.TEXTAFTER(Table1[[#This Row],[Location Identifier]],"-")</f>
        <v>FRE-003</v>
      </c>
      <c r="AP587" s="9">
        <f t="shared" ca="1" si="90"/>
        <v>45869</v>
      </c>
    </row>
    <row r="588" spans="1:42" x14ac:dyDescent="0.25">
      <c r="A588">
        <v>44</v>
      </c>
      <c r="B588" t="s">
        <v>51</v>
      </c>
      <c r="C588">
        <v>5</v>
      </c>
      <c r="D588" t="s">
        <v>77</v>
      </c>
      <c r="E588" t="b">
        <v>1</v>
      </c>
      <c r="F588" s="1">
        <v>0.83611111111111114</v>
      </c>
      <c r="G588" s="1">
        <v>0.93680555555555556</v>
      </c>
      <c r="H588">
        <v>145</v>
      </c>
      <c r="I588" t="b">
        <v>0</v>
      </c>
      <c r="J588" t="b">
        <v>1</v>
      </c>
      <c r="K588" t="b">
        <v>1</v>
      </c>
      <c r="L588" t="s">
        <v>62</v>
      </c>
      <c r="M588">
        <v>70</v>
      </c>
      <c r="N588" t="s">
        <v>29</v>
      </c>
      <c r="O588">
        <v>70</v>
      </c>
      <c r="P588" t="s">
        <v>74</v>
      </c>
      <c r="Q588">
        <v>0.15</v>
      </c>
      <c r="R588">
        <v>59.5</v>
      </c>
      <c r="S588" t="s">
        <v>53</v>
      </c>
      <c r="T588" t="s">
        <v>59</v>
      </c>
      <c r="U588">
        <v>37.774900000000002</v>
      </c>
      <c r="V588">
        <v>-122.4194</v>
      </c>
      <c r="W588" s="2">
        <v>45693</v>
      </c>
      <c r="X588">
        <v>2</v>
      </c>
      <c r="Y588" t="b">
        <v>1</v>
      </c>
      <c r="Z588" s="2">
        <v>45853</v>
      </c>
      <c r="AA588" t="str">
        <f t="shared" si="91"/>
        <v>40–49</v>
      </c>
      <c r="AB588" t="str">
        <f t="shared" si="92"/>
        <v>40–49</v>
      </c>
      <c r="AC588" t="str">
        <f t="shared" si="93"/>
        <v/>
      </c>
      <c r="AD588" t="str">
        <f t="shared" si="94"/>
        <v>Tuesday</v>
      </c>
      <c r="AE588" t="str">
        <f t="shared" si="95"/>
        <v>Wednesday</v>
      </c>
      <c r="AF588" t="str">
        <f t="shared" si="96"/>
        <v>Thursday</v>
      </c>
      <c r="AG588" t="str">
        <f t="shared" si="97"/>
        <v>Friday</v>
      </c>
      <c r="AH588" t="str">
        <f t="shared" si="98"/>
        <v/>
      </c>
      <c r="AI588" t="str">
        <f t="shared" si="99"/>
        <v>Sunday</v>
      </c>
      <c r="AJ588" t="str">
        <f>LEFT(Table1[[#This Row],[membership_type]],2)&amp;TEXT(Table1[[#This Row],[age]],"00")&amp;"-"&amp;TEXT(ROW(),"000")</f>
        <v>El44-588</v>
      </c>
      <c r="AK588" t="str">
        <f>LEFT(Table1[[#This Row],[membership_type]],1)&amp;TEXT(MATCH(Table1[[#This Row],[membership_type]],Table1[membership_type],0),"00")</f>
        <v>E07</v>
      </c>
      <c r="AL588" t="str">
        <f>LEFT(Table1[[#This Row],[discount_type]],1)&amp;TEXT(ROUND(Table1[[#This Row],[discount_rate]]*100,0),"00")</f>
        <v>S15</v>
      </c>
      <c r="AM588" t="str" cm="1">
        <f t="array" ref="AM588">TEXT(SUMPRODUCT(CODE(MID(Table1[[#This Row],[home_gym_location]],_xlfn.SEQUENCE(LEN(Table1[[#This Row],[home_gym_location]])),1))),"00000")</f>
        <v>01450</v>
      </c>
      <c r="AN58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88" t="str">
        <f>LEFT(_xlfn.TEXTBEFORE(Table1[[#This Row],[Location Identifier]],"-"),3) &amp; "-" &amp; _xlfn.TEXTAFTER(Table1[[#This Row],[Location Identifier]],"-")</f>
        <v>SAN-009</v>
      </c>
      <c r="AP588" s="9">
        <f t="shared" ca="1" si="90"/>
        <v>45869</v>
      </c>
    </row>
    <row r="589" spans="1:42" x14ac:dyDescent="0.25">
      <c r="A589">
        <v>29</v>
      </c>
      <c r="B589" t="s">
        <v>26</v>
      </c>
      <c r="C589">
        <v>2</v>
      </c>
      <c r="D589" t="s">
        <v>96</v>
      </c>
      <c r="E589" t="b">
        <v>0</v>
      </c>
      <c r="F589" s="1">
        <v>0.61458333333333337</v>
      </c>
      <c r="G589" s="1">
        <v>0.69652777777777775</v>
      </c>
      <c r="H589">
        <v>118</v>
      </c>
      <c r="I589" t="b">
        <v>1</v>
      </c>
      <c r="J589" t="b">
        <v>1</v>
      </c>
      <c r="K589" t="b">
        <v>1</v>
      </c>
      <c r="L589" t="s">
        <v>28</v>
      </c>
      <c r="M589">
        <v>50</v>
      </c>
      <c r="N589" t="s">
        <v>64</v>
      </c>
      <c r="O589">
        <v>37.5</v>
      </c>
      <c r="P589" t="s">
        <v>36</v>
      </c>
      <c r="Q589">
        <v>0</v>
      </c>
      <c r="R589">
        <v>37.5</v>
      </c>
      <c r="S589" t="s">
        <v>31</v>
      </c>
      <c r="T589" t="s">
        <v>41</v>
      </c>
      <c r="U589">
        <v>37.804400000000001</v>
      </c>
      <c r="V589">
        <v>-122.27119999999999</v>
      </c>
      <c r="W589" s="2">
        <v>45694</v>
      </c>
      <c r="X589">
        <v>1</v>
      </c>
      <c r="Y589" t="b">
        <v>1</v>
      </c>
      <c r="Z589" s="2">
        <v>45853</v>
      </c>
      <c r="AA589" t="str">
        <f t="shared" si="91"/>
        <v>20–29</v>
      </c>
      <c r="AB589" t="str">
        <f t="shared" si="92"/>
        <v>20–29</v>
      </c>
      <c r="AC589" t="str">
        <f t="shared" si="93"/>
        <v/>
      </c>
      <c r="AD589" t="str">
        <f t="shared" si="94"/>
        <v/>
      </c>
      <c r="AE589" t="str">
        <f t="shared" si="95"/>
        <v/>
      </c>
      <c r="AF589" t="str">
        <f t="shared" si="96"/>
        <v>Thursday</v>
      </c>
      <c r="AG589" t="str">
        <f t="shared" si="97"/>
        <v>Friday</v>
      </c>
      <c r="AH589" t="str">
        <f t="shared" si="98"/>
        <v/>
      </c>
      <c r="AI589" t="str">
        <f t="shared" si="99"/>
        <v/>
      </c>
      <c r="AJ589" t="str">
        <f>LEFT(Table1[[#This Row],[membership_type]],2)&amp;TEXT(Table1[[#This Row],[age]],"00")&amp;"-"&amp;TEXT(ROW(),"000")</f>
        <v>Pr29-589</v>
      </c>
      <c r="AK589" t="str">
        <f>LEFT(Table1[[#This Row],[membership_type]],1)&amp;TEXT(MATCH(Table1[[#This Row],[membership_type]],Table1[membership_type],0),"00")</f>
        <v>P01</v>
      </c>
      <c r="AL589" t="str">
        <f>LEFT(Table1[[#This Row],[discount_type]],1)&amp;TEXT(ROUND(Table1[[#This Row],[discount_rate]]*100,0),"00")</f>
        <v>N00</v>
      </c>
      <c r="AM589" t="str" cm="1">
        <f t="array" ref="AM589">TEXT(SUMPRODUCT(CODE(MID(Table1[[#This Row],[home_gym_location]],_xlfn.SEQUENCE(LEN(Table1[[#This Row],[home_gym_location]])),1))),"00000")</f>
        <v>00906</v>
      </c>
      <c r="AN589" t="str">
        <f>UPPER(_xlfn.TEXTBEFORE(Table1[[#This Row],[home_gym_location]],","))&amp;"-"&amp;TEXT(MATCH(Table1[[#This Row],[home_gym_location]],_xlfn._xlws.SORT(_xlfn.UNIQUE(Table1[home_gym_location])),0),"000")</f>
        <v>OAKLAND-006</v>
      </c>
      <c r="AO589" t="str">
        <f>LEFT(_xlfn.TEXTBEFORE(Table1[[#This Row],[Location Identifier]],"-"),3) &amp; "-" &amp; _xlfn.TEXTAFTER(Table1[[#This Row],[Location Identifier]],"-")</f>
        <v>OAK-006</v>
      </c>
      <c r="AP589" s="9">
        <f t="shared" ca="1" si="90"/>
        <v>45869</v>
      </c>
    </row>
    <row r="590" spans="1:42" x14ac:dyDescent="0.25">
      <c r="A590">
        <v>20</v>
      </c>
      <c r="B590" t="s">
        <v>26</v>
      </c>
      <c r="C590">
        <v>3</v>
      </c>
      <c r="D590" t="s">
        <v>125</v>
      </c>
      <c r="E590" t="b">
        <v>0</v>
      </c>
      <c r="F590" s="1">
        <v>0.43888888888888888</v>
      </c>
      <c r="G590" s="1">
        <v>0.46458333333333335</v>
      </c>
      <c r="H590">
        <v>37</v>
      </c>
      <c r="I590" t="b">
        <v>0</v>
      </c>
      <c r="J590" t="b">
        <v>0</v>
      </c>
      <c r="K590" t="b">
        <v>1</v>
      </c>
      <c r="L590" t="s">
        <v>62</v>
      </c>
      <c r="M590">
        <v>50</v>
      </c>
      <c r="N590" t="s">
        <v>29</v>
      </c>
      <c r="O590">
        <v>50</v>
      </c>
      <c r="P590" t="s">
        <v>74</v>
      </c>
      <c r="Q590">
        <v>0.15</v>
      </c>
      <c r="R590">
        <v>42.5</v>
      </c>
      <c r="S590" t="s">
        <v>31</v>
      </c>
      <c r="T590" t="s">
        <v>59</v>
      </c>
      <c r="U590">
        <v>37.774900000000002</v>
      </c>
      <c r="V590">
        <v>-122.4194</v>
      </c>
      <c r="W590" s="2">
        <v>45669</v>
      </c>
      <c r="X590">
        <v>0</v>
      </c>
      <c r="Y590" t="b">
        <v>1</v>
      </c>
      <c r="Z590" s="2">
        <v>45851</v>
      </c>
      <c r="AA590" t="str">
        <f t="shared" si="91"/>
        <v>20–29</v>
      </c>
      <c r="AB590" t="str">
        <f t="shared" si="92"/>
        <v>20–29</v>
      </c>
      <c r="AC590" t="str">
        <f t="shared" si="93"/>
        <v/>
      </c>
      <c r="AD590" t="str">
        <f t="shared" si="94"/>
        <v/>
      </c>
      <c r="AE590" t="str">
        <f t="shared" si="95"/>
        <v/>
      </c>
      <c r="AF590" t="str">
        <f t="shared" si="96"/>
        <v>Thursday</v>
      </c>
      <c r="AG590" t="str">
        <f t="shared" si="97"/>
        <v/>
      </c>
      <c r="AH590" t="str">
        <f t="shared" si="98"/>
        <v>Saturday</v>
      </c>
      <c r="AI590" t="str">
        <f t="shared" si="99"/>
        <v>Sunday</v>
      </c>
      <c r="AJ590" t="str">
        <f>LEFT(Table1[[#This Row],[membership_type]],2)&amp;TEXT(Table1[[#This Row],[age]],"00")&amp;"-"&amp;TEXT(ROW(),"000")</f>
        <v>Pr20-590</v>
      </c>
      <c r="AK590" t="str">
        <f>LEFT(Table1[[#This Row],[membership_type]],1)&amp;TEXT(MATCH(Table1[[#This Row],[membership_type]],Table1[membership_type],0),"00")</f>
        <v>P01</v>
      </c>
      <c r="AL590" t="str">
        <f>LEFT(Table1[[#This Row],[discount_type]],1)&amp;TEXT(ROUND(Table1[[#This Row],[discount_rate]]*100,0),"00")</f>
        <v>S15</v>
      </c>
      <c r="AM590" t="str" cm="1">
        <f t="array" ref="AM590">TEXT(SUMPRODUCT(CODE(MID(Table1[[#This Row],[home_gym_location]],_xlfn.SEQUENCE(LEN(Table1[[#This Row],[home_gym_location]])),1))),"00000")</f>
        <v>01450</v>
      </c>
      <c r="AN59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90" t="str">
        <f>LEFT(_xlfn.TEXTBEFORE(Table1[[#This Row],[Location Identifier]],"-"),3) &amp; "-" &amp; _xlfn.TEXTAFTER(Table1[[#This Row],[Location Identifier]],"-")</f>
        <v>SAN-009</v>
      </c>
      <c r="AP590" s="9">
        <f t="shared" ca="1" si="90"/>
        <v>45869</v>
      </c>
    </row>
    <row r="591" spans="1:42" x14ac:dyDescent="0.25">
      <c r="A591">
        <v>35</v>
      </c>
      <c r="B591" t="s">
        <v>42</v>
      </c>
      <c r="C591">
        <v>3</v>
      </c>
      <c r="D591" t="s">
        <v>109</v>
      </c>
      <c r="E591" t="b">
        <v>1</v>
      </c>
      <c r="F591" s="1">
        <v>0.56388888888888888</v>
      </c>
      <c r="G591" s="1">
        <v>0.67986111111111114</v>
      </c>
      <c r="H591">
        <v>167</v>
      </c>
      <c r="I591" t="b">
        <v>0</v>
      </c>
      <c r="J591" t="b">
        <v>0</v>
      </c>
      <c r="K591" t="b">
        <v>0</v>
      </c>
      <c r="L591" t="s">
        <v>28</v>
      </c>
      <c r="M591">
        <v>20</v>
      </c>
      <c r="N591" t="s">
        <v>64</v>
      </c>
      <c r="O591">
        <v>15</v>
      </c>
      <c r="P591" t="s">
        <v>74</v>
      </c>
      <c r="Q591">
        <v>0.15</v>
      </c>
      <c r="R591">
        <v>12.75</v>
      </c>
      <c r="S591" t="s">
        <v>44</v>
      </c>
      <c r="T591" t="s">
        <v>54</v>
      </c>
      <c r="U591">
        <v>32.715699999999998</v>
      </c>
      <c r="V591">
        <v>-117.1611</v>
      </c>
      <c r="W591" s="2">
        <v>45683</v>
      </c>
      <c r="X591">
        <v>0</v>
      </c>
      <c r="Y591" t="b">
        <v>1</v>
      </c>
      <c r="Z591" s="2">
        <v>45852</v>
      </c>
      <c r="AA591" t="str">
        <f t="shared" si="91"/>
        <v>30–39</v>
      </c>
      <c r="AB591" t="str">
        <f t="shared" si="92"/>
        <v>30–39</v>
      </c>
      <c r="AC591" t="str">
        <f t="shared" si="93"/>
        <v/>
      </c>
      <c r="AD591" t="str">
        <f t="shared" si="94"/>
        <v>Tuesday</v>
      </c>
      <c r="AE591" t="str">
        <f t="shared" si="95"/>
        <v/>
      </c>
      <c r="AF591" t="str">
        <f t="shared" si="96"/>
        <v>Thursday</v>
      </c>
      <c r="AG591" t="str">
        <f t="shared" si="97"/>
        <v>Friday</v>
      </c>
      <c r="AH591" t="str">
        <f t="shared" si="98"/>
        <v/>
      </c>
      <c r="AI591" t="str">
        <f t="shared" si="99"/>
        <v/>
      </c>
      <c r="AJ591" t="str">
        <f>LEFT(Table1[[#This Row],[membership_type]],2)&amp;TEXT(Table1[[#This Row],[age]],"00")&amp;"-"&amp;TEXT(ROW(),"000")</f>
        <v>Ba35-591</v>
      </c>
      <c r="AK591" t="str">
        <f>LEFT(Table1[[#This Row],[membership_type]],1)&amp;TEXT(MATCH(Table1[[#This Row],[membership_type]],Table1[membership_type],0),"00")</f>
        <v>B04</v>
      </c>
      <c r="AL591" t="str">
        <f>LEFT(Table1[[#This Row],[discount_type]],1)&amp;TEXT(ROUND(Table1[[#This Row],[discount_rate]]*100,0),"00")</f>
        <v>S15</v>
      </c>
      <c r="AM591" t="str" cm="1">
        <f t="array" ref="AM591">TEXT(SUMPRODUCT(CODE(MID(Table1[[#This Row],[home_gym_location]],_xlfn.SEQUENCE(LEN(Table1[[#This Row],[home_gym_location]])),1))),"00000")</f>
        <v>01018</v>
      </c>
      <c r="AN59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91" t="str">
        <f>LEFT(_xlfn.TEXTBEFORE(Table1[[#This Row],[Location Identifier]],"-"),3) &amp; "-" &amp; _xlfn.TEXTAFTER(Table1[[#This Row],[Location Identifier]],"-")</f>
        <v>SAN-008</v>
      </c>
      <c r="AP591" s="9">
        <f t="shared" ca="1" si="90"/>
        <v>45869</v>
      </c>
    </row>
    <row r="592" spans="1:42" x14ac:dyDescent="0.25">
      <c r="A592">
        <v>48</v>
      </c>
      <c r="B592" t="s">
        <v>26</v>
      </c>
      <c r="C592">
        <v>2</v>
      </c>
      <c r="D592" t="s">
        <v>70</v>
      </c>
      <c r="E592" t="b">
        <v>0</v>
      </c>
      <c r="F592" s="1">
        <v>0.71805555555555556</v>
      </c>
      <c r="G592" s="1">
        <v>0.83680555555555558</v>
      </c>
      <c r="H592">
        <v>171</v>
      </c>
      <c r="I592" t="b">
        <v>0</v>
      </c>
      <c r="J592" t="b">
        <v>1</v>
      </c>
      <c r="K592" t="b">
        <v>1</v>
      </c>
      <c r="L592" t="s">
        <v>28</v>
      </c>
      <c r="M592">
        <v>50</v>
      </c>
      <c r="N592" t="s">
        <v>64</v>
      </c>
      <c r="O592">
        <v>37.5</v>
      </c>
      <c r="P592" t="s">
        <v>36</v>
      </c>
      <c r="Q592">
        <v>0</v>
      </c>
      <c r="R592">
        <v>37.5</v>
      </c>
      <c r="S592" t="s">
        <v>31</v>
      </c>
      <c r="T592" t="s">
        <v>59</v>
      </c>
      <c r="U592">
        <v>37.774900000000002</v>
      </c>
      <c r="V592">
        <v>-122.4194</v>
      </c>
      <c r="W592" s="2">
        <v>45148</v>
      </c>
      <c r="X592">
        <v>3</v>
      </c>
      <c r="Y592" t="b">
        <v>1</v>
      </c>
      <c r="Z592" s="2">
        <v>45822</v>
      </c>
      <c r="AA592" t="str">
        <f t="shared" si="91"/>
        <v>40–49</v>
      </c>
      <c r="AB592" t="str">
        <f t="shared" si="92"/>
        <v>40–49</v>
      </c>
      <c r="AC592" t="str">
        <f t="shared" si="93"/>
        <v/>
      </c>
      <c r="AD592" t="str">
        <f t="shared" si="94"/>
        <v/>
      </c>
      <c r="AE592" t="str">
        <f t="shared" si="95"/>
        <v>Wednesday</v>
      </c>
      <c r="AF592" t="str">
        <f t="shared" si="96"/>
        <v>Thursday</v>
      </c>
      <c r="AG592" t="str">
        <f t="shared" si="97"/>
        <v/>
      </c>
      <c r="AH592" t="str">
        <f t="shared" si="98"/>
        <v/>
      </c>
      <c r="AI592" t="str">
        <f t="shared" si="99"/>
        <v/>
      </c>
      <c r="AJ592" t="str">
        <f>LEFT(Table1[[#This Row],[membership_type]],2)&amp;TEXT(Table1[[#This Row],[age]],"00")&amp;"-"&amp;TEXT(ROW(),"000")</f>
        <v>Pr48-592</v>
      </c>
      <c r="AK592" t="str">
        <f>LEFT(Table1[[#This Row],[membership_type]],1)&amp;TEXT(MATCH(Table1[[#This Row],[membership_type]],Table1[membership_type],0),"00")</f>
        <v>P01</v>
      </c>
      <c r="AL592" t="str">
        <f>LEFT(Table1[[#This Row],[discount_type]],1)&amp;TEXT(ROUND(Table1[[#This Row],[discount_rate]]*100,0),"00")</f>
        <v>N00</v>
      </c>
      <c r="AM592" t="str" cm="1">
        <f t="array" ref="AM592">TEXT(SUMPRODUCT(CODE(MID(Table1[[#This Row],[home_gym_location]],_xlfn.SEQUENCE(LEN(Table1[[#This Row],[home_gym_location]])),1))),"00000")</f>
        <v>01450</v>
      </c>
      <c r="AN59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592" t="str">
        <f>LEFT(_xlfn.TEXTBEFORE(Table1[[#This Row],[Location Identifier]],"-"),3) &amp; "-" &amp; _xlfn.TEXTAFTER(Table1[[#This Row],[Location Identifier]],"-")</f>
        <v>SAN-009</v>
      </c>
      <c r="AP592" s="9">
        <f t="shared" ca="1" si="90"/>
        <v>45869</v>
      </c>
    </row>
    <row r="593" spans="1:42" x14ac:dyDescent="0.25">
      <c r="A593">
        <v>22</v>
      </c>
      <c r="B593" t="s">
        <v>26</v>
      </c>
      <c r="C593">
        <v>3</v>
      </c>
      <c r="D593" t="s">
        <v>60</v>
      </c>
      <c r="E593" t="b">
        <v>1</v>
      </c>
      <c r="F593" s="1">
        <v>0.74791666666666667</v>
      </c>
      <c r="G593" s="1">
        <v>0.82361111111111107</v>
      </c>
      <c r="H593">
        <v>109</v>
      </c>
      <c r="I593" t="b">
        <v>0</v>
      </c>
      <c r="J593" t="b">
        <v>1</v>
      </c>
      <c r="K593" t="b">
        <v>0</v>
      </c>
      <c r="L593" t="s">
        <v>28</v>
      </c>
      <c r="M593">
        <v>50</v>
      </c>
      <c r="N593" t="s">
        <v>29</v>
      </c>
      <c r="O593">
        <v>50</v>
      </c>
      <c r="P593" t="s">
        <v>30</v>
      </c>
      <c r="Q593">
        <v>0.05</v>
      </c>
      <c r="R593">
        <v>47.5</v>
      </c>
      <c r="S593" t="s">
        <v>31</v>
      </c>
      <c r="T593" t="s">
        <v>48</v>
      </c>
      <c r="U593">
        <v>38.581600000000002</v>
      </c>
      <c r="V593">
        <v>-121.4944</v>
      </c>
      <c r="W593" s="2">
        <v>45637</v>
      </c>
      <c r="X593">
        <v>7</v>
      </c>
      <c r="Y593" t="b">
        <v>1</v>
      </c>
      <c r="Z593" s="2">
        <v>45850</v>
      </c>
      <c r="AA593" t="str">
        <f t="shared" si="91"/>
        <v>20–29</v>
      </c>
      <c r="AB593" t="str">
        <f t="shared" si="92"/>
        <v>20–29</v>
      </c>
      <c r="AC593" t="str">
        <f t="shared" si="93"/>
        <v/>
      </c>
      <c r="AD593" t="str">
        <f t="shared" si="94"/>
        <v/>
      </c>
      <c r="AE593" t="str">
        <f t="shared" si="95"/>
        <v>Wednesday</v>
      </c>
      <c r="AF593" t="str">
        <f t="shared" si="96"/>
        <v/>
      </c>
      <c r="AG593" t="str">
        <f t="shared" si="97"/>
        <v/>
      </c>
      <c r="AH593" t="str">
        <f t="shared" si="98"/>
        <v>Saturday</v>
      </c>
      <c r="AI593" t="str">
        <f t="shared" si="99"/>
        <v>Sunday</v>
      </c>
      <c r="AJ593" t="str">
        <f>LEFT(Table1[[#This Row],[membership_type]],2)&amp;TEXT(Table1[[#This Row],[age]],"00")&amp;"-"&amp;TEXT(ROW(),"000")</f>
        <v>Pr22-593</v>
      </c>
      <c r="AK593" t="str">
        <f>LEFT(Table1[[#This Row],[membership_type]],1)&amp;TEXT(MATCH(Table1[[#This Row],[membership_type]],Table1[membership_type],0),"00")</f>
        <v>P01</v>
      </c>
      <c r="AL593" t="str">
        <f>LEFT(Table1[[#This Row],[discount_type]],1)&amp;TEXT(ROUND(Table1[[#This Row],[discount_rate]]*100,0),"00")</f>
        <v>P05</v>
      </c>
      <c r="AM593" t="str" cm="1">
        <f t="array" ref="AM593">TEXT(SUMPRODUCT(CODE(MID(Table1[[#This Row],[home_gym_location]],_xlfn.SEQUENCE(LEN(Table1[[#This Row],[home_gym_location]])),1))),"00000")</f>
        <v>01245</v>
      </c>
      <c r="AN59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593" t="str">
        <f>LEFT(_xlfn.TEXTBEFORE(Table1[[#This Row],[Location Identifier]],"-"),3) &amp; "-" &amp; _xlfn.TEXTAFTER(Table1[[#This Row],[Location Identifier]],"-")</f>
        <v>SAC-007</v>
      </c>
      <c r="AP593" s="9">
        <f t="shared" ca="1" si="90"/>
        <v>45869</v>
      </c>
    </row>
    <row r="594" spans="1:42" x14ac:dyDescent="0.25">
      <c r="A594">
        <v>22</v>
      </c>
      <c r="B594" t="s">
        <v>26</v>
      </c>
      <c r="C594">
        <v>1</v>
      </c>
      <c r="D594" t="s">
        <v>75</v>
      </c>
      <c r="E594" t="b">
        <v>0</v>
      </c>
      <c r="F594" s="1">
        <v>0.47986111111111113</v>
      </c>
      <c r="G594" s="1">
        <v>0.50902777777777775</v>
      </c>
      <c r="H594">
        <v>42</v>
      </c>
      <c r="I594" t="b">
        <v>1</v>
      </c>
      <c r="J594" t="b">
        <v>1</v>
      </c>
      <c r="K594" t="b">
        <v>1</v>
      </c>
      <c r="L594" t="s">
        <v>28</v>
      </c>
      <c r="M594">
        <v>50</v>
      </c>
      <c r="N594" t="s">
        <v>29</v>
      </c>
      <c r="O594">
        <v>50</v>
      </c>
      <c r="P594" t="s">
        <v>30</v>
      </c>
      <c r="Q594">
        <v>0.05</v>
      </c>
      <c r="R594">
        <v>47.5</v>
      </c>
      <c r="S594" t="s">
        <v>31</v>
      </c>
      <c r="T594" t="s">
        <v>32</v>
      </c>
      <c r="U594">
        <v>37.338200000000001</v>
      </c>
      <c r="V594">
        <v>-121.88630000000001</v>
      </c>
      <c r="W594" s="2">
        <v>45462</v>
      </c>
      <c r="X594">
        <v>2</v>
      </c>
      <c r="Y594" t="b">
        <v>1</v>
      </c>
      <c r="Z594" s="2">
        <v>45840</v>
      </c>
      <c r="AA594" t="str">
        <f t="shared" si="91"/>
        <v>20–29</v>
      </c>
      <c r="AB594" t="str">
        <f t="shared" si="92"/>
        <v>20–29</v>
      </c>
      <c r="AC594" t="str">
        <f t="shared" si="93"/>
        <v/>
      </c>
      <c r="AD594" t="str">
        <f t="shared" si="94"/>
        <v/>
      </c>
      <c r="AE594" t="str">
        <f t="shared" si="95"/>
        <v/>
      </c>
      <c r="AF594" t="str">
        <f t="shared" si="96"/>
        <v/>
      </c>
      <c r="AG594" t="str">
        <f t="shared" si="97"/>
        <v>Friday</v>
      </c>
      <c r="AH594" t="str">
        <f t="shared" si="98"/>
        <v/>
      </c>
      <c r="AI594" t="str">
        <f t="shared" si="99"/>
        <v/>
      </c>
      <c r="AJ594" t="str">
        <f>LEFT(Table1[[#This Row],[membership_type]],2)&amp;TEXT(Table1[[#This Row],[age]],"00")&amp;"-"&amp;TEXT(ROW(),"000")</f>
        <v>Pr22-594</v>
      </c>
      <c r="AK594" t="str">
        <f>LEFT(Table1[[#This Row],[membership_type]],1)&amp;TEXT(MATCH(Table1[[#This Row],[membership_type]],Table1[membership_type],0),"00")</f>
        <v>P01</v>
      </c>
      <c r="AL594" t="str">
        <f>LEFT(Table1[[#This Row],[discount_type]],1)&amp;TEXT(ROUND(Table1[[#This Row],[discount_rate]]*100,0),"00")</f>
        <v>P05</v>
      </c>
      <c r="AM594" t="str" cm="1">
        <f t="array" ref="AM594">TEXT(SUMPRODUCT(CODE(MID(Table1[[#This Row],[home_gym_location]],_xlfn.SEQUENCE(LEN(Table1[[#This Row],[home_gym_location]])),1))),"00000")</f>
        <v>00931</v>
      </c>
      <c r="AN59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594" t="str">
        <f>LEFT(_xlfn.TEXTBEFORE(Table1[[#This Row],[Location Identifier]],"-"),3) &amp; "-" &amp; _xlfn.TEXTAFTER(Table1[[#This Row],[Location Identifier]],"-")</f>
        <v>SAN-010</v>
      </c>
      <c r="AP594" s="9">
        <f t="shared" ca="1" si="90"/>
        <v>45869</v>
      </c>
    </row>
    <row r="595" spans="1:42" x14ac:dyDescent="0.25">
      <c r="A595">
        <v>30</v>
      </c>
      <c r="B595" t="s">
        <v>33</v>
      </c>
      <c r="C595">
        <v>4</v>
      </c>
      <c r="D595" t="s">
        <v>99</v>
      </c>
      <c r="E595" t="b">
        <v>1</v>
      </c>
      <c r="F595" s="1">
        <v>0.6020833333333333</v>
      </c>
      <c r="G595" s="1">
        <v>0.67291666666666672</v>
      </c>
      <c r="H595">
        <v>102</v>
      </c>
      <c r="I595" t="b">
        <v>0</v>
      </c>
      <c r="J595" t="b">
        <v>1</v>
      </c>
      <c r="K595" t="b">
        <v>0</v>
      </c>
      <c r="L595" t="s">
        <v>35</v>
      </c>
      <c r="M595">
        <v>30</v>
      </c>
      <c r="N595" t="s">
        <v>29</v>
      </c>
      <c r="O595">
        <v>30</v>
      </c>
      <c r="P595" t="s">
        <v>40</v>
      </c>
      <c r="Q595">
        <v>0.1</v>
      </c>
      <c r="R595">
        <v>27</v>
      </c>
      <c r="S595" t="s">
        <v>37</v>
      </c>
      <c r="T595" t="s">
        <v>54</v>
      </c>
      <c r="U595">
        <v>32.715699999999998</v>
      </c>
      <c r="V595">
        <v>-117.1611</v>
      </c>
      <c r="W595" s="2">
        <v>44875</v>
      </c>
      <c r="X595">
        <v>2</v>
      </c>
      <c r="Y595" t="b">
        <v>1</v>
      </c>
      <c r="Z595" s="2">
        <v>45807</v>
      </c>
      <c r="AA595" t="str">
        <f t="shared" si="91"/>
        <v>30–39</v>
      </c>
      <c r="AB595" t="str">
        <f t="shared" si="92"/>
        <v>30–39</v>
      </c>
      <c r="AC595" t="str">
        <f t="shared" si="93"/>
        <v/>
      </c>
      <c r="AD595" t="str">
        <f t="shared" si="94"/>
        <v/>
      </c>
      <c r="AE595" t="str">
        <f t="shared" si="95"/>
        <v>Wednesday</v>
      </c>
      <c r="AF595" t="str">
        <f t="shared" si="96"/>
        <v/>
      </c>
      <c r="AG595" t="str">
        <f t="shared" si="97"/>
        <v>Friday</v>
      </c>
      <c r="AH595" t="str">
        <f t="shared" si="98"/>
        <v>Saturday</v>
      </c>
      <c r="AI595" t="str">
        <f t="shared" si="99"/>
        <v>Sunday</v>
      </c>
      <c r="AJ595" t="str">
        <f>LEFT(Table1[[#This Row],[membership_type]],2)&amp;TEXT(Table1[[#This Row],[age]],"00")&amp;"-"&amp;TEXT(ROW(),"000")</f>
        <v>St30-595</v>
      </c>
      <c r="AK595" t="str">
        <f>LEFT(Table1[[#This Row],[membership_type]],1)&amp;TEXT(MATCH(Table1[[#This Row],[membership_type]],Table1[membership_type],0),"00")</f>
        <v>S02</v>
      </c>
      <c r="AL595" t="str">
        <f>LEFT(Table1[[#This Row],[discount_type]],1)&amp;TEXT(ROUND(Table1[[#This Row],[discount_rate]]*100,0),"00")</f>
        <v>L10</v>
      </c>
      <c r="AM595" t="str" cm="1">
        <f t="array" ref="AM595">TEXT(SUMPRODUCT(CODE(MID(Table1[[#This Row],[home_gym_location]],_xlfn.SEQUENCE(LEN(Table1[[#This Row],[home_gym_location]])),1))),"00000")</f>
        <v>01018</v>
      </c>
      <c r="AN59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95" t="str">
        <f>LEFT(_xlfn.TEXTBEFORE(Table1[[#This Row],[Location Identifier]],"-"),3) &amp; "-" &amp; _xlfn.TEXTAFTER(Table1[[#This Row],[Location Identifier]],"-")</f>
        <v>SAN-008</v>
      </c>
      <c r="AP595" s="9">
        <f t="shared" ca="1" si="90"/>
        <v>45869</v>
      </c>
    </row>
    <row r="596" spans="1:42" x14ac:dyDescent="0.25">
      <c r="A596">
        <v>47</v>
      </c>
      <c r="B596" t="s">
        <v>26</v>
      </c>
      <c r="C596">
        <v>1</v>
      </c>
      <c r="D596" t="s">
        <v>71</v>
      </c>
      <c r="E596" t="b">
        <v>1</v>
      </c>
      <c r="F596" s="1">
        <v>0.76041666666666663</v>
      </c>
      <c r="G596" s="1">
        <v>0.83263888888888893</v>
      </c>
      <c r="H596">
        <v>104</v>
      </c>
      <c r="I596" t="b">
        <v>1</v>
      </c>
      <c r="J596" t="b">
        <v>0</v>
      </c>
      <c r="K596" t="b">
        <v>1</v>
      </c>
      <c r="L596" t="s">
        <v>62</v>
      </c>
      <c r="M596">
        <v>50</v>
      </c>
      <c r="N596" t="s">
        <v>29</v>
      </c>
      <c r="O596">
        <v>50</v>
      </c>
      <c r="P596" t="s">
        <v>40</v>
      </c>
      <c r="Q596">
        <v>0.1</v>
      </c>
      <c r="R596">
        <v>45</v>
      </c>
      <c r="S596" t="s">
        <v>31</v>
      </c>
      <c r="T596" t="s">
        <v>54</v>
      </c>
      <c r="U596">
        <v>32.715699999999998</v>
      </c>
      <c r="V596">
        <v>-117.1611</v>
      </c>
      <c r="W596" s="2">
        <v>45326</v>
      </c>
      <c r="X596">
        <v>0</v>
      </c>
      <c r="Y596" t="b">
        <v>1</v>
      </c>
      <c r="Z596" s="2">
        <v>45832</v>
      </c>
      <c r="AA596" t="str">
        <f t="shared" si="91"/>
        <v>40–49</v>
      </c>
      <c r="AB596" t="str">
        <f t="shared" si="92"/>
        <v>40–49</v>
      </c>
      <c r="AC596" t="str">
        <f t="shared" si="93"/>
        <v/>
      </c>
      <c r="AD596" t="str">
        <f t="shared" si="94"/>
        <v>Tuesday</v>
      </c>
      <c r="AE596" t="str">
        <f t="shared" si="95"/>
        <v/>
      </c>
      <c r="AF596" t="str">
        <f t="shared" si="96"/>
        <v/>
      </c>
      <c r="AG596" t="str">
        <f t="shared" si="97"/>
        <v/>
      </c>
      <c r="AH596" t="str">
        <f t="shared" si="98"/>
        <v/>
      </c>
      <c r="AI596" t="str">
        <f t="shared" si="99"/>
        <v/>
      </c>
      <c r="AJ596" t="str">
        <f>LEFT(Table1[[#This Row],[membership_type]],2)&amp;TEXT(Table1[[#This Row],[age]],"00")&amp;"-"&amp;TEXT(ROW(),"000")</f>
        <v>Pr47-596</v>
      </c>
      <c r="AK596" t="str">
        <f>LEFT(Table1[[#This Row],[membership_type]],1)&amp;TEXT(MATCH(Table1[[#This Row],[membership_type]],Table1[membership_type],0),"00")</f>
        <v>P01</v>
      </c>
      <c r="AL596" t="str">
        <f>LEFT(Table1[[#This Row],[discount_type]],1)&amp;TEXT(ROUND(Table1[[#This Row],[discount_rate]]*100,0),"00")</f>
        <v>L10</v>
      </c>
      <c r="AM596" t="str" cm="1">
        <f t="array" ref="AM596">TEXT(SUMPRODUCT(CODE(MID(Table1[[#This Row],[home_gym_location]],_xlfn.SEQUENCE(LEN(Table1[[#This Row],[home_gym_location]])),1))),"00000")</f>
        <v>01018</v>
      </c>
      <c r="AN59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596" t="str">
        <f>LEFT(_xlfn.TEXTBEFORE(Table1[[#This Row],[Location Identifier]],"-"),3) &amp; "-" &amp; _xlfn.TEXTAFTER(Table1[[#This Row],[Location Identifier]],"-")</f>
        <v>SAN-008</v>
      </c>
      <c r="AP596" s="9">
        <f t="shared" ca="1" si="90"/>
        <v>45869</v>
      </c>
    </row>
    <row r="597" spans="1:42" x14ac:dyDescent="0.25">
      <c r="A597">
        <v>32</v>
      </c>
      <c r="B597" t="s">
        <v>33</v>
      </c>
      <c r="C597">
        <v>3</v>
      </c>
      <c r="D597" t="s">
        <v>153</v>
      </c>
      <c r="E597" t="b">
        <v>1</v>
      </c>
      <c r="F597" s="1">
        <v>0.72847222222222219</v>
      </c>
      <c r="G597" s="1">
        <v>0.78263888888888888</v>
      </c>
      <c r="H597">
        <v>78</v>
      </c>
      <c r="I597" t="b">
        <v>1</v>
      </c>
      <c r="J597" t="b">
        <v>0</v>
      </c>
      <c r="K597" t="b">
        <v>1</v>
      </c>
      <c r="L597" t="s">
        <v>28</v>
      </c>
      <c r="M597">
        <v>30</v>
      </c>
      <c r="N597" t="s">
        <v>64</v>
      </c>
      <c r="O597">
        <v>22.5</v>
      </c>
      <c r="P597" t="s">
        <v>30</v>
      </c>
      <c r="Q597">
        <v>0.05</v>
      </c>
      <c r="R597">
        <v>21.375</v>
      </c>
      <c r="S597" t="s">
        <v>37</v>
      </c>
      <c r="T597" t="s">
        <v>65</v>
      </c>
      <c r="U597">
        <v>33.770099999999999</v>
      </c>
      <c r="V597">
        <v>-118.19370000000001</v>
      </c>
      <c r="W597" s="2">
        <v>45120</v>
      </c>
      <c r="X597">
        <v>0</v>
      </c>
      <c r="Y597" t="b">
        <v>1</v>
      </c>
      <c r="Z597" s="2">
        <v>45820</v>
      </c>
      <c r="AA597" t="str">
        <f t="shared" si="91"/>
        <v>30–39</v>
      </c>
      <c r="AB597" t="str">
        <f t="shared" si="92"/>
        <v>30–39</v>
      </c>
      <c r="AC597" t="str">
        <f t="shared" si="93"/>
        <v>Monday</v>
      </c>
      <c r="AD597" t="str">
        <f t="shared" si="94"/>
        <v/>
      </c>
      <c r="AE597" t="str">
        <f t="shared" si="95"/>
        <v>Wednesday</v>
      </c>
      <c r="AF597" t="str">
        <f t="shared" si="96"/>
        <v/>
      </c>
      <c r="AG597" t="str">
        <f t="shared" si="97"/>
        <v/>
      </c>
      <c r="AH597" t="str">
        <f t="shared" si="98"/>
        <v>Saturday</v>
      </c>
      <c r="AI597" t="str">
        <f t="shared" si="99"/>
        <v/>
      </c>
      <c r="AJ597" t="str">
        <f>LEFT(Table1[[#This Row],[membership_type]],2)&amp;TEXT(Table1[[#This Row],[age]],"00")&amp;"-"&amp;TEXT(ROW(),"000")</f>
        <v>St32-597</v>
      </c>
      <c r="AK597" t="str">
        <f>LEFT(Table1[[#This Row],[membership_type]],1)&amp;TEXT(MATCH(Table1[[#This Row],[membership_type]],Table1[membership_type],0),"00")</f>
        <v>S02</v>
      </c>
      <c r="AL597" t="str">
        <f>LEFT(Table1[[#This Row],[discount_type]],1)&amp;TEXT(ROUND(Table1[[#This Row],[discount_rate]]*100,0),"00")</f>
        <v>P05</v>
      </c>
      <c r="AM597" t="str" cm="1">
        <f t="array" ref="AM597">TEXT(SUMPRODUCT(CODE(MID(Table1[[#This Row],[home_gym_location]],_xlfn.SEQUENCE(LEN(Table1[[#This Row],[home_gym_location]])),1))),"00000")</f>
        <v>01107</v>
      </c>
      <c r="AN59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597" t="str">
        <f>LEFT(_xlfn.TEXTBEFORE(Table1[[#This Row],[Location Identifier]],"-"),3) &amp; "-" &amp; _xlfn.TEXTAFTER(Table1[[#This Row],[Location Identifier]],"-")</f>
        <v>LON-004</v>
      </c>
      <c r="AP597" s="9">
        <f t="shared" ca="1" si="90"/>
        <v>45869</v>
      </c>
    </row>
    <row r="598" spans="1:42" x14ac:dyDescent="0.25">
      <c r="A598">
        <v>20</v>
      </c>
      <c r="B598" t="s">
        <v>42</v>
      </c>
      <c r="C598">
        <v>3</v>
      </c>
      <c r="D598" t="s">
        <v>155</v>
      </c>
      <c r="E598" t="b">
        <v>1</v>
      </c>
      <c r="F598" s="1">
        <v>0.44583333333333336</v>
      </c>
      <c r="G598" s="1">
        <v>0.55069444444444449</v>
      </c>
      <c r="H598">
        <v>151</v>
      </c>
      <c r="I598" t="b">
        <v>1</v>
      </c>
      <c r="J598" t="b">
        <v>1</v>
      </c>
      <c r="K598" t="b">
        <v>0</v>
      </c>
      <c r="L598" t="s">
        <v>62</v>
      </c>
      <c r="M598">
        <v>20</v>
      </c>
      <c r="N598" t="s">
        <v>29</v>
      </c>
      <c r="O598">
        <v>20</v>
      </c>
      <c r="P598" t="s">
        <v>36</v>
      </c>
      <c r="Q598">
        <v>0</v>
      </c>
      <c r="R598">
        <v>20</v>
      </c>
      <c r="S598" t="s">
        <v>44</v>
      </c>
      <c r="T598" t="s">
        <v>56</v>
      </c>
      <c r="U598">
        <v>35.3733</v>
      </c>
      <c r="V598">
        <v>-119.0187</v>
      </c>
      <c r="W598" s="2">
        <v>45647</v>
      </c>
      <c r="X598">
        <v>3</v>
      </c>
      <c r="Y598" t="b">
        <v>1</v>
      </c>
      <c r="Z598" s="2">
        <v>45850</v>
      </c>
      <c r="AA598" t="str">
        <f t="shared" si="91"/>
        <v>20–29</v>
      </c>
      <c r="AB598" t="str">
        <f t="shared" si="92"/>
        <v>20–29</v>
      </c>
      <c r="AC598" t="str">
        <f t="shared" si="93"/>
        <v>Monday</v>
      </c>
      <c r="AD598" t="str">
        <f t="shared" si="94"/>
        <v/>
      </c>
      <c r="AE598" t="str">
        <f t="shared" si="95"/>
        <v>Wednesday</v>
      </c>
      <c r="AF598" t="str">
        <f t="shared" si="96"/>
        <v>Thursday</v>
      </c>
      <c r="AG598" t="str">
        <f t="shared" si="97"/>
        <v/>
      </c>
      <c r="AH598" t="str">
        <f t="shared" si="98"/>
        <v/>
      </c>
      <c r="AI598" t="str">
        <f t="shared" si="99"/>
        <v/>
      </c>
      <c r="AJ598" t="str">
        <f>LEFT(Table1[[#This Row],[membership_type]],2)&amp;TEXT(Table1[[#This Row],[age]],"00")&amp;"-"&amp;TEXT(ROW(),"000")</f>
        <v>Ba20-598</v>
      </c>
      <c r="AK598" t="str">
        <f>LEFT(Table1[[#This Row],[membership_type]],1)&amp;TEXT(MATCH(Table1[[#This Row],[membership_type]],Table1[membership_type],0),"00")</f>
        <v>B04</v>
      </c>
      <c r="AL598" t="str">
        <f>LEFT(Table1[[#This Row],[discount_type]],1)&amp;TEXT(ROUND(Table1[[#This Row],[discount_rate]]*100,0),"00")</f>
        <v>N00</v>
      </c>
      <c r="AM598" t="str" cm="1">
        <f t="array" ref="AM598">TEXT(SUMPRODUCT(CODE(MID(Table1[[#This Row],[home_gym_location]],_xlfn.SEQUENCE(LEN(Table1[[#This Row],[home_gym_location]])),1))),"00000")</f>
        <v>01324</v>
      </c>
      <c r="AN59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598" t="str">
        <f>LEFT(_xlfn.TEXTBEFORE(Table1[[#This Row],[Location Identifier]],"-"),3) &amp; "-" &amp; _xlfn.TEXTAFTER(Table1[[#This Row],[Location Identifier]],"-")</f>
        <v>BAK-002</v>
      </c>
      <c r="AP598" s="9">
        <f t="shared" ca="1" si="90"/>
        <v>45869</v>
      </c>
    </row>
    <row r="599" spans="1:42" x14ac:dyDescent="0.25">
      <c r="A599">
        <v>40</v>
      </c>
      <c r="B599" t="s">
        <v>26</v>
      </c>
      <c r="C599">
        <v>3</v>
      </c>
      <c r="D599" t="s">
        <v>93</v>
      </c>
      <c r="E599" t="b">
        <v>1</v>
      </c>
      <c r="F599" s="1">
        <v>0.83263888888888893</v>
      </c>
      <c r="G599" s="1">
        <v>0.87777777777777777</v>
      </c>
      <c r="H599">
        <v>65</v>
      </c>
      <c r="I599" t="b">
        <v>0</v>
      </c>
      <c r="J599" t="b">
        <v>1</v>
      </c>
      <c r="K599" t="b">
        <v>0</v>
      </c>
      <c r="L599" t="s">
        <v>58</v>
      </c>
      <c r="M599">
        <v>50</v>
      </c>
      <c r="N599" t="s">
        <v>64</v>
      </c>
      <c r="O599">
        <v>37.5</v>
      </c>
      <c r="P599" t="s">
        <v>36</v>
      </c>
      <c r="Q599">
        <v>0</v>
      </c>
      <c r="R599">
        <v>37.5</v>
      </c>
      <c r="S599" t="s">
        <v>31</v>
      </c>
      <c r="T599" t="s">
        <v>41</v>
      </c>
      <c r="U599">
        <v>37.804400000000001</v>
      </c>
      <c r="V599">
        <v>-122.27119999999999</v>
      </c>
      <c r="W599" s="2">
        <v>45626</v>
      </c>
      <c r="X599">
        <v>1</v>
      </c>
      <c r="Y599" t="b">
        <v>0</v>
      </c>
      <c r="Z599" s="2">
        <v>45849</v>
      </c>
      <c r="AA599" t="str">
        <f t="shared" si="91"/>
        <v>40–49</v>
      </c>
      <c r="AB599" t="str">
        <f t="shared" si="92"/>
        <v>40–49</v>
      </c>
      <c r="AC599" t="str">
        <f t="shared" si="93"/>
        <v>Monday</v>
      </c>
      <c r="AD599" t="str">
        <f t="shared" si="94"/>
        <v>Tuesday</v>
      </c>
      <c r="AE599" t="str">
        <f t="shared" si="95"/>
        <v/>
      </c>
      <c r="AF599" t="str">
        <f t="shared" si="96"/>
        <v>Thursday</v>
      </c>
      <c r="AG599" t="str">
        <f t="shared" si="97"/>
        <v/>
      </c>
      <c r="AH599" t="str">
        <f t="shared" si="98"/>
        <v/>
      </c>
      <c r="AI599" t="str">
        <f t="shared" si="99"/>
        <v/>
      </c>
      <c r="AJ599" t="str">
        <f>LEFT(Table1[[#This Row],[membership_type]],2)&amp;TEXT(Table1[[#This Row],[age]],"00")&amp;"-"&amp;TEXT(ROW(),"000")</f>
        <v>Pr40-599</v>
      </c>
      <c r="AK599" t="str">
        <f>LEFT(Table1[[#This Row],[membership_type]],1)&amp;TEXT(MATCH(Table1[[#This Row],[membership_type]],Table1[membership_type],0),"00")</f>
        <v>P01</v>
      </c>
      <c r="AL599" t="str">
        <f>LEFT(Table1[[#This Row],[discount_type]],1)&amp;TEXT(ROUND(Table1[[#This Row],[discount_rate]]*100,0),"00")</f>
        <v>N00</v>
      </c>
      <c r="AM599" t="str" cm="1">
        <f t="array" ref="AM599">TEXT(SUMPRODUCT(CODE(MID(Table1[[#This Row],[home_gym_location]],_xlfn.SEQUENCE(LEN(Table1[[#This Row],[home_gym_location]])),1))),"00000")</f>
        <v>00906</v>
      </c>
      <c r="AN599" t="str">
        <f>UPPER(_xlfn.TEXTBEFORE(Table1[[#This Row],[home_gym_location]],","))&amp;"-"&amp;TEXT(MATCH(Table1[[#This Row],[home_gym_location]],_xlfn._xlws.SORT(_xlfn.UNIQUE(Table1[home_gym_location])),0),"000")</f>
        <v>OAKLAND-006</v>
      </c>
      <c r="AO599" t="str">
        <f>LEFT(_xlfn.TEXTBEFORE(Table1[[#This Row],[Location Identifier]],"-"),3) &amp; "-" &amp; _xlfn.TEXTAFTER(Table1[[#This Row],[Location Identifier]],"-")</f>
        <v>OAK-006</v>
      </c>
      <c r="AP599" s="9">
        <f t="shared" ca="1" si="90"/>
        <v>45869</v>
      </c>
    </row>
    <row r="600" spans="1:42" x14ac:dyDescent="0.25">
      <c r="A600">
        <v>25</v>
      </c>
      <c r="B600" t="s">
        <v>33</v>
      </c>
      <c r="C600">
        <v>4</v>
      </c>
      <c r="D600" t="s">
        <v>143</v>
      </c>
      <c r="E600" t="b">
        <v>0</v>
      </c>
      <c r="F600" s="1">
        <v>0.80763888888888891</v>
      </c>
      <c r="G600" s="1">
        <v>0.8666666666666667</v>
      </c>
      <c r="H600">
        <v>85</v>
      </c>
      <c r="I600" t="b">
        <v>0</v>
      </c>
      <c r="J600" t="b">
        <v>0</v>
      </c>
      <c r="K600" t="b">
        <v>1</v>
      </c>
      <c r="L600" t="s">
        <v>62</v>
      </c>
      <c r="M600">
        <v>30</v>
      </c>
      <c r="N600" t="s">
        <v>64</v>
      </c>
      <c r="O600">
        <v>22.5</v>
      </c>
      <c r="P600" t="s">
        <v>40</v>
      </c>
      <c r="Q600">
        <v>0.1</v>
      </c>
      <c r="R600">
        <v>20.25</v>
      </c>
      <c r="S600" t="s">
        <v>37</v>
      </c>
      <c r="T600" t="s">
        <v>32</v>
      </c>
      <c r="U600">
        <v>37.338200000000001</v>
      </c>
      <c r="V600">
        <v>-121.88630000000001</v>
      </c>
      <c r="W600" s="2">
        <v>45787</v>
      </c>
      <c r="X600">
        <v>0</v>
      </c>
      <c r="Y600" t="b">
        <v>0</v>
      </c>
      <c r="Z600" s="2">
        <v>45858</v>
      </c>
      <c r="AA600" t="str">
        <f t="shared" si="91"/>
        <v>20–29</v>
      </c>
      <c r="AB600" t="str">
        <f t="shared" si="92"/>
        <v>20–29</v>
      </c>
      <c r="AC600" t="str">
        <f t="shared" si="93"/>
        <v>Monday</v>
      </c>
      <c r="AD600" t="str">
        <f t="shared" si="94"/>
        <v>Tuesday</v>
      </c>
      <c r="AE600" t="str">
        <f t="shared" si="95"/>
        <v>Wednesday</v>
      </c>
      <c r="AF600" t="str">
        <f t="shared" si="96"/>
        <v/>
      </c>
      <c r="AG600" t="str">
        <f t="shared" si="97"/>
        <v>Friday</v>
      </c>
      <c r="AH600" t="str">
        <f t="shared" si="98"/>
        <v/>
      </c>
      <c r="AI600" t="str">
        <f t="shared" si="99"/>
        <v/>
      </c>
      <c r="AJ600" t="str">
        <f>LEFT(Table1[[#This Row],[membership_type]],2)&amp;TEXT(Table1[[#This Row],[age]],"00")&amp;"-"&amp;TEXT(ROW(),"000")</f>
        <v>St25-600</v>
      </c>
      <c r="AK600" t="str">
        <f>LEFT(Table1[[#This Row],[membership_type]],1)&amp;TEXT(MATCH(Table1[[#This Row],[membership_type]],Table1[membership_type],0),"00")</f>
        <v>S02</v>
      </c>
      <c r="AL600" t="str">
        <f>LEFT(Table1[[#This Row],[discount_type]],1)&amp;TEXT(ROUND(Table1[[#This Row],[discount_rate]]*100,0),"00")</f>
        <v>L10</v>
      </c>
      <c r="AM600" t="str" cm="1">
        <f t="array" ref="AM600">TEXT(SUMPRODUCT(CODE(MID(Table1[[#This Row],[home_gym_location]],_xlfn.SEQUENCE(LEN(Table1[[#This Row],[home_gym_location]])),1))),"00000")</f>
        <v>00931</v>
      </c>
      <c r="AN60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00" t="str">
        <f>LEFT(_xlfn.TEXTBEFORE(Table1[[#This Row],[Location Identifier]],"-"),3) &amp; "-" &amp; _xlfn.TEXTAFTER(Table1[[#This Row],[Location Identifier]],"-")</f>
        <v>SAN-010</v>
      </c>
      <c r="AP600" s="9">
        <f t="shared" ca="1" si="90"/>
        <v>45869</v>
      </c>
    </row>
    <row r="601" spans="1:42" x14ac:dyDescent="0.25">
      <c r="A601">
        <v>45</v>
      </c>
      <c r="B601" t="s">
        <v>42</v>
      </c>
      <c r="C601">
        <v>3</v>
      </c>
      <c r="D601" t="s">
        <v>81</v>
      </c>
      <c r="E601" t="b">
        <v>1</v>
      </c>
      <c r="F601" s="1">
        <v>0.65208333333333335</v>
      </c>
      <c r="G601" s="1">
        <v>0.7319444444444444</v>
      </c>
      <c r="H601">
        <v>115</v>
      </c>
      <c r="I601" t="b">
        <v>1</v>
      </c>
      <c r="J601" t="b">
        <v>1</v>
      </c>
      <c r="K601" t="b">
        <v>1</v>
      </c>
      <c r="L601" t="s">
        <v>28</v>
      </c>
      <c r="M601">
        <v>20</v>
      </c>
      <c r="N601" t="s">
        <v>64</v>
      </c>
      <c r="O601">
        <v>15</v>
      </c>
      <c r="P601" t="s">
        <v>40</v>
      </c>
      <c r="Q601">
        <v>0.1</v>
      </c>
      <c r="R601">
        <v>13.5</v>
      </c>
      <c r="S601" t="s">
        <v>44</v>
      </c>
      <c r="T601" t="s">
        <v>45</v>
      </c>
      <c r="U601">
        <v>33.836599999999997</v>
      </c>
      <c r="V601">
        <v>-117.9143</v>
      </c>
      <c r="W601" s="2">
        <v>45651</v>
      </c>
      <c r="X601">
        <v>7</v>
      </c>
      <c r="Y601" t="b">
        <v>1</v>
      </c>
      <c r="Z601" s="2">
        <v>45850</v>
      </c>
      <c r="AA601" t="str">
        <f t="shared" si="91"/>
        <v>40–49</v>
      </c>
      <c r="AB601" t="str">
        <f t="shared" si="92"/>
        <v>40–49</v>
      </c>
      <c r="AC601" t="str">
        <f t="shared" si="93"/>
        <v>Monday</v>
      </c>
      <c r="AD601" t="str">
        <f t="shared" si="94"/>
        <v/>
      </c>
      <c r="AE601" t="str">
        <f t="shared" si="95"/>
        <v>Wednesday</v>
      </c>
      <c r="AF601" t="str">
        <f t="shared" si="96"/>
        <v/>
      </c>
      <c r="AG601" t="str">
        <f t="shared" si="97"/>
        <v>Friday</v>
      </c>
      <c r="AH601" t="str">
        <f t="shared" si="98"/>
        <v/>
      </c>
      <c r="AI601" t="str">
        <f t="shared" si="99"/>
        <v/>
      </c>
      <c r="AJ601" t="str">
        <f>LEFT(Table1[[#This Row],[membership_type]],2)&amp;TEXT(Table1[[#This Row],[age]],"00")&amp;"-"&amp;TEXT(ROW(),"000")</f>
        <v>Ba45-601</v>
      </c>
      <c r="AK601" t="str">
        <f>LEFT(Table1[[#This Row],[membership_type]],1)&amp;TEXT(MATCH(Table1[[#This Row],[membership_type]],Table1[membership_type],0),"00")</f>
        <v>B04</v>
      </c>
      <c r="AL601" t="str">
        <f>LEFT(Table1[[#This Row],[discount_type]],1)&amp;TEXT(ROUND(Table1[[#This Row],[discount_rate]]*100,0),"00")</f>
        <v>L10</v>
      </c>
      <c r="AM601" t="str" cm="1">
        <f t="array" ref="AM601">TEXT(SUMPRODUCT(CODE(MID(Table1[[#This Row],[home_gym_location]],_xlfn.SEQUENCE(LEN(Table1[[#This Row],[home_gym_location]])),1))),"00000")</f>
        <v>00899</v>
      </c>
      <c r="AN601" t="str">
        <f>UPPER(_xlfn.TEXTBEFORE(Table1[[#This Row],[home_gym_location]],","))&amp;"-"&amp;TEXT(MATCH(Table1[[#This Row],[home_gym_location]],_xlfn._xlws.SORT(_xlfn.UNIQUE(Table1[home_gym_location])),0),"000")</f>
        <v>ANAHEIM-001</v>
      </c>
      <c r="AO601" t="str">
        <f>LEFT(_xlfn.TEXTBEFORE(Table1[[#This Row],[Location Identifier]],"-"),3) &amp; "-" &amp; _xlfn.TEXTAFTER(Table1[[#This Row],[Location Identifier]],"-")</f>
        <v>ANA-001</v>
      </c>
      <c r="AP601" s="9">
        <f t="shared" ca="1" si="90"/>
        <v>45869</v>
      </c>
    </row>
    <row r="602" spans="1:42" x14ac:dyDescent="0.25">
      <c r="A602">
        <v>49</v>
      </c>
      <c r="B602" t="s">
        <v>42</v>
      </c>
      <c r="C602">
        <v>3</v>
      </c>
      <c r="D602" t="s">
        <v>142</v>
      </c>
      <c r="E602" t="b">
        <v>0</v>
      </c>
      <c r="F602" s="1">
        <v>0.81736111111111109</v>
      </c>
      <c r="G602" s="1">
        <v>0.89652777777777781</v>
      </c>
      <c r="H602">
        <v>114</v>
      </c>
      <c r="I602" t="b">
        <v>1</v>
      </c>
      <c r="J602" t="b">
        <v>0</v>
      </c>
      <c r="K602" t="b">
        <v>0</v>
      </c>
      <c r="L602" t="s">
        <v>28</v>
      </c>
      <c r="M602">
        <v>20</v>
      </c>
      <c r="N602" t="s">
        <v>29</v>
      </c>
      <c r="O602">
        <v>20</v>
      </c>
      <c r="P602" t="s">
        <v>74</v>
      </c>
      <c r="Q602">
        <v>0.15</v>
      </c>
      <c r="R602">
        <v>17</v>
      </c>
      <c r="S602" t="s">
        <v>44</v>
      </c>
      <c r="T602" t="s">
        <v>45</v>
      </c>
      <c r="U602">
        <v>33.836599999999997</v>
      </c>
      <c r="V602">
        <v>-117.9143</v>
      </c>
      <c r="W602" s="2">
        <v>45534</v>
      </c>
      <c r="X602">
        <v>0</v>
      </c>
      <c r="Y602" t="b">
        <v>1</v>
      </c>
      <c r="Z602" s="2">
        <v>45844</v>
      </c>
      <c r="AA602" t="str">
        <f t="shared" si="91"/>
        <v>40–49</v>
      </c>
      <c r="AB602" t="str">
        <f t="shared" si="92"/>
        <v>40–49</v>
      </c>
      <c r="AC602" t="str">
        <f t="shared" si="93"/>
        <v>Monday</v>
      </c>
      <c r="AD602" t="str">
        <f t="shared" si="94"/>
        <v/>
      </c>
      <c r="AE602" t="str">
        <f t="shared" si="95"/>
        <v>Wednesday</v>
      </c>
      <c r="AF602" t="str">
        <f t="shared" si="96"/>
        <v/>
      </c>
      <c r="AG602" t="str">
        <f t="shared" si="97"/>
        <v/>
      </c>
      <c r="AH602" t="str">
        <f t="shared" si="98"/>
        <v/>
      </c>
      <c r="AI602" t="str">
        <f t="shared" si="99"/>
        <v>Sunday</v>
      </c>
      <c r="AJ602" t="str">
        <f>LEFT(Table1[[#This Row],[membership_type]],2)&amp;TEXT(Table1[[#This Row],[age]],"00")&amp;"-"&amp;TEXT(ROW(),"000")</f>
        <v>Ba49-602</v>
      </c>
      <c r="AK602" t="str">
        <f>LEFT(Table1[[#This Row],[membership_type]],1)&amp;TEXT(MATCH(Table1[[#This Row],[membership_type]],Table1[membership_type],0),"00")</f>
        <v>B04</v>
      </c>
      <c r="AL602" t="str">
        <f>LEFT(Table1[[#This Row],[discount_type]],1)&amp;TEXT(ROUND(Table1[[#This Row],[discount_rate]]*100,0),"00")</f>
        <v>S15</v>
      </c>
      <c r="AM602" t="str" cm="1">
        <f t="array" ref="AM602">TEXT(SUMPRODUCT(CODE(MID(Table1[[#This Row],[home_gym_location]],_xlfn.SEQUENCE(LEN(Table1[[#This Row],[home_gym_location]])),1))),"00000")</f>
        <v>00899</v>
      </c>
      <c r="AN602" t="str">
        <f>UPPER(_xlfn.TEXTBEFORE(Table1[[#This Row],[home_gym_location]],","))&amp;"-"&amp;TEXT(MATCH(Table1[[#This Row],[home_gym_location]],_xlfn._xlws.SORT(_xlfn.UNIQUE(Table1[home_gym_location])),0),"000")</f>
        <v>ANAHEIM-001</v>
      </c>
      <c r="AO602" t="str">
        <f>LEFT(_xlfn.TEXTBEFORE(Table1[[#This Row],[Location Identifier]],"-"),3) &amp; "-" &amp; _xlfn.TEXTAFTER(Table1[[#This Row],[Location Identifier]],"-")</f>
        <v>ANA-001</v>
      </c>
      <c r="AP602" s="9">
        <f t="shared" ca="1" si="90"/>
        <v>45869</v>
      </c>
    </row>
    <row r="603" spans="1:42" x14ac:dyDescent="0.25">
      <c r="A603">
        <v>30</v>
      </c>
      <c r="B603" t="s">
        <v>33</v>
      </c>
      <c r="C603">
        <v>1</v>
      </c>
      <c r="D603" t="s">
        <v>75</v>
      </c>
      <c r="E603" t="b">
        <v>0</v>
      </c>
      <c r="F603" s="1">
        <v>0.74930555555555556</v>
      </c>
      <c r="G603" s="1">
        <v>0.86597222222222225</v>
      </c>
      <c r="H603">
        <v>168</v>
      </c>
      <c r="I603" t="b">
        <v>0</v>
      </c>
      <c r="J603" t="b">
        <v>1</v>
      </c>
      <c r="K603" t="b">
        <v>1</v>
      </c>
      <c r="L603" t="s">
        <v>58</v>
      </c>
      <c r="M603">
        <v>30</v>
      </c>
      <c r="N603" t="s">
        <v>29</v>
      </c>
      <c r="O603">
        <v>30</v>
      </c>
      <c r="P603" t="s">
        <v>36</v>
      </c>
      <c r="Q603">
        <v>0</v>
      </c>
      <c r="R603">
        <v>30</v>
      </c>
      <c r="S603" t="s">
        <v>37</v>
      </c>
      <c r="T603" t="s">
        <v>59</v>
      </c>
      <c r="U603">
        <v>37.774900000000002</v>
      </c>
      <c r="V603">
        <v>-122.4194</v>
      </c>
      <c r="W603" s="2">
        <v>45642</v>
      </c>
      <c r="X603">
        <v>8</v>
      </c>
      <c r="Y603" t="b">
        <v>1</v>
      </c>
      <c r="Z603" s="2">
        <v>45850</v>
      </c>
      <c r="AA603" t="str">
        <f t="shared" si="91"/>
        <v>30–39</v>
      </c>
      <c r="AB603" t="str">
        <f t="shared" si="92"/>
        <v>30–39</v>
      </c>
      <c r="AC603" t="str">
        <f t="shared" si="93"/>
        <v/>
      </c>
      <c r="AD603" t="str">
        <f t="shared" si="94"/>
        <v/>
      </c>
      <c r="AE603" t="str">
        <f t="shared" si="95"/>
        <v/>
      </c>
      <c r="AF603" t="str">
        <f t="shared" si="96"/>
        <v/>
      </c>
      <c r="AG603" t="str">
        <f t="shared" si="97"/>
        <v>Friday</v>
      </c>
      <c r="AH603" t="str">
        <f t="shared" si="98"/>
        <v/>
      </c>
      <c r="AI603" t="str">
        <f t="shared" si="99"/>
        <v/>
      </c>
      <c r="AJ603" t="str">
        <f>LEFT(Table1[[#This Row],[membership_type]],2)&amp;TEXT(Table1[[#This Row],[age]],"00")&amp;"-"&amp;TEXT(ROW(),"000")</f>
        <v>St30-603</v>
      </c>
      <c r="AK603" t="str">
        <f>LEFT(Table1[[#This Row],[membership_type]],1)&amp;TEXT(MATCH(Table1[[#This Row],[membership_type]],Table1[membership_type],0),"00")</f>
        <v>S02</v>
      </c>
      <c r="AL603" t="str">
        <f>LEFT(Table1[[#This Row],[discount_type]],1)&amp;TEXT(ROUND(Table1[[#This Row],[discount_rate]]*100,0),"00")</f>
        <v>N00</v>
      </c>
      <c r="AM603" t="str" cm="1">
        <f t="array" ref="AM603">TEXT(SUMPRODUCT(CODE(MID(Table1[[#This Row],[home_gym_location]],_xlfn.SEQUENCE(LEN(Table1[[#This Row],[home_gym_location]])),1))),"00000")</f>
        <v>01450</v>
      </c>
      <c r="AN60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03" t="str">
        <f>LEFT(_xlfn.TEXTBEFORE(Table1[[#This Row],[Location Identifier]],"-"),3) &amp; "-" &amp; _xlfn.TEXTAFTER(Table1[[#This Row],[Location Identifier]],"-")</f>
        <v>SAN-009</v>
      </c>
      <c r="AP603" s="9">
        <f t="shared" ca="1" si="90"/>
        <v>45869</v>
      </c>
    </row>
    <row r="604" spans="1:42" x14ac:dyDescent="0.25">
      <c r="A604">
        <v>27</v>
      </c>
      <c r="B604" t="s">
        <v>33</v>
      </c>
      <c r="C604">
        <v>1</v>
      </c>
      <c r="D604" t="s">
        <v>63</v>
      </c>
      <c r="E604" t="b">
        <v>0</v>
      </c>
      <c r="F604" s="1">
        <v>0.47569444444444442</v>
      </c>
      <c r="G604" s="1">
        <v>0.53888888888888886</v>
      </c>
      <c r="H604">
        <v>91</v>
      </c>
      <c r="I604" t="b">
        <v>1</v>
      </c>
      <c r="J604" t="b">
        <v>0</v>
      </c>
      <c r="K604" t="b">
        <v>1</v>
      </c>
      <c r="L604" t="s">
        <v>62</v>
      </c>
      <c r="M604">
        <v>30</v>
      </c>
      <c r="N604" t="s">
        <v>29</v>
      </c>
      <c r="O604">
        <v>30</v>
      </c>
      <c r="P604" t="s">
        <v>74</v>
      </c>
      <c r="Q604">
        <v>0.15</v>
      </c>
      <c r="R604">
        <v>25.5</v>
      </c>
      <c r="S604" t="s">
        <v>37</v>
      </c>
      <c r="T604" t="s">
        <v>38</v>
      </c>
      <c r="U604">
        <v>36.7378</v>
      </c>
      <c r="V604">
        <v>-119.7871</v>
      </c>
      <c r="W604" s="2">
        <v>45736</v>
      </c>
      <c r="X604">
        <v>0</v>
      </c>
      <c r="Y604" t="b">
        <v>1</v>
      </c>
      <c r="Z604" s="2">
        <v>45855</v>
      </c>
      <c r="AA604" t="str">
        <f t="shared" si="91"/>
        <v>20–29</v>
      </c>
      <c r="AB604" t="str">
        <f t="shared" si="92"/>
        <v>20–29</v>
      </c>
      <c r="AC604" t="str">
        <f t="shared" si="93"/>
        <v/>
      </c>
      <c r="AD604" t="str">
        <f t="shared" si="94"/>
        <v/>
      </c>
      <c r="AE604" t="str">
        <f t="shared" si="95"/>
        <v>Wednesday</v>
      </c>
      <c r="AF604" t="str">
        <f t="shared" si="96"/>
        <v/>
      </c>
      <c r="AG604" t="str">
        <f t="shared" si="97"/>
        <v/>
      </c>
      <c r="AH604" t="str">
        <f t="shared" si="98"/>
        <v/>
      </c>
      <c r="AI604" t="str">
        <f t="shared" si="99"/>
        <v/>
      </c>
      <c r="AJ604" t="str">
        <f>LEFT(Table1[[#This Row],[membership_type]],2)&amp;TEXT(Table1[[#This Row],[age]],"00")&amp;"-"&amp;TEXT(ROW(),"000")</f>
        <v>St27-604</v>
      </c>
      <c r="AK604" t="str">
        <f>LEFT(Table1[[#This Row],[membership_type]],1)&amp;TEXT(MATCH(Table1[[#This Row],[membership_type]],Table1[membership_type],0),"00")</f>
        <v>S02</v>
      </c>
      <c r="AL604" t="str">
        <f>LEFT(Table1[[#This Row],[discount_type]],1)&amp;TEXT(ROUND(Table1[[#This Row],[discount_rate]]*100,0),"00")</f>
        <v>S15</v>
      </c>
      <c r="AM604" t="str" cm="1">
        <f t="array" ref="AM604">TEXT(SUMPRODUCT(CODE(MID(Table1[[#This Row],[home_gym_location]],_xlfn.SEQUENCE(LEN(Table1[[#This Row],[home_gym_location]])),1))),"00000")</f>
        <v>00829</v>
      </c>
      <c r="AN604" t="str">
        <f>UPPER(_xlfn.TEXTBEFORE(Table1[[#This Row],[home_gym_location]],","))&amp;"-"&amp;TEXT(MATCH(Table1[[#This Row],[home_gym_location]],_xlfn._xlws.SORT(_xlfn.UNIQUE(Table1[home_gym_location])),0),"000")</f>
        <v>FRESNO-003</v>
      </c>
      <c r="AO604" t="str">
        <f>LEFT(_xlfn.TEXTBEFORE(Table1[[#This Row],[Location Identifier]],"-"),3) &amp; "-" &amp; _xlfn.TEXTAFTER(Table1[[#This Row],[Location Identifier]],"-")</f>
        <v>FRE-003</v>
      </c>
      <c r="AP604" s="9">
        <f t="shared" ca="1" si="90"/>
        <v>45869</v>
      </c>
    </row>
    <row r="605" spans="1:42" x14ac:dyDescent="0.25">
      <c r="A605">
        <v>30</v>
      </c>
      <c r="B605" t="s">
        <v>26</v>
      </c>
      <c r="C605">
        <v>3</v>
      </c>
      <c r="D605" t="s">
        <v>102</v>
      </c>
      <c r="E605" t="b">
        <v>1</v>
      </c>
      <c r="F605" s="1">
        <v>0.61388888888888893</v>
      </c>
      <c r="G605" s="1">
        <v>0.66666666666666663</v>
      </c>
      <c r="H605">
        <v>76</v>
      </c>
      <c r="I605" t="b">
        <v>1</v>
      </c>
      <c r="J605" t="b">
        <v>1</v>
      </c>
      <c r="K605" t="b">
        <v>1</v>
      </c>
      <c r="L605" t="s">
        <v>47</v>
      </c>
      <c r="M605">
        <v>50</v>
      </c>
      <c r="N605" t="s">
        <v>29</v>
      </c>
      <c r="O605">
        <v>50</v>
      </c>
      <c r="P605" t="s">
        <v>40</v>
      </c>
      <c r="Q605">
        <v>0.1</v>
      </c>
      <c r="R605">
        <v>45</v>
      </c>
      <c r="S605" t="s">
        <v>31</v>
      </c>
      <c r="T605" t="s">
        <v>50</v>
      </c>
      <c r="U605">
        <v>34.052199999999999</v>
      </c>
      <c r="V605">
        <v>-118.2437</v>
      </c>
      <c r="W605" s="2">
        <v>45702</v>
      </c>
      <c r="X605">
        <v>8</v>
      </c>
      <c r="Y605" t="b">
        <v>1</v>
      </c>
      <c r="Z605" s="2">
        <v>45853</v>
      </c>
      <c r="AA605" t="str">
        <f t="shared" si="91"/>
        <v>30–39</v>
      </c>
      <c r="AB605" t="str">
        <f t="shared" si="92"/>
        <v>30–39</v>
      </c>
      <c r="AC605" t="str">
        <f t="shared" si="93"/>
        <v/>
      </c>
      <c r="AD605" t="str">
        <f t="shared" si="94"/>
        <v/>
      </c>
      <c r="AE605" t="str">
        <f t="shared" si="95"/>
        <v/>
      </c>
      <c r="AF605" t="str">
        <f t="shared" si="96"/>
        <v>Thursday</v>
      </c>
      <c r="AG605" t="str">
        <f t="shared" si="97"/>
        <v>Friday</v>
      </c>
      <c r="AH605" t="str">
        <f t="shared" si="98"/>
        <v>Saturday</v>
      </c>
      <c r="AI605" t="str">
        <f t="shared" si="99"/>
        <v/>
      </c>
      <c r="AJ605" t="str">
        <f>LEFT(Table1[[#This Row],[membership_type]],2)&amp;TEXT(Table1[[#This Row],[age]],"00")&amp;"-"&amp;TEXT(ROW(),"000")</f>
        <v>Pr30-605</v>
      </c>
      <c r="AK605" t="str">
        <f>LEFT(Table1[[#This Row],[membership_type]],1)&amp;TEXT(MATCH(Table1[[#This Row],[membership_type]],Table1[membership_type],0),"00")</f>
        <v>P01</v>
      </c>
      <c r="AL605" t="str">
        <f>LEFT(Table1[[#This Row],[discount_type]],1)&amp;TEXT(ROUND(Table1[[#This Row],[discount_rate]]*100,0),"00")</f>
        <v>L10</v>
      </c>
      <c r="AM605" t="str" cm="1">
        <f t="array" ref="AM605">TEXT(SUMPRODUCT(CODE(MID(Table1[[#This Row],[home_gym_location]],_xlfn.SEQUENCE(LEN(Table1[[#This Row],[home_gym_location]])),1))),"00000")</f>
        <v>01245</v>
      </c>
      <c r="AN60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05" t="str">
        <f>LEFT(_xlfn.TEXTBEFORE(Table1[[#This Row],[Location Identifier]],"-"),3) &amp; "-" &amp; _xlfn.TEXTAFTER(Table1[[#This Row],[Location Identifier]],"-")</f>
        <v>LOS-005</v>
      </c>
      <c r="AP605" s="9">
        <f t="shared" ca="1" si="90"/>
        <v>45869</v>
      </c>
    </row>
    <row r="606" spans="1:42" x14ac:dyDescent="0.25">
      <c r="A606">
        <v>40</v>
      </c>
      <c r="B606" t="s">
        <v>42</v>
      </c>
      <c r="C606">
        <v>1</v>
      </c>
      <c r="D606" t="s">
        <v>49</v>
      </c>
      <c r="E606" t="b">
        <v>1</v>
      </c>
      <c r="F606" s="1">
        <v>0.66874999999999996</v>
      </c>
      <c r="G606" s="1">
        <v>0.74236111111111114</v>
      </c>
      <c r="H606">
        <v>106</v>
      </c>
      <c r="I606" t="b">
        <v>0</v>
      </c>
      <c r="J606" t="b">
        <v>0</v>
      </c>
      <c r="K606" t="b">
        <v>1</v>
      </c>
      <c r="L606" t="s">
        <v>28</v>
      </c>
      <c r="M606">
        <v>20</v>
      </c>
      <c r="N606" t="s">
        <v>64</v>
      </c>
      <c r="O606">
        <v>15</v>
      </c>
      <c r="P606" t="s">
        <v>36</v>
      </c>
      <c r="Q606">
        <v>0</v>
      </c>
      <c r="R606">
        <v>15</v>
      </c>
      <c r="S606" t="s">
        <v>44</v>
      </c>
      <c r="T606" t="s">
        <v>38</v>
      </c>
      <c r="U606">
        <v>36.7378</v>
      </c>
      <c r="V606">
        <v>-119.7871</v>
      </c>
      <c r="W606" s="2">
        <v>45340</v>
      </c>
      <c r="X606">
        <v>0</v>
      </c>
      <c r="Y606" t="b">
        <v>1</v>
      </c>
      <c r="Z606" s="2">
        <v>45833</v>
      </c>
      <c r="AA606" t="str">
        <f t="shared" si="91"/>
        <v>40–49</v>
      </c>
      <c r="AB606" t="str">
        <f t="shared" si="92"/>
        <v>40–49</v>
      </c>
      <c r="AC606" t="str">
        <f t="shared" si="93"/>
        <v/>
      </c>
      <c r="AD606" t="str">
        <f t="shared" si="94"/>
        <v/>
      </c>
      <c r="AE606" t="str">
        <f t="shared" si="95"/>
        <v/>
      </c>
      <c r="AF606" t="str">
        <f t="shared" si="96"/>
        <v/>
      </c>
      <c r="AG606" t="str">
        <f t="shared" si="97"/>
        <v/>
      </c>
      <c r="AH606" t="str">
        <f t="shared" si="98"/>
        <v/>
      </c>
      <c r="AI606" t="str">
        <f t="shared" si="99"/>
        <v>Sunday</v>
      </c>
      <c r="AJ606" t="str">
        <f>LEFT(Table1[[#This Row],[membership_type]],2)&amp;TEXT(Table1[[#This Row],[age]],"00")&amp;"-"&amp;TEXT(ROW(),"000")</f>
        <v>Ba40-606</v>
      </c>
      <c r="AK606" t="str">
        <f>LEFT(Table1[[#This Row],[membership_type]],1)&amp;TEXT(MATCH(Table1[[#This Row],[membership_type]],Table1[membership_type],0),"00")</f>
        <v>B04</v>
      </c>
      <c r="AL606" t="str">
        <f>LEFT(Table1[[#This Row],[discount_type]],1)&amp;TEXT(ROUND(Table1[[#This Row],[discount_rate]]*100,0),"00")</f>
        <v>N00</v>
      </c>
      <c r="AM606" t="str" cm="1">
        <f t="array" ref="AM606">TEXT(SUMPRODUCT(CODE(MID(Table1[[#This Row],[home_gym_location]],_xlfn.SEQUENCE(LEN(Table1[[#This Row],[home_gym_location]])),1))),"00000")</f>
        <v>00829</v>
      </c>
      <c r="AN606" t="str">
        <f>UPPER(_xlfn.TEXTBEFORE(Table1[[#This Row],[home_gym_location]],","))&amp;"-"&amp;TEXT(MATCH(Table1[[#This Row],[home_gym_location]],_xlfn._xlws.SORT(_xlfn.UNIQUE(Table1[home_gym_location])),0),"000")</f>
        <v>FRESNO-003</v>
      </c>
      <c r="AO606" t="str">
        <f>LEFT(_xlfn.TEXTBEFORE(Table1[[#This Row],[Location Identifier]],"-"),3) &amp; "-" &amp; _xlfn.TEXTAFTER(Table1[[#This Row],[Location Identifier]],"-")</f>
        <v>FRE-003</v>
      </c>
      <c r="AP606" s="9">
        <f t="shared" ca="1" si="90"/>
        <v>45869</v>
      </c>
    </row>
    <row r="607" spans="1:42" x14ac:dyDescent="0.25">
      <c r="A607">
        <v>33</v>
      </c>
      <c r="B607" t="s">
        <v>26</v>
      </c>
      <c r="C607">
        <v>2</v>
      </c>
      <c r="D607" t="s">
        <v>27</v>
      </c>
      <c r="E607" t="b">
        <v>1</v>
      </c>
      <c r="F607" s="1">
        <v>0.62222222222222223</v>
      </c>
      <c r="G607" s="1">
        <v>0.6645833333333333</v>
      </c>
      <c r="H607">
        <v>61</v>
      </c>
      <c r="I607" t="b">
        <v>1</v>
      </c>
      <c r="J607" t="b">
        <v>1</v>
      </c>
      <c r="K607" t="b">
        <v>1</v>
      </c>
      <c r="L607" t="s">
        <v>62</v>
      </c>
      <c r="M607">
        <v>50</v>
      </c>
      <c r="N607" t="s">
        <v>29</v>
      </c>
      <c r="O607">
        <v>50</v>
      </c>
      <c r="P607" t="s">
        <v>36</v>
      </c>
      <c r="Q607">
        <v>0</v>
      </c>
      <c r="R607">
        <v>50</v>
      </c>
      <c r="S607" t="s">
        <v>31</v>
      </c>
      <c r="T607" t="s">
        <v>38</v>
      </c>
      <c r="U607">
        <v>36.7378</v>
      </c>
      <c r="V607">
        <v>-119.7871</v>
      </c>
      <c r="W607" s="2">
        <v>45611</v>
      </c>
      <c r="X607">
        <v>6</v>
      </c>
      <c r="Y607" t="b">
        <v>1</v>
      </c>
      <c r="Z607" s="2">
        <v>45848</v>
      </c>
      <c r="AA607" t="str">
        <f t="shared" si="91"/>
        <v>30–39</v>
      </c>
      <c r="AB607" t="str">
        <f t="shared" si="92"/>
        <v>30–39</v>
      </c>
      <c r="AC607" t="str">
        <f t="shared" si="93"/>
        <v/>
      </c>
      <c r="AD607" t="str">
        <f t="shared" si="94"/>
        <v/>
      </c>
      <c r="AE607" t="str">
        <f t="shared" si="95"/>
        <v/>
      </c>
      <c r="AF607" t="str">
        <f t="shared" si="96"/>
        <v>Thursday</v>
      </c>
      <c r="AG607" t="str">
        <f t="shared" si="97"/>
        <v/>
      </c>
      <c r="AH607" t="str">
        <f t="shared" si="98"/>
        <v>Saturday</v>
      </c>
      <c r="AI607" t="str">
        <f t="shared" si="99"/>
        <v/>
      </c>
      <c r="AJ607" t="str">
        <f>LEFT(Table1[[#This Row],[membership_type]],2)&amp;TEXT(Table1[[#This Row],[age]],"00")&amp;"-"&amp;TEXT(ROW(),"000")</f>
        <v>Pr33-607</v>
      </c>
      <c r="AK607" t="str">
        <f>LEFT(Table1[[#This Row],[membership_type]],1)&amp;TEXT(MATCH(Table1[[#This Row],[membership_type]],Table1[membership_type],0),"00")</f>
        <v>P01</v>
      </c>
      <c r="AL607" t="str">
        <f>LEFT(Table1[[#This Row],[discount_type]],1)&amp;TEXT(ROUND(Table1[[#This Row],[discount_rate]]*100,0),"00")</f>
        <v>N00</v>
      </c>
      <c r="AM607" t="str" cm="1">
        <f t="array" ref="AM607">TEXT(SUMPRODUCT(CODE(MID(Table1[[#This Row],[home_gym_location]],_xlfn.SEQUENCE(LEN(Table1[[#This Row],[home_gym_location]])),1))),"00000")</f>
        <v>00829</v>
      </c>
      <c r="AN607" t="str">
        <f>UPPER(_xlfn.TEXTBEFORE(Table1[[#This Row],[home_gym_location]],","))&amp;"-"&amp;TEXT(MATCH(Table1[[#This Row],[home_gym_location]],_xlfn._xlws.SORT(_xlfn.UNIQUE(Table1[home_gym_location])),0),"000")</f>
        <v>FRESNO-003</v>
      </c>
      <c r="AO607" t="str">
        <f>LEFT(_xlfn.TEXTBEFORE(Table1[[#This Row],[Location Identifier]],"-"),3) &amp; "-" &amp; _xlfn.TEXTAFTER(Table1[[#This Row],[Location Identifier]],"-")</f>
        <v>FRE-003</v>
      </c>
      <c r="AP607" s="9">
        <f t="shared" ca="1" si="90"/>
        <v>45869</v>
      </c>
    </row>
    <row r="608" spans="1:42" x14ac:dyDescent="0.25">
      <c r="A608">
        <v>49</v>
      </c>
      <c r="B608" t="s">
        <v>26</v>
      </c>
      <c r="C608">
        <v>3</v>
      </c>
      <c r="D608" t="s">
        <v>55</v>
      </c>
      <c r="E608" t="b">
        <v>0</v>
      </c>
      <c r="F608" s="1">
        <v>0.71944444444444444</v>
      </c>
      <c r="G608" s="1">
        <v>0.82777777777777772</v>
      </c>
      <c r="H608">
        <v>156</v>
      </c>
      <c r="I608" t="b">
        <v>1</v>
      </c>
      <c r="J608" t="b">
        <v>0</v>
      </c>
      <c r="K608" t="b">
        <v>0</v>
      </c>
      <c r="L608" t="s">
        <v>47</v>
      </c>
      <c r="M608">
        <v>50</v>
      </c>
      <c r="N608" t="s">
        <v>29</v>
      </c>
      <c r="O608">
        <v>50</v>
      </c>
      <c r="P608" t="s">
        <v>36</v>
      </c>
      <c r="Q608">
        <v>0</v>
      </c>
      <c r="R608">
        <v>50</v>
      </c>
      <c r="S608" t="s">
        <v>31</v>
      </c>
      <c r="T608" t="s">
        <v>56</v>
      </c>
      <c r="U608">
        <v>35.3733</v>
      </c>
      <c r="V608">
        <v>-119.0187</v>
      </c>
      <c r="W608" s="2">
        <v>45443</v>
      </c>
      <c r="X608">
        <v>0</v>
      </c>
      <c r="Y608" t="b">
        <v>1</v>
      </c>
      <c r="Z608" s="2">
        <v>45839</v>
      </c>
      <c r="AA608" t="str">
        <f t="shared" si="91"/>
        <v>40–49</v>
      </c>
      <c r="AB608" t="str">
        <f t="shared" si="92"/>
        <v>40–49</v>
      </c>
      <c r="AC608" t="str">
        <f t="shared" si="93"/>
        <v/>
      </c>
      <c r="AD608" t="str">
        <f t="shared" si="94"/>
        <v/>
      </c>
      <c r="AE608" t="str">
        <f t="shared" si="95"/>
        <v/>
      </c>
      <c r="AF608" t="str">
        <f t="shared" si="96"/>
        <v>Thursday</v>
      </c>
      <c r="AG608" t="str">
        <f t="shared" si="97"/>
        <v>Friday</v>
      </c>
      <c r="AH608" t="str">
        <f t="shared" si="98"/>
        <v/>
      </c>
      <c r="AI608" t="str">
        <f t="shared" si="99"/>
        <v>Sunday</v>
      </c>
      <c r="AJ608" t="str">
        <f>LEFT(Table1[[#This Row],[membership_type]],2)&amp;TEXT(Table1[[#This Row],[age]],"00")&amp;"-"&amp;TEXT(ROW(),"000")</f>
        <v>Pr49-608</v>
      </c>
      <c r="AK608" t="str">
        <f>LEFT(Table1[[#This Row],[membership_type]],1)&amp;TEXT(MATCH(Table1[[#This Row],[membership_type]],Table1[membership_type],0),"00")</f>
        <v>P01</v>
      </c>
      <c r="AL608" t="str">
        <f>LEFT(Table1[[#This Row],[discount_type]],1)&amp;TEXT(ROUND(Table1[[#This Row],[discount_rate]]*100,0),"00")</f>
        <v>N00</v>
      </c>
      <c r="AM608" t="str" cm="1">
        <f t="array" ref="AM608">TEXT(SUMPRODUCT(CODE(MID(Table1[[#This Row],[home_gym_location]],_xlfn.SEQUENCE(LEN(Table1[[#This Row],[home_gym_location]])),1))),"00000")</f>
        <v>01324</v>
      </c>
      <c r="AN60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08" t="str">
        <f>LEFT(_xlfn.TEXTBEFORE(Table1[[#This Row],[Location Identifier]],"-"),3) &amp; "-" &amp; _xlfn.TEXTAFTER(Table1[[#This Row],[Location Identifier]],"-")</f>
        <v>BAK-002</v>
      </c>
      <c r="AP608" s="9">
        <f t="shared" ca="1" si="90"/>
        <v>45869</v>
      </c>
    </row>
    <row r="609" spans="1:42" x14ac:dyDescent="0.25">
      <c r="A609">
        <v>27</v>
      </c>
      <c r="B609" t="s">
        <v>51</v>
      </c>
      <c r="C609">
        <v>3</v>
      </c>
      <c r="D609" t="s">
        <v>57</v>
      </c>
      <c r="E609" t="b">
        <v>0</v>
      </c>
      <c r="F609" s="1">
        <v>0.84583333333333333</v>
      </c>
      <c r="G609" s="1">
        <v>0.93055555555555558</v>
      </c>
      <c r="H609">
        <v>122</v>
      </c>
      <c r="I609" t="b">
        <v>1</v>
      </c>
      <c r="J609" t="b">
        <v>1</v>
      </c>
      <c r="K609" t="b">
        <v>0</v>
      </c>
      <c r="L609" t="s">
        <v>28</v>
      </c>
      <c r="M609">
        <v>70</v>
      </c>
      <c r="N609" t="s">
        <v>64</v>
      </c>
      <c r="O609">
        <v>52.5</v>
      </c>
      <c r="P609" t="s">
        <v>40</v>
      </c>
      <c r="Q609">
        <v>0.1</v>
      </c>
      <c r="R609">
        <v>47.25</v>
      </c>
      <c r="S609" t="s">
        <v>53</v>
      </c>
      <c r="T609" t="s">
        <v>56</v>
      </c>
      <c r="U609">
        <v>35.3733</v>
      </c>
      <c r="V609">
        <v>-119.0187</v>
      </c>
      <c r="W609" s="2">
        <v>45294</v>
      </c>
      <c r="X609">
        <v>1</v>
      </c>
      <c r="Y609" t="b">
        <v>1</v>
      </c>
      <c r="Z609" s="2">
        <v>45830</v>
      </c>
      <c r="AA609" t="str">
        <f t="shared" si="91"/>
        <v>20–29</v>
      </c>
      <c r="AB609" t="str">
        <f t="shared" si="92"/>
        <v>20–29</v>
      </c>
      <c r="AC609" t="str">
        <f t="shared" si="93"/>
        <v/>
      </c>
      <c r="AD609" t="str">
        <f t="shared" si="94"/>
        <v/>
      </c>
      <c r="AE609" t="str">
        <f t="shared" si="95"/>
        <v>Wednesday</v>
      </c>
      <c r="AF609" t="str">
        <f t="shared" si="96"/>
        <v>Thursday</v>
      </c>
      <c r="AG609" t="str">
        <f t="shared" si="97"/>
        <v/>
      </c>
      <c r="AH609" t="str">
        <f t="shared" si="98"/>
        <v>Saturday</v>
      </c>
      <c r="AI609" t="str">
        <f t="shared" si="99"/>
        <v/>
      </c>
      <c r="AJ609" t="str">
        <f>LEFT(Table1[[#This Row],[membership_type]],2)&amp;TEXT(Table1[[#This Row],[age]],"00")&amp;"-"&amp;TEXT(ROW(),"000")</f>
        <v>El27-609</v>
      </c>
      <c r="AK609" t="str">
        <f>LEFT(Table1[[#This Row],[membership_type]],1)&amp;TEXT(MATCH(Table1[[#This Row],[membership_type]],Table1[membership_type],0),"00")</f>
        <v>E07</v>
      </c>
      <c r="AL609" t="str">
        <f>LEFT(Table1[[#This Row],[discount_type]],1)&amp;TEXT(ROUND(Table1[[#This Row],[discount_rate]]*100,0),"00")</f>
        <v>L10</v>
      </c>
      <c r="AM609" t="str" cm="1">
        <f t="array" ref="AM609">TEXT(SUMPRODUCT(CODE(MID(Table1[[#This Row],[home_gym_location]],_xlfn.SEQUENCE(LEN(Table1[[#This Row],[home_gym_location]])),1))),"00000")</f>
        <v>01324</v>
      </c>
      <c r="AN60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09" t="str">
        <f>LEFT(_xlfn.TEXTBEFORE(Table1[[#This Row],[Location Identifier]],"-"),3) &amp; "-" &amp; _xlfn.TEXTAFTER(Table1[[#This Row],[Location Identifier]],"-")</f>
        <v>BAK-002</v>
      </c>
      <c r="AP609" s="9">
        <f t="shared" ca="1" si="90"/>
        <v>45869</v>
      </c>
    </row>
    <row r="610" spans="1:42" x14ac:dyDescent="0.25">
      <c r="A610">
        <v>29</v>
      </c>
      <c r="B610" t="s">
        <v>33</v>
      </c>
      <c r="C610">
        <v>1</v>
      </c>
      <c r="D610" t="s">
        <v>67</v>
      </c>
      <c r="E610" t="b">
        <v>1</v>
      </c>
      <c r="F610" s="1">
        <v>0.43402777777777779</v>
      </c>
      <c r="G610" s="1">
        <v>0.50277777777777777</v>
      </c>
      <c r="H610">
        <v>99</v>
      </c>
      <c r="I610" t="b">
        <v>1</v>
      </c>
      <c r="J610" t="b">
        <v>1</v>
      </c>
      <c r="K610" t="b">
        <v>0</v>
      </c>
      <c r="L610" t="s">
        <v>28</v>
      </c>
      <c r="M610">
        <v>30</v>
      </c>
      <c r="N610" t="s">
        <v>29</v>
      </c>
      <c r="O610">
        <v>30</v>
      </c>
      <c r="P610" t="s">
        <v>36</v>
      </c>
      <c r="Q610">
        <v>0</v>
      </c>
      <c r="R610">
        <v>30</v>
      </c>
      <c r="S610" t="s">
        <v>37</v>
      </c>
      <c r="T610" t="s">
        <v>45</v>
      </c>
      <c r="U610">
        <v>33.836599999999997</v>
      </c>
      <c r="V610">
        <v>-117.9143</v>
      </c>
      <c r="W610" s="2">
        <v>45095</v>
      </c>
      <c r="X610">
        <v>5</v>
      </c>
      <c r="Y610" t="b">
        <v>0</v>
      </c>
      <c r="Z610" s="2">
        <v>45819</v>
      </c>
      <c r="AA610" t="str">
        <f t="shared" si="91"/>
        <v>20–29</v>
      </c>
      <c r="AB610" t="str">
        <f t="shared" si="92"/>
        <v>20–29</v>
      </c>
      <c r="AC610" t="str">
        <f t="shared" si="93"/>
        <v/>
      </c>
      <c r="AD610" t="str">
        <f t="shared" si="94"/>
        <v/>
      </c>
      <c r="AE610" t="str">
        <f t="shared" si="95"/>
        <v/>
      </c>
      <c r="AF610" t="str">
        <f t="shared" si="96"/>
        <v>Thursday</v>
      </c>
      <c r="AG610" t="str">
        <f t="shared" si="97"/>
        <v/>
      </c>
      <c r="AH610" t="str">
        <f t="shared" si="98"/>
        <v/>
      </c>
      <c r="AI610" t="str">
        <f t="shared" si="99"/>
        <v/>
      </c>
      <c r="AJ610" t="str">
        <f>LEFT(Table1[[#This Row],[membership_type]],2)&amp;TEXT(Table1[[#This Row],[age]],"00")&amp;"-"&amp;TEXT(ROW(),"000")</f>
        <v>St29-610</v>
      </c>
      <c r="AK610" t="str">
        <f>LEFT(Table1[[#This Row],[membership_type]],1)&amp;TEXT(MATCH(Table1[[#This Row],[membership_type]],Table1[membership_type],0),"00")</f>
        <v>S02</v>
      </c>
      <c r="AL610" t="str">
        <f>LEFT(Table1[[#This Row],[discount_type]],1)&amp;TEXT(ROUND(Table1[[#This Row],[discount_rate]]*100,0),"00")</f>
        <v>N00</v>
      </c>
      <c r="AM610" t="str" cm="1">
        <f t="array" ref="AM610">TEXT(SUMPRODUCT(CODE(MID(Table1[[#This Row],[home_gym_location]],_xlfn.SEQUENCE(LEN(Table1[[#This Row],[home_gym_location]])),1))),"00000")</f>
        <v>00899</v>
      </c>
      <c r="AN610" t="str">
        <f>UPPER(_xlfn.TEXTBEFORE(Table1[[#This Row],[home_gym_location]],","))&amp;"-"&amp;TEXT(MATCH(Table1[[#This Row],[home_gym_location]],_xlfn._xlws.SORT(_xlfn.UNIQUE(Table1[home_gym_location])),0),"000")</f>
        <v>ANAHEIM-001</v>
      </c>
      <c r="AO610" t="str">
        <f>LEFT(_xlfn.TEXTBEFORE(Table1[[#This Row],[Location Identifier]],"-"),3) &amp; "-" &amp; _xlfn.TEXTAFTER(Table1[[#This Row],[Location Identifier]],"-")</f>
        <v>ANA-001</v>
      </c>
      <c r="AP610" s="9">
        <f t="shared" ca="1" si="90"/>
        <v>45869</v>
      </c>
    </row>
    <row r="611" spans="1:42" x14ac:dyDescent="0.25">
      <c r="A611">
        <v>38</v>
      </c>
      <c r="B611" t="s">
        <v>42</v>
      </c>
      <c r="C611">
        <v>5</v>
      </c>
      <c r="D611" t="s">
        <v>160</v>
      </c>
      <c r="E611" t="b">
        <v>0</v>
      </c>
      <c r="F611" s="1">
        <v>0.3576388888888889</v>
      </c>
      <c r="G611" s="1">
        <v>0.45555555555555555</v>
      </c>
      <c r="H611">
        <v>141</v>
      </c>
      <c r="I611" t="b">
        <v>1</v>
      </c>
      <c r="J611" t="b">
        <v>1</v>
      </c>
      <c r="K611" t="b">
        <v>0</v>
      </c>
      <c r="L611" t="s">
        <v>28</v>
      </c>
      <c r="M611">
        <v>20</v>
      </c>
      <c r="N611" t="s">
        <v>29</v>
      </c>
      <c r="O611">
        <v>20</v>
      </c>
      <c r="P611" t="s">
        <v>36</v>
      </c>
      <c r="Q611">
        <v>0</v>
      </c>
      <c r="R611">
        <v>20</v>
      </c>
      <c r="S611" t="s">
        <v>44</v>
      </c>
      <c r="T611" t="s">
        <v>32</v>
      </c>
      <c r="U611">
        <v>37.338200000000001</v>
      </c>
      <c r="V611">
        <v>-121.88630000000001</v>
      </c>
      <c r="W611" s="2">
        <v>45789</v>
      </c>
      <c r="X611">
        <v>4</v>
      </c>
      <c r="Y611" t="b">
        <v>1</v>
      </c>
      <c r="Z611" s="2">
        <v>45858</v>
      </c>
      <c r="AA611" t="str">
        <f t="shared" si="91"/>
        <v>30–39</v>
      </c>
      <c r="AB611" t="str">
        <f t="shared" si="92"/>
        <v>30–39</v>
      </c>
      <c r="AC611" t="str">
        <f t="shared" si="93"/>
        <v>Monday</v>
      </c>
      <c r="AD611" t="str">
        <f t="shared" si="94"/>
        <v>Tuesday</v>
      </c>
      <c r="AE611" t="str">
        <f t="shared" si="95"/>
        <v/>
      </c>
      <c r="AF611" t="str">
        <f t="shared" si="96"/>
        <v>Thursday</v>
      </c>
      <c r="AG611" t="str">
        <f t="shared" si="97"/>
        <v/>
      </c>
      <c r="AH611" t="str">
        <f t="shared" si="98"/>
        <v>Saturday</v>
      </c>
      <c r="AI611" t="str">
        <f t="shared" si="99"/>
        <v>Sunday</v>
      </c>
      <c r="AJ611" t="str">
        <f>LEFT(Table1[[#This Row],[membership_type]],2)&amp;TEXT(Table1[[#This Row],[age]],"00")&amp;"-"&amp;TEXT(ROW(),"000")</f>
        <v>Ba38-611</v>
      </c>
      <c r="AK611" t="str">
        <f>LEFT(Table1[[#This Row],[membership_type]],1)&amp;TEXT(MATCH(Table1[[#This Row],[membership_type]],Table1[membership_type],0),"00")</f>
        <v>B04</v>
      </c>
      <c r="AL611" t="str">
        <f>LEFT(Table1[[#This Row],[discount_type]],1)&amp;TEXT(ROUND(Table1[[#This Row],[discount_rate]]*100,0),"00")</f>
        <v>N00</v>
      </c>
      <c r="AM611" t="str" cm="1">
        <f t="array" ref="AM611">TEXT(SUMPRODUCT(CODE(MID(Table1[[#This Row],[home_gym_location]],_xlfn.SEQUENCE(LEN(Table1[[#This Row],[home_gym_location]])),1))),"00000")</f>
        <v>00931</v>
      </c>
      <c r="AN61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11" t="str">
        <f>LEFT(_xlfn.TEXTBEFORE(Table1[[#This Row],[Location Identifier]],"-"),3) &amp; "-" &amp; _xlfn.TEXTAFTER(Table1[[#This Row],[Location Identifier]],"-")</f>
        <v>SAN-010</v>
      </c>
      <c r="AP611" s="9">
        <f t="shared" ca="1" si="90"/>
        <v>45869</v>
      </c>
    </row>
    <row r="612" spans="1:42" x14ac:dyDescent="0.25">
      <c r="A612">
        <v>34</v>
      </c>
      <c r="B612" t="s">
        <v>33</v>
      </c>
      <c r="C612">
        <v>2</v>
      </c>
      <c r="D612" t="s">
        <v>101</v>
      </c>
      <c r="E612" t="b">
        <v>0</v>
      </c>
      <c r="F612" s="1">
        <v>0.70902777777777781</v>
      </c>
      <c r="G612" s="1">
        <v>0.79791666666666672</v>
      </c>
      <c r="H612">
        <v>128</v>
      </c>
      <c r="I612" t="b">
        <v>0</v>
      </c>
      <c r="J612" t="b">
        <v>1</v>
      </c>
      <c r="K612" t="b">
        <v>0</v>
      </c>
      <c r="L612" t="s">
        <v>47</v>
      </c>
      <c r="M612">
        <v>30</v>
      </c>
      <c r="N612" t="s">
        <v>29</v>
      </c>
      <c r="O612">
        <v>30</v>
      </c>
      <c r="P612" t="s">
        <v>36</v>
      </c>
      <c r="Q612">
        <v>0</v>
      </c>
      <c r="R612">
        <v>30</v>
      </c>
      <c r="S612" t="s">
        <v>37</v>
      </c>
      <c r="T612" t="s">
        <v>38</v>
      </c>
      <c r="U612">
        <v>36.7378</v>
      </c>
      <c r="V612">
        <v>-119.7871</v>
      </c>
      <c r="W612" s="2">
        <v>44979</v>
      </c>
      <c r="X612">
        <v>3</v>
      </c>
      <c r="Y612" t="b">
        <v>0</v>
      </c>
      <c r="Z612" s="2">
        <v>45813</v>
      </c>
      <c r="AA612" t="str">
        <f t="shared" si="91"/>
        <v>30–39</v>
      </c>
      <c r="AB612" t="str">
        <f t="shared" si="92"/>
        <v>30–39</v>
      </c>
      <c r="AC612" t="str">
        <f t="shared" si="93"/>
        <v>Monday</v>
      </c>
      <c r="AD612" t="str">
        <f t="shared" si="94"/>
        <v/>
      </c>
      <c r="AE612" t="str">
        <f t="shared" si="95"/>
        <v/>
      </c>
      <c r="AF612" t="str">
        <f t="shared" si="96"/>
        <v/>
      </c>
      <c r="AG612" t="str">
        <f t="shared" si="97"/>
        <v>Friday</v>
      </c>
      <c r="AH612" t="str">
        <f t="shared" si="98"/>
        <v/>
      </c>
      <c r="AI612" t="str">
        <f t="shared" si="99"/>
        <v/>
      </c>
      <c r="AJ612" t="str">
        <f>LEFT(Table1[[#This Row],[membership_type]],2)&amp;TEXT(Table1[[#This Row],[age]],"00")&amp;"-"&amp;TEXT(ROW(),"000")</f>
        <v>St34-612</v>
      </c>
      <c r="AK612" t="str">
        <f>LEFT(Table1[[#This Row],[membership_type]],1)&amp;TEXT(MATCH(Table1[[#This Row],[membership_type]],Table1[membership_type],0),"00")</f>
        <v>S02</v>
      </c>
      <c r="AL612" t="str">
        <f>LEFT(Table1[[#This Row],[discount_type]],1)&amp;TEXT(ROUND(Table1[[#This Row],[discount_rate]]*100,0),"00")</f>
        <v>N00</v>
      </c>
      <c r="AM612" t="str" cm="1">
        <f t="array" ref="AM612">TEXT(SUMPRODUCT(CODE(MID(Table1[[#This Row],[home_gym_location]],_xlfn.SEQUENCE(LEN(Table1[[#This Row],[home_gym_location]])),1))),"00000")</f>
        <v>00829</v>
      </c>
      <c r="AN612" t="str">
        <f>UPPER(_xlfn.TEXTBEFORE(Table1[[#This Row],[home_gym_location]],","))&amp;"-"&amp;TEXT(MATCH(Table1[[#This Row],[home_gym_location]],_xlfn._xlws.SORT(_xlfn.UNIQUE(Table1[home_gym_location])),0),"000")</f>
        <v>FRESNO-003</v>
      </c>
      <c r="AO612" t="str">
        <f>LEFT(_xlfn.TEXTBEFORE(Table1[[#This Row],[Location Identifier]],"-"),3) &amp; "-" &amp; _xlfn.TEXTAFTER(Table1[[#This Row],[Location Identifier]],"-")</f>
        <v>FRE-003</v>
      </c>
      <c r="AP612" s="9">
        <f t="shared" ca="1" si="90"/>
        <v>45869</v>
      </c>
    </row>
    <row r="613" spans="1:42" x14ac:dyDescent="0.25">
      <c r="A613">
        <v>32</v>
      </c>
      <c r="B613" t="s">
        <v>26</v>
      </c>
      <c r="C613">
        <v>1</v>
      </c>
      <c r="D613" t="s">
        <v>95</v>
      </c>
      <c r="E613" t="b">
        <v>0</v>
      </c>
      <c r="F613" s="1">
        <v>0.74861111111111112</v>
      </c>
      <c r="G613" s="1">
        <v>0.83194444444444449</v>
      </c>
      <c r="H613">
        <v>120</v>
      </c>
      <c r="I613" t="b">
        <v>1</v>
      </c>
      <c r="J613" t="b">
        <v>0</v>
      </c>
      <c r="K613" t="b">
        <v>1</v>
      </c>
      <c r="L613" t="s">
        <v>47</v>
      </c>
      <c r="M613">
        <v>50</v>
      </c>
      <c r="N613" t="s">
        <v>64</v>
      </c>
      <c r="O613">
        <v>37.5</v>
      </c>
      <c r="P613" t="s">
        <v>36</v>
      </c>
      <c r="Q613">
        <v>0</v>
      </c>
      <c r="R613">
        <v>37.5</v>
      </c>
      <c r="S613" t="s">
        <v>31</v>
      </c>
      <c r="T613" t="s">
        <v>41</v>
      </c>
      <c r="U613">
        <v>37.804400000000001</v>
      </c>
      <c r="V613">
        <v>-122.27119999999999</v>
      </c>
      <c r="W613" s="2">
        <v>45162</v>
      </c>
      <c r="X613">
        <v>0</v>
      </c>
      <c r="Y613" t="b">
        <v>0</v>
      </c>
      <c r="Z613" s="2">
        <v>45823</v>
      </c>
      <c r="AA613" t="str">
        <f t="shared" si="91"/>
        <v>30–39</v>
      </c>
      <c r="AB613" t="str">
        <f t="shared" si="92"/>
        <v>30–39</v>
      </c>
      <c r="AC613" t="str">
        <f t="shared" si="93"/>
        <v/>
      </c>
      <c r="AD613" t="str">
        <f t="shared" si="94"/>
        <v/>
      </c>
      <c r="AE613" t="str">
        <f t="shared" si="95"/>
        <v/>
      </c>
      <c r="AF613" t="str">
        <f t="shared" si="96"/>
        <v/>
      </c>
      <c r="AG613" t="str">
        <f t="shared" si="97"/>
        <v/>
      </c>
      <c r="AH613" t="str">
        <f t="shared" si="98"/>
        <v>Saturday</v>
      </c>
      <c r="AI613" t="str">
        <f t="shared" si="99"/>
        <v/>
      </c>
      <c r="AJ613" t="str">
        <f>LEFT(Table1[[#This Row],[membership_type]],2)&amp;TEXT(Table1[[#This Row],[age]],"00")&amp;"-"&amp;TEXT(ROW(),"000")</f>
        <v>Pr32-613</v>
      </c>
      <c r="AK613" t="str">
        <f>LEFT(Table1[[#This Row],[membership_type]],1)&amp;TEXT(MATCH(Table1[[#This Row],[membership_type]],Table1[membership_type],0),"00")</f>
        <v>P01</v>
      </c>
      <c r="AL613" t="str">
        <f>LEFT(Table1[[#This Row],[discount_type]],1)&amp;TEXT(ROUND(Table1[[#This Row],[discount_rate]]*100,0),"00")</f>
        <v>N00</v>
      </c>
      <c r="AM613" t="str" cm="1">
        <f t="array" ref="AM613">TEXT(SUMPRODUCT(CODE(MID(Table1[[#This Row],[home_gym_location]],_xlfn.SEQUENCE(LEN(Table1[[#This Row],[home_gym_location]])),1))),"00000")</f>
        <v>00906</v>
      </c>
      <c r="AN613" t="str">
        <f>UPPER(_xlfn.TEXTBEFORE(Table1[[#This Row],[home_gym_location]],","))&amp;"-"&amp;TEXT(MATCH(Table1[[#This Row],[home_gym_location]],_xlfn._xlws.SORT(_xlfn.UNIQUE(Table1[home_gym_location])),0),"000")</f>
        <v>OAKLAND-006</v>
      </c>
      <c r="AO613" t="str">
        <f>LEFT(_xlfn.TEXTBEFORE(Table1[[#This Row],[Location Identifier]],"-"),3) &amp; "-" &amp; _xlfn.TEXTAFTER(Table1[[#This Row],[Location Identifier]],"-")</f>
        <v>OAK-006</v>
      </c>
      <c r="AP613" s="9">
        <f t="shared" ca="1" si="90"/>
        <v>45869</v>
      </c>
    </row>
    <row r="614" spans="1:42" x14ac:dyDescent="0.25">
      <c r="A614">
        <v>48</v>
      </c>
      <c r="B614" t="s">
        <v>26</v>
      </c>
      <c r="C614">
        <v>1</v>
      </c>
      <c r="D614" t="s">
        <v>71</v>
      </c>
      <c r="E614" t="b">
        <v>1</v>
      </c>
      <c r="F614" s="1">
        <v>0.81180555555555556</v>
      </c>
      <c r="G614" s="1">
        <v>0.93125000000000002</v>
      </c>
      <c r="H614">
        <v>172</v>
      </c>
      <c r="I614" t="b">
        <v>1</v>
      </c>
      <c r="J614" t="b">
        <v>0</v>
      </c>
      <c r="K614" t="b">
        <v>1</v>
      </c>
      <c r="L614" t="s">
        <v>28</v>
      </c>
      <c r="M614">
        <v>50</v>
      </c>
      <c r="N614" t="s">
        <v>29</v>
      </c>
      <c r="O614">
        <v>50</v>
      </c>
      <c r="P614" t="s">
        <v>74</v>
      </c>
      <c r="Q614">
        <v>0.15</v>
      </c>
      <c r="R614">
        <v>42.5</v>
      </c>
      <c r="S614" t="s">
        <v>31</v>
      </c>
      <c r="T614" t="s">
        <v>41</v>
      </c>
      <c r="U614">
        <v>37.804400000000001</v>
      </c>
      <c r="V614">
        <v>-122.27119999999999</v>
      </c>
      <c r="W614" s="2">
        <v>45743</v>
      </c>
      <c r="X614">
        <v>0</v>
      </c>
      <c r="Y614" t="b">
        <v>0</v>
      </c>
      <c r="Z614" s="2">
        <v>45856</v>
      </c>
      <c r="AA614" t="str">
        <f t="shared" si="91"/>
        <v>40–49</v>
      </c>
      <c r="AB614" t="str">
        <f t="shared" si="92"/>
        <v>40–49</v>
      </c>
      <c r="AC614" t="str">
        <f t="shared" si="93"/>
        <v/>
      </c>
      <c r="AD614" t="str">
        <f t="shared" si="94"/>
        <v>Tuesday</v>
      </c>
      <c r="AE614" t="str">
        <f t="shared" si="95"/>
        <v/>
      </c>
      <c r="AF614" t="str">
        <f t="shared" si="96"/>
        <v/>
      </c>
      <c r="AG614" t="str">
        <f t="shared" si="97"/>
        <v/>
      </c>
      <c r="AH614" t="str">
        <f t="shared" si="98"/>
        <v/>
      </c>
      <c r="AI614" t="str">
        <f t="shared" si="99"/>
        <v/>
      </c>
      <c r="AJ614" t="str">
        <f>LEFT(Table1[[#This Row],[membership_type]],2)&amp;TEXT(Table1[[#This Row],[age]],"00")&amp;"-"&amp;TEXT(ROW(),"000")</f>
        <v>Pr48-614</v>
      </c>
      <c r="AK614" t="str">
        <f>LEFT(Table1[[#This Row],[membership_type]],1)&amp;TEXT(MATCH(Table1[[#This Row],[membership_type]],Table1[membership_type],0),"00")</f>
        <v>P01</v>
      </c>
      <c r="AL614" t="str">
        <f>LEFT(Table1[[#This Row],[discount_type]],1)&amp;TEXT(ROUND(Table1[[#This Row],[discount_rate]]*100,0),"00")</f>
        <v>S15</v>
      </c>
      <c r="AM614" t="str" cm="1">
        <f t="array" ref="AM614">TEXT(SUMPRODUCT(CODE(MID(Table1[[#This Row],[home_gym_location]],_xlfn.SEQUENCE(LEN(Table1[[#This Row],[home_gym_location]])),1))),"00000")</f>
        <v>00906</v>
      </c>
      <c r="AN614" t="str">
        <f>UPPER(_xlfn.TEXTBEFORE(Table1[[#This Row],[home_gym_location]],","))&amp;"-"&amp;TEXT(MATCH(Table1[[#This Row],[home_gym_location]],_xlfn._xlws.SORT(_xlfn.UNIQUE(Table1[home_gym_location])),0),"000")</f>
        <v>OAKLAND-006</v>
      </c>
      <c r="AO614" t="str">
        <f>LEFT(_xlfn.TEXTBEFORE(Table1[[#This Row],[Location Identifier]],"-"),3) &amp; "-" &amp; _xlfn.TEXTAFTER(Table1[[#This Row],[Location Identifier]],"-")</f>
        <v>OAK-006</v>
      </c>
      <c r="AP614" s="9">
        <f t="shared" ca="1" si="90"/>
        <v>45869</v>
      </c>
    </row>
    <row r="615" spans="1:42" x14ac:dyDescent="0.25">
      <c r="A615">
        <v>39</v>
      </c>
      <c r="B615" t="s">
        <v>26</v>
      </c>
      <c r="C615">
        <v>5</v>
      </c>
      <c r="D615" t="s">
        <v>72</v>
      </c>
      <c r="E615" t="b">
        <v>1</v>
      </c>
      <c r="F615" s="1">
        <v>0.53472222222222221</v>
      </c>
      <c r="G615" s="1">
        <v>0.62361111111111112</v>
      </c>
      <c r="H615">
        <v>128</v>
      </c>
      <c r="I615" t="b">
        <v>0</v>
      </c>
      <c r="J615" t="b">
        <v>1</v>
      </c>
      <c r="K615" t="b">
        <v>1</v>
      </c>
      <c r="L615" t="s">
        <v>28</v>
      </c>
      <c r="M615">
        <v>50</v>
      </c>
      <c r="N615" t="s">
        <v>64</v>
      </c>
      <c r="O615">
        <v>37.5</v>
      </c>
      <c r="P615" t="s">
        <v>30</v>
      </c>
      <c r="Q615">
        <v>0.05</v>
      </c>
      <c r="R615">
        <v>35.625</v>
      </c>
      <c r="S615" t="s">
        <v>31</v>
      </c>
      <c r="T615" t="s">
        <v>45</v>
      </c>
      <c r="U615">
        <v>33.836599999999997</v>
      </c>
      <c r="V615">
        <v>-117.9143</v>
      </c>
      <c r="W615" s="2">
        <v>44900</v>
      </c>
      <c r="X615">
        <v>6</v>
      </c>
      <c r="Y615" t="b">
        <v>0</v>
      </c>
      <c r="Z615" s="2">
        <v>45808</v>
      </c>
      <c r="AA615" t="str">
        <f t="shared" si="91"/>
        <v>30–39</v>
      </c>
      <c r="AB615" t="str">
        <f t="shared" si="92"/>
        <v>30–39</v>
      </c>
      <c r="AC615" t="str">
        <f t="shared" si="93"/>
        <v>Monday</v>
      </c>
      <c r="AD615" t="str">
        <f t="shared" si="94"/>
        <v/>
      </c>
      <c r="AE615" t="str">
        <f t="shared" si="95"/>
        <v>Wednesday</v>
      </c>
      <c r="AF615" t="str">
        <f t="shared" si="96"/>
        <v>Thursday</v>
      </c>
      <c r="AG615" t="str">
        <f t="shared" si="97"/>
        <v>Friday</v>
      </c>
      <c r="AH615" t="str">
        <f t="shared" si="98"/>
        <v/>
      </c>
      <c r="AI615" t="str">
        <f t="shared" si="99"/>
        <v>Sunday</v>
      </c>
      <c r="AJ615" t="str">
        <f>LEFT(Table1[[#This Row],[membership_type]],2)&amp;TEXT(Table1[[#This Row],[age]],"00")&amp;"-"&amp;TEXT(ROW(),"000")</f>
        <v>Pr39-615</v>
      </c>
      <c r="AK615" t="str">
        <f>LEFT(Table1[[#This Row],[membership_type]],1)&amp;TEXT(MATCH(Table1[[#This Row],[membership_type]],Table1[membership_type],0),"00")</f>
        <v>P01</v>
      </c>
      <c r="AL615" t="str">
        <f>LEFT(Table1[[#This Row],[discount_type]],1)&amp;TEXT(ROUND(Table1[[#This Row],[discount_rate]]*100,0),"00")</f>
        <v>P05</v>
      </c>
      <c r="AM615" t="str" cm="1">
        <f t="array" ref="AM615">TEXT(SUMPRODUCT(CODE(MID(Table1[[#This Row],[home_gym_location]],_xlfn.SEQUENCE(LEN(Table1[[#This Row],[home_gym_location]])),1))),"00000")</f>
        <v>00899</v>
      </c>
      <c r="AN615" t="str">
        <f>UPPER(_xlfn.TEXTBEFORE(Table1[[#This Row],[home_gym_location]],","))&amp;"-"&amp;TEXT(MATCH(Table1[[#This Row],[home_gym_location]],_xlfn._xlws.SORT(_xlfn.UNIQUE(Table1[home_gym_location])),0),"000")</f>
        <v>ANAHEIM-001</v>
      </c>
      <c r="AO615" t="str">
        <f>LEFT(_xlfn.TEXTBEFORE(Table1[[#This Row],[Location Identifier]],"-"),3) &amp; "-" &amp; _xlfn.TEXTAFTER(Table1[[#This Row],[Location Identifier]],"-")</f>
        <v>ANA-001</v>
      </c>
      <c r="AP615" s="9">
        <f t="shared" ca="1" si="90"/>
        <v>45869</v>
      </c>
    </row>
    <row r="616" spans="1:42" x14ac:dyDescent="0.25">
      <c r="A616">
        <v>40</v>
      </c>
      <c r="B616" t="s">
        <v>33</v>
      </c>
      <c r="C616">
        <v>3</v>
      </c>
      <c r="D616" t="s">
        <v>55</v>
      </c>
      <c r="E616" t="b">
        <v>1</v>
      </c>
      <c r="F616" s="1">
        <v>0.71180555555555558</v>
      </c>
      <c r="G616" s="1">
        <v>0.81874999999999998</v>
      </c>
      <c r="H616">
        <v>154</v>
      </c>
      <c r="I616" t="b">
        <v>0</v>
      </c>
      <c r="J616" t="b">
        <v>1</v>
      </c>
      <c r="K616" t="b">
        <v>0</v>
      </c>
      <c r="L616" t="s">
        <v>28</v>
      </c>
      <c r="M616">
        <v>30</v>
      </c>
      <c r="N616" t="s">
        <v>29</v>
      </c>
      <c r="O616">
        <v>30</v>
      </c>
      <c r="P616" t="s">
        <v>36</v>
      </c>
      <c r="Q616">
        <v>0</v>
      </c>
      <c r="R616">
        <v>30</v>
      </c>
      <c r="S616" t="s">
        <v>37</v>
      </c>
      <c r="T616" t="s">
        <v>38</v>
      </c>
      <c r="U616">
        <v>36.7378</v>
      </c>
      <c r="V616">
        <v>-119.7871</v>
      </c>
      <c r="W616" s="2">
        <v>44850</v>
      </c>
      <c r="X616">
        <v>7</v>
      </c>
      <c r="Y616" t="b">
        <v>0</v>
      </c>
      <c r="Z616" s="2">
        <v>45805</v>
      </c>
      <c r="AA616" t="str">
        <f t="shared" si="91"/>
        <v>40–49</v>
      </c>
      <c r="AB616" t="str">
        <f t="shared" si="92"/>
        <v>40–49</v>
      </c>
      <c r="AC616" t="str">
        <f t="shared" si="93"/>
        <v/>
      </c>
      <c r="AD616" t="str">
        <f t="shared" si="94"/>
        <v/>
      </c>
      <c r="AE616" t="str">
        <f t="shared" si="95"/>
        <v/>
      </c>
      <c r="AF616" t="str">
        <f t="shared" si="96"/>
        <v>Thursday</v>
      </c>
      <c r="AG616" t="str">
        <f t="shared" si="97"/>
        <v>Friday</v>
      </c>
      <c r="AH616" t="str">
        <f t="shared" si="98"/>
        <v/>
      </c>
      <c r="AI616" t="str">
        <f t="shared" si="99"/>
        <v>Sunday</v>
      </c>
      <c r="AJ616" t="str">
        <f>LEFT(Table1[[#This Row],[membership_type]],2)&amp;TEXT(Table1[[#This Row],[age]],"00")&amp;"-"&amp;TEXT(ROW(),"000")</f>
        <v>St40-616</v>
      </c>
      <c r="AK616" t="str">
        <f>LEFT(Table1[[#This Row],[membership_type]],1)&amp;TEXT(MATCH(Table1[[#This Row],[membership_type]],Table1[membership_type],0),"00")</f>
        <v>S02</v>
      </c>
      <c r="AL616" t="str">
        <f>LEFT(Table1[[#This Row],[discount_type]],1)&amp;TEXT(ROUND(Table1[[#This Row],[discount_rate]]*100,0),"00")</f>
        <v>N00</v>
      </c>
      <c r="AM616" t="str" cm="1">
        <f t="array" ref="AM616">TEXT(SUMPRODUCT(CODE(MID(Table1[[#This Row],[home_gym_location]],_xlfn.SEQUENCE(LEN(Table1[[#This Row],[home_gym_location]])),1))),"00000")</f>
        <v>00829</v>
      </c>
      <c r="AN616" t="str">
        <f>UPPER(_xlfn.TEXTBEFORE(Table1[[#This Row],[home_gym_location]],","))&amp;"-"&amp;TEXT(MATCH(Table1[[#This Row],[home_gym_location]],_xlfn._xlws.SORT(_xlfn.UNIQUE(Table1[home_gym_location])),0),"000")</f>
        <v>FRESNO-003</v>
      </c>
      <c r="AO616" t="str">
        <f>LEFT(_xlfn.TEXTBEFORE(Table1[[#This Row],[Location Identifier]],"-"),3) &amp; "-" &amp; _xlfn.TEXTAFTER(Table1[[#This Row],[Location Identifier]],"-")</f>
        <v>FRE-003</v>
      </c>
      <c r="AP616" s="9">
        <f t="shared" ca="1" si="90"/>
        <v>45869</v>
      </c>
    </row>
    <row r="617" spans="1:42" x14ac:dyDescent="0.25">
      <c r="A617">
        <v>39</v>
      </c>
      <c r="B617" t="s">
        <v>33</v>
      </c>
      <c r="C617">
        <v>2</v>
      </c>
      <c r="D617" t="s">
        <v>84</v>
      </c>
      <c r="E617" t="b">
        <v>1</v>
      </c>
      <c r="F617" s="1">
        <v>0.73819444444444449</v>
      </c>
      <c r="G617" s="1">
        <v>0.77500000000000002</v>
      </c>
      <c r="H617">
        <v>53</v>
      </c>
      <c r="I617" t="b">
        <v>0</v>
      </c>
      <c r="J617" t="b">
        <v>1</v>
      </c>
      <c r="K617" t="b">
        <v>1</v>
      </c>
      <c r="L617" t="s">
        <v>62</v>
      </c>
      <c r="M617">
        <v>30</v>
      </c>
      <c r="N617" t="s">
        <v>29</v>
      </c>
      <c r="O617">
        <v>30</v>
      </c>
      <c r="P617" t="s">
        <v>74</v>
      </c>
      <c r="Q617">
        <v>0.15</v>
      </c>
      <c r="R617">
        <v>25.5</v>
      </c>
      <c r="S617" t="s">
        <v>37</v>
      </c>
      <c r="T617" t="s">
        <v>59</v>
      </c>
      <c r="U617">
        <v>37.774900000000002</v>
      </c>
      <c r="V617">
        <v>-122.4194</v>
      </c>
      <c r="W617" s="2">
        <v>45765</v>
      </c>
      <c r="X617">
        <v>3</v>
      </c>
      <c r="Y617" t="b">
        <v>0</v>
      </c>
      <c r="Z617" s="2">
        <v>45857</v>
      </c>
      <c r="AA617" t="str">
        <f t="shared" si="91"/>
        <v>30–39</v>
      </c>
      <c r="AB617" t="str">
        <f t="shared" si="92"/>
        <v>30–39</v>
      </c>
      <c r="AC617" t="str">
        <f t="shared" si="93"/>
        <v/>
      </c>
      <c r="AD617" t="str">
        <f t="shared" si="94"/>
        <v>Tuesday</v>
      </c>
      <c r="AE617" t="str">
        <f t="shared" si="95"/>
        <v/>
      </c>
      <c r="AF617" t="str">
        <f t="shared" si="96"/>
        <v/>
      </c>
      <c r="AG617" t="str">
        <f t="shared" si="97"/>
        <v/>
      </c>
      <c r="AH617" t="str">
        <f t="shared" si="98"/>
        <v/>
      </c>
      <c r="AI617" t="str">
        <f t="shared" si="99"/>
        <v>Sunday</v>
      </c>
      <c r="AJ617" t="str">
        <f>LEFT(Table1[[#This Row],[membership_type]],2)&amp;TEXT(Table1[[#This Row],[age]],"00")&amp;"-"&amp;TEXT(ROW(),"000")</f>
        <v>St39-617</v>
      </c>
      <c r="AK617" t="str">
        <f>LEFT(Table1[[#This Row],[membership_type]],1)&amp;TEXT(MATCH(Table1[[#This Row],[membership_type]],Table1[membership_type],0),"00")</f>
        <v>S02</v>
      </c>
      <c r="AL617" t="str">
        <f>LEFT(Table1[[#This Row],[discount_type]],1)&amp;TEXT(ROUND(Table1[[#This Row],[discount_rate]]*100,0),"00")</f>
        <v>S15</v>
      </c>
      <c r="AM617" t="str" cm="1">
        <f t="array" ref="AM617">TEXT(SUMPRODUCT(CODE(MID(Table1[[#This Row],[home_gym_location]],_xlfn.SEQUENCE(LEN(Table1[[#This Row],[home_gym_location]])),1))),"00000")</f>
        <v>01450</v>
      </c>
      <c r="AN61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17" t="str">
        <f>LEFT(_xlfn.TEXTBEFORE(Table1[[#This Row],[Location Identifier]],"-"),3) &amp; "-" &amp; _xlfn.TEXTAFTER(Table1[[#This Row],[Location Identifier]],"-")</f>
        <v>SAN-009</v>
      </c>
      <c r="AP617" s="9">
        <f t="shared" ca="1" si="90"/>
        <v>45869</v>
      </c>
    </row>
    <row r="618" spans="1:42" x14ac:dyDescent="0.25">
      <c r="A618">
        <v>19</v>
      </c>
      <c r="B618" t="s">
        <v>42</v>
      </c>
      <c r="C618">
        <v>1</v>
      </c>
      <c r="D618" t="s">
        <v>49</v>
      </c>
      <c r="E618" t="b">
        <v>0</v>
      </c>
      <c r="F618" s="1">
        <v>0.47847222222222224</v>
      </c>
      <c r="G618" s="1">
        <v>0.60138888888888886</v>
      </c>
      <c r="H618">
        <v>177</v>
      </c>
      <c r="I618" t="b">
        <v>1</v>
      </c>
      <c r="J618" t="b">
        <v>1</v>
      </c>
      <c r="K618" t="b">
        <v>0</v>
      </c>
      <c r="L618" t="s">
        <v>28</v>
      </c>
      <c r="M618">
        <v>20</v>
      </c>
      <c r="N618" t="s">
        <v>64</v>
      </c>
      <c r="O618">
        <v>15</v>
      </c>
      <c r="P618" t="s">
        <v>30</v>
      </c>
      <c r="Q618">
        <v>0.05</v>
      </c>
      <c r="R618">
        <v>14.25</v>
      </c>
      <c r="S618" t="s">
        <v>44</v>
      </c>
      <c r="T618" t="s">
        <v>65</v>
      </c>
      <c r="U618">
        <v>33.770099999999999</v>
      </c>
      <c r="V618">
        <v>-118.19370000000001</v>
      </c>
      <c r="W618" s="2">
        <v>45536</v>
      </c>
      <c r="X618">
        <v>3</v>
      </c>
      <c r="Y618" t="b">
        <v>1</v>
      </c>
      <c r="Z618" s="2">
        <v>45844</v>
      </c>
      <c r="AA618" t="str">
        <f t="shared" si="91"/>
        <v>10–19</v>
      </c>
      <c r="AB618" t="str">
        <f t="shared" si="92"/>
        <v>16–19</v>
      </c>
      <c r="AC618" t="str">
        <f t="shared" si="93"/>
        <v/>
      </c>
      <c r="AD618" t="str">
        <f t="shared" si="94"/>
        <v/>
      </c>
      <c r="AE618" t="str">
        <f t="shared" si="95"/>
        <v/>
      </c>
      <c r="AF618" t="str">
        <f t="shared" si="96"/>
        <v/>
      </c>
      <c r="AG618" t="str">
        <f t="shared" si="97"/>
        <v/>
      </c>
      <c r="AH618" t="str">
        <f t="shared" si="98"/>
        <v/>
      </c>
      <c r="AI618" t="str">
        <f t="shared" si="99"/>
        <v>Sunday</v>
      </c>
      <c r="AJ618" t="str">
        <f>LEFT(Table1[[#This Row],[membership_type]],2)&amp;TEXT(Table1[[#This Row],[age]],"00")&amp;"-"&amp;TEXT(ROW(),"000")</f>
        <v>Ba19-618</v>
      </c>
      <c r="AK618" t="str">
        <f>LEFT(Table1[[#This Row],[membership_type]],1)&amp;TEXT(MATCH(Table1[[#This Row],[membership_type]],Table1[membership_type],0),"00")</f>
        <v>B04</v>
      </c>
      <c r="AL618" t="str">
        <f>LEFT(Table1[[#This Row],[discount_type]],1)&amp;TEXT(ROUND(Table1[[#This Row],[discount_rate]]*100,0),"00")</f>
        <v>P05</v>
      </c>
      <c r="AM618" t="str" cm="1">
        <f t="array" ref="AM618">TEXT(SUMPRODUCT(CODE(MID(Table1[[#This Row],[home_gym_location]],_xlfn.SEQUENCE(LEN(Table1[[#This Row],[home_gym_location]])),1))),"00000")</f>
        <v>01107</v>
      </c>
      <c r="AN61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18" t="str">
        <f>LEFT(_xlfn.TEXTBEFORE(Table1[[#This Row],[Location Identifier]],"-"),3) &amp; "-" &amp; _xlfn.TEXTAFTER(Table1[[#This Row],[Location Identifier]],"-")</f>
        <v>LON-004</v>
      </c>
      <c r="AP618" s="9">
        <f t="shared" ca="1" si="90"/>
        <v>45869</v>
      </c>
    </row>
    <row r="619" spans="1:42" x14ac:dyDescent="0.25">
      <c r="A619">
        <v>48</v>
      </c>
      <c r="B619" t="s">
        <v>51</v>
      </c>
      <c r="C619">
        <v>2</v>
      </c>
      <c r="D619" t="s">
        <v>70</v>
      </c>
      <c r="E619" t="b">
        <v>1</v>
      </c>
      <c r="F619" s="1">
        <v>0.6333333333333333</v>
      </c>
      <c r="G619" s="1">
        <v>0.72013888888888888</v>
      </c>
      <c r="H619">
        <v>125</v>
      </c>
      <c r="I619" t="b">
        <v>1</v>
      </c>
      <c r="J619" t="b">
        <v>0</v>
      </c>
      <c r="K619" t="b">
        <v>0</v>
      </c>
      <c r="L619" t="s">
        <v>35</v>
      </c>
      <c r="M619">
        <v>70</v>
      </c>
      <c r="N619" t="s">
        <v>78</v>
      </c>
      <c r="O619">
        <v>63</v>
      </c>
      <c r="P619" t="s">
        <v>40</v>
      </c>
      <c r="Q619">
        <v>0.1</v>
      </c>
      <c r="R619">
        <v>56.7</v>
      </c>
      <c r="S619" t="s">
        <v>53</v>
      </c>
      <c r="T619" t="s">
        <v>50</v>
      </c>
      <c r="U619">
        <v>34.052199999999999</v>
      </c>
      <c r="V619">
        <v>-118.2437</v>
      </c>
      <c r="W619" s="2">
        <v>44972</v>
      </c>
      <c r="X619">
        <v>0</v>
      </c>
      <c r="Y619" t="b">
        <v>1</v>
      </c>
      <c r="Z619" s="2">
        <v>45812</v>
      </c>
      <c r="AA619" t="str">
        <f t="shared" si="91"/>
        <v>40–49</v>
      </c>
      <c r="AB619" t="str">
        <f t="shared" si="92"/>
        <v>40–49</v>
      </c>
      <c r="AC619" t="str">
        <f t="shared" si="93"/>
        <v/>
      </c>
      <c r="AD619" t="str">
        <f t="shared" si="94"/>
        <v/>
      </c>
      <c r="AE619" t="str">
        <f t="shared" si="95"/>
        <v>Wednesday</v>
      </c>
      <c r="AF619" t="str">
        <f t="shared" si="96"/>
        <v>Thursday</v>
      </c>
      <c r="AG619" t="str">
        <f t="shared" si="97"/>
        <v/>
      </c>
      <c r="AH619" t="str">
        <f t="shared" si="98"/>
        <v/>
      </c>
      <c r="AI619" t="str">
        <f t="shared" si="99"/>
        <v/>
      </c>
      <c r="AJ619" t="str">
        <f>LEFT(Table1[[#This Row],[membership_type]],2)&amp;TEXT(Table1[[#This Row],[age]],"00")&amp;"-"&amp;TEXT(ROW(),"000")</f>
        <v>El48-619</v>
      </c>
      <c r="AK619" t="str">
        <f>LEFT(Table1[[#This Row],[membership_type]],1)&amp;TEXT(MATCH(Table1[[#This Row],[membership_type]],Table1[membership_type],0),"00")</f>
        <v>E07</v>
      </c>
      <c r="AL619" t="str">
        <f>LEFT(Table1[[#This Row],[discount_type]],1)&amp;TEXT(ROUND(Table1[[#This Row],[discount_rate]]*100,0),"00")</f>
        <v>L10</v>
      </c>
      <c r="AM619" t="str" cm="1">
        <f t="array" ref="AM619">TEXT(SUMPRODUCT(CODE(MID(Table1[[#This Row],[home_gym_location]],_xlfn.SEQUENCE(LEN(Table1[[#This Row],[home_gym_location]])),1))),"00000")</f>
        <v>01245</v>
      </c>
      <c r="AN61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19" t="str">
        <f>LEFT(_xlfn.TEXTBEFORE(Table1[[#This Row],[Location Identifier]],"-"),3) &amp; "-" &amp; _xlfn.TEXTAFTER(Table1[[#This Row],[Location Identifier]],"-")</f>
        <v>LOS-005</v>
      </c>
      <c r="AP619" s="9">
        <f t="shared" ca="1" si="90"/>
        <v>45869</v>
      </c>
    </row>
    <row r="620" spans="1:42" x14ac:dyDescent="0.25">
      <c r="A620">
        <v>37</v>
      </c>
      <c r="B620" t="s">
        <v>26</v>
      </c>
      <c r="C620">
        <v>3</v>
      </c>
      <c r="D620" t="s">
        <v>117</v>
      </c>
      <c r="E620" t="b">
        <v>1</v>
      </c>
      <c r="F620" s="1">
        <v>0.44236111111111109</v>
      </c>
      <c r="G620" s="1">
        <v>0.52777777777777779</v>
      </c>
      <c r="H620">
        <v>123</v>
      </c>
      <c r="I620" t="b">
        <v>0</v>
      </c>
      <c r="J620" t="b">
        <v>1</v>
      </c>
      <c r="K620" t="b">
        <v>0</v>
      </c>
      <c r="L620" t="s">
        <v>62</v>
      </c>
      <c r="M620">
        <v>50</v>
      </c>
      <c r="N620" t="s">
        <v>29</v>
      </c>
      <c r="O620">
        <v>50</v>
      </c>
      <c r="P620" t="s">
        <v>74</v>
      </c>
      <c r="Q620">
        <v>0.15</v>
      </c>
      <c r="R620">
        <v>42.5</v>
      </c>
      <c r="S620" t="s">
        <v>31</v>
      </c>
      <c r="T620" t="s">
        <v>32</v>
      </c>
      <c r="U620">
        <v>37.338200000000001</v>
      </c>
      <c r="V620">
        <v>-121.88630000000001</v>
      </c>
      <c r="W620" s="2">
        <v>45034</v>
      </c>
      <c r="X620">
        <v>1</v>
      </c>
      <c r="Y620" t="b">
        <v>1</v>
      </c>
      <c r="Z620" s="2">
        <v>45816</v>
      </c>
      <c r="AA620" t="str">
        <f t="shared" si="91"/>
        <v>30–39</v>
      </c>
      <c r="AB620" t="str">
        <f t="shared" si="92"/>
        <v>30–39</v>
      </c>
      <c r="AC620" t="str">
        <f t="shared" si="93"/>
        <v/>
      </c>
      <c r="AD620" t="str">
        <f t="shared" si="94"/>
        <v/>
      </c>
      <c r="AE620" t="str">
        <f t="shared" si="95"/>
        <v>Wednesday</v>
      </c>
      <c r="AF620" t="str">
        <f t="shared" si="96"/>
        <v>Thursday</v>
      </c>
      <c r="AG620" t="str">
        <f t="shared" si="97"/>
        <v/>
      </c>
      <c r="AH620" t="str">
        <f t="shared" si="98"/>
        <v/>
      </c>
      <c r="AI620" t="str">
        <f t="shared" si="99"/>
        <v>Sunday</v>
      </c>
      <c r="AJ620" t="str">
        <f>LEFT(Table1[[#This Row],[membership_type]],2)&amp;TEXT(Table1[[#This Row],[age]],"00")&amp;"-"&amp;TEXT(ROW(),"000")</f>
        <v>Pr37-620</v>
      </c>
      <c r="AK620" t="str">
        <f>LEFT(Table1[[#This Row],[membership_type]],1)&amp;TEXT(MATCH(Table1[[#This Row],[membership_type]],Table1[membership_type],0),"00")</f>
        <v>P01</v>
      </c>
      <c r="AL620" t="str">
        <f>LEFT(Table1[[#This Row],[discount_type]],1)&amp;TEXT(ROUND(Table1[[#This Row],[discount_rate]]*100,0),"00")</f>
        <v>S15</v>
      </c>
      <c r="AM620" t="str" cm="1">
        <f t="array" ref="AM620">TEXT(SUMPRODUCT(CODE(MID(Table1[[#This Row],[home_gym_location]],_xlfn.SEQUENCE(LEN(Table1[[#This Row],[home_gym_location]])),1))),"00000")</f>
        <v>00931</v>
      </c>
      <c r="AN62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20" t="str">
        <f>LEFT(_xlfn.TEXTBEFORE(Table1[[#This Row],[Location Identifier]],"-"),3) &amp; "-" &amp; _xlfn.TEXTAFTER(Table1[[#This Row],[Location Identifier]],"-")</f>
        <v>SAN-010</v>
      </c>
      <c r="AP620" s="9">
        <f t="shared" ca="1" si="90"/>
        <v>45869</v>
      </c>
    </row>
    <row r="621" spans="1:42" x14ac:dyDescent="0.25">
      <c r="A621">
        <v>39</v>
      </c>
      <c r="B621" t="s">
        <v>33</v>
      </c>
      <c r="C621">
        <v>3</v>
      </c>
      <c r="D621" t="s">
        <v>90</v>
      </c>
      <c r="E621" t="b">
        <v>0</v>
      </c>
      <c r="F621" s="1">
        <v>0.71250000000000002</v>
      </c>
      <c r="G621" s="1">
        <v>0.75694444444444442</v>
      </c>
      <c r="H621">
        <v>64</v>
      </c>
      <c r="I621" t="b">
        <v>1</v>
      </c>
      <c r="J621" t="b">
        <v>1</v>
      </c>
      <c r="K621" t="b">
        <v>0</v>
      </c>
      <c r="L621" t="s">
        <v>62</v>
      </c>
      <c r="M621">
        <v>30</v>
      </c>
      <c r="N621" t="s">
        <v>29</v>
      </c>
      <c r="O621">
        <v>30</v>
      </c>
      <c r="P621" t="s">
        <v>36</v>
      </c>
      <c r="Q621">
        <v>0</v>
      </c>
      <c r="R621">
        <v>30</v>
      </c>
      <c r="S621" t="s">
        <v>37</v>
      </c>
      <c r="T621" t="s">
        <v>56</v>
      </c>
      <c r="U621">
        <v>35.3733</v>
      </c>
      <c r="V621">
        <v>-119.0187</v>
      </c>
      <c r="W621" s="2">
        <v>45634</v>
      </c>
      <c r="X621">
        <v>4</v>
      </c>
      <c r="Y621" t="b">
        <v>0</v>
      </c>
      <c r="Z621" s="2">
        <v>45849</v>
      </c>
      <c r="AA621" t="str">
        <f t="shared" si="91"/>
        <v>30–39</v>
      </c>
      <c r="AB621" t="str">
        <f t="shared" si="92"/>
        <v>30–39</v>
      </c>
      <c r="AC621" t="str">
        <f t="shared" si="93"/>
        <v/>
      </c>
      <c r="AD621" t="str">
        <f t="shared" si="94"/>
        <v>Tuesday</v>
      </c>
      <c r="AE621" t="str">
        <f t="shared" si="95"/>
        <v/>
      </c>
      <c r="AF621" t="str">
        <f t="shared" si="96"/>
        <v/>
      </c>
      <c r="AG621" t="str">
        <f t="shared" si="97"/>
        <v/>
      </c>
      <c r="AH621" t="str">
        <f t="shared" si="98"/>
        <v>Saturday</v>
      </c>
      <c r="AI621" t="str">
        <f t="shared" si="99"/>
        <v>Sunday</v>
      </c>
      <c r="AJ621" t="str">
        <f>LEFT(Table1[[#This Row],[membership_type]],2)&amp;TEXT(Table1[[#This Row],[age]],"00")&amp;"-"&amp;TEXT(ROW(),"000")</f>
        <v>St39-621</v>
      </c>
      <c r="AK621" t="str">
        <f>LEFT(Table1[[#This Row],[membership_type]],1)&amp;TEXT(MATCH(Table1[[#This Row],[membership_type]],Table1[membership_type],0),"00")</f>
        <v>S02</v>
      </c>
      <c r="AL621" t="str">
        <f>LEFT(Table1[[#This Row],[discount_type]],1)&amp;TEXT(ROUND(Table1[[#This Row],[discount_rate]]*100,0),"00")</f>
        <v>N00</v>
      </c>
      <c r="AM621" t="str" cm="1">
        <f t="array" ref="AM621">TEXT(SUMPRODUCT(CODE(MID(Table1[[#This Row],[home_gym_location]],_xlfn.SEQUENCE(LEN(Table1[[#This Row],[home_gym_location]])),1))),"00000")</f>
        <v>01324</v>
      </c>
      <c r="AN62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21" t="str">
        <f>LEFT(_xlfn.TEXTBEFORE(Table1[[#This Row],[Location Identifier]],"-"),3) &amp; "-" &amp; _xlfn.TEXTAFTER(Table1[[#This Row],[Location Identifier]],"-")</f>
        <v>BAK-002</v>
      </c>
      <c r="AP621" s="9">
        <f t="shared" ca="1" si="90"/>
        <v>45869</v>
      </c>
    </row>
    <row r="622" spans="1:42" x14ac:dyDescent="0.25">
      <c r="A622">
        <v>13</v>
      </c>
      <c r="B622" t="s">
        <v>33</v>
      </c>
      <c r="C622">
        <v>1</v>
      </c>
      <c r="D622" t="s">
        <v>75</v>
      </c>
      <c r="E622" t="b">
        <v>0</v>
      </c>
      <c r="F622" s="1">
        <v>0.67361111111111116</v>
      </c>
      <c r="G622" s="1">
        <v>0.69444444444444442</v>
      </c>
      <c r="H622">
        <v>30</v>
      </c>
      <c r="I622" t="b">
        <v>1</v>
      </c>
      <c r="J622" t="b">
        <v>0</v>
      </c>
      <c r="K622" t="b">
        <v>0</v>
      </c>
      <c r="L622" t="s">
        <v>62</v>
      </c>
      <c r="M622">
        <v>30</v>
      </c>
      <c r="N622" t="s">
        <v>64</v>
      </c>
      <c r="O622">
        <v>22.5</v>
      </c>
      <c r="P622" t="s">
        <v>30</v>
      </c>
      <c r="Q622">
        <v>0.05</v>
      </c>
      <c r="R622">
        <v>21.375</v>
      </c>
      <c r="S622" t="s">
        <v>37</v>
      </c>
      <c r="T622" t="s">
        <v>54</v>
      </c>
      <c r="U622">
        <v>32.715699999999998</v>
      </c>
      <c r="V622">
        <v>-117.1611</v>
      </c>
      <c r="W622" s="2">
        <v>45608</v>
      </c>
      <c r="X622">
        <v>0</v>
      </c>
      <c r="Y622" t="b">
        <v>0</v>
      </c>
      <c r="Z622" s="2">
        <v>45848</v>
      </c>
      <c r="AA622" t="str">
        <f t="shared" si="91"/>
        <v>10–19</v>
      </c>
      <c r="AB622" t="str">
        <f t="shared" si="92"/>
        <v>Under 16</v>
      </c>
      <c r="AC622" t="str">
        <f t="shared" si="93"/>
        <v/>
      </c>
      <c r="AD622" t="str">
        <f t="shared" si="94"/>
        <v/>
      </c>
      <c r="AE622" t="str">
        <f t="shared" si="95"/>
        <v/>
      </c>
      <c r="AF622" t="str">
        <f t="shared" si="96"/>
        <v/>
      </c>
      <c r="AG622" t="str">
        <f t="shared" si="97"/>
        <v>Friday</v>
      </c>
      <c r="AH622" t="str">
        <f t="shared" si="98"/>
        <v/>
      </c>
      <c r="AI622" t="str">
        <f t="shared" si="99"/>
        <v/>
      </c>
      <c r="AJ622" t="str">
        <f>LEFT(Table1[[#This Row],[membership_type]],2)&amp;TEXT(Table1[[#This Row],[age]],"00")&amp;"-"&amp;TEXT(ROW(),"000")</f>
        <v>St13-622</v>
      </c>
      <c r="AK622" t="str">
        <f>LEFT(Table1[[#This Row],[membership_type]],1)&amp;TEXT(MATCH(Table1[[#This Row],[membership_type]],Table1[membership_type],0),"00")</f>
        <v>S02</v>
      </c>
      <c r="AL622" t="str">
        <f>LEFT(Table1[[#This Row],[discount_type]],1)&amp;TEXT(ROUND(Table1[[#This Row],[discount_rate]]*100,0),"00")</f>
        <v>P05</v>
      </c>
      <c r="AM622" t="str" cm="1">
        <f t="array" ref="AM622">TEXT(SUMPRODUCT(CODE(MID(Table1[[#This Row],[home_gym_location]],_xlfn.SEQUENCE(LEN(Table1[[#This Row],[home_gym_location]])),1))),"00000")</f>
        <v>01018</v>
      </c>
      <c r="AN62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22" t="str">
        <f>LEFT(_xlfn.TEXTBEFORE(Table1[[#This Row],[Location Identifier]],"-"),3) &amp; "-" &amp; _xlfn.TEXTAFTER(Table1[[#This Row],[Location Identifier]],"-")</f>
        <v>SAN-008</v>
      </c>
      <c r="AP622" s="9">
        <f t="shared" ca="1" si="90"/>
        <v>45869</v>
      </c>
    </row>
    <row r="623" spans="1:42" x14ac:dyDescent="0.25">
      <c r="A623">
        <v>48</v>
      </c>
      <c r="B623" t="s">
        <v>26</v>
      </c>
      <c r="C623">
        <v>3</v>
      </c>
      <c r="D623" t="s">
        <v>89</v>
      </c>
      <c r="E623" t="b">
        <v>0</v>
      </c>
      <c r="F623" s="1">
        <v>0.82222222222222219</v>
      </c>
      <c r="G623" s="1">
        <v>0.86875000000000002</v>
      </c>
      <c r="H623">
        <v>67</v>
      </c>
      <c r="I623" t="b">
        <v>1</v>
      </c>
      <c r="J623" t="b">
        <v>0</v>
      </c>
      <c r="K623" t="b">
        <v>0</v>
      </c>
      <c r="L623" t="s">
        <v>62</v>
      </c>
      <c r="M623">
        <v>50</v>
      </c>
      <c r="N623" t="s">
        <v>29</v>
      </c>
      <c r="O623">
        <v>50</v>
      </c>
      <c r="P623" t="s">
        <v>40</v>
      </c>
      <c r="Q623">
        <v>0.1</v>
      </c>
      <c r="R623">
        <v>45</v>
      </c>
      <c r="S623" t="s">
        <v>31</v>
      </c>
      <c r="T623" t="s">
        <v>41</v>
      </c>
      <c r="U623">
        <v>37.804400000000001</v>
      </c>
      <c r="V623">
        <v>-122.27119999999999</v>
      </c>
      <c r="W623" s="2">
        <v>45436</v>
      </c>
      <c r="X623">
        <v>0</v>
      </c>
      <c r="Y623" t="b">
        <v>1</v>
      </c>
      <c r="Z623" s="2">
        <v>45838</v>
      </c>
      <c r="AA623" t="str">
        <f t="shared" si="91"/>
        <v>40–49</v>
      </c>
      <c r="AB623" t="str">
        <f t="shared" si="92"/>
        <v>40–49</v>
      </c>
      <c r="AC623" t="str">
        <f t="shared" si="93"/>
        <v>Monday</v>
      </c>
      <c r="AD623" t="str">
        <f t="shared" si="94"/>
        <v>Tuesday</v>
      </c>
      <c r="AE623" t="str">
        <f t="shared" si="95"/>
        <v/>
      </c>
      <c r="AF623" t="str">
        <f t="shared" si="96"/>
        <v/>
      </c>
      <c r="AG623" t="str">
        <f t="shared" si="97"/>
        <v/>
      </c>
      <c r="AH623" t="str">
        <f t="shared" si="98"/>
        <v>Saturday</v>
      </c>
      <c r="AI623" t="str">
        <f t="shared" si="99"/>
        <v/>
      </c>
      <c r="AJ623" t="str">
        <f>LEFT(Table1[[#This Row],[membership_type]],2)&amp;TEXT(Table1[[#This Row],[age]],"00")&amp;"-"&amp;TEXT(ROW(),"000")</f>
        <v>Pr48-623</v>
      </c>
      <c r="AK623" t="str">
        <f>LEFT(Table1[[#This Row],[membership_type]],1)&amp;TEXT(MATCH(Table1[[#This Row],[membership_type]],Table1[membership_type],0),"00")</f>
        <v>P01</v>
      </c>
      <c r="AL623" t="str">
        <f>LEFT(Table1[[#This Row],[discount_type]],1)&amp;TEXT(ROUND(Table1[[#This Row],[discount_rate]]*100,0),"00")</f>
        <v>L10</v>
      </c>
      <c r="AM623" t="str" cm="1">
        <f t="array" ref="AM623">TEXT(SUMPRODUCT(CODE(MID(Table1[[#This Row],[home_gym_location]],_xlfn.SEQUENCE(LEN(Table1[[#This Row],[home_gym_location]])),1))),"00000")</f>
        <v>00906</v>
      </c>
      <c r="AN623" t="str">
        <f>UPPER(_xlfn.TEXTBEFORE(Table1[[#This Row],[home_gym_location]],","))&amp;"-"&amp;TEXT(MATCH(Table1[[#This Row],[home_gym_location]],_xlfn._xlws.SORT(_xlfn.UNIQUE(Table1[home_gym_location])),0),"000")</f>
        <v>OAKLAND-006</v>
      </c>
      <c r="AO623" t="str">
        <f>LEFT(_xlfn.TEXTBEFORE(Table1[[#This Row],[Location Identifier]],"-"),3) &amp; "-" &amp; _xlfn.TEXTAFTER(Table1[[#This Row],[Location Identifier]],"-")</f>
        <v>OAK-006</v>
      </c>
      <c r="AP623" s="9">
        <f t="shared" ca="1" si="90"/>
        <v>45869</v>
      </c>
    </row>
    <row r="624" spans="1:42" x14ac:dyDescent="0.25">
      <c r="A624">
        <v>33</v>
      </c>
      <c r="B624" t="s">
        <v>33</v>
      </c>
      <c r="C624">
        <v>3</v>
      </c>
      <c r="D624" t="s">
        <v>82</v>
      </c>
      <c r="E624" t="b">
        <v>0</v>
      </c>
      <c r="F624" s="1">
        <v>0.3659722222222222</v>
      </c>
      <c r="G624" s="1">
        <v>0.41111111111111109</v>
      </c>
      <c r="H624">
        <v>65</v>
      </c>
      <c r="I624" t="b">
        <v>0</v>
      </c>
      <c r="J624" t="b">
        <v>0</v>
      </c>
      <c r="K624" t="b">
        <v>1</v>
      </c>
      <c r="L624" t="s">
        <v>47</v>
      </c>
      <c r="M624">
        <v>30</v>
      </c>
      <c r="N624" t="s">
        <v>29</v>
      </c>
      <c r="O624">
        <v>30</v>
      </c>
      <c r="P624" t="s">
        <v>30</v>
      </c>
      <c r="Q624">
        <v>0.05</v>
      </c>
      <c r="R624">
        <v>28.5</v>
      </c>
      <c r="S624" t="s">
        <v>37</v>
      </c>
      <c r="T624" t="s">
        <v>38</v>
      </c>
      <c r="U624">
        <v>36.7378</v>
      </c>
      <c r="V624">
        <v>-119.7871</v>
      </c>
      <c r="W624" s="2">
        <v>45314</v>
      </c>
      <c r="X624">
        <v>0</v>
      </c>
      <c r="Y624" t="b">
        <v>0</v>
      </c>
      <c r="Z624" s="2">
        <v>45831</v>
      </c>
      <c r="AA624" t="str">
        <f t="shared" si="91"/>
        <v>30–39</v>
      </c>
      <c r="AB624" t="str">
        <f t="shared" si="92"/>
        <v>30–39</v>
      </c>
      <c r="AC624" t="str">
        <f t="shared" si="93"/>
        <v/>
      </c>
      <c r="AD624" t="str">
        <f t="shared" si="94"/>
        <v/>
      </c>
      <c r="AE624" t="str">
        <f t="shared" si="95"/>
        <v/>
      </c>
      <c r="AF624" t="str">
        <f t="shared" si="96"/>
        <v/>
      </c>
      <c r="AG624" t="str">
        <f t="shared" si="97"/>
        <v>Friday</v>
      </c>
      <c r="AH624" t="str">
        <f t="shared" si="98"/>
        <v>Saturday</v>
      </c>
      <c r="AI624" t="str">
        <f t="shared" si="99"/>
        <v>Sunday</v>
      </c>
      <c r="AJ624" t="str">
        <f>LEFT(Table1[[#This Row],[membership_type]],2)&amp;TEXT(Table1[[#This Row],[age]],"00")&amp;"-"&amp;TEXT(ROW(),"000")</f>
        <v>St33-624</v>
      </c>
      <c r="AK624" t="str">
        <f>LEFT(Table1[[#This Row],[membership_type]],1)&amp;TEXT(MATCH(Table1[[#This Row],[membership_type]],Table1[membership_type],0),"00")</f>
        <v>S02</v>
      </c>
      <c r="AL624" t="str">
        <f>LEFT(Table1[[#This Row],[discount_type]],1)&amp;TEXT(ROUND(Table1[[#This Row],[discount_rate]]*100,0),"00")</f>
        <v>P05</v>
      </c>
      <c r="AM624" t="str" cm="1">
        <f t="array" ref="AM624">TEXT(SUMPRODUCT(CODE(MID(Table1[[#This Row],[home_gym_location]],_xlfn.SEQUENCE(LEN(Table1[[#This Row],[home_gym_location]])),1))),"00000")</f>
        <v>00829</v>
      </c>
      <c r="AN624" t="str">
        <f>UPPER(_xlfn.TEXTBEFORE(Table1[[#This Row],[home_gym_location]],","))&amp;"-"&amp;TEXT(MATCH(Table1[[#This Row],[home_gym_location]],_xlfn._xlws.SORT(_xlfn.UNIQUE(Table1[home_gym_location])),0),"000")</f>
        <v>FRESNO-003</v>
      </c>
      <c r="AO624" t="str">
        <f>LEFT(_xlfn.TEXTBEFORE(Table1[[#This Row],[Location Identifier]],"-"),3) &amp; "-" &amp; _xlfn.TEXTAFTER(Table1[[#This Row],[Location Identifier]],"-")</f>
        <v>FRE-003</v>
      </c>
      <c r="AP624" s="9">
        <f t="shared" ca="1" si="90"/>
        <v>45869</v>
      </c>
    </row>
    <row r="625" spans="1:42" x14ac:dyDescent="0.25">
      <c r="A625">
        <v>39</v>
      </c>
      <c r="B625" t="s">
        <v>26</v>
      </c>
      <c r="C625">
        <v>2</v>
      </c>
      <c r="D625" t="s">
        <v>126</v>
      </c>
      <c r="E625" t="b">
        <v>1</v>
      </c>
      <c r="F625" s="1">
        <v>0.47083333333333333</v>
      </c>
      <c r="G625" s="1">
        <v>0.56111111111111112</v>
      </c>
      <c r="H625">
        <v>130</v>
      </c>
      <c r="I625" t="b">
        <v>1</v>
      </c>
      <c r="J625" t="b">
        <v>1</v>
      </c>
      <c r="K625" t="b">
        <v>0</v>
      </c>
      <c r="L625" t="s">
        <v>62</v>
      </c>
      <c r="M625">
        <v>50</v>
      </c>
      <c r="N625" t="s">
        <v>64</v>
      </c>
      <c r="O625">
        <v>37.5</v>
      </c>
      <c r="P625" t="s">
        <v>40</v>
      </c>
      <c r="Q625">
        <v>0.1</v>
      </c>
      <c r="R625">
        <v>33.75</v>
      </c>
      <c r="S625" t="s">
        <v>31</v>
      </c>
      <c r="T625" t="s">
        <v>38</v>
      </c>
      <c r="U625">
        <v>36.7378</v>
      </c>
      <c r="V625">
        <v>-119.7871</v>
      </c>
      <c r="W625" s="2">
        <v>45172</v>
      </c>
      <c r="X625">
        <v>5</v>
      </c>
      <c r="Y625" t="b">
        <v>0</v>
      </c>
      <c r="Z625" s="2">
        <v>45823</v>
      </c>
      <c r="AA625" t="str">
        <f t="shared" si="91"/>
        <v>30–39</v>
      </c>
      <c r="AB625" t="str">
        <f t="shared" si="92"/>
        <v>30–39</v>
      </c>
      <c r="AC625" t="str">
        <f t="shared" si="93"/>
        <v/>
      </c>
      <c r="AD625" t="str">
        <f t="shared" si="94"/>
        <v>Tuesday</v>
      </c>
      <c r="AE625" t="str">
        <f t="shared" si="95"/>
        <v>Wednesday</v>
      </c>
      <c r="AF625" t="str">
        <f t="shared" si="96"/>
        <v/>
      </c>
      <c r="AG625" t="str">
        <f t="shared" si="97"/>
        <v/>
      </c>
      <c r="AH625" t="str">
        <f t="shared" si="98"/>
        <v/>
      </c>
      <c r="AI625" t="str">
        <f t="shared" si="99"/>
        <v/>
      </c>
      <c r="AJ625" t="str">
        <f>LEFT(Table1[[#This Row],[membership_type]],2)&amp;TEXT(Table1[[#This Row],[age]],"00")&amp;"-"&amp;TEXT(ROW(),"000")</f>
        <v>Pr39-625</v>
      </c>
      <c r="AK625" t="str">
        <f>LEFT(Table1[[#This Row],[membership_type]],1)&amp;TEXT(MATCH(Table1[[#This Row],[membership_type]],Table1[membership_type],0),"00")</f>
        <v>P01</v>
      </c>
      <c r="AL625" t="str">
        <f>LEFT(Table1[[#This Row],[discount_type]],1)&amp;TEXT(ROUND(Table1[[#This Row],[discount_rate]]*100,0),"00")</f>
        <v>L10</v>
      </c>
      <c r="AM625" t="str" cm="1">
        <f t="array" ref="AM625">TEXT(SUMPRODUCT(CODE(MID(Table1[[#This Row],[home_gym_location]],_xlfn.SEQUENCE(LEN(Table1[[#This Row],[home_gym_location]])),1))),"00000")</f>
        <v>00829</v>
      </c>
      <c r="AN625" t="str">
        <f>UPPER(_xlfn.TEXTBEFORE(Table1[[#This Row],[home_gym_location]],","))&amp;"-"&amp;TEXT(MATCH(Table1[[#This Row],[home_gym_location]],_xlfn._xlws.SORT(_xlfn.UNIQUE(Table1[home_gym_location])),0),"000")</f>
        <v>FRESNO-003</v>
      </c>
      <c r="AO625" t="str">
        <f>LEFT(_xlfn.TEXTBEFORE(Table1[[#This Row],[Location Identifier]],"-"),3) &amp; "-" &amp; _xlfn.TEXTAFTER(Table1[[#This Row],[Location Identifier]],"-")</f>
        <v>FRE-003</v>
      </c>
      <c r="AP625" s="9">
        <f t="shared" ca="1" si="90"/>
        <v>45869</v>
      </c>
    </row>
    <row r="626" spans="1:42" x14ac:dyDescent="0.25">
      <c r="A626">
        <v>15</v>
      </c>
      <c r="B626" t="s">
        <v>51</v>
      </c>
      <c r="C626">
        <v>3</v>
      </c>
      <c r="D626" t="s">
        <v>80</v>
      </c>
      <c r="E626" t="b">
        <v>0</v>
      </c>
      <c r="F626" s="1">
        <v>0.72847222222222219</v>
      </c>
      <c r="G626" s="1">
        <v>0.75208333333333333</v>
      </c>
      <c r="H626">
        <v>34</v>
      </c>
      <c r="I626" t="b">
        <v>0</v>
      </c>
      <c r="J626" t="b">
        <v>0</v>
      </c>
      <c r="K626" t="b">
        <v>1</v>
      </c>
      <c r="L626" t="s">
        <v>28</v>
      </c>
      <c r="M626">
        <v>70</v>
      </c>
      <c r="N626" t="s">
        <v>64</v>
      </c>
      <c r="O626">
        <v>52.5</v>
      </c>
      <c r="P626" t="s">
        <v>36</v>
      </c>
      <c r="Q626">
        <v>0</v>
      </c>
      <c r="R626">
        <v>52.5</v>
      </c>
      <c r="S626" t="s">
        <v>53</v>
      </c>
      <c r="T626" t="s">
        <v>56</v>
      </c>
      <c r="U626">
        <v>35.3733</v>
      </c>
      <c r="V626">
        <v>-119.0187</v>
      </c>
      <c r="W626" s="2">
        <v>45438</v>
      </c>
      <c r="X626">
        <v>0</v>
      </c>
      <c r="Y626" t="b">
        <v>1</v>
      </c>
      <c r="Z626" s="2">
        <v>45838</v>
      </c>
      <c r="AA626" t="str">
        <f t="shared" si="91"/>
        <v>10–19</v>
      </c>
      <c r="AB626" t="str">
        <f t="shared" si="92"/>
        <v>Under 16</v>
      </c>
      <c r="AC626" t="str">
        <f t="shared" si="93"/>
        <v>Monday</v>
      </c>
      <c r="AD626" t="str">
        <f t="shared" si="94"/>
        <v/>
      </c>
      <c r="AE626" t="str">
        <f t="shared" si="95"/>
        <v/>
      </c>
      <c r="AF626" t="str">
        <f t="shared" si="96"/>
        <v/>
      </c>
      <c r="AG626" t="str">
        <f t="shared" si="97"/>
        <v/>
      </c>
      <c r="AH626" t="str">
        <f t="shared" si="98"/>
        <v>Saturday</v>
      </c>
      <c r="AI626" t="str">
        <f t="shared" si="99"/>
        <v>Sunday</v>
      </c>
      <c r="AJ626" t="str">
        <f>LEFT(Table1[[#This Row],[membership_type]],2)&amp;TEXT(Table1[[#This Row],[age]],"00")&amp;"-"&amp;TEXT(ROW(),"000")</f>
        <v>El15-626</v>
      </c>
      <c r="AK626" t="str">
        <f>LEFT(Table1[[#This Row],[membership_type]],1)&amp;TEXT(MATCH(Table1[[#This Row],[membership_type]],Table1[membership_type],0),"00")</f>
        <v>E07</v>
      </c>
      <c r="AL626" t="str">
        <f>LEFT(Table1[[#This Row],[discount_type]],1)&amp;TEXT(ROUND(Table1[[#This Row],[discount_rate]]*100,0),"00")</f>
        <v>N00</v>
      </c>
      <c r="AM626" t="str" cm="1">
        <f t="array" ref="AM626">TEXT(SUMPRODUCT(CODE(MID(Table1[[#This Row],[home_gym_location]],_xlfn.SEQUENCE(LEN(Table1[[#This Row],[home_gym_location]])),1))),"00000")</f>
        <v>01324</v>
      </c>
      <c r="AN62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26" t="str">
        <f>LEFT(_xlfn.TEXTBEFORE(Table1[[#This Row],[Location Identifier]],"-"),3) &amp; "-" &amp; _xlfn.TEXTAFTER(Table1[[#This Row],[Location Identifier]],"-")</f>
        <v>BAK-002</v>
      </c>
      <c r="AP626" s="9">
        <f t="shared" ca="1" si="90"/>
        <v>45869</v>
      </c>
    </row>
    <row r="627" spans="1:42" x14ac:dyDescent="0.25">
      <c r="A627">
        <v>38</v>
      </c>
      <c r="B627" t="s">
        <v>26</v>
      </c>
      <c r="C627">
        <v>1</v>
      </c>
      <c r="D627" t="s">
        <v>75</v>
      </c>
      <c r="E627" t="b">
        <v>1</v>
      </c>
      <c r="F627" s="1">
        <v>0.77013888888888893</v>
      </c>
      <c r="G627" s="1">
        <v>0.87361111111111112</v>
      </c>
      <c r="H627">
        <v>149</v>
      </c>
      <c r="I627" t="b">
        <v>0</v>
      </c>
      <c r="J627" t="b">
        <v>0</v>
      </c>
      <c r="K627" t="b">
        <v>1</v>
      </c>
      <c r="L627" t="s">
        <v>28</v>
      </c>
      <c r="M627">
        <v>50</v>
      </c>
      <c r="N627" t="s">
        <v>64</v>
      </c>
      <c r="O627">
        <v>37.5</v>
      </c>
      <c r="P627" t="s">
        <v>30</v>
      </c>
      <c r="Q627">
        <v>0.05</v>
      </c>
      <c r="R627">
        <v>35.625</v>
      </c>
      <c r="S627" t="s">
        <v>31</v>
      </c>
      <c r="T627" t="s">
        <v>45</v>
      </c>
      <c r="U627">
        <v>33.836599999999997</v>
      </c>
      <c r="V627">
        <v>-117.9143</v>
      </c>
      <c r="W627" s="2">
        <v>45338</v>
      </c>
      <c r="X627">
        <v>0</v>
      </c>
      <c r="Y627" t="b">
        <v>1</v>
      </c>
      <c r="Z627" s="2">
        <v>45833</v>
      </c>
      <c r="AA627" t="str">
        <f t="shared" si="91"/>
        <v>30–39</v>
      </c>
      <c r="AB627" t="str">
        <f t="shared" si="92"/>
        <v>30–39</v>
      </c>
      <c r="AC627" t="str">
        <f t="shared" si="93"/>
        <v/>
      </c>
      <c r="AD627" t="str">
        <f t="shared" si="94"/>
        <v/>
      </c>
      <c r="AE627" t="str">
        <f t="shared" si="95"/>
        <v/>
      </c>
      <c r="AF627" t="str">
        <f t="shared" si="96"/>
        <v/>
      </c>
      <c r="AG627" t="str">
        <f t="shared" si="97"/>
        <v>Friday</v>
      </c>
      <c r="AH627" t="str">
        <f t="shared" si="98"/>
        <v/>
      </c>
      <c r="AI627" t="str">
        <f t="shared" si="99"/>
        <v/>
      </c>
      <c r="AJ627" t="str">
        <f>LEFT(Table1[[#This Row],[membership_type]],2)&amp;TEXT(Table1[[#This Row],[age]],"00")&amp;"-"&amp;TEXT(ROW(),"000")</f>
        <v>Pr38-627</v>
      </c>
      <c r="AK627" t="str">
        <f>LEFT(Table1[[#This Row],[membership_type]],1)&amp;TEXT(MATCH(Table1[[#This Row],[membership_type]],Table1[membership_type],0),"00")</f>
        <v>P01</v>
      </c>
      <c r="AL627" t="str">
        <f>LEFT(Table1[[#This Row],[discount_type]],1)&amp;TEXT(ROUND(Table1[[#This Row],[discount_rate]]*100,0),"00")</f>
        <v>P05</v>
      </c>
      <c r="AM627" t="str" cm="1">
        <f t="array" ref="AM627">TEXT(SUMPRODUCT(CODE(MID(Table1[[#This Row],[home_gym_location]],_xlfn.SEQUENCE(LEN(Table1[[#This Row],[home_gym_location]])),1))),"00000")</f>
        <v>00899</v>
      </c>
      <c r="AN627" t="str">
        <f>UPPER(_xlfn.TEXTBEFORE(Table1[[#This Row],[home_gym_location]],","))&amp;"-"&amp;TEXT(MATCH(Table1[[#This Row],[home_gym_location]],_xlfn._xlws.SORT(_xlfn.UNIQUE(Table1[home_gym_location])),0),"000")</f>
        <v>ANAHEIM-001</v>
      </c>
      <c r="AO627" t="str">
        <f>LEFT(_xlfn.TEXTBEFORE(Table1[[#This Row],[Location Identifier]],"-"),3) &amp; "-" &amp; _xlfn.TEXTAFTER(Table1[[#This Row],[Location Identifier]],"-")</f>
        <v>ANA-001</v>
      </c>
      <c r="AP627" s="9">
        <f t="shared" ca="1" si="90"/>
        <v>45869</v>
      </c>
    </row>
    <row r="628" spans="1:42" x14ac:dyDescent="0.25">
      <c r="A628">
        <v>44</v>
      </c>
      <c r="B628" t="s">
        <v>33</v>
      </c>
      <c r="C628">
        <v>2</v>
      </c>
      <c r="D628" t="s">
        <v>108</v>
      </c>
      <c r="E628" t="b">
        <v>0</v>
      </c>
      <c r="F628" s="1">
        <v>0.50069444444444444</v>
      </c>
      <c r="G628" s="1">
        <v>0.58819444444444446</v>
      </c>
      <c r="H628">
        <v>126</v>
      </c>
      <c r="I628" t="b">
        <v>0</v>
      </c>
      <c r="J628" t="b">
        <v>0</v>
      </c>
      <c r="K628" t="b">
        <v>1</v>
      </c>
      <c r="L628" t="s">
        <v>62</v>
      </c>
      <c r="M628">
        <v>30</v>
      </c>
      <c r="N628" t="s">
        <v>64</v>
      </c>
      <c r="O628">
        <v>22.5</v>
      </c>
      <c r="P628" t="s">
        <v>36</v>
      </c>
      <c r="Q628">
        <v>0</v>
      </c>
      <c r="R628">
        <v>22.5</v>
      </c>
      <c r="S628" t="s">
        <v>37</v>
      </c>
      <c r="T628" t="s">
        <v>59</v>
      </c>
      <c r="U628">
        <v>37.774900000000002</v>
      </c>
      <c r="V628">
        <v>-122.4194</v>
      </c>
      <c r="W628" s="2">
        <v>45034</v>
      </c>
      <c r="X628">
        <v>0</v>
      </c>
      <c r="Y628" t="b">
        <v>1</v>
      </c>
      <c r="Z628" s="2">
        <v>45816</v>
      </c>
      <c r="AA628" t="str">
        <f t="shared" si="91"/>
        <v>40–49</v>
      </c>
      <c r="AB628" t="str">
        <f t="shared" si="92"/>
        <v>40–49</v>
      </c>
      <c r="AC628" t="str">
        <f t="shared" si="93"/>
        <v/>
      </c>
      <c r="AD628" t="str">
        <f t="shared" si="94"/>
        <v>Tuesday</v>
      </c>
      <c r="AE628" t="str">
        <f t="shared" si="95"/>
        <v/>
      </c>
      <c r="AF628" t="str">
        <f t="shared" si="96"/>
        <v>Thursday</v>
      </c>
      <c r="AG628" t="str">
        <f t="shared" si="97"/>
        <v/>
      </c>
      <c r="AH628" t="str">
        <f t="shared" si="98"/>
        <v/>
      </c>
      <c r="AI628" t="str">
        <f t="shared" si="99"/>
        <v/>
      </c>
      <c r="AJ628" t="str">
        <f>LEFT(Table1[[#This Row],[membership_type]],2)&amp;TEXT(Table1[[#This Row],[age]],"00")&amp;"-"&amp;TEXT(ROW(),"000")</f>
        <v>St44-628</v>
      </c>
      <c r="AK628" t="str">
        <f>LEFT(Table1[[#This Row],[membership_type]],1)&amp;TEXT(MATCH(Table1[[#This Row],[membership_type]],Table1[membership_type],0),"00")</f>
        <v>S02</v>
      </c>
      <c r="AL628" t="str">
        <f>LEFT(Table1[[#This Row],[discount_type]],1)&amp;TEXT(ROUND(Table1[[#This Row],[discount_rate]]*100,0),"00")</f>
        <v>N00</v>
      </c>
      <c r="AM628" t="str" cm="1">
        <f t="array" ref="AM628">TEXT(SUMPRODUCT(CODE(MID(Table1[[#This Row],[home_gym_location]],_xlfn.SEQUENCE(LEN(Table1[[#This Row],[home_gym_location]])),1))),"00000")</f>
        <v>01450</v>
      </c>
      <c r="AN62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28" t="str">
        <f>LEFT(_xlfn.TEXTBEFORE(Table1[[#This Row],[Location Identifier]],"-"),3) &amp; "-" &amp; _xlfn.TEXTAFTER(Table1[[#This Row],[Location Identifier]],"-")</f>
        <v>SAN-009</v>
      </c>
      <c r="AP628" s="9">
        <f t="shared" ca="1" si="90"/>
        <v>45869</v>
      </c>
    </row>
    <row r="629" spans="1:42" x14ac:dyDescent="0.25">
      <c r="A629">
        <v>49</v>
      </c>
      <c r="B629" t="s">
        <v>42</v>
      </c>
      <c r="C629">
        <v>1</v>
      </c>
      <c r="D629" t="s">
        <v>75</v>
      </c>
      <c r="E629" t="b">
        <v>1</v>
      </c>
      <c r="F629" s="1">
        <v>0.63680555555555551</v>
      </c>
      <c r="G629" s="1">
        <v>0.70833333333333337</v>
      </c>
      <c r="H629">
        <v>103</v>
      </c>
      <c r="I629" t="b">
        <v>1</v>
      </c>
      <c r="J629" t="b">
        <v>0</v>
      </c>
      <c r="K629" t="b">
        <v>0</v>
      </c>
      <c r="L629" t="s">
        <v>35</v>
      </c>
      <c r="M629">
        <v>20</v>
      </c>
      <c r="N629" t="s">
        <v>29</v>
      </c>
      <c r="O629">
        <v>20</v>
      </c>
      <c r="P629" t="s">
        <v>30</v>
      </c>
      <c r="Q629">
        <v>0.05</v>
      </c>
      <c r="R629">
        <v>19</v>
      </c>
      <c r="S629" t="s">
        <v>44</v>
      </c>
      <c r="T629" t="s">
        <v>59</v>
      </c>
      <c r="U629">
        <v>37.774900000000002</v>
      </c>
      <c r="V629">
        <v>-122.4194</v>
      </c>
      <c r="W629" s="2">
        <v>45791</v>
      </c>
      <c r="X629">
        <v>0</v>
      </c>
      <c r="Y629" t="b">
        <v>0</v>
      </c>
      <c r="Z629" s="2">
        <v>45858</v>
      </c>
      <c r="AA629" t="str">
        <f t="shared" si="91"/>
        <v>40–49</v>
      </c>
      <c r="AB629" t="str">
        <f t="shared" si="92"/>
        <v>40–49</v>
      </c>
      <c r="AC629" t="str">
        <f t="shared" si="93"/>
        <v/>
      </c>
      <c r="AD629" t="str">
        <f t="shared" si="94"/>
        <v/>
      </c>
      <c r="AE629" t="str">
        <f t="shared" si="95"/>
        <v/>
      </c>
      <c r="AF629" t="str">
        <f t="shared" si="96"/>
        <v/>
      </c>
      <c r="AG629" t="str">
        <f t="shared" si="97"/>
        <v>Friday</v>
      </c>
      <c r="AH629" t="str">
        <f t="shared" si="98"/>
        <v/>
      </c>
      <c r="AI629" t="str">
        <f t="shared" si="99"/>
        <v/>
      </c>
      <c r="AJ629" t="str">
        <f>LEFT(Table1[[#This Row],[membership_type]],2)&amp;TEXT(Table1[[#This Row],[age]],"00")&amp;"-"&amp;TEXT(ROW(),"000")</f>
        <v>Ba49-629</v>
      </c>
      <c r="AK629" t="str">
        <f>LEFT(Table1[[#This Row],[membership_type]],1)&amp;TEXT(MATCH(Table1[[#This Row],[membership_type]],Table1[membership_type],0),"00")</f>
        <v>B04</v>
      </c>
      <c r="AL629" t="str">
        <f>LEFT(Table1[[#This Row],[discount_type]],1)&amp;TEXT(ROUND(Table1[[#This Row],[discount_rate]]*100,0),"00")</f>
        <v>P05</v>
      </c>
      <c r="AM629" t="str" cm="1">
        <f t="array" ref="AM629">TEXT(SUMPRODUCT(CODE(MID(Table1[[#This Row],[home_gym_location]],_xlfn.SEQUENCE(LEN(Table1[[#This Row],[home_gym_location]])),1))),"00000")</f>
        <v>01450</v>
      </c>
      <c r="AN62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29" t="str">
        <f>LEFT(_xlfn.TEXTBEFORE(Table1[[#This Row],[Location Identifier]],"-"),3) &amp; "-" &amp; _xlfn.TEXTAFTER(Table1[[#This Row],[Location Identifier]],"-")</f>
        <v>SAN-009</v>
      </c>
      <c r="AP629" s="9">
        <f t="shared" ca="1" si="90"/>
        <v>45869</v>
      </c>
    </row>
    <row r="630" spans="1:42" x14ac:dyDescent="0.25">
      <c r="A630">
        <v>23</v>
      </c>
      <c r="B630" t="s">
        <v>42</v>
      </c>
      <c r="C630">
        <v>2</v>
      </c>
      <c r="D630" t="s">
        <v>73</v>
      </c>
      <c r="E630" t="b">
        <v>0</v>
      </c>
      <c r="F630" s="1">
        <v>0.7944444444444444</v>
      </c>
      <c r="G630" s="1">
        <v>0.8305555555555556</v>
      </c>
      <c r="H630">
        <v>52</v>
      </c>
      <c r="I630" t="b">
        <v>1</v>
      </c>
      <c r="J630" t="b">
        <v>0</v>
      </c>
      <c r="K630" t="b">
        <v>1</v>
      </c>
      <c r="L630" t="s">
        <v>62</v>
      </c>
      <c r="M630">
        <v>20</v>
      </c>
      <c r="N630" t="s">
        <v>29</v>
      </c>
      <c r="O630">
        <v>20</v>
      </c>
      <c r="P630" t="s">
        <v>30</v>
      </c>
      <c r="Q630">
        <v>0.05</v>
      </c>
      <c r="R630">
        <v>19</v>
      </c>
      <c r="S630" t="s">
        <v>44</v>
      </c>
      <c r="T630" t="s">
        <v>56</v>
      </c>
      <c r="U630">
        <v>35.3733</v>
      </c>
      <c r="V630">
        <v>-119.0187</v>
      </c>
      <c r="W630" s="2">
        <v>45562</v>
      </c>
      <c r="X630">
        <v>0</v>
      </c>
      <c r="Y630" t="b">
        <v>0</v>
      </c>
      <c r="Z630" s="2">
        <v>45845</v>
      </c>
      <c r="AA630" t="str">
        <f t="shared" si="91"/>
        <v>20–29</v>
      </c>
      <c r="AB630" t="str">
        <f t="shared" si="92"/>
        <v>20–29</v>
      </c>
      <c r="AC630" t="str">
        <f t="shared" si="93"/>
        <v/>
      </c>
      <c r="AD630" t="str">
        <f t="shared" si="94"/>
        <v>Tuesday</v>
      </c>
      <c r="AE630" t="str">
        <f t="shared" si="95"/>
        <v/>
      </c>
      <c r="AF630" t="str">
        <f t="shared" si="96"/>
        <v/>
      </c>
      <c r="AG630" t="str">
        <f t="shared" si="97"/>
        <v>Friday</v>
      </c>
      <c r="AH630" t="str">
        <f t="shared" si="98"/>
        <v/>
      </c>
      <c r="AI630" t="str">
        <f t="shared" si="99"/>
        <v/>
      </c>
      <c r="AJ630" t="str">
        <f>LEFT(Table1[[#This Row],[membership_type]],2)&amp;TEXT(Table1[[#This Row],[age]],"00")&amp;"-"&amp;TEXT(ROW(),"000")</f>
        <v>Ba23-630</v>
      </c>
      <c r="AK630" t="str">
        <f>LEFT(Table1[[#This Row],[membership_type]],1)&amp;TEXT(MATCH(Table1[[#This Row],[membership_type]],Table1[membership_type],0),"00")</f>
        <v>B04</v>
      </c>
      <c r="AL630" t="str">
        <f>LEFT(Table1[[#This Row],[discount_type]],1)&amp;TEXT(ROUND(Table1[[#This Row],[discount_rate]]*100,0),"00")</f>
        <v>P05</v>
      </c>
      <c r="AM630" t="str" cm="1">
        <f t="array" ref="AM630">TEXT(SUMPRODUCT(CODE(MID(Table1[[#This Row],[home_gym_location]],_xlfn.SEQUENCE(LEN(Table1[[#This Row],[home_gym_location]])),1))),"00000")</f>
        <v>01324</v>
      </c>
      <c r="AN63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30" t="str">
        <f>LEFT(_xlfn.TEXTBEFORE(Table1[[#This Row],[Location Identifier]],"-"),3) &amp; "-" &amp; _xlfn.TEXTAFTER(Table1[[#This Row],[Location Identifier]],"-")</f>
        <v>BAK-002</v>
      </c>
      <c r="AP630" s="9">
        <f t="shared" ca="1" si="90"/>
        <v>45869</v>
      </c>
    </row>
    <row r="631" spans="1:42" x14ac:dyDescent="0.25">
      <c r="A631">
        <v>35</v>
      </c>
      <c r="B631" t="s">
        <v>51</v>
      </c>
      <c r="C631">
        <v>3</v>
      </c>
      <c r="D631" t="s">
        <v>131</v>
      </c>
      <c r="E631" t="b">
        <v>1</v>
      </c>
      <c r="F631" s="1">
        <v>0.625</v>
      </c>
      <c r="G631" s="1">
        <v>0.72847222222222219</v>
      </c>
      <c r="H631">
        <v>149</v>
      </c>
      <c r="I631" t="b">
        <v>1</v>
      </c>
      <c r="J631" t="b">
        <v>0</v>
      </c>
      <c r="K631" t="b">
        <v>1</v>
      </c>
      <c r="L631" t="s">
        <v>28</v>
      </c>
      <c r="M631">
        <v>70</v>
      </c>
      <c r="N631" t="s">
        <v>64</v>
      </c>
      <c r="O631">
        <v>52.5</v>
      </c>
      <c r="P631" t="s">
        <v>36</v>
      </c>
      <c r="Q631">
        <v>0</v>
      </c>
      <c r="R631">
        <v>52.5</v>
      </c>
      <c r="S631" t="s">
        <v>53</v>
      </c>
      <c r="T631" t="s">
        <v>41</v>
      </c>
      <c r="U631">
        <v>37.804400000000001</v>
      </c>
      <c r="V631">
        <v>-122.27119999999999</v>
      </c>
      <c r="W631" s="2">
        <v>45071</v>
      </c>
      <c r="X631">
        <v>0</v>
      </c>
      <c r="Y631" t="b">
        <v>1</v>
      </c>
      <c r="Z631" s="2">
        <v>45818</v>
      </c>
      <c r="AA631" t="str">
        <f t="shared" si="91"/>
        <v>30–39</v>
      </c>
      <c r="AB631" t="str">
        <f t="shared" si="92"/>
        <v>30–39</v>
      </c>
      <c r="AC631" t="str">
        <f t="shared" si="93"/>
        <v>Monday</v>
      </c>
      <c r="AD631" t="str">
        <f t="shared" si="94"/>
        <v/>
      </c>
      <c r="AE631" t="str">
        <f t="shared" si="95"/>
        <v/>
      </c>
      <c r="AF631" t="str">
        <f t="shared" si="96"/>
        <v/>
      </c>
      <c r="AG631" t="str">
        <f t="shared" si="97"/>
        <v>Friday</v>
      </c>
      <c r="AH631" t="str">
        <f t="shared" si="98"/>
        <v/>
      </c>
      <c r="AI631" t="str">
        <f t="shared" si="99"/>
        <v>Sunday</v>
      </c>
      <c r="AJ631" t="str">
        <f>LEFT(Table1[[#This Row],[membership_type]],2)&amp;TEXT(Table1[[#This Row],[age]],"00")&amp;"-"&amp;TEXT(ROW(),"000")</f>
        <v>El35-631</v>
      </c>
      <c r="AK631" t="str">
        <f>LEFT(Table1[[#This Row],[membership_type]],1)&amp;TEXT(MATCH(Table1[[#This Row],[membership_type]],Table1[membership_type],0),"00")</f>
        <v>E07</v>
      </c>
      <c r="AL631" t="str">
        <f>LEFT(Table1[[#This Row],[discount_type]],1)&amp;TEXT(ROUND(Table1[[#This Row],[discount_rate]]*100,0),"00")</f>
        <v>N00</v>
      </c>
      <c r="AM631" t="str" cm="1">
        <f t="array" ref="AM631">TEXT(SUMPRODUCT(CODE(MID(Table1[[#This Row],[home_gym_location]],_xlfn.SEQUENCE(LEN(Table1[[#This Row],[home_gym_location]])),1))),"00000")</f>
        <v>00906</v>
      </c>
      <c r="AN631" t="str">
        <f>UPPER(_xlfn.TEXTBEFORE(Table1[[#This Row],[home_gym_location]],","))&amp;"-"&amp;TEXT(MATCH(Table1[[#This Row],[home_gym_location]],_xlfn._xlws.SORT(_xlfn.UNIQUE(Table1[home_gym_location])),0),"000")</f>
        <v>OAKLAND-006</v>
      </c>
      <c r="AO631" t="str">
        <f>LEFT(_xlfn.TEXTBEFORE(Table1[[#This Row],[Location Identifier]],"-"),3) &amp; "-" &amp; _xlfn.TEXTAFTER(Table1[[#This Row],[Location Identifier]],"-")</f>
        <v>OAK-006</v>
      </c>
      <c r="AP631" s="9">
        <f t="shared" ca="1" si="90"/>
        <v>45869</v>
      </c>
    </row>
    <row r="632" spans="1:42" x14ac:dyDescent="0.25">
      <c r="A632">
        <v>18</v>
      </c>
      <c r="B632" t="s">
        <v>33</v>
      </c>
      <c r="C632">
        <v>4</v>
      </c>
      <c r="D632" t="s">
        <v>147</v>
      </c>
      <c r="E632" t="b">
        <v>0</v>
      </c>
      <c r="F632" s="1">
        <v>0.40416666666666667</v>
      </c>
      <c r="G632" s="1">
        <v>0.44861111111111113</v>
      </c>
      <c r="H632">
        <v>64</v>
      </c>
      <c r="I632" t="b">
        <v>0</v>
      </c>
      <c r="J632" t="b">
        <v>1</v>
      </c>
      <c r="K632" t="b">
        <v>1</v>
      </c>
      <c r="L632" t="s">
        <v>28</v>
      </c>
      <c r="M632">
        <v>30</v>
      </c>
      <c r="N632" t="s">
        <v>29</v>
      </c>
      <c r="O632">
        <v>30</v>
      </c>
      <c r="P632" t="s">
        <v>74</v>
      </c>
      <c r="Q632">
        <v>0.15</v>
      </c>
      <c r="R632">
        <v>25.5</v>
      </c>
      <c r="S632" t="s">
        <v>37</v>
      </c>
      <c r="T632" t="s">
        <v>65</v>
      </c>
      <c r="U632">
        <v>33.770099999999999</v>
      </c>
      <c r="V632">
        <v>-118.19370000000001</v>
      </c>
      <c r="W632" s="2">
        <v>44877</v>
      </c>
      <c r="X632">
        <v>8</v>
      </c>
      <c r="Y632" t="b">
        <v>0</v>
      </c>
      <c r="Z632" s="2">
        <v>45807</v>
      </c>
      <c r="AA632" t="str">
        <f t="shared" si="91"/>
        <v>10–19</v>
      </c>
      <c r="AB632" t="str">
        <f t="shared" si="92"/>
        <v>16–19</v>
      </c>
      <c r="AC632" t="str">
        <f t="shared" si="93"/>
        <v>Monday</v>
      </c>
      <c r="AD632" t="str">
        <f t="shared" si="94"/>
        <v/>
      </c>
      <c r="AE632" t="str">
        <f t="shared" si="95"/>
        <v/>
      </c>
      <c r="AF632" t="str">
        <f t="shared" si="96"/>
        <v>Thursday</v>
      </c>
      <c r="AG632" t="str">
        <f t="shared" si="97"/>
        <v>Friday</v>
      </c>
      <c r="AH632" t="str">
        <f t="shared" si="98"/>
        <v>Saturday</v>
      </c>
      <c r="AI632" t="str">
        <f t="shared" si="99"/>
        <v/>
      </c>
      <c r="AJ632" t="str">
        <f>LEFT(Table1[[#This Row],[membership_type]],2)&amp;TEXT(Table1[[#This Row],[age]],"00")&amp;"-"&amp;TEXT(ROW(),"000")</f>
        <v>St18-632</v>
      </c>
      <c r="AK632" t="str">
        <f>LEFT(Table1[[#This Row],[membership_type]],1)&amp;TEXT(MATCH(Table1[[#This Row],[membership_type]],Table1[membership_type],0),"00")</f>
        <v>S02</v>
      </c>
      <c r="AL632" t="str">
        <f>LEFT(Table1[[#This Row],[discount_type]],1)&amp;TEXT(ROUND(Table1[[#This Row],[discount_rate]]*100,0),"00")</f>
        <v>S15</v>
      </c>
      <c r="AM632" t="str" cm="1">
        <f t="array" ref="AM632">TEXT(SUMPRODUCT(CODE(MID(Table1[[#This Row],[home_gym_location]],_xlfn.SEQUENCE(LEN(Table1[[#This Row],[home_gym_location]])),1))),"00000")</f>
        <v>01107</v>
      </c>
      <c r="AN63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32" t="str">
        <f>LEFT(_xlfn.TEXTBEFORE(Table1[[#This Row],[Location Identifier]],"-"),3) &amp; "-" &amp; _xlfn.TEXTAFTER(Table1[[#This Row],[Location Identifier]],"-")</f>
        <v>LON-004</v>
      </c>
      <c r="AP632" s="9">
        <f t="shared" ca="1" si="90"/>
        <v>45869</v>
      </c>
    </row>
    <row r="633" spans="1:42" x14ac:dyDescent="0.25">
      <c r="A633">
        <v>23</v>
      </c>
      <c r="B633" t="s">
        <v>42</v>
      </c>
      <c r="C633">
        <v>2</v>
      </c>
      <c r="D633" t="s">
        <v>73</v>
      </c>
      <c r="E633" t="b">
        <v>0</v>
      </c>
      <c r="F633" s="1">
        <v>0.7993055555555556</v>
      </c>
      <c r="G633" s="1">
        <v>0.84652777777777777</v>
      </c>
      <c r="H633">
        <v>68</v>
      </c>
      <c r="I633" t="b">
        <v>1</v>
      </c>
      <c r="J633" t="b">
        <v>1</v>
      </c>
      <c r="K633" t="b">
        <v>1</v>
      </c>
      <c r="L633" t="s">
        <v>47</v>
      </c>
      <c r="M633">
        <v>20</v>
      </c>
      <c r="N633" t="s">
        <v>78</v>
      </c>
      <c r="O633">
        <v>18</v>
      </c>
      <c r="P633" t="s">
        <v>30</v>
      </c>
      <c r="Q633">
        <v>0.05</v>
      </c>
      <c r="R633">
        <v>17.100000000000001</v>
      </c>
      <c r="S633" t="s">
        <v>44</v>
      </c>
      <c r="T633" t="s">
        <v>41</v>
      </c>
      <c r="U633">
        <v>37.804400000000001</v>
      </c>
      <c r="V633">
        <v>-122.27119999999999</v>
      </c>
      <c r="W633" s="2">
        <v>45286</v>
      </c>
      <c r="X633">
        <v>2</v>
      </c>
      <c r="Y633" t="b">
        <v>0</v>
      </c>
      <c r="Z633" s="2">
        <v>45830</v>
      </c>
      <c r="AA633" t="str">
        <f t="shared" si="91"/>
        <v>20–29</v>
      </c>
      <c r="AB633" t="str">
        <f t="shared" si="92"/>
        <v>20–29</v>
      </c>
      <c r="AC633" t="str">
        <f t="shared" si="93"/>
        <v/>
      </c>
      <c r="AD633" t="str">
        <f t="shared" si="94"/>
        <v>Tuesday</v>
      </c>
      <c r="AE633" t="str">
        <f t="shared" si="95"/>
        <v/>
      </c>
      <c r="AF633" t="str">
        <f t="shared" si="96"/>
        <v/>
      </c>
      <c r="AG633" t="str">
        <f t="shared" si="97"/>
        <v>Friday</v>
      </c>
      <c r="AH633" t="str">
        <f t="shared" si="98"/>
        <v/>
      </c>
      <c r="AI633" t="str">
        <f t="shared" si="99"/>
        <v/>
      </c>
      <c r="AJ633" t="str">
        <f>LEFT(Table1[[#This Row],[membership_type]],2)&amp;TEXT(Table1[[#This Row],[age]],"00")&amp;"-"&amp;TEXT(ROW(),"000")</f>
        <v>Ba23-633</v>
      </c>
      <c r="AK633" t="str">
        <f>LEFT(Table1[[#This Row],[membership_type]],1)&amp;TEXT(MATCH(Table1[[#This Row],[membership_type]],Table1[membership_type],0),"00")</f>
        <v>B04</v>
      </c>
      <c r="AL633" t="str">
        <f>LEFT(Table1[[#This Row],[discount_type]],1)&amp;TEXT(ROUND(Table1[[#This Row],[discount_rate]]*100,0),"00")</f>
        <v>P05</v>
      </c>
      <c r="AM633" t="str" cm="1">
        <f t="array" ref="AM633">TEXT(SUMPRODUCT(CODE(MID(Table1[[#This Row],[home_gym_location]],_xlfn.SEQUENCE(LEN(Table1[[#This Row],[home_gym_location]])),1))),"00000")</f>
        <v>00906</v>
      </c>
      <c r="AN633" t="str">
        <f>UPPER(_xlfn.TEXTBEFORE(Table1[[#This Row],[home_gym_location]],","))&amp;"-"&amp;TEXT(MATCH(Table1[[#This Row],[home_gym_location]],_xlfn._xlws.SORT(_xlfn.UNIQUE(Table1[home_gym_location])),0),"000")</f>
        <v>OAKLAND-006</v>
      </c>
      <c r="AO633" t="str">
        <f>LEFT(_xlfn.TEXTBEFORE(Table1[[#This Row],[Location Identifier]],"-"),3) &amp; "-" &amp; _xlfn.TEXTAFTER(Table1[[#This Row],[Location Identifier]],"-")</f>
        <v>OAK-006</v>
      </c>
      <c r="AP633" s="9">
        <f t="shared" ca="1" si="90"/>
        <v>45869</v>
      </c>
    </row>
    <row r="634" spans="1:42" x14ac:dyDescent="0.25">
      <c r="A634">
        <v>14</v>
      </c>
      <c r="B634" t="s">
        <v>26</v>
      </c>
      <c r="C634">
        <v>5</v>
      </c>
      <c r="D634" t="s">
        <v>115</v>
      </c>
      <c r="E634" t="b">
        <v>1</v>
      </c>
      <c r="F634" s="1">
        <v>0.53749999999999998</v>
      </c>
      <c r="G634" s="1">
        <v>0.63194444444444442</v>
      </c>
      <c r="H634">
        <v>136</v>
      </c>
      <c r="I634" t="b">
        <v>1</v>
      </c>
      <c r="J634" t="b">
        <v>1</v>
      </c>
      <c r="K634" t="b">
        <v>1</v>
      </c>
      <c r="L634" t="s">
        <v>28</v>
      </c>
      <c r="M634">
        <v>50</v>
      </c>
      <c r="N634" t="s">
        <v>64</v>
      </c>
      <c r="O634">
        <v>37.5</v>
      </c>
      <c r="P634" t="s">
        <v>40</v>
      </c>
      <c r="Q634">
        <v>0.1</v>
      </c>
      <c r="R634">
        <v>33.75</v>
      </c>
      <c r="S634" t="s">
        <v>31</v>
      </c>
      <c r="T634" t="s">
        <v>38</v>
      </c>
      <c r="U634">
        <v>36.7378</v>
      </c>
      <c r="V634">
        <v>-119.7871</v>
      </c>
      <c r="W634" s="2">
        <v>45264</v>
      </c>
      <c r="X634">
        <v>2</v>
      </c>
      <c r="Y634" t="b">
        <v>1</v>
      </c>
      <c r="Z634" s="2">
        <v>45829</v>
      </c>
      <c r="AA634" t="str">
        <f t="shared" si="91"/>
        <v>10–19</v>
      </c>
      <c r="AB634" t="str">
        <f t="shared" si="92"/>
        <v>Under 16</v>
      </c>
      <c r="AC634" t="str">
        <f t="shared" si="93"/>
        <v>Monday</v>
      </c>
      <c r="AD634" t="str">
        <f t="shared" si="94"/>
        <v/>
      </c>
      <c r="AE634" t="str">
        <f t="shared" si="95"/>
        <v>Wednesday</v>
      </c>
      <c r="AF634" t="str">
        <f t="shared" si="96"/>
        <v/>
      </c>
      <c r="AG634" t="str">
        <f t="shared" si="97"/>
        <v>Friday</v>
      </c>
      <c r="AH634" t="str">
        <f t="shared" si="98"/>
        <v>Saturday</v>
      </c>
      <c r="AI634" t="str">
        <f t="shared" si="99"/>
        <v>Sunday</v>
      </c>
      <c r="AJ634" t="str">
        <f>LEFT(Table1[[#This Row],[membership_type]],2)&amp;TEXT(Table1[[#This Row],[age]],"00")&amp;"-"&amp;TEXT(ROW(),"000")</f>
        <v>Pr14-634</v>
      </c>
      <c r="AK634" t="str">
        <f>LEFT(Table1[[#This Row],[membership_type]],1)&amp;TEXT(MATCH(Table1[[#This Row],[membership_type]],Table1[membership_type],0),"00")</f>
        <v>P01</v>
      </c>
      <c r="AL634" t="str">
        <f>LEFT(Table1[[#This Row],[discount_type]],1)&amp;TEXT(ROUND(Table1[[#This Row],[discount_rate]]*100,0),"00")</f>
        <v>L10</v>
      </c>
      <c r="AM634" t="str" cm="1">
        <f t="array" ref="AM634">TEXT(SUMPRODUCT(CODE(MID(Table1[[#This Row],[home_gym_location]],_xlfn.SEQUENCE(LEN(Table1[[#This Row],[home_gym_location]])),1))),"00000")</f>
        <v>00829</v>
      </c>
      <c r="AN634" t="str">
        <f>UPPER(_xlfn.TEXTBEFORE(Table1[[#This Row],[home_gym_location]],","))&amp;"-"&amp;TEXT(MATCH(Table1[[#This Row],[home_gym_location]],_xlfn._xlws.SORT(_xlfn.UNIQUE(Table1[home_gym_location])),0),"000")</f>
        <v>FRESNO-003</v>
      </c>
      <c r="AO634" t="str">
        <f>LEFT(_xlfn.TEXTBEFORE(Table1[[#This Row],[Location Identifier]],"-"),3) &amp; "-" &amp; _xlfn.TEXTAFTER(Table1[[#This Row],[Location Identifier]],"-")</f>
        <v>FRE-003</v>
      </c>
      <c r="AP634" s="9">
        <f t="shared" ca="1" si="90"/>
        <v>45869</v>
      </c>
    </row>
    <row r="635" spans="1:42" x14ac:dyDescent="0.25">
      <c r="A635">
        <v>15</v>
      </c>
      <c r="B635" t="s">
        <v>51</v>
      </c>
      <c r="C635">
        <v>3</v>
      </c>
      <c r="D635" t="s">
        <v>82</v>
      </c>
      <c r="E635" t="b">
        <v>1</v>
      </c>
      <c r="F635" s="1">
        <v>0.75416666666666665</v>
      </c>
      <c r="G635" s="1">
        <v>0.86250000000000004</v>
      </c>
      <c r="H635">
        <v>156</v>
      </c>
      <c r="I635" t="b">
        <v>0</v>
      </c>
      <c r="J635" t="b">
        <v>1</v>
      </c>
      <c r="K635" t="b">
        <v>1</v>
      </c>
      <c r="L635" t="s">
        <v>28</v>
      </c>
      <c r="M635">
        <v>70</v>
      </c>
      <c r="N635" t="s">
        <v>64</v>
      </c>
      <c r="O635">
        <v>52.5</v>
      </c>
      <c r="P635" t="s">
        <v>30</v>
      </c>
      <c r="Q635">
        <v>0.05</v>
      </c>
      <c r="R635">
        <v>49.875</v>
      </c>
      <c r="S635" t="s">
        <v>53</v>
      </c>
      <c r="T635" t="s">
        <v>41</v>
      </c>
      <c r="U635">
        <v>37.804400000000001</v>
      </c>
      <c r="V635">
        <v>-122.27119999999999</v>
      </c>
      <c r="W635" s="2">
        <v>45716</v>
      </c>
      <c r="X635">
        <v>3</v>
      </c>
      <c r="Y635" t="b">
        <v>1</v>
      </c>
      <c r="Z635" s="2">
        <v>45854</v>
      </c>
      <c r="AA635" t="str">
        <f t="shared" si="91"/>
        <v>10–19</v>
      </c>
      <c r="AB635" t="str">
        <f t="shared" si="92"/>
        <v>Under 16</v>
      </c>
      <c r="AC635" t="str">
        <f t="shared" si="93"/>
        <v/>
      </c>
      <c r="AD635" t="str">
        <f t="shared" si="94"/>
        <v/>
      </c>
      <c r="AE635" t="str">
        <f t="shared" si="95"/>
        <v/>
      </c>
      <c r="AF635" t="str">
        <f t="shared" si="96"/>
        <v/>
      </c>
      <c r="AG635" t="str">
        <f t="shared" si="97"/>
        <v>Friday</v>
      </c>
      <c r="AH635" t="str">
        <f t="shared" si="98"/>
        <v>Saturday</v>
      </c>
      <c r="AI635" t="str">
        <f t="shared" si="99"/>
        <v>Sunday</v>
      </c>
      <c r="AJ635" t="str">
        <f>LEFT(Table1[[#This Row],[membership_type]],2)&amp;TEXT(Table1[[#This Row],[age]],"00")&amp;"-"&amp;TEXT(ROW(),"000")</f>
        <v>El15-635</v>
      </c>
      <c r="AK635" t="str">
        <f>LEFT(Table1[[#This Row],[membership_type]],1)&amp;TEXT(MATCH(Table1[[#This Row],[membership_type]],Table1[membership_type],0),"00")</f>
        <v>E07</v>
      </c>
      <c r="AL635" t="str">
        <f>LEFT(Table1[[#This Row],[discount_type]],1)&amp;TEXT(ROUND(Table1[[#This Row],[discount_rate]]*100,0),"00")</f>
        <v>P05</v>
      </c>
      <c r="AM635" t="str" cm="1">
        <f t="array" ref="AM635">TEXT(SUMPRODUCT(CODE(MID(Table1[[#This Row],[home_gym_location]],_xlfn.SEQUENCE(LEN(Table1[[#This Row],[home_gym_location]])),1))),"00000")</f>
        <v>00906</v>
      </c>
      <c r="AN635" t="str">
        <f>UPPER(_xlfn.TEXTBEFORE(Table1[[#This Row],[home_gym_location]],","))&amp;"-"&amp;TEXT(MATCH(Table1[[#This Row],[home_gym_location]],_xlfn._xlws.SORT(_xlfn.UNIQUE(Table1[home_gym_location])),0),"000")</f>
        <v>OAKLAND-006</v>
      </c>
      <c r="AO635" t="str">
        <f>LEFT(_xlfn.TEXTBEFORE(Table1[[#This Row],[Location Identifier]],"-"),3) &amp; "-" &amp; _xlfn.TEXTAFTER(Table1[[#This Row],[Location Identifier]],"-")</f>
        <v>OAK-006</v>
      </c>
      <c r="AP635" s="9">
        <f t="shared" ca="1" si="90"/>
        <v>45869</v>
      </c>
    </row>
    <row r="636" spans="1:42" x14ac:dyDescent="0.25">
      <c r="A636">
        <v>27</v>
      </c>
      <c r="B636" t="s">
        <v>33</v>
      </c>
      <c r="C636">
        <v>5</v>
      </c>
      <c r="D636" t="s">
        <v>66</v>
      </c>
      <c r="E636" t="b">
        <v>0</v>
      </c>
      <c r="F636" s="1">
        <v>0.76527777777777772</v>
      </c>
      <c r="G636" s="1">
        <v>0.7944444444444444</v>
      </c>
      <c r="H636">
        <v>42</v>
      </c>
      <c r="I636" t="b">
        <v>0</v>
      </c>
      <c r="J636" t="b">
        <v>0</v>
      </c>
      <c r="K636" t="b">
        <v>0</v>
      </c>
      <c r="L636" t="s">
        <v>35</v>
      </c>
      <c r="M636">
        <v>30</v>
      </c>
      <c r="N636" t="s">
        <v>64</v>
      </c>
      <c r="O636">
        <v>22.5</v>
      </c>
      <c r="P636" t="s">
        <v>36</v>
      </c>
      <c r="Q636">
        <v>0</v>
      </c>
      <c r="R636">
        <v>22.5</v>
      </c>
      <c r="S636" t="s">
        <v>37</v>
      </c>
      <c r="T636" t="s">
        <v>65</v>
      </c>
      <c r="U636">
        <v>33.770099999999999</v>
      </c>
      <c r="V636">
        <v>-118.19370000000001</v>
      </c>
      <c r="W636" s="2">
        <v>45354</v>
      </c>
      <c r="X636">
        <v>0</v>
      </c>
      <c r="Y636" t="b">
        <v>0</v>
      </c>
      <c r="Z636" s="2">
        <v>45834</v>
      </c>
      <c r="AA636" t="str">
        <f t="shared" si="91"/>
        <v>20–29</v>
      </c>
      <c r="AB636" t="str">
        <f t="shared" si="92"/>
        <v>20–29</v>
      </c>
      <c r="AC636" t="str">
        <f t="shared" si="93"/>
        <v>Monday</v>
      </c>
      <c r="AD636" t="str">
        <f t="shared" si="94"/>
        <v>Tuesday</v>
      </c>
      <c r="AE636" t="str">
        <f t="shared" si="95"/>
        <v>Wednesday</v>
      </c>
      <c r="AF636" t="str">
        <f t="shared" si="96"/>
        <v/>
      </c>
      <c r="AG636" t="str">
        <f t="shared" si="97"/>
        <v>Friday</v>
      </c>
      <c r="AH636" t="str">
        <f t="shared" si="98"/>
        <v/>
      </c>
      <c r="AI636" t="str">
        <f t="shared" si="99"/>
        <v>Sunday</v>
      </c>
      <c r="AJ636" t="str">
        <f>LEFT(Table1[[#This Row],[membership_type]],2)&amp;TEXT(Table1[[#This Row],[age]],"00")&amp;"-"&amp;TEXT(ROW(),"000")</f>
        <v>St27-636</v>
      </c>
      <c r="AK636" t="str">
        <f>LEFT(Table1[[#This Row],[membership_type]],1)&amp;TEXT(MATCH(Table1[[#This Row],[membership_type]],Table1[membership_type],0),"00")</f>
        <v>S02</v>
      </c>
      <c r="AL636" t="str">
        <f>LEFT(Table1[[#This Row],[discount_type]],1)&amp;TEXT(ROUND(Table1[[#This Row],[discount_rate]]*100,0),"00")</f>
        <v>N00</v>
      </c>
      <c r="AM636" t="str" cm="1">
        <f t="array" ref="AM636">TEXT(SUMPRODUCT(CODE(MID(Table1[[#This Row],[home_gym_location]],_xlfn.SEQUENCE(LEN(Table1[[#This Row],[home_gym_location]])),1))),"00000")</f>
        <v>01107</v>
      </c>
      <c r="AN6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36" t="str">
        <f>LEFT(_xlfn.TEXTBEFORE(Table1[[#This Row],[Location Identifier]],"-"),3) &amp; "-" &amp; _xlfn.TEXTAFTER(Table1[[#This Row],[Location Identifier]],"-")</f>
        <v>LON-004</v>
      </c>
      <c r="AP636" s="9">
        <f t="shared" ca="1" si="90"/>
        <v>45869</v>
      </c>
    </row>
    <row r="637" spans="1:42" x14ac:dyDescent="0.25">
      <c r="A637">
        <v>34</v>
      </c>
      <c r="B637" t="s">
        <v>26</v>
      </c>
      <c r="C637">
        <v>3</v>
      </c>
      <c r="D637" t="s">
        <v>109</v>
      </c>
      <c r="E637" t="b">
        <v>0</v>
      </c>
      <c r="F637" s="1">
        <v>0.65347222222222223</v>
      </c>
      <c r="G637" s="1">
        <v>0.71111111111111114</v>
      </c>
      <c r="H637">
        <v>83</v>
      </c>
      <c r="I637" t="b">
        <v>1</v>
      </c>
      <c r="J637" t="b">
        <v>1</v>
      </c>
      <c r="K637" t="b">
        <v>0</v>
      </c>
      <c r="L637" t="s">
        <v>62</v>
      </c>
      <c r="M637">
        <v>50</v>
      </c>
      <c r="N637" t="s">
        <v>29</v>
      </c>
      <c r="O637">
        <v>50</v>
      </c>
      <c r="P637" t="s">
        <v>30</v>
      </c>
      <c r="Q637">
        <v>0.05</v>
      </c>
      <c r="R637">
        <v>47.5</v>
      </c>
      <c r="S637" t="s">
        <v>31</v>
      </c>
      <c r="T637" t="s">
        <v>54</v>
      </c>
      <c r="U637">
        <v>32.715699999999998</v>
      </c>
      <c r="V637">
        <v>-117.1611</v>
      </c>
      <c r="W637" s="2">
        <v>45263</v>
      </c>
      <c r="X637">
        <v>8</v>
      </c>
      <c r="Y637" t="b">
        <v>1</v>
      </c>
      <c r="Z637" s="2">
        <v>45829</v>
      </c>
      <c r="AA637" t="str">
        <f t="shared" si="91"/>
        <v>30–39</v>
      </c>
      <c r="AB637" t="str">
        <f t="shared" si="92"/>
        <v>30–39</v>
      </c>
      <c r="AC637" t="str">
        <f t="shared" si="93"/>
        <v/>
      </c>
      <c r="AD637" t="str">
        <f t="shared" si="94"/>
        <v>Tuesday</v>
      </c>
      <c r="AE637" t="str">
        <f t="shared" si="95"/>
        <v/>
      </c>
      <c r="AF637" t="str">
        <f t="shared" si="96"/>
        <v>Thursday</v>
      </c>
      <c r="AG637" t="str">
        <f t="shared" si="97"/>
        <v>Friday</v>
      </c>
      <c r="AH637" t="str">
        <f t="shared" si="98"/>
        <v/>
      </c>
      <c r="AI637" t="str">
        <f t="shared" si="99"/>
        <v/>
      </c>
      <c r="AJ637" t="str">
        <f>LEFT(Table1[[#This Row],[membership_type]],2)&amp;TEXT(Table1[[#This Row],[age]],"00")&amp;"-"&amp;TEXT(ROW(),"000")</f>
        <v>Pr34-637</v>
      </c>
      <c r="AK637" t="str">
        <f>LEFT(Table1[[#This Row],[membership_type]],1)&amp;TEXT(MATCH(Table1[[#This Row],[membership_type]],Table1[membership_type],0),"00")</f>
        <v>P01</v>
      </c>
      <c r="AL637" t="str">
        <f>LEFT(Table1[[#This Row],[discount_type]],1)&amp;TEXT(ROUND(Table1[[#This Row],[discount_rate]]*100,0),"00")</f>
        <v>P05</v>
      </c>
      <c r="AM637" t="str" cm="1">
        <f t="array" ref="AM637">TEXT(SUMPRODUCT(CODE(MID(Table1[[#This Row],[home_gym_location]],_xlfn.SEQUENCE(LEN(Table1[[#This Row],[home_gym_location]])),1))),"00000")</f>
        <v>01018</v>
      </c>
      <c r="AN63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37" t="str">
        <f>LEFT(_xlfn.TEXTBEFORE(Table1[[#This Row],[Location Identifier]],"-"),3) &amp; "-" &amp; _xlfn.TEXTAFTER(Table1[[#This Row],[Location Identifier]],"-")</f>
        <v>SAN-008</v>
      </c>
      <c r="AP637" s="9">
        <f t="shared" ca="1" si="90"/>
        <v>45869</v>
      </c>
    </row>
    <row r="638" spans="1:42" x14ac:dyDescent="0.25">
      <c r="A638">
        <v>29</v>
      </c>
      <c r="B638" t="s">
        <v>51</v>
      </c>
      <c r="C638">
        <v>2</v>
      </c>
      <c r="D638" t="s">
        <v>46</v>
      </c>
      <c r="E638" t="b">
        <v>0</v>
      </c>
      <c r="F638" s="1">
        <v>0.71458333333333335</v>
      </c>
      <c r="G638" s="1">
        <v>0.75416666666666665</v>
      </c>
      <c r="H638">
        <v>57</v>
      </c>
      <c r="I638" t="b">
        <v>0</v>
      </c>
      <c r="J638" t="b">
        <v>1</v>
      </c>
      <c r="K638" t="b">
        <v>1</v>
      </c>
      <c r="L638" t="s">
        <v>28</v>
      </c>
      <c r="M638">
        <v>70</v>
      </c>
      <c r="N638" t="s">
        <v>29</v>
      </c>
      <c r="O638">
        <v>70</v>
      </c>
      <c r="P638" t="s">
        <v>36</v>
      </c>
      <c r="Q638">
        <v>0</v>
      </c>
      <c r="R638">
        <v>70</v>
      </c>
      <c r="S638" t="s">
        <v>53</v>
      </c>
      <c r="T638" t="s">
        <v>50</v>
      </c>
      <c r="U638">
        <v>34.052199999999999</v>
      </c>
      <c r="V638">
        <v>-118.2437</v>
      </c>
      <c r="W638" s="2">
        <v>45572</v>
      </c>
      <c r="X638">
        <v>8</v>
      </c>
      <c r="Y638" t="b">
        <v>1</v>
      </c>
      <c r="Z638" s="2">
        <v>45846</v>
      </c>
      <c r="AA638" t="str">
        <f t="shared" si="91"/>
        <v>20–29</v>
      </c>
      <c r="AB638" t="str">
        <f t="shared" si="92"/>
        <v>20–29</v>
      </c>
      <c r="AC638" t="str">
        <f t="shared" si="93"/>
        <v/>
      </c>
      <c r="AD638" t="str">
        <f t="shared" si="94"/>
        <v/>
      </c>
      <c r="AE638" t="str">
        <f t="shared" si="95"/>
        <v>Wednesday</v>
      </c>
      <c r="AF638" t="str">
        <f t="shared" si="96"/>
        <v/>
      </c>
      <c r="AG638" t="str">
        <f t="shared" si="97"/>
        <v/>
      </c>
      <c r="AH638" t="str">
        <f t="shared" si="98"/>
        <v/>
      </c>
      <c r="AI638" t="str">
        <f t="shared" si="99"/>
        <v>Sunday</v>
      </c>
      <c r="AJ638" t="str">
        <f>LEFT(Table1[[#This Row],[membership_type]],2)&amp;TEXT(Table1[[#This Row],[age]],"00")&amp;"-"&amp;TEXT(ROW(),"000")</f>
        <v>El29-638</v>
      </c>
      <c r="AK638" t="str">
        <f>LEFT(Table1[[#This Row],[membership_type]],1)&amp;TEXT(MATCH(Table1[[#This Row],[membership_type]],Table1[membership_type],0),"00")</f>
        <v>E07</v>
      </c>
      <c r="AL638" t="str">
        <f>LEFT(Table1[[#This Row],[discount_type]],1)&amp;TEXT(ROUND(Table1[[#This Row],[discount_rate]]*100,0),"00")</f>
        <v>N00</v>
      </c>
      <c r="AM638" t="str" cm="1">
        <f t="array" ref="AM638">TEXT(SUMPRODUCT(CODE(MID(Table1[[#This Row],[home_gym_location]],_xlfn.SEQUENCE(LEN(Table1[[#This Row],[home_gym_location]])),1))),"00000")</f>
        <v>01245</v>
      </c>
      <c r="AN63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38" t="str">
        <f>LEFT(_xlfn.TEXTBEFORE(Table1[[#This Row],[Location Identifier]],"-"),3) &amp; "-" &amp; _xlfn.TEXTAFTER(Table1[[#This Row],[Location Identifier]],"-")</f>
        <v>LOS-005</v>
      </c>
      <c r="AP638" s="9">
        <f t="shared" ca="1" si="90"/>
        <v>45869</v>
      </c>
    </row>
    <row r="639" spans="1:42" x14ac:dyDescent="0.25">
      <c r="A639">
        <v>15</v>
      </c>
      <c r="B639" t="s">
        <v>33</v>
      </c>
      <c r="C639">
        <v>2</v>
      </c>
      <c r="D639" t="s">
        <v>101</v>
      </c>
      <c r="E639" t="b">
        <v>0</v>
      </c>
      <c r="F639" s="1">
        <v>0.56736111111111109</v>
      </c>
      <c r="G639" s="1">
        <v>0.61805555555555558</v>
      </c>
      <c r="H639">
        <v>73</v>
      </c>
      <c r="I639" t="b">
        <v>1</v>
      </c>
      <c r="J639" t="b">
        <v>1</v>
      </c>
      <c r="K639" t="b">
        <v>1</v>
      </c>
      <c r="L639" t="s">
        <v>62</v>
      </c>
      <c r="M639">
        <v>30</v>
      </c>
      <c r="N639" t="s">
        <v>64</v>
      </c>
      <c r="O639">
        <v>22.5</v>
      </c>
      <c r="P639" t="s">
        <v>30</v>
      </c>
      <c r="Q639">
        <v>0.05</v>
      </c>
      <c r="R639">
        <v>21.375</v>
      </c>
      <c r="S639" t="s">
        <v>37</v>
      </c>
      <c r="T639" t="s">
        <v>54</v>
      </c>
      <c r="U639">
        <v>32.715699999999998</v>
      </c>
      <c r="V639">
        <v>-117.1611</v>
      </c>
      <c r="W639" s="2">
        <v>45544</v>
      </c>
      <c r="X639">
        <v>4</v>
      </c>
      <c r="Y639" t="b">
        <v>0</v>
      </c>
      <c r="Z639" s="2">
        <v>45844</v>
      </c>
      <c r="AA639" t="str">
        <f t="shared" si="91"/>
        <v>10–19</v>
      </c>
      <c r="AB639" t="str">
        <f t="shared" si="92"/>
        <v>Under 16</v>
      </c>
      <c r="AC639" t="str">
        <f t="shared" si="93"/>
        <v>Monday</v>
      </c>
      <c r="AD639" t="str">
        <f t="shared" si="94"/>
        <v/>
      </c>
      <c r="AE639" t="str">
        <f t="shared" si="95"/>
        <v/>
      </c>
      <c r="AF639" t="str">
        <f t="shared" si="96"/>
        <v/>
      </c>
      <c r="AG639" t="str">
        <f t="shared" si="97"/>
        <v>Friday</v>
      </c>
      <c r="AH639" t="str">
        <f t="shared" si="98"/>
        <v/>
      </c>
      <c r="AI639" t="str">
        <f t="shared" si="99"/>
        <v/>
      </c>
      <c r="AJ639" t="str">
        <f>LEFT(Table1[[#This Row],[membership_type]],2)&amp;TEXT(Table1[[#This Row],[age]],"00")&amp;"-"&amp;TEXT(ROW(),"000")</f>
        <v>St15-639</v>
      </c>
      <c r="AK639" t="str">
        <f>LEFT(Table1[[#This Row],[membership_type]],1)&amp;TEXT(MATCH(Table1[[#This Row],[membership_type]],Table1[membership_type],0),"00")</f>
        <v>S02</v>
      </c>
      <c r="AL639" t="str">
        <f>LEFT(Table1[[#This Row],[discount_type]],1)&amp;TEXT(ROUND(Table1[[#This Row],[discount_rate]]*100,0),"00")</f>
        <v>P05</v>
      </c>
      <c r="AM639" t="str" cm="1">
        <f t="array" ref="AM639">TEXT(SUMPRODUCT(CODE(MID(Table1[[#This Row],[home_gym_location]],_xlfn.SEQUENCE(LEN(Table1[[#This Row],[home_gym_location]])),1))),"00000")</f>
        <v>01018</v>
      </c>
      <c r="AN63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39" t="str">
        <f>LEFT(_xlfn.TEXTBEFORE(Table1[[#This Row],[Location Identifier]],"-"),3) &amp; "-" &amp; _xlfn.TEXTAFTER(Table1[[#This Row],[Location Identifier]],"-")</f>
        <v>SAN-008</v>
      </c>
      <c r="AP639" s="9">
        <f t="shared" ca="1" si="90"/>
        <v>45869</v>
      </c>
    </row>
    <row r="640" spans="1:42" x14ac:dyDescent="0.25">
      <c r="A640">
        <v>45</v>
      </c>
      <c r="B640" t="s">
        <v>51</v>
      </c>
      <c r="C640">
        <v>4</v>
      </c>
      <c r="D640" t="s">
        <v>85</v>
      </c>
      <c r="E640" t="b">
        <v>0</v>
      </c>
      <c r="F640" s="1">
        <v>0.47152777777777777</v>
      </c>
      <c r="G640" s="1">
        <v>0.51111111111111107</v>
      </c>
      <c r="H640">
        <v>57</v>
      </c>
      <c r="I640" t="b">
        <v>0</v>
      </c>
      <c r="J640" t="b">
        <v>1</v>
      </c>
      <c r="K640" t="b">
        <v>1</v>
      </c>
      <c r="L640" t="s">
        <v>62</v>
      </c>
      <c r="M640">
        <v>70</v>
      </c>
      <c r="N640" t="s">
        <v>29</v>
      </c>
      <c r="O640">
        <v>70</v>
      </c>
      <c r="P640" t="s">
        <v>36</v>
      </c>
      <c r="Q640">
        <v>0</v>
      </c>
      <c r="R640">
        <v>70</v>
      </c>
      <c r="S640" t="s">
        <v>53</v>
      </c>
      <c r="T640" t="s">
        <v>38</v>
      </c>
      <c r="U640">
        <v>36.7378</v>
      </c>
      <c r="V640">
        <v>-119.7871</v>
      </c>
      <c r="W640" s="2">
        <v>45429</v>
      </c>
      <c r="X640">
        <v>7</v>
      </c>
      <c r="Y640" t="b">
        <v>0</v>
      </c>
      <c r="Z640" s="2">
        <v>45838</v>
      </c>
      <c r="AA640" t="str">
        <f t="shared" si="91"/>
        <v>40–49</v>
      </c>
      <c r="AB640" t="str">
        <f t="shared" si="92"/>
        <v>40–49</v>
      </c>
      <c r="AC640" t="str">
        <f t="shared" si="93"/>
        <v/>
      </c>
      <c r="AD640" t="str">
        <f t="shared" si="94"/>
        <v>Tuesday</v>
      </c>
      <c r="AE640" t="str">
        <f t="shared" si="95"/>
        <v/>
      </c>
      <c r="AF640" t="str">
        <f t="shared" si="96"/>
        <v>Thursday</v>
      </c>
      <c r="AG640" t="str">
        <f t="shared" si="97"/>
        <v/>
      </c>
      <c r="AH640" t="str">
        <f t="shared" si="98"/>
        <v>Saturday</v>
      </c>
      <c r="AI640" t="str">
        <f t="shared" si="99"/>
        <v>Sunday</v>
      </c>
      <c r="AJ640" t="str">
        <f>LEFT(Table1[[#This Row],[membership_type]],2)&amp;TEXT(Table1[[#This Row],[age]],"00")&amp;"-"&amp;TEXT(ROW(),"000")</f>
        <v>El45-640</v>
      </c>
      <c r="AK640" t="str">
        <f>LEFT(Table1[[#This Row],[membership_type]],1)&amp;TEXT(MATCH(Table1[[#This Row],[membership_type]],Table1[membership_type],0),"00")</f>
        <v>E07</v>
      </c>
      <c r="AL640" t="str">
        <f>LEFT(Table1[[#This Row],[discount_type]],1)&amp;TEXT(ROUND(Table1[[#This Row],[discount_rate]]*100,0),"00")</f>
        <v>N00</v>
      </c>
      <c r="AM640" t="str" cm="1">
        <f t="array" ref="AM640">TEXT(SUMPRODUCT(CODE(MID(Table1[[#This Row],[home_gym_location]],_xlfn.SEQUENCE(LEN(Table1[[#This Row],[home_gym_location]])),1))),"00000")</f>
        <v>00829</v>
      </c>
      <c r="AN640" t="str">
        <f>UPPER(_xlfn.TEXTBEFORE(Table1[[#This Row],[home_gym_location]],","))&amp;"-"&amp;TEXT(MATCH(Table1[[#This Row],[home_gym_location]],_xlfn._xlws.SORT(_xlfn.UNIQUE(Table1[home_gym_location])),0),"000")</f>
        <v>FRESNO-003</v>
      </c>
      <c r="AO640" t="str">
        <f>LEFT(_xlfn.TEXTBEFORE(Table1[[#This Row],[Location Identifier]],"-"),3) &amp; "-" &amp; _xlfn.TEXTAFTER(Table1[[#This Row],[Location Identifier]],"-")</f>
        <v>FRE-003</v>
      </c>
      <c r="AP640" s="9">
        <f t="shared" ca="1" si="90"/>
        <v>45869</v>
      </c>
    </row>
    <row r="641" spans="1:42" x14ac:dyDescent="0.25">
      <c r="A641">
        <v>40</v>
      </c>
      <c r="B641" t="s">
        <v>26</v>
      </c>
      <c r="C641">
        <v>2</v>
      </c>
      <c r="D641" t="s">
        <v>116</v>
      </c>
      <c r="E641" t="b">
        <v>0</v>
      </c>
      <c r="F641" s="1">
        <v>0.48402777777777778</v>
      </c>
      <c r="G641" s="1">
        <v>0.59930555555555554</v>
      </c>
      <c r="H641">
        <v>166</v>
      </c>
      <c r="I641" t="b">
        <v>0</v>
      </c>
      <c r="J641" t="b">
        <v>1</v>
      </c>
      <c r="K641" t="b">
        <v>1</v>
      </c>
      <c r="L641" t="s">
        <v>28</v>
      </c>
      <c r="M641">
        <v>50</v>
      </c>
      <c r="N641" t="s">
        <v>29</v>
      </c>
      <c r="O641">
        <v>50</v>
      </c>
      <c r="P641" t="s">
        <v>36</v>
      </c>
      <c r="Q641">
        <v>0</v>
      </c>
      <c r="R641">
        <v>50</v>
      </c>
      <c r="S641" t="s">
        <v>31</v>
      </c>
      <c r="T641" t="s">
        <v>32</v>
      </c>
      <c r="U641">
        <v>37.338200000000001</v>
      </c>
      <c r="V641">
        <v>-121.88630000000001</v>
      </c>
      <c r="W641" s="2">
        <v>45809</v>
      </c>
      <c r="X641">
        <v>7</v>
      </c>
      <c r="Y641" t="b">
        <v>1</v>
      </c>
      <c r="Z641" s="2">
        <v>45859</v>
      </c>
      <c r="AA641" t="str">
        <f t="shared" si="91"/>
        <v>40–49</v>
      </c>
      <c r="AB641" t="str">
        <f t="shared" si="92"/>
        <v>40–49</v>
      </c>
      <c r="AC641" t="str">
        <f t="shared" si="93"/>
        <v/>
      </c>
      <c r="AD641" t="str">
        <f t="shared" si="94"/>
        <v/>
      </c>
      <c r="AE641" t="str">
        <f t="shared" si="95"/>
        <v/>
      </c>
      <c r="AF641" t="str">
        <f t="shared" si="96"/>
        <v>Thursday</v>
      </c>
      <c r="AG641" t="str">
        <f t="shared" si="97"/>
        <v/>
      </c>
      <c r="AH641" t="str">
        <f t="shared" si="98"/>
        <v/>
      </c>
      <c r="AI641" t="str">
        <f t="shared" si="99"/>
        <v>Sunday</v>
      </c>
      <c r="AJ641" t="str">
        <f>LEFT(Table1[[#This Row],[membership_type]],2)&amp;TEXT(Table1[[#This Row],[age]],"00")&amp;"-"&amp;TEXT(ROW(),"000")</f>
        <v>Pr40-641</v>
      </c>
      <c r="AK641" t="str">
        <f>LEFT(Table1[[#This Row],[membership_type]],1)&amp;TEXT(MATCH(Table1[[#This Row],[membership_type]],Table1[membership_type],0),"00")</f>
        <v>P01</v>
      </c>
      <c r="AL641" t="str">
        <f>LEFT(Table1[[#This Row],[discount_type]],1)&amp;TEXT(ROUND(Table1[[#This Row],[discount_rate]]*100,0),"00")</f>
        <v>N00</v>
      </c>
      <c r="AM641" t="str" cm="1">
        <f t="array" ref="AM641">TEXT(SUMPRODUCT(CODE(MID(Table1[[#This Row],[home_gym_location]],_xlfn.SEQUENCE(LEN(Table1[[#This Row],[home_gym_location]])),1))),"00000")</f>
        <v>00931</v>
      </c>
      <c r="AN64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41" t="str">
        <f>LEFT(_xlfn.TEXTBEFORE(Table1[[#This Row],[Location Identifier]],"-"),3) &amp; "-" &amp; _xlfn.TEXTAFTER(Table1[[#This Row],[Location Identifier]],"-")</f>
        <v>SAN-010</v>
      </c>
      <c r="AP641" s="9">
        <f t="shared" ca="1" si="90"/>
        <v>45869</v>
      </c>
    </row>
    <row r="642" spans="1:42" x14ac:dyDescent="0.25">
      <c r="A642">
        <v>29</v>
      </c>
      <c r="B642" t="s">
        <v>26</v>
      </c>
      <c r="C642">
        <v>3</v>
      </c>
      <c r="D642" t="s">
        <v>102</v>
      </c>
      <c r="E642" t="b">
        <v>1</v>
      </c>
      <c r="F642" s="1">
        <v>0.54305555555555551</v>
      </c>
      <c r="G642" s="1">
        <v>0.58888888888888891</v>
      </c>
      <c r="H642">
        <v>66</v>
      </c>
      <c r="I642" t="b">
        <v>0</v>
      </c>
      <c r="J642" t="b">
        <v>0</v>
      </c>
      <c r="K642" t="b">
        <v>1</v>
      </c>
      <c r="L642" t="s">
        <v>35</v>
      </c>
      <c r="M642">
        <v>50</v>
      </c>
      <c r="N642" t="s">
        <v>64</v>
      </c>
      <c r="O642">
        <v>37.5</v>
      </c>
      <c r="P642" t="s">
        <v>40</v>
      </c>
      <c r="Q642">
        <v>0.1</v>
      </c>
      <c r="R642">
        <v>33.75</v>
      </c>
      <c r="S642" t="s">
        <v>31</v>
      </c>
      <c r="T642" t="s">
        <v>38</v>
      </c>
      <c r="U642">
        <v>36.7378</v>
      </c>
      <c r="V642">
        <v>-119.7871</v>
      </c>
      <c r="W642" s="2">
        <v>45487</v>
      </c>
      <c r="X642">
        <v>0</v>
      </c>
      <c r="Y642" t="b">
        <v>0</v>
      </c>
      <c r="Z642" s="2">
        <v>45841</v>
      </c>
      <c r="AA642" t="str">
        <f t="shared" si="91"/>
        <v>20–29</v>
      </c>
      <c r="AB642" t="str">
        <f t="shared" si="92"/>
        <v>20–29</v>
      </c>
      <c r="AC642" t="str">
        <f t="shared" si="93"/>
        <v/>
      </c>
      <c r="AD642" t="str">
        <f t="shared" si="94"/>
        <v/>
      </c>
      <c r="AE642" t="str">
        <f t="shared" si="95"/>
        <v/>
      </c>
      <c r="AF642" t="str">
        <f t="shared" si="96"/>
        <v>Thursday</v>
      </c>
      <c r="AG642" t="str">
        <f t="shared" si="97"/>
        <v>Friday</v>
      </c>
      <c r="AH642" t="str">
        <f t="shared" si="98"/>
        <v>Saturday</v>
      </c>
      <c r="AI642" t="str">
        <f t="shared" si="99"/>
        <v/>
      </c>
      <c r="AJ642" t="str">
        <f>LEFT(Table1[[#This Row],[membership_type]],2)&amp;TEXT(Table1[[#This Row],[age]],"00")&amp;"-"&amp;TEXT(ROW(),"000")</f>
        <v>Pr29-642</v>
      </c>
      <c r="AK642" t="str">
        <f>LEFT(Table1[[#This Row],[membership_type]],1)&amp;TEXT(MATCH(Table1[[#This Row],[membership_type]],Table1[membership_type],0),"00")</f>
        <v>P01</v>
      </c>
      <c r="AL642" t="str">
        <f>LEFT(Table1[[#This Row],[discount_type]],1)&amp;TEXT(ROUND(Table1[[#This Row],[discount_rate]]*100,0),"00")</f>
        <v>L10</v>
      </c>
      <c r="AM642" t="str" cm="1">
        <f t="array" ref="AM642">TEXT(SUMPRODUCT(CODE(MID(Table1[[#This Row],[home_gym_location]],_xlfn.SEQUENCE(LEN(Table1[[#This Row],[home_gym_location]])),1))),"00000")</f>
        <v>00829</v>
      </c>
      <c r="AN642" t="str">
        <f>UPPER(_xlfn.TEXTBEFORE(Table1[[#This Row],[home_gym_location]],","))&amp;"-"&amp;TEXT(MATCH(Table1[[#This Row],[home_gym_location]],_xlfn._xlws.SORT(_xlfn.UNIQUE(Table1[home_gym_location])),0),"000")</f>
        <v>FRESNO-003</v>
      </c>
      <c r="AO642" t="str">
        <f>LEFT(_xlfn.TEXTBEFORE(Table1[[#This Row],[Location Identifier]],"-"),3) &amp; "-" &amp; _xlfn.TEXTAFTER(Table1[[#This Row],[Location Identifier]],"-")</f>
        <v>FRE-003</v>
      </c>
      <c r="AP642" s="9">
        <f t="shared" ref="AP642:AP705" ca="1" si="100">EOMONTH(DATE(YEAR(TODAY()),7,1),0)</f>
        <v>45869</v>
      </c>
    </row>
    <row r="643" spans="1:42" x14ac:dyDescent="0.25">
      <c r="A643">
        <v>17</v>
      </c>
      <c r="B643" t="s">
        <v>51</v>
      </c>
      <c r="C643">
        <v>2</v>
      </c>
      <c r="D643" t="s">
        <v>92</v>
      </c>
      <c r="E643" t="b">
        <v>1</v>
      </c>
      <c r="F643" s="1">
        <v>0.87152777777777779</v>
      </c>
      <c r="G643" s="1">
        <v>0.9291666666666667</v>
      </c>
      <c r="H643">
        <v>83</v>
      </c>
      <c r="I643" t="b">
        <v>1</v>
      </c>
      <c r="J643" t="b">
        <v>0</v>
      </c>
      <c r="K643" t="b">
        <v>0</v>
      </c>
      <c r="L643" t="s">
        <v>28</v>
      </c>
      <c r="M643">
        <v>70</v>
      </c>
      <c r="N643" t="s">
        <v>78</v>
      </c>
      <c r="O643">
        <v>63</v>
      </c>
      <c r="P643" t="s">
        <v>74</v>
      </c>
      <c r="Q643">
        <v>0.15</v>
      </c>
      <c r="R643">
        <v>53.55</v>
      </c>
      <c r="S643" t="s">
        <v>53</v>
      </c>
      <c r="T643" t="s">
        <v>48</v>
      </c>
      <c r="U643">
        <v>38.581600000000002</v>
      </c>
      <c r="V643">
        <v>-121.4944</v>
      </c>
      <c r="W643" s="2">
        <v>45605</v>
      </c>
      <c r="X643">
        <v>0</v>
      </c>
      <c r="Y643" t="b">
        <v>1</v>
      </c>
      <c r="Z643" s="2">
        <v>45848</v>
      </c>
      <c r="AA643" t="str">
        <f t="shared" ref="AA643:AA706" si="101">TEXT(10*INT($A643/10),"0")&amp;"–"&amp;TEXT(10*INT($A643/10)+9,"0")</f>
        <v>10–19</v>
      </c>
      <c r="AB643" t="str">
        <f t="shared" ref="AB643:AB706" si="102">IF(AND($AA643 = "10–19", $A643 &lt; 16), "Under 16", IF(AND($AA643 = "10–19", $A643 &gt;= 16), "16–19", $AA643))</f>
        <v>16–19</v>
      </c>
      <c r="AC643" t="str">
        <f t="shared" ref="AC643:AC706" si="103">IF(ISNUMBER(SEARCH("Mon", $D643)), "Monday", "")</f>
        <v/>
      </c>
      <c r="AD643" t="str">
        <f t="shared" ref="AD643:AD706" si="104">IF(ISNUMBER(SEARCH("Tue", $D643)), "Tuesday", "")</f>
        <v/>
      </c>
      <c r="AE643" t="str">
        <f t="shared" ref="AE643:AE706" si="105">IF(ISNUMBER(SEARCH("Wed", $D643)), "Wednesday", "")</f>
        <v/>
      </c>
      <c r="AF643" t="str">
        <f t="shared" ref="AF643:AF706" si="106">IF(ISNUMBER(SEARCH("Thu", $D643)), "Thursday", "")</f>
        <v/>
      </c>
      <c r="AG643" t="str">
        <f t="shared" ref="AG643:AG706" si="107">IF(ISNUMBER(SEARCH("Fri", $D643)), "Friday", "")</f>
        <v>Friday</v>
      </c>
      <c r="AH643" t="str">
        <f t="shared" ref="AH643:AH706" si="108">IF(ISNUMBER(SEARCH("Sat", $D643)), "Saturday", "")</f>
        <v/>
      </c>
      <c r="AI643" t="str">
        <f t="shared" ref="AI643:AI706" si="109">IF(ISNUMBER(SEARCH("Sun", $D643)), "Sunday", "")</f>
        <v>Sunday</v>
      </c>
      <c r="AJ643" t="str">
        <f>LEFT(Table1[[#This Row],[membership_type]],2)&amp;TEXT(Table1[[#This Row],[age]],"00")&amp;"-"&amp;TEXT(ROW(),"000")</f>
        <v>El17-643</v>
      </c>
      <c r="AK643" t="str">
        <f>LEFT(Table1[[#This Row],[membership_type]],1)&amp;TEXT(MATCH(Table1[[#This Row],[membership_type]],Table1[membership_type],0),"00")</f>
        <v>E07</v>
      </c>
      <c r="AL643" t="str">
        <f>LEFT(Table1[[#This Row],[discount_type]],1)&amp;TEXT(ROUND(Table1[[#This Row],[discount_rate]]*100,0),"00")</f>
        <v>S15</v>
      </c>
      <c r="AM643" t="str" cm="1">
        <f t="array" ref="AM643">TEXT(SUMPRODUCT(CODE(MID(Table1[[#This Row],[home_gym_location]],_xlfn.SEQUENCE(LEN(Table1[[#This Row],[home_gym_location]])),1))),"00000")</f>
        <v>01245</v>
      </c>
      <c r="AN6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43" t="str">
        <f>LEFT(_xlfn.TEXTBEFORE(Table1[[#This Row],[Location Identifier]],"-"),3) &amp; "-" &amp; _xlfn.TEXTAFTER(Table1[[#This Row],[Location Identifier]],"-")</f>
        <v>SAC-007</v>
      </c>
      <c r="AP643" s="9">
        <f t="shared" ca="1" si="100"/>
        <v>45869</v>
      </c>
    </row>
    <row r="644" spans="1:42" x14ac:dyDescent="0.25">
      <c r="A644">
        <v>47</v>
      </c>
      <c r="B644" t="s">
        <v>26</v>
      </c>
      <c r="C644">
        <v>2</v>
      </c>
      <c r="D644" t="s">
        <v>84</v>
      </c>
      <c r="E644" t="b">
        <v>1</v>
      </c>
      <c r="F644" s="1">
        <v>0.63124999999999998</v>
      </c>
      <c r="G644" s="1">
        <v>0.6791666666666667</v>
      </c>
      <c r="H644">
        <v>69</v>
      </c>
      <c r="I644" t="b">
        <v>1</v>
      </c>
      <c r="J644" t="b">
        <v>1</v>
      </c>
      <c r="K644" t="b">
        <v>1</v>
      </c>
      <c r="L644" t="s">
        <v>47</v>
      </c>
      <c r="M644">
        <v>50</v>
      </c>
      <c r="N644" t="s">
        <v>64</v>
      </c>
      <c r="O644">
        <v>37.5</v>
      </c>
      <c r="P644" t="s">
        <v>30</v>
      </c>
      <c r="Q644">
        <v>0.05</v>
      </c>
      <c r="R644">
        <v>35.625</v>
      </c>
      <c r="S644" t="s">
        <v>31</v>
      </c>
      <c r="T644" t="s">
        <v>50</v>
      </c>
      <c r="U644">
        <v>34.052199999999999</v>
      </c>
      <c r="V644">
        <v>-118.2437</v>
      </c>
      <c r="W644" s="2">
        <v>45482</v>
      </c>
      <c r="X644">
        <v>6</v>
      </c>
      <c r="Y644" t="b">
        <v>1</v>
      </c>
      <c r="Z644" s="2">
        <v>45841</v>
      </c>
      <c r="AA644" t="str">
        <f t="shared" si="101"/>
        <v>40–49</v>
      </c>
      <c r="AB644" t="str">
        <f t="shared" si="102"/>
        <v>40–49</v>
      </c>
      <c r="AC644" t="str">
        <f t="shared" si="103"/>
        <v/>
      </c>
      <c r="AD644" t="str">
        <f t="shared" si="104"/>
        <v>Tuesday</v>
      </c>
      <c r="AE644" t="str">
        <f t="shared" si="105"/>
        <v/>
      </c>
      <c r="AF644" t="str">
        <f t="shared" si="106"/>
        <v/>
      </c>
      <c r="AG644" t="str">
        <f t="shared" si="107"/>
        <v/>
      </c>
      <c r="AH644" t="str">
        <f t="shared" si="108"/>
        <v/>
      </c>
      <c r="AI644" t="str">
        <f t="shared" si="109"/>
        <v>Sunday</v>
      </c>
      <c r="AJ644" t="str">
        <f>LEFT(Table1[[#This Row],[membership_type]],2)&amp;TEXT(Table1[[#This Row],[age]],"00")&amp;"-"&amp;TEXT(ROW(),"000")</f>
        <v>Pr47-644</v>
      </c>
      <c r="AK644" t="str">
        <f>LEFT(Table1[[#This Row],[membership_type]],1)&amp;TEXT(MATCH(Table1[[#This Row],[membership_type]],Table1[membership_type],0),"00")</f>
        <v>P01</v>
      </c>
      <c r="AL644" t="str">
        <f>LEFT(Table1[[#This Row],[discount_type]],1)&amp;TEXT(ROUND(Table1[[#This Row],[discount_rate]]*100,0),"00")</f>
        <v>P05</v>
      </c>
      <c r="AM644" t="str" cm="1">
        <f t="array" ref="AM644">TEXT(SUMPRODUCT(CODE(MID(Table1[[#This Row],[home_gym_location]],_xlfn.SEQUENCE(LEN(Table1[[#This Row],[home_gym_location]])),1))),"00000")</f>
        <v>01245</v>
      </c>
      <c r="AN64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44" t="str">
        <f>LEFT(_xlfn.TEXTBEFORE(Table1[[#This Row],[Location Identifier]],"-"),3) &amp; "-" &amp; _xlfn.TEXTAFTER(Table1[[#This Row],[Location Identifier]],"-")</f>
        <v>LOS-005</v>
      </c>
      <c r="AP644" s="9">
        <f t="shared" ca="1" si="100"/>
        <v>45869</v>
      </c>
    </row>
    <row r="645" spans="1:42" x14ac:dyDescent="0.25">
      <c r="A645">
        <v>29</v>
      </c>
      <c r="B645" t="s">
        <v>33</v>
      </c>
      <c r="C645">
        <v>1</v>
      </c>
      <c r="D645" t="s">
        <v>63</v>
      </c>
      <c r="E645" t="b">
        <v>1</v>
      </c>
      <c r="F645" s="1">
        <v>0.79861111111111116</v>
      </c>
      <c r="G645" s="1">
        <v>0.89722222222222225</v>
      </c>
      <c r="H645">
        <v>142</v>
      </c>
      <c r="I645" t="b">
        <v>1</v>
      </c>
      <c r="J645" t="b">
        <v>1</v>
      </c>
      <c r="K645" t="b">
        <v>0</v>
      </c>
      <c r="L645" t="s">
        <v>28</v>
      </c>
      <c r="M645">
        <v>30</v>
      </c>
      <c r="N645" t="s">
        <v>78</v>
      </c>
      <c r="O645">
        <v>27</v>
      </c>
      <c r="P645" t="s">
        <v>40</v>
      </c>
      <c r="Q645">
        <v>0.1</v>
      </c>
      <c r="R645">
        <v>24.3</v>
      </c>
      <c r="S645" t="s">
        <v>37</v>
      </c>
      <c r="T645" t="s">
        <v>48</v>
      </c>
      <c r="U645">
        <v>38.581600000000002</v>
      </c>
      <c r="V645">
        <v>-121.4944</v>
      </c>
      <c r="W645" s="2">
        <v>45703</v>
      </c>
      <c r="X645">
        <v>1</v>
      </c>
      <c r="Y645" t="b">
        <v>1</v>
      </c>
      <c r="Z645" s="2">
        <v>45853</v>
      </c>
      <c r="AA645" t="str">
        <f t="shared" si="101"/>
        <v>20–29</v>
      </c>
      <c r="AB645" t="str">
        <f t="shared" si="102"/>
        <v>20–29</v>
      </c>
      <c r="AC645" t="str">
        <f t="shared" si="103"/>
        <v/>
      </c>
      <c r="AD645" t="str">
        <f t="shared" si="104"/>
        <v/>
      </c>
      <c r="AE645" t="str">
        <f t="shared" si="105"/>
        <v>Wednesday</v>
      </c>
      <c r="AF645" t="str">
        <f t="shared" si="106"/>
        <v/>
      </c>
      <c r="AG645" t="str">
        <f t="shared" si="107"/>
        <v/>
      </c>
      <c r="AH645" t="str">
        <f t="shared" si="108"/>
        <v/>
      </c>
      <c r="AI645" t="str">
        <f t="shared" si="109"/>
        <v/>
      </c>
      <c r="AJ645" t="str">
        <f>LEFT(Table1[[#This Row],[membership_type]],2)&amp;TEXT(Table1[[#This Row],[age]],"00")&amp;"-"&amp;TEXT(ROW(),"000")</f>
        <v>St29-645</v>
      </c>
      <c r="AK645" t="str">
        <f>LEFT(Table1[[#This Row],[membership_type]],1)&amp;TEXT(MATCH(Table1[[#This Row],[membership_type]],Table1[membership_type],0),"00")</f>
        <v>S02</v>
      </c>
      <c r="AL645" t="str">
        <f>LEFT(Table1[[#This Row],[discount_type]],1)&amp;TEXT(ROUND(Table1[[#This Row],[discount_rate]]*100,0),"00")</f>
        <v>L10</v>
      </c>
      <c r="AM645" t="str" cm="1">
        <f t="array" ref="AM645">TEXT(SUMPRODUCT(CODE(MID(Table1[[#This Row],[home_gym_location]],_xlfn.SEQUENCE(LEN(Table1[[#This Row],[home_gym_location]])),1))),"00000")</f>
        <v>01245</v>
      </c>
      <c r="AN64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45" t="str">
        <f>LEFT(_xlfn.TEXTBEFORE(Table1[[#This Row],[Location Identifier]],"-"),3) &amp; "-" &amp; _xlfn.TEXTAFTER(Table1[[#This Row],[Location Identifier]],"-")</f>
        <v>SAC-007</v>
      </c>
      <c r="AP645" s="9">
        <f t="shared" ca="1" si="100"/>
        <v>45869</v>
      </c>
    </row>
    <row r="646" spans="1:42" x14ac:dyDescent="0.25">
      <c r="A646">
        <v>39</v>
      </c>
      <c r="B646" t="s">
        <v>33</v>
      </c>
      <c r="C646">
        <v>4</v>
      </c>
      <c r="D646" t="s">
        <v>39</v>
      </c>
      <c r="E646" t="b">
        <v>1</v>
      </c>
      <c r="F646" s="1">
        <v>0.56597222222222221</v>
      </c>
      <c r="G646" s="1">
        <v>0.60902777777777772</v>
      </c>
      <c r="H646">
        <v>62</v>
      </c>
      <c r="I646" t="b">
        <v>1</v>
      </c>
      <c r="J646" t="b">
        <v>1</v>
      </c>
      <c r="K646" t="b">
        <v>1</v>
      </c>
      <c r="L646" t="s">
        <v>28</v>
      </c>
      <c r="M646">
        <v>30</v>
      </c>
      <c r="N646" t="s">
        <v>29</v>
      </c>
      <c r="O646">
        <v>30</v>
      </c>
      <c r="P646" t="s">
        <v>40</v>
      </c>
      <c r="Q646">
        <v>0.1</v>
      </c>
      <c r="R646">
        <v>27</v>
      </c>
      <c r="S646" t="s">
        <v>37</v>
      </c>
      <c r="T646" t="s">
        <v>41</v>
      </c>
      <c r="U646">
        <v>37.804400000000001</v>
      </c>
      <c r="V646">
        <v>-122.27119999999999</v>
      </c>
      <c r="W646" s="2">
        <v>44882</v>
      </c>
      <c r="X646">
        <v>4</v>
      </c>
      <c r="Y646" t="b">
        <v>0</v>
      </c>
      <c r="Z646" s="2">
        <v>45807</v>
      </c>
      <c r="AA646" t="str">
        <f t="shared" si="101"/>
        <v>30–39</v>
      </c>
      <c r="AB646" t="str">
        <f t="shared" si="102"/>
        <v>30–39</v>
      </c>
      <c r="AC646" t="str">
        <f t="shared" si="103"/>
        <v/>
      </c>
      <c r="AD646" t="str">
        <f t="shared" si="104"/>
        <v>Tuesday</v>
      </c>
      <c r="AE646" t="str">
        <f t="shared" si="105"/>
        <v>Wednesday</v>
      </c>
      <c r="AF646" t="str">
        <f t="shared" si="106"/>
        <v>Thursday</v>
      </c>
      <c r="AG646" t="str">
        <f t="shared" si="107"/>
        <v/>
      </c>
      <c r="AH646" t="str">
        <f t="shared" si="108"/>
        <v/>
      </c>
      <c r="AI646" t="str">
        <f t="shared" si="109"/>
        <v>Sunday</v>
      </c>
      <c r="AJ646" t="str">
        <f>LEFT(Table1[[#This Row],[membership_type]],2)&amp;TEXT(Table1[[#This Row],[age]],"00")&amp;"-"&amp;TEXT(ROW(),"000")</f>
        <v>St39-646</v>
      </c>
      <c r="AK646" t="str">
        <f>LEFT(Table1[[#This Row],[membership_type]],1)&amp;TEXT(MATCH(Table1[[#This Row],[membership_type]],Table1[membership_type],0),"00")</f>
        <v>S02</v>
      </c>
      <c r="AL646" t="str">
        <f>LEFT(Table1[[#This Row],[discount_type]],1)&amp;TEXT(ROUND(Table1[[#This Row],[discount_rate]]*100,0),"00")</f>
        <v>L10</v>
      </c>
      <c r="AM646" t="str" cm="1">
        <f t="array" ref="AM646">TEXT(SUMPRODUCT(CODE(MID(Table1[[#This Row],[home_gym_location]],_xlfn.SEQUENCE(LEN(Table1[[#This Row],[home_gym_location]])),1))),"00000")</f>
        <v>00906</v>
      </c>
      <c r="AN646" t="str">
        <f>UPPER(_xlfn.TEXTBEFORE(Table1[[#This Row],[home_gym_location]],","))&amp;"-"&amp;TEXT(MATCH(Table1[[#This Row],[home_gym_location]],_xlfn._xlws.SORT(_xlfn.UNIQUE(Table1[home_gym_location])),0),"000")</f>
        <v>OAKLAND-006</v>
      </c>
      <c r="AO646" t="str">
        <f>LEFT(_xlfn.TEXTBEFORE(Table1[[#This Row],[Location Identifier]],"-"),3) &amp; "-" &amp; _xlfn.TEXTAFTER(Table1[[#This Row],[Location Identifier]],"-")</f>
        <v>OAK-006</v>
      </c>
      <c r="AP646" s="9">
        <f t="shared" ca="1" si="100"/>
        <v>45869</v>
      </c>
    </row>
    <row r="647" spans="1:42" x14ac:dyDescent="0.25">
      <c r="A647">
        <v>23</v>
      </c>
      <c r="B647" t="s">
        <v>33</v>
      </c>
      <c r="C647">
        <v>1</v>
      </c>
      <c r="D647" t="s">
        <v>63</v>
      </c>
      <c r="E647" t="b">
        <v>1</v>
      </c>
      <c r="F647" s="1">
        <v>0.79166666666666663</v>
      </c>
      <c r="G647" s="1">
        <v>0.8256944444444444</v>
      </c>
      <c r="H647">
        <v>49</v>
      </c>
      <c r="I647" t="b">
        <v>1</v>
      </c>
      <c r="J647" t="b">
        <v>0</v>
      </c>
      <c r="K647" t="b">
        <v>1</v>
      </c>
      <c r="L647" t="s">
        <v>62</v>
      </c>
      <c r="M647">
        <v>30</v>
      </c>
      <c r="N647" t="s">
        <v>29</v>
      </c>
      <c r="O647">
        <v>30</v>
      </c>
      <c r="P647" t="s">
        <v>30</v>
      </c>
      <c r="Q647">
        <v>0.05</v>
      </c>
      <c r="R647">
        <v>28.5</v>
      </c>
      <c r="S647" t="s">
        <v>37</v>
      </c>
      <c r="T647" t="s">
        <v>56</v>
      </c>
      <c r="U647">
        <v>35.3733</v>
      </c>
      <c r="V647">
        <v>-119.0187</v>
      </c>
      <c r="W647" s="2">
        <v>45198</v>
      </c>
      <c r="X647">
        <v>0</v>
      </c>
      <c r="Y647" t="b">
        <v>0</v>
      </c>
      <c r="Z647" s="2">
        <v>45825</v>
      </c>
      <c r="AA647" t="str">
        <f t="shared" si="101"/>
        <v>20–29</v>
      </c>
      <c r="AB647" t="str">
        <f t="shared" si="102"/>
        <v>20–29</v>
      </c>
      <c r="AC647" t="str">
        <f t="shared" si="103"/>
        <v/>
      </c>
      <c r="AD647" t="str">
        <f t="shared" si="104"/>
        <v/>
      </c>
      <c r="AE647" t="str">
        <f t="shared" si="105"/>
        <v>Wednesday</v>
      </c>
      <c r="AF647" t="str">
        <f t="shared" si="106"/>
        <v/>
      </c>
      <c r="AG647" t="str">
        <f t="shared" si="107"/>
        <v/>
      </c>
      <c r="AH647" t="str">
        <f t="shared" si="108"/>
        <v/>
      </c>
      <c r="AI647" t="str">
        <f t="shared" si="109"/>
        <v/>
      </c>
      <c r="AJ647" t="str">
        <f>LEFT(Table1[[#This Row],[membership_type]],2)&amp;TEXT(Table1[[#This Row],[age]],"00")&amp;"-"&amp;TEXT(ROW(),"000")</f>
        <v>St23-647</v>
      </c>
      <c r="AK647" t="str">
        <f>LEFT(Table1[[#This Row],[membership_type]],1)&amp;TEXT(MATCH(Table1[[#This Row],[membership_type]],Table1[membership_type],0),"00")</f>
        <v>S02</v>
      </c>
      <c r="AL647" t="str">
        <f>LEFT(Table1[[#This Row],[discount_type]],1)&amp;TEXT(ROUND(Table1[[#This Row],[discount_rate]]*100,0),"00")</f>
        <v>P05</v>
      </c>
      <c r="AM647" t="str" cm="1">
        <f t="array" ref="AM647">TEXT(SUMPRODUCT(CODE(MID(Table1[[#This Row],[home_gym_location]],_xlfn.SEQUENCE(LEN(Table1[[#This Row],[home_gym_location]])),1))),"00000")</f>
        <v>01324</v>
      </c>
      <c r="AN64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47" t="str">
        <f>LEFT(_xlfn.TEXTBEFORE(Table1[[#This Row],[Location Identifier]],"-"),3) &amp; "-" &amp; _xlfn.TEXTAFTER(Table1[[#This Row],[Location Identifier]],"-")</f>
        <v>BAK-002</v>
      </c>
      <c r="AP647" s="9">
        <f t="shared" ca="1" si="100"/>
        <v>45869</v>
      </c>
    </row>
    <row r="648" spans="1:42" x14ac:dyDescent="0.25">
      <c r="A648">
        <v>22</v>
      </c>
      <c r="B648" t="s">
        <v>26</v>
      </c>
      <c r="C648">
        <v>3</v>
      </c>
      <c r="D648" t="s">
        <v>60</v>
      </c>
      <c r="E648" t="b">
        <v>1</v>
      </c>
      <c r="F648" s="1">
        <v>0.74791666666666667</v>
      </c>
      <c r="G648" s="1">
        <v>0.82361111111111107</v>
      </c>
      <c r="H648">
        <v>109</v>
      </c>
      <c r="I648" t="b">
        <v>0</v>
      </c>
      <c r="J648" t="b">
        <v>1</v>
      </c>
      <c r="K648" t="b">
        <v>0</v>
      </c>
      <c r="L648" t="s">
        <v>28</v>
      </c>
      <c r="M648">
        <v>50</v>
      </c>
      <c r="N648" t="s">
        <v>29</v>
      </c>
      <c r="O648">
        <v>50</v>
      </c>
      <c r="P648" t="s">
        <v>30</v>
      </c>
      <c r="Q648">
        <v>0.05</v>
      </c>
      <c r="R648">
        <v>47.5</v>
      </c>
      <c r="S648" t="s">
        <v>31</v>
      </c>
      <c r="T648" t="s">
        <v>48</v>
      </c>
      <c r="U648">
        <v>38.581600000000002</v>
      </c>
      <c r="V648">
        <v>-121.4944</v>
      </c>
      <c r="W648" s="2">
        <v>45107</v>
      </c>
      <c r="X648">
        <v>4</v>
      </c>
      <c r="Y648" t="b">
        <v>1</v>
      </c>
      <c r="Z648" s="2">
        <v>45820</v>
      </c>
      <c r="AA648" t="str">
        <f t="shared" si="101"/>
        <v>20–29</v>
      </c>
      <c r="AB648" t="str">
        <f t="shared" si="102"/>
        <v>20–29</v>
      </c>
      <c r="AC648" t="str">
        <f t="shared" si="103"/>
        <v/>
      </c>
      <c r="AD648" t="str">
        <f t="shared" si="104"/>
        <v/>
      </c>
      <c r="AE648" t="str">
        <f t="shared" si="105"/>
        <v>Wednesday</v>
      </c>
      <c r="AF648" t="str">
        <f t="shared" si="106"/>
        <v/>
      </c>
      <c r="AG648" t="str">
        <f t="shared" si="107"/>
        <v/>
      </c>
      <c r="AH648" t="str">
        <f t="shared" si="108"/>
        <v>Saturday</v>
      </c>
      <c r="AI648" t="str">
        <f t="shared" si="109"/>
        <v>Sunday</v>
      </c>
      <c r="AJ648" t="str">
        <f>LEFT(Table1[[#This Row],[membership_type]],2)&amp;TEXT(Table1[[#This Row],[age]],"00")&amp;"-"&amp;TEXT(ROW(),"000")</f>
        <v>Pr22-648</v>
      </c>
      <c r="AK648" t="str">
        <f>LEFT(Table1[[#This Row],[membership_type]],1)&amp;TEXT(MATCH(Table1[[#This Row],[membership_type]],Table1[membership_type],0),"00")</f>
        <v>P01</v>
      </c>
      <c r="AL648" t="str">
        <f>LEFT(Table1[[#This Row],[discount_type]],1)&amp;TEXT(ROUND(Table1[[#This Row],[discount_rate]]*100,0),"00")</f>
        <v>P05</v>
      </c>
      <c r="AM648" t="str" cm="1">
        <f t="array" ref="AM648">TEXT(SUMPRODUCT(CODE(MID(Table1[[#This Row],[home_gym_location]],_xlfn.SEQUENCE(LEN(Table1[[#This Row],[home_gym_location]])),1))),"00000")</f>
        <v>01245</v>
      </c>
      <c r="AN64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48" t="str">
        <f>LEFT(_xlfn.TEXTBEFORE(Table1[[#This Row],[Location Identifier]],"-"),3) &amp; "-" &amp; _xlfn.TEXTAFTER(Table1[[#This Row],[Location Identifier]],"-")</f>
        <v>SAC-007</v>
      </c>
      <c r="AP648" s="9">
        <f t="shared" ca="1" si="100"/>
        <v>45869</v>
      </c>
    </row>
    <row r="649" spans="1:42" x14ac:dyDescent="0.25">
      <c r="A649">
        <v>14</v>
      </c>
      <c r="B649" t="s">
        <v>51</v>
      </c>
      <c r="C649">
        <v>2</v>
      </c>
      <c r="D649" t="s">
        <v>94</v>
      </c>
      <c r="E649" t="b">
        <v>1</v>
      </c>
      <c r="F649" s="1">
        <v>0.59583333333333333</v>
      </c>
      <c r="G649" s="1">
        <v>0.63402777777777775</v>
      </c>
      <c r="H649">
        <v>55</v>
      </c>
      <c r="I649" t="b">
        <v>1</v>
      </c>
      <c r="J649" t="b">
        <v>0</v>
      </c>
      <c r="K649" t="b">
        <v>1</v>
      </c>
      <c r="L649" t="s">
        <v>62</v>
      </c>
      <c r="M649">
        <v>70</v>
      </c>
      <c r="N649" t="s">
        <v>64</v>
      </c>
      <c r="O649">
        <v>52.5</v>
      </c>
      <c r="P649" t="s">
        <v>30</v>
      </c>
      <c r="Q649">
        <v>0.05</v>
      </c>
      <c r="R649">
        <v>49.875</v>
      </c>
      <c r="S649" t="s">
        <v>53</v>
      </c>
      <c r="T649" t="s">
        <v>59</v>
      </c>
      <c r="U649">
        <v>37.774900000000002</v>
      </c>
      <c r="V649">
        <v>-122.4194</v>
      </c>
      <c r="W649" s="2">
        <v>44990</v>
      </c>
      <c r="X649">
        <v>0</v>
      </c>
      <c r="Y649" t="b">
        <v>1</v>
      </c>
      <c r="Z649" s="2">
        <v>45813</v>
      </c>
      <c r="AA649" t="str">
        <f t="shared" si="101"/>
        <v>10–19</v>
      </c>
      <c r="AB649" t="str">
        <f t="shared" si="102"/>
        <v>Under 16</v>
      </c>
      <c r="AC649" t="str">
        <f t="shared" si="103"/>
        <v/>
      </c>
      <c r="AD649" t="str">
        <f t="shared" si="104"/>
        <v/>
      </c>
      <c r="AE649" t="str">
        <f t="shared" si="105"/>
        <v/>
      </c>
      <c r="AF649" t="str">
        <f t="shared" si="106"/>
        <v/>
      </c>
      <c r="AG649" t="str">
        <f t="shared" si="107"/>
        <v/>
      </c>
      <c r="AH649" t="str">
        <f t="shared" si="108"/>
        <v>Saturday</v>
      </c>
      <c r="AI649" t="str">
        <f t="shared" si="109"/>
        <v>Sunday</v>
      </c>
      <c r="AJ649" t="str">
        <f>LEFT(Table1[[#This Row],[membership_type]],2)&amp;TEXT(Table1[[#This Row],[age]],"00")&amp;"-"&amp;TEXT(ROW(),"000")</f>
        <v>El14-649</v>
      </c>
      <c r="AK649" t="str">
        <f>LEFT(Table1[[#This Row],[membership_type]],1)&amp;TEXT(MATCH(Table1[[#This Row],[membership_type]],Table1[membership_type],0),"00")</f>
        <v>E07</v>
      </c>
      <c r="AL649" t="str">
        <f>LEFT(Table1[[#This Row],[discount_type]],1)&amp;TEXT(ROUND(Table1[[#This Row],[discount_rate]]*100,0),"00")</f>
        <v>P05</v>
      </c>
      <c r="AM649" t="str" cm="1">
        <f t="array" ref="AM649">TEXT(SUMPRODUCT(CODE(MID(Table1[[#This Row],[home_gym_location]],_xlfn.SEQUENCE(LEN(Table1[[#This Row],[home_gym_location]])),1))),"00000")</f>
        <v>01450</v>
      </c>
      <c r="AN64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49" t="str">
        <f>LEFT(_xlfn.TEXTBEFORE(Table1[[#This Row],[Location Identifier]],"-"),3) &amp; "-" &amp; _xlfn.TEXTAFTER(Table1[[#This Row],[Location Identifier]],"-")</f>
        <v>SAN-009</v>
      </c>
      <c r="AP649" s="9">
        <f t="shared" ca="1" si="100"/>
        <v>45869</v>
      </c>
    </row>
    <row r="650" spans="1:42" x14ac:dyDescent="0.25">
      <c r="A650">
        <v>49</v>
      </c>
      <c r="B650" t="s">
        <v>26</v>
      </c>
      <c r="C650">
        <v>3</v>
      </c>
      <c r="D650" t="s">
        <v>55</v>
      </c>
      <c r="E650" t="b">
        <v>0</v>
      </c>
      <c r="F650" s="1">
        <v>0.71944444444444444</v>
      </c>
      <c r="G650" s="1">
        <v>0.82777777777777772</v>
      </c>
      <c r="H650">
        <v>156</v>
      </c>
      <c r="I650" t="b">
        <v>1</v>
      </c>
      <c r="J650" t="b">
        <v>0</v>
      </c>
      <c r="K650" t="b">
        <v>0</v>
      </c>
      <c r="L650" t="s">
        <v>47</v>
      </c>
      <c r="M650">
        <v>50</v>
      </c>
      <c r="N650" t="s">
        <v>29</v>
      </c>
      <c r="O650">
        <v>50</v>
      </c>
      <c r="P650" t="s">
        <v>36</v>
      </c>
      <c r="Q650">
        <v>0</v>
      </c>
      <c r="R650">
        <v>50</v>
      </c>
      <c r="S650" t="s">
        <v>31</v>
      </c>
      <c r="T650" t="s">
        <v>56</v>
      </c>
      <c r="U650">
        <v>35.3733</v>
      </c>
      <c r="V650">
        <v>-119.0187</v>
      </c>
      <c r="W650" s="2">
        <v>45300</v>
      </c>
      <c r="X650">
        <v>0</v>
      </c>
      <c r="Y650" t="b">
        <v>0</v>
      </c>
      <c r="Z650" s="2">
        <v>45831</v>
      </c>
      <c r="AA650" t="str">
        <f t="shared" si="101"/>
        <v>40–49</v>
      </c>
      <c r="AB650" t="str">
        <f t="shared" si="102"/>
        <v>40–49</v>
      </c>
      <c r="AC650" t="str">
        <f t="shared" si="103"/>
        <v/>
      </c>
      <c r="AD650" t="str">
        <f t="shared" si="104"/>
        <v/>
      </c>
      <c r="AE650" t="str">
        <f t="shared" si="105"/>
        <v/>
      </c>
      <c r="AF650" t="str">
        <f t="shared" si="106"/>
        <v>Thursday</v>
      </c>
      <c r="AG650" t="str">
        <f t="shared" si="107"/>
        <v>Friday</v>
      </c>
      <c r="AH650" t="str">
        <f t="shared" si="108"/>
        <v/>
      </c>
      <c r="AI650" t="str">
        <f t="shared" si="109"/>
        <v>Sunday</v>
      </c>
      <c r="AJ650" t="str">
        <f>LEFT(Table1[[#This Row],[membership_type]],2)&amp;TEXT(Table1[[#This Row],[age]],"00")&amp;"-"&amp;TEXT(ROW(),"000")</f>
        <v>Pr49-650</v>
      </c>
      <c r="AK650" t="str">
        <f>LEFT(Table1[[#This Row],[membership_type]],1)&amp;TEXT(MATCH(Table1[[#This Row],[membership_type]],Table1[membership_type],0),"00")</f>
        <v>P01</v>
      </c>
      <c r="AL650" t="str">
        <f>LEFT(Table1[[#This Row],[discount_type]],1)&amp;TEXT(ROUND(Table1[[#This Row],[discount_rate]]*100,0),"00")</f>
        <v>N00</v>
      </c>
      <c r="AM650" t="str" cm="1">
        <f t="array" ref="AM650">TEXT(SUMPRODUCT(CODE(MID(Table1[[#This Row],[home_gym_location]],_xlfn.SEQUENCE(LEN(Table1[[#This Row],[home_gym_location]])),1))),"00000")</f>
        <v>01324</v>
      </c>
      <c r="AN65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50" t="str">
        <f>LEFT(_xlfn.TEXTBEFORE(Table1[[#This Row],[Location Identifier]],"-"),3) &amp; "-" &amp; _xlfn.TEXTAFTER(Table1[[#This Row],[Location Identifier]],"-")</f>
        <v>BAK-002</v>
      </c>
      <c r="AP650" s="9">
        <f t="shared" ca="1" si="100"/>
        <v>45869</v>
      </c>
    </row>
    <row r="651" spans="1:42" x14ac:dyDescent="0.25">
      <c r="A651">
        <v>14</v>
      </c>
      <c r="B651" t="s">
        <v>33</v>
      </c>
      <c r="C651">
        <v>3</v>
      </c>
      <c r="D651" t="s">
        <v>60</v>
      </c>
      <c r="E651" t="b">
        <v>0</v>
      </c>
      <c r="F651" s="1">
        <v>0.42430555555555555</v>
      </c>
      <c r="G651" s="1">
        <v>0.49722222222222223</v>
      </c>
      <c r="H651">
        <v>105</v>
      </c>
      <c r="I651" t="b">
        <v>1</v>
      </c>
      <c r="J651" t="b">
        <v>0</v>
      </c>
      <c r="K651" t="b">
        <v>1</v>
      </c>
      <c r="L651" t="s">
        <v>28</v>
      </c>
      <c r="M651">
        <v>30</v>
      </c>
      <c r="N651" t="s">
        <v>29</v>
      </c>
      <c r="O651">
        <v>30</v>
      </c>
      <c r="P651" t="s">
        <v>36</v>
      </c>
      <c r="Q651">
        <v>0</v>
      </c>
      <c r="R651">
        <v>30</v>
      </c>
      <c r="S651" t="s">
        <v>37</v>
      </c>
      <c r="T651" t="s">
        <v>59</v>
      </c>
      <c r="U651">
        <v>37.774900000000002</v>
      </c>
      <c r="V651">
        <v>-122.4194</v>
      </c>
      <c r="W651" s="2">
        <v>45738</v>
      </c>
      <c r="X651">
        <v>0</v>
      </c>
      <c r="Y651" t="b">
        <v>1</v>
      </c>
      <c r="Z651" s="2">
        <v>45855</v>
      </c>
      <c r="AA651" t="str">
        <f t="shared" si="101"/>
        <v>10–19</v>
      </c>
      <c r="AB651" t="str">
        <f t="shared" si="102"/>
        <v>Under 16</v>
      </c>
      <c r="AC651" t="str">
        <f t="shared" si="103"/>
        <v/>
      </c>
      <c r="AD651" t="str">
        <f t="shared" si="104"/>
        <v/>
      </c>
      <c r="AE651" t="str">
        <f t="shared" si="105"/>
        <v>Wednesday</v>
      </c>
      <c r="AF651" t="str">
        <f t="shared" si="106"/>
        <v/>
      </c>
      <c r="AG651" t="str">
        <f t="shared" si="107"/>
        <v/>
      </c>
      <c r="AH651" t="str">
        <f t="shared" si="108"/>
        <v>Saturday</v>
      </c>
      <c r="AI651" t="str">
        <f t="shared" si="109"/>
        <v>Sunday</v>
      </c>
      <c r="AJ651" t="str">
        <f>LEFT(Table1[[#This Row],[membership_type]],2)&amp;TEXT(Table1[[#This Row],[age]],"00")&amp;"-"&amp;TEXT(ROW(),"000")</f>
        <v>St14-651</v>
      </c>
      <c r="AK651" t="str">
        <f>LEFT(Table1[[#This Row],[membership_type]],1)&amp;TEXT(MATCH(Table1[[#This Row],[membership_type]],Table1[membership_type],0),"00")</f>
        <v>S02</v>
      </c>
      <c r="AL651" t="str">
        <f>LEFT(Table1[[#This Row],[discount_type]],1)&amp;TEXT(ROUND(Table1[[#This Row],[discount_rate]]*100,0),"00")</f>
        <v>N00</v>
      </c>
      <c r="AM651" t="str" cm="1">
        <f t="array" ref="AM651">TEXT(SUMPRODUCT(CODE(MID(Table1[[#This Row],[home_gym_location]],_xlfn.SEQUENCE(LEN(Table1[[#This Row],[home_gym_location]])),1))),"00000")</f>
        <v>01450</v>
      </c>
      <c r="AN65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51" t="str">
        <f>LEFT(_xlfn.TEXTBEFORE(Table1[[#This Row],[Location Identifier]],"-"),3) &amp; "-" &amp; _xlfn.TEXTAFTER(Table1[[#This Row],[Location Identifier]],"-")</f>
        <v>SAN-009</v>
      </c>
      <c r="AP651" s="9">
        <f t="shared" ca="1" si="100"/>
        <v>45869</v>
      </c>
    </row>
    <row r="652" spans="1:42" x14ac:dyDescent="0.25">
      <c r="A652">
        <v>48</v>
      </c>
      <c r="B652" t="s">
        <v>26</v>
      </c>
      <c r="C652">
        <v>3</v>
      </c>
      <c r="D652" t="s">
        <v>82</v>
      </c>
      <c r="E652" t="b">
        <v>1</v>
      </c>
      <c r="F652" s="1">
        <v>0.66736111111111107</v>
      </c>
      <c r="G652" s="1">
        <v>0.76111111111111107</v>
      </c>
      <c r="H652">
        <v>135</v>
      </c>
      <c r="I652" t="b">
        <v>0</v>
      </c>
      <c r="J652" t="b">
        <v>1</v>
      </c>
      <c r="K652" t="b">
        <v>1</v>
      </c>
      <c r="L652" t="s">
        <v>62</v>
      </c>
      <c r="M652">
        <v>50</v>
      </c>
      <c r="N652" t="s">
        <v>29</v>
      </c>
      <c r="O652">
        <v>50</v>
      </c>
      <c r="P652" t="s">
        <v>36</v>
      </c>
      <c r="Q652">
        <v>0</v>
      </c>
      <c r="R652">
        <v>50</v>
      </c>
      <c r="S652" t="s">
        <v>31</v>
      </c>
      <c r="T652" t="s">
        <v>32</v>
      </c>
      <c r="U652">
        <v>37.338200000000001</v>
      </c>
      <c r="V652">
        <v>-121.88630000000001</v>
      </c>
      <c r="W652" s="2">
        <v>45258</v>
      </c>
      <c r="X652">
        <v>1</v>
      </c>
      <c r="Y652" t="b">
        <v>1</v>
      </c>
      <c r="Z652" s="2">
        <v>45828</v>
      </c>
      <c r="AA652" t="str">
        <f t="shared" si="101"/>
        <v>40–49</v>
      </c>
      <c r="AB652" t="str">
        <f t="shared" si="102"/>
        <v>40–49</v>
      </c>
      <c r="AC652" t="str">
        <f t="shared" si="103"/>
        <v/>
      </c>
      <c r="AD652" t="str">
        <f t="shared" si="104"/>
        <v/>
      </c>
      <c r="AE652" t="str">
        <f t="shared" si="105"/>
        <v/>
      </c>
      <c r="AF652" t="str">
        <f t="shared" si="106"/>
        <v/>
      </c>
      <c r="AG652" t="str">
        <f t="shared" si="107"/>
        <v>Friday</v>
      </c>
      <c r="AH652" t="str">
        <f t="shared" si="108"/>
        <v>Saturday</v>
      </c>
      <c r="AI652" t="str">
        <f t="shared" si="109"/>
        <v>Sunday</v>
      </c>
      <c r="AJ652" t="str">
        <f>LEFT(Table1[[#This Row],[membership_type]],2)&amp;TEXT(Table1[[#This Row],[age]],"00")&amp;"-"&amp;TEXT(ROW(),"000")</f>
        <v>Pr48-652</v>
      </c>
      <c r="AK652" t="str">
        <f>LEFT(Table1[[#This Row],[membership_type]],1)&amp;TEXT(MATCH(Table1[[#This Row],[membership_type]],Table1[membership_type],0),"00")</f>
        <v>P01</v>
      </c>
      <c r="AL652" t="str">
        <f>LEFT(Table1[[#This Row],[discount_type]],1)&amp;TEXT(ROUND(Table1[[#This Row],[discount_rate]]*100,0),"00")</f>
        <v>N00</v>
      </c>
      <c r="AM652" t="str" cm="1">
        <f t="array" ref="AM652">TEXT(SUMPRODUCT(CODE(MID(Table1[[#This Row],[home_gym_location]],_xlfn.SEQUENCE(LEN(Table1[[#This Row],[home_gym_location]])),1))),"00000")</f>
        <v>00931</v>
      </c>
      <c r="AN65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52" t="str">
        <f>LEFT(_xlfn.TEXTBEFORE(Table1[[#This Row],[Location Identifier]],"-"),3) &amp; "-" &amp; _xlfn.TEXTAFTER(Table1[[#This Row],[Location Identifier]],"-")</f>
        <v>SAN-010</v>
      </c>
      <c r="AP652" s="9">
        <f t="shared" ca="1" si="100"/>
        <v>45869</v>
      </c>
    </row>
    <row r="653" spans="1:42" x14ac:dyDescent="0.25">
      <c r="A653">
        <v>36</v>
      </c>
      <c r="B653" t="s">
        <v>33</v>
      </c>
      <c r="C653">
        <v>3</v>
      </c>
      <c r="D653" t="s">
        <v>109</v>
      </c>
      <c r="E653" t="b">
        <v>1</v>
      </c>
      <c r="F653" s="1">
        <v>0.73124999999999996</v>
      </c>
      <c r="G653" s="1">
        <v>0.80277777777777781</v>
      </c>
      <c r="H653">
        <v>103</v>
      </c>
      <c r="I653" t="b">
        <v>0</v>
      </c>
      <c r="J653" t="b">
        <v>0</v>
      </c>
      <c r="K653" t="b">
        <v>1</v>
      </c>
      <c r="L653" t="s">
        <v>62</v>
      </c>
      <c r="M653">
        <v>30</v>
      </c>
      <c r="N653" t="s">
        <v>64</v>
      </c>
      <c r="O653">
        <v>22.5</v>
      </c>
      <c r="P653" t="s">
        <v>30</v>
      </c>
      <c r="Q653">
        <v>0.05</v>
      </c>
      <c r="R653">
        <v>21.375</v>
      </c>
      <c r="S653" t="s">
        <v>37</v>
      </c>
      <c r="T653" t="s">
        <v>56</v>
      </c>
      <c r="U653">
        <v>35.3733</v>
      </c>
      <c r="V653">
        <v>-119.0187</v>
      </c>
      <c r="W653" s="2">
        <v>45206</v>
      </c>
      <c r="X653">
        <v>0</v>
      </c>
      <c r="Y653" t="b">
        <v>0</v>
      </c>
      <c r="Z653" s="2">
        <v>45825</v>
      </c>
      <c r="AA653" t="str">
        <f t="shared" si="101"/>
        <v>30–39</v>
      </c>
      <c r="AB653" t="str">
        <f t="shared" si="102"/>
        <v>30–39</v>
      </c>
      <c r="AC653" t="str">
        <f t="shared" si="103"/>
        <v/>
      </c>
      <c r="AD653" t="str">
        <f t="shared" si="104"/>
        <v>Tuesday</v>
      </c>
      <c r="AE653" t="str">
        <f t="shared" si="105"/>
        <v/>
      </c>
      <c r="AF653" t="str">
        <f t="shared" si="106"/>
        <v>Thursday</v>
      </c>
      <c r="AG653" t="str">
        <f t="shared" si="107"/>
        <v>Friday</v>
      </c>
      <c r="AH653" t="str">
        <f t="shared" si="108"/>
        <v/>
      </c>
      <c r="AI653" t="str">
        <f t="shared" si="109"/>
        <v/>
      </c>
      <c r="AJ653" t="str">
        <f>LEFT(Table1[[#This Row],[membership_type]],2)&amp;TEXT(Table1[[#This Row],[age]],"00")&amp;"-"&amp;TEXT(ROW(),"000")</f>
        <v>St36-653</v>
      </c>
      <c r="AK653" t="str">
        <f>LEFT(Table1[[#This Row],[membership_type]],1)&amp;TEXT(MATCH(Table1[[#This Row],[membership_type]],Table1[membership_type],0),"00")</f>
        <v>S02</v>
      </c>
      <c r="AL653" t="str">
        <f>LEFT(Table1[[#This Row],[discount_type]],1)&amp;TEXT(ROUND(Table1[[#This Row],[discount_rate]]*100,0),"00")</f>
        <v>P05</v>
      </c>
      <c r="AM653" t="str" cm="1">
        <f t="array" ref="AM653">TEXT(SUMPRODUCT(CODE(MID(Table1[[#This Row],[home_gym_location]],_xlfn.SEQUENCE(LEN(Table1[[#This Row],[home_gym_location]])),1))),"00000")</f>
        <v>01324</v>
      </c>
      <c r="AN65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53" t="str">
        <f>LEFT(_xlfn.TEXTBEFORE(Table1[[#This Row],[Location Identifier]],"-"),3) &amp; "-" &amp; _xlfn.TEXTAFTER(Table1[[#This Row],[Location Identifier]],"-")</f>
        <v>BAK-002</v>
      </c>
      <c r="AP653" s="9">
        <f t="shared" ca="1" si="100"/>
        <v>45869</v>
      </c>
    </row>
    <row r="654" spans="1:42" x14ac:dyDescent="0.25">
      <c r="A654">
        <v>19</v>
      </c>
      <c r="B654" t="s">
        <v>26</v>
      </c>
      <c r="C654">
        <v>3</v>
      </c>
      <c r="D654" t="s">
        <v>125</v>
      </c>
      <c r="E654" t="b">
        <v>0</v>
      </c>
      <c r="F654" s="1">
        <v>0.73819444444444449</v>
      </c>
      <c r="G654" s="1">
        <v>0.77361111111111114</v>
      </c>
      <c r="H654">
        <v>51</v>
      </c>
      <c r="I654" t="b">
        <v>0</v>
      </c>
      <c r="J654" t="b">
        <v>1</v>
      </c>
      <c r="K654" t="b">
        <v>1</v>
      </c>
      <c r="L654" t="s">
        <v>62</v>
      </c>
      <c r="M654">
        <v>50</v>
      </c>
      <c r="N654" t="s">
        <v>64</v>
      </c>
      <c r="O654">
        <v>37.5</v>
      </c>
      <c r="P654" t="s">
        <v>30</v>
      </c>
      <c r="Q654">
        <v>0.05</v>
      </c>
      <c r="R654">
        <v>35.625</v>
      </c>
      <c r="S654" t="s">
        <v>31</v>
      </c>
      <c r="T654" t="s">
        <v>32</v>
      </c>
      <c r="U654">
        <v>37.338200000000001</v>
      </c>
      <c r="V654">
        <v>-121.88630000000001</v>
      </c>
      <c r="W654" s="2">
        <v>45037</v>
      </c>
      <c r="X654">
        <v>8</v>
      </c>
      <c r="Y654" t="b">
        <v>1</v>
      </c>
      <c r="Z654" s="2">
        <v>45816</v>
      </c>
      <c r="AA654" t="str">
        <f t="shared" si="101"/>
        <v>10–19</v>
      </c>
      <c r="AB654" t="str">
        <f t="shared" si="102"/>
        <v>16–19</v>
      </c>
      <c r="AC654" t="str">
        <f t="shared" si="103"/>
        <v/>
      </c>
      <c r="AD654" t="str">
        <f t="shared" si="104"/>
        <v/>
      </c>
      <c r="AE654" t="str">
        <f t="shared" si="105"/>
        <v/>
      </c>
      <c r="AF654" t="str">
        <f t="shared" si="106"/>
        <v>Thursday</v>
      </c>
      <c r="AG654" t="str">
        <f t="shared" si="107"/>
        <v/>
      </c>
      <c r="AH654" t="str">
        <f t="shared" si="108"/>
        <v>Saturday</v>
      </c>
      <c r="AI654" t="str">
        <f t="shared" si="109"/>
        <v>Sunday</v>
      </c>
      <c r="AJ654" t="str">
        <f>LEFT(Table1[[#This Row],[membership_type]],2)&amp;TEXT(Table1[[#This Row],[age]],"00")&amp;"-"&amp;TEXT(ROW(),"000")</f>
        <v>Pr19-654</v>
      </c>
      <c r="AK654" t="str">
        <f>LEFT(Table1[[#This Row],[membership_type]],1)&amp;TEXT(MATCH(Table1[[#This Row],[membership_type]],Table1[membership_type],0),"00")</f>
        <v>P01</v>
      </c>
      <c r="AL654" t="str">
        <f>LEFT(Table1[[#This Row],[discount_type]],1)&amp;TEXT(ROUND(Table1[[#This Row],[discount_rate]]*100,0),"00")</f>
        <v>P05</v>
      </c>
      <c r="AM654" t="str" cm="1">
        <f t="array" ref="AM654">TEXT(SUMPRODUCT(CODE(MID(Table1[[#This Row],[home_gym_location]],_xlfn.SEQUENCE(LEN(Table1[[#This Row],[home_gym_location]])),1))),"00000")</f>
        <v>00931</v>
      </c>
      <c r="AN65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54" t="str">
        <f>LEFT(_xlfn.TEXTBEFORE(Table1[[#This Row],[Location Identifier]],"-"),3) &amp; "-" &amp; _xlfn.TEXTAFTER(Table1[[#This Row],[Location Identifier]],"-")</f>
        <v>SAN-010</v>
      </c>
      <c r="AP654" s="9">
        <f t="shared" ca="1" si="100"/>
        <v>45869</v>
      </c>
    </row>
    <row r="655" spans="1:42" x14ac:dyDescent="0.25">
      <c r="A655">
        <v>16</v>
      </c>
      <c r="B655" t="s">
        <v>51</v>
      </c>
      <c r="C655">
        <v>3</v>
      </c>
      <c r="D655" t="s">
        <v>60</v>
      </c>
      <c r="E655" t="b">
        <v>1</v>
      </c>
      <c r="F655" s="1">
        <v>0.58750000000000002</v>
      </c>
      <c r="G655" s="1">
        <v>0.67708333333333337</v>
      </c>
      <c r="H655">
        <v>129</v>
      </c>
      <c r="I655" t="b">
        <v>1</v>
      </c>
      <c r="J655" t="b">
        <v>0</v>
      </c>
      <c r="K655" t="b">
        <v>0</v>
      </c>
      <c r="L655" t="s">
        <v>47</v>
      </c>
      <c r="M655">
        <v>70</v>
      </c>
      <c r="N655" t="s">
        <v>78</v>
      </c>
      <c r="O655">
        <v>63</v>
      </c>
      <c r="P655" t="s">
        <v>74</v>
      </c>
      <c r="Q655">
        <v>0.15</v>
      </c>
      <c r="R655">
        <v>53.55</v>
      </c>
      <c r="S655" t="s">
        <v>53</v>
      </c>
      <c r="T655" t="s">
        <v>45</v>
      </c>
      <c r="U655">
        <v>33.836599999999997</v>
      </c>
      <c r="V655">
        <v>-117.9143</v>
      </c>
      <c r="W655" s="2">
        <v>45371</v>
      </c>
      <c r="X655">
        <v>0</v>
      </c>
      <c r="Y655" t="b">
        <v>1</v>
      </c>
      <c r="Z655" s="2">
        <v>45835</v>
      </c>
      <c r="AA655" t="str">
        <f t="shared" si="101"/>
        <v>10–19</v>
      </c>
      <c r="AB655" t="str">
        <f t="shared" si="102"/>
        <v>16–19</v>
      </c>
      <c r="AC655" t="str">
        <f t="shared" si="103"/>
        <v/>
      </c>
      <c r="AD655" t="str">
        <f t="shared" si="104"/>
        <v/>
      </c>
      <c r="AE655" t="str">
        <f t="shared" si="105"/>
        <v>Wednesday</v>
      </c>
      <c r="AF655" t="str">
        <f t="shared" si="106"/>
        <v/>
      </c>
      <c r="AG655" t="str">
        <f t="shared" si="107"/>
        <v/>
      </c>
      <c r="AH655" t="str">
        <f t="shared" si="108"/>
        <v>Saturday</v>
      </c>
      <c r="AI655" t="str">
        <f t="shared" si="109"/>
        <v>Sunday</v>
      </c>
      <c r="AJ655" t="str">
        <f>LEFT(Table1[[#This Row],[membership_type]],2)&amp;TEXT(Table1[[#This Row],[age]],"00")&amp;"-"&amp;TEXT(ROW(),"000")</f>
        <v>El16-655</v>
      </c>
      <c r="AK655" t="str">
        <f>LEFT(Table1[[#This Row],[membership_type]],1)&amp;TEXT(MATCH(Table1[[#This Row],[membership_type]],Table1[membership_type],0),"00")</f>
        <v>E07</v>
      </c>
      <c r="AL655" t="str">
        <f>LEFT(Table1[[#This Row],[discount_type]],1)&amp;TEXT(ROUND(Table1[[#This Row],[discount_rate]]*100,0),"00")</f>
        <v>S15</v>
      </c>
      <c r="AM655" t="str" cm="1">
        <f t="array" ref="AM655">TEXT(SUMPRODUCT(CODE(MID(Table1[[#This Row],[home_gym_location]],_xlfn.SEQUENCE(LEN(Table1[[#This Row],[home_gym_location]])),1))),"00000")</f>
        <v>00899</v>
      </c>
      <c r="AN655" t="str">
        <f>UPPER(_xlfn.TEXTBEFORE(Table1[[#This Row],[home_gym_location]],","))&amp;"-"&amp;TEXT(MATCH(Table1[[#This Row],[home_gym_location]],_xlfn._xlws.SORT(_xlfn.UNIQUE(Table1[home_gym_location])),0),"000")</f>
        <v>ANAHEIM-001</v>
      </c>
      <c r="AO655" t="str">
        <f>LEFT(_xlfn.TEXTBEFORE(Table1[[#This Row],[Location Identifier]],"-"),3) &amp; "-" &amp; _xlfn.TEXTAFTER(Table1[[#This Row],[Location Identifier]],"-")</f>
        <v>ANA-001</v>
      </c>
      <c r="AP655" s="9">
        <f t="shared" ca="1" si="100"/>
        <v>45869</v>
      </c>
    </row>
    <row r="656" spans="1:42" x14ac:dyDescent="0.25">
      <c r="A656">
        <v>12</v>
      </c>
      <c r="B656" t="s">
        <v>26</v>
      </c>
      <c r="C656">
        <v>2</v>
      </c>
      <c r="D656" t="s">
        <v>116</v>
      </c>
      <c r="E656" t="b">
        <v>1</v>
      </c>
      <c r="F656" s="1">
        <v>0.44583333333333336</v>
      </c>
      <c r="G656" s="1">
        <v>0.5083333333333333</v>
      </c>
      <c r="H656">
        <v>90</v>
      </c>
      <c r="I656" t="b">
        <v>0</v>
      </c>
      <c r="J656" t="b">
        <v>0</v>
      </c>
      <c r="K656" t="b">
        <v>0</v>
      </c>
      <c r="L656" t="s">
        <v>47</v>
      </c>
      <c r="M656">
        <v>50</v>
      </c>
      <c r="N656" t="s">
        <v>64</v>
      </c>
      <c r="O656">
        <v>37.5</v>
      </c>
      <c r="P656" t="s">
        <v>40</v>
      </c>
      <c r="Q656">
        <v>0.1</v>
      </c>
      <c r="R656">
        <v>33.75</v>
      </c>
      <c r="S656" t="s">
        <v>31</v>
      </c>
      <c r="T656" t="s">
        <v>54</v>
      </c>
      <c r="U656">
        <v>32.715699999999998</v>
      </c>
      <c r="V656">
        <v>-117.1611</v>
      </c>
      <c r="W656" s="2">
        <v>45695</v>
      </c>
      <c r="X656">
        <v>0</v>
      </c>
      <c r="Y656" t="b">
        <v>1</v>
      </c>
      <c r="Z656" s="2">
        <v>45853</v>
      </c>
      <c r="AA656" t="str">
        <f t="shared" si="101"/>
        <v>10–19</v>
      </c>
      <c r="AB656" t="str">
        <f t="shared" si="102"/>
        <v>Under 16</v>
      </c>
      <c r="AC656" t="str">
        <f t="shared" si="103"/>
        <v/>
      </c>
      <c r="AD656" t="str">
        <f t="shared" si="104"/>
        <v/>
      </c>
      <c r="AE656" t="str">
        <f t="shared" si="105"/>
        <v/>
      </c>
      <c r="AF656" t="str">
        <f t="shared" si="106"/>
        <v>Thursday</v>
      </c>
      <c r="AG656" t="str">
        <f t="shared" si="107"/>
        <v/>
      </c>
      <c r="AH656" t="str">
        <f t="shared" si="108"/>
        <v/>
      </c>
      <c r="AI656" t="str">
        <f t="shared" si="109"/>
        <v>Sunday</v>
      </c>
      <c r="AJ656" t="str">
        <f>LEFT(Table1[[#This Row],[membership_type]],2)&amp;TEXT(Table1[[#This Row],[age]],"00")&amp;"-"&amp;TEXT(ROW(),"000")</f>
        <v>Pr12-656</v>
      </c>
      <c r="AK656" t="str">
        <f>LEFT(Table1[[#This Row],[membership_type]],1)&amp;TEXT(MATCH(Table1[[#This Row],[membership_type]],Table1[membership_type],0),"00")</f>
        <v>P01</v>
      </c>
      <c r="AL656" t="str">
        <f>LEFT(Table1[[#This Row],[discount_type]],1)&amp;TEXT(ROUND(Table1[[#This Row],[discount_rate]]*100,0),"00")</f>
        <v>L10</v>
      </c>
      <c r="AM656" t="str" cm="1">
        <f t="array" ref="AM656">TEXT(SUMPRODUCT(CODE(MID(Table1[[#This Row],[home_gym_location]],_xlfn.SEQUENCE(LEN(Table1[[#This Row],[home_gym_location]])),1))),"00000")</f>
        <v>01018</v>
      </c>
      <c r="AN65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56" t="str">
        <f>LEFT(_xlfn.TEXTBEFORE(Table1[[#This Row],[Location Identifier]],"-"),3) &amp; "-" &amp; _xlfn.TEXTAFTER(Table1[[#This Row],[Location Identifier]],"-")</f>
        <v>SAN-008</v>
      </c>
      <c r="AP656" s="9">
        <f t="shared" ca="1" si="100"/>
        <v>45869</v>
      </c>
    </row>
    <row r="657" spans="1:42" x14ac:dyDescent="0.25">
      <c r="A657">
        <v>42</v>
      </c>
      <c r="B657" t="s">
        <v>33</v>
      </c>
      <c r="C657">
        <v>5</v>
      </c>
      <c r="D657" t="s">
        <v>68</v>
      </c>
      <c r="E657" t="b">
        <v>0</v>
      </c>
      <c r="F657" s="1">
        <v>0.72916666666666663</v>
      </c>
      <c r="G657" s="1">
        <v>0.84375</v>
      </c>
      <c r="H657">
        <v>165</v>
      </c>
      <c r="I657" t="b">
        <v>1</v>
      </c>
      <c r="J657" t="b">
        <v>0</v>
      </c>
      <c r="K657" t="b">
        <v>1</v>
      </c>
      <c r="L657" t="s">
        <v>62</v>
      </c>
      <c r="M657">
        <v>30</v>
      </c>
      <c r="N657" t="s">
        <v>29</v>
      </c>
      <c r="O657">
        <v>30</v>
      </c>
      <c r="P657" t="s">
        <v>30</v>
      </c>
      <c r="Q657">
        <v>0.05</v>
      </c>
      <c r="R657">
        <v>28.5</v>
      </c>
      <c r="S657" t="s">
        <v>37</v>
      </c>
      <c r="T657" t="s">
        <v>38</v>
      </c>
      <c r="U657">
        <v>36.7378</v>
      </c>
      <c r="V657">
        <v>-119.7871</v>
      </c>
      <c r="W657" s="2">
        <v>45528</v>
      </c>
      <c r="X657">
        <v>0</v>
      </c>
      <c r="Y657" t="b">
        <v>1</v>
      </c>
      <c r="Z657" s="2">
        <v>45843</v>
      </c>
      <c r="AA657" t="str">
        <f t="shared" si="101"/>
        <v>40–49</v>
      </c>
      <c r="AB657" t="str">
        <f t="shared" si="102"/>
        <v>40–49</v>
      </c>
      <c r="AC657" t="str">
        <f t="shared" si="103"/>
        <v>Monday</v>
      </c>
      <c r="AD657" t="str">
        <f t="shared" si="104"/>
        <v>Tuesday</v>
      </c>
      <c r="AE657" t="str">
        <f t="shared" si="105"/>
        <v/>
      </c>
      <c r="AF657" t="str">
        <f t="shared" si="106"/>
        <v>Thursday</v>
      </c>
      <c r="AG657" t="str">
        <f t="shared" si="107"/>
        <v>Friday</v>
      </c>
      <c r="AH657" t="str">
        <f t="shared" si="108"/>
        <v>Saturday</v>
      </c>
      <c r="AI657" t="str">
        <f t="shared" si="109"/>
        <v/>
      </c>
      <c r="AJ657" t="str">
        <f>LEFT(Table1[[#This Row],[membership_type]],2)&amp;TEXT(Table1[[#This Row],[age]],"00")&amp;"-"&amp;TEXT(ROW(),"000")</f>
        <v>St42-657</v>
      </c>
      <c r="AK657" t="str">
        <f>LEFT(Table1[[#This Row],[membership_type]],1)&amp;TEXT(MATCH(Table1[[#This Row],[membership_type]],Table1[membership_type],0),"00")</f>
        <v>S02</v>
      </c>
      <c r="AL657" t="str">
        <f>LEFT(Table1[[#This Row],[discount_type]],1)&amp;TEXT(ROUND(Table1[[#This Row],[discount_rate]]*100,0),"00")</f>
        <v>P05</v>
      </c>
      <c r="AM657" t="str" cm="1">
        <f t="array" ref="AM657">TEXT(SUMPRODUCT(CODE(MID(Table1[[#This Row],[home_gym_location]],_xlfn.SEQUENCE(LEN(Table1[[#This Row],[home_gym_location]])),1))),"00000")</f>
        <v>00829</v>
      </c>
      <c r="AN657" t="str">
        <f>UPPER(_xlfn.TEXTBEFORE(Table1[[#This Row],[home_gym_location]],","))&amp;"-"&amp;TEXT(MATCH(Table1[[#This Row],[home_gym_location]],_xlfn._xlws.SORT(_xlfn.UNIQUE(Table1[home_gym_location])),0),"000")</f>
        <v>FRESNO-003</v>
      </c>
      <c r="AO657" t="str">
        <f>LEFT(_xlfn.TEXTBEFORE(Table1[[#This Row],[Location Identifier]],"-"),3) &amp; "-" &amp; _xlfn.TEXTAFTER(Table1[[#This Row],[Location Identifier]],"-")</f>
        <v>FRE-003</v>
      </c>
      <c r="AP657" s="9">
        <f t="shared" ca="1" si="100"/>
        <v>45869</v>
      </c>
    </row>
    <row r="658" spans="1:42" x14ac:dyDescent="0.25">
      <c r="A658">
        <v>43</v>
      </c>
      <c r="B658" t="s">
        <v>33</v>
      </c>
      <c r="C658">
        <v>1</v>
      </c>
      <c r="D658" t="s">
        <v>95</v>
      </c>
      <c r="E658" t="b">
        <v>0</v>
      </c>
      <c r="F658" s="1">
        <v>0.82152777777777775</v>
      </c>
      <c r="G658" s="1">
        <v>0.85</v>
      </c>
      <c r="H658">
        <v>41</v>
      </c>
      <c r="I658" t="b">
        <v>0</v>
      </c>
      <c r="J658" t="b">
        <v>1</v>
      </c>
      <c r="K658" t="b">
        <v>1</v>
      </c>
      <c r="L658" t="s">
        <v>62</v>
      </c>
      <c r="M658">
        <v>30</v>
      </c>
      <c r="N658" t="s">
        <v>29</v>
      </c>
      <c r="O658">
        <v>30</v>
      </c>
      <c r="P658" t="s">
        <v>40</v>
      </c>
      <c r="Q658">
        <v>0.1</v>
      </c>
      <c r="R658">
        <v>27</v>
      </c>
      <c r="S658" t="s">
        <v>37</v>
      </c>
      <c r="T658" t="s">
        <v>50</v>
      </c>
      <c r="U658">
        <v>34.052199999999999</v>
      </c>
      <c r="V658">
        <v>-118.2437</v>
      </c>
      <c r="W658" s="2">
        <v>45444</v>
      </c>
      <c r="X658">
        <v>7</v>
      </c>
      <c r="Y658" t="b">
        <v>1</v>
      </c>
      <c r="Z658" s="2">
        <v>45839</v>
      </c>
      <c r="AA658" t="str">
        <f t="shared" si="101"/>
        <v>40–49</v>
      </c>
      <c r="AB658" t="str">
        <f t="shared" si="102"/>
        <v>40–49</v>
      </c>
      <c r="AC658" t="str">
        <f t="shared" si="103"/>
        <v/>
      </c>
      <c r="AD658" t="str">
        <f t="shared" si="104"/>
        <v/>
      </c>
      <c r="AE658" t="str">
        <f t="shared" si="105"/>
        <v/>
      </c>
      <c r="AF658" t="str">
        <f t="shared" si="106"/>
        <v/>
      </c>
      <c r="AG658" t="str">
        <f t="shared" si="107"/>
        <v/>
      </c>
      <c r="AH658" t="str">
        <f t="shared" si="108"/>
        <v>Saturday</v>
      </c>
      <c r="AI658" t="str">
        <f t="shared" si="109"/>
        <v/>
      </c>
      <c r="AJ658" t="str">
        <f>LEFT(Table1[[#This Row],[membership_type]],2)&amp;TEXT(Table1[[#This Row],[age]],"00")&amp;"-"&amp;TEXT(ROW(),"000")</f>
        <v>St43-658</v>
      </c>
      <c r="AK658" t="str">
        <f>LEFT(Table1[[#This Row],[membership_type]],1)&amp;TEXT(MATCH(Table1[[#This Row],[membership_type]],Table1[membership_type],0),"00")</f>
        <v>S02</v>
      </c>
      <c r="AL658" t="str">
        <f>LEFT(Table1[[#This Row],[discount_type]],1)&amp;TEXT(ROUND(Table1[[#This Row],[discount_rate]]*100,0),"00")</f>
        <v>L10</v>
      </c>
      <c r="AM658" t="str" cm="1">
        <f t="array" ref="AM658">TEXT(SUMPRODUCT(CODE(MID(Table1[[#This Row],[home_gym_location]],_xlfn.SEQUENCE(LEN(Table1[[#This Row],[home_gym_location]])),1))),"00000")</f>
        <v>01245</v>
      </c>
      <c r="AN65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58" t="str">
        <f>LEFT(_xlfn.TEXTBEFORE(Table1[[#This Row],[Location Identifier]],"-"),3) &amp; "-" &amp; _xlfn.TEXTAFTER(Table1[[#This Row],[Location Identifier]],"-")</f>
        <v>LOS-005</v>
      </c>
      <c r="AP658" s="9">
        <f t="shared" ca="1" si="100"/>
        <v>45869</v>
      </c>
    </row>
    <row r="659" spans="1:42" x14ac:dyDescent="0.25">
      <c r="A659">
        <v>45</v>
      </c>
      <c r="B659" t="s">
        <v>26</v>
      </c>
      <c r="C659">
        <v>3</v>
      </c>
      <c r="D659" t="s">
        <v>142</v>
      </c>
      <c r="E659" t="b">
        <v>0</v>
      </c>
      <c r="F659" s="1">
        <v>0.5708333333333333</v>
      </c>
      <c r="G659" s="1">
        <v>0.66249999999999998</v>
      </c>
      <c r="H659">
        <v>132</v>
      </c>
      <c r="I659" t="b">
        <v>0</v>
      </c>
      <c r="J659" t="b">
        <v>0</v>
      </c>
      <c r="K659" t="b">
        <v>0</v>
      </c>
      <c r="L659" t="s">
        <v>35</v>
      </c>
      <c r="M659">
        <v>50</v>
      </c>
      <c r="N659" t="s">
        <v>29</v>
      </c>
      <c r="O659">
        <v>50</v>
      </c>
      <c r="P659" t="s">
        <v>36</v>
      </c>
      <c r="Q659">
        <v>0</v>
      </c>
      <c r="R659">
        <v>50</v>
      </c>
      <c r="S659" t="s">
        <v>31</v>
      </c>
      <c r="T659" t="s">
        <v>45</v>
      </c>
      <c r="U659">
        <v>33.836599999999997</v>
      </c>
      <c r="V659">
        <v>-117.9143</v>
      </c>
      <c r="W659" s="2">
        <v>45143</v>
      </c>
      <c r="X659">
        <v>0</v>
      </c>
      <c r="Y659" t="b">
        <v>1</v>
      </c>
      <c r="Z659" s="2">
        <v>45822</v>
      </c>
      <c r="AA659" t="str">
        <f t="shared" si="101"/>
        <v>40–49</v>
      </c>
      <c r="AB659" t="str">
        <f t="shared" si="102"/>
        <v>40–49</v>
      </c>
      <c r="AC659" t="str">
        <f t="shared" si="103"/>
        <v>Monday</v>
      </c>
      <c r="AD659" t="str">
        <f t="shared" si="104"/>
        <v/>
      </c>
      <c r="AE659" t="str">
        <f t="shared" si="105"/>
        <v>Wednesday</v>
      </c>
      <c r="AF659" t="str">
        <f t="shared" si="106"/>
        <v/>
      </c>
      <c r="AG659" t="str">
        <f t="shared" si="107"/>
        <v/>
      </c>
      <c r="AH659" t="str">
        <f t="shared" si="108"/>
        <v/>
      </c>
      <c r="AI659" t="str">
        <f t="shared" si="109"/>
        <v>Sunday</v>
      </c>
      <c r="AJ659" t="str">
        <f>LEFT(Table1[[#This Row],[membership_type]],2)&amp;TEXT(Table1[[#This Row],[age]],"00")&amp;"-"&amp;TEXT(ROW(),"000")</f>
        <v>Pr45-659</v>
      </c>
      <c r="AK659" t="str">
        <f>LEFT(Table1[[#This Row],[membership_type]],1)&amp;TEXT(MATCH(Table1[[#This Row],[membership_type]],Table1[membership_type],0),"00")</f>
        <v>P01</v>
      </c>
      <c r="AL659" t="str">
        <f>LEFT(Table1[[#This Row],[discount_type]],1)&amp;TEXT(ROUND(Table1[[#This Row],[discount_rate]]*100,0),"00")</f>
        <v>N00</v>
      </c>
      <c r="AM659" t="str" cm="1">
        <f t="array" ref="AM659">TEXT(SUMPRODUCT(CODE(MID(Table1[[#This Row],[home_gym_location]],_xlfn.SEQUENCE(LEN(Table1[[#This Row],[home_gym_location]])),1))),"00000")</f>
        <v>00899</v>
      </c>
      <c r="AN659" t="str">
        <f>UPPER(_xlfn.TEXTBEFORE(Table1[[#This Row],[home_gym_location]],","))&amp;"-"&amp;TEXT(MATCH(Table1[[#This Row],[home_gym_location]],_xlfn._xlws.SORT(_xlfn.UNIQUE(Table1[home_gym_location])),0),"000")</f>
        <v>ANAHEIM-001</v>
      </c>
      <c r="AO659" t="str">
        <f>LEFT(_xlfn.TEXTBEFORE(Table1[[#This Row],[Location Identifier]],"-"),3) &amp; "-" &amp; _xlfn.TEXTAFTER(Table1[[#This Row],[Location Identifier]],"-")</f>
        <v>ANA-001</v>
      </c>
      <c r="AP659" s="9">
        <f t="shared" ca="1" si="100"/>
        <v>45869</v>
      </c>
    </row>
    <row r="660" spans="1:42" x14ac:dyDescent="0.25">
      <c r="A660">
        <v>23</v>
      </c>
      <c r="B660" t="s">
        <v>42</v>
      </c>
      <c r="C660">
        <v>3</v>
      </c>
      <c r="D660" t="s">
        <v>102</v>
      </c>
      <c r="E660" t="b">
        <v>1</v>
      </c>
      <c r="F660" s="1">
        <v>0.54583333333333328</v>
      </c>
      <c r="G660" s="1">
        <v>0.60763888888888884</v>
      </c>
      <c r="H660">
        <v>89</v>
      </c>
      <c r="I660" t="b">
        <v>1</v>
      </c>
      <c r="J660" t="b">
        <v>1</v>
      </c>
      <c r="K660" t="b">
        <v>0</v>
      </c>
      <c r="L660" t="s">
        <v>28</v>
      </c>
      <c r="M660">
        <v>20</v>
      </c>
      <c r="N660" t="s">
        <v>64</v>
      </c>
      <c r="O660">
        <v>15</v>
      </c>
      <c r="P660" t="s">
        <v>40</v>
      </c>
      <c r="Q660">
        <v>0.1</v>
      </c>
      <c r="R660">
        <v>13.5</v>
      </c>
      <c r="S660" t="s">
        <v>44</v>
      </c>
      <c r="T660" t="s">
        <v>59</v>
      </c>
      <c r="U660">
        <v>37.774900000000002</v>
      </c>
      <c r="V660">
        <v>-122.4194</v>
      </c>
      <c r="W660" s="2">
        <v>45223</v>
      </c>
      <c r="X660">
        <v>7</v>
      </c>
      <c r="Y660" t="b">
        <v>0</v>
      </c>
      <c r="Z660" s="2">
        <v>45826</v>
      </c>
      <c r="AA660" t="str">
        <f t="shared" si="101"/>
        <v>20–29</v>
      </c>
      <c r="AB660" t="str">
        <f t="shared" si="102"/>
        <v>20–29</v>
      </c>
      <c r="AC660" t="str">
        <f t="shared" si="103"/>
        <v/>
      </c>
      <c r="AD660" t="str">
        <f t="shared" si="104"/>
        <v/>
      </c>
      <c r="AE660" t="str">
        <f t="shared" si="105"/>
        <v/>
      </c>
      <c r="AF660" t="str">
        <f t="shared" si="106"/>
        <v>Thursday</v>
      </c>
      <c r="AG660" t="str">
        <f t="shared" si="107"/>
        <v>Friday</v>
      </c>
      <c r="AH660" t="str">
        <f t="shared" si="108"/>
        <v>Saturday</v>
      </c>
      <c r="AI660" t="str">
        <f t="shared" si="109"/>
        <v/>
      </c>
      <c r="AJ660" t="str">
        <f>LEFT(Table1[[#This Row],[membership_type]],2)&amp;TEXT(Table1[[#This Row],[age]],"00")&amp;"-"&amp;TEXT(ROW(),"000")</f>
        <v>Ba23-660</v>
      </c>
      <c r="AK660" t="str">
        <f>LEFT(Table1[[#This Row],[membership_type]],1)&amp;TEXT(MATCH(Table1[[#This Row],[membership_type]],Table1[membership_type],0),"00")</f>
        <v>B04</v>
      </c>
      <c r="AL660" t="str">
        <f>LEFT(Table1[[#This Row],[discount_type]],1)&amp;TEXT(ROUND(Table1[[#This Row],[discount_rate]]*100,0),"00")</f>
        <v>L10</v>
      </c>
      <c r="AM660" t="str" cm="1">
        <f t="array" ref="AM660">TEXT(SUMPRODUCT(CODE(MID(Table1[[#This Row],[home_gym_location]],_xlfn.SEQUENCE(LEN(Table1[[#This Row],[home_gym_location]])),1))),"00000")</f>
        <v>01450</v>
      </c>
      <c r="AN66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60" t="str">
        <f>LEFT(_xlfn.TEXTBEFORE(Table1[[#This Row],[Location Identifier]],"-"),3) &amp; "-" &amp; _xlfn.TEXTAFTER(Table1[[#This Row],[Location Identifier]],"-")</f>
        <v>SAN-009</v>
      </c>
      <c r="AP660" s="9">
        <f t="shared" ca="1" si="100"/>
        <v>45869</v>
      </c>
    </row>
    <row r="661" spans="1:42" x14ac:dyDescent="0.25">
      <c r="A661">
        <v>33</v>
      </c>
      <c r="B661" t="s">
        <v>26</v>
      </c>
      <c r="C661">
        <v>1</v>
      </c>
      <c r="D661" t="s">
        <v>75</v>
      </c>
      <c r="E661" t="b">
        <v>1</v>
      </c>
      <c r="F661" s="1">
        <v>0.67083333333333328</v>
      </c>
      <c r="G661" s="1">
        <v>0.70972222222222225</v>
      </c>
      <c r="H661">
        <v>56</v>
      </c>
      <c r="I661" t="b">
        <v>0</v>
      </c>
      <c r="J661" t="b">
        <v>0</v>
      </c>
      <c r="K661" t="b">
        <v>0</v>
      </c>
      <c r="L661" t="s">
        <v>62</v>
      </c>
      <c r="M661">
        <v>50</v>
      </c>
      <c r="N661" t="s">
        <v>29</v>
      </c>
      <c r="O661">
        <v>50</v>
      </c>
      <c r="P661" t="s">
        <v>40</v>
      </c>
      <c r="Q661">
        <v>0.1</v>
      </c>
      <c r="R661">
        <v>45</v>
      </c>
      <c r="S661" t="s">
        <v>31</v>
      </c>
      <c r="T661" t="s">
        <v>38</v>
      </c>
      <c r="U661">
        <v>36.7378</v>
      </c>
      <c r="V661">
        <v>-119.7871</v>
      </c>
      <c r="W661" s="2">
        <v>45451</v>
      </c>
      <c r="X661">
        <v>0</v>
      </c>
      <c r="Y661" t="b">
        <v>0</v>
      </c>
      <c r="Z661" s="2">
        <v>45839</v>
      </c>
      <c r="AA661" t="str">
        <f t="shared" si="101"/>
        <v>30–39</v>
      </c>
      <c r="AB661" t="str">
        <f t="shared" si="102"/>
        <v>30–39</v>
      </c>
      <c r="AC661" t="str">
        <f t="shared" si="103"/>
        <v/>
      </c>
      <c r="AD661" t="str">
        <f t="shared" si="104"/>
        <v/>
      </c>
      <c r="AE661" t="str">
        <f t="shared" si="105"/>
        <v/>
      </c>
      <c r="AF661" t="str">
        <f t="shared" si="106"/>
        <v/>
      </c>
      <c r="AG661" t="str">
        <f t="shared" si="107"/>
        <v>Friday</v>
      </c>
      <c r="AH661" t="str">
        <f t="shared" si="108"/>
        <v/>
      </c>
      <c r="AI661" t="str">
        <f t="shared" si="109"/>
        <v/>
      </c>
      <c r="AJ661" t="str">
        <f>LEFT(Table1[[#This Row],[membership_type]],2)&amp;TEXT(Table1[[#This Row],[age]],"00")&amp;"-"&amp;TEXT(ROW(),"000")</f>
        <v>Pr33-661</v>
      </c>
      <c r="AK661" t="str">
        <f>LEFT(Table1[[#This Row],[membership_type]],1)&amp;TEXT(MATCH(Table1[[#This Row],[membership_type]],Table1[membership_type],0),"00")</f>
        <v>P01</v>
      </c>
      <c r="AL661" t="str">
        <f>LEFT(Table1[[#This Row],[discount_type]],1)&amp;TEXT(ROUND(Table1[[#This Row],[discount_rate]]*100,0),"00")</f>
        <v>L10</v>
      </c>
      <c r="AM661" t="str" cm="1">
        <f t="array" ref="AM661">TEXT(SUMPRODUCT(CODE(MID(Table1[[#This Row],[home_gym_location]],_xlfn.SEQUENCE(LEN(Table1[[#This Row],[home_gym_location]])),1))),"00000")</f>
        <v>00829</v>
      </c>
      <c r="AN661" t="str">
        <f>UPPER(_xlfn.TEXTBEFORE(Table1[[#This Row],[home_gym_location]],","))&amp;"-"&amp;TEXT(MATCH(Table1[[#This Row],[home_gym_location]],_xlfn._xlws.SORT(_xlfn.UNIQUE(Table1[home_gym_location])),0),"000")</f>
        <v>FRESNO-003</v>
      </c>
      <c r="AO661" t="str">
        <f>LEFT(_xlfn.TEXTBEFORE(Table1[[#This Row],[Location Identifier]],"-"),3) &amp; "-" &amp; _xlfn.TEXTAFTER(Table1[[#This Row],[Location Identifier]],"-")</f>
        <v>FRE-003</v>
      </c>
      <c r="AP661" s="9">
        <f t="shared" ca="1" si="100"/>
        <v>45869</v>
      </c>
    </row>
    <row r="662" spans="1:42" x14ac:dyDescent="0.25">
      <c r="A662">
        <v>21</v>
      </c>
      <c r="B662" t="s">
        <v>26</v>
      </c>
      <c r="C662">
        <v>3</v>
      </c>
      <c r="D662" t="s">
        <v>86</v>
      </c>
      <c r="E662" t="b">
        <v>0</v>
      </c>
      <c r="F662" s="1">
        <v>0.39027777777777778</v>
      </c>
      <c r="G662" s="1">
        <v>0.45277777777777778</v>
      </c>
      <c r="H662">
        <v>90</v>
      </c>
      <c r="I662" t="b">
        <v>1</v>
      </c>
      <c r="J662" t="b">
        <v>1</v>
      </c>
      <c r="K662" t="b">
        <v>0</v>
      </c>
      <c r="L662" t="s">
        <v>28</v>
      </c>
      <c r="M662">
        <v>50</v>
      </c>
      <c r="N662" t="s">
        <v>29</v>
      </c>
      <c r="O662">
        <v>50</v>
      </c>
      <c r="P662" t="s">
        <v>36</v>
      </c>
      <c r="Q662">
        <v>0</v>
      </c>
      <c r="R662">
        <v>50</v>
      </c>
      <c r="S662" t="s">
        <v>31</v>
      </c>
      <c r="T662" t="s">
        <v>56</v>
      </c>
      <c r="U662">
        <v>35.3733</v>
      </c>
      <c r="V662">
        <v>-119.0187</v>
      </c>
      <c r="W662" s="2">
        <v>44780</v>
      </c>
      <c r="X662">
        <v>8</v>
      </c>
      <c r="Y662" t="b">
        <v>0</v>
      </c>
      <c r="Z662" s="2">
        <v>45801</v>
      </c>
      <c r="AA662" t="str">
        <f t="shared" si="101"/>
        <v>20–29</v>
      </c>
      <c r="AB662" t="str">
        <f t="shared" si="102"/>
        <v>20–29</v>
      </c>
      <c r="AC662" t="str">
        <f t="shared" si="103"/>
        <v/>
      </c>
      <c r="AD662" t="str">
        <f t="shared" si="104"/>
        <v>Tuesday</v>
      </c>
      <c r="AE662" t="str">
        <f t="shared" si="105"/>
        <v/>
      </c>
      <c r="AF662" t="str">
        <f t="shared" si="106"/>
        <v/>
      </c>
      <c r="AG662" t="str">
        <f t="shared" si="107"/>
        <v>Friday</v>
      </c>
      <c r="AH662" t="str">
        <f t="shared" si="108"/>
        <v>Saturday</v>
      </c>
      <c r="AI662" t="str">
        <f t="shared" si="109"/>
        <v/>
      </c>
      <c r="AJ662" t="str">
        <f>LEFT(Table1[[#This Row],[membership_type]],2)&amp;TEXT(Table1[[#This Row],[age]],"00")&amp;"-"&amp;TEXT(ROW(),"000")</f>
        <v>Pr21-662</v>
      </c>
      <c r="AK662" t="str">
        <f>LEFT(Table1[[#This Row],[membership_type]],1)&amp;TEXT(MATCH(Table1[[#This Row],[membership_type]],Table1[membership_type],0),"00")</f>
        <v>P01</v>
      </c>
      <c r="AL662" t="str">
        <f>LEFT(Table1[[#This Row],[discount_type]],1)&amp;TEXT(ROUND(Table1[[#This Row],[discount_rate]]*100,0),"00")</f>
        <v>N00</v>
      </c>
      <c r="AM662" t="str" cm="1">
        <f t="array" ref="AM662">TEXT(SUMPRODUCT(CODE(MID(Table1[[#This Row],[home_gym_location]],_xlfn.SEQUENCE(LEN(Table1[[#This Row],[home_gym_location]])),1))),"00000")</f>
        <v>01324</v>
      </c>
      <c r="AN6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62" t="str">
        <f>LEFT(_xlfn.TEXTBEFORE(Table1[[#This Row],[Location Identifier]],"-"),3) &amp; "-" &amp; _xlfn.TEXTAFTER(Table1[[#This Row],[Location Identifier]],"-")</f>
        <v>BAK-002</v>
      </c>
      <c r="AP662" s="9">
        <f t="shared" ca="1" si="100"/>
        <v>45869</v>
      </c>
    </row>
    <row r="663" spans="1:42" x14ac:dyDescent="0.25">
      <c r="A663">
        <v>24</v>
      </c>
      <c r="B663" t="s">
        <v>42</v>
      </c>
      <c r="C663">
        <v>3</v>
      </c>
      <c r="D663" t="s">
        <v>57</v>
      </c>
      <c r="E663" t="b">
        <v>1</v>
      </c>
      <c r="F663" s="1">
        <v>0.5</v>
      </c>
      <c r="G663" s="1">
        <v>0.58888888888888891</v>
      </c>
      <c r="H663">
        <v>128</v>
      </c>
      <c r="I663" t="b">
        <v>1</v>
      </c>
      <c r="J663" t="b">
        <v>0</v>
      </c>
      <c r="K663" t="b">
        <v>1</v>
      </c>
      <c r="L663" t="s">
        <v>58</v>
      </c>
      <c r="M663">
        <v>20</v>
      </c>
      <c r="N663" t="s">
        <v>29</v>
      </c>
      <c r="O663">
        <v>20</v>
      </c>
      <c r="P663" t="s">
        <v>40</v>
      </c>
      <c r="Q663">
        <v>0.1</v>
      </c>
      <c r="R663">
        <v>18</v>
      </c>
      <c r="S663" t="s">
        <v>44</v>
      </c>
      <c r="T663" t="s">
        <v>59</v>
      </c>
      <c r="U663">
        <v>37.774900000000002</v>
      </c>
      <c r="V663">
        <v>-122.4194</v>
      </c>
      <c r="W663" s="2">
        <v>45185</v>
      </c>
      <c r="X663">
        <v>0</v>
      </c>
      <c r="Y663" t="b">
        <v>0</v>
      </c>
      <c r="Z663" s="2">
        <v>45824</v>
      </c>
      <c r="AA663" t="str">
        <f t="shared" si="101"/>
        <v>20–29</v>
      </c>
      <c r="AB663" t="str">
        <f t="shared" si="102"/>
        <v>20–29</v>
      </c>
      <c r="AC663" t="str">
        <f t="shared" si="103"/>
        <v/>
      </c>
      <c r="AD663" t="str">
        <f t="shared" si="104"/>
        <v/>
      </c>
      <c r="AE663" t="str">
        <f t="shared" si="105"/>
        <v>Wednesday</v>
      </c>
      <c r="AF663" t="str">
        <f t="shared" si="106"/>
        <v>Thursday</v>
      </c>
      <c r="AG663" t="str">
        <f t="shared" si="107"/>
        <v/>
      </c>
      <c r="AH663" t="str">
        <f t="shared" si="108"/>
        <v>Saturday</v>
      </c>
      <c r="AI663" t="str">
        <f t="shared" si="109"/>
        <v/>
      </c>
      <c r="AJ663" t="str">
        <f>LEFT(Table1[[#This Row],[membership_type]],2)&amp;TEXT(Table1[[#This Row],[age]],"00")&amp;"-"&amp;TEXT(ROW(),"000")</f>
        <v>Ba24-663</v>
      </c>
      <c r="AK663" t="str">
        <f>LEFT(Table1[[#This Row],[membership_type]],1)&amp;TEXT(MATCH(Table1[[#This Row],[membership_type]],Table1[membership_type],0),"00")</f>
        <v>B04</v>
      </c>
      <c r="AL663" t="str">
        <f>LEFT(Table1[[#This Row],[discount_type]],1)&amp;TEXT(ROUND(Table1[[#This Row],[discount_rate]]*100,0),"00")</f>
        <v>L10</v>
      </c>
      <c r="AM663" t="str" cm="1">
        <f t="array" ref="AM663">TEXT(SUMPRODUCT(CODE(MID(Table1[[#This Row],[home_gym_location]],_xlfn.SEQUENCE(LEN(Table1[[#This Row],[home_gym_location]])),1))),"00000")</f>
        <v>01450</v>
      </c>
      <c r="AN6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63" t="str">
        <f>LEFT(_xlfn.TEXTBEFORE(Table1[[#This Row],[Location Identifier]],"-"),3) &amp; "-" &amp; _xlfn.TEXTAFTER(Table1[[#This Row],[Location Identifier]],"-")</f>
        <v>SAN-009</v>
      </c>
      <c r="AP663" s="9">
        <f t="shared" ca="1" si="100"/>
        <v>45869</v>
      </c>
    </row>
    <row r="664" spans="1:42" x14ac:dyDescent="0.25">
      <c r="A664">
        <v>28</v>
      </c>
      <c r="B664" t="s">
        <v>33</v>
      </c>
      <c r="C664">
        <v>5</v>
      </c>
      <c r="D664" t="s">
        <v>152</v>
      </c>
      <c r="E664" t="b">
        <v>0</v>
      </c>
      <c r="F664" s="1">
        <v>0.62013888888888891</v>
      </c>
      <c r="G664" s="1">
        <v>0.70347222222222228</v>
      </c>
      <c r="H664">
        <v>120</v>
      </c>
      <c r="I664" t="b">
        <v>1</v>
      </c>
      <c r="J664" t="b">
        <v>0</v>
      </c>
      <c r="K664" t="b">
        <v>0</v>
      </c>
      <c r="L664" t="s">
        <v>62</v>
      </c>
      <c r="M664">
        <v>30</v>
      </c>
      <c r="N664" t="s">
        <v>29</v>
      </c>
      <c r="O664">
        <v>30</v>
      </c>
      <c r="P664" t="s">
        <v>36</v>
      </c>
      <c r="Q664">
        <v>0</v>
      </c>
      <c r="R664">
        <v>30</v>
      </c>
      <c r="S664" t="s">
        <v>37</v>
      </c>
      <c r="T664" t="s">
        <v>45</v>
      </c>
      <c r="U664">
        <v>33.836599999999997</v>
      </c>
      <c r="V664">
        <v>-117.9143</v>
      </c>
      <c r="W664" s="2">
        <v>45578</v>
      </c>
      <c r="X664">
        <v>0</v>
      </c>
      <c r="Y664" t="b">
        <v>1</v>
      </c>
      <c r="Z664" s="2">
        <v>45846</v>
      </c>
      <c r="AA664" t="str">
        <f t="shared" si="101"/>
        <v>20–29</v>
      </c>
      <c r="AB664" t="str">
        <f t="shared" si="102"/>
        <v>20–29</v>
      </c>
      <c r="AC664" t="str">
        <f t="shared" si="103"/>
        <v>Monday</v>
      </c>
      <c r="AD664" t="str">
        <f t="shared" si="104"/>
        <v>Tuesday</v>
      </c>
      <c r="AE664" t="str">
        <f t="shared" si="105"/>
        <v>Wednesday</v>
      </c>
      <c r="AF664" t="str">
        <f t="shared" si="106"/>
        <v/>
      </c>
      <c r="AG664" t="str">
        <f t="shared" si="107"/>
        <v>Friday</v>
      </c>
      <c r="AH664" t="str">
        <f t="shared" si="108"/>
        <v>Saturday</v>
      </c>
      <c r="AI664" t="str">
        <f t="shared" si="109"/>
        <v/>
      </c>
      <c r="AJ664" t="str">
        <f>LEFT(Table1[[#This Row],[membership_type]],2)&amp;TEXT(Table1[[#This Row],[age]],"00")&amp;"-"&amp;TEXT(ROW(),"000")</f>
        <v>St28-664</v>
      </c>
      <c r="AK664" t="str">
        <f>LEFT(Table1[[#This Row],[membership_type]],1)&amp;TEXT(MATCH(Table1[[#This Row],[membership_type]],Table1[membership_type],0),"00")</f>
        <v>S02</v>
      </c>
      <c r="AL664" t="str">
        <f>LEFT(Table1[[#This Row],[discount_type]],1)&amp;TEXT(ROUND(Table1[[#This Row],[discount_rate]]*100,0),"00")</f>
        <v>N00</v>
      </c>
      <c r="AM664" t="str" cm="1">
        <f t="array" ref="AM664">TEXT(SUMPRODUCT(CODE(MID(Table1[[#This Row],[home_gym_location]],_xlfn.SEQUENCE(LEN(Table1[[#This Row],[home_gym_location]])),1))),"00000")</f>
        <v>00899</v>
      </c>
      <c r="AN664" t="str">
        <f>UPPER(_xlfn.TEXTBEFORE(Table1[[#This Row],[home_gym_location]],","))&amp;"-"&amp;TEXT(MATCH(Table1[[#This Row],[home_gym_location]],_xlfn._xlws.SORT(_xlfn.UNIQUE(Table1[home_gym_location])),0),"000")</f>
        <v>ANAHEIM-001</v>
      </c>
      <c r="AO664" t="str">
        <f>LEFT(_xlfn.TEXTBEFORE(Table1[[#This Row],[Location Identifier]],"-"),3) &amp; "-" &amp; _xlfn.TEXTAFTER(Table1[[#This Row],[Location Identifier]],"-")</f>
        <v>ANA-001</v>
      </c>
      <c r="AP664" s="9">
        <f t="shared" ca="1" si="100"/>
        <v>45869</v>
      </c>
    </row>
    <row r="665" spans="1:42" x14ac:dyDescent="0.25">
      <c r="A665">
        <v>24</v>
      </c>
      <c r="B665" t="s">
        <v>26</v>
      </c>
      <c r="C665">
        <v>1</v>
      </c>
      <c r="D665" t="s">
        <v>75</v>
      </c>
      <c r="E665" t="b">
        <v>1</v>
      </c>
      <c r="F665" s="1">
        <v>0.62847222222222221</v>
      </c>
      <c r="G665" s="1">
        <v>0.72430555555555554</v>
      </c>
      <c r="H665">
        <v>138</v>
      </c>
      <c r="I665" t="b">
        <v>0</v>
      </c>
      <c r="J665" t="b">
        <v>0</v>
      </c>
      <c r="K665" t="b">
        <v>0</v>
      </c>
      <c r="L665" t="s">
        <v>62</v>
      </c>
      <c r="M665">
        <v>50</v>
      </c>
      <c r="N665" t="s">
        <v>64</v>
      </c>
      <c r="O665">
        <v>37.5</v>
      </c>
      <c r="P665" t="s">
        <v>36</v>
      </c>
      <c r="Q665">
        <v>0</v>
      </c>
      <c r="R665">
        <v>37.5</v>
      </c>
      <c r="S665" t="s">
        <v>31</v>
      </c>
      <c r="T665" t="s">
        <v>65</v>
      </c>
      <c r="U665">
        <v>33.770099999999999</v>
      </c>
      <c r="V665">
        <v>-118.19370000000001</v>
      </c>
      <c r="W665" s="2">
        <v>45722</v>
      </c>
      <c r="X665">
        <v>0</v>
      </c>
      <c r="Y665" t="b">
        <v>1</v>
      </c>
      <c r="Z665" s="2">
        <v>45854</v>
      </c>
      <c r="AA665" t="str">
        <f t="shared" si="101"/>
        <v>20–29</v>
      </c>
      <c r="AB665" t="str">
        <f t="shared" si="102"/>
        <v>20–29</v>
      </c>
      <c r="AC665" t="str">
        <f t="shared" si="103"/>
        <v/>
      </c>
      <c r="AD665" t="str">
        <f t="shared" si="104"/>
        <v/>
      </c>
      <c r="AE665" t="str">
        <f t="shared" si="105"/>
        <v/>
      </c>
      <c r="AF665" t="str">
        <f t="shared" si="106"/>
        <v/>
      </c>
      <c r="AG665" t="str">
        <f t="shared" si="107"/>
        <v>Friday</v>
      </c>
      <c r="AH665" t="str">
        <f t="shared" si="108"/>
        <v/>
      </c>
      <c r="AI665" t="str">
        <f t="shared" si="109"/>
        <v/>
      </c>
      <c r="AJ665" t="str">
        <f>LEFT(Table1[[#This Row],[membership_type]],2)&amp;TEXT(Table1[[#This Row],[age]],"00")&amp;"-"&amp;TEXT(ROW(),"000")</f>
        <v>Pr24-665</v>
      </c>
      <c r="AK665" t="str">
        <f>LEFT(Table1[[#This Row],[membership_type]],1)&amp;TEXT(MATCH(Table1[[#This Row],[membership_type]],Table1[membership_type],0),"00")</f>
        <v>P01</v>
      </c>
      <c r="AL665" t="str">
        <f>LEFT(Table1[[#This Row],[discount_type]],1)&amp;TEXT(ROUND(Table1[[#This Row],[discount_rate]]*100,0),"00")</f>
        <v>N00</v>
      </c>
      <c r="AM665" t="str" cm="1">
        <f t="array" ref="AM665">TEXT(SUMPRODUCT(CODE(MID(Table1[[#This Row],[home_gym_location]],_xlfn.SEQUENCE(LEN(Table1[[#This Row],[home_gym_location]])),1))),"00000")</f>
        <v>01107</v>
      </c>
      <c r="AN66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65" t="str">
        <f>LEFT(_xlfn.TEXTBEFORE(Table1[[#This Row],[Location Identifier]],"-"),3) &amp; "-" &amp; _xlfn.TEXTAFTER(Table1[[#This Row],[Location Identifier]],"-")</f>
        <v>LON-004</v>
      </c>
      <c r="AP665" s="9">
        <f t="shared" ca="1" si="100"/>
        <v>45869</v>
      </c>
    </row>
    <row r="666" spans="1:42" x14ac:dyDescent="0.25">
      <c r="A666">
        <v>45</v>
      </c>
      <c r="B666" t="s">
        <v>33</v>
      </c>
      <c r="C666">
        <v>2</v>
      </c>
      <c r="D666" t="s">
        <v>61</v>
      </c>
      <c r="E666" t="b">
        <v>1</v>
      </c>
      <c r="F666" s="1">
        <v>0.66597222222222219</v>
      </c>
      <c r="G666" s="1">
        <v>0.78194444444444444</v>
      </c>
      <c r="H666">
        <v>167</v>
      </c>
      <c r="I666" t="b">
        <v>0</v>
      </c>
      <c r="J666" t="b">
        <v>1</v>
      </c>
      <c r="K666" t="b">
        <v>1</v>
      </c>
      <c r="L666" t="s">
        <v>62</v>
      </c>
      <c r="M666">
        <v>30</v>
      </c>
      <c r="N666" t="s">
        <v>29</v>
      </c>
      <c r="O666">
        <v>30</v>
      </c>
      <c r="P666" t="s">
        <v>74</v>
      </c>
      <c r="Q666">
        <v>0.15</v>
      </c>
      <c r="R666">
        <v>25.5</v>
      </c>
      <c r="S666" t="s">
        <v>37</v>
      </c>
      <c r="T666" t="s">
        <v>59</v>
      </c>
      <c r="U666">
        <v>37.774900000000002</v>
      </c>
      <c r="V666">
        <v>-122.4194</v>
      </c>
      <c r="W666" s="2">
        <v>45668</v>
      </c>
      <c r="X666">
        <v>7</v>
      </c>
      <c r="Y666" t="b">
        <v>0</v>
      </c>
      <c r="Z666" s="2">
        <v>45851</v>
      </c>
      <c r="AA666" t="str">
        <f t="shared" si="101"/>
        <v>40–49</v>
      </c>
      <c r="AB666" t="str">
        <f t="shared" si="102"/>
        <v>40–49</v>
      </c>
      <c r="AC666" t="str">
        <f t="shared" si="103"/>
        <v/>
      </c>
      <c r="AD666" t="str">
        <f t="shared" si="104"/>
        <v>Tuesday</v>
      </c>
      <c r="AE666" t="str">
        <f t="shared" si="105"/>
        <v/>
      </c>
      <c r="AF666" t="str">
        <f t="shared" si="106"/>
        <v/>
      </c>
      <c r="AG666" t="str">
        <f t="shared" si="107"/>
        <v/>
      </c>
      <c r="AH666" t="str">
        <f t="shared" si="108"/>
        <v>Saturday</v>
      </c>
      <c r="AI666" t="str">
        <f t="shared" si="109"/>
        <v/>
      </c>
      <c r="AJ666" t="str">
        <f>LEFT(Table1[[#This Row],[membership_type]],2)&amp;TEXT(Table1[[#This Row],[age]],"00")&amp;"-"&amp;TEXT(ROW(),"000")</f>
        <v>St45-666</v>
      </c>
      <c r="AK666" t="str">
        <f>LEFT(Table1[[#This Row],[membership_type]],1)&amp;TEXT(MATCH(Table1[[#This Row],[membership_type]],Table1[membership_type],0),"00")</f>
        <v>S02</v>
      </c>
      <c r="AL666" t="str">
        <f>LEFT(Table1[[#This Row],[discount_type]],1)&amp;TEXT(ROUND(Table1[[#This Row],[discount_rate]]*100,0),"00")</f>
        <v>S15</v>
      </c>
      <c r="AM666" t="str" cm="1">
        <f t="array" ref="AM666">TEXT(SUMPRODUCT(CODE(MID(Table1[[#This Row],[home_gym_location]],_xlfn.SEQUENCE(LEN(Table1[[#This Row],[home_gym_location]])),1))),"00000")</f>
        <v>01450</v>
      </c>
      <c r="AN66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66" t="str">
        <f>LEFT(_xlfn.TEXTBEFORE(Table1[[#This Row],[Location Identifier]],"-"),3) &amp; "-" &amp; _xlfn.TEXTAFTER(Table1[[#This Row],[Location Identifier]],"-")</f>
        <v>SAN-009</v>
      </c>
      <c r="AP666" s="9">
        <f t="shared" ca="1" si="100"/>
        <v>45869</v>
      </c>
    </row>
    <row r="667" spans="1:42" x14ac:dyDescent="0.25">
      <c r="A667">
        <v>20</v>
      </c>
      <c r="B667" t="s">
        <v>33</v>
      </c>
      <c r="C667">
        <v>1</v>
      </c>
      <c r="D667" t="s">
        <v>71</v>
      </c>
      <c r="E667" t="b">
        <v>0</v>
      </c>
      <c r="F667" s="1">
        <v>0.37152777777777779</v>
      </c>
      <c r="G667" s="1">
        <v>0.43263888888888891</v>
      </c>
      <c r="H667">
        <v>88</v>
      </c>
      <c r="I667" t="b">
        <v>1</v>
      </c>
      <c r="J667" t="b">
        <v>1</v>
      </c>
      <c r="K667" t="b">
        <v>1</v>
      </c>
      <c r="L667" t="s">
        <v>62</v>
      </c>
      <c r="M667">
        <v>30</v>
      </c>
      <c r="N667" t="s">
        <v>29</v>
      </c>
      <c r="O667">
        <v>30</v>
      </c>
      <c r="P667" t="s">
        <v>36</v>
      </c>
      <c r="Q667">
        <v>0</v>
      </c>
      <c r="R667">
        <v>30</v>
      </c>
      <c r="S667" t="s">
        <v>37</v>
      </c>
      <c r="T667" t="s">
        <v>59</v>
      </c>
      <c r="U667">
        <v>37.774900000000002</v>
      </c>
      <c r="V667">
        <v>-122.4194</v>
      </c>
      <c r="W667" s="2">
        <v>45569</v>
      </c>
      <c r="X667">
        <v>3</v>
      </c>
      <c r="Y667" t="b">
        <v>1</v>
      </c>
      <c r="Z667" s="2">
        <v>45846</v>
      </c>
      <c r="AA667" t="str">
        <f t="shared" si="101"/>
        <v>20–29</v>
      </c>
      <c r="AB667" t="str">
        <f t="shared" si="102"/>
        <v>20–29</v>
      </c>
      <c r="AC667" t="str">
        <f t="shared" si="103"/>
        <v/>
      </c>
      <c r="AD667" t="str">
        <f t="shared" si="104"/>
        <v>Tuesday</v>
      </c>
      <c r="AE667" t="str">
        <f t="shared" si="105"/>
        <v/>
      </c>
      <c r="AF667" t="str">
        <f t="shared" si="106"/>
        <v/>
      </c>
      <c r="AG667" t="str">
        <f t="shared" si="107"/>
        <v/>
      </c>
      <c r="AH667" t="str">
        <f t="shared" si="108"/>
        <v/>
      </c>
      <c r="AI667" t="str">
        <f t="shared" si="109"/>
        <v/>
      </c>
      <c r="AJ667" t="str">
        <f>LEFT(Table1[[#This Row],[membership_type]],2)&amp;TEXT(Table1[[#This Row],[age]],"00")&amp;"-"&amp;TEXT(ROW(),"000")</f>
        <v>St20-667</v>
      </c>
      <c r="AK667" t="str">
        <f>LEFT(Table1[[#This Row],[membership_type]],1)&amp;TEXT(MATCH(Table1[[#This Row],[membership_type]],Table1[membership_type],0),"00")</f>
        <v>S02</v>
      </c>
      <c r="AL667" t="str">
        <f>LEFT(Table1[[#This Row],[discount_type]],1)&amp;TEXT(ROUND(Table1[[#This Row],[discount_rate]]*100,0),"00")</f>
        <v>N00</v>
      </c>
      <c r="AM667" t="str" cm="1">
        <f t="array" ref="AM667">TEXT(SUMPRODUCT(CODE(MID(Table1[[#This Row],[home_gym_location]],_xlfn.SEQUENCE(LEN(Table1[[#This Row],[home_gym_location]])),1))),"00000")</f>
        <v>01450</v>
      </c>
      <c r="AN66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67" t="str">
        <f>LEFT(_xlfn.TEXTBEFORE(Table1[[#This Row],[Location Identifier]],"-"),3) &amp; "-" &amp; _xlfn.TEXTAFTER(Table1[[#This Row],[Location Identifier]],"-")</f>
        <v>SAN-009</v>
      </c>
      <c r="AP667" s="9">
        <f t="shared" ca="1" si="100"/>
        <v>45869</v>
      </c>
    </row>
    <row r="668" spans="1:42" x14ac:dyDescent="0.25">
      <c r="A668">
        <v>44</v>
      </c>
      <c r="B668" t="s">
        <v>26</v>
      </c>
      <c r="C668">
        <v>2</v>
      </c>
      <c r="D668" t="s">
        <v>70</v>
      </c>
      <c r="E668" t="b">
        <v>1</v>
      </c>
      <c r="F668" s="1">
        <v>0.35347222222222224</v>
      </c>
      <c r="G668" s="1">
        <v>0.38819444444444445</v>
      </c>
      <c r="H668">
        <v>50</v>
      </c>
      <c r="I668" t="b">
        <v>0</v>
      </c>
      <c r="J668" t="b">
        <v>1</v>
      </c>
      <c r="K668" t="b">
        <v>0</v>
      </c>
      <c r="L668" t="s">
        <v>28</v>
      </c>
      <c r="M668">
        <v>50</v>
      </c>
      <c r="N668" t="s">
        <v>29</v>
      </c>
      <c r="O668">
        <v>50</v>
      </c>
      <c r="P668" t="s">
        <v>40</v>
      </c>
      <c r="Q668">
        <v>0.1</v>
      </c>
      <c r="R668">
        <v>45</v>
      </c>
      <c r="S668" t="s">
        <v>31</v>
      </c>
      <c r="T668" t="s">
        <v>48</v>
      </c>
      <c r="U668">
        <v>38.581600000000002</v>
      </c>
      <c r="V668">
        <v>-121.4944</v>
      </c>
      <c r="W668" s="2">
        <v>45659</v>
      </c>
      <c r="X668">
        <v>4</v>
      </c>
      <c r="Y668" t="b">
        <v>1</v>
      </c>
      <c r="Z668" s="2">
        <v>45851</v>
      </c>
      <c r="AA668" t="str">
        <f t="shared" si="101"/>
        <v>40–49</v>
      </c>
      <c r="AB668" t="str">
        <f t="shared" si="102"/>
        <v>40–49</v>
      </c>
      <c r="AC668" t="str">
        <f t="shared" si="103"/>
        <v/>
      </c>
      <c r="AD668" t="str">
        <f t="shared" si="104"/>
        <v/>
      </c>
      <c r="AE668" t="str">
        <f t="shared" si="105"/>
        <v>Wednesday</v>
      </c>
      <c r="AF668" t="str">
        <f t="shared" si="106"/>
        <v>Thursday</v>
      </c>
      <c r="AG668" t="str">
        <f t="shared" si="107"/>
        <v/>
      </c>
      <c r="AH668" t="str">
        <f t="shared" si="108"/>
        <v/>
      </c>
      <c r="AI668" t="str">
        <f t="shared" si="109"/>
        <v/>
      </c>
      <c r="AJ668" t="str">
        <f>LEFT(Table1[[#This Row],[membership_type]],2)&amp;TEXT(Table1[[#This Row],[age]],"00")&amp;"-"&amp;TEXT(ROW(),"000")</f>
        <v>Pr44-668</v>
      </c>
      <c r="AK668" t="str">
        <f>LEFT(Table1[[#This Row],[membership_type]],1)&amp;TEXT(MATCH(Table1[[#This Row],[membership_type]],Table1[membership_type],0),"00")</f>
        <v>P01</v>
      </c>
      <c r="AL668" t="str">
        <f>LEFT(Table1[[#This Row],[discount_type]],1)&amp;TEXT(ROUND(Table1[[#This Row],[discount_rate]]*100,0),"00")</f>
        <v>L10</v>
      </c>
      <c r="AM668" t="str" cm="1">
        <f t="array" ref="AM668">TEXT(SUMPRODUCT(CODE(MID(Table1[[#This Row],[home_gym_location]],_xlfn.SEQUENCE(LEN(Table1[[#This Row],[home_gym_location]])),1))),"00000")</f>
        <v>01245</v>
      </c>
      <c r="AN66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68" t="str">
        <f>LEFT(_xlfn.TEXTBEFORE(Table1[[#This Row],[Location Identifier]],"-"),3) &amp; "-" &amp; _xlfn.TEXTAFTER(Table1[[#This Row],[Location Identifier]],"-")</f>
        <v>SAC-007</v>
      </c>
      <c r="AP668" s="9">
        <f t="shared" ca="1" si="100"/>
        <v>45869</v>
      </c>
    </row>
    <row r="669" spans="1:42" x14ac:dyDescent="0.25">
      <c r="A669">
        <v>37</v>
      </c>
      <c r="B669" t="s">
        <v>26</v>
      </c>
      <c r="C669">
        <v>1</v>
      </c>
      <c r="D669" t="s">
        <v>49</v>
      </c>
      <c r="E669" t="b">
        <v>1</v>
      </c>
      <c r="F669" s="1">
        <v>0.66319444444444442</v>
      </c>
      <c r="G669" s="1">
        <v>0.68958333333333333</v>
      </c>
      <c r="H669">
        <v>38</v>
      </c>
      <c r="I669" t="b">
        <v>0</v>
      </c>
      <c r="J669" t="b">
        <v>0</v>
      </c>
      <c r="K669" t="b">
        <v>0</v>
      </c>
      <c r="L669" t="s">
        <v>47</v>
      </c>
      <c r="M669">
        <v>50</v>
      </c>
      <c r="N669" t="s">
        <v>29</v>
      </c>
      <c r="O669">
        <v>50</v>
      </c>
      <c r="P669" t="s">
        <v>36</v>
      </c>
      <c r="Q669">
        <v>0</v>
      </c>
      <c r="R669">
        <v>50</v>
      </c>
      <c r="S669" t="s">
        <v>31</v>
      </c>
      <c r="T669" t="s">
        <v>32</v>
      </c>
      <c r="U669">
        <v>37.338200000000001</v>
      </c>
      <c r="V669">
        <v>-121.88630000000001</v>
      </c>
      <c r="W669" s="2">
        <v>45632</v>
      </c>
      <c r="X669">
        <v>0</v>
      </c>
      <c r="Y669" t="b">
        <v>1</v>
      </c>
      <c r="Z669" s="2">
        <v>45849</v>
      </c>
      <c r="AA669" t="str">
        <f t="shared" si="101"/>
        <v>30–39</v>
      </c>
      <c r="AB669" t="str">
        <f t="shared" si="102"/>
        <v>30–39</v>
      </c>
      <c r="AC669" t="str">
        <f t="shared" si="103"/>
        <v/>
      </c>
      <c r="AD669" t="str">
        <f t="shared" si="104"/>
        <v/>
      </c>
      <c r="AE669" t="str">
        <f t="shared" si="105"/>
        <v/>
      </c>
      <c r="AF669" t="str">
        <f t="shared" si="106"/>
        <v/>
      </c>
      <c r="AG669" t="str">
        <f t="shared" si="107"/>
        <v/>
      </c>
      <c r="AH669" t="str">
        <f t="shared" si="108"/>
        <v/>
      </c>
      <c r="AI669" t="str">
        <f t="shared" si="109"/>
        <v>Sunday</v>
      </c>
      <c r="AJ669" t="str">
        <f>LEFT(Table1[[#This Row],[membership_type]],2)&amp;TEXT(Table1[[#This Row],[age]],"00")&amp;"-"&amp;TEXT(ROW(),"000")</f>
        <v>Pr37-669</v>
      </c>
      <c r="AK669" t="str">
        <f>LEFT(Table1[[#This Row],[membership_type]],1)&amp;TEXT(MATCH(Table1[[#This Row],[membership_type]],Table1[membership_type],0),"00")</f>
        <v>P01</v>
      </c>
      <c r="AL669" t="str">
        <f>LEFT(Table1[[#This Row],[discount_type]],1)&amp;TEXT(ROUND(Table1[[#This Row],[discount_rate]]*100,0),"00")</f>
        <v>N00</v>
      </c>
      <c r="AM669" t="str" cm="1">
        <f t="array" ref="AM669">TEXT(SUMPRODUCT(CODE(MID(Table1[[#This Row],[home_gym_location]],_xlfn.SEQUENCE(LEN(Table1[[#This Row],[home_gym_location]])),1))),"00000")</f>
        <v>00931</v>
      </c>
      <c r="AN66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669" t="str">
        <f>LEFT(_xlfn.TEXTBEFORE(Table1[[#This Row],[Location Identifier]],"-"),3) &amp; "-" &amp; _xlfn.TEXTAFTER(Table1[[#This Row],[Location Identifier]],"-")</f>
        <v>SAN-010</v>
      </c>
      <c r="AP669" s="9">
        <f t="shared" ca="1" si="100"/>
        <v>45869</v>
      </c>
    </row>
    <row r="670" spans="1:42" x14ac:dyDescent="0.25">
      <c r="A670">
        <v>14</v>
      </c>
      <c r="B670" t="s">
        <v>26</v>
      </c>
      <c r="C670">
        <v>3</v>
      </c>
      <c r="D670" t="s">
        <v>90</v>
      </c>
      <c r="E670" t="b">
        <v>0</v>
      </c>
      <c r="F670" s="1">
        <v>0.58958333333333335</v>
      </c>
      <c r="G670" s="1">
        <v>0.69027777777777777</v>
      </c>
      <c r="H670">
        <v>145</v>
      </c>
      <c r="I670" t="b">
        <v>0</v>
      </c>
      <c r="J670" t="b">
        <v>1</v>
      </c>
      <c r="K670" t="b">
        <v>0</v>
      </c>
      <c r="L670" t="s">
        <v>28</v>
      </c>
      <c r="M670">
        <v>50</v>
      </c>
      <c r="N670" t="s">
        <v>78</v>
      </c>
      <c r="O670">
        <v>45</v>
      </c>
      <c r="P670" t="s">
        <v>74</v>
      </c>
      <c r="Q670">
        <v>0.15</v>
      </c>
      <c r="R670">
        <v>38.25</v>
      </c>
      <c r="S670" t="s">
        <v>31</v>
      </c>
      <c r="T670" t="s">
        <v>56</v>
      </c>
      <c r="U670">
        <v>35.3733</v>
      </c>
      <c r="V670">
        <v>-119.0187</v>
      </c>
      <c r="W670" s="2">
        <v>45527</v>
      </c>
      <c r="X670">
        <v>2</v>
      </c>
      <c r="Y670" t="b">
        <v>1</v>
      </c>
      <c r="Z670" s="2">
        <v>45843</v>
      </c>
      <c r="AA670" t="str">
        <f t="shared" si="101"/>
        <v>10–19</v>
      </c>
      <c r="AB670" t="str">
        <f t="shared" si="102"/>
        <v>Under 16</v>
      </c>
      <c r="AC670" t="str">
        <f t="shared" si="103"/>
        <v/>
      </c>
      <c r="AD670" t="str">
        <f t="shared" si="104"/>
        <v>Tuesday</v>
      </c>
      <c r="AE670" t="str">
        <f t="shared" si="105"/>
        <v/>
      </c>
      <c r="AF670" t="str">
        <f t="shared" si="106"/>
        <v/>
      </c>
      <c r="AG670" t="str">
        <f t="shared" si="107"/>
        <v/>
      </c>
      <c r="AH670" t="str">
        <f t="shared" si="108"/>
        <v>Saturday</v>
      </c>
      <c r="AI670" t="str">
        <f t="shared" si="109"/>
        <v>Sunday</v>
      </c>
      <c r="AJ670" t="str">
        <f>LEFT(Table1[[#This Row],[membership_type]],2)&amp;TEXT(Table1[[#This Row],[age]],"00")&amp;"-"&amp;TEXT(ROW(),"000")</f>
        <v>Pr14-670</v>
      </c>
      <c r="AK670" t="str">
        <f>LEFT(Table1[[#This Row],[membership_type]],1)&amp;TEXT(MATCH(Table1[[#This Row],[membership_type]],Table1[membership_type],0),"00")</f>
        <v>P01</v>
      </c>
      <c r="AL670" t="str">
        <f>LEFT(Table1[[#This Row],[discount_type]],1)&amp;TEXT(ROUND(Table1[[#This Row],[discount_rate]]*100,0),"00")</f>
        <v>S15</v>
      </c>
      <c r="AM670" t="str" cm="1">
        <f t="array" ref="AM670">TEXT(SUMPRODUCT(CODE(MID(Table1[[#This Row],[home_gym_location]],_xlfn.SEQUENCE(LEN(Table1[[#This Row],[home_gym_location]])),1))),"00000")</f>
        <v>01324</v>
      </c>
      <c r="AN6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70" t="str">
        <f>LEFT(_xlfn.TEXTBEFORE(Table1[[#This Row],[Location Identifier]],"-"),3) &amp; "-" &amp; _xlfn.TEXTAFTER(Table1[[#This Row],[Location Identifier]],"-")</f>
        <v>BAK-002</v>
      </c>
      <c r="AP670" s="9">
        <f t="shared" ca="1" si="100"/>
        <v>45869</v>
      </c>
    </row>
    <row r="671" spans="1:42" x14ac:dyDescent="0.25">
      <c r="A671">
        <v>20</v>
      </c>
      <c r="B671" t="s">
        <v>42</v>
      </c>
      <c r="C671">
        <v>5</v>
      </c>
      <c r="D671" t="s">
        <v>69</v>
      </c>
      <c r="E671" t="b">
        <v>1</v>
      </c>
      <c r="F671" s="1">
        <v>0.5444444444444444</v>
      </c>
      <c r="G671" s="1">
        <v>0.56736111111111109</v>
      </c>
      <c r="H671">
        <v>33</v>
      </c>
      <c r="I671" t="b">
        <v>1</v>
      </c>
      <c r="J671" t="b">
        <v>1</v>
      </c>
      <c r="K671" t="b">
        <v>1</v>
      </c>
      <c r="L671" t="s">
        <v>35</v>
      </c>
      <c r="M671">
        <v>20</v>
      </c>
      <c r="N671" t="s">
        <v>29</v>
      </c>
      <c r="O671">
        <v>20</v>
      </c>
      <c r="P671" t="s">
        <v>30</v>
      </c>
      <c r="Q671">
        <v>0.05</v>
      </c>
      <c r="R671">
        <v>19</v>
      </c>
      <c r="S671" t="s">
        <v>44</v>
      </c>
      <c r="T671" t="s">
        <v>50</v>
      </c>
      <c r="U671">
        <v>34.052199999999999</v>
      </c>
      <c r="V671">
        <v>-118.2437</v>
      </c>
      <c r="W671" s="2">
        <v>45646</v>
      </c>
      <c r="X671">
        <v>1</v>
      </c>
      <c r="Y671" t="b">
        <v>0</v>
      </c>
      <c r="Z671" s="2">
        <v>45850</v>
      </c>
      <c r="AA671" t="str">
        <f t="shared" si="101"/>
        <v>20–29</v>
      </c>
      <c r="AB671" t="str">
        <f t="shared" si="102"/>
        <v>20–29</v>
      </c>
      <c r="AC671" t="str">
        <f t="shared" si="103"/>
        <v>Monday</v>
      </c>
      <c r="AD671" t="str">
        <f t="shared" si="104"/>
        <v/>
      </c>
      <c r="AE671" t="str">
        <f t="shared" si="105"/>
        <v>Wednesday</v>
      </c>
      <c r="AF671" t="str">
        <f t="shared" si="106"/>
        <v>Thursday</v>
      </c>
      <c r="AG671" t="str">
        <f t="shared" si="107"/>
        <v/>
      </c>
      <c r="AH671" t="str">
        <f t="shared" si="108"/>
        <v>Saturday</v>
      </c>
      <c r="AI671" t="str">
        <f t="shared" si="109"/>
        <v>Sunday</v>
      </c>
      <c r="AJ671" t="str">
        <f>LEFT(Table1[[#This Row],[membership_type]],2)&amp;TEXT(Table1[[#This Row],[age]],"00")&amp;"-"&amp;TEXT(ROW(),"000")</f>
        <v>Ba20-671</v>
      </c>
      <c r="AK671" t="str">
        <f>LEFT(Table1[[#This Row],[membership_type]],1)&amp;TEXT(MATCH(Table1[[#This Row],[membership_type]],Table1[membership_type],0),"00")</f>
        <v>B04</v>
      </c>
      <c r="AL671" t="str">
        <f>LEFT(Table1[[#This Row],[discount_type]],1)&amp;TEXT(ROUND(Table1[[#This Row],[discount_rate]]*100,0),"00")</f>
        <v>P05</v>
      </c>
      <c r="AM671" t="str" cm="1">
        <f t="array" ref="AM671">TEXT(SUMPRODUCT(CODE(MID(Table1[[#This Row],[home_gym_location]],_xlfn.SEQUENCE(LEN(Table1[[#This Row],[home_gym_location]])),1))),"00000")</f>
        <v>01245</v>
      </c>
      <c r="AN67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71" t="str">
        <f>LEFT(_xlfn.TEXTBEFORE(Table1[[#This Row],[Location Identifier]],"-"),3) &amp; "-" &amp; _xlfn.TEXTAFTER(Table1[[#This Row],[Location Identifier]],"-")</f>
        <v>LOS-005</v>
      </c>
      <c r="AP671" s="9">
        <f t="shared" ca="1" si="100"/>
        <v>45869</v>
      </c>
    </row>
    <row r="672" spans="1:42" x14ac:dyDescent="0.25">
      <c r="A672">
        <v>36</v>
      </c>
      <c r="B672" t="s">
        <v>33</v>
      </c>
      <c r="C672">
        <v>3</v>
      </c>
      <c r="D672" t="s">
        <v>57</v>
      </c>
      <c r="E672" t="b">
        <v>0</v>
      </c>
      <c r="F672" s="1">
        <v>0.36249999999999999</v>
      </c>
      <c r="G672" s="1">
        <v>0.47986111111111113</v>
      </c>
      <c r="H672">
        <v>169</v>
      </c>
      <c r="I672" t="b">
        <v>1</v>
      </c>
      <c r="J672" t="b">
        <v>1</v>
      </c>
      <c r="K672" t="b">
        <v>1</v>
      </c>
      <c r="L672" t="s">
        <v>62</v>
      </c>
      <c r="M672">
        <v>30</v>
      </c>
      <c r="N672" t="s">
        <v>29</v>
      </c>
      <c r="O672">
        <v>30</v>
      </c>
      <c r="P672" t="s">
        <v>36</v>
      </c>
      <c r="Q672">
        <v>0</v>
      </c>
      <c r="R672">
        <v>30</v>
      </c>
      <c r="S672" t="s">
        <v>37</v>
      </c>
      <c r="T672" t="s">
        <v>54</v>
      </c>
      <c r="U672">
        <v>32.715699999999998</v>
      </c>
      <c r="V672">
        <v>-117.1611</v>
      </c>
      <c r="W672" s="2">
        <v>44875</v>
      </c>
      <c r="X672">
        <v>7</v>
      </c>
      <c r="Y672" t="b">
        <v>0</v>
      </c>
      <c r="Z672" s="2">
        <v>45807</v>
      </c>
      <c r="AA672" t="str">
        <f t="shared" si="101"/>
        <v>30–39</v>
      </c>
      <c r="AB672" t="str">
        <f t="shared" si="102"/>
        <v>30–39</v>
      </c>
      <c r="AC672" t="str">
        <f t="shared" si="103"/>
        <v/>
      </c>
      <c r="AD672" t="str">
        <f t="shared" si="104"/>
        <v/>
      </c>
      <c r="AE672" t="str">
        <f t="shared" si="105"/>
        <v>Wednesday</v>
      </c>
      <c r="AF672" t="str">
        <f t="shared" si="106"/>
        <v>Thursday</v>
      </c>
      <c r="AG672" t="str">
        <f t="shared" si="107"/>
        <v/>
      </c>
      <c r="AH672" t="str">
        <f t="shared" si="108"/>
        <v>Saturday</v>
      </c>
      <c r="AI672" t="str">
        <f t="shared" si="109"/>
        <v/>
      </c>
      <c r="AJ672" t="str">
        <f>LEFT(Table1[[#This Row],[membership_type]],2)&amp;TEXT(Table1[[#This Row],[age]],"00")&amp;"-"&amp;TEXT(ROW(),"000")</f>
        <v>St36-672</v>
      </c>
      <c r="AK672" t="str">
        <f>LEFT(Table1[[#This Row],[membership_type]],1)&amp;TEXT(MATCH(Table1[[#This Row],[membership_type]],Table1[membership_type],0),"00")</f>
        <v>S02</v>
      </c>
      <c r="AL672" t="str">
        <f>LEFT(Table1[[#This Row],[discount_type]],1)&amp;TEXT(ROUND(Table1[[#This Row],[discount_rate]]*100,0),"00")</f>
        <v>N00</v>
      </c>
      <c r="AM672" t="str" cm="1">
        <f t="array" ref="AM672">TEXT(SUMPRODUCT(CODE(MID(Table1[[#This Row],[home_gym_location]],_xlfn.SEQUENCE(LEN(Table1[[#This Row],[home_gym_location]])),1))),"00000")</f>
        <v>01018</v>
      </c>
      <c r="AN67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72" t="str">
        <f>LEFT(_xlfn.TEXTBEFORE(Table1[[#This Row],[Location Identifier]],"-"),3) &amp; "-" &amp; _xlfn.TEXTAFTER(Table1[[#This Row],[Location Identifier]],"-")</f>
        <v>SAN-008</v>
      </c>
      <c r="AP672" s="9">
        <f t="shared" ca="1" si="100"/>
        <v>45869</v>
      </c>
    </row>
    <row r="673" spans="1:42" x14ac:dyDescent="0.25">
      <c r="A673">
        <v>36</v>
      </c>
      <c r="B673" t="s">
        <v>33</v>
      </c>
      <c r="C673">
        <v>3</v>
      </c>
      <c r="D673" t="s">
        <v>57</v>
      </c>
      <c r="E673" t="b">
        <v>0</v>
      </c>
      <c r="F673" s="1">
        <v>0.36249999999999999</v>
      </c>
      <c r="G673" s="1">
        <v>0.47986111111111113</v>
      </c>
      <c r="H673">
        <v>169</v>
      </c>
      <c r="I673" t="b">
        <v>1</v>
      </c>
      <c r="J673" t="b">
        <v>1</v>
      </c>
      <c r="K673" t="b">
        <v>1</v>
      </c>
      <c r="L673" t="s">
        <v>62</v>
      </c>
      <c r="M673">
        <v>30</v>
      </c>
      <c r="N673" t="s">
        <v>29</v>
      </c>
      <c r="O673">
        <v>30</v>
      </c>
      <c r="P673" t="s">
        <v>36</v>
      </c>
      <c r="Q673">
        <v>0</v>
      </c>
      <c r="R673">
        <v>30</v>
      </c>
      <c r="S673" t="s">
        <v>37</v>
      </c>
      <c r="T673" t="s">
        <v>54</v>
      </c>
      <c r="U673">
        <v>32.715699999999998</v>
      </c>
      <c r="V673">
        <v>-117.1611</v>
      </c>
      <c r="W673" s="2">
        <v>45745</v>
      </c>
      <c r="X673">
        <v>6</v>
      </c>
      <c r="Y673" t="b">
        <v>0</v>
      </c>
      <c r="Z673" s="2">
        <v>45856</v>
      </c>
      <c r="AA673" t="str">
        <f t="shared" si="101"/>
        <v>30–39</v>
      </c>
      <c r="AB673" t="str">
        <f t="shared" si="102"/>
        <v>30–39</v>
      </c>
      <c r="AC673" t="str">
        <f t="shared" si="103"/>
        <v/>
      </c>
      <c r="AD673" t="str">
        <f t="shared" si="104"/>
        <v/>
      </c>
      <c r="AE673" t="str">
        <f t="shared" si="105"/>
        <v>Wednesday</v>
      </c>
      <c r="AF673" t="str">
        <f t="shared" si="106"/>
        <v>Thursday</v>
      </c>
      <c r="AG673" t="str">
        <f t="shared" si="107"/>
        <v/>
      </c>
      <c r="AH673" t="str">
        <f t="shared" si="108"/>
        <v>Saturday</v>
      </c>
      <c r="AI673" t="str">
        <f t="shared" si="109"/>
        <v/>
      </c>
      <c r="AJ673" t="str">
        <f>LEFT(Table1[[#This Row],[membership_type]],2)&amp;TEXT(Table1[[#This Row],[age]],"00")&amp;"-"&amp;TEXT(ROW(),"000")</f>
        <v>St36-673</v>
      </c>
      <c r="AK673" t="str">
        <f>LEFT(Table1[[#This Row],[membership_type]],1)&amp;TEXT(MATCH(Table1[[#This Row],[membership_type]],Table1[membership_type],0),"00")</f>
        <v>S02</v>
      </c>
      <c r="AL673" t="str">
        <f>LEFT(Table1[[#This Row],[discount_type]],1)&amp;TEXT(ROUND(Table1[[#This Row],[discount_rate]]*100,0),"00")</f>
        <v>N00</v>
      </c>
      <c r="AM673" t="str" cm="1">
        <f t="array" ref="AM673">TEXT(SUMPRODUCT(CODE(MID(Table1[[#This Row],[home_gym_location]],_xlfn.SEQUENCE(LEN(Table1[[#This Row],[home_gym_location]])),1))),"00000")</f>
        <v>01018</v>
      </c>
      <c r="AN67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73" t="str">
        <f>LEFT(_xlfn.TEXTBEFORE(Table1[[#This Row],[Location Identifier]],"-"),3) &amp; "-" &amp; _xlfn.TEXTAFTER(Table1[[#This Row],[Location Identifier]],"-")</f>
        <v>SAN-008</v>
      </c>
      <c r="AP673" s="9">
        <f t="shared" ca="1" si="100"/>
        <v>45869</v>
      </c>
    </row>
    <row r="674" spans="1:42" x14ac:dyDescent="0.25">
      <c r="A674">
        <v>29</v>
      </c>
      <c r="B674" t="s">
        <v>33</v>
      </c>
      <c r="C674">
        <v>1</v>
      </c>
      <c r="D674" t="s">
        <v>67</v>
      </c>
      <c r="E674" t="b">
        <v>1</v>
      </c>
      <c r="F674" s="1">
        <v>0.43402777777777779</v>
      </c>
      <c r="G674" s="1">
        <v>0.50277777777777777</v>
      </c>
      <c r="H674">
        <v>99</v>
      </c>
      <c r="I674" t="b">
        <v>1</v>
      </c>
      <c r="J674" t="b">
        <v>1</v>
      </c>
      <c r="K674" t="b">
        <v>0</v>
      </c>
      <c r="L674" t="s">
        <v>28</v>
      </c>
      <c r="M674">
        <v>30</v>
      </c>
      <c r="N674" t="s">
        <v>29</v>
      </c>
      <c r="O674">
        <v>30</v>
      </c>
      <c r="P674" t="s">
        <v>36</v>
      </c>
      <c r="Q674">
        <v>0</v>
      </c>
      <c r="R674">
        <v>30</v>
      </c>
      <c r="S674" t="s">
        <v>37</v>
      </c>
      <c r="T674" t="s">
        <v>45</v>
      </c>
      <c r="U674">
        <v>33.836599999999997</v>
      </c>
      <c r="V674">
        <v>-117.9143</v>
      </c>
      <c r="W674" s="2">
        <v>45272</v>
      </c>
      <c r="X674">
        <v>7</v>
      </c>
      <c r="Y674" t="b">
        <v>0</v>
      </c>
      <c r="Z674" s="2">
        <v>45829</v>
      </c>
      <c r="AA674" t="str">
        <f t="shared" si="101"/>
        <v>20–29</v>
      </c>
      <c r="AB674" t="str">
        <f t="shared" si="102"/>
        <v>20–29</v>
      </c>
      <c r="AC674" t="str">
        <f t="shared" si="103"/>
        <v/>
      </c>
      <c r="AD674" t="str">
        <f t="shared" si="104"/>
        <v/>
      </c>
      <c r="AE674" t="str">
        <f t="shared" si="105"/>
        <v/>
      </c>
      <c r="AF674" t="str">
        <f t="shared" si="106"/>
        <v>Thursday</v>
      </c>
      <c r="AG674" t="str">
        <f t="shared" si="107"/>
        <v/>
      </c>
      <c r="AH674" t="str">
        <f t="shared" si="108"/>
        <v/>
      </c>
      <c r="AI674" t="str">
        <f t="shared" si="109"/>
        <v/>
      </c>
      <c r="AJ674" t="str">
        <f>LEFT(Table1[[#This Row],[membership_type]],2)&amp;TEXT(Table1[[#This Row],[age]],"00")&amp;"-"&amp;TEXT(ROW(),"000")</f>
        <v>St29-674</v>
      </c>
      <c r="AK674" t="str">
        <f>LEFT(Table1[[#This Row],[membership_type]],1)&amp;TEXT(MATCH(Table1[[#This Row],[membership_type]],Table1[membership_type],0),"00")</f>
        <v>S02</v>
      </c>
      <c r="AL674" t="str">
        <f>LEFT(Table1[[#This Row],[discount_type]],1)&amp;TEXT(ROUND(Table1[[#This Row],[discount_rate]]*100,0),"00")</f>
        <v>N00</v>
      </c>
      <c r="AM674" t="str" cm="1">
        <f t="array" ref="AM674">TEXT(SUMPRODUCT(CODE(MID(Table1[[#This Row],[home_gym_location]],_xlfn.SEQUENCE(LEN(Table1[[#This Row],[home_gym_location]])),1))),"00000")</f>
        <v>00899</v>
      </c>
      <c r="AN674" t="str">
        <f>UPPER(_xlfn.TEXTBEFORE(Table1[[#This Row],[home_gym_location]],","))&amp;"-"&amp;TEXT(MATCH(Table1[[#This Row],[home_gym_location]],_xlfn._xlws.SORT(_xlfn.UNIQUE(Table1[home_gym_location])),0),"000")</f>
        <v>ANAHEIM-001</v>
      </c>
      <c r="AO674" t="str">
        <f>LEFT(_xlfn.TEXTBEFORE(Table1[[#This Row],[Location Identifier]],"-"),3) &amp; "-" &amp; _xlfn.TEXTAFTER(Table1[[#This Row],[Location Identifier]],"-")</f>
        <v>ANA-001</v>
      </c>
      <c r="AP674" s="9">
        <f t="shared" ca="1" si="100"/>
        <v>45869</v>
      </c>
    </row>
    <row r="675" spans="1:42" x14ac:dyDescent="0.25">
      <c r="A675">
        <v>29</v>
      </c>
      <c r="B675" t="s">
        <v>42</v>
      </c>
      <c r="C675">
        <v>1</v>
      </c>
      <c r="D675" t="s">
        <v>67</v>
      </c>
      <c r="E675" t="b">
        <v>0</v>
      </c>
      <c r="F675" s="1">
        <v>0.86319444444444449</v>
      </c>
      <c r="G675" s="1">
        <v>0.9145833333333333</v>
      </c>
      <c r="H675">
        <v>74</v>
      </c>
      <c r="I675" t="b">
        <v>0</v>
      </c>
      <c r="J675" t="b">
        <v>1</v>
      </c>
      <c r="K675" t="b">
        <v>1</v>
      </c>
      <c r="L675" t="s">
        <v>28</v>
      </c>
      <c r="M675">
        <v>20</v>
      </c>
      <c r="N675" t="s">
        <v>64</v>
      </c>
      <c r="O675">
        <v>15</v>
      </c>
      <c r="P675" t="s">
        <v>30</v>
      </c>
      <c r="Q675">
        <v>0.05</v>
      </c>
      <c r="R675">
        <v>14.25</v>
      </c>
      <c r="S675" t="s">
        <v>44</v>
      </c>
      <c r="T675" t="s">
        <v>56</v>
      </c>
      <c r="U675">
        <v>35.3733</v>
      </c>
      <c r="V675">
        <v>-119.0187</v>
      </c>
      <c r="W675" s="2">
        <v>45393</v>
      </c>
      <c r="X675">
        <v>7</v>
      </c>
      <c r="Y675" t="b">
        <v>0</v>
      </c>
      <c r="Z675" s="2">
        <v>45836</v>
      </c>
      <c r="AA675" t="str">
        <f t="shared" si="101"/>
        <v>20–29</v>
      </c>
      <c r="AB675" t="str">
        <f t="shared" si="102"/>
        <v>20–29</v>
      </c>
      <c r="AC675" t="str">
        <f t="shared" si="103"/>
        <v/>
      </c>
      <c r="AD675" t="str">
        <f t="shared" si="104"/>
        <v/>
      </c>
      <c r="AE675" t="str">
        <f t="shared" si="105"/>
        <v/>
      </c>
      <c r="AF675" t="str">
        <f t="shared" si="106"/>
        <v>Thursday</v>
      </c>
      <c r="AG675" t="str">
        <f t="shared" si="107"/>
        <v/>
      </c>
      <c r="AH675" t="str">
        <f t="shared" si="108"/>
        <v/>
      </c>
      <c r="AI675" t="str">
        <f t="shared" si="109"/>
        <v/>
      </c>
      <c r="AJ675" t="str">
        <f>LEFT(Table1[[#This Row],[membership_type]],2)&amp;TEXT(Table1[[#This Row],[age]],"00")&amp;"-"&amp;TEXT(ROW(),"000")</f>
        <v>Ba29-675</v>
      </c>
      <c r="AK675" t="str">
        <f>LEFT(Table1[[#This Row],[membership_type]],1)&amp;TEXT(MATCH(Table1[[#This Row],[membership_type]],Table1[membership_type],0),"00")</f>
        <v>B04</v>
      </c>
      <c r="AL675" t="str">
        <f>LEFT(Table1[[#This Row],[discount_type]],1)&amp;TEXT(ROUND(Table1[[#This Row],[discount_rate]]*100,0),"00")</f>
        <v>P05</v>
      </c>
      <c r="AM675" t="str" cm="1">
        <f t="array" ref="AM675">TEXT(SUMPRODUCT(CODE(MID(Table1[[#This Row],[home_gym_location]],_xlfn.SEQUENCE(LEN(Table1[[#This Row],[home_gym_location]])),1))),"00000")</f>
        <v>01324</v>
      </c>
      <c r="AN67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75" t="str">
        <f>LEFT(_xlfn.TEXTBEFORE(Table1[[#This Row],[Location Identifier]],"-"),3) &amp; "-" &amp; _xlfn.TEXTAFTER(Table1[[#This Row],[Location Identifier]],"-")</f>
        <v>BAK-002</v>
      </c>
      <c r="AP675" s="9">
        <f t="shared" ca="1" si="100"/>
        <v>45869</v>
      </c>
    </row>
    <row r="676" spans="1:42" x14ac:dyDescent="0.25">
      <c r="A676">
        <v>27</v>
      </c>
      <c r="B676" t="s">
        <v>33</v>
      </c>
      <c r="C676">
        <v>1</v>
      </c>
      <c r="D676" t="s">
        <v>97</v>
      </c>
      <c r="E676" t="b">
        <v>1</v>
      </c>
      <c r="F676" s="1">
        <v>0.76527777777777772</v>
      </c>
      <c r="G676" s="1">
        <v>0.88888888888888884</v>
      </c>
      <c r="H676">
        <v>178</v>
      </c>
      <c r="I676" t="b">
        <v>1</v>
      </c>
      <c r="J676" t="b">
        <v>0</v>
      </c>
      <c r="K676" t="b">
        <v>1</v>
      </c>
      <c r="L676" t="s">
        <v>28</v>
      </c>
      <c r="M676">
        <v>30</v>
      </c>
      <c r="N676" t="s">
        <v>64</v>
      </c>
      <c r="O676">
        <v>22.5</v>
      </c>
      <c r="P676" t="s">
        <v>30</v>
      </c>
      <c r="Q676">
        <v>0.05</v>
      </c>
      <c r="R676">
        <v>21.375</v>
      </c>
      <c r="S676" t="s">
        <v>37</v>
      </c>
      <c r="T676" t="s">
        <v>50</v>
      </c>
      <c r="U676">
        <v>34.052199999999999</v>
      </c>
      <c r="V676">
        <v>-118.2437</v>
      </c>
      <c r="W676" s="2">
        <v>44784</v>
      </c>
      <c r="X676">
        <v>0</v>
      </c>
      <c r="Y676" t="b">
        <v>0</v>
      </c>
      <c r="Z676" s="2">
        <v>45802</v>
      </c>
      <c r="AA676" t="str">
        <f t="shared" si="101"/>
        <v>20–29</v>
      </c>
      <c r="AB676" t="str">
        <f t="shared" si="102"/>
        <v>20–29</v>
      </c>
      <c r="AC676" t="str">
        <f t="shared" si="103"/>
        <v>Monday</v>
      </c>
      <c r="AD676" t="str">
        <f t="shared" si="104"/>
        <v/>
      </c>
      <c r="AE676" t="str">
        <f t="shared" si="105"/>
        <v/>
      </c>
      <c r="AF676" t="str">
        <f t="shared" si="106"/>
        <v/>
      </c>
      <c r="AG676" t="str">
        <f t="shared" si="107"/>
        <v/>
      </c>
      <c r="AH676" t="str">
        <f t="shared" si="108"/>
        <v/>
      </c>
      <c r="AI676" t="str">
        <f t="shared" si="109"/>
        <v/>
      </c>
      <c r="AJ676" t="str">
        <f>LEFT(Table1[[#This Row],[membership_type]],2)&amp;TEXT(Table1[[#This Row],[age]],"00")&amp;"-"&amp;TEXT(ROW(),"000")</f>
        <v>St27-676</v>
      </c>
      <c r="AK676" t="str">
        <f>LEFT(Table1[[#This Row],[membership_type]],1)&amp;TEXT(MATCH(Table1[[#This Row],[membership_type]],Table1[membership_type],0),"00")</f>
        <v>S02</v>
      </c>
      <c r="AL676" t="str">
        <f>LEFT(Table1[[#This Row],[discount_type]],1)&amp;TEXT(ROUND(Table1[[#This Row],[discount_rate]]*100,0),"00")</f>
        <v>P05</v>
      </c>
      <c r="AM676" t="str" cm="1">
        <f t="array" ref="AM676">TEXT(SUMPRODUCT(CODE(MID(Table1[[#This Row],[home_gym_location]],_xlfn.SEQUENCE(LEN(Table1[[#This Row],[home_gym_location]])),1))),"00000")</f>
        <v>01245</v>
      </c>
      <c r="AN67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76" t="str">
        <f>LEFT(_xlfn.TEXTBEFORE(Table1[[#This Row],[Location Identifier]],"-"),3) &amp; "-" &amp; _xlfn.TEXTAFTER(Table1[[#This Row],[Location Identifier]],"-")</f>
        <v>LOS-005</v>
      </c>
      <c r="AP676" s="9">
        <f t="shared" ca="1" si="100"/>
        <v>45869</v>
      </c>
    </row>
    <row r="677" spans="1:42" x14ac:dyDescent="0.25">
      <c r="A677">
        <v>33</v>
      </c>
      <c r="B677" t="s">
        <v>26</v>
      </c>
      <c r="C677">
        <v>5</v>
      </c>
      <c r="D677" t="s">
        <v>150</v>
      </c>
      <c r="E677" t="b">
        <v>1</v>
      </c>
      <c r="F677" s="1">
        <v>0.51458333333333328</v>
      </c>
      <c r="G677" s="1">
        <v>0.59930555555555554</v>
      </c>
      <c r="H677">
        <v>122</v>
      </c>
      <c r="I677" t="b">
        <v>1</v>
      </c>
      <c r="J677" t="b">
        <v>0</v>
      </c>
      <c r="K677" t="b">
        <v>1</v>
      </c>
      <c r="L677" t="s">
        <v>62</v>
      </c>
      <c r="M677">
        <v>50</v>
      </c>
      <c r="N677" t="s">
        <v>64</v>
      </c>
      <c r="O677">
        <v>37.5</v>
      </c>
      <c r="P677" t="s">
        <v>36</v>
      </c>
      <c r="Q677">
        <v>0</v>
      </c>
      <c r="R677">
        <v>37.5</v>
      </c>
      <c r="S677" t="s">
        <v>31</v>
      </c>
      <c r="T677" t="s">
        <v>50</v>
      </c>
      <c r="U677">
        <v>34.052199999999999</v>
      </c>
      <c r="V677">
        <v>-118.2437</v>
      </c>
      <c r="W677" s="2">
        <v>45711</v>
      </c>
      <c r="X677">
        <v>0</v>
      </c>
      <c r="Y677" t="b">
        <v>1</v>
      </c>
      <c r="Z677" s="2">
        <v>45854</v>
      </c>
      <c r="AA677" t="str">
        <f t="shared" si="101"/>
        <v>30–39</v>
      </c>
      <c r="AB677" t="str">
        <f t="shared" si="102"/>
        <v>30–39</v>
      </c>
      <c r="AC677" t="str">
        <f t="shared" si="103"/>
        <v/>
      </c>
      <c r="AD677" t="str">
        <f t="shared" si="104"/>
        <v>Tuesday</v>
      </c>
      <c r="AE677" t="str">
        <f t="shared" si="105"/>
        <v/>
      </c>
      <c r="AF677" t="str">
        <f t="shared" si="106"/>
        <v>Thursday</v>
      </c>
      <c r="AG677" t="str">
        <f t="shared" si="107"/>
        <v>Friday</v>
      </c>
      <c r="AH677" t="str">
        <f t="shared" si="108"/>
        <v>Saturday</v>
      </c>
      <c r="AI677" t="str">
        <f t="shared" si="109"/>
        <v>Sunday</v>
      </c>
      <c r="AJ677" t="str">
        <f>LEFT(Table1[[#This Row],[membership_type]],2)&amp;TEXT(Table1[[#This Row],[age]],"00")&amp;"-"&amp;TEXT(ROW(),"000")</f>
        <v>Pr33-677</v>
      </c>
      <c r="AK677" t="str">
        <f>LEFT(Table1[[#This Row],[membership_type]],1)&amp;TEXT(MATCH(Table1[[#This Row],[membership_type]],Table1[membership_type],0),"00")</f>
        <v>P01</v>
      </c>
      <c r="AL677" t="str">
        <f>LEFT(Table1[[#This Row],[discount_type]],1)&amp;TEXT(ROUND(Table1[[#This Row],[discount_rate]]*100,0),"00")</f>
        <v>N00</v>
      </c>
      <c r="AM677" t="str" cm="1">
        <f t="array" ref="AM677">TEXT(SUMPRODUCT(CODE(MID(Table1[[#This Row],[home_gym_location]],_xlfn.SEQUENCE(LEN(Table1[[#This Row],[home_gym_location]])),1))),"00000")</f>
        <v>01245</v>
      </c>
      <c r="AN67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77" t="str">
        <f>LEFT(_xlfn.TEXTBEFORE(Table1[[#This Row],[Location Identifier]],"-"),3) &amp; "-" &amp; _xlfn.TEXTAFTER(Table1[[#This Row],[Location Identifier]],"-")</f>
        <v>LOS-005</v>
      </c>
      <c r="AP677" s="9">
        <f t="shared" ca="1" si="100"/>
        <v>45869</v>
      </c>
    </row>
    <row r="678" spans="1:42" x14ac:dyDescent="0.25">
      <c r="A678">
        <v>44</v>
      </c>
      <c r="B678" t="s">
        <v>42</v>
      </c>
      <c r="C678">
        <v>1</v>
      </c>
      <c r="D678" t="s">
        <v>63</v>
      </c>
      <c r="E678" t="b">
        <v>0</v>
      </c>
      <c r="F678" s="1">
        <v>0.86319444444444449</v>
      </c>
      <c r="G678" s="1">
        <v>0.95694444444444449</v>
      </c>
      <c r="H678">
        <v>135</v>
      </c>
      <c r="I678" t="b">
        <v>1</v>
      </c>
      <c r="J678" t="b">
        <v>0</v>
      </c>
      <c r="K678" t="b">
        <v>0</v>
      </c>
      <c r="L678" t="s">
        <v>62</v>
      </c>
      <c r="M678">
        <v>20</v>
      </c>
      <c r="N678" t="s">
        <v>29</v>
      </c>
      <c r="O678">
        <v>20</v>
      </c>
      <c r="P678" t="s">
        <v>36</v>
      </c>
      <c r="Q678">
        <v>0</v>
      </c>
      <c r="R678">
        <v>20</v>
      </c>
      <c r="S678" t="s">
        <v>44</v>
      </c>
      <c r="T678" t="s">
        <v>48</v>
      </c>
      <c r="U678">
        <v>38.581600000000002</v>
      </c>
      <c r="V678">
        <v>-121.4944</v>
      </c>
      <c r="W678" s="2">
        <v>45407</v>
      </c>
      <c r="X678">
        <v>0</v>
      </c>
      <c r="Y678" t="b">
        <v>0</v>
      </c>
      <c r="Z678" s="2">
        <v>45837</v>
      </c>
      <c r="AA678" t="str">
        <f t="shared" si="101"/>
        <v>40–49</v>
      </c>
      <c r="AB678" t="str">
        <f t="shared" si="102"/>
        <v>40–49</v>
      </c>
      <c r="AC678" t="str">
        <f t="shared" si="103"/>
        <v/>
      </c>
      <c r="AD678" t="str">
        <f t="shared" si="104"/>
        <v/>
      </c>
      <c r="AE678" t="str">
        <f t="shared" si="105"/>
        <v>Wednesday</v>
      </c>
      <c r="AF678" t="str">
        <f t="shared" si="106"/>
        <v/>
      </c>
      <c r="AG678" t="str">
        <f t="shared" si="107"/>
        <v/>
      </c>
      <c r="AH678" t="str">
        <f t="shared" si="108"/>
        <v/>
      </c>
      <c r="AI678" t="str">
        <f t="shared" si="109"/>
        <v/>
      </c>
      <c r="AJ678" t="str">
        <f>LEFT(Table1[[#This Row],[membership_type]],2)&amp;TEXT(Table1[[#This Row],[age]],"00")&amp;"-"&amp;TEXT(ROW(),"000")</f>
        <v>Ba44-678</v>
      </c>
      <c r="AK678" t="str">
        <f>LEFT(Table1[[#This Row],[membership_type]],1)&amp;TEXT(MATCH(Table1[[#This Row],[membership_type]],Table1[membership_type],0),"00")</f>
        <v>B04</v>
      </c>
      <c r="AL678" t="str">
        <f>LEFT(Table1[[#This Row],[discount_type]],1)&amp;TEXT(ROUND(Table1[[#This Row],[discount_rate]]*100,0),"00")</f>
        <v>N00</v>
      </c>
      <c r="AM678" t="str" cm="1">
        <f t="array" ref="AM678">TEXT(SUMPRODUCT(CODE(MID(Table1[[#This Row],[home_gym_location]],_xlfn.SEQUENCE(LEN(Table1[[#This Row],[home_gym_location]])),1))),"00000")</f>
        <v>01245</v>
      </c>
      <c r="AN67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78" t="str">
        <f>LEFT(_xlfn.TEXTBEFORE(Table1[[#This Row],[Location Identifier]],"-"),3) &amp; "-" &amp; _xlfn.TEXTAFTER(Table1[[#This Row],[Location Identifier]],"-")</f>
        <v>SAC-007</v>
      </c>
      <c r="AP678" s="9">
        <f t="shared" ca="1" si="100"/>
        <v>45869</v>
      </c>
    </row>
    <row r="679" spans="1:42" x14ac:dyDescent="0.25">
      <c r="A679">
        <v>14</v>
      </c>
      <c r="B679" t="s">
        <v>33</v>
      </c>
      <c r="C679">
        <v>3</v>
      </c>
      <c r="D679" t="s">
        <v>138</v>
      </c>
      <c r="E679" t="b">
        <v>0</v>
      </c>
      <c r="F679" s="1">
        <v>0.35347222222222224</v>
      </c>
      <c r="G679" s="1">
        <v>0.44097222222222221</v>
      </c>
      <c r="H679">
        <v>126</v>
      </c>
      <c r="I679" t="b">
        <v>0</v>
      </c>
      <c r="J679" t="b">
        <v>0</v>
      </c>
      <c r="K679" t="b">
        <v>0</v>
      </c>
      <c r="L679" t="s">
        <v>35</v>
      </c>
      <c r="M679">
        <v>30</v>
      </c>
      <c r="N679" t="s">
        <v>29</v>
      </c>
      <c r="O679">
        <v>30</v>
      </c>
      <c r="P679" t="s">
        <v>36</v>
      </c>
      <c r="Q679">
        <v>0</v>
      </c>
      <c r="R679">
        <v>30</v>
      </c>
      <c r="S679" t="s">
        <v>37</v>
      </c>
      <c r="T679" t="s">
        <v>45</v>
      </c>
      <c r="U679">
        <v>33.836599999999997</v>
      </c>
      <c r="V679">
        <v>-117.9143</v>
      </c>
      <c r="W679" s="2">
        <v>44798</v>
      </c>
      <c r="X679">
        <v>0</v>
      </c>
      <c r="Y679" t="b">
        <v>0</v>
      </c>
      <c r="Z679" s="2">
        <v>45802</v>
      </c>
      <c r="AA679" t="str">
        <f t="shared" si="101"/>
        <v>10–19</v>
      </c>
      <c r="AB679" t="str">
        <f t="shared" si="102"/>
        <v>Under 16</v>
      </c>
      <c r="AC679" t="str">
        <f t="shared" si="103"/>
        <v/>
      </c>
      <c r="AD679" t="str">
        <f t="shared" si="104"/>
        <v>Tuesday</v>
      </c>
      <c r="AE679" t="str">
        <f t="shared" si="105"/>
        <v/>
      </c>
      <c r="AF679" t="str">
        <f t="shared" si="106"/>
        <v>Thursday</v>
      </c>
      <c r="AG679" t="str">
        <f t="shared" si="107"/>
        <v/>
      </c>
      <c r="AH679" t="str">
        <f t="shared" si="108"/>
        <v/>
      </c>
      <c r="AI679" t="str">
        <f t="shared" si="109"/>
        <v>Sunday</v>
      </c>
      <c r="AJ679" t="str">
        <f>LEFT(Table1[[#This Row],[membership_type]],2)&amp;TEXT(Table1[[#This Row],[age]],"00")&amp;"-"&amp;TEXT(ROW(),"000")</f>
        <v>St14-679</v>
      </c>
      <c r="AK679" t="str">
        <f>LEFT(Table1[[#This Row],[membership_type]],1)&amp;TEXT(MATCH(Table1[[#This Row],[membership_type]],Table1[membership_type],0),"00")</f>
        <v>S02</v>
      </c>
      <c r="AL679" t="str">
        <f>LEFT(Table1[[#This Row],[discount_type]],1)&amp;TEXT(ROUND(Table1[[#This Row],[discount_rate]]*100,0),"00")</f>
        <v>N00</v>
      </c>
      <c r="AM679" t="str" cm="1">
        <f t="array" ref="AM679">TEXT(SUMPRODUCT(CODE(MID(Table1[[#This Row],[home_gym_location]],_xlfn.SEQUENCE(LEN(Table1[[#This Row],[home_gym_location]])),1))),"00000")</f>
        <v>00899</v>
      </c>
      <c r="AN679" t="str">
        <f>UPPER(_xlfn.TEXTBEFORE(Table1[[#This Row],[home_gym_location]],","))&amp;"-"&amp;TEXT(MATCH(Table1[[#This Row],[home_gym_location]],_xlfn._xlws.SORT(_xlfn.UNIQUE(Table1[home_gym_location])),0),"000")</f>
        <v>ANAHEIM-001</v>
      </c>
      <c r="AO679" t="str">
        <f>LEFT(_xlfn.TEXTBEFORE(Table1[[#This Row],[Location Identifier]],"-"),3) &amp; "-" &amp; _xlfn.TEXTAFTER(Table1[[#This Row],[Location Identifier]],"-")</f>
        <v>ANA-001</v>
      </c>
      <c r="AP679" s="9">
        <f t="shared" ca="1" si="100"/>
        <v>45869</v>
      </c>
    </row>
    <row r="680" spans="1:42" x14ac:dyDescent="0.25">
      <c r="A680">
        <v>13</v>
      </c>
      <c r="B680" t="s">
        <v>26</v>
      </c>
      <c r="C680">
        <v>5</v>
      </c>
      <c r="D680" t="s">
        <v>77</v>
      </c>
      <c r="E680" t="b">
        <v>0</v>
      </c>
      <c r="F680" s="1">
        <v>0.40763888888888888</v>
      </c>
      <c r="G680" s="1">
        <v>0.51111111111111107</v>
      </c>
      <c r="H680">
        <v>149</v>
      </c>
      <c r="I680" t="b">
        <v>0</v>
      </c>
      <c r="J680" t="b">
        <v>1</v>
      </c>
      <c r="K680" t="b">
        <v>0</v>
      </c>
      <c r="L680" t="s">
        <v>35</v>
      </c>
      <c r="M680">
        <v>50</v>
      </c>
      <c r="N680" t="s">
        <v>29</v>
      </c>
      <c r="O680">
        <v>50</v>
      </c>
      <c r="P680" t="s">
        <v>36</v>
      </c>
      <c r="Q680">
        <v>0</v>
      </c>
      <c r="R680">
        <v>50</v>
      </c>
      <c r="S680" t="s">
        <v>31</v>
      </c>
      <c r="T680" t="s">
        <v>45</v>
      </c>
      <c r="U680">
        <v>33.836599999999997</v>
      </c>
      <c r="V680">
        <v>-117.9143</v>
      </c>
      <c r="W680" s="2">
        <v>44909</v>
      </c>
      <c r="X680">
        <v>5</v>
      </c>
      <c r="Y680" t="b">
        <v>0</v>
      </c>
      <c r="Z680" s="2">
        <v>45809</v>
      </c>
      <c r="AA680" t="str">
        <f t="shared" si="101"/>
        <v>10–19</v>
      </c>
      <c r="AB680" t="str">
        <f t="shared" si="102"/>
        <v>Under 16</v>
      </c>
      <c r="AC680" t="str">
        <f t="shared" si="103"/>
        <v/>
      </c>
      <c r="AD680" t="str">
        <f t="shared" si="104"/>
        <v>Tuesday</v>
      </c>
      <c r="AE680" t="str">
        <f t="shared" si="105"/>
        <v>Wednesday</v>
      </c>
      <c r="AF680" t="str">
        <f t="shared" si="106"/>
        <v>Thursday</v>
      </c>
      <c r="AG680" t="str">
        <f t="shared" si="107"/>
        <v>Friday</v>
      </c>
      <c r="AH680" t="str">
        <f t="shared" si="108"/>
        <v/>
      </c>
      <c r="AI680" t="str">
        <f t="shared" si="109"/>
        <v>Sunday</v>
      </c>
      <c r="AJ680" t="str">
        <f>LEFT(Table1[[#This Row],[membership_type]],2)&amp;TEXT(Table1[[#This Row],[age]],"00")&amp;"-"&amp;TEXT(ROW(),"000")</f>
        <v>Pr13-680</v>
      </c>
      <c r="AK680" t="str">
        <f>LEFT(Table1[[#This Row],[membership_type]],1)&amp;TEXT(MATCH(Table1[[#This Row],[membership_type]],Table1[membership_type],0),"00")</f>
        <v>P01</v>
      </c>
      <c r="AL680" t="str">
        <f>LEFT(Table1[[#This Row],[discount_type]],1)&amp;TEXT(ROUND(Table1[[#This Row],[discount_rate]]*100,0),"00")</f>
        <v>N00</v>
      </c>
      <c r="AM680" t="str" cm="1">
        <f t="array" ref="AM680">TEXT(SUMPRODUCT(CODE(MID(Table1[[#This Row],[home_gym_location]],_xlfn.SEQUENCE(LEN(Table1[[#This Row],[home_gym_location]])),1))),"00000")</f>
        <v>00899</v>
      </c>
      <c r="AN680" t="str">
        <f>UPPER(_xlfn.TEXTBEFORE(Table1[[#This Row],[home_gym_location]],","))&amp;"-"&amp;TEXT(MATCH(Table1[[#This Row],[home_gym_location]],_xlfn._xlws.SORT(_xlfn.UNIQUE(Table1[home_gym_location])),0),"000")</f>
        <v>ANAHEIM-001</v>
      </c>
      <c r="AO680" t="str">
        <f>LEFT(_xlfn.TEXTBEFORE(Table1[[#This Row],[Location Identifier]],"-"),3) &amp; "-" &amp; _xlfn.TEXTAFTER(Table1[[#This Row],[Location Identifier]],"-")</f>
        <v>ANA-001</v>
      </c>
      <c r="AP680" s="9">
        <f t="shared" ca="1" si="100"/>
        <v>45869</v>
      </c>
    </row>
    <row r="681" spans="1:42" x14ac:dyDescent="0.25">
      <c r="A681">
        <v>33</v>
      </c>
      <c r="B681" t="s">
        <v>26</v>
      </c>
      <c r="C681">
        <v>3</v>
      </c>
      <c r="D681" t="s">
        <v>91</v>
      </c>
      <c r="E681" t="b">
        <v>0</v>
      </c>
      <c r="F681" s="1">
        <v>0.40694444444444444</v>
      </c>
      <c r="G681" s="1">
        <v>0.51180555555555551</v>
      </c>
      <c r="H681">
        <v>151</v>
      </c>
      <c r="I681" t="b">
        <v>0</v>
      </c>
      <c r="J681" t="b">
        <v>0</v>
      </c>
      <c r="K681" t="b">
        <v>0</v>
      </c>
      <c r="L681" t="s">
        <v>28</v>
      </c>
      <c r="M681">
        <v>50</v>
      </c>
      <c r="N681" t="s">
        <v>78</v>
      </c>
      <c r="O681">
        <v>45</v>
      </c>
      <c r="P681" t="s">
        <v>36</v>
      </c>
      <c r="Q681">
        <v>0</v>
      </c>
      <c r="R681">
        <v>45</v>
      </c>
      <c r="S681" t="s">
        <v>31</v>
      </c>
      <c r="T681" t="s">
        <v>56</v>
      </c>
      <c r="U681">
        <v>35.3733</v>
      </c>
      <c r="V681">
        <v>-119.0187</v>
      </c>
      <c r="W681" s="2">
        <v>44960</v>
      </c>
      <c r="X681">
        <v>0</v>
      </c>
      <c r="Y681" t="b">
        <v>0</v>
      </c>
      <c r="Z681" s="2">
        <v>45811</v>
      </c>
      <c r="AA681" t="str">
        <f t="shared" si="101"/>
        <v>30–39</v>
      </c>
      <c r="AB681" t="str">
        <f t="shared" si="102"/>
        <v>30–39</v>
      </c>
      <c r="AC681" t="str">
        <f t="shared" si="103"/>
        <v>Monday</v>
      </c>
      <c r="AD681" t="str">
        <f t="shared" si="104"/>
        <v/>
      </c>
      <c r="AE681" t="str">
        <f t="shared" si="105"/>
        <v/>
      </c>
      <c r="AF681" t="str">
        <f t="shared" si="106"/>
        <v>Thursday</v>
      </c>
      <c r="AG681" t="str">
        <f t="shared" si="107"/>
        <v/>
      </c>
      <c r="AH681" t="str">
        <f t="shared" si="108"/>
        <v>Saturday</v>
      </c>
      <c r="AI681" t="str">
        <f t="shared" si="109"/>
        <v/>
      </c>
      <c r="AJ681" t="str">
        <f>LEFT(Table1[[#This Row],[membership_type]],2)&amp;TEXT(Table1[[#This Row],[age]],"00")&amp;"-"&amp;TEXT(ROW(),"000")</f>
        <v>Pr33-681</v>
      </c>
      <c r="AK681" t="str">
        <f>LEFT(Table1[[#This Row],[membership_type]],1)&amp;TEXT(MATCH(Table1[[#This Row],[membership_type]],Table1[membership_type],0),"00")</f>
        <v>P01</v>
      </c>
      <c r="AL681" t="str">
        <f>LEFT(Table1[[#This Row],[discount_type]],1)&amp;TEXT(ROUND(Table1[[#This Row],[discount_rate]]*100,0),"00")</f>
        <v>N00</v>
      </c>
      <c r="AM681" t="str" cm="1">
        <f t="array" ref="AM681">TEXT(SUMPRODUCT(CODE(MID(Table1[[#This Row],[home_gym_location]],_xlfn.SEQUENCE(LEN(Table1[[#This Row],[home_gym_location]])),1))),"00000")</f>
        <v>01324</v>
      </c>
      <c r="AN68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81" t="str">
        <f>LEFT(_xlfn.TEXTBEFORE(Table1[[#This Row],[Location Identifier]],"-"),3) &amp; "-" &amp; _xlfn.TEXTAFTER(Table1[[#This Row],[Location Identifier]],"-")</f>
        <v>BAK-002</v>
      </c>
      <c r="AP681" s="9">
        <f t="shared" ca="1" si="100"/>
        <v>45869</v>
      </c>
    </row>
    <row r="682" spans="1:42" x14ac:dyDescent="0.25">
      <c r="A682">
        <v>19</v>
      </c>
      <c r="B682" t="s">
        <v>42</v>
      </c>
      <c r="C682">
        <v>1</v>
      </c>
      <c r="D682" t="s">
        <v>49</v>
      </c>
      <c r="E682" t="b">
        <v>0</v>
      </c>
      <c r="F682" s="1">
        <v>0.47847222222222224</v>
      </c>
      <c r="G682" s="1">
        <v>0.60138888888888886</v>
      </c>
      <c r="H682">
        <v>177</v>
      </c>
      <c r="I682" t="b">
        <v>1</v>
      </c>
      <c r="J682" t="b">
        <v>1</v>
      </c>
      <c r="K682" t="b">
        <v>0</v>
      </c>
      <c r="L682" t="s">
        <v>28</v>
      </c>
      <c r="M682">
        <v>20</v>
      </c>
      <c r="N682" t="s">
        <v>64</v>
      </c>
      <c r="O682">
        <v>15</v>
      </c>
      <c r="P682" t="s">
        <v>30</v>
      </c>
      <c r="Q682">
        <v>0.05</v>
      </c>
      <c r="R682">
        <v>14.25</v>
      </c>
      <c r="S682" t="s">
        <v>44</v>
      </c>
      <c r="T682" t="s">
        <v>65</v>
      </c>
      <c r="U682">
        <v>33.770099999999999</v>
      </c>
      <c r="V682">
        <v>-118.19370000000001</v>
      </c>
      <c r="W682" s="2">
        <v>45556</v>
      </c>
      <c r="X682">
        <v>3</v>
      </c>
      <c r="Y682" t="b">
        <v>1</v>
      </c>
      <c r="Z682" s="2">
        <v>45845</v>
      </c>
      <c r="AA682" t="str">
        <f t="shared" si="101"/>
        <v>10–19</v>
      </c>
      <c r="AB682" t="str">
        <f t="shared" si="102"/>
        <v>16–19</v>
      </c>
      <c r="AC682" t="str">
        <f t="shared" si="103"/>
        <v/>
      </c>
      <c r="AD682" t="str">
        <f t="shared" si="104"/>
        <v/>
      </c>
      <c r="AE682" t="str">
        <f t="shared" si="105"/>
        <v/>
      </c>
      <c r="AF682" t="str">
        <f t="shared" si="106"/>
        <v/>
      </c>
      <c r="AG682" t="str">
        <f t="shared" si="107"/>
        <v/>
      </c>
      <c r="AH682" t="str">
        <f t="shared" si="108"/>
        <v/>
      </c>
      <c r="AI682" t="str">
        <f t="shared" si="109"/>
        <v>Sunday</v>
      </c>
      <c r="AJ682" t="str">
        <f>LEFT(Table1[[#This Row],[membership_type]],2)&amp;TEXT(Table1[[#This Row],[age]],"00")&amp;"-"&amp;TEXT(ROW(),"000")</f>
        <v>Ba19-682</v>
      </c>
      <c r="AK682" t="str">
        <f>LEFT(Table1[[#This Row],[membership_type]],1)&amp;TEXT(MATCH(Table1[[#This Row],[membership_type]],Table1[membership_type],0),"00")</f>
        <v>B04</v>
      </c>
      <c r="AL682" t="str">
        <f>LEFT(Table1[[#This Row],[discount_type]],1)&amp;TEXT(ROUND(Table1[[#This Row],[discount_rate]]*100,0),"00")</f>
        <v>P05</v>
      </c>
      <c r="AM682" t="str" cm="1">
        <f t="array" ref="AM682">TEXT(SUMPRODUCT(CODE(MID(Table1[[#This Row],[home_gym_location]],_xlfn.SEQUENCE(LEN(Table1[[#This Row],[home_gym_location]])),1))),"00000")</f>
        <v>01107</v>
      </c>
      <c r="AN68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82" t="str">
        <f>LEFT(_xlfn.TEXTBEFORE(Table1[[#This Row],[Location Identifier]],"-"),3) &amp; "-" &amp; _xlfn.TEXTAFTER(Table1[[#This Row],[Location Identifier]],"-")</f>
        <v>LON-004</v>
      </c>
      <c r="AP682" s="9">
        <f t="shared" ca="1" si="100"/>
        <v>45869</v>
      </c>
    </row>
    <row r="683" spans="1:42" x14ac:dyDescent="0.25">
      <c r="A683">
        <v>36</v>
      </c>
      <c r="B683" t="s">
        <v>26</v>
      </c>
      <c r="C683">
        <v>1</v>
      </c>
      <c r="D683" t="s">
        <v>95</v>
      </c>
      <c r="E683" t="b">
        <v>1</v>
      </c>
      <c r="F683" s="1">
        <v>0.49722222222222223</v>
      </c>
      <c r="G683" s="1">
        <v>0.54027777777777775</v>
      </c>
      <c r="H683">
        <v>62</v>
      </c>
      <c r="I683" t="b">
        <v>1</v>
      </c>
      <c r="J683" t="b">
        <v>1</v>
      </c>
      <c r="K683" t="b">
        <v>1</v>
      </c>
      <c r="L683" t="s">
        <v>62</v>
      </c>
      <c r="M683">
        <v>50</v>
      </c>
      <c r="N683" t="s">
        <v>29</v>
      </c>
      <c r="O683">
        <v>50</v>
      </c>
      <c r="P683" t="s">
        <v>36</v>
      </c>
      <c r="Q683">
        <v>0</v>
      </c>
      <c r="R683">
        <v>50</v>
      </c>
      <c r="S683" t="s">
        <v>31</v>
      </c>
      <c r="T683" t="s">
        <v>54</v>
      </c>
      <c r="U683">
        <v>32.715699999999998</v>
      </c>
      <c r="V683">
        <v>-117.1611</v>
      </c>
      <c r="W683" s="2">
        <v>45649</v>
      </c>
      <c r="X683">
        <v>1</v>
      </c>
      <c r="Y683" t="b">
        <v>1</v>
      </c>
      <c r="Z683" s="2">
        <v>45850</v>
      </c>
      <c r="AA683" t="str">
        <f t="shared" si="101"/>
        <v>30–39</v>
      </c>
      <c r="AB683" t="str">
        <f t="shared" si="102"/>
        <v>30–39</v>
      </c>
      <c r="AC683" t="str">
        <f t="shared" si="103"/>
        <v/>
      </c>
      <c r="AD683" t="str">
        <f t="shared" si="104"/>
        <v/>
      </c>
      <c r="AE683" t="str">
        <f t="shared" si="105"/>
        <v/>
      </c>
      <c r="AF683" t="str">
        <f t="shared" si="106"/>
        <v/>
      </c>
      <c r="AG683" t="str">
        <f t="shared" si="107"/>
        <v/>
      </c>
      <c r="AH683" t="str">
        <f t="shared" si="108"/>
        <v>Saturday</v>
      </c>
      <c r="AI683" t="str">
        <f t="shared" si="109"/>
        <v/>
      </c>
      <c r="AJ683" t="str">
        <f>LEFT(Table1[[#This Row],[membership_type]],2)&amp;TEXT(Table1[[#This Row],[age]],"00")&amp;"-"&amp;TEXT(ROW(),"000")</f>
        <v>Pr36-683</v>
      </c>
      <c r="AK683" t="str">
        <f>LEFT(Table1[[#This Row],[membership_type]],1)&amp;TEXT(MATCH(Table1[[#This Row],[membership_type]],Table1[membership_type],0),"00")</f>
        <v>P01</v>
      </c>
      <c r="AL683" t="str">
        <f>LEFT(Table1[[#This Row],[discount_type]],1)&amp;TEXT(ROUND(Table1[[#This Row],[discount_rate]]*100,0),"00")</f>
        <v>N00</v>
      </c>
      <c r="AM683" t="str" cm="1">
        <f t="array" ref="AM683">TEXT(SUMPRODUCT(CODE(MID(Table1[[#This Row],[home_gym_location]],_xlfn.SEQUENCE(LEN(Table1[[#This Row],[home_gym_location]])),1))),"00000")</f>
        <v>01018</v>
      </c>
      <c r="AN68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83" t="str">
        <f>LEFT(_xlfn.TEXTBEFORE(Table1[[#This Row],[Location Identifier]],"-"),3) &amp; "-" &amp; _xlfn.TEXTAFTER(Table1[[#This Row],[Location Identifier]],"-")</f>
        <v>SAN-008</v>
      </c>
      <c r="AP683" s="9">
        <f t="shared" ca="1" si="100"/>
        <v>45869</v>
      </c>
    </row>
    <row r="684" spans="1:42" x14ac:dyDescent="0.25">
      <c r="A684">
        <v>36</v>
      </c>
      <c r="B684" t="s">
        <v>51</v>
      </c>
      <c r="C684">
        <v>4</v>
      </c>
      <c r="D684" t="s">
        <v>161</v>
      </c>
      <c r="E684" t="b">
        <v>0</v>
      </c>
      <c r="F684" s="1">
        <v>0.52222222222222225</v>
      </c>
      <c r="G684" s="1">
        <v>0.54305555555555551</v>
      </c>
      <c r="H684">
        <v>30</v>
      </c>
      <c r="I684" t="b">
        <v>0</v>
      </c>
      <c r="J684" t="b">
        <v>0</v>
      </c>
      <c r="K684" t="b">
        <v>0</v>
      </c>
      <c r="L684" t="s">
        <v>62</v>
      </c>
      <c r="M684">
        <v>70</v>
      </c>
      <c r="N684" t="s">
        <v>29</v>
      </c>
      <c r="O684">
        <v>70</v>
      </c>
      <c r="P684" t="s">
        <v>74</v>
      </c>
      <c r="Q684">
        <v>0.15</v>
      </c>
      <c r="R684">
        <v>59.5</v>
      </c>
      <c r="S684" t="s">
        <v>53</v>
      </c>
      <c r="T684" t="s">
        <v>38</v>
      </c>
      <c r="U684">
        <v>36.7378</v>
      </c>
      <c r="V684">
        <v>-119.7871</v>
      </c>
      <c r="W684" s="2">
        <v>45118</v>
      </c>
      <c r="X684">
        <v>0</v>
      </c>
      <c r="Y684" t="b">
        <v>1</v>
      </c>
      <c r="Z684" s="2">
        <v>45820</v>
      </c>
      <c r="AA684" t="str">
        <f t="shared" si="101"/>
        <v>30–39</v>
      </c>
      <c r="AB684" t="str">
        <f t="shared" si="102"/>
        <v>30–39</v>
      </c>
      <c r="AC684" t="str">
        <f t="shared" si="103"/>
        <v>Monday</v>
      </c>
      <c r="AD684" t="str">
        <f t="shared" si="104"/>
        <v/>
      </c>
      <c r="AE684" t="str">
        <f t="shared" si="105"/>
        <v>Wednesday</v>
      </c>
      <c r="AF684" t="str">
        <f t="shared" si="106"/>
        <v>Thursday</v>
      </c>
      <c r="AG684" t="str">
        <f t="shared" si="107"/>
        <v/>
      </c>
      <c r="AH684" t="str">
        <f t="shared" si="108"/>
        <v/>
      </c>
      <c r="AI684" t="str">
        <f t="shared" si="109"/>
        <v>Sunday</v>
      </c>
      <c r="AJ684" t="str">
        <f>LEFT(Table1[[#This Row],[membership_type]],2)&amp;TEXT(Table1[[#This Row],[age]],"00")&amp;"-"&amp;TEXT(ROW(),"000")</f>
        <v>El36-684</v>
      </c>
      <c r="AK684" t="str">
        <f>LEFT(Table1[[#This Row],[membership_type]],1)&amp;TEXT(MATCH(Table1[[#This Row],[membership_type]],Table1[membership_type],0),"00")</f>
        <v>E07</v>
      </c>
      <c r="AL684" t="str">
        <f>LEFT(Table1[[#This Row],[discount_type]],1)&amp;TEXT(ROUND(Table1[[#This Row],[discount_rate]]*100,0),"00")</f>
        <v>S15</v>
      </c>
      <c r="AM684" t="str" cm="1">
        <f t="array" ref="AM684">TEXT(SUMPRODUCT(CODE(MID(Table1[[#This Row],[home_gym_location]],_xlfn.SEQUENCE(LEN(Table1[[#This Row],[home_gym_location]])),1))),"00000")</f>
        <v>00829</v>
      </c>
      <c r="AN684" t="str">
        <f>UPPER(_xlfn.TEXTBEFORE(Table1[[#This Row],[home_gym_location]],","))&amp;"-"&amp;TEXT(MATCH(Table1[[#This Row],[home_gym_location]],_xlfn._xlws.SORT(_xlfn.UNIQUE(Table1[home_gym_location])),0),"000")</f>
        <v>FRESNO-003</v>
      </c>
      <c r="AO684" t="str">
        <f>LEFT(_xlfn.TEXTBEFORE(Table1[[#This Row],[Location Identifier]],"-"),3) &amp; "-" &amp; _xlfn.TEXTAFTER(Table1[[#This Row],[Location Identifier]],"-")</f>
        <v>FRE-003</v>
      </c>
      <c r="AP684" s="9">
        <f t="shared" ca="1" si="100"/>
        <v>45869</v>
      </c>
    </row>
    <row r="685" spans="1:42" x14ac:dyDescent="0.25">
      <c r="A685">
        <v>47</v>
      </c>
      <c r="B685" t="s">
        <v>26</v>
      </c>
      <c r="C685">
        <v>2</v>
      </c>
      <c r="D685" t="s">
        <v>84</v>
      </c>
      <c r="E685" t="b">
        <v>1</v>
      </c>
      <c r="F685" s="1">
        <v>0.63124999999999998</v>
      </c>
      <c r="G685" s="1">
        <v>0.6791666666666667</v>
      </c>
      <c r="H685">
        <v>69</v>
      </c>
      <c r="I685" t="b">
        <v>1</v>
      </c>
      <c r="J685" t="b">
        <v>1</v>
      </c>
      <c r="K685" t="b">
        <v>1</v>
      </c>
      <c r="L685" t="s">
        <v>47</v>
      </c>
      <c r="M685">
        <v>50</v>
      </c>
      <c r="N685" t="s">
        <v>64</v>
      </c>
      <c r="O685">
        <v>37.5</v>
      </c>
      <c r="P685" t="s">
        <v>30</v>
      </c>
      <c r="Q685">
        <v>0.05</v>
      </c>
      <c r="R685">
        <v>35.625</v>
      </c>
      <c r="S685" t="s">
        <v>31</v>
      </c>
      <c r="T685" t="s">
        <v>50</v>
      </c>
      <c r="U685">
        <v>34.052199999999999</v>
      </c>
      <c r="V685">
        <v>-118.2437</v>
      </c>
      <c r="W685" s="2">
        <v>44841</v>
      </c>
      <c r="X685">
        <v>5</v>
      </c>
      <c r="Y685" t="b">
        <v>1</v>
      </c>
      <c r="Z685" s="2">
        <v>45805</v>
      </c>
      <c r="AA685" t="str">
        <f t="shared" si="101"/>
        <v>40–49</v>
      </c>
      <c r="AB685" t="str">
        <f t="shared" si="102"/>
        <v>40–49</v>
      </c>
      <c r="AC685" t="str">
        <f t="shared" si="103"/>
        <v/>
      </c>
      <c r="AD685" t="str">
        <f t="shared" si="104"/>
        <v>Tuesday</v>
      </c>
      <c r="AE685" t="str">
        <f t="shared" si="105"/>
        <v/>
      </c>
      <c r="AF685" t="str">
        <f t="shared" si="106"/>
        <v/>
      </c>
      <c r="AG685" t="str">
        <f t="shared" si="107"/>
        <v/>
      </c>
      <c r="AH685" t="str">
        <f t="shared" si="108"/>
        <v/>
      </c>
      <c r="AI685" t="str">
        <f t="shared" si="109"/>
        <v>Sunday</v>
      </c>
      <c r="AJ685" t="str">
        <f>LEFT(Table1[[#This Row],[membership_type]],2)&amp;TEXT(Table1[[#This Row],[age]],"00")&amp;"-"&amp;TEXT(ROW(),"000")</f>
        <v>Pr47-685</v>
      </c>
      <c r="AK685" t="str">
        <f>LEFT(Table1[[#This Row],[membership_type]],1)&amp;TEXT(MATCH(Table1[[#This Row],[membership_type]],Table1[membership_type],0),"00")</f>
        <v>P01</v>
      </c>
      <c r="AL685" t="str">
        <f>LEFT(Table1[[#This Row],[discount_type]],1)&amp;TEXT(ROUND(Table1[[#This Row],[discount_rate]]*100,0),"00")</f>
        <v>P05</v>
      </c>
      <c r="AM685" t="str" cm="1">
        <f t="array" ref="AM685">TEXT(SUMPRODUCT(CODE(MID(Table1[[#This Row],[home_gym_location]],_xlfn.SEQUENCE(LEN(Table1[[#This Row],[home_gym_location]])),1))),"00000")</f>
        <v>01245</v>
      </c>
      <c r="AN6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85" t="str">
        <f>LEFT(_xlfn.TEXTBEFORE(Table1[[#This Row],[Location Identifier]],"-"),3) &amp; "-" &amp; _xlfn.TEXTAFTER(Table1[[#This Row],[Location Identifier]],"-")</f>
        <v>LOS-005</v>
      </c>
      <c r="AP685" s="9">
        <f t="shared" ca="1" si="100"/>
        <v>45869</v>
      </c>
    </row>
    <row r="686" spans="1:42" x14ac:dyDescent="0.25">
      <c r="A686">
        <v>37</v>
      </c>
      <c r="B686" t="s">
        <v>26</v>
      </c>
      <c r="C686">
        <v>3</v>
      </c>
      <c r="D686" t="s">
        <v>82</v>
      </c>
      <c r="E686" t="b">
        <v>0</v>
      </c>
      <c r="F686" s="1">
        <v>0.74513888888888891</v>
      </c>
      <c r="G686" s="1">
        <v>0.84305555555555556</v>
      </c>
      <c r="H686">
        <v>141</v>
      </c>
      <c r="I686" t="b">
        <v>0</v>
      </c>
      <c r="J686" t="b">
        <v>0</v>
      </c>
      <c r="K686" t="b">
        <v>1</v>
      </c>
      <c r="L686" t="s">
        <v>35</v>
      </c>
      <c r="M686">
        <v>50</v>
      </c>
      <c r="N686" t="s">
        <v>64</v>
      </c>
      <c r="O686">
        <v>37.5</v>
      </c>
      <c r="P686" t="s">
        <v>40</v>
      </c>
      <c r="Q686">
        <v>0.1</v>
      </c>
      <c r="R686">
        <v>33.75</v>
      </c>
      <c r="S686" t="s">
        <v>31</v>
      </c>
      <c r="T686" t="s">
        <v>65</v>
      </c>
      <c r="U686">
        <v>33.770099999999999</v>
      </c>
      <c r="V686">
        <v>-118.19370000000001</v>
      </c>
      <c r="W686" s="2">
        <v>45238</v>
      </c>
      <c r="X686">
        <v>0</v>
      </c>
      <c r="Y686" t="b">
        <v>1</v>
      </c>
      <c r="Z686" s="2">
        <v>45827</v>
      </c>
      <c r="AA686" t="str">
        <f t="shared" si="101"/>
        <v>30–39</v>
      </c>
      <c r="AB686" t="str">
        <f t="shared" si="102"/>
        <v>30–39</v>
      </c>
      <c r="AC686" t="str">
        <f t="shared" si="103"/>
        <v/>
      </c>
      <c r="AD686" t="str">
        <f t="shared" si="104"/>
        <v/>
      </c>
      <c r="AE686" t="str">
        <f t="shared" si="105"/>
        <v/>
      </c>
      <c r="AF686" t="str">
        <f t="shared" si="106"/>
        <v/>
      </c>
      <c r="AG686" t="str">
        <f t="shared" si="107"/>
        <v>Friday</v>
      </c>
      <c r="AH686" t="str">
        <f t="shared" si="108"/>
        <v>Saturday</v>
      </c>
      <c r="AI686" t="str">
        <f t="shared" si="109"/>
        <v>Sunday</v>
      </c>
      <c r="AJ686" t="str">
        <f>LEFT(Table1[[#This Row],[membership_type]],2)&amp;TEXT(Table1[[#This Row],[age]],"00")&amp;"-"&amp;TEXT(ROW(),"000")</f>
        <v>Pr37-686</v>
      </c>
      <c r="AK686" t="str">
        <f>LEFT(Table1[[#This Row],[membership_type]],1)&amp;TEXT(MATCH(Table1[[#This Row],[membership_type]],Table1[membership_type],0),"00")</f>
        <v>P01</v>
      </c>
      <c r="AL686" t="str">
        <f>LEFT(Table1[[#This Row],[discount_type]],1)&amp;TEXT(ROUND(Table1[[#This Row],[discount_rate]]*100,0),"00")</f>
        <v>L10</v>
      </c>
      <c r="AM686" t="str" cm="1">
        <f t="array" ref="AM686">TEXT(SUMPRODUCT(CODE(MID(Table1[[#This Row],[home_gym_location]],_xlfn.SEQUENCE(LEN(Table1[[#This Row],[home_gym_location]])),1))),"00000")</f>
        <v>01107</v>
      </c>
      <c r="AN68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86" t="str">
        <f>LEFT(_xlfn.TEXTBEFORE(Table1[[#This Row],[Location Identifier]],"-"),3) &amp; "-" &amp; _xlfn.TEXTAFTER(Table1[[#This Row],[Location Identifier]],"-")</f>
        <v>LON-004</v>
      </c>
      <c r="AP686" s="9">
        <f t="shared" ca="1" si="100"/>
        <v>45869</v>
      </c>
    </row>
    <row r="687" spans="1:42" x14ac:dyDescent="0.25">
      <c r="A687">
        <v>36</v>
      </c>
      <c r="B687" t="s">
        <v>33</v>
      </c>
      <c r="C687">
        <v>5</v>
      </c>
      <c r="D687" t="s">
        <v>120</v>
      </c>
      <c r="E687" t="b">
        <v>0</v>
      </c>
      <c r="F687" s="1">
        <v>0.87291666666666667</v>
      </c>
      <c r="G687" s="1">
        <v>0.92708333333333337</v>
      </c>
      <c r="H687">
        <v>78</v>
      </c>
      <c r="I687" t="b">
        <v>1</v>
      </c>
      <c r="J687" t="b">
        <v>1</v>
      </c>
      <c r="K687" t="b">
        <v>0</v>
      </c>
      <c r="L687" t="s">
        <v>35</v>
      </c>
      <c r="M687">
        <v>30</v>
      </c>
      <c r="N687" t="s">
        <v>29</v>
      </c>
      <c r="O687">
        <v>30</v>
      </c>
      <c r="P687" t="s">
        <v>74</v>
      </c>
      <c r="Q687">
        <v>0.15</v>
      </c>
      <c r="R687">
        <v>25.5</v>
      </c>
      <c r="S687" t="s">
        <v>37</v>
      </c>
      <c r="T687" t="s">
        <v>48</v>
      </c>
      <c r="U687">
        <v>38.581600000000002</v>
      </c>
      <c r="V687">
        <v>-121.4944</v>
      </c>
      <c r="W687" s="2">
        <v>45222</v>
      </c>
      <c r="X687">
        <v>5</v>
      </c>
      <c r="Y687" t="b">
        <v>0</v>
      </c>
      <c r="Z687" s="2">
        <v>45826</v>
      </c>
      <c r="AA687" t="str">
        <f t="shared" si="101"/>
        <v>30–39</v>
      </c>
      <c r="AB687" t="str">
        <f t="shared" si="102"/>
        <v>30–39</v>
      </c>
      <c r="AC687" t="str">
        <f t="shared" si="103"/>
        <v>Monday</v>
      </c>
      <c r="AD687" t="str">
        <f t="shared" si="104"/>
        <v>Tuesday</v>
      </c>
      <c r="AE687" t="str">
        <f t="shared" si="105"/>
        <v/>
      </c>
      <c r="AF687" t="str">
        <f t="shared" si="106"/>
        <v>Thursday</v>
      </c>
      <c r="AG687" t="str">
        <f t="shared" si="107"/>
        <v>Friday</v>
      </c>
      <c r="AH687" t="str">
        <f t="shared" si="108"/>
        <v/>
      </c>
      <c r="AI687" t="str">
        <f t="shared" si="109"/>
        <v>Sunday</v>
      </c>
      <c r="AJ687" t="str">
        <f>LEFT(Table1[[#This Row],[membership_type]],2)&amp;TEXT(Table1[[#This Row],[age]],"00")&amp;"-"&amp;TEXT(ROW(),"000")</f>
        <v>St36-687</v>
      </c>
      <c r="AK687" t="str">
        <f>LEFT(Table1[[#This Row],[membership_type]],1)&amp;TEXT(MATCH(Table1[[#This Row],[membership_type]],Table1[membership_type],0),"00")</f>
        <v>S02</v>
      </c>
      <c r="AL687" t="str">
        <f>LEFT(Table1[[#This Row],[discount_type]],1)&amp;TEXT(ROUND(Table1[[#This Row],[discount_rate]]*100,0),"00")</f>
        <v>S15</v>
      </c>
      <c r="AM687" t="str" cm="1">
        <f t="array" ref="AM687">TEXT(SUMPRODUCT(CODE(MID(Table1[[#This Row],[home_gym_location]],_xlfn.SEQUENCE(LEN(Table1[[#This Row],[home_gym_location]])),1))),"00000")</f>
        <v>01245</v>
      </c>
      <c r="AN68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87" t="str">
        <f>LEFT(_xlfn.TEXTBEFORE(Table1[[#This Row],[Location Identifier]],"-"),3) &amp; "-" &amp; _xlfn.TEXTAFTER(Table1[[#This Row],[Location Identifier]],"-")</f>
        <v>SAC-007</v>
      </c>
      <c r="AP687" s="9">
        <f t="shared" ca="1" si="100"/>
        <v>45869</v>
      </c>
    </row>
    <row r="688" spans="1:42" x14ac:dyDescent="0.25">
      <c r="A688">
        <v>13</v>
      </c>
      <c r="B688" t="s">
        <v>33</v>
      </c>
      <c r="C688">
        <v>1</v>
      </c>
      <c r="D688" t="s">
        <v>75</v>
      </c>
      <c r="E688" t="b">
        <v>0</v>
      </c>
      <c r="F688" s="1">
        <v>0.67361111111111116</v>
      </c>
      <c r="G688" s="1">
        <v>0.69444444444444442</v>
      </c>
      <c r="H688">
        <v>30</v>
      </c>
      <c r="I688" t="b">
        <v>1</v>
      </c>
      <c r="J688" t="b">
        <v>0</v>
      </c>
      <c r="K688" t="b">
        <v>0</v>
      </c>
      <c r="L688" t="s">
        <v>62</v>
      </c>
      <c r="M688">
        <v>30</v>
      </c>
      <c r="N688" t="s">
        <v>64</v>
      </c>
      <c r="O688">
        <v>22.5</v>
      </c>
      <c r="P688" t="s">
        <v>30</v>
      </c>
      <c r="Q688">
        <v>0.05</v>
      </c>
      <c r="R688">
        <v>21.375</v>
      </c>
      <c r="S688" t="s">
        <v>37</v>
      </c>
      <c r="T688" t="s">
        <v>54</v>
      </c>
      <c r="U688">
        <v>32.715699999999998</v>
      </c>
      <c r="V688">
        <v>-117.1611</v>
      </c>
      <c r="W688" s="2">
        <v>45532</v>
      </c>
      <c r="X688">
        <v>0</v>
      </c>
      <c r="Y688" t="b">
        <v>0</v>
      </c>
      <c r="Z688" s="2">
        <v>45844</v>
      </c>
      <c r="AA688" t="str">
        <f t="shared" si="101"/>
        <v>10–19</v>
      </c>
      <c r="AB688" t="str">
        <f t="shared" si="102"/>
        <v>Under 16</v>
      </c>
      <c r="AC688" t="str">
        <f t="shared" si="103"/>
        <v/>
      </c>
      <c r="AD688" t="str">
        <f t="shared" si="104"/>
        <v/>
      </c>
      <c r="AE688" t="str">
        <f t="shared" si="105"/>
        <v/>
      </c>
      <c r="AF688" t="str">
        <f t="shared" si="106"/>
        <v/>
      </c>
      <c r="AG688" t="str">
        <f t="shared" si="107"/>
        <v>Friday</v>
      </c>
      <c r="AH688" t="str">
        <f t="shared" si="108"/>
        <v/>
      </c>
      <c r="AI688" t="str">
        <f t="shared" si="109"/>
        <v/>
      </c>
      <c r="AJ688" t="str">
        <f>LEFT(Table1[[#This Row],[membership_type]],2)&amp;TEXT(Table1[[#This Row],[age]],"00")&amp;"-"&amp;TEXT(ROW(),"000")</f>
        <v>St13-688</v>
      </c>
      <c r="AK688" t="str">
        <f>LEFT(Table1[[#This Row],[membership_type]],1)&amp;TEXT(MATCH(Table1[[#This Row],[membership_type]],Table1[membership_type],0),"00")</f>
        <v>S02</v>
      </c>
      <c r="AL688" t="str">
        <f>LEFT(Table1[[#This Row],[discount_type]],1)&amp;TEXT(ROUND(Table1[[#This Row],[discount_rate]]*100,0),"00")</f>
        <v>P05</v>
      </c>
      <c r="AM688" t="str" cm="1">
        <f t="array" ref="AM688">TEXT(SUMPRODUCT(CODE(MID(Table1[[#This Row],[home_gym_location]],_xlfn.SEQUENCE(LEN(Table1[[#This Row],[home_gym_location]])),1))),"00000")</f>
        <v>01018</v>
      </c>
      <c r="AN68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688" t="str">
        <f>LEFT(_xlfn.TEXTBEFORE(Table1[[#This Row],[Location Identifier]],"-"),3) &amp; "-" &amp; _xlfn.TEXTAFTER(Table1[[#This Row],[Location Identifier]],"-")</f>
        <v>SAN-008</v>
      </c>
      <c r="AP688" s="9">
        <f t="shared" ca="1" si="100"/>
        <v>45869</v>
      </c>
    </row>
    <row r="689" spans="1:42" x14ac:dyDescent="0.25">
      <c r="A689">
        <v>41</v>
      </c>
      <c r="B689" t="s">
        <v>42</v>
      </c>
      <c r="C689">
        <v>4</v>
      </c>
      <c r="D689" t="s">
        <v>162</v>
      </c>
      <c r="E689" t="b">
        <v>1</v>
      </c>
      <c r="F689" s="1">
        <v>0.42291666666666666</v>
      </c>
      <c r="G689" s="1">
        <v>0.45624999999999999</v>
      </c>
      <c r="H689">
        <v>48</v>
      </c>
      <c r="I689" t="b">
        <v>1</v>
      </c>
      <c r="J689" t="b">
        <v>0</v>
      </c>
      <c r="K689" t="b">
        <v>0</v>
      </c>
      <c r="L689" t="s">
        <v>62</v>
      </c>
      <c r="M689">
        <v>20</v>
      </c>
      <c r="N689" t="s">
        <v>29</v>
      </c>
      <c r="O689">
        <v>20</v>
      </c>
      <c r="P689" t="s">
        <v>30</v>
      </c>
      <c r="Q689">
        <v>0.05</v>
      </c>
      <c r="R689">
        <v>19</v>
      </c>
      <c r="S689" t="s">
        <v>44</v>
      </c>
      <c r="T689" t="s">
        <v>45</v>
      </c>
      <c r="U689">
        <v>33.836599999999997</v>
      </c>
      <c r="V689">
        <v>-117.9143</v>
      </c>
      <c r="W689" s="2">
        <v>45011</v>
      </c>
      <c r="X689">
        <v>0</v>
      </c>
      <c r="Y689" t="b">
        <v>0</v>
      </c>
      <c r="Z689" s="2">
        <v>45814</v>
      </c>
      <c r="AA689" t="str">
        <f t="shared" si="101"/>
        <v>40–49</v>
      </c>
      <c r="AB689" t="str">
        <f t="shared" si="102"/>
        <v>40–49</v>
      </c>
      <c r="AC689" t="str">
        <f t="shared" si="103"/>
        <v>Monday</v>
      </c>
      <c r="AD689" t="str">
        <f t="shared" si="104"/>
        <v>Tuesday</v>
      </c>
      <c r="AE689" t="str">
        <f t="shared" si="105"/>
        <v>Wednesday</v>
      </c>
      <c r="AF689" t="str">
        <f t="shared" si="106"/>
        <v/>
      </c>
      <c r="AG689" t="str">
        <f t="shared" si="107"/>
        <v/>
      </c>
      <c r="AH689" t="str">
        <f t="shared" si="108"/>
        <v/>
      </c>
      <c r="AI689" t="str">
        <f t="shared" si="109"/>
        <v>Sunday</v>
      </c>
      <c r="AJ689" t="str">
        <f>LEFT(Table1[[#This Row],[membership_type]],2)&amp;TEXT(Table1[[#This Row],[age]],"00")&amp;"-"&amp;TEXT(ROW(),"000")</f>
        <v>Ba41-689</v>
      </c>
      <c r="AK689" t="str">
        <f>LEFT(Table1[[#This Row],[membership_type]],1)&amp;TEXT(MATCH(Table1[[#This Row],[membership_type]],Table1[membership_type],0),"00")</f>
        <v>B04</v>
      </c>
      <c r="AL689" t="str">
        <f>LEFT(Table1[[#This Row],[discount_type]],1)&amp;TEXT(ROUND(Table1[[#This Row],[discount_rate]]*100,0),"00")</f>
        <v>P05</v>
      </c>
      <c r="AM689" t="str" cm="1">
        <f t="array" ref="AM689">TEXT(SUMPRODUCT(CODE(MID(Table1[[#This Row],[home_gym_location]],_xlfn.SEQUENCE(LEN(Table1[[#This Row],[home_gym_location]])),1))),"00000")</f>
        <v>00899</v>
      </c>
      <c r="AN689" t="str">
        <f>UPPER(_xlfn.TEXTBEFORE(Table1[[#This Row],[home_gym_location]],","))&amp;"-"&amp;TEXT(MATCH(Table1[[#This Row],[home_gym_location]],_xlfn._xlws.SORT(_xlfn.UNIQUE(Table1[home_gym_location])),0),"000")</f>
        <v>ANAHEIM-001</v>
      </c>
      <c r="AO689" t="str">
        <f>LEFT(_xlfn.TEXTBEFORE(Table1[[#This Row],[Location Identifier]],"-"),3) &amp; "-" &amp; _xlfn.TEXTAFTER(Table1[[#This Row],[Location Identifier]],"-")</f>
        <v>ANA-001</v>
      </c>
      <c r="AP689" s="9">
        <f t="shared" ca="1" si="100"/>
        <v>45869</v>
      </c>
    </row>
    <row r="690" spans="1:42" x14ac:dyDescent="0.25">
      <c r="A690">
        <v>30</v>
      </c>
      <c r="B690" t="s">
        <v>42</v>
      </c>
      <c r="C690">
        <v>5</v>
      </c>
      <c r="D690" t="s">
        <v>72</v>
      </c>
      <c r="E690" t="b">
        <v>0</v>
      </c>
      <c r="F690" s="1">
        <v>0.72847222222222219</v>
      </c>
      <c r="G690" s="1">
        <v>0.76736111111111116</v>
      </c>
      <c r="H690">
        <v>56</v>
      </c>
      <c r="I690" t="b">
        <v>0</v>
      </c>
      <c r="J690" t="b">
        <v>1</v>
      </c>
      <c r="K690" t="b">
        <v>0</v>
      </c>
      <c r="L690" t="s">
        <v>35</v>
      </c>
      <c r="M690">
        <v>20</v>
      </c>
      <c r="N690" t="s">
        <v>29</v>
      </c>
      <c r="O690">
        <v>20</v>
      </c>
      <c r="P690" t="s">
        <v>74</v>
      </c>
      <c r="Q690">
        <v>0.15</v>
      </c>
      <c r="R690">
        <v>17</v>
      </c>
      <c r="S690" t="s">
        <v>44</v>
      </c>
      <c r="T690" t="s">
        <v>38</v>
      </c>
      <c r="U690">
        <v>36.7378</v>
      </c>
      <c r="V690">
        <v>-119.7871</v>
      </c>
      <c r="W690" s="2">
        <v>45631</v>
      </c>
      <c r="X690">
        <v>6</v>
      </c>
      <c r="Y690" t="b">
        <v>0</v>
      </c>
      <c r="Z690" s="2">
        <v>45849</v>
      </c>
      <c r="AA690" t="str">
        <f t="shared" si="101"/>
        <v>30–39</v>
      </c>
      <c r="AB690" t="str">
        <f t="shared" si="102"/>
        <v>30–39</v>
      </c>
      <c r="AC690" t="str">
        <f t="shared" si="103"/>
        <v>Monday</v>
      </c>
      <c r="AD690" t="str">
        <f t="shared" si="104"/>
        <v/>
      </c>
      <c r="AE690" t="str">
        <f t="shared" si="105"/>
        <v>Wednesday</v>
      </c>
      <c r="AF690" t="str">
        <f t="shared" si="106"/>
        <v>Thursday</v>
      </c>
      <c r="AG690" t="str">
        <f t="shared" si="107"/>
        <v>Friday</v>
      </c>
      <c r="AH690" t="str">
        <f t="shared" si="108"/>
        <v/>
      </c>
      <c r="AI690" t="str">
        <f t="shared" si="109"/>
        <v>Sunday</v>
      </c>
      <c r="AJ690" t="str">
        <f>LEFT(Table1[[#This Row],[membership_type]],2)&amp;TEXT(Table1[[#This Row],[age]],"00")&amp;"-"&amp;TEXT(ROW(),"000")</f>
        <v>Ba30-690</v>
      </c>
      <c r="AK690" t="str">
        <f>LEFT(Table1[[#This Row],[membership_type]],1)&amp;TEXT(MATCH(Table1[[#This Row],[membership_type]],Table1[membership_type],0),"00")</f>
        <v>B04</v>
      </c>
      <c r="AL690" t="str">
        <f>LEFT(Table1[[#This Row],[discount_type]],1)&amp;TEXT(ROUND(Table1[[#This Row],[discount_rate]]*100,0),"00")</f>
        <v>S15</v>
      </c>
      <c r="AM690" t="str" cm="1">
        <f t="array" ref="AM690">TEXT(SUMPRODUCT(CODE(MID(Table1[[#This Row],[home_gym_location]],_xlfn.SEQUENCE(LEN(Table1[[#This Row],[home_gym_location]])),1))),"00000")</f>
        <v>00829</v>
      </c>
      <c r="AN690" t="str">
        <f>UPPER(_xlfn.TEXTBEFORE(Table1[[#This Row],[home_gym_location]],","))&amp;"-"&amp;TEXT(MATCH(Table1[[#This Row],[home_gym_location]],_xlfn._xlws.SORT(_xlfn.UNIQUE(Table1[home_gym_location])),0),"000")</f>
        <v>FRESNO-003</v>
      </c>
      <c r="AO690" t="str">
        <f>LEFT(_xlfn.TEXTBEFORE(Table1[[#This Row],[Location Identifier]],"-"),3) &amp; "-" &amp; _xlfn.TEXTAFTER(Table1[[#This Row],[Location Identifier]],"-")</f>
        <v>FRE-003</v>
      </c>
      <c r="AP690" s="9">
        <f t="shared" ca="1" si="100"/>
        <v>45869</v>
      </c>
    </row>
    <row r="691" spans="1:42" x14ac:dyDescent="0.25">
      <c r="A691">
        <v>30</v>
      </c>
      <c r="B691" t="s">
        <v>51</v>
      </c>
      <c r="C691">
        <v>3</v>
      </c>
      <c r="D691" t="s">
        <v>100</v>
      </c>
      <c r="E691" t="b">
        <v>1</v>
      </c>
      <c r="F691" s="1">
        <v>0.54166666666666663</v>
      </c>
      <c r="G691" s="1">
        <v>0.65486111111111112</v>
      </c>
      <c r="H691">
        <v>163</v>
      </c>
      <c r="I691" t="b">
        <v>1</v>
      </c>
      <c r="J691" t="b">
        <v>1</v>
      </c>
      <c r="K691" t="b">
        <v>1</v>
      </c>
      <c r="L691" t="s">
        <v>47</v>
      </c>
      <c r="M691">
        <v>70</v>
      </c>
      <c r="N691" t="s">
        <v>64</v>
      </c>
      <c r="O691">
        <v>52.5</v>
      </c>
      <c r="P691" t="s">
        <v>30</v>
      </c>
      <c r="Q691">
        <v>0.05</v>
      </c>
      <c r="R691">
        <v>49.875</v>
      </c>
      <c r="S691" t="s">
        <v>53</v>
      </c>
      <c r="T691" t="s">
        <v>59</v>
      </c>
      <c r="U691">
        <v>37.774900000000002</v>
      </c>
      <c r="V691">
        <v>-122.4194</v>
      </c>
      <c r="W691" s="2">
        <v>45486</v>
      </c>
      <c r="X691">
        <v>4</v>
      </c>
      <c r="Y691" t="b">
        <v>1</v>
      </c>
      <c r="Z691" s="2">
        <v>45841</v>
      </c>
      <c r="AA691" t="str">
        <f t="shared" si="101"/>
        <v>30–39</v>
      </c>
      <c r="AB691" t="str">
        <f t="shared" si="102"/>
        <v>30–39</v>
      </c>
      <c r="AC691" t="str">
        <f t="shared" si="103"/>
        <v/>
      </c>
      <c r="AD691" t="str">
        <f t="shared" si="104"/>
        <v/>
      </c>
      <c r="AE691" t="str">
        <f t="shared" si="105"/>
        <v>Wednesday</v>
      </c>
      <c r="AF691" t="str">
        <f t="shared" si="106"/>
        <v/>
      </c>
      <c r="AG691" t="str">
        <f t="shared" si="107"/>
        <v>Friday</v>
      </c>
      <c r="AH691" t="str">
        <f t="shared" si="108"/>
        <v/>
      </c>
      <c r="AI691" t="str">
        <f t="shared" si="109"/>
        <v>Sunday</v>
      </c>
      <c r="AJ691" t="str">
        <f>LEFT(Table1[[#This Row],[membership_type]],2)&amp;TEXT(Table1[[#This Row],[age]],"00")&amp;"-"&amp;TEXT(ROW(),"000")</f>
        <v>El30-691</v>
      </c>
      <c r="AK691" t="str">
        <f>LEFT(Table1[[#This Row],[membership_type]],1)&amp;TEXT(MATCH(Table1[[#This Row],[membership_type]],Table1[membership_type],0),"00")</f>
        <v>E07</v>
      </c>
      <c r="AL691" t="str">
        <f>LEFT(Table1[[#This Row],[discount_type]],1)&amp;TEXT(ROUND(Table1[[#This Row],[discount_rate]]*100,0),"00")</f>
        <v>P05</v>
      </c>
      <c r="AM691" t="str" cm="1">
        <f t="array" ref="AM691">TEXT(SUMPRODUCT(CODE(MID(Table1[[#This Row],[home_gym_location]],_xlfn.SEQUENCE(LEN(Table1[[#This Row],[home_gym_location]])),1))),"00000")</f>
        <v>01450</v>
      </c>
      <c r="AN69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91" t="str">
        <f>LEFT(_xlfn.TEXTBEFORE(Table1[[#This Row],[Location Identifier]],"-"),3) &amp; "-" &amp; _xlfn.TEXTAFTER(Table1[[#This Row],[Location Identifier]],"-")</f>
        <v>SAN-009</v>
      </c>
      <c r="AP691" s="9">
        <f t="shared" ca="1" si="100"/>
        <v>45869</v>
      </c>
    </row>
    <row r="692" spans="1:42" x14ac:dyDescent="0.25">
      <c r="A692">
        <v>17</v>
      </c>
      <c r="B692" t="s">
        <v>26</v>
      </c>
      <c r="C692">
        <v>2</v>
      </c>
      <c r="D692" t="s">
        <v>141</v>
      </c>
      <c r="E692" t="b">
        <v>1</v>
      </c>
      <c r="F692" s="1">
        <v>0.35</v>
      </c>
      <c r="G692" s="1">
        <v>0.41458333333333336</v>
      </c>
      <c r="H692">
        <v>93</v>
      </c>
      <c r="I692" t="b">
        <v>0</v>
      </c>
      <c r="J692" t="b">
        <v>0</v>
      </c>
      <c r="K692" t="b">
        <v>0</v>
      </c>
      <c r="L692" t="s">
        <v>35</v>
      </c>
      <c r="M692">
        <v>50</v>
      </c>
      <c r="N692" t="s">
        <v>29</v>
      </c>
      <c r="O692">
        <v>50</v>
      </c>
      <c r="P692" t="s">
        <v>36</v>
      </c>
      <c r="Q692">
        <v>0</v>
      </c>
      <c r="R692">
        <v>50</v>
      </c>
      <c r="S692" t="s">
        <v>31</v>
      </c>
      <c r="T692" t="s">
        <v>56</v>
      </c>
      <c r="U692">
        <v>35.3733</v>
      </c>
      <c r="V692">
        <v>-119.0187</v>
      </c>
      <c r="W692" s="2">
        <v>45377</v>
      </c>
      <c r="X692">
        <v>0</v>
      </c>
      <c r="Y692" t="b">
        <v>1</v>
      </c>
      <c r="Z692" s="2">
        <v>45835</v>
      </c>
      <c r="AA692" t="str">
        <f t="shared" si="101"/>
        <v>10–19</v>
      </c>
      <c r="AB692" t="str">
        <f t="shared" si="102"/>
        <v>16–19</v>
      </c>
      <c r="AC692" t="str">
        <f t="shared" si="103"/>
        <v/>
      </c>
      <c r="AD692" t="str">
        <f t="shared" si="104"/>
        <v/>
      </c>
      <c r="AE692" t="str">
        <f t="shared" si="105"/>
        <v>Wednesday</v>
      </c>
      <c r="AF692" t="str">
        <f t="shared" si="106"/>
        <v/>
      </c>
      <c r="AG692" t="str">
        <f t="shared" si="107"/>
        <v>Friday</v>
      </c>
      <c r="AH692" t="str">
        <f t="shared" si="108"/>
        <v/>
      </c>
      <c r="AI692" t="str">
        <f t="shared" si="109"/>
        <v/>
      </c>
      <c r="AJ692" t="str">
        <f>LEFT(Table1[[#This Row],[membership_type]],2)&amp;TEXT(Table1[[#This Row],[age]],"00")&amp;"-"&amp;TEXT(ROW(),"000")</f>
        <v>Pr17-692</v>
      </c>
      <c r="AK692" t="str">
        <f>LEFT(Table1[[#This Row],[membership_type]],1)&amp;TEXT(MATCH(Table1[[#This Row],[membership_type]],Table1[membership_type],0),"00")</f>
        <v>P01</v>
      </c>
      <c r="AL692" t="str">
        <f>LEFT(Table1[[#This Row],[discount_type]],1)&amp;TEXT(ROUND(Table1[[#This Row],[discount_rate]]*100,0),"00")</f>
        <v>N00</v>
      </c>
      <c r="AM692" t="str" cm="1">
        <f t="array" ref="AM692">TEXT(SUMPRODUCT(CODE(MID(Table1[[#This Row],[home_gym_location]],_xlfn.SEQUENCE(LEN(Table1[[#This Row],[home_gym_location]])),1))),"00000")</f>
        <v>01324</v>
      </c>
      <c r="AN69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692" t="str">
        <f>LEFT(_xlfn.TEXTBEFORE(Table1[[#This Row],[Location Identifier]],"-"),3) &amp; "-" &amp; _xlfn.TEXTAFTER(Table1[[#This Row],[Location Identifier]],"-")</f>
        <v>BAK-002</v>
      </c>
      <c r="AP692" s="9">
        <f t="shared" ca="1" si="100"/>
        <v>45869</v>
      </c>
    </row>
    <row r="693" spans="1:42" x14ac:dyDescent="0.25">
      <c r="A693">
        <v>20</v>
      </c>
      <c r="B693" t="s">
        <v>26</v>
      </c>
      <c r="C693">
        <v>2</v>
      </c>
      <c r="D693" t="s">
        <v>88</v>
      </c>
      <c r="E693" t="b">
        <v>1</v>
      </c>
      <c r="F693" s="1">
        <v>0.73958333333333337</v>
      </c>
      <c r="G693" s="1">
        <v>0.80555555555555558</v>
      </c>
      <c r="H693">
        <v>95</v>
      </c>
      <c r="I693" t="b">
        <v>1</v>
      </c>
      <c r="J693" t="b">
        <v>0</v>
      </c>
      <c r="K693" t="b">
        <v>1</v>
      </c>
      <c r="L693" t="s">
        <v>47</v>
      </c>
      <c r="M693">
        <v>50</v>
      </c>
      <c r="N693" t="s">
        <v>64</v>
      </c>
      <c r="O693">
        <v>37.5</v>
      </c>
      <c r="P693" t="s">
        <v>36</v>
      </c>
      <c r="Q693">
        <v>0</v>
      </c>
      <c r="R693">
        <v>37.5</v>
      </c>
      <c r="S693" t="s">
        <v>31</v>
      </c>
      <c r="T693" t="s">
        <v>38</v>
      </c>
      <c r="U693">
        <v>36.7378</v>
      </c>
      <c r="V693">
        <v>-119.7871</v>
      </c>
      <c r="W693" s="2">
        <v>45290</v>
      </c>
      <c r="X693">
        <v>0</v>
      </c>
      <c r="Y693" t="b">
        <v>1</v>
      </c>
      <c r="Z693" s="2">
        <v>45830</v>
      </c>
      <c r="AA693" t="str">
        <f t="shared" si="101"/>
        <v>20–29</v>
      </c>
      <c r="AB693" t="str">
        <f t="shared" si="102"/>
        <v>20–29</v>
      </c>
      <c r="AC693" t="str">
        <f t="shared" si="103"/>
        <v>Monday</v>
      </c>
      <c r="AD693" t="str">
        <f t="shared" si="104"/>
        <v/>
      </c>
      <c r="AE693" t="str">
        <f t="shared" si="105"/>
        <v>Wednesday</v>
      </c>
      <c r="AF693" t="str">
        <f t="shared" si="106"/>
        <v/>
      </c>
      <c r="AG693" t="str">
        <f t="shared" si="107"/>
        <v/>
      </c>
      <c r="AH693" t="str">
        <f t="shared" si="108"/>
        <v/>
      </c>
      <c r="AI693" t="str">
        <f t="shared" si="109"/>
        <v/>
      </c>
      <c r="AJ693" t="str">
        <f>LEFT(Table1[[#This Row],[membership_type]],2)&amp;TEXT(Table1[[#This Row],[age]],"00")&amp;"-"&amp;TEXT(ROW(),"000")</f>
        <v>Pr20-693</v>
      </c>
      <c r="AK693" t="str">
        <f>LEFT(Table1[[#This Row],[membership_type]],1)&amp;TEXT(MATCH(Table1[[#This Row],[membership_type]],Table1[membership_type],0),"00")</f>
        <v>P01</v>
      </c>
      <c r="AL693" t="str">
        <f>LEFT(Table1[[#This Row],[discount_type]],1)&amp;TEXT(ROUND(Table1[[#This Row],[discount_rate]]*100,0),"00")</f>
        <v>N00</v>
      </c>
      <c r="AM693" t="str" cm="1">
        <f t="array" ref="AM693">TEXT(SUMPRODUCT(CODE(MID(Table1[[#This Row],[home_gym_location]],_xlfn.SEQUENCE(LEN(Table1[[#This Row],[home_gym_location]])),1))),"00000")</f>
        <v>00829</v>
      </c>
      <c r="AN693" t="str">
        <f>UPPER(_xlfn.TEXTBEFORE(Table1[[#This Row],[home_gym_location]],","))&amp;"-"&amp;TEXT(MATCH(Table1[[#This Row],[home_gym_location]],_xlfn._xlws.SORT(_xlfn.UNIQUE(Table1[home_gym_location])),0),"000")</f>
        <v>FRESNO-003</v>
      </c>
      <c r="AO693" t="str">
        <f>LEFT(_xlfn.TEXTBEFORE(Table1[[#This Row],[Location Identifier]],"-"),3) &amp; "-" &amp; _xlfn.TEXTAFTER(Table1[[#This Row],[Location Identifier]],"-")</f>
        <v>FRE-003</v>
      </c>
      <c r="AP693" s="9">
        <f t="shared" ca="1" si="100"/>
        <v>45869</v>
      </c>
    </row>
    <row r="694" spans="1:42" x14ac:dyDescent="0.25">
      <c r="A694">
        <v>18</v>
      </c>
      <c r="B694" t="s">
        <v>42</v>
      </c>
      <c r="C694">
        <v>2</v>
      </c>
      <c r="D694" t="s">
        <v>73</v>
      </c>
      <c r="E694" t="b">
        <v>0</v>
      </c>
      <c r="F694" s="1">
        <v>0.76041666666666663</v>
      </c>
      <c r="G694" s="1">
        <v>0.87430555555555556</v>
      </c>
      <c r="H694">
        <v>164</v>
      </c>
      <c r="I694" t="b">
        <v>0</v>
      </c>
      <c r="J694" t="b">
        <v>0</v>
      </c>
      <c r="K694" t="b">
        <v>0</v>
      </c>
      <c r="L694" t="s">
        <v>35</v>
      </c>
      <c r="M694">
        <v>20</v>
      </c>
      <c r="N694" t="s">
        <v>64</v>
      </c>
      <c r="O694">
        <v>15</v>
      </c>
      <c r="P694" t="s">
        <v>74</v>
      </c>
      <c r="Q694">
        <v>0.15</v>
      </c>
      <c r="R694">
        <v>12.75</v>
      </c>
      <c r="S694" t="s">
        <v>44</v>
      </c>
      <c r="T694" t="s">
        <v>48</v>
      </c>
      <c r="U694">
        <v>38.581600000000002</v>
      </c>
      <c r="V694">
        <v>-121.4944</v>
      </c>
      <c r="W694" s="2">
        <v>45572</v>
      </c>
      <c r="X694">
        <v>0</v>
      </c>
      <c r="Y694" t="b">
        <v>1</v>
      </c>
      <c r="Z694" s="2">
        <v>45846</v>
      </c>
      <c r="AA694" t="str">
        <f t="shared" si="101"/>
        <v>10–19</v>
      </c>
      <c r="AB694" t="str">
        <f t="shared" si="102"/>
        <v>16–19</v>
      </c>
      <c r="AC694" t="str">
        <f t="shared" si="103"/>
        <v/>
      </c>
      <c r="AD694" t="str">
        <f t="shared" si="104"/>
        <v>Tuesday</v>
      </c>
      <c r="AE694" t="str">
        <f t="shared" si="105"/>
        <v/>
      </c>
      <c r="AF694" t="str">
        <f t="shared" si="106"/>
        <v/>
      </c>
      <c r="AG694" t="str">
        <f t="shared" si="107"/>
        <v>Friday</v>
      </c>
      <c r="AH694" t="str">
        <f t="shared" si="108"/>
        <v/>
      </c>
      <c r="AI694" t="str">
        <f t="shared" si="109"/>
        <v/>
      </c>
      <c r="AJ694" t="str">
        <f>LEFT(Table1[[#This Row],[membership_type]],2)&amp;TEXT(Table1[[#This Row],[age]],"00")&amp;"-"&amp;TEXT(ROW(),"000")</f>
        <v>Ba18-694</v>
      </c>
      <c r="AK694" t="str">
        <f>LEFT(Table1[[#This Row],[membership_type]],1)&amp;TEXT(MATCH(Table1[[#This Row],[membership_type]],Table1[membership_type],0),"00")</f>
        <v>B04</v>
      </c>
      <c r="AL694" t="str">
        <f>LEFT(Table1[[#This Row],[discount_type]],1)&amp;TEXT(ROUND(Table1[[#This Row],[discount_rate]]*100,0),"00")</f>
        <v>S15</v>
      </c>
      <c r="AM694" t="str" cm="1">
        <f t="array" ref="AM694">TEXT(SUMPRODUCT(CODE(MID(Table1[[#This Row],[home_gym_location]],_xlfn.SEQUENCE(LEN(Table1[[#This Row],[home_gym_location]])),1))),"00000")</f>
        <v>01245</v>
      </c>
      <c r="AN69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694" t="str">
        <f>LEFT(_xlfn.TEXTBEFORE(Table1[[#This Row],[Location Identifier]],"-"),3) &amp; "-" &amp; _xlfn.TEXTAFTER(Table1[[#This Row],[Location Identifier]],"-")</f>
        <v>SAC-007</v>
      </c>
      <c r="AP694" s="9">
        <f t="shared" ca="1" si="100"/>
        <v>45869</v>
      </c>
    </row>
    <row r="695" spans="1:42" x14ac:dyDescent="0.25">
      <c r="A695">
        <v>25</v>
      </c>
      <c r="B695" t="s">
        <v>26</v>
      </c>
      <c r="C695">
        <v>5</v>
      </c>
      <c r="D695" t="s">
        <v>150</v>
      </c>
      <c r="E695" t="b">
        <v>0</v>
      </c>
      <c r="F695" s="1">
        <v>0.67569444444444449</v>
      </c>
      <c r="G695" s="1">
        <v>0.78125</v>
      </c>
      <c r="H695">
        <v>152</v>
      </c>
      <c r="I695" t="b">
        <v>0</v>
      </c>
      <c r="J695" t="b">
        <v>0</v>
      </c>
      <c r="K695" t="b">
        <v>0</v>
      </c>
      <c r="L695" t="s">
        <v>35</v>
      </c>
      <c r="M695">
        <v>50</v>
      </c>
      <c r="N695" t="s">
        <v>78</v>
      </c>
      <c r="O695">
        <v>45</v>
      </c>
      <c r="P695" t="s">
        <v>30</v>
      </c>
      <c r="Q695">
        <v>0.05</v>
      </c>
      <c r="R695">
        <v>42.75</v>
      </c>
      <c r="S695" t="s">
        <v>31</v>
      </c>
      <c r="T695" t="s">
        <v>50</v>
      </c>
      <c r="U695">
        <v>34.052199999999999</v>
      </c>
      <c r="V695">
        <v>-118.2437</v>
      </c>
      <c r="W695" s="2">
        <v>45708</v>
      </c>
      <c r="X695">
        <v>0</v>
      </c>
      <c r="Y695" t="b">
        <v>1</v>
      </c>
      <c r="Z695" s="2">
        <v>45854</v>
      </c>
      <c r="AA695" t="str">
        <f t="shared" si="101"/>
        <v>20–29</v>
      </c>
      <c r="AB695" t="str">
        <f t="shared" si="102"/>
        <v>20–29</v>
      </c>
      <c r="AC695" t="str">
        <f t="shared" si="103"/>
        <v/>
      </c>
      <c r="AD695" t="str">
        <f t="shared" si="104"/>
        <v>Tuesday</v>
      </c>
      <c r="AE695" t="str">
        <f t="shared" si="105"/>
        <v/>
      </c>
      <c r="AF695" t="str">
        <f t="shared" si="106"/>
        <v>Thursday</v>
      </c>
      <c r="AG695" t="str">
        <f t="shared" si="107"/>
        <v>Friday</v>
      </c>
      <c r="AH695" t="str">
        <f t="shared" si="108"/>
        <v>Saturday</v>
      </c>
      <c r="AI695" t="str">
        <f t="shared" si="109"/>
        <v>Sunday</v>
      </c>
      <c r="AJ695" t="str">
        <f>LEFT(Table1[[#This Row],[membership_type]],2)&amp;TEXT(Table1[[#This Row],[age]],"00")&amp;"-"&amp;TEXT(ROW(),"000")</f>
        <v>Pr25-695</v>
      </c>
      <c r="AK695" t="str">
        <f>LEFT(Table1[[#This Row],[membership_type]],1)&amp;TEXT(MATCH(Table1[[#This Row],[membership_type]],Table1[membership_type],0),"00")</f>
        <v>P01</v>
      </c>
      <c r="AL695" t="str">
        <f>LEFT(Table1[[#This Row],[discount_type]],1)&amp;TEXT(ROUND(Table1[[#This Row],[discount_rate]]*100,0),"00")</f>
        <v>P05</v>
      </c>
      <c r="AM695" t="str" cm="1">
        <f t="array" ref="AM695">TEXT(SUMPRODUCT(CODE(MID(Table1[[#This Row],[home_gym_location]],_xlfn.SEQUENCE(LEN(Table1[[#This Row],[home_gym_location]])),1))),"00000")</f>
        <v>01245</v>
      </c>
      <c r="AN69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695" t="str">
        <f>LEFT(_xlfn.TEXTBEFORE(Table1[[#This Row],[Location Identifier]],"-"),3) &amp; "-" &amp; _xlfn.TEXTAFTER(Table1[[#This Row],[Location Identifier]],"-")</f>
        <v>LOS-005</v>
      </c>
      <c r="AP695" s="9">
        <f t="shared" ca="1" si="100"/>
        <v>45869</v>
      </c>
    </row>
    <row r="696" spans="1:42" x14ac:dyDescent="0.25">
      <c r="A696">
        <v>23</v>
      </c>
      <c r="B696" t="s">
        <v>26</v>
      </c>
      <c r="C696">
        <v>2</v>
      </c>
      <c r="D696" t="s">
        <v>108</v>
      </c>
      <c r="E696" t="b">
        <v>1</v>
      </c>
      <c r="F696" s="1">
        <v>0.61250000000000004</v>
      </c>
      <c r="G696" s="1">
        <v>0.7055555555555556</v>
      </c>
      <c r="H696">
        <v>134</v>
      </c>
      <c r="I696" t="b">
        <v>1</v>
      </c>
      <c r="J696" t="b">
        <v>1</v>
      </c>
      <c r="K696" t="b">
        <v>0</v>
      </c>
      <c r="L696" t="s">
        <v>62</v>
      </c>
      <c r="M696">
        <v>50</v>
      </c>
      <c r="N696" t="s">
        <v>29</v>
      </c>
      <c r="O696">
        <v>50</v>
      </c>
      <c r="P696" t="s">
        <v>30</v>
      </c>
      <c r="Q696">
        <v>0.05</v>
      </c>
      <c r="R696">
        <v>47.5</v>
      </c>
      <c r="S696" t="s">
        <v>31</v>
      </c>
      <c r="T696" t="s">
        <v>59</v>
      </c>
      <c r="U696">
        <v>37.774900000000002</v>
      </c>
      <c r="V696">
        <v>-122.4194</v>
      </c>
      <c r="W696" s="2">
        <v>45180</v>
      </c>
      <c r="X696">
        <v>6</v>
      </c>
      <c r="Y696" t="b">
        <v>1</v>
      </c>
      <c r="Z696" s="2">
        <v>45824</v>
      </c>
      <c r="AA696" t="str">
        <f t="shared" si="101"/>
        <v>20–29</v>
      </c>
      <c r="AB696" t="str">
        <f t="shared" si="102"/>
        <v>20–29</v>
      </c>
      <c r="AC696" t="str">
        <f t="shared" si="103"/>
        <v/>
      </c>
      <c r="AD696" t="str">
        <f t="shared" si="104"/>
        <v>Tuesday</v>
      </c>
      <c r="AE696" t="str">
        <f t="shared" si="105"/>
        <v/>
      </c>
      <c r="AF696" t="str">
        <f t="shared" si="106"/>
        <v>Thursday</v>
      </c>
      <c r="AG696" t="str">
        <f t="shared" si="107"/>
        <v/>
      </c>
      <c r="AH696" t="str">
        <f t="shared" si="108"/>
        <v/>
      </c>
      <c r="AI696" t="str">
        <f t="shared" si="109"/>
        <v/>
      </c>
      <c r="AJ696" t="str">
        <f>LEFT(Table1[[#This Row],[membership_type]],2)&amp;TEXT(Table1[[#This Row],[age]],"00")&amp;"-"&amp;TEXT(ROW(),"000")</f>
        <v>Pr23-696</v>
      </c>
      <c r="AK696" t="str">
        <f>LEFT(Table1[[#This Row],[membership_type]],1)&amp;TEXT(MATCH(Table1[[#This Row],[membership_type]],Table1[membership_type],0),"00")</f>
        <v>P01</v>
      </c>
      <c r="AL696" t="str">
        <f>LEFT(Table1[[#This Row],[discount_type]],1)&amp;TEXT(ROUND(Table1[[#This Row],[discount_rate]]*100,0),"00")</f>
        <v>P05</v>
      </c>
      <c r="AM696" t="str" cm="1">
        <f t="array" ref="AM696">TEXT(SUMPRODUCT(CODE(MID(Table1[[#This Row],[home_gym_location]],_xlfn.SEQUENCE(LEN(Table1[[#This Row],[home_gym_location]])),1))),"00000")</f>
        <v>01450</v>
      </c>
      <c r="AN69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96" t="str">
        <f>LEFT(_xlfn.TEXTBEFORE(Table1[[#This Row],[Location Identifier]],"-"),3) &amp; "-" &amp; _xlfn.TEXTAFTER(Table1[[#This Row],[Location Identifier]],"-")</f>
        <v>SAN-009</v>
      </c>
      <c r="AP696" s="9">
        <f t="shared" ca="1" si="100"/>
        <v>45869</v>
      </c>
    </row>
    <row r="697" spans="1:42" x14ac:dyDescent="0.25">
      <c r="A697">
        <v>23</v>
      </c>
      <c r="B697" t="s">
        <v>51</v>
      </c>
      <c r="C697">
        <v>3</v>
      </c>
      <c r="D697" t="s">
        <v>80</v>
      </c>
      <c r="E697" t="b">
        <v>0</v>
      </c>
      <c r="F697" s="1">
        <v>0.5708333333333333</v>
      </c>
      <c r="G697" s="1">
        <v>0.60624999999999996</v>
      </c>
      <c r="H697">
        <v>51</v>
      </c>
      <c r="I697" t="b">
        <v>0</v>
      </c>
      <c r="J697" t="b">
        <v>0</v>
      </c>
      <c r="K697" t="b">
        <v>1</v>
      </c>
      <c r="L697" t="s">
        <v>28</v>
      </c>
      <c r="M697">
        <v>70</v>
      </c>
      <c r="N697" t="s">
        <v>29</v>
      </c>
      <c r="O697">
        <v>70</v>
      </c>
      <c r="P697" t="s">
        <v>30</v>
      </c>
      <c r="Q697">
        <v>0.05</v>
      </c>
      <c r="R697">
        <v>66.5</v>
      </c>
      <c r="S697" t="s">
        <v>53</v>
      </c>
      <c r="T697" t="s">
        <v>65</v>
      </c>
      <c r="U697">
        <v>33.770099999999999</v>
      </c>
      <c r="V697">
        <v>-118.19370000000001</v>
      </c>
      <c r="W697" s="2">
        <v>45523</v>
      </c>
      <c r="X697">
        <v>0</v>
      </c>
      <c r="Y697" t="b">
        <v>1</v>
      </c>
      <c r="Z697" s="2">
        <v>45843</v>
      </c>
      <c r="AA697" t="str">
        <f t="shared" si="101"/>
        <v>20–29</v>
      </c>
      <c r="AB697" t="str">
        <f t="shared" si="102"/>
        <v>20–29</v>
      </c>
      <c r="AC697" t="str">
        <f t="shared" si="103"/>
        <v>Monday</v>
      </c>
      <c r="AD697" t="str">
        <f t="shared" si="104"/>
        <v/>
      </c>
      <c r="AE697" t="str">
        <f t="shared" si="105"/>
        <v/>
      </c>
      <c r="AF697" t="str">
        <f t="shared" si="106"/>
        <v/>
      </c>
      <c r="AG697" t="str">
        <f t="shared" si="107"/>
        <v/>
      </c>
      <c r="AH697" t="str">
        <f t="shared" si="108"/>
        <v>Saturday</v>
      </c>
      <c r="AI697" t="str">
        <f t="shared" si="109"/>
        <v>Sunday</v>
      </c>
      <c r="AJ697" t="str">
        <f>LEFT(Table1[[#This Row],[membership_type]],2)&amp;TEXT(Table1[[#This Row],[age]],"00")&amp;"-"&amp;TEXT(ROW(),"000")</f>
        <v>El23-697</v>
      </c>
      <c r="AK697" t="str">
        <f>LEFT(Table1[[#This Row],[membership_type]],1)&amp;TEXT(MATCH(Table1[[#This Row],[membership_type]],Table1[membership_type],0),"00")</f>
        <v>E07</v>
      </c>
      <c r="AL697" t="str">
        <f>LEFT(Table1[[#This Row],[discount_type]],1)&amp;TEXT(ROUND(Table1[[#This Row],[discount_rate]]*100,0),"00")</f>
        <v>P05</v>
      </c>
      <c r="AM697" t="str" cm="1">
        <f t="array" ref="AM697">TEXT(SUMPRODUCT(CODE(MID(Table1[[#This Row],[home_gym_location]],_xlfn.SEQUENCE(LEN(Table1[[#This Row],[home_gym_location]])),1))),"00000")</f>
        <v>01107</v>
      </c>
      <c r="AN69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97" t="str">
        <f>LEFT(_xlfn.TEXTBEFORE(Table1[[#This Row],[Location Identifier]],"-"),3) &amp; "-" &amp; _xlfn.TEXTAFTER(Table1[[#This Row],[Location Identifier]],"-")</f>
        <v>LON-004</v>
      </c>
      <c r="AP697" s="9">
        <f t="shared" ca="1" si="100"/>
        <v>45869</v>
      </c>
    </row>
    <row r="698" spans="1:42" x14ac:dyDescent="0.25">
      <c r="A698">
        <v>20</v>
      </c>
      <c r="B698" t="s">
        <v>33</v>
      </c>
      <c r="C698">
        <v>1</v>
      </c>
      <c r="D698" t="s">
        <v>71</v>
      </c>
      <c r="E698" t="b">
        <v>0</v>
      </c>
      <c r="F698" s="1">
        <v>0.37152777777777779</v>
      </c>
      <c r="G698" s="1">
        <v>0.43263888888888891</v>
      </c>
      <c r="H698">
        <v>88</v>
      </c>
      <c r="I698" t="b">
        <v>1</v>
      </c>
      <c r="J698" t="b">
        <v>1</v>
      </c>
      <c r="K698" t="b">
        <v>1</v>
      </c>
      <c r="L698" t="s">
        <v>62</v>
      </c>
      <c r="M698">
        <v>30</v>
      </c>
      <c r="N698" t="s">
        <v>29</v>
      </c>
      <c r="O698">
        <v>30</v>
      </c>
      <c r="P698" t="s">
        <v>36</v>
      </c>
      <c r="Q698">
        <v>0</v>
      </c>
      <c r="R698">
        <v>30</v>
      </c>
      <c r="S698" t="s">
        <v>37</v>
      </c>
      <c r="T698" t="s">
        <v>59</v>
      </c>
      <c r="U698">
        <v>37.774900000000002</v>
      </c>
      <c r="V698">
        <v>-122.4194</v>
      </c>
      <c r="W698" s="2">
        <v>45211</v>
      </c>
      <c r="X698">
        <v>4</v>
      </c>
      <c r="Y698" t="b">
        <v>1</v>
      </c>
      <c r="Z698" s="2">
        <v>45826</v>
      </c>
      <c r="AA698" t="str">
        <f t="shared" si="101"/>
        <v>20–29</v>
      </c>
      <c r="AB698" t="str">
        <f t="shared" si="102"/>
        <v>20–29</v>
      </c>
      <c r="AC698" t="str">
        <f t="shared" si="103"/>
        <v/>
      </c>
      <c r="AD698" t="str">
        <f t="shared" si="104"/>
        <v>Tuesday</v>
      </c>
      <c r="AE698" t="str">
        <f t="shared" si="105"/>
        <v/>
      </c>
      <c r="AF698" t="str">
        <f t="shared" si="106"/>
        <v/>
      </c>
      <c r="AG698" t="str">
        <f t="shared" si="107"/>
        <v/>
      </c>
      <c r="AH698" t="str">
        <f t="shared" si="108"/>
        <v/>
      </c>
      <c r="AI698" t="str">
        <f t="shared" si="109"/>
        <v/>
      </c>
      <c r="AJ698" t="str">
        <f>LEFT(Table1[[#This Row],[membership_type]],2)&amp;TEXT(Table1[[#This Row],[age]],"00")&amp;"-"&amp;TEXT(ROW(),"000")</f>
        <v>St20-698</v>
      </c>
      <c r="AK698" t="str">
        <f>LEFT(Table1[[#This Row],[membership_type]],1)&amp;TEXT(MATCH(Table1[[#This Row],[membership_type]],Table1[membership_type],0),"00")</f>
        <v>S02</v>
      </c>
      <c r="AL698" t="str">
        <f>LEFT(Table1[[#This Row],[discount_type]],1)&amp;TEXT(ROUND(Table1[[#This Row],[discount_rate]]*100,0),"00")</f>
        <v>N00</v>
      </c>
      <c r="AM698" t="str" cm="1">
        <f t="array" ref="AM698">TEXT(SUMPRODUCT(CODE(MID(Table1[[#This Row],[home_gym_location]],_xlfn.SEQUENCE(LEN(Table1[[#This Row],[home_gym_location]])),1))),"00000")</f>
        <v>01450</v>
      </c>
      <c r="AN69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698" t="str">
        <f>LEFT(_xlfn.TEXTBEFORE(Table1[[#This Row],[Location Identifier]],"-"),3) &amp; "-" &amp; _xlfn.TEXTAFTER(Table1[[#This Row],[Location Identifier]],"-")</f>
        <v>SAN-009</v>
      </c>
      <c r="AP698" s="9">
        <f t="shared" ca="1" si="100"/>
        <v>45869</v>
      </c>
    </row>
    <row r="699" spans="1:42" x14ac:dyDescent="0.25">
      <c r="A699">
        <v>24</v>
      </c>
      <c r="B699" t="s">
        <v>26</v>
      </c>
      <c r="C699">
        <v>1</v>
      </c>
      <c r="D699" t="s">
        <v>67</v>
      </c>
      <c r="E699" t="b">
        <v>1</v>
      </c>
      <c r="F699" s="1">
        <v>0.37361111111111112</v>
      </c>
      <c r="G699" s="1">
        <v>0.49513888888888891</v>
      </c>
      <c r="H699">
        <v>175</v>
      </c>
      <c r="I699" t="b">
        <v>0</v>
      </c>
      <c r="J699" t="b">
        <v>1</v>
      </c>
      <c r="K699" t="b">
        <v>1</v>
      </c>
      <c r="L699" t="s">
        <v>28</v>
      </c>
      <c r="M699">
        <v>50</v>
      </c>
      <c r="N699" t="s">
        <v>64</v>
      </c>
      <c r="O699">
        <v>37.5</v>
      </c>
      <c r="P699" t="s">
        <v>36</v>
      </c>
      <c r="Q699">
        <v>0</v>
      </c>
      <c r="R699">
        <v>37.5</v>
      </c>
      <c r="S699" t="s">
        <v>31</v>
      </c>
      <c r="T699" t="s">
        <v>65</v>
      </c>
      <c r="U699">
        <v>33.770099999999999</v>
      </c>
      <c r="V699">
        <v>-118.19370000000001</v>
      </c>
      <c r="W699" s="2">
        <v>45666</v>
      </c>
      <c r="X699">
        <v>4</v>
      </c>
      <c r="Y699" t="b">
        <v>1</v>
      </c>
      <c r="Z699" s="2">
        <v>45851</v>
      </c>
      <c r="AA699" t="str">
        <f t="shared" si="101"/>
        <v>20–29</v>
      </c>
      <c r="AB699" t="str">
        <f t="shared" si="102"/>
        <v>20–29</v>
      </c>
      <c r="AC699" t="str">
        <f t="shared" si="103"/>
        <v/>
      </c>
      <c r="AD699" t="str">
        <f t="shared" si="104"/>
        <v/>
      </c>
      <c r="AE699" t="str">
        <f t="shared" si="105"/>
        <v/>
      </c>
      <c r="AF699" t="str">
        <f t="shared" si="106"/>
        <v>Thursday</v>
      </c>
      <c r="AG699" t="str">
        <f t="shared" si="107"/>
        <v/>
      </c>
      <c r="AH699" t="str">
        <f t="shared" si="108"/>
        <v/>
      </c>
      <c r="AI699" t="str">
        <f t="shared" si="109"/>
        <v/>
      </c>
      <c r="AJ699" t="str">
        <f>LEFT(Table1[[#This Row],[membership_type]],2)&amp;TEXT(Table1[[#This Row],[age]],"00")&amp;"-"&amp;TEXT(ROW(),"000")</f>
        <v>Pr24-699</v>
      </c>
      <c r="AK699" t="str">
        <f>LEFT(Table1[[#This Row],[membership_type]],1)&amp;TEXT(MATCH(Table1[[#This Row],[membership_type]],Table1[membership_type],0),"00")</f>
        <v>P01</v>
      </c>
      <c r="AL699" t="str">
        <f>LEFT(Table1[[#This Row],[discount_type]],1)&amp;TEXT(ROUND(Table1[[#This Row],[discount_rate]]*100,0),"00")</f>
        <v>N00</v>
      </c>
      <c r="AM699" t="str" cm="1">
        <f t="array" ref="AM699">TEXT(SUMPRODUCT(CODE(MID(Table1[[#This Row],[home_gym_location]],_xlfn.SEQUENCE(LEN(Table1[[#This Row],[home_gym_location]])),1))),"00000")</f>
        <v>01107</v>
      </c>
      <c r="AN69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699" t="str">
        <f>LEFT(_xlfn.TEXTBEFORE(Table1[[#This Row],[Location Identifier]],"-"),3) &amp; "-" &amp; _xlfn.TEXTAFTER(Table1[[#This Row],[Location Identifier]],"-")</f>
        <v>LON-004</v>
      </c>
      <c r="AP699" s="9">
        <f t="shared" ca="1" si="100"/>
        <v>45869</v>
      </c>
    </row>
    <row r="700" spans="1:42" x14ac:dyDescent="0.25">
      <c r="A700">
        <v>16</v>
      </c>
      <c r="B700" t="s">
        <v>26</v>
      </c>
      <c r="C700">
        <v>4</v>
      </c>
      <c r="D700" t="s">
        <v>159</v>
      </c>
      <c r="E700" t="b">
        <v>1</v>
      </c>
      <c r="F700" s="1">
        <v>0.68125000000000002</v>
      </c>
      <c r="G700" s="1">
        <v>0.73472222222222228</v>
      </c>
      <c r="H700">
        <v>77</v>
      </c>
      <c r="I700" t="b">
        <v>0</v>
      </c>
      <c r="J700" t="b">
        <v>1</v>
      </c>
      <c r="K700" t="b">
        <v>0</v>
      </c>
      <c r="L700" t="s">
        <v>62</v>
      </c>
      <c r="M700">
        <v>50</v>
      </c>
      <c r="N700" t="s">
        <v>29</v>
      </c>
      <c r="O700">
        <v>50</v>
      </c>
      <c r="P700" t="s">
        <v>40</v>
      </c>
      <c r="Q700">
        <v>0.1</v>
      </c>
      <c r="R700">
        <v>45</v>
      </c>
      <c r="S700" t="s">
        <v>31</v>
      </c>
      <c r="T700" t="s">
        <v>54</v>
      </c>
      <c r="U700">
        <v>32.715699999999998</v>
      </c>
      <c r="V700">
        <v>-117.1611</v>
      </c>
      <c r="W700" s="2">
        <v>45318</v>
      </c>
      <c r="X700">
        <v>1</v>
      </c>
      <c r="Y700" t="b">
        <v>1</v>
      </c>
      <c r="Z700" s="2">
        <v>45832</v>
      </c>
      <c r="AA700" t="str">
        <f t="shared" si="101"/>
        <v>10–19</v>
      </c>
      <c r="AB700" t="str">
        <f t="shared" si="102"/>
        <v>16–19</v>
      </c>
      <c r="AC700" t="str">
        <f t="shared" si="103"/>
        <v>Monday</v>
      </c>
      <c r="AD700" t="str">
        <f t="shared" si="104"/>
        <v>Tuesday</v>
      </c>
      <c r="AE700" t="str">
        <f t="shared" si="105"/>
        <v/>
      </c>
      <c r="AF700" t="str">
        <f t="shared" si="106"/>
        <v>Thursday</v>
      </c>
      <c r="AG700" t="str">
        <f t="shared" si="107"/>
        <v/>
      </c>
      <c r="AH700" t="str">
        <f t="shared" si="108"/>
        <v/>
      </c>
      <c r="AI700" t="str">
        <f t="shared" si="109"/>
        <v>Sunday</v>
      </c>
      <c r="AJ700" t="str">
        <f>LEFT(Table1[[#This Row],[membership_type]],2)&amp;TEXT(Table1[[#This Row],[age]],"00")&amp;"-"&amp;TEXT(ROW(),"000")</f>
        <v>Pr16-700</v>
      </c>
      <c r="AK700" t="str">
        <f>LEFT(Table1[[#This Row],[membership_type]],1)&amp;TEXT(MATCH(Table1[[#This Row],[membership_type]],Table1[membership_type],0),"00")</f>
        <v>P01</v>
      </c>
      <c r="AL700" t="str">
        <f>LEFT(Table1[[#This Row],[discount_type]],1)&amp;TEXT(ROUND(Table1[[#This Row],[discount_rate]]*100,0),"00")</f>
        <v>L10</v>
      </c>
      <c r="AM700" t="str" cm="1">
        <f t="array" ref="AM700">TEXT(SUMPRODUCT(CODE(MID(Table1[[#This Row],[home_gym_location]],_xlfn.SEQUENCE(LEN(Table1[[#This Row],[home_gym_location]])),1))),"00000")</f>
        <v>01018</v>
      </c>
      <c r="AN70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00" t="str">
        <f>LEFT(_xlfn.TEXTBEFORE(Table1[[#This Row],[Location Identifier]],"-"),3) &amp; "-" &amp; _xlfn.TEXTAFTER(Table1[[#This Row],[Location Identifier]],"-")</f>
        <v>SAN-008</v>
      </c>
      <c r="AP700" s="9">
        <f t="shared" ca="1" si="100"/>
        <v>45869</v>
      </c>
    </row>
    <row r="701" spans="1:42" x14ac:dyDescent="0.25">
      <c r="A701">
        <v>33</v>
      </c>
      <c r="B701" t="s">
        <v>26</v>
      </c>
      <c r="C701">
        <v>2</v>
      </c>
      <c r="D701" t="s">
        <v>103</v>
      </c>
      <c r="E701" t="b">
        <v>1</v>
      </c>
      <c r="F701" s="1">
        <v>0.67777777777777781</v>
      </c>
      <c r="G701" s="1">
        <v>0.75208333333333333</v>
      </c>
      <c r="H701">
        <v>107</v>
      </c>
      <c r="I701" t="b">
        <v>1</v>
      </c>
      <c r="J701" t="b">
        <v>1</v>
      </c>
      <c r="K701" t="b">
        <v>0</v>
      </c>
      <c r="L701" t="s">
        <v>28</v>
      </c>
      <c r="M701">
        <v>50</v>
      </c>
      <c r="N701" t="s">
        <v>29</v>
      </c>
      <c r="O701">
        <v>50</v>
      </c>
      <c r="P701" t="s">
        <v>36</v>
      </c>
      <c r="Q701">
        <v>0</v>
      </c>
      <c r="R701">
        <v>50</v>
      </c>
      <c r="S701" t="s">
        <v>31</v>
      </c>
      <c r="T701" t="s">
        <v>32</v>
      </c>
      <c r="U701">
        <v>37.338200000000001</v>
      </c>
      <c r="V701">
        <v>-121.88630000000001</v>
      </c>
      <c r="W701" s="2">
        <v>45263</v>
      </c>
      <c r="X701">
        <v>7</v>
      </c>
      <c r="Y701" t="b">
        <v>1</v>
      </c>
      <c r="Z701" s="2">
        <v>45829</v>
      </c>
      <c r="AA701" t="str">
        <f t="shared" si="101"/>
        <v>30–39</v>
      </c>
      <c r="AB701" t="str">
        <f t="shared" si="102"/>
        <v>30–39</v>
      </c>
      <c r="AC701" t="str">
        <f t="shared" si="103"/>
        <v>Monday</v>
      </c>
      <c r="AD701" t="str">
        <f t="shared" si="104"/>
        <v/>
      </c>
      <c r="AE701" t="str">
        <f t="shared" si="105"/>
        <v/>
      </c>
      <c r="AF701" t="str">
        <f t="shared" si="106"/>
        <v/>
      </c>
      <c r="AG701" t="str">
        <f t="shared" si="107"/>
        <v/>
      </c>
      <c r="AH701" t="str">
        <f t="shared" si="108"/>
        <v/>
      </c>
      <c r="AI701" t="str">
        <f t="shared" si="109"/>
        <v>Sunday</v>
      </c>
      <c r="AJ701" t="str">
        <f>LEFT(Table1[[#This Row],[membership_type]],2)&amp;TEXT(Table1[[#This Row],[age]],"00")&amp;"-"&amp;TEXT(ROW(),"000")</f>
        <v>Pr33-701</v>
      </c>
      <c r="AK701" t="str">
        <f>LEFT(Table1[[#This Row],[membership_type]],1)&amp;TEXT(MATCH(Table1[[#This Row],[membership_type]],Table1[membership_type],0),"00")</f>
        <v>P01</v>
      </c>
      <c r="AL701" t="str">
        <f>LEFT(Table1[[#This Row],[discount_type]],1)&amp;TEXT(ROUND(Table1[[#This Row],[discount_rate]]*100,0),"00")</f>
        <v>N00</v>
      </c>
      <c r="AM701" t="str" cm="1">
        <f t="array" ref="AM701">TEXT(SUMPRODUCT(CODE(MID(Table1[[#This Row],[home_gym_location]],_xlfn.SEQUENCE(LEN(Table1[[#This Row],[home_gym_location]])),1))),"00000")</f>
        <v>00931</v>
      </c>
      <c r="AN70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01" t="str">
        <f>LEFT(_xlfn.TEXTBEFORE(Table1[[#This Row],[Location Identifier]],"-"),3) &amp; "-" &amp; _xlfn.TEXTAFTER(Table1[[#This Row],[Location Identifier]],"-")</f>
        <v>SAN-010</v>
      </c>
      <c r="AP701" s="9">
        <f t="shared" ca="1" si="100"/>
        <v>45869</v>
      </c>
    </row>
    <row r="702" spans="1:42" x14ac:dyDescent="0.25">
      <c r="A702">
        <v>36</v>
      </c>
      <c r="B702" t="s">
        <v>42</v>
      </c>
      <c r="C702">
        <v>3</v>
      </c>
      <c r="D702" t="s">
        <v>117</v>
      </c>
      <c r="E702" t="b">
        <v>0</v>
      </c>
      <c r="F702" s="1">
        <v>0.41736111111111113</v>
      </c>
      <c r="G702" s="1">
        <v>0.50763888888888886</v>
      </c>
      <c r="H702">
        <v>130</v>
      </c>
      <c r="I702" t="b">
        <v>0</v>
      </c>
      <c r="J702" t="b">
        <v>1</v>
      </c>
      <c r="K702" t="b">
        <v>1</v>
      </c>
      <c r="L702" t="s">
        <v>62</v>
      </c>
      <c r="M702">
        <v>20</v>
      </c>
      <c r="N702" t="s">
        <v>29</v>
      </c>
      <c r="O702">
        <v>20</v>
      </c>
      <c r="P702" t="s">
        <v>36</v>
      </c>
      <c r="Q702">
        <v>0</v>
      </c>
      <c r="R702">
        <v>20</v>
      </c>
      <c r="S702" t="s">
        <v>44</v>
      </c>
      <c r="T702" t="s">
        <v>48</v>
      </c>
      <c r="U702">
        <v>38.581600000000002</v>
      </c>
      <c r="V702">
        <v>-121.4944</v>
      </c>
      <c r="W702" s="2">
        <v>45775</v>
      </c>
      <c r="X702">
        <v>1</v>
      </c>
      <c r="Y702" t="b">
        <v>0</v>
      </c>
      <c r="Z702" s="2">
        <v>45857</v>
      </c>
      <c r="AA702" t="str">
        <f t="shared" si="101"/>
        <v>30–39</v>
      </c>
      <c r="AB702" t="str">
        <f t="shared" si="102"/>
        <v>30–39</v>
      </c>
      <c r="AC702" t="str">
        <f t="shared" si="103"/>
        <v/>
      </c>
      <c r="AD702" t="str">
        <f t="shared" si="104"/>
        <v/>
      </c>
      <c r="AE702" t="str">
        <f t="shared" si="105"/>
        <v>Wednesday</v>
      </c>
      <c r="AF702" t="str">
        <f t="shared" si="106"/>
        <v>Thursday</v>
      </c>
      <c r="AG702" t="str">
        <f t="shared" si="107"/>
        <v/>
      </c>
      <c r="AH702" t="str">
        <f t="shared" si="108"/>
        <v/>
      </c>
      <c r="AI702" t="str">
        <f t="shared" si="109"/>
        <v>Sunday</v>
      </c>
      <c r="AJ702" t="str">
        <f>LEFT(Table1[[#This Row],[membership_type]],2)&amp;TEXT(Table1[[#This Row],[age]],"00")&amp;"-"&amp;TEXT(ROW(),"000")</f>
        <v>Ba36-702</v>
      </c>
      <c r="AK702" t="str">
        <f>LEFT(Table1[[#This Row],[membership_type]],1)&amp;TEXT(MATCH(Table1[[#This Row],[membership_type]],Table1[membership_type],0),"00")</f>
        <v>B04</v>
      </c>
      <c r="AL702" t="str">
        <f>LEFT(Table1[[#This Row],[discount_type]],1)&amp;TEXT(ROUND(Table1[[#This Row],[discount_rate]]*100,0),"00")</f>
        <v>N00</v>
      </c>
      <c r="AM702" t="str" cm="1">
        <f t="array" ref="AM702">TEXT(SUMPRODUCT(CODE(MID(Table1[[#This Row],[home_gym_location]],_xlfn.SEQUENCE(LEN(Table1[[#This Row],[home_gym_location]])),1))),"00000")</f>
        <v>01245</v>
      </c>
      <c r="AN70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02" t="str">
        <f>LEFT(_xlfn.TEXTBEFORE(Table1[[#This Row],[Location Identifier]],"-"),3) &amp; "-" &amp; _xlfn.TEXTAFTER(Table1[[#This Row],[Location Identifier]],"-")</f>
        <v>SAC-007</v>
      </c>
      <c r="AP702" s="9">
        <f t="shared" ca="1" si="100"/>
        <v>45869</v>
      </c>
    </row>
    <row r="703" spans="1:42" x14ac:dyDescent="0.25">
      <c r="A703">
        <v>33</v>
      </c>
      <c r="B703" t="s">
        <v>42</v>
      </c>
      <c r="C703">
        <v>2</v>
      </c>
      <c r="D703" t="s">
        <v>88</v>
      </c>
      <c r="E703" t="b">
        <v>1</v>
      </c>
      <c r="F703" s="1">
        <v>0.85069444444444442</v>
      </c>
      <c r="G703" s="1">
        <v>0.96944444444444444</v>
      </c>
      <c r="H703">
        <v>171</v>
      </c>
      <c r="I703" t="b">
        <v>1</v>
      </c>
      <c r="J703" t="b">
        <v>0</v>
      </c>
      <c r="K703" t="b">
        <v>0</v>
      </c>
      <c r="L703" t="s">
        <v>62</v>
      </c>
      <c r="M703">
        <v>20</v>
      </c>
      <c r="N703" t="s">
        <v>29</v>
      </c>
      <c r="O703">
        <v>20</v>
      </c>
      <c r="P703" t="s">
        <v>40</v>
      </c>
      <c r="Q703">
        <v>0.1</v>
      </c>
      <c r="R703">
        <v>18</v>
      </c>
      <c r="S703" t="s">
        <v>44</v>
      </c>
      <c r="T703" t="s">
        <v>45</v>
      </c>
      <c r="U703">
        <v>33.836599999999997</v>
      </c>
      <c r="V703">
        <v>-117.9143</v>
      </c>
      <c r="W703" s="2">
        <v>45472</v>
      </c>
      <c r="X703">
        <v>0</v>
      </c>
      <c r="Y703" t="b">
        <v>0</v>
      </c>
      <c r="Z703" s="2">
        <v>45840</v>
      </c>
      <c r="AA703" t="str">
        <f t="shared" si="101"/>
        <v>30–39</v>
      </c>
      <c r="AB703" t="str">
        <f t="shared" si="102"/>
        <v>30–39</v>
      </c>
      <c r="AC703" t="str">
        <f t="shared" si="103"/>
        <v>Monday</v>
      </c>
      <c r="AD703" t="str">
        <f t="shared" si="104"/>
        <v/>
      </c>
      <c r="AE703" t="str">
        <f t="shared" si="105"/>
        <v>Wednesday</v>
      </c>
      <c r="AF703" t="str">
        <f t="shared" si="106"/>
        <v/>
      </c>
      <c r="AG703" t="str">
        <f t="shared" si="107"/>
        <v/>
      </c>
      <c r="AH703" t="str">
        <f t="shared" si="108"/>
        <v/>
      </c>
      <c r="AI703" t="str">
        <f t="shared" si="109"/>
        <v/>
      </c>
      <c r="AJ703" t="str">
        <f>LEFT(Table1[[#This Row],[membership_type]],2)&amp;TEXT(Table1[[#This Row],[age]],"00")&amp;"-"&amp;TEXT(ROW(),"000")</f>
        <v>Ba33-703</v>
      </c>
      <c r="AK703" t="str">
        <f>LEFT(Table1[[#This Row],[membership_type]],1)&amp;TEXT(MATCH(Table1[[#This Row],[membership_type]],Table1[membership_type],0),"00")</f>
        <v>B04</v>
      </c>
      <c r="AL703" t="str">
        <f>LEFT(Table1[[#This Row],[discount_type]],1)&amp;TEXT(ROUND(Table1[[#This Row],[discount_rate]]*100,0),"00")</f>
        <v>L10</v>
      </c>
      <c r="AM703" t="str" cm="1">
        <f t="array" ref="AM703">TEXT(SUMPRODUCT(CODE(MID(Table1[[#This Row],[home_gym_location]],_xlfn.SEQUENCE(LEN(Table1[[#This Row],[home_gym_location]])),1))),"00000")</f>
        <v>00899</v>
      </c>
      <c r="AN703" t="str">
        <f>UPPER(_xlfn.TEXTBEFORE(Table1[[#This Row],[home_gym_location]],","))&amp;"-"&amp;TEXT(MATCH(Table1[[#This Row],[home_gym_location]],_xlfn._xlws.SORT(_xlfn.UNIQUE(Table1[home_gym_location])),0),"000")</f>
        <v>ANAHEIM-001</v>
      </c>
      <c r="AO703" t="str">
        <f>LEFT(_xlfn.TEXTBEFORE(Table1[[#This Row],[Location Identifier]],"-"),3) &amp; "-" &amp; _xlfn.TEXTAFTER(Table1[[#This Row],[Location Identifier]],"-")</f>
        <v>ANA-001</v>
      </c>
      <c r="AP703" s="9">
        <f t="shared" ca="1" si="100"/>
        <v>45869</v>
      </c>
    </row>
    <row r="704" spans="1:42" x14ac:dyDescent="0.25">
      <c r="A704">
        <v>19</v>
      </c>
      <c r="B704" t="s">
        <v>26</v>
      </c>
      <c r="C704">
        <v>2</v>
      </c>
      <c r="D704" t="s">
        <v>43</v>
      </c>
      <c r="E704" t="b">
        <v>1</v>
      </c>
      <c r="F704" s="1">
        <v>0.58402777777777781</v>
      </c>
      <c r="G704" s="1">
        <v>0.66388888888888886</v>
      </c>
      <c r="H704">
        <v>115</v>
      </c>
      <c r="I704" t="b">
        <v>0</v>
      </c>
      <c r="J704" t="b">
        <v>0</v>
      </c>
      <c r="K704" t="b">
        <v>0</v>
      </c>
      <c r="L704" t="s">
        <v>62</v>
      </c>
      <c r="M704">
        <v>50</v>
      </c>
      <c r="N704" t="s">
        <v>29</v>
      </c>
      <c r="O704">
        <v>50</v>
      </c>
      <c r="P704" t="s">
        <v>36</v>
      </c>
      <c r="Q704">
        <v>0</v>
      </c>
      <c r="R704">
        <v>50</v>
      </c>
      <c r="S704" t="s">
        <v>31</v>
      </c>
      <c r="T704" t="s">
        <v>50</v>
      </c>
      <c r="U704">
        <v>34.052199999999999</v>
      </c>
      <c r="V704">
        <v>-118.2437</v>
      </c>
      <c r="W704" s="2">
        <v>45687</v>
      </c>
      <c r="X704">
        <v>0</v>
      </c>
      <c r="Y704" t="b">
        <v>1</v>
      </c>
      <c r="Z704" s="2">
        <v>45852</v>
      </c>
      <c r="AA704" t="str">
        <f t="shared" si="101"/>
        <v>10–19</v>
      </c>
      <c r="AB704" t="str">
        <f t="shared" si="102"/>
        <v>16–19</v>
      </c>
      <c r="AC704" t="str">
        <f t="shared" si="103"/>
        <v>Monday</v>
      </c>
      <c r="AD704" t="str">
        <f t="shared" si="104"/>
        <v>Tuesday</v>
      </c>
      <c r="AE704" t="str">
        <f t="shared" si="105"/>
        <v/>
      </c>
      <c r="AF704" t="str">
        <f t="shared" si="106"/>
        <v/>
      </c>
      <c r="AG704" t="str">
        <f t="shared" si="107"/>
        <v/>
      </c>
      <c r="AH704" t="str">
        <f t="shared" si="108"/>
        <v/>
      </c>
      <c r="AI704" t="str">
        <f t="shared" si="109"/>
        <v/>
      </c>
      <c r="AJ704" t="str">
        <f>LEFT(Table1[[#This Row],[membership_type]],2)&amp;TEXT(Table1[[#This Row],[age]],"00")&amp;"-"&amp;TEXT(ROW(),"000")</f>
        <v>Pr19-704</v>
      </c>
      <c r="AK704" t="str">
        <f>LEFT(Table1[[#This Row],[membership_type]],1)&amp;TEXT(MATCH(Table1[[#This Row],[membership_type]],Table1[membership_type],0),"00")</f>
        <v>P01</v>
      </c>
      <c r="AL704" t="str">
        <f>LEFT(Table1[[#This Row],[discount_type]],1)&amp;TEXT(ROUND(Table1[[#This Row],[discount_rate]]*100,0),"00")</f>
        <v>N00</v>
      </c>
      <c r="AM704" t="str" cm="1">
        <f t="array" ref="AM704">TEXT(SUMPRODUCT(CODE(MID(Table1[[#This Row],[home_gym_location]],_xlfn.SEQUENCE(LEN(Table1[[#This Row],[home_gym_location]])),1))),"00000")</f>
        <v>01245</v>
      </c>
      <c r="AN70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04" t="str">
        <f>LEFT(_xlfn.TEXTBEFORE(Table1[[#This Row],[Location Identifier]],"-"),3) &amp; "-" &amp; _xlfn.TEXTAFTER(Table1[[#This Row],[Location Identifier]],"-")</f>
        <v>LOS-005</v>
      </c>
      <c r="AP704" s="9">
        <f t="shared" ca="1" si="100"/>
        <v>45869</v>
      </c>
    </row>
    <row r="705" spans="1:42" x14ac:dyDescent="0.25">
      <c r="A705">
        <v>24</v>
      </c>
      <c r="B705" t="s">
        <v>33</v>
      </c>
      <c r="C705">
        <v>1</v>
      </c>
      <c r="D705" t="s">
        <v>97</v>
      </c>
      <c r="E705" t="b">
        <v>0</v>
      </c>
      <c r="F705" s="1">
        <v>0.54513888888888884</v>
      </c>
      <c r="G705" s="1">
        <v>0.64513888888888893</v>
      </c>
      <c r="H705">
        <v>144</v>
      </c>
      <c r="I705" t="b">
        <v>0</v>
      </c>
      <c r="J705" t="b">
        <v>1</v>
      </c>
      <c r="K705" t="b">
        <v>1</v>
      </c>
      <c r="L705" t="s">
        <v>35</v>
      </c>
      <c r="M705">
        <v>30</v>
      </c>
      <c r="N705" t="s">
        <v>29</v>
      </c>
      <c r="O705">
        <v>30</v>
      </c>
      <c r="P705" t="s">
        <v>36</v>
      </c>
      <c r="Q705">
        <v>0</v>
      </c>
      <c r="R705">
        <v>30</v>
      </c>
      <c r="S705" t="s">
        <v>37</v>
      </c>
      <c r="T705" t="s">
        <v>59</v>
      </c>
      <c r="U705">
        <v>37.774900000000002</v>
      </c>
      <c r="V705">
        <v>-122.4194</v>
      </c>
      <c r="W705" s="2">
        <v>45763</v>
      </c>
      <c r="X705">
        <v>3</v>
      </c>
      <c r="Y705" t="b">
        <v>1</v>
      </c>
      <c r="Z705" s="2">
        <v>45857</v>
      </c>
      <c r="AA705" t="str">
        <f t="shared" si="101"/>
        <v>20–29</v>
      </c>
      <c r="AB705" t="str">
        <f t="shared" si="102"/>
        <v>20–29</v>
      </c>
      <c r="AC705" t="str">
        <f t="shared" si="103"/>
        <v>Monday</v>
      </c>
      <c r="AD705" t="str">
        <f t="shared" si="104"/>
        <v/>
      </c>
      <c r="AE705" t="str">
        <f t="shared" si="105"/>
        <v/>
      </c>
      <c r="AF705" t="str">
        <f t="shared" si="106"/>
        <v/>
      </c>
      <c r="AG705" t="str">
        <f t="shared" si="107"/>
        <v/>
      </c>
      <c r="AH705" t="str">
        <f t="shared" si="108"/>
        <v/>
      </c>
      <c r="AI705" t="str">
        <f t="shared" si="109"/>
        <v/>
      </c>
      <c r="AJ705" t="str">
        <f>LEFT(Table1[[#This Row],[membership_type]],2)&amp;TEXT(Table1[[#This Row],[age]],"00")&amp;"-"&amp;TEXT(ROW(),"000")</f>
        <v>St24-705</v>
      </c>
      <c r="AK705" t="str">
        <f>LEFT(Table1[[#This Row],[membership_type]],1)&amp;TEXT(MATCH(Table1[[#This Row],[membership_type]],Table1[membership_type],0),"00")</f>
        <v>S02</v>
      </c>
      <c r="AL705" t="str">
        <f>LEFT(Table1[[#This Row],[discount_type]],1)&amp;TEXT(ROUND(Table1[[#This Row],[discount_rate]]*100,0),"00")</f>
        <v>N00</v>
      </c>
      <c r="AM705" t="str" cm="1">
        <f t="array" ref="AM705">TEXT(SUMPRODUCT(CODE(MID(Table1[[#This Row],[home_gym_location]],_xlfn.SEQUENCE(LEN(Table1[[#This Row],[home_gym_location]])),1))),"00000")</f>
        <v>01450</v>
      </c>
      <c r="AN70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05" t="str">
        <f>LEFT(_xlfn.TEXTBEFORE(Table1[[#This Row],[Location Identifier]],"-"),3) &amp; "-" &amp; _xlfn.TEXTAFTER(Table1[[#This Row],[Location Identifier]],"-")</f>
        <v>SAN-009</v>
      </c>
      <c r="AP705" s="9">
        <f t="shared" ca="1" si="100"/>
        <v>45869</v>
      </c>
    </row>
    <row r="706" spans="1:42" x14ac:dyDescent="0.25">
      <c r="A706">
        <v>41</v>
      </c>
      <c r="B706" t="s">
        <v>26</v>
      </c>
      <c r="C706">
        <v>1</v>
      </c>
      <c r="D706" t="s">
        <v>75</v>
      </c>
      <c r="E706" t="b">
        <v>1</v>
      </c>
      <c r="F706" s="1">
        <v>0.40694444444444444</v>
      </c>
      <c r="G706" s="1">
        <v>0.46527777777777779</v>
      </c>
      <c r="H706">
        <v>84</v>
      </c>
      <c r="I706" t="b">
        <v>1</v>
      </c>
      <c r="J706" t="b">
        <v>1</v>
      </c>
      <c r="K706" t="b">
        <v>0</v>
      </c>
      <c r="L706" t="s">
        <v>62</v>
      </c>
      <c r="M706">
        <v>50</v>
      </c>
      <c r="N706" t="s">
        <v>78</v>
      </c>
      <c r="O706">
        <v>45</v>
      </c>
      <c r="P706" t="s">
        <v>36</v>
      </c>
      <c r="Q706">
        <v>0</v>
      </c>
      <c r="R706">
        <v>45</v>
      </c>
      <c r="S706" t="s">
        <v>31</v>
      </c>
      <c r="T706" t="s">
        <v>65</v>
      </c>
      <c r="U706">
        <v>33.770099999999999</v>
      </c>
      <c r="V706">
        <v>-118.19370000000001</v>
      </c>
      <c r="W706" s="2">
        <v>44776</v>
      </c>
      <c r="X706">
        <v>4</v>
      </c>
      <c r="Y706" t="b">
        <v>1</v>
      </c>
      <c r="Z706" s="2">
        <v>45801</v>
      </c>
      <c r="AA706" t="str">
        <f t="shared" si="101"/>
        <v>40–49</v>
      </c>
      <c r="AB706" t="str">
        <f t="shared" si="102"/>
        <v>40–49</v>
      </c>
      <c r="AC706" t="str">
        <f t="shared" si="103"/>
        <v/>
      </c>
      <c r="AD706" t="str">
        <f t="shared" si="104"/>
        <v/>
      </c>
      <c r="AE706" t="str">
        <f t="shared" si="105"/>
        <v/>
      </c>
      <c r="AF706" t="str">
        <f t="shared" si="106"/>
        <v/>
      </c>
      <c r="AG706" t="str">
        <f t="shared" si="107"/>
        <v>Friday</v>
      </c>
      <c r="AH706" t="str">
        <f t="shared" si="108"/>
        <v/>
      </c>
      <c r="AI706" t="str">
        <f t="shared" si="109"/>
        <v/>
      </c>
      <c r="AJ706" t="str">
        <f>LEFT(Table1[[#This Row],[membership_type]],2)&amp;TEXT(Table1[[#This Row],[age]],"00")&amp;"-"&amp;TEXT(ROW(),"000")</f>
        <v>Pr41-706</v>
      </c>
      <c r="AK706" t="str">
        <f>LEFT(Table1[[#This Row],[membership_type]],1)&amp;TEXT(MATCH(Table1[[#This Row],[membership_type]],Table1[membership_type],0),"00")</f>
        <v>P01</v>
      </c>
      <c r="AL706" t="str">
        <f>LEFT(Table1[[#This Row],[discount_type]],1)&amp;TEXT(ROUND(Table1[[#This Row],[discount_rate]]*100,0),"00")</f>
        <v>N00</v>
      </c>
      <c r="AM706" t="str" cm="1">
        <f t="array" ref="AM706">TEXT(SUMPRODUCT(CODE(MID(Table1[[#This Row],[home_gym_location]],_xlfn.SEQUENCE(LEN(Table1[[#This Row],[home_gym_location]])),1))),"00000")</f>
        <v>01107</v>
      </c>
      <c r="AN70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06" t="str">
        <f>LEFT(_xlfn.TEXTBEFORE(Table1[[#This Row],[Location Identifier]],"-"),3) &amp; "-" &amp; _xlfn.TEXTAFTER(Table1[[#This Row],[Location Identifier]],"-")</f>
        <v>LON-004</v>
      </c>
      <c r="AP706" s="9">
        <f t="shared" ref="AP706:AP769" ca="1" si="110">EOMONTH(DATE(YEAR(TODAY()),7,1),0)</f>
        <v>45869</v>
      </c>
    </row>
    <row r="707" spans="1:42" x14ac:dyDescent="0.25">
      <c r="A707">
        <v>29</v>
      </c>
      <c r="B707" t="s">
        <v>26</v>
      </c>
      <c r="C707">
        <v>2</v>
      </c>
      <c r="D707" t="s">
        <v>73</v>
      </c>
      <c r="E707" t="b">
        <v>0</v>
      </c>
      <c r="F707" s="1">
        <v>0.86944444444444446</v>
      </c>
      <c r="G707" s="1">
        <v>0.94444444444444442</v>
      </c>
      <c r="H707">
        <v>108</v>
      </c>
      <c r="I707" t="b">
        <v>0</v>
      </c>
      <c r="J707" t="b">
        <v>1</v>
      </c>
      <c r="K707" t="b">
        <v>0</v>
      </c>
      <c r="L707" t="s">
        <v>35</v>
      </c>
      <c r="M707">
        <v>50</v>
      </c>
      <c r="N707" t="s">
        <v>29</v>
      </c>
      <c r="O707">
        <v>50</v>
      </c>
      <c r="P707" t="s">
        <v>30</v>
      </c>
      <c r="Q707">
        <v>0.05</v>
      </c>
      <c r="R707">
        <v>47.5</v>
      </c>
      <c r="S707" t="s">
        <v>31</v>
      </c>
      <c r="T707" t="s">
        <v>59</v>
      </c>
      <c r="U707">
        <v>37.774900000000002</v>
      </c>
      <c r="V707">
        <v>-122.4194</v>
      </c>
      <c r="W707" s="2">
        <v>45487</v>
      </c>
      <c r="X707">
        <v>5</v>
      </c>
      <c r="Y707" t="b">
        <v>1</v>
      </c>
      <c r="Z707" s="2">
        <v>45841</v>
      </c>
      <c r="AA707" t="str">
        <f t="shared" ref="AA707:AA770" si="111">TEXT(10*INT($A707/10),"0")&amp;"–"&amp;TEXT(10*INT($A707/10)+9,"0")</f>
        <v>20–29</v>
      </c>
      <c r="AB707" t="str">
        <f t="shared" ref="AB707:AB770" si="112">IF(AND($AA707 = "10–19", $A707 &lt; 16), "Under 16", IF(AND($AA707 = "10–19", $A707 &gt;= 16), "16–19", $AA707))</f>
        <v>20–29</v>
      </c>
      <c r="AC707" t="str">
        <f t="shared" ref="AC707:AC770" si="113">IF(ISNUMBER(SEARCH("Mon", $D707)), "Monday", "")</f>
        <v/>
      </c>
      <c r="AD707" t="str">
        <f t="shared" ref="AD707:AD770" si="114">IF(ISNUMBER(SEARCH("Tue", $D707)), "Tuesday", "")</f>
        <v>Tuesday</v>
      </c>
      <c r="AE707" t="str">
        <f t="shared" ref="AE707:AE770" si="115">IF(ISNUMBER(SEARCH("Wed", $D707)), "Wednesday", "")</f>
        <v/>
      </c>
      <c r="AF707" t="str">
        <f t="shared" ref="AF707:AF770" si="116">IF(ISNUMBER(SEARCH("Thu", $D707)), "Thursday", "")</f>
        <v/>
      </c>
      <c r="AG707" t="str">
        <f t="shared" ref="AG707:AG770" si="117">IF(ISNUMBER(SEARCH("Fri", $D707)), "Friday", "")</f>
        <v>Friday</v>
      </c>
      <c r="AH707" t="str">
        <f t="shared" ref="AH707:AH770" si="118">IF(ISNUMBER(SEARCH("Sat", $D707)), "Saturday", "")</f>
        <v/>
      </c>
      <c r="AI707" t="str">
        <f t="shared" ref="AI707:AI770" si="119">IF(ISNUMBER(SEARCH("Sun", $D707)), "Sunday", "")</f>
        <v/>
      </c>
      <c r="AJ707" t="str">
        <f>LEFT(Table1[[#This Row],[membership_type]],2)&amp;TEXT(Table1[[#This Row],[age]],"00")&amp;"-"&amp;TEXT(ROW(),"000")</f>
        <v>Pr29-707</v>
      </c>
      <c r="AK707" t="str">
        <f>LEFT(Table1[[#This Row],[membership_type]],1)&amp;TEXT(MATCH(Table1[[#This Row],[membership_type]],Table1[membership_type],0),"00")</f>
        <v>P01</v>
      </c>
      <c r="AL707" t="str">
        <f>LEFT(Table1[[#This Row],[discount_type]],1)&amp;TEXT(ROUND(Table1[[#This Row],[discount_rate]]*100,0),"00")</f>
        <v>P05</v>
      </c>
      <c r="AM707" t="str" cm="1">
        <f t="array" ref="AM707">TEXT(SUMPRODUCT(CODE(MID(Table1[[#This Row],[home_gym_location]],_xlfn.SEQUENCE(LEN(Table1[[#This Row],[home_gym_location]])),1))),"00000")</f>
        <v>01450</v>
      </c>
      <c r="AN70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07" t="str">
        <f>LEFT(_xlfn.TEXTBEFORE(Table1[[#This Row],[Location Identifier]],"-"),3) &amp; "-" &amp; _xlfn.TEXTAFTER(Table1[[#This Row],[Location Identifier]],"-")</f>
        <v>SAN-009</v>
      </c>
      <c r="AP707" s="9">
        <f t="shared" ca="1" si="110"/>
        <v>45869</v>
      </c>
    </row>
    <row r="708" spans="1:42" x14ac:dyDescent="0.25">
      <c r="A708">
        <v>43</v>
      </c>
      <c r="B708" t="s">
        <v>33</v>
      </c>
      <c r="C708">
        <v>3</v>
      </c>
      <c r="D708" t="s">
        <v>122</v>
      </c>
      <c r="E708" t="b">
        <v>0</v>
      </c>
      <c r="F708" s="1">
        <v>0.77569444444444446</v>
      </c>
      <c r="G708" s="1">
        <v>0.84375</v>
      </c>
      <c r="H708">
        <v>98</v>
      </c>
      <c r="I708" t="b">
        <v>0</v>
      </c>
      <c r="J708" t="b">
        <v>1</v>
      </c>
      <c r="K708" t="b">
        <v>1</v>
      </c>
      <c r="L708" t="s">
        <v>62</v>
      </c>
      <c r="M708">
        <v>30</v>
      </c>
      <c r="N708" t="s">
        <v>78</v>
      </c>
      <c r="O708">
        <v>27</v>
      </c>
      <c r="P708" t="s">
        <v>40</v>
      </c>
      <c r="Q708">
        <v>0.1</v>
      </c>
      <c r="R708">
        <v>24.3</v>
      </c>
      <c r="S708" t="s">
        <v>37</v>
      </c>
      <c r="T708" t="s">
        <v>38</v>
      </c>
      <c r="U708">
        <v>36.7378</v>
      </c>
      <c r="V708">
        <v>-119.7871</v>
      </c>
      <c r="W708" s="2">
        <v>44968</v>
      </c>
      <c r="X708">
        <v>7</v>
      </c>
      <c r="Y708" t="b">
        <v>1</v>
      </c>
      <c r="Z708" s="2">
        <v>45812</v>
      </c>
      <c r="AA708" t="str">
        <f t="shared" si="111"/>
        <v>40–49</v>
      </c>
      <c r="AB708" t="str">
        <f t="shared" si="112"/>
        <v>40–49</v>
      </c>
      <c r="AC708" t="str">
        <f t="shared" si="113"/>
        <v/>
      </c>
      <c r="AD708" t="str">
        <f t="shared" si="114"/>
        <v>Tuesday</v>
      </c>
      <c r="AE708" t="str">
        <f t="shared" si="115"/>
        <v/>
      </c>
      <c r="AF708" t="str">
        <f t="shared" si="116"/>
        <v/>
      </c>
      <c r="AG708" t="str">
        <f t="shared" si="117"/>
        <v>Friday</v>
      </c>
      <c r="AH708" t="str">
        <f t="shared" si="118"/>
        <v/>
      </c>
      <c r="AI708" t="str">
        <f t="shared" si="119"/>
        <v>Sunday</v>
      </c>
      <c r="AJ708" t="str">
        <f>LEFT(Table1[[#This Row],[membership_type]],2)&amp;TEXT(Table1[[#This Row],[age]],"00")&amp;"-"&amp;TEXT(ROW(),"000")</f>
        <v>St43-708</v>
      </c>
      <c r="AK708" t="str">
        <f>LEFT(Table1[[#This Row],[membership_type]],1)&amp;TEXT(MATCH(Table1[[#This Row],[membership_type]],Table1[membership_type],0),"00")</f>
        <v>S02</v>
      </c>
      <c r="AL708" t="str">
        <f>LEFT(Table1[[#This Row],[discount_type]],1)&amp;TEXT(ROUND(Table1[[#This Row],[discount_rate]]*100,0),"00")</f>
        <v>L10</v>
      </c>
      <c r="AM708" t="str" cm="1">
        <f t="array" ref="AM708">TEXT(SUMPRODUCT(CODE(MID(Table1[[#This Row],[home_gym_location]],_xlfn.SEQUENCE(LEN(Table1[[#This Row],[home_gym_location]])),1))),"00000")</f>
        <v>00829</v>
      </c>
      <c r="AN708" t="str">
        <f>UPPER(_xlfn.TEXTBEFORE(Table1[[#This Row],[home_gym_location]],","))&amp;"-"&amp;TEXT(MATCH(Table1[[#This Row],[home_gym_location]],_xlfn._xlws.SORT(_xlfn.UNIQUE(Table1[home_gym_location])),0),"000")</f>
        <v>FRESNO-003</v>
      </c>
      <c r="AO708" t="str">
        <f>LEFT(_xlfn.TEXTBEFORE(Table1[[#This Row],[Location Identifier]],"-"),3) &amp; "-" &amp; _xlfn.TEXTAFTER(Table1[[#This Row],[Location Identifier]],"-")</f>
        <v>FRE-003</v>
      </c>
      <c r="AP708" s="9">
        <f t="shared" ca="1" si="110"/>
        <v>45869</v>
      </c>
    </row>
    <row r="709" spans="1:42" x14ac:dyDescent="0.25">
      <c r="A709">
        <v>28</v>
      </c>
      <c r="B709" t="s">
        <v>26</v>
      </c>
      <c r="C709">
        <v>4</v>
      </c>
      <c r="D709" t="s">
        <v>99</v>
      </c>
      <c r="E709" t="b">
        <v>0</v>
      </c>
      <c r="F709" s="1">
        <v>0.68958333333333333</v>
      </c>
      <c r="G709" s="1">
        <v>0.71597222222222223</v>
      </c>
      <c r="H709">
        <v>38</v>
      </c>
      <c r="I709" t="b">
        <v>0</v>
      </c>
      <c r="J709" t="b">
        <v>0</v>
      </c>
      <c r="K709" t="b">
        <v>1</v>
      </c>
      <c r="L709" t="s">
        <v>28</v>
      </c>
      <c r="M709">
        <v>50</v>
      </c>
      <c r="N709" t="s">
        <v>64</v>
      </c>
      <c r="O709">
        <v>37.5</v>
      </c>
      <c r="P709" t="s">
        <v>30</v>
      </c>
      <c r="Q709">
        <v>0.05</v>
      </c>
      <c r="R709">
        <v>35.625</v>
      </c>
      <c r="S709" t="s">
        <v>31</v>
      </c>
      <c r="T709" t="s">
        <v>54</v>
      </c>
      <c r="U709">
        <v>32.715699999999998</v>
      </c>
      <c r="V709">
        <v>-117.1611</v>
      </c>
      <c r="W709" s="2">
        <v>45559</v>
      </c>
      <c r="X709">
        <v>0</v>
      </c>
      <c r="Y709" t="b">
        <v>0</v>
      </c>
      <c r="Z709" s="2">
        <v>45845</v>
      </c>
      <c r="AA709" t="str">
        <f t="shared" si="111"/>
        <v>20–29</v>
      </c>
      <c r="AB709" t="str">
        <f t="shared" si="112"/>
        <v>20–29</v>
      </c>
      <c r="AC709" t="str">
        <f t="shared" si="113"/>
        <v/>
      </c>
      <c r="AD709" t="str">
        <f t="shared" si="114"/>
        <v/>
      </c>
      <c r="AE709" t="str">
        <f t="shared" si="115"/>
        <v>Wednesday</v>
      </c>
      <c r="AF709" t="str">
        <f t="shared" si="116"/>
        <v/>
      </c>
      <c r="AG709" t="str">
        <f t="shared" si="117"/>
        <v>Friday</v>
      </c>
      <c r="AH709" t="str">
        <f t="shared" si="118"/>
        <v>Saturday</v>
      </c>
      <c r="AI709" t="str">
        <f t="shared" si="119"/>
        <v>Sunday</v>
      </c>
      <c r="AJ709" t="str">
        <f>LEFT(Table1[[#This Row],[membership_type]],2)&amp;TEXT(Table1[[#This Row],[age]],"00")&amp;"-"&amp;TEXT(ROW(),"000")</f>
        <v>Pr28-709</v>
      </c>
      <c r="AK709" t="str">
        <f>LEFT(Table1[[#This Row],[membership_type]],1)&amp;TEXT(MATCH(Table1[[#This Row],[membership_type]],Table1[membership_type],0),"00")</f>
        <v>P01</v>
      </c>
      <c r="AL709" t="str">
        <f>LEFT(Table1[[#This Row],[discount_type]],1)&amp;TEXT(ROUND(Table1[[#This Row],[discount_rate]]*100,0),"00")</f>
        <v>P05</v>
      </c>
      <c r="AM709" t="str" cm="1">
        <f t="array" ref="AM709">TEXT(SUMPRODUCT(CODE(MID(Table1[[#This Row],[home_gym_location]],_xlfn.SEQUENCE(LEN(Table1[[#This Row],[home_gym_location]])),1))),"00000")</f>
        <v>01018</v>
      </c>
      <c r="AN70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09" t="str">
        <f>LEFT(_xlfn.TEXTBEFORE(Table1[[#This Row],[Location Identifier]],"-"),3) &amp; "-" &amp; _xlfn.TEXTAFTER(Table1[[#This Row],[Location Identifier]],"-")</f>
        <v>SAN-008</v>
      </c>
      <c r="AP709" s="9">
        <f t="shared" ca="1" si="110"/>
        <v>45869</v>
      </c>
    </row>
    <row r="710" spans="1:42" x14ac:dyDescent="0.25">
      <c r="A710">
        <v>44</v>
      </c>
      <c r="B710" t="s">
        <v>26</v>
      </c>
      <c r="C710">
        <v>2</v>
      </c>
      <c r="D710" t="s">
        <v>101</v>
      </c>
      <c r="E710" t="b">
        <v>1</v>
      </c>
      <c r="F710" s="1">
        <v>0.71736111111111112</v>
      </c>
      <c r="G710" s="1">
        <v>0.76041666666666663</v>
      </c>
      <c r="H710">
        <v>62</v>
      </c>
      <c r="I710" t="b">
        <v>0</v>
      </c>
      <c r="J710" t="b">
        <v>0</v>
      </c>
      <c r="K710" t="b">
        <v>1</v>
      </c>
      <c r="L710" t="s">
        <v>28</v>
      </c>
      <c r="M710">
        <v>50</v>
      </c>
      <c r="N710" t="s">
        <v>64</v>
      </c>
      <c r="O710">
        <v>37.5</v>
      </c>
      <c r="P710" t="s">
        <v>40</v>
      </c>
      <c r="Q710">
        <v>0.1</v>
      </c>
      <c r="R710">
        <v>33.75</v>
      </c>
      <c r="S710" t="s">
        <v>31</v>
      </c>
      <c r="T710" t="s">
        <v>41</v>
      </c>
      <c r="U710">
        <v>37.804400000000001</v>
      </c>
      <c r="V710">
        <v>-122.27119999999999</v>
      </c>
      <c r="W710" s="2">
        <v>45105</v>
      </c>
      <c r="X710">
        <v>0</v>
      </c>
      <c r="Y710" t="b">
        <v>1</v>
      </c>
      <c r="Z710" s="2">
        <v>45820</v>
      </c>
      <c r="AA710" t="str">
        <f t="shared" si="111"/>
        <v>40–49</v>
      </c>
      <c r="AB710" t="str">
        <f t="shared" si="112"/>
        <v>40–49</v>
      </c>
      <c r="AC710" t="str">
        <f t="shared" si="113"/>
        <v>Monday</v>
      </c>
      <c r="AD710" t="str">
        <f t="shared" si="114"/>
        <v/>
      </c>
      <c r="AE710" t="str">
        <f t="shared" si="115"/>
        <v/>
      </c>
      <c r="AF710" t="str">
        <f t="shared" si="116"/>
        <v/>
      </c>
      <c r="AG710" t="str">
        <f t="shared" si="117"/>
        <v>Friday</v>
      </c>
      <c r="AH710" t="str">
        <f t="shared" si="118"/>
        <v/>
      </c>
      <c r="AI710" t="str">
        <f t="shared" si="119"/>
        <v/>
      </c>
      <c r="AJ710" t="str">
        <f>LEFT(Table1[[#This Row],[membership_type]],2)&amp;TEXT(Table1[[#This Row],[age]],"00")&amp;"-"&amp;TEXT(ROW(),"000")</f>
        <v>Pr44-710</v>
      </c>
      <c r="AK710" t="str">
        <f>LEFT(Table1[[#This Row],[membership_type]],1)&amp;TEXT(MATCH(Table1[[#This Row],[membership_type]],Table1[membership_type],0),"00")</f>
        <v>P01</v>
      </c>
      <c r="AL710" t="str">
        <f>LEFT(Table1[[#This Row],[discount_type]],1)&amp;TEXT(ROUND(Table1[[#This Row],[discount_rate]]*100,0),"00")</f>
        <v>L10</v>
      </c>
      <c r="AM710" t="str" cm="1">
        <f t="array" ref="AM710">TEXT(SUMPRODUCT(CODE(MID(Table1[[#This Row],[home_gym_location]],_xlfn.SEQUENCE(LEN(Table1[[#This Row],[home_gym_location]])),1))),"00000")</f>
        <v>00906</v>
      </c>
      <c r="AN710" t="str">
        <f>UPPER(_xlfn.TEXTBEFORE(Table1[[#This Row],[home_gym_location]],","))&amp;"-"&amp;TEXT(MATCH(Table1[[#This Row],[home_gym_location]],_xlfn._xlws.SORT(_xlfn.UNIQUE(Table1[home_gym_location])),0),"000")</f>
        <v>OAKLAND-006</v>
      </c>
      <c r="AO710" t="str">
        <f>LEFT(_xlfn.TEXTBEFORE(Table1[[#This Row],[Location Identifier]],"-"),3) &amp; "-" &amp; _xlfn.TEXTAFTER(Table1[[#This Row],[Location Identifier]],"-")</f>
        <v>OAK-006</v>
      </c>
      <c r="AP710" s="9">
        <f t="shared" ca="1" si="110"/>
        <v>45869</v>
      </c>
    </row>
    <row r="711" spans="1:42" x14ac:dyDescent="0.25">
      <c r="A711">
        <v>31</v>
      </c>
      <c r="B711" t="s">
        <v>26</v>
      </c>
      <c r="C711">
        <v>3</v>
      </c>
      <c r="D711" t="s">
        <v>86</v>
      </c>
      <c r="E711" t="b">
        <v>0</v>
      </c>
      <c r="F711" s="1">
        <v>0.42638888888888887</v>
      </c>
      <c r="G711" s="1">
        <v>0.55069444444444449</v>
      </c>
      <c r="H711">
        <v>179</v>
      </c>
      <c r="I711" t="b">
        <v>0</v>
      </c>
      <c r="J711" t="b">
        <v>1</v>
      </c>
      <c r="K711" t="b">
        <v>1</v>
      </c>
      <c r="L711" t="s">
        <v>35</v>
      </c>
      <c r="M711">
        <v>50</v>
      </c>
      <c r="N711" t="s">
        <v>64</v>
      </c>
      <c r="O711">
        <v>37.5</v>
      </c>
      <c r="P711" t="s">
        <v>36</v>
      </c>
      <c r="Q711">
        <v>0</v>
      </c>
      <c r="R711">
        <v>37.5</v>
      </c>
      <c r="S711" t="s">
        <v>31</v>
      </c>
      <c r="T711" t="s">
        <v>45</v>
      </c>
      <c r="U711">
        <v>33.836599999999997</v>
      </c>
      <c r="V711">
        <v>-117.9143</v>
      </c>
      <c r="W711" s="2">
        <v>45021</v>
      </c>
      <c r="X711">
        <v>2</v>
      </c>
      <c r="Y711" t="b">
        <v>1</v>
      </c>
      <c r="Z711" s="2">
        <v>45815</v>
      </c>
      <c r="AA711" t="str">
        <f t="shared" si="111"/>
        <v>30–39</v>
      </c>
      <c r="AB711" t="str">
        <f t="shared" si="112"/>
        <v>30–39</v>
      </c>
      <c r="AC711" t="str">
        <f t="shared" si="113"/>
        <v/>
      </c>
      <c r="AD711" t="str">
        <f t="shared" si="114"/>
        <v>Tuesday</v>
      </c>
      <c r="AE711" t="str">
        <f t="shared" si="115"/>
        <v/>
      </c>
      <c r="AF711" t="str">
        <f t="shared" si="116"/>
        <v/>
      </c>
      <c r="AG711" t="str">
        <f t="shared" si="117"/>
        <v>Friday</v>
      </c>
      <c r="AH711" t="str">
        <f t="shared" si="118"/>
        <v>Saturday</v>
      </c>
      <c r="AI711" t="str">
        <f t="shared" si="119"/>
        <v/>
      </c>
      <c r="AJ711" t="str">
        <f>LEFT(Table1[[#This Row],[membership_type]],2)&amp;TEXT(Table1[[#This Row],[age]],"00")&amp;"-"&amp;TEXT(ROW(),"000")</f>
        <v>Pr31-711</v>
      </c>
      <c r="AK711" t="str">
        <f>LEFT(Table1[[#This Row],[membership_type]],1)&amp;TEXT(MATCH(Table1[[#This Row],[membership_type]],Table1[membership_type],0),"00")</f>
        <v>P01</v>
      </c>
      <c r="AL711" t="str">
        <f>LEFT(Table1[[#This Row],[discount_type]],1)&amp;TEXT(ROUND(Table1[[#This Row],[discount_rate]]*100,0),"00")</f>
        <v>N00</v>
      </c>
      <c r="AM711" t="str" cm="1">
        <f t="array" ref="AM711">TEXT(SUMPRODUCT(CODE(MID(Table1[[#This Row],[home_gym_location]],_xlfn.SEQUENCE(LEN(Table1[[#This Row],[home_gym_location]])),1))),"00000")</f>
        <v>00899</v>
      </c>
      <c r="AN711" t="str">
        <f>UPPER(_xlfn.TEXTBEFORE(Table1[[#This Row],[home_gym_location]],","))&amp;"-"&amp;TEXT(MATCH(Table1[[#This Row],[home_gym_location]],_xlfn._xlws.SORT(_xlfn.UNIQUE(Table1[home_gym_location])),0),"000")</f>
        <v>ANAHEIM-001</v>
      </c>
      <c r="AO711" t="str">
        <f>LEFT(_xlfn.TEXTBEFORE(Table1[[#This Row],[Location Identifier]],"-"),3) &amp; "-" &amp; _xlfn.TEXTAFTER(Table1[[#This Row],[Location Identifier]],"-")</f>
        <v>ANA-001</v>
      </c>
      <c r="AP711" s="9">
        <f t="shared" ca="1" si="110"/>
        <v>45869</v>
      </c>
    </row>
    <row r="712" spans="1:42" x14ac:dyDescent="0.25">
      <c r="A712">
        <v>17</v>
      </c>
      <c r="B712" t="s">
        <v>33</v>
      </c>
      <c r="C712">
        <v>1</v>
      </c>
      <c r="D712" t="s">
        <v>97</v>
      </c>
      <c r="E712" t="b">
        <v>1</v>
      </c>
      <c r="F712" s="1">
        <v>0.79513888888888884</v>
      </c>
      <c r="G712" s="1">
        <v>0.91319444444444442</v>
      </c>
      <c r="H712">
        <v>170</v>
      </c>
      <c r="I712" t="b">
        <v>1</v>
      </c>
      <c r="J712" t="b">
        <v>1</v>
      </c>
      <c r="K712" t="b">
        <v>0</v>
      </c>
      <c r="L712" t="s">
        <v>62</v>
      </c>
      <c r="M712">
        <v>30</v>
      </c>
      <c r="N712" t="s">
        <v>29</v>
      </c>
      <c r="O712">
        <v>30</v>
      </c>
      <c r="P712" t="s">
        <v>36</v>
      </c>
      <c r="Q712">
        <v>0</v>
      </c>
      <c r="R712">
        <v>30</v>
      </c>
      <c r="S712" t="s">
        <v>37</v>
      </c>
      <c r="T712" t="s">
        <v>48</v>
      </c>
      <c r="U712">
        <v>38.581600000000002</v>
      </c>
      <c r="V712">
        <v>-121.4944</v>
      </c>
      <c r="W712" s="2">
        <v>45196</v>
      </c>
      <c r="X712">
        <v>3</v>
      </c>
      <c r="Y712" t="b">
        <v>1</v>
      </c>
      <c r="Z712" s="2">
        <v>45825</v>
      </c>
      <c r="AA712" t="str">
        <f t="shared" si="111"/>
        <v>10–19</v>
      </c>
      <c r="AB712" t="str">
        <f t="shared" si="112"/>
        <v>16–19</v>
      </c>
      <c r="AC712" t="str">
        <f t="shared" si="113"/>
        <v>Monday</v>
      </c>
      <c r="AD712" t="str">
        <f t="shared" si="114"/>
        <v/>
      </c>
      <c r="AE712" t="str">
        <f t="shared" si="115"/>
        <v/>
      </c>
      <c r="AF712" t="str">
        <f t="shared" si="116"/>
        <v/>
      </c>
      <c r="AG712" t="str">
        <f t="shared" si="117"/>
        <v/>
      </c>
      <c r="AH712" t="str">
        <f t="shared" si="118"/>
        <v/>
      </c>
      <c r="AI712" t="str">
        <f t="shared" si="119"/>
        <v/>
      </c>
      <c r="AJ712" t="str">
        <f>LEFT(Table1[[#This Row],[membership_type]],2)&amp;TEXT(Table1[[#This Row],[age]],"00")&amp;"-"&amp;TEXT(ROW(),"000")</f>
        <v>St17-712</v>
      </c>
      <c r="AK712" t="str">
        <f>LEFT(Table1[[#This Row],[membership_type]],1)&amp;TEXT(MATCH(Table1[[#This Row],[membership_type]],Table1[membership_type],0),"00")</f>
        <v>S02</v>
      </c>
      <c r="AL712" t="str">
        <f>LEFT(Table1[[#This Row],[discount_type]],1)&amp;TEXT(ROUND(Table1[[#This Row],[discount_rate]]*100,0),"00")</f>
        <v>N00</v>
      </c>
      <c r="AM712" t="str" cm="1">
        <f t="array" ref="AM712">TEXT(SUMPRODUCT(CODE(MID(Table1[[#This Row],[home_gym_location]],_xlfn.SEQUENCE(LEN(Table1[[#This Row],[home_gym_location]])),1))),"00000")</f>
        <v>01245</v>
      </c>
      <c r="AN71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12" t="str">
        <f>LEFT(_xlfn.TEXTBEFORE(Table1[[#This Row],[Location Identifier]],"-"),3) &amp; "-" &amp; _xlfn.TEXTAFTER(Table1[[#This Row],[Location Identifier]],"-")</f>
        <v>SAC-007</v>
      </c>
      <c r="AP712" s="9">
        <f t="shared" ca="1" si="110"/>
        <v>45869</v>
      </c>
    </row>
    <row r="713" spans="1:42" x14ac:dyDescent="0.25">
      <c r="A713">
        <v>26</v>
      </c>
      <c r="B713" t="s">
        <v>42</v>
      </c>
      <c r="C713">
        <v>5</v>
      </c>
      <c r="D713" t="s">
        <v>77</v>
      </c>
      <c r="E713" t="b">
        <v>0</v>
      </c>
      <c r="F713" s="1">
        <v>0.82708333333333328</v>
      </c>
      <c r="G713" s="1">
        <v>0.89097222222222228</v>
      </c>
      <c r="H713">
        <v>92</v>
      </c>
      <c r="I713" t="b">
        <v>1</v>
      </c>
      <c r="J713" t="b">
        <v>1</v>
      </c>
      <c r="K713" t="b">
        <v>1</v>
      </c>
      <c r="L713" t="s">
        <v>28</v>
      </c>
      <c r="M713">
        <v>20</v>
      </c>
      <c r="N713" t="s">
        <v>29</v>
      </c>
      <c r="O713">
        <v>20</v>
      </c>
      <c r="P713" t="s">
        <v>40</v>
      </c>
      <c r="Q713">
        <v>0.1</v>
      </c>
      <c r="R713">
        <v>18</v>
      </c>
      <c r="S713" t="s">
        <v>44</v>
      </c>
      <c r="T713" t="s">
        <v>59</v>
      </c>
      <c r="U713">
        <v>37.774900000000002</v>
      </c>
      <c r="V713">
        <v>-122.4194</v>
      </c>
      <c r="W713" s="2">
        <v>45328</v>
      </c>
      <c r="X713">
        <v>1</v>
      </c>
      <c r="Y713" t="b">
        <v>1</v>
      </c>
      <c r="Z713" s="2">
        <v>45832</v>
      </c>
      <c r="AA713" t="str">
        <f t="shared" si="111"/>
        <v>20–29</v>
      </c>
      <c r="AB713" t="str">
        <f t="shared" si="112"/>
        <v>20–29</v>
      </c>
      <c r="AC713" t="str">
        <f t="shared" si="113"/>
        <v/>
      </c>
      <c r="AD713" t="str">
        <f t="shared" si="114"/>
        <v>Tuesday</v>
      </c>
      <c r="AE713" t="str">
        <f t="shared" si="115"/>
        <v>Wednesday</v>
      </c>
      <c r="AF713" t="str">
        <f t="shared" si="116"/>
        <v>Thursday</v>
      </c>
      <c r="AG713" t="str">
        <f t="shared" si="117"/>
        <v>Friday</v>
      </c>
      <c r="AH713" t="str">
        <f t="shared" si="118"/>
        <v/>
      </c>
      <c r="AI713" t="str">
        <f t="shared" si="119"/>
        <v>Sunday</v>
      </c>
      <c r="AJ713" t="str">
        <f>LEFT(Table1[[#This Row],[membership_type]],2)&amp;TEXT(Table1[[#This Row],[age]],"00")&amp;"-"&amp;TEXT(ROW(),"000")</f>
        <v>Ba26-713</v>
      </c>
      <c r="AK713" t="str">
        <f>LEFT(Table1[[#This Row],[membership_type]],1)&amp;TEXT(MATCH(Table1[[#This Row],[membership_type]],Table1[membership_type],0),"00")</f>
        <v>B04</v>
      </c>
      <c r="AL713" t="str">
        <f>LEFT(Table1[[#This Row],[discount_type]],1)&amp;TEXT(ROUND(Table1[[#This Row],[discount_rate]]*100,0),"00")</f>
        <v>L10</v>
      </c>
      <c r="AM713" t="str" cm="1">
        <f t="array" ref="AM713">TEXT(SUMPRODUCT(CODE(MID(Table1[[#This Row],[home_gym_location]],_xlfn.SEQUENCE(LEN(Table1[[#This Row],[home_gym_location]])),1))),"00000")</f>
        <v>01450</v>
      </c>
      <c r="AN71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13" t="str">
        <f>LEFT(_xlfn.TEXTBEFORE(Table1[[#This Row],[Location Identifier]],"-"),3) &amp; "-" &amp; _xlfn.TEXTAFTER(Table1[[#This Row],[Location Identifier]],"-")</f>
        <v>SAN-009</v>
      </c>
      <c r="AP713" s="9">
        <f t="shared" ca="1" si="110"/>
        <v>45869</v>
      </c>
    </row>
    <row r="714" spans="1:42" x14ac:dyDescent="0.25">
      <c r="A714">
        <v>48</v>
      </c>
      <c r="B714" t="s">
        <v>33</v>
      </c>
      <c r="C714">
        <v>4</v>
      </c>
      <c r="D714" t="s">
        <v>161</v>
      </c>
      <c r="E714" t="b">
        <v>0</v>
      </c>
      <c r="F714" s="1">
        <v>0.56458333333333333</v>
      </c>
      <c r="G714" s="1">
        <v>0.58888888888888891</v>
      </c>
      <c r="H714">
        <v>35</v>
      </c>
      <c r="I714" t="b">
        <v>1</v>
      </c>
      <c r="J714" t="b">
        <v>0</v>
      </c>
      <c r="K714" t="b">
        <v>0</v>
      </c>
      <c r="L714" t="s">
        <v>62</v>
      </c>
      <c r="M714">
        <v>30</v>
      </c>
      <c r="N714" t="s">
        <v>29</v>
      </c>
      <c r="O714">
        <v>30</v>
      </c>
      <c r="P714" t="s">
        <v>40</v>
      </c>
      <c r="Q714">
        <v>0.1</v>
      </c>
      <c r="R714">
        <v>27</v>
      </c>
      <c r="S714" t="s">
        <v>37</v>
      </c>
      <c r="T714" t="s">
        <v>41</v>
      </c>
      <c r="U714">
        <v>37.804400000000001</v>
      </c>
      <c r="V714">
        <v>-122.27119999999999</v>
      </c>
      <c r="W714" s="2">
        <v>45392</v>
      </c>
      <c r="X714">
        <v>0</v>
      </c>
      <c r="Y714" t="b">
        <v>0</v>
      </c>
      <c r="Z714" s="2">
        <v>45836</v>
      </c>
      <c r="AA714" t="str">
        <f t="shared" si="111"/>
        <v>40–49</v>
      </c>
      <c r="AB714" t="str">
        <f t="shared" si="112"/>
        <v>40–49</v>
      </c>
      <c r="AC714" t="str">
        <f t="shared" si="113"/>
        <v>Monday</v>
      </c>
      <c r="AD714" t="str">
        <f t="shared" si="114"/>
        <v/>
      </c>
      <c r="AE714" t="str">
        <f t="shared" si="115"/>
        <v>Wednesday</v>
      </c>
      <c r="AF714" t="str">
        <f t="shared" si="116"/>
        <v>Thursday</v>
      </c>
      <c r="AG714" t="str">
        <f t="shared" si="117"/>
        <v/>
      </c>
      <c r="AH714" t="str">
        <f t="shared" si="118"/>
        <v/>
      </c>
      <c r="AI714" t="str">
        <f t="shared" si="119"/>
        <v>Sunday</v>
      </c>
      <c r="AJ714" t="str">
        <f>LEFT(Table1[[#This Row],[membership_type]],2)&amp;TEXT(Table1[[#This Row],[age]],"00")&amp;"-"&amp;TEXT(ROW(),"000")</f>
        <v>St48-714</v>
      </c>
      <c r="AK714" t="str">
        <f>LEFT(Table1[[#This Row],[membership_type]],1)&amp;TEXT(MATCH(Table1[[#This Row],[membership_type]],Table1[membership_type],0),"00")</f>
        <v>S02</v>
      </c>
      <c r="AL714" t="str">
        <f>LEFT(Table1[[#This Row],[discount_type]],1)&amp;TEXT(ROUND(Table1[[#This Row],[discount_rate]]*100,0),"00")</f>
        <v>L10</v>
      </c>
      <c r="AM714" t="str" cm="1">
        <f t="array" ref="AM714">TEXT(SUMPRODUCT(CODE(MID(Table1[[#This Row],[home_gym_location]],_xlfn.SEQUENCE(LEN(Table1[[#This Row],[home_gym_location]])),1))),"00000")</f>
        <v>00906</v>
      </c>
      <c r="AN714" t="str">
        <f>UPPER(_xlfn.TEXTBEFORE(Table1[[#This Row],[home_gym_location]],","))&amp;"-"&amp;TEXT(MATCH(Table1[[#This Row],[home_gym_location]],_xlfn._xlws.SORT(_xlfn.UNIQUE(Table1[home_gym_location])),0),"000")</f>
        <v>OAKLAND-006</v>
      </c>
      <c r="AO714" t="str">
        <f>LEFT(_xlfn.TEXTBEFORE(Table1[[#This Row],[Location Identifier]],"-"),3) &amp; "-" &amp; _xlfn.TEXTAFTER(Table1[[#This Row],[Location Identifier]],"-")</f>
        <v>OAK-006</v>
      </c>
      <c r="AP714" s="9">
        <f t="shared" ca="1" si="110"/>
        <v>45869</v>
      </c>
    </row>
    <row r="715" spans="1:42" x14ac:dyDescent="0.25">
      <c r="A715">
        <v>39</v>
      </c>
      <c r="B715" t="s">
        <v>33</v>
      </c>
      <c r="C715">
        <v>4</v>
      </c>
      <c r="D715" t="s">
        <v>163</v>
      </c>
      <c r="E715" t="b">
        <v>0</v>
      </c>
      <c r="F715" s="1">
        <v>0.58125000000000004</v>
      </c>
      <c r="G715" s="1">
        <v>0.65347222222222223</v>
      </c>
      <c r="H715">
        <v>104</v>
      </c>
      <c r="I715" t="b">
        <v>1</v>
      </c>
      <c r="J715" t="b">
        <v>1</v>
      </c>
      <c r="K715" t="b">
        <v>1</v>
      </c>
      <c r="L715" t="s">
        <v>62</v>
      </c>
      <c r="M715">
        <v>30</v>
      </c>
      <c r="N715" t="s">
        <v>29</v>
      </c>
      <c r="O715">
        <v>30</v>
      </c>
      <c r="P715" t="s">
        <v>36</v>
      </c>
      <c r="Q715">
        <v>0</v>
      </c>
      <c r="R715">
        <v>30</v>
      </c>
      <c r="S715" t="s">
        <v>37</v>
      </c>
      <c r="T715" t="s">
        <v>54</v>
      </c>
      <c r="U715">
        <v>32.715699999999998</v>
      </c>
      <c r="V715">
        <v>-117.1611</v>
      </c>
      <c r="W715" s="2">
        <v>45459</v>
      </c>
      <c r="X715">
        <v>6</v>
      </c>
      <c r="Y715" t="b">
        <v>0</v>
      </c>
      <c r="Z715" s="2">
        <v>45840</v>
      </c>
      <c r="AA715" t="str">
        <f t="shared" si="111"/>
        <v>30–39</v>
      </c>
      <c r="AB715" t="str">
        <f t="shared" si="112"/>
        <v>30–39</v>
      </c>
      <c r="AC715" t="str">
        <f t="shared" si="113"/>
        <v/>
      </c>
      <c r="AD715" t="str">
        <f t="shared" si="114"/>
        <v>Tuesday</v>
      </c>
      <c r="AE715" t="str">
        <f t="shared" si="115"/>
        <v>Wednesday</v>
      </c>
      <c r="AF715" t="str">
        <f t="shared" si="116"/>
        <v/>
      </c>
      <c r="AG715" t="str">
        <f t="shared" si="117"/>
        <v/>
      </c>
      <c r="AH715" t="str">
        <f t="shared" si="118"/>
        <v>Saturday</v>
      </c>
      <c r="AI715" t="str">
        <f t="shared" si="119"/>
        <v>Sunday</v>
      </c>
      <c r="AJ715" t="str">
        <f>LEFT(Table1[[#This Row],[membership_type]],2)&amp;TEXT(Table1[[#This Row],[age]],"00")&amp;"-"&amp;TEXT(ROW(),"000")</f>
        <v>St39-715</v>
      </c>
      <c r="AK715" t="str">
        <f>LEFT(Table1[[#This Row],[membership_type]],1)&amp;TEXT(MATCH(Table1[[#This Row],[membership_type]],Table1[membership_type],0),"00")</f>
        <v>S02</v>
      </c>
      <c r="AL715" t="str">
        <f>LEFT(Table1[[#This Row],[discount_type]],1)&amp;TEXT(ROUND(Table1[[#This Row],[discount_rate]]*100,0),"00")</f>
        <v>N00</v>
      </c>
      <c r="AM715" t="str" cm="1">
        <f t="array" ref="AM715">TEXT(SUMPRODUCT(CODE(MID(Table1[[#This Row],[home_gym_location]],_xlfn.SEQUENCE(LEN(Table1[[#This Row],[home_gym_location]])),1))),"00000")</f>
        <v>01018</v>
      </c>
      <c r="AN71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15" t="str">
        <f>LEFT(_xlfn.TEXTBEFORE(Table1[[#This Row],[Location Identifier]],"-"),3) &amp; "-" &amp; _xlfn.TEXTAFTER(Table1[[#This Row],[Location Identifier]],"-")</f>
        <v>SAN-008</v>
      </c>
      <c r="AP715" s="9">
        <f t="shared" ca="1" si="110"/>
        <v>45869</v>
      </c>
    </row>
    <row r="716" spans="1:42" x14ac:dyDescent="0.25">
      <c r="A716">
        <v>18</v>
      </c>
      <c r="B716" t="s">
        <v>51</v>
      </c>
      <c r="C716">
        <v>3</v>
      </c>
      <c r="D716" t="s">
        <v>106</v>
      </c>
      <c r="E716" t="b">
        <v>1</v>
      </c>
      <c r="F716" s="1">
        <v>0.77986111111111112</v>
      </c>
      <c r="G716" s="1">
        <v>0.87916666666666665</v>
      </c>
      <c r="H716">
        <v>143</v>
      </c>
      <c r="I716" t="b">
        <v>1</v>
      </c>
      <c r="J716" t="b">
        <v>0</v>
      </c>
      <c r="K716" t="b">
        <v>1</v>
      </c>
      <c r="L716" t="s">
        <v>62</v>
      </c>
      <c r="M716">
        <v>70</v>
      </c>
      <c r="N716" t="s">
        <v>29</v>
      </c>
      <c r="O716">
        <v>70</v>
      </c>
      <c r="P716" t="s">
        <v>40</v>
      </c>
      <c r="Q716">
        <v>0.1</v>
      </c>
      <c r="R716">
        <v>63</v>
      </c>
      <c r="S716" t="s">
        <v>53</v>
      </c>
      <c r="T716" t="s">
        <v>65</v>
      </c>
      <c r="U716">
        <v>33.770099999999999</v>
      </c>
      <c r="V716">
        <v>-118.19370000000001</v>
      </c>
      <c r="W716" s="2">
        <v>44841</v>
      </c>
      <c r="X716">
        <v>0</v>
      </c>
      <c r="Y716" t="b">
        <v>1</v>
      </c>
      <c r="Z716" s="2">
        <v>45805</v>
      </c>
      <c r="AA716" t="str">
        <f t="shared" si="111"/>
        <v>10–19</v>
      </c>
      <c r="AB716" t="str">
        <f t="shared" si="112"/>
        <v>16–19</v>
      </c>
      <c r="AC716" t="str">
        <f t="shared" si="113"/>
        <v/>
      </c>
      <c r="AD716" t="str">
        <f t="shared" si="114"/>
        <v/>
      </c>
      <c r="AE716" t="str">
        <f t="shared" si="115"/>
        <v>Wednesday</v>
      </c>
      <c r="AF716" t="str">
        <f t="shared" si="116"/>
        <v>Thursday</v>
      </c>
      <c r="AG716" t="str">
        <f t="shared" si="117"/>
        <v>Friday</v>
      </c>
      <c r="AH716" t="str">
        <f t="shared" si="118"/>
        <v/>
      </c>
      <c r="AI716" t="str">
        <f t="shared" si="119"/>
        <v/>
      </c>
      <c r="AJ716" t="str">
        <f>LEFT(Table1[[#This Row],[membership_type]],2)&amp;TEXT(Table1[[#This Row],[age]],"00")&amp;"-"&amp;TEXT(ROW(),"000")</f>
        <v>El18-716</v>
      </c>
      <c r="AK716" t="str">
        <f>LEFT(Table1[[#This Row],[membership_type]],1)&amp;TEXT(MATCH(Table1[[#This Row],[membership_type]],Table1[membership_type],0),"00")</f>
        <v>E07</v>
      </c>
      <c r="AL716" t="str">
        <f>LEFT(Table1[[#This Row],[discount_type]],1)&amp;TEXT(ROUND(Table1[[#This Row],[discount_rate]]*100,0),"00")</f>
        <v>L10</v>
      </c>
      <c r="AM716" t="str" cm="1">
        <f t="array" ref="AM716">TEXT(SUMPRODUCT(CODE(MID(Table1[[#This Row],[home_gym_location]],_xlfn.SEQUENCE(LEN(Table1[[#This Row],[home_gym_location]])),1))),"00000")</f>
        <v>01107</v>
      </c>
      <c r="AN71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16" t="str">
        <f>LEFT(_xlfn.TEXTBEFORE(Table1[[#This Row],[Location Identifier]],"-"),3) &amp; "-" &amp; _xlfn.TEXTAFTER(Table1[[#This Row],[Location Identifier]],"-")</f>
        <v>LON-004</v>
      </c>
      <c r="AP716" s="9">
        <f t="shared" ca="1" si="110"/>
        <v>45869</v>
      </c>
    </row>
    <row r="717" spans="1:42" x14ac:dyDescent="0.25">
      <c r="A717">
        <v>34</v>
      </c>
      <c r="B717" t="s">
        <v>26</v>
      </c>
      <c r="C717">
        <v>4</v>
      </c>
      <c r="D717" t="s">
        <v>151</v>
      </c>
      <c r="E717" t="b">
        <v>0</v>
      </c>
      <c r="F717" s="1">
        <v>0.53194444444444444</v>
      </c>
      <c r="G717" s="1">
        <v>0.57986111111111116</v>
      </c>
      <c r="H717">
        <v>69</v>
      </c>
      <c r="I717" t="b">
        <v>0</v>
      </c>
      <c r="J717" t="b">
        <v>0</v>
      </c>
      <c r="K717" t="b">
        <v>0</v>
      </c>
      <c r="L717" t="s">
        <v>35</v>
      </c>
      <c r="M717">
        <v>50</v>
      </c>
      <c r="N717" t="s">
        <v>29</v>
      </c>
      <c r="O717">
        <v>50</v>
      </c>
      <c r="P717" t="s">
        <v>74</v>
      </c>
      <c r="Q717">
        <v>0.15</v>
      </c>
      <c r="R717">
        <v>42.5</v>
      </c>
      <c r="S717" t="s">
        <v>31</v>
      </c>
      <c r="T717" t="s">
        <v>50</v>
      </c>
      <c r="U717">
        <v>34.052199999999999</v>
      </c>
      <c r="V717">
        <v>-118.2437</v>
      </c>
      <c r="W717" s="2">
        <v>44946</v>
      </c>
      <c r="X717">
        <v>0</v>
      </c>
      <c r="Y717" t="b">
        <v>1</v>
      </c>
      <c r="Z717" s="2">
        <v>45811</v>
      </c>
      <c r="AA717" t="str">
        <f t="shared" si="111"/>
        <v>30–39</v>
      </c>
      <c r="AB717" t="str">
        <f t="shared" si="112"/>
        <v>30–39</v>
      </c>
      <c r="AC717" t="str">
        <f t="shared" si="113"/>
        <v/>
      </c>
      <c r="AD717" t="str">
        <f t="shared" si="114"/>
        <v>Tuesday</v>
      </c>
      <c r="AE717" t="str">
        <f t="shared" si="115"/>
        <v>Wednesday</v>
      </c>
      <c r="AF717" t="str">
        <f t="shared" si="116"/>
        <v>Thursday</v>
      </c>
      <c r="AG717" t="str">
        <f t="shared" si="117"/>
        <v>Friday</v>
      </c>
      <c r="AH717" t="str">
        <f t="shared" si="118"/>
        <v/>
      </c>
      <c r="AI717" t="str">
        <f t="shared" si="119"/>
        <v/>
      </c>
      <c r="AJ717" t="str">
        <f>LEFT(Table1[[#This Row],[membership_type]],2)&amp;TEXT(Table1[[#This Row],[age]],"00")&amp;"-"&amp;TEXT(ROW(),"000")</f>
        <v>Pr34-717</v>
      </c>
      <c r="AK717" t="str">
        <f>LEFT(Table1[[#This Row],[membership_type]],1)&amp;TEXT(MATCH(Table1[[#This Row],[membership_type]],Table1[membership_type],0),"00")</f>
        <v>P01</v>
      </c>
      <c r="AL717" t="str">
        <f>LEFT(Table1[[#This Row],[discount_type]],1)&amp;TEXT(ROUND(Table1[[#This Row],[discount_rate]]*100,0),"00")</f>
        <v>S15</v>
      </c>
      <c r="AM717" t="str" cm="1">
        <f t="array" ref="AM717">TEXT(SUMPRODUCT(CODE(MID(Table1[[#This Row],[home_gym_location]],_xlfn.SEQUENCE(LEN(Table1[[#This Row],[home_gym_location]])),1))),"00000")</f>
        <v>01245</v>
      </c>
      <c r="AN71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17" t="str">
        <f>LEFT(_xlfn.TEXTBEFORE(Table1[[#This Row],[Location Identifier]],"-"),3) &amp; "-" &amp; _xlfn.TEXTAFTER(Table1[[#This Row],[Location Identifier]],"-")</f>
        <v>LOS-005</v>
      </c>
      <c r="AP717" s="9">
        <f t="shared" ca="1" si="110"/>
        <v>45869</v>
      </c>
    </row>
    <row r="718" spans="1:42" x14ac:dyDescent="0.25">
      <c r="A718">
        <v>27</v>
      </c>
      <c r="B718" t="s">
        <v>26</v>
      </c>
      <c r="C718">
        <v>3</v>
      </c>
      <c r="D718" t="s">
        <v>57</v>
      </c>
      <c r="E718" t="b">
        <v>0</v>
      </c>
      <c r="F718" s="1">
        <v>0.49305555555555558</v>
      </c>
      <c r="G718" s="1">
        <v>0.53749999999999998</v>
      </c>
      <c r="H718">
        <v>64</v>
      </c>
      <c r="I718" t="b">
        <v>0</v>
      </c>
      <c r="J718" t="b">
        <v>0</v>
      </c>
      <c r="K718" t="b">
        <v>0</v>
      </c>
      <c r="L718" t="s">
        <v>35</v>
      </c>
      <c r="M718">
        <v>50</v>
      </c>
      <c r="N718" t="s">
        <v>64</v>
      </c>
      <c r="O718">
        <v>37.5</v>
      </c>
      <c r="P718" t="s">
        <v>30</v>
      </c>
      <c r="Q718">
        <v>0.05</v>
      </c>
      <c r="R718">
        <v>35.625</v>
      </c>
      <c r="S718" t="s">
        <v>31</v>
      </c>
      <c r="T718" t="s">
        <v>50</v>
      </c>
      <c r="U718">
        <v>34.052199999999999</v>
      </c>
      <c r="V718">
        <v>-118.2437</v>
      </c>
      <c r="W718" s="2">
        <v>44803</v>
      </c>
      <c r="X718">
        <v>0</v>
      </c>
      <c r="Y718" t="b">
        <v>1</v>
      </c>
      <c r="Z718" s="2">
        <v>45803</v>
      </c>
      <c r="AA718" t="str">
        <f t="shared" si="111"/>
        <v>20–29</v>
      </c>
      <c r="AB718" t="str">
        <f t="shared" si="112"/>
        <v>20–29</v>
      </c>
      <c r="AC718" t="str">
        <f t="shared" si="113"/>
        <v/>
      </c>
      <c r="AD718" t="str">
        <f t="shared" si="114"/>
        <v/>
      </c>
      <c r="AE718" t="str">
        <f t="shared" si="115"/>
        <v>Wednesday</v>
      </c>
      <c r="AF718" t="str">
        <f t="shared" si="116"/>
        <v>Thursday</v>
      </c>
      <c r="AG718" t="str">
        <f t="shared" si="117"/>
        <v/>
      </c>
      <c r="AH718" t="str">
        <f t="shared" si="118"/>
        <v>Saturday</v>
      </c>
      <c r="AI718" t="str">
        <f t="shared" si="119"/>
        <v/>
      </c>
      <c r="AJ718" t="str">
        <f>LEFT(Table1[[#This Row],[membership_type]],2)&amp;TEXT(Table1[[#This Row],[age]],"00")&amp;"-"&amp;TEXT(ROW(),"000")</f>
        <v>Pr27-718</v>
      </c>
      <c r="AK718" t="str">
        <f>LEFT(Table1[[#This Row],[membership_type]],1)&amp;TEXT(MATCH(Table1[[#This Row],[membership_type]],Table1[membership_type],0),"00")</f>
        <v>P01</v>
      </c>
      <c r="AL718" t="str">
        <f>LEFT(Table1[[#This Row],[discount_type]],1)&amp;TEXT(ROUND(Table1[[#This Row],[discount_rate]]*100,0),"00")</f>
        <v>P05</v>
      </c>
      <c r="AM718" t="str" cm="1">
        <f t="array" ref="AM718">TEXT(SUMPRODUCT(CODE(MID(Table1[[#This Row],[home_gym_location]],_xlfn.SEQUENCE(LEN(Table1[[#This Row],[home_gym_location]])),1))),"00000")</f>
        <v>01245</v>
      </c>
      <c r="AN71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18" t="str">
        <f>LEFT(_xlfn.TEXTBEFORE(Table1[[#This Row],[Location Identifier]],"-"),3) &amp; "-" &amp; _xlfn.TEXTAFTER(Table1[[#This Row],[Location Identifier]],"-")</f>
        <v>LOS-005</v>
      </c>
      <c r="AP718" s="9">
        <f t="shared" ca="1" si="110"/>
        <v>45869</v>
      </c>
    </row>
    <row r="719" spans="1:42" x14ac:dyDescent="0.25">
      <c r="A719">
        <v>16</v>
      </c>
      <c r="B719" t="s">
        <v>42</v>
      </c>
      <c r="C719">
        <v>3</v>
      </c>
      <c r="D719" t="s">
        <v>90</v>
      </c>
      <c r="E719" t="b">
        <v>0</v>
      </c>
      <c r="F719" s="1">
        <v>0.63541666666666663</v>
      </c>
      <c r="G719" s="1">
        <v>0.65694444444444444</v>
      </c>
      <c r="H719">
        <v>31</v>
      </c>
      <c r="I719" t="b">
        <v>1</v>
      </c>
      <c r="J719" t="b">
        <v>1</v>
      </c>
      <c r="K719" t="b">
        <v>0</v>
      </c>
      <c r="L719" t="s">
        <v>62</v>
      </c>
      <c r="M719">
        <v>20</v>
      </c>
      <c r="N719" t="s">
        <v>29</v>
      </c>
      <c r="O719">
        <v>20</v>
      </c>
      <c r="P719" t="s">
        <v>30</v>
      </c>
      <c r="Q719">
        <v>0.05</v>
      </c>
      <c r="R719">
        <v>19</v>
      </c>
      <c r="S719" t="s">
        <v>44</v>
      </c>
      <c r="T719" t="s">
        <v>50</v>
      </c>
      <c r="U719">
        <v>34.052199999999999</v>
      </c>
      <c r="V719">
        <v>-118.2437</v>
      </c>
      <c r="W719" s="2">
        <v>45698</v>
      </c>
      <c r="X719">
        <v>3</v>
      </c>
      <c r="Y719" t="b">
        <v>1</v>
      </c>
      <c r="Z719" s="2">
        <v>45853</v>
      </c>
      <c r="AA719" t="str">
        <f t="shared" si="111"/>
        <v>10–19</v>
      </c>
      <c r="AB719" t="str">
        <f t="shared" si="112"/>
        <v>16–19</v>
      </c>
      <c r="AC719" t="str">
        <f t="shared" si="113"/>
        <v/>
      </c>
      <c r="AD719" t="str">
        <f t="shared" si="114"/>
        <v>Tuesday</v>
      </c>
      <c r="AE719" t="str">
        <f t="shared" si="115"/>
        <v/>
      </c>
      <c r="AF719" t="str">
        <f t="shared" si="116"/>
        <v/>
      </c>
      <c r="AG719" t="str">
        <f t="shared" si="117"/>
        <v/>
      </c>
      <c r="AH719" t="str">
        <f t="shared" si="118"/>
        <v>Saturday</v>
      </c>
      <c r="AI719" t="str">
        <f t="shared" si="119"/>
        <v>Sunday</v>
      </c>
      <c r="AJ719" t="str">
        <f>LEFT(Table1[[#This Row],[membership_type]],2)&amp;TEXT(Table1[[#This Row],[age]],"00")&amp;"-"&amp;TEXT(ROW(),"000")</f>
        <v>Ba16-719</v>
      </c>
      <c r="AK719" t="str">
        <f>LEFT(Table1[[#This Row],[membership_type]],1)&amp;TEXT(MATCH(Table1[[#This Row],[membership_type]],Table1[membership_type],0),"00")</f>
        <v>B04</v>
      </c>
      <c r="AL719" t="str">
        <f>LEFT(Table1[[#This Row],[discount_type]],1)&amp;TEXT(ROUND(Table1[[#This Row],[discount_rate]]*100,0),"00")</f>
        <v>P05</v>
      </c>
      <c r="AM719" t="str" cm="1">
        <f t="array" ref="AM719">TEXT(SUMPRODUCT(CODE(MID(Table1[[#This Row],[home_gym_location]],_xlfn.SEQUENCE(LEN(Table1[[#This Row],[home_gym_location]])),1))),"00000")</f>
        <v>01245</v>
      </c>
      <c r="AN71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19" t="str">
        <f>LEFT(_xlfn.TEXTBEFORE(Table1[[#This Row],[Location Identifier]],"-"),3) &amp; "-" &amp; _xlfn.TEXTAFTER(Table1[[#This Row],[Location Identifier]],"-")</f>
        <v>LOS-005</v>
      </c>
      <c r="AP719" s="9">
        <f t="shared" ca="1" si="110"/>
        <v>45869</v>
      </c>
    </row>
    <row r="720" spans="1:42" x14ac:dyDescent="0.25">
      <c r="A720">
        <v>23</v>
      </c>
      <c r="B720" t="s">
        <v>51</v>
      </c>
      <c r="C720">
        <v>3</v>
      </c>
      <c r="D720" t="s">
        <v>80</v>
      </c>
      <c r="E720" t="b">
        <v>0</v>
      </c>
      <c r="F720" s="1">
        <v>0.5708333333333333</v>
      </c>
      <c r="G720" s="1">
        <v>0.60624999999999996</v>
      </c>
      <c r="H720">
        <v>51</v>
      </c>
      <c r="I720" t="b">
        <v>0</v>
      </c>
      <c r="J720" t="b">
        <v>0</v>
      </c>
      <c r="K720" t="b">
        <v>1</v>
      </c>
      <c r="L720" t="s">
        <v>28</v>
      </c>
      <c r="M720">
        <v>70</v>
      </c>
      <c r="N720" t="s">
        <v>29</v>
      </c>
      <c r="O720">
        <v>70</v>
      </c>
      <c r="P720" t="s">
        <v>30</v>
      </c>
      <c r="Q720">
        <v>0.05</v>
      </c>
      <c r="R720">
        <v>66.5</v>
      </c>
      <c r="S720" t="s">
        <v>53</v>
      </c>
      <c r="T720" t="s">
        <v>65</v>
      </c>
      <c r="U720">
        <v>33.770099999999999</v>
      </c>
      <c r="V720">
        <v>-118.19370000000001</v>
      </c>
      <c r="W720" s="2">
        <v>45052</v>
      </c>
      <c r="X720">
        <v>0</v>
      </c>
      <c r="Y720" t="b">
        <v>1</v>
      </c>
      <c r="Z720" s="2">
        <v>45817</v>
      </c>
      <c r="AA720" t="str">
        <f t="shared" si="111"/>
        <v>20–29</v>
      </c>
      <c r="AB720" t="str">
        <f t="shared" si="112"/>
        <v>20–29</v>
      </c>
      <c r="AC720" t="str">
        <f t="shared" si="113"/>
        <v>Monday</v>
      </c>
      <c r="AD720" t="str">
        <f t="shared" si="114"/>
        <v/>
      </c>
      <c r="AE720" t="str">
        <f t="shared" si="115"/>
        <v/>
      </c>
      <c r="AF720" t="str">
        <f t="shared" si="116"/>
        <v/>
      </c>
      <c r="AG720" t="str">
        <f t="shared" si="117"/>
        <v/>
      </c>
      <c r="AH720" t="str">
        <f t="shared" si="118"/>
        <v>Saturday</v>
      </c>
      <c r="AI720" t="str">
        <f t="shared" si="119"/>
        <v>Sunday</v>
      </c>
      <c r="AJ720" t="str">
        <f>LEFT(Table1[[#This Row],[membership_type]],2)&amp;TEXT(Table1[[#This Row],[age]],"00")&amp;"-"&amp;TEXT(ROW(),"000")</f>
        <v>El23-720</v>
      </c>
      <c r="AK720" t="str">
        <f>LEFT(Table1[[#This Row],[membership_type]],1)&amp;TEXT(MATCH(Table1[[#This Row],[membership_type]],Table1[membership_type],0),"00")</f>
        <v>E07</v>
      </c>
      <c r="AL720" t="str">
        <f>LEFT(Table1[[#This Row],[discount_type]],1)&amp;TEXT(ROUND(Table1[[#This Row],[discount_rate]]*100,0),"00")</f>
        <v>P05</v>
      </c>
      <c r="AM720" t="str" cm="1">
        <f t="array" ref="AM720">TEXT(SUMPRODUCT(CODE(MID(Table1[[#This Row],[home_gym_location]],_xlfn.SEQUENCE(LEN(Table1[[#This Row],[home_gym_location]])),1))),"00000")</f>
        <v>01107</v>
      </c>
      <c r="AN72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20" t="str">
        <f>LEFT(_xlfn.TEXTBEFORE(Table1[[#This Row],[Location Identifier]],"-"),3) &amp; "-" &amp; _xlfn.TEXTAFTER(Table1[[#This Row],[Location Identifier]],"-")</f>
        <v>LON-004</v>
      </c>
      <c r="AP720" s="9">
        <f t="shared" ca="1" si="110"/>
        <v>45869</v>
      </c>
    </row>
    <row r="721" spans="1:42" x14ac:dyDescent="0.25">
      <c r="A721">
        <v>32</v>
      </c>
      <c r="B721" t="s">
        <v>26</v>
      </c>
      <c r="C721">
        <v>2</v>
      </c>
      <c r="D721" t="s">
        <v>139</v>
      </c>
      <c r="E721" t="b">
        <v>1</v>
      </c>
      <c r="F721" s="1">
        <v>0.71111111111111114</v>
      </c>
      <c r="G721" s="1">
        <v>0.82361111111111107</v>
      </c>
      <c r="H721">
        <v>162</v>
      </c>
      <c r="I721" t="b">
        <v>0</v>
      </c>
      <c r="J721" t="b">
        <v>1</v>
      </c>
      <c r="K721" t="b">
        <v>0</v>
      </c>
      <c r="L721" t="s">
        <v>62</v>
      </c>
      <c r="M721">
        <v>50</v>
      </c>
      <c r="N721" t="s">
        <v>29</v>
      </c>
      <c r="O721">
        <v>50</v>
      </c>
      <c r="P721" t="s">
        <v>74</v>
      </c>
      <c r="Q721">
        <v>0.15</v>
      </c>
      <c r="R721">
        <v>42.5</v>
      </c>
      <c r="S721" t="s">
        <v>31</v>
      </c>
      <c r="T721" t="s">
        <v>56</v>
      </c>
      <c r="U721">
        <v>35.3733</v>
      </c>
      <c r="V721">
        <v>-119.0187</v>
      </c>
      <c r="W721" s="2">
        <v>44831</v>
      </c>
      <c r="X721">
        <v>3</v>
      </c>
      <c r="Y721" t="b">
        <v>0</v>
      </c>
      <c r="Z721" s="2">
        <v>45804</v>
      </c>
      <c r="AA721" t="str">
        <f t="shared" si="111"/>
        <v>30–39</v>
      </c>
      <c r="AB721" t="str">
        <f t="shared" si="112"/>
        <v>30–39</v>
      </c>
      <c r="AC721" t="str">
        <f t="shared" si="113"/>
        <v/>
      </c>
      <c r="AD721" t="str">
        <f t="shared" si="114"/>
        <v/>
      </c>
      <c r="AE721" t="str">
        <f t="shared" si="115"/>
        <v>Wednesday</v>
      </c>
      <c r="AF721" t="str">
        <f t="shared" si="116"/>
        <v/>
      </c>
      <c r="AG721" t="str">
        <f t="shared" si="117"/>
        <v/>
      </c>
      <c r="AH721" t="str">
        <f t="shared" si="118"/>
        <v>Saturday</v>
      </c>
      <c r="AI721" t="str">
        <f t="shared" si="119"/>
        <v/>
      </c>
      <c r="AJ721" t="str">
        <f>LEFT(Table1[[#This Row],[membership_type]],2)&amp;TEXT(Table1[[#This Row],[age]],"00")&amp;"-"&amp;TEXT(ROW(),"000")</f>
        <v>Pr32-721</v>
      </c>
      <c r="AK721" t="str">
        <f>LEFT(Table1[[#This Row],[membership_type]],1)&amp;TEXT(MATCH(Table1[[#This Row],[membership_type]],Table1[membership_type],0),"00")</f>
        <v>P01</v>
      </c>
      <c r="AL721" t="str">
        <f>LEFT(Table1[[#This Row],[discount_type]],1)&amp;TEXT(ROUND(Table1[[#This Row],[discount_rate]]*100,0),"00")</f>
        <v>S15</v>
      </c>
      <c r="AM721" t="str" cm="1">
        <f t="array" ref="AM721">TEXT(SUMPRODUCT(CODE(MID(Table1[[#This Row],[home_gym_location]],_xlfn.SEQUENCE(LEN(Table1[[#This Row],[home_gym_location]])),1))),"00000")</f>
        <v>01324</v>
      </c>
      <c r="AN72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21" t="str">
        <f>LEFT(_xlfn.TEXTBEFORE(Table1[[#This Row],[Location Identifier]],"-"),3) &amp; "-" &amp; _xlfn.TEXTAFTER(Table1[[#This Row],[Location Identifier]],"-")</f>
        <v>BAK-002</v>
      </c>
      <c r="AP721" s="9">
        <f t="shared" ca="1" si="110"/>
        <v>45869</v>
      </c>
    </row>
    <row r="722" spans="1:42" x14ac:dyDescent="0.25">
      <c r="A722">
        <v>16</v>
      </c>
      <c r="B722" t="s">
        <v>42</v>
      </c>
      <c r="C722">
        <v>1</v>
      </c>
      <c r="D722" t="s">
        <v>97</v>
      </c>
      <c r="E722" t="b">
        <v>1</v>
      </c>
      <c r="F722" s="1">
        <v>0.83472222222222225</v>
      </c>
      <c r="G722" s="1">
        <v>0.94236111111111109</v>
      </c>
      <c r="H722">
        <v>155</v>
      </c>
      <c r="I722" t="b">
        <v>0</v>
      </c>
      <c r="J722" t="b">
        <v>1</v>
      </c>
      <c r="K722" t="b">
        <v>0</v>
      </c>
      <c r="L722" t="s">
        <v>28</v>
      </c>
      <c r="M722">
        <v>20</v>
      </c>
      <c r="N722" t="s">
        <v>29</v>
      </c>
      <c r="O722">
        <v>20</v>
      </c>
      <c r="P722" t="s">
        <v>30</v>
      </c>
      <c r="Q722">
        <v>0.05</v>
      </c>
      <c r="R722">
        <v>19</v>
      </c>
      <c r="S722" t="s">
        <v>44</v>
      </c>
      <c r="T722" t="s">
        <v>38</v>
      </c>
      <c r="U722">
        <v>36.7378</v>
      </c>
      <c r="V722">
        <v>-119.7871</v>
      </c>
      <c r="W722" s="2">
        <v>45637</v>
      </c>
      <c r="X722">
        <v>7</v>
      </c>
      <c r="Y722" t="b">
        <v>0</v>
      </c>
      <c r="Z722" s="2">
        <v>45850</v>
      </c>
      <c r="AA722" t="str">
        <f t="shared" si="111"/>
        <v>10–19</v>
      </c>
      <c r="AB722" t="str">
        <f t="shared" si="112"/>
        <v>16–19</v>
      </c>
      <c r="AC722" t="str">
        <f t="shared" si="113"/>
        <v>Monday</v>
      </c>
      <c r="AD722" t="str">
        <f t="shared" si="114"/>
        <v/>
      </c>
      <c r="AE722" t="str">
        <f t="shared" si="115"/>
        <v/>
      </c>
      <c r="AF722" t="str">
        <f t="shared" si="116"/>
        <v/>
      </c>
      <c r="AG722" t="str">
        <f t="shared" si="117"/>
        <v/>
      </c>
      <c r="AH722" t="str">
        <f t="shared" si="118"/>
        <v/>
      </c>
      <c r="AI722" t="str">
        <f t="shared" si="119"/>
        <v/>
      </c>
      <c r="AJ722" t="str">
        <f>LEFT(Table1[[#This Row],[membership_type]],2)&amp;TEXT(Table1[[#This Row],[age]],"00")&amp;"-"&amp;TEXT(ROW(),"000")</f>
        <v>Ba16-722</v>
      </c>
      <c r="AK722" t="str">
        <f>LEFT(Table1[[#This Row],[membership_type]],1)&amp;TEXT(MATCH(Table1[[#This Row],[membership_type]],Table1[membership_type],0),"00")</f>
        <v>B04</v>
      </c>
      <c r="AL722" t="str">
        <f>LEFT(Table1[[#This Row],[discount_type]],1)&amp;TEXT(ROUND(Table1[[#This Row],[discount_rate]]*100,0),"00")</f>
        <v>P05</v>
      </c>
      <c r="AM722" t="str" cm="1">
        <f t="array" ref="AM722">TEXT(SUMPRODUCT(CODE(MID(Table1[[#This Row],[home_gym_location]],_xlfn.SEQUENCE(LEN(Table1[[#This Row],[home_gym_location]])),1))),"00000")</f>
        <v>00829</v>
      </c>
      <c r="AN722" t="str">
        <f>UPPER(_xlfn.TEXTBEFORE(Table1[[#This Row],[home_gym_location]],","))&amp;"-"&amp;TEXT(MATCH(Table1[[#This Row],[home_gym_location]],_xlfn._xlws.SORT(_xlfn.UNIQUE(Table1[home_gym_location])),0),"000")</f>
        <v>FRESNO-003</v>
      </c>
      <c r="AO722" t="str">
        <f>LEFT(_xlfn.TEXTBEFORE(Table1[[#This Row],[Location Identifier]],"-"),3) &amp; "-" &amp; _xlfn.TEXTAFTER(Table1[[#This Row],[Location Identifier]],"-")</f>
        <v>FRE-003</v>
      </c>
      <c r="AP722" s="9">
        <f t="shared" ca="1" si="110"/>
        <v>45869</v>
      </c>
    </row>
    <row r="723" spans="1:42" x14ac:dyDescent="0.25">
      <c r="A723">
        <v>34</v>
      </c>
      <c r="B723" t="s">
        <v>33</v>
      </c>
      <c r="C723">
        <v>1</v>
      </c>
      <c r="D723" t="s">
        <v>49</v>
      </c>
      <c r="E723" t="b">
        <v>1</v>
      </c>
      <c r="F723" s="1">
        <v>0.38472222222222224</v>
      </c>
      <c r="G723" s="1">
        <v>0.49444444444444446</v>
      </c>
      <c r="H723">
        <v>158</v>
      </c>
      <c r="I723" t="b">
        <v>0</v>
      </c>
      <c r="J723" t="b">
        <v>1</v>
      </c>
      <c r="K723" t="b">
        <v>0</v>
      </c>
      <c r="L723" t="s">
        <v>28</v>
      </c>
      <c r="M723">
        <v>30</v>
      </c>
      <c r="N723" t="s">
        <v>64</v>
      </c>
      <c r="O723">
        <v>22.5</v>
      </c>
      <c r="P723" t="s">
        <v>36</v>
      </c>
      <c r="Q723">
        <v>0</v>
      </c>
      <c r="R723">
        <v>22.5</v>
      </c>
      <c r="S723" t="s">
        <v>37</v>
      </c>
      <c r="T723" t="s">
        <v>45</v>
      </c>
      <c r="U723">
        <v>33.836599999999997</v>
      </c>
      <c r="V723">
        <v>-117.9143</v>
      </c>
      <c r="W723" s="2">
        <v>45760</v>
      </c>
      <c r="X723">
        <v>3</v>
      </c>
      <c r="Y723" t="b">
        <v>0</v>
      </c>
      <c r="Z723" s="2">
        <v>45857</v>
      </c>
      <c r="AA723" t="str">
        <f t="shared" si="111"/>
        <v>30–39</v>
      </c>
      <c r="AB723" t="str">
        <f t="shared" si="112"/>
        <v>30–39</v>
      </c>
      <c r="AC723" t="str">
        <f t="shared" si="113"/>
        <v/>
      </c>
      <c r="AD723" t="str">
        <f t="shared" si="114"/>
        <v/>
      </c>
      <c r="AE723" t="str">
        <f t="shared" si="115"/>
        <v/>
      </c>
      <c r="AF723" t="str">
        <f t="shared" si="116"/>
        <v/>
      </c>
      <c r="AG723" t="str">
        <f t="shared" si="117"/>
        <v/>
      </c>
      <c r="AH723" t="str">
        <f t="shared" si="118"/>
        <v/>
      </c>
      <c r="AI723" t="str">
        <f t="shared" si="119"/>
        <v>Sunday</v>
      </c>
      <c r="AJ723" t="str">
        <f>LEFT(Table1[[#This Row],[membership_type]],2)&amp;TEXT(Table1[[#This Row],[age]],"00")&amp;"-"&amp;TEXT(ROW(),"000")</f>
        <v>St34-723</v>
      </c>
      <c r="AK723" t="str">
        <f>LEFT(Table1[[#This Row],[membership_type]],1)&amp;TEXT(MATCH(Table1[[#This Row],[membership_type]],Table1[membership_type],0),"00")</f>
        <v>S02</v>
      </c>
      <c r="AL723" t="str">
        <f>LEFT(Table1[[#This Row],[discount_type]],1)&amp;TEXT(ROUND(Table1[[#This Row],[discount_rate]]*100,0),"00")</f>
        <v>N00</v>
      </c>
      <c r="AM723" t="str" cm="1">
        <f t="array" ref="AM723">TEXT(SUMPRODUCT(CODE(MID(Table1[[#This Row],[home_gym_location]],_xlfn.SEQUENCE(LEN(Table1[[#This Row],[home_gym_location]])),1))),"00000")</f>
        <v>00899</v>
      </c>
      <c r="AN723" t="str">
        <f>UPPER(_xlfn.TEXTBEFORE(Table1[[#This Row],[home_gym_location]],","))&amp;"-"&amp;TEXT(MATCH(Table1[[#This Row],[home_gym_location]],_xlfn._xlws.SORT(_xlfn.UNIQUE(Table1[home_gym_location])),0),"000")</f>
        <v>ANAHEIM-001</v>
      </c>
      <c r="AO723" t="str">
        <f>LEFT(_xlfn.TEXTBEFORE(Table1[[#This Row],[Location Identifier]],"-"),3) &amp; "-" &amp; _xlfn.TEXTAFTER(Table1[[#This Row],[Location Identifier]],"-")</f>
        <v>ANA-001</v>
      </c>
      <c r="AP723" s="9">
        <f t="shared" ca="1" si="110"/>
        <v>45869</v>
      </c>
    </row>
    <row r="724" spans="1:42" x14ac:dyDescent="0.25">
      <c r="A724">
        <v>20</v>
      </c>
      <c r="B724" t="s">
        <v>51</v>
      </c>
      <c r="C724">
        <v>2</v>
      </c>
      <c r="D724" t="s">
        <v>116</v>
      </c>
      <c r="E724" t="b">
        <v>1</v>
      </c>
      <c r="F724" s="1">
        <v>0.39305555555555555</v>
      </c>
      <c r="G724" s="1">
        <v>0.44097222222222221</v>
      </c>
      <c r="H724">
        <v>69</v>
      </c>
      <c r="I724" t="b">
        <v>0</v>
      </c>
      <c r="J724" t="b">
        <v>0</v>
      </c>
      <c r="K724" t="b">
        <v>0</v>
      </c>
      <c r="L724" t="s">
        <v>47</v>
      </c>
      <c r="M724">
        <v>70</v>
      </c>
      <c r="N724" t="s">
        <v>29</v>
      </c>
      <c r="O724">
        <v>70</v>
      </c>
      <c r="P724" t="s">
        <v>36</v>
      </c>
      <c r="Q724">
        <v>0</v>
      </c>
      <c r="R724">
        <v>70</v>
      </c>
      <c r="S724" t="s">
        <v>53</v>
      </c>
      <c r="T724" t="s">
        <v>54</v>
      </c>
      <c r="U724">
        <v>32.715699999999998</v>
      </c>
      <c r="V724">
        <v>-117.1611</v>
      </c>
      <c r="W724" s="2">
        <v>45041</v>
      </c>
      <c r="X724">
        <v>0</v>
      </c>
      <c r="Y724" t="b">
        <v>1</v>
      </c>
      <c r="Z724" s="2">
        <v>45816</v>
      </c>
      <c r="AA724" t="str">
        <f t="shared" si="111"/>
        <v>20–29</v>
      </c>
      <c r="AB724" t="str">
        <f t="shared" si="112"/>
        <v>20–29</v>
      </c>
      <c r="AC724" t="str">
        <f t="shared" si="113"/>
        <v/>
      </c>
      <c r="AD724" t="str">
        <f t="shared" si="114"/>
        <v/>
      </c>
      <c r="AE724" t="str">
        <f t="shared" si="115"/>
        <v/>
      </c>
      <c r="AF724" t="str">
        <f t="shared" si="116"/>
        <v>Thursday</v>
      </c>
      <c r="AG724" t="str">
        <f t="shared" si="117"/>
        <v/>
      </c>
      <c r="AH724" t="str">
        <f t="shared" si="118"/>
        <v/>
      </c>
      <c r="AI724" t="str">
        <f t="shared" si="119"/>
        <v>Sunday</v>
      </c>
      <c r="AJ724" t="str">
        <f>LEFT(Table1[[#This Row],[membership_type]],2)&amp;TEXT(Table1[[#This Row],[age]],"00")&amp;"-"&amp;TEXT(ROW(),"000")</f>
        <v>El20-724</v>
      </c>
      <c r="AK724" t="str">
        <f>LEFT(Table1[[#This Row],[membership_type]],1)&amp;TEXT(MATCH(Table1[[#This Row],[membership_type]],Table1[membership_type],0),"00")</f>
        <v>E07</v>
      </c>
      <c r="AL724" t="str">
        <f>LEFT(Table1[[#This Row],[discount_type]],1)&amp;TEXT(ROUND(Table1[[#This Row],[discount_rate]]*100,0),"00")</f>
        <v>N00</v>
      </c>
      <c r="AM724" t="str" cm="1">
        <f t="array" ref="AM724">TEXT(SUMPRODUCT(CODE(MID(Table1[[#This Row],[home_gym_location]],_xlfn.SEQUENCE(LEN(Table1[[#This Row],[home_gym_location]])),1))),"00000")</f>
        <v>01018</v>
      </c>
      <c r="AN72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24" t="str">
        <f>LEFT(_xlfn.TEXTBEFORE(Table1[[#This Row],[Location Identifier]],"-"),3) &amp; "-" &amp; _xlfn.TEXTAFTER(Table1[[#This Row],[Location Identifier]],"-")</f>
        <v>SAN-008</v>
      </c>
      <c r="AP724" s="9">
        <f t="shared" ca="1" si="110"/>
        <v>45869</v>
      </c>
    </row>
    <row r="725" spans="1:42" x14ac:dyDescent="0.25">
      <c r="A725">
        <v>28</v>
      </c>
      <c r="B725" t="s">
        <v>33</v>
      </c>
      <c r="C725">
        <v>3</v>
      </c>
      <c r="D725" t="s">
        <v>57</v>
      </c>
      <c r="E725" t="b">
        <v>0</v>
      </c>
      <c r="F725" s="1">
        <v>0.83263888888888893</v>
      </c>
      <c r="G725" s="1">
        <v>0.86111111111111116</v>
      </c>
      <c r="H725">
        <v>41</v>
      </c>
      <c r="I725" t="b">
        <v>0</v>
      </c>
      <c r="J725" t="b">
        <v>1</v>
      </c>
      <c r="K725" t="b">
        <v>0</v>
      </c>
      <c r="L725" t="s">
        <v>28</v>
      </c>
      <c r="M725">
        <v>30</v>
      </c>
      <c r="N725" t="s">
        <v>64</v>
      </c>
      <c r="O725">
        <v>22.5</v>
      </c>
      <c r="P725" t="s">
        <v>30</v>
      </c>
      <c r="Q725">
        <v>0.05</v>
      </c>
      <c r="R725">
        <v>21.375</v>
      </c>
      <c r="S725" t="s">
        <v>37</v>
      </c>
      <c r="T725" t="s">
        <v>45</v>
      </c>
      <c r="U725">
        <v>33.836599999999997</v>
      </c>
      <c r="V725">
        <v>-117.9143</v>
      </c>
      <c r="W725" s="2">
        <v>45219</v>
      </c>
      <c r="X725">
        <v>3</v>
      </c>
      <c r="Y725" t="b">
        <v>0</v>
      </c>
      <c r="Z725" s="2">
        <v>45826</v>
      </c>
      <c r="AA725" t="str">
        <f t="shared" si="111"/>
        <v>20–29</v>
      </c>
      <c r="AB725" t="str">
        <f t="shared" si="112"/>
        <v>20–29</v>
      </c>
      <c r="AC725" t="str">
        <f t="shared" si="113"/>
        <v/>
      </c>
      <c r="AD725" t="str">
        <f t="shared" si="114"/>
        <v/>
      </c>
      <c r="AE725" t="str">
        <f t="shared" si="115"/>
        <v>Wednesday</v>
      </c>
      <c r="AF725" t="str">
        <f t="shared" si="116"/>
        <v>Thursday</v>
      </c>
      <c r="AG725" t="str">
        <f t="shared" si="117"/>
        <v/>
      </c>
      <c r="AH725" t="str">
        <f t="shared" si="118"/>
        <v>Saturday</v>
      </c>
      <c r="AI725" t="str">
        <f t="shared" si="119"/>
        <v/>
      </c>
      <c r="AJ725" t="str">
        <f>LEFT(Table1[[#This Row],[membership_type]],2)&amp;TEXT(Table1[[#This Row],[age]],"00")&amp;"-"&amp;TEXT(ROW(),"000")</f>
        <v>St28-725</v>
      </c>
      <c r="AK725" t="str">
        <f>LEFT(Table1[[#This Row],[membership_type]],1)&amp;TEXT(MATCH(Table1[[#This Row],[membership_type]],Table1[membership_type],0),"00")</f>
        <v>S02</v>
      </c>
      <c r="AL725" t="str">
        <f>LEFT(Table1[[#This Row],[discount_type]],1)&amp;TEXT(ROUND(Table1[[#This Row],[discount_rate]]*100,0),"00")</f>
        <v>P05</v>
      </c>
      <c r="AM725" t="str" cm="1">
        <f t="array" ref="AM725">TEXT(SUMPRODUCT(CODE(MID(Table1[[#This Row],[home_gym_location]],_xlfn.SEQUENCE(LEN(Table1[[#This Row],[home_gym_location]])),1))),"00000")</f>
        <v>00899</v>
      </c>
      <c r="AN725" t="str">
        <f>UPPER(_xlfn.TEXTBEFORE(Table1[[#This Row],[home_gym_location]],","))&amp;"-"&amp;TEXT(MATCH(Table1[[#This Row],[home_gym_location]],_xlfn._xlws.SORT(_xlfn.UNIQUE(Table1[home_gym_location])),0),"000")</f>
        <v>ANAHEIM-001</v>
      </c>
      <c r="AO725" t="str">
        <f>LEFT(_xlfn.TEXTBEFORE(Table1[[#This Row],[Location Identifier]],"-"),3) &amp; "-" &amp; _xlfn.TEXTAFTER(Table1[[#This Row],[Location Identifier]],"-")</f>
        <v>ANA-001</v>
      </c>
      <c r="AP725" s="9">
        <f t="shared" ca="1" si="110"/>
        <v>45869</v>
      </c>
    </row>
    <row r="726" spans="1:42" x14ac:dyDescent="0.25">
      <c r="A726">
        <v>29</v>
      </c>
      <c r="B726" t="s">
        <v>26</v>
      </c>
      <c r="C726">
        <v>5</v>
      </c>
      <c r="D726" t="s">
        <v>118</v>
      </c>
      <c r="E726" t="b">
        <v>1</v>
      </c>
      <c r="F726" s="1">
        <v>0.40138888888888891</v>
      </c>
      <c r="G726" s="1">
        <v>0.44374999999999998</v>
      </c>
      <c r="H726">
        <v>61</v>
      </c>
      <c r="I726" t="b">
        <v>0</v>
      </c>
      <c r="J726" t="b">
        <v>0</v>
      </c>
      <c r="K726" t="b">
        <v>1</v>
      </c>
      <c r="L726" t="s">
        <v>62</v>
      </c>
      <c r="M726">
        <v>50</v>
      </c>
      <c r="N726" t="s">
        <v>64</v>
      </c>
      <c r="O726">
        <v>37.5</v>
      </c>
      <c r="P726" t="s">
        <v>74</v>
      </c>
      <c r="Q726">
        <v>0.15</v>
      </c>
      <c r="R726">
        <v>31.875</v>
      </c>
      <c r="S726" t="s">
        <v>31</v>
      </c>
      <c r="T726" t="s">
        <v>50</v>
      </c>
      <c r="U726">
        <v>34.052199999999999</v>
      </c>
      <c r="V726">
        <v>-118.2437</v>
      </c>
      <c r="W726" s="2">
        <v>44934</v>
      </c>
      <c r="X726">
        <v>0</v>
      </c>
      <c r="Y726" t="b">
        <v>1</v>
      </c>
      <c r="Z726" s="2">
        <v>45810</v>
      </c>
      <c r="AA726" t="str">
        <f t="shared" si="111"/>
        <v>20–29</v>
      </c>
      <c r="AB726" t="str">
        <f t="shared" si="112"/>
        <v>20–29</v>
      </c>
      <c r="AC726" t="str">
        <f t="shared" si="113"/>
        <v>Monday</v>
      </c>
      <c r="AD726" t="str">
        <f t="shared" si="114"/>
        <v/>
      </c>
      <c r="AE726" t="str">
        <f t="shared" si="115"/>
        <v>Wednesday</v>
      </c>
      <c r="AF726" t="str">
        <f t="shared" si="116"/>
        <v>Thursday</v>
      </c>
      <c r="AG726" t="str">
        <f t="shared" si="117"/>
        <v>Friday</v>
      </c>
      <c r="AH726" t="str">
        <f t="shared" si="118"/>
        <v>Saturday</v>
      </c>
      <c r="AI726" t="str">
        <f t="shared" si="119"/>
        <v/>
      </c>
      <c r="AJ726" t="str">
        <f>LEFT(Table1[[#This Row],[membership_type]],2)&amp;TEXT(Table1[[#This Row],[age]],"00")&amp;"-"&amp;TEXT(ROW(),"000")</f>
        <v>Pr29-726</v>
      </c>
      <c r="AK726" t="str">
        <f>LEFT(Table1[[#This Row],[membership_type]],1)&amp;TEXT(MATCH(Table1[[#This Row],[membership_type]],Table1[membership_type],0),"00")</f>
        <v>P01</v>
      </c>
      <c r="AL726" t="str">
        <f>LEFT(Table1[[#This Row],[discount_type]],1)&amp;TEXT(ROUND(Table1[[#This Row],[discount_rate]]*100,0),"00")</f>
        <v>S15</v>
      </c>
      <c r="AM726" t="str" cm="1">
        <f t="array" ref="AM726">TEXT(SUMPRODUCT(CODE(MID(Table1[[#This Row],[home_gym_location]],_xlfn.SEQUENCE(LEN(Table1[[#This Row],[home_gym_location]])),1))),"00000")</f>
        <v>01245</v>
      </c>
      <c r="AN72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26" t="str">
        <f>LEFT(_xlfn.TEXTBEFORE(Table1[[#This Row],[Location Identifier]],"-"),3) &amp; "-" &amp; _xlfn.TEXTAFTER(Table1[[#This Row],[Location Identifier]],"-")</f>
        <v>LOS-005</v>
      </c>
      <c r="AP726" s="9">
        <f t="shared" ca="1" si="110"/>
        <v>45869</v>
      </c>
    </row>
    <row r="727" spans="1:42" x14ac:dyDescent="0.25">
      <c r="A727">
        <v>38</v>
      </c>
      <c r="B727" t="s">
        <v>42</v>
      </c>
      <c r="C727">
        <v>1</v>
      </c>
      <c r="D727" t="s">
        <v>71</v>
      </c>
      <c r="E727" t="b">
        <v>0</v>
      </c>
      <c r="F727" s="1">
        <v>0.59166666666666667</v>
      </c>
      <c r="G727" s="1">
        <v>0.62430555555555556</v>
      </c>
      <c r="H727">
        <v>47</v>
      </c>
      <c r="I727" t="b">
        <v>0</v>
      </c>
      <c r="J727" t="b">
        <v>0</v>
      </c>
      <c r="K727" t="b">
        <v>0</v>
      </c>
      <c r="L727" t="s">
        <v>47</v>
      </c>
      <c r="M727">
        <v>20</v>
      </c>
      <c r="N727" t="s">
        <v>29</v>
      </c>
      <c r="O727">
        <v>20</v>
      </c>
      <c r="P727" t="s">
        <v>36</v>
      </c>
      <c r="Q727">
        <v>0</v>
      </c>
      <c r="R727">
        <v>20</v>
      </c>
      <c r="S727" t="s">
        <v>44</v>
      </c>
      <c r="T727" t="s">
        <v>48</v>
      </c>
      <c r="U727">
        <v>38.581600000000002</v>
      </c>
      <c r="V727">
        <v>-121.4944</v>
      </c>
      <c r="W727" s="2">
        <v>45682</v>
      </c>
      <c r="X727">
        <v>0</v>
      </c>
      <c r="Y727" t="b">
        <v>0</v>
      </c>
      <c r="Z727" s="2">
        <v>45852</v>
      </c>
      <c r="AA727" t="str">
        <f t="shared" si="111"/>
        <v>30–39</v>
      </c>
      <c r="AB727" t="str">
        <f t="shared" si="112"/>
        <v>30–39</v>
      </c>
      <c r="AC727" t="str">
        <f t="shared" si="113"/>
        <v/>
      </c>
      <c r="AD727" t="str">
        <f t="shared" si="114"/>
        <v>Tuesday</v>
      </c>
      <c r="AE727" t="str">
        <f t="shared" si="115"/>
        <v/>
      </c>
      <c r="AF727" t="str">
        <f t="shared" si="116"/>
        <v/>
      </c>
      <c r="AG727" t="str">
        <f t="shared" si="117"/>
        <v/>
      </c>
      <c r="AH727" t="str">
        <f t="shared" si="118"/>
        <v/>
      </c>
      <c r="AI727" t="str">
        <f t="shared" si="119"/>
        <v/>
      </c>
      <c r="AJ727" t="str">
        <f>LEFT(Table1[[#This Row],[membership_type]],2)&amp;TEXT(Table1[[#This Row],[age]],"00")&amp;"-"&amp;TEXT(ROW(),"000")</f>
        <v>Ba38-727</v>
      </c>
      <c r="AK727" t="str">
        <f>LEFT(Table1[[#This Row],[membership_type]],1)&amp;TEXT(MATCH(Table1[[#This Row],[membership_type]],Table1[membership_type],0),"00")</f>
        <v>B04</v>
      </c>
      <c r="AL727" t="str">
        <f>LEFT(Table1[[#This Row],[discount_type]],1)&amp;TEXT(ROUND(Table1[[#This Row],[discount_rate]]*100,0),"00")</f>
        <v>N00</v>
      </c>
      <c r="AM727" t="str" cm="1">
        <f t="array" ref="AM727">TEXT(SUMPRODUCT(CODE(MID(Table1[[#This Row],[home_gym_location]],_xlfn.SEQUENCE(LEN(Table1[[#This Row],[home_gym_location]])),1))),"00000")</f>
        <v>01245</v>
      </c>
      <c r="AN72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27" t="str">
        <f>LEFT(_xlfn.TEXTBEFORE(Table1[[#This Row],[Location Identifier]],"-"),3) &amp; "-" &amp; _xlfn.TEXTAFTER(Table1[[#This Row],[Location Identifier]],"-")</f>
        <v>SAC-007</v>
      </c>
      <c r="AP727" s="9">
        <f t="shared" ca="1" si="110"/>
        <v>45869</v>
      </c>
    </row>
    <row r="728" spans="1:42" x14ac:dyDescent="0.25">
      <c r="A728">
        <v>22</v>
      </c>
      <c r="B728" t="s">
        <v>33</v>
      </c>
      <c r="C728">
        <v>3</v>
      </c>
      <c r="D728" t="s">
        <v>82</v>
      </c>
      <c r="E728" t="b">
        <v>0</v>
      </c>
      <c r="F728" s="1">
        <v>0.44513888888888886</v>
      </c>
      <c r="G728" s="1">
        <v>0.48472222222222222</v>
      </c>
      <c r="H728">
        <v>57</v>
      </c>
      <c r="I728" t="b">
        <v>1</v>
      </c>
      <c r="J728" t="b">
        <v>1</v>
      </c>
      <c r="K728" t="b">
        <v>1</v>
      </c>
      <c r="L728" t="s">
        <v>62</v>
      </c>
      <c r="M728">
        <v>30</v>
      </c>
      <c r="N728" t="s">
        <v>29</v>
      </c>
      <c r="O728">
        <v>30</v>
      </c>
      <c r="P728" t="s">
        <v>74</v>
      </c>
      <c r="Q728">
        <v>0.15</v>
      </c>
      <c r="R728">
        <v>25.5</v>
      </c>
      <c r="S728" t="s">
        <v>37</v>
      </c>
      <c r="T728" t="s">
        <v>50</v>
      </c>
      <c r="U728">
        <v>34.052199999999999</v>
      </c>
      <c r="V728">
        <v>-118.2437</v>
      </c>
      <c r="W728" s="2">
        <v>44984</v>
      </c>
      <c r="X728">
        <v>2</v>
      </c>
      <c r="Y728" t="b">
        <v>0</v>
      </c>
      <c r="Z728" s="2">
        <v>45813</v>
      </c>
      <c r="AA728" t="str">
        <f t="shared" si="111"/>
        <v>20–29</v>
      </c>
      <c r="AB728" t="str">
        <f t="shared" si="112"/>
        <v>20–29</v>
      </c>
      <c r="AC728" t="str">
        <f t="shared" si="113"/>
        <v/>
      </c>
      <c r="AD728" t="str">
        <f t="shared" si="114"/>
        <v/>
      </c>
      <c r="AE728" t="str">
        <f t="shared" si="115"/>
        <v/>
      </c>
      <c r="AF728" t="str">
        <f t="shared" si="116"/>
        <v/>
      </c>
      <c r="AG728" t="str">
        <f t="shared" si="117"/>
        <v>Friday</v>
      </c>
      <c r="AH728" t="str">
        <f t="shared" si="118"/>
        <v>Saturday</v>
      </c>
      <c r="AI728" t="str">
        <f t="shared" si="119"/>
        <v>Sunday</v>
      </c>
      <c r="AJ728" t="str">
        <f>LEFT(Table1[[#This Row],[membership_type]],2)&amp;TEXT(Table1[[#This Row],[age]],"00")&amp;"-"&amp;TEXT(ROW(),"000")</f>
        <v>St22-728</v>
      </c>
      <c r="AK728" t="str">
        <f>LEFT(Table1[[#This Row],[membership_type]],1)&amp;TEXT(MATCH(Table1[[#This Row],[membership_type]],Table1[membership_type],0),"00")</f>
        <v>S02</v>
      </c>
      <c r="AL728" t="str">
        <f>LEFT(Table1[[#This Row],[discount_type]],1)&amp;TEXT(ROUND(Table1[[#This Row],[discount_rate]]*100,0),"00")</f>
        <v>S15</v>
      </c>
      <c r="AM728" t="str" cm="1">
        <f t="array" ref="AM728">TEXT(SUMPRODUCT(CODE(MID(Table1[[#This Row],[home_gym_location]],_xlfn.SEQUENCE(LEN(Table1[[#This Row],[home_gym_location]])),1))),"00000")</f>
        <v>01245</v>
      </c>
      <c r="AN72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28" t="str">
        <f>LEFT(_xlfn.TEXTBEFORE(Table1[[#This Row],[Location Identifier]],"-"),3) &amp; "-" &amp; _xlfn.TEXTAFTER(Table1[[#This Row],[Location Identifier]],"-")</f>
        <v>LOS-005</v>
      </c>
      <c r="AP728" s="9">
        <f t="shared" ca="1" si="110"/>
        <v>45869</v>
      </c>
    </row>
    <row r="729" spans="1:42" x14ac:dyDescent="0.25">
      <c r="A729">
        <v>26</v>
      </c>
      <c r="B729" t="s">
        <v>33</v>
      </c>
      <c r="C729">
        <v>3</v>
      </c>
      <c r="D729" t="s">
        <v>129</v>
      </c>
      <c r="E729" t="b">
        <v>1</v>
      </c>
      <c r="F729" s="1">
        <v>0.55833333333333335</v>
      </c>
      <c r="G729" s="1">
        <v>0.66180555555555554</v>
      </c>
      <c r="H729">
        <v>149</v>
      </c>
      <c r="I729" t="b">
        <v>1</v>
      </c>
      <c r="J729" t="b">
        <v>1</v>
      </c>
      <c r="K729" t="b">
        <v>0</v>
      </c>
      <c r="L729" t="s">
        <v>62</v>
      </c>
      <c r="M729">
        <v>30</v>
      </c>
      <c r="N729" t="s">
        <v>64</v>
      </c>
      <c r="O729">
        <v>22.5</v>
      </c>
      <c r="P729" t="s">
        <v>40</v>
      </c>
      <c r="Q729">
        <v>0.1</v>
      </c>
      <c r="R729">
        <v>20.25</v>
      </c>
      <c r="S729" t="s">
        <v>37</v>
      </c>
      <c r="T729" t="s">
        <v>50</v>
      </c>
      <c r="U729">
        <v>34.052199999999999</v>
      </c>
      <c r="V729">
        <v>-118.2437</v>
      </c>
      <c r="W729" s="2">
        <v>45616</v>
      </c>
      <c r="X729">
        <v>8</v>
      </c>
      <c r="Y729" t="b">
        <v>1</v>
      </c>
      <c r="Z729" s="2">
        <v>45848</v>
      </c>
      <c r="AA729" t="str">
        <f t="shared" si="111"/>
        <v>20–29</v>
      </c>
      <c r="AB729" t="str">
        <f t="shared" si="112"/>
        <v>20–29</v>
      </c>
      <c r="AC729" t="str">
        <f t="shared" si="113"/>
        <v/>
      </c>
      <c r="AD729" t="str">
        <f t="shared" si="114"/>
        <v>Tuesday</v>
      </c>
      <c r="AE729" t="str">
        <f t="shared" si="115"/>
        <v>Wednesday</v>
      </c>
      <c r="AF729" t="str">
        <f t="shared" si="116"/>
        <v/>
      </c>
      <c r="AG729" t="str">
        <f t="shared" si="117"/>
        <v/>
      </c>
      <c r="AH729" t="str">
        <f t="shared" si="118"/>
        <v/>
      </c>
      <c r="AI729" t="str">
        <f t="shared" si="119"/>
        <v>Sunday</v>
      </c>
      <c r="AJ729" t="str">
        <f>LEFT(Table1[[#This Row],[membership_type]],2)&amp;TEXT(Table1[[#This Row],[age]],"00")&amp;"-"&amp;TEXT(ROW(),"000")</f>
        <v>St26-729</v>
      </c>
      <c r="AK729" t="str">
        <f>LEFT(Table1[[#This Row],[membership_type]],1)&amp;TEXT(MATCH(Table1[[#This Row],[membership_type]],Table1[membership_type],0),"00")</f>
        <v>S02</v>
      </c>
      <c r="AL729" t="str">
        <f>LEFT(Table1[[#This Row],[discount_type]],1)&amp;TEXT(ROUND(Table1[[#This Row],[discount_rate]]*100,0),"00")</f>
        <v>L10</v>
      </c>
      <c r="AM729" t="str" cm="1">
        <f t="array" ref="AM729">TEXT(SUMPRODUCT(CODE(MID(Table1[[#This Row],[home_gym_location]],_xlfn.SEQUENCE(LEN(Table1[[#This Row],[home_gym_location]])),1))),"00000")</f>
        <v>01245</v>
      </c>
      <c r="AN72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29" t="str">
        <f>LEFT(_xlfn.TEXTBEFORE(Table1[[#This Row],[Location Identifier]],"-"),3) &amp; "-" &amp; _xlfn.TEXTAFTER(Table1[[#This Row],[Location Identifier]],"-")</f>
        <v>LOS-005</v>
      </c>
      <c r="AP729" s="9">
        <f t="shared" ca="1" si="110"/>
        <v>45869</v>
      </c>
    </row>
    <row r="730" spans="1:42" x14ac:dyDescent="0.25">
      <c r="A730">
        <v>24</v>
      </c>
      <c r="B730" t="s">
        <v>33</v>
      </c>
      <c r="C730">
        <v>3</v>
      </c>
      <c r="D730" t="s">
        <v>155</v>
      </c>
      <c r="E730" t="b">
        <v>0</v>
      </c>
      <c r="F730" s="1">
        <v>0.3840277777777778</v>
      </c>
      <c r="G730" s="1">
        <v>0.48402777777777778</v>
      </c>
      <c r="H730">
        <v>144</v>
      </c>
      <c r="I730" t="b">
        <v>0</v>
      </c>
      <c r="J730" t="b">
        <v>0</v>
      </c>
      <c r="K730" t="b">
        <v>0</v>
      </c>
      <c r="L730" t="s">
        <v>62</v>
      </c>
      <c r="M730">
        <v>30</v>
      </c>
      <c r="N730" t="s">
        <v>78</v>
      </c>
      <c r="O730">
        <v>27</v>
      </c>
      <c r="P730" t="s">
        <v>40</v>
      </c>
      <c r="Q730">
        <v>0.1</v>
      </c>
      <c r="R730">
        <v>24.3</v>
      </c>
      <c r="S730" t="s">
        <v>37</v>
      </c>
      <c r="T730" t="s">
        <v>59</v>
      </c>
      <c r="U730">
        <v>37.774900000000002</v>
      </c>
      <c r="V730">
        <v>-122.4194</v>
      </c>
      <c r="W730" s="2">
        <v>45656</v>
      </c>
      <c r="X730">
        <v>0</v>
      </c>
      <c r="Y730" t="b">
        <v>0</v>
      </c>
      <c r="Z730" s="2">
        <v>45851</v>
      </c>
      <c r="AA730" t="str">
        <f t="shared" si="111"/>
        <v>20–29</v>
      </c>
      <c r="AB730" t="str">
        <f t="shared" si="112"/>
        <v>20–29</v>
      </c>
      <c r="AC730" t="str">
        <f t="shared" si="113"/>
        <v>Monday</v>
      </c>
      <c r="AD730" t="str">
        <f t="shared" si="114"/>
        <v/>
      </c>
      <c r="AE730" t="str">
        <f t="shared" si="115"/>
        <v>Wednesday</v>
      </c>
      <c r="AF730" t="str">
        <f t="shared" si="116"/>
        <v>Thursday</v>
      </c>
      <c r="AG730" t="str">
        <f t="shared" si="117"/>
        <v/>
      </c>
      <c r="AH730" t="str">
        <f t="shared" si="118"/>
        <v/>
      </c>
      <c r="AI730" t="str">
        <f t="shared" si="119"/>
        <v/>
      </c>
      <c r="AJ730" t="str">
        <f>LEFT(Table1[[#This Row],[membership_type]],2)&amp;TEXT(Table1[[#This Row],[age]],"00")&amp;"-"&amp;TEXT(ROW(),"000")</f>
        <v>St24-730</v>
      </c>
      <c r="AK730" t="str">
        <f>LEFT(Table1[[#This Row],[membership_type]],1)&amp;TEXT(MATCH(Table1[[#This Row],[membership_type]],Table1[membership_type],0),"00")</f>
        <v>S02</v>
      </c>
      <c r="AL730" t="str">
        <f>LEFT(Table1[[#This Row],[discount_type]],1)&amp;TEXT(ROUND(Table1[[#This Row],[discount_rate]]*100,0),"00")</f>
        <v>L10</v>
      </c>
      <c r="AM730" t="str" cm="1">
        <f t="array" ref="AM730">TEXT(SUMPRODUCT(CODE(MID(Table1[[#This Row],[home_gym_location]],_xlfn.SEQUENCE(LEN(Table1[[#This Row],[home_gym_location]])),1))),"00000")</f>
        <v>01450</v>
      </c>
      <c r="AN73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30" t="str">
        <f>LEFT(_xlfn.TEXTBEFORE(Table1[[#This Row],[Location Identifier]],"-"),3) &amp; "-" &amp; _xlfn.TEXTAFTER(Table1[[#This Row],[Location Identifier]],"-")</f>
        <v>SAN-009</v>
      </c>
      <c r="AP730" s="9">
        <f t="shared" ca="1" si="110"/>
        <v>45869</v>
      </c>
    </row>
    <row r="731" spans="1:42" x14ac:dyDescent="0.25">
      <c r="A731">
        <v>17</v>
      </c>
      <c r="B731" t="s">
        <v>33</v>
      </c>
      <c r="C731">
        <v>3</v>
      </c>
      <c r="D731" t="s">
        <v>82</v>
      </c>
      <c r="E731" t="b">
        <v>0</v>
      </c>
      <c r="F731" s="1">
        <v>0.75138888888888888</v>
      </c>
      <c r="G731" s="1">
        <v>0.8256944444444444</v>
      </c>
      <c r="H731">
        <v>107</v>
      </c>
      <c r="I731" t="b">
        <v>0</v>
      </c>
      <c r="J731" t="b">
        <v>0</v>
      </c>
      <c r="K731" t="b">
        <v>1</v>
      </c>
      <c r="L731" t="s">
        <v>62</v>
      </c>
      <c r="M731">
        <v>30</v>
      </c>
      <c r="N731" t="s">
        <v>29</v>
      </c>
      <c r="O731">
        <v>30</v>
      </c>
      <c r="P731" t="s">
        <v>74</v>
      </c>
      <c r="Q731">
        <v>0.15</v>
      </c>
      <c r="R731">
        <v>25.5</v>
      </c>
      <c r="S731" t="s">
        <v>37</v>
      </c>
      <c r="T731" t="s">
        <v>45</v>
      </c>
      <c r="U731">
        <v>33.836599999999997</v>
      </c>
      <c r="V731">
        <v>-117.9143</v>
      </c>
      <c r="W731" s="2">
        <v>45656</v>
      </c>
      <c r="X731">
        <v>0</v>
      </c>
      <c r="Y731" t="b">
        <v>0</v>
      </c>
      <c r="Z731" s="2">
        <v>45851</v>
      </c>
      <c r="AA731" t="str">
        <f t="shared" si="111"/>
        <v>10–19</v>
      </c>
      <c r="AB731" t="str">
        <f t="shared" si="112"/>
        <v>16–19</v>
      </c>
      <c r="AC731" t="str">
        <f t="shared" si="113"/>
        <v/>
      </c>
      <c r="AD731" t="str">
        <f t="shared" si="114"/>
        <v/>
      </c>
      <c r="AE731" t="str">
        <f t="shared" si="115"/>
        <v/>
      </c>
      <c r="AF731" t="str">
        <f t="shared" si="116"/>
        <v/>
      </c>
      <c r="AG731" t="str">
        <f t="shared" si="117"/>
        <v>Friday</v>
      </c>
      <c r="AH731" t="str">
        <f t="shared" si="118"/>
        <v>Saturday</v>
      </c>
      <c r="AI731" t="str">
        <f t="shared" si="119"/>
        <v>Sunday</v>
      </c>
      <c r="AJ731" t="str">
        <f>LEFT(Table1[[#This Row],[membership_type]],2)&amp;TEXT(Table1[[#This Row],[age]],"00")&amp;"-"&amp;TEXT(ROW(),"000")</f>
        <v>St17-731</v>
      </c>
      <c r="AK731" t="str">
        <f>LEFT(Table1[[#This Row],[membership_type]],1)&amp;TEXT(MATCH(Table1[[#This Row],[membership_type]],Table1[membership_type],0),"00")</f>
        <v>S02</v>
      </c>
      <c r="AL731" t="str">
        <f>LEFT(Table1[[#This Row],[discount_type]],1)&amp;TEXT(ROUND(Table1[[#This Row],[discount_rate]]*100,0),"00")</f>
        <v>S15</v>
      </c>
      <c r="AM731" t="str" cm="1">
        <f t="array" ref="AM731">TEXT(SUMPRODUCT(CODE(MID(Table1[[#This Row],[home_gym_location]],_xlfn.SEQUENCE(LEN(Table1[[#This Row],[home_gym_location]])),1))),"00000")</f>
        <v>00899</v>
      </c>
      <c r="AN731" t="str">
        <f>UPPER(_xlfn.TEXTBEFORE(Table1[[#This Row],[home_gym_location]],","))&amp;"-"&amp;TEXT(MATCH(Table1[[#This Row],[home_gym_location]],_xlfn._xlws.SORT(_xlfn.UNIQUE(Table1[home_gym_location])),0),"000")</f>
        <v>ANAHEIM-001</v>
      </c>
      <c r="AO731" t="str">
        <f>LEFT(_xlfn.TEXTBEFORE(Table1[[#This Row],[Location Identifier]],"-"),3) &amp; "-" &amp; _xlfn.TEXTAFTER(Table1[[#This Row],[Location Identifier]],"-")</f>
        <v>ANA-001</v>
      </c>
      <c r="AP731" s="9">
        <f t="shared" ca="1" si="110"/>
        <v>45869</v>
      </c>
    </row>
    <row r="732" spans="1:42" x14ac:dyDescent="0.25">
      <c r="A732">
        <v>15</v>
      </c>
      <c r="B732" t="s">
        <v>26</v>
      </c>
      <c r="C732">
        <v>1</v>
      </c>
      <c r="D732" t="s">
        <v>75</v>
      </c>
      <c r="E732" t="b">
        <v>1</v>
      </c>
      <c r="F732" s="1">
        <v>0.79583333333333328</v>
      </c>
      <c r="G732" s="1">
        <v>0.88680555555555551</v>
      </c>
      <c r="H732">
        <v>131</v>
      </c>
      <c r="I732" t="b">
        <v>1</v>
      </c>
      <c r="J732" t="b">
        <v>1</v>
      </c>
      <c r="K732" t="b">
        <v>0</v>
      </c>
      <c r="L732" t="s">
        <v>58</v>
      </c>
      <c r="M732">
        <v>50</v>
      </c>
      <c r="N732" t="s">
        <v>29</v>
      </c>
      <c r="O732">
        <v>50</v>
      </c>
      <c r="P732" t="s">
        <v>74</v>
      </c>
      <c r="Q732">
        <v>0.15</v>
      </c>
      <c r="R732">
        <v>42.5</v>
      </c>
      <c r="S732" t="s">
        <v>31</v>
      </c>
      <c r="T732" t="s">
        <v>50</v>
      </c>
      <c r="U732">
        <v>34.052199999999999</v>
      </c>
      <c r="V732">
        <v>-118.2437</v>
      </c>
      <c r="W732" s="2">
        <v>44963</v>
      </c>
      <c r="X732">
        <v>6</v>
      </c>
      <c r="Y732" t="b">
        <v>0</v>
      </c>
      <c r="Z732" s="2">
        <v>45812</v>
      </c>
      <c r="AA732" t="str">
        <f t="shared" si="111"/>
        <v>10–19</v>
      </c>
      <c r="AB732" t="str">
        <f t="shared" si="112"/>
        <v>Under 16</v>
      </c>
      <c r="AC732" t="str">
        <f t="shared" si="113"/>
        <v/>
      </c>
      <c r="AD732" t="str">
        <f t="shared" si="114"/>
        <v/>
      </c>
      <c r="AE732" t="str">
        <f t="shared" si="115"/>
        <v/>
      </c>
      <c r="AF732" t="str">
        <f t="shared" si="116"/>
        <v/>
      </c>
      <c r="AG732" t="str">
        <f t="shared" si="117"/>
        <v>Friday</v>
      </c>
      <c r="AH732" t="str">
        <f t="shared" si="118"/>
        <v/>
      </c>
      <c r="AI732" t="str">
        <f t="shared" si="119"/>
        <v/>
      </c>
      <c r="AJ732" t="str">
        <f>LEFT(Table1[[#This Row],[membership_type]],2)&amp;TEXT(Table1[[#This Row],[age]],"00")&amp;"-"&amp;TEXT(ROW(),"000")</f>
        <v>Pr15-732</v>
      </c>
      <c r="AK732" t="str">
        <f>LEFT(Table1[[#This Row],[membership_type]],1)&amp;TEXT(MATCH(Table1[[#This Row],[membership_type]],Table1[membership_type],0),"00")</f>
        <v>P01</v>
      </c>
      <c r="AL732" t="str">
        <f>LEFT(Table1[[#This Row],[discount_type]],1)&amp;TEXT(ROUND(Table1[[#This Row],[discount_rate]]*100,0),"00")</f>
        <v>S15</v>
      </c>
      <c r="AM732" t="str" cm="1">
        <f t="array" ref="AM732">TEXT(SUMPRODUCT(CODE(MID(Table1[[#This Row],[home_gym_location]],_xlfn.SEQUENCE(LEN(Table1[[#This Row],[home_gym_location]])),1))),"00000")</f>
        <v>01245</v>
      </c>
      <c r="AN73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32" t="str">
        <f>LEFT(_xlfn.TEXTBEFORE(Table1[[#This Row],[Location Identifier]],"-"),3) &amp; "-" &amp; _xlfn.TEXTAFTER(Table1[[#This Row],[Location Identifier]],"-")</f>
        <v>LOS-005</v>
      </c>
      <c r="AP732" s="9">
        <f t="shared" ca="1" si="110"/>
        <v>45869</v>
      </c>
    </row>
    <row r="733" spans="1:42" x14ac:dyDescent="0.25">
      <c r="A733">
        <v>22</v>
      </c>
      <c r="B733" t="s">
        <v>26</v>
      </c>
      <c r="C733">
        <v>2</v>
      </c>
      <c r="D733" t="s">
        <v>79</v>
      </c>
      <c r="E733" t="b">
        <v>0</v>
      </c>
      <c r="F733" s="1">
        <v>0.59166666666666667</v>
      </c>
      <c r="G733" s="1">
        <v>0.69652777777777775</v>
      </c>
      <c r="H733">
        <v>151</v>
      </c>
      <c r="I733" t="b">
        <v>1</v>
      </c>
      <c r="J733" t="b">
        <v>1</v>
      </c>
      <c r="K733" t="b">
        <v>1</v>
      </c>
      <c r="L733" t="s">
        <v>35</v>
      </c>
      <c r="M733">
        <v>50</v>
      </c>
      <c r="N733" t="s">
        <v>29</v>
      </c>
      <c r="O733">
        <v>50</v>
      </c>
      <c r="P733" t="s">
        <v>36</v>
      </c>
      <c r="Q733">
        <v>0</v>
      </c>
      <c r="R733">
        <v>50</v>
      </c>
      <c r="S733" t="s">
        <v>31</v>
      </c>
      <c r="T733" t="s">
        <v>50</v>
      </c>
      <c r="U733">
        <v>34.052199999999999</v>
      </c>
      <c r="V733">
        <v>-118.2437</v>
      </c>
      <c r="W733" s="2">
        <v>45122</v>
      </c>
      <c r="X733">
        <v>6</v>
      </c>
      <c r="Y733" t="b">
        <v>1</v>
      </c>
      <c r="Z733" s="2">
        <v>45821</v>
      </c>
      <c r="AA733" t="str">
        <f t="shared" si="111"/>
        <v>20–29</v>
      </c>
      <c r="AB733" t="str">
        <f t="shared" si="112"/>
        <v>20–29</v>
      </c>
      <c r="AC733" t="str">
        <f t="shared" si="113"/>
        <v/>
      </c>
      <c r="AD733" t="str">
        <f t="shared" si="114"/>
        <v/>
      </c>
      <c r="AE733" t="str">
        <f t="shared" si="115"/>
        <v/>
      </c>
      <c r="AF733" t="str">
        <f t="shared" si="116"/>
        <v/>
      </c>
      <c r="AG733" t="str">
        <f t="shared" si="117"/>
        <v>Friday</v>
      </c>
      <c r="AH733" t="str">
        <f t="shared" si="118"/>
        <v>Saturday</v>
      </c>
      <c r="AI733" t="str">
        <f t="shared" si="119"/>
        <v/>
      </c>
      <c r="AJ733" t="str">
        <f>LEFT(Table1[[#This Row],[membership_type]],2)&amp;TEXT(Table1[[#This Row],[age]],"00")&amp;"-"&amp;TEXT(ROW(),"000")</f>
        <v>Pr22-733</v>
      </c>
      <c r="AK733" t="str">
        <f>LEFT(Table1[[#This Row],[membership_type]],1)&amp;TEXT(MATCH(Table1[[#This Row],[membership_type]],Table1[membership_type],0),"00")</f>
        <v>P01</v>
      </c>
      <c r="AL733" t="str">
        <f>LEFT(Table1[[#This Row],[discount_type]],1)&amp;TEXT(ROUND(Table1[[#This Row],[discount_rate]]*100,0),"00")</f>
        <v>N00</v>
      </c>
      <c r="AM733" t="str" cm="1">
        <f t="array" ref="AM733">TEXT(SUMPRODUCT(CODE(MID(Table1[[#This Row],[home_gym_location]],_xlfn.SEQUENCE(LEN(Table1[[#This Row],[home_gym_location]])),1))),"00000")</f>
        <v>01245</v>
      </c>
      <c r="AN73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33" t="str">
        <f>LEFT(_xlfn.TEXTBEFORE(Table1[[#This Row],[Location Identifier]],"-"),3) &amp; "-" &amp; _xlfn.TEXTAFTER(Table1[[#This Row],[Location Identifier]],"-")</f>
        <v>LOS-005</v>
      </c>
      <c r="AP733" s="9">
        <f t="shared" ca="1" si="110"/>
        <v>45869</v>
      </c>
    </row>
    <row r="734" spans="1:42" x14ac:dyDescent="0.25">
      <c r="A734">
        <v>35</v>
      </c>
      <c r="B734" t="s">
        <v>33</v>
      </c>
      <c r="C734">
        <v>1</v>
      </c>
      <c r="D734" t="s">
        <v>71</v>
      </c>
      <c r="E734" t="b">
        <v>0</v>
      </c>
      <c r="F734" s="1">
        <v>0.67986111111111114</v>
      </c>
      <c r="G734" s="1">
        <v>0.80069444444444449</v>
      </c>
      <c r="H734">
        <v>174</v>
      </c>
      <c r="I734" t="b">
        <v>1</v>
      </c>
      <c r="J734" t="b">
        <v>0</v>
      </c>
      <c r="K734" t="b">
        <v>0</v>
      </c>
      <c r="L734" t="s">
        <v>62</v>
      </c>
      <c r="M734">
        <v>30</v>
      </c>
      <c r="N734" t="s">
        <v>29</v>
      </c>
      <c r="O734">
        <v>30</v>
      </c>
      <c r="P734" t="s">
        <v>30</v>
      </c>
      <c r="Q734">
        <v>0.05</v>
      </c>
      <c r="R734">
        <v>28.5</v>
      </c>
      <c r="S734" t="s">
        <v>37</v>
      </c>
      <c r="T734" t="s">
        <v>41</v>
      </c>
      <c r="U734">
        <v>37.804400000000001</v>
      </c>
      <c r="V734">
        <v>-122.27119999999999</v>
      </c>
      <c r="W734" s="2">
        <v>45273</v>
      </c>
      <c r="X734">
        <v>0</v>
      </c>
      <c r="Y734" t="b">
        <v>0</v>
      </c>
      <c r="Z734" s="2">
        <v>45829</v>
      </c>
      <c r="AA734" t="str">
        <f t="shared" si="111"/>
        <v>30–39</v>
      </c>
      <c r="AB734" t="str">
        <f t="shared" si="112"/>
        <v>30–39</v>
      </c>
      <c r="AC734" t="str">
        <f t="shared" si="113"/>
        <v/>
      </c>
      <c r="AD734" t="str">
        <f t="shared" si="114"/>
        <v>Tuesday</v>
      </c>
      <c r="AE734" t="str">
        <f t="shared" si="115"/>
        <v/>
      </c>
      <c r="AF734" t="str">
        <f t="shared" si="116"/>
        <v/>
      </c>
      <c r="AG734" t="str">
        <f t="shared" si="117"/>
        <v/>
      </c>
      <c r="AH734" t="str">
        <f t="shared" si="118"/>
        <v/>
      </c>
      <c r="AI734" t="str">
        <f t="shared" si="119"/>
        <v/>
      </c>
      <c r="AJ734" t="str">
        <f>LEFT(Table1[[#This Row],[membership_type]],2)&amp;TEXT(Table1[[#This Row],[age]],"00")&amp;"-"&amp;TEXT(ROW(),"000")</f>
        <v>St35-734</v>
      </c>
      <c r="AK734" t="str">
        <f>LEFT(Table1[[#This Row],[membership_type]],1)&amp;TEXT(MATCH(Table1[[#This Row],[membership_type]],Table1[membership_type],0),"00")</f>
        <v>S02</v>
      </c>
      <c r="AL734" t="str">
        <f>LEFT(Table1[[#This Row],[discount_type]],1)&amp;TEXT(ROUND(Table1[[#This Row],[discount_rate]]*100,0),"00")</f>
        <v>P05</v>
      </c>
      <c r="AM734" t="str" cm="1">
        <f t="array" ref="AM734">TEXT(SUMPRODUCT(CODE(MID(Table1[[#This Row],[home_gym_location]],_xlfn.SEQUENCE(LEN(Table1[[#This Row],[home_gym_location]])),1))),"00000")</f>
        <v>00906</v>
      </c>
      <c r="AN734" t="str">
        <f>UPPER(_xlfn.TEXTBEFORE(Table1[[#This Row],[home_gym_location]],","))&amp;"-"&amp;TEXT(MATCH(Table1[[#This Row],[home_gym_location]],_xlfn._xlws.SORT(_xlfn.UNIQUE(Table1[home_gym_location])),0),"000")</f>
        <v>OAKLAND-006</v>
      </c>
      <c r="AO734" t="str">
        <f>LEFT(_xlfn.TEXTBEFORE(Table1[[#This Row],[Location Identifier]],"-"),3) &amp; "-" &amp; _xlfn.TEXTAFTER(Table1[[#This Row],[Location Identifier]],"-")</f>
        <v>OAK-006</v>
      </c>
      <c r="AP734" s="9">
        <f t="shared" ca="1" si="110"/>
        <v>45869</v>
      </c>
    </row>
    <row r="735" spans="1:42" x14ac:dyDescent="0.25">
      <c r="A735">
        <v>18</v>
      </c>
      <c r="B735" t="s">
        <v>33</v>
      </c>
      <c r="C735">
        <v>2</v>
      </c>
      <c r="D735" t="s">
        <v>43</v>
      </c>
      <c r="E735" t="b">
        <v>1</v>
      </c>
      <c r="F735" s="1">
        <v>0.43472222222222223</v>
      </c>
      <c r="G735" s="1">
        <v>0.50902777777777775</v>
      </c>
      <c r="H735">
        <v>107</v>
      </c>
      <c r="I735" t="b">
        <v>1</v>
      </c>
      <c r="J735" t="b">
        <v>0</v>
      </c>
      <c r="K735" t="b">
        <v>1</v>
      </c>
      <c r="L735" t="s">
        <v>62</v>
      </c>
      <c r="M735">
        <v>30</v>
      </c>
      <c r="N735" t="s">
        <v>29</v>
      </c>
      <c r="O735">
        <v>30</v>
      </c>
      <c r="P735" t="s">
        <v>40</v>
      </c>
      <c r="Q735">
        <v>0.1</v>
      </c>
      <c r="R735">
        <v>27</v>
      </c>
      <c r="S735" t="s">
        <v>37</v>
      </c>
      <c r="T735" t="s">
        <v>65</v>
      </c>
      <c r="U735">
        <v>33.770099999999999</v>
      </c>
      <c r="V735">
        <v>-118.19370000000001</v>
      </c>
      <c r="W735" s="2">
        <v>45448</v>
      </c>
      <c r="X735">
        <v>0</v>
      </c>
      <c r="Y735" t="b">
        <v>1</v>
      </c>
      <c r="Z735" s="2">
        <v>45839</v>
      </c>
      <c r="AA735" t="str">
        <f t="shared" si="111"/>
        <v>10–19</v>
      </c>
      <c r="AB735" t="str">
        <f t="shared" si="112"/>
        <v>16–19</v>
      </c>
      <c r="AC735" t="str">
        <f t="shared" si="113"/>
        <v>Monday</v>
      </c>
      <c r="AD735" t="str">
        <f t="shared" si="114"/>
        <v>Tuesday</v>
      </c>
      <c r="AE735" t="str">
        <f t="shared" si="115"/>
        <v/>
      </c>
      <c r="AF735" t="str">
        <f t="shared" si="116"/>
        <v/>
      </c>
      <c r="AG735" t="str">
        <f t="shared" si="117"/>
        <v/>
      </c>
      <c r="AH735" t="str">
        <f t="shared" si="118"/>
        <v/>
      </c>
      <c r="AI735" t="str">
        <f t="shared" si="119"/>
        <v/>
      </c>
      <c r="AJ735" t="str">
        <f>LEFT(Table1[[#This Row],[membership_type]],2)&amp;TEXT(Table1[[#This Row],[age]],"00")&amp;"-"&amp;TEXT(ROW(),"000")</f>
        <v>St18-735</v>
      </c>
      <c r="AK735" t="str">
        <f>LEFT(Table1[[#This Row],[membership_type]],1)&amp;TEXT(MATCH(Table1[[#This Row],[membership_type]],Table1[membership_type],0),"00")</f>
        <v>S02</v>
      </c>
      <c r="AL735" t="str">
        <f>LEFT(Table1[[#This Row],[discount_type]],1)&amp;TEXT(ROUND(Table1[[#This Row],[discount_rate]]*100,0),"00")</f>
        <v>L10</v>
      </c>
      <c r="AM735" t="str" cm="1">
        <f t="array" ref="AM735">TEXT(SUMPRODUCT(CODE(MID(Table1[[#This Row],[home_gym_location]],_xlfn.SEQUENCE(LEN(Table1[[#This Row],[home_gym_location]])),1))),"00000")</f>
        <v>01107</v>
      </c>
      <c r="AN73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35" t="str">
        <f>LEFT(_xlfn.TEXTBEFORE(Table1[[#This Row],[Location Identifier]],"-"),3) &amp; "-" &amp; _xlfn.TEXTAFTER(Table1[[#This Row],[Location Identifier]],"-")</f>
        <v>LON-004</v>
      </c>
      <c r="AP735" s="9">
        <f t="shared" ca="1" si="110"/>
        <v>45869</v>
      </c>
    </row>
    <row r="736" spans="1:42" x14ac:dyDescent="0.25">
      <c r="A736">
        <v>46</v>
      </c>
      <c r="B736" t="s">
        <v>26</v>
      </c>
      <c r="C736">
        <v>5</v>
      </c>
      <c r="D736" t="s">
        <v>152</v>
      </c>
      <c r="E736" t="b">
        <v>1</v>
      </c>
      <c r="F736" s="1">
        <v>0.40347222222222223</v>
      </c>
      <c r="G736" s="1">
        <v>0.52638888888888891</v>
      </c>
      <c r="H736">
        <v>177</v>
      </c>
      <c r="I736" t="b">
        <v>1</v>
      </c>
      <c r="J736" t="b">
        <v>1</v>
      </c>
      <c r="K736" t="b">
        <v>1</v>
      </c>
      <c r="L736" t="s">
        <v>47</v>
      </c>
      <c r="M736">
        <v>50</v>
      </c>
      <c r="N736" t="s">
        <v>29</v>
      </c>
      <c r="O736">
        <v>50</v>
      </c>
      <c r="P736" t="s">
        <v>40</v>
      </c>
      <c r="Q736">
        <v>0.1</v>
      </c>
      <c r="R736">
        <v>45</v>
      </c>
      <c r="S736" t="s">
        <v>31</v>
      </c>
      <c r="T736" t="s">
        <v>41</v>
      </c>
      <c r="U736">
        <v>37.804400000000001</v>
      </c>
      <c r="V736">
        <v>-122.27119999999999</v>
      </c>
      <c r="W736" s="2">
        <v>44896</v>
      </c>
      <c r="X736">
        <v>6</v>
      </c>
      <c r="Y736" t="b">
        <v>1</v>
      </c>
      <c r="Z736" s="2">
        <v>45808</v>
      </c>
      <c r="AA736" t="str">
        <f t="shared" si="111"/>
        <v>40–49</v>
      </c>
      <c r="AB736" t="str">
        <f t="shared" si="112"/>
        <v>40–49</v>
      </c>
      <c r="AC736" t="str">
        <f t="shared" si="113"/>
        <v>Monday</v>
      </c>
      <c r="AD736" t="str">
        <f t="shared" si="114"/>
        <v>Tuesday</v>
      </c>
      <c r="AE736" t="str">
        <f t="shared" si="115"/>
        <v>Wednesday</v>
      </c>
      <c r="AF736" t="str">
        <f t="shared" si="116"/>
        <v/>
      </c>
      <c r="AG736" t="str">
        <f t="shared" si="117"/>
        <v>Friday</v>
      </c>
      <c r="AH736" t="str">
        <f t="shared" si="118"/>
        <v>Saturday</v>
      </c>
      <c r="AI736" t="str">
        <f t="shared" si="119"/>
        <v/>
      </c>
      <c r="AJ736" t="str">
        <f>LEFT(Table1[[#This Row],[membership_type]],2)&amp;TEXT(Table1[[#This Row],[age]],"00")&amp;"-"&amp;TEXT(ROW(),"000")</f>
        <v>Pr46-736</v>
      </c>
      <c r="AK736" t="str">
        <f>LEFT(Table1[[#This Row],[membership_type]],1)&amp;TEXT(MATCH(Table1[[#This Row],[membership_type]],Table1[membership_type],0),"00")</f>
        <v>P01</v>
      </c>
      <c r="AL736" t="str">
        <f>LEFT(Table1[[#This Row],[discount_type]],1)&amp;TEXT(ROUND(Table1[[#This Row],[discount_rate]]*100,0),"00")</f>
        <v>L10</v>
      </c>
      <c r="AM736" t="str" cm="1">
        <f t="array" ref="AM736">TEXT(SUMPRODUCT(CODE(MID(Table1[[#This Row],[home_gym_location]],_xlfn.SEQUENCE(LEN(Table1[[#This Row],[home_gym_location]])),1))),"00000")</f>
        <v>00906</v>
      </c>
      <c r="AN736" t="str">
        <f>UPPER(_xlfn.TEXTBEFORE(Table1[[#This Row],[home_gym_location]],","))&amp;"-"&amp;TEXT(MATCH(Table1[[#This Row],[home_gym_location]],_xlfn._xlws.SORT(_xlfn.UNIQUE(Table1[home_gym_location])),0),"000")</f>
        <v>OAKLAND-006</v>
      </c>
      <c r="AO736" t="str">
        <f>LEFT(_xlfn.TEXTBEFORE(Table1[[#This Row],[Location Identifier]],"-"),3) &amp; "-" &amp; _xlfn.TEXTAFTER(Table1[[#This Row],[Location Identifier]],"-")</f>
        <v>OAK-006</v>
      </c>
      <c r="AP736" s="9">
        <f t="shared" ca="1" si="110"/>
        <v>45869</v>
      </c>
    </row>
    <row r="737" spans="1:42" x14ac:dyDescent="0.25">
      <c r="A737">
        <v>44</v>
      </c>
      <c r="B737" t="s">
        <v>26</v>
      </c>
      <c r="C737">
        <v>4</v>
      </c>
      <c r="D737" t="s">
        <v>105</v>
      </c>
      <c r="E737" t="b">
        <v>1</v>
      </c>
      <c r="F737" s="1">
        <v>0.79791666666666672</v>
      </c>
      <c r="G737" s="1">
        <v>0.91319444444444442</v>
      </c>
      <c r="H737">
        <v>166</v>
      </c>
      <c r="I737" t="b">
        <v>1</v>
      </c>
      <c r="J737" t="b">
        <v>0</v>
      </c>
      <c r="K737" t="b">
        <v>1</v>
      </c>
      <c r="L737" t="s">
        <v>62</v>
      </c>
      <c r="M737">
        <v>50</v>
      </c>
      <c r="N737" t="s">
        <v>29</v>
      </c>
      <c r="O737">
        <v>50</v>
      </c>
      <c r="P737" t="s">
        <v>40</v>
      </c>
      <c r="Q737">
        <v>0.1</v>
      </c>
      <c r="R737">
        <v>45</v>
      </c>
      <c r="S737" t="s">
        <v>31</v>
      </c>
      <c r="T737" t="s">
        <v>32</v>
      </c>
      <c r="U737">
        <v>37.338200000000001</v>
      </c>
      <c r="V737">
        <v>-121.88630000000001</v>
      </c>
      <c r="W737" s="2">
        <v>45413</v>
      </c>
      <c r="X737">
        <v>0</v>
      </c>
      <c r="Y737" t="b">
        <v>1</v>
      </c>
      <c r="Z737" s="2">
        <v>45837</v>
      </c>
      <c r="AA737" t="str">
        <f t="shared" si="111"/>
        <v>40–49</v>
      </c>
      <c r="AB737" t="str">
        <f t="shared" si="112"/>
        <v>40–49</v>
      </c>
      <c r="AC737" t="str">
        <f t="shared" si="113"/>
        <v>Monday</v>
      </c>
      <c r="AD737" t="str">
        <f t="shared" si="114"/>
        <v>Tuesday</v>
      </c>
      <c r="AE737" t="str">
        <f t="shared" si="115"/>
        <v>Wednesday</v>
      </c>
      <c r="AF737" t="str">
        <f t="shared" si="116"/>
        <v>Thursday</v>
      </c>
      <c r="AG737" t="str">
        <f t="shared" si="117"/>
        <v/>
      </c>
      <c r="AH737" t="str">
        <f t="shared" si="118"/>
        <v/>
      </c>
      <c r="AI737" t="str">
        <f t="shared" si="119"/>
        <v/>
      </c>
      <c r="AJ737" t="str">
        <f>LEFT(Table1[[#This Row],[membership_type]],2)&amp;TEXT(Table1[[#This Row],[age]],"00")&amp;"-"&amp;TEXT(ROW(),"000")</f>
        <v>Pr44-737</v>
      </c>
      <c r="AK737" t="str">
        <f>LEFT(Table1[[#This Row],[membership_type]],1)&amp;TEXT(MATCH(Table1[[#This Row],[membership_type]],Table1[membership_type],0),"00")</f>
        <v>P01</v>
      </c>
      <c r="AL737" t="str">
        <f>LEFT(Table1[[#This Row],[discount_type]],1)&amp;TEXT(ROUND(Table1[[#This Row],[discount_rate]]*100,0),"00")</f>
        <v>L10</v>
      </c>
      <c r="AM737" t="str" cm="1">
        <f t="array" ref="AM737">TEXT(SUMPRODUCT(CODE(MID(Table1[[#This Row],[home_gym_location]],_xlfn.SEQUENCE(LEN(Table1[[#This Row],[home_gym_location]])),1))),"00000")</f>
        <v>00931</v>
      </c>
      <c r="AN73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37" t="str">
        <f>LEFT(_xlfn.TEXTBEFORE(Table1[[#This Row],[Location Identifier]],"-"),3) &amp; "-" &amp; _xlfn.TEXTAFTER(Table1[[#This Row],[Location Identifier]],"-")</f>
        <v>SAN-010</v>
      </c>
      <c r="AP737" s="9">
        <f t="shared" ca="1" si="110"/>
        <v>45869</v>
      </c>
    </row>
    <row r="738" spans="1:42" x14ac:dyDescent="0.25">
      <c r="A738">
        <v>21</v>
      </c>
      <c r="B738" t="s">
        <v>26</v>
      </c>
      <c r="C738">
        <v>3</v>
      </c>
      <c r="D738" t="s">
        <v>124</v>
      </c>
      <c r="E738" t="b">
        <v>1</v>
      </c>
      <c r="F738" s="1">
        <v>0.84375</v>
      </c>
      <c r="G738" s="1">
        <v>0.9</v>
      </c>
      <c r="H738">
        <v>81</v>
      </c>
      <c r="I738" t="b">
        <v>1</v>
      </c>
      <c r="J738" t="b">
        <v>0</v>
      </c>
      <c r="K738" t="b">
        <v>1</v>
      </c>
      <c r="L738" t="s">
        <v>28</v>
      </c>
      <c r="M738">
        <v>50</v>
      </c>
      <c r="N738" t="s">
        <v>64</v>
      </c>
      <c r="O738">
        <v>37.5</v>
      </c>
      <c r="P738" t="s">
        <v>74</v>
      </c>
      <c r="Q738">
        <v>0.15</v>
      </c>
      <c r="R738">
        <v>31.875</v>
      </c>
      <c r="S738" t="s">
        <v>31</v>
      </c>
      <c r="T738" t="s">
        <v>38</v>
      </c>
      <c r="U738">
        <v>36.7378</v>
      </c>
      <c r="V738">
        <v>-119.7871</v>
      </c>
      <c r="W738" s="2">
        <v>44961</v>
      </c>
      <c r="X738">
        <v>0</v>
      </c>
      <c r="Y738" t="b">
        <v>1</v>
      </c>
      <c r="Z738" s="2">
        <v>45812</v>
      </c>
      <c r="AA738" t="str">
        <f t="shared" si="111"/>
        <v>20–29</v>
      </c>
      <c r="AB738" t="str">
        <f t="shared" si="112"/>
        <v>20–29</v>
      </c>
      <c r="AC738" t="str">
        <f t="shared" si="113"/>
        <v>Monday</v>
      </c>
      <c r="AD738" t="str">
        <f t="shared" si="114"/>
        <v/>
      </c>
      <c r="AE738" t="str">
        <f t="shared" si="115"/>
        <v/>
      </c>
      <c r="AF738" t="str">
        <f t="shared" si="116"/>
        <v>Thursday</v>
      </c>
      <c r="AG738" t="str">
        <f t="shared" si="117"/>
        <v>Friday</v>
      </c>
      <c r="AH738" t="str">
        <f t="shared" si="118"/>
        <v/>
      </c>
      <c r="AI738" t="str">
        <f t="shared" si="119"/>
        <v/>
      </c>
      <c r="AJ738" t="str">
        <f>LEFT(Table1[[#This Row],[membership_type]],2)&amp;TEXT(Table1[[#This Row],[age]],"00")&amp;"-"&amp;TEXT(ROW(),"000")</f>
        <v>Pr21-738</v>
      </c>
      <c r="AK738" t="str">
        <f>LEFT(Table1[[#This Row],[membership_type]],1)&amp;TEXT(MATCH(Table1[[#This Row],[membership_type]],Table1[membership_type],0),"00")</f>
        <v>P01</v>
      </c>
      <c r="AL738" t="str">
        <f>LEFT(Table1[[#This Row],[discount_type]],1)&amp;TEXT(ROUND(Table1[[#This Row],[discount_rate]]*100,0),"00")</f>
        <v>S15</v>
      </c>
      <c r="AM738" t="str" cm="1">
        <f t="array" ref="AM738">TEXT(SUMPRODUCT(CODE(MID(Table1[[#This Row],[home_gym_location]],_xlfn.SEQUENCE(LEN(Table1[[#This Row],[home_gym_location]])),1))),"00000")</f>
        <v>00829</v>
      </c>
      <c r="AN738" t="str">
        <f>UPPER(_xlfn.TEXTBEFORE(Table1[[#This Row],[home_gym_location]],","))&amp;"-"&amp;TEXT(MATCH(Table1[[#This Row],[home_gym_location]],_xlfn._xlws.SORT(_xlfn.UNIQUE(Table1[home_gym_location])),0),"000")</f>
        <v>FRESNO-003</v>
      </c>
      <c r="AO738" t="str">
        <f>LEFT(_xlfn.TEXTBEFORE(Table1[[#This Row],[Location Identifier]],"-"),3) &amp; "-" &amp; _xlfn.TEXTAFTER(Table1[[#This Row],[Location Identifier]],"-")</f>
        <v>FRE-003</v>
      </c>
      <c r="AP738" s="9">
        <f t="shared" ca="1" si="110"/>
        <v>45869</v>
      </c>
    </row>
    <row r="739" spans="1:42" x14ac:dyDescent="0.25">
      <c r="A739">
        <v>17</v>
      </c>
      <c r="B739" t="s">
        <v>51</v>
      </c>
      <c r="C739">
        <v>1</v>
      </c>
      <c r="D739" t="s">
        <v>97</v>
      </c>
      <c r="E739" t="b">
        <v>0</v>
      </c>
      <c r="F739" s="1">
        <v>0.74861111111111112</v>
      </c>
      <c r="G739" s="1">
        <v>0.83611111111111114</v>
      </c>
      <c r="H739">
        <v>126</v>
      </c>
      <c r="I739" t="b">
        <v>0</v>
      </c>
      <c r="J739" t="b">
        <v>1</v>
      </c>
      <c r="K739" t="b">
        <v>0</v>
      </c>
      <c r="L739" t="s">
        <v>47</v>
      </c>
      <c r="M739">
        <v>70</v>
      </c>
      <c r="N739" t="s">
        <v>29</v>
      </c>
      <c r="O739">
        <v>70</v>
      </c>
      <c r="P739" t="s">
        <v>36</v>
      </c>
      <c r="Q739">
        <v>0</v>
      </c>
      <c r="R739">
        <v>70</v>
      </c>
      <c r="S739" t="s">
        <v>53</v>
      </c>
      <c r="T739" t="s">
        <v>32</v>
      </c>
      <c r="U739">
        <v>37.338200000000001</v>
      </c>
      <c r="V739">
        <v>-121.88630000000001</v>
      </c>
      <c r="W739" s="2">
        <v>45363</v>
      </c>
      <c r="X739">
        <v>4</v>
      </c>
      <c r="Y739" t="b">
        <v>1</v>
      </c>
      <c r="Z739" s="2">
        <v>45834</v>
      </c>
      <c r="AA739" t="str">
        <f t="shared" si="111"/>
        <v>10–19</v>
      </c>
      <c r="AB739" t="str">
        <f t="shared" si="112"/>
        <v>16–19</v>
      </c>
      <c r="AC739" t="str">
        <f t="shared" si="113"/>
        <v>Monday</v>
      </c>
      <c r="AD739" t="str">
        <f t="shared" si="114"/>
        <v/>
      </c>
      <c r="AE739" t="str">
        <f t="shared" si="115"/>
        <v/>
      </c>
      <c r="AF739" t="str">
        <f t="shared" si="116"/>
        <v/>
      </c>
      <c r="AG739" t="str">
        <f t="shared" si="117"/>
        <v/>
      </c>
      <c r="AH739" t="str">
        <f t="shared" si="118"/>
        <v/>
      </c>
      <c r="AI739" t="str">
        <f t="shared" si="119"/>
        <v/>
      </c>
      <c r="AJ739" t="str">
        <f>LEFT(Table1[[#This Row],[membership_type]],2)&amp;TEXT(Table1[[#This Row],[age]],"00")&amp;"-"&amp;TEXT(ROW(),"000")</f>
        <v>El17-739</v>
      </c>
      <c r="AK739" t="str">
        <f>LEFT(Table1[[#This Row],[membership_type]],1)&amp;TEXT(MATCH(Table1[[#This Row],[membership_type]],Table1[membership_type],0),"00")</f>
        <v>E07</v>
      </c>
      <c r="AL739" t="str">
        <f>LEFT(Table1[[#This Row],[discount_type]],1)&amp;TEXT(ROUND(Table1[[#This Row],[discount_rate]]*100,0),"00")</f>
        <v>N00</v>
      </c>
      <c r="AM739" t="str" cm="1">
        <f t="array" ref="AM739">TEXT(SUMPRODUCT(CODE(MID(Table1[[#This Row],[home_gym_location]],_xlfn.SEQUENCE(LEN(Table1[[#This Row],[home_gym_location]])),1))),"00000")</f>
        <v>00931</v>
      </c>
      <c r="AN73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39" t="str">
        <f>LEFT(_xlfn.TEXTBEFORE(Table1[[#This Row],[Location Identifier]],"-"),3) &amp; "-" &amp; _xlfn.TEXTAFTER(Table1[[#This Row],[Location Identifier]],"-")</f>
        <v>SAN-010</v>
      </c>
      <c r="AP739" s="9">
        <f t="shared" ca="1" si="110"/>
        <v>45869</v>
      </c>
    </row>
    <row r="740" spans="1:42" x14ac:dyDescent="0.25">
      <c r="A740">
        <v>32</v>
      </c>
      <c r="B740" t="s">
        <v>26</v>
      </c>
      <c r="C740">
        <v>2</v>
      </c>
      <c r="D740" t="s">
        <v>139</v>
      </c>
      <c r="E740" t="b">
        <v>1</v>
      </c>
      <c r="F740" s="1">
        <v>0.71111111111111114</v>
      </c>
      <c r="G740" s="1">
        <v>0.82361111111111107</v>
      </c>
      <c r="H740">
        <v>162</v>
      </c>
      <c r="I740" t="b">
        <v>0</v>
      </c>
      <c r="J740" t="b">
        <v>1</v>
      </c>
      <c r="K740" t="b">
        <v>0</v>
      </c>
      <c r="L740" t="s">
        <v>62</v>
      </c>
      <c r="M740">
        <v>50</v>
      </c>
      <c r="N740" t="s">
        <v>29</v>
      </c>
      <c r="O740">
        <v>50</v>
      </c>
      <c r="P740" t="s">
        <v>74</v>
      </c>
      <c r="Q740">
        <v>0.15</v>
      </c>
      <c r="R740">
        <v>42.5</v>
      </c>
      <c r="S740" t="s">
        <v>31</v>
      </c>
      <c r="T740" t="s">
        <v>56</v>
      </c>
      <c r="U740">
        <v>35.3733</v>
      </c>
      <c r="V740">
        <v>-119.0187</v>
      </c>
      <c r="W740" s="2">
        <v>45429</v>
      </c>
      <c r="X740">
        <v>5</v>
      </c>
      <c r="Y740" t="b">
        <v>1</v>
      </c>
      <c r="Z740" s="2">
        <v>45838</v>
      </c>
      <c r="AA740" t="str">
        <f t="shared" si="111"/>
        <v>30–39</v>
      </c>
      <c r="AB740" t="str">
        <f t="shared" si="112"/>
        <v>30–39</v>
      </c>
      <c r="AC740" t="str">
        <f t="shared" si="113"/>
        <v/>
      </c>
      <c r="AD740" t="str">
        <f t="shared" si="114"/>
        <v/>
      </c>
      <c r="AE740" t="str">
        <f t="shared" si="115"/>
        <v>Wednesday</v>
      </c>
      <c r="AF740" t="str">
        <f t="shared" si="116"/>
        <v/>
      </c>
      <c r="AG740" t="str">
        <f t="shared" si="117"/>
        <v/>
      </c>
      <c r="AH740" t="str">
        <f t="shared" si="118"/>
        <v>Saturday</v>
      </c>
      <c r="AI740" t="str">
        <f t="shared" si="119"/>
        <v/>
      </c>
      <c r="AJ740" t="str">
        <f>LEFT(Table1[[#This Row],[membership_type]],2)&amp;TEXT(Table1[[#This Row],[age]],"00")&amp;"-"&amp;TEXT(ROW(),"000")</f>
        <v>Pr32-740</v>
      </c>
      <c r="AK740" t="str">
        <f>LEFT(Table1[[#This Row],[membership_type]],1)&amp;TEXT(MATCH(Table1[[#This Row],[membership_type]],Table1[membership_type],0),"00")</f>
        <v>P01</v>
      </c>
      <c r="AL740" t="str">
        <f>LEFT(Table1[[#This Row],[discount_type]],1)&amp;TEXT(ROUND(Table1[[#This Row],[discount_rate]]*100,0),"00")</f>
        <v>S15</v>
      </c>
      <c r="AM740" t="str" cm="1">
        <f t="array" ref="AM740">TEXT(SUMPRODUCT(CODE(MID(Table1[[#This Row],[home_gym_location]],_xlfn.SEQUENCE(LEN(Table1[[#This Row],[home_gym_location]])),1))),"00000")</f>
        <v>01324</v>
      </c>
      <c r="AN74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40" t="str">
        <f>LEFT(_xlfn.TEXTBEFORE(Table1[[#This Row],[Location Identifier]],"-"),3) &amp; "-" &amp; _xlfn.TEXTAFTER(Table1[[#This Row],[Location Identifier]],"-")</f>
        <v>BAK-002</v>
      </c>
      <c r="AP740" s="9">
        <f t="shared" ca="1" si="110"/>
        <v>45869</v>
      </c>
    </row>
    <row r="741" spans="1:42" x14ac:dyDescent="0.25">
      <c r="A741">
        <v>39</v>
      </c>
      <c r="B741" t="s">
        <v>33</v>
      </c>
      <c r="C741">
        <v>3</v>
      </c>
      <c r="D741" t="s">
        <v>114</v>
      </c>
      <c r="E741" t="b">
        <v>0</v>
      </c>
      <c r="F741" s="1">
        <v>0.70208333333333328</v>
      </c>
      <c r="G741" s="1">
        <v>0.77500000000000002</v>
      </c>
      <c r="H741">
        <v>105</v>
      </c>
      <c r="I741" t="b">
        <v>0</v>
      </c>
      <c r="J741" t="b">
        <v>0</v>
      </c>
      <c r="K741" t="b">
        <v>1</v>
      </c>
      <c r="L741" t="s">
        <v>62</v>
      </c>
      <c r="M741">
        <v>30</v>
      </c>
      <c r="N741" t="s">
        <v>64</v>
      </c>
      <c r="O741">
        <v>22.5</v>
      </c>
      <c r="P741" t="s">
        <v>36</v>
      </c>
      <c r="Q741">
        <v>0</v>
      </c>
      <c r="R741">
        <v>22.5</v>
      </c>
      <c r="S741" t="s">
        <v>37</v>
      </c>
      <c r="T741" t="s">
        <v>45</v>
      </c>
      <c r="U741">
        <v>33.836599999999997</v>
      </c>
      <c r="V741">
        <v>-117.9143</v>
      </c>
      <c r="W741" s="2">
        <v>45338</v>
      </c>
      <c r="X741">
        <v>0</v>
      </c>
      <c r="Y741" t="b">
        <v>1</v>
      </c>
      <c r="Z741" s="2">
        <v>45833</v>
      </c>
      <c r="AA741" t="str">
        <f t="shared" si="111"/>
        <v>30–39</v>
      </c>
      <c r="AB741" t="str">
        <f t="shared" si="112"/>
        <v>30–39</v>
      </c>
      <c r="AC741" t="str">
        <f t="shared" si="113"/>
        <v>Monday</v>
      </c>
      <c r="AD741" t="str">
        <f t="shared" si="114"/>
        <v>Tuesday</v>
      </c>
      <c r="AE741" t="str">
        <f t="shared" si="115"/>
        <v>Wednesday</v>
      </c>
      <c r="AF741" t="str">
        <f t="shared" si="116"/>
        <v/>
      </c>
      <c r="AG741" t="str">
        <f t="shared" si="117"/>
        <v/>
      </c>
      <c r="AH741" t="str">
        <f t="shared" si="118"/>
        <v/>
      </c>
      <c r="AI741" t="str">
        <f t="shared" si="119"/>
        <v/>
      </c>
      <c r="AJ741" t="str">
        <f>LEFT(Table1[[#This Row],[membership_type]],2)&amp;TEXT(Table1[[#This Row],[age]],"00")&amp;"-"&amp;TEXT(ROW(),"000")</f>
        <v>St39-741</v>
      </c>
      <c r="AK741" t="str">
        <f>LEFT(Table1[[#This Row],[membership_type]],1)&amp;TEXT(MATCH(Table1[[#This Row],[membership_type]],Table1[membership_type],0),"00")</f>
        <v>S02</v>
      </c>
      <c r="AL741" t="str">
        <f>LEFT(Table1[[#This Row],[discount_type]],1)&amp;TEXT(ROUND(Table1[[#This Row],[discount_rate]]*100,0),"00")</f>
        <v>N00</v>
      </c>
      <c r="AM741" t="str" cm="1">
        <f t="array" ref="AM741">TEXT(SUMPRODUCT(CODE(MID(Table1[[#This Row],[home_gym_location]],_xlfn.SEQUENCE(LEN(Table1[[#This Row],[home_gym_location]])),1))),"00000")</f>
        <v>00899</v>
      </c>
      <c r="AN741" t="str">
        <f>UPPER(_xlfn.TEXTBEFORE(Table1[[#This Row],[home_gym_location]],","))&amp;"-"&amp;TEXT(MATCH(Table1[[#This Row],[home_gym_location]],_xlfn._xlws.SORT(_xlfn.UNIQUE(Table1[home_gym_location])),0),"000")</f>
        <v>ANAHEIM-001</v>
      </c>
      <c r="AO741" t="str">
        <f>LEFT(_xlfn.TEXTBEFORE(Table1[[#This Row],[Location Identifier]],"-"),3) &amp; "-" &amp; _xlfn.TEXTAFTER(Table1[[#This Row],[Location Identifier]],"-")</f>
        <v>ANA-001</v>
      </c>
      <c r="AP741" s="9">
        <f t="shared" ca="1" si="110"/>
        <v>45869</v>
      </c>
    </row>
    <row r="742" spans="1:42" x14ac:dyDescent="0.25">
      <c r="A742">
        <v>39</v>
      </c>
      <c r="B742" t="s">
        <v>33</v>
      </c>
      <c r="C742">
        <v>2</v>
      </c>
      <c r="D742" t="s">
        <v>130</v>
      </c>
      <c r="E742" t="b">
        <v>0</v>
      </c>
      <c r="F742" s="1">
        <v>0.74791666666666667</v>
      </c>
      <c r="G742" s="1">
        <v>0.82291666666666663</v>
      </c>
      <c r="H742">
        <v>108</v>
      </c>
      <c r="I742" t="b">
        <v>1</v>
      </c>
      <c r="J742" t="b">
        <v>1</v>
      </c>
      <c r="K742" t="b">
        <v>1</v>
      </c>
      <c r="L742" t="s">
        <v>35</v>
      </c>
      <c r="M742">
        <v>30</v>
      </c>
      <c r="N742" t="s">
        <v>29</v>
      </c>
      <c r="O742">
        <v>30</v>
      </c>
      <c r="P742" t="s">
        <v>36</v>
      </c>
      <c r="Q742">
        <v>0</v>
      </c>
      <c r="R742">
        <v>30</v>
      </c>
      <c r="S742" t="s">
        <v>37</v>
      </c>
      <c r="T742" t="s">
        <v>41</v>
      </c>
      <c r="U742">
        <v>37.804400000000001</v>
      </c>
      <c r="V742">
        <v>-122.27119999999999</v>
      </c>
      <c r="W742" s="2">
        <v>45510</v>
      </c>
      <c r="X742">
        <v>8</v>
      </c>
      <c r="Y742" t="b">
        <v>0</v>
      </c>
      <c r="Z742" s="2">
        <v>45842</v>
      </c>
      <c r="AA742" t="str">
        <f t="shared" si="111"/>
        <v>30–39</v>
      </c>
      <c r="AB742" t="str">
        <f t="shared" si="112"/>
        <v>30–39</v>
      </c>
      <c r="AC742" t="str">
        <f t="shared" si="113"/>
        <v>Monday</v>
      </c>
      <c r="AD742" t="str">
        <f t="shared" si="114"/>
        <v/>
      </c>
      <c r="AE742" t="str">
        <f t="shared" si="115"/>
        <v/>
      </c>
      <c r="AF742" t="str">
        <f t="shared" si="116"/>
        <v>Thursday</v>
      </c>
      <c r="AG742" t="str">
        <f t="shared" si="117"/>
        <v/>
      </c>
      <c r="AH742" t="str">
        <f t="shared" si="118"/>
        <v/>
      </c>
      <c r="AI742" t="str">
        <f t="shared" si="119"/>
        <v/>
      </c>
      <c r="AJ742" t="str">
        <f>LEFT(Table1[[#This Row],[membership_type]],2)&amp;TEXT(Table1[[#This Row],[age]],"00")&amp;"-"&amp;TEXT(ROW(),"000")</f>
        <v>St39-742</v>
      </c>
      <c r="AK742" t="str">
        <f>LEFT(Table1[[#This Row],[membership_type]],1)&amp;TEXT(MATCH(Table1[[#This Row],[membership_type]],Table1[membership_type],0),"00")</f>
        <v>S02</v>
      </c>
      <c r="AL742" t="str">
        <f>LEFT(Table1[[#This Row],[discount_type]],1)&amp;TEXT(ROUND(Table1[[#This Row],[discount_rate]]*100,0),"00")</f>
        <v>N00</v>
      </c>
      <c r="AM742" t="str" cm="1">
        <f t="array" ref="AM742">TEXT(SUMPRODUCT(CODE(MID(Table1[[#This Row],[home_gym_location]],_xlfn.SEQUENCE(LEN(Table1[[#This Row],[home_gym_location]])),1))),"00000")</f>
        <v>00906</v>
      </c>
      <c r="AN742" t="str">
        <f>UPPER(_xlfn.TEXTBEFORE(Table1[[#This Row],[home_gym_location]],","))&amp;"-"&amp;TEXT(MATCH(Table1[[#This Row],[home_gym_location]],_xlfn._xlws.SORT(_xlfn.UNIQUE(Table1[home_gym_location])),0),"000")</f>
        <v>OAKLAND-006</v>
      </c>
      <c r="AO742" t="str">
        <f>LEFT(_xlfn.TEXTBEFORE(Table1[[#This Row],[Location Identifier]],"-"),3) &amp; "-" &amp; _xlfn.TEXTAFTER(Table1[[#This Row],[Location Identifier]],"-")</f>
        <v>OAK-006</v>
      </c>
      <c r="AP742" s="9">
        <f t="shared" ca="1" si="110"/>
        <v>45869</v>
      </c>
    </row>
    <row r="743" spans="1:42" x14ac:dyDescent="0.25">
      <c r="A743">
        <v>19</v>
      </c>
      <c r="B743" t="s">
        <v>26</v>
      </c>
      <c r="C743">
        <v>3</v>
      </c>
      <c r="D743" t="s">
        <v>125</v>
      </c>
      <c r="E743" t="b">
        <v>0</v>
      </c>
      <c r="F743" s="1">
        <v>0.73819444444444449</v>
      </c>
      <c r="G743" s="1">
        <v>0.77361111111111114</v>
      </c>
      <c r="H743">
        <v>51</v>
      </c>
      <c r="I743" t="b">
        <v>0</v>
      </c>
      <c r="J743" t="b">
        <v>1</v>
      </c>
      <c r="K743" t="b">
        <v>1</v>
      </c>
      <c r="L743" t="s">
        <v>62</v>
      </c>
      <c r="M743">
        <v>50</v>
      </c>
      <c r="N743" t="s">
        <v>64</v>
      </c>
      <c r="O743">
        <v>37.5</v>
      </c>
      <c r="P743" t="s">
        <v>30</v>
      </c>
      <c r="Q743">
        <v>0.05</v>
      </c>
      <c r="R743">
        <v>35.625</v>
      </c>
      <c r="S743" t="s">
        <v>31</v>
      </c>
      <c r="T743" t="s">
        <v>32</v>
      </c>
      <c r="U743">
        <v>37.338200000000001</v>
      </c>
      <c r="V743">
        <v>-121.88630000000001</v>
      </c>
      <c r="W743" s="2">
        <v>45034</v>
      </c>
      <c r="X743">
        <v>6</v>
      </c>
      <c r="Y743" t="b">
        <v>0</v>
      </c>
      <c r="Z743" s="2">
        <v>45816</v>
      </c>
      <c r="AA743" t="str">
        <f t="shared" si="111"/>
        <v>10–19</v>
      </c>
      <c r="AB743" t="str">
        <f t="shared" si="112"/>
        <v>16–19</v>
      </c>
      <c r="AC743" t="str">
        <f t="shared" si="113"/>
        <v/>
      </c>
      <c r="AD743" t="str">
        <f t="shared" si="114"/>
        <v/>
      </c>
      <c r="AE743" t="str">
        <f t="shared" si="115"/>
        <v/>
      </c>
      <c r="AF743" t="str">
        <f t="shared" si="116"/>
        <v>Thursday</v>
      </c>
      <c r="AG743" t="str">
        <f t="shared" si="117"/>
        <v/>
      </c>
      <c r="AH743" t="str">
        <f t="shared" si="118"/>
        <v>Saturday</v>
      </c>
      <c r="AI743" t="str">
        <f t="shared" si="119"/>
        <v>Sunday</v>
      </c>
      <c r="AJ743" t="str">
        <f>LEFT(Table1[[#This Row],[membership_type]],2)&amp;TEXT(Table1[[#This Row],[age]],"00")&amp;"-"&amp;TEXT(ROW(),"000")</f>
        <v>Pr19-743</v>
      </c>
      <c r="AK743" t="str">
        <f>LEFT(Table1[[#This Row],[membership_type]],1)&amp;TEXT(MATCH(Table1[[#This Row],[membership_type]],Table1[membership_type],0),"00")</f>
        <v>P01</v>
      </c>
      <c r="AL743" t="str">
        <f>LEFT(Table1[[#This Row],[discount_type]],1)&amp;TEXT(ROUND(Table1[[#This Row],[discount_rate]]*100,0),"00")</f>
        <v>P05</v>
      </c>
      <c r="AM743" t="str" cm="1">
        <f t="array" ref="AM743">TEXT(SUMPRODUCT(CODE(MID(Table1[[#This Row],[home_gym_location]],_xlfn.SEQUENCE(LEN(Table1[[#This Row],[home_gym_location]])),1))),"00000")</f>
        <v>00931</v>
      </c>
      <c r="AN74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43" t="str">
        <f>LEFT(_xlfn.TEXTBEFORE(Table1[[#This Row],[Location Identifier]],"-"),3) &amp; "-" &amp; _xlfn.TEXTAFTER(Table1[[#This Row],[Location Identifier]],"-")</f>
        <v>SAN-010</v>
      </c>
      <c r="AP743" s="9">
        <f t="shared" ca="1" si="110"/>
        <v>45869</v>
      </c>
    </row>
    <row r="744" spans="1:42" x14ac:dyDescent="0.25">
      <c r="A744">
        <v>14</v>
      </c>
      <c r="B744" t="s">
        <v>26</v>
      </c>
      <c r="C744">
        <v>2</v>
      </c>
      <c r="D744" t="s">
        <v>73</v>
      </c>
      <c r="E744" t="b">
        <v>1</v>
      </c>
      <c r="F744" s="1">
        <v>0.57291666666666663</v>
      </c>
      <c r="G744" s="1">
        <v>0.68472222222222223</v>
      </c>
      <c r="H744">
        <v>161</v>
      </c>
      <c r="I744" t="b">
        <v>0</v>
      </c>
      <c r="J744" t="b">
        <v>0</v>
      </c>
      <c r="K744" t="b">
        <v>0</v>
      </c>
      <c r="L744" t="s">
        <v>28</v>
      </c>
      <c r="M744">
        <v>50</v>
      </c>
      <c r="N744" t="s">
        <v>64</v>
      </c>
      <c r="O744">
        <v>37.5</v>
      </c>
      <c r="P744" t="s">
        <v>36</v>
      </c>
      <c r="Q744">
        <v>0</v>
      </c>
      <c r="R744">
        <v>37.5</v>
      </c>
      <c r="S744" t="s">
        <v>31</v>
      </c>
      <c r="T744" t="s">
        <v>48</v>
      </c>
      <c r="U744">
        <v>38.581600000000002</v>
      </c>
      <c r="V744">
        <v>-121.4944</v>
      </c>
      <c r="W744" s="2">
        <v>45295</v>
      </c>
      <c r="X744">
        <v>0</v>
      </c>
      <c r="Y744" t="b">
        <v>1</v>
      </c>
      <c r="Z744" s="2">
        <v>45830</v>
      </c>
      <c r="AA744" t="str">
        <f t="shared" si="111"/>
        <v>10–19</v>
      </c>
      <c r="AB744" t="str">
        <f t="shared" si="112"/>
        <v>Under 16</v>
      </c>
      <c r="AC744" t="str">
        <f t="shared" si="113"/>
        <v/>
      </c>
      <c r="AD744" t="str">
        <f t="shared" si="114"/>
        <v>Tuesday</v>
      </c>
      <c r="AE744" t="str">
        <f t="shared" si="115"/>
        <v/>
      </c>
      <c r="AF744" t="str">
        <f t="shared" si="116"/>
        <v/>
      </c>
      <c r="AG744" t="str">
        <f t="shared" si="117"/>
        <v>Friday</v>
      </c>
      <c r="AH744" t="str">
        <f t="shared" si="118"/>
        <v/>
      </c>
      <c r="AI744" t="str">
        <f t="shared" si="119"/>
        <v/>
      </c>
      <c r="AJ744" t="str">
        <f>LEFT(Table1[[#This Row],[membership_type]],2)&amp;TEXT(Table1[[#This Row],[age]],"00")&amp;"-"&amp;TEXT(ROW(),"000")</f>
        <v>Pr14-744</v>
      </c>
      <c r="AK744" t="str">
        <f>LEFT(Table1[[#This Row],[membership_type]],1)&amp;TEXT(MATCH(Table1[[#This Row],[membership_type]],Table1[membership_type],0),"00")</f>
        <v>P01</v>
      </c>
      <c r="AL744" t="str">
        <f>LEFT(Table1[[#This Row],[discount_type]],1)&amp;TEXT(ROUND(Table1[[#This Row],[discount_rate]]*100,0),"00")</f>
        <v>N00</v>
      </c>
      <c r="AM744" t="str" cm="1">
        <f t="array" ref="AM744">TEXT(SUMPRODUCT(CODE(MID(Table1[[#This Row],[home_gym_location]],_xlfn.SEQUENCE(LEN(Table1[[#This Row],[home_gym_location]])),1))),"00000")</f>
        <v>01245</v>
      </c>
      <c r="AN7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44" t="str">
        <f>LEFT(_xlfn.TEXTBEFORE(Table1[[#This Row],[Location Identifier]],"-"),3) &amp; "-" &amp; _xlfn.TEXTAFTER(Table1[[#This Row],[Location Identifier]],"-")</f>
        <v>SAC-007</v>
      </c>
      <c r="AP744" s="9">
        <f t="shared" ca="1" si="110"/>
        <v>45869</v>
      </c>
    </row>
    <row r="745" spans="1:42" x14ac:dyDescent="0.25">
      <c r="A745">
        <v>33</v>
      </c>
      <c r="B745" t="s">
        <v>33</v>
      </c>
      <c r="C745">
        <v>3</v>
      </c>
      <c r="D745" t="s">
        <v>82</v>
      </c>
      <c r="E745" t="b">
        <v>0</v>
      </c>
      <c r="F745" s="1">
        <v>0.3659722222222222</v>
      </c>
      <c r="G745" s="1">
        <v>0.41111111111111109</v>
      </c>
      <c r="H745">
        <v>65</v>
      </c>
      <c r="I745" t="b">
        <v>0</v>
      </c>
      <c r="J745" t="b">
        <v>0</v>
      </c>
      <c r="K745" t="b">
        <v>1</v>
      </c>
      <c r="L745" t="s">
        <v>47</v>
      </c>
      <c r="M745">
        <v>30</v>
      </c>
      <c r="N745" t="s">
        <v>29</v>
      </c>
      <c r="O745">
        <v>30</v>
      </c>
      <c r="P745" t="s">
        <v>30</v>
      </c>
      <c r="Q745">
        <v>0.05</v>
      </c>
      <c r="R745">
        <v>28.5</v>
      </c>
      <c r="S745" t="s">
        <v>37</v>
      </c>
      <c r="T745" t="s">
        <v>38</v>
      </c>
      <c r="U745">
        <v>36.7378</v>
      </c>
      <c r="V745">
        <v>-119.7871</v>
      </c>
      <c r="W745" s="2">
        <v>45583</v>
      </c>
      <c r="X745">
        <v>0</v>
      </c>
      <c r="Y745" t="b">
        <v>0</v>
      </c>
      <c r="Z745" s="2">
        <v>45847</v>
      </c>
      <c r="AA745" t="str">
        <f t="shared" si="111"/>
        <v>30–39</v>
      </c>
      <c r="AB745" t="str">
        <f t="shared" si="112"/>
        <v>30–39</v>
      </c>
      <c r="AC745" t="str">
        <f t="shared" si="113"/>
        <v/>
      </c>
      <c r="AD745" t="str">
        <f t="shared" si="114"/>
        <v/>
      </c>
      <c r="AE745" t="str">
        <f t="shared" si="115"/>
        <v/>
      </c>
      <c r="AF745" t="str">
        <f t="shared" si="116"/>
        <v/>
      </c>
      <c r="AG745" t="str">
        <f t="shared" si="117"/>
        <v>Friday</v>
      </c>
      <c r="AH745" t="str">
        <f t="shared" si="118"/>
        <v>Saturday</v>
      </c>
      <c r="AI745" t="str">
        <f t="shared" si="119"/>
        <v>Sunday</v>
      </c>
      <c r="AJ745" t="str">
        <f>LEFT(Table1[[#This Row],[membership_type]],2)&amp;TEXT(Table1[[#This Row],[age]],"00")&amp;"-"&amp;TEXT(ROW(),"000")</f>
        <v>St33-745</v>
      </c>
      <c r="AK745" t="str">
        <f>LEFT(Table1[[#This Row],[membership_type]],1)&amp;TEXT(MATCH(Table1[[#This Row],[membership_type]],Table1[membership_type],0),"00")</f>
        <v>S02</v>
      </c>
      <c r="AL745" t="str">
        <f>LEFT(Table1[[#This Row],[discount_type]],1)&amp;TEXT(ROUND(Table1[[#This Row],[discount_rate]]*100,0),"00")</f>
        <v>P05</v>
      </c>
      <c r="AM745" t="str" cm="1">
        <f t="array" ref="AM745">TEXT(SUMPRODUCT(CODE(MID(Table1[[#This Row],[home_gym_location]],_xlfn.SEQUENCE(LEN(Table1[[#This Row],[home_gym_location]])),1))),"00000")</f>
        <v>00829</v>
      </c>
      <c r="AN745" t="str">
        <f>UPPER(_xlfn.TEXTBEFORE(Table1[[#This Row],[home_gym_location]],","))&amp;"-"&amp;TEXT(MATCH(Table1[[#This Row],[home_gym_location]],_xlfn._xlws.SORT(_xlfn.UNIQUE(Table1[home_gym_location])),0),"000")</f>
        <v>FRESNO-003</v>
      </c>
      <c r="AO745" t="str">
        <f>LEFT(_xlfn.TEXTBEFORE(Table1[[#This Row],[Location Identifier]],"-"),3) &amp; "-" &amp; _xlfn.TEXTAFTER(Table1[[#This Row],[Location Identifier]],"-")</f>
        <v>FRE-003</v>
      </c>
      <c r="AP745" s="9">
        <f t="shared" ca="1" si="110"/>
        <v>45869</v>
      </c>
    </row>
    <row r="746" spans="1:42" x14ac:dyDescent="0.25">
      <c r="A746">
        <v>14</v>
      </c>
      <c r="B746" t="s">
        <v>26</v>
      </c>
      <c r="C746">
        <v>5</v>
      </c>
      <c r="D746" t="s">
        <v>150</v>
      </c>
      <c r="E746" t="b">
        <v>1</v>
      </c>
      <c r="F746" s="1">
        <v>0.84930555555555554</v>
      </c>
      <c r="G746" s="1">
        <v>0.89583333333333337</v>
      </c>
      <c r="H746">
        <v>67</v>
      </c>
      <c r="I746" t="b">
        <v>1</v>
      </c>
      <c r="J746" t="b">
        <v>1</v>
      </c>
      <c r="K746" t="b">
        <v>1</v>
      </c>
      <c r="L746" t="s">
        <v>28</v>
      </c>
      <c r="M746">
        <v>50</v>
      </c>
      <c r="N746" t="s">
        <v>64</v>
      </c>
      <c r="O746">
        <v>37.5</v>
      </c>
      <c r="P746" t="s">
        <v>36</v>
      </c>
      <c r="Q746">
        <v>0</v>
      </c>
      <c r="R746">
        <v>37.5</v>
      </c>
      <c r="S746" t="s">
        <v>31</v>
      </c>
      <c r="T746" t="s">
        <v>41</v>
      </c>
      <c r="U746">
        <v>37.804400000000001</v>
      </c>
      <c r="V746">
        <v>-122.27119999999999</v>
      </c>
      <c r="W746" s="2">
        <v>44872</v>
      </c>
      <c r="X746">
        <v>3</v>
      </c>
      <c r="Y746" t="b">
        <v>1</v>
      </c>
      <c r="Z746" s="2">
        <v>45807</v>
      </c>
      <c r="AA746" t="str">
        <f t="shared" si="111"/>
        <v>10–19</v>
      </c>
      <c r="AB746" t="str">
        <f t="shared" si="112"/>
        <v>Under 16</v>
      </c>
      <c r="AC746" t="str">
        <f t="shared" si="113"/>
        <v/>
      </c>
      <c r="AD746" t="str">
        <f t="shared" si="114"/>
        <v>Tuesday</v>
      </c>
      <c r="AE746" t="str">
        <f t="shared" si="115"/>
        <v/>
      </c>
      <c r="AF746" t="str">
        <f t="shared" si="116"/>
        <v>Thursday</v>
      </c>
      <c r="AG746" t="str">
        <f t="shared" si="117"/>
        <v>Friday</v>
      </c>
      <c r="AH746" t="str">
        <f t="shared" si="118"/>
        <v>Saturday</v>
      </c>
      <c r="AI746" t="str">
        <f t="shared" si="119"/>
        <v>Sunday</v>
      </c>
      <c r="AJ746" t="str">
        <f>LEFT(Table1[[#This Row],[membership_type]],2)&amp;TEXT(Table1[[#This Row],[age]],"00")&amp;"-"&amp;TEXT(ROW(),"000")</f>
        <v>Pr14-746</v>
      </c>
      <c r="AK746" t="str">
        <f>LEFT(Table1[[#This Row],[membership_type]],1)&amp;TEXT(MATCH(Table1[[#This Row],[membership_type]],Table1[membership_type],0),"00")</f>
        <v>P01</v>
      </c>
      <c r="AL746" t="str">
        <f>LEFT(Table1[[#This Row],[discount_type]],1)&amp;TEXT(ROUND(Table1[[#This Row],[discount_rate]]*100,0),"00")</f>
        <v>N00</v>
      </c>
      <c r="AM746" t="str" cm="1">
        <f t="array" ref="AM746">TEXT(SUMPRODUCT(CODE(MID(Table1[[#This Row],[home_gym_location]],_xlfn.SEQUENCE(LEN(Table1[[#This Row],[home_gym_location]])),1))),"00000")</f>
        <v>00906</v>
      </c>
      <c r="AN746" t="str">
        <f>UPPER(_xlfn.TEXTBEFORE(Table1[[#This Row],[home_gym_location]],","))&amp;"-"&amp;TEXT(MATCH(Table1[[#This Row],[home_gym_location]],_xlfn._xlws.SORT(_xlfn.UNIQUE(Table1[home_gym_location])),0),"000")</f>
        <v>OAKLAND-006</v>
      </c>
      <c r="AO746" t="str">
        <f>LEFT(_xlfn.TEXTBEFORE(Table1[[#This Row],[Location Identifier]],"-"),3) &amp; "-" &amp; _xlfn.TEXTAFTER(Table1[[#This Row],[Location Identifier]],"-")</f>
        <v>OAK-006</v>
      </c>
      <c r="AP746" s="9">
        <f t="shared" ca="1" si="110"/>
        <v>45869</v>
      </c>
    </row>
    <row r="747" spans="1:42" x14ac:dyDescent="0.25">
      <c r="A747">
        <v>17</v>
      </c>
      <c r="B747" t="s">
        <v>33</v>
      </c>
      <c r="C747">
        <v>1</v>
      </c>
      <c r="D747" t="s">
        <v>63</v>
      </c>
      <c r="E747" t="b">
        <v>0</v>
      </c>
      <c r="F747" s="1">
        <v>0.4375</v>
      </c>
      <c r="G747" s="1">
        <v>0.56041666666666667</v>
      </c>
      <c r="H747">
        <v>177</v>
      </c>
      <c r="I747" t="b">
        <v>1</v>
      </c>
      <c r="J747" t="b">
        <v>1</v>
      </c>
      <c r="K747" t="b">
        <v>1</v>
      </c>
      <c r="L747" t="s">
        <v>28</v>
      </c>
      <c r="M747">
        <v>30</v>
      </c>
      <c r="N747" t="s">
        <v>29</v>
      </c>
      <c r="O747">
        <v>30</v>
      </c>
      <c r="P747" t="s">
        <v>74</v>
      </c>
      <c r="Q747">
        <v>0.15</v>
      </c>
      <c r="R747">
        <v>25.5</v>
      </c>
      <c r="S747" t="s">
        <v>37</v>
      </c>
      <c r="T747" t="s">
        <v>65</v>
      </c>
      <c r="U747">
        <v>33.770099999999999</v>
      </c>
      <c r="V747">
        <v>-118.19370000000001</v>
      </c>
      <c r="W747" s="2">
        <v>45422</v>
      </c>
      <c r="X747">
        <v>3</v>
      </c>
      <c r="Y747" t="b">
        <v>1</v>
      </c>
      <c r="Z747" s="2">
        <v>45837</v>
      </c>
      <c r="AA747" t="str">
        <f t="shared" si="111"/>
        <v>10–19</v>
      </c>
      <c r="AB747" t="str">
        <f t="shared" si="112"/>
        <v>16–19</v>
      </c>
      <c r="AC747" t="str">
        <f t="shared" si="113"/>
        <v/>
      </c>
      <c r="AD747" t="str">
        <f t="shared" si="114"/>
        <v/>
      </c>
      <c r="AE747" t="str">
        <f t="shared" si="115"/>
        <v>Wednesday</v>
      </c>
      <c r="AF747" t="str">
        <f t="shared" si="116"/>
        <v/>
      </c>
      <c r="AG747" t="str">
        <f t="shared" si="117"/>
        <v/>
      </c>
      <c r="AH747" t="str">
        <f t="shared" si="118"/>
        <v/>
      </c>
      <c r="AI747" t="str">
        <f t="shared" si="119"/>
        <v/>
      </c>
      <c r="AJ747" t="str">
        <f>LEFT(Table1[[#This Row],[membership_type]],2)&amp;TEXT(Table1[[#This Row],[age]],"00")&amp;"-"&amp;TEXT(ROW(),"000")</f>
        <v>St17-747</v>
      </c>
      <c r="AK747" t="str">
        <f>LEFT(Table1[[#This Row],[membership_type]],1)&amp;TEXT(MATCH(Table1[[#This Row],[membership_type]],Table1[membership_type],0),"00")</f>
        <v>S02</v>
      </c>
      <c r="AL747" t="str">
        <f>LEFT(Table1[[#This Row],[discount_type]],1)&amp;TEXT(ROUND(Table1[[#This Row],[discount_rate]]*100,0),"00")</f>
        <v>S15</v>
      </c>
      <c r="AM747" t="str" cm="1">
        <f t="array" ref="AM747">TEXT(SUMPRODUCT(CODE(MID(Table1[[#This Row],[home_gym_location]],_xlfn.SEQUENCE(LEN(Table1[[#This Row],[home_gym_location]])),1))),"00000")</f>
        <v>01107</v>
      </c>
      <c r="AN74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47" t="str">
        <f>LEFT(_xlfn.TEXTBEFORE(Table1[[#This Row],[Location Identifier]],"-"),3) &amp; "-" &amp; _xlfn.TEXTAFTER(Table1[[#This Row],[Location Identifier]],"-")</f>
        <v>LON-004</v>
      </c>
      <c r="AP747" s="9">
        <f t="shared" ca="1" si="110"/>
        <v>45869</v>
      </c>
    </row>
    <row r="748" spans="1:42" x14ac:dyDescent="0.25">
      <c r="A748">
        <v>35</v>
      </c>
      <c r="B748" t="s">
        <v>33</v>
      </c>
      <c r="C748">
        <v>2</v>
      </c>
      <c r="D748" t="s">
        <v>126</v>
      </c>
      <c r="E748" t="b">
        <v>0</v>
      </c>
      <c r="F748" s="1">
        <v>0.77916666666666667</v>
      </c>
      <c r="G748" s="1">
        <v>0.90347222222222223</v>
      </c>
      <c r="H748">
        <v>179</v>
      </c>
      <c r="I748" t="b">
        <v>0</v>
      </c>
      <c r="J748" t="b">
        <v>1</v>
      </c>
      <c r="K748" t="b">
        <v>1</v>
      </c>
      <c r="L748" t="s">
        <v>28</v>
      </c>
      <c r="M748">
        <v>30</v>
      </c>
      <c r="N748" t="s">
        <v>29</v>
      </c>
      <c r="O748">
        <v>30</v>
      </c>
      <c r="P748" t="s">
        <v>36</v>
      </c>
      <c r="Q748">
        <v>0</v>
      </c>
      <c r="R748">
        <v>30</v>
      </c>
      <c r="S748" t="s">
        <v>37</v>
      </c>
      <c r="T748" t="s">
        <v>48</v>
      </c>
      <c r="U748">
        <v>38.581600000000002</v>
      </c>
      <c r="V748">
        <v>-121.4944</v>
      </c>
      <c r="W748" s="2">
        <v>45252</v>
      </c>
      <c r="X748">
        <v>6</v>
      </c>
      <c r="Y748" t="b">
        <v>0</v>
      </c>
      <c r="Z748" s="2">
        <v>45828</v>
      </c>
      <c r="AA748" t="str">
        <f t="shared" si="111"/>
        <v>30–39</v>
      </c>
      <c r="AB748" t="str">
        <f t="shared" si="112"/>
        <v>30–39</v>
      </c>
      <c r="AC748" t="str">
        <f t="shared" si="113"/>
        <v/>
      </c>
      <c r="AD748" t="str">
        <f t="shared" si="114"/>
        <v>Tuesday</v>
      </c>
      <c r="AE748" t="str">
        <f t="shared" si="115"/>
        <v>Wednesday</v>
      </c>
      <c r="AF748" t="str">
        <f t="shared" si="116"/>
        <v/>
      </c>
      <c r="AG748" t="str">
        <f t="shared" si="117"/>
        <v/>
      </c>
      <c r="AH748" t="str">
        <f t="shared" si="118"/>
        <v/>
      </c>
      <c r="AI748" t="str">
        <f t="shared" si="119"/>
        <v/>
      </c>
      <c r="AJ748" t="str">
        <f>LEFT(Table1[[#This Row],[membership_type]],2)&amp;TEXT(Table1[[#This Row],[age]],"00")&amp;"-"&amp;TEXT(ROW(),"000")</f>
        <v>St35-748</v>
      </c>
      <c r="AK748" t="str">
        <f>LEFT(Table1[[#This Row],[membership_type]],1)&amp;TEXT(MATCH(Table1[[#This Row],[membership_type]],Table1[membership_type],0),"00")</f>
        <v>S02</v>
      </c>
      <c r="AL748" t="str">
        <f>LEFT(Table1[[#This Row],[discount_type]],1)&amp;TEXT(ROUND(Table1[[#This Row],[discount_rate]]*100,0),"00")</f>
        <v>N00</v>
      </c>
      <c r="AM748" t="str" cm="1">
        <f t="array" ref="AM748">TEXT(SUMPRODUCT(CODE(MID(Table1[[#This Row],[home_gym_location]],_xlfn.SEQUENCE(LEN(Table1[[#This Row],[home_gym_location]])),1))),"00000")</f>
        <v>01245</v>
      </c>
      <c r="AN74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48" t="str">
        <f>LEFT(_xlfn.TEXTBEFORE(Table1[[#This Row],[Location Identifier]],"-"),3) &amp; "-" &amp; _xlfn.TEXTAFTER(Table1[[#This Row],[Location Identifier]],"-")</f>
        <v>SAC-007</v>
      </c>
      <c r="AP748" s="9">
        <f t="shared" ca="1" si="110"/>
        <v>45869</v>
      </c>
    </row>
    <row r="749" spans="1:42" x14ac:dyDescent="0.25">
      <c r="A749">
        <v>14</v>
      </c>
      <c r="B749" t="s">
        <v>42</v>
      </c>
      <c r="C749">
        <v>2</v>
      </c>
      <c r="D749" t="s">
        <v>94</v>
      </c>
      <c r="E749" t="b">
        <v>0</v>
      </c>
      <c r="F749" s="1">
        <v>0.42291666666666666</v>
      </c>
      <c r="G749" s="1">
        <v>0.46875</v>
      </c>
      <c r="H749">
        <v>66</v>
      </c>
      <c r="I749" t="b">
        <v>0</v>
      </c>
      <c r="J749" t="b">
        <v>1</v>
      </c>
      <c r="K749" t="b">
        <v>1</v>
      </c>
      <c r="L749" t="s">
        <v>62</v>
      </c>
      <c r="M749">
        <v>20</v>
      </c>
      <c r="N749" t="s">
        <v>29</v>
      </c>
      <c r="O749">
        <v>20</v>
      </c>
      <c r="P749" t="s">
        <v>36</v>
      </c>
      <c r="Q749">
        <v>0</v>
      </c>
      <c r="R749">
        <v>20</v>
      </c>
      <c r="S749" t="s">
        <v>44</v>
      </c>
      <c r="T749" t="s">
        <v>59</v>
      </c>
      <c r="U749">
        <v>37.774900000000002</v>
      </c>
      <c r="V749">
        <v>-122.4194</v>
      </c>
      <c r="W749" s="2">
        <v>44865</v>
      </c>
      <c r="X749">
        <v>7</v>
      </c>
      <c r="Y749" t="b">
        <v>1</v>
      </c>
      <c r="Z749" s="2">
        <v>45806</v>
      </c>
      <c r="AA749" t="str">
        <f t="shared" si="111"/>
        <v>10–19</v>
      </c>
      <c r="AB749" t="str">
        <f t="shared" si="112"/>
        <v>Under 16</v>
      </c>
      <c r="AC749" t="str">
        <f t="shared" si="113"/>
        <v/>
      </c>
      <c r="AD749" t="str">
        <f t="shared" si="114"/>
        <v/>
      </c>
      <c r="AE749" t="str">
        <f t="shared" si="115"/>
        <v/>
      </c>
      <c r="AF749" t="str">
        <f t="shared" si="116"/>
        <v/>
      </c>
      <c r="AG749" t="str">
        <f t="shared" si="117"/>
        <v/>
      </c>
      <c r="AH749" t="str">
        <f t="shared" si="118"/>
        <v>Saturday</v>
      </c>
      <c r="AI749" t="str">
        <f t="shared" si="119"/>
        <v>Sunday</v>
      </c>
      <c r="AJ749" t="str">
        <f>LEFT(Table1[[#This Row],[membership_type]],2)&amp;TEXT(Table1[[#This Row],[age]],"00")&amp;"-"&amp;TEXT(ROW(),"000")</f>
        <v>Ba14-749</v>
      </c>
      <c r="AK749" t="str">
        <f>LEFT(Table1[[#This Row],[membership_type]],1)&amp;TEXT(MATCH(Table1[[#This Row],[membership_type]],Table1[membership_type],0),"00")</f>
        <v>B04</v>
      </c>
      <c r="AL749" t="str">
        <f>LEFT(Table1[[#This Row],[discount_type]],1)&amp;TEXT(ROUND(Table1[[#This Row],[discount_rate]]*100,0),"00")</f>
        <v>N00</v>
      </c>
      <c r="AM749" t="str" cm="1">
        <f t="array" ref="AM749">TEXT(SUMPRODUCT(CODE(MID(Table1[[#This Row],[home_gym_location]],_xlfn.SEQUENCE(LEN(Table1[[#This Row],[home_gym_location]])),1))),"00000")</f>
        <v>01450</v>
      </c>
      <c r="AN74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49" t="str">
        <f>LEFT(_xlfn.TEXTBEFORE(Table1[[#This Row],[Location Identifier]],"-"),3) &amp; "-" &amp; _xlfn.TEXTAFTER(Table1[[#This Row],[Location Identifier]],"-")</f>
        <v>SAN-009</v>
      </c>
      <c r="AP749" s="9">
        <f t="shared" ca="1" si="110"/>
        <v>45869</v>
      </c>
    </row>
    <row r="750" spans="1:42" x14ac:dyDescent="0.25">
      <c r="A750">
        <v>26</v>
      </c>
      <c r="B750" t="s">
        <v>42</v>
      </c>
      <c r="C750">
        <v>5</v>
      </c>
      <c r="D750" t="s">
        <v>66</v>
      </c>
      <c r="E750" t="b">
        <v>0</v>
      </c>
      <c r="F750" s="1">
        <v>0.75069444444444444</v>
      </c>
      <c r="G750" s="1">
        <v>0.77986111111111112</v>
      </c>
      <c r="H750">
        <v>42</v>
      </c>
      <c r="I750" t="b">
        <v>1</v>
      </c>
      <c r="J750" t="b">
        <v>0</v>
      </c>
      <c r="K750" t="b">
        <v>0</v>
      </c>
      <c r="L750" t="s">
        <v>28</v>
      </c>
      <c r="M750">
        <v>20</v>
      </c>
      <c r="N750" t="s">
        <v>64</v>
      </c>
      <c r="O750">
        <v>15</v>
      </c>
      <c r="P750" t="s">
        <v>36</v>
      </c>
      <c r="Q750">
        <v>0</v>
      </c>
      <c r="R750">
        <v>15</v>
      </c>
      <c r="S750" t="s">
        <v>44</v>
      </c>
      <c r="T750" t="s">
        <v>65</v>
      </c>
      <c r="U750">
        <v>33.770099999999999</v>
      </c>
      <c r="V750">
        <v>-118.19370000000001</v>
      </c>
      <c r="W750" s="2">
        <v>45166</v>
      </c>
      <c r="X750">
        <v>0</v>
      </c>
      <c r="Y750" t="b">
        <v>0</v>
      </c>
      <c r="Z750" s="2">
        <v>45823</v>
      </c>
      <c r="AA750" t="str">
        <f t="shared" si="111"/>
        <v>20–29</v>
      </c>
      <c r="AB750" t="str">
        <f t="shared" si="112"/>
        <v>20–29</v>
      </c>
      <c r="AC750" t="str">
        <f t="shared" si="113"/>
        <v>Monday</v>
      </c>
      <c r="AD750" t="str">
        <f t="shared" si="114"/>
        <v>Tuesday</v>
      </c>
      <c r="AE750" t="str">
        <f t="shared" si="115"/>
        <v>Wednesday</v>
      </c>
      <c r="AF750" t="str">
        <f t="shared" si="116"/>
        <v/>
      </c>
      <c r="AG750" t="str">
        <f t="shared" si="117"/>
        <v>Friday</v>
      </c>
      <c r="AH750" t="str">
        <f t="shared" si="118"/>
        <v/>
      </c>
      <c r="AI750" t="str">
        <f t="shared" si="119"/>
        <v>Sunday</v>
      </c>
      <c r="AJ750" t="str">
        <f>LEFT(Table1[[#This Row],[membership_type]],2)&amp;TEXT(Table1[[#This Row],[age]],"00")&amp;"-"&amp;TEXT(ROW(),"000")</f>
        <v>Ba26-750</v>
      </c>
      <c r="AK750" t="str">
        <f>LEFT(Table1[[#This Row],[membership_type]],1)&amp;TEXT(MATCH(Table1[[#This Row],[membership_type]],Table1[membership_type],0),"00")</f>
        <v>B04</v>
      </c>
      <c r="AL750" t="str">
        <f>LEFT(Table1[[#This Row],[discount_type]],1)&amp;TEXT(ROUND(Table1[[#This Row],[discount_rate]]*100,0),"00")</f>
        <v>N00</v>
      </c>
      <c r="AM750" t="str" cm="1">
        <f t="array" ref="AM750">TEXT(SUMPRODUCT(CODE(MID(Table1[[#This Row],[home_gym_location]],_xlfn.SEQUENCE(LEN(Table1[[#This Row],[home_gym_location]])),1))),"00000")</f>
        <v>01107</v>
      </c>
      <c r="AN75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50" t="str">
        <f>LEFT(_xlfn.TEXTBEFORE(Table1[[#This Row],[Location Identifier]],"-"),3) &amp; "-" &amp; _xlfn.TEXTAFTER(Table1[[#This Row],[Location Identifier]],"-")</f>
        <v>LON-004</v>
      </c>
      <c r="AP750" s="9">
        <f t="shared" ca="1" si="110"/>
        <v>45869</v>
      </c>
    </row>
    <row r="751" spans="1:42" x14ac:dyDescent="0.25">
      <c r="A751">
        <v>41</v>
      </c>
      <c r="B751" t="s">
        <v>33</v>
      </c>
      <c r="C751">
        <v>3</v>
      </c>
      <c r="D751" t="s">
        <v>82</v>
      </c>
      <c r="E751" t="b">
        <v>0</v>
      </c>
      <c r="F751" s="1">
        <v>0.41388888888888886</v>
      </c>
      <c r="G751" s="1">
        <v>0.48541666666666666</v>
      </c>
      <c r="H751">
        <v>103</v>
      </c>
      <c r="I751" t="b">
        <v>0</v>
      </c>
      <c r="J751" t="b">
        <v>1</v>
      </c>
      <c r="K751" t="b">
        <v>1</v>
      </c>
      <c r="L751" t="s">
        <v>47</v>
      </c>
      <c r="M751">
        <v>30</v>
      </c>
      <c r="N751" t="s">
        <v>29</v>
      </c>
      <c r="O751">
        <v>30</v>
      </c>
      <c r="P751" t="s">
        <v>74</v>
      </c>
      <c r="Q751">
        <v>0.15</v>
      </c>
      <c r="R751">
        <v>25.5</v>
      </c>
      <c r="S751" t="s">
        <v>37</v>
      </c>
      <c r="T751" t="s">
        <v>65</v>
      </c>
      <c r="U751">
        <v>33.770099999999999</v>
      </c>
      <c r="V751">
        <v>-118.19370000000001</v>
      </c>
      <c r="W751" s="2">
        <v>45706</v>
      </c>
      <c r="X751">
        <v>6</v>
      </c>
      <c r="Y751" t="b">
        <v>0</v>
      </c>
      <c r="Z751" s="2">
        <v>45853</v>
      </c>
      <c r="AA751" t="str">
        <f t="shared" si="111"/>
        <v>40–49</v>
      </c>
      <c r="AB751" t="str">
        <f t="shared" si="112"/>
        <v>40–49</v>
      </c>
      <c r="AC751" t="str">
        <f t="shared" si="113"/>
        <v/>
      </c>
      <c r="AD751" t="str">
        <f t="shared" si="114"/>
        <v/>
      </c>
      <c r="AE751" t="str">
        <f t="shared" si="115"/>
        <v/>
      </c>
      <c r="AF751" t="str">
        <f t="shared" si="116"/>
        <v/>
      </c>
      <c r="AG751" t="str">
        <f t="shared" si="117"/>
        <v>Friday</v>
      </c>
      <c r="AH751" t="str">
        <f t="shared" si="118"/>
        <v>Saturday</v>
      </c>
      <c r="AI751" t="str">
        <f t="shared" si="119"/>
        <v>Sunday</v>
      </c>
      <c r="AJ751" t="str">
        <f>LEFT(Table1[[#This Row],[membership_type]],2)&amp;TEXT(Table1[[#This Row],[age]],"00")&amp;"-"&amp;TEXT(ROW(),"000")</f>
        <v>St41-751</v>
      </c>
      <c r="AK751" t="str">
        <f>LEFT(Table1[[#This Row],[membership_type]],1)&amp;TEXT(MATCH(Table1[[#This Row],[membership_type]],Table1[membership_type],0),"00")</f>
        <v>S02</v>
      </c>
      <c r="AL751" t="str">
        <f>LEFT(Table1[[#This Row],[discount_type]],1)&amp;TEXT(ROUND(Table1[[#This Row],[discount_rate]]*100,0),"00")</f>
        <v>S15</v>
      </c>
      <c r="AM751" t="str" cm="1">
        <f t="array" ref="AM751">TEXT(SUMPRODUCT(CODE(MID(Table1[[#This Row],[home_gym_location]],_xlfn.SEQUENCE(LEN(Table1[[#This Row],[home_gym_location]])),1))),"00000")</f>
        <v>01107</v>
      </c>
      <c r="AN75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51" t="str">
        <f>LEFT(_xlfn.TEXTBEFORE(Table1[[#This Row],[Location Identifier]],"-"),3) &amp; "-" &amp; _xlfn.TEXTAFTER(Table1[[#This Row],[Location Identifier]],"-")</f>
        <v>LON-004</v>
      </c>
      <c r="AP751" s="9">
        <f t="shared" ca="1" si="110"/>
        <v>45869</v>
      </c>
    </row>
    <row r="752" spans="1:42" x14ac:dyDescent="0.25">
      <c r="A752">
        <v>39</v>
      </c>
      <c r="B752" t="s">
        <v>42</v>
      </c>
      <c r="C752">
        <v>2</v>
      </c>
      <c r="D752" t="s">
        <v>43</v>
      </c>
      <c r="E752" t="b">
        <v>1</v>
      </c>
      <c r="F752" s="1">
        <v>0.3888888888888889</v>
      </c>
      <c r="G752" s="1">
        <v>0.41111111111111109</v>
      </c>
      <c r="H752">
        <v>32</v>
      </c>
      <c r="I752" t="b">
        <v>1</v>
      </c>
      <c r="J752" t="b">
        <v>0</v>
      </c>
      <c r="K752" t="b">
        <v>0</v>
      </c>
      <c r="L752" t="s">
        <v>28</v>
      </c>
      <c r="M752">
        <v>20</v>
      </c>
      <c r="N752" t="s">
        <v>64</v>
      </c>
      <c r="O752">
        <v>15</v>
      </c>
      <c r="P752" t="s">
        <v>40</v>
      </c>
      <c r="Q752">
        <v>0.1</v>
      </c>
      <c r="R752">
        <v>13.5</v>
      </c>
      <c r="S752" t="s">
        <v>44</v>
      </c>
      <c r="T752" t="s">
        <v>54</v>
      </c>
      <c r="U752">
        <v>32.715699999999998</v>
      </c>
      <c r="V752">
        <v>-117.1611</v>
      </c>
      <c r="W752" s="2">
        <v>44830</v>
      </c>
      <c r="X752">
        <v>0</v>
      </c>
      <c r="Y752" t="b">
        <v>0</v>
      </c>
      <c r="Z752" s="2">
        <v>45804</v>
      </c>
      <c r="AA752" t="str">
        <f t="shared" si="111"/>
        <v>30–39</v>
      </c>
      <c r="AB752" t="str">
        <f t="shared" si="112"/>
        <v>30–39</v>
      </c>
      <c r="AC752" t="str">
        <f t="shared" si="113"/>
        <v>Monday</v>
      </c>
      <c r="AD752" t="str">
        <f t="shared" si="114"/>
        <v>Tuesday</v>
      </c>
      <c r="AE752" t="str">
        <f t="shared" si="115"/>
        <v/>
      </c>
      <c r="AF752" t="str">
        <f t="shared" si="116"/>
        <v/>
      </c>
      <c r="AG752" t="str">
        <f t="shared" si="117"/>
        <v/>
      </c>
      <c r="AH752" t="str">
        <f t="shared" si="118"/>
        <v/>
      </c>
      <c r="AI752" t="str">
        <f t="shared" si="119"/>
        <v/>
      </c>
      <c r="AJ752" t="str">
        <f>LEFT(Table1[[#This Row],[membership_type]],2)&amp;TEXT(Table1[[#This Row],[age]],"00")&amp;"-"&amp;TEXT(ROW(),"000")</f>
        <v>Ba39-752</v>
      </c>
      <c r="AK752" t="str">
        <f>LEFT(Table1[[#This Row],[membership_type]],1)&amp;TEXT(MATCH(Table1[[#This Row],[membership_type]],Table1[membership_type],0),"00")</f>
        <v>B04</v>
      </c>
      <c r="AL752" t="str">
        <f>LEFT(Table1[[#This Row],[discount_type]],1)&amp;TEXT(ROUND(Table1[[#This Row],[discount_rate]]*100,0),"00")</f>
        <v>L10</v>
      </c>
      <c r="AM752" t="str" cm="1">
        <f t="array" ref="AM752">TEXT(SUMPRODUCT(CODE(MID(Table1[[#This Row],[home_gym_location]],_xlfn.SEQUENCE(LEN(Table1[[#This Row],[home_gym_location]])),1))),"00000")</f>
        <v>01018</v>
      </c>
      <c r="AN75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52" t="str">
        <f>LEFT(_xlfn.TEXTBEFORE(Table1[[#This Row],[Location Identifier]],"-"),3) &amp; "-" &amp; _xlfn.TEXTAFTER(Table1[[#This Row],[Location Identifier]],"-")</f>
        <v>SAN-008</v>
      </c>
      <c r="AP752" s="9">
        <f t="shared" ca="1" si="110"/>
        <v>45869</v>
      </c>
    </row>
    <row r="753" spans="1:42" x14ac:dyDescent="0.25">
      <c r="A753">
        <v>17</v>
      </c>
      <c r="B753" t="s">
        <v>33</v>
      </c>
      <c r="C753">
        <v>2</v>
      </c>
      <c r="D753" t="s">
        <v>79</v>
      </c>
      <c r="E753" t="b">
        <v>0</v>
      </c>
      <c r="F753" s="1">
        <v>0.70763888888888893</v>
      </c>
      <c r="G753" s="1">
        <v>0.81041666666666667</v>
      </c>
      <c r="H753">
        <v>148</v>
      </c>
      <c r="I753" t="b">
        <v>0</v>
      </c>
      <c r="J753" t="b">
        <v>0</v>
      </c>
      <c r="K753" t="b">
        <v>1</v>
      </c>
      <c r="L753" t="s">
        <v>28</v>
      </c>
      <c r="M753">
        <v>30</v>
      </c>
      <c r="N753" t="s">
        <v>29</v>
      </c>
      <c r="O753">
        <v>30</v>
      </c>
      <c r="P753" t="s">
        <v>40</v>
      </c>
      <c r="Q753">
        <v>0.1</v>
      </c>
      <c r="R753">
        <v>27</v>
      </c>
      <c r="S753" t="s">
        <v>37</v>
      </c>
      <c r="T753" t="s">
        <v>65</v>
      </c>
      <c r="U753">
        <v>33.770099999999999</v>
      </c>
      <c r="V753">
        <v>-118.19370000000001</v>
      </c>
      <c r="W753" s="2">
        <v>45162</v>
      </c>
      <c r="X753">
        <v>0</v>
      </c>
      <c r="Y753" t="b">
        <v>0</v>
      </c>
      <c r="Z753" s="2">
        <v>45823</v>
      </c>
      <c r="AA753" t="str">
        <f t="shared" si="111"/>
        <v>10–19</v>
      </c>
      <c r="AB753" t="str">
        <f t="shared" si="112"/>
        <v>16–19</v>
      </c>
      <c r="AC753" t="str">
        <f t="shared" si="113"/>
        <v/>
      </c>
      <c r="AD753" t="str">
        <f t="shared" si="114"/>
        <v/>
      </c>
      <c r="AE753" t="str">
        <f t="shared" si="115"/>
        <v/>
      </c>
      <c r="AF753" t="str">
        <f t="shared" si="116"/>
        <v/>
      </c>
      <c r="AG753" t="str">
        <f t="shared" si="117"/>
        <v>Friday</v>
      </c>
      <c r="AH753" t="str">
        <f t="shared" si="118"/>
        <v>Saturday</v>
      </c>
      <c r="AI753" t="str">
        <f t="shared" si="119"/>
        <v/>
      </c>
      <c r="AJ753" t="str">
        <f>LEFT(Table1[[#This Row],[membership_type]],2)&amp;TEXT(Table1[[#This Row],[age]],"00")&amp;"-"&amp;TEXT(ROW(),"000")</f>
        <v>St17-753</v>
      </c>
      <c r="AK753" t="str">
        <f>LEFT(Table1[[#This Row],[membership_type]],1)&amp;TEXT(MATCH(Table1[[#This Row],[membership_type]],Table1[membership_type],0),"00")</f>
        <v>S02</v>
      </c>
      <c r="AL753" t="str">
        <f>LEFT(Table1[[#This Row],[discount_type]],1)&amp;TEXT(ROUND(Table1[[#This Row],[discount_rate]]*100,0),"00")</f>
        <v>L10</v>
      </c>
      <c r="AM753" t="str" cm="1">
        <f t="array" ref="AM753">TEXT(SUMPRODUCT(CODE(MID(Table1[[#This Row],[home_gym_location]],_xlfn.SEQUENCE(LEN(Table1[[#This Row],[home_gym_location]])),1))),"00000")</f>
        <v>01107</v>
      </c>
      <c r="AN75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53" t="str">
        <f>LEFT(_xlfn.TEXTBEFORE(Table1[[#This Row],[Location Identifier]],"-"),3) &amp; "-" &amp; _xlfn.TEXTAFTER(Table1[[#This Row],[Location Identifier]],"-")</f>
        <v>LON-004</v>
      </c>
      <c r="AP753" s="9">
        <f t="shared" ca="1" si="110"/>
        <v>45869</v>
      </c>
    </row>
    <row r="754" spans="1:42" x14ac:dyDescent="0.25">
      <c r="A754">
        <v>29</v>
      </c>
      <c r="B754" t="s">
        <v>26</v>
      </c>
      <c r="C754">
        <v>5</v>
      </c>
      <c r="D754" t="s">
        <v>118</v>
      </c>
      <c r="E754" t="b">
        <v>1</v>
      </c>
      <c r="F754" s="1">
        <v>0.40138888888888891</v>
      </c>
      <c r="G754" s="1">
        <v>0.44374999999999998</v>
      </c>
      <c r="H754">
        <v>61</v>
      </c>
      <c r="I754" t="b">
        <v>0</v>
      </c>
      <c r="J754" t="b">
        <v>0</v>
      </c>
      <c r="K754" t="b">
        <v>1</v>
      </c>
      <c r="L754" t="s">
        <v>62</v>
      </c>
      <c r="M754">
        <v>50</v>
      </c>
      <c r="N754" t="s">
        <v>64</v>
      </c>
      <c r="O754">
        <v>37.5</v>
      </c>
      <c r="P754" t="s">
        <v>74</v>
      </c>
      <c r="Q754">
        <v>0.15</v>
      </c>
      <c r="R754">
        <v>31.875</v>
      </c>
      <c r="S754" t="s">
        <v>31</v>
      </c>
      <c r="T754" t="s">
        <v>50</v>
      </c>
      <c r="U754">
        <v>34.052199999999999</v>
      </c>
      <c r="V754">
        <v>-118.2437</v>
      </c>
      <c r="W754" s="2">
        <v>45474</v>
      </c>
      <c r="X754">
        <v>0</v>
      </c>
      <c r="Y754" t="b">
        <v>1</v>
      </c>
      <c r="Z754" s="2">
        <v>45840</v>
      </c>
      <c r="AA754" t="str">
        <f t="shared" si="111"/>
        <v>20–29</v>
      </c>
      <c r="AB754" t="str">
        <f t="shared" si="112"/>
        <v>20–29</v>
      </c>
      <c r="AC754" t="str">
        <f t="shared" si="113"/>
        <v>Monday</v>
      </c>
      <c r="AD754" t="str">
        <f t="shared" si="114"/>
        <v/>
      </c>
      <c r="AE754" t="str">
        <f t="shared" si="115"/>
        <v>Wednesday</v>
      </c>
      <c r="AF754" t="str">
        <f t="shared" si="116"/>
        <v>Thursday</v>
      </c>
      <c r="AG754" t="str">
        <f t="shared" si="117"/>
        <v>Friday</v>
      </c>
      <c r="AH754" t="str">
        <f t="shared" si="118"/>
        <v>Saturday</v>
      </c>
      <c r="AI754" t="str">
        <f t="shared" si="119"/>
        <v/>
      </c>
      <c r="AJ754" t="str">
        <f>LEFT(Table1[[#This Row],[membership_type]],2)&amp;TEXT(Table1[[#This Row],[age]],"00")&amp;"-"&amp;TEXT(ROW(),"000")</f>
        <v>Pr29-754</v>
      </c>
      <c r="AK754" t="str">
        <f>LEFT(Table1[[#This Row],[membership_type]],1)&amp;TEXT(MATCH(Table1[[#This Row],[membership_type]],Table1[membership_type],0),"00")</f>
        <v>P01</v>
      </c>
      <c r="AL754" t="str">
        <f>LEFT(Table1[[#This Row],[discount_type]],1)&amp;TEXT(ROUND(Table1[[#This Row],[discount_rate]]*100,0),"00")</f>
        <v>S15</v>
      </c>
      <c r="AM754" t="str" cm="1">
        <f t="array" ref="AM754">TEXT(SUMPRODUCT(CODE(MID(Table1[[#This Row],[home_gym_location]],_xlfn.SEQUENCE(LEN(Table1[[#This Row],[home_gym_location]])),1))),"00000")</f>
        <v>01245</v>
      </c>
      <c r="AN75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54" t="str">
        <f>LEFT(_xlfn.TEXTBEFORE(Table1[[#This Row],[Location Identifier]],"-"),3) &amp; "-" &amp; _xlfn.TEXTAFTER(Table1[[#This Row],[Location Identifier]],"-")</f>
        <v>LOS-005</v>
      </c>
      <c r="AP754" s="9">
        <f t="shared" ca="1" si="110"/>
        <v>45869</v>
      </c>
    </row>
    <row r="755" spans="1:42" x14ac:dyDescent="0.25">
      <c r="A755">
        <v>44</v>
      </c>
      <c r="B755" t="s">
        <v>42</v>
      </c>
      <c r="C755">
        <v>4</v>
      </c>
      <c r="D755" t="s">
        <v>156</v>
      </c>
      <c r="E755" t="b">
        <v>0</v>
      </c>
      <c r="F755" s="1">
        <v>0.46527777777777779</v>
      </c>
      <c r="G755" s="1">
        <v>0.48888888888888887</v>
      </c>
      <c r="H755">
        <v>34</v>
      </c>
      <c r="I755" t="b">
        <v>0</v>
      </c>
      <c r="J755" t="b">
        <v>0</v>
      </c>
      <c r="K755" t="b">
        <v>1</v>
      </c>
      <c r="L755" t="s">
        <v>35</v>
      </c>
      <c r="M755">
        <v>20</v>
      </c>
      <c r="N755" t="s">
        <v>64</v>
      </c>
      <c r="O755">
        <v>15</v>
      </c>
      <c r="P755" t="s">
        <v>36</v>
      </c>
      <c r="Q755">
        <v>0</v>
      </c>
      <c r="R755">
        <v>15</v>
      </c>
      <c r="S755" t="s">
        <v>44</v>
      </c>
      <c r="T755" t="s">
        <v>32</v>
      </c>
      <c r="U755">
        <v>37.338200000000001</v>
      </c>
      <c r="V755">
        <v>-121.88630000000001</v>
      </c>
      <c r="W755" s="2">
        <v>45682</v>
      </c>
      <c r="X755">
        <v>0</v>
      </c>
      <c r="Y755" t="b">
        <v>1</v>
      </c>
      <c r="Z755" s="2">
        <v>45852</v>
      </c>
      <c r="AA755" t="str">
        <f t="shared" si="111"/>
        <v>40–49</v>
      </c>
      <c r="AB755" t="str">
        <f t="shared" si="112"/>
        <v>40–49</v>
      </c>
      <c r="AC755" t="str">
        <f t="shared" si="113"/>
        <v/>
      </c>
      <c r="AD755" t="str">
        <f t="shared" si="114"/>
        <v>Tuesday</v>
      </c>
      <c r="AE755" t="str">
        <f t="shared" si="115"/>
        <v>Wednesday</v>
      </c>
      <c r="AF755" t="str">
        <f t="shared" si="116"/>
        <v>Thursday</v>
      </c>
      <c r="AG755" t="str">
        <f t="shared" si="117"/>
        <v/>
      </c>
      <c r="AH755" t="str">
        <f t="shared" si="118"/>
        <v>Saturday</v>
      </c>
      <c r="AI755" t="str">
        <f t="shared" si="119"/>
        <v/>
      </c>
      <c r="AJ755" t="str">
        <f>LEFT(Table1[[#This Row],[membership_type]],2)&amp;TEXT(Table1[[#This Row],[age]],"00")&amp;"-"&amp;TEXT(ROW(),"000")</f>
        <v>Ba44-755</v>
      </c>
      <c r="AK755" t="str">
        <f>LEFT(Table1[[#This Row],[membership_type]],1)&amp;TEXT(MATCH(Table1[[#This Row],[membership_type]],Table1[membership_type],0),"00")</f>
        <v>B04</v>
      </c>
      <c r="AL755" t="str">
        <f>LEFT(Table1[[#This Row],[discount_type]],1)&amp;TEXT(ROUND(Table1[[#This Row],[discount_rate]]*100,0),"00")</f>
        <v>N00</v>
      </c>
      <c r="AM755" t="str" cm="1">
        <f t="array" ref="AM755">TEXT(SUMPRODUCT(CODE(MID(Table1[[#This Row],[home_gym_location]],_xlfn.SEQUENCE(LEN(Table1[[#This Row],[home_gym_location]])),1))),"00000")</f>
        <v>00931</v>
      </c>
      <c r="AN75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55" t="str">
        <f>LEFT(_xlfn.TEXTBEFORE(Table1[[#This Row],[Location Identifier]],"-"),3) &amp; "-" &amp; _xlfn.TEXTAFTER(Table1[[#This Row],[Location Identifier]],"-")</f>
        <v>SAN-010</v>
      </c>
      <c r="AP755" s="9">
        <f t="shared" ca="1" si="110"/>
        <v>45869</v>
      </c>
    </row>
    <row r="756" spans="1:42" x14ac:dyDescent="0.25">
      <c r="A756">
        <v>33</v>
      </c>
      <c r="B756" t="s">
        <v>33</v>
      </c>
      <c r="C756">
        <v>1</v>
      </c>
      <c r="D756" t="s">
        <v>49</v>
      </c>
      <c r="E756" t="b">
        <v>0</v>
      </c>
      <c r="F756" s="1">
        <v>0.68680555555555556</v>
      </c>
      <c r="G756" s="1">
        <v>0.71319444444444446</v>
      </c>
      <c r="H756">
        <v>38</v>
      </c>
      <c r="I756" t="b">
        <v>0</v>
      </c>
      <c r="J756" t="b">
        <v>1</v>
      </c>
      <c r="K756" t="b">
        <v>0</v>
      </c>
      <c r="L756" t="s">
        <v>47</v>
      </c>
      <c r="M756">
        <v>30</v>
      </c>
      <c r="N756" t="s">
        <v>29</v>
      </c>
      <c r="O756">
        <v>30</v>
      </c>
      <c r="P756" t="s">
        <v>30</v>
      </c>
      <c r="Q756">
        <v>0.05</v>
      </c>
      <c r="R756">
        <v>28.5</v>
      </c>
      <c r="S756" t="s">
        <v>37</v>
      </c>
      <c r="T756" t="s">
        <v>65</v>
      </c>
      <c r="U756">
        <v>33.770099999999999</v>
      </c>
      <c r="V756">
        <v>-118.19370000000001</v>
      </c>
      <c r="W756" s="2">
        <v>44985</v>
      </c>
      <c r="X756">
        <v>3</v>
      </c>
      <c r="Y756" t="b">
        <v>0</v>
      </c>
      <c r="Z756" s="2">
        <v>45813</v>
      </c>
      <c r="AA756" t="str">
        <f t="shared" si="111"/>
        <v>30–39</v>
      </c>
      <c r="AB756" t="str">
        <f t="shared" si="112"/>
        <v>30–39</v>
      </c>
      <c r="AC756" t="str">
        <f t="shared" si="113"/>
        <v/>
      </c>
      <c r="AD756" t="str">
        <f t="shared" si="114"/>
        <v/>
      </c>
      <c r="AE756" t="str">
        <f t="shared" si="115"/>
        <v/>
      </c>
      <c r="AF756" t="str">
        <f t="shared" si="116"/>
        <v/>
      </c>
      <c r="AG756" t="str">
        <f t="shared" si="117"/>
        <v/>
      </c>
      <c r="AH756" t="str">
        <f t="shared" si="118"/>
        <v/>
      </c>
      <c r="AI756" t="str">
        <f t="shared" si="119"/>
        <v>Sunday</v>
      </c>
      <c r="AJ756" t="str">
        <f>LEFT(Table1[[#This Row],[membership_type]],2)&amp;TEXT(Table1[[#This Row],[age]],"00")&amp;"-"&amp;TEXT(ROW(),"000")</f>
        <v>St33-756</v>
      </c>
      <c r="AK756" t="str">
        <f>LEFT(Table1[[#This Row],[membership_type]],1)&amp;TEXT(MATCH(Table1[[#This Row],[membership_type]],Table1[membership_type],0),"00")</f>
        <v>S02</v>
      </c>
      <c r="AL756" t="str">
        <f>LEFT(Table1[[#This Row],[discount_type]],1)&amp;TEXT(ROUND(Table1[[#This Row],[discount_rate]]*100,0),"00")</f>
        <v>P05</v>
      </c>
      <c r="AM756" t="str" cm="1">
        <f t="array" ref="AM756">TEXT(SUMPRODUCT(CODE(MID(Table1[[#This Row],[home_gym_location]],_xlfn.SEQUENCE(LEN(Table1[[#This Row],[home_gym_location]])),1))),"00000")</f>
        <v>01107</v>
      </c>
      <c r="AN75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56" t="str">
        <f>LEFT(_xlfn.TEXTBEFORE(Table1[[#This Row],[Location Identifier]],"-"),3) &amp; "-" &amp; _xlfn.TEXTAFTER(Table1[[#This Row],[Location Identifier]],"-")</f>
        <v>LON-004</v>
      </c>
      <c r="AP756" s="9">
        <f t="shared" ca="1" si="110"/>
        <v>45869</v>
      </c>
    </row>
    <row r="757" spans="1:42" x14ac:dyDescent="0.25">
      <c r="A757">
        <v>33</v>
      </c>
      <c r="B757" t="s">
        <v>26</v>
      </c>
      <c r="C757">
        <v>5</v>
      </c>
      <c r="D757" t="s">
        <v>148</v>
      </c>
      <c r="E757" t="b">
        <v>1</v>
      </c>
      <c r="F757" s="1">
        <v>0.43680555555555556</v>
      </c>
      <c r="G757" s="1">
        <v>0.47083333333333333</v>
      </c>
      <c r="H757">
        <v>49</v>
      </c>
      <c r="I757" t="b">
        <v>1</v>
      </c>
      <c r="J757" t="b">
        <v>1</v>
      </c>
      <c r="K757" t="b">
        <v>0</v>
      </c>
      <c r="L757" t="s">
        <v>28</v>
      </c>
      <c r="M757">
        <v>50</v>
      </c>
      <c r="N757" t="s">
        <v>29</v>
      </c>
      <c r="O757">
        <v>50</v>
      </c>
      <c r="P757" t="s">
        <v>30</v>
      </c>
      <c r="Q757">
        <v>0.05</v>
      </c>
      <c r="R757">
        <v>47.5</v>
      </c>
      <c r="S757" t="s">
        <v>31</v>
      </c>
      <c r="T757" t="s">
        <v>41</v>
      </c>
      <c r="U757">
        <v>37.804400000000001</v>
      </c>
      <c r="V757">
        <v>-122.27119999999999</v>
      </c>
      <c r="W757" s="2">
        <v>45170</v>
      </c>
      <c r="X757">
        <v>4</v>
      </c>
      <c r="Y757" t="b">
        <v>1</v>
      </c>
      <c r="Z757" s="2">
        <v>45823</v>
      </c>
      <c r="AA757" t="str">
        <f t="shared" si="111"/>
        <v>30–39</v>
      </c>
      <c r="AB757" t="str">
        <f t="shared" si="112"/>
        <v>30–39</v>
      </c>
      <c r="AC757" t="str">
        <f t="shared" si="113"/>
        <v/>
      </c>
      <c r="AD757" t="str">
        <f t="shared" si="114"/>
        <v/>
      </c>
      <c r="AE757" t="str">
        <f t="shared" si="115"/>
        <v>Wednesday</v>
      </c>
      <c r="AF757" t="str">
        <f t="shared" si="116"/>
        <v>Thursday</v>
      </c>
      <c r="AG757" t="str">
        <f t="shared" si="117"/>
        <v>Friday</v>
      </c>
      <c r="AH757" t="str">
        <f t="shared" si="118"/>
        <v>Saturday</v>
      </c>
      <c r="AI757" t="str">
        <f t="shared" si="119"/>
        <v>Sunday</v>
      </c>
      <c r="AJ757" t="str">
        <f>LEFT(Table1[[#This Row],[membership_type]],2)&amp;TEXT(Table1[[#This Row],[age]],"00")&amp;"-"&amp;TEXT(ROW(),"000")</f>
        <v>Pr33-757</v>
      </c>
      <c r="AK757" t="str">
        <f>LEFT(Table1[[#This Row],[membership_type]],1)&amp;TEXT(MATCH(Table1[[#This Row],[membership_type]],Table1[membership_type],0),"00")</f>
        <v>P01</v>
      </c>
      <c r="AL757" t="str">
        <f>LEFT(Table1[[#This Row],[discount_type]],1)&amp;TEXT(ROUND(Table1[[#This Row],[discount_rate]]*100,0),"00")</f>
        <v>P05</v>
      </c>
      <c r="AM757" t="str" cm="1">
        <f t="array" ref="AM757">TEXT(SUMPRODUCT(CODE(MID(Table1[[#This Row],[home_gym_location]],_xlfn.SEQUENCE(LEN(Table1[[#This Row],[home_gym_location]])),1))),"00000")</f>
        <v>00906</v>
      </c>
      <c r="AN757" t="str">
        <f>UPPER(_xlfn.TEXTBEFORE(Table1[[#This Row],[home_gym_location]],","))&amp;"-"&amp;TEXT(MATCH(Table1[[#This Row],[home_gym_location]],_xlfn._xlws.SORT(_xlfn.UNIQUE(Table1[home_gym_location])),0),"000")</f>
        <v>OAKLAND-006</v>
      </c>
      <c r="AO757" t="str">
        <f>LEFT(_xlfn.TEXTBEFORE(Table1[[#This Row],[Location Identifier]],"-"),3) &amp; "-" &amp; _xlfn.TEXTAFTER(Table1[[#This Row],[Location Identifier]],"-")</f>
        <v>OAK-006</v>
      </c>
      <c r="AP757" s="9">
        <f t="shared" ca="1" si="110"/>
        <v>45869</v>
      </c>
    </row>
    <row r="758" spans="1:42" x14ac:dyDescent="0.25">
      <c r="A758">
        <v>48</v>
      </c>
      <c r="B758" t="s">
        <v>26</v>
      </c>
      <c r="C758">
        <v>3</v>
      </c>
      <c r="D758" t="s">
        <v>102</v>
      </c>
      <c r="E758" t="b">
        <v>1</v>
      </c>
      <c r="F758" s="1">
        <v>0.35625000000000001</v>
      </c>
      <c r="G758" s="1">
        <v>0.42569444444444443</v>
      </c>
      <c r="H758">
        <v>100</v>
      </c>
      <c r="I758" t="b">
        <v>1</v>
      </c>
      <c r="J758" t="b">
        <v>1</v>
      </c>
      <c r="K758" t="b">
        <v>1</v>
      </c>
      <c r="L758" t="s">
        <v>28</v>
      </c>
      <c r="M758">
        <v>50</v>
      </c>
      <c r="N758" t="s">
        <v>29</v>
      </c>
      <c r="O758">
        <v>50</v>
      </c>
      <c r="P758" t="s">
        <v>74</v>
      </c>
      <c r="Q758">
        <v>0.15</v>
      </c>
      <c r="R758">
        <v>42.5</v>
      </c>
      <c r="S758" t="s">
        <v>31</v>
      </c>
      <c r="T758" t="s">
        <v>48</v>
      </c>
      <c r="U758">
        <v>38.581600000000002</v>
      </c>
      <c r="V758">
        <v>-121.4944</v>
      </c>
      <c r="W758" s="2">
        <v>45262</v>
      </c>
      <c r="X758">
        <v>1</v>
      </c>
      <c r="Y758" t="b">
        <v>0</v>
      </c>
      <c r="Z758" s="2">
        <v>45828</v>
      </c>
      <c r="AA758" t="str">
        <f t="shared" si="111"/>
        <v>40–49</v>
      </c>
      <c r="AB758" t="str">
        <f t="shared" si="112"/>
        <v>40–49</v>
      </c>
      <c r="AC758" t="str">
        <f t="shared" si="113"/>
        <v/>
      </c>
      <c r="AD758" t="str">
        <f t="shared" si="114"/>
        <v/>
      </c>
      <c r="AE758" t="str">
        <f t="shared" si="115"/>
        <v/>
      </c>
      <c r="AF758" t="str">
        <f t="shared" si="116"/>
        <v>Thursday</v>
      </c>
      <c r="AG758" t="str">
        <f t="shared" si="117"/>
        <v>Friday</v>
      </c>
      <c r="AH758" t="str">
        <f t="shared" si="118"/>
        <v>Saturday</v>
      </c>
      <c r="AI758" t="str">
        <f t="shared" si="119"/>
        <v/>
      </c>
      <c r="AJ758" t="str">
        <f>LEFT(Table1[[#This Row],[membership_type]],2)&amp;TEXT(Table1[[#This Row],[age]],"00")&amp;"-"&amp;TEXT(ROW(),"000")</f>
        <v>Pr48-758</v>
      </c>
      <c r="AK758" t="str">
        <f>LEFT(Table1[[#This Row],[membership_type]],1)&amp;TEXT(MATCH(Table1[[#This Row],[membership_type]],Table1[membership_type],0),"00")</f>
        <v>P01</v>
      </c>
      <c r="AL758" t="str">
        <f>LEFT(Table1[[#This Row],[discount_type]],1)&amp;TEXT(ROUND(Table1[[#This Row],[discount_rate]]*100,0),"00")</f>
        <v>S15</v>
      </c>
      <c r="AM758" t="str" cm="1">
        <f t="array" ref="AM758">TEXT(SUMPRODUCT(CODE(MID(Table1[[#This Row],[home_gym_location]],_xlfn.SEQUENCE(LEN(Table1[[#This Row],[home_gym_location]])),1))),"00000")</f>
        <v>01245</v>
      </c>
      <c r="AN75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58" t="str">
        <f>LEFT(_xlfn.TEXTBEFORE(Table1[[#This Row],[Location Identifier]],"-"),3) &amp; "-" &amp; _xlfn.TEXTAFTER(Table1[[#This Row],[Location Identifier]],"-")</f>
        <v>SAC-007</v>
      </c>
      <c r="AP758" s="9">
        <f t="shared" ca="1" si="110"/>
        <v>45869</v>
      </c>
    </row>
    <row r="759" spans="1:42" x14ac:dyDescent="0.25">
      <c r="A759">
        <v>36</v>
      </c>
      <c r="B759" t="s">
        <v>33</v>
      </c>
      <c r="C759">
        <v>3</v>
      </c>
      <c r="D759" t="s">
        <v>109</v>
      </c>
      <c r="E759" t="b">
        <v>1</v>
      </c>
      <c r="F759" s="1">
        <v>0.73124999999999996</v>
      </c>
      <c r="G759" s="1">
        <v>0.80277777777777781</v>
      </c>
      <c r="H759">
        <v>103</v>
      </c>
      <c r="I759" t="b">
        <v>0</v>
      </c>
      <c r="J759" t="b">
        <v>0</v>
      </c>
      <c r="K759" t="b">
        <v>1</v>
      </c>
      <c r="L759" t="s">
        <v>62</v>
      </c>
      <c r="M759">
        <v>30</v>
      </c>
      <c r="N759" t="s">
        <v>64</v>
      </c>
      <c r="O759">
        <v>22.5</v>
      </c>
      <c r="P759" t="s">
        <v>30</v>
      </c>
      <c r="Q759">
        <v>0.05</v>
      </c>
      <c r="R759">
        <v>21.375</v>
      </c>
      <c r="S759" t="s">
        <v>37</v>
      </c>
      <c r="T759" t="s">
        <v>56</v>
      </c>
      <c r="U759">
        <v>35.3733</v>
      </c>
      <c r="V759">
        <v>-119.0187</v>
      </c>
      <c r="W759" s="2">
        <v>44879</v>
      </c>
      <c r="X759">
        <v>0</v>
      </c>
      <c r="Y759" t="b">
        <v>0</v>
      </c>
      <c r="Z759" s="2">
        <v>45807</v>
      </c>
      <c r="AA759" t="str">
        <f t="shared" si="111"/>
        <v>30–39</v>
      </c>
      <c r="AB759" t="str">
        <f t="shared" si="112"/>
        <v>30–39</v>
      </c>
      <c r="AC759" t="str">
        <f t="shared" si="113"/>
        <v/>
      </c>
      <c r="AD759" t="str">
        <f t="shared" si="114"/>
        <v>Tuesday</v>
      </c>
      <c r="AE759" t="str">
        <f t="shared" si="115"/>
        <v/>
      </c>
      <c r="AF759" t="str">
        <f t="shared" si="116"/>
        <v>Thursday</v>
      </c>
      <c r="AG759" t="str">
        <f t="shared" si="117"/>
        <v>Friday</v>
      </c>
      <c r="AH759" t="str">
        <f t="shared" si="118"/>
        <v/>
      </c>
      <c r="AI759" t="str">
        <f t="shared" si="119"/>
        <v/>
      </c>
      <c r="AJ759" t="str">
        <f>LEFT(Table1[[#This Row],[membership_type]],2)&amp;TEXT(Table1[[#This Row],[age]],"00")&amp;"-"&amp;TEXT(ROW(),"000")</f>
        <v>St36-759</v>
      </c>
      <c r="AK759" t="str">
        <f>LEFT(Table1[[#This Row],[membership_type]],1)&amp;TEXT(MATCH(Table1[[#This Row],[membership_type]],Table1[membership_type],0),"00")</f>
        <v>S02</v>
      </c>
      <c r="AL759" t="str">
        <f>LEFT(Table1[[#This Row],[discount_type]],1)&amp;TEXT(ROUND(Table1[[#This Row],[discount_rate]]*100,0),"00")</f>
        <v>P05</v>
      </c>
      <c r="AM759" t="str" cm="1">
        <f t="array" ref="AM759">TEXT(SUMPRODUCT(CODE(MID(Table1[[#This Row],[home_gym_location]],_xlfn.SEQUENCE(LEN(Table1[[#This Row],[home_gym_location]])),1))),"00000")</f>
        <v>01324</v>
      </c>
      <c r="AN7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59" t="str">
        <f>LEFT(_xlfn.TEXTBEFORE(Table1[[#This Row],[Location Identifier]],"-"),3) &amp; "-" &amp; _xlfn.TEXTAFTER(Table1[[#This Row],[Location Identifier]],"-")</f>
        <v>BAK-002</v>
      </c>
      <c r="AP759" s="9">
        <f t="shared" ca="1" si="110"/>
        <v>45869</v>
      </c>
    </row>
    <row r="760" spans="1:42" x14ac:dyDescent="0.25">
      <c r="A760">
        <v>29</v>
      </c>
      <c r="B760" t="s">
        <v>26</v>
      </c>
      <c r="C760">
        <v>2</v>
      </c>
      <c r="D760" t="s">
        <v>96</v>
      </c>
      <c r="E760" t="b">
        <v>0</v>
      </c>
      <c r="F760" s="1">
        <v>0.61458333333333337</v>
      </c>
      <c r="G760" s="1">
        <v>0.69652777777777775</v>
      </c>
      <c r="H760">
        <v>118</v>
      </c>
      <c r="I760" t="b">
        <v>1</v>
      </c>
      <c r="J760" t="b">
        <v>1</v>
      </c>
      <c r="K760" t="b">
        <v>1</v>
      </c>
      <c r="L760" t="s">
        <v>28</v>
      </c>
      <c r="M760">
        <v>50</v>
      </c>
      <c r="N760" t="s">
        <v>64</v>
      </c>
      <c r="O760">
        <v>37.5</v>
      </c>
      <c r="P760" t="s">
        <v>36</v>
      </c>
      <c r="Q760">
        <v>0</v>
      </c>
      <c r="R760">
        <v>37.5</v>
      </c>
      <c r="S760" t="s">
        <v>31</v>
      </c>
      <c r="T760" t="s">
        <v>41</v>
      </c>
      <c r="U760">
        <v>37.804400000000001</v>
      </c>
      <c r="V760">
        <v>-122.27119999999999</v>
      </c>
      <c r="W760" s="2">
        <v>44991</v>
      </c>
      <c r="X760">
        <v>1</v>
      </c>
      <c r="Y760" t="b">
        <v>0</v>
      </c>
      <c r="Z760" s="2">
        <v>45813</v>
      </c>
      <c r="AA760" t="str">
        <f t="shared" si="111"/>
        <v>20–29</v>
      </c>
      <c r="AB760" t="str">
        <f t="shared" si="112"/>
        <v>20–29</v>
      </c>
      <c r="AC760" t="str">
        <f t="shared" si="113"/>
        <v/>
      </c>
      <c r="AD760" t="str">
        <f t="shared" si="114"/>
        <v/>
      </c>
      <c r="AE760" t="str">
        <f t="shared" si="115"/>
        <v/>
      </c>
      <c r="AF760" t="str">
        <f t="shared" si="116"/>
        <v>Thursday</v>
      </c>
      <c r="AG760" t="str">
        <f t="shared" si="117"/>
        <v>Friday</v>
      </c>
      <c r="AH760" t="str">
        <f t="shared" si="118"/>
        <v/>
      </c>
      <c r="AI760" t="str">
        <f t="shared" si="119"/>
        <v/>
      </c>
      <c r="AJ760" t="str">
        <f>LEFT(Table1[[#This Row],[membership_type]],2)&amp;TEXT(Table1[[#This Row],[age]],"00")&amp;"-"&amp;TEXT(ROW(),"000")</f>
        <v>Pr29-760</v>
      </c>
      <c r="AK760" t="str">
        <f>LEFT(Table1[[#This Row],[membership_type]],1)&amp;TEXT(MATCH(Table1[[#This Row],[membership_type]],Table1[membership_type],0),"00")</f>
        <v>P01</v>
      </c>
      <c r="AL760" t="str">
        <f>LEFT(Table1[[#This Row],[discount_type]],1)&amp;TEXT(ROUND(Table1[[#This Row],[discount_rate]]*100,0),"00")</f>
        <v>N00</v>
      </c>
      <c r="AM760" t="str" cm="1">
        <f t="array" ref="AM760">TEXT(SUMPRODUCT(CODE(MID(Table1[[#This Row],[home_gym_location]],_xlfn.SEQUENCE(LEN(Table1[[#This Row],[home_gym_location]])),1))),"00000")</f>
        <v>00906</v>
      </c>
      <c r="AN760" t="str">
        <f>UPPER(_xlfn.TEXTBEFORE(Table1[[#This Row],[home_gym_location]],","))&amp;"-"&amp;TEXT(MATCH(Table1[[#This Row],[home_gym_location]],_xlfn._xlws.SORT(_xlfn.UNIQUE(Table1[home_gym_location])),0),"000")</f>
        <v>OAKLAND-006</v>
      </c>
      <c r="AO760" t="str">
        <f>LEFT(_xlfn.TEXTBEFORE(Table1[[#This Row],[Location Identifier]],"-"),3) &amp; "-" &amp; _xlfn.TEXTAFTER(Table1[[#This Row],[Location Identifier]],"-")</f>
        <v>OAK-006</v>
      </c>
      <c r="AP760" s="9">
        <f t="shared" ca="1" si="110"/>
        <v>45869</v>
      </c>
    </row>
    <row r="761" spans="1:42" x14ac:dyDescent="0.25">
      <c r="A761">
        <v>29</v>
      </c>
      <c r="B761" t="s">
        <v>26</v>
      </c>
      <c r="C761">
        <v>2</v>
      </c>
      <c r="D761" t="s">
        <v>101</v>
      </c>
      <c r="E761" t="b">
        <v>1</v>
      </c>
      <c r="F761" s="1">
        <v>0.84375</v>
      </c>
      <c r="G761" s="1">
        <v>0.92013888888888884</v>
      </c>
      <c r="H761">
        <v>110</v>
      </c>
      <c r="I761" t="b">
        <v>0</v>
      </c>
      <c r="J761" t="b">
        <v>0</v>
      </c>
      <c r="K761" t="b">
        <v>1</v>
      </c>
      <c r="L761" t="s">
        <v>47</v>
      </c>
      <c r="M761">
        <v>50</v>
      </c>
      <c r="N761" t="s">
        <v>29</v>
      </c>
      <c r="O761">
        <v>50</v>
      </c>
      <c r="P761" t="s">
        <v>74</v>
      </c>
      <c r="Q761">
        <v>0.15</v>
      </c>
      <c r="R761">
        <v>42.5</v>
      </c>
      <c r="S761" t="s">
        <v>31</v>
      </c>
      <c r="T761" t="s">
        <v>38</v>
      </c>
      <c r="U761">
        <v>36.7378</v>
      </c>
      <c r="V761">
        <v>-119.7871</v>
      </c>
      <c r="W761" s="2">
        <v>45669</v>
      </c>
      <c r="X761">
        <v>0</v>
      </c>
      <c r="Y761" t="b">
        <v>1</v>
      </c>
      <c r="Z761" s="2">
        <v>45851</v>
      </c>
      <c r="AA761" t="str">
        <f t="shared" si="111"/>
        <v>20–29</v>
      </c>
      <c r="AB761" t="str">
        <f t="shared" si="112"/>
        <v>20–29</v>
      </c>
      <c r="AC761" t="str">
        <f t="shared" si="113"/>
        <v>Monday</v>
      </c>
      <c r="AD761" t="str">
        <f t="shared" si="114"/>
        <v/>
      </c>
      <c r="AE761" t="str">
        <f t="shared" si="115"/>
        <v/>
      </c>
      <c r="AF761" t="str">
        <f t="shared" si="116"/>
        <v/>
      </c>
      <c r="AG761" t="str">
        <f t="shared" si="117"/>
        <v>Friday</v>
      </c>
      <c r="AH761" t="str">
        <f t="shared" si="118"/>
        <v/>
      </c>
      <c r="AI761" t="str">
        <f t="shared" si="119"/>
        <v/>
      </c>
      <c r="AJ761" t="str">
        <f>LEFT(Table1[[#This Row],[membership_type]],2)&amp;TEXT(Table1[[#This Row],[age]],"00")&amp;"-"&amp;TEXT(ROW(),"000")</f>
        <v>Pr29-761</v>
      </c>
      <c r="AK761" t="str">
        <f>LEFT(Table1[[#This Row],[membership_type]],1)&amp;TEXT(MATCH(Table1[[#This Row],[membership_type]],Table1[membership_type],0),"00")</f>
        <v>P01</v>
      </c>
      <c r="AL761" t="str">
        <f>LEFT(Table1[[#This Row],[discount_type]],1)&amp;TEXT(ROUND(Table1[[#This Row],[discount_rate]]*100,0),"00")</f>
        <v>S15</v>
      </c>
      <c r="AM761" t="str" cm="1">
        <f t="array" ref="AM761">TEXT(SUMPRODUCT(CODE(MID(Table1[[#This Row],[home_gym_location]],_xlfn.SEQUENCE(LEN(Table1[[#This Row],[home_gym_location]])),1))),"00000")</f>
        <v>00829</v>
      </c>
      <c r="AN761" t="str">
        <f>UPPER(_xlfn.TEXTBEFORE(Table1[[#This Row],[home_gym_location]],","))&amp;"-"&amp;TEXT(MATCH(Table1[[#This Row],[home_gym_location]],_xlfn._xlws.SORT(_xlfn.UNIQUE(Table1[home_gym_location])),0),"000")</f>
        <v>FRESNO-003</v>
      </c>
      <c r="AO761" t="str">
        <f>LEFT(_xlfn.TEXTBEFORE(Table1[[#This Row],[Location Identifier]],"-"),3) &amp; "-" &amp; _xlfn.TEXTAFTER(Table1[[#This Row],[Location Identifier]],"-")</f>
        <v>FRE-003</v>
      </c>
      <c r="AP761" s="9">
        <f t="shared" ca="1" si="110"/>
        <v>45869</v>
      </c>
    </row>
    <row r="762" spans="1:42" x14ac:dyDescent="0.25">
      <c r="A762">
        <v>47</v>
      </c>
      <c r="B762" t="s">
        <v>26</v>
      </c>
      <c r="C762">
        <v>2</v>
      </c>
      <c r="D762" t="s">
        <v>123</v>
      </c>
      <c r="E762" t="b">
        <v>1</v>
      </c>
      <c r="F762" s="1">
        <v>0.36041666666666666</v>
      </c>
      <c r="G762" s="1">
        <v>0.40138888888888891</v>
      </c>
      <c r="H762">
        <v>59</v>
      </c>
      <c r="I762" t="b">
        <v>1</v>
      </c>
      <c r="J762" t="b">
        <v>1</v>
      </c>
      <c r="K762" t="b">
        <v>1</v>
      </c>
      <c r="L762" t="s">
        <v>58</v>
      </c>
      <c r="M762">
        <v>50</v>
      </c>
      <c r="N762" t="s">
        <v>64</v>
      </c>
      <c r="O762">
        <v>37.5</v>
      </c>
      <c r="P762" t="s">
        <v>40</v>
      </c>
      <c r="Q762">
        <v>0.1</v>
      </c>
      <c r="R762">
        <v>33.75</v>
      </c>
      <c r="S762" t="s">
        <v>31</v>
      </c>
      <c r="T762" t="s">
        <v>54</v>
      </c>
      <c r="U762">
        <v>32.715699999999998</v>
      </c>
      <c r="V762">
        <v>-117.1611</v>
      </c>
      <c r="W762" s="2">
        <v>45499</v>
      </c>
      <c r="X762">
        <v>8</v>
      </c>
      <c r="Y762" t="b">
        <v>1</v>
      </c>
      <c r="Z762" s="2">
        <v>45842</v>
      </c>
      <c r="AA762" t="str">
        <f t="shared" si="111"/>
        <v>40–49</v>
      </c>
      <c r="AB762" t="str">
        <f t="shared" si="112"/>
        <v>40–49</v>
      </c>
      <c r="AC762" t="str">
        <f t="shared" si="113"/>
        <v>Monday</v>
      </c>
      <c r="AD762" t="str">
        <f t="shared" si="114"/>
        <v/>
      </c>
      <c r="AE762" t="str">
        <f t="shared" si="115"/>
        <v/>
      </c>
      <c r="AF762" t="str">
        <f t="shared" si="116"/>
        <v/>
      </c>
      <c r="AG762" t="str">
        <f t="shared" si="117"/>
        <v/>
      </c>
      <c r="AH762" t="str">
        <f t="shared" si="118"/>
        <v>Saturday</v>
      </c>
      <c r="AI762" t="str">
        <f t="shared" si="119"/>
        <v/>
      </c>
      <c r="AJ762" t="str">
        <f>LEFT(Table1[[#This Row],[membership_type]],2)&amp;TEXT(Table1[[#This Row],[age]],"00")&amp;"-"&amp;TEXT(ROW(),"000")</f>
        <v>Pr47-762</v>
      </c>
      <c r="AK762" t="str">
        <f>LEFT(Table1[[#This Row],[membership_type]],1)&amp;TEXT(MATCH(Table1[[#This Row],[membership_type]],Table1[membership_type],0),"00")</f>
        <v>P01</v>
      </c>
      <c r="AL762" t="str">
        <f>LEFT(Table1[[#This Row],[discount_type]],1)&amp;TEXT(ROUND(Table1[[#This Row],[discount_rate]]*100,0),"00")</f>
        <v>L10</v>
      </c>
      <c r="AM762" t="str" cm="1">
        <f t="array" ref="AM762">TEXT(SUMPRODUCT(CODE(MID(Table1[[#This Row],[home_gym_location]],_xlfn.SEQUENCE(LEN(Table1[[#This Row],[home_gym_location]])),1))),"00000")</f>
        <v>01018</v>
      </c>
      <c r="AN76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62" t="str">
        <f>LEFT(_xlfn.TEXTBEFORE(Table1[[#This Row],[Location Identifier]],"-"),3) &amp; "-" &amp; _xlfn.TEXTAFTER(Table1[[#This Row],[Location Identifier]],"-")</f>
        <v>SAN-008</v>
      </c>
      <c r="AP762" s="9">
        <f t="shared" ca="1" si="110"/>
        <v>45869</v>
      </c>
    </row>
    <row r="763" spans="1:42" x14ac:dyDescent="0.25">
      <c r="A763">
        <v>23</v>
      </c>
      <c r="B763" t="s">
        <v>26</v>
      </c>
      <c r="C763">
        <v>2</v>
      </c>
      <c r="D763" t="s">
        <v>126</v>
      </c>
      <c r="E763" t="b">
        <v>1</v>
      </c>
      <c r="F763" s="1">
        <v>0.73402777777777772</v>
      </c>
      <c r="G763" s="1">
        <v>0.83125000000000004</v>
      </c>
      <c r="H763">
        <v>140</v>
      </c>
      <c r="I763" t="b">
        <v>1</v>
      </c>
      <c r="J763" t="b">
        <v>1</v>
      </c>
      <c r="K763" t="b">
        <v>1</v>
      </c>
      <c r="L763" t="s">
        <v>58</v>
      </c>
      <c r="M763">
        <v>50</v>
      </c>
      <c r="N763" t="s">
        <v>64</v>
      </c>
      <c r="O763">
        <v>37.5</v>
      </c>
      <c r="P763" t="s">
        <v>30</v>
      </c>
      <c r="Q763">
        <v>0.05</v>
      </c>
      <c r="R763">
        <v>35.625</v>
      </c>
      <c r="S763" t="s">
        <v>31</v>
      </c>
      <c r="T763" t="s">
        <v>59</v>
      </c>
      <c r="U763">
        <v>37.774900000000002</v>
      </c>
      <c r="V763">
        <v>-122.4194</v>
      </c>
      <c r="W763" s="2">
        <v>45566</v>
      </c>
      <c r="X763">
        <v>8</v>
      </c>
      <c r="Y763" t="b">
        <v>1</v>
      </c>
      <c r="Z763" s="2">
        <v>45846</v>
      </c>
      <c r="AA763" t="str">
        <f t="shared" si="111"/>
        <v>20–29</v>
      </c>
      <c r="AB763" t="str">
        <f t="shared" si="112"/>
        <v>20–29</v>
      </c>
      <c r="AC763" t="str">
        <f t="shared" si="113"/>
        <v/>
      </c>
      <c r="AD763" t="str">
        <f t="shared" si="114"/>
        <v>Tuesday</v>
      </c>
      <c r="AE763" t="str">
        <f t="shared" si="115"/>
        <v>Wednesday</v>
      </c>
      <c r="AF763" t="str">
        <f t="shared" si="116"/>
        <v/>
      </c>
      <c r="AG763" t="str">
        <f t="shared" si="117"/>
        <v/>
      </c>
      <c r="AH763" t="str">
        <f t="shared" si="118"/>
        <v/>
      </c>
      <c r="AI763" t="str">
        <f t="shared" si="119"/>
        <v/>
      </c>
      <c r="AJ763" t="str">
        <f>LEFT(Table1[[#This Row],[membership_type]],2)&amp;TEXT(Table1[[#This Row],[age]],"00")&amp;"-"&amp;TEXT(ROW(),"000")</f>
        <v>Pr23-763</v>
      </c>
      <c r="AK763" t="str">
        <f>LEFT(Table1[[#This Row],[membership_type]],1)&amp;TEXT(MATCH(Table1[[#This Row],[membership_type]],Table1[membership_type],0),"00")</f>
        <v>P01</v>
      </c>
      <c r="AL763" t="str">
        <f>LEFT(Table1[[#This Row],[discount_type]],1)&amp;TEXT(ROUND(Table1[[#This Row],[discount_rate]]*100,0),"00")</f>
        <v>P05</v>
      </c>
      <c r="AM763" t="str" cm="1">
        <f t="array" ref="AM763">TEXT(SUMPRODUCT(CODE(MID(Table1[[#This Row],[home_gym_location]],_xlfn.SEQUENCE(LEN(Table1[[#This Row],[home_gym_location]])),1))),"00000")</f>
        <v>01450</v>
      </c>
      <c r="AN7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63" t="str">
        <f>LEFT(_xlfn.TEXTBEFORE(Table1[[#This Row],[Location Identifier]],"-"),3) &amp; "-" &amp; _xlfn.TEXTAFTER(Table1[[#This Row],[Location Identifier]],"-")</f>
        <v>SAN-009</v>
      </c>
      <c r="AP763" s="9">
        <f t="shared" ca="1" si="110"/>
        <v>45869</v>
      </c>
    </row>
    <row r="764" spans="1:42" x14ac:dyDescent="0.25">
      <c r="A764">
        <v>40</v>
      </c>
      <c r="B764" t="s">
        <v>42</v>
      </c>
      <c r="C764">
        <v>1</v>
      </c>
      <c r="D764" t="s">
        <v>95</v>
      </c>
      <c r="E764" t="b">
        <v>0</v>
      </c>
      <c r="F764" s="1">
        <v>0.43611111111111112</v>
      </c>
      <c r="G764" s="1">
        <v>0.55902777777777779</v>
      </c>
      <c r="H764">
        <v>177</v>
      </c>
      <c r="I764" t="b">
        <v>0</v>
      </c>
      <c r="J764" t="b">
        <v>0</v>
      </c>
      <c r="K764" t="b">
        <v>1</v>
      </c>
      <c r="L764" t="s">
        <v>62</v>
      </c>
      <c r="M764">
        <v>20</v>
      </c>
      <c r="N764" t="s">
        <v>64</v>
      </c>
      <c r="O764">
        <v>15</v>
      </c>
      <c r="P764" t="s">
        <v>74</v>
      </c>
      <c r="Q764">
        <v>0.15</v>
      </c>
      <c r="R764">
        <v>12.75</v>
      </c>
      <c r="S764" t="s">
        <v>44</v>
      </c>
      <c r="T764" t="s">
        <v>59</v>
      </c>
      <c r="U764">
        <v>37.774900000000002</v>
      </c>
      <c r="V764">
        <v>-122.4194</v>
      </c>
      <c r="W764" s="2">
        <v>45038</v>
      </c>
      <c r="X764">
        <v>0</v>
      </c>
      <c r="Y764" t="b">
        <v>0</v>
      </c>
      <c r="Z764" s="2">
        <v>45816</v>
      </c>
      <c r="AA764" t="str">
        <f t="shared" si="111"/>
        <v>40–49</v>
      </c>
      <c r="AB764" t="str">
        <f t="shared" si="112"/>
        <v>40–49</v>
      </c>
      <c r="AC764" t="str">
        <f t="shared" si="113"/>
        <v/>
      </c>
      <c r="AD764" t="str">
        <f t="shared" si="114"/>
        <v/>
      </c>
      <c r="AE764" t="str">
        <f t="shared" si="115"/>
        <v/>
      </c>
      <c r="AF764" t="str">
        <f t="shared" si="116"/>
        <v/>
      </c>
      <c r="AG764" t="str">
        <f t="shared" si="117"/>
        <v/>
      </c>
      <c r="AH764" t="str">
        <f t="shared" si="118"/>
        <v>Saturday</v>
      </c>
      <c r="AI764" t="str">
        <f t="shared" si="119"/>
        <v/>
      </c>
      <c r="AJ764" t="str">
        <f>LEFT(Table1[[#This Row],[membership_type]],2)&amp;TEXT(Table1[[#This Row],[age]],"00")&amp;"-"&amp;TEXT(ROW(),"000")</f>
        <v>Ba40-764</v>
      </c>
      <c r="AK764" t="str">
        <f>LEFT(Table1[[#This Row],[membership_type]],1)&amp;TEXT(MATCH(Table1[[#This Row],[membership_type]],Table1[membership_type],0),"00")</f>
        <v>B04</v>
      </c>
      <c r="AL764" t="str">
        <f>LEFT(Table1[[#This Row],[discount_type]],1)&amp;TEXT(ROUND(Table1[[#This Row],[discount_rate]]*100,0),"00")</f>
        <v>S15</v>
      </c>
      <c r="AM764" t="str" cm="1">
        <f t="array" ref="AM764">TEXT(SUMPRODUCT(CODE(MID(Table1[[#This Row],[home_gym_location]],_xlfn.SEQUENCE(LEN(Table1[[#This Row],[home_gym_location]])),1))),"00000")</f>
        <v>01450</v>
      </c>
      <c r="AN76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64" t="str">
        <f>LEFT(_xlfn.TEXTBEFORE(Table1[[#This Row],[Location Identifier]],"-"),3) &amp; "-" &amp; _xlfn.TEXTAFTER(Table1[[#This Row],[Location Identifier]],"-")</f>
        <v>SAN-009</v>
      </c>
      <c r="AP764" s="9">
        <f t="shared" ca="1" si="110"/>
        <v>45869</v>
      </c>
    </row>
    <row r="765" spans="1:42" x14ac:dyDescent="0.25">
      <c r="A765">
        <v>37</v>
      </c>
      <c r="B765" t="s">
        <v>33</v>
      </c>
      <c r="C765">
        <v>4</v>
      </c>
      <c r="D765" t="s">
        <v>111</v>
      </c>
      <c r="E765" t="b">
        <v>1</v>
      </c>
      <c r="F765" s="1">
        <v>0.49375000000000002</v>
      </c>
      <c r="G765" s="1">
        <v>0.58125000000000004</v>
      </c>
      <c r="H765">
        <v>126</v>
      </c>
      <c r="I765" t="b">
        <v>1</v>
      </c>
      <c r="J765" t="b">
        <v>0</v>
      </c>
      <c r="K765" t="b">
        <v>0</v>
      </c>
      <c r="L765" t="s">
        <v>62</v>
      </c>
      <c r="M765">
        <v>30</v>
      </c>
      <c r="N765" t="s">
        <v>29</v>
      </c>
      <c r="O765">
        <v>30</v>
      </c>
      <c r="P765" t="s">
        <v>36</v>
      </c>
      <c r="Q765">
        <v>0</v>
      </c>
      <c r="R765">
        <v>30</v>
      </c>
      <c r="S765" t="s">
        <v>37</v>
      </c>
      <c r="T765" t="s">
        <v>54</v>
      </c>
      <c r="U765">
        <v>32.715699999999998</v>
      </c>
      <c r="V765">
        <v>-117.1611</v>
      </c>
      <c r="W765" s="2">
        <v>45795</v>
      </c>
      <c r="X765">
        <v>0</v>
      </c>
      <c r="Y765" t="b">
        <v>1</v>
      </c>
      <c r="Z765" s="2">
        <v>45858</v>
      </c>
      <c r="AA765" t="str">
        <f t="shared" si="111"/>
        <v>30–39</v>
      </c>
      <c r="AB765" t="str">
        <f t="shared" si="112"/>
        <v>30–39</v>
      </c>
      <c r="AC765" t="str">
        <f t="shared" si="113"/>
        <v>Monday</v>
      </c>
      <c r="AD765" t="str">
        <f t="shared" si="114"/>
        <v>Tuesday</v>
      </c>
      <c r="AE765" t="str">
        <f t="shared" si="115"/>
        <v/>
      </c>
      <c r="AF765" t="str">
        <f t="shared" si="116"/>
        <v>Thursday</v>
      </c>
      <c r="AG765" t="str">
        <f t="shared" si="117"/>
        <v>Friday</v>
      </c>
      <c r="AH765" t="str">
        <f t="shared" si="118"/>
        <v/>
      </c>
      <c r="AI765" t="str">
        <f t="shared" si="119"/>
        <v/>
      </c>
      <c r="AJ765" t="str">
        <f>LEFT(Table1[[#This Row],[membership_type]],2)&amp;TEXT(Table1[[#This Row],[age]],"00")&amp;"-"&amp;TEXT(ROW(),"000")</f>
        <v>St37-765</v>
      </c>
      <c r="AK765" t="str">
        <f>LEFT(Table1[[#This Row],[membership_type]],1)&amp;TEXT(MATCH(Table1[[#This Row],[membership_type]],Table1[membership_type],0),"00")</f>
        <v>S02</v>
      </c>
      <c r="AL765" t="str">
        <f>LEFT(Table1[[#This Row],[discount_type]],1)&amp;TEXT(ROUND(Table1[[#This Row],[discount_rate]]*100,0),"00")</f>
        <v>N00</v>
      </c>
      <c r="AM765" t="str" cm="1">
        <f t="array" ref="AM765">TEXT(SUMPRODUCT(CODE(MID(Table1[[#This Row],[home_gym_location]],_xlfn.SEQUENCE(LEN(Table1[[#This Row],[home_gym_location]])),1))),"00000")</f>
        <v>01018</v>
      </c>
      <c r="AN76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65" t="str">
        <f>LEFT(_xlfn.TEXTBEFORE(Table1[[#This Row],[Location Identifier]],"-"),3) &amp; "-" &amp; _xlfn.TEXTAFTER(Table1[[#This Row],[Location Identifier]],"-")</f>
        <v>SAN-008</v>
      </c>
      <c r="AP765" s="9">
        <f t="shared" ca="1" si="110"/>
        <v>45869</v>
      </c>
    </row>
    <row r="766" spans="1:42" x14ac:dyDescent="0.25">
      <c r="A766">
        <v>22</v>
      </c>
      <c r="B766" t="s">
        <v>26</v>
      </c>
      <c r="C766">
        <v>3</v>
      </c>
      <c r="D766" t="s">
        <v>134</v>
      </c>
      <c r="E766" t="b">
        <v>1</v>
      </c>
      <c r="F766" s="1">
        <v>0.72847222222222219</v>
      </c>
      <c r="G766" s="1">
        <v>0.79583333333333328</v>
      </c>
      <c r="H766">
        <v>97</v>
      </c>
      <c r="I766" t="b">
        <v>1</v>
      </c>
      <c r="J766" t="b">
        <v>0</v>
      </c>
      <c r="K766" t="b">
        <v>0</v>
      </c>
      <c r="L766" t="s">
        <v>62</v>
      </c>
      <c r="M766">
        <v>50</v>
      </c>
      <c r="N766" t="s">
        <v>29</v>
      </c>
      <c r="O766">
        <v>50</v>
      </c>
      <c r="P766" t="s">
        <v>30</v>
      </c>
      <c r="Q766">
        <v>0.05</v>
      </c>
      <c r="R766">
        <v>47.5</v>
      </c>
      <c r="S766" t="s">
        <v>31</v>
      </c>
      <c r="T766" t="s">
        <v>65</v>
      </c>
      <c r="U766">
        <v>33.770099999999999</v>
      </c>
      <c r="V766">
        <v>-118.19370000000001</v>
      </c>
      <c r="W766" s="2">
        <v>45224</v>
      </c>
      <c r="X766">
        <v>0</v>
      </c>
      <c r="Y766" t="b">
        <v>0</v>
      </c>
      <c r="Z766" s="2">
        <v>45826</v>
      </c>
      <c r="AA766" t="str">
        <f t="shared" si="111"/>
        <v>20–29</v>
      </c>
      <c r="AB766" t="str">
        <f t="shared" si="112"/>
        <v>20–29</v>
      </c>
      <c r="AC766" t="str">
        <f t="shared" si="113"/>
        <v/>
      </c>
      <c r="AD766" t="str">
        <f t="shared" si="114"/>
        <v>Tuesday</v>
      </c>
      <c r="AE766" t="str">
        <f t="shared" si="115"/>
        <v/>
      </c>
      <c r="AF766" t="str">
        <f t="shared" si="116"/>
        <v>Thursday</v>
      </c>
      <c r="AG766" t="str">
        <f t="shared" si="117"/>
        <v/>
      </c>
      <c r="AH766" t="str">
        <f t="shared" si="118"/>
        <v>Saturday</v>
      </c>
      <c r="AI766" t="str">
        <f t="shared" si="119"/>
        <v/>
      </c>
      <c r="AJ766" t="str">
        <f>LEFT(Table1[[#This Row],[membership_type]],2)&amp;TEXT(Table1[[#This Row],[age]],"00")&amp;"-"&amp;TEXT(ROW(),"000")</f>
        <v>Pr22-766</v>
      </c>
      <c r="AK766" t="str">
        <f>LEFT(Table1[[#This Row],[membership_type]],1)&amp;TEXT(MATCH(Table1[[#This Row],[membership_type]],Table1[membership_type],0),"00")</f>
        <v>P01</v>
      </c>
      <c r="AL766" t="str">
        <f>LEFT(Table1[[#This Row],[discount_type]],1)&amp;TEXT(ROUND(Table1[[#This Row],[discount_rate]]*100,0),"00")</f>
        <v>P05</v>
      </c>
      <c r="AM766" t="str" cm="1">
        <f t="array" ref="AM766">TEXT(SUMPRODUCT(CODE(MID(Table1[[#This Row],[home_gym_location]],_xlfn.SEQUENCE(LEN(Table1[[#This Row],[home_gym_location]])),1))),"00000")</f>
        <v>01107</v>
      </c>
      <c r="AN76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66" t="str">
        <f>LEFT(_xlfn.TEXTBEFORE(Table1[[#This Row],[Location Identifier]],"-"),3) &amp; "-" &amp; _xlfn.TEXTAFTER(Table1[[#This Row],[Location Identifier]],"-")</f>
        <v>LON-004</v>
      </c>
      <c r="AP766" s="9">
        <f t="shared" ca="1" si="110"/>
        <v>45869</v>
      </c>
    </row>
    <row r="767" spans="1:42" x14ac:dyDescent="0.25">
      <c r="A767">
        <v>44</v>
      </c>
      <c r="B767" t="s">
        <v>42</v>
      </c>
      <c r="C767">
        <v>4</v>
      </c>
      <c r="D767" t="s">
        <v>156</v>
      </c>
      <c r="E767" t="b">
        <v>0</v>
      </c>
      <c r="F767" s="1">
        <v>0.46527777777777779</v>
      </c>
      <c r="G767" s="1">
        <v>0.48888888888888887</v>
      </c>
      <c r="H767">
        <v>34</v>
      </c>
      <c r="I767" t="b">
        <v>0</v>
      </c>
      <c r="J767" t="b">
        <v>0</v>
      </c>
      <c r="K767" t="b">
        <v>1</v>
      </c>
      <c r="L767" t="s">
        <v>35</v>
      </c>
      <c r="M767">
        <v>20</v>
      </c>
      <c r="N767" t="s">
        <v>64</v>
      </c>
      <c r="O767">
        <v>15</v>
      </c>
      <c r="P767" t="s">
        <v>36</v>
      </c>
      <c r="Q767">
        <v>0</v>
      </c>
      <c r="R767">
        <v>15</v>
      </c>
      <c r="S767" t="s">
        <v>44</v>
      </c>
      <c r="T767" t="s">
        <v>32</v>
      </c>
      <c r="U767">
        <v>37.338200000000001</v>
      </c>
      <c r="V767">
        <v>-121.88630000000001</v>
      </c>
      <c r="W767" s="2">
        <v>45018</v>
      </c>
      <c r="X767">
        <v>0</v>
      </c>
      <c r="Y767" t="b">
        <v>0</v>
      </c>
      <c r="Z767" s="2">
        <v>45815</v>
      </c>
      <c r="AA767" t="str">
        <f t="shared" si="111"/>
        <v>40–49</v>
      </c>
      <c r="AB767" t="str">
        <f t="shared" si="112"/>
        <v>40–49</v>
      </c>
      <c r="AC767" t="str">
        <f t="shared" si="113"/>
        <v/>
      </c>
      <c r="AD767" t="str">
        <f t="shared" si="114"/>
        <v>Tuesday</v>
      </c>
      <c r="AE767" t="str">
        <f t="shared" si="115"/>
        <v>Wednesday</v>
      </c>
      <c r="AF767" t="str">
        <f t="shared" si="116"/>
        <v>Thursday</v>
      </c>
      <c r="AG767" t="str">
        <f t="shared" si="117"/>
        <v/>
      </c>
      <c r="AH767" t="str">
        <f t="shared" si="118"/>
        <v>Saturday</v>
      </c>
      <c r="AI767" t="str">
        <f t="shared" si="119"/>
        <v/>
      </c>
      <c r="AJ767" t="str">
        <f>LEFT(Table1[[#This Row],[membership_type]],2)&amp;TEXT(Table1[[#This Row],[age]],"00")&amp;"-"&amp;TEXT(ROW(),"000")</f>
        <v>Ba44-767</v>
      </c>
      <c r="AK767" t="str">
        <f>LEFT(Table1[[#This Row],[membership_type]],1)&amp;TEXT(MATCH(Table1[[#This Row],[membership_type]],Table1[membership_type],0),"00")</f>
        <v>B04</v>
      </c>
      <c r="AL767" t="str">
        <f>LEFT(Table1[[#This Row],[discount_type]],1)&amp;TEXT(ROUND(Table1[[#This Row],[discount_rate]]*100,0),"00")</f>
        <v>N00</v>
      </c>
      <c r="AM767" t="str" cm="1">
        <f t="array" ref="AM767">TEXT(SUMPRODUCT(CODE(MID(Table1[[#This Row],[home_gym_location]],_xlfn.SEQUENCE(LEN(Table1[[#This Row],[home_gym_location]])),1))),"00000")</f>
        <v>00931</v>
      </c>
      <c r="AN76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67" t="str">
        <f>LEFT(_xlfn.TEXTBEFORE(Table1[[#This Row],[Location Identifier]],"-"),3) &amp; "-" &amp; _xlfn.TEXTAFTER(Table1[[#This Row],[Location Identifier]],"-")</f>
        <v>SAN-010</v>
      </c>
      <c r="AP767" s="9">
        <f t="shared" ca="1" si="110"/>
        <v>45869</v>
      </c>
    </row>
    <row r="768" spans="1:42" x14ac:dyDescent="0.25">
      <c r="A768">
        <v>49</v>
      </c>
      <c r="B768" t="s">
        <v>42</v>
      </c>
      <c r="C768">
        <v>1</v>
      </c>
      <c r="D768" t="s">
        <v>71</v>
      </c>
      <c r="E768" t="b">
        <v>1</v>
      </c>
      <c r="F768" s="1">
        <v>0.75138888888888888</v>
      </c>
      <c r="G768" s="1">
        <v>0.78055555555555556</v>
      </c>
      <c r="H768">
        <v>42</v>
      </c>
      <c r="I768" t="b">
        <v>1</v>
      </c>
      <c r="J768" t="b">
        <v>0</v>
      </c>
      <c r="K768" t="b">
        <v>0</v>
      </c>
      <c r="L768" t="s">
        <v>35</v>
      </c>
      <c r="M768">
        <v>20</v>
      </c>
      <c r="N768" t="s">
        <v>29</v>
      </c>
      <c r="O768">
        <v>20</v>
      </c>
      <c r="P768" t="s">
        <v>74</v>
      </c>
      <c r="Q768">
        <v>0.15</v>
      </c>
      <c r="R768">
        <v>17</v>
      </c>
      <c r="S768" t="s">
        <v>44</v>
      </c>
      <c r="T768" t="s">
        <v>45</v>
      </c>
      <c r="U768">
        <v>33.836599999999997</v>
      </c>
      <c r="V768">
        <v>-117.9143</v>
      </c>
      <c r="W768" s="2">
        <v>44897</v>
      </c>
      <c r="X768">
        <v>0</v>
      </c>
      <c r="Y768" t="b">
        <v>0</v>
      </c>
      <c r="Z768" s="2">
        <v>45808</v>
      </c>
      <c r="AA768" t="str">
        <f t="shared" si="111"/>
        <v>40–49</v>
      </c>
      <c r="AB768" t="str">
        <f t="shared" si="112"/>
        <v>40–49</v>
      </c>
      <c r="AC768" t="str">
        <f t="shared" si="113"/>
        <v/>
      </c>
      <c r="AD768" t="str">
        <f t="shared" si="114"/>
        <v>Tuesday</v>
      </c>
      <c r="AE768" t="str">
        <f t="shared" si="115"/>
        <v/>
      </c>
      <c r="AF768" t="str">
        <f t="shared" si="116"/>
        <v/>
      </c>
      <c r="AG768" t="str">
        <f t="shared" si="117"/>
        <v/>
      </c>
      <c r="AH768" t="str">
        <f t="shared" si="118"/>
        <v/>
      </c>
      <c r="AI768" t="str">
        <f t="shared" si="119"/>
        <v/>
      </c>
      <c r="AJ768" t="str">
        <f>LEFT(Table1[[#This Row],[membership_type]],2)&amp;TEXT(Table1[[#This Row],[age]],"00")&amp;"-"&amp;TEXT(ROW(),"000")</f>
        <v>Ba49-768</v>
      </c>
      <c r="AK768" t="str">
        <f>LEFT(Table1[[#This Row],[membership_type]],1)&amp;TEXT(MATCH(Table1[[#This Row],[membership_type]],Table1[membership_type],0),"00")</f>
        <v>B04</v>
      </c>
      <c r="AL768" t="str">
        <f>LEFT(Table1[[#This Row],[discount_type]],1)&amp;TEXT(ROUND(Table1[[#This Row],[discount_rate]]*100,0),"00")</f>
        <v>S15</v>
      </c>
      <c r="AM768" t="str" cm="1">
        <f t="array" ref="AM768">TEXT(SUMPRODUCT(CODE(MID(Table1[[#This Row],[home_gym_location]],_xlfn.SEQUENCE(LEN(Table1[[#This Row],[home_gym_location]])),1))),"00000")</f>
        <v>00899</v>
      </c>
      <c r="AN768" t="str">
        <f>UPPER(_xlfn.TEXTBEFORE(Table1[[#This Row],[home_gym_location]],","))&amp;"-"&amp;TEXT(MATCH(Table1[[#This Row],[home_gym_location]],_xlfn._xlws.SORT(_xlfn.UNIQUE(Table1[home_gym_location])),0),"000")</f>
        <v>ANAHEIM-001</v>
      </c>
      <c r="AO768" t="str">
        <f>LEFT(_xlfn.TEXTBEFORE(Table1[[#This Row],[Location Identifier]],"-"),3) &amp; "-" &amp; _xlfn.TEXTAFTER(Table1[[#This Row],[Location Identifier]],"-")</f>
        <v>ANA-001</v>
      </c>
      <c r="AP768" s="9">
        <f t="shared" ca="1" si="110"/>
        <v>45869</v>
      </c>
    </row>
    <row r="769" spans="1:42" x14ac:dyDescent="0.25">
      <c r="A769">
        <v>44</v>
      </c>
      <c r="B769" t="s">
        <v>42</v>
      </c>
      <c r="C769">
        <v>3</v>
      </c>
      <c r="D769" t="s">
        <v>140</v>
      </c>
      <c r="E769" t="b">
        <v>0</v>
      </c>
      <c r="F769" s="1">
        <v>0.43819444444444444</v>
      </c>
      <c r="G769" s="1">
        <v>0.51944444444444449</v>
      </c>
      <c r="H769">
        <v>117</v>
      </c>
      <c r="I769" t="b">
        <v>1</v>
      </c>
      <c r="J769" t="b">
        <v>1</v>
      </c>
      <c r="K769" t="b">
        <v>0</v>
      </c>
      <c r="L769" t="s">
        <v>62</v>
      </c>
      <c r="M769">
        <v>20</v>
      </c>
      <c r="N769" t="s">
        <v>29</v>
      </c>
      <c r="O769">
        <v>20</v>
      </c>
      <c r="P769" t="s">
        <v>74</v>
      </c>
      <c r="Q769">
        <v>0.15</v>
      </c>
      <c r="R769">
        <v>17</v>
      </c>
      <c r="S769" t="s">
        <v>44</v>
      </c>
      <c r="T769" t="s">
        <v>65</v>
      </c>
      <c r="U769">
        <v>33.770099999999999</v>
      </c>
      <c r="V769">
        <v>-118.19370000000001</v>
      </c>
      <c r="W769" s="2">
        <v>45466</v>
      </c>
      <c r="X769">
        <v>6</v>
      </c>
      <c r="Y769" t="b">
        <v>1</v>
      </c>
      <c r="Z769" s="2">
        <v>45840</v>
      </c>
      <c r="AA769" t="str">
        <f t="shared" si="111"/>
        <v>40–49</v>
      </c>
      <c r="AB769" t="str">
        <f t="shared" si="112"/>
        <v>40–49</v>
      </c>
      <c r="AC769" t="str">
        <f t="shared" si="113"/>
        <v>Monday</v>
      </c>
      <c r="AD769" t="str">
        <f t="shared" si="114"/>
        <v>Tuesday</v>
      </c>
      <c r="AE769" t="str">
        <f t="shared" si="115"/>
        <v/>
      </c>
      <c r="AF769" t="str">
        <f t="shared" si="116"/>
        <v/>
      </c>
      <c r="AG769" t="str">
        <f t="shared" si="117"/>
        <v>Friday</v>
      </c>
      <c r="AH769" t="str">
        <f t="shared" si="118"/>
        <v/>
      </c>
      <c r="AI769" t="str">
        <f t="shared" si="119"/>
        <v/>
      </c>
      <c r="AJ769" t="str">
        <f>LEFT(Table1[[#This Row],[membership_type]],2)&amp;TEXT(Table1[[#This Row],[age]],"00")&amp;"-"&amp;TEXT(ROW(),"000")</f>
        <v>Ba44-769</v>
      </c>
      <c r="AK769" t="str">
        <f>LEFT(Table1[[#This Row],[membership_type]],1)&amp;TEXT(MATCH(Table1[[#This Row],[membership_type]],Table1[membership_type],0),"00")</f>
        <v>B04</v>
      </c>
      <c r="AL769" t="str">
        <f>LEFT(Table1[[#This Row],[discount_type]],1)&amp;TEXT(ROUND(Table1[[#This Row],[discount_rate]]*100,0),"00")</f>
        <v>S15</v>
      </c>
      <c r="AM769" t="str" cm="1">
        <f t="array" ref="AM769">TEXT(SUMPRODUCT(CODE(MID(Table1[[#This Row],[home_gym_location]],_xlfn.SEQUENCE(LEN(Table1[[#This Row],[home_gym_location]])),1))),"00000")</f>
        <v>01107</v>
      </c>
      <c r="AN76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69" t="str">
        <f>LEFT(_xlfn.TEXTBEFORE(Table1[[#This Row],[Location Identifier]],"-"),3) &amp; "-" &amp; _xlfn.TEXTAFTER(Table1[[#This Row],[Location Identifier]],"-")</f>
        <v>LON-004</v>
      </c>
      <c r="AP769" s="9">
        <f t="shared" ca="1" si="110"/>
        <v>45869</v>
      </c>
    </row>
    <row r="770" spans="1:42" x14ac:dyDescent="0.25">
      <c r="A770">
        <v>13</v>
      </c>
      <c r="B770" t="s">
        <v>51</v>
      </c>
      <c r="C770">
        <v>2</v>
      </c>
      <c r="D770" t="s">
        <v>43</v>
      </c>
      <c r="E770" t="b">
        <v>1</v>
      </c>
      <c r="F770" s="1">
        <v>0.87222222222222223</v>
      </c>
      <c r="G770" s="1">
        <v>0.98333333333333328</v>
      </c>
      <c r="H770">
        <v>160</v>
      </c>
      <c r="I770" t="b">
        <v>1</v>
      </c>
      <c r="J770" t="b">
        <v>1</v>
      </c>
      <c r="K770" t="b">
        <v>0</v>
      </c>
      <c r="L770" t="s">
        <v>28</v>
      </c>
      <c r="M770">
        <v>70</v>
      </c>
      <c r="N770" t="s">
        <v>78</v>
      </c>
      <c r="O770">
        <v>63</v>
      </c>
      <c r="P770" t="s">
        <v>74</v>
      </c>
      <c r="Q770">
        <v>0.15</v>
      </c>
      <c r="R770">
        <v>53.55</v>
      </c>
      <c r="S770" t="s">
        <v>53</v>
      </c>
      <c r="T770" t="s">
        <v>48</v>
      </c>
      <c r="U770">
        <v>38.581600000000002</v>
      </c>
      <c r="V770">
        <v>-121.4944</v>
      </c>
      <c r="W770" s="2">
        <v>44956</v>
      </c>
      <c r="X770">
        <v>2</v>
      </c>
      <c r="Y770" t="b">
        <v>1</v>
      </c>
      <c r="Z770" s="2">
        <v>45811</v>
      </c>
      <c r="AA770" t="str">
        <f t="shared" si="111"/>
        <v>10–19</v>
      </c>
      <c r="AB770" t="str">
        <f t="shared" si="112"/>
        <v>Under 16</v>
      </c>
      <c r="AC770" t="str">
        <f t="shared" si="113"/>
        <v>Monday</v>
      </c>
      <c r="AD770" t="str">
        <f t="shared" si="114"/>
        <v>Tuesday</v>
      </c>
      <c r="AE770" t="str">
        <f t="shared" si="115"/>
        <v/>
      </c>
      <c r="AF770" t="str">
        <f t="shared" si="116"/>
        <v/>
      </c>
      <c r="AG770" t="str">
        <f t="shared" si="117"/>
        <v/>
      </c>
      <c r="AH770" t="str">
        <f t="shared" si="118"/>
        <v/>
      </c>
      <c r="AI770" t="str">
        <f t="shared" si="119"/>
        <v/>
      </c>
      <c r="AJ770" t="str">
        <f>LEFT(Table1[[#This Row],[membership_type]],2)&amp;TEXT(Table1[[#This Row],[age]],"00")&amp;"-"&amp;TEXT(ROW(),"000")</f>
        <v>El13-770</v>
      </c>
      <c r="AK770" t="str">
        <f>LEFT(Table1[[#This Row],[membership_type]],1)&amp;TEXT(MATCH(Table1[[#This Row],[membership_type]],Table1[membership_type],0),"00")</f>
        <v>E07</v>
      </c>
      <c r="AL770" t="str">
        <f>LEFT(Table1[[#This Row],[discount_type]],1)&amp;TEXT(ROUND(Table1[[#This Row],[discount_rate]]*100,0),"00")</f>
        <v>S15</v>
      </c>
      <c r="AM770" t="str" cm="1">
        <f t="array" ref="AM770">TEXT(SUMPRODUCT(CODE(MID(Table1[[#This Row],[home_gym_location]],_xlfn.SEQUENCE(LEN(Table1[[#This Row],[home_gym_location]])),1))),"00000")</f>
        <v>01245</v>
      </c>
      <c r="AN77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70" t="str">
        <f>LEFT(_xlfn.TEXTBEFORE(Table1[[#This Row],[Location Identifier]],"-"),3) &amp; "-" &amp; _xlfn.TEXTAFTER(Table1[[#This Row],[Location Identifier]],"-")</f>
        <v>SAC-007</v>
      </c>
      <c r="AP770" s="9">
        <f t="shared" ref="AP770:AP833" ca="1" si="120">EOMONTH(DATE(YEAR(TODAY()),7,1),0)</f>
        <v>45869</v>
      </c>
    </row>
    <row r="771" spans="1:42" x14ac:dyDescent="0.25">
      <c r="A771">
        <v>23</v>
      </c>
      <c r="B771" t="s">
        <v>42</v>
      </c>
      <c r="C771">
        <v>4</v>
      </c>
      <c r="D771" t="s">
        <v>159</v>
      </c>
      <c r="E771" t="b">
        <v>1</v>
      </c>
      <c r="F771" s="1">
        <v>0.43263888888888891</v>
      </c>
      <c r="G771" s="1">
        <v>0.52013888888888893</v>
      </c>
      <c r="H771">
        <v>126</v>
      </c>
      <c r="I771" t="b">
        <v>1</v>
      </c>
      <c r="J771" t="b">
        <v>1</v>
      </c>
      <c r="K771" t="b">
        <v>0</v>
      </c>
      <c r="L771" t="s">
        <v>58</v>
      </c>
      <c r="M771">
        <v>20</v>
      </c>
      <c r="N771" t="s">
        <v>29</v>
      </c>
      <c r="O771">
        <v>20</v>
      </c>
      <c r="P771" t="s">
        <v>40</v>
      </c>
      <c r="Q771">
        <v>0.1</v>
      </c>
      <c r="R771">
        <v>18</v>
      </c>
      <c r="S771" t="s">
        <v>44</v>
      </c>
      <c r="T771" t="s">
        <v>54</v>
      </c>
      <c r="U771">
        <v>32.715699999999998</v>
      </c>
      <c r="V771">
        <v>-117.1611</v>
      </c>
      <c r="W771" s="2">
        <v>45713</v>
      </c>
      <c r="X771">
        <v>6</v>
      </c>
      <c r="Y771" t="b">
        <v>0</v>
      </c>
      <c r="Z771" s="2">
        <v>45854</v>
      </c>
      <c r="AA771" t="str">
        <f t="shared" ref="AA771:AA834" si="121">TEXT(10*INT($A771/10),"0")&amp;"–"&amp;TEXT(10*INT($A771/10)+9,"0")</f>
        <v>20–29</v>
      </c>
      <c r="AB771" t="str">
        <f t="shared" ref="AB771:AB834" si="122">IF(AND($AA771 = "10–19", $A771 &lt; 16), "Under 16", IF(AND($AA771 = "10–19", $A771 &gt;= 16), "16–19", $AA771))</f>
        <v>20–29</v>
      </c>
      <c r="AC771" t="str">
        <f t="shared" ref="AC771:AC834" si="123">IF(ISNUMBER(SEARCH("Mon", $D771)), "Monday", "")</f>
        <v>Monday</v>
      </c>
      <c r="AD771" t="str">
        <f t="shared" ref="AD771:AD834" si="124">IF(ISNUMBER(SEARCH("Tue", $D771)), "Tuesday", "")</f>
        <v>Tuesday</v>
      </c>
      <c r="AE771" t="str">
        <f t="shared" ref="AE771:AE834" si="125">IF(ISNUMBER(SEARCH("Wed", $D771)), "Wednesday", "")</f>
        <v/>
      </c>
      <c r="AF771" t="str">
        <f t="shared" ref="AF771:AF834" si="126">IF(ISNUMBER(SEARCH("Thu", $D771)), "Thursday", "")</f>
        <v>Thursday</v>
      </c>
      <c r="AG771" t="str">
        <f t="shared" ref="AG771:AG834" si="127">IF(ISNUMBER(SEARCH("Fri", $D771)), "Friday", "")</f>
        <v/>
      </c>
      <c r="AH771" t="str">
        <f t="shared" ref="AH771:AH834" si="128">IF(ISNUMBER(SEARCH("Sat", $D771)), "Saturday", "")</f>
        <v/>
      </c>
      <c r="AI771" t="str">
        <f t="shared" ref="AI771:AI834" si="129">IF(ISNUMBER(SEARCH("Sun", $D771)), "Sunday", "")</f>
        <v>Sunday</v>
      </c>
      <c r="AJ771" t="str">
        <f>LEFT(Table1[[#This Row],[membership_type]],2)&amp;TEXT(Table1[[#This Row],[age]],"00")&amp;"-"&amp;TEXT(ROW(),"000")</f>
        <v>Ba23-771</v>
      </c>
      <c r="AK771" t="str">
        <f>LEFT(Table1[[#This Row],[membership_type]],1)&amp;TEXT(MATCH(Table1[[#This Row],[membership_type]],Table1[membership_type],0),"00")</f>
        <v>B04</v>
      </c>
      <c r="AL771" t="str">
        <f>LEFT(Table1[[#This Row],[discount_type]],1)&amp;TEXT(ROUND(Table1[[#This Row],[discount_rate]]*100,0),"00")</f>
        <v>L10</v>
      </c>
      <c r="AM771" t="str" cm="1">
        <f t="array" ref="AM771">TEXT(SUMPRODUCT(CODE(MID(Table1[[#This Row],[home_gym_location]],_xlfn.SEQUENCE(LEN(Table1[[#This Row],[home_gym_location]])),1))),"00000")</f>
        <v>01018</v>
      </c>
      <c r="AN77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71" t="str">
        <f>LEFT(_xlfn.TEXTBEFORE(Table1[[#This Row],[Location Identifier]],"-"),3) &amp; "-" &amp; _xlfn.TEXTAFTER(Table1[[#This Row],[Location Identifier]],"-")</f>
        <v>SAN-008</v>
      </c>
      <c r="AP771" s="9">
        <f t="shared" ca="1" si="120"/>
        <v>45869</v>
      </c>
    </row>
    <row r="772" spans="1:42" x14ac:dyDescent="0.25">
      <c r="A772">
        <v>16</v>
      </c>
      <c r="B772" t="s">
        <v>42</v>
      </c>
      <c r="C772">
        <v>3</v>
      </c>
      <c r="D772" t="s">
        <v>90</v>
      </c>
      <c r="E772" t="b">
        <v>0</v>
      </c>
      <c r="F772" s="1">
        <v>0.63541666666666663</v>
      </c>
      <c r="G772" s="1">
        <v>0.65694444444444444</v>
      </c>
      <c r="H772">
        <v>31</v>
      </c>
      <c r="I772" t="b">
        <v>1</v>
      </c>
      <c r="J772" t="b">
        <v>1</v>
      </c>
      <c r="K772" t="b">
        <v>0</v>
      </c>
      <c r="L772" t="s">
        <v>62</v>
      </c>
      <c r="M772">
        <v>20</v>
      </c>
      <c r="N772" t="s">
        <v>29</v>
      </c>
      <c r="O772">
        <v>20</v>
      </c>
      <c r="P772" t="s">
        <v>30</v>
      </c>
      <c r="Q772">
        <v>0.05</v>
      </c>
      <c r="R772">
        <v>19</v>
      </c>
      <c r="S772" t="s">
        <v>44</v>
      </c>
      <c r="T772" t="s">
        <v>50</v>
      </c>
      <c r="U772">
        <v>34.052199999999999</v>
      </c>
      <c r="V772">
        <v>-118.2437</v>
      </c>
      <c r="W772" s="2">
        <v>44929</v>
      </c>
      <c r="X772">
        <v>7</v>
      </c>
      <c r="Y772" t="b">
        <v>0</v>
      </c>
      <c r="Z772" s="2">
        <v>45810</v>
      </c>
      <c r="AA772" t="str">
        <f t="shared" si="121"/>
        <v>10–19</v>
      </c>
      <c r="AB772" t="str">
        <f t="shared" si="122"/>
        <v>16–19</v>
      </c>
      <c r="AC772" t="str">
        <f t="shared" si="123"/>
        <v/>
      </c>
      <c r="AD772" t="str">
        <f t="shared" si="124"/>
        <v>Tuesday</v>
      </c>
      <c r="AE772" t="str">
        <f t="shared" si="125"/>
        <v/>
      </c>
      <c r="AF772" t="str">
        <f t="shared" si="126"/>
        <v/>
      </c>
      <c r="AG772" t="str">
        <f t="shared" si="127"/>
        <v/>
      </c>
      <c r="AH772" t="str">
        <f t="shared" si="128"/>
        <v>Saturday</v>
      </c>
      <c r="AI772" t="str">
        <f t="shared" si="129"/>
        <v>Sunday</v>
      </c>
      <c r="AJ772" t="str">
        <f>LEFT(Table1[[#This Row],[membership_type]],2)&amp;TEXT(Table1[[#This Row],[age]],"00")&amp;"-"&amp;TEXT(ROW(),"000")</f>
        <v>Ba16-772</v>
      </c>
      <c r="AK772" t="str">
        <f>LEFT(Table1[[#This Row],[membership_type]],1)&amp;TEXT(MATCH(Table1[[#This Row],[membership_type]],Table1[membership_type],0),"00")</f>
        <v>B04</v>
      </c>
      <c r="AL772" t="str">
        <f>LEFT(Table1[[#This Row],[discount_type]],1)&amp;TEXT(ROUND(Table1[[#This Row],[discount_rate]]*100,0),"00")</f>
        <v>P05</v>
      </c>
      <c r="AM772" t="str" cm="1">
        <f t="array" ref="AM772">TEXT(SUMPRODUCT(CODE(MID(Table1[[#This Row],[home_gym_location]],_xlfn.SEQUENCE(LEN(Table1[[#This Row],[home_gym_location]])),1))),"00000")</f>
        <v>01245</v>
      </c>
      <c r="AN77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72" t="str">
        <f>LEFT(_xlfn.TEXTBEFORE(Table1[[#This Row],[Location Identifier]],"-"),3) &amp; "-" &amp; _xlfn.TEXTAFTER(Table1[[#This Row],[Location Identifier]],"-")</f>
        <v>LOS-005</v>
      </c>
      <c r="AP772" s="9">
        <f t="shared" ca="1" si="120"/>
        <v>45869</v>
      </c>
    </row>
    <row r="773" spans="1:42" x14ac:dyDescent="0.25">
      <c r="A773">
        <v>49</v>
      </c>
      <c r="B773" t="s">
        <v>42</v>
      </c>
      <c r="C773">
        <v>3</v>
      </c>
      <c r="D773" t="s">
        <v>55</v>
      </c>
      <c r="E773" t="b">
        <v>1</v>
      </c>
      <c r="F773" s="1">
        <v>0.83402777777777781</v>
      </c>
      <c r="G773" s="1">
        <v>0.94027777777777777</v>
      </c>
      <c r="H773">
        <v>153</v>
      </c>
      <c r="I773" t="b">
        <v>0</v>
      </c>
      <c r="J773" t="b">
        <v>1</v>
      </c>
      <c r="K773" t="b">
        <v>0</v>
      </c>
      <c r="L773" t="s">
        <v>62</v>
      </c>
      <c r="M773">
        <v>20</v>
      </c>
      <c r="N773" t="s">
        <v>29</v>
      </c>
      <c r="O773">
        <v>20</v>
      </c>
      <c r="P773" t="s">
        <v>36</v>
      </c>
      <c r="Q773">
        <v>0</v>
      </c>
      <c r="R773">
        <v>20</v>
      </c>
      <c r="S773" t="s">
        <v>44</v>
      </c>
      <c r="T773" t="s">
        <v>41</v>
      </c>
      <c r="U773">
        <v>37.804400000000001</v>
      </c>
      <c r="V773">
        <v>-122.27119999999999</v>
      </c>
      <c r="W773" s="2">
        <v>45695</v>
      </c>
      <c r="X773">
        <v>6</v>
      </c>
      <c r="Y773" t="b">
        <v>1</v>
      </c>
      <c r="Z773" s="2">
        <v>45853</v>
      </c>
      <c r="AA773" t="str">
        <f t="shared" si="121"/>
        <v>40–49</v>
      </c>
      <c r="AB773" t="str">
        <f t="shared" si="122"/>
        <v>40–49</v>
      </c>
      <c r="AC773" t="str">
        <f t="shared" si="123"/>
        <v/>
      </c>
      <c r="AD773" t="str">
        <f t="shared" si="124"/>
        <v/>
      </c>
      <c r="AE773" t="str">
        <f t="shared" si="125"/>
        <v/>
      </c>
      <c r="AF773" t="str">
        <f t="shared" si="126"/>
        <v>Thursday</v>
      </c>
      <c r="AG773" t="str">
        <f t="shared" si="127"/>
        <v>Friday</v>
      </c>
      <c r="AH773" t="str">
        <f t="shared" si="128"/>
        <v/>
      </c>
      <c r="AI773" t="str">
        <f t="shared" si="129"/>
        <v>Sunday</v>
      </c>
      <c r="AJ773" t="str">
        <f>LEFT(Table1[[#This Row],[membership_type]],2)&amp;TEXT(Table1[[#This Row],[age]],"00")&amp;"-"&amp;TEXT(ROW(),"000")</f>
        <v>Ba49-773</v>
      </c>
      <c r="AK773" t="str">
        <f>LEFT(Table1[[#This Row],[membership_type]],1)&amp;TEXT(MATCH(Table1[[#This Row],[membership_type]],Table1[membership_type],0),"00")</f>
        <v>B04</v>
      </c>
      <c r="AL773" t="str">
        <f>LEFT(Table1[[#This Row],[discount_type]],1)&amp;TEXT(ROUND(Table1[[#This Row],[discount_rate]]*100,0),"00")</f>
        <v>N00</v>
      </c>
      <c r="AM773" t="str" cm="1">
        <f t="array" ref="AM773">TEXT(SUMPRODUCT(CODE(MID(Table1[[#This Row],[home_gym_location]],_xlfn.SEQUENCE(LEN(Table1[[#This Row],[home_gym_location]])),1))),"00000")</f>
        <v>00906</v>
      </c>
      <c r="AN773" t="str">
        <f>UPPER(_xlfn.TEXTBEFORE(Table1[[#This Row],[home_gym_location]],","))&amp;"-"&amp;TEXT(MATCH(Table1[[#This Row],[home_gym_location]],_xlfn._xlws.SORT(_xlfn.UNIQUE(Table1[home_gym_location])),0),"000")</f>
        <v>OAKLAND-006</v>
      </c>
      <c r="AO773" t="str">
        <f>LEFT(_xlfn.TEXTBEFORE(Table1[[#This Row],[Location Identifier]],"-"),3) &amp; "-" &amp; _xlfn.TEXTAFTER(Table1[[#This Row],[Location Identifier]],"-")</f>
        <v>OAK-006</v>
      </c>
      <c r="AP773" s="9">
        <f t="shared" ca="1" si="120"/>
        <v>45869</v>
      </c>
    </row>
    <row r="774" spans="1:42" x14ac:dyDescent="0.25">
      <c r="A774">
        <v>20</v>
      </c>
      <c r="B774" t="s">
        <v>26</v>
      </c>
      <c r="C774">
        <v>5</v>
      </c>
      <c r="D774" t="s">
        <v>127</v>
      </c>
      <c r="E774" t="b">
        <v>0</v>
      </c>
      <c r="F774" s="1">
        <v>0.84444444444444444</v>
      </c>
      <c r="G774" s="1">
        <v>0.91111111111111109</v>
      </c>
      <c r="H774">
        <v>96</v>
      </c>
      <c r="I774" t="b">
        <v>1</v>
      </c>
      <c r="J774" t="b">
        <v>1</v>
      </c>
      <c r="K774" t="b">
        <v>0</v>
      </c>
      <c r="L774" t="s">
        <v>28</v>
      </c>
      <c r="M774">
        <v>50</v>
      </c>
      <c r="N774" t="s">
        <v>29</v>
      </c>
      <c r="O774">
        <v>50</v>
      </c>
      <c r="P774" t="s">
        <v>36</v>
      </c>
      <c r="Q774">
        <v>0</v>
      </c>
      <c r="R774">
        <v>50</v>
      </c>
      <c r="S774" t="s">
        <v>31</v>
      </c>
      <c r="T774" t="s">
        <v>56</v>
      </c>
      <c r="U774">
        <v>35.3733</v>
      </c>
      <c r="V774">
        <v>-119.0187</v>
      </c>
      <c r="W774" s="2">
        <v>45407</v>
      </c>
      <c r="X774">
        <v>8</v>
      </c>
      <c r="Y774" t="b">
        <v>1</v>
      </c>
      <c r="Z774" s="2">
        <v>45837</v>
      </c>
      <c r="AA774" t="str">
        <f t="shared" si="121"/>
        <v>20–29</v>
      </c>
      <c r="AB774" t="str">
        <f t="shared" si="122"/>
        <v>20–29</v>
      </c>
      <c r="AC774" t="str">
        <f t="shared" si="123"/>
        <v>Monday</v>
      </c>
      <c r="AD774" t="str">
        <f t="shared" si="124"/>
        <v>Tuesday</v>
      </c>
      <c r="AE774" t="str">
        <f t="shared" si="125"/>
        <v/>
      </c>
      <c r="AF774" t="str">
        <f t="shared" si="126"/>
        <v/>
      </c>
      <c r="AG774" t="str">
        <f t="shared" si="127"/>
        <v>Friday</v>
      </c>
      <c r="AH774" t="str">
        <f t="shared" si="128"/>
        <v>Saturday</v>
      </c>
      <c r="AI774" t="str">
        <f t="shared" si="129"/>
        <v>Sunday</v>
      </c>
      <c r="AJ774" t="str">
        <f>LEFT(Table1[[#This Row],[membership_type]],2)&amp;TEXT(Table1[[#This Row],[age]],"00")&amp;"-"&amp;TEXT(ROW(),"000")</f>
        <v>Pr20-774</v>
      </c>
      <c r="AK774" t="str">
        <f>LEFT(Table1[[#This Row],[membership_type]],1)&amp;TEXT(MATCH(Table1[[#This Row],[membership_type]],Table1[membership_type],0),"00")</f>
        <v>P01</v>
      </c>
      <c r="AL774" t="str">
        <f>LEFT(Table1[[#This Row],[discount_type]],1)&amp;TEXT(ROUND(Table1[[#This Row],[discount_rate]]*100,0),"00")</f>
        <v>N00</v>
      </c>
      <c r="AM774" t="str" cm="1">
        <f t="array" ref="AM774">TEXT(SUMPRODUCT(CODE(MID(Table1[[#This Row],[home_gym_location]],_xlfn.SEQUENCE(LEN(Table1[[#This Row],[home_gym_location]])),1))),"00000")</f>
        <v>01324</v>
      </c>
      <c r="AN77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74" t="str">
        <f>LEFT(_xlfn.TEXTBEFORE(Table1[[#This Row],[Location Identifier]],"-"),3) &amp; "-" &amp; _xlfn.TEXTAFTER(Table1[[#This Row],[Location Identifier]],"-")</f>
        <v>BAK-002</v>
      </c>
      <c r="AP774" s="9">
        <f t="shared" ca="1" si="120"/>
        <v>45869</v>
      </c>
    </row>
    <row r="775" spans="1:42" x14ac:dyDescent="0.25">
      <c r="A775">
        <v>38</v>
      </c>
      <c r="B775" t="s">
        <v>51</v>
      </c>
      <c r="C775">
        <v>1</v>
      </c>
      <c r="D775" t="s">
        <v>71</v>
      </c>
      <c r="E775" t="b">
        <v>1</v>
      </c>
      <c r="F775" s="1">
        <v>0.41736111111111113</v>
      </c>
      <c r="G775" s="1">
        <v>0.53333333333333333</v>
      </c>
      <c r="H775">
        <v>167</v>
      </c>
      <c r="I775" t="b">
        <v>1</v>
      </c>
      <c r="J775" t="b">
        <v>1</v>
      </c>
      <c r="K775" t="b">
        <v>1</v>
      </c>
      <c r="L775" t="s">
        <v>62</v>
      </c>
      <c r="M775">
        <v>70</v>
      </c>
      <c r="N775" t="s">
        <v>29</v>
      </c>
      <c r="O775">
        <v>70</v>
      </c>
      <c r="P775" t="s">
        <v>36</v>
      </c>
      <c r="Q775">
        <v>0</v>
      </c>
      <c r="R775">
        <v>70</v>
      </c>
      <c r="S775" t="s">
        <v>53</v>
      </c>
      <c r="T775" t="s">
        <v>38</v>
      </c>
      <c r="U775">
        <v>36.7378</v>
      </c>
      <c r="V775">
        <v>-119.7871</v>
      </c>
      <c r="W775" s="2">
        <v>44981</v>
      </c>
      <c r="X775">
        <v>1</v>
      </c>
      <c r="Y775" t="b">
        <v>0</v>
      </c>
      <c r="Z775" s="2">
        <v>45813</v>
      </c>
      <c r="AA775" t="str">
        <f t="shared" si="121"/>
        <v>30–39</v>
      </c>
      <c r="AB775" t="str">
        <f t="shared" si="122"/>
        <v>30–39</v>
      </c>
      <c r="AC775" t="str">
        <f t="shared" si="123"/>
        <v/>
      </c>
      <c r="AD775" t="str">
        <f t="shared" si="124"/>
        <v>Tuesday</v>
      </c>
      <c r="AE775" t="str">
        <f t="shared" si="125"/>
        <v/>
      </c>
      <c r="AF775" t="str">
        <f t="shared" si="126"/>
        <v/>
      </c>
      <c r="AG775" t="str">
        <f t="shared" si="127"/>
        <v/>
      </c>
      <c r="AH775" t="str">
        <f t="shared" si="128"/>
        <v/>
      </c>
      <c r="AI775" t="str">
        <f t="shared" si="129"/>
        <v/>
      </c>
      <c r="AJ775" t="str">
        <f>LEFT(Table1[[#This Row],[membership_type]],2)&amp;TEXT(Table1[[#This Row],[age]],"00")&amp;"-"&amp;TEXT(ROW(),"000")</f>
        <v>El38-775</v>
      </c>
      <c r="AK775" t="str">
        <f>LEFT(Table1[[#This Row],[membership_type]],1)&amp;TEXT(MATCH(Table1[[#This Row],[membership_type]],Table1[membership_type],0),"00")</f>
        <v>E07</v>
      </c>
      <c r="AL775" t="str">
        <f>LEFT(Table1[[#This Row],[discount_type]],1)&amp;TEXT(ROUND(Table1[[#This Row],[discount_rate]]*100,0),"00")</f>
        <v>N00</v>
      </c>
      <c r="AM775" t="str" cm="1">
        <f t="array" ref="AM775">TEXT(SUMPRODUCT(CODE(MID(Table1[[#This Row],[home_gym_location]],_xlfn.SEQUENCE(LEN(Table1[[#This Row],[home_gym_location]])),1))),"00000")</f>
        <v>00829</v>
      </c>
      <c r="AN775" t="str">
        <f>UPPER(_xlfn.TEXTBEFORE(Table1[[#This Row],[home_gym_location]],","))&amp;"-"&amp;TEXT(MATCH(Table1[[#This Row],[home_gym_location]],_xlfn._xlws.SORT(_xlfn.UNIQUE(Table1[home_gym_location])),0),"000")</f>
        <v>FRESNO-003</v>
      </c>
      <c r="AO775" t="str">
        <f>LEFT(_xlfn.TEXTBEFORE(Table1[[#This Row],[Location Identifier]],"-"),3) &amp; "-" &amp; _xlfn.TEXTAFTER(Table1[[#This Row],[Location Identifier]],"-")</f>
        <v>FRE-003</v>
      </c>
      <c r="AP775" s="9">
        <f t="shared" ca="1" si="120"/>
        <v>45869</v>
      </c>
    </row>
    <row r="776" spans="1:42" x14ac:dyDescent="0.25">
      <c r="A776">
        <v>20</v>
      </c>
      <c r="B776" t="s">
        <v>51</v>
      </c>
      <c r="C776">
        <v>2</v>
      </c>
      <c r="D776" t="s">
        <v>116</v>
      </c>
      <c r="E776" t="b">
        <v>1</v>
      </c>
      <c r="F776" s="1">
        <v>0.39305555555555555</v>
      </c>
      <c r="G776" s="1">
        <v>0.44097222222222221</v>
      </c>
      <c r="H776">
        <v>69</v>
      </c>
      <c r="I776" t="b">
        <v>0</v>
      </c>
      <c r="J776" t="b">
        <v>0</v>
      </c>
      <c r="K776" t="b">
        <v>0</v>
      </c>
      <c r="L776" t="s">
        <v>47</v>
      </c>
      <c r="M776">
        <v>70</v>
      </c>
      <c r="N776" t="s">
        <v>29</v>
      </c>
      <c r="O776">
        <v>70</v>
      </c>
      <c r="P776" t="s">
        <v>36</v>
      </c>
      <c r="Q776">
        <v>0</v>
      </c>
      <c r="R776">
        <v>70</v>
      </c>
      <c r="S776" t="s">
        <v>53</v>
      </c>
      <c r="T776" t="s">
        <v>54</v>
      </c>
      <c r="U776">
        <v>32.715699999999998</v>
      </c>
      <c r="V776">
        <v>-117.1611</v>
      </c>
      <c r="W776" s="2">
        <v>45671</v>
      </c>
      <c r="X776">
        <v>0</v>
      </c>
      <c r="Y776" t="b">
        <v>1</v>
      </c>
      <c r="Z776" s="2">
        <v>45852</v>
      </c>
      <c r="AA776" t="str">
        <f t="shared" si="121"/>
        <v>20–29</v>
      </c>
      <c r="AB776" t="str">
        <f t="shared" si="122"/>
        <v>20–29</v>
      </c>
      <c r="AC776" t="str">
        <f t="shared" si="123"/>
        <v/>
      </c>
      <c r="AD776" t="str">
        <f t="shared" si="124"/>
        <v/>
      </c>
      <c r="AE776" t="str">
        <f t="shared" si="125"/>
        <v/>
      </c>
      <c r="AF776" t="str">
        <f t="shared" si="126"/>
        <v>Thursday</v>
      </c>
      <c r="AG776" t="str">
        <f t="shared" si="127"/>
        <v/>
      </c>
      <c r="AH776" t="str">
        <f t="shared" si="128"/>
        <v/>
      </c>
      <c r="AI776" t="str">
        <f t="shared" si="129"/>
        <v>Sunday</v>
      </c>
      <c r="AJ776" t="str">
        <f>LEFT(Table1[[#This Row],[membership_type]],2)&amp;TEXT(Table1[[#This Row],[age]],"00")&amp;"-"&amp;TEXT(ROW(),"000")</f>
        <v>El20-776</v>
      </c>
      <c r="AK776" t="str">
        <f>LEFT(Table1[[#This Row],[membership_type]],1)&amp;TEXT(MATCH(Table1[[#This Row],[membership_type]],Table1[membership_type],0),"00")</f>
        <v>E07</v>
      </c>
      <c r="AL776" t="str">
        <f>LEFT(Table1[[#This Row],[discount_type]],1)&amp;TEXT(ROUND(Table1[[#This Row],[discount_rate]]*100,0),"00")</f>
        <v>N00</v>
      </c>
      <c r="AM776" t="str" cm="1">
        <f t="array" ref="AM776">TEXT(SUMPRODUCT(CODE(MID(Table1[[#This Row],[home_gym_location]],_xlfn.SEQUENCE(LEN(Table1[[#This Row],[home_gym_location]])),1))),"00000")</f>
        <v>01018</v>
      </c>
      <c r="AN77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76" t="str">
        <f>LEFT(_xlfn.TEXTBEFORE(Table1[[#This Row],[Location Identifier]],"-"),3) &amp; "-" &amp; _xlfn.TEXTAFTER(Table1[[#This Row],[Location Identifier]],"-")</f>
        <v>SAN-008</v>
      </c>
      <c r="AP776" s="9">
        <f t="shared" ca="1" si="120"/>
        <v>45869</v>
      </c>
    </row>
    <row r="777" spans="1:42" x14ac:dyDescent="0.25">
      <c r="A777">
        <v>33</v>
      </c>
      <c r="B777" t="s">
        <v>26</v>
      </c>
      <c r="C777">
        <v>3</v>
      </c>
      <c r="D777" t="s">
        <v>91</v>
      </c>
      <c r="E777" t="b">
        <v>0</v>
      </c>
      <c r="F777" s="1">
        <v>0.40694444444444444</v>
      </c>
      <c r="G777" s="1">
        <v>0.51180555555555551</v>
      </c>
      <c r="H777">
        <v>151</v>
      </c>
      <c r="I777" t="b">
        <v>0</v>
      </c>
      <c r="J777" t="b">
        <v>0</v>
      </c>
      <c r="K777" t="b">
        <v>0</v>
      </c>
      <c r="L777" t="s">
        <v>28</v>
      </c>
      <c r="M777">
        <v>50</v>
      </c>
      <c r="N777" t="s">
        <v>78</v>
      </c>
      <c r="O777">
        <v>45</v>
      </c>
      <c r="P777" t="s">
        <v>36</v>
      </c>
      <c r="Q777">
        <v>0</v>
      </c>
      <c r="R777">
        <v>45</v>
      </c>
      <c r="S777" t="s">
        <v>31</v>
      </c>
      <c r="T777" t="s">
        <v>56</v>
      </c>
      <c r="U777">
        <v>35.3733</v>
      </c>
      <c r="V777">
        <v>-119.0187</v>
      </c>
      <c r="W777" s="2">
        <v>45586</v>
      </c>
      <c r="X777">
        <v>0</v>
      </c>
      <c r="Y777" t="b">
        <v>1</v>
      </c>
      <c r="Z777" s="2">
        <v>45847</v>
      </c>
      <c r="AA777" t="str">
        <f t="shared" si="121"/>
        <v>30–39</v>
      </c>
      <c r="AB777" t="str">
        <f t="shared" si="122"/>
        <v>30–39</v>
      </c>
      <c r="AC777" t="str">
        <f t="shared" si="123"/>
        <v>Monday</v>
      </c>
      <c r="AD777" t="str">
        <f t="shared" si="124"/>
        <v/>
      </c>
      <c r="AE777" t="str">
        <f t="shared" si="125"/>
        <v/>
      </c>
      <c r="AF777" t="str">
        <f t="shared" si="126"/>
        <v>Thursday</v>
      </c>
      <c r="AG777" t="str">
        <f t="shared" si="127"/>
        <v/>
      </c>
      <c r="AH777" t="str">
        <f t="shared" si="128"/>
        <v>Saturday</v>
      </c>
      <c r="AI777" t="str">
        <f t="shared" si="129"/>
        <v/>
      </c>
      <c r="AJ777" t="str">
        <f>LEFT(Table1[[#This Row],[membership_type]],2)&amp;TEXT(Table1[[#This Row],[age]],"00")&amp;"-"&amp;TEXT(ROW(),"000")</f>
        <v>Pr33-777</v>
      </c>
      <c r="AK777" t="str">
        <f>LEFT(Table1[[#This Row],[membership_type]],1)&amp;TEXT(MATCH(Table1[[#This Row],[membership_type]],Table1[membership_type],0),"00")</f>
        <v>P01</v>
      </c>
      <c r="AL777" t="str">
        <f>LEFT(Table1[[#This Row],[discount_type]],1)&amp;TEXT(ROUND(Table1[[#This Row],[discount_rate]]*100,0),"00")</f>
        <v>N00</v>
      </c>
      <c r="AM777" t="str" cm="1">
        <f t="array" ref="AM777">TEXT(SUMPRODUCT(CODE(MID(Table1[[#This Row],[home_gym_location]],_xlfn.SEQUENCE(LEN(Table1[[#This Row],[home_gym_location]])),1))),"00000")</f>
        <v>01324</v>
      </c>
      <c r="AN77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77" t="str">
        <f>LEFT(_xlfn.TEXTBEFORE(Table1[[#This Row],[Location Identifier]],"-"),3) &amp; "-" &amp; _xlfn.TEXTAFTER(Table1[[#This Row],[Location Identifier]],"-")</f>
        <v>BAK-002</v>
      </c>
      <c r="AP777" s="9">
        <f t="shared" ca="1" si="120"/>
        <v>45869</v>
      </c>
    </row>
    <row r="778" spans="1:42" x14ac:dyDescent="0.25">
      <c r="A778">
        <v>12</v>
      </c>
      <c r="B778" t="s">
        <v>33</v>
      </c>
      <c r="C778">
        <v>2</v>
      </c>
      <c r="D778" t="s">
        <v>43</v>
      </c>
      <c r="E778" t="b">
        <v>1</v>
      </c>
      <c r="F778" s="1">
        <v>0.40902777777777777</v>
      </c>
      <c r="G778" s="1">
        <v>0.47916666666666669</v>
      </c>
      <c r="H778">
        <v>101</v>
      </c>
      <c r="I778" t="b">
        <v>0</v>
      </c>
      <c r="J778" t="b">
        <v>1</v>
      </c>
      <c r="K778" t="b">
        <v>0</v>
      </c>
      <c r="L778" t="s">
        <v>62</v>
      </c>
      <c r="M778">
        <v>30</v>
      </c>
      <c r="N778" t="s">
        <v>64</v>
      </c>
      <c r="O778">
        <v>22.5</v>
      </c>
      <c r="P778" t="s">
        <v>36</v>
      </c>
      <c r="Q778">
        <v>0</v>
      </c>
      <c r="R778">
        <v>22.5</v>
      </c>
      <c r="S778" t="s">
        <v>37</v>
      </c>
      <c r="T778" t="s">
        <v>38</v>
      </c>
      <c r="U778">
        <v>36.7378</v>
      </c>
      <c r="V778">
        <v>-119.7871</v>
      </c>
      <c r="W778" s="2">
        <v>45061</v>
      </c>
      <c r="X778">
        <v>3</v>
      </c>
      <c r="Y778" t="b">
        <v>0</v>
      </c>
      <c r="Z778" s="2">
        <v>45817</v>
      </c>
      <c r="AA778" t="str">
        <f t="shared" si="121"/>
        <v>10–19</v>
      </c>
      <c r="AB778" t="str">
        <f t="shared" si="122"/>
        <v>Under 16</v>
      </c>
      <c r="AC778" t="str">
        <f t="shared" si="123"/>
        <v>Monday</v>
      </c>
      <c r="AD778" t="str">
        <f t="shared" si="124"/>
        <v>Tuesday</v>
      </c>
      <c r="AE778" t="str">
        <f t="shared" si="125"/>
        <v/>
      </c>
      <c r="AF778" t="str">
        <f t="shared" si="126"/>
        <v/>
      </c>
      <c r="AG778" t="str">
        <f t="shared" si="127"/>
        <v/>
      </c>
      <c r="AH778" t="str">
        <f t="shared" si="128"/>
        <v/>
      </c>
      <c r="AI778" t="str">
        <f t="shared" si="129"/>
        <v/>
      </c>
      <c r="AJ778" t="str">
        <f>LEFT(Table1[[#This Row],[membership_type]],2)&amp;TEXT(Table1[[#This Row],[age]],"00")&amp;"-"&amp;TEXT(ROW(),"000")</f>
        <v>St12-778</v>
      </c>
      <c r="AK778" t="str">
        <f>LEFT(Table1[[#This Row],[membership_type]],1)&amp;TEXT(MATCH(Table1[[#This Row],[membership_type]],Table1[membership_type],0),"00")</f>
        <v>S02</v>
      </c>
      <c r="AL778" t="str">
        <f>LEFT(Table1[[#This Row],[discount_type]],1)&amp;TEXT(ROUND(Table1[[#This Row],[discount_rate]]*100,0),"00")</f>
        <v>N00</v>
      </c>
      <c r="AM778" t="str" cm="1">
        <f t="array" ref="AM778">TEXT(SUMPRODUCT(CODE(MID(Table1[[#This Row],[home_gym_location]],_xlfn.SEQUENCE(LEN(Table1[[#This Row],[home_gym_location]])),1))),"00000")</f>
        <v>00829</v>
      </c>
      <c r="AN778" t="str">
        <f>UPPER(_xlfn.TEXTBEFORE(Table1[[#This Row],[home_gym_location]],","))&amp;"-"&amp;TEXT(MATCH(Table1[[#This Row],[home_gym_location]],_xlfn._xlws.SORT(_xlfn.UNIQUE(Table1[home_gym_location])),0),"000")</f>
        <v>FRESNO-003</v>
      </c>
      <c r="AO778" t="str">
        <f>LEFT(_xlfn.TEXTBEFORE(Table1[[#This Row],[Location Identifier]],"-"),3) &amp; "-" &amp; _xlfn.TEXTAFTER(Table1[[#This Row],[Location Identifier]],"-")</f>
        <v>FRE-003</v>
      </c>
      <c r="AP778" s="9">
        <f t="shared" ca="1" si="120"/>
        <v>45869</v>
      </c>
    </row>
    <row r="779" spans="1:42" x14ac:dyDescent="0.25">
      <c r="A779">
        <v>20</v>
      </c>
      <c r="B779" t="s">
        <v>26</v>
      </c>
      <c r="C779">
        <v>2</v>
      </c>
      <c r="D779" t="s">
        <v>92</v>
      </c>
      <c r="E779" t="b">
        <v>1</v>
      </c>
      <c r="F779" s="1">
        <v>0.4909722222222222</v>
      </c>
      <c r="G779" s="1">
        <v>0.59027777777777779</v>
      </c>
      <c r="H779">
        <v>143</v>
      </c>
      <c r="I779" t="b">
        <v>1</v>
      </c>
      <c r="J779" t="b">
        <v>1</v>
      </c>
      <c r="K779" t="b">
        <v>1</v>
      </c>
      <c r="L779" t="s">
        <v>58</v>
      </c>
      <c r="M779">
        <v>50</v>
      </c>
      <c r="N779" t="s">
        <v>29</v>
      </c>
      <c r="O779">
        <v>50</v>
      </c>
      <c r="P779" t="s">
        <v>36</v>
      </c>
      <c r="Q779">
        <v>0</v>
      </c>
      <c r="R779">
        <v>50</v>
      </c>
      <c r="S779" t="s">
        <v>31</v>
      </c>
      <c r="T779" t="s">
        <v>54</v>
      </c>
      <c r="U779">
        <v>32.715699999999998</v>
      </c>
      <c r="V779">
        <v>-117.1611</v>
      </c>
      <c r="W779" s="2">
        <v>45064</v>
      </c>
      <c r="X779">
        <v>6</v>
      </c>
      <c r="Y779" t="b">
        <v>1</v>
      </c>
      <c r="Z779" s="2">
        <v>45817</v>
      </c>
      <c r="AA779" t="str">
        <f t="shared" si="121"/>
        <v>20–29</v>
      </c>
      <c r="AB779" t="str">
        <f t="shared" si="122"/>
        <v>20–29</v>
      </c>
      <c r="AC779" t="str">
        <f t="shared" si="123"/>
        <v/>
      </c>
      <c r="AD779" t="str">
        <f t="shared" si="124"/>
        <v/>
      </c>
      <c r="AE779" t="str">
        <f t="shared" si="125"/>
        <v/>
      </c>
      <c r="AF779" t="str">
        <f t="shared" si="126"/>
        <v/>
      </c>
      <c r="AG779" t="str">
        <f t="shared" si="127"/>
        <v>Friday</v>
      </c>
      <c r="AH779" t="str">
        <f t="shared" si="128"/>
        <v/>
      </c>
      <c r="AI779" t="str">
        <f t="shared" si="129"/>
        <v>Sunday</v>
      </c>
      <c r="AJ779" t="str">
        <f>LEFT(Table1[[#This Row],[membership_type]],2)&amp;TEXT(Table1[[#This Row],[age]],"00")&amp;"-"&amp;TEXT(ROW(),"000")</f>
        <v>Pr20-779</v>
      </c>
      <c r="AK779" t="str">
        <f>LEFT(Table1[[#This Row],[membership_type]],1)&amp;TEXT(MATCH(Table1[[#This Row],[membership_type]],Table1[membership_type],0),"00")</f>
        <v>P01</v>
      </c>
      <c r="AL779" t="str">
        <f>LEFT(Table1[[#This Row],[discount_type]],1)&amp;TEXT(ROUND(Table1[[#This Row],[discount_rate]]*100,0),"00")</f>
        <v>N00</v>
      </c>
      <c r="AM779" t="str" cm="1">
        <f t="array" ref="AM779">TEXT(SUMPRODUCT(CODE(MID(Table1[[#This Row],[home_gym_location]],_xlfn.SEQUENCE(LEN(Table1[[#This Row],[home_gym_location]])),1))),"00000")</f>
        <v>01018</v>
      </c>
      <c r="AN77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79" t="str">
        <f>LEFT(_xlfn.TEXTBEFORE(Table1[[#This Row],[Location Identifier]],"-"),3) &amp; "-" &amp; _xlfn.TEXTAFTER(Table1[[#This Row],[Location Identifier]],"-")</f>
        <v>SAN-008</v>
      </c>
      <c r="AP779" s="9">
        <f t="shared" ca="1" si="120"/>
        <v>45869</v>
      </c>
    </row>
    <row r="780" spans="1:42" x14ac:dyDescent="0.25">
      <c r="A780">
        <v>20</v>
      </c>
      <c r="B780" t="s">
        <v>33</v>
      </c>
      <c r="C780">
        <v>3</v>
      </c>
      <c r="D780" t="s">
        <v>106</v>
      </c>
      <c r="E780" t="b">
        <v>0</v>
      </c>
      <c r="F780" s="1">
        <v>0.64444444444444449</v>
      </c>
      <c r="G780" s="1">
        <v>0.74861111111111112</v>
      </c>
      <c r="H780">
        <v>150</v>
      </c>
      <c r="I780" t="b">
        <v>1</v>
      </c>
      <c r="J780" t="b">
        <v>0</v>
      </c>
      <c r="K780" t="b">
        <v>1</v>
      </c>
      <c r="L780" t="s">
        <v>62</v>
      </c>
      <c r="M780">
        <v>30</v>
      </c>
      <c r="N780" t="s">
        <v>78</v>
      </c>
      <c r="O780">
        <v>27</v>
      </c>
      <c r="P780" t="s">
        <v>74</v>
      </c>
      <c r="Q780">
        <v>0.15</v>
      </c>
      <c r="R780">
        <v>22.95</v>
      </c>
      <c r="S780" t="s">
        <v>37</v>
      </c>
      <c r="T780" t="s">
        <v>38</v>
      </c>
      <c r="U780">
        <v>36.7378</v>
      </c>
      <c r="V780">
        <v>-119.7871</v>
      </c>
      <c r="W780" s="2">
        <v>45148</v>
      </c>
      <c r="X780">
        <v>0</v>
      </c>
      <c r="Y780" t="b">
        <v>0</v>
      </c>
      <c r="Z780" s="2">
        <v>45822</v>
      </c>
      <c r="AA780" t="str">
        <f t="shared" si="121"/>
        <v>20–29</v>
      </c>
      <c r="AB780" t="str">
        <f t="shared" si="122"/>
        <v>20–29</v>
      </c>
      <c r="AC780" t="str">
        <f t="shared" si="123"/>
        <v/>
      </c>
      <c r="AD780" t="str">
        <f t="shared" si="124"/>
        <v/>
      </c>
      <c r="AE780" t="str">
        <f t="shared" si="125"/>
        <v>Wednesday</v>
      </c>
      <c r="AF780" t="str">
        <f t="shared" si="126"/>
        <v>Thursday</v>
      </c>
      <c r="AG780" t="str">
        <f t="shared" si="127"/>
        <v>Friday</v>
      </c>
      <c r="AH780" t="str">
        <f t="shared" si="128"/>
        <v/>
      </c>
      <c r="AI780" t="str">
        <f t="shared" si="129"/>
        <v/>
      </c>
      <c r="AJ780" t="str">
        <f>LEFT(Table1[[#This Row],[membership_type]],2)&amp;TEXT(Table1[[#This Row],[age]],"00")&amp;"-"&amp;TEXT(ROW(),"000")</f>
        <v>St20-780</v>
      </c>
      <c r="AK780" t="str">
        <f>LEFT(Table1[[#This Row],[membership_type]],1)&amp;TEXT(MATCH(Table1[[#This Row],[membership_type]],Table1[membership_type],0),"00")</f>
        <v>S02</v>
      </c>
      <c r="AL780" t="str">
        <f>LEFT(Table1[[#This Row],[discount_type]],1)&amp;TEXT(ROUND(Table1[[#This Row],[discount_rate]]*100,0),"00")</f>
        <v>S15</v>
      </c>
      <c r="AM780" t="str" cm="1">
        <f t="array" ref="AM780">TEXT(SUMPRODUCT(CODE(MID(Table1[[#This Row],[home_gym_location]],_xlfn.SEQUENCE(LEN(Table1[[#This Row],[home_gym_location]])),1))),"00000")</f>
        <v>00829</v>
      </c>
      <c r="AN780" t="str">
        <f>UPPER(_xlfn.TEXTBEFORE(Table1[[#This Row],[home_gym_location]],","))&amp;"-"&amp;TEXT(MATCH(Table1[[#This Row],[home_gym_location]],_xlfn._xlws.SORT(_xlfn.UNIQUE(Table1[home_gym_location])),0),"000")</f>
        <v>FRESNO-003</v>
      </c>
      <c r="AO780" t="str">
        <f>LEFT(_xlfn.TEXTBEFORE(Table1[[#This Row],[Location Identifier]],"-"),3) &amp; "-" &amp; _xlfn.TEXTAFTER(Table1[[#This Row],[Location Identifier]],"-")</f>
        <v>FRE-003</v>
      </c>
      <c r="AP780" s="9">
        <f t="shared" ca="1" si="120"/>
        <v>45869</v>
      </c>
    </row>
    <row r="781" spans="1:42" x14ac:dyDescent="0.25">
      <c r="A781">
        <v>41</v>
      </c>
      <c r="B781" t="s">
        <v>33</v>
      </c>
      <c r="C781">
        <v>3</v>
      </c>
      <c r="D781" t="s">
        <v>82</v>
      </c>
      <c r="E781" t="b">
        <v>0</v>
      </c>
      <c r="F781" s="1">
        <v>0.41388888888888886</v>
      </c>
      <c r="G781" s="1">
        <v>0.48541666666666666</v>
      </c>
      <c r="H781">
        <v>103</v>
      </c>
      <c r="I781" t="b">
        <v>0</v>
      </c>
      <c r="J781" t="b">
        <v>1</v>
      </c>
      <c r="K781" t="b">
        <v>1</v>
      </c>
      <c r="L781" t="s">
        <v>47</v>
      </c>
      <c r="M781">
        <v>30</v>
      </c>
      <c r="N781" t="s">
        <v>29</v>
      </c>
      <c r="O781">
        <v>30</v>
      </c>
      <c r="P781" t="s">
        <v>74</v>
      </c>
      <c r="Q781">
        <v>0.15</v>
      </c>
      <c r="R781">
        <v>25.5</v>
      </c>
      <c r="S781" t="s">
        <v>37</v>
      </c>
      <c r="T781" t="s">
        <v>65</v>
      </c>
      <c r="U781">
        <v>33.770099999999999</v>
      </c>
      <c r="V781">
        <v>-118.19370000000001</v>
      </c>
      <c r="W781" s="2">
        <v>45091</v>
      </c>
      <c r="X781">
        <v>3</v>
      </c>
      <c r="Y781" t="b">
        <v>1</v>
      </c>
      <c r="Z781" s="2">
        <v>45819</v>
      </c>
      <c r="AA781" t="str">
        <f t="shared" si="121"/>
        <v>40–49</v>
      </c>
      <c r="AB781" t="str">
        <f t="shared" si="122"/>
        <v>40–49</v>
      </c>
      <c r="AC781" t="str">
        <f t="shared" si="123"/>
        <v/>
      </c>
      <c r="AD781" t="str">
        <f t="shared" si="124"/>
        <v/>
      </c>
      <c r="AE781" t="str">
        <f t="shared" si="125"/>
        <v/>
      </c>
      <c r="AF781" t="str">
        <f t="shared" si="126"/>
        <v/>
      </c>
      <c r="AG781" t="str">
        <f t="shared" si="127"/>
        <v>Friday</v>
      </c>
      <c r="AH781" t="str">
        <f t="shared" si="128"/>
        <v>Saturday</v>
      </c>
      <c r="AI781" t="str">
        <f t="shared" si="129"/>
        <v>Sunday</v>
      </c>
      <c r="AJ781" t="str">
        <f>LEFT(Table1[[#This Row],[membership_type]],2)&amp;TEXT(Table1[[#This Row],[age]],"00")&amp;"-"&amp;TEXT(ROW(),"000")</f>
        <v>St41-781</v>
      </c>
      <c r="AK781" t="str">
        <f>LEFT(Table1[[#This Row],[membership_type]],1)&amp;TEXT(MATCH(Table1[[#This Row],[membership_type]],Table1[membership_type],0),"00")</f>
        <v>S02</v>
      </c>
      <c r="AL781" t="str">
        <f>LEFT(Table1[[#This Row],[discount_type]],1)&amp;TEXT(ROUND(Table1[[#This Row],[discount_rate]]*100,0),"00")</f>
        <v>S15</v>
      </c>
      <c r="AM781" t="str" cm="1">
        <f t="array" ref="AM781">TEXT(SUMPRODUCT(CODE(MID(Table1[[#This Row],[home_gym_location]],_xlfn.SEQUENCE(LEN(Table1[[#This Row],[home_gym_location]])),1))),"00000")</f>
        <v>01107</v>
      </c>
      <c r="AN78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81" t="str">
        <f>LEFT(_xlfn.TEXTBEFORE(Table1[[#This Row],[Location Identifier]],"-"),3) &amp; "-" &amp; _xlfn.TEXTAFTER(Table1[[#This Row],[Location Identifier]],"-")</f>
        <v>LON-004</v>
      </c>
      <c r="AP781" s="9">
        <f t="shared" ca="1" si="120"/>
        <v>45869</v>
      </c>
    </row>
    <row r="782" spans="1:42" x14ac:dyDescent="0.25">
      <c r="A782">
        <v>40</v>
      </c>
      <c r="B782" t="s">
        <v>26</v>
      </c>
      <c r="C782">
        <v>2</v>
      </c>
      <c r="D782" t="s">
        <v>27</v>
      </c>
      <c r="E782" t="b">
        <v>1</v>
      </c>
      <c r="F782" s="1">
        <v>0.78611111111111109</v>
      </c>
      <c r="G782" s="1">
        <v>0.8208333333333333</v>
      </c>
      <c r="H782">
        <v>50</v>
      </c>
      <c r="I782" t="b">
        <v>1</v>
      </c>
      <c r="J782" t="b">
        <v>0</v>
      </c>
      <c r="K782" t="b">
        <v>1</v>
      </c>
      <c r="L782" t="s">
        <v>28</v>
      </c>
      <c r="M782">
        <v>50</v>
      </c>
      <c r="N782" t="s">
        <v>64</v>
      </c>
      <c r="O782">
        <v>37.5</v>
      </c>
      <c r="P782" t="s">
        <v>36</v>
      </c>
      <c r="Q782">
        <v>0</v>
      </c>
      <c r="R782">
        <v>37.5</v>
      </c>
      <c r="S782" t="s">
        <v>31</v>
      </c>
      <c r="T782" t="s">
        <v>50</v>
      </c>
      <c r="U782">
        <v>34.052199999999999</v>
      </c>
      <c r="V782">
        <v>-118.2437</v>
      </c>
      <c r="W782" s="2">
        <v>45252</v>
      </c>
      <c r="X782">
        <v>0</v>
      </c>
      <c r="Y782" t="b">
        <v>1</v>
      </c>
      <c r="Z782" s="2">
        <v>45828</v>
      </c>
      <c r="AA782" t="str">
        <f t="shared" si="121"/>
        <v>40–49</v>
      </c>
      <c r="AB782" t="str">
        <f t="shared" si="122"/>
        <v>40–49</v>
      </c>
      <c r="AC782" t="str">
        <f t="shared" si="123"/>
        <v/>
      </c>
      <c r="AD782" t="str">
        <f t="shared" si="124"/>
        <v/>
      </c>
      <c r="AE782" t="str">
        <f t="shared" si="125"/>
        <v/>
      </c>
      <c r="AF782" t="str">
        <f t="shared" si="126"/>
        <v>Thursday</v>
      </c>
      <c r="AG782" t="str">
        <f t="shared" si="127"/>
        <v/>
      </c>
      <c r="AH782" t="str">
        <f t="shared" si="128"/>
        <v>Saturday</v>
      </c>
      <c r="AI782" t="str">
        <f t="shared" si="129"/>
        <v/>
      </c>
      <c r="AJ782" t="str">
        <f>LEFT(Table1[[#This Row],[membership_type]],2)&amp;TEXT(Table1[[#This Row],[age]],"00")&amp;"-"&amp;TEXT(ROW(),"000")</f>
        <v>Pr40-782</v>
      </c>
      <c r="AK782" t="str">
        <f>LEFT(Table1[[#This Row],[membership_type]],1)&amp;TEXT(MATCH(Table1[[#This Row],[membership_type]],Table1[membership_type],0),"00")</f>
        <v>P01</v>
      </c>
      <c r="AL782" t="str">
        <f>LEFT(Table1[[#This Row],[discount_type]],1)&amp;TEXT(ROUND(Table1[[#This Row],[discount_rate]]*100,0),"00")</f>
        <v>N00</v>
      </c>
      <c r="AM782" t="str" cm="1">
        <f t="array" ref="AM782">TEXT(SUMPRODUCT(CODE(MID(Table1[[#This Row],[home_gym_location]],_xlfn.SEQUENCE(LEN(Table1[[#This Row],[home_gym_location]])),1))),"00000")</f>
        <v>01245</v>
      </c>
      <c r="AN78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82" t="str">
        <f>LEFT(_xlfn.TEXTBEFORE(Table1[[#This Row],[Location Identifier]],"-"),3) &amp; "-" &amp; _xlfn.TEXTAFTER(Table1[[#This Row],[Location Identifier]],"-")</f>
        <v>LOS-005</v>
      </c>
      <c r="AP782" s="9">
        <f t="shared" ca="1" si="120"/>
        <v>45869</v>
      </c>
    </row>
    <row r="783" spans="1:42" x14ac:dyDescent="0.25">
      <c r="A783">
        <v>24</v>
      </c>
      <c r="B783" t="s">
        <v>33</v>
      </c>
      <c r="C783">
        <v>3</v>
      </c>
      <c r="D783" t="s">
        <v>155</v>
      </c>
      <c r="E783" t="b">
        <v>0</v>
      </c>
      <c r="F783" s="1">
        <v>0.3840277777777778</v>
      </c>
      <c r="G783" s="1">
        <v>0.48402777777777778</v>
      </c>
      <c r="H783">
        <v>144</v>
      </c>
      <c r="I783" t="b">
        <v>0</v>
      </c>
      <c r="J783" t="b">
        <v>0</v>
      </c>
      <c r="K783" t="b">
        <v>0</v>
      </c>
      <c r="L783" t="s">
        <v>62</v>
      </c>
      <c r="M783">
        <v>30</v>
      </c>
      <c r="N783" t="s">
        <v>78</v>
      </c>
      <c r="O783">
        <v>27</v>
      </c>
      <c r="P783" t="s">
        <v>40</v>
      </c>
      <c r="Q783">
        <v>0.1</v>
      </c>
      <c r="R783">
        <v>24.3</v>
      </c>
      <c r="S783" t="s">
        <v>37</v>
      </c>
      <c r="T783" t="s">
        <v>59</v>
      </c>
      <c r="U783">
        <v>37.774900000000002</v>
      </c>
      <c r="V783">
        <v>-122.4194</v>
      </c>
      <c r="W783" s="2">
        <v>45562</v>
      </c>
      <c r="X783">
        <v>0</v>
      </c>
      <c r="Y783" t="b">
        <v>0</v>
      </c>
      <c r="Z783" s="2">
        <v>45845</v>
      </c>
      <c r="AA783" t="str">
        <f t="shared" si="121"/>
        <v>20–29</v>
      </c>
      <c r="AB783" t="str">
        <f t="shared" si="122"/>
        <v>20–29</v>
      </c>
      <c r="AC783" t="str">
        <f t="shared" si="123"/>
        <v>Monday</v>
      </c>
      <c r="AD783" t="str">
        <f t="shared" si="124"/>
        <v/>
      </c>
      <c r="AE783" t="str">
        <f t="shared" si="125"/>
        <v>Wednesday</v>
      </c>
      <c r="AF783" t="str">
        <f t="shared" si="126"/>
        <v>Thursday</v>
      </c>
      <c r="AG783" t="str">
        <f t="shared" si="127"/>
        <v/>
      </c>
      <c r="AH783" t="str">
        <f t="shared" si="128"/>
        <v/>
      </c>
      <c r="AI783" t="str">
        <f t="shared" si="129"/>
        <v/>
      </c>
      <c r="AJ783" t="str">
        <f>LEFT(Table1[[#This Row],[membership_type]],2)&amp;TEXT(Table1[[#This Row],[age]],"00")&amp;"-"&amp;TEXT(ROW(),"000")</f>
        <v>St24-783</v>
      </c>
      <c r="AK783" t="str">
        <f>LEFT(Table1[[#This Row],[membership_type]],1)&amp;TEXT(MATCH(Table1[[#This Row],[membership_type]],Table1[membership_type],0),"00")</f>
        <v>S02</v>
      </c>
      <c r="AL783" t="str">
        <f>LEFT(Table1[[#This Row],[discount_type]],1)&amp;TEXT(ROUND(Table1[[#This Row],[discount_rate]]*100,0),"00")</f>
        <v>L10</v>
      </c>
      <c r="AM783" t="str" cm="1">
        <f t="array" ref="AM783">TEXT(SUMPRODUCT(CODE(MID(Table1[[#This Row],[home_gym_location]],_xlfn.SEQUENCE(LEN(Table1[[#This Row],[home_gym_location]])),1))),"00000")</f>
        <v>01450</v>
      </c>
      <c r="AN78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83" t="str">
        <f>LEFT(_xlfn.TEXTBEFORE(Table1[[#This Row],[Location Identifier]],"-"),3) &amp; "-" &amp; _xlfn.TEXTAFTER(Table1[[#This Row],[Location Identifier]],"-")</f>
        <v>SAN-009</v>
      </c>
      <c r="AP783" s="9">
        <f t="shared" ca="1" si="120"/>
        <v>45869</v>
      </c>
    </row>
    <row r="784" spans="1:42" x14ac:dyDescent="0.25">
      <c r="A784">
        <v>49</v>
      </c>
      <c r="B784" t="s">
        <v>33</v>
      </c>
      <c r="C784">
        <v>1</v>
      </c>
      <c r="D784" t="s">
        <v>95</v>
      </c>
      <c r="E784" t="b">
        <v>0</v>
      </c>
      <c r="F784" s="1">
        <v>0.47291666666666665</v>
      </c>
      <c r="G784" s="1">
        <v>0.53194444444444444</v>
      </c>
      <c r="H784">
        <v>85</v>
      </c>
      <c r="I784" t="b">
        <v>0</v>
      </c>
      <c r="J784" t="b">
        <v>0</v>
      </c>
      <c r="K784" t="b">
        <v>1</v>
      </c>
      <c r="L784" t="s">
        <v>28</v>
      </c>
      <c r="M784">
        <v>30</v>
      </c>
      <c r="N784" t="s">
        <v>64</v>
      </c>
      <c r="O784">
        <v>22.5</v>
      </c>
      <c r="P784" t="s">
        <v>36</v>
      </c>
      <c r="Q784">
        <v>0</v>
      </c>
      <c r="R784">
        <v>22.5</v>
      </c>
      <c r="S784" t="s">
        <v>37</v>
      </c>
      <c r="T784" t="s">
        <v>65</v>
      </c>
      <c r="U784">
        <v>33.770099999999999</v>
      </c>
      <c r="V784">
        <v>-118.19370000000001</v>
      </c>
      <c r="W784" s="2">
        <v>45462</v>
      </c>
      <c r="X784">
        <v>0</v>
      </c>
      <c r="Y784" t="b">
        <v>0</v>
      </c>
      <c r="Z784" s="2">
        <v>45840</v>
      </c>
      <c r="AA784" t="str">
        <f t="shared" si="121"/>
        <v>40–49</v>
      </c>
      <c r="AB784" t="str">
        <f t="shared" si="122"/>
        <v>40–49</v>
      </c>
      <c r="AC784" t="str">
        <f t="shared" si="123"/>
        <v/>
      </c>
      <c r="AD784" t="str">
        <f t="shared" si="124"/>
        <v/>
      </c>
      <c r="AE784" t="str">
        <f t="shared" si="125"/>
        <v/>
      </c>
      <c r="AF784" t="str">
        <f t="shared" si="126"/>
        <v/>
      </c>
      <c r="AG784" t="str">
        <f t="shared" si="127"/>
        <v/>
      </c>
      <c r="AH784" t="str">
        <f t="shared" si="128"/>
        <v>Saturday</v>
      </c>
      <c r="AI784" t="str">
        <f t="shared" si="129"/>
        <v/>
      </c>
      <c r="AJ784" t="str">
        <f>LEFT(Table1[[#This Row],[membership_type]],2)&amp;TEXT(Table1[[#This Row],[age]],"00")&amp;"-"&amp;TEXT(ROW(),"000")</f>
        <v>St49-784</v>
      </c>
      <c r="AK784" t="str">
        <f>LEFT(Table1[[#This Row],[membership_type]],1)&amp;TEXT(MATCH(Table1[[#This Row],[membership_type]],Table1[membership_type],0),"00")</f>
        <v>S02</v>
      </c>
      <c r="AL784" t="str">
        <f>LEFT(Table1[[#This Row],[discount_type]],1)&amp;TEXT(ROUND(Table1[[#This Row],[discount_rate]]*100,0),"00")</f>
        <v>N00</v>
      </c>
      <c r="AM784" t="str" cm="1">
        <f t="array" ref="AM784">TEXT(SUMPRODUCT(CODE(MID(Table1[[#This Row],[home_gym_location]],_xlfn.SEQUENCE(LEN(Table1[[#This Row],[home_gym_location]])),1))),"00000")</f>
        <v>01107</v>
      </c>
      <c r="AN78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84" t="str">
        <f>LEFT(_xlfn.TEXTBEFORE(Table1[[#This Row],[Location Identifier]],"-"),3) &amp; "-" &amp; _xlfn.TEXTAFTER(Table1[[#This Row],[Location Identifier]],"-")</f>
        <v>LON-004</v>
      </c>
      <c r="AP784" s="9">
        <f t="shared" ca="1" si="120"/>
        <v>45869</v>
      </c>
    </row>
    <row r="785" spans="1:42" x14ac:dyDescent="0.25">
      <c r="A785">
        <v>43</v>
      </c>
      <c r="B785" t="s">
        <v>33</v>
      </c>
      <c r="C785">
        <v>1</v>
      </c>
      <c r="D785" t="s">
        <v>95</v>
      </c>
      <c r="E785" t="b">
        <v>0</v>
      </c>
      <c r="F785" s="1">
        <v>0.82152777777777775</v>
      </c>
      <c r="G785" s="1">
        <v>0.85</v>
      </c>
      <c r="H785">
        <v>41</v>
      </c>
      <c r="I785" t="b">
        <v>0</v>
      </c>
      <c r="J785" t="b">
        <v>1</v>
      </c>
      <c r="K785" t="b">
        <v>1</v>
      </c>
      <c r="L785" t="s">
        <v>62</v>
      </c>
      <c r="M785">
        <v>30</v>
      </c>
      <c r="N785" t="s">
        <v>29</v>
      </c>
      <c r="O785">
        <v>30</v>
      </c>
      <c r="P785" t="s">
        <v>40</v>
      </c>
      <c r="Q785">
        <v>0.1</v>
      </c>
      <c r="R785">
        <v>27</v>
      </c>
      <c r="S785" t="s">
        <v>37</v>
      </c>
      <c r="T785" t="s">
        <v>50</v>
      </c>
      <c r="U785">
        <v>34.052199999999999</v>
      </c>
      <c r="V785">
        <v>-118.2437</v>
      </c>
      <c r="W785" s="2">
        <v>45637</v>
      </c>
      <c r="X785">
        <v>3</v>
      </c>
      <c r="Y785" t="b">
        <v>0</v>
      </c>
      <c r="Z785" s="2">
        <v>45850</v>
      </c>
      <c r="AA785" t="str">
        <f t="shared" si="121"/>
        <v>40–49</v>
      </c>
      <c r="AB785" t="str">
        <f t="shared" si="122"/>
        <v>40–49</v>
      </c>
      <c r="AC785" t="str">
        <f t="shared" si="123"/>
        <v/>
      </c>
      <c r="AD785" t="str">
        <f t="shared" si="124"/>
        <v/>
      </c>
      <c r="AE785" t="str">
        <f t="shared" si="125"/>
        <v/>
      </c>
      <c r="AF785" t="str">
        <f t="shared" si="126"/>
        <v/>
      </c>
      <c r="AG785" t="str">
        <f t="shared" si="127"/>
        <v/>
      </c>
      <c r="AH785" t="str">
        <f t="shared" si="128"/>
        <v>Saturday</v>
      </c>
      <c r="AI785" t="str">
        <f t="shared" si="129"/>
        <v/>
      </c>
      <c r="AJ785" t="str">
        <f>LEFT(Table1[[#This Row],[membership_type]],2)&amp;TEXT(Table1[[#This Row],[age]],"00")&amp;"-"&amp;TEXT(ROW(),"000")</f>
        <v>St43-785</v>
      </c>
      <c r="AK785" t="str">
        <f>LEFT(Table1[[#This Row],[membership_type]],1)&amp;TEXT(MATCH(Table1[[#This Row],[membership_type]],Table1[membership_type],0),"00")</f>
        <v>S02</v>
      </c>
      <c r="AL785" t="str">
        <f>LEFT(Table1[[#This Row],[discount_type]],1)&amp;TEXT(ROUND(Table1[[#This Row],[discount_rate]]*100,0),"00")</f>
        <v>L10</v>
      </c>
      <c r="AM785" t="str" cm="1">
        <f t="array" ref="AM785">TEXT(SUMPRODUCT(CODE(MID(Table1[[#This Row],[home_gym_location]],_xlfn.SEQUENCE(LEN(Table1[[#This Row],[home_gym_location]])),1))),"00000")</f>
        <v>01245</v>
      </c>
      <c r="AN7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85" t="str">
        <f>LEFT(_xlfn.TEXTBEFORE(Table1[[#This Row],[Location Identifier]],"-"),3) &amp; "-" &amp; _xlfn.TEXTAFTER(Table1[[#This Row],[Location Identifier]],"-")</f>
        <v>LOS-005</v>
      </c>
      <c r="AP785" s="9">
        <f t="shared" ca="1" si="120"/>
        <v>45869</v>
      </c>
    </row>
    <row r="786" spans="1:42" x14ac:dyDescent="0.25">
      <c r="A786">
        <v>24</v>
      </c>
      <c r="B786" t="s">
        <v>42</v>
      </c>
      <c r="C786">
        <v>2</v>
      </c>
      <c r="D786" t="s">
        <v>43</v>
      </c>
      <c r="E786" t="b">
        <v>1</v>
      </c>
      <c r="F786" s="1">
        <v>0.48541666666666666</v>
      </c>
      <c r="G786" s="1">
        <v>0.55833333333333335</v>
      </c>
      <c r="H786">
        <v>105</v>
      </c>
      <c r="I786" t="b">
        <v>0</v>
      </c>
      <c r="J786" t="b">
        <v>0</v>
      </c>
      <c r="K786" t="b">
        <v>0</v>
      </c>
      <c r="L786" t="s">
        <v>47</v>
      </c>
      <c r="M786">
        <v>20</v>
      </c>
      <c r="N786" t="s">
        <v>29</v>
      </c>
      <c r="O786">
        <v>20</v>
      </c>
      <c r="P786" t="s">
        <v>74</v>
      </c>
      <c r="Q786">
        <v>0.15</v>
      </c>
      <c r="R786">
        <v>17</v>
      </c>
      <c r="S786" t="s">
        <v>44</v>
      </c>
      <c r="T786" t="s">
        <v>41</v>
      </c>
      <c r="U786">
        <v>37.804400000000001</v>
      </c>
      <c r="V786">
        <v>-122.27119999999999</v>
      </c>
      <c r="W786" s="2">
        <v>44863</v>
      </c>
      <c r="X786">
        <v>0</v>
      </c>
      <c r="Y786" t="b">
        <v>0</v>
      </c>
      <c r="Z786" s="2">
        <v>45806</v>
      </c>
      <c r="AA786" t="str">
        <f t="shared" si="121"/>
        <v>20–29</v>
      </c>
      <c r="AB786" t="str">
        <f t="shared" si="122"/>
        <v>20–29</v>
      </c>
      <c r="AC786" t="str">
        <f t="shared" si="123"/>
        <v>Monday</v>
      </c>
      <c r="AD786" t="str">
        <f t="shared" si="124"/>
        <v>Tuesday</v>
      </c>
      <c r="AE786" t="str">
        <f t="shared" si="125"/>
        <v/>
      </c>
      <c r="AF786" t="str">
        <f t="shared" si="126"/>
        <v/>
      </c>
      <c r="AG786" t="str">
        <f t="shared" si="127"/>
        <v/>
      </c>
      <c r="AH786" t="str">
        <f t="shared" si="128"/>
        <v/>
      </c>
      <c r="AI786" t="str">
        <f t="shared" si="129"/>
        <v/>
      </c>
      <c r="AJ786" t="str">
        <f>LEFT(Table1[[#This Row],[membership_type]],2)&amp;TEXT(Table1[[#This Row],[age]],"00")&amp;"-"&amp;TEXT(ROW(),"000")</f>
        <v>Ba24-786</v>
      </c>
      <c r="AK786" t="str">
        <f>LEFT(Table1[[#This Row],[membership_type]],1)&amp;TEXT(MATCH(Table1[[#This Row],[membership_type]],Table1[membership_type],0),"00")</f>
        <v>B04</v>
      </c>
      <c r="AL786" t="str">
        <f>LEFT(Table1[[#This Row],[discount_type]],1)&amp;TEXT(ROUND(Table1[[#This Row],[discount_rate]]*100,0),"00")</f>
        <v>S15</v>
      </c>
      <c r="AM786" t="str" cm="1">
        <f t="array" ref="AM786">TEXT(SUMPRODUCT(CODE(MID(Table1[[#This Row],[home_gym_location]],_xlfn.SEQUENCE(LEN(Table1[[#This Row],[home_gym_location]])),1))),"00000")</f>
        <v>00906</v>
      </c>
      <c r="AN786" t="str">
        <f>UPPER(_xlfn.TEXTBEFORE(Table1[[#This Row],[home_gym_location]],","))&amp;"-"&amp;TEXT(MATCH(Table1[[#This Row],[home_gym_location]],_xlfn._xlws.SORT(_xlfn.UNIQUE(Table1[home_gym_location])),0),"000")</f>
        <v>OAKLAND-006</v>
      </c>
      <c r="AO786" t="str">
        <f>LEFT(_xlfn.TEXTBEFORE(Table1[[#This Row],[Location Identifier]],"-"),3) &amp; "-" &amp; _xlfn.TEXTAFTER(Table1[[#This Row],[Location Identifier]],"-")</f>
        <v>OAK-006</v>
      </c>
      <c r="AP786" s="9">
        <f t="shared" ca="1" si="120"/>
        <v>45869</v>
      </c>
    </row>
    <row r="787" spans="1:42" x14ac:dyDescent="0.25">
      <c r="A787">
        <v>19</v>
      </c>
      <c r="B787" t="s">
        <v>26</v>
      </c>
      <c r="C787">
        <v>5</v>
      </c>
      <c r="D787" t="s">
        <v>34</v>
      </c>
      <c r="E787" t="b">
        <v>1</v>
      </c>
      <c r="F787" s="1">
        <v>0.41180555555555554</v>
      </c>
      <c r="G787" s="1">
        <v>0.53402777777777777</v>
      </c>
      <c r="H787">
        <v>176</v>
      </c>
      <c r="I787" t="b">
        <v>0</v>
      </c>
      <c r="J787" t="b">
        <v>1</v>
      </c>
      <c r="K787" t="b">
        <v>1</v>
      </c>
      <c r="L787" t="s">
        <v>28</v>
      </c>
      <c r="M787">
        <v>50</v>
      </c>
      <c r="N787" t="s">
        <v>29</v>
      </c>
      <c r="O787">
        <v>50</v>
      </c>
      <c r="P787" t="s">
        <v>74</v>
      </c>
      <c r="Q787">
        <v>0.15</v>
      </c>
      <c r="R787">
        <v>42.5</v>
      </c>
      <c r="S787" t="s">
        <v>31</v>
      </c>
      <c r="T787" t="s">
        <v>48</v>
      </c>
      <c r="U787">
        <v>38.581600000000002</v>
      </c>
      <c r="V787">
        <v>-121.4944</v>
      </c>
      <c r="W787" s="2">
        <v>45209</v>
      </c>
      <c r="X787">
        <v>2</v>
      </c>
      <c r="Y787" t="b">
        <v>1</v>
      </c>
      <c r="Z787" s="2">
        <v>45825</v>
      </c>
      <c r="AA787" t="str">
        <f t="shared" si="121"/>
        <v>10–19</v>
      </c>
      <c r="AB787" t="str">
        <f t="shared" si="122"/>
        <v>16–19</v>
      </c>
      <c r="AC787" t="str">
        <f t="shared" si="123"/>
        <v/>
      </c>
      <c r="AD787" t="str">
        <f t="shared" si="124"/>
        <v>Tuesday</v>
      </c>
      <c r="AE787" t="str">
        <f t="shared" si="125"/>
        <v>Wednesday</v>
      </c>
      <c r="AF787" t="str">
        <f t="shared" si="126"/>
        <v>Thursday</v>
      </c>
      <c r="AG787" t="str">
        <f t="shared" si="127"/>
        <v>Friday</v>
      </c>
      <c r="AH787" t="str">
        <f t="shared" si="128"/>
        <v>Saturday</v>
      </c>
      <c r="AI787" t="str">
        <f t="shared" si="129"/>
        <v/>
      </c>
      <c r="AJ787" t="str">
        <f>LEFT(Table1[[#This Row],[membership_type]],2)&amp;TEXT(Table1[[#This Row],[age]],"00")&amp;"-"&amp;TEXT(ROW(),"000")</f>
        <v>Pr19-787</v>
      </c>
      <c r="AK787" t="str">
        <f>LEFT(Table1[[#This Row],[membership_type]],1)&amp;TEXT(MATCH(Table1[[#This Row],[membership_type]],Table1[membership_type],0),"00")</f>
        <v>P01</v>
      </c>
      <c r="AL787" t="str">
        <f>LEFT(Table1[[#This Row],[discount_type]],1)&amp;TEXT(ROUND(Table1[[#This Row],[discount_rate]]*100,0),"00")</f>
        <v>S15</v>
      </c>
      <c r="AM787" t="str" cm="1">
        <f t="array" ref="AM787">TEXT(SUMPRODUCT(CODE(MID(Table1[[#This Row],[home_gym_location]],_xlfn.SEQUENCE(LEN(Table1[[#This Row],[home_gym_location]])),1))),"00000")</f>
        <v>01245</v>
      </c>
      <c r="AN78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87" t="str">
        <f>LEFT(_xlfn.TEXTBEFORE(Table1[[#This Row],[Location Identifier]],"-"),3) &amp; "-" &amp; _xlfn.TEXTAFTER(Table1[[#This Row],[Location Identifier]],"-")</f>
        <v>SAC-007</v>
      </c>
      <c r="AP787" s="9">
        <f t="shared" ca="1" si="120"/>
        <v>45869</v>
      </c>
    </row>
    <row r="788" spans="1:42" x14ac:dyDescent="0.25">
      <c r="A788">
        <v>26</v>
      </c>
      <c r="B788" t="s">
        <v>26</v>
      </c>
      <c r="C788">
        <v>3</v>
      </c>
      <c r="D788" t="s">
        <v>135</v>
      </c>
      <c r="E788" t="b">
        <v>0</v>
      </c>
      <c r="F788" s="1">
        <v>0.40138888888888891</v>
      </c>
      <c r="G788" s="1">
        <v>0.44791666666666669</v>
      </c>
      <c r="H788">
        <v>67</v>
      </c>
      <c r="I788" t="b">
        <v>0</v>
      </c>
      <c r="J788" t="b">
        <v>1</v>
      </c>
      <c r="K788" t="b">
        <v>1</v>
      </c>
      <c r="L788" t="s">
        <v>28</v>
      </c>
      <c r="M788">
        <v>50</v>
      </c>
      <c r="N788" t="s">
        <v>64</v>
      </c>
      <c r="O788">
        <v>37.5</v>
      </c>
      <c r="P788" t="s">
        <v>30</v>
      </c>
      <c r="Q788">
        <v>0.05</v>
      </c>
      <c r="R788">
        <v>35.625</v>
      </c>
      <c r="S788" t="s">
        <v>31</v>
      </c>
      <c r="T788" t="s">
        <v>54</v>
      </c>
      <c r="U788">
        <v>32.715699999999998</v>
      </c>
      <c r="V788">
        <v>-117.1611</v>
      </c>
      <c r="W788" s="2">
        <v>45404</v>
      </c>
      <c r="X788">
        <v>3</v>
      </c>
      <c r="Y788" t="b">
        <v>1</v>
      </c>
      <c r="Z788" s="2">
        <v>45836</v>
      </c>
      <c r="AA788" t="str">
        <f t="shared" si="121"/>
        <v>20–29</v>
      </c>
      <c r="AB788" t="str">
        <f t="shared" si="122"/>
        <v>20–29</v>
      </c>
      <c r="AC788" t="str">
        <f t="shared" si="123"/>
        <v/>
      </c>
      <c r="AD788" t="str">
        <f t="shared" si="124"/>
        <v>Tuesday</v>
      </c>
      <c r="AE788" t="str">
        <f t="shared" si="125"/>
        <v>Wednesday</v>
      </c>
      <c r="AF788" t="str">
        <f t="shared" si="126"/>
        <v>Thursday</v>
      </c>
      <c r="AG788" t="str">
        <f t="shared" si="127"/>
        <v/>
      </c>
      <c r="AH788" t="str">
        <f t="shared" si="128"/>
        <v/>
      </c>
      <c r="AI788" t="str">
        <f t="shared" si="129"/>
        <v/>
      </c>
      <c r="AJ788" t="str">
        <f>LEFT(Table1[[#This Row],[membership_type]],2)&amp;TEXT(Table1[[#This Row],[age]],"00")&amp;"-"&amp;TEXT(ROW(),"000")</f>
        <v>Pr26-788</v>
      </c>
      <c r="AK788" t="str">
        <f>LEFT(Table1[[#This Row],[membership_type]],1)&amp;TEXT(MATCH(Table1[[#This Row],[membership_type]],Table1[membership_type],0),"00")</f>
        <v>P01</v>
      </c>
      <c r="AL788" t="str">
        <f>LEFT(Table1[[#This Row],[discount_type]],1)&amp;TEXT(ROUND(Table1[[#This Row],[discount_rate]]*100,0),"00")</f>
        <v>P05</v>
      </c>
      <c r="AM788" t="str" cm="1">
        <f t="array" ref="AM788">TEXT(SUMPRODUCT(CODE(MID(Table1[[#This Row],[home_gym_location]],_xlfn.SEQUENCE(LEN(Table1[[#This Row],[home_gym_location]])),1))),"00000")</f>
        <v>01018</v>
      </c>
      <c r="AN78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788" t="str">
        <f>LEFT(_xlfn.TEXTBEFORE(Table1[[#This Row],[Location Identifier]],"-"),3) &amp; "-" &amp; _xlfn.TEXTAFTER(Table1[[#This Row],[Location Identifier]],"-")</f>
        <v>SAN-008</v>
      </c>
      <c r="AP788" s="9">
        <f t="shared" ca="1" si="120"/>
        <v>45869</v>
      </c>
    </row>
    <row r="789" spans="1:42" x14ac:dyDescent="0.25">
      <c r="A789">
        <v>12</v>
      </c>
      <c r="B789" t="s">
        <v>42</v>
      </c>
      <c r="C789">
        <v>1</v>
      </c>
      <c r="D789" t="s">
        <v>71</v>
      </c>
      <c r="E789" t="b">
        <v>0</v>
      </c>
      <c r="F789" s="1">
        <v>0.65763888888888888</v>
      </c>
      <c r="G789" s="1">
        <v>0.68611111111111112</v>
      </c>
      <c r="H789">
        <v>41</v>
      </c>
      <c r="I789" t="b">
        <v>1</v>
      </c>
      <c r="J789" t="b">
        <v>1</v>
      </c>
      <c r="K789" t="b">
        <v>1</v>
      </c>
      <c r="L789" t="s">
        <v>35</v>
      </c>
      <c r="M789">
        <v>20</v>
      </c>
      <c r="N789" t="s">
        <v>29</v>
      </c>
      <c r="O789">
        <v>20</v>
      </c>
      <c r="P789" t="s">
        <v>36</v>
      </c>
      <c r="Q789">
        <v>0</v>
      </c>
      <c r="R789">
        <v>20</v>
      </c>
      <c r="S789" t="s">
        <v>44</v>
      </c>
      <c r="T789" t="s">
        <v>56</v>
      </c>
      <c r="U789">
        <v>35.3733</v>
      </c>
      <c r="V789">
        <v>-119.0187</v>
      </c>
      <c r="W789" s="2">
        <v>45338</v>
      </c>
      <c r="X789">
        <v>1</v>
      </c>
      <c r="Y789" t="b">
        <v>0</v>
      </c>
      <c r="Z789" s="2">
        <v>45833</v>
      </c>
      <c r="AA789" t="str">
        <f t="shared" si="121"/>
        <v>10–19</v>
      </c>
      <c r="AB789" t="str">
        <f t="shared" si="122"/>
        <v>Under 16</v>
      </c>
      <c r="AC789" t="str">
        <f t="shared" si="123"/>
        <v/>
      </c>
      <c r="AD789" t="str">
        <f t="shared" si="124"/>
        <v>Tuesday</v>
      </c>
      <c r="AE789" t="str">
        <f t="shared" si="125"/>
        <v/>
      </c>
      <c r="AF789" t="str">
        <f t="shared" si="126"/>
        <v/>
      </c>
      <c r="AG789" t="str">
        <f t="shared" si="127"/>
        <v/>
      </c>
      <c r="AH789" t="str">
        <f t="shared" si="128"/>
        <v/>
      </c>
      <c r="AI789" t="str">
        <f t="shared" si="129"/>
        <v/>
      </c>
      <c r="AJ789" t="str">
        <f>LEFT(Table1[[#This Row],[membership_type]],2)&amp;TEXT(Table1[[#This Row],[age]],"00")&amp;"-"&amp;TEXT(ROW(),"000")</f>
        <v>Ba12-789</v>
      </c>
      <c r="AK789" t="str">
        <f>LEFT(Table1[[#This Row],[membership_type]],1)&amp;TEXT(MATCH(Table1[[#This Row],[membership_type]],Table1[membership_type],0),"00")</f>
        <v>B04</v>
      </c>
      <c r="AL789" t="str">
        <f>LEFT(Table1[[#This Row],[discount_type]],1)&amp;TEXT(ROUND(Table1[[#This Row],[discount_rate]]*100,0),"00")</f>
        <v>N00</v>
      </c>
      <c r="AM789" t="str" cm="1">
        <f t="array" ref="AM789">TEXT(SUMPRODUCT(CODE(MID(Table1[[#This Row],[home_gym_location]],_xlfn.SEQUENCE(LEN(Table1[[#This Row],[home_gym_location]])),1))),"00000")</f>
        <v>01324</v>
      </c>
      <c r="AN78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89" t="str">
        <f>LEFT(_xlfn.TEXTBEFORE(Table1[[#This Row],[Location Identifier]],"-"),3) &amp; "-" &amp; _xlfn.TEXTAFTER(Table1[[#This Row],[Location Identifier]],"-")</f>
        <v>BAK-002</v>
      </c>
      <c r="AP789" s="9">
        <f t="shared" ca="1" si="120"/>
        <v>45869</v>
      </c>
    </row>
    <row r="790" spans="1:42" x14ac:dyDescent="0.25">
      <c r="A790">
        <v>13</v>
      </c>
      <c r="B790" t="s">
        <v>26</v>
      </c>
      <c r="C790">
        <v>5</v>
      </c>
      <c r="D790" t="s">
        <v>77</v>
      </c>
      <c r="E790" t="b">
        <v>0</v>
      </c>
      <c r="F790" s="1">
        <v>0.40763888888888888</v>
      </c>
      <c r="G790" s="1">
        <v>0.51111111111111107</v>
      </c>
      <c r="H790">
        <v>149</v>
      </c>
      <c r="I790" t="b">
        <v>0</v>
      </c>
      <c r="J790" t="b">
        <v>1</v>
      </c>
      <c r="K790" t="b">
        <v>0</v>
      </c>
      <c r="L790" t="s">
        <v>35</v>
      </c>
      <c r="M790">
        <v>50</v>
      </c>
      <c r="N790" t="s">
        <v>29</v>
      </c>
      <c r="O790">
        <v>50</v>
      </c>
      <c r="P790" t="s">
        <v>36</v>
      </c>
      <c r="Q790">
        <v>0</v>
      </c>
      <c r="R790">
        <v>50</v>
      </c>
      <c r="S790" t="s">
        <v>31</v>
      </c>
      <c r="T790" t="s">
        <v>45</v>
      </c>
      <c r="U790">
        <v>33.836599999999997</v>
      </c>
      <c r="V790">
        <v>-117.9143</v>
      </c>
      <c r="W790" s="2">
        <v>44822</v>
      </c>
      <c r="X790">
        <v>4</v>
      </c>
      <c r="Y790" t="b">
        <v>1</v>
      </c>
      <c r="Z790" s="2">
        <v>45804</v>
      </c>
      <c r="AA790" t="str">
        <f t="shared" si="121"/>
        <v>10–19</v>
      </c>
      <c r="AB790" t="str">
        <f t="shared" si="122"/>
        <v>Under 16</v>
      </c>
      <c r="AC790" t="str">
        <f t="shared" si="123"/>
        <v/>
      </c>
      <c r="AD790" t="str">
        <f t="shared" si="124"/>
        <v>Tuesday</v>
      </c>
      <c r="AE790" t="str">
        <f t="shared" si="125"/>
        <v>Wednesday</v>
      </c>
      <c r="AF790" t="str">
        <f t="shared" si="126"/>
        <v>Thursday</v>
      </c>
      <c r="AG790" t="str">
        <f t="shared" si="127"/>
        <v>Friday</v>
      </c>
      <c r="AH790" t="str">
        <f t="shared" si="128"/>
        <v/>
      </c>
      <c r="AI790" t="str">
        <f t="shared" si="129"/>
        <v>Sunday</v>
      </c>
      <c r="AJ790" t="str">
        <f>LEFT(Table1[[#This Row],[membership_type]],2)&amp;TEXT(Table1[[#This Row],[age]],"00")&amp;"-"&amp;TEXT(ROW(),"000")</f>
        <v>Pr13-790</v>
      </c>
      <c r="AK790" t="str">
        <f>LEFT(Table1[[#This Row],[membership_type]],1)&amp;TEXT(MATCH(Table1[[#This Row],[membership_type]],Table1[membership_type],0),"00")</f>
        <v>P01</v>
      </c>
      <c r="AL790" t="str">
        <f>LEFT(Table1[[#This Row],[discount_type]],1)&amp;TEXT(ROUND(Table1[[#This Row],[discount_rate]]*100,0),"00")</f>
        <v>N00</v>
      </c>
      <c r="AM790" t="str" cm="1">
        <f t="array" ref="AM790">TEXT(SUMPRODUCT(CODE(MID(Table1[[#This Row],[home_gym_location]],_xlfn.SEQUENCE(LEN(Table1[[#This Row],[home_gym_location]])),1))),"00000")</f>
        <v>00899</v>
      </c>
      <c r="AN790" t="str">
        <f>UPPER(_xlfn.TEXTBEFORE(Table1[[#This Row],[home_gym_location]],","))&amp;"-"&amp;TEXT(MATCH(Table1[[#This Row],[home_gym_location]],_xlfn._xlws.SORT(_xlfn.UNIQUE(Table1[home_gym_location])),0),"000")</f>
        <v>ANAHEIM-001</v>
      </c>
      <c r="AO790" t="str">
        <f>LEFT(_xlfn.TEXTBEFORE(Table1[[#This Row],[Location Identifier]],"-"),3) &amp; "-" &amp; _xlfn.TEXTAFTER(Table1[[#This Row],[Location Identifier]],"-")</f>
        <v>ANA-001</v>
      </c>
      <c r="AP790" s="9">
        <f t="shared" ca="1" si="120"/>
        <v>45869</v>
      </c>
    </row>
    <row r="791" spans="1:42" x14ac:dyDescent="0.25">
      <c r="A791">
        <v>30</v>
      </c>
      <c r="B791" t="s">
        <v>33</v>
      </c>
      <c r="C791">
        <v>1</v>
      </c>
      <c r="D791" t="s">
        <v>49</v>
      </c>
      <c r="E791" t="b">
        <v>1</v>
      </c>
      <c r="F791" s="1">
        <v>0.35972222222222222</v>
      </c>
      <c r="G791" s="1">
        <v>0.42222222222222222</v>
      </c>
      <c r="H791">
        <v>90</v>
      </c>
      <c r="I791" t="b">
        <v>0</v>
      </c>
      <c r="J791" t="b">
        <v>1</v>
      </c>
      <c r="K791" t="b">
        <v>1</v>
      </c>
      <c r="L791" t="s">
        <v>58</v>
      </c>
      <c r="M791">
        <v>30</v>
      </c>
      <c r="N791" t="s">
        <v>29</v>
      </c>
      <c r="O791">
        <v>30</v>
      </c>
      <c r="P791" t="s">
        <v>36</v>
      </c>
      <c r="Q791">
        <v>0</v>
      </c>
      <c r="R791">
        <v>30</v>
      </c>
      <c r="S791" t="s">
        <v>37</v>
      </c>
      <c r="T791" t="s">
        <v>59</v>
      </c>
      <c r="U791">
        <v>37.774900000000002</v>
      </c>
      <c r="V791">
        <v>-122.4194</v>
      </c>
      <c r="W791" s="2">
        <v>45667</v>
      </c>
      <c r="X791">
        <v>4</v>
      </c>
      <c r="Y791" t="b">
        <v>1</v>
      </c>
      <c r="Z791" s="2">
        <v>45851</v>
      </c>
      <c r="AA791" t="str">
        <f t="shared" si="121"/>
        <v>30–39</v>
      </c>
      <c r="AB791" t="str">
        <f t="shared" si="122"/>
        <v>30–39</v>
      </c>
      <c r="AC791" t="str">
        <f t="shared" si="123"/>
        <v/>
      </c>
      <c r="AD791" t="str">
        <f t="shared" si="124"/>
        <v/>
      </c>
      <c r="AE791" t="str">
        <f t="shared" si="125"/>
        <v/>
      </c>
      <c r="AF791" t="str">
        <f t="shared" si="126"/>
        <v/>
      </c>
      <c r="AG791" t="str">
        <f t="shared" si="127"/>
        <v/>
      </c>
      <c r="AH791" t="str">
        <f t="shared" si="128"/>
        <v/>
      </c>
      <c r="AI791" t="str">
        <f t="shared" si="129"/>
        <v>Sunday</v>
      </c>
      <c r="AJ791" t="str">
        <f>LEFT(Table1[[#This Row],[membership_type]],2)&amp;TEXT(Table1[[#This Row],[age]],"00")&amp;"-"&amp;TEXT(ROW(),"000")</f>
        <v>St30-791</v>
      </c>
      <c r="AK791" t="str">
        <f>LEFT(Table1[[#This Row],[membership_type]],1)&amp;TEXT(MATCH(Table1[[#This Row],[membership_type]],Table1[membership_type],0),"00")</f>
        <v>S02</v>
      </c>
      <c r="AL791" t="str">
        <f>LEFT(Table1[[#This Row],[discount_type]],1)&amp;TEXT(ROUND(Table1[[#This Row],[discount_rate]]*100,0),"00")</f>
        <v>N00</v>
      </c>
      <c r="AM791" t="str" cm="1">
        <f t="array" ref="AM791">TEXT(SUMPRODUCT(CODE(MID(Table1[[#This Row],[home_gym_location]],_xlfn.SEQUENCE(LEN(Table1[[#This Row],[home_gym_location]])),1))),"00000")</f>
        <v>01450</v>
      </c>
      <c r="AN79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91" t="str">
        <f>LEFT(_xlfn.TEXTBEFORE(Table1[[#This Row],[Location Identifier]],"-"),3) &amp; "-" &amp; _xlfn.TEXTAFTER(Table1[[#This Row],[Location Identifier]],"-")</f>
        <v>SAN-009</v>
      </c>
      <c r="AP791" s="9">
        <f t="shared" ca="1" si="120"/>
        <v>45869</v>
      </c>
    </row>
    <row r="792" spans="1:42" x14ac:dyDescent="0.25">
      <c r="A792">
        <v>47</v>
      </c>
      <c r="B792" t="s">
        <v>42</v>
      </c>
      <c r="C792">
        <v>2</v>
      </c>
      <c r="D792" t="s">
        <v>43</v>
      </c>
      <c r="E792" t="b">
        <v>1</v>
      </c>
      <c r="F792" s="1">
        <v>0.79583333333333328</v>
      </c>
      <c r="G792" s="1">
        <v>0.82152777777777775</v>
      </c>
      <c r="H792">
        <v>37</v>
      </c>
      <c r="I792" t="b">
        <v>0</v>
      </c>
      <c r="J792" t="b">
        <v>1</v>
      </c>
      <c r="K792" t="b">
        <v>1</v>
      </c>
      <c r="L792" t="s">
        <v>35</v>
      </c>
      <c r="M792">
        <v>20</v>
      </c>
      <c r="N792" t="s">
        <v>29</v>
      </c>
      <c r="O792">
        <v>20</v>
      </c>
      <c r="P792" t="s">
        <v>36</v>
      </c>
      <c r="Q792">
        <v>0</v>
      </c>
      <c r="R792">
        <v>20</v>
      </c>
      <c r="S792" t="s">
        <v>44</v>
      </c>
      <c r="T792" t="s">
        <v>59</v>
      </c>
      <c r="U792">
        <v>37.774900000000002</v>
      </c>
      <c r="V792">
        <v>-122.4194</v>
      </c>
      <c r="W792" s="2">
        <v>45206</v>
      </c>
      <c r="X792">
        <v>5</v>
      </c>
      <c r="Y792" t="b">
        <v>0</v>
      </c>
      <c r="Z792" s="2">
        <v>45825</v>
      </c>
      <c r="AA792" t="str">
        <f t="shared" si="121"/>
        <v>40–49</v>
      </c>
      <c r="AB792" t="str">
        <f t="shared" si="122"/>
        <v>40–49</v>
      </c>
      <c r="AC792" t="str">
        <f t="shared" si="123"/>
        <v>Monday</v>
      </c>
      <c r="AD792" t="str">
        <f t="shared" si="124"/>
        <v>Tuesday</v>
      </c>
      <c r="AE792" t="str">
        <f t="shared" si="125"/>
        <v/>
      </c>
      <c r="AF792" t="str">
        <f t="shared" si="126"/>
        <v/>
      </c>
      <c r="AG792" t="str">
        <f t="shared" si="127"/>
        <v/>
      </c>
      <c r="AH792" t="str">
        <f t="shared" si="128"/>
        <v/>
      </c>
      <c r="AI792" t="str">
        <f t="shared" si="129"/>
        <v/>
      </c>
      <c r="AJ792" t="str">
        <f>LEFT(Table1[[#This Row],[membership_type]],2)&amp;TEXT(Table1[[#This Row],[age]],"00")&amp;"-"&amp;TEXT(ROW(),"000")</f>
        <v>Ba47-792</v>
      </c>
      <c r="AK792" t="str">
        <f>LEFT(Table1[[#This Row],[membership_type]],1)&amp;TEXT(MATCH(Table1[[#This Row],[membership_type]],Table1[membership_type],0),"00")</f>
        <v>B04</v>
      </c>
      <c r="AL792" t="str">
        <f>LEFT(Table1[[#This Row],[discount_type]],1)&amp;TEXT(ROUND(Table1[[#This Row],[discount_rate]]*100,0),"00")</f>
        <v>N00</v>
      </c>
      <c r="AM792" t="str" cm="1">
        <f t="array" ref="AM792">TEXT(SUMPRODUCT(CODE(MID(Table1[[#This Row],[home_gym_location]],_xlfn.SEQUENCE(LEN(Table1[[#This Row],[home_gym_location]])),1))),"00000")</f>
        <v>01450</v>
      </c>
      <c r="AN79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792" t="str">
        <f>LEFT(_xlfn.TEXTBEFORE(Table1[[#This Row],[Location Identifier]],"-"),3) &amp; "-" &amp; _xlfn.TEXTAFTER(Table1[[#This Row],[Location Identifier]],"-")</f>
        <v>SAN-009</v>
      </c>
      <c r="AP792" s="9">
        <f t="shared" ca="1" si="120"/>
        <v>45869</v>
      </c>
    </row>
    <row r="793" spans="1:42" x14ac:dyDescent="0.25">
      <c r="A793">
        <v>30</v>
      </c>
      <c r="B793" t="s">
        <v>42</v>
      </c>
      <c r="C793">
        <v>4</v>
      </c>
      <c r="D793" t="s">
        <v>157</v>
      </c>
      <c r="E793" t="b">
        <v>1</v>
      </c>
      <c r="F793" s="1">
        <v>0.38958333333333334</v>
      </c>
      <c r="G793" s="1">
        <v>0.47986111111111113</v>
      </c>
      <c r="H793">
        <v>130</v>
      </c>
      <c r="I793" t="b">
        <v>1</v>
      </c>
      <c r="J793" t="b">
        <v>1</v>
      </c>
      <c r="K793" t="b">
        <v>1</v>
      </c>
      <c r="L793" t="s">
        <v>47</v>
      </c>
      <c r="M793">
        <v>20</v>
      </c>
      <c r="N793" t="s">
        <v>29</v>
      </c>
      <c r="O793">
        <v>20</v>
      </c>
      <c r="P793" t="s">
        <v>74</v>
      </c>
      <c r="Q793">
        <v>0.15</v>
      </c>
      <c r="R793">
        <v>17</v>
      </c>
      <c r="S793" t="s">
        <v>44</v>
      </c>
      <c r="T793" t="s">
        <v>50</v>
      </c>
      <c r="U793">
        <v>34.052199999999999</v>
      </c>
      <c r="V793">
        <v>-118.2437</v>
      </c>
      <c r="W793" s="2">
        <v>45292</v>
      </c>
      <c r="X793">
        <v>7</v>
      </c>
      <c r="Y793" t="b">
        <v>0</v>
      </c>
      <c r="Z793" s="2">
        <v>45830</v>
      </c>
      <c r="AA793" t="str">
        <f t="shared" si="121"/>
        <v>30–39</v>
      </c>
      <c r="AB793" t="str">
        <f t="shared" si="122"/>
        <v>30–39</v>
      </c>
      <c r="AC793" t="str">
        <f t="shared" si="123"/>
        <v>Monday</v>
      </c>
      <c r="AD793" t="str">
        <f t="shared" si="124"/>
        <v/>
      </c>
      <c r="AE793" t="str">
        <f t="shared" si="125"/>
        <v>Wednesday</v>
      </c>
      <c r="AF793" t="str">
        <f t="shared" si="126"/>
        <v/>
      </c>
      <c r="AG793" t="str">
        <f t="shared" si="127"/>
        <v>Friday</v>
      </c>
      <c r="AH793" t="str">
        <f t="shared" si="128"/>
        <v>Saturday</v>
      </c>
      <c r="AI793" t="str">
        <f t="shared" si="129"/>
        <v/>
      </c>
      <c r="AJ793" t="str">
        <f>LEFT(Table1[[#This Row],[membership_type]],2)&amp;TEXT(Table1[[#This Row],[age]],"00")&amp;"-"&amp;TEXT(ROW(),"000")</f>
        <v>Ba30-793</v>
      </c>
      <c r="AK793" t="str">
        <f>LEFT(Table1[[#This Row],[membership_type]],1)&amp;TEXT(MATCH(Table1[[#This Row],[membership_type]],Table1[membership_type],0),"00")</f>
        <v>B04</v>
      </c>
      <c r="AL793" t="str">
        <f>LEFT(Table1[[#This Row],[discount_type]],1)&amp;TEXT(ROUND(Table1[[#This Row],[discount_rate]]*100,0),"00")</f>
        <v>S15</v>
      </c>
      <c r="AM793" t="str" cm="1">
        <f t="array" ref="AM793">TEXT(SUMPRODUCT(CODE(MID(Table1[[#This Row],[home_gym_location]],_xlfn.SEQUENCE(LEN(Table1[[#This Row],[home_gym_location]])),1))),"00000")</f>
        <v>01245</v>
      </c>
      <c r="AN79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793" t="str">
        <f>LEFT(_xlfn.TEXTBEFORE(Table1[[#This Row],[Location Identifier]],"-"),3) &amp; "-" &amp; _xlfn.TEXTAFTER(Table1[[#This Row],[Location Identifier]],"-")</f>
        <v>LOS-005</v>
      </c>
      <c r="AP793" s="9">
        <f t="shared" ca="1" si="120"/>
        <v>45869</v>
      </c>
    </row>
    <row r="794" spans="1:42" x14ac:dyDescent="0.25">
      <c r="A794">
        <v>19</v>
      </c>
      <c r="B794" t="s">
        <v>26</v>
      </c>
      <c r="C794">
        <v>1</v>
      </c>
      <c r="D794" t="s">
        <v>63</v>
      </c>
      <c r="E794" t="b">
        <v>1</v>
      </c>
      <c r="F794" s="1">
        <v>0.60416666666666663</v>
      </c>
      <c r="G794" s="1">
        <v>0.72847222222222219</v>
      </c>
      <c r="H794">
        <v>179</v>
      </c>
      <c r="I794" t="b">
        <v>0</v>
      </c>
      <c r="J794" t="b">
        <v>1</v>
      </c>
      <c r="K794" t="b">
        <v>1</v>
      </c>
      <c r="L794" t="s">
        <v>35</v>
      </c>
      <c r="M794">
        <v>50</v>
      </c>
      <c r="N794" t="s">
        <v>64</v>
      </c>
      <c r="O794">
        <v>37.5</v>
      </c>
      <c r="P794" t="s">
        <v>40</v>
      </c>
      <c r="Q794">
        <v>0.1</v>
      </c>
      <c r="R794">
        <v>33.75</v>
      </c>
      <c r="S794" t="s">
        <v>31</v>
      </c>
      <c r="T794" t="s">
        <v>32</v>
      </c>
      <c r="U794">
        <v>37.338200000000001</v>
      </c>
      <c r="V794">
        <v>-121.88630000000001</v>
      </c>
      <c r="W794" s="2">
        <v>45179</v>
      </c>
      <c r="X794">
        <v>6</v>
      </c>
      <c r="Y794" t="b">
        <v>1</v>
      </c>
      <c r="Z794" s="2">
        <v>45824</v>
      </c>
      <c r="AA794" t="str">
        <f t="shared" si="121"/>
        <v>10–19</v>
      </c>
      <c r="AB794" t="str">
        <f t="shared" si="122"/>
        <v>16–19</v>
      </c>
      <c r="AC794" t="str">
        <f t="shared" si="123"/>
        <v/>
      </c>
      <c r="AD794" t="str">
        <f t="shared" si="124"/>
        <v/>
      </c>
      <c r="AE794" t="str">
        <f t="shared" si="125"/>
        <v>Wednesday</v>
      </c>
      <c r="AF794" t="str">
        <f t="shared" si="126"/>
        <v/>
      </c>
      <c r="AG794" t="str">
        <f t="shared" si="127"/>
        <v/>
      </c>
      <c r="AH794" t="str">
        <f t="shared" si="128"/>
        <v/>
      </c>
      <c r="AI794" t="str">
        <f t="shared" si="129"/>
        <v/>
      </c>
      <c r="AJ794" t="str">
        <f>LEFT(Table1[[#This Row],[membership_type]],2)&amp;TEXT(Table1[[#This Row],[age]],"00")&amp;"-"&amp;TEXT(ROW(),"000")</f>
        <v>Pr19-794</v>
      </c>
      <c r="AK794" t="str">
        <f>LEFT(Table1[[#This Row],[membership_type]],1)&amp;TEXT(MATCH(Table1[[#This Row],[membership_type]],Table1[membership_type],0),"00")</f>
        <v>P01</v>
      </c>
      <c r="AL794" t="str">
        <f>LEFT(Table1[[#This Row],[discount_type]],1)&amp;TEXT(ROUND(Table1[[#This Row],[discount_rate]]*100,0),"00")</f>
        <v>L10</v>
      </c>
      <c r="AM794" t="str" cm="1">
        <f t="array" ref="AM794">TEXT(SUMPRODUCT(CODE(MID(Table1[[#This Row],[home_gym_location]],_xlfn.SEQUENCE(LEN(Table1[[#This Row],[home_gym_location]])),1))),"00000")</f>
        <v>00931</v>
      </c>
      <c r="AN79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794" t="str">
        <f>LEFT(_xlfn.TEXTBEFORE(Table1[[#This Row],[Location Identifier]],"-"),3) &amp; "-" &amp; _xlfn.TEXTAFTER(Table1[[#This Row],[Location Identifier]],"-")</f>
        <v>SAN-010</v>
      </c>
      <c r="AP794" s="9">
        <f t="shared" ca="1" si="120"/>
        <v>45869</v>
      </c>
    </row>
    <row r="795" spans="1:42" x14ac:dyDescent="0.25">
      <c r="A795">
        <v>36</v>
      </c>
      <c r="B795" t="s">
        <v>26</v>
      </c>
      <c r="C795">
        <v>2</v>
      </c>
      <c r="D795" t="s">
        <v>123</v>
      </c>
      <c r="E795" t="b">
        <v>1</v>
      </c>
      <c r="F795" s="1">
        <v>0.38055555555555554</v>
      </c>
      <c r="G795" s="1">
        <v>0.47152777777777777</v>
      </c>
      <c r="H795">
        <v>131</v>
      </c>
      <c r="I795" t="b">
        <v>1</v>
      </c>
      <c r="J795" t="b">
        <v>1</v>
      </c>
      <c r="K795" t="b">
        <v>0</v>
      </c>
      <c r="L795" t="s">
        <v>62</v>
      </c>
      <c r="M795">
        <v>50</v>
      </c>
      <c r="N795" t="s">
        <v>29</v>
      </c>
      <c r="O795">
        <v>50</v>
      </c>
      <c r="P795" t="s">
        <v>74</v>
      </c>
      <c r="Q795">
        <v>0.15</v>
      </c>
      <c r="R795">
        <v>42.5</v>
      </c>
      <c r="S795" t="s">
        <v>31</v>
      </c>
      <c r="T795" t="s">
        <v>45</v>
      </c>
      <c r="U795">
        <v>33.836599999999997</v>
      </c>
      <c r="V795">
        <v>-117.9143</v>
      </c>
      <c r="W795" s="2">
        <v>45811</v>
      </c>
      <c r="X795">
        <v>7</v>
      </c>
      <c r="Y795" t="b">
        <v>1</v>
      </c>
      <c r="Z795" s="2">
        <v>45859</v>
      </c>
      <c r="AA795" t="str">
        <f t="shared" si="121"/>
        <v>30–39</v>
      </c>
      <c r="AB795" t="str">
        <f t="shared" si="122"/>
        <v>30–39</v>
      </c>
      <c r="AC795" t="str">
        <f t="shared" si="123"/>
        <v>Monday</v>
      </c>
      <c r="AD795" t="str">
        <f t="shared" si="124"/>
        <v/>
      </c>
      <c r="AE795" t="str">
        <f t="shared" si="125"/>
        <v/>
      </c>
      <c r="AF795" t="str">
        <f t="shared" si="126"/>
        <v/>
      </c>
      <c r="AG795" t="str">
        <f t="shared" si="127"/>
        <v/>
      </c>
      <c r="AH795" t="str">
        <f t="shared" si="128"/>
        <v>Saturday</v>
      </c>
      <c r="AI795" t="str">
        <f t="shared" si="129"/>
        <v/>
      </c>
      <c r="AJ795" t="str">
        <f>LEFT(Table1[[#This Row],[membership_type]],2)&amp;TEXT(Table1[[#This Row],[age]],"00")&amp;"-"&amp;TEXT(ROW(),"000")</f>
        <v>Pr36-795</v>
      </c>
      <c r="AK795" t="str">
        <f>LEFT(Table1[[#This Row],[membership_type]],1)&amp;TEXT(MATCH(Table1[[#This Row],[membership_type]],Table1[membership_type],0),"00")</f>
        <v>P01</v>
      </c>
      <c r="AL795" t="str">
        <f>LEFT(Table1[[#This Row],[discount_type]],1)&amp;TEXT(ROUND(Table1[[#This Row],[discount_rate]]*100,0),"00")</f>
        <v>S15</v>
      </c>
      <c r="AM795" t="str" cm="1">
        <f t="array" ref="AM795">TEXT(SUMPRODUCT(CODE(MID(Table1[[#This Row],[home_gym_location]],_xlfn.SEQUENCE(LEN(Table1[[#This Row],[home_gym_location]])),1))),"00000")</f>
        <v>00899</v>
      </c>
      <c r="AN795" t="str">
        <f>UPPER(_xlfn.TEXTBEFORE(Table1[[#This Row],[home_gym_location]],","))&amp;"-"&amp;TEXT(MATCH(Table1[[#This Row],[home_gym_location]],_xlfn._xlws.SORT(_xlfn.UNIQUE(Table1[home_gym_location])),0),"000")</f>
        <v>ANAHEIM-001</v>
      </c>
      <c r="AO795" t="str">
        <f>LEFT(_xlfn.TEXTBEFORE(Table1[[#This Row],[Location Identifier]],"-"),3) &amp; "-" &amp; _xlfn.TEXTAFTER(Table1[[#This Row],[Location Identifier]],"-")</f>
        <v>ANA-001</v>
      </c>
      <c r="AP795" s="9">
        <f t="shared" ca="1" si="120"/>
        <v>45869</v>
      </c>
    </row>
    <row r="796" spans="1:42" x14ac:dyDescent="0.25">
      <c r="A796">
        <v>43</v>
      </c>
      <c r="B796" t="s">
        <v>51</v>
      </c>
      <c r="C796">
        <v>3</v>
      </c>
      <c r="D796" t="s">
        <v>60</v>
      </c>
      <c r="E796" t="b">
        <v>1</v>
      </c>
      <c r="F796" s="1">
        <v>0.4284722222222222</v>
      </c>
      <c r="G796" s="1">
        <v>0.5</v>
      </c>
      <c r="H796">
        <v>103</v>
      </c>
      <c r="I796" t="b">
        <v>0</v>
      </c>
      <c r="J796" t="b">
        <v>1</v>
      </c>
      <c r="K796" t="b">
        <v>0</v>
      </c>
      <c r="L796" t="s">
        <v>62</v>
      </c>
      <c r="M796">
        <v>70</v>
      </c>
      <c r="N796" t="s">
        <v>64</v>
      </c>
      <c r="O796">
        <v>52.5</v>
      </c>
      <c r="P796" t="s">
        <v>36</v>
      </c>
      <c r="Q796">
        <v>0</v>
      </c>
      <c r="R796">
        <v>52.5</v>
      </c>
      <c r="S796" t="s">
        <v>53</v>
      </c>
      <c r="T796" t="s">
        <v>65</v>
      </c>
      <c r="U796">
        <v>33.770099999999999</v>
      </c>
      <c r="V796">
        <v>-118.19370000000001</v>
      </c>
      <c r="W796" s="2">
        <v>44902</v>
      </c>
      <c r="X796">
        <v>1</v>
      </c>
      <c r="Y796" t="b">
        <v>1</v>
      </c>
      <c r="Z796" s="2">
        <v>45808</v>
      </c>
      <c r="AA796" t="str">
        <f t="shared" si="121"/>
        <v>40–49</v>
      </c>
      <c r="AB796" t="str">
        <f t="shared" si="122"/>
        <v>40–49</v>
      </c>
      <c r="AC796" t="str">
        <f t="shared" si="123"/>
        <v/>
      </c>
      <c r="AD796" t="str">
        <f t="shared" si="124"/>
        <v/>
      </c>
      <c r="AE796" t="str">
        <f t="shared" si="125"/>
        <v>Wednesday</v>
      </c>
      <c r="AF796" t="str">
        <f t="shared" si="126"/>
        <v/>
      </c>
      <c r="AG796" t="str">
        <f t="shared" si="127"/>
        <v/>
      </c>
      <c r="AH796" t="str">
        <f t="shared" si="128"/>
        <v>Saturday</v>
      </c>
      <c r="AI796" t="str">
        <f t="shared" si="129"/>
        <v>Sunday</v>
      </c>
      <c r="AJ796" t="str">
        <f>LEFT(Table1[[#This Row],[membership_type]],2)&amp;TEXT(Table1[[#This Row],[age]],"00")&amp;"-"&amp;TEXT(ROW(),"000")</f>
        <v>El43-796</v>
      </c>
      <c r="AK796" t="str">
        <f>LEFT(Table1[[#This Row],[membership_type]],1)&amp;TEXT(MATCH(Table1[[#This Row],[membership_type]],Table1[membership_type],0),"00")</f>
        <v>E07</v>
      </c>
      <c r="AL796" t="str">
        <f>LEFT(Table1[[#This Row],[discount_type]],1)&amp;TEXT(ROUND(Table1[[#This Row],[discount_rate]]*100,0),"00")</f>
        <v>N00</v>
      </c>
      <c r="AM796" t="str" cm="1">
        <f t="array" ref="AM796">TEXT(SUMPRODUCT(CODE(MID(Table1[[#This Row],[home_gym_location]],_xlfn.SEQUENCE(LEN(Table1[[#This Row],[home_gym_location]])),1))),"00000")</f>
        <v>01107</v>
      </c>
      <c r="AN79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796" t="str">
        <f>LEFT(_xlfn.TEXTBEFORE(Table1[[#This Row],[Location Identifier]],"-"),3) &amp; "-" &amp; _xlfn.TEXTAFTER(Table1[[#This Row],[Location Identifier]],"-")</f>
        <v>LON-004</v>
      </c>
      <c r="AP796" s="9">
        <f t="shared" ca="1" si="120"/>
        <v>45869</v>
      </c>
    </row>
    <row r="797" spans="1:42" x14ac:dyDescent="0.25">
      <c r="A797">
        <v>45</v>
      </c>
      <c r="B797" t="s">
        <v>51</v>
      </c>
      <c r="C797">
        <v>2</v>
      </c>
      <c r="D797" t="s">
        <v>70</v>
      </c>
      <c r="E797" t="b">
        <v>0</v>
      </c>
      <c r="F797" s="1">
        <v>0.37083333333333335</v>
      </c>
      <c r="G797" s="1">
        <v>0.42986111111111114</v>
      </c>
      <c r="H797">
        <v>85</v>
      </c>
      <c r="I797" t="b">
        <v>0</v>
      </c>
      <c r="J797" t="b">
        <v>1</v>
      </c>
      <c r="K797" t="b">
        <v>1</v>
      </c>
      <c r="L797" t="s">
        <v>62</v>
      </c>
      <c r="M797">
        <v>70</v>
      </c>
      <c r="N797" t="s">
        <v>64</v>
      </c>
      <c r="O797">
        <v>52.5</v>
      </c>
      <c r="P797" t="s">
        <v>30</v>
      </c>
      <c r="Q797">
        <v>0.05</v>
      </c>
      <c r="R797">
        <v>49.875</v>
      </c>
      <c r="S797" t="s">
        <v>53</v>
      </c>
      <c r="T797" t="s">
        <v>56</v>
      </c>
      <c r="U797">
        <v>35.3733</v>
      </c>
      <c r="V797">
        <v>-119.0187</v>
      </c>
      <c r="W797" s="2">
        <v>44838</v>
      </c>
      <c r="X797">
        <v>3</v>
      </c>
      <c r="Y797" t="b">
        <v>1</v>
      </c>
      <c r="Z797" s="2">
        <v>45805</v>
      </c>
      <c r="AA797" t="str">
        <f t="shared" si="121"/>
        <v>40–49</v>
      </c>
      <c r="AB797" t="str">
        <f t="shared" si="122"/>
        <v>40–49</v>
      </c>
      <c r="AC797" t="str">
        <f t="shared" si="123"/>
        <v/>
      </c>
      <c r="AD797" t="str">
        <f t="shared" si="124"/>
        <v/>
      </c>
      <c r="AE797" t="str">
        <f t="shared" si="125"/>
        <v>Wednesday</v>
      </c>
      <c r="AF797" t="str">
        <f t="shared" si="126"/>
        <v>Thursday</v>
      </c>
      <c r="AG797" t="str">
        <f t="shared" si="127"/>
        <v/>
      </c>
      <c r="AH797" t="str">
        <f t="shared" si="128"/>
        <v/>
      </c>
      <c r="AI797" t="str">
        <f t="shared" si="129"/>
        <v/>
      </c>
      <c r="AJ797" t="str">
        <f>LEFT(Table1[[#This Row],[membership_type]],2)&amp;TEXT(Table1[[#This Row],[age]],"00")&amp;"-"&amp;TEXT(ROW(),"000")</f>
        <v>El45-797</v>
      </c>
      <c r="AK797" t="str">
        <f>LEFT(Table1[[#This Row],[membership_type]],1)&amp;TEXT(MATCH(Table1[[#This Row],[membership_type]],Table1[membership_type],0),"00")</f>
        <v>E07</v>
      </c>
      <c r="AL797" t="str">
        <f>LEFT(Table1[[#This Row],[discount_type]],1)&amp;TEXT(ROUND(Table1[[#This Row],[discount_rate]]*100,0),"00")</f>
        <v>P05</v>
      </c>
      <c r="AM797" t="str" cm="1">
        <f t="array" ref="AM797">TEXT(SUMPRODUCT(CODE(MID(Table1[[#This Row],[home_gym_location]],_xlfn.SEQUENCE(LEN(Table1[[#This Row],[home_gym_location]])),1))),"00000")</f>
        <v>01324</v>
      </c>
      <c r="AN79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797" t="str">
        <f>LEFT(_xlfn.TEXTBEFORE(Table1[[#This Row],[Location Identifier]],"-"),3) &amp; "-" &amp; _xlfn.TEXTAFTER(Table1[[#This Row],[Location Identifier]],"-")</f>
        <v>BAK-002</v>
      </c>
      <c r="AP797" s="9">
        <f t="shared" ca="1" si="120"/>
        <v>45869</v>
      </c>
    </row>
    <row r="798" spans="1:42" x14ac:dyDescent="0.25">
      <c r="A798">
        <v>39</v>
      </c>
      <c r="B798" t="s">
        <v>26</v>
      </c>
      <c r="C798">
        <v>2</v>
      </c>
      <c r="D798" t="s">
        <v>123</v>
      </c>
      <c r="E798" t="b">
        <v>0</v>
      </c>
      <c r="F798" s="1">
        <v>0.60416666666666663</v>
      </c>
      <c r="G798" s="1">
        <v>0.67638888888888893</v>
      </c>
      <c r="H798">
        <v>104</v>
      </c>
      <c r="I798" t="b">
        <v>0</v>
      </c>
      <c r="J798" t="b">
        <v>1</v>
      </c>
      <c r="K798" t="b">
        <v>0</v>
      </c>
      <c r="L798" t="s">
        <v>62</v>
      </c>
      <c r="M798">
        <v>50</v>
      </c>
      <c r="N798" t="s">
        <v>78</v>
      </c>
      <c r="O798">
        <v>45</v>
      </c>
      <c r="P798" t="s">
        <v>40</v>
      </c>
      <c r="Q798">
        <v>0.1</v>
      </c>
      <c r="R798">
        <v>40.5</v>
      </c>
      <c r="S798" t="s">
        <v>31</v>
      </c>
      <c r="T798" t="s">
        <v>48</v>
      </c>
      <c r="U798">
        <v>38.581600000000002</v>
      </c>
      <c r="V798">
        <v>-121.4944</v>
      </c>
      <c r="W798" s="2">
        <v>45229</v>
      </c>
      <c r="X798">
        <v>4</v>
      </c>
      <c r="Y798" t="b">
        <v>1</v>
      </c>
      <c r="Z798" s="2">
        <v>45827</v>
      </c>
      <c r="AA798" t="str">
        <f t="shared" si="121"/>
        <v>30–39</v>
      </c>
      <c r="AB798" t="str">
        <f t="shared" si="122"/>
        <v>30–39</v>
      </c>
      <c r="AC798" t="str">
        <f t="shared" si="123"/>
        <v>Monday</v>
      </c>
      <c r="AD798" t="str">
        <f t="shared" si="124"/>
        <v/>
      </c>
      <c r="AE798" t="str">
        <f t="shared" si="125"/>
        <v/>
      </c>
      <c r="AF798" t="str">
        <f t="shared" si="126"/>
        <v/>
      </c>
      <c r="AG798" t="str">
        <f t="shared" si="127"/>
        <v/>
      </c>
      <c r="AH798" t="str">
        <f t="shared" si="128"/>
        <v>Saturday</v>
      </c>
      <c r="AI798" t="str">
        <f t="shared" si="129"/>
        <v/>
      </c>
      <c r="AJ798" t="str">
        <f>LEFT(Table1[[#This Row],[membership_type]],2)&amp;TEXT(Table1[[#This Row],[age]],"00")&amp;"-"&amp;TEXT(ROW(),"000")</f>
        <v>Pr39-798</v>
      </c>
      <c r="AK798" t="str">
        <f>LEFT(Table1[[#This Row],[membership_type]],1)&amp;TEXT(MATCH(Table1[[#This Row],[membership_type]],Table1[membership_type],0),"00")</f>
        <v>P01</v>
      </c>
      <c r="AL798" t="str">
        <f>LEFT(Table1[[#This Row],[discount_type]],1)&amp;TEXT(ROUND(Table1[[#This Row],[discount_rate]]*100,0),"00")</f>
        <v>L10</v>
      </c>
      <c r="AM798" t="str" cm="1">
        <f t="array" ref="AM798">TEXT(SUMPRODUCT(CODE(MID(Table1[[#This Row],[home_gym_location]],_xlfn.SEQUENCE(LEN(Table1[[#This Row],[home_gym_location]])),1))),"00000")</f>
        <v>01245</v>
      </c>
      <c r="AN79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798" t="str">
        <f>LEFT(_xlfn.TEXTBEFORE(Table1[[#This Row],[Location Identifier]],"-"),3) &amp; "-" &amp; _xlfn.TEXTAFTER(Table1[[#This Row],[Location Identifier]],"-")</f>
        <v>SAC-007</v>
      </c>
      <c r="AP798" s="9">
        <f t="shared" ca="1" si="120"/>
        <v>45869</v>
      </c>
    </row>
    <row r="799" spans="1:42" x14ac:dyDescent="0.25">
      <c r="A799">
        <v>38</v>
      </c>
      <c r="B799" t="s">
        <v>26</v>
      </c>
      <c r="C799">
        <v>3</v>
      </c>
      <c r="D799" t="s">
        <v>106</v>
      </c>
      <c r="E799" t="b">
        <v>1</v>
      </c>
      <c r="F799" s="1">
        <v>0.34513888888888888</v>
      </c>
      <c r="G799" s="1">
        <v>0.44305555555555554</v>
      </c>
      <c r="H799">
        <v>141</v>
      </c>
      <c r="I799" t="b">
        <v>0</v>
      </c>
      <c r="J799" t="b">
        <v>0</v>
      </c>
      <c r="K799" t="b">
        <v>1</v>
      </c>
      <c r="L799" t="s">
        <v>35</v>
      </c>
      <c r="M799">
        <v>50</v>
      </c>
      <c r="N799" t="s">
        <v>64</v>
      </c>
      <c r="O799">
        <v>37.5</v>
      </c>
      <c r="P799" t="s">
        <v>36</v>
      </c>
      <c r="Q799">
        <v>0</v>
      </c>
      <c r="R799">
        <v>37.5</v>
      </c>
      <c r="S799" t="s">
        <v>31</v>
      </c>
      <c r="T799" t="s">
        <v>45</v>
      </c>
      <c r="U799">
        <v>33.836599999999997</v>
      </c>
      <c r="V799">
        <v>-117.9143</v>
      </c>
      <c r="W799" s="2">
        <v>45089</v>
      </c>
      <c r="X799">
        <v>0</v>
      </c>
      <c r="Y799" t="b">
        <v>1</v>
      </c>
      <c r="Z799" s="2">
        <v>45819</v>
      </c>
      <c r="AA799" t="str">
        <f t="shared" si="121"/>
        <v>30–39</v>
      </c>
      <c r="AB799" t="str">
        <f t="shared" si="122"/>
        <v>30–39</v>
      </c>
      <c r="AC799" t="str">
        <f t="shared" si="123"/>
        <v/>
      </c>
      <c r="AD799" t="str">
        <f t="shared" si="124"/>
        <v/>
      </c>
      <c r="AE799" t="str">
        <f t="shared" si="125"/>
        <v>Wednesday</v>
      </c>
      <c r="AF799" t="str">
        <f t="shared" si="126"/>
        <v>Thursday</v>
      </c>
      <c r="AG799" t="str">
        <f t="shared" si="127"/>
        <v>Friday</v>
      </c>
      <c r="AH799" t="str">
        <f t="shared" si="128"/>
        <v/>
      </c>
      <c r="AI799" t="str">
        <f t="shared" si="129"/>
        <v/>
      </c>
      <c r="AJ799" t="str">
        <f>LEFT(Table1[[#This Row],[membership_type]],2)&amp;TEXT(Table1[[#This Row],[age]],"00")&amp;"-"&amp;TEXT(ROW(),"000")</f>
        <v>Pr38-799</v>
      </c>
      <c r="AK799" t="str">
        <f>LEFT(Table1[[#This Row],[membership_type]],1)&amp;TEXT(MATCH(Table1[[#This Row],[membership_type]],Table1[membership_type],0),"00")</f>
        <v>P01</v>
      </c>
      <c r="AL799" t="str">
        <f>LEFT(Table1[[#This Row],[discount_type]],1)&amp;TEXT(ROUND(Table1[[#This Row],[discount_rate]]*100,0),"00")</f>
        <v>N00</v>
      </c>
      <c r="AM799" t="str" cm="1">
        <f t="array" ref="AM799">TEXT(SUMPRODUCT(CODE(MID(Table1[[#This Row],[home_gym_location]],_xlfn.SEQUENCE(LEN(Table1[[#This Row],[home_gym_location]])),1))),"00000")</f>
        <v>00899</v>
      </c>
      <c r="AN799" t="str">
        <f>UPPER(_xlfn.TEXTBEFORE(Table1[[#This Row],[home_gym_location]],","))&amp;"-"&amp;TEXT(MATCH(Table1[[#This Row],[home_gym_location]],_xlfn._xlws.SORT(_xlfn.UNIQUE(Table1[home_gym_location])),0),"000")</f>
        <v>ANAHEIM-001</v>
      </c>
      <c r="AO799" t="str">
        <f>LEFT(_xlfn.TEXTBEFORE(Table1[[#This Row],[Location Identifier]],"-"),3) &amp; "-" &amp; _xlfn.TEXTAFTER(Table1[[#This Row],[Location Identifier]],"-")</f>
        <v>ANA-001</v>
      </c>
      <c r="AP799" s="9">
        <f t="shared" ca="1" si="120"/>
        <v>45869</v>
      </c>
    </row>
    <row r="800" spans="1:42" x14ac:dyDescent="0.25">
      <c r="A800">
        <v>15</v>
      </c>
      <c r="B800" t="s">
        <v>42</v>
      </c>
      <c r="C800">
        <v>2</v>
      </c>
      <c r="D800" t="s">
        <v>92</v>
      </c>
      <c r="E800" t="b">
        <v>1</v>
      </c>
      <c r="F800" s="1">
        <v>0.59722222222222221</v>
      </c>
      <c r="G800" s="1">
        <v>0.70902777777777781</v>
      </c>
      <c r="H800">
        <v>161</v>
      </c>
      <c r="I800" t="b">
        <v>0</v>
      </c>
      <c r="J800" t="b">
        <v>0</v>
      </c>
      <c r="K800" t="b">
        <v>0</v>
      </c>
      <c r="L800" t="s">
        <v>35</v>
      </c>
      <c r="M800">
        <v>20</v>
      </c>
      <c r="N800" t="s">
        <v>29</v>
      </c>
      <c r="O800">
        <v>20</v>
      </c>
      <c r="P800" t="s">
        <v>36</v>
      </c>
      <c r="Q800">
        <v>0</v>
      </c>
      <c r="R800">
        <v>20</v>
      </c>
      <c r="S800" t="s">
        <v>44</v>
      </c>
      <c r="T800" t="s">
        <v>45</v>
      </c>
      <c r="U800">
        <v>33.836599999999997</v>
      </c>
      <c r="V800">
        <v>-117.9143</v>
      </c>
      <c r="W800" s="2">
        <v>44848</v>
      </c>
      <c r="X800">
        <v>0</v>
      </c>
      <c r="Y800" t="b">
        <v>0</v>
      </c>
      <c r="Z800" s="2">
        <v>45805</v>
      </c>
      <c r="AA800" t="str">
        <f t="shared" si="121"/>
        <v>10–19</v>
      </c>
      <c r="AB800" t="str">
        <f t="shared" si="122"/>
        <v>Under 16</v>
      </c>
      <c r="AC800" t="str">
        <f t="shared" si="123"/>
        <v/>
      </c>
      <c r="AD800" t="str">
        <f t="shared" si="124"/>
        <v/>
      </c>
      <c r="AE800" t="str">
        <f t="shared" si="125"/>
        <v/>
      </c>
      <c r="AF800" t="str">
        <f t="shared" si="126"/>
        <v/>
      </c>
      <c r="AG800" t="str">
        <f t="shared" si="127"/>
        <v>Friday</v>
      </c>
      <c r="AH800" t="str">
        <f t="shared" si="128"/>
        <v/>
      </c>
      <c r="AI800" t="str">
        <f t="shared" si="129"/>
        <v>Sunday</v>
      </c>
      <c r="AJ800" t="str">
        <f>LEFT(Table1[[#This Row],[membership_type]],2)&amp;TEXT(Table1[[#This Row],[age]],"00")&amp;"-"&amp;TEXT(ROW(),"000")</f>
        <v>Ba15-800</v>
      </c>
      <c r="AK800" t="str">
        <f>LEFT(Table1[[#This Row],[membership_type]],1)&amp;TEXT(MATCH(Table1[[#This Row],[membership_type]],Table1[membership_type],0),"00")</f>
        <v>B04</v>
      </c>
      <c r="AL800" t="str">
        <f>LEFT(Table1[[#This Row],[discount_type]],1)&amp;TEXT(ROUND(Table1[[#This Row],[discount_rate]]*100,0),"00")</f>
        <v>N00</v>
      </c>
      <c r="AM800" t="str" cm="1">
        <f t="array" ref="AM800">TEXT(SUMPRODUCT(CODE(MID(Table1[[#This Row],[home_gym_location]],_xlfn.SEQUENCE(LEN(Table1[[#This Row],[home_gym_location]])),1))),"00000")</f>
        <v>00899</v>
      </c>
      <c r="AN800" t="str">
        <f>UPPER(_xlfn.TEXTBEFORE(Table1[[#This Row],[home_gym_location]],","))&amp;"-"&amp;TEXT(MATCH(Table1[[#This Row],[home_gym_location]],_xlfn._xlws.SORT(_xlfn.UNIQUE(Table1[home_gym_location])),0),"000")</f>
        <v>ANAHEIM-001</v>
      </c>
      <c r="AO800" t="str">
        <f>LEFT(_xlfn.TEXTBEFORE(Table1[[#This Row],[Location Identifier]],"-"),3) &amp; "-" &amp; _xlfn.TEXTAFTER(Table1[[#This Row],[Location Identifier]],"-")</f>
        <v>ANA-001</v>
      </c>
      <c r="AP800" s="9">
        <f t="shared" ca="1" si="120"/>
        <v>45869</v>
      </c>
    </row>
    <row r="801" spans="1:42" x14ac:dyDescent="0.25">
      <c r="A801">
        <v>22</v>
      </c>
      <c r="B801" t="s">
        <v>33</v>
      </c>
      <c r="C801">
        <v>3</v>
      </c>
      <c r="D801" t="s">
        <v>100</v>
      </c>
      <c r="E801" t="b">
        <v>1</v>
      </c>
      <c r="F801" s="1">
        <v>0.68819444444444444</v>
      </c>
      <c r="G801" s="1">
        <v>0.77708333333333335</v>
      </c>
      <c r="H801">
        <v>128</v>
      </c>
      <c r="I801" t="b">
        <v>0</v>
      </c>
      <c r="J801" t="b">
        <v>0</v>
      </c>
      <c r="K801" t="b">
        <v>0</v>
      </c>
      <c r="L801" t="s">
        <v>62</v>
      </c>
      <c r="M801">
        <v>30</v>
      </c>
      <c r="N801" t="s">
        <v>29</v>
      </c>
      <c r="O801">
        <v>30</v>
      </c>
      <c r="P801" t="s">
        <v>36</v>
      </c>
      <c r="Q801">
        <v>0</v>
      </c>
      <c r="R801">
        <v>30</v>
      </c>
      <c r="S801" t="s">
        <v>37</v>
      </c>
      <c r="T801" t="s">
        <v>56</v>
      </c>
      <c r="U801">
        <v>35.3733</v>
      </c>
      <c r="V801">
        <v>-119.0187</v>
      </c>
      <c r="W801" s="2">
        <v>45077</v>
      </c>
      <c r="X801">
        <v>0</v>
      </c>
      <c r="Y801" t="b">
        <v>1</v>
      </c>
      <c r="Z801" s="2">
        <v>45818</v>
      </c>
      <c r="AA801" t="str">
        <f t="shared" si="121"/>
        <v>20–29</v>
      </c>
      <c r="AB801" t="str">
        <f t="shared" si="122"/>
        <v>20–29</v>
      </c>
      <c r="AC801" t="str">
        <f t="shared" si="123"/>
        <v/>
      </c>
      <c r="AD801" t="str">
        <f t="shared" si="124"/>
        <v/>
      </c>
      <c r="AE801" t="str">
        <f t="shared" si="125"/>
        <v>Wednesday</v>
      </c>
      <c r="AF801" t="str">
        <f t="shared" si="126"/>
        <v/>
      </c>
      <c r="AG801" t="str">
        <f t="shared" si="127"/>
        <v>Friday</v>
      </c>
      <c r="AH801" t="str">
        <f t="shared" si="128"/>
        <v/>
      </c>
      <c r="AI801" t="str">
        <f t="shared" si="129"/>
        <v>Sunday</v>
      </c>
      <c r="AJ801" t="str">
        <f>LEFT(Table1[[#This Row],[membership_type]],2)&amp;TEXT(Table1[[#This Row],[age]],"00")&amp;"-"&amp;TEXT(ROW(),"000")</f>
        <v>St22-801</v>
      </c>
      <c r="AK801" t="str">
        <f>LEFT(Table1[[#This Row],[membership_type]],1)&amp;TEXT(MATCH(Table1[[#This Row],[membership_type]],Table1[membership_type],0),"00")</f>
        <v>S02</v>
      </c>
      <c r="AL801" t="str">
        <f>LEFT(Table1[[#This Row],[discount_type]],1)&amp;TEXT(ROUND(Table1[[#This Row],[discount_rate]]*100,0),"00")</f>
        <v>N00</v>
      </c>
      <c r="AM801" t="str" cm="1">
        <f t="array" ref="AM801">TEXT(SUMPRODUCT(CODE(MID(Table1[[#This Row],[home_gym_location]],_xlfn.SEQUENCE(LEN(Table1[[#This Row],[home_gym_location]])),1))),"00000")</f>
        <v>01324</v>
      </c>
      <c r="AN80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01" t="str">
        <f>LEFT(_xlfn.TEXTBEFORE(Table1[[#This Row],[Location Identifier]],"-"),3) &amp; "-" &amp; _xlfn.TEXTAFTER(Table1[[#This Row],[Location Identifier]],"-")</f>
        <v>BAK-002</v>
      </c>
      <c r="AP801" s="9">
        <f t="shared" ca="1" si="120"/>
        <v>45869</v>
      </c>
    </row>
    <row r="802" spans="1:42" x14ac:dyDescent="0.25">
      <c r="A802">
        <v>18</v>
      </c>
      <c r="B802" t="s">
        <v>26</v>
      </c>
      <c r="C802">
        <v>4</v>
      </c>
      <c r="D802" t="s">
        <v>107</v>
      </c>
      <c r="E802" t="b">
        <v>1</v>
      </c>
      <c r="F802" s="1">
        <v>0.79722222222222228</v>
      </c>
      <c r="G802" s="1">
        <v>0.89722222222222225</v>
      </c>
      <c r="H802">
        <v>144</v>
      </c>
      <c r="I802" t="b">
        <v>1</v>
      </c>
      <c r="J802" t="b">
        <v>0</v>
      </c>
      <c r="K802" t="b">
        <v>0</v>
      </c>
      <c r="L802" t="s">
        <v>28</v>
      </c>
      <c r="M802">
        <v>50</v>
      </c>
      <c r="N802" t="s">
        <v>29</v>
      </c>
      <c r="O802">
        <v>50</v>
      </c>
      <c r="P802" t="s">
        <v>36</v>
      </c>
      <c r="Q802">
        <v>0</v>
      </c>
      <c r="R802">
        <v>50</v>
      </c>
      <c r="S802" t="s">
        <v>31</v>
      </c>
      <c r="T802" t="s">
        <v>54</v>
      </c>
      <c r="U802">
        <v>32.715699999999998</v>
      </c>
      <c r="V802">
        <v>-117.1611</v>
      </c>
      <c r="W802" s="2">
        <v>45668</v>
      </c>
      <c r="X802">
        <v>0</v>
      </c>
      <c r="Y802" t="b">
        <v>0</v>
      </c>
      <c r="Z802" s="2">
        <v>45851</v>
      </c>
      <c r="AA802" t="str">
        <f t="shared" si="121"/>
        <v>10–19</v>
      </c>
      <c r="AB802" t="str">
        <f t="shared" si="122"/>
        <v>16–19</v>
      </c>
      <c r="AC802" t="str">
        <f t="shared" si="123"/>
        <v/>
      </c>
      <c r="AD802" t="str">
        <f t="shared" si="124"/>
        <v>Tuesday</v>
      </c>
      <c r="AE802" t="str">
        <f t="shared" si="125"/>
        <v/>
      </c>
      <c r="AF802" t="str">
        <f t="shared" si="126"/>
        <v/>
      </c>
      <c r="AG802" t="str">
        <f t="shared" si="127"/>
        <v>Friday</v>
      </c>
      <c r="AH802" t="str">
        <f t="shared" si="128"/>
        <v>Saturday</v>
      </c>
      <c r="AI802" t="str">
        <f t="shared" si="129"/>
        <v>Sunday</v>
      </c>
      <c r="AJ802" t="str">
        <f>LEFT(Table1[[#This Row],[membership_type]],2)&amp;TEXT(Table1[[#This Row],[age]],"00")&amp;"-"&amp;TEXT(ROW(),"000")</f>
        <v>Pr18-802</v>
      </c>
      <c r="AK802" t="str">
        <f>LEFT(Table1[[#This Row],[membership_type]],1)&amp;TEXT(MATCH(Table1[[#This Row],[membership_type]],Table1[membership_type],0),"00")</f>
        <v>P01</v>
      </c>
      <c r="AL802" t="str">
        <f>LEFT(Table1[[#This Row],[discount_type]],1)&amp;TEXT(ROUND(Table1[[#This Row],[discount_rate]]*100,0),"00")</f>
        <v>N00</v>
      </c>
      <c r="AM802" t="str" cm="1">
        <f t="array" ref="AM802">TEXT(SUMPRODUCT(CODE(MID(Table1[[#This Row],[home_gym_location]],_xlfn.SEQUENCE(LEN(Table1[[#This Row],[home_gym_location]])),1))),"00000")</f>
        <v>01018</v>
      </c>
      <c r="AN80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02" t="str">
        <f>LEFT(_xlfn.TEXTBEFORE(Table1[[#This Row],[Location Identifier]],"-"),3) &amp; "-" &amp; _xlfn.TEXTAFTER(Table1[[#This Row],[Location Identifier]],"-")</f>
        <v>SAN-008</v>
      </c>
      <c r="AP802" s="9">
        <f t="shared" ca="1" si="120"/>
        <v>45869</v>
      </c>
    </row>
    <row r="803" spans="1:42" x14ac:dyDescent="0.25">
      <c r="A803">
        <v>29</v>
      </c>
      <c r="B803" t="s">
        <v>26</v>
      </c>
      <c r="C803">
        <v>3</v>
      </c>
      <c r="D803" t="s">
        <v>124</v>
      </c>
      <c r="E803" t="b">
        <v>1</v>
      </c>
      <c r="F803" s="1">
        <v>0.86041666666666672</v>
      </c>
      <c r="G803" s="1">
        <v>0.92291666666666672</v>
      </c>
      <c r="H803">
        <v>90</v>
      </c>
      <c r="I803" t="b">
        <v>0</v>
      </c>
      <c r="J803" t="b">
        <v>1</v>
      </c>
      <c r="K803" t="b">
        <v>0</v>
      </c>
      <c r="L803" t="s">
        <v>62</v>
      </c>
      <c r="M803">
        <v>50</v>
      </c>
      <c r="N803" t="s">
        <v>29</v>
      </c>
      <c r="O803">
        <v>50</v>
      </c>
      <c r="P803" t="s">
        <v>36</v>
      </c>
      <c r="Q803">
        <v>0</v>
      </c>
      <c r="R803">
        <v>50</v>
      </c>
      <c r="S803" t="s">
        <v>31</v>
      </c>
      <c r="T803" t="s">
        <v>38</v>
      </c>
      <c r="U803">
        <v>36.7378</v>
      </c>
      <c r="V803">
        <v>-119.7871</v>
      </c>
      <c r="W803" s="2">
        <v>45217</v>
      </c>
      <c r="X803">
        <v>7</v>
      </c>
      <c r="Y803" t="b">
        <v>1</v>
      </c>
      <c r="Z803" s="2">
        <v>45826</v>
      </c>
      <c r="AA803" t="str">
        <f t="shared" si="121"/>
        <v>20–29</v>
      </c>
      <c r="AB803" t="str">
        <f t="shared" si="122"/>
        <v>20–29</v>
      </c>
      <c r="AC803" t="str">
        <f t="shared" si="123"/>
        <v>Monday</v>
      </c>
      <c r="AD803" t="str">
        <f t="shared" si="124"/>
        <v/>
      </c>
      <c r="AE803" t="str">
        <f t="shared" si="125"/>
        <v/>
      </c>
      <c r="AF803" t="str">
        <f t="shared" si="126"/>
        <v>Thursday</v>
      </c>
      <c r="AG803" t="str">
        <f t="shared" si="127"/>
        <v>Friday</v>
      </c>
      <c r="AH803" t="str">
        <f t="shared" si="128"/>
        <v/>
      </c>
      <c r="AI803" t="str">
        <f t="shared" si="129"/>
        <v/>
      </c>
      <c r="AJ803" t="str">
        <f>LEFT(Table1[[#This Row],[membership_type]],2)&amp;TEXT(Table1[[#This Row],[age]],"00")&amp;"-"&amp;TEXT(ROW(),"000")</f>
        <v>Pr29-803</v>
      </c>
      <c r="AK803" t="str">
        <f>LEFT(Table1[[#This Row],[membership_type]],1)&amp;TEXT(MATCH(Table1[[#This Row],[membership_type]],Table1[membership_type],0),"00")</f>
        <v>P01</v>
      </c>
      <c r="AL803" t="str">
        <f>LEFT(Table1[[#This Row],[discount_type]],1)&amp;TEXT(ROUND(Table1[[#This Row],[discount_rate]]*100,0),"00")</f>
        <v>N00</v>
      </c>
      <c r="AM803" t="str" cm="1">
        <f t="array" ref="AM803">TEXT(SUMPRODUCT(CODE(MID(Table1[[#This Row],[home_gym_location]],_xlfn.SEQUENCE(LEN(Table1[[#This Row],[home_gym_location]])),1))),"00000")</f>
        <v>00829</v>
      </c>
      <c r="AN803" t="str">
        <f>UPPER(_xlfn.TEXTBEFORE(Table1[[#This Row],[home_gym_location]],","))&amp;"-"&amp;TEXT(MATCH(Table1[[#This Row],[home_gym_location]],_xlfn._xlws.SORT(_xlfn.UNIQUE(Table1[home_gym_location])),0),"000")</f>
        <v>FRESNO-003</v>
      </c>
      <c r="AO803" t="str">
        <f>LEFT(_xlfn.TEXTBEFORE(Table1[[#This Row],[Location Identifier]],"-"),3) &amp; "-" &amp; _xlfn.TEXTAFTER(Table1[[#This Row],[Location Identifier]],"-")</f>
        <v>FRE-003</v>
      </c>
      <c r="AP803" s="9">
        <f t="shared" ca="1" si="120"/>
        <v>45869</v>
      </c>
    </row>
    <row r="804" spans="1:42" x14ac:dyDescent="0.25">
      <c r="A804">
        <v>49</v>
      </c>
      <c r="B804" t="s">
        <v>26</v>
      </c>
      <c r="C804">
        <v>2</v>
      </c>
      <c r="D804" t="s">
        <v>73</v>
      </c>
      <c r="E804" t="b">
        <v>1</v>
      </c>
      <c r="F804" s="1">
        <v>0.55555555555555558</v>
      </c>
      <c r="G804" s="1">
        <v>0.60138888888888886</v>
      </c>
      <c r="H804">
        <v>66</v>
      </c>
      <c r="I804" t="b">
        <v>0</v>
      </c>
      <c r="J804" t="b">
        <v>1</v>
      </c>
      <c r="K804" t="b">
        <v>1</v>
      </c>
      <c r="L804" t="s">
        <v>35</v>
      </c>
      <c r="M804">
        <v>50</v>
      </c>
      <c r="N804" t="s">
        <v>29</v>
      </c>
      <c r="O804">
        <v>50</v>
      </c>
      <c r="P804" t="s">
        <v>36</v>
      </c>
      <c r="Q804">
        <v>0</v>
      </c>
      <c r="R804">
        <v>50</v>
      </c>
      <c r="S804" t="s">
        <v>31</v>
      </c>
      <c r="T804" t="s">
        <v>48</v>
      </c>
      <c r="U804">
        <v>38.581600000000002</v>
      </c>
      <c r="V804">
        <v>-121.4944</v>
      </c>
      <c r="W804" s="2">
        <v>45184</v>
      </c>
      <c r="X804">
        <v>1</v>
      </c>
      <c r="Y804" t="b">
        <v>1</v>
      </c>
      <c r="Z804" s="2">
        <v>45824</v>
      </c>
      <c r="AA804" t="str">
        <f t="shared" si="121"/>
        <v>40–49</v>
      </c>
      <c r="AB804" t="str">
        <f t="shared" si="122"/>
        <v>40–49</v>
      </c>
      <c r="AC804" t="str">
        <f t="shared" si="123"/>
        <v/>
      </c>
      <c r="AD804" t="str">
        <f t="shared" si="124"/>
        <v>Tuesday</v>
      </c>
      <c r="AE804" t="str">
        <f t="shared" si="125"/>
        <v/>
      </c>
      <c r="AF804" t="str">
        <f t="shared" si="126"/>
        <v/>
      </c>
      <c r="AG804" t="str">
        <f t="shared" si="127"/>
        <v>Friday</v>
      </c>
      <c r="AH804" t="str">
        <f t="shared" si="128"/>
        <v/>
      </c>
      <c r="AI804" t="str">
        <f t="shared" si="129"/>
        <v/>
      </c>
      <c r="AJ804" t="str">
        <f>LEFT(Table1[[#This Row],[membership_type]],2)&amp;TEXT(Table1[[#This Row],[age]],"00")&amp;"-"&amp;TEXT(ROW(),"000")</f>
        <v>Pr49-804</v>
      </c>
      <c r="AK804" t="str">
        <f>LEFT(Table1[[#This Row],[membership_type]],1)&amp;TEXT(MATCH(Table1[[#This Row],[membership_type]],Table1[membership_type],0),"00")</f>
        <v>P01</v>
      </c>
      <c r="AL804" t="str">
        <f>LEFT(Table1[[#This Row],[discount_type]],1)&amp;TEXT(ROUND(Table1[[#This Row],[discount_rate]]*100,0),"00")</f>
        <v>N00</v>
      </c>
      <c r="AM804" t="str" cm="1">
        <f t="array" ref="AM804">TEXT(SUMPRODUCT(CODE(MID(Table1[[#This Row],[home_gym_location]],_xlfn.SEQUENCE(LEN(Table1[[#This Row],[home_gym_location]])),1))),"00000")</f>
        <v>01245</v>
      </c>
      <c r="AN80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04" t="str">
        <f>LEFT(_xlfn.TEXTBEFORE(Table1[[#This Row],[Location Identifier]],"-"),3) &amp; "-" &amp; _xlfn.TEXTAFTER(Table1[[#This Row],[Location Identifier]],"-")</f>
        <v>SAC-007</v>
      </c>
      <c r="AP804" s="9">
        <f t="shared" ca="1" si="120"/>
        <v>45869</v>
      </c>
    </row>
    <row r="805" spans="1:42" x14ac:dyDescent="0.25">
      <c r="A805">
        <v>16</v>
      </c>
      <c r="B805" t="s">
        <v>26</v>
      </c>
      <c r="C805">
        <v>4</v>
      </c>
      <c r="D805" t="s">
        <v>159</v>
      </c>
      <c r="E805" t="b">
        <v>1</v>
      </c>
      <c r="F805" s="1">
        <v>0.68125000000000002</v>
      </c>
      <c r="G805" s="1">
        <v>0.73472222222222228</v>
      </c>
      <c r="H805">
        <v>77</v>
      </c>
      <c r="I805" t="b">
        <v>0</v>
      </c>
      <c r="J805" t="b">
        <v>1</v>
      </c>
      <c r="K805" t="b">
        <v>0</v>
      </c>
      <c r="L805" t="s">
        <v>62</v>
      </c>
      <c r="M805">
        <v>50</v>
      </c>
      <c r="N805" t="s">
        <v>29</v>
      </c>
      <c r="O805">
        <v>50</v>
      </c>
      <c r="P805" t="s">
        <v>40</v>
      </c>
      <c r="Q805">
        <v>0.1</v>
      </c>
      <c r="R805">
        <v>45</v>
      </c>
      <c r="S805" t="s">
        <v>31</v>
      </c>
      <c r="T805" t="s">
        <v>54</v>
      </c>
      <c r="U805">
        <v>32.715699999999998</v>
      </c>
      <c r="V805">
        <v>-117.1611</v>
      </c>
      <c r="W805" s="2">
        <v>45379</v>
      </c>
      <c r="X805">
        <v>4</v>
      </c>
      <c r="Y805" t="b">
        <v>1</v>
      </c>
      <c r="Z805" s="2">
        <v>45835</v>
      </c>
      <c r="AA805" t="str">
        <f t="shared" si="121"/>
        <v>10–19</v>
      </c>
      <c r="AB805" t="str">
        <f t="shared" si="122"/>
        <v>16–19</v>
      </c>
      <c r="AC805" t="str">
        <f t="shared" si="123"/>
        <v>Monday</v>
      </c>
      <c r="AD805" t="str">
        <f t="shared" si="124"/>
        <v>Tuesday</v>
      </c>
      <c r="AE805" t="str">
        <f t="shared" si="125"/>
        <v/>
      </c>
      <c r="AF805" t="str">
        <f t="shared" si="126"/>
        <v>Thursday</v>
      </c>
      <c r="AG805" t="str">
        <f t="shared" si="127"/>
        <v/>
      </c>
      <c r="AH805" t="str">
        <f t="shared" si="128"/>
        <v/>
      </c>
      <c r="AI805" t="str">
        <f t="shared" si="129"/>
        <v>Sunday</v>
      </c>
      <c r="AJ805" t="str">
        <f>LEFT(Table1[[#This Row],[membership_type]],2)&amp;TEXT(Table1[[#This Row],[age]],"00")&amp;"-"&amp;TEXT(ROW(),"000")</f>
        <v>Pr16-805</v>
      </c>
      <c r="AK805" t="str">
        <f>LEFT(Table1[[#This Row],[membership_type]],1)&amp;TEXT(MATCH(Table1[[#This Row],[membership_type]],Table1[membership_type],0),"00")</f>
        <v>P01</v>
      </c>
      <c r="AL805" t="str">
        <f>LEFT(Table1[[#This Row],[discount_type]],1)&amp;TEXT(ROUND(Table1[[#This Row],[discount_rate]]*100,0),"00")</f>
        <v>L10</v>
      </c>
      <c r="AM805" t="str" cm="1">
        <f t="array" ref="AM805">TEXT(SUMPRODUCT(CODE(MID(Table1[[#This Row],[home_gym_location]],_xlfn.SEQUENCE(LEN(Table1[[#This Row],[home_gym_location]])),1))),"00000")</f>
        <v>01018</v>
      </c>
      <c r="AN80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05" t="str">
        <f>LEFT(_xlfn.TEXTBEFORE(Table1[[#This Row],[Location Identifier]],"-"),3) &amp; "-" &amp; _xlfn.TEXTAFTER(Table1[[#This Row],[Location Identifier]],"-")</f>
        <v>SAN-008</v>
      </c>
      <c r="AP805" s="9">
        <f t="shared" ca="1" si="120"/>
        <v>45869</v>
      </c>
    </row>
    <row r="806" spans="1:42" x14ac:dyDescent="0.25">
      <c r="A806">
        <v>36</v>
      </c>
      <c r="B806" t="s">
        <v>26</v>
      </c>
      <c r="C806">
        <v>2</v>
      </c>
      <c r="D806" t="s">
        <v>43</v>
      </c>
      <c r="E806" t="b">
        <v>0</v>
      </c>
      <c r="F806" s="1">
        <v>0.42777777777777776</v>
      </c>
      <c r="G806" s="1">
        <v>0.54652777777777772</v>
      </c>
      <c r="H806">
        <v>171</v>
      </c>
      <c r="I806" t="b">
        <v>1</v>
      </c>
      <c r="J806" t="b">
        <v>0</v>
      </c>
      <c r="K806" t="b">
        <v>1</v>
      </c>
      <c r="L806" t="s">
        <v>62</v>
      </c>
      <c r="M806">
        <v>50</v>
      </c>
      <c r="N806" t="s">
        <v>29</v>
      </c>
      <c r="O806">
        <v>50</v>
      </c>
      <c r="P806" t="s">
        <v>40</v>
      </c>
      <c r="Q806">
        <v>0.1</v>
      </c>
      <c r="R806">
        <v>45</v>
      </c>
      <c r="S806" t="s">
        <v>31</v>
      </c>
      <c r="T806" t="s">
        <v>38</v>
      </c>
      <c r="U806">
        <v>36.7378</v>
      </c>
      <c r="V806">
        <v>-119.7871</v>
      </c>
      <c r="W806" s="2">
        <v>45046</v>
      </c>
      <c r="X806">
        <v>0</v>
      </c>
      <c r="Y806" t="b">
        <v>1</v>
      </c>
      <c r="Z806" s="2">
        <v>45816</v>
      </c>
      <c r="AA806" t="str">
        <f t="shared" si="121"/>
        <v>30–39</v>
      </c>
      <c r="AB806" t="str">
        <f t="shared" si="122"/>
        <v>30–39</v>
      </c>
      <c r="AC806" t="str">
        <f t="shared" si="123"/>
        <v>Monday</v>
      </c>
      <c r="AD806" t="str">
        <f t="shared" si="124"/>
        <v>Tuesday</v>
      </c>
      <c r="AE806" t="str">
        <f t="shared" si="125"/>
        <v/>
      </c>
      <c r="AF806" t="str">
        <f t="shared" si="126"/>
        <v/>
      </c>
      <c r="AG806" t="str">
        <f t="shared" si="127"/>
        <v/>
      </c>
      <c r="AH806" t="str">
        <f t="shared" si="128"/>
        <v/>
      </c>
      <c r="AI806" t="str">
        <f t="shared" si="129"/>
        <v/>
      </c>
      <c r="AJ806" t="str">
        <f>LEFT(Table1[[#This Row],[membership_type]],2)&amp;TEXT(Table1[[#This Row],[age]],"00")&amp;"-"&amp;TEXT(ROW(),"000")</f>
        <v>Pr36-806</v>
      </c>
      <c r="AK806" t="str">
        <f>LEFT(Table1[[#This Row],[membership_type]],1)&amp;TEXT(MATCH(Table1[[#This Row],[membership_type]],Table1[membership_type],0),"00")</f>
        <v>P01</v>
      </c>
      <c r="AL806" t="str">
        <f>LEFT(Table1[[#This Row],[discount_type]],1)&amp;TEXT(ROUND(Table1[[#This Row],[discount_rate]]*100,0),"00")</f>
        <v>L10</v>
      </c>
      <c r="AM806" t="str" cm="1">
        <f t="array" ref="AM806">TEXT(SUMPRODUCT(CODE(MID(Table1[[#This Row],[home_gym_location]],_xlfn.SEQUENCE(LEN(Table1[[#This Row],[home_gym_location]])),1))),"00000")</f>
        <v>00829</v>
      </c>
      <c r="AN806" t="str">
        <f>UPPER(_xlfn.TEXTBEFORE(Table1[[#This Row],[home_gym_location]],","))&amp;"-"&amp;TEXT(MATCH(Table1[[#This Row],[home_gym_location]],_xlfn._xlws.SORT(_xlfn.UNIQUE(Table1[home_gym_location])),0),"000")</f>
        <v>FRESNO-003</v>
      </c>
      <c r="AO806" t="str">
        <f>LEFT(_xlfn.TEXTBEFORE(Table1[[#This Row],[Location Identifier]],"-"),3) &amp; "-" &amp; _xlfn.TEXTAFTER(Table1[[#This Row],[Location Identifier]],"-")</f>
        <v>FRE-003</v>
      </c>
      <c r="AP806" s="9">
        <f t="shared" ca="1" si="120"/>
        <v>45869</v>
      </c>
    </row>
    <row r="807" spans="1:42" x14ac:dyDescent="0.25">
      <c r="A807">
        <v>14</v>
      </c>
      <c r="B807" t="s">
        <v>51</v>
      </c>
      <c r="C807">
        <v>1</v>
      </c>
      <c r="D807" t="s">
        <v>75</v>
      </c>
      <c r="E807" t="b">
        <v>0</v>
      </c>
      <c r="F807" s="1">
        <v>0.50694444444444442</v>
      </c>
      <c r="G807" s="1">
        <v>0.5708333333333333</v>
      </c>
      <c r="H807">
        <v>92</v>
      </c>
      <c r="I807" t="b">
        <v>1</v>
      </c>
      <c r="J807" t="b">
        <v>0</v>
      </c>
      <c r="K807" t="b">
        <v>1</v>
      </c>
      <c r="L807" t="s">
        <v>28</v>
      </c>
      <c r="M807">
        <v>70</v>
      </c>
      <c r="N807" t="s">
        <v>29</v>
      </c>
      <c r="O807">
        <v>70</v>
      </c>
      <c r="P807" t="s">
        <v>74</v>
      </c>
      <c r="Q807">
        <v>0.15</v>
      </c>
      <c r="R807">
        <v>59.5</v>
      </c>
      <c r="S807" t="s">
        <v>53</v>
      </c>
      <c r="T807" t="s">
        <v>41</v>
      </c>
      <c r="U807">
        <v>37.804400000000001</v>
      </c>
      <c r="V807">
        <v>-122.27119999999999</v>
      </c>
      <c r="W807" s="2">
        <v>44835</v>
      </c>
      <c r="X807">
        <v>0</v>
      </c>
      <c r="Y807" t="b">
        <v>1</v>
      </c>
      <c r="Z807" s="2">
        <v>45804</v>
      </c>
      <c r="AA807" t="str">
        <f t="shared" si="121"/>
        <v>10–19</v>
      </c>
      <c r="AB807" t="str">
        <f t="shared" si="122"/>
        <v>Under 16</v>
      </c>
      <c r="AC807" t="str">
        <f t="shared" si="123"/>
        <v/>
      </c>
      <c r="AD807" t="str">
        <f t="shared" si="124"/>
        <v/>
      </c>
      <c r="AE807" t="str">
        <f t="shared" si="125"/>
        <v/>
      </c>
      <c r="AF807" t="str">
        <f t="shared" si="126"/>
        <v/>
      </c>
      <c r="AG807" t="str">
        <f t="shared" si="127"/>
        <v>Friday</v>
      </c>
      <c r="AH807" t="str">
        <f t="shared" si="128"/>
        <v/>
      </c>
      <c r="AI807" t="str">
        <f t="shared" si="129"/>
        <v/>
      </c>
      <c r="AJ807" t="str">
        <f>LEFT(Table1[[#This Row],[membership_type]],2)&amp;TEXT(Table1[[#This Row],[age]],"00")&amp;"-"&amp;TEXT(ROW(),"000")</f>
        <v>El14-807</v>
      </c>
      <c r="AK807" t="str">
        <f>LEFT(Table1[[#This Row],[membership_type]],1)&amp;TEXT(MATCH(Table1[[#This Row],[membership_type]],Table1[membership_type],0),"00")</f>
        <v>E07</v>
      </c>
      <c r="AL807" t="str">
        <f>LEFT(Table1[[#This Row],[discount_type]],1)&amp;TEXT(ROUND(Table1[[#This Row],[discount_rate]]*100,0),"00")</f>
        <v>S15</v>
      </c>
      <c r="AM807" t="str" cm="1">
        <f t="array" ref="AM807">TEXT(SUMPRODUCT(CODE(MID(Table1[[#This Row],[home_gym_location]],_xlfn.SEQUENCE(LEN(Table1[[#This Row],[home_gym_location]])),1))),"00000")</f>
        <v>00906</v>
      </c>
      <c r="AN807" t="str">
        <f>UPPER(_xlfn.TEXTBEFORE(Table1[[#This Row],[home_gym_location]],","))&amp;"-"&amp;TEXT(MATCH(Table1[[#This Row],[home_gym_location]],_xlfn._xlws.SORT(_xlfn.UNIQUE(Table1[home_gym_location])),0),"000")</f>
        <v>OAKLAND-006</v>
      </c>
      <c r="AO807" t="str">
        <f>LEFT(_xlfn.TEXTBEFORE(Table1[[#This Row],[Location Identifier]],"-"),3) &amp; "-" &amp; _xlfn.TEXTAFTER(Table1[[#This Row],[Location Identifier]],"-")</f>
        <v>OAK-006</v>
      </c>
      <c r="AP807" s="9">
        <f t="shared" ca="1" si="120"/>
        <v>45869</v>
      </c>
    </row>
    <row r="808" spans="1:42" x14ac:dyDescent="0.25">
      <c r="A808">
        <v>48</v>
      </c>
      <c r="B808" t="s">
        <v>33</v>
      </c>
      <c r="C808">
        <v>3</v>
      </c>
      <c r="D808" t="s">
        <v>114</v>
      </c>
      <c r="E808" t="b">
        <v>0</v>
      </c>
      <c r="F808" s="1">
        <v>0.64722222222222225</v>
      </c>
      <c r="G808" s="1">
        <v>0.68402777777777779</v>
      </c>
      <c r="H808">
        <v>53</v>
      </c>
      <c r="I808" t="b">
        <v>1</v>
      </c>
      <c r="J808" t="b">
        <v>1</v>
      </c>
      <c r="K808" t="b">
        <v>1</v>
      </c>
      <c r="L808" t="s">
        <v>28</v>
      </c>
      <c r="M808">
        <v>30</v>
      </c>
      <c r="N808" t="s">
        <v>29</v>
      </c>
      <c r="O808">
        <v>30</v>
      </c>
      <c r="P808" t="s">
        <v>40</v>
      </c>
      <c r="Q808">
        <v>0.1</v>
      </c>
      <c r="R808">
        <v>27</v>
      </c>
      <c r="S808" t="s">
        <v>37</v>
      </c>
      <c r="T808" t="s">
        <v>38</v>
      </c>
      <c r="U808">
        <v>36.7378</v>
      </c>
      <c r="V808">
        <v>-119.7871</v>
      </c>
      <c r="W808" s="2">
        <v>44845</v>
      </c>
      <c r="X808">
        <v>3</v>
      </c>
      <c r="Y808" t="b">
        <v>0</v>
      </c>
      <c r="Z808" s="2">
        <v>45805</v>
      </c>
      <c r="AA808" t="str">
        <f t="shared" si="121"/>
        <v>40–49</v>
      </c>
      <c r="AB808" t="str">
        <f t="shared" si="122"/>
        <v>40–49</v>
      </c>
      <c r="AC808" t="str">
        <f t="shared" si="123"/>
        <v>Monday</v>
      </c>
      <c r="AD808" t="str">
        <f t="shared" si="124"/>
        <v>Tuesday</v>
      </c>
      <c r="AE808" t="str">
        <f t="shared" si="125"/>
        <v>Wednesday</v>
      </c>
      <c r="AF808" t="str">
        <f t="shared" si="126"/>
        <v/>
      </c>
      <c r="AG808" t="str">
        <f t="shared" si="127"/>
        <v/>
      </c>
      <c r="AH808" t="str">
        <f t="shared" si="128"/>
        <v/>
      </c>
      <c r="AI808" t="str">
        <f t="shared" si="129"/>
        <v/>
      </c>
      <c r="AJ808" t="str">
        <f>LEFT(Table1[[#This Row],[membership_type]],2)&amp;TEXT(Table1[[#This Row],[age]],"00")&amp;"-"&amp;TEXT(ROW(),"000")</f>
        <v>St48-808</v>
      </c>
      <c r="AK808" t="str">
        <f>LEFT(Table1[[#This Row],[membership_type]],1)&amp;TEXT(MATCH(Table1[[#This Row],[membership_type]],Table1[membership_type],0),"00")</f>
        <v>S02</v>
      </c>
      <c r="AL808" t="str">
        <f>LEFT(Table1[[#This Row],[discount_type]],1)&amp;TEXT(ROUND(Table1[[#This Row],[discount_rate]]*100,0),"00")</f>
        <v>L10</v>
      </c>
      <c r="AM808" t="str" cm="1">
        <f t="array" ref="AM808">TEXT(SUMPRODUCT(CODE(MID(Table1[[#This Row],[home_gym_location]],_xlfn.SEQUENCE(LEN(Table1[[#This Row],[home_gym_location]])),1))),"00000")</f>
        <v>00829</v>
      </c>
      <c r="AN808" t="str">
        <f>UPPER(_xlfn.TEXTBEFORE(Table1[[#This Row],[home_gym_location]],","))&amp;"-"&amp;TEXT(MATCH(Table1[[#This Row],[home_gym_location]],_xlfn._xlws.SORT(_xlfn.UNIQUE(Table1[home_gym_location])),0),"000")</f>
        <v>FRESNO-003</v>
      </c>
      <c r="AO808" t="str">
        <f>LEFT(_xlfn.TEXTBEFORE(Table1[[#This Row],[Location Identifier]],"-"),3) &amp; "-" &amp; _xlfn.TEXTAFTER(Table1[[#This Row],[Location Identifier]],"-")</f>
        <v>FRE-003</v>
      </c>
      <c r="AP808" s="9">
        <f t="shared" ca="1" si="120"/>
        <v>45869</v>
      </c>
    </row>
    <row r="809" spans="1:42" x14ac:dyDescent="0.25">
      <c r="A809">
        <v>46</v>
      </c>
      <c r="B809" t="s">
        <v>42</v>
      </c>
      <c r="C809">
        <v>5</v>
      </c>
      <c r="D809" t="s">
        <v>77</v>
      </c>
      <c r="E809" t="b">
        <v>1</v>
      </c>
      <c r="F809" s="1">
        <v>0.47083333333333333</v>
      </c>
      <c r="G809" s="1">
        <v>0.58750000000000002</v>
      </c>
      <c r="H809">
        <v>168</v>
      </c>
      <c r="I809" t="b">
        <v>1</v>
      </c>
      <c r="J809" t="b">
        <v>1</v>
      </c>
      <c r="K809" t="b">
        <v>1</v>
      </c>
      <c r="L809" t="s">
        <v>28</v>
      </c>
      <c r="M809">
        <v>20</v>
      </c>
      <c r="N809" t="s">
        <v>64</v>
      </c>
      <c r="O809">
        <v>15</v>
      </c>
      <c r="P809" t="s">
        <v>40</v>
      </c>
      <c r="Q809">
        <v>0.1</v>
      </c>
      <c r="R809">
        <v>13.5</v>
      </c>
      <c r="S809" t="s">
        <v>44</v>
      </c>
      <c r="T809" t="s">
        <v>59</v>
      </c>
      <c r="U809">
        <v>37.774900000000002</v>
      </c>
      <c r="V809">
        <v>-122.4194</v>
      </c>
      <c r="W809" s="2">
        <v>45350</v>
      </c>
      <c r="X809">
        <v>7</v>
      </c>
      <c r="Y809" t="b">
        <v>0</v>
      </c>
      <c r="Z809" s="2">
        <v>45833</v>
      </c>
      <c r="AA809" t="str">
        <f t="shared" si="121"/>
        <v>40–49</v>
      </c>
      <c r="AB809" t="str">
        <f t="shared" si="122"/>
        <v>40–49</v>
      </c>
      <c r="AC809" t="str">
        <f t="shared" si="123"/>
        <v/>
      </c>
      <c r="AD809" t="str">
        <f t="shared" si="124"/>
        <v>Tuesday</v>
      </c>
      <c r="AE809" t="str">
        <f t="shared" si="125"/>
        <v>Wednesday</v>
      </c>
      <c r="AF809" t="str">
        <f t="shared" si="126"/>
        <v>Thursday</v>
      </c>
      <c r="AG809" t="str">
        <f t="shared" si="127"/>
        <v>Friday</v>
      </c>
      <c r="AH809" t="str">
        <f t="shared" si="128"/>
        <v/>
      </c>
      <c r="AI809" t="str">
        <f t="shared" si="129"/>
        <v>Sunday</v>
      </c>
      <c r="AJ809" t="str">
        <f>LEFT(Table1[[#This Row],[membership_type]],2)&amp;TEXT(Table1[[#This Row],[age]],"00")&amp;"-"&amp;TEXT(ROW(),"000")</f>
        <v>Ba46-809</v>
      </c>
      <c r="AK809" t="str">
        <f>LEFT(Table1[[#This Row],[membership_type]],1)&amp;TEXT(MATCH(Table1[[#This Row],[membership_type]],Table1[membership_type],0),"00")</f>
        <v>B04</v>
      </c>
      <c r="AL809" t="str">
        <f>LEFT(Table1[[#This Row],[discount_type]],1)&amp;TEXT(ROUND(Table1[[#This Row],[discount_rate]]*100,0),"00")</f>
        <v>L10</v>
      </c>
      <c r="AM809" t="str" cm="1">
        <f t="array" ref="AM809">TEXT(SUMPRODUCT(CODE(MID(Table1[[#This Row],[home_gym_location]],_xlfn.SEQUENCE(LEN(Table1[[#This Row],[home_gym_location]])),1))),"00000")</f>
        <v>01450</v>
      </c>
      <c r="AN80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09" t="str">
        <f>LEFT(_xlfn.TEXTBEFORE(Table1[[#This Row],[Location Identifier]],"-"),3) &amp; "-" &amp; _xlfn.TEXTAFTER(Table1[[#This Row],[Location Identifier]],"-")</f>
        <v>SAN-009</v>
      </c>
      <c r="AP809" s="9">
        <f t="shared" ca="1" si="120"/>
        <v>45869</v>
      </c>
    </row>
    <row r="810" spans="1:42" x14ac:dyDescent="0.25">
      <c r="A810">
        <v>27</v>
      </c>
      <c r="B810" t="s">
        <v>26</v>
      </c>
      <c r="C810">
        <v>2</v>
      </c>
      <c r="D810" t="s">
        <v>73</v>
      </c>
      <c r="E810" t="b">
        <v>0</v>
      </c>
      <c r="F810" s="1">
        <v>0.72361111111111109</v>
      </c>
      <c r="G810" s="1">
        <v>0.81388888888888888</v>
      </c>
      <c r="H810">
        <v>130</v>
      </c>
      <c r="I810" t="b">
        <v>1</v>
      </c>
      <c r="J810" t="b">
        <v>0</v>
      </c>
      <c r="K810" t="b">
        <v>0</v>
      </c>
      <c r="L810" t="s">
        <v>35</v>
      </c>
      <c r="M810">
        <v>50</v>
      </c>
      <c r="N810" t="s">
        <v>29</v>
      </c>
      <c r="O810">
        <v>50</v>
      </c>
      <c r="P810" t="s">
        <v>74</v>
      </c>
      <c r="Q810">
        <v>0.15</v>
      </c>
      <c r="R810">
        <v>42.5</v>
      </c>
      <c r="S810" t="s">
        <v>31</v>
      </c>
      <c r="T810" t="s">
        <v>45</v>
      </c>
      <c r="U810">
        <v>33.836599999999997</v>
      </c>
      <c r="V810">
        <v>-117.9143</v>
      </c>
      <c r="W810" s="2">
        <v>45710</v>
      </c>
      <c r="X810">
        <v>0</v>
      </c>
      <c r="Y810" t="b">
        <v>0</v>
      </c>
      <c r="Z810" s="2">
        <v>45854</v>
      </c>
      <c r="AA810" t="str">
        <f t="shared" si="121"/>
        <v>20–29</v>
      </c>
      <c r="AB810" t="str">
        <f t="shared" si="122"/>
        <v>20–29</v>
      </c>
      <c r="AC810" t="str">
        <f t="shared" si="123"/>
        <v/>
      </c>
      <c r="AD810" t="str">
        <f t="shared" si="124"/>
        <v>Tuesday</v>
      </c>
      <c r="AE810" t="str">
        <f t="shared" si="125"/>
        <v/>
      </c>
      <c r="AF810" t="str">
        <f t="shared" si="126"/>
        <v/>
      </c>
      <c r="AG810" t="str">
        <f t="shared" si="127"/>
        <v>Friday</v>
      </c>
      <c r="AH810" t="str">
        <f t="shared" si="128"/>
        <v/>
      </c>
      <c r="AI810" t="str">
        <f t="shared" si="129"/>
        <v/>
      </c>
      <c r="AJ810" t="str">
        <f>LEFT(Table1[[#This Row],[membership_type]],2)&amp;TEXT(Table1[[#This Row],[age]],"00")&amp;"-"&amp;TEXT(ROW(),"000")</f>
        <v>Pr27-810</v>
      </c>
      <c r="AK810" t="str">
        <f>LEFT(Table1[[#This Row],[membership_type]],1)&amp;TEXT(MATCH(Table1[[#This Row],[membership_type]],Table1[membership_type],0),"00")</f>
        <v>P01</v>
      </c>
      <c r="AL810" t="str">
        <f>LEFT(Table1[[#This Row],[discount_type]],1)&amp;TEXT(ROUND(Table1[[#This Row],[discount_rate]]*100,0),"00")</f>
        <v>S15</v>
      </c>
      <c r="AM810" t="str" cm="1">
        <f t="array" ref="AM810">TEXT(SUMPRODUCT(CODE(MID(Table1[[#This Row],[home_gym_location]],_xlfn.SEQUENCE(LEN(Table1[[#This Row],[home_gym_location]])),1))),"00000")</f>
        <v>00899</v>
      </c>
      <c r="AN810" t="str">
        <f>UPPER(_xlfn.TEXTBEFORE(Table1[[#This Row],[home_gym_location]],","))&amp;"-"&amp;TEXT(MATCH(Table1[[#This Row],[home_gym_location]],_xlfn._xlws.SORT(_xlfn.UNIQUE(Table1[home_gym_location])),0),"000")</f>
        <v>ANAHEIM-001</v>
      </c>
      <c r="AO810" t="str">
        <f>LEFT(_xlfn.TEXTBEFORE(Table1[[#This Row],[Location Identifier]],"-"),3) &amp; "-" &amp; _xlfn.TEXTAFTER(Table1[[#This Row],[Location Identifier]],"-")</f>
        <v>ANA-001</v>
      </c>
      <c r="AP810" s="9">
        <f t="shared" ca="1" si="120"/>
        <v>45869</v>
      </c>
    </row>
    <row r="811" spans="1:42" x14ac:dyDescent="0.25">
      <c r="A811">
        <v>43</v>
      </c>
      <c r="B811" t="s">
        <v>33</v>
      </c>
      <c r="C811">
        <v>5</v>
      </c>
      <c r="D811" t="s">
        <v>137</v>
      </c>
      <c r="E811" t="b">
        <v>0</v>
      </c>
      <c r="F811" s="1">
        <v>0.53472222222222221</v>
      </c>
      <c r="G811" s="1">
        <v>0.63888888888888884</v>
      </c>
      <c r="H811">
        <v>150</v>
      </c>
      <c r="I811" t="b">
        <v>1</v>
      </c>
      <c r="J811" t="b">
        <v>1</v>
      </c>
      <c r="K811" t="b">
        <v>1</v>
      </c>
      <c r="L811" t="s">
        <v>28</v>
      </c>
      <c r="M811">
        <v>30</v>
      </c>
      <c r="N811" t="s">
        <v>78</v>
      </c>
      <c r="O811">
        <v>27</v>
      </c>
      <c r="P811" t="s">
        <v>36</v>
      </c>
      <c r="Q811">
        <v>0</v>
      </c>
      <c r="R811">
        <v>27</v>
      </c>
      <c r="S811" t="s">
        <v>37</v>
      </c>
      <c r="T811" t="s">
        <v>59</v>
      </c>
      <c r="U811">
        <v>37.774900000000002</v>
      </c>
      <c r="V811">
        <v>-122.4194</v>
      </c>
      <c r="W811" s="2">
        <v>44782</v>
      </c>
      <c r="X811">
        <v>4</v>
      </c>
      <c r="Y811" t="b">
        <v>0</v>
      </c>
      <c r="Z811" s="2">
        <v>45801</v>
      </c>
      <c r="AA811" t="str">
        <f t="shared" si="121"/>
        <v>40–49</v>
      </c>
      <c r="AB811" t="str">
        <f t="shared" si="122"/>
        <v>40–49</v>
      </c>
      <c r="AC811" t="str">
        <f t="shared" si="123"/>
        <v>Monday</v>
      </c>
      <c r="AD811" t="str">
        <f t="shared" si="124"/>
        <v>Tuesday</v>
      </c>
      <c r="AE811" t="str">
        <f t="shared" si="125"/>
        <v>Wednesday</v>
      </c>
      <c r="AF811" t="str">
        <f t="shared" si="126"/>
        <v/>
      </c>
      <c r="AG811" t="str">
        <f t="shared" si="127"/>
        <v/>
      </c>
      <c r="AH811" t="str">
        <f t="shared" si="128"/>
        <v>Saturday</v>
      </c>
      <c r="AI811" t="str">
        <f t="shared" si="129"/>
        <v>Sunday</v>
      </c>
      <c r="AJ811" t="str">
        <f>LEFT(Table1[[#This Row],[membership_type]],2)&amp;TEXT(Table1[[#This Row],[age]],"00")&amp;"-"&amp;TEXT(ROW(),"000")</f>
        <v>St43-811</v>
      </c>
      <c r="AK811" t="str">
        <f>LEFT(Table1[[#This Row],[membership_type]],1)&amp;TEXT(MATCH(Table1[[#This Row],[membership_type]],Table1[membership_type],0),"00")</f>
        <v>S02</v>
      </c>
      <c r="AL811" t="str">
        <f>LEFT(Table1[[#This Row],[discount_type]],1)&amp;TEXT(ROUND(Table1[[#This Row],[discount_rate]]*100,0),"00")</f>
        <v>N00</v>
      </c>
      <c r="AM811" t="str" cm="1">
        <f t="array" ref="AM811">TEXT(SUMPRODUCT(CODE(MID(Table1[[#This Row],[home_gym_location]],_xlfn.SEQUENCE(LEN(Table1[[#This Row],[home_gym_location]])),1))),"00000")</f>
        <v>01450</v>
      </c>
      <c r="AN81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11" t="str">
        <f>LEFT(_xlfn.TEXTBEFORE(Table1[[#This Row],[Location Identifier]],"-"),3) &amp; "-" &amp; _xlfn.TEXTAFTER(Table1[[#This Row],[Location Identifier]],"-")</f>
        <v>SAN-009</v>
      </c>
      <c r="AP811" s="9">
        <f t="shared" ca="1" si="120"/>
        <v>45869</v>
      </c>
    </row>
    <row r="812" spans="1:42" x14ac:dyDescent="0.25">
      <c r="A812">
        <v>32</v>
      </c>
      <c r="B812" t="s">
        <v>51</v>
      </c>
      <c r="C812">
        <v>3</v>
      </c>
      <c r="D812" t="s">
        <v>125</v>
      </c>
      <c r="E812" t="b">
        <v>0</v>
      </c>
      <c r="F812" s="1">
        <v>0.58402777777777781</v>
      </c>
      <c r="G812" s="1">
        <v>0.67847222222222225</v>
      </c>
      <c r="H812">
        <v>136</v>
      </c>
      <c r="I812" t="b">
        <v>0</v>
      </c>
      <c r="J812" t="b">
        <v>0</v>
      </c>
      <c r="K812" t="b">
        <v>0</v>
      </c>
      <c r="L812" t="s">
        <v>62</v>
      </c>
      <c r="M812">
        <v>70</v>
      </c>
      <c r="N812" t="s">
        <v>29</v>
      </c>
      <c r="O812">
        <v>70</v>
      </c>
      <c r="P812" t="s">
        <v>36</v>
      </c>
      <c r="Q812">
        <v>0</v>
      </c>
      <c r="R812">
        <v>70</v>
      </c>
      <c r="S812" t="s">
        <v>53</v>
      </c>
      <c r="T812" t="s">
        <v>45</v>
      </c>
      <c r="U812">
        <v>33.836599999999997</v>
      </c>
      <c r="V812">
        <v>-117.9143</v>
      </c>
      <c r="W812" s="2">
        <v>44937</v>
      </c>
      <c r="X812">
        <v>0</v>
      </c>
      <c r="Y812" t="b">
        <v>1</v>
      </c>
      <c r="Z812" s="2">
        <v>45810</v>
      </c>
      <c r="AA812" t="str">
        <f t="shared" si="121"/>
        <v>30–39</v>
      </c>
      <c r="AB812" t="str">
        <f t="shared" si="122"/>
        <v>30–39</v>
      </c>
      <c r="AC812" t="str">
        <f t="shared" si="123"/>
        <v/>
      </c>
      <c r="AD812" t="str">
        <f t="shared" si="124"/>
        <v/>
      </c>
      <c r="AE812" t="str">
        <f t="shared" si="125"/>
        <v/>
      </c>
      <c r="AF812" t="str">
        <f t="shared" si="126"/>
        <v>Thursday</v>
      </c>
      <c r="AG812" t="str">
        <f t="shared" si="127"/>
        <v/>
      </c>
      <c r="AH812" t="str">
        <f t="shared" si="128"/>
        <v>Saturday</v>
      </c>
      <c r="AI812" t="str">
        <f t="shared" si="129"/>
        <v>Sunday</v>
      </c>
      <c r="AJ812" t="str">
        <f>LEFT(Table1[[#This Row],[membership_type]],2)&amp;TEXT(Table1[[#This Row],[age]],"00")&amp;"-"&amp;TEXT(ROW(),"000")</f>
        <v>El32-812</v>
      </c>
      <c r="AK812" t="str">
        <f>LEFT(Table1[[#This Row],[membership_type]],1)&amp;TEXT(MATCH(Table1[[#This Row],[membership_type]],Table1[membership_type],0),"00")</f>
        <v>E07</v>
      </c>
      <c r="AL812" t="str">
        <f>LEFT(Table1[[#This Row],[discount_type]],1)&amp;TEXT(ROUND(Table1[[#This Row],[discount_rate]]*100,0),"00")</f>
        <v>N00</v>
      </c>
      <c r="AM812" t="str" cm="1">
        <f t="array" ref="AM812">TEXT(SUMPRODUCT(CODE(MID(Table1[[#This Row],[home_gym_location]],_xlfn.SEQUENCE(LEN(Table1[[#This Row],[home_gym_location]])),1))),"00000")</f>
        <v>00899</v>
      </c>
      <c r="AN812" t="str">
        <f>UPPER(_xlfn.TEXTBEFORE(Table1[[#This Row],[home_gym_location]],","))&amp;"-"&amp;TEXT(MATCH(Table1[[#This Row],[home_gym_location]],_xlfn._xlws.SORT(_xlfn.UNIQUE(Table1[home_gym_location])),0),"000")</f>
        <v>ANAHEIM-001</v>
      </c>
      <c r="AO812" t="str">
        <f>LEFT(_xlfn.TEXTBEFORE(Table1[[#This Row],[Location Identifier]],"-"),3) &amp; "-" &amp; _xlfn.TEXTAFTER(Table1[[#This Row],[Location Identifier]],"-")</f>
        <v>ANA-001</v>
      </c>
      <c r="AP812" s="9">
        <f t="shared" ca="1" si="120"/>
        <v>45869</v>
      </c>
    </row>
    <row r="813" spans="1:42" x14ac:dyDescent="0.25">
      <c r="A813">
        <v>20</v>
      </c>
      <c r="B813" t="s">
        <v>42</v>
      </c>
      <c r="C813">
        <v>2</v>
      </c>
      <c r="D813" t="s">
        <v>141</v>
      </c>
      <c r="E813" t="b">
        <v>1</v>
      </c>
      <c r="F813" s="1">
        <v>0.74444444444444446</v>
      </c>
      <c r="G813" s="1">
        <v>0.8618055555555556</v>
      </c>
      <c r="H813">
        <v>169</v>
      </c>
      <c r="I813" t="b">
        <v>0</v>
      </c>
      <c r="J813" t="b">
        <v>0</v>
      </c>
      <c r="K813" t="b">
        <v>1</v>
      </c>
      <c r="L813" t="s">
        <v>28</v>
      </c>
      <c r="M813">
        <v>20</v>
      </c>
      <c r="N813" t="s">
        <v>78</v>
      </c>
      <c r="O813">
        <v>18</v>
      </c>
      <c r="P813" t="s">
        <v>74</v>
      </c>
      <c r="Q813">
        <v>0.15</v>
      </c>
      <c r="R813">
        <v>15.3</v>
      </c>
      <c r="S813" t="s">
        <v>44</v>
      </c>
      <c r="T813" t="s">
        <v>38</v>
      </c>
      <c r="U813">
        <v>36.7378</v>
      </c>
      <c r="V813">
        <v>-119.7871</v>
      </c>
      <c r="W813" s="2">
        <v>45698</v>
      </c>
      <c r="X813">
        <v>0</v>
      </c>
      <c r="Y813" t="b">
        <v>0</v>
      </c>
      <c r="Z813" s="2">
        <v>45853</v>
      </c>
      <c r="AA813" t="str">
        <f t="shared" si="121"/>
        <v>20–29</v>
      </c>
      <c r="AB813" t="str">
        <f t="shared" si="122"/>
        <v>20–29</v>
      </c>
      <c r="AC813" t="str">
        <f t="shared" si="123"/>
        <v/>
      </c>
      <c r="AD813" t="str">
        <f t="shared" si="124"/>
        <v/>
      </c>
      <c r="AE813" t="str">
        <f t="shared" si="125"/>
        <v>Wednesday</v>
      </c>
      <c r="AF813" t="str">
        <f t="shared" si="126"/>
        <v/>
      </c>
      <c r="AG813" t="str">
        <f t="shared" si="127"/>
        <v>Friday</v>
      </c>
      <c r="AH813" t="str">
        <f t="shared" si="128"/>
        <v/>
      </c>
      <c r="AI813" t="str">
        <f t="shared" si="129"/>
        <v/>
      </c>
      <c r="AJ813" t="str">
        <f>LEFT(Table1[[#This Row],[membership_type]],2)&amp;TEXT(Table1[[#This Row],[age]],"00")&amp;"-"&amp;TEXT(ROW(),"000")</f>
        <v>Ba20-813</v>
      </c>
      <c r="AK813" t="str">
        <f>LEFT(Table1[[#This Row],[membership_type]],1)&amp;TEXT(MATCH(Table1[[#This Row],[membership_type]],Table1[membership_type],0),"00")</f>
        <v>B04</v>
      </c>
      <c r="AL813" t="str">
        <f>LEFT(Table1[[#This Row],[discount_type]],1)&amp;TEXT(ROUND(Table1[[#This Row],[discount_rate]]*100,0),"00")</f>
        <v>S15</v>
      </c>
      <c r="AM813" t="str" cm="1">
        <f t="array" ref="AM813">TEXT(SUMPRODUCT(CODE(MID(Table1[[#This Row],[home_gym_location]],_xlfn.SEQUENCE(LEN(Table1[[#This Row],[home_gym_location]])),1))),"00000")</f>
        <v>00829</v>
      </c>
      <c r="AN813" t="str">
        <f>UPPER(_xlfn.TEXTBEFORE(Table1[[#This Row],[home_gym_location]],","))&amp;"-"&amp;TEXT(MATCH(Table1[[#This Row],[home_gym_location]],_xlfn._xlws.SORT(_xlfn.UNIQUE(Table1[home_gym_location])),0),"000")</f>
        <v>FRESNO-003</v>
      </c>
      <c r="AO813" t="str">
        <f>LEFT(_xlfn.TEXTBEFORE(Table1[[#This Row],[Location Identifier]],"-"),3) &amp; "-" &amp; _xlfn.TEXTAFTER(Table1[[#This Row],[Location Identifier]],"-")</f>
        <v>FRE-003</v>
      </c>
      <c r="AP813" s="9">
        <f t="shared" ca="1" si="120"/>
        <v>45869</v>
      </c>
    </row>
    <row r="814" spans="1:42" x14ac:dyDescent="0.25">
      <c r="A814">
        <v>37</v>
      </c>
      <c r="B814" t="s">
        <v>26</v>
      </c>
      <c r="C814">
        <v>2</v>
      </c>
      <c r="D814" t="s">
        <v>126</v>
      </c>
      <c r="E814" t="b">
        <v>0</v>
      </c>
      <c r="F814" s="1">
        <v>0.47916666666666669</v>
      </c>
      <c r="G814" s="1">
        <v>0.50694444444444442</v>
      </c>
      <c r="H814">
        <v>40</v>
      </c>
      <c r="I814" t="b">
        <v>1</v>
      </c>
      <c r="J814" t="b">
        <v>0</v>
      </c>
      <c r="K814" t="b">
        <v>0</v>
      </c>
      <c r="L814" t="s">
        <v>47</v>
      </c>
      <c r="M814">
        <v>50</v>
      </c>
      <c r="N814" t="s">
        <v>29</v>
      </c>
      <c r="O814">
        <v>50</v>
      </c>
      <c r="P814" t="s">
        <v>36</v>
      </c>
      <c r="Q814">
        <v>0</v>
      </c>
      <c r="R814">
        <v>50</v>
      </c>
      <c r="S814" t="s">
        <v>31</v>
      </c>
      <c r="T814" t="s">
        <v>56</v>
      </c>
      <c r="U814">
        <v>35.3733</v>
      </c>
      <c r="V814">
        <v>-119.0187</v>
      </c>
      <c r="W814" s="2">
        <v>44850</v>
      </c>
      <c r="X814">
        <v>0</v>
      </c>
      <c r="Y814" t="b">
        <v>1</v>
      </c>
      <c r="Z814" s="2">
        <v>45805</v>
      </c>
      <c r="AA814" t="str">
        <f t="shared" si="121"/>
        <v>30–39</v>
      </c>
      <c r="AB814" t="str">
        <f t="shared" si="122"/>
        <v>30–39</v>
      </c>
      <c r="AC814" t="str">
        <f t="shared" si="123"/>
        <v/>
      </c>
      <c r="AD814" t="str">
        <f t="shared" si="124"/>
        <v>Tuesday</v>
      </c>
      <c r="AE814" t="str">
        <f t="shared" si="125"/>
        <v>Wednesday</v>
      </c>
      <c r="AF814" t="str">
        <f t="shared" si="126"/>
        <v/>
      </c>
      <c r="AG814" t="str">
        <f t="shared" si="127"/>
        <v/>
      </c>
      <c r="AH814" t="str">
        <f t="shared" si="128"/>
        <v/>
      </c>
      <c r="AI814" t="str">
        <f t="shared" si="129"/>
        <v/>
      </c>
      <c r="AJ814" t="str">
        <f>LEFT(Table1[[#This Row],[membership_type]],2)&amp;TEXT(Table1[[#This Row],[age]],"00")&amp;"-"&amp;TEXT(ROW(),"000")</f>
        <v>Pr37-814</v>
      </c>
      <c r="AK814" t="str">
        <f>LEFT(Table1[[#This Row],[membership_type]],1)&amp;TEXT(MATCH(Table1[[#This Row],[membership_type]],Table1[membership_type],0),"00")</f>
        <v>P01</v>
      </c>
      <c r="AL814" t="str">
        <f>LEFT(Table1[[#This Row],[discount_type]],1)&amp;TEXT(ROUND(Table1[[#This Row],[discount_rate]]*100,0),"00")</f>
        <v>N00</v>
      </c>
      <c r="AM814" t="str" cm="1">
        <f t="array" ref="AM814">TEXT(SUMPRODUCT(CODE(MID(Table1[[#This Row],[home_gym_location]],_xlfn.SEQUENCE(LEN(Table1[[#This Row],[home_gym_location]])),1))),"00000")</f>
        <v>01324</v>
      </c>
      <c r="AN81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14" t="str">
        <f>LEFT(_xlfn.TEXTBEFORE(Table1[[#This Row],[Location Identifier]],"-"),3) &amp; "-" &amp; _xlfn.TEXTAFTER(Table1[[#This Row],[Location Identifier]],"-")</f>
        <v>BAK-002</v>
      </c>
      <c r="AP814" s="9">
        <f t="shared" ca="1" si="120"/>
        <v>45869</v>
      </c>
    </row>
    <row r="815" spans="1:42" x14ac:dyDescent="0.25">
      <c r="A815">
        <v>14</v>
      </c>
      <c r="B815" t="s">
        <v>51</v>
      </c>
      <c r="C815">
        <v>5</v>
      </c>
      <c r="D815" t="s">
        <v>104</v>
      </c>
      <c r="E815" t="b">
        <v>1</v>
      </c>
      <c r="F815" s="1">
        <v>0.35069444444444442</v>
      </c>
      <c r="G815" s="1">
        <v>0.42222222222222222</v>
      </c>
      <c r="H815">
        <v>103</v>
      </c>
      <c r="I815" t="b">
        <v>0</v>
      </c>
      <c r="J815" t="b">
        <v>1</v>
      </c>
      <c r="K815" t="b">
        <v>1</v>
      </c>
      <c r="L815" t="s">
        <v>28</v>
      </c>
      <c r="M815">
        <v>70</v>
      </c>
      <c r="N815" t="s">
        <v>29</v>
      </c>
      <c r="O815">
        <v>70</v>
      </c>
      <c r="P815" t="s">
        <v>40</v>
      </c>
      <c r="Q815">
        <v>0.1</v>
      </c>
      <c r="R815">
        <v>63</v>
      </c>
      <c r="S815" t="s">
        <v>53</v>
      </c>
      <c r="T815" t="s">
        <v>41</v>
      </c>
      <c r="U815">
        <v>37.804400000000001</v>
      </c>
      <c r="V815">
        <v>-122.27119999999999</v>
      </c>
      <c r="W815" s="2">
        <v>44904</v>
      </c>
      <c r="X815">
        <v>6</v>
      </c>
      <c r="Y815" t="b">
        <v>1</v>
      </c>
      <c r="Z815" s="2">
        <v>45808</v>
      </c>
      <c r="AA815" t="str">
        <f t="shared" si="121"/>
        <v>10–19</v>
      </c>
      <c r="AB815" t="str">
        <f t="shared" si="122"/>
        <v>Under 16</v>
      </c>
      <c r="AC815" t="str">
        <f t="shared" si="123"/>
        <v/>
      </c>
      <c r="AD815" t="str">
        <f t="shared" si="124"/>
        <v>Tuesday</v>
      </c>
      <c r="AE815" t="str">
        <f t="shared" si="125"/>
        <v>Wednesday</v>
      </c>
      <c r="AF815" t="str">
        <f t="shared" si="126"/>
        <v>Thursday</v>
      </c>
      <c r="AG815" t="str">
        <f t="shared" si="127"/>
        <v/>
      </c>
      <c r="AH815" t="str">
        <f t="shared" si="128"/>
        <v>Saturday</v>
      </c>
      <c r="AI815" t="str">
        <f t="shared" si="129"/>
        <v>Sunday</v>
      </c>
      <c r="AJ815" t="str">
        <f>LEFT(Table1[[#This Row],[membership_type]],2)&amp;TEXT(Table1[[#This Row],[age]],"00")&amp;"-"&amp;TEXT(ROW(),"000")</f>
        <v>El14-815</v>
      </c>
      <c r="AK815" t="str">
        <f>LEFT(Table1[[#This Row],[membership_type]],1)&amp;TEXT(MATCH(Table1[[#This Row],[membership_type]],Table1[membership_type],0),"00")</f>
        <v>E07</v>
      </c>
      <c r="AL815" t="str">
        <f>LEFT(Table1[[#This Row],[discount_type]],1)&amp;TEXT(ROUND(Table1[[#This Row],[discount_rate]]*100,0),"00")</f>
        <v>L10</v>
      </c>
      <c r="AM815" t="str" cm="1">
        <f t="array" ref="AM815">TEXT(SUMPRODUCT(CODE(MID(Table1[[#This Row],[home_gym_location]],_xlfn.SEQUENCE(LEN(Table1[[#This Row],[home_gym_location]])),1))),"00000")</f>
        <v>00906</v>
      </c>
      <c r="AN815" t="str">
        <f>UPPER(_xlfn.TEXTBEFORE(Table1[[#This Row],[home_gym_location]],","))&amp;"-"&amp;TEXT(MATCH(Table1[[#This Row],[home_gym_location]],_xlfn._xlws.SORT(_xlfn.UNIQUE(Table1[home_gym_location])),0),"000")</f>
        <v>OAKLAND-006</v>
      </c>
      <c r="AO815" t="str">
        <f>LEFT(_xlfn.TEXTBEFORE(Table1[[#This Row],[Location Identifier]],"-"),3) &amp; "-" &amp; _xlfn.TEXTAFTER(Table1[[#This Row],[Location Identifier]],"-")</f>
        <v>OAK-006</v>
      </c>
      <c r="AP815" s="9">
        <f t="shared" ca="1" si="120"/>
        <v>45869</v>
      </c>
    </row>
    <row r="816" spans="1:42" x14ac:dyDescent="0.25">
      <c r="A816">
        <v>35</v>
      </c>
      <c r="B816" t="s">
        <v>42</v>
      </c>
      <c r="C816">
        <v>3</v>
      </c>
      <c r="D816" t="s">
        <v>109</v>
      </c>
      <c r="E816" t="b">
        <v>1</v>
      </c>
      <c r="F816" s="1">
        <v>0.56388888888888888</v>
      </c>
      <c r="G816" s="1">
        <v>0.67986111111111114</v>
      </c>
      <c r="H816">
        <v>167</v>
      </c>
      <c r="I816" t="b">
        <v>0</v>
      </c>
      <c r="J816" t="b">
        <v>0</v>
      </c>
      <c r="K816" t="b">
        <v>0</v>
      </c>
      <c r="L816" t="s">
        <v>28</v>
      </c>
      <c r="M816">
        <v>20</v>
      </c>
      <c r="N816" t="s">
        <v>64</v>
      </c>
      <c r="O816">
        <v>15</v>
      </c>
      <c r="P816" t="s">
        <v>74</v>
      </c>
      <c r="Q816">
        <v>0.15</v>
      </c>
      <c r="R816">
        <v>12.75</v>
      </c>
      <c r="S816" t="s">
        <v>44</v>
      </c>
      <c r="T816" t="s">
        <v>54</v>
      </c>
      <c r="U816">
        <v>32.715699999999998</v>
      </c>
      <c r="V816">
        <v>-117.1611</v>
      </c>
      <c r="W816" s="2">
        <v>45278</v>
      </c>
      <c r="X816">
        <v>0</v>
      </c>
      <c r="Y816" t="b">
        <v>1</v>
      </c>
      <c r="Z816" s="2">
        <v>45829</v>
      </c>
      <c r="AA816" t="str">
        <f t="shared" si="121"/>
        <v>30–39</v>
      </c>
      <c r="AB816" t="str">
        <f t="shared" si="122"/>
        <v>30–39</v>
      </c>
      <c r="AC816" t="str">
        <f t="shared" si="123"/>
        <v/>
      </c>
      <c r="AD816" t="str">
        <f t="shared" si="124"/>
        <v>Tuesday</v>
      </c>
      <c r="AE816" t="str">
        <f t="shared" si="125"/>
        <v/>
      </c>
      <c r="AF816" t="str">
        <f t="shared" si="126"/>
        <v>Thursday</v>
      </c>
      <c r="AG816" t="str">
        <f t="shared" si="127"/>
        <v>Friday</v>
      </c>
      <c r="AH816" t="str">
        <f t="shared" si="128"/>
        <v/>
      </c>
      <c r="AI816" t="str">
        <f t="shared" si="129"/>
        <v/>
      </c>
      <c r="AJ816" t="str">
        <f>LEFT(Table1[[#This Row],[membership_type]],2)&amp;TEXT(Table1[[#This Row],[age]],"00")&amp;"-"&amp;TEXT(ROW(),"000")</f>
        <v>Ba35-816</v>
      </c>
      <c r="AK816" t="str">
        <f>LEFT(Table1[[#This Row],[membership_type]],1)&amp;TEXT(MATCH(Table1[[#This Row],[membership_type]],Table1[membership_type],0),"00")</f>
        <v>B04</v>
      </c>
      <c r="AL816" t="str">
        <f>LEFT(Table1[[#This Row],[discount_type]],1)&amp;TEXT(ROUND(Table1[[#This Row],[discount_rate]]*100,0),"00")</f>
        <v>S15</v>
      </c>
      <c r="AM816" t="str" cm="1">
        <f t="array" ref="AM816">TEXT(SUMPRODUCT(CODE(MID(Table1[[#This Row],[home_gym_location]],_xlfn.SEQUENCE(LEN(Table1[[#This Row],[home_gym_location]])),1))),"00000")</f>
        <v>01018</v>
      </c>
      <c r="AN81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16" t="str">
        <f>LEFT(_xlfn.TEXTBEFORE(Table1[[#This Row],[Location Identifier]],"-"),3) &amp; "-" &amp; _xlfn.TEXTAFTER(Table1[[#This Row],[Location Identifier]],"-")</f>
        <v>SAN-008</v>
      </c>
      <c r="AP816" s="9">
        <f t="shared" ca="1" si="120"/>
        <v>45869</v>
      </c>
    </row>
    <row r="817" spans="1:42" x14ac:dyDescent="0.25">
      <c r="A817">
        <v>43</v>
      </c>
      <c r="B817" t="s">
        <v>42</v>
      </c>
      <c r="C817">
        <v>2</v>
      </c>
      <c r="D817" t="s">
        <v>126</v>
      </c>
      <c r="E817" t="b">
        <v>0</v>
      </c>
      <c r="F817" s="1">
        <v>0.77430555555555558</v>
      </c>
      <c r="G817" s="1">
        <v>0.88611111111111107</v>
      </c>
      <c r="H817">
        <v>161</v>
      </c>
      <c r="I817" t="b">
        <v>0</v>
      </c>
      <c r="J817" t="b">
        <v>1</v>
      </c>
      <c r="K817" t="b">
        <v>1</v>
      </c>
      <c r="L817" t="s">
        <v>47</v>
      </c>
      <c r="M817">
        <v>20</v>
      </c>
      <c r="N817" t="s">
        <v>29</v>
      </c>
      <c r="O817">
        <v>20</v>
      </c>
      <c r="P817" t="s">
        <v>74</v>
      </c>
      <c r="Q817">
        <v>0.15</v>
      </c>
      <c r="R817">
        <v>17</v>
      </c>
      <c r="S817" t="s">
        <v>44</v>
      </c>
      <c r="T817" t="s">
        <v>59</v>
      </c>
      <c r="U817">
        <v>37.774900000000002</v>
      </c>
      <c r="V817">
        <v>-122.4194</v>
      </c>
      <c r="W817" s="2">
        <v>45201</v>
      </c>
      <c r="X817">
        <v>8</v>
      </c>
      <c r="Y817" t="b">
        <v>1</v>
      </c>
      <c r="Z817" s="2">
        <v>45825</v>
      </c>
      <c r="AA817" t="str">
        <f t="shared" si="121"/>
        <v>40–49</v>
      </c>
      <c r="AB817" t="str">
        <f t="shared" si="122"/>
        <v>40–49</v>
      </c>
      <c r="AC817" t="str">
        <f t="shared" si="123"/>
        <v/>
      </c>
      <c r="AD817" t="str">
        <f t="shared" si="124"/>
        <v>Tuesday</v>
      </c>
      <c r="AE817" t="str">
        <f t="shared" si="125"/>
        <v>Wednesday</v>
      </c>
      <c r="AF817" t="str">
        <f t="shared" si="126"/>
        <v/>
      </c>
      <c r="AG817" t="str">
        <f t="shared" si="127"/>
        <v/>
      </c>
      <c r="AH817" t="str">
        <f t="shared" si="128"/>
        <v/>
      </c>
      <c r="AI817" t="str">
        <f t="shared" si="129"/>
        <v/>
      </c>
      <c r="AJ817" t="str">
        <f>LEFT(Table1[[#This Row],[membership_type]],2)&amp;TEXT(Table1[[#This Row],[age]],"00")&amp;"-"&amp;TEXT(ROW(),"000")</f>
        <v>Ba43-817</v>
      </c>
      <c r="AK817" t="str">
        <f>LEFT(Table1[[#This Row],[membership_type]],1)&amp;TEXT(MATCH(Table1[[#This Row],[membership_type]],Table1[membership_type],0),"00")</f>
        <v>B04</v>
      </c>
      <c r="AL817" t="str">
        <f>LEFT(Table1[[#This Row],[discount_type]],1)&amp;TEXT(ROUND(Table1[[#This Row],[discount_rate]]*100,0),"00")</f>
        <v>S15</v>
      </c>
      <c r="AM817" t="str" cm="1">
        <f t="array" ref="AM817">TEXT(SUMPRODUCT(CODE(MID(Table1[[#This Row],[home_gym_location]],_xlfn.SEQUENCE(LEN(Table1[[#This Row],[home_gym_location]])),1))),"00000")</f>
        <v>01450</v>
      </c>
      <c r="AN81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17" t="str">
        <f>LEFT(_xlfn.TEXTBEFORE(Table1[[#This Row],[Location Identifier]],"-"),3) &amp; "-" &amp; _xlfn.TEXTAFTER(Table1[[#This Row],[Location Identifier]],"-")</f>
        <v>SAN-009</v>
      </c>
      <c r="AP817" s="9">
        <f t="shared" ca="1" si="120"/>
        <v>45869</v>
      </c>
    </row>
    <row r="818" spans="1:42" x14ac:dyDescent="0.25">
      <c r="A818">
        <v>34</v>
      </c>
      <c r="B818" t="s">
        <v>51</v>
      </c>
      <c r="C818">
        <v>1</v>
      </c>
      <c r="D818" t="s">
        <v>49</v>
      </c>
      <c r="E818" t="b">
        <v>1</v>
      </c>
      <c r="F818" s="1">
        <v>0.61597222222222225</v>
      </c>
      <c r="G818" s="1">
        <v>0.7006944444444444</v>
      </c>
      <c r="H818">
        <v>122</v>
      </c>
      <c r="I818" t="b">
        <v>1</v>
      </c>
      <c r="J818" t="b">
        <v>0</v>
      </c>
      <c r="K818" t="b">
        <v>0</v>
      </c>
      <c r="L818" t="s">
        <v>62</v>
      </c>
      <c r="M818">
        <v>70</v>
      </c>
      <c r="N818" t="s">
        <v>64</v>
      </c>
      <c r="O818">
        <v>52.5</v>
      </c>
      <c r="P818" t="s">
        <v>36</v>
      </c>
      <c r="Q818">
        <v>0</v>
      </c>
      <c r="R818">
        <v>52.5</v>
      </c>
      <c r="S818" t="s">
        <v>53</v>
      </c>
      <c r="T818" t="s">
        <v>50</v>
      </c>
      <c r="U818">
        <v>34.052199999999999</v>
      </c>
      <c r="V818">
        <v>-118.2437</v>
      </c>
      <c r="W818" s="2">
        <v>45406</v>
      </c>
      <c r="X818">
        <v>0</v>
      </c>
      <c r="Y818" t="b">
        <v>0</v>
      </c>
      <c r="Z818" s="2">
        <v>45837</v>
      </c>
      <c r="AA818" t="str">
        <f t="shared" si="121"/>
        <v>30–39</v>
      </c>
      <c r="AB818" t="str">
        <f t="shared" si="122"/>
        <v>30–39</v>
      </c>
      <c r="AC818" t="str">
        <f t="shared" si="123"/>
        <v/>
      </c>
      <c r="AD818" t="str">
        <f t="shared" si="124"/>
        <v/>
      </c>
      <c r="AE818" t="str">
        <f t="shared" si="125"/>
        <v/>
      </c>
      <c r="AF818" t="str">
        <f t="shared" si="126"/>
        <v/>
      </c>
      <c r="AG818" t="str">
        <f t="shared" si="127"/>
        <v/>
      </c>
      <c r="AH818" t="str">
        <f t="shared" si="128"/>
        <v/>
      </c>
      <c r="AI818" t="str">
        <f t="shared" si="129"/>
        <v>Sunday</v>
      </c>
      <c r="AJ818" t="str">
        <f>LEFT(Table1[[#This Row],[membership_type]],2)&amp;TEXT(Table1[[#This Row],[age]],"00")&amp;"-"&amp;TEXT(ROW(),"000")</f>
        <v>El34-818</v>
      </c>
      <c r="AK818" t="str">
        <f>LEFT(Table1[[#This Row],[membership_type]],1)&amp;TEXT(MATCH(Table1[[#This Row],[membership_type]],Table1[membership_type],0),"00")</f>
        <v>E07</v>
      </c>
      <c r="AL818" t="str">
        <f>LEFT(Table1[[#This Row],[discount_type]],1)&amp;TEXT(ROUND(Table1[[#This Row],[discount_rate]]*100,0),"00")</f>
        <v>N00</v>
      </c>
      <c r="AM818" t="str" cm="1">
        <f t="array" ref="AM818">TEXT(SUMPRODUCT(CODE(MID(Table1[[#This Row],[home_gym_location]],_xlfn.SEQUENCE(LEN(Table1[[#This Row],[home_gym_location]])),1))),"00000")</f>
        <v>01245</v>
      </c>
      <c r="AN81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18" t="str">
        <f>LEFT(_xlfn.TEXTBEFORE(Table1[[#This Row],[Location Identifier]],"-"),3) &amp; "-" &amp; _xlfn.TEXTAFTER(Table1[[#This Row],[Location Identifier]],"-")</f>
        <v>LOS-005</v>
      </c>
      <c r="AP818" s="9">
        <f t="shared" ca="1" si="120"/>
        <v>45869</v>
      </c>
    </row>
    <row r="819" spans="1:42" x14ac:dyDescent="0.25">
      <c r="A819">
        <v>44</v>
      </c>
      <c r="B819" t="s">
        <v>42</v>
      </c>
      <c r="C819">
        <v>2</v>
      </c>
      <c r="D819" t="s">
        <v>92</v>
      </c>
      <c r="E819" t="b">
        <v>1</v>
      </c>
      <c r="F819" s="1">
        <v>0.8125</v>
      </c>
      <c r="G819" s="1">
        <v>0.9194444444444444</v>
      </c>
      <c r="H819">
        <v>154</v>
      </c>
      <c r="I819" t="b">
        <v>0</v>
      </c>
      <c r="J819" t="b">
        <v>0</v>
      </c>
      <c r="K819" t="b">
        <v>0</v>
      </c>
      <c r="L819" t="s">
        <v>47</v>
      </c>
      <c r="M819">
        <v>20</v>
      </c>
      <c r="N819" t="s">
        <v>64</v>
      </c>
      <c r="O819">
        <v>15</v>
      </c>
      <c r="P819" t="s">
        <v>40</v>
      </c>
      <c r="Q819">
        <v>0.1</v>
      </c>
      <c r="R819">
        <v>13.5</v>
      </c>
      <c r="S819" t="s">
        <v>44</v>
      </c>
      <c r="T819" t="s">
        <v>41</v>
      </c>
      <c r="U819">
        <v>37.804400000000001</v>
      </c>
      <c r="V819">
        <v>-122.27119999999999</v>
      </c>
      <c r="W819" s="2">
        <v>45772</v>
      </c>
      <c r="X819">
        <v>0</v>
      </c>
      <c r="Y819" t="b">
        <v>0</v>
      </c>
      <c r="Z819" s="2">
        <v>45857</v>
      </c>
      <c r="AA819" t="str">
        <f t="shared" si="121"/>
        <v>40–49</v>
      </c>
      <c r="AB819" t="str">
        <f t="shared" si="122"/>
        <v>40–49</v>
      </c>
      <c r="AC819" t="str">
        <f t="shared" si="123"/>
        <v/>
      </c>
      <c r="AD819" t="str">
        <f t="shared" si="124"/>
        <v/>
      </c>
      <c r="AE819" t="str">
        <f t="shared" si="125"/>
        <v/>
      </c>
      <c r="AF819" t="str">
        <f t="shared" si="126"/>
        <v/>
      </c>
      <c r="AG819" t="str">
        <f t="shared" si="127"/>
        <v>Friday</v>
      </c>
      <c r="AH819" t="str">
        <f t="shared" si="128"/>
        <v/>
      </c>
      <c r="AI819" t="str">
        <f t="shared" si="129"/>
        <v>Sunday</v>
      </c>
      <c r="AJ819" t="str">
        <f>LEFT(Table1[[#This Row],[membership_type]],2)&amp;TEXT(Table1[[#This Row],[age]],"00")&amp;"-"&amp;TEXT(ROW(),"000")</f>
        <v>Ba44-819</v>
      </c>
      <c r="AK819" t="str">
        <f>LEFT(Table1[[#This Row],[membership_type]],1)&amp;TEXT(MATCH(Table1[[#This Row],[membership_type]],Table1[membership_type],0),"00")</f>
        <v>B04</v>
      </c>
      <c r="AL819" t="str">
        <f>LEFT(Table1[[#This Row],[discount_type]],1)&amp;TEXT(ROUND(Table1[[#This Row],[discount_rate]]*100,0),"00")</f>
        <v>L10</v>
      </c>
      <c r="AM819" t="str" cm="1">
        <f t="array" ref="AM819">TEXT(SUMPRODUCT(CODE(MID(Table1[[#This Row],[home_gym_location]],_xlfn.SEQUENCE(LEN(Table1[[#This Row],[home_gym_location]])),1))),"00000")</f>
        <v>00906</v>
      </c>
      <c r="AN819" t="str">
        <f>UPPER(_xlfn.TEXTBEFORE(Table1[[#This Row],[home_gym_location]],","))&amp;"-"&amp;TEXT(MATCH(Table1[[#This Row],[home_gym_location]],_xlfn._xlws.SORT(_xlfn.UNIQUE(Table1[home_gym_location])),0),"000")</f>
        <v>OAKLAND-006</v>
      </c>
      <c r="AO819" t="str">
        <f>LEFT(_xlfn.TEXTBEFORE(Table1[[#This Row],[Location Identifier]],"-"),3) &amp; "-" &amp; _xlfn.TEXTAFTER(Table1[[#This Row],[Location Identifier]],"-")</f>
        <v>OAK-006</v>
      </c>
      <c r="AP819" s="9">
        <f t="shared" ca="1" si="120"/>
        <v>45869</v>
      </c>
    </row>
    <row r="820" spans="1:42" x14ac:dyDescent="0.25">
      <c r="A820">
        <v>12</v>
      </c>
      <c r="B820" t="s">
        <v>26</v>
      </c>
      <c r="C820">
        <v>5</v>
      </c>
      <c r="D820" t="s">
        <v>76</v>
      </c>
      <c r="E820" t="b">
        <v>1</v>
      </c>
      <c r="F820" s="1">
        <v>0.77222222222222225</v>
      </c>
      <c r="G820" s="1">
        <v>0.81111111111111112</v>
      </c>
      <c r="H820">
        <v>56</v>
      </c>
      <c r="I820" t="b">
        <v>1</v>
      </c>
      <c r="J820" t="b">
        <v>0</v>
      </c>
      <c r="K820" t="b">
        <v>1</v>
      </c>
      <c r="L820" t="s">
        <v>28</v>
      </c>
      <c r="M820">
        <v>50</v>
      </c>
      <c r="N820" t="s">
        <v>29</v>
      </c>
      <c r="O820">
        <v>50</v>
      </c>
      <c r="P820" t="s">
        <v>40</v>
      </c>
      <c r="Q820">
        <v>0.1</v>
      </c>
      <c r="R820">
        <v>45</v>
      </c>
      <c r="S820" t="s">
        <v>31</v>
      </c>
      <c r="T820" t="s">
        <v>32</v>
      </c>
      <c r="U820">
        <v>37.338200000000001</v>
      </c>
      <c r="V820">
        <v>-121.88630000000001</v>
      </c>
      <c r="W820" s="2">
        <v>45474</v>
      </c>
      <c r="X820">
        <v>0</v>
      </c>
      <c r="Y820" t="b">
        <v>0</v>
      </c>
      <c r="Z820" s="2">
        <v>45840</v>
      </c>
      <c r="AA820" t="str">
        <f t="shared" si="121"/>
        <v>10–19</v>
      </c>
      <c r="AB820" t="str">
        <f t="shared" si="122"/>
        <v>Under 16</v>
      </c>
      <c r="AC820" t="str">
        <f t="shared" si="123"/>
        <v>Monday</v>
      </c>
      <c r="AD820" t="str">
        <f t="shared" si="124"/>
        <v>Tuesday</v>
      </c>
      <c r="AE820" t="str">
        <f t="shared" si="125"/>
        <v>Wednesday</v>
      </c>
      <c r="AF820" t="str">
        <f t="shared" si="126"/>
        <v>Thursday</v>
      </c>
      <c r="AG820" t="str">
        <f t="shared" si="127"/>
        <v/>
      </c>
      <c r="AH820" t="str">
        <f t="shared" si="128"/>
        <v/>
      </c>
      <c r="AI820" t="str">
        <f t="shared" si="129"/>
        <v>Sunday</v>
      </c>
      <c r="AJ820" t="str">
        <f>LEFT(Table1[[#This Row],[membership_type]],2)&amp;TEXT(Table1[[#This Row],[age]],"00")&amp;"-"&amp;TEXT(ROW(),"000")</f>
        <v>Pr12-820</v>
      </c>
      <c r="AK820" t="str">
        <f>LEFT(Table1[[#This Row],[membership_type]],1)&amp;TEXT(MATCH(Table1[[#This Row],[membership_type]],Table1[membership_type],0),"00")</f>
        <v>P01</v>
      </c>
      <c r="AL820" t="str">
        <f>LEFT(Table1[[#This Row],[discount_type]],1)&amp;TEXT(ROUND(Table1[[#This Row],[discount_rate]]*100,0),"00")</f>
        <v>L10</v>
      </c>
      <c r="AM820" t="str" cm="1">
        <f t="array" ref="AM820">TEXT(SUMPRODUCT(CODE(MID(Table1[[#This Row],[home_gym_location]],_xlfn.SEQUENCE(LEN(Table1[[#This Row],[home_gym_location]])),1))),"00000")</f>
        <v>00931</v>
      </c>
      <c r="AN82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20" t="str">
        <f>LEFT(_xlfn.TEXTBEFORE(Table1[[#This Row],[Location Identifier]],"-"),3) &amp; "-" &amp; _xlfn.TEXTAFTER(Table1[[#This Row],[Location Identifier]],"-")</f>
        <v>SAN-010</v>
      </c>
      <c r="AP820" s="9">
        <f t="shared" ca="1" si="120"/>
        <v>45869</v>
      </c>
    </row>
    <row r="821" spans="1:42" x14ac:dyDescent="0.25">
      <c r="A821">
        <v>39</v>
      </c>
      <c r="B821" t="s">
        <v>42</v>
      </c>
      <c r="C821">
        <v>2</v>
      </c>
      <c r="D821" t="s">
        <v>46</v>
      </c>
      <c r="E821" t="b">
        <v>0</v>
      </c>
      <c r="F821" s="1">
        <v>0.50694444444444442</v>
      </c>
      <c r="G821" s="1">
        <v>0.52916666666666667</v>
      </c>
      <c r="H821">
        <v>32</v>
      </c>
      <c r="I821" t="b">
        <v>1</v>
      </c>
      <c r="J821" t="b">
        <v>1</v>
      </c>
      <c r="K821" t="b">
        <v>0</v>
      </c>
      <c r="L821" t="s">
        <v>28</v>
      </c>
      <c r="M821">
        <v>20</v>
      </c>
      <c r="N821" t="s">
        <v>64</v>
      </c>
      <c r="O821">
        <v>15</v>
      </c>
      <c r="P821" t="s">
        <v>36</v>
      </c>
      <c r="Q821">
        <v>0</v>
      </c>
      <c r="R821">
        <v>15</v>
      </c>
      <c r="S821" t="s">
        <v>44</v>
      </c>
      <c r="T821" t="s">
        <v>41</v>
      </c>
      <c r="U821">
        <v>37.804400000000001</v>
      </c>
      <c r="V821">
        <v>-122.27119999999999</v>
      </c>
      <c r="W821" s="2">
        <v>44975</v>
      </c>
      <c r="X821">
        <v>6</v>
      </c>
      <c r="Y821" t="b">
        <v>0</v>
      </c>
      <c r="Z821" s="2">
        <v>45812</v>
      </c>
      <c r="AA821" t="str">
        <f t="shared" si="121"/>
        <v>30–39</v>
      </c>
      <c r="AB821" t="str">
        <f t="shared" si="122"/>
        <v>30–39</v>
      </c>
      <c r="AC821" t="str">
        <f t="shared" si="123"/>
        <v/>
      </c>
      <c r="AD821" t="str">
        <f t="shared" si="124"/>
        <v/>
      </c>
      <c r="AE821" t="str">
        <f t="shared" si="125"/>
        <v>Wednesday</v>
      </c>
      <c r="AF821" t="str">
        <f t="shared" si="126"/>
        <v/>
      </c>
      <c r="AG821" t="str">
        <f t="shared" si="127"/>
        <v/>
      </c>
      <c r="AH821" t="str">
        <f t="shared" si="128"/>
        <v/>
      </c>
      <c r="AI821" t="str">
        <f t="shared" si="129"/>
        <v>Sunday</v>
      </c>
      <c r="AJ821" t="str">
        <f>LEFT(Table1[[#This Row],[membership_type]],2)&amp;TEXT(Table1[[#This Row],[age]],"00")&amp;"-"&amp;TEXT(ROW(),"000")</f>
        <v>Ba39-821</v>
      </c>
      <c r="AK821" t="str">
        <f>LEFT(Table1[[#This Row],[membership_type]],1)&amp;TEXT(MATCH(Table1[[#This Row],[membership_type]],Table1[membership_type],0),"00")</f>
        <v>B04</v>
      </c>
      <c r="AL821" t="str">
        <f>LEFT(Table1[[#This Row],[discount_type]],1)&amp;TEXT(ROUND(Table1[[#This Row],[discount_rate]]*100,0),"00")</f>
        <v>N00</v>
      </c>
      <c r="AM821" t="str" cm="1">
        <f t="array" ref="AM821">TEXT(SUMPRODUCT(CODE(MID(Table1[[#This Row],[home_gym_location]],_xlfn.SEQUENCE(LEN(Table1[[#This Row],[home_gym_location]])),1))),"00000")</f>
        <v>00906</v>
      </c>
      <c r="AN821" t="str">
        <f>UPPER(_xlfn.TEXTBEFORE(Table1[[#This Row],[home_gym_location]],","))&amp;"-"&amp;TEXT(MATCH(Table1[[#This Row],[home_gym_location]],_xlfn._xlws.SORT(_xlfn.UNIQUE(Table1[home_gym_location])),0),"000")</f>
        <v>OAKLAND-006</v>
      </c>
      <c r="AO821" t="str">
        <f>LEFT(_xlfn.TEXTBEFORE(Table1[[#This Row],[Location Identifier]],"-"),3) &amp; "-" &amp; _xlfn.TEXTAFTER(Table1[[#This Row],[Location Identifier]],"-")</f>
        <v>OAK-006</v>
      </c>
      <c r="AP821" s="9">
        <f t="shared" ca="1" si="120"/>
        <v>45869</v>
      </c>
    </row>
    <row r="822" spans="1:42" x14ac:dyDescent="0.25">
      <c r="A822">
        <v>37</v>
      </c>
      <c r="B822" t="s">
        <v>26</v>
      </c>
      <c r="C822">
        <v>3</v>
      </c>
      <c r="D822" t="s">
        <v>82</v>
      </c>
      <c r="E822" t="b">
        <v>0</v>
      </c>
      <c r="F822" s="1">
        <v>0.74513888888888891</v>
      </c>
      <c r="G822" s="1">
        <v>0.84305555555555556</v>
      </c>
      <c r="H822">
        <v>141</v>
      </c>
      <c r="I822" t="b">
        <v>0</v>
      </c>
      <c r="J822" t="b">
        <v>0</v>
      </c>
      <c r="K822" t="b">
        <v>1</v>
      </c>
      <c r="L822" t="s">
        <v>35</v>
      </c>
      <c r="M822">
        <v>50</v>
      </c>
      <c r="N822" t="s">
        <v>64</v>
      </c>
      <c r="O822">
        <v>37.5</v>
      </c>
      <c r="P822" t="s">
        <v>40</v>
      </c>
      <c r="Q822">
        <v>0.1</v>
      </c>
      <c r="R822">
        <v>33.75</v>
      </c>
      <c r="S822" t="s">
        <v>31</v>
      </c>
      <c r="T822" t="s">
        <v>65</v>
      </c>
      <c r="U822">
        <v>33.770099999999999</v>
      </c>
      <c r="V822">
        <v>-118.19370000000001</v>
      </c>
      <c r="W822" s="2">
        <v>45826</v>
      </c>
      <c r="X822">
        <v>0</v>
      </c>
      <c r="Y822" t="b">
        <v>1</v>
      </c>
      <c r="Z822" s="2">
        <v>45860</v>
      </c>
      <c r="AA822" t="str">
        <f t="shared" si="121"/>
        <v>30–39</v>
      </c>
      <c r="AB822" t="str">
        <f t="shared" si="122"/>
        <v>30–39</v>
      </c>
      <c r="AC822" t="str">
        <f t="shared" si="123"/>
        <v/>
      </c>
      <c r="AD822" t="str">
        <f t="shared" si="124"/>
        <v/>
      </c>
      <c r="AE822" t="str">
        <f t="shared" si="125"/>
        <v/>
      </c>
      <c r="AF822" t="str">
        <f t="shared" si="126"/>
        <v/>
      </c>
      <c r="AG822" t="str">
        <f t="shared" si="127"/>
        <v>Friday</v>
      </c>
      <c r="AH822" t="str">
        <f t="shared" si="128"/>
        <v>Saturday</v>
      </c>
      <c r="AI822" t="str">
        <f t="shared" si="129"/>
        <v>Sunday</v>
      </c>
      <c r="AJ822" t="str">
        <f>LEFT(Table1[[#This Row],[membership_type]],2)&amp;TEXT(Table1[[#This Row],[age]],"00")&amp;"-"&amp;TEXT(ROW(),"000")</f>
        <v>Pr37-822</v>
      </c>
      <c r="AK822" t="str">
        <f>LEFT(Table1[[#This Row],[membership_type]],1)&amp;TEXT(MATCH(Table1[[#This Row],[membership_type]],Table1[membership_type],0),"00")</f>
        <v>P01</v>
      </c>
      <c r="AL822" t="str">
        <f>LEFT(Table1[[#This Row],[discount_type]],1)&amp;TEXT(ROUND(Table1[[#This Row],[discount_rate]]*100,0),"00")</f>
        <v>L10</v>
      </c>
      <c r="AM822" t="str" cm="1">
        <f t="array" ref="AM822">TEXT(SUMPRODUCT(CODE(MID(Table1[[#This Row],[home_gym_location]],_xlfn.SEQUENCE(LEN(Table1[[#This Row],[home_gym_location]])),1))),"00000")</f>
        <v>01107</v>
      </c>
      <c r="AN82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22" t="str">
        <f>LEFT(_xlfn.TEXTBEFORE(Table1[[#This Row],[Location Identifier]],"-"),3) &amp; "-" &amp; _xlfn.TEXTAFTER(Table1[[#This Row],[Location Identifier]],"-")</f>
        <v>LON-004</v>
      </c>
      <c r="AP822" s="9">
        <f t="shared" ca="1" si="120"/>
        <v>45869</v>
      </c>
    </row>
    <row r="823" spans="1:42" x14ac:dyDescent="0.25">
      <c r="A823">
        <v>36</v>
      </c>
      <c r="B823" t="s">
        <v>26</v>
      </c>
      <c r="C823">
        <v>3</v>
      </c>
      <c r="D823" t="s">
        <v>90</v>
      </c>
      <c r="E823" t="b">
        <v>1</v>
      </c>
      <c r="F823" s="1">
        <v>0.40208333333333335</v>
      </c>
      <c r="G823" s="1">
        <v>0.46388888888888891</v>
      </c>
      <c r="H823">
        <v>89</v>
      </c>
      <c r="I823" t="b">
        <v>0</v>
      </c>
      <c r="J823" t="b">
        <v>0</v>
      </c>
      <c r="K823" t="b">
        <v>1</v>
      </c>
      <c r="L823" t="s">
        <v>28</v>
      </c>
      <c r="M823">
        <v>50</v>
      </c>
      <c r="N823" t="s">
        <v>29</v>
      </c>
      <c r="O823">
        <v>50</v>
      </c>
      <c r="P823" t="s">
        <v>36</v>
      </c>
      <c r="Q823">
        <v>0</v>
      </c>
      <c r="R823">
        <v>50</v>
      </c>
      <c r="S823" t="s">
        <v>31</v>
      </c>
      <c r="T823" t="s">
        <v>38</v>
      </c>
      <c r="U823">
        <v>36.7378</v>
      </c>
      <c r="V823">
        <v>-119.7871</v>
      </c>
      <c r="W823" s="2">
        <v>45475</v>
      </c>
      <c r="X823">
        <v>0</v>
      </c>
      <c r="Y823" t="b">
        <v>1</v>
      </c>
      <c r="Z823" s="2">
        <v>45840</v>
      </c>
      <c r="AA823" t="str">
        <f t="shared" si="121"/>
        <v>30–39</v>
      </c>
      <c r="AB823" t="str">
        <f t="shared" si="122"/>
        <v>30–39</v>
      </c>
      <c r="AC823" t="str">
        <f t="shared" si="123"/>
        <v/>
      </c>
      <c r="AD823" t="str">
        <f t="shared" si="124"/>
        <v>Tuesday</v>
      </c>
      <c r="AE823" t="str">
        <f t="shared" si="125"/>
        <v/>
      </c>
      <c r="AF823" t="str">
        <f t="shared" si="126"/>
        <v/>
      </c>
      <c r="AG823" t="str">
        <f t="shared" si="127"/>
        <v/>
      </c>
      <c r="AH823" t="str">
        <f t="shared" si="128"/>
        <v>Saturday</v>
      </c>
      <c r="AI823" t="str">
        <f t="shared" si="129"/>
        <v>Sunday</v>
      </c>
      <c r="AJ823" t="str">
        <f>LEFT(Table1[[#This Row],[membership_type]],2)&amp;TEXT(Table1[[#This Row],[age]],"00")&amp;"-"&amp;TEXT(ROW(),"000")</f>
        <v>Pr36-823</v>
      </c>
      <c r="AK823" t="str">
        <f>LEFT(Table1[[#This Row],[membership_type]],1)&amp;TEXT(MATCH(Table1[[#This Row],[membership_type]],Table1[membership_type],0),"00")</f>
        <v>P01</v>
      </c>
      <c r="AL823" t="str">
        <f>LEFT(Table1[[#This Row],[discount_type]],1)&amp;TEXT(ROUND(Table1[[#This Row],[discount_rate]]*100,0),"00")</f>
        <v>N00</v>
      </c>
      <c r="AM823" t="str" cm="1">
        <f t="array" ref="AM823">TEXT(SUMPRODUCT(CODE(MID(Table1[[#This Row],[home_gym_location]],_xlfn.SEQUENCE(LEN(Table1[[#This Row],[home_gym_location]])),1))),"00000")</f>
        <v>00829</v>
      </c>
      <c r="AN823" t="str">
        <f>UPPER(_xlfn.TEXTBEFORE(Table1[[#This Row],[home_gym_location]],","))&amp;"-"&amp;TEXT(MATCH(Table1[[#This Row],[home_gym_location]],_xlfn._xlws.SORT(_xlfn.UNIQUE(Table1[home_gym_location])),0),"000")</f>
        <v>FRESNO-003</v>
      </c>
      <c r="AO823" t="str">
        <f>LEFT(_xlfn.TEXTBEFORE(Table1[[#This Row],[Location Identifier]],"-"),3) &amp; "-" &amp; _xlfn.TEXTAFTER(Table1[[#This Row],[Location Identifier]],"-")</f>
        <v>FRE-003</v>
      </c>
      <c r="AP823" s="9">
        <f t="shared" ca="1" si="120"/>
        <v>45869</v>
      </c>
    </row>
    <row r="824" spans="1:42" x14ac:dyDescent="0.25">
      <c r="A824">
        <v>42</v>
      </c>
      <c r="B824" t="s">
        <v>26</v>
      </c>
      <c r="C824">
        <v>2</v>
      </c>
      <c r="D824" t="s">
        <v>88</v>
      </c>
      <c r="E824" t="b">
        <v>0</v>
      </c>
      <c r="F824" s="1">
        <v>0.46041666666666664</v>
      </c>
      <c r="G824" s="1">
        <v>0.56527777777777777</v>
      </c>
      <c r="H824">
        <v>151</v>
      </c>
      <c r="I824" t="b">
        <v>1</v>
      </c>
      <c r="J824" t="b">
        <v>1</v>
      </c>
      <c r="K824" t="b">
        <v>0</v>
      </c>
      <c r="L824" t="s">
        <v>47</v>
      </c>
      <c r="M824">
        <v>50</v>
      </c>
      <c r="N824" t="s">
        <v>64</v>
      </c>
      <c r="O824">
        <v>37.5</v>
      </c>
      <c r="P824" t="s">
        <v>40</v>
      </c>
      <c r="Q824">
        <v>0.1</v>
      </c>
      <c r="R824">
        <v>33.75</v>
      </c>
      <c r="S824" t="s">
        <v>31</v>
      </c>
      <c r="T824" t="s">
        <v>38</v>
      </c>
      <c r="U824">
        <v>36.7378</v>
      </c>
      <c r="V824">
        <v>-119.7871</v>
      </c>
      <c r="W824" s="2">
        <v>45406</v>
      </c>
      <c r="X824">
        <v>5</v>
      </c>
      <c r="Y824" t="b">
        <v>0</v>
      </c>
      <c r="Z824" s="2">
        <v>45837</v>
      </c>
      <c r="AA824" t="str">
        <f t="shared" si="121"/>
        <v>40–49</v>
      </c>
      <c r="AB824" t="str">
        <f t="shared" si="122"/>
        <v>40–49</v>
      </c>
      <c r="AC824" t="str">
        <f t="shared" si="123"/>
        <v>Monday</v>
      </c>
      <c r="AD824" t="str">
        <f t="shared" si="124"/>
        <v/>
      </c>
      <c r="AE824" t="str">
        <f t="shared" si="125"/>
        <v>Wednesday</v>
      </c>
      <c r="AF824" t="str">
        <f t="shared" si="126"/>
        <v/>
      </c>
      <c r="AG824" t="str">
        <f t="shared" si="127"/>
        <v/>
      </c>
      <c r="AH824" t="str">
        <f t="shared" si="128"/>
        <v/>
      </c>
      <c r="AI824" t="str">
        <f t="shared" si="129"/>
        <v/>
      </c>
      <c r="AJ824" t="str">
        <f>LEFT(Table1[[#This Row],[membership_type]],2)&amp;TEXT(Table1[[#This Row],[age]],"00")&amp;"-"&amp;TEXT(ROW(),"000")</f>
        <v>Pr42-824</v>
      </c>
      <c r="AK824" t="str">
        <f>LEFT(Table1[[#This Row],[membership_type]],1)&amp;TEXT(MATCH(Table1[[#This Row],[membership_type]],Table1[membership_type],0),"00")</f>
        <v>P01</v>
      </c>
      <c r="AL824" t="str">
        <f>LEFT(Table1[[#This Row],[discount_type]],1)&amp;TEXT(ROUND(Table1[[#This Row],[discount_rate]]*100,0),"00")</f>
        <v>L10</v>
      </c>
      <c r="AM824" t="str" cm="1">
        <f t="array" ref="AM824">TEXT(SUMPRODUCT(CODE(MID(Table1[[#This Row],[home_gym_location]],_xlfn.SEQUENCE(LEN(Table1[[#This Row],[home_gym_location]])),1))),"00000")</f>
        <v>00829</v>
      </c>
      <c r="AN824" t="str">
        <f>UPPER(_xlfn.TEXTBEFORE(Table1[[#This Row],[home_gym_location]],","))&amp;"-"&amp;TEXT(MATCH(Table1[[#This Row],[home_gym_location]],_xlfn._xlws.SORT(_xlfn.UNIQUE(Table1[home_gym_location])),0),"000")</f>
        <v>FRESNO-003</v>
      </c>
      <c r="AO824" t="str">
        <f>LEFT(_xlfn.TEXTBEFORE(Table1[[#This Row],[Location Identifier]],"-"),3) &amp; "-" &amp; _xlfn.TEXTAFTER(Table1[[#This Row],[Location Identifier]],"-")</f>
        <v>FRE-003</v>
      </c>
      <c r="AP824" s="9">
        <f t="shared" ca="1" si="120"/>
        <v>45869</v>
      </c>
    </row>
    <row r="825" spans="1:42" x14ac:dyDescent="0.25">
      <c r="A825">
        <v>44</v>
      </c>
      <c r="B825" t="s">
        <v>26</v>
      </c>
      <c r="C825">
        <v>2</v>
      </c>
      <c r="D825" t="s">
        <v>101</v>
      </c>
      <c r="E825" t="b">
        <v>1</v>
      </c>
      <c r="F825" s="1">
        <v>0.71736111111111112</v>
      </c>
      <c r="G825" s="1">
        <v>0.76041666666666663</v>
      </c>
      <c r="H825">
        <v>62</v>
      </c>
      <c r="I825" t="b">
        <v>0</v>
      </c>
      <c r="J825" t="b">
        <v>0</v>
      </c>
      <c r="K825" t="b">
        <v>1</v>
      </c>
      <c r="L825" t="s">
        <v>28</v>
      </c>
      <c r="M825">
        <v>50</v>
      </c>
      <c r="N825" t="s">
        <v>64</v>
      </c>
      <c r="O825">
        <v>37.5</v>
      </c>
      <c r="P825" t="s">
        <v>40</v>
      </c>
      <c r="Q825">
        <v>0.1</v>
      </c>
      <c r="R825">
        <v>33.75</v>
      </c>
      <c r="S825" t="s">
        <v>31</v>
      </c>
      <c r="T825" t="s">
        <v>41</v>
      </c>
      <c r="U825">
        <v>37.804400000000001</v>
      </c>
      <c r="V825">
        <v>-122.27119999999999</v>
      </c>
      <c r="W825" s="2">
        <v>45258</v>
      </c>
      <c r="X825">
        <v>0</v>
      </c>
      <c r="Y825" t="b">
        <v>1</v>
      </c>
      <c r="Z825" s="2">
        <v>45828</v>
      </c>
      <c r="AA825" t="str">
        <f t="shared" si="121"/>
        <v>40–49</v>
      </c>
      <c r="AB825" t="str">
        <f t="shared" si="122"/>
        <v>40–49</v>
      </c>
      <c r="AC825" t="str">
        <f t="shared" si="123"/>
        <v>Monday</v>
      </c>
      <c r="AD825" t="str">
        <f t="shared" si="124"/>
        <v/>
      </c>
      <c r="AE825" t="str">
        <f t="shared" si="125"/>
        <v/>
      </c>
      <c r="AF825" t="str">
        <f t="shared" si="126"/>
        <v/>
      </c>
      <c r="AG825" t="str">
        <f t="shared" si="127"/>
        <v>Friday</v>
      </c>
      <c r="AH825" t="str">
        <f t="shared" si="128"/>
        <v/>
      </c>
      <c r="AI825" t="str">
        <f t="shared" si="129"/>
        <v/>
      </c>
      <c r="AJ825" t="str">
        <f>LEFT(Table1[[#This Row],[membership_type]],2)&amp;TEXT(Table1[[#This Row],[age]],"00")&amp;"-"&amp;TEXT(ROW(),"000")</f>
        <v>Pr44-825</v>
      </c>
      <c r="AK825" t="str">
        <f>LEFT(Table1[[#This Row],[membership_type]],1)&amp;TEXT(MATCH(Table1[[#This Row],[membership_type]],Table1[membership_type],0),"00")</f>
        <v>P01</v>
      </c>
      <c r="AL825" t="str">
        <f>LEFT(Table1[[#This Row],[discount_type]],1)&amp;TEXT(ROUND(Table1[[#This Row],[discount_rate]]*100,0),"00")</f>
        <v>L10</v>
      </c>
      <c r="AM825" t="str" cm="1">
        <f t="array" ref="AM825">TEXT(SUMPRODUCT(CODE(MID(Table1[[#This Row],[home_gym_location]],_xlfn.SEQUENCE(LEN(Table1[[#This Row],[home_gym_location]])),1))),"00000")</f>
        <v>00906</v>
      </c>
      <c r="AN825" t="str">
        <f>UPPER(_xlfn.TEXTBEFORE(Table1[[#This Row],[home_gym_location]],","))&amp;"-"&amp;TEXT(MATCH(Table1[[#This Row],[home_gym_location]],_xlfn._xlws.SORT(_xlfn.UNIQUE(Table1[home_gym_location])),0),"000")</f>
        <v>OAKLAND-006</v>
      </c>
      <c r="AO825" t="str">
        <f>LEFT(_xlfn.TEXTBEFORE(Table1[[#This Row],[Location Identifier]],"-"),3) &amp; "-" &amp; _xlfn.TEXTAFTER(Table1[[#This Row],[Location Identifier]],"-")</f>
        <v>OAK-006</v>
      </c>
      <c r="AP825" s="9">
        <f t="shared" ca="1" si="120"/>
        <v>45869</v>
      </c>
    </row>
    <row r="826" spans="1:42" x14ac:dyDescent="0.25">
      <c r="A826">
        <v>29</v>
      </c>
      <c r="B826" t="s">
        <v>33</v>
      </c>
      <c r="C826">
        <v>1</v>
      </c>
      <c r="D826" t="s">
        <v>97</v>
      </c>
      <c r="E826" t="b">
        <v>0</v>
      </c>
      <c r="F826" s="1">
        <v>0.35625000000000001</v>
      </c>
      <c r="G826" s="1">
        <v>0.41458333333333336</v>
      </c>
      <c r="H826">
        <v>84</v>
      </c>
      <c r="I826" t="b">
        <v>1</v>
      </c>
      <c r="J826" t="b">
        <v>0</v>
      </c>
      <c r="K826" t="b">
        <v>0</v>
      </c>
      <c r="L826" t="s">
        <v>28</v>
      </c>
      <c r="M826">
        <v>30</v>
      </c>
      <c r="N826" t="s">
        <v>29</v>
      </c>
      <c r="O826">
        <v>30</v>
      </c>
      <c r="P826" t="s">
        <v>36</v>
      </c>
      <c r="Q826">
        <v>0</v>
      </c>
      <c r="R826">
        <v>30</v>
      </c>
      <c r="S826" t="s">
        <v>37</v>
      </c>
      <c r="T826" t="s">
        <v>41</v>
      </c>
      <c r="U826">
        <v>37.804400000000001</v>
      </c>
      <c r="V826">
        <v>-122.27119999999999</v>
      </c>
      <c r="W826" s="2">
        <v>44851</v>
      </c>
      <c r="X826">
        <v>0</v>
      </c>
      <c r="Y826" t="b">
        <v>0</v>
      </c>
      <c r="Z826" s="2">
        <v>45805</v>
      </c>
      <c r="AA826" t="str">
        <f t="shared" si="121"/>
        <v>20–29</v>
      </c>
      <c r="AB826" t="str">
        <f t="shared" si="122"/>
        <v>20–29</v>
      </c>
      <c r="AC826" t="str">
        <f t="shared" si="123"/>
        <v>Monday</v>
      </c>
      <c r="AD826" t="str">
        <f t="shared" si="124"/>
        <v/>
      </c>
      <c r="AE826" t="str">
        <f t="shared" si="125"/>
        <v/>
      </c>
      <c r="AF826" t="str">
        <f t="shared" si="126"/>
        <v/>
      </c>
      <c r="AG826" t="str">
        <f t="shared" si="127"/>
        <v/>
      </c>
      <c r="AH826" t="str">
        <f t="shared" si="128"/>
        <v/>
      </c>
      <c r="AI826" t="str">
        <f t="shared" si="129"/>
        <v/>
      </c>
      <c r="AJ826" t="str">
        <f>LEFT(Table1[[#This Row],[membership_type]],2)&amp;TEXT(Table1[[#This Row],[age]],"00")&amp;"-"&amp;TEXT(ROW(),"000")</f>
        <v>St29-826</v>
      </c>
      <c r="AK826" t="str">
        <f>LEFT(Table1[[#This Row],[membership_type]],1)&amp;TEXT(MATCH(Table1[[#This Row],[membership_type]],Table1[membership_type],0),"00")</f>
        <v>S02</v>
      </c>
      <c r="AL826" t="str">
        <f>LEFT(Table1[[#This Row],[discount_type]],1)&amp;TEXT(ROUND(Table1[[#This Row],[discount_rate]]*100,0),"00")</f>
        <v>N00</v>
      </c>
      <c r="AM826" t="str" cm="1">
        <f t="array" ref="AM826">TEXT(SUMPRODUCT(CODE(MID(Table1[[#This Row],[home_gym_location]],_xlfn.SEQUENCE(LEN(Table1[[#This Row],[home_gym_location]])),1))),"00000")</f>
        <v>00906</v>
      </c>
      <c r="AN826" t="str">
        <f>UPPER(_xlfn.TEXTBEFORE(Table1[[#This Row],[home_gym_location]],","))&amp;"-"&amp;TEXT(MATCH(Table1[[#This Row],[home_gym_location]],_xlfn._xlws.SORT(_xlfn.UNIQUE(Table1[home_gym_location])),0),"000")</f>
        <v>OAKLAND-006</v>
      </c>
      <c r="AO826" t="str">
        <f>LEFT(_xlfn.TEXTBEFORE(Table1[[#This Row],[Location Identifier]],"-"),3) &amp; "-" &amp; _xlfn.TEXTAFTER(Table1[[#This Row],[Location Identifier]],"-")</f>
        <v>OAK-006</v>
      </c>
      <c r="AP826" s="9">
        <f t="shared" ca="1" si="120"/>
        <v>45869</v>
      </c>
    </row>
    <row r="827" spans="1:42" x14ac:dyDescent="0.25">
      <c r="A827">
        <v>34</v>
      </c>
      <c r="B827" t="s">
        <v>33</v>
      </c>
      <c r="C827">
        <v>2</v>
      </c>
      <c r="D827" t="s">
        <v>73</v>
      </c>
      <c r="E827" t="b">
        <v>0</v>
      </c>
      <c r="F827" s="1">
        <v>0.70972222222222225</v>
      </c>
      <c r="G827" s="1">
        <v>0.77500000000000002</v>
      </c>
      <c r="H827">
        <v>94</v>
      </c>
      <c r="I827" t="b">
        <v>1</v>
      </c>
      <c r="J827" t="b">
        <v>1</v>
      </c>
      <c r="K827" t="b">
        <v>1</v>
      </c>
      <c r="L827" t="s">
        <v>28</v>
      </c>
      <c r="M827">
        <v>30</v>
      </c>
      <c r="N827" t="s">
        <v>29</v>
      </c>
      <c r="O827">
        <v>30</v>
      </c>
      <c r="P827" t="s">
        <v>74</v>
      </c>
      <c r="Q827">
        <v>0.15</v>
      </c>
      <c r="R827">
        <v>25.5</v>
      </c>
      <c r="S827" t="s">
        <v>37</v>
      </c>
      <c r="T827" t="s">
        <v>32</v>
      </c>
      <c r="U827">
        <v>37.338200000000001</v>
      </c>
      <c r="V827">
        <v>-121.88630000000001</v>
      </c>
      <c r="W827" s="2">
        <v>45462</v>
      </c>
      <c r="X827">
        <v>5</v>
      </c>
      <c r="Y827" t="b">
        <v>1</v>
      </c>
      <c r="Z827" s="2">
        <v>45840</v>
      </c>
      <c r="AA827" t="str">
        <f t="shared" si="121"/>
        <v>30–39</v>
      </c>
      <c r="AB827" t="str">
        <f t="shared" si="122"/>
        <v>30–39</v>
      </c>
      <c r="AC827" t="str">
        <f t="shared" si="123"/>
        <v/>
      </c>
      <c r="AD827" t="str">
        <f t="shared" si="124"/>
        <v>Tuesday</v>
      </c>
      <c r="AE827" t="str">
        <f t="shared" si="125"/>
        <v/>
      </c>
      <c r="AF827" t="str">
        <f t="shared" si="126"/>
        <v/>
      </c>
      <c r="AG827" t="str">
        <f t="shared" si="127"/>
        <v>Friday</v>
      </c>
      <c r="AH827" t="str">
        <f t="shared" si="128"/>
        <v/>
      </c>
      <c r="AI827" t="str">
        <f t="shared" si="129"/>
        <v/>
      </c>
      <c r="AJ827" t="str">
        <f>LEFT(Table1[[#This Row],[membership_type]],2)&amp;TEXT(Table1[[#This Row],[age]],"00")&amp;"-"&amp;TEXT(ROW(),"000")</f>
        <v>St34-827</v>
      </c>
      <c r="AK827" t="str">
        <f>LEFT(Table1[[#This Row],[membership_type]],1)&amp;TEXT(MATCH(Table1[[#This Row],[membership_type]],Table1[membership_type],0),"00")</f>
        <v>S02</v>
      </c>
      <c r="AL827" t="str">
        <f>LEFT(Table1[[#This Row],[discount_type]],1)&amp;TEXT(ROUND(Table1[[#This Row],[discount_rate]]*100,0),"00")</f>
        <v>S15</v>
      </c>
      <c r="AM827" t="str" cm="1">
        <f t="array" ref="AM827">TEXT(SUMPRODUCT(CODE(MID(Table1[[#This Row],[home_gym_location]],_xlfn.SEQUENCE(LEN(Table1[[#This Row],[home_gym_location]])),1))),"00000")</f>
        <v>00931</v>
      </c>
      <c r="AN82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27" t="str">
        <f>LEFT(_xlfn.TEXTBEFORE(Table1[[#This Row],[Location Identifier]],"-"),3) &amp; "-" &amp; _xlfn.TEXTAFTER(Table1[[#This Row],[Location Identifier]],"-")</f>
        <v>SAN-010</v>
      </c>
      <c r="AP827" s="9">
        <f t="shared" ca="1" si="120"/>
        <v>45869</v>
      </c>
    </row>
    <row r="828" spans="1:42" x14ac:dyDescent="0.25">
      <c r="A828">
        <v>13</v>
      </c>
      <c r="B828" t="s">
        <v>33</v>
      </c>
      <c r="C828">
        <v>3</v>
      </c>
      <c r="D828" t="s">
        <v>114</v>
      </c>
      <c r="E828" t="b">
        <v>0</v>
      </c>
      <c r="F828" s="1">
        <v>0.56666666666666665</v>
      </c>
      <c r="G828" s="1">
        <v>0.58888888888888891</v>
      </c>
      <c r="H828">
        <v>32</v>
      </c>
      <c r="I828" t="b">
        <v>0</v>
      </c>
      <c r="J828" t="b">
        <v>1</v>
      </c>
      <c r="K828" t="b">
        <v>0</v>
      </c>
      <c r="L828" t="s">
        <v>28</v>
      </c>
      <c r="M828">
        <v>30</v>
      </c>
      <c r="N828" t="s">
        <v>29</v>
      </c>
      <c r="O828">
        <v>30</v>
      </c>
      <c r="P828" t="s">
        <v>36</v>
      </c>
      <c r="Q828">
        <v>0</v>
      </c>
      <c r="R828">
        <v>30</v>
      </c>
      <c r="S828" t="s">
        <v>37</v>
      </c>
      <c r="T828" t="s">
        <v>41</v>
      </c>
      <c r="U828">
        <v>37.804400000000001</v>
      </c>
      <c r="V828">
        <v>-122.27119999999999</v>
      </c>
      <c r="W828" s="2">
        <v>45461</v>
      </c>
      <c r="X828">
        <v>4</v>
      </c>
      <c r="Y828" t="b">
        <v>0</v>
      </c>
      <c r="Z828" s="2">
        <v>45840</v>
      </c>
      <c r="AA828" t="str">
        <f t="shared" si="121"/>
        <v>10–19</v>
      </c>
      <c r="AB828" t="str">
        <f t="shared" si="122"/>
        <v>Under 16</v>
      </c>
      <c r="AC828" t="str">
        <f t="shared" si="123"/>
        <v>Monday</v>
      </c>
      <c r="AD828" t="str">
        <f t="shared" si="124"/>
        <v>Tuesday</v>
      </c>
      <c r="AE828" t="str">
        <f t="shared" si="125"/>
        <v>Wednesday</v>
      </c>
      <c r="AF828" t="str">
        <f t="shared" si="126"/>
        <v/>
      </c>
      <c r="AG828" t="str">
        <f t="shared" si="127"/>
        <v/>
      </c>
      <c r="AH828" t="str">
        <f t="shared" si="128"/>
        <v/>
      </c>
      <c r="AI828" t="str">
        <f t="shared" si="129"/>
        <v/>
      </c>
      <c r="AJ828" t="str">
        <f>LEFT(Table1[[#This Row],[membership_type]],2)&amp;TEXT(Table1[[#This Row],[age]],"00")&amp;"-"&amp;TEXT(ROW(),"000")</f>
        <v>St13-828</v>
      </c>
      <c r="AK828" t="str">
        <f>LEFT(Table1[[#This Row],[membership_type]],1)&amp;TEXT(MATCH(Table1[[#This Row],[membership_type]],Table1[membership_type],0),"00")</f>
        <v>S02</v>
      </c>
      <c r="AL828" t="str">
        <f>LEFT(Table1[[#This Row],[discount_type]],1)&amp;TEXT(ROUND(Table1[[#This Row],[discount_rate]]*100,0),"00")</f>
        <v>N00</v>
      </c>
      <c r="AM828" t="str" cm="1">
        <f t="array" ref="AM828">TEXT(SUMPRODUCT(CODE(MID(Table1[[#This Row],[home_gym_location]],_xlfn.SEQUENCE(LEN(Table1[[#This Row],[home_gym_location]])),1))),"00000")</f>
        <v>00906</v>
      </c>
      <c r="AN828" t="str">
        <f>UPPER(_xlfn.TEXTBEFORE(Table1[[#This Row],[home_gym_location]],","))&amp;"-"&amp;TEXT(MATCH(Table1[[#This Row],[home_gym_location]],_xlfn._xlws.SORT(_xlfn.UNIQUE(Table1[home_gym_location])),0),"000")</f>
        <v>OAKLAND-006</v>
      </c>
      <c r="AO828" t="str">
        <f>LEFT(_xlfn.TEXTBEFORE(Table1[[#This Row],[Location Identifier]],"-"),3) &amp; "-" &amp; _xlfn.TEXTAFTER(Table1[[#This Row],[Location Identifier]],"-")</f>
        <v>OAK-006</v>
      </c>
      <c r="AP828" s="9">
        <f t="shared" ca="1" si="120"/>
        <v>45869</v>
      </c>
    </row>
    <row r="829" spans="1:42" x14ac:dyDescent="0.25">
      <c r="A829">
        <v>19</v>
      </c>
      <c r="B829" t="s">
        <v>26</v>
      </c>
      <c r="C829">
        <v>2</v>
      </c>
      <c r="D829" t="s">
        <v>84</v>
      </c>
      <c r="E829" t="b">
        <v>1</v>
      </c>
      <c r="F829" s="1">
        <v>0.80694444444444446</v>
      </c>
      <c r="G829" s="1">
        <v>0.85069444444444442</v>
      </c>
      <c r="H829">
        <v>63</v>
      </c>
      <c r="I829" t="b">
        <v>0</v>
      </c>
      <c r="J829" t="b">
        <v>0</v>
      </c>
      <c r="K829" t="b">
        <v>0</v>
      </c>
      <c r="L829" t="s">
        <v>62</v>
      </c>
      <c r="M829">
        <v>50</v>
      </c>
      <c r="N829" t="s">
        <v>64</v>
      </c>
      <c r="O829">
        <v>37.5</v>
      </c>
      <c r="P829" t="s">
        <v>36</v>
      </c>
      <c r="Q829">
        <v>0</v>
      </c>
      <c r="R829">
        <v>37.5</v>
      </c>
      <c r="S829" t="s">
        <v>31</v>
      </c>
      <c r="T829" t="s">
        <v>56</v>
      </c>
      <c r="U829">
        <v>35.3733</v>
      </c>
      <c r="V829">
        <v>-119.0187</v>
      </c>
      <c r="W829" s="2">
        <v>45045</v>
      </c>
      <c r="X829">
        <v>0</v>
      </c>
      <c r="Y829" t="b">
        <v>1</v>
      </c>
      <c r="Z829" s="2">
        <v>45816</v>
      </c>
      <c r="AA829" t="str">
        <f t="shared" si="121"/>
        <v>10–19</v>
      </c>
      <c r="AB829" t="str">
        <f t="shared" si="122"/>
        <v>16–19</v>
      </c>
      <c r="AC829" t="str">
        <f t="shared" si="123"/>
        <v/>
      </c>
      <c r="AD829" t="str">
        <f t="shared" si="124"/>
        <v>Tuesday</v>
      </c>
      <c r="AE829" t="str">
        <f t="shared" si="125"/>
        <v/>
      </c>
      <c r="AF829" t="str">
        <f t="shared" si="126"/>
        <v/>
      </c>
      <c r="AG829" t="str">
        <f t="shared" si="127"/>
        <v/>
      </c>
      <c r="AH829" t="str">
        <f t="shared" si="128"/>
        <v/>
      </c>
      <c r="AI829" t="str">
        <f t="shared" si="129"/>
        <v>Sunday</v>
      </c>
      <c r="AJ829" t="str">
        <f>LEFT(Table1[[#This Row],[membership_type]],2)&amp;TEXT(Table1[[#This Row],[age]],"00")&amp;"-"&amp;TEXT(ROW(),"000")</f>
        <v>Pr19-829</v>
      </c>
      <c r="AK829" t="str">
        <f>LEFT(Table1[[#This Row],[membership_type]],1)&amp;TEXT(MATCH(Table1[[#This Row],[membership_type]],Table1[membership_type],0),"00")</f>
        <v>P01</v>
      </c>
      <c r="AL829" t="str">
        <f>LEFT(Table1[[#This Row],[discount_type]],1)&amp;TEXT(ROUND(Table1[[#This Row],[discount_rate]]*100,0),"00")</f>
        <v>N00</v>
      </c>
      <c r="AM829" t="str" cm="1">
        <f t="array" ref="AM829">TEXT(SUMPRODUCT(CODE(MID(Table1[[#This Row],[home_gym_location]],_xlfn.SEQUENCE(LEN(Table1[[#This Row],[home_gym_location]])),1))),"00000")</f>
        <v>01324</v>
      </c>
      <c r="AN82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29" t="str">
        <f>LEFT(_xlfn.TEXTBEFORE(Table1[[#This Row],[Location Identifier]],"-"),3) &amp; "-" &amp; _xlfn.TEXTAFTER(Table1[[#This Row],[Location Identifier]],"-")</f>
        <v>BAK-002</v>
      </c>
      <c r="AP829" s="9">
        <f t="shared" ca="1" si="120"/>
        <v>45869</v>
      </c>
    </row>
    <row r="830" spans="1:42" x14ac:dyDescent="0.25">
      <c r="A830">
        <v>35</v>
      </c>
      <c r="B830" t="s">
        <v>26</v>
      </c>
      <c r="C830">
        <v>1</v>
      </c>
      <c r="D830" t="s">
        <v>95</v>
      </c>
      <c r="E830" t="b">
        <v>0</v>
      </c>
      <c r="F830" s="1">
        <v>0.84166666666666667</v>
      </c>
      <c r="G830" s="1">
        <v>0.94236111111111109</v>
      </c>
      <c r="H830">
        <v>145</v>
      </c>
      <c r="I830" t="b">
        <v>1</v>
      </c>
      <c r="J830" t="b">
        <v>1</v>
      </c>
      <c r="K830" t="b">
        <v>0</v>
      </c>
      <c r="L830" t="s">
        <v>28</v>
      </c>
      <c r="M830">
        <v>50</v>
      </c>
      <c r="N830" t="s">
        <v>29</v>
      </c>
      <c r="O830">
        <v>50</v>
      </c>
      <c r="P830" t="s">
        <v>74</v>
      </c>
      <c r="Q830">
        <v>0.15</v>
      </c>
      <c r="R830">
        <v>42.5</v>
      </c>
      <c r="S830" t="s">
        <v>31</v>
      </c>
      <c r="T830" t="s">
        <v>48</v>
      </c>
      <c r="U830">
        <v>38.581600000000002</v>
      </c>
      <c r="V830">
        <v>-121.4944</v>
      </c>
      <c r="W830" s="2">
        <v>45349</v>
      </c>
      <c r="X830">
        <v>8</v>
      </c>
      <c r="Y830" t="b">
        <v>1</v>
      </c>
      <c r="Z830" s="2">
        <v>45833</v>
      </c>
      <c r="AA830" t="str">
        <f t="shared" si="121"/>
        <v>30–39</v>
      </c>
      <c r="AB830" t="str">
        <f t="shared" si="122"/>
        <v>30–39</v>
      </c>
      <c r="AC830" t="str">
        <f t="shared" si="123"/>
        <v/>
      </c>
      <c r="AD830" t="str">
        <f t="shared" si="124"/>
        <v/>
      </c>
      <c r="AE830" t="str">
        <f t="shared" si="125"/>
        <v/>
      </c>
      <c r="AF830" t="str">
        <f t="shared" si="126"/>
        <v/>
      </c>
      <c r="AG830" t="str">
        <f t="shared" si="127"/>
        <v/>
      </c>
      <c r="AH830" t="str">
        <f t="shared" si="128"/>
        <v>Saturday</v>
      </c>
      <c r="AI830" t="str">
        <f t="shared" si="129"/>
        <v/>
      </c>
      <c r="AJ830" t="str">
        <f>LEFT(Table1[[#This Row],[membership_type]],2)&amp;TEXT(Table1[[#This Row],[age]],"00")&amp;"-"&amp;TEXT(ROW(),"000")</f>
        <v>Pr35-830</v>
      </c>
      <c r="AK830" t="str">
        <f>LEFT(Table1[[#This Row],[membership_type]],1)&amp;TEXT(MATCH(Table1[[#This Row],[membership_type]],Table1[membership_type],0),"00")</f>
        <v>P01</v>
      </c>
      <c r="AL830" t="str">
        <f>LEFT(Table1[[#This Row],[discount_type]],1)&amp;TEXT(ROUND(Table1[[#This Row],[discount_rate]]*100,0),"00")</f>
        <v>S15</v>
      </c>
      <c r="AM830" t="str" cm="1">
        <f t="array" ref="AM830">TEXT(SUMPRODUCT(CODE(MID(Table1[[#This Row],[home_gym_location]],_xlfn.SEQUENCE(LEN(Table1[[#This Row],[home_gym_location]])),1))),"00000")</f>
        <v>01245</v>
      </c>
      <c r="AN83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30" t="str">
        <f>LEFT(_xlfn.TEXTBEFORE(Table1[[#This Row],[Location Identifier]],"-"),3) &amp; "-" &amp; _xlfn.TEXTAFTER(Table1[[#This Row],[Location Identifier]],"-")</f>
        <v>SAC-007</v>
      </c>
      <c r="AP830" s="9">
        <f t="shared" ca="1" si="120"/>
        <v>45869</v>
      </c>
    </row>
    <row r="831" spans="1:42" x14ac:dyDescent="0.25">
      <c r="A831">
        <v>24</v>
      </c>
      <c r="B831" t="s">
        <v>42</v>
      </c>
      <c r="C831">
        <v>5</v>
      </c>
      <c r="D831" t="s">
        <v>148</v>
      </c>
      <c r="E831" t="b">
        <v>1</v>
      </c>
      <c r="F831" s="1">
        <v>0.37916666666666665</v>
      </c>
      <c r="G831" s="1">
        <v>0.42986111111111114</v>
      </c>
      <c r="H831">
        <v>73</v>
      </c>
      <c r="I831" t="b">
        <v>1</v>
      </c>
      <c r="J831" t="b">
        <v>0</v>
      </c>
      <c r="K831" t="b">
        <v>1</v>
      </c>
      <c r="L831" t="s">
        <v>28</v>
      </c>
      <c r="M831">
        <v>20</v>
      </c>
      <c r="N831" t="s">
        <v>29</v>
      </c>
      <c r="O831">
        <v>20</v>
      </c>
      <c r="P831" t="s">
        <v>36</v>
      </c>
      <c r="Q831">
        <v>0</v>
      </c>
      <c r="R831">
        <v>20</v>
      </c>
      <c r="S831" t="s">
        <v>44</v>
      </c>
      <c r="T831" t="s">
        <v>50</v>
      </c>
      <c r="U831">
        <v>34.052199999999999</v>
      </c>
      <c r="V831">
        <v>-118.2437</v>
      </c>
      <c r="W831" s="2">
        <v>45591</v>
      </c>
      <c r="X831">
        <v>0</v>
      </c>
      <c r="Y831" t="b">
        <v>1</v>
      </c>
      <c r="Z831" s="2">
        <v>45847</v>
      </c>
      <c r="AA831" t="str">
        <f t="shared" si="121"/>
        <v>20–29</v>
      </c>
      <c r="AB831" t="str">
        <f t="shared" si="122"/>
        <v>20–29</v>
      </c>
      <c r="AC831" t="str">
        <f t="shared" si="123"/>
        <v/>
      </c>
      <c r="AD831" t="str">
        <f t="shared" si="124"/>
        <v/>
      </c>
      <c r="AE831" t="str">
        <f t="shared" si="125"/>
        <v>Wednesday</v>
      </c>
      <c r="AF831" t="str">
        <f t="shared" si="126"/>
        <v>Thursday</v>
      </c>
      <c r="AG831" t="str">
        <f t="shared" si="127"/>
        <v>Friday</v>
      </c>
      <c r="AH831" t="str">
        <f t="shared" si="128"/>
        <v>Saturday</v>
      </c>
      <c r="AI831" t="str">
        <f t="shared" si="129"/>
        <v>Sunday</v>
      </c>
      <c r="AJ831" t="str">
        <f>LEFT(Table1[[#This Row],[membership_type]],2)&amp;TEXT(Table1[[#This Row],[age]],"00")&amp;"-"&amp;TEXT(ROW(),"000")</f>
        <v>Ba24-831</v>
      </c>
      <c r="AK831" t="str">
        <f>LEFT(Table1[[#This Row],[membership_type]],1)&amp;TEXT(MATCH(Table1[[#This Row],[membership_type]],Table1[membership_type],0),"00")</f>
        <v>B04</v>
      </c>
      <c r="AL831" t="str">
        <f>LEFT(Table1[[#This Row],[discount_type]],1)&amp;TEXT(ROUND(Table1[[#This Row],[discount_rate]]*100,0),"00")</f>
        <v>N00</v>
      </c>
      <c r="AM831" t="str" cm="1">
        <f t="array" ref="AM831">TEXT(SUMPRODUCT(CODE(MID(Table1[[#This Row],[home_gym_location]],_xlfn.SEQUENCE(LEN(Table1[[#This Row],[home_gym_location]])),1))),"00000")</f>
        <v>01245</v>
      </c>
      <c r="AN83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31" t="str">
        <f>LEFT(_xlfn.TEXTBEFORE(Table1[[#This Row],[Location Identifier]],"-"),3) &amp; "-" &amp; _xlfn.TEXTAFTER(Table1[[#This Row],[Location Identifier]],"-")</f>
        <v>LOS-005</v>
      </c>
      <c r="AP831" s="9">
        <f t="shared" ca="1" si="120"/>
        <v>45869</v>
      </c>
    </row>
    <row r="832" spans="1:42" x14ac:dyDescent="0.25">
      <c r="A832">
        <v>19</v>
      </c>
      <c r="B832" t="s">
        <v>26</v>
      </c>
      <c r="C832">
        <v>3</v>
      </c>
      <c r="D832" t="s">
        <v>100</v>
      </c>
      <c r="E832" t="b">
        <v>1</v>
      </c>
      <c r="F832" s="1">
        <v>0.62569444444444444</v>
      </c>
      <c r="G832" s="1">
        <v>0.70763888888888893</v>
      </c>
      <c r="H832">
        <v>118</v>
      </c>
      <c r="I832" t="b">
        <v>1</v>
      </c>
      <c r="J832" t="b">
        <v>0</v>
      </c>
      <c r="K832" t="b">
        <v>0</v>
      </c>
      <c r="L832" t="s">
        <v>28</v>
      </c>
      <c r="M832">
        <v>50</v>
      </c>
      <c r="N832" t="s">
        <v>64</v>
      </c>
      <c r="O832">
        <v>37.5</v>
      </c>
      <c r="P832" t="s">
        <v>30</v>
      </c>
      <c r="Q832">
        <v>0.05</v>
      </c>
      <c r="R832">
        <v>35.625</v>
      </c>
      <c r="S832" t="s">
        <v>31</v>
      </c>
      <c r="T832" t="s">
        <v>54</v>
      </c>
      <c r="U832">
        <v>32.715699999999998</v>
      </c>
      <c r="V832">
        <v>-117.1611</v>
      </c>
      <c r="W832" s="2">
        <v>45349</v>
      </c>
      <c r="X832">
        <v>0</v>
      </c>
      <c r="Y832" t="b">
        <v>1</v>
      </c>
      <c r="Z832" s="2">
        <v>45833</v>
      </c>
      <c r="AA832" t="str">
        <f t="shared" si="121"/>
        <v>10–19</v>
      </c>
      <c r="AB832" t="str">
        <f t="shared" si="122"/>
        <v>16–19</v>
      </c>
      <c r="AC832" t="str">
        <f t="shared" si="123"/>
        <v/>
      </c>
      <c r="AD832" t="str">
        <f t="shared" si="124"/>
        <v/>
      </c>
      <c r="AE832" t="str">
        <f t="shared" si="125"/>
        <v>Wednesday</v>
      </c>
      <c r="AF832" t="str">
        <f t="shared" si="126"/>
        <v/>
      </c>
      <c r="AG832" t="str">
        <f t="shared" si="127"/>
        <v>Friday</v>
      </c>
      <c r="AH832" t="str">
        <f t="shared" si="128"/>
        <v/>
      </c>
      <c r="AI832" t="str">
        <f t="shared" si="129"/>
        <v>Sunday</v>
      </c>
      <c r="AJ832" t="str">
        <f>LEFT(Table1[[#This Row],[membership_type]],2)&amp;TEXT(Table1[[#This Row],[age]],"00")&amp;"-"&amp;TEXT(ROW(),"000")</f>
        <v>Pr19-832</v>
      </c>
      <c r="AK832" t="str">
        <f>LEFT(Table1[[#This Row],[membership_type]],1)&amp;TEXT(MATCH(Table1[[#This Row],[membership_type]],Table1[membership_type],0),"00")</f>
        <v>P01</v>
      </c>
      <c r="AL832" t="str">
        <f>LEFT(Table1[[#This Row],[discount_type]],1)&amp;TEXT(ROUND(Table1[[#This Row],[discount_rate]]*100,0),"00")</f>
        <v>P05</v>
      </c>
      <c r="AM832" t="str" cm="1">
        <f t="array" ref="AM832">TEXT(SUMPRODUCT(CODE(MID(Table1[[#This Row],[home_gym_location]],_xlfn.SEQUENCE(LEN(Table1[[#This Row],[home_gym_location]])),1))),"00000")</f>
        <v>01018</v>
      </c>
      <c r="AN83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32" t="str">
        <f>LEFT(_xlfn.TEXTBEFORE(Table1[[#This Row],[Location Identifier]],"-"),3) &amp; "-" &amp; _xlfn.TEXTAFTER(Table1[[#This Row],[Location Identifier]],"-")</f>
        <v>SAN-008</v>
      </c>
      <c r="AP832" s="9">
        <f t="shared" ca="1" si="120"/>
        <v>45869</v>
      </c>
    </row>
    <row r="833" spans="1:42" x14ac:dyDescent="0.25">
      <c r="A833">
        <v>29</v>
      </c>
      <c r="B833" t="s">
        <v>26</v>
      </c>
      <c r="C833">
        <v>5</v>
      </c>
      <c r="D833" t="s">
        <v>118</v>
      </c>
      <c r="E833" t="b">
        <v>1</v>
      </c>
      <c r="F833" s="1">
        <v>0.40138888888888891</v>
      </c>
      <c r="G833" s="1">
        <v>0.44374999999999998</v>
      </c>
      <c r="H833">
        <v>61</v>
      </c>
      <c r="I833" t="b">
        <v>0</v>
      </c>
      <c r="J833" t="b">
        <v>0</v>
      </c>
      <c r="K833" t="b">
        <v>1</v>
      </c>
      <c r="L833" t="s">
        <v>62</v>
      </c>
      <c r="M833">
        <v>50</v>
      </c>
      <c r="N833" t="s">
        <v>64</v>
      </c>
      <c r="O833">
        <v>37.5</v>
      </c>
      <c r="P833" t="s">
        <v>74</v>
      </c>
      <c r="Q833">
        <v>0.15</v>
      </c>
      <c r="R833">
        <v>31.875</v>
      </c>
      <c r="S833" t="s">
        <v>31</v>
      </c>
      <c r="T833" t="s">
        <v>50</v>
      </c>
      <c r="U833">
        <v>34.052199999999999</v>
      </c>
      <c r="V833">
        <v>-118.2437</v>
      </c>
      <c r="W833" s="2">
        <v>45680</v>
      </c>
      <c r="X833">
        <v>0</v>
      </c>
      <c r="Y833" t="b">
        <v>1</v>
      </c>
      <c r="Z833" s="2">
        <v>45852</v>
      </c>
      <c r="AA833" t="str">
        <f t="shared" si="121"/>
        <v>20–29</v>
      </c>
      <c r="AB833" t="str">
        <f t="shared" si="122"/>
        <v>20–29</v>
      </c>
      <c r="AC833" t="str">
        <f t="shared" si="123"/>
        <v>Monday</v>
      </c>
      <c r="AD833" t="str">
        <f t="shared" si="124"/>
        <v/>
      </c>
      <c r="AE833" t="str">
        <f t="shared" si="125"/>
        <v>Wednesday</v>
      </c>
      <c r="AF833" t="str">
        <f t="shared" si="126"/>
        <v>Thursday</v>
      </c>
      <c r="AG833" t="str">
        <f t="shared" si="127"/>
        <v>Friday</v>
      </c>
      <c r="AH833" t="str">
        <f t="shared" si="128"/>
        <v>Saturday</v>
      </c>
      <c r="AI833" t="str">
        <f t="shared" si="129"/>
        <v/>
      </c>
      <c r="AJ833" t="str">
        <f>LEFT(Table1[[#This Row],[membership_type]],2)&amp;TEXT(Table1[[#This Row],[age]],"00")&amp;"-"&amp;TEXT(ROW(),"000")</f>
        <v>Pr29-833</v>
      </c>
      <c r="AK833" t="str">
        <f>LEFT(Table1[[#This Row],[membership_type]],1)&amp;TEXT(MATCH(Table1[[#This Row],[membership_type]],Table1[membership_type],0),"00")</f>
        <v>P01</v>
      </c>
      <c r="AL833" t="str">
        <f>LEFT(Table1[[#This Row],[discount_type]],1)&amp;TEXT(ROUND(Table1[[#This Row],[discount_rate]]*100,0),"00")</f>
        <v>S15</v>
      </c>
      <c r="AM833" t="str" cm="1">
        <f t="array" ref="AM833">TEXT(SUMPRODUCT(CODE(MID(Table1[[#This Row],[home_gym_location]],_xlfn.SEQUENCE(LEN(Table1[[#This Row],[home_gym_location]])),1))),"00000")</f>
        <v>01245</v>
      </c>
      <c r="AN83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33" t="str">
        <f>LEFT(_xlfn.TEXTBEFORE(Table1[[#This Row],[Location Identifier]],"-"),3) &amp; "-" &amp; _xlfn.TEXTAFTER(Table1[[#This Row],[Location Identifier]],"-")</f>
        <v>LOS-005</v>
      </c>
      <c r="AP833" s="9">
        <f t="shared" ca="1" si="120"/>
        <v>45869</v>
      </c>
    </row>
    <row r="834" spans="1:42" x14ac:dyDescent="0.25">
      <c r="A834">
        <v>36</v>
      </c>
      <c r="B834" t="s">
        <v>42</v>
      </c>
      <c r="C834">
        <v>1</v>
      </c>
      <c r="D834" t="s">
        <v>75</v>
      </c>
      <c r="E834" t="b">
        <v>0</v>
      </c>
      <c r="F834" s="1">
        <v>0.46180555555555558</v>
      </c>
      <c r="G834" s="1">
        <v>0.51944444444444449</v>
      </c>
      <c r="H834">
        <v>83</v>
      </c>
      <c r="I834" t="b">
        <v>1</v>
      </c>
      <c r="J834" t="b">
        <v>0</v>
      </c>
      <c r="K834" t="b">
        <v>1</v>
      </c>
      <c r="L834" t="s">
        <v>47</v>
      </c>
      <c r="M834">
        <v>20</v>
      </c>
      <c r="N834" t="s">
        <v>29</v>
      </c>
      <c r="O834">
        <v>20</v>
      </c>
      <c r="P834" t="s">
        <v>30</v>
      </c>
      <c r="Q834">
        <v>0.05</v>
      </c>
      <c r="R834">
        <v>19</v>
      </c>
      <c r="S834" t="s">
        <v>44</v>
      </c>
      <c r="T834" t="s">
        <v>38</v>
      </c>
      <c r="U834">
        <v>36.7378</v>
      </c>
      <c r="V834">
        <v>-119.7871</v>
      </c>
      <c r="W834" s="2">
        <v>45643</v>
      </c>
      <c r="X834">
        <v>0</v>
      </c>
      <c r="Y834" t="b">
        <v>1</v>
      </c>
      <c r="Z834" s="2">
        <v>45850</v>
      </c>
      <c r="AA834" t="str">
        <f t="shared" si="121"/>
        <v>30–39</v>
      </c>
      <c r="AB834" t="str">
        <f t="shared" si="122"/>
        <v>30–39</v>
      </c>
      <c r="AC834" t="str">
        <f t="shared" si="123"/>
        <v/>
      </c>
      <c r="AD834" t="str">
        <f t="shared" si="124"/>
        <v/>
      </c>
      <c r="AE834" t="str">
        <f t="shared" si="125"/>
        <v/>
      </c>
      <c r="AF834" t="str">
        <f t="shared" si="126"/>
        <v/>
      </c>
      <c r="AG834" t="str">
        <f t="shared" si="127"/>
        <v>Friday</v>
      </c>
      <c r="AH834" t="str">
        <f t="shared" si="128"/>
        <v/>
      </c>
      <c r="AI834" t="str">
        <f t="shared" si="129"/>
        <v/>
      </c>
      <c r="AJ834" t="str">
        <f>LEFT(Table1[[#This Row],[membership_type]],2)&amp;TEXT(Table1[[#This Row],[age]],"00")&amp;"-"&amp;TEXT(ROW(),"000")</f>
        <v>Ba36-834</v>
      </c>
      <c r="AK834" t="str">
        <f>LEFT(Table1[[#This Row],[membership_type]],1)&amp;TEXT(MATCH(Table1[[#This Row],[membership_type]],Table1[membership_type],0),"00")</f>
        <v>B04</v>
      </c>
      <c r="AL834" t="str">
        <f>LEFT(Table1[[#This Row],[discount_type]],1)&amp;TEXT(ROUND(Table1[[#This Row],[discount_rate]]*100,0),"00")</f>
        <v>P05</v>
      </c>
      <c r="AM834" t="str" cm="1">
        <f t="array" ref="AM834">TEXT(SUMPRODUCT(CODE(MID(Table1[[#This Row],[home_gym_location]],_xlfn.SEQUENCE(LEN(Table1[[#This Row],[home_gym_location]])),1))),"00000")</f>
        <v>00829</v>
      </c>
      <c r="AN834" t="str">
        <f>UPPER(_xlfn.TEXTBEFORE(Table1[[#This Row],[home_gym_location]],","))&amp;"-"&amp;TEXT(MATCH(Table1[[#This Row],[home_gym_location]],_xlfn._xlws.SORT(_xlfn.UNIQUE(Table1[home_gym_location])),0),"000")</f>
        <v>FRESNO-003</v>
      </c>
      <c r="AO834" t="str">
        <f>LEFT(_xlfn.TEXTBEFORE(Table1[[#This Row],[Location Identifier]],"-"),3) &amp; "-" &amp; _xlfn.TEXTAFTER(Table1[[#This Row],[Location Identifier]],"-")</f>
        <v>FRE-003</v>
      </c>
      <c r="AP834" s="9">
        <f t="shared" ref="AP834:AP897" ca="1" si="130">EOMONTH(DATE(YEAR(TODAY()),7,1),0)</f>
        <v>45869</v>
      </c>
    </row>
    <row r="835" spans="1:42" x14ac:dyDescent="0.25">
      <c r="A835">
        <v>48</v>
      </c>
      <c r="B835" t="s">
        <v>26</v>
      </c>
      <c r="C835">
        <v>2</v>
      </c>
      <c r="D835" t="s">
        <v>70</v>
      </c>
      <c r="E835" t="b">
        <v>0</v>
      </c>
      <c r="F835" s="1">
        <v>0.71805555555555556</v>
      </c>
      <c r="G835" s="1">
        <v>0.83680555555555558</v>
      </c>
      <c r="H835">
        <v>171</v>
      </c>
      <c r="I835" t="b">
        <v>0</v>
      </c>
      <c r="J835" t="b">
        <v>1</v>
      </c>
      <c r="K835" t="b">
        <v>1</v>
      </c>
      <c r="L835" t="s">
        <v>28</v>
      </c>
      <c r="M835">
        <v>50</v>
      </c>
      <c r="N835" t="s">
        <v>64</v>
      </c>
      <c r="O835">
        <v>37.5</v>
      </c>
      <c r="P835" t="s">
        <v>36</v>
      </c>
      <c r="Q835">
        <v>0</v>
      </c>
      <c r="R835">
        <v>37.5</v>
      </c>
      <c r="S835" t="s">
        <v>31</v>
      </c>
      <c r="T835" t="s">
        <v>59</v>
      </c>
      <c r="U835">
        <v>37.774900000000002</v>
      </c>
      <c r="V835">
        <v>-122.4194</v>
      </c>
      <c r="W835" s="2">
        <v>45300</v>
      </c>
      <c r="X835">
        <v>1</v>
      </c>
      <c r="Y835" t="b">
        <v>1</v>
      </c>
      <c r="Z835" s="2">
        <v>45831</v>
      </c>
      <c r="AA835" t="str">
        <f t="shared" ref="AA835:AA898" si="131">TEXT(10*INT($A835/10),"0")&amp;"–"&amp;TEXT(10*INT($A835/10)+9,"0")</f>
        <v>40–49</v>
      </c>
      <c r="AB835" t="str">
        <f t="shared" ref="AB835:AB898" si="132">IF(AND($AA835 = "10–19", $A835 &lt; 16), "Under 16", IF(AND($AA835 = "10–19", $A835 &gt;= 16), "16–19", $AA835))</f>
        <v>40–49</v>
      </c>
      <c r="AC835" t="str">
        <f t="shared" ref="AC835:AC898" si="133">IF(ISNUMBER(SEARCH("Mon", $D835)), "Monday", "")</f>
        <v/>
      </c>
      <c r="AD835" t="str">
        <f t="shared" ref="AD835:AD898" si="134">IF(ISNUMBER(SEARCH("Tue", $D835)), "Tuesday", "")</f>
        <v/>
      </c>
      <c r="AE835" t="str">
        <f t="shared" ref="AE835:AE898" si="135">IF(ISNUMBER(SEARCH("Wed", $D835)), "Wednesday", "")</f>
        <v>Wednesday</v>
      </c>
      <c r="AF835" t="str">
        <f t="shared" ref="AF835:AF898" si="136">IF(ISNUMBER(SEARCH("Thu", $D835)), "Thursday", "")</f>
        <v>Thursday</v>
      </c>
      <c r="AG835" t="str">
        <f t="shared" ref="AG835:AG898" si="137">IF(ISNUMBER(SEARCH("Fri", $D835)), "Friday", "")</f>
        <v/>
      </c>
      <c r="AH835" t="str">
        <f t="shared" ref="AH835:AH898" si="138">IF(ISNUMBER(SEARCH("Sat", $D835)), "Saturday", "")</f>
        <v/>
      </c>
      <c r="AI835" t="str">
        <f t="shared" ref="AI835:AI898" si="139">IF(ISNUMBER(SEARCH("Sun", $D835)), "Sunday", "")</f>
        <v/>
      </c>
      <c r="AJ835" t="str">
        <f>LEFT(Table1[[#This Row],[membership_type]],2)&amp;TEXT(Table1[[#This Row],[age]],"00")&amp;"-"&amp;TEXT(ROW(),"000")</f>
        <v>Pr48-835</v>
      </c>
      <c r="AK835" t="str">
        <f>LEFT(Table1[[#This Row],[membership_type]],1)&amp;TEXT(MATCH(Table1[[#This Row],[membership_type]],Table1[membership_type],0),"00")</f>
        <v>P01</v>
      </c>
      <c r="AL835" t="str">
        <f>LEFT(Table1[[#This Row],[discount_type]],1)&amp;TEXT(ROUND(Table1[[#This Row],[discount_rate]]*100,0),"00")</f>
        <v>N00</v>
      </c>
      <c r="AM835" t="str" cm="1">
        <f t="array" ref="AM835">TEXT(SUMPRODUCT(CODE(MID(Table1[[#This Row],[home_gym_location]],_xlfn.SEQUENCE(LEN(Table1[[#This Row],[home_gym_location]])),1))),"00000")</f>
        <v>01450</v>
      </c>
      <c r="AN83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35" t="str">
        <f>LEFT(_xlfn.TEXTBEFORE(Table1[[#This Row],[Location Identifier]],"-"),3) &amp; "-" &amp; _xlfn.TEXTAFTER(Table1[[#This Row],[Location Identifier]],"-")</f>
        <v>SAN-009</v>
      </c>
      <c r="AP835" s="9">
        <f t="shared" ca="1" si="130"/>
        <v>45869</v>
      </c>
    </row>
    <row r="836" spans="1:42" x14ac:dyDescent="0.25">
      <c r="A836">
        <v>39</v>
      </c>
      <c r="B836" t="s">
        <v>26</v>
      </c>
      <c r="C836">
        <v>2</v>
      </c>
      <c r="D836" t="s">
        <v>123</v>
      </c>
      <c r="E836" t="b">
        <v>0</v>
      </c>
      <c r="F836" s="1">
        <v>0.60416666666666663</v>
      </c>
      <c r="G836" s="1">
        <v>0.67638888888888893</v>
      </c>
      <c r="H836">
        <v>104</v>
      </c>
      <c r="I836" t="b">
        <v>0</v>
      </c>
      <c r="J836" t="b">
        <v>1</v>
      </c>
      <c r="K836" t="b">
        <v>0</v>
      </c>
      <c r="L836" t="s">
        <v>62</v>
      </c>
      <c r="M836">
        <v>50</v>
      </c>
      <c r="N836" t="s">
        <v>78</v>
      </c>
      <c r="O836">
        <v>45</v>
      </c>
      <c r="P836" t="s">
        <v>40</v>
      </c>
      <c r="Q836">
        <v>0.1</v>
      </c>
      <c r="R836">
        <v>40.5</v>
      </c>
      <c r="S836" t="s">
        <v>31</v>
      </c>
      <c r="T836" t="s">
        <v>48</v>
      </c>
      <c r="U836">
        <v>38.581600000000002</v>
      </c>
      <c r="V836">
        <v>-121.4944</v>
      </c>
      <c r="W836" s="2">
        <v>45384</v>
      </c>
      <c r="X836">
        <v>6</v>
      </c>
      <c r="Y836" t="b">
        <v>0</v>
      </c>
      <c r="Z836" s="2">
        <v>45835</v>
      </c>
      <c r="AA836" t="str">
        <f t="shared" si="131"/>
        <v>30–39</v>
      </c>
      <c r="AB836" t="str">
        <f t="shared" si="132"/>
        <v>30–39</v>
      </c>
      <c r="AC836" t="str">
        <f t="shared" si="133"/>
        <v>Monday</v>
      </c>
      <c r="AD836" t="str">
        <f t="shared" si="134"/>
        <v/>
      </c>
      <c r="AE836" t="str">
        <f t="shared" si="135"/>
        <v/>
      </c>
      <c r="AF836" t="str">
        <f t="shared" si="136"/>
        <v/>
      </c>
      <c r="AG836" t="str">
        <f t="shared" si="137"/>
        <v/>
      </c>
      <c r="AH836" t="str">
        <f t="shared" si="138"/>
        <v>Saturday</v>
      </c>
      <c r="AI836" t="str">
        <f t="shared" si="139"/>
        <v/>
      </c>
      <c r="AJ836" t="str">
        <f>LEFT(Table1[[#This Row],[membership_type]],2)&amp;TEXT(Table1[[#This Row],[age]],"00")&amp;"-"&amp;TEXT(ROW(),"000")</f>
        <v>Pr39-836</v>
      </c>
      <c r="AK836" t="str">
        <f>LEFT(Table1[[#This Row],[membership_type]],1)&amp;TEXT(MATCH(Table1[[#This Row],[membership_type]],Table1[membership_type],0),"00")</f>
        <v>P01</v>
      </c>
      <c r="AL836" t="str">
        <f>LEFT(Table1[[#This Row],[discount_type]],1)&amp;TEXT(ROUND(Table1[[#This Row],[discount_rate]]*100,0),"00")</f>
        <v>L10</v>
      </c>
      <c r="AM836" t="str" cm="1">
        <f t="array" ref="AM836">TEXT(SUMPRODUCT(CODE(MID(Table1[[#This Row],[home_gym_location]],_xlfn.SEQUENCE(LEN(Table1[[#This Row],[home_gym_location]])),1))),"00000")</f>
        <v>01245</v>
      </c>
      <c r="AN83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36" t="str">
        <f>LEFT(_xlfn.TEXTBEFORE(Table1[[#This Row],[Location Identifier]],"-"),3) &amp; "-" &amp; _xlfn.TEXTAFTER(Table1[[#This Row],[Location Identifier]],"-")</f>
        <v>SAC-007</v>
      </c>
      <c r="AP836" s="9">
        <f t="shared" ca="1" si="130"/>
        <v>45869</v>
      </c>
    </row>
    <row r="837" spans="1:42" x14ac:dyDescent="0.25">
      <c r="A837">
        <v>13</v>
      </c>
      <c r="B837" t="s">
        <v>33</v>
      </c>
      <c r="C837">
        <v>1</v>
      </c>
      <c r="D837" t="s">
        <v>75</v>
      </c>
      <c r="E837" t="b">
        <v>0</v>
      </c>
      <c r="F837" s="1">
        <v>0.67361111111111116</v>
      </c>
      <c r="G837" s="1">
        <v>0.69444444444444442</v>
      </c>
      <c r="H837">
        <v>30</v>
      </c>
      <c r="I837" t="b">
        <v>1</v>
      </c>
      <c r="J837" t="b">
        <v>0</v>
      </c>
      <c r="K837" t="b">
        <v>0</v>
      </c>
      <c r="L837" t="s">
        <v>62</v>
      </c>
      <c r="M837">
        <v>30</v>
      </c>
      <c r="N837" t="s">
        <v>64</v>
      </c>
      <c r="O837">
        <v>22.5</v>
      </c>
      <c r="P837" t="s">
        <v>30</v>
      </c>
      <c r="Q837">
        <v>0.05</v>
      </c>
      <c r="R837">
        <v>21.375</v>
      </c>
      <c r="S837" t="s">
        <v>37</v>
      </c>
      <c r="T837" t="s">
        <v>54</v>
      </c>
      <c r="U837">
        <v>32.715699999999998</v>
      </c>
      <c r="V837">
        <v>-117.1611</v>
      </c>
      <c r="W837" s="2">
        <v>44856</v>
      </c>
      <c r="X837">
        <v>0</v>
      </c>
      <c r="Y837" t="b">
        <v>0</v>
      </c>
      <c r="Z837" s="2">
        <v>45806</v>
      </c>
      <c r="AA837" t="str">
        <f t="shared" si="131"/>
        <v>10–19</v>
      </c>
      <c r="AB837" t="str">
        <f t="shared" si="132"/>
        <v>Under 16</v>
      </c>
      <c r="AC837" t="str">
        <f t="shared" si="133"/>
        <v/>
      </c>
      <c r="AD837" t="str">
        <f t="shared" si="134"/>
        <v/>
      </c>
      <c r="AE837" t="str">
        <f t="shared" si="135"/>
        <v/>
      </c>
      <c r="AF837" t="str">
        <f t="shared" si="136"/>
        <v/>
      </c>
      <c r="AG837" t="str">
        <f t="shared" si="137"/>
        <v>Friday</v>
      </c>
      <c r="AH837" t="str">
        <f t="shared" si="138"/>
        <v/>
      </c>
      <c r="AI837" t="str">
        <f t="shared" si="139"/>
        <v/>
      </c>
      <c r="AJ837" t="str">
        <f>LEFT(Table1[[#This Row],[membership_type]],2)&amp;TEXT(Table1[[#This Row],[age]],"00")&amp;"-"&amp;TEXT(ROW(),"000")</f>
        <v>St13-837</v>
      </c>
      <c r="AK837" t="str">
        <f>LEFT(Table1[[#This Row],[membership_type]],1)&amp;TEXT(MATCH(Table1[[#This Row],[membership_type]],Table1[membership_type],0),"00")</f>
        <v>S02</v>
      </c>
      <c r="AL837" t="str">
        <f>LEFT(Table1[[#This Row],[discount_type]],1)&amp;TEXT(ROUND(Table1[[#This Row],[discount_rate]]*100,0),"00")</f>
        <v>P05</v>
      </c>
      <c r="AM837" t="str" cm="1">
        <f t="array" ref="AM837">TEXT(SUMPRODUCT(CODE(MID(Table1[[#This Row],[home_gym_location]],_xlfn.SEQUENCE(LEN(Table1[[#This Row],[home_gym_location]])),1))),"00000")</f>
        <v>01018</v>
      </c>
      <c r="AN83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37" t="str">
        <f>LEFT(_xlfn.TEXTBEFORE(Table1[[#This Row],[Location Identifier]],"-"),3) &amp; "-" &amp; _xlfn.TEXTAFTER(Table1[[#This Row],[Location Identifier]],"-")</f>
        <v>SAN-008</v>
      </c>
      <c r="AP837" s="9">
        <f t="shared" ca="1" si="130"/>
        <v>45869</v>
      </c>
    </row>
    <row r="838" spans="1:42" x14ac:dyDescent="0.25">
      <c r="A838">
        <v>13</v>
      </c>
      <c r="B838" t="s">
        <v>51</v>
      </c>
      <c r="C838">
        <v>2</v>
      </c>
      <c r="D838" t="s">
        <v>43</v>
      </c>
      <c r="E838" t="b">
        <v>1</v>
      </c>
      <c r="F838" s="1">
        <v>0.87222222222222223</v>
      </c>
      <c r="G838" s="1">
        <v>0.98333333333333328</v>
      </c>
      <c r="H838">
        <v>160</v>
      </c>
      <c r="I838" t="b">
        <v>1</v>
      </c>
      <c r="J838" t="b">
        <v>1</v>
      </c>
      <c r="K838" t="b">
        <v>0</v>
      </c>
      <c r="L838" t="s">
        <v>28</v>
      </c>
      <c r="M838">
        <v>70</v>
      </c>
      <c r="N838" t="s">
        <v>78</v>
      </c>
      <c r="O838">
        <v>63</v>
      </c>
      <c r="P838" t="s">
        <v>74</v>
      </c>
      <c r="Q838">
        <v>0.15</v>
      </c>
      <c r="R838">
        <v>53.55</v>
      </c>
      <c r="S838" t="s">
        <v>53</v>
      </c>
      <c r="T838" t="s">
        <v>48</v>
      </c>
      <c r="U838">
        <v>38.581600000000002</v>
      </c>
      <c r="V838">
        <v>-121.4944</v>
      </c>
      <c r="W838" s="2">
        <v>45445</v>
      </c>
      <c r="X838">
        <v>1</v>
      </c>
      <c r="Y838" t="b">
        <v>1</v>
      </c>
      <c r="Z838" s="2">
        <v>45839</v>
      </c>
      <c r="AA838" t="str">
        <f t="shared" si="131"/>
        <v>10–19</v>
      </c>
      <c r="AB838" t="str">
        <f t="shared" si="132"/>
        <v>Under 16</v>
      </c>
      <c r="AC838" t="str">
        <f t="shared" si="133"/>
        <v>Monday</v>
      </c>
      <c r="AD838" t="str">
        <f t="shared" si="134"/>
        <v>Tuesday</v>
      </c>
      <c r="AE838" t="str">
        <f t="shared" si="135"/>
        <v/>
      </c>
      <c r="AF838" t="str">
        <f t="shared" si="136"/>
        <v/>
      </c>
      <c r="AG838" t="str">
        <f t="shared" si="137"/>
        <v/>
      </c>
      <c r="AH838" t="str">
        <f t="shared" si="138"/>
        <v/>
      </c>
      <c r="AI838" t="str">
        <f t="shared" si="139"/>
        <v/>
      </c>
      <c r="AJ838" t="str">
        <f>LEFT(Table1[[#This Row],[membership_type]],2)&amp;TEXT(Table1[[#This Row],[age]],"00")&amp;"-"&amp;TEXT(ROW(),"000")</f>
        <v>El13-838</v>
      </c>
      <c r="AK838" t="str">
        <f>LEFT(Table1[[#This Row],[membership_type]],1)&amp;TEXT(MATCH(Table1[[#This Row],[membership_type]],Table1[membership_type],0),"00")</f>
        <v>E07</v>
      </c>
      <c r="AL838" t="str">
        <f>LEFT(Table1[[#This Row],[discount_type]],1)&amp;TEXT(ROUND(Table1[[#This Row],[discount_rate]]*100,0),"00")</f>
        <v>S15</v>
      </c>
      <c r="AM838" t="str" cm="1">
        <f t="array" ref="AM838">TEXT(SUMPRODUCT(CODE(MID(Table1[[#This Row],[home_gym_location]],_xlfn.SEQUENCE(LEN(Table1[[#This Row],[home_gym_location]])),1))),"00000")</f>
        <v>01245</v>
      </c>
      <c r="AN83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38" t="str">
        <f>LEFT(_xlfn.TEXTBEFORE(Table1[[#This Row],[Location Identifier]],"-"),3) &amp; "-" &amp; _xlfn.TEXTAFTER(Table1[[#This Row],[Location Identifier]],"-")</f>
        <v>SAC-007</v>
      </c>
      <c r="AP838" s="9">
        <f t="shared" ca="1" si="130"/>
        <v>45869</v>
      </c>
    </row>
    <row r="839" spans="1:42" x14ac:dyDescent="0.25">
      <c r="A839">
        <v>41</v>
      </c>
      <c r="B839" t="s">
        <v>33</v>
      </c>
      <c r="C839">
        <v>3</v>
      </c>
      <c r="D839" t="s">
        <v>81</v>
      </c>
      <c r="E839" t="b">
        <v>0</v>
      </c>
      <c r="F839" s="1">
        <v>0.39305555555555555</v>
      </c>
      <c r="G839" s="1">
        <v>0.44097222222222221</v>
      </c>
      <c r="H839">
        <v>69</v>
      </c>
      <c r="I839" t="b">
        <v>1</v>
      </c>
      <c r="J839" t="b">
        <v>0</v>
      </c>
      <c r="K839" t="b">
        <v>1</v>
      </c>
      <c r="L839" t="s">
        <v>62</v>
      </c>
      <c r="M839">
        <v>30</v>
      </c>
      <c r="N839" t="s">
        <v>78</v>
      </c>
      <c r="O839">
        <v>27</v>
      </c>
      <c r="P839" t="s">
        <v>30</v>
      </c>
      <c r="Q839">
        <v>0.05</v>
      </c>
      <c r="R839">
        <v>25.65</v>
      </c>
      <c r="S839" t="s">
        <v>37</v>
      </c>
      <c r="T839" t="s">
        <v>38</v>
      </c>
      <c r="U839">
        <v>36.7378</v>
      </c>
      <c r="V839">
        <v>-119.7871</v>
      </c>
      <c r="W839" s="2">
        <v>45212</v>
      </c>
      <c r="X839">
        <v>0</v>
      </c>
      <c r="Y839" t="b">
        <v>1</v>
      </c>
      <c r="Z839" s="2">
        <v>45826</v>
      </c>
      <c r="AA839" t="str">
        <f t="shared" si="131"/>
        <v>40–49</v>
      </c>
      <c r="AB839" t="str">
        <f t="shared" si="132"/>
        <v>40–49</v>
      </c>
      <c r="AC839" t="str">
        <f t="shared" si="133"/>
        <v>Monday</v>
      </c>
      <c r="AD839" t="str">
        <f t="shared" si="134"/>
        <v/>
      </c>
      <c r="AE839" t="str">
        <f t="shared" si="135"/>
        <v>Wednesday</v>
      </c>
      <c r="AF839" t="str">
        <f t="shared" si="136"/>
        <v/>
      </c>
      <c r="AG839" t="str">
        <f t="shared" si="137"/>
        <v>Friday</v>
      </c>
      <c r="AH839" t="str">
        <f t="shared" si="138"/>
        <v/>
      </c>
      <c r="AI839" t="str">
        <f t="shared" si="139"/>
        <v/>
      </c>
      <c r="AJ839" t="str">
        <f>LEFT(Table1[[#This Row],[membership_type]],2)&amp;TEXT(Table1[[#This Row],[age]],"00")&amp;"-"&amp;TEXT(ROW(),"000")</f>
        <v>St41-839</v>
      </c>
      <c r="AK839" t="str">
        <f>LEFT(Table1[[#This Row],[membership_type]],1)&amp;TEXT(MATCH(Table1[[#This Row],[membership_type]],Table1[membership_type],0),"00")</f>
        <v>S02</v>
      </c>
      <c r="AL839" t="str">
        <f>LEFT(Table1[[#This Row],[discount_type]],1)&amp;TEXT(ROUND(Table1[[#This Row],[discount_rate]]*100,0),"00")</f>
        <v>P05</v>
      </c>
      <c r="AM839" t="str" cm="1">
        <f t="array" ref="AM839">TEXT(SUMPRODUCT(CODE(MID(Table1[[#This Row],[home_gym_location]],_xlfn.SEQUENCE(LEN(Table1[[#This Row],[home_gym_location]])),1))),"00000")</f>
        <v>00829</v>
      </c>
      <c r="AN839" t="str">
        <f>UPPER(_xlfn.TEXTBEFORE(Table1[[#This Row],[home_gym_location]],","))&amp;"-"&amp;TEXT(MATCH(Table1[[#This Row],[home_gym_location]],_xlfn._xlws.SORT(_xlfn.UNIQUE(Table1[home_gym_location])),0),"000")</f>
        <v>FRESNO-003</v>
      </c>
      <c r="AO839" t="str">
        <f>LEFT(_xlfn.TEXTBEFORE(Table1[[#This Row],[Location Identifier]],"-"),3) &amp; "-" &amp; _xlfn.TEXTAFTER(Table1[[#This Row],[Location Identifier]],"-")</f>
        <v>FRE-003</v>
      </c>
      <c r="AP839" s="9">
        <f t="shared" ca="1" si="130"/>
        <v>45869</v>
      </c>
    </row>
    <row r="840" spans="1:42" x14ac:dyDescent="0.25">
      <c r="A840">
        <v>32</v>
      </c>
      <c r="B840" t="s">
        <v>42</v>
      </c>
      <c r="C840">
        <v>5</v>
      </c>
      <c r="D840" t="s">
        <v>104</v>
      </c>
      <c r="E840" t="b">
        <v>0</v>
      </c>
      <c r="F840" s="1">
        <v>0.46388888888888891</v>
      </c>
      <c r="G840" s="1">
        <v>0.55555555555555558</v>
      </c>
      <c r="H840">
        <v>132</v>
      </c>
      <c r="I840" t="b">
        <v>1</v>
      </c>
      <c r="J840" t="b">
        <v>0</v>
      </c>
      <c r="K840" t="b">
        <v>1</v>
      </c>
      <c r="L840" t="s">
        <v>62</v>
      </c>
      <c r="M840">
        <v>20</v>
      </c>
      <c r="N840" t="s">
        <v>78</v>
      </c>
      <c r="O840">
        <v>18</v>
      </c>
      <c r="P840" t="s">
        <v>36</v>
      </c>
      <c r="Q840">
        <v>0</v>
      </c>
      <c r="R840">
        <v>18</v>
      </c>
      <c r="S840" t="s">
        <v>44</v>
      </c>
      <c r="T840" t="s">
        <v>32</v>
      </c>
      <c r="U840">
        <v>37.338200000000001</v>
      </c>
      <c r="V840">
        <v>-121.88630000000001</v>
      </c>
      <c r="W840" s="2">
        <v>45157</v>
      </c>
      <c r="X840">
        <v>0</v>
      </c>
      <c r="Y840" t="b">
        <v>0</v>
      </c>
      <c r="Z840" s="2">
        <v>45823</v>
      </c>
      <c r="AA840" t="str">
        <f t="shared" si="131"/>
        <v>30–39</v>
      </c>
      <c r="AB840" t="str">
        <f t="shared" si="132"/>
        <v>30–39</v>
      </c>
      <c r="AC840" t="str">
        <f t="shared" si="133"/>
        <v/>
      </c>
      <c r="AD840" t="str">
        <f t="shared" si="134"/>
        <v>Tuesday</v>
      </c>
      <c r="AE840" t="str">
        <f t="shared" si="135"/>
        <v>Wednesday</v>
      </c>
      <c r="AF840" t="str">
        <f t="shared" si="136"/>
        <v>Thursday</v>
      </c>
      <c r="AG840" t="str">
        <f t="shared" si="137"/>
        <v/>
      </c>
      <c r="AH840" t="str">
        <f t="shared" si="138"/>
        <v>Saturday</v>
      </c>
      <c r="AI840" t="str">
        <f t="shared" si="139"/>
        <v>Sunday</v>
      </c>
      <c r="AJ840" t="str">
        <f>LEFT(Table1[[#This Row],[membership_type]],2)&amp;TEXT(Table1[[#This Row],[age]],"00")&amp;"-"&amp;TEXT(ROW(),"000")</f>
        <v>Ba32-840</v>
      </c>
      <c r="AK840" t="str">
        <f>LEFT(Table1[[#This Row],[membership_type]],1)&amp;TEXT(MATCH(Table1[[#This Row],[membership_type]],Table1[membership_type],0),"00")</f>
        <v>B04</v>
      </c>
      <c r="AL840" t="str">
        <f>LEFT(Table1[[#This Row],[discount_type]],1)&amp;TEXT(ROUND(Table1[[#This Row],[discount_rate]]*100,0),"00")</f>
        <v>N00</v>
      </c>
      <c r="AM840" t="str" cm="1">
        <f t="array" ref="AM840">TEXT(SUMPRODUCT(CODE(MID(Table1[[#This Row],[home_gym_location]],_xlfn.SEQUENCE(LEN(Table1[[#This Row],[home_gym_location]])),1))),"00000")</f>
        <v>00931</v>
      </c>
      <c r="AN84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40" t="str">
        <f>LEFT(_xlfn.TEXTBEFORE(Table1[[#This Row],[Location Identifier]],"-"),3) &amp; "-" &amp; _xlfn.TEXTAFTER(Table1[[#This Row],[Location Identifier]],"-")</f>
        <v>SAN-010</v>
      </c>
      <c r="AP840" s="9">
        <f t="shared" ca="1" si="130"/>
        <v>45869</v>
      </c>
    </row>
    <row r="841" spans="1:42" x14ac:dyDescent="0.25">
      <c r="A841">
        <v>28</v>
      </c>
      <c r="B841" t="s">
        <v>33</v>
      </c>
      <c r="C841">
        <v>5</v>
      </c>
      <c r="D841" t="s">
        <v>152</v>
      </c>
      <c r="E841" t="b">
        <v>0</v>
      </c>
      <c r="F841" s="1">
        <v>0.62013888888888891</v>
      </c>
      <c r="G841" s="1">
        <v>0.70347222222222228</v>
      </c>
      <c r="H841">
        <v>120</v>
      </c>
      <c r="I841" t="b">
        <v>1</v>
      </c>
      <c r="J841" t="b">
        <v>0</v>
      </c>
      <c r="K841" t="b">
        <v>0</v>
      </c>
      <c r="L841" t="s">
        <v>62</v>
      </c>
      <c r="M841">
        <v>30</v>
      </c>
      <c r="N841" t="s">
        <v>29</v>
      </c>
      <c r="O841">
        <v>30</v>
      </c>
      <c r="P841" t="s">
        <v>36</v>
      </c>
      <c r="Q841">
        <v>0</v>
      </c>
      <c r="R841">
        <v>30</v>
      </c>
      <c r="S841" t="s">
        <v>37</v>
      </c>
      <c r="T841" t="s">
        <v>45</v>
      </c>
      <c r="U841">
        <v>33.836599999999997</v>
      </c>
      <c r="V841">
        <v>-117.9143</v>
      </c>
      <c r="W841" s="2">
        <v>45817</v>
      </c>
      <c r="X841">
        <v>0</v>
      </c>
      <c r="Y841" t="b">
        <v>0</v>
      </c>
      <c r="Z841" s="2">
        <v>45860</v>
      </c>
      <c r="AA841" t="str">
        <f t="shared" si="131"/>
        <v>20–29</v>
      </c>
      <c r="AB841" t="str">
        <f t="shared" si="132"/>
        <v>20–29</v>
      </c>
      <c r="AC841" t="str">
        <f t="shared" si="133"/>
        <v>Monday</v>
      </c>
      <c r="AD841" t="str">
        <f t="shared" si="134"/>
        <v>Tuesday</v>
      </c>
      <c r="AE841" t="str">
        <f t="shared" si="135"/>
        <v>Wednesday</v>
      </c>
      <c r="AF841" t="str">
        <f t="shared" si="136"/>
        <v/>
      </c>
      <c r="AG841" t="str">
        <f t="shared" si="137"/>
        <v>Friday</v>
      </c>
      <c r="AH841" t="str">
        <f t="shared" si="138"/>
        <v>Saturday</v>
      </c>
      <c r="AI841" t="str">
        <f t="shared" si="139"/>
        <v/>
      </c>
      <c r="AJ841" t="str">
        <f>LEFT(Table1[[#This Row],[membership_type]],2)&amp;TEXT(Table1[[#This Row],[age]],"00")&amp;"-"&amp;TEXT(ROW(),"000")</f>
        <v>St28-841</v>
      </c>
      <c r="AK841" t="str">
        <f>LEFT(Table1[[#This Row],[membership_type]],1)&amp;TEXT(MATCH(Table1[[#This Row],[membership_type]],Table1[membership_type],0),"00")</f>
        <v>S02</v>
      </c>
      <c r="AL841" t="str">
        <f>LEFT(Table1[[#This Row],[discount_type]],1)&amp;TEXT(ROUND(Table1[[#This Row],[discount_rate]]*100,0),"00")</f>
        <v>N00</v>
      </c>
      <c r="AM841" t="str" cm="1">
        <f t="array" ref="AM841">TEXT(SUMPRODUCT(CODE(MID(Table1[[#This Row],[home_gym_location]],_xlfn.SEQUENCE(LEN(Table1[[#This Row],[home_gym_location]])),1))),"00000")</f>
        <v>00899</v>
      </c>
      <c r="AN841" t="str">
        <f>UPPER(_xlfn.TEXTBEFORE(Table1[[#This Row],[home_gym_location]],","))&amp;"-"&amp;TEXT(MATCH(Table1[[#This Row],[home_gym_location]],_xlfn._xlws.SORT(_xlfn.UNIQUE(Table1[home_gym_location])),0),"000")</f>
        <v>ANAHEIM-001</v>
      </c>
      <c r="AO841" t="str">
        <f>LEFT(_xlfn.TEXTBEFORE(Table1[[#This Row],[Location Identifier]],"-"),3) &amp; "-" &amp; _xlfn.TEXTAFTER(Table1[[#This Row],[Location Identifier]],"-")</f>
        <v>ANA-001</v>
      </c>
      <c r="AP841" s="9">
        <f t="shared" ca="1" si="130"/>
        <v>45869</v>
      </c>
    </row>
    <row r="842" spans="1:42" x14ac:dyDescent="0.25">
      <c r="A842">
        <v>14</v>
      </c>
      <c r="B842" t="s">
        <v>51</v>
      </c>
      <c r="C842">
        <v>2</v>
      </c>
      <c r="D842" t="s">
        <v>43</v>
      </c>
      <c r="E842" t="b">
        <v>0</v>
      </c>
      <c r="F842" s="1">
        <v>0.57847222222222228</v>
      </c>
      <c r="G842" s="1">
        <v>0.67083333333333328</v>
      </c>
      <c r="H842">
        <v>133</v>
      </c>
      <c r="I842" t="b">
        <v>1</v>
      </c>
      <c r="J842" t="b">
        <v>1</v>
      </c>
      <c r="K842" t="b">
        <v>0</v>
      </c>
      <c r="L842" t="s">
        <v>35</v>
      </c>
      <c r="M842">
        <v>70</v>
      </c>
      <c r="N842" t="s">
        <v>29</v>
      </c>
      <c r="O842">
        <v>70</v>
      </c>
      <c r="P842" t="s">
        <v>30</v>
      </c>
      <c r="Q842">
        <v>0.05</v>
      </c>
      <c r="R842">
        <v>66.5</v>
      </c>
      <c r="S842" t="s">
        <v>53</v>
      </c>
      <c r="T842" t="s">
        <v>38</v>
      </c>
      <c r="U842">
        <v>36.7378</v>
      </c>
      <c r="V842">
        <v>-119.7871</v>
      </c>
      <c r="W842" s="2">
        <v>45124</v>
      </c>
      <c r="X842">
        <v>8</v>
      </c>
      <c r="Y842" t="b">
        <v>0</v>
      </c>
      <c r="Z842" s="2">
        <v>45821</v>
      </c>
      <c r="AA842" t="str">
        <f t="shared" si="131"/>
        <v>10–19</v>
      </c>
      <c r="AB842" t="str">
        <f t="shared" si="132"/>
        <v>Under 16</v>
      </c>
      <c r="AC842" t="str">
        <f t="shared" si="133"/>
        <v>Monday</v>
      </c>
      <c r="AD842" t="str">
        <f t="shared" si="134"/>
        <v>Tuesday</v>
      </c>
      <c r="AE842" t="str">
        <f t="shared" si="135"/>
        <v/>
      </c>
      <c r="AF842" t="str">
        <f t="shared" si="136"/>
        <v/>
      </c>
      <c r="AG842" t="str">
        <f t="shared" si="137"/>
        <v/>
      </c>
      <c r="AH842" t="str">
        <f t="shared" si="138"/>
        <v/>
      </c>
      <c r="AI842" t="str">
        <f t="shared" si="139"/>
        <v/>
      </c>
      <c r="AJ842" t="str">
        <f>LEFT(Table1[[#This Row],[membership_type]],2)&amp;TEXT(Table1[[#This Row],[age]],"00")&amp;"-"&amp;TEXT(ROW(),"000")</f>
        <v>El14-842</v>
      </c>
      <c r="AK842" t="str">
        <f>LEFT(Table1[[#This Row],[membership_type]],1)&amp;TEXT(MATCH(Table1[[#This Row],[membership_type]],Table1[membership_type],0),"00")</f>
        <v>E07</v>
      </c>
      <c r="AL842" t="str">
        <f>LEFT(Table1[[#This Row],[discount_type]],1)&amp;TEXT(ROUND(Table1[[#This Row],[discount_rate]]*100,0),"00")</f>
        <v>P05</v>
      </c>
      <c r="AM842" t="str" cm="1">
        <f t="array" ref="AM842">TEXT(SUMPRODUCT(CODE(MID(Table1[[#This Row],[home_gym_location]],_xlfn.SEQUENCE(LEN(Table1[[#This Row],[home_gym_location]])),1))),"00000")</f>
        <v>00829</v>
      </c>
      <c r="AN842" t="str">
        <f>UPPER(_xlfn.TEXTBEFORE(Table1[[#This Row],[home_gym_location]],","))&amp;"-"&amp;TEXT(MATCH(Table1[[#This Row],[home_gym_location]],_xlfn._xlws.SORT(_xlfn.UNIQUE(Table1[home_gym_location])),0),"000")</f>
        <v>FRESNO-003</v>
      </c>
      <c r="AO842" t="str">
        <f>LEFT(_xlfn.TEXTBEFORE(Table1[[#This Row],[Location Identifier]],"-"),3) &amp; "-" &amp; _xlfn.TEXTAFTER(Table1[[#This Row],[Location Identifier]],"-")</f>
        <v>FRE-003</v>
      </c>
      <c r="AP842" s="9">
        <f t="shared" ca="1" si="130"/>
        <v>45869</v>
      </c>
    </row>
    <row r="843" spans="1:42" x14ac:dyDescent="0.25">
      <c r="A843">
        <v>43</v>
      </c>
      <c r="B843" t="s">
        <v>33</v>
      </c>
      <c r="C843">
        <v>3</v>
      </c>
      <c r="D843" t="s">
        <v>122</v>
      </c>
      <c r="E843" t="b">
        <v>0</v>
      </c>
      <c r="F843" s="1">
        <v>0.77569444444444446</v>
      </c>
      <c r="G843" s="1">
        <v>0.84375</v>
      </c>
      <c r="H843">
        <v>98</v>
      </c>
      <c r="I843" t="b">
        <v>0</v>
      </c>
      <c r="J843" t="b">
        <v>1</v>
      </c>
      <c r="K843" t="b">
        <v>1</v>
      </c>
      <c r="L843" t="s">
        <v>62</v>
      </c>
      <c r="M843">
        <v>30</v>
      </c>
      <c r="N843" t="s">
        <v>78</v>
      </c>
      <c r="O843">
        <v>27</v>
      </c>
      <c r="P843" t="s">
        <v>40</v>
      </c>
      <c r="Q843">
        <v>0.1</v>
      </c>
      <c r="R843">
        <v>24.3</v>
      </c>
      <c r="S843" t="s">
        <v>37</v>
      </c>
      <c r="T843" t="s">
        <v>38</v>
      </c>
      <c r="U843">
        <v>36.7378</v>
      </c>
      <c r="V843">
        <v>-119.7871</v>
      </c>
      <c r="W843" s="2">
        <v>45641</v>
      </c>
      <c r="X843">
        <v>1</v>
      </c>
      <c r="Y843" t="b">
        <v>0</v>
      </c>
      <c r="Z843" s="2">
        <v>45850</v>
      </c>
      <c r="AA843" t="str">
        <f t="shared" si="131"/>
        <v>40–49</v>
      </c>
      <c r="AB843" t="str">
        <f t="shared" si="132"/>
        <v>40–49</v>
      </c>
      <c r="AC843" t="str">
        <f t="shared" si="133"/>
        <v/>
      </c>
      <c r="AD843" t="str">
        <f t="shared" si="134"/>
        <v>Tuesday</v>
      </c>
      <c r="AE843" t="str">
        <f t="shared" si="135"/>
        <v/>
      </c>
      <c r="AF843" t="str">
        <f t="shared" si="136"/>
        <v/>
      </c>
      <c r="AG843" t="str">
        <f t="shared" si="137"/>
        <v>Friday</v>
      </c>
      <c r="AH843" t="str">
        <f t="shared" si="138"/>
        <v/>
      </c>
      <c r="AI843" t="str">
        <f t="shared" si="139"/>
        <v>Sunday</v>
      </c>
      <c r="AJ843" t="str">
        <f>LEFT(Table1[[#This Row],[membership_type]],2)&amp;TEXT(Table1[[#This Row],[age]],"00")&amp;"-"&amp;TEXT(ROW(),"000")</f>
        <v>St43-843</v>
      </c>
      <c r="AK843" t="str">
        <f>LEFT(Table1[[#This Row],[membership_type]],1)&amp;TEXT(MATCH(Table1[[#This Row],[membership_type]],Table1[membership_type],0),"00")</f>
        <v>S02</v>
      </c>
      <c r="AL843" t="str">
        <f>LEFT(Table1[[#This Row],[discount_type]],1)&amp;TEXT(ROUND(Table1[[#This Row],[discount_rate]]*100,0),"00")</f>
        <v>L10</v>
      </c>
      <c r="AM843" t="str" cm="1">
        <f t="array" ref="AM843">TEXT(SUMPRODUCT(CODE(MID(Table1[[#This Row],[home_gym_location]],_xlfn.SEQUENCE(LEN(Table1[[#This Row],[home_gym_location]])),1))),"00000")</f>
        <v>00829</v>
      </c>
      <c r="AN843" t="str">
        <f>UPPER(_xlfn.TEXTBEFORE(Table1[[#This Row],[home_gym_location]],","))&amp;"-"&amp;TEXT(MATCH(Table1[[#This Row],[home_gym_location]],_xlfn._xlws.SORT(_xlfn.UNIQUE(Table1[home_gym_location])),0),"000")</f>
        <v>FRESNO-003</v>
      </c>
      <c r="AO843" t="str">
        <f>LEFT(_xlfn.TEXTBEFORE(Table1[[#This Row],[Location Identifier]],"-"),3) &amp; "-" &amp; _xlfn.TEXTAFTER(Table1[[#This Row],[Location Identifier]],"-")</f>
        <v>FRE-003</v>
      </c>
      <c r="AP843" s="9">
        <f t="shared" ca="1" si="130"/>
        <v>45869</v>
      </c>
    </row>
    <row r="844" spans="1:42" x14ac:dyDescent="0.25">
      <c r="A844">
        <v>13</v>
      </c>
      <c r="B844" t="s">
        <v>26</v>
      </c>
      <c r="C844">
        <v>5</v>
      </c>
      <c r="D844" t="s">
        <v>77</v>
      </c>
      <c r="E844" t="b">
        <v>0</v>
      </c>
      <c r="F844" s="1">
        <v>0.40763888888888888</v>
      </c>
      <c r="G844" s="1">
        <v>0.51111111111111107</v>
      </c>
      <c r="H844">
        <v>149</v>
      </c>
      <c r="I844" t="b">
        <v>0</v>
      </c>
      <c r="J844" t="b">
        <v>1</v>
      </c>
      <c r="K844" t="b">
        <v>0</v>
      </c>
      <c r="L844" t="s">
        <v>35</v>
      </c>
      <c r="M844">
        <v>50</v>
      </c>
      <c r="N844" t="s">
        <v>29</v>
      </c>
      <c r="O844">
        <v>50</v>
      </c>
      <c r="P844" t="s">
        <v>36</v>
      </c>
      <c r="Q844">
        <v>0</v>
      </c>
      <c r="R844">
        <v>50</v>
      </c>
      <c r="S844" t="s">
        <v>31</v>
      </c>
      <c r="T844" t="s">
        <v>45</v>
      </c>
      <c r="U844">
        <v>33.836599999999997</v>
      </c>
      <c r="V844">
        <v>-117.9143</v>
      </c>
      <c r="W844" s="2">
        <v>44807</v>
      </c>
      <c r="X844">
        <v>8</v>
      </c>
      <c r="Y844" t="b">
        <v>1</v>
      </c>
      <c r="Z844" s="2">
        <v>45803</v>
      </c>
      <c r="AA844" t="str">
        <f t="shared" si="131"/>
        <v>10–19</v>
      </c>
      <c r="AB844" t="str">
        <f t="shared" si="132"/>
        <v>Under 16</v>
      </c>
      <c r="AC844" t="str">
        <f t="shared" si="133"/>
        <v/>
      </c>
      <c r="AD844" t="str">
        <f t="shared" si="134"/>
        <v>Tuesday</v>
      </c>
      <c r="AE844" t="str">
        <f t="shared" si="135"/>
        <v>Wednesday</v>
      </c>
      <c r="AF844" t="str">
        <f t="shared" si="136"/>
        <v>Thursday</v>
      </c>
      <c r="AG844" t="str">
        <f t="shared" si="137"/>
        <v>Friday</v>
      </c>
      <c r="AH844" t="str">
        <f t="shared" si="138"/>
        <v/>
      </c>
      <c r="AI844" t="str">
        <f t="shared" si="139"/>
        <v>Sunday</v>
      </c>
      <c r="AJ844" t="str">
        <f>LEFT(Table1[[#This Row],[membership_type]],2)&amp;TEXT(Table1[[#This Row],[age]],"00")&amp;"-"&amp;TEXT(ROW(),"000")</f>
        <v>Pr13-844</v>
      </c>
      <c r="AK844" t="str">
        <f>LEFT(Table1[[#This Row],[membership_type]],1)&amp;TEXT(MATCH(Table1[[#This Row],[membership_type]],Table1[membership_type],0),"00")</f>
        <v>P01</v>
      </c>
      <c r="AL844" t="str">
        <f>LEFT(Table1[[#This Row],[discount_type]],1)&amp;TEXT(ROUND(Table1[[#This Row],[discount_rate]]*100,0),"00")</f>
        <v>N00</v>
      </c>
      <c r="AM844" t="str" cm="1">
        <f t="array" ref="AM844">TEXT(SUMPRODUCT(CODE(MID(Table1[[#This Row],[home_gym_location]],_xlfn.SEQUENCE(LEN(Table1[[#This Row],[home_gym_location]])),1))),"00000")</f>
        <v>00899</v>
      </c>
      <c r="AN844" t="str">
        <f>UPPER(_xlfn.TEXTBEFORE(Table1[[#This Row],[home_gym_location]],","))&amp;"-"&amp;TEXT(MATCH(Table1[[#This Row],[home_gym_location]],_xlfn._xlws.SORT(_xlfn.UNIQUE(Table1[home_gym_location])),0),"000")</f>
        <v>ANAHEIM-001</v>
      </c>
      <c r="AO844" t="str">
        <f>LEFT(_xlfn.TEXTBEFORE(Table1[[#This Row],[Location Identifier]],"-"),3) &amp; "-" &amp; _xlfn.TEXTAFTER(Table1[[#This Row],[Location Identifier]],"-")</f>
        <v>ANA-001</v>
      </c>
      <c r="AP844" s="9">
        <f t="shared" ca="1" si="130"/>
        <v>45869</v>
      </c>
    </row>
    <row r="845" spans="1:42" x14ac:dyDescent="0.25">
      <c r="A845">
        <v>46</v>
      </c>
      <c r="B845" t="s">
        <v>33</v>
      </c>
      <c r="C845">
        <v>3</v>
      </c>
      <c r="D845" t="s">
        <v>142</v>
      </c>
      <c r="E845" t="b">
        <v>1</v>
      </c>
      <c r="F845" s="1">
        <v>0.5625</v>
      </c>
      <c r="G845" s="1">
        <v>0.60902777777777772</v>
      </c>
      <c r="H845">
        <v>67</v>
      </c>
      <c r="I845" t="b">
        <v>0</v>
      </c>
      <c r="J845" t="b">
        <v>1</v>
      </c>
      <c r="K845" t="b">
        <v>0</v>
      </c>
      <c r="L845" t="s">
        <v>47</v>
      </c>
      <c r="M845">
        <v>30</v>
      </c>
      <c r="N845" t="s">
        <v>29</v>
      </c>
      <c r="O845">
        <v>30</v>
      </c>
      <c r="P845" t="s">
        <v>36</v>
      </c>
      <c r="Q845">
        <v>0</v>
      </c>
      <c r="R845">
        <v>30</v>
      </c>
      <c r="S845" t="s">
        <v>37</v>
      </c>
      <c r="T845" t="s">
        <v>59</v>
      </c>
      <c r="U845">
        <v>37.774900000000002</v>
      </c>
      <c r="V845">
        <v>-122.4194</v>
      </c>
      <c r="W845" s="2">
        <v>45672</v>
      </c>
      <c r="X845">
        <v>4</v>
      </c>
      <c r="Y845" t="b">
        <v>1</v>
      </c>
      <c r="Z845" s="2">
        <v>45852</v>
      </c>
      <c r="AA845" t="str">
        <f t="shared" si="131"/>
        <v>40–49</v>
      </c>
      <c r="AB845" t="str">
        <f t="shared" si="132"/>
        <v>40–49</v>
      </c>
      <c r="AC845" t="str">
        <f t="shared" si="133"/>
        <v>Monday</v>
      </c>
      <c r="AD845" t="str">
        <f t="shared" si="134"/>
        <v/>
      </c>
      <c r="AE845" t="str">
        <f t="shared" si="135"/>
        <v>Wednesday</v>
      </c>
      <c r="AF845" t="str">
        <f t="shared" si="136"/>
        <v/>
      </c>
      <c r="AG845" t="str">
        <f t="shared" si="137"/>
        <v/>
      </c>
      <c r="AH845" t="str">
        <f t="shared" si="138"/>
        <v/>
      </c>
      <c r="AI845" t="str">
        <f t="shared" si="139"/>
        <v>Sunday</v>
      </c>
      <c r="AJ845" t="str">
        <f>LEFT(Table1[[#This Row],[membership_type]],2)&amp;TEXT(Table1[[#This Row],[age]],"00")&amp;"-"&amp;TEXT(ROW(),"000")</f>
        <v>St46-845</v>
      </c>
      <c r="AK845" t="str">
        <f>LEFT(Table1[[#This Row],[membership_type]],1)&amp;TEXT(MATCH(Table1[[#This Row],[membership_type]],Table1[membership_type],0),"00")</f>
        <v>S02</v>
      </c>
      <c r="AL845" t="str">
        <f>LEFT(Table1[[#This Row],[discount_type]],1)&amp;TEXT(ROUND(Table1[[#This Row],[discount_rate]]*100,0),"00")</f>
        <v>N00</v>
      </c>
      <c r="AM845" t="str" cm="1">
        <f t="array" ref="AM845">TEXT(SUMPRODUCT(CODE(MID(Table1[[#This Row],[home_gym_location]],_xlfn.SEQUENCE(LEN(Table1[[#This Row],[home_gym_location]])),1))),"00000")</f>
        <v>01450</v>
      </c>
      <c r="AN84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45" t="str">
        <f>LEFT(_xlfn.TEXTBEFORE(Table1[[#This Row],[Location Identifier]],"-"),3) &amp; "-" &amp; _xlfn.TEXTAFTER(Table1[[#This Row],[Location Identifier]],"-")</f>
        <v>SAN-009</v>
      </c>
      <c r="AP845" s="9">
        <f t="shared" ca="1" si="130"/>
        <v>45869</v>
      </c>
    </row>
    <row r="846" spans="1:42" x14ac:dyDescent="0.25">
      <c r="A846">
        <v>36</v>
      </c>
      <c r="B846" t="s">
        <v>26</v>
      </c>
      <c r="C846">
        <v>3</v>
      </c>
      <c r="D846" t="s">
        <v>86</v>
      </c>
      <c r="E846" t="b">
        <v>1</v>
      </c>
      <c r="F846" s="1">
        <v>0.7631944444444444</v>
      </c>
      <c r="G846" s="1">
        <v>0.82430555555555551</v>
      </c>
      <c r="H846">
        <v>88</v>
      </c>
      <c r="I846" t="b">
        <v>0</v>
      </c>
      <c r="J846" t="b">
        <v>0</v>
      </c>
      <c r="K846" t="b">
        <v>0</v>
      </c>
      <c r="L846" t="s">
        <v>62</v>
      </c>
      <c r="M846">
        <v>50</v>
      </c>
      <c r="N846" t="s">
        <v>29</v>
      </c>
      <c r="O846">
        <v>50</v>
      </c>
      <c r="P846" t="s">
        <v>30</v>
      </c>
      <c r="Q846">
        <v>0.05</v>
      </c>
      <c r="R846">
        <v>47.5</v>
      </c>
      <c r="S846" t="s">
        <v>31</v>
      </c>
      <c r="T846" t="s">
        <v>59</v>
      </c>
      <c r="U846">
        <v>37.774900000000002</v>
      </c>
      <c r="V846">
        <v>-122.4194</v>
      </c>
      <c r="W846" s="2">
        <v>45389</v>
      </c>
      <c r="X846">
        <v>0</v>
      </c>
      <c r="Y846" t="b">
        <v>1</v>
      </c>
      <c r="Z846" s="2">
        <v>45836</v>
      </c>
      <c r="AA846" t="str">
        <f t="shared" si="131"/>
        <v>30–39</v>
      </c>
      <c r="AB846" t="str">
        <f t="shared" si="132"/>
        <v>30–39</v>
      </c>
      <c r="AC846" t="str">
        <f t="shared" si="133"/>
        <v/>
      </c>
      <c r="AD846" t="str">
        <f t="shared" si="134"/>
        <v>Tuesday</v>
      </c>
      <c r="AE846" t="str">
        <f t="shared" si="135"/>
        <v/>
      </c>
      <c r="AF846" t="str">
        <f t="shared" si="136"/>
        <v/>
      </c>
      <c r="AG846" t="str">
        <f t="shared" si="137"/>
        <v>Friday</v>
      </c>
      <c r="AH846" t="str">
        <f t="shared" si="138"/>
        <v>Saturday</v>
      </c>
      <c r="AI846" t="str">
        <f t="shared" si="139"/>
        <v/>
      </c>
      <c r="AJ846" t="str">
        <f>LEFT(Table1[[#This Row],[membership_type]],2)&amp;TEXT(Table1[[#This Row],[age]],"00")&amp;"-"&amp;TEXT(ROW(),"000")</f>
        <v>Pr36-846</v>
      </c>
      <c r="AK846" t="str">
        <f>LEFT(Table1[[#This Row],[membership_type]],1)&amp;TEXT(MATCH(Table1[[#This Row],[membership_type]],Table1[membership_type],0),"00")</f>
        <v>P01</v>
      </c>
      <c r="AL846" t="str">
        <f>LEFT(Table1[[#This Row],[discount_type]],1)&amp;TEXT(ROUND(Table1[[#This Row],[discount_rate]]*100,0),"00")</f>
        <v>P05</v>
      </c>
      <c r="AM846" t="str" cm="1">
        <f t="array" ref="AM846">TEXT(SUMPRODUCT(CODE(MID(Table1[[#This Row],[home_gym_location]],_xlfn.SEQUENCE(LEN(Table1[[#This Row],[home_gym_location]])),1))),"00000")</f>
        <v>01450</v>
      </c>
      <c r="AN84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46" t="str">
        <f>LEFT(_xlfn.TEXTBEFORE(Table1[[#This Row],[Location Identifier]],"-"),3) &amp; "-" &amp; _xlfn.TEXTAFTER(Table1[[#This Row],[Location Identifier]],"-")</f>
        <v>SAN-009</v>
      </c>
      <c r="AP846" s="9">
        <f t="shared" ca="1" si="130"/>
        <v>45869</v>
      </c>
    </row>
    <row r="847" spans="1:42" x14ac:dyDescent="0.25">
      <c r="A847">
        <v>44</v>
      </c>
      <c r="B847" t="s">
        <v>26</v>
      </c>
      <c r="C847">
        <v>2</v>
      </c>
      <c r="D847" t="s">
        <v>101</v>
      </c>
      <c r="E847" t="b">
        <v>1</v>
      </c>
      <c r="F847" s="1">
        <v>0.71736111111111112</v>
      </c>
      <c r="G847" s="1">
        <v>0.76041666666666663</v>
      </c>
      <c r="H847">
        <v>62</v>
      </c>
      <c r="I847" t="b">
        <v>0</v>
      </c>
      <c r="J847" t="b">
        <v>0</v>
      </c>
      <c r="K847" t="b">
        <v>1</v>
      </c>
      <c r="L847" t="s">
        <v>28</v>
      </c>
      <c r="M847">
        <v>50</v>
      </c>
      <c r="N847" t="s">
        <v>64</v>
      </c>
      <c r="O847">
        <v>37.5</v>
      </c>
      <c r="P847" t="s">
        <v>40</v>
      </c>
      <c r="Q847">
        <v>0.1</v>
      </c>
      <c r="R847">
        <v>33.75</v>
      </c>
      <c r="S847" t="s">
        <v>31</v>
      </c>
      <c r="T847" t="s">
        <v>41</v>
      </c>
      <c r="U847">
        <v>37.804400000000001</v>
      </c>
      <c r="V847">
        <v>-122.27119999999999</v>
      </c>
      <c r="W847" s="2">
        <v>45740</v>
      </c>
      <c r="X847">
        <v>0</v>
      </c>
      <c r="Y847" t="b">
        <v>1</v>
      </c>
      <c r="Z847" s="2">
        <v>45855</v>
      </c>
      <c r="AA847" t="str">
        <f t="shared" si="131"/>
        <v>40–49</v>
      </c>
      <c r="AB847" t="str">
        <f t="shared" si="132"/>
        <v>40–49</v>
      </c>
      <c r="AC847" t="str">
        <f t="shared" si="133"/>
        <v>Monday</v>
      </c>
      <c r="AD847" t="str">
        <f t="shared" si="134"/>
        <v/>
      </c>
      <c r="AE847" t="str">
        <f t="shared" si="135"/>
        <v/>
      </c>
      <c r="AF847" t="str">
        <f t="shared" si="136"/>
        <v/>
      </c>
      <c r="AG847" t="str">
        <f t="shared" si="137"/>
        <v>Friday</v>
      </c>
      <c r="AH847" t="str">
        <f t="shared" si="138"/>
        <v/>
      </c>
      <c r="AI847" t="str">
        <f t="shared" si="139"/>
        <v/>
      </c>
      <c r="AJ847" t="str">
        <f>LEFT(Table1[[#This Row],[membership_type]],2)&amp;TEXT(Table1[[#This Row],[age]],"00")&amp;"-"&amp;TEXT(ROW(),"000")</f>
        <v>Pr44-847</v>
      </c>
      <c r="AK847" t="str">
        <f>LEFT(Table1[[#This Row],[membership_type]],1)&amp;TEXT(MATCH(Table1[[#This Row],[membership_type]],Table1[membership_type],0),"00")</f>
        <v>P01</v>
      </c>
      <c r="AL847" t="str">
        <f>LEFT(Table1[[#This Row],[discount_type]],1)&amp;TEXT(ROUND(Table1[[#This Row],[discount_rate]]*100,0),"00")</f>
        <v>L10</v>
      </c>
      <c r="AM847" t="str" cm="1">
        <f t="array" ref="AM847">TEXT(SUMPRODUCT(CODE(MID(Table1[[#This Row],[home_gym_location]],_xlfn.SEQUENCE(LEN(Table1[[#This Row],[home_gym_location]])),1))),"00000")</f>
        <v>00906</v>
      </c>
      <c r="AN847" t="str">
        <f>UPPER(_xlfn.TEXTBEFORE(Table1[[#This Row],[home_gym_location]],","))&amp;"-"&amp;TEXT(MATCH(Table1[[#This Row],[home_gym_location]],_xlfn._xlws.SORT(_xlfn.UNIQUE(Table1[home_gym_location])),0),"000")</f>
        <v>OAKLAND-006</v>
      </c>
      <c r="AO847" t="str">
        <f>LEFT(_xlfn.TEXTBEFORE(Table1[[#This Row],[Location Identifier]],"-"),3) &amp; "-" &amp; _xlfn.TEXTAFTER(Table1[[#This Row],[Location Identifier]],"-")</f>
        <v>OAK-006</v>
      </c>
      <c r="AP847" s="9">
        <f t="shared" ca="1" si="130"/>
        <v>45869</v>
      </c>
    </row>
    <row r="848" spans="1:42" x14ac:dyDescent="0.25">
      <c r="A848">
        <v>18</v>
      </c>
      <c r="B848" t="s">
        <v>33</v>
      </c>
      <c r="C848">
        <v>3</v>
      </c>
      <c r="D848" t="s">
        <v>80</v>
      </c>
      <c r="E848" t="b">
        <v>0</v>
      </c>
      <c r="F848" s="1">
        <v>0.46250000000000002</v>
      </c>
      <c r="G848" s="1">
        <v>0.55902777777777779</v>
      </c>
      <c r="H848">
        <v>139</v>
      </c>
      <c r="I848" t="b">
        <v>0</v>
      </c>
      <c r="J848" t="b">
        <v>0</v>
      </c>
      <c r="K848" t="b">
        <v>0</v>
      </c>
      <c r="L848" t="s">
        <v>62</v>
      </c>
      <c r="M848">
        <v>30</v>
      </c>
      <c r="N848" t="s">
        <v>29</v>
      </c>
      <c r="O848">
        <v>30</v>
      </c>
      <c r="P848" t="s">
        <v>36</v>
      </c>
      <c r="Q848">
        <v>0</v>
      </c>
      <c r="R848">
        <v>30</v>
      </c>
      <c r="S848" t="s">
        <v>37</v>
      </c>
      <c r="T848" t="s">
        <v>41</v>
      </c>
      <c r="U848">
        <v>37.804400000000001</v>
      </c>
      <c r="V848">
        <v>-122.27119999999999</v>
      </c>
      <c r="W848" s="2">
        <v>44769</v>
      </c>
      <c r="X848">
        <v>0</v>
      </c>
      <c r="Y848" t="b">
        <v>0</v>
      </c>
      <c r="Z848" s="2">
        <v>45801</v>
      </c>
      <c r="AA848" t="str">
        <f t="shared" si="131"/>
        <v>10–19</v>
      </c>
      <c r="AB848" t="str">
        <f t="shared" si="132"/>
        <v>16–19</v>
      </c>
      <c r="AC848" t="str">
        <f t="shared" si="133"/>
        <v>Monday</v>
      </c>
      <c r="AD848" t="str">
        <f t="shared" si="134"/>
        <v/>
      </c>
      <c r="AE848" t="str">
        <f t="shared" si="135"/>
        <v/>
      </c>
      <c r="AF848" t="str">
        <f t="shared" si="136"/>
        <v/>
      </c>
      <c r="AG848" t="str">
        <f t="shared" si="137"/>
        <v/>
      </c>
      <c r="AH848" t="str">
        <f t="shared" si="138"/>
        <v>Saturday</v>
      </c>
      <c r="AI848" t="str">
        <f t="shared" si="139"/>
        <v>Sunday</v>
      </c>
      <c r="AJ848" t="str">
        <f>LEFT(Table1[[#This Row],[membership_type]],2)&amp;TEXT(Table1[[#This Row],[age]],"00")&amp;"-"&amp;TEXT(ROW(),"000")</f>
        <v>St18-848</v>
      </c>
      <c r="AK848" t="str">
        <f>LEFT(Table1[[#This Row],[membership_type]],1)&amp;TEXT(MATCH(Table1[[#This Row],[membership_type]],Table1[membership_type],0),"00")</f>
        <v>S02</v>
      </c>
      <c r="AL848" t="str">
        <f>LEFT(Table1[[#This Row],[discount_type]],1)&amp;TEXT(ROUND(Table1[[#This Row],[discount_rate]]*100,0),"00")</f>
        <v>N00</v>
      </c>
      <c r="AM848" t="str" cm="1">
        <f t="array" ref="AM848">TEXT(SUMPRODUCT(CODE(MID(Table1[[#This Row],[home_gym_location]],_xlfn.SEQUENCE(LEN(Table1[[#This Row],[home_gym_location]])),1))),"00000")</f>
        <v>00906</v>
      </c>
      <c r="AN848" t="str">
        <f>UPPER(_xlfn.TEXTBEFORE(Table1[[#This Row],[home_gym_location]],","))&amp;"-"&amp;TEXT(MATCH(Table1[[#This Row],[home_gym_location]],_xlfn._xlws.SORT(_xlfn.UNIQUE(Table1[home_gym_location])),0),"000")</f>
        <v>OAKLAND-006</v>
      </c>
      <c r="AO848" t="str">
        <f>LEFT(_xlfn.TEXTBEFORE(Table1[[#This Row],[Location Identifier]],"-"),3) &amp; "-" &amp; _xlfn.TEXTAFTER(Table1[[#This Row],[Location Identifier]],"-")</f>
        <v>OAK-006</v>
      </c>
      <c r="AP848" s="9">
        <f t="shared" ca="1" si="130"/>
        <v>45869</v>
      </c>
    </row>
    <row r="849" spans="1:42" x14ac:dyDescent="0.25">
      <c r="A849">
        <v>18</v>
      </c>
      <c r="B849" t="s">
        <v>33</v>
      </c>
      <c r="C849">
        <v>3</v>
      </c>
      <c r="D849" t="s">
        <v>80</v>
      </c>
      <c r="E849" t="b">
        <v>0</v>
      </c>
      <c r="F849" s="1">
        <v>0.46250000000000002</v>
      </c>
      <c r="G849" s="1">
        <v>0.55902777777777779</v>
      </c>
      <c r="H849">
        <v>139</v>
      </c>
      <c r="I849" t="b">
        <v>0</v>
      </c>
      <c r="J849" t="b">
        <v>0</v>
      </c>
      <c r="K849" t="b">
        <v>0</v>
      </c>
      <c r="L849" t="s">
        <v>62</v>
      </c>
      <c r="M849">
        <v>30</v>
      </c>
      <c r="N849" t="s">
        <v>29</v>
      </c>
      <c r="O849">
        <v>30</v>
      </c>
      <c r="P849" t="s">
        <v>36</v>
      </c>
      <c r="Q849">
        <v>0</v>
      </c>
      <c r="R849">
        <v>30</v>
      </c>
      <c r="S849" t="s">
        <v>37</v>
      </c>
      <c r="T849" t="s">
        <v>41</v>
      </c>
      <c r="U849">
        <v>37.804400000000001</v>
      </c>
      <c r="V849">
        <v>-122.27119999999999</v>
      </c>
      <c r="W849" s="2">
        <v>45296</v>
      </c>
      <c r="X849">
        <v>0</v>
      </c>
      <c r="Y849" t="b">
        <v>0</v>
      </c>
      <c r="Z849" s="2">
        <v>45830</v>
      </c>
      <c r="AA849" t="str">
        <f t="shared" si="131"/>
        <v>10–19</v>
      </c>
      <c r="AB849" t="str">
        <f t="shared" si="132"/>
        <v>16–19</v>
      </c>
      <c r="AC849" t="str">
        <f t="shared" si="133"/>
        <v>Monday</v>
      </c>
      <c r="AD849" t="str">
        <f t="shared" si="134"/>
        <v/>
      </c>
      <c r="AE849" t="str">
        <f t="shared" si="135"/>
        <v/>
      </c>
      <c r="AF849" t="str">
        <f t="shared" si="136"/>
        <v/>
      </c>
      <c r="AG849" t="str">
        <f t="shared" si="137"/>
        <v/>
      </c>
      <c r="AH849" t="str">
        <f t="shared" si="138"/>
        <v>Saturday</v>
      </c>
      <c r="AI849" t="str">
        <f t="shared" si="139"/>
        <v>Sunday</v>
      </c>
      <c r="AJ849" t="str">
        <f>LEFT(Table1[[#This Row],[membership_type]],2)&amp;TEXT(Table1[[#This Row],[age]],"00")&amp;"-"&amp;TEXT(ROW(),"000")</f>
        <v>St18-849</v>
      </c>
      <c r="AK849" t="str">
        <f>LEFT(Table1[[#This Row],[membership_type]],1)&amp;TEXT(MATCH(Table1[[#This Row],[membership_type]],Table1[membership_type],0),"00")</f>
        <v>S02</v>
      </c>
      <c r="AL849" t="str">
        <f>LEFT(Table1[[#This Row],[discount_type]],1)&amp;TEXT(ROUND(Table1[[#This Row],[discount_rate]]*100,0),"00")</f>
        <v>N00</v>
      </c>
      <c r="AM849" t="str" cm="1">
        <f t="array" ref="AM849">TEXT(SUMPRODUCT(CODE(MID(Table1[[#This Row],[home_gym_location]],_xlfn.SEQUENCE(LEN(Table1[[#This Row],[home_gym_location]])),1))),"00000")</f>
        <v>00906</v>
      </c>
      <c r="AN849" t="str">
        <f>UPPER(_xlfn.TEXTBEFORE(Table1[[#This Row],[home_gym_location]],","))&amp;"-"&amp;TEXT(MATCH(Table1[[#This Row],[home_gym_location]],_xlfn._xlws.SORT(_xlfn.UNIQUE(Table1[home_gym_location])),0),"000")</f>
        <v>OAKLAND-006</v>
      </c>
      <c r="AO849" t="str">
        <f>LEFT(_xlfn.TEXTBEFORE(Table1[[#This Row],[Location Identifier]],"-"),3) &amp; "-" &amp; _xlfn.TEXTAFTER(Table1[[#This Row],[Location Identifier]],"-")</f>
        <v>OAK-006</v>
      </c>
      <c r="AP849" s="9">
        <f t="shared" ca="1" si="130"/>
        <v>45869</v>
      </c>
    </row>
    <row r="850" spans="1:42" x14ac:dyDescent="0.25">
      <c r="A850">
        <v>40</v>
      </c>
      <c r="B850" t="s">
        <v>26</v>
      </c>
      <c r="C850">
        <v>2</v>
      </c>
      <c r="D850" t="s">
        <v>27</v>
      </c>
      <c r="E850" t="b">
        <v>1</v>
      </c>
      <c r="F850" s="1">
        <v>0.78611111111111109</v>
      </c>
      <c r="G850" s="1">
        <v>0.8208333333333333</v>
      </c>
      <c r="H850">
        <v>50</v>
      </c>
      <c r="I850" t="b">
        <v>1</v>
      </c>
      <c r="J850" t="b">
        <v>0</v>
      </c>
      <c r="K850" t="b">
        <v>1</v>
      </c>
      <c r="L850" t="s">
        <v>28</v>
      </c>
      <c r="M850">
        <v>50</v>
      </c>
      <c r="N850" t="s">
        <v>64</v>
      </c>
      <c r="O850">
        <v>37.5</v>
      </c>
      <c r="P850" t="s">
        <v>36</v>
      </c>
      <c r="Q850">
        <v>0</v>
      </c>
      <c r="R850">
        <v>37.5</v>
      </c>
      <c r="S850" t="s">
        <v>31</v>
      </c>
      <c r="T850" t="s">
        <v>50</v>
      </c>
      <c r="U850">
        <v>34.052199999999999</v>
      </c>
      <c r="V850">
        <v>-118.2437</v>
      </c>
      <c r="W850" s="2">
        <v>45196</v>
      </c>
      <c r="X850">
        <v>0</v>
      </c>
      <c r="Y850" t="b">
        <v>1</v>
      </c>
      <c r="Z850" s="2">
        <v>45825</v>
      </c>
      <c r="AA850" t="str">
        <f t="shared" si="131"/>
        <v>40–49</v>
      </c>
      <c r="AB850" t="str">
        <f t="shared" si="132"/>
        <v>40–49</v>
      </c>
      <c r="AC850" t="str">
        <f t="shared" si="133"/>
        <v/>
      </c>
      <c r="AD850" t="str">
        <f t="shared" si="134"/>
        <v/>
      </c>
      <c r="AE850" t="str">
        <f t="shared" si="135"/>
        <v/>
      </c>
      <c r="AF850" t="str">
        <f t="shared" si="136"/>
        <v>Thursday</v>
      </c>
      <c r="AG850" t="str">
        <f t="shared" si="137"/>
        <v/>
      </c>
      <c r="AH850" t="str">
        <f t="shared" si="138"/>
        <v>Saturday</v>
      </c>
      <c r="AI850" t="str">
        <f t="shared" si="139"/>
        <v/>
      </c>
      <c r="AJ850" t="str">
        <f>LEFT(Table1[[#This Row],[membership_type]],2)&amp;TEXT(Table1[[#This Row],[age]],"00")&amp;"-"&amp;TEXT(ROW(),"000")</f>
        <v>Pr40-850</v>
      </c>
      <c r="AK850" t="str">
        <f>LEFT(Table1[[#This Row],[membership_type]],1)&amp;TEXT(MATCH(Table1[[#This Row],[membership_type]],Table1[membership_type],0),"00")</f>
        <v>P01</v>
      </c>
      <c r="AL850" t="str">
        <f>LEFT(Table1[[#This Row],[discount_type]],1)&amp;TEXT(ROUND(Table1[[#This Row],[discount_rate]]*100,0),"00")</f>
        <v>N00</v>
      </c>
      <c r="AM850" t="str" cm="1">
        <f t="array" ref="AM850">TEXT(SUMPRODUCT(CODE(MID(Table1[[#This Row],[home_gym_location]],_xlfn.SEQUENCE(LEN(Table1[[#This Row],[home_gym_location]])),1))),"00000")</f>
        <v>01245</v>
      </c>
      <c r="AN85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50" t="str">
        <f>LEFT(_xlfn.TEXTBEFORE(Table1[[#This Row],[Location Identifier]],"-"),3) &amp; "-" &amp; _xlfn.TEXTAFTER(Table1[[#This Row],[Location Identifier]],"-")</f>
        <v>LOS-005</v>
      </c>
      <c r="AP850" s="9">
        <f t="shared" ca="1" si="130"/>
        <v>45869</v>
      </c>
    </row>
    <row r="851" spans="1:42" x14ac:dyDescent="0.25">
      <c r="A851">
        <v>27</v>
      </c>
      <c r="B851" t="s">
        <v>33</v>
      </c>
      <c r="C851">
        <v>2</v>
      </c>
      <c r="D851" t="s">
        <v>96</v>
      </c>
      <c r="E851" t="b">
        <v>1</v>
      </c>
      <c r="F851" s="1">
        <v>0.68680555555555556</v>
      </c>
      <c r="G851" s="1">
        <v>0.79722222222222228</v>
      </c>
      <c r="H851">
        <v>159</v>
      </c>
      <c r="I851" t="b">
        <v>1</v>
      </c>
      <c r="J851" t="b">
        <v>0</v>
      </c>
      <c r="K851" t="b">
        <v>1</v>
      </c>
      <c r="L851" t="s">
        <v>28</v>
      </c>
      <c r="M851">
        <v>30</v>
      </c>
      <c r="N851" t="s">
        <v>29</v>
      </c>
      <c r="O851">
        <v>30</v>
      </c>
      <c r="P851" t="s">
        <v>36</v>
      </c>
      <c r="Q851">
        <v>0</v>
      </c>
      <c r="R851">
        <v>30</v>
      </c>
      <c r="S851" t="s">
        <v>37</v>
      </c>
      <c r="T851" t="s">
        <v>50</v>
      </c>
      <c r="U851">
        <v>34.052199999999999</v>
      </c>
      <c r="V851">
        <v>-118.2437</v>
      </c>
      <c r="W851" s="2">
        <v>45759</v>
      </c>
      <c r="X851">
        <v>0</v>
      </c>
      <c r="Y851" t="b">
        <v>1</v>
      </c>
      <c r="Z851" s="2">
        <v>45856</v>
      </c>
      <c r="AA851" t="str">
        <f t="shared" si="131"/>
        <v>20–29</v>
      </c>
      <c r="AB851" t="str">
        <f t="shared" si="132"/>
        <v>20–29</v>
      </c>
      <c r="AC851" t="str">
        <f t="shared" si="133"/>
        <v/>
      </c>
      <c r="AD851" t="str">
        <f t="shared" si="134"/>
        <v/>
      </c>
      <c r="AE851" t="str">
        <f t="shared" si="135"/>
        <v/>
      </c>
      <c r="AF851" t="str">
        <f t="shared" si="136"/>
        <v>Thursday</v>
      </c>
      <c r="AG851" t="str">
        <f t="shared" si="137"/>
        <v>Friday</v>
      </c>
      <c r="AH851" t="str">
        <f t="shared" si="138"/>
        <v/>
      </c>
      <c r="AI851" t="str">
        <f t="shared" si="139"/>
        <v/>
      </c>
      <c r="AJ851" t="str">
        <f>LEFT(Table1[[#This Row],[membership_type]],2)&amp;TEXT(Table1[[#This Row],[age]],"00")&amp;"-"&amp;TEXT(ROW(),"000")</f>
        <v>St27-851</v>
      </c>
      <c r="AK851" t="str">
        <f>LEFT(Table1[[#This Row],[membership_type]],1)&amp;TEXT(MATCH(Table1[[#This Row],[membership_type]],Table1[membership_type],0),"00")</f>
        <v>S02</v>
      </c>
      <c r="AL851" t="str">
        <f>LEFT(Table1[[#This Row],[discount_type]],1)&amp;TEXT(ROUND(Table1[[#This Row],[discount_rate]]*100,0),"00")</f>
        <v>N00</v>
      </c>
      <c r="AM851" t="str" cm="1">
        <f t="array" ref="AM851">TEXT(SUMPRODUCT(CODE(MID(Table1[[#This Row],[home_gym_location]],_xlfn.SEQUENCE(LEN(Table1[[#This Row],[home_gym_location]])),1))),"00000")</f>
        <v>01245</v>
      </c>
      <c r="AN85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51" t="str">
        <f>LEFT(_xlfn.TEXTBEFORE(Table1[[#This Row],[Location Identifier]],"-"),3) &amp; "-" &amp; _xlfn.TEXTAFTER(Table1[[#This Row],[Location Identifier]],"-")</f>
        <v>LOS-005</v>
      </c>
      <c r="AP851" s="9">
        <f t="shared" ca="1" si="130"/>
        <v>45869</v>
      </c>
    </row>
    <row r="852" spans="1:42" x14ac:dyDescent="0.25">
      <c r="A852">
        <v>29</v>
      </c>
      <c r="B852" t="s">
        <v>51</v>
      </c>
      <c r="C852">
        <v>2</v>
      </c>
      <c r="D852" t="s">
        <v>46</v>
      </c>
      <c r="E852" t="b">
        <v>0</v>
      </c>
      <c r="F852" s="1">
        <v>0.71458333333333335</v>
      </c>
      <c r="G852" s="1">
        <v>0.75416666666666665</v>
      </c>
      <c r="H852">
        <v>57</v>
      </c>
      <c r="I852" t="b">
        <v>0</v>
      </c>
      <c r="J852" t="b">
        <v>1</v>
      </c>
      <c r="K852" t="b">
        <v>1</v>
      </c>
      <c r="L852" t="s">
        <v>28</v>
      </c>
      <c r="M852">
        <v>70</v>
      </c>
      <c r="N852" t="s">
        <v>29</v>
      </c>
      <c r="O852">
        <v>70</v>
      </c>
      <c r="P852" t="s">
        <v>36</v>
      </c>
      <c r="Q852">
        <v>0</v>
      </c>
      <c r="R852">
        <v>70</v>
      </c>
      <c r="S852" t="s">
        <v>53</v>
      </c>
      <c r="T852" t="s">
        <v>50</v>
      </c>
      <c r="U852">
        <v>34.052199999999999</v>
      </c>
      <c r="V852">
        <v>-118.2437</v>
      </c>
      <c r="W852" s="2">
        <v>45032</v>
      </c>
      <c r="X852">
        <v>1</v>
      </c>
      <c r="Y852" t="b">
        <v>1</v>
      </c>
      <c r="Z852" s="2">
        <v>45816</v>
      </c>
      <c r="AA852" t="str">
        <f t="shared" si="131"/>
        <v>20–29</v>
      </c>
      <c r="AB852" t="str">
        <f t="shared" si="132"/>
        <v>20–29</v>
      </c>
      <c r="AC852" t="str">
        <f t="shared" si="133"/>
        <v/>
      </c>
      <c r="AD852" t="str">
        <f t="shared" si="134"/>
        <v/>
      </c>
      <c r="AE852" t="str">
        <f t="shared" si="135"/>
        <v>Wednesday</v>
      </c>
      <c r="AF852" t="str">
        <f t="shared" si="136"/>
        <v/>
      </c>
      <c r="AG852" t="str">
        <f t="shared" si="137"/>
        <v/>
      </c>
      <c r="AH852" t="str">
        <f t="shared" si="138"/>
        <v/>
      </c>
      <c r="AI852" t="str">
        <f t="shared" si="139"/>
        <v>Sunday</v>
      </c>
      <c r="AJ852" t="str">
        <f>LEFT(Table1[[#This Row],[membership_type]],2)&amp;TEXT(Table1[[#This Row],[age]],"00")&amp;"-"&amp;TEXT(ROW(),"000")</f>
        <v>El29-852</v>
      </c>
      <c r="AK852" t="str">
        <f>LEFT(Table1[[#This Row],[membership_type]],1)&amp;TEXT(MATCH(Table1[[#This Row],[membership_type]],Table1[membership_type],0),"00")</f>
        <v>E07</v>
      </c>
      <c r="AL852" t="str">
        <f>LEFT(Table1[[#This Row],[discount_type]],1)&amp;TEXT(ROUND(Table1[[#This Row],[discount_rate]]*100,0),"00")</f>
        <v>N00</v>
      </c>
      <c r="AM852" t="str" cm="1">
        <f t="array" ref="AM852">TEXT(SUMPRODUCT(CODE(MID(Table1[[#This Row],[home_gym_location]],_xlfn.SEQUENCE(LEN(Table1[[#This Row],[home_gym_location]])),1))),"00000")</f>
        <v>01245</v>
      </c>
      <c r="AN85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52" t="str">
        <f>LEFT(_xlfn.TEXTBEFORE(Table1[[#This Row],[Location Identifier]],"-"),3) &amp; "-" &amp; _xlfn.TEXTAFTER(Table1[[#This Row],[Location Identifier]],"-")</f>
        <v>LOS-005</v>
      </c>
      <c r="AP852" s="9">
        <f t="shared" ca="1" si="130"/>
        <v>45869</v>
      </c>
    </row>
    <row r="853" spans="1:42" x14ac:dyDescent="0.25">
      <c r="A853">
        <v>49</v>
      </c>
      <c r="B853" t="s">
        <v>33</v>
      </c>
      <c r="C853">
        <v>3</v>
      </c>
      <c r="D853" t="s">
        <v>80</v>
      </c>
      <c r="E853" t="b">
        <v>0</v>
      </c>
      <c r="F853" s="1">
        <v>0.64236111111111116</v>
      </c>
      <c r="G853" s="1">
        <v>0.75347222222222221</v>
      </c>
      <c r="H853">
        <v>160</v>
      </c>
      <c r="I853" t="b">
        <v>1</v>
      </c>
      <c r="J853" t="b">
        <v>0</v>
      </c>
      <c r="K853" t="b">
        <v>1</v>
      </c>
      <c r="L853" t="s">
        <v>62</v>
      </c>
      <c r="M853">
        <v>30</v>
      </c>
      <c r="N853" t="s">
        <v>29</v>
      </c>
      <c r="O853">
        <v>30</v>
      </c>
      <c r="P853" t="s">
        <v>40</v>
      </c>
      <c r="Q853">
        <v>0.1</v>
      </c>
      <c r="R853">
        <v>27</v>
      </c>
      <c r="S853" t="s">
        <v>37</v>
      </c>
      <c r="T853" t="s">
        <v>50</v>
      </c>
      <c r="U853">
        <v>34.052199999999999</v>
      </c>
      <c r="V853">
        <v>-118.2437</v>
      </c>
      <c r="W853" s="2">
        <v>45607</v>
      </c>
      <c r="X853">
        <v>0</v>
      </c>
      <c r="Y853" t="b">
        <v>0</v>
      </c>
      <c r="Z853" s="2">
        <v>45848</v>
      </c>
      <c r="AA853" t="str">
        <f t="shared" si="131"/>
        <v>40–49</v>
      </c>
      <c r="AB853" t="str">
        <f t="shared" si="132"/>
        <v>40–49</v>
      </c>
      <c r="AC853" t="str">
        <f t="shared" si="133"/>
        <v>Monday</v>
      </c>
      <c r="AD853" t="str">
        <f t="shared" si="134"/>
        <v/>
      </c>
      <c r="AE853" t="str">
        <f t="shared" si="135"/>
        <v/>
      </c>
      <c r="AF853" t="str">
        <f t="shared" si="136"/>
        <v/>
      </c>
      <c r="AG853" t="str">
        <f t="shared" si="137"/>
        <v/>
      </c>
      <c r="AH853" t="str">
        <f t="shared" si="138"/>
        <v>Saturday</v>
      </c>
      <c r="AI853" t="str">
        <f t="shared" si="139"/>
        <v>Sunday</v>
      </c>
      <c r="AJ853" t="str">
        <f>LEFT(Table1[[#This Row],[membership_type]],2)&amp;TEXT(Table1[[#This Row],[age]],"00")&amp;"-"&amp;TEXT(ROW(),"000")</f>
        <v>St49-853</v>
      </c>
      <c r="AK853" t="str">
        <f>LEFT(Table1[[#This Row],[membership_type]],1)&amp;TEXT(MATCH(Table1[[#This Row],[membership_type]],Table1[membership_type],0),"00")</f>
        <v>S02</v>
      </c>
      <c r="AL853" t="str">
        <f>LEFT(Table1[[#This Row],[discount_type]],1)&amp;TEXT(ROUND(Table1[[#This Row],[discount_rate]]*100,0),"00")</f>
        <v>L10</v>
      </c>
      <c r="AM853" t="str" cm="1">
        <f t="array" ref="AM853">TEXT(SUMPRODUCT(CODE(MID(Table1[[#This Row],[home_gym_location]],_xlfn.SEQUENCE(LEN(Table1[[#This Row],[home_gym_location]])),1))),"00000")</f>
        <v>01245</v>
      </c>
      <c r="AN85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53" t="str">
        <f>LEFT(_xlfn.TEXTBEFORE(Table1[[#This Row],[Location Identifier]],"-"),3) &amp; "-" &amp; _xlfn.TEXTAFTER(Table1[[#This Row],[Location Identifier]],"-")</f>
        <v>LOS-005</v>
      </c>
      <c r="AP853" s="9">
        <f t="shared" ca="1" si="130"/>
        <v>45869</v>
      </c>
    </row>
    <row r="854" spans="1:42" x14ac:dyDescent="0.25">
      <c r="A854">
        <v>49</v>
      </c>
      <c r="B854" t="s">
        <v>33</v>
      </c>
      <c r="C854">
        <v>1</v>
      </c>
      <c r="D854" t="s">
        <v>95</v>
      </c>
      <c r="E854" t="b">
        <v>0</v>
      </c>
      <c r="F854" s="1">
        <v>0.47291666666666665</v>
      </c>
      <c r="G854" s="1">
        <v>0.53194444444444444</v>
      </c>
      <c r="H854">
        <v>85</v>
      </c>
      <c r="I854" t="b">
        <v>0</v>
      </c>
      <c r="J854" t="b">
        <v>0</v>
      </c>
      <c r="K854" t="b">
        <v>1</v>
      </c>
      <c r="L854" t="s">
        <v>28</v>
      </c>
      <c r="M854">
        <v>30</v>
      </c>
      <c r="N854" t="s">
        <v>64</v>
      </c>
      <c r="O854">
        <v>22.5</v>
      </c>
      <c r="P854" t="s">
        <v>36</v>
      </c>
      <c r="Q854">
        <v>0</v>
      </c>
      <c r="R854">
        <v>22.5</v>
      </c>
      <c r="S854" t="s">
        <v>37</v>
      </c>
      <c r="T854" t="s">
        <v>65</v>
      </c>
      <c r="U854">
        <v>33.770099999999999</v>
      </c>
      <c r="V854">
        <v>-118.19370000000001</v>
      </c>
      <c r="W854" s="2">
        <v>44874</v>
      </c>
      <c r="X854">
        <v>0</v>
      </c>
      <c r="Y854" t="b">
        <v>1</v>
      </c>
      <c r="Z854" s="2">
        <v>45807</v>
      </c>
      <c r="AA854" t="str">
        <f t="shared" si="131"/>
        <v>40–49</v>
      </c>
      <c r="AB854" t="str">
        <f t="shared" si="132"/>
        <v>40–49</v>
      </c>
      <c r="AC854" t="str">
        <f t="shared" si="133"/>
        <v/>
      </c>
      <c r="AD854" t="str">
        <f t="shared" si="134"/>
        <v/>
      </c>
      <c r="AE854" t="str">
        <f t="shared" si="135"/>
        <v/>
      </c>
      <c r="AF854" t="str">
        <f t="shared" si="136"/>
        <v/>
      </c>
      <c r="AG854" t="str">
        <f t="shared" si="137"/>
        <v/>
      </c>
      <c r="AH854" t="str">
        <f t="shared" si="138"/>
        <v>Saturday</v>
      </c>
      <c r="AI854" t="str">
        <f t="shared" si="139"/>
        <v/>
      </c>
      <c r="AJ854" t="str">
        <f>LEFT(Table1[[#This Row],[membership_type]],2)&amp;TEXT(Table1[[#This Row],[age]],"00")&amp;"-"&amp;TEXT(ROW(),"000")</f>
        <v>St49-854</v>
      </c>
      <c r="AK854" t="str">
        <f>LEFT(Table1[[#This Row],[membership_type]],1)&amp;TEXT(MATCH(Table1[[#This Row],[membership_type]],Table1[membership_type],0),"00")</f>
        <v>S02</v>
      </c>
      <c r="AL854" t="str">
        <f>LEFT(Table1[[#This Row],[discount_type]],1)&amp;TEXT(ROUND(Table1[[#This Row],[discount_rate]]*100,0),"00")</f>
        <v>N00</v>
      </c>
      <c r="AM854" t="str" cm="1">
        <f t="array" ref="AM854">TEXT(SUMPRODUCT(CODE(MID(Table1[[#This Row],[home_gym_location]],_xlfn.SEQUENCE(LEN(Table1[[#This Row],[home_gym_location]])),1))),"00000")</f>
        <v>01107</v>
      </c>
      <c r="AN85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54" t="str">
        <f>LEFT(_xlfn.TEXTBEFORE(Table1[[#This Row],[Location Identifier]],"-"),3) &amp; "-" &amp; _xlfn.TEXTAFTER(Table1[[#This Row],[Location Identifier]],"-")</f>
        <v>LON-004</v>
      </c>
      <c r="AP854" s="9">
        <f t="shared" ca="1" si="130"/>
        <v>45869</v>
      </c>
    </row>
    <row r="855" spans="1:42" x14ac:dyDescent="0.25">
      <c r="A855">
        <v>12</v>
      </c>
      <c r="B855" t="s">
        <v>33</v>
      </c>
      <c r="C855">
        <v>3</v>
      </c>
      <c r="D855" t="s">
        <v>138</v>
      </c>
      <c r="E855" t="b">
        <v>1</v>
      </c>
      <c r="F855" s="1">
        <v>0.58125000000000004</v>
      </c>
      <c r="G855" s="1">
        <v>0.63194444444444442</v>
      </c>
      <c r="H855">
        <v>73</v>
      </c>
      <c r="I855" t="b">
        <v>0</v>
      </c>
      <c r="J855" t="b">
        <v>0</v>
      </c>
      <c r="K855" t="b">
        <v>1</v>
      </c>
      <c r="L855" t="s">
        <v>47</v>
      </c>
      <c r="M855">
        <v>30</v>
      </c>
      <c r="N855" t="s">
        <v>64</v>
      </c>
      <c r="O855">
        <v>22.5</v>
      </c>
      <c r="P855" t="s">
        <v>30</v>
      </c>
      <c r="Q855">
        <v>0.05</v>
      </c>
      <c r="R855">
        <v>21.375</v>
      </c>
      <c r="S855" t="s">
        <v>37</v>
      </c>
      <c r="T855" t="s">
        <v>32</v>
      </c>
      <c r="U855">
        <v>37.338200000000001</v>
      </c>
      <c r="V855">
        <v>-121.88630000000001</v>
      </c>
      <c r="W855" s="2">
        <v>45612</v>
      </c>
      <c r="X855">
        <v>0</v>
      </c>
      <c r="Y855" t="b">
        <v>0</v>
      </c>
      <c r="Z855" s="2">
        <v>45848</v>
      </c>
      <c r="AA855" t="str">
        <f t="shared" si="131"/>
        <v>10–19</v>
      </c>
      <c r="AB855" t="str">
        <f t="shared" si="132"/>
        <v>Under 16</v>
      </c>
      <c r="AC855" t="str">
        <f t="shared" si="133"/>
        <v/>
      </c>
      <c r="AD855" t="str">
        <f t="shared" si="134"/>
        <v>Tuesday</v>
      </c>
      <c r="AE855" t="str">
        <f t="shared" si="135"/>
        <v/>
      </c>
      <c r="AF855" t="str">
        <f t="shared" si="136"/>
        <v>Thursday</v>
      </c>
      <c r="AG855" t="str">
        <f t="shared" si="137"/>
        <v/>
      </c>
      <c r="AH855" t="str">
        <f t="shared" si="138"/>
        <v/>
      </c>
      <c r="AI855" t="str">
        <f t="shared" si="139"/>
        <v>Sunday</v>
      </c>
      <c r="AJ855" t="str">
        <f>LEFT(Table1[[#This Row],[membership_type]],2)&amp;TEXT(Table1[[#This Row],[age]],"00")&amp;"-"&amp;TEXT(ROW(),"000")</f>
        <v>St12-855</v>
      </c>
      <c r="AK855" t="str">
        <f>LEFT(Table1[[#This Row],[membership_type]],1)&amp;TEXT(MATCH(Table1[[#This Row],[membership_type]],Table1[membership_type],0),"00")</f>
        <v>S02</v>
      </c>
      <c r="AL855" t="str">
        <f>LEFT(Table1[[#This Row],[discount_type]],1)&amp;TEXT(ROUND(Table1[[#This Row],[discount_rate]]*100,0),"00")</f>
        <v>P05</v>
      </c>
      <c r="AM855" t="str" cm="1">
        <f t="array" ref="AM855">TEXT(SUMPRODUCT(CODE(MID(Table1[[#This Row],[home_gym_location]],_xlfn.SEQUENCE(LEN(Table1[[#This Row],[home_gym_location]])),1))),"00000")</f>
        <v>00931</v>
      </c>
      <c r="AN85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55" t="str">
        <f>LEFT(_xlfn.TEXTBEFORE(Table1[[#This Row],[Location Identifier]],"-"),3) &amp; "-" &amp; _xlfn.TEXTAFTER(Table1[[#This Row],[Location Identifier]],"-")</f>
        <v>SAN-010</v>
      </c>
      <c r="AP855" s="9">
        <f t="shared" ca="1" si="130"/>
        <v>45869</v>
      </c>
    </row>
    <row r="856" spans="1:42" x14ac:dyDescent="0.25">
      <c r="A856">
        <v>46</v>
      </c>
      <c r="B856" t="s">
        <v>33</v>
      </c>
      <c r="C856">
        <v>1</v>
      </c>
      <c r="D856" t="s">
        <v>95</v>
      </c>
      <c r="E856" t="b">
        <v>0</v>
      </c>
      <c r="F856" s="1">
        <v>0.46736111111111112</v>
      </c>
      <c r="G856" s="1">
        <v>0.55486111111111114</v>
      </c>
      <c r="H856">
        <v>126</v>
      </c>
      <c r="I856" t="b">
        <v>1</v>
      </c>
      <c r="J856" t="b">
        <v>0</v>
      </c>
      <c r="K856" t="b">
        <v>1</v>
      </c>
      <c r="L856" t="s">
        <v>62</v>
      </c>
      <c r="M856">
        <v>30</v>
      </c>
      <c r="N856" t="s">
        <v>29</v>
      </c>
      <c r="O856">
        <v>30</v>
      </c>
      <c r="P856" t="s">
        <v>36</v>
      </c>
      <c r="Q856">
        <v>0</v>
      </c>
      <c r="R856">
        <v>30</v>
      </c>
      <c r="S856" t="s">
        <v>37</v>
      </c>
      <c r="T856" t="s">
        <v>54</v>
      </c>
      <c r="U856">
        <v>32.715699999999998</v>
      </c>
      <c r="V856">
        <v>-117.1611</v>
      </c>
      <c r="W856" s="2">
        <v>45627</v>
      </c>
      <c r="X856">
        <v>0</v>
      </c>
      <c r="Y856" t="b">
        <v>1</v>
      </c>
      <c r="Z856" s="2">
        <v>45849</v>
      </c>
      <c r="AA856" t="str">
        <f t="shared" si="131"/>
        <v>40–49</v>
      </c>
      <c r="AB856" t="str">
        <f t="shared" si="132"/>
        <v>40–49</v>
      </c>
      <c r="AC856" t="str">
        <f t="shared" si="133"/>
        <v/>
      </c>
      <c r="AD856" t="str">
        <f t="shared" si="134"/>
        <v/>
      </c>
      <c r="AE856" t="str">
        <f t="shared" si="135"/>
        <v/>
      </c>
      <c r="AF856" t="str">
        <f t="shared" si="136"/>
        <v/>
      </c>
      <c r="AG856" t="str">
        <f t="shared" si="137"/>
        <v/>
      </c>
      <c r="AH856" t="str">
        <f t="shared" si="138"/>
        <v>Saturday</v>
      </c>
      <c r="AI856" t="str">
        <f t="shared" si="139"/>
        <v/>
      </c>
      <c r="AJ856" t="str">
        <f>LEFT(Table1[[#This Row],[membership_type]],2)&amp;TEXT(Table1[[#This Row],[age]],"00")&amp;"-"&amp;TEXT(ROW(),"000")</f>
        <v>St46-856</v>
      </c>
      <c r="AK856" t="str">
        <f>LEFT(Table1[[#This Row],[membership_type]],1)&amp;TEXT(MATCH(Table1[[#This Row],[membership_type]],Table1[membership_type],0),"00")</f>
        <v>S02</v>
      </c>
      <c r="AL856" t="str">
        <f>LEFT(Table1[[#This Row],[discount_type]],1)&amp;TEXT(ROUND(Table1[[#This Row],[discount_rate]]*100,0),"00")</f>
        <v>N00</v>
      </c>
      <c r="AM856" t="str" cm="1">
        <f t="array" ref="AM856">TEXT(SUMPRODUCT(CODE(MID(Table1[[#This Row],[home_gym_location]],_xlfn.SEQUENCE(LEN(Table1[[#This Row],[home_gym_location]])),1))),"00000")</f>
        <v>01018</v>
      </c>
      <c r="AN85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56" t="str">
        <f>LEFT(_xlfn.TEXTBEFORE(Table1[[#This Row],[Location Identifier]],"-"),3) &amp; "-" &amp; _xlfn.TEXTAFTER(Table1[[#This Row],[Location Identifier]],"-")</f>
        <v>SAN-008</v>
      </c>
      <c r="AP856" s="9">
        <f t="shared" ca="1" si="130"/>
        <v>45869</v>
      </c>
    </row>
    <row r="857" spans="1:42" x14ac:dyDescent="0.25">
      <c r="A857">
        <v>37</v>
      </c>
      <c r="B857" t="s">
        <v>26</v>
      </c>
      <c r="C857">
        <v>3</v>
      </c>
      <c r="D857" t="s">
        <v>106</v>
      </c>
      <c r="E857" t="b">
        <v>1</v>
      </c>
      <c r="F857" s="1">
        <v>0.76597222222222228</v>
      </c>
      <c r="G857" s="1">
        <v>0.85277777777777775</v>
      </c>
      <c r="H857">
        <v>125</v>
      </c>
      <c r="I857" t="b">
        <v>0</v>
      </c>
      <c r="J857" t="b">
        <v>0</v>
      </c>
      <c r="K857" t="b">
        <v>0</v>
      </c>
      <c r="L857" t="s">
        <v>62</v>
      </c>
      <c r="M857">
        <v>50</v>
      </c>
      <c r="N857" t="s">
        <v>64</v>
      </c>
      <c r="O857">
        <v>37.5</v>
      </c>
      <c r="P857" t="s">
        <v>40</v>
      </c>
      <c r="Q857">
        <v>0.1</v>
      </c>
      <c r="R857">
        <v>33.75</v>
      </c>
      <c r="S857" t="s">
        <v>31</v>
      </c>
      <c r="T857" t="s">
        <v>45</v>
      </c>
      <c r="U857">
        <v>33.836599999999997</v>
      </c>
      <c r="V857">
        <v>-117.9143</v>
      </c>
      <c r="W857" s="2">
        <v>45792</v>
      </c>
      <c r="X857">
        <v>0</v>
      </c>
      <c r="Y857" t="b">
        <v>1</v>
      </c>
      <c r="Z857" s="2">
        <v>45858</v>
      </c>
      <c r="AA857" t="str">
        <f t="shared" si="131"/>
        <v>30–39</v>
      </c>
      <c r="AB857" t="str">
        <f t="shared" si="132"/>
        <v>30–39</v>
      </c>
      <c r="AC857" t="str">
        <f t="shared" si="133"/>
        <v/>
      </c>
      <c r="AD857" t="str">
        <f t="shared" si="134"/>
        <v/>
      </c>
      <c r="AE857" t="str">
        <f t="shared" si="135"/>
        <v>Wednesday</v>
      </c>
      <c r="AF857" t="str">
        <f t="shared" si="136"/>
        <v>Thursday</v>
      </c>
      <c r="AG857" t="str">
        <f t="shared" si="137"/>
        <v>Friday</v>
      </c>
      <c r="AH857" t="str">
        <f t="shared" si="138"/>
        <v/>
      </c>
      <c r="AI857" t="str">
        <f t="shared" si="139"/>
        <v/>
      </c>
      <c r="AJ857" t="str">
        <f>LEFT(Table1[[#This Row],[membership_type]],2)&amp;TEXT(Table1[[#This Row],[age]],"00")&amp;"-"&amp;TEXT(ROW(),"000")</f>
        <v>Pr37-857</v>
      </c>
      <c r="AK857" t="str">
        <f>LEFT(Table1[[#This Row],[membership_type]],1)&amp;TEXT(MATCH(Table1[[#This Row],[membership_type]],Table1[membership_type],0),"00")</f>
        <v>P01</v>
      </c>
      <c r="AL857" t="str">
        <f>LEFT(Table1[[#This Row],[discount_type]],1)&amp;TEXT(ROUND(Table1[[#This Row],[discount_rate]]*100,0),"00")</f>
        <v>L10</v>
      </c>
      <c r="AM857" t="str" cm="1">
        <f t="array" ref="AM857">TEXT(SUMPRODUCT(CODE(MID(Table1[[#This Row],[home_gym_location]],_xlfn.SEQUENCE(LEN(Table1[[#This Row],[home_gym_location]])),1))),"00000")</f>
        <v>00899</v>
      </c>
      <c r="AN857" t="str">
        <f>UPPER(_xlfn.TEXTBEFORE(Table1[[#This Row],[home_gym_location]],","))&amp;"-"&amp;TEXT(MATCH(Table1[[#This Row],[home_gym_location]],_xlfn._xlws.SORT(_xlfn.UNIQUE(Table1[home_gym_location])),0),"000")</f>
        <v>ANAHEIM-001</v>
      </c>
      <c r="AO857" t="str">
        <f>LEFT(_xlfn.TEXTBEFORE(Table1[[#This Row],[Location Identifier]],"-"),3) &amp; "-" &amp; _xlfn.TEXTAFTER(Table1[[#This Row],[Location Identifier]],"-")</f>
        <v>ANA-001</v>
      </c>
      <c r="AP857" s="9">
        <f t="shared" ca="1" si="130"/>
        <v>45869</v>
      </c>
    </row>
    <row r="858" spans="1:42" x14ac:dyDescent="0.25">
      <c r="A858">
        <v>34</v>
      </c>
      <c r="B858" t="s">
        <v>33</v>
      </c>
      <c r="C858">
        <v>2</v>
      </c>
      <c r="D858" t="s">
        <v>123</v>
      </c>
      <c r="E858" t="b">
        <v>0</v>
      </c>
      <c r="F858" s="1">
        <v>0.78055555555555556</v>
      </c>
      <c r="G858" s="1">
        <v>0.82430555555555551</v>
      </c>
      <c r="H858">
        <v>63</v>
      </c>
      <c r="I858" t="b">
        <v>1</v>
      </c>
      <c r="J858" t="b">
        <v>0</v>
      </c>
      <c r="K858" t="b">
        <v>1</v>
      </c>
      <c r="L858" t="s">
        <v>28</v>
      </c>
      <c r="M858">
        <v>30</v>
      </c>
      <c r="N858" t="s">
        <v>29</v>
      </c>
      <c r="O858">
        <v>30</v>
      </c>
      <c r="P858" t="s">
        <v>30</v>
      </c>
      <c r="Q858">
        <v>0.05</v>
      </c>
      <c r="R858">
        <v>28.5</v>
      </c>
      <c r="S858" t="s">
        <v>37</v>
      </c>
      <c r="T858" t="s">
        <v>65</v>
      </c>
      <c r="U858">
        <v>33.770099999999999</v>
      </c>
      <c r="V858">
        <v>-118.19370000000001</v>
      </c>
      <c r="W858" s="2">
        <v>45328</v>
      </c>
      <c r="X858">
        <v>0</v>
      </c>
      <c r="Y858" t="b">
        <v>0</v>
      </c>
      <c r="Z858" s="2">
        <v>45832</v>
      </c>
      <c r="AA858" t="str">
        <f t="shared" si="131"/>
        <v>30–39</v>
      </c>
      <c r="AB858" t="str">
        <f t="shared" si="132"/>
        <v>30–39</v>
      </c>
      <c r="AC858" t="str">
        <f t="shared" si="133"/>
        <v>Monday</v>
      </c>
      <c r="AD858" t="str">
        <f t="shared" si="134"/>
        <v/>
      </c>
      <c r="AE858" t="str">
        <f t="shared" si="135"/>
        <v/>
      </c>
      <c r="AF858" t="str">
        <f t="shared" si="136"/>
        <v/>
      </c>
      <c r="AG858" t="str">
        <f t="shared" si="137"/>
        <v/>
      </c>
      <c r="AH858" t="str">
        <f t="shared" si="138"/>
        <v>Saturday</v>
      </c>
      <c r="AI858" t="str">
        <f t="shared" si="139"/>
        <v/>
      </c>
      <c r="AJ858" t="str">
        <f>LEFT(Table1[[#This Row],[membership_type]],2)&amp;TEXT(Table1[[#This Row],[age]],"00")&amp;"-"&amp;TEXT(ROW(),"000")</f>
        <v>St34-858</v>
      </c>
      <c r="AK858" t="str">
        <f>LEFT(Table1[[#This Row],[membership_type]],1)&amp;TEXT(MATCH(Table1[[#This Row],[membership_type]],Table1[membership_type],0),"00")</f>
        <v>S02</v>
      </c>
      <c r="AL858" t="str">
        <f>LEFT(Table1[[#This Row],[discount_type]],1)&amp;TEXT(ROUND(Table1[[#This Row],[discount_rate]]*100,0),"00")</f>
        <v>P05</v>
      </c>
      <c r="AM858" t="str" cm="1">
        <f t="array" ref="AM858">TEXT(SUMPRODUCT(CODE(MID(Table1[[#This Row],[home_gym_location]],_xlfn.SEQUENCE(LEN(Table1[[#This Row],[home_gym_location]])),1))),"00000")</f>
        <v>01107</v>
      </c>
      <c r="AN85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58" t="str">
        <f>LEFT(_xlfn.TEXTBEFORE(Table1[[#This Row],[Location Identifier]],"-"),3) &amp; "-" &amp; _xlfn.TEXTAFTER(Table1[[#This Row],[Location Identifier]],"-")</f>
        <v>LON-004</v>
      </c>
      <c r="AP858" s="9">
        <f t="shared" ca="1" si="130"/>
        <v>45869</v>
      </c>
    </row>
    <row r="859" spans="1:42" x14ac:dyDescent="0.25">
      <c r="A859">
        <v>34</v>
      </c>
      <c r="B859" t="s">
        <v>33</v>
      </c>
      <c r="C859">
        <v>2</v>
      </c>
      <c r="D859" t="s">
        <v>123</v>
      </c>
      <c r="E859" t="b">
        <v>0</v>
      </c>
      <c r="F859" s="1">
        <v>0.78055555555555556</v>
      </c>
      <c r="G859" s="1">
        <v>0.82430555555555551</v>
      </c>
      <c r="H859">
        <v>63</v>
      </c>
      <c r="I859" t="b">
        <v>1</v>
      </c>
      <c r="J859" t="b">
        <v>0</v>
      </c>
      <c r="K859" t="b">
        <v>1</v>
      </c>
      <c r="L859" t="s">
        <v>28</v>
      </c>
      <c r="M859">
        <v>30</v>
      </c>
      <c r="N859" t="s">
        <v>29</v>
      </c>
      <c r="O859">
        <v>30</v>
      </c>
      <c r="P859" t="s">
        <v>30</v>
      </c>
      <c r="Q859">
        <v>0.05</v>
      </c>
      <c r="R859">
        <v>28.5</v>
      </c>
      <c r="S859" t="s">
        <v>37</v>
      </c>
      <c r="T859" t="s">
        <v>65</v>
      </c>
      <c r="U859">
        <v>33.770099999999999</v>
      </c>
      <c r="V859">
        <v>-118.19370000000001</v>
      </c>
      <c r="W859" s="2">
        <v>45229</v>
      </c>
      <c r="X859">
        <v>0</v>
      </c>
      <c r="Y859" t="b">
        <v>0</v>
      </c>
      <c r="Z859" s="2">
        <v>45827</v>
      </c>
      <c r="AA859" t="str">
        <f t="shared" si="131"/>
        <v>30–39</v>
      </c>
      <c r="AB859" t="str">
        <f t="shared" si="132"/>
        <v>30–39</v>
      </c>
      <c r="AC859" t="str">
        <f t="shared" si="133"/>
        <v>Monday</v>
      </c>
      <c r="AD859" t="str">
        <f t="shared" si="134"/>
        <v/>
      </c>
      <c r="AE859" t="str">
        <f t="shared" si="135"/>
        <v/>
      </c>
      <c r="AF859" t="str">
        <f t="shared" si="136"/>
        <v/>
      </c>
      <c r="AG859" t="str">
        <f t="shared" si="137"/>
        <v/>
      </c>
      <c r="AH859" t="str">
        <f t="shared" si="138"/>
        <v>Saturday</v>
      </c>
      <c r="AI859" t="str">
        <f t="shared" si="139"/>
        <v/>
      </c>
      <c r="AJ859" t="str">
        <f>LEFT(Table1[[#This Row],[membership_type]],2)&amp;TEXT(Table1[[#This Row],[age]],"00")&amp;"-"&amp;TEXT(ROW(),"000")</f>
        <v>St34-859</v>
      </c>
      <c r="AK859" t="str">
        <f>LEFT(Table1[[#This Row],[membership_type]],1)&amp;TEXT(MATCH(Table1[[#This Row],[membership_type]],Table1[membership_type],0),"00")</f>
        <v>S02</v>
      </c>
      <c r="AL859" t="str">
        <f>LEFT(Table1[[#This Row],[discount_type]],1)&amp;TEXT(ROUND(Table1[[#This Row],[discount_rate]]*100,0),"00")</f>
        <v>P05</v>
      </c>
      <c r="AM859" t="str" cm="1">
        <f t="array" ref="AM859">TEXT(SUMPRODUCT(CODE(MID(Table1[[#This Row],[home_gym_location]],_xlfn.SEQUENCE(LEN(Table1[[#This Row],[home_gym_location]])),1))),"00000")</f>
        <v>01107</v>
      </c>
      <c r="AN85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59" t="str">
        <f>LEFT(_xlfn.TEXTBEFORE(Table1[[#This Row],[Location Identifier]],"-"),3) &amp; "-" &amp; _xlfn.TEXTAFTER(Table1[[#This Row],[Location Identifier]],"-")</f>
        <v>LON-004</v>
      </c>
      <c r="AP859" s="9">
        <f t="shared" ca="1" si="130"/>
        <v>45869</v>
      </c>
    </row>
    <row r="860" spans="1:42" x14ac:dyDescent="0.25">
      <c r="A860">
        <v>37</v>
      </c>
      <c r="B860" t="s">
        <v>42</v>
      </c>
      <c r="C860">
        <v>4</v>
      </c>
      <c r="D860" t="s">
        <v>164</v>
      </c>
      <c r="E860" t="b">
        <v>1</v>
      </c>
      <c r="F860" s="1">
        <v>0.78055555555555556</v>
      </c>
      <c r="G860" s="1">
        <v>0.87222222222222223</v>
      </c>
      <c r="H860">
        <v>132</v>
      </c>
      <c r="I860" t="b">
        <v>1</v>
      </c>
      <c r="J860" t="b">
        <v>0</v>
      </c>
      <c r="K860" t="b">
        <v>1</v>
      </c>
      <c r="L860" t="s">
        <v>62</v>
      </c>
      <c r="M860">
        <v>20</v>
      </c>
      <c r="N860" t="s">
        <v>29</v>
      </c>
      <c r="O860">
        <v>20</v>
      </c>
      <c r="P860" t="s">
        <v>40</v>
      </c>
      <c r="Q860">
        <v>0.1</v>
      </c>
      <c r="R860">
        <v>18</v>
      </c>
      <c r="S860" t="s">
        <v>44</v>
      </c>
      <c r="T860" t="s">
        <v>45</v>
      </c>
      <c r="U860">
        <v>33.836599999999997</v>
      </c>
      <c r="V860">
        <v>-117.9143</v>
      </c>
      <c r="W860" s="2">
        <v>45761</v>
      </c>
      <c r="X860">
        <v>0</v>
      </c>
      <c r="Y860" t="b">
        <v>0</v>
      </c>
      <c r="Z860" s="2">
        <v>45857</v>
      </c>
      <c r="AA860" t="str">
        <f t="shared" si="131"/>
        <v>30–39</v>
      </c>
      <c r="AB860" t="str">
        <f t="shared" si="132"/>
        <v>30–39</v>
      </c>
      <c r="AC860" t="str">
        <f t="shared" si="133"/>
        <v/>
      </c>
      <c r="AD860" t="str">
        <f t="shared" si="134"/>
        <v/>
      </c>
      <c r="AE860" t="str">
        <f t="shared" si="135"/>
        <v>Wednesday</v>
      </c>
      <c r="AF860" t="str">
        <f t="shared" si="136"/>
        <v>Thursday</v>
      </c>
      <c r="AG860" t="str">
        <f t="shared" si="137"/>
        <v>Friday</v>
      </c>
      <c r="AH860" t="str">
        <f t="shared" si="138"/>
        <v>Saturday</v>
      </c>
      <c r="AI860" t="str">
        <f t="shared" si="139"/>
        <v/>
      </c>
      <c r="AJ860" t="str">
        <f>LEFT(Table1[[#This Row],[membership_type]],2)&amp;TEXT(Table1[[#This Row],[age]],"00")&amp;"-"&amp;TEXT(ROW(),"000")</f>
        <v>Ba37-860</v>
      </c>
      <c r="AK860" t="str">
        <f>LEFT(Table1[[#This Row],[membership_type]],1)&amp;TEXT(MATCH(Table1[[#This Row],[membership_type]],Table1[membership_type],0),"00")</f>
        <v>B04</v>
      </c>
      <c r="AL860" t="str">
        <f>LEFT(Table1[[#This Row],[discount_type]],1)&amp;TEXT(ROUND(Table1[[#This Row],[discount_rate]]*100,0),"00")</f>
        <v>L10</v>
      </c>
      <c r="AM860" t="str" cm="1">
        <f t="array" ref="AM860">TEXT(SUMPRODUCT(CODE(MID(Table1[[#This Row],[home_gym_location]],_xlfn.SEQUENCE(LEN(Table1[[#This Row],[home_gym_location]])),1))),"00000")</f>
        <v>00899</v>
      </c>
      <c r="AN860" t="str">
        <f>UPPER(_xlfn.TEXTBEFORE(Table1[[#This Row],[home_gym_location]],","))&amp;"-"&amp;TEXT(MATCH(Table1[[#This Row],[home_gym_location]],_xlfn._xlws.SORT(_xlfn.UNIQUE(Table1[home_gym_location])),0),"000")</f>
        <v>ANAHEIM-001</v>
      </c>
      <c r="AO860" t="str">
        <f>LEFT(_xlfn.TEXTBEFORE(Table1[[#This Row],[Location Identifier]],"-"),3) &amp; "-" &amp; _xlfn.TEXTAFTER(Table1[[#This Row],[Location Identifier]],"-")</f>
        <v>ANA-001</v>
      </c>
      <c r="AP860" s="9">
        <f t="shared" ca="1" si="130"/>
        <v>45869</v>
      </c>
    </row>
    <row r="861" spans="1:42" x14ac:dyDescent="0.25">
      <c r="A861">
        <v>26</v>
      </c>
      <c r="B861" t="s">
        <v>42</v>
      </c>
      <c r="C861">
        <v>2</v>
      </c>
      <c r="D861" t="s">
        <v>84</v>
      </c>
      <c r="E861" t="b">
        <v>1</v>
      </c>
      <c r="F861" s="1">
        <v>0.66111111111111109</v>
      </c>
      <c r="G861" s="1">
        <v>0.75347222222222221</v>
      </c>
      <c r="H861">
        <v>133</v>
      </c>
      <c r="I861" t="b">
        <v>0</v>
      </c>
      <c r="J861" t="b">
        <v>0</v>
      </c>
      <c r="K861" t="b">
        <v>0</v>
      </c>
      <c r="L861" t="s">
        <v>62</v>
      </c>
      <c r="M861">
        <v>20</v>
      </c>
      <c r="N861" t="s">
        <v>29</v>
      </c>
      <c r="O861">
        <v>20</v>
      </c>
      <c r="P861" t="s">
        <v>36</v>
      </c>
      <c r="Q861">
        <v>0</v>
      </c>
      <c r="R861">
        <v>20</v>
      </c>
      <c r="S861" t="s">
        <v>44</v>
      </c>
      <c r="T861" t="s">
        <v>56</v>
      </c>
      <c r="U861">
        <v>35.3733</v>
      </c>
      <c r="V861">
        <v>-119.0187</v>
      </c>
      <c r="W861" s="2">
        <v>45005</v>
      </c>
      <c r="X861">
        <v>0</v>
      </c>
      <c r="Y861" t="b">
        <v>1</v>
      </c>
      <c r="Z861" s="2">
        <v>45814</v>
      </c>
      <c r="AA861" t="str">
        <f t="shared" si="131"/>
        <v>20–29</v>
      </c>
      <c r="AB861" t="str">
        <f t="shared" si="132"/>
        <v>20–29</v>
      </c>
      <c r="AC861" t="str">
        <f t="shared" si="133"/>
        <v/>
      </c>
      <c r="AD861" t="str">
        <f t="shared" si="134"/>
        <v>Tuesday</v>
      </c>
      <c r="AE861" t="str">
        <f t="shared" si="135"/>
        <v/>
      </c>
      <c r="AF861" t="str">
        <f t="shared" si="136"/>
        <v/>
      </c>
      <c r="AG861" t="str">
        <f t="shared" si="137"/>
        <v/>
      </c>
      <c r="AH861" t="str">
        <f t="shared" si="138"/>
        <v/>
      </c>
      <c r="AI861" t="str">
        <f t="shared" si="139"/>
        <v>Sunday</v>
      </c>
      <c r="AJ861" t="str">
        <f>LEFT(Table1[[#This Row],[membership_type]],2)&amp;TEXT(Table1[[#This Row],[age]],"00")&amp;"-"&amp;TEXT(ROW(),"000")</f>
        <v>Ba26-861</v>
      </c>
      <c r="AK861" t="str">
        <f>LEFT(Table1[[#This Row],[membership_type]],1)&amp;TEXT(MATCH(Table1[[#This Row],[membership_type]],Table1[membership_type],0),"00")</f>
        <v>B04</v>
      </c>
      <c r="AL861" t="str">
        <f>LEFT(Table1[[#This Row],[discount_type]],1)&amp;TEXT(ROUND(Table1[[#This Row],[discount_rate]]*100,0),"00")</f>
        <v>N00</v>
      </c>
      <c r="AM861" t="str" cm="1">
        <f t="array" ref="AM861">TEXT(SUMPRODUCT(CODE(MID(Table1[[#This Row],[home_gym_location]],_xlfn.SEQUENCE(LEN(Table1[[#This Row],[home_gym_location]])),1))),"00000")</f>
        <v>01324</v>
      </c>
      <c r="AN86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61" t="str">
        <f>LEFT(_xlfn.TEXTBEFORE(Table1[[#This Row],[Location Identifier]],"-"),3) &amp; "-" &amp; _xlfn.TEXTAFTER(Table1[[#This Row],[Location Identifier]],"-")</f>
        <v>BAK-002</v>
      </c>
      <c r="AP861" s="9">
        <f t="shared" ca="1" si="130"/>
        <v>45869</v>
      </c>
    </row>
    <row r="862" spans="1:42" x14ac:dyDescent="0.25">
      <c r="A862">
        <v>49</v>
      </c>
      <c r="B862" t="s">
        <v>26</v>
      </c>
      <c r="C862">
        <v>2</v>
      </c>
      <c r="D862" t="s">
        <v>126</v>
      </c>
      <c r="E862" t="b">
        <v>0</v>
      </c>
      <c r="F862" s="1">
        <v>0.42430555555555555</v>
      </c>
      <c r="G862" s="1">
        <v>0.4777777777777778</v>
      </c>
      <c r="H862">
        <v>77</v>
      </c>
      <c r="I862" t="b">
        <v>1</v>
      </c>
      <c r="J862" t="b">
        <v>1</v>
      </c>
      <c r="K862" t="b">
        <v>0</v>
      </c>
      <c r="L862" t="s">
        <v>62</v>
      </c>
      <c r="M862">
        <v>50</v>
      </c>
      <c r="N862" t="s">
        <v>29</v>
      </c>
      <c r="O862">
        <v>50</v>
      </c>
      <c r="P862" t="s">
        <v>36</v>
      </c>
      <c r="Q862">
        <v>0</v>
      </c>
      <c r="R862">
        <v>50</v>
      </c>
      <c r="S862" t="s">
        <v>31</v>
      </c>
      <c r="T862" t="s">
        <v>56</v>
      </c>
      <c r="U862">
        <v>35.3733</v>
      </c>
      <c r="V862">
        <v>-119.0187</v>
      </c>
      <c r="W862" s="2">
        <v>45348</v>
      </c>
      <c r="X862">
        <v>6</v>
      </c>
      <c r="Y862" t="b">
        <v>1</v>
      </c>
      <c r="Z862" s="2">
        <v>45833</v>
      </c>
      <c r="AA862" t="str">
        <f t="shared" si="131"/>
        <v>40–49</v>
      </c>
      <c r="AB862" t="str">
        <f t="shared" si="132"/>
        <v>40–49</v>
      </c>
      <c r="AC862" t="str">
        <f t="shared" si="133"/>
        <v/>
      </c>
      <c r="AD862" t="str">
        <f t="shared" si="134"/>
        <v>Tuesday</v>
      </c>
      <c r="AE862" t="str">
        <f t="shared" si="135"/>
        <v>Wednesday</v>
      </c>
      <c r="AF862" t="str">
        <f t="shared" si="136"/>
        <v/>
      </c>
      <c r="AG862" t="str">
        <f t="shared" si="137"/>
        <v/>
      </c>
      <c r="AH862" t="str">
        <f t="shared" si="138"/>
        <v/>
      </c>
      <c r="AI862" t="str">
        <f t="shared" si="139"/>
        <v/>
      </c>
      <c r="AJ862" t="str">
        <f>LEFT(Table1[[#This Row],[membership_type]],2)&amp;TEXT(Table1[[#This Row],[age]],"00")&amp;"-"&amp;TEXT(ROW(),"000")</f>
        <v>Pr49-862</v>
      </c>
      <c r="AK862" t="str">
        <f>LEFT(Table1[[#This Row],[membership_type]],1)&amp;TEXT(MATCH(Table1[[#This Row],[membership_type]],Table1[membership_type],0),"00")</f>
        <v>P01</v>
      </c>
      <c r="AL862" t="str">
        <f>LEFT(Table1[[#This Row],[discount_type]],1)&amp;TEXT(ROUND(Table1[[#This Row],[discount_rate]]*100,0),"00")</f>
        <v>N00</v>
      </c>
      <c r="AM862" t="str" cm="1">
        <f t="array" ref="AM862">TEXT(SUMPRODUCT(CODE(MID(Table1[[#This Row],[home_gym_location]],_xlfn.SEQUENCE(LEN(Table1[[#This Row],[home_gym_location]])),1))),"00000")</f>
        <v>01324</v>
      </c>
      <c r="AN8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62" t="str">
        <f>LEFT(_xlfn.TEXTBEFORE(Table1[[#This Row],[Location Identifier]],"-"),3) &amp; "-" &amp; _xlfn.TEXTAFTER(Table1[[#This Row],[Location Identifier]],"-")</f>
        <v>BAK-002</v>
      </c>
      <c r="AP862" s="9">
        <f t="shared" ca="1" si="130"/>
        <v>45869</v>
      </c>
    </row>
    <row r="863" spans="1:42" x14ac:dyDescent="0.25">
      <c r="A863">
        <v>48</v>
      </c>
      <c r="B863" t="s">
        <v>33</v>
      </c>
      <c r="C863">
        <v>5</v>
      </c>
      <c r="D863" t="s">
        <v>112</v>
      </c>
      <c r="E863" t="b">
        <v>0</v>
      </c>
      <c r="F863" s="1">
        <v>0.65416666666666667</v>
      </c>
      <c r="G863" s="1">
        <v>0.77430555555555558</v>
      </c>
      <c r="H863">
        <v>173</v>
      </c>
      <c r="I863" t="b">
        <v>0</v>
      </c>
      <c r="J863" t="b">
        <v>1</v>
      </c>
      <c r="K863" t="b">
        <v>1</v>
      </c>
      <c r="L863" t="s">
        <v>62</v>
      </c>
      <c r="M863">
        <v>30</v>
      </c>
      <c r="N863" t="s">
        <v>29</v>
      </c>
      <c r="O863">
        <v>30</v>
      </c>
      <c r="P863" t="s">
        <v>36</v>
      </c>
      <c r="Q863">
        <v>0</v>
      </c>
      <c r="R863">
        <v>30</v>
      </c>
      <c r="S863" t="s">
        <v>37</v>
      </c>
      <c r="T863" t="s">
        <v>48</v>
      </c>
      <c r="U863">
        <v>38.581600000000002</v>
      </c>
      <c r="V863">
        <v>-121.4944</v>
      </c>
      <c r="W863" s="2">
        <v>45272</v>
      </c>
      <c r="X863">
        <v>3</v>
      </c>
      <c r="Y863" t="b">
        <v>0</v>
      </c>
      <c r="Z863" s="2">
        <v>45829</v>
      </c>
      <c r="AA863" t="str">
        <f t="shared" si="131"/>
        <v>40–49</v>
      </c>
      <c r="AB863" t="str">
        <f t="shared" si="132"/>
        <v>40–49</v>
      </c>
      <c r="AC863" t="str">
        <f t="shared" si="133"/>
        <v>Monday</v>
      </c>
      <c r="AD863" t="str">
        <f t="shared" si="134"/>
        <v/>
      </c>
      <c r="AE863" t="str">
        <f t="shared" si="135"/>
        <v/>
      </c>
      <c r="AF863" t="str">
        <f t="shared" si="136"/>
        <v>Thursday</v>
      </c>
      <c r="AG863" t="str">
        <f t="shared" si="137"/>
        <v>Friday</v>
      </c>
      <c r="AH863" t="str">
        <f t="shared" si="138"/>
        <v>Saturday</v>
      </c>
      <c r="AI863" t="str">
        <f t="shared" si="139"/>
        <v>Sunday</v>
      </c>
      <c r="AJ863" t="str">
        <f>LEFT(Table1[[#This Row],[membership_type]],2)&amp;TEXT(Table1[[#This Row],[age]],"00")&amp;"-"&amp;TEXT(ROW(),"000")</f>
        <v>St48-863</v>
      </c>
      <c r="AK863" t="str">
        <f>LEFT(Table1[[#This Row],[membership_type]],1)&amp;TEXT(MATCH(Table1[[#This Row],[membership_type]],Table1[membership_type],0),"00")</f>
        <v>S02</v>
      </c>
      <c r="AL863" t="str">
        <f>LEFT(Table1[[#This Row],[discount_type]],1)&amp;TEXT(ROUND(Table1[[#This Row],[discount_rate]]*100,0),"00")</f>
        <v>N00</v>
      </c>
      <c r="AM863" t="str" cm="1">
        <f t="array" ref="AM863">TEXT(SUMPRODUCT(CODE(MID(Table1[[#This Row],[home_gym_location]],_xlfn.SEQUENCE(LEN(Table1[[#This Row],[home_gym_location]])),1))),"00000")</f>
        <v>01245</v>
      </c>
      <c r="AN86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63" t="str">
        <f>LEFT(_xlfn.TEXTBEFORE(Table1[[#This Row],[Location Identifier]],"-"),3) &amp; "-" &amp; _xlfn.TEXTAFTER(Table1[[#This Row],[Location Identifier]],"-")</f>
        <v>SAC-007</v>
      </c>
      <c r="AP863" s="9">
        <f t="shared" ca="1" si="130"/>
        <v>45869</v>
      </c>
    </row>
    <row r="864" spans="1:42" x14ac:dyDescent="0.25">
      <c r="A864">
        <v>36</v>
      </c>
      <c r="B864" t="s">
        <v>33</v>
      </c>
      <c r="C864">
        <v>3</v>
      </c>
      <c r="D864" t="s">
        <v>57</v>
      </c>
      <c r="E864" t="b">
        <v>0</v>
      </c>
      <c r="F864" s="1">
        <v>0.36249999999999999</v>
      </c>
      <c r="G864" s="1">
        <v>0.47986111111111113</v>
      </c>
      <c r="H864">
        <v>169</v>
      </c>
      <c r="I864" t="b">
        <v>1</v>
      </c>
      <c r="J864" t="b">
        <v>1</v>
      </c>
      <c r="K864" t="b">
        <v>1</v>
      </c>
      <c r="L864" t="s">
        <v>62</v>
      </c>
      <c r="M864">
        <v>30</v>
      </c>
      <c r="N864" t="s">
        <v>29</v>
      </c>
      <c r="O864">
        <v>30</v>
      </c>
      <c r="P864" t="s">
        <v>36</v>
      </c>
      <c r="Q864">
        <v>0</v>
      </c>
      <c r="R864">
        <v>30</v>
      </c>
      <c r="S864" t="s">
        <v>37</v>
      </c>
      <c r="T864" t="s">
        <v>54</v>
      </c>
      <c r="U864">
        <v>32.715699999999998</v>
      </c>
      <c r="V864">
        <v>-117.1611</v>
      </c>
      <c r="W864" s="2">
        <v>45361</v>
      </c>
      <c r="X864">
        <v>5</v>
      </c>
      <c r="Y864" t="b">
        <v>0</v>
      </c>
      <c r="Z864" s="2">
        <v>45834</v>
      </c>
      <c r="AA864" t="str">
        <f t="shared" si="131"/>
        <v>30–39</v>
      </c>
      <c r="AB864" t="str">
        <f t="shared" si="132"/>
        <v>30–39</v>
      </c>
      <c r="AC864" t="str">
        <f t="shared" si="133"/>
        <v/>
      </c>
      <c r="AD864" t="str">
        <f t="shared" si="134"/>
        <v/>
      </c>
      <c r="AE864" t="str">
        <f t="shared" si="135"/>
        <v>Wednesday</v>
      </c>
      <c r="AF864" t="str">
        <f t="shared" si="136"/>
        <v>Thursday</v>
      </c>
      <c r="AG864" t="str">
        <f t="shared" si="137"/>
        <v/>
      </c>
      <c r="AH864" t="str">
        <f t="shared" si="138"/>
        <v>Saturday</v>
      </c>
      <c r="AI864" t="str">
        <f t="shared" si="139"/>
        <v/>
      </c>
      <c r="AJ864" t="str">
        <f>LEFT(Table1[[#This Row],[membership_type]],2)&amp;TEXT(Table1[[#This Row],[age]],"00")&amp;"-"&amp;TEXT(ROW(),"000")</f>
        <v>St36-864</v>
      </c>
      <c r="AK864" t="str">
        <f>LEFT(Table1[[#This Row],[membership_type]],1)&amp;TEXT(MATCH(Table1[[#This Row],[membership_type]],Table1[membership_type],0),"00")</f>
        <v>S02</v>
      </c>
      <c r="AL864" t="str">
        <f>LEFT(Table1[[#This Row],[discount_type]],1)&amp;TEXT(ROUND(Table1[[#This Row],[discount_rate]]*100,0),"00")</f>
        <v>N00</v>
      </c>
      <c r="AM864" t="str" cm="1">
        <f t="array" ref="AM864">TEXT(SUMPRODUCT(CODE(MID(Table1[[#This Row],[home_gym_location]],_xlfn.SEQUENCE(LEN(Table1[[#This Row],[home_gym_location]])),1))),"00000")</f>
        <v>01018</v>
      </c>
      <c r="AN86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64" t="str">
        <f>LEFT(_xlfn.TEXTBEFORE(Table1[[#This Row],[Location Identifier]],"-"),3) &amp; "-" &amp; _xlfn.TEXTAFTER(Table1[[#This Row],[Location Identifier]],"-")</f>
        <v>SAN-008</v>
      </c>
      <c r="AP864" s="9">
        <f t="shared" ca="1" si="130"/>
        <v>45869</v>
      </c>
    </row>
    <row r="865" spans="1:42" x14ac:dyDescent="0.25">
      <c r="A865">
        <v>27</v>
      </c>
      <c r="B865" t="s">
        <v>42</v>
      </c>
      <c r="C865">
        <v>2</v>
      </c>
      <c r="D865" t="s">
        <v>73</v>
      </c>
      <c r="E865" t="b">
        <v>1</v>
      </c>
      <c r="F865" s="1">
        <v>0.4826388888888889</v>
      </c>
      <c r="G865" s="1">
        <v>0.56527777777777777</v>
      </c>
      <c r="H865">
        <v>119</v>
      </c>
      <c r="I865" t="b">
        <v>1</v>
      </c>
      <c r="J865" t="b">
        <v>0</v>
      </c>
      <c r="K865" t="b">
        <v>1</v>
      </c>
      <c r="L865" t="s">
        <v>28</v>
      </c>
      <c r="M865">
        <v>20</v>
      </c>
      <c r="N865" t="s">
        <v>29</v>
      </c>
      <c r="O865">
        <v>20</v>
      </c>
      <c r="P865" t="s">
        <v>30</v>
      </c>
      <c r="Q865">
        <v>0.05</v>
      </c>
      <c r="R865">
        <v>19</v>
      </c>
      <c r="S865" t="s">
        <v>44</v>
      </c>
      <c r="T865" t="s">
        <v>41</v>
      </c>
      <c r="U865">
        <v>37.804400000000001</v>
      </c>
      <c r="V865">
        <v>-122.27119999999999</v>
      </c>
      <c r="W865" s="2">
        <v>45404</v>
      </c>
      <c r="X865">
        <v>0</v>
      </c>
      <c r="Y865" t="b">
        <v>0</v>
      </c>
      <c r="Z865" s="2">
        <v>45836</v>
      </c>
      <c r="AA865" t="str">
        <f t="shared" si="131"/>
        <v>20–29</v>
      </c>
      <c r="AB865" t="str">
        <f t="shared" si="132"/>
        <v>20–29</v>
      </c>
      <c r="AC865" t="str">
        <f t="shared" si="133"/>
        <v/>
      </c>
      <c r="AD865" t="str">
        <f t="shared" si="134"/>
        <v>Tuesday</v>
      </c>
      <c r="AE865" t="str">
        <f t="shared" si="135"/>
        <v/>
      </c>
      <c r="AF865" t="str">
        <f t="shared" si="136"/>
        <v/>
      </c>
      <c r="AG865" t="str">
        <f t="shared" si="137"/>
        <v>Friday</v>
      </c>
      <c r="AH865" t="str">
        <f t="shared" si="138"/>
        <v/>
      </c>
      <c r="AI865" t="str">
        <f t="shared" si="139"/>
        <v/>
      </c>
      <c r="AJ865" t="str">
        <f>LEFT(Table1[[#This Row],[membership_type]],2)&amp;TEXT(Table1[[#This Row],[age]],"00")&amp;"-"&amp;TEXT(ROW(),"000")</f>
        <v>Ba27-865</v>
      </c>
      <c r="AK865" t="str">
        <f>LEFT(Table1[[#This Row],[membership_type]],1)&amp;TEXT(MATCH(Table1[[#This Row],[membership_type]],Table1[membership_type],0),"00")</f>
        <v>B04</v>
      </c>
      <c r="AL865" t="str">
        <f>LEFT(Table1[[#This Row],[discount_type]],1)&amp;TEXT(ROUND(Table1[[#This Row],[discount_rate]]*100,0),"00")</f>
        <v>P05</v>
      </c>
      <c r="AM865" t="str" cm="1">
        <f t="array" ref="AM865">TEXT(SUMPRODUCT(CODE(MID(Table1[[#This Row],[home_gym_location]],_xlfn.SEQUENCE(LEN(Table1[[#This Row],[home_gym_location]])),1))),"00000")</f>
        <v>00906</v>
      </c>
      <c r="AN865" t="str">
        <f>UPPER(_xlfn.TEXTBEFORE(Table1[[#This Row],[home_gym_location]],","))&amp;"-"&amp;TEXT(MATCH(Table1[[#This Row],[home_gym_location]],_xlfn._xlws.SORT(_xlfn.UNIQUE(Table1[home_gym_location])),0),"000")</f>
        <v>OAKLAND-006</v>
      </c>
      <c r="AO865" t="str">
        <f>LEFT(_xlfn.TEXTBEFORE(Table1[[#This Row],[Location Identifier]],"-"),3) &amp; "-" &amp; _xlfn.TEXTAFTER(Table1[[#This Row],[Location Identifier]],"-")</f>
        <v>OAK-006</v>
      </c>
      <c r="AP865" s="9">
        <f t="shared" ca="1" si="130"/>
        <v>45869</v>
      </c>
    </row>
    <row r="866" spans="1:42" x14ac:dyDescent="0.25">
      <c r="A866">
        <v>12</v>
      </c>
      <c r="B866" t="s">
        <v>33</v>
      </c>
      <c r="C866">
        <v>3</v>
      </c>
      <c r="D866" t="s">
        <v>89</v>
      </c>
      <c r="E866" t="b">
        <v>0</v>
      </c>
      <c r="F866" s="1">
        <v>0.37430555555555556</v>
      </c>
      <c r="G866" s="1">
        <v>0.43472222222222223</v>
      </c>
      <c r="H866">
        <v>87</v>
      </c>
      <c r="I866" t="b">
        <v>0</v>
      </c>
      <c r="J866" t="b">
        <v>1</v>
      </c>
      <c r="K866" t="b">
        <v>0</v>
      </c>
      <c r="L866" t="s">
        <v>35</v>
      </c>
      <c r="M866">
        <v>30</v>
      </c>
      <c r="N866" t="s">
        <v>64</v>
      </c>
      <c r="O866">
        <v>22.5</v>
      </c>
      <c r="P866" t="s">
        <v>74</v>
      </c>
      <c r="Q866">
        <v>0.15</v>
      </c>
      <c r="R866">
        <v>19.125</v>
      </c>
      <c r="S866" t="s">
        <v>37</v>
      </c>
      <c r="T866" t="s">
        <v>59</v>
      </c>
      <c r="U866">
        <v>37.774900000000002</v>
      </c>
      <c r="V866">
        <v>-122.4194</v>
      </c>
      <c r="W866" s="2">
        <v>45234</v>
      </c>
      <c r="X866">
        <v>3</v>
      </c>
      <c r="Y866" t="b">
        <v>1</v>
      </c>
      <c r="Z866" s="2">
        <v>45827</v>
      </c>
      <c r="AA866" t="str">
        <f t="shared" si="131"/>
        <v>10–19</v>
      </c>
      <c r="AB866" t="str">
        <f t="shared" si="132"/>
        <v>Under 16</v>
      </c>
      <c r="AC866" t="str">
        <f t="shared" si="133"/>
        <v>Monday</v>
      </c>
      <c r="AD866" t="str">
        <f t="shared" si="134"/>
        <v>Tuesday</v>
      </c>
      <c r="AE866" t="str">
        <f t="shared" si="135"/>
        <v/>
      </c>
      <c r="AF866" t="str">
        <f t="shared" si="136"/>
        <v/>
      </c>
      <c r="AG866" t="str">
        <f t="shared" si="137"/>
        <v/>
      </c>
      <c r="AH866" t="str">
        <f t="shared" si="138"/>
        <v>Saturday</v>
      </c>
      <c r="AI866" t="str">
        <f t="shared" si="139"/>
        <v/>
      </c>
      <c r="AJ866" t="str">
        <f>LEFT(Table1[[#This Row],[membership_type]],2)&amp;TEXT(Table1[[#This Row],[age]],"00")&amp;"-"&amp;TEXT(ROW(),"000")</f>
        <v>St12-866</v>
      </c>
      <c r="AK866" t="str">
        <f>LEFT(Table1[[#This Row],[membership_type]],1)&amp;TEXT(MATCH(Table1[[#This Row],[membership_type]],Table1[membership_type],0),"00")</f>
        <v>S02</v>
      </c>
      <c r="AL866" t="str">
        <f>LEFT(Table1[[#This Row],[discount_type]],1)&amp;TEXT(ROUND(Table1[[#This Row],[discount_rate]]*100,0),"00")</f>
        <v>S15</v>
      </c>
      <c r="AM866" t="str" cm="1">
        <f t="array" ref="AM866">TEXT(SUMPRODUCT(CODE(MID(Table1[[#This Row],[home_gym_location]],_xlfn.SEQUENCE(LEN(Table1[[#This Row],[home_gym_location]])),1))),"00000")</f>
        <v>01450</v>
      </c>
      <c r="AN86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66" t="str">
        <f>LEFT(_xlfn.TEXTBEFORE(Table1[[#This Row],[Location Identifier]],"-"),3) &amp; "-" &amp; _xlfn.TEXTAFTER(Table1[[#This Row],[Location Identifier]],"-")</f>
        <v>SAN-009</v>
      </c>
      <c r="AP866" s="9">
        <f t="shared" ca="1" si="130"/>
        <v>45869</v>
      </c>
    </row>
    <row r="867" spans="1:42" x14ac:dyDescent="0.25">
      <c r="A867">
        <v>14</v>
      </c>
      <c r="B867" t="s">
        <v>33</v>
      </c>
      <c r="C867">
        <v>3</v>
      </c>
      <c r="D867" t="s">
        <v>55</v>
      </c>
      <c r="E867" t="b">
        <v>1</v>
      </c>
      <c r="F867" s="1">
        <v>0.58263888888888893</v>
      </c>
      <c r="G867" s="1">
        <v>0.69513888888888886</v>
      </c>
      <c r="H867">
        <v>162</v>
      </c>
      <c r="I867" t="b">
        <v>1</v>
      </c>
      <c r="J867" t="b">
        <v>0</v>
      </c>
      <c r="K867" t="b">
        <v>1</v>
      </c>
      <c r="L867" t="s">
        <v>28</v>
      </c>
      <c r="M867">
        <v>30</v>
      </c>
      <c r="N867" t="s">
        <v>64</v>
      </c>
      <c r="O867">
        <v>22.5</v>
      </c>
      <c r="P867" t="s">
        <v>40</v>
      </c>
      <c r="Q867">
        <v>0.1</v>
      </c>
      <c r="R867">
        <v>20.25</v>
      </c>
      <c r="S867" t="s">
        <v>37</v>
      </c>
      <c r="T867" t="s">
        <v>45</v>
      </c>
      <c r="U867">
        <v>33.836599999999997</v>
      </c>
      <c r="V867">
        <v>-117.9143</v>
      </c>
      <c r="W867" s="2">
        <v>45665</v>
      </c>
      <c r="X867">
        <v>0</v>
      </c>
      <c r="Y867" t="b">
        <v>1</v>
      </c>
      <c r="Z867" s="2">
        <v>45851</v>
      </c>
      <c r="AA867" t="str">
        <f t="shared" si="131"/>
        <v>10–19</v>
      </c>
      <c r="AB867" t="str">
        <f t="shared" si="132"/>
        <v>Under 16</v>
      </c>
      <c r="AC867" t="str">
        <f t="shared" si="133"/>
        <v/>
      </c>
      <c r="AD867" t="str">
        <f t="shared" si="134"/>
        <v/>
      </c>
      <c r="AE867" t="str">
        <f t="shared" si="135"/>
        <v/>
      </c>
      <c r="AF867" t="str">
        <f t="shared" si="136"/>
        <v>Thursday</v>
      </c>
      <c r="AG867" t="str">
        <f t="shared" si="137"/>
        <v>Friday</v>
      </c>
      <c r="AH867" t="str">
        <f t="shared" si="138"/>
        <v/>
      </c>
      <c r="AI867" t="str">
        <f t="shared" si="139"/>
        <v>Sunday</v>
      </c>
      <c r="AJ867" t="str">
        <f>LEFT(Table1[[#This Row],[membership_type]],2)&amp;TEXT(Table1[[#This Row],[age]],"00")&amp;"-"&amp;TEXT(ROW(),"000")</f>
        <v>St14-867</v>
      </c>
      <c r="AK867" t="str">
        <f>LEFT(Table1[[#This Row],[membership_type]],1)&amp;TEXT(MATCH(Table1[[#This Row],[membership_type]],Table1[membership_type],0),"00")</f>
        <v>S02</v>
      </c>
      <c r="AL867" t="str">
        <f>LEFT(Table1[[#This Row],[discount_type]],1)&amp;TEXT(ROUND(Table1[[#This Row],[discount_rate]]*100,0),"00")</f>
        <v>L10</v>
      </c>
      <c r="AM867" t="str" cm="1">
        <f t="array" ref="AM867">TEXT(SUMPRODUCT(CODE(MID(Table1[[#This Row],[home_gym_location]],_xlfn.SEQUENCE(LEN(Table1[[#This Row],[home_gym_location]])),1))),"00000")</f>
        <v>00899</v>
      </c>
      <c r="AN867" t="str">
        <f>UPPER(_xlfn.TEXTBEFORE(Table1[[#This Row],[home_gym_location]],","))&amp;"-"&amp;TEXT(MATCH(Table1[[#This Row],[home_gym_location]],_xlfn._xlws.SORT(_xlfn.UNIQUE(Table1[home_gym_location])),0),"000")</f>
        <v>ANAHEIM-001</v>
      </c>
      <c r="AO867" t="str">
        <f>LEFT(_xlfn.TEXTBEFORE(Table1[[#This Row],[Location Identifier]],"-"),3) &amp; "-" &amp; _xlfn.TEXTAFTER(Table1[[#This Row],[Location Identifier]],"-")</f>
        <v>ANA-001</v>
      </c>
      <c r="AP867" s="9">
        <f t="shared" ca="1" si="130"/>
        <v>45869</v>
      </c>
    </row>
    <row r="868" spans="1:42" x14ac:dyDescent="0.25">
      <c r="A868">
        <v>46</v>
      </c>
      <c r="B868" t="s">
        <v>33</v>
      </c>
      <c r="C868">
        <v>3</v>
      </c>
      <c r="D868" t="s">
        <v>142</v>
      </c>
      <c r="E868" t="b">
        <v>1</v>
      </c>
      <c r="F868" s="1">
        <v>0.5625</v>
      </c>
      <c r="G868" s="1">
        <v>0.60902777777777772</v>
      </c>
      <c r="H868">
        <v>67</v>
      </c>
      <c r="I868" t="b">
        <v>0</v>
      </c>
      <c r="J868" t="b">
        <v>1</v>
      </c>
      <c r="K868" t="b">
        <v>0</v>
      </c>
      <c r="L868" t="s">
        <v>47</v>
      </c>
      <c r="M868">
        <v>30</v>
      </c>
      <c r="N868" t="s">
        <v>29</v>
      </c>
      <c r="O868">
        <v>30</v>
      </c>
      <c r="P868" t="s">
        <v>36</v>
      </c>
      <c r="Q868">
        <v>0</v>
      </c>
      <c r="R868">
        <v>30</v>
      </c>
      <c r="S868" t="s">
        <v>37</v>
      </c>
      <c r="T868" t="s">
        <v>59</v>
      </c>
      <c r="U868">
        <v>37.774900000000002</v>
      </c>
      <c r="V868">
        <v>-122.4194</v>
      </c>
      <c r="W868" s="2">
        <v>45637</v>
      </c>
      <c r="X868">
        <v>1</v>
      </c>
      <c r="Y868" t="b">
        <v>1</v>
      </c>
      <c r="Z868" s="2">
        <v>45850</v>
      </c>
      <c r="AA868" t="str">
        <f t="shared" si="131"/>
        <v>40–49</v>
      </c>
      <c r="AB868" t="str">
        <f t="shared" si="132"/>
        <v>40–49</v>
      </c>
      <c r="AC868" t="str">
        <f t="shared" si="133"/>
        <v>Monday</v>
      </c>
      <c r="AD868" t="str">
        <f t="shared" si="134"/>
        <v/>
      </c>
      <c r="AE868" t="str">
        <f t="shared" si="135"/>
        <v>Wednesday</v>
      </c>
      <c r="AF868" t="str">
        <f t="shared" si="136"/>
        <v/>
      </c>
      <c r="AG868" t="str">
        <f t="shared" si="137"/>
        <v/>
      </c>
      <c r="AH868" t="str">
        <f t="shared" si="138"/>
        <v/>
      </c>
      <c r="AI868" t="str">
        <f t="shared" si="139"/>
        <v>Sunday</v>
      </c>
      <c r="AJ868" t="str">
        <f>LEFT(Table1[[#This Row],[membership_type]],2)&amp;TEXT(Table1[[#This Row],[age]],"00")&amp;"-"&amp;TEXT(ROW(),"000")</f>
        <v>St46-868</v>
      </c>
      <c r="AK868" t="str">
        <f>LEFT(Table1[[#This Row],[membership_type]],1)&amp;TEXT(MATCH(Table1[[#This Row],[membership_type]],Table1[membership_type],0),"00")</f>
        <v>S02</v>
      </c>
      <c r="AL868" t="str">
        <f>LEFT(Table1[[#This Row],[discount_type]],1)&amp;TEXT(ROUND(Table1[[#This Row],[discount_rate]]*100,0),"00")</f>
        <v>N00</v>
      </c>
      <c r="AM868" t="str" cm="1">
        <f t="array" ref="AM868">TEXT(SUMPRODUCT(CODE(MID(Table1[[#This Row],[home_gym_location]],_xlfn.SEQUENCE(LEN(Table1[[#This Row],[home_gym_location]])),1))),"00000")</f>
        <v>01450</v>
      </c>
      <c r="AN8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68" t="str">
        <f>LEFT(_xlfn.TEXTBEFORE(Table1[[#This Row],[Location Identifier]],"-"),3) &amp; "-" &amp; _xlfn.TEXTAFTER(Table1[[#This Row],[Location Identifier]],"-")</f>
        <v>SAN-009</v>
      </c>
      <c r="AP868" s="9">
        <f t="shared" ca="1" si="130"/>
        <v>45869</v>
      </c>
    </row>
    <row r="869" spans="1:42" x14ac:dyDescent="0.25">
      <c r="A869">
        <v>14</v>
      </c>
      <c r="B869" t="s">
        <v>33</v>
      </c>
      <c r="C869">
        <v>2</v>
      </c>
      <c r="D869" t="s">
        <v>88</v>
      </c>
      <c r="E869" t="b">
        <v>0</v>
      </c>
      <c r="F869" s="1">
        <v>0.40694444444444444</v>
      </c>
      <c r="G869" s="1">
        <v>0.45555555555555555</v>
      </c>
      <c r="H869">
        <v>70</v>
      </c>
      <c r="I869" t="b">
        <v>0</v>
      </c>
      <c r="J869" t="b">
        <v>0</v>
      </c>
      <c r="K869" t="b">
        <v>1</v>
      </c>
      <c r="L869" t="s">
        <v>28</v>
      </c>
      <c r="M869">
        <v>30</v>
      </c>
      <c r="N869" t="s">
        <v>78</v>
      </c>
      <c r="O869">
        <v>27</v>
      </c>
      <c r="P869" t="s">
        <v>36</v>
      </c>
      <c r="Q869">
        <v>0</v>
      </c>
      <c r="R869">
        <v>27</v>
      </c>
      <c r="S869" t="s">
        <v>37</v>
      </c>
      <c r="T869" t="s">
        <v>45</v>
      </c>
      <c r="U869">
        <v>33.836599999999997</v>
      </c>
      <c r="V869">
        <v>-117.9143</v>
      </c>
      <c r="W869" s="2">
        <v>44913</v>
      </c>
      <c r="X869">
        <v>0</v>
      </c>
      <c r="Y869" t="b">
        <v>0</v>
      </c>
      <c r="Z869" s="2">
        <v>45809</v>
      </c>
      <c r="AA869" t="str">
        <f t="shared" si="131"/>
        <v>10–19</v>
      </c>
      <c r="AB869" t="str">
        <f t="shared" si="132"/>
        <v>Under 16</v>
      </c>
      <c r="AC869" t="str">
        <f t="shared" si="133"/>
        <v>Monday</v>
      </c>
      <c r="AD869" t="str">
        <f t="shared" si="134"/>
        <v/>
      </c>
      <c r="AE869" t="str">
        <f t="shared" si="135"/>
        <v>Wednesday</v>
      </c>
      <c r="AF869" t="str">
        <f t="shared" si="136"/>
        <v/>
      </c>
      <c r="AG869" t="str">
        <f t="shared" si="137"/>
        <v/>
      </c>
      <c r="AH869" t="str">
        <f t="shared" si="138"/>
        <v/>
      </c>
      <c r="AI869" t="str">
        <f t="shared" si="139"/>
        <v/>
      </c>
      <c r="AJ869" t="str">
        <f>LEFT(Table1[[#This Row],[membership_type]],2)&amp;TEXT(Table1[[#This Row],[age]],"00")&amp;"-"&amp;TEXT(ROW(),"000")</f>
        <v>St14-869</v>
      </c>
      <c r="AK869" t="str">
        <f>LEFT(Table1[[#This Row],[membership_type]],1)&amp;TEXT(MATCH(Table1[[#This Row],[membership_type]],Table1[membership_type],0),"00")</f>
        <v>S02</v>
      </c>
      <c r="AL869" t="str">
        <f>LEFT(Table1[[#This Row],[discount_type]],1)&amp;TEXT(ROUND(Table1[[#This Row],[discount_rate]]*100,0),"00")</f>
        <v>N00</v>
      </c>
      <c r="AM869" t="str" cm="1">
        <f t="array" ref="AM869">TEXT(SUMPRODUCT(CODE(MID(Table1[[#This Row],[home_gym_location]],_xlfn.SEQUENCE(LEN(Table1[[#This Row],[home_gym_location]])),1))),"00000")</f>
        <v>00899</v>
      </c>
      <c r="AN869" t="str">
        <f>UPPER(_xlfn.TEXTBEFORE(Table1[[#This Row],[home_gym_location]],","))&amp;"-"&amp;TEXT(MATCH(Table1[[#This Row],[home_gym_location]],_xlfn._xlws.SORT(_xlfn.UNIQUE(Table1[home_gym_location])),0),"000")</f>
        <v>ANAHEIM-001</v>
      </c>
      <c r="AO869" t="str">
        <f>LEFT(_xlfn.TEXTBEFORE(Table1[[#This Row],[Location Identifier]],"-"),3) &amp; "-" &amp; _xlfn.TEXTAFTER(Table1[[#This Row],[Location Identifier]],"-")</f>
        <v>ANA-001</v>
      </c>
      <c r="AP869" s="9">
        <f t="shared" ca="1" si="130"/>
        <v>45869</v>
      </c>
    </row>
    <row r="870" spans="1:42" x14ac:dyDescent="0.25">
      <c r="A870">
        <v>13</v>
      </c>
      <c r="B870" t="s">
        <v>26</v>
      </c>
      <c r="C870">
        <v>2</v>
      </c>
      <c r="D870" t="s">
        <v>43</v>
      </c>
      <c r="E870" t="b">
        <v>0</v>
      </c>
      <c r="F870" s="1">
        <v>0.7270833333333333</v>
      </c>
      <c r="G870" s="1">
        <v>0.8</v>
      </c>
      <c r="H870">
        <v>105</v>
      </c>
      <c r="I870" t="b">
        <v>0</v>
      </c>
      <c r="J870" t="b">
        <v>0</v>
      </c>
      <c r="K870" t="b">
        <v>0</v>
      </c>
      <c r="L870" t="s">
        <v>47</v>
      </c>
      <c r="M870">
        <v>50</v>
      </c>
      <c r="N870" t="s">
        <v>64</v>
      </c>
      <c r="O870">
        <v>37.5</v>
      </c>
      <c r="P870" t="s">
        <v>30</v>
      </c>
      <c r="Q870">
        <v>0.05</v>
      </c>
      <c r="R870">
        <v>35.625</v>
      </c>
      <c r="S870" t="s">
        <v>31</v>
      </c>
      <c r="T870" t="s">
        <v>32</v>
      </c>
      <c r="U870">
        <v>37.338200000000001</v>
      </c>
      <c r="V870">
        <v>-121.88630000000001</v>
      </c>
      <c r="W870" s="2">
        <v>44823</v>
      </c>
      <c r="X870">
        <v>0</v>
      </c>
      <c r="Y870" t="b">
        <v>1</v>
      </c>
      <c r="Z870" s="2">
        <v>45804</v>
      </c>
      <c r="AA870" t="str">
        <f t="shared" si="131"/>
        <v>10–19</v>
      </c>
      <c r="AB870" t="str">
        <f t="shared" si="132"/>
        <v>Under 16</v>
      </c>
      <c r="AC870" t="str">
        <f t="shared" si="133"/>
        <v>Monday</v>
      </c>
      <c r="AD870" t="str">
        <f t="shared" si="134"/>
        <v>Tuesday</v>
      </c>
      <c r="AE870" t="str">
        <f t="shared" si="135"/>
        <v/>
      </c>
      <c r="AF870" t="str">
        <f t="shared" si="136"/>
        <v/>
      </c>
      <c r="AG870" t="str">
        <f t="shared" si="137"/>
        <v/>
      </c>
      <c r="AH870" t="str">
        <f t="shared" si="138"/>
        <v/>
      </c>
      <c r="AI870" t="str">
        <f t="shared" si="139"/>
        <v/>
      </c>
      <c r="AJ870" t="str">
        <f>LEFT(Table1[[#This Row],[membership_type]],2)&amp;TEXT(Table1[[#This Row],[age]],"00")&amp;"-"&amp;TEXT(ROW(),"000")</f>
        <v>Pr13-870</v>
      </c>
      <c r="AK870" t="str">
        <f>LEFT(Table1[[#This Row],[membership_type]],1)&amp;TEXT(MATCH(Table1[[#This Row],[membership_type]],Table1[membership_type],0),"00")</f>
        <v>P01</v>
      </c>
      <c r="AL870" t="str">
        <f>LEFT(Table1[[#This Row],[discount_type]],1)&amp;TEXT(ROUND(Table1[[#This Row],[discount_rate]]*100,0),"00")</f>
        <v>P05</v>
      </c>
      <c r="AM870" t="str" cm="1">
        <f t="array" ref="AM870">TEXT(SUMPRODUCT(CODE(MID(Table1[[#This Row],[home_gym_location]],_xlfn.SEQUENCE(LEN(Table1[[#This Row],[home_gym_location]])),1))),"00000")</f>
        <v>00931</v>
      </c>
      <c r="AN87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70" t="str">
        <f>LEFT(_xlfn.TEXTBEFORE(Table1[[#This Row],[Location Identifier]],"-"),3) &amp; "-" &amp; _xlfn.TEXTAFTER(Table1[[#This Row],[Location Identifier]],"-")</f>
        <v>SAN-010</v>
      </c>
      <c r="AP870" s="9">
        <f t="shared" ca="1" si="130"/>
        <v>45869</v>
      </c>
    </row>
    <row r="871" spans="1:42" x14ac:dyDescent="0.25">
      <c r="A871">
        <v>15</v>
      </c>
      <c r="B871" t="s">
        <v>33</v>
      </c>
      <c r="C871">
        <v>4</v>
      </c>
      <c r="D871" t="s">
        <v>99</v>
      </c>
      <c r="E871" t="b">
        <v>0</v>
      </c>
      <c r="F871" s="1">
        <v>0.58750000000000002</v>
      </c>
      <c r="G871" s="1">
        <v>0.66249999999999998</v>
      </c>
      <c r="H871">
        <v>108</v>
      </c>
      <c r="I871" t="b">
        <v>1</v>
      </c>
      <c r="J871" t="b">
        <v>0</v>
      </c>
      <c r="K871" t="b">
        <v>1</v>
      </c>
      <c r="L871" t="s">
        <v>28</v>
      </c>
      <c r="M871">
        <v>30</v>
      </c>
      <c r="N871" t="s">
        <v>29</v>
      </c>
      <c r="O871">
        <v>30</v>
      </c>
      <c r="P871" t="s">
        <v>36</v>
      </c>
      <c r="Q871">
        <v>0</v>
      </c>
      <c r="R871">
        <v>30</v>
      </c>
      <c r="S871" t="s">
        <v>37</v>
      </c>
      <c r="T871" t="s">
        <v>41</v>
      </c>
      <c r="U871">
        <v>37.804400000000001</v>
      </c>
      <c r="V871">
        <v>-122.27119999999999</v>
      </c>
      <c r="W871" s="2">
        <v>45433</v>
      </c>
      <c r="X871">
        <v>0</v>
      </c>
      <c r="Y871" t="b">
        <v>0</v>
      </c>
      <c r="Z871" s="2">
        <v>45838</v>
      </c>
      <c r="AA871" t="str">
        <f t="shared" si="131"/>
        <v>10–19</v>
      </c>
      <c r="AB871" t="str">
        <f t="shared" si="132"/>
        <v>Under 16</v>
      </c>
      <c r="AC871" t="str">
        <f t="shared" si="133"/>
        <v/>
      </c>
      <c r="AD871" t="str">
        <f t="shared" si="134"/>
        <v/>
      </c>
      <c r="AE871" t="str">
        <f t="shared" si="135"/>
        <v>Wednesday</v>
      </c>
      <c r="AF871" t="str">
        <f t="shared" si="136"/>
        <v/>
      </c>
      <c r="AG871" t="str">
        <f t="shared" si="137"/>
        <v>Friday</v>
      </c>
      <c r="AH871" t="str">
        <f t="shared" si="138"/>
        <v>Saturday</v>
      </c>
      <c r="AI871" t="str">
        <f t="shared" si="139"/>
        <v>Sunday</v>
      </c>
      <c r="AJ871" t="str">
        <f>LEFT(Table1[[#This Row],[membership_type]],2)&amp;TEXT(Table1[[#This Row],[age]],"00")&amp;"-"&amp;TEXT(ROW(),"000")</f>
        <v>St15-871</v>
      </c>
      <c r="AK871" t="str">
        <f>LEFT(Table1[[#This Row],[membership_type]],1)&amp;TEXT(MATCH(Table1[[#This Row],[membership_type]],Table1[membership_type],0),"00")</f>
        <v>S02</v>
      </c>
      <c r="AL871" t="str">
        <f>LEFT(Table1[[#This Row],[discount_type]],1)&amp;TEXT(ROUND(Table1[[#This Row],[discount_rate]]*100,0),"00")</f>
        <v>N00</v>
      </c>
      <c r="AM871" t="str" cm="1">
        <f t="array" ref="AM871">TEXT(SUMPRODUCT(CODE(MID(Table1[[#This Row],[home_gym_location]],_xlfn.SEQUENCE(LEN(Table1[[#This Row],[home_gym_location]])),1))),"00000")</f>
        <v>00906</v>
      </c>
      <c r="AN871" t="str">
        <f>UPPER(_xlfn.TEXTBEFORE(Table1[[#This Row],[home_gym_location]],","))&amp;"-"&amp;TEXT(MATCH(Table1[[#This Row],[home_gym_location]],_xlfn._xlws.SORT(_xlfn.UNIQUE(Table1[home_gym_location])),0),"000")</f>
        <v>OAKLAND-006</v>
      </c>
      <c r="AO871" t="str">
        <f>LEFT(_xlfn.TEXTBEFORE(Table1[[#This Row],[Location Identifier]],"-"),3) &amp; "-" &amp; _xlfn.TEXTAFTER(Table1[[#This Row],[Location Identifier]],"-")</f>
        <v>OAK-006</v>
      </c>
      <c r="AP871" s="9">
        <f t="shared" ca="1" si="130"/>
        <v>45869</v>
      </c>
    </row>
    <row r="872" spans="1:42" x14ac:dyDescent="0.25">
      <c r="A872">
        <v>25</v>
      </c>
      <c r="B872" t="s">
        <v>26</v>
      </c>
      <c r="C872">
        <v>2</v>
      </c>
      <c r="D872" t="s">
        <v>130</v>
      </c>
      <c r="E872" t="b">
        <v>0</v>
      </c>
      <c r="F872" s="1">
        <v>0.6333333333333333</v>
      </c>
      <c r="G872" s="1">
        <v>0.6645833333333333</v>
      </c>
      <c r="H872">
        <v>45</v>
      </c>
      <c r="I872" t="b">
        <v>1</v>
      </c>
      <c r="J872" t="b">
        <v>1</v>
      </c>
      <c r="K872" t="b">
        <v>0</v>
      </c>
      <c r="L872" t="s">
        <v>28</v>
      </c>
      <c r="M872">
        <v>50</v>
      </c>
      <c r="N872" t="s">
        <v>64</v>
      </c>
      <c r="O872">
        <v>37.5</v>
      </c>
      <c r="P872" t="s">
        <v>40</v>
      </c>
      <c r="Q872">
        <v>0.1</v>
      </c>
      <c r="R872">
        <v>33.75</v>
      </c>
      <c r="S872" t="s">
        <v>31</v>
      </c>
      <c r="T872" t="s">
        <v>65</v>
      </c>
      <c r="U872">
        <v>33.770099999999999</v>
      </c>
      <c r="V872">
        <v>-118.19370000000001</v>
      </c>
      <c r="W872" s="2">
        <v>45542</v>
      </c>
      <c r="X872">
        <v>3</v>
      </c>
      <c r="Y872" t="b">
        <v>1</v>
      </c>
      <c r="Z872" s="2">
        <v>45844</v>
      </c>
      <c r="AA872" t="str">
        <f t="shared" si="131"/>
        <v>20–29</v>
      </c>
      <c r="AB872" t="str">
        <f t="shared" si="132"/>
        <v>20–29</v>
      </c>
      <c r="AC872" t="str">
        <f t="shared" si="133"/>
        <v>Monday</v>
      </c>
      <c r="AD872" t="str">
        <f t="shared" si="134"/>
        <v/>
      </c>
      <c r="AE872" t="str">
        <f t="shared" si="135"/>
        <v/>
      </c>
      <c r="AF872" t="str">
        <f t="shared" si="136"/>
        <v>Thursday</v>
      </c>
      <c r="AG872" t="str">
        <f t="shared" si="137"/>
        <v/>
      </c>
      <c r="AH872" t="str">
        <f t="shared" si="138"/>
        <v/>
      </c>
      <c r="AI872" t="str">
        <f t="shared" si="139"/>
        <v/>
      </c>
      <c r="AJ872" t="str">
        <f>LEFT(Table1[[#This Row],[membership_type]],2)&amp;TEXT(Table1[[#This Row],[age]],"00")&amp;"-"&amp;TEXT(ROW(),"000")</f>
        <v>Pr25-872</v>
      </c>
      <c r="AK872" t="str">
        <f>LEFT(Table1[[#This Row],[membership_type]],1)&amp;TEXT(MATCH(Table1[[#This Row],[membership_type]],Table1[membership_type],0),"00")</f>
        <v>P01</v>
      </c>
      <c r="AL872" t="str">
        <f>LEFT(Table1[[#This Row],[discount_type]],1)&amp;TEXT(ROUND(Table1[[#This Row],[discount_rate]]*100,0),"00")</f>
        <v>L10</v>
      </c>
      <c r="AM872" t="str" cm="1">
        <f t="array" ref="AM872">TEXT(SUMPRODUCT(CODE(MID(Table1[[#This Row],[home_gym_location]],_xlfn.SEQUENCE(LEN(Table1[[#This Row],[home_gym_location]])),1))),"00000")</f>
        <v>01107</v>
      </c>
      <c r="AN87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72" t="str">
        <f>LEFT(_xlfn.TEXTBEFORE(Table1[[#This Row],[Location Identifier]],"-"),3) &amp; "-" &amp; _xlfn.TEXTAFTER(Table1[[#This Row],[Location Identifier]],"-")</f>
        <v>LON-004</v>
      </c>
      <c r="AP872" s="9">
        <f t="shared" ca="1" si="130"/>
        <v>45869</v>
      </c>
    </row>
    <row r="873" spans="1:42" x14ac:dyDescent="0.25">
      <c r="A873">
        <v>21</v>
      </c>
      <c r="B873" t="s">
        <v>26</v>
      </c>
      <c r="C873">
        <v>1</v>
      </c>
      <c r="D873" t="s">
        <v>49</v>
      </c>
      <c r="E873" t="b">
        <v>1</v>
      </c>
      <c r="F873" s="1">
        <v>0.6069444444444444</v>
      </c>
      <c r="G873" s="1">
        <v>0.62777777777777777</v>
      </c>
      <c r="H873">
        <v>30</v>
      </c>
      <c r="I873" t="b">
        <v>1</v>
      </c>
      <c r="J873" t="b">
        <v>1</v>
      </c>
      <c r="K873" t="b">
        <v>1</v>
      </c>
      <c r="L873" t="s">
        <v>28</v>
      </c>
      <c r="M873">
        <v>50</v>
      </c>
      <c r="N873" t="s">
        <v>64</v>
      </c>
      <c r="O873">
        <v>37.5</v>
      </c>
      <c r="P873" t="s">
        <v>36</v>
      </c>
      <c r="Q873">
        <v>0</v>
      </c>
      <c r="R873">
        <v>37.5</v>
      </c>
      <c r="S873" t="s">
        <v>31</v>
      </c>
      <c r="T873" t="s">
        <v>65</v>
      </c>
      <c r="U873">
        <v>33.770099999999999</v>
      </c>
      <c r="V873">
        <v>-118.19370000000001</v>
      </c>
      <c r="W873" s="2">
        <v>45145</v>
      </c>
      <c r="X873">
        <v>6</v>
      </c>
      <c r="Y873" t="b">
        <v>1</v>
      </c>
      <c r="Z873" s="2">
        <v>45822</v>
      </c>
      <c r="AA873" t="str">
        <f t="shared" si="131"/>
        <v>20–29</v>
      </c>
      <c r="AB873" t="str">
        <f t="shared" si="132"/>
        <v>20–29</v>
      </c>
      <c r="AC873" t="str">
        <f t="shared" si="133"/>
        <v/>
      </c>
      <c r="AD873" t="str">
        <f t="shared" si="134"/>
        <v/>
      </c>
      <c r="AE873" t="str">
        <f t="shared" si="135"/>
        <v/>
      </c>
      <c r="AF873" t="str">
        <f t="shared" si="136"/>
        <v/>
      </c>
      <c r="AG873" t="str">
        <f t="shared" si="137"/>
        <v/>
      </c>
      <c r="AH873" t="str">
        <f t="shared" si="138"/>
        <v/>
      </c>
      <c r="AI873" t="str">
        <f t="shared" si="139"/>
        <v>Sunday</v>
      </c>
      <c r="AJ873" t="str">
        <f>LEFT(Table1[[#This Row],[membership_type]],2)&amp;TEXT(Table1[[#This Row],[age]],"00")&amp;"-"&amp;TEXT(ROW(),"000")</f>
        <v>Pr21-873</v>
      </c>
      <c r="AK873" t="str">
        <f>LEFT(Table1[[#This Row],[membership_type]],1)&amp;TEXT(MATCH(Table1[[#This Row],[membership_type]],Table1[membership_type],0),"00")</f>
        <v>P01</v>
      </c>
      <c r="AL873" t="str">
        <f>LEFT(Table1[[#This Row],[discount_type]],1)&amp;TEXT(ROUND(Table1[[#This Row],[discount_rate]]*100,0),"00")</f>
        <v>N00</v>
      </c>
      <c r="AM873" t="str" cm="1">
        <f t="array" ref="AM873">TEXT(SUMPRODUCT(CODE(MID(Table1[[#This Row],[home_gym_location]],_xlfn.SEQUENCE(LEN(Table1[[#This Row],[home_gym_location]])),1))),"00000")</f>
        <v>01107</v>
      </c>
      <c r="AN87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73" t="str">
        <f>LEFT(_xlfn.TEXTBEFORE(Table1[[#This Row],[Location Identifier]],"-"),3) &amp; "-" &amp; _xlfn.TEXTAFTER(Table1[[#This Row],[Location Identifier]],"-")</f>
        <v>LON-004</v>
      </c>
      <c r="AP873" s="9">
        <f t="shared" ca="1" si="130"/>
        <v>45869</v>
      </c>
    </row>
    <row r="874" spans="1:42" x14ac:dyDescent="0.25">
      <c r="A874">
        <v>15</v>
      </c>
      <c r="B874" t="s">
        <v>33</v>
      </c>
      <c r="C874">
        <v>2</v>
      </c>
      <c r="D874" t="s">
        <v>101</v>
      </c>
      <c r="E874" t="b">
        <v>0</v>
      </c>
      <c r="F874" s="1">
        <v>0.56736111111111109</v>
      </c>
      <c r="G874" s="1">
        <v>0.61805555555555558</v>
      </c>
      <c r="H874">
        <v>73</v>
      </c>
      <c r="I874" t="b">
        <v>1</v>
      </c>
      <c r="J874" t="b">
        <v>1</v>
      </c>
      <c r="K874" t="b">
        <v>1</v>
      </c>
      <c r="L874" t="s">
        <v>62</v>
      </c>
      <c r="M874">
        <v>30</v>
      </c>
      <c r="N874" t="s">
        <v>64</v>
      </c>
      <c r="O874">
        <v>22.5</v>
      </c>
      <c r="P874" t="s">
        <v>30</v>
      </c>
      <c r="Q874">
        <v>0.05</v>
      </c>
      <c r="R874">
        <v>21.375</v>
      </c>
      <c r="S874" t="s">
        <v>37</v>
      </c>
      <c r="T874" t="s">
        <v>54</v>
      </c>
      <c r="U874">
        <v>32.715699999999998</v>
      </c>
      <c r="V874">
        <v>-117.1611</v>
      </c>
      <c r="W874" s="2">
        <v>45395</v>
      </c>
      <c r="X874">
        <v>6</v>
      </c>
      <c r="Y874" t="b">
        <v>0</v>
      </c>
      <c r="Z874" s="2">
        <v>45836</v>
      </c>
      <c r="AA874" t="str">
        <f t="shared" si="131"/>
        <v>10–19</v>
      </c>
      <c r="AB874" t="str">
        <f t="shared" si="132"/>
        <v>Under 16</v>
      </c>
      <c r="AC874" t="str">
        <f t="shared" si="133"/>
        <v>Monday</v>
      </c>
      <c r="AD874" t="str">
        <f t="shared" si="134"/>
        <v/>
      </c>
      <c r="AE874" t="str">
        <f t="shared" si="135"/>
        <v/>
      </c>
      <c r="AF874" t="str">
        <f t="shared" si="136"/>
        <v/>
      </c>
      <c r="AG874" t="str">
        <f t="shared" si="137"/>
        <v>Friday</v>
      </c>
      <c r="AH874" t="str">
        <f t="shared" si="138"/>
        <v/>
      </c>
      <c r="AI874" t="str">
        <f t="shared" si="139"/>
        <v/>
      </c>
      <c r="AJ874" t="str">
        <f>LEFT(Table1[[#This Row],[membership_type]],2)&amp;TEXT(Table1[[#This Row],[age]],"00")&amp;"-"&amp;TEXT(ROW(),"000")</f>
        <v>St15-874</v>
      </c>
      <c r="AK874" t="str">
        <f>LEFT(Table1[[#This Row],[membership_type]],1)&amp;TEXT(MATCH(Table1[[#This Row],[membership_type]],Table1[membership_type],0),"00")</f>
        <v>S02</v>
      </c>
      <c r="AL874" t="str">
        <f>LEFT(Table1[[#This Row],[discount_type]],1)&amp;TEXT(ROUND(Table1[[#This Row],[discount_rate]]*100,0),"00")</f>
        <v>P05</v>
      </c>
      <c r="AM874" t="str" cm="1">
        <f t="array" ref="AM874">TEXT(SUMPRODUCT(CODE(MID(Table1[[#This Row],[home_gym_location]],_xlfn.SEQUENCE(LEN(Table1[[#This Row],[home_gym_location]])),1))),"00000")</f>
        <v>01018</v>
      </c>
      <c r="AN87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74" t="str">
        <f>LEFT(_xlfn.TEXTBEFORE(Table1[[#This Row],[Location Identifier]],"-"),3) &amp; "-" &amp; _xlfn.TEXTAFTER(Table1[[#This Row],[Location Identifier]],"-")</f>
        <v>SAN-008</v>
      </c>
      <c r="AP874" s="9">
        <f t="shared" ca="1" si="130"/>
        <v>45869</v>
      </c>
    </row>
    <row r="875" spans="1:42" x14ac:dyDescent="0.25">
      <c r="A875">
        <v>18</v>
      </c>
      <c r="B875" t="s">
        <v>26</v>
      </c>
      <c r="C875">
        <v>4</v>
      </c>
      <c r="D875" t="s">
        <v>39</v>
      </c>
      <c r="E875" t="b">
        <v>0</v>
      </c>
      <c r="F875" s="1">
        <v>0.47430555555555554</v>
      </c>
      <c r="G875" s="1">
        <v>0.5854166666666667</v>
      </c>
      <c r="H875">
        <v>160</v>
      </c>
      <c r="I875" t="b">
        <v>1</v>
      </c>
      <c r="J875" t="b">
        <v>0</v>
      </c>
      <c r="K875" t="b">
        <v>0</v>
      </c>
      <c r="L875" t="s">
        <v>47</v>
      </c>
      <c r="M875">
        <v>50</v>
      </c>
      <c r="N875" t="s">
        <v>64</v>
      </c>
      <c r="O875">
        <v>37.5</v>
      </c>
      <c r="P875" t="s">
        <v>36</v>
      </c>
      <c r="Q875">
        <v>0</v>
      </c>
      <c r="R875">
        <v>37.5</v>
      </c>
      <c r="S875" t="s">
        <v>31</v>
      </c>
      <c r="T875" t="s">
        <v>38</v>
      </c>
      <c r="U875">
        <v>36.7378</v>
      </c>
      <c r="V875">
        <v>-119.7871</v>
      </c>
      <c r="W875" s="2">
        <v>45803</v>
      </c>
      <c r="X875">
        <v>0</v>
      </c>
      <c r="Y875" t="b">
        <v>0</v>
      </c>
      <c r="Z875" s="2">
        <v>45859</v>
      </c>
      <c r="AA875" t="str">
        <f t="shared" si="131"/>
        <v>10–19</v>
      </c>
      <c r="AB875" t="str">
        <f t="shared" si="132"/>
        <v>16–19</v>
      </c>
      <c r="AC875" t="str">
        <f t="shared" si="133"/>
        <v/>
      </c>
      <c r="AD875" t="str">
        <f t="shared" si="134"/>
        <v>Tuesday</v>
      </c>
      <c r="AE875" t="str">
        <f t="shared" si="135"/>
        <v>Wednesday</v>
      </c>
      <c r="AF875" t="str">
        <f t="shared" si="136"/>
        <v>Thursday</v>
      </c>
      <c r="AG875" t="str">
        <f t="shared" si="137"/>
        <v/>
      </c>
      <c r="AH875" t="str">
        <f t="shared" si="138"/>
        <v/>
      </c>
      <c r="AI875" t="str">
        <f t="shared" si="139"/>
        <v>Sunday</v>
      </c>
      <c r="AJ875" t="str">
        <f>LEFT(Table1[[#This Row],[membership_type]],2)&amp;TEXT(Table1[[#This Row],[age]],"00")&amp;"-"&amp;TEXT(ROW(),"000")</f>
        <v>Pr18-875</v>
      </c>
      <c r="AK875" t="str">
        <f>LEFT(Table1[[#This Row],[membership_type]],1)&amp;TEXT(MATCH(Table1[[#This Row],[membership_type]],Table1[membership_type],0),"00")</f>
        <v>P01</v>
      </c>
      <c r="AL875" t="str">
        <f>LEFT(Table1[[#This Row],[discount_type]],1)&amp;TEXT(ROUND(Table1[[#This Row],[discount_rate]]*100,0),"00")</f>
        <v>N00</v>
      </c>
      <c r="AM875" t="str" cm="1">
        <f t="array" ref="AM875">TEXT(SUMPRODUCT(CODE(MID(Table1[[#This Row],[home_gym_location]],_xlfn.SEQUENCE(LEN(Table1[[#This Row],[home_gym_location]])),1))),"00000")</f>
        <v>00829</v>
      </c>
      <c r="AN875" t="str">
        <f>UPPER(_xlfn.TEXTBEFORE(Table1[[#This Row],[home_gym_location]],","))&amp;"-"&amp;TEXT(MATCH(Table1[[#This Row],[home_gym_location]],_xlfn._xlws.SORT(_xlfn.UNIQUE(Table1[home_gym_location])),0),"000")</f>
        <v>FRESNO-003</v>
      </c>
      <c r="AO875" t="str">
        <f>LEFT(_xlfn.TEXTBEFORE(Table1[[#This Row],[Location Identifier]],"-"),3) &amp; "-" &amp; _xlfn.TEXTAFTER(Table1[[#This Row],[Location Identifier]],"-")</f>
        <v>FRE-003</v>
      </c>
      <c r="AP875" s="9">
        <f t="shared" ca="1" si="130"/>
        <v>45869</v>
      </c>
    </row>
    <row r="876" spans="1:42" x14ac:dyDescent="0.25">
      <c r="A876">
        <v>14</v>
      </c>
      <c r="B876" t="s">
        <v>26</v>
      </c>
      <c r="C876">
        <v>3</v>
      </c>
      <c r="D876" t="s">
        <v>90</v>
      </c>
      <c r="E876" t="b">
        <v>0</v>
      </c>
      <c r="F876" s="1">
        <v>0.60833333333333328</v>
      </c>
      <c r="G876" s="1">
        <v>0.63263888888888886</v>
      </c>
      <c r="H876">
        <v>35</v>
      </c>
      <c r="I876" t="b">
        <v>0</v>
      </c>
      <c r="J876" t="b">
        <v>1</v>
      </c>
      <c r="K876" t="b">
        <v>0</v>
      </c>
      <c r="L876" t="s">
        <v>62</v>
      </c>
      <c r="M876">
        <v>50</v>
      </c>
      <c r="N876" t="s">
        <v>64</v>
      </c>
      <c r="O876">
        <v>37.5</v>
      </c>
      <c r="P876" t="s">
        <v>36</v>
      </c>
      <c r="Q876">
        <v>0</v>
      </c>
      <c r="R876">
        <v>37.5</v>
      </c>
      <c r="S876" t="s">
        <v>31</v>
      </c>
      <c r="T876" t="s">
        <v>56</v>
      </c>
      <c r="U876">
        <v>35.3733</v>
      </c>
      <c r="V876">
        <v>-119.0187</v>
      </c>
      <c r="W876" s="2">
        <v>45664</v>
      </c>
      <c r="X876">
        <v>1</v>
      </c>
      <c r="Y876" t="b">
        <v>0</v>
      </c>
      <c r="Z876" s="2">
        <v>45851</v>
      </c>
      <c r="AA876" t="str">
        <f t="shared" si="131"/>
        <v>10–19</v>
      </c>
      <c r="AB876" t="str">
        <f t="shared" si="132"/>
        <v>Under 16</v>
      </c>
      <c r="AC876" t="str">
        <f t="shared" si="133"/>
        <v/>
      </c>
      <c r="AD876" t="str">
        <f t="shared" si="134"/>
        <v>Tuesday</v>
      </c>
      <c r="AE876" t="str">
        <f t="shared" si="135"/>
        <v/>
      </c>
      <c r="AF876" t="str">
        <f t="shared" si="136"/>
        <v/>
      </c>
      <c r="AG876" t="str">
        <f t="shared" si="137"/>
        <v/>
      </c>
      <c r="AH876" t="str">
        <f t="shared" si="138"/>
        <v>Saturday</v>
      </c>
      <c r="AI876" t="str">
        <f t="shared" si="139"/>
        <v>Sunday</v>
      </c>
      <c r="AJ876" t="str">
        <f>LEFT(Table1[[#This Row],[membership_type]],2)&amp;TEXT(Table1[[#This Row],[age]],"00")&amp;"-"&amp;TEXT(ROW(),"000")</f>
        <v>Pr14-876</v>
      </c>
      <c r="AK876" t="str">
        <f>LEFT(Table1[[#This Row],[membership_type]],1)&amp;TEXT(MATCH(Table1[[#This Row],[membership_type]],Table1[membership_type],0),"00")</f>
        <v>P01</v>
      </c>
      <c r="AL876" t="str">
        <f>LEFT(Table1[[#This Row],[discount_type]],1)&amp;TEXT(ROUND(Table1[[#This Row],[discount_rate]]*100,0),"00")</f>
        <v>N00</v>
      </c>
      <c r="AM876" t="str" cm="1">
        <f t="array" ref="AM876">TEXT(SUMPRODUCT(CODE(MID(Table1[[#This Row],[home_gym_location]],_xlfn.SEQUENCE(LEN(Table1[[#This Row],[home_gym_location]])),1))),"00000")</f>
        <v>01324</v>
      </c>
      <c r="AN87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76" t="str">
        <f>LEFT(_xlfn.TEXTBEFORE(Table1[[#This Row],[Location Identifier]],"-"),3) &amp; "-" &amp; _xlfn.TEXTAFTER(Table1[[#This Row],[Location Identifier]],"-")</f>
        <v>BAK-002</v>
      </c>
      <c r="AP876" s="9">
        <f t="shared" ca="1" si="130"/>
        <v>45869</v>
      </c>
    </row>
    <row r="877" spans="1:42" x14ac:dyDescent="0.25">
      <c r="A877">
        <v>45</v>
      </c>
      <c r="B877" t="s">
        <v>33</v>
      </c>
      <c r="C877">
        <v>2</v>
      </c>
      <c r="D877" t="s">
        <v>88</v>
      </c>
      <c r="E877" t="b">
        <v>1</v>
      </c>
      <c r="F877" s="1">
        <v>0.59722222222222221</v>
      </c>
      <c r="G877" s="1">
        <v>0.72222222222222221</v>
      </c>
      <c r="H877">
        <v>180</v>
      </c>
      <c r="I877" t="b">
        <v>1</v>
      </c>
      <c r="J877" t="b">
        <v>1</v>
      </c>
      <c r="K877" t="b">
        <v>1</v>
      </c>
      <c r="L877" t="s">
        <v>62</v>
      </c>
      <c r="M877">
        <v>30</v>
      </c>
      <c r="N877" t="s">
        <v>64</v>
      </c>
      <c r="O877">
        <v>22.5</v>
      </c>
      <c r="P877" t="s">
        <v>40</v>
      </c>
      <c r="Q877">
        <v>0.1</v>
      </c>
      <c r="R877">
        <v>20.25</v>
      </c>
      <c r="S877" t="s">
        <v>37</v>
      </c>
      <c r="T877" t="s">
        <v>45</v>
      </c>
      <c r="U877">
        <v>33.836599999999997</v>
      </c>
      <c r="V877">
        <v>-117.9143</v>
      </c>
      <c r="W877" s="2">
        <v>45068</v>
      </c>
      <c r="X877">
        <v>4</v>
      </c>
      <c r="Y877" t="b">
        <v>0</v>
      </c>
      <c r="Z877" s="2">
        <v>45818</v>
      </c>
      <c r="AA877" t="str">
        <f t="shared" si="131"/>
        <v>40–49</v>
      </c>
      <c r="AB877" t="str">
        <f t="shared" si="132"/>
        <v>40–49</v>
      </c>
      <c r="AC877" t="str">
        <f t="shared" si="133"/>
        <v>Monday</v>
      </c>
      <c r="AD877" t="str">
        <f t="shared" si="134"/>
        <v/>
      </c>
      <c r="AE877" t="str">
        <f t="shared" si="135"/>
        <v>Wednesday</v>
      </c>
      <c r="AF877" t="str">
        <f t="shared" si="136"/>
        <v/>
      </c>
      <c r="AG877" t="str">
        <f t="shared" si="137"/>
        <v/>
      </c>
      <c r="AH877" t="str">
        <f t="shared" si="138"/>
        <v/>
      </c>
      <c r="AI877" t="str">
        <f t="shared" si="139"/>
        <v/>
      </c>
      <c r="AJ877" t="str">
        <f>LEFT(Table1[[#This Row],[membership_type]],2)&amp;TEXT(Table1[[#This Row],[age]],"00")&amp;"-"&amp;TEXT(ROW(),"000")</f>
        <v>St45-877</v>
      </c>
      <c r="AK877" t="str">
        <f>LEFT(Table1[[#This Row],[membership_type]],1)&amp;TEXT(MATCH(Table1[[#This Row],[membership_type]],Table1[membership_type],0),"00")</f>
        <v>S02</v>
      </c>
      <c r="AL877" t="str">
        <f>LEFT(Table1[[#This Row],[discount_type]],1)&amp;TEXT(ROUND(Table1[[#This Row],[discount_rate]]*100,0),"00")</f>
        <v>L10</v>
      </c>
      <c r="AM877" t="str" cm="1">
        <f t="array" ref="AM877">TEXT(SUMPRODUCT(CODE(MID(Table1[[#This Row],[home_gym_location]],_xlfn.SEQUENCE(LEN(Table1[[#This Row],[home_gym_location]])),1))),"00000")</f>
        <v>00899</v>
      </c>
      <c r="AN877" t="str">
        <f>UPPER(_xlfn.TEXTBEFORE(Table1[[#This Row],[home_gym_location]],","))&amp;"-"&amp;TEXT(MATCH(Table1[[#This Row],[home_gym_location]],_xlfn._xlws.SORT(_xlfn.UNIQUE(Table1[home_gym_location])),0),"000")</f>
        <v>ANAHEIM-001</v>
      </c>
      <c r="AO877" t="str">
        <f>LEFT(_xlfn.TEXTBEFORE(Table1[[#This Row],[Location Identifier]],"-"),3) &amp; "-" &amp; _xlfn.TEXTAFTER(Table1[[#This Row],[Location Identifier]],"-")</f>
        <v>ANA-001</v>
      </c>
      <c r="AP877" s="9">
        <f t="shared" ca="1" si="130"/>
        <v>45869</v>
      </c>
    </row>
    <row r="878" spans="1:42" x14ac:dyDescent="0.25">
      <c r="A878">
        <v>40</v>
      </c>
      <c r="B878" t="s">
        <v>26</v>
      </c>
      <c r="C878">
        <v>4</v>
      </c>
      <c r="D878" t="s">
        <v>165</v>
      </c>
      <c r="E878" t="b">
        <v>1</v>
      </c>
      <c r="F878" s="1">
        <v>0.41319444444444442</v>
      </c>
      <c r="G878" s="1">
        <v>0.4465277777777778</v>
      </c>
      <c r="H878">
        <v>48</v>
      </c>
      <c r="I878" t="b">
        <v>0</v>
      </c>
      <c r="J878" t="b">
        <v>0</v>
      </c>
      <c r="K878" t="b">
        <v>1</v>
      </c>
      <c r="L878" t="s">
        <v>35</v>
      </c>
      <c r="M878">
        <v>50</v>
      </c>
      <c r="N878" t="s">
        <v>29</v>
      </c>
      <c r="O878">
        <v>50</v>
      </c>
      <c r="P878" t="s">
        <v>36</v>
      </c>
      <c r="Q878">
        <v>0</v>
      </c>
      <c r="R878">
        <v>50</v>
      </c>
      <c r="S878" t="s">
        <v>31</v>
      </c>
      <c r="T878" t="s">
        <v>38</v>
      </c>
      <c r="U878">
        <v>36.7378</v>
      </c>
      <c r="V878">
        <v>-119.7871</v>
      </c>
      <c r="W878" s="2">
        <v>45129</v>
      </c>
      <c r="X878">
        <v>0</v>
      </c>
      <c r="Y878" t="b">
        <v>0</v>
      </c>
      <c r="Z878" s="2">
        <v>45821</v>
      </c>
      <c r="AA878" t="str">
        <f t="shared" si="131"/>
        <v>40–49</v>
      </c>
      <c r="AB878" t="str">
        <f t="shared" si="132"/>
        <v>40–49</v>
      </c>
      <c r="AC878" t="str">
        <f t="shared" si="133"/>
        <v>Monday</v>
      </c>
      <c r="AD878" t="str">
        <f t="shared" si="134"/>
        <v/>
      </c>
      <c r="AE878" t="str">
        <f t="shared" si="135"/>
        <v>Wednesday</v>
      </c>
      <c r="AF878" t="str">
        <f t="shared" si="136"/>
        <v/>
      </c>
      <c r="AG878" t="str">
        <f t="shared" si="137"/>
        <v/>
      </c>
      <c r="AH878" t="str">
        <f t="shared" si="138"/>
        <v>Saturday</v>
      </c>
      <c r="AI878" t="str">
        <f t="shared" si="139"/>
        <v>Sunday</v>
      </c>
      <c r="AJ878" t="str">
        <f>LEFT(Table1[[#This Row],[membership_type]],2)&amp;TEXT(Table1[[#This Row],[age]],"00")&amp;"-"&amp;TEXT(ROW(),"000")</f>
        <v>Pr40-878</v>
      </c>
      <c r="AK878" t="str">
        <f>LEFT(Table1[[#This Row],[membership_type]],1)&amp;TEXT(MATCH(Table1[[#This Row],[membership_type]],Table1[membership_type],0),"00")</f>
        <v>P01</v>
      </c>
      <c r="AL878" t="str">
        <f>LEFT(Table1[[#This Row],[discount_type]],1)&amp;TEXT(ROUND(Table1[[#This Row],[discount_rate]]*100,0),"00")</f>
        <v>N00</v>
      </c>
      <c r="AM878" t="str" cm="1">
        <f t="array" ref="AM878">TEXT(SUMPRODUCT(CODE(MID(Table1[[#This Row],[home_gym_location]],_xlfn.SEQUENCE(LEN(Table1[[#This Row],[home_gym_location]])),1))),"00000")</f>
        <v>00829</v>
      </c>
      <c r="AN878" t="str">
        <f>UPPER(_xlfn.TEXTBEFORE(Table1[[#This Row],[home_gym_location]],","))&amp;"-"&amp;TEXT(MATCH(Table1[[#This Row],[home_gym_location]],_xlfn._xlws.SORT(_xlfn.UNIQUE(Table1[home_gym_location])),0),"000")</f>
        <v>FRESNO-003</v>
      </c>
      <c r="AO878" t="str">
        <f>LEFT(_xlfn.TEXTBEFORE(Table1[[#This Row],[Location Identifier]],"-"),3) &amp; "-" &amp; _xlfn.TEXTAFTER(Table1[[#This Row],[Location Identifier]],"-")</f>
        <v>FRE-003</v>
      </c>
      <c r="AP878" s="9">
        <f t="shared" ca="1" si="130"/>
        <v>45869</v>
      </c>
    </row>
    <row r="879" spans="1:42" x14ac:dyDescent="0.25">
      <c r="A879">
        <v>22</v>
      </c>
      <c r="B879" t="s">
        <v>26</v>
      </c>
      <c r="C879">
        <v>5</v>
      </c>
      <c r="D879" t="s">
        <v>66</v>
      </c>
      <c r="E879" t="b">
        <v>0</v>
      </c>
      <c r="F879" s="1">
        <v>0.57777777777777772</v>
      </c>
      <c r="G879" s="1">
        <v>0.61319444444444449</v>
      </c>
      <c r="H879">
        <v>51</v>
      </c>
      <c r="I879" t="b">
        <v>0</v>
      </c>
      <c r="J879" t="b">
        <v>0</v>
      </c>
      <c r="K879" t="b">
        <v>1</v>
      </c>
      <c r="L879" t="s">
        <v>62</v>
      </c>
      <c r="M879">
        <v>50</v>
      </c>
      <c r="N879" t="s">
        <v>29</v>
      </c>
      <c r="O879">
        <v>50</v>
      </c>
      <c r="P879" t="s">
        <v>40</v>
      </c>
      <c r="Q879">
        <v>0.1</v>
      </c>
      <c r="R879">
        <v>45</v>
      </c>
      <c r="S879" t="s">
        <v>31</v>
      </c>
      <c r="T879" t="s">
        <v>50</v>
      </c>
      <c r="U879">
        <v>34.052199999999999</v>
      </c>
      <c r="V879">
        <v>-118.2437</v>
      </c>
      <c r="W879" s="2">
        <v>45802</v>
      </c>
      <c r="X879">
        <v>0</v>
      </c>
      <c r="Y879" t="b">
        <v>0</v>
      </c>
      <c r="Z879" s="2">
        <v>45859</v>
      </c>
      <c r="AA879" t="str">
        <f t="shared" si="131"/>
        <v>20–29</v>
      </c>
      <c r="AB879" t="str">
        <f t="shared" si="132"/>
        <v>20–29</v>
      </c>
      <c r="AC879" t="str">
        <f t="shared" si="133"/>
        <v>Monday</v>
      </c>
      <c r="AD879" t="str">
        <f t="shared" si="134"/>
        <v>Tuesday</v>
      </c>
      <c r="AE879" t="str">
        <f t="shared" si="135"/>
        <v>Wednesday</v>
      </c>
      <c r="AF879" t="str">
        <f t="shared" si="136"/>
        <v/>
      </c>
      <c r="AG879" t="str">
        <f t="shared" si="137"/>
        <v>Friday</v>
      </c>
      <c r="AH879" t="str">
        <f t="shared" si="138"/>
        <v/>
      </c>
      <c r="AI879" t="str">
        <f t="shared" si="139"/>
        <v>Sunday</v>
      </c>
      <c r="AJ879" t="str">
        <f>LEFT(Table1[[#This Row],[membership_type]],2)&amp;TEXT(Table1[[#This Row],[age]],"00")&amp;"-"&amp;TEXT(ROW(),"000")</f>
        <v>Pr22-879</v>
      </c>
      <c r="AK879" t="str">
        <f>LEFT(Table1[[#This Row],[membership_type]],1)&amp;TEXT(MATCH(Table1[[#This Row],[membership_type]],Table1[membership_type],0),"00")</f>
        <v>P01</v>
      </c>
      <c r="AL879" t="str">
        <f>LEFT(Table1[[#This Row],[discount_type]],1)&amp;TEXT(ROUND(Table1[[#This Row],[discount_rate]]*100,0),"00")</f>
        <v>L10</v>
      </c>
      <c r="AM879" t="str" cm="1">
        <f t="array" ref="AM879">TEXT(SUMPRODUCT(CODE(MID(Table1[[#This Row],[home_gym_location]],_xlfn.SEQUENCE(LEN(Table1[[#This Row],[home_gym_location]])),1))),"00000")</f>
        <v>01245</v>
      </c>
      <c r="AN87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79" t="str">
        <f>LEFT(_xlfn.TEXTBEFORE(Table1[[#This Row],[Location Identifier]],"-"),3) &amp; "-" &amp; _xlfn.TEXTAFTER(Table1[[#This Row],[Location Identifier]],"-")</f>
        <v>LOS-005</v>
      </c>
      <c r="AP879" s="9">
        <f t="shared" ca="1" si="130"/>
        <v>45869</v>
      </c>
    </row>
    <row r="880" spans="1:42" x14ac:dyDescent="0.25">
      <c r="A880">
        <v>47</v>
      </c>
      <c r="B880" t="s">
        <v>26</v>
      </c>
      <c r="C880">
        <v>1</v>
      </c>
      <c r="D880" t="s">
        <v>71</v>
      </c>
      <c r="E880" t="b">
        <v>1</v>
      </c>
      <c r="F880" s="1">
        <v>0.76041666666666663</v>
      </c>
      <c r="G880" s="1">
        <v>0.83263888888888893</v>
      </c>
      <c r="H880">
        <v>104</v>
      </c>
      <c r="I880" t="b">
        <v>1</v>
      </c>
      <c r="J880" t="b">
        <v>0</v>
      </c>
      <c r="K880" t="b">
        <v>1</v>
      </c>
      <c r="L880" t="s">
        <v>62</v>
      </c>
      <c r="M880">
        <v>50</v>
      </c>
      <c r="N880" t="s">
        <v>29</v>
      </c>
      <c r="O880">
        <v>50</v>
      </c>
      <c r="P880" t="s">
        <v>40</v>
      </c>
      <c r="Q880">
        <v>0.1</v>
      </c>
      <c r="R880">
        <v>45</v>
      </c>
      <c r="S880" t="s">
        <v>31</v>
      </c>
      <c r="T880" t="s">
        <v>54</v>
      </c>
      <c r="U880">
        <v>32.715699999999998</v>
      </c>
      <c r="V880">
        <v>-117.1611</v>
      </c>
      <c r="W880" s="2">
        <v>45594</v>
      </c>
      <c r="X880">
        <v>0</v>
      </c>
      <c r="Y880" t="b">
        <v>0</v>
      </c>
      <c r="Z880" s="2">
        <v>45847</v>
      </c>
      <c r="AA880" t="str">
        <f t="shared" si="131"/>
        <v>40–49</v>
      </c>
      <c r="AB880" t="str">
        <f t="shared" si="132"/>
        <v>40–49</v>
      </c>
      <c r="AC880" t="str">
        <f t="shared" si="133"/>
        <v/>
      </c>
      <c r="AD880" t="str">
        <f t="shared" si="134"/>
        <v>Tuesday</v>
      </c>
      <c r="AE880" t="str">
        <f t="shared" si="135"/>
        <v/>
      </c>
      <c r="AF880" t="str">
        <f t="shared" si="136"/>
        <v/>
      </c>
      <c r="AG880" t="str">
        <f t="shared" si="137"/>
        <v/>
      </c>
      <c r="AH880" t="str">
        <f t="shared" si="138"/>
        <v/>
      </c>
      <c r="AI880" t="str">
        <f t="shared" si="139"/>
        <v/>
      </c>
      <c r="AJ880" t="str">
        <f>LEFT(Table1[[#This Row],[membership_type]],2)&amp;TEXT(Table1[[#This Row],[age]],"00")&amp;"-"&amp;TEXT(ROW(),"000")</f>
        <v>Pr47-880</v>
      </c>
      <c r="AK880" t="str">
        <f>LEFT(Table1[[#This Row],[membership_type]],1)&amp;TEXT(MATCH(Table1[[#This Row],[membership_type]],Table1[membership_type],0),"00")</f>
        <v>P01</v>
      </c>
      <c r="AL880" t="str">
        <f>LEFT(Table1[[#This Row],[discount_type]],1)&amp;TEXT(ROUND(Table1[[#This Row],[discount_rate]]*100,0),"00")</f>
        <v>L10</v>
      </c>
      <c r="AM880" t="str" cm="1">
        <f t="array" ref="AM880">TEXT(SUMPRODUCT(CODE(MID(Table1[[#This Row],[home_gym_location]],_xlfn.SEQUENCE(LEN(Table1[[#This Row],[home_gym_location]])),1))),"00000")</f>
        <v>01018</v>
      </c>
      <c r="AN88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80" t="str">
        <f>LEFT(_xlfn.TEXTBEFORE(Table1[[#This Row],[Location Identifier]],"-"),3) &amp; "-" &amp; _xlfn.TEXTAFTER(Table1[[#This Row],[Location Identifier]],"-")</f>
        <v>SAN-008</v>
      </c>
      <c r="AP880" s="9">
        <f t="shared" ca="1" si="130"/>
        <v>45869</v>
      </c>
    </row>
    <row r="881" spans="1:42" x14ac:dyDescent="0.25">
      <c r="A881">
        <v>30</v>
      </c>
      <c r="B881" t="s">
        <v>33</v>
      </c>
      <c r="C881">
        <v>3</v>
      </c>
      <c r="D881" t="s">
        <v>109</v>
      </c>
      <c r="E881" t="b">
        <v>0</v>
      </c>
      <c r="F881" s="1">
        <v>0.33680555555555558</v>
      </c>
      <c r="G881" s="1">
        <v>0.37916666666666665</v>
      </c>
      <c r="H881">
        <v>61</v>
      </c>
      <c r="I881" t="b">
        <v>1</v>
      </c>
      <c r="J881" t="b">
        <v>1</v>
      </c>
      <c r="K881" t="b">
        <v>0</v>
      </c>
      <c r="L881" t="s">
        <v>47</v>
      </c>
      <c r="M881">
        <v>30</v>
      </c>
      <c r="N881" t="s">
        <v>64</v>
      </c>
      <c r="O881">
        <v>22.5</v>
      </c>
      <c r="P881" t="s">
        <v>30</v>
      </c>
      <c r="Q881">
        <v>0.05</v>
      </c>
      <c r="R881">
        <v>21.375</v>
      </c>
      <c r="S881" t="s">
        <v>37</v>
      </c>
      <c r="T881" t="s">
        <v>65</v>
      </c>
      <c r="U881">
        <v>33.770099999999999</v>
      </c>
      <c r="V881">
        <v>-118.19370000000001</v>
      </c>
      <c r="W881" s="2">
        <v>45584</v>
      </c>
      <c r="X881">
        <v>3</v>
      </c>
      <c r="Y881" t="b">
        <v>0</v>
      </c>
      <c r="Z881" s="2">
        <v>45847</v>
      </c>
      <c r="AA881" t="str">
        <f t="shared" si="131"/>
        <v>30–39</v>
      </c>
      <c r="AB881" t="str">
        <f t="shared" si="132"/>
        <v>30–39</v>
      </c>
      <c r="AC881" t="str">
        <f t="shared" si="133"/>
        <v/>
      </c>
      <c r="AD881" t="str">
        <f t="shared" si="134"/>
        <v>Tuesday</v>
      </c>
      <c r="AE881" t="str">
        <f t="shared" si="135"/>
        <v/>
      </c>
      <c r="AF881" t="str">
        <f t="shared" si="136"/>
        <v>Thursday</v>
      </c>
      <c r="AG881" t="str">
        <f t="shared" si="137"/>
        <v>Friday</v>
      </c>
      <c r="AH881" t="str">
        <f t="shared" si="138"/>
        <v/>
      </c>
      <c r="AI881" t="str">
        <f t="shared" si="139"/>
        <v/>
      </c>
      <c r="AJ881" t="str">
        <f>LEFT(Table1[[#This Row],[membership_type]],2)&amp;TEXT(Table1[[#This Row],[age]],"00")&amp;"-"&amp;TEXT(ROW(),"000")</f>
        <v>St30-881</v>
      </c>
      <c r="AK881" t="str">
        <f>LEFT(Table1[[#This Row],[membership_type]],1)&amp;TEXT(MATCH(Table1[[#This Row],[membership_type]],Table1[membership_type],0),"00")</f>
        <v>S02</v>
      </c>
      <c r="AL881" t="str">
        <f>LEFT(Table1[[#This Row],[discount_type]],1)&amp;TEXT(ROUND(Table1[[#This Row],[discount_rate]]*100,0),"00")</f>
        <v>P05</v>
      </c>
      <c r="AM881" t="str" cm="1">
        <f t="array" ref="AM881">TEXT(SUMPRODUCT(CODE(MID(Table1[[#This Row],[home_gym_location]],_xlfn.SEQUENCE(LEN(Table1[[#This Row],[home_gym_location]])),1))),"00000")</f>
        <v>01107</v>
      </c>
      <c r="AN88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81" t="str">
        <f>LEFT(_xlfn.TEXTBEFORE(Table1[[#This Row],[Location Identifier]],"-"),3) &amp; "-" &amp; _xlfn.TEXTAFTER(Table1[[#This Row],[Location Identifier]],"-")</f>
        <v>LON-004</v>
      </c>
      <c r="AP881" s="9">
        <f t="shared" ca="1" si="130"/>
        <v>45869</v>
      </c>
    </row>
    <row r="882" spans="1:42" x14ac:dyDescent="0.25">
      <c r="A882">
        <v>19</v>
      </c>
      <c r="B882" t="s">
        <v>26</v>
      </c>
      <c r="C882">
        <v>2</v>
      </c>
      <c r="D882" t="s">
        <v>88</v>
      </c>
      <c r="E882" t="b">
        <v>1</v>
      </c>
      <c r="F882" s="1">
        <v>0.44583333333333336</v>
      </c>
      <c r="G882" s="1">
        <v>0.56180555555555556</v>
      </c>
      <c r="H882">
        <v>167</v>
      </c>
      <c r="I882" t="b">
        <v>0</v>
      </c>
      <c r="J882" t="b">
        <v>1</v>
      </c>
      <c r="K882" t="b">
        <v>0</v>
      </c>
      <c r="L882" t="s">
        <v>28</v>
      </c>
      <c r="M882">
        <v>50</v>
      </c>
      <c r="N882" t="s">
        <v>29</v>
      </c>
      <c r="O882">
        <v>50</v>
      </c>
      <c r="P882" t="s">
        <v>40</v>
      </c>
      <c r="Q882">
        <v>0.1</v>
      </c>
      <c r="R882">
        <v>45</v>
      </c>
      <c r="S882" t="s">
        <v>31</v>
      </c>
      <c r="T882" t="s">
        <v>48</v>
      </c>
      <c r="U882">
        <v>38.581600000000002</v>
      </c>
      <c r="V882">
        <v>-121.4944</v>
      </c>
      <c r="W882" s="2">
        <v>45115</v>
      </c>
      <c r="X882">
        <v>4</v>
      </c>
      <c r="Y882" t="b">
        <v>1</v>
      </c>
      <c r="Z882" s="2">
        <v>45820</v>
      </c>
      <c r="AA882" t="str">
        <f t="shared" si="131"/>
        <v>10–19</v>
      </c>
      <c r="AB882" t="str">
        <f t="shared" si="132"/>
        <v>16–19</v>
      </c>
      <c r="AC882" t="str">
        <f t="shared" si="133"/>
        <v>Monday</v>
      </c>
      <c r="AD882" t="str">
        <f t="shared" si="134"/>
        <v/>
      </c>
      <c r="AE882" t="str">
        <f t="shared" si="135"/>
        <v>Wednesday</v>
      </c>
      <c r="AF882" t="str">
        <f t="shared" si="136"/>
        <v/>
      </c>
      <c r="AG882" t="str">
        <f t="shared" si="137"/>
        <v/>
      </c>
      <c r="AH882" t="str">
        <f t="shared" si="138"/>
        <v/>
      </c>
      <c r="AI882" t="str">
        <f t="shared" si="139"/>
        <v/>
      </c>
      <c r="AJ882" t="str">
        <f>LEFT(Table1[[#This Row],[membership_type]],2)&amp;TEXT(Table1[[#This Row],[age]],"00")&amp;"-"&amp;TEXT(ROW(),"000")</f>
        <v>Pr19-882</v>
      </c>
      <c r="AK882" t="str">
        <f>LEFT(Table1[[#This Row],[membership_type]],1)&amp;TEXT(MATCH(Table1[[#This Row],[membership_type]],Table1[membership_type],0),"00")</f>
        <v>P01</v>
      </c>
      <c r="AL882" t="str">
        <f>LEFT(Table1[[#This Row],[discount_type]],1)&amp;TEXT(ROUND(Table1[[#This Row],[discount_rate]]*100,0),"00")</f>
        <v>L10</v>
      </c>
      <c r="AM882" t="str" cm="1">
        <f t="array" ref="AM882">TEXT(SUMPRODUCT(CODE(MID(Table1[[#This Row],[home_gym_location]],_xlfn.SEQUENCE(LEN(Table1[[#This Row],[home_gym_location]])),1))),"00000")</f>
        <v>01245</v>
      </c>
      <c r="AN88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82" t="str">
        <f>LEFT(_xlfn.TEXTBEFORE(Table1[[#This Row],[Location Identifier]],"-"),3) &amp; "-" &amp; _xlfn.TEXTAFTER(Table1[[#This Row],[Location Identifier]],"-")</f>
        <v>SAC-007</v>
      </c>
      <c r="AP882" s="9">
        <f t="shared" ca="1" si="130"/>
        <v>45869</v>
      </c>
    </row>
    <row r="883" spans="1:42" x14ac:dyDescent="0.25">
      <c r="A883">
        <v>28</v>
      </c>
      <c r="B883" t="s">
        <v>33</v>
      </c>
      <c r="C883">
        <v>3</v>
      </c>
      <c r="D883" t="s">
        <v>122</v>
      </c>
      <c r="E883" t="b">
        <v>0</v>
      </c>
      <c r="F883" s="1">
        <v>0.41319444444444442</v>
      </c>
      <c r="G883" s="1">
        <v>0.4548611111111111</v>
      </c>
      <c r="H883">
        <v>60</v>
      </c>
      <c r="I883" t="b">
        <v>0</v>
      </c>
      <c r="J883" t="b">
        <v>1</v>
      </c>
      <c r="K883" t="b">
        <v>0</v>
      </c>
      <c r="L883" t="s">
        <v>47</v>
      </c>
      <c r="M883">
        <v>30</v>
      </c>
      <c r="N883" t="s">
        <v>29</v>
      </c>
      <c r="O883">
        <v>30</v>
      </c>
      <c r="P883" t="s">
        <v>40</v>
      </c>
      <c r="Q883">
        <v>0.1</v>
      </c>
      <c r="R883">
        <v>27</v>
      </c>
      <c r="S883" t="s">
        <v>37</v>
      </c>
      <c r="T883" t="s">
        <v>50</v>
      </c>
      <c r="U883">
        <v>34.052199999999999</v>
      </c>
      <c r="V883">
        <v>-118.2437</v>
      </c>
      <c r="W883" s="2">
        <v>45810</v>
      </c>
      <c r="X883">
        <v>4</v>
      </c>
      <c r="Y883" t="b">
        <v>0</v>
      </c>
      <c r="Z883" s="2">
        <v>45859</v>
      </c>
      <c r="AA883" t="str">
        <f t="shared" si="131"/>
        <v>20–29</v>
      </c>
      <c r="AB883" t="str">
        <f t="shared" si="132"/>
        <v>20–29</v>
      </c>
      <c r="AC883" t="str">
        <f t="shared" si="133"/>
        <v/>
      </c>
      <c r="AD883" t="str">
        <f t="shared" si="134"/>
        <v>Tuesday</v>
      </c>
      <c r="AE883" t="str">
        <f t="shared" si="135"/>
        <v/>
      </c>
      <c r="AF883" t="str">
        <f t="shared" si="136"/>
        <v/>
      </c>
      <c r="AG883" t="str">
        <f t="shared" si="137"/>
        <v>Friday</v>
      </c>
      <c r="AH883" t="str">
        <f t="shared" si="138"/>
        <v/>
      </c>
      <c r="AI883" t="str">
        <f t="shared" si="139"/>
        <v>Sunday</v>
      </c>
      <c r="AJ883" t="str">
        <f>LEFT(Table1[[#This Row],[membership_type]],2)&amp;TEXT(Table1[[#This Row],[age]],"00")&amp;"-"&amp;TEXT(ROW(),"000")</f>
        <v>St28-883</v>
      </c>
      <c r="AK883" t="str">
        <f>LEFT(Table1[[#This Row],[membership_type]],1)&amp;TEXT(MATCH(Table1[[#This Row],[membership_type]],Table1[membership_type],0),"00")</f>
        <v>S02</v>
      </c>
      <c r="AL883" t="str">
        <f>LEFT(Table1[[#This Row],[discount_type]],1)&amp;TEXT(ROUND(Table1[[#This Row],[discount_rate]]*100,0),"00")</f>
        <v>L10</v>
      </c>
      <c r="AM883" t="str" cm="1">
        <f t="array" ref="AM883">TEXT(SUMPRODUCT(CODE(MID(Table1[[#This Row],[home_gym_location]],_xlfn.SEQUENCE(LEN(Table1[[#This Row],[home_gym_location]])),1))),"00000")</f>
        <v>01245</v>
      </c>
      <c r="AN88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83" t="str">
        <f>LEFT(_xlfn.TEXTBEFORE(Table1[[#This Row],[Location Identifier]],"-"),3) &amp; "-" &amp; _xlfn.TEXTAFTER(Table1[[#This Row],[Location Identifier]],"-")</f>
        <v>LOS-005</v>
      </c>
      <c r="AP883" s="9">
        <f t="shared" ca="1" si="130"/>
        <v>45869</v>
      </c>
    </row>
    <row r="884" spans="1:42" x14ac:dyDescent="0.25">
      <c r="A884">
        <v>24</v>
      </c>
      <c r="B884" t="s">
        <v>42</v>
      </c>
      <c r="C884">
        <v>1</v>
      </c>
      <c r="D884" t="s">
        <v>49</v>
      </c>
      <c r="E884" t="b">
        <v>0</v>
      </c>
      <c r="F884" s="1">
        <v>0.62430555555555556</v>
      </c>
      <c r="G884" s="1">
        <v>0.72013888888888888</v>
      </c>
      <c r="H884">
        <v>138</v>
      </c>
      <c r="I884" t="b">
        <v>0</v>
      </c>
      <c r="J884" t="b">
        <v>1</v>
      </c>
      <c r="K884" t="b">
        <v>1</v>
      </c>
      <c r="L884" t="s">
        <v>58</v>
      </c>
      <c r="M884">
        <v>20</v>
      </c>
      <c r="N884" t="s">
        <v>64</v>
      </c>
      <c r="O884">
        <v>15</v>
      </c>
      <c r="P884" t="s">
        <v>40</v>
      </c>
      <c r="Q884">
        <v>0.1</v>
      </c>
      <c r="R884">
        <v>13.5</v>
      </c>
      <c r="S884" t="s">
        <v>44</v>
      </c>
      <c r="T884" t="s">
        <v>54</v>
      </c>
      <c r="U884">
        <v>32.715699999999998</v>
      </c>
      <c r="V884">
        <v>-117.1611</v>
      </c>
      <c r="W884" s="2">
        <v>45720</v>
      </c>
      <c r="X884">
        <v>8</v>
      </c>
      <c r="Y884" t="b">
        <v>1</v>
      </c>
      <c r="Z884" s="2">
        <v>45854</v>
      </c>
      <c r="AA884" t="str">
        <f t="shared" si="131"/>
        <v>20–29</v>
      </c>
      <c r="AB884" t="str">
        <f t="shared" si="132"/>
        <v>20–29</v>
      </c>
      <c r="AC884" t="str">
        <f t="shared" si="133"/>
        <v/>
      </c>
      <c r="AD884" t="str">
        <f t="shared" si="134"/>
        <v/>
      </c>
      <c r="AE884" t="str">
        <f t="shared" si="135"/>
        <v/>
      </c>
      <c r="AF884" t="str">
        <f t="shared" si="136"/>
        <v/>
      </c>
      <c r="AG884" t="str">
        <f t="shared" si="137"/>
        <v/>
      </c>
      <c r="AH884" t="str">
        <f t="shared" si="138"/>
        <v/>
      </c>
      <c r="AI884" t="str">
        <f t="shared" si="139"/>
        <v>Sunday</v>
      </c>
      <c r="AJ884" t="str">
        <f>LEFT(Table1[[#This Row],[membership_type]],2)&amp;TEXT(Table1[[#This Row],[age]],"00")&amp;"-"&amp;TEXT(ROW(),"000")</f>
        <v>Ba24-884</v>
      </c>
      <c r="AK884" t="str">
        <f>LEFT(Table1[[#This Row],[membership_type]],1)&amp;TEXT(MATCH(Table1[[#This Row],[membership_type]],Table1[membership_type],0),"00")</f>
        <v>B04</v>
      </c>
      <c r="AL884" t="str">
        <f>LEFT(Table1[[#This Row],[discount_type]],1)&amp;TEXT(ROUND(Table1[[#This Row],[discount_rate]]*100,0),"00")</f>
        <v>L10</v>
      </c>
      <c r="AM884" t="str" cm="1">
        <f t="array" ref="AM884">TEXT(SUMPRODUCT(CODE(MID(Table1[[#This Row],[home_gym_location]],_xlfn.SEQUENCE(LEN(Table1[[#This Row],[home_gym_location]])),1))),"00000")</f>
        <v>01018</v>
      </c>
      <c r="AN88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84" t="str">
        <f>LEFT(_xlfn.TEXTBEFORE(Table1[[#This Row],[Location Identifier]],"-"),3) &amp; "-" &amp; _xlfn.TEXTAFTER(Table1[[#This Row],[Location Identifier]],"-")</f>
        <v>SAN-008</v>
      </c>
      <c r="AP884" s="9">
        <f t="shared" ca="1" si="130"/>
        <v>45869</v>
      </c>
    </row>
    <row r="885" spans="1:42" x14ac:dyDescent="0.25">
      <c r="A885">
        <v>22</v>
      </c>
      <c r="B885" t="s">
        <v>51</v>
      </c>
      <c r="C885">
        <v>3</v>
      </c>
      <c r="D885" t="s">
        <v>106</v>
      </c>
      <c r="E885" t="b">
        <v>1</v>
      </c>
      <c r="F885" s="1">
        <v>0.49027777777777776</v>
      </c>
      <c r="G885" s="1">
        <v>0.57430555555555551</v>
      </c>
      <c r="H885">
        <v>121</v>
      </c>
      <c r="I885" t="b">
        <v>0</v>
      </c>
      <c r="J885" t="b">
        <v>1</v>
      </c>
      <c r="K885" t="b">
        <v>1</v>
      </c>
      <c r="L885" t="s">
        <v>62</v>
      </c>
      <c r="M885">
        <v>70</v>
      </c>
      <c r="N885" t="s">
        <v>29</v>
      </c>
      <c r="O885">
        <v>70</v>
      </c>
      <c r="P885" t="s">
        <v>36</v>
      </c>
      <c r="Q885">
        <v>0</v>
      </c>
      <c r="R885">
        <v>70</v>
      </c>
      <c r="S885" t="s">
        <v>53</v>
      </c>
      <c r="T885" t="s">
        <v>54</v>
      </c>
      <c r="U885">
        <v>32.715699999999998</v>
      </c>
      <c r="V885">
        <v>-117.1611</v>
      </c>
      <c r="W885" s="2">
        <v>44979</v>
      </c>
      <c r="X885">
        <v>2</v>
      </c>
      <c r="Y885" t="b">
        <v>1</v>
      </c>
      <c r="Z885" s="2">
        <v>45813</v>
      </c>
      <c r="AA885" t="str">
        <f t="shared" si="131"/>
        <v>20–29</v>
      </c>
      <c r="AB885" t="str">
        <f t="shared" si="132"/>
        <v>20–29</v>
      </c>
      <c r="AC885" t="str">
        <f t="shared" si="133"/>
        <v/>
      </c>
      <c r="AD885" t="str">
        <f t="shared" si="134"/>
        <v/>
      </c>
      <c r="AE885" t="str">
        <f t="shared" si="135"/>
        <v>Wednesday</v>
      </c>
      <c r="AF885" t="str">
        <f t="shared" si="136"/>
        <v>Thursday</v>
      </c>
      <c r="AG885" t="str">
        <f t="shared" si="137"/>
        <v>Friday</v>
      </c>
      <c r="AH885" t="str">
        <f t="shared" si="138"/>
        <v/>
      </c>
      <c r="AI885" t="str">
        <f t="shared" si="139"/>
        <v/>
      </c>
      <c r="AJ885" t="str">
        <f>LEFT(Table1[[#This Row],[membership_type]],2)&amp;TEXT(Table1[[#This Row],[age]],"00")&amp;"-"&amp;TEXT(ROW(),"000")</f>
        <v>El22-885</v>
      </c>
      <c r="AK885" t="str">
        <f>LEFT(Table1[[#This Row],[membership_type]],1)&amp;TEXT(MATCH(Table1[[#This Row],[membership_type]],Table1[membership_type],0),"00")</f>
        <v>E07</v>
      </c>
      <c r="AL885" t="str">
        <f>LEFT(Table1[[#This Row],[discount_type]],1)&amp;TEXT(ROUND(Table1[[#This Row],[discount_rate]]*100,0),"00")</f>
        <v>N00</v>
      </c>
      <c r="AM885" t="str" cm="1">
        <f t="array" ref="AM885">TEXT(SUMPRODUCT(CODE(MID(Table1[[#This Row],[home_gym_location]],_xlfn.SEQUENCE(LEN(Table1[[#This Row],[home_gym_location]])),1))),"00000")</f>
        <v>01018</v>
      </c>
      <c r="AN88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85" t="str">
        <f>LEFT(_xlfn.TEXTBEFORE(Table1[[#This Row],[Location Identifier]],"-"),3) &amp; "-" &amp; _xlfn.TEXTAFTER(Table1[[#This Row],[Location Identifier]],"-")</f>
        <v>SAN-008</v>
      </c>
      <c r="AP885" s="9">
        <f t="shared" ca="1" si="130"/>
        <v>45869</v>
      </c>
    </row>
    <row r="886" spans="1:42" x14ac:dyDescent="0.25">
      <c r="A886">
        <v>47</v>
      </c>
      <c r="B886" t="s">
        <v>26</v>
      </c>
      <c r="C886">
        <v>3</v>
      </c>
      <c r="D886" t="s">
        <v>153</v>
      </c>
      <c r="E886" t="b">
        <v>0</v>
      </c>
      <c r="F886" s="1">
        <v>0.81319444444444444</v>
      </c>
      <c r="G886" s="1">
        <v>0.84652777777777777</v>
      </c>
      <c r="H886">
        <v>48</v>
      </c>
      <c r="I886" t="b">
        <v>0</v>
      </c>
      <c r="J886" t="b">
        <v>1</v>
      </c>
      <c r="K886" t="b">
        <v>0</v>
      </c>
      <c r="L886" t="s">
        <v>58</v>
      </c>
      <c r="M886">
        <v>50</v>
      </c>
      <c r="N886" t="s">
        <v>29</v>
      </c>
      <c r="O886">
        <v>50</v>
      </c>
      <c r="P886" t="s">
        <v>74</v>
      </c>
      <c r="Q886">
        <v>0.15</v>
      </c>
      <c r="R886">
        <v>42.5</v>
      </c>
      <c r="S886" t="s">
        <v>31</v>
      </c>
      <c r="T886" t="s">
        <v>32</v>
      </c>
      <c r="U886">
        <v>37.338200000000001</v>
      </c>
      <c r="V886">
        <v>-121.88630000000001</v>
      </c>
      <c r="W886" s="2">
        <v>45640</v>
      </c>
      <c r="X886">
        <v>1</v>
      </c>
      <c r="Y886" t="b">
        <v>0</v>
      </c>
      <c r="Z886" s="2">
        <v>45850</v>
      </c>
      <c r="AA886" t="str">
        <f t="shared" si="131"/>
        <v>40–49</v>
      </c>
      <c r="AB886" t="str">
        <f t="shared" si="132"/>
        <v>40–49</v>
      </c>
      <c r="AC886" t="str">
        <f t="shared" si="133"/>
        <v>Monday</v>
      </c>
      <c r="AD886" t="str">
        <f t="shared" si="134"/>
        <v/>
      </c>
      <c r="AE886" t="str">
        <f t="shared" si="135"/>
        <v>Wednesday</v>
      </c>
      <c r="AF886" t="str">
        <f t="shared" si="136"/>
        <v/>
      </c>
      <c r="AG886" t="str">
        <f t="shared" si="137"/>
        <v/>
      </c>
      <c r="AH886" t="str">
        <f t="shared" si="138"/>
        <v>Saturday</v>
      </c>
      <c r="AI886" t="str">
        <f t="shared" si="139"/>
        <v/>
      </c>
      <c r="AJ886" t="str">
        <f>LEFT(Table1[[#This Row],[membership_type]],2)&amp;TEXT(Table1[[#This Row],[age]],"00")&amp;"-"&amp;TEXT(ROW(),"000")</f>
        <v>Pr47-886</v>
      </c>
      <c r="AK886" t="str">
        <f>LEFT(Table1[[#This Row],[membership_type]],1)&amp;TEXT(MATCH(Table1[[#This Row],[membership_type]],Table1[membership_type],0),"00")</f>
        <v>P01</v>
      </c>
      <c r="AL886" t="str">
        <f>LEFT(Table1[[#This Row],[discount_type]],1)&amp;TEXT(ROUND(Table1[[#This Row],[discount_rate]]*100,0),"00")</f>
        <v>S15</v>
      </c>
      <c r="AM886" t="str" cm="1">
        <f t="array" ref="AM886">TEXT(SUMPRODUCT(CODE(MID(Table1[[#This Row],[home_gym_location]],_xlfn.SEQUENCE(LEN(Table1[[#This Row],[home_gym_location]])),1))),"00000")</f>
        <v>00931</v>
      </c>
      <c r="AN88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886" t="str">
        <f>LEFT(_xlfn.TEXTBEFORE(Table1[[#This Row],[Location Identifier]],"-"),3) &amp; "-" &amp; _xlfn.TEXTAFTER(Table1[[#This Row],[Location Identifier]],"-")</f>
        <v>SAN-010</v>
      </c>
      <c r="AP886" s="9">
        <f t="shared" ca="1" si="130"/>
        <v>45869</v>
      </c>
    </row>
    <row r="887" spans="1:42" x14ac:dyDescent="0.25">
      <c r="A887">
        <v>39</v>
      </c>
      <c r="B887" t="s">
        <v>33</v>
      </c>
      <c r="C887">
        <v>3</v>
      </c>
      <c r="D887" t="s">
        <v>57</v>
      </c>
      <c r="E887" t="b">
        <v>1</v>
      </c>
      <c r="F887" s="1">
        <v>0.6381944444444444</v>
      </c>
      <c r="G887" s="1">
        <v>0.73263888888888884</v>
      </c>
      <c r="H887">
        <v>136</v>
      </c>
      <c r="I887" t="b">
        <v>0</v>
      </c>
      <c r="J887" t="b">
        <v>1</v>
      </c>
      <c r="K887" t="b">
        <v>1</v>
      </c>
      <c r="L887" t="s">
        <v>28</v>
      </c>
      <c r="M887">
        <v>30</v>
      </c>
      <c r="N887" t="s">
        <v>29</v>
      </c>
      <c r="O887">
        <v>30</v>
      </c>
      <c r="P887" t="s">
        <v>74</v>
      </c>
      <c r="Q887">
        <v>0.15</v>
      </c>
      <c r="R887">
        <v>25.5</v>
      </c>
      <c r="S887" t="s">
        <v>37</v>
      </c>
      <c r="T887" t="s">
        <v>41</v>
      </c>
      <c r="U887">
        <v>37.804400000000001</v>
      </c>
      <c r="V887">
        <v>-122.27119999999999</v>
      </c>
      <c r="W887" s="2">
        <v>45135</v>
      </c>
      <c r="X887">
        <v>5</v>
      </c>
      <c r="Y887" t="b">
        <v>0</v>
      </c>
      <c r="Z887" s="2">
        <v>45821</v>
      </c>
      <c r="AA887" t="str">
        <f t="shared" si="131"/>
        <v>30–39</v>
      </c>
      <c r="AB887" t="str">
        <f t="shared" si="132"/>
        <v>30–39</v>
      </c>
      <c r="AC887" t="str">
        <f t="shared" si="133"/>
        <v/>
      </c>
      <c r="AD887" t="str">
        <f t="shared" si="134"/>
        <v/>
      </c>
      <c r="AE887" t="str">
        <f t="shared" si="135"/>
        <v>Wednesday</v>
      </c>
      <c r="AF887" t="str">
        <f t="shared" si="136"/>
        <v>Thursday</v>
      </c>
      <c r="AG887" t="str">
        <f t="shared" si="137"/>
        <v/>
      </c>
      <c r="AH887" t="str">
        <f t="shared" si="138"/>
        <v>Saturday</v>
      </c>
      <c r="AI887" t="str">
        <f t="shared" si="139"/>
        <v/>
      </c>
      <c r="AJ887" t="str">
        <f>LEFT(Table1[[#This Row],[membership_type]],2)&amp;TEXT(Table1[[#This Row],[age]],"00")&amp;"-"&amp;TEXT(ROW(),"000")</f>
        <v>St39-887</v>
      </c>
      <c r="AK887" t="str">
        <f>LEFT(Table1[[#This Row],[membership_type]],1)&amp;TEXT(MATCH(Table1[[#This Row],[membership_type]],Table1[membership_type],0),"00")</f>
        <v>S02</v>
      </c>
      <c r="AL887" t="str">
        <f>LEFT(Table1[[#This Row],[discount_type]],1)&amp;TEXT(ROUND(Table1[[#This Row],[discount_rate]]*100,0),"00")</f>
        <v>S15</v>
      </c>
      <c r="AM887" t="str" cm="1">
        <f t="array" ref="AM887">TEXT(SUMPRODUCT(CODE(MID(Table1[[#This Row],[home_gym_location]],_xlfn.SEQUENCE(LEN(Table1[[#This Row],[home_gym_location]])),1))),"00000")</f>
        <v>00906</v>
      </c>
      <c r="AN887" t="str">
        <f>UPPER(_xlfn.TEXTBEFORE(Table1[[#This Row],[home_gym_location]],","))&amp;"-"&amp;TEXT(MATCH(Table1[[#This Row],[home_gym_location]],_xlfn._xlws.SORT(_xlfn.UNIQUE(Table1[home_gym_location])),0),"000")</f>
        <v>OAKLAND-006</v>
      </c>
      <c r="AO887" t="str">
        <f>LEFT(_xlfn.TEXTBEFORE(Table1[[#This Row],[Location Identifier]],"-"),3) &amp; "-" &amp; _xlfn.TEXTAFTER(Table1[[#This Row],[Location Identifier]],"-")</f>
        <v>OAK-006</v>
      </c>
      <c r="AP887" s="9">
        <f t="shared" ca="1" si="130"/>
        <v>45869</v>
      </c>
    </row>
    <row r="888" spans="1:42" x14ac:dyDescent="0.25">
      <c r="A888">
        <v>49</v>
      </c>
      <c r="B888" t="s">
        <v>42</v>
      </c>
      <c r="C888">
        <v>1</v>
      </c>
      <c r="D888" t="s">
        <v>71</v>
      </c>
      <c r="E888" t="b">
        <v>1</v>
      </c>
      <c r="F888" s="1">
        <v>0.75138888888888888</v>
      </c>
      <c r="G888" s="1">
        <v>0.78055555555555556</v>
      </c>
      <c r="H888">
        <v>42</v>
      </c>
      <c r="I888" t="b">
        <v>1</v>
      </c>
      <c r="J888" t="b">
        <v>0</v>
      </c>
      <c r="K888" t="b">
        <v>0</v>
      </c>
      <c r="L888" t="s">
        <v>35</v>
      </c>
      <c r="M888">
        <v>20</v>
      </c>
      <c r="N888" t="s">
        <v>29</v>
      </c>
      <c r="O888">
        <v>20</v>
      </c>
      <c r="P888" t="s">
        <v>74</v>
      </c>
      <c r="Q888">
        <v>0.15</v>
      </c>
      <c r="R888">
        <v>17</v>
      </c>
      <c r="S888" t="s">
        <v>44</v>
      </c>
      <c r="T888" t="s">
        <v>45</v>
      </c>
      <c r="U888">
        <v>33.836599999999997</v>
      </c>
      <c r="V888">
        <v>-117.9143</v>
      </c>
      <c r="W888" s="2">
        <v>45577</v>
      </c>
      <c r="X888">
        <v>0</v>
      </c>
      <c r="Y888" t="b">
        <v>0</v>
      </c>
      <c r="Z888" s="2">
        <v>45846</v>
      </c>
      <c r="AA888" t="str">
        <f t="shared" si="131"/>
        <v>40–49</v>
      </c>
      <c r="AB888" t="str">
        <f t="shared" si="132"/>
        <v>40–49</v>
      </c>
      <c r="AC888" t="str">
        <f t="shared" si="133"/>
        <v/>
      </c>
      <c r="AD888" t="str">
        <f t="shared" si="134"/>
        <v>Tuesday</v>
      </c>
      <c r="AE888" t="str">
        <f t="shared" si="135"/>
        <v/>
      </c>
      <c r="AF888" t="str">
        <f t="shared" si="136"/>
        <v/>
      </c>
      <c r="AG888" t="str">
        <f t="shared" si="137"/>
        <v/>
      </c>
      <c r="AH888" t="str">
        <f t="shared" si="138"/>
        <v/>
      </c>
      <c r="AI888" t="str">
        <f t="shared" si="139"/>
        <v/>
      </c>
      <c r="AJ888" t="str">
        <f>LEFT(Table1[[#This Row],[membership_type]],2)&amp;TEXT(Table1[[#This Row],[age]],"00")&amp;"-"&amp;TEXT(ROW(),"000")</f>
        <v>Ba49-888</v>
      </c>
      <c r="AK888" t="str">
        <f>LEFT(Table1[[#This Row],[membership_type]],1)&amp;TEXT(MATCH(Table1[[#This Row],[membership_type]],Table1[membership_type],0),"00")</f>
        <v>B04</v>
      </c>
      <c r="AL888" t="str">
        <f>LEFT(Table1[[#This Row],[discount_type]],1)&amp;TEXT(ROUND(Table1[[#This Row],[discount_rate]]*100,0),"00")</f>
        <v>S15</v>
      </c>
      <c r="AM888" t="str" cm="1">
        <f t="array" ref="AM888">TEXT(SUMPRODUCT(CODE(MID(Table1[[#This Row],[home_gym_location]],_xlfn.SEQUENCE(LEN(Table1[[#This Row],[home_gym_location]])),1))),"00000")</f>
        <v>00899</v>
      </c>
      <c r="AN888" t="str">
        <f>UPPER(_xlfn.TEXTBEFORE(Table1[[#This Row],[home_gym_location]],","))&amp;"-"&amp;TEXT(MATCH(Table1[[#This Row],[home_gym_location]],_xlfn._xlws.SORT(_xlfn.UNIQUE(Table1[home_gym_location])),0),"000")</f>
        <v>ANAHEIM-001</v>
      </c>
      <c r="AO888" t="str">
        <f>LEFT(_xlfn.TEXTBEFORE(Table1[[#This Row],[Location Identifier]],"-"),3) &amp; "-" &amp; _xlfn.TEXTAFTER(Table1[[#This Row],[Location Identifier]],"-")</f>
        <v>ANA-001</v>
      </c>
      <c r="AP888" s="9">
        <f t="shared" ca="1" si="130"/>
        <v>45869</v>
      </c>
    </row>
    <row r="889" spans="1:42" x14ac:dyDescent="0.25">
      <c r="A889">
        <v>44</v>
      </c>
      <c r="B889" t="s">
        <v>42</v>
      </c>
      <c r="C889">
        <v>1</v>
      </c>
      <c r="D889" t="s">
        <v>63</v>
      </c>
      <c r="E889" t="b">
        <v>0</v>
      </c>
      <c r="F889" s="1">
        <v>0.86319444444444449</v>
      </c>
      <c r="G889" s="1">
        <v>0.95694444444444449</v>
      </c>
      <c r="H889">
        <v>135</v>
      </c>
      <c r="I889" t="b">
        <v>1</v>
      </c>
      <c r="J889" t="b">
        <v>0</v>
      </c>
      <c r="K889" t="b">
        <v>0</v>
      </c>
      <c r="L889" t="s">
        <v>62</v>
      </c>
      <c r="M889">
        <v>20</v>
      </c>
      <c r="N889" t="s">
        <v>29</v>
      </c>
      <c r="O889">
        <v>20</v>
      </c>
      <c r="P889" t="s">
        <v>36</v>
      </c>
      <c r="Q889">
        <v>0</v>
      </c>
      <c r="R889">
        <v>20</v>
      </c>
      <c r="S889" t="s">
        <v>44</v>
      </c>
      <c r="T889" t="s">
        <v>48</v>
      </c>
      <c r="U889">
        <v>38.581600000000002</v>
      </c>
      <c r="V889">
        <v>-121.4944</v>
      </c>
      <c r="W889" s="2">
        <v>45725</v>
      </c>
      <c r="X889">
        <v>0</v>
      </c>
      <c r="Y889" t="b">
        <v>0</v>
      </c>
      <c r="Z889" s="2">
        <v>45855</v>
      </c>
      <c r="AA889" t="str">
        <f t="shared" si="131"/>
        <v>40–49</v>
      </c>
      <c r="AB889" t="str">
        <f t="shared" si="132"/>
        <v>40–49</v>
      </c>
      <c r="AC889" t="str">
        <f t="shared" si="133"/>
        <v/>
      </c>
      <c r="AD889" t="str">
        <f t="shared" si="134"/>
        <v/>
      </c>
      <c r="AE889" t="str">
        <f t="shared" si="135"/>
        <v>Wednesday</v>
      </c>
      <c r="AF889" t="str">
        <f t="shared" si="136"/>
        <v/>
      </c>
      <c r="AG889" t="str">
        <f t="shared" si="137"/>
        <v/>
      </c>
      <c r="AH889" t="str">
        <f t="shared" si="138"/>
        <v/>
      </c>
      <c r="AI889" t="str">
        <f t="shared" si="139"/>
        <v/>
      </c>
      <c r="AJ889" t="str">
        <f>LEFT(Table1[[#This Row],[membership_type]],2)&amp;TEXT(Table1[[#This Row],[age]],"00")&amp;"-"&amp;TEXT(ROW(),"000")</f>
        <v>Ba44-889</v>
      </c>
      <c r="AK889" t="str">
        <f>LEFT(Table1[[#This Row],[membership_type]],1)&amp;TEXT(MATCH(Table1[[#This Row],[membership_type]],Table1[membership_type],0),"00")</f>
        <v>B04</v>
      </c>
      <c r="AL889" t="str">
        <f>LEFT(Table1[[#This Row],[discount_type]],1)&amp;TEXT(ROUND(Table1[[#This Row],[discount_rate]]*100,0),"00")</f>
        <v>N00</v>
      </c>
      <c r="AM889" t="str" cm="1">
        <f t="array" ref="AM889">TEXT(SUMPRODUCT(CODE(MID(Table1[[#This Row],[home_gym_location]],_xlfn.SEQUENCE(LEN(Table1[[#This Row],[home_gym_location]])),1))),"00000")</f>
        <v>01245</v>
      </c>
      <c r="AN88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89" t="str">
        <f>LEFT(_xlfn.TEXTBEFORE(Table1[[#This Row],[Location Identifier]],"-"),3) &amp; "-" &amp; _xlfn.TEXTAFTER(Table1[[#This Row],[Location Identifier]],"-")</f>
        <v>SAC-007</v>
      </c>
      <c r="AP889" s="9">
        <f t="shared" ca="1" si="130"/>
        <v>45869</v>
      </c>
    </row>
    <row r="890" spans="1:42" x14ac:dyDescent="0.25">
      <c r="A890">
        <v>35</v>
      </c>
      <c r="B890" t="s">
        <v>26</v>
      </c>
      <c r="C890">
        <v>1</v>
      </c>
      <c r="D890" t="s">
        <v>63</v>
      </c>
      <c r="E890" t="b">
        <v>0</v>
      </c>
      <c r="F890" s="1">
        <v>0.35694444444444445</v>
      </c>
      <c r="G890" s="1">
        <v>0.39374999999999999</v>
      </c>
      <c r="H890">
        <v>53</v>
      </c>
      <c r="I890" t="b">
        <v>0</v>
      </c>
      <c r="J890" t="b">
        <v>1</v>
      </c>
      <c r="K890" t="b">
        <v>0</v>
      </c>
      <c r="L890" t="s">
        <v>28</v>
      </c>
      <c r="M890">
        <v>50</v>
      </c>
      <c r="N890" t="s">
        <v>78</v>
      </c>
      <c r="O890">
        <v>45</v>
      </c>
      <c r="P890" t="s">
        <v>74</v>
      </c>
      <c r="Q890">
        <v>0.15</v>
      </c>
      <c r="R890">
        <v>38.25</v>
      </c>
      <c r="S890" t="s">
        <v>31</v>
      </c>
      <c r="T890" t="s">
        <v>50</v>
      </c>
      <c r="U890">
        <v>34.052199999999999</v>
      </c>
      <c r="V890">
        <v>-118.2437</v>
      </c>
      <c r="W890" s="2">
        <v>45572</v>
      </c>
      <c r="X890">
        <v>6</v>
      </c>
      <c r="Y890" t="b">
        <v>0</v>
      </c>
      <c r="Z890" s="2">
        <v>45846</v>
      </c>
      <c r="AA890" t="str">
        <f t="shared" si="131"/>
        <v>30–39</v>
      </c>
      <c r="AB890" t="str">
        <f t="shared" si="132"/>
        <v>30–39</v>
      </c>
      <c r="AC890" t="str">
        <f t="shared" si="133"/>
        <v/>
      </c>
      <c r="AD890" t="str">
        <f t="shared" si="134"/>
        <v/>
      </c>
      <c r="AE890" t="str">
        <f t="shared" si="135"/>
        <v>Wednesday</v>
      </c>
      <c r="AF890" t="str">
        <f t="shared" si="136"/>
        <v/>
      </c>
      <c r="AG890" t="str">
        <f t="shared" si="137"/>
        <v/>
      </c>
      <c r="AH890" t="str">
        <f t="shared" si="138"/>
        <v/>
      </c>
      <c r="AI890" t="str">
        <f t="shared" si="139"/>
        <v/>
      </c>
      <c r="AJ890" t="str">
        <f>LEFT(Table1[[#This Row],[membership_type]],2)&amp;TEXT(Table1[[#This Row],[age]],"00")&amp;"-"&amp;TEXT(ROW(),"000")</f>
        <v>Pr35-890</v>
      </c>
      <c r="AK890" t="str">
        <f>LEFT(Table1[[#This Row],[membership_type]],1)&amp;TEXT(MATCH(Table1[[#This Row],[membership_type]],Table1[membership_type],0),"00")</f>
        <v>P01</v>
      </c>
      <c r="AL890" t="str">
        <f>LEFT(Table1[[#This Row],[discount_type]],1)&amp;TEXT(ROUND(Table1[[#This Row],[discount_rate]]*100,0),"00")</f>
        <v>S15</v>
      </c>
      <c r="AM890" t="str" cm="1">
        <f t="array" ref="AM890">TEXT(SUMPRODUCT(CODE(MID(Table1[[#This Row],[home_gym_location]],_xlfn.SEQUENCE(LEN(Table1[[#This Row],[home_gym_location]])),1))),"00000")</f>
        <v>01245</v>
      </c>
      <c r="AN89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890" t="str">
        <f>LEFT(_xlfn.TEXTBEFORE(Table1[[#This Row],[Location Identifier]],"-"),3) &amp; "-" &amp; _xlfn.TEXTAFTER(Table1[[#This Row],[Location Identifier]],"-")</f>
        <v>LOS-005</v>
      </c>
      <c r="AP890" s="9">
        <f t="shared" ca="1" si="130"/>
        <v>45869</v>
      </c>
    </row>
    <row r="891" spans="1:42" x14ac:dyDescent="0.25">
      <c r="A891">
        <v>39</v>
      </c>
      <c r="B891" t="s">
        <v>42</v>
      </c>
      <c r="C891">
        <v>2</v>
      </c>
      <c r="D891" t="s">
        <v>84</v>
      </c>
      <c r="E891" t="b">
        <v>1</v>
      </c>
      <c r="F891" s="1">
        <v>0.79305555555555551</v>
      </c>
      <c r="G891" s="1">
        <v>0.82430555555555551</v>
      </c>
      <c r="H891">
        <v>45</v>
      </c>
      <c r="I891" t="b">
        <v>1</v>
      </c>
      <c r="J891" t="b">
        <v>1</v>
      </c>
      <c r="K891" t="b">
        <v>0</v>
      </c>
      <c r="L891" t="s">
        <v>58</v>
      </c>
      <c r="M891">
        <v>20</v>
      </c>
      <c r="N891" t="s">
        <v>29</v>
      </c>
      <c r="O891">
        <v>20</v>
      </c>
      <c r="P891" t="s">
        <v>36</v>
      </c>
      <c r="Q891">
        <v>0</v>
      </c>
      <c r="R891">
        <v>20</v>
      </c>
      <c r="S891" t="s">
        <v>44</v>
      </c>
      <c r="T891" t="s">
        <v>65</v>
      </c>
      <c r="U891">
        <v>33.770099999999999</v>
      </c>
      <c r="V891">
        <v>-118.19370000000001</v>
      </c>
      <c r="W891" s="2">
        <v>45061</v>
      </c>
      <c r="X891">
        <v>6</v>
      </c>
      <c r="Y891" t="b">
        <v>0</v>
      </c>
      <c r="Z891" s="2">
        <v>45817</v>
      </c>
      <c r="AA891" t="str">
        <f t="shared" si="131"/>
        <v>30–39</v>
      </c>
      <c r="AB891" t="str">
        <f t="shared" si="132"/>
        <v>30–39</v>
      </c>
      <c r="AC891" t="str">
        <f t="shared" si="133"/>
        <v/>
      </c>
      <c r="AD891" t="str">
        <f t="shared" si="134"/>
        <v>Tuesday</v>
      </c>
      <c r="AE891" t="str">
        <f t="shared" si="135"/>
        <v/>
      </c>
      <c r="AF891" t="str">
        <f t="shared" si="136"/>
        <v/>
      </c>
      <c r="AG891" t="str">
        <f t="shared" si="137"/>
        <v/>
      </c>
      <c r="AH891" t="str">
        <f t="shared" si="138"/>
        <v/>
      </c>
      <c r="AI891" t="str">
        <f t="shared" si="139"/>
        <v>Sunday</v>
      </c>
      <c r="AJ891" t="str">
        <f>LEFT(Table1[[#This Row],[membership_type]],2)&amp;TEXT(Table1[[#This Row],[age]],"00")&amp;"-"&amp;TEXT(ROW(),"000")</f>
        <v>Ba39-891</v>
      </c>
      <c r="AK891" t="str">
        <f>LEFT(Table1[[#This Row],[membership_type]],1)&amp;TEXT(MATCH(Table1[[#This Row],[membership_type]],Table1[membership_type],0),"00")</f>
        <v>B04</v>
      </c>
      <c r="AL891" t="str">
        <f>LEFT(Table1[[#This Row],[discount_type]],1)&amp;TEXT(ROUND(Table1[[#This Row],[discount_rate]]*100,0),"00")</f>
        <v>N00</v>
      </c>
      <c r="AM891" t="str" cm="1">
        <f t="array" ref="AM891">TEXT(SUMPRODUCT(CODE(MID(Table1[[#This Row],[home_gym_location]],_xlfn.SEQUENCE(LEN(Table1[[#This Row],[home_gym_location]])),1))),"00000")</f>
        <v>01107</v>
      </c>
      <c r="AN89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891" t="str">
        <f>LEFT(_xlfn.TEXTBEFORE(Table1[[#This Row],[Location Identifier]],"-"),3) &amp; "-" &amp; _xlfn.TEXTAFTER(Table1[[#This Row],[Location Identifier]],"-")</f>
        <v>LON-004</v>
      </c>
      <c r="AP891" s="9">
        <f t="shared" ca="1" si="130"/>
        <v>45869</v>
      </c>
    </row>
    <row r="892" spans="1:42" x14ac:dyDescent="0.25">
      <c r="A892">
        <v>37</v>
      </c>
      <c r="B892" t="s">
        <v>42</v>
      </c>
      <c r="C892">
        <v>1</v>
      </c>
      <c r="D892" t="s">
        <v>63</v>
      </c>
      <c r="E892" t="b">
        <v>1</v>
      </c>
      <c r="F892" s="1">
        <v>0.38194444444444442</v>
      </c>
      <c r="G892" s="1">
        <v>0.4375</v>
      </c>
      <c r="H892">
        <v>80</v>
      </c>
      <c r="I892" t="b">
        <v>1</v>
      </c>
      <c r="J892" t="b">
        <v>0</v>
      </c>
      <c r="K892" t="b">
        <v>0</v>
      </c>
      <c r="L892" t="s">
        <v>58</v>
      </c>
      <c r="M892">
        <v>20</v>
      </c>
      <c r="N892" t="s">
        <v>29</v>
      </c>
      <c r="O892">
        <v>20</v>
      </c>
      <c r="P892" t="s">
        <v>30</v>
      </c>
      <c r="Q892">
        <v>0.05</v>
      </c>
      <c r="R892">
        <v>19</v>
      </c>
      <c r="S892" t="s">
        <v>44</v>
      </c>
      <c r="T892" t="s">
        <v>56</v>
      </c>
      <c r="U892">
        <v>35.3733</v>
      </c>
      <c r="V892">
        <v>-119.0187</v>
      </c>
      <c r="W892" s="2">
        <v>44919</v>
      </c>
      <c r="X892">
        <v>0</v>
      </c>
      <c r="Y892" t="b">
        <v>1</v>
      </c>
      <c r="Z892" s="2">
        <v>45809</v>
      </c>
      <c r="AA892" t="str">
        <f t="shared" si="131"/>
        <v>30–39</v>
      </c>
      <c r="AB892" t="str">
        <f t="shared" si="132"/>
        <v>30–39</v>
      </c>
      <c r="AC892" t="str">
        <f t="shared" si="133"/>
        <v/>
      </c>
      <c r="AD892" t="str">
        <f t="shared" si="134"/>
        <v/>
      </c>
      <c r="AE892" t="str">
        <f t="shared" si="135"/>
        <v>Wednesday</v>
      </c>
      <c r="AF892" t="str">
        <f t="shared" si="136"/>
        <v/>
      </c>
      <c r="AG892" t="str">
        <f t="shared" si="137"/>
        <v/>
      </c>
      <c r="AH892" t="str">
        <f t="shared" si="138"/>
        <v/>
      </c>
      <c r="AI892" t="str">
        <f t="shared" si="139"/>
        <v/>
      </c>
      <c r="AJ892" t="str">
        <f>LEFT(Table1[[#This Row],[membership_type]],2)&amp;TEXT(Table1[[#This Row],[age]],"00")&amp;"-"&amp;TEXT(ROW(),"000")</f>
        <v>Ba37-892</v>
      </c>
      <c r="AK892" t="str">
        <f>LEFT(Table1[[#This Row],[membership_type]],1)&amp;TEXT(MATCH(Table1[[#This Row],[membership_type]],Table1[membership_type],0),"00")</f>
        <v>B04</v>
      </c>
      <c r="AL892" t="str">
        <f>LEFT(Table1[[#This Row],[discount_type]],1)&amp;TEXT(ROUND(Table1[[#This Row],[discount_rate]]*100,0),"00")</f>
        <v>P05</v>
      </c>
      <c r="AM892" t="str" cm="1">
        <f t="array" ref="AM892">TEXT(SUMPRODUCT(CODE(MID(Table1[[#This Row],[home_gym_location]],_xlfn.SEQUENCE(LEN(Table1[[#This Row],[home_gym_location]])),1))),"00000")</f>
        <v>01324</v>
      </c>
      <c r="AN89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892" t="str">
        <f>LEFT(_xlfn.TEXTBEFORE(Table1[[#This Row],[Location Identifier]],"-"),3) &amp; "-" &amp; _xlfn.TEXTAFTER(Table1[[#This Row],[Location Identifier]],"-")</f>
        <v>BAK-002</v>
      </c>
      <c r="AP892" s="9">
        <f t="shared" ca="1" si="130"/>
        <v>45869</v>
      </c>
    </row>
    <row r="893" spans="1:42" x14ac:dyDescent="0.25">
      <c r="A893">
        <v>32</v>
      </c>
      <c r="B893" t="s">
        <v>42</v>
      </c>
      <c r="C893">
        <v>3</v>
      </c>
      <c r="D893" t="s">
        <v>100</v>
      </c>
      <c r="E893" t="b">
        <v>1</v>
      </c>
      <c r="F893" s="1">
        <v>0.61944444444444446</v>
      </c>
      <c r="G893" s="1">
        <v>0.73055555555555551</v>
      </c>
      <c r="H893">
        <v>160</v>
      </c>
      <c r="I893" t="b">
        <v>0</v>
      </c>
      <c r="J893" t="b">
        <v>0</v>
      </c>
      <c r="K893" t="b">
        <v>0</v>
      </c>
      <c r="L893" t="s">
        <v>28</v>
      </c>
      <c r="M893">
        <v>20</v>
      </c>
      <c r="N893" t="s">
        <v>29</v>
      </c>
      <c r="O893">
        <v>20</v>
      </c>
      <c r="P893" t="s">
        <v>30</v>
      </c>
      <c r="Q893">
        <v>0.05</v>
      </c>
      <c r="R893">
        <v>19</v>
      </c>
      <c r="S893" t="s">
        <v>44</v>
      </c>
      <c r="T893" t="s">
        <v>48</v>
      </c>
      <c r="U893">
        <v>38.581600000000002</v>
      </c>
      <c r="V893">
        <v>-121.4944</v>
      </c>
      <c r="W893" s="2">
        <v>44946</v>
      </c>
      <c r="X893">
        <v>0</v>
      </c>
      <c r="Y893" t="b">
        <v>1</v>
      </c>
      <c r="Z893" s="2">
        <v>45811</v>
      </c>
      <c r="AA893" t="str">
        <f t="shared" si="131"/>
        <v>30–39</v>
      </c>
      <c r="AB893" t="str">
        <f t="shared" si="132"/>
        <v>30–39</v>
      </c>
      <c r="AC893" t="str">
        <f t="shared" si="133"/>
        <v/>
      </c>
      <c r="AD893" t="str">
        <f t="shared" si="134"/>
        <v/>
      </c>
      <c r="AE893" t="str">
        <f t="shared" si="135"/>
        <v>Wednesday</v>
      </c>
      <c r="AF893" t="str">
        <f t="shared" si="136"/>
        <v/>
      </c>
      <c r="AG893" t="str">
        <f t="shared" si="137"/>
        <v>Friday</v>
      </c>
      <c r="AH893" t="str">
        <f t="shared" si="138"/>
        <v/>
      </c>
      <c r="AI893" t="str">
        <f t="shared" si="139"/>
        <v>Sunday</v>
      </c>
      <c r="AJ893" t="str">
        <f>LEFT(Table1[[#This Row],[membership_type]],2)&amp;TEXT(Table1[[#This Row],[age]],"00")&amp;"-"&amp;TEXT(ROW(),"000")</f>
        <v>Ba32-893</v>
      </c>
      <c r="AK893" t="str">
        <f>LEFT(Table1[[#This Row],[membership_type]],1)&amp;TEXT(MATCH(Table1[[#This Row],[membership_type]],Table1[membership_type],0),"00")</f>
        <v>B04</v>
      </c>
      <c r="AL893" t="str">
        <f>LEFT(Table1[[#This Row],[discount_type]],1)&amp;TEXT(ROUND(Table1[[#This Row],[discount_rate]]*100,0),"00")</f>
        <v>P05</v>
      </c>
      <c r="AM893" t="str" cm="1">
        <f t="array" ref="AM893">TEXT(SUMPRODUCT(CODE(MID(Table1[[#This Row],[home_gym_location]],_xlfn.SEQUENCE(LEN(Table1[[#This Row],[home_gym_location]])),1))),"00000")</f>
        <v>01245</v>
      </c>
      <c r="AN89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893" t="str">
        <f>LEFT(_xlfn.TEXTBEFORE(Table1[[#This Row],[Location Identifier]],"-"),3) &amp; "-" &amp; _xlfn.TEXTAFTER(Table1[[#This Row],[Location Identifier]],"-")</f>
        <v>SAC-007</v>
      </c>
      <c r="AP893" s="9">
        <f t="shared" ca="1" si="130"/>
        <v>45869</v>
      </c>
    </row>
    <row r="894" spans="1:42" x14ac:dyDescent="0.25">
      <c r="A894">
        <v>29</v>
      </c>
      <c r="B894" t="s">
        <v>42</v>
      </c>
      <c r="C894">
        <v>1</v>
      </c>
      <c r="D894" t="s">
        <v>49</v>
      </c>
      <c r="E894" t="b">
        <v>0</v>
      </c>
      <c r="F894" s="1">
        <v>0.70833333333333337</v>
      </c>
      <c r="G894" s="1">
        <v>0.7729166666666667</v>
      </c>
      <c r="H894">
        <v>93</v>
      </c>
      <c r="I894" t="b">
        <v>1</v>
      </c>
      <c r="J894" t="b">
        <v>0</v>
      </c>
      <c r="K894" t="b">
        <v>1</v>
      </c>
      <c r="L894" t="s">
        <v>62</v>
      </c>
      <c r="M894">
        <v>20</v>
      </c>
      <c r="N894" t="s">
        <v>64</v>
      </c>
      <c r="O894">
        <v>15</v>
      </c>
      <c r="P894" t="s">
        <v>36</v>
      </c>
      <c r="Q894">
        <v>0</v>
      </c>
      <c r="R894">
        <v>15</v>
      </c>
      <c r="S894" t="s">
        <v>44</v>
      </c>
      <c r="T894" t="s">
        <v>38</v>
      </c>
      <c r="U894">
        <v>36.7378</v>
      </c>
      <c r="V894">
        <v>-119.7871</v>
      </c>
      <c r="W894" s="2">
        <v>45407</v>
      </c>
      <c r="X894">
        <v>0</v>
      </c>
      <c r="Y894" t="b">
        <v>0</v>
      </c>
      <c r="Z894" s="2">
        <v>45837</v>
      </c>
      <c r="AA894" t="str">
        <f t="shared" si="131"/>
        <v>20–29</v>
      </c>
      <c r="AB894" t="str">
        <f t="shared" si="132"/>
        <v>20–29</v>
      </c>
      <c r="AC894" t="str">
        <f t="shared" si="133"/>
        <v/>
      </c>
      <c r="AD894" t="str">
        <f t="shared" si="134"/>
        <v/>
      </c>
      <c r="AE894" t="str">
        <f t="shared" si="135"/>
        <v/>
      </c>
      <c r="AF894" t="str">
        <f t="shared" si="136"/>
        <v/>
      </c>
      <c r="AG894" t="str">
        <f t="shared" si="137"/>
        <v/>
      </c>
      <c r="AH894" t="str">
        <f t="shared" si="138"/>
        <v/>
      </c>
      <c r="AI894" t="str">
        <f t="shared" si="139"/>
        <v>Sunday</v>
      </c>
      <c r="AJ894" t="str">
        <f>LEFT(Table1[[#This Row],[membership_type]],2)&amp;TEXT(Table1[[#This Row],[age]],"00")&amp;"-"&amp;TEXT(ROW(),"000")</f>
        <v>Ba29-894</v>
      </c>
      <c r="AK894" t="str">
        <f>LEFT(Table1[[#This Row],[membership_type]],1)&amp;TEXT(MATCH(Table1[[#This Row],[membership_type]],Table1[membership_type],0),"00")</f>
        <v>B04</v>
      </c>
      <c r="AL894" t="str">
        <f>LEFT(Table1[[#This Row],[discount_type]],1)&amp;TEXT(ROUND(Table1[[#This Row],[discount_rate]]*100,0),"00")</f>
        <v>N00</v>
      </c>
      <c r="AM894" t="str" cm="1">
        <f t="array" ref="AM894">TEXT(SUMPRODUCT(CODE(MID(Table1[[#This Row],[home_gym_location]],_xlfn.SEQUENCE(LEN(Table1[[#This Row],[home_gym_location]])),1))),"00000")</f>
        <v>00829</v>
      </c>
      <c r="AN894" t="str">
        <f>UPPER(_xlfn.TEXTBEFORE(Table1[[#This Row],[home_gym_location]],","))&amp;"-"&amp;TEXT(MATCH(Table1[[#This Row],[home_gym_location]],_xlfn._xlws.SORT(_xlfn.UNIQUE(Table1[home_gym_location])),0),"000")</f>
        <v>FRESNO-003</v>
      </c>
      <c r="AO894" t="str">
        <f>LEFT(_xlfn.TEXTBEFORE(Table1[[#This Row],[Location Identifier]],"-"),3) &amp; "-" &amp; _xlfn.TEXTAFTER(Table1[[#This Row],[Location Identifier]],"-")</f>
        <v>FRE-003</v>
      </c>
      <c r="AP894" s="9">
        <f t="shared" ca="1" si="130"/>
        <v>45869</v>
      </c>
    </row>
    <row r="895" spans="1:42" x14ac:dyDescent="0.25">
      <c r="A895">
        <v>27</v>
      </c>
      <c r="B895" t="s">
        <v>33</v>
      </c>
      <c r="C895">
        <v>2</v>
      </c>
      <c r="D895" t="s">
        <v>92</v>
      </c>
      <c r="E895" t="b">
        <v>0</v>
      </c>
      <c r="F895" s="1">
        <v>0.72361111111111109</v>
      </c>
      <c r="G895" s="1">
        <v>0.78472222222222221</v>
      </c>
      <c r="H895">
        <v>88</v>
      </c>
      <c r="I895" t="b">
        <v>1</v>
      </c>
      <c r="J895" t="b">
        <v>1</v>
      </c>
      <c r="K895" t="b">
        <v>0</v>
      </c>
      <c r="L895" t="s">
        <v>35</v>
      </c>
      <c r="M895">
        <v>30</v>
      </c>
      <c r="N895" t="s">
        <v>64</v>
      </c>
      <c r="O895">
        <v>22.5</v>
      </c>
      <c r="P895" t="s">
        <v>36</v>
      </c>
      <c r="Q895">
        <v>0</v>
      </c>
      <c r="R895">
        <v>22.5</v>
      </c>
      <c r="S895" t="s">
        <v>37</v>
      </c>
      <c r="T895" t="s">
        <v>38</v>
      </c>
      <c r="U895">
        <v>36.7378</v>
      </c>
      <c r="V895">
        <v>-119.7871</v>
      </c>
      <c r="W895" s="2">
        <v>45119</v>
      </c>
      <c r="X895">
        <v>1</v>
      </c>
      <c r="Y895" t="b">
        <v>1</v>
      </c>
      <c r="Z895" s="2">
        <v>45820</v>
      </c>
      <c r="AA895" t="str">
        <f t="shared" si="131"/>
        <v>20–29</v>
      </c>
      <c r="AB895" t="str">
        <f t="shared" si="132"/>
        <v>20–29</v>
      </c>
      <c r="AC895" t="str">
        <f t="shared" si="133"/>
        <v/>
      </c>
      <c r="AD895" t="str">
        <f t="shared" si="134"/>
        <v/>
      </c>
      <c r="AE895" t="str">
        <f t="shared" si="135"/>
        <v/>
      </c>
      <c r="AF895" t="str">
        <f t="shared" si="136"/>
        <v/>
      </c>
      <c r="AG895" t="str">
        <f t="shared" si="137"/>
        <v>Friday</v>
      </c>
      <c r="AH895" t="str">
        <f t="shared" si="138"/>
        <v/>
      </c>
      <c r="AI895" t="str">
        <f t="shared" si="139"/>
        <v>Sunday</v>
      </c>
      <c r="AJ895" t="str">
        <f>LEFT(Table1[[#This Row],[membership_type]],2)&amp;TEXT(Table1[[#This Row],[age]],"00")&amp;"-"&amp;TEXT(ROW(),"000")</f>
        <v>St27-895</v>
      </c>
      <c r="AK895" t="str">
        <f>LEFT(Table1[[#This Row],[membership_type]],1)&amp;TEXT(MATCH(Table1[[#This Row],[membership_type]],Table1[membership_type],0),"00")</f>
        <v>S02</v>
      </c>
      <c r="AL895" t="str">
        <f>LEFT(Table1[[#This Row],[discount_type]],1)&amp;TEXT(ROUND(Table1[[#This Row],[discount_rate]]*100,0),"00")</f>
        <v>N00</v>
      </c>
      <c r="AM895" t="str" cm="1">
        <f t="array" ref="AM895">TEXT(SUMPRODUCT(CODE(MID(Table1[[#This Row],[home_gym_location]],_xlfn.SEQUENCE(LEN(Table1[[#This Row],[home_gym_location]])),1))),"00000")</f>
        <v>00829</v>
      </c>
      <c r="AN895" t="str">
        <f>UPPER(_xlfn.TEXTBEFORE(Table1[[#This Row],[home_gym_location]],","))&amp;"-"&amp;TEXT(MATCH(Table1[[#This Row],[home_gym_location]],_xlfn._xlws.SORT(_xlfn.UNIQUE(Table1[home_gym_location])),0),"000")</f>
        <v>FRESNO-003</v>
      </c>
      <c r="AO895" t="str">
        <f>LEFT(_xlfn.TEXTBEFORE(Table1[[#This Row],[Location Identifier]],"-"),3) &amp; "-" &amp; _xlfn.TEXTAFTER(Table1[[#This Row],[Location Identifier]],"-")</f>
        <v>FRE-003</v>
      </c>
      <c r="AP895" s="9">
        <f t="shared" ca="1" si="130"/>
        <v>45869</v>
      </c>
    </row>
    <row r="896" spans="1:42" x14ac:dyDescent="0.25">
      <c r="A896">
        <v>36</v>
      </c>
      <c r="B896" t="s">
        <v>51</v>
      </c>
      <c r="C896">
        <v>3</v>
      </c>
      <c r="D896" t="s">
        <v>60</v>
      </c>
      <c r="E896" t="b">
        <v>1</v>
      </c>
      <c r="F896" s="1">
        <v>0.81736111111111109</v>
      </c>
      <c r="G896" s="1">
        <v>0.85972222222222228</v>
      </c>
      <c r="H896">
        <v>61</v>
      </c>
      <c r="I896" t="b">
        <v>0</v>
      </c>
      <c r="J896" t="b">
        <v>0</v>
      </c>
      <c r="K896" t="b">
        <v>1</v>
      </c>
      <c r="L896" t="s">
        <v>62</v>
      </c>
      <c r="M896">
        <v>70</v>
      </c>
      <c r="N896" t="s">
        <v>78</v>
      </c>
      <c r="O896">
        <v>63</v>
      </c>
      <c r="P896" t="s">
        <v>40</v>
      </c>
      <c r="Q896">
        <v>0.1</v>
      </c>
      <c r="R896">
        <v>56.7</v>
      </c>
      <c r="S896" t="s">
        <v>53</v>
      </c>
      <c r="T896" t="s">
        <v>45</v>
      </c>
      <c r="U896">
        <v>33.836599999999997</v>
      </c>
      <c r="V896">
        <v>-117.9143</v>
      </c>
      <c r="W896" s="2">
        <v>45612</v>
      </c>
      <c r="X896">
        <v>0</v>
      </c>
      <c r="Y896" t="b">
        <v>1</v>
      </c>
      <c r="Z896" s="2">
        <v>45848</v>
      </c>
      <c r="AA896" t="str">
        <f t="shared" si="131"/>
        <v>30–39</v>
      </c>
      <c r="AB896" t="str">
        <f t="shared" si="132"/>
        <v>30–39</v>
      </c>
      <c r="AC896" t="str">
        <f t="shared" si="133"/>
        <v/>
      </c>
      <c r="AD896" t="str">
        <f t="shared" si="134"/>
        <v/>
      </c>
      <c r="AE896" t="str">
        <f t="shared" si="135"/>
        <v>Wednesday</v>
      </c>
      <c r="AF896" t="str">
        <f t="shared" si="136"/>
        <v/>
      </c>
      <c r="AG896" t="str">
        <f t="shared" si="137"/>
        <v/>
      </c>
      <c r="AH896" t="str">
        <f t="shared" si="138"/>
        <v>Saturday</v>
      </c>
      <c r="AI896" t="str">
        <f t="shared" si="139"/>
        <v>Sunday</v>
      </c>
      <c r="AJ896" t="str">
        <f>LEFT(Table1[[#This Row],[membership_type]],2)&amp;TEXT(Table1[[#This Row],[age]],"00")&amp;"-"&amp;TEXT(ROW(),"000")</f>
        <v>El36-896</v>
      </c>
      <c r="AK896" t="str">
        <f>LEFT(Table1[[#This Row],[membership_type]],1)&amp;TEXT(MATCH(Table1[[#This Row],[membership_type]],Table1[membership_type],0),"00")</f>
        <v>E07</v>
      </c>
      <c r="AL896" t="str">
        <f>LEFT(Table1[[#This Row],[discount_type]],1)&amp;TEXT(ROUND(Table1[[#This Row],[discount_rate]]*100,0),"00")</f>
        <v>L10</v>
      </c>
      <c r="AM896" t="str" cm="1">
        <f t="array" ref="AM896">TEXT(SUMPRODUCT(CODE(MID(Table1[[#This Row],[home_gym_location]],_xlfn.SEQUENCE(LEN(Table1[[#This Row],[home_gym_location]])),1))),"00000")</f>
        <v>00899</v>
      </c>
      <c r="AN896" t="str">
        <f>UPPER(_xlfn.TEXTBEFORE(Table1[[#This Row],[home_gym_location]],","))&amp;"-"&amp;TEXT(MATCH(Table1[[#This Row],[home_gym_location]],_xlfn._xlws.SORT(_xlfn.UNIQUE(Table1[home_gym_location])),0),"000")</f>
        <v>ANAHEIM-001</v>
      </c>
      <c r="AO896" t="str">
        <f>LEFT(_xlfn.TEXTBEFORE(Table1[[#This Row],[Location Identifier]],"-"),3) &amp; "-" &amp; _xlfn.TEXTAFTER(Table1[[#This Row],[Location Identifier]],"-")</f>
        <v>ANA-001</v>
      </c>
      <c r="AP896" s="9">
        <f t="shared" ca="1" si="130"/>
        <v>45869</v>
      </c>
    </row>
    <row r="897" spans="1:42" x14ac:dyDescent="0.25">
      <c r="A897">
        <v>24</v>
      </c>
      <c r="B897" t="s">
        <v>26</v>
      </c>
      <c r="C897">
        <v>4</v>
      </c>
      <c r="D897" t="s">
        <v>39</v>
      </c>
      <c r="E897" t="b">
        <v>0</v>
      </c>
      <c r="F897" s="1">
        <v>0.38333333333333336</v>
      </c>
      <c r="G897" s="1">
        <v>0.47013888888888888</v>
      </c>
      <c r="H897">
        <v>125</v>
      </c>
      <c r="I897" t="b">
        <v>0</v>
      </c>
      <c r="J897" t="b">
        <v>0</v>
      </c>
      <c r="K897" t="b">
        <v>0</v>
      </c>
      <c r="L897" t="s">
        <v>47</v>
      </c>
      <c r="M897">
        <v>50</v>
      </c>
      <c r="N897" t="s">
        <v>29</v>
      </c>
      <c r="O897">
        <v>50</v>
      </c>
      <c r="P897" t="s">
        <v>36</v>
      </c>
      <c r="Q897">
        <v>0</v>
      </c>
      <c r="R897">
        <v>50</v>
      </c>
      <c r="S897" t="s">
        <v>31</v>
      </c>
      <c r="T897" t="s">
        <v>45</v>
      </c>
      <c r="U897">
        <v>33.836599999999997</v>
      </c>
      <c r="V897">
        <v>-117.9143</v>
      </c>
      <c r="W897" s="2">
        <v>45518</v>
      </c>
      <c r="X897">
        <v>0</v>
      </c>
      <c r="Y897" t="b">
        <v>1</v>
      </c>
      <c r="Z897" s="2">
        <v>45843</v>
      </c>
      <c r="AA897" t="str">
        <f t="shared" si="131"/>
        <v>20–29</v>
      </c>
      <c r="AB897" t="str">
        <f t="shared" si="132"/>
        <v>20–29</v>
      </c>
      <c r="AC897" t="str">
        <f t="shared" si="133"/>
        <v/>
      </c>
      <c r="AD897" t="str">
        <f t="shared" si="134"/>
        <v>Tuesday</v>
      </c>
      <c r="AE897" t="str">
        <f t="shared" si="135"/>
        <v>Wednesday</v>
      </c>
      <c r="AF897" t="str">
        <f t="shared" si="136"/>
        <v>Thursday</v>
      </c>
      <c r="AG897" t="str">
        <f t="shared" si="137"/>
        <v/>
      </c>
      <c r="AH897" t="str">
        <f t="shared" si="138"/>
        <v/>
      </c>
      <c r="AI897" t="str">
        <f t="shared" si="139"/>
        <v>Sunday</v>
      </c>
      <c r="AJ897" t="str">
        <f>LEFT(Table1[[#This Row],[membership_type]],2)&amp;TEXT(Table1[[#This Row],[age]],"00")&amp;"-"&amp;TEXT(ROW(),"000")</f>
        <v>Pr24-897</v>
      </c>
      <c r="AK897" t="str">
        <f>LEFT(Table1[[#This Row],[membership_type]],1)&amp;TEXT(MATCH(Table1[[#This Row],[membership_type]],Table1[membership_type],0),"00")</f>
        <v>P01</v>
      </c>
      <c r="AL897" t="str">
        <f>LEFT(Table1[[#This Row],[discount_type]],1)&amp;TEXT(ROUND(Table1[[#This Row],[discount_rate]]*100,0),"00")</f>
        <v>N00</v>
      </c>
      <c r="AM897" t="str" cm="1">
        <f t="array" ref="AM897">TEXT(SUMPRODUCT(CODE(MID(Table1[[#This Row],[home_gym_location]],_xlfn.SEQUENCE(LEN(Table1[[#This Row],[home_gym_location]])),1))),"00000")</f>
        <v>00899</v>
      </c>
      <c r="AN897" t="str">
        <f>UPPER(_xlfn.TEXTBEFORE(Table1[[#This Row],[home_gym_location]],","))&amp;"-"&amp;TEXT(MATCH(Table1[[#This Row],[home_gym_location]],_xlfn._xlws.SORT(_xlfn.UNIQUE(Table1[home_gym_location])),0),"000")</f>
        <v>ANAHEIM-001</v>
      </c>
      <c r="AO897" t="str">
        <f>LEFT(_xlfn.TEXTBEFORE(Table1[[#This Row],[Location Identifier]],"-"),3) &amp; "-" &amp; _xlfn.TEXTAFTER(Table1[[#This Row],[Location Identifier]],"-")</f>
        <v>ANA-001</v>
      </c>
      <c r="AP897" s="9">
        <f t="shared" ca="1" si="130"/>
        <v>45869</v>
      </c>
    </row>
    <row r="898" spans="1:42" x14ac:dyDescent="0.25">
      <c r="A898">
        <v>30</v>
      </c>
      <c r="B898" t="s">
        <v>26</v>
      </c>
      <c r="C898">
        <v>3</v>
      </c>
      <c r="D898" t="s">
        <v>138</v>
      </c>
      <c r="E898" t="b">
        <v>0</v>
      </c>
      <c r="F898" s="1">
        <v>0.57708333333333328</v>
      </c>
      <c r="G898" s="1">
        <v>0.67569444444444449</v>
      </c>
      <c r="H898">
        <v>142</v>
      </c>
      <c r="I898" t="b">
        <v>0</v>
      </c>
      <c r="J898" t="b">
        <v>1</v>
      </c>
      <c r="K898" t="b">
        <v>1</v>
      </c>
      <c r="L898" t="s">
        <v>35</v>
      </c>
      <c r="M898">
        <v>50</v>
      </c>
      <c r="N898" t="s">
        <v>64</v>
      </c>
      <c r="O898">
        <v>37.5</v>
      </c>
      <c r="P898" t="s">
        <v>36</v>
      </c>
      <c r="Q898">
        <v>0</v>
      </c>
      <c r="R898">
        <v>37.5</v>
      </c>
      <c r="S898" t="s">
        <v>31</v>
      </c>
      <c r="T898" t="s">
        <v>59</v>
      </c>
      <c r="U898">
        <v>37.774900000000002</v>
      </c>
      <c r="V898">
        <v>-122.4194</v>
      </c>
      <c r="W898" s="2">
        <v>44876</v>
      </c>
      <c r="X898">
        <v>8</v>
      </c>
      <c r="Y898" t="b">
        <v>1</v>
      </c>
      <c r="Z898" s="2">
        <v>45807</v>
      </c>
      <c r="AA898" t="str">
        <f t="shared" si="131"/>
        <v>30–39</v>
      </c>
      <c r="AB898" t="str">
        <f t="shared" si="132"/>
        <v>30–39</v>
      </c>
      <c r="AC898" t="str">
        <f t="shared" si="133"/>
        <v/>
      </c>
      <c r="AD898" t="str">
        <f t="shared" si="134"/>
        <v>Tuesday</v>
      </c>
      <c r="AE898" t="str">
        <f t="shared" si="135"/>
        <v/>
      </c>
      <c r="AF898" t="str">
        <f t="shared" si="136"/>
        <v>Thursday</v>
      </c>
      <c r="AG898" t="str">
        <f t="shared" si="137"/>
        <v/>
      </c>
      <c r="AH898" t="str">
        <f t="shared" si="138"/>
        <v/>
      </c>
      <c r="AI898" t="str">
        <f t="shared" si="139"/>
        <v>Sunday</v>
      </c>
      <c r="AJ898" t="str">
        <f>LEFT(Table1[[#This Row],[membership_type]],2)&amp;TEXT(Table1[[#This Row],[age]],"00")&amp;"-"&amp;TEXT(ROW(),"000")</f>
        <v>Pr30-898</v>
      </c>
      <c r="AK898" t="str">
        <f>LEFT(Table1[[#This Row],[membership_type]],1)&amp;TEXT(MATCH(Table1[[#This Row],[membership_type]],Table1[membership_type],0),"00")</f>
        <v>P01</v>
      </c>
      <c r="AL898" t="str">
        <f>LEFT(Table1[[#This Row],[discount_type]],1)&amp;TEXT(ROUND(Table1[[#This Row],[discount_rate]]*100,0),"00")</f>
        <v>N00</v>
      </c>
      <c r="AM898" t="str" cm="1">
        <f t="array" ref="AM898">TEXT(SUMPRODUCT(CODE(MID(Table1[[#This Row],[home_gym_location]],_xlfn.SEQUENCE(LEN(Table1[[#This Row],[home_gym_location]])),1))),"00000")</f>
        <v>01450</v>
      </c>
      <c r="AN89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898" t="str">
        <f>LEFT(_xlfn.TEXTBEFORE(Table1[[#This Row],[Location Identifier]],"-"),3) &amp; "-" &amp; _xlfn.TEXTAFTER(Table1[[#This Row],[Location Identifier]],"-")</f>
        <v>SAN-009</v>
      </c>
      <c r="AP898" s="9">
        <f t="shared" ref="AP898:AP961" ca="1" si="140">EOMONTH(DATE(YEAR(TODAY()),7,1),0)</f>
        <v>45869</v>
      </c>
    </row>
    <row r="899" spans="1:42" x14ac:dyDescent="0.25">
      <c r="A899">
        <v>29</v>
      </c>
      <c r="B899" t="s">
        <v>33</v>
      </c>
      <c r="C899">
        <v>2</v>
      </c>
      <c r="D899" t="s">
        <v>61</v>
      </c>
      <c r="E899" t="b">
        <v>1</v>
      </c>
      <c r="F899" s="1">
        <v>0.83333333333333337</v>
      </c>
      <c r="G899" s="1">
        <v>0.90972222222222221</v>
      </c>
      <c r="H899">
        <v>110</v>
      </c>
      <c r="I899" t="b">
        <v>1</v>
      </c>
      <c r="J899" t="b">
        <v>1</v>
      </c>
      <c r="K899" t="b">
        <v>0</v>
      </c>
      <c r="L899" t="s">
        <v>62</v>
      </c>
      <c r="M899">
        <v>30</v>
      </c>
      <c r="N899" t="s">
        <v>29</v>
      </c>
      <c r="O899">
        <v>30</v>
      </c>
      <c r="P899" t="s">
        <v>36</v>
      </c>
      <c r="Q899">
        <v>0</v>
      </c>
      <c r="R899">
        <v>30</v>
      </c>
      <c r="S899" t="s">
        <v>37</v>
      </c>
      <c r="T899" t="s">
        <v>54</v>
      </c>
      <c r="U899">
        <v>32.715699999999998</v>
      </c>
      <c r="V899">
        <v>-117.1611</v>
      </c>
      <c r="W899" s="2">
        <v>45817</v>
      </c>
      <c r="X899">
        <v>7</v>
      </c>
      <c r="Y899" t="b">
        <v>0</v>
      </c>
      <c r="Z899" s="2">
        <v>45860</v>
      </c>
      <c r="AA899" t="str">
        <f t="shared" ref="AA899:AA962" si="141">TEXT(10*INT($A899/10),"0")&amp;"–"&amp;TEXT(10*INT($A899/10)+9,"0")</f>
        <v>20–29</v>
      </c>
      <c r="AB899" t="str">
        <f t="shared" ref="AB899:AB962" si="142">IF(AND($AA899 = "10–19", $A899 &lt; 16), "Under 16", IF(AND($AA899 = "10–19", $A899 &gt;= 16), "16–19", $AA899))</f>
        <v>20–29</v>
      </c>
      <c r="AC899" t="str">
        <f t="shared" ref="AC899:AC962" si="143">IF(ISNUMBER(SEARCH("Mon", $D899)), "Monday", "")</f>
        <v/>
      </c>
      <c r="AD899" t="str">
        <f t="shared" ref="AD899:AD962" si="144">IF(ISNUMBER(SEARCH("Tue", $D899)), "Tuesday", "")</f>
        <v>Tuesday</v>
      </c>
      <c r="AE899" t="str">
        <f t="shared" ref="AE899:AE962" si="145">IF(ISNUMBER(SEARCH("Wed", $D899)), "Wednesday", "")</f>
        <v/>
      </c>
      <c r="AF899" t="str">
        <f t="shared" ref="AF899:AF962" si="146">IF(ISNUMBER(SEARCH("Thu", $D899)), "Thursday", "")</f>
        <v/>
      </c>
      <c r="AG899" t="str">
        <f t="shared" ref="AG899:AG962" si="147">IF(ISNUMBER(SEARCH("Fri", $D899)), "Friday", "")</f>
        <v/>
      </c>
      <c r="AH899" t="str">
        <f t="shared" ref="AH899:AH962" si="148">IF(ISNUMBER(SEARCH("Sat", $D899)), "Saturday", "")</f>
        <v>Saturday</v>
      </c>
      <c r="AI899" t="str">
        <f t="shared" ref="AI899:AI962" si="149">IF(ISNUMBER(SEARCH("Sun", $D899)), "Sunday", "")</f>
        <v/>
      </c>
      <c r="AJ899" t="str">
        <f>LEFT(Table1[[#This Row],[membership_type]],2)&amp;TEXT(Table1[[#This Row],[age]],"00")&amp;"-"&amp;TEXT(ROW(),"000")</f>
        <v>St29-899</v>
      </c>
      <c r="AK899" t="str">
        <f>LEFT(Table1[[#This Row],[membership_type]],1)&amp;TEXT(MATCH(Table1[[#This Row],[membership_type]],Table1[membership_type],0),"00")</f>
        <v>S02</v>
      </c>
      <c r="AL899" t="str">
        <f>LEFT(Table1[[#This Row],[discount_type]],1)&amp;TEXT(ROUND(Table1[[#This Row],[discount_rate]]*100,0),"00")</f>
        <v>N00</v>
      </c>
      <c r="AM899" t="str" cm="1">
        <f t="array" ref="AM899">TEXT(SUMPRODUCT(CODE(MID(Table1[[#This Row],[home_gym_location]],_xlfn.SEQUENCE(LEN(Table1[[#This Row],[home_gym_location]])),1))),"00000")</f>
        <v>01018</v>
      </c>
      <c r="AN89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899" t="str">
        <f>LEFT(_xlfn.TEXTBEFORE(Table1[[#This Row],[Location Identifier]],"-"),3) &amp; "-" &amp; _xlfn.TEXTAFTER(Table1[[#This Row],[Location Identifier]],"-")</f>
        <v>SAN-008</v>
      </c>
      <c r="AP899" s="9">
        <f t="shared" ca="1" si="140"/>
        <v>45869</v>
      </c>
    </row>
    <row r="900" spans="1:42" x14ac:dyDescent="0.25">
      <c r="A900">
        <v>36</v>
      </c>
      <c r="B900" t="s">
        <v>26</v>
      </c>
      <c r="C900">
        <v>3</v>
      </c>
      <c r="D900" t="s">
        <v>106</v>
      </c>
      <c r="E900" t="b">
        <v>0</v>
      </c>
      <c r="F900" s="1">
        <v>0.64444444444444449</v>
      </c>
      <c r="G900" s="1">
        <v>0.74791666666666667</v>
      </c>
      <c r="H900">
        <v>149</v>
      </c>
      <c r="I900" t="b">
        <v>1</v>
      </c>
      <c r="J900" t="b">
        <v>0</v>
      </c>
      <c r="K900" t="b">
        <v>0</v>
      </c>
      <c r="L900" t="s">
        <v>28</v>
      </c>
      <c r="M900">
        <v>50</v>
      </c>
      <c r="N900" t="s">
        <v>29</v>
      </c>
      <c r="O900">
        <v>50</v>
      </c>
      <c r="P900" t="s">
        <v>30</v>
      </c>
      <c r="Q900">
        <v>0.05</v>
      </c>
      <c r="R900">
        <v>47.5</v>
      </c>
      <c r="S900" t="s">
        <v>31</v>
      </c>
      <c r="T900" t="s">
        <v>65</v>
      </c>
      <c r="U900">
        <v>33.770099999999999</v>
      </c>
      <c r="V900">
        <v>-118.19370000000001</v>
      </c>
      <c r="W900" s="2">
        <v>45739</v>
      </c>
      <c r="X900">
        <v>0</v>
      </c>
      <c r="Y900" t="b">
        <v>1</v>
      </c>
      <c r="Z900" s="2">
        <v>45855</v>
      </c>
      <c r="AA900" t="str">
        <f t="shared" si="141"/>
        <v>30–39</v>
      </c>
      <c r="AB900" t="str">
        <f t="shared" si="142"/>
        <v>30–39</v>
      </c>
      <c r="AC900" t="str">
        <f t="shared" si="143"/>
        <v/>
      </c>
      <c r="AD900" t="str">
        <f t="shared" si="144"/>
        <v/>
      </c>
      <c r="AE900" t="str">
        <f t="shared" si="145"/>
        <v>Wednesday</v>
      </c>
      <c r="AF900" t="str">
        <f t="shared" si="146"/>
        <v>Thursday</v>
      </c>
      <c r="AG900" t="str">
        <f t="shared" si="147"/>
        <v>Friday</v>
      </c>
      <c r="AH900" t="str">
        <f t="shared" si="148"/>
        <v/>
      </c>
      <c r="AI900" t="str">
        <f t="shared" si="149"/>
        <v/>
      </c>
      <c r="AJ900" t="str">
        <f>LEFT(Table1[[#This Row],[membership_type]],2)&amp;TEXT(Table1[[#This Row],[age]],"00")&amp;"-"&amp;TEXT(ROW(),"000")</f>
        <v>Pr36-900</v>
      </c>
      <c r="AK900" t="str">
        <f>LEFT(Table1[[#This Row],[membership_type]],1)&amp;TEXT(MATCH(Table1[[#This Row],[membership_type]],Table1[membership_type],0),"00")</f>
        <v>P01</v>
      </c>
      <c r="AL900" t="str">
        <f>LEFT(Table1[[#This Row],[discount_type]],1)&amp;TEXT(ROUND(Table1[[#This Row],[discount_rate]]*100,0),"00")</f>
        <v>P05</v>
      </c>
      <c r="AM900" t="str" cm="1">
        <f t="array" ref="AM900">TEXT(SUMPRODUCT(CODE(MID(Table1[[#This Row],[home_gym_location]],_xlfn.SEQUENCE(LEN(Table1[[#This Row],[home_gym_location]])),1))),"00000")</f>
        <v>01107</v>
      </c>
      <c r="AN90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00" t="str">
        <f>LEFT(_xlfn.TEXTBEFORE(Table1[[#This Row],[Location Identifier]],"-"),3) &amp; "-" &amp; _xlfn.TEXTAFTER(Table1[[#This Row],[Location Identifier]],"-")</f>
        <v>LON-004</v>
      </c>
      <c r="AP900" s="9">
        <f t="shared" ca="1" si="140"/>
        <v>45869</v>
      </c>
    </row>
    <row r="901" spans="1:42" x14ac:dyDescent="0.25">
      <c r="A901">
        <v>27</v>
      </c>
      <c r="B901" t="s">
        <v>33</v>
      </c>
      <c r="C901">
        <v>1</v>
      </c>
      <c r="D901" t="s">
        <v>63</v>
      </c>
      <c r="E901" t="b">
        <v>0</v>
      </c>
      <c r="F901" s="1">
        <v>0.47569444444444442</v>
      </c>
      <c r="G901" s="1">
        <v>0.53888888888888886</v>
      </c>
      <c r="H901">
        <v>91</v>
      </c>
      <c r="I901" t="b">
        <v>1</v>
      </c>
      <c r="J901" t="b">
        <v>0</v>
      </c>
      <c r="K901" t="b">
        <v>1</v>
      </c>
      <c r="L901" t="s">
        <v>62</v>
      </c>
      <c r="M901">
        <v>30</v>
      </c>
      <c r="N901" t="s">
        <v>29</v>
      </c>
      <c r="O901">
        <v>30</v>
      </c>
      <c r="P901" t="s">
        <v>74</v>
      </c>
      <c r="Q901">
        <v>0.15</v>
      </c>
      <c r="R901">
        <v>25.5</v>
      </c>
      <c r="S901" t="s">
        <v>37</v>
      </c>
      <c r="T901" t="s">
        <v>38</v>
      </c>
      <c r="U901">
        <v>36.7378</v>
      </c>
      <c r="V901">
        <v>-119.7871</v>
      </c>
      <c r="W901" s="2">
        <v>45609</v>
      </c>
      <c r="X901">
        <v>0</v>
      </c>
      <c r="Y901" t="b">
        <v>0</v>
      </c>
      <c r="Z901" s="2">
        <v>45848</v>
      </c>
      <c r="AA901" t="str">
        <f t="shared" si="141"/>
        <v>20–29</v>
      </c>
      <c r="AB901" t="str">
        <f t="shared" si="142"/>
        <v>20–29</v>
      </c>
      <c r="AC901" t="str">
        <f t="shared" si="143"/>
        <v/>
      </c>
      <c r="AD901" t="str">
        <f t="shared" si="144"/>
        <v/>
      </c>
      <c r="AE901" t="str">
        <f t="shared" si="145"/>
        <v>Wednesday</v>
      </c>
      <c r="AF901" t="str">
        <f t="shared" si="146"/>
        <v/>
      </c>
      <c r="AG901" t="str">
        <f t="shared" si="147"/>
        <v/>
      </c>
      <c r="AH901" t="str">
        <f t="shared" si="148"/>
        <v/>
      </c>
      <c r="AI901" t="str">
        <f t="shared" si="149"/>
        <v/>
      </c>
      <c r="AJ901" t="str">
        <f>LEFT(Table1[[#This Row],[membership_type]],2)&amp;TEXT(Table1[[#This Row],[age]],"00")&amp;"-"&amp;TEXT(ROW(),"000")</f>
        <v>St27-901</v>
      </c>
      <c r="AK901" t="str">
        <f>LEFT(Table1[[#This Row],[membership_type]],1)&amp;TEXT(MATCH(Table1[[#This Row],[membership_type]],Table1[membership_type],0),"00")</f>
        <v>S02</v>
      </c>
      <c r="AL901" t="str">
        <f>LEFT(Table1[[#This Row],[discount_type]],1)&amp;TEXT(ROUND(Table1[[#This Row],[discount_rate]]*100,0),"00")</f>
        <v>S15</v>
      </c>
      <c r="AM901" t="str" cm="1">
        <f t="array" ref="AM901">TEXT(SUMPRODUCT(CODE(MID(Table1[[#This Row],[home_gym_location]],_xlfn.SEQUENCE(LEN(Table1[[#This Row],[home_gym_location]])),1))),"00000")</f>
        <v>00829</v>
      </c>
      <c r="AN901" t="str">
        <f>UPPER(_xlfn.TEXTBEFORE(Table1[[#This Row],[home_gym_location]],","))&amp;"-"&amp;TEXT(MATCH(Table1[[#This Row],[home_gym_location]],_xlfn._xlws.SORT(_xlfn.UNIQUE(Table1[home_gym_location])),0),"000")</f>
        <v>FRESNO-003</v>
      </c>
      <c r="AO901" t="str">
        <f>LEFT(_xlfn.TEXTBEFORE(Table1[[#This Row],[Location Identifier]],"-"),3) &amp; "-" &amp; _xlfn.TEXTAFTER(Table1[[#This Row],[Location Identifier]],"-")</f>
        <v>FRE-003</v>
      </c>
      <c r="AP901" s="9">
        <f t="shared" ca="1" si="140"/>
        <v>45869</v>
      </c>
    </row>
    <row r="902" spans="1:42" x14ac:dyDescent="0.25">
      <c r="A902">
        <v>29</v>
      </c>
      <c r="B902" t="s">
        <v>51</v>
      </c>
      <c r="C902">
        <v>4</v>
      </c>
      <c r="D902" t="s">
        <v>52</v>
      </c>
      <c r="E902" t="b">
        <v>1</v>
      </c>
      <c r="F902" s="1">
        <v>0.76041666666666663</v>
      </c>
      <c r="G902" s="1">
        <v>0.78749999999999998</v>
      </c>
      <c r="H902">
        <v>39</v>
      </c>
      <c r="I902" t="b">
        <v>0</v>
      </c>
      <c r="J902" t="b">
        <v>1</v>
      </c>
      <c r="K902" t="b">
        <v>1</v>
      </c>
      <c r="L902" t="s">
        <v>47</v>
      </c>
      <c r="M902">
        <v>70</v>
      </c>
      <c r="N902" t="s">
        <v>29</v>
      </c>
      <c r="O902">
        <v>70</v>
      </c>
      <c r="P902" t="s">
        <v>36</v>
      </c>
      <c r="Q902">
        <v>0</v>
      </c>
      <c r="R902">
        <v>70</v>
      </c>
      <c r="S902" t="s">
        <v>53</v>
      </c>
      <c r="T902" t="s">
        <v>54</v>
      </c>
      <c r="U902">
        <v>32.715699999999998</v>
      </c>
      <c r="V902">
        <v>-117.1611</v>
      </c>
      <c r="W902" s="2">
        <v>45802</v>
      </c>
      <c r="X902">
        <v>7</v>
      </c>
      <c r="Y902" t="b">
        <v>1</v>
      </c>
      <c r="Z902" s="2">
        <v>45859</v>
      </c>
      <c r="AA902" t="str">
        <f t="shared" si="141"/>
        <v>20–29</v>
      </c>
      <c r="AB902" t="str">
        <f t="shared" si="142"/>
        <v>20–29</v>
      </c>
      <c r="AC902" t="str">
        <f t="shared" si="143"/>
        <v>Monday</v>
      </c>
      <c r="AD902" t="str">
        <f t="shared" si="144"/>
        <v/>
      </c>
      <c r="AE902" t="str">
        <f t="shared" si="145"/>
        <v/>
      </c>
      <c r="AF902" t="str">
        <f t="shared" si="146"/>
        <v>Thursday</v>
      </c>
      <c r="AG902" t="str">
        <f t="shared" si="147"/>
        <v>Friday</v>
      </c>
      <c r="AH902" t="str">
        <f t="shared" si="148"/>
        <v/>
      </c>
      <c r="AI902" t="str">
        <f t="shared" si="149"/>
        <v>Sunday</v>
      </c>
      <c r="AJ902" t="str">
        <f>LEFT(Table1[[#This Row],[membership_type]],2)&amp;TEXT(Table1[[#This Row],[age]],"00")&amp;"-"&amp;TEXT(ROW(),"000")</f>
        <v>El29-902</v>
      </c>
      <c r="AK902" t="str">
        <f>LEFT(Table1[[#This Row],[membership_type]],1)&amp;TEXT(MATCH(Table1[[#This Row],[membership_type]],Table1[membership_type],0),"00")</f>
        <v>E07</v>
      </c>
      <c r="AL902" t="str">
        <f>LEFT(Table1[[#This Row],[discount_type]],1)&amp;TEXT(ROUND(Table1[[#This Row],[discount_rate]]*100,0),"00")</f>
        <v>N00</v>
      </c>
      <c r="AM902" t="str" cm="1">
        <f t="array" ref="AM902">TEXT(SUMPRODUCT(CODE(MID(Table1[[#This Row],[home_gym_location]],_xlfn.SEQUENCE(LEN(Table1[[#This Row],[home_gym_location]])),1))),"00000")</f>
        <v>01018</v>
      </c>
      <c r="AN90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02" t="str">
        <f>LEFT(_xlfn.TEXTBEFORE(Table1[[#This Row],[Location Identifier]],"-"),3) &amp; "-" &amp; _xlfn.TEXTAFTER(Table1[[#This Row],[Location Identifier]],"-")</f>
        <v>SAN-008</v>
      </c>
      <c r="AP902" s="9">
        <f t="shared" ca="1" si="140"/>
        <v>45869</v>
      </c>
    </row>
    <row r="903" spans="1:42" x14ac:dyDescent="0.25">
      <c r="A903">
        <v>29</v>
      </c>
      <c r="B903" t="s">
        <v>33</v>
      </c>
      <c r="C903">
        <v>2</v>
      </c>
      <c r="D903" t="s">
        <v>61</v>
      </c>
      <c r="E903" t="b">
        <v>1</v>
      </c>
      <c r="F903" s="1">
        <v>0.83333333333333337</v>
      </c>
      <c r="G903" s="1">
        <v>0.90972222222222221</v>
      </c>
      <c r="H903">
        <v>110</v>
      </c>
      <c r="I903" t="b">
        <v>1</v>
      </c>
      <c r="J903" t="b">
        <v>1</v>
      </c>
      <c r="K903" t="b">
        <v>0</v>
      </c>
      <c r="L903" t="s">
        <v>62</v>
      </c>
      <c r="M903">
        <v>30</v>
      </c>
      <c r="N903" t="s">
        <v>29</v>
      </c>
      <c r="O903">
        <v>30</v>
      </c>
      <c r="P903" t="s">
        <v>36</v>
      </c>
      <c r="Q903">
        <v>0</v>
      </c>
      <c r="R903">
        <v>30</v>
      </c>
      <c r="S903" t="s">
        <v>37</v>
      </c>
      <c r="T903" t="s">
        <v>54</v>
      </c>
      <c r="U903">
        <v>32.715699999999998</v>
      </c>
      <c r="V903">
        <v>-117.1611</v>
      </c>
      <c r="W903" s="2">
        <v>45637</v>
      </c>
      <c r="X903">
        <v>7</v>
      </c>
      <c r="Y903" t="b">
        <v>1</v>
      </c>
      <c r="Z903" s="2">
        <v>45850</v>
      </c>
      <c r="AA903" t="str">
        <f t="shared" si="141"/>
        <v>20–29</v>
      </c>
      <c r="AB903" t="str">
        <f t="shared" si="142"/>
        <v>20–29</v>
      </c>
      <c r="AC903" t="str">
        <f t="shared" si="143"/>
        <v/>
      </c>
      <c r="AD903" t="str">
        <f t="shared" si="144"/>
        <v>Tuesday</v>
      </c>
      <c r="AE903" t="str">
        <f t="shared" si="145"/>
        <v/>
      </c>
      <c r="AF903" t="str">
        <f t="shared" si="146"/>
        <v/>
      </c>
      <c r="AG903" t="str">
        <f t="shared" si="147"/>
        <v/>
      </c>
      <c r="AH903" t="str">
        <f t="shared" si="148"/>
        <v>Saturday</v>
      </c>
      <c r="AI903" t="str">
        <f t="shared" si="149"/>
        <v/>
      </c>
      <c r="AJ903" t="str">
        <f>LEFT(Table1[[#This Row],[membership_type]],2)&amp;TEXT(Table1[[#This Row],[age]],"00")&amp;"-"&amp;TEXT(ROW(),"000")</f>
        <v>St29-903</v>
      </c>
      <c r="AK903" t="str">
        <f>LEFT(Table1[[#This Row],[membership_type]],1)&amp;TEXT(MATCH(Table1[[#This Row],[membership_type]],Table1[membership_type],0),"00")</f>
        <v>S02</v>
      </c>
      <c r="AL903" t="str">
        <f>LEFT(Table1[[#This Row],[discount_type]],1)&amp;TEXT(ROUND(Table1[[#This Row],[discount_rate]]*100,0),"00")</f>
        <v>N00</v>
      </c>
      <c r="AM903" t="str" cm="1">
        <f t="array" ref="AM903">TEXT(SUMPRODUCT(CODE(MID(Table1[[#This Row],[home_gym_location]],_xlfn.SEQUENCE(LEN(Table1[[#This Row],[home_gym_location]])),1))),"00000")</f>
        <v>01018</v>
      </c>
      <c r="AN90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03" t="str">
        <f>LEFT(_xlfn.TEXTBEFORE(Table1[[#This Row],[Location Identifier]],"-"),3) &amp; "-" &amp; _xlfn.TEXTAFTER(Table1[[#This Row],[Location Identifier]],"-")</f>
        <v>SAN-008</v>
      </c>
      <c r="AP903" s="9">
        <f t="shared" ca="1" si="140"/>
        <v>45869</v>
      </c>
    </row>
    <row r="904" spans="1:42" x14ac:dyDescent="0.25">
      <c r="A904">
        <v>45</v>
      </c>
      <c r="B904" t="s">
        <v>42</v>
      </c>
      <c r="C904">
        <v>2</v>
      </c>
      <c r="D904" t="s">
        <v>141</v>
      </c>
      <c r="E904" t="b">
        <v>1</v>
      </c>
      <c r="F904" s="1">
        <v>0.7680555555555556</v>
      </c>
      <c r="G904" s="1">
        <v>0.88958333333333328</v>
      </c>
      <c r="H904">
        <v>175</v>
      </c>
      <c r="I904" t="b">
        <v>1</v>
      </c>
      <c r="J904" t="b">
        <v>1</v>
      </c>
      <c r="K904" t="b">
        <v>0</v>
      </c>
      <c r="L904" t="s">
        <v>28</v>
      </c>
      <c r="M904">
        <v>20</v>
      </c>
      <c r="N904" t="s">
        <v>64</v>
      </c>
      <c r="O904">
        <v>15</v>
      </c>
      <c r="P904" t="s">
        <v>74</v>
      </c>
      <c r="Q904">
        <v>0.15</v>
      </c>
      <c r="R904">
        <v>12.75</v>
      </c>
      <c r="S904" t="s">
        <v>44</v>
      </c>
      <c r="T904" t="s">
        <v>59</v>
      </c>
      <c r="U904">
        <v>37.774900000000002</v>
      </c>
      <c r="V904">
        <v>-122.4194</v>
      </c>
      <c r="W904" s="2">
        <v>45210</v>
      </c>
      <c r="X904">
        <v>8</v>
      </c>
      <c r="Y904" t="b">
        <v>0</v>
      </c>
      <c r="Z904" s="2">
        <v>45826</v>
      </c>
      <c r="AA904" t="str">
        <f t="shared" si="141"/>
        <v>40–49</v>
      </c>
      <c r="AB904" t="str">
        <f t="shared" si="142"/>
        <v>40–49</v>
      </c>
      <c r="AC904" t="str">
        <f t="shared" si="143"/>
        <v/>
      </c>
      <c r="AD904" t="str">
        <f t="shared" si="144"/>
        <v/>
      </c>
      <c r="AE904" t="str">
        <f t="shared" si="145"/>
        <v>Wednesday</v>
      </c>
      <c r="AF904" t="str">
        <f t="shared" si="146"/>
        <v/>
      </c>
      <c r="AG904" t="str">
        <f t="shared" si="147"/>
        <v>Friday</v>
      </c>
      <c r="AH904" t="str">
        <f t="shared" si="148"/>
        <v/>
      </c>
      <c r="AI904" t="str">
        <f t="shared" si="149"/>
        <v/>
      </c>
      <c r="AJ904" t="str">
        <f>LEFT(Table1[[#This Row],[membership_type]],2)&amp;TEXT(Table1[[#This Row],[age]],"00")&amp;"-"&amp;TEXT(ROW(),"000")</f>
        <v>Ba45-904</v>
      </c>
      <c r="AK904" t="str">
        <f>LEFT(Table1[[#This Row],[membership_type]],1)&amp;TEXT(MATCH(Table1[[#This Row],[membership_type]],Table1[membership_type],0),"00")</f>
        <v>B04</v>
      </c>
      <c r="AL904" t="str">
        <f>LEFT(Table1[[#This Row],[discount_type]],1)&amp;TEXT(ROUND(Table1[[#This Row],[discount_rate]]*100,0),"00")</f>
        <v>S15</v>
      </c>
      <c r="AM904" t="str" cm="1">
        <f t="array" ref="AM904">TEXT(SUMPRODUCT(CODE(MID(Table1[[#This Row],[home_gym_location]],_xlfn.SEQUENCE(LEN(Table1[[#This Row],[home_gym_location]])),1))),"00000")</f>
        <v>01450</v>
      </c>
      <c r="AN90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04" t="str">
        <f>LEFT(_xlfn.TEXTBEFORE(Table1[[#This Row],[Location Identifier]],"-"),3) &amp; "-" &amp; _xlfn.TEXTAFTER(Table1[[#This Row],[Location Identifier]],"-")</f>
        <v>SAN-009</v>
      </c>
      <c r="AP904" s="9">
        <f t="shared" ca="1" si="140"/>
        <v>45869</v>
      </c>
    </row>
    <row r="905" spans="1:42" x14ac:dyDescent="0.25">
      <c r="A905">
        <v>24</v>
      </c>
      <c r="B905" t="s">
        <v>26</v>
      </c>
      <c r="C905">
        <v>5</v>
      </c>
      <c r="D905" t="s">
        <v>115</v>
      </c>
      <c r="E905" t="b">
        <v>0</v>
      </c>
      <c r="F905" s="1">
        <v>0.87013888888888891</v>
      </c>
      <c r="G905" s="1">
        <v>0.98124999999999996</v>
      </c>
      <c r="H905">
        <v>160</v>
      </c>
      <c r="I905" t="b">
        <v>1</v>
      </c>
      <c r="J905" t="b">
        <v>0</v>
      </c>
      <c r="K905" t="b">
        <v>0</v>
      </c>
      <c r="L905" t="s">
        <v>28</v>
      </c>
      <c r="M905">
        <v>50</v>
      </c>
      <c r="N905" t="s">
        <v>29</v>
      </c>
      <c r="O905">
        <v>50</v>
      </c>
      <c r="P905" t="s">
        <v>40</v>
      </c>
      <c r="Q905">
        <v>0.1</v>
      </c>
      <c r="R905">
        <v>45</v>
      </c>
      <c r="S905" t="s">
        <v>31</v>
      </c>
      <c r="T905" t="s">
        <v>56</v>
      </c>
      <c r="U905">
        <v>35.3733</v>
      </c>
      <c r="V905">
        <v>-119.0187</v>
      </c>
      <c r="W905" s="2">
        <v>45382</v>
      </c>
      <c r="X905">
        <v>0</v>
      </c>
      <c r="Y905" t="b">
        <v>1</v>
      </c>
      <c r="Z905" s="2">
        <v>45835</v>
      </c>
      <c r="AA905" t="str">
        <f t="shared" si="141"/>
        <v>20–29</v>
      </c>
      <c r="AB905" t="str">
        <f t="shared" si="142"/>
        <v>20–29</v>
      </c>
      <c r="AC905" t="str">
        <f t="shared" si="143"/>
        <v>Monday</v>
      </c>
      <c r="AD905" t="str">
        <f t="shared" si="144"/>
        <v/>
      </c>
      <c r="AE905" t="str">
        <f t="shared" si="145"/>
        <v>Wednesday</v>
      </c>
      <c r="AF905" t="str">
        <f t="shared" si="146"/>
        <v/>
      </c>
      <c r="AG905" t="str">
        <f t="shared" si="147"/>
        <v>Friday</v>
      </c>
      <c r="AH905" t="str">
        <f t="shared" si="148"/>
        <v>Saturday</v>
      </c>
      <c r="AI905" t="str">
        <f t="shared" si="149"/>
        <v>Sunday</v>
      </c>
      <c r="AJ905" t="str">
        <f>LEFT(Table1[[#This Row],[membership_type]],2)&amp;TEXT(Table1[[#This Row],[age]],"00")&amp;"-"&amp;TEXT(ROW(),"000")</f>
        <v>Pr24-905</v>
      </c>
      <c r="AK905" t="str">
        <f>LEFT(Table1[[#This Row],[membership_type]],1)&amp;TEXT(MATCH(Table1[[#This Row],[membership_type]],Table1[membership_type],0),"00")</f>
        <v>P01</v>
      </c>
      <c r="AL905" t="str">
        <f>LEFT(Table1[[#This Row],[discount_type]],1)&amp;TEXT(ROUND(Table1[[#This Row],[discount_rate]]*100,0),"00")</f>
        <v>L10</v>
      </c>
      <c r="AM905" t="str" cm="1">
        <f t="array" ref="AM905">TEXT(SUMPRODUCT(CODE(MID(Table1[[#This Row],[home_gym_location]],_xlfn.SEQUENCE(LEN(Table1[[#This Row],[home_gym_location]])),1))),"00000")</f>
        <v>01324</v>
      </c>
      <c r="AN90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05" t="str">
        <f>LEFT(_xlfn.TEXTBEFORE(Table1[[#This Row],[Location Identifier]],"-"),3) &amp; "-" &amp; _xlfn.TEXTAFTER(Table1[[#This Row],[Location Identifier]],"-")</f>
        <v>BAK-002</v>
      </c>
      <c r="AP905" s="9">
        <f t="shared" ca="1" si="140"/>
        <v>45869</v>
      </c>
    </row>
    <row r="906" spans="1:42" x14ac:dyDescent="0.25">
      <c r="A906">
        <v>48</v>
      </c>
      <c r="B906" t="s">
        <v>26</v>
      </c>
      <c r="C906">
        <v>3</v>
      </c>
      <c r="D906" t="s">
        <v>102</v>
      </c>
      <c r="E906" t="b">
        <v>1</v>
      </c>
      <c r="F906" s="1">
        <v>0.35625000000000001</v>
      </c>
      <c r="G906" s="1">
        <v>0.42569444444444443</v>
      </c>
      <c r="H906">
        <v>100</v>
      </c>
      <c r="I906" t="b">
        <v>1</v>
      </c>
      <c r="J906" t="b">
        <v>1</v>
      </c>
      <c r="K906" t="b">
        <v>1</v>
      </c>
      <c r="L906" t="s">
        <v>28</v>
      </c>
      <c r="M906">
        <v>50</v>
      </c>
      <c r="N906" t="s">
        <v>29</v>
      </c>
      <c r="O906">
        <v>50</v>
      </c>
      <c r="P906" t="s">
        <v>74</v>
      </c>
      <c r="Q906">
        <v>0.15</v>
      </c>
      <c r="R906">
        <v>42.5</v>
      </c>
      <c r="S906" t="s">
        <v>31</v>
      </c>
      <c r="T906" t="s">
        <v>48</v>
      </c>
      <c r="U906">
        <v>38.581600000000002</v>
      </c>
      <c r="V906">
        <v>-121.4944</v>
      </c>
      <c r="W906" s="2">
        <v>44880</v>
      </c>
      <c r="X906">
        <v>5</v>
      </c>
      <c r="Y906" t="b">
        <v>1</v>
      </c>
      <c r="Z906" s="2">
        <v>45807</v>
      </c>
      <c r="AA906" t="str">
        <f t="shared" si="141"/>
        <v>40–49</v>
      </c>
      <c r="AB906" t="str">
        <f t="shared" si="142"/>
        <v>40–49</v>
      </c>
      <c r="AC906" t="str">
        <f t="shared" si="143"/>
        <v/>
      </c>
      <c r="AD906" t="str">
        <f t="shared" si="144"/>
        <v/>
      </c>
      <c r="AE906" t="str">
        <f t="shared" si="145"/>
        <v/>
      </c>
      <c r="AF906" t="str">
        <f t="shared" si="146"/>
        <v>Thursday</v>
      </c>
      <c r="AG906" t="str">
        <f t="shared" si="147"/>
        <v>Friday</v>
      </c>
      <c r="AH906" t="str">
        <f t="shared" si="148"/>
        <v>Saturday</v>
      </c>
      <c r="AI906" t="str">
        <f t="shared" si="149"/>
        <v/>
      </c>
      <c r="AJ906" t="str">
        <f>LEFT(Table1[[#This Row],[membership_type]],2)&amp;TEXT(Table1[[#This Row],[age]],"00")&amp;"-"&amp;TEXT(ROW(),"000")</f>
        <v>Pr48-906</v>
      </c>
      <c r="AK906" t="str">
        <f>LEFT(Table1[[#This Row],[membership_type]],1)&amp;TEXT(MATCH(Table1[[#This Row],[membership_type]],Table1[membership_type],0),"00")</f>
        <v>P01</v>
      </c>
      <c r="AL906" t="str">
        <f>LEFT(Table1[[#This Row],[discount_type]],1)&amp;TEXT(ROUND(Table1[[#This Row],[discount_rate]]*100,0),"00")</f>
        <v>S15</v>
      </c>
      <c r="AM906" t="str" cm="1">
        <f t="array" ref="AM906">TEXT(SUMPRODUCT(CODE(MID(Table1[[#This Row],[home_gym_location]],_xlfn.SEQUENCE(LEN(Table1[[#This Row],[home_gym_location]])),1))),"00000")</f>
        <v>01245</v>
      </c>
      <c r="AN90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06" t="str">
        <f>LEFT(_xlfn.TEXTBEFORE(Table1[[#This Row],[Location Identifier]],"-"),3) &amp; "-" &amp; _xlfn.TEXTAFTER(Table1[[#This Row],[Location Identifier]],"-")</f>
        <v>SAC-007</v>
      </c>
      <c r="AP906" s="9">
        <f t="shared" ca="1" si="140"/>
        <v>45869</v>
      </c>
    </row>
    <row r="907" spans="1:42" x14ac:dyDescent="0.25">
      <c r="A907">
        <v>22</v>
      </c>
      <c r="B907" t="s">
        <v>33</v>
      </c>
      <c r="C907">
        <v>1</v>
      </c>
      <c r="D907" t="s">
        <v>49</v>
      </c>
      <c r="E907" t="b">
        <v>1</v>
      </c>
      <c r="F907" s="1">
        <v>0.34583333333333333</v>
      </c>
      <c r="G907" s="1">
        <v>0.46388888888888891</v>
      </c>
      <c r="H907">
        <v>170</v>
      </c>
      <c r="I907" t="b">
        <v>0</v>
      </c>
      <c r="J907" t="b">
        <v>0</v>
      </c>
      <c r="K907" t="b">
        <v>0</v>
      </c>
      <c r="L907" t="s">
        <v>28</v>
      </c>
      <c r="M907">
        <v>30</v>
      </c>
      <c r="N907" t="s">
        <v>29</v>
      </c>
      <c r="O907">
        <v>30</v>
      </c>
      <c r="P907" t="s">
        <v>36</v>
      </c>
      <c r="Q907">
        <v>0</v>
      </c>
      <c r="R907">
        <v>30</v>
      </c>
      <c r="S907" t="s">
        <v>37</v>
      </c>
      <c r="T907" t="s">
        <v>41</v>
      </c>
      <c r="U907">
        <v>37.804400000000001</v>
      </c>
      <c r="V907">
        <v>-122.27119999999999</v>
      </c>
      <c r="W907" s="2">
        <v>44960</v>
      </c>
      <c r="X907">
        <v>0</v>
      </c>
      <c r="Y907" t="b">
        <v>1</v>
      </c>
      <c r="Z907" s="2">
        <v>45811</v>
      </c>
      <c r="AA907" t="str">
        <f t="shared" si="141"/>
        <v>20–29</v>
      </c>
      <c r="AB907" t="str">
        <f t="shared" si="142"/>
        <v>20–29</v>
      </c>
      <c r="AC907" t="str">
        <f t="shared" si="143"/>
        <v/>
      </c>
      <c r="AD907" t="str">
        <f t="shared" si="144"/>
        <v/>
      </c>
      <c r="AE907" t="str">
        <f t="shared" si="145"/>
        <v/>
      </c>
      <c r="AF907" t="str">
        <f t="shared" si="146"/>
        <v/>
      </c>
      <c r="AG907" t="str">
        <f t="shared" si="147"/>
        <v/>
      </c>
      <c r="AH907" t="str">
        <f t="shared" si="148"/>
        <v/>
      </c>
      <c r="AI907" t="str">
        <f t="shared" si="149"/>
        <v>Sunday</v>
      </c>
      <c r="AJ907" t="str">
        <f>LEFT(Table1[[#This Row],[membership_type]],2)&amp;TEXT(Table1[[#This Row],[age]],"00")&amp;"-"&amp;TEXT(ROW(),"000")</f>
        <v>St22-907</v>
      </c>
      <c r="AK907" t="str">
        <f>LEFT(Table1[[#This Row],[membership_type]],1)&amp;TEXT(MATCH(Table1[[#This Row],[membership_type]],Table1[membership_type],0),"00")</f>
        <v>S02</v>
      </c>
      <c r="AL907" t="str">
        <f>LEFT(Table1[[#This Row],[discount_type]],1)&amp;TEXT(ROUND(Table1[[#This Row],[discount_rate]]*100,0),"00")</f>
        <v>N00</v>
      </c>
      <c r="AM907" t="str" cm="1">
        <f t="array" ref="AM907">TEXT(SUMPRODUCT(CODE(MID(Table1[[#This Row],[home_gym_location]],_xlfn.SEQUENCE(LEN(Table1[[#This Row],[home_gym_location]])),1))),"00000")</f>
        <v>00906</v>
      </c>
      <c r="AN907" t="str">
        <f>UPPER(_xlfn.TEXTBEFORE(Table1[[#This Row],[home_gym_location]],","))&amp;"-"&amp;TEXT(MATCH(Table1[[#This Row],[home_gym_location]],_xlfn._xlws.SORT(_xlfn.UNIQUE(Table1[home_gym_location])),0),"000")</f>
        <v>OAKLAND-006</v>
      </c>
      <c r="AO907" t="str">
        <f>LEFT(_xlfn.TEXTBEFORE(Table1[[#This Row],[Location Identifier]],"-"),3) &amp; "-" &amp; _xlfn.TEXTAFTER(Table1[[#This Row],[Location Identifier]],"-")</f>
        <v>OAK-006</v>
      </c>
      <c r="AP907" s="9">
        <f t="shared" ca="1" si="140"/>
        <v>45869</v>
      </c>
    </row>
    <row r="908" spans="1:42" x14ac:dyDescent="0.25">
      <c r="A908">
        <v>41</v>
      </c>
      <c r="B908" t="s">
        <v>26</v>
      </c>
      <c r="C908">
        <v>1</v>
      </c>
      <c r="D908" t="s">
        <v>75</v>
      </c>
      <c r="E908" t="b">
        <v>1</v>
      </c>
      <c r="F908" s="1">
        <v>0.40694444444444444</v>
      </c>
      <c r="G908" s="1">
        <v>0.46527777777777779</v>
      </c>
      <c r="H908">
        <v>84</v>
      </c>
      <c r="I908" t="b">
        <v>1</v>
      </c>
      <c r="J908" t="b">
        <v>1</v>
      </c>
      <c r="K908" t="b">
        <v>0</v>
      </c>
      <c r="L908" t="s">
        <v>62</v>
      </c>
      <c r="M908">
        <v>50</v>
      </c>
      <c r="N908" t="s">
        <v>78</v>
      </c>
      <c r="O908">
        <v>45</v>
      </c>
      <c r="P908" t="s">
        <v>36</v>
      </c>
      <c r="Q908">
        <v>0</v>
      </c>
      <c r="R908">
        <v>45</v>
      </c>
      <c r="S908" t="s">
        <v>31</v>
      </c>
      <c r="T908" t="s">
        <v>65</v>
      </c>
      <c r="U908">
        <v>33.770099999999999</v>
      </c>
      <c r="V908">
        <v>-118.19370000000001</v>
      </c>
      <c r="W908" s="2">
        <v>45466</v>
      </c>
      <c r="X908">
        <v>6</v>
      </c>
      <c r="Y908" t="b">
        <v>0</v>
      </c>
      <c r="Z908" s="2">
        <v>45840</v>
      </c>
      <c r="AA908" t="str">
        <f t="shared" si="141"/>
        <v>40–49</v>
      </c>
      <c r="AB908" t="str">
        <f t="shared" si="142"/>
        <v>40–49</v>
      </c>
      <c r="AC908" t="str">
        <f t="shared" si="143"/>
        <v/>
      </c>
      <c r="AD908" t="str">
        <f t="shared" si="144"/>
        <v/>
      </c>
      <c r="AE908" t="str">
        <f t="shared" si="145"/>
        <v/>
      </c>
      <c r="AF908" t="str">
        <f t="shared" si="146"/>
        <v/>
      </c>
      <c r="AG908" t="str">
        <f t="shared" si="147"/>
        <v>Friday</v>
      </c>
      <c r="AH908" t="str">
        <f t="shared" si="148"/>
        <v/>
      </c>
      <c r="AI908" t="str">
        <f t="shared" si="149"/>
        <v/>
      </c>
      <c r="AJ908" t="str">
        <f>LEFT(Table1[[#This Row],[membership_type]],2)&amp;TEXT(Table1[[#This Row],[age]],"00")&amp;"-"&amp;TEXT(ROW(),"000")</f>
        <v>Pr41-908</v>
      </c>
      <c r="AK908" t="str">
        <f>LEFT(Table1[[#This Row],[membership_type]],1)&amp;TEXT(MATCH(Table1[[#This Row],[membership_type]],Table1[membership_type],0),"00")</f>
        <v>P01</v>
      </c>
      <c r="AL908" t="str">
        <f>LEFT(Table1[[#This Row],[discount_type]],1)&amp;TEXT(ROUND(Table1[[#This Row],[discount_rate]]*100,0),"00")</f>
        <v>N00</v>
      </c>
      <c r="AM908" t="str" cm="1">
        <f t="array" ref="AM908">TEXT(SUMPRODUCT(CODE(MID(Table1[[#This Row],[home_gym_location]],_xlfn.SEQUENCE(LEN(Table1[[#This Row],[home_gym_location]])),1))),"00000")</f>
        <v>01107</v>
      </c>
      <c r="AN90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08" t="str">
        <f>LEFT(_xlfn.TEXTBEFORE(Table1[[#This Row],[Location Identifier]],"-"),3) &amp; "-" &amp; _xlfn.TEXTAFTER(Table1[[#This Row],[Location Identifier]],"-")</f>
        <v>LON-004</v>
      </c>
      <c r="AP908" s="9">
        <f t="shared" ca="1" si="140"/>
        <v>45869</v>
      </c>
    </row>
    <row r="909" spans="1:42" x14ac:dyDescent="0.25">
      <c r="A909">
        <v>29</v>
      </c>
      <c r="B909" t="s">
        <v>26</v>
      </c>
      <c r="C909">
        <v>5</v>
      </c>
      <c r="D909" t="s">
        <v>118</v>
      </c>
      <c r="E909" t="b">
        <v>1</v>
      </c>
      <c r="F909" s="1">
        <v>0.40138888888888891</v>
      </c>
      <c r="G909" s="1">
        <v>0.44374999999999998</v>
      </c>
      <c r="H909">
        <v>61</v>
      </c>
      <c r="I909" t="b">
        <v>0</v>
      </c>
      <c r="J909" t="b">
        <v>0</v>
      </c>
      <c r="K909" t="b">
        <v>1</v>
      </c>
      <c r="L909" t="s">
        <v>62</v>
      </c>
      <c r="M909">
        <v>50</v>
      </c>
      <c r="N909" t="s">
        <v>64</v>
      </c>
      <c r="O909">
        <v>37.5</v>
      </c>
      <c r="P909" t="s">
        <v>74</v>
      </c>
      <c r="Q909">
        <v>0.15</v>
      </c>
      <c r="R909">
        <v>31.875</v>
      </c>
      <c r="S909" t="s">
        <v>31</v>
      </c>
      <c r="T909" t="s">
        <v>50</v>
      </c>
      <c r="U909">
        <v>34.052199999999999</v>
      </c>
      <c r="V909">
        <v>-118.2437</v>
      </c>
      <c r="W909" s="2">
        <v>45554</v>
      </c>
      <c r="X909">
        <v>0</v>
      </c>
      <c r="Y909" t="b">
        <v>1</v>
      </c>
      <c r="Z909" s="2">
        <v>45845</v>
      </c>
      <c r="AA909" t="str">
        <f t="shared" si="141"/>
        <v>20–29</v>
      </c>
      <c r="AB909" t="str">
        <f t="shared" si="142"/>
        <v>20–29</v>
      </c>
      <c r="AC909" t="str">
        <f t="shared" si="143"/>
        <v>Monday</v>
      </c>
      <c r="AD909" t="str">
        <f t="shared" si="144"/>
        <v/>
      </c>
      <c r="AE909" t="str">
        <f t="shared" si="145"/>
        <v>Wednesday</v>
      </c>
      <c r="AF909" t="str">
        <f t="shared" si="146"/>
        <v>Thursday</v>
      </c>
      <c r="AG909" t="str">
        <f t="shared" si="147"/>
        <v>Friday</v>
      </c>
      <c r="AH909" t="str">
        <f t="shared" si="148"/>
        <v>Saturday</v>
      </c>
      <c r="AI909" t="str">
        <f t="shared" si="149"/>
        <v/>
      </c>
      <c r="AJ909" t="str">
        <f>LEFT(Table1[[#This Row],[membership_type]],2)&amp;TEXT(Table1[[#This Row],[age]],"00")&amp;"-"&amp;TEXT(ROW(),"000")</f>
        <v>Pr29-909</v>
      </c>
      <c r="AK909" t="str">
        <f>LEFT(Table1[[#This Row],[membership_type]],1)&amp;TEXT(MATCH(Table1[[#This Row],[membership_type]],Table1[membership_type],0),"00")</f>
        <v>P01</v>
      </c>
      <c r="AL909" t="str">
        <f>LEFT(Table1[[#This Row],[discount_type]],1)&amp;TEXT(ROUND(Table1[[#This Row],[discount_rate]]*100,0),"00")</f>
        <v>S15</v>
      </c>
      <c r="AM909" t="str" cm="1">
        <f t="array" ref="AM909">TEXT(SUMPRODUCT(CODE(MID(Table1[[#This Row],[home_gym_location]],_xlfn.SEQUENCE(LEN(Table1[[#This Row],[home_gym_location]])),1))),"00000")</f>
        <v>01245</v>
      </c>
      <c r="AN90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09" t="str">
        <f>LEFT(_xlfn.TEXTBEFORE(Table1[[#This Row],[Location Identifier]],"-"),3) &amp; "-" &amp; _xlfn.TEXTAFTER(Table1[[#This Row],[Location Identifier]],"-")</f>
        <v>LOS-005</v>
      </c>
      <c r="AP909" s="9">
        <f t="shared" ca="1" si="140"/>
        <v>45869</v>
      </c>
    </row>
    <row r="910" spans="1:42" x14ac:dyDescent="0.25">
      <c r="A910">
        <v>29</v>
      </c>
      <c r="B910" t="s">
        <v>33</v>
      </c>
      <c r="C910">
        <v>1</v>
      </c>
      <c r="D910" t="s">
        <v>63</v>
      </c>
      <c r="E910" t="b">
        <v>1</v>
      </c>
      <c r="F910" s="1">
        <v>0.79861111111111116</v>
      </c>
      <c r="G910" s="1">
        <v>0.89722222222222225</v>
      </c>
      <c r="H910">
        <v>142</v>
      </c>
      <c r="I910" t="b">
        <v>1</v>
      </c>
      <c r="J910" t="b">
        <v>1</v>
      </c>
      <c r="K910" t="b">
        <v>0</v>
      </c>
      <c r="L910" t="s">
        <v>28</v>
      </c>
      <c r="M910">
        <v>30</v>
      </c>
      <c r="N910" t="s">
        <v>78</v>
      </c>
      <c r="O910">
        <v>27</v>
      </c>
      <c r="P910" t="s">
        <v>40</v>
      </c>
      <c r="Q910">
        <v>0.1</v>
      </c>
      <c r="R910">
        <v>24.3</v>
      </c>
      <c r="S910" t="s">
        <v>37</v>
      </c>
      <c r="T910" t="s">
        <v>48</v>
      </c>
      <c r="U910">
        <v>38.581600000000002</v>
      </c>
      <c r="V910">
        <v>-121.4944</v>
      </c>
      <c r="W910" s="2">
        <v>45426</v>
      </c>
      <c r="X910">
        <v>1</v>
      </c>
      <c r="Y910" t="b">
        <v>0</v>
      </c>
      <c r="Z910" s="2">
        <v>45838</v>
      </c>
      <c r="AA910" t="str">
        <f t="shared" si="141"/>
        <v>20–29</v>
      </c>
      <c r="AB910" t="str">
        <f t="shared" si="142"/>
        <v>20–29</v>
      </c>
      <c r="AC910" t="str">
        <f t="shared" si="143"/>
        <v/>
      </c>
      <c r="AD910" t="str">
        <f t="shared" si="144"/>
        <v/>
      </c>
      <c r="AE910" t="str">
        <f t="shared" si="145"/>
        <v>Wednesday</v>
      </c>
      <c r="AF910" t="str">
        <f t="shared" si="146"/>
        <v/>
      </c>
      <c r="AG910" t="str">
        <f t="shared" si="147"/>
        <v/>
      </c>
      <c r="AH910" t="str">
        <f t="shared" si="148"/>
        <v/>
      </c>
      <c r="AI910" t="str">
        <f t="shared" si="149"/>
        <v/>
      </c>
      <c r="AJ910" t="str">
        <f>LEFT(Table1[[#This Row],[membership_type]],2)&amp;TEXT(Table1[[#This Row],[age]],"00")&amp;"-"&amp;TEXT(ROW(),"000")</f>
        <v>St29-910</v>
      </c>
      <c r="AK910" t="str">
        <f>LEFT(Table1[[#This Row],[membership_type]],1)&amp;TEXT(MATCH(Table1[[#This Row],[membership_type]],Table1[membership_type],0),"00")</f>
        <v>S02</v>
      </c>
      <c r="AL910" t="str">
        <f>LEFT(Table1[[#This Row],[discount_type]],1)&amp;TEXT(ROUND(Table1[[#This Row],[discount_rate]]*100,0),"00")</f>
        <v>L10</v>
      </c>
      <c r="AM910" t="str" cm="1">
        <f t="array" ref="AM910">TEXT(SUMPRODUCT(CODE(MID(Table1[[#This Row],[home_gym_location]],_xlfn.SEQUENCE(LEN(Table1[[#This Row],[home_gym_location]])),1))),"00000")</f>
        <v>01245</v>
      </c>
      <c r="AN91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10" t="str">
        <f>LEFT(_xlfn.TEXTBEFORE(Table1[[#This Row],[Location Identifier]],"-"),3) &amp; "-" &amp; _xlfn.TEXTAFTER(Table1[[#This Row],[Location Identifier]],"-")</f>
        <v>SAC-007</v>
      </c>
      <c r="AP910" s="9">
        <f t="shared" ca="1" si="140"/>
        <v>45869</v>
      </c>
    </row>
    <row r="911" spans="1:42" x14ac:dyDescent="0.25">
      <c r="A911">
        <v>29</v>
      </c>
      <c r="B911" t="s">
        <v>26</v>
      </c>
      <c r="C911">
        <v>5</v>
      </c>
      <c r="D911" t="s">
        <v>118</v>
      </c>
      <c r="E911" t="b">
        <v>1</v>
      </c>
      <c r="F911" s="1">
        <v>0.40138888888888891</v>
      </c>
      <c r="G911" s="1">
        <v>0.44374999999999998</v>
      </c>
      <c r="H911">
        <v>61</v>
      </c>
      <c r="I911" t="b">
        <v>0</v>
      </c>
      <c r="J911" t="b">
        <v>0</v>
      </c>
      <c r="K911" t="b">
        <v>1</v>
      </c>
      <c r="L911" t="s">
        <v>62</v>
      </c>
      <c r="M911">
        <v>50</v>
      </c>
      <c r="N911" t="s">
        <v>64</v>
      </c>
      <c r="O911">
        <v>37.5</v>
      </c>
      <c r="P911" t="s">
        <v>74</v>
      </c>
      <c r="Q911">
        <v>0.15</v>
      </c>
      <c r="R911">
        <v>31.875</v>
      </c>
      <c r="S911" t="s">
        <v>31</v>
      </c>
      <c r="T911" t="s">
        <v>50</v>
      </c>
      <c r="U911">
        <v>34.052199999999999</v>
      </c>
      <c r="V911">
        <v>-118.2437</v>
      </c>
      <c r="W911" s="2">
        <v>45202</v>
      </c>
      <c r="X911">
        <v>0</v>
      </c>
      <c r="Y911" t="b">
        <v>1</v>
      </c>
      <c r="Z911" s="2">
        <v>45825</v>
      </c>
      <c r="AA911" t="str">
        <f t="shared" si="141"/>
        <v>20–29</v>
      </c>
      <c r="AB911" t="str">
        <f t="shared" si="142"/>
        <v>20–29</v>
      </c>
      <c r="AC911" t="str">
        <f t="shared" si="143"/>
        <v>Monday</v>
      </c>
      <c r="AD911" t="str">
        <f t="shared" si="144"/>
        <v/>
      </c>
      <c r="AE911" t="str">
        <f t="shared" si="145"/>
        <v>Wednesday</v>
      </c>
      <c r="AF911" t="str">
        <f t="shared" si="146"/>
        <v>Thursday</v>
      </c>
      <c r="AG911" t="str">
        <f t="shared" si="147"/>
        <v>Friday</v>
      </c>
      <c r="AH911" t="str">
        <f t="shared" si="148"/>
        <v>Saturday</v>
      </c>
      <c r="AI911" t="str">
        <f t="shared" si="149"/>
        <v/>
      </c>
      <c r="AJ911" t="str">
        <f>LEFT(Table1[[#This Row],[membership_type]],2)&amp;TEXT(Table1[[#This Row],[age]],"00")&amp;"-"&amp;TEXT(ROW(),"000")</f>
        <v>Pr29-911</v>
      </c>
      <c r="AK911" t="str">
        <f>LEFT(Table1[[#This Row],[membership_type]],1)&amp;TEXT(MATCH(Table1[[#This Row],[membership_type]],Table1[membership_type],0),"00")</f>
        <v>P01</v>
      </c>
      <c r="AL911" t="str">
        <f>LEFT(Table1[[#This Row],[discount_type]],1)&amp;TEXT(ROUND(Table1[[#This Row],[discount_rate]]*100,0),"00")</f>
        <v>S15</v>
      </c>
      <c r="AM911" t="str" cm="1">
        <f t="array" ref="AM911">TEXT(SUMPRODUCT(CODE(MID(Table1[[#This Row],[home_gym_location]],_xlfn.SEQUENCE(LEN(Table1[[#This Row],[home_gym_location]])),1))),"00000")</f>
        <v>01245</v>
      </c>
      <c r="AN91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11" t="str">
        <f>LEFT(_xlfn.TEXTBEFORE(Table1[[#This Row],[Location Identifier]],"-"),3) &amp; "-" &amp; _xlfn.TEXTAFTER(Table1[[#This Row],[Location Identifier]],"-")</f>
        <v>LOS-005</v>
      </c>
      <c r="AP911" s="9">
        <f t="shared" ca="1" si="140"/>
        <v>45869</v>
      </c>
    </row>
    <row r="912" spans="1:42" x14ac:dyDescent="0.25">
      <c r="A912">
        <v>17</v>
      </c>
      <c r="B912" t="s">
        <v>42</v>
      </c>
      <c r="C912">
        <v>4</v>
      </c>
      <c r="D912" t="s">
        <v>159</v>
      </c>
      <c r="E912" t="b">
        <v>1</v>
      </c>
      <c r="F912" s="1">
        <v>0.82638888888888884</v>
      </c>
      <c r="G912" s="1">
        <v>0.94652777777777775</v>
      </c>
      <c r="H912">
        <v>173</v>
      </c>
      <c r="I912" t="b">
        <v>1</v>
      </c>
      <c r="J912" t="b">
        <v>1</v>
      </c>
      <c r="K912" t="b">
        <v>0</v>
      </c>
      <c r="L912" t="s">
        <v>62</v>
      </c>
      <c r="M912">
        <v>20</v>
      </c>
      <c r="N912" t="s">
        <v>29</v>
      </c>
      <c r="O912">
        <v>20</v>
      </c>
      <c r="P912" t="s">
        <v>36</v>
      </c>
      <c r="Q912">
        <v>0</v>
      </c>
      <c r="R912">
        <v>20</v>
      </c>
      <c r="S912" t="s">
        <v>44</v>
      </c>
      <c r="T912" t="s">
        <v>41</v>
      </c>
      <c r="U912">
        <v>37.804400000000001</v>
      </c>
      <c r="V912">
        <v>-122.27119999999999</v>
      </c>
      <c r="W912" s="2">
        <v>45545</v>
      </c>
      <c r="X912">
        <v>8</v>
      </c>
      <c r="Y912" t="b">
        <v>0</v>
      </c>
      <c r="Z912" s="2">
        <v>45844</v>
      </c>
      <c r="AA912" t="str">
        <f t="shared" si="141"/>
        <v>10–19</v>
      </c>
      <c r="AB912" t="str">
        <f t="shared" si="142"/>
        <v>16–19</v>
      </c>
      <c r="AC912" t="str">
        <f t="shared" si="143"/>
        <v>Monday</v>
      </c>
      <c r="AD912" t="str">
        <f t="shared" si="144"/>
        <v>Tuesday</v>
      </c>
      <c r="AE912" t="str">
        <f t="shared" si="145"/>
        <v/>
      </c>
      <c r="AF912" t="str">
        <f t="shared" si="146"/>
        <v>Thursday</v>
      </c>
      <c r="AG912" t="str">
        <f t="shared" si="147"/>
        <v/>
      </c>
      <c r="AH912" t="str">
        <f t="shared" si="148"/>
        <v/>
      </c>
      <c r="AI912" t="str">
        <f t="shared" si="149"/>
        <v>Sunday</v>
      </c>
      <c r="AJ912" t="str">
        <f>LEFT(Table1[[#This Row],[membership_type]],2)&amp;TEXT(Table1[[#This Row],[age]],"00")&amp;"-"&amp;TEXT(ROW(),"000")</f>
        <v>Ba17-912</v>
      </c>
      <c r="AK912" t="str">
        <f>LEFT(Table1[[#This Row],[membership_type]],1)&amp;TEXT(MATCH(Table1[[#This Row],[membership_type]],Table1[membership_type],0),"00")</f>
        <v>B04</v>
      </c>
      <c r="AL912" t="str">
        <f>LEFT(Table1[[#This Row],[discount_type]],1)&amp;TEXT(ROUND(Table1[[#This Row],[discount_rate]]*100,0),"00")</f>
        <v>N00</v>
      </c>
      <c r="AM912" t="str" cm="1">
        <f t="array" ref="AM912">TEXT(SUMPRODUCT(CODE(MID(Table1[[#This Row],[home_gym_location]],_xlfn.SEQUENCE(LEN(Table1[[#This Row],[home_gym_location]])),1))),"00000")</f>
        <v>00906</v>
      </c>
      <c r="AN912" t="str">
        <f>UPPER(_xlfn.TEXTBEFORE(Table1[[#This Row],[home_gym_location]],","))&amp;"-"&amp;TEXT(MATCH(Table1[[#This Row],[home_gym_location]],_xlfn._xlws.SORT(_xlfn.UNIQUE(Table1[home_gym_location])),0),"000")</f>
        <v>OAKLAND-006</v>
      </c>
      <c r="AO912" t="str">
        <f>LEFT(_xlfn.TEXTBEFORE(Table1[[#This Row],[Location Identifier]],"-"),3) &amp; "-" &amp; _xlfn.TEXTAFTER(Table1[[#This Row],[Location Identifier]],"-")</f>
        <v>OAK-006</v>
      </c>
      <c r="AP912" s="9">
        <f t="shared" ca="1" si="140"/>
        <v>45869</v>
      </c>
    </row>
    <row r="913" spans="1:42" x14ac:dyDescent="0.25">
      <c r="A913">
        <v>36</v>
      </c>
      <c r="B913" t="s">
        <v>51</v>
      </c>
      <c r="C913">
        <v>4</v>
      </c>
      <c r="D913" t="s">
        <v>161</v>
      </c>
      <c r="E913" t="b">
        <v>0</v>
      </c>
      <c r="F913" s="1">
        <v>0.52222222222222225</v>
      </c>
      <c r="G913" s="1">
        <v>0.54305555555555551</v>
      </c>
      <c r="H913">
        <v>30</v>
      </c>
      <c r="I913" t="b">
        <v>0</v>
      </c>
      <c r="J913" t="b">
        <v>0</v>
      </c>
      <c r="K913" t="b">
        <v>0</v>
      </c>
      <c r="L913" t="s">
        <v>62</v>
      </c>
      <c r="M913">
        <v>70</v>
      </c>
      <c r="N913" t="s">
        <v>29</v>
      </c>
      <c r="O913">
        <v>70</v>
      </c>
      <c r="P913" t="s">
        <v>74</v>
      </c>
      <c r="Q913">
        <v>0.15</v>
      </c>
      <c r="R913">
        <v>59.5</v>
      </c>
      <c r="S913" t="s">
        <v>53</v>
      </c>
      <c r="T913" t="s">
        <v>38</v>
      </c>
      <c r="U913">
        <v>36.7378</v>
      </c>
      <c r="V913">
        <v>-119.7871</v>
      </c>
      <c r="W913" s="2">
        <v>45166</v>
      </c>
      <c r="X913">
        <v>0</v>
      </c>
      <c r="Y913" t="b">
        <v>1</v>
      </c>
      <c r="Z913" s="2">
        <v>45823</v>
      </c>
      <c r="AA913" t="str">
        <f t="shared" si="141"/>
        <v>30–39</v>
      </c>
      <c r="AB913" t="str">
        <f t="shared" si="142"/>
        <v>30–39</v>
      </c>
      <c r="AC913" t="str">
        <f t="shared" si="143"/>
        <v>Monday</v>
      </c>
      <c r="AD913" t="str">
        <f t="shared" si="144"/>
        <v/>
      </c>
      <c r="AE913" t="str">
        <f t="shared" si="145"/>
        <v>Wednesday</v>
      </c>
      <c r="AF913" t="str">
        <f t="shared" si="146"/>
        <v>Thursday</v>
      </c>
      <c r="AG913" t="str">
        <f t="shared" si="147"/>
        <v/>
      </c>
      <c r="AH913" t="str">
        <f t="shared" si="148"/>
        <v/>
      </c>
      <c r="AI913" t="str">
        <f t="shared" si="149"/>
        <v>Sunday</v>
      </c>
      <c r="AJ913" t="str">
        <f>LEFT(Table1[[#This Row],[membership_type]],2)&amp;TEXT(Table1[[#This Row],[age]],"00")&amp;"-"&amp;TEXT(ROW(),"000")</f>
        <v>El36-913</v>
      </c>
      <c r="AK913" t="str">
        <f>LEFT(Table1[[#This Row],[membership_type]],1)&amp;TEXT(MATCH(Table1[[#This Row],[membership_type]],Table1[membership_type],0),"00")</f>
        <v>E07</v>
      </c>
      <c r="AL913" t="str">
        <f>LEFT(Table1[[#This Row],[discount_type]],1)&amp;TEXT(ROUND(Table1[[#This Row],[discount_rate]]*100,0),"00")</f>
        <v>S15</v>
      </c>
      <c r="AM913" t="str" cm="1">
        <f t="array" ref="AM913">TEXT(SUMPRODUCT(CODE(MID(Table1[[#This Row],[home_gym_location]],_xlfn.SEQUENCE(LEN(Table1[[#This Row],[home_gym_location]])),1))),"00000")</f>
        <v>00829</v>
      </c>
      <c r="AN913" t="str">
        <f>UPPER(_xlfn.TEXTBEFORE(Table1[[#This Row],[home_gym_location]],","))&amp;"-"&amp;TEXT(MATCH(Table1[[#This Row],[home_gym_location]],_xlfn._xlws.SORT(_xlfn.UNIQUE(Table1[home_gym_location])),0),"000")</f>
        <v>FRESNO-003</v>
      </c>
      <c r="AO913" t="str">
        <f>LEFT(_xlfn.TEXTBEFORE(Table1[[#This Row],[Location Identifier]],"-"),3) &amp; "-" &amp; _xlfn.TEXTAFTER(Table1[[#This Row],[Location Identifier]],"-")</f>
        <v>FRE-003</v>
      </c>
      <c r="AP913" s="9">
        <f t="shared" ca="1" si="140"/>
        <v>45869</v>
      </c>
    </row>
    <row r="914" spans="1:42" x14ac:dyDescent="0.25">
      <c r="A914">
        <v>27</v>
      </c>
      <c r="B914" t="s">
        <v>42</v>
      </c>
      <c r="C914">
        <v>4</v>
      </c>
      <c r="D914" t="s">
        <v>98</v>
      </c>
      <c r="E914" t="b">
        <v>1</v>
      </c>
      <c r="F914" s="1">
        <v>0.81319444444444444</v>
      </c>
      <c r="G914" s="1">
        <v>0.89375000000000004</v>
      </c>
      <c r="H914">
        <v>116</v>
      </c>
      <c r="I914" t="b">
        <v>0</v>
      </c>
      <c r="J914" t="b">
        <v>0</v>
      </c>
      <c r="K914" t="b">
        <v>1</v>
      </c>
      <c r="L914" t="s">
        <v>62</v>
      </c>
      <c r="M914">
        <v>20</v>
      </c>
      <c r="N914" t="s">
        <v>29</v>
      </c>
      <c r="O914">
        <v>20</v>
      </c>
      <c r="P914" t="s">
        <v>74</v>
      </c>
      <c r="Q914">
        <v>0.15</v>
      </c>
      <c r="R914">
        <v>17</v>
      </c>
      <c r="S914" t="s">
        <v>44</v>
      </c>
      <c r="T914" t="s">
        <v>45</v>
      </c>
      <c r="U914">
        <v>33.836599999999997</v>
      </c>
      <c r="V914">
        <v>-117.9143</v>
      </c>
      <c r="W914" s="2">
        <v>45394</v>
      </c>
      <c r="X914">
        <v>0</v>
      </c>
      <c r="Y914" t="b">
        <v>0</v>
      </c>
      <c r="Z914" s="2">
        <v>45836</v>
      </c>
      <c r="AA914" t="str">
        <f t="shared" si="141"/>
        <v>20–29</v>
      </c>
      <c r="AB914" t="str">
        <f t="shared" si="142"/>
        <v>20–29</v>
      </c>
      <c r="AC914" t="str">
        <f t="shared" si="143"/>
        <v>Monday</v>
      </c>
      <c r="AD914" t="str">
        <f t="shared" si="144"/>
        <v>Tuesday</v>
      </c>
      <c r="AE914" t="str">
        <f t="shared" si="145"/>
        <v>Wednesday</v>
      </c>
      <c r="AF914" t="str">
        <f t="shared" si="146"/>
        <v/>
      </c>
      <c r="AG914" t="str">
        <f t="shared" si="147"/>
        <v/>
      </c>
      <c r="AH914" t="str">
        <f t="shared" si="148"/>
        <v>Saturday</v>
      </c>
      <c r="AI914" t="str">
        <f t="shared" si="149"/>
        <v/>
      </c>
      <c r="AJ914" t="str">
        <f>LEFT(Table1[[#This Row],[membership_type]],2)&amp;TEXT(Table1[[#This Row],[age]],"00")&amp;"-"&amp;TEXT(ROW(),"000")</f>
        <v>Ba27-914</v>
      </c>
      <c r="AK914" t="str">
        <f>LEFT(Table1[[#This Row],[membership_type]],1)&amp;TEXT(MATCH(Table1[[#This Row],[membership_type]],Table1[membership_type],0),"00")</f>
        <v>B04</v>
      </c>
      <c r="AL914" t="str">
        <f>LEFT(Table1[[#This Row],[discount_type]],1)&amp;TEXT(ROUND(Table1[[#This Row],[discount_rate]]*100,0),"00")</f>
        <v>S15</v>
      </c>
      <c r="AM914" t="str" cm="1">
        <f t="array" ref="AM914">TEXT(SUMPRODUCT(CODE(MID(Table1[[#This Row],[home_gym_location]],_xlfn.SEQUENCE(LEN(Table1[[#This Row],[home_gym_location]])),1))),"00000")</f>
        <v>00899</v>
      </c>
      <c r="AN914" t="str">
        <f>UPPER(_xlfn.TEXTBEFORE(Table1[[#This Row],[home_gym_location]],","))&amp;"-"&amp;TEXT(MATCH(Table1[[#This Row],[home_gym_location]],_xlfn._xlws.SORT(_xlfn.UNIQUE(Table1[home_gym_location])),0),"000")</f>
        <v>ANAHEIM-001</v>
      </c>
      <c r="AO914" t="str">
        <f>LEFT(_xlfn.TEXTBEFORE(Table1[[#This Row],[Location Identifier]],"-"),3) &amp; "-" &amp; _xlfn.TEXTAFTER(Table1[[#This Row],[Location Identifier]],"-")</f>
        <v>ANA-001</v>
      </c>
      <c r="AP914" s="9">
        <f t="shared" ca="1" si="140"/>
        <v>45869</v>
      </c>
    </row>
    <row r="915" spans="1:42" x14ac:dyDescent="0.25">
      <c r="A915">
        <v>41</v>
      </c>
      <c r="B915" t="s">
        <v>26</v>
      </c>
      <c r="C915">
        <v>5</v>
      </c>
      <c r="D915" t="s">
        <v>34</v>
      </c>
      <c r="E915" t="b">
        <v>0</v>
      </c>
      <c r="F915" s="1">
        <v>0.57847222222222228</v>
      </c>
      <c r="G915" s="1">
        <v>0.67013888888888884</v>
      </c>
      <c r="H915">
        <v>132</v>
      </c>
      <c r="I915" t="b">
        <v>0</v>
      </c>
      <c r="J915" t="b">
        <v>0</v>
      </c>
      <c r="K915" t="b">
        <v>1</v>
      </c>
      <c r="L915" t="s">
        <v>62</v>
      </c>
      <c r="M915">
        <v>50</v>
      </c>
      <c r="N915" t="s">
        <v>29</v>
      </c>
      <c r="O915">
        <v>50</v>
      </c>
      <c r="P915" t="s">
        <v>36</v>
      </c>
      <c r="Q915">
        <v>0</v>
      </c>
      <c r="R915">
        <v>50</v>
      </c>
      <c r="S915" t="s">
        <v>31</v>
      </c>
      <c r="T915" t="s">
        <v>59</v>
      </c>
      <c r="U915">
        <v>37.774900000000002</v>
      </c>
      <c r="V915">
        <v>-122.4194</v>
      </c>
      <c r="W915" s="2">
        <v>45243</v>
      </c>
      <c r="X915">
        <v>0</v>
      </c>
      <c r="Y915" t="b">
        <v>0</v>
      </c>
      <c r="Z915" s="2">
        <v>45827</v>
      </c>
      <c r="AA915" t="str">
        <f t="shared" si="141"/>
        <v>40–49</v>
      </c>
      <c r="AB915" t="str">
        <f t="shared" si="142"/>
        <v>40–49</v>
      </c>
      <c r="AC915" t="str">
        <f t="shared" si="143"/>
        <v/>
      </c>
      <c r="AD915" t="str">
        <f t="shared" si="144"/>
        <v>Tuesday</v>
      </c>
      <c r="AE915" t="str">
        <f t="shared" si="145"/>
        <v>Wednesday</v>
      </c>
      <c r="AF915" t="str">
        <f t="shared" si="146"/>
        <v>Thursday</v>
      </c>
      <c r="AG915" t="str">
        <f t="shared" si="147"/>
        <v>Friday</v>
      </c>
      <c r="AH915" t="str">
        <f t="shared" si="148"/>
        <v>Saturday</v>
      </c>
      <c r="AI915" t="str">
        <f t="shared" si="149"/>
        <v/>
      </c>
      <c r="AJ915" t="str">
        <f>LEFT(Table1[[#This Row],[membership_type]],2)&amp;TEXT(Table1[[#This Row],[age]],"00")&amp;"-"&amp;TEXT(ROW(),"000")</f>
        <v>Pr41-915</v>
      </c>
      <c r="AK915" t="str">
        <f>LEFT(Table1[[#This Row],[membership_type]],1)&amp;TEXT(MATCH(Table1[[#This Row],[membership_type]],Table1[membership_type],0),"00")</f>
        <v>P01</v>
      </c>
      <c r="AL915" t="str">
        <f>LEFT(Table1[[#This Row],[discount_type]],1)&amp;TEXT(ROUND(Table1[[#This Row],[discount_rate]]*100,0),"00")</f>
        <v>N00</v>
      </c>
      <c r="AM915" t="str" cm="1">
        <f t="array" ref="AM915">TEXT(SUMPRODUCT(CODE(MID(Table1[[#This Row],[home_gym_location]],_xlfn.SEQUENCE(LEN(Table1[[#This Row],[home_gym_location]])),1))),"00000")</f>
        <v>01450</v>
      </c>
      <c r="AN91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15" t="str">
        <f>LEFT(_xlfn.TEXTBEFORE(Table1[[#This Row],[Location Identifier]],"-"),3) &amp; "-" &amp; _xlfn.TEXTAFTER(Table1[[#This Row],[Location Identifier]],"-")</f>
        <v>SAN-009</v>
      </c>
      <c r="AP915" s="9">
        <f t="shared" ca="1" si="140"/>
        <v>45869</v>
      </c>
    </row>
    <row r="916" spans="1:42" x14ac:dyDescent="0.25">
      <c r="A916">
        <v>28</v>
      </c>
      <c r="B916" t="s">
        <v>26</v>
      </c>
      <c r="C916">
        <v>2</v>
      </c>
      <c r="D916" t="s">
        <v>108</v>
      </c>
      <c r="E916" t="b">
        <v>1</v>
      </c>
      <c r="F916" s="1">
        <v>0.84861111111111109</v>
      </c>
      <c r="G916" s="1">
        <v>0.9555555555555556</v>
      </c>
      <c r="H916">
        <v>154</v>
      </c>
      <c r="I916" t="b">
        <v>1</v>
      </c>
      <c r="J916" t="b">
        <v>0</v>
      </c>
      <c r="K916" t="b">
        <v>0</v>
      </c>
      <c r="L916" t="s">
        <v>58</v>
      </c>
      <c r="M916">
        <v>50</v>
      </c>
      <c r="N916" t="s">
        <v>29</v>
      </c>
      <c r="O916">
        <v>50</v>
      </c>
      <c r="P916" t="s">
        <v>36</v>
      </c>
      <c r="Q916">
        <v>0</v>
      </c>
      <c r="R916">
        <v>50</v>
      </c>
      <c r="S916" t="s">
        <v>31</v>
      </c>
      <c r="T916" t="s">
        <v>45</v>
      </c>
      <c r="U916">
        <v>33.836599999999997</v>
      </c>
      <c r="V916">
        <v>-117.9143</v>
      </c>
      <c r="W916" s="2">
        <v>45366</v>
      </c>
      <c r="X916">
        <v>0</v>
      </c>
      <c r="Y916" t="b">
        <v>1</v>
      </c>
      <c r="Z916" s="2">
        <v>45834</v>
      </c>
      <c r="AA916" t="str">
        <f t="shared" si="141"/>
        <v>20–29</v>
      </c>
      <c r="AB916" t="str">
        <f t="shared" si="142"/>
        <v>20–29</v>
      </c>
      <c r="AC916" t="str">
        <f t="shared" si="143"/>
        <v/>
      </c>
      <c r="AD916" t="str">
        <f t="shared" si="144"/>
        <v>Tuesday</v>
      </c>
      <c r="AE916" t="str">
        <f t="shared" si="145"/>
        <v/>
      </c>
      <c r="AF916" t="str">
        <f t="shared" si="146"/>
        <v>Thursday</v>
      </c>
      <c r="AG916" t="str">
        <f t="shared" si="147"/>
        <v/>
      </c>
      <c r="AH916" t="str">
        <f t="shared" si="148"/>
        <v/>
      </c>
      <c r="AI916" t="str">
        <f t="shared" si="149"/>
        <v/>
      </c>
      <c r="AJ916" t="str">
        <f>LEFT(Table1[[#This Row],[membership_type]],2)&amp;TEXT(Table1[[#This Row],[age]],"00")&amp;"-"&amp;TEXT(ROW(),"000")</f>
        <v>Pr28-916</v>
      </c>
      <c r="AK916" t="str">
        <f>LEFT(Table1[[#This Row],[membership_type]],1)&amp;TEXT(MATCH(Table1[[#This Row],[membership_type]],Table1[membership_type],0),"00")</f>
        <v>P01</v>
      </c>
      <c r="AL916" t="str">
        <f>LEFT(Table1[[#This Row],[discount_type]],1)&amp;TEXT(ROUND(Table1[[#This Row],[discount_rate]]*100,0),"00")</f>
        <v>N00</v>
      </c>
      <c r="AM916" t="str" cm="1">
        <f t="array" ref="AM916">TEXT(SUMPRODUCT(CODE(MID(Table1[[#This Row],[home_gym_location]],_xlfn.SEQUENCE(LEN(Table1[[#This Row],[home_gym_location]])),1))),"00000")</f>
        <v>00899</v>
      </c>
      <c r="AN916" t="str">
        <f>UPPER(_xlfn.TEXTBEFORE(Table1[[#This Row],[home_gym_location]],","))&amp;"-"&amp;TEXT(MATCH(Table1[[#This Row],[home_gym_location]],_xlfn._xlws.SORT(_xlfn.UNIQUE(Table1[home_gym_location])),0),"000")</f>
        <v>ANAHEIM-001</v>
      </c>
      <c r="AO916" t="str">
        <f>LEFT(_xlfn.TEXTBEFORE(Table1[[#This Row],[Location Identifier]],"-"),3) &amp; "-" &amp; _xlfn.TEXTAFTER(Table1[[#This Row],[Location Identifier]],"-")</f>
        <v>ANA-001</v>
      </c>
      <c r="AP916" s="9">
        <f t="shared" ca="1" si="140"/>
        <v>45869</v>
      </c>
    </row>
    <row r="917" spans="1:42" x14ac:dyDescent="0.25">
      <c r="A917">
        <v>29</v>
      </c>
      <c r="B917" t="s">
        <v>33</v>
      </c>
      <c r="C917">
        <v>3</v>
      </c>
      <c r="D917" t="s">
        <v>80</v>
      </c>
      <c r="E917" t="b">
        <v>0</v>
      </c>
      <c r="F917" s="1">
        <v>0.45833333333333331</v>
      </c>
      <c r="G917" s="1">
        <v>0.5083333333333333</v>
      </c>
      <c r="H917">
        <v>72</v>
      </c>
      <c r="I917" t="b">
        <v>1</v>
      </c>
      <c r="J917" t="b">
        <v>0</v>
      </c>
      <c r="K917" t="b">
        <v>0</v>
      </c>
      <c r="L917" t="s">
        <v>28</v>
      </c>
      <c r="M917">
        <v>30</v>
      </c>
      <c r="N917" t="s">
        <v>29</v>
      </c>
      <c r="O917">
        <v>30</v>
      </c>
      <c r="P917" t="s">
        <v>40</v>
      </c>
      <c r="Q917">
        <v>0.1</v>
      </c>
      <c r="R917">
        <v>27</v>
      </c>
      <c r="S917" t="s">
        <v>37</v>
      </c>
      <c r="T917" t="s">
        <v>41</v>
      </c>
      <c r="U917">
        <v>37.804400000000001</v>
      </c>
      <c r="V917">
        <v>-122.27119999999999</v>
      </c>
      <c r="W917" s="2">
        <v>45517</v>
      </c>
      <c r="X917">
        <v>0</v>
      </c>
      <c r="Y917" t="b">
        <v>0</v>
      </c>
      <c r="Z917" s="2">
        <v>45843</v>
      </c>
      <c r="AA917" t="str">
        <f t="shared" si="141"/>
        <v>20–29</v>
      </c>
      <c r="AB917" t="str">
        <f t="shared" si="142"/>
        <v>20–29</v>
      </c>
      <c r="AC917" t="str">
        <f t="shared" si="143"/>
        <v>Monday</v>
      </c>
      <c r="AD917" t="str">
        <f t="shared" si="144"/>
        <v/>
      </c>
      <c r="AE917" t="str">
        <f t="shared" si="145"/>
        <v/>
      </c>
      <c r="AF917" t="str">
        <f t="shared" si="146"/>
        <v/>
      </c>
      <c r="AG917" t="str">
        <f t="shared" si="147"/>
        <v/>
      </c>
      <c r="AH917" t="str">
        <f t="shared" si="148"/>
        <v>Saturday</v>
      </c>
      <c r="AI917" t="str">
        <f t="shared" si="149"/>
        <v>Sunday</v>
      </c>
      <c r="AJ917" t="str">
        <f>LEFT(Table1[[#This Row],[membership_type]],2)&amp;TEXT(Table1[[#This Row],[age]],"00")&amp;"-"&amp;TEXT(ROW(),"000")</f>
        <v>St29-917</v>
      </c>
      <c r="AK917" t="str">
        <f>LEFT(Table1[[#This Row],[membership_type]],1)&amp;TEXT(MATCH(Table1[[#This Row],[membership_type]],Table1[membership_type],0),"00")</f>
        <v>S02</v>
      </c>
      <c r="AL917" t="str">
        <f>LEFT(Table1[[#This Row],[discount_type]],1)&amp;TEXT(ROUND(Table1[[#This Row],[discount_rate]]*100,0),"00")</f>
        <v>L10</v>
      </c>
      <c r="AM917" t="str" cm="1">
        <f t="array" ref="AM917">TEXT(SUMPRODUCT(CODE(MID(Table1[[#This Row],[home_gym_location]],_xlfn.SEQUENCE(LEN(Table1[[#This Row],[home_gym_location]])),1))),"00000")</f>
        <v>00906</v>
      </c>
      <c r="AN917" t="str">
        <f>UPPER(_xlfn.TEXTBEFORE(Table1[[#This Row],[home_gym_location]],","))&amp;"-"&amp;TEXT(MATCH(Table1[[#This Row],[home_gym_location]],_xlfn._xlws.SORT(_xlfn.UNIQUE(Table1[home_gym_location])),0),"000")</f>
        <v>OAKLAND-006</v>
      </c>
      <c r="AO917" t="str">
        <f>LEFT(_xlfn.TEXTBEFORE(Table1[[#This Row],[Location Identifier]],"-"),3) &amp; "-" &amp; _xlfn.TEXTAFTER(Table1[[#This Row],[Location Identifier]],"-")</f>
        <v>OAK-006</v>
      </c>
      <c r="AP917" s="9">
        <f t="shared" ca="1" si="140"/>
        <v>45869</v>
      </c>
    </row>
    <row r="918" spans="1:42" x14ac:dyDescent="0.25">
      <c r="A918">
        <v>16</v>
      </c>
      <c r="B918" t="s">
        <v>51</v>
      </c>
      <c r="C918">
        <v>3</v>
      </c>
      <c r="D918" t="s">
        <v>60</v>
      </c>
      <c r="E918" t="b">
        <v>1</v>
      </c>
      <c r="F918" s="1">
        <v>0.58750000000000002</v>
      </c>
      <c r="G918" s="1">
        <v>0.67708333333333337</v>
      </c>
      <c r="H918">
        <v>129</v>
      </c>
      <c r="I918" t="b">
        <v>1</v>
      </c>
      <c r="J918" t="b">
        <v>0</v>
      </c>
      <c r="K918" t="b">
        <v>0</v>
      </c>
      <c r="L918" t="s">
        <v>47</v>
      </c>
      <c r="M918">
        <v>70</v>
      </c>
      <c r="N918" t="s">
        <v>78</v>
      </c>
      <c r="O918">
        <v>63</v>
      </c>
      <c r="P918" t="s">
        <v>74</v>
      </c>
      <c r="Q918">
        <v>0.15</v>
      </c>
      <c r="R918">
        <v>53.55</v>
      </c>
      <c r="S918" t="s">
        <v>53</v>
      </c>
      <c r="T918" t="s">
        <v>45</v>
      </c>
      <c r="U918">
        <v>33.836599999999997</v>
      </c>
      <c r="V918">
        <v>-117.9143</v>
      </c>
      <c r="W918" s="2">
        <v>44820</v>
      </c>
      <c r="X918">
        <v>0</v>
      </c>
      <c r="Y918" t="b">
        <v>1</v>
      </c>
      <c r="Z918" s="2">
        <v>45804</v>
      </c>
      <c r="AA918" t="str">
        <f t="shared" si="141"/>
        <v>10–19</v>
      </c>
      <c r="AB918" t="str">
        <f t="shared" si="142"/>
        <v>16–19</v>
      </c>
      <c r="AC918" t="str">
        <f t="shared" si="143"/>
        <v/>
      </c>
      <c r="AD918" t="str">
        <f t="shared" si="144"/>
        <v/>
      </c>
      <c r="AE918" t="str">
        <f t="shared" si="145"/>
        <v>Wednesday</v>
      </c>
      <c r="AF918" t="str">
        <f t="shared" si="146"/>
        <v/>
      </c>
      <c r="AG918" t="str">
        <f t="shared" si="147"/>
        <v/>
      </c>
      <c r="AH918" t="str">
        <f t="shared" si="148"/>
        <v>Saturday</v>
      </c>
      <c r="AI918" t="str">
        <f t="shared" si="149"/>
        <v>Sunday</v>
      </c>
      <c r="AJ918" t="str">
        <f>LEFT(Table1[[#This Row],[membership_type]],2)&amp;TEXT(Table1[[#This Row],[age]],"00")&amp;"-"&amp;TEXT(ROW(),"000")</f>
        <v>El16-918</v>
      </c>
      <c r="AK918" t="str">
        <f>LEFT(Table1[[#This Row],[membership_type]],1)&amp;TEXT(MATCH(Table1[[#This Row],[membership_type]],Table1[membership_type],0),"00")</f>
        <v>E07</v>
      </c>
      <c r="AL918" t="str">
        <f>LEFT(Table1[[#This Row],[discount_type]],1)&amp;TEXT(ROUND(Table1[[#This Row],[discount_rate]]*100,0),"00")</f>
        <v>S15</v>
      </c>
      <c r="AM918" t="str" cm="1">
        <f t="array" ref="AM918">TEXT(SUMPRODUCT(CODE(MID(Table1[[#This Row],[home_gym_location]],_xlfn.SEQUENCE(LEN(Table1[[#This Row],[home_gym_location]])),1))),"00000")</f>
        <v>00899</v>
      </c>
      <c r="AN918" t="str">
        <f>UPPER(_xlfn.TEXTBEFORE(Table1[[#This Row],[home_gym_location]],","))&amp;"-"&amp;TEXT(MATCH(Table1[[#This Row],[home_gym_location]],_xlfn._xlws.SORT(_xlfn.UNIQUE(Table1[home_gym_location])),0),"000")</f>
        <v>ANAHEIM-001</v>
      </c>
      <c r="AO918" t="str">
        <f>LEFT(_xlfn.TEXTBEFORE(Table1[[#This Row],[Location Identifier]],"-"),3) &amp; "-" &amp; _xlfn.TEXTAFTER(Table1[[#This Row],[Location Identifier]],"-")</f>
        <v>ANA-001</v>
      </c>
      <c r="AP918" s="9">
        <f t="shared" ca="1" si="140"/>
        <v>45869</v>
      </c>
    </row>
    <row r="919" spans="1:42" x14ac:dyDescent="0.25">
      <c r="A919">
        <v>21</v>
      </c>
      <c r="B919" t="s">
        <v>26</v>
      </c>
      <c r="C919">
        <v>2</v>
      </c>
      <c r="D919" t="s">
        <v>88</v>
      </c>
      <c r="E919" t="b">
        <v>1</v>
      </c>
      <c r="F919" s="1">
        <v>0.77777777777777779</v>
      </c>
      <c r="G919" s="1">
        <v>0.88958333333333328</v>
      </c>
      <c r="H919">
        <v>161</v>
      </c>
      <c r="I919" t="b">
        <v>1</v>
      </c>
      <c r="J919" t="b">
        <v>1</v>
      </c>
      <c r="K919" t="b">
        <v>1</v>
      </c>
      <c r="L919" t="s">
        <v>47</v>
      </c>
      <c r="M919">
        <v>50</v>
      </c>
      <c r="N919" t="s">
        <v>29</v>
      </c>
      <c r="O919">
        <v>50</v>
      </c>
      <c r="P919" t="s">
        <v>30</v>
      </c>
      <c r="Q919">
        <v>0.05</v>
      </c>
      <c r="R919">
        <v>47.5</v>
      </c>
      <c r="S919" t="s">
        <v>31</v>
      </c>
      <c r="T919" t="s">
        <v>50</v>
      </c>
      <c r="U919">
        <v>34.052199999999999</v>
      </c>
      <c r="V919">
        <v>-118.2437</v>
      </c>
      <c r="W919" s="2">
        <v>45017</v>
      </c>
      <c r="X919">
        <v>6</v>
      </c>
      <c r="Y919" t="b">
        <v>1</v>
      </c>
      <c r="Z919" s="2">
        <v>45815</v>
      </c>
      <c r="AA919" t="str">
        <f t="shared" si="141"/>
        <v>20–29</v>
      </c>
      <c r="AB919" t="str">
        <f t="shared" si="142"/>
        <v>20–29</v>
      </c>
      <c r="AC919" t="str">
        <f t="shared" si="143"/>
        <v>Monday</v>
      </c>
      <c r="AD919" t="str">
        <f t="shared" si="144"/>
        <v/>
      </c>
      <c r="AE919" t="str">
        <f t="shared" si="145"/>
        <v>Wednesday</v>
      </c>
      <c r="AF919" t="str">
        <f t="shared" si="146"/>
        <v/>
      </c>
      <c r="AG919" t="str">
        <f t="shared" si="147"/>
        <v/>
      </c>
      <c r="AH919" t="str">
        <f t="shared" si="148"/>
        <v/>
      </c>
      <c r="AI919" t="str">
        <f t="shared" si="149"/>
        <v/>
      </c>
      <c r="AJ919" t="str">
        <f>LEFT(Table1[[#This Row],[membership_type]],2)&amp;TEXT(Table1[[#This Row],[age]],"00")&amp;"-"&amp;TEXT(ROW(),"000")</f>
        <v>Pr21-919</v>
      </c>
      <c r="AK919" t="str">
        <f>LEFT(Table1[[#This Row],[membership_type]],1)&amp;TEXT(MATCH(Table1[[#This Row],[membership_type]],Table1[membership_type],0),"00")</f>
        <v>P01</v>
      </c>
      <c r="AL919" t="str">
        <f>LEFT(Table1[[#This Row],[discount_type]],1)&amp;TEXT(ROUND(Table1[[#This Row],[discount_rate]]*100,0),"00")</f>
        <v>P05</v>
      </c>
      <c r="AM919" t="str" cm="1">
        <f t="array" ref="AM919">TEXT(SUMPRODUCT(CODE(MID(Table1[[#This Row],[home_gym_location]],_xlfn.SEQUENCE(LEN(Table1[[#This Row],[home_gym_location]])),1))),"00000")</f>
        <v>01245</v>
      </c>
      <c r="AN91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19" t="str">
        <f>LEFT(_xlfn.TEXTBEFORE(Table1[[#This Row],[Location Identifier]],"-"),3) &amp; "-" &amp; _xlfn.TEXTAFTER(Table1[[#This Row],[Location Identifier]],"-")</f>
        <v>LOS-005</v>
      </c>
      <c r="AP919" s="9">
        <f t="shared" ca="1" si="140"/>
        <v>45869</v>
      </c>
    </row>
    <row r="920" spans="1:42" x14ac:dyDescent="0.25">
      <c r="A920">
        <v>33</v>
      </c>
      <c r="B920" t="s">
        <v>26</v>
      </c>
      <c r="C920">
        <v>1</v>
      </c>
      <c r="D920" t="s">
        <v>75</v>
      </c>
      <c r="E920" t="b">
        <v>1</v>
      </c>
      <c r="F920" s="1">
        <v>0.67083333333333328</v>
      </c>
      <c r="G920" s="1">
        <v>0.70972222222222225</v>
      </c>
      <c r="H920">
        <v>56</v>
      </c>
      <c r="I920" t="b">
        <v>0</v>
      </c>
      <c r="J920" t="b">
        <v>0</v>
      </c>
      <c r="K920" t="b">
        <v>0</v>
      </c>
      <c r="L920" t="s">
        <v>62</v>
      </c>
      <c r="M920">
        <v>50</v>
      </c>
      <c r="N920" t="s">
        <v>29</v>
      </c>
      <c r="O920">
        <v>50</v>
      </c>
      <c r="P920" t="s">
        <v>40</v>
      </c>
      <c r="Q920">
        <v>0.1</v>
      </c>
      <c r="R920">
        <v>45</v>
      </c>
      <c r="S920" t="s">
        <v>31</v>
      </c>
      <c r="T920" t="s">
        <v>38</v>
      </c>
      <c r="U920">
        <v>36.7378</v>
      </c>
      <c r="V920">
        <v>-119.7871</v>
      </c>
      <c r="W920" s="2">
        <v>45681</v>
      </c>
      <c r="X920">
        <v>0</v>
      </c>
      <c r="Y920" t="b">
        <v>1</v>
      </c>
      <c r="Z920" s="2">
        <v>45852</v>
      </c>
      <c r="AA920" t="str">
        <f t="shared" si="141"/>
        <v>30–39</v>
      </c>
      <c r="AB920" t="str">
        <f t="shared" si="142"/>
        <v>30–39</v>
      </c>
      <c r="AC920" t="str">
        <f t="shared" si="143"/>
        <v/>
      </c>
      <c r="AD920" t="str">
        <f t="shared" si="144"/>
        <v/>
      </c>
      <c r="AE920" t="str">
        <f t="shared" si="145"/>
        <v/>
      </c>
      <c r="AF920" t="str">
        <f t="shared" si="146"/>
        <v/>
      </c>
      <c r="AG920" t="str">
        <f t="shared" si="147"/>
        <v>Friday</v>
      </c>
      <c r="AH920" t="str">
        <f t="shared" si="148"/>
        <v/>
      </c>
      <c r="AI920" t="str">
        <f t="shared" si="149"/>
        <v/>
      </c>
      <c r="AJ920" t="str">
        <f>LEFT(Table1[[#This Row],[membership_type]],2)&amp;TEXT(Table1[[#This Row],[age]],"00")&amp;"-"&amp;TEXT(ROW(),"000")</f>
        <v>Pr33-920</v>
      </c>
      <c r="AK920" t="str">
        <f>LEFT(Table1[[#This Row],[membership_type]],1)&amp;TEXT(MATCH(Table1[[#This Row],[membership_type]],Table1[membership_type],0),"00")</f>
        <v>P01</v>
      </c>
      <c r="AL920" t="str">
        <f>LEFT(Table1[[#This Row],[discount_type]],1)&amp;TEXT(ROUND(Table1[[#This Row],[discount_rate]]*100,0),"00")</f>
        <v>L10</v>
      </c>
      <c r="AM920" t="str" cm="1">
        <f t="array" ref="AM920">TEXT(SUMPRODUCT(CODE(MID(Table1[[#This Row],[home_gym_location]],_xlfn.SEQUENCE(LEN(Table1[[#This Row],[home_gym_location]])),1))),"00000")</f>
        <v>00829</v>
      </c>
      <c r="AN920" t="str">
        <f>UPPER(_xlfn.TEXTBEFORE(Table1[[#This Row],[home_gym_location]],","))&amp;"-"&amp;TEXT(MATCH(Table1[[#This Row],[home_gym_location]],_xlfn._xlws.SORT(_xlfn.UNIQUE(Table1[home_gym_location])),0),"000")</f>
        <v>FRESNO-003</v>
      </c>
      <c r="AO920" t="str">
        <f>LEFT(_xlfn.TEXTBEFORE(Table1[[#This Row],[Location Identifier]],"-"),3) &amp; "-" &amp; _xlfn.TEXTAFTER(Table1[[#This Row],[Location Identifier]],"-")</f>
        <v>FRE-003</v>
      </c>
      <c r="AP920" s="9">
        <f t="shared" ca="1" si="140"/>
        <v>45869</v>
      </c>
    </row>
    <row r="921" spans="1:42" x14ac:dyDescent="0.25">
      <c r="A921">
        <v>14</v>
      </c>
      <c r="B921" t="s">
        <v>33</v>
      </c>
      <c r="C921">
        <v>3</v>
      </c>
      <c r="D921" t="s">
        <v>60</v>
      </c>
      <c r="E921" t="b">
        <v>0</v>
      </c>
      <c r="F921" s="1">
        <v>0.42430555555555555</v>
      </c>
      <c r="G921" s="1">
        <v>0.49722222222222223</v>
      </c>
      <c r="H921">
        <v>105</v>
      </c>
      <c r="I921" t="b">
        <v>1</v>
      </c>
      <c r="J921" t="b">
        <v>0</v>
      </c>
      <c r="K921" t="b">
        <v>1</v>
      </c>
      <c r="L921" t="s">
        <v>28</v>
      </c>
      <c r="M921">
        <v>30</v>
      </c>
      <c r="N921" t="s">
        <v>29</v>
      </c>
      <c r="O921">
        <v>30</v>
      </c>
      <c r="P921" t="s">
        <v>36</v>
      </c>
      <c r="Q921">
        <v>0</v>
      </c>
      <c r="R921">
        <v>30</v>
      </c>
      <c r="S921" t="s">
        <v>37</v>
      </c>
      <c r="T921" t="s">
        <v>59</v>
      </c>
      <c r="U921">
        <v>37.774900000000002</v>
      </c>
      <c r="V921">
        <v>-122.4194</v>
      </c>
      <c r="W921" s="2">
        <v>44906</v>
      </c>
      <c r="X921">
        <v>0</v>
      </c>
      <c r="Y921" t="b">
        <v>0</v>
      </c>
      <c r="Z921" s="2">
        <v>45808</v>
      </c>
      <c r="AA921" t="str">
        <f t="shared" si="141"/>
        <v>10–19</v>
      </c>
      <c r="AB921" t="str">
        <f t="shared" si="142"/>
        <v>Under 16</v>
      </c>
      <c r="AC921" t="str">
        <f t="shared" si="143"/>
        <v/>
      </c>
      <c r="AD921" t="str">
        <f t="shared" si="144"/>
        <v/>
      </c>
      <c r="AE921" t="str">
        <f t="shared" si="145"/>
        <v>Wednesday</v>
      </c>
      <c r="AF921" t="str">
        <f t="shared" si="146"/>
        <v/>
      </c>
      <c r="AG921" t="str">
        <f t="shared" si="147"/>
        <v/>
      </c>
      <c r="AH921" t="str">
        <f t="shared" si="148"/>
        <v>Saturday</v>
      </c>
      <c r="AI921" t="str">
        <f t="shared" si="149"/>
        <v>Sunday</v>
      </c>
      <c r="AJ921" t="str">
        <f>LEFT(Table1[[#This Row],[membership_type]],2)&amp;TEXT(Table1[[#This Row],[age]],"00")&amp;"-"&amp;TEXT(ROW(),"000")</f>
        <v>St14-921</v>
      </c>
      <c r="AK921" t="str">
        <f>LEFT(Table1[[#This Row],[membership_type]],1)&amp;TEXT(MATCH(Table1[[#This Row],[membership_type]],Table1[membership_type],0),"00")</f>
        <v>S02</v>
      </c>
      <c r="AL921" t="str">
        <f>LEFT(Table1[[#This Row],[discount_type]],1)&amp;TEXT(ROUND(Table1[[#This Row],[discount_rate]]*100,0),"00")</f>
        <v>N00</v>
      </c>
      <c r="AM921" t="str" cm="1">
        <f t="array" ref="AM921">TEXT(SUMPRODUCT(CODE(MID(Table1[[#This Row],[home_gym_location]],_xlfn.SEQUENCE(LEN(Table1[[#This Row],[home_gym_location]])),1))),"00000")</f>
        <v>01450</v>
      </c>
      <c r="AN92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21" t="str">
        <f>LEFT(_xlfn.TEXTBEFORE(Table1[[#This Row],[Location Identifier]],"-"),3) &amp; "-" &amp; _xlfn.TEXTAFTER(Table1[[#This Row],[Location Identifier]],"-")</f>
        <v>SAN-009</v>
      </c>
      <c r="AP921" s="9">
        <f t="shared" ca="1" si="140"/>
        <v>45869</v>
      </c>
    </row>
    <row r="922" spans="1:42" x14ac:dyDescent="0.25">
      <c r="A922">
        <v>45</v>
      </c>
      <c r="B922" t="s">
        <v>33</v>
      </c>
      <c r="C922">
        <v>2</v>
      </c>
      <c r="D922" t="s">
        <v>88</v>
      </c>
      <c r="E922" t="b">
        <v>1</v>
      </c>
      <c r="F922" s="1">
        <v>0.59722222222222221</v>
      </c>
      <c r="G922" s="1">
        <v>0.72222222222222221</v>
      </c>
      <c r="H922">
        <v>180</v>
      </c>
      <c r="I922" t="b">
        <v>1</v>
      </c>
      <c r="J922" t="b">
        <v>1</v>
      </c>
      <c r="K922" t="b">
        <v>1</v>
      </c>
      <c r="L922" t="s">
        <v>62</v>
      </c>
      <c r="M922">
        <v>30</v>
      </c>
      <c r="N922" t="s">
        <v>64</v>
      </c>
      <c r="O922">
        <v>22.5</v>
      </c>
      <c r="P922" t="s">
        <v>40</v>
      </c>
      <c r="Q922">
        <v>0.1</v>
      </c>
      <c r="R922">
        <v>20.25</v>
      </c>
      <c r="S922" t="s">
        <v>37</v>
      </c>
      <c r="T922" t="s">
        <v>45</v>
      </c>
      <c r="U922">
        <v>33.836599999999997</v>
      </c>
      <c r="V922">
        <v>-117.9143</v>
      </c>
      <c r="W922" s="2">
        <v>45311</v>
      </c>
      <c r="X922">
        <v>4</v>
      </c>
      <c r="Y922" t="b">
        <v>0</v>
      </c>
      <c r="Z922" s="2">
        <v>45831</v>
      </c>
      <c r="AA922" t="str">
        <f t="shared" si="141"/>
        <v>40–49</v>
      </c>
      <c r="AB922" t="str">
        <f t="shared" si="142"/>
        <v>40–49</v>
      </c>
      <c r="AC922" t="str">
        <f t="shared" si="143"/>
        <v>Monday</v>
      </c>
      <c r="AD922" t="str">
        <f t="shared" si="144"/>
        <v/>
      </c>
      <c r="AE922" t="str">
        <f t="shared" si="145"/>
        <v>Wednesday</v>
      </c>
      <c r="AF922" t="str">
        <f t="shared" si="146"/>
        <v/>
      </c>
      <c r="AG922" t="str">
        <f t="shared" si="147"/>
        <v/>
      </c>
      <c r="AH922" t="str">
        <f t="shared" si="148"/>
        <v/>
      </c>
      <c r="AI922" t="str">
        <f t="shared" si="149"/>
        <v/>
      </c>
      <c r="AJ922" t="str">
        <f>LEFT(Table1[[#This Row],[membership_type]],2)&amp;TEXT(Table1[[#This Row],[age]],"00")&amp;"-"&amp;TEXT(ROW(),"000")</f>
        <v>St45-922</v>
      </c>
      <c r="AK922" t="str">
        <f>LEFT(Table1[[#This Row],[membership_type]],1)&amp;TEXT(MATCH(Table1[[#This Row],[membership_type]],Table1[membership_type],0),"00")</f>
        <v>S02</v>
      </c>
      <c r="AL922" t="str">
        <f>LEFT(Table1[[#This Row],[discount_type]],1)&amp;TEXT(ROUND(Table1[[#This Row],[discount_rate]]*100,0),"00")</f>
        <v>L10</v>
      </c>
      <c r="AM922" t="str" cm="1">
        <f t="array" ref="AM922">TEXT(SUMPRODUCT(CODE(MID(Table1[[#This Row],[home_gym_location]],_xlfn.SEQUENCE(LEN(Table1[[#This Row],[home_gym_location]])),1))),"00000")</f>
        <v>00899</v>
      </c>
      <c r="AN922" t="str">
        <f>UPPER(_xlfn.TEXTBEFORE(Table1[[#This Row],[home_gym_location]],","))&amp;"-"&amp;TEXT(MATCH(Table1[[#This Row],[home_gym_location]],_xlfn._xlws.SORT(_xlfn.UNIQUE(Table1[home_gym_location])),0),"000")</f>
        <v>ANAHEIM-001</v>
      </c>
      <c r="AO922" t="str">
        <f>LEFT(_xlfn.TEXTBEFORE(Table1[[#This Row],[Location Identifier]],"-"),3) &amp; "-" &amp; _xlfn.TEXTAFTER(Table1[[#This Row],[Location Identifier]],"-")</f>
        <v>ANA-001</v>
      </c>
      <c r="AP922" s="9">
        <f t="shared" ca="1" si="140"/>
        <v>45869</v>
      </c>
    </row>
    <row r="923" spans="1:42" x14ac:dyDescent="0.25">
      <c r="A923">
        <v>45</v>
      </c>
      <c r="B923" t="s">
        <v>51</v>
      </c>
      <c r="C923">
        <v>4</v>
      </c>
      <c r="D923" t="s">
        <v>85</v>
      </c>
      <c r="E923" t="b">
        <v>0</v>
      </c>
      <c r="F923" s="1">
        <v>0.47152777777777777</v>
      </c>
      <c r="G923" s="1">
        <v>0.51111111111111107</v>
      </c>
      <c r="H923">
        <v>57</v>
      </c>
      <c r="I923" t="b">
        <v>0</v>
      </c>
      <c r="J923" t="b">
        <v>1</v>
      </c>
      <c r="K923" t="b">
        <v>1</v>
      </c>
      <c r="L923" t="s">
        <v>62</v>
      </c>
      <c r="M923">
        <v>70</v>
      </c>
      <c r="N923" t="s">
        <v>29</v>
      </c>
      <c r="O923">
        <v>70</v>
      </c>
      <c r="P923" t="s">
        <v>36</v>
      </c>
      <c r="Q923">
        <v>0</v>
      </c>
      <c r="R923">
        <v>70</v>
      </c>
      <c r="S923" t="s">
        <v>53</v>
      </c>
      <c r="T923" t="s">
        <v>38</v>
      </c>
      <c r="U923">
        <v>36.7378</v>
      </c>
      <c r="V923">
        <v>-119.7871</v>
      </c>
      <c r="W923" s="2">
        <v>44878</v>
      </c>
      <c r="X923">
        <v>3</v>
      </c>
      <c r="Y923" t="b">
        <v>0</v>
      </c>
      <c r="Z923" s="2">
        <v>45807</v>
      </c>
      <c r="AA923" t="str">
        <f t="shared" si="141"/>
        <v>40–49</v>
      </c>
      <c r="AB923" t="str">
        <f t="shared" si="142"/>
        <v>40–49</v>
      </c>
      <c r="AC923" t="str">
        <f t="shared" si="143"/>
        <v/>
      </c>
      <c r="AD923" t="str">
        <f t="shared" si="144"/>
        <v>Tuesday</v>
      </c>
      <c r="AE923" t="str">
        <f t="shared" si="145"/>
        <v/>
      </c>
      <c r="AF923" t="str">
        <f t="shared" si="146"/>
        <v>Thursday</v>
      </c>
      <c r="AG923" t="str">
        <f t="shared" si="147"/>
        <v/>
      </c>
      <c r="AH923" t="str">
        <f t="shared" si="148"/>
        <v>Saturday</v>
      </c>
      <c r="AI923" t="str">
        <f t="shared" si="149"/>
        <v>Sunday</v>
      </c>
      <c r="AJ923" t="str">
        <f>LEFT(Table1[[#This Row],[membership_type]],2)&amp;TEXT(Table1[[#This Row],[age]],"00")&amp;"-"&amp;TEXT(ROW(),"000")</f>
        <v>El45-923</v>
      </c>
      <c r="AK923" t="str">
        <f>LEFT(Table1[[#This Row],[membership_type]],1)&amp;TEXT(MATCH(Table1[[#This Row],[membership_type]],Table1[membership_type],0),"00")</f>
        <v>E07</v>
      </c>
      <c r="AL923" t="str">
        <f>LEFT(Table1[[#This Row],[discount_type]],1)&amp;TEXT(ROUND(Table1[[#This Row],[discount_rate]]*100,0),"00")</f>
        <v>N00</v>
      </c>
      <c r="AM923" t="str" cm="1">
        <f t="array" ref="AM923">TEXT(SUMPRODUCT(CODE(MID(Table1[[#This Row],[home_gym_location]],_xlfn.SEQUENCE(LEN(Table1[[#This Row],[home_gym_location]])),1))),"00000")</f>
        <v>00829</v>
      </c>
      <c r="AN923" t="str">
        <f>UPPER(_xlfn.TEXTBEFORE(Table1[[#This Row],[home_gym_location]],","))&amp;"-"&amp;TEXT(MATCH(Table1[[#This Row],[home_gym_location]],_xlfn._xlws.SORT(_xlfn.UNIQUE(Table1[home_gym_location])),0),"000")</f>
        <v>FRESNO-003</v>
      </c>
      <c r="AO923" t="str">
        <f>LEFT(_xlfn.TEXTBEFORE(Table1[[#This Row],[Location Identifier]],"-"),3) &amp; "-" &amp; _xlfn.TEXTAFTER(Table1[[#This Row],[Location Identifier]],"-")</f>
        <v>FRE-003</v>
      </c>
      <c r="AP923" s="9">
        <f t="shared" ca="1" si="140"/>
        <v>45869</v>
      </c>
    </row>
    <row r="924" spans="1:42" x14ac:dyDescent="0.25">
      <c r="A924">
        <v>24</v>
      </c>
      <c r="B924" t="s">
        <v>33</v>
      </c>
      <c r="C924">
        <v>3</v>
      </c>
      <c r="D924" t="s">
        <v>131</v>
      </c>
      <c r="E924" t="b">
        <v>0</v>
      </c>
      <c r="F924" s="1">
        <v>0.83888888888888891</v>
      </c>
      <c r="G924" s="1">
        <v>0.94722222222222219</v>
      </c>
      <c r="H924">
        <v>156</v>
      </c>
      <c r="I924" t="b">
        <v>1</v>
      </c>
      <c r="J924" t="b">
        <v>0</v>
      </c>
      <c r="K924" t="b">
        <v>0</v>
      </c>
      <c r="L924" t="s">
        <v>28</v>
      </c>
      <c r="M924">
        <v>30</v>
      </c>
      <c r="N924" t="s">
        <v>29</v>
      </c>
      <c r="O924">
        <v>30</v>
      </c>
      <c r="P924" t="s">
        <v>36</v>
      </c>
      <c r="Q924">
        <v>0</v>
      </c>
      <c r="R924">
        <v>30</v>
      </c>
      <c r="S924" t="s">
        <v>37</v>
      </c>
      <c r="T924" t="s">
        <v>54</v>
      </c>
      <c r="U924">
        <v>32.715699999999998</v>
      </c>
      <c r="V924">
        <v>-117.1611</v>
      </c>
      <c r="W924" s="2">
        <v>44979</v>
      </c>
      <c r="X924">
        <v>0</v>
      </c>
      <c r="Y924" t="b">
        <v>0</v>
      </c>
      <c r="Z924" s="2">
        <v>45813</v>
      </c>
      <c r="AA924" t="str">
        <f t="shared" si="141"/>
        <v>20–29</v>
      </c>
      <c r="AB924" t="str">
        <f t="shared" si="142"/>
        <v>20–29</v>
      </c>
      <c r="AC924" t="str">
        <f t="shared" si="143"/>
        <v>Monday</v>
      </c>
      <c r="AD924" t="str">
        <f t="shared" si="144"/>
        <v/>
      </c>
      <c r="AE924" t="str">
        <f t="shared" si="145"/>
        <v/>
      </c>
      <c r="AF924" t="str">
        <f t="shared" si="146"/>
        <v/>
      </c>
      <c r="AG924" t="str">
        <f t="shared" si="147"/>
        <v>Friday</v>
      </c>
      <c r="AH924" t="str">
        <f t="shared" si="148"/>
        <v/>
      </c>
      <c r="AI924" t="str">
        <f t="shared" si="149"/>
        <v>Sunday</v>
      </c>
      <c r="AJ924" t="str">
        <f>LEFT(Table1[[#This Row],[membership_type]],2)&amp;TEXT(Table1[[#This Row],[age]],"00")&amp;"-"&amp;TEXT(ROW(),"000")</f>
        <v>St24-924</v>
      </c>
      <c r="AK924" t="str">
        <f>LEFT(Table1[[#This Row],[membership_type]],1)&amp;TEXT(MATCH(Table1[[#This Row],[membership_type]],Table1[membership_type],0),"00")</f>
        <v>S02</v>
      </c>
      <c r="AL924" t="str">
        <f>LEFT(Table1[[#This Row],[discount_type]],1)&amp;TEXT(ROUND(Table1[[#This Row],[discount_rate]]*100,0),"00")</f>
        <v>N00</v>
      </c>
      <c r="AM924" t="str" cm="1">
        <f t="array" ref="AM924">TEXT(SUMPRODUCT(CODE(MID(Table1[[#This Row],[home_gym_location]],_xlfn.SEQUENCE(LEN(Table1[[#This Row],[home_gym_location]])),1))),"00000")</f>
        <v>01018</v>
      </c>
      <c r="AN92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24" t="str">
        <f>LEFT(_xlfn.TEXTBEFORE(Table1[[#This Row],[Location Identifier]],"-"),3) &amp; "-" &amp; _xlfn.TEXTAFTER(Table1[[#This Row],[Location Identifier]],"-")</f>
        <v>SAN-008</v>
      </c>
      <c r="AP924" s="9">
        <f t="shared" ca="1" si="140"/>
        <v>45869</v>
      </c>
    </row>
    <row r="925" spans="1:42" x14ac:dyDescent="0.25">
      <c r="A925">
        <v>34</v>
      </c>
      <c r="B925" t="s">
        <v>42</v>
      </c>
      <c r="C925">
        <v>2</v>
      </c>
      <c r="D925" t="s">
        <v>103</v>
      </c>
      <c r="E925" t="b">
        <v>0</v>
      </c>
      <c r="F925" s="1">
        <v>0.80347222222222225</v>
      </c>
      <c r="G925" s="1">
        <v>0.85416666666666663</v>
      </c>
      <c r="H925">
        <v>73</v>
      </c>
      <c r="I925" t="b">
        <v>0</v>
      </c>
      <c r="J925" t="b">
        <v>1</v>
      </c>
      <c r="K925" t="b">
        <v>1</v>
      </c>
      <c r="L925" t="s">
        <v>28</v>
      </c>
      <c r="M925">
        <v>20</v>
      </c>
      <c r="N925" t="s">
        <v>29</v>
      </c>
      <c r="O925">
        <v>20</v>
      </c>
      <c r="P925" t="s">
        <v>36</v>
      </c>
      <c r="Q925">
        <v>0</v>
      </c>
      <c r="R925">
        <v>20</v>
      </c>
      <c r="S925" t="s">
        <v>44</v>
      </c>
      <c r="T925" t="s">
        <v>56</v>
      </c>
      <c r="U925">
        <v>35.3733</v>
      </c>
      <c r="V925">
        <v>-119.0187</v>
      </c>
      <c r="W925" s="2">
        <v>45378</v>
      </c>
      <c r="X925">
        <v>3</v>
      </c>
      <c r="Y925" t="b">
        <v>0</v>
      </c>
      <c r="Z925" s="2">
        <v>45835</v>
      </c>
      <c r="AA925" t="str">
        <f t="shared" si="141"/>
        <v>30–39</v>
      </c>
      <c r="AB925" t="str">
        <f t="shared" si="142"/>
        <v>30–39</v>
      </c>
      <c r="AC925" t="str">
        <f t="shared" si="143"/>
        <v>Monday</v>
      </c>
      <c r="AD925" t="str">
        <f t="shared" si="144"/>
        <v/>
      </c>
      <c r="AE925" t="str">
        <f t="shared" si="145"/>
        <v/>
      </c>
      <c r="AF925" t="str">
        <f t="shared" si="146"/>
        <v/>
      </c>
      <c r="AG925" t="str">
        <f t="shared" si="147"/>
        <v/>
      </c>
      <c r="AH925" t="str">
        <f t="shared" si="148"/>
        <v/>
      </c>
      <c r="AI925" t="str">
        <f t="shared" si="149"/>
        <v>Sunday</v>
      </c>
      <c r="AJ925" t="str">
        <f>LEFT(Table1[[#This Row],[membership_type]],2)&amp;TEXT(Table1[[#This Row],[age]],"00")&amp;"-"&amp;TEXT(ROW(),"000")</f>
        <v>Ba34-925</v>
      </c>
      <c r="AK925" t="str">
        <f>LEFT(Table1[[#This Row],[membership_type]],1)&amp;TEXT(MATCH(Table1[[#This Row],[membership_type]],Table1[membership_type],0),"00")</f>
        <v>B04</v>
      </c>
      <c r="AL925" t="str">
        <f>LEFT(Table1[[#This Row],[discount_type]],1)&amp;TEXT(ROUND(Table1[[#This Row],[discount_rate]]*100,0),"00")</f>
        <v>N00</v>
      </c>
      <c r="AM925" t="str" cm="1">
        <f t="array" ref="AM925">TEXT(SUMPRODUCT(CODE(MID(Table1[[#This Row],[home_gym_location]],_xlfn.SEQUENCE(LEN(Table1[[#This Row],[home_gym_location]])),1))),"00000")</f>
        <v>01324</v>
      </c>
      <c r="AN92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25" t="str">
        <f>LEFT(_xlfn.TEXTBEFORE(Table1[[#This Row],[Location Identifier]],"-"),3) &amp; "-" &amp; _xlfn.TEXTAFTER(Table1[[#This Row],[Location Identifier]],"-")</f>
        <v>BAK-002</v>
      </c>
      <c r="AP925" s="9">
        <f t="shared" ca="1" si="140"/>
        <v>45869</v>
      </c>
    </row>
    <row r="926" spans="1:42" x14ac:dyDescent="0.25">
      <c r="A926">
        <v>47</v>
      </c>
      <c r="B926" t="s">
        <v>26</v>
      </c>
      <c r="C926">
        <v>2</v>
      </c>
      <c r="D926" t="s">
        <v>73</v>
      </c>
      <c r="E926" t="b">
        <v>1</v>
      </c>
      <c r="F926" s="1">
        <v>0.69513888888888886</v>
      </c>
      <c r="G926" s="1">
        <v>0.75138888888888888</v>
      </c>
      <c r="H926">
        <v>81</v>
      </c>
      <c r="I926" t="b">
        <v>1</v>
      </c>
      <c r="J926" t="b">
        <v>1</v>
      </c>
      <c r="K926" t="b">
        <v>1</v>
      </c>
      <c r="L926" t="s">
        <v>28</v>
      </c>
      <c r="M926">
        <v>50</v>
      </c>
      <c r="N926" t="s">
        <v>64</v>
      </c>
      <c r="O926">
        <v>37.5</v>
      </c>
      <c r="P926" t="s">
        <v>74</v>
      </c>
      <c r="Q926">
        <v>0.15</v>
      </c>
      <c r="R926">
        <v>31.875</v>
      </c>
      <c r="S926" t="s">
        <v>31</v>
      </c>
      <c r="T926" t="s">
        <v>48</v>
      </c>
      <c r="U926">
        <v>38.581600000000002</v>
      </c>
      <c r="V926">
        <v>-121.4944</v>
      </c>
      <c r="W926" s="2">
        <v>45807</v>
      </c>
      <c r="X926">
        <v>8</v>
      </c>
      <c r="Y926" t="b">
        <v>1</v>
      </c>
      <c r="Z926" s="2">
        <v>45859</v>
      </c>
      <c r="AA926" t="str">
        <f t="shared" si="141"/>
        <v>40–49</v>
      </c>
      <c r="AB926" t="str">
        <f t="shared" si="142"/>
        <v>40–49</v>
      </c>
      <c r="AC926" t="str">
        <f t="shared" si="143"/>
        <v/>
      </c>
      <c r="AD926" t="str">
        <f t="shared" si="144"/>
        <v>Tuesday</v>
      </c>
      <c r="AE926" t="str">
        <f t="shared" si="145"/>
        <v/>
      </c>
      <c r="AF926" t="str">
        <f t="shared" si="146"/>
        <v/>
      </c>
      <c r="AG926" t="str">
        <f t="shared" si="147"/>
        <v>Friday</v>
      </c>
      <c r="AH926" t="str">
        <f t="shared" si="148"/>
        <v/>
      </c>
      <c r="AI926" t="str">
        <f t="shared" si="149"/>
        <v/>
      </c>
      <c r="AJ926" t="str">
        <f>LEFT(Table1[[#This Row],[membership_type]],2)&amp;TEXT(Table1[[#This Row],[age]],"00")&amp;"-"&amp;TEXT(ROW(),"000")</f>
        <v>Pr47-926</v>
      </c>
      <c r="AK926" t="str">
        <f>LEFT(Table1[[#This Row],[membership_type]],1)&amp;TEXT(MATCH(Table1[[#This Row],[membership_type]],Table1[membership_type],0),"00")</f>
        <v>P01</v>
      </c>
      <c r="AL926" t="str">
        <f>LEFT(Table1[[#This Row],[discount_type]],1)&amp;TEXT(ROUND(Table1[[#This Row],[discount_rate]]*100,0),"00")</f>
        <v>S15</v>
      </c>
      <c r="AM926" t="str" cm="1">
        <f t="array" ref="AM926">TEXT(SUMPRODUCT(CODE(MID(Table1[[#This Row],[home_gym_location]],_xlfn.SEQUENCE(LEN(Table1[[#This Row],[home_gym_location]])),1))),"00000")</f>
        <v>01245</v>
      </c>
      <c r="AN92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26" t="str">
        <f>LEFT(_xlfn.TEXTBEFORE(Table1[[#This Row],[Location Identifier]],"-"),3) &amp; "-" &amp; _xlfn.TEXTAFTER(Table1[[#This Row],[Location Identifier]],"-")</f>
        <v>SAC-007</v>
      </c>
      <c r="AP926" s="9">
        <f t="shared" ca="1" si="140"/>
        <v>45869</v>
      </c>
    </row>
    <row r="927" spans="1:42" x14ac:dyDescent="0.25">
      <c r="A927">
        <v>32</v>
      </c>
      <c r="B927" t="s">
        <v>51</v>
      </c>
      <c r="C927">
        <v>2</v>
      </c>
      <c r="D927" t="s">
        <v>92</v>
      </c>
      <c r="E927" t="b">
        <v>1</v>
      </c>
      <c r="F927" s="1">
        <v>0.55486111111111114</v>
      </c>
      <c r="G927" s="1">
        <v>0.61944444444444446</v>
      </c>
      <c r="H927">
        <v>93</v>
      </c>
      <c r="I927" t="b">
        <v>1</v>
      </c>
      <c r="J927" t="b">
        <v>1</v>
      </c>
      <c r="K927" t="b">
        <v>1</v>
      </c>
      <c r="L927" t="s">
        <v>62</v>
      </c>
      <c r="M927">
        <v>70</v>
      </c>
      <c r="N927" t="s">
        <v>29</v>
      </c>
      <c r="O927">
        <v>70</v>
      </c>
      <c r="P927" t="s">
        <v>40</v>
      </c>
      <c r="Q927">
        <v>0.1</v>
      </c>
      <c r="R927">
        <v>63</v>
      </c>
      <c r="S927" t="s">
        <v>53</v>
      </c>
      <c r="T927" t="s">
        <v>56</v>
      </c>
      <c r="U927">
        <v>35.3733</v>
      </c>
      <c r="V927">
        <v>-119.0187</v>
      </c>
      <c r="W927" s="2">
        <v>45544</v>
      </c>
      <c r="X927">
        <v>6</v>
      </c>
      <c r="Y927" t="b">
        <v>0</v>
      </c>
      <c r="Z927" s="2">
        <v>45844</v>
      </c>
      <c r="AA927" t="str">
        <f t="shared" si="141"/>
        <v>30–39</v>
      </c>
      <c r="AB927" t="str">
        <f t="shared" si="142"/>
        <v>30–39</v>
      </c>
      <c r="AC927" t="str">
        <f t="shared" si="143"/>
        <v/>
      </c>
      <c r="AD927" t="str">
        <f t="shared" si="144"/>
        <v/>
      </c>
      <c r="AE927" t="str">
        <f t="shared" si="145"/>
        <v/>
      </c>
      <c r="AF927" t="str">
        <f t="shared" si="146"/>
        <v/>
      </c>
      <c r="AG927" t="str">
        <f t="shared" si="147"/>
        <v>Friday</v>
      </c>
      <c r="AH927" t="str">
        <f t="shared" si="148"/>
        <v/>
      </c>
      <c r="AI927" t="str">
        <f t="shared" si="149"/>
        <v>Sunday</v>
      </c>
      <c r="AJ927" t="str">
        <f>LEFT(Table1[[#This Row],[membership_type]],2)&amp;TEXT(Table1[[#This Row],[age]],"00")&amp;"-"&amp;TEXT(ROW(),"000")</f>
        <v>El32-927</v>
      </c>
      <c r="AK927" t="str">
        <f>LEFT(Table1[[#This Row],[membership_type]],1)&amp;TEXT(MATCH(Table1[[#This Row],[membership_type]],Table1[membership_type],0),"00")</f>
        <v>E07</v>
      </c>
      <c r="AL927" t="str">
        <f>LEFT(Table1[[#This Row],[discount_type]],1)&amp;TEXT(ROUND(Table1[[#This Row],[discount_rate]]*100,0),"00")</f>
        <v>L10</v>
      </c>
      <c r="AM927" t="str" cm="1">
        <f t="array" ref="AM927">TEXT(SUMPRODUCT(CODE(MID(Table1[[#This Row],[home_gym_location]],_xlfn.SEQUENCE(LEN(Table1[[#This Row],[home_gym_location]])),1))),"00000")</f>
        <v>01324</v>
      </c>
      <c r="AN92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27" t="str">
        <f>LEFT(_xlfn.TEXTBEFORE(Table1[[#This Row],[Location Identifier]],"-"),3) &amp; "-" &amp; _xlfn.TEXTAFTER(Table1[[#This Row],[Location Identifier]],"-")</f>
        <v>BAK-002</v>
      </c>
      <c r="AP927" s="9">
        <f t="shared" ca="1" si="140"/>
        <v>45869</v>
      </c>
    </row>
    <row r="928" spans="1:42" x14ac:dyDescent="0.25">
      <c r="A928">
        <v>39</v>
      </c>
      <c r="B928" t="s">
        <v>33</v>
      </c>
      <c r="C928">
        <v>2</v>
      </c>
      <c r="D928" t="s">
        <v>130</v>
      </c>
      <c r="E928" t="b">
        <v>0</v>
      </c>
      <c r="F928" s="1">
        <v>0.74791666666666667</v>
      </c>
      <c r="G928" s="1">
        <v>0.82291666666666663</v>
      </c>
      <c r="H928">
        <v>108</v>
      </c>
      <c r="I928" t="b">
        <v>1</v>
      </c>
      <c r="J928" t="b">
        <v>1</v>
      </c>
      <c r="K928" t="b">
        <v>1</v>
      </c>
      <c r="L928" t="s">
        <v>35</v>
      </c>
      <c r="M928">
        <v>30</v>
      </c>
      <c r="N928" t="s">
        <v>29</v>
      </c>
      <c r="O928">
        <v>30</v>
      </c>
      <c r="P928" t="s">
        <v>36</v>
      </c>
      <c r="Q928">
        <v>0</v>
      </c>
      <c r="R928">
        <v>30</v>
      </c>
      <c r="S928" t="s">
        <v>37</v>
      </c>
      <c r="T928" t="s">
        <v>41</v>
      </c>
      <c r="U928">
        <v>37.804400000000001</v>
      </c>
      <c r="V928">
        <v>-122.27119999999999</v>
      </c>
      <c r="W928" s="2">
        <v>45254</v>
      </c>
      <c r="X928">
        <v>2</v>
      </c>
      <c r="Y928" t="b">
        <v>0</v>
      </c>
      <c r="Z928" s="2">
        <v>45828</v>
      </c>
      <c r="AA928" t="str">
        <f t="shared" si="141"/>
        <v>30–39</v>
      </c>
      <c r="AB928" t="str">
        <f t="shared" si="142"/>
        <v>30–39</v>
      </c>
      <c r="AC928" t="str">
        <f t="shared" si="143"/>
        <v>Monday</v>
      </c>
      <c r="AD928" t="str">
        <f t="shared" si="144"/>
        <v/>
      </c>
      <c r="AE928" t="str">
        <f t="shared" si="145"/>
        <v/>
      </c>
      <c r="AF928" t="str">
        <f t="shared" si="146"/>
        <v>Thursday</v>
      </c>
      <c r="AG928" t="str">
        <f t="shared" si="147"/>
        <v/>
      </c>
      <c r="AH928" t="str">
        <f t="shared" si="148"/>
        <v/>
      </c>
      <c r="AI928" t="str">
        <f t="shared" si="149"/>
        <v/>
      </c>
      <c r="AJ928" t="str">
        <f>LEFT(Table1[[#This Row],[membership_type]],2)&amp;TEXT(Table1[[#This Row],[age]],"00")&amp;"-"&amp;TEXT(ROW(),"000")</f>
        <v>St39-928</v>
      </c>
      <c r="AK928" t="str">
        <f>LEFT(Table1[[#This Row],[membership_type]],1)&amp;TEXT(MATCH(Table1[[#This Row],[membership_type]],Table1[membership_type],0),"00")</f>
        <v>S02</v>
      </c>
      <c r="AL928" t="str">
        <f>LEFT(Table1[[#This Row],[discount_type]],1)&amp;TEXT(ROUND(Table1[[#This Row],[discount_rate]]*100,0),"00")</f>
        <v>N00</v>
      </c>
      <c r="AM928" t="str" cm="1">
        <f t="array" ref="AM928">TEXT(SUMPRODUCT(CODE(MID(Table1[[#This Row],[home_gym_location]],_xlfn.SEQUENCE(LEN(Table1[[#This Row],[home_gym_location]])),1))),"00000")</f>
        <v>00906</v>
      </c>
      <c r="AN928" t="str">
        <f>UPPER(_xlfn.TEXTBEFORE(Table1[[#This Row],[home_gym_location]],","))&amp;"-"&amp;TEXT(MATCH(Table1[[#This Row],[home_gym_location]],_xlfn._xlws.SORT(_xlfn.UNIQUE(Table1[home_gym_location])),0),"000")</f>
        <v>OAKLAND-006</v>
      </c>
      <c r="AO928" t="str">
        <f>LEFT(_xlfn.TEXTBEFORE(Table1[[#This Row],[Location Identifier]],"-"),3) &amp; "-" &amp; _xlfn.TEXTAFTER(Table1[[#This Row],[Location Identifier]],"-")</f>
        <v>OAK-006</v>
      </c>
      <c r="AP928" s="9">
        <f t="shared" ca="1" si="140"/>
        <v>45869</v>
      </c>
    </row>
    <row r="929" spans="1:42" x14ac:dyDescent="0.25">
      <c r="A929">
        <v>35</v>
      </c>
      <c r="B929" t="s">
        <v>33</v>
      </c>
      <c r="C929">
        <v>3</v>
      </c>
      <c r="D929" t="s">
        <v>129</v>
      </c>
      <c r="E929" t="b">
        <v>0</v>
      </c>
      <c r="F929" s="1">
        <v>0.62638888888888888</v>
      </c>
      <c r="G929" s="1">
        <v>0.68680555555555556</v>
      </c>
      <c r="H929">
        <v>87</v>
      </c>
      <c r="I929" t="b">
        <v>0</v>
      </c>
      <c r="J929" t="b">
        <v>0</v>
      </c>
      <c r="K929" t="b">
        <v>0</v>
      </c>
      <c r="L929" t="s">
        <v>28</v>
      </c>
      <c r="M929">
        <v>30</v>
      </c>
      <c r="N929" t="s">
        <v>29</v>
      </c>
      <c r="O929">
        <v>30</v>
      </c>
      <c r="P929" t="s">
        <v>40</v>
      </c>
      <c r="Q929">
        <v>0.1</v>
      </c>
      <c r="R929">
        <v>27</v>
      </c>
      <c r="S929" t="s">
        <v>37</v>
      </c>
      <c r="T929" t="s">
        <v>56</v>
      </c>
      <c r="U929">
        <v>35.3733</v>
      </c>
      <c r="V929">
        <v>-119.0187</v>
      </c>
      <c r="W929" s="2">
        <v>45156</v>
      </c>
      <c r="X929">
        <v>0</v>
      </c>
      <c r="Y929" t="b">
        <v>0</v>
      </c>
      <c r="Z929" s="2">
        <v>45822</v>
      </c>
      <c r="AA929" t="str">
        <f t="shared" si="141"/>
        <v>30–39</v>
      </c>
      <c r="AB929" t="str">
        <f t="shared" si="142"/>
        <v>30–39</v>
      </c>
      <c r="AC929" t="str">
        <f t="shared" si="143"/>
        <v/>
      </c>
      <c r="AD929" t="str">
        <f t="shared" si="144"/>
        <v>Tuesday</v>
      </c>
      <c r="AE929" t="str">
        <f t="shared" si="145"/>
        <v>Wednesday</v>
      </c>
      <c r="AF929" t="str">
        <f t="shared" si="146"/>
        <v/>
      </c>
      <c r="AG929" t="str">
        <f t="shared" si="147"/>
        <v/>
      </c>
      <c r="AH929" t="str">
        <f t="shared" si="148"/>
        <v/>
      </c>
      <c r="AI929" t="str">
        <f t="shared" si="149"/>
        <v>Sunday</v>
      </c>
      <c r="AJ929" t="str">
        <f>LEFT(Table1[[#This Row],[membership_type]],2)&amp;TEXT(Table1[[#This Row],[age]],"00")&amp;"-"&amp;TEXT(ROW(),"000")</f>
        <v>St35-929</v>
      </c>
      <c r="AK929" t="str">
        <f>LEFT(Table1[[#This Row],[membership_type]],1)&amp;TEXT(MATCH(Table1[[#This Row],[membership_type]],Table1[membership_type],0),"00")</f>
        <v>S02</v>
      </c>
      <c r="AL929" t="str">
        <f>LEFT(Table1[[#This Row],[discount_type]],1)&amp;TEXT(ROUND(Table1[[#This Row],[discount_rate]]*100,0),"00")</f>
        <v>L10</v>
      </c>
      <c r="AM929" t="str" cm="1">
        <f t="array" ref="AM929">TEXT(SUMPRODUCT(CODE(MID(Table1[[#This Row],[home_gym_location]],_xlfn.SEQUENCE(LEN(Table1[[#This Row],[home_gym_location]])),1))),"00000")</f>
        <v>01324</v>
      </c>
      <c r="AN92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29" t="str">
        <f>LEFT(_xlfn.TEXTBEFORE(Table1[[#This Row],[Location Identifier]],"-"),3) &amp; "-" &amp; _xlfn.TEXTAFTER(Table1[[#This Row],[Location Identifier]],"-")</f>
        <v>BAK-002</v>
      </c>
      <c r="AP929" s="9">
        <f t="shared" ca="1" si="140"/>
        <v>45869</v>
      </c>
    </row>
    <row r="930" spans="1:42" x14ac:dyDescent="0.25">
      <c r="A930">
        <v>17</v>
      </c>
      <c r="B930" t="s">
        <v>42</v>
      </c>
      <c r="C930">
        <v>1</v>
      </c>
      <c r="D930" t="s">
        <v>75</v>
      </c>
      <c r="E930" t="b">
        <v>0</v>
      </c>
      <c r="F930" s="1">
        <v>0.70763888888888893</v>
      </c>
      <c r="G930" s="1">
        <v>0.77847222222222223</v>
      </c>
      <c r="H930">
        <v>102</v>
      </c>
      <c r="I930" t="b">
        <v>1</v>
      </c>
      <c r="J930" t="b">
        <v>0</v>
      </c>
      <c r="K930" t="b">
        <v>0</v>
      </c>
      <c r="L930" t="s">
        <v>28</v>
      </c>
      <c r="M930">
        <v>20</v>
      </c>
      <c r="N930" t="s">
        <v>29</v>
      </c>
      <c r="O930">
        <v>20</v>
      </c>
      <c r="P930" t="s">
        <v>30</v>
      </c>
      <c r="Q930">
        <v>0.05</v>
      </c>
      <c r="R930">
        <v>19</v>
      </c>
      <c r="S930" t="s">
        <v>44</v>
      </c>
      <c r="T930" t="s">
        <v>38</v>
      </c>
      <c r="U930">
        <v>36.7378</v>
      </c>
      <c r="V930">
        <v>-119.7871</v>
      </c>
      <c r="W930" s="2">
        <v>45556</v>
      </c>
      <c r="X930">
        <v>0</v>
      </c>
      <c r="Y930" t="b">
        <v>0</v>
      </c>
      <c r="Z930" s="2">
        <v>45845</v>
      </c>
      <c r="AA930" t="str">
        <f t="shared" si="141"/>
        <v>10–19</v>
      </c>
      <c r="AB930" t="str">
        <f t="shared" si="142"/>
        <v>16–19</v>
      </c>
      <c r="AC930" t="str">
        <f t="shared" si="143"/>
        <v/>
      </c>
      <c r="AD930" t="str">
        <f t="shared" si="144"/>
        <v/>
      </c>
      <c r="AE930" t="str">
        <f t="shared" si="145"/>
        <v/>
      </c>
      <c r="AF930" t="str">
        <f t="shared" si="146"/>
        <v/>
      </c>
      <c r="AG930" t="str">
        <f t="shared" si="147"/>
        <v>Friday</v>
      </c>
      <c r="AH930" t="str">
        <f t="shared" si="148"/>
        <v/>
      </c>
      <c r="AI930" t="str">
        <f t="shared" si="149"/>
        <v/>
      </c>
      <c r="AJ930" t="str">
        <f>LEFT(Table1[[#This Row],[membership_type]],2)&amp;TEXT(Table1[[#This Row],[age]],"00")&amp;"-"&amp;TEXT(ROW(),"000")</f>
        <v>Ba17-930</v>
      </c>
      <c r="AK930" t="str">
        <f>LEFT(Table1[[#This Row],[membership_type]],1)&amp;TEXT(MATCH(Table1[[#This Row],[membership_type]],Table1[membership_type],0),"00")</f>
        <v>B04</v>
      </c>
      <c r="AL930" t="str">
        <f>LEFT(Table1[[#This Row],[discount_type]],1)&amp;TEXT(ROUND(Table1[[#This Row],[discount_rate]]*100,0),"00")</f>
        <v>P05</v>
      </c>
      <c r="AM930" t="str" cm="1">
        <f t="array" ref="AM930">TEXT(SUMPRODUCT(CODE(MID(Table1[[#This Row],[home_gym_location]],_xlfn.SEQUENCE(LEN(Table1[[#This Row],[home_gym_location]])),1))),"00000")</f>
        <v>00829</v>
      </c>
      <c r="AN930" t="str">
        <f>UPPER(_xlfn.TEXTBEFORE(Table1[[#This Row],[home_gym_location]],","))&amp;"-"&amp;TEXT(MATCH(Table1[[#This Row],[home_gym_location]],_xlfn._xlws.SORT(_xlfn.UNIQUE(Table1[home_gym_location])),0),"000")</f>
        <v>FRESNO-003</v>
      </c>
      <c r="AO930" t="str">
        <f>LEFT(_xlfn.TEXTBEFORE(Table1[[#This Row],[Location Identifier]],"-"),3) &amp; "-" &amp; _xlfn.TEXTAFTER(Table1[[#This Row],[Location Identifier]],"-")</f>
        <v>FRE-003</v>
      </c>
      <c r="AP930" s="9">
        <f t="shared" ca="1" si="140"/>
        <v>45869</v>
      </c>
    </row>
    <row r="931" spans="1:42" x14ac:dyDescent="0.25">
      <c r="A931">
        <v>32</v>
      </c>
      <c r="B931" t="s">
        <v>42</v>
      </c>
      <c r="C931">
        <v>3</v>
      </c>
      <c r="D931" t="s">
        <v>60</v>
      </c>
      <c r="E931" t="b">
        <v>0</v>
      </c>
      <c r="F931" s="1">
        <v>0.44305555555555554</v>
      </c>
      <c r="G931" s="1">
        <v>0.54513888888888884</v>
      </c>
      <c r="H931">
        <v>147</v>
      </c>
      <c r="I931" t="b">
        <v>1</v>
      </c>
      <c r="J931" t="b">
        <v>0</v>
      </c>
      <c r="K931" t="b">
        <v>0</v>
      </c>
      <c r="L931" t="s">
        <v>28</v>
      </c>
      <c r="M931">
        <v>20</v>
      </c>
      <c r="N931" t="s">
        <v>29</v>
      </c>
      <c r="O931">
        <v>20</v>
      </c>
      <c r="P931" t="s">
        <v>30</v>
      </c>
      <c r="Q931">
        <v>0.05</v>
      </c>
      <c r="R931">
        <v>19</v>
      </c>
      <c r="S931" t="s">
        <v>44</v>
      </c>
      <c r="T931" t="s">
        <v>38</v>
      </c>
      <c r="U931">
        <v>36.7378</v>
      </c>
      <c r="V931">
        <v>-119.7871</v>
      </c>
      <c r="W931" s="2">
        <v>45682</v>
      </c>
      <c r="X931">
        <v>0</v>
      </c>
      <c r="Y931" t="b">
        <v>0</v>
      </c>
      <c r="Z931" s="2">
        <v>45852</v>
      </c>
      <c r="AA931" t="str">
        <f t="shared" si="141"/>
        <v>30–39</v>
      </c>
      <c r="AB931" t="str">
        <f t="shared" si="142"/>
        <v>30–39</v>
      </c>
      <c r="AC931" t="str">
        <f t="shared" si="143"/>
        <v/>
      </c>
      <c r="AD931" t="str">
        <f t="shared" si="144"/>
        <v/>
      </c>
      <c r="AE931" t="str">
        <f t="shared" si="145"/>
        <v>Wednesday</v>
      </c>
      <c r="AF931" t="str">
        <f t="shared" si="146"/>
        <v/>
      </c>
      <c r="AG931" t="str">
        <f t="shared" si="147"/>
        <v/>
      </c>
      <c r="AH931" t="str">
        <f t="shared" si="148"/>
        <v>Saturday</v>
      </c>
      <c r="AI931" t="str">
        <f t="shared" si="149"/>
        <v>Sunday</v>
      </c>
      <c r="AJ931" t="str">
        <f>LEFT(Table1[[#This Row],[membership_type]],2)&amp;TEXT(Table1[[#This Row],[age]],"00")&amp;"-"&amp;TEXT(ROW(),"000")</f>
        <v>Ba32-931</v>
      </c>
      <c r="AK931" t="str">
        <f>LEFT(Table1[[#This Row],[membership_type]],1)&amp;TEXT(MATCH(Table1[[#This Row],[membership_type]],Table1[membership_type],0),"00")</f>
        <v>B04</v>
      </c>
      <c r="AL931" t="str">
        <f>LEFT(Table1[[#This Row],[discount_type]],1)&amp;TEXT(ROUND(Table1[[#This Row],[discount_rate]]*100,0),"00")</f>
        <v>P05</v>
      </c>
      <c r="AM931" t="str" cm="1">
        <f t="array" ref="AM931">TEXT(SUMPRODUCT(CODE(MID(Table1[[#This Row],[home_gym_location]],_xlfn.SEQUENCE(LEN(Table1[[#This Row],[home_gym_location]])),1))),"00000")</f>
        <v>00829</v>
      </c>
      <c r="AN931" t="str">
        <f>UPPER(_xlfn.TEXTBEFORE(Table1[[#This Row],[home_gym_location]],","))&amp;"-"&amp;TEXT(MATCH(Table1[[#This Row],[home_gym_location]],_xlfn._xlws.SORT(_xlfn.UNIQUE(Table1[home_gym_location])),0),"000")</f>
        <v>FRESNO-003</v>
      </c>
      <c r="AO931" t="str">
        <f>LEFT(_xlfn.TEXTBEFORE(Table1[[#This Row],[Location Identifier]],"-"),3) &amp; "-" &amp; _xlfn.TEXTAFTER(Table1[[#This Row],[Location Identifier]],"-")</f>
        <v>FRE-003</v>
      </c>
      <c r="AP931" s="9">
        <f t="shared" ca="1" si="140"/>
        <v>45869</v>
      </c>
    </row>
    <row r="932" spans="1:42" x14ac:dyDescent="0.25">
      <c r="A932">
        <v>33</v>
      </c>
      <c r="B932" t="s">
        <v>33</v>
      </c>
      <c r="C932">
        <v>1</v>
      </c>
      <c r="D932" t="s">
        <v>63</v>
      </c>
      <c r="E932" t="b">
        <v>1</v>
      </c>
      <c r="F932" s="1">
        <v>0.37777777777777777</v>
      </c>
      <c r="G932" s="1">
        <v>0.40763888888888888</v>
      </c>
      <c r="H932">
        <v>43</v>
      </c>
      <c r="I932" t="b">
        <v>1</v>
      </c>
      <c r="J932" t="b">
        <v>0</v>
      </c>
      <c r="K932" t="b">
        <v>0</v>
      </c>
      <c r="L932" t="s">
        <v>28</v>
      </c>
      <c r="M932">
        <v>30</v>
      </c>
      <c r="N932" t="s">
        <v>29</v>
      </c>
      <c r="O932">
        <v>30</v>
      </c>
      <c r="P932" t="s">
        <v>36</v>
      </c>
      <c r="Q932">
        <v>0</v>
      </c>
      <c r="R932">
        <v>30</v>
      </c>
      <c r="S932" t="s">
        <v>37</v>
      </c>
      <c r="T932" t="s">
        <v>65</v>
      </c>
      <c r="U932">
        <v>33.770099999999999</v>
      </c>
      <c r="V932">
        <v>-118.19370000000001</v>
      </c>
      <c r="W932" s="2">
        <v>44941</v>
      </c>
      <c r="X932">
        <v>0</v>
      </c>
      <c r="Y932" t="b">
        <v>0</v>
      </c>
      <c r="Z932" s="2">
        <v>45810</v>
      </c>
      <c r="AA932" t="str">
        <f t="shared" si="141"/>
        <v>30–39</v>
      </c>
      <c r="AB932" t="str">
        <f t="shared" si="142"/>
        <v>30–39</v>
      </c>
      <c r="AC932" t="str">
        <f t="shared" si="143"/>
        <v/>
      </c>
      <c r="AD932" t="str">
        <f t="shared" si="144"/>
        <v/>
      </c>
      <c r="AE932" t="str">
        <f t="shared" si="145"/>
        <v>Wednesday</v>
      </c>
      <c r="AF932" t="str">
        <f t="shared" si="146"/>
        <v/>
      </c>
      <c r="AG932" t="str">
        <f t="shared" si="147"/>
        <v/>
      </c>
      <c r="AH932" t="str">
        <f t="shared" si="148"/>
        <v/>
      </c>
      <c r="AI932" t="str">
        <f t="shared" si="149"/>
        <v/>
      </c>
      <c r="AJ932" t="str">
        <f>LEFT(Table1[[#This Row],[membership_type]],2)&amp;TEXT(Table1[[#This Row],[age]],"00")&amp;"-"&amp;TEXT(ROW(),"000")</f>
        <v>St33-932</v>
      </c>
      <c r="AK932" t="str">
        <f>LEFT(Table1[[#This Row],[membership_type]],1)&amp;TEXT(MATCH(Table1[[#This Row],[membership_type]],Table1[membership_type],0),"00")</f>
        <v>S02</v>
      </c>
      <c r="AL932" t="str">
        <f>LEFT(Table1[[#This Row],[discount_type]],1)&amp;TEXT(ROUND(Table1[[#This Row],[discount_rate]]*100,0),"00")</f>
        <v>N00</v>
      </c>
      <c r="AM932" t="str" cm="1">
        <f t="array" ref="AM932">TEXT(SUMPRODUCT(CODE(MID(Table1[[#This Row],[home_gym_location]],_xlfn.SEQUENCE(LEN(Table1[[#This Row],[home_gym_location]])),1))),"00000")</f>
        <v>01107</v>
      </c>
      <c r="AN93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32" t="str">
        <f>LEFT(_xlfn.TEXTBEFORE(Table1[[#This Row],[Location Identifier]],"-"),3) &amp; "-" &amp; _xlfn.TEXTAFTER(Table1[[#This Row],[Location Identifier]],"-")</f>
        <v>LON-004</v>
      </c>
      <c r="AP932" s="9">
        <f t="shared" ca="1" si="140"/>
        <v>45869</v>
      </c>
    </row>
    <row r="933" spans="1:42" x14ac:dyDescent="0.25">
      <c r="A933">
        <v>32</v>
      </c>
      <c r="B933" t="s">
        <v>42</v>
      </c>
      <c r="C933">
        <v>3</v>
      </c>
      <c r="D933" t="s">
        <v>60</v>
      </c>
      <c r="E933" t="b">
        <v>0</v>
      </c>
      <c r="F933" s="1">
        <v>0.44305555555555554</v>
      </c>
      <c r="G933" s="1">
        <v>0.54513888888888884</v>
      </c>
      <c r="H933">
        <v>147</v>
      </c>
      <c r="I933" t="b">
        <v>1</v>
      </c>
      <c r="J933" t="b">
        <v>0</v>
      </c>
      <c r="K933" t="b">
        <v>0</v>
      </c>
      <c r="L933" t="s">
        <v>28</v>
      </c>
      <c r="M933">
        <v>20</v>
      </c>
      <c r="N933" t="s">
        <v>29</v>
      </c>
      <c r="O933">
        <v>20</v>
      </c>
      <c r="P933" t="s">
        <v>30</v>
      </c>
      <c r="Q933">
        <v>0.05</v>
      </c>
      <c r="R933">
        <v>19</v>
      </c>
      <c r="S933" t="s">
        <v>44</v>
      </c>
      <c r="T933" t="s">
        <v>38</v>
      </c>
      <c r="U933">
        <v>36.7378</v>
      </c>
      <c r="V933">
        <v>-119.7871</v>
      </c>
      <c r="W933" s="2">
        <v>44782</v>
      </c>
      <c r="X933">
        <v>0</v>
      </c>
      <c r="Y933" t="b">
        <v>1</v>
      </c>
      <c r="Z933" s="2">
        <v>45801</v>
      </c>
      <c r="AA933" t="str">
        <f t="shared" si="141"/>
        <v>30–39</v>
      </c>
      <c r="AB933" t="str">
        <f t="shared" si="142"/>
        <v>30–39</v>
      </c>
      <c r="AC933" t="str">
        <f t="shared" si="143"/>
        <v/>
      </c>
      <c r="AD933" t="str">
        <f t="shared" si="144"/>
        <v/>
      </c>
      <c r="AE933" t="str">
        <f t="shared" si="145"/>
        <v>Wednesday</v>
      </c>
      <c r="AF933" t="str">
        <f t="shared" si="146"/>
        <v/>
      </c>
      <c r="AG933" t="str">
        <f t="shared" si="147"/>
        <v/>
      </c>
      <c r="AH933" t="str">
        <f t="shared" si="148"/>
        <v>Saturday</v>
      </c>
      <c r="AI933" t="str">
        <f t="shared" si="149"/>
        <v>Sunday</v>
      </c>
      <c r="AJ933" t="str">
        <f>LEFT(Table1[[#This Row],[membership_type]],2)&amp;TEXT(Table1[[#This Row],[age]],"00")&amp;"-"&amp;TEXT(ROW(),"000")</f>
        <v>Ba32-933</v>
      </c>
      <c r="AK933" t="str">
        <f>LEFT(Table1[[#This Row],[membership_type]],1)&amp;TEXT(MATCH(Table1[[#This Row],[membership_type]],Table1[membership_type],0),"00")</f>
        <v>B04</v>
      </c>
      <c r="AL933" t="str">
        <f>LEFT(Table1[[#This Row],[discount_type]],1)&amp;TEXT(ROUND(Table1[[#This Row],[discount_rate]]*100,0),"00")</f>
        <v>P05</v>
      </c>
      <c r="AM933" t="str" cm="1">
        <f t="array" ref="AM933">TEXT(SUMPRODUCT(CODE(MID(Table1[[#This Row],[home_gym_location]],_xlfn.SEQUENCE(LEN(Table1[[#This Row],[home_gym_location]])),1))),"00000")</f>
        <v>00829</v>
      </c>
      <c r="AN933" t="str">
        <f>UPPER(_xlfn.TEXTBEFORE(Table1[[#This Row],[home_gym_location]],","))&amp;"-"&amp;TEXT(MATCH(Table1[[#This Row],[home_gym_location]],_xlfn._xlws.SORT(_xlfn.UNIQUE(Table1[home_gym_location])),0),"000")</f>
        <v>FRESNO-003</v>
      </c>
      <c r="AO933" t="str">
        <f>LEFT(_xlfn.TEXTBEFORE(Table1[[#This Row],[Location Identifier]],"-"),3) &amp; "-" &amp; _xlfn.TEXTAFTER(Table1[[#This Row],[Location Identifier]],"-")</f>
        <v>FRE-003</v>
      </c>
      <c r="AP933" s="9">
        <f t="shared" ca="1" si="140"/>
        <v>45869</v>
      </c>
    </row>
    <row r="934" spans="1:42" x14ac:dyDescent="0.25">
      <c r="A934">
        <v>20</v>
      </c>
      <c r="B934" t="s">
        <v>33</v>
      </c>
      <c r="C934">
        <v>1</v>
      </c>
      <c r="D934" t="s">
        <v>71</v>
      </c>
      <c r="E934" t="b">
        <v>1</v>
      </c>
      <c r="F934" s="1">
        <v>0.62916666666666665</v>
      </c>
      <c r="G934" s="1">
        <v>0.69444444444444442</v>
      </c>
      <c r="H934">
        <v>94</v>
      </c>
      <c r="I934" t="b">
        <v>0</v>
      </c>
      <c r="J934" t="b">
        <v>0</v>
      </c>
      <c r="K934" t="b">
        <v>0</v>
      </c>
      <c r="L934" t="s">
        <v>62</v>
      </c>
      <c r="M934">
        <v>30</v>
      </c>
      <c r="N934" t="s">
        <v>64</v>
      </c>
      <c r="O934">
        <v>22.5</v>
      </c>
      <c r="P934" t="s">
        <v>40</v>
      </c>
      <c r="Q934">
        <v>0.1</v>
      </c>
      <c r="R934">
        <v>20.25</v>
      </c>
      <c r="S934" t="s">
        <v>37</v>
      </c>
      <c r="T934" t="s">
        <v>59</v>
      </c>
      <c r="U934">
        <v>37.774900000000002</v>
      </c>
      <c r="V934">
        <v>-122.4194</v>
      </c>
      <c r="W934" s="2">
        <v>45271</v>
      </c>
      <c r="X934">
        <v>0</v>
      </c>
      <c r="Y934" t="b">
        <v>0</v>
      </c>
      <c r="Z934" s="2">
        <v>45829</v>
      </c>
      <c r="AA934" t="str">
        <f t="shared" si="141"/>
        <v>20–29</v>
      </c>
      <c r="AB934" t="str">
        <f t="shared" si="142"/>
        <v>20–29</v>
      </c>
      <c r="AC934" t="str">
        <f t="shared" si="143"/>
        <v/>
      </c>
      <c r="AD934" t="str">
        <f t="shared" si="144"/>
        <v>Tuesday</v>
      </c>
      <c r="AE934" t="str">
        <f t="shared" si="145"/>
        <v/>
      </c>
      <c r="AF934" t="str">
        <f t="shared" si="146"/>
        <v/>
      </c>
      <c r="AG934" t="str">
        <f t="shared" si="147"/>
        <v/>
      </c>
      <c r="AH934" t="str">
        <f t="shared" si="148"/>
        <v/>
      </c>
      <c r="AI934" t="str">
        <f t="shared" si="149"/>
        <v/>
      </c>
      <c r="AJ934" t="str">
        <f>LEFT(Table1[[#This Row],[membership_type]],2)&amp;TEXT(Table1[[#This Row],[age]],"00")&amp;"-"&amp;TEXT(ROW(),"000")</f>
        <v>St20-934</v>
      </c>
      <c r="AK934" t="str">
        <f>LEFT(Table1[[#This Row],[membership_type]],1)&amp;TEXT(MATCH(Table1[[#This Row],[membership_type]],Table1[membership_type],0),"00")</f>
        <v>S02</v>
      </c>
      <c r="AL934" t="str">
        <f>LEFT(Table1[[#This Row],[discount_type]],1)&amp;TEXT(ROUND(Table1[[#This Row],[discount_rate]]*100,0),"00")</f>
        <v>L10</v>
      </c>
      <c r="AM934" t="str" cm="1">
        <f t="array" ref="AM934">TEXT(SUMPRODUCT(CODE(MID(Table1[[#This Row],[home_gym_location]],_xlfn.SEQUENCE(LEN(Table1[[#This Row],[home_gym_location]])),1))),"00000")</f>
        <v>01450</v>
      </c>
      <c r="AN93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34" t="str">
        <f>LEFT(_xlfn.TEXTBEFORE(Table1[[#This Row],[Location Identifier]],"-"),3) &amp; "-" &amp; _xlfn.TEXTAFTER(Table1[[#This Row],[Location Identifier]],"-")</f>
        <v>SAN-009</v>
      </c>
      <c r="AP934" s="9">
        <f t="shared" ca="1" si="140"/>
        <v>45869</v>
      </c>
    </row>
    <row r="935" spans="1:42" x14ac:dyDescent="0.25">
      <c r="A935">
        <v>37</v>
      </c>
      <c r="B935" t="s">
        <v>51</v>
      </c>
      <c r="C935">
        <v>1</v>
      </c>
      <c r="D935" t="s">
        <v>63</v>
      </c>
      <c r="E935" t="b">
        <v>1</v>
      </c>
      <c r="F935" s="1">
        <v>0.6430555555555556</v>
      </c>
      <c r="G935" s="1">
        <v>0.67708333333333337</v>
      </c>
      <c r="H935">
        <v>49</v>
      </c>
      <c r="I935" t="b">
        <v>1</v>
      </c>
      <c r="J935" t="b">
        <v>0</v>
      </c>
      <c r="K935" t="b">
        <v>0</v>
      </c>
      <c r="L935" t="s">
        <v>62</v>
      </c>
      <c r="M935">
        <v>70</v>
      </c>
      <c r="N935" t="s">
        <v>29</v>
      </c>
      <c r="O935">
        <v>70</v>
      </c>
      <c r="P935" t="s">
        <v>30</v>
      </c>
      <c r="Q935">
        <v>0.05</v>
      </c>
      <c r="R935">
        <v>66.5</v>
      </c>
      <c r="S935" t="s">
        <v>53</v>
      </c>
      <c r="T935" t="s">
        <v>54</v>
      </c>
      <c r="U935">
        <v>32.715699999999998</v>
      </c>
      <c r="V935">
        <v>-117.1611</v>
      </c>
      <c r="W935" s="2">
        <v>45648</v>
      </c>
      <c r="X935">
        <v>0</v>
      </c>
      <c r="Y935" t="b">
        <v>1</v>
      </c>
      <c r="Z935" s="2">
        <v>45850</v>
      </c>
      <c r="AA935" t="str">
        <f t="shared" si="141"/>
        <v>30–39</v>
      </c>
      <c r="AB935" t="str">
        <f t="shared" si="142"/>
        <v>30–39</v>
      </c>
      <c r="AC935" t="str">
        <f t="shared" si="143"/>
        <v/>
      </c>
      <c r="AD935" t="str">
        <f t="shared" si="144"/>
        <v/>
      </c>
      <c r="AE935" t="str">
        <f t="shared" si="145"/>
        <v>Wednesday</v>
      </c>
      <c r="AF935" t="str">
        <f t="shared" si="146"/>
        <v/>
      </c>
      <c r="AG935" t="str">
        <f t="shared" si="147"/>
        <v/>
      </c>
      <c r="AH935" t="str">
        <f t="shared" si="148"/>
        <v/>
      </c>
      <c r="AI935" t="str">
        <f t="shared" si="149"/>
        <v/>
      </c>
      <c r="AJ935" t="str">
        <f>LEFT(Table1[[#This Row],[membership_type]],2)&amp;TEXT(Table1[[#This Row],[age]],"00")&amp;"-"&amp;TEXT(ROW(),"000")</f>
        <v>El37-935</v>
      </c>
      <c r="AK935" t="str">
        <f>LEFT(Table1[[#This Row],[membership_type]],1)&amp;TEXT(MATCH(Table1[[#This Row],[membership_type]],Table1[membership_type],0),"00")</f>
        <v>E07</v>
      </c>
      <c r="AL935" t="str">
        <f>LEFT(Table1[[#This Row],[discount_type]],1)&amp;TEXT(ROUND(Table1[[#This Row],[discount_rate]]*100,0),"00")</f>
        <v>P05</v>
      </c>
      <c r="AM935" t="str" cm="1">
        <f t="array" ref="AM935">TEXT(SUMPRODUCT(CODE(MID(Table1[[#This Row],[home_gym_location]],_xlfn.SEQUENCE(LEN(Table1[[#This Row],[home_gym_location]])),1))),"00000")</f>
        <v>01018</v>
      </c>
      <c r="AN93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35" t="str">
        <f>LEFT(_xlfn.TEXTBEFORE(Table1[[#This Row],[Location Identifier]],"-"),3) &amp; "-" &amp; _xlfn.TEXTAFTER(Table1[[#This Row],[Location Identifier]],"-")</f>
        <v>SAN-008</v>
      </c>
      <c r="AP935" s="9">
        <f t="shared" ca="1" si="140"/>
        <v>45869</v>
      </c>
    </row>
    <row r="936" spans="1:42" x14ac:dyDescent="0.25">
      <c r="A936">
        <v>18</v>
      </c>
      <c r="B936" t="s">
        <v>26</v>
      </c>
      <c r="C936">
        <v>3</v>
      </c>
      <c r="D936" t="s">
        <v>131</v>
      </c>
      <c r="E936" t="b">
        <v>0</v>
      </c>
      <c r="F936" s="1">
        <v>0.55972222222222223</v>
      </c>
      <c r="G936" s="1">
        <v>0.67708333333333337</v>
      </c>
      <c r="H936">
        <v>169</v>
      </c>
      <c r="I936" t="b">
        <v>0</v>
      </c>
      <c r="J936" t="b">
        <v>0</v>
      </c>
      <c r="K936" t="b">
        <v>0</v>
      </c>
      <c r="L936" t="s">
        <v>47</v>
      </c>
      <c r="M936">
        <v>50</v>
      </c>
      <c r="N936" t="s">
        <v>29</v>
      </c>
      <c r="O936">
        <v>50</v>
      </c>
      <c r="P936" t="s">
        <v>74</v>
      </c>
      <c r="Q936">
        <v>0.15</v>
      </c>
      <c r="R936">
        <v>42.5</v>
      </c>
      <c r="S936" t="s">
        <v>31</v>
      </c>
      <c r="T936" t="s">
        <v>65</v>
      </c>
      <c r="U936">
        <v>33.770099999999999</v>
      </c>
      <c r="V936">
        <v>-118.19370000000001</v>
      </c>
      <c r="W936" s="2">
        <v>45540</v>
      </c>
      <c r="X936">
        <v>0</v>
      </c>
      <c r="Y936" t="b">
        <v>1</v>
      </c>
      <c r="Z936" s="2">
        <v>45844</v>
      </c>
      <c r="AA936" t="str">
        <f t="shared" si="141"/>
        <v>10–19</v>
      </c>
      <c r="AB936" t="str">
        <f t="shared" si="142"/>
        <v>16–19</v>
      </c>
      <c r="AC936" t="str">
        <f t="shared" si="143"/>
        <v>Monday</v>
      </c>
      <c r="AD936" t="str">
        <f t="shared" si="144"/>
        <v/>
      </c>
      <c r="AE936" t="str">
        <f t="shared" si="145"/>
        <v/>
      </c>
      <c r="AF936" t="str">
        <f t="shared" si="146"/>
        <v/>
      </c>
      <c r="AG936" t="str">
        <f t="shared" si="147"/>
        <v>Friday</v>
      </c>
      <c r="AH936" t="str">
        <f t="shared" si="148"/>
        <v/>
      </c>
      <c r="AI936" t="str">
        <f t="shared" si="149"/>
        <v>Sunday</v>
      </c>
      <c r="AJ936" t="str">
        <f>LEFT(Table1[[#This Row],[membership_type]],2)&amp;TEXT(Table1[[#This Row],[age]],"00")&amp;"-"&amp;TEXT(ROW(),"000")</f>
        <v>Pr18-936</v>
      </c>
      <c r="AK936" t="str">
        <f>LEFT(Table1[[#This Row],[membership_type]],1)&amp;TEXT(MATCH(Table1[[#This Row],[membership_type]],Table1[membership_type],0),"00")</f>
        <v>P01</v>
      </c>
      <c r="AL936" t="str">
        <f>LEFT(Table1[[#This Row],[discount_type]],1)&amp;TEXT(ROUND(Table1[[#This Row],[discount_rate]]*100,0),"00")</f>
        <v>S15</v>
      </c>
      <c r="AM936" t="str" cm="1">
        <f t="array" ref="AM936">TEXT(SUMPRODUCT(CODE(MID(Table1[[#This Row],[home_gym_location]],_xlfn.SEQUENCE(LEN(Table1[[#This Row],[home_gym_location]])),1))),"00000")</f>
        <v>01107</v>
      </c>
      <c r="AN9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36" t="str">
        <f>LEFT(_xlfn.TEXTBEFORE(Table1[[#This Row],[Location Identifier]],"-"),3) &amp; "-" &amp; _xlfn.TEXTAFTER(Table1[[#This Row],[Location Identifier]],"-")</f>
        <v>LON-004</v>
      </c>
      <c r="AP936" s="9">
        <f t="shared" ca="1" si="140"/>
        <v>45869</v>
      </c>
    </row>
    <row r="937" spans="1:42" x14ac:dyDescent="0.25">
      <c r="A937">
        <v>43</v>
      </c>
      <c r="B937" t="s">
        <v>26</v>
      </c>
      <c r="C937">
        <v>4</v>
      </c>
      <c r="D937" t="s">
        <v>166</v>
      </c>
      <c r="E937" t="b">
        <v>1</v>
      </c>
      <c r="F937" s="1">
        <v>0.77847222222222223</v>
      </c>
      <c r="G937" s="1">
        <v>0.9</v>
      </c>
      <c r="H937">
        <v>175</v>
      </c>
      <c r="I937" t="b">
        <v>0</v>
      </c>
      <c r="J937" t="b">
        <v>1</v>
      </c>
      <c r="K937" t="b">
        <v>0</v>
      </c>
      <c r="L937" t="s">
        <v>62</v>
      </c>
      <c r="M937">
        <v>50</v>
      </c>
      <c r="N937" t="s">
        <v>64</v>
      </c>
      <c r="O937">
        <v>37.5</v>
      </c>
      <c r="P937" t="s">
        <v>74</v>
      </c>
      <c r="Q937">
        <v>0.15</v>
      </c>
      <c r="R937">
        <v>31.875</v>
      </c>
      <c r="S937" t="s">
        <v>31</v>
      </c>
      <c r="T937" t="s">
        <v>45</v>
      </c>
      <c r="U937">
        <v>33.836599999999997</v>
      </c>
      <c r="V937">
        <v>-117.9143</v>
      </c>
      <c r="W937" s="2">
        <v>45811</v>
      </c>
      <c r="X937">
        <v>5</v>
      </c>
      <c r="Y937" t="b">
        <v>1</v>
      </c>
      <c r="Z937" s="2">
        <v>45859</v>
      </c>
      <c r="AA937" t="str">
        <f t="shared" si="141"/>
        <v>40–49</v>
      </c>
      <c r="AB937" t="str">
        <f t="shared" si="142"/>
        <v>40–49</v>
      </c>
      <c r="AC937" t="str">
        <f t="shared" si="143"/>
        <v>Monday</v>
      </c>
      <c r="AD937" t="str">
        <f t="shared" si="144"/>
        <v>Tuesday</v>
      </c>
      <c r="AE937" t="str">
        <f t="shared" si="145"/>
        <v/>
      </c>
      <c r="AF937" t="str">
        <f t="shared" si="146"/>
        <v/>
      </c>
      <c r="AG937" t="str">
        <f t="shared" si="147"/>
        <v>Friday</v>
      </c>
      <c r="AH937" t="str">
        <f t="shared" si="148"/>
        <v>Saturday</v>
      </c>
      <c r="AI937" t="str">
        <f t="shared" si="149"/>
        <v/>
      </c>
      <c r="AJ937" t="str">
        <f>LEFT(Table1[[#This Row],[membership_type]],2)&amp;TEXT(Table1[[#This Row],[age]],"00")&amp;"-"&amp;TEXT(ROW(),"000")</f>
        <v>Pr43-937</v>
      </c>
      <c r="AK937" t="str">
        <f>LEFT(Table1[[#This Row],[membership_type]],1)&amp;TEXT(MATCH(Table1[[#This Row],[membership_type]],Table1[membership_type],0),"00")</f>
        <v>P01</v>
      </c>
      <c r="AL937" t="str">
        <f>LEFT(Table1[[#This Row],[discount_type]],1)&amp;TEXT(ROUND(Table1[[#This Row],[discount_rate]]*100,0),"00")</f>
        <v>S15</v>
      </c>
      <c r="AM937" t="str" cm="1">
        <f t="array" ref="AM937">TEXT(SUMPRODUCT(CODE(MID(Table1[[#This Row],[home_gym_location]],_xlfn.SEQUENCE(LEN(Table1[[#This Row],[home_gym_location]])),1))),"00000")</f>
        <v>00899</v>
      </c>
      <c r="AN937" t="str">
        <f>UPPER(_xlfn.TEXTBEFORE(Table1[[#This Row],[home_gym_location]],","))&amp;"-"&amp;TEXT(MATCH(Table1[[#This Row],[home_gym_location]],_xlfn._xlws.SORT(_xlfn.UNIQUE(Table1[home_gym_location])),0),"000")</f>
        <v>ANAHEIM-001</v>
      </c>
      <c r="AO937" t="str">
        <f>LEFT(_xlfn.TEXTBEFORE(Table1[[#This Row],[Location Identifier]],"-"),3) &amp; "-" &amp; _xlfn.TEXTAFTER(Table1[[#This Row],[Location Identifier]],"-")</f>
        <v>ANA-001</v>
      </c>
      <c r="AP937" s="9">
        <f t="shared" ca="1" si="140"/>
        <v>45869</v>
      </c>
    </row>
    <row r="938" spans="1:42" x14ac:dyDescent="0.25">
      <c r="A938">
        <v>25</v>
      </c>
      <c r="B938" t="s">
        <v>26</v>
      </c>
      <c r="C938">
        <v>1</v>
      </c>
      <c r="D938" t="s">
        <v>95</v>
      </c>
      <c r="E938" t="b">
        <v>0</v>
      </c>
      <c r="F938" s="1">
        <v>0.66319444444444442</v>
      </c>
      <c r="G938" s="1">
        <v>0.70138888888888884</v>
      </c>
      <c r="H938">
        <v>55</v>
      </c>
      <c r="I938" t="b">
        <v>1</v>
      </c>
      <c r="J938" t="b">
        <v>0</v>
      </c>
      <c r="K938" t="b">
        <v>1</v>
      </c>
      <c r="L938" t="s">
        <v>28</v>
      </c>
      <c r="M938">
        <v>50</v>
      </c>
      <c r="N938" t="s">
        <v>29</v>
      </c>
      <c r="O938">
        <v>50</v>
      </c>
      <c r="P938" t="s">
        <v>36</v>
      </c>
      <c r="Q938">
        <v>0</v>
      </c>
      <c r="R938">
        <v>50</v>
      </c>
      <c r="S938" t="s">
        <v>31</v>
      </c>
      <c r="T938" t="s">
        <v>59</v>
      </c>
      <c r="U938">
        <v>37.774900000000002</v>
      </c>
      <c r="V938">
        <v>-122.4194</v>
      </c>
      <c r="W938" s="2">
        <v>44857</v>
      </c>
      <c r="X938">
        <v>0</v>
      </c>
      <c r="Y938" t="b">
        <v>0</v>
      </c>
      <c r="Z938" s="2">
        <v>45806</v>
      </c>
      <c r="AA938" t="str">
        <f t="shared" si="141"/>
        <v>20–29</v>
      </c>
      <c r="AB938" t="str">
        <f t="shared" si="142"/>
        <v>20–29</v>
      </c>
      <c r="AC938" t="str">
        <f t="shared" si="143"/>
        <v/>
      </c>
      <c r="AD938" t="str">
        <f t="shared" si="144"/>
        <v/>
      </c>
      <c r="AE938" t="str">
        <f t="shared" si="145"/>
        <v/>
      </c>
      <c r="AF938" t="str">
        <f t="shared" si="146"/>
        <v/>
      </c>
      <c r="AG938" t="str">
        <f t="shared" si="147"/>
        <v/>
      </c>
      <c r="AH938" t="str">
        <f t="shared" si="148"/>
        <v>Saturday</v>
      </c>
      <c r="AI938" t="str">
        <f t="shared" si="149"/>
        <v/>
      </c>
      <c r="AJ938" t="str">
        <f>LEFT(Table1[[#This Row],[membership_type]],2)&amp;TEXT(Table1[[#This Row],[age]],"00")&amp;"-"&amp;TEXT(ROW(),"000")</f>
        <v>Pr25-938</v>
      </c>
      <c r="AK938" t="str">
        <f>LEFT(Table1[[#This Row],[membership_type]],1)&amp;TEXT(MATCH(Table1[[#This Row],[membership_type]],Table1[membership_type],0),"00")</f>
        <v>P01</v>
      </c>
      <c r="AL938" t="str">
        <f>LEFT(Table1[[#This Row],[discount_type]],1)&amp;TEXT(ROUND(Table1[[#This Row],[discount_rate]]*100,0),"00")</f>
        <v>N00</v>
      </c>
      <c r="AM938" t="str" cm="1">
        <f t="array" ref="AM938">TEXT(SUMPRODUCT(CODE(MID(Table1[[#This Row],[home_gym_location]],_xlfn.SEQUENCE(LEN(Table1[[#This Row],[home_gym_location]])),1))),"00000")</f>
        <v>01450</v>
      </c>
      <c r="AN93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38" t="str">
        <f>LEFT(_xlfn.TEXTBEFORE(Table1[[#This Row],[Location Identifier]],"-"),3) &amp; "-" &amp; _xlfn.TEXTAFTER(Table1[[#This Row],[Location Identifier]],"-")</f>
        <v>SAN-009</v>
      </c>
      <c r="AP938" s="9">
        <f t="shared" ca="1" si="140"/>
        <v>45869</v>
      </c>
    </row>
    <row r="939" spans="1:42" x14ac:dyDescent="0.25">
      <c r="A939">
        <v>25</v>
      </c>
      <c r="B939" t="s">
        <v>33</v>
      </c>
      <c r="C939">
        <v>3</v>
      </c>
      <c r="D939" t="s">
        <v>122</v>
      </c>
      <c r="E939" t="b">
        <v>0</v>
      </c>
      <c r="F939" s="1">
        <v>0.63958333333333328</v>
      </c>
      <c r="G939" s="1">
        <v>0.68472222222222223</v>
      </c>
      <c r="H939">
        <v>65</v>
      </c>
      <c r="I939" t="b">
        <v>0</v>
      </c>
      <c r="J939" t="b">
        <v>1</v>
      </c>
      <c r="K939" t="b">
        <v>0</v>
      </c>
      <c r="L939" t="s">
        <v>47</v>
      </c>
      <c r="M939">
        <v>30</v>
      </c>
      <c r="N939" t="s">
        <v>29</v>
      </c>
      <c r="O939">
        <v>30</v>
      </c>
      <c r="P939" t="s">
        <v>30</v>
      </c>
      <c r="Q939">
        <v>0.05</v>
      </c>
      <c r="R939">
        <v>28.5</v>
      </c>
      <c r="S939" t="s">
        <v>37</v>
      </c>
      <c r="T939" t="s">
        <v>48</v>
      </c>
      <c r="U939">
        <v>38.581600000000002</v>
      </c>
      <c r="V939">
        <v>-121.4944</v>
      </c>
      <c r="W939" s="2">
        <v>45705</v>
      </c>
      <c r="X939">
        <v>7</v>
      </c>
      <c r="Y939" t="b">
        <v>1</v>
      </c>
      <c r="Z939" s="2">
        <v>45853</v>
      </c>
      <c r="AA939" t="str">
        <f t="shared" si="141"/>
        <v>20–29</v>
      </c>
      <c r="AB939" t="str">
        <f t="shared" si="142"/>
        <v>20–29</v>
      </c>
      <c r="AC939" t="str">
        <f t="shared" si="143"/>
        <v/>
      </c>
      <c r="AD939" t="str">
        <f t="shared" si="144"/>
        <v>Tuesday</v>
      </c>
      <c r="AE939" t="str">
        <f t="shared" si="145"/>
        <v/>
      </c>
      <c r="AF939" t="str">
        <f t="shared" si="146"/>
        <v/>
      </c>
      <c r="AG939" t="str">
        <f t="shared" si="147"/>
        <v>Friday</v>
      </c>
      <c r="AH939" t="str">
        <f t="shared" si="148"/>
        <v/>
      </c>
      <c r="AI939" t="str">
        <f t="shared" si="149"/>
        <v>Sunday</v>
      </c>
      <c r="AJ939" t="str">
        <f>LEFT(Table1[[#This Row],[membership_type]],2)&amp;TEXT(Table1[[#This Row],[age]],"00")&amp;"-"&amp;TEXT(ROW(),"000")</f>
        <v>St25-939</v>
      </c>
      <c r="AK939" t="str">
        <f>LEFT(Table1[[#This Row],[membership_type]],1)&amp;TEXT(MATCH(Table1[[#This Row],[membership_type]],Table1[membership_type],0),"00")</f>
        <v>S02</v>
      </c>
      <c r="AL939" t="str">
        <f>LEFT(Table1[[#This Row],[discount_type]],1)&amp;TEXT(ROUND(Table1[[#This Row],[discount_rate]]*100,0),"00")</f>
        <v>P05</v>
      </c>
      <c r="AM939" t="str" cm="1">
        <f t="array" ref="AM939">TEXT(SUMPRODUCT(CODE(MID(Table1[[#This Row],[home_gym_location]],_xlfn.SEQUENCE(LEN(Table1[[#This Row],[home_gym_location]])),1))),"00000")</f>
        <v>01245</v>
      </c>
      <c r="AN93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39" t="str">
        <f>LEFT(_xlfn.TEXTBEFORE(Table1[[#This Row],[Location Identifier]],"-"),3) &amp; "-" &amp; _xlfn.TEXTAFTER(Table1[[#This Row],[Location Identifier]],"-")</f>
        <v>SAC-007</v>
      </c>
      <c r="AP939" s="9">
        <f t="shared" ca="1" si="140"/>
        <v>45869</v>
      </c>
    </row>
    <row r="940" spans="1:42" x14ac:dyDescent="0.25">
      <c r="A940">
        <v>46</v>
      </c>
      <c r="B940" t="s">
        <v>42</v>
      </c>
      <c r="C940">
        <v>5</v>
      </c>
      <c r="D940" t="s">
        <v>77</v>
      </c>
      <c r="E940" t="b">
        <v>1</v>
      </c>
      <c r="F940" s="1">
        <v>0.47083333333333333</v>
      </c>
      <c r="G940" s="1">
        <v>0.58750000000000002</v>
      </c>
      <c r="H940">
        <v>168</v>
      </c>
      <c r="I940" t="b">
        <v>1</v>
      </c>
      <c r="J940" t="b">
        <v>1</v>
      </c>
      <c r="K940" t="b">
        <v>1</v>
      </c>
      <c r="L940" t="s">
        <v>28</v>
      </c>
      <c r="M940">
        <v>20</v>
      </c>
      <c r="N940" t="s">
        <v>64</v>
      </c>
      <c r="O940">
        <v>15</v>
      </c>
      <c r="P940" t="s">
        <v>40</v>
      </c>
      <c r="Q940">
        <v>0.1</v>
      </c>
      <c r="R940">
        <v>13.5</v>
      </c>
      <c r="S940" t="s">
        <v>44</v>
      </c>
      <c r="T940" t="s">
        <v>59</v>
      </c>
      <c r="U940">
        <v>37.774900000000002</v>
      </c>
      <c r="V940">
        <v>-122.4194</v>
      </c>
      <c r="W940" s="2">
        <v>45217</v>
      </c>
      <c r="X940">
        <v>5</v>
      </c>
      <c r="Y940" t="b">
        <v>0</v>
      </c>
      <c r="Z940" s="2">
        <v>45826</v>
      </c>
      <c r="AA940" t="str">
        <f t="shared" si="141"/>
        <v>40–49</v>
      </c>
      <c r="AB940" t="str">
        <f t="shared" si="142"/>
        <v>40–49</v>
      </c>
      <c r="AC940" t="str">
        <f t="shared" si="143"/>
        <v/>
      </c>
      <c r="AD940" t="str">
        <f t="shared" si="144"/>
        <v>Tuesday</v>
      </c>
      <c r="AE940" t="str">
        <f t="shared" si="145"/>
        <v>Wednesday</v>
      </c>
      <c r="AF940" t="str">
        <f t="shared" si="146"/>
        <v>Thursday</v>
      </c>
      <c r="AG940" t="str">
        <f t="shared" si="147"/>
        <v>Friday</v>
      </c>
      <c r="AH940" t="str">
        <f t="shared" si="148"/>
        <v/>
      </c>
      <c r="AI940" t="str">
        <f t="shared" si="149"/>
        <v>Sunday</v>
      </c>
      <c r="AJ940" t="str">
        <f>LEFT(Table1[[#This Row],[membership_type]],2)&amp;TEXT(Table1[[#This Row],[age]],"00")&amp;"-"&amp;TEXT(ROW(),"000")</f>
        <v>Ba46-940</v>
      </c>
      <c r="AK940" t="str">
        <f>LEFT(Table1[[#This Row],[membership_type]],1)&amp;TEXT(MATCH(Table1[[#This Row],[membership_type]],Table1[membership_type],0),"00")</f>
        <v>B04</v>
      </c>
      <c r="AL940" t="str">
        <f>LEFT(Table1[[#This Row],[discount_type]],1)&amp;TEXT(ROUND(Table1[[#This Row],[discount_rate]]*100,0),"00")</f>
        <v>L10</v>
      </c>
      <c r="AM940" t="str" cm="1">
        <f t="array" ref="AM940">TEXT(SUMPRODUCT(CODE(MID(Table1[[#This Row],[home_gym_location]],_xlfn.SEQUENCE(LEN(Table1[[#This Row],[home_gym_location]])),1))),"00000")</f>
        <v>01450</v>
      </c>
      <c r="AN94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40" t="str">
        <f>LEFT(_xlfn.TEXTBEFORE(Table1[[#This Row],[Location Identifier]],"-"),3) &amp; "-" &amp; _xlfn.TEXTAFTER(Table1[[#This Row],[Location Identifier]],"-")</f>
        <v>SAN-009</v>
      </c>
      <c r="AP940" s="9">
        <f t="shared" ca="1" si="140"/>
        <v>45869</v>
      </c>
    </row>
    <row r="941" spans="1:42" x14ac:dyDescent="0.25">
      <c r="A941">
        <v>43</v>
      </c>
      <c r="B941" t="s">
        <v>33</v>
      </c>
      <c r="C941">
        <v>5</v>
      </c>
      <c r="D941" t="s">
        <v>137</v>
      </c>
      <c r="E941" t="b">
        <v>0</v>
      </c>
      <c r="F941" s="1">
        <v>0.53472222222222221</v>
      </c>
      <c r="G941" s="1">
        <v>0.63888888888888884</v>
      </c>
      <c r="H941">
        <v>150</v>
      </c>
      <c r="I941" t="b">
        <v>1</v>
      </c>
      <c r="J941" t="b">
        <v>1</v>
      </c>
      <c r="K941" t="b">
        <v>1</v>
      </c>
      <c r="L941" t="s">
        <v>28</v>
      </c>
      <c r="M941">
        <v>30</v>
      </c>
      <c r="N941" t="s">
        <v>78</v>
      </c>
      <c r="O941">
        <v>27</v>
      </c>
      <c r="P941" t="s">
        <v>36</v>
      </c>
      <c r="Q941">
        <v>0</v>
      </c>
      <c r="R941">
        <v>27</v>
      </c>
      <c r="S941" t="s">
        <v>37</v>
      </c>
      <c r="T941" t="s">
        <v>59</v>
      </c>
      <c r="U941">
        <v>37.774900000000002</v>
      </c>
      <c r="V941">
        <v>-122.4194</v>
      </c>
      <c r="W941" s="2">
        <v>45539</v>
      </c>
      <c r="X941">
        <v>5</v>
      </c>
      <c r="Y941" t="b">
        <v>0</v>
      </c>
      <c r="Z941" s="2">
        <v>45844</v>
      </c>
      <c r="AA941" t="str">
        <f t="shared" si="141"/>
        <v>40–49</v>
      </c>
      <c r="AB941" t="str">
        <f t="shared" si="142"/>
        <v>40–49</v>
      </c>
      <c r="AC941" t="str">
        <f t="shared" si="143"/>
        <v>Monday</v>
      </c>
      <c r="AD941" t="str">
        <f t="shared" si="144"/>
        <v>Tuesday</v>
      </c>
      <c r="AE941" t="str">
        <f t="shared" si="145"/>
        <v>Wednesday</v>
      </c>
      <c r="AF941" t="str">
        <f t="shared" si="146"/>
        <v/>
      </c>
      <c r="AG941" t="str">
        <f t="shared" si="147"/>
        <v/>
      </c>
      <c r="AH941" t="str">
        <f t="shared" si="148"/>
        <v>Saturday</v>
      </c>
      <c r="AI941" t="str">
        <f t="shared" si="149"/>
        <v>Sunday</v>
      </c>
      <c r="AJ941" t="str">
        <f>LEFT(Table1[[#This Row],[membership_type]],2)&amp;TEXT(Table1[[#This Row],[age]],"00")&amp;"-"&amp;TEXT(ROW(),"000")</f>
        <v>St43-941</v>
      </c>
      <c r="AK941" t="str">
        <f>LEFT(Table1[[#This Row],[membership_type]],1)&amp;TEXT(MATCH(Table1[[#This Row],[membership_type]],Table1[membership_type],0),"00")</f>
        <v>S02</v>
      </c>
      <c r="AL941" t="str">
        <f>LEFT(Table1[[#This Row],[discount_type]],1)&amp;TEXT(ROUND(Table1[[#This Row],[discount_rate]]*100,0),"00")</f>
        <v>N00</v>
      </c>
      <c r="AM941" t="str" cm="1">
        <f t="array" ref="AM941">TEXT(SUMPRODUCT(CODE(MID(Table1[[#This Row],[home_gym_location]],_xlfn.SEQUENCE(LEN(Table1[[#This Row],[home_gym_location]])),1))),"00000")</f>
        <v>01450</v>
      </c>
      <c r="AN94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41" t="str">
        <f>LEFT(_xlfn.TEXTBEFORE(Table1[[#This Row],[Location Identifier]],"-"),3) &amp; "-" &amp; _xlfn.TEXTAFTER(Table1[[#This Row],[Location Identifier]],"-")</f>
        <v>SAN-009</v>
      </c>
      <c r="AP941" s="9">
        <f t="shared" ca="1" si="140"/>
        <v>45869</v>
      </c>
    </row>
    <row r="942" spans="1:42" x14ac:dyDescent="0.25">
      <c r="A942">
        <v>46</v>
      </c>
      <c r="B942" t="s">
        <v>33</v>
      </c>
      <c r="C942">
        <v>5</v>
      </c>
      <c r="D942" t="s">
        <v>68</v>
      </c>
      <c r="E942" t="b">
        <v>1</v>
      </c>
      <c r="F942" s="1">
        <v>0.5131944444444444</v>
      </c>
      <c r="G942" s="1">
        <v>0.53402777777777777</v>
      </c>
      <c r="H942">
        <v>30</v>
      </c>
      <c r="I942" t="b">
        <v>0</v>
      </c>
      <c r="J942" t="b">
        <v>1</v>
      </c>
      <c r="K942" t="b">
        <v>1</v>
      </c>
      <c r="L942" t="s">
        <v>28</v>
      </c>
      <c r="M942">
        <v>30</v>
      </c>
      <c r="N942" t="s">
        <v>29</v>
      </c>
      <c r="O942">
        <v>30</v>
      </c>
      <c r="P942" t="s">
        <v>36</v>
      </c>
      <c r="Q942">
        <v>0</v>
      </c>
      <c r="R942">
        <v>30</v>
      </c>
      <c r="S942" t="s">
        <v>37</v>
      </c>
      <c r="T942" t="s">
        <v>59</v>
      </c>
      <c r="U942">
        <v>37.774900000000002</v>
      </c>
      <c r="V942">
        <v>-122.4194</v>
      </c>
      <c r="W942" s="2">
        <v>45240</v>
      </c>
      <c r="X942">
        <v>8</v>
      </c>
      <c r="Y942" t="b">
        <v>0</v>
      </c>
      <c r="Z942" s="2">
        <v>45827</v>
      </c>
      <c r="AA942" t="str">
        <f t="shared" si="141"/>
        <v>40–49</v>
      </c>
      <c r="AB942" t="str">
        <f t="shared" si="142"/>
        <v>40–49</v>
      </c>
      <c r="AC942" t="str">
        <f t="shared" si="143"/>
        <v>Monday</v>
      </c>
      <c r="AD942" t="str">
        <f t="shared" si="144"/>
        <v>Tuesday</v>
      </c>
      <c r="AE942" t="str">
        <f t="shared" si="145"/>
        <v/>
      </c>
      <c r="AF942" t="str">
        <f t="shared" si="146"/>
        <v>Thursday</v>
      </c>
      <c r="AG942" t="str">
        <f t="shared" si="147"/>
        <v>Friday</v>
      </c>
      <c r="AH942" t="str">
        <f t="shared" si="148"/>
        <v>Saturday</v>
      </c>
      <c r="AI942" t="str">
        <f t="shared" si="149"/>
        <v/>
      </c>
      <c r="AJ942" t="str">
        <f>LEFT(Table1[[#This Row],[membership_type]],2)&amp;TEXT(Table1[[#This Row],[age]],"00")&amp;"-"&amp;TEXT(ROW(),"000")</f>
        <v>St46-942</v>
      </c>
      <c r="AK942" t="str">
        <f>LEFT(Table1[[#This Row],[membership_type]],1)&amp;TEXT(MATCH(Table1[[#This Row],[membership_type]],Table1[membership_type],0),"00")</f>
        <v>S02</v>
      </c>
      <c r="AL942" t="str">
        <f>LEFT(Table1[[#This Row],[discount_type]],1)&amp;TEXT(ROUND(Table1[[#This Row],[discount_rate]]*100,0),"00")</f>
        <v>N00</v>
      </c>
      <c r="AM942" t="str" cm="1">
        <f t="array" ref="AM942">TEXT(SUMPRODUCT(CODE(MID(Table1[[#This Row],[home_gym_location]],_xlfn.SEQUENCE(LEN(Table1[[#This Row],[home_gym_location]])),1))),"00000")</f>
        <v>01450</v>
      </c>
      <c r="AN94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42" t="str">
        <f>LEFT(_xlfn.TEXTBEFORE(Table1[[#This Row],[Location Identifier]],"-"),3) &amp; "-" &amp; _xlfn.TEXTAFTER(Table1[[#This Row],[Location Identifier]],"-")</f>
        <v>SAN-009</v>
      </c>
      <c r="AP942" s="9">
        <f t="shared" ca="1" si="140"/>
        <v>45869</v>
      </c>
    </row>
    <row r="943" spans="1:42" x14ac:dyDescent="0.25">
      <c r="A943">
        <v>19</v>
      </c>
      <c r="B943" t="s">
        <v>26</v>
      </c>
      <c r="C943">
        <v>2</v>
      </c>
      <c r="D943" t="s">
        <v>88</v>
      </c>
      <c r="E943" t="b">
        <v>1</v>
      </c>
      <c r="F943" s="1">
        <v>0.44583333333333336</v>
      </c>
      <c r="G943" s="1">
        <v>0.56180555555555556</v>
      </c>
      <c r="H943">
        <v>167</v>
      </c>
      <c r="I943" t="b">
        <v>0</v>
      </c>
      <c r="J943" t="b">
        <v>1</v>
      </c>
      <c r="K943" t="b">
        <v>0</v>
      </c>
      <c r="L943" t="s">
        <v>28</v>
      </c>
      <c r="M943">
        <v>50</v>
      </c>
      <c r="N943" t="s">
        <v>29</v>
      </c>
      <c r="O943">
        <v>50</v>
      </c>
      <c r="P943" t="s">
        <v>40</v>
      </c>
      <c r="Q943">
        <v>0.1</v>
      </c>
      <c r="R943">
        <v>45</v>
      </c>
      <c r="S943" t="s">
        <v>31</v>
      </c>
      <c r="T943" t="s">
        <v>48</v>
      </c>
      <c r="U943">
        <v>38.581600000000002</v>
      </c>
      <c r="V943">
        <v>-121.4944</v>
      </c>
      <c r="W943" s="2">
        <v>45137</v>
      </c>
      <c r="X943">
        <v>4</v>
      </c>
      <c r="Y943" t="b">
        <v>1</v>
      </c>
      <c r="Z943" s="2">
        <v>45821</v>
      </c>
      <c r="AA943" t="str">
        <f t="shared" si="141"/>
        <v>10–19</v>
      </c>
      <c r="AB943" t="str">
        <f t="shared" si="142"/>
        <v>16–19</v>
      </c>
      <c r="AC943" t="str">
        <f t="shared" si="143"/>
        <v>Monday</v>
      </c>
      <c r="AD943" t="str">
        <f t="shared" si="144"/>
        <v/>
      </c>
      <c r="AE943" t="str">
        <f t="shared" si="145"/>
        <v>Wednesday</v>
      </c>
      <c r="AF943" t="str">
        <f t="shared" si="146"/>
        <v/>
      </c>
      <c r="AG943" t="str">
        <f t="shared" si="147"/>
        <v/>
      </c>
      <c r="AH943" t="str">
        <f t="shared" si="148"/>
        <v/>
      </c>
      <c r="AI943" t="str">
        <f t="shared" si="149"/>
        <v/>
      </c>
      <c r="AJ943" t="str">
        <f>LEFT(Table1[[#This Row],[membership_type]],2)&amp;TEXT(Table1[[#This Row],[age]],"00")&amp;"-"&amp;TEXT(ROW(),"000")</f>
        <v>Pr19-943</v>
      </c>
      <c r="AK943" t="str">
        <f>LEFT(Table1[[#This Row],[membership_type]],1)&amp;TEXT(MATCH(Table1[[#This Row],[membership_type]],Table1[membership_type],0),"00")</f>
        <v>P01</v>
      </c>
      <c r="AL943" t="str">
        <f>LEFT(Table1[[#This Row],[discount_type]],1)&amp;TEXT(ROUND(Table1[[#This Row],[discount_rate]]*100,0),"00")</f>
        <v>L10</v>
      </c>
      <c r="AM943" t="str" cm="1">
        <f t="array" ref="AM943">TEXT(SUMPRODUCT(CODE(MID(Table1[[#This Row],[home_gym_location]],_xlfn.SEQUENCE(LEN(Table1[[#This Row],[home_gym_location]])),1))),"00000")</f>
        <v>01245</v>
      </c>
      <c r="AN9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43" t="str">
        <f>LEFT(_xlfn.TEXTBEFORE(Table1[[#This Row],[Location Identifier]],"-"),3) &amp; "-" &amp; _xlfn.TEXTAFTER(Table1[[#This Row],[Location Identifier]],"-")</f>
        <v>SAC-007</v>
      </c>
      <c r="AP943" s="9">
        <f t="shared" ca="1" si="140"/>
        <v>45869</v>
      </c>
    </row>
    <row r="944" spans="1:42" x14ac:dyDescent="0.25">
      <c r="A944">
        <v>47</v>
      </c>
      <c r="B944" t="s">
        <v>51</v>
      </c>
      <c r="C944">
        <v>2</v>
      </c>
      <c r="D944" t="s">
        <v>73</v>
      </c>
      <c r="E944" t="b">
        <v>1</v>
      </c>
      <c r="F944" s="1">
        <v>0.80486111111111114</v>
      </c>
      <c r="G944" s="1">
        <v>0.86805555555555558</v>
      </c>
      <c r="H944">
        <v>91</v>
      </c>
      <c r="I944" t="b">
        <v>0</v>
      </c>
      <c r="J944" t="b">
        <v>0</v>
      </c>
      <c r="K944" t="b">
        <v>0</v>
      </c>
      <c r="L944" t="s">
        <v>35</v>
      </c>
      <c r="M944">
        <v>70</v>
      </c>
      <c r="N944" t="s">
        <v>64</v>
      </c>
      <c r="O944">
        <v>52.5</v>
      </c>
      <c r="P944" t="s">
        <v>36</v>
      </c>
      <c r="Q944">
        <v>0</v>
      </c>
      <c r="R944">
        <v>52.5</v>
      </c>
      <c r="S944" t="s">
        <v>53</v>
      </c>
      <c r="T944" t="s">
        <v>54</v>
      </c>
      <c r="U944">
        <v>32.715699999999998</v>
      </c>
      <c r="V944">
        <v>-117.1611</v>
      </c>
      <c r="W944" s="2">
        <v>44947</v>
      </c>
      <c r="X944">
        <v>0</v>
      </c>
      <c r="Y944" t="b">
        <v>1</v>
      </c>
      <c r="Z944" s="2">
        <v>45811</v>
      </c>
      <c r="AA944" t="str">
        <f t="shared" si="141"/>
        <v>40–49</v>
      </c>
      <c r="AB944" t="str">
        <f t="shared" si="142"/>
        <v>40–49</v>
      </c>
      <c r="AC944" t="str">
        <f t="shared" si="143"/>
        <v/>
      </c>
      <c r="AD944" t="str">
        <f t="shared" si="144"/>
        <v>Tuesday</v>
      </c>
      <c r="AE944" t="str">
        <f t="shared" si="145"/>
        <v/>
      </c>
      <c r="AF944" t="str">
        <f t="shared" si="146"/>
        <v/>
      </c>
      <c r="AG944" t="str">
        <f t="shared" si="147"/>
        <v>Friday</v>
      </c>
      <c r="AH944" t="str">
        <f t="shared" si="148"/>
        <v/>
      </c>
      <c r="AI944" t="str">
        <f t="shared" si="149"/>
        <v/>
      </c>
      <c r="AJ944" t="str">
        <f>LEFT(Table1[[#This Row],[membership_type]],2)&amp;TEXT(Table1[[#This Row],[age]],"00")&amp;"-"&amp;TEXT(ROW(),"000")</f>
        <v>El47-944</v>
      </c>
      <c r="AK944" t="str">
        <f>LEFT(Table1[[#This Row],[membership_type]],1)&amp;TEXT(MATCH(Table1[[#This Row],[membership_type]],Table1[membership_type],0),"00")</f>
        <v>E07</v>
      </c>
      <c r="AL944" t="str">
        <f>LEFT(Table1[[#This Row],[discount_type]],1)&amp;TEXT(ROUND(Table1[[#This Row],[discount_rate]]*100,0),"00")</f>
        <v>N00</v>
      </c>
      <c r="AM944" t="str" cm="1">
        <f t="array" ref="AM944">TEXT(SUMPRODUCT(CODE(MID(Table1[[#This Row],[home_gym_location]],_xlfn.SEQUENCE(LEN(Table1[[#This Row],[home_gym_location]])),1))),"00000")</f>
        <v>01018</v>
      </c>
      <c r="AN94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44" t="str">
        <f>LEFT(_xlfn.TEXTBEFORE(Table1[[#This Row],[Location Identifier]],"-"),3) &amp; "-" &amp; _xlfn.TEXTAFTER(Table1[[#This Row],[Location Identifier]],"-")</f>
        <v>SAN-008</v>
      </c>
      <c r="AP944" s="9">
        <f t="shared" ca="1" si="140"/>
        <v>45869</v>
      </c>
    </row>
    <row r="945" spans="1:42" x14ac:dyDescent="0.25">
      <c r="A945">
        <v>44</v>
      </c>
      <c r="B945" t="s">
        <v>51</v>
      </c>
      <c r="C945">
        <v>5</v>
      </c>
      <c r="D945" t="s">
        <v>77</v>
      </c>
      <c r="E945" t="b">
        <v>1</v>
      </c>
      <c r="F945" s="1">
        <v>0.83611111111111114</v>
      </c>
      <c r="G945" s="1">
        <v>0.93680555555555556</v>
      </c>
      <c r="H945">
        <v>145</v>
      </c>
      <c r="I945" t="b">
        <v>0</v>
      </c>
      <c r="J945" t="b">
        <v>1</v>
      </c>
      <c r="K945" t="b">
        <v>1</v>
      </c>
      <c r="L945" t="s">
        <v>62</v>
      </c>
      <c r="M945">
        <v>70</v>
      </c>
      <c r="N945" t="s">
        <v>29</v>
      </c>
      <c r="O945">
        <v>70</v>
      </c>
      <c r="P945" t="s">
        <v>74</v>
      </c>
      <c r="Q945">
        <v>0.15</v>
      </c>
      <c r="R945">
        <v>59.5</v>
      </c>
      <c r="S945" t="s">
        <v>53</v>
      </c>
      <c r="T945" t="s">
        <v>59</v>
      </c>
      <c r="U945">
        <v>37.774900000000002</v>
      </c>
      <c r="V945">
        <v>-122.4194</v>
      </c>
      <c r="W945" s="2">
        <v>45611</v>
      </c>
      <c r="X945">
        <v>5</v>
      </c>
      <c r="Y945" t="b">
        <v>1</v>
      </c>
      <c r="Z945" s="2">
        <v>45848</v>
      </c>
      <c r="AA945" t="str">
        <f t="shared" si="141"/>
        <v>40–49</v>
      </c>
      <c r="AB945" t="str">
        <f t="shared" si="142"/>
        <v>40–49</v>
      </c>
      <c r="AC945" t="str">
        <f t="shared" si="143"/>
        <v/>
      </c>
      <c r="AD945" t="str">
        <f t="shared" si="144"/>
        <v>Tuesday</v>
      </c>
      <c r="AE945" t="str">
        <f t="shared" si="145"/>
        <v>Wednesday</v>
      </c>
      <c r="AF945" t="str">
        <f t="shared" si="146"/>
        <v>Thursday</v>
      </c>
      <c r="AG945" t="str">
        <f t="shared" si="147"/>
        <v>Friday</v>
      </c>
      <c r="AH945" t="str">
        <f t="shared" si="148"/>
        <v/>
      </c>
      <c r="AI945" t="str">
        <f t="shared" si="149"/>
        <v>Sunday</v>
      </c>
      <c r="AJ945" t="str">
        <f>LEFT(Table1[[#This Row],[membership_type]],2)&amp;TEXT(Table1[[#This Row],[age]],"00")&amp;"-"&amp;TEXT(ROW(),"000")</f>
        <v>El44-945</v>
      </c>
      <c r="AK945" t="str">
        <f>LEFT(Table1[[#This Row],[membership_type]],1)&amp;TEXT(MATCH(Table1[[#This Row],[membership_type]],Table1[membership_type],0),"00")</f>
        <v>E07</v>
      </c>
      <c r="AL945" t="str">
        <f>LEFT(Table1[[#This Row],[discount_type]],1)&amp;TEXT(ROUND(Table1[[#This Row],[discount_rate]]*100,0),"00")</f>
        <v>S15</v>
      </c>
      <c r="AM945" t="str" cm="1">
        <f t="array" ref="AM945">TEXT(SUMPRODUCT(CODE(MID(Table1[[#This Row],[home_gym_location]],_xlfn.SEQUENCE(LEN(Table1[[#This Row],[home_gym_location]])),1))),"00000")</f>
        <v>01450</v>
      </c>
      <c r="AN94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45" t="str">
        <f>LEFT(_xlfn.TEXTBEFORE(Table1[[#This Row],[Location Identifier]],"-"),3) &amp; "-" &amp; _xlfn.TEXTAFTER(Table1[[#This Row],[Location Identifier]],"-")</f>
        <v>SAN-009</v>
      </c>
      <c r="AP945" s="9">
        <f t="shared" ca="1" si="140"/>
        <v>45869</v>
      </c>
    </row>
    <row r="946" spans="1:42" x14ac:dyDescent="0.25">
      <c r="A946">
        <v>47</v>
      </c>
      <c r="B946" t="s">
        <v>42</v>
      </c>
      <c r="C946">
        <v>2</v>
      </c>
      <c r="D946" t="s">
        <v>123</v>
      </c>
      <c r="E946" t="b">
        <v>1</v>
      </c>
      <c r="F946" s="1">
        <v>0.61250000000000004</v>
      </c>
      <c r="G946" s="1">
        <v>0.67222222222222228</v>
      </c>
      <c r="H946">
        <v>86</v>
      </c>
      <c r="I946" t="b">
        <v>0</v>
      </c>
      <c r="J946" t="b">
        <v>1</v>
      </c>
      <c r="K946" t="b">
        <v>1</v>
      </c>
      <c r="L946" t="s">
        <v>47</v>
      </c>
      <c r="M946">
        <v>20</v>
      </c>
      <c r="N946" t="s">
        <v>78</v>
      </c>
      <c r="O946">
        <v>18</v>
      </c>
      <c r="P946" t="s">
        <v>36</v>
      </c>
      <c r="Q946">
        <v>0</v>
      </c>
      <c r="R946">
        <v>18</v>
      </c>
      <c r="S946" t="s">
        <v>44</v>
      </c>
      <c r="T946" t="s">
        <v>56</v>
      </c>
      <c r="U946">
        <v>35.3733</v>
      </c>
      <c r="V946">
        <v>-119.0187</v>
      </c>
      <c r="W946" s="2">
        <v>45819</v>
      </c>
      <c r="X946">
        <v>3</v>
      </c>
      <c r="Y946" t="b">
        <v>0</v>
      </c>
      <c r="Z946" s="2">
        <v>45860</v>
      </c>
      <c r="AA946" t="str">
        <f t="shared" si="141"/>
        <v>40–49</v>
      </c>
      <c r="AB946" t="str">
        <f t="shared" si="142"/>
        <v>40–49</v>
      </c>
      <c r="AC946" t="str">
        <f t="shared" si="143"/>
        <v>Monday</v>
      </c>
      <c r="AD946" t="str">
        <f t="shared" si="144"/>
        <v/>
      </c>
      <c r="AE946" t="str">
        <f t="shared" si="145"/>
        <v/>
      </c>
      <c r="AF946" t="str">
        <f t="shared" si="146"/>
        <v/>
      </c>
      <c r="AG946" t="str">
        <f t="shared" si="147"/>
        <v/>
      </c>
      <c r="AH946" t="str">
        <f t="shared" si="148"/>
        <v>Saturday</v>
      </c>
      <c r="AI946" t="str">
        <f t="shared" si="149"/>
        <v/>
      </c>
      <c r="AJ946" t="str">
        <f>LEFT(Table1[[#This Row],[membership_type]],2)&amp;TEXT(Table1[[#This Row],[age]],"00")&amp;"-"&amp;TEXT(ROW(),"000")</f>
        <v>Ba47-946</v>
      </c>
      <c r="AK946" t="str">
        <f>LEFT(Table1[[#This Row],[membership_type]],1)&amp;TEXT(MATCH(Table1[[#This Row],[membership_type]],Table1[membership_type],0),"00")</f>
        <v>B04</v>
      </c>
      <c r="AL946" t="str">
        <f>LEFT(Table1[[#This Row],[discount_type]],1)&amp;TEXT(ROUND(Table1[[#This Row],[discount_rate]]*100,0),"00")</f>
        <v>N00</v>
      </c>
      <c r="AM946" t="str" cm="1">
        <f t="array" ref="AM946">TEXT(SUMPRODUCT(CODE(MID(Table1[[#This Row],[home_gym_location]],_xlfn.SEQUENCE(LEN(Table1[[#This Row],[home_gym_location]])),1))),"00000")</f>
        <v>01324</v>
      </c>
      <c r="AN9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46" t="str">
        <f>LEFT(_xlfn.TEXTBEFORE(Table1[[#This Row],[Location Identifier]],"-"),3) &amp; "-" &amp; _xlfn.TEXTAFTER(Table1[[#This Row],[Location Identifier]],"-")</f>
        <v>BAK-002</v>
      </c>
      <c r="AP946" s="9">
        <f t="shared" ca="1" si="140"/>
        <v>45869</v>
      </c>
    </row>
    <row r="947" spans="1:42" x14ac:dyDescent="0.25">
      <c r="A947">
        <v>16</v>
      </c>
      <c r="B947" t="s">
        <v>42</v>
      </c>
      <c r="C947">
        <v>3</v>
      </c>
      <c r="D947" t="s">
        <v>91</v>
      </c>
      <c r="E947" t="b">
        <v>0</v>
      </c>
      <c r="F947" s="1">
        <v>0.63194444444444442</v>
      </c>
      <c r="G947" s="1">
        <v>0.67083333333333328</v>
      </c>
      <c r="H947">
        <v>56</v>
      </c>
      <c r="I947" t="b">
        <v>0</v>
      </c>
      <c r="J947" t="b">
        <v>1</v>
      </c>
      <c r="K947" t="b">
        <v>0</v>
      </c>
      <c r="L947" t="s">
        <v>28</v>
      </c>
      <c r="M947">
        <v>20</v>
      </c>
      <c r="N947" t="s">
        <v>29</v>
      </c>
      <c r="O947">
        <v>20</v>
      </c>
      <c r="P947" t="s">
        <v>30</v>
      </c>
      <c r="Q947">
        <v>0.05</v>
      </c>
      <c r="R947">
        <v>19</v>
      </c>
      <c r="S947" t="s">
        <v>44</v>
      </c>
      <c r="T947" t="s">
        <v>41</v>
      </c>
      <c r="U947">
        <v>37.804400000000001</v>
      </c>
      <c r="V947">
        <v>-122.27119999999999</v>
      </c>
      <c r="W947" s="2">
        <v>45685</v>
      </c>
      <c r="X947">
        <v>4</v>
      </c>
      <c r="Y947" t="b">
        <v>0</v>
      </c>
      <c r="Z947" s="2">
        <v>45852</v>
      </c>
      <c r="AA947" t="str">
        <f t="shared" si="141"/>
        <v>10–19</v>
      </c>
      <c r="AB947" t="str">
        <f t="shared" si="142"/>
        <v>16–19</v>
      </c>
      <c r="AC947" t="str">
        <f t="shared" si="143"/>
        <v>Monday</v>
      </c>
      <c r="AD947" t="str">
        <f t="shared" si="144"/>
        <v/>
      </c>
      <c r="AE947" t="str">
        <f t="shared" si="145"/>
        <v/>
      </c>
      <c r="AF947" t="str">
        <f t="shared" si="146"/>
        <v>Thursday</v>
      </c>
      <c r="AG947" t="str">
        <f t="shared" si="147"/>
        <v/>
      </c>
      <c r="AH947" t="str">
        <f t="shared" si="148"/>
        <v>Saturday</v>
      </c>
      <c r="AI947" t="str">
        <f t="shared" si="149"/>
        <v/>
      </c>
      <c r="AJ947" t="str">
        <f>LEFT(Table1[[#This Row],[membership_type]],2)&amp;TEXT(Table1[[#This Row],[age]],"00")&amp;"-"&amp;TEXT(ROW(),"000")</f>
        <v>Ba16-947</v>
      </c>
      <c r="AK947" t="str">
        <f>LEFT(Table1[[#This Row],[membership_type]],1)&amp;TEXT(MATCH(Table1[[#This Row],[membership_type]],Table1[membership_type],0),"00")</f>
        <v>B04</v>
      </c>
      <c r="AL947" t="str">
        <f>LEFT(Table1[[#This Row],[discount_type]],1)&amp;TEXT(ROUND(Table1[[#This Row],[discount_rate]]*100,0),"00")</f>
        <v>P05</v>
      </c>
      <c r="AM947" t="str" cm="1">
        <f t="array" ref="AM947">TEXT(SUMPRODUCT(CODE(MID(Table1[[#This Row],[home_gym_location]],_xlfn.SEQUENCE(LEN(Table1[[#This Row],[home_gym_location]])),1))),"00000")</f>
        <v>00906</v>
      </c>
      <c r="AN947" t="str">
        <f>UPPER(_xlfn.TEXTBEFORE(Table1[[#This Row],[home_gym_location]],","))&amp;"-"&amp;TEXT(MATCH(Table1[[#This Row],[home_gym_location]],_xlfn._xlws.SORT(_xlfn.UNIQUE(Table1[home_gym_location])),0),"000")</f>
        <v>OAKLAND-006</v>
      </c>
      <c r="AO947" t="str">
        <f>LEFT(_xlfn.TEXTBEFORE(Table1[[#This Row],[Location Identifier]],"-"),3) &amp; "-" &amp; _xlfn.TEXTAFTER(Table1[[#This Row],[Location Identifier]],"-")</f>
        <v>OAK-006</v>
      </c>
      <c r="AP947" s="9">
        <f t="shared" ca="1" si="140"/>
        <v>45869</v>
      </c>
    </row>
    <row r="948" spans="1:42" x14ac:dyDescent="0.25">
      <c r="A948">
        <v>24</v>
      </c>
      <c r="B948" t="s">
        <v>42</v>
      </c>
      <c r="C948">
        <v>2</v>
      </c>
      <c r="D948" t="s">
        <v>84</v>
      </c>
      <c r="E948" t="b">
        <v>1</v>
      </c>
      <c r="F948" s="1">
        <v>0.79027777777777775</v>
      </c>
      <c r="G948" s="1">
        <v>0.81944444444444442</v>
      </c>
      <c r="H948">
        <v>42</v>
      </c>
      <c r="I948" t="b">
        <v>1</v>
      </c>
      <c r="J948" t="b">
        <v>0</v>
      </c>
      <c r="K948" t="b">
        <v>1</v>
      </c>
      <c r="L948" t="s">
        <v>62</v>
      </c>
      <c r="M948">
        <v>20</v>
      </c>
      <c r="N948" t="s">
        <v>78</v>
      </c>
      <c r="O948">
        <v>18</v>
      </c>
      <c r="P948" t="s">
        <v>40</v>
      </c>
      <c r="Q948">
        <v>0.1</v>
      </c>
      <c r="R948">
        <v>16.2</v>
      </c>
      <c r="S948" t="s">
        <v>44</v>
      </c>
      <c r="T948" t="s">
        <v>50</v>
      </c>
      <c r="U948">
        <v>34.052199999999999</v>
      </c>
      <c r="V948">
        <v>-118.2437</v>
      </c>
      <c r="W948" s="2">
        <v>44872</v>
      </c>
      <c r="X948">
        <v>0</v>
      </c>
      <c r="Y948" t="b">
        <v>1</v>
      </c>
      <c r="Z948" s="2">
        <v>45806</v>
      </c>
      <c r="AA948" t="str">
        <f t="shared" si="141"/>
        <v>20–29</v>
      </c>
      <c r="AB948" t="str">
        <f t="shared" si="142"/>
        <v>20–29</v>
      </c>
      <c r="AC948" t="str">
        <f t="shared" si="143"/>
        <v/>
      </c>
      <c r="AD948" t="str">
        <f t="shared" si="144"/>
        <v>Tuesday</v>
      </c>
      <c r="AE948" t="str">
        <f t="shared" si="145"/>
        <v/>
      </c>
      <c r="AF948" t="str">
        <f t="shared" si="146"/>
        <v/>
      </c>
      <c r="AG948" t="str">
        <f t="shared" si="147"/>
        <v/>
      </c>
      <c r="AH948" t="str">
        <f t="shared" si="148"/>
        <v/>
      </c>
      <c r="AI948" t="str">
        <f t="shared" si="149"/>
        <v>Sunday</v>
      </c>
      <c r="AJ948" t="str">
        <f>LEFT(Table1[[#This Row],[membership_type]],2)&amp;TEXT(Table1[[#This Row],[age]],"00")&amp;"-"&amp;TEXT(ROW(),"000")</f>
        <v>Ba24-948</v>
      </c>
      <c r="AK948" t="str">
        <f>LEFT(Table1[[#This Row],[membership_type]],1)&amp;TEXT(MATCH(Table1[[#This Row],[membership_type]],Table1[membership_type],0),"00")</f>
        <v>B04</v>
      </c>
      <c r="AL948" t="str">
        <f>LEFT(Table1[[#This Row],[discount_type]],1)&amp;TEXT(ROUND(Table1[[#This Row],[discount_rate]]*100,0),"00")</f>
        <v>L10</v>
      </c>
      <c r="AM948" t="str" cm="1">
        <f t="array" ref="AM948">TEXT(SUMPRODUCT(CODE(MID(Table1[[#This Row],[home_gym_location]],_xlfn.SEQUENCE(LEN(Table1[[#This Row],[home_gym_location]])),1))),"00000")</f>
        <v>01245</v>
      </c>
      <c r="AN94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48" t="str">
        <f>LEFT(_xlfn.TEXTBEFORE(Table1[[#This Row],[Location Identifier]],"-"),3) &amp; "-" &amp; _xlfn.TEXTAFTER(Table1[[#This Row],[Location Identifier]],"-")</f>
        <v>LOS-005</v>
      </c>
      <c r="AP948" s="9">
        <f t="shared" ca="1" si="140"/>
        <v>45869</v>
      </c>
    </row>
    <row r="949" spans="1:42" x14ac:dyDescent="0.25">
      <c r="A949">
        <v>23</v>
      </c>
      <c r="B949" t="s">
        <v>26</v>
      </c>
      <c r="C949">
        <v>1</v>
      </c>
      <c r="D949" t="s">
        <v>71</v>
      </c>
      <c r="E949" t="b">
        <v>0</v>
      </c>
      <c r="F949" s="1">
        <v>0.70416666666666672</v>
      </c>
      <c r="G949" s="1">
        <v>0.8256944444444444</v>
      </c>
      <c r="H949">
        <v>175</v>
      </c>
      <c r="I949" t="b">
        <v>1</v>
      </c>
      <c r="J949" t="b">
        <v>0</v>
      </c>
      <c r="K949" t="b">
        <v>0</v>
      </c>
      <c r="L949" t="s">
        <v>62</v>
      </c>
      <c r="M949">
        <v>50</v>
      </c>
      <c r="N949" t="s">
        <v>29</v>
      </c>
      <c r="O949">
        <v>50</v>
      </c>
      <c r="P949" t="s">
        <v>36</v>
      </c>
      <c r="Q949">
        <v>0</v>
      </c>
      <c r="R949">
        <v>50</v>
      </c>
      <c r="S949" t="s">
        <v>31</v>
      </c>
      <c r="T949" t="s">
        <v>56</v>
      </c>
      <c r="U949">
        <v>35.3733</v>
      </c>
      <c r="V949">
        <v>-119.0187</v>
      </c>
      <c r="W949" s="2">
        <v>44900</v>
      </c>
      <c r="X949">
        <v>0</v>
      </c>
      <c r="Y949" t="b">
        <v>1</v>
      </c>
      <c r="Z949" s="2">
        <v>45808</v>
      </c>
      <c r="AA949" t="str">
        <f t="shared" si="141"/>
        <v>20–29</v>
      </c>
      <c r="AB949" t="str">
        <f t="shared" si="142"/>
        <v>20–29</v>
      </c>
      <c r="AC949" t="str">
        <f t="shared" si="143"/>
        <v/>
      </c>
      <c r="AD949" t="str">
        <f t="shared" si="144"/>
        <v>Tuesday</v>
      </c>
      <c r="AE949" t="str">
        <f t="shared" si="145"/>
        <v/>
      </c>
      <c r="AF949" t="str">
        <f t="shared" si="146"/>
        <v/>
      </c>
      <c r="AG949" t="str">
        <f t="shared" si="147"/>
        <v/>
      </c>
      <c r="AH949" t="str">
        <f t="shared" si="148"/>
        <v/>
      </c>
      <c r="AI949" t="str">
        <f t="shared" si="149"/>
        <v/>
      </c>
      <c r="AJ949" t="str">
        <f>LEFT(Table1[[#This Row],[membership_type]],2)&amp;TEXT(Table1[[#This Row],[age]],"00")&amp;"-"&amp;TEXT(ROW(),"000")</f>
        <v>Pr23-949</v>
      </c>
      <c r="AK949" t="str">
        <f>LEFT(Table1[[#This Row],[membership_type]],1)&amp;TEXT(MATCH(Table1[[#This Row],[membership_type]],Table1[membership_type],0),"00")</f>
        <v>P01</v>
      </c>
      <c r="AL949" t="str">
        <f>LEFT(Table1[[#This Row],[discount_type]],1)&amp;TEXT(ROUND(Table1[[#This Row],[discount_rate]]*100,0),"00")</f>
        <v>N00</v>
      </c>
      <c r="AM949" t="str" cm="1">
        <f t="array" ref="AM949">TEXT(SUMPRODUCT(CODE(MID(Table1[[#This Row],[home_gym_location]],_xlfn.SEQUENCE(LEN(Table1[[#This Row],[home_gym_location]])),1))),"00000")</f>
        <v>01324</v>
      </c>
      <c r="AN94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49" t="str">
        <f>LEFT(_xlfn.TEXTBEFORE(Table1[[#This Row],[Location Identifier]],"-"),3) &amp; "-" &amp; _xlfn.TEXTAFTER(Table1[[#This Row],[Location Identifier]],"-")</f>
        <v>BAK-002</v>
      </c>
      <c r="AP949" s="9">
        <f t="shared" ca="1" si="140"/>
        <v>45869</v>
      </c>
    </row>
    <row r="950" spans="1:42" x14ac:dyDescent="0.25">
      <c r="A950">
        <v>31</v>
      </c>
      <c r="B950" t="s">
        <v>26</v>
      </c>
      <c r="C950">
        <v>4</v>
      </c>
      <c r="D950" t="s">
        <v>147</v>
      </c>
      <c r="E950" t="b">
        <v>0</v>
      </c>
      <c r="F950" s="1">
        <v>0.49583333333333335</v>
      </c>
      <c r="G950" s="1">
        <v>0.55625000000000002</v>
      </c>
      <c r="H950">
        <v>87</v>
      </c>
      <c r="I950" t="b">
        <v>0</v>
      </c>
      <c r="J950" t="b">
        <v>0</v>
      </c>
      <c r="K950" t="b">
        <v>1</v>
      </c>
      <c r="L950" t="s">
        <v>28</v>
      </c>
      <c r="M950">
        <v>50</v>
      </c>
      <c r="N950" t="s">
        <v>64</v>
      </c>
      <c r="O950">
        <v>37.5</v>
      </c>
      <c r="P950" t="s">
        <v>36</v>
      </c>
      <c r="Q950">
        <v>0</v>
      </c>
      <c r="R950">
        <v>37.5</v>
      </c>
      <c r="S950" t="s">
        <v>31</v>
      </c>
      <c r="T950" t="s">
        <v>48</v>
      </c>
      <c r="U950">
        <v>38.581600000000002</v>
      </c>
      <c r="V950">
        <v>-121.4944</v>
      </c>
      <c r="W950" s="2">
        <v>45194</v>
      </c>
      <c r="X950">
        <v>0</v>
      </c>
      <c r="Y950" t="b">
        <v>1</v>
      </c>
      <c r="Z950" s="2">
        <v>45825</v>
      </c>
      <c r="AA950" t="str">
        <f t="shared" si="141"/>
        <v>30–39</v>
      </c>
      <c r="AB950" t="str">
        <f t="shared" si="142"/>
        <v>30–39</v>
      </c>
      <c r="AC950" t="str">
        <f t="shared" si="143"/>
        <v>Monday</v>
      </c>
      <c r="AD950" t="str">
        <f t="shared" si="144"/>
        <v/>
      </c>
      <c r="AE950" t="str">
        <f t="shared" si="145"/>
        <v/>
      </c>
      <c r="AF950" t="str">
        <f t="shared" si="146"/>
        <v>Thursday</v>
      </c>
      <c r="AG950" t="str">
        <f t="shared" si="147"/>
        <v>Friday</v>
      </c>
      <c r="AH950" t="str">
        <f t="shared" si="148"/>
        <v>Saturday</v>
      </c>
      <c r="AI950" t="str">
        <f t="shared" si="149"/>
        <v/>
      </c>
      <c r="AJ950" t="str">
        <f>LEFT(Table1[[#This Row],[membership_type]],2)&amp;TEXT(Table1[[#This Row],[age]],"00")&amp;"-"&amp;TEXT(ROW(),"000")</f>
        <v>Pr31-950</v>
      </c>
      <c r="AK950" t="str">
        <f>LEFT(Table1[[#This Row],[membership_type]],1)&amp;TEXT(MATCH(Table1[[#This Row],[membership_type]],Table1[membership_type],0),"00")</f>
        <v>P01</v>
      </c>
      <c r="AL950" t="str">
        <f>LEFT(Table1[[#This Row],[discount_type]],1)&amp;TEXT(ROUND(Table1[[#This Row],[discount_rate]]*100,0),"00")</f>
        <v>N00</v>
      </c>
      <c r="AM950" t="str" cm="1">
        <f t="array" ref="AM950">TEXT(SUMPRODUCT(CODE(MID(Table1[[#This Row],[home_gym_location]],_xlfn.SEQUENCE(LEN(Table1[[#This Row],[home_gym_location]])),1))),"00000")</f>
        <v>01245</v>
      </c>
      <c r="AN95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50" t="str">
        <f>LEFT(_xlfn.TEXTBEFORE(Table1[[#This Row],[Location Identifier]],"-"),3) &amp; "-" &amp; _xlfn.TEXTAFTER(Table1[[#This Row],[Location Identifier]],"-")</f>
        <v>SAC-007</v>
      </c>
      <c r="AP950" s="9">
        <f t="shared" ca="1" si="140"/>
        <v>45869</v>
      </c>
    </row>
    <row r="951" spans="1:42" x14ac:dyDescent="0.25">
      <c r="A951">
        <v>12</v>
      </c>
      <c r="B951" t="s">
        <v>33</v>
      </c>
      <c r="C951">
        <v>2</v>
      </c>
      <c r="D951" t="s">
        <v>43</v>
      </c>
      <c r="E951" t="b">
        <v>1</v>
      </c>
      <c r="F951" s="1">
        <v>0.40902777777777777</v>
      </c>
      <c r="G951" s="1">
        <v>0.47916666666666669</v>
      </c>
      <c r="H951">
        <v>101</v>
      </c>
      <c r="I951" t="b">
        <v>0</v>
      </c>
      <c r="J951" t="b">
        <v>1</v>
      </c>
      <c r="K951" t="b">
        <v>0</v>
      </c>
      <c r="L951" t="s">
        <v>62</v>
      </c>
      <c r="M951">
        <v>30</v>
      </c>
      <c r="N951" t="s">
        <v>64</v>
      </c>
      <c r="O951">
        <v>22.5</v>
      </c>
      <c r="P951" t="s">
        <v>36</v>
      </c>
      <c r="Q951">
        <v>0</v>
      </c>
      <c r="R951">
        <v>22.5</v>
      </c>
      <c r="S951" t="s">
        <v>37</v>
      </c>
      <c r="T951" t="s">
        <v>38</v>
      </c>
      <c r="U951">
        <v>36.7378</v>
      </c>
      <c r="V951">
        <v>-119.7871</v>
      </c>
      <c r="W951" s="2">
        <v>45191</v>
      </c>
      <c r="X951">
        <v>1</v>
      </c>
      <c r="Y951" t="b">
        <v>0</v>
      </c>
      <c r="Z951" s="2">
        <v>45824</v>
      </c>
      <c r="AA951" t="str">
        <f t="shared" si="141"/>
        <v>10–19</v>
      </c>
      <c r="AB951" t="str">
        <f t="shared" si="142"/>
        <v>Under 16</v>
      </c>
      <c r="AC951" t="str">
        <f t="shared" si="143"/>
        <v>Monday</v>
      </c>
      <c r="AD951" t="str">
        <f t="shared" si="144"/>
        <v>Tuesday</v>
      </c>
      <c r="AE951" t="str">
        <f t="shared" si="145"/>
        <v/>
      </c>
      <c r="AF951" t="str">
        <f t="shared" si="146"/>
        <v/>
      </c>
      <c r="AG951" t="str">
        <f t="shared" si="147"/>
        <v/>
      </c>
      <c r="AH951" t="str">
        <f t="shared" si="148"/>
        <v/>
      </c>
      <c r="AI951" t="str">
        <f t="shared" si="149"/>
        <v/>
      </c>
      <c r="AJ951" t="str">
        <f>LEFT(Table1[[#This Row],[membership_type]],2)&amp;TEXT(Table1[[#This Row],[age]],"00")&amp;"-"&amp;TEXT(ROW(),"000")</f>
        <v>St12-951</v>
      </c>
      <c r="AK951" t="str">
        <f>LEFT(Table1[[#This Row],[membership_type]],1)&amp;TEXT(MATCH(Table1[[#This Row],[membership_type]],Table1[membership_type],0),"00")</f>
        <v>S02</v>
      </c>
      <c r="AL951" t="str">
        <f>LEFT(Table1[[#This Row],[discount_type]],1)&amp;TEXT(ROUND(Table1[[#This Row],[discount_rate]]*100,0),"00")</f>
        <v>N00</v>
      </c>
      <c r="AM951" t="str" cm="1">
        <f t="array" ref="AM951">TEXT(SUMPRODUCT(CODE(MID(Table1[[#This Row],[home_gym_location]],_xlfn.SEQUENCE(LEN(Table1[[#This Row],[home_gym_location]])),1))),"00000")</f>
        <v>00829</v>
      </c>
      <c r="AN951" t="str">
        <f>UPPER(_xlfn.TEXTBEFORE(Table1[[#This Row],[home_gym_location]],","))&amp;"-"&amp;TEXT(MATCH(Table1[[#This Row],[home_gym_location]],_xlfn._xlws.SORT(_xlfn.UNIQUE(Table1[home_gym_location])),0),"000")</f>
        <v>FRESNO-003</v>
      </c>
      <c r="AO951" t="str">
        <f>LEFT(_xlfn.TEXTBEFORE(Table1[[#This Row],[Location Identifier]],"-"),3) &amp; "-" &amp; _xlfn.TEXTAFTER(Table1[[#This Row],[Location Identifier]],"-")</f>
        <v>FRE-003</v>
      </c>
      <c r="AP951" s="9">
        <f t="shared" ca="1" si="140"/>
        <v>45869</v>
      </c>
    </row>
    <row r="952" spans="1:42" x14ac:dyDescent="0.25">
      <c r="A952">
        <v>39</v>
      </c>
      <c r="B952" t="s">
        <v>42</v>
      </c>
      <c r="C952">
        <v>2</v>
      </c>
      <c r="D952" t="s">
        <v>70</v>
      </c>
      <c r="E952" t="b">
        <v>1</v>
      </c>
      <c r="F952" s="1">
        <v>0.35069444444444442</v>
      </c>
      <c r="G952" s="1">
        <v>0.4236111111111111</v>
      </c>
      <c r="H952">
        <v>105</v>
      </c>
      <c r="I952" t="b">
        <v>0</v>
      </c>
      <c r="J952" t="b">
        <v>1</v>
      </c>
      <c r="K952" t="b">
        <v>0</v>
      </c>
      <c r="L952" t="s">
        <v>62</v>
      </c>
      <c r="M952">
        <v>20</v>
      </c>
      <c r="N952" t="s">
        <v>29</v>
      </c>
      <c r="O952">
        <v>20</v>
      </c>
      <c r="P952" t="s">
        <v>30</v>
      </c>
      <c r="Q952">
        <v>0.05</v>
      </c>
      <c r="R952">
        <v>19</v>
      </c>
      <c r="S952" t="s">
        <v>44</v>
      </c>
      <c r="T952" t="s">
        <v>56</v>
      </c>
      <c r="U952">
        <v>35.3733</v>
      </c>
      <c r="V952">
        <v>-119.0187</v>
      </c>
      <c r="W952" s="2">
        <v>45122</v>
      </c>
      <c r="X952">
        <v>5</v>
      </c>
      <c r="Y952" t="b">
        <v>0</v>
      </c>
      <c r="Z952" s="2">
        <v>45821</v>
      </c>
      <c r="AA952" t="str">
        <f t="shared" si="141"/>
        <v>30–39</v>
      </c>
      <c r="AB952" t="str">
        <f t="shared" si="142"/>
        <v>30–39</v>
      </c>
      <c r="AC952" t="str">
        <f t="shared" si="143"/>
        <v/>
      </c>
      <c r="AD952" t="str">
        <f t="shared" si="144"/>
        <v/>
      </c>
      <c r="AE952" t="str">
        <f t="shared" si="145"/>
        <v>Wednesday</v>
      </c>
      <c r="AF952" t="str">
        <f t="shared" si="146"/>
        <v>Thursday</v>
      </c>
      <c r="AG952" t="str">
        <f t="shared" si="147"/>
        <v/>
      </c>
      <c r="AH952" t="str">
        <f t="shared" si="148"/>
        <v/>
      </c>
      <c r="AI952" t="str">
        <f t="shared" si="149"/>
        <v/>
      </c>
      <c r="AJ952" t="str">
        <f>LEFT(Table1[[#This Row],[membership_type]],2)&amp;TEXT(Table1[[#This Row],[age]],"00")&amp;"-"&amp;TEXT(ROW(),"000")</f>
        <v>Ba39-952</v>
      </c>
      <c r="AK952" t="str">
        <f>LEFT(Table1[[#This Row],[membership_type]],1)&amp;TEXT(MATCH(Table1[[#This Row],[membership_type]],Table1[membership_type],0),"00")</f>
        <v>B04</v>
      </c>
      <c r="AL952" t="str">
        <f>LEFT(Table1[[#This Row],[discount_type]],1)&amp;TEXT(ROUND(Table1[[#This Row],[discount_rate]]*100,0),"00")</f>
        <v>P05</v>
      </c>
      <c r="AM952" t="str" cm="1">
        <f t="array" ref="AM952">TEXT(SUMPRODUCT(CODE(MID(Table1[[#This Row],[home_gym_location]],_xlfn.SEQUENCE(LEN(Table1[[#This Row],[home_gym_location]])),1))),"00000")</f>
        <v>01324</v>
      </c>
      <c r="AN95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52" t="str">
        <f>LEFT(_xlfn.TEXTBEFORE(Table1[[#This Row],[Location Identifier]],"-"),3) &amp; "-" &amp; _xlfn.TEXTAFTER(Table1[[#This Row],[Location Identifier]],"-")</f>
        <v>BAK-002</v>
      </c>
      <c r="AP952" s="9">
        <f t="shared" ca="1" si="140"/>
        <v>45869</v>
      </c>
    </row>
    <row r="953" spans="1:42" x14ac:dyDescent="0.25">
      <c r="A953">
        <v>32</v>
      </c>
      <c r="B953" t="s">
        <v>33</v>
      </c>
      <c r="C953">
        <v>5</v>
      </c>
      <c r="D953" t="s">
        <v>145</v>
      </c>
      <c r="E953" t="b">
        <v>1</v>
      </c>
      <c r="F953" s="1">
        <v>0.4284722222222222</v>
      </c>
      <c r="G953" s="1">
        <v>0.54513888888888884</v>
      </c>
      <c r="H953">
        <v>168</v>
      </c>
      <c r="I953" t="b">
        <v>1</v>
      </c>
      <c r="J953" t="b">
        <v>0</v>
      </c>
      <c r="K953" t="b">
        <v>0</v>
      </c>
      <c r="L953" t="s">
        <v>62</v>
      </c>
      <c r="M953">
        <v>30</v>
      </c>
      <c r="N953" t="s">
        <v>78</v>
      </c>
      <c r="O953">
        <v>27</v>
      </c>
      <c r="P953" t="s">
        <v>36</v>
      </c>
      <c r="Q953">
        <v>0</v>
      </c>
      <c r="R953">
        <v>27</v>
      </c>
      <c r="S953" t="s">
        <v>37</v>
      </c>
      <c r="T953" t="s">
        <v>48</v>
      </c>
      <c r="U953">
        <v>38.581600000000002</v>
      </c>
      <c r="V953">
        <v>-121.4944</v>
      </c>
      <c r="W953" s="2">
        <v>45644</v>
      </c>
      <c r="X953">
        <v>0</v>
      </c>
      <c r="Y953" t="b">
        <v>1</v>
      </c>
      <c r="Z953" s="2">
        <v>45850</v>
      </c>
      <c r="AA953" t="str">
        <f t="shared" si="141"/>
        <v>30–39</v>
      </c>
      <c r="AB953" t="str">
        <f t="shared" si="142"/>
        <v>30–39</v>
      </c>
      <c r="AC953" t="str">
        <f t="shared" si="143"/>
        <v>Monday</v>
      </c>
      <c r="AD953" t="str">
        <f t="shared" si="144"/>
        <v>Tuesday</v>
      </c>
      <c r="AE953" t="str">
        <f t="shared" si="145"/>
        <v>Wednesday</v>
      </c>
      <c r="AF953" t="str">
        <f t="shared" si="146"/>
        <v>Thursday</v>
      </c>
      <c r="AG953" t="str">
        <f t="shared" si="147"/>
        <v>Friday</v>
      </c>
      <c r="AH953" t="str">
        <f t="shared" si="148"/>
        <v/>
      </c>
      <c r="AI953" t="str">
        <f t="shared" si="149"/>
        <v/>
      </c>
      <c r="AJ953" t="str">
        <f>LEFT(Table1[[#This Row],[membership_type]],2)&amp;TEXT(Table1[[#This Row],[age]],"00")&amp;"-"&amp;TEXT(ROW(),"000")</f>
        <v>St32-953</v>
      </c>
      <c r="AK953" t="str">
        <f>LEFT(Table1[[#This Row],[membership_type]],1)&amp;TEXT(MATCH(Table1[[#This Row],[membership_type]],Table1[membership_type],0),"00")</f>
        <v>S02</v>
      </c>
      <c r="AL953" t="str">
        <f>LEFT(Table1[[#This Row],[discount_type]],1)&amp;TEXT(ROUND(Table1[[#This Row],[discount_rate]]*100,0),"00")</f>
        <v>N00</v>
      </c>
      <c r="AM953" t="str" cm="1">
        <f t="array" ref="AM953">TEXT(SUMPRODUCT(CODE(MID(Table1[[#This Row],[home_gym_location]],_xlfn.SEQUENCE(LEN(Table1[[#This Row],[home_gym_location]])),1))),"00000")</f>
        <v>01245</v>
      </c>
      <c r="AN95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53" t="str">
        <f>LEFT(_xlfn.TEXTBEFORE(Table1[[#This Row],[Location Identifier]],"-"),3) &amp; "-" &amp; _xlfn.TEXTAFTER(Table1[[#This Row],[Location Identifier]],"-")</f>
        <v>SAC-007</v>
      </c>
      <c r="AP953" s="9">
        <f t="shared" ca="1" si="140"/>
        <v>45869</v>
      </c>
    </row>
    <row r="954" spans="1:42" x14ac:dyDescent="0.25">
      <c r="A954">
        <v>22</v>
      </c>
      <c r="B954" t="s">
        <v>33</v>
      </c>
      <c r="C954">
        <v>5</v>
      </c>
      <c r="D954" t="s">
        <v>87</v>
      </c>
      <c r="E954" t="b">
        <v>1</v>
      </c>
      <c r="F954" s="1">
        <v>0.34236111111111112</v>
      </c>
      <c r="G954" s="1">
        <v>0.40694444444444444</v>
      </c>
      <c r="H954">
        <v>93</v>
      </c>
      <c r="I954" t="b">
        <v>0</v>
      </c>
      <c r="J954" t="b">
        <v>0</v>
      </c>
      <c r="K954" t="b">
        <v>1</v>
      </c>
      <c r="L954" t="s">
        <v>28</v>
      </c>
      <c r="M954">
        <v>30</v>
      </c>
      <c r="N954" t="s">
        <v>29</v>
      </c>
      <c r="O954">
        <v>30</v>
      </c>
      <c r="P954" t="s">
        <v>30</v>
      </c>
      <c r="Q954">
        <v>0.05</v>
      </c>
      <c r="R954">
        <v>28.5</v>
      </c>
      <c r="S954" t="s">
        <v>37</v>
      </c>
      <c r="T954" t="s">
        <v>32</v>
      </c>
      <c r="U954">
        <v>37.338200000000001</v>
      </c>
      <c r="V954">
        <v>-121.88630000000001</v>
      </c>
      <c r="W954" s="2">
        <v>44857</v>
      </c>
      <c r="X954">
        <v>0</v>
      </c>
      <c r="Y954" t="b">
        <v>1</v>
      </c>
      <c r="Z954" s="2">
        <v>45806</v>
      </c>
      <c r="AA954" t="str">
        <f t="shared" si="141"/>
        <v>20–29</v>
      </c>
      <c r="AB954" t="str">
        <f t="shared" si="142"/>
        <v>20–29</v>
      </c>
      <c r="AC954" t="str">
        <f t="shared" si="143"/>
        <v/>
      </c>
      <c r="AD954" t="str">
        <f t="shared" si="144"/>
        <v>Tuesday</v>
      </c>
      <c r="AE954" t="str">
        <f t="shared" si="145"/>
        <v>Wednesday</v>
      </c>
      <c r="AF954" t="str">
        <f t="shared" si="146"/>
        <v/>
      </c>
      <c r="AG954" t="str">
        <f t="shared" si="147"/>
        <v>Friday</v>
      </c>
      <c r="AH954" t="str">
        <f t="shared" si="148"/>
        <v>Saturday</v>
      </c>
      <c r="AI954" t="str">
        <f t="shared" si="149"/>
        <v>Sunday</v>
      </c>
      <c r="AJ954" t="str">
        <f>LEFT(Table1[[#This Row],[membership_type]],2)&amp;TEXT(Table1[[#This Row],[age]],"00")&amp;"-"&amp;TEXT(ROW(),"000")</f>
        <v>St22-954</v>
      </c>
      <c r="AK954" t="str">
        <f>LEFT(Table1[[#This Row],[membership_type]],1)&amp;TEXT(MATCH(Table1[[#This Row],[membership_type]],Table1[membership_type],0),"00")</f>
        <v>S02</v>
      </c>
      <c r="AL954" t="str">
        <f>LEFT(Table1[[#This Row],[discount_type]],1)&amp;TEXT(ROUND(Table1[[#This Row],[discount_rate]]*100,0),"00")</f>
        <v>P05</v>
      </c>
      <c r="AM954" t="str" cm="1">
        <f t="array" ref="AM954">TEXT(SUMPRODUCT(CODE(MID(Table1[[#This Row],[home_gym_location]],_xlfn.SEQUENCE(LEN(Table1[[#This Row],[home_gym_location]])),1))),"00000")</f>
        <v>00931</v>
      </c>
      <c r="AN95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954" t="str">
        <f>LEFT(_xlfn.TEXTBEFORE(Table1[[#This Row],[Location Identifier]],"-"),3) &amp; "-" &amp; _xlfn.TEXTAFTER(Table1[[#This Row],[Location Identifier]],"-")</f>
        <v>SAN-010</v>
      </c>
      <c r="AP954" s="9">
        <f t="shared" ca="1" si="140"/>
        <v>45869</v>
      </c>
    </row>
    <row r="955" spans="1:42" x14ac:dyDescent="0.25">
      <c r="A955">
        <v>32</v>
      </c>
      <c r="B955" t="s">
        <v>33</v>
      </c>
      <c r="C955">
        <v>3</v>
      </c>
      <c r="D955" t="s">
        <v>55</v>
      </c>
      <c r="E955" t="b">
        <v>0</v>
      </c>
      <c r="F955" s="1">
        <v>0.59930555555555554</v>
      </c>
      <c r="G955" s="1">
        <v>0.65833333333333333</v>
      </c>
      <c r="H955">
        <v>85</v>
      </c>
      <c r="I955" t="b">
        <v>1</v>
      </c>
      <c r="J955" t="b">
        <v>0</v>
      </c>
      <c r="K955" t="b">
        <v>0</v>
      </c>
      <c r="L955" t="s">
        <v>47</v>
      </c>
      <c r="M955">
        <v>30</v>
      </c>
      <c r="N955" t="s">
        <v>29</v>
      </c>
      <c r="O955">
        <v>30</v>
      </c>
      <c r="P955" t="s">
        <v>36</v>
      </c>
      <c r="Q955">
        <v>0</v>
      </c>
      <c r="R955">
        <v>30</v>
      </c>
      <c r="S955" t="s">
        <v>37</v>
      </c>
      <c r="T955" t="s">
        <v>65</v>
      </c>
      <c r="U955">
        <v>33.770099999999999</v>
      </c>
      <c r="V955">
        <v>-118.19370000000001</v>
      </c>
      <c r="W955" s="2">
        <v>45385</v>
      </c>
      <c r="X955">
        <v>0</v>
      </c>
      <c r="Y955" t="b">
        <v>0</v>
      </c>
      <c r="Z955" s="2">
        <v>45835</v>
      </c>
      <c r="AA955" t="str">
        <f t="shared" si="141"/>
        <v>30–39</v>
      </c>
      <c r="AB955" t="str">
        <f t="shared" si="142"/>
        <v>30–39</v>
      </c>
      <c r="AC955" t="str">
        <f t="shared" si="143"/>
        <v/>
      </c>
      <c r="AD955" t="str">
        <f t="shared" si="144"/>
        <v/>
      </c>
      <c r="AE955" t="str">
        <f t="shared" si="145"/>
        <v/>
      </c>
      <c r="AF955" t="str">
        <f t="shared" si="146"/>
        <v>Thursday</v>
      </c>
      <c r="AG955" t="str">
        <f t="shared" si="147"/>
        <v>Friday</v>
      </c>
      <c r="AH955" t="str">
        <f t="shared" si="148"/>
        <v/>
      </c>
      <c r="AI955" t="str">
        <f t="shared" si="149"/>
        <v>Sunday</v>
      </c>
      <c r="AJ955" t="str">
        <f>LEFT(Table1[[#This Row],[membership_type]],2)&amp;TEXT(Table1[[#This Row],[age]],"00")&amp;"-"&amp;TEXT(ROW(),"000")</f>
        <v>St32-955</v>
      </c>
      <c r="AK955" t="str">
        <f>LEFT(Table1[[#This Row],[membership_type]],1)&amp;TEXT(MATCH(Table1[[#This Row],[membership_type]],Table1[membership_type],0),"00")</f>
        <v>S02</v>
      </c>
      <c r="AL955" t="str">
        <f>LEFT(Table1[[#This Row],[discount_type]],1)&amp;TEXT(ROUND(Table1[[#This Row],[discount_rate]]*100,0),"00")</f>
        <v>N00</v>
      </c>
      <c r="AM955" t="str" cm="1">
        <f t="array" ref="AM955">TEXT(SUMPRODUCT(CODE(MID(Table1[[#This Row],[home_gym_location]],_xlfn.SEQUENCE(LEN(Table1[[#This Row],[home_gym_location]])),1))),"00000")</f>
        <v>01107</v>
      </c>
      <c r="AN95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55" t="str">
        <f>LEFT(_xlfn.TEXTBEFORE(Table1[[#This Row],[Location Identifier]],"-"),3) &amp; "-" &amp; _xlfn.TEXTAFTER(Table1[[#This Row],[Location Identifier]],"-")</f>
        <v>LON-004</v>
      </c>
      <c r="AP955" s="9">
        <f t="shared" ca="1" si="140"/>
        <v>45869</v>
      </c>
    </row>
    <row r="956" spans="1:42" x14ac:dyDescent="0.25">
      <c r="A956">
        <v>19</v>
      </c>
      <c r="B956" t="s">
        <v>42</v>
      </c>
      <c r="C956">
        <v>2</v>
      </c>
      <c r="D956" t="s">
        <v>79</v>
      </c>
      <c r="E956" t="b">
        <v>1</v>
      </c>
      <c r="F956" s="1">
        <v>0.84930555555555554</v>
      </c>
      <c r="G956" s="1">
        <v>0.90902777777777777</v>
      </c>
      <c r="H956">
        <v>86</v>
      </c>
      <c r="I956" t="b">
        <v>0</v>
      </c>
      <c r="J956" t="b">
        <v>1</v>
      </c>
      <c r="K956" t="b">
        <v>0</v>
      </c>
      <c r="L956" t="s">
        <v>28</v>
      </c>
      <c r="M956">
        <v>20</v>
      </c>
      <c r="N956" t="s">
        <v>64</v>
      </c>
      <c r="O956">
        <v>15</v>
      </c>
      <c r="P956" t="s">
        <v>40</v>
      </c>
      <c r="Q956">
        <v>0.1</v>
      </c>
      <c r="R956">
        <v>13.5</v>
      </c>
      <c r="S956" t="s">
        <v>44</v>
      </c>
      <c r="T956" t="s">
        <v>54</v>
      </c>
      <c r="U956">
        <v>32.715699999999998</v>
      </c>
      <c r="V956">
        <v>-117.1611</v>
      </c>
      <c r="W956" s="2">
        <v>45422</v>
      </c>
      <c r="X956">
        <v>5</v>
      </c>
      <c r="Y956" t="b">
        <v>0</v>
      </c>
      <c r="Z956" s="2">
        <v>45838</v>
      </c>
      <c r="AA956" t="str">
        <f t="shared" si="141"/>
        <v>10–19</v>
      </c>
      <c r="AB956" t="str">
        <f t="shared" si="142"/>
        <v>16–19</v>
      </c>
      <c r="AC956" t="str">
        <f t="shared" si="143"/>
        <v/>
      </c>
      <c r="AD956" t="str">
        <f t="shared" si="144"/>
        <v/>
      </c>
      <c r="AE956" t="str">
        <f t="shared" si="145"/>
        <v/>
      </c>
      <c r="AF956" t="str">
        <f t="shared" si="146"/>
        <v/>
      </c>
      <c r="AG956" t="str">
        <f t="shared" si="147"/>
        <v>Friday</v>
      </c>
      <c r="AH956" t="str">
        <f t="shared" si="148"/>
        <v>Saturday</v>
      </c>
      <c r="AI956" t="str">
        <f t="shared" si="149"/>
        <v/>
      </c>
      <c r="AJ956" t="str">
        <f>LEFT(Table1[[#This Row],[membership_type]],2)&amp;TEXT(Table1[[#This Row],[age]],"00")&amp;"-"&amp;TEXT(ROW(),"000")</f>
        <v>Ba19-956</v>
      </c>
      <c r="AK956" t="str">
        <f>LEFT(Table1[[#This Row],[membership_type]],1)&amp;TEXT(MATCH(Table1[[#This Row],[membership_type]],Table1[membership_type],0),"00")</f>
        <v>B04</v>
      </c>
      <c r="AL956" t="str">
        <f>LEFT(Table1[[#This Row],[discount_type]],1)&amp;TEXT(ROUND(Table1[[#This Row],[discount_rate]]*100,0),"00")</f>
        <v>L10</v>
      </c>
      <c r="AM956" t="str" cm="1">
        <f t="array" ref="AM956">TEXT(SUMPRODUCT(CODE(MID(Table1[[#This Row],[home_gym_location]],_xlfn.SEQUENCE(LEN(Table1[[#This Row],[home_gym_location]])),1))),"00000")</f>
        <v>01018</v>
      </c>
      <c r="AN95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56" t="str">
        <f>LEFT(_xlfn.TEXTBEFORE(Table1[[#This Row],[Location Identifier]],"-"),3) &amp; "-" &amp; _xlfn.TEXTAFTER(Table1[[#This Row],[Location Identifier]],"-")</f>
        <v>SAN-008</v>
      </c>
      <c r="AP956" s="9">
        <f t="shared" ca="1" si="140"/>
        <v>45869</v>
      </c>
    </row>
    <row r="957" spans="1:42" x14ac:dyDescent="0.25">
      <c r="A957">
        <v>30</v>
      </c>
      <c r="B957" t="s">
        <v>33</v>
      </c>
      <c r="C957">
        <v>1</v>
      </c>
      <c r="D957" t="s">
        <v>49</v>
      </c>
      <c r="E957" t="b">
        <v>1</v>
      </c>
      <c r="F957" s="1">
        <v>0.35972222222222222</v>
      </c>
      <c r="G957" s="1">
        <v>0.42222222222222222</v>
      </c>
      <c r="H957">
        <v>90</v>
      </c>
      <c r="I957" t="b">
        <v>0</v>
      </c>
      <c r="J957" t="b">
        <v>1</v>
      </c>
      <c r="K957" t="b">
        <v>1</v>
      </c>
      <c r="L957" t="s">
        <v>58</v>
      </c>
      <c r="M957">
        <v>30</v>
      </c>
      <c r="N957" t="s">
        <v>29</v>
      </c>
      <c r="O957">
        <v>30</v>
      </c>
      <c r="P957" t="s">
        <v>36</v>
      </c>
      <c r="Q957">
        <v>0</v>
      </c>
      <c r="R957">
        <v>30</v>
      </c>
      <c r="S957" t="s">
        <v>37</v>
      </c>
      <c r="T957" t="s">
        <v>59</v>
      </c>
      <c r="U957">
        <v>37.774900000000002</v>
      </c>
      <c r="V957">
        <v>-122.4194</v>
      </c>
      <c r="W957" s="2">
        <v>45278</v>
      </c>
      <c r="X957">
        <v>1</v>
      </c>
      <c r="Y957" t="b">
        <v>0</v>
      </c>
      <c r="Z957" s="2">
        <v>45829</v>
      </c>
      <c r="AA957" t="str">
        <f t="shared" si="141"/>
        <v>30–39</v>
      </c>
      <c r="AB957" t="str">
        <f t="shared" si="142"/>
        <v>30–39</v>
      </c>
      <c r="AC957" t="str">
        <f t="shared" si="143"/>
        <v/>
      </c>
      <c r="AD957" t="str">
        <f t="shared" si="144"/>
        <v/>
      </c>
      <c r="AE957" t="str">
        <f t="shared" si="145"/>
        <v/>
      </c>
      <c r="AF957" t="str">
        <f t="shared" si="146"/>
        <v/>
      </c>
      <c r="AG957" t="str">
        <f t="shared" si="147"/>
        <v/>
      </c>
      <c r="AH957" t="str">
        <f t="shared" si="148"/>
        <v/>
      </c>
      <c r="AI957" t="str">
        <f t="shared" si="149"/>
        <v>Sunday</v>
      </c>
      <c r="AJ957" t="str">
        <f>LEFT(Table1[[#This Row],[membership_type]],2)&amp;TEXT(Table1[[#This Row],[age]],"00")&amp;"-"&amp;TEXT(ROW(),"000")</f>
        <v>St30-957</v>
      </c>
      <c r="AK957" t="str">
        <f>LEFT(Table1[[#This Row],[membership_type]],1)&amp;TEXT(MATCH(Table1[[#This Row],[membership_type]],Table1[membership_type],0),"00")</f>
        <v>S02</v>
      </c>
      <c r="AL957" t="str">
        <f>LEFT(Table1[[#This Row],[discount_type]],1)&amp;TEXT(ROUND(Table1[[#This Row],[discount_rate]]*100,0),"00")</f>
        <v>N00</v>
      </c>
      <c r="AM957" t="str" cm="1">
        <f t="array" ref="AM957">TEXT(SUMPRODUCT(CODE(MID(Table1[[#This Row],[home_gym_location]],_xlfn.SEQUENCE(LEN(Table1[[#This Row],[home_gym_location]])),1))),"00000")</f>
        <v>01450</v>
      </c>
      <c r="AN95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57" t="str">
        <f>LEFT(_xlfn.TEXTBEFORE(Table1[[#This Row],[Location Identifier]],"-"),3) &amp; "-" &amp; _xlfn.TEXTAFTER(Table1[[#This Row],[Location Identifier]],"-")</f>
        <v>SAN-009</v>
      </c>
      <c r="AP957" s="9">
        <f t="shared" ca="1" si="140"/>
        <v>45869</v>
      </c>
    </row>
    <row r="958" spans="1:42" x14ac:dyDescent="0.25">
      <c r="A958">
        <v>13</v>
      </c>
      <c r="B958" t="s">
        <v>51</v>
      </c>
      <c r="C958">
        <v>5</v>
      </c>
      <c r="D958" t="s">
        <v>112</v>
      </c>
      <c r="E958" t="b">
        <v>1</v>
      </c>
      <c r="F958" s="1">
        <v>0.71736111111111112</v>
      </c>
      <c r="G958" s="1">
        <v>0.79166666666666663</v>
      </c>
      <c r="H958">
        <v>107</v>
      </c>
      <c r="I958" t="b">
        <v>0</v>
      </c>
      <c r="J958" t="b">
        <v>0</v>
      </c>
      <c r="K958" t="b">
        <v>0</v>
      </c>
      <c r="L958" t="s">
        <v>28</v>
      </c>
      <c r="M958">
        <v>70</v>
      </c>
      <c r="N958" t="s">
        <v>29</v>
      </c>
      <c r="O958">
        <v>70</v>
      </c>
      <c r="P958" t="s">
        <v>36</v>
      </c>
      <c r="Q958">
        <v>0</v>
      </c>
      <c r="R958">
        <v>70</v>
      </c>
      <c r="S958" t="s">
        <v>53</v>
      </c>
      <c r="T958" t="s">
        <v>56</v>
      </c>
      <c r="U958">
        <v>35.3733</v>
      </c>
      <c r="V958">
        <v>-119.0187</v>
      </c>
      <c r="W958" s="2">
        <v>45780</v>
      </c>
      <c r="X958">
        <v>0</v>
      </c>
      <c r="Y958" t="b">
        <v>0</v>
      </c>
      <c r="Z958" s="2">
        <v>45858</v>
      </c>
      <c r="AA958" t="str">
        <f t="shared" si="141"/>
        <v>10–19</v>
      </c>
      <c r="AB958" t="str">
        <f t="shared" si="142"/>
        <v>Under 16</v>
      </c>
      <c r="AC958" t="str">
        <f t="shared" si="143"/>
        <v>Monday</v>
      </c>
      <c r="AD958" t="str">
        <f t="shared" si="144"/>
        <v/>
      </c>
      <c r="AE958" t="str">
        <f t="shared" si="145"/>
        <v/>
      </c>
      <c r="AF958" t="str">
        <f t="shared" si="146"/>
        <v>Thursday</v>
      </c>
      <c r="AG958" t="str">
        <f t="shared" si="147"/>
        <v>Friday</v>
      </c>
      <c r="AH958" t="str">
        <f t="shared" si="148"/>
        <v>Saturday</v>
      </c>
      <c r="AI958" t="str">
        <f t="shared" si="149"/>
        <v>Sunday</v>
      </c>
      <c r="AJ958" t="str">
        <f>LEFT(Table1[[#This Row],[membership_type]],2)&amp;TEXT(Table1[[#This Row],[age]],"00")&amp;"-"&amp;TEXT(ROW(),"000")</f>
        <v>El13-958</v>
      </c>
      <c r="AK958" t="str">
        <f>LEFT(Table1[[#This Row],[membership_type]],1)&amp;TEXT(MATCH(Table1[[#This Row],[membership_type]],Table1[membership_type],0),"00")</f>
        <v>E07</v>
      </c>
      <c r="AL958" t="str">
        <f>LEFT(Table1[[#This Row],[discount_type]],1)&amp;TEXT(ROUND(Table1[[#This Row],[discount_rate]]*100,0),"00")</f>
        <v>N00</v>
      </c>
      <c r="AM958" t="str" cm="1">
        <f t="array" ref="AM958">TEXT(SUMPRODUCT(CODE(MID(Table1[[#This Row],[home_gym_location]],_xlfn.SEQUENCE(LEN(Table1[[#This Row],[home_gym_location]])),1))),"00000")</f>
        <v>01324</v>
      </c>
      <c r="AN95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58" t="str">
        <f>LEFT(_xlfn.TEXTBEFORE(Table1[[#This Row],[Location Identifier]],"-"),3) &amp; "-" &amp; _xlfn.TEXTAFTER(Table1[[#This Row],[Location Identifier]],"-")</f>
        <v>BAK-002</v>
      </c>
      <c r="AP958" s="9">
        <f t="shared" ca="1" si="140"/>
        <v>45869</v>
      </c>
    </row>
    <row r="959" spans="1:42" x14ac:dyDescent="0.25">
      <c r="A959">
        <v>36</v>
      </c>
      <c r="B959" t="s">
        <v>42</v>
      </c>
      <c r="C959">
        <v>1</v>
      </c>
      <c r="D959" t="s">
        <v>71</v>
      </c>
      <c r="E959" t="b">
        <v>1</v>
      </c>
      <c r="F959" s="1">
        <v>0.86388888888888893</v>
      </c>
      <c r="G959" s="1">
        <v>0.93194444444444446</v>
      </c>
      <c r="H959">
        <v>98</v>
      </c>
      <c r="I959" t="b">
        <v>1</v>
      </c>
      <c r="J959" t="b">
        <v>1</v>
      </c>
      <c r="K959" t="b">
        <v>1</v>
      </c>
      <c r="L959" t="s">
        <v>62</v>
      </c>
      <c r="M959">
        <v>20</v>
      </c>
      <c r="N959" t="s">
        <v>64</v>
      </c>
      <c r="O959">
        <v>15</v>
      </c>
      <c r="P959" t="s">
        <v>36</v>
      </c>
      <c r="Q959">
        <v>0</v>
      </c>
      <c r="R959">
        <v>15</v>
      </c>
      <c r="S959" t="s">
        <v>44</v>
      </c>
      <c r="T959" t="s">
        <v>41</v>
      </c>
      <c r="U959">
        <v>37.804400000000001</v>
      </c>
      <c r="V959">
        <v>-122.27119999999999</v>
      </c>
      <c r="W959" s="2">
        <v>45653</v>
      </c>
      <c r="X959">
        <v>5</v>
      </c>
      <c r="Y959" t="b">
        <v>0</v>
      </c>
      <c r="Z959" s="2">
        <v>45851</v>
      </c>
      <c r="AA959" t="str">
        <f t="shared" si="141"/>
        <v>30–39</v>
      </c>
      <c r="AB959" t="str">
        <f t="shared" si="142"/>
        <v>30–39</v>
      </c>
      <c r="AC959" t="str">
        <f t="shared" si="143"/>
        <v/>
      </c>
      <c r="AD959" t="str">
        <f t="shared" si="144"/>
        <v>Tuesday</v>
      </c>
      <c r="AE959" t="str">
        <f t="shared" si="145"/>
        <v/>
      </c>
      <c r="AF959" t="str">
        <f t="shared" si="146"/>
        <v/>
      </c>
      <c r="AG959" t="str">
        <f t="shared" si="147"/>
        <v/>
      </c>
      <c r="AH959" t="str">
        <f t="shared" si="148"/>
        <v/>
      </c>
      <c r="AI959" t="str">
        <f t="shared" si="149"/>
        <v/>
      </c>
      <c r="AJ959" t="str">
        <f>LEFT(Table1[[#This Row],[membership_type]],2)&amp;TEXT(Table1[[#This Row],[age]],"00")&amp;"-"&amp;TEXT(ROW(),"000")</f>
        <v>Ba36-959</v>
      </c>
      <c r="AK959" t="str">
        <f>LEFT(Table1[[#This Row],[membership_type]],1)&amp;TEXT(MATCH(Table1[[#This Row],[membership_type]],Table1[membership_type],0),"00")</f>
        <v>B04</v>
      </c>
      <c r="AL959" t="str">
        <f>LEFT(Table1[[#This Row],[discount_type]],1)&amp;TEXT(ROUND(Table1[[#This Row],[discount_rate]]*100,0),"00")</f>
        <v>N00</v>
      </c>
      <c r="AM959" t="str" cm="1">
        <f t="array" ref="AM959">TEXT(SUMPRODUCT(CODE(MID(Table1[[#This Row],[home_gym_location]],_xlfn.SEQUENCE(LEN(Table1[[#This Row],[home_gym_location]])),1))),"00000")</f>
        <v>00906</v>
      </c>
      <c r="AN959" t="str">
        <f>UPPER(_xlfn.TEXTBEFORE(Table1[[#This Row],[home_gym_location]],","))&amp;"-"&amp;TEXT(MATCH(Table1[[#This Row],[home_gym_location]],_xlfn._xlws.SORT(_xlfn.UNIQUE(Table1[home_gym_location])),0),"000")</f>
        <v>OAKLAND-006</v>
      </c>
      <c r="AO959" t="str">
        <f>LEFT(_xlfn.TEXTBEFORE(Table1[[#This Row],[Location Identifier]],"-"),3) &amp; "-" &amp; _xlfn.TEXTAFTER(Table1[[#This Row],[Location Identifier]],"-")</f>
        <v>OAK-006</v>
      </c>
      <c r="AP959" s="9">
        <f t="shared" ca="1" si="140"/>
        <v>45869</v>
      </c>
    </row>
    <row r="960" spans="1:42" x14ac:dyDescent="0.25">
      <c r="A960">
        <v>35</v>
      </c>
      <c r="B960" t="s">
        <v>26</v>
      </c>
      <c r="C960">
        <v>2</v>
      </c>
      <c r="D960" t="s">
        <v>46</v>
      </c>
      <c r="E960" t="b">
        <v>0</v>
      </c>
      <c r="F960" s="1">
        <v>0.82638888888888884</v>
      </c>
      <c r="G960" s="1">
        <v>0.93333333333333335</v>
      </c>
      <c r="H960">
        <v>154</v>
      </c>
      <c r="I960" t="b">
        <v>0</v>
      </c>
      <c r="J960" t="b">
        <v>1</v>
      </c>
      <c r="K960" t="b">
        <v>1</v>
      </c>
      <c r="L960" t="s">
        <v>62</v>
      </c>
      <c r="M960">
        <v>50</v>
      </c>
      <c r="N960" t="s">
        <v>29</v>
      </c>
      <c r="O960">
        <v>50</v>
      </c>
      <c r="P960" t="s">
        <v>74</v>
      </c>
      <c r="Q960">
        <v>0.15</v>
      </c>
      <c r="R960">
        <v>42.5</v>
      </c>
      <c r="S960" t="s">
        <v>31</v>
      </c>
      <c r="T960" t="s">
        <v>59</v>
      </c>
      <c r="U960">
        <v>37.774900000000002</v>
      </c>
      <c r="V960">
        <v>-122.4194</v>
      </c>
      <c r="W960" s="2">
        <v>45044</v>
      </c>
      <c r="X960">
        <v>1</v>
      </c>
      <c r="Y960" t="b">
        <v>0</v>
      </c>
      <c r="Z960" s="2">
        <v>45816</v>
      </c>
      <c r="AA960" t="str">
        <f t="shared" si="141"/>
        <v>30–39</v>
      </c>
      <c r="AB960" t="str">
        <f t="shared" si="142"/>
        <v>30–39</v>
      </c>
      <c r="AC960" t="str">
        <f t="shared" si="143"/>
        <v/>
      </c>
      <c r="AD960" t="str">
        <f t="shared" si="144"/>
        <v/>
      </c>
      <c r="AE960" t="str">
        <f t="shared" si="145"/>
        <v>Wednesday</v>
      </c>
      <c r="AF960" t="str">
        <f t="shared" si="146"/>
        <v/>
      </c>
      <c r="AG960" t="str">
        <f t="shared" si="147"/>
        <v/>
      </c>
      <c r="AH960" t="str">
        <f t="shared" si="148"/>
        <v/>
      </c>
      <c r="AI960" t="str">
        <f t="shared" si="149"/>
        <v>Sunday</v>
      </c>
      <c r="AJ960" t="str">
        <f>LEFT(Table1[[#This Row],[membership_type]],2)&amp;TEXT(Table1[[#This Row],[age]],"00")&amp;"-"&amp;TEXT(ROW(),"000")</f>
        <v>Pr35-960</v>
      </c>
      <c r="AK960" t="str">
        <f>LEFT(Table1[[#This Row],[membership_type]],1)&amp;TEXT(MATCH(Table1[[#This Row],[membership_type]],Table1[membership_type],0),"00")</f>
        <v>P01</v>
      </c>
      <c r="AL960" t="str">
        <f>LEFT(Table1[[#This Row],[discount_type]],1)&amp;TEXT(ROUND(Table1[[#This Row],[discount_rate]]*100,0),"00")</f>
        <v>S15</v>
      </c>
      <c r="AM960" t="str" cm="1">
        <f t="array" ref="AM960">TEXT(SUMPRODUCT(CODE(MID(Table1[[#This Row],[home_gym_location]],_xlfn.SEQUENCE(LEN(Table1[[#This Row],[home_gym_location]])),1))),"00000")</f>
        <v>01450</v>
      </c>
      <c r="AN96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60" t="str">
        <f>LEFT(_xlfn.TEXTBEFORE(Table1[[#This Row],[Location Identifier]],"-"),3) &amp; "-" &amp; _xlfn.TEXTAFTER(Table1[[#This Row],[Location Identifier]],"-")</f>
        <v>SAN-009</v>
      </c>
      <c r="AP960" s="9">
        <f t="shared" ca="1" si="140"/>
        <v>45869</v>
      </c>
    </row>
    <row r="961" spans="1:42" x14ac:dyDescent="0.25">
      <c r="A961">
        <v>30</v>
      </c>
      <c r="B961" t="s">
        <v>33</v>
      </c>
      <c r="C961">
        <v>3</v>
      </c>
      <c r="D961" t="s">
        <v>109</v>
      </c>
      <c r="E961" t="b">
        <v>0</v>
      </c>
      <c r="F961" s="1">
        <v>0.33680555555555558</v>
      </c>
      <c r="G961" s="1">
        <v>0.37916666666666665</v>
      </c>
      <c r="H961">
        <v>61</v>
      </c>
      <c r="I961" t="b">
        <v>1</v>
      </c>
      <c r="J961" t="b">
        <v>1</v>
      </c>
      <c r="K961" t="b">
        <v>0</v>
      </c>
      <c r="L961" t="s">
        <v>47</v>
      </c>
      <c r="M961">
        <v>30</v>
      </c>
      <c r="N961" t="s">
        <v>64</v>
      </c>
      <c r="O961">
        <v>22.5</v>
      </c>
      <c r="P961" t="s">
        <v>30</v>
      </c>
      <c r="Q961">
        <v>0.05</v>
      </c>
      <c r="R961">
        <v>21.375</v>
      </c>
      <c r="S961" t="s">
        <v>37</v>
      </c>
      <c r="T961" t="s">
        <v>65</v>
      </c>
      <c r="U961">
        <v>33.770099999999999</v>
      </c>
      <c r="V961">
        <v>-118.19370000000001</v>
      </c>
      <c r="W961" s="2">
        <v>45742</v>
      </c>
      <c r="X961">
        <v>4</v>
      </c>
      <c r="Y961" t="b">
        <v>0</v>
      </c>
      <c r="Z961" s="2">
        <v>45856</v>
      </c>
      <c r="AA961" t="str">
        <f t="shared" si="141"/>
        <v>30–39</v>
      </c>
      <c r="AB961" t="str">
        <f t="shared" si="142"/>
        <v>30–39</v>
      </c>
      <c r="AC961" t="str">
        <f t="shared" si="143"/>
        <v/>
      </c>
      <c r="AD961" t="str">
        <f t="shared" si="144"/>
        <v>Tuesday</v>
      </c>
      <c r="AE961" t="str">
        <f t="shared" si="145"/>
        <v/>
      </c>
      <c r="AF961" t="str">
        <f t="shared" si="146"/>
        <v>Thursday</v>
      </c>
      <c r="AG961" t="str">
        <f t="shared" si="147"/>
        <v>Friday</v>
      </c>
      <c r="AH961" t="str">
        <f t="shared" si="148"/>
        <v/>
      </c>
      <c r="AI961" t="str">
        <f t="shared" si="149"/>
        <v/>
      </c>
      <c r="AJ961" t="str">
        <f>LEFT(Table1[[#This Row],[membership_type]],2)&amp;TEXT(Table1[[#This Row],[age]],"00")&amp;"-"&amp;TEXT(ROW(),"000")</f>
        <v>St30-961</v>
      </c>
      <c r="AK961" t="str">
        <f>LEFT(Table1[[#This Row],[membership_type]],1)&amp;TEXT(MATCH(Table1[[#This Row],[membership_type]],Table1[membership_type],0),"00")</f>
        <v>S02</v>
      </c>
      <c r="AL961" t="str">
        <f>LEFT(Table1[[#This Row],[discount_type]],1)&amp;TEXT(ROUND(Table1[[#This Row],[discount_rate]]*100,0),"00")</f>
        <v>P05</v>
      </c>
      <c r="AM961" t="str" cm="1">
        <f t="array" ref="AM961">TEXT(SUMPRODUCT(CODE(MID(Table1[[#This Row],[home_gym_location]],_xlfn.SEQUENCE(LEN(Table1[[#This Row],[home_gym_location]])),1))),"00000")</f>
        <v>01107</v>
      </c>
      <c r="AN96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61" t="str">
        <f>LEFT(_xlfn.TEXTBEFORE(Table1[[#This Row],[Location Identifier]],"-"),3) &amp; "-" &amp; _xlfn.TEXTAFTER(Table1[[#This Row],[Location Identifier]],"-")</f>
        <v>LON-004</v>
      </c>
      <c r="AP961" s="9">
        <f t="shared" ca="1" si="140"/>
        <v>45869</v>
      </c>
    </row>
    <row r="962" spans="1:42" x14ac:dyDescent="0.25">
      <c r="A962">
        <v>29</v>
      </c>
      <c r="B962" t="s">
        <v>51</v>
      </c>
      <c r="C962">
        <v>3</v>
      </c>
      <c r="D962" t="s">
        <v>83</v>
      </c>
      <c r="E962" t="b">
        <v>0</v>
      </c>
      <c r="F962" s="1">
        <v>0.43611111111111112</v>
      </c>
      <c r="G962" s="1">
        <v>0.48333333333333334</v>
      </c>
      <c r="H962">
        <v>68</v>
      </c>
      <c r="I962" t="b">
        <v>0</v>
      </c>
      <c r="J962" t="b">
        <v>1</v>
      </c>
      <c r="K962" t="b">
        <v>1</v>
      </c>
      <c r="L962" t="s">
        <v>28</v>
      </c>
      <c r="M962">
        <v>70</v>
      </c>
      <c r="N962" t="s">
        <v>29</v>
      </c>
      <c r="O962">
        <v>70</v>
      </c>
      <c r="P962" t="s">
        <v>36</v>
      </c>
      <c r="Q962">
        <v>0</v>
      </c>
      <c r="R962">
        <v>70</v>
      </c>
      <c r="S962" t="s">
        <v>53</v>
      </c>
      <c r="T962" t="s">
        <v>59</v>
      </c>
      <c r="U962">
        <v>37.774900000000002</v>
      </c>
      <c r="V962">
        <v>-122.4194</v>
      </c>
      <c r="W962" s="2">
        <v>45188</v>
      </c>
      <c r="X962">
        <v>3</v>
      </c>
      <c r="Y962" t="b">
        <v>1</v>
      </c>
      <c r="Z962" s="2">
        <v>45824</v>
      </c>
      <c r="AA962" t="str">
        <f t="shared" si="141"/>
        <v>20–29</v>
      </c>
      <c r="AB962" t="str">
        <f t="shared" si="142"/>
        <v>20–29</v>
      </c>
      <c r="AC962" t="str">
        <f t="shared" si="143"/>
        <v/>
      </c>
      <c r="AD962" t="str">
        <f t="shared" si="144"/>
        <v>Tuesday</v>
      </c>
      <c r="AE962" t="str">
        <f t="shared" si="145"/>
        <v>Wednesday</v>
      </c>
      <c r="AF962" t="str">
        <f t="shared" si="146"/>
        <v/>
      </c>
      <c r="AG962" t="str">
        <f t="shared" si="147"/>
        <v/>
      </c>
      <c r="AH962" t="str">
        <f t="shared" si="148"/>
        <v>Saturday</v>
      </c>
      <c r="AI962" t="str">
        <f t="shared" si="149"/>
        <v/>
      </c>
      <c r="AJ962" t="str">
        <f>LEFT(Table1[[#This Row],[membership_type]],2)&amp;TEXT(Table1[[#This Row],[age]],"00")&amp;"-"&amp;TEXT(ROW(),"000")</f>
        <v>El29-962</v>
      </c>
      <c r="AK962" t="str">
        <f>LEFT(Table1[[#This Row],[membership_type]],1)&amp;TEXT(MATCH(Table1[[#This Row],[membership_type]],Table1[membership_type],0),"00")</f>
        <v>E07</v>
      </c>
      <c r="AL962" t="str">
        <f>LEFT(Table1[[#This Row],[discount_type]],1)&amp;TEXT(ROUND(Table1[[#This Row],[discount_rate]]*100,0),"00")</f>
        <v>N00</v>
      </c>
      <c r="AM962" t="str" cm="1">
        <f t="array" ref="AM962">TEXT(SUMPRODUCT(CODE(MID(Table1[[#This Row],[home_gym_location]],_xlfn.SEQUENCE(LEN(Table1[[#This Row],[home_gym_location]])),1))),"00000")</f>
        <v>01450</v>
      </c>
      <c r="AN96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62" t="str">
        <f>LEFT(_xlfn.TEXTBEFORE(Table1[[#This Row],[Location Identifier]],"-"),3) &amp; "-" &amp; _xlfn.TEXTAFTER(Table1[[#This Row],[Location Identifier]],"-")</f>
        <v>SAN-009</v>
      </c>
      <c r="AP962" s="9">
        <f t="shared" ref="AP962:AP1025" ca="1" si="150">EOMONTH(DATE(YEAR(TODAY()),7,1),0)</f>
        <v>45869</v>
      </c>
    </row>
    <row r="963" spans="1:42" x14ac:dyDescent="0.25">
      <c r="A963">
        <v>47</v>
      </c>
      <c r="B963" t="s">
        <v>42</v>
      </c>
      <c r="C963">
        <v>2</v>
      </c>
      <c r="D963" t="s">
        <v>43</v>
      </c>
      <c r="E963" t="b">
        <v>1</v>
      </c>
      <c r="F963" s="1">
        <v>0.79583333333333328</v>
      </c>
      <c r="G963" s="1">
        <v>0.82152777777777775</v>
      </c>
      <c r="H963">
        <v>37</v>
      </c>
      <c r="I963" t="b">
        <v>0</v>
      </c>
      <c r="J963" t="b">
        <v>1</v>
      </c>
      <c r="K963" t="b">
        <v>1</v>
      </c>
      <c r="L963" t="s">
        <v>35</v>
      </c>
      <c r="M963">
        <v>20</v>
      </c>
      <c r="N963" t="s">
        <v>29</v>
      </c>
      <c r="O963">
        <v>20</v>
      </c>
      <c r="P963" t="s">
        <v>36</v>
      </c>
      <c r="Q963">
        <v>0</v>
      </c>
      <c r="R963">
        <v>20</v>
      </c>
      <c r="S963" t="s">
        <v>44</v>
      </c>
      <c r="T963" t="s">
        <v>59</v>
      </c>
      <c r="U963">
        <v>37.774900000000002</v>
      </c>
      <c r="V963">
        <v>-122.4194</v>
      </c>
      <c r="W963" s="2">
        <v>45569</v>
      </c>
      <c r="X963">
        <v>1</v>
      </c>
      <c r="Y963" t="b">
        <v>0</v>
      </c>
      <c r="Z963" s="2">
        <v>45846</v>
      </c>
      <c r="AA963" t="str">
        <f t="shared" ref="AA963:AA1026" si="151">TEXT(10*INT($A963/10),"0")&amp;"–"&amp;TEXT(10*INT($A963/10)+9,"0")</f>
        <v>40–49</v>
      </c>
      <c r="AB963" t="str">
        <f t="shared" ref="AB963:AB1026" si="152">IF(AND($AA963 = "10–19", $A963 &lt; 16), "Under 16", IF(AND($AA963 = "10–19", $A963 &gt;= 16), "16–19", $AA963))</f>
        <v>40–49</v>
      </c>
      <c r="AC963" t="str">
        <f t="shared" ref="AC963:AC1026" si="153">IF(ISNUMBER(SEARCH("Mon", $D963)), "Monday", "")</f>
        <v>Monday</v>
      </c>
      <c r="AD963" t="str">
        <f t="shared" ref="AD963:AD1026" si="154">IF(ISNUMBER(SEARCH("Tue", $D963)), "Tuesday", "")</f>
        <v>Tuesday</v>
      </c>
      <c r="AE963" t="str">
        <f t="shared" ref="AE963:AE1026" si="155">IF(ISNUMBER(SEARCH("Wed", $D963)), "Wednesday", "")</f>
        <v/>
      </c>
      <c r="AF963" t="str">
        <f t="shared" ref="AF963:AF1026" si="156">IF(ISNUMBER(SEARCH("Thu", $D963)), "Thursday", "")</f>
        <v/>
      </c>
      <c r="AG963" t="str">
        <f t="shared" ref="AG963:AG1026" si="157">IF(ISNUMBER(SEARCH("Fri", $D963)), "Friday", "")</f>
        <v/>
      </c>
      <c r="AH963" t="str">
        <f t="shared" ref="AH963:AH1026" si="158">IF(ISNUMBER(SEARCH("Sat", $D963)), "Saturday", "")</f>
        <v/>
      </c>
      <c r="AI963" t="str">
        <f t="shared" ref="AI963:AI1026" si="159">IF(ISNUMBER(SEARCH("Sun", $D963)), "Sunday", "")</f>
        <v/>
      </c>
      <c r="AJ963" t="str">
        <f>LEFT(Table1[[#This Row],[membership_type]],2)&amp;TEXT(Table1[[#This Row],[age]],"00")&amp;"-"&amp;TEXT(ROW(),"000")</f>
        <v>Ba47-963</v>
      </c>
      <c r="AK963" t="str">
        <f>LEFT(Table1[[#This Row],[membership_type]],1)&amp;TEXT(MATCH(Table1[[#This Row],[membership_type]],Table1[membership_type],0),"00")</f>
        <v>B04</v>
      </c>
      <c r="AL963" t="str">
        <f>LEFT(Table1[[#This Row],[discount_type]],1)&amp;TEXT(ROUND(Table1[[#This Row],[discount_rate]]*100,0),"00")</f>
        <v>N00</v>
      </c>
      <c r="AM963" t="str" cm="1">
        <f t="array" ref="AM963">TEXT(SUMPRODUCT(CODE(MID(Table1[[#This Row],[home_gym_location]],_xlfn.SEQUENCE(LEN(Table1[[#This Row],[home_gym_location]])),1))),"00000")</f>
        <v>01450</v>
      </c>
      <c r="AN9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63" t="str">
        <f>LEFT(_xlfn.TEXTBEFORE(Table1[[#This Row],[Location Identifier]],"-"),3) &amp; "-" &amp; _xlfn.TEXTAFTER(Table1[[#This Row],[Location Identifier]],"-")</f>
        <v>SAN-009</v>
      </c>
      <c r="AP963" s="9">
        <f t="shared" ca="1" si="150"/>
        <v>45869</v>
      </c>
    </row>
    <row r="964" spans="1:42" x14ac:dyDescent="0.25">
      <c r="A964">
        <v>29</v>
      </c>
      <c r="B964" t="s">
        <v>33</v>
      </c>
      <c r="C964">
        <v>3</v>
      </c>
      <c r="D964" t="s">
        <v>100</v>
      </c>
      <c r="E964" t="b">
        <v>0</v>
      </c>
      <c r="F964" s="1">
        <v>0.59444444444444444</v>
      </c>
      <c r="G964" s="1">
        <v>0.71388888888888891</v>
      </c>
      <c r="H964">
        <v>172</v>
      </c>
      <c r="I964" t="b">
        <v>0</v>
      </c>
      <c r="J964" t="b">
        <v>0</v>
      </c>
      <c r="K964" t="b">
        <v>0</v>
      </c>
      <c r="L964" t="s">
        <v>62</v>
      </c>
      <c r="M964">
        <v>30</v>
      </c>
      <c r="N964" t="s">
        <v>29</v>
      </c>
      <c r="O964">
        <v>30</v>
      </c>
      <c r="P964" t="s">
        <v>30</v>
      </c>
      <c r="Q964">
        <v>0.05</v>
      </c>
      <c r="R964">
        <v>28.5</v>
      </c>
      <c r="S964" t="s">
        <v>37</v>
      </c>
      <c r="T964" t="s">
        <v>38</v>
      </c>
      <c r="U964">
        <v>36.7378</v>
      </c>
      <c r="V964">
        <v>-119.7871</v>
      </c>
      <c r="W964" s="2">
        <v>45416</v>
      </c>
      <c r="X964">
        <v>0</v>
      </c>
      <c r="Y964" t="b">
        <v>1</v>
      </c>
      <c r="Z964" s="2">
        <v>45837</v>
      </c>
      <c r="AA964" t="str">
        <f t="shared" si="151"/>
        <v>20–29</v>
      </c>
      <c r="AB964" t="str">
        <f t="shared" si="152"/>
        <v>20–29</v>
      </c>
      <c r="AC964" t="str">
        <f t="shared" si="153"/>
        <v/>
      </c>
      <c r="AD964" t="str">
        <f t="shared" si="154"/>
        <v/>
      </c>
      <c r="AE964" t="str">
        <f t="shared" si="155"/>
        <v>Wednesday</v>
      </c>
      <c r="AF964" t="str">
        <f t="shared" si="156"/>
        <v/>
      </c>
      <c r="AG964" t="str">
        <f t="shared" si="157"/>
        <v>Friday</v>
      </c>
      <c r="AH964" t="str">
        <f t="shared" si="158"/>
        <v/>
      </c>
      <c r="AI964" t="str">
        <f t="shared" si="159"/>
        <v>Sunday</v>
      </c>
      <c r="AJ964" t="str">
        <f>LEFT(Table1[[#This Row],[membership_type]],2)&amp;TEXT(Table1[[#This Row],[age]],"00")&amp;"-"&amp;TEXT(ROW(),"000")</f>
        <v>St29-964</v>
      </c>
      <c r="AK964" t="str">
        <f>LEFT(Table1[[#This Row],[membership_type]],1)&amp;TEXT(MATCH(Table1[[#This Row],[membership_type]],Table1[membership_type],0),"00")</f>
        <v>S02</v>
      </c>
      <c r="AL964" t="str">
        <f>LEFT(Table1[[#This Row],[discount_type]],1)&amp;TEXT(ROUND(Table1[[#This Row],[discount_rate]]*100,0),"00")</f>
        <v>P05</v>
      </c>
      <c r="AM964" t="str" cm="1">
        <f t="array" ref="AM964">TEXT(SUMPRODUCT(CODE(MID(Table1[[#This Row],[home_gym_location]],_xlfn.SEQUENCE(LEN(Table1[[#This Row],[home_gym_location]])),1))),"00000")</f>
        <v>00829</v>
      </c>
      <c r="AN964" t="str">
        <f>UPPER(_xlfn.TEXTBEFORE(Table1[[#This Row],[home_gym_location]],","))&amp;"-"&amp;TEXT(MATCH(Table1[[#This Row],[home_gym_location]],_xlfn._xlws.SORT(_xlfn.UNIQUE(Table1[home_gym_location])),0),"000")</f>
        <v>FRESNO-003</v>
      </c>
      <c r="AO964" t="str">
        <f>LEFT(_xlfn.TEXTBEFORE(Table1[[#This Row],[Location Identifier]],"-"),3) &amp; "-" &amp; _xlfn.TEXTAFTER(Table1[[#This Row],[Location Identifier]],"-")</f>
        <v>FRE-003</v>
      </c>
      <c r="AP964" s="9">
        <f t="shared" ca="1" si="150"/>
        <v>45869</v>
      </c>
    </row>
    <row r="965" spans="1:42" x14ac:dyDescent="0.25">
      <c r="A965">
        <v>49</v>
      </c>
      <c r="B965" t="s">
        <v>26</v>
      </c>
      <c r="C965">
        <v>2</v>
      </c>
      <c r="D965" t="s">
        <v>126</v>
      </c>
      <c r="E965" t="b">
        <v>0</v>
      </c>
      <c r="F965" s="1">
        <v>0.42430555555555555</v>
      </c>
      <c r="G965" s="1">
        <v>0.4777777777777778</v>
      </c>
      <c r="H965">
        <v>77</v>
      </c>
      <c r="I965" t="b">
        <v>1</v>
      </c>
      <c r="J965" t="b">
        <v>1</v>
      </c>
      <c r="K965" t="b">
        <v>0</v>
      </c>
      <c r="L965" t="s">
        <v>62</v>
      </c>
      <c r="M965">
        <v>50</v>
      </c>
      <c r="N965" t="s">
        <v>29</v>
      </c>
      <c r="O965">
        <v>50</v>
      </c>
      <c r="P965" t="s">
        <v>36</v>
      </c>
      <c r="Q965">
        <v>0</v>
      </c>
      <c r="R965">
        <v>50</v>
      </c>
      <c r="S965" t="s">
        <v>31</v>
      </c>
      <c r="T965" t="s">
        <v>56</v>
      </c>
      <c r="U965">
        <v>35.3733</v>
      </c>
      <c r="V965">
        <v>-119.0187</v>
      </c>
      <c r="W965" s="2">
        <v>45523</v>
      </c>
      <c r="X965">
        <v>2</v>
      </c>
      <c r="Y965" t="b">
        <v>1</v>
      </c>
      <c r="Z965" s="2">
        <v>45843</v>
      </c>
      <c r="AA965" t="str">
        <f t="shared" si="151"/>
        <v>40–49</v>
      </c>
      <c r="AB965" t="str">
        <f t="shared" si="152"/>
        <v>40–49</v>
      </c>
      <c r="AC965" t="str">
        <f t="shared" si="153"/>
        <v/>
      </c>
      <c r="AD965" t="str">
        <f t="shared" si="154"/>
        <v>Tuesday</v>
      </c>
      <c r="AE965" t="str">
        <f t="shared" si="155"/>
        <v>Wednesday</v>
      </c>
      <c r="AF965" t="str">
        <f t="shared" si="156"/>
        <v/>
      </c>
      <c r="AG965" t="str">
        <f t="shared" si="157"/>
        <v/>
      </c>
      <c r="AH965" t="str">
        <f t="shared" si="158"/>
        <v/>
      </c>
      <c r="AI965" t="str">
        <f t="shared" si="159"/>
        <v/>
      </c>
      <c r="AJ965" t="str">
        <f>LEFT(Table1[[#This Row],[membership_type]],2)&amp;TEXT(Table1[[#This Row],[age]],"00")&amp;"-"&amp;TEXT(ROW(),"000")</f>
        <v>Pr49-965</v>
      </c>
      <c r="AK965" t="str">
        <f>LEFT(Table1[[#This Row],[membership_type]],1)&amp;TEXT(MATCH(Table1[[#This Row],[membership_type]],Table1[membership_type],0),"00")</f>
        <v>P01</v>
      </c>
      <c r="AL965" t="str">
        <f>LEFT(Table1[[#This Row],[discount_type]],1)&amp;TEXT(ROUND(Table1[[#This Row],[discount_rate]]*100,0),"00")</f>
        <v>N00</v>
      </c>
      <c r="AM965" t="str" cm="1">
        <f t="array" ref="AM965">TEXT(SUMPRODUCT(CODE(MID(Table1[[#This Row],[home_gym_location]],_xlfn.SEQUENCE(LEN(Table1[[#This Row],[home_gym_location]])),1))),"00000")</f>
        <v>01324</v>
      </c>
      <c r="AN96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65" t="str">
        <f>LEFT(_xlfn.TEXTBEFORE(Table1[[#This Row],[Location Identifier]],"-"),3) &amp; "-" &amp; _xlfn.TEXTAFTER(Table1[[#This Row],[Location Identifier]],"-")</f>
        <v>BAK-002</v>
      </c>
      <c r="AP965" s="9">
        <f t="shared" ca="1" si="150"/>
        <v>45869</v>
      </c>
    </row>
    <row r="966" spans="1:42" x14ac:dyDescent="0.25">
      <c r="A966">
        <v>16</v>
      </c>
      <c r="B966" t="s">
        <v>26</v>
      </c>
      <c r="C966">
        <v>3</v>
      </c>
      <c r="D966" t="s">
        <v>60</v>
      </c>
      <c r="E966" t="b">
        <v>1</v>
      </c>
      <c r="F966" s="1">
        <v>0.5625</v>
      </c>
      <c r="G966" s="1">
        <v>0.59722222222222221</v>
      </c>
      <c r="H966">
        <v>50</v>
      </c>
      <c r="I966" t="b">
        <v>1</v>
      </c>
      <c r="J966" t="b">
        <v>0</v>
      </c>
      <c r="K966" t="b">
        <v>1</v>
      </c>
      <c r="L966" t="s">
        <v>62</v>
      </c>
      <c r="M966">
        <v>50</v>
      </c>
      <c r="N966" t="s">
        <v>64</v>
      </c>
      <c r="O966">
        <v>37.5</v>
      </c>
      <c r="P966" t="s">
        <v>36</v>
      </c>
      <c r="Q966">
        <v>0</v>
      </c>
      <c r="R966">
        <v>37.5</v>
      </c>
      <c r="S966" t="s">
        <v>31</v>
      </c>
      <c r="T966" t="s">
        <v>54</v>
      </c>
      <c r="U966">
        <v>32.715699999999998</v>
      </c>
      <c r="V966">
        <v>-117.1611</v>
      </c>
      <c r="W966" s="2">
        <v>45452</v>
      </c>
      <c r="X966">
        <v>0</v>
      </c>
      <c r="Y966" t="b">
        <v>1</v>
      </c>
      <c r="Z966" s="2">
        <v>45839</v>
      </c>
      <c r="AA966" t="str">
        <f t="shared" si="151"/>
        <v>10–19</v>
      </c>
      <c r="AB966" t="str">
        <f t="shared" si="152"/>
        <v>16–19</v>
      </c>
      <c r="AC966" t="str">
        <f t="shared" si="153"/>
        <v/>
      </c>
      <c r="AD966" t="str">
        <f t="shared" si="154"/>
        <v/>
      </c>
      <c r="AE966" t="str">
        <f t="shared" si="155"/>
        <v>Wednesday</v>
      </c>
      <c r="AF966" t="str">
        <f t="shared" si="156"/>
        <v/>
      </c>
      <c r="AG966" t="str">
        <f t="shared" si="157"/>
        <v/>
      </c>
      <c r="AH966" t="str">
        <f t="shared" si="158"/>
        <v>Saturday</v>
      </c>
      <c r="AI966" t="str">
        <f t="shared" si="159"/>
        <v>Sunday</v>
      </c>
      <c r="AJ966" t="str">
        <f>LEFT(Table1[[#This Row],[membership_type]],2)&amp;TEXT(Table1[[#This Row],[age]],"00")&amp;"-"&amp;TEXT(ROW(),"000")</f>
        <v>Pr16-966</v>
      </c>
      <c r="AK966" t="str">
        <f>LEFT(Table1[[#This Row],[membership_type]],1)&amp;TEXT(MATCH(Table1[[#This Row],[membership_type]],Table1[membership_type],0),"00")</f>
        <v>P01</v>
      </c>
      <c r="AL966" t="str">
        <f>LEFT(Table1[[#This Row],[discount_type]],1)&amp;TEXT(ROUND(Table1[[#This Row],[discount_rate]]*100,0),"00")</f>
        <v>N00</v>
      </c>
      <c r="AM966" t="str" cm="1">
        <f t="array" ref="AM966">TEXT(SUMPRODUCT(CODE(MID(Table1[[#This Row],[home_gym_location]],_xlfn.SEQUENCE(LEN(Table1[[#This Row],[home_gym_location]])),1))),"00000")</f>
        <v>01018</v>
      </c>
      <c r="AN96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66" t="str">
        <f>LEFT(_xlfn.TEXTBEFORE(Table1[[#This Row],[Location Identifier]],"-"),3) &amp; "-" &amp; _xlfn.TEXTAFTER(Table1[[#This Row],[Location Identifier]],"-")</f>
        <v>SAN-008</v>
      </c>
      <c r="AP966" s="9">
        <f t="shared" ca="1" si="150"/>
        <v>45869</v>
      </c>
    </row>
    <row r="967" spans="1:42" x14ac:dyDescent="0.25">
      <c r="A967">
        <v>13</v>
      </c>
      <c r="B967" t="s">
        <v>33</v>
      </c>
      <c r="C967">
        <v>3</v>
      </c>
      <c r="D967" t="s">
        <v>149</v>
      </c>
      <c r="E967" t="b">
        <v>1</v>
      </c>
      <c r="F967" s="1">
        <v>0.56736111111111109</v>
      </c>
      <c r="G967" s="1">
        <v>0.58958333333333335</v>
      </c>
      <c r="H967">
        <v>32</v>
      </c>
      <c r="I967" t="b">
        <v>1</v>
      </c>
      <c r="J967" t="b">
        <v>0</v>
      </c>
      <c r="K967" t="b">
        <v>0</v>
      </c>
      <c r="L967" t="s">
        <v>28</v>
      </c>
      <c r="M967">
        <v>30</v>
      </c>
      <c r="N967" t="s">
        <v>64</v>
      </c>
      <c r="O967">
        <v>22.5</v>
      </c>
      <c r="P967" t="s">
        <v>36</v>
      </c>
      <c r="Q967">
        <v>0</v>
      </c>
      <c r="R967">
        <v>22.5</v>
      </c>
      <c r="S967" t="s">
        <v>37</v>
      </c>
      <c r="T967" t="s">
        <v>65</v>
      </c>
      <c r="U967">
        <v>33.770099999999999</v>
      </c>
      <c r="V967">
        <v>-118.19370000000001</v>
      </c>
      <c r="W967" s="2">
        <v>45065</v>
      </c>
      <c r="X967">
        <v>0</v>
      </c>
      <c r="Y967" t="b">
        <v>0</v>
      </c>
      <c r="Z967" s="2">
        <v>45817</v>
      </c>
      <c r="AA967" t="str">
        <f t="shared" si="151"/>
        <v>10–19</v>
      </c>
      <c r="AB967" t="str">
        <f t="shared" si="152"/>
        <v>Under 16</v>
      </c>
      <c r="AC967" t="str">
        <f t="shared" si="153"/>
        <v/>
      </c>
      <c r="AD967" t="str">
        <f t="shared" si="154"/>
        <v/>
      </c>
      <c r="AE967" t="str">
        <f t="shared" si="155"/>
        <v>Wednesday</v>
      </c>
      <c r="AF967" t="str">
        <f t="shared" si="156"/>
        <v/>
      </c>
      <c r="AG967" t="str">
        <f t="shared" si="157"/>
        <v>Friday</v>
      </c>
      <c r="AH967" t="str">
        <f t="shared" si="158"/>
        <v>Saturday</v>
      </c>
      <c r="AI967" t="str">
        <f t="shared" si="159"/>
        <v/>
      </c>
      <c r="AJ967" t="str">
        <f>LEFT(Table1[[#This Row],[membership_type]],2)&amp;TEXT(Table1[[#This Row],[age]],"00")&amp;"-"&amp;TEXT(ROW(),"000")</f>
        <v>St13-967</v>
      </c>
      <c r="AK967" t="str">
        <f>LEFT(Table1[[#This Row],[membership_type]],1)&amp;TEXT(MATCH(Table1[[#This Row],[membership_type]],Table1[membership_type],0),"00")</f>
        <v>S02</v>
      </c>
      <c r="AL967" t="str">
        <f>LEFT(Table1[[#This Row],[discount_type]],1)&amp;TEXT(ROUND(Table1[[#This Row],[discount_rate]]*100,0),"00")</f>
        <v>N00</v>
      </c>
      <c r="AM967" t="str" cm="1">
        <f t="array" ref="AM967">TEXT(SUMPRODUCT(CODE(MID(Table1[[#This Row],[home_gym_location]],_xlfn.SEQUENCE(LEN(Table1[[#This Row],[home_gym_location]])),1))),"00000")</f>
        <v>01107</v>
      </c>
      <c r="AN96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67" t="str">
        <f>LEFT(_xlfn.TEXTBEFORE(Table1[[#This Row],[Location Identifier]],"-"),3) &amp; "-" &amp; _xlfn.TEXTAFTER(Table1[[#This Row],[Location Identifier]],"-")</f>
        <v>LON-004</v>
      </c>
      <c r="AP967" s="9">
        <f t="shared" ca="1" si="150"/>
        <v>45869</v>
      </c>
    </row>
    <row r="968" spans="1:42" x14ac:dyDescent="0.25">
      <c r="A968">
        <v>47</v>
      </c>
      <c r="B968" t="s">
        <v>26</v>
      </c>
      <c r="C968">
        <v>2</v>
      </c>
      <c r="D968" t="s">
        <v>84</v>
      </c>
      <c r="E968" t="b">
        <v>1</v>
      </c>
      <c r="F968" s="1">
        <v>0.63124999999999998</v>
      </c>
      <c r="G968" s="1">
        <v>0.6791666666666667</v>
      </c>
      <c r="H968">
        <v>69</v>
      </c>
      <c r="I968" t="b">
        <v>1</v>
      </c>
      <c r="J968" t="b">
        <v>1</v>
      </c>
      <c r="K968" t="b">
        <v>1</v>
      </c>
      <c r="L968" t="s">
        <v>47</v>
      </c>
      <c r="M968">
        <v>50</v>
      </c>
      <c r="N968" t="s">
        <v>64</v>
      </c>
      <c r="O968">
        <v>37.5</v>
      </c>
      <c r="P968" t="s">
        <v>30</v>
      </c>
      <c r="Q968">
        <v>0.05</v>
      </c>
      <c r="R968">
        <v>35.625</v>
      </c>
      <c r="S968" t="s">
        <v>31</v>
      </c>
      <c r="T968" t="s">
        <v>50</v>
      </c>
      <c r="U968">
        <v>34.052199999999999</v>
      </c>
      <c r="V968">
        <v>-118.2437</v>
      </c>
      <c r="W968" s="2">
        <v>45514</v>
      </c>
      <c r="X968">
        <v>8</v>
      </c>
      <c r="Y968" t="b">
        <v>1</v>
      </c>
      <c r="Z968" s="2">
        <v>45843</v>
      </c>
      <c r="AA968" t="str">
        <f t="shared" si="151"/>
        <v>40–49</v>
      </c>
      <c r="AB968" t="str">
        <f t="shared" si="152"/>
        <v>40–49</v>
      </c>
      <c r="AC968" t="str">
        <f t="shared" si="153"/>
        <v/>
      </c>
      <c r="AD968" t="str">
        <f t="shared" si="154"/>
        <v>Tuesday</v>
      </c>
      <c r="AE968" t="str">
        <f t="shared" si="155"/>
        <v/>
      </c>
      <c r="AF968" t="str">
        <f t="shared" si="156"/>
        <v/>
      </c>
      <c r="AG968" t="str">
        <f t="shared" si="157"/>
        <v/>
      </c>
      <c r="AH968" t="str">
        <f t="shared" si="158"/>
        <v/>
      </c>
      <c r="AI968" t="str">
        <f t="shared" si="159"/>
        <v>Sunday</v>
      </c>
      <c r="AJ968" t="str">
        <f>LEFT(Table1[[#This Row],[membership_type]],2)&amp;TEXT(Table1[[#This Row],[age]],"00")&amp;"-"&amp;TEXT(ROW(),"000")</f>
        <v>Pr47-968</v>
      </c>
      <c r="AK968" t="str">
        <f>LEFT(Table1[[#This Row],[membership_type]],1)&amp;TEXT(MATCH(Table1[[#This Row],[membership_type]],Table1[membership_type],0),"00")</f>
        <v>P01</v>
      </c>
      <c r="AL968" t="str">
        <f>LEFT(Table1[[#This Row],[discount_type]],1)&amp;TEXT(ROUND(Table1[[#This Row],[discount_rate]]*100,0),"00")</f>
        <v>P05</v>
      </c>
      <c r="AM968" t="str" cm="1">
        <f t="array" ref="AM968">TEXT(SUMPRODUCT(CODE(MID(Table1[[#This Row],[home_gym_location]],_xlfn.SEQUENCE(LEN(Table1[[#This Row],[home_gym_location]])),1))),"00000")</f>
        <v>01245</v>
      </c>
      <c r="AN96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68" t="str">
        <f>LEFT(_xlfn.TEXTBEFORE(Table1[[#This Row],[Location Identifier]],"-"),3) &amp; "-" &amp; _xlfn.TEXTAFTER(Table1[[#This Row],[Location Identifier]],"-")</f>
        <v>LOS-005</v>
      </c>
      <c r="AP968" s="9">
        <f t="shared" ca="1" si="150"/>
        <v>45869</v>
      </c>
    </row>
    <row r="969" spans="1:42" x14ac:dyDescent="0.25">
      <c r="A969">
        <v>23</v>
      </c>
      <c r="B969" t="s">
        <v>26</v>
      </c>
      <c r="C969">
        <v>5</v>
      </c>
      <c r="D969" t="s">
        <v>66</v>
      </c>
      <c r="E969" t="b">
        <v>0</v>
      </c>
      <c r="F969" s="1">
        <v>0.68958333333333333</v>
      </c>
      <c r="G969" s="1">
        <v>0.75208333333333333</v>
      </c>
      <c r="H969">
        <v>90</v>
      </c>
      <c r="I969" t="b">
        <v>0</v>
      </c>
      <c r="J969" t="b">
        <v>0</v>
      </c>
      <c r="K969" t="b">
        <v>0</v>
      </c>
      <c r="L969" t="s">
        <v>28</v>
      </c>
      <c r="M969">
        <v>50</v>
      </c>
      <c r="N969" t="s">
        <v>29</v>
      </c>
      <c r="O969">
        <v>50</v>
      </c>
      <c r="P969" t="s">
        <v>30</v>
      </c>
      <c r="Q969">
        <v>0.05</v>
      </c>
      <c r="R969">
        <v>47.5</v>
      </c>
      <c r="S969" t="s">
        <v>31</v>
      </c>
      <c r="T969" t="s">
        <v>65</v>
      </c>
      <c r="U969">
        <v>33.770099999999999</v>
      </c>
      <c r="V969">
        <v>-118.19370000000001</v>
      </c>
      <c r="W969" s="2">
        <v>45227</v>
      </c>
      <c r="X969">
        <v>0</v>
      </c>
      <c r="Y969" t="b">
        <v>1</v>
      </c>
      <c r="Z969" s="2">
        <v>45827</v>
      </c>
      <c r="AA969" t="str">
        <f t="shared" si="151"/>
        <v>20–29</v>
      </c>
      <c r="AB969" t="str">
        <f t="shared" si="152"/>
        <v>20–29</v>
      </c>
      <c r="AC969" t="str">
        <f t="shared" si="153"/>
        <v>Monday</v>
      </c>
      <c r="AD969" t="str">
        <f t="shared" si="154"/>
        <v>Tuesday</v>
      </c>
      <c r="AE969" t="str">
        <f t="shared" si="155"/>
        <v>Wednesday</v>
      </c>
      <c r="AF969" t="str">
        <f t="shared" si="156"/>
        <v/>
      </c>
      <c r="AG969" t="str">
        <f t="shared" si="157"/>
        <v>Friday</v>
      </c>
      <c r="AH969" t="str">
        <f t="shared" si="158"/>
        <v/>
      </c>
      <c r="AI969" t="str">
        <f t="shared" si="159"/>
        <v>Sunday</v>
      </c>
      <c r="AJ969" t="str">
        <f>LEFT(Table1[[#This Row],[membership_type]],2)&amp;TEXT(Table1[[#This Row],[age]],"00")&amp;"-"&amp;TEXT(ROW(),"000")</f>
        <v>Pr23-969</v>
      </c>
      <c r="AK969" t="str">
        <f>LEFT(Table1[[#This Row],[membership_type]],1)&amp;TEXT(MATCH(Table1[[#This Row],[membership_type]],Table1[membership_type],0),"00")</f>
        <v>P01</v>
      </c>
      <c r="AL969" t="str">
        <f>LEFT(Table1[[#This Row],[discount_type]],1)&amp;TEXT(ROUND(Table1[[#This Row],[discount_rate]]*100,0),"00")</f>
        <v>P05</v>
      </c>
      <c r="AM969" t="str" cm="1">
        <f t="array" ref="AM969">TEXT(SUMPRODUCT(CODE(MID(Table1[[#This Row],[home_gym_location]],_xlfn.SEQUENCE(LEN(Table1[[#This Row],[home_gym_location]])),1))),"00000")</f>
        <v>01107</v>
      </c>
      <c r="AN96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969" t="str">
        <f>LEFT(_xlfn.TEXTBEFORE(Table1[[#This Row],[Location Identifier]],"-"),3) &amp; "-" &amp; _xlfn.TEXTAFTER(Table1[[#This Row],[Location Identifier]],"-")</f>
        <v>LON-004</v>
      </c>
      <c r="AP969" s="9">
        <f t="shared" ca="1" si="150"/>
        <v>45869</v>
      </c>
    </row>
    <row r="970" spans="1:42" x14ac:dyDescent="0.25">
      <c r="A970">
        <v>29</v>
      </c>
      <c r="B970" t="s">
        <v>42</v>
      </c>
      <c r="C970">
        <v>4</v>
      </c>
      <c r="D970" t="s">
        <v>98</v>
      </c>
      <c r="E970" t="b">
        <v>1</v>
      </c>
      <c r="F970" s="1">
        <v>0.38263888888888886</v>
      </c>
      <c r="G970" s="1">
        <v>0.45</v>
      </c>
      <c r="H970">
        <v>97</v>
      </c>
      <c r="I970" t="b">
        <v>0</v>
      </c>
      <c r="J970" t="b">
        <v>0</v>
      </c>
      <c r="K970" t="b">
        <v>1</v>
      </c>
      <c r="L970" t="s">
        <v>62</v>
      </c>
      <c r="M970">
        <v>20</v>
      </c>
      <c r="N970" t="s">
        <v>78</v>
      </c>
      <c r="O970">
        <v>18</v>
      </c>
      <c r="P970" t="s">
        <v>36</v>
      </c>
      <c r="Q970">
        <v>0</v>
      </c>
      <c r="R970">
        <v>18</v>
      </c>
      <c r="S970" t="s">
        <v>44</v>
      </c>
      <c r="T970" t="s">
        <v>38</v>
      </c>
      <c r="U970">
        <v>36.7378</v>
      </c>
      <c r="V970">
        <v>-119.7871</v>
      </c>
      <c r="W970" s="2">
        <v>45324</v>
      </c>
      <c r="X970">
        <v>0</v>
      </c>
      <c r="Y970" t="b">
        <v>0</v>
      </c>
      <c r="Z970" s="2">
        <v>45832</v>
      </c>
      <c r="AA970" t="str">
        <f t="shared" si="151"/>
        <v>20–29</v>
      </c>
      <c r="AB970" t="str">
        <f t="shared" si="152"/>
        <v>20–29</v>
      </c>
      <c r="AC970" t="str">
        <f t="shared" si="153"/>
        <v>Monday</v>
      </c>
      <c r="AD970" t="str">
        <f t="shared" si="154"/>
        <v>Tuesday</v>
      </c>
      <c r="AE970" t="str">
        <f t="shared" si="155"/>
        <v>Wednesday</v>
      </c>
      <c r="AF970" t="str">
        <f t="shared" si="156"/>
        <v/>
      </c>
      <c r="AG970" t="str">
        <f t="shared" si="157"/>
        <v/>
      </c>
      <c r="AH970" t="str">
        <f t="shared" si="158"/>
        <v>Saturday</v>
      </c>
      <c r="AI970" t="str">
        <f t="shared" si="159"/>
        <v/>
      </c>
      <c r="AJ970" t="str">
        <f>LEFT(Table1[[#This Row],[membership_type]],2)&amp;TEXT(Table1[[#This Row],[age]],"00")&amp;"-"&amp;TEXT(ROW(),"000")</f>
        <v>Ba29-970</v>
      </c>
      <c r="AK970" t="str">
        <f>LEFT(Table1[[#This Row],[membership_type]],1)&amp;TEXT(MATCH(Table1[[#This Row],[membership_type]],Table1[membership_type],0),"00")</f>
        <v>B04</v>
      </c>
      <c r="AL970" t="str">
        <f>LEFT(Table1[[#This Row],[discount_type]],1)&amp;TEXT(ROUND(Table1[[#This Row],[discount_rate]]*100,0),"00")</f>
        <v>N00</v>
      </c>
      <c r="AM970" t="str" cm="1">
        <f t="array" ref="AM970">TEXT(SUMPRODUCT(CODE(MID(Table1[[#This Row],[home_gym_location]],_xlfn.SEQUENCE(LEN(Table1[[#This Row],[home_gym_location]])),1))),"00000")</f>
        <v>00829</v>
      </c>
      <c r="AN970" t="str">
        <f>UPPER(_xlfn.TEXTBEFORE(Table1[[#This Row],[home_gym_location]],","))&amp;"-"&amp;TEXT(MATCH(Table1[[#This Row],[home_gym_location]],_xlfn._xlws.SORT(_xlfn.UNIQUE(Table1[home_gym_location])),0),"000")</f>
        <v>FRESNO-003</v>
      </c>
      <c r="AO970" t="str">
        <f>LEFT(_xlfn.TEXTBEFORE(Table1[[#This Row],[Location Identifier]],"-"),3) &amp; "-" &amp; _xlfn.TEXTAFTER(Table1[[#This Row],[Location Identifier]],"-")</f>
        <v>FRE-003</v>
      </c>
      <c r="AP970" s="9">
        <f t="shared" ca="1" si="150"/>
        <v>45869</v>
      </c>
    </row>
    <row r="971" spans="1:42" x14ac:dyDescent="0.25">
      <c r="A971">
        <v>49</v>
      </c>
      <c r="B971" t="s">
        <v>51</v>
      </c>
      <c r="C971">
        <v>3</v>
      </c>
      <c r="D971" t="s">
        <v>100</v>
      </c>
      <c r="E971" t="b">
        <v>0</v>
      </c>
      <c r="F971" s="1">
        <v>0.73750000000000004</v>
      </c>
      <c r="G971" s="1">
        <v>0.79166666666666663</v>
      </c>
      <c r="H971">
        <v>78</v>
      </c>
      <c r="I971" t="b">
        <v>1</v>
      </c>
      <c r="J971" t="b">
        <v>1</v>
      </c>
      <c r="K971" t="b">
        <v>1</v>
      </c>
      <c r="L971" t="s">
        <v>62</v>
      </c>
      <c r="M971">
        <v>70</v>
      </c>
      <c r="N971" t="s">
        <v>78</v>
      </c>
      <c r="O971">
        <v>63</v>
      </c>
      <c r="P971" t="s">
        <v>40</v>
      </c>
      <c r="Q971">
        <v>0.1</v>
      </c>
      <c r="R971">
        <v>56.7</v>
      </c>
      <c r="S971" t="s">
        <v>53</v>
      </c>
      <c r="T971" t="s">
        <v>50</v>
      </c>
      <c r="U971">
        <v>34.052199999999999</v>
      </c>
      <c r="V971">
        <v>-118.2437</v>
      </c>
      <c r="W971" s="2">
        <v>45124</v>
      </c>
      <c r="X971">
        <v>8</v>
      </c>
      <c r="Y971" t="b">
        <v>1</v>
      </c>
      <c r="Z971" s="2">
        <v>45821</v>
      </c>
      <c r="AA971" t="str">
        <f t="shared" si="151"/>
        <v>40–49</v>
      </c>
      <c r="AB971" t="str">
        <f t="shared" si="152"/>
        <v>40–49</v>
      </c>
      <c r="AC971" t="str">
        <f t="shared" si="153"/>
        <v/>
      </c>
      <c r="AD971" t="str">
        <f t="shared" si="154"/>
        <v/>
      </c>
      <c r="AE971" t="str">
        <f t="shared" si="155"/>
        <v>Wednesday</v>
      </c>
      <c r="AF971" t="str">
        <f t="shared" si="156"/>
        <v/>
      </c>
      <c r="AG971" t="str">
        <f t="shared" si="157"/>
        <v>Friday</v>
      </c>
      <c r="AH971" t="str">
        <f t="shared" si="158"/>
        <v/>
      </c>
      <c r="AI971" t="str">
        <f t="shared" si="159"/>
        <v>Sunday</v>
      </c>
      <c r="AJ971" t="str">
        <f>LEFT(Table1[[#This Row],[membership_type]],2)&amp;TEXT(Table1[[#This Row],[age]],"00")&amp;"-"&amp;TEXT(ROW(),"000")</f>
        <v>El49-971</v>
      </c>
      <c r="AK971" t="str">
        <f>LEFT(Table1[[#This Row],[membership_type]],1)&amp;TEXT(MATCH(Table1[[#This Row],[membership_type]],Table1[membership_type],0),"00")</f>
        <v>E07</v>
      </c>
      <c r="AL971" t="str">
        <f>LEFT(Table1[[#This Row],[discount_type]],1)&amp;TEXT(ROUND(Table1[[#This Row],[discount_rate]]*100,0),"00")</f>
        <v>L10</v>
      </c>
      <c r="AM971" t="str" cm="1">
        <f t="array" ref="AM971">TEXT(SUMPRODUCT(CODE(MID(Table1[[#This Row],[home_gym_location]],_xlfn.SEQUENCE(LEN(Table1[[#This Row],[home_gym_location]])),1))),"00000")</f>
        <v>01245</v>
      </c>
      <c r="AN97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71" t="str">
        <f>LEFT(_xlfn.TEXTBEFORE(Table1[[#This Row],[Location Identifier]],"-"),3) &amp; "-" &amp; _xlfn.TEXTAFTER(Table1[[#This Row],[Location Identifier]],"-")</f>
        <v>LOS-005</v>
      </c>
      <c r="AP971" s="9">
        <f t="shared" ca="1" si="150"/>
        <v>45869</v>
      </c>
    </row>
    <row r="972" spans="1:42" x14ac:dyDescent="0.25">
      <c r="A972">
        <v>29</v>
      </c>
      <c r="B972" t="s">
        <v>33</v>
      </c>
      <c r="C972">
        <v>3</v>
      </c>
      <c r="D972" t="s">
        <v>100</v>
      </c>
      <c r="E972" t="b">
        <v>0</v>
      </c>
      <c r="F972" s="1">
        <v>0.59444444444444444</v>
      </c>
      <c r="G972" s="1">
        <v>0.71388888888888891</v>
      </c>
      <c r="H972">
        <v>172</v>
      </c>
      <c r="I972" t="b">
        <v>0</v>
      </c>
      <c r="J972" t="b">
        <v>0</v>
      </c>
      <c r="K972" t="b">
        <v>0</v>
      </c>
      <c r="L972" t="s">
        <v>62</v>
      </c>
      <c r="M972">
        <v>30</v>
      </c>
      <c r="N972" t="s">
        <v>29</v>
      </c>
      <c r="O972">
        <v>30</v>
      </c>
      <c r="P972" t="s">
        <v>30</v>
      </c>
      <c r="Q972">
        <v>0.05</v>
      </c>
      <c r="R972">
        <v>28.5</v>
      </c>
      <c r="S972" t="s">
        <v>37</v>
      </c>
      <c r="T972" t="s">
        <v>38</v>
      </c>
      <c r="U972">
        <v>36.7378</v>
      </c>
      <c r="V972">
        <v>-119.7871</v>
      </c>
      <c r="W972" s="2">
        <v>44833</v>
      </c>
      <c r="X972">
        <v>0</v>
      </c>
      <c r="Y972" t="b">
        <v>1</v>
      </c>
      <c r="Z972" s="2">
        <v>45804</v>
      </c>
      <c r="AA972" t="str">
        <f t="shared" si="151"/>
        <v>20–29</v>
      </c>
      <c r="AB972" t="str">
        <f t="shared" si="152"/>
        <v>20–29</v>
      </c>
      <c r="AC972" t="str">
        <f t="shared" si="153"/>
        <v/>
      </c>
      <c r="AD972" t="str">
        <f t="shared" si="154"/>
        <v/>
      </c>
      <c r="AE972" t="str">
        <f t="shared" si="155"/>
        <v>Wednesday</v>
      </c>
      <c r="AF972" t="str">
        <f t="shared" si="156"/>
        <v/>
      </c>
      <c r="AG972" t="str">
        <f t="shared" si="157"/>
        <v>Friday</v>
      </c>
      <c r="AH972" t="str">
        <f t="shared" si="158"/>
        <v/>
      </c>
      <c r="AI972" t="str">
        <f t="shared" si="159"/>
        <v>Sunday</v>
      </c>
      <c r="AJ972" t="str">
        <f>LEFT(Table1[[#This Row],[membership_type]],2)&amp;TEXT(Table1[[#This Row],[age]],"00")&amp;"-"&amp;TEXT(ROW(),"000")</f>
        <v>St29-972</v>
      </c>
      <c r="AK972" t="str">
        <f>LEFT(Table1[[#This Row],[membership_type]],1)&amp;TEXT(MATCH(Table1[[#This Row],[membership_type]],Table1[membership_type],0),"00")</f>
        <v>S02</v>
      </c>
      <c r="AL972" t="str">
        <f>LEFT(Table1[[#This Row],[discount_type]],1)&amp;TEXT(ROUND(Table1[[#This Row],[discount_rate]]*100,0),"00")</f>
        <v>P05</v>
      </c>
      <c r="AM972" t="str" cm="1">
        <f t="array" ref="AM972">TEXT(SUMPRODUCT(CODE(MID(Table1[[#This Row],[home_gym_location]],_xlfn.SEQUENCE(LEN(Table1[[#This Row],[home_gym_location]])),1))),"00000")</f>
        <v>00829</v>
      </c>
      <c r="AN972" t="str">
        <f>UPPER(_xlfn.TEXTBEFORE(Table1[[#This Row],[home_gym_location]],","))&amp;"-"&amp;TEXT(MATCH(Table1[[#This Row],[home_gym_location]],_xlfn._xlws.SORT(_xlfn.UNIQUE(Table1[home_gym_location])),0),"000")</f>
        <v>FRESNO-003</v>
      </c>
      <c r="AO972" t="str">
        <f>LEFT(_xlfn.TEXTBEFORE(Table1[[#This Row],[Location Identifier]],"-"),3) &amp; "-" &amp; _xlfn.TEXTAFTER(Table1[[#This Row],[Location Identifier]],"-")</f>
        <v>FRE-003</v>
      </c>
      <c r="AP972" s="9">
        <f t="shared" ca="1" si="150"/>
        <v>45869</v>
      </c>
    </row>
    <row r="973" spans="1:42" x14ac:dyDescent="0.25">
      <c r="A973">
        <v>21</v>
      </c>
      <c r="B973" t="s">
        <v>26</v>
      </c>
      <c r="C973">
        <v>3</v>
      </c>
      <c r="D973" t="s">
        <v>153</v>
      </c>
      <c r="E973" t="b">
        <v>0</v>
      </c>
      <c r="F973" s="1">
        <v>0.5756944444444444</v>
      </c>
      <c r="G973" s="1">
        <v>0.62152777777777779</v>
      </c>
      <c r="H973">
        <v>66</v>
      </c>
      <c r="I973" t="b">
        <v>0</v>
      </c>
      <c r="J973" t="b">
        <v>1</v>
      </c>
      <c r="K973" t="b">
        <v>1</v>
      </c>
      <c r="L973" t="s">
        <v>28</v>
      </c>
      <c r="M973">
        <v>50</v>
      </c>
      <c r="N973" t="s">
        <v>29</v>
      </c>
      <c r="O973">
        <v>50</v>
      </c>
      <c r="P973" t="s">
        <v>36</v>
      </c>
      <c r="Q973">
        <v>0</v>
      </c>
      <c r="R973">
        <v>50</v>
      </c>
      <c r="S973" t="s">
        <v>31</v>
      </c>
      <c r="T973" t="s">
        <v>45</v>
      </c>
      <c r="U973">
        <v>33.836599999999997</v>
      </c>
      <c r="V973">
        <v>-117.9143</v>
      </c>
      <c r="W973" s="2">
        <v>45050</v>
      </c>
      <c r="X973">
        <v>1</v>
      </c>
      <c r="Y973" t="b">
        <v>1</v>
      </c>
      <c r="Z973" s="2">
        <v>45817</v>
      </c>
      <c r="AA973" t="str">
        <f t="shared" si="151"/>
        <v>20–29</v>
      </c>
      <c r="AB973" t="str">
        <f t="shared" si="152"/>
        <v>20–29</v>
      </c>
      <c r="AC973" t="str">
        <f t="shared" si="153"/>
        <v>Monday</v>
      </c>
      <c r="AD973" t="str">
        <f t="shared" si="154"/>
        <v/>
      </c>
      <c r="AE973" t="str">
        <f t="shared" si="155"/>
        <v>Wednesday</v>
      </c>
      <c r="AF973" t="str">
        <f t="shared" si="156"/>
        <v/>
      </c>
      <c r="AG973" t="str">
        <f t="shared" si="157"/>
        <v/>
      </c>
      <c r="AH973" t="str">
        <f t="shared" si="158"/>
        <v>Saturday</v>
      </c>
      <c r="AI973" t="str">
        <f t="shared" si="159"/>
        <v/>
      </c>
      <c r="AJ973" t="str">
        <f>LEFT(Table1[[#This Row],[membership_type]],2)&amp;TEXT(Table1[[#This Row],[age]],"00")&amp;"-"&amp;TEXT(ROW(),"000")</f>
        <v>Pr21-973</v>
      </c>
      <c r="AK973" t="str">
        <f>LEFT(Table1[[#This Row],[membership_type]],1)&amp;TEXT(MATCH(Table1[[#This Row],[membership_type]],Table1[membership_type],0),"00")</f>
        <v>P01</v>
      </c>
      <c r="AL973" t="str">
        <f>LEFT(Table1[[#This Row],[discount_type]],1)&amp;TEXT(ROUND(Table1[[#This Row],[discount_rate]]*100,0),"00")</f>
        <v>N00</v>
      </c>
      <c r="AM973" t="str" cm="1">
        <f t="array" ref="AM973">TEXT(SUMPRODUCT(CODE(MID(Table1[[#This Row],[home_gym_location]],_xlfn.SEQUENCE(LEN(Table1[[#This Row],[home_gym_location]])),1))),"00000")</f>
        <v>00899</v>
      </c>
      <c r="AN973" t="str">
        <f>UPPER(_xlfn.TEXTBEFORE(Table1[[#This Row],[home_gym_location]],","))&amp;"-"&amp;TEXT(MATCH(Table1[[#This Row],[home_gym_location]],_xlfn._xlws.SORT(_xlfn.UNIQUE(Table1[home_gym_location])),0),"000")</f>
        <v>ANAHEIM-001</v>
      </c>
      <c r="AO973" t="str">
        <f>LEFT(_xlfn.TEXTBEFORE(Table1[[#This Row],[Location Identifier]],"-"),3) &amp; "-" &amp; _xlfn.TEXTAFTER(Table1[[#This Row],[Location Identifier]],"-")</f>
        <v>ANA-001</v>
      </c>
      <c r="AP973" s="9">
        <f t="shared" ca="1" si="150"/>
        <v>45869</v>
      </c>
    </row>
    <row r="974" spans="1:42" x14ac:dyDescent="0.25">
      <c r="A974">
        <v>27</v>
      </c>
      <c r="B974" t="s">
        <v>26</v>
      </c>
      <c r="C974">
        <v>1</v>
      </c>
      <c r="D974" t="s">
        <v>67</v>
      </c>
      <c r="E974" t="b">
        <v>0</v>
      </c>
      <c r="F974" s="1">
        <v>0.59513888888888888</v>
      </c>
      <c r="G974" s="1">
        <v>0.65416666666666667</v>
      </c>
      <c r="H974">
        <v>85</v>
      </c>
      <c r="I974" t="b">
        <v>0</v>
      </c>
      <c r="J974" t="b">
        <v>0</v>
      </c>
      <c r="K974" t="b">
        <v>0</v>
      </c>
      <c r="L974" t="s">
        <v>47</v>
      </c>
      <c r="M974">
        <v>50</v>
      </c>
      <c r="N974" t="s">
        <v>64</v>
      </c>
      <c r="O974">
        <v>37.5</v>
      </c>
      <c r="P974" t="s">
        <v>30</v>
      </c>
      <c r="Q974">
        <v>0.05</v>
      </c>
      <c r="R974">
        <v>35.625</v>
      </c>
      <c r="S974" t="s">
        <v>31</v>
      </c>
      <c r="T974" t="s">
        <v>56</v>
      </c>
      <c r="U974">
        <v>35.3733</v>
      </c>
      <c r="V974">
        <v>-119.0187</v>
      </c>
      <c r="W974" s="2">
        <v>45602</v>
      </c>
      <c r="X974">
        <v>0</v>
      </c>
      <c r="Y974" t="b">
        <v>1</v>
      </c>
      <c r="Z974" s="2">
        <v>45848</v>
      </c>
      <c r="AA974" t="str">
        <f t="shared" si="151"/>
        <v>20–29</v>
      </c>
      <c r="AB974" t="str">
        <f t="shared" si="152"/>
        <v>20–29</v>
      </c>
      <c r="AC974" t="str">
        <f t="shared" si="153"/>
        <v/>
      </c>
      <c r="AD974" t="str">
        <f t="shared" si="154"/>
        <v/>
      </c>
      <c r="AE974" t="str">
        <f t="shared" si="155"/>
        <v/>
      </c>
      <c r="AF974" t="str">
        <f t="shared" si="156"/>
        <v>Thursday</v>
      </c>
      <c r="AG974" t="str">
        <f t="shared" si="157"/>
        <v/>
      </c>
      <c r="AH974" t="str">
        <f t="shared" si="158"/>
        <v/>
      </c>
      <c r="AI974" t="str">
        <f t="shared" si="159"/>
        <v/>
      </c>
      <c r="AJ974" t="str">
        <f>LEFT(Table1[[#This Row],[membership_type]],2)&amp;TEXT(Table1[[#This Row],[age]],"00")&amp;"-"&amp;TEXT(ROW(),"000")</f>
        <v>Pr27-974</v>
      </c>
      <c r="AK974" t="str">
        <f>LEFT(Table1[[#This Row],[membership_type]],1)&amp;TEXT(MATCH(Table1[[#This Row],[membership_type]],Table1[membership_type],0),"00")</f>
        <v>P01</v>
      </c>
      <c r="AL974" t="str">
        <f>LEFT(Table1[[#This Row],[discount_type]],1)&amp;TEXT(ROUND(Table1[[#This Row],[discount_rate]]*100,0),"00")</f>
        <v>P05</v>
      </c>
      <c r="AM974" t="str" cm="1">
        <f t="array" ref="AM974">TEXT(SUMPRODUCT(CODE(MID(Table1[[#This Row],[home_gym_location]],_xlfn.SEQUENCE(LEN(Table1[[#This Row],[home_gym_location]])),1))),"00000")</f>
        <v>01324</v>
      </c>
      <c r="AN97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74" t="str">
        <f>LEFT(_xlfn.TEXTBEFORE(Table1[[#This Row],[Location Identifier]],"-"),3) &amp; "-" &amp; _xlfn.TEXTAFTER(Table1[[#This Row],[Location Identifier]],"-")</f>
        <v>BAK-002</v>
      </c>
      <c r="AP974" s="9">
        <f t="shared" ca="1" si="150"/>
        <v>45869</v>
      </c>
    </row>
    <row r="975" spans="1:42" x14ac:dyDescent="0.25">
      <c r="A975">
        <v>38</v>
      </c>
      <c r="B975" t="s">
        <v>42</v>
      </c>
      <c r="C975">
        <v>1</v>
      </c>
      <c r="D975" t="s">
        <v>71</v>
      </c>
      <c r="E975" t="b">
        <v>0</v>
      </c>
      <c r="F975" s="1">
        <v>0.59166666666666667</v>
      </c>
      <c r="G975" s="1">
        <v>0.62430555555555556</v>
      </c>
      <c r="H975">
        <v>47</v>
      </c>
      <c r="I975" t="b">
        <v>0</v>
      </c>
      <c r="J975" t="b">
        <v>0</v>
      </c>
      <c r="K975" t="b">
        <v>0</v>
      </c>
      <c r="L975" t="s">
        <v>47</v>
      </c>
      <c r="M975">
        <v>20</v>
      </c>
      <c r="N975" t="s">
        <v>29</v>
      </c>
      <c r="O975">
        <v>20</v>
      </c>
      <c r="P975" t="s">
        <v>36</v>
      </c>
      <c r="Q975">
        <v>0</v>
      </c>
      <c r="R975">
        <v>20</v>
      </c>
      <c r="S975" t="s">
        <v>44</v>
      </c>
      <c r="T975" t="s">
        <v>48</v>
      </c>
      <c r="U975">
        <v>38.581600000000002</v>
      </c>
      <c r="V975">
        <v>-121.4944</v>
      </c>
      <c r="W975" s="2">
        <v>45797</v>
      </c>
      <c r="X975">
        <v>0</v>
      </c>
      <c r="Y975" t="b">
        <v>0</v>
      </c>
      <c r="Z975" s="2">
        <v>45859</v>
      </c>
      <c r="AA975" t="str">
        <f t="shared" si="151"/>
        <v>30–39</v>
      </c>
      <c r="AB975" t="str">
        <f t="shared" si="152"/>
        <v>30–39</v>
      </c>
      <c r="AC975" t="str">
        <f t="shared" si="153"/>
        <v/>
      </c>
      <c r="AD975" t="str">
        <f t="shared" si="154"/>
        <v>Tuesday</v>
      </c>
      <c r="AE975" t="str">
        <f t="shared" si="155"/>
        <v/>
      </c>
      <c r="AF975" t="str">
        <f t="shared" si="156"/>
        <v/>
      </c>
      <c r="AG975" t="str">
        <f t="shared" si="157"/>
        <v/>
      </c>
      <c r="AH975" t="str">
        <f t="shared" si="158"/>
        <v/>
      </c>
      <c r="AI975" t="str">
        <f t="shared" si="159"/>
        <v/>
      </c>
      <c r="AJ975" t="str">
        <f>LEFT(Table1[[#This Row],[membership_type]],2)&amp;TEXT(Table1[[#This Row],[age]],"00")&amp;"-"&amp;TEXT(ROW(),"000")</f>
        <v>Ba38-975</v>
      </c>
      <c r="AK975" t="str">
        <f>LEFT(Table1[[#This Row],[membership_type]],1)&amp;TEXT(MATCH(Table1[[#This Row],[membership_type]],Table1[membership_type],0),"00")</f>
        <v>B04</v>
      </c>
      <c r="AL975" t="str">
        <f>LEFT(Table1[[#This Row],[discount_type]],1)&amp;TEXT(ROUND(Table1[[#This Row],[discount_rate]]*100,0),"00")</f>
        <v>N00</v>
      </c>
      <c r="AM975" t="str" cm="1">
        <f t="array" ref="AM975">TEXT(SUMPRODUCT(CODE(MID(Table1[[#This Row],[home_gym_location]],_xlfn.SEQUENCE(LEN(Table1[[#This Row],[home_gym_location]])),1))),"00000")</f>
        <v>01245</v>
      </c>
      <c r="AN97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75" t="str">
        <f>LEFT(_xlfn.TEXTBEFORE(Table1[[#This Row],[Location Identifier]],"-"),3) &amp; "-" &amp; _xlfn.TEXTAFTER(Table1[[#This Row],[Location Identifier]],"-")</f>
        <v>SAC-007</v>
      </c>
      <c r="AP975" s="9">
        <f t="shared" ca="1" si="150"/>
        <v>45869</v>
      </c>
    </row>
    <row r="976" spans="1:42" x14ac:dyDescent="0.25">
      <c r="A976">
        <v>22</v>
      </c>
      <c r="B976" t="s">
        <v>42</v>
      </c>
      <c r="C976">
        <v>3</v>
      </c>
      <c r="D976" t="s">
        <v>134</v>
      </c>
      <c r="E976" t="b">
        <v>1</v>
      </c>
      <c r="F976" s="1">
        <v>0.78541666666666665</v>
      </c>
      <c r="G976" s="1">
        <v>0.88680555555555551</v>
      </c>
      <c r="H976">
        <v>146</v>
      </c>
      <c r="I976" t="b">
        <v>0</v>
      </c>
      <c r="J976" t="b">
        <v>1</v>
      </c>
      <c r="K976" t="b">
        <v>0</v>
      </c>
      <c r="L976" t="s">
        <v>28</v>
      </c>
      <c r="M976">
        <v>20</v>
      </c>
      <c r="N976" t="s">
        <v>29</v>
      </c>
      <c r="O976">
        <v>20</v>
      </c>
      <c r="P976" t="s">
        <v>74</v>
      </c>
      <c r="Q976">
        <v>0.15</v>
      </c>
      <c r="R976">
        <v>17</v>
      </c>
      <c r="S976" t="s">
        <v>44</v>
      </c>
      <c r="T976" t="s">
        <v>50</v>
      </c>
      <c r="U976">
        <v>34.052199999999999</v>
      </c>
      <c r="V976">
        <v>-118.2437</v>
      </c>
      <c r="W976" s="2">
        <v>45551</v>
      </c>
      <c r="X976">
        <v>8</v>
      </c>
      <c r="Y976" t="b">
        <v>0</v>
      </c>
      <c r="Z976" s="2">
        <v>45845</v>
      </c>
      <c r="AA976" t="str">
        <f t="shared" si="151"/>
        <v>20–29</v>
      </c>
      <c r="AB976" t="str">
        <f t="shared" si="152"/>
        <v>20–29</v>
      </c>
      <c r="AC976" t="str">
        <f t="shared" si="153"/>
        <v/>
      </c>
      <c r="AD976" t="str">
        <f t="shared" si="154"/>
        <v>Tuesday</v>
      </c>
      <c r="AE976" t="str">
        <f t="shared" si="155"/>
        <v/>
      </c>
      <c r="AF976" t="str">
        <f t="shared" si="156"/>
        <v>Thursday</v>
      </c>
      <c r="AG976" t="str">
        <f t="shared" si="157"/>
        <v/>
      </c>
      <c r="AH976" t="str">
        <f t="shared" si="158"/>
        <v>Saturday</v>
      </c>
      <c r="AI976" t="str">
        <f t="shared" si="159"/>
        <v/>
      </c>
      <c r="AJ976" t="str">
        <f>LEFT(Table1[[#This Row],[membership_type]],2)&amp;TEXT(Table1[[#This Row],[age]],"00")&amp;"-"&amp;TEXT(ROW(),"000")</f>
        <v>Ba22-976</v>
      </c>
      <c r="AK976" t="str">
        <f>LEFT(Table1[[#This Row],[membership_type]],1)&amp;TEXT(MATCH(Table1[[#This Row],[membership_type]],Table1[membership_type],0),"00")</f>
        <v>B04</v>
      </c>
      <c r="AL976" t="str">
        <f>LEFT(Table1[[#This Row],[discount_type]],1)&amp;TEXT(ROUND(Table1[[#This Row],[discount_rate]]*100,0),"00")</f>
        <v>S15</v>
      </c>
      <c r="AM976" t="str" cm="1">
        <f t="array" ref="AM976">TEXT(SUMPRODUCT(CODE(MID(Table1[[#This Row],[home_gym_location]],_xlfn.SEQUENCE(LEN(Table1[[#This Row],[home_gym_location]])),1))),"00000")</f>
        <v>01245</v>
      </c>
      <c r="AN97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76" t="str">
        <f>LEFT(_xlfn.TEXTBEFORE(Table1[[#This Row],[Location Identifier]],"-"),3) &amp; "-" &amp; _xlfn.TEXTAFTER(Table1[[#This Row],[Location Identifier]],"-")</f>
        <v>LOS-005</v>
      </c>
      <c r="AP976" s="9">
        <f t="shared" ca="1" si="150"/>
        <v>45869</v>
      </c>
    </row>
    <row r="977" spans="1:42" x14ac:dyDescent="0.25">
      <c r="A977">
        <v>30</v>
      </c>
      <c r="B977" t="s">
        <v>42</v>
      </c>
      <c r="C977">
        <v>2</v>
      </c>
      <c r="D977" t="s">
        <v>46</v>
      </c>
      <c r="E977" t="b">
        <v>1</v>
      </c>
      <c r="F977" s="1">
        <v>0.59652777777777777</v>
      </c>
      <c r="G977" s="1">
        <v>0.6791666666666667</v>
      </c>
      <c r="H977">
        <v>119</v>
      </c>
      <c r="I977" t="b">
        <v>1</v>
      </c>
      <c r="J977" t="b">
        <v>1</v>
      </c>
      <c r="K977" t="b">
        <v>0</v>
      </c>
      <c r="L977" t="s">
        <v>28</v>
      </c>
      <c r="M977">
        <v>20</v>
      </c>
      <c r="N977" t="s">
        <v>64</v>
      </c>
      <c r="O977">
        <v>15</v>
      </c>
      <c r="P977" t="s">
        <v>36</v>
      </c>
      <c r="Q977">
        <v>0</v>
      </c>
      <c r="R977">
        <v>15</v>
      </c>
      <c r="S977" t="s">
        <v>44</v>
      </c>
      <c r="T977" t="s">
        <v>56</v>
      </c>
      <c r="U977">
        <v>35.3733</v>
      </c>
      <c r="V977">
        <v>-119.0187</v>
      </c>
      <c r="W977" s="2">
        <v>45197</v>
      </c>
      <c r="X977">
        <v>5</v>
      </c>
      <c r="Y977" t="b">
        <v>0</v>
      </c>
      <c r="Z977" s="2">
        <v>45825</v>
      </c>
      <c r="AA977" t="str">
        <f t="shared" si="151"/>
        <v>30–39</v>
      </c>
      <c r="AB977" t="str">
        <f t="shared" si="152"/>
        <v>30–39</v>
      </c>
      <c r="AC977" t="str">
        <f t="shared" si="153"/>
        <v/>
      </c>
      <c r="AD977" t="str">
        <f t="shared" si="154"/>
        <v/>
      </c>
      <c r="AE977" t="str">
        <f t="shared" si="155"/>
        <v>Wednesday</v>
      </c>
      <c r="AF977" t="str">
        <f t="shared" si="156"/>
        <v/>
      </c>
      <c r="AG977" t="str">
        <f t="shared" si="157"/>
        <v/>
      </c>
      <c r="AH977" t="str">
        <f t="shared" si="158"/>
        <v/>
      </c>
      <c r="AI977" t="str">
        <f t="shared" si="159"/>
        <v>Sunday</v>
      </c>
      <c r="AJ977" t="str">
        <f>LEFT(Table1[[#This Row],[membership_type]],2)&amp;TEXT(Table1[[#This Row],[age]],"00")&amp;"-"&amp;TEXT(ROW(),"000")</f>
        <v>Ba30-977</v>
      </c>
      <c r="AK977" t="str">
        <f>LEFT(Table1[[#This Row],[membership_type]],1)&amp;TEXT(MATCH(Table1[[#This Row],[membership_type]],Table1[membership_type],0),"00")</f>
        <v>B04</v>
      </c>
      <c r="AL977" t="str">
        <f>LEFT(Table1[[#This Row],[discount_type]],1)&amp;TEXT(ROUND(Table1[[#This Row],[discount_rate]]*100,0),"00")</f>
        <v>N00</v>
      </c>
      <c r="AM977" t="str" cm="1">
        <f t="array" ref="AM977">TEXT(SUMPRODUCT(CODE(MID(Table1[[#This Row],[home_gym_location]],_xlfn.SEQUENCE(LEN(Table1[[#This Row],[home_gym_location]])),1))),"00000")</f>
        <v>01324</v>
      </c>
      <c r="AN97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77" t="str">
        <f>LEFT(_xlfn.TEXTBEFORE(Table1[[#This Row],[Location Identifier]],"-"),3) &amp; "-" &amp; _xlfn.TEXTAFTER(Table1[[#This Row],[Location Identifier]],"-")</f>
        <v>BAK-002</v>
      </c>
      <c r="AP977" s="9">
        <f t="shared" ca="1" si="150"/>
        <v>45869</v>
      </c>
    </row>
    <row r="978" spans="1:42" x14ac:dyDescent="0.25">
      <c r="A978">
        <v>25</v>
      </c>
      <c r="B978" t="s">
        <v>33</v>
      </c>
      <c r="C978">
        <v>2</v>
      </c>
      <c r="D978" t="s">
        <v>70</v>
      </c>
      <c r="E978" t="b">
        <v>0</v>
      </c>
      <c r="F978" s="1">
        <v>0.44305555555555554</v>
      </c>
      <c r="G978" s="1">
        <v>0.52222222222222225</v>
      </c>
      <c r="H978">
        <v>114</v>
      </c>
      <c r="I978" t="b">
        <v>1</v>
      </c>
      <c r="J978" t="b">
        <v>1</v>
      </c>
      <c r="K978" t="b">
        <v>0</v>
      </c>
      <c r="L978" t="s">
        <v>35</v>
      </c>
      <c r="M978">
        <v>30</v>
      </c>
      <c r="N978" t="s">
        <v>64</v>
      </c>
      <c r="O978">
        <v>22.5</v>
      </c>
      <c r="P978" t="s">
        <v>30</v>
      </c>
      <c r="Q978">
        <v>0.05</v>
      </c>
      <c r="R978">
        <v>21.375</v>
      </c>
      <c r="S978" t="s">
        <v>37</v>
      </c>
      <c r="T978" t="s">
        <v>48</v>
      </c>
      <c r="U978">
        <v>38.581600000000002</v>
      </c>
      <c r="V978">
        <v>-121.4944</v>
      </c>
      <c r="W978" s="2">
        <v>45776</v>
      </c>
      <c r="X978">
        <v>7</v>
      </c>
      <c r="Y978" t="b">
        <v>0</v>
      </c>
      <c r="Z978" s="2">
        <v>45857</v>
      </c>
      <c r="AA978" t="str">
        <f t="shared" si="151"/>
        <v>20–29</v>
      </c>
      <c r="AB978" t="str">
        <f t="shared" si="152"/>
        <v>20–29</v>
      </c>
      <c r="AC978" t="str">
        <f t="shared" si="153"/>
        <v/>
      </c>
      <c r="AD978" t="str">
        <f t="shared" si="154"/>
        <v/>
      </c>
      <c r="AE978" t="str">
        <f t="shared" si="155"/>
        <v>Wednesday</v>
      </c>
      <c r="AF978" t="str">
        <f t="shared" si="156"/>
        <v>Thursday</v>
      </c>
      <c r="AG978" t="str">
        <f t="shared" si="157"/>
        <v/>
      </c>
      <c r="AH978" t="str">
        <f t="shared" si="158"/>
        <v/>
      </c>
      <c r="AI978" t="str">
        <f t="shared" si="159"/>
        <v/>
      </c>
      <c r="AJ978" t="str">
        <f>LEFT(Table1[[#This Row],[membership_type]],2)&amp;TEXT(Table1[[#This Row],[age]],"00")&amp;"-"&amp;TEXT(ROW(),"000")</f>
        <v>St25-978</v>
      </c>
      <c r="AK978" t="str">
        <f>LEFT(Table1[[#This Row],[membership_type]],1)&amp;TEXT(MATCH(Table1[[#This Row],[membership_type]],Table1[membership_type],0),"00")</f>
        <v>S02</v>
      </c>
      <c r="AL978" t="str">
        <f>LEFT(Table1[[#This Row],[discount_type]],1)&amp;TEXT(ROUND(Table1[[#This Row],[discount_rate]]*100,0),"00")</f>
        <v>P05</v>
      </c>
      <c r="AM978" t="str" cm="1">
        <f t="array" ref="AM978">TEXT(SUMPRODUCT(CODE(MID(Table1[[#This Row],[home_gym_location]],_xlfn.SEQUENCE(LEN(Table1[[#This Row],[home_gym_location]])),1))),"00000")</f>
        <v>01245</v>
      </c>
      <c r="AN97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78" t="str">
        <f>LEFT(_xlfn.TEXTBEFORE(Table1[[#This Row],[Location Identifier]],"-"),3) &amp; "-" &amp; _xlfn.TEXTAFTER(Table1[[#This Row],[Location Identifier]],"-")</f>
        <v>SAC-007</v>
      </c>
      <c r="AP978" s="9">
        <f t="shared" ca="1" si="150"/>
        <v>45869</v>
      </c>
    </row>
    <row r="979" spans="1:42" x14ac:dyDescent="0.25">
      <c r="A979">
        <v>35</v>
      </c>
      <c r="B979" t="s">
        <v>33</v>
      </c>
      <c r="C979">
        <v>1</v>
      </c>
      <c r="D979" t="s">
        <v>71</v>
      </c>
      <c r="E979" t="b">
        <v>0</v>
      </c>
      <c r="F979" s="1">
        <v>0.67986111111111114</v>
      </c>
      <c r="G979" s="1">
        <v>0.80069444444444449</v>
      </c>
      <c r="H979">
        <v>174</v>
      </c>
      <c r="I979" t="b">
        <v>1</v>
      </c>
      <c r="J979" t="b">
        <v>0</v>
      </c>
      <c r="K979" t="b">
        <v>0</v>
      </c>
      <c r="L979" t="s">
        <v>62</v>
      </c>
      <c r="M979">
        <v>30</v>
      </c>
      <c r="N979" t="s">
        <v>29</v>
      </c>
      <c r="O979">
        <v>30</v>
      </c>
      <c r="P979" t="s">
        <v>30</v>
      </c>
      <c r="Q979">
        <v>0.05</v>
      </c>
      <c r="R979">
        <v>28.5</v>
      </c>
      <c r="S979" t="s">
        <v>37</v>
      </c>
      <c r="T979" t="s">
        <v>41</v>
      </c>
      <c r="U979">
        <v>37.804400000000001</v>
      </c>
      <c r="V979">
        <v>-122.27119999999999</v>
      </c>
      <c r="W979" s="2">
        <v>45302</v>
      </c>
      <c r="X979">
        <v>0</v>
      </c>
      <c r="Y979" t="b">
        <v>1</v>
      </c>
      <c r="Z979" s="2">
        <v>45831</v>
      </c>
      <c r="AA979" t="str">
        <f t="shared" si="151"/>
        <v>30–39</v>
      </c>
      <c r="AB979" t="str">
        <f t="shared" si="152"/>
        <v>30–39</v>
      </c>
      <c r="AC979" t="str">
        <f t="shared" si="153"/>
        <v/>
      </c>
      <c r="AD979" t="str">
        <f t="shared" si="154"/>
        <v>Tuesday</v>
      </c>
      <c r="AE979" t="str">
        <f t="shared" si="155"/>
        <v/>
      </c>
      <c r="AF979" t="str">
        <f t="shared" si="156"/>
        <v/>
      </c>
      <c r="AG979" t="str">
        <f t="shared" si="157"/>
        <v/>
      </c>
      <c r="AH979" t="str">
        <f t="shared" si="158"/>
        <v/>
      </c>
      <c r="AI979" t="str">
        <f t="shared" si="159"/>
        <v/>
      </c>
      <c r="AJ979" t="str">
        <f>LEFT(Table1[[#This Row],[membership_type]],2)&amp;TEXT(Table1[[#This Row],[age]],"00")&amp;"-"&amp;TEXT(ROW(),"000")</f>
        <v>St35-979</v>
      </c>
      <c r="AK979" t="str">
        <f>LEFT(Table1[[#This Row],[membership_type]],1)&amp;TEXT(MATCH(Table1[[#This Row],[membership_type]],Table1[membership_type],0),"00")</f>
        <v>S02</v>
      </c>
      <c r="AL979" t="str">
        <f>LEFT(Table1[[#This Row],[discount_type]],1)&amp;TEXT(ROUND(Table1[[#This Row],[discount_rate]]*100,0),"00")</f>
        <v>P05</v>
      </c>
      <c r="AM979" t="str" cm="1">
        <f t="array" ref="AM979">TEXT(SUMPRODUCT(CODE(MID(Table1[[#This Row],[home_gym_location]],_xlfn.SEQUENCE(LEN(Table1[[#This Row],[home_gym_location]])),1))),"00000")</f>
        <v>00906</v>
      </c>
      <c r="AN979" t="str">
        <f>UPPER(_xlfn.TEXTBEFORE(Table1[[#This Row],[home_gym_location]],","))&amp;"-"&amp;TEXT(MATCH(Table1[[#This Row],[home_gym_location]],_xlfn._xlws.SORT(_xlfn.UNIQUE(Table1[home_gym_location])),0),"000")</f>
        <v>OAKLAND-006</v>
      </c>
      <c r="AO979" t="str">
        <f>LEFT(_xlfn.TEXTBEFORE(Table1[[#This Row],[Location Identifier]],"-"),3) &amp; "-" &amp; _xlfn.TEXTAFTER(Table1[[#This Row],[Location Identifier]],"-")</f>
        <v>OAK-006</v>
      </c>
      <c r="AP979" s="9">
        <f t="shared" ca="1" si="150"/>
        <v>45869</v>
      </c>
    </row>
    <row r="980" spans="1:42" x14ac:dyDescent="0.25">
      <c r="A980">
        <v>16</v>
      </c>
      <c r="B980" t="s">
        <v>26</v>
      </c>
      <c r="C980">
        <v>3</v>
      </c>
      <c r="D980" t="s">
        <v>121</v>
      </c>
      <c r="E980" t="b">
        <v>0</v>
      </c>
      <c r="F980" s="1">
        <v>0.6694444444444444</v>
      </c>
      <c r="G980" s="1">
        <v>0.74375000000000002</v>
      </c>
      <c r="H980">
        <v>107</v>
      </c>
      <c r="I980" t="b">
        <v>1</v>
      </c>
      <c r="J980" t="b">
        <v>1</v>
      </c>
      <c r="K980" t="b">
        <v>1</v>
      </c>
      <c r="L980" t="s">
        <v>28</v>
      </c>
      <c r="M980">
        <v>50</v>
      </c>
      <c r="N980" t="s">
        <v>64</v>
      </c>
      <c r="O980">
        <v>37.5</v>
      </c>
      <c r="P980" t="s">
        <v>36</v>
      </c>
      <c r="Q980">
        <v>0</v>
      </c>
      <c r="R980">
        <v>37.5</v>
      </c>
      <c r="S980" t="s">
        <v>31</v>
      </c>
      <c r="T980" t="s">
        <v>32</v>
      </c>
      <c r="U980">
        <v>37.338200000000001</v>
      </c>
      <c r="V980">
        <v>-121.88630000000001</v>
      </c>
      <c r="W980" s="2">
        <v>45195</v>
      </c>
      <c r="X980">
        <v>7</v>
      </c>
      <c r="Y980" t="b">
        <v>0</v>
      </c>
      <c r="Z980" s="2">
        <v>45825</v>
      </c>
      <c r="AA980" t="str">
        <f t="shared" si="151"/>
        <v>10–19</v>
      </c>
      <c r="AB980" t="str">
        <f t="shared" si="152"/>
        <v>16–19</v>
      </c>
      <c r="AC980" t="str">
        <f t="shared" si="153"/>
        <v>Monday</v>
      </c>
      <c r="AD980" t="str">
        <f t="shared" si="154"/>
        <v>Tuesday</v>
      </c>
      <c r="AE980" t="str">
        <f t="shared" si="155"/>
        <v/>
      </c>
      <c r="AF980" t="str">
        <f t="shared" si="156"/>
        <v/>
      </c>
      <c r="AG980" t="str">
        <f t="shared" si="157"/>
        <v/>
      </c>
      <c r="AH980" t="str">
        <f t="shared" si="158"/>
        <v/>
      </c>
      <c r="AI980" t="str">
        <f t="shared" si="159"/>
        <v>Sunday</v>
      </c>
      <c r="AJ980" t="str">
        <f>LEFT(Table1[[#This Row],[membership_type]],2)&amp;TEXT(Table1[[#This Row],[age]],"00")&amp;"-"&amp;TEXT(ROW(),"000")</f>
        <v>Pr16-980</v>
      </c>
      <c r="AK980" t="str">
        <f>LEFT(Table1[[#This Row],[membership_type]],1)&amp;TEXT(MATCH(Table1[[#This Row],[membership_type]],Table1[membership_type],0),"00")</f>
        <v>P01</v>
      </c>
      <c r="AL980" t="str">
        <f>LEFT(Table1[[#This Row],[discount_type]],1)&amp;TEXT(ROUND(Table1[[#This Row],[discount_rate]]*100,0),"00")</f>
        <v>N00</v>
      </c>
      <c r="AM980" t="str" cm="1">
        <f t="array" ref="AM980">TEXT(SUMPRODUCT(CODE(MID(Table1[[#This Row],[home_gym_location]],_xlfn.SEQUENCE(LEN(Table1[[#This Row],[home_gym_location]])),1))),"00000")</f>
        <v>00931</v>
      </c>
      <c r="AN98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980" t="str">
        <f>LEFT(_xlfn.TEXTBEFORE(Table1[[#This Row],[Location Identifier]],"-"),3) &amp; "-" &amp; _xlfn.TEXTAFTER(Table1[[#This Row],[Location Identifier]],"-")</f>
        <v>SAN-010</v>
      </c>
      <c r="AP980" s="9">
        <f t="shared" ca="1" si="150"/>
        <v>45869</v>
      </c>
    </row>
    <row r="981" spans="1:42" x14ac:dyDescent="0.25">
      <c r="A981">
        <v>18</v>
      </c>
      <c r="B981" t="s">
        <v>26</v>
      </c>
      <c r="C981">
        <v>3</v>
      </c>
      <c r="D981" t="s">
        <v>124</v>
      </c>
      <c r="E981" t="b">
        <v>1</v>
      </c>
      <c r="F981" s="1">
        <v>0.48680555555555555</v>
      </c>
      <c r="G981" s="1">
        <v>0.54722222222222228</v>
      </c>
      <c r="H981">
        <v>87</v>
      </c>
      <c r="I981" t="b">
        <v>0</v>
      </c>
      <c r="J981" t="b">
        <v>0</v>
      </c>
      <c r="K981" t="b">
        <v>0</v>
      </c>
      <c r="L981" t="s">
        <v>28</v>
      </c>
      <c r="M981">
        <v>50</v>
      </c>
      <c r="N981" t="s">
        <v>64</v>
      </c>
      <c r="O981">
        <v>37.5</v>
      </c>
      <c r="P981" t="s">
        <v>74</v>
      </c>
      <c r="Q981">
        <v>0.15</v>
      </c>
      <c r="R981">
        <v>31.875</v>
      </c>
      <c r="S981" t="s">
        <v>31</v>
      </c>
      <c r="T981" t="s">
        <v>41</v>
      </c>
      <c r="U981">
        <v>37.804400000000001</v>
      </c>
      <c r="V981">
        <v>-122.27119999999999</v>
      </c>
      <c r="W981" s="2">
        <v>45475</v>
      </c>
      <c r="X981">
        <v>0</v>
      </c>
      <c r="Y981" t="b">
        <v>0</v>
      </c>
      <c r="Z981" s="2">
        <v>45840</v>
      </c>
      <c r="AA981" t="str">
        <f t="shared" si="151"/>
        <v>10–19</v>
      </c>
      <c r="AB981" t="str">
        <f t="shared" si="152"/>
        <v>16–19</v>
      </c>
      <c r="AC981" t="str">
        <f t="shared" si="153"/>
        <v>Monday</v>
      </c>
      <c r="AD981" t="str">
        <f t="shared" si="154"/>
        <v/>
      </c>
      <c r="AE981" t="str">
        <f t="shared" si="155"/>
        <v/>
      </c>
      <c r="AF981" t="str">
        <f t="shared" si="156"/>
        <v>Thursday</v>
      </c>
      <c r="AG981" t="str">
        <f t="shared" si="157"/>
        <v>Friday</v>
      </c>
      <c r="AH981" t="str">
        <f t="shared" si="158"/>
        <v/>
      </c>
      <c r="AI981" t="str">
        <f t="shared" si="159"/>
        <v/>
      </c>
      <c r="AJ981" t="str">
        <f>LEFT(Table1[[#This Row],[membership_type]],2)&amp;TEXT(Table1[[#This Row],[age]],"00")&amp;"-"&amp;TEXT(ROW(),"000")</f>
        <v>Pr18-981</v>
      </c>
      <c r="AK981" t="str">
        <f>LEFT(Table1[[#This Row],[membership_type]],1)&amp;TEXT(MATCH(Table1[[#This Row],[membership_type]],Table1[membership_type],0),"00")</f>
        <v>P01</v>
      </c>
      <c r="AL981" t="str">
        <f>LEFT(Table1[[#This Row],[discount_type]],1)&amp;TEXT(ROUND(Table1[[#This Row],[discount_rate]]*100,0),"00")</f>
        <v>S15</v>
      </c>
      <c r="AM981" t="str" cm="1">
        <f t="array" ref="AM981">TEXT(SUMPRODUCT(CODE(MID(Table1[[#This Row],[home_gym_location]],_xlfn.SEQUENCE(LEN(Table1[[#This Row],[home_gym_location]])),1))),"00000")</f>
        <v>00906</v>
      </c>
      <c r="AN981" t="str">
        <f>UPPER(_xlfn.TEXTBEFORE(Table1[[#This Row],[home_gym_location]],","))&amp;"-"&amp;TEXT(MATCH(Table1[[#This Row],[home_gym_location]],_xlfn._xlws.SORT(_xlfn.UNIQUE(Table1[home_gym_location])),0),"000")</f>
        <v>OAKLAND-006</v>
      </c>
      <c r="AO981" t="str">
        <f>LEFT(_xlfn.TEXTBEFORE(Table1[[#This Row],[Location Identifier]],"-"),3) &amp; "-" &amp; _xlfn.TEXTAFTER(Table1[[#This Row],[Location Identifier]],"-")</f>
        <v>OAK-006</v>
      </c>
      <c r="AP981" s="9">
        <f t="shared" ca="1" si="150"/>
        <v>45869</v>
      </c>
    </row>
    <row r="982" spans="1:42" x14ac:dyDescent="0.25">
      <c r="A982">
        <v>36</v>
      </c>
      <c r="B982" t="s">
        <v>26</v>
      </c>
      <c r="C982">
        <v>1</v>
      </c>
      <c r="D982" t="s">
        <v>95</v>
      </c>
      <c r="E982" t="b">
        <v>1</v>
      </c>
      <c r="F982" s="1">
        <v>0.49722222222222223</v>
      </c>
      <c r="G982" s="1">
        <v>0.54027777777777775</v>
      </c>
      <c r="H982">
        <v>62</v>
      </c>
      <c r="I982" t="b">
        <v>1</v>
      </c>
      <c r="J982" t="b">
        <v>1</v>
      </c>
      <c r="K982" t="b">
        <v>1</v>
      </c>
      <c r="L982" t="s">
        <v>62</v>
      </c>
      <c r="M982">
        <v>50</v>
      </c>
      <c r="N982" t="s">
        <v>29</v>
      </c>
      <c r="O982">
        <v>50</v>
      </c>
      <c r="P982" t="s">
        <v>36</v>
      </c>
      <c r="Q982">
        <v>0</v>
      </c>
      <c r="R982">
        <v>50</v>
      </c>
      <c r="S982" t="s">
        <v>31</v>
      </c>
      <c r="T982" t="s">
        <v>54</v>
      </c>
      <c r="U982">
        <v>32.715699999999998</v>
      </c>
      <c r="V982">
        <v>-117.1611</v>
      </c>
      <c r="W982" s="2">
        <v>45009</v>
      </c>
      <c r="X982">
        <v>8</v>
      </c>
      <c r="Y982" t="b">
        <v>1</v>
      </c>
      <c r="Z982" s="2">
        <v>45814</v>
      </c>
      <c r="AA982" t="str">
        <f t="shared" si="151"/>
        <v>30–39</v>
      </c>
      <c r="AB982" t="str">
        <f t="shared" si="152"/>
        <v>30–39</v>
      </c>
      <c r="AC982" t="str">
        <f t="shared" si="153"/>
        <v/>
      </c>
      <c r="AD982" t="str">
        <f t="shared" si="154"/>
        <v/>
      </c>
      <c r="AE982" t="str">
        <f t="shared" si="155"/>
        <v/>
      </c>
      <c r="AF982" t="str">
        <f t="shared" si="156"/>
        <v/>
      </c>
      <c r="AG982" t="str">
        <f t="shared" si="157"/>
        <v/>
      </c>
      <c r="AH982" t="str">
        <f t="shared" si="158"/>
        <v>Saturday</v>
      </c>
      <c r="AI982" t="str">
        <f t="shared" si="159"/>
        <v/>
      </c>
      <c r="AJ982" t="str">
        <f>LEFT(Table1[[#This Row],[membership_type]],2)&amp;TEXT(Table1[[#This Row],[age]],"00")&amp;"-"&amp;TEXT(ROW(),"000")</f>
        <v>Pr36-982</v>
      </c>
      <c r="AK982" t="str">
        <f>LEFT(Table1[[#This Row],[membership_type]],1)&amp;TEXT(MATCH(Table1[[#This Row],[membership_type]],Table1[membership_type],0),"00")</f>
        <v>P01</v>
      </c>
      <c r="AL982" t="str">
        <f>LEFT(Table1[[#This Row],[discount_type]],1)&amp;TEXT(ROUND(Table1[[#This Row],[discount_rate]]*100,0),"00")</f>
        <v>N00</v>
      </c>
      <c r="AM982" t="str" cm="1">
        <f t="array" ref="AM982">TEXT(SUMPRODUCT(CODE(MID(Table1[[#This Row],[home_gym_location]],_xlfn.SEQUENCE(LEN(Table1[[#This Row],[home_gym_location]])),1))),"00000")</f>
        <v>01018</v>
      </c>
      <c r="AN98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82" t="str">
        <f>LEFT(_xlfn.TEXTBEFORE(Table1[[#This Row],[Location Identifier]],"-"),3) &amp; "-" &amp; _xlfn.TEXTAFTER(Table1[[#This Row],[Location Identifier]],"-")</f>
        <v>SAN-008</v>
      </c>
      <c r="AP982" s="9">
        <f t="shared" ca="1" si="150"/>
        <v>45869</v>
      </c>
    </row>
    <row r="983" spans="1:42" x14ac:dyDescent="0.25">
      <c r="A983">
        <v>30</v>
      </c>
      <c r="B983" t="s">
        <v>26</v>
      </c>
      <c r="C983">
        <v>3</v>
      </c>
      <c r="D983" t="s">
        <v>60</v>
      </c>
      <c r="E983" t="b">
        <v>1</v>
      </c>
      <c r="F983" s="1">
        <v>0.73819444444444449</v>
      </c>
      <c r="G983" s="1">
        <v>0.76597222222222228</v>
      </c>
      <c r="H983">
        <v>40</v>
      </c>
      <c r="I983" t="b">
        <v>0</v>
      </c>
      <c r="J983" t="b">
        <v>0</v>
      </c>
      <c r="K983" t="b">
        <v>0</v>
      </c>
      <c r="L983" t="s">
        <v>28</v>
      </c>
      <c r="M983">
        <v>50</v>
      </c>
      <c r="N983" t="s">
        <v>29</v>
      </c>
      <c r="O983">
        <v>50</v>
      </c>
      <c r="P983" t="s">
        <v>74</v>
      </c>
      <c r="Q983">
        <v>0.15</v>
      </c>
      <c r="R983">
        <v>42.5</v>
      </c>
      <c r="S983" t="s">
        <v>31</v>
      </c>
      <c r="T983" t="s">
        <v>38</v>
      </c>
      <c r="U983">
        <v>36.7378</v>
      </c>
      <c r="V983">
        <v>-119.7871</v>
      </c>
      <c r="W983" s="2">
        <v>45717</v>
      </c>
      <c r="X983">
        <v>0</v>
      </c>
      <c r="Y983" t="b">
        <v>1</v>
      </c>
      <c r="Z983" s="2">
        <v>45854</v>
      </c>
      <c r="AA983" t="str">
        <f t="shared" si="151"/>
        <v>30–39</v>
      </c>
      <c r="AB983" t="str">
        <f t="shared" si="152"/>
        <v>30–39</v>
      </c>
      <c r="AC983" t="str">
        <f t="shared" si="153"/>
        <v/>
      </c>
      <c r="AD983" t="str">
        <f t="shared" si="154"/>
        <v/>
      </c>
      <c r="AE983" t="str">
        <f t="shared" si="155"/>
        <v>Wednesday</v>
      </c>
      <c r="AF983" t="str">
        <f t="shared" si="156"/>
        <v/>
      </c>
      <c r="AG983" t="str">
        <f t="shared" si="157"/>
        <v/>
      </c>
      <c r="AH983" t="str">
        <f t="shared" si="158"/>
        <v>Saturday</v>
      </c>
      <c r="AI983" t="str">
        <f t="shared" si="159"/>
        <v>Sunday</v>
      </c>
      <c r="AJ983" t="str">
        <f>LEFT(Table1[[#This Row],[membership_type]],2)&amp;TEXT(Table1[[#This Row],[age]],"00")&amp;"-"&amp;TEXT(ROW(),"000")</f>
        <v>Pr30-983</v>
      </c>
      <c r="AK983" t="str">
        <f>LEFT(Table1[[#This Row],[membership_type]],1)&amp;TEXT(MATCH(Table1[[#This Row],[membership_type]],Table1[membership_type],0),"00")</f>
        <v>P01</v>
      </c>
      <c r="AL983" t="str">
        <f>LEFT(Table1[[#This Row],[discount_type]],1)&amp;TEXT(ROUND(Table1[[#This Row],[discount_rate]]*100,0),"00")</f>
        <v>S15</v>
      </c>
      <c r="AM983" t="str" cm="1">
        <f t="array" ref="AM983">TEXT(SUMPRODUCT(CODE(MID(Table1[[#This Row],[home_gym_location]],_xlfn.SEQUENCE(LEN(Table1[[#This Row],[home_gym_location]])),1))),"00000")</f>
        <v>00829</v>
      </c>
      <c r="AN983" t="str">
        <f>UPPER(_xlfn.TEXTBEFORE(Table1[[#This Row],[home_gym_location]],","))&amp;"-"&amp;TEXT(MATCH(Table1[[#This Row],[home_gym_location]],_xlfn._xlws.SORT(_xlfn.UNIQUE(Table1[home_gym_location])),0),"000")</f>
        <v>FRESNO-003</v>
      </c>
      <c r="AO983" t="str">
        <f>LEFT(_xlfn.TEXTBEFORE(Table1[[#This Row],[Location Identifier]],"-"),3) &amp; "-" &amp; _xlfn.TEXTAFTER(Table1[[#This Row],[Location Identifier]],"-")</f>
        <v>FRE-003</v>
      </c>
      <c r="AP983" s="9">
        <f t="shared" ca="1" si="150"/>
        <v>45869</v>
      </c>
    </row>
    <row r="984" spans="1:42" x14ac:dyDescent="0.25">
      <c r="A984">
        <v>43</v>
      </c>
      <c r="B984" t="s">
        <v>42</v>
      </c>
      <c r="C984">
        <v>1</v>
      </c>
      <c r="D984" t="s">
        <v>95</v>
      </c>
      <c r="E984" t="b">
        <v>1</v>
      </c>
      <c r="F984" s="1">
        <v>0.61388888888888893</v>
      </c>
      <c r="G984" s="1">
        <v>0.69722222222222219</v>
      </c>
      <c r="H984">
        <v>120</v>
      </c>
      <c r="I984" t="b">
        <v>1</v>
      </c>
      <c r="J984" t="b">
        <v>1</v>
      </c>
      <c r="K984" t="b">
        <v>1</v>
      </c>
      <c r="L984" t="s">
        <v>28</v>
      </c>
      <c r="M984">
        <v>20</v>
      </c>
      <c r="N984" t="s">
        <v>78</v>
      </c>
      <c r="O984">
        <v>18</v>
      </c>
      <c r="P984" t="s">
        <v>74</v>
      </c>
      <c r="Q984">
        <v>0.15</v>
      </c>
      <c r="R984">
        <v>15.3</v>
      </c>
      <c r="S984" t="s">
        <v>44</v>
      </c>
      <c r="T984" t="s">
        <v>54</v>
      </c>
      <c r="U984">
        <v>32.715699999999998</v>
      </c>
      <c r="V984">
        <v>-117.1611</v>
      </c>
      <c r="W984" s="2">
        <v>45750</v>
      </c>
      <c r="X984">
        <v>4</v>
      </c>
      <c r="Y984" t="b">
        <v>1</v>
      </c>
      <c r="Z984" s="2">
        <v>45856</v>
      </c>
      <c r="AA984" t="str">
        <f t="shared" si="151"/>
        <v>40–49</v>
      </c>
      <c r="AB984" t="str">
        <f t="shared" si="152"/>
        <v>40–49</v>
      </c>
      <c r="AC984" t="str">
        <f t="shared" si="153"/>
        <v/>
      </c>
      <c r="AD984" t="str">
        <f t="shared" si="154"/>
        <v/>
      </c>
      <c r="AE984" t="str">
        <f t="shared" si="155"/>
        <v/>
      </c>
      <c r="AF984" t="str">
        <f t="shared" si="156"/>
        <v/>
      </c>
      <c r="AG984" t="str">
        <f t="shared" si="157"/>
        <v/>
      </c>
      <c r="AH984" t="str">
        <f t="shared" si="158"/>
        <v>Saturday</v>
      </c>
      <c r="AI984" t="str">
        <f t="shared" si="159"/>
        <v/>
      </c>
      <c r="AJ984" t="str">
        <f>LEFT(Table1[[#This Row],[membership_type]],2)&amp;TEXT(Table1[[#This Row],[age]],"00")&amp;"-"&amp;TEXT(ROW(),"000")</f>
        <v>Ba43-984</v>
      </c>
      <c r="AK984" t="str">
        <f>LEFT(Table1[[#This Row],[membership_type]],1)&amp;TEXT(MATCH(Table1[[#This Row],[membership_type]],Table1[membership_type],0),"00")</f>
        <v>B04</v>
      </c>
      <c r="AL984" t="str">
        <f>LEFT(Table1[[#This Row],[discount_type]],1)&amp;TEXT(ROUND(Table1[[#This Row],[discount_rate]]*100,0),"00")</f>
        <v>S15</v>
      </c>
      <c r="AM984" t="str" cm="1">
        <f t="array" ref="AM984">TEXT(SUMPRODUCT(CODE(MID(Table1[[#This Row],[home_gym_location]],_xlfn.SEQUENCE(LEN(Table1[[#This Row],[home_gym_location]])),1))),"00000")</f>
        <v>01018</v>
      </c>
      <c r="AN98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984" t="str">
        <f>LEFT(_xlfn.TEXTBEFORE(Table1[[#This Row],[Location Identifier]],"-"),3) &amp; "-" &amp; _xlfn.TEXTAFTER(Table1[[#This Row],[Location Identifier]],"-")</f>
        <v>SAN-008</v>
      </c>
      <c r="AP984" s="9">
        <f t="shared" ca="1" si="150"/>
        <v>45869</v>
      </c>
    </row>
    <row r="985" spans="1:42" x14ac:dyDescent="0.25">
      <c r="A985">
        <v>16</v>
      </c>
      <c r="B985" t="s">
        <v>42</v>
      </c>
      <c r="C985">
        <v>3</v>
      </c>
      <c r="D985" t="s">
        <v>91</v>
      </c>
      <c r="E985" t="b">
        <v>0</v>
      </c>
      <c r="F985" s="1">
        <v>0.63194444444444442</v>
      </c>
      <c r="G985" s="1">
        <v>0.67083333333333328</v>
      </c>
      <c r="H985">
        <v>56</v>
      </c>
      <c r="I985" t="b">
        <v>0</v>
      </c>
      <c r="J985" t="b">
        <v>1</v>
      </c>
      <c r="K985" t="b">
        <v>0</v>
      </c>
      <c r="L985" t="s">
        <v>28</v>
      </c>
      <c r="M985">
        <v>20</v>
      </c>
      <c r="N985" t="s">
        <v>29</v>
      </c>
      <c r="O985">
        <v>20</v>
      </c>
      <c r="P985" t="s">
        <v>30</v>
      </c>
      <c r="Q985">
        <v>0.05</v>
      </c>
      <c r="R985">
        <v>19</v>
      </c>
      <c r="S985" t="s">
        <v>44</v>
      </c>
      <c r="T985" t="s">
        <v>41</v>
      </c>
      <c r="U985">
        <v>37.804400000000001</v>
      </c>
      <c r="V985">
        <v>-122.27119999999999</v>
      </c>
      <c r="W985" s="2">
        <v>45055</v>
      </c>
      <c r="X985">
        <v>6</v>
      </c>
      <c r="Y985" t="b">
        <v>0</v>
      </c>
      <c r="Z985" s="2">
        <v>45817</v>
      </c>
      <c r="AA985" t="str">
        <f t="shared" si="151"/>
        <v>10–19</v>
      </c>
      <c r="AB985" t="str">
        <f t="shared" si="152"/>
        <v>16–19</v>
      </c>
      <c r="AC985" t="str">
        <f t="shared" si="153"/>
        <v>Monday</v>
      </c>
      <c r="AD985" t="str">
        <f t="shared" si="154"/>
        <v/>
      </c>
      <c r="AE985" t="str">
        <f t="shared" si="155"/>
        <v/>
      </c>
      <c r="AF985" t="str">
        <f t="shared" si="156"/>
        <v>Thursday</v>
      </c>
      <c r="AG985" t="str">
        <f t="shared" si="157"/>
        <v/>
      </c>
      <c r="AH985" t="str">
        <f t="shared" si="158"/>
        <v>Saturday</v>
      </c>
      <c r="AI985" t="str">
        <f t="shared" si="159"/>
        <v/>
      </c>
      <c r="AJ985" t="str">
        <f>LEFT(Table1[[#This Row],[membership_type]],2)&amp;TEXT(Table1[[#This Row],[age]],"00")&amp;"-"&amp;TEXT(ROW(),"000")</f>
        <v>Ba16-985</v>
      </c>
      <c r="AK985" t="str">
        <f>LEFT(Table1[[#This Row],[membership_type]],1)&amp;TEXT(MATCH(Table1[[#This Row],[membership_type]],Table1[membership_type],0),"00")</f>
        <v>B04</v>
      </c>
      <c r="AL985" t="str">
        <f>LEFT(Table1[[#This Row],[discount_type]],1)&amp;TEXT(ROUND(Table1[[#This Row],[discount_rate]]*100,0),"00")</f>
        <v>P05</v>
      </c>
      <c r="AM985" t="str" cm="1">
        <f t="array" ref="AM985">TEXT(SUMPRODUCT(CODE(MID(Table1[[#This Row],[home_gym_location]],_xlfn.SEQUENCE(LEN(Table1[[#This Row],[home_gym_location]])),1))),"00000")</f>
        <v>00906</v>
      </c>
      <c r="AN985" t="str">
        <f>UPPER(_xlfn.TEXTBEFORE(Table1[[#This Row],[home_gym_location]],","))&amp;"-"&amp;TEXT(MATCH(Table1[[#This Row],[home_gym_location]],_xlfn._xlws.SORT(_xlfn.UNIQUE(Table1[home_gym_location])),0),"000")</f>
        <v>OAKLAND-006</v>
      </c>
      <c r="AO985" t="str">
        <f>LEFT(_xlfn.TEXTBEFORE(Table1[[#This Row],[Location Identifier]],"-"),3) &amp; "-" &amp; _xlfn.TEXTAFTER(Table1[[#This Row],[Location Identifier]],"-")</f>
        <v>OAK-006</v>
      </c>
      <c r="AP985" s="9">
        <f t="shared" ca="1" si="150"/>
        <v>45869</v>
      </c>
    </row>
    <row r="986" spans="1:42" x14ac:dyDescent="0.25">
      <c r="A986">
        <v>27</v>
      </c>
      <c r="B986" t="s">
        <v>42</v>
      </c>
      <c r="C986">
        <v>2</v>
      </c>
      <c r="D986" t="s">
        <v>73</v>
      </c>
      <c r="E986" t="b">
        <v>1</v>
      </c>
      <c r="F986" s="1">
        <v>0.4826388888888889</v>
      </c>
      <c r="G986" s="1">
        <v>0.56527777777777777</v>
      </c>
      <c r="H986">
        <v>119</v>
      </c>
      <c r="I986" t="b">
        <v>1</v>
      </c>
      <c r="J986" t="b">
        <v>0</v>
      </c>
      <c r="K986" t="b">
        <v>1</v>
      </c>
      <c r="L986" t="s">
        <v>28</v>
      </c>
      <c r="M986">
        <v>20</v>
      </c>
      <c r="N986" t="s">
        <v>29</v>
      </c>
      <c r="O986">
        <v>20</v>
      </c>
      <c r="P986" t="s">
        <v>30</v>
      </c>
      <c r="Q986">
        <v>0.05</v>
      </c>
      <c r="R986">
        <v>19</v>
      </c>
      <c r="S986" t="s">
        <v>44</v>
      </c>
      <c r="T986" t="s">
        <v>41</v>
      </c>
      <c r="U986">
        <v>37.804400000000001</v>
      </c>
      <c r="V986">
        <v>-122.27119999999999</v>
      </c>
      <c r="W986" s="2">
        <v>45303</v>
      </c>
      <c r="X986">
        <v>0</v>
      </c>
      <c r="Y986" t="b">
        <v>0</v>
      </c>
      <c r="Z986" s="2">
        <v>45831</v>
      </c>
      <c r="AA986" t="str">
        <f t="shared" si="151"/>
        <v>20–29</v>
      </c>
      <c r="AB986" t="str">
        <f t="shared" si="152"/>
        <v>20–29</v>
      </c>
      <c r="AC986" t="str">
        <f t="shared" si="153"/>
        <v/>
      </c>
      <c r="AD986" t="str">
        <f t="shared" si="154"/>
        <v>Tuesday</v>
      </c>
      <c r="AE986" t="str">
        <f t="shared" si="155"/>
        <v/>
      </c>
      <c r="AF986" t="str">
        <f t="shared" si="156"/>
        <v/>
      </c>
      <c r="AG986" t="str">
        <f t="shared" si="157"/>
        <v>Friday</v>
      </c>
      <c r="AH986" t="str">
        <f t="shared" si="158"/>
        <v/>
      </c>
      <c r="AI986" t="str">
        <f t="shared" si="159"/>
        <v/>
      </c>
      <c r="AJ986" t="str">
        <f>LEFT(Table1[[#This Row],[membership_type]],2)&amp;TEXT(Table1[[#This Row],[age]],"00")&amp;"-"&amp;TEXT(ROW(),"000")</f>
        <v>Ba27-986</v>
      </c>
      <c r="AK986" t="str">
        <f>LEFT(Table1[[#This Row],[membership_type]],1)&amp;TEXT(MATCH(Table1[[#This Row],[membership_type]],Table1[membership_type],0),"00")</f>
        <v>B04</v>
      </c>
      <c r="AL986" t="str">
        <f>LEFT(Table1[[#This Row],[discount_type]],1)&amp;TEXT(ROUND(Table1[[#This Row],[discount_rate]]*100,0),"00")</f>
        <v>P05</v>
      </c>
      <c r="AM986" t="str" cm="1">
        <f t="array" ref="AM986">TEXT(SUMPRODUCT(CODE(MID(Table1[[#This Row],[home_gym_location]],_xlfn.SEQUENCE(LEN(Table1[[#This Row],[home_gym_location]])),1))),"00000")</f>
        <v>00906</v>
      </c>
      <c r="AN986" t="str">
        <f>UPPER(_xlfn.TEXTBEFORE(Table1[[#This Row],[home_gym_location]],","))&amp;"-"&amp;TEXT(MATCH(Table1[[#This Row],[home_gym_location]],_xlfn._xlws.SORT(_xlfn.UNIQUE(Table1[home_gym_location])),0),"000")</f>
        <v>OAKLAND-006</v>
      </c>
      <c r="AO986" t="str">
        <f>LEFT(_xlfn.TEXTBEFORE(Table1[[#This Row],[Location Identifier]],"-"),3) &amp; "-" &amp; _xlfn.TEXTAFTER(Table1[[#This Row],[Location Identifier]],"-")</f>
        <v>OAK-006</v>
      </c>
      <c r="AP986" s="9">
        <f t="shared" ca="1" si="150"/>
        <v>45869</v>
      </c>
    </row>
    <row r="987" spans="1:42" x14ac:dyDescent="0.25">
      <c r="A987">
        <v>37</v>
      </c>
      <c r="B987" t="s">
        <v>42</v>
      </c>
      <c r="C987">
        <v>3</v>
      </c>
      <c r="D987" t="s">
        <v>114</v>
      </c>
      <c r="E987" t="b">
        <v>1</v>
      </c>
      <c r="F987" s="1">
        <v>0.75486111111111109</v>
      </c>
      <c r="G987" s="1">
        <v>0.83402777777777781</v>
      </c>
      <c r="H987">
        <v>114</v>
      </c>
      <c r="I987" t="b">
        <v>0</v>
      </c>
      <c r="J987" t="b">
        <v>0</v>
      </c>
      <c r="K987" t="b">
        <v>1</v>
      </c>
      <c r="L987" t="s">
        <v>35</v>
      </c>
      <c r="M987">
        <v>20</v>
      </c>
      <c r="N987" t="s">
        <v>64</v>
      </c>
      <c r="O987">
        <v>15</v>
      </c>
      <c r="P987" t="s">
        <v>36</v>
      </c>
      <c r="Q987">
        <v>0</v>
      </c>
      <c r="R987">
        <v>15</v>
      </c>
      <c r="S987" t="s">
        <v>44</v>
      </c>
      <c r="T987" t="s">
        <v>50</v>
      </c>
      <c r="U987">
        <v>34.052199999999999</v>
      </c>
      <c r="V987">
        <v>-118.2437</v>
      </c>
      <c r="W987" s="2">
        <v>45097</v>
      </c>
      <c r="X987">
        <v>0</v>
      </c>
      <c r="Y987" t="b">
        <v>1</v>
      </c>
      <c r="Z987" s="2">
        <v>45819</v>
      </c>
      <c r="AA987" t="str">
        <f t="shared" si="151"/>
        <v>30–39</v>
      </c>
      <c r="AB987" t="str">
        <f t="shared" si="152"/>
        <v>30–39</v>
      </c>
      <c r="AC987" t="str">
        <f t="shared" si="153"/>
        <v>Monday</v>
      </c>
      <c r="AD987" t="str">
        <f t="shared" si="154"/>
        <v>Tuesday</v>
      </c>
      <c r="AE987" t="str">
        <f t="shared" si="155"/>
        <v>Wednesday</v>
      </c>
      <c r="AF987" t="str">
        <f t="shared" si="156"/>
        <v/>
      </c>
      <c r="AG987" t="str">
        <f t="shared" si="157"/>
        <v/>
      </c>
      <c r="AH987" t="str">
        <f t="shared" si="158"/>
        <v/>
      </c>
      <c r="AI987" t="str">
        <f t="shared" si="159"/>
        <v/>
      </c>
      <c r="AJ987" t="str">
        <f>LEFT(Table1[[#This Row],[membership_type]],2)&amp;TEXT(Table1[[#This Row],[age]],"00")&amp;"-"&amp;TEXT(ROW(),"000")</f>
        <v>Ba37-987</v>
      </c>
      <c r="AK987" t="str">
        <f>LEFT(Table1[[#This Row],[membership_type]],1)&amp;TEXT(MATCH(Table1[[#This Row],[membership_type]],Table1[membership_type],0),"00")</f>
        <v>B04</v>
      </c>
      <c r="AL987" t="str">
        <f>LEFT(Table1[[#This Row],[discount_type]],1)&amp;TEXT(ROUND(Table1[[#This Row],[discount_rate]]*100,0),"00")</f>
        <v>N00</v>
      </c>
      <c r="AM987" t="str" cm="1">
        <f t="array" ref="AM987">TEXT(SUMPRODUCT(CODE(MID(Table1[[#This Row],[home_gym_location]],_xlfn.SEQUENCE(LEN(Table1[[#This Row],[home_gym_location]])),1))),"00000")</f>
        <v>01245</v>
      </c>
      <c r="AN98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87" t="str">
        <f>LEFT(_xlfn.TEXTBEFORE(Table1[[#This Row],[Location Identifier]],"-"),3) &amp; "-" &amp; _xlfn.TEXTAFTER(Table1[[#This Row],[Location Identifier]],"-")</f>
        <v>LOS-005</v>
      </c>
      <c r="AP987" s="9">
        <f t="shared" ca="1" si="150"/>
        <v>45869</v>
      </c>
    </row>
    <row r="988" spans="1:42" x14ac:dyDescent="0.25">
      <c r="A988">
        <v>14</v>
      </c>
      <c r="B988" t="s">
        <v>26</v>
      </c>
      <c r="C988">
        <v>3</v>
      </c>
      <c r="D988" t="s">
        <v>90</v>
      </c>
      <c r="E988" t="b">
        <v>0</v>
      </c>
      <c r="F988" s="1">
        <v>0.58958333333333335</v>
      </c>
      <c r="G988" s="1">
        <v>0.69027777777777777</v>
      </c>
      <c r="H988">
        <v>145</v>
      </c>
      <c r="I988" t="b">
        <v>0</v>
      </c>
      <c r="J988" t="b">
        <v>1</v>
      </c>
      <c r="K988" t="b">
        <v>0</v>
      </c>
      <c r="L988" t="s">
        <v>28</v>
      </c>
      <c r="M988">
        <v>50</v>
      </c>
      <c r="N988" t="s">
        <v>78</v>
      </c>
      <c r="O988">
        <v>45</v>
      </c>
      <c r="P988" t="s">
        <v>74</v>
      </c>
      <c r="Q988">
        <v>0.15</v>
      </c>
      <c r="R988">
        <v>38.25</v>
      </c>
      <c r="S988" t="s">
        <v>31</v>
      </c>
      <c r="T988" t="s">
        <v>56</v>
      </c>
      <c r="U988">
        <v>35.3733</v>
      </c>
      <c r="V988">
        <v>-119.0187</v>
      </c>
      <c r="W988" s="2">
        <v>45367</v>
      </c>
      <c r="X988">
        <v>4</v>
      </c>
      <c r="Y988" t="b">
        <v>0</v>
      </c>
      <c r="Z988" s="2">
        <v>45834</v>
      </c>
      <c r="AA988" t="str">
        <f t="shared" si="151"/>
        <v>10–19</v>
      </c>
      <c r="AB988" t="str">
        <f t="shared" si="152"/>
        <v>Under 16</v>
      </c>
      <c r="AC988" t="str">
        <f t="shared" si="153"/>
        <v/>
      </c>
      <c r="AD988" t="str">
        <f t="shared" si="154"/>
        <v>Tuesday</v>
      </c>
      <c r="AE988" t="str">
        <f t="shared" si="155"/>
        <v/>
      </c>
      <c r="AF988" t="str">
        <f t="shared" si="156"/>
        <v/>
      </c>
      <c r="AG988" t="str">
        <f t="shared" si="157"/>
        <v/>
      </c>
      <c r="AH988" t="str">
        <f t="shared" si="158"/>
        <v>Saturday</v>
      </c>
      <c r="AI988" t="str">
        <f t="shared" si="159"/>
        <v>Sunday</v>
      </c>
      <c r="AJ988" t="str">
        <f>LEFT(Table1[[#This Row],[membership_type]],2)&amp;TEXT(Table1[[#This Row],[age]],"00")&amp;"-"&amp;TEXT(ROW(),"000")</f>
        <v>Pr14-988</v>
      </c>
      <c r="AK988" t="str">
        <f>LEFT(Table1[[#This Row],[membership_type]],1)&amp;TEXT(MATCH(Table1[[#This Row],[membership_type]],Table1[membership_type],0),"00")</f>
        <v>P01</v>
      </c>
      <c r="AL988" t="str">
        <f>LEFT(Table1[[#This Row],[discount_type]],1)&amp;TEXT(ROUND(Table1[[#This Row],[discount_rate]]*100,0),"00")</f>
        <v>S15</v>
      </c>
      <c r="AM988" t="str" cm="1">
        <f t="array" ref="AM988">TEXT(SUMPRODUCT(CODE(MID(Table1[[#This Row],[home_gym_location]],_xlfn.SEQUENCE(LEN(Table1[[#This Row],[home_gym_location]])),1))),"00000")</f>
        <v>01324</v>
      </c>
      <c r="AN98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988" t="str">
        <f>LEFT(_xlfn.TEXTBEFORE(Table1[[#This Row],[Location Identifier]],"-"),3) &amp; "-" &amp; _xlfn.TEXTAFTER(Table1[[#This Row],[Location Identifier]],"-")</f>
        <v>BAK-002</v>
      </c>
      <c r="AP988" s="9">
        <f t="shared" ca="1" si="150"/>
        <v>45869</v>
      </c>
    </row>
    <row r="989" spans="1:42" x14ac:dyDescent="0.25">
      <c r="A989">
        <v>16</v>
      </c>
      <c r="B989" t="s">
        <v>26</v>
      </c>
      <c r="C989">
        <v>3</v>
      </c>
      <c r="D989" t="s">
        <v>117</v>
      </c>
      <c r="E989" t="b">
        <v>1</v>
      </c>
      <c r="F989" s="1">
        <v>0.53125</v>
      </c>
      <c r="G989" s="1">
        <v>0.61250000000000004</v>
      </c>
      <c r="H989">
        <v>117</v>
      </c>
      <c r="I989" t="b">
        <v>1</v>
      </c>
      <c r="J989" t="b">
        <v>1</v>
      </c>
      <c r="K989" t="b">
        <v>0</v>
      </c>
      <c r="L989" t="s">
        <v>35</v>
      </c>
      <c r="M989">
        <v>50</v>
      </c>
      <c r="N989" t="s">
        <v>29</v>
      </c>
      <c r="O989">
        <v>50</v>
      </c>
      <c r="P989" t="s">
        <v>36</v>
      </c>
      <c r="Q989">
        <v>0</v>
      </c>
      <c r="R989">
        <v>50</v>
      </c>
      <c r="S989" t="s">
        <v>31</v>
      </c>
      <c r="T989" t="s">
        <v>41</v>
      </c>
      <c r="U989">
        <v>37.804400000000001</v>
      </c>
      <c r="V989">
        <v>-122.27119999999999</v>
      </c>
      <c r="W989" s="2">
        <v>45568</v>
      </c>
      <c r="X989">
        <v>6</v>
      </c>
      <c r="Y989" t="b">
        <v>1</v>
      </c>
      <c r="Z989" s="2">
        <v>45846</v>
      </c>
      <c r="AA989" t="str">
        <f t="shared" si="151"/>
        <v>10–19</v>
      </c>
      <c r="AB989" t="str">
        <f t="shared" si="152"/>
        <v>16–19</v>
      </c>
      <c r="AC989" t="str">
        <f t="shared" si="153"/>
        <v/>
      </c>
      <c r="AD989" t="str">
        <f t="shared" si="154"/>
        <v/>
      </c>
      <c r="AE989" t="str">
        <f t="shared" si="155"/>
        <v>Wednesday</v>
      </c>
      <c r="AF989" t="str">
        <f t="shared" si="156"/>
        <v>Thursday</v>
      </c>
      <c r="AG989" t="str">
        <f t="shared" si="157"/>
        <v/>
      </c>
      <c r="AH989" t="str">
        <f t="shared" si="158"/>
        <v/>
      </c>
      <c r="AI989" t="str">
        <f t="shared" si="159"/>
        <v>Sunday</v>
      </c>
      <c r="AJ989" t="str">
        <f>LEFT(Table1[[#This Row],[membership_type]],2)&amp;TEXT(Table1[[#This Row],[age]],"00")&amp;"-"&amp;TEXT(ROW(),"000")</f>
        <v>Pr16-989</v>
      </c>
      <c r="AK989" t="str">
        <f>LEFT(Table1[[#This Row],[membership_type]],1)&amp;TEXT(MATCH(Table1[[#This Row],[membership_type]],Table1[membership_type],0),"00")</f>
        <v>P01</v>
      </c>
      <c r="AL989" t="str">
        <f>LEFT(Table1[[#This Row],[discount_type]],1)&amp;TEXT(ROUND(Table1[[#This Row],[discount_rate]]*100,0),"00")</f>
        <v>N00</v>
      </c>
      <c r="AM989" t="str" cm="1">
        <f t="array" ref="AM989">TEXT(SUMPRODUCT(CODE(MID(Table1[[#This Row],[home_gym_location]],_xlfn.SEQUENCE(LEN(Table1[[#This Row],[home_gym_location]])),1))),"00000")</f>
        <v>00906</v>
      </c>
      <c r="AN989" t="str">
        <f>UPPER(_xlfn.TEXTBEFORE(Table1[[#This Row],[home_gym_location]],","))&amp;"-"&amp;TEXT(MATCH(Table1[[#This Row],[home_gym_location]],_xlfn._xlws.SORT(_xlfn.UNIQUE(Table1[home_gym_location])),0),"000")</f>
        <v>OAKLAND-006</v>
      </c>
      <c r="AO989" t="str">
        <f>LEFT(_xlfn.TEXTBEFORE(Table1[[#This Row],[Location Identifier]],"-"),3) &amp; "-" &amp; _xlfn.TEXTAFTER(Table1[[#This Row],[Location Identifier]],"-")</f>
        <v>OAK-006</v>
      </c>
      <c r="AP989" s="9">
        <f t="shared" ca="1" si="150"/>
        <v>45869</v>
      </c>
    </row>
    <row r="990" spans="1:42" x14ac:dyDescent="0.25">
      <c r="A990">
        <v>45</v>
      </c>
      <c r="B990" t="s">
        <v>26</v>
      </c>
      <c r="C990">
        <v>5</v>
      </c>
      <c r="D990" t="s">
        <v>66</v>
      </c>
      <c r="E990" t="b">
        <v>1</v>
      </c>
      <c r="F990" s="1">
        <v>0.62430555555555556</v>
      </c>
      <c r="G990" s="1">
        <v>0.70763888888888893</v>
      </c>
      <c r="H990">
        <v>120</v>
      </c>
      <c r="I990" t="b">
        <v>0</v>
      </c>
      <c r="J990" t="b">
        <v>0</v>
      </c>
      <c r="K990" t="b">
        <v>1</v>
      </c>
      <c r="L990" t="s">
        <v>62</v>
      </c>
      <c r="M990">
        <v>50</v>
      </c>
      <c r="N990" t="s">
        <v>64</v>
      </c>
      <c r="O990">
        <v>37.5</v>
      </c>
      <c r="P990" t="s">
        <v>74</v>
      </c>
      <c r="Q990">
        <v>0.15</v>
      </c>
      <c r="R990">
        <v>31.875</v>
      </c>
      <c r="S990" t="s">
        <v>31</v>
      </c>
      <c r="T990" t="s">
        <v>59</v>
      </c>
      <c r="U990">
        <v>37.774900000000002</v>
      </c>
      <c r="V990">
        <v>-122.4194</v>
      </c>
      <c r="W990" s="2">
        <v>44958</v>
      </c>
      <c r="X990">
        <v>0</v>
      </c>
      <c r="Y990" t="b">
        <v>0</v>
      </c>
      <c r="Z990" s="2">
        <v>45811</v>
      </c>
      <c r="AA990" t="str">
        <f t="shared" si="151"/>
        <v>40–49</v>
      </c>
      <c r="AB990" t="str">
        <f t="shared" si="152"/>
        <v>40–49</v>
      </c>
      <c r="AC990" t="str">
        <f t="shared" si="153"/>
        <v>Monday</v>
      </c>
      <c r="AD990" t="str">
        <f t="shared" si="154"/>
        <v>Tuesday</v>
      </c>
      <c r="AE990" t="str">
        <f t="shared" si="155"/>
        <v>Wednesday</v>
      </c>
      <c r="AF990" t="str">
        <f t="shared" si="156"/>
        <v/>
      </c>
      <c r="AG990" t="str">
        <f t="shared" si="157"/>
        <v>Friday</v>
      </c>
      <c r="AH990" t="str">
        <f t="shared" si="158"/>
        <v/>
      </c>
      <c r="AI990" t="str">
        <f t="shared" si="159"/>
        <v>Sunday</v>
      </c>
      <c r="AJ990" t="str">
        <f>LEFT(Table1[[#This Row],[membership_type]],2)&amp;TEXT(Table1[[#This Row],[age]],"00")&amp;"-"&amp;TEXT(ROW(),"000")</f>
        <v>Pr45-990</v>
      </c>
      <c r="AK990" t="str">
        <f>LEFT(Table1[[#This Row],[membership_type]],1)&amp;TEXT(MATCH(Table1[[#This Row],[membership_type]],Table1[membership_type],0),"00")</f>
        <v>P01</v>
      </c>
      <c r="AL990" t="str">
        <f>LEFT(Table1[[#This Row],[discount_type]],1)&amp;TEXT(ROUND(Table1[[#This Row],[discount_rate]]*100,0),"00")</f>
        <v>S15</v>
      </c>
      <c r="AM990" t="str" cm="1">
        <f t="array" ref="AM990">TEXT(SUMPRODUCT(CODE(MID(Table1[[#This Row],[home_gym_location]],_xlfn.SEQUENCE(LEN(Table1[[#This Row],[home_gym_location]])),1))),"00000")</f>
        <v>01450</v>
      </c>
      <c r="AN99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990" t="str">
        <f>LEFT(_xlfn.TEXTBEFORE(Table1[[#This Row],[Location Identifier]],"-"),3) &amp; "-" &amp; _xlfn.TEXTAFTER(Table1[[#This Row],[Location Identifier]],"-")</f>
        <v>SAN-009</v>
      </c>
      <c r="AP990" s="9">
        <f t="shared" ca="1" si="150"/>
        <v>45869</v>
      </c>
    </row>
    <row r="991" spans="1:42" x14ac:dyDescent="0.25">
      <c r="A991">
        <v>26</v>
      </c>
      <c r="B991" t="s">
        <v>33</v>
      </c>
      <c r="C991">
        <v>4</v>
      </c>
      <c r="D991" t="s">
        <v>132</v>
      </c>
      <c r="E991" t="b">
        <v>1</v>
      </c>
      <c r="F991" s="1">
        <v>0.54374999999999996</v>
      </c>
      <c r="G991" s="1">
        <v>0.65208333333333335</v>
      </c>
      <c r="H991">
        <v>156</v>
      </c>
      <c r="I991" t="b">
        <v>0</v>
      </c>
      <c r="J991" t="b">
        <v>1</v>
      </c>
      <c r="K991" t="b">
        <v>1</v>
      </c>
      <c r="L991" t="s">
        <v>47</v>
      </c>
      <c r="M991">
        <v>30</v>
      </c>
      <c r="N991" t="s">
        <v>64</v>
      </c>
      <c r="O991">
        <v>22.5</v>
      </c>
      <c r="P991" t="s">
        <v>30</v>
      </c>
      <c r="Q991">
        <v>0.05</v>
      </c>
      <c r="R991">
        <v>21.375</v>
      </c>
      <c r="S991" t="s">
        <v>37</v>
      </c>
      <c r="T991" t="s">
        <v>48</v>
      </c>
      <c r="U991">
        <v>38.581600000000002</v>
      </c>
      <c r="V991">
        <v>-121.4944</v>
      </c>
      <c r="W991" s="2">
        <v>44979</v>
      </c>
      <c r="X991">
        <v>7</v>
      </c>
      <c r="Y991" t="b">
        <v>0</v>
      </c>
      <c r="Z991" s="2">
        <v>45813</v>
      </c>
      <c r="AA991" t="str">
        <f t="shared" si="151"/>
        <v>20–29</v>
      </c>
      <c r="AB991" t="str">
        <f t="shared" si="152"/>
        <v>20–29</v>
      </c>
      <c r="AC991" t="str">
        <f t="shared" si="153"/>
        <v>Monday</v>
      </c>
      <c r="AD991" t="str">
        <f t="shared" si="154"/>
        <v/>
      </c>
      <c r="AE991" t="str">
        <f t="shared" si="155"/>
        <v>Wednesday</v>
      </c>
      <c r="AF991" t="str">
        <f t="shared" si="156"/>
        <v>Thursday</v>
      </c>
      <c r="AG991" t="str">
        <f t="shared" si="157"/>
        <v/>
      </c>
      <c r="AH991" t="str">
        <f t="shared" si="158"/>
        <v>Saturday</v>
      </c>
      <c r="AI991" t="str">
        <f t="shared" si="159"/>
        <v/>
      </c>
      <c r="AJ991" t="str">
        <f>LEFT(Table1[[#This Row],[membership_type]],2)&amp;TEXT(Table1[[#This Row],[age]],"00")&amp;"-"&amp;TEXT(ROW(),"000")</f>
        <v>St26-991</v>
      </c>
      <c r="AK991" t="str">
        <f>LEFT(Table1[[#This Row],[membership_type]],1)&amp;TEXT(MATCH(Table1[[#This Row],[membership_type]],Table1[membership_type],0),"00")</f>
        <v>S02</v>
      </c>
      <c r="AL991" t="str">
        <f>LEFT(Table1[[#This Row],[discount_type]],1)&amp;TEXT(ROUND(Table1[[#This Row],[discount_rate]]*100,0),"00")</f>
        <v>P05</v>
      </c>
      <c r="AM991" t="str" cm="1">
        <f t="array" ref="AM991">TEXT(SUMPRODUCT(CODE(MID(Table1[[#This Row],[home_gym_location]],_xlfn.SEQUENCE(LEN(Table1[[#This Row],[home_gym_location]])),1))),"00000")</f>
        <v>01245</v>
      </c>
      <c r="AN99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91" t="str">
        <f>LEFT(_xlfn.TEXTBEFORE(Table1[[#This Row],[Location Identifier]],"-"),3) &amp; "-" &amp; _xlfn.TEXTAFTER(Table1[[#This Row],[Location Identifier]],"-")</f>
        <v>SAC-007</v>
      </c>
      <c r="AP991" s="9">
        <f t="shared" ca="1" si="150"/>
        <v>45869</v>
      </c>
    </row>
    <row r="992" spans="1:42" x14ac:dyDescent="0.25">
      <c r="A992">
        <v>45</v>
      </c>
      <c r="B992" t="s">
        <v>26</v>
      </c>
      <c r="C992">
        <v>1</v>
      </c>
      <c r="D992" t="s">
        <v>97</v>
      </c>
      <c r="E992" t="b">
        <v>0</v>
      </c>
      <c r="F992" s="1">
        <v>0.80763888888888891</v>
      </c>
      <c r="G992" s="1">
        <v>0.86805555555555558</v>
      </c>
      <c r="H992">
        <v>87</v>
      </c>
      <c r="I992" t="b">
        <v>0</v>
      </c>
      <c r="J992" t="b">
        <v>1</v>
      </c>
      <c r="K992" t="b">
        <v>1</v>
      </c>
      <c r="L992" t="s">
        <v>35</v>
      </c>
      <c r="M992">
        <v>50</v>
      </c>
      <c r="N992" t="s">
        <v>29</v>
      </c>
      <c r="O992">
        <v>50</v>
      </c>
      <c r="P992" t="s">
        <v>40</v>
      </c>
      <c r="Q992">
        <v>0.1</v>
      </c>
      <c r="R992">
        <v>45</v>
      </c>
      <c r="S992" t="s">
        <v>31</v>
      </c>
      <c r="T992" t="s">
        <v>48</v>
      </c>
      <c r="U992">
        <v>38.581600000000002</v>
      </c>
      <c r="V992">
        <v>-121.4944</v>
      </c>
      <c r="W992" s="2">
        <v>45091</v>
      </c>
      <c r="X992">
        <v>7</v>
      </c>
      <c r="Y992" t="b">
        <v>0</v>
      </c>
      <c r="Z992" s="2">
        <v>45819</v>
      </c>
      <c r="AA992" t="str">
        <f t="shared" si="151"/>
        <v>40–49</v>
      </c>
      <c r="AB992" t="str">
        <f t="shared" si="152"/>
        <v>40–49</v>
      </c>
      <c r="AC992" t="str">
        <f t="shared" si="153"/>
        <v>Monday</v>
      </c>
      <c r="AD992" t="str">
        <f t="shared" si="154"/>
        <v/>
      </c>
      <c r="AE992" t="str">
        <f t="shared" si="155"/>
        <v/>
      </c>
      <c r="AF992" t="str">
        <f t="shared" si="156"/>
        <v/>
      </c>
      <c r="AG992" t="str">
        <f t="shared" si="157"/>
        <v/>
      </c>
      <c r="AH992" t="str">
        <f t="shared" si="158"/>
        <v/>
      </c>
      <c r="AI992" t="str">
        <f t="shared" si="159"/>
        <v/>
      </c>
      <c r="AJ992" t="str">
        <f>LEFT(Table1[[#This Row],[membership_type]],2)&amp;TEXT(Table1[[#This Row],[age]],"00")&amp;"-"&amp;TEXT(ROW(),"000")</f>
        <v>Pr45-992</v>
      </c>
      <c r="AK992" t="str">
        <f>LEFT(Table1[[#This Row],[membership_type]],1)&amp;TEXT(MATCH(Table1[[#This Row],[membership_type]],Table1[membership_type],0),"00")</f>
        <v>P01</v>
      </c>
      <c r="AL992" t="str">
        <f>LEFT(Table1[[#This Row],[discount_type]],1)&amp;TEXT(ROUND(Table1[[#This Row],[discount_rate]]*100,0),"00")</f>
        <v>L10</v>
      </c>
      <c r="AM992" t="str" cm="1">
        <f t="array" ref="AM992">TEXT(SUMPRODUCT(CODE(MID(Table1[[#This Row],[home_gym_location]],_xlfn.SEQUENCE(LEN(Table1[[#This Row],[home_gym_location]])),1))),"00000")</f>
        <v>01245</v>
      </c>
      <c r="AN99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992" t="str">
        <f>LEFT(_xlfn.TEXTBEFORE(Table1[[#This Row],[Location Identifier]],"-"),3) &amp; "-" &amp; _xlfn.TEXTAFTER(Table1[[#This Row],[Location Identifier]],"-")</f>
        <v>SAC-007</v>
      </c>
      <c r="AP992" s="9">
        <f t="shared" ca="1" si="150"/>
        <v>45869</v>
      </c>
    </row>
    <row r="993" spans="1:42" x14ac:dyDescent="0.25">
      <c r="A993">
        <v>27</v>
      </c>
      <c r="B993" t="s">
        <v>51</v>
      </c>
      <c r="C993">
        <v>5</v>
      </c>
      <c r="D993" t="s">
        <v>68</v>
      </c>
      <c r="E993" t="b">
        <v>0</v>
      </c>
      <c r="F993" s="1">
        <v>0.41458333333333336</v>
      </c>
      <c r="G993" s="1">
        <v>0.51527777777777772</v>
      </c>
      <c r="H993">
        <v>145</v>
      </c>
      <c r="I993" t="b">
        <v>0</v>
      </c>
      <c r="J993" t="b">
        <v>0</v>
      </c>
      <c r="K993" t="b">
        <v>0</v>
      </c>
      <c r="L993" t="s">
        <v>35</v>
      </c>
      <c r="M993">
        <v>70</v>
      </c>
      <c r="N993" t="s">
        <v>64</v>
      </c>
      <c r="O993">
        <v>52.5</v>
      </c>
      <c r="P993" t="s">
        <v>40</v>
      </c>
      <c r="Q993">
        <v>0.1</v>
      </c>
      <c r="R993">
        <v>47.25</v>
      </c>
      <c r="S993" t="s">
        <v>53</v>
      </c>
      <c r="T993" t="s">
        <v>50</v>
      </c>
      <c r="U993">
        <v>34.052199999999999</v>
      </c>
      <c r="V993">
        <v>-118.2437</v>
      </c>
      <c r="W993" s="2">
        <v>45541</v>
      </c>
      <c r="X993">
        <v>0</v>
      </c>
      <c r="Y993" t="b">
        <v>1</v>
      </c>
      <c r="Z993" s="2">
        <v>45844</v>
      </c>
      <c r="AA993" t="str">
        <f t="shared" si="151"/>
        <v>20–29</v>
      </c>
      <c r="AB993" t="str">
        <f t="shared" si="152"/>
        <v>20–29</v>
      </c>
      <c r="AC993" t="str">
        <f t="shared" si="153"/>
        <v>Monday</v>
      </c>
      <c r="AD993" t="str">
        <f t="shared" si="154"/>
        <v>Tuesday</v>
      </c>
      <c r="AE993" t="str">
        <f t="shared" si="155"/>
        <v/>
      </c>
      <c r="AF993" t="str">
        <f t="shared" si="156"/>
        <v>Thursday</v>
      </c>
      <c r="AG993" t="str">
        <f t="shared" si="157"/>
        <v>Friday</v>
      </c>
      <c r="AH993" t="str">
        <f t="shared" si="158"/>
        <v>Saturday</v>
      </c>
      <c r="AI993" t="str">
        <f t="shared" si="159"/>
        <v/>
      </c>
      <c r="AJ993" t="str">
        <f>LEFT(Table1[[#This Row],[membership_type]],2)&amp;TEXT(Table1[[#This Row],[age]],"00")&amp;"-"&amp;TEXT(ROW(),"000")</f>
        <v>El27-993</v>
      </c>
      <c r="AK993" t="str">
        <f>LEFT(Table1[[#This Row],[membership_type]],1)&amp;TEXT(MATCH(Table1[[#This Row],[membership_type]],Table1[membership_type],0),"00")</f>
        <v>E07</v>
      </c>
      <c r="AL993" t="str">
        <f>LEFT(Table1[[#This Row],[discount_type]],1)&amp;TEXT(ROUND(Table1[[#This Row],[discount_rate]]*100,0),"00")</f>
        <v>L10</v>
      </c>
      <c r="AM993" t="str" cm="1">
        <f t="array" ref="AM993">TEXT(SUMPRODUCT(CODE(MID(Table1[[#This Row],[home_gym_location]],_xlfn.SEQUENCE(LEN(Table1[[#This Row],[home_gym_location]])),1))),"00000")</f>
        <v>01245</v>
      </c>
      <c r="AN99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93" t="str">
        <f>LEFT(_xlfn.TEXTBEFORE(Table1[[#This Row],[Location Identifier]],"-"),3) &amp; "-" &amp; _xlfn.TEXTAFTER(Table1[[#This Row],[Location Identifier]],"-")</f>
        <v>LOS-005</v>
      </c>
      <c r="AP993" s="9">
        <f t="shared" ca="1" si="150"/>
        <v>45869</v>
      </c>
    </row>
    <row r="994" spans="1:42" x14ac:dyDescent="0.25">
      <c r="A994">
        <v>19</v>
      </c>
      <c r="B994" t="s">
        <v>26</v>
      </c>
      <c r="C994">
        <v>1</v>
      </c>
      <c r="D994" t="s">
        <v>95</v>
      </c>
      <c r="E994" t="b">
        <v>0</v>
      </c>
      <c r="F994" s="1">
        <v>0.67361111111111116</v>
      </c>
      <c r="G994" s="1">
        <v>0.72222222222222221</v>
      </c>
      <c r="H994">
        <v>70</v>
      </c>
      <c r="I994" t="b">
        <v>0</v>
      </c>
      <c r="J994" t="b">
        <v>1</v>
      </c>
      <c r="K994" t="b">
        <v>1</v>
      </c>
      <c r="L994" t="s">
        <v>28</v>
      </c>
      <c r="M994">
        <v>50</v>
      </c>
      <c r="N994" t="s">
        <v>64</v>
      </c>
      <c r="O994">
        <v>37.5</v>
      </c>
      <c r="P994" t="s">
        <v>40</v>
      </c>
      <c r="Q994">
        <v>0.1</v>
      </c>
      <c r="R994">
        <v>33.75</v>
      </c>
      <c r="S994" t="s">
        <v>31</v>
      </c>
      <c r="T994" t="s">
        <v>41</v>
      </c>
      <c r="U994">
        <v>37.804400000000001</v>
      </c>
      <c r="V994">
        <v>-122.27119999999999</v>
      </c>
      <c r="W994" s="2">
        <v>45202</v>
      </c>
      <c r="X994">
        <v>1</v>
      </c>
      <c r="Y994" t="b">
        <v>1</v>
      </c>
      <c r="Z994" s="2">
        <v>45825</v>
      </c>
      <c r="AA994" t="str">
        <f t="shared" si="151"/>
        <v>10–19</v>
      </c>
      <c r="AB994" t="str">
        <f t="shared" si="152"/>
        <v>16–19</v>
      </c>
      <c r="AC994" t="str">
        <f t="shared" si="153"/>
        <v/>
      </c>
      <c r="AD994" t="str">
        <f t="shared" si="154"/>
        <v/>
      </c>
      <c r="AE994" t="str">
        <f t="shared" si="155"/>
        <v/>
      </c>
      <c r="AF994" t="str">
        <f t="shared" si="156"/>
        <v/>
      </c>
      <c r="AG994" t="str">
        <f t="shared" si="157"/>
        <v/>
      </c>
      <c r="AH994" t="str">
        <f t="shared" si="158"/>
        <v>Saturday</v>
      </c>
      <c r="AI994" t="str">
        <f t="shared" si="159"/>
        <v/>
      </c>
      <c r="AJ994" t="str">
        <f>LEFT(Table1[[#This Row],[membership_type]],2)&amp;TEXT(Table1[[#This Row],[age]],"00")&amp;"-"&amp;TEXT(ROW(),"000")</f>
        <v>Pr19-994</v>
      </c>
      <c r="AK994" t="str">
        <f>LEFT(Table1[[#This Row],[membership_type]],1)&amp;TEXT(MATCH(Table1[[#This Row],[membership_type]],Table1[membership_type],0),"00")</f>
        <v>P01</v>
      </c>
      <c r="AL994" t="str">
        <f>LEFT(Table1[[#This Row],[discount_type]],1)&amp;TEXT(ROUND(Table1[[#This Row],[discount_rate]]*100,0),"00")</f>
        <v>L10</v>
      </c>
      <c r="AM994" t="str" cm="1">
        <f t="array" ref="AM994">TEXT(SUMPRODUCT(CODE(MID(Table1[[#This Row],[home_gym_location]],_xlfn.SEQUENCE(LEN(Table1[[#This Row],[home_gym_location]])),1))),"00000")</f>
        <v>00906</v>
      </c>
      <c r="AN994" t="str">
        <f>UPPER(_xlfn.TEXTBEFORE(Table1[[#This Row],[home_gym_location]],","))&amp;"-"&amp;TEXT(MATCH(Table1[[#This Row],[home_gym_location]],_xlfn._xlws.SORT(_xlfn.UNIQUE(Table1[home_gym_location])),0),"000")</f>
        <v>OAKLAND-006</v>
      </c>
      <c r="AO994" t="str">
        <f>LEFT(_xlfn.TEXTBEFORE(Table1[[#This Row],[Location Identifier]],"-"),3) &amp; "-" &amp; _xlfn.TEXTAFTER(Table1[[#This Row],[Location Identifier]],"-")</f>
        <v>OAK-006</v>
      </c>
      <c r="AP994" s="9">
        <f t="shared" ca="1" si="150"/>
        <v>45869</v>
      </c>
    </row>
    <row r="995" spans="1:42" x14ac:dyDescent="0.25">
      <c r="A995">
        <v>37</v>
      </c>
      <c r="B995" t="s">
        <v>42</v>
      </c>
      <c r="C995">
        <v>4</v>
      </c>
      <c r="D995" t="s">
        <v>164</v>
      </c>
      <c r="E995" t="b">
        <v>1</v>
      </c>
      <c r="F995" s="1">
        <v>0.78055555555555556</v>
      </c>
      <c r="G995" s="1">
        <v>0.87222222222222223</v>
      </c>
      <c r="H995">
        <v>132</v>
      </c>
      <c r="I995" t="b">
        <v>1</v>
      </c>
      <c r="J995" t="b">
        <v>0</v>
      </c>
      <c r="K995" t="b">
        <v>1</v>
      </c>
      <c r="L995" t="s">
        <v>62</v>
      </c>
      <c r="M995">
        <v>20</v>
      </c>
      <c r="N995" t="s">
        <v>29</v>
      </c>
      <c r="O995">
        <v>20</v>
      </c>
      <c r="P995" t="s">
        <v>40</v>
      </c>
      <c r="Q995">
        <v>0.1</v>
      </c>
      <c r="R995">
        <v>18</v>
      </c>
      <c r="S995" t="s">
        <v>44</v>
      </c>
      <c r="T995" t="s">
        <v>45</v>
      </c>
      <c r="U995">
        <v>33.836599999999997</v>
      </c>
      <c r="V995">
        <v>-117.9143</v>
      </c>
      <c r="W995" s="2">
        <v>45446</v>
      </c>
      <c r="X995">
        <v>0</v>
      </c>
      <c r="Y995" t="b">
        <v>1</v>
      </c>
      <c r="Z995" s="2">
        <v>45839</v>
      </c>
      <c r="AA995" t="str">
        <f t="shared" si="151"/>
        <v>30–39</v>
      </c>
      <c r="AB995" t="str">
        <f t="shared" si="152"/>
        <v>30–39</v>
      </c>
      <c r="AC995" t="str">
        <f t="shared" si="153"/>
        <v/>
      </c>
      <c r="AD995" t="str">
        <f t="shared" si="154"/>
        <v/>
      </c>
      <c r="AE995" t="str">
        <f t="shared" si="155"/>
        <v>Wednesday</v>
      </c>
      <c r="AF995" t="str">
        <f t="shared" si="156"/>
        <v>Thursday</v>
      </c>
      <c r="AG995" t="str">
        <f t="shared" si="157"/>
        <v>Friday</v>
      </c>
      <c r="AH995" t="str">
        <f t="shared" si="158"/>
        <v>Saturday</v>
      </c>
      <c r="AI995" t="str">
        <f t="shared" si="159"/>
        <v/>
      </c>
      <c r="AJ995" t="str">
        <f>LEFT(Table1[[#This Row],[membership_type]],2)&amp;TEXT(Table1[[#This Row],[age]],"00")&amp;"-"&amp;TEXT(ROW(),"000")</f>
        <v>Ba37-995</v>
      </c>
      <c r="AK995" t="str">
        <f>LEFT(Table1[[#This Row],[membership_type]],1)&amp;TEXT(MATCH(Table1[[#This Row],[membership_type]],Table1[membership_type],0),"00")</f>
        <v>B04</v>
      </c>
      <c r="AL995" t="str">
        <f>LEFT(Table1[[#This Row],[discount_type]],1)&amp;TEXT(ROUND(Table1[[#This Row],[discount_rate]]*100,0),"00")</f>
        <v>L10</v>
      </c>
      <c r="AM995" t="str" cm="1">
        <f t="array" ref="AM995">TEXT(SUMPRODUCT(CODE(MID(Table1[[#This Row],[home_gym_location]],_xlfn.SEQUENCE(LEN(Table1[[#This Row],[home_gym_location]])),1))),"00000")</f>
        <v>00899</v>
      </c>
      <c r="AN995" t="str">
        <f>UPPER(_xlfn.TEXTBEFORE(Table1[[#This Row],[home_gym_location]],","))&amp;"-"&amp;TEXT(MATCH(Table1[[#This Row],[home_gym_location]],_xlfn._xlws.SORT(_xlfn.UNIQUE(Table1[home_gym_location])),0),"000")</f>
        <v>ANAHEIM-001</v>
      </c>
      <c r="AO995" t="str">
        <f>LEFT(_xlfn.TEXTBEFORE(Table1[[#This Row],[Location Identifier]],"-"),3) &amp; "-" &amp; _xlfn.TEXTAFTER(Table1[[#This Row],[Location Identifier]],"-")</f>
        <v>ANA-001</v>
      </c>
      <c r="AP995" s="9">
        <f t="shared" ca="1" si="150"/>
        <v>45869</v>
      </c>
    </row>
    <row r="996" spans="1:42" x14ac:dyDescent="0.25">
      <c r="A996">
        <v>49</v>
      </c>
      <c r="B996" t="s">
        <v>42</v>
      </c>
      <c r="C996">
        <v>3</v>
      </c>
      <c r="D996" t="s">
        <v>142</v>
      </c>
      <c r="E996" t="b">
        <v>0</v>
      </c>
      <c r="F996" s="1">
        <v>0.81736111111111109</v>
      </c>
      <c r="G996" s="1">
        <v>0.89652777777777781</v>
      </c>
      <c r="H996">
        <v>114</v>
      </c>
      <c r="I996" t="b">
        <v>1</v>
      </c>
      <c r="J996" t="b">
        <v>0</v>
      </c>
      <c r="K996" t="b">
        <v>0</v>
      </c>
      <c r="L996" t="s">
        <v>28</v>
      </c>
      <c r="M996">
        <v>20</v>
      </c>
      <c r="N996" t="s">
        <v>29</v>
      </c>
      <c r="O996">
        <v>20</v>
      </c>
      <c r="P996" t="s">
        <v>74</v>
      </c>
      <c r="Q996">
        <v>0.15</v>
      </c>
      <c r="R996">
        <v>17</v>
      </c>
      <c r="S996" t="s">
        <v>44</v>
      </c>
      <c r="T996" t="s">
        <v>45</v>
      </c>
      <c r="U996">
        <v>33.836599999999997</v>
      </c>
      <c r="V996">
        <v>-117.9143</v>
      </c>
      <c r="W996" s="2">
        <v>45733</v>
      </c>
      <c r="X996">
        <v>0</v>
      </c>
      <c r="Y996" t="b">
        <v>0</v>
      </c>
      <c r="Z996" s="2">
        <v>45855</v>
      </c>
      <c r="AA996" t="str">
        <f t="shared" si="151"/>
        <v>40–49</v>
      </c>
      <c r="AB996" t="str">
        <f t="shared" si="152"/>
        <v>40–49</v>
      </c>
      <c r="AC996" t="str">
        <f t="shared" si="153"/>
        <v>Monday</v>
      </c>
      <c r="AD996" t="str">
        <f t="shared" si="154"/>
        <v/>
      </c>
      <c r="AE996" t="str">
        <f t="shared" si="155"/>
        <v>Wednesday</v>
      </c>
      <c r="AF996" t="str">
        <f t="shared" si="156"/>
        <v/>
      </c>
      <c r="AG996" t="str">
        <f t="shared" si="157"/>
        <v/>
      </c>
      <c r="AH996" t="str">
        <f t="shared" si="158"/>
        <v/>
      </c>
      <c r="AI996" t="str">
        <f t="shared" si="159"/>
        <v>Sunday</v>
      </c>
      <c r="AJ996" t="str">
        <f>LEFT(Table1[[#This Row],[membership_type]],2)&amp;TEXT(Table1[[#This Row],[age]],"00")&amp;"-"&amp;TEXT(ROW(),"000")</f>
        <v>Ba49-996</v>
      </c>
      <c r="AK996" t="str">
        <f>LEFT(Table1[[#This Row],[membership_type]],1)&amp;TEXT(MATCH(Table1[[#This Row],[membership_type]],Table1[membership_type],0),"00")</f>
        <v>B04</v>
      </c>
      <c r="AL996" t="str">
        <f>LEFT(Table1[[#This Row],[discount_type]],1)&amp;TEXT(ROUND(Table1[[#This Row],[discount_rate]]*100,0),"00")</f>
        <v>S15</v>
      </c>
      <c r="AM996" t="str" cm="1">
        <f t="array" ref="AM996">TEXT(SUMPRODUCT(CODE(MID(Table1[[#This Row],[home_gym_location]],_xlfn.SEQUENCE(LEN(Table1[[#This Row],[home_gym_location]])),1))),"00000")</f>
        <v>00899</v>
      </c>
      <c r="AN996" t="str">
        <f>UPPER(_xlfn.TEXTBEFORE(Table1[[#This Row],[home_gym_location]],","))&amp;"-"&amp;TEXT(MATCH(Table1[[#This Row],[home_gym_location]],_xlfn._xlws.SORT(_xlfn.UNIQUE(Table1[home_gym_location])),0),"000")</f>
        <v>ANAHEIM-001</v>
      </c>
      <c r="AO996" t="str">
        <f>LEFT(_xlfn.TEXTBEFORE(Table1[[#This Row],[Location Identifier]],"-"),3) &amp; "-" &amp; _xlfn.TEXTAFTER(Table1[[#This Row],[Location Identifier]],"-")</f>
        <v>ANA-001</v>
      </c>
      <c r="AP996" s="9">
        <f t="shared" ca="1" si="150"/>
        <v>45869</v>
      </c>
    </row>
    <row r="997" spans="1:42" x14ac:dyDescent="0.25">
      <c r="A997">
        <v>34</v>
      </c>
      <c r="B997" t="s">
        <v>33</v>
      </c>
      <c r="C997">
        <v>2</v>
      </c>
      <c r="D997" t="s">
        <v>73</v>
      </c>
      <c r="E997" t="b">
        <v>0</v>
      </c>
      <c r="F997" s="1">
        <v>0.70972222222222225</v>
      </c>
      <c r="G997" s="1">
        <v>0.77500000000000002</v>
      </c>
      <c r="H997">
        <v>94</v>
      </c>
      <c r="I997" t="b">
        <v>1</v>
      </c>
      <c r="J997" t="b">
        <v>1</v>
      </c>
      <c r="K997" t="b">
        <v>1</v>
      </c>
      <c r="L997" t="s">
        <v>28</v>
      </c>
      <c r="M997">
        <v>30</v>
      </c>
      <c r="N997" t="s">
        <v>29</v>
      </c>
      <c r="O997">
        <v>30</v>
      </c>
      <c r="P997" t="s">
        <v>74</v>
      </c>
      <c r="Q997">
        <v>0.15</v>
      </c>
      <c r="R997">
        <v>25.5</v>
      </c>
      <c r="S997" t="s">
        <v>37</v>
      </c>
      <c r="T997" t="s">
        <v>32</v>
      </c>
      <c r="U997">
        <v>37.338200000000001</v>
      </c>
      <c r="V997">
        <v>-121.88630000000001</v>
      </c>
      <c r="W997" s="2">
        <v>44854</v>
      </c>
      <c r="X997">
        <v>3</v>
      </c>
      <c r="Y997" t="b">
        <v>0</v>
      </c>
      <c r="Z997" s="2">
        <v>45805</v>
      </c>
      <c r="AA997" t="str">
        <f t="shared" si="151"/>
        <v>30–39</v>
      </c>
      <c r="AB997" t="str">
        <f t="shared" si="152"/>
        <v>30–39</v>
      </c>
      <c r="AC997" t="str">
        <f t="shared" si="153"/>
        <v/>
      </c>
      <c r="AD997" t="str">
        <f t="shared" si="154"/>
        <v>Tuesday</v>
      </c>
      <c r="AE997" t="str">
        <f t="shared" si="155"/>
        <v/>
      </c>
      <c r="AF997" t="str">
        <f t="shared" si="156"/>
        <v/>
      </c>
      <c r="AG997" t="str">
        <f t="shared" si="157"/>
        <v>Friday</v>
      </c>
      <c r="AH997" t="str">
        <f t="shared" si="158"/>
        <v/>
      </c>
      <c r="AI997" t="str">
        <f t="shared" si="159"/>
        <v/>
      </c>
      <c r="AJ997" t="str">
        <f>LEFT(Table1[[#This Row],[membership_type]],2)&amp;TEXT(Table1[[#This Row],[age]],"00")&amp;"-"&amp;TEXT(ROW(),"000")</f>
        <v>St34-997</v>
      </c>
      <c r="AK997" t="str">
        <f>LEFT(Table1[[#This Row],[membership_type]],1)&amp;TEXT(MATCH(Table1[[#This Row],[membership_type]],Table1[membership_type],0),"00")</f>
        <v>S02</v>
      </c>
      <c r="AL997" t="str">
        <f>LEFT(Table1[[#This Row],[discount_type]],1)&amp;TEXT(ROUND(Table1[[#This Row],[discount_rate]]*100,0),"00")</f>
        <v>S15</v>
      </c>
      <c r="AM997" t="str" cm="1">
        <f t="array" ref="AM997">TEXT(SUMPRODUCT(CODE(MID(Table1[[#This Row],[home_gym_location]],_xlfn.SEQUENCE(LEN(Table1[[#This Row],[home_gym_location]])),1))),"00000")</f>
        <v>00931</v>
      </c>
      <c r="AN99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997" t="str">
        <f>LEFT(_xlfn.TEXTBEFORE(Table1[[#This Row],[Location Identifier]],"-"),3) &amp; "-" &amp; _xlfn.TEXTAFTER(Table1[[#This Row],[Location Identifier]],"-")</f>
        <v>SAN-010</v>
      </c>
      <c r="AP997" s="9">
        <f t="shared" ca="1" si="150"/>
        <v>45869</v>
      </c>
    </row>
    <row r="998" spans="1:42" x14ac:dyDescent="0.25">
      <c r="A998">
        <v>42</v>
      </c>
      <c r="B998" t="s">
        <v>26</v>
      </c>
      <c r="C998">
        <v>4</v>
      </c>
      <c r="D998" t="s">
        <v>111</v>
      </c>
      <c r="E998" t="b">
        <v>1</v>
      </c>
      <c r="F998" s="1">
        <v>0.41319444444444442</v>
      </c>
      <c r="G998" s="1">
        <v>0.45763888888888887</v>
      </c>
      <c r="H998">
        <v>64</v>
      </c>
      <c r="I998" t="b">
        <v>0</v>
      </c>
      <c r="J998" t="b">
        <v>0</v>
      </c>
      <c r="K998" t="b">
        <v>1</v>
      </c>
      <c r="L998" t="s">
        <v>28</v>
      </c>
      <c r="M998">
        <v>50</v>
      </c>
      <c r="N998" t="s">
        <v>64</v>
      </c>
      <c r="O998">
        <v>37.5</v>
      </c>
      <c r="P998" t="s">
        <v>30</v>
      </c>
      <c r="Q998">
        <v>0.05</v>
      </c>
      <c r="R998">
        <v>35.625</v>
      </c>
      <c r="S998" t="s">
        <v>31</v>
      </c>
      <c r="T998" t="s">
        <v>32</v>
      </c>
      <c r="U998">
        <v>37.338200000000001</v>
      </c>
      <c r="V998">
        <v>-121.88630000000001</v>
      </c>
      <c r="W998" s="2">
        <v>45685</v>
      </c>
      <c r="X998">
        <v>0</v>
      </c>
      <c r="Y998" t="b">
        <v>0</v>
      </c>
      <c r="Z998" s="2">
        <v>45852</v>
      </c>
      <c r="AA998" t="str">
        <f t="shared" si="151"/>
        <v>40–49</v>
      </c>
      <c r="AB998" t="str">
        <f t="shared" si="152"/>
        <v>40–49</v>
      </c>
      <c r="AC998" t="str">
        <f t="shared" si="153"/>
        <v>Monday</v>
      </c>
      <c r="AD998" t="str">
        <f t="shared" si="154"/>
        <v>Tuesday</v>
      </c>
      <c r="AE998" t="str">
        <f t="shared" si="155"/>
        <v/>
      </c>
      <c r="AF998" t="str">
        <f t="shared" si="156"/>
        <v>Thursday</v>
      </c>
      <c r="AG998" t="str">
        <f t="shared" si="157"/>
        <v>Friday</v>
      </c>
      <c r="AH998" t="str">
        <f t="shared" si="158"/>
        <v/>
      </c>
      <c r="AI998" t="str">
        <f t="shared" si="159"/>
        <v/>
      </c>
      <c r="AJ998" t="str">
        <f>LEFT(Table1[[#This Row],[membership_type]],2)&amp;TEXT(Table1[[#This Row],[age]],"00")&amp;"-"&amp;TEXT(ROW(),"000")</f>
        <v>Pr42-998</v>
      </c>
      <c r="AK998" t="str">
        <f>LEFT(Table1[[#This Row],[membership_type]],1)&amp;TEXT(MATCH(Table1[[#This Row],[membership_type]],Table1[membership_type],0),"00")</f>
        <v>P01</v>
      </c>
      <c r="AL998" t="str">
        <f>LEFT(Table1[[#This Row],[discount_type]],1)&amp;TEXT(ROUND(Table1[[#This Row],[discount_rate]]*100,0),"00")</f>
        <v>P05</v>
      </c>
      <c r="AM998" t="str" cm="1">
        <f t="array" ref="AM998">TEXT(SUMPRODUCT(CODE(MID(Table1[[#This Row],[home_gym_location]],_xlfn.SEQUENCE(LEN(Table1[[#This Row],[home_gym_location]])),1))),"00000")</f>
        <v>00931</v>
      </c>
      <c r="AN99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998" t="str">
        <f>LEFT(_xlfn.TEXTBEFORE(Table1[[#This Row],[Location Identifier]],"-"),3) &amp; "-" &amp; _xlfn.TEXTAFTER(Table1[[#This Row],[Location Identifier]],"-")</f>
        <v>SAN-010</v>
      </c>
      <c r="AP998" s="9">
        <f t="shared" ca="1" si="150"/>
        <v>45869</v>
      </c>
    </row>
    <row r="999" spans="1:42" x14ac:dyDescent="0.25">
      <c r="A999">
        <v>25</v>
      </c>
      <c r="B999" t="s">
        <v>26</v>
      </c>
      <c r="C999">
        <v>5</v>
      </c>
      <c r="D999" t="s">
        <v>150</v>
      </c>
      <c r="E999" t="b">
        <v>0</v>
      </c>
      <c r="F999" s="1">
        <v>0.67569444444444449</v>
      </c>
      <c r="G999" s="1">
        <v>0.78125</v>
      </c>
      <c r="H999">
        <v>152</v>
      </c>
      <c r="I999" t="b">
        <v>0</v>
      </c>
      <c r="J999" t="b">
        <v>0</v>
      </c>
      <c r="K999" t="b">
        <v>0</v>
      </c>
      <c r="L999" t="s">
        <v>35</v>
      </c>
      <c r="M999">
        <v>50</v>
      </c>
      <c r="N999" t="s">
        <v>78</v>
      </c>
      <c r="O999">
        <v>45</v>
      </c>
      <c r="P999" t="s">
        <v>30</v>
      </c>
      <c r="Q999">
        <v>0.05</v>
      </c>
      <c r="R999">
        <v>42.75</v>
      </c>
      <c r="S999" t="s">
        <v>31</v>
      </c>
      <c r="T999" t="s">
        <v>50</v>
      </c>
      <c r="U999">
        <v>34.052199999999999</v>
      </c>
      <c r="V999">
        <v>-118.2437</v>
      </c>
      <c r="W999" s="2">
        <v>44818</v>
      </c>
      <c r="X999">
        <v>0</v>
      </c>
      <c r="Y999" t="b">
        <v>0</v>
      </c>
      <c r="Z999" s="2">
        <v>45803</v>
      </c>
      <c r="AA999" t="str">
        <f t="shared" si="151"/>
        <v>20–29</v>
      </c>
      <c r="AB999" t="str">
        <f t="shared" si="152"/>
        <v>20–29</v>
      </c>
      <c r="AC999" t="str">
        <f t="shared" si="153"/>
        <v/>
      </c>
      <c r="AD999" t="str">
        <f t="shared" si="154"/>
        <v>Tuesday</v>
      </c>
      <c r="AE999" t="str">
        <f t="shared" si="155"/>
        <v/>
      </c>
      <c r="AF999" t="str">
        <f t="shared" si="156"/>
        <v>Thursday</v>
      </c>
      <c r="AG999" t="str">
        <f t="shared" si="157"/>
        <v>Friday</v>
      </c>
      <c r="AH999" t="str">
        <f t="shared" si="158"/>
        <v>Saturday</v>
      </c>
      <c r="AI999" t="str">
        <f t="shared" si="159"/>
        <v>Sunday</v>
      </c>
      <c r="AJ999" t="str">
        <f>LEFT(Table1[[#This Row],[membership_type]],2)&amp;TEXT(Table1[[#This Row],[age]],"00")&amp;"-"&amp;TEXT(ROW(),"000")</f>
        <v>Pr25-999</v>
      </c>
      <c r="AK999" t="str">
        <f>LEFT(Table1[[#This Row],[membership_type]],1)&amp;TEXT(MATCH(Table1[[#This Row],[membership_type]],Table1[membership_type],0),"00")</f>
        <v>P01</v>
      </c>
      <c r="AL999" t="str">
        <f>LEFT(Table1[[#This Row],[discount_type]],1)&amp;TEXT(ROUND(Table1[[#This Row],[discount_rate]]*100,0),"00")</f>
        <v>P05</v>
      </c>
      <c r="AM999" t="str" cm="1">
        <f t="array" ref="AM999">TEXT(SUMPRODUCT(CODE(MID(Table1[[#This Row],[home_gym_location]],_xlfn.SEQUENCE(LEN(Table1[[#This Row],[home_gym_location]])),1))),"00000")</f>
        <v>01245</v>
      </c>
      <c r="AN99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999" t="str">
        <f>LEFT(_xlfn.TEXTBEFORE(Table1[[#This Row],[Location Identifier]],"-"),3) &amp; "-" &amp; _xlfn.TEXTAFTER(Table1[[#This Row],[Location Identifier]],"-")</f>
        <v>LOS-005</v>
      </c>
      <c r="AP999" s="9">
        <f t="shared" ca="1" si="150"/>
        <v>45869</v>
      </c>
    </row>
    <row r="1000" spans="1:42" x14ac:dyDescent="0.25">
      <c r="A1000">
        <v>39</v>
      </c>
      <c r="B1000" t="s">
        <v>33</v>
      </c>
      <c r="C1000">
        <v>2</v>
      </c>
      <c r="D1000" t="s">
        <v>141</v>
      </c>
      <c r="E1000" t="b">
        <v>0</v>
      </c>
      <c r="F1000" s="1">
        <v>0.43888888888888888</v>
      </c>
      <c r="G1000" s="1">
        <v>0.51944444444444449</v>
      </c>
      <c r="H1000">
        <v>116</v>
      </c>
      <c r="I1000" t="b">
        <v>0</v>
      </c>
      <c r="J1000" t="b">
        <v>0</v>
      </c>
      <c r="K1000" t="b">
        <v>1</v>
      </c>
      <c r="L1000" t="s">
        <v>62</v>
      </c>
      <c r="M1000">
        <v>30</v>
      </c>
      <c r="N1000" t="s">
        <v>78</v>
      </c>
      <c r="O1000">
        <v>27</v>
      </c>
      <c r="P1000" t="s">
        <v>74</v>
      </c>
      <c r="Q1000">
        <v>0.15</v>
      </c>
      <c r="R1000">
        <v>22.95</v>
      </c>
      <c r="S1000" t="s">
        <v>37</v>
      </c>
      <c r="T1000" t="s">
        <v>54</v>
      </c>
      <c r="U1000">
        <v>32.715699999999998</v>
      </c>
      <c r="V1000">
        <v>-117.1611</v>
      </c>
      <c r="W1000" s="2">
        <v>45356</v>
      </c>
      <c r="X1000">
        <v>0</v>
      </c>
      <c r="Y1000" t="b">
        <v>1</v>
      </c>
      <c r="Z1000" s="2">
        <v>45834</v>
      </c>
      <c r="AA1000" t="str">
        <f t="shared" si="151"/>
        <v>30–39</v>
      </c>
      <c r="AB1000" t="str">
        <f t="shared" si="152"/>
        <v>30–39</v>
      </c>
      <c r="AC1000" t="str">
        <f t="shared" si="153"/>
        <v/>
      </c>
      <c r="AD1000" t="str">
        <f t="shared" si="154"/>
        <v/>
      </c>
      <c r="AE1000" t="str">
        <f t="shared" si="155"/>
        <v>Wednesday</v>
      </c>
      <c r="AF1000" t="str">
        <f t="shared" si="156"/>
        <v/>
      </c>
      <c r="AG1000" t="str">
        <f t="shared" si="157"/>
        <v>Friday</v>
      </c>
      <c r="AH1000" t="str">
        <f t="shared" si="158"/>
        <v/>
      </c>
      <c r="AI1000" t="str">
        <f t="shared" si="159"/>
        <v/>
      </c>
      <c r="AJ1000" t="str">
        <f>LEFT(Table1[[#This Row],[membership_type]],2)&amp;TEXT(Table1[[#This Row],[age]],"00")&amp;"-"&amp;TEXT(ROW(),"000")</f>
        <v>St39-1000</v>
      </c>
      <c r="AK1000" t="str">
        <f>LEFT(Table1[[#This Row],[membership_type]],1)&amp;TEXT(MATCH(Table1[[#This Row],[membership_type]],Table1[membership_type],0),"00")</f>
        <v>S02</v>
      </c>
      <c r="AL1000" t="str">
        <f>LEFT(Table1[[#This Row],[discount_type]],1)&amp;TEXT(ROUND(Table1[[#This Row],[discount_rate]]*100,0),"00")</f>
        <v>S15</v>
      </c>
      <c r="AM1000" t="str" cm="1">
        <f t="array" ref="AM1000">TEXT(SUMPRODUCT(CODE(MID(Table1[[#This Row],[home_gym_location]],_xlfn.SEQUENCE(LEN(Table1[[#This Row],[home_gym_location]])),1))),"00000")</f>
        <v>01018</v>
      </c>
      <c r="AN100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00" t="str">
        <f>LEFT(_xlfn.TEXTBEFORE(Table1[[#This Row],[Location Identifier]],"-"),3) &amp; "-" &amp; _xlfn.TEXTAFTER(Table1[[#This Row],[Location Identifier]],"-")</f>
        <v>SAN-008</v>
      </c>
      <c r="AP1000" s="9">
        <f t="shared" ca="1" si="150"/>
        <v>45869</v>
      </c>
    </row>
    <row r="1001" spans="1:42" x14ac:dyDescent="0.25">
      <c r="A1001">
        <v>47</v>
      </c>
      <c r="B1001" t="s">
        <v>51</v>
      </c>
      <c r="C1001">
        <v>2</v>
      </c>
      <c r="D1001" t="s">
        <v>61</v>
      </c>
      <c r="E1001" t="b">
        <v>0</v>
      </c>
      <c r="F1001" s="1">
        <v>0.55486111111111114</v>
      </c>
      <c r="G1001" s="1">
        <v>0.61805555555555558</v>
      </c>
      <c r="H1001">
        <v>91</v>
      </c>
      <c r="I1001" t="b">
        <v>1</v>
      </c>
      <c r="J1001" t="b">
        <v>1</v>
      </c>
      <c r="K1001" t="b">
        <v>1</v>
      </c>
      <c r="L1001" t="s">
        <v>62</v>
      </c>
      <c r="M1001">
        <v>70</v>
      </c>
      <c r="N1001" t="s">
        <v>64</v>
      </c>
      <c r="O1001">
        <v>52.5</v>
      </c>
      <c r="P1001" t="s">
        <v>40</v>
      </c>
      <c r="Q1001">
        <v>0.1</v>
      </c>
      <c r="R1001">
        <v>47.25</v>
      </c>
      <c r="S1001" t="s">
        <v>53</v>
      </c>
      <c r="T1001" t="s">
        <v>50</v>
      </c>
      <c r="U1001">
        <v>34.052199999999999</v>
      </c>
      <c r="V1001">
        <v>-118.2437</v>
      </c>
      <c r="W1001" s="2">
        <v>45633</v>
      </c>
      <c r="X1001">
        <v>2</v>
      </c>
      <c r="Y1001" t="b">
        <v>1</v>
      </c>
      <c r="Z1001" s="2">
        <v>45849</v>
      </c>
      <c r="AA1001" t="str">
        <f t="shared" si="151"/>
        <v>40–49</v>
      </c>
      <c r="AB1001" t="str">
        <f t="shared" si="152"/>
        <v>40–49</v>
      </c>
      <c r="AC1001" t="str">
        <f t="shared" si="153"/>
        <v/>
      </c>
      <c r="AD1001" t="str">
        <f t="shared" si="154"/>
        <v>Tuesday</v>
      </c>
      <c r="AE1001" t="str">
        <f t="shared" si="155"/>
        <v/>
      </c>
      <c r="AF1001" t="str">
        <f t="shared" si="156"/>
        <v/>
      </c>
      <c r="AG1001" t="str">
        <f t="shared" si="157"/>
        <v/>
      </c>
      <c r="AH1001" t="str">
        <f t="shared" si="158"/>
        <v>Saturday</v>
      </c>
      <c r="AI1001" t="str">
        <f t="shared" si="159"/>
        <v/>
      </c>
      <c r="AJ1001" t="str">
        <f>LEFT(Table1[[#This Row],[membership_type]],2)&amp;TEXT(Table1[[#This Row],[age]],"00")&amp;"-"&amp;TEXT(ROW(),"000")</f>
        <v>El47-1001</v>
      </c>
      <c r="AK1001" t="str">
        <f>LEFT(Table1[[#This Row],[membership_type]],1)&amp;TEXT(MATCH(Table1[[#This Row],[membership_type]],Table1[membership_type],0),"00")</f>
        <v>E07</v>
      </c>
      <c r="AL1001" t="str">
        <f>LEFT(Table1[[#This Row],[discount_type]],1)&amp;TEXT(ROUND(Table1[[#This Row],[discount_rate]]*100,0),"00")</f>
        <v>L10</v>
      </c>
      <c r="AM1001" t="str" cm="1">
        <f t="array" ref="AM1001">TEXT(SUMPRODUCT(CODE(MID(Table1[[#This Row],[home_gym_location]],_xlfn.SEQUENCE(LEN(Table1[[#This Row],[home_gym_location]])),1))),"00000")</f>
        <v>01245</v>
      </c>
      <c r="AN100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01" t="str">
        <f>LEFT(_xlfn.TEXTBEFORE(Table1[[#This Row],[Location Identifier]],"-"),3) &amp; "-" &amp; _xlfn.TEXTAFTER(Table1[[#This Row],[Location Identifier]],"-")</f>
        <v>LOS-005</v>
      </c>
      <c r="AP1001" s="9">
        <f t="shared" ca="1" si="150"/>
        <v>45869</v>
      </c>
    </row>
    <row r="1002" spans="1:42" x14ac:dyDescent="0.25">
      <c r="A1002">
        <v>20</v>
      </c>
      <c r="B1002" t="s">
        <v>33</v>
      </c>
      <c r="C1002">
        <v>1</v>
      </c>
      <c r="D1002" t="s">
        <v>71</v>
      </c>
      <c r="E1002" t="b">
        <v>0</v>
      </c>
      <c r="F1002" s="1">
        <v>0.37152777777777779</v>
      </c>
      <c r="G1002" s="1">
        <v>0.43263888888888891</v>
      </c>
      <c r="H1002">
        <v>88</v>
      </c>
      <c r="I1002" t="b">
        <v>1</v>
      </c>
      <c r="J1002" t="b">
        <v>1</v>
      </c>
      <c r="K1002" t="b">
        <v>1</v>
      </c>
      <c r="L1002" t="s">
        <v>62</v>
      </c>
      <c r="M1002">
        <v>30</v>
      </c>
      <c r="N1002" t="s">
        <v>29</v>
      </c>
      <c r="O1002">
        <v>30</v>
      </c>
      <c r="P1002" t="s">
        <v>36</v>
      </c>
      <c r="Q1002">
        <v>0</v>
      </c>
      <c r="R1002">
        <v>30</v>
      </c>
      <c r="S1002" t="s">
        <v>37</v>
      </c>
      <c r="T1002" t="s">
        <v>59</v>
      </c>
      <c r="U1002">
        <v>37.774900000000002</v>
      </c>
      <c r="V1002">
        <v>-122.4194</v>
      </c>
      <c r="W1002" s="2">
        <v>45253</v>
      </c>
      <c r="X1002">
        <v>4</v>
      </c>
      <c r="Y1002" t="b">
        <v>1</v>
      </c>
      <c r="Z1002" s="2">
        <v>45828</v>
      </c>
      <c r="AA1002" t="str">
        <f t="shared" si="151"/>
        <v>20–29</v>
      </c>
      <c r="AB1002" t="str">
        <f t="shared" si="152"/>
        <v>20–29</v>
      </c>
      <c r="AC1002" t="str">
        <f t="shared" si="153"/>
        <v/>
      </c>
      <c r="AD1002" t="str">
        <f t="shared" si="154"/>
        <v>Tuesday</v>
      </c>
      <c r="AE1002" t="str">
        <f t="shared" si="155"/>
        <v/>
      </c>
      <c r="AF1002" t="str">
        <f t="shared" si="156"/>
        <v/>
      </c>
      <c r="AG1002" t="str">
        <f t="shared" si="157"/>
        <v/>
      </c>
      <c r="AH1002" t="str">
        <f t="shared" si="158"/>
        <v/>
      </c>
      <c r="AI1002" t="str">
        <f t="shared" si="159"/>
        <v/>
      </c>
      <c r="AJ1002" t="str">
        <f>LEFT(Table1[[#This Row],[membership_type]],2)&amp;TEXT(Table1[[#This Row],[age]],"00")&amp;"-"&amp;TEXT(ROW(),"000")</f>
        <v>St20-1002</v>
      </c>
      <c r="AK1002" t="str">
        <f>LEFT(Table1[[#This Row],[membership_type]],1)&amp;TEXT(MATCH(Table1[[#This Row],[membership_type]],Table1[membership_type],0),"00")</f>
        <v>S02</v>
      </c>
      <c r="AL1002" t="str">
        <f>LEFT(Table1[[#This Row],[discount_type]],1)&amp;TEXT(ROUND(Table1[[#This Row],[discount_rate]]*100,0),"00")</f>
        <v>N00</v>
      </c>
      <c r="AM1002" t="str" cm="1">
        <f t="array" ref="AM1002">TEXT(SUMPRODUCT(CODE(MID(Table1[[#This Row],[home_gym_location]],_xlfn.SEQUENCE(LEN(Table1[[#This Row],[home_gym_location]])),1))),"00000")</f>
        <v>01450</v>
      </c>
      <c r="AN100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02" t="str">
        <f>LEFT(_xlfn.TEXTBEFORE(Table1[[#This Row],[Location Identifier]],"-"),3) &amp; "-" &amp; _xlfn.TEXTAFTER(Table1[[#This Row],[Location Identifier]],"-")</f>
        <v>SAN-009</v>
      </c>
      <c r="AP1002" s="9">
        <f t="shared" ca="1" si="150"/>
        <v>45869</v>
      </c>
    </row>
    <row r="1003" spans="1:42" x14ac:dyDescent="0.25">
      <c r="A1003">
        <v>40</v>
      </c>
      <c r="B1003" t="s">
        <v>42</v>
      </c>
      <c r="C1003">
        <v>1</v>
      </c>
      <c r="D1003" t="s">
        <v>95</v>
      </c>
      <c r="E1003" t="b">
        <v>0</v>
      </c>
      <c r="F1003" s="1">
        <v>0.43611111111111112</v>
      </c>
      <c r="G1003" s="1">
        <v>0.55902777777777779</v>
      </c>
      <c r="H1003">
        <v>177</v>
      </c>
      <c r="I1003" t="b">
        <v>0</v>
      </c>
      <c r="J1003" t="b">
        <v>0</v>
      </c>
      <c r="K1003" t="b">
        <v>1</v>
      </c>
      <c r="L1003" t="s">
        <v>62</v>
      </c>
      <c r="M1003">
        <v>20</v>
      </c>
      <c r="N1003" t="s">
        <v>64</v>
      </c>
      <c r="O1003">
        <v>15</v>
      </c>
      <c r="P1003" t="s">
        <v>74</v>
      </c>
      <c r="Q1003">
        <v>0.15</v>
      </c>
      <c r="R1003">
        <v>12.75</v>
      </c>
      <c r="S1003" t="s">
        <v>44</v>
      </c>
      <c r="T1003" t="s">
        <v>59</v>
      </c>
      <c r="U1003">
        <v>37.774900000000002</v>
      </c>
      <c r="V1003">
        <v>-122.4194</v>
      </c>
      <c r="W1003" s="2">
        <v>44901</v>
      </c>
      <c r="X1003">
        <v>0</v>
      </c>
      <c r="Y1003" t="b">
        <v>1</v>
      </c>
      <c r="Z1003" s="2">
        <v>45808</v>
      </c>
      <c r="AA1003" t="str">
        <f t="shared" si="151"/>
        <v>40–49</v>
      </c>
      <c r="AB1003" t="str">
        <f t="shared" si="152"/>
        <v>40–49</v>
      </c>
      <c r="AC1003" t="str">
        <f t="shared" si="153"/>
        <v/>
      </c>
      <c r="AD1003" t="str">
        <f t="shared" si="154"/>
        <v/>
      </c>
      <c r="AE1003" t="str">
        <f t="shared" si="155"/>
        <v/>
      </c>
      <c r="AF1003" t="str">
        <f t="shared" si="156"/>
        <v/>
      </c>
      <c r="AG1003" t="str">
        <f t="shared" si="157"/>
        <v/>
      </c>
      <c r="AH1003" t="str">
        <f t="shared" si="158"/>
        <v>Saturday</v>
      </c>
      <c r="AI1003" t="str">
        <f t="shared" si="159"/>
        <v/>
      </c>
      <c r="AJ1003" t="str">
        <f>LEFT(Table1[[#This Row],[membership_type]],2)&amp;TEXT(Table1[[#This Row],[age]],"00")&amp;"-"&amp;TEXT(ROW(),"000")</f>
        <v>Ba40-1003</v>
      </c>
      <c r="AK1003" t="str">
        <f>LEFT(Table1[[#This Row],[membership_type]],1)&amp;TEXT(MATCH(Table1[[#This Row],[membership_type]],Table1[membership_type],0),"00")</f>
        <v>B04</v>
      </c>
      <c r="AL1003" t="str">
        <f>LEFT(Table1[[#This Row],[discount_type]],1)&amp;TEXT(ROUND(Table1[[#This Row],[discount_rate]]*100,0),"00")</f>
        <v>S15</v>
      </c>
      <c r="AM1003" t="str" cm="1">
        <f t="array" ref="AM1003">TEXT(SUMPRODUCT(CODE(MID(Table1[[#This Row],[home_gym_location]],_xlfn.SEQUENCE(LEN(Table1[[#This Row],[home_gym_location]])),1))),"00000")</f>
        <v>01450</v>
      </c>
      <c r="AN100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03" t="str">
        <f>LEFT(_xlfn.TEXTBEFORE(Table1[[#This Row],[Location Identifier]],"-"),3) &amp; "-" &amp; _xlfn.TEXTAFTER(Table1[[#This Row],[Location Identifier]],"-")</f>
        <v>SAN-009</v>
      </c>
      <c r="AP1003" s="9">
        <f t="shared" ca="1" si="150"/>
        <v>45869</v>
      </c>
    </row>
    <row r="1004" spans="1:42" x14ac:dyDescent="0.25">
      <c r="A1004">
        <v>39</v>
      </c>
      <c r="B1004" t="s">
        <v>51</v>
      </c>
      <c r="C1004">
        <v>2</v>
      </c>
      <c r="D1004" t="s">
        <v>79</v>
      </c>
      <c r="E1004" t="b">
        <v>0</v>
      </c>
      <c r="F1004" s="1">
        <v>0.83611111111111114</v>
      </c>
      <c r="G1004" s="1">
        <v>0.86319444444444449</v>
      </c>
      <c r="H1004">
        <v>39</v>
      </c>
      <c r="I1004" t="b">
        <v>0</v>
      </c>
      <c r="J1004" t="b">
        <v>0</v>
      </c>
      <c r="K1004" t="b">
        <v>0</v>
      </c>
      <c r="L1004" t="s">
        <v>62</v>
      </c>
      <c r="M1004">
        <v>70</v>
      </c>
      <c r="N1004" t="s">
        <v>78</v>
      </c>
      <c r="O1004">
        <v>63</v>
      </c>
      <c r="P1004" t="s">
        <v>74</v>
      </c>
      <c r="Q1004">
        <v>0.15</v>
      </c>
      <c r="R1004">
        <v>53.55</v>
      </c>
      <c r="S1004" t="s">
        <v>53</v>
      </c>
      <c r="T1004" t="s">
        <v>59</v>
      </c>
      <c r="U1004">
        <v>37.774900000000002</v>
      </c>
      <c r="V1004">
        <v>-122.4194</v>
      </c>
      <c r="W1004" s="2">
        <v>45051</v>
      </c>
      <c r="X1004">
        <v>0</v>
      </c>
      <c r="Y1004" t="b">
        <v>1</v>
      </c>
      <c r="Z1004" s="2">
        <v>45817</v>
      </c>
      <c r="AA1004" t="str">
        <f t="shared" si="151"/>
        <v>30–39</v>
      </c>
      <c r="AB1004" t="str">
        <f t="shared" si="152"/>
        <v>30–39</v>
      </c>
      <c r="AC1004" t="str">
        <f t="shared" si="153"/>
        <v/>
      </c>
      <c r="AD1004" t="str">
        <f t="shared" si="154"/>
        <v/>
      </c>
      <c r="AE1004" t="str">
        <f t="shared" si="155"/>
        <v/>
      </c>
      <c r="AF1004" t="str">
        <f t="shared" si="156"/>
        <v/>
      </c>
      <c r="AG1004" t="str">
        <f t="shared" si="157"/>
        <v>Friday</v>
      </c>
      <c r="AH1004" t="str">
        <f t="shared" si="158"/>
        <v>Saturday</v>
      </c>
      <c r="AI1004" t="str">
        <f t="shared" si="159"/>
        <v/>
      </c>
      <c r="AJ1004" t="str">
        <f>LEFT(Table1[[#This Row],[membership_type]],2)&amp;TEXT(Table1[[#This Row],[age]],"00")&amp;"-"&amp;TEXT(ROW(),"000")</f>
        <v>El39-1004</v>
      </c>
      <c r="AK1004" t="str">
        <f>LEFT(Table1[[#This Row],[membership_type]],1)&amp;TEXT(MATCH(Table1[[#This Row],[membership_type]],Table1[membership_type],0),"00")</f>
        <v>E07</v>
      </c>
      <c r="AL1004" t="str">
        <f>LEFT(Table1[[#This Row],[discount_type]],1)&amp;TEXT(ROUND(Table1[[#This Row],[discount_rate]]*100,0),"00")</f>
        <v>S15</v>
      </c>
      <c r="AM1004" t="str" cm="1">
        <f t="array" ref="AM1004">TEXT(SUMPRODUCT(CODE(MID(Table1[[#This Row],[home_gym_location]],_xlfn.SEQUENCE(LEN(Table1[[#This Row],[home_gym_location]])),1))),"00000")</f>
        <v>01450</v>
      </c>
      <c r="AN100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04" t="str">
        <f>LEFT(_xlfn.TEXTBEFORE(Table1[[#This Row],[Location Identifier]],"-"),3) &amp; "-" &amp; _xlfn.TEXTAFTER(Table1[[#This Row],[Location Identifier]],"-")</f>
        <v>SAN-009</v>
      </c>
      <c r="AP1004" s="9">
        <f t="shared" ca="1" si="150"/>
        <v>45869</v>
      </c>
    </row>
    <row r="1005" spans="1:42" x14ac:dyDescent="0.25">
      <c r="A1005">
        <v>12</v>
      </c>
      <c r="B1005" t="s">
        <v>42</v>
      </c>
      <c r="C1005">
        <v>1</v>
      </c>
      <c r="D1005" t="s">
        <v>71</v>
      </c>
      <c r="E1005" t="b">
        <v>0</v>
      </c>
      <c r="F1005" s="1">
        <v>0.65763888888888888</v>
      </c>
      <c r="G1005" s="1">
        <v>0.68611111111111112</v>
      </c>
      <c r="H1005">
        <v>41</v>
      </c>
      <c r="I1005" t="b">
        <v>1</v>
      </c>
      <c r="J1005" t="b">
        <v>1</v>
      </c>
      <c r="K1005" t="b">
        <v>1</v>
      </c>
      <c r="L1005" t="s">
        <v>35</v>
      </c>
      <c r="M1005">
        <v>20</v>
      </c>
      <c r="N1005" t="s">
        <v>29</v>
      </c>
      <c r="O1005">
        <v>20</v>
      </c>
      <c r="P1005" t="s">
        <v>36</v>
      </c>
      <c r="Q1005">
        <v>0</v>
      </c>
      <c r="R1005">
        <v>20</v>
      </c>
      <c r="S1005" t="s">
        <v>44</v>
      </c>
      <c r="T1005" t="s">
        <v>56</v>
      </c>
      <c r="U1005">
        <v>35.3733</v>
      </c>
      <c r="V1005">
        <v>-119.0187</v>
      </c>
      <c r="W1005" s="2">
        <v>44972</v>
      </c>
      <c r="X1005">
        <v>5</v>
      </c>
      <c r="Y1005" t="b">
        <v>0</v>
      </c>
      <c r="Z1005" s="2">
        <v>45812</v>
      </c>
      <c r="AA1005" t="str">
        <f t="shared" si="151"/>
        <v>10–19</v>
      </c>
      <c r="AB1005" t="str">
        <f t="shared" si="152"/>
        <v>Under 16</v>
      </c>
      <c r="AC1005" t="str">
        <f t="shared" si="153"/>
        <v/>
      </c>
      <c r="AD1005" t="str">
        <f t="shared" si="154"/>
        <v>Tuesday</v>
      </c>
      <c r="AE1005" t="str">
        <f t="shared" si="155"/>
        <v/>
      </c>
      <c r="AF1005" t="str">
        <f t="shared" si="156"/>
        <v/>
      </c>
      <c r="AG1005" t="str">
        <f t="shared" si="157"/>
        <v/>
      </c>
      <c r="AH1005" t="str">
        <f t="shared" si="158"/>
        <v/>
      </c>
      <c r="AI1005" t="str">
        <f t="shared" si="159"/>
        <v/>
      </c>
      <c r="AJ1005" t="str">
        <f>LEFT(Table1[[#This Row],[membership_type]],2)&amp;TEXT(Table1[[#This Row],[age]],"00")&amp;"-"&amp;TEXT(ROW(),"000")</f>
        <v>Ba12-1005</v>
      </c>
      <c r="AK1005" t="str">
        <f>LEFT(Table1[[#This Row],[membership_type]],1)&amp;TEXT(MATCH(Table1[[#This Row],[membership_type]],Table1[membership_type],0),"00")</f>
        <v>B04</v>
      </c>
      <c r="AL1005" t="str">
        <f>LEFT(Table1[[#This Row],[discount_type]],1)&amp;TEXT(ROUND(Table1[[#This Row],[discount_rate]]*100,0),"00")</f>
        <v>N00</v>
      </c>
      <c r="AM1005" t="str" cm="1">
        <f t="array" ref="AM1005">TEXT(SUMPRODUCT(CODE(MID(Table1[[#This Row],[home_gym_location]],_xlfn.SEQUENCE(LEN(Table1[[#This Row],[home_gym_location]])),1))),"00000")</f>
        <v>01324</v>
      </c>
      <c r="AN100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05" t="str">
        <f>LEFT(_xlfn.TEXTBEFORE(Table1[[#This Row],[Location Identifier]],"-"),3) &amp; "-" &amp; _xlfn.TEXTAFTER(Table1[[#This Row],[Location Identifier]],"-")</f>
        <v>BAK-002</v>
      </c>
      <c r="AP1005" s="9">
        <f t="shared" ca="1" si="150"/>
        <v>45869</v>
      </c>
    </row>
    <row r="1006" spans="1:42" x14ac:dyDescent="0.25">
      <c r="A1006">
        <v>36</v>
      </c>
      <c r="B1006" t="s">
        <v>33</v>
      </c>
      <c r="C1006">
        <v>3</v>
      </c>
      <c r="D1006" t="s">
        <v>122</v>
      </c>
      <c r="E1006" t="b">
        <v>0</v>
      </c>
      <c r="F1006" s="1">
        <v>0.46597222222222223</v>
      </c>
      <c r="G1006" s="1">
        <v>0.5805555555555556</v>
      </c>
      <c r="H1006">
        <v>165</v>
      </c>
      <c r="I1006" t="b">
        <v>0</v>
      </c>
      <c r="J1006" t="b">
        <v>0</v>
      </c>
      <c r="K1006" t="b">
        <v>1</v>
      </c>
      <c r="L1006" t="s">
        <v>58</v>
      </c>
      <c r="M1006">
        <v>30</v>
      </c>
      <c r="N1006" t="s">
        <v>29</v>
      </c>
      <c r="O1006">
        <v>30</v>
      </c>
      <c r="P1006" t="s">
        <v>74</v>
      </c>
      <c r="Q1006">
        <v>0.15</v>
      </c>
      <c r="R1006">
        <v>25.5</v>
      </c>
      <c r="S1006" t="s">
        <v>37</v>
      </c>
      <c r="T1006" t="s">
        <v>32</v>
      </c>
      <c r="U1006">
        <v>37.338200000000001</v>
      </c>
      <c r="V1006">
        <v>-121.88630000000001</v>
      </c>
      <c r="W1006" s="2">
        <v>45129</v>
      </c>
      <c r="X1006">
        <v>0</v>
      </c>
      <c r="Y1006" t="b">
        <v>1</v>
      </c>
      <c r="Z1006" s="2">
        <v>45821</v>
      </c>
      <c r="AA1006" t="str">
        <f t="shared" si="151"/>
        <v>30–39</v>
      </c>
      <c r="AB1006" t="str">
        <f t="shared" si="152"/>
        <v>30–39</v>
      </c>
      <c r="AC1006" t="str">
        <f t="shared" si="153"/>
        <v/>
      </c>
      <c r="AD1006" t="str">
        <f t="shared" si="154"/>
        <v>Tuesday</v>
      </c>
      <c r="AE1006" t="str">
        <f t="shared" si="155"/>
        <v/>
      </c>
      <c r="AF1006" t="str">
        <f t="shared" si="156"/>
        <v/>
      </c>
      <c r="AG1006" t="str">
        <f t="shared" si="157"/>
        <v>Friday</v>
      </c>
      <c r="AH1006" t="str">
        <f t="shared" si="158"/>
        <v/>
      </c>
      <c r="AI1006" t="str">
        <f t="shared" si="159"/>
        <v>Sunday</v>
      </c>
      <c r="AJ1006" t="str">
        <f>LEFT(Table1[[#This Row],[membership_type]],2)&amp;TEXT(Table1[[#This Row],[age]],"00")&amp;"-"&amp;TEXT(ROW(),"000")</f>
        <v>St36-1006</v>
      </c>
      <c r="AK1006" t="str">
        <f>LEFT(Table1[[#This Row],[membership_type]],1)&amp;TEXT(MATCH(Table1[[#This Row],[membership_type]],Table1[membership_type],0),"00")</f>
        <v>S02</v>
      </c>
      <c r="AL1006" t="str">
        <f>LEFT(Table1[[#This Row],[discount_type]],1)&amp;TEXT(ROUND(Table1[[#This Row],[discount_rate]]*100,0),"00")</f>
        <v>S15</v>
      </c>
      <c r="AM1006" t="str" cm="1">
        <f t="array" ref="AM1006">TEXT(SUMPRODUCT(CODE(MID(Table1[[#This Row],[home_gym_location]],_xlfn.SEQUENCE(LEN(Table1[[#This Row],[home_gym_location]])),1))),"00000")</f>
        <v>00931</v>
      </c>
      <c r="AN100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06" t="str">
        <f>LEFT(_xlfn.TEXTBEFORE(Table1[[#This Row],[Location Identifier]],"-"),3) &amp; "-" &amp; _xlfn.TEXTAFTER(Table1[[#This Row],[Location Identifier]],"-")</f>
        <v>SAN-010</v>
      </c>
      <c r="AP1006" s="9">
        <f t="shared" ca="1" si="150"/>
        <v>45869</v>
      </c>
    </row>
    <row r="1007" spans="1:42" x14ac:dyDescent="0.25">
      <c r="A1007">
        <v>41</v>
      </c>
      <c r="B1007" t="s">
        <v>42</v>
      </c>
      <c r="C1007">
        <v>2</v>
      </c>
      <c r="D1007" t="s">
        <v>94</v>
      </c>
      <c r="E1007" t="b">
        <v>1</v>
      </c>
      <c r="F1007" s="1">
        <v>0.41458333333333336</v>
      </c>
      <c r="G1007" s="1">
        <v>0.48749999999999999</v>
      </c>
      <c r="H1007">
        <v>105</v>
      </c>
      <c r="I1007" t="b">
        <v>1</v>
      </c>
      <c r="J1007" t="b">
        <v>0</v>
      </c>
      <c r="K1007" t="b">
        <v>0</v>
      </c>
      <c r="L1007" t="s">
        <v>35</v>
      </c>
      <c r="M1007">
        <v>20</v>
      </c>
      <c r="N1007" t="s">
        <v>64</v>
      </c>
      <c r="O1007">
        <v>15</v>
      </c>
      <c r="P1007" t="s">
        <v>36</v>
      </c>
      <c r="Q1007">
        <v>0</v>
      </c>
      <c r="R1007">
        <v>15</v>
      </c>
      <c r="S1007" t="s">
        <v>44</v>
      </c>
      <c r="T1007" t="s">
        <v>41</v>
      </c>
      <c r="U1007">
        <v>37.804400000000001</v>
      </c>
      <c r="V1007">
        <v>-122.27119999999999</v>
      </c>
      <c r="W1007" s="2">
        <v>45093</v>
      </c>
      <c r="X1007">
        <v>0</v>
      </c>
      <c r="Y1007" t="b">
        <v>1</v>
      </c>
      <c r="Z1007" s="2">
        <v>45819</v>
      </c>
      <c r="AA1007" t="str">
        <f t="shared" si="151"/>
        <v>40–49</v>
      </c>
      <c r="AB1007" t="str">
        <f t="shared" si="152"/>
        <v>40–49</v>
      </c>
      <c r="AC1007" t="str">
        <f t="shared" si="153"/>
        <v/>
      </c>
      <c r="AD1007" t="str">
        <f t="shared" si="154"/>
        <v/>
      </c>
      <c r="AE1007" t="str">
        <f t="shared" si="155"/>
        <v/>
      </c>
      <c r="AF1007" t="str">
        <f t="shared" si="156"/>
        <v/>
      </c>
      <c r="AG1007" t="str">
        <f t="shared" si="157"/>
        <v/>
      </c>
      <c r="AH1007" t="str">
        <f t="shared" si="158"/>
        <v>Saturday</v>
      </c>
      <c r="AI1007" t="str">
        <f t="shared" si="159"/>
        <v>Sunday</v>
      </c>
      <c r="AJ1007" t="str">
        <f>LEFT(Table1[[#This Row],[membership_type]],2)&amp;TEXT(Table1[[#This Row],[age]],"00")&amp;"-"&amp;TEXT(ROW(),"000")</f>
        <v>Ba41-1007</v>
      </c>
      <c r="AK1007" t="str">
        <f>LEFT(Table1[[#This Row],[membership_type]],1)&amp;TEXT(MATCH(Table1[[#This Row],[membership_type]],Table1[membership_type],0),"00")</f>
        <v>B04</v>
      </c>
      <c r="AL1007" t="str">
        <f>LEFT(Table1[[#This Row],[discount_type]],1)&amp;TEXT(ROUND(Table1[[#This Row],[discount_rate]]*100,0),"00")</f>
        <v>N00</v>
      </c>
      <c r="AM1007" t="str" cm="1">
        <f t="array" ref="AM1007">TEXT(SUMPRODUCT(CODE(MID(Table1[[#This Row],[home_gym_location]],_xlfn.SEQUENCE(LEN(Table1[[#This Row],[home_gym_location]])),1))),"00000")</f>
        <v>00906</v>
      </c>
      <c r="AN100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07" t="str">
        <f>LEFT(_xlfn.TEXTBEFORE(Table1[[#This Row],[Location Identifier]],"-"),3) &amp; "-" &amp; _xlfn.TEXTAFTER(Table1[[#This Row],[Location Identifier]],"-")</f>
        <v>OAK-006</v>
      </c>
      <c r="AP1007" s="9">
        <f t="shared" ca="1" si="150"/>
        <v>45869</v>
      </c>
    </row>
    <row r="1008" spans="1:42" x14ac:dyDescent="0.25">
      <c r="A1008">
        <v>14</v>
      </c>
      <c r="B1008" t="s">
        <v>51</v>
      </c>
      <c r="C1008">
        <v>3</v>
      </c>
      <c r="D1008" t="s">
        <v>83</v>
      </c>
      <c r="E1008" t="b">
        <v>0</v>
      </c>
      <c r="F1008" s="1">
        <v>0.6069444444444444</v>
      </c>
      <c r="G1008" s="1">
        <v>0.68958333333333333</v>
      </c>
      <c r="H1008">
        <v>119</v>
      </c>
      <c r="I1008" t="b">
        <v>1</v>
      </c>
      <c r="J1008" t="b">
        <v>1</v>
      </c>
      <c r="K1008" t="b">
        <v>1</v>
      </c>
      <c r="L1008" t="s">
        <v>62</v>
      </c>
      <c r="M1008">
        <v>70</v>
      </c>
      <c r="N1008" t="s">
        <v>29</v>
      </c>
      <c r="O1008">
        <v>70</v>
      </c>
      <c r="P1008" t="s">
        <v>36</v>
      </c>
      <c r="Q1008">
        <v>0</v>
      </c>
      <c r="R1008">
        <v>70</v>
      </c>
      <c r="S1008" t="s">
        <v>53</v>
      </c>
      <c r="T1008" t="s">
        <v>48</v>
      </c>
      <c r="U1008">
        <v>38.581600000000002</v>
      </c>
      <c r="V1008">
        <v>-121.4944</v>
      </c>
      <c r="W1008" s="2">
        <v>44926</v>
      </c>
      <c r="X1008">
        <v>6</v>
      </c>
      <c r="Y1008" t="b">
        <v>1</v>
      </c>
      <c r="Z1008" s="2">
        <v>45810</v>
      </c>
      <c r="AA1008" t="str">
        <f t="shared" si="151"/>
        <v>10–19</v>
      </c>
      <c r="AB1008" t="str">
        <f t="shared" si="152"/>
        <v>Under 16</v>
      </c>
      <c r="AC1008" t="str">
        <f t="shared" si="153"/>
        <v/>
      </c>
      <c r="AD1008" t="str">
        <f t="shared" si="154"/>
        <v>Tuesday</v>
      </c>
      <c r="AE1008" t="str">
        <f t="shared" si="155"/>
        <v>Wednesday</v>
      </c>
      <c r="AF1008" t="str">
        <f t="shared" si="156"/>
        <v/>
      </c>
      <c r="AG1008" t="str">
        <f t="shared" si="157"/>
        <v/>
      </c>
      <c r="AH1008" t="str">
        <f t="shared" si="158"/>
        <v>Saturday</v>
      </c>
      <c r="AI1008" t="str">
        <f t="shared" si="159"/>
        <v/>
      </c>
      <c r="AJ1008" t="str">
        <f>LEFT(Table1[[#This Row],[membership_type]],2)&amp;TEXT(Table1[[#This Row],[age]],"00")&amp;"-"&amp;TEXT(ROW(),"000")</f>
        <v>El14-1008</v>
      </c>
      <c r="AK1008" t="str">
        <f>LEFT(Table1[[#This Row],[membership_type]],1)&amp;TEXT(MATCH(Table1[[#This Row],[membership_type]],Table1[membership_type],0),"00")</f>
        <v>E07</v>
      </c>
      <c r="AL1008" t="str">
        <f>LEFT(Table1[[#This Row],[discount_type]],1)&amp;TEXT(ROUND(Table1[[#This Row],[discount_rate]]*100,0),"00")</f>
        <v>N00</v>
      </c>
      <c r="AM1008" t="str" cm="1">
        <f t="array" ref="AM1008">TEXT(SUMPRODUCT(CODE(MID(Table1[[#This Row],[home_gym_location]],_xlfn.SEQUENCE(LEN(Table1[[#This Row],[home_gym_location]])),1))),"00000")</f>
        <v>01245</v>
      </c>
      <c r="AN100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08" t="str">
        <f>LEFT(_xlfn.TEXTBEFORE(Table1[[#This Row],[Location Identifier]],"-"),3) &amp; "-" &amp; _xlfn.TEXTAFTER(Table1[[#This Row],[Location Identifier]],"-")</f>
        <v>SAC-007</v>
      </c>
      <c r="AP1008" s="9">
        <f t="shared" ca="1" si="150"/>
        <v>45869</v>
      </c>
    </row>
    <row r="1009" spans="1:42" x14ac:dyDescent="0.25">
      <c r="A1009">
        <v>39</v>
      </c>
      <c r="B1009" t="s">
        <v>26</v>
      </c>
      <c r="C1009">
        <v>4</v>
      </c>
      <c r="D1009" t="s">
        <v>99</v>
      </c>
      <c r="E1009" t="b">
        <v>1</v>
      </c>
      <c r="F1009" s="1">
        <v>0.49375000000000002</v>
      </c>
      <c r="G1009" s="1">
        <v>0.51527777777777772</v>
      </c>
      <c r="H1009">
        <v>31</v>
      </c>
      <c r="I1009" t="b">
        <v>0</v>
      </c>
      <c r="J1009" t="b">
        <v>0</v>
      </c>
      <c r="K1009" t="b">
        <v>1</v>
      </c>
      <c r="L1009" t="s">
        <v>28</v>
      </c>
      <c r="M1009">
        <v>50</v>
      </c>
      <c r="N1009" t="s">
        <v>29</v>
      </c>
      <c r="O1009">
        <v>50</v>
      </c>
      <c r="P1009" t="s">
        <v>36</v>
      </c>
      <c r="Q1009">
        <v>0</v>
      </c>
      <c r="R1009">
        <v>50</v>
      </c>
      <c r="S1009" t="s">
        <v>31</v>
      </c>
      <c r="T1009" t="s">
        <v>65</v>
      </c>
      <c r="U1009">
        <v>33.770099999999999</v>
      </c>
      <c r="V1009">
        <v>-118.19370000000001</v>
      </c>
      <c r="W1009" s="2">
        <v>45565</v>
      </c>
      <c r="X1009">
        <v>0</v>
      </c>
      <c r="Y1009" t="b">
        <v>1</v>
      </c>
      <c r="Z1009" s="2">
        <v>45846</v>
      </c>
      <c r="AA1009" t="str">
        <f t="shared" si="151"/>
        <v>30–39</v>
      </c>
      <c r="AB1009" t="str">
        <f t="shared" si="152"/>
        <v>30–39</v>
      </c>
      <c r="AC1009" t="str">
        <f t="shared" si="153"/>
        <v/>
      </c>
      <c r="AD1009" t="str">
        <f t="shared" si="154"/>
        <v/>
      </c>
      <c r="AE1009" t="str">
        <f t="shared" si="155"/>
        <v>Wednesday</v>
      </c>
      <c r="AF1009" t="str">
        <f t="shared" si="156"/>
        <v/>
      </c>
      <c r="AG1009" t="str">
        <f t="shared" si="157"/>
        <v>Friday</v>
      </c>
      <c r="AH1009" t="str">
        <f t="shared" si="158"/>
        <v>Saturday</v>
      </c>
      <c r="AI1009" t="str">
        <f t="shared" si="159"/>
        <v>Sunday</v>
      </c>
      <c r="AJ1009" t="str">
        <f>LEFT(Table1[[#This Row],[membership_type]],2)&amp;TEXT(Table1[[#This Row],[age]],"00")&amp;"-"&amp;TEXT(ROW(),"000")</f>
        <v>Pr39-1009</v>
      </c>
      <c r="AK1009" t="str">
        <f>LEFT(Table1[[#This Row],[membership_type]],1)&amp;TEXT(MATCH(Table1[[#This Row],[membership_type]],Table1[membership_type],0),"00")</f>
        <v>P01</v>
      </c>
      <c r="AL1009" t="str">
        <f>LEFT(Table1[[#This Row],[discount_type]],1)&amp;TEXT(ROUND(Table1[[#This Row],[discount_rate]]*100,0),"00")</f>
        <v>N00</v>
      </c>
      <c r="AM1009" t="str" cm="1">
        <f t="array" ref="AM1009">TEXT(SUMPRODUCT(CODE(MID(Table1[[#This Row],[home_gym_location]],_xlfn.SEQUENCE(LEN(Table1[[#This Row],[home_gym_location]])),1))),"00000")</f>
        <v>01107</v>
      </c>
      <c r="AN100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09" t="str">
        <f>LEFT(_xlfn.TEXTBEFORE(Table1[[#This Row],[Location Identifier]],"-"),3) &amp; "-" &amp; _xlfn.TEXTAFTER(Table1[[#This Row],[Location Identifier]],"-")</f>
        <v>LON-004</v>
      </c>
      <c r="AP1009" s="9">
        <f t="shared" ca="1" si="150"/>
        <v>45869</v>
      </c>
    </row>
    <row r="1010" spans="1:42" x14ac:dyDescent="0.25">
      <c r="A1010">
        <v>21</v>
      </c>
      <c r="B1010" t="s">
        <v>33</v>
      </c>
      <c r="C1010">
        <v>2</v>
      </c>
      <c r="D1010" t="s">
        <v>101</v>
      </c>
      <c r="E1010" t="b">
        <v>0</v>
      </c>
      <c r="F1010" s="1">
        <v>0.84236111111111112</v>
      </c>
      <c r="G1010" s="1">
        <v>0.90833333333333333</v>
      </c>
      <c r="H1010">
        <v>95</v>
      </c>
      <c r="I1010" t="b">
        <v>1</v>
      </c>
      <c r="J1010" t="b">
        <v>0</v>
      </c>
      <c r="K1010" t="b">
        <v>0</v>
      </c>
      <c r="L1010" t="s">
        <v>62</v>
      </c>
      <c r="M1010">
        <v>30</v>
      </c>
      <c r="N1010" t="s">
        <v>64</v>
      </c>
      <c r="O1010">
        <v>22.5</v>
      </c>
      <c r="P1010" t="s">
        <v>74</v>
      </c>
      <c r="Q1010">
        <v>0.15</v>
      </c>
      <c r="R1010">
        <v>19.125</v>
      </c>
      <c r="S1010" t="s">
        <v>37</v>
      </c>
      <c r="T1010" t="s">
        <v>38</v>
      </c>
      <c r="U1010">
        <v>36.7378</v>
      </c>
      <c r="V1010">
        <v>-119.7871</v>
      </c>
      <c r="W1010" s="2">
        <v>45309</v>
      </c>
      <c r="X1010">
        <v>0</v>
      </c>
      <c r="Y1010" t="b">
        <v>0</v>
      </c>
      <c r="Z1010" s="2">
        <v>45831</v>
      </c>
      <c r="AA1010" t="str">
        <f t="shared" si="151"/>
        <v>20–29</v>
      </c>
      <c r="AB1010" t="str">
        <f t="shared" si="152"/>
        <v>20–29</v>
      </c>
      <c r="AC1010" t="str">
        <f t="shared" si="153"/>
        <v>Monday</v>
      </c>
      <c r="AD1010" t="str">
        <f t="shared" si="154"/>
        <v/>
      </c>
      <c r="AE1010" t="str">
        <f t="shared" si="155"/>
        <v/>
      </c>
      <c r="AF1010" t="str">
        <f t="shared" si="156"/>
        <v/>
      </c>
      <c r="AG1010" t="str">
        <f t="shared" si="157"/>
        <v>Friday</v>
      </c>
      <c r="AH1010" t="str">
        <f t="shared" si="158"/>
        <v/>
      </c>
      <c r="AI1010" t="str">
        <f t="shared" si="159"/>
        <v/>
      </c>
      <c r="AJ1010" t="str">
        <f>LEFT(Table1[[#This Row],[membership_type]],2)&amp;TEXT(Table1[[#This Row],[age]],"00")&amp;"-"&amp;TEXT(ROW(),"000")</f>
        <v>St21-1010</v>
      </c>
      <c r="AK1010" t="str">
        <f>LEFT(Table1[[#This Row],[membership_type]],1)&amp;TEXT(MATCH(Table1[[#This Row],[membership_type]],Table1[membership_type],0),"00")</f>
        <v>S02</v>
      </c>
      <c r="AL1010" t="str">
        <f>LEFT(Table1[[#This Row],[discount_type]],1)&amp;TEXT(ROUND(Table1[[#This Row],[discount_rate]]*100,0),"00")</f>
        <v>S15</v>
      </c>
      <c r="AM1010" t="str" cm="1">
        <f t="array" ref="AM1010">TEXT(SUMPRODUCT(CODE(MID(Table1[[#This Row],[home_gym_location]],_xlfn.SEQUENCE(LEN(Table1[[#This Row],[home_gym_location]])),1))),"00000")</f>
        <v>00829</v>
      </c>
      <c r="AN1010" t="str">
        <f>UPPER(_xlfn.TEXTBEFORE(Table1[[#This Row],[home_gym_location]],","))&amp;"-"&amp;TEXT(MATCH(Table1[[#This Row],[home_gym_location]],_xlfn._xlws.SORT(_xlfn.UNIQUE(Table1[home_gym_location])),0),"000")</f>
        <v>FRESNO-003</v>
      </c>
      <c r="AO1010" t="str">
        <f>LEFT(_xlfn.TEXTBEFORE(Table1[[#This Row],[Location Identifier]],"-"),3) &amp; "-" &amp; _xlfn.TEXTAFTER(Table1[[#This Row],[Location Identifier]],"-")</f>
        <v>FRE-003</v>
      </c>
      <c r="AP1010" s="9">
        <f t="shared" ca="1" si="150"/>
        <v>45869</v>
      </c>
    </row>
    <row r="1011" spans="1:42" x14ac:dyDescent="0.25">
      <c r="A1011">
        <v>18</v>
      </c>
      <c r="B1011" t="s">
        <v>33</v>
      </c>
      <c r="C1011">
        <v>2</v>
      </c>
      <c r="D1011" t="s">
        <v>43</v>
      </c>
      <c r="E1011" t="b">
        <v>1</v>
      </c>
      <c r="F1011" s="1">
        <v>0.43472222222222223</v>
      </c>
      <c r="G1011" s="1">
        <v>0.50902777777777775</v>
      </c>
      <c r="H1011">
        <v>107</v>
      </c>
      <c r="I1011" t="b">
        <v>1</v>
      </c>
      <c r="J1011" t="b">
        <v>0</v>
      </c>
      <c r="K1011" t="b">
        <v>1</v>
      </c>
      <c r="L1011" t="s">
        <v>62</v>
      </c>
      <c r="M1011">
        <v>30</v>
      </c>
      <c r="N1011" t="s">
        <v>29</v>
      </c>
      <c r="O1011">
        <v>30</v>
      </c>
      <c r="P1011" t="s">
        <v>40</v>
      </c>
      <c r="Q1011">
        <v>0.1</v>
      </c>
      <c r="R1011">
        <v>27</v>
      </c>
      <c r="S1011" t="s">
        <v>37</v>
      </c>
      <c r="T1011" t="s">
        <v>65</v>
      </c>
      <c r="U1011">
        <v>33.770099999999999</v>
      </c>
      <c r="V1011">
        <v>-118.19370000000001</v>
      </c>
      <c r="W1011" s="2">
        <v>45595</v>
      </c>
      <c r="X1011">
        <v>0</v>
      </c>
      <c r="Y1011" t="b">
        <v>0</v>
      </c>
      <c r="Z1011" s="2">
        <v>45847</v>
      </c>
      <c r="AA1011" t="str">
        <f t="shared" si="151"/>
        <v>10–19</v>
      </c>
      <c r="AB1011" t="str">
        <f t="shared" si="152"/>
        <v>16–19</v>
      </c>
      <c r="AC1011" t="str">
        <f t="shared" si="153"/>
        <v>Monday</v>
      </c>
      <c r="AD1011" t="str">
        <f t="shared" si="154"/>
        <v>Tuesday</v>
      </c>
      <c r="AE1011" t="str">
        <f t="shared" si="155"/>
        <v/>
      </c>
      <c r="AF1011" t="str">
        <f t="shared" si="156"/>
        <v/>
      </c>
      <c r="AG1011" t="str">
        <f t="shared" si="157"/>
        <v/>
      </c>
      <c r="AH1011" t="str">
        <f t="shared" si="158"/>
        <v/>
      </c>
      <c r="AI1011" t="str">
        <f t="shared" si="159"/>
        <v/>
      </c>
      <c r="AJ1011" t="str">
        <f>LEFT(Table1[[#This Row],[membership_type]],2)&amp;TEXT(Table1[[#This Row],[age]],"00")&amp;"-"&amp;TEXT(ROW(),"000")</f>
        <v>St18-1011</v>
      </c>
      <c r="AK1011" t="str">
        <f>LEFT(Table1[[#This Row],[membership_type]],1)&amp;TEXT(MATCH(Table1[[#This Row],[membership_type]],Table1[membership_type],0),"00")</f>
        <v>S02</v>
      </c>
      <c r="AL1011" t="str">
        <f>LEFT(Table1[[#This Row],[discount_type]],1)&amp;TEXT(ROUND(Table1[[#This Row],[discount_rate]]*100,0),"00")</f>
        <v>L10</v>
      </c>
      <c r="AM1011" t="str" cm="1">
        <f t="array" ref="AM1011">TEXT(SUMPRODUCT(CODE(MID(Table1[[#This Row],[home_gym_location]],_xlfn.SEQUENCE(LEN(Table1[[#This Row],[home_gym_location]])),1))),"00000")</f>
        <v>01107</v>
      </c>
      <c r="AN101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11" t="str">
        <f>LEFT(_xlfn.TEXTBEFORE(Table1[[#This Row],[Location Identifier]],"-"),3) &amp; "-" &amp; _xlfn.TEXTAFTER(Table1[[#This Row],[Location Identifier]],"-")</f>
        <v>LON-004</v>
      </c>
      <c r="AP1011" s="9">
        <f t="shared" ca="1" si="150"/>
        <v>45869</v>
      </c>
    </row>
    <row r="1012" spans="1:42" x14ac:dyDescent="0.25">
      <c r="A1012">
        <v>24</v>
      </c>
      <c r="B1012" t="s">
        <v>26</v>
      </c>
      <c r="C1012">
        <v>5</v>
      </c>
      <c r="D1012" t="s">
        <v>115</v>
      </c>
      <c r="E1012" t="b">
        <v>0</v>
      </c>
      <c r="F1012" s="1">
        <v>0.87013888888888891</v>
      </c>
      <c r="G1012" s="1">
        <v>0.98124999999999996</v>
      </c>
      <c r="H1012">
        <v>160</v>
      </c>
      <c r="I1012" t="b">
        <v>1</v>
      </c>
      <c r="J1012" t="b">
        <v>0</v>
      </c>
      <c r="K1012" t="b">
        <v>0</v>
      </c>
      <c r="L1012" t="s">
        <v>28</v>
      </c>
      <c r="M1012">
        <v>50</v>
      </c>
      <c r="N1012" t="s">
        <v>29</v>
      </c>
      <c r="O1012">
        <v>50</v>
      </c>
      <c r="P1012" t="s">
        <v>40</v>
      </c>
      <c r="Q1012">
        <v>0.1</v>
      </c>
      <c r="R1012">
        <v>45</v>
      </c>
      <c r="S1012" t="s">
        <v>31</v>
      </c>
      <c r="T1012" t="s">
        <v>56</v>
      </c>
      <c r="U1012">
        <v>35.3733</v>
      </c>
      <c r="V1012">
        <v>-119.0187</v>
      </c>
      <c r="W1012" s="2">
        <v>44779</v>
      </c>
      <c r="X1012">
        <v>0</v>
      </c>
      <c r="Y1012" t="b">
        <v>0</v>
      </c>
      <c r="Z1012" s="2">
        <v>45801</v>
      </c>
      <c r="AA1012" t="str">
        <f t="shared" si="151"/>
        <v>20–29</v>
      </c>
      <c r="AB1012" t="str">
        <f t="shared" si="152"/>
        <v>20–29</v>
      </c>
      <c r="AC1012" t="str">
        <f t="shared" si="153"/>
        <v>Monday</v>
      </c>
      <c r="AD1012" t="str">
        <f t="shared" si="154"/>
        <v/>
      </c>
      <c r="AE1012" t="str">
        <f t="shared" si="155"/>
        <v>Wednesday</v>
      </c>
      <c r="AF1012" t="str">
        <f t="shared" si="156"/>
        <v/>
      </c>
      <c r="AG1012" t="str">
        <f t="shared" si="157"/>
        <v>Friday</v>
      </c>
      <c r="AH1012" t="str">
        <f t="shared" si="158"/>
        <v>Saturday</v>
      </c>
      <c r="AI1012" t="str">
        <f t="shared" si="159"/>
        <v>Sunday</v>
      </c>
      <c r="AJ1012" t="str">
        <f>LEFT(Table1[[#This Row],[membership_type]],2)&amp;TEXT(Table1[[#This Row],[age]],"00")&amp;"-"&amp;TEXT(ROW(),"000")</f>
        <v>Pr24-1012</v>
      </c>
      <c r="AK1012" t="str">
        <f>LEFT(Table1[[#This Row],[membership_type]],1)&amp;TEXT(MATCH(Table1[[#This Row],[membership_type]],Table1[membership_type],0),"00")</f>
        <v>P01</v>
      </c>
      <c r="AL1012" t="str">
        <f>LEFT(Table1[[#This Row],[discount_type]],1)&amp;TEXT(ROUND(Table1[[#This Row],[discount_rate]]*100,0),"00")</f>
        <v>L10</v>
      </c>
      <c r="AM1012" t="str" cm="1">
        <f t="array" ref="AM1012">TEXT(SUMPRODUCT(CODE(MID(Table1[[#This Row],[home_gym_location]],_xlfn.SEQUENCE(LEN(Table1[[#This Row],[home_gym_location]])),1))),"00000")</f>
        <v>01324</v>
      </c>
      <c r="AN101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12" t="str">
        <f>LEFT(_xlfn.TEXTBEFORE(Table1[[#This Row],[Location Identifier]],"-"),3) &amp; "-" &amp; _xlfn.TEXTAFTER(Table1[[#This Row],[Location Identifier]],"-")</f>
        <v>BAK-002</v>
      </c>
      <c r="AP1012" s="9">
        <f t="shared" ca="1" si="150"/>
        <v>45869</v>
      </c>
    </row>
    <row r="1013" spans="1:42" x14ac:dyDescent="0.25">
      <c r="A1013">
        <v>41</v>
      </c>
      <c r="B1013" t="s">
        <v>26</v>
      </c>
      <c r="C1013">
        <v>1</v>
      </c>
      <c r="D1013" t="s">
        <v>63</v>
      </c>
      <c r="E1013" t="b">
        <v>1</v>
      </c>
      <c r="F1013" s="1">
        <v>0.55138888888888893</v>
      </c>
      <c r="G1013" s="1">
        <v>0.64861111111111114</v>
      </c>
      <c r="H1013">
        <v>140</v>
      </c>
      <c r="I1013" t="b">
        <v>0</v>
      </c>
      <c r="J1013" t="b">
        <v>0</v>
      </c>
      <c r="K1013" t="b">
        <v>0</v>
      </c>
      <c r="L1013" t="s">
        <v>62</v>
      </c>
      <c r="M1013">
        <v>50</v>
      </c>
      <c r="N1013" t="s">
        <v>29</v>
      </c>
      <c r="O1013">
        <v>50</v>
      </c>
      <c r="P1013" t="s">
        <v>40</v>
      </c>
      <c r="Q1013">
        <v>0.1</v>
      </c>
      <c r="R1013">
        <v>45</v>
      </c>
      <c r="S1013" t="s">
        <v>31</v>
      </c>
      <c r="T1013" t="s">
        <v>50</v>
      </c>
      <c r="U1013">
        <v>34.052199999999999</v>
      </c>
      <c r="V1013">
        <v>-118.2437</v>
      </c>
      <c r="W1013" s="2">
        <v>44825</v>
      </c>
      <c r="X1013">
        <v>0</v>
      </c>
      <c r="Y1013" t="b">
        <v>1</v>
      </c>
      <c r="Z1013" s="2">
        <v>45804</v>
      </c>
      <c r="AA1013" t="str">
        <f t="shared" si="151"/>
        <v>40–49</v>
      </c>
      <c r="AB1013" t="str">
        <f t="shared" si="152"/>
        <v>40–49</v>
      </c>
      <c r="AC1013" t="str">
        <f t="shared" si="153"/>
        <v/>
      </c>
      <c r="AD1013" t="str">
        <f t="shared" si="154"/>
        <v/>
      </c>
      <c r="AE1013" t="str">
        <f t="shared" si="155"/>
        <v>Wednesday</v>
      </c>
      <c r="AF1013" t="str">
        <f t="shared" si="156"/>
        <v/>
      </c>
      <c r="AG1013" t="str">
        <f t="shared" si="157"/>
        <v/>
      </c>
      <c r="AH1013" t="str">
        <f t="shared" si="158"/>
        <v/>
      </c>
      <c r="AI1013" t="str">
        <f t="shared" si="159"/>
        <v/>
      </c>
      <c r="AJ1013" t="str">
        <f>LEFT(Table1[[#This Row],[membership_type]],2)&amp;TEXT(Table1[[#This Row],[age]],"00")&amp;"-"&amp;TEXT(ROW(),"000")</f>
        <v>Pr41-1013</v>
      </c>
      <c r="AK1013" t="str">
        <f>LEFT(Table1[[#This Row],[membership_type]],1)&amp;TEXT(MATCH(Table1[[#This Row],[membership_type]],Table1[membership_type],0),"00")</f>
        <v>P01</v>
      </c>
      <c r="AL1013" t="str">
        <f>LEFT(Table1[[#This Row],[discount_type]],1)&amp;TEXT(ROUND(Table1[[#This Row],[discount_rate]]*100,0),"00")</f>
        <v>L10</v>
      </c>
      <c r="AM1013" t="str" cm="1">
        <f t="array" ref="AM1013">TEXT(SUMPRODUCT(CODE(MID(Table1[[#This Row],[home_gym_location]],_xlfn.SEQUENCE(LEN(Table1[[#This Row],[home_gym_location]])),1))),"00000")</f>
        <v>01245</v>
      </c>
      <c r="AN101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13" t="str">
        <f>LEFT(_xlfn.TEXTBEFORE(Table1[[#This Row],[Location Identifier]],"-"),3) &amp; "-" &amp; _xlfn.TEXTAFTER(Table1[[#This Row],[Location Identifier]],"-")</f>
        <v>LOS-005</v>
      </c>
      <c r="AP1013" s="9">
        <f t="shared" ca="1" si="150"/>
        <v>45869</v>
      </c>
    </row>
    <row r="1014" spans="1:42" x14ac:dyDescent="0.25">
      <c r="A1014">
        <v>44</v>
      </c>
      <c r="B1014" t="s">
        <v>42</v>
      </c>
      <c r="C1014">
        <v>1</v>
      </c>
      <c r="D1014" t="s">
        <v>63</v>
      </c>
      <c r="E1014" t="b">
        <v>0</v>
      </c>
      <c r="F1014" s="1">
        <v>0.86319444444444449</v>
      </c>
      <c r="G1014" s="1">
        <v>0.95694444444444449</v>
      </c>
      <c r="H1014">
        <v>135</v>
      </c>
      <c r="I1014" t="b">
        <v>1</v>
      </c>
      <c r="J1014" t="b">
        <v>0</v>
      </c>
      <c r="K1014" t="b">
        <v>0</v>
      </c>
      <c r="L1014" t="s">
        <v>62</v>
      </c>
      <c r="M1014">
        <v>20</v>
      </c>
      <c r="N1014" t="s">
        <v>29</v>
      </c>
      <c r="O1014">
        <v>20</v>
      </c>
      <c r="P1014" t="s">
        <v>36</v>
      </c>
      <c r="Q1014">
        <v>0</v>
      </c>
      <c r="R1014">
        <v>20</v>
      </c>
      <c r="S1014" t="s">
        <v>44</v>
      </c>
      <c r="T1014" t="s">
        <v>48</v>
      </c>
      <c r="U1014">
        <v>38.581600000000002</v>
      </c>
      <c r="V1014">
        <v>-121.4944</v>
      </c>
      <c r="W1014" s="2">
        <v>45789</v>
      </c>
      <c r="X1014">
        <v>0</v>
      </c>
      <c r="Y1014" t="b">
        <v>1</v>
      </c>
      <c r="Z1014" s="2">
        <v>45858</v>
      </c>
      <c r="AA1014" t="str">
        <f t="shared" si="151"/>
        <v>40–49</v>
      </c>
      <c r="AB1014" t="str">
        <f t="shared" si="152"/>
        <v>40–49</v>
      </c>
      <c r="AC1014" t="str">
        <f t="shared" si="153"/>
        <v/>
      </c>
      <c r="AD1014" t="str">
        <f t="shared" si="154"/>
        <v/>
      </c>
      <c r="AE1014" t="str">
        <f t="shared" si="155"/>
        <v>Wednesday</v>
      </c>
      <c r="AF1014" t="str">
        <f t="shared" si="156"/>
        <v/>
      </c>
      <c r="AG1014" t="str">
        <f t="shared" si="157"/>
        <v/>
      </c>
      <c r="AH1014" t="str">
        <f t="shared" si="158"/>
        <v/>
      </c>
      <c r="AI1014" t="str">
        <f t="shared" si="159"/>
        <v/>
      </c>
      <c r="AJ1014" t="str">
        <f>LEFT(Table1[[#This Row],[membership_type]],2)&amp;TEXT(Table1[[#This Row],[age]],"00")&amp;"-"&amp;TEXT(ROW(),"000")</f>
        <v>Ba44-1014</v>
      </c>
      <c r="AK1014" t="str">
        <f>LEFT(Table1[[#This Row],[membership_type]],1)&amp;TEXT(MATCH(Table1[[#This Row],[membership_type]],Table1[membership_type],0),"00")</f>
        <v>B04</v>
      </c>
      <c r="AL1014" t="str">
        <f>LEFT(Table1[[#This Row],[discount_type]],1)&amp;TEXT(ROUND(Table1[[#This Row],[discount_rate]]*100,0),"00")</f>
        <v>N00</v>
      </c>
      <c r="AM1014" t="str" cm="1">
        <f t="array" ref="AM1014">TEXT(SUMPRODUCT(CODE(MID(Table1[[#This Row],[home_gym_location]],_xlfn.SEQUENCE(LEN(Table1[[#This Row],[home_gym_location]])),1))),"00000")</f>
        <v>01245</v>
      </c>
      <c r="AN101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14" t="str">
        <f>LEFT(_xlfn.TEXTBEFORE(Table1[[#This Row],[Location Identifier]],"-"),3) &amp; "-" &amp; _xlfn.TEXTAFTER(Table1[[#This Row],[Location Identifier]],"-")</f>
        <v>SAC-007</v>
      </c>
      <c r="AP1014" s="9">
        <f t="shared" ca="1" si="150"/>
        <v>45869</v>
      </c>
    </row>
    <row r="1015" spans="1:42" x14ac:dyDescent="0.25">
      <c r="A1015">
        <v>39</v>
      </c>
      <c r="B1015" t="s">
        <v>42</v>
      </c>
      <c r="C1015">
        <v>2</v>
      </c>
      <c r="D1015" t="s">
        <v>43</v>
      </c>
      <c r="E1015" t="b">
        <v>1</v>
      </c>
      <c r="F1015" s="1">
        <v>0.3888888888888889</v>
      </c>
      <c r="G1015" s="1">
        <v>0.41111111111111109</v>
      </c>
      <c r="H1015">
        <v>32</v>
      </c>
      <c r="I1015" t="b">
        <v>1</v>
      </c>
      <c r="J1015" t="b">
        <v>0</v>
      </c>
      <c r="K1015" t="b">
        <v>0</v>
      </c>
      <c r="L1015" t="s">
        <v>28</v>
      </c>
      <c r="M1015">
        <v>20</v>
      </c>
      <c r="N1015" t="s">
        <v>64</v>
      </c>
      <c r="O1015">
        <v>15</v>
      </c>
      <c r="P1015" t="s">
        <v>40</v>
      </c>
      <c r="Q1015">
        <v>0.1</v>
      </c>
      <c r="R1015">
        <v>13.5</v>
      </c>
      <c r="S1015" t="s">
        <v>44</v>
      </c>
      <c r="T1015" t="s">
        <v>54</v>
      </c>
      <c r="U1015">
        <v>32.715699999999998</v>
      </c>
      <c r="V1015">
        <v>-117.1611</v>
      </c>
      <c r="W1015" s="2">
        <v>45079</v>
      </c>
      <c r="X1015">
        <v>0</v>
      </c>
      <c r="Y1015" t="b">
        <v>0</v>
      </c>
      <c r="Z1015" s="2">
        <v>45818</v>
      </c>
      <c r="AA1015" t="str">
        <f t="shared" si="151"/>
        <v>30–39</v>
      </c>
      <c r="AB1015" t="str">
        <f t="shared" si="152"/>
        <v>30–39</v>
      </c>
      <c r="AC1015" t="str">
        <f t="shared" si="153"/>
        <v>Monday</v>
      </c>
      <c r="AD1015" t="str">
        <f t="shared" si="154"/>
        <v>Tuesday</v>
      </c>
      <c r="AE1015" t="str">
        <f t="shared" si="155"/>
        <v/>
      </c>
      <c r="AF1015" t="str">
        <f t="shared" si="156"/>
        <v/>
      </c>
      <c r="AG1015" t="str">
        <f t="shared" si="157"/>
        <v/>
      </c>
      <c r="AH1015" t="str">
        <f t="shared" si="158"/>
        <v/>
      </c>
      <c r="AI1015" t="str">
        <f t="shared" si="159"/>
        <v/>
      </c>
      <c r="AJ1015" t="str">
        <f>LEFT(Table1[[#This Row],[membership_type]],2)&amp;TEXT(Table1[[#This Row],[age]],"00")&amp;"-"&amp;TEXT(ROW(),"000")</f>
        <v>Ba39-1015</v>
      </c>
      <c r="AK1015" t="str">
        <f>LEFT(Table1[[#This Row],[membership_type]],1)&amp;TEXT(MATCH(Table1[[#This Row],[membership_type]],Table1[membership_type],0),"00")</f>
        <v>B04</v>
      </c>
      <c r="AL1015" t="str">
        <f>LEFT(Table1[[#This Row],[discount_type]],1)&amp;TEXT(ROUND(Table1[[#This Row],[discount_rate]]*100,0),"00")</f>
        <v>L10</v>
      </c>
      <c r="AM1015" t="str" cm="1">
        <f t="array" ref="AM1015">TEXT(SUMPRODUCT(CODE(MID(Table1[[#This Row],[home_gym_location]],_xlfn.SEQUENCE(LEN(Table1[[#This Row],[home_gym_location]])),1))),"00000")</f>
        <v>01018</v>
      </c>
      <c r="AN101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15" t="str">
        <f>LEFT(_xlfn.TEXTBEFORE(Table1[[#This Row],[Location Identifier]],"-"),3) &amp; "-" &amp; _xlfn.TEXTAFTER(Table1[[#This Row],[Location Identifier]],"-")</f>
        <v>SAN-008</v>
      </c>
      <c r="AP1015" s="9">
        <f t="shared" ca="1" si="150"/>
        <v>45869</v>
      </c>
    </row>
    <row r="1016" spans="1:42" x14ac:dyDescent="0.25">
      <c r="A1016">
        <v>40</v>
      </c>
      <c r="B1016" t="s">
        <v>33</v>
      </c>
      <c r="C1016">
        <v>3</v>
      </c>
      <c r="D1016" t="s">
        <v>55</v>
      </c>
      <c r="E1016" t="b">
        <v>1</v>
      </c>
      <c r="F1016" s="1">
        <v>0.71180555555555558</v>
      </c>
      <c r="G1016" s="1">
        <v>0.81874999999999998</v>
      </c>
      <c r="H1016">
        <v>154</v>
      </c>
      <c r="I1016" t="b">
        <v>0</v>
      </c>
      <c r="J1016" t="b">
        <v>1</v>
      </c>
      <c r="K1016" t="b">
        <v>0</v>
      </c>
      <c r="L1016" t="s">
        <v>28</v>
      </c>
      <c r="M1016">
        <v>30</v>
      </c>
      <c r="N1016" t="s">
        <v>29</v>
      </c>
      <c r="O1016">
        <v>30</v>
      </c>
      <c r="P1016" t="s">
        <v>36</v>
      </c>
      <c r="Q1016">
        <v>0</v>
      </c>
      <c r="R1016">
        <v>30</v>
      </c>
      <c r="S1016" t="s">
        <v>37</v>
      </c>
      <c r="T1016" t="s">
        <v>38</v>
      </c>
      <c r="U1016">
        <v>36.7378</v>
      </c>
      <c r="V1016">
        <v>-119.7871</v>
      </c>
      <c r="W1016" s="2">
        <v>44845</v>
      </c>
      <c r="X1016">
        <v>8</v>
      </c>
      <c r="Y1016" t="b">
        <v>0</v>
      </c>
      <c r="Z1016" s="2">
        <v>45805</v>
      </c>
      <c r="AA1016" t="str">
        <f t="shared" si="151"/>
        <v>40–49</v>
      </c>
      <c r="AB1016" t="str">
        <f t="shared" si="152"/>
        <v>40–49</v>
      </c>
      <c r="AC1016" t="str">
        <f t="shared" si="153"/>
        <v/>
      </c>
      <c r="AD1016" t="str">
        <f t="shared" si="154"/>
        <v/>
      </c>
      <c r="AE1016" t="str">
        <f t="shared" si="155"/>
        <v/>
      </c>
      <c r="AF1016" t="str">
        <f t="shared" si="156"/>
        <v>Thursday</v>
      </c>
      <c r="AG1016" t="str">
        <f t="shared" si="157"/>
        <v>Friday</v>
      </c>
      <c r="AH1016" t="str">
        <f t="shared" si="158"/>
        <v/>
      </c>
      <c r="AI1016" t="str">
        <f t="shared" si="159"/>
        <v>Sunday</v>
      </c>
      <c r="AJ1016" t="str">
        <f>LEFT(Table1[[#This Row],[membership_type]],2)&amp;TEXT(Table1[[#This Row],[age]],"00")&amp;"-"&amp;TEXT(ROW(),"000")</f>
        <v>St40-1016</v>
      </c>
      <c r="AK1016" t="str">
        <f>LEFT(Table1[[#This Row],[membership_type]],1)&amp;TEXT(MATCH(Table1[[#This Row],[membership_type]],Table1[membership_type],0),"00")</f>
        <v>S02</v>
      </c>
      <c r="AL1016" t="str">
        <f>LEFT(Table1[[#This Row],[discount_type]],1)&amp;TEXT(ROUND(Table1[[#This Row],[discount_rate]]*100,0),"00")</f>
        <v>N00</v>
      </c>
      <c r="AM1016" t="str" cm="1">
        <f t="array" ref="AM1016">TEXT(SUMPRODUCT(CODE(MID(Table1[[#This Row],[home_gym_location]],_xlfn.SEQUENCE(LEN(Table1[[#This Row],[home_gym_location]])),1))),"00000")</f>
        <v>00829</v>
      </c>
      <c r="AN1016" t="str">
        <f>UPPER(_xlfn.TEXTBEFORE(Table1[[#This Row],[home_gym_location]],","))&amp;"-"&amp;TEXT(MATCH(Table1[[#This Row],[home_gym_location]],_xlfn._xlws.SORT(_xlfn.UNIQUE(Table1[home_gym_location])),0),"000")</f>
        <v>FRESNO-003</v>
      </c>
      <c r="AO1016" t="str">
        <f>LEFT(_xlfn.TEXTBEFORE(Table1[[#This Row],[Location Identifier]],"-"),3) &amp; "-" &amp; _xlfn.TEXTAFTER(Table1[[#This Row],[Location Identifier]],"-")</f>
        <v>FRE-003</v>
      </c>
      <c r="AP1016" s="9">
        <f t="shared" ca="1" si="150"/>
        <v>45869</v>
      </c>
    </row>
    <row r="1017" spans="1:42" x14ac:dyDescent="0.25">
      <c r="A1017">
        <v>13</v>
      </c>
      <c r="B1017" t="s">
        <v>26</v>
      </c>
      <c r="C1017">
        <v>3</v>
      </c>
      <c r="D1017" t="s">
        <v>57</v>
      </c>
      <c r="E1017" t="b">
        <v>1</v>
      </c>
      <c r="F1017" s="1">
        <v>0.57430555555555551</v>
      </c>
      <c r="G1017" s="1">
        <v>0.62777777777777777</v>
      </c>
      <c r="H1017">
        <v>77</v>
      </c>
      <c r="I1017" t="b">
        <v>1</v>
      </c>
      <c r="J1017" t="b">
        <v>0</v>
      </c>
      <c r="K1017" t="b">
        <v>0</v>
      </c>
      <c r="L1017" t="s">
        <v>62</v>
      </c>
      <c r="M1017">
        <v>50</v>
      </c>
      <c r="N1017" t="s">
        <v>29</v>
      </c>
      <c r="O1017">
        <v>50</v>
      </c>
      <c r="P1017" t="s">
        <v>30</v>
      </c>
      <c r="Q1017">
        <v>0.05</v>
      </c>
      <c r="R1017">
        <v>47.5</v>
      </c>
      <c r="S1017" t="s">
        <v>31</v>
      </c>
      <c r="T1017" t="s">
        <v>50</v>
      </c>
      <c r="U1017">
        <v>34.052199999999999</v>
      </c>
      <c r="V1017">
        <v>-118.2437</v>
      </c>
      <c r="W1017" s="2">
        <v>45638</v>
      </c>
      <c r="X1017">
        <v>0</v>
      </c>
      <c r="Y1017" t="b">
        <v>1</v>
      </c>
      <c r="Z1017" s="2">
        <v>45850</v>
      </c>
      <c r="AA1017" t="str">
        <f t="shared" si="151"/>
        <v>10–19</v>
      </c>
      <c r="AB1017" t="str">
        <f t="shared" si="152"/>
        <v>Under 16</v>
      </c>
      <c r="AC1017" t="str">
        <f t="shared" si="153"/>
        <v/>
      </c>
      <c r="AD1017" t="str">
        <f t="shared" si="154"/>
        <v/>
      </c>
      <c r="AE1017" t="str">
        <f t="shared" si="155"/>
        <v>Wednesday</v>
      </c>
      <c r="AF1017" t="str">
        <f t="shared" si="156"/>
        <v>Thursday</v>
      </c>
      <c r="AG1017" t="str">
        <f t="shared" si="157"/>
        <v/>
      </c>
      <c r="AH1017" t="str">
        <f t="shared" si="158"/>
        <v>Saturday</v>
      </c>
      <c r="AI1017" t="str">
        <f t="shared" si="159"/>
        <v/>
      </c>
      <c r="AJ1017" t="str">
        <f>LEFT(Table1[[#This Row],[membership_type]],2)&amp;TEXT(Table1[[#This Row],[age]],"00")&amp;"-"&amp;TEXT(ROW(),"000")</f>
        <v>Pr13-1017</v>
      </c>
      <c r="AK1017" t="str">
        <f>LEFT(Table1[[#This Row],[membership_type]],1)&amp;TEXT(MATCH(Table1[[#This Row],[membership_type]],Table1[membership_type],0),"00")</f>
        <v>P01</v>
      </c>
      <c r="AL1017" t="str">
        <f>LEFT(Table1[[#This Row],[discount_type]],1)&amp;TEXT(ROUND(Table1[[#This Row],[discount_rate]]*100,0),"00")</f>
        <v>P05</v>
      </c>
      <c r="AM1017" t="str" cm="1">
        <f t="array" ref="AM1017">TEXT(SUMPRODUCT(CODE(MID(Table1[[#This Row],[home_gym_location]],_xlfn.SEQUENCE(LEN(Table1[[#This Row],[home_gym_location]])),1))),"00000")</f>
        <v>01245</v>
      </c>
      <c r="AN101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17" t="str">
        <f>LEFT(_xlfn.TEXTBEFORE(Table1[[#This Row],[Location Identifier]],"-"),3) &amp; "-" &amp; _xlfn.TEXTAFTER(Table1[[#This Row],[Location Identifier]],"-")</f>
        <v>LOS-005</v>
      </c>
      <c r="AP1017" s="9">
        <f t="shared" ca="1" si="150"/>
        <v>45869</v>
      </c>
    </row>
    <row r="1018" spans="1:42" x14ac:dyDescent="0.25">
      <c r="A1018">
        <v>26</v>
      </c>
      <c r="B1018" t="s">
        <v>33</v>
      </c>
      <c r="C1018">
        <v>3</v>
      </c>
      <c r="D1018" t="s">
        <v>135</v>
      </c>
      <c r="E1018" t="b">
        <v>0</v>
      </c>
      <c r="F1018" s="1">
        <v>0.62083333333333335</v>
      </c>
      <c r="G1018" s="1">
        <v>0.69861111111111107</v>
      </c>
      <c r="H1018">
        <v>112</v>
      </c>
      <c r="I1018" t="b">
        <v>1</v>
      </c>
      <c r="J1018" t="b">
        <v>1</v>
      </c>
      <c r="K1018" t="b">
        <v>1</v>
      </c>
      <c r="L1018" t="s">
        <v>35</v>
      </c>
      <c r="M1018">
        <v>30</v>
      </c>
      <c r="N1018" t="s">
        <v>29</v>
      </c>
      <c r="O1018">
        <v>30</v>
      </c>
      <c r="P1018" t="s">
        <v>74</v>
      </c>
      <c r="Q1018">
        <v>0.15</v>
      </c>
      <c r="R1018">
        <v>25.5</v>
      </c>
      <c r="S1018" t="s">
        <v>37</v>
      </c>
      <c r="T1018" t="s">
        <v>48</v>
      </c>
      <c r="U1018">
        <v>38.581600000000002</v>
      </c>
      <c r="V1018">
        <v>-121.4944</v>
      </c>
      <c r="W1018" s="2">
        <v>45226</v>
      </c>
      <c r="X1018">
        <v>5</v>
      </c>
      <c r="Y1018" t="b">
        <v>1</v>
      </c>
      <c r="Z1018" s="2">
        <v>45826</v>
      </c>
      <c r="AA1018" t="str">
        <f t="shared" si="151"/>
        <v>20–29</v>
      </c>
      <c r="AB1018" t="str">
        <f t="shared" si="152"/>
        <v>20–29</v>
      </c>
      <c r="AC1018" t="str">
        <f t="shared" si="153"/>
        <v/>
      </c>
      <c r="AD1018" t="str">
        <f t="shared" si="154"/>
        <v>Tuesday</v>
      </c>
      <c r="AE1018" t="str">
        <f t="shared" si="155"/>
        <v>Wednesday</v>
      </c>
      <c r="AF1018" t="str">
        <f t="shared" si="156"/>
        <v>Thursday</v>
      </c>
      <c r="AG1018" t="str">
        <f t="shared" si="157"/>
        <v/>
      </c>
      <c r="AH1018" t="str">
        <f t="shared" si="158"/>
        <v/>
      </c>
      <c r="AI1018" t="str">
        <f t="shared" si="159"/>
        <v/>
      </c>
      <c r="AJ1018" t="str">
        <f>LEFT(Table1[[#This Row],[membership_type]],2)&amp;TEXT(Table1[[#This Row],[age]],"00")&amp;"-"&amp;TEXT(ROW(),"000")</f>
        <v>St26-1018</v>
      </c>
      <c r="AK1018" t="str">
        <f>LEFT(Table1[[#This Row],[membership_type]],1)&amp;TEXT(MATCH(Table1[[#This Row],[membership_type]],Table1[membership_type],0),"00")</f>
        <v>S02</v>
      </c>
      <c r="AL1018" t="str">
        <f>LEFT(Table1[[#This Row],[discount_type]],1)&amp;TEXT(ROUND(Table1[[#This Row],[discount_rate]]*100,0),"00")</f>
        <v>S15</v>
      </c>
      <c r="AM1018" t="str" cm="1">
        <f t="array" ref="AM1018">TEXT(SUMPRODUCT(CODE(MID(Table1[[#This Row],[home_gym_location]],_xlfn.SEQUENCE(LEN(Table1[[#This Row],[home_gym_location]])),1))),"00000")</f>
        <v>01245</v>
      </c>
      <c r="AN101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18" t="str">
        <f>LEFT(_xlfn.TEXTBEFORE(Table1[[#This Row],[Location Identifier]],"-"),3) &amp; "-" &amp; _xlfn.TEXTAFTER(Table1[[#This Row],[Location Identifier]],"-")</f>
        <v>SAC-007</v>
      </c>
      <c r="AP1018" s="9">
        <f t="shared" ca="1" si="150"/>
        <v>45869</v>
      </c>
    </row>
    <row r="1019" spans="1:42" x14ac:dyDescent="0.25">
      <c r="A1019">
        <v>35</v>
      </c>
      <c r="B1019" t="s">
        <v>26</v>
      </c>
      <c r="C1019">
        <v>2</v>
      </c>
      <c r="D1019" t="s">
        <v>46</v>
      </c>
      <c r="E1019" t="b">
        <v>0</v>
      </c>
      <c r="F1019" s="1">
        <v>0.82638888888888884</v>
      </c>
      <c r="G1019" s="1">
        <v>0.93333333333333335</v>
      </c>
      <c r="H1019">
        <v>154</v>
      </c>
      <c r="I1019" t="b">
        <v>0</v>
      </c>
      <c r="J1019" t="b">
        <v>1</v>
      </c>
      <c r="K1019" t="b">
        <v>1</v>
      </c>
      <c r="L1019" t="s">
        <v>62</v>
      </c>
      <c r="M1019">
        <v>50</v>
      </c>
      <c r="N1019" t="s">
        <v>29</v>
      </c>
      <c r="O1019">
        <v>50</v>
      </c>
      <c r="P1019" t="s">
        <v>74</v>
      </c>
      <c r="Q1019">
        <v>0.15</v>
      </c>
      <c r="R1019">
        <v>42.5</v>
      </c>
      <c r="S1019" t="s">
        <v>31</v>
      </c>
      <c r="T1019" t="s">
        <v>59</v>
      </c>
      <c r="U1019">
        <v>37.774900000000002</v>
      </c>
      <c r="V1019">
        <v>-122.4194</v>
      </c>
      <c r="W1019" s="2">
        <v>44856</v>
      </c>
      <c r="X1019">
        <v>3</v>
      </c>
      <c r="Y1019" t="b">
        <v>1</v>
      </c>
      <c r="Z1019" s="2">
        <v>45806</v>
      </c>
      <c r="AA1019" t="str">
        <f t="shared" si="151"/>
        <v>30–39</v>
      </c>
      <c r="AB1019" t="str">
        <f t="shared" si="152"/>
        <v>30–39</v>
      </c>
      <c r="AC1019" t="str">
        <f t="shared" si="153"/>
        <v/>
      </c>
      <c r="AD1019" t="str">
        <f t="shared" si="154"/>
        <v/>
      </c>
      <c r="AE1019" t="str">
        <f t="shared" si="155"/>
        <v>Wednesday</v>
      </c>
      <c r="AF1019" t="str">
        <f t="shared" si="156"/>
        <v/>
      </c>
      <c r="AG1019" t="str">
        <f t="shared" si="157"/>
        <v/>
      </c>
      <c r="AH1019" t="str">
        <f t="shared" si="158"/>
        <v/>
      </c>
      <c r="AI1019" t="str">
        <f t="shared" si="159"/>
        <v>Sunday</v>
      </c>
      <c r="AJ1019" t="str">
        <f>LEFT(Table1[[#This Row],[membership_type]],2)&amp;TEXT(Table1[[#This Row],[age]],"00")&amp;"-"&amp;TEXT(ROW(),"000")</f>
        <v>Pr35-1019</v>
      </c>
      <c r="AK1019" t="str">
        <f>LEFT(Table1[[#This Row],[membership_type]],1)&amp;TEXT(MATCH(Table1[[#This Row],[membership_type]],Table1[membership_type],0),"00")</f>
        <v>P01</v>
      </c>
      <c r="AL1019" t="str">
        <f>LEFT(Table1[[#This Row],[discount_type]],1)&amp;TEXT(ROUND(Table1[[#This Row],[discount_rate]]*100,0),"00")</f>
        <v>S15</v>
      </c>
      <c r="AM1019" t="str" cm="1">
        <f t="array" ref="AM1019">TEXT(SUMPRODUCT(CODE(MID(Table1[[#This Row],[home_gym_location]],_xlfn.SEQUENCE(LEN(Table1[[#This Row],[home_gym_location]])),1))),"00000")</f>
        <v>01450</v>
      </c>
      <c r="AN101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19" t="str">
        <f>LEFT(_xlfn.TEXTBEFORE(Table1[[#This Row],[Location Identifier]],"-"),3) &amp; "-" &amp; _xlfn.TEXTAFTER(Table1[[#This Row],[Location Identifier]],"-")</f>
        <v>SAN-009</v>
      </c>
      <c r="AP1019" s="9">
        <f t="shared" ca="1" si="150"/>
        <v>45869</v>
      </c>
    </row>
    <row r="1020" spans="1:42" x14ac:dyDescent="0.25">
      <c r="A1020">
        <v>37</v>
      </c>
      <c r="B1020" t="s">
        <v>33</v>
      </c>
      <c r="C1020">
        <v>1</v>
      </c>
      <c r="D1020" t="s">
        <v>95</v>
      </c>
      <c r="E1020" t="b">
        <v>1</v>
      </c>
      <c r="F1020" s="1">
        <v>0.35902777777777778</v>
      </c>
      <c r="G1020" s="1">
        <v>0.42499999999999999</v>
      </c>
      <c r="H1020">
        <v>95</v>
      </c>
      <c r="I1020" t="b">
        <v>1</v>
      </c>
      <c r="J1020" t="b">
        <v>1</v>
      </c>
      <c r="K1020" t="b">
        <v>0</v>
      </c>
      <c r="L1020" t="s">
        <v>35</v>
      </c>
      <c r="M1020">
        <v>30</v>
      </c>
      <c r="N1020" t="s">
        <v>29</v>
      </c>
      <c r="O1020">
        <v>30</v>
      </c>
      <c r="P1020" t="s">
        <v>74</v>
      </c>
      <c r="Q1020">
        <v>0.15</v>
      </c>
      <c r="R1020">
        <v>25.5</v>
      </c>
      <c r="S1020" t="s">
        <v>37</v>
      </c>
      <c r="T1020" t="s">
        <v>45</v>
      </c>
      <c r="U1020">
        <v>33.836599999999997</v>
      </c>
      <c r="V1020">
        <v>-117.9143</v>
      </c>
      <c r="W1020" s="2">
        <v>45794</v>
      </c>
      <c r="X1020">
        <v>6</v>
      </c>
      <c r="Y1020" t="b">
        <v>1</v>
      </c>
      <c r="Z1020" s="2">
        <v>45858</v>
      </c>
      <c r="AA1020" t="str">
        <f t="shared" si="151"/>
        <v>30–39</v>
      </c>
      <c r="AB1020" t="str">
        <f t="shared" si="152"/>
        <v>30–39</v>
      </c>
      <c r="AC1020" t="str">
        <f t="shared" si="153"/>
        <v/>
      </c>
      <c r="AD1020" t="str">
        <f t="shared" si="154"/>
        <v/>
      </c>
      <c r="AE1020" t="str">
        <f t="shared" si="155"/>
        <v/>
      </c>
      <c r="AF1020" t="str">
        <f t="shared" si="156"/>
        <v/>
      </c>
      <c r="AG1020" t="str">
        <f t="shared" si="157"/>
        <v/>
      </c>
      <c r="AH1020" t="str">
        <f t="shared" si="158"/>
        <v>Saturday</v>
      </c>
      <c r="AI1020" t="str">
        <f t="shared" si="159"/>
        <v/>
      </c>
      <c r="AJ1020" t="str">
        <f>LEFT(Table1[[#This Row],[membership_type]],2)&amp;TEXT(Table1[[#This Row],[age]],"00")&amp;"-"&amp;TEXT(ROW(),"000")</f>
        <v>St37-1020</v>
      </c>
      <c r="AK1020" t="str">
        <f>LEFT(Table1[[#This Row],[membership_type]],1)&amp;TEXT(MATCH(Table1[[#This Row],[membership_type]],Table1[membership_type],0),"00")</f>
        <v>S02</v>
      </c>
      <c r="AL1020" t="str">
        <f>LEFT(Table1[[#This Row],[discount_type]],1)&amp;TEXT(ROUND(Table1[[#This Row],[discount_rate]]*100,0),"00")</f>
        <v>S15</v>
      </c>
      <c r="AM1020" t="str" cm="1">
        <f t="array" ref="AM1020">TEXT(SUMPRODUCT(CODE(MID(Table1[[#This Row],[home_gym_location]],_xlfn.SEQUENCE(LEN(Table1[[#This Row],[home_gym_location]])),1))),"00000")</f>
        <v>00899</v>
      </c>
      <c r="AN102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20" t="str">
        <f>LEFT(_xlfn.TEXTBEFORE(Table1[[#This Row],[Location Identifier]],"-"),3) &amp; "-" &amp; _xlfn.TEXTAFTER(Table1[[#This Row],[Location Identifier]],"-")</f>
        <v>ANA-001</v>
      </c>
      <c r="AP1020" s="9">
        <f t="shared" ca="1" si="150"/>
        <v>45869</v>
      </c>
    </row>
    <row r="1021" spans="1:42" x14ac:dyDescent="0.25">
      <c r="A1021">
        <v>34</v>
      </c>
      <c r="B1021" t="s">
        <v>26</v>
      </c>
      <c r="C1021">
        <v>2</v>
      </c>
      <c r="D1021" t="s">
        <v>27</v>
      </c>
      <c r="E1021" t="b">
        <v>1</v>
      </c>
      <c r="F1021" s="1">
        <v>0.56874999999999998</v>
      </c>
      <c r="G1021" s="1">
        <v>0.6069444444444444</v>
      </c>
      <c r="H1021">
        <v>55</v>
      </c>
      <c r="I1021" t="b">
        <v>0</v>
      </c>
      <c r="J1021" t="b">
        <v>1</v>
      </c>
      <c r="K1021" t="b">
        <v>0</v>
      </c>
      <c r="L1021" t="s">
        <v>28</v>
      </c>
      <c r="M1021">
        <v>50</v>
      </c>
      <c r="N1021" t="s">
        <v>29</v>
      </c>
      <c r="O1021">
        <v>50</v>
      </c>
      <c r="P1021" t="s">
        <v>30</v>
      </c>
      <c r="Q1021">
        <v>0.05</v>
      </c>
      <c r="R1021">
        <v>47.5</v>
      </c>
      <c r="S1021" t="s">
        <v>31</v>
      </c>
      <c r="T1021" t="s">
        <v>54</v>
      </c>
      <c r="U1021">
        <v>32.715699999999998</v>
      </c>
      <c r="V1021">
        <v>-117.1611</v>
      </c>
      <c r="W1021" s="2">
        <v>45088</v>
      </c>
      <c r="X1021">
        <v>4</v>
      </c>
      <c r="Y1021" t="b">
        <v>1</v>
      </c>
      <c r="Z1021" s="2">
        <v>45819</v>
      </c>
      <c r="AA1021" t="str">
        <f t="shared" si="151"/>
        <v>30–39</v>
      </c>
      <c r="AB1021" t="str">
        <f t="shared" si="152"/>
        <v>30–39</v>
      </c>
      <c r="AC1021" t="str">
        <f t="shared" si="153"/>
        <v/>
      </c>
      <c r="AD1021" t="str">
        <f t="shared" si="154"/>
        <v/>
      </c>
      <c r="AE1021" t="str">
        <f t="shared" si="155"/>
        <v/>
      </c>
      <c r="AF1021" t="str">
        <f t="shared" si="156"/>
        <v>Thursday</v>
      </c>
      <c r="AG1021" t="str">
        <f t="shared" si="157"/>
        <v/>
      </c>
      <c r="AH1021" t="str">
        <f t="shared" si="158"/>
        <v>Saturday</v>
      </c>
      <c r="AI1021" t="str">
        <f t="shared" si="159"/>
        <v/>
      </c>
      <c r="AJ1021" t="str">
        <f>LEFT(Table1[[#This Row],[membership_type]],2)&amp;TEXT(Table1[[#This Row],[age]],"00")&amp;"-"&amp;TEXT(ROW(),"000")</f>
        <v>Pr34-1021</v>
      </c>
      <c r="AK1021" t="str">
        <f>LEFT(Table1[[#This Row],[membership_type]],1)&amp;TEXT(MATCH(Table1[[#This Row],[membership_type]],Table1[membership_type],0),"00")</f>
        <v>P01</v>
      </c>
      <c r="AL1021" t="str">
        <f>LEFT(Table1[[#This Row],[discount_type]],1)&amp;TEXT(ROUND(Table1[[#This Row],[discount_rate]]*100,0),"00")</f>
        <v>P05</v>
      </c>
      <c r="AM1021" t="str" cm="1">
        <f t="array" ref="AM1021">TEXT(SUMPRODUCT(CODE(MID(Table1[[#This Row],[home_gym_location]],_xlfn.SEQUENCE(LEN(Table1[[#This Row],[home_gym_location]])),1))),"00000")</f>
        <v>01018</v>
      </c>
      <c r="AN102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21" t="str">
        <f>LEFT(_xlfn.TEXTBEFORE(Table1[[#This Row],[Location Identifier]],"-"),3) &amp; "-" &amp; _xlfn.TEXTAFTER(Table1[[#This Row],[Location Identifier]],"-")</f>
        <v>SAN-008</v>
      </c>
      <c r="AP1021" s="9">
        <f t="shared" ca="1" si="150"/>
        <v>45869</v>
      </c>
    </row>
    <row r="1022" spans="1:42" x14ac:dyDescent="0.25">
      <c r="A1022">
        <v>36</v>
      </c>
      <c r="B1022" t="s">
        <v>26</v>
      </c>
      <c r="C1022">
        <v>3</v>
      </c>
      <c r="D1022" t="s">
        <v>90</v>
      </c>
      <c r="E1022" t="b">
        <v>1</v>
      </c>
      <c r="F1022" s="1">
        <v>0.40208333333333335</v>
      </c>
      <c r="G1022" s="1">
        <v>0.46388888888888891</v>
      </c>
      <c r="H1022">
        <v>89</v>
      </c>
      <c r="I1022" t="b">
        <v>0</v>
      </c>
      <c r="J1022" t="b">
        <v>0</v>
      </c>
      <c r="K1022" t="b">
        <v>1</v>
      </c>
      <c r="L1022" t="s">
        <v>28</v>
      </c>
      <c r="M1022">
        <v>50</v>
      </c>
      <c r="N1022" t="s">
        <v>29</v>
      </c>
      <c r="O1022">
        <v>50</v>
      </c>
      <c r="P1022" t="s">
        <v>36</v>
      </c>
      <c r="Q1022">
        <v>0</v>
      </c>
      <c r="R1022">
        <v>50</v>
      </c>
      <c r="S1022" t="s">
        <v>31</v>
      </c>
      <c r="T1022" t="s">
        <v>38</v>
      </c>
      <c r="U1022">
        <v>36.7378</v>
      </c>
      <c r="V1022">
        <v>-119.7871</v>
      </c>
      <c r="W1022" s="2">
        <v>45514</v>
      </c>
      <c r="X1022">
        <v>0</v>
      </c>
      <c r="Y1022" t="b">
        <v>1</v>
      </c>
      <c r="Z1022" s="2">
        <v>45843</v>
      </c>
      <c r="AA1022" t="str">
        <f t="shared" si="151"/>
        <v>30–39</v>
      </c>
      <c r="AB1022" t="str">
        <f t="shared" si="152"/>
        <v>30–39</v>
      </c>
      <c r="AC1022" t="str">
        <f t="shared" si="153"/>
        <v/>
      </c>
      <c r="AD1022" t="str">
        <f t="shared" si="154"/>
        <v>Tuesday</v>
      </c>
      <c r="AE1022" t="str">
        <f t="shared" si="155"/>
        <v/>
      </c>
      <c r="AF1022" t="str">
        <f t="shared" si="156"/>
        <v/>
      </c>
      <c r="AG1022" t="str">
        <f t="shared" si="157"/>
        <v/>
      </c>
      <c r="AH1022" t="str">
        <f t="shared" si="158"/>
        <v>Saturday</v>
      </c>
      <c r="AI1022" t="str">
        <f t="shared" si="159"/>
        <v>Sunday</v>
      </c>
      <c r="AJ1022" t="str">
        <f>LEFT(Table1[[#This Row],[membership_type]],2)&amp;TEXT(Table1[[#This Row],[age]],"00")&amp;"-"&amp;TEXT(ROW(),"000")</f>
        <v>Pr36-1022</v>
      </c>
      <c r="AK1022" t="str">
        <f>LEFT(Table1[[#This Row],[membership_type]],1)&amp;TEXT(MATCH(Table1[[#This Row],[membership_type]],Table1[membership_type],0),"00")</f>
        <v>P01</v>
      </c>
      <c r="AL1022" t="str">
        <f>LEFT(Table1[[#This Row],[discount_type]],1)&amp;TEXT(ROUND(Table1[[#This Row],[discount_rate]]*100,0),"00")</f>
        <v>N00</v>
      </c>
      <c r="AM1022" t="str" cm="1">
        <f t="array" ref="AM1022">TEXT(SUMPRODUCT(CODE(MID(Table1[[#This Row],[home_gym_location]],_xlfn.SEQUENCE(LEN(Table1[[#This Row],[home_gym_location]])),1))),"00000")</f>
        <v>00829</v>
      </c>
      <c r="AN1022" t="str">
        <f>UPPER(_xlfn.TEXTBEFORE(Table1[[#This Row],[home_gym_location]],","))&amp;"-"&amp;TEXT(MATCH(Table1[[#This Row],[home_gym_location]],_xlfn._xlws.SORT(_xlfn.UNIQUE(Table1[home_gym_location])),0),"000")</f>
        <v>FRESNO-003</v>
      </c>
      <c r="AO1022" t="str">
        <f>LEFT(_xlfn.TEXTBEFORE(Table1[[#This Row],[Location Identifier]],"-"),3) &amp; "-" &amp; _xlfn.TEXTAFTER(Table1[[#This Row],[Location Identifier]],"-")</f>
        <v>FRE-003</v>
      </c>
      <c r="AP1022" s="9">
        <f t="shared" ca="1" si="150"/>
        <v>45869</v>
      </c>
    </row>
    <row r="1023" spans="1:42" x14ac:dyDescent="0.25">
      <c r="A1023">
        <v>37</v>
      </c>
      <c r="B1023" t="s">
        <v>42</v>
      </c>
      <c r="C1023">
        <v>3</v>
      </c>
      <c r="D1023" t="s">
        <v>82</v>
      </c>
      <c r="E1023" t="b">
        <v>0</v>
      </c>
      <c r="F1023" s="1">
        <v>0.3923611111111111</v>
      </c>
      <c r="G1023" s="1">
        <v>0.50416666666666665</v>
      </c>
      <c r="H1023">
        <v>161</v>
      </c>
      <c r="I1023" t="b">
        <v>0</v>
      </c>
      <c r="J1023" t="b">
        <v>1</v>
      </c>
      <c r="K1023" t="b">
        <v>1</v>
      </c>
      <c r="L1023" t="s">
        <v>28</v>
      </c>
      <c r="M1023">
        <v>20</v>
      </c>
      <c r="N1023" t="s">
        <v>29</v>
      </c>
      <c r="O1023">
        <v>20</v>
      </c>
      <c r="P1023" t="s">
        <v>74</v>
      </c>
      <c r="Q1023">
        <v>0.15</v>
      </c>
      <c r="R1023">
        <v>17</v>
      </c>
      <c r="S1023" t="s">
        <v>44</v>
      </c>
      <c r="T1023" t="s">
        <v>65</v>
      </c>
      <c r="U1023">
        <v>33.770099999999999</v>
      </c>
      <c r="V1023">
        <v>-118.19370000000001</v>
      </c>
      <c r="W1023" s="2">
        <v>44846</v>
      </c>
      <c r="X1023">
        <v>1</v>
      </c>
      <c r="Y1023" t="b">
        <v>1</v>
      </c>
      <c r="Z1023" s="2">
        <v>45805</v>
      </c>
      <c r="AA1023" t="str">
        <f t="shared" si="151"/>
        <v>30–39</v>
      </c>
      <c r="AB1023" t="str">
        <f t="shared" si="152"/>
        <v>30–39</v>
      </c>
      <c r="AC1023" t="str">
        <f t="shared" si="153"/>
        <v/>
      </c>
      <c r="AD1023" t="str">
        <f t="shared" si="154"/>
        <v/>
      </c>
      <c r="AE1023" t="str">
        <f t="shared" si="155"/>
        <v/>
      </c>
      <c r="AF1023" t="str">
        <f t="shared" si="156"/>
        <v/>
      </c>
      <c r="AG1023" t="str">
        <f t="shared" si="157"/>
        <v>Friday</v>
      </c>
      <c r="AH1023" t="str">
        <f t="shared" si="158"/>
        <v>Saturday</v>
      </c>
      <c r="AI1023" t="str">
        <f t="shared" si="159"/>
        <v>Sunday</v>
      </c>
      <c r="AJ1023" t="str">
        <f>LEFT(Table1[[#This Row],[membership_type]],2)&amp;TEXT(Table1[[#This Row],[age]],"00")&amp;"-"&amp;TEXT(ROW(),"000")</f>
        <v>Ba37-1023</v>
      </c>
      <c r="AK1023" t="str">
        <f>LEFT(Table1[[#This Row],[membership_type]],1)&amp;TEXT(MATCH(Table1[[#This Row],[membership_type]],Table1[membership_type],0),"00")</f>
        <v>B04</v>
      </c>
      <c r="AL1023" t="str">
        <f>LEFT(Table1[[#This Row],[discount_type]],1)&amp;TEXT(ROUND(Table1[[#This Row],[discount_rate]]*100,0),"00")</f>
        <v>S15</v>
      </c>
      <c r="AM1023" t="str" cm="1">
        <f t="array" ref="AM1023">TEXT(SUMPRODUCT(CODE(MID(Table1[[#This Row],[home_gym_location]],_xlfn.SEQUENCE(LEN(Table1[[#This Row],[home_gym_location]])),1))),"00000")</f>
        <v>01107</v>
      </c>
      <c r="AN102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23" t="str">
        <f>LEFT(_xlfn.TEXTBEFORE(Table1[[#This Row],[Location Identifier]],"-"),3) &amp; "-" &amp; _xlfn.TEXTAFTER(Table1[[#This Row],[Location Identifier]],"-")</f>
        <v>LON-004</v>
      </c>
      <c r="AP1023" s="9">
        <f t="shared" ca="1" si="150"/>
        <v>45869</v>
      </c>
    </row>
    <row r="1024" spans="1:42" x14ac:dyDescent="0.25">
      <c r="A1024">
        <v>29</v>
      </c>
      <c r="B1024" t="s">
        <v>42</v>
      </c>
      <c r="C1024">
        <v>4</v>
      </c>
      <c r="D1024" t="s">
        <v>98</v>
      </c>
      <c r="E1024" t="b">
        <v>1</v>
      </c>
      <c r="F1024" s="1">
        <v>0.38263888888888886</v>
      </c>
      <c r="G1024" s="1">
        <v>0.45</v>
      </c>
      <c r="H1024">
        <v>97</v>
      </c>
      <c r="I1024" t="b">
        <v>0</v>
      </c>
      <c r="J1024" t="b">
        <v>0</v>
      </c>
      <c r="K1024" t="b">
        <v>1</v>
      </c>
      <c r="L1024" t="s">
        <v>62</v>
      </c>
      <c r="M1024">
        <v>20</v>
      </c>
      <c r="N1024" t="s">
        <v>78</v>
      </c>
      <c r="O1024">
        <v>18</v>
      </c>
      <c r="P1024" t="s">
        <v>36</v>
      </c>
      <c r="Q1024">
        <v>0</v>
      </c>
      <c r="R1024">
        <v>18</v>
      </c>
      <c r="S1024" t="s">
        <v>44</v>
      </c>
      <c r="T1024" t="s">
        <v>38</v>
      </c>
      <c r="U1024">
        <v>36.7378</v>
      </c>
      <c r="V1024">
        <v>-119.7871</v>
      </c>
      <c r="W1024" s="2">
        <v>44796</v>
      </c>
      <c r="X1024">
        <v>0</v>
      </c>
      <c r="Y1024" t="b">
        <v>1</v>
      </c>
      <c r="Z1024" s="2">
        <v>45802</v>
      </c>
      <c r="AA1024" t="str">
        <f t="shared" si="151"/>
        <v>20–29</v>
      </c>
      <c r="AB1024" t="str">
        <f t="shared" si="152"/>
        <v>20–29</v>
      </c>
      <c r="AC1024" t="str">
        <f t="shared" si="153"/>
        <v>Monday</v>
      </c>
      <c r="AD1024" t="str">
        <f t="shared" si="154"/>
        <v>Tuesday</v>
      </c>
      <c r="AE1024" t="str">
        <f t="shared" si="155"/>
        <v>Wednesday</v>
      </c>
      <c r="AF1024" t="str">
        <f t="shared" si="156"/>
        <v/>
      </c>
      <c r="AG1024" t="str">
        <f t="shared" si="157"/>
        <v/>
      </c>
      <c r="AH1024" t="str">
        <f t="shared" si="158"/>
        <v>Saturday</v>
      </c>
      <c r="AI1024" t="str">
        <f t="shared" si="159"/>
        <v/>
      </c>
      <c r="AJ1024" t="str">
        <f>LEFT(Table1[[#This Row],[membership_type]],2)&amp;TEXT(Table1[[#This Row],[age]],"00")&amp;"-"&amp;TEXT(ROW(),"000")</f>
        <v>Ba29-1024</v>
      </c>
      <c r="AK1024" t="str">
        <f>LEFT(Table1[[#This Row],[membership_type]],1)&amp;TEXT(MATCH(Table1[[#This Row],[membership_type]],Table1[membership_type],0),"00")</f>
        <v>B04</v>
      </c>
      <c r="AL1024" t="str">
        <f>LEFT(Table1[[#This Row],[discount_type]],1)&amp;TEXT(ROUND(Table1[[#This Row],[discount_rate]]*100,0),"00")</f>
        <v>N00</v>
      </c>
      <c r="AM1024" t="str" cm="1">
        <f t="array" ref="AM1024">TEXT(SUMPRODUCT(CODE(MID(Table1[[#This Row],[home_gym_location]],_xlfn.SEQUENCE(LEN(Table1[[#This Row],[home_gym_location]])),1))),"00000")</f>
        <v>00829</v>
      </c>
      <c r="AN1024" t="str">
        <f>UPPER(_xlfn.TEXTBEFORE(Table1[[#This Row],[home_gym_location]],","))&amp;"-"&amp;TEXT(MATCH(Table1[[#This Row],[home_gym_location]],_xlfn._xlws.SORT(_xlfn.UNIQUE(Table1[home_gym_location])),0),"000")</f>
        <v>FRESNO-003</v>
      </c>
      <c r="AO1024" t="str">
        <f>LEFT(_xlfn.TEXTBEFORE(Table1[[#This Row],[Location Identifier]],"-"),3) &amp; "-" &amp; _xlfn.TEXTAFTER(Table1[[#This Row],[Location Identifier]],"-")</f>
        <v>FRE-003</v>
      </c>
      <c r="AP1024" s="9">
        <f t="shared" ca="1" si="150"/>
        <v>45869</v>
      </c>
    </row>
    <row r="1025" spans="1:42" x14ac:dyDescent="0.25">
      <c r="A1025">
        <v>24</v>
      </c>
      <c r="B1025" t="s">
        <v>26</v>
      </c>
      <c r="C1025">
        <v>3</v>
      </c>
      <c r="D1025" t="s">
        <v>149</v>
      </c>
      <c r="E1025" t="b">
        <v>0</v>
      </c>
      <c r="F1025" s="1">
        <v>0.80069444444444449</v>
      </c>
      <c r="G1025" s="1">
        <v>0.83472222222222225</v>
      </c>
      <c r="H1025">
        <v>49</v>
      </c>
      <c r="I1025" t="b">
        <v>0</v>
      </c>
      <c r="J1025" t="b">
        <v>1</v>
      </c>
      <c r="K1025" t="b">
        <v>1</v>
      </c>
      <c r="L1025" t="s">
        <v>28</v>
      </c>
      <c r="M1025">
        <v>50</v>
      </c>
      <c r="N1025" t="s">
        <v>29</v>
      </c>
      <c r="O1025">
        <v>50</v>
      </c>
      <c r="P1025" t="s">
        <v>30</v>
      </c>
      <c r="Q1025">
        <v>0.05</v>
      </c>
      <c r="R1025">
        <v>47.5</v>
      </c>
      <c r="S1025" t="s">
        <v>31</v>
      </c>
      <c r="T1025" t="s">
        <v>59</v>
      </c>
      <c r="U1025">
        <v>37.774900000000002</v>
      </c>
      <c r="V1025">
        <v>-122.4194</v>
      </c>
      <c r="W1025" s="2">
        <v>44825</v>
      </c>
      <c r="X1025">
        <v>5</v>
      </c>
      <c r="Y1025" t="b">
        <v>0</v>
      </c>
      <c r="Z1025" s="2">
        <v>45804</v>
      </c>
      <c r="AA1025" t="str">
        <f t="shared" si="151"/>
        <v>20–29</v>
      </c>
      <c r="AB1025" t="str">
        <f t="shared" si="152"/>
        <v>20–29</v>
      </c>
      <c r="AC1025" t="str">
        <f t="shared" si="153"/>
        <v/>
      </c>
      <c r="AD1025" t="str">
        <f t="shared" si="154"/>
        <v/>
      </c>
      <c r="AE1025" t="str">
        <f t="shared" si="155"/>
        <v>Wednesday</v>
      </c>
      <c r="AF1025" t="str">
        <f t="shared" si="156"/>
        <v/>
      </c>
      <c r="AG1025" t="str">
        <f t="shared" si="157"/>
        <v>Friday</v>
      </c>
      <c r="AH1025" t="str">
        <f t="shared" si="158"/>
        <v>Saturday</v>
      </c>
      <c r="AI1025" t="str">
        <f t="shared" si="159"/>
        <v/>
      </c>
      <c r="AJ1025" t="str">
        <f>LEFT(Table1[[#This Row],[membership_type]],2)&amp;TEXT(Table1[[#This Row],[age]],"00")&amp;"-"&amp;TEXT(ROW(),"000")</f>
        <v>Pr24-1025</v>
      </c>
      <c r="AK1025" t="str">
        <f>LEFT(Table1[[#This Row],[membership_type]],1)&amp;TEXT(MATCH(Table1[[#This Row],[membership_type]],Table1[membership_type],0),"00")</f>
        <v>P01</v>
      </c>
      <c r="AL1025" t="str">
        <f>LEFT(Table1[[#This Row],[discount_type]],1)&amp;TEXT(ROUND(Table1[[#This Row],[discount_rate]]*100,0),"00")</f>
        <v>P05</v>
      </c>
      <c r="AM1025" t="str" cm="1">
        <f t="array" ref="AM1025">TEXT(SUMPRODUCT(CODE(MID(Table1[[#This Row],[home_gym_location]],_xlfn.SEQUENCE(LEN(Table1[[#This Row],[home_gym_location]])),1))),"00000")</f>
        <v>01450</v>
      </c>
      <c r="AN102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25" t="str">
        <f>LEFT(_xlfn.TEXTBEFORE(Table1[[#This Row],[Location Identifier]],"-"),3) &amp; "-" &amp; _xlfn.TEXTAFTER(Table1[[#This Row],[Location Identifier]],"-")</f>
        <v>SAN-009</v>
      </c>
      <c r="AP1025" s="9">
        <f t="shared" ca="1" si="150"/>
        <v>45869</v>
      </c>
    </row>
    <row r="1026" spans="1:42" x14ac:dyDescent="0.25">
      <c r="A1026">
        <v>27</v>
      </c>
      <c r="B1026" t="s">
        <v>26</v>
      </c>
      <c r="C1026">
        <v>1</v>
      </c>
      <c r="D1026" t="s">
        <v>67</v>
      </c>
      <c r="E1026" t="b">
        <v>0</v>
      </c>
      <c r="F1026" s="1">
        <v>0.59513888888888888</v>
      </c>
      <c r="G1026" s="1">
        <v>0.65416666666666667</v>
      </c>
      <c r="H1026">
        <v>85</v>
      </c>
      <c r="I1026" t="b">
        <v>0</v>
      </c>
      <c r="J1026" t="b">
        <v>0</v>
      </c>
      <c r="K1026" t="b">
        <v>0</v>
      </c>
      <c r="L1026" t="s">
        <v>47</v>
      </c>
      <c r="M1026">
        <v>50</v>
      </c>
      <c r="N1026" t="s">
        <v>64</v>
      </c>
      <c r="O1026">
        <v>37.5</v>
      </c>
      <c r="P1026" t="s">
        <v>30</v>
      </c>
      <c r="Q1026">
        <v>0.05</v>
      </c>
      <c r="R1026">
        <v>35.625</v>
      </c>
      <c r="S1026" t="s">
        <v>31</v>
      </c>
      <c r="T1026" t="s">
        <v>56</v>
      </c>
      <c r="U1026">
        <v>35.3733</v>
      </c>
      <c r="V1026">
        <v>-119.0187</v>
      </c>
      <c r="W1026" s="2">
        <v>45325</v>
      </c>
      <c r="X1026">
        <v>0</v>
      </c>
      <c r="Y1026" t="b">
        <v>1</v>
      </c>
      <c r="Z1026" s="2">
        <v>45832</v>
      </c>
      <c r="AA1026" t="str">
        <f t="shared" si="151"/>
        <v>20–29</v>
      </c>
      <c r="AB1026" t="str">
        <f t="shared" si="152"/>
        <v>20–29</v>
      </c>
      <c r="AC1026" t="str">
        <f t="shared" si="153"/>
        <v/>
      </c>
      <c r="AD1026" t="str">
        <f t="shared" si="154"/>
        <v/>
      </c>
      <c r="AE1026" t="str">
        <f t="shared" si="155"/>
        <v/>
      </c>
      <c r="AF1026" t="str">
        <f t="shared" si="156"/>
        <v>Thursday</v>
      </c>
      <c r="AG1026" t="str">
        <f t="shared" si="157"/>
        <v/>
      </c>
      <c r="AH1026" t="str">
        <f t="shared" si="158"/>
        <v/>
      </c>
      <c r="AI1026" t="str">
        <f t="shared" si="159"/>
        <v/>
      </c>
      <c r="AJ1026" t="str">
        <f>LEFT(Table1[[#This Row],[membership_type]],2)&amp;TEXT(Table1[[#This Row],[age]],"00")&amp;"-"&amp;TEXT(ROW(),"000")</f>
        <v>Pr27-1026</v>
      </c>
      <c r="AK1026" t="str">
        <f>LEFT(Table1[[#This Row],[membership_type]],1)&amp;TEXT(MATCH(Table1[[#This Row],[membership_type]],Table1[membership_type],0),"00")</f>
        <v>P01</v>
      </c>
      <c r="AL1026" t="str">
        <f>LEFT(Table1[[#This Row],[discount_type]],1)&amp;TEXT(ROUND(Table1[[#This Row],[discount_rate]]*100,0),"00")</f>
        <v>P05</v>
      </c>
      <c r="AM1026" t="str" cm="1">
        <f t="array" ref="AM1026">TEXT(SUMPRODUCT(CODE(MID(Table1[[#This Row],[home_gym_location]],_xlfn.SEQUENCE(LEN(Table1[[#This Row],[home_gym_location]])),1))),"00000")</f>
        <v>01324</v>
      </c>
      <c r="AN102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26" t="str">
        <f>LEFT(_xlfn.TEXTBEFORE(Table1[[#This Row],[Location Identifier]],"-"),3) &amp; "-" &amp; _xlfn.TEXTAFTER(Table1[[#This Row],[Location Identifier]],"-")</f>
        <v>BAK-002</v>
      </c>
      <c r="AP1026" s="9">
        <f t="shared" ref="AP1026:AP1089" ca="1" si="160">EOMONTH(DATE(YEAR(TODAY()),7,1),0)</f>
        <v>45869</v>
      </c>
    </row>
    <row r="1027" spans="1:42" x14ac:dyDescent="0.25">
      <c r="A1027">
        <v>48</v>
      </c>
      <c r="B1027" t="s">
        <v>33</v>
      </c>
      <c r="C1027">
        <v>3</v>
      </c>
      <c r="D1027" t="s">
        <v>100</v>
      </c>
      <c r="E1027" t="b">
        <v>0</v>
      </c>
      <c r="F1027" s="1">
        <v>0.46319444444444446</v>
      </c>
      <c r="G1027" s="1">
        <v>0.52986111111111112</v>
      </c>
      <c r="H1027">
        <v>96</v>
      </c>
      <c r="I1027" t="b">
        <v>1</v>
      </c>
      <c r="J1027" t="b">
        <v>1</v>
      </c>
      <c r="K1027" t="b">
        <v>1</v>
      </c>
      <c r="L1027" t="s">
        <v>28</v>
      </c>
      <c r="M1027">
        <v>30</v>
      </c>
      <c r="N1027" t="s">
        <v>29</v>
      </c>
      <c r="O1027">
        <v>30</v>
      </c>
      <c r="P1027" t="s">
        <v>36</v>
      </c>
      <c r="Q1027">
        <v>0</v>
      </c>
      <c r="R1027">
        <v>30</v>
      </c>
      <c r="S1027" t="s">
        <v>37</v>
      </c>
      <c r="T1027" t="s">
        <v>54</v>
      </c>
      <c r="U1027">
        <v>32.715699999999998</v>
      </c>
      <c r="V1027">
        <v>-117.1611</v>
      </c>
      <c r="W1027" s="2">
        <v>44912</v>
      </c>
      <c r="X1027">
        <v>3</v>
      </c>
      <c r="Y1027" t="b">
        <v>0</v>
      </c>
      <c r="Z1027" s="2">
        <v>45809</v>
      </c>
      <c r="AA1027" t="str">
        <f t="shared" ref="AA1027:AA1090" si="161">TEXT(10*INT($A1027/10),"0")&amp;"–"&amp;TEXT(10*INT($A1027/10)+9,"0")</f>
        <v>40–49</v>
      </c>
      <c r="AB1027" t="str">
        <f t="shared" ref="AB1027:AB1090" si="162">IF(AND($AA1027 = "10–19", $A1027 &lt; 16), "Under 16", IF(AND($AA1027 = "10–19", $A1027 &gt;= 16), "16–19", $AA1027))</f>
        <v>40–49</v>
      </c>
      <c r="AC1027" t="str">
        <f t="shared" ref="AC1027:AC1090" si="163">IF(ISNUMBER(SEARCH("Mon", $D1027)), "Monday", "")</f>
        <v/>
      </c>
      <c r="AD1027" t="str">
        <f t="shared" ref="AD1027:AD1090" si="164">IF(ISNUMBER(SEARCH("Tue", $D1027)), "Tuesday", "")</f>
        <v/>
      </c>
      <c r="AE1027" t="str">
        <f t="shared" ref="AE1027:AE1090" si="165">IF(ISNUMBER(SEARCH("Wed", $D1027)), "Wednesday", "")</f>
        <v>Wednesday</v>
      </c>
      <c r="AF1027" t="str">
        <f t="shared" ref="AF1027:AF1090" si="166">IF(ISNUMBER(SEARCH("Thu", $D1027)), "Thursday", "")</f>
        <v/>
      </c>
      <c r="AG1027" t="str">
        <f t="shared" ref="AG1027:AG1090" si="167">IF(ISNUMBER(SEARCH("Fri", $D1027)), "Friday", "")</f>
        <v>Friday</v>
      </c>
      <c r="AH1027" t="str">
        <f t="shared" ref="AH1027:AH1090" si="168">IF(ISNUMBER(SEARCH("Sat", $D1027)), "Saturday", "")</f>
        <v/>
      </c>
      <c r="AI1027" t="str">
        <f t="shared" ref="AI1027:AI1090" si="169">IF(ISNUMBER(SEARCH("Sun", $D1027)), "Sunday", "")</f>
        <v>Sunday</v>
      </c>
      <c r="AJ1027" t="str">
        <f>LEFT(Table1[[#This Row],[membership_type]],2)&amp;TEXT(Table1[[#This Row],[age]],"00")&amp;"-"&amp;TEXT(ROW(),"000")</f>
        <v>St48-1027</v>
      </c>
      <c r="AK1027" t="str">
        <f>LEFT(Table1[[#This Row],[membership_type]],1)&amp;TEXT(MATCH(Table1[[#This Row],[membership_type]],Table1[membership_type],0),"00")</f>
        <v>S02</v>
      </c>
      <c r="AL1027" t="str">
        <f>LEFT(Table1[[#This Row],[discount_type]],1)&amp;TEXT(ROUND(Table1[[#This Row],[discount_rate]]*100,0),"00")</f>
        <v>N00</v>
      </c>
      <c r="AM1027" t="str" cm="1">
        <f t="array" ref="AM1027">TEXT(SUMPRODUCT(CODE(MID(Table1[[#This Row],[home_gym_location]],_xlfn.SEQUENCE(LEN(Table1[[#This Row],[home_gym_location]])),1))),"00000")</f>
        <v>01018</v>
      </c>
      <c r="AN102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27" t="str">
        <f>LEFT(_xlfn.TEXTBEFORE(Table1[[#This Row],[Location Identifier]],"-"),3) &amp; "-" &amp; _xlfn.TEXTAFTER(Table1[[#This Row],[Location Identifier]],"-")</f>
        <v>SAN-008</v>
      </c>
      <c r="AP1027" s="9">
        <f t="shared" ca="1" si="160"/>
        <v>45869</v>
      </c>
    </row>
    <row r="1028" spans="1:42" x14ac:dyDescent="0.25">
      <c r="A1028">
        <v>15</v>
      </c>
      <c r="B1028" t="s">
        <v>26</v>
      </c>
      <c r="C1028">
        <v>2</v>
      </c>
      <c r="D1028" t="s">
        <v>92</v>
      </c>
      <c r="E1028" t="b">
        <v>0</v>
      </c>
      <c r="F1028" s="1">
        <v>0.38333333333333336</v>
      </c>
      <c r="G1028" s="1">
        <v>0.48749999999999999</v>
      </c>
      <c r="H1028">
        <v>150</v>
      </c>
      <c r="I1028" t="b">
        <v>0</v>
      </c>
      <c r="J1028" t="b">
        <v>1</v>
      </c>
      <c r="K1028" t="b">
        <v>0</v>
      </c>
      <c r="L1028" t="s">
        <v>35</v>
      </c>
      <c r="M1028">
        <v>50</v>
      </c>
      <c r="N1028" t="s">
        <v>29</v>
      </c>
      <c r="O1028">
        <v>50</v>
      </c>
      <c r="P1028" t="s">
        <v>36</v>
      </c>
      <c r="Q1028">
        <v>0</v>
      </c>
      <c r="R1028">
        <v>50</v>
      </c>
      <c r="S1028" t="s">
        <v>31</v>
      </c>
      <c r="T1028" t="s">
        <v>65</v>
      </c>
      <c r="U1028">
        <v>33.770099999999999</v>
      </c>
      <c r="V1028">
        <v>-118.19370000000001</v>
      </c>
      <c r="W1028" s="2">
        <v>44931</v>
      </c>
      <c r="X1028">
        <v>4</v>
      </c>
      <c r="Y1028" t="b">
        <v>0</v>
      </c>
      <c r="Z1028" s="2">
        <v>45810</v>
      </c>
      <c r="AA1028" t="str">
        <f t="shared" si="161"/>
        <v>10–19</v>
      </c>
      <c r="AB1028" t="str">
        <f t="shared" si="162"/>
        <v>Under 16</v>
      </c>
      <c r="AC1028" t="str">
        <f t="shared" si="163"/>
        <v/>
      </c>
      <c r="AD1028" t="str">
        <f t="shared" si="164"/>
        <v/>
      </c>
      <c r="AE1028" t="str">
        <f t="shared" si="165"/>
        <v/>
      </c>
      <c r="AF1028" t="str">
        <f t="shared" si="166"/>
        <v/>
      </c>
      <c r="AG1028" t="str">
        <f t="shared" si="167"/>
        <v>Friday</v>
      </c>
      <c r="AH1028" t="str">
        <f t="shared" si="168"/>
        <v/>
      </c>
      <c r="AI1028" t="str">
        <f t="shared" si="169"/>
        <v>Sunday</v>
      </c>
      <c r="AJ1028" t="str">
        <f>LEFT(Table1[[#This Row],[membership_type]],2)&amp;TEXT(Table1[[#This Row],[age]],"00")&amp;"-"&amp;TEXT(ROW(),"000")</f>
        <v>Pr15-1028</v>
      </c>
      <c r="AK1028" t="str">
        <f>LEFT(Table1[[#This Row],[membership_type]],1)&amp;TEXT(MATCH(Table1[[#This Row],[membership_type]],Table1[membership_type],0),"00")</f>
        <v>P01</v>
      </c>
      <c r="AL1028" t="str">
        <f>LEFT(Table1[[#This Row],[discount_type]],1)&amp;TEXT(ROUND(Table1[[#This Row],[discount_rate]]*100,0),"00")</f>
        <v>N00</v>
      </c>
      <c r="AM1028" t="str" cm="1">
        <f t="array" ref="AM1028">TEXT(SUMPRODUCT(CODE(MID(Table1[[#This Row],[home_gym_location]],_xlfn.SEQUENCE(LEN(Table1[[#This Row],[home_gym_location]])),1))),"00000")</f>
        <v>01107</v>
      </c>
      <c r="AN102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28" t="str">
        <f>LEFT(_xlfn.TEXTBEFORE(Table1[[#This Row],[Location Identifier]],"-"),3) &amp; "-" &amp; _xlfn.TEXTAFTER(Table1[[#This Row],[Location Identifier]],"-")</f>
        <v>LON-004</v>
      </c>
      <c r="AP1028" s="9">
        <f t="shared" ca="1" si="160"/>
        <v>45869</v>
      </c>
    </row>
    <row r="1029" spans="1:42" x14ac:dyDescent="0.25">
      <c r="A1029">
        <v>35</v>
      </c>
      <c r="B1029" t="s">
        <v>26</v>
      </c>
      <c r="C1029">
        <v>3</v>
      </c>
      <c r="D1029" t="s">
        <v>83</v>
      </c>
      <c r="E1029" t="b">
        <v>0</v>
      </c>
      <c r="F1029" s="1">
        <v>0.69097222222222221</v>
      </c>
      <c r="G1029" s="1">
        <v>0.73263888888888884</v>
      </c>
      <c r="H1029">
        <v>60</v>
      </c>
      <c r="I1029" t="b">
        <v>1</v>
      </c>
      <c r="J1029" t="b">
        <v>0</v>
      </c>
      <c r="K1029" t="b">
        <v>0</v>
      </c>
      <c r="L1029" t="s">
        <v>62</v>
      </c>
      <c r="M1029">
        <v>50</v>
      </c>
      <c r="N1029" t="s">
        <v>64</v>
      </c>
      <c r="O1029">
        <v>37.5</v>
      </c>
      <c r="P1029" t="s">
        <v>36</v>
      </c>
      <c r="Q1029">
        <v>0</v>
      </c>
      <c r="R1029">
        <v>37.5</v>
      </c>
      <c r="S1029" t="s">
        <v>31</v>
      </c>
      <c r="T1029" t="s">
        <v>32</v>
      </c>
      <c r="U1029">
        <v>37.338200000000001</v>
      </c>
      <c r="V1029">
        <v>-121.88630000000001</v>
      </c>
      <c r="W1029" s="2">
        <v>45491</v>
      </c>
      <c r="X1029">
        <v>0</v>
      </c>
      <c r="Y1029" t="b">
        <v>1</v>
      </c>
      <c r="Z1029" s="2">
        <v>45841</v>
      </c>
      <c r="AA1029" t="str">
        <f t="shared" si="161"/>
        <v>30–39</v>
      </c>
      <c r="AB1029" t="str">
        <f t="shared" si="162"/>
        <v>30–39</v>
      </c>
      <c r="AC1029" t="str">
        <f t="shared" si="163"/>
        <v/>
      </c>
      <c r="AD1029" t="str">
        <f t="shared" si="164"/>
        <v>Tuesday</v>
      </c>
      <c r="AE1029" t="str">
        <f t="shared" si="165"/>
        <v>Wednesday</v>
      </c>
      <c r="AF1029" t="str">
        <f t="shared" si="166"/>
        <v/>
      </c>
      <c r="AG1029" t="str">
        <f t="shared" si="167"/>
        <v/>
      </c>
      <c r="AH1029" t="str">
        <f t="shared" si="168"/>
        <v>Saturday</v>
      </c>
      <c r="AI1029" t="str">
        <f t="shared" si="169"/>
        <v/>
      </c>
      <c r="AJ1029" t="str">
        <f>LEFT(Table1[[#This Row],[membership_type]],2)&amp;TEXT(Table1[[#This Row],[age]],"00")&amp;"-"&amp;TEXT(ROW(),"000")</f>
        <v>Pr35-1029</v>
      </c>
      <c r="AK1029" t="str">
        <f>LEFT(Table1[[#This Row],[membership_type]],1)&amp;TEXT(MATCH(Table1[[#This Row],[membership_type]],Table1[membership_type],0),"00")</f>
        <v>P01</v>
      </c>
      <c r="AL1029" t="str">
        <f>LEFT(Table1[[#This Row],[discount_type]],1)&amp;TEXT(ROUND(Table1[[#This Row],[discount_rate]]*100,0),"00")</f>
        <v>N00</v>
      </c>
      <c r="AM1029" t="str" cm="1">
        <f t="array" ref="AM1029">TEXT(SUMPRODUCT(CODE(MID(Table1[[#This Row],[home_gym_location]],_xlfn.SEQUENCE(LEN(Table1[[#This Row],[home_gym_location]])),1))),"00000")</f>
        <v>00931</v>
      </c>
      <c r="AN102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29" t="str">
        <f>LEFT(_xlfn.TEXTBEFORE(Table1[[#This Row],[Location Identifier]],"-"),3) &amp; "-" &amp; _xlfn.TEXTAFTER(Table1[[#This Row],[Location Identifier]],"-")</f>
        <v>SAN-010</v>
      </c>
      <c r="AP1029" s="9">
        <f t="shared" ca="1" si="160"/>
        <v>45869</v>
      </c>
    </row>
    <row r="1030" spans="1:42" x14ac:dyDescent="0.25">
      <c r="A1030">
        <v>33</v>
      </c>
      <c r="B1030" t="s">
        <v>33</v>
      </c>
      <c r="C1030">
        <v>2</v>
      </c>
      <c r="D1030" t="s">
        <v>70</v>
      </c>
      <c r="E1030" t="b">
        <v>0</v>
      </c>
      <c r="F1030" s="1">
        <v>0.41388888888888886</v>
      </c>
      <c r="G1030" s="1">
        <v>0.53611111111111109</v>
      </c>
      <c r="H1030">
        <v>176</v>
      </c>
      <c r="I1030" t="b">
        <v>0</v>
      </c>
      <c r="J1030" t="b">
        <v>1</v>
      </c>
      <c r="K1030" t="b">
        <v>1</v>
      </c>
      <c r="L1030" t="s">
        <v>62</v>
      </c>
      <c r="M1030">
        <v>30</v>
      </c>
      <c r="N1030" t="s">
        <v>29</v>
      </c>
      <c r="O1030">
        <v>30</v>
      </c>
      <c r="P1030" t="s">
        <v>74</v>
      </c>
      <c r="Q1030">
        <v>0.15</v>
      </c>
      <c r="R1030">
        <v>25.5</v>
      </c>
      <c r="S1030" t="s">
        <v>37</v>
      </c>
      <c r="T1030" t="s">
        <v>38</v>
      </c>
      <c r="U1030">
        <v>36.7378</v>
      </c>
      <c r="V1030">
        <v>-119.7871</v>
      </c>
      <c r="W1030" s="2">
        <v>44948</v>
      </c>
      <c r="X1030">
        <v>7</v>
      </c>
      <c r="Y1030" t="b">
        <v>1</v>
      </c>
      <c r="Z1030" s="2">
        <v>45811</v>
      </c>
      <c r="AA1030" t="str">
        <f t="shared" si="161"/>
        <v>30–39</v>
      </c>
      <c r="AB1030" t="str">
        <f t="shared" si="162"/>
        <v>30–39</v>
      </c>
      <c r="AC1030" t="str">
        <f t="shared" si="163"/>
        <v/>
      </c>
      <c r="AD1030" t="str">
        <f t="shared" si="164"/>
        <v/>
      </c>
      <c r="AE1030" t="str">
        <f t="shared" si="165"/>
        <v>Wednesday</v>
      </c>
      <c r="AF1030" t="str">
        <f t="shared" si="166"/>
        <v>Thursday</v>
      </c>
      <c r="AG1030" t="str">
        <f t="shared" si="167"/>
        <v/>
      </c>
      <c r="AH1030" t="str">
        <f t="shared" si="168"/>
        <v/>
      </c>
      <c r="AI1030" t="str">
        <f t="shared" si="169"/>
        <v/>
      </c>
      <c r="AJ1030" t="str">
        <f>LEFT(Table1[[#This Row],[membership_type]],2)&amp;TEXT(Table1[[#This Row],[age]],"00")&amp;"-"&amp;TEXT(ROW(),"000")</f>
        <v>St33-1030</v>
      </c>
      <c r="AK1030" t="str">
        <f>LEFT(Table1[[#This Row],[membership_type]],1)&amp;TEXT(MATCH(Table1[[#This Row],[membership_type]],Table1[membership_type],0),"00")</f>
        <v>S02</v>
      </c>
      <c r="AL1030" t="str">
        <f>LEFT(Table1[[#This Row],[discount_type]],1)&amp;TEXT(ROUND(Table1[[#This Row],[discount_rate]]*100,0),"00")</f>
        <v>S15</v>
      </c>
      <c r="AM1030" t="str" cm="1">
        <f t="array" ref="AM1030">TEXT(SUMPRODUCT(CODE(MID(Table1[[#This Row],[home_gym_location]],_xlfn.SEQUENCE(LEN(Table1[[#This Row],[home_gym_location]])),1))),"00000")</f>
        <v>00829</v>
      </c>
      <c r="AN1030" t="str">
        <f>UPPER(_xlfn.TEXTBEFORE(Table1[[#This Row],[home_gym_location]],","))&amp;"-"&amp;TEXT(MATCH(Table1[[#This Row],[home_gym_location]],_xlfn._xlws.SORT(_xlfn.UNIQUE(Table1[home_gym_location])),0),"000")</f>
        <v>FRESNO-003</v>
      </c>
      <c r="AO1030" t="str">
        <f>LEFT(_xlfn.TEXTBEFORE(Table1[[#This Row],[Location Identifier]],"-"),3) &amp; "-" &amp; _xlfn.TEXTAFTER(Table1[[#This Row],[Location Identifier]],"-")</f>
        <v>FRE-003</v>
      </c>
      <c r="AP1030" s="9">
        <f t="shared" ca="1" si="160"/>
        <v>45869</v>
      </c>
    </row>
    <row r="1031" spans="1:42" x14ac:dyDescent="0.25">
      <c r="A1031">
        <v>43</v>
      </c>
      <c r="B1031" t="s">
        <v>51</v>
      </c>
      <c r="C1031">
        <v>1</v>
      </c>
      <c r="D1031" t="s">
        <v>75</v>
      </c>
      <c r="E1031" t="b">
        <v>1</v>
      </c>
      <c r="F1031" s="1">
        <v>0.83958333333333335</v>
      </c>
      <c r="G1031" s="1">
        <v>0.9145833333333333</v>
      </c>
      <c r="H1031">
        <v>108</v>
      </c>
      <c r="I1031" t="b">
        <v>0</v>
      </c>
      <c r="J1031" t="b">
        <v>0</v>
      </c>
      <c r="K1031" t="b">
        <v>1</v>
      </c>
      <c r="L1031" t="s">
        <v>47</v>
      </c>
      <c r="M1031">
        <v>70</v>
      </c>
      <c r="N1031" t="s">
        <v>29</v>
      </c>
      <c r="O1031">
        <v>70</v>
      </c>
      <c r="P1031" t="s">
        <v>36</v>
      </c>
      <c r="Q1031">
        <v>0</v>
      </c>
      <c r="R1031">
        <v>70</v>
      </c>
      <c r="S1031" t="s">
        <v>53</v>
      </c>
      <c r="T1031" t="s">
        <v>45</v>
      </c>
      <c r="U1031">
        <v>33.836599999999997</v>
      </c>
      <c r="V1031">
        <v>-117.9143</v>
      </c>
      <c r="W1031" s="2">
        <v>45791</v>
      </c>
      <c r="X1031">
        <v>0</v>
      </c>
      <c r="Y1031" t="b">
        <v>1</v>
      </c>
      <c r="Z1031" s="2">
        <v>45858</v>
      </c>
      <c r="AA1031" t="str">
        <f t="shared" si="161"/>
        <v>40–49</v>
      </c>
      <c r="AB1031" t="str">
        <f t="shared" si="162"/>
        <v>40–49</v>
      </c>
      <c r="AC1031" t="str">
        <f t="shared" si="163"/>
        <v/>
      </c>
      <c r="AD1031" t="str">
        <f t="shared" si="164"/>
        <v/>
      </c>
      <c r="AE1031" t="str">
        <f t="shared" si="165"/>
        <v/>
      </c>
      <c r="AF1031" t="str">
        <f t="shared" si="166"/>
        <v/>
      </c>
      <c r="AG1031" t="str">
        <f t="shared" si="167"/>
        <v>Friday</v>
      </c>
      <c r="AH1031" t="str">
        <f t="shared" si="168"/>
        <v/>
      </c>
      <c r="AI1031" t="str">
        <f t="shared" si="169"/>
        <v/>
      </c>
      <c r="AJ1031" t="str">
        <f>LEFT(Table1[[#This Row],[membership_type]],2)&amp;TEXT(Table1[[#This Row],[age]],"00")&amp;"-"&amp;TEXT(ROW(),"000")</f>
        <v>El43-1031</v>
      </c>
      <c r="AK1031" t="str">
        <f>LEFT(Table1[[#This Row],[membership_type]],1)&amp;TEXT(MATCH(Table1[[#This Row],[membership_type]],Table1[membership_type],0),"00")</f>
        <v>E07</v>
      </c>
      <c r="AL1031" t="str">
        <f>LEFT(Table1[[#This Row],[discount_type]],1)&amp;TEXT(ROUND(Table1[[#This Row],[discount_rate]]*100,0),"00")</f>
        <v>N00</v>
      </c>
      <c r="AM1031" t="str" cm="1">
        <f t="array" ref="AM1031">TEXT(SUMPRODUCT(CODE(MID(Table1[[#This Row],[home_gym_location]],_xlfn.SEQUENCE(LEN(Table1[[#This Row],[home_gym_location]])),1))),"00000")</f>
        <v>00899</v>
      </c>
      <c r="AN103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31" t="str">
        <f>LEFT(_xlfn.TEXTBEFORE(Table1[[#This Row],[Location Identifier]],"-"),3) &amp; "-" &amp; _xlfn.TEXTAFTER(Table1[[#This Row],[Location Identifier]],"-")</f>
        <v>ANA-001</v>
      </c>
      <c r="AP1031" s="9">
        <f t="shared" ca="1" si="160"/>
        <v>45869</v>
      </c>
    </row>
    <row r="1032" spans="1:42" x14ac:dyDescent="0.25">
      <c r="A1032">
        <v>28</v>
      </c>
      <c r="B1032" t="s">
        <v>42</v>
      </c>
      <c r="C1032">
        <v>3</v>
      </c>
      <c r="D1032" t="s">
        <v>124</v>
      </c>
      <c r="E1032" t="b">
        <v>0</v>
      </c>
      <c r="F1032" s="1">
        <v>0.42430555555555555</v>
      </c>
      <c r="G1032" s="1">
        <v>0.5180555555555556</v>
      </c>
      <c r="H1032">
        <v>135</v>
      </c>
      <c r="I1032" t="b">
        <v>1</v>
      </c>
      <c r="J1032" t="b">
        <v>0</v>
      </c>
      <c r="K1032" t="b">
        <v>1</v>
      </c>
      <c r="L1032" t="s">
        <v>62</v>
      </c>
      <c r="M1032">
        <v>20</v>
      </c>
      <c r="N1032" t="s">
        <v>29</v>
      </c>
      <c r="O1032">
        <v>20</v>
      </c>
      <c r="P1032" t="s">
        <v>36</v>
      </c>
      <c r="Q1032">
        <v>0</v>
      </c>
      <c r="R1032">
        <v>20</v>
      </c>
      <c r="S1032" t="s">
        <v>44</v>
      </c>
      <c r="T1032" t="s">
        <v>54</v>
      </c>
      <c r="U1032">
        <v>32.715699999999998</v>
      </c>
      <c r="V1032">
        <v>-117.1611</v>
      </c>
      <c r="W1032" s="2">
        <v>45195</v>
      </c>
      <c r="X1032">
        <v>0</v>
      </c>
      <c r="Y1032" t="b">
        <v>0</v>
      </c>
      <c r="Z1032" s="2">
        <v>45825</v>
      </c>
      <c r="AA1032" t="str">
        <f t="shared" si="161"/>
        <v>20–29</v>
      </c>
      <c r="AB1032" t="str">
        <f t="shared" si="162"/>
        <v>20–29</v>
      </c>
      <c r="AC1032" t="str">
        <f t="shared" si="163"/>
        <v>Monday</v>
      </c>
      <c r="AD1032" t="str">
        <f t="shared" si="164"/>
        <v/>
      </c>
      <c r="AE1032" t="str">
        <f t="shared" si="165"/>
        <v/>
      </c>
      <c r="AF1032" t="str">
        <f t="shared" si="166"/>
        <v>Thursday</v>
      </c>
      <c r="AG1032" t="str">
        <f t="shared" si="167"/>
        <v>Friday</v>
      </c>
      <c r="AH1032" t="str">
        <f t="shared" si="168"/>
        <v/>
      </c>
      <c r="AI1032" t="str">
        <f t="shared" si="169"/>
        <v/>
      </c>
      <c r="AJ1032" t="str">
        <f>LEFT(Table1[[#This Row],[membership_type]],2)&amp;TEXT(Table1[[#This Row],[age]],"00")&amp;"-"&amp;TEXT(ROW(),"000")</f>
        <v>Ba28-1032</v>
      </c>
      <c r="AK1032" t="str">
        <f>LEFT(Table1[[#This Row],[membership_type]],1)&amp;TEXT(MATCH(Table1[[#This Row],[membership_type]],Table1[membership_type],0),"00")</f>
        <v>B04</v>
      </c>
      <c r="AL1032" t="str">
        <f>LEFT(Table1[[#This Row],[discount_type]],1)&amp;TEXT(ROUND(Table1[[#This Row],[discount_rate]]*100,0),"00")</f>
        <v>N00</v>
      </c>
      <c r="AM1032" t="str" cm="1">
        <f t="array" ref="AM1032">TEXT(SUMPRODUCT(CODE(MID(Table1[[#This Row],[home_gym_location]],_xlfn.SEQUENCE(LEN(Table1[[#This Row],[home_gym_location]])),1))),"00000")</f>
        <v>01018</v>
      </c>
      <c r="AN103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32" t="str">
        <f>LEFT(_xlfn.TEXTBEFORE(Table1[[#This Row],[Location Identifier]],"-"),3) &amp; "-" &amp; _xlfn.TEXTAFTER(Table1[[#This Row],[Location Identifier]],"-")</f>
        <v>SAN-008</v>
      </c>
      <c r="AP1032" s="9">
        <f t="shared" ca="1" si="160"/>
        <v>45869</v>
      </c>
    </row>
    <row r="1033" spans="1:42" x14ac:dyDescent="0.25">
      <c r="A1033">
        <v>17</v>
      </c>
      <c r="B1033" t="s">
        <v>26</v>
      </c>
      <c r="C1033">
        <v>5</v>
      </c>
      <c r="D1033" t="s">
        <v>115</v>
      </c>
      <c r="E1033" t="b">
        <v>1</v>
      </c>
      <c r="F1033" s="1">
        <v>0.57638888888888884</v>
      </c>
      <c r="G1033" s="1">
        <v>0.60347222222222219</v>
      </c>
      <c r="H1033">
        <v>39</v>
      </c>
      <c r="I1033" t="b">
        <v>1</v>
      </c>
      <c r="J1033" t="b">
        <v>1</v>
      </c>
      <c r="K1033" t="b">
        <v>1</v>
      </c>
      <c r="L1033" t="s">
        <v>62</v>
      </c>
      <c r="M1033">
        <v>50</v>
      </c>
      <c r="N1033" t="s">
        <v>78</v>
      </c>
      <c r="O1033">
        <v>45</v>
      </c>
      <c r="P1033" t="s">
        <v>74</v>
      </c>
      <c r="Q1033">
        <v>0.15</v>
      </c>
      <c r="R1033">
        <v>38.25</v>
      </c>
      <c r="S1033" t="s">
        <v>31</v>
      </c>
      <c r="T1033" t="s">
        <v>48</v>
      </c>
      <c r="U1033">
        <v>38.581600000000002</v>
      </c>
      <c r="V1033">
        <v>-121.4944</v>
      </c>
      <c r="W1033" s="2">
        <v>45586</v>
      </c>
      <c r="X1033">
        <v>7</v>
      </c>
      <c r="Y1033" t="b">
        <v>1</v>
      </c>
      <c r="Z1033" s="2">
        <v>45847</v>
      </c>
      <c r="AA1033" t="str">
        <f t="shared" si="161"/>
        <v>10–19</v>
      </c>
      <c r="AB1033" t="str">
        <f t="shared" si="162"/>
        <v>16–19</v>
      </c>
      <c r="AC1033" t="str">
        <f t="shared" si="163"/>
        <v>Monday</v>
      </c>
      <c r="AD1033" t="str">
        <f t="shared" si="164"/>
        <v/>
      </c>
      <c r="AE1033" t="str">
        <f t="shared" si="165"/>
        <v>Wednesday</v>
      </c>
      <c r="AF1033" t="str">
        <f t="shared" si="166"/>
        <v/>
      </c>
      <c r="AG1033" t="str">
        <f t="shared" si="167"/>
        <v>Friday</v>
      </c>
      <c r="AH1033" t="str">
        <f t="shared" si="168"/>
        <v>Saturday</v>
      </c>
      <c r="AI1033" t="str">
        <f t="shared" si="169"/>
        <v>Sunday</v>
      </c>
      <c r="AJ1033" t="str">
        <f>LEFT(Table1[[#This Row],[membership_type]],2)&amp;TEXT(Table1[[#This Row],[age]],"00")&amp;"-"&amp;TEXT(ROW(),"000")</f>
        <v>Pr17-1033</v>
      </c>
      <c r="AK1033" t="str">
        <f>LEFT(Table1[[#This Row],[membership_type]],1)&amp;TEXT(MATCH(Table1[[#This Row],[membership_type]],Table1[membership_type],0),"00")</f>
        <v>P01</v>
      </c>
      <c r="AL1033" t="str">
        <f>LEFT(Table1[[#This Row],[discount_type]],1)&amp;TEXT(ROUND(Table1[[#This Row],[discount_rate]]*100,0),"00")</f>
        <v>S15</v>
      </c>
      <c r="AM1033" t="str" cm="1">
        <f t="array" ref="AM1033">TEXT(SUMPRODUCT(CODE(MID(Table1[[#This Row],[home_gym_location]],_xlfn.SEQUENCE(LEN(Table1[[#This Row],[home_gym_location]])),1))),"00000")</f>
        <v>01245</v>
      </c>
      <c r="AN103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33" t="str">
        <f>LEFT(_xlfn.TEXTBEFORE(Table1[[#This Row],[Location Identifier]],"-"),3) &amp; "-" &amp; _xlfn.TEXTAFTER(Table1[[#This Row],[Location Identifier]],"-")</f>
        <v>SAC-007</v>
      </c>
      <c r="AP1033" s="9">
        <f t="shared" ca="1" si="160"/>
        <v>45869</v>
      </c>
    </row>
    <row r="1034" spans="1:42" x14ac:dyDescent="0.25">
      <c r="A1034">
        <v>23</v>
      </c>
      <c r="B1034" t="s">
        <v>42</v>
      </c>
      <c r="C1034">
        <v>2</v>
      </c>
      <c r="D1034" t="s">
        <v>73</v>
      </c>
      <c r="E1034" t="b">
        <v>0</v>
      </c>
      <c r="F1034" s="1">
        <v>0.7944444444444444</v>
      </c>
      <c r="G1034" s="1">
        <v>0.8305555555555556</v>
      </c>
      <c r="H1034">
        <v>52</v>
      </c>
      <c r="I1034" t="b">
        <v>1</v>
      </c>
      <c r="J1034" t="b">
        <v>0</v>
      </c>
      <c r="K1034" t="b">
        <v>1</v>
      </c>
      <c r="L1034" t="s">
        <v>62</v>
      </c>
      <c r="M1034">
        <v>20</v>
      </c>
      <c r="N1034" t="s">
        <v>29</v>
      </c>
      <c r="O1034">
        <v>20</v>
      </c>
      <c r="P1034" t="s">
        <v>30</v>
      </c>
      <c r="Q1034">
        <v>0.05</v>
      </c>
      <c r="R1034">
        <v>19</v>
      </c>
      <c r="S1034" t="s">
        <v>44</v>
      </c>
      <c r="T1034" t="s">
        <v>56</v>
      </c>
      <c r="U1034">
        <v>35.3733</v>
      </c>
      <c r="V1034">
        <v>-119.0187</v>
      </c>
      <c r="W1034" s="2">
        <v>45702</v>
      </c>
      <c r="X1034">
        <v>0</v>
      </c>
      <c r="Y1034" t="b">
        <v>0</v>
      </c>
      <c r="Z1034" s="2">
        <v>45853</v>
      </c>
      <c r="AA1034" t="str">
        <f t="shared" si="161"/>
        <v>20–29</v>
      </c>
      <c r="AB1034" t="str">
        <f t="shared" si="162"/>
        <v>20–29</v>
      </c>
      <c r="AC1034" t="str">
        <f t="shared" si="163"/>
        <v/>
      </c>
      <c r="AD1034" t="str">
        <f t="shared" si="164"/>
        <v>Tuesday</v>
      </c>
      <c r="AE1034" t="str">
        <f t="shared" si="165"/>
        <v/>
      </c>
      <c r="AF1034" t="str">
        <f t="shared" si="166"/>
        <v/>
      </c>
      <c r="AG1034" t="str">
        <f t="shared" si="167"/>
        <v>Friday</v>
      </c>
      <c r="AH1034" t="str">
        <f t="shared" si="168"/>
        <v/>
      </c>
      <c r="AI1034" t="str">
        <f t="shared" si="169"/>
        <v/>
      </c>
      <c r="AJ1034" t="str">
        <f>LEFT(Table1[[#This Row],[membership_type]],2)&amp;TEXT(Table1[[#This Row],[age]],"00")&amp;"-"&amp;TEXT(ROW(),"000")</f>
        <v>Ba23-1034</v>
      </c>
      <c r="AK1034" t="str">
        <f>LEFT(Table1[[#This Row],[membership_type]],1)&amp;TEXT(MATCH(Table1[[#This Row],[membership_type]],Table1[membership_type],0),"00")</f>
        <v>B04</v>
      </c>
      <c r="AL1034" t="str">
        <f>LEFT(Table1[[#This Row],[discount_type]],1)&amp;TEXT(ROUND(Table1[[#This Row],[discount_rate]]*100,0),"00")</f>
        <v>P05</v>
      </c>
      <c r="AM1034" t="str" cm="1">
        <f t="array" ref="AM1034">TEXT(SUMPRODUCT(CODE(MID(Table1[[#This Row],[home_gym_location]],_xlfn.SEQUENCE(LEN(Table1[[#This Row],[home_gym_location]])),1))),"00000")</f>
        <v>01324</v>
      </c>
      <c r="AN103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34" t="str">
        <f>LEFT(_xlfn.TEXTBEFORE(Table1[[#This Row],[Location Identifier]],"-"),3) &amp; "-" &amp; _xlfn.TEXTAFTER(Table1[[#This Row],[Location Identifier]],"-")</f>
        <v>BAK-002</v>
      </c>
      <c r="AP1034" s="9">
        <f t="shared" ca="1" si="160"/>
        <v>45869</v>
      </c>
    </row>
    <row r="1035" spans="1:42" x14ac:dyDescent="0.25">
      <c r="A1035">
        <v>36</v>
      </c>
      <c r="B1035" t="s">
        <v>26</v>
      </c>
      <c r="C1035">
        <v>2</v>
      </c>
      <c r="D1035" t="s">
        <v>139</v>
      </c>
      <c r="E1035" t="b">
        <v>0</v>
      </c>
      <c r="F1035" s="1">
        <v>0.7006944444444444</v>
      </c>
      <c r="G1035" s="1">
        <v>0.79861111111111116</v>
      </c>
      <c r="H1035">
        <v>141</v>
      </c>
      <c r="I1035" t="b">
        <v>0</v>
      </c>
      <c r="J1035" t="b">
        <v>1</v>
      </c>
      <c r="K1035" t="b">
        <v>1</v>
      </c>
      <c r="L1035" t="s">
        <v>62</v>
      </c>
      <c r="M1035">
        <v>50</v>
      </c>
      <c r="N1035" t="s">
        <v>64</v>
      </c>
      <c r="O1035">
        <v>37.5</v>
      </c>
      <c r="P1035" t="s">
        <v>74</v>
      </c>
      <c r="Q1035">
        <v>0.15</v>
      </c>
      <c r="R1035">
        <v>31.875</v>
      </c>
      <c r="S1035" t="s">
        <v>31</v>
      </c>
      <c r="T1035" t="s">
        <v>41</v>
      </c>
      <c r="U1035">
        <v>37.804400000000001</v>
      </c>
      <c r="V1035">
        <v>-122.27119999999999</v>
      </c>
      <c r="W1035" s="2">
        <v>45749</v>
      </c>
      <c r="X1035">
        <v>4</v>
      </c>
      <c r="Y1035" t="b">
        <v>1</v>
      </c>
      <c r="Z1035" s="2">
        <v>45856</v>
      </c>
      <c r="AA1035" t="str">
        <f t="shared" si="161"/>
        <v>30–39</v>
      </c>
      <c r="AB1035" t="str">
        <f t="shared" si="162"/>
        <v>30–39</v>
      </c>
      <c r="AC1035" t="str">
        <f t="shared" si="163"/>
        <v/>
      </c>
      <c r="AD1035" t="str">
        <f t="shared" si="164"/>
        <v/>
      </c>
      <c r="AE1035" t="str">
        <f t="shared" si="165"/>
        <v>Wednesday</v>
      </c>
      <c r="AF1035" t="str">
        <f t="shared" si="166"/>
        <v/>
      </c>
      <c r="AG1035" t="str">
        <f t="shared" si="167"/>
        <v/>
      </c>
      <c r="AH1035" t="str">
        <f t="shared" si="168"/>
        <v>Saturday</v>
      </c>
      <c r="AI1035" t="str">
        <f t="shared" si="169"/>
        <v/>
      </c>
      <c r="AJ1035" t="str">
        <f>LEFT(Table1[[#This Row],[membership_type]],2)&amp;TEXT(Table1[[#This Row],[age]],"00")&amp;"-"&amp;TEXT(ROW(),"000")</f>
        <v>Pr36-1035</v>
      </c>
      <c r="AK1035" t="str">
        <f>LEFT(Table1[[#This Row],[membership_type]],1)&amp;TEXT(MATCH(Table1[[#This Row],[membership_type]],Table1[membership_type],0),"00")</f>
        <v>P01</v>
      </c>
      <c r="AL1035" t="str">
        <f>LEFT(Table1[[#This Row],[discount_type]],1)&amp;TEXT(ROUND(Table1[[#This Row],[discount_rate]]*100,0),"00")</f>
        <v>S15</v>
      </c>
      <c r="AM1035" t="str" cm="1">
        <f t="array" ref="AM1035">TEXT(SUMPRODUCT(CODE(MID(Table1[[#This Row],[home_gym_location]],_xlfn.SEQUENCE(LEN(Table1[[#This Row],[home_gym_location]])),1))),"00000")</f>
        <v>00906</v>
      </c>
      <c r="AN103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35" t="str">
        <f>LEFT(_xlfn.TEXTBEFORE(Table1[[#This Row],[Location Identifier]],"-"),3) &amp; "-" &amp; _xlfn.TEXTAFTER(Table1[[#This Row],[Location Identifier]],"-")</f>
        <v>OAK-006</v>
      </c>
      <c r="AP1035" s="9">
        <f t="shared" ca="1" si="160"/>
        <v>45869</v>
      </c>
    </row>
    <row r="1036" spans="1:42" x14ac:dyDescent="0.25">
      <c r="A1036">
        <v>17</v>
      </c>
      <c r="B1036" t="s">
        <v>26</v>
      </c>
      <c r="C1036">
        <v>3</v>
      </c>
      <c r="D1036" t="s">
        <v>140</v>
      </c>
      <c r="E1036" t="b">
        <v>1</v>
      </c>
      <c r="F1036" s="1">
        <v>0.49375000000000002</v>
      </c>
      <c r="G1036" s="1">
        <v>0.60416666666666663</v>
      </c>
      <c r="H1036">
        <v>159</v>
      </c>
      <c r="I1036" t="b">
        <v>0</v>
      </c>
      <c r="J1036" t="b">
        <v>0</v>
      </c>
      <c r="K1036" t="b">
        <v>1</v>
      </c>
      <c r="L1036" t="s">
        <v>62</v>
      </c>
      <c r="M1036">
        <v>50</v>
      </c>
      <c r="N1036" t="s">
        <v>29</v>
      </c>
      <c r="O1036">
        <v>50</v>
      </c>
      <c r="P1036" t="s">
        <v>30</v>
      </c>
      <c r="Q1036">
        <v>0.05</v>
      </c>
      <c r="R1036">
        <v>47.5</v>
      </c>
      <c r="S1036" t="s">
        <v>31</v>
      </c>
      <c r="T1036" t="s">
        <v>50</v>
      </c>
      <c r="U1036">
        <v>34.052199999999999</v>
      </c>
      <c r="V1036">
        <v>-118.2437</v>
      </c>
      <c r="W1036" s="2">
        <v>45089</v>
      </c>
      <c r="X1036">
        <v>0</v>
      </c>
      <c r="Y1036" t="b">
        <v>1</v>
      </c>
      <c r="Z1036" s="2">
        <v>45819</v>
      </c>
      <c r="AA1036" t="str">
        <f t="shared" si="161"/>
        <v>10–19</v>
      </c>
      <c r="AB1036" t="str">
        <f t="shared" si="162"/>
        <v>16–19</v>
      </c>
      <c r="AC1036" t="str">
        <f t="shared" si="163"/>
        <v>Monday</v>
      </c>
      <c r="AD1036" t="str">
        <f t="shared" si="164"/>
        <v>Tuesday</v>
      </c>
      <c r="AE1036" t="str">
        <f t="shared" si="165"/>
        <v/>
      </c>
      <c r="AF1036" t="str">
        <f t="shared" si="166"/>
        <v/>
      </c>
      <c r="AG1036" t="str">
        <f t="shared" si="167"/>
        <v>Friday</v>
      </c>
      <c r="AH1036" t="str">
        <f t="shared" si="168"/>
        <v/>
      </c>
      <c r="AI1036" t="str">
        <f t="shared" si="169"/>
        <v/>
      </c>
      <c r="AJ1036" t="str">
        <f>LEFT(Table1[[#This Row],[membership_type]],2)&amp;TEXT(Table1[[#This Row],[age]],"00")&amp;"-"&amp;TEXT(ROW(),"000")</f>
        <v>Pr17-1036</v>
      </c>
      <c r="AK1036" t="str">
        <f>LEFT(Table1[[#This Row],[membership_type]],1)&amp;TEXT(MATCH(Table1[[#This Row],[membership_type]],Table1[membership_type],0),"00")</f>
        <v>P01</v>
      </c>
      <c r="AL1036" t="str">
        <f>LEFT(Table1[[#This Row],[discount_type]],1)&amp;TEXT(ROUND(Table1[[#This Row],[discount_rate]]*100,0),"00")</f>
        <v>P05</v>
      </c>
      <c r="AM1036" t="str" cm="1">
        <f t="array" ref="AM1036">TEXT(SUMPRODUCT(CODE(MID(Table1[[#This Row],[home_gym_location]],_xlfn.SEQUENCE(LEN(Table1[[#This Row],[home_gym_location]])),1))),"00000")</f>
        <v>01245</v>
      </c>
      <c r="AN103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36" t="str">
        <f>LEFT(_xlfn.TEXTBEFORE(Table1[[#This Row],[Location Identifier]],"-"),3) &amp; "-" &amp; _xlfn.TEXTAFTER(Table1[[#This Row],[Location Identifier]],"-")</f>
        <v>LOS-005</v>
      </c>
      <c r="AP1036" s="9">
        <f t="shared" ca="1" si="160"/>
        <v>45869</v>
      </c>
    </row>
    <row r="1037" spans="1:42" x14ac:dyDescent="0.25">
      <c r="A1037">
        <v>46</v>
      </c>
      <c r="B1037" t="s">
        <v>33</v>
      </c>
      <c r="C1037">
        <v>3</v>
      </c>
      <c r="D1037" t="s">
        <v>134</v>
      </c>
      <c r="E1037" t="b">
        <v>0</v>
      </c>
      <c r="F1037" s="1">
        <v>0.76944444444444449</v>
      </c>
      <c r="G1037" s="1">
        <v>0.81944444444444442</v>
      </c>
      <c r="H1037">
        <v>72</v>
      </c>
      <c r="I1037" t="b">
        <v>0</v>
      </c>
      <c r="J1037" t="b">
        <v>1</v>
      </c>
      <c r="K1037" t="b">
        <v>0</v>
      </c>
      <c r="L1037" t="s">
        <v>28</v>
      </c>
      <c r="M1037">
        <v>30</v>
      </c>
      <c r="N1037" t="s">
        <v>29</v>
      </c>
      <c r="O1037">
        <v>30</v>
      </c>
      <c r="P1037" t="s">
        <v>74</v>
      </c>
      <c r="Q1037">
        <v>0.15</v>
      </c>
      <c r="R1037">
        <v>25.5</v>
      </c>
      <c r="S1037" t="s">
        <v>37</v>
      </c>
      <c r="T1037" t="s">
        <v>41</v>
      </c>
      <c r="U1037">
        <v>37.804400000000001</v>
      </c>
      <c r="V1037">
        <v>-122.27119999999999</v>
      </c>
      <c r="W1037" s="2">
        <v>45469</v>
      </c>
      <c r="X1037">
        <v>4</v>
      </c>
      <c r="Y1037" t="b">
        <v>0</v>
      </c>
      <c r="Z1037" s="2">
        <v>45840</v>
      </c>
      <c r="AA1037" t="str">
        <f t="shared" si="161"/>
        <v>40–49</v>
      </c>
      <c r="AB1037" t="str">
        <f t="shared" si="162"/>
        <v>40–49</v>
      </c>
      <c r="AC1037" t="str">
        <f t="shared" si="163"/>
        <v/>
      </c>
      <c r="AD1037" t="str">
        <f t="shared" si="164"/>
        <v>Tuesday</v>
      </c>
      <c r="AE1037" t="str">
        <f t="shared" si="165"/>
        <v/>
      </c>
      <c r="AF1037" t="str">
        <f t="shared" si="166"/>
        <v>Thursday</v>
      </c>
      <c r="AG1037" t="str">
        <f t="shared" si="167"/>
        <v/>
      </c>
      <c r="AH1037" t="str">
        <f t="shared" si="168"/>
        <v>Saturday</v>
      </c>
      <c r="AI1037" t="str">
        <f t="shared" si="169"/>
        <v/>
      </c>
      <c r="AJ1037" t="str">
        <f>LEFT(Table1[[#This Row],[membership_type]],2)&amp;TEXT(Table1[[#This Row],[age]],"00")&amp;"-"&amp;TEXT(ROW(),"000")</f>
        <v>St46-1037</v>
      </c>
      <c r="AK1037" t="str">
        <f>LEFT(Table1[[#This Row],[membership_type]],1)&amp;TEXT(MATCH(Table1[[#This Row],[membership_type]],Table1[membership_type],0),"00")</f>
        <v>S02</v>
      </c>
      <c r="AL1037" t="str">
        <f>LEFT(Table1[[#This Row],[discount_type]],1)&amp;TEXT(ROUND(Table1[[#This Row],[discount_rate]]*100,0),"00")</f>
        <v>S15</v>
      </c>
      <c r="AM1037" t="str" cm="1">
        <f t="array" ref="AM1037">TEXT(SUMPRODUCT(CODE(MID(Table1[[#This Row],[home_gym_location]],_xlfn.SEQUENCE(LEN(Table1[[#This Row],[home_gym_location]])),1))),"00000")</f>
        <v>00906</v>
      </c>
      <c r="AN103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37" t="str">
        <f>LEFT(_xlfn.TEXTBEFORE(Table1[[#This Row],[Location Identifier]],"-"),3) &amp; "-" &amp; _xlfn.TEXTAFTER(Table1[[#This Row],[Location Identifier]],"-")</f>
        <v>OAK-006</v>
      </c>
      <c r="AP1037" s="9">
        <f t="shared" ca="1" si="160"/>
        <v>45869</v>
      </c>
    </row>
    <row r="1038" spans="1:42" x14ac:dyDescent="0.25">
      <c r="A1038">
        <v>12</v>
      </c>
      <c r="B1038" t="s">
        <v>26</v>
      </c>
      <c r="C1038">
        <v>5</v>
      </c>
      <c r="D1038" t="s">
        <v>76</v>
      </c>
      <c r="E1038" t="b">
        <v>1</v>
      </c>
      <c r="F1038" s="1">
        <v>0.77222222222222225</v>
      </c>
      <c r="G1038" s="1">
        <v>0.81111111111111112</v>
      </c>
      <c r="H1038">
        <v>56</v>
      </c>
      <c r="I1038" t="b">
        <v>1</v>
      </c>
      <c r="J1038" t="b">
        <v>0</v>
      </c>
      <c r="K1038" t="b">
        <v>1</v>
      </c>
      <c r="L1038" t="s">
        <v>28</v>
      </c>
      <c r="M1038">
        <v>50</v>
      </c>
      <c r="N1038" t="s">
        <v>29</v>
      </c>
      <c r="O1038">
        <v>50</v>
      </c>
      <c r="P1038" t="s">
        <v>40</v>
      </c>
      <c r="Q1038">
        <v>0.1</v>
      </c>
      <c r="R1038">
        <v>45</v>
      </c>
      <c r="S1038" t="s">
        <v>31</v>
      </c>
      <c r="T1038" t="s">
        <v>32</v>
      </c>
      <c r="U1038">
        <v>37.338200000000001</v>
      </c>
      <c r="V1038">
        <v>-121.88630000000001</v>
      </c>
      <c r="W1038" s="2">
        <v>45059</v>
      </c>
      <c r="X1038">
        <v>0</v>
      </c>
      <c r="Y1038" t="b">
        <v>1</v>
      </c>
      <c r="Z1038" s="2">
        <v>45817</v>
      </c>
      <c r="AA1038" t="str">
        <f t="shared" si="161"/>
        <v>10–19</v>
      </c>
      <c r="AB1038" t="str">
        <f t="shared" si="162"/>
        <v>Under 16</v>
      </c>
      <c r="AC1038" t="str">
        <f t="shared" si="163"/>
        <v>Monday</v>
      </c>
      <c r="AD1038" t="str">
        <f t="shared" si="164"/>
        <v>Tuesday</v>
      </c>
      <c r="AE1038" t="str">
        <f t="shared" si="165"/>
        <v>Wednesday</v>
      </c>
      <c r="AF1038" t="str">
        <f t="shared" si="166"/>
        <v>Thursday</v>
      </c>
      <c r="AG1038" t="str">
        <f t="shared" si="167"/>
        <v/>
      </c>
      <c r="AH1038" t="str">
        <f t="shared" si="168"/>
        <v/>
      </c>
      <c r="AI1038" t="str">
        <f t="shared" si="169"/>
        <v>Sunday</v>
      </c>
      <c r="AJ1038" t="str">
        <f>LEFT(Table1[[#This Row],[membership_type]],2)&amp;TEXT(Table1[[#This Row],[age]],"00")&amp;"-"&amp;TEXT(ROW(),"000")</f>
        <v>Pr12-1038</v>
      </c>
      <c r="AK1038" t="str">
        <f>LEFT(Table1[[#This Row],[membership_type]],1)&amp;TEXT(MATCH(Table1[[#This Row],[membership_type]],Table1[membership_type],0),"00")</f>
        <v>P01</v>
      </c>
      <c r="AL1038" t="str">
        <f>LEFT(Table1[[#This Row],[discount_type]],1)&amp;TEXT(ROUND(Table1[[#This Row],[discount_rate]]*100,0),"00")</f>
        <v>L10</v>
      </c>
      <c r="AM1038" t="str" cm="1">
        <f t="array" ref="AM1038">TEXT(SUMPRODUCT(CODE(MID(Table1[[#This Row],[home_gym_location]],_xlfn.SEQUENCE(LEN(Table1[[#This Row],[home_gym_location]])),1))),"00000")</f>
        <v>00931</v>
      </c>
      <c r="AN103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38" t="str">
        <f>LEFT(_xlfn.TEXTBEFORE(Table1[[#This Row],[Location Identifier]],"-"),3) &amp; "-" &amp; _xlfn.TEXTAFTER(Table1[[#This Row],[Location Identifier]],"-")</f>
        <v>SAN-010</v>
      </c>
      <c r="AP1038" s="9">
        <f t="shared" ca="1" si="160"/>
        <v>45869</v>
      </c>
    </row>
    <row r="1039" spans="1:42" x14ac:dyDescent="0.25">
      <c r="A1039">
        <v>29</v>
      </c>
      <c r="B1039" t="s">
        <v>51</v>
      </c>
      <c r="C1039">
        <v>3</v>
      </c>
      <c r="D1039" t="s">
        <v>80</v>
      </c>
      <c r="E1039" t="b">
        <v>1</v>
      </c>
      <c r="F1039" s="1">
        <v>0.3840277777777778</v>
      </c>
      <c r="G1039" s="1">
        <v>0.47708333333333336</v>
      </c>
      <c r="H1039">
        <v>134</v>
      </c>
      <c r="I1039" t="b">
        <v>0</v>
      </c>
      <c r="J1039" t="b">
        <v>0</v>
      </c>
      <c r="K1039" t="b">
        <v>1</v>
      </c>
      <c r="L1039" t="s">
        <v>62</v>
      </c>
      <c r="M1039">
        <v>70</v>
      </c>
      <c r="N1039" t="s">
        <v>29</v>
      </c>
      <c r="O1039">
        <v>70</v>
      </c>
      <c r="P1039" t="s">
        <v>30</v>
      </c>
      <c r="Q1039">
        <v>0.05</v>
      </c>
      <c r="R1039">
        <v>66.5</v>
      </c>
      <c r="S1039" t="s">
        <v>53</v>
      </c>
      <c r="T1039" t="s">
        <v>48</v>
      </c>
      <c r="U1039">
        <v>38.581600000000002</v>
      </c>
      <c r="V1039">
        <v>-121.4944</v>
      </c>
      <c r="W1039" s="2">
        <v>45761</v>
      </c>
      <c r="X1039">
        <v>0</v>
      </c>
      <c r="Y1039" t="b">
        <v>1</v>
      </c>
      <c r="Z1039" s="2">
        <v>45857</v>
      </c>
      <c r="AA1039" t="str">
        <f t="shared" si="161"/>
        <v>20–29</v>
      </c>
      <c r="AB1039" t="str">
        <f t="shared" si="162"/>
        <v>20–29</v>
      </c>
      <c r="AC1039" t="str">
        <f t="shared" si="163"/>
        <v>Monday</v>
      </c>
      <c r="AD1039" t="str">
        <f t="shared" si="164"/>
        <v/>
      </c>
      <c r="AE1039" t="str">
        <f t="shared" si="165"/>
        <v/>
      </c>
      <c r="AF1039" t="str">
        <f t="shared" si="166"/>
        <v/>
      </c>
      <c r="AG1039" t="str">
        <f t="shared" si="167"/>
        <v/>
      </c>
      <c r="AH1039" t="str">
        <f t="shared" si="168"/>
        <v>Saturday</v>
      </c>
      <c r="AI1039" t="str">
        <f t="shared" si="169"/>
        <v>Sunday</v>
      </c>
      <c r="AJ1039" t="str">
        <f>LEFT(Table1[[#This Row],[membership_type]],2)&amp;TEXT(Table1[[#This Row],[age]],"00")&amp;"-"&amp;TEXT(ROW(),"000")</f>
        <v>El29-1039</v>
      </c>
      <c r="AK1039" t="str">
        <f>LEFT(Table1[[#This Row],[membership_type]],1)&amp;TEXT(MATCH(Table1[[#This Row],[membership_type]],Table1[membership_type],0),"00")</f>
        <v>E07</v>
      </c>
      <c r="AL1039" t="str">
        <f>LEFT(Table1[[#This Row],[discount_type]],1)&amp;TEXT(ROUND(Table1[[#This Row],[discount_rate]]*100,0),"00")</f>
        <v>P05</v>
      </c>
      <c r="AM1039" t="str" cm="1">
        <f t="array" ref="AM1039">TEXT(SUMPRODUCT(CODE(MID(Table1[[#This Row],[home_gym_location]],_xlfn.SEQUENCE(LEN(Table1[[#This Row],[home_gym_location]])),1))),"00000")</f>
        <v>01245</v>
      </c>
      <c r="AN103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39" t="str">
        <f>LEFT(_xlfn.TEXTBEFORE(Table1[[#This Row],[Location Identifier]],"-"),3) &amp; "-" &amp; _xlfn.TEXTAFTER(Table1[[#This Row],[Location Identifier]],"-")</f>
        <v>SAC-007</v>
      </c>
      <c r="AP1039" s="9">
        <f t="shared" ca="1" si="160"/>
        <v>45869</v>
      </c>
    </row>
    <row r="1040" spans="1:42" x14ac:dyDescent="0.25">
      <c r="A1040">
        <v>20</v>
      </c>
      <c r="B1040" t="s">
        <v>26</v>
      </c>
      <c r="C1040">
        <v>2</v>
      </c>
      <c r="D1040" t="s">
        <v>79</v>
      </c>
      <c r="E1040" t="b">
        <v>0</v>
      </c>
      <c r="F1040" s="1">
        <v>0.78749999999999998</v>
      </c>
      <c r="G1040" s="1">
        <v>0.81736111111111109</v>
      </c>
      <c r="H1040">
        <v>43</v>
      </c>
      <c r="I1040" t="b">
        <v>1</v>
      </c>
      <c r="J1040" t="b">
        <v>1</v>
      </c>
      <c r="K1040" t="b">
        <v>1</v>
      </c>
      <c r="L1040" t="s">
        <v>28</v>
      </c>
      <c r="M1040">
        <v>50</v>
      </c>
      <c r="N1040" t="s">
        <v>29</v>
      </c>
      <c r="O1040">
        <v>50</v>
      </c>
      <c r="P1040" t="s">
        <v>74</v>
      </c>
      <c r="Q1040">
        <v>0.15</v>
      </c>
      <c r="R1040">
        <v>42.5</v>
      </c>
      <c r="S1040" t="s">
        <v>31</v>
      </c>
      <c r="T1040" t="s">
        <v>41</v>
      </c>
      <c r="U1040">
        <v>37.804400000000001</v>
      </c>
      <c r="V1040">
        <v>-122.27119999999999</v>
      </c>
      <c r="W1040" s="2">
        <v>45495</v>
      </c>
      <c r="X1040">
        <v>4</v>
      </c>
      <c r="Y1040" t="b">
        <v>1</v>
      </c>
      <c r="Z1040" s="2">
        <v>45842</v>
      </c>
      <c r="AA1040" t="str">
        <f t="shared" si="161"/>
        <v>20–29</v>
      </c>
      <c r="AB1040" t="str">
        <f t="shared" si="162"/>
        <v>20–29</v>
      </c>
      <c r="AC1040" t="str">
        <f t="shared" si="163"/>
        <v/>
      </c>
      <c r="AD1040" t="str">
        <f t="shared" si="164"/>
        <v/>
      </c>
      <c r="AE1040" t="str">
        <f t="shared" si="165"/>
        <v/>
      </c>
      <c r="AF1040" t="str">
        <f t="shared" si="166"/>
        <v/>
      </c>
      <c r="AG1040" t="str">
        <f t="shared" si="167"/>
        <v>Friday</v>
      </c>
      <c r="AH1040" t="str">
        <f t="shared" si="168"/>
        <v>Saturday</v>
      </c>
      <c r="AI1040" t="str">
        <f t="shared" si="169"/>
        <v/>
      </c>
      <c r="AJ1040" t="str">
        <f>LEFT(Table1[[#This Row],[membership_type]],2)&amp;TEXT(Table1[[#This Row],[age]],"00")&amp;"-"&amp;TEXT(ROW(),"000")</f>
        <v>Pr20-1040</v>
      </c>
      <c r="AK1040" t="str">
        <f>LEFT(Table1[[#This Row],[membership_type]],1)&amp;TEXT(MATCH(Table1[[#This Row],[membership_type]],Table1[membership_type],0),"00")</f>
        <v>P01</v>
      </c>
      <c r="AL1040" t="str">
        <f>LEFT(Table1[[#This Row],[discount_type]],1)&amp;TEXT(ROUND(Table1[[#This Row],[discount_rate]]*100,0),"00")</f>
        <v>S15</v>
      </c>
      <c r="AM1040" t="str" cm="1">
        <f t="array" ref="AM1040">TEXT(SUMPRODUCT(CODE(MID(Table1[[#This Row],[home_gym_location]],_xlfn.SEQUENCE(LEN(Table1[[#This Row],[home_gym_location]])),1))),"00000")</f>
        <v>00906</v>
      </c>
      <c r="AN104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40" t="str">
        <f>LEFT(_xlfn.TEXTBEFORE(Table1[[#This Row],[Location Identifier]],"-"),3) &amp; "-" &amp; _xlfn.TEXTAFTER(Table1[[#This Row],[Location Identifier]],"-")</f>
        <v>OAK-006</v>
      </c>
      <c r="AP1040" s="9">
        <f t="shared" ca="1" si="160"/>
        <v>45869</v>
      </c>
    </row>
    <row r="1041" spans="1:42" x14ac:dyDescent="0.25">
      <c r="A1041">
        <v>14</v>
      </c>
      <c r="B1041" t="s">
        <v>26</v>
      </c>
      <c r="C1041">
        <v>5</v>
      </c>
      <c r="D1041" t="s">
        <v>104</v>
      </c>
      <c r="E1041" t="b">
        <v>1</v>
      </c>
      <c r="F1041" s="1">
        <v>0.84444444444444444</v>
      </c>
      <c r="G1041" s="1">
        <v>0.93958333333333333</v>
      </c>
      <c r="H1041">
        <v>137</v>
      </c>
      <c r="I1041" t="b">
        <v>0</v>
      </c>
      <c r="J1041" t="b">
        <v>0</v>
      </c>
      <c r="K1041" t="b">
        <v>1</v>
      </c>
      <c r="L1041" t="s">
        <v>62</v>
      </c>
      <c r="M1041">
        <v>50</v>
      </c>
      <c r="N1041" t="s">
        <v>29</v>
      </c>
      <c r="O1041">
        <v>50</v>
      </c>
      <c r="P1041" t="s">
        <v>36</v>
      </c>
      <c r="Q1041">
        <v>0</v>
      </c>
      <c r="R1041">
        <v>50</v>
      </c>
      <c r="S1041" t="s">
        <v>31</v>
      </c>
      <c r="T1041" t="s">
        <v>56</v>
      </c>
      <c r="U1041">
        <v>35.3733</v>
      </c>
      <c r="V1041">
        <v>-119.0187</v>
      </c>
      <c r="W1041" s="2">
        <v>45256</v>
      </c>
      <c r="X1041">
        <v>0</v>
      </c>
      <c r="Y1041" t="b">
        <v>1</v>
      </c>
      <c r="Z1041" s="2">
        <v>45828</v>
      </c>
      <c r="AA1041" t="str">
        <f t="shared" si="161"/>
        <v>10–19</v>
      </c>
      <c r="AB1041" t="str">
        <f t="shared" si="162"/>
        <v>Under 16</v>
      </c>
      <c r="AC1041" t="str">
        <f t="shared" si="163"/>
        <v/>
      </c>
      <c r="AD1041" t="str">
        <f t="shared" si="164"/>
        <v>Tuesday</v>
      </c>
      <c r="AE1041" t="str">
        <f t="shared" si="165"/>
        <v>Wednesday</v>
      </c>
      <c r="AF1041" t="str">
        <f t="shared" si="166"/>
        <v>Thursday</v>
      </c>
      <c r="AG1041" t="str">
        <f t="shared" si="167"/>
        <v/>
      </c>
      <c r="AH1041" t="str">
        <f t="shared" si="168"/>
        <v>Saturday</v>
      </c>
      <c r="AI1041" t="str">
        <f t="shared" si="169"/>
        <v>Sunday</v>
      </c>
      <c r="AJ1041" t="str">
        <f>LEFT(Table1[[#This Row],[membership_type]],2)&amp;TEXT(Table1[[#This Row],[age]],"00")&amp;"-"&amp;TEXT(ROW(),"000")</f>
        <v>Pr14-1041</v>
      </c>
      <c r="AK1041" t="str">
        <f>LEFT(Table1[[#This Row],[membership_type]],1)&amp;TEXT(MATCH(Table1[[#This Row],[membership_type]],Table1[membership_type],0),"00")</f>
        <v>P01</v>
      </c>
      <c r="AL1041" t="str">
        <f>LEFT(Table1[[#This Row],[discount_type]],1)&amp;TEXT(ROUND(Table1[[#This Row],[discount_rate]]*100,0),"00")</f>
        <v>N00</v>
      </c>
      <c r="AM1041" t="str" cm="1">
        <f t="array" ref="AM1041">TEXT(SUMPRODUCT(CODE(MID(Table1[[#This Row],[home_gym_location]],_xlfn.SEQUENCE(LEN(Table1[[#This Row],[home_gym_location]])),1))),"00000")</f>
        <v>01324</v>
      </c>
      <c r="AN104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41" t="str">
        <f>LEFT(_xlfn.TEXTBEFORE(Table1[[#This Row],[Location Identifier]],"-"),3) &amp; "-" &amp; _xlfn.TEXTAFTER(Table1[[#This Row],[Location Identifier]],"-")</f>
        <v>BAK-002</v>
      </c>
      <c r="AP1041" s="9">
        <f t="shared" ca="1" si="160"/>
        <v>45869</v>
      </c>
    </row>
    <row r="1042" spans="1:42" x14ac:dyDescent="0.25">
      <c r="A1042">
        <v>29</v>
      </c>
      <c r="B1042" t="s">
        <v>33</v>
      </c>
      <c r="C1042">
        <v>3</v>
      </c>
      <c r="D1042" t="s">
        <v>80</v>
      </c>
      <c r="E1042" t="b">
        <v>0</v>
      </c>
      <c r="F1042" s="1">
        <v>0.45833333333333331</v>
      </c>
      <c r="G1042" s="1">
        <v>0.5083333333333333</v>
      </c>
      <c r="H1042">
        <v>72</v>
      </c>
      <c r="I1042" t="b">
        <v>1</v>
      </c>
      <c r="J1042" t="b">
        <v>0</v>
      </c>
      <c r="K1042" t="b">
        <v>0</v>
      </c>
      <c r="L1042" t="s">
        <v>28</v>
      </c>
      <c r="M1042">
        <v>30</v>
      </c>
      <c r="N1042" t="s">
        <v>29</v>
      </c>
      <c r="O1042">
        <v>30</v>
      </c>
      <c r="P1042" t="s">
        <v>40</v>
      </c>
      <c r="Q1042">
        <v>0.1</v>
      </c>
      <c r="R1042">
        <v>27</v>
      </c>
      <c r="S1042" t="s">
        <v>37</v>
      </c>
      <c r="T1042" t="s">
        <v>41</v>
      </c>
      <c r="U1042">
        <v>37.804400000000001</v>
      </c>
      <c r="V1042">
        <v>-122.27119999999999</v>
      </c>
      <c r="W1042" s="2">
        <v>44988</v>
      </c>
      <c r="X1042">
        <v>0</v>
      </c>
      <c r="Y1042" t="b">
        <v>1</v>
      </c>
      <c r="Z1042" s="2">
        <v>45813</v>
      </c>
      <c r="AA1042" t="str">
        <f t="shared" si="161"/>
        <v>20–29</v>
      </c>
      <c r="AB1042" t="str">
        <f t="shared" si="162"/>
        <v>20–29</v>
      </c>
      <c r="AC1042" t="str">
        <f t="shared" si="163"/>
        <v>Monday</v>
      </c>
      <c r="AD1042" t="str">
        <f t="shared" si="164"/>
        <v/>
      </c>
      <c r="AE1042" t="str">
        <f t="shared" si="165"/>
        <v/>
      </c>
      <c r="AF1042" t="str">
        <f t="shared" si="166"/>
        <v/>
      </c>
      <c r="AG1042" t="str">
        <f t="shared" si="167"/>
        <v/>
      </c>
      <c r="AH1042" t="str">
        <f t="shared" si="168"/>
        <v>Saturday</v>
      </c>
      <c r="AI1042" t="str">
        <f t="shared" si="169"/>
        <v>Sunday</v>
      </c>
      <c r="AJ1042" t="str">
        <f>LEFT(Table1[[#This Row],[membership_type]],2)&amp;TEXT(Table1[[#This Row],[age]],"00")&amp;"-"&amp;TEXT(ROW(),"000")</f>
        <v>St29-1042</v>
      </c>
      <c r="AK1042" t="str">
        <f>LEFT(Table1[[#This Row],[membership_type]],1)&amp;TEXT(MATCH(Table1[[#This Row],[membership_type]],Table1[membership_type],0),"00")</f>
        <v>S02</v>
      </c>
      <c r="AL1042" t="str">
        <f>LEFT(Table1[[#This Row],[discount_type]],1)&amp;TEXT(ROUND(Table1[[#This Row],[discount_rate]]*100,0),"00")</f>
        <v>L10</v>
      </c>
      <c r="AM1042" t="str" cm="1">
        <f t="array" ref="AM1042">TEXT(SUMPRODUCT(CODE(MID(Table1[[#This Row],[home_gym_location]],_xlfn.SEQUENCE(LEN(Table1[[#This Row],[home_gym_location]])),1))),"00000")</f>
        <v>00906</v>
      </c>
      <c r="AN104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42" t="str">
        <f>LEFT(_xlfn.TEXTBEFORE(Table1[[#This Row],[Location Identifier]],"-"),3) &amp; "-" &amp; _xlfn.TEXTAFTER(Table1[[#This Row],[Location Identifier]],"-")</f>
        <v>OAK-006</v>
      </c>
      <c r="AP1042" s="9">
        <f t="shared" ca="1" si="160"/>
        <v>45869</v>
      </c>
    </row>
    <row r="1043" spans="1:42" x14ac:dyDescent="0.25">
      <c r="A1043">
        <v>49</v>
      </c>
      <c r="B1043" t="s">
        <v>33</v>
      </c>
      <c r="C1043">
        <v>3</v>
      </c>
      <c r="D1043" t="s">
        <v>80</v>
      </c>
      <c r="E1043" t="b">
        <v>0</v>
      </c>
      <c r="F1043" s="1">
        <v>0.64236111111111116</v>
      </c>
      <c r="G1043" s="1">
        <v>0.75347222222222221</v>
      </c>
      <c r="H1043">
        <v>160</v>
      </c>
      <c r="I1043" t="b">
        <v>1</v>
      </c>
      <c r="J1043" t="b">
        <v>0</v>
      </c>
      <c r="K1043" t="b">
        <v>1</v>
      </c>
      <c r="L1043" t="s">
        <v>62</v>
      </c>
      <c r="M1043">
        <v>30</v>
      </c>
      <c r="N1043" t="s">
        <v>29</v>
      </c>
      <c r="O1043">
        <v>30</v>
      </c>
      <c r="P1043" t="s">
        <v>40</v>
      </c>
      <c r="Q1043">
        <v>0.1</v>
      </c>
      <c r="R1043">
        <v>27</v>
      </c>
      <c r="S1043" t="s">
        <v>37</v>
      </c>
      <c r="T1043" t="s">
        <v>50</v>
      </c>
      <c r="U1043">
        <v>34.052199999999999</v>
      </c>
      <c r="V1043">
        <v>-118.2437</v>
      </c>
      <c r="W1043" s="2">
        <v>45491</v>
      </c>
      <c r="X1043">
        <v>0</v>
      </c>
      <c r="Y1043" t="b">
        <v>0</v>
      </c>
      <c r="Z1043" s="2">
        <v>45841</v>
      </c>
      <c r="AA1043" t="str">
        <f t="shared" si="161"/>
        <v>40–49</v>
      </c>
      <c r="AB1043" t="str">
        <f t="shared" si="162"/>
        <v>40–49</v>
      </c>
      <c r="AC1043" t="str">
        <f t="shared" si="163"/>
        <v>Monday</v>
      </c>
      <c r="AD1043" t="str">
        <f t="shared" si="164"/>
        <v/>
      </c>
      <c r="AE1043" t="str">
        <f t="shared" si="165"/>
        <v/>
      </c>
      <c r="AF1043" t="str">
        <f t="shared" si="166"/>
        <v/>
      </c>
      <c r="AG1043" t="str">
        <f t="shared" si="167"/>
        <v/>
      </c>
      <c r="AH1043" t="str">
        <f t="shared" si="168"/>
        <v>Saturday</v>
      </c>
      <c r="AI1043" t="str">
        <f t="shared" si="169"/>
        <v>Sunday</v>
      </c>
      <c r="AJ1043" t="str">
        <f>LEFT(Table1[[#This Row],[membership_type]],2)&amp;TEXT(Table1[[#This Row],[age]],"00")&amp;"-"&amp;TEXT(ROW(),"000")</f>
        <v>St49-1043</v>
      </c>
      <c r="AK1043" t="str">
        <f>LEFT(Table1[[#This Row],[membership_type]],1)&amp;TEXT(MATCH(Table1[[#This Row],[membership_type]],Table1[membership_type],0),"00")</f>
        <v>S02</v>
      </c>
      <c r="AL1043" t="str">
        <f>LEFT(Table1[[#This Row],[discount_type]],1)&amp;TEXT(ROUND(Table1[[#This Row],[discount_rate]]*100,0),"00")</f>
        <v>L10</v>
      </c>
      <c r="AM1043" t="str" cm="1">
        <f t="array" ref="AM1043">TEXT(SUMPRODUCT(CODE(MID(Table1[[#This Row],[home_gym_location]],_xlfn.SEQUENCE(LEN(Table1[[#This Row],[home_gym_location]])),1))),"00000")</f>
        <v>01245</v>
      </c>
      <c r="AN104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43" t="str">
        <f>LEFT(_xlfn.TEXTBEFORE(Table1[[#This Row],[Location Identifier]],"-"),3) &amp; "-" &amp; _xlfn.TEXTAFTER(Table1[[#This Row],[Location Identifier]],"-")</f>
        <v>LOS-005</v>
      </c>
      <c r="AP1043" s="9">
        <f t="shared" ca="1" si="160"/>
        <v>45869</v>
      </c>
    </row>
    <row r="1044" spans="1:42" x14ac:dyDescent="0.25">
      <c r="A1044">
        <v>37</v>
      </c>
      <c r="B1044" t="s">
        <v>26</v>
      </c>
      <c r="C1044">
        <v>1</v>
      </c>
      <c r="D1044" t="s">
        <v>49</v>
      </c>
      <c r="E1044" t="b">
        <v>1</v>
      </c>
      <c r="F1044" s="1">
        <v>0.66319444444444442</v>
      </c>
      <c r="G1044" s="1">
        <v>0.68958333333333333</v>
      </c>
      <c r="H1044">
        <v>38</v>
      </c>
      <c r="I1044" t="b">
        <v>0</v>
      </c>
      <c r="J1044" t="b">
        <v>0</v>
      </c>
      <c r="K1044" t="b">
        <v>0</v>
      </c>
      <c r="L1044" t="s">
        <v>47</v>
      </c>
      <c r="M1044">
        <v>50</v>
      </c>
      <c r="N1044" t="s">
        <v>29</v>
      </c>
      <c r="O1044">
        <v>50</v>
      </c>
      <c r="P1044" t="s">
        <v>36</v>
      </c>
      <c r="Q1044">
        <v>0</v>
      </c>
      <c r="R1044">
        <v>50</v>
      </c>
      <c r="S1044" t="s">
        <v>31</v>
      </c>
      <c r="T1044" t="s">
        <v>32</v>
      </c>
      <c r="U1044">
        <v>37.338200000000001</v>
      </c>
      <c r="V1044">
        <v>-121.88630000000001</v>
      </c>
      <c r="W1044" s="2">
        <v>45164</v>
      </c>
      <c r="X1044">
        <v>0</v>
      </c>
      <c r="Y1044" t="b">
        <v>1</v>
      </c>
      <c r="Z1044" s="2">
        <v>45823</v>
      </c>
      <c r="AA1044" t="str">
        <f t="shared" si="161"/>
        <v>30–39</v>
      </c>
      <c r="AB1044" t="str">
        <f t="shared" si="162"/>
        <v>30–39</v>
      </c>
      <c r="AC1044" t="str">
        <f t="shared" si="163"/>
        <v/>
      </c>
      <c r="AD1044" t="str">
        <f t="shared" si="164"/>
        <v/>
      </c>
      <c r="AE1044" t="str">
        <f t="shared" si="165"/>
        <v/>
      </c>
      <c r="AF1044" t="str">
        <f t="shared" si="166"/>
        <v/>
      </c>
      <c r="AG1044" t="str">
        <f t="shared" si="167"/>
        <v/>
      </c>
      <c r="AH1044" t="str">
        <f t="shared" si="168"/>
        <v/>
      </c>
      <c r="AI1044" t="str">
        <f t="shared" si="169"/>
        <v>Sunday</v>
      </c>
      <c r="AJ1044" t="str">
        <f>LEFT(Table1[[#This Row],[membership_type]],2)&amp;TEXT(Table1[[#This Row],[age]],"00")&amp;"-"&amp;TEXT(ROW(),"000")</f>
        <v>Pr37-1044</v>
      </c>
      <c r="AK1044" t="str">
        <f>LEFT(Table1[[#This Row],[membership_type]],1)&amp;TEXT(MATCH(Table1[[#This Row],[membership_type]],Table1[membership_type],0),"00")</f>
        <v>P01</v>
      </c>
      <c r="AL1044" t="str">
        <f>LEFT(Table1[[#This Row],[discount_type]],1)&amp;TEXT(ROUND(Table1[[#This Row],[discount_rate]]*100,0),"00")</f>
        <v>N00</v>
      </c>
      <c r="AM1044" t="str" cm="1">
        <f t="array" ref="AM1044">TEXT(SUMPRODUCT(CODE(MID(Table1[[#This Row],[home_gym_location]],_xlfn.SEQUENCE(LEN(Table1[[#This Row],[home_gym_location]])),1))),"00000")</f>
        <v>00931</v>
      </c>
      <c r="AN104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44" t="str">
        <f>LEFT(_xlfn.TEXTBEFORE(Table1[[#This Row],[Location Identifier]],"-"),3) &amp; "-" &amp; _xlfn.TEXTAFTER(Table1[[#This Row],[Location Identifier]],"-")</f>
        <v>SAN-010</v>
      </c>
      <c r="AP1044" s="9">
        <f t="shared" ca="1" si="160"/>
        <v>45869</v>
      </c>
    </row>
    <row r="1045" spans="1:42" x14ac:dyDescent="0.25">
      <c r="A1045">
        <v>29</v>
      </c>
      <c r="B1045" t="s">
        <v>26</v>
      </c>
      <c r="C1045">
        <v>5</v>
      </c>
      <c r="D1045" t="s">
        <v>118</v>
      </c>
      <c r="E1045" t="b">
        <v>1</v>
      </c>
      <c r="F1045" s="1">
        <v>0.40138888888888891</v>
      </c>
      <c r="G1045" s="1">
        <v>0.44374999999999998</v>
      </c>
      <c r="H1045">
        <v>61</v>
      </c>
      <c r="I1045" t="b">
        <v>0</v>
      </c>
      <c r="J1045" t="b">
        <v>0</v>
      </c>
      <c r="K1045" t="b">
        <v>1</v>
      </c>
      <c r="L1045" t="s">
        <v>62</v>
      </c>
      <c r="M1045">
        <v>50</v>
      </c>
      <c r="N1045" t="s">
        <v>64</v>
      </c>
      <c r="O1045">
        <v>37.5</v>
      </c>
      <c r="P1045" t="s">
        <v>74</v>
      </c>
      <c r="Q1045">
        <v>0.15</v>
      </c>
      <c r="R1045">
        <v>31.875</v>
      </c>
      <c r="S1045" t="s">
        <v>31</v>
      </c>
      <c r="T1045" t="s">
        <v>50</v>
      </c>
      <c r="U1045">
        <v>34.052199999999999</v>
      </c>
      <c r="V1045">
        <v>-118.2437</v>
      </c>
      <c r="W1045" s="2">
        <v>44887</v>
      </c>
      <c r="X1045">
        <v>0</v>
      </c>
      <c r="Y1045" t="b">
        <v>0</v>
      </c>
      <c r="Z1045" s="2">
        <v>45807</v>
      </c>
      <c r="AA1045" t="str">
        <f t="shared" si="161"/>
        <v>20–29</v>
      </c>
      <c r="AB1045" t="str">
        <f t="shared" si="162"/>
        <v>20–29</v>
      </c>
      <c r="AC1045" t="str">
        <f t="shared" si="163"/>
        <v>Monday</v>
      </c>
      <c r="AD1045" t="str">
        <f t="shared" si="164"/>
        <v/>
      </c>
      <c r="AE1045" t="str">
        <f t="shared" si="165"/>
        <v>Wednesday</v>
      </c>
      <c r="AF1045" t="str">
        <f t="shared" si="166"/>
        <v>Thursday</v>
      </c>
      <c r="AG1045" t="str">
        <f t="shared" si="167"/>
        <v>Friday</v>
      </c>
      <c r="AH1045" t="str">
        <f t="shared" si="168"/>
        <v>Saturday</v>
      </c>
      <c r="AI1045" t="str">
        <f t="shared" si="169"/>
        <v/>
      </c>
      <c r="AJ1045" t="str">
        <f>LEFT(Table1[[#This Row],[membership_type]],2)&amp;TEXT(Table1[[#This Row],[age]],"00")&amp;"-"&amp;TEXT(ROW(),"000")</f>
        <v>Pr29-1045</v>
      </c>
      <c r="AK1045" t="str">
        <f>LEFT(Table1[[#This Row],[membership_type]],1)&amp;TEXT(MATCH(Table1[[#This Row],[membership_type]],Table1[membership_type],0),"00")</f>
        <v>P01</v>
      </c>
      <c r="AL1045" t="str">
        <f>LEFT(Table1[[#This Row],[discount_type]],1)&amp;TEXT(ROUND(Table1[[#This Row],[discount_rate]]*100,0),"00")</f>
        <v>S15</v>
      </c>
      <c r="AM1045" t="str" cm="1">
        <f t="array" ref="AM1045">TEXT(SUMPRODUCT(CODE(MID(Table1[[#This Row],[home_gym_location]],_xlfn.SEQUENCE(LEN(Table1[[#This Row],[home_gym_location]])),1))),"00000")</f>
        <v>01245</v>
      </c>
      <c r="AN104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45" t="str">
        <f>LEFT(_xlfn.TEXTBEFORE(Table1[[#This Row],[Location Identifier]],"-"),3) &amp; "-" &amp; _xlfn.TEXTAFTER(Table1[[#This Row],[Location Identifier]],"-")</f>
        <v>LOS-005</v>
      </c>
      <c r="AP1045" s="9">
        <f t="shared" ca="1" si="160"/>
        <v>45869</v>
      </c>
    </row>
    <row r="1046" spans="1:42" x14ac:dyDescent="0.25">
      <c r="A1046">
        <v>22</v>
      </c>
      <c r="B1046" t="s">
        <v>51</v>
      </c>
      <c r="C1046">
        <v>3</v>
      </c>
      <c r="D1046" t="s">
        <v>106</v>
      </c>
      <c r="E1046" t="b">
        <v>1</v>
      </c>
      <c r="F1046" s="1">
        <v>0.49027777777777776</v>
      </c>
      <c r="G1046" s="1">
        <v>0.57430555555555551</v>
      </c>
      <c r="H1046">
        <v>121</v>
      </c>
      <c r="I1046" t="b">
        <v>0</v>
      </c>
      <c r="J1046" t="b">
        <v>1</v>
      </c>
      <c r="K1046" t="b">
        <v>1</v>
      </c>
      <c r="L1046" t="s">
        <v>62</v>
      </c>
      <c r="M1046">
        <v>70</v>
      </c>
      <c r="N1046" t="s">
        <v>29</v>
      </c>
      <c r="O1046">
        <v>70</v>
      </c>
      <c r="P1046" t="s">
        <v>36</v>
      </c>
      <c r="Q1046">
        <v>0</v>
      </c>
      <c r="R1046">
        <v>70</v>
      </c>
      <c r="S1046" t="s">
        <v>53</v>
      </c>
      <c r="T1046" t="s">
        <v>54</v>
      </c>
      <c r="U1046">
        <v>32.715699999999998</v>
      </c>
      <c r="V1046">
        <v>-117.1611</v>
      </c>
      <c r="W1046" s="2">
        <v>45175</v>
      </c>
      <c r="X1046">
        <v>6</v>
      </c>
      <c r="Y1046" t="b">
        <v>1</v>
      </c>
      <c r="Z1046" s="2">
        <v>45824</v>
      </c>
      <c r="AA1046" t="str">
        <f t="shared" si="161"/>
        <v>20–29</v>
      </c>
      <c r="AB1046" t="str">
        <f t="shared" si="162"/>
        <v>20–29</v>
      </c>
      <c r="AC1046" t="str">
        <f t="shared" si="163"/>
        <v/>
      </c>
      <c r="AD1046" t="str">
        <f t="shared" si="164"/>
        <v/>
      </c>
      <c r="AE1046" t="str">
        <f t="shared" si="165"/>
        <v>Wednesday</v>
      </c>
      <c r="AF1046" t="str">
        <f t="shared" si="166"/>
        <v>Thursday</v>
      </c>
      <c r="AG1046" t="str">
        <f t="shared" si="167"/>
        <v>Friday</v>
      </c>
      <c r="AH1046" t="str">
        <f t="shared" si="168"/>
        <v/>
      </c>
      <c r="AI1046" t="str">
        <f t="shared" si="169"/>
        <v/>
      </c>
      <c r="AJ1046" t="str">
        <f>LEFT(Table1[[#This Row],[membership_type]],2)&amp;TEXT(Table1[[#This Row],[age]],"00")&amp;"-"&amp;TEXT(ROW(),"000")</f>
        <v>El22-1046</v>
      </c>
      <c r="AK1046" t="str">
        <f>LEFT(Table1[[#This Row],[membership_type]],1)&amp;TEXT(MATCH(Table1[[#This Row],[membership_type]],Table1[membership_type],0),"00")</f>
        <v>E07</v>
      </c>
      <c r="AL1046" t="str">
        <f>LEFT(Table1[[#This Row],[discount_type]],1)&amp;TEXT(ROUND(Table1[[#This Row],[discount_rate]]*100,0),"00")</f>
        <v>N00</v>
      </c>
      <c r="AM1046" t="str" cm="1">
        <f t="array" ref="AM1046">TEXT(SUMPRODUCT(CODE(MID(Table1[[#This Row],[home_gym_location]],_xlfn.SEQUENCE(LEN(Table1[[#This Row],[home_gym_location]])),1))),"00000")</f>
        <v>01018</v>
      </c>
      <c r="AN104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46" t="str">
        <f>LEFT(_xlfn.TEXTBEFORE(Table1[[#This Row],[Location Identifier]],"-"),3) &amp; "-" &amp; _xlfn.TEXTAFTER(Table1[[#This Row],[Location Identifier]],"-")</f>
        <v>SAN-008</v>
      </c>
      <c r="AP1046" s="9">
        <f t="shared" ca="1" si="160"/>
        <v>45869</v>
      </c>
    </row>
    <row r="1047" spans="1:42" x14ac:dyDescent="0.25">
      <c r="A1047">
        <v>14</v>
      </c>
      <c r="B1047" t="s">
        <v>42</v>
      </c>
      <c r="C1047">
        <v>2</v>
      </c>
      <c r="D1047" t="s">
        <v>94</v>
      </c>
      <c r="E1047" t="b">
        <v>0</v>
      </c>
      <c r="F1047" s="1">
        <v>0.42291666666666666</v>
      </c>
      <c r="G1047" s="1">
        <v>0.46875</v>
      </c>
      <c r="H1047">
        <v>66</v>
      </c>
      <c r="I1047" t="b">
        <v>0</v>
      </c>
      <c r="J1047" t="b">
        <v>1</v>
      </c>
      <c r="K1047" t="b">
        <v>1</v>
      </c>
      <c r="L1047" t="s">
        <v>62</v>
      </c>
      <c r="M1047">
        <v>20</v>
      </c>
      <c r="N1047" t="s">
        <v>29</v>
      </c>
      <c r="O1047">
        <v>20</v>
      </c>
      <c r="P1047" t="s">
        <v>36</v>
      </c>
      <c r="Q1047">
        <v>0</v>
      </c>
      <c r="R1047">
        <v>20</v>
      </c>
      <c r="S1047" t="s">
        <v>44</v>
      </c>
      <c r="T1047" t="s">
        <v>59</v>
      </c>
      <c r="U1047">
        <v>37.774900000000002</v>
      </c>
      <c r="V1047">
        <v>-122.4194</v>
      </c>
      <c r="W1047" s="2">
        <v>45582</v>
      </c>
      <c r="X1047">
        <v>4</v>
      </c>
      <c r="Y1047" t="b">
        <v>0</v>
      </c>
      <c r="Z1047" s="2">
        <v>45847</v>
      </c>
      <c r="AA1047" t="str">
        <f t="shared" si="161"/>
        <v>10–19</v>
      </c>
      <c r="AB1047" t="str">
        <f t="shared" si="162"/>
        <v>Under 16</v>
      </c>
      <c r="AC1047" t="str">
        <f t="shared" si="163"/>
        <v/>
      </c>
      <c r="AD1047" t="str">
        <f t="shared" si="164"/>
        <v/>
      </c>
      <c r="AE1047" t="str">
        <f t="shared" si="165"/>
        <v/>
      </c>
      <c r="AF1047" t="str">
        <f t="shared" si="166"/>
        <v/>
      </c>
      <c r="AG1047" t="str">
        <f t="shared" si="167"/>
        <v/>
      </c>
      <c r="AH1047" t="str">
        <f t="shared" si="168"/>
        <v>Saturday</v>
      </c>
      <c r="AI1047" t="str">
        <f t="shared" si="169"/>
        <v>Sunday</v>
      </c>
      <c r="AJ1047" t="str">
        <f>LEFT(Table1[[#This Row],[membership_type]],2)&amp;TEXT(Table1[[#This Row],[age]],"00")&amp;"-"&amp;TEXT(ROW(),"000")</f>
        <v>Ba14-1047</v>
      </c>
      <c r="AK1047" t="str">
        <f>LEFT(Table1[[#This Row],[membership_type]],1)&amp;TEXT(MATCH(Table1[[#This Row],[membership_type]],Table1[membership_type],0),"00")</f>
        <v>B04</v>
      </c>
      <c r="AL1047" t="str">
        <f>LEFT(Table1[[#This Row],[discount_type]],1)&amp;TEXT(ROUND(Table1[[#This Row],[discount_rate]]*100,0),"00")</f>
        <v>N00</v>
      </c>
      <c r="AM1047" t="str" cm="1">
        <f t="array" ref="AM1047">TEXT(SUMPRODUCT(CODE(MID(Table1[[#This Row],[home_gym_location]],_xlfn.SEQUENCE(LEN(Table1[[#This Row],[home_gym_location]])),1))),"00000")</f>
        <v>01450</v>
      </c>
      <c r="AN104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47" t="str">
        <f>LEFT(_xlfn.TEXTBEFORE(Table1[[#This Row],[Location Identifier]],"-"),3) &amp; "-" &amp; _xlfn.TEXTAFTER(Table1[[#This Row],[Location Identifier]],"-")</f>
        <v>SAN-009</v>
      </c>
      <c r="AP1047" s="9">
        <f t="shared" ca="1" si="160"/>
        <v>45869</v>
      </c>
    </row>
    <row r="1048" spans="1:42" x14ac:dyDescent="0.25">
      <c r="A1048">
        <v>20</v>
      </c>
      <c r="B1048" t="s">
        <v>33</v>
      </c>
      <c r="C1048">
        <v>1</v>
      </c>
      <c r="D1048" t="s">
        <v>71</v>
      </c>
      <c r="E1048" t="b">
        <v>0</v>
      </c>
      <c r="F1048" s="1">
        <v>0.37152777777777779</v>
      </c>
      <c r="G1048" s="1">
        <v>0.43263888888888891</v>
      </c>
      <c r="H1048">
        <v>88</v>
      </c>
      <c r="I1048" t="b">
        <v>1</v>
      </c>
      <c r="J1048" t="b">
        <v>1</v>
      </c>
      <c r="K1048" t="b">
        <v>1</v>
      </c>
      <c r="L1048" t="s">
        <v>62</v>
      </c>
      <c r="M1048">
        <v>30</v>
      </c>
      <c r="N1048" t="s">
        <v>29</v>
      </c>
      <c r="O1048">
        <v>30</v>
      </c>
      <c r="P1048" t="s">
        <v>36</v>
      </c>
      <c r="Q1048">
        <v>0</v>
      </c>
      <c r="R1048">
        <v>30</v>
      </c>
      <c r="S1048" t="s">
        <v>37</v>
      </c>
      <c r="T1048" t="s">
        <v>59</v>
      </c>
      <c r="U1048">
        <v>37.774900000000002</v>
      </c>
      <c r="V1048">
        <v>-122.4194</v>
      </c>
      <c r="W1048" s="2">
        <v>45805</v>
      </c>
      <c r="X1048">
        <v>5</v>
      </c>
      <c r="Y1048" t="b">
        <v>0</v>
      </c>
      <c r="Z1048" s="2">
        <v>45859</v>
      </c>
      <c r="AA1048" t="str">
        <f t="shared" si="161"/>
        <v>20–29</v>
      </c>
      <c r="AB1048" t="str">
        <f t="shared" si="162"/>
        <v>20–29</v>
      </c>
      <c r="AC1048" t="str">
        <f t="shared" si="163"/>
        <v/>
      </c>
      <c r="AD1048" t="str">
        <f t="shared" si="164"/>
        <v>Tuesday</v>
      </c>
      <c r="AE1048" t="str">
        <f t="shared" si="165"/>
        <v/>
      </c>
      <c r="AF1048" t="str">
        <f t="shared" si="166"/>
        <v/>
      </c>
      <c r="AG1048" t="str">
        <f t="shared" si="167"/>
        <v/>
      </c>
      <c r="AH1048" t="str">
        <f t="shared" si="168"/>
        <v/>
      </c>
      <c r="AI1048" t="str">
        <f t="shared" si="169"/>
        <v/>
      </c>
      <c r="AJ1048" t="str">
        <f>LEFT(Table1[[#This Row],[membership_type]],2)&amp;TEXT(Table1[[#This Row],[age]],"00")&amp;"-"&amp;TEXT(ROW(),"000")</f>
        <v>St20-1048</v>
      </c>
      <c r="AK1048" t="str">
        <f>LEFT(Table1[[#This Row],[membership_type]],1)&amp;TEXT(MATCH(Table1[[#This Row],[membership_type]],Table1[membership_type],0),"00")</f>
        <v>S02</v>
      </c>
      <c r="AL1048" t="str">
        <f>LEFT(Table1[[#This Row],[discount_type]],1)&amp;TEXT(ROUND(Table1[[#This Row],[discount_rate]]*100,0),"00")</f>
        <v>N00</v>
      </c>
      <c r="AM1048" t="str" cm="1">
        <f t="array" ref="AM1048">TEXT(SUMPRODUCT(CODE(MID(Table1[[#This Row],[home_gym_location]],_xlfn.SEQUENCE(LEN(Table1[[#This Row],[home_gym_location]])),1))),"00000")</f>
        <v>01450</v>
      </c>
      <c r="AN104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48" t="str">
        <f>LEFT(_xlfn.TEXTBEFORE(Table1[[#This Row],[Location Identifier]],"-"),3) &amp; "-" &amp; _xlfn.TEXTAFTER(Table1[[#This Row],[Location Identifier]],"-")</f>
        <v>SAN-009</v>
      </c>
      <c r="AP1048" s="9">
        <f t="shared" ca="1" si="160"/>
        <v>45869</v>
      </c>
    </row>
    <row r="1049" spans="1:42" x14ac:dyDescent="0.25">
      <c r="A1049">
        <v>21</v>
      </c>
      <c r="B1049" t="s">
        <v>26</v>
      </c>
      <c r="C1049">
        <v>3</v>
      </c>
      <c r="D1049" t="s">
        <v>86</v>
      </c>
      <c r="E1049" t="b">
        <v>0</v>
      </c>
      <c r="F1049" s="1">
        <v>0.39027777777777778</v>
      </c>
      <c r="G1049" s="1">
        <v>0.45277777777777778</v>
      </c>
      <c r="H1049">
        <v>90</v>
      </c>
      <c r="I1049" t="b">
        <v>1</v>
      </c>
      <c r="J1049" t="b">
        <v>1</v>
      </c>
      <c r="K1049" t="b">
        <v>0</v>
      </c>
      <c r="L1049" t="s">
        <v>28</v>
      </c>
      <c r="M1049">
        <v>50</v>
      </c>
      <c r="N1049" t="s">
        <v>29</v>
      </c>
      <c r="O1049">
        <v>50</v>
      </c>
      <c r="P1049" t="s">
        <v>36</v>
      </c>
      <c r="Q1049">
        <v>0</v>
      </c>
      <c r="R1049">
        <v>50</v>
      </c>
      <c r="S1049" t="s">
        <v>31</v>
      </c>
      <c r="T1049" t="s">
        <v>56</v>
      </c>
      <c r="U1049">
        <v>35.3733</v>
      </c>
      <c r="V1049">
        <v>-119.0187</v>
      </c>
      <c r="W1049" s="2">
        <v>44904</v>
      </c>
      <c r="X1049">
        <v>3</v>
      </c>
      <c r="Y1049" t="b">
        <v>1</v>
      </c>
      <c r="Z1049" s="2">
        <v>45808</v>
      </c>
      <c r="AA1049" t="str">
        <f t="shared" si="161"/>
        <v>20–29</v>
      </c>
      <c r="AB1049" t="str">
        <f t="shared" si="162"/>
        <v>20–29</v>
      </c>
      <c r="AC1049" t="str">
        <f t="shared" si="163"/>
        <v/>
      </c>
      <c r="AD1049" t="str">
        <f t="shared" si="164"/>
        <v>Tuesday</v>
      </c>
      <c r="AE1049" t="str">
        <f t="shared" si="165"/>
        <v/>
      </c>
      <c r="AF1049" t="str">
        <f t="shared" si="166"/>
        <v/>
      </c>
      <c r="AG1049" t="str">
        <f t="shared" si="167"/>
        <v>Friday</v>
      </c>
      <c r="AH1049" t="str">
        <f t="shared" si="168"/>
        <v>Saturday</v>
      </c>
      <c r="AI1049" t="str">
        <f t="shared" si="169"/>
        <v/>
      </c>
      <c r="AJ1049" t="str">
        <f>LEFT(Table1[[#This Row],[membership_type]],2)&amp;TEXT(Table1[[#This Row],[age]],"00")&amp;"-"&amp;TEXT(ROW(),"000")</f>
        <v>Pr21-1049</v>
      </c>
      <c r="AK1049" t="str">
        <f>LEFT(Table1[[#This Row],[membership_type]],1)&amp;TEXT(MATCH(Table1[[#This Row],[membership_type]],Table1[membership_type],0),"00")</f>
        <v>P01</v>
      </c>
      <c r="AL1049" t="str">
        <f>LEFT(Table1[[#This Row],[discount_type]],1)&amp;TEXT(ROUND(Table1[[#This Row],[discount_rate]]*100,0),"00")</f>
        <v>N00</v>
      </c>
      <c r="AM1049" t="str" cm="1">
        <f t="array" ref="AM1049">TEXT(SUMPRODUCT(CODE(MID(Table1[[#This Row],[home_gym_location]],_xlfn.SEQUENCE(LEN(Table1[[#This Row],[home_gym_location]])),1))),"00000")</f>
        <v>01324</v>
      </c>
      <c r="AN104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49" t="str">
        <f>LEFT(_xlfn.TEXTBEFORE(Table1[[#This Row],[Location Identifier]],"-"),3) &amp; "-" &amp; _xlfn.TEXTAFTER(Table1[[#This Row],[Location Identifier]],"-")</f>
        <v>BAK-002</v>
      </c>
      <c r="AP1049" s="9">
        <f t="shared" ca="1" si="160"/>
        <v>45869</v>
      </c>
    </row>
    <row r="1050" spans="1:42" x14ac:dyDescent="0.25">
      <c r="A1050">
        <v>32</v>
      </c>
      <c r="B1050" t="s">
        <v>33</v>
      </c>
      <c r="C1050">
        <v>3</v>
      </c>
      <c r="D1050" t="s">
        <v>122</v>
      </c>
      <c r="E1050" t="b">
        <v>1</v>
      </c>
      <c r="F1050" s="1">
        <v>0.51111111111111107</v>
      </c>
      <c r="G1050" s="1">
        <v>0.54374999999999996</v>
      </c>
      <c r="H1050">
        <v>47</v>
      </c>
      <c r="I1050" t="b">
        <v>0</v>
      </c>
      <c r="J1050" t="b">
        <v>1</v>
      </c>
      <c r="K1050" t="b">
        <v>0</v>
      </c>
      <c r="L1050" t="s">
        <v>28</v>
      </c>
      <c r="M1050">
        <v>30</v>
      </c>
      <c r="N1050" t="s">
        <v>78</v>
      </c>
      <c r="O1050">
        <v>27</v>
      </c>
      <c r="P1050" t="s">
        <v>36</v>
      </c>
      <c r="Q1050">
        <v>0</v>
      </c>
      <c r="R1050">
        <v>27</v>
      </c>
      <c r="S1050" t="s">
        <v>37</v>
      </c>
      <c r="T1050" t="s">
        <v>38</v>
      </c>
      <c r="U1050">
        <v>36.7378</v>
      </c>
      <c r="V1050">
        <v>-119.7871</v>
      </c>
      <c r="W1050" s="2">
        <v>45808</v>
      </c>
      <c r="X1050">
        <v>6</v>
      </c>
      <c r="Y1050" t="b">
        <v>0</v>
      </c>
      <c r="Z1050" s="2">
        <v>45859</v>
      </c>
      <c r="AA1050" t="str">
        <f t="shared" si="161"/>
        <v>30–39</v>
      </c>
      <c r="AB1050" t="str">
        <f t="shared" si="162"/>
        <v>30–39</v>
      </c>
      <c r="AC1050" t="str">
        <f t="shared" si="163"/>
        <v/>
      </c>
      <c r="AD1050" t="str">
        <f t="shared" si="164"/>
        <v>Tuesday</v>
      </c>
      <c r="AE1050" t="str">
        <f t="shared" si="165"/>
        <v/>
      </c>
      <c r="AF1050" t="str">
        <f t="shared" si="166"/>
        <v/>
      </c>
      <c r="AG1050" t="str">
        <f t="shared" si="167"/>
        <v>Friday</v>
      </c>
      <c r="AH1050" t="str">
        <f t="shared" si="168"/>
        <v/>
      </c>
      <c r="AI1050" t="str">
        <f t="shared" si="169"/>
        <v>Sunday</v>
      </c>
      <c r="AJ1050" t="str">
        <f>LEFT(Table1[[#This Row],[membership_type]],2)&amp;TEXT(Table1[[#This Row],[age]],"00")&amp;"-"&amp;TEXT(ROW(),"000")</f>
        <v>St32-1050</v>
      </c>
      <c r="AK1050" t="str">
        <f>LEFT(Table1[[#This Row],[membership_type]],1)&amp;TEXT(MATCH(Table1[[#This Row],[membership_type]],Table1[membership_type],0),"00")</f>
        <v>S02</v>
      </c>
      <c r="AL1050" t="str">
        <f>LEFT(Table1[[#This Row],[discount_type]],1)&amp;TEXT(ROUND(Table1[[#This Row],[discount_rate]]*100,0),"00")</f>
        <v>N00</v>
      </c>
      <c r="AM1050" t="str" cm="1">
        <f t="array" ref="AM1050">TEXT(SUMPRODUCT(CODE(MID(Table1[[#This Row],[home_gym_location]],_xlfn.SEQUENCE(LEN(Table1[[#This Row],[home_gym_location]])),1))),"00000")</f>
        <v>00829</v>
      </c>
      <c r="AN1050" t="str">
        <f>UPPER(_xlfn.TEXTBEFORE(Table1[[#This Row],[home_gym_location]],","))&amp;"-"&amp;TEXT(MATCH(Table1[[#This Row],[home_gym_location]],_xlfn._xlws.SORT(_xlfn.UNIQUE(Table1[home_gym_location])),0),"000")</f>
        <v>FRESNO-003</v>
      </c>
      <c r="AO1050" t="str">
        <f>LEFT(_xlfn.TEXTBEFORE(Table1[[#This Row],[Location Identifier]],"-"),3) &amp; "-" &amp; _xlfn.TEXTAFTER(Table1[[#This Row],[Location Identifier]],"-")</f>
        <v>FRE-003</v>
      </c>
      <c r="AP1050" s="9">
        <f t="shared" ca="1" si="160"/>
        <v>45869</v>
      </c>
    </row>
    <row r="1051" spans="1:42" x14ac:dyDescent="0.25">
      <c r="A1051">
        <v>33</v>
      </c>
      <c r="B1051" t="s">
        <v>26</v>
      </c>
      <c r="C1051">
        <v>2</v>
      </c>
      <c r="D1051" t="s">
        <v>103</v>
      </c>
      <c r="E1051" t="b">
        <v>1</v>
      </c>
      <c r="F1051" s="1">
        <v>0.67777777777777781</v>
      </c>
      <c r="G1051" s="1">
        <v>0.75208333333333333</v>
      </c>
      <c r="H1051">
        <v>107</v>
      </c>
      <c r="I1051" t="b">
        <v>1</v>
      </c>
      <c r="J1051" t="b">
        <v>1</v>
      </c>
      <c r="K1051" t="b">
        <v>0</v>
      </c>
      <c r="L1051" t="s">
        <v>28</v>
      </c>
      <c r="M1051">
        <v>50</v>
      </c>
      <c r="N1051" t="s">
        <v>29</v>
      </c>
      <c r="O1051">
        <v>50</v>
      </c>
      <c r="P1051" t="s">
        <v>36</v>
      </c>
      <c r="Q1051">
        <v>0</v>
      </c>
      <c r="R1051">
        <v>50</v>
      </c>
      <c r="S1051" t="s">
        <v>31</v>
      </c>
      <c r="T1051" t="s">
        <v>32</v>
      </c>
      <c r="U1051">
        <v>37.338200000000001</v>
      </c>
      <c r="V1051">
        <v>-121.88630000000001</v>
      </c>
      <c r="W1051" s="2">
        <v>44899</v>
      </c>
      <c r="X1051">
        <v>4</v>
      </c>
      <c r="Y1051" t="b">
        <v>1</v>
      </c>
      <c r="Z1051" s="2">
        <v>45808</v>
      </c>
      <c r="AA1051" t="str">
        <f t="shared" si="161"/>
        <v>30–39</v>
      </c>
      <c r="AB1051" t="str">
        <f t="shared" si="162"/>
        <v>30–39</v>
      </c>
      <c r="AC1051" t="str">
        <f t="shared" si="163"/>
        <v>Monday</v>
      </c>
      <c r="AD1051" t="str">
        <f t="shared" si="164"/>
        <v/>
      </c>
      <c r="AE1051" t="str">
        <f t="shared" si="165"/>
        <v/>
      </c>
      <c r="AF1051" t="str">
        <f t="shared" si="166"/>
        <v/>
      </c>
      <c r="AG1051" t="str">
        <f t="shared" si="167"/>
        <v/>
      </c>
      <c r="AH1051" t="str">
        <f t="shared" si="168"/>
        <v/>
      </c>
      <c r="AI1051" t="str">
        <f t="shared" si="169"/>
        <v>Sunday</v>
      </c>
      <c r="AJ1051" t="str">
        <f>LEFT(Table1[[#This Row],[membership_type]],2)&amp;TEXT(Table1[[#This Row],[age]],"00")&amp;"-"&amp;TEXT(ROW(),"000")</f>
        <v>Pr33-1051</v>
      </c>
      <c r="AK1051" t="str">
        <f>LEFT(Table1[[#This Row],[membership_type]],1)&amp;TEXT(MATCH(Table1[[#This Row],[membership_type]],Table1[membership_type],0),"00")</f>
        <v>P01</v>
      </c>
      <c r="AL1051" t="str">
        <f>LEFT(Table1[[#This Row],[discount_type]],1)&amp;TEXT(ROUND(Table1[[#This Row],[discount_rate]]*100,0),"00")</f>
        <v>N00</v>
      </c>
      <c r="AM1051" t="str" cm="1">
        <f t="array" ref="AM1051">TEXT(SUMPRODUCT(CODE(MID(Table1[[#This Row],[home_gym_location]],_xlfn.SEQUENCE(LEN(Table1[[#This Row],[home_gym_location]])),1))),"00000")</f>
        <v>00931</v>
      </c>
      <c r="AN105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51" t="str">
        <f>LEFT(_xlfn.TEXTBEFORE(Table1[[#This Row],[Location Identifier]],"-"),3) &amp; "-" &amp; _xlfn.TEXTAFTER(Table1[[#This Row],[Location Identifier]],"-")</f>
        <v>SAN-010</v>
      </c>
      <c r="AP1051" s="9">
        <f t="shared" ca="1" si="160"/>
        <v>45869</v>
      </c>
    </row>
    <row r="1052" spans="1:42" x14ac:dyDescent="0.25">
      <c r="A1052">
        <v>33</v>
      </c>
      <c r="B1052" t="s">
        <v>42</v>
      </c>
      <c r="C1052">
        <v>2</v>
      </c>
      <c r="D1052" t="s">
        <v>88</v>
      </c>
      <c r="E1052" t="b">
        <v>1</v>
      </c>
      <c r="F1052" s="1">
        <v>0.85069444444444442</v>
      </c>
      <c r="G1052" s="1">
        <v>0.96944444444444444</v>
      </c>
      <c r="H1052">
        <v>171</v>
      </c>
      <c r="I1052" t="b">
        <v>1</v>
      </c>
      <c r="J1052" t="b">
        <v>0</v>
      </c>
      <c r="K1052" t="b">
        <v>0</v>
      </c>
      <c r="L1052" t="s">
        <v>62</v>
      </c>
      <c r="M1052">
        <v>20</v>
      </c>
      <c r="N1052" t="s">
        <v>29</v>
      </c>
      <c r="O1052">
        <v>20</v>
      </c>
      <c r="P1052" t="s">
        <v>40</v>
      </c>
      <c r="Q1052">
        <v>0.1</v>
      </c>
      <c r="R1052">
        <v>18</v>
      </c>
      <c r="S1052" t="s">
        <v>44</v>
      </c>
      <c r="T1052" t="s">
        <v>45</v>
      </c>
      <c r="U1052">
        <v>33.836599999999997</v>
      </c>
      <c r="V1052">
        <v>-117.9143</v>
      </c>
      <c r="W1052" s="2">
        <v>45267</v>
      </c>
      <c r="X1052">
        <v>0</v>
      </c>
      <c r="Y1052" t="b">
        <v>0</v>
      </c>
      <c r="Z1052" s="2">
        <v>45829</v>
      </c>
      <c r="AA1052" t="str">
        <f t="shared" si="161"/>
        <v>30–39</v>
      </c>
      <c r="AB1052" t="str">
        <f t="shared" si="162"/>
        <v>30–39</v>
      </c>
      <c r="AC1052" t="str">
        <f t="shared" si="163"/>
        <v>Monday</v>
      </c>
      <c r="AD1052" t="str">
        <f t="shared" si="164"/>
        <v/>
      </c>
      <c r="AE1052" t="str">
        <f t="shared" si="165"/>
        <v>Wednesday</v>
      </c>
      <c r="AF1052" t="str">
        <f t="shared" si="166"/>
        <v/>
      </c>
      <c r="AG1052" t="str">
        <f t="shared" si="167"/>
        <v/>
      </c>
      <c r="AH1052" t="str">
        <f t="shared" si="168"/>
        <v/>
      </c>
      <c r="AI1052" t="str">
        <f t="shared" si="169"/>
        <v/>
      </c>
      <c r="AJ1052" t="str">
        <f>LEFT(Table1[[#This Row],[membership_type]],2)&amp;TEXT(Table1[[#This Row],[age]],"00")&amp;"-"&amp;TEXT(ROW(),"000")</f>
        <v>Ba33-1052</v>
      </c>
      <c r="AK1052" t="str">
        <f>LEFT(Table1[[#This Row],[membership_type]],1)&amp;TEXT(MATCH(Table1[[#This Row],[membership_type]],Table1[membership_type],0),"00")</f>
        <v>B04</v>
      </c>
      <c r="AL1052" t="str">
        <f>LEFT(Table1[[#This Row],[discount_type]],1)&amp;TEXT(ROUND(Table1[[#This Row],[discount_rate]]*100,0),"00")</f>
        <v>L10</v>
      </c>
      <c r="AM1052" t="str" cm="1">
        <f t="array" ref="AM1052">TEXT(SUMPRODUCT(CODE(MID(Table1[[#This Row],[home_gym_location]],_xlfn.SEQUENCE(LEN(Table1[[#This Row],[home_gym_location]])),1))),"00000")</f>
        <v>00899</v>
      </c>
      <c r="AN105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52" t="str">
        <f>LEFT(_xlfn.TEXTBEFORE(Table1[[#This Row],[Location Identifier]],"-"),3) &amp; "-" &amp; _xlfn.TEXTAFTER(Table1[[#This Row],[Location Identifier]],"-")</f>
        <v>ANA-001</v>
      </c>
      <c r="AP1052" s="9">
        <f t="shared" ca="1" si="160"/>
        <v>45869</v>
      </c>
    </row>
    <row r="1053" spans="1:42" x14ac:dyDescent="0.25">
      <c r="A1053">
        <v>29</v>
      </c>
      <c r="B1053" t="s">
        <v>51</v>
      </c>
      <c r="C1053">
        <v>3</v>
      </c>
      <c r="D1053" t="s">
        <v>83</v>
      </c>
      <c r="E1053" t="b">
        <v>0</v>
      </c>
      <c r="F1053" s="1">
        <v>0.43611111111111112</v>
      </c>
      <c r="G1053" s="1">
        <v>0.48333333333333334</v>
      </c>
      <c r="H1053">
        <v>68</v>
      </c>
      <c r="I1053" t="b">
        <v>0</v>
      </c>
      <c r="J1053" t="b">
        <v>1</v>
      </c>
      <c r="K1053" t="b">
        <v>1</v>
      </c>
      <c r="L1053" t="s">
        <v>28</v>
      </c>
      <c r="M1053">
        <v>70</v>
      </c>
      <c r="N1053" t="s">
        <v>29</v>
      </c>
      <c r="O1053">
        <v>70</v>
      </c>
      <c r="P1053" t="s">
        <v>36</v>
      </c>
      <c r="Q1053">
        <v>0</v>
      </c>
      <c r="R1053">
        <v>70</v>
      </c>
      <c r="S1053" t="s">
        <v>53</v>
      </c>
      <c r="T1053" t="s">
        <v>59</v>
      </c>
      <c r="U1053">
        <v>37.774900000000002</v>
      </c>
      <c r="V1053">
        <v>-122.4194</v>
      </c>
      <c r="W1053" s="2">
        <v>44830</v>
      </c>
      <c r="X1053">
        <v>2</v>
      </c>
      <c r="Y1053" t="b">
        <v>0</v>
      </c>
      <c r="Z1053" s="2">
        <v>45804</v>
      </c>
      <c r="AA1053" t="str">
        <f t="shared" si="161"/>
        <v>20–29</v>
      </c>
      <c r="AB1053" t="str">
        <f t="shared" si="162"/>
        <v>20–29</v>
      </c>
      <c r="AC1053" t="str">
        <f t="shared" si="163"/>
        <v/>
      </c>
      <c r="AD1053" t="str">
        <f t="shared" si="164"/>
        <v>Tuesday</v>
      </c>
      <c r="AE1053" t="str">
        <f t="shared" si="165"/>
        <v>Wednesday</v>
      </c>
      <c r="AF1053" t="str">
        <f t="shared" si="166"/>
        <v/>
      </c>
      <c r="AG1053" t="str">
        <f t="shared" si="167"/>
        <v/>
      </c>
      <c r="AH1053" t="str">
        <f t="shared" si="168"/>
        <v>Saturday</v>
      </c>
      <c r="AI1053" t="str">
        <f t="shared" si="169"/>
        <v/>
      </c>
      <c r="AJ1053" t="str">
        <f>LEFT(Table1[[#This Row],[membership_type]],2)&amp;TEXT(Table1[[#This Row],[age]],"00")&amp;"-"&amp;TEXT(ROW(),"000")</f>
        <v>El29-1053</v>
      </c>
      <c r="AK1053" t="str">
        <f>LEFT(Table1[[#This Row],[membership_type]],1)&amp;TEXT(MATCH(Table1[[#This Row],[membership_type]],Table1[membership_type],0),"00")</f>
        <v>E07</v>
      </c>
      <c r="AL1053" t="str">
        <f>LEFT(Table1[[#This Row],[discount_type]],1)&amp;TEXT(ROUND(Table1[[#This Row],[discount_rate]]*100,0),"00")</f>
        <v>N00</v>
      </c>
      <c r="AM1053" t="str" cm="1">
        <f t="array" ref="AM1053">TEXT(SUMPRODUCT(CODE(MID(Table1[[#This Row],[home_gym_location]],_xlfn.SEQUENCE(LEN(Table1[[#This Row],[home_gym_location]])),1))),"00000")</f>
        <v>01450</v>
      </c>
      <c r="AN105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53" t="str">
        <f>LEFT(_xlfn.TEXTBEFORE(Table1[[#This Row],[Location Identifier]],"-"),3) &amp; "-" &amp; _xlfn.TEXTAFTER(Table1[[#This Row],[Location Identifier]],"-")</f>
        <v>SAN-009</v>
      </c>
      <c r="AP1053" s="9">
        <f t="shared" ca="1" si="160"/>
        <v>45869</v>
      </c>
    </row>
    <row r="1054" spans="1:42" x14ac:dyDescent="0.25">
      <c r="A1054">
        <v>25</v>
      </c>
      <c r="B1054" t="s">
        <v>26</v>
      </c>
      <c r="C1054">
        <v>2</v>
      </c>
      <c r="D1054" t="s">
        <v>126</v>
      </c>
      <c r="E1054" t="b">
        <v>0</v>
      </c>
      <c r="F1054" s="1">
        <v>0.84722222222222221</v>
      </c>
      <c r="G1054" s="1">
        <v>0.96527777777777779</v>
      </c>
      <c r="H1054">
        <v>170</v>
      </c>
      <c r="I1054" t="b">
        <v>1</v>
      </c>
      <c r="J1054" t="b">
        <v>0</v>
      </c>
      <c r="K1054" t="b">
        <v>0</v>
      </c>
      <c r="L1054" t="s">
        <v>47</v>
      </c>
      <c r="M1054">
        <v>50</v>
      </c>
      <c r="N1054" t="s">
        <v>78</v>
      </c>
      <c r="O1054">
        <v>45</v>
      </c>
      <c r="P1054" t="s">
        <v>30</v>
      </c>
      <c r="Q1054">
        <v>0.05</v>
      </c>
      <c r="R1054">
        <v>42.75</v>
      </c>
      <c r="S1054" t="s">
        <v>31</v>
      </c>
      <c r="T1054" t="s">
        <v>38</v>
      </c>
      <c r="U1054">
        <v>36.7378</v>
      </c>
      <c r="V1054">
        <v>-119.7871</v>
      </c>
      <c r="W1054" s="2">
        <v>44980</v>
      </c>
      <c r="X1054">
        <v>0</v>
      </c>
      <c r="Y1054" t="b">
        <v>1</v>
      </c>
      <c r="Z1054" s="2">
        <v>45813</v>
      </c>
      <c r="AA1054" t="str">
        <f t="shared" si="161"/>
        <v>20–29</v>
      </c>
      <c r="AB1054" t="str">
        <f t="shared" si="162"/>
        <v>20–29</v>
      </c>
      <c r="AC1054" t="str">
        <f t="shared" si="163"/>
        <v/>
      </c>
      <c r="AD1054" t="str">
        <f t="shared" si="164"/>
        <v>Tuesday</v>
      </c>
      <c r="AE1054" t="str">
        <f t="shared" si="165"/>
        <v>Wednesday</v>
      </c>
      <c r="AF1054" t="str">
        <f t="shared" si="166"/>
        <v/>
      </c>
      <c r="AG1054" t="str">
        <f t="shared" si="167"/>
        <v/>
      </c>
      <c r="AH1054" t="str">
        <f t="shared" si="168"/>
        <v/>
      </c>
      <c r="AI1054" t="str">
        <f t="shared" si="169"/>
        <v/>
      </c>
      <c r="AJ1054" t="str">
        <f>LEFT(Table1[[#This Row],[membership_type]],2)&amp;TEXT(Table1[[#This Row],[age]],"00")&amp;"-"&amp;TEXT(ROW(),"000")</f>
        <v>Pr25-1054</v>
      </c>
      <c r="AK1054" t="str">
        <f>LEFT(Table1[[#This Row],[membership_type]],1)&amp;TEXT(MATCH(Table1[[#This Row],[membership_type]],Table1[membership_type],0),"00")</f>
        <v>P01</v>
      </c>
      <c r="AL1054" t="str">
        <f>LEFT(Table1[[#This Row],[discount_type]],1)&amp;TEXT(ROUND(Table1[[#This Row],[discount_rate]]*100,0),"00")</f>
        <v>P05</v>
      </c>
      <c r="AM1054" t="str" cm="1">
        <f t="array" ref="AM1054">TEXT(SUMPRODUCT(CODE(MID(Table1[[#This Row],[home_gym_location]],_xlfn.SEQUENCE(LEN(Table1[[#This Row],[home_gym_location]])),1))),"00000")</f>
        <v>00829</v>
      </c>
      <c r="AN1054" t="str">
        <f>UPPER(_xlfn.TEXTBEFORE(Table1[[#This Row],[home_gym_location]],","))&amp;"-"&amp;TEXT(MATCH(Table1[[#This Row],[home_gym_location]],_xlfn._xlws.SORT(_xlfn.UNIQUE(Table1[home_gym_location])),0),"000")</f>
        <v>FRESNO-003</v>
      </c>
      <c r="AO1054" t="str">
        <f>LEFT(_xlfn.TEXTBEFORE(Table1[[#This Row],[Location Identifier]],"-"),3) &amp; "-" &amp; _xlfn.TEXTAFTER(Table1[[#This Row],[Location Identifier]],"-")</f>
        <v>FRE-003</v>
      </c>
      <c r="AP1054" s="9">
        <f t="shared" ca="1" si="160"/>
        <v>45869</v>
      </c>
    </row>
    <row r="1055" spans="1:42" x14ac:dyDescent="0.25">
      <c r="A1055">
        <v>35</v>
      </c>
      <c r="B1055" t="s">
        <v>42</v>
      </c>
      <c r="C1055">
        <v>1</v>
      </c>
      <c r="D1055" t="s">
        <v>67</v>
      </c>
      <c r="E1055" t="b">
        <v>1</v>
      </c>
      <c r="F1055" s="1">
        <v>0.68541666666666667</v>
      </c>
      <c r="G1055" s="1">
        <v>0.72569444444444442</v>
      </c>
      <c r="H1055">
        <v>58</v>
      </c>
      <c r="I1055" t="b">
        <v>0</v>
      </c>
      <c r="J1055" t="b">
        <v>1</v>
      </c>
      <c r="K1055" t="b">
        <v>1</v>
      </c>
      <c r="L1055" t="s">
        <v>62</v>
      </c>
      <c r="M1055">
        <v>20</v>
      </c>
      <c r="N1055" t="s">
        <v>29</v>
      </c>
      <c r="O1055">
        <v>20</v>
      </c>
      <c r="P1055" t="s">
        <v>36</v>
      </c>
      <c r="Q1055">
        <v>0</v>
      </c>
      <c r="R1055">
        <v>20</v>
      </c>
      <c r="S1055" t="s">
        <v>44</v>
      </c>
      <c r="T1055" t="s">
        <v>54</v>
      </c>
      <c r="U1055">
        <v>32.715699999999998</v>
      </c>
      <c r="V1055">
        <v>-117.1611</v>
      </c>
      <c r="W1055" s="2">
        <v>44768</v>
      </c>
      <c r="X1055">
        <v>8</v>
      </c>
      <c r="Y1055" t="b">
        <v>0</v>
      </c>
      <c r="Z1055" s="2">
        <v>45801</v>
      </c>
      <c r="AA1055" t="str">
        <f t="shared" si="161"/>
        <v>30–39</v>
      </c>
      <c r="AB1055" t="str">
        <f t="shared" si="162"/>
        <v>30–39</v>
      </c>
      <c r="AC1055" t="str">
        <f t="shared" si="163"/>
        <v/>
      </c>
      <c r="AD1055" t="str">
        <f t="shared" si="164"/>
        <v/>
      </c>
      <c r="AE1055" t="str">
        <f t="shared" si="165"/>
        <v/>
      </c>
      <c r="AF1055" t="str">
        <f t="shared" si="166"/>
        <v>Thursday</v>
      </c>
      <c r="AG1055" t="str">
        <f t="shared" si="167"/>
        <v/>
      </c>
      <c r="AH1055" t="str">
        <f t="shared" si="168"/>
        <v/>
      </c>
      <c r="AI1055" t="str">
        <f t="shared" si="169"/>
        <v/>
      </c>
      <c r="AJ1055" t="str">
        <f>LEFT(Table1[[#This Row],[membership_type]],2)&amp;TEXT(Table1[[#This Row],[age]],"00")&amp;"-"&amp;TEXT(ROW(),"000")</f>
        <v>Ba35-1055</v>
      </c>
      <c r="AK1055" t="str">
        <f>LEFT(Table1[[#This Row],[membership_type]],1)&amp;TEXT(MATCH(Table1[[#This Row],[membership_type]],Table1[membership_type],0),"00")</f>
        <v>B04</v>
      </c>
      <c r="AL1055" t="str">
        <f>LEFT(Table1[[#This Row],[discount_type]],1)&amp;TEXT(ROUND(Table1[[#This Row],[discount_rate]]*100,0),"00")</f>
        <v>N00</v>
      </c>
      <c r="AM1055" t="str" cm="1">
        <f t="array" ref="AM1055">TEXT(SUMPRODUCT(CODE(MID(Table1[[#This Row],[home_gym_location]],_xlfn.SEQUENCE(LEN(Table1[[#This Row],[home_gym_location]])),1))),"00000")</f>
        <v>01018</v>
      </c>
      <c r="AN105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55" t="str">
        <f>LEFT(_xlfn.TEXTBEFORE(Table1[[#This Row],[Location Identifier]],"-"),3) &amp; "-" &amp; _xlfn.TEXTAFTER(Table1[[#This Row],[Location Identifier]],"-")</f>
        <v>SAN-008</v>
      </c>
      <c r="AP1055" s="9">
        <f t="shared" ca="1" si="160"/>
        <v>45869</v>
      </c>
    </row>
    <row r="1056" spans="1:42" x14ac:dyDescent="0.25">
      <c r="A1056">
        <v>46</v>
      </c>
      <c r="B1056" t="s">
        <v>42</v>
      </c>
      <c r="C1056">
        <v>4</v>
      </c>
      <c r="D1056" t="s">
        <v>132</v>
      </c>
      <c r="E1056" t="b">
        <v>1</v>
      </c>
      <c r="F1056" s="1">
        <v>0.68888888888888888</v>
      </c>
      <c r="G1056" s="1">
        <v>0.75972222222222219</v>
      </c>
      <c r="H1056">
        <v>102</v>
      </c>
      <c r="I1056" t="b">
        <v>1</v>
      </c>
      <c r="J1056" t="b">
        <v>1</v>
      </c>
      <c r="K1056" t="b">
        <v>1</v>
      </c>
      <c r="L1056" t="s">
        <v>62</v>
      </c>
      <c r="M1056">
        <v>20</v>
      </c>
      <c r="N1056" t="s">
        <v>29</v>
      </c>
      <c r="O1056">
        <v>20</v>
      </c>
      <c r="P1056" t="s">
        <v>36</v>
      </c>
      <c r="Q1056">
        <v>0</v>
      </c>
      <c r="R1056">
        <v>20</v>
      </c>
      <c r="S1056" t="s">
        <v>44</v>
      </c>
      <c r="T1056" t="s">
        <v>59</v>
      </c>
      <c r="U1056">
        <v>37.774900000000002</v>
      </c>
      <c r="V1056">
        <v>-122.4194</v>
      </c>
      <c r="W1056" s="2">
        <v>45457</v>
      </c>
      <c r="X1056">
        <v>2</v>
      </c>
      <c r="Y1056" t="b">
        <v>0</v>
      </c>
      <c r="Z1056" s="2">
        <v>45839</v>
      </c>
      <c r="AA1056" t="str">
        <f t="shared" si="161"/>
        <v>40–49</v>
      </c>
      <c r="AB1056" t="str">
        <f t="shared" si="162"/>
        <v>40–49</v>
      </c>
      <c r="AC1056" t="str">
        <f t="shared" si="163"/>
        <v>Monday</v>
      </c>
      <c r="AD1056" t="str">
        <f t="shared" si="164"/>
        <v/>
      </c>
      <c r="AE1056" t="str">
        <f t="shared" si="165"/>
        <v>Wednesday</v>
      </c>
      <c r="AF1056" t="str">
        <f t="shared" si="166"/>
        <v>Thursday</v>
      </c>
      <c r="AG1056" t="str">
        <f t="shared" si="167"/>
        <v/>
      </c>
      <c r="AH1056" t="str">
        <f t="shared" si="168"/>
        <v>Saturday</v>
      </c>
      <c r="AI1056" t="str">
        <f t="shared" si="169"/>
        <v/>
      </c>
      <c r="AJ1056" t="str">
        <f>LEFT(Table1[[#This Row],[membership_type]],2)&amp;TEXT(Table1[[#This Row],[age]],"00")&amp;"-"&amp;TEXT(ROW(),"000")</f>
        <v>Ba46-1056</v>
      </c>
      <c r="AK1056" t="str">
        <f>LEFT(Table1[[#This Row],[membership_type]],1)&amp;TEXT(MATCH(Table1[[#This Row],[membership_type]],Table1[membership_type],0),"00")</f>
        <v>B04</v>
      </c>
      <c r="AL1056" t="str">
        <f>LEFT(Table1[[#This Row],[discount_type]],1)&amp;TEXT(ROUND(Table1[[#This Row],[discount_rate]]*100,0),"00")</f>
        <v>N00</v>
      </c>
      <c r="AM1056" t="str" cm="1">
        <f t="array" ref="AM1056">TEXT(SUMPRODUCT(CODE(MID(Table1[[#This Row],[home_gym_location]],_xlfn.SEQUENCE(LEN(Table1[[#This Row],[home_gym_location]])),1))),"00000")</f>
        <v>01450</v>
      </c>
      <c r="AN105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56" t="str">
        <f>LEFT(_xlfn.TEXTBEFORE(Table1[[#This Row],[Location Identifier]],"-"),3) &amp; "-" &amp; _xlfn.TEXTAFTER(Table1[[#This Row],[Location Identifier]],"-")</f>
        <v>SAN-009</v>
      </c>
      <c r="AP1056" s="9">
        <f t="shared" ca="1" si="160"/>
        <v>45869</v>
      </c>
    </row>
    <row r="1057" spans="1:42" x14ac:dyDescent="0.25">
      <c r="A1057">
        <v>47</v>
      </c>
      <c r="B1057" t="s">
        <v>26</v>
      </c>
      <c r="C1057">
        <v>2</v>
      </c>
      <c r="D1057" t="s">
        <v>84</v>
      </c>
      <c r="E1057" t="b">
        <v>1</v>
      </c>
      <c r="F1057" s="1">
        <v>0.63124999999999998</v>
      </c>
      <c r="G1057" s="1">
        <v>0.6791666666666667</v>
      </c>
      <c r="H1057">
        <v>69</v>
      </c>
      <c r="I1057" t="b">
        <v>1</v>
      </c>
      <c r="J1057" t="b">
        <v>1</v>
      </c>
      <c r="K1057" t="b">
        <v>1</v>
      </c>
      <c r="L1057" t="s">
        <v>47</v>
      </c>
      <c r="M1057">
        <v>50</v>
      </c>
      <c r="N1057" t="s">
        <v>64</v>
      </c>
      <c r="O1057">
        <v>37.5</v>
      </c>
      <c r="P1057" t="s">
        <v>30</v>
      </c>
      <c r="Q1057">
        <v>0.05</v>
      </c>
      <c r="R1057">
        <v>35.625</v>
      </c>
      <c r="S1057" t="s">
        <v>31</v>
      </c>
      <c r="T1057" t="s">
        <v>50</v>
      </c>
      <c r="U1057">
        <v>34.052199999999999</v>
      </c>
      <c r="V1057">
        <v>-118.2437</v>
      </c>
      <c r="W1057" s="2">
        <v>45013</v>
      </c>
      <c r="X1057">
        <v>3</v>
      </c>
      <c r="Y1057" t="b">
        <v>0</v>
      </c>
      <c r="Z1057" s="2">
        <v>45814</v>
      </c>
      <c r="AA1057" t="str">
        <f t="shared" si="161"/>
        <v>40–49</v>
      </c>
      <c r="AB1057" t="str">
        <f t="shared" si="162"/>
        <v>40–49</v>
      </c>
      <c r="AC1057" t="str">
        <f t="shared" si="163"/>
        <v/>
      </c>
      <c r="AD1057" t="str">
        <f t="shared" si="164"/>
        <v>Tuesday</v>
      </c>
      <c r="AE1057" t="str">
        <f t="shared" si="165"/>
        <v/>
      </c>
      <c r="AF1057" t="str">
        <f t="shared" si="166"/>
        <v/>
      </c>
      <c r="AG1057" t="str">
        <f t="shared" si="167"/>
        <v/>
      </c>
      <c r="AH1057" t="str">
        <f t="shared" si="168"/>
        <v/>
      </c>
      <c r="AI1057" t="str">
        <f t="shared" si="169"/>
        <v>Sunday</v>
      </c>
      <c r="AJ1057" t="str">
        <f>LEFT(Table1[[#This Row],[membership_type]],2)&amp;TEXT(Table1[[#This Row],[age]],"00")&amp;"-"&amp;TEXT(ROW(),"000")</f>
        <v>Pr47-1057</v>
      </c>
      <c r="AK1057" t="str">
        <f>LEFT(Table1[[#This Row],[membership_type]],1)&amp;TEXT(MATCH(Table1[[#This Row],[membership_type]],Table1[membership_type],0),"00")</f>
        <v>P01</v>
      </c>
      <c r="AL1057" t="str">
        <f>LEFT(Table1[[#This Row],[discount_type]],1)&amp;TEXT(ROUND(Table1[[#This Row],[discount_rate]]*100,0),"00")</f>
        <v>P05</v>
      </c>
      <c r="AM1057" t="str" cm="1">
        <f t="array" ref="AM1057">TEXT(SUMPRODUCT(CODE(MID(Table1[[#This Row],[home_gym_location]],_xlfn.SEQUENCE(LEN(Table1[[#This Row],[home_gym_location]])),1))),"00000")</f>
        <v>01245</v>
      </c>
      <c r="AN105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57" t="str">
        <f>LEFT(_xlfn.TEXTBEFORE(Table1[[#This Row],[Location Identifier]],"-"),3) &amp; "-" &amp; _xlfn.TEXTAFTER(Table1[[#This Row],[Location Identifier]],"-")</f>
        <v>LOS-005</v>
      </c>
      <c r="AP1057" s="9">
        <f t="shared" ca="1" si="160"/>
        <v>45869</v>
      </c>
    </row>
    <row r="1058" spans="1:42" x14ac:dyDescent="0.25">
      <c r="A1058">
        <v>34</v>
      </c>
      <c r="B1058" t="s">
        <v>26</v>
      </c>
      <c r="C1058">
        <v>2</v>
      </c>
      <c r="D1058" t="s">
        <v>126</v>
      </c>
      <c r="E1058" t="b">
        <v>0</v>
      </c>
      <c r="F1058" s="1">
        <v>0.72083333333333333</v>
      </c>
      <c r="G1058" s="1">
        <v>0.7895833333333333</v>
      </c>
      <c r="H1058">
        <v>99</v>
      </c>
      <c r="I1058" t="b">
        <v>1</v>
      </c>
      <c r="J1058" t="b">
        <v>1</v>
      </c>
      <c r="K1058" t="b">
        <v>0</v>
      </c>
      <c r="L1058" t="s">
        <v>35</v>
      </c>
      <c r="M1058">
        <v>50</v>
      </c>
      <c r="N1058" t="s">
        <v>29</v>
      </c>
      <c r="O1058">
        <v>50</v>
      </c>
      <c r="P1058" t="s">
        <v>40</v>
      </c>
      <c r="Q1058">
        <v>0.1</v>
      </c>
      <c r="R1058">
        <v>45</v>
      </c>
      <c r="S1058" t="s">
        <v>31</v>
      </c>
      <c r="T1058" t="s">
        <v>56</v>
      </c>
      <c r="U1058">
        <v>35.3733</v>
      </c>
      <c r="V1058">
        <v>-119.0187</v>
      </c>
      <c r="W1058" s="2">
        <v>45402</v>
      </c>
      <c r="X1058">
        <v>7</v>
      </c>
      <c r="Y1058" t="b">
        <v>0</v>
      </c>
      <c r="Z1058" s="2">
        <v>45836</v>
      </c>
      <c r="AA1058" t="str">
        <f t="shared" si="161"/>
        <v>30–39</v>
      </c>
      <c r="AB1058" t="str">
        <f t="shared" si="162"/>
        <v>30–39</v>
      </c>
      <c r="AC1058" t="str">
        <f t="shared" si="163"/>
        <v/>
      </c>
      <c r="AD1058" t="str">
        <f t="shared" si="164"/>
        <v>Tuesday</v>
      </c>
      <c r="AE1058" t="str">
        <f t="shared" si="165"/>
        <v>Wednesday</v>
      </c>
      <c r="AF1058" t="str">
        <f t="shared" si="166"/>
        <v/>
      </c>
      <c r="AG1058" t="str">
        <f t="shared" si="167"/>
        <v/>
      </c>
      <c r="AH1058" t="str">
        <f t="shared" si="168"/>
        <v/>
      </c>
      <c r="AI1058" t="str">
        <f t="shared" si="169"/>
        <v/>
      </c>
      <c r="AJ1058" t="str">
        <f>LEFT(Table1[[#This Row],[membership_type]],2)&amp;TEXT(Table1[[#This Row],[age]],"00")&amp;"-"&amp;TEXT(ROW(),"000")</f>
        <v>Pr34-1058</v>
      </c>
      <c r="AK1058" t="str">
        <f>LEFT(Table1[[#This Row],[membership_type]],1)&amp;TEXT(MATCH(Table1[[#This Row],[membership_type]],Table1[membership_type],0),"00")</f>
        <v>P01</v>
      </c>
      <c r="AL1058" t="str">
        <f>LEFT(Table1[[#This Row],[discount_type]],1)&amp;TEXT(ROUND(Table1[[#This Row],[discount_rate]]*100,0),"00")</f>
        <v>L10</v>
      </c>
      <c r="AM1058" t="str" cm="1">
        <f t="array" ref="AM1058">TEXT(SUMPRODUCT(CODE(MID(Table1[[#This Row],[home_gym_location]],_xlfn.SEQUENCE(LEN(Table1[[#This Row],[home_gym_location]])),1))),"00000")</f>
        <v>01324</v>
      </c>
      <c r="AN105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58" t="str">
        <f>LEFT(_xlfn.TEXTBEFORE(Table1[[#This Row],[Location Identifier]],"-"),3) &amp; "-" &amp; _xlfn.TEXTAFTER(Table1[[#This Row],[Location Identifier]],"-")</f>
        <v>BAK-002</v>
      </c>
      <c r="AP1058" s="9">
        <f t="shared" ca="1" si="160"/>
        <v>45869</v>
      </c>
    </row>
    <row r="1059" spans="1:42" x14ac:dyDescent="0.25">
      <c r="A1059">
        <v>23</v>
      </c>
      <c r="B1059" t="s">
        <v>42</v>
      </c>
      <c r="C1059">
        <v>2</v>
      </c>
      <c r="D1059" t="s">
        <v>73</v>
      </c>
      <c r="E1059" t="b">
        <v>0</v>
      </c>
      <c r="F1059" s="1">
        <v>0.7944444444444444</v>
      </c>
      <c r="G1059" s="1">
        <v>0.8305555555555556</v>
      </c>
      <c r="H1059">
        <v>52</v>
      </c>
      <c r="I1059" t="b">
        <v>1</v>
      </c>
      <c r="J1059" t="b">
        <v>0</v>
      </c>
      <c r="K1059" t="b">
        <v>1</v>
      </c>
      <c r="L1059" t="s">
        <v>62</v>
      </c>
      <c r="M1059">
        <v>20</v>
      </c>
      <c r="N1059" t="s">
        <v>29</v>
      </c>
      <c r="O1059">
        <v>20</v>
      </c>
      <c r="P1059" t="s">
        <v>30</v>
      </c>
      <c r="Q1059">
        <v>0.05</v>
      </c>
      <c r="R1059">
        <v>19</v>
      </c>
      <c r="S1059" t="s">
        <v>44</v>
      </c>
      <c r="T1059" t="s">
        <v>56</v>
      </c>
      <c r="U1059">
        <v>35.3733</v>
      </c>
      <c r="V1059">
        <v>-119.0187</v>
      </c>
      <c r="W1059" s="2">
        <v>45319</v>
      </c>
      <c r="X1059">
        <v>0</v>
      </c>
      <c r="Y1059" t="b">
        <v>0</v>
      </c>
      <c r="Z1059" s="2">
        <v>45832</v>
      </c>
      <c r="AA1059" t="str">
        <f t="shared" si="161"/>
        <v>20–29</v>
      </c>
      <c r="AB1059" t="str">
        <f t="shared" si="162"/>
        <v>20–29</v>
      </c>
      <c r="AC1059" t="str">
        <f t="shared" si="163"/>
        <v/>
      </c>
      <c r="AD1059" t="str">
        <f t="shared" si="164"/>
        <v>Tuesday</v>
      </c>
      <c r="AE1059" t="str">
        <f t="shared" si="165"/>
        <v/>
      </c>
      <c r="AF1059" t="str">
        <f t="shared" si="166"/>
        <v/>
      </c>
      <c r="AG1059" t="str">
        <f t="shared" si="167"/>
        <v>Friday</v>
      </c>
      <c r="AH1059" t="str">
        <f t="shared" si="168"/>
        <v/>
      </c>
      <c r="AI1059" t="str">
        <f t="shared" si="169"/>
        <v/>
      </c>
      <c r="AJ1059" t="str">
        <f>LEFT(Table1[[#This Row],[membership_type]],2)&amp;TEXT(Table1[[#This Row],[age]],"00")&amp;"-"&amp;TEXT(ROW(),"000")</f>
        <v>Ba23-1059</v>
      </c>
      <c r="AK1059" t="str">
        <f>LEFT(Table1[[#This Row],[membership_type]],1)&amp;TEXT(MATCH(Table1[[#This Row],[membership_type]],Table1[membership_type],0),"00")</f>
        <v>B04</v>
      </c>
      <c r="AL1059" t="str">
        <f>LEFT(Table1[[#This Row],[discount_type]],1)&amp;TEXT(ROUND(Table1[[#This Row],[discount_rate]]*100,0),"00")</f>
        <v>P05</v>
      </c>
      <c r="AM1059" t="str" cm="1">
        <f t="array" ref="AM1059">TEXT(SUMPRODUCT(CODE(MID(Table1[[#This Row],[home_gym_location]],_xlfn.SEQUENCE(LEN(Table1[[#This Row],[home_gym_location]])),1))),"00000")</f>
        <v>01324</v>
      </c>
      <c r="AN10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59" t="str">
        <f>LEFT(_xlfn.TEXTBEFORE(Table1[[#This Row],[Location Identifier]],"-"),3) &amp; "-" &amp; _xlfn.TEXTAFTER(Table1[[#This Row],[Location Identifier]],"-")</f>
        <v>BAK-002</v>
      </c>
      <c r="AP1059" s="9">
        <f t="shared" ca="1" si="160"/>
        <v>45869</v>
      </c>
    </row>
    <row r="1060" spans="1:42" x14ac:dyDescent="0.25">
      <c r="A1060">
        <v>21</v>
      </c>
      <c r="B1060" t="s">
        <v>26</v>
      </c>
      <c r="C1060">
        <v>2</v>
      </c>
      <c r="D1060" t="s">
        <v>79</v>
      </c>
      <c r="E1060" t="b">
        <v>1</v>
      </c>
      <c r="F1060" s="1">
        <v>0.62152777777777779</v>
      </c>
      <c r="G1060" s="1">
        <v>0.64444444444444449</v>
      </c>
      <c r="H1060">
        <v>33</v>
      </c>
      <c r="I1060" t="b">
        <v>1</v>
      </c>
      <c r="J1060" t="b">
        <v>1</v>
      </c>
      <c r="K1060" t="b">
        <v>0</v>
      </c>
      <c r="L1060" t="s">
        <v>62</v>
      </c>
      <c r="M1060">
        <v>50</v>
      </c>
      <c r="N1060" t="s">
        <v>29</v>
      </c>
      <c r="O1060">
        <v>50</v>
      </c>
      <c r="P1060" t="s">
        <v>30</v>
      </c>
      <c r="Q1060">
        <v>0.05</v>
      </c>
      <c r="R1060">
        <v>47.5</v>
      </c>
      <c r="S1060" t="s">
        <v>31</v>
      </c>
      <c r="T1060" t="s">
        <v>32</v>
      </c>
      <c r="U1060">
        <v>37.338200000000001</v>
      </c>
      <c r="V1060">
        <v>-121.88630000000001</v>
      </c>
      <c r="W1060" s="2">
        <v>45162</v>
      </c>
      <c r="X1060">
        <v>1</v>
      </c>
      <c r="Y1060" t="b">
        <v>1</v>
      </c>
      <c r="Z1060" s="2">
        <v>45823</v>
      </c>
      <c r="AA1060" t="str">
        <f t="shared" si="161"/>
        <v>20–29</v>
      </c>
      <c r="AB1060" t="str">
        <f t="shared" si="162"/>
        <v>20–29</v>
      </c>
      <c r="AC1060" t="str">
        <f t="shared" si="163"/>
        <v/>
      </c>
      <c r="AD1060" t="str">
        <f t="shared" si="164"/>
        <v/>
      </c>
      <c r="AE1060" t="str">
        <f t="shared" si="165"/>
        <v/>
      </c>
      <c r="AF1060" t="str">
        <f t="shared" si="166"/>
        <v/>
      </c>
      <c r="AG1060" t="str">
        <f t="shared" si="167"/>
        <v>Friday</v>
      </c>
      <c r="AH1060" t="str">
        <f t="shared" si="168"/>
        <v>Saturday</v>
      </c>
      <c r="AI1060" t="str">
        <f t="shared" si="169"/>
        <v/>
      </c>
      <c r="AJ1060" t="str">
        <f>LEFT(Table1[[#This Row],[membership_type]],2)&amp;TEXT(Table1[[#This Row],[age]],"00")&amp;"-"&amp;TEXT(ROW(),"000")</f>
        <v>Pr21-1060</v>
      </c>
      <c r="AK1060" t="str">
        <f>LEFT(Table1[[#This Row],[membership_type]],1)&amp;TEXT(MATCH(Table1[[#This Row],[membership_type]],Table1[membership_type],0),"00")</f>
        <v>P01</v>
      </c>
      <c r="AL1060" t="str">
        <f>LEFT(Table1[[#This Row],[discount_type]],1)&amp;TEXT(ROUND(Table1[[#This Row],[discount_rate]]*100,0),"00")</f>
        <v>P05</v>
      </c>
      <c r="AM1060" t="str" cm="1">
        <f t="array" ref="AM1060">TEXT(SUMPRODUCT(CODE(MID(Table1[[#This Row],[home_gym_location]],_xlfn.SEQUENCE(LEN(Table1[[#This Row],[home_gym_location]])),1))),"00000")</f>
        <v>00931</v>
      </c>
      <c r="AN106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60" t="str">
        <f>LEFT(_xlfn.TEXTBEFORE(Table1[[#This Row],[Location Identifier]],"-"),3) &amp; "-" &amp; _xlfn.TEXTAFTER(Table1[[#This Row],[Location Identifier]],"-")</f>
        <v>SAN-010</v>
      </c>
      <c r="AP1060" s="9">
        <f t="shared" ca="1" si="160"/>
        <v>45869</v>
      </c>
    </row>
    <row r="1061" spans="1:42" x14ac:dyDescent="0.25">
      <c r="A1061">
        <v>17</v>
      </c>
      <c r="B1061" t="s">
        <v>33</v>
      </c>
      <c r="C1061">
        <v>2</v>
      </c>
      <c r="D1061" t="s">
        <v>126</v>
      </c>
      <c r="E1061" t="b">
        <v>0</v>
      </c>
      <c r="F1061" s="1">
        <v>0.33750000000000002</v>
      </c>
      <c r="G1061" s="1">
        <v>0.3659722222222222</v>
      </c>
      <c r="H1061">
        <v>41</v>
      </c>
      <c r="I1061" t="b">
        <v>1</v>
      </c>
      <c r="J1061" t="b">
        <v>0</v>
      </c>
      <c r="K1061" t="b">
        <v>1</v>
      </c>
      <c r="L1061" t="s">
        <v>28</v>
      </c>
      <c r="M1061">
        <v>30</v>
      </c>
      <c r="N1061" t="s">
        <v>64</v>
      </c>
      <c r="O1061">
        <v>22.5</v>
      </c>
      <c r="P1061" t="s">
        <v>40</v>
      </c>
      <c r="Q1061">
        <v>0.1</v>
      </c>
      <c r="R1061">
        <v>20.25</v>
      </c>
      <c r="S1061" t="s">
        <v>37</v>
      </c>
      <c r="T1061" t="s">
        <v>65</v>
      </c>
      <c r="U1061">
        <v>33.770099999999999</v>
      </c>
      <c r="V1061">
        <v>-118.19370000000001</v>
      </c>
      <c r="W1061" s="2">
        <v>44900</v>
      </c>
      <c r="X1061">
        <v>0</v>
      </c>
      <c r="Y1061" t="b">
        <v>0</v>
      </c>
      <c r="Z1061" s="2">
        <v>45808</v>
      </c>
      <c r="AA1061" t="str">
        <f t="shared" si="161"/>
        <v>10–19</v>
      </c>
      <c r="AB1061" t="str">
        <f t="shared" si="162"/>
        <v>16–19</v>
      </c>
      <c r="AC1061" t="str">
        <f t="shared" si="163"/>
        <v/>
      </c>
      <c r="AD1061" t="str">
        <f t="shared" si="164"/>
        <v>Tuesday</v>
      </c>
      <c r="AE1061" t="str">
        <f t="shared" si="165"/>
        <v>Wednesday</v>
      </c>
      <c r="AF1061" t="str">
        <f t="shared" si="166"/>
        <v/>
      </c>
      <c r="AG1061" t="str">
        <f t="shared" si="167"/>
        <v/>
      </c>
      <c r="AH1061" t="str">
        <f t="shared" si="168"/>
        <v/>
      </c>
      <c r="AI1061" t="str">
        <f t="shared" si="169"/>
        <v/>
      </c>
      <c r="AJ1061" t="str">
        <f>LEFT(Table1[[#This Row],[membership_type]],2)&amp;TEXT(Table1[[#This Row],[age]],"00")&amp;"-"&amp;TEXT(ROW(),"000")</f>
        <v>St17-1061</v>
      </c>
      <c r="AK1061" t="str">
        <f>LEFT(Table1[[#This Row],[membership_type]],1)&amp;TEXT(MATCH(Table1[[#This Row],[membership_type]],Table1[membership_type],0),"00")</f>
        <v>S02</v>
      </c>
      <c r="AL1061" t="str">
        <f>LEFT(Table1[[#This Row],[discount_type]],1)&amp;TEXT(ROUND(Table1[[#This Row],[discount_rate]]*100,0),"00")</f>
        <v>L10</v>
      </c>
      <c r="AM1061" t="str" cm="1">
        <f t="array" ref="AM1061">TEXT(SUMPRODUCT(CODE(MID(Table1[[#This Row],[home_gym_location]],_xlfn.SEQUENCE(LEN(Table1[[#This Row],[home_gym_location]])),1))),"00000")</f>
        <v>01107</v>
      </c>
      <c r="AN106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61" t="str">
        <f>LEFT(_xlfn.TEXTBEFORE(Table1[[#This Row],[Location Identifier]],"-"),3) &amp; "-" &amp; _xlfn.TEXTAFTER(Table1[[#This Row],[Location Identifier]],"-")</f>
        <v>LON-004</v>
      </c>
      <c r="AP1061" s="9">
        <f t="shared" ca="1" si="160"/>
        <v>45869</v>
      </c>
    </row>
    <row r="1062" spans="1:42" x14ac:dyDescent="0.25">
      <c r="A1062">
        <v>40</v>
      </c>
      <c r="B1062" t="s">
        <v>42</v>
      </c>
      <c r="C1062">
        <v>2</v>
      </c>
      <c r="D1062" t="s">
        <v>73</v>
      </c>
      <c r="E1062" t="b">
        <v>0</v>
      </c>
      <c r="F1062" s="1">
        <v>0.72291666666666665</v>
      </c>
      <c r="G1062" s="1">
        <v>0.82847222222222228</v>
      </c>
      <c r="H1062">
        <v>152</v>
      </c>
      <c r="I1062" t="b">
        <v>1</v>
      </c>
      <c r="J1062" t="b">
        <v>1</v>
      </c>
      <c r="K1062" t="b">
        <v>1</v>
      </c>
      <c r="L1062" t="s">
        <v>28</v>
      </c>
      <c r="M1062">
        <v>20</v>
      </c>
      <c r="N1062" t="s">
        <v>29</v>
      </c>
      <c r="O1062">
        <v>20</v>
      </c>
      <c r="P1062" t="s">
        <v>36</v>
      </c>
      <c r="Q1062">
        <v>0</v>
      </c>
      <c r="R1062">
        <v>20</v>
      </c>
      <c r="S1062" t="s">
        <v>44</v>
      </c>
      <c r="T1062" t="s">
        <v>65</v>
      </c>
      <c r="U1062">
        <v>33.770099999999999</v>
      </c>
      <c r="V1062">
        <v>-118.19370000000001</v>
      </c>
      <c r="W1062" s="2">
        <v>44782</v>
      </c>
      <c r="X1062">
        <v>1</v>
      </c>
      <c r="Y1062" t="b">
        <v>0</v>
      </c>
      <c r="Z1062" s="2">
        <v>45801</v>
      </c>
      <c r="AA1062" t="str">
        <f t="shared" si="161"/>
        <v>40–49</v>
      </c>
      <c r="AB1062" t="str">
        <f t="shared" si="162"/>
        <v>40–49</v>
      </c>
      <c r="AC1062" t="str">
        <f t="shared" si="163"/>
        <v/>
      </c>
      <c r="AD1062" t="str">
        <f t="shared" si="164"/>
        <v>Tuesday</v>
      </c>
      <c r="AE1062" t="str">
        <f t="shared" si="165"/>
        <v/>
      </c>
      <c r="AF1062" t="str">
        <f t="shared" si="166"/>
        <v/>
      </c>
      <c r="AG1062" t="str">
        <f t="shared" si="167"/>
        <v>Friday</v>
      </c>
      <c r="AH1062" t="str">
        <f t="shared" si="168"/>
        <v/>
      </c>
      <c r="AI1062" t="str">
        <f t="shared" si="169"/>
        <v/>
      </c>
      <c r="AJ1062" t="str">
        <f>LEFT(Table1[[#This Row],[membership_type]],2)&amp;TEXT(Table1[[#This Row],[age]],"00")&amp;"-"&amp;TEXT(ROW(),"000")</f>
        <v>Ba40-1062</v>
      </c>
      <c r="AK1062" t="str">
        <f>LEFT(Table1[[#This Row],[membership_type]],1)&amp;TEXT(MATCH(Table1[[#This Row],[membership_type]],Table1[membership_type],0),"00")</f>
        <v>B04</v>
      </c>
      <c r="AL1062" t="str">
        <f>LEFT(Table1[[#This Row],[discount_type]],1)&amp;TEXT(ROUND(Table1[[#This Row],[discount_rate]]*100,0),"00")</f>
        <v>N00</v>
      </c>
      <c r="AM1062" t="str" cm="1">
        <f t="array" ref="AM1062">TEXT(SUMPRODUCT(CODE(MID(Table1[[#This Row],[home_gym_location]],_xlfn.SEQUENCE(LEN(Table1[[#This Row],[home_gym_location]])),1))),"00000")</f>
        <v>01107</v>
      </c>
      <c r="AN106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62" t="str">
        <f>LEFT(_xlfn.TEXTBEFORE(Table1[[#This Row],[Location Identifier]],"-"),3) &amp; "-" &amp; _xlfn.TEXTAFTER(Table1[[#This Row],[Location Identifier]],"-")</f>
        <v>LON-004</v>
      </c>
      <c r="AP1062" s="9">
        <f t="shared" ca="1" si="160"/>
        <v>45869</v>
      </c>
    </row>
    <row r="1063" spans="1:42" x14ac:dyDescent="0.25">
      <c r="A1063">
        <v>45</v>
      </c>
      <c r="B1063" t="s">
        <v>42</v>
      </c>
      <c r="C1063">
        <v>3</v>
      </c>
      <c r="D1063" t="s">
        <v>81</v>
      </c>
      <c r="E1063" t="b">
        <v>1</v>
      </c>
      <c r="F1063" s="1">
        <v>0.65208333333333335</v>
      </c>
      <c r="G1063" s="1">
        <v>0.7319444444444444</v>
      </c>
      <c r="H1063">
        <v>115</v>
      </c>
      <c r="I1063" t="b">
        <v>1</v>
      </c>
      <c r="J1063" t="b">
        <v>1</v>
      </c>
      <c r="K1063" t="b">
        <v>1</v>
      </c>
      <c r="L1063" t="s">
        <v>28</v>
      </c>
      <c r="M1063">
        <v>20</v>
      </c>
      <c r="N1063" t="s">
        <v>64</v>
      </c>
      <c r="O1063">
        <v>15</v>
      </c>
      <c r="P1063" t="s">
        <v>40</v>
      </c>
      <c r="Q1063">
        <v>0.1</v>
      </c>
      <c r="R1063">
        <v>13.5</v>
      </c>
      <c r="S1063" t="s">
        <v>44</v>
      </c>
      <c r="T1063" t="s">
        <v>45</v>
      </c>
      <c r="U1063">
        <v>33.836599999999997</v>
      </c>
      <c r="V1063">
        <v>-117.9143</v>
      </c>
      <c r="W1063" s="2">
        <v>45012</v>
      </c>
      <c r="X1063">
        <v>8</v>
      </c>
      <c r="Y1063" t="b">
        <v>0</v>
      </c>
      <c r="Z1063" s="2">
        <v>45814</v>
      </c>
      <c r="AA1063" t="str">
        <f t="shared" si="161"/>
        <v>40–49</v>
      </c>
      <c r="AB1063" t="str">
        <f t="shared" si="162"/>
        <v>40–49</v>
      </c>
      <c r="AC1063" t="str">
        <f t="shared" si="163"/>
        <v>Monday</v>
      </c>
      <c r="AD1063" t="str">
        <f t="shared" si="164"/>
        <v/>
      </c>
      <c r="AE1063" t="str">
        <f t="shared" si="165"/>
        <v>Wednesday</v>
      </c>
      <c r="AF1063" t="str">
        <f t="shared" si="166"/>
        <v/>
      </c>
      <c r="AG1063" t="str">
        <f t="shared" si="167"/>
        <v>Friday</v>
      </c>
      <c r="AH1063" t="str">
        <f t="shared" si="168"/>
        <v/>
      </c>
      <c r="AI1063" t="str">
        <f t="shared" si="169"/>
        <v/>
      </c>
      <c r="AJ1063" t="str">
        <f>LEFT(Table1[[#This Row],[membership_type]],2)&amp;TEXT(Table1[[#This Row],[age]],"00")&amp;"-"&amp;TEXT(ROW(),"000")</f>
        <v>Ba45-1063</v>
      </c>
      <c r="AK1063" t="str">
        <f>LEFT(Table1[[#This Row],[membership_type]],1)&amp;TEXT(MATCH(Table1[[#This Row],[membership_type]],Table1[membership_type],0),"00")</f>
        <v>B04</v>
      </c>
      <c r="AL1063" t="str">
        <f>LEFT(Table1[[#This Row],[discount_type]],1)&amp;TEXT(ROUND(Table1[[#This Row],[discount_rate]]*100,0),"00")</f>
        <v>L10</v>
      </c>
      <c r="AM1063" t="str" cm="1">
        <f t="array" ref="AM1063">TEXT(SUMPRODUCT(CODE(MID(Table1[[#This Row],[home_gym_location]],_xlfn.SEQUENCE(LEN(Table1[[#This Row],[home_gym_location]])),1))),"00000")</f>
        <v>00899</v>
      </c>
      <c r="AN106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63" t="str">
        <f>LEFT(_xlfn.TEXTBEFORE(Table1[[#This Row],[Location Identifier]],"-"),3) &amp; "-" &amp; _xlfn.TEXTAFTER(Table1[[#This Row],[Location Identifier]],"-")</f>
        <v>ANA-001</v>
      </c>
      <c r="AP1063" s="9">
        <f t="shared" ca="1" si="160"/>
        <v>45869</v>
      </c>
    </row>
    <row r="1064" spans="1:42" x14ac:dyDescent="0.25">
      <c r="A1064">
        <v>45</v>
      </c>
      <c r="B1064" t="s">
        <v>26</v>
      </c>
      <c r="C1064">
        <v>4</v>
      </c>
      <c r="D1064" t="s">
        <v>158</v>
      </c>
      <c r="E1064" t="b">
        <v>0</v>
      </c>
      <c r="F1064" s="1">
        <v>0.4201388888888889</v>
      </c>
      <c r="G1064" s="1">
        <v>0.4548611111111111</v>
      </c>
      <c r="H1064">
        <v>50</v>
      </c>
      <c r="I1064" t="b">
        <v>1</v>
      </c>
      <c r="J1064" t="b">
        <v>1</v>
      </c>
      <c r="K1064" t="b">
        <v>1</v>
      </c>
      <c r="L1064" t="s">
        <v>28</v>
      </c>
      <c r="M1064">
        <v>50</v>
      </c>
      <c r="N1064" t="s">
        <v>64</v>
      </c>
      <c r="O1064">
        <v>37.5</v>
      </c>
      <c r="P1064" t="s">
        <v>30</v>
      </c>
      <c r="Q1064">
        <v>0.05</v>
      </c>
      <c r="R1064">
        <v>35.625</v>
      </c>
      <c r="S1064" t="s">
        <v>31</v>
      </c>
      <c r="T1064" t="s">
        <v>48</v>
      </c>
      <c r="U1064">
        <v>38.581600000000002</v>
      </c>
      <c r="V1064">
        <v>-121.4944</v>
      </c>
      <c r="W1064" s="2">
        <v>45386</v>
      </c>
      <c r="X1064">
        <v>7</v>
      </c>
      <c r="Y1064" t="b">
        <v>1</v>
      </c>
      <c r="Z1064" s="2">
        <v>45835</v>
      </c>
      <c r="AA1064" t="str">
        <f t="shared" si="161"/>
        <v>40–49</v>
      </c>
      <c r="AB1064" t="str">
        <f t="shared" si="162"/>
        <v>40–49</v>
      </c>
      <c r="AC1064" t="str">
        <f t="shared" si="163"/>
        <v/>
      </c>
      <c r="AD1064" t="str">
        <f t="shared" si="164"/>
        <v>Tuesday</v>
      </c>
      <c r="AE1064" t="str">
        <f t="shared" si="165"/>
        <v/>
      </c>
      <c r="AF1064" t="str">
        <f t="shared" si="166"/>
        <v>Thursday</v>
      </c>
      <c r="AG1064" t="str">
        <f t="shared" si="167"/>
        <v>Friday</v>
      </c>
      <c r="AH1064" t="str">
        <f t="shared" si="168"/>
        <v/>
      </c>
      <c r="AI1064" t="str">
        <f t="shared" si="169"/>
        <v>Sunday</v>
      </c>
      <c r="AJ1064" t="str">
        <f>LEFT(Table1[[#This Row],[membership_type]],2)&amp;TEXT(Table1[[#This Row],[age]],"00")&amp;"-"&amp;TEXT(ROW(),"000")</f>
        <v>Pr45-1064</v>
      </c>
      <c r="AK1064" t="str">
        <f>LEFT(Table1[[#This Row],[membership_type]],1)&amp;TEXT(MATCH(Table1[[#This Row],[membership_type]],Table1[membership_type],0),"00")</f>
        <v>P01</v>
      </c>
      <c r="AL1064" t="str">
        <f>LEFT(Table1[[#This Row],[discount_type]],1)&amp;TEXT(ROUND(Table1[[#This Row],[discount_rate]]*100,0),"00")</f>
        <v>P05</v>
      </c>
      <c r="AM1064" t="str" cm="1">
        <f t="array" ref="AM1064">TEXT(SUMPRODUCT(CODE(MID(Table1[[#This Row],[home_gym_location]],_xlfn.SEQUENCE(LEN(Table1[[#This Row],[home_gym_location]])),1))),"00000")</f>
        <v>01245</v>
      </c>
      <c r="AN106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64" t="str">
        <f>LEFT(_xlfn.TEXTBEFORE(Table1[[#This Row],[Location Identifier]],"-"),3) &amp; "-" &amp; _xlfn.TEXTAFTER(Table1[[#This Row],[Location Identifier]],"-")</f>
        <v>SAC-007</v>
      </c>
      <c r="AP1064" s="9">
        <f t="shared" ca="1" si="160"/>
        <v>45869</v>
      </c>
    </row>
    <row r="1065" spans="1:42" x14ac:dyDescent="0.25">
      <c r="A1065">
        <v>28</v>
      </c>
      <c r="B1065" t="s">
        <v>42</v>
      </c>
      <c r="C1065">
        <v>2</v>
      </c>
      <c r="D1065" t="s">
        <v>73</v>
      </c>
      <c r="E1065" t="b">
        <v>0</v>
      </c>
      <c r="F1065" s="1">
        <v>0.59166666666666667</v>
      </c>
      <c r="G1065" s="1">
        <v>0.6430555555555556</v>
      </c>
      <c r="H1065">
        <v>74</v>
      </c>
      <c r="I1065" t="b">
        <v>1</v>
      </c>
      <c r="J1065" t="b">
        <v>0</v>
      </c>
      <c r="K1065" t="b">
        <v>0</v>
      </c>
      <c r="L1065" t="s">
        <v>62</v>
      </c>
      <c r="M1065">
        <v>20</v>
      </c>
      <c r="N1065" t="s">
        <v>29</v>
      </c>
      <c r="O1065">
        <v>20</v>
      </c>
      <c r="P1065" t="s">
        <v>30</v>
      </c>
      <c r="Q1065">
        <v>0.05</v>
      </c>
      <c r="R1065">
        <v>19</v>
      </c>
      <c r="S1065" t="s">
        <v>44</v>
      </c>
      <c r="T1065" t="s">
        <v>41</v>
      </c>
      <c r="U1065">
        <v>37.804400000000001</v>
      </c>
      <c r="V1065">
        <v>-122.27119999999999</v>
      </c>
      <c r="W1065" s="2">
        <v>45382</v>
      </c>
      <c r="X1065">
        <v>0</v>
      </c>
      <c r="Y1065" t="b">
        <v>0</v>
      </c>
      <c r="Z1065" s="2">
        <v>45835</v>
      </c>
      <c r="AA1065" t="str">
        <f t="shared" si="161"/>
        <v>20–29</v>
      </c>
      <c r="AB1065" t="str">
        <f t="shared" si="162"/>
        <v>20–29</v>
      </c>
      <c r="AC1065" t="str">
        <f t="shared" si="163"/>
        <v/>
      </c>
      <c r="AD1065" t="str">
        <f t="shared" si="164"/>
        <v>Tuesday</v>
      </c>
      <c r="AE1065" t="str">
        <f t="shared" si="165"/>
        <v/>
      </c>
      <c r="AF1065" t="str">
        <f t="shared" si="166"/>
        <v/>
      </c>
      <c r="AG1065" t="str">
        <f t="shared" si="167"/>
        <v>Friday</v>
      </c>
      <c r="AH1065" t="str">
        <f t="shared" si="168"/>
        <v/>
      </c>
      <c r="AI1065" t="str">
        <f t="shared" si="169"/>
        <v/>
      </c>
      <c r="AJ1065" t="str">
        <f>LEFT(Table1[[#This Row],[membership_type]],2)&amp;TEXT(Table1[[#This Row],[age]],"00")&amp;"-"&amp;TEXT(ROW(),"000")</f>
        <v>Ba28-1065</v>
      </c>
      <c r="AK1065" t="str">
        <f>LEFT(Table1[[#This Row],[membership_type]],1)&amp;TEXT(MATCH(Table1[[#This Row],[membership_type]],Table1[membership_type],0),"00")</f>
        <v>B04</v>
      </c>
      <c r="AL1065" t="str">
        <f>LEFT(Table1[[#This Row],[discount_type]],1)&amp;TEXT(ROUND(Table1[[#This Row],[discount_rate]]*100,0),"00")</f>
        <v>P05</v>
      </c>
      <c r="AM1065" t="str" cm="1">
        <f t="array" ref="AM1065">TEXT(SUMPRODUCT(CODE(MID(Table1[[#This Row],[home_gym_location]],_xlfn.SEQUENCE(LEN(Table1[[#This Row],[home_gym_location]])),1))),"00000")</f>
        <v>00906</v>
      </c>
      <c r="AN106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65" t="str">
        <f>LEFT(_xlfn.TEXTBEFORE(Table1[[#This Row],[Location Identifier]],"-"),3) &amp; "-" &amp; _xlfn.TEXTAFTER(Table1[[#This Row],[Location Identifier]],"-")</f>
        <v>OAK-006</v>
      </c>
      <c r="AP1065" s="9">
        <f t="shared" ca="1" si="160"/>
        <v>45869</v>
      </c>
    </row>
    <row r="1066" spans="1:42" x14ac:dyDescent="0.25">
      <c r="A1066">
        <v>27</v>
      </c>
      <c r="B1066" t="s">
        <v>33</v>
      </c>
      <c r="C1066">
        <v>5</v>
      </c>
      <c r="D1066" t="s">
        <v>66</v>
      </c>
      <c r="E1066" t="b">
        <v>0</v>
      </c>
      <c r="F1066" s="1">
        <v>0.76527777777777772</v>
      </c>
      <c r="G1066" s="1">
        <v>0.7944444444444444</v>
      </c>
      <c r="H1066">
        <v>42</v>
      </c>
      <c r="I1066" t="b">
        <v>0</v>
      </c>
      <c r="J1066" t="b">
        <v>0</v>
      </c>
      <c r="K1066" t="b">
        <v>0</v>
      </c>
      <c r="L1066" t="s">
        <v>35</v>
      </c>
      <c r="M1066">
        <v>30</v>
      </c>
      <c r="N1066" t="s">
        <v>64</v>
      </c>
      <c r="O1066">
        <v>22.5</v>
      </c>
      <c r="P1066" t="s">
        <v>36</v>
      </c>
      <c r="Q1066">
        <v>0</v>
      </c>
      <c r="R1066">
        <v>22.5</v>
      </c>
      <c r="S1066" t="s">
        <v>37</v>
      </c>
      <c r="T1066" t="s">
        <v>65</v>
      </c>
      <c r="U1066">
        <v>33.770099999999999</v>
      </c>
      <c r="V1066">
        <v>-118.19370000000001</v>
      </c>
      <c r="W1066" s="2">
        <v>45045</v>
      </c>
      <c r="X1066">
        <v>0</v>
      </c>
      <c r="Y1066" t="b">
        <v>0</v>
      </c>
      <c r="Z1066" s="2">
        <v>45816</v>
      </c>
      <c r="AA1066" t="str">
        <f t="shared" si="161"/>
        <v>20–29</v>
      </c>
      <c r="AB1066" t="str">
        <f t="shared" si="162"/>
        <v>20–29</v>
      </c>
      <c r="AC1066" t="str">
        <f t="shared" si="163"/>
        <v>Monday</v>
      </c>
      <c r="AD1066" t="str">
        <f t="shared" si="164"/>
        <v>Tuesday</v>
      </c>
      <c r="AE1066" t="str">
        <f t="shared" si="165"/>
        <v>Wednesday</v>
      </c>
      <c r="AF1066" t="str">
        <f t="shared" si="166"/>
        <v/>
      </c>
      <c r="AG1066" t="str">
        <f t="shared" si="167"/>
        <v>Friday</v>
      </c>
      <c r="AH1066" t="str">
        <f t="shared" si="168"/>
        <v/>
      </c>
      <c r="AI1066" t="str">
        <f t="shared" si="169"/>
        <v>Sunday</v>
      </c>
      <c r="AJ1066" t="str">
        <f>LEFT(Table1[[#This Row],[membership_type]],2)&amp;TEXT(Table1[[#This Row],[age]],"00")&amp;"-"&amp;TEXT(ROW(),"000")</f>
        <v>St27-1066</v>
      </c>
      <c r="AK1066" t="str">
        <f>LEFT(Table1[[#This Row],[membership_type]],1)&amp;TEXT(MATCH(Table1[[#This Row],[membership_type]],Table1[membership_type],0),"00")</f>
        <v>S02</v>
      </c>
      <c r="AL1066" t="str">
        <f>LEFT(Table1[[#This Row],[discount_type]],1)&amp;TEXT(ROUND(Table1[[#This Row],[discount_rate]]*100,0),"00")</f>
        <v>N00</v>
      </c>
      <c r="AM1066" t="str" cm="1">
        <f t="array" ref="AM1066">TEXT(SUMPRODUCT(CODE(MID(Table1[[#This Row],[home_gym_location]],_xlfn.SEQUENCE(LEN(Table1[[#This Row],[home_gym_location]])),1))),"00000")</f>
        <v>01107</v>
      </c>
      <c r="AN106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66" t="str">
        <f>LEFT(_xlfn.TEXTBEFORE(Table1[[#This Row],[Location Identifier]],"-"),3) &amp; "-" &amp; _xlfn.TEXTAFTER(Table1[[#This Row],[Location Identifier]],"-")</f>
        <v>LON-004</v>
      </c>
      <c r="AP1066" s="9">
        <f t="shared" ca="1" si="160"/>
        <v>45869</v>
      </c>
    </row>
    <row r="1067" spans="1:42" x14ac:dyDescent="0.25">
      <c r="A1067">
        <v>17</v>
      </c>
      <c r="B1067" t="s">
        <v>33</v>
      </c>
      <c r="C1067">
        <v>2</v>
      </c>
      <c r="D1067" t="s">
        <v>61</v>
      </c>
      <c r="E1067" t="b">
        <v>1</v>
      </c>
      <c r="F1067" s="1">
        <v>0.42291666666666666</v>
      </c>
      <c r="G1067" s="1">
        <v>0.46180555555555558</v>
      </c>
      <c r="H1067">
        <v>56</v>
      </c>
      <c r="I1067" t="b">
        <v>0</v>
      </c>
      <c r="J1067" t="b">
        <v>0</v>
      </c>
      <c r="K1067" t="b">
        <v>1</v>
      </c>
      <c r="L1067" t="s">
        <v>47</v>
      </c>
      <c r="M1067">
        <v>30</v>
      </c>
      <c r="N1067" t="s">
        <v>64</v>
      </c>
      <c r="O1067">
        <v>22.5</v>
      </c>
      <c r="P1067" t="s">
        <v>36</v>
      </c>
      <c r="Q1067">
        <v>0</v>
      </c>
      <c r="R1067">
        <v>22.5</v>
      </c>
      <c r="S1067" t="s">
        <v>37</v>
      </c>
      <c r="T1067" t="s">
        <v>54</v>
      </c>
      <c r="U1067">
        <v>32.715699999999998</v>
      </c>
      <c r="V1067">
        <v>-117.1611</v>
      </c>
      <c r="W1067" s="2">
        <v>45576</v>
      </c>
      <c r="X1067">
        <v>0</v>
      </c>
      <c r="Y1067" t="b">
        <v>0</v>
      </c>
      <c r="Z1067" s="2">
        <v>45846</v>
      </c>
      <c r="AA1067" t="str">
        <f t="shared" si="161"/>
        <v>10–19</v>
      </c>
      <c r="AB1067" t="str">
        <f t="shared" si="162"/>
        <v>16–19</v>
      </c>
      <c r="AC1067" t="str">
        <f t="shared" si="163"/>
        <v/>
      </c>
      <c r="AD1067" t="str">
        <f t="shared" si="164"/>
        <v>Tuesday</v>
      </c>
      <c r="AE1067" t="str">
        <f t="shared" si="165"/>
        <v/>
      </c>
      <c r="AF1067" t="str">
        <f t="shared" si="166"/>
        <v/>
      </c>
      <c r="AG1067" t="str">
        <f t="shared" si="167"/>
        <v/>
      </c>
      <c r="AH1067" t="str">
        <f t="shared" si="168"/>
        <v>Saturday</v>
      </c>
      <c r="AI1067" t="str">
        <f t="shared" si="169"/>
        <v/>
      </c>
      <c r="AJ1067" t="str">
        <f>LEFT(Table1[[#This Row],[membership_type]],2)&amp;TEXT(Table1[[#This Row],[age]],"00")&amp;"-"&amp;TEXT(ROW(),"000")</f>
        <v>St17-1067</v>
      </c>
      <c r="AK1067" t="str">
        <f>LEFT(Table1[[#This Row],[membership_type]],1)&amp;TEXT(MATCH(Table1[[#This Row],[membership_type]],Table1[membership_type],0),"00")</f>
        <v>S02</v>
      </c>
      <c r="AL1067" t="str">
        <f>LEFT(Table1[[#This Row],[discount_type]],1)&amp;TEXT(ROUND(Table1[[#This Row],[discount_rate]]*100,0),"00")</f>
        <v>N00</v>
      </c>
      <c r="AM1067" t="str" cm="1">
        <f t="array" ref="AM1067">TEXT(SUMPRODUCT(CODE(MID(Table1[[#This Row],[home_gym_location]],_xlfn.SEQUENCE(LEN(Table1[[#This Row],[home_gym_location]])),1))),"00000")</f>
        <v>01018</v>
      </c>
      <c r="AN106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67" t="str">
        <f>LEFT(_xlfn.TEXTBEFORE(Table1[[#This Row],[Location Identifier]],"-"),3) &amp; "-" &amp; _xlfn.TEXTAFTER(Table1[[#This Row],[Location Identifier]],"-")</f>
        <v>SAN-008</v>
      </c>
      <c r="AP1067" s="9">
        <f t="shared" ca="1" si="160"/>
        <v>45869</v>
      </c>
    </row>
    <row r="1068" spans="1:42" x14ac:dyDescent="0.25">
      <c r="A1068">
        <v>45</v>
      </c>
      <c r="B1068" t="s">
        <v>42</v>
      </c>
      <c r="C1068">
        <v>2</v>
      </c>
      <c r="D1068" t="s">
        <v>141</v>
      </c>
      <c r="E1068" t="b">
        <v>1</v>
      </c>
      <c r="F1068" s="1">
        <v>0.7680555555555556</v>
      </c>
      <c r="G1068" s="1">
        <v>0.88958333333333328</v>
      </c>
      <c r="H1068">
        <v>175</v>
      </c>
      <c r="I1068" t="b">
        <v>1</v>
      </c>
      <c r="J1068" t="b">
        <v>1</v>
      </c>
      <c r="K1068" t="b">
        <v>0</v>
      </c>
      <c r="L1068" t="s">
        <v>28</v>
      </c>
      <c r="M1068">
        <v>20</v>
      </c>
      <c r="N1068" t="s">
        <v>64</v>
      </c>
      <c r="O1068">
        <v>15</v>
      </c>
      <c r="P1068" t="s">
        <v>74</v>
      </c>
      <c r="Q1068">
        <v>0.15</v>
      </c>
      <c r="R1068">
        <v>12.75</v>
      </c>
      <c r="S1068" t="s">
        <v>44</v>
      </c>
      <c r="T1068" t="s">
        <v>59</v>
      </c>
      <c r="U1068">
        <v>37.774900000000002</v>
      </c>
      <c r="V1068">
        <v>-122.4194</v>
      </c>
      <c r="W1068" s="2">
        <v>45713</v>
      </c>
      <c r="X1068">
        <v>6</v>
      </c>
      <c r="Y1068" t="b">
        <v>0</v>
      </c>
      <c r="Z1068" s="2">
        <v>45854</v>
      </c>
      <c r="AA1068" t="str">
        <f t="shared" si="161"/>
        <v>40–49</v>
      </c>
      <c r="AB1068" t="str">
        <f t="shared" si="162"/>
        <v>40–49</v>
      </c>
      <c r="AC1068" t="str">
        <f t="shared" si="163"/>
        <v/>
      </c>
      <c r="AD1068" t="str">
        <f t="shared" si="164"/>
        <v/>
      </c>
      <c r="AE1068" t="str">
        <f t="shared" si="165"/>
        <v>Wednesday</v>
      </c>
      <c r="AF1068" t="str">
        <f t="shared" si="166"/>
        <v/>
      </c>
      <c r="AG1068" t="str">
        <f t="shared" si="167"/>
        <v>Friday</v>
      </c>
      <c r="AH1068" t="str">
        <f t="shared" si="168"/>
        <v/>
      </c>
      <c r="AI1068" t="str">
        <f t="shared" si="169"/>
        <v/>
      </c>
      <c r="AJ1068" t="str">
        <f>LEFT(Table1[[#This Row],[membership_type]],2)&amp;TEXT(Table1[[#This Row],[age]],"00")&amp;"-"&amp;TEXT(ROW(),"000")</f>
        <v>Ba45-1068</v>
      </c>
      <c r="AK1068" t="str">
        <f>LEFT(Table1[[#This Row],[membership_type]],1)&amp;TEXT(MATCH(Table1[[#This Row],[membership_type]],Table1[membership_type],0),"00")</f>
        <v>B04</v>
      </c>
      <c r="AL1068" t="str">
        <f>LEFT(Table1[[#This Row],[discount_type]],1)&amp;TEXT(ROUND(Table1[[#This Row],[discount_rate]]*100,0),"00")</f>
        <v>S15</v>
      </c>
      <c r="AM1068" t="str" cm="1">
        <f t="array" ref="AM1068">TEXT(SUMPRODUCT(CODE(MID(Table1[[#This Row],[home_gym_location]],_xlfn.SEQUENCE(LEN(Table1[[#This Row],[home_gym_location]])),1))),"00000")</f>
        <v>01450</v>
      </c>
      <c r="AN10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68" t="str">
        <f>LEFT(_xlfn.TEXTBEFORE(Table1[[#This Row],[Location Identifier]],"-"),3) &amp; "-" &amp; _xlfn.TEXTAFTER(Table1[[#This Row],[Location Identifier]],"-")</f>
        <v>SAN-009</v>
      </c>
      <c r="AP1068" s="9">
        <f t="shared" ca="1" si="160"/>
        <v>45869</v>
      </c>
    </row>
    <row r="1069" spans="1:42" x14ac:dyDescent="0.25">
      <c r="A1069">
        <v>25</v>
      </c>
      <c r="B1069" t="s">
        <v>26</v>
      </c>
      <c r="C1069">
        <v>5</v>
      </c>
      <c r="D1069" t="s">
        <v>69</v>
      </c>
      <c r="E1069" t="b">
        <v>1</v>
      </c>
      <c r="F1069" s="1">
        <v>0.51736111111111116</v>
      </c>
      <c r="G1069" s="1">
        <v>0.56944444444444442</v>
      </c>
      <c r="H1069">
        <v>75</v>
      </c>
      <c r="I1069" t="b">
        <v>1</v>
      </c>
      <c r="J1069" t="b">
        <v>0</v>
      </c>
      <c r="K1069" t="b">
        <v>1</v>
      </c>
      <c r="L1069" t="s">
        <v>28</v>
      </c>
      <c r="M1069">
        <v>50</v>
      </c>
      <c r="N1069" t="s">
        <v>29</v>
      </c>
      <c r="O1069">
        <v>50</v>
      </c>
      <c r="P1069" t="s">
        <v>36</v>
      </c>
      <c r="Q1069">
        <v>0</v>
      </c>
      <c r="R1069">
        <v>50</v>
      </c>
      <c r="S1069" t="s">
        <v>31</v>
      </c>
      <c r="T1069" t="s">
        <v>32</v>
      </c>
      <c r="U1069">
        <v>37.338200000000001</v>
      </c>
      <c r="V1069">
        <v>-121.88630000000001</v>
      </c>
      <c r="W1069" s="2">
        <v>45453</v>
      </c>
      <c r="X1069">
        <v>0</v>
      </c>
      <c r="Y1069" t="b">
        <v>1</v>
      </c>
      <c r="Z1069" s="2">
        <v>45839</v>
      </c>
      <c r="AA1069" t="str">
        <f t="shared" si="161"/>
        <v>20–29</v>
      </c>
      <c r="AB1069" t="str">
        <f t="shared" si="162"/>
        <v>20–29</v>
      </c>
      <c r="AC1069" t="str">
        <f t="shared" si="163"/>
        <v>Monday</v>
      </c>
      <c r="AD1069" t="str">
        <f t="shared" si="164"/>
        <v/>
      </c>
      <c r="AE1069" t="str">
        <f t="shared" si="165"/>
        <v>Wednesday</v>
      </c>
      <c r="AF1069" t="str">
        <f t="shared" si="166"/>
        <v>Thursday</v>
      </c>
      <c r="AG1069" t="str">
        <f t="shared" si="167"/>
        <v/>
      </c>
      <c r="AH1069" t="str">
        <f t="shared" si="168"/>
        <v>Saturday</v>
      </c>
      <c r="AI1069" t="str">
        <f t="shared" si="169"/>
        <v>Sunday</v>
      </c>
      <c r="AJ1069" t="str">
        <f>LEFT(Table1[[#This Row],[membership_type]],2)&amp;TEXT(Table1[[#This Row],[age]],"00")&amp;"-"&amp;TEXT(ROW(),"000")</f>
        <v>Pr25-1069</v>
      </c>
      <c r="AK1069" t="str">
        <f>LEFT(Table1[[#This Row],[membership_type]],1)&amp;TEXT(MATCH(Table1[[#This Row],[membership_type]],Table1[membership_type],0),"00")</f>
        <v>P01</v>
      </c>
      <c r="AL1069" t="str">
        <f>LEFT(Table1[[#This Row],[discount_type]],1)&amp;TEXT(ROUND(Table1[[#This Row],[discount_rate]]*100,0),"00")</f>
        <v>N00</v>
      </c>
      <c r="AM1069" t="str" cm="1">
        <f t="array" ref="AM1069">TEXT(SUMPRODUCT(CODE(MID(Table1[[#This Row],[home_gym_location]],_xlfn.SEQUENCE(LEN(Table1[[#This Row],[home_gym_location]])),1))),"00000")</f>
        <v>00931</v>
      </c>
      <c r="AN106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69" t="str">
        <f>LEFT(_xlfn.TEXTBEFORE(Table1[[#This Row],[Location Identifier]],"-"),3) &amp; "-" &amp; _xlfn.TEXTAFTER(Table1[[#This Row],[Location Identifier]],"-")</f>
        <v>SAN-010</v>
      </c>
      <c r="AP1069" s="9">
        <f t="shared" ca="1" si="160"/>
        <v>45869</v>
      </c>
    </row>
    <row r="1070" spans="1:42" x14ac:dyDescent="0.25">
      <c r="A1070">
        <v>27</v>
      </c>
      <c r="B1070" t="s">
        <v>26</v>
      </c>
      <c r="C1070">
        <v>1</v>
      </c>
      <c r="D1070" t="s">
        <v>49</v>
      </c>
      <c r="E1070" t="b">
        <v>0</v>
      </c>
      <c r="F1070" s="1">
        <v>0.75138888888888888</v>
      </c>
      <c r="G1070" s="1">
        <v>0.82361111111111107</v>
      </c>
      <c r="H1070">
        <v>104</v>
      </c>
      <c r="I1070" t="b">
        <v>1</v>
      </c>
      <c r="J1070" t="b">
        <v>0</v>
      </c>
      <c r="K1070" t="b">
        <v>0</v>
      </c>
      <c r="L1070" t="s">
        <v>28</v>
      </c>
      <c r="M1070">
        <v>50</v>
      </c>
      <c r="N1070" t="s">
        <v>29</v>
      </c>
      <c r="O1070">
        <v>50</v>
      </c>
      <c r="P1070" t="s">
        <v>30</v>
      </c>
      <c r="Q1070">
        <v>0.05</v>
      </c>
      <c r="R1070">
        <v>47.5</v>
      </c>
      <c r="S1070" t="s">
        <v>31</v>
      </c>
      <c r="T1070" t="s">
        <v>56</v>
      </c>
      <c r="U1070">
        <v>35.3733</v>
      </c>
      <c r="V1070">
        <v>-119.0187</v>
      </c>
      <c r="W1070" s="2">
        <v>45525</v>
      </c>
      <c r="X1070">
        <v>0</v>
      </c>
      <c r="Y1070" t="b">
        <v>1</v>
      </c>
      <c r="Z1070" s="2">
        <v>45843</v>
      </c>
      <c r="AA1070" t="str">
        <f t="shared" si="161"/>
        <v>20–29</v>
      </c>
      <c r="AB1070" t="str">
        <f t="shared" si="162"/>
        <v>20–29</v>
      </c>
      <c r="AC1070" t="str">
        <f t="shared" si="163"/>
        <v/>
      </c>
      <c r="AD1070" t="str">
        <f t="shared" si="164"/>
        <v/>
      </c>
      <c r="AE1070" t="str">
        <f t="shared" si="165"/>
        <v/>
      </c>
      <c r="AF1070" t="str">
        <f t="shared" si="166"/>
        <v/>
      </c>
      <c r="AG1070" t="str">
        <f t="shared" si="167"/>
        <v/>
      </c>
      <c r="AH1070" t="str">
        <f t="shared" si="168"/>
        <v/>
      </c>
      <c r="AI1070" t="str">
        <f t="shared" si="169"/>
        <v>Sunday</v>
      </c>
      <c r="AJ1070" t="str">
        <f>LEFT(Table1[[#This Row],[membership_type]],2)&amp;TEXT(Table1[[#This Row],[age]],"00")&amp;"-"&amp;TEXT(ROW(),"000")</f>
        <v>Pr27-1070</v>
      </c>
      <c r="AK1070" t="str">
        <f>LEFT(Table1[[#This Row],[membership_type]],1)&amp;TEXT(MATCH(Table1[[#This Row],[membership_type]],Table1[membership_type],0),"00")</f>
        <v>P01</v>
      </c>
      <c r="AL1070" t="str">
        <f>LEFT(Table1[[#This Row],[discount_type]],1)&amp;TEXT(ROUND(Table1[[#This Row],[discount_rate]]*100,0),"00")</f>
        <v>P05</v>
      </c>
      <c r="AM1070" t="str" cm="1">
        <f t="array" ref="AM1070">TEXT(SUMPRODUCT(CODE(MID(Table1[[#This Row],[home_gym_location]],_xlfn.SEQUENCE(LEN(Table1[[#This Row],[home_gym_location]])),1))),"00000")</f>
        <v>01324</v>
      </c>
      <c r="AN10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70" t="str">
        <f>LEFT(_xlfn.TEXTBEFORE(Table1[[#This Row],[Location Identifier]],"-"),3) &amp; "-" &amp; _xlfn.TEXTAFTER(Table1[[#This Row],[Location Identifier]],"-")</f>
        <v>BAK-002</v>
      </c>
      <c r="AP1070" s="9">
        <f t="shared" ca="1" si="160"/>
        <v>45869</v>
      </c>
    </row>
    <row r="1071" spans="1:42" x14ac:dyDescent="0.25">
      <c r="A1071">
        <v>49</v>
      </c>
      <c r="B1071" t="s">
        <v>33</v>
      </c>
      <c r="C1071">
        <v>1</v>
      </c>
      <c r="D1071" t="s">
        <v>75</v>
      </c>
      <c r="E1071" t="b">
        <v>1</v>
      </c>
      <c r="F1071" s="1">
        <v>0.54583333333333328</v>
      </c>
      <c r="G1071" s="1">
        <v>0.60347222222222219</v>
      </c>
      <c r="H1071">
        <v>83</v>
      </c>
      <c r="I1071" t="b">
        <v>0</v>
      </c>
      <c r="J1071" t="b">
        <v>1</v>
      </c>
      <c r="K1071" t="b">
        <v>1</v>
      </c>
      <c r="L1071" t="s">
        <v>35</v>
      </c>
      <c r="M1071">
        <v>30</v>
      </c>
      <c r="N1071" t="s">
        <v>29</v>
      </c>
      <c r="O1071">
        <v>30</v>
      </c>
      <c r="P1071" t="s">
        <v>30</v>
      </c>
      <c r="Q1071">
        <v>0.05</v>
      </c>
      <c r="R1071">
        <v>28.5</v>
      </c>
      <c r="S1071" t="s">
        <v>37</v>
      </c>
      <c r="T1071" t="s">
        <v>41</v>
      </c>
      <c r="U1071">
        <v>37.804400000000001</v>
      </c>
      <c r="V1071">
        <v>-122.27119999999999</v>
      </c>
      <c r="W1071" s="2">
        <v>45515</v>
      </c>
      <c r="X1071">
        <v>6</v>
      </c>
      <c r="Y1071" t="b">
        <v>0</v>
      </c>
      <c r="Z1071" s="2">
        <v>45843</v>
      </c>
      <c r="AA1071" t="str">
        <f t="shared" si="161"/>
        <v>40–49</v>
      </c>
      <c r="AB1071" t="str">
        <f t="shared" si="162"/>
        <v>40–49</v>
      </c>
      <c r="AC1071" t="str">
        <f t="shared" si="163"/>
        <v/>
      </c>
      <c r="AD1071" t="str">
        <f t="shared" si="164"/>
        <v/>
      </c>
      <c r="AE1071" t="str">
        <f t="shared" si="165"/>
        <v/>
      </c>
      <c r="AF1071" t="str">
        <f t="shared" si="166"/>
        <v/>
      </c>
      <c r="AG1071" t="str">
        <f t="shared" si="167"/>
        <v>Friday</v>
      </c>
      <c r="AH1071" t="str">
        <f t="shared" si="168"/>
        <v/>
      </c>
      <c r="AI1071" t="str">
        <f t="shared" si="169"/>
        <v/>
      </c>
      <c r="AJ1071" t="str">
        <f>LEFT(Table1[[#This Row],[membership_type]],2)&amp;TEXT(Table1[[#This Row],[age]],"00")&amp;"-"&amp;TEXT(ROW(),"000")</f>
        <v>St49-1071</v>
      </c>
      <c r="AK1071" t="str">
        <f>LEFT(Table1[[#This Row],[membership_type]],1)&amp;TEXT(MATCH(Table1[[#This Row],[membership_type]],Table1[membership_type],0),"00")</f>
        <v>S02</v>
      </c>
      <c r="AL1071" t="str">
        <f>LEFT(Table1[[#This Row],[discount_type]],1)&amp;TEXT(ROUND(Table1[[#This Row],[discount_rate]]*100,0),"00")</f>
        <v>P05</v>
      </c>
      <c r="AM1071" t="str" cm="1">
        <f t="array" ref="AM1071">TEXT(SUMPRODUCT(CODE(MID(Table1[[#This Row],[home_gym_location]],_xlfn.SEQUENCE(LEN(Table1[[#This Row],[home_gym_location]])),1))),"00000")</f>
        <v>00906</v>
      </c>
      <c r="AN107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71" t="str">
        <f>LEFT(_xlfn.TEXTBEFORE(Table1[[#This Row],[Location Identifier]],"-"),3) &amp; "-" &amp; _xlfn.TEXTAFTER(Table1[[#This Row],[Location Identifier]],"-")</f>
        <v>OAK-006</v>
      </c>
      <c r="AP1071" s="9">
        <f t="shared" ca="1" si="160"/>
        <v>45869</v>
      </c>
    </row>
    <row r="1072" spans="1:42" x14ac:dyDescent="0.25">
      <c r="A1072">
        <v>39</v>
      </c>
      <c r="B1072" t="s">
        <v>33</v>
      </c>
      <c r="C1072">
        <v>2</v>
      </c>
      <c r="D1072" t="s">
        <v>126</v>
      </c>
      <c r="E1072" t="b">
        <v>1</v>
      </c>
      <c r="F1072" s="1">
        <v>0.63472222222222219</v>
      </c>
      <c r="G1072" s="1">
        <v>0.73541666666666672</v>
      </c>
      <c r="H1072">
        <v>145</v>
      </c>
      <c r="I1072" t="b">
        <v>1</v>
      </c>
      <c r="J1072" t="b">
        <v>0</v>
      </c>
      <c r="K1072" t="b">
        <v>0</v>
      </c>
      <c r="L1072" t="s">
        <v>28</v>
      </c>
      <c r="M1072">
        <v>30</v>
      </c>
      <c r="N1072" t="s">
        <v>64</v>
      </c>
      <c r="O1072">
        <v>22.5</v>
      </c>
      <c r="P1072" t="s">
        <v>30</v>
      </c>
      <c r="Q1072">
        <v>0.05</v>
      </c>
      <c r="R1072">
        <v>21.375</v>
      </c>
      <c r="S1072" t="s">
        <v>37</v>
      </c>
      <c r="T1072" t="s">
        <v>48</v>
      </c>
      <c r="U1072">
        <v>38.581600000000002</v>
      </c>
      <c r="V1072">
        <v>-121.4944</v>
      </c>
      <c r="W1072" s="2">
        <v>45582</v>
      </c>
      <c r="X1072">
        <v>0</v>
      </c>
      <c r="Y1072" t="b">
        <v>1</v>
      </c>
      <c r="Z1072" s="2">
        <v>45846</v>
      </c>
      <c r="AA1072" t="str">
        <f t="shared" si="161"/>
        <v>30–39</v>
      </c>
      <c r="AB1072" t="str">
        <f t="shared" si="162"/>
        <v>30–39</v>
      </c>
      <c r="AC1072" t="str">
        <f t="shared" si="163"/>
        <v/>
      </c>
      <c r="AD1072" t="str">
        <f t="shared" si="164"/>
        <v>Tuesday</v>
      </c>
      <c r="AE1072" t="str">
        <f t="shared" si="165"/>
        <v>Wednesday</v>
      </c>
      <c r="AF1072" t="str">
        <f t="shared" si="166"/>
        <v/>
      </c>
      <c r="AG1072" t="str">
        <f t="shared" si="167"/>
        <v/>
      </c>
      <c r="AH1072" t="str">
        <f t="shared" si="168"/>
        <v/>
      </c>
      <c r="AI1072" t="str">
        <f t="shared" si="169"/>
        <v/>
      </c>
      <c r="AJ1072" t="str">
        <f>LEFT(Table1[[#This Row],[membership_type]],2)&amp;TEXT(Table1[[#This Row],[age]],"00")&amp;"-"&amp;TEXT(ROW(),"000")</f>
        <v>St39-1072</v>
      </c>
      <c r="AK1072" t="str">
        <f>LEFT(Table1[[#This Row],[membership_type]],1)&amp;TEXT(MATCH(Table1[[#This Row],[membership_type]],Table1[membership_type],0),"00")</f>
        <v>S02</v>
      </c>
      <c r="AL1072" t="str">
        <f>LEFT(Table1[[#This Row],[discount_type]],1)&amp;TEXT(ROUND(Table1[[#This Row],[discount_rate]]*100,0),"00")</f>
        <v>P05</v>
      </c>
      <c r="AM1072" t="str" cm="1">
        <f t="array" ref="AM1072">TEXT(SUMPRODUCT(CODE(MID(Table1[[#This Row],[home_gym_location]],_xlfn.SEQUENCE(LEN(Table1[[#This Row],[home_gym_location]])),1))),"00000")</f>
        <v>01245</v>
      </c>
      <c r="AN107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72" t="str">
        <f>LEFT(_xlfn.TEXTBEFORE(Table1[[#This Row],[Location Identifier]],"-"),3) &amp; "-" &amp; _xlfn.TEXTAFTER(Table1[[#This Row],[Location Identifier]],"-")</f>
        <v>SAC-007</v>
      </c>
      <c r="AP1072" s="9">
        <f t="shared" ca="1" si="160"/>
        <v>45869</v>
      </c>
    </row>
    <row r="1073" spans="1:42" x14ac:dyDescent="0.25">
      <c r="A1073">
        <v>34</v>
      </c>
      <c r="B1073" t="s">
        <v>51</v>
      </c>
      <c r="C1073">
        <v>3</v>
      </c>
      <c r="D1073" t="s">
        <v>122</v>
      </c>
      <c r="E1073" t="b">
        <v>0</v>
      </c>
      <c r="F1073" s="1">
        <v>0.45416666666666666</v>
      </c>
      <c r="G1073" s="1">
        <v>0.53402777777777777</v>
      </c>
      <c r="H1073">
        <v>115</v>
      </c>
      <c r="I1073" t="b">
        <v>1</v>
      </c>
      <c r="J1073" t="b">
        <v>1</v>
      </c>
      <c r="K1073" t="b">
        <v>1</v>
      </c>
      <c r="L1073" t="s">
        <v>28</v>
      </c>
      <c r="M1073">
        <v>70</v>
      </c>
      <c r="N1073" t="s">
        <v>64</v>
      </c>
      <c r="O1073">
        <v>52.5</v>
      </c>
      <c r="P1073" t="s">
        <v>36</v>
      </c>
      <c r="Q1073">
        <v>0</v>
      </c>
      <c r="R1073">
        <v>52.5</v>
      </c>
      <c r="S1073" t="s">
        <v>53</v>
      </c>
      <c r="T1073" t="s">
        <v>65</v>
      </c>
      <c r="U1073">
        <v>33.770099999999999</v>
      </c>
      <c r="V1073">
        <v>-118.19370000000001</v>
      </c>
      <c r="W1073" s="2">
        <v>45786</v>
      </c>
      <c r="X1073">
        <v>6</v>
      </c>
      <c r="Y1073" t="b">
        <v>1</v>
      </c>
      <c r="Z1073" s="2">
        <v>45858</v>
      </c>
      <c r="AA1073" t="str">
        <f t="shared" si="161"/>
        <v>30–39</v>
      </c>
      <c r="AB1073" t="str">
        <f t="shared" si="162"/>
        <v>30–39</v>
      </c>
      <c r="AC1073" t="str">
        <f t="shared" si="163"/>
        <v/>
      </c>
      <c r="AD1073" t="str">
        <f t="shared" si="164"/>
        <v>Tuesday</v>
      </c>
      <c r="AE1073" t="str">
        <f t="shared" si="165"/>
        <v/>
      </c>
      <c r="AF1073" t="str">
        <f t="shared" si="166"/>
        <v/>
      </c>
      <c r="AG1073" t="str">
        <f t="shared" si="167"/>
        <v>Friday</v>
      </c>
      <c r="AH1073" t="str">
        <f t="shared" si="168"/>
        <v/>
      </c>
      <c r="AI1073" t="str">
        <f t="shared" si="169"/>
        <v>Sunday</v>
      </c>
      <c r="AJ1073" t="str">
        <f>LEFT(Table1[[#This Row],[membership_type]],2)&amp;TEXT(Table1[[#This Row],[age]],"00")&amp;"-"&amp;TEXT(ROW(),"000")</f>
        <v>El34-1073</v>
      </c>
      <c r="AK1073" t="str">
        <f>LEFT(Table1[[#This Row],[membership_type]],1)&amp;TEXT(MATCH(Table1[[#This Row],[membership_type]],Table1[membership_type],0),"00")</f>
        <v>E07</v>
      </c>
      <c r="AL1073" t="str">
        <f>LEFT(Table1[[#This Row],[discount_type]],1)&amp;TEXT(ROUND(Table1[[#This Row],[discount_rate]]*100,0),"00")</f>
        <v>N00</v>
      </c>
      <c r="AM1073" t="str" cm="1">
        <f t="array" ref="AM1073">TEXT(SUMPRODUCT(CODE(MID(Table1[[#This Row],[home_gym_location]],_xlfn.SEQUENCE(LEN(Table1[[#This Row],[home_gym_location]])),1))),"00000")</f>
        <v>01107</v>
      </c>
      <c r="AN107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73" t="str">
        <f>LEFT(_xlfn.TEXTBEFORE(Table1[[#This Row],[Location Identifier]],"-"),3) &amp; "-" &amp; _xlfn.TEXTAFTER(Table1[[#This Row],[Location Identifier]],"-")</f>
        <v>LON-004</v>
      </c>
      <c r="AP1073" s="9">
        <f t="shared" ca="1" si="160"/>
        <v>45869</v>
      </c>
    </row>
    <row r="1074" spans="1:42" x14ac:dyDescent="0.25">
      <c r="A1074">
        <v>24</v>
      </c>
      <c r="B1074" t="s">
        <v>26</v>
      </c>
      <c r="C1074">
        <v>2</v>
      </c>
      <c r="D1074" t="s">
        <v>70</v>
      </c>
      <c r="E1074" t="b">
        <v>1</v>
      </c>
      <c r="F1074" s="1">
        <v>0.43472222222222223</v>
      </c>
      <c r="G1074" s="1">
        <v>0.45694444444444443</v>
      </c>
      <c r="H1074">
        <v>32</v>
      </c>
      <c r="I1074" t="b">
        <v>1</v>
      </c>
      <c r="J1074" t="b">
        <v>0</v>
      </c>
      <c r="K1074" t="b">
        <v>0</v>
      </c>
      <c r="L1074" t="s">
        <v>35</v>
      </c>
      <c r="M1074">
        <v>50</v>
      </c>
      <c r="N1074" t="s">
        <v>29</v>
      </c>
      <c r="O1074">
        <v>50</v>
      </c>
      <c r="P1074" t="s">
        <v>36</v>
      </c>
      <c r="Q1074">
        <v>0</v>
      </c>
      <c r="R1074">
        <v>50</v>
      </c>
      <c r="S1074" t="s">
        <v>31</v>
      </c>
      <c r="T1074" t="s">
        <v>41</v>
      </c>
      <c r="U1074">
        <v>37.804400000000001</v>
      </c>
      <c r="V1074">
        <v>-122.27119999999999</v>
      </c>
      <c r="W1074" s="2">
        <v>45811</v>
      </c>
      <c r="X1074">
        <v>0</v>
      </c>
      <c r="Y1074" t="b">
        <v>0</v>
      </c>
      <c r="Z1074" s="2">
        <v>45859</v>
      </c>
      <c r="AA1074" t="str">
        <f t="shared" si="161"/>
        <v>20–29</v>
      </c>
      <c r="AB1074" t="str">
        <f t="shared" si="162"/>
        <v>20–29</v>
      </c>
      <c r="AC1074" t="str">
        <f t="shared" si="163"/>
        <v/>
      </c>
      <c r="AD1074" t="str">
        <f t="shared" si="164"/>
        <v/>
      </c>
      <c r="AE1074" t="str">
        <f t="shared" si="165"/>
        <v>Wednesday</v>
      </c>
      <c r="AF1074" t="str">
        <f t="shared" si="166"/>
        <v>Thursday</v>
      </c>
      <c r="AG1074" t="str">
        <f t="shared" si="167"/>
        <v/>
      </c>
      <c r="AH1074" t="str">
        <f t="shared" si="168"/>
        <v/>
      </c>
      <c r="AI1074" t="str">
        <f t="shared" si="169"/>
        <v/>
      </c>
      <c r="AJ1074" t="str">
        <f>LEFT(Table1[[#This Row],[membership_type]],2)&amp;TEXT(Table1[[#This Row],[age]],"00")&amp;"-"&amp;TEXT(ROW(),"000")</f>
        <v>Pr24-1074</v>
      </c>
      <c r="AK1074" t="str">
        <f>LEFT(Table1[[#This Row],[membership_type]],1)&amp;TEXT(MATCH(Table1[[#This Row],[membership_type]],Table1[membership_type],0),"00")</f>
        <v>P01</v>
      </c>
      <c r="AL1074" t="str">
        <f>LEFT(Table1[[#This Row],[discount_type]],1)&amp;TEXT(ROUND(Table1[[#This Row],[discount_rate]]*100,0),"00")</f>
        <v>N00</v>
      </c>
      <c r="AM1074" t="str" cm="1">
        <f t="array" ref="AM1074">TEXT(SUMPRODUCT(CODE(MID(Table1[[#This Row],[home_gym_location]],_xlfn.SEQUENCE(LEN(Table1[[#This Row],[home_gym_location]])),1))),"00000")</f>
        <v>00906</v>
      </c>
      <c r="AN107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74" t="str">
        <f>LEFT(_xlfn.TEXTBEFORE(Table1[[#This Row],[Location Identifier]],"-"),3) &amp; "-" &amp; _xlfn.TEXTAFTER(Table1[[#This Row],[Location Identifier]],"-")</f>
        <v>OAK-006</v>
      </c>
      <c r="AP1074" s="9">
        <f t="shared" ca="1" si="160"/>
        <v>45869</v>
      </c>
    </row>
    <row r="1075" spans="1:42" x14ac:dyDescent="0.25">
      <c r="A1075">
        <v>35</v>
      </c>
      <c r="B1075" t="s">
        <v>42</v>
      </c>
      <c r="C1075">
        <v>5</v>
      </c>
      <c r="D1075" t="s">
        <v>104</v>
      </c>
      <c r="E1075" t="b">
        <v>0</v>
      </c>
      <c r="F1075" s="1">
        <v>0.44513888888888886</v>
      </c>
      <c r="G1075" s="1">
        <v>0.57013888888888886</v>
      </c>
      <c r="H1075">
        <v>180</v>
      </c>
      <c r="I1075" t="b">
        <v>0</v>
      </c>
      <c r="J1075" t="b">
        <v>0</v>
      </c>
      <c r="K1075" t="b">
        <v>1</v>
      </c>
      <c r="L1075" t="s">
        <v>62</v>
      </c>
      <c r="M1075">
        <v>20</v>
      </c>
      <c r="N1075" t="s">
        <v>29</v>
      </c>
      <c r="O1075">
        <v>20</v>
      </c>
      <c r="P1075" t="s">
        <v>74</v>
      </c>
      <c r="Q1075">
        <v>0.15</v>
      </c>
      <c r="R1075">
        <v>17</v>
      </c>
      <c r="S1075" t="s">
        <v>44</v>
      </c>
      <c r="T1075" t="s">
        <v>45</v>
      </c>
      <c r="U1075">
        <v>33.836599999999997</v>
      </c>
      <c r="V1075">
        <v>-117.9143</v>
      </c>
      <c r="W1075" s="2">
        <v>44779</v>
      </c>
      <c r="X1075">
        <v>0</v>
      </c>
      <c r="Y1075" t="b">
        <v>1</v>
      </c>
      <c r="Z1075" s="2">
        <v>45801</v>
      </c>
      <c r="AA1075" t="str">
        <f t="shared" si="161"/>
        <v>30–39</v>
      </c>
      <c r="AB1075" t="str">
        <f t="shared" si="162"/>
        <v>30–39</v>
      </c>
      <c r="AC1075" t="str">
        <f t="shared" si="163"/>
        <v/>
      </c>
      <c r="AD1075" t="str">
        <f t="shared" si="164"/>
        <v>Tuesday</v>
      </c>
      <c r="AE1075" t="str">
        <f t="shared" si="165"/>
        <v>Wednesday</v>
      </c>
      <c r="AF1075" t="str">
        <f t="shared" si="166"/>
        <v>Thursday</v>
      </c>
      <c r="AG1075" t="str">
        <f t="shared" si="167"/>
        <v/>
      </c>
      <c r="AH1075" t="str">
        <f t="shared" si="168"/>
        <v>Saturday</v>
      </c>
      <c r="AI1075" t="str">
        <f t="shared" si="169"/>
        <v>Sunday</v>
      </c>
      <c r="AJ1075" t="str">
        <f>LEFT(Table1[[#This Row],[membership_type]],2)&amp;TEXT(Table1[[#This Row],[age]],"00")&amp;"-"&amp;TEXT(ROW(),"000")</f>
        <v>Ba35-1075</v>
      </c>
      <c r="AK1075" t="str">
        <f>LEFT(Table1[[#This Row],[membership_type]],1)&amp;TEXT(MATCH(Table1[[#This Row],[membership_type]],Table1[membership_type],0),"00")</f>
        <v>B04</v>
      </c>
      <c r="AL1075" t="str">
        <f>LEFT(Table1[[#This Row],[discount_type]],1)&amp;TEXT(ROUND(Table1[[#This Row],[discount_rate]]*100,0),"00")</f>
        <v>S15</v>
      </c>
      <c r="AM1075" t="str" cm="1">
        <f t="array" ref="AM1075">TEXT(SUMPRODUCT(CODE(MID(Table1[[#This Row],[home_gym_location]],_xlfn.SEQUENCE(LEN(Table1[[#This Row],[home_gym_location]])),1))),"00000")</f>
        <v>00899</v>
      </c>
      <c r="AN107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75" t="str">
        <f>LEFT(_xlfn.TEXTBEFORE(Table1[[#This Row],[Location Identifier]],"-"),3) &amp; "-" &amp; _xlfn.TEXTAFTER(Table1[[#This Row],[Location Identifier]],"-")</f>
        <v>ANA-001</v>
      </c>
      <c r="AP1075" s="9">
        <f t="shared" ca="1" si="160"/>
        <v>45869</v>
      </c>
    </row>
    <row r="1076" spans="1:42" x14ac:dyDescent="0.25">
      <c r="A1076">
        <v>35</v>
      </c>
      <c r="B1076" t="s">
        <v>42</v>
      </c>
      <c r="C1076">
        <v>5</v>
      </c>
      <c r="D1076" t="s">
        <v>104</v>
      </c>
      <c r="E1076" t="b">
        <v>0</v>
      </c>
      <c r="F1076" s="1">
        <v>0.44513888888888886</v>
      </c>
      <c r="G1076" s="1">
        <v>0.57013888888888886</v>
      </c>
      <c r="H1076">
        <v>180</v>
      </c>
      <c r="I1076" t="b">
        <v>0</v>
      </c>
      <c r="J1076" t="b">
        <v>0</v>
      </c>
      <c r="K1076" t="b">
        <v>1</v>
      </c>
      <c r="L1076" t="s">
        <v>62</v>
      </c>
      <c r="M1076">
        <v>20</v>
      </c>
      <c r="N1076" t="s">
        <v>29</v>
      </c>
      <c r="O1076">
        <v>20</v>
      </c>
      <c r="P1076" t="s">
        <v>74</v>
      </c>
      <c r="Q1076">
        <v>0.15</v>
      </c>
      <c r="R1076">
        <v>17</v>
      </c>
      <c r="S1076" t="s">
        <v>44</v>
      </c>
      <c r="T1076" t="s">
        <v>45</v>
      </c>
      <c r="U1076">
        <v>33.836599999999997</v>
      </c>
      <c r="V1076">
        <v>-117.9143</v>
      </c>
      <c r="W1076" s="2">
        <v>45375</v>
      </c>
      <c r="X1076">
        <v>0</v>
      </c>
      <c r="Y1076" t="b">
        <v>0</v>
      </c>
      <c r="Z1076" s="2">
        <v>45835</v>
      </c>
      <c r="AA1076" t="str">
        <f t="shared" si="161"/>
        <v>30–39</v>
      </c>
      <c r="AB1076" t="str">
        <f t="shared" si="162"/>
        <v>30–39</v>
      </c>
      <c r="AC1076" t="str">
        <f t="shared" si="163"/>
        <v/>
      </c>
      <c r="AD1076" t="str">
        <f t="shared" si="164"/>
        <v>Tuesday</v>
      </c>
      <c r="AE1076" t="str">
        <f t="shared" si="165"/>
        <v>Wednesday</v>
      </c>
      <c r="AF1076" t="str">
        <f t="shared" si="166"/>
        <v>Thursday</v>
      </c>
      <c r="AG1076" t="str">
        <f t="shared" si="167"/>
        <v/>
      </c>
      <c r="AH1076" t="str">
        <f t="shared" si="168"/>
        <v>Saturday</v>
      </c>
      <c r="AI1076" t="str">
        <f t="shared" si="169"/>
        <v>Sunday</v>
      </c>
      <c r="AJ1076" t="str">
        <f>LEFT(Table1[[#This Row],[membership_type]],2)&amp;TEXT(Table1[[#This Row],[age]],"00")&amp;"-"&amp;TEXT(ROW(),"000")</f>
        <v>Ba35-1076</v>
      </c>
      <c r="AK1076" t="str">
        <f>LEFT(Table1[[#This Row],[membership_type]],1)&amp;TEXT(MATCH(Table1[[#This Row],[membership_type]],Table1[membership_type],0),"00")</f>
        <v>B04</v>
      </c>
      <c r="AL1076" t="str">
        <f>LEFT(Table1[[#This Row],[discount_type]],1)&amp;TEXT(ROUND(Table1[[#This Row],[discount_rate]]*100,0),"00")</f>
        <v>S15</v>
      </c>
      <c r="AM1076" t="str" cm="1">
        <f t="array" ref="AM1076">TEXT(SUMPRODUCT(CODE(MID(Table1[[#This Row],[home_gym_location]],_xlfn.SEQUENCE(LEN(Table1[[#This Row],[home_gym_location]])),1))),"00000")</f>
        <v>00899</v>
      </c>
      <c r="AN107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76" t="str">
        <f>LEFT(_xlfn.TEXTBEFORE(Table1[[#This Row],[Location Identifier]],"-"),3) &amp; "-" &amp; _xlfn.TEXTAFTER(Table1[[#This Row],[Location Identifier]],"-")</f>
        <v>ANA-001</v>
      </c>
      <c r="AP1076" s="9">
        <f t="shared" ca="1" si="160"/>
        <v>45869</v>
      </c>
    </row>
    <row r="1077" spans="1:42" x14ac:dyDescent="0.25">
      <c r="A1077">
        <v>18</v>
      </c>
      <c r="B1077" t="s">
        <v>51</v>
      </c>
      <c r="C1077">
        <v>3</v>
      </c>
      <c r="D1077" t="s">
        <v>106</v>
      </c>
      <c r="E1077" t="b">
        <v>1</v>
      </c>
      <c r="F1077" s="1">
        <v>0.77986111111111112</v>
      </c>
      <c r="G1077" s="1">
        <v>0.87916666666666665</v>
      </c>
      <c r="H1077">
        <v>143</v>
      </c>
      <c r="I1077" t="b">
        <v>1</v>
      </c>
      <c r="J1077" t="b">
        <v>0</v>
      </c>
      <c r="K1077" t="b">
        <v>1</v>
      </c>
      <c r="L1077" t="s">
        <v>62</v>
      </c>
      <c r="M1077">
        <v>70</v>
      </c>
      <c r="N1077" t="s">
        <v>29</v>
      </c>
      <c r="O1077">
        <v>70</v>
      </c>
      <c r="P1077" t="s">
        <v>40</v>
      </c>
      <c r="Q1077">
        <v>0.1</v>
      </c>
      <c r="R1077">
        <v>63</v>
      </c>
      <c r="S1077" t="s">
        <v>53</v>
      </c>
      <c r="T1077" t="s">
        <v>65</v>
      </c>
      <c r="U1077">
        <v>33.770099999999999</v>
      </c>
      <c r="V1077">
        <v>-118.19370000000001</v>
      </c>
      <c r="W1077" s="2">
        <v>45421</v>
      </c>
      <c r="X1077">
        <v>0</v>
      </c>
      <c r="Y1077" t="b">
        <v>1</v>
      </c>
      <c r="Z1077" s="2">
        <v>45837</v>
      </c>
      <c r="AA1077" t="str">
        <f t="shared" si="161"/>
        <v>10–19</v>
      </c>
      <c r="AB1077" t="str">
        <f t="shared" si="162"/>
        <v>16–19</v>
      </c>
      <c r="AC1077" t="str">
        <f t="shared" si="163"/>
        <v/>
      </c>
      <c r="AD1077" t="str">
        <f t="shared" si="164"/>
        <v/>
      </c>
      <c r="AE1077" t="str">
        <f t="shared" si="165"/>
        <v>Wednesday</v>
      </c>
      <c r="AF1077" t="str">
        <f t="shared" si="166"/>
        <v>Thursday</v>
      </c>
      <c r="AG1077" t="str">
        <f t="shared" si="167"/>
        <v>Friday</v>
      </c>
      <c r="AH1077" t="str">
        <f t="shared" si="168"/>
        <v/>
      </c>
      <c r="AI1077" t="str">
        <f t="shared" si="169"/>
        <v/>
      </c>
      <c r="AJ1077" t="str">
        <f>LEFT(Table1[[#This Row],[membership_type]],2)&amp;TEXT(Table1[[#This Row],[age]],"00")&amp;"-"&amp;TEXT(ROW(),"000")</f>
        <v>El18-1077</v>
      </c>
      <c r="AK1077" t="str">
        <f>LEFT(Table1[[#This Row],[membership_type]],1)&amp;TEXT(MATCH(Table1[[#This Row],[membership_type]],Table1[membership_type],0),"00")</f>
        <v>E07</v>
      </c>
      <c r="AL1077" t="str">
        <f>LEFT(Table1[[#This Row],[discount_type]],1)&amp;TEXT(ROUND(Table1[[#This Row],[discount_rate]]*100,0),"00")</f>
        <v>L10</v>
      </c>
      <c r="AM1077" t="str" cm="1">
        <f t="array" ref="AM1077">TEXT(SUMPRODUCT(CODE(MID(Table1[[#This Row],[home_gym_location]],_xlfn.SEQUENCE(LEN(Table1[[#This Row],[home_gym_location]])),1))),"00000")</f>
        <v>01107</v>
      </c>
      <c r="AN107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77" t="str">
        <f>LEFT(_xlfn.TEXTBEFORE(Table1[[#This Row],[Location Identifier]],"-"),3) &amp; "-" &amp; _xlfn.TEXTAFTER(Table1[[#This Row],[Location Identifier]],"-")</f>
        <v>LON-004</v>
      </c>
      <c r="AP1077" s="9">
        <f t="shared" ca="1" si="160"/>
        <v>45869</v>
      </c>
    </row>
    <row r="1078" spans="1:42" x14ac:dyDescent="0.25">
      <c r="A1078">
        <v>13</v>
      </c>
      <c r="B1078" t="s">
        <v>51</v>
      </c>
      <c r="C1078">
        <v>5</v>
      </c>
      <c r="D1078" t="s">
        <v>112</v>
      </c>
      <c r="E1078" t="b">
        <v>1</v>
      </c>
      <c r="F1078" s="1">
        <v>0.71736111111111112</v>
      </c>
      <c r="G1078" s="1">
        <v>0.79166666666666663</v>
      </c>
      <c r="H1078">
        <v>107</v>
      </c>
      <c r="I1078" t="b">
        <v>0</v>
      </c>
      <c r="J1078" t="b">
        <v>0</v>
      </c>
      <c r="K1078" t="b">
        <v>0</v>
      </c>
      <c r="L1078" t="s">
        <v>28</v>
      </c>
      <c r="M1078">
        <v>70</v>
      </c>
      <c r="N1078" t="s">
        <v>29</v>
      </c>
      <c r="O1078">
        <v>70</v>
      </c>
      <c r="P1078" t="s">
        <v>36</v>
      </c>
      <c r="Q1078">
        <v>0</v>
      </c>
      <c r="R1078">
        <v>70</v>
      </c>
      <c r="S1078" t="s">
        <v>53</v>
      </c>
      <c r="T1078" t="s">
        <v>56</v>
      </c>
      <c r="U1078">
        <v>35.3733</v>
      </c>
      <c r="V1078">
        <v>-119.0187</v>
      </c>
      <c r="W1078" s="2">
        <v>45107</v>
      </c>
      <c r="X1078">
        <v>0</v>
      </c>
      <c r="Y1078" t="b">
        <v>1</v>
      </c>
      <c r="Z1078" s="2">
        <v>45820</v>
      </c>
      <c r="AA1078" t="str">
        <f t="shared" si="161"/>
        <v>10–19</v>
      </c>
      <c r="AB1078" t="str">
        <f t="shared" si="162"/>
        <v>Under 16</v>
      </c>
      <c r="AC1078" t="str">
        <f t="shared" si="163"/>
        <v>Monday</v>
      </c>
      <c r="AD1078" t="str">
        <f t="shared" si="164"/>
        <v/>
      </c>
      <c r="AE1078" t="str">
        <f t="shared" si="165"/>
        <v/>
      </c>
      <c r="AF1078" t="str">
        <f t="shared" si="166"/>
        <v>Thursday</v>
      </c>
      <c r="AG1078" t="str">
        <f t="shared" si="167"/>
        <v>Friday</v>
      </c>
      <c r="AH1078" t="str">
        <f t="shared" si="168"/>
        <v>Saturday</v>
      </c>
      <c r="AI1078" t="str">
        <f t="shared" si="169"/>
        <v>Sunday</v>
      </c>
      <c r="AJ1078" t="str">
        <f>LEFT(Table1[[#This Row],[membership_type]],2)&amp;TEXT(Table1[[#This Row],[age]],"00")&amp;"-"&amp;TEXT(ROW(),"000")</f>
        <v>El13-1078</v>
      </c>
      <c r="AK1078" t="str">
        <f>LEFT(Table1[[#This Row],[membership_type]],1)&amp;TEXT(MATCH(Table1[[#This Row],[membership_type]],Table1[membership_type],0),"00")</f>
        <v>E07</v>
      </c>
      <c r="AL1078" t="str">
        <f>LEFT(Table1[[#This Row],[discount_type]],1)&amp;TEXT(ROUND(Table1[[#This Row],[discount_rate]]*100,0),"00")</f>
        <v>N00</v>
      </c>
      <c r="AM1078" t="str" cm="1">
        <f t="array" ref="AM1078">TEXT(SUMPRODUCT(CODE(MID(Table1[[#This Row],[home_gym_location]],_xlfn.SEQUENCE(LEN(Table1[[#This Row],[home_gym_location]])),1))),"00000")</f>
        <v>01324</v>
      </c>
      <c r="AN107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78" t="str">
        <f>LEFT(_xlfn.TEXTBEFORE(Table1[[#This Row],[Location Identifier]],"-"),3) &amp; "-" &amp; _xlfn.TEXTAFTER(Table1[[#This Row],[Location Identifier]],"-")</f>
        <v>BAK-002</v>
      </c>
      <c r="AP1078" s="9">
        <f t="shared" ca="1" si="160"/>
        <v>45869</v>
      </c>
    </row>
    <row r="1079" spans="1:42" x14ac:dyDescent="0.25">
      <c r="A1079">
        <v>22</v>
      </c>
      <c r="B1079" t="s">
        <v>26</v>
      </c>
      <c r="C1079">
        <v>1</v>
      </c>
      <c r="D1079" t="s">
        <v>67</v>
      </c>
      <c r="E1079" t="b">
        <v>0</v>
      </c>
      <c r="F1079" s="1">
        <v>0.40486111111111112</v>
      </c>
      <c r="G1079" s="1">
        <v>0.44236111111111109</v>
      </c>
      <c r="H1079">
        <v>54</v>
      </c>
      <c r="I1079" t="b">
        <v>1</v>
      </c>
      <c r="J1079" t="b">
        <v>0</v>
      </c>
      <c r="K1079" t="b">
        <v>0</v>
      </c>
      <c r="L1079" t="s">
        <v>28</v>
      </c>
      <c r="M1079">
        <v>50</v>
      </c>
      <c r="N1079" t="s">
        <v>29</v>
      </c>
      <c r="O1079">
        <v>50</v>
      </c>
      <c r="P1079" t="s">
        <v>30</v>
      </c>
      <c r="Q1079">
        <v>0.05</v>
      </c>
      <c r="R1079">
        <v>47.5</v>
      </c>
      <c r="S1079" t="s">
        <v>31</v>
      </c>
      <c r="T1079" t="s">
        <v>56</v>
      </c>
      <c r="U1079">
        <v>35.3733</v>
      </c>
      <c r="V1079">
        <v>-119.0187</v>
      </c>
      <c r="W1079" s="2">
        <v>45598</v>
      </c>
      <c r="X1079">
        <v>0</v>
      </c>
      <c r="Y1079" t="b">
        <v>1</v>
      </c>
      <c r="Z1079" s="2">
        <v>45847</v>
      </c>
      <c r="AA1079" t="str">
        <f t="shared" si="161"/>
        <v>20–29</v>
      </c>
      <c r="AB1079" t="str">
        <f t="shared" si="162"/>
        <v>20–29</v>
      </c>
      <c r="AC1079" t="str">
        <f t="shared" si="163"/>
        <v/>
      </c>
      <c r="AD1079" t="str">
        <f t="shared" si="164"/>
        <v/>
      </c>
      <c r="AE1079" t="str">
        <f t="shared" si="165"/>
        <v/>
      </c>
      <c r="AF1079" t="str">
        <f t="shared" si="166"/>
        <v>Thursday</v>
      </c>
      <c r="AG1079" t="str">
        <f t="shared" si="167"/>
        <v/>
      </c>
      <c r="AH1079" t="str">
        <f t="shared" si="168"/>
        <v/>
      </c>
      <c r="AI1079" t="str">
        <f t="shared" si="169"/>
        <v/>
      </c>
      <c r="AJ1079" t="str">
        <f>LEFT(Table1[[#This Row],[membership_type]],2)&amp;TEXT(Table1[[#This Row],[age]],"00")&amp;"-"&amp;TEXT(ROW(),"000")</f>
        <v>Pr22-1079</v>
      </c>
      <c r="AK1079" t="str">
        <f>LEFT(Table1[[#This Row],[membership_type]],1)&amp;TEXT(MATCH(Table1[[#This Row],[membership_type]],Table1[membership_type],0),"00")</f>
        <v>P01</v>
      </c>
      <c r="AL1079" t="str">
        <f>LEFT(Table1[[#This Row],[discount_type]],1)&amp;TEXT(ROUND(Table1[[#This Row],[discount_rate]]*100,0),"00")</f>
        <v>P05</v>
      </c>
      <c r="AM1079" t="str" cm="1">
        <f t="array" ref="AM1079">TEXT(SUMPRODUCT(CODE(MID(Table1[[#This Row],[home_gym_location]],_xlfn.SEQUENCE(LEN(Table1[[#This Row],[home_gym_location]])),1))),"00000")</f>
        <v>01324</v>
      </c>
      <c r="AN107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79" t="str">
        <f>LEFT(_xlfn.TEXTBEFORE(Table1[[#This Row],[Location Identifier]],"-"),3) &amp; "-" &amp; _xlfn.TEXTAFTER(Table1[[#This Row],[Location Identifier]],"-")</f>
        <v>BAK-002</v>
      </c>
      <c r="AP1079" s="9">
        <f t="shared" ca="1" si="160"/>
        <v>45869</v>
      </c>
    </row>
    <row r="1080" spans="1:42" x14ac:dyDescent="0.25">
      <c r="A1080">
        <v>30</v>
      </c>
      <c r="B1080" t="s">
        <v>42</v>
      </c>
      <c r="C1080">
        <v>5</v>
      </c>
      <c r="D1080" t="s">
        <v>72</v>
      </c>
      <c r="E1080" t="b">
        <v>0</v>
      </c>
      <c r="F1080" s="1">
        <v>0.72847222222222219</v>
      </c>
      <c r="G1080" s="1">
        <v>0.76736111111111116</v>
      </c>
      <c r="H1080">
        <v>56</v>
      </c>
      <c r="I1080" t="b">
        <v>0</v>
      </c>
      <c r="J1080" t="b">
        <v>1</v>
      </c>
      <c r="K1080" t="b">
        <v>0</v>
      </c>
      <c r="L1080" t="s">
        <v>35</v>
      </c>
      <c r="M1080">
        <v>20</v>
      </c>
      <c r="N1080" t="s">
        <v>29</v>
      </c>
      <c r="O1080">
        <v>20</v>
      </c>
      <c r="P1080" t="s">
        <v>74</v>
      </c>
      <c r="Q1080">
        <v>0.15</v>
      </c>
      <c r="R1080">
        <v>17</v>
      </c>
      <c r="S1080" t="s">
        <v>44</v>
      </c>
      <c r="T1080" t="s">
        <v>38</v>
      </c>
      <c r="U1080">
        <v>36.7378</v>
      </c>
      <c r="V1080">
        <v>-119.7871</v>
      </c>
      <c r="W1080" s="2">
        <v>44819</v>
      </c>
      <c r="X1080">
        <v>1</v>
      </c>
      <c r="Y1080" t="b">
        <v>1</v>
      </c>
      <c r="Z1080" s="2">
        <v>45804</v>
      </c>
      <c r="AA1080" t="str">
        <f t="shared" si="161"/>
        <v>30–39</v>
      </c>
      <c r="AB1080" t="str">
        <f t="shared" si="162"/>
        <v>30–39</v>
      </c>
      <c r="AC1080" t="str">
        <f t="shared" si="163"/>
        <v>Monday</v>
      </c>
      <c r="AD1080" t="str">
        <f t="shared" si="164"/>
        <v/>
      </c>
      <c r="AE1080" t="str">
        <f t="shared" si="165"/>
        <v>Wednesday</v>
      </c>
      <c r="AF1080" t="str">
        <f t="shared" si="166"/>
        <v>Thursday</v>
      </c>
      <c r="AG1080" t="str">
        <f t="shared" si="167"/>
        <v>Friday</v>
      </c>
      <c r="AH1080" t="str">
        <f t="shared" si="168"/>
        <v/>
      </c>
      <c r="AI1080" t="str">
        <f t="shared" si="169"/>
        <v>Sunday</v>
      </c>
      <c r="AJ1080" t="str">
        <f>LEFT(Table1[[#This Row],[membership_type]],2)&amp;TEXT(Table1[[#This Row],[age]],"00")&amp;"-"&amp;TEXT(ROW(),"000")</f>
        <v>Ba30-1080</v>
      </c>
      <c r="AK1080" t="str">
        <f>LEFT(Table1[[#This Row],[membership_type]],1)&amp;TEXT(MATCH(Table1[[#This Row],[membership_type]],Table1[membership_type],0),"00")</f>
        <v>B04</v>
      </c>
      <c r="AL1080" t="str">
        <f>LEFT(Table1[[#This Row],[discount_type]],1)&amp;TEXT(ROUND(Table1[[#This Row],[discount_rate]]*100,0),"00")</f>
        <v>S15</v>
      </c>
      <c r="AM1080" t="str" cm="1">
        <f t="array" ref="AM1080">TEXT(SUMPRODUCT(CODE(MID(Table1[[#This Row],[home_gym_location]],_xlfn.SEQUENCE(LEN(Table1[[#This Row],[home_gym_location]])),1))),"00000")</f>
        <v>00829</v>
      </c>
      <c r="AN1080" t="str">
        <f>UPPER(_xlfn.TEXTBEFORE(Table1[[#This Row],[home_gym_location]],","))&amp;"-"&amp;TEXT(MATCH(Table1[[#This Row],[home_gym_location]],_xlfn._xlws.SORT(_xlfn.UNIQUE(Table1[home_gym_location])),0),"000")</f>
        <v>FRESNO-003</v>
      </c>
      <c r="AO1080" t="str">
        <f>LEFT(_xlfn.TEXTBEFORE(Table1[[#This Row],[Location Identifier]],"-"),3) &amp; "-" &amp; _xlfn.TEXTAFTER(Table1[[#This Row],[Location Identifier]],"-")</f>
        <v>FRE-003</v>
      </c>
      <c r="AP1080" s="9">
        <f t="shared" ca="1" si="160"/>
        <v>45869</v>
      </c>
    </row>
    <row r="1081" spans="1:42" x14ac:dyDescent="0.25">
      <c r="A1081">
        <v>36</v>
      </c>
      <c r="B1081" t="s">
        <v>26</v>
      </c>
      <c r="C1081">
        <v>3</v>
      </c>
      <c r="D1081" t="s">
        <v>91</v>
      </c>
      <c r="E1081" t="b">
        <v>0</v>
      </c>
      <c r="F1081" s="1">
        <v>0.46250000000000002</v>
      </c>
      <c r="G1081" s="1">
        <v>0.48888888888888887</v>
      </c>
      <c r="H1081">
        <v>38</v>
      </c>
      <c r="I1081" t="b">
        <v>1</v>
      </c>
      <c r="J1081" t="b">
        <v>1</v>
      </c>
      <c r="K1081" t="b">
        <v>0</v>
      </c>
      <c r="L1081" t="s">
        <v>62</v>
      </c>
      <c r="M1081">
        <v>50</v>
      </c>
      <c r="N1081" t="s">
        <v>29</v>
      </c>
      <c r="O1081">
        <v>50</v>
      </c>
      <c r="P1081" t="s">
        <v>40</v>
      </c>
      <c r="Q1081">
        <v>0.1</v>
      </c>
      <c r="R1081">
        <v>45</v>
      </c>
      <c r="S1081" t="s">
        <v>31</v>
      </c>
      <c r="T1081" t="s">
        <v>45</v>
      </c>
      <c r="U1081">
        <v>33.836599999999997</v>
      </c>
      <c r="V1081">
        <v>-117.9143</v>
      </c>
      <c r="W1081" s="2">
        <v>44993</v>
      </c>
      <c r="X1081">
        <v>2</v>
      </c>
      <c r="Y1081" t="b">
        <v>1</v>
      </c>
      <c r="Z1081" s="2">
        <v>45813</v>
      </c>
      <c r="AA1081" t="str">
        <f t="shared" si="161"/>
        <v>30–39</v>
      </c>
      <c r="AB1081" t="str">
        <f t="shared" si="162"/>
        <v>30–39</v>
      </c>
      <c r="AC1081" t="str">
        <f t="shared" si="163"/>
        <v>Monday</v>
      </c>
      <c r="AD1081" t="str">
        <f t="shared" si="164"/>
        <v/>
      </c>
      <c r="AE1081" t="str">
        <f t="shared" si="165"/>
        <v/>
      </c>
      <c r="AF1081" t="str">
        <f t="shared" si="166"/>
        <v>Thursday</v>
      </c>
      <c r="AG1081" t="str">
        <f t="shared" si="167"/>
        <v/>
      </c>
      <c r="AH1081" t="str">
        <f t="shared" si="168"/>
        <v>Saturday</v>
      </c>
      <c r="AI1081" t="str">
        <f t="shared" si="169"/>
        <v/>
      </c>
      <c r="AJ1081" t="str">
        <f>LEFT(Table1[[#This Row],[membership_type]],2)&amp;TEXT(Table1[[#This Row],[age]],"00")&amp;"-"&amp;TEXT(ROW(),"000")</f>
        <v>Pr36-1081</v>
      </c>
      <c r="AK1081" t="str">
        <f>LEFT(Table1[[#This Row],[membership_type]],1)&amp;TEXT(MATCH(Table1[[#This Row],[membership_type]],Table1[membership_type],0),"00")</f>
        <v>P01</v>
      </c>
      <c r="AL1081" t="str">
        <f>LEFT(Table1[[#This Row],[discount_type]],1)&amp;TEXT(ROUND(Table1[[#This Row],[discount_rate]]*100,0),"00")</f>
        <v>L10</v>
      </c>
      <c r="AM1081" t="str" cm="1">
        <f t="array" ref="AM1081">TEXT(SUMPRODUCT(CODE(MID(Table1[[#This Row],[home_gym_location]],_xlfn.SEQUENCE(LEN(Table1[[#This Row],[home_gym_location]])),1))),"00000")</f>
        <v>00899</v>
      </c>
      <c r="AN108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81" t="str">
        <f>LEFT(_xlfn.TEXTBEFORE(Table1[[#This Row],[Location Identifier]],"-"),3) &amp; "-" &amp; _xlfn.TEXTAFTER(Table1[[#This Row],[Location Identifier]],"-")</f>
        <v>ANA-001</v>
      </c>
      <c r="AP1081" s="9">
        <f t="shared" ca="1" si="160"/>
        <v>45869</v>
      </c>
    </row>
    <row r="1082" spans="1:42" x14ac:dyDescent="0.25">
      <c r="A1082">
        <v>30</v>
      </c>
      <c r="B1082" t="s">
        <v>26</v>
      </c>
      <c r="C1082">
        <v>1</v>
      </c>
      <c r="D1082" t="s">
        <v>75</v>
      </c>
      <c r="E1082" t="b">
        <v>0</v>
      </c>
      <c r="F1082" s="1">
        <v>0.69027777777777777</v>
      </c>
      <c r="G1082" s="1">
        <v>0.79305555555555551</v>
      </c>
      <c r="H1082">
        <v>148</v>
      </c>
      <c r="I1082" t="b">
        <v>0</v>
      </c>
      <c r="J1082" t="b">
        <v>0</v>
      </c>
      <c r="K1082" t="b">
        <v>1</v>
      </c>
      <c r="L1082" t="s">
        <v>62</v>
      </c>
      <c r="M1082">
        <v>50</v>
      </c>
      <c r="N1082" t="s">
        <v>29</v>
      </c>
      <c r="O1082">
        <v>50</v>
      </c>
      <c r="P1082" t="s">
        <v>36</v>
      </c>
      <c r="Q1082">
        <v>0</v>
      </c>
      <c r="R1082">
        <v>50</v>
      </c>
      <c r="S1082" t="s">
        <v>31</v>
      </c>
      <c r="T1082" t="s">
        <v>56</v>
      </c>
      <c r="U1082">
        <v>35.3733</v>
      </c>
      <c r="V1082">
        <v>-119.0187</v>
      </c>
      <c r="W1082" s="2">
        <v>45735</v>
      </c>
      <c r="X1082">
        <v>0</v>
      </c>
      <c r="Y1082" t="b">
        <v>1</v>
      </c>
      <c r="Z1082" s="2">
        <v>45855</v>
      </c>
      <c r="AA1082" t="str">
        <f t="shared" si="161"/>
        <v>30–39</v>
      </c>
      <c r="AB1082" t="str">
        <f t="shared" si="162"/>
        <v>30–39</v>
      </c>
      <c r="AC1082" t="str">
        <f t="shared" si="163"/>
        <v/>
      </c>
      <c r="AD1082" t="str">
        <f t="shared" si="164"/>
        <v/>
      </c>
      <c r="AE1082" t="str">
        <f t="shared" si="165"/>
        <v/>
      </c>
      <c r="AF1082" t="str">
        <f t="shared" si="166"/>
        <v/>
      </c>
      <c r="AG1082" t="str">
        <f t="shared" si="167"/>
        <v>Friday</v>
      </c>
      <c r="AH1082" t="str">
        <f t="shared" si="168"/>
        <v/>
      </c>
      <c r="AI1082" t="str">
        <f t="shared" si="169"/>
        <v/>
      </c>
      <c r="AJ1082" t="str">
        <f>LEFT(Table1[[#This Row],[membership_type]],2)&amp;TEXT(Table1[[#This Row],[age]],"00")&amp;"-"&amp;TEXT(ROW(),"000")</f>
        <v>Pr30-1082</v>
      </c>
      <c r="AK1082" t="str">
        <f>LEFT(Table1[[#This Row],[membership_type]],1)&amp;TEXT(MATCH(Table1[[#This Row],[membership_type]],Table1[membership_type],0),"00")</f>
        <v>P01</v>
      </c>
      <c r="AL1082" t="str">
        <f>LEFT(Table1[[#This Row],[discount_type]],1)&amp;TEXT(ROUND(Table1[[#This Row],[discount_rate]]*100,0),"00")</f>
        <v>N00</v>
      </c>
      <c r="AM1082" t="str" cm="1">
        <f t="array" ref="AM1082">TEXT(SUMPRODUCT(CODE(MID(Table1[[#This Row],[home_gym_location]],_xlfn.SEQUENCE(LEN(Table1[[#This Row],[home_gym_location]])),1))),"00000")</f>
        <v>01324</v>
      </c>
      <c r="AN108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82" t="str">
        <f>LEFT(_xlfn.TEXTBEFORE(Table1[[#This Row],[Location Identifier]],"-"),3) &amp; "-" &amp; _xlfn.TEXTAFTER(Table1[[#This Row],[Location Identifier]],"-")</f>
        <v>BAK-002</v>
      </c>
      <c r="AP1082" s="9">
        <f t="shared" ca="1" si="160"/>
        <v>45869</v>
      </c>
    </row>
    <row r="1083" spans="1:42" x14ac:dyDescent="0.25">
      <c r="A1083">
        <v>29</v>
      </c>
      <c r="B1083" t="s">
        <v>26</v>
      </c>
      <c r="C1083">
        <v>5</v>
      </c>
      <c r="D1083" t="s">
        <v>160</v>
      </c>
      <c r="E1083" t="b">
        <v>0</v>
      </c>
      <c r="F1083" s="1">
        <v>0.75972222222222219</v>
      </c>
      <c r="G1083" s="1">
        <v>0.87777777777777777</v>
      </c>
      <c r="H1083">
        <v>170</v>
      </c>
      <c r="I1083" t="b">
        <v>0</v>
      </c>
      <c r="J1083" t="b">
        <v>0</v>
      </c>
      <c r="K1083" t="b">
        <v>0</v>
      </c>
      <c r="L1083" t="s">
        <v>28</v>
      </c>
      <c r="M1083">
        <v>50</v>
      </c>
      <c r="N1083" t="s">
        <v>29</v>
      </c>
      <c r="O1083">
        <v>50</v>
      </c>
      <c r="P1083" t="s">
        <v>40</v>
      </c>
      <c r="Q1083">
        <v>0.1</v>
      </c>
      <c r="R1083">
        <v>45</v>
      </c>
      <c r="S1083" t="s">
        <v>31</v>
      </c>
      <c r="T1083" t="s">
        <v>65</v>
      </c>
      <c r="U1083">
        <v>33.770099999999999</v>
      </c>
      <c r="V1083">
        <v>-118.19370000000001</v>
      </c>
      <c r="W1083" s="2">
        <v>45386</v>
      </c>
      <c r="X1083">
        <v>0</v>
      </c>
      <c r="Y1083" t="b">
        <v>1</v>
      </c>
      <c r="Z1083" s="2">
        <v>45835</v>
      </c>
      <c r="AA1083" t="str">
        <f t="shared" si="161"/>
        <v>20–29</v>
      </c>
      <c r="AB1083" t="str">
        <f t="shared" si="162"/>
        <v>20–29</v>
      </c>
      <c r="AC1083" t="str">
        <f t="shared" si="163"/>
        <v>Monday</v>
      </c>
      <c r="AD1083" t="str">
        <f t="shared" si="164"/>
        <v>Tuesday</v>
      </c>
      <c r="AE1083" t="str">
        <f t="shared" si="165"/>
        <v/>
      </c>
      <c r="AF1083" t="str">
        <f t="shared" si="166"/>
        <v>Thursday</v>
      </c>
      <c r="AG1083" t="str">
        <f t="shared" si="167"/>
        <v/>
      </c>
      <c r="AH1083" t="str">
        <f t="shared" si="168"/>
        <v>Saturday</v>
      </c>
      <c r="AI1083" t="str">
        <f t="shared" si="169"/>
        <v>Sunday</v>
      </c>
      <c r="AJ1083" t="str">
        <f>LEFT(Table1[[#This Row],[membership_type]],2)&amp;TEXT(Table1[[#This Row],[age]],"00")&amp;"-"&amp;TEXT(ROW(),"000")</f>
        <v>Pr29-1083</v>
      </c>
      <c r="AK1083" t="str">
        <f>LEFT(Table1[[#This Row],[membership_type]],1)&amp;TEXT(MATCH(Table1[[#This Row],[membership_type]],Table1[membership_type],0),"00")</f>
        <v>P01</v>
      </c>
      <c r="AL1083" t="str">
        <f>LEFT(Table1[[#This Row],[discount_type]],1)&amp;TEXT(ROUND(Table1[[#This Row],[discount_rate]]*100,0),"00")</f>
        <v>L10</v>
      </c>
      <c r="AM1083" t="str" cm="1">
        <f t="array" ref="AM1083">TEXT(SUMPRODUCT(CODE(MID(Table1[[#This Row],[home_gym_location]],_xlfn.SEQUENCE(LEN(Table1[[#This Row],[home_gym_location]])),1))),"00000")</f>
        <v>01107</v>
      </c>
      <c r="AN108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83" t="str">
        <f>LEFT(_xlfn.TEXTBEFORE(Table1[[#This Row],[Location Identifier]],"-"),3) &amp; "-" &amp; _xlfn.TEXTAFTER(Table1[[#This Row],[Location Identifier]],"-")</f>
        <v>LON-004</v>
      </c>
      <c r="AP1083" s="9">
        <f t="shared" ca="1" si="160"/>
        <v>45869</v>
      </c>
    </row>
    <row r="1084" spans="1:42" x14ac:dyDescent="0.25">
      <c r="A1084">
        <v>13</v>
      </c>
      <c r="B1084" t="s">
        <v>26</v>
      </c>
      <c r="C1084">
        <v>2</v>
      </c>
      <c r="D1084" t="s">
        <v>43</v>
      </c>
      <c r="E1084" t="b">
        <v>0</v>
      </c>
      <c r="F1084" s="1">
        <v>0.7270833333333333</v>
      </c>
      <c r="G1084" s="1">
        <v>0.8</v>
      </c>
      <c r="H1084">
        <v>105</v>
      </c>
      <c r="I1084" t="b">
        <v>0</v>
      </c>
      <c r="J1084" t="b">
        <v>0</v>
      </c>
      <c r="K1084" t="b">
        <v>0</v>
      </c>
      <c r="L1084" t="s">
        <v>47</v>
      </c>
      <c r="M1084">
        <v>50</v>
      </c>
      <c r="N1084" t="s">
        <v>64</v>
      </c>
      <c r="O1084">
        <v>37.5</v>
      </c>
      <c r="P1084" t="s">
        <v>30</v>
      </c>
      <c r="Q1084">
        <v>0.05</v>
      </c>
      <c r="R1084">
        <v>35.625</v>
      </c>
      <c r="S1084" t="s">
        <v>31</v>
      </c>
      <c r="T1084" t="s">
        <v>32</v>
      </c>
      <c r="U1084">
        <v>37.338200000000001</v>
      </c>
      <c r="V1084">
        <v>-121.88630000000001</v>
      </c>
      <c r="W1084" s="2">
        <v>44894</v>
      </c>
      <c r="X1084">
        <v>0</v>
      </c>
      <c r="Y1084" t="b">
        <v>1</v>
      </c>
      <c r="Z1084" s="2">
        <v>45808</v>
      </c>
      <c r="AA1084" t="str">
        <f t="shared" si="161"/>
        <v>10–19</v>
      </c>
      <c r="AB1084" t="str">
        <f t="shared" si="162"/>
        <v>Under 16</v>
      </c>
      <c r="AC1084" t="str">
        <f t="shared" si="163"/>
        <v>Monday</v>
      </c>
      <c r="AD1084" t="str">
        <f t="shared" si="164"/>
        <v>Tuesday</v>
      </c>
      <c r="AE1084" t="str">
        <f t="shared" si="165"/>
        <v/>
      </c>
      <c r="AF1084" t="str">
        <f t="shared" si="166"/>
        <v/>
      </c>
      <c r="AG1084" t="str">
        <f t="shared" si="167"/>
        <v/>
      </c>
      <c r="AH1084" t="str">
        <f t="shared" si="168"/>
        <v/>
      </c>
      <c r="AI1084" t="str">
        <f t="shared" si="169"/>
        <v/>
      </c>
      <c r="AJ1084" t="str">
        <f>LEFT(Table1[[#This Row],[membership_type]],2)&amp;TEXT(Table1[[#This Row],[age]],"00")&amp;"-"&amp;TEXT(ROW(),"000")</f>
        <v>Pr13-1084</v>
      </c>
      <c r="AK1084" t="str">
        <f>LEFT(Table1[[#This Row],[membership_type]],1)&amp;TEXT(MATCH(Table1[[#This Row],[membership_type]],Table1[membership_type],0),"00")</f>
        <v>P01</v>
      </c>
      <c r="AL1084" t="str">
        <f>LEFT(Table1[[#This Row],[discount_type]],1)&amp;TEXT(ROUND(Table1[[#This Row],[discount_rate]]*100,0),"00")</f>
        <v>P05</v>
      </c>
      <c r="AM1084" t="str" cm="1">
        <f t="array" ref="AM1084">TEXT(SUMPRODUCT(CODE(MID(Table1[[#This Row],[home_gym_location]],_xlfn.SEQUENCE(LEN(Table1[[#This Row],[home_gym_location]])),1))),"00000")</f>
        <v>00931</v>
      </c>
      <c r="AN108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84" t="str">
        <f>LEFT(_xlfn.TEXTBEFORE(Table1[[#This Row],[Location Identifier]],"-"),3) &amp; "-" &amp; _xlfn.TEXTAFTER(Table1[[#This Row],[Location Identifier]],"-")</f>
        <v>SAN-010</v>
      </c>
      <c r="AP1084" s="9">
        <f t="shared" ca="1" si="160"/>
        <v>45869</v>
      </c>
    </row>
    <row r="1085" spans="1:42" x14ac:dyDescent="0.25">
      <c r="A1085">
        <v>14</v>
      </c>
      <c r="B1085" t="s">
        <v>26</v>
      </c>
      <c r="C1085">
        <v>5</v>
      </c>
      <c r="D1085" t="s">
        <v>104</v>
      </c>
      <c r="E1085" t="b">
        <v>1</v>
      </c>
      <c r="F1085" s="1">
        <v>0.45069444444444445</v>
      </c>
      <c r="G1085" s="1">
        <v>0.52777777777777779</v>
      </c>
      <c r="H1085">
        <v>111</v>
      </c>
      <c r="I1085" t="b">
        <v>1</v>
      </c>
      <c r="J1085" t="b">
        <v>0</v>
      </c>
      <c r="K1085" t="b">
        <v>0</v>
      </c>
      <c r="L1085" t="s">
        <v>28</v>
      </c>
      <c r="M1085">
        <v>50</v>
      </c>
      <c r="N1085" t="s">
        <v>64</v>
      </c>
      <c r="O1085">
        <v>37.5</v>
      </c>
      <c r="P1085" t="s">
        <v>74</v>
      </c>
      <c r="Q1085">
        <v>0.15</v>
      </c>
      <c r="R1085">
        <v>31.875</v>
      </c>
      <c r="S1085" t="s">
        <v>31</v>
      </c>
      <c r="T1085" t="s">
        <v>56</v>
      </c>
      <c r="U1085">
        <v>35.3733</v>
      </c>
      <c r="V1085">
        <v>-119.0187</v>
      </c>
      <c r="W1085" s="2">
        <v>44824</v>
      </c>
      <c r="X1085">
        <v>0</v>
      </c>
      <c r="Y1085" t="b">
        <v>1</v>
      </c>
      <c r="Z1085" s="2">
        <v>45804</v>
      </c>
      <c r="AA1085" t="str">
        <f t="shared" si="161"/>
        <v>10–19</v>
      </c>
      <c r="AB1085" t="str">
        <f t="shared" si="162"/>
        <v>Under 16</v>
      </c>
      <c r="AC1085" t="str">
        <f t="shared" si="163"/>
        <v/>
      </c>
      <c r="AD1085" t="str">
        <f t="shared" si="164"/>
        <v>Tuesday</v>
      </c>
      <c r="AE1085" t="str">
        <f t="shared" si="165"/>
        <v>Wednesday</v>
      </c>
      <c r="AF1085" t="str">
        <f t="shared" si="166"/>
        <v>Thursday</v>
      </c>
      <c r="AG1085" t="str">
        <f t="shared" si="167"/>
        <v/>
      </c>
      <c r="AH1085" t="str">
        <f t="shared" si="168"/>
        <v>Saturday</v>
      </c>
      <c r="AI1085" t="str">
        <f t="shared" si="169"/>
        <v>Sunday</v>
      </c>
      <c r="AJ1085" t="str">
        <f>LEFT(Table1[[#This Row],[membership_type]],2)&amp;TEXT(Table1[[#This Row],[age]],"00")&amp;"-"&amp;TEXT(ROW(),"000")</f>
        <v>Pr14-1085</v>
      </c>
      <c r="AK1085" t="str">
        <f>LEFT(Table1[[#This Row],[membership_type]],1)&amp;TEXT(MATCH(Table1[[#This Row],[membership_type]],Table1[membership_type],0),"00")</f>
        <v>P01</v>
      </c>
      <c r="AL1085" t="str">
        <f>LEFT(Table1[[#This Row],[discount_type]],1)&amp;TEXT(ROUND(Table1[[#This Row],[discount_rate]]*100,0),"00")</f>
        <v>S15</v>
      </c>
      <c r="AM1085" t="str" cm="1">
        <f t="array" ref="AM1085">TEXT(SUMPRODUCT(CODE(MID(Table1[[#This Row],[home_gym_location]],_xlfn.SEQUENCE(LEN(Table1[[#This Row],[home_gym_location]])),1))),"00000")</f>
        <v>01324</v>
      </c>
      <c r="AN108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085" t="str">
        <f>LEFT(_xlfn.TEXTBEFORE(Table1[[#This Row],[Location Identifier]],"-"),3) &amp; "-" &amp; _xlfn.TEXTAFTER(Table1[[#This Row],[Location Identifier]],"-")</f>
        <v>BAK-002</v>
      </c>
      <c r="AP1085" s="9">
        <f t="shared" ca="1" si="160"/>
        <v>45869</v>
      </c>
    </row>
    <row r="1086" spans="1:42" x14ac:dyDescent="0.25">
      <c r="A1086">
        <v>45</v>
      </c>
      <c r="B1086" t="s">
        <v>26</v>
      </c>
      <c r="C1086">
        <v>5</v>
      </c>
      <c r="D1086" t="s">
        <v>66</v>
      </c>
      <c r="E1086" t="b">
        <v>1</v>
      </c>
      <c r="F1086" s="1">
        <v>0.62430555555555556</v>
      </c>
      <c r="G1086" s="1">
        <v>0.70763888888888893</v>
      </c>
      <c r="H1086">
        <v>120</v>
      </c>
      <c r="I1086" t="b">
        <v>0</v>
      </c>
      <c r="J1086" t="b">
        <v>0</v>
      </c>
      <c r="K1086" t="b">
        <v>1</v>
      </c>
      <c r="L1086" t="s">
        <v>62</v>
      </c>
      <c r="M1086">
        <v>50</v>
      </c>
      <c r="N1086" t="s">
        <v>64</v>
      </c>
      <c r="O1086">
        <v>37.5</v>
      </c>
      <c r="P1086" t="s">
        <v>74</v>
      </c>
      <c r="Q1086">
        <v>0.15</v>
      </c>
      <c r="R1086">
        <v>31.875</v>
      </c>
      <c r="S1086" t="s">
        <v>31</v>
      </c>
      <c r="T1086" t="s">
        <v>59</v>
      </c>
      <c r="U1086">
        <v>37.774900000000002</v>
      </c>
      <c r="V1086">
        <v>-122.4194</v>
      </c>
      <c r="W1086" s="2">
        <v>45333</v>
      </c>
      <c r="X1086">
        <v>0</v>
      </c>
      <c r="Y1086" t="b">
        <v>1</v>
      </c>
      <c r="Z1086" s="2">
        <v>45832</v>
      </c>
      <c r="AA1086" t="str">
        <f t="shared" si="161"/>
        <v>40–49</v>
      </c>
      <c r="AB1086" t="str">
        <f t="shared" si="162"/>
        <v>40–49</v>
      </c>
      <c r="AC1086" t="str">
        <f t="shared" si="163"/>
        <v>Monday</v>
      </c>
      <c r="AD1086" t="str">
        <f t="shared" si="164"/>
        <v>Tuesday</v>
      </c>
      <c r="AE1086" t="str">
        <f t="shared" si="165"/>
        <v>Wednesday</v>
      </c>
      <c r="AF1086" t="str">
        <f t="shared" si="166"/>
        <v/>
      </c>
      <c r="AG1086" t="str">
        <f t="shared" si="167"/>
        <v>Friday</v>
      </c>
      <c r="AH1086" t="str">
        <f t="shared" si="168"/>
        <v/>
      </c>
      <c r="AI1086" t="str">
        <f t="shared" si="169"/>
        <v>Sunday</v>
      </c>
      <c r="AJ1086" t="str">
        <f>LEFT(Table1[[#This Row],[membership_type]],2)&amp;TEXT(Table1[[#This Row],[age]],"00")&amp;"-"&amp;TEXT(ROW(),"000")</f>
        <v>Pr45-1086</v>
      </c>
      <c r="AK1086" t="str">
        <f>LEFT(Table1[[#This Row],[membership_type]],1)&amp;TEXT(MATCH(Table1[[#This Row],[membership_type]],Table1[membership_type],0),"00")</f>
        <v>P01</v>
      </c>
      <c r="AL1086" t="str">
        <f>LEFT(Table1[[#This Row],[discount_type]],1)&amp;TEXT(ROUND(Table1[[#This Row],[discount_rate]]*100,0),"00")</f>
        <v>S15</v>
      </c>
      <c r="AM1086" t="str" cm="1">
        <f t="array" ref="AM1086">TEXT(SUMPRODUCT(CODE(MID(Table1[[#This Row],[home_gym_location]],_xlfn.SEQUENCE(LEN(Table1[[#This Row],[home_gym_location]])),1))),"00000")</f>
        <v>01450</v>
      </c>
      <c r="AN108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086" t="str">
        <f>LEFT(_xlfn.TEXTBEFORE(Table1[[#This Row],[Location Identifier]],"-"),3) &amp; "-" &amp; _xlfn.TEXTAFTER(Table1[[#This Row],[Location Identifier]],"-")</f>
        <v>SAN-009</v>
      </c>
      <c r="AP1086" s="9">
        <f t="shared" ca="1" si="160"/>
        <v>45869</v>
      </c>
    </row>
    <row r="1087" spans="1:42" x14ac:dyDescent="0.25">
      <c r="A1087">
        <v>25</v>
      </c>
      <c r="B1087" t="s">
        <v>33</v>
      </c>
      <c r="C1087">
        <v>2</v>
      </c>
      <c r="D1087" t="s">
        <v>70</v>
      </c>
      <c r="E1087" t="b">
        <v>0</v>
      </c>
      <c r="F1087" s="1">
        <v>0.44305555555555554</v>
      </c>
      <c r="G1087" s="1">
        <v>0.52222222222222225</v>
      </c>
      <c r="H1087">
        <v>114</v>
      </c>
      <c r="I1087" t="b">
        <v>1</v>
      </c>
      <c r="J1087" t="b">
        <v>1</v>
      </c>
      <c r="K1087" t="b">
        <v>0</v>
      </c>
      <c r="L1087" t="s">
        <v>35</v>
      </c>
      <c r="M1087">
        <v>30</v>
      </c>
      <c r="N1087" t="s">
        <v>64</v>
      </c>
      <c r="O1087">
        <v>22.5</v>
      </c>
      <c r="P1087" t="s">
        <v>30</v>
      </c>
      <c r="Q1087">
        <v>0.05</v>
      </c>
      <c r="R1087">
        <v>21.375</v>
      </c>
      <c r="S1087" t="s">
        <v>37</v>
      </c>
      <c r="T1087" t="s">
        <v>48</v>
      </c>
      <c r="U1087">
        <v>38.581600000000002</v>
      </c>
      <c r="V1087">
        <v>-121.4944</v>
      </c>
      <c r="W1087" s="2">
        <v>45177</v>
      </c>
      <c r="X1087">
        <v>1</v>
      </c>
      <c r="Y1087" t="b">
        <v>1</v>
      </c>
      <c r="Z1087" s="2">
        <v>45824</v>
      </c>
      <c r="AA1087" t="str">
        <f t="shared" si="161"/>
        <v>20–29</v>
      </c>
      <c r="AB1087" t="str">
        <f t="shared" si="162"/>
        <v>20–29</v>
      </c>
      <c r="AC1087" t="str">
        <f t="shared" si="163"/>
        <v/>
      </c>
      <c r="AD1087" t="str">
        <f t="shared" si="164"/>
        <v/>
      </c>
      <c r="AE1087" t="str">
        <f t="shared" si="165"/>
        <v>Wednesday</v>
      </c>
      <c r="AF1087" t="str">
        <f t="shared" si="166"/>
        <v>Thursday</v>
      </c>
      <c r="AG1087" t="str">
        <f t="shared" si="167"/>
        <v/>
      </c>
      <c r="AH1087" t="str">
        <f t="shared" si="168"/>
        <v/>
      </c>
      <c r="AI1087" t="str">
        <f t="shared" si="169"/>
        <v/>
      </c>
      <c r="AJ1087" t="str">
        <f>LEFT(Table1[[#This Row],[membership_type]],2)&amp;TEXT(Table1[[#This Row],[age]],"00")&amp;"-"&amp;TEXT(ROW(),"000")</f>
        <v>St25-1087</v>
      </c>
      <c r="AK1087" t="str">
        <f>LEFT(Table1[[#This Row],[membership_type]],1)&amp;TEXT(MATCH(Table1[[#This Row],[membership_type]],Table1[membership_type],0),"00")</f>
        <v>S02</v>
      </c>
      <c r="AL1087" t="str">
        <f>LEFT(Table1[[#This Row],[discount_type]],1)&amp;TEXT(ROUND(Table1[[#This Row],[discount_rate]]*100,0),"00")</f>
        <v>P05</v>
      </c>
      <c r="AM1087" t="str" cm="1">
        <f t="array" ref="AM1087">TEXT(SUMPRODUCT(CODE(MID(Table1[[#This Row],[home_gym_location]],_xlfn.SEQUENCE(LEN(Table1[[#This Row],[home_gym_location]])),1))),"00000")</f>
        <v>01245</v>
      </c>
      <c r="AN108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87" t="str">
        <f>LEFT(_xlfn.TEXTBEFORE(Table1[[#This Row],[Location Identifier]],"-"),3) &amp; "-" &amp; _xlfn.TEXTAFTER(Table1[[#This Row],[Location Identifier]],"-")</f>
        <v>SAC-007</v>
      </c>
      <c r="AP1087" s="9">
        <f t="shared" ca="1" si="160"/>
        <v>45869</v>
      </c>
    </row>
    <row r="1088" spans="1:42" x14ac:dyDescent="0.25">
      <c r="A1088">
        <v>29</v>
      </c>
      <c r="B1088" t="s">
        <v>33</v>
      </c>
      <c r="C1088">
        <v>3</v>
      </c>
      <c r="D1088" t="s">
        <v>91</v>
      </c>
      <c r="E1088" t="b">
        <v>0</v>
      </c>
      <c r="F1088" s="1">
        <v>0.62847222222222221</v>
      </c>
      <c r="G1088" s="1">
        <v>0.67986111111111114</v>
      </c>
      <c r="H1088">
        <v>74</v>
      </c>
      <c r="I1088" t="b">
        <v>0</v>
      </c>
      <c r="J1088" t="b">
        <v>1</v>
      </c>
      <c r="K1088" t="b">
        <v>1</v>
      </c>
      <c r="L1088" t="s">
        <v>35</v>
      </c>
      <c r="M1088">
        <v>30</v>
      </c>
      <c r="N1088" t="s">
        <v>29</v>
      </c>
      <c r="O1088">
        <v>30</v>
      </c>
      <c r="P1088" t="s">
        <v>36</v>
      </c>
      <c r="Q1088">
        <v>0</v>
      </c>
      <c r="R1088">
        <v>30</v>
      </c>
      <c r="S1088" t="s">
        <v>37</v>
      </c>
      <c r="T1088" t="s">
        <v>54</v>
      </c>
      <c r="U1088">
        <v>32.715699999999998</v>
      </c>
      <c r="V1088">
        <v>-117.1611</v>
      </c>
      <c r="W1088" s="2">
        <v>45653</v>
      </c>
      <c r="X1088">
        <v>5</v>
      </c>
      <c r="Y1088" t="b">
        <v>1</v>
      </c>
      <c r="Z1088" s="2">
        <v>45850</v>
      </c>
      <c r="AA1088" t="str">
        <f t="shared" si="161"/>
        <v>20–29</v>
      </c>
      <c r="AB1088" t="str">
        <f t="shared" si="162"/>
        <v>20–29</v>
      </c>
      <c r="AC1088" t="str">
        <f t="shared" si="163"/>
        <v>Monday</v>
      </c>
      <c r="AD1088" t="str">
        <f t="shared" si="164"/>
        <v/>
      </c>
      <c r="AE1088" t="str">
        <f t="shared" si="165"/>
        <v/>
      </c>
      <c r="AF1088" t="str">
        <f t="shared" si="166"/>
        <v>Thursday</v>
      </c>
      <c r="AG1088" t="str">
        <f t="shared" si="167"/>
        <v/>
      </c>
      <c r="AH1088" t="str">
        <f t="shared" si="168"/>
        <v>Saturday</v>
      </c>
      <c r="AI1088" t="str">
        <f t="shared" si="169"/>
        <v/>
      </c>
      <c r="AJ1088" t="str">
        <f>LEFT(Table1[[#This Row],[membership_type]],2)&amp;TEXT(Table1[[#This Row],[age]],"00")&amp;"-"&amp;TEXT(ROW(),"000")</f>
        <v>St29-1088</v>
      </c>
      <c r="AK1088" t="str">
        <f>LEFT(Table1[[#This Row],[membership_type]],1)&amp;TEXT(MATCH(Table1[[#This Row],[membership_type]],Table1[membership_type],0),"00")</f>
        <v>S02</v>
      </c>
      <c r="AL1088" t="str">
        <f>LEFT(Table1[[#This Row],[discount_type]],1)&amp;TEXT(ROUND(Table1[[#This Row],[discount_rate]]*100,0),"00")</f>
        <v>N00</v>
      </c>
      <c r="AM1088" t="str" cm="1">
        <f t="array" ref="AM1088">TEXT(SUMPRODUCT(CODE(MID(Table1[[#This Row],[home_gym_location]],_xlfn.SEQUENCE(LEN(Table1[[#This Row],[home_gym_location]])),1))),"00000")</f>
        <v>01018</v>
      </c>
      <c r="AN108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88" t="str">
        <f>LEFT(_xlfn.TEXTBEFORE(Table1[[#This Row],[Location Identifier]],"-"),3) &amp; "-" &amp; _xlfn.TEXTAFTER(Table1[[#This Row],[Location Identifier]],"-")</f>
        <v>SAN-008</v>
      </c>
      <c r="AP1088" s="9">
        <f t="shared" ca="1" si="160"/>
        <v>45869</v>
      </c>
    </row>
    <row r="1089" spans="1:42" x14ac:dyDescent="0.25">
      <c r="A1089">
        <v>36</v>
      </c>
      <c r="B1089" t="s">
        <v>51</v>
      </c>
      <c r="C1089">
        <v>2</v>
      </c>
      <c r="D1089" t="s">
        <v>103</v>
      </c>
      <c r="E1089" t="b">
        <v>0</v>
      </c>
      <c r="F1089" s="1">
        <v>0.65138888888888891</v>
      </c>
      <c r="G1089" s="1">
        <v>0.73333333333333328</v>
      </c>
      <c r="H1089">
        <v>118</v>
      </c>
      <c r="I1089" t="b">
        <v>0</v>
      </c>
      <c r="J1089" t="b">
        <v>1</v>
      </c>
      <c r="K1089" t="b">
        <v>0</v>
      </c>
      <c r="L1089" t="s">
        <v>62</v>
      </c>
      <c r="M1089">
        <v>70</v>
      </c>
      <c r="N1089" t="s">
        <v>29</v>
      </c>
      <c r="O1089">
        <v>70</v>
      </c>
      <c r="P1089" t="s">
        <v>30</v>
      </c>
      <c r="Q1089">
        <v>0.05</v>
      </c>
      <c r="R1089">
        <v>66.5</v>
      </c>
      <c r="S1089" t="s">
        <v>53</v>
      </c>
      <c r="T1089" t="s">
        <v>50</v>
      </c>
      <c r="U1089">
        <v>34.052199999999999</v>
      </c>
      <c r="V1089">
        <v>-118.2437</v>
      </c>
      <c r="W1089" s="2">
        <v>44775</v>
      </c>
      <c r="X1089">
        <v>4</v>
      </c>
      <c r="Y1089" t="b">
        <v>1</v>
      </c>
      <c r="Z1089" s="2">
        <v>45801</v>
      </c>
      <c r="AA1089" t="str">
        <f t="shared" si="161"/>
        <v>30–39</v>
      </c>
      <c r="AB1089" t="str">
        <f t="shared" si="162"/>
        <v>30–39</v>
      </c>
      <c r="AC1089" t="str">
        <f t="shared" si="163"/>
        <v>Monday</v>
      </c>
      <c r="AD1089" t="str">
        <f t="shared" si="164"/>
        <v/>
      </c>
      <c r="AE1089" t="str">
        <f t="shared" si="165"/>
        <v/>
      </c>
      <c r="AF1089" t="str">
        <f t="shared" si="166"/>
        <v/>
      </c>
      <c r="AG1089" t="str">
        <f t="shared" si="167"/>
        <v/>
      </c>
      <c r="AH1089" t="str">
        <f t="shared" si="168"/>
        <v/>
      </c>
      <c r="AI1089" t="str">
        <f t="shared" si="169"/>
        <v>Sunday</v>
      </c>
      <c r="AJ1089" t="str">
        <f>LEFT(Table1[[#This Row],[membership_type]],2)&amp;TEXT(Table1[[#This Row],[age]],"00")&amp;"-"&amp;TEXT(ROW(),"000")</f>
        <v>El36-1089</v>
      </c>
      <c r="AK1089" t="str">
        <f>LEFT(Table1[[#This Row],[membership_type]],1)&amp;TEXT(MATCH(Table1[[#This Row],[membership_type]],Table1[membership_type],0),"00")</f>
        <v>E07</v>
      </c>
      <c r="AL1089" t="str">
        <f>LEFT(Table1[[#This Row],[discount_type]],1)&amp;TEXT(ROUND(Table1[[#This Row],[discount_rate]]*100,0),"00")</f>
        <v>P05</v>
      </c>
      <c r="AM1089" t="str" cm="1">
        <f t="array" ref="AM1089">TEXT(SUMPRODUCT(CODE(MID(Table1[[#This Row],[home_gym_location]],_xlfn.SEQUENCE(LEN(Table1[[#This Row],[home_gym_location]])),1))),"00000")</f>
        <v>01245</v>
      </c>
      <c r="AN108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89" t="str">
        <f>LEFT(_xlfn.TEXTBEFORE(Table1[[#This Row],[Location Identifier]],"-"),3) &amp; "-" &amp; _xlfn.TEXTAFTER(Table1[[#This Row],[Location Identifier]],"-")</f>
        <v>LOS-005</v>
      </c>
      <c r="AP1089" s="9">
        <f t="shared" ca="1" si="160"/>
        <v>45869</v>
      </c>
    </row>
    <row r="1090" spans="1:42" x14ac:dyDescent="0.25">
      <c r="A1090">
        <v>18</v>
      </c>
      <c r="B1090" t="s">
        <v>26</v>
      </c>
      <c r="C1090">
        <v>4</v>
      </c>
      <c r="D1090" t="s">
        <v>107</v>
      </c>
      <c r="E1090" t="b">
        <v>1</v>
      </c>
      <c r="F1090" s="1">
        <v>0.79722222222222228</v>
      </c>
      <c r="G1090" s="1">
        <v>0.89722222222222225</v>
      </c>
      <c r="H1090">
        <v>144</v>
      </c>
      <c r="I1090" t="b">
        <v>1</v>
      </c>
      <c r="J1090" t="b">
        <v>0</v>
      </c>
      <c r="K1090" t="b">
        <v>0</v>
      </c>
      <c r="L1090" t="s">
        <v>28</v>
      </c>
      <c r="M1090">
        <v>50</v>
      </c>
      <c r="N1090" t="s">
        <v>29</v>
      </c>
      <c r="O1090">
        <v>50</v>
      </c>
      <c r="P1090" t="s">
        <v>36</v>
      </c>
      <c r="Q1090">
        <v>0</v>
      </c>
      <c r="R1090">
        <v>50</v>
      </c>
      <c r="S1090" t="s">
        <v>31</v>
      </c>
      <c r="T1090" t="s">
        <v>54</v>
      </c>
      <c r="U1090">
        <v>32.715699999999998</v>
      </c>
      <c r="V1090">
        <v>-117.1611</v>
      </c>
      <c r="W1090" s="2">
        <v>45584</v>
      </c>
      <c r="X1090">
        <v>0</v>
      </c>
      <c r="Y1090" t="b">
        <v>0</v>
      </c>
      <c r="Z1090" s="2">
        <v>45847</v>
      </c>
      <c r="AA1090" t="str">
        <f t="shared" si="161"/>
        <v>10–19</v>
      </c>
      <c r="AB1090" t="str">
        <f t="shared" si="162"/>
        <v>16–19</v>
      </c>
      <c r="AC1090" t="str">
        <f t="shared" si="163"/>
        <v/>
      </c>
      <c r="AD1090" t="str">
        <f t="shared" si="164"/>
        <v>Tuesday</v>
      </c>
      <c r="AE1090" t="str">
        <f t="shared" si="165"/>
        <v/>
      </c>
      <c r="AF1090" t="str">
        <f t="shared" si="166"/>
        <v/>
      </c>
      <c r="AG1090" t="str">
        <f t="shared" si="167"/>
        <v>Friday</v>
      </c>
      <c r="AH1090" t="str">
        <f t="shared" si="168"/>
        <v>Saturday</v>
      </c>
      <c r="AI1090" t="str">
        <f t="shared" si="169"/>
        <v>Sunday</v>
      </c>
      <c r="AJ1090" t="str">
        <f>LEFT(Table1[[#This Row],[membership_type]],2)&amp;TEXT(Table1[[#This Row],[age]],"00")&amp;"-"&amp;TEXT(ROW(),"000")</f>
        <v>Pr18-1090</v>
      </c>
      <c r="AK1090" t="str">
        <f>LEFT(Table1[[#This Row],[membership_type]],1)&amp;TEXT(MATCH(Table1[[#This Row],[membership_type]],Table1[membership_type],0),"00")</f>
        <v>P01</v>
      </c>
      <c r="AL1090" t="str">
        <f>LEFT(Table1[[#This Row],[discount_type]],1)&amp;TEXT(ROUND(Table1[[#This Row],[discount_rate]]*100,0),"00")</f>
        <v>N00</v>
      </c>
      <c r="AM1090" t="str" cm="1">
        <f t="array" ref="AM1090">TEXT(SUMPRODUCT(CODE(MID(Table1[[#This Row],[home_gym_location]],_xlfn.SEQUENCE(LEN(Table1[[#This Row],[home_gym_location]])),1))),"00000")</f>
        <v>01018</v>
      </c>
      <c r="AN109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90" t="str">
        <f>LEFT(_xlfn.TEXTBEFORE(Table1[[#This Row],[Location Identifier]],"-"),3) &amp; "-" &amp; _xlfn.TEXTAFTER(Table1[[#This Row],[Location Identifier]],"-")</f>
        <v>SAN-008</v>
      </c>
      <c r="AP1090" s="9">
        <f t="shared" ref="AP1090:AP1153" ca="1" si="170">EOMONTH(DATE(YEAR(TODAY()),7,1),0)</f>
        <v>45869</v>
      </c>
    </row>
    <row r="1091" spans="1:42" x14ac:dyDescent="0.25">
      <c r="A1091">
        <v>30</v>
      </c>
      <c r="B1091" t="s">
        <v>42</v>
      </c>
      <c r="C1091">
        <v>2</v>
      </c>
      <c r="D1091" t="s">
        <v>139</v>
      </c>
      <c r="E1091" t="b">
        <v>0</v>
      </c>
      <c r="F1091" s="1">
        <v>0.35972222222222222</v>
      </c>
      <c r="G1091" s="1">
        <v>0.45694444444444443</v>
      </c>
      <c r="H1091">
        <v>140</v>
      </c>
      <c r="I1091" t="b">
        <v>1</v>
      </c>
      <c r="J1091" t="b">
        <v>1</v>
      </c>
      <c r="K1091" t="b">
        <v>0</v>
      </c>
      <c r="L1091" t="s">
        <v>47</v>
      </c>
      <c r="M1091">
        <v>20</v>
      </c>
      <c r="N1091" t="s">
        <v>64</v>
      </c>
      <c r="O1091">
        <v>15</v>
      </c>
      <c r="P1091" t="s">
        <v>36</v>
      </c>
      <c r="Q1091">
        <v>0</v>
      </c>
      <c r="R1091">
        <v>15</v>
      </c>
      <c r="S1091" t="s">
        <v>44</v>
      </c>
      <c r="T1091" t="s">
        <v>48</v>
      </c>
      <c r="U1091">
        <v>38.581600000000002</v>
      </c>
      <c r="V1091">
        <v>-121.4944</v>
      </c>
      <c r="W1091" s="2">
        <v>44826</v>
      </c>
      <c r="X1091">
        <v>6</v>
      </c>
      <c r="Y1091" t="b">
        <v>1</v>
      </c>
      <c r="Z1091" s="2">
        <v>45804</v>
      </c>
      <c r="AA1091" t="str">
        <f t="shared" ref="AA1091:AA1154" si="171">TEXT(10*INT($A1091/10),"0")&amp;"–"&amp;TEXT(10*INT($A1091/10)+9,"0")</f>
        <v>30–39</v>
      </c>
      <c r="AB1091" t="str">
        <f t="shared" ref="AB1091:AB1154" si="172">IF(AND($AA1091 = "10–19", $A1091 &lt; 16), "Under 16", IF(AND($AA1091 = "10–19", $A1091 &gt;= 16), "16–19", $AA1091))</f>
        <v>30–39</v>
      </c>
      <c r="AC1091" t="str">
        <f t="shared" ref="AC1091:AC1154" si="173">IF(ISNUMBER(SEARCH("Mon", $D1091)), "Monday", "")</f>
        <v/>
      </c>
      <c r="AD1091" t="str">
        <f t="shared" ref="AD1091:AD1154" si="174">IF(ISNUMBER(SEARCH("Tue", $D1091)), "Tuesday", "")</f>
        <v/>
      </c>
      <c r="AE1091" t="str">
        <f t="shared" ref="AE1091:AE1154" si="175">IF(ISNUMBER(SEARCH("Wed", $D1091)), "Wednesday", "")</f>
        <v>Wednesday</v>
      </c>
      <c r="AF1091" t="str">
        <f t="shared" ref="AF1091:AF1154" si="176">IF(ISNUMBER(SEARCH("Thu", $D1091)), "Thursday", "")</f>
        <v/>
      </c>
      <c r="AG1091" t="str">
        <f t="shared" ref="AG1091:AG1154" si="177">IF(ISNUMBER(SEARCH("Fri", $D1091)), "Friday", "")</f>
        <v/>
      </c>
      <c r="AH1091" t="str">
        <f t="shared" ref="AH1091:AH1154" si="178">IF(ISNUMBER(SEARCH("Sat", $D1091)), "Saturday", "")</f>
        <v>Saturday</v>
      </c>
      <c r="AI1091" t="str">
        <f t="shared" ref="AI1091:AI1154" si="179">IF(ISNUMBER(SEARCH("Sun", $D1091)), "Sunday", "")</f>
        <v/>
      </c>
      <c r="AJ1091" t="str">
        <f>LEFT(Table1[[#This Row],[membership_type]],2)&amp;TEXT(Table1[[#This Row],[age]],"00")&amp;"-"&amp;TEXT(ROW(),"000")</f>
        <v>Ba30-1091</v>
      </c>
      <c r="AK1091" t="str">
        <f>LEFT(Table1[[#This Row],[membership_type]],1)&amp;TEXT(MATCH(Table1[[#This Row],[membership_type]],Table1[membership_type],0),"00")</f>
        <v>B04</v>
      </c>
      <c r="AL1091" t="str">
        <f>LEFT(Table1[[#This Row],[discount_type]],1)&amp;TEXT(ROUND(Table1[[#This Row],[discount_rate]]*100,0),"00")</f>
        <v>N00</v>
      </c>
      <c r="AM1091" t="str" cm="1">
        <f t="array" ref="AM1091">TEXT(SUMPRODUCT(CODE(MID(Table1[[#This Row],[home_gym_location]],_xlfn.SEQUENCE(LEN(Table1[[#This Row],[home_gym_location]])),1))),"00000")</f>
        <v>01245</v>
      </c>
      <c r="AN109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091" t="str">
        <f>LEFT(_xlfn.TEXTBEFORE(Table1[[#This Row],[Location Identifier]],"-"),3) &amp; "-" &amp; _xlfn.TEXTAFTER(Table1[[#This Row],[Location Identifier]],"-")</f>
        <v>SAC-007</v>
      </c>
      <c r="AP1091" s="9">
        <f t="shared" ca="1" si="170"/>
        <v>45869</v>
      </c>
    </row>
    <row r="1092" spans="1:42" x14ac:dyDescent="0.25">
      <c r="A1092">
        <v>44</v>
      </c>
      <c r="B1092" t="s">
        <v>26</v>
      </c>
      <c r="C1092">
        <v>5</v>
      </c>
      <c r="D1092" t="s">
        <v>150</v>
      </c>
      <c r="E1092" t="b">
        <v>1</v>
      </c>
      <c r="F1092" s="1">
        <v>0.64375000000000004</v>
      </c>
      <c r="G1092" s="1">
        <v>0.73541666666666672</v>
      </c>
      <c r="H1092">
        <v>132</v>
      </c>
      <c r="I1092" t="b">
        <v>0</v>
      </c>
      <c r="J1092" t="b">
        <v>1</v>
      </c>
      <c r="K1092" t="b">
        <v>1</v>
      </c>
      <c r="L1092" t="s">
        <v>47</v>
      </c>
      <c r="M1092">
        <v>50</v>
      </c>
      <c r="N1092" t="s">
        <v>29</v>
      </c>
      <c r="O1092">
        <v>50</v>
      </c>
      <c r="P1092" t="s">
        <v>36</v>
      </c>
      <c r="Q1092">
        <v>0</v>
      </c>
      <c r="R1092">
        <v>50</v>
      </c>
      <c r="S1092" t="s">
        <v>31</v>
      </c>
      <c r="T1092" t="s">
        <v>50</v>
      </c>
      <c r="U1092">
        <v>34.052199999999999</v>
      </c>
      <c r="V1092">
        <v>-118.2437</v>
      </c>
      <c r="W1092" s="2">
        <v>45139</v>
      </c>
      <c r="X1092">
        <v>2</v>
      </c>
      <c r="Y1092" t="b">
        <v>0</v>
      </c>
      <c r="Z1092" s="2">
        <v>45822</v>
      </c>
      <c r="AA1092" t="str">
        <f t="shared" si="171"/>
        <v>40–49</v>
      </c>
      <c r="AB1092" t="str">
        <f t="shared" si="172"/>
        <v>40–49</v>
      </c>
      <c r="AC1092" t="str">
        <f t="shared" si="173"/>
        <v/>
      </c>
      <c r="AD1092" t="str">
        <f t="shared" si="174"/>
        <v>Tuesday</v>
      </c>
      <c r="AE1092" t="str">
        <f t="shared" si="175"/>
        <v/>
      </c>
      <c r="AF1092" t="str">
        <f t="shared" si="176"/>
        <v>Thursday</v>
      </c>
      <c r="AG1092" t="str">
        <f t="shared" si="177"/>
        <v>Friday</v>
      </c>
      <c r="AH1092" t="str">
        <f t="shared" si="178"/>
        <v>Saturday</v>
      </c>
      <c r="AI1092" t="str">
        <f t="shared" si="179"/>
        <v>Sunday</v>
      </c>
      <c r="AJ1092" t="str">
        <f>LEFT(Table1[[#This Row],[membership_type]],2)&amp;TEXT(Table1[[#This Row],[age]],"00")&amp;"-"&amp;TEXT(ROW(),"000")</f>
        <v>Pr44-1092</v>
      </c>
      <c r="AK1092" t="str">
        <f>LEFT(Table1[[#This Row],[membership_type]],1)&amp;TEXT(MATCH(Table1[[#This Row],[membership_type]],Table1[membership_type],0),"00")</f>
        <v>P01</v>
      </c>
      <c r="AL1092" t="str">
        <f>LEFT(Table1[[#This Row],[discount_type]],1)&amp;TEXT(ROUND(Table1[[#This Row],[discount_rate]]*100,0),"00")</f>
        <v>N00</v>
      </c>
      <c r="AM1092" t="str" cm="1">
        <f t="array" ref="AM1092">TEXT(SUMPRODUCT(CODE(MID(Table1[[#This Row],[home_gym_location]],_xlfn.SEQUENCE(LEN(Table1[[#This Row],[home_gym_location]])),1))),"00000")</f>
        <v>01245</v>
      </c>
      <c r="AN109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092" t="str">
        <f>LEFT(_xlfn.TEXTBEFORE(Table1[[#This Row],[Location Identifier]],"-"),3) &amp; "-" &amp; _xlfn.TEXTAFTER(Table1[[#This Row],[Location Identifier]],"-")</f>
        <v>LOS-005</v>
      </c>
      <c r="AP1092" s="9">
        <f t="shared" ca="1" si="170"/>
        <v>45869</v>
      </c>
    </row>
    <row r="1093" spans="1:42" x14ac:dyDescent="0.25">
      <c r="A1093">
        <v>38</v>
      </c>
      <c r="B1093" t="s">
        <v>33</v>
      </c>
      <c r="C1093">
        <v>3</v>
      </c>
      <c r="D1093" t="s">
        <v>60</v>
      </c>
      <c r="E1093" t="b">
        <v>1</v>
      </c>
      <c r="F1093" s="1">
        <v>0.55555555555555558</v>
      </c>
      <c r="G1093" s="1">
        <v>0.61250000000000004</v>
      </c>
      <c r="H1093">
        <v>82</v>
      </c>
      <c r="I1093" t="b">
        <v>0</v>
      </c>
      <c r="J1093" t="b">
        <v>0</v>
      </c>
      <c r="K1093" t="b">
        <v>0</v>
      </c>
      <c r="L1093" t="s">
        <v>35</v>
      </c>
      <c r="M1093">
        <v>30</v>
      </c>
      <c r="N1093" t="s">
        <v>78</v>
      </c>
      <c r="O1093">
        <v>27</v>
      </c>
      <c r="P1093" t="s">
        <v>36</v>
      </c>
      <c r="Q1093">
        <v>0</v>
      </c>
      <c r="R1093">
        <v>27</v>
      </c>
      <c r="S1093" t="s">
        <v>37</v>
      </c>
      <c r="T1093" t="s">
        <v>54</v>
      </c>
      <c r="U1093">
        <v>32.715699999999998</v>
      </c>
      <c r="V1093">
        <v>-117.1611</v>
      </c>
      <c r="W1093" s="2">
        <v>45183</v>
      </c>
      <c r="X1093">
        <v>0</v>
      </c>
      <c r="Y1093" t="b">
        <v>0</v>
      </c>
      <c r="Z1093" s="2">
        <v>45824</v>
      </c>
      <c r="AA1093" t="str">
        <f t="shared" si="171"/>
        <v>30–39</v>
      </c>
      <c r="AB1093" t="str">
        <f t="shared" si="172"/>
        <v>30–39</v>
      </c>
      <c r="AC1093" t="str">
        <f t="shared" si="173"/>
        <v/>
      </c>
      <c r="AD1093" t="str">
        <f t="shared" si="174"/>
        <v/>
      </c>
      <c r="AE1093" t="str">
        <f t="shared" si="175"/>
        <v>Wednesday</v>
      </c>
      <c r="AF1093" t="str">
        <f t="shared" si="176"/>
        <v/>
      </c>
      <c r="AG1093" t="str">
        <f t="shared" si="177"/>
        <v/>
      </c>
      <c r="AH1093" t="str">
        <f t="shared" si="178"/>
        <v>Saturday</v>
      </c>
      <c r="AI1093" t="str">
        <f t="shared" si="179"/>
        <v>Sunday</v>
      </c>
      <c r="AJ1093" t="str">
        <f>LEFT(Table1[[#This Row],[membership_type]],2)&amp;TEXT(Table1[[#This Row],[age]],"00")&amp;"-"&amp;TEXT(ROW(),"000")</f>
        <v>St38-1093</v>
      </c>
      <c r="AK1093" t="str">
        <f>LEFT(Table1[[#This Row],[membership_type]],1)&amp;TEXT(MATCH(Table1[[#This Row],[membership_type]],Table1[membership_type],0),"00")</f>
        <v>S02</v>
      </c>
      <c r="AL1093" t="str">
        <f>LEFT(Table1[[#This Row],[discount_type]],1)&amp;TEXT(ROUND(Table1[[#This Row],[discount_rate]]*100,0),"00")</f>
        <v>N00</v>
      </c>
      <c r="AM1093" t="str" cm="1">
        <f t="array" ref="AM1093">TEXT(SUMPRODUCT(CODE(MID(Table1[[#This Row],[home_gym_location]],_xlfn.SEQUENCE(LEN(Table1[[#This Row],[home_gym_location]])),1))),"00000")</f>
        <v>01018</v>
      </c>
      <c r="AN109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93" t="str">
        <f>LEFT(_xlfn.TEXTBEFORE(Table1[[#This Row],[Location Identifier]],"-"),3) &amp; "-" &amp; _xlfn.TEXTAFTER(Table1[[#This Row],[Location Identifier]],"-")</f>
        <v>SAN-008</v>
      </c>
      <c r="AP1093" s="9">
        <f t="shared" ca="1" si="170"/>
        <v>45869</v>
      </c>
    </row>
    <row r="1094" spans="1:42" x14ac:dyDescent="0.25">
      <c r="A1094">
        <v>46</v>
      </c>
      <c r="B1094" t="s">
        <v>33</v>
      </c>
      <c r="C1094">
        <v>1</v>
      </c>
      <c r="D1094" t="s">
        <v>95</v>
      </c>
      <c r="E1094" t="b">
        <v>0</v>
      </c>
      <c r="F1094" s="1">
        <v>0.46736111111111112</v>
      </c>
      <c r="G1094" s="1">
        <v>0.55486111111111114</v>
      </c>
      <c r="H1094">
        <v>126</v>
      </c>
      <c r="I1094" t="b">
        <v>1</v>
      </c>
      <c r="J1094" t="b">
        <v>0</v>
      </c>
      <c r="K1094" t="b">
        <v>1</v>
      </c>
      <c r="L1094" t="s">
        <v>62</v>
      </c>
      <c r="M1094">
        <v>30</v>
      </c>
      <c r="N1094" t="s">
        <v>29</v>
      </c>
      <c r="O1094">
        <v>30</v>
      </c>
      <c r="P1094" t="s">
        <v>36</v>
      </c>
      <c r="Q1094">
        <v>0</v>
      </c>
      <c r="R1094">
        <v>30</v>
      </c>
      <c r="S1094" t="s">
        <v>37</v>
      </c>
      <c r="T1094" t="s">
        <v>54</v>
      </c>
      <c r="U1094">
        <v>32.715699999999998</v>
      </c>
      <c r="V1094">
        <v>-117.1611</v>
      </c>
      <c r="W1094" s="2">
        <v>45284</v>
      </c>
      <c r="X1094">
        <v>0</v>
      </c>
      <c r="Y1094" t="b">
        <v>0</v>
      </c>
      <c r="Z1094" s="2">
        <v>45830</v>
      </c>
      <c r="AA1094" t="str">
        <f t="shared" si="171"/>
        <v>40–49</v>
      </c>
      <c r="AB1094" t="str">
        <f t="shared" si="172"/>
        <v>40–49</v>
      </c>
      <c r="AC1094" t="str">
        <f t="shared" si="173"/>
        <v/>
      </c>
      <c r="AD1094" t="str">
        <f t="shared" si="174"/>
        <v/>
      </c>
      <c r="AE1094" t="str">
        <f t="shared" si="175"/>
        <v/>
      </c>
      <c r="AF1094" t="str">
        <f t="shared" si="176"/>
        <v/>
      </c>
      <c r="AG1094" t="str">
        <f t="shared" si="177"/>
        <v/>
      </c>
      <c r="AH1094" t="str">
        <f t="shared" si="178"/>
        <v>Saturday</v>
      </c>
      <c r="AI1094" t="str">
        <f t="shared" si="179"/>
        <v/>
      </c>
      <c r="AJ1094" t="str">
        <f>LEFT(Table1[[#This Row],[membership_type]],2)&amp;TEXT(Table1[[#This Row],[age]],"00")&amp;"-"&amp;TEXT(ROW(),"000")</f>
        <v>St46-1094</v>
      </c>
      <c r="AK1094" t="str">
        <f>LEFT(Table1[[#This Row],[membership_type]],1)&amp;TEXT(MATCH(Table1[[#This Row],[membership_type]],Table1[membership_type],0),"00")</f>
        <v>S02</v>
      </c>
      <c r="AL1094" t="str">
        <f>LEFT(Table1[[#This Row],[discount_type]],1)&amp;TEXT(ROUND(Table1[[#This Row],[discount_rate]]*100,0),"00")</f>
        <v>N00</v>
      </c>
      <c r="AM1094" t="str" cm="1">
        <f t="array" ref="AM1094">TEXT(SUMPRODUCT(CODE(MID(Table1[[#This Row],[home_gym_location]],_xlfn.SEQUENCE(LEN(Table1[[#This Row],[home_gym_location]])),1))),"00000")</f>
        <v>01018</v>
      </c>
      <c r="AN109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094" t="str">
        <f>LEFT(_xlfn.TEXTBEFORE(Table1[[#This Row],[Location Identifier]],"-"),3) &amp; "-" &amp; _xlfn.TEXTAFTER(Table1[[#This Row],[Location Identifier]],"-")</f>
        <v>SAN-008</v>
      </c>
      <c r="AP1094" s="9">
        <f t="shared" ca="1" si="170"/>
        <v>45869</v>
      </c>
    </row>
    <row r="1095" spans="1:42" x14ac:dyDescent="0.25">
      <c r="A1095">
        <v>48</v>
      </c>
      <c r="B1095" t="s">
        <v>26</v>
      </c>
      <c r="C1095">
        <v>3</v>
      </c>
      <c r="D1095" t="s">
        <v>89</v>
      </c>
      <c r="E1095" t="b">
        <v>0</v>
      </c>
      <c r="F1095" s="1">
        <v>0.82222222222222219</v>
      </c>
      <c r="G1095" s="1">
        <v>0.86875000000000002</v>
      </c>
      <c r="H1095">
        <v>67</v>
      </c>
      <c r="I1095" t="b">
        <v>1</v>
      </c>
      <c r="J1095" t="b">
        <v>0</v>
      </c>
      <c r="K1095" t="b">
        <v>0</v>
      </c>
      <c r="L1095" t="s">
        <v>62</v>
      </c>
      <c r="M1095">
        <v>50</v>
      </c>
      <c r="N1095" t="s">
        <v>29</v>
      </c>
      <c r="O1095">
        <v>50</v>
      </c>
      <c r="P1095" t="s">
        <v>40</v>
      </c>
      <c r="Q1095">
        <v>0.1</v>
      </c>
      <c r="R1095">
        <v>45</v>
      </c>
      <c r="S1095" t="s">
        <v>31</v>
      </c>
      <c r="T1095" t="s">
        <v>41</v>
      </c>
      <c r="U1095">
        <v>37.804400000000001</v>
      </c>
      <c r="V1095">
        <v>-122.27119999999999</v>
      </c>
      <c r="W1095" s="2">
        <v>45585</v>
      </c>
      <c r="X1095">
        <v>0</v>
      </c>
      <c r="Y1095" t="b">
        <v>1</v>
      </c>
      <c r="Z1095" s="2">
        <v>45847</v>
      </c>
      <c r="AA1095" t="str">
        <f t="shared" si="171"/>
        <v>40–49</v>
      </c>
      <c r="AB1095" t="str">
        <f t="shared" si="172"/>
        <v>40–49</v>
      </c>
      <c r="AC1095" t="str">
        <f t="shared" si="173"/>
        <v>Monday</v>
      </c>
      <c r="AD1095" t="str">
        <f t="shared" si="174"/>
        <v>Tuesday</v>
      </c>
      <c r="AE1095" t="str">
        <f t="shared" si="175"/>
        <v/>
      </c>
      <c r="AF1095" t="str">
        <f t="shared" si="176"/>
        <v/>
      </c>
      <c r="AG1095" t="str">
        <f t="shared" si="177"/>
        <v/>
      </c>
      <c r="AH1095" t="str">
        <f t="shared" si="178"/>
        <v>Saturday</v>
      </c>
      <c r="AI1095" t="str">
        <f t="shared" si="179"/>
        <v/>
      </c>
      <c r="AJ1095" t="str">
        <f>LEFT(Table1[[#This Row],[membership_type]],2)&amp;TEXT(Table1[[#This Row],[age]],"00")&amp;"-"&amp;TEXT(ROW(),"000")</f>
        <v>Pr48-1095</v>
      </c>
      <c r="AK1095" t="str">
        <f>LEFT(Table1[[#This Row],[membership_type]],1)&amp;TEXT(MATCH(Table1[[#This Row],[membership_type]],Table1[membership_type],0),"00")</f>
        <v>P01</v>
      </c>
      <c r="AL1095" t="str">
        <f>LEFT(Table1[[#This Row],[discount_type]],1)&amp;TEXT(ROUND(Table1[[#This Row],[discount_rate]]*100,0),"00")</f>
        <v>L10</v>
      </c>
      <c r="AM1095" t="str" cm="1">
        <f t="array" ref="AM1095">TEXT(SUMPRODUCT(CODE(MID(Table1[[#This Row],[home_gym_location]],_xlfn.SEQUENCE(LEN(Table1[[#This Row],[home_gym_location]])),1))),"00000")</f>
        <v>00906</v>
      </c>
      <c r="AN109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095" t="str">
        <f>LEFT(_xlfn.TEXTBEFORE(Table1[[#This Row],[Location Identifier]],"-"),3) &amp; "-" &amp; _xlfn.TEXTAFTER(Table1[[#This Row],[Location Identifier]],"-")</f>
        <v>OAK-006</v>
      </c>
      <c r="AP1095" s="9">
        <f t="shared" ca="1" si="170"/>
        <v>45869</v>
      </c>
    </row>
    <row r="1096" spans="1:42" x14ac:dyDescent="0.25">
      <c r="A1096">
        <v>43</v>
      </c>
      <c r="B1096" t="s">
        <v>26</v>
      </c>
      <c r="C1096">
        <v>3</v>
      </c>
      <c r="D1096" t="s">
        <v>128</v>
      </c>
      <c r="E1096" t="b">
        <v>0</v>
      </c>
      <c r="F1096" s="1">
        <v>0.34861111111111109</v>
      </c>
      <c r="G1096" s="1">
        <v>0.44444444444444442</v>
      </c>
      <c r="H1096">
        <v>138</v>
      </c>
      <c r="I1096" t="b">
        <v>0</v>
      </c>
      <c r="J1096" t="b">
        <v>1</v>
      </c>
      <c r="K1096" t="b">
        <v>0</v>
      </c>
      <c r="L1096" t="s">
        <v>35</v>
      </c>
      <c r="M1096">
        <v>50</v>
      </c>
      <c r="N1096" t="s">
        <v>29</v>
      </c>
      <c r="O1096">
        <v>50</v>
      </c>
      <c r="P1096" t="s">
        <v>36</v>
      </c>
      <c r="Q1096">
        <v>0</v>
      </c>
      <c r="R1096">
        <v>50</v>
      </c>
      <c r="S1096" t="s">
        <v>31</v>
      </c>
      <c r="T1096" t="s">
        <v>38</v>
      </c>
      <c r="U1096">
        <v>36.7378</v>
      </c>
      <c r="V1096">
        <v>-119.7871</v>
      </c>
      <c r="W1096" s="2">
        <v>45642</v>
      </c>
      <c r="X1096">
        <v>3</v>
      </c>
      <c r="Y1096" t="b">
        <v>1</v>
      </c>
      <c r="Z1096" s="2">
        <v>45850</v>
      </c>
      <c r="AA1096" t="str">
        <f t="shared" si="171"/>
        <v>40–49</v>
      </c>
      <c r="AB1096" t="str">
        <f t="shared" si="172"/>
        <v>40–49</v>
      </c>
      <c r="AC1096" t="str">
        <f t="shared" si="173"/>
        <v>Monday</v>
      </c>
      <c r="AD1096" t="str">
        <f t="shared" si="174"/>
        <v/>
      </c>
      <c r="AE1096" t="str">
        <f t="shared" si="175"/>
        <v/>
      </c>
      <c r="AF1096" t="str">
        <f t="shared" si="176"/>
        <v>Thursday</v>
      </c>
      <c r="AG1096" t="str">
        <f t="shared" si="177"/>
        <v/>
      </c>
      <c r="AH1096" t="str">
        <f t="shared" si="178"/>
        <v/>
      </c>
      <c r="AI1096" t="str">
        <f t="shared" si="179"/>
        <v>Sunday</v>
      </c>
      <c r="AJ1096" t="str">
        <f>LEFT(Table1[[#This Row],[membership_type]],2)&amp;TEXT(Table1[[#This Row],[age]],"00")&amp;"-"&amp;TEXT(ROW(),"000")</f>
        <v>Pr43-1096</v>
      </c>
      <c r="AK1096" t="str">
        <f>LEFT(Table1[[#This Row],[membership_type]],1)&amp;TEXT(MATCH(Table1[[#This Row],[membership_type]],Table1[membership_type],0),"00")</f>
        <v>P01</v>
      </c>
      <c r="AL1096" t="str">
        <f>LEFT(Table1[[#This Row],[discount_type]],1)&amp;TEXT(ROUND(Table1[[#This Row],[discount_rate]]*100,0),"00")</f>
        <v>N00</v>
      </c>
      <c r="AM1096" t="str" cm="1">
        <f t="array" ref="AM1096">TEXT(SUMPRODUCT(CODE(MID(Table1[[#This Row],[home_gym_location]],_xlfn.SEQUENCE(LEN(Table1[[#This Row],[home_gym_location]])),1))),"00000")</f>
        <v>00829</v>
      </c>
      <c r="AN1096" t="str">
        <f>UPPER(_xlfn.TEXTBEFORE(Table1[[#This Row],[home_gym_location]],","))&amp;"-"&amp;TEXT(MATCH(Table1[[#This Row],[home_gym_location]],_xlfn._xlws.SORT(_xlfn.UNIQUE(Table1[home_gym_location])),0),"000")</f>
        <v>FRESNO-003</v>
      </c>
      <c r="AO1096" t="str">
        <f>LEFT(_xlfn.TEXTBEFORE(Table1[[#This Row],[Location Identifier]],"-"),3) &amp; "-" &amp; _xlfn.TEXTAFTER(Table1[[#This Row],[Location Identifier]],"-")</f>
        <v>FRE-003</v>
      </c>
      <c r="AP1096" s="9">
        <f t="shared" ca="1" si="170"/>
        <v>45869</v>
      </c>
    </row>
    <row r="1097" spans="1:42" x14ac:dyDescent="0.25">
      <c r="A1097">
        <v>21</v>
      </c>
      <c r="B1097" t="s">
        <v>42</v>
      </c>
      <c r="C1097">
        <v>2</v>
      </c>
      <c r="D1097" t="s">
        <v>88</v>
      </c>
      <c r="E1097" t="b">
        <v>0</v>
      </c>
      <c r="F1097" s="1">
        <v>0.43472222222222223</v>
      </c>
      <c r="G1097" s="1">
        <v>0.51458333333333328</v>
      </c>
      <c r="H1097">
        <v>115</v>
      </c>
      <c r="I1097" t="b">
        <v>1</v>
      </c>
      <c r="J1097" t="b">
        <v>1</v>
      </c>
      <c r="K1097" t="b">
        <v>1</v>
      </c>
      <c r="L1097" t="s">
        <v>28</v>
      </c>
      <c r="M1097">
        <v>20</v>
      </c>
      <c r="N1097" t="s">
        <v>78</v>
      </c>
      <c r="O1097">
        <v>18</v>
      </c>
      <c r="P1097" t="s">
        <v>36</v>
      </c>
      <c r="Q1097">
        <v>0</v>
      </c>
      <c r="R1097">
        <v>18</v>
      </c>
      <c r="S1097" t="s">
        <v>44</v>
      </c>
      <c r="T1097" t="s">
        <v>65</v>
      </c>
      <c r="U1097">
        <v>33.770099999999999</v>
      </c>
      <c r="V1097">
        <v>-118.19370000000001</v>
      </c>
      <c r="W1097" s="2">
        <v>45596</v>
      </c>
      <c r="X1097">
        <v>8</v>
      </c>
      <c r="Y1097" t="b">
        <v>0</v>
      </c>
      <c r="Z1097" s="2">
        <v>45847</v>
      </c>
      <c r="AA1097" t="str">
        <f t="shared" si="171"/>
        <v>20–29</v>
      </c>
      <c r="AB1097" t="str">
        <f t="shared" si="172"/>
        <v>20–29</v>
      </c>
      <c r="AC1097" t="str">
        <f t="shared" si="173"/>
        <v>Monday</v>
      </c>
      <c r="AD1097" t="str">
        <f t="shared" si="174"/>
        <v/>
      </c>
      <c r="AE1097" t="str">
        <f t="shared" si="175"/>
        <v>Wednesday</v>
      </c>
      <c r="AF1097" t="str">
        <f t="shared" si="176"/>
        <v/>
      </c>
      <c r="AG1097" t="str">
        <f t="shared" si="177"/>
        <v/>
      </c>
      <c r="AH1097" t="str">
        <f t="shared" si="178"/>
        <v/>
      </c>
      <c r="AI1097" t="str">
        <f t="shared" si="179"/>
        <v/>
      </c>
      <c r="AJ1097" t="str">
        <f>LEFT(Table1[[#This Row],[membership_type]],2)&amp;TEXT(Table1[[#This Row],[age]],"00")&amp;"-"&amp;TEXT(ROW(),"000")</f>
        <v>Ba21-1097</v>
      </c>
      <c r="AK1097" t="str">
        <f>LEFT(Table1[[#This Row],[membership_type]],1)&amp;TEXT(MATCH(Table1[[#This Row],[membership_type]],Table1[membership_type],0),"00")</f>
        <v>B04</v>
      </c>
      <c r="AL1097" t="str">
        <f>LEFT(Table1[[#This Row],[discount_type]],1)&amp;TEXT(ROUND(Table1[[#This Row],[discount_rate]]*100,0),"00")</f>
        <v>N00</v>
      </c>
      <c r="AM1097" t="str" cm="1">
        <f t="array" ref="AM1097">TEXT(SUMPRODUCT(CODE(MID(Table1[[#This Row],[home_gym_location]],_xlfn.SEQUENCE(LEN(Table1[[#This Row],[home_gym_location]])),1))),"00000")</f>
        <v>01107</v>
      </c>
      <c r="AN109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097" t="str">
        <f>LEFT(_xlfn.TEXTBEFORE(Table1[[#This Row],[Location Identifier]],"-"),3) &amp; "-" &amp; _xlfn.TEXTAFTER(Table1[[#This Row],[Location Identifier]],"-")</f>
        <v>LON-004</v>
      </c>
      <c r="AP1097" s="9">
        <f t="shared" ca="1" si="170"/>
        <v>45869</v>
      </c>
    </row>
    <row r="1098" spans="1:42" x14ac:dyDescent="0.25">
      <c r="A1098">
        <v>29</v>
      </c>
      <c r="B1098" t="s">
        <v>33</v>
      </c>
      <c r="C1098">
        <v>1</v>
      </c>
      <c r="D1098" t="s">
        <v>67</v>
      </c>
      <c r="E1098" t="b">
        <v>1</v>
      </c>
      <c r="F1098" s="1">
        <v>0.43402777777777779</v>
      </c>
      <c r="G1098" s="1">
        <v>0.50277777777777777</v>
      </c>
      <c r="H1098">
        <v>99</v>
      </c>
      <c r="I1098" t="b">
        <v>1</v>
      </c>
      <c r="J1098" t="b">
        <v>1</v>
      </c>
      <c r="K1098" t="b">
        <v>0</v>
      </c>
      <c r="L1098" t="s">
        <v>28</v>
      </c>
      <c r="M1098">
        <v>30</v>
      </c>
      <c r="N1098" t="s">
        <v>29</v>
      </c>
      <c r="O1098">
        <v>30</v>
      </c>
      <c r="P1098" t="s">
        <v>36</v>
      </c>
      <c r="Q1098">
        <v>0</v>
      </c>
      <c r="R1098">
        <v>30</v>
      </c>
      <c r="S1098" t="s">
        <v>37</v>
      </c>
      <c r="T1098" t="s">
        <v>45</v>
      </c>
      <c r="U1098">
        <v>33.836599999999997</v>
      </c>
      <c r="V1098">
        <v>-117.9143</v>
      </c>
      <c r="W1098" s="2">
        <v>45632</v>
      </c>
      <c r="X1098">
        <v>3</v>
      </c>
      <c r="Y1098" t="b">
        <v>0</v>
      </c>
      <c r="Z1098" s="2">
        <v>45849</v>
      </c>
      <c r="AA1098" t="str">
        <f t="shared" si="171"/>
        <v>20–29</v>
      </c>
      <c r="AB1098" t="str">
        <f t="shared" si="172"/>
        <v>20–29</v>
      </c>
      <c r="AC1098" t="str">
        <f t="shared" si="173"/>
        <v/>
      </c>
      <c r="AD1098" t="str">
        <f t="shared" si="174"/>
        <v/>
      </c>
      <c r="AE1098" t="str">
        <f t="shared" si="175"/>
        <v/>
      </c>
      <c r="AF1098" t="str">
        <f t="shared" si="176"/>
        <v>Thursday</v>
      </c>
      <c r="AG1098" t="str">
        <f t="shared" si="177"/>
        <v/>
      </c>
      <c r="AH1098" t="str">
        <f t="shared" si="178"/>
        <v/>
      </c>
      <c r="AI1098" t="str">
        <f t="shared" si="179"/>
        <v/>
      </c>
      <c r="AJ1098" t="str">
        <f>LEFT(Table1[[#This Row],[membership_type]],2)&amp;TEXT(Table1[[#This Row],[age]],"00")&amp;"-"&amp;TEXT(ROW(),"000")</f>
        <v>St29-1098</v>
      </c>
      <c r="AK1098" t="str">
        <f>LEFT(Table1[[#This Row],[membership_type]],1)&amp;TEXT(MATCH(Table1[[#This Row],[membership_type]],Table1[membership_type],0),"00")</f>
        <v>S02</v>
      </c>
      <c r="AL1098" t="str">
        <f>LEFT(Table1[[#This Row],[discount_type]],1)&amp;TEXT(ROUND(Table1[[#This Row],[discount_rate]]*100,0),"00")</f>
        <v>N00</v>
      </c>
      <c r="AM1098" t="str" cm="1">
        <f t="array" ref="AM1098">TEXT(SUMPRODUCT(CODE(MID(Table1[[#This Row],[home_gym_location]],_xlfn.SEQUENCE(LEN(Table1[[#This Row],[home_gym_location]])),1))),"00000")</f>
        <v>00899</v>
      </c>
      <c r="AN109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098" t="str">
        <f>LEFT(_xlfn.TEXTBEFORE(Table1[[#This Row],[Location Identifier]],"-"),3) &amp; "-" &amp; _xlfn.TEXTAFTER(Table1[[#This Row],[Location Identifier]],"-")</f>
        <v>ANA-001</v>
      </c>
      <c r="AP1098" s="9">
        <f t="shared" ca="1" si="170"/>
        <v>45869</v>
      </c>
    </row>
    <row r="1099" spans="1:42" x14ac:dyDescent="0.25">
      <c r="A1099">
        <v>47</v>
      </c>
      <c r="B1099" t="s">
        <v>51</v>
      </c>
      <c r="C1099">
        <v>2</v>
      </c>
      <c r="D1099" t="s">
        <v>27</v>
      </c>
      <c r="E1099" t="b">
        <v>0</v>
      </c>
      <c r="F1099" s="1">
        <v>0.51249999999999996</v>
      </c>
      <c r="G1099" s="1">
        <v>0.56458333333333333</v>
      </c>
      <c r="H1099">
        <v>75</v>
      </c>
      <c r="I1099" t="b">
        <v>1</v>
      </c>
      <c r="J1099" t="b">
        <v>1</v>
      </c>
      <c r="K1099" t="b">
        <v>0</v>
      </c>
      <c r="L1099" t="s">
        <v>62</v>
      </c>
      <c r="M1099">
        <v>70</v>
      </c>
      <c r="N1099" t="s">
        <v>64</v>
      </c>
      <c r="O1099">
        <v>52.5</v>
      </c>
      <c r="P1099" t="s">
        <v>40</v>
      </c>
      <c r="Q1099">
        <v>0.1</v>
      </c>
      <c r="R1099">
        <v>47.25</v>
      </c>
      <c r="S1099" t="s">
        <v>53</v>
      </c>
      <c r="T1099" t="s">
        <v>32</v>
      </c>
      <c r="U1099">
        <v>37.338200000000001</v>
      </c>
      <c r="V1099">
        <v>-121.88630000000001</v>
      </c>
      <c r="W1099" s="2">
        <v>45000</v>
      </c>
      <c r="X1099">
        <v>4</v>
      </c>
      <c r="Y1099" t="b">
        <v>1</v>
      </c>
      <c r="Z1099" s="2">
        <v>45814</v>
      </c>
      <c r="AA1099" t="str">
        <f t="shared" si="171"/>
        <v>40–49</v>
      </c>
      <c r="AB1099" t="str">
        <f t="shared" si="172"/>
        <v>40–49</v>
      </c>
      <c r="AC1099" t="str">
        <f t="shared" si="173"/>
        <v/>
      </c>
      <c r="AD1099" t="str">
        <f t="shared" si="174"/>
        <v/>
      </c>
      <c r="AE1099" t="str">
        <f t="shared" si="175"/>
        <v/>
      </c>
      <c r="AF1099" t="str">
        <f t="shared" si="176"/>
        <v>Thursday</v>
      </c>
      <c r="AG1099" t="str">
        <f t="shared" si="177"/>
        <v/>
      </c>
      <c r="AH1099" t="str">
        <f t="shared" si="178"/>
        <v>Saturday</v>
      </c>
      <c r="AI1099" t="str">
        <f t="shared" si="179"/>
        <v/>
      </c>
      <c r="AJ1099" t="str">
        <f>LEFT(Table1[[#This Row],[membership_type]],2)&amp;TEXT(Table1[[#This Row],[age]],"00")&amp;"-"&amp;TEXT(ROW(),"000")</f>
        <v>El47-1099</v>
      </c>
      <c r="AK1099" t="str">
        <f>LEFT(Table1[[#This Row],[membership_type]],1)&amp;TEXT(MATCH(Table1[[#This Row],[membership_type]],Table1[membership_type],0),"00")</f>
        <v>E07</v>
      </c>
      <c r="AL1099" t="str">
        <f>LEFT(Table1[[#This Row],[discount_type]],1)&amp;TEXT(ROUND(Table1[[#This Row],[discount_rate]]*100,0),"00")</f>
        <v>L10</v>
      </c>
      <c r="AM1099" t="str" cm="1">
        <f t="array" ref="AM1099">TEXT(SUMPRODUCT(CODE(MID(Table1[[#This Row],[home_gym_location]],_xlfn.SEQUENCE(LEN(Table1[[#This Row],[home_gym_location]])),1))),"00000")</f>
        <v>00931</v>
      </c>
      <c r="AN109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099" t="str">
        <f>LEFT(_xlfn.TEXTBEFORE(Table1[[#This Row],[Location Identifier]],"-"),3) &amp; "-" &amp; _xlfn.TEXTAFTER(Table1[[#This Row],[Location Identifier]],"-")</f>
        <v>SAN-010</v>
      </c>
      <c r="AP1099" s="9">
        <f t="shared" ca="1" si="170"/>
        <v>45869</v>
      </c>
    </row>
    <row r="1100" spans="1:42" x14ac:dyDescent="0.25">
      <c r="A1100">
        <v>18</v>
      </c>
      <c r="B1100" t="s">
        <v>26</v>
      </c>
      <c r="C1100">
        <v>4</v>
      </c>
      <c r="D1100" t="s">
        <v>39</v>
      </c>
      <c r="E1100" t="b">
        <v>0</v>
      </c>
      <c r="F1100" s="1">
        <v>0.47430555555555554</v>
      </c>
      <c r="G1100" s="1">
        <v>0.5854166666666667</v>
      </c>
      <c r="H1100">
        <v>160</v>
      </c>
      <c r="I1100" t="b">
        <v>1</v>
      </c>
      <c r="J1100" t="b">
        <v>0</v>
      </c>
      <c r="K1100" t="b">
        <v>0</v>
      </c>
      <c r="L1100" t="s">
        <v>47</v>
      </c>
      <c r="M1100">
        <v>50</v>
      </c>
      <c r="N1100" t="s">
        <v>64</v>
      </c>
      <c r="O1100">
        <v>37.5</v>
      </c>
      <c r="P1100" t="s">
        <v>36</v>
      </c>
      <c r="Q1100">
        <v>0</v>
      </c>
      <c r="R1100">
        <v>37.5</v>
      </c>
      <c r="S1100" t="s">
        <v>31</v>
      </c>
      <c r="T1100" t="s">
        <v>38</v>
      </c>
      <c r="U1100">
        <v>36.7378</v>
      </c>
      <c r="V1100">
        <v>-119.7871</v>
      </c>
      <c r="W1100" s="2">
        <v>45458</v>
      </c>
      <c r="X1100">
        <v>0</v>
      </c>
      <c r="Y1100" t="b">
        <v>1</v>
      </c>
      <c r="Z1100" s="2">
        <v>45839</v>
      </c>
      <c r="AA1100" t="str">
        <f t="shared" si="171"/>
        <v>10–19</v>
      </c>
      <c r="AB1100" t="str">
        <f t="shared" si="172"/>
        <v>16–19</v>
      </c>
      <c r="AC1100" t="str">
        <f t="shared" si="173"/>
        <v/>
      </c>
      <c r="AD1100" t="str">
        <f t="shared" si="174"/>
        <v>Tuesday</v>
      </c>
      <c r="AE1100" t="str">
        <f t="shared" si="175"/>
        <v>Wednesday</v>
      </c>
      <c r="AF1100" t="str">
        <f t="shared" si="176"/>
        <v>Thursday</v>
      </c>
      <c r="AG1100" t="str">
        <f t="shared" si="177"/>
        <v/>
      </c>
      <c r="AH1100" t="str">
        <f t="shared" si="178"/>
        <v/>
      </c>
      <c r="AI1100" t="str">
        <f t="shared" si="179"/>
        <v>Sunday</v>
      </c>
      <c r="AJ1100" t="str">
        <f>LEFT(Table1[[#This Row],[membership_type]],2)&amp;TEXT(Table1[[#This Row],[age]],"00")&amp;"-"&amp;TEXT(ROW(),"000")</f>
        <v>Pr18-1100</v>
      </c>
      <c r="AK1100" t="str">
        <f>LEFT(Table1[[#This Row],[membership_type]],1)&amp;TEXT(MATCH(Table1[[#This Row],[membership_type]],Table1[membership_type],0),"00")</f>
        <v>P01</v>
      </c>
      <c r="AL1100" t="str">
        <f>LEFT(Table1[[#This Row],[discount_type]],1)&amp;TEXT(ROUND(Table1[[#This Row],[discount_rate]]*100,0),"00")</f>
        <v>N00</v>
      </c>
      <c r="AM1100" t="str" cm="1">
        <f t="array" ref="AM1100">TEXT(SUMPRODUCT(CODE(MID(Table1[[#This Row],[home_gym_location]],_xlfn.SEQUENCE(LEN(Table1[[#This Row],[home_gym_location]])),1))),"00000")</f>
        <v>00829</v>
      </c>
      <c r="AN1100" t="str">
        <f>UPPER(_xlfn.TEXTBEFORE(Table1[[#This Row],[home_gym_location]],","))&amp;"-"&amp;TEXT(MATCH(Table1[[#This Row],[home_gym_location]],_xlfn._xlws.SORT(_xlfn.UNIQUE(Table1[home_gym_location])),0),"000")</f>
        <v>FRESNO-003</v>
      </c>
      <c r="AO1100" t="str">
        <f>LEFT(_xlfn.TEXTBEFORE(Table1[[#This Row],[Location Identifier]],"-"),3) &amp; "-" &amp; _xlfn.TEXTAFTER(Table1[[#This Row],[Location Identifier]],"-")</f>
        <v>FRE-003</v>
      </c>
      <c r="AP1100" s="9">
        <f t="shared" ca="1" si="170"/>
        <v>45869</v>
      </c>
    </row>
    <row r="1101" spans="1:42" x14ac:dyDescent="0.25">
      <c r="A1101">
        <v>19</v>
      </c>
      <c r="B1101" t="s">
        <v>42</v>
      </c>
      <c r="C1101">
        <v>2</v>
      </c>
      <c r="D1101" t="s">
        <v>61</v>
      </c>
      <c r="E1101" t="b">
        <v>0</v>
      </c>
      <c r="F1101" s="1">
        <v>0.70625000000000004</v>
      </c>
      <c r="G1101" s="1">
        <v>0.78749999999999998</v>
      </c>
      <c r="H1101">
        <v>117</v>
      </c>
      <c r="I1101" t="b">
        <v>1</v>
      </c>
      <c r="J1101" t="b">
        <v>1</v>
      </c>
      <c r="K1101" t="b">
        <v>0</v>
      </c>
      <c r="L1101" t="s">
        <v>62</v>
      </c>
      <c r="M1101">
        <v>20</v>
      </c>
      <c r="N1101" t="s">
        <v>64</v>
      </c>
      <c r="O1101">
        <v>15</v>
      </c>
      <c r="P1101" t="s">
        <v>36</v>
      </c>
      <c r="Q1101">
        <v>0</v>
      </c>
      <c r="R1101">
        <v>15</v>
      </c>
      <c r="S1101" t="s">
        <v>44</v>
      </c>
      <c r="T1101" t="s">
        <v>48</v>
      </c>
      <c r="U1101">
        <v>38.581600000000002</v>
      </c>
      <c r="V1101">
        <v>-121.4944</v>
      </c>
      <c r="W1101" s="2">
        <v>45769</v>
      </c>
      <c r="X1101">
        <v>2</v>
      </c>
      <c r="Y1101" t="b">
        <v>0</v>
      </c>
      <c r="Z1101" s="2">
        <v>45857</v>
      </c>
      <c r="AA1101" t="str">
        <f t="shared" si="171"/>
        <v>10–19</v>
      </c>
      <c r="AB1101" t="str">
        <f t="shared" si="172"/>
        <v>16–19</v>
      </c>
      <c r="AC1101" t="str">
        <f t="shared" si="173"/>
        <v/>
      </c>
      <c r="AD1101" t="str">
        <f t="shared" si="174"/>
        <v>Tuesday</v>
      </c>
      <c r="AE1101" t="str">
        <f t="shared" si="175"/>
        <v/>
      </c>
      <c r="AF1101" t="str">
        <f t="shared" si="176"/>
        <v/>
      </c>
      <c r="AG1101" t="str">
        <f t="shared" si="177"/>
        <v/>
      </c>
      <c r="AH1101" t="str">
        <f t="shared" si="178"/>
        <v>Saturday</v>
      </c>
      <c r="AI1101" t="str">
        <f t="shared" si="179"/>
        <v/>
      </c>
      <c r="AJ1101" t="str">
        <f>LEFT(Table1[[#This Row],[membership_type]],2)&amp;TEXT(Table1[[#This Row],[age]],"00")&amp;"-"&amp;TEXT(ROW(),"000")</f>
        <v>Ba19-1101</v>
      </c>
      <c r="AK1101" t="str">
        <f>LEFT(Table1[[#This Row],[membership_type]],1)&amp;TEXT(MATCH(Table1[[#This Row],[membership_type]],Table1[membership_type],0),"00")</f>
        <v>B04</v>
      </c>
      <c r="AL1101" t="str">
        <f>LEFT(Table1[[#This Row],[discount_type]],1)&amp;TEXT(ROUND(Table1[[#This Row],[discount_rate]]*100,0),"00")</f>
        <v>N00</v>
      </c>
      <c r="AM1101" t="str" cm="1">
        <f t="array" ref="AM1101">TEXT(SUMPRODUCT(CODE(MID(Table1[[#This Row],[home_gym_location]],_xlfn.SEQUENCE(LEN(Table1[[#This Row],[home_gym_location]])),1))),"00000")</f>
        <v>01245</v>
      </c>
      <c r="AN110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01" t="str">
        <f>LEFT(_xlfn.TEXTBEFORE(Table1[[#This Row],[Location Identifier]],"-"),3) &amp; "-" &amp; _xlfn.TEXTAFTER(Table1[[#This Row],[Location Identifier]],"-")</f>
        <v>SAC-007</v>
      </c>
      <c r="AP1101" s="9">
        <f t="shared" ca="1" si="170"/>
        <v>45869</v>
      </c>
    </row>
    <row r="1102" spans="1:42" x14ac:dyDescent="0.25">
      <c r="A1102">
        <v>47</v>
      </c>
      <c r="B1102" t="s">
        <v>26</v>
      </c>
      <c r="C1102">
        <v>3</v>
      </c>
      <c r="D1102" t="s">
        <v>153</v>
      </c>
      <c r="E1102" t="b">
        <v>0</v>
      </c>
      <c r="F1102" s="1">
        <v>0.81319444444444444</v>
      </c>
      <c r="G1102" s="1">
        <v>0.84652777777777777</v>
      </c>
      <c r="H1102">
        <v>48</v>
      </c>
      <c r="I1102" t="b">
        <v>0</v>
      </c>
      <c r="J1102" t="b">
        <v>1</v>
      </c>
      <c r="K1102" t="b">
        <v>0</v>
      </c>
      <c r="L1102" t="s">
        <v>58</v>
      </c>
      <c r="M1102">
        <v>50</v>
      </c>
      <c r="N1102" t="s">
        <v>29</v>
      </c>
      <c r="O1102">
        <v>50</v>
      </c>
      <c r="P1102" t="s">
        <v>74</v>
      </c>
      <c r="Q1102">
        <v>0.15</v>
      </c>
      <c r="R1102">
        <v>42.5</v>
      </c>
      <c r="S1102" t="s">
        <v>31</v>
      </c>
      <c r="T1102" t="s">
        <v>32</v>
      </c>
      <c r="U1102">
        <v>37.338200000000001</v>
      </c>
      <c r="V1102">
        <v>-121.88630000000001</v>
      </c>
      <c r="W1102" s="2">
        <v>44798</v>
      </c>
      <c r="X1102">
        <v>1</v>
      </c>
      <c r="Y1102" t="b">
        <v>1</v>
      </c>
      <c r="Z1102" s="2">
        <v>45802</v>
      </c>
      <c r="AA1102" t="str">
        <f t="shared" si="171"/>
        <v>40–49</v>
      </c>
      <c r="AB1102" t="str">
        <f t="shared" si="172"/>
        <v>40–49</v>
      </c>
      <c r="AC1102" t="str">
        <f t="shared" si="173"/>
        <v>Monday</v>
      </c>
      <c r="AD1102" t="str">
        <f t="shared" si="174"/>
        <v/>
      </c>
      <c r="AE1102" t="str">
        <f t="shared" si="175"/>
        <v>Wednesday</v>
      </c>
      <c r="AF1102" t="str">
        <f t="shared" si="176"/>
        <v/>
      </c>
      <c r="AG1102" t="str">
        <f t="shared" si="177"/>
        <v/>
      </c>
      <c r="AH1102" t="str">
        <f t="shared" si="178"/>
        <v>Saturday</v>
      </c>
      <c r="AI1102" t="str">
        <f t="shared" si="179"/>
        <v/>
      </c>
      <c r="AJ1102" t="str">
        <f>LEFT(Table1[[#This Row],[membership_type]],2)&amp;TEXT(Table1[[#This Row],[age]],"00")&amp;"-"&amp;TEXT(ROW(),"000")</f>
        <v>Pr47-1102</v>
      </c>
      <c r="AK1102" t="str">
        <f>LEFT(Table1[[#This Row],[membership_type]],1)&amp;TEXT(MATCH(Table1[[#This Row],[membership_type]],Table1[membership_type],0),"00")</f>
        <v>P01</v>
      </c>
      <c r="AL1102" t="str">
        <f>LEFT(Table1[[#This Row],[discount_type]],1)&amp;TEXT(ROUND(Table1[[#This Row],[discount_rate]]*100,0),"00")</f>
        <v>S15</v>
      </c>
      <c r="AM1102" t="str" cm="1">
        <f t="array" ref="AM1102">TEXT(SUMPRODUCT(CODE(MID(Table1[[#This Row],[home_gym_location]],_xlfn.SEQUENCE(LEN(Table1[[#This Row],[home_gym_location]])),1))),"00000")</f>
        <v>00931</v>
      </c>
      <c r="AN110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02" t="str">
        <f>LEFT(_xlfn.TEXTBEFORE(Table1[[#This Row],[Location Identifier]],"-"),3) &amp; "-" &amp; _xlfn.TEXTAFTER(Table1[[#This Row],[Location Identifier]],"-")</f>
        <v>SAN-010</v>
      </c>
      <c r="AP1102" s="9">
        <f t="shared" ca="1" si="170"/>
        <v>45869</v>
      </c>
    </row>
    <row r="1103" spans="1:42" x14ac:dyDescent="0.25">
      <c r="A1103">
        <v>46</v>
      </c>
      <c r="B1103" t="s">
        <v>33</v>
      </c>
      <c r="C1103">
        <v>1</v>
      </c>
      <c r="D1103" t="s">
        <v>95</v>
      </c>
      <c r="E1103" t="b">
        <v>0</v>
      </c>
      <c r="F1103" s="1">
        <v>0.46736111111111112</v>
      </c>
      <c r="G1103" s="1">
        <v>0.55486111111111114</v>
      </c>
      <c r="H1103">
        <v>126</v>
      </c>
      <c r="I1103" t="b">
        <v>1</v>
      </c>
      <c r="J1103" t="b">
        <v>0</v>
      </c>
      <c r="K1103" t="b">
        <v>1</v>
      </c>
      <c r="L1103" t="s">
        <v>62</v>
      </c>
      <c r="M1103">
        <v>30</v>
      </c>
      <c r="N1103" t="s">
        <v>29</v>
      </c>
      <c r="O1103">
        <v>30</v>
      </c>
      <c r="P1103" t="s">
        <v>36</v>
      </c>
      <c r="Q1103">
        <v>0</v>
      </c>
      <c r="R1103">
        <v>30</v>
      </c>
      <c r="S1103" t="s">
        <v>37</v>
      </c>
      <c r="T1103" t="s">
        <v>54</v>
      </c>
      <c r="U1103">
        <v>32.715699999999998</v>
      </c>
      <c r="V1103">
        <v>-117.1611</v>
      </c>
      <c r="W1103" s="2">
        <v>44889</v>
      </c>
      <c r="X1103">
        <v>0</v>
      </c>
      <c r="Y1103" t="b">
        <v>1</v>
      </c>
      <c r="Z1103" s="2">
        <v>45807</v>
      </c>
      <c r="AA1103" t="str">
        <f t="shared" si="171"/>
        <v>40–49</v>
      </c>
      <c r="AB1103" t="str">
        <f t="shared" si="172"/>
        <v>40–49</v>
      </c>
      <c r="AC1103" t="str">
        <f t="shared" si="173"/>
        <v/>
      </c>
      <c r="AD1103" t="str">
        <f t="shared" si="174"/>
        <v/>
      </c>
      <c r="AE1103" t="str">
        <f t="shared" si="175"/>
        <v/>
      </c>
      <c r="AF1103" t="str">
        <f t="shared" si="176"/>
        <v/>
      </c>
      <c r="AG1103" t="str">
        <f t="shared" si="177"/>
        <v/>
      </c>
      <c r="AH1103" t="str">
        <f t="shared" si="178"/>
        <v>Saturday</v>
      </c>
      <c r="AI1103" t="str">
        <f t="shared" si="179"/>
        <v/>
      </c>
      <c r="AJ1103" t="str">
        <f>LEFT(Table1[[#This Row],[membership_type]],2)&amp;TEXT(Table1[[#This Row],[age]],"00")&amp;"-"&amp;TEXT(ROW(),"000")</f>
        <v>St46-1103</v>
      </c>
      <c r="AK1103" t="str">
        <f>LEFT(Table1[[#This Row],[membership_type]],1)&amp;TEXT(MATCH(Table1[[#This Row],[membership_type]],Table1[membership_type],0),"00")</f>
        <v>S02</v>
      </c>
      <c r="AL1103" t="str">
        <f>LEFT(Table1[[#This Row],[discount_type]],1)&amp;TEXT(ROUND(Table1[[#This Row],[discount_rate]]*100,0),"00")</f>
        <v>N00</v>
      </c>
      <c r="AM1103" t="str" cm="1">
        <f t="array" ref="AM1103">TEXT(SUMPRODUCT(CODE(MID(Table1[[#This Row],[home_gym_location]],_xlfn.SEQUENCE(LEN(Table1[[#This Row],[home_gym_location]])),1))),"00000")</f>
        <v>01018</v>
      </c>
      <c r="AN110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03" t="str">
        <f>LEFT(_xlfn.TEXTBEFORE(Table1[[#This Row],[Location Identifier]],"-"),3) &amp; "-" &amp; _xlfn.TEXTAFTER(Table1[[#This Row],[Location Identifier]],"-")</f>
        <v>SAN-008</v>
      </c>
      <c r="AP1103" s="9">
        <f t="shared" ca="1" si="170"/>
        <v>45869</v>
      </c>
    </row>
    <row r="1104" spans="1:42" x14ac:dyDescent="0.25">
      <c r="A1104">
        <v>44</v>
      </c>
      <c r="B1104" t="s">
        <v>42</v>
      </c>
      <c r="C1104">
        <v>1</v>
      </c>
      <c r="D1104" t="s">
        <v>63</v>
      </c>
      <c r="E1104" t="b">
        <v>0</v>
      </c>
      <c r="F1104" s="1">
        <v>0.86319444444444449</v>
      </c>
      <c r="G1104" s="1">
        <v>0.95694444444444449</v>
      </c>
      <c r="H1104">
        <v>135</v>
      </c>
      <c r="I1104" t="b">
        <v>1</v>
      </c>
      <c r="J1104" t="b">
        <v>0</v>
      </c>
      <c r="K1104" t="b">
        <v>0</v>
      </c>
      <c r="L1104" t="s">
        <v>62</v>
      </c>
      <c r="M1104">
        <v>20</v>
      </c>
      <c r="N1104" t="s">
        <v>29</v>
      </c>
      <c r="O1104">
        <v>20</v>
      </c>
      <c r="P1104" t="s">
        <v>36</v>
      </c>
      <c r="Q1104">
        <v>0</v>
      </c>
      <c r="R1104">
        <v>20</v>
      </c>
      <c r="S1104" t="s">
        <v>44</v>
      </c>
      <c r="T1104" t="s">
        <v>48</v>
      </c>
      <c r="U1104">
        <v>38.581600000000002</v>
      </c>
      <c r="V1104">
        <v>-121.4944</v>
      </c>
      <c r="W1104" s="2">
        <v>44842</v>
      </c>
      <c r="X1104">
        <v>0</v>
      </c>
      <c r="Y1104" t="b">
        <v>0</v>
      </c>
      <c r="Z1104" s="2">
        <v>45805</v>
      </c>
      <c r="AA1104" t="str">
        <f t="shared" si="171"/>
        <v>40–49</v>
      </c>
      <c r="AB1104" t="str">
        <f t="shared" si="172"/>
        <v>40–49</v>
      </c>
      <c r="AC1104" t="str">
        <f t="shared" si="173"/>
        <v/>
      </c>
      <c r="AD1104" t="str">
        <f t="shared" si="174"/>
        <v/>
      </c>
      <c r="AE1104" t="str">
        <f t="shared" si="175"/>
        <v>Wednesday</v>
      </c>
      <c r="AF1104" t="str">
        <f t="shared" si="176"/>
        <v/>
      </c>
      <c r="AG1104" t="str">
        <f t="shared" si="177"/>
        <v/>
      </c>
      <c r="AH1104" t="str">
        <f t="shared" si="178"/>
        <v/>
      </c>
      <c r="AI1104" t="str">
        <f t="shared" si="179"/>
        <v/>
      </c>
      <c r="AJ1104" t="str">
        <f>LEFT(Table1[[#This Row],[membership_type]],2)&amp;TEXT(Table1[[#This Row],[age]],"00")&amp;"-"&amp;TEXT(ROW(),"000")</f>
        <v>Ba44-1104</v>
      </c>
      <c r="AK1104" t="str">
        <f>LEFT(Table1[[#This Row],[membership_type]],1)&amp;TEXT(MATCH(Table1[[#This Row],[membership_type]],Table1[membership_type],0),"00")</f>
        <v>B04</v>
      </c>
      <c r="AL1104" t="str">
        <f>LEFT(Table1[[#This Row],[discount_type]],1)&amp;TEXT(ROUND(Table1[[#This Row],[discount_rate]]*100,0),"00")</f>
        <v>N00</v>
      </c>
      <c r="AM1104" t="str" cm="1">
        <f t="array" ref="AM1104">TEXT(SUMPRODUCT(CODE(MID(Table1[[#This Row],[home_gym_location]],_xlfn.SEQUENCE(LEN(Table1[[#This Row],[home_gym_location]])),1))),"00000")</f>
        <v>01245</v>
      </c>
      <c r="AN110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04" t="str">
        <f>LEFT(_xlfn.TEXTBEFORE(Table1[[#This Row],[Location Identifier]],"-"),3) &amp; "-" &amp; _xlfn.TEXTAFTER(Table1[[#This Row],[Location Identifier]],"-")</f>
        <v>SAC-007</v>
      </c>
      <c r="AP1104" s="9">
        <f t="shared" ca="1" si="170"/>
        <v>45869</v>
      </c>
    </row>
    <row r="1105" spans="1:42" x14ac:dyDescent="0.25">
      <c r="A1105">
        <v>39</v>
      </c>
      <c r="B1105" t="s">
        <v>33</v>
      </c>
      <c r="C1105">
        <v>4</v>
      </c>
      <c r="D1105" t="s">
        <v>39</v>
      </c>
      <c r="E1105" t="b">
        <v>1</v>
      </c>
      <c r="F1105" s="1">
        <v>0.56597222222222221</v>
      </c>
      <c r="G1105" s="1">
        <v>0.60902777777777772</v>
      </c>
      <c r="H1105">
        <v>62</v>
      </c>
      <c r="I1105" t="b">
        <v>1</v>
      </c>
      <c r="J1105" t="b">
        <v>1</v>
      </c>
      <c r="K1105" t="b">
        <v>1</v>
      </c>
      <c r="L1105" t="s">
        <v>28</v>
      </c>
      <c r="M1105">
        <v>30</v>
      </c>
      <c r="N1105" t="s">
        <v>29</v>
      </c>
      <c r="O1105">
        <v>30</v>
      </c>
      <c r="P1105" t="s">
        <v>40</v>
      </c>
      <c r="Q1105">
        <v>0.1</v>
      </c>
      <c r="R1105">
        <v>27</v>
      </c>
      <c r="S1105" t="s">
        <v>37</v>
      </c>
      <c r="T1105" t="s">
        <v>41</v>
      </c>
      <c r="U1105">
        <v>37.804400000000001</v>
      </c>
      <c r="V1105">
        <v>-122.27119999999999</v>
      </c>
      <c r="W1105" s="2">
        <v>44771</v>
      </c>
      <c r="X1105">
        <v>1</v>
      </c>
      <c r="Y1105" t="b">
        <v>1</v>
      </c>
      <c r="Z1105" s="2">
        <v>45801</v>
      </c>
      <c r="AA1105" t="str">
        <f t="shared" si="171"/>
        <v>30–39</v>
      </c>
      <c r="AB1105" t="str">
        <f t="shared" si="172"/>
        <v>30–39</v>
      </c>
      <c r="AC1105" t="str">
        <f t="shared" si="173"/>
        <v/>
      </c>
      <c r="AD1105" t="str">
        <f t="shared" si="174"/>
        <v>Tuesday</v>
      </c>
      <c r="AE1105" t="str">
        <f t="shared" si="175"/>
        <v>Wednesday</v>
      </c>
      <c r="AF1105" t="str">
        <f t="shared" si="176"/>
        <v>Thursday</v>
      </c>
      <c r="AG1105" t="str">
        <f t="shared" si="177"/>
        <v/>
      </c>
      <c r="AH1105" t="str">
        <f t="shared" si="178"/>
        <v/>
      </c>
      <c r="AI1105" t="str">
        <f t="shared" si="179"/>
        <v>Sunday</v>
      </c>
      <c r="AJ1105" t="str">
        <f>LEFT(Table1[[#This Row],[membership_type]],2)&amp;TEXT(Table1[[#This Row],[age]],"00")&amp;"-"&amp;TEXT(ROW(),"000")</f>
        <v>St39-1105</v>
      </c>
      <c r="AK1105" t="str">
        <f>LEFT(Table1[[#This Row],[membership_type]],1)&amp;TEXT(MATCH(Table1[[#This Row],[membership_type]],Table1[membership_type],0),"00")</f>
        <v>S02</v>
      </c>
      <c r="AL1105" t="str">
        <f>LEFT(Table1[[#This Row],[discount_type]],1)&amp;TEXT(ROUND(Table1[[#This Row],[discount_rate]]*100,0),"00")</f>
        <v>L10</v>
      </c>
      <c r="AM1105" t="str" cm="1">
        <f t="array" ref="AM1105">TEXT(SUMPRODUCT(CODE(MID(Table1[[#This Row],[home_gym_location]],_xlfn.SEQUENCE(LEN(Table1[[#This Row],[home_gym_location]])),1))),"00000")</f>
        <v>00906</v>
      </c>
      <c r="AN110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05" t="str">
        <f>LEFT(_xlfn.TEXTBEFORE(Table1[[#This Row],[Location Identifier]],"-"),3) &amp; "-" &amp; _xlfn.TEXTAFTER(Table1[[#This Row],[Location Identifier]],"-")</f>
        <v>OAK-006</v>
      </c>
      <c r="AP1105" s="9">
        <f t="shared" ca="1" si="170"/>
        <v>45869</v>
      </c>
    </row>
    <row r="1106" spans="1:42" x14ac:dyDescent="0.25">
      <c r="A1106">
        <v>24</v>
      </c>
      <c r="B1106" t="s">
        <v>26</v>
      </c>
      <c r="C1106">
        <v>3</v>
      </c>
      <c r="D1106" t="s">
        <v>90</v>
      </c>
      <c r="E1106" t="b">
        <v>0</v>
      </c>
      <c r="F1106" s="1">
        <v>0.44861111111111113</v>
      </c>
      <c r="G1106" s="1">
        <v>0.54097222222222219</v>
      </c>
      <c r="H1106">
        <v>133</v>
      </c>
      <c r="I1106" t="b">
        <v>0</v>
      </c>
      <c r="J1106" t="b">
        <v>1</v>
      </c>
      <c r="K1106" t="b">
        <v>1</v>
      </c>
      <c r="L1106" t="s">
        <v>28</v>
      </c>
      <c r="M1106">
        <v>50</v>
      </c>
      <c r="N1106" t="s">
        <v>29</v>
      </c>
      <c r="O1106">
        <v>50</v>
      </c>
      <c r="P1106" t="s">
        <v>40</v>
      </c>
      <c r="Q1106">
        <v>0.1</v>
      </c>
      <c r="R1106">
        <v>45</v>
      </c>
      <c r="S1106" t="s">
        <v>31</v>
      </c>
      <c r="T1106" t="s">
        <v>65</v>
      </c>
      <c r="U1106">
        <v>33.770099999999999</v>
      </c>
      <c r="V1106">
        <v>-118.19370000000001</v>
      </c>
      <c r="W1106" s="2">
        <v>45645</v>
      </c>
      <c r="X1106">
        <v>5</v>
      </c>
      <c r="Y1106" t="b">
        <v>1</v>
      </c>
      <c r="Z1106" s="2">
        <v>45850</v>
      </c>
      <c r="AA1106" t="str">
        <f t="shared" si="171"/>
        <v>20–29</v>
      </c>
      <c r="AB1106" t="str">
        <f t="shared" si="172"/>
        <v>20–29</v>
      </c>
      <c r="AC1106" t="str">
        <f t="shared" si="173"/>
        <v/>
      </c>
      <c r="AD1106" t="str">
        <f t="shared" si="174"/>
        <v>Tuesday</v>
      </c>
      <c r="AE1106" t="str">
        <f t="shared" si="175"/>
        <v/>
      </c>
      <c r="AF1106" t="str">
        <f t="shared" si="176"/>
        <v/>
      </c>
      <c r="AG1106" t="str">
        <f t="shared" si="177"/>
        <v/>
      </c>
      <c r="AH1106" t="str">
        <f t="shared" si="178"/>
        <v>Saturday</v>
      </c>
      <c r="AI1106" t="str">
        <f t="shared" si="179"/>
        <v>Sunday</v>
      </c>
      <c r="AJ1106" t="str">
        <f>LEFT(Table1[[#This Row],[membership_type]],2)&amp;TEXT(Table1[[#This Row],[age]],"00")&amp;"-"&amp;TEXT(ROW(),"000")</f>
        <v>Pr24-1106</v>
      </c>
      <c r="AK1106" t="str">
        <f>LEFT(Table1[[#This Row],[membership_type]],1)&amp;TEXT(MATCH(Table1[[#This Row],[membership_type]],Table1[membership_type],0),"00")</f>
        <v>P01</v>
      </c>
      <c r="AL1106" t="str">
        <f>LEFT(Table1[[#This Row],[discount_type]],1)&amp;TEXT(ROUND(Table1[[#This Row],[discount_rate]]*100,0),"00")</f>
        <v>L10</v>
      </c>
      <c r="AM1106" t="str" cm="1">
        <f t="array" ref="AM1106">TEXT(SUMPRODUCT(CODE(MID(Table1[[#This Row],[home_gym_location]],_xlfn.SEQUENCE(LEN(Table1[[#This Row],[home_gym_location]])),1))),"00000")</f>
        <v>01107</v>
      </c>
      <c r="AN110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06" t="str">
        <f>LEFT(_xlfn.TEXTBEFORE(Table1[[#This Row],[Location Identifier]],"-"),3) &amp; "-" &amp; _xlfn.TEXTAFTER(Table1[[#This Row],[Location Identifier]],"-")</f>
        <v>LON-004</v>
      </c>
      <c r="AP1106" s="9">
        <f t="shared" ca="1" si="170"/>
        <v>45869</v>
      </c>
    </row>
    <row r="1107" spans="1:42" x14ac:dyDescent="0.25">
      <c r="A1107">
        <v>38</v>
      </c>
      <c r="B1107" t="s">
        <v>51</v>
      </c>
      <c r="C1107">
        <v>1</v>
      </c>
      <c r="D1107" t="s">
        <v>71</v>
      </c>
      <c r="E1107" t="b">
        <v>1</v>
      </c>
      <c r="F1107" s="1">
        <v>0.41736111111111113</v>
      </c>
      <c r="G1107" s="1">
        <v>0.53333333333333333</v>
      </c>
      <c r="H1107">
        <v>167</v>
      </c>
      <c r="I1107" t="b">
        <v>1</v>
      </c>
      <c r="J1107" t="b">
        <v>1</v>
      </c>
      <c r="K1107" t="b">
        <v>1</v>
      </c>
      <c r="L1107" t="s">
        <v>62</v>
      </c>
      <c r="M1107">
        <v>70</v>
      </c>
      <c r="N1107" t="s">
        <v>29</v>
      </c>
      <c r="O1107">
        <v>70</v>
      </c>
      <c r="P1107" t="s">
        <v>36</v>
      </c>
      <c r="Q1107">
        <v>0</v>
      </c>
      <c r="R1107">
        <v>70</v>
      </c>
      <c r="S1107" t="s">
        <v>53</v>
      </c>
      <c r="T1107" t="s">
        <v>38</v>
      </c>
      <c r="U1107">
        <v>36.7378</v>
      </c>
      <c r="V1107">
        <v>-119.7871</v>
      </c>
      <c r="W1107" s="2">
        <v>45409</v>
      </c>
      <c r="X1107">
        <v>5</v>
      </c>
      <c r="Y1107" t="b">
        <v>0</v>
      </c>
      <c r="Z1107" s="2">
        <v>45837</v>
      </c>
      <c r="AA1107" t="str">
        <f t="shared" si="171"/>
        <v>30–39</v>
      </c>
      <c r="AB1107" t="str">
        <f t="shared" si="172"/>
        <v>30–39</v>
      </c>
      <c r="AC1107" t="str">
        <f t="shared" si="173"/>
        <v/>
      </c>
      <c r="AD1107" t="str">
        <f t="shared" si="174"/>
        <v>Tuesday</v>
      </c>
      <c r="AE1107" t="str">
        <f t="shared" si="175"/>
        <v/>
      </c>
      <c r="AF1107" t="str">
        <f t="shared" si="176"/>
        <v/>
      </c>
      <c r="AG1107" t="str">
        <f t="shared" si="177"/>
        <v/>
      </c>
      <c r="AH1107" t="str">
        <f t="shared" si="178"/>
        <v/>
      </c>
      <c r="AI1107" t="str">
        <f t="shared" si="179"/>
        <v/>
      </c>
      <c r="AJ1107" t="str">
        <f>LEFT(Table1[[#This Row],[membership_type]],2)&amp;TEXT(Table1[[#This Row],[age]],"00")&amp;"-"&amp;TEXT(ROW(),"000")</f>
        <v>El38-1107</v>
      </c>
      <c r="AK1107" t="str">
        <f>LEFT(Table1[[#This Row],[membership_type]],1)&amp;TEXT(MATCH(Table1[[#This Row],[membership_type]],Table1[membership_type],0),"00")</f>
        <v>E07</v>
      </c>
      <c r="AL1107" t="str">
        <f>LEFT(Table1[[#This Row],[discount_type]],1)&amp;TEXT(ROUND(Table1[[#This Row],[discount_rate]]*100,0),"00")</f>
        <v>N00</v>
      </c>
      <c r="AM1107" t="str" cm="1">
        <f t="array" ref="AM1107">TEXT(SUMPRODUCT(CODE(MID(Table1[[#This Row],[home_gym_location]],_xlfn.SEQUENCE(LEN(Table1[[#This Row],[home_gym_location]])),1))),"00000")</f>
        <v>00829</v>
      </c>
      <c r="AN1107" t="str">
        <f>UPPER(_xlfn.TEXTBEFORE(Table1[[#This Row],[home_gym_location]],","))&amp;"-"&amp;TEXT(MATCH(Table1[[#This Row],[home_gym_location]],_xlfn._xlws.SORT(_xlfn.UNIQUE(Table1[home_gym_location])),0),"000")</f>
        <v>FRESNO-003</v>
      </c>
      <c r="AO1107" t="str">
        <f>LEFT(_xlfn.TEXTBEFORE(Table1[[#This Row],[Location Identifier]],"-"),3) &amp; "-" &amp; _xlfn.TEXTAFTER(Table1[[#This Row],[Location Identifier]],"-")</f>
        <v>FRE-003</v>
      </c>
      <c r="AP1107" s="9">
        <f t="shared" ca="1" si="170"/>
        <v>45869</v>
      </c>
    </row>
    <row r="1108" spans="1:42" x14ac:dyDescent="0.25">
      <c r="A1108">
        <v>28</v>
      </c>
      <c r="B1108" t="s">
        <v>26</v>
      </c>
      <c r="C1108">
        <v>4</v>
      </c>
      <c r="D1108" t="s">
        <v>143</v>
      </c>
      <c r="E1108" t="b">
        <v>1</v>
      </c>
      <c r="F1108" s="1">
        <v>0.46527777777777779</v>
      </c>
      <c r="G1108" s="1">
        <v>0.5805555555555556</v>
      </c>
      <c r="H1108">
        <v>166</v>
      </c>
      <c r="I1108" t="b">
        <v>0</v>
      </c>
      <c r="J1108" t="b">
        <v>1</v>
      </c>
      <c r="K1108" t="b">
        <v>1</v>
      </c>
      <c r="L1108" t="s">
        <v>28</v>
      </c>
      <c r="M1108">
        <v>50</v>
      </c>
      <c r="N1108" t="s">
        <v>64</v>
      </c>
      <c r="O1108">
        <v>37.5</v>
      </c>
      <c r="P1108" t="s">
        <v>74</v>
      </c>
      <c r="Q1108">
        <v>0.15</v>
      </c>
      <c r="R1108">
        <v>31.875</v>
      </c>
      <c r="S1108" t="s">
        <v>31</v>
      </c>
      <c r="T1108" t="s">
        <v>65</v>
      </c>
      <c r="U1108">
        <v>33.770099999999999</v>
      </c>
      <c r="V1108">
        <v>-118.19370000000001</v>
      </c>
      <c r="W1108" s="2">
        <v>45023</v>
      </c>
      <c r="X1108">
        <v>1</v>
      </c>
      <c r="Y1108" t="b">
        <v>1</v>
      </c>
      <c r="Z1108" s="2">
        <v>45815</v>
      </c>
      <c r="AA1108" t="str">
        <f t="shared" si="171"/>
        <v>20–29</v>
      </c>
      <c r="AB1108" t="str">
        <f t="shared" si="172"/>
        <v>20–29</v>
      </c>
      <c r="AC1108" t="str">
        <f t="shared" si="173"/>
        <v>Monday</v>
      </c>
      <c r="AD1108" t="str">
        <f t="shared" si="174"/>
        <v>Tuesday</v>
      </c>
      <c r="AE1108" t="str">
        <f t="shared" si="175"/>
        <v>Wednesday</v>
      </c>
      <c r="AF1108" t="str">
        <f t="shared" si="176"/>
        <v/>
      </c>
      <c r="AG1108" t="str">
        <f t="shared" si="177"/>
        <v>Friday</v>
      </c>
      <c r="AH1108" t="str">
        <f t="shared" si="178"/>
        <v/>
      </c>
      <c r="AI1108" t="str">
        <f t="shared" si="179"/>
        <v/>
      </c>
      <c r="AJ1108" t="str">
        <f>LEFT(Table1[[#This Row],[membership_type]],2)&amp;TEXT(Table1[[#This Row],[age]],"00")&amp;"-"&amp;TEXT(ROW(),"000")</f>
        <v>Pr28-1108</v>
      </c>
      <c r="AK1108" t="str">
        <f>LEFT(Table1[[#This Row],[membership_type]],1)&amp;TEXT(MATCH(Table1[[#This Row],[membership_type]],Table1[membership_type],0),"00")</f>
        <v>P01</v>
      </c>
      <c r="AL1108" t="str">
        <f>LEFT(Table1[[#This Row],[discount_type]],1)&amp;TEXT(ROUND(Table1[[#This Row],[discount_rate]]*100,0),"00")</f>
        <v>S15</v>
      </c>
      <c r="AM1108" t="str" cm="1">
        <f t="array" ref="AM1108">TEXT(SUMPRODUCT(CODE(MID(Table1[[#This Row],[home_gym_location]],_xlfn.SEQUENCE(LEN(Table1[[#This Row],[home_gym_location]])),1))),"00000")</f>
        <v>01107</v>
      </c>
      <c r="AN110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08" t="str">
        <f>LEFT(_xlfn.TEXTBEFORE(Table1[[#This Row],[Location Identifier]],"-"),3) &amp; "-" &amp; _xlfn.TEXTAFTER(Table1[[#This Row],[Location Identifier]],"-")</f>
        <v>LON-004</v>
      </c>
      <c r="AP1108" s="9">
        <f t="shared" ca="1" si="170"/>
        <v>45869</v>
      </c>
    </row>
    <row r="1109" spans="1:42" x14ac:dyDescent="0.25">
      <c r="A1109">
        <v>28</v>
      </c>
      <c r="B1109" t="s">
        <v>26</v>
      </c>
      <c r="C1109">
        <v>4</v>
      </c>
      <c r="D1109" t="s">
        <v>143</v>
      </c>
      <c r="E1109" t="b">
        <v>1</v>
      </c>
      <c r="F1109" s="1">
        <v>0.46527777777777779</v>
      </c>
      <c r="G1109" s="1">
        <v>0.5805555555555556</v>
      </c>
      <c r="H1109">
        <v>166</v>
      </c>
      <c r="I1109" t="b">
        <v>0</v>
      </c>
      <c r="J1109" t="b">
        <v>1</v>
      </c>
      <c r="K1109" t="b">
        <v>1</v>
      </c>
      <c r="L1109" t="s">
        <v>28</v>
      </c>
      <c r="M1109">
        <v>50</v>
      </c>
      <c r="N1109" t="s">
        <v>64</v>
      </c>
      <c r="O1109">
        <v>37.5</v>
      </c>
      <c r="P1109" t="s">
        <v>74</v>
      </c>
      <c r="Q1109">
        <v>0.15</v>
      </c>
      <c r="R1109">
        <v>31.875</v>
      </c>
      <c r="S1109" t="s">
        <v>31</v>
      </c>
      <c r="T1109" t="s">
        <v>65</v>
      </c>
      <c r="U1109">
        <v>33.770099999999999</v>
      </c>
      <c r="V1109">
        <v>-118.19370000000001</v>
      </c>
      <c r="W1109" s="2">
        <v>45089</v>
      </c>
      <c r="X1109">
        <v>3</v>
      </c>
      <c r="Y1109" t="b">
        <v>1</v>
      </c>
      <c r="Z1109" s="2">
        <v>45819</v>
      </c>
      <c r="AA1109" t="str">
        <f t="shared" si="171"/>
        <v>20–29</v>
      </c>
      <c r="AB1109" t="str">
        <f t="shared" si="172"/>
        <v>20–29</v>
      </c>
      <c r="AC1109" t="str">
        <f t="shared" si="173"/>
        <v>Monday</v>
      </c>
      <c r="AD1109" t="str">
        <f t="shared" si="174"/>
        <v>Tuesday</v>
      </c>
      <c r="AE1109" t="str">
        <f t="shared" si="175"/>
        <v>Wednesday</v>
      </c>
      <c r="AF1109" t="str">
        <f t="shared" si="176"/>
        <v/>
      </c>
      <c r="AG1109" t="str">
        <f t="shared" si="177"/>
        <v>Friday</v>
      </c>
      <c r="AH1109" t="str">
        <f t="shared" si="178"/>
        <v/>
      </c>
      <c r="AI1109" t="str">
        <f t="shared" si="179"/>
        <v/>
      </c>
      <c r="AJ1109" t="str">
        <f>LEFT(Table1[[#This Row],[membership_type]],2)&amp;TEXT(Table1[[#This Row],[age]],"00")&amp;"-"&amp;TEXT(ROW(),"000")</f>
        <v>Pr28-1109</v>
      </c>
      <c r="AK1109" t="str">
        <f>LEFT(Table1[[#This Row],[membership_type]],1)&amp;TEXT(MATCH(Table1[[#This Row],[membership_type]],Table1[membership_type],0),"00")</f>
        <v>P01</v>
      </c>
      <c r="AL1109" t="str">
        <f>LEFT(Table1[[#This Row],[discount_type]],1)&amp;TEXT(ROUND(Table1[[#This Row],[discount_rate]]*100,0),"00")</f>
        <v>S15</v>
      </c>
      <c r="AM1109" t="str" cm="1">
        <f t="array" ref="AM1109">TEXT(SUMPRODUCT(CODE(MID(Table1[[#This Row],[home_gym_location]],_xlfn.SEQUENCE(LEN(Table1[[#This Row],[home_gym_location]])),1))),"00000")</f>
        <v>01107</v>
      </c>
      <c r="AN110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09" t="str">
        <f>LEFT(_xlfn.TEXTBEFORE(Table1[[#This Row],[Location Identifier]],"-"),3) &amp; "-" &amp; _xlfn.TEXTAFTER(Table1[[#This Row],[Location Identifier]],"-")</f>
        <v>LON-004</v>
      </c>
      <c r="AP1109" s="9">
        <f t="shared" ca="1" si="170"/>
        <v>45869</v>
      </c>
    </row>
    <row r="1110" spans="1:42" x14ac:dyDescent="0.25">
      <c r="A1110">
        <v>20</v>
      </c>
      <c r="B1110" t="s">
        <v>26</v>
      </c>
      <c r="C1110">
        <v>4</v>
      </c>
      <c r="D1110" t="s">
        <v>98</v>
      </c>
      <c r="E1110" t="b">
        <v>1</v>
      </c>
      <c r="F1110" s="1">
        <v>0.40694444444444444</v>
      </c>
      <c r="G1110" s="1">
        <v>0.49652777777777779</v>
      </c>
      <c r="H1110">
        <v>129</v>
      </c>
      <c r="I1110" t="b">
        <v>0</v>
      </c>
      <c r="J1110" t="b">
        <v>1</v>
      </c>
      <c r="K1110" t="b">
        <v>0</v>
      </c>
      <c r="L1110" t="s">
        <v>28</v>
      </c>
      <c r="M1110">
        <v>50</v>
      </c>
      <c r="N1110" t="s">
        <v>78</v>
      </c>
      <c r="O1110">
        <v>45</v>
      </c>
      <c r="P1110" t="s">
        <v>74</v>
      </c>
      <c r="Q1110">
        <v>0.15</v>
      </c>
      <c r="R1110">
        <v>38.25</v>
      </c>
      <c r="S1110" t="s">
        <v>31</v>
      </c>
      <c r="T1110" t="s">
        <v>65</v>
      </c>
      <c r="U1110">
        <v>33.770099999999999</v>
      </c>
      <c r="V1110">
        <v>-118.19370000000001</v>
      </c>
      <c r="W1110" s="2">
        <v>45667</v>
      </c>
      <c r="X1110">
        <v>8</v>
      </c>
      <c r="Y1110" t="b">
        <v>1</v>
      </c>
      <c r="Z1110" s="2">
        <v>45851</v>
      </c>
      <c r="AA1110" t="str">
        <f t="shared" si="171"/>
        <v>20–29</v>
      </c>
      <c r="AB1110" t="str">
        <f t="shared" si="172"/>
        <v>20–29</v>
      </c>
      <c r="AC1110" t="str">
        <f t="shared" si="173"/>
        <v>Monday</v>
      </c>
      <c r="AD1110" t="str">
        <f t="shared" si="174"/>
        <v>Tuesday</v>
      </c>
      <c r="AE1110" t="str">
        <f t="shared" si="175"/>
        <v>Wednesday</v>
      </c>
      <c r="AF1110" t="str">
        <f t="shared" si="176"/>
        <v/>
      </c>
      <c r="AG1110" t="str">
        <f t="shared" si="177"/>
        <v/>
      </c>
      <c r="AH1110" t="str">
        <f t="shared" si="178"/>
        <v>Saturday</v>
      </c>
      <c r="AI1110" t="str">
        <f t="shared" si="179"/>
        <v/>
      </c>
      <c r="AJ1110" t="str">
        <f>LEFT(Table1[[#This Row],[membership_type]],2)&amp;TEXT(Table1[[#This Row],[age]],"00")&amp;"-"&amp;TEXT(ROW(),"000")</f>
        <v>Pr20-1110</v>
      </c>
      <c r="AK1110" t="str">
        <f>LEFT(Table1[[#This Row],[membership_type]],1)&amp;TEXT(MATCH(Table1[[#This Row],[membership_type]],Table1[membership_type],0),"00")</f>
        <v>P01</v>
      </c>
      <c r="AL1110" t="str">
        <f>LEFT(Table1[[#This Row],[discount_type]],1)&amp;TEXT(ROUND(Table1[[#This Row],[discount_rate]]*100,0),"00")</f>
        <v>S15</v>
      </c>
      <c r="AM1110" t="str" cm="1">
        <f t="array" ref="AM1110">TEXT(SUMPRODUCT(CODE(MID(Table1[[#This Row],[home_gym_location]],_xlfn.SEQUENCE(LEN(Table1[[#This Row],[home_gym_location]])),1))),"00000")</f>
        <v>01107</v>
      </c>
      <c r="AN111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10" t="str">
        <f>LEFT(_xlfn.TEXTBEFORE(Table1[[#This Row],[Location Identifier]],"-"),3) &amp; "-" &amp; _xlfn.TEXTAFTER(Table1[[#This Row],[Location Identifier]],"-")</f>
        <v>LON-004</v>
      </c>
      <c r="AP1110" s="9">
        <f t="shared" ca="1" si="170"/>
        <v>45869</v>
      </c>
    </row>
    <row r="1111" spans="1:42" x14ac:dyDescent="0.25">
      <c r="A1111">
        <v>39</v>
      </c>
      <c r="B1111" t="s">
        <v>33</v>
      </c>
      <c r="C1111">
        <v>2</v>
      </c>
      <c r="D1111" t="s">
        <v>126</v>
      </c>
      <c r="E1111" t="b">
        <v>1</v>
      </c>
      <c r="F1111" s="1">
        <v>0.63472222222222219</v>
      </c>
      <c r="G1111" s="1">
        <v>0.73541666666666672</v>
      </c>
      <c r="H1111">
        <v>145</v>
      </c>
      <c r="I1111" t="b">
        <v>1</v>
      </c>
      <c r="J1111" t="b">
        <v>0</v>
      </c>
      <c r="K1111" t="b">
        <v>0</v>
      </c>
      <c r="L1111" t="s">
        <v>28</v>
      </c>
      <c r="M1111">
        <v>30</v>
      </c>
      <c r="N1111" t="s">
        <v>64</v>
      </c>
      <c r="O1111">
        <v>22.5</v>
      </c>
      <c r="P1111" t="s">
        <v>30</v>
      </c>
      <c r="Q1111">
        <v>0.05</v>
      </c>
      <c r="R1111">
        <v>21.375</v>
      </c>
      <c r="S1111" t="s">
        <v>37</v>
      </c>
      <c r="T1111" t="s">
        <v>48</v>
      </c>
      <c r="U1111">
        <v>38.581600000000002</v>
      </c>
      <c r="V1111">
        <v>-121.4944</v>
      </c>
      <c r="W1111" s="2">
        <v>44962</v>
      </c>
      <c r="X1111">
        <v>0</v>
      </c>
      <c r="Y1111" t="b">
        <v>0</v>
      </c>
      <c r="Z1111" s="2">
        <v>45812</v>
      </c>
      <c r="AA1111" t="str">
        <f t="shared" si="171"/>
        <v>30–39</v>
      </c>
      <c r="AB1111" t="str">
        <f t="shared" si="172"/>
        <v>30–39</v>
      </c>
      <c r="AC1111" t="str">
        <f t="shared" si="173"/>
        <v/>
      </c>
      <c r="AD1111" t="str">
        <f t="shared" si="174"/>
        <v>Tuesday</v>
      </c>
      <c r="AE1111" t="str">
        <f t="shared" si="175"/>
        <v>Wednesday</v>
      </c>
      <c r="AF1111" t="str">
        <f t="shared" si="176"/>
        <v/>
      </c>
      <c r="AG1111" t="str">
        <f t="shared" si="177"/>
        <v/>
      </c>
      <c r="AH1111" t="str">
        <f t="shared" si="178"/>
        <v/>
      </c>
      <c r="AI1111" t="str">
        <f t="shared" si="179"/>
        <v/>
      </c>
      <c r="AJ1111" t="str">
        <f>LEFT(Table1[[#This Row],[membership_type]],2)&amp;TEXT(Table1[[#This Row],[age]],"00")&amp;"-"&amp;TEXT(ROW(),"000")</f>
        <v>St39-1111</v>
      </c>
      <c r="AK1111" t="str">
        <f>LEFT(Table1[[#This Row],[membership_type]],1)&amp;TEXT(MATCH(Table1[[#This Row],[membership_type]],Table1[membership_type],0),"00")</f>
        <v>S02</v>
      </c>
      <c r="AL1111" t="str">
        <f>LEFT(Table1[[#This Row],[discount_type]],1)&amp;TEXT(ROUND(Table1[[#This Row],[discount_rate]]*100,0),"00")</f>
        <v>P05</v>
      </c>
      <c r="AM1111" t="str" cm="1">
        <f t="array" ref="AM1111">TEXT(SUMPRODUCT(CODE(MID(Table1[[#This Row],[home_gym_location]],_xlfn.SEQUENCE(LEN(Table1[[#This Row],[home_gym_location]])),1))),"00000")</f>
        <v>01245</v>
      </c>
      <c r="AN111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11" t="str">
        <f>LEFT(_xlfn.TEXTBEFORE(Table1[[#This Row],[Location Identifier]],"-"),3) &amp; "-" &amp; _xlfn.TEXTAFTER(Table1[[#This Row],[Location Identifier]],"-")</f>
        <v>SAC-007</v>
      </c>
      <c r="AP1111" s="9">
        <f t="shared" ca="1" si="170"/>
        <v>45869</v>
      </c>
    </row>
    <row r="1112" spans="1:42" x14ac:dyDescent="0.25">
      <c r="A1112">
        <v>23</v>
      </c>
      <c r="B1112" t="s">
        <v>33</v>
      </c>
      <c r="C1112">
        <v>2</v>
      </c>
      <c r="D1112" t="s">
        <v>27</v>
      </c>
      <c r="E1112" t="b">
        <v>0</v>
      </c>
      <c r="F1112" s="1">
        <v>0.49722222222222223</v>
      </c>
      <c r="G1112" s="1">
        <v>0.5708333333333333</v>
      </c>
      <c r="H1112">
        <v>106</v>
      </c>
      <c r="I1112" t="b">
        <v>0</v>
      </c>
      <c r="J1112" t="b">
        <v>1</v>
      </c>
      <c r="K1112" t="b">
        <v>1</v>
      </c>
      <c r="L1112" t="s">
        <v>62</v>
      </c>
      <c r="M1112">
        <v>30</v>
      </c>
      <c r="N1112" t="s">
        <v>29</v>
      </c>
      <c r="O1112">
        <v>30</v>
      </c>
      <c r="P1112" t="s">
        <v>30</v>
      </c>
      <c r="Q1112">
        <v>0.05</v>
      </c>
      <c r="R1112">
        <v>28.5</v>
      </c>
      <c r="S1112" t="s">
        <v>37</v>
      </c>
      <c r="T1112" t="s">
        <v>38</v>
      </c>
      <c r="U1112">
        <v>36.7378</v>
      </c>
      <c r="V1112">
        <v>-119.7871</v>
      </c>
      <c r="W1112" s="2">
        <v>45591</v>
      </c>
      <c r="X1112">
        <v>6</v>
      </c>
      <c r="Y1112" t="b">
        <v>0</v>
      </c>
      <c r="Z1112" s="2">
        <v>45847</v>
      </c>
      <c r="AA1112" t="str">
        <f t="shared" si="171"/>
        <v>20–29</v>
      </c>
      <c r="AB1112" t="str">
        <f t="shared" si="172"/>
        <v>20–29</v>
      </c>
      <c r="AC1112" t="str">
        <f t="shared" si="173"/>
        <v/>
      </c>
      <c r="AD1112" t="str">
        <f t="shared" si="174"/>
        <v/>
      </c>
      <c r="AE1112" t="str">
        <f t="shared" si="175"/>
        <v/>
      </c>
      <c r="AF1112" t="str">
        <f t="shared" si="176"/>
        <v>Thursday</v>
      </c>
      <c r="AG1112" t="str">
        <f t="shared" si="177"/>
        <v/>
      </c>
      <c r="AH1112" t="str">
        <f t="shared" si="178"/>
        <v>Saturday</v>
      </c>
      <c r="AI1112" t="str">
        <f t="shared" si="179"/>
        <v/>
      </c>
      <c r="AJ1112" t="str">
        <f>LEFT(Table1[[#This Row],[membership_type]],2)&amp;TEXT(Table1[[#This Row],[age]],"00")&amp;"-"&amp;TEXT(ROW(),"000")</f>
        <v>St23-1112</v>
      </c>
      <c r="AK1112" t="str">
        <f>LEFT(Table1[[#This Row],[membership_type]],1)&amp;TEXT(MATCH(Table1[[#This Row],[membership_type]],Table1[membership_type],0),"00")</f>
        <v>S02</v>
      </c>
      <c r="AL1112" t="str">
        <f>LEFT(Table1[[#This Row],[discount_type]],1)&amp;TEXT(ROUND(Table1[[#This Row],[discount_rate]]*100,0),"00")</f>
        <v>P05</v>
      </c>
      <c r="AM1112" t="str" cm="1">
        <f t="array" ref="AM1112">TEXT(SUMPRODUCT(CODE(MID(Table1[[#This Row],[home_gym_location]],_xlfn.SEQUENCE(LEN(Table1[[#This Row],[home_gym_location]])),1))),"00000")</f>
        <v>00829</v>
      </c>
      <c r="AN1112" t="str">
        <f>UPPER(_xlfn.TEXTBEFORE(Table1[[#This Row],[home_gym_location]],","))&amp;"-"&amp;TEXT(MATCH(Table1[[#This Row],[home_gym_location]],_xlfn._xlws.SORT(_xlfn.UNIQUE(Table1[home_gym_location])),0),"000")</f>
        <v>FRESNO-003</v>
      </c>
      <c r="AO1112" t="str">
        <f>LEFT(_xlfn.TEXTBEFORE(Table1[[#This Row],[Location Identifier]],"-"),3) &amp; "-" &amp; _xlfn.TEXTAFTER(Table1[[#This Row],[Location Identifier]],"-")</f>
        <v>FRE-003</v>
      </c>
      <c r="AP1112" s="9">
        <f t="shared" ca="1" si="170"/>
        <v>45869</v>
      </c>
    </row>
    <row r="1113" spans="1:42" x14ac:dyDescent="0.25">
      <c r="A1113">
        <v>41</v>
      </c>
      <c r="B1113" t="s">
        <v>33</v>
      </c>
      <c r="C1113">
        <v>3</v>
      </c>
      <c r="D1113" t="s">
        <v>82</v>
      </c>
      <c r="E1113" t="b">
        <v>0</v>
      </c>
      <c r="F1113" s="1">
        <v>0.41388888888888886</v>
      </c>
      <c r="G1113" s="1">
        <v>0.48541666666666666</v>
      </c>
      <c r="H1113">
        <v>103</v>
      </c>
      <c r="I1113" t="b">
        <v>0</v>
      </c>
      <c r="J1113" t="b">
        <v>1</v>
      </c>
      <c r="K1113" t="b">
        <v>1</v>
      </c>
      <c r="L1113" t="s">
        <v>47</v>
      </c>
      <c r="M1113">
        <v>30</v>
      </c>
      <c r="N1113" t="s">
        <v>29</v>
      </c>
      <c r="O1113">
        <v>30</v>
      </c>
      <c r="P1113" t="s">
        <v>74</v>
      </c>
      <c r="Q1113">
        <v>0.15</v>
      </c>
      <c r="R1113">
        <v>25.5</v>
      </c>
      <c r="S1113" t="s">
        <v>37</v>
      </c>
      <c r="T1113" t="s">
        <v>65</v>
      </c>
      <c r="U1113">
        <v>33.770099999999999</v>
      </c>
      <c r="V1113">
        <v>-118.19370000000001</v>
      </c>
      <c r="W1113" s="2">
        <v>45592</v>
      </c>
      <c r="X1113">
        <v>3</v>
      </c>
      <c r="Y1113" t="b">
        <v>0</v>
      </c>
      <c r="Z1113" s="2">
        <v>45847</v>
      </c>
      <c r="AA1113" t="str">
        <f t="shared" si="171"/>
        <v>40–49</v>
      </c>
      <c r="AB1113" t="str">
        <f t="shared" si="172"/>
        <v>40–49</v>
      </c>
      <c r="AC1113" t="str">
        <f t="shared" si="173"/>
        <v/>
      </c>
      <c r="AD1113" t="str">
        <f t="shared" si="174"/>
        <v/>
      </c>
      <c r="AE1113" t="str">
        <f t="shared" si="175"/>
        <v/>
      </c>
      <c r="AF1113" t="str">
        <f t="shared" si="176"/>
        <v/>
      </c>
      <c r="AG1113" t="str">
        <f t="shared" si="177"/>
        <v>Friday</v>
      </c>
      <c r="AH1113" t="str">
        <f t="shared" si="178"/>
        <v>Saturday</v>
      </c>
      <c r="AI1113" t="str">
        <f t="shared" si="179"/>
        <v>Sunday</v>
      </c>
      <c r="AJ1113" t="str">
        <f>LEFT(Table1[[#This Row],[membership_type]],2)&amp;TEXT(Table1[[#This Row],[age]],"00")&amp;"-"&amp;TEXT(ROW(),"000")</f>
        <v>St41-1113</v>
      </c>
      <c r="AK1113" t="str">
        <f>LEFT(Table1[[#This Row],[membership_type]],1)&amp;TEXT(MATCH(Table1[[#This Row],[membership_type]],Table1[membership_type],0),"00")</f>
        <v>S02</v>
      </c>
      <c r="AL1113" t="str">
        <f>LEFT(Table1[[#This Row],[discount_type]],1)&amp;TEXT(ROUND(Table1[[#This Row],[discount_rate]]*100,0),"00")</f>
        <v>S15</v>
      </c>
      <c r="AM1113" t="str" cm="1">
        <f t="array" ref="AM1113">TEXT(SUMPRODUCT(CODE(MID(Table1[[#This Row],[home_gym_location]],_xlfn.SEQUENCE(LEN(Table1[[#This Row],[home_gym_location]])),1))),"00000")</f>
        <v>01107</v>
      </c>
      <c r="AN111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13" t="str">
        <f>LEFT(_xlfn.TEXTBEFORE(Table1[[#This Row],[Location Identifier]],"-"),3) &amp; "-" &amp; _xlfn.TEXTAFTER(Table1[[#This Row],[Location Identifier]],"-")</f>
        <v>LON-004</v>
      </c>
      <c r="AP1113" s="9">
        <f t="shared" ca="1" si="170"/>
        <v>45869</v>
      </c>
    </row>
    <row r="1114" spans="1:42" x14ac:dyDescent="0.25">
      <c r="A1114">
        <v>23</v>
      </c>
      <c r="B1114" t="s">
        <v>33</v>
      </c>
      <c r="C1114">
        <v>4</v>
      </c>
      <c r="D1114" t="s">
        <v>154</v>
      </c>
      <c r="E1114" t="b">
        <v>0</v>
      </c>
      <c r="F1114" s="1">
        <v>0.4284722222222222</v>
      </c>
      <c r="G1114" s="1">
        <v>0.51458333333333328</v>
      </c>
      <c r="H1114">
        <v>124</v>
      </c>
      <c r="I1114" t="b">
        <v>1</v>
      </c>
      <c r="J1114" t="b">
        <v>0</v>
      </c>
      <c r="K1114" t="b">
        <v>1</v>
      </c>
      <c r="L1114" t="s">
        <v>62</v>
      </c>
      <c r="M1114">
        <v>30</v>
      </c>
      <c r="N1114" t="s">
        <v>29</v>
      </c>
      <c r="O1114">
        <v>30</v>
      </c>
      <c r="P1114" t="s">
        <v>36</v>
      </c>
      <c r="Q1114">
        <v>0</v>
      </c>
      <c r="R1114">
        <v>30</v>
      </c>
      <c r="S1114" t="s">
        <v>37</v>
      </c>
      <c r="T1114" t="s">
        <v>45</v>
      </c>
      <c r="U1114">
        <v>33.836599999999997</v>
      </c>
      <c r="V1114">
        <v>-117.9143</v>
      </c>
      <c r="W1114" s="2">
        <v>45259</v>
      </c>
      <c r="X1114">
        <v>0</v>
      </c>
      <c r="Y1114" t="b">
        <v>0</v>
      </c>
      <c r="Z1114" s="2">
        <v>45828</v>
      </c>
      <c r="AA1114" t="str">
        <f t="shared" si="171"/>
        <v>20–29</v>
      </c>
      <c r="AB1114" t="str">
        <f t="shared" si="172"/>
        <v>20–29</v>
      </c>
      <c r="AC1114" t="str">
        <f t="shared" si="173"/>
        <v/>
      </c>
      <c r="AD1114" t="str">
        <f t="shared" si="174"/>
        <v/>
      </c>
      <c r="AE1114" t="str">
        <f t="shared" si="175"/>
        <v>Wednesday</v>
      </c>
      <c r="AF1114" t="str">
        <f t="shared" si="176"/>
        <v>Thursday</v>
      </c>
      <c r="AG1114" t="str">
        <f t="shared" si="177"/>
        <v>Friday</v>
      </c>
      <c r="AH1114" t="str">
        <f t="shared" si="178"/>
        <v/>
      </c>
      <c r="AI1114" t="str">
        <f t="shared" si="179"/>
        <v>Sunday</v>
      </c>
      <c r="AJ1114" t="str">
        <f>LEFT(Table1[[#This Row],[membership_type]],2)&amp;TEXT(Table1[[#This Row],[age]],"00")&amp;"-"&amp;TEXT(ROW(),"000")</f>
        <v>St23-1114</v>
      </c>
      <c r="AK1114" t="str">
        <f>LEFT(Table1[[#This Row],[membership_type]],1)&amp;TEXT(MATCH(Table1[[#This Row],[membership_type]],Table1[membership_type],0),"00")</f>
        <v>S02</v>
      </c>
      <c r="AL1114" t="str">
        <f>LEFT(Table1[[#This Row],[discount_type]],1)&amp;TEXT(ROUND(Table1[[#This Row],[discount_rate]]*100,0),"00")</f>
        <v>N00</v>
      </c>
      <c r="AM1114" t="str" cm="1">
        <f t="array" ref="AM1114">TEXT(SUMPRODUCT(CODE(MID(Table1[[#This Row],[home_gym_location]],_xlfn.SEQUENCE(LEN(Table1[[#This Row],[home_gym_location]])),1))),"00000")</f>
        <v>00899</v>
      </c>
      <c r="AN111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14" t="str">
        <f>LEFT(_xlfn.TEXTBEFORE(Table1[[#This Row],[Location Identifier]],"-"),3) &amp; "-" &amp; _xlfn.TEXTAFTER(Table1[[#This Row],[Location Identifier]],"-")</f>
        <v>ANA-001</v>
      </c>
      <c r="AP1114" s="9">
        <f t="shared" ca="1" si="170"/>
        <v>45869</v>
      </c>
    </row>
    <row r="1115" spans="1:42" x14ac:dyDescent="0.25">
      <c r="A1115">
        <v>39</v>
      </c>
      <c r="B1115" t="s">
        <v>42</v>
      </c>
      <c r="C1115">
        <v>5</v>
      </c>
      <c r="D1115" t="s">
        <v>104</v>
      </c>
      <c r="E1115" t="b">
        <v>1</v>
      </c>
      <c r="F1115" s="1">
        <v>0.67013888888888884</v>
      </c>
      <c r="G1115" s="1">
        <v>0.77916666666666667</v>
      </c>
      <c r="H1115">
        <v>157</v>
      </c>
      <c r="I1115" t="b">
        <v>0</v>
      </c>
      <c r="J1115" t="b">
        <v>1</v>
      </c>
      <c r="K1115" t="b">
        <v>0</v>
      </c>
      <c r="L1115" t="s">
        <v>28</v>
      </c>
      <c r="M1115">
        <v>20</v>
      </c>
      <c r="N1115" t="s">
        <v>29</v>
      </c>
      <c r="O1115">
        <v>20</v>
      </c>
      <c r="P1115" t="s">
        <v>40</v>
      </c>
      <c r="Q1115">
        <v>0.1</v>
      </c>
      <c r="R1115">
        <v>18</v>
      </c>
      <c r="S1115" t="s">
        <v>44</v>
      </c>
      <c r="T1115" t="s">
        <v>32</v>
      </c>
      <c r="U1115">
        <v>37.338200000000001</v>
      </c>
      <c r="V1115">
        <v>-121.88630000000001</v>
      </c>
      <c r="W1115" s="2">
        <v>45199</v>
      </c>
      <c r="X1115">
        <v>8</v>
      </c>
      <c r="Y1115" t="b">
        <v>1</v>
      </c>
      <c r="Z1115" s="2">
        <v>45825</v>
      </c>
      <c r="AA1115" t="str">
        <f t="shared" si="171"/>
        <v>30–39</v>
      </c>
      <c r="AB1115" t="str">
        <f t="shared" si="172"/>
        <v>30–39</v>
      </c>
      <c r="AC1115" t="str">
        <f t="shared" si="173"/>
        <v/>
      </c>
      <c r="AD1115" t="str">
        <f t="shared" si="174"/>
        <v>Tuesday</v>
      </c>
      <c r="AE1115" t="str">
        <f t="shared" si="175"/>
        <v>Wednesday</v>
      </c>
      <c r="AF1115" t="str">
        <f t="shared" si="176"/>
        <v>Thursday</v>
      </c>
      <c r="AG1115" t="str">
        <f t="shared" si="177"/>
        <v/>
      </c>
      <c r="AH1115" t="str">
        <f t="shared" si="178"/>
        <v>Saturday</v>
      </c>
      <c r="AI1115" t="str">
        <f t="shared" si="179"/>
        <v>Sunday</v>
      </c>
      <c r="AJ1115" t="str">
        <f>LEFT(Table1[[#This Row],[membership_type]],2)&amp;TEXT(Table1[[#This Row],[age]],"00")&amp;"-"&amp;TEXT(ROW(),"000")</f>
        <v>Ba39-1115</v>
      </c>
      <c r="AK1115" t="str">
        <f>LEFT(Table1[[#This Row],[membership_type]],1)&amp;TEXT(MATCH(Table1[[#This Row],[membership_type]],Table1[membership_type],0),"00")</f>
        <v>B04</v>
      </c>
      <c r="AL1115" t="str">
        <f>LEFT(Table1[[#This Row],[discount_type]],1)&amp;TEXT(ROUND(Table1[[#This Row],[discount_rate]]*100,0),"00")</f>
        <v>L10</v>
      </c>
      <c r="AM1115" t="str" cm="1">
        <f t="array" ref="AM1115">TEXT(SUMPRODUCT(CODE(MID(Table1[[#This Row],[home_gym_location]],_xlfn.SEQUENCE(LEN(Table1[[#This Row],[home_gym_location]])),1))),"00000")</f>
        <v>00931</v>
      </c>
      <c r="AN111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15" t="str">
        <f>LEFT(_xlfn.TEXTBEFORE(Table1[[#This Row],[Location Identifier]],"-"),3) &amp; "-" &amp; _xlfn.TEXTAFTER(Table1[[#This Row],[Location Identifier]],"-")</f>
        <v>SAN-010</v>
      </c>
      <c r="AP1115" s="9">
        <f t="shared" ca="1" si="170"/>
        <v>45869</v>
      </c>
    </row>
    <row r="1116" spans="1:42" x14ac:dyDescent="0.25">
      <c r="A1116">
        <v>32</v>
      </c>
      <c r="B1116" t="s">
        <v>33</v>
      </c>
      <c r="C1116">
        <v>3</v>
      </c>
      <c r="D1116" t="s">
        <v>55</v>
      </c>
      <c r="E1116" t="b">
        <v>0</v>
      </c>
      <c r="F1116" s="1">
        <v>0.59930555555555554</v>
      </c>
      <c r="G1116" s="1">
        <v>0.65833333333333333</v>
      </c>
      <c r="H1116">
        <v>85</v>
      </c>
      <c r="I1116" t="b">
        <v>1</v>
      </c>
      <c r="J1116" t="b">
        <v>0</v>
      </c>
      <c r="K1116" t="b">
        <v>0</v>
      </c>
      <c r="L1116" t="s">
        <v>47</v>
      </c>
      <c r="M1116">
        <v>30</v>
      </c>
      <c r="N1116" t="s">
        <v>29</v>
      </c>
      <c r="O1116">
        <v>30</v>
      </c>
      <c r="P1116" t="s">
        <v>36</v>
      </c>
      <c r="Q1116">
        <v>0</v>
      </c>
      <c r="R1116">
        <v>30</v>
      </c>
      <c r="S1116" t="s">
        <v>37</v>
      </c>
      <c r="T1116" t="s">
        <v>65</v>
      </c>
      <c r="U1116">
        <v>33.770099999999999</v>
      </c>
      <c r="V1116">
        <v>-118.19370000000001</v>
      </c>
      <c r="W1116" s="2">
        <v>45213</v>
      </c>
      <c r="X1116">
        <v>0</v>
      </c>
      <c r="Y1116" t="b">
        <v>0</v>
      </c>
      <c r="Z1116" s="2">
        <v>45826</v>
      </c>
      <c r="AA1116" t="str">
        <f t="shared" si="171"/>
        <v>30–39</v>
      </c>
      <c r="AB1116" t="str">
        <f t="shared" si="172"/>
        <v>30–39</v>
      </c>
      <c r="AC1116" t="str">
        <f t="shared" si="173"/>
        <v/>
      </c>
      <c r="AD1116" t="str">
        <f t="shared" si="174"/>
        <v/>
      </c>
      <c r="AE1116" t="str">
        <f t="shared" si="175"/>
        <v/>
      </c>
      <c r="AF1116" t="str">
        <f t="shared" si="176"/>
        <v>Thursday</v>
      </c>
      <c r="AG1116" t="str">
        <f t="shared" si="177"/>
        <v>Friday</v>
      </c>
      <c r="AH1116" t="str">
        <f t="shared" si="178"/>
        <v/>
      </c>
      <c r="AI1116" t="str">
        <f t="shared" si="179"/>
        <v>Sunday</v>
      </c>
      <c r="AJ1116" t="str">
        <f>LEFT(Table1[[#This Row],[membership_type]],2)&amp;TEXT(Table1[[#This Row],[age]],"00")&amp;"-"&amp;TEXT(ROW(),"000")</f>
        <v>St32-1116</v>
      </c>
      <c r="AK1116" t="str">
        <f>LEFT(Table1[[#This Row],[membership_type]],1)&amp;TEXT(MATCH(Table1[[#This Row],[membership_type]],Table1[membership_type],0),"00")</f>
        <v>S02</v>
      </c>
      <c r="AL1116" t="str">
        <f>LEFT(Table1[[#This Row],[discount_type]],1)&amp;TEXT(ROUND(Table1[[#This Row],[discount_rate]]*100,0),"00")</f>
        <v>N00</v>
      </c>
      <c r="AM1116" t="str" cm="1">
        <f t="array" ref="AM1116">TEXT(SUMPRODUCT(CODE(MID(Table1[[#This Row],[home_gym_location]],_xlfn.SEQUENCE(LEN(Table1[[#This Row],[home_gym_location]])),1))),"00000")</f>
        <v>01107</v>
      </c>
      <c r="AN111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16" t="str">
        <f>LEFT(_xlfn.TEXTBEFORE(Table1[[#This Row],[Location Identifier]],"-"),3) &amp; "-" &amp; _xlfn.TEXTAFTER(Table1[[#This Row],[Location Identifier]],"-")</f>
        <v>LON-004</v>
      </c>
      <c r="AP1116" s="9">
        <f t="shared" ca="1" si="170"/>
        <v>45869</v>
      </c>
    </row>
    <row r="1117" spans="1:42" x14ac:dyDescent="0.25">
      <c r="A1117">
        <v>49</v>
      </c>
      <c r="B1117" t="s">
        <v>26</v>
      </c>
      <c r="C1117">
        <v>2</v>
      </c>
      <c r="D1117" t="s">
        <v>73</v>
      </c>
      <c r="E1117" t="b">
        <v>1</v>
      </c>
      <c r="F1117" s="1">
        <v>0.55555555555555558</v>
      </c>
      <c r="G1117" s="1">
        <v>0.60138888888888886</v>
      </c>
      <c r="H1117">
        <v>66</v>
      </c>
      <c r="I1117" t="b">
        <v>0</v>
      </c>
      <c r="J1117" t="b">
        <v>1</v>
      </c>
      <c r="K1117" t="b">
        <v>1</v>
      </c>
      <c r="L1117" t="s">
        <v>35</v>
      </c>
      <c r="M1117">
        <v>50</v>
      </c>
      <c r="N1117" t="s">
        <v>29</v>
      </c>
      <c r="O1117">
        <v>50</v>
      </c>
      <c r="P1117" t="s">
        <v>36</v>
      </c>
      <c r="Q1117">
        <v>0</v>
      </c>
      <c r="R1117">
        <v>50</v>
      </c>
      <c r="S1117" t="s">
        <v>31</v>
      </c>
      <c r="T1117" t="s">
        <v>48</v>
      </c>
      <c r="U1117">
        <v>38.581600000000002</v>
      </c>
      <c r="V1117">
        <v>-121.4944</v>
      </c>
      <c r="W1117" s="2">
        <v>45733</v>
      </c>
      <c r="X1117">
        <v>5</v>
      </c>
      <c r="Y1117" t="b">
        <v>1</v>
      </c>
      <c r="Z1117" s="2">
        <v>45855</v>
      </c>
      <c r="AA1117" t="str">
        <f t="shared" si="171"/>
        <v>40–49</v>
      </c>
      <c r="AB1117" t="str">
        <f t="shared" si="172"/>
        <v>40–49</v>
      </c>
      <c r="AC1117" t="str">
        <f t="shared" si="173"/>
        <v/>
      </c>
      <c r="AD1117" t="str">
        <f t="shared" si="174"/>
        <v>Tuesday</v>
      </c>
      <c r="AE1117" t="str">
        <f t="shared" si="175"/>
        <v/>
      </c>
      <c r="AF1117" t="str">
        <f t="shared" si="176"/>
        <v/>
      </c>
      <c r="AG1117" t="str">
        <f t="shared" si="177"/>
        <v>Friday</v>
      </c>
      <c r="AH1117" t="str">
        <f t="shared" si="178"/>
        <v/>
      </c>
      <c r="AI1117" t="str">
        <f t="shared" si="179"/>
        <v/>
      </c>
      <c r="AJ1117" t="str">
        <f>LEFT(Table1[[#This Row],[membership_type]],2)&amp;TEXT(Table1[[#This Row],[age]],"00")&amp;"-"&amp;TEXT(ROW(),"000")</f>
        <v>Pr49-1117</v>
      </c>
      <c r="AK1117" t="str">
        <f>LEFT(Table1[[#This Row],[membership_type]],1)&amp;TEXT(MATCH(Table1[[#This Row],[membership_type]],Table1[membership_type],0),"00")</f>
        <v>P01</v>
      </c>
      <c r="AL1117" t="str">
        <f>LEFT(Table1[[#This Row],[discount_type]],1)&amp;TEXT(ROUND(Table1[[#This Row],[discount_rate]]*100,0),"00")</f>
        <v>N00</v>
      </c>
      <c r="AM1117" t="str" cm="1">
        <f t="array" ref="AM1117">TEXT(SUMPRODUCT(CODE(MID(Table1[[#This Row],[home_gym_location]],_xlfn.SEQUENCE(LEN(Table1[[#This Row],[home_gym_location]])),1))),"00000")</f>
        <v>01245</v>
      </c>
      <c r="AN111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17" t="str">
        <f>LEFT(_xlfn.TEXTBEFORE(Table1[[#This Row],[Location Identifier]],"-"),3) &amp; "-" &amp; _xlfn.TEXTAFTER(Table1[[#This Row],[Location Identifier]],"-")</f>
        <v>SAC-007</v>
      </c>
      <c r="AP1117" s="9">
        <f t="shared" ca="1" si="170"/>
        <v>45869</v>
      </c>
    </row>
    <row r="1118" spans="1:42" x14ac:dyDescent="0.25">
      <c r="A1118">
        <v>41</v>
      </c>
      <c r="B1118" t="s">
        <v>26</v>
      </c>
      <c r="C1118">
        <v>1</v>
      </c>
      <c r="D1118" t="s">
        <v>63</v>
      </c>
      <c r="E1118" t="b">
        <v>1</v>
      </c>
      <c r="F1118" s="1">
        <v>0.55138888888888893</v>
      </c>
      <c r="G1118" s="1">
        <v>0.64861111111111114</v>
      </c>
      <c r="H1118">
        <v>140</v>
      </c>
      <c r="I1118" t="b">
        <v>0</v>
      </c>
      <c r="J1118" t="b">
        <v>0</v>
      </c>
      <c r="K1118" t="b">
        <v>0</v>
      </c>
      <c r="L1118" t="s">
        <v>62</v>
      </c>
      <c r="M1118">
        <v>50</v>
      </c>
      <c r="N1118" t="s">
        <v>29</v>
      </c>
      <c r="O1118">
        <v>50</v>
      </c>
      <c r="P1118" t="s">
        <v>40</v>
      </c>
      <c r="Q1118">
        <v>0.1</v>
      </c>
      <c r="R1118">
        <v>45</v>
      </c>
      <c r="S1118" t="s">
        <v>31</v>
      </c>
      <c r="T1118" t="s">
        <v>50</v>
      </c>
      <c r="U1118">
        <v>34.052199999999999</v>
      </c>
      <c r="V1118">
        <v>-118.2437</v>
      </c>
      <c r="W1118" s="2">
        <v>44896</v>
      </c>
      <c r="X1118">
        <v>0</v>
      </c>
      <c r="Y1118" t="b">
        <v>1</v>
      </c>
      <c r="Z1118" s="2">
        <v>45808</v>
      </c>
      <c r="AA1118" t="str">
        <f t="shared" si="171"/>
        <v>40–49</v>
      </c>
      <c r="AB1118" t="str">
        <f t="shared" si="172"/>
        <v>40–49</v>
      </c>
      <c r="AC1118" t="str">
        <f t="shared" si="173"/>
        <v/>
      </c>
      <c r="AD1118" t="str">
        <f t="shared" si="174"/>
        <v/>
      </c>
      <c r="AE1118" t="str">
        <f t="shared" si="175"/>
        <v>Wednesday</v>
      </c>
      <c r="AF1118" t="str">
        <f t="shared" si="176"/>
        <v/>
      </c>
      <c r="AG1118" t="str">
        <f t="shared" si="177"/>
        <v/>
      </c>
      <c r="AH1118" t="str">
        <f t="shared" si="178"/>
        <v/>
      </c>
      <c r="AI1118" t="str">
        <f t="shared" si="179"/>
        <v/>
      </c>
      <c r="AJ1118" t="str">
        <f>LEFT(Table1[[#This Row],[membership_type]],2)&amp;TEXT(Table1[[#This Row],[age]],"00")&amp;"-"&amp;TEXT(ROW(),"000")</f>
        <v>Pr41-1118</v>
      </c>
      <c r="AK1118" t="str">
        <f>LEFT(Table1[[#This Row],[membership_type]],1)&amp;TEXT(MATCH(Table1[[#This Row],[membership_type]],Table1[membership_type],0),"00")</f>
        <v>P01</v>
      </c>
      <c r="AL1118" t="str">
        <f>LEFT(Table1[[#This Row],[discount_type]],1)&amp;TEXT(ROUND(Table1[[#This Row],[discount_rate]]*100,0),"00")</f>
        <v>L10</v>
      </c>
      <c r="AM1118" t="str" cm="1">
        <f t="array" ref="AM1118">TEXT(SUMPRODUCT(CODE(MID(Table1[[#This Row],[home_gym_location]],_xlfn.SEQUENCE(LEN(Table1[[#This Row],[home_gym_location]])),1))),"00000")</f>
        <v>01245</v>
      </c>
      <c r="AN111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18" t="str">
        <f>LEFT(_xlfn.TEXTBEFORE(Table1[[#This Row],[Location Identifier]],"-"),3) &amp; "-" &amp; _xlfn.TEXTAFTER(Table1[[#This Row],[Location Identifier]],"-")</f>
        <v>LOS-005</v>
      </c>
      <c r="AP1118" s="9">
        <f t="shared" ca="1" si="170"/>
        <v>45869</v>
      </c>
    </row>
    <row r="1119" spans="1:42" x14ac:dyDescent="0.25">
      <c r="A1119">
        <v>26</v>
      </c>
      <c r="B1119" t="s">
        <v>33</v>
      </c>
      <c r="C1119">
        <v>2</v>
      </c>
      <c r="D1119" t="s">
        <v>139</v>
      </c>
      <c r="E1119" t="b">
        <v>1</v>
      </c>
      <c r="F1119" s="1">
        <v>0.65555555555555556</v>
      </c>
      <c r="G1119" s="1">
        <v>0.76180555555555551</v>
      </c>
      <c r="H1119">
        <v>153</v>
      </c>
      <c r="I1119" t="b">
        <v>0</v>
      </c>
      <c r="J1119" t="b">
        <v>1</v>
      </c>
      <c r="K1119" t="b">
        <v>1</v>
      </c>
      <c r="L1119" t="s">
        <v>28</v>
      </c>
      <c r="M1119">
        <v>30</v>
      </c>
      <c r="N1119" t="s">
        <v>29</v>
      </c>
      <c r="O1119">
        <v>30</v>
      </c>
      <c r="P1119" t="s">
        <v>36</v>
      </c>
      <c r="Q1119">
        <v>0</v>
      </c>
      <c r="R1119">
        <v>30</v>
      </c>
      <c r="S1119" t="s">
        <v>37</v>
      </c>
      <c r="T1119" t="s">
        <v>56</v>
      </c>
      <c r="U1119">
        <v>35.3733</v>
      </c>
      <c r="V1119">
        <v>-119.0187</v>
      </c>
      <c r="W1119" s="2">
        <v>45548</v>
      </c>
      <c r="X1119">
        <v>4</v>
      </c>
      <c r="Y1119" t="b">
        <v>0</v>
      </c>
      <c r="Z1119" s="2">
        <v>45845</v>
      </c>
      <c r="AA1119" t="str">
        <f t="shared" si="171"/>
        <v>20–29</v>
      </c>
      <c r="AB1119" t="str">
        <f t="shared" si="172"/>
        <v>20–29</v>
      </c>
      <c r="AC1119" t="str">
        <f t="shared" si="173"/>
        <v/>
      </c>
      <c r="AD1119" t="str">
        <f t="shared" si="174"/>
        <v/>
      </c>
      <c r="AE1119" t="str">
        <f t="shared" si="175"/>
        <v>Wednesday</v>
      </c>
      <c r="AF1119" t="str">
        <f t="shared" si="176"/>
        <v/>
      </c>
      <c r="AG1119" t="str">
        <f t="shared" si="177"/>
        <v/>
      </c>
      <c r="AH1119" t="str">
        <f t="shared" si="178"/>
        <v>Saturday</v>
      </c>
      <c r="AI1119" t="str">
        <f t="shared" si="179"/>
        <v/>
      </c>
      <c r="AJ1119" t="str">
        <f>LEFT(Table1[[#This Row],[membership_type]],2)&amp;TEXT(Table1[[#This Row],[age]],"00")&amp;"-"&amp;TEXT(ROW(),"000")</f>
        <v>St26-1119</v>
      </c>
      <c r="AK1119" t="str">
        <f>LEFT(Table1[[#This Row],[membership_type]],1)&amp;TEXT(MATCH(Table1[[#This Row],[membership_type]],Table1[membership_type],0),"00")</f>
        <v>S02</v>
      </c>
      <c r="AL1119" t="str">
        <f>LEFT(Table1[[#This Row],[discount_type]],1)&amp;TEXT(ROUND(Table1[[#This Row],[discount_rate]]*100,0),"00")</f>
        <v>N00</v>
      </c>
      <c r="AM1119" t="str" cm="1">
        <f t="array" ref="AM1119">TEXT(SUMPRODUCT(CODE(MID(Table1[[#This Row],[home_gym_location]],_xlfn.SEQUENCE(LEN(Table1[[#This Row],[home_gym_location]])),1))),"00000")</f>
        <v>01324</v>
      </c>
      <c r="AN111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119" t="str">
        <f>LEFT(_xlfn.TEXTBEFORE(Table1[[#This Row],[Location Identifier]],"-"),3) &amp; "-" &amp; _xlfn.TEXTAFTER(Table1[[#This Row],[Location Identifier]],"-")</f>
        <v>BAK-002</v>
      </c>
      <c r="AP1119" s="9">
        <f t="shared" ca="1" si="170"/>
        <v>45869</v>
      </c>
    </row>
    <row r="1120" spans="1:42" x14ac:dyDescent="0.25">
      <c r="A1120">
        <v>39</v>
      </c>
      <c r="B1120" t="s">
        <v>26</v>
      </c>
      <c r="C1120">
        <v>5</v>
      </c>
      <c r="D1120" t="s">
        <v>137</v>
      </c>
      <c r="E1120" t="b">
        <v>1</v>
      </c>
      <c r="F1120" s="1">
        <v>0.40416666666666667</v>
      </c>
      <c r="G1120" s="1">
        <v>0.51597222222222228</v>
      </c>
      <c r="H1120">
        <v>161</v>
      </c>
      <c r="I1120" t="b">
        <v>1</v>
      </c>
      <c r="J1120" t="b">
        <v>1</v>
      </c>
      <c r="K1120" t="b">
        <v>0</v>
      </c>
      <c r="L1120" t="s">
        <v>28</v>
      </c>
      <c r="M1120">
        <v>50</v>
      </c>
      <c r="N1120" t="s">
        <v>29</v>
      </c>
      <c r="O1120">
        <v>50</v>
      </c>
      <c r="P1120" t="s">
        <v>74</v>
      </c>
      <c r="Q1120">
        <v>0.15</v>
      </c>
      <c r="R1120">
        <v>42.5</v>
      </c>
      <c r="S1120" t="s">
        <v>31</v>
      </c>
      <c r="T1120" t="s">
        <v>56</v>
      </c>
      <c r="U1120">
        <v>35.3733</v>
      </c>
      <c r="V1120">
        <v>-119.0187</v>
      </c>
      <c r="W1120" s="2">
        <v>45693</v>
      </c>
      <c r="X1120">
        <v>8</v>
      </c>
      <c r="Y1120" t="b">
        <v>0</v>
      </c>
      <c r="Z1120" s="2">
        <v>45853</v>
      </c>
      <c r="AA1120" t="str">
        <f t="shared" si="171"/>
        <v>30–39</v>
      </c>
      <c r="AB1120" t="str">
        <f t="shared" si="172"/>
        <v>30–39</v>
      </c>
      <c r="AC1120" t="str">
        <f t="shared" si="173"/>
        <v>Monday</v>
      </c>
      <c r="AD1120" t="str">
        <f t="shared" si="174"/>
        <v>Tuesday</v>
      </c>
      <c r="AE1120" t="str">
        <f t="shared" si="175"/>
        <v>Wednesday</v>
      </c>
      <c r="AF1120" t="str">
        <f t="shared" si="176"/>
        <v/>
      </c>
      <c r="AG1120" t="str">
        <f t="shared" si="177"/>
        <v/>
      </c>
      <c r="AH1120" t="str">
        <f t="shared" si="178"/>
        <v>Saturday</v>
      </c>
      <c r="AI1120" t="str">
        <f t="shared" si="179"/>
        <v>Sunday</v>
      </c>
      <c r="AJ1120" t="str">
        <f>LEFT(Table1[[#This Row],[membership_type]],2)&amp;TEXT(Table1[[#This Row],[age]],"00")&amp;"-"&amp;TEXT(ROW(),"000")</f>
        <v>Pr39-1120</v>
      </c>
      <c r="AK1120" t="str">
        <f>LEFT(Table1[[#This Row],[membership_type]],1)&amp;TEXT(MATCH(Table1[[#This Row],[membership_type]],Table1[membership_type],0),"00")</f>
        <v>P01</v>
      </c>
      <c r="AL1120" t="str">
        <f>LEFT(Table1[[#This Row],[discount_type]],1)&amp;TEXT(ROUND(Table1[[#This Row],[discount_rate]]*100,0),"00")</f>
        <v>S15</v>
      </c>
      <c r="AM1120" t="str" cm="1">
        <f t="array" ref="AM1120">TEXT(SUMPRODUCT(CODE(MID(Table1[[#This Row],[home_gym_location]],_xlfn.SEQUENCE(LEN(Table1[[#This Row],[home_gym_location]])),1))),"00000")</f>
        <v>01324</v>
      </c>
      <c r="AN112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120" t="str">
        <f>LEFT(_xlfn.TEXTBEFORE(Table1[[#This Row],[Location Identifier]],"-"),3) &amp; "-" &amp; _xlfn.TEXTAFTER(Table1[[#This Row],[Location Identifier]],"-")</f>
        <v>BAK-002</v>
      </c>
      <c r="AP1120" s="9">
        <f t="shared" ca="1" si="170"/>
        <v>45869</v>
      </c>
    </row>
    <row r="1121" spans="1:42" x14ac:dyDescent="0.25">
      <c r="A1121">
        <v>29</v>
      </c>
      <c r="B1121" t="s">
        <v>42</v>
      </c>
      <c r="C1121">
        <v>2</v>
      </c>
      <c r="D1121" t="s">
        <v>79</v>
      </c>
      <c r="E1121" t="b">
        <v>1</v>
      </c>
      <c r="F1121" s="1">
        <v>0.61458333333333337</v>
      </c>
      <c r="G1121" s="1">
        <v>0.7368055555555556</v>
      </c>
      <c r="H1121">
        <v>176</v>
      </c>
      <c r="I1121" t="b">
        <v>0</v>
      </c>
      <c r="J1121" t="b">
        <v>1</v>
      </c>
      <c r="K1121" t="b">
        <v>1</v>
      </c>
      <c r="L1121" t="s">
        <v>28</v>
      </c>
      <c r="M1121">
        <v>20</v>
      </c>
      <c r="N1121" t="s">
        <v>29</v>
      </c>
      <c r="O1121">
        <v>20</v>
      </c>
      <c r="P1121" t="s">
        <v>36</v>
      </c>
      <c r="Q1121">
        <v>0</v>
      </c>
      <c r="R1121">
        <v>20</v>
      </c>
      <c r="S1121" t="s">
        <v>44</v>
      </c>
      <c r="T1121" t="s">
        <v>32</v>
      </c>
      <c r="U1121">
        <v>37.338200000000001</v>
      </c>
      <c r="V1121">
        <v>-121.88630000000001</v>
      </c>
      <c r="W1121" s="2">
        <v>44884</v>
      </c>
      <c r="X1121">
        <v>1</v>
      </c>
      <c r="Y1121" t="b">
        <v>1</v>
      </c>
      <c r="Z1121" s="2">
        <v>45807</v>
      </c>
      <c r="AA1121" t="str">
        <f t="shared" si="171"/>
        <v>20–29</v>
      </c>
      <c r="AB1121" t="str">
        <f t="shared" si="172"/>
        <v>20–29</v>
      </c>
      <c r="AC1121" t="str">
        <f t="shared" si="173"/>
        <v/>
      </c>
      <c r="AD1121" t="str">
        <f t="shared" si="174"/>
        <v/>
      </c>
      <c r="AE1121" t="str">
        <f t="shared" si="175"/>
        <v/>
      </c>
      <c r="AF1121" t="str">
        <f t="shared" si="176"/>
        <v/>
      </c>
      <c r="AG1121" t="str">
        <f t="shared" si="177"/>
        <v>Friday</v>
      </c>
      <c r="AH1121" t="str">
        <f t="shared" si="178"/>
        <v>Saturday</v>
      </c>
      <c r="AI1121" t="str">
        <f t="shared" si="179"/>
        <v/>
      </c>
      <c r="AJ1121" t="str">
        <f>LEFT(Table1[[#This Row],[membership_type]],2)&amp;TEXT(Table1[[#This Row],[age]],"00")&amp;"-"&amp;TEXT(ROW(),"000")</f>
        <v>Ba29-1121</v>
      </c>
      <c r="AK1121" t="str">
        <f>LEFT(Table1[[#This Row],[membership_type]],1)&amp;TEXT(MATCH(Table1[[#This Row],[membership_type]],Table1[membership_type],0),"00")</f>
        <v>B04</v>
      </c>
      <c r="AL1121" t="str">
        <f>LEFT(Table1[[#This Row],[discount_type]],1)&amp;TEXT(ROUND(Table1[[#This Row],[discount_rate]]*100,0),"00")</f>
        <v>N00</v>
      </c>
      <c r="AM1121" t="str" cm="1">
        <f t="array" ref="AM1121">TEXT(SUMPRODUCT(CODE(MID(Table1[[#This Row],[home_gym_location]],_xlfn.SEQUENCE(LEN(Table1[[#This Row],[home_gym_location]])),1))),"00000")</f>
        <v>00931</v>
      </c>
      <c r="AN112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21" t="str">
        <f>LEFT(_xlfn.TEXTBEFORE(Table1[[#This Row],[Location Identifier]],"-"),3) &amp; "-" &amp; _xlfn.TEXTAFTER(Table1[[#This Row],[Location Identifier]],"-")</f>
        <v>SAN-010</v>
      </c>
      <c r="AP1121" s="9">
        <f t="shared" ca="1" si="170"/>
        <v>45869</v>
      </c>
    </row>
    <row r="1122" spans="1:42" x14ac:dyDescent="0.25">
      <c r="A1122">
        <v>37</v>
      </c>
      <c r="B1122" t="s">
        <v>33</v>
      </c>
      <c r="C1122">
        <v>1</v>
      </c>
      <c r="D1122" t="s">
        <v>97</v>
      </c>
      <c r="E1122" t="b">
        <v>1</v>
      </c>
      <c r="F1122" s="1">
        <v>0.69791666666666663</v>
      </c>
      <c r="G1122" s="1">
        <v>0.79027777777777775</v>
      </c>
      <c r="H1122">
        <v>133</v>
      </c>
      <c r="I1122" t="b">
        <v>0</v>
      </c>
      <c r="J1122" t="b">
        <v>0</v>
      </c>
      <c r="K1122" t="b">
        <v>0</v>
      </c>
      <c r="L1122" t="s">
        <v>28</v>
      </c>
      <c r="M1122">
        <v>30</v>
      </c>
      <c r="N1122" t="s">
        <v>64</v>
      </c>
      <c r="O1122">
        <v>22.5</v>
      </c>
      <c r="P1122" t="s">
        <v>36</v>
      </c>
      <c r="Q1122">
        <v>0</v>
      </c>
      <c r="R1122">
        <v>22.5</v>
      </c>
      <c r="S1122" t="s">
        <v>37</v>
      </c>
      <c r="T1122" t="s">
        <v>41</v>
      </c>
      <c r="U1122">
        <v>37.804400000000001</v>
      </c>
      <c r="V1122">
        <v>-122.27119999999999</v>
      </c>
      <c r="W1122" s="2">
        <v>44813</v>
      </c>
      <c r="X1122">
        <v>0</v>
      </c>
      <c r="Y1122" t="b">
        <v>1</v>
      </c>
      <c r="Z1122" s="2">
        <v>45803</v>
      </c>
      <c r="AA1122" t="str">
        <f t="shared" si="171"/>
        <v>30–39</v>
      </c>
      <c r="AB1122" t="str">
        <f t="shared" si="172"/>
        <v>30–39</v>
      </c>
      <c r="AC1122" t="str">
        <f t="shared" si="173"/>
        <v>Monday</v>
      </c>
      <c r="AD1122" t="str">
        <f t="shared" si="174"/>
        <v/>
      </c>
      <c r="AE1122" t="str">
        <f t="shared" si="175"/>
        <v/>
      </c>
      <c r="AF1122" t="str">
        <f t="shared" si="176"/>
        <v/>
      </c>
      <c r="AG1122" t="str">
        <f t="shared" si="177"/>
        <v/>
      </c>
      <c r="AH1122" t="str">
        <f t="shared" si="178"/>
        <v/>
      </c>
      <c r="AI1122" t="str">
        <f t="shared" si="179"/>
        <v/>
      </c>
      <c r="AJ1122" t="str">
        <f>LEFT(Table1[[#This Row],[membership_type]],2)&amp;TEXT(Table1[[#This Row],[age]],"00")&amp;"-"&amp;TEXT(ROW(),"000")</f>
        <v>St37-1122</v>
      </c>
      <c r="AK1122" t="str">
        <f>LEFT(Table1[[#This Row],[membership_type]],1)&amp;TEXT(MATCH(Table1[[#This Row],[membership_type]],Table1[membership_type],0),"00")</f>
        <v>S02</v>
      </c>
      <c r="AL1122" t="str">
        <f>LEFT(Table1[[#This Row],[discount_type]],1)&amp;TEXT(ROUND(Table1[[#This Row],[discount_rate]]*100,0),"00")</f>
        <v>N00</v>
      </c>
      <c r="AM1122" t="str" cm="1">
        <f t="array" ref="AM1122">TEXT(SUMPRODUCT(CODE(MID(Table1[[#This Row],[home_gym_location]],_xlfn.SEQUENCE(LEN(Table1[[#This Row],[home_gym_location]])),1))),"00000")</f>
        <v>00906</v>
      </c>
      <c r="AN112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22" t="str">
        <f>LEFT(_xlfn.TEXTBEFORE(Table1[[#This Row],[Location Identifier]],"-"),3) &amp; "-" &amp; _xlfn.TEXTAFTER(Table1[[#This Row],[Location Identifier]],"-")</f>
        <v>OAK-006</v>
      </c>
      <c r="AP1122" s="9">
        <f t="shared" ca="1" si="170"/>
        <v>45869</v>
      </c>
    </row>
    <row r="1123" spans="1:42" x14ac:dyDescent="0.25">
      <c r="A1123">
        <v>32</v>
      </c>
      <c r="B1123" t="s">
        <v>33</v>
      </c>
      <c r="C1123">
        <v>3</v>
      </c>
      <c r="D1123" t="s">
        <v>55</v>
      </c>
      <c r="E1123" t="b">
        <v>0</v>
      </c>
      <c r="F1123" s="1">
        <v>0.59930555555555554</v>
      </c>
      <c r="G1123" s="1">
        <v>0.65833333333333333</v>
      </c>
      <c r="H1123">
        <v>85</v>
      </c>
      <c r="I1123" t="b">
        <v>1</v>
      </c>
      <c r="J1123" t="b">
        <v>0</v>
      </c>
      <c r="K1123" t="b">
        <v>0</v>
      </c>
      <c r="L1123" t="s">
        <v>47</v>
      </c>
      <c r="M1123">
        <v>30</v>
      </c>
      <c r="N1123" t="s">
        <v>29</v>
      </c>
      <c r="O1123">
        <v>30</v>
      </c>
      <c r="P1123" t="s">
        <v>36</v>
      </c>
      <c r="Q1123">
        <v>0</v>
      </c>
      <c r="R1123">
        <v>30</v>
      </c>
      <c r="S1123" t="s">
        <v>37</v>
      </c>
      <c r="T1123" t="s">
        <v>65</v>
      </c>
      <c r="U1123">
        <v>33.770099999999999</v>
      </c>
      <c r="V1123">
        <v>-118.19370000000001</v>
      </c>
      <c r="W1123" s="2">
        <v>44912</v>
      </c>
      <c r="X1123">
        <v>0</v>
      </c>
      <c r="Y1123" t="b">
        <v>1</v>
      </c>
      <c r="Z1123" s="2">
        <v>45809</v>
      </c>
      <c r="AA1123" t="str">
        <f t="shared" si="171"/>
        <v>30–39</v>
      </c>
      <c r="AB1123" t="str">
        <f t="shared" si="172"/>
        <v>30–39</v>
      </c>
      <c r="AC1123" t="str">
        <f t="shared" si="173"/>
        <v/>
      </c>
      <c r="AD1123" t="str">
        <f t="shared" si="174"/>
        <v/>
      </c>
      <c r="AE1123" t="str">
        <f t="shared" si="175"/>
        <v/>
      </c>
      <c r="AF1123" t="str">
        <f t="shared" si="176"/>
        <v>Thursday</v>
      </c>
      <c r="AG1123" t="str">
        <f t="shared" si="177"/>
        <v>Friday</v>
      </c>
      <c r="AH1123" t="str">
        <f t="shared" si="178"/>
        <v/>
      </c>
      <c r="AI1123" t="str">
        <f t="shared" si="179"/>
        <v>Sunday</v>
      </c>
      <c r="AJ1123" t="str">
        <f>LEFT(Table1[[#This Row],[membership_type]],2)&amp;TEXT(Table1[[#This Row],[age]],"00")&amp;"-"&amp;TEXT(ROW(),"000")</f>
        <v>St32-1123</v>
      </c>
      <c r="AK1123" t="str">
        <f>LEFT(Table1[[#This Row],[membership_type]],1)&amp;TEXT(MATCH(Table1[[#This Row],[membership_type]],Table1[membership_type],0),"00")</f>
        <v>S02</v>
      </c>
      <c r="AL1123" t="str">
        <f>LEFT(Table1[[#This Row],[discount_type]],1)&amp;TEXT(ROUND(Table1[[#This Row],[discount_rate]]*100,0),"00")</f>
        <v>N00</v>
      </c>
      <c r="AM1123" t="str" cm="1">
        <f t="array" ref="AM1123">TEXT(SUMPRODUCT(CODE(MID(Table1[[#This Row],[home_gym_location]],_xlfn.SEQUENCE(LEN(Table1[[#This Row],[home_gym_location]])),1))),"00000")</f>
        <v>01107</v>
      </c>
      <c r="AN112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23" t="str">
        <f>LEFT(_xlfn.TEXTBEFORE(Table1[[#This Row],[Location Identifier]],"-"),3) &amp; "-" &amp; _xlfn.TEXTAFTER(Table1[[#This Row],[Location Identifier]],"-")</f>
        <v>LON-004</v>
      </c>
      <c r="AP1123" s="9">
        <f t="shared" ca="1" si="170"/>
        <v>45869</v>
      </c>
    </row>
    <row r="1124" spans="1:42" x14ac:dyDescent="0.25">
      <c r="A1124">
        <v>20</v>
      </c>
      <c r="B1124" t="s">
        <v>51</v>
      </c>
      <c r="C1124">
        <v>3</v>
      </c>
      <c r="D1124" t="s">
        <v>124</v>
      </c>
      <c r="E1124" t="b">
        <v>1</v>
      </c>
      <c r="F1124" s="1">
        <v>0.72916666666666663</v>
      </c>
      <c r="G1124" s="1">
        <v>0.80347222222222225</v>
      </c>
      <c r="H1124">
        <v>107</v>
      </c>
      <c r="I1124" t="b">
        <v>0</v>
      </c>
      <c r="J1124" t="b">
        <v>1</v>
      </c>
      <c r="K1124" t="b">
        <v>1</v>
      </c>
      <c r="L1124" t="s">
        <v>62</v>
      </c>
      <c r="M1124">
        <v>70</v>
      </c>
      <c r="N1124" t="s">
        <v>29</v>
      </c>
      <c r="O1124">
        <v>70</v>
      </c>
      <c r="P1124" t="s">
        <v>74</v>
      </c>
      <c r="Q1124">
        <v>0.15</v>
      </c>
      <c r="R1124">
        <v>59.5</v>
      </c>
      <c r="S1124" t="s">
        <v>53</v>
      </c>
      <c r="T1124" t="s">
        <v>48</v>
      </c>
      <c r="U1124">
        <v>38.581600000000002</v>
      </c>
      <c r="V1124">
        <v>-121.4944</v>
      </c>
      <c r="W1124" s="2">
        <v>44968</v>
      </c>
      <c r="X1124">
        <v>5</v>
      </c>
      <c r="Y1124" t="b">
        <v>1</v>
      </c>
      <c r="Z1124" s="2">
        <v>45812</v>
      </c>
      <c r="AA1124" t="str">
        <f t="shared" si="171"/>
        <v>20–29</v>
      </c>
      <c r="AB1124" t="str">
        <f t="shared" si="172"/>
        <v>20–29</v>
      </c>
      <c r="AC1124" t="str">
        <f t="shared" si="173"/>
        <v>Monday</v>
      </c>
      <c r="AD1124" t="str">
        <f t="shared" si="174"/>
        <v/>
      </c>
      <c r="AE1124" t="str">
        <f t="shared" si="175"/>
        <v/>
      </c>
      <c r="AF1124" t="str">
        <f t="shared" si="176"/>
        <v>Thursday</v>
      </c>
      <c r="AG1124" t="str">
        <f t="shared" si="177"/>
        <v>Friday</v>
      </c>
      <c r="AH1124" t="str">
        <f t="shared" si="178"/>
        <v/>
      </c>
      <c r="AI1124" t="str">
        <f t="shared" si="179"/>
        <v/>
      </c>
      <c r="AJ1124" t="str">
        <f>LEFT(Table1[[#This Row],[membership_type]],2)&amp;TEXT(Table1[[#This Row],[age]],"00")&amp;"-"&amp;TEXT(ROW(),"000")</f>
        <v>El20-1124</v>
      </c>
      <c r="AK1124" t="str">
        <f>LEFT(Table1[[#This Row],[membership_type]],1)&amp;TEXT(MATCH(Table1[[#This Row],[membership_type]],Table1[membership_type],0),"00")</f>
        <v>E07</v>
      </c>
      <c r="AL1124" t="str">
        <f>LEFT(Table1[[#This Row],[discount_type]],1)&amp;TEXT(ROUND(Table1[[#This Row],[discount_rate]]*100,0),"00")</f>
        <v>S15</v>
      </c>
      <c r="AM1124" t="str" cm="1">
        <f t="array" ref="AM1124">TEXT(SUMPRODUCT(CODE(MID(Table1[[#This Row],[home_gym_location]],_xlfn.SEQUENCE(LEN(Table1[[#This Row],[home_gym_location]])),1))),"00000")</f>
        <v>01245</v>
      </c>
      <c r="AN112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24" t="str">
        <f>LEFT(_xlfn.TEXTBEFORE(Table1[[#This Row],[Location Identifier]],"-"),3) &amp; "-" &amp; _xlfn.TEXTAFTER(Table1[[#This Row],[Location Identifier]],"-")</f>
        <v>SAC-007</v>
      </c>
      <c r="AP1124" s="9">
        <f t="shared" ca="1" si="170"/>
        <v>45869</v>
      </c>
    </row>
    <row r="1125" spans="1:42" x14ac:dyDescent="0.25">
      <c r="A1125">
        <v>27</v>
      </c>
      <c r="B1125" t="s">
        <v>33</v>
      </c>
      <c r="C1125">
        <v>2</v>
      </c>
      <c r="D1125" t="s">
        <v>92</v>
      </c>
      <c r="E1125" t="b">
        <v>0</v>
      </c>
      <c r="F1125" s="1">
        <v>0.72361111111111109</v>
      </c>
      <c r="G1125" s="1">
        <v>0.78472222222222221</v>
      </c>
      <c r="H1125">
        <v>88</v>
      </c>
      <c r="I1125" t="b">
        <v>1</v>
      </c>
      <c r="J1125" t="b">
        <v>1</v>
      </c>
      <c r="K1125" t="b">
        <v>0</v>
      </c>
      <c r="L1125" t="s">
        <v>35</v>
      </c>
      <c r="M1125">
        <v>30</v>
      </c>
      <c r="N1125" t="s">
        <v>64</v>
      </c>
      <c r="O1125">
        <v>22.5</v>
      </c>
      <c r="P1125" t="s">
        <v>36</v>
      </c>
      <c r="Q1125">
        <v>0</v>
      </c>
      <c r="R1125">
        <v>22.5</v>
      </c>
      <c r="S1125" t="s">
        <v>37</v>
      </c>
      <c r="T1125" t="s">
        <v>38</v>
      </c>
      <c r="U1125">
        <v>36.7378</v>
      </c>
      <c r="V1125">
        <v>-119.7871</v>
      </c>
      <c r="W1125" s="2">
        <v>45133</v>
      </c>
      <c r="X1125">
        <v>5</v>
      </c>
      <c r="Y1125" t="b">
        <v>0</v>
      </c>
      <c r="Z1125" s="2">
        <v>45821</v>
      </c>
      <c r="AA1125" t="str">
        <f t="shared" si="171"/>
        <v>20–29</v>
      </c>
      <c r="AB1125" t="str">
        <f t="shared" si="172"/>
        <v>20–29</v>
      </c>
      <c r="AC1125" t="str">
        <f t="shared" si="173"/>
        <v/>
      </c>
      <c r="AD1125" t="str">
        <f t="shared" si="174"/>
        <v/>
      </c>
      <c r="AE1125" t="str">
        <f t="shared" si="175"/>
        <v/>
      </c>
      <c r="AF1125" t="str">
        <f t="shared" si="176"/>
        <v/>
      </c>
      <c r="AG1125" t="str">
        <f t="shared" si="177"/>
        <v>Friday</v>
      </c>
      <c r="AH1125" t="str">
        <f t="shared" si="178"/>
        <v/>
      </c>
      <c r="AI1125" t="str">
        <f t="shared" si="179"/>
        <v>Sunday</v>
      </c>
      <c r="AJ1125" t="str">
        <f>LEFT(Table1[[#This Row],[membership_type]],2)&amp;TEXT(Table1[[#This Row],[age]],"00")&amp;"-"&amp;TEXT(ROW(),"000")</f>
        <v>St27-1125</v>
      </c>
      <c r="AK1125" t="str">
        <f>LEFT(Table1[[#This Row],[membership_type]],1)&amp;TEXT(MATCH(Table1[[#This Row],[membership_type]],Table1[membership_type],0),"00")</f>
        <v>S02</v>
      </c>
      <c r="AL1125" t="str">
        <f>LEFT(Table1[[#This Row],[discount_type]],1)&amp;TEXT(ROUND(Table1[[#This Row],[discount_rate]]*100,0),"00")</f>
        <v>N00</v>
      </c>
      <c r="AM1125" t="str" cm="1">
        <f t="array" ref="AM1125">TEXT(SUMPRODUCT(CODE(MID(Table1[[#This Row],[home_gym_location]],_xlfn.SEQUENCE(LEN(Table1[[#This Row],[home_gym_location]])),1))),"00000")</f>
        <v>00829</v>
      </c>
      <c r="AN1125" t="str">
        <f>UPPER(_xlfn.TEXTBEFORE(Table1[[#This Row],[home_gym_location]],","))&amp;"-"&amp;TEXT(MATCH(Table1[[#This Row],[home_gym_location]],_xlfn._xlws.SORT(_xlfn.UNIQUE(Table1[home_gym_location])),0),"000")</f>
        <v>FRESNO-003</v>
      </c>
      <c r="AO1125" t="str">
        <f>LEFT(_xlfn.TEXTBEFORE(Table1[[#This Row],[Location Identifier]],"-"),3) &amp; "-" &amp; _xlfn.TEXTAFTER(Table1[[#This Row],[Location Identifier]],"-")</f>
        <v>FRE-003</v>
      </c>
      <c r="AP1125" s="9">
        <f t="shared" ca="1" si="170"/>
        <v>45869</v>
      </c>
    </row>
    <row r="1126" spans="1:42" x14ac:dyDescent="0.25">
      <c r="A1126">
        <v>42</v>
      </c>
      <c r="B1126" t="s">
        <v>33</v>
      </c>
      <c r="C1126">
        <v>3</v>
      </c>
      <c r="D1126" t="s">
        <v>90</v>
      </c>
      <c r="E1126" t="b">
        <v>1</v>
      </c>
      <c r="F1126" s="1">
        <v>0.43263888888888891</v>
      </c>
      <c r="G1126" s="1">
        <v>0.50069444444444444</v>
      </c>
      <c r="H1126">
        <v>98</v>
      </c>
      <c r="I1126" t="b">
        <v>0</v>
      </c>
      <c r="J1126" t="b">
        <v>1</v>
      </c>
      <c r="K1126" t="b">
        <v>1</v>
      </c>
      <c r="L1126" t="s">
        <v>28</v>
      </c>
      <c r="M1126">
        <v>30</v>
      </c>
      <c r="N1126" t="s">
        <v>29</v>
      </c>
      <c r="O1126">
        <v>30</v>
      </c>
      <c r="P1126" t="s">
        <v>74</v>
      </c>
      <c r="Q1126">
        <v>0.15</v>
      </c>
      <c r="R1126">
        <v>25.5</v>
      </c>
      <c r="S1126" t="s">
        <v>37</v>
      </c>
      <c r="T1126" t="s">
        <v>48</v>
      </c>
      <c r="U1126">
        <v>38.581600000000002</v>
      </c>
      <c r="V1126">
        <v>-121.4944</v>
      </c>
      <c r="W1126" s="2">
        <v>45244</v>
      </c>
      <c r="X1126">
        <v>6</v>
      </c>
      <c r="Y1126" t="b">
        <v>0</v>
      </c>
      <c r="Z1126" s="2">
        <v>45827</v>
      </c>
      <c r="AA1126" t="str">
        <f t="shared" si="171"/>
        <v>40–49</v>
      </c>
      <c r="AB1126" t="str">
        <f t="shared" si="172"/>
        <v>40–49</v>
      </c>
      <c r="AC1126" t="str">
        <f t="shared" si="173"/>
        <v/>
      </c>
      <c r="AD1126" t="str">
        <f t="shared" si="174"/>
        <v>Tuesday</v>
      </c>
      <c r="AE1126" t="str">
        <f t="shared" si="175"/>
        <v/>
      </c>
      <c r="AF1126" t="str">
        <f t="shared" si="176"/>
        <v/>
      </c>
      <c r="AG1126" t="str">
        <f t="shared" si="177"/>
        <v/>
      </c>
      <c r="AH1126" t="str">
        <f t="shared" si="178"/>
        <v>Saturday</v>
      </c>
      <c r="AI1126" t="str">
        <f t="shared" si="179"/>
        <v>Sunday</v>
      </c>
      <c r="AJ1126" t="str">
        <f>LEFT(Table1[[#This Row],[membership_type]],2)&amp;TEXT(Table1[[#This Row],[age]],"00")&amp;"-"&amp;TEXT(ROW(),"000")</f>
        <v>St42-1126</v>
      </c>
      <c r="AK1126" t="str">
        <f>LEFT(Table1[[#This Row],[membership_type]],1)&amp;TEXT(MATCH(Table1[[#This Row],[membership_type]],Table1[membership_type],0),"00")</f>
        <v>S02</v>
      </c>
      <c r="AL1126" t="str">
        <f>LEFT(Table1[[#This Row],[discount_type]],1)&amp;TEXT(ROUND(Table1[[#This Row],[discount_rate]]*100,0),"00")</f>
        <v>S15</v>
      </c>
      <c r="AM1126" t="str" cm="1">
        <f t="array" ref="AM1126">TEXT(SUMPRODUCT(CODE(MID(Table1[[#This Row],[home_gym_location]],_xlfn.SEQUENCE(LEN(Table1[[#This Row],[home_gym_location]])),1))),"00000")</f>
        <v>01245</v>
      </c>
      <c r="AN112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26" t="str">
        <f>LEFT(_xlfn.TEXTBEFORE(Table1[[#This Row],[Location Identifier]],"-"),3) &amp; "-" &amp; _xlfn.TEXTAFTER(Table1[[#This Row],[Location Identifier]],"-")</f>
        <v>SAC-007</v>
      </c>
      <c r="AP1126" s="9">
        <f t="shared" ca="1" si="170"/>
        <v>45869</v>
      </c>
    </row>
    <row r="1127" spans="1:42" x14ac:dyDescent="0.25">
      <c r="A1127">
        <v>39</v>
      </c>
      <c r="B1127" t="s">
        <v>33</v>
      </c>
      <c r="C1127">
        <v>3</v>
      </c>
      <c r="D1127" t="s">
        <v>117</v>
      </c>
      <c r="E1127" t="b">
        <v>0</v>
      </c>
      <c r="F1127" s="1">
        <v>0.52500000000000002</v>
      </c>
      <c r="G1127" s="1">
        <v>0.59652777777777777</v>
      </c>
      <c r="H1127">
        <v>103</v>
      </c>
      <c r="I1127" t="b">
        <v>0</v>
      </c>
      <c r="J1127" t="b">
        <v>1</v>
      </c>
      <c r="K1127" t="b">
        <v>0</v>
      </c>
      <c r="L1127" t="s">
        <v>28</v>
      </c>
      <c r="M1127">
        <v>30</v>
      </c>
      <c r="N1127" t="s">
        <v>64</v>
      </c>
      <c r="O1127">
        <v>22.5</v>
      </c>
      <c r="P1127" t="s">
        <v>36</v>
      </c>
      <c r="Q1127">
        <v>0</v>
      </c>
      <c r="R1127">
        <v>22.5</v>
      </c>
      <c r="S1127" t="s">
        <v>37</v>
      </c>
      <c r="T1127" t="s">
        <v>48</v>
      </c>
      <c r="U1127">
        <v>38.581600000000002</v>
      </c>
      <c r="V1127">
        <v>-121.4944</v>
      </c>
      <c r="W1127" s="2">
        <v>45738</v>
      </c>
      <c r="X1127">
        <v>1</v>
      </c>
      <c r="Y1127" t="b">
        <v>0</v>
      </c>
      <c r="Z1127" s="2">
        <v>45855</v>
      </c>
      <c r="AA1127" t="str">
        <f t="shared" si="171"/>
        <v>30–39</v>
      </c>
      <c r="AB1127" t="str">
        <f t="shared" si="172"/>
        <v>30–39</v>
      </c>
      <c r="AC1127" t="str">
        <f t="shared" si="173"/>
        <v/>
      </c>
      <c r="AD1127" t="str">
        <f t="shared" si="174"/>
        <v/>
      </c>
      <c r="AE1127" t="str">
        <f t="shared" si="175"/>
        <v>Wednesday</v>
      </c>
      <c r="AF1127" t="str">
        <f t="shared" si="176"/>
        <v>Thursday</v>
      </c>
      <c r="AG1127" t="str">
        <f t="shared" si="177"/>
        <v/>
      </c>
      <c r="AH1127" t="str">
        <f t="shared" si="178"/>
        <v/>
      </c>
      <c r="AI1127" t="str">
        <f t="shared" si="179"/>
        <v>Sunday</v>
      </c>
      <c r="AJ1127" t="str">
        <f>LEFT(Table1[[#This Row],[membership_type]],2)&amp;TEXT(Table1[[#This Row],[age]],"00")&amp;"-"&amp;TEXT(ROW(),"000")</f>
        <v>St39-1127</v>
      </c>
      <c r="AK1127" t="str">
        <f>LEFT(Table1[[#This Row],[membership_type]],1)&amp;TEXT(MATCH(Table1[[#This Row],[membership_type]],Table1[membership_type],0),"00")</f>
        <v>S02</v>
      </c>
      <c r="AL1127" t="str">
        <f>LEFT(Table1[[#This Row],[discount_type]],1)&amp;TEXT(ROUND(Table1[[#This Row],[discount_rate]]*100,0),"00")</f>
        <v>N00</v>
      </c>
      <c r="AM1127" t="str" cm="1">
        <f t="array" ref="AM1127">TEXT(SUMPRODUCT(CODE(MID(Table1[[#This Row],[home_gym_location]],_xlfn.SEQUENCE(LEN(Table1[[#This Row],[home_gym_location]])),1))),"00000")</f>
        <v>01245</v>
      </c>
      <c r="AN112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27" t="str">
        <f>LEFT(_xlfn.TEXTBEFORE(Table1[[#This Row],[Location Identifier]],"-"),3) &amp; "-" &amp; _xlfn.TEXTAFTER(Table1[[#This Row],[Location Identifier]],"-")</f>
        <v>SAC-007</v>
      </c>
      <c r="AP1127" s="9">
        <f t="shared" ca="1" si="170"/>
        <v>45869</v>
      </c>
    </row>
    <row r="1128" spans="1:42" x14ac:dyDescent="0.25">
      <c r="A1128">
        <v>40</v>
      </c>
      <c r="B1128" t="s">
        <v>42</v>
      </c>
      <c r="C1128">
        <v>2</v>
      </c>
      <c r="D1128" t="s">
        <v>73</v>
      </c>
      <c r="E1128" t="b">
        <v>0</v>
      </c>
      <c r="F1128" s="1">
        <v>0.72291666666666665</v>
      </c>
      <c r="G1128" s="1">
        <v>0.82847222222222228</v>
      </c>
      <c r="H1128">
        <v>152</v>
      </c>
      <c r="I1128" t="b">
        <v>1</v>
      </c>
      <c r="J1128" t="b">
        <v>1</v>
      </c>
      <c r="K1128" t="b">
        <v>1</v>
      </c>
      <c r="L1128" t="s">
        <v>28</v>
      </c>
      <c r="M1128">
        <v>20</v>
      </c>
      <c r="N1128" t="s">
        <v>29</v>
      </c>
      <c r="O1128">
        <v>20</v>
      </c>
      <c r="P1128" t="s">
        <v>36</v>
      </c>
      <c r="Q1128">
        <v>0</v>
      </c>
      <c r="R1128">
        <v>20</v>
      </c>
      <c r="S1128" t="s">
        <v>44</v>
      </c>
      <c r="T1128" t="s">
        <v>65</v>
      </c>
      <c r="U1128">
        <v>33.770099999999999</v>
      </c>
      <c r="V1128">
        <v>-118.19370000000001</v>
      </c>
      <c r="W1128" s="2">
        <v>45395</v>
      </c>
      <c r="X1128">
        <v>6</v>
      </c>
      <c r="Y1128" t="b">
        <v>0</v>
      </c>
      <c r="Z1128" s="2">
        <v>45836</v>
      </c>
      <c r="AA1128" t="str">
        <f t="shared" si="171"/>
        <v>40–49</v>
      </c>
      <c r="AB1128" t="str">
        <f t="shared" si="172"/>
        <v>40–49</v>
      </c>
      <c r="AC1128" t="str">
        <f t="shared" si="173"/>
        <v/>
      </c>
      <c r="AD1128" t="str">
        <f t="shared" si="174"/>
        <v>Tuesday</v>
      </c>
      <c r="AE1128" t="str">
        <f t="shared" si="175"/>
        <v/>
      </c>
      <c r="AF1128" t="str">
        <f t="shared" si="176"/>
        <v/>
      </c>
      <c r="AG1128" t="str">
        <f t="shared" si="177"/>
        <v>Friday</v>
      </c>
      <c r="AH1128" t="str">
        <f t="shared" si="178"/>
        <v/>
      </c>
      <c r="AI1128" t="str">
        <f t="shared" si="179"/>
        <v/>
      </c>
      <c r="AJ1128" t="str">
        <f>LEFT(Table1[[#This Row],[membership_type]],2)&amp;TEXT(Table1[[#This Row],[age]],"00")&amp;"-"&amp;TEXT(ROW(),"000")</f>
        <v>Ba40-1128</v>
      </c>
      <c r="AK1128" t="str">
        <f>LEFT(Table1[[#This Row],[membership_type]],1)&amp;TEXT(MATCH(Table1[[#This Row],[membership_type]],Table1[membership_type],0),"00")</f>
        <v>B04</v>
      </c>
      <c r="AL1128" t="str">
        <f>LEFT(Table1[[#This Row],[discount_type]],1)&amp;TEXT(ROUND(Table1[[#This Row],[discount_rate]]*100,0),"00")</f>
        <v>N00</v>
      </c>
      <c r="AM1128" t="str" cm="1">
        <f t="array" ref="AM1128">TEXT(SUMPRODUCT(CODE(MID(Table1[[#This Row],[home_gym_location]],_xlfn.SEQUENCE(LEN(Table1[[#This Row],[home_gym_location]])),1))),"00000")</f>
        <v>01107</v>
      </c>
      <c r="AN112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28" t="str">
        <f>LEFT(_xlfn.TEXTBEFORE(Table1[[#This Row],[Location Identifier]],"-"),3) &amp; "-" &amp; _xlfn.TEXTAFTER(Table1[[#This Row],[Location Identifier]],"-")</f>
        <v>LON-004</v>
      </c>
      <c r="AP1128" s="9">
        <f t="shared" ca="1" si="170"/>
        <v>45869</v>
      </c>
    </row>
    <row r="1129" spans="1:42" x14ac:dyDescent="0.25">
      <c r="A1129">
        <v>20</v>
      </c>
      <c r="B1129" t="s">
        <v>26</v>
      </c>
      <c r="C1129">
        <v>2</v>
      </c>
      <c r="D1129" t="s">
        <v>88</v>
      </c>
      <c r="E1129" t="b">
        <v>1</v>
      </c>
      <c r="F1129" s="1">
        <v>0.73958333333333337</v>
      </c>
      <c r="G1129" s="1">
        <v>0.80555555555555558</v>
      </c>
      <c r="H1129">
        <v>95</v>
      </c>
      <c r="I1129" t="b">
        <v>1</v>
      </c>
      <c r="J1129" t="b">
        <v>0</v>
      </c>
      <c r="K1129" t="b">
        <v>1</v>
      </c>
      <c r="L1129" t="s">
        <v>47</v>
      </c>
      <c r="M1129">
        <v>50</v>
      </c>
      <c r="N1129" t="s">
        <v>64</v>
      </c>
      <c r="O1129">
        <v>37.5</v>
      </c>
      <c r="P1129" t="s">
        <v>36</v>
      </c>
      <c r="Q1129">
        <v>0</v>
      </c>
      <c r="R1129">
        <v>37.5</v>
      </c>
      <c r="S1129" t="s">
        <v>31</v>
      </c>
      <c r="T1129" t="s">
        <v>38</v>
      </c>
      <c r="U1129">
        <v>36.7378</v>
      </c>
      <c r="V1129">
        <v>-119.7871</v>
      </c>
      <c r="W1129" s="2">
        <v>45434</v>
      </c>
      <c r="X1129">
        <v>0</v>
      </c>
      <c r="Y1129" t="b">
        <v>1</v>
      </c>
      <c r="Z1129" s="2">
        <v>45838</v>
      </c>
      <c r="AA1129" t="str">
        <f t="shared" si="171"/>
        <v>20–29</v>
      </c>
      <c r="AB1129" t="str">
        <f t="shared" si="172"/>
        <v>20–29</v>
      </c>
      <c r="AC1129" t="str">
        <f t="shared" si="173"/>
        <v>Monday</v>
      </c>
      <c r="AD1129" t="str">
        <f t="shared" si="174"/>
        <v/>
      </c>
      <c r="AE1129" t="str">
        <f t="shared" si="175"/>
        <v>Wednesday</v>
      </c>
      <c r="AF1129" t="str">
        <f t="shared" si="176"/>
        <v/>
      </c>
      <c r="AG1129" t="str">
        <f t="shared" si="177"/>
        <v/>
      </c>
      <c r="AH1129" t="str">
        <f t="shared" si="178"/>
        <v/>
      </c>
      <c r="AI1129" t="str">
        <f t="shared" si="179"/>
        <v/>
      </c>
      <c r="AJ1129" t="str">
        <f>LEFT(Table1[[#This Row],[membership_type]],2)&amp;TEXT(Table1[[#This Row],[age]],"00")&amp;"-"&amp;TEXT(ROW(),"000")</f>
        <v>Pr20-1129</v>
      </c>
      <c r="AK1129" t="str">
        <f>LEFT(Table1[[#This Row],[membership_type]],1)&amp;TEXT(MATCH(Table1[[#This Row],[membership_type]],Table1[membership_type],0),"00")</f>
        <v>P01</v>
      </c>
      <c r="AL1129" t="str">
        <f>LEFT(Table1[[#This Row],[discount_type]],1)&amp;TEXT(ROUND(Table1[[#This Row],[discount_rate]]*100,0),"00")</f>
        <v>N00</v>
      </c>
      <c r="AM1129" t="str" cm="1">
        <f t="array" ref="AM1129">TEXT(SUMPRODUCT(CODE(MID(Table1[[#This Row],[home_gym_location]],_xlfn.SEQUENCE(LEN(Table1[[#This Row],[home_gym_location]])),1))),"00000")</f>
        <v>00829</v>
      </c>
      <c r="AN1129" t="str">
        <f>UPPER(_xlfn.TEXTBEFORE(Table1[[#This Row],[home_gym_location]],","))&amp;"-"&amp;TEXT(MATCH(Table1[[#This Row],[home_gym_location]],_xlfn._xlws.SORT(_xlfn.UNIQUE(Table1[home_gym_location])),0),"000")</f>
        <v>FRESNO-003</v>
      </c>
      <c r="AO1129" t="str">
        <f>LEFT(_xlfn.TEXTBEFORE(Table1[[#This Row],[Location Identifier]],"-"),3) &amp; "-" &amp; _xlfn.TEXTAFTER(Table1[[#This Row],[Location Identifier]],"-")</f>
        <v>FRE-003</v>
      </c>
      <c r="AP1129" s="9">
        <f t="shared" ca="1" si="170"/>
        <v>45869</v>
      </c>
    </row>
    <row r="1130" spans="1:42" x14ac:dyDescent="0.25">
      <c r="A1130">
        <v>47</v>
      </c>
      <c r="B1130" t="s">
        <v>33</v>
      </c>
      <c r="C1130">
        <v>1</v>
      </c>
      <c r="D1130" t="s">
        <v>49</v>
      </c>
      <c r="E1130" t="b">
        <v>0</v>
      </c>
      <c r="F1130" s="1">
        <v>0.68263888888888891</v>
      </c>
      <c r="G1130" s="1">
        <v>0.75486111111111109</v>
      </c>
      <c r="H1130">
        <v>104</v>
      </c>
      <c r="I1130" t="b">
        <v>0</v>
      </c>
      <c r="J1130" t="b">
        <v>1</v>
      </c>
      <c r="K1130" t="b">
        <v>0</v>
      </c>
      <c r="L1130" t="s">
        <v>47</v>
      </c>
      <c r="M1130">
        <v>30</v>
      </c>
      <c r="N1130" t="s">
        <v>29</v>
      </c>
      <c r="O1130">
        <v>30</v>
      </c>
      <c r="P1130" t="s">
        <v>74</v>
      </c>
      <c r="Q1130">
        <v>0.15</v>
      </c>
      <c r="R1130">
        <v>25.5</v>
      </c>
      <c r="S1130" t="s">
        <v>37</v>
      </c>
      <c r="T1130" t="s">
        <v>48</v>
      </c>
      <c r="U1130">
        <v>38.581600000000002</v>
      </c>
      <c r="V1130">
        <v>-121.4944</v>
      </c>
      <c r="W1130" s="2">
        <v>45554</v>
      </c>
      <c r="X1130">
        <v>1</v>
      </c>
      <c r="Y1130" t="b">
        <v>0</v>
      </c>
      <c r="Z1130" s="2">
        <v>45845</v>
      </c>
      <c r="AA1130" t="str">
        <f t="shared" si="171"/>
        <v>40–49</v>
      </c>
      <c r="AB1130" t="str">
        <f t="shared" si="172"/>
        <v>40–49</v>
      </c>
      <c r="AC1130" t="str">
        <f t="shared" si="173"/>
        <v/>
      </c>
      <c r="AD1130" t="str">
        <f t="shared" si="174"/>
        <v/>
      </c>
      <c r="AE1130" t="str">
        <f t="shared" si="175"/>
        <v/>
      </c>
      <c r="AF1130" t="str">
        <f t="shared" si="176"/>
        <v/>
      </c>
      <c r="AG1130" t="str">
        <f t="shared" si="177"/>
        <v/>
      </c>
      <c r="AH1130" t="str">
        <f t="shared" si="178"/>
        <v/>
      </c>
      <c r="AI1130" t="str">
        <f t="shared" si="179"/>
        <v>Sunday</v>
      </c>
      <c r="AJ1130" t="str">
        <f>LEFT(Table1[[#This Row],[membership_type]],2)&amp;TEXT(Table1[[#This Row],[age]],"00")&amp;"-"&amp;TEXT(ROW(),"000")</f>
        <v>St47-1130</v>
      </c>
      <c r="AK1130" t="str">
        <f>LEFT(Table1[[#This Row],[membership_type]],1)&amp;TEXT(MATCH(Table1[[#This Row],[membership_type]],Table1[membership_type],0),"00")</f>
        <v>S02</v>
      </c>
      <c r="AL1130" t="str">
        <f>LEFT(Table1[[#This Row],[discount_type]],1)&amp;TEXT(ROUND(Table1[[#This Row],[discount_rate]]*100,0),"00")</f>
        <v>S15</v>
      </c>
      <c r="AM1130" t="str" cm="1">
        <f t="array" ref="AM1130">TEXT(SUMPRODUCT(CODE(MID(Table1[[#This Row],[home_gym_location]],_xlfn.SEQUENCE(LEN(Table1[[#This Row],[home_gym_location]])),1))),"00000")</f>
        <v>01245</v>
      </c>
      <c r="AN113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30" t="str">
        <f>LEFT(_xlfn.TEXTBEFORE(Table1[[#This Row],[Location Identifier]],"-"),3) &amp; "-" &amp; _xlfn.TEXTAFTER(Table1[[#This Row],[Location Identifier]],"-")</f>
        <v>SAC-007</v>
      </c>
      <c r="AP1130" s="9">
        <f t="shared" ca="1" si="170"/>
        <v>45869</v>
      </c>
    </row>
    <row r="1131" spans="1:42" x14ac:dyDescent="0.25">
      <c r="A1131">
        <v>45</v>
      </c>
      <c r="B1131" t="s">
        <v>26</v>
      </c>
      <c r="C1131">
        <v>3</v>
      </c>
      <c r="D1131" t="s">
        <v>128</v>
      </c>
      <c r="E1131" t="b">
        <v>0</v>
      </c>
      <c r="F1131" s="1">
        <v>0.40486111111111112</v>
      </c>
      <c r="G1131" s="1">
        <v>0.46944444444444444</v>
      </c>
      <c r="H1131">
        <v>93</v>
      </c>
      <c r="I1131" t="b">
        <v>1</v>
      </c>
      <c r="J1131" t="b">
        <v>0</v>
      </c>
      <c r="K1131" t="b">
        <v>1</v>
      </c>
      <c r="L1131" t="s">
        <v>58</v>
      </c>
      <c r="M1131">
        <v>50</v>
      </c>
      <c r="N1131" t="s">
        <v>29</v>
      </c>
      <c r="O1131">
        <v>50</v>
      </c>
      <c r="P1131" t="s">
        <v>36</v>
      </c>
      <c r="Q1131">
        <v>0</v>
      </c>
      <c r="R1131">
        <v>50</v>
      </c>
      <c r="S1131" t="s">
        <v>31</v>
      </c>
      <c r="T1131" t="s">
        <v>54</v>
      </c>
      <c r="U1131">
        <v>32.715699999999998</v>
      </c>
      <c r="V1131">
        <v>-117.1611</v>
      </c>
      <c r="W1131" s="2">
        <v>45060</v>
      </c>
      <c r="X1131">
        <v>0</v>
      </c>
      <c r="Y1131" t="b">
        <v>1</v>
      </c>
      <c r="Z1131" s="2">
        <v>45817</v>
      </c>
      <c r="AA1131" t="str">
        <f t="shared" si="171"/>
        <v>40–49</v>
      </c>
      <c r="AB1131" t="str">
        <f t="shared" si="172"/>
        <v>40–49</v>
      </c>
      <c r="AC1131" t="str">
        <f t="shared" si="173"/>
        <v>Monday</v>
      </c>
      <c r="AD1131" t="str">
        <f t="shared" si="174"/>
        <v/>
      </c>
      <c r="AE1131" t="str">
        <f t="shared" si="175"/>
        <v/>
      </c>
      <c r="AF1131" t="str">
        <f t="shared" si="176"/>
        <v>Thursday</v>
      </c>
      <c r="AG1131" t="str">
        <f t="shared" si="177"/>
        <v/>
      </c>
      <c r="AH1131" t="str">
        <f t="shared" si="178"/>
        <v/>
      </c>
      <c r="AI1131" t="str">
        <f t="shared" si="179"/>
        <v>Sunday</v>
      </c>
      <c r="AJ1131" t="str">
        <f>LEFT(Table1[[#This Row],[membership_type]],2)&amp;TEXT(Table1[[#This Row],[age]],"00")&amp;"-"&amp;TEXT(ROW(),"000")</f>
        <v>Pr45-1131</v>
      </c>
      <c r="AK1131" t="str">
        <f>LEFT(Table1[[#This Row],[membership_type]],1)&amp;TEXT(MATCH(Table1[[#This Row],[membership_type]],Table1[membership_type],0),"00")</f>
        <v>P01</v>
      </c>
      <c r="AL1131" t="str">
        <f>LEFT(Table1[[#This Row],[discount_type]],1)&amp;TEXT(ROUND(Table1[[#This Row],[discount_rate]]*100,0),"00")</f>
        <v>N00</v>
      </c>
      <c r="AM1131" t="str" cm="1">
        <f t="array" ref="AM1131">TEXT(SUMPRODUCT(CODE(MID(Table1[[#This Row],[home_gym_location]],_xlfn.SEQUENCE(LEN(Table1[[#This Row],[home_gym_location]])),1))),"00000")</f>
        <v>01018</v>
      </c>
      <c r="AN113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31" t="str">
        <f>LEFT(_xlfn.TEXTBEFORE(Table1[[#This Row],[Location Identifier]],"-"),3) &amp; "-" &amp; _xlfn.TEXTAFTER(Table1[[#This Row],[Location Identifier]],"-")</f>
        <v>SAN-008</v>
      </c>
      <c r="AP1131" s="9">
        <f t="shared" ca="1" si="170"/>
        <v>45869</v>
      </c>
    </row>
    <row r="1132" spans="1:42" x14ac:dyDescent="0.25">
      <c r="A1132">
        <v>28</v>
      </c>
      <c r="B1132" t="s">
        <v>42</v>
      </c>
      <c r="C1132">
        <v>3</v>
      </c>
      <c r="D1132" t="s">
        <v>138</v>
      </c>
      <c r="E1132" t="b">
        <v>0</v>
      </c>
      <c r="F1132" s="1">
        <v>0.4284722222222222</v>
      </c>
      <c r="G1132" s="1">
        <v>0.4909722222222222</v>
      </c>
      <c r="H1132">
        <v>90</v>
      </c>
      <c r="I1132" t="b">
        <v>0</v>
      </c>
      <c r="J1132" t="b">
        <v>1</v>
      </c>
      <c r="K1132" t="b">
        <v>0</v>
      </c>
      <c r="L1132" t="s">
        <v>28</v>
      </c>
      <c r="M1132">
        <v>20</v>
      </c>
      <c r="N1132" t="s">
        <v>29</v>
      </c>
      <c r="O1132">
        <v>20</v>
      </c>
      <c r="P1132" t="s">
        <v>30</v>
      </c>
      <c r="Q1132">
        <v>0.05</v>
      </c>
      <c r="R1132">
        <v>19</v>
      </c>
      <c r="S1132" t="s">
        <v>44</v>
      </c>
      <c r="T1132" t="s">
        <v>41</v>
      </c>
      <c r="U1132">
        <v>37.804400000000001</v>
      </c>
      <c r="V1132">
        <v>-122.27119999999999</v>
      </c>
      <c r="W1132" s="2">
        <v>45302</v>
      </c>
      <c r="X1132">
        <v>6</v>
      </c>
      <c r="Y1132" t="b">
        <v>0</v>
      </c>
      <c r="Z1132" s="2">
        <v>45831</v>
      </c>
      <c r="AA1132" t="str">
        <f t="shared" si="171"/>
        <v>20–29</v>
      </c>
      <c r="AB1132" t="str">
        <f t="shared" si="172"/>
        <v>20–29</v>
      </c>
      <c r="AC1132" t="str">
        <f t="shared" si="173"/>
        <v/>
      </c>
      <c r="AD1132" t="str">
        <f t="shared" si="174"/>
        <v>Tuesday</v>
      </c>
      <c r="AE1132" t="str">
        <f t="shared" si="175"/>
        <v/>
      </c>
      <c r="AF1132" t="str">
        <f t="shared" si="176"/>
        <v>Thursday</v>
      </c>
      <c r="AG1132" t="str">
        <f t="shared" si="177"/>
        <v/>
      </c>
      <c r="AH1132" t="str">
        <f t="shared" si="178"/>
        <v/>
      </c>
      <c r="AI1132" t="str">
        <f t="shared" si="179"/>
        <v>Sunday</v>
      </c>
      <c r="AJ1132" t="str">
        <f>LEFT(Table1[[#This Row],[membership_type]],2)&amp;TEXT(Table1[[#This Row],[age]],"00")&amp;"-"&amp;TEXT(ROW(),"000")</f>
        <v>Ba28-1132</v>
      </c>
      <c r="AK1132" t="str">
        <f>LEFT(Table1[[#This Row],[membership_type]],1)&amp;TEXT(MATCH(Table1[[#This Row],[membership_type]],Table1[membership_type],0),"00")</f>
        <v>B04</v>
      </c>
      <c r="AL1132" t="str">
        <f>LEFT(Table1[[#This Row],[discount_type]],1)&amp;TEXT(ROUND(Table1[[#This Row],[discount_rate]]*100,0),"00")</f>
        <v>P05</v>
      </c>
      <c r="AM1132" t="str" cm="1">
        <f t="array" ref="AM1132">TEXT(SUMPRODUCT(CODE(MID(Table1[[#This Row],[home_gym_location]],_xlfn.SEQUENCE(LEN(Table1[[#This Row],[home_gym_location]])),1))),"00000")</f>
        <v>00906</v>
      </c>
      <c r="AN113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32" t="str">
        <f>LEFT(_xlfn.TEXTBEFORE(Table1[[#This Row],[Location Identifier]],"-"),3) &amp; "-" &amp; _xlfn.TEXTAFTER(Table1[[#This Row],[Location Identifier]],"-")</f>
        <v>OAK-006</v>
      </c>
      <c r="AP1132" s="9">
        <f t="shared" ca="1" si="170"/>
        <v>45869</v>
      </c>
    </row>
    <row r="1133" spans="1:42" x14ac:dyDescent="0.25">
      <c r="A1133">
        <v>17</v>
      </c>
      <c r="B1133" t="s">
        <v>26</v>
      </c>
      <c r="C1133">
        <v>3</v>
      </c>
      <c r="D1133" t="s">
        <v>134</v>
      </c>
      <c r="E1133" t="b">
        <v>1</v>
      </c>
      <c r="F1133" s="1">
        <v>0.65347222222222223</v>
      </c>
      <c r="G1133" s="1">
        <v>0.70694444444444449</v>
      </c>
      <c r="H1133">
        <v>77</v>
      </c>
      <c r="I1133" t="b">
        <v>1</v>
      </c>
      <c r="J1133" t="b">
        <v>1</v>
      </c>
      <c r="K1133" t="b">
        <v>0</v>
      </c>
      <c r="L1133" t="s">
        <v>62</v>
      </c>
      <c r="M1133">
        <v>50</v>
      </c>
      <c r="N1133" t="s">
        <v>64</v>
      </c>
      <c r="O1133">
        <v>37.5</v>
      </c>
      <c r="P1133" t="s">
        <v>40</v>
      </c>
      <c r="Q1133">
        <v>0.1</v>
      </c>
      <c r="R1133">
        <v>33.75</v>
      </c>
      <c r="S1133" t="s">
        <v>31</v>
      </c>
      <c r="T1133" t="s">
        <v>59</v>
      </c>
      <c r="U1133">
        <v>37.774900000000002</v>
      </c>
      <c r="V1133">
        <v>-122.4194</v>
      </c>
      <c r="W1133" s="2">
        <v>45744</v>
      </c>
      <c r="X1133">
        <v>8</v>
      </c>
      <c r="Y1133" t="b">
        <v>0</v>
      </c>
      <c r="Z1133" s="2">
        <v>45856</v>
      </c>
      <c r="AA1133" t="str">
        <f t="shared" si="171"/>
        <v>10–19</v>
      </c>
      <c r="AB1133" t="str">
        <f t="shared" si="172"/>
        <v>16–19</v>
      </c>
      <c r="AC1133" t="str">
        <f t="shared" si="173"/>
        <v/>
      </c>
      <c r="AD1133" t="str">
        <f t="shared" si="174"/>
        <v>Tuesday</v>
      </c>
      <c r="AE1133" t="str">
        <f t="shared" si="175"/>
        <v/>
      </c>
      <c r="AF1133" t="str">
        <f t="shared" si="176"/>
        <v>Thursday</v>
      </c>
      <c r="AG1133" t="str">
        <f t="shared" si="177"/>
        <v/>
      </c>
      <c r="AH1133" t="str">
        <f t="shared" si="178"/>
        <v>Saturday</v>
      </c>
      <c r="AI1133" t="str">
        <f t="shared" si="179"/>
        <v/>
      </c>
      <c r="AJ1133" t="str">
        <f>LEFT(Table1[[#This Row],[membership_type]],2)&amp;TEXT(Table1[[#This Row],[age]],"00")&amp;"-"&amp;TEXT(ROW(),"000")</f>
        <v>Pr17-1133</v>
      </c>
      <c r="AK1133" t="str">
        <f>LEFT(Table1[[#This Row],[membership_type]],1)&amp;TEXT(MATCH(Table1[[#This Row],[membership_type]],Table1[membership_type],0),"00")</f>
        <v>P01</v>
      </c>
      <c r="AL1133" t="str">
        <f>LEFT(Table1[[#This Row],[discount_type]],1)&amp;TEXT(ROUND(Table1[[#This Row],[discount_rate]]*100,0),"00")</f>
        <v>L10</v>
      </c>
      <c r="AM1133" t="str" cm="1">
        <f t="array" ref="AM1133">TEXT(SUMPRODUCT(CODE(MID(Table1[[#This Row],[home_gym_location]],_xlfn.SEQUENCE(LEN(Table1[[#This Row],[home_gym_location]])),1))),"00000")</f>
        <v>01450</v>
      </c>
      <c r="AN113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33" t="str">
        <f>LEFT(_xlfn.TEXTBEFORE(Table1[[#This Row],[Location Identifier]],"-"),3) &amp; "-" &amp; _xlfn.TEXTAFTER(Table1[[#This Row],[Location Identifier]],"-")</f>
        <v>SAN-009</v>
      </c>
      <c r="AP1133" s="9">
        <f t="shared" ca="1" si="170"/>
        <v>45869</v>
      </c>
    </row>
    <row r="1134" spans="1:42" x14ac:dyDescent="0.25">
      <c r="A1134">
        <v>19</v>
      </c>
      <c r="B1134" t="s">
        <v>26</v>
      </c>
      <c r="C1134">
        <v>1</v>
      </c>
      <c r="D1134" t="s">
        <v>63</v>
      </c>
      <c r="E1134" t="b">
        <v>1</v>
      </c>
      <c r="F1134" s="1">
        <v>0.60416666666666663</v>
      </c>
      <c r="G1134" s="1">
        <v>0.72847222222222219</v>
      </c>
      <c r="H1134">
        <v>179</v>
      </c>
      <c r="I1134" t="b">
        <v>0</v>
      </c>
      <c r="J1134" t="b">
        <v>1</v>
      </c>
      <c r="K1134" t="b">
        <v>1</v>
      </c>
      <c r="L1134" t="s">
        <v>35</v>
      </c>
      <c r="M1134">
        <v>50</v>
      </c>
      <c r="N1134" t="s">
        <v>64</v>
      </c>
      <c r="O1134">
        <v>37.5</v>
      </c>
      <c r="P1134" t="s">
        <v>40</v>
      </c>
      <c r="Q1134">
        <v>0.1</v>
      </c>
      <c r="R1134">
        <v>33.75</v>
      </c>
      <c r="S1134" t="s">
        <v>31</v>
      </c>
      <c r="T1134" t="s">
        <v>32</v>
      </c>
      <c r="U1134">
        <v>37.338200000000001</v>
      </c>
      <c r="V1134">
        <v>-121.88630000000001</v>
      </c>
      <c r="W1134" s="2">
        <v>45596</v>
      </c>
      <c r="X1134">
        <v>3</v>
      </c>
      <c r="Y1134" t="b">
        <v>1</v>
      </c>
      <c r="Z1134" s="2">
        <v>45847</v>
      </c>
      <c r="AA1134" t="str">
        <f t="shared" si="171"/>
        <v>10–19</v>
      </c>
      <c r="AB1134" t="str">
        <f t="shared" si="172"/>
        <v>16–19</v>
      </c>
      <c r="AC1134" t="str">
        <f t="shared" si="173"/>
        <v/>
      </c>
      <c r="AD1134" t="str">
        <f t="shared" si="174"/>
        <v/>
      </c>
      <c r="AE1134" t="str">
        <f t="shared" si="175"/>
        <v>Wednesday</v>
      </c>
      <c r="AF1134" t="str">
        <f t="shared" si="176"/>
        <v/>
      </c>
      <c r="AG1134" t="str">
        <f t="shared" si="177"/>
        <v/>
      </c>
      <c r="AH1134" t="str">
        <f t="shared" si="178"/>
        <v/>
      </c>
      <c r="AI1134" t="str">
        <f t="shared" si="179"/>
        <v/>
      </c>
      <c r="AJ1134" t="str">
        <f>LEFT(Table1[[#This Row],[membership_type]],2)&amp;TEXT(Table1[[#This Row],[age]],"00")&amp;"-"&amp;TEXT(ROW(),"000")</f>
        <v>Pr19-1134</v>
      </c>
      <c r="AK1134" t="str">
        <f>LEFT(Table1[[#This Row],[membership_type]],1)&amp;TEXT(MATCH(Table1[[#This Row],[membership_type]],Table1[membership_type],0),"00")</f>
        <v>P01</v>
      </c>
      <c r="AL1134" t="str">
        <f>LEFT(Table1[[#This Row],[discount_type]],1)&amp;TEXT(ROUND(Table1[[#This Row],[discount_rate]]*100,0),"00")</f>
        <v>L10</v>
      </c>
      <c r="AM1134" t="str" cm="1">
        <f t="array" ref="AM1134">TEXT(SUMPRODUCT(CODE(MID(Table1[[#This Row],[home_gym_location]],_xlfn.SEQUENCE(LEN(Table1[[#This Row],[home_gym_location]])),1))),"00000")</f>
        <v>00931</v>
      </c>
      <c r="AN113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34" t="str">
        <f>LEFT(_xlfn.TEXTBEFORE(Table1[[#This Row],[Location Identifier]],"-"),3) &amp; "-" &amp; _xlfn.TEXTAFTER(Table1[[#This Row],[Location Identifier]],"-")</f>
        <v>SAN-010</v>
      </c>
      <c r="AP1134" s="9">
        <f t="shared" ca="1" si="170"/>
        <v>45869</v>
      </c>
    </row>
    <row r="1135" spans="1:42" x14ac:dyDescent="0.25">
      <c r="A1135">
        <v>32</v>
      </c>
      <c r="B1135" t="s">
        <v>26</v>
      </c>
      <c r="C1135">
        <v>3</v>
      </c>
      <c r="D1135" t="s">
        <v>128</v>
      </c>
      <c r="E1135" t="b">
        <v>1</v>
      </c>
      <c r="F1135" s="1">
        <v>0.41458333333333336</v>
      </c>
      <c r="G1135" s="1">
        <v>0.50624999999999998</v>
      </c>
      <c r="H1135">
        <v>132</v>
      </c>
      <c r="I1135" t="b">
        <v>1</v>
      </c>
      <c r="J1135" t="b">
        <v>1</v>
      </c>
      <c r="K1135" t="b">
        <v>1</v>
      </c>
      <c r="L1135" t="s">
        <v>47</v>
      </c>
      <c r="M1135">
        <v>50</v>
      </c>
      <c r="N1135" t="s">
        <v>29</v>
      </c>
      <c r="O1135">
        <v>50</v>
      </c>
      <c r="P1135" t="s">
        <v>36</v>
      </c>
      <c r="Q1135">
        <v>0</v>
      </c>
      <c r="R1135">
        <v>50</v>
      </c>
      <c r="S1135" t="s">
        <v>31</v>
      </c>
      <c r="T1135" t="s">
        <v>45</v>
      </c>
      <c r="U1135">
        <v>33.836599999999997</v>
      </c>
      <c r="V1135">
        <v>-117.9143</v>
      </c>
      <c r="W1135" s="2">
        <v>45103</v>
      </c>
      <c r="X1135">
        <v>4</v>
      </c>
      <c r="Y1135" t="b">
        <v>1</v>
      </c>
      <c r="Z1135" s="2">
        <v>45820</v>
      </c>
      <c r="AA1135" t="str">
        <f t="shared" si="171"/>
        <v>30–39</v>
      </c>
      <c r="AB1135" t="str">
        <f t="shared" si="172"/>
        <v>30–39</v>
      </c>
      <c r="AC1135" t="str">
        <f t="shared" si="173"/>
        <v>Monday</v>
      </c>
      <c r="AD1135" t="str">
        <f t="shared" si="174"/>
        <v/>
      </c>
      <c r="AE1135" t="str">
        <f t="shared" si="175"/>
        <v/>
      </c>
      <c r="AF1135" t="str">
        <f t="shared" si="176"/>
        <v>Thursday</v>
      </c>
      <c r="AG1135" t="str">
        <f t="shared" si="177"/>
        <v/>
      </c>
      <c r="AH1135" t="str">
        <f t="shared" si="178"/>
        <v/>
      </c>
      <c r="AI1135" t="str">
        <f t="shared" si="179"/>
        <v>Sunday</v>
      </c>
      <c r="AJ1135" t="str">
        <f>LEFT(Table1[[#This Row],[membership_type]],2)&amp;TEXT(Table1[[#This Row],[age]],"00")&amp;"-"&amp;TEXT(ROW(),"000")</f>
        <v>Pr32-1135</v>
      </c>
      <c r="AK1135" t="str">
        <f>LEFT(Table1[[#This Row],[membership_type]],1)&amp;TEXT(MATCH(Table1[[#This Row],[membership_type]],Table1[membership_type],0),"00")</f>
        <v>P01</v>
      </c>
      <c r="AL1135" t="str">
        <f>LEFT(Table1[[#This Row],[discount_type]],1)&amp;TEXT(ROUND(Table1[[#This Row],[discount_rate]]*100,0),"00")</f>
        <v>N00</v>
      </c>
      <c r="AM1135" t="str" cm="1">
        <f t="array" ref="AM1135">TEXT(SUMPRODUCT(CODE(MID(Table1[[#This Row],[home_gym_location]],_xlfn.SEQUENCE(LEN(Table1[[#This Row],[home_gym_location]])),1))),"00000")</f>
        <v>00899</v>
      </c>
      <c r="AN11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35" t="str">
        <f>LEFT(_xlfn.TEXTBEFORE(Table1[[#This Row],[Location Identifier]],"-"),3) &amp; "-" &amp; _xlfn.TEXTAFTER(Table1[[#This Row],[Location Identifier]],"-")</f>
        <v>ANA-001</v>
      </c>
      <c r="AP1135" s="9">
        <f t="shared" ca="1" si="170"/>
        <v>45869</v>
      </c>
    </row>
    <row r="1136" spans="1:42" x14ac:dyDescent="0.25">
      <c r="A1136">
        <v>19</v>
      </c>
      <c r="B1136" t="s">
        <v>26</v>
      </c>
      <c r="C1136">
        <v>5</v>
      </c>
      <c r="D1136" t="s">
        <v>118</v>
      </c>
      <c r="E1136" t="b">
        <v>1</v>
      </c>
      <c r="F1136" s="1">
        <v>0.45416666666666666</v>
      </c>
      <c r="G1136" s="1">
        <v>0.55347222222222225</v>
      </c>
      <c r="H1136">
        <v>143</v>
      </c>
      <c r="I1136" t="b">
        <v>1</v>
      </c>
      <c r="J1136" t="b">
        <v>1</v>
      </c>
      <c r="K1136" t="b">
        <v>0</v>
      </c>
      <c r="L1136" t="s">
        <v>62</v>
      </c>
      <c r="M1136">
        <v>50</v>
      </c>
      <c r="N1136" t="s">
        <v>29</v>
      </c>
      <c r="O1136">
        <v>50</v>
      </c>
      <c r="P1136" t="s">
        <v>30</v>
      </c>
      <c r="Q1136">
        <v>0.05</v>
      </c>
      <c r="R1136">
        <v>47.5</v>
      </c>
      <c r="S1136" t="s">
        <v>31</v>
      </c>
      <c r="T1136" t="s">
        <v>65</v>
      </c>
      <c r="U1136">
        <v>33.770099999999999</v>
      </c>
      <c r="V1136">
        <v>-118.19370000000001</v>
      </c>
      <c r="W1136" s="2">
        <v>45749</v>
      </c>
      <c r="X1136">
        <v>4</v>
      </c>
      <c r="Y1136" t="b">
        <v>0</v>
      </c>
      <c r="Z1136" s="2">
        <v>45856</v>
      </c>
      <c r="AA1136" t="str">
        <f t="shared" si="171"/>
        <v>10–19</v>
      </c>
      <c r="AB1136" t="str">
        <f t="shared" si="172"/>
        <v>16–19</v>
      </c>
      <c r="AC1136" t="str">
        <f t="shared" si="173"/>
        <v>Monday</v>
      </c>
      <c r="AD1136" t="str">
        <f t="shared" si="174"/>
        <v/>
      </c>
      <c r="AE1136" t="str">
        <f t="shared" si="175"/>
        <v>Wednesday</v>
      </c>
      <c r="AF1136" t="str">
        <f t="shared" si="176"/>
        <v>Thursday</v>
      </c>
      <c r="AG1136" t="str">
        <f t="shared" si="177"/>
        <v>Friday</v>
      </c>
      <c r="AH1136" t="str">
        <f t="shared" si="178"/>
        <v>Saturday</v>
      </c>
      <c r="AI1136" t="str">
        <f t="shared" si="179"/>
        <v/>
      </c>
      <c r="AJ1136" t="str">
        <f>LEFT(Table1[[#This Row],[membership_type]],2)&amp;TEXT(Table1[[#This Row],[age]],"00")&amp;"-"&amp;TEXT(ROW(),"000")</f>
        <v>Pr19-1136</v>
      </c>
      <c r="AK1136" t="str">
        <f>LEFT(Table1[[#This Row],[membership_type]],1)&amp;TEXT(MATCH(Table1[[#This Row],[membership_type]],Table1[membership_type],0),"00")</f>
        <v>P01</v>
      </c>
      <c r="AL1136" t="str">
        <f>LEFT(Table1[[#This Row],[discount_type]],1)&amp;TEXT(ROUND(Table1[[#This Row],[discount_rate]]*100,0),"00")</f>
        <v>P05</v>
      </c>
      <c r="AM1136" t="str" cm="1">
        <f t="array" ref="AM1136">TEXT(SUMPRODUCT(CODE(MID(Table1[[#This Row],[home_gym_location]],_xlfn.SEQUENCE(LEN(Table1[[#This Row],[home_gym_location]])),1))),"00000")</f>
        <v>01107</v>
      </c>
      <c r="AN11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36" t="str">
        <f>LEFT(_xlfn.TEXTBEFORE(Table1[[#This Row],[Location Identifier]],"-"),3) &amp; "-" &amp; _xlfn.TEXTAFTER(Table1[[#This Row],[Location Identifier]],"-")</f>
        <v>LON-004</v>
      </c>
      <c r="AP1136" s="9">
        <f t="shared" ca="1" si="170"/>
        <v>45869</v>
      </c>
    </row>
    <row r="1137" spans="1:42" x14ac:dyDescent="0.25">
      <c r="A1137">
        <v>47</v>
      </c>
      <c r="B1137" t="s">
        <v>26</v>
      </c>
      <c r="C1137">
        <v>3</v>
      </c>
      <c r="D1137" t="s">
        <v>153</v>
      </c>
      <c r="E1137" t="b">
        <v>0</v>
      </c>
      <c r="F1137" s="1">
        <v>0.81319444444444444</v>
      </c>
      <c r="G1137" s="1">
        <v>0.84652777777777777</v>
      </c>
      <c r="H1137">
        <v>48</v>
      </c>
      <c r="I1137" t="b">
        <v>0</v>
      </c>
      <c r="J1137" t="b">
        <v>1</v>
      </c>
      <c r="K1137" t="b">
        <v>0</v>
      </c>
      <c r="L1137" t="s">
        <v>58</v>
      </c>
      <c r="M1137">
        <v>50</v>
      </c>
      <c r="N1137" t="s">
        <v>29</v>
      </c>
      <c r="O1137">
        <v>50</v>
      </c>
      <c r="P1137" t="s">
        <v>74</v>
      </c>
      <c r="Q1137">
        <v>0.15</v>
      </c>
      <c r="R1137">
        <v>42.5</v>
      </c>
      <c r="S1137" t="s">
        <v>31</v>
      </c>
      <c r="T1137" t="s">
        <v>32</v>
      </c>
      <c r="U1137">
        <v>37.338200000000001</v>
      </c>
      <c r="V1137">
        <v>-121.88630000000001</v>
      </c>
      <c r="W1137" s="2">
        <v>44924</v>
      </c>
      <c r="X1137">
        <v>1</v>
      </c>
      <c r="Y1137" t="b">
        <v>1</v>
      </c>
      <c r="Z1137" s="2">
        <v>45809</v>
      </c>
      <c r="AA1137" t="str">
        <f t="shared" si="171"/>
        <v>40–49</v>
      </c>
      <c r="AB1137" t="str">
        <f t="shared" si="172"/>
        <v>40–49</v>
      </c>
      <c r="AC1137" t="str">
        <f t="shared" si="173"/>
        <v>Monday</v>
      </c>
      <c r="AD1137" t="str">
        <f t="shared" si="174"/>
        <v/>
      </c>
      <c r="AE1137" t="str">
        <f t="shared" si="175"/>
        <v>Wednesday</v>
      </c>
      <c r="AF1137" t="str">
        <f t="shared" si="176"/>
        <v/>
      </c>
      <c r="AG1137" t="str">
        <f t="shared" si="177"/>
        <v/>
      </c>
      <c r="AH1137" t="str">
        <f t="shared" si="178"/>
        <v>Saturday</v>
      </c>
      <c r="AI1137" t="str">
        <f t="shared" si="179"/>
        <v/>
      </c>
      <c r="AJ1137" t="str">
        <f>LEFT(Table1[[#This Row],[membership_type]],2)&amp;TEXT(Table1[[#This Row],[age]],"00")&amp;"-"&amp;TEXT(ROW(),"000")</f>
        <v>Pr47-1137</v>
      </c>
      <c r="AK1137" t="str">
        <f>LEFT(Table1[[#This Row],[membership_type]],1)&amp;TEXT(MATCH(Table1[[#This Row],[membership_type]],Table1[membership_type],0),"00")</f>
        <v>P01</v>
      </c>
      <c r="AL1137" t="str">
        <f>LEFT(Table1[[#This Row],[discount_type]],1)&amp;TEXT(ROUND(Table1[[#This Row],[discount_rate]]*100,0),"00")</f>
        <v>S15</v>
      </c>
      <c r="AM1137" t="str" cm="1">
        <f t="array" ref="AM1137">TEXT(SUMPRODUCT(CODE(MID(Table1[[#This Row],[home_gym_location]],_xlfn.SEQUENCE(LEN(Table1[[#This Row],[home_gym_location]])),1))),"00000")</f>
        <v>00931</v>
      </c>
      <c r="AN113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37" t="str">
        <f>LEFT(_xlfn.TEXTBEFORE(Table1[[#This Row],[Location Identifier]],"-"),3) &amp; "-" &amp; _xlfn.TEXTAFTER(Table1[[#This Row],[Location Identifier]],"-")</f>
        <v>SAN-010</v>
      </c>
      <c r="AP1137" s="9">
        <f t="shared" ca="1" si="170"/>
        <v>45869</v>
      </c>
    </row>
    <row r="1138" spans="1:42" x14ac:dyDescent="0.25">
      <c r="A1138">
        <v>34</v>
      </c>
      <c r="B1138" t="s">
        <v>26</v>
      </c>
      <c r="C1138">
        <v>2</v>
      </c>
      <c r="D1138" t="s">
        <v>130</v>
      </c>
      <c r="E1138" t="b">
        <v>1</v>
      </c>
      <c r="F1138" s="1">
        <v>0.5854166666666667</v>
      </c>
      <c r="G1138" s="1">
        <v>0.67361111111111116</v>
      </c>
      <c r="H1138">
        <v>127</v>
      </c>
      <c r="I1138" t="b">
        <v>1</v>
      </c>
      <c r="J1138" t="b">
        <v>0</v>
      </c>
      <c r="K1138" t="b">
        <v>1</v>
      </c>
      <c r="L1138" t="s">
        <v>62</v>
      </c>
      <c r="M1138">
        <v>50</v>
      </c>
      <c r="N1138" t="s">
        <v>29</v>
      </c>
      <c r="O1138">
        <v>50</v>
      </c>
      <c r="P1138" t="s">
        <v>30</v>
      </c>
      <c r="Q1138">
        <v>0.05</v>
      </c>
      <c r="R1138">
        <v>47.5</v>
      </c>
      <c r="S1138" t="s">
        <v>31</v>
      </c>
      <c r="T1138" t="s">
        <v>59</v>
      </c>
      <c r="U1138">
        <v>37.774900000000002</v>
      </c>
      <c r="V1138">
        <v>-122.4194</v>
      </c>
      <c r="W1138" s="2">
        <v>45303</v>
      </c>
      <c r="X1138">
        <v>0</v>
      </c>
      <c r="Y1138" t="b">
        <v>1</v>
      </c>
      <c r="Z1138" s="2">
        <v>45831</v>
      </c>
      <c r="AA1138" t="str">
        <f t="shared" si="171"/>
        <v>30–39</v>
      </c>
      <c r="AB1138" t="str">
        <f t="shared" si="172"/>
        <v>30–39</v>
      </c>
      <c r="AC1138" t="str">
        <f t="shared" si="173"/>
        <v>Monday</v>
      </c>
      <c r="AD1138" t="str">
        <f t="shared" si="174"/>
        <v/>
      </c>
      <c r="AE1138" t="str">
        <f t="shared" si="175"/>
        <v/>
      </c>
      <c r="AF1138" t="str">
        <f t="shared" si="176"/>
        <v>Thursday</v>
      </c>
      <c r="AG1138" t="str">
        <f t="shared" si="177"/>
        <v/>
      </c>
      <c r="AH1138" t="str">
        <f t="shared" si="178"/>
        <v/>
      </c>
      <c r="AI1138" t="str">
        <f t="shared" si="179"/>
        <v/>
      </c>
      <c r="AJ1138" t="str">
        <f>LEFT(Table1[[#This Row],[membership_type]],2)&amp;TEXT(Table1[[#This Row],[age]],"00")&amp;"-"&amp;TEXT(ROW(),"000")</f>
        <v>Pr34-1138</v>
      </c>
      <c r="AK1138" t="str">
        <f>LEFT(Table1[[#This Row],[membership_type]],1)&amp;TEXT(MATCH(Table1[[#This Row],[membership_type]],Table1[membership_type],0),"00")</f>
        <v>P01</v>
      </c>
      <c r="AL1138" t="str">
        <f>LEFT(Table1[[#This Row],[discount_type]],1)&amp;TEXT(ROUND(Table1[[#This Row],[discount_rate]]*100,0),"00")</f>
        <v>P05</v>
      </c>
      <c r="AM1138" t="str" cm="1">
        <f t="array" ref="AM1138">TEXT(SUMPRODUCT(CODE(MID(Table1[[#This Row],[home_gym_location]],_xlfn.SEQUENCE(LEN(Table1[[#This Row],[home_gym_location]])),1))),"00000")</f>
        <v>01450</v>
      </c>
      <c r="AN113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38" t="str">
        <f>LEFT(_xlfn.TEXTBEFORE(Table1[[#This Row],[Location Identifier]],"-"),3) &amp; "-" &amp; _xlfn.TEXTAFTER(Table1[[#This Row],[Location Identifier]],"-")</f>
        <v>SAN-009</v>
      </c>
      <c r="AP1138" s="9">
        <f t="shared" ca="1" si="170"/>
        <v>45869</v>
      </c>
    </row>
    <row r="1139" spans="1:42" x14ac:dyDescent="0.25">
      <c r="A1139">
        <v>25</v>
      </c>
      <c r="B1139" t="s">
        <v>33</v>
      </c>
      <c r="C1139">
        <v>2</v>
      </c>
      <c r="D1139" t="s">
        <v>101</v>
      </c>
      <c r="E1139" t="b">
        <v>0</v>
      </c>
      <c r="F1139" s="1">
        <v>0.70416666666666672</v>
      </c>
      <c r="G1139" s="1">
        <v>0.76388888888888884</v>
      </c>
      <c r="H1139">
        <v>86</v>
      </c>
      <c r="I1139" t="b">
        <v>0</v>
      </c>
      <c r="J1139" t="b">
        <v>1</v>
      </c>
      <c r="K1139" t="b">
        <v>0</v>
      </c>
      <c r="L1139" t="s">
        <v>28</v>
      </c>
      <c r="M1139">
        <v>30</v>
      </c>
      <c r="N1139" t="s">
        <v>64</v>
      </c>
      <c r="O1139">
        <v>22.5</v>
      </c>
      <c r="P1139" t="s">
        <v>30</v>
      </c>
      <c r="Q1139">
        <v>0.05</v>
      </c>
      <c r="R1139">
        <v>21.375</v>
      </c>
      <c r="S1139" t="s">
        <v>37</v>
      </c>
      <c r="T1139" t="s">
        <v>45</v>
      </c>
      <c r="U1139">
        <v>33.836599999999997</v>
      </c>
      <c r="V1139">
        <v>-117.9143</v>
      </c>
      <c r="W1139" s="2">
        <v>45319</v>
      </c>
      <c r="X1139">
        <v>2</v>
      </c>
      <c r="Y1139" t="b">
        <v>1</v>
      </c>
      <c r="Z1139" s="2">
        <v>45832</v>
      </c>
      <c r="AA1139" t="str">
        <f t="shared" si="171"/>
        <v>20–29</v>
      </c>
      <c r="AB1139" t="str">
        <f t="shared" si="172"/>
        <v>20–29</v>
      </c>
      <c r="AC1139" t="str">
        <f t="shared" si="173"/>
        <v>Monday</v>
      </c>
      <c r="AD1139" t="str">
        <f t="shared" si="174"/>
        <v/>
      </c>
      <c r="AE1139" t="str">
        <f t="shared" si="175"/>
        <v/>
      </c>
      <c r="AF1139" t="str">
        <f t="shared" si="176"/>
        <v/>
      </c>
      <c r="AG1139" t="str">
        <f t="shared" si="177"/>
        <v>Friday</v>
      </c>
      <c r="AH1139" t="str">
        <f t="shared" si="178"/>
        <v/>
      </c>
      <c r="AI1139" t="str">
        <f t="shared" si="179"/>
        <v/>
      </c>
      <c r="AJ1139" t="str">
        <f>LEFT(Table1[[#This Row],[membership_type]],2)&amp;TEXT(Table1[[#This Row],[age]],"00")&amp;"-"&amp;TEXT(ROW(),"000")</f>
        <v>St25-1139</v>
      </c>
      <c r="AK1139" t="str">
        <f>LEFT(Table1[[#This Row],[membership_type]],1)&amp;TEXT(MATCH(Table1[[#This Row],[membership_type]],Table1[membership_type],0),"00")</f>
        <v>S02</v>
      </c>
      <c r="AL1139" t="str">
        <f>LEFT(Table1[[#This Row],[discount_type]],1)&amp;TEXT(ROUND(Table1[[#This Row],[discount_rate]]*100,0),"00")</f>
        <v>P05</v>
      </c>
      <c r="AM1139" t="str" cm="1">
        <f t="array" ref="AM1139">TEXT(SUMPRODUCT(CODE(MID(Table1[[#This Row],[home_gym_location]],_xlfn.SEQUENCE(LEN(Table1[[#This Row],[home_gym_location]])),1))),"00000")</f>
        <v>00899</v>
      </c>
      <c r="AN113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39" t="str">
        <f>LEFT(_xlfn.TEXTBEFORE(Table1[[#This Row],[Location Identifier]],"-"),3) &amp; "-" &amp; _xlfn.TEXTAFTER(Table1[[#This Row],[Location Identifier]],"-")</f>
        <v>ANA-001</v>
      </c>
      <c r="AP1139" s="9">
        <f t="shared" ca="1" si="170"/>
        <v>45869</v>
      </c>
    </row>
    <row r="1140" spans="1:42" x14ac:dyDescent="0.25">
      <c r="A1140">
        <v>48</v>
      </c>
      <c r="B1140" t="s">
        <v>26</v>
      </c>
      <c r="C1140">
        <v>3</v>
      </c>
      <c r="D1140" t="s">
        <v>102</v>
      </c>
      <c r="E1140" t="b">
        <v>1</v>
      </c>
      <c r="F1140" s="1">
        <v>0.35625000000000001</v>
      </c>
      <c r="G1140" s="1">
        <v>0.42569444444444443</v>
      </c>
      <c r="H1140">
        <v>100</v>
      </c>
      <c r="I1140" t="b">
        <v>1</v>
      </c>
      <c r="J1140" t="b">
        <v>1</v>
      </c>
      <c r="K1140" t="b">
        <v>1</v>
      </c>
      <c r="L1140" t="s">
        <v>28</v>
      </c>
      <c r="M1140">
        <v>50</v>
      </c>
      <c r="N1140" t="s">
        <v>29</v>
      </c>
      <c r="O1140">
        <v>50</v>
      </c>
      <c r="P1140" t="s">
        <v>74</v>
      </c>
      <c r="Q1140">
        <v>0.15</v>
      </c>
      <c r="R1140">
        <v>42.5</v>
      </c>
      <c r="S1140" t="s">
        <v>31</v>
      </c>
      <c r="T1140" t="s">
        <v>48</v>
      </c>
      <c r="U1140">
        <v>38.581600000000002</v>
      </c>
      <c r="V1140">
        <v>-121.4944</v>
      </c>
      <c r="W1140" s="2">
        <v>45200</v>
      </c>
      <c r="X1140">
        <v>7</v>
      </c>
      <c r="Y1140" t="b">
        <v>1</v>
      </c>
      <c r="Z1140" s="2">
        <v>45825</v>
      </c>
      <c r="AA1140" t="str">
        <f t="shared" si="171"/>
        <v>40–49</v>
      </c>
      <c r="AB1140" t="str">
        <f t="shared" si="172"/>
        <v>40–49</v>
      </c>
      <c r="AC1140" t="str">
        <f t="shared" si="173"/>
        <v/>
      </c>
      <c r="AD1140" t="str">
        <f t="shared" si="174"/>
        <v/>
      </c>
      <c r="AE1140" t="str">
        <f t="shared" si="175"/>
        <v/>
      </c>
      <c r="AF1140" t="str">
        <f t="shared" si="176"/>
        <v>Thursday</v>
      </c>
      <c r="AG1140" t="str">
        <f t="shared" si="177"/>
        <v>Friday</v>
      </c>
      <c r="AH1140" t="str">
        <f t="shared" si="178"/>
        <v>Saturday</v>
      </c>
      <c r="AI1140" t="str">
        <f t="shared" si="179"/>
        <v/>
      </c>
      <c r="AJ1140" t="str">
        <f>LEFT(Table1[[#This Row],[membership_type]],2)&amp;TEXT(Table1[[#This Row],[age]],"00")&amp;"-"&amp;TEXT(ROW(),"000")</f>
        <v>Pr48-1140</v>
      </c>
      <c r="AK1140" t="str">
        <f>LEFT(Table1[[#This Row],[membership_type]],1)&amp;TEXT(MATCH(Table1[[#This Row],[membership_type]],Table1[membership_type],0),"00")</f>
        <v>P01</v>
      </c>
      <c r="AL1140" t="str">
        <f>LEFT(Table1[[#This Row],[discount_type]],1)&amp;TEXT(ROUND(Table1[[#This Row],[discount_rate]]*100,0),"00")</f>
        <v>S15</v>
      </c>
      <c r="AM1140" t="str" cm="1">
        <f t="array" ref="AM1140">TEXT(SUMPRODUCT(CODE(MID(Table1[[#This Row],[home_gym_location]],_xlfn.SEQUENCE(LEN(Table1[[#This Row],[home_gym_location]])),1))),"00000")</f>
        <v>01245</v>
      </c>
      <c r="AN114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40" t="str">
        <f>LEFT(_xlfn.TEXTBEFORE(Table1[[#This Row],[Location Identifier]],"-"),3) &amp; "-" &amp; _xlfn.TEXTAFTER(Table1[[#This Row],[Location Identifier]],"-")</f>
        <v>SAC-007</v>
      </c>
      <c r="AP1140" s="9">
        <f t="shared" ca="1" si="170"/>
        <v>45869</v>
      </c>
    </row>
    <row r="1141" spans="1:42" x14ac:dyDescent="0.25">
      <c r="A1141">
        <v>29</v>
      </c>
      <c r="B1141" t="s">
        <v>26</v>
      </c>
      <c r="C1141">
        <v>2</v>
      </c>
      <c r="D1141" t="s">
        <v>96</v>
      </c>
      <c r="E1141" t="b">
        <v>0</v>
      </c>
      <c r="F1141" s="1">
        <v>0.61458333333333337</v>
      </c>
      <c r="G1141" s="1">
        <v>0.69652777777777775</v>
      </c>
      <c r="H1141">
        <v>118</v>
      </c>
      <c r="I1141" t="b">
        <v>1</v>
      </c>
      <c r="J1141" t="b">
        <v>1</v>
      </c>
      <c r="K1141" t="b">
        <v>1</v>
      </c>
      <c r="L1141" t="s">
        <v>28</v>
      </c>
      <c r="M1141">
        <v>50</v>
      </c>
      <c r="N1141" t="s">
        <v>64</v>
      </c>
      <c r="O1141">
        <v>37.5</v>
      </c>
      <c r="P1141" t="s">
        <v>36</v>
      </c>
      <c r="Q1141">
        <v>0</v>
      </c>
      <c r="R1141">
        <v>37.5</v>
      </c>
      <c r="S1141" t="s">
        <v>31</v>
      </c>
      <c r="T1141" t="s">
        <v>41</v>
      </c>
      <c r="U1141">
        <v>37.804400000000001</v>
      </c>
      <c r="V1141">
        <v>-122.27119999999999</v>
      </c>
      <c r="W1141" s="2">
        <v>44952</v>
      </c>
      <c r="X1141">
        <v>5</v>
      </c>
      <c r="Y1141" t="b">
        <v>1</v>
      </c>
      <c r="Z1141" s="2">
        <v>45811</v>
      </c>
      <c r="AA1141" t="str">
        <f t="shared" si="171"/>
        <v>20–29</v>
      </c>
      <c r="AB1141" t="str">
        <f t="shared" si="172"/>
        <v>20–29</v>
      </c>
      <c r="AC1141" t="str">
        <f t="shared" si="173"/>
        <v/>
      </c>
      <c r="AD1141" t="str">
        <f t="shared" si="174"/>
        <v/>
      </c>
      <c r="AE1141" t="str">
        <f t="shared" si="175"/>
        <v/>
      </c>
      <c r="AF1141" t="str">
        <f t="shared" si="176"/>
        <v>Thursday</v>
      </c>
      <c r="AG1141" t="str">
        <f t="shared" si="177"/>
        <v>Friday</v>
      </c>
      <c r="AH1141" t="str">
        <f t="shared" si="178"/>
        <v/>
      </c>
      <c r="AI1141" t="str">
        <f t="shared" si="179"/>
        <v/>
      </c>
      <c r="AJ1141" t="str">
        <f>LEFT(Table1[[#This Row],[membership_type]],2)&amp;TEXT(Table1[[#This Row],[age]],"00")&amp;"-"&amp;TEXT(ROW(),"000")</f>
        <v>Pr29-1141</v>
      </c>
      <c r="AK1141" t="str">
        <f>LEFT(Table1[[#This Row],[membership_type]],1)&amp;TEXT(MATCH(Table1[[#This Row],[membership_type]],Table1[membership_type],0),"00")</f>
        <v>P01</v>
      </c>
      <c r="AL1141" t="str">
        <f>LEFT(Table1[[#This Row],[discount_type]],1)&amp;TEXT(ROUND(Table1[[#This Row],[discount_rate]]*100,0),"00")</f>
        <v>N00</v>
      </c>
      <c r="AM1141" t="str" cm="1">
        <f t="array" ref="AM1141">TEXT(SUMPRODUCT(CODE(MID(Table1[[#This Row],[home_gym_location]],_xlfn.SEQUENCE(LEN(Table1[[#This Row],[home_gym_location]])),1))),"00000")</f>
        <v>00906</v>
      </c>
      <c r="AN114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41" t="str">
        <f>LEFT(_xlfn.TEXTBEFORE(Table1[[#This Row],[Location Identifier]],"-"),3) &amp; "-" &amp; _xlfn.TEXTAFTER(Table1[[#This Row],[Location Identifier]],"-")</f>
        <v>OAK-006</v>
      </c>
      <c r="AP1141" s="9">
        <f t="shared" ca="1" si="170"/>
        <v>45869</v>
      </c>
    </row>
    <row r="1142" spans="1:42" x14ac:dyDescent="0.25">
      <c r="A1142">
        <v>33</v>
      </c>
      <c r="B1142" t="s">
        <v>26</v>
      </c>
      <c r="C1142">
        <v>2</v>
      </c>
      <c r="D1142" t="s">
        <v>139</v>
      </c>
      <c r="E1142" t="b">
        <v>1</v>
      </c>
      <c r="F1142" s="1">
        <v>0.71250000000000002</v>
      </c>
      <c r="G1142" s="1">
        <v>0.79791666666666672</v>
      </c>
      <c r="H1142">
        <v>123</v>
      </c>
      <c r="I1142" t="b">
        <v>1</v>
      </c>
      <c r="J1142" t="b">
        <v>1</v>
      </c>
      <c r="K1142" t="b">
        <v>0</v>
      </c>
      <c r="L1142" t="s">
        <v>47</v>
      </c>
      <c r="M1142">
        <v>50</v>
      </c>
      <c r="N1142" t="s">
        <v>29</v>
      </c>
      <c r="O1142">
        <v>50</v>
      </c>
      <c r="P1142" t="s">
        <v>40</v>
      </c>
      <c r="Q1142">
        <v>0.1</v>
      </c>
      <c r="R1142">
        <v>45</v>
      </c>
      <c r="S1142" t="s">
        <v>31</v>
      </c>
      <c r="T1142" t="s">
        <v>38</v>
      </c>
      <c r="U1142">
        <v>36.7378</v>
      </c>
      <c r="V1142">
        <v>-119.7871</v>
      </c>
      <c r="W1142" s="2">
        <v>45460</v>
      </c>
      <c r="X1142">
        <v>5</v>
      </c>
      <c r="Y1142" t="b">
        <v>1</v>
      </c>
      <c r="Z1142" s="2">
        <v>45840</v>
      </c>
      <c r="AA1142" t="str">
        <f t="shared" si="171"/>
        <v>30–39</v>
      </c>
      <c r="AB1142" t="str">
        <f t="shared" si="172"/>
        <v>30–39</v>
      </c>
      <c r="AC1142" t="str">
        <f t="shared" si="173"/>
        <v/>
      </c>
      <c r="AD1142" t="str">
        <f t="shared" si="174"/>
        <v/>
      </c>
      <c r="AE1142" t="str">
        <f t="shared" si="175"/>
        <v>Wednesday</v>
      </c>
      <c r="AF1142" t="str">
        <f t="shared" si="176"/>
        <v/>
      </c>
      <c r="AG1142" t="str">
        <f t="shared" si="177"/>
        <v/>
      </c>
      <c r="AH1142" t="str">
        <f t="shared" si="178"/>
        <v>Saturday</v>
      </c>
      <c r="AI1142" t="str">
        <f t="shared" si="179"/>
        <v/>
      </c>
      <c r="AJ1142" t="str">
        <f>LEFT(Table1[[#This Row],[membership_type]],2)&amp;TEXT(Table1[[#This Row],[age]],"00")&amp;"-"&amp;TEXT(ROW(),"000")</f>
        <v>Pr33-1142</v>
      </c>
      <c r="AK1142" t="str">
        <f>LEFT(Table1[[#This Row],[membership_type]],1)&amp;TEXT(MATCH(Table1[[#This Row],[membership_type]],Table1[membership_type],0),"00")</f>
        <v>P01</v>
      </c>
      <c r="AL1142" t="str">
        <f>LEFT(Table1[[#This Row],[discount_type]],1)&amp;TEXT(ROUND(Table1[[#This Row],[discount_rate]]*100,0),"00")</f>
        <v>L10</v>
      </c>
      <c r="AM1142" t="str" cm="1">
        <f t="array" ref="AM1142">TEXT(SUMPRODUCT(CODE(MID(Table1[[#This Row],[home_gym_location]],_xlfn.SEQUENCE(LEN(Table1[[#This Row],[home_gym_location]])),1))),"00000")</f>
        <v>00829</v>
      </c>
      <c r="AN1142" t="str">
        <f>UPPER(_xlfn.TEXTBEFORE(Table1[[#This Row],[home_gym_location]],","))&amp;"-"&amp;TEXT(MATCH(Table1[[#This Row],[home_gym_location]],_xlfn._xlws.SORT(_xlfn.UNIQUE(Table1[home_gym_location])),0),"000")</f>
        <v>FRESNO-003</v>
      </c>
      <c r="AO1142" t="str">
        <f>LEFT(_xlfn.TEXTBEFORE(Table1[[#This Row],[Location Identifier]],"-"),3) &amp; "-" &amp; _xlfn.TEXTAFTER(Table1[[#This Row],[Location Identifier]],"-")</f>
        <v>FRE-003</v>
      </c>
      <c r="AP1142" s="9">
        <f t="shared" ca="1" si="170"/>
        <v>45869</v>
      </c>
    </row>
    <row r="1143" spans="1:42" x14ac:dyDescent="0.25">
      <c r="A1143">
        <v>45</v>
      </c>
      <c r="B1143" t="s">
        <v>26</v>
      </c>
      <c r="C1143">
        <v>3</v>
      </c>
      <c r="D1143" t="s">
        <v>89</v>
      </c>
      <c r="E1143" t="b">
        <v>0</v>
      </c>
      <c r="F1143" s="1">
        <v>0.54861111111111116</v>
      </c>
      <c r="G1143" s="1">
        <v>0.63541666666666663</v>
      </c>
      <c r="H1143">
        <v>125</v>
      </c>
      <c r="I1143" t="b">
        <v>1</v>
      </c>
      <c r="J1143" t="b">
        <v>0</v>
      </c>
      <c r="K1143" t="b">
        <v>1</v>
      </c>
      <c r="L1143" t="s">
        <v>28</v>
      </c>
      <c r="M1143">
        <v>50</v>
      </c>
      <c r="N1143" t="s">
        <v>29</v>
      </c>
      <c r="O1143">
        <v>50</v>
      </c>
      <c r="P1143" t="s">
        <v>36</v>
      </c>
      <c r="Q1143">
        <v>0</v>
      </c>
      <c r="R1143">
        <v>50</v>
      </c>
      <c r="S1143" t="s">
        <v>31</v>
      </c>
      <c r="T1143" t="s">
        <v>56</v>
      </c>
      <c r="U1143">
        <v>35.3733</v>
      </c>
      <c r="V1143">
        <v>-119.0187</v>
      </c>
      <c r="W1143" s="2">
        <v>45108</v>
      </c>
      <c r="X1143">
        <v>0</v>
      </c>
      <c r="Y1143" t="b">
        <v>0</v>
      </c>
      <c r="Z1143" s="2">
        <v>45820</v>
      </c>
      <c r="AA1143" t="str">
        <f t="shared" si="171"/>
        <v>40–49</v>
      </c>
      <c r="AB1143" t="str">
        <f t="shared" si="172"/>
        <v>40–49</v>
      </c>
      <c r="AC1143" t="str">
        <f t="shared" si="173"/>
        <v>Monday</v>
      </c>
      <c r="AD1143" t="str">
        <f t="shared" si="174"/>
        <v>Tuesday</v>
      </c>
      <c r="AE1143" t="str">
        <f t="shared" si="175"/>
        <v/>
      </c>
      <c r="AF1143" t="str">
        <f t="shared" si="176"/>
        <v/>
      </c>
      <c r="AG1143" t="str">
        <f t="shared" si="177"/>
        <v/>
      </c>
      <c r="AH1143" t="str">
        <f t="shared" si="178"/>
        <v>Saturday</v>
      </c>
      <c r="AI1143" t="str">
        <f t="shared" si="179"/>
        <v/>
      </c>
      <c r="AJ1143" t="str">
        <f>LEFT(Table1[[#This Row],[membership_type]],2)&amp;TEXT(Table1[[#This Row],[age]],"00")&amp;"-"&amp;TEXT(ROW(),"000")</f>
        <v>Pr45-1143</v>
      </c>
      <c r="AK1143" t="str">
        <f>LEFT(Table1[[#This Row],[membership_type]],1)&amp;TEXT(MATCH(Table1[[#This Row],[membership_type]],Table1[membership_type],0),"00")</f>
        <v>P01</v>
      </c>
      <c r="AL1143" t="str">
        <f>LEFT(Table1[[#This Row],[discount_type]],1)&amp;TEXT(ROUND(Table1[[#This Row],[discount_rate]]*100,0),"00")</f>
        <v>N00</v>
      </c>
      <c r="AM1143" t="str" cm="1">
        <f t="array" ref="AM1143">TEXT(SUMPRODUCT(CODE(MID(Table1[[#This Row],[home_gym_location]],_xlfn.SEQUENCE(LEN(Table1[[#This Row],[home_gym_location]])),1))),"00000")</f>
        <v>01324</v>
      </c>
      <c r="AN114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143" t="str">
        <f>LEFT(_xlfn.TEXTBEFORE(Table1[[#This Row],[Location Identifier]],"-"),3) &amp; "-" &amp; _xlfn.TEXTAFTER(Table1[[#This Row],[Location Identifier]],"-")</f>
        <v>BAK-002</v>
      </c>
      <c r="AP1143" s="9">
        <f t="shared" ca="1" si="170"/>
        <v>45869</v>
      </c>
    </row>
    <row r="1144" spans="1:42" x14ac:dyDescent="0.25">
      <c r="A1144">
        <v>27</v>
      </c>
      <c r="B1144" t="s">
        <v>26</v>
      </c>
      <c r="C1144">
        <v>3</v>
      </c>
      <c r="D1144" t="s">
        <v>155</v>
      </c>
      <c r="E1144" t="b">
        <v>1</v>
      </c>
      <c r="F1144" s="1">
        <v>0.42083333333333334</v>
      </c>
      <c r="G1144" s="1">
        <v>0.48472222222222222</v>
      </c>
      <c r="H1144">
        <v>92</v>
      </c>
      <c r="I1144" t="b">
        <v>1</v>
      </c>
      <c r="J1144" t="b">
        <v>0</v>
      </c>
      <c r="K1144" t="b">
        <v>0</v>
      </c>
      <c r="L1144" t="s">
        <v>35</v>
      </c>
      <c r="M1144">
        <v>50</v>
      </c>
      <c r="N1144" t="s">
        <v>29</v>
      </c>
      <c r="O1144">
        <v>50</v>
      </c>
      <c r="P1144" t="s">
        <v>74</v>
      </c>
      <c r="Q1144">
        <v>0.15</v>
      </c>
      <c r="R1144">
        <v>42.5</v>
      </c>
      <c r="S1144" t="s">
        <v>31</v>
      </c>
      <c r="T1144" t="s">
        <v>48</v>
      </c>
      <c r="U1144">
        <v>38.581600000000002</v>
      </c>
      <c r="V1144">
        <v>-121.4944</v>
      </c>
      <c r="W1144" s="2">
        <v>45228</v>
      </c>
      <c r="X1144">
        <v>0</v>
      </c>
      <c r="Y1144" t="b">
        <v>1</v>
      </c>
      <c r="Z1144" s="2">
        <v>45827</v>
      </c>
      <c r="AA1144" t="str">
        <f t="shared" si="171"/>
        <v>20–29</v>
      </c>
      <c r="AB1144" t="str">
        <f t="shared" si="172"/>
        <v>20–29</v>
      </c>
      <c r="AC1144" t="str">
        <f t="shared" si="173"/>
        <v>Monday</v>
      </c>
      <c r="AD1144" t="str">
        <f t="shared" si="174"/>
        <v/>
      </c>
      <c r="AE1144" t="str">
        <f t="shared" si="175"/>
        <v>Wednesday</v>
      </c>
      <c r="AF1144" t="str">
        <f t="shared" si="176"/>
        <v>Thursday</v>
      </c>
      <c r="AG1144" t="str">
        <f t="shared" si="177"/>
        <v/>
      </c>
      <c r="AH1144" t="str">
        <f t="shared" si="178"/>
        <v/>
      </c>
      <c r="AI1144" t="str">
        <f t="shared" si="179"/>
        <v/>
      </c>
      <c r="AJ1144" t="str">
        <f>LEFT(Table1[[#This Row],[membership_type]],2)&amp;TEXT(Table1[[#This Row],[age]],"00")&amp;"-"&amp;TEXT(ROW(),"000")</f>
        <v>Pr27-1144</v>
      </c>
      <c r="AK1144" t="str">
        <f>LEFT(Table1[[#This Row],[membership_type]],1)&amp;TEXT(MATCH(Table1[[#This Row],[membership_type]],Table1[membership_type],0),"00")</f>
        <v>P01</v>
      </c>
      <c r="AL1144" t="str">
        <f>LEFT(Table1[[#This Row],[discount_type]],1)&amp;TEXT(ROUND(Table1[[#This Row],[discount_rate]]*100,0),"00")</f>
        <v>S15</v>
      </c>
      <c r="AM1144" t="str" cm="1">
        <f t="array" ref="AM1144">TEXT(SUMPRODUCT(CODE(MID(Table1[[#This Row],[home_gym_location]],_xlfn.SEQUENCE(LEN(Table1[[#This Row],[home_gym_location]])),1))),"00000")</f>
        <v>01245</v>
      </c>
      <c r="AN11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44" t="str">
        <f>LEFT(_xlfn.TEXTBEFORE(Table1[[#This Row],[Location Identifier]],"-"),3) &amp; "-" &amp; _xlfn.TEXTAFTER(Table1[[#This Row],[Location Identifier]],"-")</f>
        <v>SAC-007</v>
      </c>
      <c r="AP1144" s="9">
        <f t="shared" ca="1" si="170"/>
        <v>45869</v>
      </c>
    </row>
    <row r="1145" spans="1:42" x14ac:dyDescent="0.25">
      <c r="A1145">
        <v>16</v>
      </c>
      <c r="B1145" t="s">
        <v>26</v>
      </c>
      <c r="C1145">
        <v>3</v>
      </c>
      <c r="D1145" t="s">
        <v>60</v>
      </c>
      <c r="E1145" t="b">
        <v>1</v>
      </c>
      <c r="F1145" s="1">
        <v>0.5625</v>
      </c>
      <c r="G1145" s="1">
        <v>0.59722222222222221</v>
      </c>
      <c r="H1145">
        <v>50</v>
      </c>
      <c r="I1145" t="b">
        <v>1</v>
      </c>
      <c r="J1145" t="b">
        <v>0</v>
      </c>
      <c r="K1145" t="b">
        <v>1</v>
      </c>
      <c r="L1145" t="s">
        <v>62</v>
      </c>
      <c r="M1145">
        <v>50</v>
      </c>
      <c r="N1145" t="s">
        <v>64</v>
      </c>
      <c r="O1145">
        <v>37.5</v>
      </c>
      <c r="P1145" t="s">
        <v>36</v>
      </c>
      <c r="Q1145">
        <v>0</v>
      </c>
      <c r="R1145">
        <v>37.5</v>
      </c>
      <c r="S1145" t="s">
        <v>31</v>
      </c>
      <c r="T1145" t="s">
        <v>54</v>
      </c>
      <c r="U1145">
        <v>32.715699999999998</v>
      </c>
      <c r="V1145">
        <v>-117.1611</v>
      </c>
      <c r="W1145" s="2">
        <v>45546</v>
      </c>
      <c r="X1145">
        <v>0</v>
      </c>
      <c r="Y1145" t="b">
        <v>1</v>
      </c>
      <c r="Z1145" s="2">
        <v>45844</v>
      </c>
      <c r="AA1145" t="str">
        <f t="shared" si="171"/>
        <v>10–19</v>
      </c>
      <c r="AB1145" t="str">
        <f t="shared" si="172"/>
        <v>16–19</v>
      </c>
      <c r="AC1145" t="str">
        <f t="shared" si="173"/>
        <v/>
      </c>
      <c r="AD1145" t="str">
        <f t="shared" si="174"/>
        <v/>
      </c>
      <c r="AE1145" t="str">
        <f t="shared" si="175"/>
        <v>Wednesday</v>
      </c>
      <c r="AF1145" t="str">
        <f t="shared" si="176"/>
        <v/>
      </c>
      <c r="AG1145" t="str">
        <f t="shared" si="177"/>
        <v/>
      </c>
      <c r="AH1145" t="str">
        <f t="shared" si="178"/>
        <v>Saturday</v>
      </c>
      <c r="AI1145" t="str">
        <f t="shared" si="179"/>
        <v>Sunday</v>
      </c>
      <c r="AJ1145" t="str">
        <f>LEFT(Table1[[#This Row],[membership_type]],2)&amp;TEXT(Table1[[#This Row],[age]],"00")&amp;"-"&amp;TEXT(ROW(),"000")</f>
        <v>Pr16-1145</v>
      </c>
      <c r="AK1145" t="str">
        <f>LEFT(Table1[[#This Row],[membership_type]],1)&amp;TEXT(MATCH(Table1[[#This Row],[membership_type]],Table1[membership_type],0),"00")</f>
        <v>P01</v>
      </c>
      <c r="AL1145" t="str">
        <f>LEFT(Table1[[#This Row],[discount_type]],1)&amp;TEXT(ROUND(Table1[[#This Row],[discount_rate]]*100,0),"00")</f>
        <v>N00</v>
      </c>
      <c r="AM1145" t="str" cm="1">
        <f t="array" ref="AM1145">TEXT(SUMPRODUCT(CODE(MID(Table1[[#This Row],[home_gym_location]],_xlfn.SEQUENCE(LEN(Table1[[#This Row],[home_gym_location]])),1))),"00000")</f>
        <v>01018</v>
      </c>
      <c r="AN114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45" t="str">
        <f>LEFT(_xlfn.TEXTBEFORE(Table1[[#This Row],[Location Identifier]],"-"),3) &amp; "-" &amp; _xlfn.TEXTAFTER(Table1[[#This Row],[Location Identifier]],"-")</f>
        <v>SAN-008</v>
      </c>
      <c r="AP1145" s="9">
        <f t="shared" ca="1" si="170"/>
        <v>45869</v>
      </c>
    </row>
    <row r="1146" spans="1:42" x14ac:dyDescent="0.25">
      <c r="A1146">
        <v>41</v>
      </c>
      <c r="B1146" t="s">
        <v>26</v>
      </c>
      <c r="C1146">
        <v>2</v>
      </c>
      <c r="D1146" t="s">
        <v>130</v>
      </c>
      <c r="E1146" t="b">
        <v>1</v>
      </c>
      <c r="F1146" s="1">
        <v>0.87083333333333335</v>
      </c>
      <c r="G1146" s="1">
        <v>0.99236111111111114</v>
      </c>
      <c r="H1146">
        <v>175</v>
      </c>
      <c r="I1146" t="b">
        <v>0</v>
      </c>
      <c r="J1146" t="b">
        <v>1</v>
      </c>
      <c r="K1146" t="b">
        <v>1</v>
      </c>
      <c r="L1146" t="s">
        <v>47</v>
      </c>
      <c r="M1146">
        <v>50</v>
      </c>
      <c r="N1146" t="s">
        <v>64</v>
      </c>
      <c r="O1146">
        <v>37.5</v>
      </c>
      <c r="P1146" t="s">
        <v>40</v>
      </c>
      <c r="Q1146">
        <v>0.1</v>
      </c>
      <c r="R1146">
        <v>33.75</v>
      </c>
      <c r="S1146" t="s">
        <v>31</v>
      </c>
      <c r="T1146" t="s">
        <v>48</v>
      </c>
      <c r="U1146">
        <v>38.581600000000002</v>
      </c>
      <c r="V1146">
        <v>-121.4944</v>
      </c>
      <c r="W1146" s="2">
        <v>44895</v>
      </c>
      <c r="X1146">
        <v>1</v>
      </c>
      <c r="Y1146" t="b">
        <v>1</v>
      </c>
      <c r="Z1146" s="2">
        <v>45808</v>
      </c>
      <c r="AA1146" t="str">
        <f t="shared" si="171"/>
        <v>40–49</v>
      </c>
      <c r="AB1146" t="str">
        <f t="shared" si="172"/>
        <v>40–49</v>
      </c>
      <c r="AC1146" t="str">
        <f t="shared" si="173"/>
        <v>Monday</v>
      </c>
      <c r="AD1146" t="str">
        <f t="shared" si="174"/>
        <v/>
      </c>
      <c r="AE1146" t="str">
        <f t="shared" si="175"/>
        <v/>
      </c>
      <c r="AF1146" t="str">
        <f t="shared" si="176"/>
        <v>Thursday</v>
      </c>
      <c r="AG1146" t="str">
        <f t="shared" si="177"/>
        <v/>
      </c>
      <c r="AH1146" t="str">
        <f t="shared" si="178"/>
        <v/>
      </c>
      <c r="AI1146" t="str">
        <f t="shared" si="179"/>
        <v/>
      </c>
      <c r="AJ1146" t="str">
        <f>LEFT(Table1[[#This Row],[membership_type]],2)&amp;TEXT(Table1[[#This Row],[age]],"00")&amp;"-"&amp;TEXT(ROW(),"000")</f>
        <v>Pr41-1146</v>
      </c>
      <c r="AK1146" t="str">
        <f>LEFT(Table1[[#This Row],[membership_type]],1)&amp;TEXT(MATCH(Table1[[#This Row],[membership_type]],Table1[membership_type],0),"00")</f>
        <v>P01</v>
      </c>
      <c r="AL1146" t="str">
        <f>LEFT(Table1[[#This Row],[discount_type]],1)&amp;TEXT(ROUND(Table1[[#This Row],[discount_rate]]*100,0),"00")</f>
        <v>L10</v>
      </c>
      <c r="AM1146" t="str" cm="1">
        <f t="array" ref="AM1146">TEXT(SUMPRODUCT(CODE(MID(Table1[[#This Row],[home_gym_location]],_xlfn.SEQUENCE(LEN(Table1[[#This Row],[home_gym_location]])),1))),"00000")</f>
        <v>01245</v>
      </c>
      <c r="AN114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46" t="str">
        <f>LEFT(_xlfn.TEXTBEFORE(Table1[[#This Row],[Location Identifier]],"-"),3) &amp; "-" &amp; _xlfn.TEXTAFTER(Table1[[#This Row],[Location Identifier]],"-")</f>
        <v>SAC-007</v>
      </c>
      <c r="AP1146" s="9">
        <f t="shared" ca="1" si="170"/>
        <v>45869</v>
      </c>
    </row>
    <row r="1147" spans="1:42" x14ac:dyDescent="0.25">
      <c r="A1147">
        <v>30</v>
      </c>
      <c r="B1147" t="s">
        <v>51</v>
      </c>
      <c r="C1147">
        <v>3</v>
      </c>
      <c r="D1147" t="s">
        <v>57</v>
      </c>
      <c r="E1147" t="b">
        <v>1</v>
      </c>
      <c r="F1147" s="1">
        <v>0.62152777777777779</v>
      </c>
      <c r="G1147" s="1">
        <v>0.66736111111111107</v>
      </c>
      <c r="H1147">
        <v>66</v>
      </c>
      <c r="I1147" t="b">
        <v>0</v>
      </c>
      <c r="J1147" t="b">
        <v>1</v>
      </c>
      <c r="K1147" t="b">
        <v>1</v>
      </c>
      <c r="L1147" t="s">
        <v>62</v>
      </c>
      <c r="M1147">
        <v>70</v>
      </c>
      <c r="N1147" t="s">
        <v>29</v>
      </c>
      <c r="O1147">
        <v>70</v>
      </c>
      <c r="P1147" t="s">
        <v>36</v>
      </c>
      <c r="Q1147">
        <v>0</v>
      </c>
      <c r="R1147">
        <v>70</v>
      </c>
      <c r="S1147" t="s">
        <v>53</v>
      </c>
      <c r="T1147" t="s">
        <v>54</v>
      </c>
      <c r="U1147">
        <v>32.715699999999998</v>
      </c>
      <c r="V1147">
        <v>-117.1611</v>
      </c>
      <c r="W1147" s="2">
        <v>44981</v>
      </c>
      <c r="X1147">
        <v>8</v>
      </c>
      <c r="Y1147" t="b">
        <v>1</v>
      </c>
      <c r="Z1147" s="2">
        <v>45813</v>
      </c>
      <c r="AA1147" t="str">
        <f t="shared" si="171"/>
        <v>30–39</v>
      </c>
      <c r="AB1147" t="str">
        <f t="shared" si="172"/>
        <v>30–39</v>
      </c>
      <c r="AC1147" t="str">
        <f t="shared" si="173"/>
        <v/>
      </c>
      <c r="AD1147" t="str">
        <f t="shared" si="174"/>
        <v/>
      </c>
      <c r="AE1147" t="str">
        <f t="shared" si="175"/>
        <v>Wednesday</v>
      </c>
      <c r="AF1147" t="str">
        <f t="shared" si="176"/>
        <v>Thursday</v>
      </c>
      <c r="AG1147" t="str">
        <f t="shared" si="177"/>
        <v/>
      </c>
      <c r="AH1147" t="str">
        <f t="shared" si="178"/>
        <v>Saturday</v>
      </c>
      <c r="AI1147" t="str">
        <f t="shared" si="179"/>
        <v/>
      </c>
      <c r="AJ1147" t="str">
        <f>LEFT(Table1[[#This Row],[membership_type]],2)&amp;TEXT(Table1[[#This Row],[age]],"00")&amp;"-"&amp;TEXT(ROW(),"000")</f>
        <v>El30-1147</v>
      </c>
      <c r="AK1147" t="str">
        <f>LEFT(Table1[[#This Row],[membership_type]],1)&amp;TEXT(MATCH(Table1[[#This Row],[membership_type]],Table1[membership_type],0),"00")</f>
        <v>E07</v>
      </c>
      <c r="AL1147" t="str">
        <f>LEFT(Table1[[#This Row],[discount_type]],1)&amp;TEXT(ROUND(Table1[[#This Row],[discount_rate]]*100,0),"00")</f>
        <v>N00</v>
      </c>
      <c r="AM1147" t="str" cm="1">
        <f t="array" ref="AM1147">TEXT(SUMPRODUCT(CODE(MID(Table1[[#This Row],[home_gym_location]],_xlfn.SEQUENCE(LEN(Table1[[#This Row],[home_gym_location]])),1))),"00000")</f>
        <v>01018</v>
      </c>
      <c r="AN114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47" t="str">
        <f>LEFT(_xlfn.TEXTBEFORE(Table1[[#This Row],[Location Identifier]],"-"),3) &amp; "-" &amp; _xlfn.TEXTAFTER(Table1[[#This Row],[Location Identifier]],"-")</f>
        <v>SAN-008</v>
      </c>
      <c r="AP1147" s="9">
        <f t="shared" ca="1" si="170"/>
        <v>45869</v>
      </c>
    </row>
    <row r="1148" spans="1:42" x14ac:dyDescent="0.25">
      <c r="A1148">
        <v>46</v>
      </c>
      <c r="B1148" t="s">
        <v>33</v>
      </c>
      <c r="C1148">
        <v>1</v>
      </c>
      <c r="D1148" t="s">
        <v>67</v>
      </c>
      <c r="E1148" t="b">
        <v>1</v>
      </c>
      <c r="F1148" s="1">
        <v>0.61388888888888893</v>
      </c>
      <c r="G1148" s="1">
        <v>0.70694444444444449</v>
      </c>
      <c r="H1148">
        <v>134</v>
      </c>
      <c r="I1148" t="b">
        <v>0</v>
      </c>
      <c r="J1148" t="b">
        <v>1</v>
      </c>
      <c r="K1148" t="b">
        <v>0</v>
      </c>
      <c r="L1148" t="s">
        <v>62</v>
      </c>
      <c r="M1148">
        <v>30</v>
      </c>
      <c r="N1148" t="s">
        <v>78</v>
      </c>
      <c r="O1148">
        <v>27</v>
      </c>
      <c r="P1148" t="s">
        <v>36</v>
      </c>
      <c r="Q1148">
        <v>0</v>
      </c>
      <c r="R1148">
        <v>27</v>
      </c>
      <c r="S1148" t="s">
        <v>37</v>
      </c>
      <c r="T1148" t="s">
        <v>45</v>
      </c>
      <c r="U1148">
        <v>33.836599999999997</v>
      </c>
      <c r="V1148">
        <v>-117.9143</v>
      </c>
      <c r="W1148" s="2">
        <v>45129</v>
      </c>
      <c r="X1148">
        <v>6</v>
      </c>
      <c r="Y1148" t="b">
        <v>0</v>
      </c>
      <c r="Z1148" s="2">
        <v>45821</v>
      </c>
      <c r="AA1148" t="str">
        <f t="shared" si="171"/>
        <v>40–49</v>
      </c>
      <c r="AB1148" t="str">
        <f t="shared" si="172"/>
        <v>40–49</v>
      </c>
      <c r="AC1148" t="str">
        <f t="shared" si="173"/>
        <v/>
      </c>
      <c r="AD1148" t="str">
        <f t="shared" si="174"/>
        <v/>
      </c>
      <c r="AE1148" t="str">
        <f t="shared" si="175"/>
        <v/>
      </c>
      <c r="AF1148" t="str">
        <f t="shared" si="176"/>
        <v>Thursday</v>
      </c>
      <c r="AG1148" t="str">
        <f t="shared" si="177"/>
        <v/>
      </c>
      <c r="AH1148" t="str">
        <f t="shared" si="178"/>
        <v/>
      </c>
      <c r="AI1148" t="str">
        <f t="shared" si="179"/>
        <v/>
      </c>
      <c r="AJ1148" t="str">
        <f>LEFT(Table1[[#This Row],[membership_type]],2)&amp;TEXT(Table1[[#This Row],[age]],"00")&amp;"-"&amp;TEXT(ROW(),"000")</f>
        <v>St46-1148</v>
      </c>
      <c r="AK1148" t="str">
        <f>LEFT(Table1[[#This Row],[membership_type]],1)&amp;TEXT(MATCH(Table1[[#This Row],[membership_type]],Table1[membership_type],0),"00")</f>
        <v>S02</v>
      </c>
      <c r="AL1148" t="str">
        <f>LEFT(Table1[[#This Row],[discount_type]],1)&amp;TEXT(ROUND(Table1[[#This Row],[discount_rate]]*100,0),"00")</f>
        <v>N00</v>
      </c>
      <c r="AM1148" t="str" cm="1">
        <f t="array" ref="AM1148">TEXT(SUMPRODUCT(CODE(MID(Table1[[#This Row],[home_gym_location]],_xlfn.SEQUENCE(LEN(Table1[[#This Row],[home_gym_location]])),1))),"00000")</f>
        <v>00899</v>
      </c>
      <c r="AN114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48" t="str">
        <f>LEFT(_xlfn.TEXTBEFORE(Table1[[#This Row],[Location Identifier]],"-"),3) &amp; "-" &amp; _xlfn.TEXTAFTER(Table1[[#This Row],[Location Identifier]],"-")</f>
        <v>ANA-001</v>
      </c>
      <c r="AP1148" s="9">
        <f t="shared" ca="1" si="170"/>
        <v>45869</v>
      </c>
    </row>
    <row r="1149" spans="1:42" x14ac:dyDescent="0.25">
      <c r="A1149">
        <v>26</v>
      </c>
      <c r="B1149" t="s">
        <v>33</v>
      </c>
      <c r="C1149">
        <v>4</v>
      </c>
      <c r="D1149" t="s">
        <v>132</v>
      </c>
      <c r="E1149" t="b">
        <v>1</v>
      </c>
      <c r="F1149" s="1">
        <v>0.54374999999999996</v>
      </c>
      <c r="G1149" s="1">
        <v>0.65208333333333335</v>
      </c>
      <c r="H1149">
        <v>156</v>
      </c>
      <c r="I1149" t="b">
        <v>0</v>
      </c>
      <c r="J1149" t="b">
        <v>1</v>
      </c>
      <c r="K1149" t="b">
        <v>1</v>
      </c>
      <c r="L1149" t="s">
        <v>47</v>
      </c>
      <c r="M1149">
        <v>30</v>
      </c>
      <c r="N1149" t="s">
        <v>64</v>
      </c>
      <c r="O1149">
        <v>22.5</v>
      </c>
      <c r="P1149" t="s">
        <v>30</v>
      </c>
      <c r="Q1149">
        <v>0.05</v>
      </c>
      <c r="R1149">
        <v>21.375</v>
      </c>
      <c r="S1149" t="s">
        <v>37</v>
      </c>
      <c r="T1149" t="s">
        <v>48</v>
      </c>
      <c r="U1149">
        <v>38.581600000000002</v>
      </c>
      <c r="V1149">
        <v>-121.4944</v>
      </c>
      <c r="W1149" s="2">
        <v>44925</v>
      </c>
      <c r="X1149">
        <v>2</v>
      </c>
      <c r="Y1149" t="b">
        <v>0</v>
      </c>
      <c r="Z1149" s="2">
        <v>45809</v>
      </c>
      <c r="AA1149" t="str">
        <f t="shared" si="171"/>
        <v>20–29</v>
      </c>
      <c r="AB1149" t="str">
        <f t="shared" si="172"/>
        <v>20–29</v>
      </c>
      <c r="AC1149" t="str">
        <f t="shared" si="173"/>
        <v>Monday</v>
      </c>
      <c r="AD1149" t="str">
        <f t="shared" si="174"/>
        <v/>
      </c>
      <c r="AE1149" t="str">
        <f t="shared" si="175"/>
        <v>Wednesday</v>
      </c>
      <c r="AF1149" t="str">
        <f t="shared" si="176"/>
        <v>Thursday</v>
      </c>
      <c r="AG1149" t="str">
        <f t="shared" si="177"/>
        <v/>
      </c>
      <c r="AH1149" t="str">
        <f t="shared" si="178"/>
        <v>Saturday</v>
      </c>
      <c r="AI1149" t="str">
        <f t="shared" si="179"/>
        <v/>
      </c>
      <c r="AJ1149" t="str">
        <f>LEFT(Table1[[#This Row],[membership_type]],2)&amp;TEXT(Table1[[#This Row],[age]],"00")&amp;"-"&amp;TEXT(ROW(),"000")</f>
        <v>St26-1149</v>
      </c>
      <c r="AK1149" t="str">
        <f>LEFT(Table1[[#This Row],[membership_type]],1)&amp;TEXT(MATCH(Table1[[#This Row],[membership_type]],Table1[membership_type],0),"00")</f>
        <v>S02</v>
      </c>
      <c r="AL1149" t="str">
        <f>LEFT(Table1[[#This Row],[discount_type]],1)&amp;TEXT(ROUND(Table1[[#This Row],[discount_rate]]*100,0),"00")</f>
        <v>P05</v>
      </c>
      <c r="AM1149" t="str" cm="1">
        <f t="array" ref="AM1149">TEXT(SUMPRODUCT(CODE(MID(Table1[[#This Row],[home_gym_location]],_xlfn.SEQUENCE(LEN(Table1[[#This Row],[home_gym_location]])),1))),"00000")</f>
        <v>01245</v>
      </c>
      <c r="AN114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49" t="str">
        <f>LEFT(_xlfn.TEXTBEFORE(Table1[[#This Row],[Location Identifier]],"-"),3) &amp; "-" &amp; _xlfn.TEXTAFTER(Table1[[#This Row],[Location Identifier]],"-")</f>
        <v>SAC-007</v>
      </c>
      <c r="AP1149" s="9">
        <f t="shared" ca="1" si="170"/>
        <v>45869</v>
      </c>
    </row>
    <row r="1150" spans="1:42" x14ac:dyDescent="0.25">
      <c r="A1150">
        <v>31</v>
      </c>
      <c r="B1150" t="s">
        <v>33</v>
      </c>
      <c r="C1150">
        <v>2</v>
      </c>
      <c r="D1150" t="s">
        <v>73</v>
      </c>
      <c r="E1150" t="b">
        <v>1</v>
      </c>
      <c r="F1150" s="1">
        <v>0.61875000000000002</v>
      </c>
      <c r="G1150" s="1">
        <v>0.73888888888888893</v>
      </c>
      <c r="H1150">
        <v>173</v>
      </c>
      <c r="I1150" t="b">
        <v>0</v>
      </c>
      <c r="J1150" t="b">
        <v>1</v>
      </c>
      <c r="K1150" t="b">
        <v>1</v>
      </c>
      <c r="L1150" t="s">
        <v>35</v>
      </c>
      <c r="M1150">
        <v>30</v>
      </c>
      <c r="N1150" t="s">
        <v>64</v>
      </c>
      <c r="O1150">
        <v>22.5</v>
      </c>
      <c r="P1150" t="s">
        <v>36</v>
      </c>
      <c r="Q1150">
        <v>0</v>
      </c>
      <c r="R1150">
        <v>22.5</v>
      </c>
      <c r="S1150" t="s">
        <v>37</v>
      </c>
      <c r="T1150" t="s">
        <v>54</v>
      </c>
      <c r="U1150">
        <v>32.715699999999998</v>
      </c>
      <c r="V1150">
        <v>-117.1611</v>
      </c>
      <c r="W1150" s="2">
        <v>44907</v>
      </c>
      <c r="X1150">
        <v>3</v>
      </c>
      <c r="Y1150" t="b">
        <v>0</v>
      </c>
      <c r="Z1150" s="2">
        <v>45808</v>
      </c>
      <c r="AA1150" t="str">
        <f t="shared" si="171"/>
        <v>30–39</v>
      </c>
      <c r="AB1150" t="str">
        <f t="shared" si="172"/>
        <v>30–39</v>
      </c>
      <c r="AC1150" t="str">
        <f t="shared" si="173"/>
        <v/>
      </c>
      <c r="AD1150" t="str">
        <f t="shared" si="174"/>
        <v>Tuesday</v>
      </c>
      <c r="AE1150" t="str">
        <f t="shared" si="175"/>
        <v/>
      </c>
      <c r="AF1150" t="str">
        <f t="shared" si="176"/>
        <v/>
      </c>
      <c r="AG1150" t="str">
        <f t="shared" si="177"/>
        <v>Friday</v>
      </c>
      <c r="AH1150" t="str">
        <f t="shared" si="178"/>
        <v/>
      </c>
      <c r="AI1150" t="str">
        <f t="shared" si="179"/>
        <v/>
      </c>
      <c r="AJ1150" t="str">
        <f>LEFT(Table1[[#This Row],[membership_type]],2)&amp;TEXT(Table1[[#This Row],[age]],"00")&amp;"-"&amp;TEXT(ROW(),"000")</f>
        <v>St31-1150</v>
      </c>
      <c r="AK1150" t="str">
        <f>LEFT(Table1[[#This Row],[membership_type]],1)&amp;TEXT(MATCH(Table1[[#This Row],[membership_type]],Table1[membership_type],0),"00")</f>
        <v>S02</v>
      </c>
      <c r="AL1150" t="str">
        <f>LEFT(Table1[[#This Row],[discount_type]],1)&amp;TEXT(ROUND(Table1[[#This Row],[discount_rate]]*100,0),"00")</f>
        <v>N00</v>
      </c>
      <c r="AM1150" t="str" cm="1">
        <f t="array" ref="AM1150">TEXT(SUMPRODUCT(CODE(MID(Table1[[#This Row],[home_gym_location]],_xlfn.SEQUENCE(LEN(Table1[[#This Row],[home_gym_location]])),1))),"00000")</f>
        <v>01018</v>
      </c>
      <c r="AN115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50" t="str">
        <f>LEFT(_xlfn.TEXTBEFORE(Table1[[#This Row],[Location Identifier]],"-"),3) &amp; "-" &amp; _xlfn.TEXTAFTER(Table1[[#This Row],[Location Identifier]],"-")</f>
        <v>SAN-008</v>
      </c>
      <c r="AP1150" s="9">
        <f t="shared" ca="1" si="170"/>
        <v>45869</v>
      </c>
    </row>
    <row r="1151" spans="1:42" x14ac:dyDescent="0.25">
      <c r="A1151">
        <v>29</v>
      </c>
      <c r="B1151" t="s">
        <v>51</v>
      </c>
      <c r="C1151">
        <v>3</v>
      </c>
      <c r="D1151" t="s">
        <v>80</v>
      </c>
      <c r="E1151" t="b">
        <v>1</v>
      </c>
      <c r="F1151" s="1">
        <v>0.3840277777777778</v>
      </c>
      <c r="G1151" s="1">
        <v>0.47708333333333336</v>
      </c>
      <c r="H1151">
        <v>134</v>
      </c>
      <c r="I1151" t="b">
        <v>0</v>
      </c>
      <c r="J1151" t="b">
        <v>0</v>
      </c>
      <c r="K1151" t="b">
        <v>1</v>
      </c>
      <c r="L1151" t="s">
        <v>62</v>
      </c>
      <c r="M1151">
        <v>70</v>
      </c>
      <c r="N1151" t="s">
        <v>29</v>
      </c>
      <c r="O1151">
        <v>70</v>
      </c>
      <c r="P1151" t="s">
        <v>30</v>
      </c>
      <c r="Q1151">
        <v>0.05</v>
      </c>
      <c r="R1151">
        <v>66.5</v>
      </c>
      <c r="S1151" t="s">
        <v>53</v>
      </c>
      <c r="T1151" t="s">
        <v>48</v>
      </c>
      <c r="U1151">
        <v>38.581600000000002</v>
      </c>
      <c r="V1151">
        <v>-121.4944</v>
      </c>
      <c r="W1151" s="2">
        <v>45076</v>
      </c>
      <c r="X1151">
        <v>0</v>
      </c>
      <c r="Y1151" t="b">
        <v>1</v>
      </c>
      <c r="Z1151" s="2">
        <v>45818</v>
      </c>
      <c r="AA1151" t="str">
        <f t="shared" si="171"/>
        <v>20–29</v>
      </c>
      <c r="AB1151" t="str">
        <f t="shared" si="172"/>
        <v>20–29</v>
      </c>
      <c r="AC1151" t="str">
        <f t="shared" si="173"/>
        <v>Monday</v>
      </c>
      <c r="AD1151" t="str">
        <f t="shared" si="174"/>
        <v/>
      </c>
      <c r="AE1151" t="str">
        <f t="shared" si="175"/>
        <v/>
      </c>
      <c r="AF1151" t="str">
        <f t="shared" si="176"/>
        <v/>
      </c>
      <c r="AG1151" t="str">
        <f t="shared" si="177"/>
        <v/>
      </c>
      <c r="AH1151" t="str">
        <f t="shared" si="178"/>
        <v>Saturday</v>
      </c>
      <c r="AI1151" t="str">
        <f t="shared" si="179"/>
        <v>Sunday</v>
      </c>
      <c r="AJ1151" t="str">
        <f>LEFT(Table1[[#This Row],[membership_type]],2)&amp;TEXT(Table1[[#This Row],[age]],"00")&amp;"-"&amp;TEXT(ROW(),"000")</f>
        <v>El29-1151</v>
      </c>
      <c r="AK1151" t="str">
        <f>LEFT(Table1[[#This Row],[membership_type]],1)&amp;TEXT(MATCH(Table1[[#This Row],[membership_type]],Table1[membership_type],0),"00")</f>
        <v>E07</v>
      </c>
      <c r="AL1151" t="str">
        <f>LEFT(Table1[[#This Row],[discount_type]],1)&amp;TEXT(ROUND(Table1[[#This Row],[discount_rate]]*100,0),"00")</f>
        <v>P05</v>
      </c>
      <c r="AM1151" t="str" cm="1">
        <f t="array" ref="AM1151">TEXT(SUMPRODUCT(CODE(MID(Table1[[#This Row],[home_gym_location]],_xlfn.SEQUENCE(LEN(Table1[[#This Row],[home_gym_location]])),1))),"00000")</f>
        <v>01245</v>
      </c>
      <c r="AN115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51" t="str">
        <f>LEFT(_xlfn.TEXTBEFORE(Table1[[#This Row],[Location Identifier]],"-"),3) &amp; "-" &amp; _xlfn.TEXTAFTER(Table1[[#This Row],[Location Identifier]],"-")</f>
        <v>SAC-007</v>
      </c>
      <c r="AP1151" s="9">
        <f t="shared" ca="1" si="170"/>
        <v>45869</v>
      </c>
    </row>
    <row r="1152" spans="1:42" x14ac:dyDescent="0.25">
      <c r="A1152">
        <v>47</v>
      </c>
      <c r="B1152" t="s">
        <v>26</v>
      </c>
      <c r="C1152">
        <v>2</v>
      </c>
      <c r="D1152" t="s">
        <v>116</v>
      </c>
      <c r="E1152" t="b">
        <v>0</v>
      </c>
      <c r="F1152" s="1">
        <v>0.70486111111111116</v>
      </c>
      <c r="G1152" s="1">
        <v>0.80069444444444449</v>
      </c>
      <c r="H1152">
        <v>138</v>
      </c>
      <c r="I1152" t="b">
        <v>1</v>
      </c>
      <c r="J1152" t="b">
        <v>0</v>
      </c>
      <c r="K1152" t="b">
        <v>1</v>
      </c>
      <c r="L1152" t="s">
        <v>62</v>
      </c>
      <c r="M1152">
        <v>50</v>
      </c>
      <c r="N1152" t="s">
        <v>29</v>
      </c>
      <c r="O1152">
        <v>50</v>
      </c>
      <c r="P1152" t="s">
        <v>36</v>
      </c>
      <c r="Q1152">
        <v>0</v>
      </c>
      <c r="R1152">
        <v>50</v>
      </c>
      <c r="S1152" t="s">
        <v>31</v>
      </c>
      <c r="T1152" t="s">
        <v>65</v>
      </c>
      <c r="U1152">
        <v>33.770099999999999</v>
      </c>
      <c r="V1152">
        <v>-118.19370000000001</v>
      </c>
      <c r="W1152" s="2">
        <v>44939</v>
      </c>
      <c r="X1152">
        <v>0</v>
      </c>
      <c r="Y1152" t="b">
        <v>1</v>
      </c>
      <c r="Z1152" s="2">
        <v>45810</v>
      </c>
      <c r="AA1152" t="str">
        <f t="shared" si="171"/>
        <v>40–49</v>
      </c>
      <c r="AB1152" t="str">
        <f t="shared" si="172"/>
        <v>40–49</v>
      </c>
      <c r="AC1152" t="str">
        <f t="shared" si="173"/>
        <v/>
      </c>
      <c r="AD1152" t="str">
        <f t="shared" si="174"/>
        <v/>
      </c>
      <c r="AE1152" t="str">
        <f t="shared" si="175"/>
        <v/>
      </c>
      <c r="AF1152" t="str">
        <f t="shared" si="176"/>
        <v>Thursday</v>
      </c>
      <c r="AG1152" t="str">
        <f t="shared" si="177"/>
        <v/>
      </c>
      <c r="AH1152" t="str">
        <f t="shared" si="178"/>
        <v/>
      </c>
      <c r="AI1152" t="str">
        <f t="shared" si="179"/>
        <v>Sunday</v>
      </c>
      <c r="AJ1152" t="str">
        <f>LEFT(Table1[[#This Row],[membership_type]],2)&amp;TEXT(Table1[[#This Row],[age]],"00")&amp;"-"&amp;TEXT(ROW(),"000")</f>
        <v>Pr47-1152</v>
      </c>
      <c r="AK1152" t="str">
        <f>LEFT(Table1[[#This Row],[membership_type]],1)&amp;TEXT(MATCH(Table1[[#This Row],[membership_type]],Table1[membership_type],0),"00")</f>
        <v>P01</v>
      </c>
      <c r="AL1152" t="str">
        <f>LEFT(Table1[[#This Row],[discount_type]],1)&amp;TEXT(ROUND(Table1[[#This Row],[discount_rate]]*100,0),"00")</f>
        <v>N00</v>
      </c>
      <c r="AM1152" t="str" cm="1">
        <f t="array" ref="AM1152">TEXT(SUMPRODUCT(CODE(MID(Table1[[#This Row],[home_gym_location]],_xlfn.SEQUENCE(LEN(Table1[[#This Row],[home_gym_location]])),1))),"00000")</f>
        <v>01107</v>
      </c>
      <c r="AN115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52" t="str">
        <f>LEFT(_xlfn.TEXTBEFORE(Table1[[#This Row],[Location Identifier]],"-"),3) &amp; "-" &amp; _xlfn.TEXTAFTER(Table1[[#This Row],[Location Identifier]],"-")</f>
        <v>LON-004</v>
      </c>
      <c r="AP1152" s="9">
        <f t="shared" ca="1" si="170"/>
        <v>45869</v>
      </c>
    </row>
    <row r="1153" spans="1:42" x14ac:dyDescent="0.25">
      <c r="A1153">
        <v>33</v>
      </c>
      <c r="B1153" t="s">
        <v>26</v>
      </c>
      <c r="C1153">
        <v>4</v>
      </c>
      <c r="D1153" t="s">
        <v>164</v>
      </c>
      <c r="E1153" t="b">
        <v>0</v>
      </c>
      <c r="F1153" s="1">
        <v>0.5625</v>
      </c>
      <c r="G1153" s="1">
        <v>0.59513888888888888</v>
      </c>
      <c r="H1153">
        <v>47</v>
      </c>
      <c r="I1153" t="b">
        <v>1</v>
      </c>
      <c r="J1153" t="b">
        <v>1</v>
      </c>
      <c r="K1153" t="b">
        <v>1</v>
      </c>
      <c r="L1153" t="s">
        <v>35</v>
      </c>
      <c r="M1153">
        <v>50</v>
      </c>
      <c r="N1153" t="s">
        <v>29</v>
      </c>
      <c r="O1153">
        <v>50</v>
      </c>
      <c r="P1153" t="s">
        <v>30</v>
      </c>
      <c r="Q1153">
        <v>0.05</v>
      </c>
      <c r="R1153">
        <v>47.5</v>
      </c>
      <c r="S1153" t="s">
        <v>31</v>
      </c>
      <c r="T1153" t="s">
        <v>45</v>
      </c>
      <c r="U1153">
        <v>33.836599999999997</v>
      </c>
      <c r="V1153">
        <v>-117.9143</v>
      </c>
      <c r="W1153" s="2">
        <v>45088</v>
      </c>
      <c r="X1153">
        <v>6</v>
      </c>
      <c r="Y1153" t="b">
        <v>1</v>
      </c>
      <c r="Z1153" s="2">
        <v>45819</v>
      </c>
      <c r="AA1153" t="str">
        <f t="shared" si="171"/>
        <v>30–39</v>
      </c>
      <c r="AB1153" t="str">
        <f t="shared" si="172"/>
        <v>30–39</v>
      </c>
      <c r="AC1153" t="str">
        <f t="shared" si="173"/>
        <v/>
      </c>
      <c r="AD1153" t="str">
        <f t="shared" si="174"/>
        <v/>
      </c>
      <c r="AE1153" t="str">
        <f t="shared" si="175"/>
        <v>Wednesday</v>
      </c>
      <c r="AF1153" t="str">
        <f t="shared" si="176"/>
        <v>Thursday</v>
      </c>
      <c r="AG1153" t="str">
        <f t="shared" si="177"/>
        <v>Friday</v>
      </c>
      <c r="AH1153" t="str">
        <f t="shared" si="178"/>
        <v>Saturday</v>
      </c>
      <c r="AI1153" t="str">
        <f t="shared" si="179"/>
        <v/>
      </c>
      <c r="AJ1153" t="str">
        <f>LEFT(Table1[[#This Row],[membership_type]],2)&amp;TEXT(Table1[[#This Row],[age]],"00")&amp;"-"&amp;TEXT(ROW(),"000")</f>
        <v>Pr33-1153</v>
      </c>
      <c r="AK1153" t="str">
        <f>LEFT(Table1[[#This Row],[membership_type]],1)&amp;TEXT(MATCH(Table1[[#This Row],[membership_type]],Table1[membership_type],0),"00")</f>
        <v>P01</v>
      </c>
      <c r="AL1153" t="str">
        <f>LEFT(Table1[[#This Row],[discount_type]],1)&amp;TEXT(ROUND(Table1[[#This Row],[discount_rate]]*100,0),"00")</f>
        <v>P05</v>
      </c>
      <c r="AM1153" t="str" cm="1">
        <f t="array" ref="AM1153">TEXT(SUMPRODUCT(CODE(MID(Table1[[#This Row],[home_gym_location]],_xlfn.SEQUENCE(LEN(Table1[[#This Row],[home_gym_location]])),1))),"00000")</f>
        <v>00899</v>
      </c>
      <c r="AN115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53" t="str">
        <f>LEFT(_xlfn.TEXTBEFORE(Table1[[#This Row],[Location Identifier]],"-"),3) &amp; "-" &amp; _xlfn.TEXTAFTER(Table1[[#This Row],[Location Identifier]],"-")</f>
        <v>ANA-001</v>
      </c>
      <c r="AP1153" s="9">
        <f t="shared" ca="1" si="170"/>
        <v>45869</v>
      </c>
    </row>
    <row r="1154" spans="1:42" x14ac:dyDescent="0.25">
      <c r="A1154">
        <v>36</v>
      </c>
      <c r="B1154" t="s">
        <v>33</v>
      </c>
      <c r="C1154">
        <v>1</v>
      </c>
      <c r="D1154" t="s">
        <v>71</v>
      </c>
      <c r="E1154" t="b">
        <v>0</v>
      </c>
      <c r="F1154" s="1">
        <v>0.87152777777777779</v>
      </c>
      <c r="G1154" s="1">
        <v>0.94722222222222219</v>
      </c>
      <c r="H1154">
        <v>109</v>
      </c>
      <c r="I1154" t="b">
        <v>1</v>
      </c>
      <c r="J1154" t="b">
        <v>0</v>
      </c>
      <c r="K1154" t="b">
        <v>1</v>
      </c>
      <c r="L1154" t="s">
        <v>35</v>
      </c>
      <c r="M1154">
        <v>30</v>
      </c>
      <c r="N1154" t="s">
        <v>64</v>
      </c>
      <c r="O1154">
        <v>22.5</v>
      </c>
      <c r="P1154" t="s">
        <v>74</v>
      </c>
      <c r="Q1154">
        <v>0.15</v>
      </c>
      <c r="R1154">
        <v>19.125</v>
      </c>
      <c r="S1154" t="s">
        <v>37</v>
      </c>
      <c r="T1154" t="s">
        <v>32</v>
      </c>
      <c r="U1154">
        <v>37.338200000000001</v>
      </c>
      <c r="V1154">
        <v>-121.88630000000001</v>
      </c>
      <c r="W1154" s="2">
        <v>45106</v>
      </c>
      <c r="X1154">
        <v>0</v>
      </c>
      <c r="Y1154" t="b">
        <v>1</v>
      </c>
      <c r="Z1154" s="2">
        <v>45820</v>
      </c>
      <c r="AA1154" t="str">
        <f t="shared" si="171"/>
        <v>30–39</v>
      </c>
      <c r="AB1154" t="str">
        <f t="shared" si="172"/>
        <v>30–39</v>
      </c>
      <c r="AC1154" t="str">
        <f t="shared" si="173"/>
        <v/>
      </c>
      <c r="AD1154" t="str">
        <f t="shared" si="174"/>
        <v>Tuesday</v>
      </c>
      <c r="AE1154" t="str">
        <f t="shared" si="175"/>
        <v/>
      </c>
      <c r="AF1154" t="str">
        <f t="shared" si="176"/>
        <v/>
      </c>
      <c r="AG1154" t="str">
        <f t="shared" si="177"/>
        <v/>
      </c>
      <c r="AH1154" t="str">
        <f t="shared" si="178"/>
        <v/>
      </c>
      <c r="AI1154" t="str">
        <f t="shared" si="179"/>
        <v/>
      </c>
      <c r="AJ1154" t="str">
        <f>LEFT(Table1[[#This Row],[membership_type]],2)&amp;TEXT(Table1[[#This Row],[age]],"00")&amp;"-"&amp;TEXT(ROW(),"000")</f>
        <v>St36-1154</v>
      </c>
      <c r="AK1154" t="str">
        <f>LEFT(Table1[[#This Row],[membership_type]],1)&amp;TEXT(MATCH(Table1[[#This Row],[membership_type]],Table1[membership_type],0),"00")</f>
        <v>S02</v>
      </c>
      <c r="AL1154" t="str">
        <f>LEFT(Table1[[#This Row],[discount_type]],1)&amp;TEXT(ROUND(Table1[[#This Row],[discount_rate]]*100,0),"00")</f>
        <v>S15</v>
      </c>
      <c r="AM1154" t="str" cm="1">
        <f t="array" ref="AM1154">TEXT(SUMPRODUCT(CODE(MID(Table1[[#This Row],[home_gym_location]],_xlfn.SEQUENCE(LEN(Table1[[#This Row],[home_gym_location]])),1))),"00000")</f>
        <v>00931</v>
      </c>
      <c r="AN115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54" t="str">
        <f>LEFT(_xlfn.TEXTBEFORE(Table1[[#This Row],[Location Identifier]],"-"),3) &amp; "-" &amp; _xlfn.TEXTAFTER(Table1[[#This Row],[Location Identifier]],"-")</f>
        <v>SAN-010</v>
      </c>
      <c r="AP1154" s="9">
        <f t="shared" ref="AP1154:AP1217" ca="1" si="180">EOMONTH(DATE(YEAR(TODAY()),7,1),0)</f>
        <v>45869</v>
      </c>
    </row>
    <row r="1155" spans="1:42" x14ac:dyDescent="0.25">
      <c r="A1155">
        <v>34</v>
      </c>
      <c r="B1155" t="s">
        <v>51</v>
      </c>
      <c r="C1155">
        <v>1</v>
      </c>
      <c r="D1155" t="s">
        <v>67</v>
      </c>
      <c r="E1155" t="b">
        <v>1</v>
      </c>
      <c r="F1155" s="1">
        <v>0.74791666666666667</v>
      </c>
      <c r="G1155" s="1">
        <v>0.82361111111111107</v>
      </c>
      <c r="H1155">
        <v>109</v>
      </c>
      <c r="I1155" t="b">
        <v>0</v>
      </c>
      <c r="J1155" t="b">
        <v>1</v>
      </c>
      <c r="K1155" t="b">
        <v>1</v>
      </c>
      <c r="L1155" t="s">
        <v>35</v>
      </c>
      <c r="M1155">
        <v>70</v>
      </c>
      <c r="N1155" t="s">
        <v>64</v>
      </c>
      <c r="O1155">
        <v>52.5</v>
      </c>
      <c r="P1155" t="s">
        <v>36</v>
      </c>
      <c r="Q1155">
        <v>0</v>
      </c>
      <c r="R1155">
        <v>52.5</v>
      </c>
      <c r="S1155" t="s">
        <v>53</v>
      </c>
      <c r="T1155" t="s">
        <v>32</v>
      </c>
      <c r="U1155">
        <v>37.338200000000001</v>
      </c>
      <c r="V1155">
        <v>-121.88630000000001</v>
      </c>
      <c r="W1155" s="2">
        <v>45172</v>
      </c>
      <c r="X1155">
        <v>6</v>
      </c>
      <c r="Y1155" t="b">
        <v>1</v>
      </c>
      <c r="Z1155" s="2">
        <v>45823</v>
      </c>
      <c r="AA1155" t="str">
        <f t="shared" ref="AA1155:AA1218" si="181">TEXT(10*INT($A1155/10),"0")&amp;"–"&amp;TEXT(10*INT($A1155/10)+9,"0")</f>
        <v>30–39</v>
      </c>
      <c r="AB1155" t="str">
        <f t="shared" ref="AB1155:AB1218" si="182">IF(AND($AA1155 = "10–19", $A1155 &lt; 16), "Under 16", IF(AND($AA1155 = "10–19", $A1155 &gt;= 16), "16–19", $AA1155))</f>
        <v>30–39</v>
      </c>
      <c r="AC1155" t="str">
        <f t="shared" ref="AC1155:AC1218" si="183">IF(ISNUMBER(SEARCH("Mon", $D1155)), "Monday", "")</f>
        <v/>
      </c>
      <c r="AD1155" t="str">
        <f t="shared" ref="AD1155:AD1218" si="184">IF(ISNUMBER(SEARCH("Tue", $D1155)), "Tuesday", "")</f>
        <v/>
      </c>
      <c r="AE1155" t="str">
        <f t="shared" ref="AE1155:AE1218" si="185">IF(ISNUMBER(SEARCH("Wed", $D1155)), "Wednesday", "")</f>
        <v/>
      </c>
      <c r="AF1155" t="str">
        <f t="shared" ref="AF1155:AF1218" si="186">IF(ISNUMBER(SEARCH("Thu", $D1155)), "Thursday", "")</f>
        <v>Thursday</v>
      </c>
      <c r="AG1155" t="str">
        <f t="shared" ref="AG1155:AG1218" si="187">IF(ISNUMBER(SEARCH("Fri", $D1155)), "Friday", "")</f>
        <v/>
      </c>
      <c r="AH1155" t="str">
        <f t="shared" ref="AH1155:AH1218" si="188">IF(ISNUMBER(SEARCH("Sat", $D1155)), "Saturday", "")</f>
        <v/>
      </c>
      <c r="AI1155" t="str">
        <f t="shared" ref="AI1155:AI1218" si="189">IF(ISNUMBER(SEARCH("Sun", $D1155)), "Sunday", "")</f>
        <v/>
      </c>
      <c r="AJ1155" t="str">
        <f>LEFT(Table1[[#This Row],[membership_type]],2)&amp;TEXT(Table1[[#This Row],[age]],"00")&amp;"-"&amp;TEXT(ROW(),"000")</f>
        <v>El34-1155</v>
      </c>
      <c r="AK1155" t="str">
        <f>LEFT(Table1[[#This Row],[membership_type]],1)&amp;TEXT(MATCH(Table1[[#This Row],[membership_type]],Table1[membership_type],0),"00")</f>
        <v>E07</v>
      </c>
      <c r="AL1155" t="str">
        <f>LEFT(Table1[[#This Row],[discount_type]],1)&amp;TEXT(ROUND(Table1[[#This Row],[discount_rate]]*100,0),"00")</f>
        <v>N00</v>
      </c>
      <c r="AM1155" t="str" cm="1">
        <f t="array" ref="AM1155">TEXT(SUMPRODUCT(CODE(MID(Table1[[#This Row],[home_gym_location]],_xlfn.SEQUENCE(LEN(Table1[[#This Row],[home_gym_location]])),1))),"00000")</f>
        <v>00931</v>
      </c>
      <c r="AN115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55" t="str">
        <f>LEFT(_xlfn.TEXTBEFORE(Table1[[#This Row],[Location Identifier]],"-"),3) &amp; "-" &amp; _xlfn.TEXTAFTER(Table1[[#This Row],[Location Identifier]],"-")</f>
        <v>SAN-010</v>
      </c>
      <c r="AP1155" s="9">
        <f t="shared" ca="1" si="180"/>
        <v>45869</v>
      </c>
    </row>
    <row r="1156" spans="1:42" x14ac:dyDescent="0.25">
      <c r="A1156">
        <v>33</v>
      </c>
      <c r="B1156" t="s">
        <v>26</v>
      </c>
      <c r="C1156">
        <v>2</v>
      </c>
      <c r="D1156" t="s">
        <v>103</v>
      </c>
      <c r="E1156" t="b">
        <v>1</v>
      </c>
      <c r="F1156" s="1">
        <v>0.67777777777777781</v>
      </c>
      <c r="G1156" s="1">
        <v>0.75208333333333333</v>
      </c>
      <c r="H1156">
        <v>107</v>
      </c>
      <c r="I1156" t="b">
        <v>1</v>
      </c>
      <c r="J1156" t="b">
        <v>1</v>
      </c>
      <c r="K1156" t="b">
        <v>0</v>
      </c>
      <c r="L1156" t="s">
        <v>28</v>
      </c>
      <c r="M1156">
        <v>50</v>
      </c>
      <c r="N1156" t="s">
        <v>29</v>
      </c>
      <c r="O1156">
        <v>50</v>
      </c>
      <c r="P1156" t="s">
        <v>36</v>
      </c>
      <c r="Q1156">
        <v>0</v>
      </c>
      <c r="R1156">
        <v>50</v>
      </c>
      <c r="S1156" t="s">
        <v>31</v>
      </c>
      <c r="T1156" t="s">
        <v>32</v>
      </c>
      <c r="U1156">
        <v>37.338200000000001</v>
      </c>
      <c r="V1156">
        <v>-121.88630000000001</v>
      </c>
      <c r="W1156" s="2">
        <v>45029</v>
      </c>
      <c r="X1156">
        <v>1</v>
      </c>
      <c r="Y1156" t="b">
        <v>1</v>
      </c>
      <c r="Z1156" s="2">
        <v>45815</v>
      </c>
      <c r="AA1156" t="str">
        <f t="shared" si="181"/>
        <v>30–39</v>
      </c>
      <c r="AB1156" t="str">
        <f t="shared" si="182"/>
        <v>30–39</v>
      </c>
      <c r="AC1156" t="str">
        <f t="shared" si="183"/>
        <v>Monday</v>
      </c>
      <c r="AD1156" t="str">
        <f t="shared" si="184"/>
        <v/>
      </c>
      <c r="AE1156" t="str">
        <f t="shared" si="185"/>
        <v/>
      </c>
      <c r="AF1156" t="str">
        <f t="shared" si="186"/>
        <v/>
      </c>
      <c r="AG1156" t="str">
        <f t="shared" si="187"/>
        <v/>
      </c>
      <c r="AH1156" t="str">
        <f t="shared" si="188"/>
        <v/>
      </c>
      <c r="AI1156" t="str">
        <f t="shared" si="189"/>
        <v>Sunday</v>
      </c>
      <c r="AJ1156" t="str">
        <f>LEFT(Table1[[#This Row],[membership_type]],2)&amp;TEXT(Table1[[#This Row],[age]],"00")&amp;"-"&amp;TEXT(ROW(),"000")</f>
        <v>Pr33-1156</v>
      </c>
      <c r="AK1156" t="str">
        <f>LEFT(Table1[[#This Row],[membership_type]],1)&amp;TEXT(MATCH(Table1[[#This Row],[membership_type]],Table1[membership_type],0),"00")</f>
        <v>P01</v>
      </c>
      <c r="AL1156" t="str">
        <f>LEFT(Table1[[#This Row],[discount_type]],1)&amp;TEXT(ROUND(Table1[[#This Row],[discount_rate]]*100,0),"00")</f>
        <v>N00</v>
      </c>
      <c r="AM1156" t="str" cm="1">
        <f t="array" ref="AM1156">TEXT(SUMPRODUCT(CODE(MID(Table1[[#This Row],[home_gym_location]],_xlfn.SEQUENCE(LEN(Table1[[#This Row],[home_gym_location]])),1))),"00000")</f>
        <v>00931</v>
      </c>
      <c r="AN115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56" t="str">
        <f>LEFT(_xlfn.TEXTBEFORE(Table1[[#This Row],[Location Identifier]],"-"),3) &amp; "-" &amp; _xlfn.TEXTAFTER(Table1[[#This Row],[Location Identifier]],"-")</f>
        <v>SAN-010</v>
      </c>
      <c r="AP1156" s="9">
        <f t="shared" ca="1" si="180"/>
        <v>45869</v>
      </c>
    </row>
    <row r="1157" spans="1:42" x14ac:dyDescent="0.25">
      <c r="A1157">
        <v>23</v>
      </c>
      <c r="B1157" t="s">
        <v>26</v>
      </c>
      <c r="C1157">
        <v>3</v>
      </c>
      <c r="D1157" t="s">
        <v>129</v>
      </c>
      <c r="E1157" t="b">
        <v>1</v>
      </c>
      <c r="F1157" s="1">
        <v>0.79305555555555551</v>
      </c>
      <c r="G1157" s="1">
        <v>0.88124999999999998</v>
      </c>
      <c r="H1157">
        <v>127</v>
      </c>
      <c r="I1157" t="b">
        <v>0</v>
      </c>
      <c r="J1157" t="b">
        <v>0</v>
      </c>
      <c r="K1157" t="b">
        <v>0</v>
      </c>
      <c r="L1157" t="s">
        <v>62</v>
      </c>
      <c r="M1157">
        <v>50</v>
      </c>
      <c r="N1157" t="s">
        <v>64</v>
      </c>
      <c r="O1157">
        <v>37.5</v>
      </c>
      <c r="P1157" t="s">
        <v>36</v>
      </c>
      <c r="Q1157">
        <v>0</v>
      </c>
      <c r="R1157">
        <v>37.5</v>
      </c>
      <c r="S1157" t="s">
        <v>31</v>
      </c>
      <c r="T1157" t="s">
        <v>45</v>
      </c>
      <c r="U1157">
        <v>33.836599999999997</v>
      </c>
      <c r="V1157">
        <v>-117.9143</v>
      </c>
      <c r="W1157" s="2">
        <v>45662</v>
      </c>
      <c r="X1157">
        <v>0</v>
      </c>
      <c r="Y1157" t="b">
        <v>1</v>
      </c>
      <c r="Z1157" s="2">
        <v>45851</v>
      </c>
      <c r="AA1157" t="str">
        <f t="shared" si="181"/>
        <v>20–29</v>
      </c>
      <c r="AB1157" t="str">
        <f t="shared" si="182"/>
        <v>20–29</v>
      </c>
      <c r="AC1157" t="str">
        <f t="shared" si="183"/>
        <v/>
      </c>
      <c r="AD1157" t="str">
        <f t="shared" si="184"/>
        <v>Tuesday</v>
      </c>
      <c r="AE1157" t="str">
        <f t="shared" si="185"/>
        <v>Wednesday</v>
      </c>
      <c r="AF1157" t="str">
        <f t="shared" si="186"/>
        <v/>
      </c>
      <c r="AG1157" t="str">
        <f t="shared" si="187"/>
        <v/>
      </c>
      <c r="AH1157" t="str">
        <f t="shared" si="188"/>
        <v/>
      </c>
      <c r="AI1157" t="str">
        <f t="shared" si="189"/>
        <v>Sunday</v>
      </c>
      <c r="AJ1157" t="str">
        <f>LEFT(Table1[[#This Row],[membership_type]],2)&amp;TEXT(Table1[[#This Row],[age]],"00")&amp;"-"&amp;TEXT(ROW(),"000")</f>
        <v>Pr23-1157</v>
      </c>
      <c r="AK1157" t="str">
        <f>LEFT(Table1[[#This Row],[membership_type]],1)&amp;TEXT(MATCH(Table1[[#This Row],[membership_type]],Table1[membership_type],0),"00")</f>
        <v>P01</v>
      </c>
      <c r="AL1157" t="str">
        <f>LEFT(Table1[[#This Row],[discount_type]],1)&amp;TEXT(ROUND(Table1[[#This Row],[discount_rate]]*100,0),"00")</f>
        <v>N00</v>
      </c>
      <c r="AM1157" t="str" cm="1">
        <f t="array" ref="AM1157">TEXT(SUMPRODUCT(CODE(MID(Table1[[#This Row],[home_gym_location]],_xlfn.SEQUENCE(LEN(Table1[[#This Row],[home_gym_location]])),1))),"00000")</f>
        <v>00899</v>
      </c>
      <c r="AN115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57" t="str">
        <f>LEFT(_xlfn.TEXTBEFORE(Table1[[#This Row],[Location Identifier]],"-"),3) &amp; "-" &amp; _xlfn.TEXTAFTER(Table1[[#This Row],[Location Identifier]],"-")</f>
        <v>ANA-001</v>
      </c>
      <c r="AP1157" s="9">
        <f t="shared" ca="1" si="180"/>
        <v>45869</v>
      </c>
    </row>
    <row r="1158" spans="1:42" x14ac:dyDescent="0.25">
      <c r="A1158">
        <v>16</v>
      </c>
      <c r="B1158" t="s">
        <v>26</v>
      </c>
      <c r="C1158">
        <v>1</v>
      </c>
      <c r="D1158" t="s">
        <v>63</v>
      </c>
      <c r="E1158" t="b">
        <v>0</v>
      </c>
      <c r="F1158" s="1">
        <v>0.36180555555555555</v>
      </c>
      <c r="G1158" s="1">
        <v>0.48125000000000001</v>
      </c>
      <c r="H1158">
        <v>172</v>
      </c>
      <c r="I1158" t="b">
        <v>0</v>
      </c>
      <c r="J1158" t="b">
        <v>0</v>
      </c>
      <c r="K1158" t="b">
        <v>1</v>
      </c>
      <c r="L1158" t="s">
        <v>62</v>
      </c>
      <c r="M1158">
        <v>50</v>
      </c>
      <c r="N1158" t="s">
        <v>64</v>
      </c>
      <c r="O1158">
        <v>37.5</v>
      </c>
      <c r="P1158" t="s">
        <v>30</v>
      </c>
      <c r="Q1158">
        <v>0.05</v>
      </c>
      <c r="R1158">
        <v>35.625</v>
      </c>
      <c r="S1158" t="s">
        <v>31</v>
      </c>
      <c r="T1158" t="s">
        <v>59</v>
      </c>
      <c r="U1158">
        <v>37.774900000000002</v>
      </c>
      <c r="V1158">
        <v>-122.4194</v>
      </c>
      <c r="W1158" s="2">
        <v>44892</v>
      </c>
      <c r="X1158">
        <v>0</v>
      </c>
      <c r="Y1158" t="b">
        <v>1</v>
      </c>
      <c r="Z1158" s="2">
        <v>45808</v>
      </c>
      <c r="AA1158" t="str">
        <f t="shared" si="181"/>
        <v>10–19</v>
      </c>
      <c r="AB1158" t="str">
        <f t="shared" si="182"/>
        <v>16–19</v>
      </c>
      <c r="AC1158" t="str">
        <f t="shared" si="183"/>
        <v/>
      </c>
      <c r="AD1158" t="str">
        <f t="shared" si="184"/>
        <v/>
      </c>
      <c r="AE1158" t="str">
        <f t="shared" si="185"/>
        <v>Wednesday</v>
      </c>
      <c r="AF1158" t="str">
        <f t="shared" si="186"/>
        <v/>
      </c>
      <c r="AG1158" t="str">
        <f t="shared" si="187"/>
        <v/>
      </c>
      <c r="AH1158" t="str">
        <f t="shared" si="188"/>
        <v/>
      </c>
      <c r="AI1158" t="str">
        <f t="shared" si="189"/>
        <v/>
      </c>
      <c r="AJ1158" t="str">
        <f>LEFT(Table1[[#This Row],[membership_type]],2)&amp;TEXT(Table1[[#This Row],[age]],"00")&amp;"-"&amp;TEXT(ROW(),"000")</f>
        <v>Pr16-1158</v>
      </c>
      <c r="AK1158" t="str">
        <f>LEFT(Table1[[#This Row],[membership_type]],1)&amp;TEXT(MATCH(Table1[[#This Row],[membership_type]],Table1[membership_type],0),"00")</f>
        <v>P01</v>
      </c>
      <c r="AL1158" t="str">
        <f>LEFT(Table1[[#This Row],[discount_type]],1)&amp;TEXT(ROUND(Table1[[#This Row],[discount_rate]]*100,0),"00")</f>
        <v>P05</v>
      </c>
      <c r="AM1158" t="str" cm="1">
        <f t="array" ref="AM1158">TEXT(SUMPRODUCT(CODE(MID(Table1[[#This Row],[home_gym_location]],_xlfn.SEQUENCE(LEN(Table1[[#This Row],[home_gym_location]])),1))),"00000")</f>
        <v>01450</v>
      </c>
      <c r="AN115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58" t="str">
        <f>LEFT(_xlfn.TEXTBEFORE(Table1[[#This Row],[Location Identifier]],"-"),3) &amp; "-" &amp; _xlfn.TEXTAFTER(Table1[[#This Row],[Location Identifier]],"-")</f>
        <v>SAN-009</v>
      </c>
      <c r="AP1158" s="9">
        <f t="shared" ca="1" si="180"/>
        <v>45869</v>
      </c>
    </row>
    <row r="1159" spans="1:42" x14ac:dyDescent="0.25">
      <c r="A1159">
        <v>27</v>
      </c>
      <c r="B1159" t="s">
        <v>26</v>
      </c>
      <c r="C1159">
        <v>2</v>
      </c>
      <c r="D1159" t="s">
        <v>70</v>
      </c>
      <c r="E1159" t="b">
        <v>0</v>
      </c>
      <c r="F1159" s="1">
        <v>0.86388888888888893</v>
      </c>
      <c r="G1159" s="1">
        <v>0.9145833333333333</v>
      </c>
      <c r="H1159">
        <v>73</v>
      </c>
      <c r="I1159" t="b">
        <v>0</v>
      </c>
      <c r="J1159" t="b">
        <v>1</v>
      </c>
      <c r="K1159" t="b">
        <v>1</v>
      </c>
      <c r="L1159" t="s">
        <v>28</v>
      </c>
      <c r="M1159">
        <v>50</v>
      </c>
      <c r="N1159" t="s">
        <v>29</v>
      </c>
      <c r="O1159">
        <v>50</v>
      </c>
      <c r="P1159" t="s">
        <v>36</v>
      </c>
      <c r="Q1159">
        <v>0</v>
      </c>
      <c r="R1159">
        <v>50</v>
      </c>
      <c r="S1159" t="s">
        <v>31</v>
      </c>
      <c r="T1159" t="s">
        <v>48</v>
      </c>
      <c r="U1159">
        <v>38.581600000000002</v>
      </c>
      <c r="V1159">
        <v>-121.4944</v>
      </c>
      <c r="W1159" s="2">
        <v>44902</v>
      </c>
      <c r="X1159">
        <v>1</v>
      </c>
      <c r="Y1159" t="b">
        <v>1</v>
      </c>
      <c r="Z1159" s="2">
        <v>45808</v>
      </c>
      <c r="AA1159" t="str">
        <f t="shared" si="181"/>
        <v>20–29</v>
      </c>
      <c r="AB1159" t="str">
        <f t="shared" si="182"/>
        <v>20–29</v>
      </c>
      <c r="AC1159" t="str">
        <f t="shared" si="183"/>
        <v/>
      </c>
      <c r="AD1159" t="str">
        <f t="shared" si="184"/>
        <v/>
      </c>
      <c r="AE1159" t="str">
        <f t="shared" si="185"/>
        <v>Wednesday</v>
      </c>
      <c r="AF1159" t="str">
        <f t="shared" si="186"/>
        <v>Thursday</v>
      </c>
      <c r="AG1159" t="str">
        <f t="shared" si="187"/>
        <v/>
      </c>
      <c r="AH1159" t="str">
        <f t="shared" si="188"/>
        <v/>
      </c>
      <c r="AI1159" t="str">
        <f t="shared" si="189"/>
        <v/>
      </c>
      <c r="AJ1159" t="str">
        <f>LEFT(Table1[[#This Row],[membership_type]],2)&amp;TEXT(Table1[[#This Row],[age]],"00")&amp;"-"&amp;TEXT(ROW(),"000")</f>
        <v>Pr27-1159</v>
      </c>
      <c r="AK1159" t="str">
        <f>LEFT(Table1[[#This Row],[membership_type]],1)&amp;TEXT(MATCH(Table1[[#This Row],[membership_type]],Table1[membership_type],0),"00")</f>
        <v>P01</v>
      </c>
      <c r="AL1159" t="str">
        <f>LEFT(Table1[[#This Row],[discount_type]],1)&amp;TEXT(ROUND(Table1[[#This Row],[discount_rate]]*100,0),"00")</f>
        <v>N00</v>
      </c>
      <c r="AM1159" t="str" cm="1">
        <f t="array" ref="AM1159">TEXT(SUMPRODUCT(CODE(MID(Table1[[#This Row],[home_gym_location]],_xlfn.SEQUENCE(LEN(Table1[[#This Row],[home_gym_location]])),1))),"00000")</f>
        <v>01245</v>
      </c>
      <c r="AN115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59" t="str">
        <f>LEFT(_xlfn.TEXTBEFORE(Table1[[#This Row],[Location Identifier]],"-"),3) &amp; "-" &amp; _xlfn.TEXTAFTER(Table1[[#This Row],[Location Identifier]],"-")</f>
        <v>SAC-007</v>
      </c>
      <c r="AP1159" s="9">
        <f t="shared" ca="1" si="180"/>
        <v>45869</v>
      </c>
    </row>
    <row r="1160" spans="1:42" x14ac:dyDescent="0.25">
      <c r="A1160">
        <v>40</v>
      </c>
      <c r="B1160" t="s">
        <v>42</v>
      </c>
      <c r="C1160">
        <v>1</v>
      </c>
      <c r="D1160" t="s">
        <v>95</v>
      </c>
      <c r="E1160" t="b">
        <v>0</v>
      </c>
      <c r="F1160" s="1">
        <v>0.43611111111111112</v>
      </c>
      <c r="G1160" s="1">
        <v>0.55902777777777779</v>
      </c>
      <c r="H1160">
        <v>177</v>
      </c>
      <c r="I1160" t="b">
        <v>0</v>
      </c>
      <c r="J1160" t="b">
        <v>0</v>
      </c>
      <c r="K1160" t="b">
        <v>1</v>
      </c>
      <c r="L1160" t="s">
        <v>62</v>
      </c>
      <c r="M1160">
        <v>20</v>
      </c>
      <c r="N1160" t="s">
        <v>64</v>
      </c>
      <c r="O1160">
        <v>15</v>
      </c>
      <c r="P1160" t="s">
        <v>74</v>
      </c>
      <c r="Q1160">
        <v>0.15</v>
      </c>
      <c r="R1160">
        <v>12.75</v>
      </c>
      <c r="S1160" t="s">
        <v>44</v>
      </c>
      <c r="T1160" t="s">
        <v>59</v>
      </c>
      <c r="U1160">
        <v>37.774900000000002</v>
      </c>
      <c r="V1160">
        <v>-122.4194</v>
      </c>
      <c r="W1160" s="2">
        <v>45799</v>
      </c>
      <c r="X1160">
        <v>0</v>
      </c>
      <c r="Y1160" t="b">
        <v>1</v>
      </c>
      <c r="Z1160" s="2">
        <v>45859</v>
      </c>
      <c r="AA1160" t="str">
        <f t="shared" si="181"/>
        <v>40–49</v>
      </c>
      <c r="AB1160" t="str">
        <f t="shared" si="182"/>
        <v>40–49</v>
      </c>
      <c r="AC1160" t="str">
        <f t="shared" si="183"/>
        <v/>
      </c>
      <c r="AD1160" t="str">
        <f t="shared" si="184"/>
        <v/>
      </c>
      <c r="AE1160" t="str">
        <f t="shared" si="185"/>
        <v/>
      </c>
      <c r="AF1160" t="str">
        <f t="shared" si="186"/>
        <v/>
      </c>
      <c r="AG1160" t="str">
        <f t="shared" si="187"/>
        <v/>
      </c>
      <c r="AH1160" t="str">
        <f t="shared" si="188"/>
        <v>Saturday</v>
      </c>
      <c r="AI1160" t="str">
        <f t="shared" si="189"/>
        <v/>
      </c>
      <c r="AJ1160" t="str">
        <f>LEFT(Table1[[#This Row],[membership_type]],2)&amp;TEXT(Table1[[#This Row],[age]],"00")&amp;"-"&amp;TEXT(ROW(),"000")</f>
        <v>Ba40-1160</v>
      </c>
      <c r="AK1160" t="str">
        <f>LEFT(Table1[[#This Row],[membership_type]],1)&amp;TEXT(MATCH(Table1[[#This Row],[membership_type]],Table1[membership_type],0),"00")</f>
        <v>B04</v>
      </c>
      <c r="AL1160" t="str">
        <f>LEFT(Table1[[#This Row],[discount_type]],1)&amp;TEXT(ROUND(Table1[[#This Row],[discount_rate]]*100,0),"00")</f>
        <v>S15</v>
      </c>
      <c r="AM1160" t="str" cm="1">
        <f t="array" ref="AM1160">TEXT(SUMPRODUCT(CODE(MID(Table1[[#This Row],[home_gym_location]],_xlfn.SEQUENCE(LEN(Table1[[#This Row],[home_gym_location]])),1))),"00000")</f>
        <v>01450</v>
      </c>
      <c r="AN116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60" t="str">
        <f>LEFT(_xlfn.TEXTBEFORE(Table1[[#This Row],[Location Identifier]],"-"),3) &amp; "-" &amp; _xlfn.TEXTAFTER(Table1[[#This Row],[Location Identifier]],"-")</f>
        <v>SAN-009</v>
      </c>
      <c r="AP1160" s="9">
        <f t="shared" ca="1" si="180"/>
        <v>45869</v>
      </c>
    </row>
    <row r="1161" spans="1:42" x14ac:dyDescent="0.25">
      <c r="A1161">
        <v>41</v>
      </c>
      <c r="B1161" t="s">
        <v>26</v>
      </c>
      <c r="C1161">
        <v>1</v>
      </c>
      <c r="D1161" t="s">
        <v>63</v>
      </c>
      <c r="E1161" t="b">
        <v>1</v>
      </c>
      <c r="F1161" s="1">
        <v>0.80763888888888891</v>
      </c>
      <c r="G1161" s="1">
        <v>0.8520833333333333</v>
      </c>
      <c r="H1161">
        <v>64</v>
      </c>
      <c r="I1161" t="b">
        <v>0</v>
      </c>
      <c r="J1161" t="b">
        <v>0</v>
      </c>
      <c r="K1161" t="b">
        <v>0</v>
      </c>
      <c r="L1161" t="s">
        <v>35</v>
      </c>
      <c r="M1161">
        <v>50</v>
      </c>
      <c r="N1161" t="s">
        <v>29</v>
      </c>
      <c r="O1161">
        <v>50</v>
      </c>
      <c r="P1161" t="s">
        <v>36</v>
      </c>
      <c r="Q1161">
        <v>0</v>
      </c>
      <c r="R1161">
        <v>50</v>
      </c>
      <c r="S1161" t="s">
        <v>31</v>
      </c>
      <c r="T1161" t="s">
        <v>38</v>
      </c>
      <c r="U1161">
        <v>36.7378</v>
      </c>
      <c r="V1161">
        <v>-119.7871</v>
      </c>
      <c r="W1161" s="2">
        <v>44951</v>
      </c>
      <c r="X1161">
        <v>0</v>
      </c>
      <c r="Y1161" t="b">
        <v>1</v>
      </c>
      <c r="Z1161" s="2">
        <v>45811</v>
      </c>
      <c r="AA1161" t="str">
        <f t="shared" si="181"/>
        <v>40–49</v>
      </c>
      <c r="AB1161" t="str">
        <f t="shared" si="182"/>
        <v>40–49</v>
      </c>
      <c r="AC1161" t="str">
        <f t="shared" si="183"/>
        <v/>
      </c>
      <c r="AD1161" t="str">
        <f t="shared" si="184"/>
        <v/>
      </c>
      <c r="AE1161" t="str">
        <f t="shared" si="185"/>
        <v>Wednesday</v>
      </c>
      <c r="AF1161" t="str">
        <f t="shared" si="186"/>
        <v/>
      </c>
      <c r="AG1161" t="str">
        <f t="shared" si="187"/>
        <v/>
      </c>
      <c r="AH1161" t="str">
        <f t="shared" si="188"/>
        <v/>
      </c>
      <c r="AI1161" t="str">
        <f t="shared" si="189"/>
        <v/>
      </c>
      <c r="AJ1161" t="str">
        <f>LEFT(Table1[[#This Row],[membership_type]],2)&amp;TEXT(Table1[[#This Row],[age]],"00")&amp;"-"&amp;TEXT(ROW(),"000")</f>
        <v>Pr41-1161</v>
      </c>
      <c r="AK1161" t="str">
        <f>LEFT(Table1[[#This Row],[membership_type]],1)&amp;TEXT(MATCH(Table1[[#This Row],[membership_type]],Table1[membership_type],0),"00")</f>
        <v>P01</v>
      </c>
      <c r="AL1161" t="str">
        <f>LEFT(Table1[[#This Row],[discount_type]],1)&amp;TEXT(ROUND(Table1[[#This Row],[discount_rate]]*100,0),"00")</f>
        <v>N00</v>
      </c>
      <c r="AM1161" t="str" cm="1">
        <f t="array" ref="AM1161">TEXT(SUMPRODUCT(CODE(MID(Table1[[#This Row],[home_gym_location]],_xlfn.SEQUENCE(LEN(Table1[[#This Row],[home_gym_location]])),1))),"00000")</f>
        <v>00829</v>
      </c>
      <c r="AN1161" t="str">
        <f>UPPER(_xlfn.TEXTBEFORE(Table1[[#This Row],[home_gym_location]],","))&amp;"-"&amp;TEXT(MATCH(Table1[[#This Row],[home_gym_location]],_xlfn._xlws.SORT(_xlfn.UNIQUE(Table1[home_gym_location])),0),"000")</f>
        <v>FRESNO-003</v>
      </c>
      <c r="AO1161" t="str">
        <f>LEFT(_xlfn.TEXTBEFORE(Table1[[#This Row],[Location Identifier]],"-"),3) &amp; "-" &amp; _xlfn.TEXTAFTER(Table1[[#This Row],[Location Identifier]],"-")</f>
        <v>FRE-003</v>
      </c>
      <c r="AP1161" s="9">
        <f t="shared" ca="1" si="180"/>
        <v>45869</v>
      </c>
    </row>
    <row r="1162" spans="1:42" x14ac:dyDescent="0.25">
      <c r="A1162">
        <v>37</v>
      </c>
      <c r="B1162" t="s">
        <v>42</v>
      </c>
      <c r="C1162">
        <v>1</v>
      </c>
      <c r="D1162" t="s">
        <v>95</v>
      </c>
      <c r="E1162" t="b">
        <v>1</v>
      </c>
      <c r="F1162" s="1">
        <v>0.34791666666666665</v>
      </c>
      <c r="G1162" s="1">
        <v>0.37152777777777779</v>
      </c>
      <c r="H1162">
        <v>34</v>
      </c>
      <c r="I1162" t="b">
        <v>1</v>
      </c>
      <c r="J1162" t="b">
        <v>0</v>
      </c>
      <c r="K1162" t="b">
        <v>0</v>
      </c>
      <c r="L1162" t="s">
        <v>62</v>
      </c>
      <c r="M1162">
        <v>20</v>
      </c>
      <c r="N1162" t="s">
        <v>64</v>
      </c>
      <c r="O1162">
        <v>15</v>
      </c>
      <c r="P1162" t="s">
        <v>36</v>
      </c>
      <c r="Q1162">
        <v>0</v>
      </c>
      <c r="R1162">
        <v>15</v>
      </c>
      <c r="S1162" t="s">
        <v>44</v>
      </c>
      <c r="T1162" t="s">
        <v>38</v>
      </c>
      <c r="U1162">
        <v>36.7378</v>
      </c>
      <c r="V1162">
        <v>-119.7871</v>
      </c>
      <c r="W1162" s="2">
        <v>45693</v>
      </c>
      <c r="X1162">
        <v>0</v>
      </c>
      <c r="Y1162" t="b">
        <v>0</v>
      </c>
      <c r="Z1162" s="2">
        <v>45853</v>
      </c>
      <c r="AA1162" t="str">
        <f t="shared" si="181"/>
        <v>30–39</v>
      </c>
      <c r="AB1162" t="str">
        <f t="shared" si="182"/>
        <v>30–39</v>
      </c>
      <c r="AC1162" t="str">
        <f t="shared" si="183"/>
        <v/>
      </c>
      <c r="AD1162" t="str">
        <f t="shared" si="184"/>
        <v/>
      </c>
      <c r="AE1162" t="str">
        <f t="shared" si="185"/>
        <v/>
      </c>
      <c r="AF1162" t="str">
        <f t="shared" si="186"/>
        <v/>
      </c>
      <c r="AG1162" t="str">
        <f t="shared" si="187"/>
        <v/>
      </c>
      <c r="AH1162" t="str">
        <f t="shared" si="188"/>
        <v>Saturday</v>
      </c>
      <c r="AI1162" t="str">
        <f t="shared" si="189"/>
        <v/>
      </c>
      <c r="AJ1162" t="str">
        <f>LEFT(Table1[[#This Row],[membership_type]],2)&amp;TEXT(Table1[[#This Row],[age]],"00")&amp;"-"&amp;TEXT(ROW(),"000")</f>
        <v>Ba37-1162</v>
      </c>
      <c r="AK1162" t="str">
        <f>LEFT(Table1[[#This Row],[membership_type]],1)&amp;TEXT(MATCH(Table1[[#This Row],[membership_type]],Table1[membership_type],0),"00")</f>
        <v>B04</v>
      </c>
      <c r="AL1162" t="str">
        <f>LEFT(Table1[[#This Row],[discount_type]],1)&amp;TEXT(ROUND(Table1[[#This Row],[discount_rate]]*100,0),"00")</f>
        <v>N00</v>
      </c>
      <c r="AM1162" t="str" cm="1">
        <f t="array" ref="AM1162">TEXT(SUMPRODUCT(CODE(MID(Table1[[#This Row],[home_gym_location]],_xlfn.SEQUENCE(LEN(Table1[[#This Row],[home_gym_location]])),1))),"00000")</f>
        <v>00829</v>
      </c>
      <c r="AN1162" t="str">
        <f>UPPER(_xlfn.TEXTBEFORE(Table1[[#This Row],[home_gym_location]],","))&amp;"-"&amp;TEXT(MATCH(Table1[[#This Row],[home_gym_location]],_xlfn._xlws.SORT(_xlfn.UNIQUE(Table1[home_gym_location])),0),"000")</f>
        <v>FRESNO-003</v>
      </c>
      <c r="AO1162" t="str">
        <f>LEFT(_xlfn.TEXTBEFORE(Table1[[#This Row],[Location Identifier]],"-"),3) &amp; "-" &amp; _xlfn.TEXTAFTER(Table1[[#This Row],[Location Identifier]],"-")</f>
        <v>FRE-003</v>
      </c>
      <c r="AP1162" s="9">
        <f t="shared" ca="1" si="180"/>
        <v>45869</v>
      </c>
    </row>
    <row r="1163" spans="1:42" x14ac:dyDescent="0.25">
      <c r="A1163">
        <v>27</v>
      </c>
      <c r="B1163" t="s">
        <v>26</v>
      </c>
      <c r="C1163">
        <v>1</v>
      </c>
      <c r="D1163" t="s">
        <v>49</v>
      </c>
      <c r="E1163" t="b">
        <v>0</v>
      </c>
      <c r="F1163" s="1">
        <v>0.75138888888888888</v>
      </c>
      <c r="G1163" s="1">
        <v>0.82361111111111107</v>
      </c>
      <c r="H1163">
        <v>104</v>
      </c>
      <c r="I1163" t="b">
        <v>1</v>
      </c>
      <c r="J1163" t="b">
        <v>0</v>
      </c>
      <c r="K1163" t="b">
        <v>0</v>
      </c>
      <c r="L1163" t="s">
        <v>28</v>
      </c>
      <c r="M1163">
        <v>50</v>
      </c>
      <c r="N1163" t="s">
        <v>29</v>
      </c>
      <c r="O1163">
        <v>50</v>
      </c>
      <c r="P1163" t="s">
        <v>30</v>
      </c>
      <c r="Q1163">
        <v>0.05</v>
      </c>
      <c r="R1163">
        <v>47.5</v>
      </c>
      <c r="S1163" t="s">
        <v>31</v>
      </c>
      <c r="T1163" t="s">
        <v>56</v>
      </c>
      <c r="U1163">
        <v>35.3733</v>
      </c>
      <c r="V1163">
        <v>-119.0187</v>
      </c>
      <c r="W1163" s="2">
        <v>45474</v>
      </c>
      <c r="X1163">
        <v>0</v>
      </c>
      <c r="Y1163" t="b">
        <v>1</v>
      </c>
      <c r="Z1163" s="2">
        <v>45840</v>
      </c>
      <c r="AA1163" t="str">
        <f t="shared" si="181"/>
        <v>20–29</v>
      </c>
      <c r="AB1163" t="str">
        <f t="shared" si="182"/>
        <v>20–29</v>
      </c>
      <c r="AC1163" t="str">
        <f t="shared" si="183"/>
        <v/>
      </c>
      <c r="AD1163" t="str">
        <f t="shared" si="184"/>
        <v/>
      </c>
      <c r="AE1163" t="str">
        <f t="shared" si="185"/>
        <v/>
      </c>
      <c r="AF1163" t="str">
        <f t="shared" si="186"/>
        <v/>
      </c>
      <c r="AG1163" t="str">
        <f t="shared" si="187"/>
        <v/>
      </c>
      <c r="AH1163" t="str">
        <f t="shared" si="188"/>
        <v/>
      </c>
      <c r="AI1163" t="str">
        <f t="shared" si="189"/>
        <v>Sunday</v>
      </c>
      <c r="AJ1163" t="str">
        <f>LEFT(Table1[[#This Row],[membership_type]],2)&amp;TEXT(Table1[[#This Row],[age]],"00")&amp;"-"&amp;TEXT(ROW(),"000")</f>
        <v>Pr27-1163</v>
      </c>
      <c r="AK1163" t="str">
        <f>LEFT(Table1[[#This Row],[membership_type]],1)&amp;TEXT(MATCH(Table1[[#This Row],[membership_type]],Table1[membership_type],0),"00")</f>
        <v>P01</v>
      </c>
      <c r="AL1163" t="str">
        <f>LEFT(Table1[[#This Row],[discount_type]],1)&amp;TEXT(ROUND(Table1[[#This Row],[discount_rate]]*100,0),"00")</f>
        <v>P05</v>
      </c>
      <c r="AM1163" t="str" cm="1">
        <f t="array" ref="AM1163">TEXT(SUMPRODUCT(CODE(MID(Table1[[#This Row],[home_gym_location]],_xlfn.SEQUENCE(LEN(Table1[[#This Row],[home_gym_location]])),1))),"00000")</f>
        <v>01324</v>
      </c>
      <c r="AN116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163" t="str">
        <f>LEFT(_xlfn.TEXTBEFORE(Table1[[#This Row],[Location Identifier]],"-"),3) &amp; "-" &amp; _xlfn.TEXTAFTER(Table1[[#This Row],[Location Identifier]],"-")</f>
        <v>BAK-002</v>
      </c>
      <c r="AP1163" s="9">
        <f t="shared" ca="1" si="180"/>
        <v>45869</v>
      </c>
    </row>
    <row r="1164" spans="1:42" x14ac:dyDescent="0.25">
      <c r="A1164">
        <v>18</v>
      </c>
      <c r="B1164" t="s">
        <v>42</v>
      </c>
      <c r="C1164">
        <v>2</v>
      </c>
      <c r="D1164" t="s">
        <v>123</v>
      </c>
      <c r="E1164" t="b">
        <v>0</v>
      </c>
      <c r="F1164" s="1">
        <v>0.82291666666666663</v>
      </c>
      <c r="G1164" s="1">
        <v>0.94722222222222219</v>
      </c>
      <c r="H1164">
        <v>179</v>
      </c>
      <c r="I1164" t="b">
        <v>0</v>
      </c>
      <c r="J1164" t="b">
        <v>1</v>
      </c>
      <c r="K1164" t="b">
        <v>0</v>
      </c>
      <c r="L1164" t="s">
        <v>28</v>
      </c>
      <c r="M1164">
        <v>20</v>
      </c>
      <c r="N1164" t="s">
        <v>64</v>
      </c>
      <c r="O1164">
        <v>15</v>
      </c>
      <c r="P1164" t="s">
        <v>36</v>
      </c>
      <c r="Q1164">
        <v>0</v>
      </c>
      <c r="R1164">
        <v>15</v>
      </c>
      <c r="S1164" t="s">
        <v>44</v>
      </c>
      <c r="T1164" t="s">
        <v>56</v>
      </c>
      <c r="U1164">
        <v>35.3733</v>
      </c>
      <c r="V1164">
        <v>-119.0187</v>
      </c>
      <c r="W1164" s="2">
        <v>45039</v>
      </c>
      <c r="X1164">
        <v>8</v>
      </c>
      <c r="Y1164" t="b">
        <v>0</v>
      </c>
      <c r="Z1164" s="2">
        <v>45816</v>
      </c>
      <c r="AA1164" t="str">
        <f t="shared" si="181"/>
        <v>10–19</v>
      </c>
      <c r="AB1164" t="str">
        <f t="shared" si="182"/>
        <v>16–19</v>
      </c>
      <c r="AC1164" t="str">
        <f t="shared" si="183"/>
        <v>Monday</v>
      </c>
      <c r="AD1164" t="str">
        <f t="shared" si="184"/>
        <v/>
      </c>
      <c r="AE1164" t="str">
        <f t="shared" si="185"/>
        <v/>
      </c>
      <c r="AF1164" t="str">
        <f t="shared" si="186"/>
        <v/>
      </c>
      <c r="AG1164" t="str">
        <f t="shared" si="187"/>
        <v/>
      </c>
      <c r="AH1164" t="str">
        <f t="shared" si="188"/>
        <v>Saturday</v>
      </c>
      <c r="AI1164" t="str">
        <f t="shared" si="189"/>
        <v/>
      </c>
      <c r="AJ1164" t="str">
        <f>LEFT(Table1[[#This Row],[membership_type]],2)&amp;TEXT(Table1[[#This Row],[age]],"00")&amp;"-"&amp;TEXT(ROW(),"000")</f>
        <v>Ba18-1164</v>
      </c>
      <c r="AK1164" t="str">
        <f>LEFT(Table1[[#This Row],[membership_type]],1)&amp;TEXT(MATCH(Table1[[#This Row],[membership_type]],Table1[membership_type],0),"00")</f>
        <v>B04</v>
      </c>
      <c r="AL1164" t="str">
        <f>LEFT(Table1[[#This Row],[discount_type]],1)&amp;TEXT(ROUND(Table1[[#This Row],[discount_rate]]*100,0),"00")</f>
        <v>N00</v>
      </c>
      <c r="AM1164" t="str" cm="1">
        <f t="array" ref="AM1164">TEXT(SUMPRODUCT(CODE(MID(Table1[[#This Row],[home_gym_location]],_xlfn.SEQUENCE(LEN(Table1[[#This Row],[home_gym_location]])),1))),"00000")</f>
        <v>01324</v>
      </c>
      <c r="AN116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164" t="str">
        <f>LEFT(_xlfn.TEXTBEFORE(Table1[[#This Row],[Location Identifier]],"-"),3) &amp; "-" &amp; _xlfn.TEXTAFTER(Table1[[#This Row],[Location Identifier]],"-")</f>
        <v>BAK-002</v>
      </c>
      <c r="AP1164" s="9">
        <f t="shared" ca="1" si="180"/>
        <v>45869</v>
      </c>
    </row>
    <row r="1165" spans="1:42" x14ac:dyDescent="0.25">
      <c r="A1165">
        <v>41</v>
      </c>
      <c r="B1165" t="s">
        <v>33</v>
      </c>
      <c r="C1165">
        <v>2</v>
      </c>
      <c r="D1165" t="s">
        <v>84</v>
      </c>
      <c r="E1165" t="b">
        <v>0</v>
      </c>
      <c r="F1165" s="1">
        <v>0.57986111111111116</v>
      </c>
      <c r="G1165" s="1">
        <v>0.68194444444444446</v>
      </c>
      <c r="H1165">
        <v>147</v>
      </c>
      <c r="I1165" t="b">
        <v>0</v>
      </c>
      <c r="J1165" t="b">
        <v>0</v>
      </c>
      <c r="K1165" t="b">
        <v>1</v>
      </c>
      <c r="L1165" t="s">
        <v>28</v>
      </c>
      <c r="M1165">
        <v>30</v>
      </c>
      <c r="N1165" t="s">
        <v>29</v>
      </c>
      <c r="O1165">
        <v>30</v>
      </c>
      <c r="P1165" t="s">
        <v>74</v>
      </c>
      <c r="Q1165">
        <v>0.15</v>
      </c>
      <c r="R1165">
        <v>25.5</v>
      </c>
      <c r="S1165" t="s">
        <v>37</v>
      </c>
      <c r="T1165" t="s">
        <v>65</v>
      </c>
      <c r="U1165">
        <v>33.770099999999999</v>
      </c>
      <c r="V1165">
        <v>-118.19370000000001</v>
      </c>
      <c r="W1165" s="2">
        <v>45659</v>
      </c>
      <c r="X1165">
        <v>0</v>
      </c>
      <c r="Y1165" t="b">
        <v>1</v>
      </c>
      <c r="Z1165" s="2">
        <v>45851</v>
      </c>
      <c r="AA1165" t="str">
        <f t="shared" si="181"/>
        <v>40–49</v>
      </c>
      <c r="AB1165" t="str">
        <f t="shared" si="182"/>
        <v>40–49</v>
      </c>
      <c r="AC1165" t="str">
        <f t="shared" si="183"/>
        <v/>
      </c>
      <c r="AD1165" t="str">
        <f t="shared" si="184"/>
        <v>Tuesday</v>
      </c>
      <c r="AE1165" t="str">
        <f t="shared" si="185"/>
        <v/>
      </c>
      <c r="AF1165" t="str">
        <f t="shared" si="186"/>
        <v/>
      </c>
      <c r="AG1165" t="str">
        <f t="shared" si="187"/>
        <v/>
      </c>
      <c r="AH1165" t="str">
        <f t="shared" si="188"/>
        <v/>
      </c>
      <c r="AI1165" t="str">
        <f t="shared" si="189"/>
        <v>Sunday</v>
      </c>
      <c r="AJ1165" t="str">
        <f>LEFT(Table1[[#This Row],[membership_type]],2)&amp;TEXT(Table1[[#This Row],[age]],"00")&amp;"-"&amp;TEXT(ROW(),"000")</f>
        <v>St41-1165</v>
      </c>
      <c r="AK1165" t="str">
        <f>LEFT(Table1[[#This Row],[membership_type]],1)&amp;TEXT(MATCH(Table1[[#This Row],[membership_type]],Table1[membership_type],0),"00")</f>
        <v>S02</v>
      </c>
      <c r="AL1165" t="str">
        <f>LEFT(Table1[[#This Row],[discount_type]],1)&amp;TEXT(ROUND(Table1[[#This Row],[discount_rate]]*100,0),"00")</f>
        <v>S15</v>
      </c>
      <c r="AM1165" t="str" cm="1">
        <f t="array" ref="AM1165">TEXT(SUMPRODUCT(CODE(MID(Table1[[#This Row],[home_gym_location]],_xlfn.SEQUENCE(LEN(Table1[[#This Row],[home_gym_location]])),1))),"00000")</f>
        <v>01107</v>
      </c>
      <c r="AN116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65" t="str">
        <f>LEFT(_xlfn.TEXTBEFORE(Table1[[#This Row],[Location Identifier]],"-"),3) &amp; "-" &amp; _xlfn.TEXTAFTER(Table1[[#This Row],[Location Identifier]],"-")</f>
        <v>LON-004</v>
      </c>
      <c r="AP1165" s="9">
        <f t="shared" ca="1" si="180"/>
        <v>45869</v>
      </c>
    </row>
    <row r="1166" spans="1:42" x14ac:dyDescent="0.25">
      <c r="A1166">
        <v>16</v>
      </c>
      <c r="B1166" t="s">
        <v>26</v>
      </c>
      <c r="C1166">
        <v>3</v>
      </c>
      <c r="D1166" t="s">
        <v>60</v>
      </c>
      <c r="E1166" t="b">
        <v>1</v>
      </c>
      <c r="F1166" s="1">
        <v>0.5625</v>
      </c>
      <c r="G1166" s="1">
        <v>0.59722222222222221</v>
      </c>
      <c r="H1166">
        <v>50</v>
      </c>
      <c r="I1166" t="b">
        <v>1</v>
      </c>
      <c r="J1166" t="b">
        <v>0</v>
      </c>
      <c r="K1166" t="b">
        <v>1</v>
      </c>
      <c r="L1166" t="s">
        <v>62</v>
      </c>
      <c r="M1166">
        <v>50</v>
      </c>
      <c r="N1166" t="s">
        <v>64</v>
      </c>
      <c r="O1166">
        <v>37.5</v>
      </c>
      <c r="P1166" t="s">
        <v>36</v>
      </c>
      <c r="Q1166">
        <v>0</v>
      </c>
      <c r="R1166">
        <v>37.5</v>
      </c>
      <c r="S1166" t="s">
        <v>31</v>
      </c>
      <c r="T1166" t="s">
        <v>54</v>
      </c>
      <c r="U1166">
        <v>32.715699999999998</v>
      </c>
      <c r="V1166">
        <v>-117.1611</v>
      </c>
      <c r="W1166" s="2">
        <v>44959</v>
      </c>
      <c r="X1166">
        <v>0</v>
      </c>
      <c r="Y1166" t="b">
        <v>1</v>
      </c>
      <c r="Z1166" s="2">
        <v>45811</v>
      </c>
      <c r="AA1166" t="str">
        <f t="shared" si="181"/>
        <v>10–19</v>
      </c>
      <c r="AB1166" t="str">
        <f t="shared" si="182"/>
        <v>16–19</v>
      </c>
      <c r="AC1166" t="str">
        <f t="shared" si="183"/>
        <v/>
      </c>
      <c r="AD1166" t="str">
        <f t="shared" si="184"/>
        <v/>
      </c>
      <c r="AE1166" t="str">
        <f t="shared" si="185"/>
        <v>Wednesday</v>
      </c>
      <c r="AF1166" t="str">
        <f t="shared" si="186"/>
        <v/>
      </c>
      <c r="AG1166" t="str">
        <f t="shared" si="187"/>
        <v/>
      </c>
      <c r="AH1166" t="str">
        <f t="shared" si="188"/>
        <v>Saturday</v>
      </c>
      <c r="AI1166" t="str">
        <f t="shared" si="189"/>
        <v>Sunday</v>
      </c>
      <c r="AJ1166" t="str">
        <f>LEFT(Table1[[#This Row],[membership_type]],2)&amp;TEXT(Table1[[#This Row],[age]],"00")&amp;"-"&amp;TEXT(ROW(),"000")</f>
        <v>Pr16-1166</v>
      </c>
      <c r="AK1166" t="str">
        <f>LEFT(Table1[[#This Row],[membership_type]],1)&amp;TEXT(MATCH(Table1[[#This Row],[membership_type]],Table1[membership_type],0),"00")</f>
        <v>P01</v>
      </c>
      <c r="AL1166" t="str">
        <f>LEFT(Table1[[#This Row],[discount_type]],1)&amp;TEXT(ROUND(Table1[[#This Row],[discount_rate]]*100,0),"00")</f>
        <v>N00</v>
      </c>
      <c r="AM1166" t="str" cm="1">
        <f t="array" ref="AM1166">TEXT(SUMPRODUCT(CODE(MID(Table1[[#This Row],[home_gym_location]],_xlfn.SEQUENCE(LEN(Table1[[#This Row],[home_gym_location]])),1))),"00000")</f>
        <v>01018</v>
      </c>
      <c r="AN116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66" t="str">
        <f>LEFT(_xlfn.TEXTBEFORE(Table1[[#This Row],[Location Identifier]],"-"),3) &amp; "-" &amp; _xlfn.TEXTAFTER(Table1[[#This Row],[Location Identifier]],"-")</f>
        <v>SAN-008</v>
      </c>
      <c r="AP1166" s="9">
        <f t="shared" ca="1" si="180"/>
        <v>45869</v>
      </c>
    </row>
    <row r="1167" spans="1:42" x14ac:dyDescent="0.25">
      <c r="A1167">
        <v>36</v>
      </c>
      <c r="B1167" t="s">
        <v>51</v>
      </c>
      <c r="C1167">
        <v>3</v>
      </c>
      <c r="D1167" t="s">
        <v>60</v>
      </c>
      <c r="E1167" t="b">
        <v>1</v>
      </c>
      <c r="F1167" s="1">
        <v>0.81736111111111109</v>
      </c>
      <c r="G1167" s="1">
        <v>0.85972222222222228</v>
      </c>
      <c r="H1167">
        <v>61</v>
      </c>
      <c r="I1167" t="b">
        <v>0</v>
      </c>
      <c r="J1167" t="b">
        <v>0</v>
      </c>
      <c r="K1167" t="b">
        <v>1</v>
      </c>
      <c r="L1167" t="s">
        <v>62</v>
      </c>
      <c r="M1167">
        <v>70</v>
      </c>
      <c r="N1167" t="s">
        <v>78</v>
      </c>
      <c r="O1167">
        <v>63</v>
      </c>
      <c r="P1167" t="s">
        <v>40</v>
      </c>
      <c r="Q1167">
        <v>0.1</v>
      </c>
      <c r="R1167">
        <v>56.7</v>
      </c>
      <c r="S1167" t="s">
        <v>53</v>
      </c>
      <c r="T1167" t="s">
        <v>45</v>
      </c>
      <c r="U1167">
        <v>33.836599999999997</v>
      </c>
      <c r="V1167">
        <v>-117.9143</v>
      </c>
      <c r="W1167" s="2">
        <v>44944</v>
      </c>
      <c r="X1167">
        <v>0</v>
      </c>
      <c r="Y1167" t="b">
        <v>1</v>
      </c>
      <c r="Z1167" s="2">
        <v>45811</v>
      </c>
      <c r="AA1167" t="str">
        <f t="shared" si="181"/>
        <v>30–39</v>
      </c>
      <c r="AB1167" t="str">
        <f t="shared" si="182"/>
        <v>30–39</v>
      </c>
      <c r="AC1167" t="str">
        <f t="shared" si="183"/>
        <v/>
      </c>
      <c r="AD1167" t="str">
        <f t="shared" si="184"/>
        <v/>
      </c>
      <c r="AE1167" t="str">
        <f t="shared" si="185"/>
        <v>Wednesday</v>
      </c>
      <c r="AF1167" t="str">
        <f t="shared" si="186"/>
        <v/>
      </c>
      <c r="AG1167" t="str">
        <f t="shared" si="187"/>
        <v/>
      </c>
      <c r="AH1167" t="str">
        <f t="shared" si="188"/>
        <v>Saturday</v>
      </c>
      <c r="AI1167" t="str">
        <f t="shared" si="189"/>
        <v>Sunday</v>
      </c>
      <c r="AJ1167" t="str">
        <f>LEFT(Table1[[#This Row],[membership_type]],2)&amp;TEXT(Table1[[#This Row],[age]],"00")&amp;"-"&amp;TEXT(ROW(),"000")</f>
        <v>El36-1167</v>
      </c>
      <c r="AK1167" t="str">
        <f>LEFT(Table1[[#This Row],[membership_type]],1)&amp;TEXT(MATCH(Table1[[#This Row],[membership_type]],Table1[membership_type],0),"00")</f>
        <v>E07</v>
      </c>
      <c r="AL1167" t="str">
        <f>LEFT(Table1[[#This Row],[discount_type]],1)&amp;TEXT(ROUND(Table1[[#This Row],[discount_rate]]*100,0),"00")</f>
        <v>L10</v>
      </c>
      <c r="AM1167" t="str" cm="1">
        <f t="array" ref="AM1167">TEXT(SUMPRODUCT(CODE(MID(Table1[[#This Row],[home_gym_location]],_xlfn.SEQUENCE(LEN(Table1[[#This Row],[home_gym_location]])),1))),"00000")</f>
        <v>00899</v>
      </c>
      <c r="AN116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67" t="str">
        <f>LEFT(_xlfn.TEXTBEFORE(Table1[[#This Row],[Location Identifier]],"-"),3) &amp; "-" &amp; _xlfn.TEXTAFTER(Table1[[#This Row],[Location Identifier]],"-")</f>
        <v>ANA-001</v>
      </c>
      <c r="AP1167" s="9">
        <f t="shared" ca="1" si="180"/>
        <v>45869</v>
      </c>
    </row>
    <row r="1168" spans="1:42" x14ac:dyDescent="0.25">
      <c r="A1168">
        <v>47</v>
      </c>
      <c r="B1168" t="s">
        <v>26</v>
      </c>
      <c r="C1168">
        <v>2</v>
      </c>
      <c r="D1168" t="s">
        <v>101</v>
      </c>
      <c r="E1168" t="b">
        <v>1</v>
      </c>
      <c r="F1168" s="1">
        <v>0.52916666666666667</v>
      </c>
      <c r="G1168" s="1">
        <v>0.56736111111111109</v>
      </c>
      <c r="H1168">
        <v>55</v>
      </c>
      <c r="I1168" t="b">
        <v>1</v>
      </c>
      <c r="J1168" t="b">
        <v>1</v>
      </c>
      <c r="K1168" t="b">
        <v>1</v>
      </c>
      <c r="L1168" t="s">
        <v>28</v>
      </c>
      <c r="M1168">
        <v>50</v>
      </c>
      <c r="N1168" t="s">
        <v>29</v>
      </c>
      <c r="O1168">
        <v>50</v>
      </c>
      <c r="P1168" t="s">
        <v>30</v>
      </c>
      <c r="Q1168">
        <v>0.05</v>
      </c>
      <c r="R1168">
        <v>47.5</v>
      </c>
      <c r="S1168" t="s">
        <v>31</v>
      </c>
      <c r="T1168" t="s">
        <v>54</v>
      </c>
      <c r="U1168">
        <v>32.715699999999998</v>
      </c>
      <c r="V1168">
        <v>-117.1611</v>
      </c>
      <c r="W1168" s="2">
        <v>45290</v>
      </c>
      <c r="X1168">
        <v>5</v>
      </c>
      <c r="Y1168" t="b">
        <v>1</v>
      </c>
      <c r="Z1168" s="2">
        <v>45830</v>
      </c>
      <c r="AA1168" t="str">
        <f t="shared" si="181"/>
        <v>40–49</v>
      </c>
      <c r="AB1168" t="str">
        <f t="shared" si="182"/>
        <v>40–49</v>
      </c>
      <c r="AC1168" t="str">
        <f t="shared" si="183"/>
        <v>Monday</v>
      </c>
      <c r="AD1168" t="str">
        <f t="shared" si="184"/>
        <v/>
      </c>
      <c r="AE1168" t="str">
        <f t="shared" si="185"/>
        <v/>
      </c>
      <c r="AF1168" t="str">
        <f t="shared" si="186"/>
        <v/>
      </c>
      <c r="AG1168" t="str">
        <f t="shared" si="187"/>
        <v>Friday</v>
      </c>
      <c r="AH1168" t="str">
        <f t="shared" si="188"/>
        <v/>
      </c>
      <c r="AI1168" t="str">
        <f t="shared" si="189"/>
        <v/>
      </c>
      <c r="AJ1168" t="str">
        <f>LEFT(Table1[[#This Row],[membership_type]],2)&amp;TEXT(Table1[[#This Row],[age]],"00")&amp;"-"&amp;TEXT(ROW(),"000")</f>
        <v>Pr47-1168</v>
      </c>
      <c r="AK1168" t="str">
        <f>LEFT(Table1[[#This Row],[membership_type]],1)&amp;TEXT(MATCH(Table1[[#This Row],[membership_type]],Table1[membership_type],0),"00")</f>
        <v>P01</v>
      </c>
      <c r="AL1168" t="str">
        <f>LEFT(Table1[[#This Row],[discount_type]],1)&amp;TEXT(ROUND(Table1[[#This Row],[discount_rate]]*100,0),"00")</f>
        <v>P05</v>
      </c>
      <c r="AM1168" t="str" cm="1">
        <f t="array" ref="AM1168">TEXT(SUMPRODUCT(CODE(MID(Table1[[#This Row],[home_gym_location]],_xlfn.SEQUENCE(LEN(Table1[[#This Row],[home_gym_location]])),1))),"00000")</f>
        <v>01018</v>
      </c>
      <c r="AN116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68" t="str">
        <f>LEFT(_xlfn.TEXTBEFORE(Table1[[#This Row],[Location Identifier]],"-"),3) &amp; "-" &amp; _xlfn.TEXTAFTER(Table1[[#This Row],[Location Identifier]],"-")</f>
        <v>SAN-008</v>
      </c>
      <c r="AP1168" s="9">
        <f t="shared" ca="1" si="180"/>
        <v>45869</v>
      </c>
    </row>
    <row r="1169" spans="1:42" x14ac:dyDescent="0.25">
      <c r="A1169">
        <v>32</v>
      </c>
      <c r="B1169" t="s">
        <v>51</v>
      </c>
      <c r="C1169">
        <v>2</v>
      </c>
      <c r="D1169" t="s">
        <v>94</v>
      </c>
      <c r="E1169" t="b">
        <v>1</v>
      </c>
      <c r="F1169" s="1">
        <v>0.79652777777777772</v>
      </c>
      <c r="G1169" s="1">
        <v>0.91666666666666663</v>
      </c>
      <c r="H1169">
        <v>173</v>
      </c>
      <c r="I1169" t="b">
        <v>0</v>
      </c>
      <c r="J1169" t="b">
        <v>0</v>
      </c>
      <c r="K1169" t="b">
        <v>0</v>
      </c>
      <c r="L1169" t="s">
        <v>28</v>
      </c>
      <c r="M1169">
        <v>70</v>
      </c>
      <c r="N1169" t="s">
        <v>29</v>
      </c>
      <c r="O1169">
        <v>70</v>
      </c>
      <c r="P1169" t="s">
        <v>74</v>
      </c>
      <c r="Q1169">
        <v>0.15</v>
      </c>
      <c r="R1169">
        <v>59.5</v>
      </c>
      <c r="S1169" t="s">
        <v>53</v>
      </c>
      <c r="T1169" t="s">
        <v>54</v>
      </c>
      <c r="U1169">
        <v>32.715699999999998</v>
      </c>
      <c r="V1169">
        <v>-117.1611</v>
      </c>
      <c r="W1169" s="2">
        <v>45824</v>
      </c>
      <c r="X1169">
        <v>0</v>
      </c>
      <c r="Y1169" t="b">
        <v>1</v>
      </c>
      <c r="Z1169" s="2">
        <v>45860</v>
      </c>
      <c r="AA1169" t="str">
        <f t="shared" si="181"/>
        <v>30–39</v>
      </c>
      <c r="AB1169" t="str">
        <f t="shared" si="182"/>
        <v>30–39</v>
      </c>
      <c r="AC1169" t="str">
        <f t="shared" si="183"/>
        <v/>
      </c>
      <c r="AD1169" t="str">
        <f t="shared" si="184"/>
        <v/>
      </c>
      <c r="AE1169" t="str">
        <f t="shared" si="185"/>
        <v/>
      </c>
      <c r="AF1169" t="str">
        <f t="shared" si="186"/>
        <v/>
      </c>
      <c r="AG1169" t="str">
        <f t="shared" si="187"/>
        <v/>
      </c>
      <c r="AH1169" t="str">
        <f t="shared" si="188"/>
        <v>Saturday</v>
      </c>
      <c r="AI1169" t="str">
        <f t="shared" si="189"/>
        <v>Sunday</v>
      </c>
      <c r="AJ1169" t="str">
        <f>LEFT(Table1[[#This Row],[membership_type]],2)&amp;TEXT(Table1[[#This Row],[age]],"00")&amp;"-"&amp;TEXT(ROW(),"000")</f>
        <v>El32-1169</v>
      </c>
      <c r="AK1169" t="str">
        <f>LEFT(Table1[[#This Row],[membership_type]],1)&amp;TEXT(MATCH(Table1[[#This Row],[membership_type]],Table1[membership_type],0),"00")</f>
        <v>E07</v>
      </c>
      <c r="AL1169" t="str">
        <f>LEFT(Table1[[#This Row],[discount_type]],1)&amp;TEXT(ROUND(Table1[[#This Row],[discount_rate]]*100,0),"00")</f>
        <v>S15</v>
      </c>
      <c r="AM1169" t="str" cm="1">
        <f t="array" ref="AM1169">TEXT(SUMPRODUCT(CODE(MID(Table1[[#This Row],[home_gym_location]],_xlfn.SEQUENCE(LEN(Table1[[#This Row],[home_gym_location]])),1))),"00000")</f>
        <v>01018</v>
      </c>
      <c r="AN116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69" t="str">
        <f>LEFT(_xlfn.TEXTBEFORE(Table1[[#This Row],[Location Identifier]],"-"),3) &amp; "-" &amp; _xlfn.TEXTAFTER(Table1[[#This Row],[Location Identifier]],"-")</f>
        <v>SAN-008</v>
      </c>
      <c r="AP1169" s="9">
        <f t="shared" ca="1" si="180"/>
        <v>45869</v>
      </c>
    </row>
    <row r="1170" spans="1:42" x14ac:dyDescent="0.25">
      <c r="A1170">
        <v>48</v>
      </c>
      <c r="B1170" t="s">
        <v>33</v>
      </c>
      <c r="C1170">
        <v>3</v>
      </c>
      <c r="D1170" t="s">
        <v>100</v>
      </c>
      <c r="E1170" t="b">
        <v>0</v>
      </c>
      <c r="F1170" s="1">
        <v>0.46319444444444446</v>
      </c>
      <c r="G1170" s="1">
        <v>0.52986111111111112</v>
      </c>
      <c r="H1170">
        <v>96</v>
      </c>
      <c r="I1170" t="b">
        <v>1</v>
      </c>
      <c r="J1170" t="b">
        <v>1</v>
      </c>
      <c r="K1170" t="b">
        <v>1</v>
      </c>
      <c r="L1170" t="s">
        <v>28</v>
      </c>
      <c r="M1170">
        <v>30</v>
      </c>
      <c r="N1170" t="s">
        <v>29</v>
      </c>
      <c r="O1170">
        <v>30</v>
      </c>
      <c r="P1170" t="s">
        <v>36</v>
      </c>
      <c r="Q1170">
        <v>0</v>
      </c>
      <c r="R1170">
        <v>30</v>
      </c>
      <c r="S1170" t="s">
        <v>37</v>
      </c>
      <c r="T1170" t="s">
        <v>54</v>
      </c>
      <c r="U1170">
        <v>32.715699999999998</v>
      </c>
      <c r="V1170">
        <v>-117.1611</v>
      </c>
      <c r="W1170" s="2">
        <v>45525</v>
      </c>
      <c r="X1170">
        <v>1</v>
      </c>
      <c r="Y1170" t="b">
        <v>0</v>
      </c>
      <c r="Z1170" s="2">
        <v>45843</v>
      </c>
      <c r="AA1170" t="str">
        <f t="shared" si="181"/>
        <v>40–49</v>
      </c>
      <c r="AB1170" t="str">
        <f t="shared" si="182"/>
        <v>40–49</v>
      </c>
      <c r="AC1170" t="str">
        <f t="shared" si="183"/>
        <v/>
      </c>
      <c r="AD1170" t="str">
        <f t="shared" si="184"/>
        <v/>
      </c>
      <c r="AE1170" t="str">
        <f t="shared" si="185"/>
        <v>Wednesday</v>
      </c>
      <c r="AF1170" t="str">
        <f t="shared" si="186"/>
        <v/>
      </c>
      <c r="AG1170" t="str">
        <f t="shared" si="187"/>
        <v>Friday</v>
      </c>
      <c r="AH1170" t="str">
        <f t="shared" si="188"/>
        <v/>
      </c>
      <c r="AI1170" t="str">
        <f t="shared" si="189"/>
        <v>Sunday</v>
      </c>
      <c r="AJ1170" t="str">
        <f>LEFT(Table1[[#This Row],[membership_type]],2)&amp;TEXT(Table1[[#This Row],[age]],"00")&amp;"-"&amp;TEXT(ROW(),"000")</f>
        <v>St48-1170</v>
      </c>
      <c r="AK1170" t="str">
        <f>LEFT(Table1[[#This Row],[membership_type]],1)&amp;TEXT(MATCH(Table1[[#This Row],[membership_type]],Table1[membership_type],0),"00")</f>
        <v>S02</v>
      </c>
      <c r="AL1170" t="str">
        <f>LEFT(Table1[[#This Row],[discount_type]],1)&amp;TEXT(ROUND(Table1[[#This Row],[discount_rate]]*100,0),"00")</f>
        <v>N00</v>
      </c>
      <c r="AM1170" t="str" cm="1">
        <f t="array" ref="AM1170">TEXT(SUMPRODUCT(CODE(MID(Table1[[#This Row],[home_gym_location]],_xlfn.SEQUENCE(LEN(Table1[[#This Row],[home_gym_location]])),1))),"00000")</f>
        <v>01018</v>
      </c>
      <c r="AN117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70" t="str">
        <f>LEFT(_xlfn.TEXTBEFORE(Table1[[#This Row],[Location Identifier]],"-"),3) &amp; "-" &amp; _xlfn.TEXTAFTER(Table1[[#This Row],[Location Identifier]],"-")</f>
        <v>SAN-008</v>
      </c>
      <c r="AP1170" s="9">
        <f t="shared" ca="1" si="180"/>
        <v>45869</v>
      </c>
    </row>
    <row r="1171" spans="1:42" x14ac:dyDescent="0.25">
      <c r="A1171">
        <v>19</v>
      </c>
      <c r="B1171" t="s">
        <v>42</v>
      </c>
      <c r="C1171">
        <v>1</v>
      </c>
      <c r="D1171" t="s">
        <v>49</v>
      </c>
      <c r="E1171" t="b">
        <v>0</v>
      </c>
      <c r="F1171" s="1">
        <v>0.85138888888888886</v>
      </c>
      <c r="G1171" s="1">
        <v>0.90625</v>
      </c>
      <c r="H1171">
        <v>79</v>
      </c>
      <c r="I1171" t="b">
        <v>0</v>
      </c>
      <c r="J1171" t="b">
        <v>0</v>
      </c>
      <c r="K1171" t="b">
        <v>1</v>
      </c>
      <c r="L1171" t="s">
        <v>62</v>
      </c>
      <c r="M1171">
        <v>20</v>
      </c>
      <c r="N1171" t="s">
        <v>64</v>
      </c>
      <c r="O1171">
        <v>15</v>
      </c>
      <c r="P1171" t="s">
        <v>36</v>
      </c>
      <c r="Q1171">
        <v>0</v>
      </c>
      <c r="R1171">
        <v>15</v>
      </c>
      <c r="S1171" t="s">
        <v>44</v>
      </c>
      <c r="T1171" t="s">
        <v>38</v>
      </c>
      <c r="U1171">
        <v>36.7378</v>
      </c>
      <c r="V1171">
        <v>-119.7871</v>
      </c>
      <c r="W1171" s="2">
        <v>45173</v>
      </c>
      <c r="X1171">
        <v>0</v>
      </c>
      <c r="Y1171" t="b">
        <v>0</v>
      </c>
      <c r="Z1171" s="2">
        <v>45823</v>
      </c>
      <c r="AA1171" t="str">
        <f t="shared" si="181"/>
        <v>10–19</v>
      </c>
      <c r="AB1171" t="str">
        <f t="shared" si="182"/>
        <v>16–19</v>
      </c>
      <c r="AC1171" t="str">
        <f t="shared" si="183"/>
        <v/>
      </c>
      <c r="AD1171" t="str">
        <f t="shared" si="184"/>
        <v/>
      </c>
      <c r="AE1171" t="str">
        <f t="shared" si="185"/>
        <v/>
      </c>
      <c r="AF1171" t="str">
        <f t="shared" si="186"/>
        <v/>
      </c>
      <c r="AG1171" t="str">
        <f t="shared" si="187"/>
        <v/>
      </c>
      <c r="AH1171" t="str">
        <f t="shared" si="188"/>
        <v/>
      </c>
      <c r="AI1171" t="str">
        <f t="shared" si="189"/>
        <v>Sunday</v>
      </c>
      <c r="AJ1171" t="str">
        <f>LEFT(Table1[[#This Row],[membership_type]],2)&amp;TEXT(Table1[[#This Row],[age]],"00")&amp;"-"&amp;TEXT(ROW(),"000")</f>
        <v>Ba19-1171</v>
      </c>
      <c r="AK1171" t="str">
        <f>LEFT(Table1[[#This Row],[membership_type]],1)&amp;TEXT(MATCH(Table1[[#This Row],[membership_type]],Table1[membership_type],0),"00")</f>
        <v>B04</v>
      </c>
      <c r="AL1171" t="str">
        <f>LEFT(Table1[[#This Row],[discount_type]],1)&amp;TEXT(ROUND(Table1[[#This Row],[discount_rate]]*100,0),"00")</f>
        <v>N00</v>
      </c>
      <c r="AM1171" t="str" cm="1">
        <f t="array" ref="AM1171">TEXT(SUMPRODUCT(CODE(MID(Table1[[#This Row],[home_gym_location]],_xlfn.SEQUENCE(LEN(Table1[[#This Row],[home_gym_location]])),1))),"00000")</f>
        <v>00829</v>
      </c>
      <c r="AN1171" t="str">
        <f>UPPER(_xlfn.TEXTBEFORE(Table1[[#This Row],[home_gym_location]],","))&amp;"-"&amp;TEXT(MATCH(Table1[[#This Row],[home_gym_location]],_xlfn._xlws.SORT(_xlfn.UNIQUE(Table1[home_gym_location])),0),"000")</f>
        <v>FRESNO-003</v>
      </c>
      <c r="AO1171" t="str">
        <f>LEFT(_xlfn.TEXTBEFORE(Table1[[#This Row],[Location Identifier]],"-"),3) &amp; "-" &amp; _xlfn.TEXTAFTER(Table1[[#This Row],[Location Identifier]],"-")</f>
        <v>FRE-003</v>
      </c>
      <c r="AP1171" s="9">
        <f t="shared" ca="1" si="180"/>
        <v>45869</v>
      </c>
    </row>
    <row r="1172" spans="1:42" x14ac:dyDescent="0.25">
      <c r="A1172">
        <v>33</v>
      </c>
      <c r="B1172" t="s">
        <v>33</v>
      </c>
      <c r="C1172">
        <v>1</v>
      </c>
      <c r="D1172" t="s">
        <v>63</v>
      </c>
      <c r="E1172" t="b">
        <v>1</v>
      </c>
      <c r="F1172" s="1">
        <v>0.37777777777777777</v>
      </c>
      <c r="G1172" s="1">
        <v>0.40763888888888888</v>
      </c>
      <c r="H1172">
        <v>43</v>
      </c>
      <c r="I1172" t="b">
        <v>1</v>
      </c>
      <c r="J1172" t="b">
        <v>0</v>
      </c>
      <c r="K1172" t="b">
        <v>0</v>
      </c>
      <c r="L1172" t="s">
        <v>28</v>
      </c>
      <c r="M1172">
        <v>30</v>
      </c>
      <c r="N1172" t="s">
        <v>29</v>
      </c>
      <c r="O1172">
        <v>30</v>
      </c>
      <c r="P1172" t="s">
        <v>36</v>
      </c>
      <c r="Q1172">
        <v>0</v>
      </c>
      <c r="R1172">
        <v>30</v>
      </c>
      <c r="S1172" t="s">
        <v>37</v>
      </c>
      <c r="T1172" t="s">
        <v>65</v>
      </c>
      <c r="U1172">
        <v>33.770099999999999</v>
      </c>
      <c r="V1172">
        <v>-118.19370000000001</v>
      </c>
      <c r="W1172" s="2">
        <v>44786</v>
      </c>
      <c r="X1172">
        <v>0</v>
      </c>
      <c r="Y1172" t="b">
        <v>1</v>
      </c>
      <c r="Z1172" s="2">
        <v>45802</v>
      </c>
      <c r="AA1172" t="str">
        <f t="shared" si="181"/>
        <v>30–39</v>
      </c>
      <c r="AB1172" t="str">
        <f t="shared" si="182"/>
        <v>30–39</v>
      </c>
      <c r="AC1172" t="str">
        <f t="shared" si="183"/>
        <v/>
      </c>
      <c r="AD1172" t="str">
        <f t="shared" si="184"/>
        <v/>
      </c>
      <c r="AE1172" t="str">
        <f t="shared" si="185"/>
        <v>Wednesday</v>
      </c>
      <c r="AF1172" t="str">
        <f t="shared" si="186"/>
        <v/>
      </c>
      <c r="AG1172" t="str">
        <f t="shared" si="187"/>
        <v/>
      </c>
      <c r="AH1172" t="str">
        <f t="shared" si="188"/>
        <v/>
      </c>
      <c r="AI1172" t="str">
        <f t="shared" si="189"/>
        <v/>
      </c>
      <c r="AJ1172" t="str">
        <f>LEFT(Table1[[#This Row],[membership_type]],2)&amp;TEXT(Table1[[#This Row],[age]],"00")&amp;"-"&amp;TEXT(ROW(),"000")</f>
        <v>St33-1172</v>
      </c>
      <c r="AK1172" t="str">
        <f>LEFT(Table1[[#This Row],[membership_type]],1)&amp;TEXT(MATCH(Table1[[#This Row],[membership_type]],Table1[membership_type],0),"00")</f>
        <v>S02</v>
      </c>
      <c r="AL1172" t="str">
        <f>LEFT(Table1[[#This Row],[discount_type]],1)&amp;TEXT(ROUND(Table1[[#This Row],[discount_rate]]*100,0),"00")</f>
        <v>N00</v>
      </c>
      <c r="AM1172" t="str" cm="1">
        <f t="array" ref="AM1172">TEXT(SUMPRODUCT(CODE(MID(Table1[[#This Row],[home_gym_location]],_xlfn.SEQUENCE(LEN(Table1[[#This Row],[home_gym_location]])),1))),"00000")</f>
        <v>01107</v>
      </c>
      <c r="AN117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72" t="str">
        <f>LEFT(_xlfn.TEXTBEFORE(Table1[[#This Row],[Location Identifier]],"-"),3) &amp; "-" &amp; _xlfn.TEXTAFTER(Table1[[#This Row],[Location Identifier]],"-")</f>
        <v>LON-004</v>
      </c>
      <c r="AP1172" s="9">
        <f t="shared" ca="1" si="180"/>
        <v>45869</v>
      </c>
    </row>
    <row r="1173" spans="1:42" x14ac:dyDescent="0.25">
      <c r="A1173">
        <v>24</v>
      </c>
      <c r="B1173" t="s">
        <v>51</v>
      </c>
      <c r="C1173">
        <v>2</v>
      </c>
      <c r="D1173" t="s">
        <v>116</v>
      </c>
      <c r="E1173" t="b">
        <v>1</v>
      </c>
      <c r="F1173" s="1">
        <v>0.65902777777777777</v>
      </c>
      <c r="G1173" s="1">
        <v>0.77152777777777781</v>
      </c>
      <c r="H1173">
        <v>162</v>
      </c>
      <c r="I1173" t="b">
        <v>1</v>
      </c>
      <c r="J1173" t="b">
        <v>1</v>
      </c>
      <c r="K1173" t="b">
        <v>1</v>
      </c>
      <c r="L1173" t="s">
        <v>62</v>
      </c>
      <c r="M1173">
        <v>70</v>
      </c>
      <c r="N1173" t="s">
        <v>64</v>
      </c>
      <c r="O1173">
        <v>52.5</v>
      </c>
      <c r="P1173" t="s">
        <v>74</v>
      </c>
      <c r="Q1173">
        <v>0.15</v>
      </c>
      <c r="R1173">
        <v>44.625</v>
      </c>
      <c r="S1173" t="s">
        <v>53</v>
      </c>
      <c r="T1173" t="s">
        <v>32</v>
      </c>
      <c r="U1173">
        <v>37.338200000000001</v>
      </c>
      <c r="V1173">
        <v>-121.88630000000001</v>
      </c>
      <c r="W1173" s="2">
        <v>45158</v>
      </c>
      <c r="X1173">
        <v>1</v>
      </c>
      <c r="Y1173" t="b">
        <v>1</v>
      </c>
      <c r="Z1173" s="2">
        <v>45823</v>
      </c>
      <c r="AA1173" t="str">
        <f t="shared" si="181"/>
        <v>20–29</v>
      </c>
      <c r="AB1173" t="str">
        <f t="shared" si="182"/>
        <v>20–29</v>
      </c>
      <c r="AC1173" t="str">
        <f t="shared" si="183"/>
        <v/>
      </c>
      <c r="AD1173" t="str">
        <f t="shared" si="184"/>
        <v/>
      </c>
      <c r="AE1173" t="str">
        <f t="shared" si="185"/>
        <v/>
      </c>
      <c r="AF1173" t="str">
        <f t="shared" si="186"/>
        <v>Thursday</v>
      </c>
      <c r="AG1173" t="str">
        <f t="shared" si="187"/>
        <v/>
      </c>
      <c r="AH1173" t="str">
        <f t="shared" si="188"/>
        <v/>
      </c>
      <c r="AI1173" t="str">
        <f t="shared" si="189"/>
        <v>Sunday</v>
      </c>
      <c r="AJ1173" t="str">
        <f>LEFT(Table1[[#This Row],[membership_type]],2)&amp;TEXT(Table1[[#This Row],[age]],"00")&amp;"-"&amp;TEXT(ROW(),"000")</f>
        <v>El24-1173</v>
      </c>
      <c r="AK1173" t="str">
        <f>LEFT(Table1[[#This Row],[membership_type]],1)&amp;TEXT(MATCH(Table1[[#This Row],[membership_type]],Table1[membership_type],0),"00")</f>
        <v>E07</v>
      </c>
      <c r="AL1173" t="str">
        <f>LEFT(Table1[[#This Row],[discount_type]],1)&amp;TEXT(ROUND(Table1[[#This Row],[discount_rate]]*100,0),"00")</f>
        <v>S15</v>
      </c>
      <c r="AM1173" t="str" cm="1">
        <f t="array" ref="AM1173">TEXT(SUMPRODUCT(CODE(MID(Table1[[#This Row],[home_gym_location]],_xlfn.SEQUENCE(LEN(Table1[[#This Row],[home_gym_location]])),1))),"00000")</f>
        <v>00931</v>
      </c>
      <c r="AN117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73" t="str">
        <f>LEFT(_xlfn.TEXTBEFORE(Table1[[#This Row],[Location Identifier]],"-"),3) &amp; "-" &amp; _xlfn.TEXTAFTER(Table1[[#This Row],[Location Identifier]],"-")</f>
        <v>SAN-010</v>
      </c>
      <c r="AP1173" s="9">
        <f t="shared" ca="1" si="180"/>
        <v>45869</v>
      </c>
    </row>
    <row r="1174" spans="1:42" x14ac:dyDescent="0.25">
      <c r="A1174">
        <v>35</v>
      </c>
      <c r="B1174" t="s">
        <v>33</v>
      </c>
      <c r="C1174">
        <v>1</v>
      </c>
      <c r="D1174" t="s">
        <v>75</v>
      </c>
      <c r="E1174" t="b">
        <v>1</v>
      </c>
      <c r="F1174" s="1">
        <v>0.55000000000000004</v>
      </c>
      <c r="G1174" s="1">
        <v>0.62083333333333335</v>
      </c>
      <c r="H1174">
        <v>102</v>
      </c>
      <c r="I1174" t="b">
        <v>1</v>
      </c>
      <c r="J1174" t="b">
        <v>1</v>
      </c>
      <c r="K1174" t="b">
        <v>0</v>
      </c>
      <c r="L1174" t="s">
        <v>35</v>
      </c>
      <c r="M1174">
        <v>30</v>
      </c>
      <c r="N1174" t="s">
        <v>29</v>
      </c>
      <c r="O1174">
        <v>30</v>
      </c>
      <c r="P1174" t="s">
        <v>36</v>
      </c>
      <c r="Q1174">
        <v>0</v>
      </c>
      <c r="R1174">
        <v>30</v>
      </c>
      <c r="S1174" t="s">
        <v>37</v>
      </c>
      <c r="T1174" t="s">
        <v>65</v>
      </c>
      <c r="U1174">
        <v>33.770099999999999</v>
      </c>
      <c r="V1174">
        <v>-118.19370000000001</v>
      </c>
      <c r="W1174" s="2">
        <v>45554</v>
      </c>
      <c r="X1174">
        <v>1</v>
      </c>
      <c r="Y1174" t="b">
        <v>0</v>
      </c>
      <c r="Z1174" s="2">
        <v>45845</v>
      </c>
      <c r="AA1174" t="str">
        <f t="shared" si="181"/>
        <v>30–39</v>
      </c>
      <c r="AB1174" t="str">
        <f t="shared" si="182"/>
        <v>30–39</v>
      </c>
      <c r="AC1174" t="str">
        <f t="shared" si="183"/>
        <v/>
      </c>
      <c r="AD1174" t="str">
        <f t="shared" si="184"/>
        <v/>
      </c>
      <c r="AE1174" t="str">
        <f t="shared" si="185"/>
        <v/>
      </c>
      <c r="AF1174" t="str">
        <f t="shared" si="186"/>
        <v/>
      </c>
      <c r="AG1174" t="str">
        <f t="shared" si="187"/>
        <v>Friday</v>
      </c>
      <c r="AH1174" t="str">
        <f t="shared" si="188"/>
        <v/>
      </c>
      <c r="AI1174" t="str">
        <f t="shared" si="189"/>
        <v/>
      </c>
      <c r="AJ1174" t="str">
        <f>LEFT(Table1[[#This Row],[membership_type]],2)&amp;TEXT(Table1[[#This Row],[age]],"00")&amp;"-"&amp;TEXT(ROW(),"000")</f>
        <v>St35-1174</v>
      </c>
      <c r="AK1174" t="str">
        <f>LEFT(Table1[[#This Row],[membership_type]],1)&amp;TEXT(MATCH(Table1[[#This Row],[membership_type]],Table1[membership_type],0),"00")</f>
        <v>S02</v>
      </c>
      <c r="AL1174" t="str">
        <f>LEFT(Table1[[#This Row],[discount_type]],1)&amp;TEXT(ROUND(Table1[[#This Row],[discount_rate]]*100,0),"00")</f>
        <v>N00</v>
      </c>
      <c r="AM1174" t="str" cm="1">
        <f t="array" ref="AM1174">TEXT(SUMPRODUCT(CODE(MID(Table1[[#This Row],[home_gym_location]],_xlfn.SEQUENCE(LEN(Table1[[#This Row],[home_gym_location]])),1))),"00000")</f>
        <v>01107</v>
      </c>
      <c r="AN117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74" t="str">
        <f>LEFT(_xlfn.TEXTBEFORE(Table1[[#This Row],[Location Identifier]],"-"),3) &amp; "-" &amp; _xlfn.TEXTAFTER(Table1[[#This Row],[Location Identifier]],"-")</f>
        <v>LON-004</v>
      </c>
      <c r="AP1174" s="9">
        <f t="shared" ca="1" si="180"/>
        <v>45869</v>
      </c>
    </row>
    <row r="1175" spans="1:42" x14ac:dyDescent="0.25">
      <c r="A1175">
        <v>41</v>
      </c>
      <c r="B1175" t="s">
        <v>33</v>
      </c>
      <c r="C1175">
        <v>3</v>
      </c>
      <c r="D1175" t="s">
        <v>82</v>
      </c>
      <c r="E1175" t="b">
        <v>0</v>
      </c>
      <c r="F1175" s="1">
        <v>0.41388888888888886</v>
      </c>
      <c r="G1175" s="1">
        <v>0.48541666666666666</v>
      </c>
      <c r="H1175">
        <v>103</v>
      </c>
      <c r="I1175" t="b">
        <v>0</v>
      </c>
      <c r="J1175" t="b">
        <v>1</v>
      </c>
      <c r="K1175" t="b">
        <v>1</v>
      </c>
      <c r="L1175" t="s">
        <v>47</v>
      </c>
      <c r="M1175">
        <v>30</v>
      </c>
      <c r="N1175" t="s">
        <v>29</v>
      </c>
      <c r="O1175">
        <v>30</v>
      </c>
      <c r="P1175" t="s">
        <v>74</v>
      </c>
      <c r="Q1175">
        <v>0.15</v>
      </c>
      <c r="R1175">
        <v>25.5</v>
      </c>
      <c r="S1175" t="s">
        <v>37</v>
      </c>
      <c r="T1175" t="s">
        <v>65</v>
      </c>
      <c r="U1175">
        <v>33.770099999999999</v>
      </c>
      <c r="V1175">
        <v>-118.19370000000001</v>
      </c>
      <c r="W1175" s="2">
        <v>45155</v>
      </c>
      <c r="X1175">
        <v>8</v>
      </c>
      <c r="Y1175" t="b">
        <v>0</v>
      </c>
      <c r="Z1175" s="2">
        <v>45822</v>
      </c>
      <c r="AA1175" t="str">
        <f t="shared" si="181"/>
        <v>40–49</v>
      </c>
      <c r="AB1175" t="str">
        <f t="shared" si="182"/>
        <v>40–49</v>
      </c>
      <c r="AC1175" t="str">
        <f t="shared" si="183"/>
        <v/>
      </c>
      <c r="AD1175" t="str">
        <f t="shared" si="184"/>
        <v/>
      </c>
      <c r="AE1175" t="str">
        <f t="shared" si="185"/>
        <v/>
      </c>
      <c r="AF1175" t="str">
        <f t="shared" si="186"/>
        <v/>
      </c>
      <c r="AG1175" t="str">
        <f t="shared" si="187"/>
        <v>Friday</v>
      </c>
      <c r="AH1175" t="str">
        <f t="shared" si="188"/>
        <v>Saturday</v>
      </c>
      <c r="AI1175" t="str">
        <f t="shared" si="189"/>
        <v>Sunday</v>
      </c>
      <c r="AJ1175" t="str">
        <f>LEFT(Table1[[#This Row],[membership_type]],2)&amp;TEXT(Table1[[#This Row],[age]],"00")&amp;"-"&amp;TEXT(ROW(),"000")</f>
        <v>St41-1175</v>
      </c>
      <c r="AK1175" t="str">
        <f>LEFT(Table1[[#This Row],[membership_type]],1)&amp;TEXT(MATCH(Table1[[#This Row],[membership_type]],Table1[membership_type],0),"00")</f>
        <v>S02</v>
      </c>
      <c r="AL1175" t="str">
        <f>LEFT(Table1[[#This Row],[discount_type]],1)&amp;TEXT(ROUND(Table1[[#This Row],[discount_rate]]*100,0),"00")</f>
        <v>S15</v>
      </c>
      <c r="AM1175" t="str" cm="1">
        <f t="array" ref="AM1175">TEXT(SUMPRODUCT(CODE(MID(Table1[[#This Row],[home_gym_location]],_xlfn.SEQUENCE(LEN(Table1[[#This Row],[home_gym_location]])),1))),"00000")</f>
        <v>01107</v>
      </c>
      <c r="AN117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75" t="str">
        <f>LEFT(_xlfn.TEXTBEFORE(Table1[[#This Row],[Location Identifier]],"-"),3) &amp; "-" &amp; _xlfn.TEXTAFTER(Table1[[#This Row],[Location Identifier]],"-")</f>
        <v>LON-004</v>
      </c>
      <c r="AP1175" s="9">
        <f t="shared" ca="1" si="180"/>
        <v>45869</v>
      </c>
    </row>
    <row r="1176" spans="1:42" x14ac:dyDescent="0.25">
      <c r="A1176">
        <v>39</v>
      </c>
      <c r="B1176" t="s">
        <v>42</v>
      </c>
      <c r="C1176">
        <v>2</v>
      </c>
      <c r="D1176" t="s">
        <v>84</v>
      </c>
      <c r="E1176" t="b">
        <v>1</v>
      </c>
      <c r="F1176" s="1">
        <v>0.79305555555555551</v>
      </c>
      <c r="G1176" s="1">
        <v>0.82430555555555551</v>
      </c>
      <c r="H1176">
        <v>45</v>
      </c>
      <c r="I1176" t="b">
        <v>1</v>
      </c>
      <c r="J1176" t="b">
        <v>1</v>
      </c>
      <c r="K1176" t="b">
        <v>0</v>
      </c>
      <c r="L1176" t="s">
        <v>58</v>
      </c>
      <c r="M1176">
        <v>20</v>
      </c>
      <c r="N1176" t="s">
        <v>29</v>
      </c>
      <c r="O1176">
        <v>20</v>
      </c>
      <c r="P1176" t="s">
        <v>36</v>
      </c>
      <c r="Q1176">
        <v>0</v>
      </c>
      <c r="R1176">
        <v>20</v>
      </c>
      <c r="S1176" t="s">
        <v>44</v>
      </c>
      <c r="T1176" t="s">
        <v>65</v>
      </c>
      <c r="U1176">
        <v>33.770099999999999</v>
      </c>
      <c r="V1176">
        <v>-118.19370000000001</v>
      </c>
      <c r="W1176" s="2">
        <v>45255</v>
      </c>
      <c r="X1176">
        <v>5</v>
      </c>
      <c r="Y1176" t="b">
        <v>0</v>
      </c>
      <c r="Z1176" s="2">
        <v>45828</v>
      </c>
      <c r="AA1176" t="str">
        <f t="shared" si="181"/>
        <v>30–39</v>
      </c>
      <c r="AB1176" t="str">
        <f t="shared" si="182"/>
        <v>30–39</v>
      </c>
      <c r="AC1176" t="str">
        <f t="shared" si="183"/>
        <v/>
      </c>
      <c r="AD1176" t="str">
        <f t="shared" si="184"/>
        <v>Tuesday</v>
      </c>
      <c r="AE1176" t="str">
        <f t="shared" si="185"/>
        <v/>
      </c>
      <c r="AF1176" t="str">
        <f t="shared" si="186"/>
        <v/>
      </c>
      <c r="AG1176" t="str">
        <f t="shared" si="187"/>
        <v/>
      </c>
      <c r="AH1176" t="str">
        <f t="shared" si="188"/>
        <v/>
      </c>
      <c r="AI1176" t="str">
        <f t="shared" si="189"/>
        <v>Sunday</v>
      </c>
      <c r="AJ1176" t="str">
        <f>LEFT(Table1[[#This Row],[membership_type]],2)&amp;TEXT(Table1[[#This Row],[age]],"00")&amp;"-"&amp;TEXT(ROW(),"000")</f>
        <v>Ba39-1176</v>
      </c>
      <c r="AK1176" t="str">
        <f>LEFT(Table1[[#This Row],[membership_type]],1)&amp;TEXT(MATCH(Table1[[#This Row],[membership_type]],Table1[membership_type],0),"00")</f>
        <v>B04</v>
      </c>
      <c r="AL1176" t="str">
        <f>LEFT(Table1[[#This Row],[discount_type]],1)&amp;TEXT(ROUND(Table1[[#This Row],[discount_rate]]*100,0),"00")</f>
        <v>N00</v>
      </c>
      <c r="AM1176" t="str" cm="1">
        <f t="array" ref="AM1176">TEXT(SUMPRODUCT(CODE(MID(Table1[[#This Row],[home_gym_location]],_xlfn.SEQUENCE(LEN(Table1[[#This Row],[home_gym_location]])),1))),"00000")</f>
        <v>01107</v>
      </c>
      <c r="AN117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176" t="str">
        <f>LEFT(_xlfn.TEXTBEFORE(Table1[[#This Row],[Location Identifier]],"-"),3) &amp; "-" &amp; _xlfn.TEXTAFTER(Table1[[#This Row],[Location Identifier]],"-")</f>
        <v>LON-004</v>
      </c>
      <c r="AP1176" s="9">
        <f t="shared" ca="1" si="180"/>
        <v>45869</v>
      </c>
    </row>
    <row r="1177" spans="1:42" x14ac:dyDescent="0.25">
      <c r="A1177">
        <v>45</v>
      </c>
      <c r="B1177" t="s">
        <v>42</v>
      </c>
      <c r="C1177">
        <v>3</v>
      </c>
      <c r="D1177" t="s">
        <v>81</v>
      </c>
      <c r="E1177" t="b">
        <v>1</v>
      </c>
      <c r="F1177" s="1">
        <v>0.65208333333333335</v>
      </c>
      <c r="G1177" s="1">
        <v>0.7319444444444444</v>
      </c>
      <c r="H1177">
        <v>115</v>
      </c>
      <c r="I1177" t="b">
        <v>1</v>
      </c>
      <c r="J1177" t="b">
        <v>1</v>
      </c>
      <c r="K1177" t="b">
        <v>1</v>
      </c>
      <c r="L1177" t="s">
        <v>28</v>
      </c>
      <c r="M1177">
        <v>20</v>
      </c>
      <c r="N1177" t="s">
        <v>64</v>
      </c>
      <c r="O1177">
        <v>15</v>
      </c>
      <c r="P1177" t="s">
        <v>40</v>
      </c>
      <c r="Q1177">
        <v>0.1</v>
      </c>
      <c r="R1177">
        <v>13.5</v>
      </c>
      <c r="S1177" t="s">
        <v>44</v>
      </c>
      <c r="T1177" t="s">
        <v>45</v>
      </c>
      <c r="U1177">
        <v>33.836599999999997</v>
      </c>
      <c r="V1177">
        <v>-117.9143</v>
      </c>
      <c r="W1177" s="2">
        <v>45000</v>
      </c>
      <c r="X1177">
        <v>3</v>
      </c>
      <c r="Y1177" t="b">
        <v>1</v>
      </c>
      <c r="Z1177" s="2">
        <v>45814</v>
      </c>
      <c r="AA1177" t="str">
        <f t="shared" si="181"/>
        <v>40–49</v>
      </c>
      <c r="AB1177" t="str">
        <f t="shared" si="182"/>
        <v>40–49</v>
      </c>
      <c r="AC1177" t="str">
        <f t="shared" si="183"/>
        <v>Monday</v>
      </c>
      <c r="AD1177" t="str">
        <f t="shared" si="184"/>
        <v/>
      </c>
      <c r="AE1177" t="str">
        <f t="shared" si="185"/>
        <v>Wednesday</v>
      </c>
      <c r="AF1177" t="str">
        <f t="shared" si="186"/>
        <v/>
      </c>
      <c r="AG1177" t="str">
        <f t="shared" si="187"/>
        <v>Friday</v>
      </c>
      <c r="AH1177" t="str">
        <f t="shared" si="188"/>
        <v/>
      </c>
      <c r="AI1177" t="str">
        <f t="shared" si="189"/>
        <v/>
      </c>
      <c r="AJ1177" t="str">
        <f>LEFT(Table1[[#This Row],[membership_type]],2)&amp;TEXT(Table1[[#This Row],[age]],"00")&amp;"-"&amp;TEXT(ROW(),"000")</f>
        <v>Ba45-1177</v>
      </c>
      <c r="AK1177" t="str">
        <f>LEFT(Table1[[#This Row],[membership_type]],1)&amp;TEXT(MATCH(Table1[[#This Row],[membership_type]],Table1[membership_type],0),"00")</f>
        <v>B04</v>
      </c>
      <c r="AL1177" t="str">
        <f>LEFT(Table1[[#This Row],[discount_type]],1)&amp;TEXT(ROUND(Table1[[#This Row],[discount_rate]]*100,0),"00")</f>
        <v>L10</v>
      </c>
      <c r="AM1177" t="str" cm="1">
        <f t="array" ref="AM1177">TEXT(SUMPRODUCT(CODE(MID(Table1[[#This Row],[home_gym_location]],_xlfn.SEQUENCE(LEN(Table1[[#This Row],[home_gym_location]])),1))),"00000")</f>
        <v>00899</v>
      </c>
      <c r="AN117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77" t="str">
        <f>LEFT(_xlfn.TEXTBEFORE(Table1[[#This Row],[Location Identifier]],"-"),3) &amp; "-" &amp; _xlfn.TEXTAFTER(Table1[[#This Row],[Location Identifier]],"-")</f>
        <v>ANA-001</v>
      </c>
      <c r="AP1177" s="9">
        <f t="shared" ca="1" si="180"/>
        <v>45869</v>
      </c>
    </row>
    <row r="1178" spans="1:42" x14ac:dyDescent="0.25">
      <c r="A1178">
        <v>31</v>
      </c>
      <c r="B1178" t="s">
        <v>26</v>
      </c>
      <c r="C1178">
        <v>2</v>
      </c>
      <c r="D1178" t="s">
        <v>88</v>
      </c>
      <c r="E1178" t="b">
        <v>1</v>
      </c>
      <c r="F1178" s="1">
        <v>0.85277777777777775</v>
      </c>
      <c r="G1178" s="1">
        <v>0.91111111111111109</v>
      </c>
      <c r="H1178">
        <v>84</v>
      </c>
      <c r="I1178" t="b">
        <v>1</v>
      </c>
      <c r="J1178" t="b">
        <v>1</v>
      </c>
      <c r="K1178" t="b">
        <v>0</v>
      </c>
      <c r="L1178" t="s">
        <v>47</v>
      </c>
      <c r="M1178">
        <v>50</v>
      </c>
      <c r="N1178" t="s">
        <v>64</v>
      </c>
      <c r="O1178">
        <v>37.5</v>
      </c>
      <c r="P1178" t="s">
        <v>74</v>
      </c>
      <c r="Q1178">
        <v>0.15</v>
      </c>
      <c r="R1178">
        <v>31.875</v>
      </c>
      <c r="S1178" t="s">
        <v>31</v>
      </c>
      <c r="T1178" t="s">
        <v>41</v>
      </c>
      <c r="U1178">
        <v>37.804400000000001</v>
      </c>
      <c r="V1178">
        <v>-122.27119999999999</v>
      </c>
      <c r="W1178" s="2">
        <v>45717</v>
      </c>
      <c r="X1178">
        <v>3</v>
      </c>
      <c r="Y1178" t="b">
        <v>1</v>
      </c>
      <c r="Z1178" s="2">
        <v>45854</v>
      </c>
      <c r="AA1178" t="str">
        <f t="shared" si="181"/>
        <v>30–39</v>
      </c>
      <c r="AB1178" t="str">
        <f t="shared" si="182"/>
        <v>30–39</v>
      </c>
      <c r="AC1178" t="str">
        <f t="shared" si="183"/>
        <v>Monday</v>
      </c>
      <c r="AD1178" t="str">
        <f t="shared" si="184"/>
        <v/>
      </c>
      <c r="AE1178" t="str">
        <f t="shared" si="185"/>
        <v>Wednesday</v>
      </c>
      <c r="AF1178" t="str">
        <f t="shared" si="186"/>
        <v/>
      </c>
      <c r="AG1178" t="str">
        <f t="shared" si="187"/>
        <v/>
      </c>
      <c r="AH1178" t="str">
        <f t="shared" si="188"/>
        <v/>
      </c>
      <c r="AI1178" t="str">
        <f t="shared" si="189"/>
        <v/>
      </c>
      <c r="AJ1178" t="str">
        <f>LEFT(Table1[[#This Row],[membership_type]],2)&amp;TEXT(Table1[[#This Row],[age]],"00")&amp;"-"&amp;TEXT(ROW(),"000")</f>
        <v>Pr31-1178</v>
      </c>
      <c r="AK1178" t="str">
        <f>LEFT(Table1[[#This Row],[membership_type]],1)&amp;TEXT(MATCH(Table1[[#This Row],[membership_type]],Table1[membership_type],0),"00")</f>
        <v>P01</v>
      </c>
      <c r="AL1178" t="str">
        <f>LEFT(Table1[[#This Row],[discount_type]],1)&amp;TEXT(ROUND(Table1[[#This Row],[discount_rate]]*100,0),"00")</f>
        <v>S15</v>
      </c>
      <c r="AM1178" t="str" cm="1">
        <f t="array" ref="AM1178">TEXT(SUMPRODUCT(CODE(MID(Table1[[#This Row],[home_gym_location]],_xlfn.SEQUENCE(LEN(Table1[[#This Row],[home_gym_location]])),1))),"00000")</f>
        <v>00906</v>
      </c>
      <c r="AN117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78" t="str">
        <f>LEFT(_xlfn.TEXTBEFORE(Table1[[#This Row],[Location Identifier]],"-"),3) &amp; "-" &amp; _xlfn.TEXTAFTER(Table1[[#This Row],[Location Identifier]],"-")</f>
        <v>OAK-006</v>
      </c>
      <c r="AP1178" s="9">
        <f t="shared" ca="1" si="180"/>
        <v>45869</v>
      </c>
    </row>
    <row r="1179" spans="1:42" x14ac:dyDescent="0.25">
      <c r="A1179">
        <v>45</v>
      </c>
      <c r="B1179" t="s">
        <v>42</v>
      </c>
      <c r="C1179">
        <v>3</v>
      </c>
      <c r="D1179" t="s">
        <v>89</v>
      </c>
      <c r="E1179" t="b">
        <v>1</v>
      </c>
      <c r="F1179" s="1">
        <v>0.73750000000000004</v>
      </c>
      <c r="G1179" s="1">
        <v>0.85833333333333328</v>
      </c>
      <c r="H1179">
        <v>174</v>
      </c>
      <c r="I1179" t="b">
        <v>0</v>
      </c>
      <c r="J1179" t="b">
        <v>0</v>
      </c>
      <c r="K1179" t="b">
        <v>1</v>
      </c>
      <c r="L1179" t="s">
        <v>28</v>
      </c>
      <c r="M1179">
        <v>20</v>
      </c>
      <c r="N1179" t="s">
        <v>29</v>
      </c>
      <c r="O1179">
        <v>20</v>
      </c>
      <c r="P1179" t="s">
        <v>36</v>
      </c>
      <c r="Q1179">
        <v>0</v>
      </c>
      <c r="R1179">
        <v>20</v>
      </c>
      <c r="S1179" t="s">
        <v>44</v>
      </c>
      <c r="T1179" t="s">
        <v>32</v>
      </c>
      <c r="U1179">
        <v>37.338200000000001</v>
      </c>
      <c r="V1179">
        <v>-121.88630000000001</v>
      </c>
      <c r="W1179" s="2">
        <v>45020</v>
      </c>
      <c r="X1179">
        <v>0</v>
      </c>
      <c r="Y1179" t="b">
        <v>1</v>
      </c>
      <c r="Z1179" s="2">
        <v>45815</v>
      </c>
      <c r="AA1179" t="str">
        <f t="shared" si="181"/>
        <v>40–49</v>
      </c>
      <c r="AB1179" t="str">
        <f t="shared" si="182"/>
        <v>40–49</v>
      </c>
      <c r="AC1179" t="str">
        <f t="shared" si="183"/>
        <v>Monday</v>
      </c>
      <c r="AD1179" t="str">
        <f t="shared" si="184"/>
        <v>Tuesday</v>
      </c>
      <c r="AE1179" t="str">
        <f t="shared" si="185"/>
        <v/>
      </c>
      <c r="AF1179" t="str">
        <f t="shared" si="186"/>
        <v/>
      </c>
      <c r="AG1179" t="str">
        <f t="shared" si="187"/>
        <v/>
      </c>
      <c r="AH1179" t="str">
        <f t="shared" si="188"/>
        <v>Saturday</v>
      </c>
      <c r="AI1179" t="str">
        <f t="shared" si="189"/>
        <v/>
      </c>
      <c r="AJ1179" t="str">
        <f>LEFT(Table1[[#This Row],[membership_type]],2)&amp;TEXT(Table1[[#This Row],[age]],"00")&amp;"-"&amp;TEXT(ROW(),"000")</f>
        <v>Ba45-1179</v>
      </c>
      <c r="AK1179" t="str">
        <f>LEFT(Table1[[#This Row],[membership_type]],1)&amp;TEXT(MATCH(Table1[[#This Row],[membership_type]],Table1[membership_type],0),"00")</f>
        <v>B04</v>
      </c>
      <c r="AL1179" t="str">
        <f>LEFT(Table1[[#This Row],[discount_type]],1)&amp;TEXT(ROUND(Table1[[#This Row],[discount_rate]]*100,0),"00")</f>
        <v>N00</v>
      </c>
      <c r="AM1179" t="str" cm="1">
        <f t="array" ref="AM1179">TEXT(SUMPRODUCT(CODE(MID(Table1[[#This Row],[home_gym_location]],_xlfn.SEQUENCE(LEN(Table1[[#This Row],[home_gym_location]])),1))),"00000")</f>
        <v>00931</v>
      </c>
      <c r="AN117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79" t="str">
        <f>LEFT(_xlfn.TEXTBEFORE(Table1[[#This Row],[Location Identifier]],"-"),3) &amp; "-" &amp; _xlfn.TEXTAFTER(Table1[[#This Row],[Location Identifier]],"-")</f>
        <v>SAN-010</v>
      </c>
      <c r="AP1179" s="9">
        <f t="shared" ca="1" si="180"/>
        <v>45869</v>
      </c>
    </row>
    <row r="1180" spans="1:42" x14ac:dyDescent="0.25">
      <c r="A1180">
        <v>44</v>
      </c>
      <c r="B1180" t="s">
        <v>26</v>
      </c>
      <c r="C1180">
        <v>2</v>
      </c>
      <c r="D1180" t="s">
        <v>103</v>
      </c>
      <c r="E1180" t="b">
        <v>0</v>
      </c>
      <c r="F1180" s="1">
        <v>0.62361111111111112</v>
      </c>
      <c r="G1180" s="1">
        <v>0.73472222222222228</v>
      </c>
      <c r="H1180">
        <v>160</v>
      </c>
      <c r="I1180" t="b">
        <v>1</v>
      </c>
      <c r="J1180" t="b">
        <v>1</v>
      </c>
      <c r="K1180" t="b">
        <v>1</v>
      </c>
      <c r="L1180" t="s">
        <v>28</v>
      </c>
      <c r="M1180">
        <v>50</v>
      </c>
      <c r="N1180" t="s">
        <v>29</v>
      </c>
      <c r="O1180">
        <v>50</v>
      </c>
      <c r="P1180" t="s">
        <v>30</v>
      </c>
      <c r="Q1180">
        <v>0.05</v>
      </c>
      <c r="R1180">
        <v>47.5</v>
      </c>
      <c r="S1180" t="s">
        <v>31</v>
      </c>
      <c r="T1180" t="s">
        <v>50</v>
      </c>
      <c r="U1180">
        <v>34.052199999999999</v>
      </c>
      <c r="V1180">
        <v>-118.2437</v>
      </c>
      <c r="W1180" s="2">
        <v>45254</v>
      </c>
      <c r="X1180">
        <v>7</v>
      </c>
      <c r="Y1180" t="b">
        <v>0</v>
      </c>
      <c r="Z1180" s="2">
        <v>45828</v>
      </c>
      <c r="AA1180" t="str">
        <f t="shared" si="181"/>
        <v>40–49</v>
      </c>
      <c r="AB1180" t="str">
        <f t="shared" si="182"/>
        <v>40–49</v>
      </c>
      <c r="AC1180" t="str">
        <f t="shared" si="183"/>
        <v>Monday</v>
      </c>
      <c r="AD1180" t="str">
        <f t="shared" si="184"/>
        <v/>
      </c>
      <c r="AE1180" t="str">
        <f t="shared" si="185"/>
        <v/>
      </c>
      <c r="AF1180" t="str">
        <f t="shared" si="186"/>
        <v/>
      </c>
      <c r="AG1180" t="str">
        <f t="shared" si="187"/>
        <v/>
      </c>
      <c r="AH1180" t="str">
        <f t="shared" si="188"/>
        <v/>
      </c>
      <c r="AI1180" t="str">
        <f t="shared" si="189"/>
        <v>Sunday</v>
      </c>
      <c r="AJ1180" t="str">
        <f>LEFT(Table1[[#This Row],[membership_type]],2)&amp;TEXT(Table1[[#This Row],[age]],"00")&amp;"-"&amp;TEXT(ROW(),"000")</f>
        <v>Pr44-1180</v>
      </c>
      <c r="AK1180" t="str">
        <f>LEFT(Table1[[#This Row],[membership_type]],1)&amp;TEXT(MATCH(Table1[[#This Row],[membership_type]],Table1[membership_type],0),"00")</f>
        <v>P01</v>
      </c>
      <c r="AL1180" t="str">
        <f>LEFT(Table1[[#This Row],[discount_type]],1)&amp;TEXT(ROUND(Table1[[#This Row],[discount_rate]]*100,0),"00")</f>
        <v>P05</v>
      </c>
      <c r="AM1180" t="str" cm="1">
        <f t="array" ref="AM1180">TEXT(SUMPRODUCT(CODE(MID(Table1[[#This Row],[home_gym_location]],_xlfn.SEQUENCE(LEN(Table1[[#This Row],[home_gym_location]])),1))),"00000")</f>
        <v>01245</v>
      </c>
      <c r="AN118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80" t="str">
        <f>LEFT(_xlfn.TEXTBEFORE(Table1[[#This Row],[Location Identifier]],"-"),3) &amp; "-" &amp; _xlfn.TEXTAFTER(Table1[[#This Row],[Location Identifier]],"-")</f>
        <v>LOS-005</v>
      </c>
      <c r="AP1180" s="9">
        <f t="shared" ca="1" si="180"/>
        <v>45869</v>
      </c>
    </row>
    <row r="1181" spans="1:42" x14ac:dyDescent="0.25">
      <c r="A1181">
        <v>42</v>
      </c>
      <c r="B1181" t="s">
        <v>33</v>
      </c>
      <c r="C1181">
        <v>4</v>
      </c>
      <c r="D1181" t="s">
        <v>167</v>
      </c>
      <c r="E1181" t="b">
        <v>1</v>
      </c>
      <c r="F1181" s="1">
        <v>0.80625000000000002</v>
      </c>
      <c r="G1181" s="1">
        <v>0.90902777777777777</v>
      </c>
      <c r="H1181">
        <v>148</v>
      </c>
      <c r="I1181" t="b">
        <v>0</v>
      </c>
      <c r="J1181" t="b">
        <v>1</v>
      </c>
      <c r="K1181" t="b">
        <v>1</v>
      </c>
      <c r="L1181" t="s">
        <v>62</v>
      </c>
      <c r="M1181">
        <v>30</v>
      </c>
      <c r="N1181" t="s">
        <v>64</v>
      </c>
      <c r="O1181">
        <v>22.5</v>
      </c>
      <c r="P1181" t="s">
        <v>30</v>
      </c>
      <c r="Q1181">
        <v>0.05</v>
      </c>
      <c r="R1181">
        <v>21.375</v>
      </c>
      <c r="S1181" t="s">
        <v>37</v>
      </c>
      <c r="T1181" t="s">
        <v>50</v>
      </c>
      <c r="U1181">
        <v>34.052199999999999</v>
      </c>
      <c r="V1181">
        <v>-118.2437</v>
      </c>
      <c r="W1181" s="2">
        <v>44805</v>
      </c>
      <c r="X1181">
        <v>7</v>
      </c>
      <c r="Y1181" t="b">
        <v>0</v>
      </c>
      <c r="Z1181" s="2">
        <v>45803</v>
      </c>
      <c r="AA1181" t="str">
        <f t="shared" si="181"/>
        <v>40–49</v>
      </c>
      <c r="AB1181" t="str">
        <f t="shared" si="182"/>
        <v>40–49</v>
      </c>
      <c r="AC1181" t="str">
        <f t="shared" si="183"/>
        <v>Monday</v>
      </c>
      <c r="AD1181" t="str">
        <f t="shared" si="184"/>
        <v>Tuesday</v>
      </c>
      <c r="AE1181" t="str">
        <f t="shared" si="185"/>
        <v/>
      </c>
      <c r="AF1181" t="str">
        <f t="shared" si="186"/>
        <v/>
      </c>
      <c r="AG1181" t="str">
        <f t="shared" si="187"/>
        <v/>
      </c>
      <c r="AH1181" t="str">
        <f t="shared" si="188"/>
        <v>Saturday</v>
      </c>
      <c r="AI1181" t="str">
        <f t="shared" si="189"/>
        <v>Sunday</v>
      </c>
      <c r="AJ1181" t="str">
        <f>LEFT(Table1[[#This Row],[membership_type]],2)&amp;TEXT(Table1[[#This Row],[age]],"00")&amp;"-"&amp;TEXT(ROW(),"000")</f>
        <v>St42-1181</v>
      </c>
      <c r="AK1181" t="str">
        <f>LEFT(Table1[[#This Row],[membership_type]],1)&amp;TEXT(MATCH(Table1[[#This Row],[membership_type]],Table1[membership_type],0),"00")</f>
        <v>S02</v>
      </c>
      <c r="AL1181" t="str">
        <f>LEFT(Table1[[#This Row],[discount_type]],1)&amp;TEXT(ROUND(Table1[[#This Row],[discount_rate]]*100,0),"00")</f>
        <v>P05</v>
      </c>
      <c r="AM1181" t="str" cm="1">
        <f t="array" ref="AM1181">TEXT(SUMPRODUCT(CODE(MID(Table1[[#This Row],[home_gym_location]],_xlfn.SEQUENCE(LEN(Table1[[#This Row],[home_gym_location]])),1))),"00000")</f>
        <v>01245</v>
      </c>
      <c r="AN118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81" t="str">
        <f>LEFT(_xlfn.TEXTBEFORE(Table1[[#This Row],[Location Identifier]],"-"),3) &amp; "-" &amp; _xlfn.TEXTAFTER(Table1[[#This Row],[Location Identifier]],"-")</f>
        <v>LOS-005</v>
      </c>
      <c r="AP1181" s="9">
        <f t="shared" ca="1" si="180"/>
        <v>45869</v>
      </c>
    </row>
    <row r="1182" spans="1:42" x14ac:dyDescent="0.25">
      <c r="A1182">
        <v>20</v>
      </c>
      <c r="B1182" t="s">
        <v>26</v>
      </c>
      <c r="C1182">
        <v>3</v>
      </c>
      <c r="D1182" t="s">
        <v>129</v>
      </c>
      <c r="E1182" t="b">
        <v>0</v>
      </c>
      <c r="F1182" s="1">
        <v>0.58611111111111114</v>
      </c>
      <c r="G1182" s="1">
        <v>0.6958333333333333</v>
      </c>
      <c r="H1182">
        <v>158</v>
      </c>
      <c r="I1182" t="b">
        <v>0</v>
      </c>
      <c r="J1182" t="b">
        <v>0</v>
      </c>
      <c r="K1182" t="b">
        <v>0</v>
      </c>
      <c r="L1182" t="s">
        <v>62</v>
      </c>
      <c r="M1182">
        <v>50</v>
      </c>
      <c r="N1182" t="s">
        <v>29</v>
      </c>
      <c r="O1182">
        <v>50</v>
      </c>
      <c r="P1182" t="s">
        <v>30</v>
      </c>
      <c r="Q1182">
        <v>0.05</v>
      </c>
      <c r="R1182">
        <v>47.5</v>
      </c>
      <c r="S1182" t="s">
        <v>31</v>
      </c>
      <c r="T1182" t="s">
        <v>59</v>
      </c>
      <c r="U1182">
        <v>37.774900000000002</v>
      </c>
      <c r="V1182">
        <v>-122.4194</v>
      </c>
      <c r="W1182" s="2">
        <v>45466</v>
      </c>
      <c r="X1182">
        <v>0</v>
      </c>
      <c r="Y1182" t="b">
        <v>0</v>
      </c>
      <c r="Z1182" s="2">
        <v>45840</v>
      </c>
      <c r="AA1182" t="str">
        <f t="shared" si="181"/>
        <v>20–29</v>
      </c>
      <c r="AB1182" t="str">
        <f t="shared" si="182"/>
        <v>20–29</v>
      </c>
      <c r="AC1182" t="str">
        <f t="shared" si="183"/>
        <v/>
      </c>
      <c r="AD1182" t="str">
        <f t="shared" si="184"/>
        <v>Tuesday</v>
      </c>
      <c r="AE1182" t="str">
        <f t="shared" si="185"/>
        <v>Wednesday</v>
      </c>
      <c r="AF1182" t="str">
        <f t="shared" si="186"/>
        <v/>
      </c>
      <c r="AG1182" t="str">
        <f t="shared" si="187"/>
        <v/>
      </c>
      <c r="AH1182" t="str">
        <f t="shared" si="188"/>
        <v/>
      </c>
      <c r="AI1182" t="str">
        <f t="shared" si="189"/>
        <v>Sunday</v>
      </c>
      <c r="AJ1182" t="str">
        <f>LEFT(Table1[[#This Row],[membership_type]],2)&amp;TEXT(Table1[[#This Row],[age]],"00")&amp;"-"&amp;TEXT(ROW(),"000")</f>
        <v>Pr20-1182</v>
      </c>
      <c r="AK1182" t="str">
        <f>LEFT(Table1[[#This Row],[membership_type]],1)&amp;TEXT(MATCH(Table1[[#This Row],[membership_type]],Table1[membership_type],0),"00")</f>
        <v>P01</v>
      </c>
      <c r="AL1182" t="str">
        <f>LEFT(Table1[[#This Row],[discount_type]],1)&amp;TEXT(ROUND(Table1[[#This Row],[discount_rate]]*100,0),"00")</f>
        <v>P05</v>
      </c>
      <c r="AM1182" t="str" cm="1">
        <f t="array" ref="AM1182">TEXT(SUMPRODUCT(CODE(MID(Table1[[#This Row],[home_gym_location]],_xlfn.SEQUENCE(LEN(Table1[[#This Row],[home_gym_location]])),1))),"00000")</f>
        <v>01450</v>
      </c>
      <c r="AN118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82" t="str">
        <f>LEFT(_xlfn.TEXTBEFORE(Table1[[#This Row],[Location Identifier]],"-"),3) &amp; "-" &amp; _xlfn.TEXTAFTER(Table1[[#This Row],[Location Identifier]],"-")</f>
        <v>SAN-009</v>
      </c>
      <c r="AP1182" s="9">
        <f t="shared" ca="1" si="180"/>
        <v>45869</v>
      </c>
    </row>
    <row r="1183" spans="1:42" x14ac:dyDescent="0.25">
      <c r="A1183">
        <v>40</v>
      </c>
      <c r="B1183" t="s">
        <v>33</v>
      </c>
      <c r="C1183">
        <v>3</v>
      </c>
      <c r="D1183" t="s">
        <v>122</v>
      </c>
      <c r="E1183" t="b">
        <v>0</v>
      </c>
      <c r="F1183" s="1">
        <v>0.47083333333333333</v>
      </c>
      <c r="G1183" s="1">
        <v>0.58958333333333335</v>
      </c>
      <c r="H1183">
        <v>171</v>
      </c>
      <c r="I1183" t="b">
        <v>0</v>
      </c>
      <c r="J1183" t="b">
        <v>1</v>
      </c>
      <c r="K1183" t="b">
        <v>1</v>
      </c>
      <c r="L1183" t="s">
        <v>28</v>
      </c>
      <c r="M1183">
        <v>30</v>
      </c>
      <c r="N1183" t="s">
        <v>64</v>
      </c>
      <c r="O1183">
        <v>22.5</v>
      </c>
      <c r="P1183" t="s">
        <v>36</v>
      </c>
      <c r="Q1183">
        <v>0</v>
      </c>
      <c r="R1183">
        <v>22.5</v>
      </c>
      <c r="S1183" t="s">
        <v>37</v>
      </c>
      <c r="T1183" t="s">
        <v>45</v>
      </c>
      <c r="U1183">
        <v>33.836599999999997</v>
      </c>
      <c r="V1183">
        <v>-117.9143</v>
      </c>
      <c r="W1183" s="2">
        <v>45157</v>
      </c>
      <c r="X1183">
        <v>1</v>
      </c>
      <c r="Y1183" t="b">
        <v>1</v>
      </c>
      <c r="Z1183" s="2">
        <v>45823</v>
      </c>
      <c r="AA1183" t="str">
        <f t="shared" si="181"/>
        <v>40–49</v>
      </c>
      <c r="AB1183" t="str">
        <f t="shared" si="182"/>
        <v>40–49</v>
      </c>
      <c r="AC1183" t="str">
        <f t="shared" si="183"/>
        <v/>
      </c>
      <c r="AD1183" t="str">
        <f t="shared" si="184"/>
        <v>Tuesday</v>
      </c>
      <c r="AE1183" t="str">
        <f t="shared" si="185"/>
        <v/>
      </c>
      <c r="AF1183" t="str">
        <f t="shared" si="186"/>
        <v/>
      </c>
      <c r="AG1183" t="str">
        <f t="shared" si="187"/>
        <v>Friday</v>
      </c>
      <c r="AH1183" t="str">
        <f t="shared" si="188"/>
        <v/>
      </c>
      <c r="AI1183" t="str">
        <f t="shared" si="189"/>
        <v>Sunday</v>
      </c>
      <c r="AJ1183" t="str">
        <f>LEFT(Table1[[#This Row],[membership_type]],2)&amp;TEXT(Table1[[#This Row],[age]],"00")&amp;"-"&amp;TEXT(ROW(),"000")</f>
        <v>St40-1183</v>
      </c>
      <c r="AK1183" t="str">
        <f>LEFT(Table1[[#This Row],[membership_type]],1)&amp;TEXT(MATCH(Table1[[#This Row],[membership_type]],Table1[membership_type],0),"00")</f>
        <v>S02</v>
      </c>
      <c r="AL1183" t="str">
        <f>LEFT(Table1[[#This Row],[discount_type]],1)&amp;TEXT(ROUND(Table1[[#This Row],[discount_rate]]*100,0),"00")</f>
        <v>N00</v>
      </c>
      <c r="AM1183" t="str" cm="1">
        <f t="array" ref="AM1183">TEXT(SUMPRODUCT(CODE(MID(Table1[[#This Row],[home_gym_location]],_xlfn.SEQUENCE(LEN(Table1[[#This Row],[home_gym_location]])),1))),"00000")</f>
        <v>00899</v>
      </c>
      <c r="AN118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83" t="str">
        <f>LEFT(_xlfn.TEXTBEFORE(Table1[[#This Row],[Location Identifier]],"-"),3) &amp; "-" &amp; _xlfn.TEXTAFTER(Table1[[#This Row],[Location Identifier]],"-")</f>
        <v>ANA-001</v>
      </c>
      <c r="AP1183" s="9">
        <f t="shared" ca="1" si="180"/>
        <v>45869</v>
      </c>
    </row>
    <row r="1184" spans="1:42" x14ac:dyDescent="0.25">
      <c r="A1184">
        <v>19</v>
      </c>
      <c r="B1184" t="s">
        <v>26</v>
      </c>
      <c r="C1184">
        <v>2</v>
      </c>
      <c r="D1184" t="s">
        <v>43</v>
      </c>
      <c r="E1184" t="b">
        <v>1</v>
      </c>
      <c r="F1184" s="1">
        <v>0.58402777777777781</v>
      </c>
      <c r="G1184" s="1">
        <v>0.66388888888888886</v>
      </c>
      <c r="H1184">
        <v>115</v>
      </c>
      <c r="I1184" t="b">
        <v>0</v>
      </c>
      <c r="J1184" t="b">
        <v>0</v>
      </c>
      <c r="K1184" t="b">
        <v>0</v>
      </c>
      <c r="L1184" t="s">
        <v>62</v>
      </c>
      <c r="M1184">
        <v>50</v>
      </c>
      <c r="N1184" t="s">
        <v>29</v>
      </c>
      <c r="O1184">
        <v>50</v>
      </c>
      <c r="P1184" t="s">
        <v>36</v>
      </c>
      <c r="Q1184">
        <v>0</v>
      </c>
      <c r="R1184">
        <v>50</v>
      </c>
      <c r="S1184" t="s">
        <v>31</v>
      </c>
      <c r="T1184" t="s">
        <v>50</v>
      </c>
      <c r="U1184">
        <v>34.052199999999999</v>
      </c>
      <c r="V1184">
        <v>-118.2437</v>
      </c>
      <c r="W1184" s="2">
        <v>44838</v>
      </c>
      <c r="X1184">
        <v>0</v>
      </c>
      <c r="Y1184" t="b">
        <v>1</v>
      </c>
      <c r="Z1184" s="2">
        <v>45805</v>
      </c>
      <c r="AA1184" t="str">
        <f t="shared" si="181"/>
        <v>10–19</v>
      </c>
      <c r="AB1184" t="str">
        <f t="shared" si="182"/>
        <v>16–19</v>
      </c>
      <c r="AC1184" t="str">
        <f t="shared" si="183"/>
        <v>Monday</v>
      </c>
      <c r="AD1184" t="str">
        <f t="shared" si="184"/>
        <v>Tuesday</v>
      </c>
      <c r="AE1184" t="str">
        <f t="shared" si="185"/>
        <v/>
      </c>
      <c r="AF1184" t="str">
        <f t="shared" si="186"/>
        <v/>
      </c>
      <c r="AG1184" t="str">
        <f t="shared" si="187"/>
        <v/>
      </c>
      <c r="AH1184" t="str">
        <f t="shared" si="188"/>
        <v/>
      </c>
      <c r="AI1184" t="str">
        <f t="shared" si="189"/>
        <v/>
      </c>
      <c r="AJ1184" t="str">
        <f>LEFT(Table1[[#This Row],[membership_type]],2)&amp;TEXT(Table1[[#This Row],[age]],"00")&amp;"-"&amp;TEXT(ROW(),"000")</f>
        <v>Pr19-1184</v>
      </c>
      <c r="AK1184" t="str">
        <f>LEFT(Table1[[#This Row],[membership_type]],1)&amp;TEXT(MATCH(Table1[[#This Row],[membership_type]],Table1[membership_type],0),"00")</f>
        <v>P01</v>
      </c>
      <c r="AL1184" t="str">
        <f>LEFT(Table1[[#This Row],[discount_type]],1)&amp;TEXT(ROUND(Table1[[#This Row],[discount_rate]]*100,0),"00")</f>
        <v>N00</v>
      </c>
      <c r="AM1184" t="str" cm="1">
        <f t="array" ref="AM1184">TEXT(SUMPRODUCT(CODE(MID(Table1[[#This Row],[home_gym_location]],_xlfn.SEQUENCE(LEN(Table1[[#This Row],[home_gym_location]])),1))),"00000")</f>
        <v>01245</v>
      </c>
      <c r="AN118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84" t="str">
        <f>LEFT(_xlfn.TEXTBEFORE(Table1[[#This Row],[Location Identifier]],"-"),3) &amp; "-" &amp; _xlfn.TEXTAFTER(Table1[[#This Row],[Location Identifier]],"-")</f>
        <v>LOS-005</v>
      </c>
      <c r="AP1184" s="9">
        <f t="shared" ca="1" si="180"/>
        <v>45869</v>
      </c>
    </row>
    <row r="1185" spans="1:42" x14ac:dyDescent="0.25">
      <c r="A1185">
        <v>21</v>
      </c>
      <c r="B1185" t="s">
        <v>26</v>
      </c>
      <c r="C1185">
        <v>3</v>
      </c>
      <c r="D1185" t="s">
        <v>153</v>
      </c>
      <c r="E1185" t="b">
        <v>0</v>
      </c>
      <c r="F1185" s="1">
        <v>0.5756944444444444</v>
      </c>
      <c r="G1185" s="1">
        <v>0.62152777777777779</v>
      </c>
      <c r="H1185">
        <v>66</v>
      </c>
      <c r="I1185" t="b">
        <v>0</v>
      </c>
      <c r="J1185" t="b">
        <v>1</v>
      </c>
      <c r="K1185" t="b">
        <v>1</v>
      </c>
      <c r="L1185" t="s">
        <v>28</v>
      </c>
      <c r="M1185">
        <v>50</v>
      </c>
      <c r="N1185" t="s">
        <v>29</v>
      </c>
      <c r="O1185">
        <v>50</v>
      </c>
      <c r="P1185" t="s">
        <v>36</v>
      </c>
      <c r="Q1185">
        <v>0</v>
      </c>
      <c r="R1185">
        <v>50</v>
      </c>
      <c r="S1185" t="s">
        <v>31</v>
      </c>
      <c r="T1185" t="s">
        <v>45</v>
      </c>
      <c r="U1185">
        <v>33.836599999999997</v>
      </c>
      <c r="V1185">
        <v>-117.9143</v>
      </c>
      <c r="W1185" s="2">
        <v>45721</v>
      </c>
      <c r="X1185">
        <v>7</v>
      </c>
      <c r="Y1185" t="b">
        <v>1</v>
      </c>
      <c r="Z1185" s="2">
        <v>45854</v>
      </c>
      <c r="AA1185" t="str">
        <f t="shared" si="181"/>
        <v>20–29</v>
      </c>
      <c r="AB1185" t="str">
        <f t="shared" si="182"/>
        <v>20–29</v>
      </c>
      <c r="AC1185" t="str">
        <f t="shared" si="183"/>
        <v>Monday</v>
      </c>
      <c r="AD1185" t="str">
        <f t="shared" si="184"/>
        <v/>
      </c>
      <c r="AE1185" t="str">
        <f t="shared" si="185"/>
        <v>Wednesday</v>
      </c>
      <c r="AF1185" t="str">
        <f t="shared" si="186"/>
        <v/>
      </c>
      <c r="AG1185" t="str">
        <f t="shared" si="187"/>
        <v/>
      </c>
      <c r="AH1185" t="str">
        <f t="shared" si="188"/>
        <v>Saturday</v>
      </c>
      <c r="AI1185" t="str">
        <f t="shared" si="189"/>
        <v/>
      </c>
      <c r="AJ1185" t="str">
        <f>LEFT(Table1[[#This Row],[membership_type]],2)&amp;TEXT(Table1[[#This Row],[age]],"00")&amp;"-"&amp;TEXT(ROW(),"000")</f>
        <v>Pr21-1185</v>
      </c>
      <c r="AK1185" t="str">
        <f>LEFT(Table1[[#This Row],[membership_type]],1)&amp;TEXT(MATCH(Table1[[#This Row],[membership_type]],Table1[membership_type],0),"00")</f>
        <v>P01</v>
      </c>
      <c r="AL1185" t="str">
        <f>LEFT(Table1[[#This Row],[discount_type]],1)&amp;TEXT(ROUND(Table1[[#This Row],[discount_rate]]*100,0),"00")</f>
        <v>N00</v>
      </c>
      <c r="AM1185" t="str" cm="1">
        <f t="array" ref="AM1185">TEXT(SUMPRODUCT(CODE(MID(Table1[[#This Row],[home_gym_location]],_xlfn.SEQUENCE(LEN(Table1[[#This Row],[home_gym_location]])),1))),"00000")</f>
        <v>00899</v>
      </c>
      <c r="AN118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85" t="str">
        <f>LEFT(_xlfn.TEXTBEFORE(Table1[[#This Row],[Location Identifier]],"-"),3) &amp; "-" &amp; _xlfn.TEXTAFTER(Table1[[#This Row],[Location Identifier]],"-")</f>
        <v>ANA-001</v>
      </c>
      <c r="AP1185" s="9">
        <f t="shared" ca="1" si="180"/>
        <v>45869</v>
      </c>
    </row>
    <row r="1186" spans="1:42" x14ac:dyDescent="0.25">
      <c r="A1186">
        <v>27</v>
      </c>
      <c r="B1186" t="s">
        <v>51</v>
      </c>
      <c r="C1186">
        <v>3</v>
      </c>
      <c r="D1186" t="s">
        <v>106</v>
      </c>
      <c r="E1186" t="b">
        <v>1</v>
      </c>
      <c r="F1186" s="1">
        <v>0.42499999999999999</v>
      </c>
      <c r="G1186" s="1">
        <v>0.44791666666666669</v>
      </c>
      <c r="H1186">
        <v>33</v>
      </c>
      <c r="I1186" t="b">
        <v>1</v>
      </c>
      <c r="J1186" t="b">
        <v>1</v>
      </c>
      <c r="K1186" t="b">
        <v>1</v>
      </c>
      <c r="L1186" t="s">
        <v>58</v>
      </c>
      <c r="M1186">
        <v>70</v>
      </c>
      <c r="N1186" t="s">
        <v>29</v>
      </c>
      <c r="O1186">
        <v>70</v>
      </c>
      <c r="P1186" t="s">
        <v>36</v>
      </c>
      <c r="Q1186">
        <v>0</v>
      </c>
      <c r="R1186">
        <v>70</v>
      </c>
      <c r="S1186" t="s">
        <v>53</v>
      </c>
      <c r="T1186" t="s">
        <v>59</v>
      </c>
      <c r="U1186">
        <v>37.774900000000002</v>
      </c>
      <c r="V1186">
        <v>-122.4194</v>
      </c>
      <c r="W1186" s="2">
        <v>44832</v>
      </c>
      <c r="X1186">
        <v>5</v>
      </c>
      <c r="Y1186" t="b">
        <v>1</v>
      </c>
      <c r="Z1186" s="2">
        <v>45804</v>
      </c>
      <c r="AA1186" t="str">
        <f t="shared" si="181"/>
        <v>20–29</v>
      </c>
      <c r="AB1186" t="str">
        <f t="shared" si="182"/>
        <v>20–29</v>
      </c>
      <c r="AC1186" t="str">
        <f t="shared" si="183"/>
        <v/>
      </c>
      <c r="AD1186" t="str">
        <f t="shared" si="184"/>
        <v/>
      </c>
      <c r="AE1186" t="str">
        <f t="shared" si="185"/>
        <v>Wednesday</v>
      </c>
      <c r="AF1186" t="str">
        <f t="shared" si="186"/>
        <v>Thursday</v>
      </c>
      <c r="AG1186" t="str">
        <f t="shared" si="187"/>
        <v>Friday</v>
      </c>
      <c r="AH1186" t="str">
        <f t="shared" si="188"/>
        <v/>
      </c>
      <c r="AI1186" t="str">
        <f t="shared" si="189"/>
        <v/>
      </c>
      <c r="AJ1186" t="str">
        <f>LEFT(Table1[[#This Row],[membership_type]],2)&amp;TEXT(Table1[[#This Row],[age]],"00")&amp;"-"&amp;TEXT(ROW(),"000")</f>
        <v>El27-1186</v>
      </c>
      <c r="AK1186" t="str">
        <f>LEFT(Table1[[#This Row],[membership_type]],1)&amp;TEXT(MATCH(Table1[[#This Row],[membership_type]],Table1[membership_type],0),"00")</f>
        <v>E07</v>
      </c>
      <c r="AL1186" t="str">
        <f>LEFT(Table1[[#This Row],[discount_type]],1)&amp;TEXT(ROUND(Table1[[#This Row],[discount_rate]]*100,0),"00")</f>
        <v>N00</v>
      </c>
      <c r="AM1186" t="str" cm="1">
        <f t="array" ref="AM1186">TEXT(SUMPRODUCT(CODE(MID(Table1[[#This Row],[home_gym_location]],_xlfn.SEQUENCE(LEN(Table1[[#This Row],[home_gym_location]])),1))),"00000")</f>
        <v>01450</v>
      </c>
      <c r="AN118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86" t="str">
        <f>LEFT(_xlfn.TEXTBEFORE(Table1[[#This Row],[Location Identifier]],"-"),3) &amp; "-" &amp; _xlfn.TEXTAFTER(Table1[[#This Row],[Location Identifier]],"-")</f>
        <v>SAN-009</v>
      </c>
      <c r="AP1186" s="9">
        <f t="shared" ca="1" si="180"/>
        <v>45869</v>
      </c>
    </row>
    <row r="1187" spans="1:42" x14ac:dyDescent="0.25">
      <c r="A1187">
        <v>20</v>
      </c>
      <c r="B1187" t="s">
        <v>26</v>
      </c>
      <c r="C1187">
        <v>3</v>
      </c>
      <c r="D1187" t="s">
        <v>125</v>
      </c>
      <c r="E1187" t="b">
        <v>0</v>
      </c>
      <c r="F1187" s="1">
        <v>0.43888888888888888</v>
      </c>
      <c r="G1187" s="1">
        <v>0.46458333333333335</v>
      </c>
      <c r="H1187">
        <v>37</v>
      </c>
      <c r="I1187" t="b">
        <v>0</v>
      </c>
      <c r="J1187" t="b">
        <v>0</v>
      </c>
      <c r="K1187" t="b">
        <v>1</v>
      </c>
      <c r="L1187" t="s">
        <v>62</v>
      </c>
      <c r="M1187">
        <v>50</v>
      </c>
      <c r="N1187" t="s">
        <v>29</v>
      </c>
      <c r="O1187">
        <v>50</v>
      </c>
      <c r="P1187" t="s">
        <v>74</v>
      </c>
      <c r="Q1187">
        <v>0.15</v>
      </c>
      <c r="R1187">
        <v>42.5</v>
      </c>
      <c r="S1187" t="s">
        <v>31</v>
      </c>
      <c r="T1187" t="s">
        <v>59</v>
      </c>
      <c r="U1187">
        <v>37.774900000000002</v>
      </c>
      <c r="V1187">
        <v>-122.4194</v>
      </c>
      <c r="W1187" s="2">
        <v>45098</v>
      </c>
      <c r="X1187">
        <v>0</v>
      </c>
      <c r="Y1187" t="b">
        <v>0</v>
      </c>
      <c r="Z1187" s="2">
        <v>45819</v>
      </c>
      <c r="AA1187" t="str">
        <f t="shared" si="181"/>
        <v>20–29</v>
      </c>
      <c r="AB1187" t="str">
        <f t="shared" si="182"/>
        <v>20–29</v>
      </c>
      <c r="AC1187" t="str">
        <f t="shared" si="183"/>
        <v/>
      </c>
      <c r="AD1187" t="str">
        <f t="shared" si="184"/>
        <v/>
      </c>
      <c r="AE1187" t="str">
        <f t="shared" si="185"/>
        <v/>
      </c>
      <c r="AF1187" t="str">
        <f t="shared" si="186"/>
        <v>Thursday</v>
      </c>
      <c r="AG1187" t="str">
        <f t="shared" si="187"/>
        <v/>
      </c>
      <c r="AH1187" t="str">
        <f t="shared" si="188"/>
        <v>Saturday</v>
      </c>
      <c r="AI1187" t="str">
        <f t="shared" si="189"/>
        <v>Sunday</v>
      </c>
      <c r="AJ1187" t="str">
        <f>LEFT(Table1[[#This Row],[membership_type]],2)&amp;TEXT(Table1[[#This Row],[age]],"00")&amp;"-"&amp;TEXT(ROW(),"000")</f>
        <v>Pr20-1187</v>
      </c>
      <c r="AK1187" t="str">
        <f>LEFT(Table1[[#This Row],[membership_type]],1)&amp;TEXT(MATCH(Table1[[#This Row],[membership_type]],Table1[membership_type],0),"00")</f>
        <v>P01</v>
      </c>
      <c r="AL1187" t="str">
        <f>LEFT(Table1[[#This Row],[discount_type]],1)&amp;TEXT(ROUND(Table1[[#This Row],[discount_rate]]*100,0),"00")</f>
        <v>S15</v>
      </c>
      <c r="AM1187" t="str" cm="1">
        <f t="array" ref="AM1187">TEXT(SUMPRODUCT(CODE(MID(Table1[[#This Row],[home_gym_location]],_xlfn.SEQUENCE(LEN(Table1[[#This Row],[home_gym_location]])),1))),"00000")</f>
        <v>01450</v>
      </c>
      <c r="AN118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187" t="str">
        <f>LEFT(_xlfn.TEXTBEFORE(Table1[[#This Row],[Location Identifier]],"-"),3) &amp; "-" &amp; _xlfn.TEXTAFTER(Table1[[#This Row],[Location Identifier]],"-")</f>
        <v>SAN-009</v>
      </c>
      <c r="AP1187" s="9">
        <f t="shared" ca="1" si="180"/>
        <v>45869</v>
      </c>
    </row>
    <row r="1188" spans="1:42" x14ac:dyDescent="0.25">
      <c r="A1188">
        <v>41</v>
      </c>
      <c r="B1188" t="s">
        <v>42</v>
      </c>
      <c r="C1188">
        <v>2</v>
      </c>
      <c r="D1188" t="s">
        <v>84</v>
      </c>
      <c r="E1188" t="b">
        <v>1</v>
      </c>
      <c r="F1188" s="1">
        <v>0.58750000000000002</v>
      </c>
      <c r="G1188" s="1">
        <v>0.67083333333333328</v>
      </c>
      <c r="H1188">
        <v>120</v>
      </c>
      <c r="I1188" t="b">
        <v>1</v>
      </c>
      <c r="J1188" t="b">
        <v>1</v>
      </c>
      <c r="K1188" t="b">
        <v>1</v>
      </c>
      <c r="L1188" t="s">
        <v>47</v>
      </c>
      <c r="M1188">
        <v>20</v>
      </c>
      <c r="N1188" t="s">
        <v>29</v>
      </c>
      <c r="O1188">
        <v>20</v>
      </c>
      <c r="P1188" t="s">
        <v>74</v>
      </c>
      <c r="Q1188">
        <v>0.15</v>
      </c>
      <c r="R1188">
        <v>17</v>
      </c>
      <c r="S1188" t="s">
        <v>44</v>
      </c>
      <c r="T1188" t="s">
        <v>45</v>
      </c>
      <c r="U1188">
        <v>33.836599999999997</v>
      </c>
      <c r="V1188">
        <v>-117.9143</v>
      </c>
      <c r="W1188" s="2">
        <v>45758</v>
      </c>
      <c r="X1188">
        <v>8</v>
      </c>
      <c r="Y1188" t="b">
        <v>0</v>
      </c>
      <c r="Z1188" s="2">
        <v>45856</v>
      </c>
      <c r="AA1188" t="str">
        <f t="shared" si="181"/>
        <v>40–49</v>
      </c>
      <c r="AB1188" t="str">
        <f t="shared" si="182"/>
        <v>40–49</v>
      </c>
      <c r="AC1188" t="str">
        <f t="shared" si="183"/>
        <v/>
      </c>
      <c r="AD1188" t="str">
        <f t="shared" si="184"/>
        <v>Tuesday</v>
      </c>
      <c r="AE1188" t="str">
        <f t="shared" si="185"/>
        <v/>
      </c>
      <c r="AF1188" t="str">
        <f t="shared" si="186"/>
        <v/>
      </c>
      <c r="AG1188" t="str">
        <f t="shared" si="187"/>
        <v/>
      </c>
      <c r="AH1188" t="str">
        <f t="shared" si="188"/>
        <v/>
      </c>
      <c r="AI1188" t="str">
        <f t="shared" si="189"/>
        <v>Sunday</v>
      </c>
      <c r="AJ1188" t="str">
        <f>LEFT(Table1[[#This Row],[membership_type]],2)&amp;TEXT(Table1[[#This Row],[age]],"00")&amp;"-"&amp;TEXT(ROW(),"000")</f>
        <v>Ba41-1188</v>
      </c>
      <c r="AK1188" t="str">
        <f>LEFT(Table1[[#This Row],[membership_type]],1)&amp;TEXT(MATCH(Table1[[#This Row],[membership_type]],Table1[membership_type],0),"00")</f>
        <v>B04</v>
      </c>
      <c r="AL1188" t="str">
        <f>LEFT(Table1[[#This Row],[discount_type]],1)&amp;TEXT(ROUND(Table1[[#This Row],[discount_rate]]*100,0),"00")</f>
        <v>S15</v>
      </c>
      <c r="AM1188" t="str" cm="1">
        <f t="array" ref="AM1188">TEXT(SUMPRODUCT(CODE(MID(Table1[[#This Row],[home_gym_location]],_xlfn.SEQUENCE(LEN(Table1[[#This Row],[home_gym_location]])),1))),"00000")</f>
        <v>00899</v>
      </c>
      <c r="AN118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88" t="str">
        <f>LEFT(_xlfn.TEXTBEFORE(Table1[[#This Row],[Location Identifier]],"-"),3) &amp; "-" &amp; _xlfn.TEXTAFTER(Table1[[#This Row],[Location Identifier]],"-")</f>
        <v>ANA-001</v>
      </c>
      <c r="AP1188" s="9">
        <f t="shared" ca="1" si="180"/>
        <v>45869</v>
      </c>
    </row>
    <row r="1189" spans="1:42" x14ac:dyDescent="0.25">
      <c r="A1189">
        <v>29</v>
      </c>
      <c r="B1189" t="s">
        <v>33</v>
      </c>
      <c r="C1189">
        <v>1</v>
      </c>
      <c r="D1189" t="s">
        <v>63</v>
      </c>
      <c r="E1189" t="b">
        <v>1</v>
      </c>
      <c r="F1189" s="1">
        <v>0.79861111111111116</v>
      </c>
      <c r="G1189" s="1">
        <v>0.89722222222222225</v>
      </c>
      <c r="H1189">
        <v>142</v>
      </c>
      <c r="I1189" t="b">
        <v>1</v>
      </c>
      <c r="J1189" t="b">
        <v>1</v>
      </c>
      <c r="K1189" t="b">
        <v>0</v>
      </c>
      <c r="L1189" t="s">
        <v>28</v>
      </c>
      <c r="M1189">
        <v>30</v>
      </c>
      <c r="N1189" t="s">
        <v>78</v>
      </c>
      <c r="O1189">
        <v>27</v>
      </c>
      <c r="P1189" t="s">
        <v>40</v>
      </c>
      <c r="Q1189">
        <v>0.1</v>
      </c>
      <c r="R1189">
        <v>24.3</v>
      </c>
      <c r="S1189" t="s">
        <v>37</v>
      </c>
      <c r="T1189" t="s">
        <v>48</v>
      </c>
      <c r="U1189">
        <v>38.581600000000002</v>
      </c>
      <c r="V1189">
        <v>-121.4944</v>
      </c>
      <c r="W1189" s="2">
        <v>45510</v>
      </c>
      <c r="X1189">
        <v>3</v>
      </c>
      <c r="Y1189" t="b">
        <v>0</v>
      </c>
      <c r="Z1189" s="2">
        <v>45842</v>
      </c>
      <c r="AA1189" t="str">
        <f t="shared" si="181"/>
        <v>20–29</v>
      </c>
      <c r="AB1189" t="str">
        <f t="shared" si="182"/>
        <v>20–29</v>
      </c>
      <c r="AC1189" t="str">
        <f t="shared" si="183"/>
        <v/>
      </c>
      <c r="AD1189" t="str">
        <f t="shared" si="184"/>
        <v/>
      </c>
      <c r="AE1189" t="str">
        <f t="shared" si="185"/>
        <v>Wednesday</v>
      </c>
      <c r="AF1189" t="str">
        <f t="shared" si="186"/>
        <v/>
      </c>
      <c r="AG1189" t="str">
        <f t="shared" si="187"/>
        <v/>
      </c>
      <c r="AH1189" t="str">
        <f t="shared" si="188"/>
        <v/>
      </c>
      <c r="AI1189" t="str">
        <f t="shared" si="189"/>
        <v/>
      </c>
      <c r="AJ1189" t="str">
        <f>LEFT(Table1[[#This Row],[membership_type]],2)&amp;TEXT(Table1[[#This Row],[age]],"00")&amp;"-"&amp;TEXT(ROW(),"000")</f>
        <v>St29-1189</v>
      </c>
      <c r="AK1189" t="str">
        <f>LEFT(Table1[[#This Row],[membership_type]],1)&amp;TEXT(MATCH(Table1[[#This Row],[membership_type]],Table1[membership_type],0),"00")</f>
        <v>S02</v>
      </c>
      <c r="AL1189" t="str">
        <f>LEFT(Table1[[#This Row],[discount_type]],1)&amp;TEXT(ROUND(Table1[[#This Row],[discount_rate]]*100,0),"00")</f>
        <v>L10</v>
      </c>
      <c r="AM1189" t="str" cm="1">
        <f t="array" ref="AM1189">TEXT(SUMPRODUCT(CODE(MID(Table1[[#This Row],[home_gym_location]],_xlfn.SEQUENCE(LEN(Table1[[#This Row],[home_gym_location]])),1))),"00000")</f>
        <v>01245</v>
      </c>
      <c r="AN118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89" t="str">
        <f>LEFT(_xlfn.TEXTBEFORE(Table1[[#This Row],[Location Identifier]],"-"),3) &amp; "-" &amp; _xlfn.TEXTAFTER(Table1[[#This Row],[Location Identifier]],"-")</f>
        <v>SAC-007</v>
      </c>
      <c r="AP1189" s="9">
        <f t="shared" ca="1" si="180"/>
        <v>45869</v>
      </c>
    </row>
    <row r="1190" spans="1:42" x14ac:dyDescent="0.25">
      <c r="A1190">
        <v>27</v>
      </c>
      <c r="B1190" t="s">
        <v>26</v>
      </c>
      <c r="C1190">
        <v>2</v>
      </c>
      <c r="D1190" t="s">
        <v>70</v>
      </c>
      <c r="E1190" t="b">
        <v>0</v>
      </c>
      <c r="F1190" s="1">
        <v>0.86388888888888893</v>
      </c>
      <c r="G1190" s="1">
        <v>0.9145833333333333</v>
      </c>
      <c r="H1190">
        <v>73</v>
      </c>
      <c r="I1190" t="b">
        <v>0</v>
      </c>
      <c r="J1190" t="b">
        <v>1</v>
      </c>
      <c r="K1190" t="b">
        <v>1</v>
      </c>
      <c r="L1190" t="s">
        <v>28</v>
      </c>
      <c r="M1190">
        <v>50</v>
      </c>
      <c r="N1190" t="s">
        <v>29</v>
      </c>
      <c r="O1190">
        <v>50</v>
      </c>
      <c r="P1190" t="s">
        <v>36</v>
      </c>
      <c r="Q1190">
        <v>0</v>
      </c>
      <c r="R1190">
        <v>50</v>
      </c>
      <c r="S1190" t="s">
        <v>31</v>
      </c>
      <c r="T1190" t="s">
        <v>48</v>
      </c>
      <c r="U1190">
        <v>38.581600000000002</v>
      </c>
      <c r="V1190">
        <v>-121.4944</v>
      </c>
      <c r="W1190" s="2">
        <v>45076</v>
      </c>
      <c r="X1190">
        <v>6</v>
      </c>
      <c r="Y1190" t="b">
        <v>1</v>
      </c>
      <c r="Z1190" s="2">
        <v>45818</v>
      </c>
      <c r="AA1190" t="str">
        <f t="shared" si="181"/>
        <v>20–29</v>
      </c>
      <c r="AB1190" t="str">
        <f t="shared" si="182"/>
        <v>20–29</v>
      </c>
      <c r="AC1190" t="str">
        <f t="shared" si="183"/>
        <v/>
      </c>
      <c r="AD1190" t="str">
        <f t="shared" si="184"/>
        <v/>
      </c>
      <c r="AE1190" t="str">
        <f t="shared" si="185"/>
        <v>Wednesday</v>
      </c>
      <c r="AF1190" t="str">
        <f t="shared" si="186"/>
        <v>Thursday</v>
      </c>
      <c r="AG1190" t="str">
        <f t="shared" si="187"/>
        <v/>
      </c>
      <c r="AH1190" t="str">
        <f t="shared" si="188"/>
        <v/>
      </c>
      <c r="AI1190" t="str">
        <f t="shared" si="189"/>
        <v/>
      </c>
      <c r="AJ1190" t="str">
        <f>LEFT(Table1[[#This Row],[membership_type]],2)&amp;TEXT(Table1[[#This Row],[age]],"00")&amp;"-"&amp;TEXT(ROW(),"000")</f>
        <v>Pr27-1190</v>
      </c>
      <c r="AK1190" t="str">
        <f>LEFT(Table1[[#This Row],[membership_type]],1)&amp;TEXT(MATCH(Table1[[#This Row],[membership_type]],Table1[membership_type],0),"00")</f>
        <v>P01</v>
      </c>
      <c r="AL1190" t="str">
        <f>LEFT(Table1[[#This Row],[discount_type]],1)&amp;TEXT(ROUND(Table1[[#This Row],[discount_rate]]*100,0),"00")</f>
        <v>N00</v>
      </c>
      <c r="AM1190" t="str" cm="1">
        <f t="array" ref="AM1190">TEXT(SUMPRODUCT(CODE(MID(Table1[[#This Row],[home_gym_location]],_xlfn.SEQUENCE(LEN(Table1[[#This Row],[home_gym_location]])),1))),"00000")</f>
        <v>01245</v>
      </c>
      <c r="AN119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90" t="str">
        <f>LEFT(_xlfn.TEXTBEFORE(Table1[[#This Row],[Location Identifier]],"-"),3) &amp; "-" &amp; _xlfn.TEXTAFTER(Table1[[#This Row],[Location Identifier]],"-")</f>
        <v>SAC-007</v>
      </c>
      <c r="AP1190" s="9">
        <f t="shared" ca="1" si="180"/>
        <v>45869</v>
      </c>
    </row>
    <row r="1191" spans="1:42" x14ac:dyDescent="0.25">
      <c r="A1191">
        <v>39</v>
      </c>
      <c r="B1191" t="s">
        <v>26</v>
      </c>
      <c r="C1191">
        <v>2</v>
      </c>
      <c r="D1191" t="s">
        <v>123</v>
      </c>
      <c r="E1191" t="b">
        <v>0</v>
      </c>
      <c r="F1191" s="1">
        <v>0.60416666666666663</v>
      </c>
      <c r="G1191" s="1">
        <v>0.67638888888888893</v>
      </c>
      <c r="H1191">
        <v>104</v>
      </c>
      <c r="I1191" t="b">
        <v>0</v>
      </c>
      <c r="J1191" t="b">
        <v>1</v>
      </c>
      <c r="K1191" t="b">
        <v>0</v>
      </c>
      <c r="L1191" t="s">
        <v>62</v>
      </c>
      <c r="M1191">
        <v>50</v>
      </c>
      <c r="N1191" t="s">
        <v>78</v>
      </c>
      <c r="O1191">
        <v>45</v>
      </c>
      <c r="P1191" t="s">
        <v>40</v>
      </c>
      <c r="Q1191">
        <v>0.1</v>
      </c>
      <c r="R1191">
        <v>40.5</v>
      </c>
      <c r="S1191" t="s">
        <v>31</v>
      </c>
      <c r="T1191" t="s">
        <v>48</v>
      </c>
      <c r="U1191">
        <v>38.581600000000002</v>
      </c>
      <c r="V1191">
        <v>-121.4944</v>
      </c>
      <c r="W1191" s="2">
        <v>45759</v>
      </c>
      <c r="X1191">
        <v>3</v>
      </c>
      <c r="Y1191" t="b">
        <v>1</v>
      </c>
      <c r="Z1191" s="2">
        <v>45856</v>
      </c>
      <c r="AA1191" t="str">
        <f t="shared" si="181"/>
        <v>30–39</v>
      </c>
      <c r="AB1191" t="str">
        <f t="shared" si="182"/>
        <v>30–39</v>
      </c>
      <c r="AC1191" t="str">
        <f t="shared" si="183"/>
        <v>Monday</v>
      </c>
      <c r="AD1191" t="str">
        <f t="shared" si="184"/>
        <v/>
      </c>
      <c r="AE1191" t="str">
        <f t="shared" si="185"/>
        <v/>
      </c>
      <c r="AF1191" t="str">
        <f t="shared" si="186"/>
        <v/>
      </c>
      <c r="AG1191" t="str">
        <f t="shared" si="187"/>
        <v/>
      </c>
      <c r="AH1191" t="str">
        <f t="shared" si="188"/>
        <v>Saturday</v>
      </c>
      <c r="AI1191" t="str">
        <f t="shared" si="189"/>
        <v/>
      </c>
      <c r="AJ1191" t="str">
        <f>LEFT(Table1[[#This Row],[membership_type]],2)&amp;TEXT(Table1[[#This Row],[age]],"00")&amp;"-"&amp;TEXT(ROW(),"000")</f>
        <v>Pr39-1191</v>
      </c>
      <c r="AK1191" t="str">
        <f>LEFT(Table1[[#This Row],[membership_type]],1)&amp;TEXT(MATCH(Table1[[#This Row],[membership_type]],Table1[membership_type],0),"00")</f>
        <v>P01</v>
      </c>
      <c r="AL1191" t="str">
        <f>LEFT(Table1[[#This Row],[discount_type]],1)&amp;TEXT(ROUND(Table1[[#This Row],[discount_rate]]*100,0),"00")</f>
        <v>L10</v>
      </c>
      <c r="AM1191" t="str" cm="1">
        <f t="array" ref="AM1191">TEXT(SUMPRODUCT(CODE(MID(Table1[[#This Row],[home_gym_location]],_xlfn.SEQUENCE(LEN(Table1[[#This Row],[home_gym_location]])),1))),"00000")</f>
        <v>01245</v>
      </c>
      <c r="AN119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91" t="str">
        <f>LEFT(_xlfn.TEXTBEFORE(Table1[[#This Row],[Location Identifier]],"-"),3) &amp; "-" &amp; _xlfn.TEXTAFTER(Table1[[#This Row],[Location Identifier]],"-")</f>
        <v>SAC-007</v>
      </c>
      <c r="AP1191" s="9">
        <f t="shared" ca="1" si="180"/>
        <v>45869</v>
      </c>
    </row>
    <row r="1192" spans="1:42" x14ac:dyDescent="0.25">
      <c r="A1192">
        <v>46</v>
      </c>
      <c r="B1192" t="s">
        <v>26</v>
      </c>
      <c r="C1192">
        <v>3</v>
      </c>
      <c r="D1192" t="s">
        <v>117</v>
      </c>
      <c r="E1192" t="b">
        <v>1</v>
      </c>
      <c r="F1192" s="1">
        <v>0.75069444444444444</v>
      </c>
      <c r="G1192" s="1">
        <v>0.77500000000000002</v>
      </c>
      <c r="H1192">
        <v>35</v>
      </c>
      <c r="I1192" t="b">
        <v>1</v>
      </c>
      <c r="J1192" t="b">
        <v>0</v>
      </c>
      <c r="K1192" t="b">
        <v>0</v>
      </c>
      <c r="L1192" t="s">
        <v>35</v>
      </c>
      <c r="M1192">
        <v>50</v>
      </c>
      <c r="N1192" t="s">
        <v>29</v>
      </c>
      <c r="O1192">
        <v>50</v>
      </c>
      <c r="P1192" t="s">
        <v>36</v>
      </c>
      <c r="Q1192">
        <v>0</v>
      </c>
      <c r="R1192">
        <v>50</v>
      </c>
      <c r="S1192" t="s">
        <v>31</v>
      </c>
      <c r="T1192" t="s">
        <v>50</v>
      </c>
      <c r="U1192">
        <v>34.052199999999999</v>
      </c>
      <c r="V1192">
        <v>-118.2437</v>
      </c>
      <c r="W1192" s="2">
        <v>45210</v>
      </c>
      <c r="X1192">
        <v>0</v>
      </c>
      <c r="Y1192" t="b">
        <v>1</v>
      </c>
      <c r="Z1192" s="2">
        <v>45826</v>
      </c>
      <c r="AA1192" t="str">
        <f t="shared" si="181"/>
        <v>40–49</v>
      </c>
      <c r="AB1192" t="str">
        <f t="shared" si="182"/>
        <v>40–49</v>
      </c>
      <c r="AC1192" t="str">
        <f t="shared" si="183"/>
        <v/>
      </c>
      <c r="AD1192" t="str">
        <f t="shared" si="184"/>
        <v/>
      </c>
      <c r="AE1192" t="str">
        <f t="shared" si="185"/>
        <v>Wednesday</v>
      </c>
      <c r="AF1192" t="str">
        <f t="shared" si="186"/>
        <v>Thursday</v>
      </c>
      <c r="AG1192" t="str">
        <f t="shared" si="187"/>
        <v/>
      </c>
      <c r="AH1192" t="str">
        <f t="shared" si="188"/>
        <v/>
      </c>
      <c r="AI1192" t="str">
        <f t="shared" si="189"/>
        <v>Sunday</v>
      </c>
      <c r="AJ1192" t="str">
        <f>LEFT(Table1[[#This Row],[membership_type]],2)&amp;TEXT(Table1[[#This Row],[age]],"00")&amp;"-"&amp;TEXT(ROW(),"000")</f>
        <v>Pr46-1192</v>
      </c>
      <c r="AK1192" t="str">
        <f>LEFT(Table1[[#This Row],[membership_type]],1)&amp;TEXT(MATCH(Table1[[#This Row],[membership_type]],Table1[membership_type],0),"00")</f>
        <v>P01</v>
      </c>
      <c r="AL1192" t="str">
        <f>LEFT(Table1[[#This Row],[discount_type]],1)&amp;TEXT(ROUND(Table1[[#This Row],[discount_rate]]*100,0),"00")</f>
        <v>N00</v>
      </c>
      <c r="AM1192" t="str" cm="1">
        <f t="array" ref="AM1192">TEXT(SUMPRODUCT(CODE(MID(Table1[[#This Row],[home_gym_location]],_xlfn.SEQUENCE(LEN(Table1[[#This Row],[home_gym_location]])),1))),"00000")</f>
        <v>01245</v>
      </c>
      <c r="AN119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92" t="str">
        <f>LEFT(_xlfn.TEXTBEFORE(Table1[[#This Row],[Location Identifier]],"-"),3) &amp; "-" &amp; _xlfn.TEXTAFTER(Table1[[#This Row],[Location Identifier]],"-")</f>
        <v>LOS-005</v>
      </c>
      <c r="AP1192" s="9">
        <f t="shared" ca="1" si="180"/>
        <v>45869</v>
      </c>
    </row>
    <row r="1193" spans="1:42" x14ac:dyDescent="0.25">
      <c r="A1193">
        <v>14</v>
      </c>
      <c r="B1193" t="s">
        <v>51</v>
      </c>
      <c r="C1193">
        <v>5</v>
      </c>
      <c r="D1193" t="s">
        <v>104</v>
      </c>
      <c r="E1193" t="b">
        <v>1</v>
      </c>
      <c r="F1193" s="1">
        <v>0.35069444444444442</v>
      </c>
      <c r="G1193" s="1">
        <v>0.42222222222222222</v>
      </c>
      <c r="H1193">
        <v>103</v>
      </c>
      <c r="I1193" t="b">
        <v>0</v>
      </c>
      <c r="J1193" t="b">
        <v>1</v>
      </c>
      <c r="K1193" t="b">
        <v>1</v>
      </c>
      <c r="L1193" t="s">
        <v>28</v>
      </c>
      <c r="M1193">
        <v>70</v>
      </c>
      <c r="N1193" t="s">
        <v>29</v>
      </c>
      <c r="O1193">
        <v>70</v>
      </c>
      <c r="P1193" t="s">
        <v>40</v>
      </c>
      <c r="Q1193">
        <v>0.1</v>
      </c>
      <c r="R1193">
        <v>63</v>
      </c>
      <c r="S1193" t="s">
        <v>53</v>
      </c>
      <c r="T1193" t="s">
        <v>41</v>
      </c>
      <c r="U1193">
        <v>37.804400000000001</v>
      </c>
      <c r="V1193">
        <v>-122.27119999999999</v>
      </c>
      <c r="W1193" s="2">
        <v>45462</v>
      </c>
      <c r="X1193">
        <v>3</v>
      </c>
      <c r="Y1193" t="b">
        <v>0</v>
      </c>
      <c r="Z1193" s="2">
        <v>45840</v>
      </c>
      <c r="AA1193" t="str">
        <f t="shared" si="181"/>
        <v>10–19</v>
      </c>
      <c r="AB1193" t="str">
        <f t="shared" si="182"/>
        <v>Under 16</v>
      </c>
      <c r="AC1193" t="str">
        <f t="shared" si="183"/>
        <v/>
      </c>
      <c r="AD1193" t="str">
        <f t="shared" si="184"/>
        <v>Tuesday</v>
      </c>
      <c r="AE1193" t="str">
        <f t="shared" si="185"/>
        <v>Wednesday</v>
      </c>
      <c r="AF1193" t="str">
        <f t="shared" si="186"/>
        <v>Thursday</v>
      </c>
      <c r="AG1193" t="str">
        <f t="shared" si="187"/>
        <v/>
      </c>
      <c r="AH1193" t="str">
        <f t="shared" si="188"/>
        <v>Saturday</v>
      </c>
      <c r="AI1193" t="str">
        <f t="shared" si="189"/>
        <v>Sunday</v>
      </c>
      <c r="AJ1193" t="str">
        <f>LEFT(Table1[[#This Row],[membership_type]],2)&amp;TEXT(Table1[[#This Row],[age]],"00")&amp;"-"&amp;TEXT(ROW(),"000")</f>
        <v>El14-1193</v>
      </c>
      <c r="AK1193" t="str">
        <f>LEFT(Table1[[#This Row],[membership_type]],1)&amp;TEXT(MATCH(Table1[[#This Row],[membership_type]],Table1[membership_type],0),"00")</f>
        <v>E07</v>
      </c>
      <c r="AL1193" t="str">
        <f>LEFT(Table1[[#This Row],[discount_type]],1)&amp;TEXT(ROUND(Table1[[#This Row],[discount_rate]]*100,0),"00")</f>
        <v>L10</v>
      </c>
      <c r="AM1193" t="str" cm="1">
        <f t="array" ref="AM1193">TEXT(SUMPRODUCT(CODE(MID(Table1[[#This Row],[home_gym_location]],_xlfn.SEQUENCE(LEN(Table1[[#This Row],[home_gym_location]])),1))),"00000")</f>
        <v>00906</v>
      </c>
      <c r="AN119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193" t="str">
        <f>LEFT(_xlfn.TEXTBEFORE(Table1[[#This Row],[Location Identifier]],"-"),3) &amp; "-" &amp; _xlfn.TEXTAFTER(Table1[[#This Row],[Location Identifier]],"-")</f>
        <v>OAK-006</v>
      </c>
      <c r="AP1193" s="9">
        <f t="shared" ca="1" si="180"/>
        <v>45869</v>
      </c>
    </row>
    <row r="1194" spans="1:42" x14ac:dyDescent="0.25">
      <c r="A1194">
        <v>27</v>
      </c>
      <c r="B1194" t="s">
        <v>33</v>
      </c>
      <c r="C1194">
        <v>2</v>
      </c>
      <c r="D1194" t="s">
        <v>43</v>
      </c>
      <c r="E1194" t="b">
        <v>1</v>
      </c>
      <c r="F1194" s="1">
        <v>0.38194444444444442</v>
      </c>
      <c r="G1194" s="1">
        <v>0.48333333333333334</v>
      </c>
      <c r="H1194">
        <v>146</v>
      </c>
      <c r="I1194" t="b">
        <v>0</v>
      </c>
      <c r="J1194" t="b">
        <v>1</v>
      </c>
      <c r="K1194" t="b">
        <v>1</v>
      </c>
      <c r="L1194" t="s">
        <v>62</v>
      </c>
      <c r="M1194">
        <v>30</v>
      </c>
      <c r="N1194" t="s">
        <v>64</v>
      </c>
      <c r="O1194">
        <v>22.5</v>
      </c>
      <c r="P1194" t="s">
        <v>36</v>
      </c>
      <c r="Q1194">
        <v>0</v>
      </c>
      <c r="R1194">
        <v>22.5</v>
      </c>
      <c r="S1194" t="s">
        <v>37</v>
      </c>
      <c r="T1194" t="s">
        <v>54</v>
      </c>
      <c r="U1194">
        <v>32.715699999999998</v>
      </c>
      <c r="V1194">
        <v>-117.1611</v>
      </c>
      <c r="W1194" s="2">
        <v>45169</v>
      </c>
      <c r="X1194">
        <v>5</v>
      </c>
      <c r="Y1194" t="b">
        <v>1</v>
      </c>
      <c r="Z1194" s="2">
        <v>45823</v>
      </c>
      <c r="AA1194" t="str">
        <f t="shared" si="181"/>
        <v>20–29</v>
      </c>
      <c r="AB1194" t="str">
        <f t="shared" si="182"/>
        <v>20–29</v>
      </c>
      <c r="AC1194" t="str">
        <f t="shared" si="183"/>
        <v>Monday</v>
      </c>
      <c r="AD1194" t="str">
        <f t="shared" si="184"/>
        <v>Tuesday</v>
      </c>
      <c r="AE1194" t="str">
        <f t="shared" si="185"/>
        <v/>
      </c>
      <c r="AF1194" t="str">
        <f t="shared" si="186"/>
        <v/>
      </c>
      <c r="AG1194" t="str">
        <f t="shared" si="187"/>
        <v/>
      </c>
      <c r="AH1194" t="str">
        <f t="shared" si="188"/>
        <v/>
      </c>
      <c r="AI1194" t="str">
        <f t="shared" si="189"/>
        <v/>
      </c>
      <c r="AJ1194" t="str">
        <f>LEFT(Table1[[#This Row],[membership_type]],2)&amp;TEXT(Table1[[#This Row],[age]],"00")&amp;"-"&amp;TEXT(ROW(),"000")</f>
        <v>St27-1194</v>
      </c>
      <c r="AK1194" t="str">
        <f>LEFT(Table1[[#This Row],[membership_type]],1)&amp;TEXT(MATCH(Table1[[#This Row],[membership_type]],Table1[membership_type],0),"00")</f>
        <v>S02</v>
      </c>
      <c r="AL1194" t="str">
        <f>LEFT(Table1[[#This Row],[discount_type]],1)&amp;TEXT(ROUND(Table1[[#This Row],[discount_rate]]*100,0),"00")</f>
        <v>N00</v>
      </c>
      <c r="AM1194" t="str" cm="1">
        <f t="array" ref="AM1194">TEXT(SUMPRODUCT(CODE(MID(Table1[[#This Row],[home_gym_location]],_xlfn.SEQUENCE(LEN(Table1[[#This Row],[home_gym_location]])),1))),"00000")</f>
        <v>01018</v>
      </c>
      <c r="AN119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194" t="str">
        <f>LEFT(_xlfn.TEXTBEFORE(Table1[[#This Row],[Location Identifier]],"-"),3) &amp; "-" &amp; _xlfn.TEXTAFTER(Table1[[#This Row],[Location Identifier]],"-")</f>
        <v>SAN-008</v>
      </c>
      <c r="AP1194" s="9">
        <f t="shared" ca="1" si="180"/>
        <v>45869</v>
      </c>
    </row>
    <row r="1195" spans="1:42" x14ac:dyDescent="0.25">
      <c r="A1195">
        <v>15</v>
      </c>
      <c r="B1195" t="s">
        <v>26</v>
      </c>
      <c r="C1195">
        <v>1</v>
      </c>
      <c r="D1195" t="s">
        <v>97</v>
      </c>
      <c r="E1195" t="b">
        <v>0</v>
      </c>
      <c r="F1195" s="1">
        <v>0.72152777777777777</v>
      </c>
      <c r="G1195" s="1">
        <v>0.84652777777777777</v>
      </c>
      <c r="H1195">
        <v>180</v>
      </c>
      <c r="I1195" t="b">
        <v>0</v>
      </c>
      <c r="J1195" t="b">
        <v>0</v>
      </c>
      <c r="K1195" t="b">
        <v>1</v>
      </c>
      <c r="L1195" t="s">
        <v>28</v>
      </c>
      <c r="M1195">
        <v>50</v>
      </c>
      <c r="N1195" t="s">
        <v>64</v>
      </c>
      <c r="O1195">
        <v>37.5</v>
      </c>
      <c r="P1195" t="s">
        <v>30</v>
      </c>
      <c r="Q1195">
        <v>0.05</v>
      </c>
      <c r="R1195">
        <v>35.625</v>
      </c>
      <c r="S1195" t="s">
        <v>31</v>
      </c>
      <c r="T1195" t="s">
        <v>48</v>
      </c>
      <c r="U1195">
        <v>38.581600000000002</v>
      </c>
      <c r="V1195">
        <v>-121.4944</v>
      </c>
      <c r="W1195" s="2">
        <v>45782</v>
      </c>
      <c r="X1195">
        <v>0</v>
      </c>
      <c r="Y1195" t="b">
        <v>1</v>
      </c>
      <c r="Z1195" s="2">
        <v>45858</v>
      </c>
      <c r="AA1195" t="str">
        <f t="shared" si="181"/>
        <v>10–19</v>
      </c>
      <c r="AB1195" t="str">
        <f t="shared" si="182"/>
        <v>Under 16</v>
      </c>
      <c r="AC1195" t="str">
        <f t="shared" si="183"/>
        <v>Monday</v>
      </c>
      <c r="AD1195" t="str">
        <f t="shared" si="184"/>
        <v/>
      </c>
      <c r="AE1195" t="str">
        <f t="shared" si="185"/>
        <v/>
      </c>
      <c r="AF1195" t="str">
        <f t="shared" si="186"/>
        <v/>
      </c>
      <c r="AG1195" t="str">
        <f t="shared" si="187"/>
        <v/>
      </c>
      <c r="AH1195" t="str">
        <f t="shared" si="188"/>
        <v/>
      </c>
      <c r="AI1195" t="str">
        <f t="shared" si="189"/>
        <v/>
      </c>
      <c r="AJ1195" t="str">
        <f>LEFT(Table1[[#This Row],[membership_type]],2)&amp;TEXT(Table1[[#This Row],[age]],"00")&amp;"-"&amp;TEXT(ROW(),"000")</f>
        <v>Pr15-1195</v>
      </c>
      <c r="AK1195" t="str">
        <f>LEFT(Table1[[#This Row],[membership_type]],1)&amp;TEXT(MATCH(Table1[[#This Row],[membership_type]],Table1[membership_type],0),"00")</f>
        <v>P01</v>
      </c>
      <c r="AL1195" t="str">
        <f>LEFT(Table1[[#This Row],[discount_type]],1)&amp;TEXT(ROUND(Table1[[#This Row],[discount_rate]]*100,0),"00")</f>
        <v>P05</v>
      </c>
      <c r="AM1195" t="str" cm="1">
        <f t="array" ref="AM1195">TEXT(SUMPRODUCT(CODE(MID(Table1[[#This Row],[home_gym_location]],_xlfn.SEQUENCE(LEN(Table1[[#This Row],[home_gym_location]])),1))),"00000")</f>
        <v>01245</v>
      </c>
      <c r="AN119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95" t="str">
        <f>LEFT(_xlfn.TEXTBEFORE(Table1[[#This Row],[Location Identifier]],"-"),3) &amp; "-" &amp; _xlfn.TEXTAFTER(Table1[[#This Row],[Location Identifier]],"-")</f>
        <v>SAC-007</v>
      </c>
      <c r="AP1195" s="9">
        <f t="shared" ca="1" si="180"/>
        <v>45869</v>
      </c>
    </row>
    <row r="1196" spans="1:42" x14ac:dyDescent="0.25">
      <c r="A1196">
        <v>29</v>
      </c>
      <c r="B1196" t="s">
        <v>26</v>
      </c>
      <c r="C1196">
        <v>2</v>
      </c>
      <c r="D1196" t="s">
        <v>92</v>
      </c>
      <c r="E1196" t="b">
        <v>0</v>
      </c>
      <c r="F1196" s="1">
        <v>0.4597222222222222</v>
      </c>
      <c r="G1196" s="1">
        <v>0.51527777777777772</v>
      </c>
      <c r="H1196">
        <v>80</v>
      </c>
      <c r="I1196" t="b">
        <v>1</v>
      </c>
      <c r="J1196" t="b">
        <v>1</v>
      </c>
      <c r="K1196" t="b">
        <v>1</v>
      </c>
      <c r="L1196" t="s">
        <v>28</v>
      </c>
      <c r="M1196">
        <v>50</v>
      </c>
      <c r="N1196" t="s">
        <v>29</v>
      </c>
      <c r="O1196">
        <v>50</v>
      </c>
      <c r="P1196" t="s">
        <v>36</v>
      </c>
      <c r="Q1196">
        <v>0</v>
      </c>
      <c r="R1196">
        <v>50</v>
      </c>
      <c r="S1196" t="s">
        <v>31</v>
      </c>
      <c r="T1196" t="s">
        <v>50</v>
      </c>
      <c r="U1196">
        <v>34.052199999999999</v>
      </c>
      <c r="V1196">
        <v>-118.2437</v>
      </c>
      <c r="W1196" s="2">
        <v>44902</v>
      </c>
      <c r="X1196">
        <v>7</v>
      </c>
      <c r="Y1196" t="b">
        <v>1</v>
      </c>
      <c r="Z1196" s="2">
        <v>45808</v>
      </c>
      <c r="AA1196" t="str">
        <f t="shared" si="181"/>
        <v>20–29</v>
      </c>
      <c r="AB1196" t="str">
        <f t="shared" si="182"/>
        <v>20–29</v>
      </c>
      <c r="AC1196" t="str">
        <f t="shared" si="183"/>
        <v/>
      </c>
      <c r="AD1196" t="str">
        <f t="shared" si="184"/>
        <v/>
      </c>
      <c r="AE1196" t="str">
        <f t="shared" si="185"/>
        <v/>
      </c>
      <c r="AF1196" t="str">
        <f t="shared" si="186"/>
        <v/>
      </c>
      <c r="AG1196" t="str">
        <f t="shared" si="187"/>
        <v>Friday</v>
      </c>
      <c r="AH1196" t="str">
        <f t="shared" si="188"/>
        <v/>
      </c>
      <c r="AI1196" t="str">
        <f t="shared" si="189"/>
        <v>Sunday</v>
      </c>
      <c r="AJ1196" t="str">
        <f>LEFT(Table1[[#This Row],[membership_type]],2)&amp;TEXT(Table1[[#This Row],[age]],"00")&amp;"-"&amp;TEXT(ROW(),"000")</f>
        <v>Pr29-1196</v>
      </c>
      <c r="AK1196" t="str">
        <f>LEFT(Table1[[#This Row],[membership_type]],1)&amp;TEXT(MATCH(Table1[[#This Row],[membership_type]],Table1[membership_type],0),"00")</f>
        <v>P01</v>
      </c>
      <c r="AL1196" t="str">
        <f>LEFT(Table1[[#This Row],[discount_type]],1)&amp;TEXT(ROUND(Table1[[#This Row],[discount_rate]]*100,0),"00")</f>
        <v>N00</v>
      </c>
      <c r="AM1196" t="str" cm="1">
        <f t="array" ref="AM1196">TEXT(SUMPRODUCT(CODE(MID(Table1[[#This Row],[home_gym_location]],_xlfn.SEQUENCE(LEN(Table1[[#This Row],[home_gym_location]])),1))),"00000")</f>
        <v>01245</v>
      </c>
      <c r="AN119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196" t="str">
        <f>LEFT(_xlfn.TEXTBEFORE(Table1[[#This Row],[Location Identifier]],"-"),3) &amp; "-" &amp; _xlfn.TEXTAFTER(Table1[[#This Row],[Location Identifier]],"-")</f>
        <v>LOS-005</v>
      </c>
      <c r="AP1196" s="9">
        <f t="shared" ca="1" si="180"/>
        <v>45869</v>
      </c>
    </row>
    <row r="1197" spans="1:42" x14ac:dyDescent="0.25">
      <c r="A1197">
        <v>49</v>
      </c>
      <c r="B1197" t="s">
        <v>26</v>
      </c>
      <c r="C1197">
        <v>1</v>
      </c>
      <c r="D1197" t="s">
        <v>71</v>
      </c>
      <c r="E1197" t="b">
        <v>1</v>
      </c>
      <c r="F1197" s="1">
        <v>0.84930555555555554</v>
      </c>
      <c r="G1197" s="1">
        <v>0.88055555555555554</v>
      </c>
      <c r="H1197">
        <v>45</v>
      </c>
      <c r="I1197" t="b">
        <v>1</v>
      </c>
      <c r="J1197" t="b">
        <v>0</v>
      </c>
      <c r="K1197" t="b">
        <v>1</v>
      </c>
      <c r="L1197" t="s">
        <v>28</v>
      </c>
      <c r="M1197">
        <v>50</v>
      </c>
      <c r="N1197" t="s">
        <v>29</v>
      </c>
      <c r="O1197">
        <v>50</v>
      </c>
      <c r="P1197" t="s">
        <v>74</v>
      </c>
      <c r="Q1197">
        <v>0.15</v>
      </c>
      <c r="R1197">
        <v>42.5</v>
      </c>
      <c r="S1197" t="s">
        <v>31</v>
      </c>
      <c r="T1197" t="s">
        <v>32</v>
      </c>
      <c r="U1197">
        <v>37.338200000000001</v>
      </c>
      <c r="V1197">
        <v>-121.88630000000001</v>
      </c>
      <c r="W1197" s="2">
        <v>44794</v>
      </c>
      <c r="X1197">
        <v>0</v>
      </c>
      <c r="Y1197" t="b">
        <v>1</v>
      </c>
      <c r="Z1197" s="2">
        <v>45802</v>
      </c>
      <c r="AA1197" t="str">
        <f t="shared" si="181"/>
        <v>40–49</v>
      </c>
      <c r="AB1197" t="str">
        <f t="shared" si="182"/>
        <v>40–49</v>
      </c>
      <c r="AC1197" t="str">
        <f t="shared" si="183"/>
        <v/>
      </c>
      <c r="AD1197" t="str">
        <f t="shared" si="184"/>
        <v>Tuesday</v>
      </c>
      <c r="AE1197" t="str">
        <f t="shared" si="185"/>
        <v/>
      </c>
      <c r="AF1197" t="str">
        <f t="shared" si="186"/>
        <v/>
      </c>
      <c r="AG1197" t="str">
        <f t="shared" si="187"/>
        <v/>
      </c>
      <c r="AH1197" t="str">
        <f t="shared" si="188"/>
        <v/>
      </c>
      <c r="AI1197" t="str">
        <f t="shared" si="189"/>
        <v/>
      </c>
      <c r="AJ1197" t="str">
        <f>LEFT(Table1[[#This Row],[membership_type]],2)&amp;TEXT(Table1[[#This Row],[age]],"00")&amp;"-"&amp;TEXT(ROW(),"000")</f>
        <v>Pr49-1197</v>
      </c>
      <c r="AK1197" t="str">
        <f>LEFT(Table1[[#This Row],[membership_type]],1)&amp;TEXT(MATCH(Table1[[#This Row],[membership_type]],Table1[membership_type],0),"00")</f>
        <v>P01</v>
      </c>
      <c r="AL1197" t="str">
        <f>LEFT(Table1[[#This Row],[discount_type]],1)&amp;TEXT(ROUND(Table1[[#This Row],[discount_rate]]*100,0),"00")</f>
        <v>S15</v>
      </c>
      <c r="AM1197" t="str" cm="1">
        <f t="array" ref="AM1197">TEXT(SUMPRODUCT(CODE(MID(Table1[[#This Row],[home_gym_location]],_xlfn.SEQUENCE(LEN(Table1[[#This Row],[home_gym_location]])),1))),"00000")</f>
        <v>00931</v>
      </c>
      <c r="AN119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197" t="str">
        <f>LEFT(_xlfn.TEXTBEFORE(Table1[[#This Row],[Location Identifier]],"-"),3) &amp; "-" &amp; _xlfn.TEXTAFTER(Table1[[#This Row],[Location Identifier]],"-")</f>
        <v>SAN-010</v>
      </c>
      <c r="AP1197" s="9">
        <f t="shared" ca="1" si="180"/>
        <v>45869</v>
      </c>
    </row>
    <row r="1198" spans="1:42" x14ac:dyDescent="0.25">
      <c r="A1198">
        <v>38</v>
      </c>
      <c r="B1198" t="s">
        <v>42</v>
      </c>
      <c r="C1198">
        <v>1</v>
      </c>
      <c r="D1198" t="s">
        <v>71</v>
      </c>
      <c r="E1198" t="b">
        <v>0</v>
      </c>
      <c r="F1198" s="1">
        <v>0.59166666666666667</v>
      </c>
      <c r="G1198" s="1">
        <v>0.62430555555555556</v>
      </c>
      <c r="H1198">
        <v>47</v>
      </c>
      <c r="I1198" t="b">
        <v>0</v>
      </c>
      <c r="J1198" t="b">
        <v>0</v>
      </c>
      <c r="K1198" t="b">
        <v>0</v>
      </c>
      <c r="L1198" t="s">
        <v>47</v>
      </c>
      <c r="M1198">
        <v>20</v>
      </c>
      <c r="N1198" t="s">
        <v>29</v>
      </c>
      <c r="O1198">
        <v>20</v>
      </c>
      <c r="P1198" t="s">
        <v>36</v>
      </c>
      <c r="Q1198">
        <v>0</v>
      </c>
      <c r="R1198">
        <v>20</v>
      </c>
      <c r="S1198" t="s">
        <v>44</v>
      </c>
      <c r="T1198" t="s">
        <v>48</v>
      </c>
      <c r="U1198">
        <v>38.581600000000002</v>
      </c>
      <c r="V1198">
        <v>-121.4944</v>
      </c>
      <c r="W1198" s="2">
        <v>44799</v>
      </c>
      <c r="X1198">
        <v>0</v>
      </c>
      <c r="Y1198" t="b">
        <v>0</v>
      </c>
      <c r="Z1198" s="2">
        <v>45802</v>
      </c>
      <c r="AA1198" t="str">
        <f t="shared" si="181"/>
        <v>30–39</v>
      </c>
      <c r="AB1198" t="str">
        <f t="shared" si="182"/>
        <v>30–39</v>
      </c>
      <c r="AC1198" t="str">
        <f t="shared" si="183"/>
        <v/>
      </c>
      <c r="AD1198" t="str">
        <f t="shared" si="184"/>
        <v>Tuesday</v>
      </c>
      <c r="AE1198" t="str">
        <f t="shared" si="185"/>
        <v/>
      </c>
      <c r="AF1198" t="str">
        <f t="shared" si="186"/>
        <v/>
      </c>
      <c r="AG1198" t="str">
        <f t="shared" si="187"/>
        <v/>
      </c>
      <c r="AH1198" t="str">
        <f t="shared" si="188"/>
        <v/>
      </c>
      <c r="AI1198" t="str">
        <f t="shared" si="189"/>
        <v/>
      </c>
      <c r="AJ1198" t="str">
        <f>LEFT(Table1[[#This Row],[membership_type]],2)&amp;TEXT(Table1[[#This Row],[age]],"00")&amp;"-"&amp;TEXT(ROW(),"000")</f>
        <v>Ba38-1198</v>
      </c>
      <c r="AK1198" t="str">
        <f>LEFT(Table1[[#This Row],[membership_type]],1)&amp;TEXT(MATCH(Table1[[#This Row],[membership_type]],Table1[membership_type],0),"00")</f>
        <v>B04</v>
      </c>
      <c r="AL1198" t="str">
        <f>LEFT(Table1[[#This Row],[discount_type]],1)&amp;TEXT(ROUND(Table1[[#This Row],[discount_rate]]*100,0),"00")</f>
        <v>N00</v>
      </c>
      <c r="AM1198" t="str" cm="1">
        <f t="array" ref="AM1198">TEXT(SUMPRODUCT(CODE(MID(Table1[[#This Row],[home_gym_location]],_xlfn.SEQUENCE(LEN(Table1[[#This Row],[home_gym_location]])),1))),"00000")</f>
        <v>01245</v>
      </c>
      <c r="AN119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198" t="str">
        <f>LEFT(_xlfn.TEXTBEFORE(Table1[[#This Row],[Location Identifier]],"-"),3) &amp; "-" &amp; _xlfn.TEXTAFTER(Table1[[#This Row],[Location Identifier]],"-")</f>
        <v>SAC-007</v>
      </c>
      <c r="AP1198" s="9">
        <f t="shared" ca="1" si="180"/>
        <v>45869</v>
      </c>
    </row>
    <row r="1199" spans="1:42" x14ac:dyDescent="0.25">
      <c r="A1199">
        <v>28</v>
      </c>
      <c r="B1199" t="s">
        <v>33</v>
      </c>
      <c r="C1199">
        <v>5</v>
      </c>
      <c r="D1199" t="s">
        <v>152</v>
      </c>
      <c r="E1199" t="b">
        <v>0</v>
      </c>
      <c r="F1199" s="1">
        <v>0.62013888888888891</v>
      </c>
      <c r="G1199" s="1">
        <v>0.70347222222222228</v>
      </c>
      <c r="H1199">
        <v>120</v>
      </c>
      <c r="I1199" t="b">
        <v>1</v>
      </c>
      <c r="J1199" t="b">
        <v>0</v>
      </c>
      <c r="K1199" t="b">
        <v>0</v>
      </c>
      <c r="L1199" t="s">
        <v>62</v>
      </c>
      <c r="M1199">
        <v>30</v>
      </c>
      <c r="N1199" t="s">
        <v>29</v>
      </c>
      <c r="O1199">
        <v>30</v>
      </c>
      <c r="P1199" t="s">
        <v>36</v>
      </c>
      <c r="Q1199">
        <v>0</v>
      </c>
      <c r="R1199">
        <v>30</v>
      </c>
      <c r="S1199" t="s">
        <v>37</v>
      </c>
      <c r="T1199" t="s">
        <v>45</v>
      </c>
      <c r="U1199">
        <v>33.836599999999997</v>
      </c>
      <c r="V1199">
        <v>-117.9143</v>
      </c>
      <c r="W1199" s="2">
        <v>45032</v>
      </c>
      <c r="X1199">
        <v>0</v>
      </c>
      <c r="Y1199" t="b">
        <v>0</v>
      </c>
      <c r="Z1199" s="2">
        <v>45816</v>
      </c>
      <c r="AA1199" t="str">
        <f t="shared" si="181"/>
        <v>20–29</v>
      </c>
      <c r="AB1199" t="str">
        <f t="shared" si="182"/>
        <v>20–29</v>
      </c>
      <c r="AC1199" t="str">
        <f t="shared" si="183"/>
        <v>Monday</v>
      </c>
      <c r="AD1199" t="str">
        <f t="shared" si="184"/>
        <v>Tuesday</v>
      </c>
      <c r="AE1199" t="str">
        <f t="shared" si="185"/>
        <v>Wednesday</v>
      </c>
      <c r="AF1199" t="str">
        <f t="shared" si="186"/>
        <v/>
      </c>
      <c r="AG1199" t="str">
        <f t="shared" si="187"/>
        <v>Friday</v>
      </c>
      <c r="AH1199" t="str">
        <f t="shared" si="188"/>
        <v>Saturday</v>
      </c>
      <c r="AI1199" t="str">
        <f t="shared" si="189"/>
        <v/>
      </c>
      <c r="AJ1199" t="str">
        <f>LEFT(Table1[[#This Row],[membership_type]],2)&amp;TEXT(Table1[[#This Row],[age]],"00")&amp;"-"&amp;TEXT(ROW(),"000")</f>
        <v>St28-1199</v>
      </c>
      <c r="AK1199" t="str">
        <f>LEFT(Table1[[#This Row],[membership_type]],1)&amp;TEXT(MATCH(Table1[[#This Row],[membership_type]],Table1[membership_type],0),"00")</f>
        <v>S02</v>
      </c>
      <c r="AL1199" t="str">
        <f>LEFT(Table1[[#This Row],[discount_type]],1)&amp;TEXT(ROUND(Table1[[#This Row],[discount_rate]]*100,0),"00")</f>
        <v>N00</v>
      </c>
      <c r="AM1199" t="str" cm="1">
        <f t="array" ref="AM1199">TEXT(SUMPRODUCT(CODE(MID(Table1[[#This Row],[home_gym_location]],_xlfn.SEQUENCE(LEN(Table1[[#This Row],[home_gym_location]])),1))),"00000")</f>
        <v>00899</v>
      </c>
      <c r="AN119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199" t="str">
        <f>LEFT(_xlfn.TEXTBEFORE(Table1[[#This Row],[Location Identifier]],"-"),3) &amp; "-" &amp; _xlfn.TEXTAFTER(Table1[[#This Row],[Location Identifier]],"-")</f>
        <v>ANA-001</v>
      </c>
      <c r="AP1199" s="9">
        <f t="shared" ca="1" si="180"/>
        <v>45869</v>
      </c>
    </row>
    <row r="1200" spans="1:42" x14ac:dyDescent="0.25">
      <c r="A1200">
        <v>24</v>
      </c>
      <c r="B1200" t="s">
        <v>42</v>
      </c>
      <c r="C1200">
        <v>2</v>
      </c>
      <c r="D1200" t="s">
        <v>43</v>
      </c>
      <c r="E1200" t="b">
        <v>1</v>
      </c>
      <c r="F1200" s="1">
        <v>0.48541666666666666</v>
      </c>
      <c r="G1200" s="1">
        <v>0.55833333333333335</v>
      </c>
      <c r="H1200">
        <v>105</v>
      </c>
      <c r="I1200" t="b">
        <v>0</v>
      </c>
      <c r="J1200" t="b">
        <v>0</v>
      </c>
      <c r="K1200" t="b">
        <v>0</v>
      </c>
      <c r="L1200" t="s">
        <v>47</v>
      </c>
      <c r="M1200">
        <v>20</v>
      </c>
      <c r="N1200" t="s">
        <v>29</v>
      </c>
      <c r="O1200">
        <v>20</v>
      </c>
      <c r="P1200" t="s">
        <v>74</v>
      </c>
      <c r="Q1200">
        <v>0.15</v>
      </c>
      <c r="R1200">
        <v>17</v>
      </c>
      <c r="S1200" t="s">
        <v>44</v>
      </c>
      <c r="T1200" t="s">
        <v>41</v>
      </c>
      <c r="U1200">
        <v>37.804400000000001</v>
      </c>
      <c r="V1200">
        <v>-122.27119999999999</v>
      </c>
      <c r="W1200" s="2">
        <v>45692</v>
      </c>
      <c r="X1200">
        <v>0</v>
      </c>
      <c r="Y1200" t="b">
        <v>0</v>
      </c>
      <c r="Z1200" s="2">
        <v>45853</v>
      </c>
      <c r="AA1200" t="str">
        <f t="shared" si="181"/>
        <v>20–29</v>
      </c>
      <c r="AB1200" t="str">
        <f t="shared" si="182"/>
        <v>20–29</v>
      </c>
      <c r="AC1200" t="str">
        <f t="shared" si="183"/>
        <v>Monday</v>
      </c>
      <c r="AD1200" t="str">
        <f t="shared" si="184"/>
        <v>Tuesday</v>
      </c>
      <c r="AE1200" t="str">
        <f t="shared" si="185"/>
        <v/>
      </c>
      <c r="AF1200" t="str">
        <f t="shared" si="186"/>
        <v/>
      </c>
      <c r="AG1200" t="str">
        <f t="shared" si="187"/>
        <v/>
      </c>
      <c r="AH1200" t="str">
        <f t="shared" si="188"/>
        <v/>
      </c>
      <c r="AI1200" t="str">
        <f t="shared" si="189"/>
        <v/>
      </c>
      <c r="AJ1200" t="str">
        <f>LEFT(Table1[[#This Row],[membership_type]],2)&amp;TEXT(Table1[[#This Row],[age]],"00")&amp;"-"&amp;TEXT(ROW(),"000")</f>
        <v>Ba24-1200</v>
      </c>
      <c r="AK1200" t="str">
        <f>LEFT(Table1[[#This Row],[membership_type]],1)&amp;TEXT(MATCH(Table1[[#This Row],[membership_type]],Table1[membership_type],0),"00")</f>
        <v>B04</v>
      </c>
      <c r="AL1200" t="str">
        <f>LEFT(Table1[[#This Row],[discount_type]],1)&amp;TEXT(ROUND(Table1[[#This Row],[discount_rate]]*100,0),"00")</f>
        <v>S15</v>
      </c>
      <c r="AM1200" t="str" cm="1">
        <f t="array" ref="AM1200">TEXT(SUMPRODUCT(CODE(MID(Table1[[#This Row],[home_gym_location]],_xlfn.SEQUENCE(LEN(Table1[[#This Row],[home_gym_location]])),1))),"00000")</f>
        <v>00906</v>
      </c>
      <c r="AN120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00" t="str">
        <f>LEFT(_xlfn.TEXTBEFORE(Table1[[#This Row],[Location Identifier]],"-"),3) &amp; "-" &amp; _xlfn.TEXTAFTER(Table1[[#This Row],[Location Identifier]],"-")</f>
        <v>OAK-006</v>
      </c>
      <c r="AP1200" s="9">
        <f t="shared" ca="1" si="180"/>
        <v>45869</v>
      </c>
    </row>
    <row r="1201" spans="1:42" x14ac:dyDescent="0.25">
      <c r="A1201">
        <v>40</v>
      </c>
      <c r="B1201" t="s">
        <v>26</v>
      </c>
      <c r="C1201">
        <v>5</v>
      </c>
      <c r="D1201" t="s">
        <v>104</v>
      </c>
      <c r="E1201" t="b">
        <v>0</v>
      </c>
      <c r="F1201" s="1">
        <v>0.34930555555555554</v>
      </c>
      <c r="G1201" s="1">
        <v>0.38819444444444445</v>
      </c>
      <c r="H1201">
        <v>56</v>
      </c>
      <c r="I1201" t="b">
        <v>0</v>
      </c>
      <c r="J1201" t="b">
        <v>0</v>
      </c>
      <c r="K1201" t="b">
        <v>0</v>
      </c>
      <c r="L1201" t="s">
        <v>28</v>
      </c>
      <c r="M1201">
        <v>50</v>
      </c>
      <c r="N1201" t="s">
        <v>64</v>
      </c>
      <c r="O1201">
        <v>37.5</v>
      </c>
      <c r="P1201" t="s">
        <v>36</v>
      </c>
      <c r="Q1201">
        <v>0</v>
      </c>
      <c r="R1201">
        <v>37.5</v>
      </c>
      <c r="S1201" t="s">
        <v>31</v>
      </c>
      <c r="T1201" t="s">
        <v>56</v>
      </c>
      <c r="U1201">
        <v>35.3733</v>
      </c>
      <c r="V1201">
        <v>-119.0187</v>
      </c>
      <c r="W1201" s="2">
        <v>45023</v>
      </c>
      <c r="X1201">
        <v>0</v>
      </c>
      <c r="Y1201" t="b">
        <v>1</v>
      </c>
      <c r="Z1201" s="2">
        <v>45815</v>
      </c>
      <c r="AA1201" t="str">
        <f t="shared" si="181"/>
        <v>40–49</v>
      </c>
      <c r="AB1201" t="str">
        <f t="shared" si="182"/>
        <v>40–49</v>
      </c>
      <c r="AC1201" t="str">
        <f t="shared" si="183"/>
        <v/>
      </c>
      <c r="AD1201" t="str">
        <f t="shared" si="184"/>
        <v>Tuesday</v>
      </c>
      <c r="AE1201" t="str">
        <f t="shared" si="185"/>
        <v>Wednesday</v>
      </c>
      <c r="AF1201" t="str">
        <f t="shared" si="186"/>
        <v>Thursday</v>
      </c>
      <c r="AG1201" t="str">
        <f t="shared" si="187"/>
        <v/>
      </c>
      <c r="AH1201" t="str">
        <f t="shared" si="188"/>
        <v>Saturday</v>
      </c>
      <c r="AI1201" t="str">
        <f t="shared" si="189"/>
        <v>Sunday</v>
      </c>
      <c r="AJ1201" t="str">
        <f>LEFT(Table1[[#This Row],[membership_type]],2)&amp;TEXT(Table1[[#This Row],[age]],"00")&amp;"-"&amp;TEXT(ROW(),"000")</f>
        <v>Pr40-1201</v>
      </c>
      <c r="AK1201" t="str">
        <f>LEFT(Table1[[#This Row],[membership_type]],1)&amp;TEXT(MATCH(Table1[[#This Row],[membership_type]],Table1[membership_type],0),"00")</f>
        <v>P01</v>
      </c>
      <c r="AL1201" t="str">
        <f>LEFT(Table1[[#This Row],[discount_type]],1)&amp;TEXT(ROUND(Table1[[#This Row],[discount_rate]]*100,0),"00")</f>
        <v>N00</v>
      </c>
      <c r="AM1201" t="str" cm="1">
        <f t="array" ref="AM1201">TEXT(SUMPRODUCT(CODE(MID(Table1[[#This Row],[home_gym_location]],_xlfn.SEQUENCE(LEN(Table1[[#This Row],[home_gym_location]])),1))),"00000")</f>
        <v>01324</v>
      </c>
      <c r="AN120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01" t="str">
        <f>LEFT(_xlfn.TEXTBEFORE(Table1[[#This Row],[Location Identifier]],"-"),3) &amp; "-" &amp; _xlfn.TEXTAFTER(Table1[[#This Row],[Location Identifier]],"-")</f>
        <v>BAK-002</v>
      </c>
      <c r="AP1201" s="9">
        <f t="shared" ca="1" si="180"/>
        <v>45869</v>
      </c>
    </row>
    <row r="1202" spans="1:42" x14ac:dyDescent="0.25">
      <c r="A1202">
        <v>32</v>
      </c>
      <c r="B1202" t="s">
        <v>42</v>
      </c>
      <c r="C1202">
        <v>3</v>
      </c>
      <c r="D1202" t="s">
        <v>124</v>
      </c>
      <c r="E1202" t="b">
        <v>0</v>
      </c>
      <c r="F1202" s="1">
        <v>0.34236111111111112</v>
      </c>
      <c r="G1202" s="1">
        <v>0.37916666666666665</v>
      </c>
      <c r="H1202">
        <v>53</v>
      </c>
      <c r="I1202" t="b">
        <v>1</v>
      </c>
      <c r="J1202" t="b">
        <v>0</v>
      </c>
      <c r="K1202" t="b">
        <v>0</v>
      </c>
      <c r="L1202" t="s">
        <v>28</v>
      </c>
      <c r="M1202">
        <v>20</v>
      </c>
      <c r="N1202" t="s">
        <v>64</v>
      </c>
      <c r="O1202">
        <v>15</v>
      </c>
      <c r="P1202" t="s">
        <v>36</v>
      </c>
      <c r="Q1202">
        <v>0</v>
      </c>
      <c r="R1202">
        <v>15</v>
      </c>
      <c r="S1202" t="s">
        <v>44</v>
      </c>
      <c r="T1202" t="s">
        <v>59</v>
      </c>
      <c r="U1202">
        <v>37.774900000000002</v>
      </c>
      <c r="V1202">
        <v>-122.4194</v>
      </c>
      <c r="W1202" s="2">
        <v>45804</v>
      </c>
      <c r="X1202">
        <v>0</v>
      </c>
      <c r="Y1202" t="b">
        <v>0</v>
      </c>
      <c r="Z1202" s="2">
        <v>45859</v>
      </c>
      <c r="AA1202" t="str">
        <f t="shared" si="181"/>
        <v>30–39</v>
      </c>
      <c r="AB1202" t="str">
        <f t="shared" si="182"/>
        <v>30–39</v>
      </c>
      <c r="AC1202" t="str">
        <f t="shared" si="183"/>
        <v>Monday</v>
      </c>
      <c r="AD1202" t="str">
        <f t="shared" si="184"/>
        <v/>
      </c>
      <c r="AE1202" t="str">
        <f t="shared" si="185"/>
        <v/>
      </c>
      <c r="AF1202" t="str">
        <f t="shared" si="186"/>
        <v>Thursday</v>
      </c>
      <c r="AG1202" t="str">
        <f t="shared" si="187"/>
        <v>Friday</v>
      </c>
      <c r="AH1202" t="str">
        <f t="shared" si="188"/>
        <v/>
      </c>
      <c r="AI1202" t="str">
        <f t="shared" si="189"/>
        <v/>
      </c>
      <c r="AJ1202" t="str">
        <f>LEFT(Table1[[#This Row],[membership_type]],2)&amp;TEXT(Table1[[#This Row],[age]],"00")&amp;"-"&amp;TEXT(ROW(),"000")</f>
        <v>Ba32-1202</v>
      </c>
      <c r="AK1202" t="str">
        <f>LEFT(Table1[[#This Row],[membership_type]],1)&amp;TEXT(MATCH(Table1[[#This Row],[membership_type]],Table1[membership_type],0),"00")</f>
        <v>B04</v>
      </c>
      <c r="AL1202" t="str">
        <f>LEFT(Table1[[#This Row],[discount_type]],1)&amp;TEXT(ROUND(Table1[[#This Row],[discount_rate]]*100,0),"00")</f>
        <v>N00</v>
      </c>
      <c r="AM1202" t="str" cm="1">
        <f t="array" ref="AM1202">TEXT(SUMPRODUCT(CODE(MID(Table1[[#This Row],[home_gym_location]],_xlfn.SEQUENCE(LEN(Table1[[#This Row],[home_gym_location]])),1))),"00000")</f>
        <v>01450</v>
      </c>
      <c r="AN120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02" t="str">
        <f>LEFT(_xlfn.TEXTBEFORE(Table1[[#This Row],[Location Identifier]],"-"),3) &amp; "-" &amp; _xlfn.TEXTAFTER(Table1[[#This Row],[Location Identifier]],"-")</f>
        <v>SAN-009</v>
      </c>
      <c r="AP1202" s="9">
        <f t="shared" ca="1" si="180"/>
        <v>45869</v>
      </c>
    </row>
    <row r="1203" spans="1:42" x14ac:dyDescent="0.25">
      <c r="A1203">
        <v>43</v>
      </c>
      <c r="B1203" t="s">
        <v>33</v>
      </c>
      <c r="C1203">
        <v>5</v>
      </c>
      <c r="D1203" t="s">
        <v>137</v>
      </c>
      <c r="E1203" t="b">
        <v>0</v>
      </c>
      <c r="F1203" s="1">
        <v>0.53472222222222221</v>
      </c>
      <c r="G1203" s="1">
        <v>0.63888888888888884</v>
      </c>
      <c r="H1203">
        <v>150</v>
      </c>
      <c r="I1203" t="b">
        <v>1</v>
      </c>
      <c r="J1203" t="b">
        <v>1</v>
      </c>
      <c r="K1203" t="b">
        <v>1</v>
      </c>
      <c r="L1203" t="s">
        <v>28</v>
      </c>
      <c r="M1203">
        <v>30</v>
      </c>
      <c r="N1203" t="s">
        <v>78</v>
      </c>
      <c r="O1203">
        <v>27</v>
      </c>
      <c r="P1203" t="s">
        <v>36</v>
      </c>
      <c r="Q1203">
        <v>0</v>
      </c>
      <c r="R1203">
        <v>27</v>
      </c>
      <c r="S1203" t="s">
        <v>37</v>
      </c>
      <c r="T1203" t="s">
        <v>59</v>
      </c>
      <c r="U1203">
        <v>37.774900000000002</v>
      </c>
      <c r="V1203">
        <v>-122.4194</v>
      </c>
      <c r="W1203" s="2">
        <v>45807</v>
      </c>
      <c r="X1203">
        <v>6</v>
      </c>
      <c r="Y1203" t="b">
        <v>1</v>
      </c>
      <c r="Z1203" s="2">
        <v>45859</v>
      </c>
      <c r="AA1203" t="str">
        <f t="shared" si="181"/>
        <v>40–49</v>
      </c>
      <c r="AB1203" t="str">
        <f t="shared" si="182"/>
        <v>40–49</v>
      </c>
      <c r="AC1203" t="str">
        <f t="shared" si="183"/>
        <v>Monday</v>
      </c>
      <c r="AD1203" t="str">
        <f t="shared" si="184"/>
        <v>Tuesday</v>
      </c>
      <c r="AE1203" t="str">
        <f t="shared" si="185"/>
        <v>Wednesday</v>
      </c>
      <c r="AF1203" t="str">
        <f t="shared" si="186"/>
        <v/>
      </c>
      <c r="AG1203" t="str">
        <f t="shared" si="187"/>
        <v/>
      </c>
      <c r="AH1203" t="str">
        <f t="shared" si="188"/>
        <v>Saturday</v>
      </c>
      <c r="AI1203" t="str">
        <f t="shared" si="189"/>
        <v>Sunday</v>
      </c>
      <c r="AJ1203" t="str">
        <f>LEFT(Table1[[#This Row],[membership_type]],2)&amp;TEXT(Table1[[#This Row],[age]],"00")&amp;"-"&amp;TEXT(ROW(),"000")</f>
        <v>St43-1203</v>
      </c>
      <c r="AK1203" t="str">
        <f>LEFT(Table1[[#This Row],[membership_type]],1)&amp;TEXT(MATCH(Table1[[#This Row],[membership_type]],Table1[membership_type],0),"00")</f>
        <v>S02</v>
      </c>
      <c r="AL1203" t="str">
        <f>LEFT(Table1[[#This Row],[discount_type]],1)&amp;TEXT(ROUND(Table1[[#This Row],[discount_rate]]*100,0),"00")</f>
        <v>N00</v>
      </c>
      <c r="AM1203" t="str" cm="1">
        <f t="array" ref="AM1203">TEXT(SUMPRODUCT(CODE(MID(Table1[[#This Row],[home_gym_location]],_xlfn.SEQUENCE(LEN(Table1[[#This Row],[home_gym_location]])),1))),"00000")</f>
        <v>01450</v>
      </c>
      <c r="AN120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03" t="str">
        <f>LEFT(_xlfn.TEXTBEFORE(Table1[[#This Row],[Location Identifier]],"-"),3) &amp; "-" &amp; _xlfn.TEXTAFTER(Table1[[#This Row],[Location Identifier]],"-")</f>
        <v>SAN-009</v>
      </c>
      <c r="AP1203" s="9">
        <f t="shared" ca="1" si="180"/>
        <v>45869</v>
      </c>
    </row>
    <row r="1204" spans="1:42" x14ac:dyDescent="0.25">
      <c r="A1204">
        <v>30</v>
      </c>
      <c r="B1204" t="s">
        <v>42</v>
      </c>
      <c r="C1204">
        <v>3</v>
      </c>
      <c r="D1204" t="s">
        <v>60</v>
      </c>
      <c r="E1204" t="b">
        <v>1</v>
      </c>
      <c r="F1204" s="1">
        <v>0.46458333333333335</v>
      </c>
      <c r="G1204" s="1">
        <v>0.51736111111111116</v>
      </c>
      <c r="H1204">
        <v>76</v>
      </c>
      <c r="I1204" t="b">
        <v>1</v>
      </c>
      <c r="J1204" t="b">
        <v>0</v>
      </c>
      <c r="K1204" t="b">
        <v>1</v>
      </c>
      <c r="L1204" t="s">
        <v>62</v>
      </c>
      <c r="M1204">
        <v>20</v>
      </c>
      <c r="N1204" t="s">
        <v>29</v>
      </c>
      <c r="O1204">
        <v>20</v>
      </c>
      <c r="P1204" t="s">
        <v>36</v>
      </c>
      <c r="Q1204">
        <v>0</v>
      </c>
      <c r="R1204">
        <v>20</v>
      </c>
      <c r="S1204" t="s">
        <v>44</v>
      </c>
      <c r="T1204" t="s">
        <v>48</v>
      </c>
      <c r="U1204">
        <v>38.581600000000002</v>
      </c>
      <c r="V1204">
        <v>-121.4944</v>
      </c>
      <c r="W1204" s="2">
        <v>45486</v>
      </c>
      <c r="X1204">
        <v>0</v>
      </c>
      <c r="Y1204" t="b">
        <v>0</v>
      </c>
      <c r="Z1204" s="2">
        <v>45841</v>
      </c>
      <c r="AA1204" t="str">
        <f t="shared" si="181"/>
        <v>30–39</v>
      </c>
      <c r="AB1204" t="str">
        <f t="shared" si="182"/>
        <v>30–39</v>
      </c>
      <c r="AC1204" t="str">
        <f t="shared" si="183"/>
        <v/>
      </c>
      <c r="AD1204" t="str">
        <f t="shared" si="184"/>
        <v/>
      </c>
      <c r="AE1204" t="str">
        <f t="shared" si="185"/>
        <v>Wednesday</v>
      </c>
      <c r="AF1204" t="str">
        <f t="shared" si="186"/>
        <v/>
      </c>
      <c r="AG1204" t="str">
        <f t="shared" si="187"/>
        <v/>
      </c>
      <c r="AH1204" t="str">
        <f t="shared" si="188"/>
        <v>Saturday</v>
      </c>
      <c r="AI1204" t="str">
        <f t="shared" si="189"/>
        <v>Sunday</v>
      </c>
      <c r="AJ1204" t="str">
        <f>LEFT(Table1[[#This Row],[membership_type]],2)&amp;TEXT(Table1[[#This Row],[age]],"00")&amp;"-"&amp;TEXT(ROW(),"000")</f>
        <v>Ba30-1204</v>
      </c>
      <c r="AK1204" t="str">
        <f>LEFT(Table1[[#This Row],[membership_type]],1)&amp;TEXT(MATCH(Table1[[#This Row],[membership_type]],Table1[membership_type],0),"00")</f>
        <v>B04</v>
      </c>
      <c r="AL1204" t="str">
        <f>LEFT(Table1[[#This Row],[discount_type]],1)&amp;TEXT(ROUND(Table1[[#This Row],[discount_rate]]*100,0),"00")</f>
        <v>N00</v>
      </c>
      <c r="AM1204" t="str" cm="1">
        <f t="array" ref="AM1204">TEXT(SUMPRODUCT(CODE(MID(Table1[[#This Row],[home_gym_location]],_xlfn.SEQUENCE(LEN(Table1[[#This Row],[home_gym_location]])),1))),"00000")</f>
        <v>01245</v>
      </c>
      <c r="AN120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04" t="str">
        <f>LEFT(_xlfn.TEXTBEFORE(Table1[[#This Row],[Location Identifier]],"-"),3) &amp; "-" &amp; _xlfn.TEXTAFTER(Table1[[#This Row],[Location Identifier]],"-")</f>
        <v>SAC-007</v>
      </c>
      <c r="AP1204" s="9">
        <f t="shared" ca="1" si="180"/>
        <v>45869</v>
      </c>
    </row>
    <row r="1205" spans="1:42" x14ac:dyDescent="0.25">
      <c r="A1205">
        <v>17</v>
      </c>
      <c r="B1205" t="s">
        <v>33</v>
      </c>
      <c r="C1205">
        <v>3</v>
      </c>
      <c r="D1205" t="s">
        <v>82</v>
      </c>
      <c r="E1205" t="b">
        <v>0</v>
      </c>
      <c r="F1205" s="1">
        <v>0.75138888888888888</v>
      </c>
      <c r="G1205" s="1">
        <v>0.8256944444444444</v>
      </c>
      <c r="H1205">
        <v>107</v>
      </c>
      <c r="I1205" t="b">
        <v>0</v>
      </c>
      <c r="J1205" t="b">
        <v>0</v>
      </c>
      <c r="K1205" t="b">
        <v>1</v>
      </c>
      <c r="L1205" t="s">
        <v>62</v>
      </c>
      <c r="M1205">
        <v>30</v>
      </c>
      <c r="N1205" t="s">
        <v>29</v>
      </c>
      <c r="O1205">
        <v>30</v>
      </c>
      <c r="P1205" t="s">
        <v>74</v>
      </c>
      <c r="Q1205">
        <v>0.15</v>
      </c>
      <c r="R1205">
        <v>25.5</v>
      </c>
      <c r="S1205" t="s">
        <v>37</v>
      </c>
      <c r="T1205" t="s">
        <v>45</v>
      </c>
      <c r="U1205">
        <v>33.836599999999997</v>
      </c>
      <c r="V1205">
        <v>-117.9143</v>
      </c>
      <c r="W1205" s="2">
        <v>45310</v>
      </c>
      <c r="X1205">
        <v>0</v>
      </c>
      <c r="Y1205" t="b">
        <v>0</v>
      </c>
      <c r="Z1205" s="2">
        <v>45831</v>
      </c>
      <c r="AA1205" t="str">
        <f t="shared" si="181"/>
        <v>10–19</v>
      </c>
      <c r="AB1205" t="str">
        <f t="shared" si="182"/>
        <v>16–19</v>
      </c>
      <c r="AC1205" t="str">
        <f t="shared" si="183"/>
        <v/>
      </c>
      <c r="AD1205" t="str">
        <f t="shared" si="184"/>
        <v/>
      </c>
      <c r="AE1205" t="str">
        <f t="shared" si="185"/>
        <v/>
      </c>
      <c r="AF1205" t="str">
        <f t="shared" si="186"/>
        <v/>
      </c>
      <c r="AG1205" t="str">
        <f t="shared" si="187"/>
        <v>Friday</v>
      </c>
      <c r="AH1205" t="str">
        <f t="shared" si="188"/>
        <v>Saturday</v>
      </c>
      <c r="AI1205" t="str">
        <f t="shared" si="189"/>
        <v>Sunday</v>
      </c>
      <c r="AJ1205" t="str">
        <f>LEFT(Table1[[#This Row],[membership_type]],2)&amp;TEXT(Table1[[#This Row],[age]],"00")&amp;"-"&amp;TEXT(ROW(),"000")</f>
        <v>St17-1205</v>
      </c>
      <c r="AK1205" t="str">
        <f>LEFT(Table1[[#This Row],[membership_type]],1)&amp;TEXT(MATCH(Table1[[#This Row],[membership_type]],Table1[membership_type],0),"00")</f>
        <v>S02</v>
      </c>
      <c r="AL1205" t="str">
        <f>LEFT(Table1[[#This Row],[discount_type]],1)&amp;TEXT(ROUND(Table1[[#This Row],[discount_rate]]*100,0),"00")</f>
        <v>S15</v>
      </c>
      <c r="AM1205" t="str" cm="1">
        <f t="array" ref="AM1205">TEXT(SUMPRODUCT(CODE(MID(Table1[[#This Row],[home_gym_location]],_xlfn.SEQUENCE(LEN(Table1[[#This Row],[home_gym_location]])),1))),"00000")</f>
        <v>00899</v>
      </c>
      <c r="AN120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05" t="str">
        <f>LEFT(_xlfn.TEXTBEFORE(Table1[[#This Row],[Location Identifier]],"-"),3) &amp; "-" &amp; _xlfn.TEXTAFTER(Table1[[#This Row],[Location Identifier]],"-")</f>
        <v>ANA-001</v>
      </c>
      <c r="AP1205" s="9">
        <f t="shared" ca="1" si="180"/>
        <v>45869</v>
      </c>
    </row>
    <row r="1206" spans="1:42" x14ac:dyDescent="0.25">
      <c r="A1206">
        <v>27</v>
      </c>
      <c r="B1206" t="s">
        <v>26</v>
      </c>
      <c r="C1206">
        <v>2</v>
      </c>
      <c r="D1206" t="s">
        <v>70</v>
      </c>
      <c r="E1206" t="b">
        <v>0</v>
      </c>
      <c r="F1206" s="1">
        <v>0.86388888888888893</v>
      </c>
      <c r="G1206" s="1">
        <v>0.9145833333333333</v>
      </c>
      <c r="H1206">
        <v>73</v>
      </c>
      <c r="I1206" t="b">
        <v>0</v>
      </c>
      <c r="J1206" t="b">
        <v>1</v>
      </c>
      <c r="K1206" t="b">
        <v>1</v>
      </c>
      <c r="L1206" t="s">
        <v>28</v>
      </c>
      <c r="M1206">
        <v>50</v>
      </c>
      <c r="N1206" t="s">
        <v>29</v>
      </c>
      <c r="O1206">
        <v>50</v>
      </c>
      <c r="P1206" t="s">
        <v>36</v>
      </c>
      <c r="Q1206">
        <v>0</v>
      </c>
      <c r="R1206">
        <v>50</v>
      </c>
      <c r="S1206" t="s">
        <v>31</v>
      </c>
      <c r="T1206" t="s">
        <v>48</v>
      </c>
      <c r="U1206">
        <v>38.581600000000002</v>
      </c>
      <c r="V1206">
        <v>-121.4944</v>
      </c>
      <c r="W1206" s="2">
        <v>45010</v>
      </c>
      <c r="X1206">
        <v>5</v>
      </c>
      <c r="Y1206" t="b">
        <v>0</v>
      </c>
      <c r="Z1206" s="2">
        <v>45814</v>
      </c>
      <c r="AA1206" t="str">
        <f t="shared" si="181"/>
        <v>20–29</v>
      </c>
      <c r="AB1206" t="str">
        <f t="shared" si="182"/>
        <v>20–29</v>
      </c>
      <c r="AC1206" t="str">
        <f t="shared" si="183"/>
        <v/>
      </c>
      <c r="AD1206" t="str">
        <f t="shared" si="184"/>
        <v/>
      </c>
      <c r="AE1206" t="str">
        <f t="shared" si="185"/>
        <v>Wednesday</v>
      </c>
      <c r="AF1206" t="str">
        <f t="shared" si="186"/>
        <v>Thursday</v>
      </c>
      <c r="AG1206" t="str">
        <f t="shared" si="187"/>
        <v/>
      </c>
      <c r="AH1206" t="str">
        <f t="shared" si="188"/>
        <v/>
      </c>
      <c r="AI1206" t="str">
        <f t="shared" si="189"/>
        <v/>
      </c>
      <c r="AJ1206" t="str">
        <f>LEFT(Table1[[#This Row],[membership_type]],2)&amp;TEXT(Table1[[#This Row],[age]],"00")&amp;"-"&amp;TEXT(ROW(),"000")</f>
        <v>Pr27-1206</v>
      </c>
      <c r="AK1206" t="str">
        <f>LEFT(Table1[[#This Row],[membership_type]],1)&amp;TEXT(MATCH(Table1[[#This Row],[membership_type]],Table1[membership_type],0),"00")</f>
        <v>P01</v>
      </c>
      <c r="AL1206" t="str">
        <f>LEFT(Table1[[#This Row],[discount_type]],1)&amp;TEXT(ROUND(Table1[[#This Row],[discount_rate]]*100,0),"00")</f>
        <v>N00</v>
      </c>
      <c r="AM1206" t="str" cm="1">
        <f t="array" ref="AM1206">TEXT(SUMPRODUCT(CODE(MID(Table1[[#This Row],[home_gym_location]],_xlfn.SEQUENCE(LEN(Table1[[#This Row],[home_gym_location]])),1))),"00000")</f>
        <v>01245</v>
      </c>
      <c r="AN120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06" t="str">
        <f>LEFT(_xlfn.TEXTBEFORE(Table1[[#This Row],[Location Identifier]],"-"),3) &amp; "-" &amp; _xlfn.TEXTAFTER(Table1[[#This Row],[Location Identifier]],"-")</f>
        <v>SAC-007</v>
      </c>
      <c r="AP1206" s="9">
        <f t="shared" ca="1" si="180"/>
        <v>45869</v>
      </c>
    </row>
    <row r="1207" spans="1:42" x14ac:dyDescent="0.25">
      <c r="A1207">
        <v>48</v>
      </c>
      <c r="B1207" t="s">
        <v>33</v>
      </c>
      <c r="C1207">
        <v>3</v>
      </c>
      <c r="D1207" t="s">
        <v>114</v>
      </c>
      <c r="E1207" t="b">
        <v>0</v>
      </c>
      <c r="F1207" s="1">
        <v>0.64722222222222225</v>
      </c>
      <c r="G1207" s="1">
        <v>0.68402777777777779</v>
      </c>
      <c r="H1207">
        <v>53</v>
      </c>
      <c r="I1207" t="b">
        <v>1</v>
      </c>
      <c r="J1207" t="b">
        <v>1</v>
      </c>
      <c r="K1207" t="b">
        <v>1</v>
      </c>
      <c r="L1207" t="s">
        <v>28</v>
      </c>
      <c r="M1207">
        <v>30</v>
      </c>
      <c r="N1207" t="s">
        <v>29</v>
      </c>
      <c r="O1207">
        <v>30</v>
      </c>
      <c r="P1207" t="s">
        <v>40</v>
      </c>
      <c r="Q1207">
        <v>0.1</v>
      </c>
      <c r="R1207">
        <v>27</v>
      </c>
      <c r="S1207" t="s">
        <v>37</v>
      </c>
      <c r="T1207" t="s">
        <v>38</v>
      </c>
      <c r="U1207">
        <v>36.7378</v>
      </c>
      <c r="V1207">
        <v>-119.7871</v>
      </c>
      <c r="W1207" s="2">
        <v>45103</v>
      </c>
      <c r="X1207">
        <v>1</v>
      </c>
      <c r="Y1207" t="b">
        <v>1</v>
      </c>
      <c r="Z1207" s="2">
        <v>45820</v>
      </c>
      <c r="AA1207" t="str">
        <f t="shared" si="181"/>
        <v>40–49</v>
      </c>
      <c r="AB1207" t="str">
        <f t="shared" si="182"/>
        <v>40–49</v>
      </c>
      <c r="AC1207" t="str">
        <f t="shared" si="183"/>
        <v>Monday</v>
      </c>
      <c r="AD1207" t="str">
        <f t="shared" si="184"/>
        <v>Tuesday</v>
      </c>
      <c r="AE1207" t="str">
        <f t="shared" si="185"/>
        <v>Wednesday</v>
      </c>
      <c r="AF1207" t="str">
        <f t="shared" si="186"/>
        <v/>
      </c>
      <c r="AG1207" t="str">
        <f t="shared" si="187"/>
        <v/>
      </c>
      <c r="AH1207" t="str">
        <f t="shared" si="188"/>
        <v/>
      </c>
      <c r="AI1207" t="str">
        <f t="shared" si="189"/>
        <v/>
      </c>
      <c r="AJ1207" t="str">
        <f>LEFT(Table1[[#This Row],[membership_type]],2)&amp;TEXT(Table1[[#This Row],[age]],"00")&amp;"-"&amp;TEXT(ROW(),"000")</f>
        <v>St48-1207</v>
      </c>
      <c r="AK1207" t="str">
        <f>LEFT(Table1[[#This Row],[membership_type]],1)&amp;TEXT(MATCH(Table1[[#This Row],[membership_type]],Table1[membership_type],0),"00")</f>
        <v>S02</v>
      </c>
      <c r="AL1207" t="str">
        <f>LEFT(Table1[[#This Row],[discount_type]],1)&amp;TEXT(ROUND(Table1[[#This Row],[discount_rate]]*100,0),"00")</f>
        <v>L10</v>
      </c>
      <c r="AM1207" t="str" cm="1">
        <f t="array" ref="AM1207">TEXT(SUMPRODUCT(CODE(MID(Table1[[#This Row],[home_gym_location]],_xlfn.SEQUENCE(LEN(Table1[[#This Row],[home_gym_location]])),1))),"00000")</f>
        <v>00829</v>
      </c>
      <c r="AN1207" t="str">
        <f>UPPER(_xlfn.TEXTBEFORE(Table1[[#This Row],[home_gym_location]],","))&amp;"-"&amp;TEXT(MATCH(Table1[[#This Row],[home_gym_location]],_xlfn._xlws.SORT(_xlfn.UNIQUE(Table1[home_gym_location])),0),"000")</f>
        <v>FRESNO-003</v>
      </c>
      <c r="AO1207" t="str">
        <f>LEFT(_xlfn.TEXTBEFORE(Table1[[#This Row],[Location Identifier]],"-"),3) &amp; "-" &amp; _xlfn.TEXTAFTER(Table1[[#This Row],[Location Identifier]],"-")</f>
        <v>FRE-003</v>
      </c>
      <c r="AP1207" s="9">
        <f t="shared" ca="1" si="180"/>
        <v>45869</v>
      </c>
    </row>
    <row r="1208" spans="1:42" x14ac:dyDescent="0.25">
      <c r="A1208">
        <v>24</v>
      </c>
      <c r="B1208" t="s">
        <v>33</v>
      </c>
      <c r="C1208">
        <v>2</v>
      </c>
      <c r="D1208" t="s">
        <v>61</v>
      </c>
      <c r="E1208" t="b">
        <v>1</v>
      </c>
      <c r="F1208" s="1">
        <v>0.49027777777777776</v>
      </c>
      <c r="G1208" s="1">
        <v>0.61319444444444449</v>
      </c>
      <c r="H1208">
        <v>177</v>
      </c>
      <c r="I1208" t="b">
        <v>0</v>
      </c>
      <c r="J1208" t="b">
        <v>0</v>
      </c>
      <c r="K1208" t="b">
        <v>1</v>
      </c>
      <c r="L1208" t="s">
        <v>62</v>
      </c>
      <c r="M1208">
        <v>30</v>
      </c>
      <c r="N1208" t="s">
        <v>64</v>
      </c>
      <c r="O1208">
        <v>22.5</v>
      </c>
      <c r="P1208" t="s">
        <v>40</v>
      </c>
      <c r="Q1208">
        <v>0.1</v>
      </c>
      <c r="R1208">
        <v>20.25</v>
      </c>
      <c r="S1208" t="s">
        <v>37</v>
      </c>
      <c r="T1208" t="s">
        <v>50</v>
      </c>
      <c r="U1208">
        <v>34.052199999999999</v>
      </c>
      <c r="V1208">
        <v>-118.2437</v>
      </c>
      <c r="W1208" s="2">
        <v>45356</v>
      </c>
      <c r="X1208">
        <v>0</v>
      </c>
      <c r="Y1208" t="b">
        <v>0</v>
      </c>
      <c r="Z1208" s="2">
        <v>45834</v>
      </c>
      <c r="AA1208" t="str">
        <f t="shared" si="181"/>
        <v>20–29</v>
      </c>
      <c r="AB1208" t="str">
        <f t="shared" si="182"/>
        <v>20–29</v>
      </c>
      <c r="AC1208" t="str">
        <f t="shared" si="183"/>
        <v/>
      </c>
      <c r="AD1208" t="str">
        <f t="shared" si="184"/>
        <v>Tuesday</v>
      </c>
      <c r="AE1208" t="str">
        <f t="shared" si="185"/>
        <v/>
      </c>
      <c r="AF1208" t="str">
        <f t="shared" si="186"/>
        <v/>
      </c>
      <c r="AG1208" t="str">
        <f t="shared" si="187"/>
        <v/>
      </c>
      <c r="AH1208" t="str">
        <f t="shared" si="188"/>
        <v>Saturday</v>
      </c>
      <c r="AI1208" t="str">
        <f t="shared" si="189"/>
        <v/>
      </c>
      <c r="AJ1208" t="str">
        <f>LEFT(Table1[[#This Row],[membership_type]],2)&amp;TEXT(Table1[[#This Row],[age]],"00")&amp;"-"&amp;TEXT(ROW(),"000")</f>
        <v>St24-1208</v>
      </c>
      <c r="AK1208" t="str">
        <f>LEFT(Table1[[#This Row],[membership_type]],1)&amp;TEXT(MATCH(Table1[[#This Row],[membership_type]],Table1[membership_type],0),"00")</f>
        <v>S02</v>
      </c>
      <c r="AL1208" t="str">
        <f>LEFT(Table1[[#This Row],[discount_type]],1)&amp;TEXT(ROUND(Table1[[#This Row],[discount_rate]]*100,0),"00")</f>
        <v>L10</v>
      </c>
      <c r="AM1208" t="str" cm="1">
        <f t="array" ref="AM1208">TEXT(SUMPRODUCT(CODE(MID(Table1[[#This Row],[home_gym_location]],_xlfn.SEQUENCE(LEN(Table1[[#This Row],[home_gym_location]])),1))),"00000")</f>
        <v>01245</v>
      </c>
      <c r="AN120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08" t="str">
        <f>LEFT(_xlfn.TEXTBEFORE(Table1[[#This Row],[Location Identifier]],"-"),3) &amp; "-" &amp; _xlfn.TEXTAFTER(Table1[[#This Row],[Location Identifier]],"-")</f>
        <v>LOS-005</v>
      </c>
      <c r="AP1208" s="9">
        <f t="shared" ca="1" si="180"/>
        <v>45869</v>
      </c>
    </row>
    <row r="1209" spans="1:42" x14ac:dyDescent="0.25">
      <c r="A1209">
        <v>45</v>
      </c>
      <c r="B1209" t="s">
        <v>33</v>
      </c>
      <c r="C1209">
        <v>2</v>
      </c>
      <c r="D1209" t="s">
        <v>88</v>
      </c>
      <c r="E1209" t="b">
        <v>1</v>
      </c>
      <c r="F1209" s="1">
        <v>0.59722222222222221</v>
      </c>
      <c r="G1209" s="1">
        <v>0.72222222222222221</v>
      </c>
      <c r="H1209">
        <v>180</v>
      </c>
      <c r="I1209" t="b">
        <v>1</v>
      </c>
      <c r="J1209" t="b">
        <v>1</v>
      </c>
      <c r="K1209" t="b">
        <v>1</v>
      </c>
      <c r="L1209" t="s">
        <v>62</v>
      </c>
      <c r="M1209">
        <v>30</v>
      </c>
      <c r="N1209" t="s">
        <v>64</v>
      </c>
      <c r="O1209">
        <v>22.5</v>
      </c>
      <c r="P1209" t="s">
        <v>40</v>
      </c>
      <c r="Q1209">
        <v>0.1</v>
      </c>
      <c r="R1209">
        <v>20.25</v>
      </c>
      <c r="S1209" t="s">
        <v>37</v>
      </c>
      <c r="T1209" t="s">
        <v>45</v>
      </c>
      <c r="U1209">
        <v>33.836599999999997</v>
      </c>
      <c r="V1209">
        <v>-117.9143</v>
      </c>
      <c r="W1209" s="2">
        <v>45539</v>
      </c>
      <c r="X1209">
        <v>8</v>
      </c>
      <c r="Y1209" t="b">
        <v>0</v>
      </c>
      <c r="Z1209" s="2">
        <v>45844</v>
      </c>
      <c r="AA1209" t="str">
        <f t="shared" si="181"/>
        <v>40–49</v>
      </c>
      <c r="AB1209" t="str">
        <f t="shared" si="182"/>
        <v>40–49</v>
      </c>
      <c r="AC1209" t="str">
        <f t="shared" si="183"/>
        <v>Monday</v>
      </c>
      <c r="AD1209" t="str">
        <f t="shared" si="184"/>
        <v/>
      </c>
      <c r="AE1209" t="str">
        <f t="shared" si="185"/>
        <v>Wednesday</v>
      </c>
      <c r="AF1209" t="str">
        <f t="shared" si="186"/>
        <v/>
      </c>
      <c r="AG1209" t="str">
        <f t="shared" si="187"/>
        <v/>
      </c>
      <c r="AH1209" t="str">
        <f t="shared" si="188"/>
        <v/>
      </c>
      <c r="AI1209" t="str">
        <f t="shared" si="189"/>
        <v/>
      </c>
      <c r="AJ1209" t="str">
        <f>LEFT(Table1[[#This Row],[membership_type]],2)&amp;TEXT(Table1[[#This Row],[age]],"00")&amp;"-"&amp;TEXT(ROW(),"000")</f>
        <v>St45-1209</v>
      </c>
      <c r="AK1209" t="str">
        <f>LEFT(Table1[[#This Row],[membership_type]],1)&amp;TEXT(MATCH(Table1[[#This Row],[membership_type]],Table1[membership_type],0),"00")</f>
        <v>S02</v>
      </c>
      <c r="AL1209" t="str">
        <f>LEFT(Table1[[#This Row],[discount_type]],1)&amp;TEXT(ROUND(Table1[[#This Row],[discount_rate]]*100,0),"00")</f>
        <v>L10</v>
      </c>
      <c r="AM1209" t="str" cm="1">
        <f t="array" ref="AM1209">TEXT(SUMPRODUCT(CODE(MID(Table1[[#This Row],[home_gym_location]],_xlfn.SEQUENCE(LEN(Table1[[#This Row],[home_gym_location]])),1))),"00000")</f>
        <v>00899</v>
      </c>
      <c r="AN120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09" t="str">
        <f>LEFT(_xlfn.TEXTBEFORE(Table1[[#This Row],[Location Identifier]],"-"),3) &amp; "-" &amp; _xlfn.TEXTAFTER(Table1[[#This Row],[Location Identifier]],"-")</f>
        <v>ANA-001</v>
      </c>
      <c r="AP1209" s="9">
        <f t="shared" ca="1" si="180"/>
        <v>45869</v>
      </c>
    </row>
    <row r="1210" spans="1:42" x14ac:dyDescent="0.25">
      <c r="A1210">
        <v>42</v>
      </c>
      <c r="B1210" t="s">
        <v>26</v>
      </c>
      <c r="C1210">
        <v>1</v>
      </c>
      <c r="D1210" t="s">
        <v>67</v>
      </c>
      <c r="E1210" t="b">
        <v>1</v>
      </c>
      <c r="F1210" s="1">
        <v>0.53611111111111109</v>
      </c>
      <c r="G1210" s="1">
        <v>0.59583333333333333</v>
      </c>
      <c r="H1210">
        <v>86</v>
      </c>
      <c r="I1210" t="b">
        <v>0</v>
      </c>
      <c r="J1210" t="b">
        <v>0</v>
      </c>
      <c r="K1210" t="b">
        <v>0</v>
      </c>
      <c r="L1210" t="s">
        <v>62</v>
      </c>
      <c r="M1210">
        <v>50</v>
      </c>
      <c r="N1210" t="s">
        <v>29</v>
      </c>
      <c r="O1210">
        <v>50</v>
      </c>
      <c r="P1210" t="s">
        <v>40</v>
      </c>
      <c r="Q1210">
        <v>0.1</v>
      </c>
      <c r="R1210">
        <v>45</v>
      </c>
      <c r="S1210" t="s">
        <v>31</v>
      </c>
      <c r="T1210" t="s">
        <v>65</v>
      </c>
      <c r="U1210">
        <v>33.770099999999999</v>
      </c>
      <c r="V1210">
        <v>-118.19370000000001</v>
      </c>
      <c r="W1210" s="2">
        <v>44769</v>
      </c>
      <c r="X1210">
        <v>0</v>
      </c>
      <c r="Y1210" t="b">
        <v>1</v>
      </c>
      <c r="Z1210" s="2">
        <v>45801</v>
      </c>
      <c r="AA1210" t="str">
        <f t="shared" si="181"/>
        <v>40–49</v>
      </c>
      <c r="AB1210" t="str">
        <f t="shared" si="182"/>
        <v>40–49</v>
      </c>
      <c r="AC1210" t="str">
        <f t="shared" si="183"/>
        <v/>
      </c>
      <c r="AD1210" t="str">
        <f t="shared" si="184"/>
        <v/>
      </c>
      <c r="AE1210" t="str">
        <f t="shared" si="185"/>
        <v/>
      </c>
      <c r="AF1210" t="str">
        <f t="shared" si="186"/>
        <v>Thursday</v>
      </c>
      <c r="AG1210" t="str">
        <f t="shared" si="187"/>
        <v/>
      </c>
      <c r="AH1210" t="str">
        <f t="shared" si="188"/>
        <v/>
      </c>
      <c r="AI1210" t="str">
        <f t="shared" si="189"/>
        <v/>
      </c>
      <c r="AJ1210" t="str">
        <f>LEFT(Table1[[#This Row],[membership_type]],2)&amp;TEXT(Table1[[#This Row],[age]],"00")&amp;"-"&amp;TEXT(ROW(),"000")</f>
        <v>Pr42-1210</v>
      </c>
      <c r="AK1210" t="str">
        <f>LEFT(Table1[[#This Row],[membership_type]],1)&amp;TEXT(MATCH(Table1[[#This Row],[membership_type]],Table1[membership_type],0),"00")</f>
        <v>P01</v>
      </c>
      <c r="AL1210" t="str">
        <f>LEFT(Table1[[#This Row],[discount_type]],1)&amp;TEXT(ROUND(Table1[[#This Row],[discount_rate]]*100,0),"00")</f>
        <v>L10</v>
      </c>
      <c r="AM1210" t="str" cm="1">
        <f t="array" ref="AM1210">TEXT(SUMPRODUCT(CODE(MID(Table1[[#This Row],[home_gym_location]],_xlfn.SEQUENCE(LEN(Table1[[#This Row],[home_gym_location]])),1))),"00000")</f>
        <v>01107</v>
      </c>
      <c r="AN121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10" t="str">
        <f>LEFT(_xlfn.TEXTBEFORE(Table1[[#This Row],[Location Identifier]],"-"),3) &amp; "-" &amp; _xlfn.TEXTAFTER(Table1[[#This Row],[Location Identifier]],"-")</f>
        <v>LON-004</v>
      </c>
      <c r="AP1210" s="9">
        <f t="shared" ca="1" si="180"/>
        <v>45869</v>
      </c>
    </row>
    <row r="1211" spans="1:42" x14ac:dyDescent="0.25">
      <c r="A1211">
        <v>23</v>
      </c>
      <c r="B1211" t="s">
        <v>42</v>
      </c>
      <c r="C1211">
        <v>5</v>
      </c>
      <c r="D1211" t="s">
        <v>118</v>
      </c>
      <c r="E1211" t="b">
        <v>0</v>
      </c>
      <c r="F1211" s="1">
        <v>0.58125000000000004</v>
      </c>
      <c r="G1211" s="1">
        <v>0.68472222222222223</v>
      </c>
      <c r="H1211">
        <v>149</v>
      </c>
      <c r="I1211" t="b">
        <v>1</v>
      </c>
      <c r="J1211" t="b">
        <v>0</v>
      </c>
      <c r="K1211" t="b">
        <v>0</v>
      </c>
      <c r="L1211" t="s">
        <v>28</v>
      </c>
      <c r="M1211">
        <v>20</v>
      </c>
      <c r="N1211" t="s">
        <v>29</v>
      </c>
      <c r="O1211">
        <v>20</v>
      </c>
      <c r="P1211" t="s">
        <v>36</v>
      </c>
      <c r="Q1211">
        <v>0</v>
      </c>
      <c r="R1211">
        <v>20</v>
      </c>
      <c r="S1211" t="s">
        <v>44</v>
      </c>
      <c r="T1211" t="s">
        <v>32</v>
      </c>
      <c r="U1211">
        <v>37.338200000000001</v>
      </c>
      <c r="V1211">
        <v>-121.88630000000001</v>
      </c>
      <c r="W1211" s="2">
        <v>45377</v>
      </c>
      <c r="X1211">
        <v>0</v>
      </c>
      <c r="Y1211" t="b">
        <v>1</v>
      </c>
      <c r="Z1211" s="2">
        <v>45835</v>
      </c>
      <c r="AA1211" t="str">
        <f t="shared" si="181"/>
        <v>20–29</v>
      </c>
      <c r="AB1211" t="str">
        <f t="shared" si="182"/>
        <v>20–29</v>
      </c>
      <c r="AC1211" t="str">
        <f t="shared" si="183"/>
        <v>Monday</v>
      </c>
      <c r="AD1211" t="str">
        <f t="shared" si="184"/>
        <v/>
      </c>
      <c r="AE1211" t="str">
        <f t="shared" si="185"/>
        <v>Wednesday</v>
      </c>
      <c r="AF1211" t="str">
        <f t="shared" si="186"/>
        <v>Thursday</v>
      </c>
      <c r="AG1211" t="str">
        <f t="shared" si="187"/>
        <v>Friday</v>
      </c>
      <c r="AH1211" t="str">
        <f t="shared" si="188"/>
        <v>Saturday</v>
      </c>
      <c r="AI1211" t="str">
        <f t="shared" si="189"/>
        <v/>
      </c>
      <c r="AJ1211" t="str">
        <f>LEFT(Table1[[#This Row],[membership_type]],2)&amp;TEXT(Table1[[#This Row],[age]],"00")&amp;"-"&amp;TEXT(ROW(),"000")</f>
        <v>Ba23-1211</v>
      </c>
      <c r="AK1211" t="str">
        <f>LEFT(Table1[[#This Row],[membership_type]],1)&amp;TEXT(MATCH(Table1[[#This Row],[membership_type]],Table1[membership_type],0),"00")</f>
        <v>B04</v>
      </c>
      <c r="AL1211" t="str">
        <f>LEFT(Table1[[#This Row],[discount_type]],1)&amp;TEXT(ROUND(Table1[[#This Row],[discount_rate]]*100,0),"00")</f>
        <v>N00</v>
      </c>
      <c r="AM1211" t="str" cm="1">
        <f t="array" ref="AM1211">TEXT(SUMPRODUCT(CODE(MID(Table1[[#This Row],[home_gym_location]],_xlfn.SEQUENCE(LEN(Table1[[#This Row],[home_gym_location]])),1))),"00000")</f>
        <v>00931</v>
      </c>
      <c r="AN121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11" t="str">
        <f>LEFT(_xlfn.TEXTBEFORE(Table1[[#This Row],[Location Identifier]],"-"),3) &amp; "-" &amp; _xlfn.TEXTAFTER(Table1[[#This Row],[Location Identifier]],"-")</f>
        <v>SAN-010</v>
      </c>
      <c r="AP1211" s="9">
        <f t="shared" ca="1" si="180"/>
        <v>45869</v>
      </c>
    </row>
    <row r="1212" spans="1:42" x14ac:dyDescent="0.25">
      <c r="A1212">
        <v>27</v>
      </c>
      <c r="B1212" t="s">
        <v>33</v>
      </c>
      <c r="C1212">
        <v>1</v>
      </c>
      <c r="D1212" t="s">
        <v>97</v>
      </c>
      <c r="E1212" t="b">
        <v>0</v>
      </c>
      <c r="F1212" s="1">
        <v>0.52083333333333337</v>
      </c>
      <c r="G1212" s="1">
        <v>0.54722222222222228</v>
      </c>
      <c r="H1212">
        <v>38</v>
      </c>
      <c r="I1212" t="b">
        <v>1</v>
      </c>
      <c r="J1212" t="b">
        <v>0</v>
      </c>
      <c r="K1212" t="b">
        <v>0</v>
      </c>
      <c r="L1212" t="s">
        <v>28</v>
      </c>
      <c r="M1212">
        <v>30</v>
      </c>
      <c r="N1212" t="s">
        <v>78</v>
      </c>
      <c r="O1212">
        <v>27</v>
      </c>
      <c r="P1212" t="s">
        <v>36</v>
      </c>
      <c r="Q1212">
        <v>0</v>
      </c>
      <c r="R1212">
        <v>27</v>
      </c>
      <c r="S1212" t="s">
        <v>37</v>
      </c>
      <c r="T1212" t="s">
        <v>54</v>
      </c>
      <c r="U1212">
        <v>32.715699999999998</v>
      </c>
      <c r="V1212">
        <v>-117.1611</v>
      </c>
      <c r="W1212" s="2">
        <v>45350</v>
      </c>
      <c r="X1212">
        <v>0</v>
      </c>
      <c r="Y1212" t="b">
        <v>1</v>
      </c>
      <c r="Z1212" s="2">
        <v>45833</v>
      </c>
      <c r="AA1212" t="str">
        <f t="shared" si="181"/>
        <v>20–29</v>
      </c>
      <c r="AB1212" t="str">
        <f t="shared" si="182"/>
        <v>20–29</v>
      </c>
      <c r="AC1212" t="str">
        <f t="shared" si="183"/>
        <v>Monday</v>
      </c>
      <c r="AD1212" t="str">
        <f t="shared" si="184"/>
        <v/>
      </c>
      <c r="AE1212" t="str">
        <f t="shared" si="185"/>
        <v/>
      </c>
      <c r="AF1212" t="str">
        <f t="shared" si="186"/>
        <v/>
      </c>
      <c r="AG1212" t="str">
        <f t="shared" si="187"/>
        <v/>
      </c>
      <c r="AH1212" t="str">
        <f t="shared" si="188"/>
        <v/>
      </c>
      <c r="AI1212" t="str">
        <f t="shared" si="189"/>
        <v/>
      </c>
      <c r="AJ1212" t="str">
        <f>LEFT(Table1[[#This Row],[membership_type]],2)&amp;TEXT(Table1[[#This Row],[age]],"00")&amp;"-"&amp;TEXT(ROW(),"000")</f>
        <v>St27-1212</v>
      </c>
      <c r="AK1212" t="str">
        <f>LEFT(Table1[[#This Row],[membership_type]],1)&amp;TEXT(MATCH(Table1[[#This Row],[membership_type]],Table1[membership_type],0),"00")</f>
        <v>S02</v>
      </c>
      <c r="AL1212" t="str">
        <f>LEFT(Table1[[#This Row],[discount_type]],1)&amp;TEXT(ROUND(Table1[[#This Row],[discount_rate]]*100,0),"00")</f>
        <v>N00</v>
      </c>
      <c r="AM1212" t="str" cm="1">
        <f t="array" ref="AM1212">TEXT(SUMPRODUCT(CODE(MID(Table1[[#This Row],[home_gym_location]],_xlfn.SEQUENCE(LEN(Table1[[#This Row],[home_gym_location]])),1))),"00000")</f>
        <v>01018</v>
      </c>
      <c r="AN121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12" t="str">
        <f>LEFT(_xlfn.TEXTBEFORE(Table1[[#This Row],[Location Identifier]],"-"),3) &amp; "-" &amp; _xlfn.TEXTAFTER(Table1[[#This Row],[Location Identifier]],"-")</f>
        <v>SAN-008</v>
      </c>
      <c r="AP1212" s="9">
        <f t="shared" ca="1" si="180"/>
        <v>45869</v>
      </c>
    </row>
    <row r="1213" spans="1:42" x14ac:dyDescent="0.25">
      <c r="A1213">
        <v>24</v>
      </c>
      <c r="B1213" t="s">
        <v>33</v>
      </c>
      <c r="C1213">
        <v>3</v>
      </c>
      <c r="D1213" t="s">
        <v>80</v>
      </c>
      <c r="E1213" t="b">
        <v>1</v>
      </c>
      <c r="F1213" s="1">
        <v>0.87013888888888891</v>
      </c>
      <c r="G1213" s="1">
        <v>0.8979166666666667</v>
      </c>
      <c r="H1213">
        <v>40</v>
      </c>
      <c r="I1213" t="b">
        <v>0</v>
      </c>
      <c r="J1213" t="b">
        <v>0</v>
      </c>
      <c r="K1213" t="b">
        <v>1</v>
      </c>
      <c r="L1213" t="s">
        <v>62</v>
      </c>
      <c r="M1213">
        <v>30</v>
      </c>
      <c r="N1213" t="s">
        <v>29</v>
      </c>
      <c r="O1213">
        <v>30</v>
      </c>
      <c r="P1213" t="s">
        <v>36</v>
      </c>
      <c r="Q1213">
        <v>0</v>
      </c>
      <c r="R1213">
        <v>30</v>
      </c>
      <c r="S1213" t="s">
        <v>37</v>
      </c>
      <c r="T1213" t="s">
        <v>48</v>
      </c>
      <c r="U1213">
        <v>38.581600000000002</v>
      </c>
      <c r="V1213">
        <v>-121.4944</v>
      </c>
      <c r="W1213" s="2">
        <v>45656</v>
      </c>
      <c r="X1213">
        <v>0</v>
      </c>
      <c r="Y1213" t="b">
        <v>0</v>
      </c>
      <c r="Z1213" s="2">
        <v>45851</v>
      </c>
      <c r="AA1213" t="str">
        <f t="shared" si="181"/>
        <v>20–29</v>
      </c>
      <c r="AB1213" t="str">
        <f t="shared" si="182"/>
        <v>20–29</v>
      </c>
      <c r="AC1213" t="str">
        <f t="shared" si="183"/>
        <v>Monday</v>
      </c>
      <c r="AD1213" t="str">
        <f t="shared" si="184"/>
        <v/>
      </c>
      <c r="AE1213" t="str">
        <f t="shared" si="185"/>
        <v/>
      </c>
      <c r="AF1213" t="str">
        <f t="shared" si="186"/>
        <v/>
      </c>
      <c r="AG1213" t="str">
        <f t="shared" si="187"/>
        <v/>
      </c>
      <c r="AH1213" t="str">
        <f t="shared" si="188"/>
        <v>Saturday</v>
      </c>
      <c r="AI1213" t="str">
        <f t="shared" si="189"/>
        <v>Sunday</v>
      </c>
      <c r="AJ1213" t="str">
        <f>LEFT(Table1[[#This Row],[membership_type]],2)&amp;TEXT(Table1[[#This Row],[age]],"00")&amp;"-"&amp;TEXT(ROW(),"000")</f>
        <v>St24-1213</v>
      </c>
      <c r="AK1213" t="str">
        <f>LEFT(Table1[[#This Row],[membership_type]],1)&amp;TEXT(MATCH(Table1[[#This Row],[membership_type]],Table1[membership_type],0),"00")</f>
        <v>S02</v>
      </c>
      <c r="AL1213" t="str">
        <f>LEFT(Table1[[#This Row],[discount_type]],1)&amp;TEXT(ROUND(Table1[[#This Row],[discount_rate]]*100,0),"00")</f>
        <v>N00</v>
      </c>
      <c r="AM1213" t="str" cm="1">
        <f t="array" ref="AM1213">TEXT(SUMPRODUCT(CODE(MID(Table1[[#This Row],[home_gym_location]],_xlfn.SEQUENCE(LEN(Table1[[#This Row],[home_gym_location]])),1))),"00000")</f>
        <v>01245</v>
      </c>
      <c r="AN121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13" t="str">
        <f>LEFT(_xlfn.TEXTBEFORE(Table1[[#This Row],[Location Identifier]],"-"),3) &amp; "-" &amp; _xlfn.TEXTAFTER(Table1[[#This Row],[Location Identifier]],"-")</f>
        <v>SAC-007</v>
      </c>
      <c r="AP1213" s="9">
        <f t="shared" ca="1" si="180"/>
        <v>45869</v>
      </c>
    </row>
    <row r="1214" spans="1:42" x14ac:dyDescent="0.25">
      <c r="A1214">
        <v>44</v>
      </c>
      <c r="B1214" t="s">
        <v>26</v>
      </c>
      <c r="C1214">
        <v>5</v>
      </c>
      <c r="D1214" t="s">
        <v>150</v>
      </c>
      <c r="E1214" t="b">
        <v>1</v>
      </c>
      <c r="F1214" s="1">
        <v>0.64375000000000004</v>
      </c>
      <c r="G1214" s="1">
        <v>0.73541666666666672</v>
      </c>
      <c r="H1214">
        <v>132</v>
      </c>
      <c r="I1214" t="b">
        <v>0</v>
      </c>
      <c r="J1214" t="b">
        <v>1</v>
      </c>
      <c r="K1214" t="b">
        <v>1</v>
      </c>
      <c r="L1214" t="s">
        <v>47</v>
      </c>
      <c r="M1214">
        <v>50</v>
      </c>
      <c r="N1214" t="s">
        <v>29</v>
      </c>
      <c r="O1214">
        <v>50</v>
      </c>
      <c r="P1214" t="s">
        <v>36</v>
      </c>
      <c r="Q1214">
        <v>0</v>
      </c>
      <c r="R1214">
        <v>50</v>
      </c>
      <c r="S1214" t="s">
        <v>31</v>
      </c>
      <c r="T1214" t="s">
        <v>50</v>
      </c>
      <c r="U1214">
        <v>34.052199999999999</v>
      </c>
      <c r="V1214">
        <v>-118.2437</v>
      </c>
      <c r="W1214" s="2">
        <v>44984</v>
      </c>
      <c r="X1214">
        <v>4</v>
      </c>
      <c r="Y1214" t="b">
        <v>1</v>
      </c>
      <c r="Z1214" s="2">
        <v>45813</v>
      </c>
      <c r="AA1214" t="str">
        <f t="shared" si="181"/>
        <v>40–49</v>
      </c>
      <c r="AB1214" t="str">
        <f t="shared" si="182"/>
        <v>40–49</v>
      </c>
      <c r="AC1214" t="str">
        <f t="shared" si="183"/>
        <v/>
      </c>
      <c r="AD1214" t="str">
        <f t="shared" si="184"/>
        <v>Tuesday</v>
      </c>
      <c r="AE1214" t="str">
        <f t="shared" si="185"/>
        <v/>
      </c>
      <c r="AF1214" t="str">
        <f t="shared" si="186"/>
        <v>Thursday</v>
      </c>
      <c r="AG1214" t="str">
        <f t="shared" si="187"/>
        <v>Friday</v>
      </c>
      <c r="AH1214" t="str">
        <f t="shared" si="188"/>
        <v>Saturday</v>
      </c>
      <c r="AI1214" t="str">
        <f t="shared" si="189"/>
        <v>Sunday</v>
      </c>
      <c r="AJ1214" t="str">
        <f>LEFT(Table1[[#This Row],[membership_type]],2)&amp;TEXT(Table1[[#This Row],[age]],"00")&amp;"-"&amp;TEXT(ROW(),"000")</f>
        <v>Pr44-1214</v>
      </c>
      <c r="AK1214" t="str">
        <f>LEFT(Table1[[#This Row],[membership_type]],1)&amp;TEXT(MATCH(Table1[[#This Row],[membership_type]],Table1[membership_type],0),"00")</f>
        <v>P01</v>
      </c>
      <c r="AL1214" t="str">
        <f>LEFT(Table1[[#This Row],[discount_type]],1)&amp;TEXT(ROUND(Table1[[#This Row],[discount_rate]]*100,0),"00")</f>
        <v>N00</v>
      </c>
      <c r="AM1214" t="str" cm="1">
        <f t="array" ref="AM1214">TEXT(SUMPRODUCT(CODE(MID(Table1[[#This Row],[home_gym_location]],_xlfn.SEQUENCE(LEN(Table1[[#This Row],[home_gym_location]])),1))),"00000")</f>
        <v>01245</v>
      </c>
      <c r="AN121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14" t="str">
        <f>LEFT(_xlfn.TEXTBEFORE(Table1[[#This Row],[Location Identifier]],"-"),3) &amp; "-" &amp; _xlfn.TEXTAFTER(Table1[[#This Row],[Location Identifier]],"-")</f>
        <v>LOS-005</v>
      </c>
      <c r="AP1214" s="9">
        <f t="shared" ca="1" si="180"/>
        <v>45869</v>
      </c>
    </row>
    <row r="1215" spans="1:42" x14ac:dyDescent="0.25">
      <c r="A1215">
        <v>23</v>
      </c>
      <c r="B1215" t="s">
        <v>51</v>
      </c>
      <c r="C1215">
        <v>1</v>
      </c>
      <c r="D1215" t="s">
        <v>49</v>
      </c>
      <c r="E1215" t="b">
        <v>1</v>
      </c>
      <c r="F1215" s="1">
        <v>0.8618055555555556</v>
      </c>
      <c r="G1215" s="1">
        <v>0.95833333333333337</v>
      </c>
      <c r="H1215">
        <v>139</v>
      </c>
      <c r="I1215" t="b">
        <v>0</v>
      </c>
      <c r="J1215" t="b">
        <v>1</v>
      </c>
      <c r="K1215" t="b">
        <v>0</v>
      </c>
      <c r="L1215" t="s">
        <v>47</v>
      </c>
      <c r="M1215">
        <v>70</v>
      </c>
      <c r="N1215" t="s">
        <v>29</v>
      </c>
      <c r="O1215">
        <v>70</v>
      </c>
      <c r="P1215" t="s">
        <v>36</v>
      </c>
      <c r="Q1215">
        <v>0</v>
      </c>
      <c r="R1215">
        <v>70</v>
      </c>
      <c r="S1215" t="s">
        <v>53</v>
      </c>
      <c r="T1215" t="s">
        <v>65</v>
      </c>
      <c r="U1215">
        <v>33.770099999999999</v>
      </c>
      <c r="V1215">
        <v>-118.19370000000001</v>
      </c>
      <c r="W1215" s="2">
        <v>45092</v>
      </c>
      <c r="X1215">
        <v>3</v>
      </c>
      <c r="Y1215" t="b">
        <v>0</v>
      </c>
      <c r="Z1215" s="2">
        <v>45819</v>
      </c>
      <c r="AA1215" t="str">
        <f t="shared" si="181"/>
        <v>20–29</v>
      </c>
      <c r="AB1215" t="str">
        <f t="shared" si="182"/>
        <v>20–29</v>
      </c>
      <c r="AC1215" t="str">
        <f t="shared" si="183"/>
        <v/>
      </c>
      <c r="AD1215" t="str">
        <f t="shared" si="184"/>
        <v/>
      </c>
      <c r="AE1215" t="str">
        <f t="shared" si="185"/>
        <v/>
      </c>
      <c r="AF1215" t="str">
        <f t="shared" si="186"/>
        <v/>
      </c>
      <c r="AG1215" t="str">
        <f t="shared" si="187"/>
        <v/>
      </c>
      <c r="AH1215" t="str">
        <f t="shared" si="188"/>
        <v/>
      </c>
      <c r="AI1215" t="str">
        <f t="shared" si="189"/>
        <v>Sunday</v>
      </c>
      <c r="AJ1215" t="str">
        <f>LEFT(Table1[[#This Row],[membership_type]],2)&amp;TEXT(Table1[[#This Row],[age]],"00")&amp;"-"&amp;TEXT(ROW(),"000")</f>
        <v>El23-1215</v>
      </c>
      <c r="AK1215" t="str">
        <f>LEFT(Table1[[#This Row],[membership_type]],1)&amp;TEXT(MATCH(Table1[[#This Row],[membership_type]],Table1[membership_type],0),"00")</f>
        <v>E07</v>
      </c>
      <c r="AL1215" t="str">
        <f>LEFT(Table1[[#This Row],[discount_type]],1)&amp;TEXT(ROUND(Table1[[#This Row],[discount_rate]]*100,0),"00")</f>
        <v>N00</v>
      </c>
      <c r="AM1215" t="str" cm="1">
        <f t="array" ref="AM1215">TEXT(SUMPRODUCT(CODE(MID(Table1[[#This Row],[home_gym_location]],_xlfn.SEQUENCE(LEN(Table1[[#This Row],[home_gym_location]])),1))),"00000")</f>
        <v>01107</v>
      </c>
      <c r="AN121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15" t="str">
        <f>LEFT(_xlfn.TEXTBEFORE(Table1[[#This Row],[Location Identifier]],"-"),3) &amp; "-" &amp; _xlfn.TEXTAFTER(Table1[[#This Row],[Location Identifier]],"-")</f>
        <v>LON-004</v>
      </c>
      <c r="AP1215" s="9">
        <f t="shared" ca="1" si="180"/>
        <v>45869</v>
      </c>
    </row>
    <row r="1216" spans="1:42" x14ac:dyDescent="0.25">
      <c r="A1216">
        <v>41</v>
      </c>
      <c r="B1216" t="s">
        <v>42</v>
      </c>
      <c r="C1216">
        <v>2</v>
      </c>
      <c r="D1216" t="s">
        <v>84</v>
      </c>
      <c r="E1216" t="b">
        <v>1</v>
      </c>
      <c r="F1216" s="1">
        <v>0.58750000000000002</v>
      </c>
      <c r="G1216" s="1">
        <v>0.67083333333333328</v>
      </c>
      <c r="H1216">
        <v>120</v>
      </c>
      <c r="I1216" t="b">
        <v>1</v>
      </c>
      <c r="J1216" t="b">
        <v>1</v>
      </c>
      <c r="K1216" t="b">
        <v>1</v>
      </c>
      <c r="L1216" t="s">
        <v>47</v>
      </c>
      <c r="M1216">
        <v>20</v>
      </c>
      <c r="N1216" t="s">
        <v>29</v>
      </c>
      <c r="O1216">
        <v>20</v>
      </c>
      <c r="P1216" t="s">
        <v>74</v>
      </c>
      <c r="Q1216">
        <v>0.15</v>
      </c>
      <c r="R1216">
        <v>17</v>
      </c>
      <c r="S1216" t="s">
        <v>44</v>
      </c>
      <c r="T1216" t="s">
        <v>45</v>
      </c>
      <c r="U1216">
        <v>33.836599999999997</v>
      </c>
      <c r="V1216">
        <v>-117.9143</v>
      </c>
      <c r="W1216" s="2">
        <v>45595</v>
      </c>
      <c r="X1216">
        <v>4</v>
      </c>
      <c r="Y1216" t="b">
        <v>0</v>
      </c>
      <c r="Z1216" s="2">
        <v>45847</v>
      </c>
      <c r="AA1216" t="str">
        <f t="shared" si="181"/>
        <v>40–49</v>
      </c>
      <c r="AB1216" t="str">
        <f t="shared" si="182"/>
        <v>40–49</v>
      </c>
      <c r="AC1216" t="str">
        <f t="shared" si="183"/>
        <v/>
      </c>
      <c r="AD1216" t="str">
        <f t="shared" si="184"/>
        <v>Tuesday</v>
      </c>
      <c r="AE1216" t="str">
        <f t="shared" si="185"/>
        <v/>
      </c>
      <c r="AF1216" t="str">
        <f t="shared" si="186"/>
        <v/>
      </c>
      <c r="AG1216" t="str">
        <f t="shared" si="187"/>
        <v/>
      </c>
      <c r="AH1216" t="str">
        <f t="shared" si="188"/>
        <v/>
      </c>
      <c r="AI1216" t="str">
        <f t="shared" si="189"/>
        <v>Sunday</v>
      </c>
      <c r="AJ1216" t="str">
        <f>LEFT(Table1[[#This Row],[membership_type]],2)&amp;TEXT(Table1[[#This Row],[age]],"00")&amp;"-"&amp;TEXT(ROW(),"000")</f>
        <v>Ba41-1216</v>
      </c>
      <c r="AK1216" t="str">
        <f>LEFT(Table1[[#This Row],[membership_type]],1)&amp;TEXT(MATCH(Table1[[#This Row],[membership_type]],Table1[membership_type],0),"00")</f>
        <v>B04</v>
      </c>
      <c r="AL1216" t="str">
        <f>LEFT(Table1[[#This Row],[discount_type]],1)&amp;TEXT(ROUND(Table1[[#This Row],[discount_rate]]*100,0),"00")</f>
        <v>S15</v>
      </c>
      <c r="AM1216" t="str" cm="1">
        <f t="array" ref="AM1216">TEXT(SUMPRODUCT(CODE(MID(Table1[[#This Row],[home_gym_location]],_xlfn.SEQUENCE(LEN(Table1[[#This Row],[home_gym_location]])),1))),"00000")</f>
        <v>00899</v>
      </c>
      <c r="AN121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16" t="str">
        <f>LEFT(_xlfn.TEXTBEFORE(Table1[[#This Row],[Location Identifier]],"-"),3) &amp; "-" &amp; _xlfn.TEXTAFTER(Table1[[#This Row],[Location Identifier]],"-")</f>
        <v>ANA-001</v>
      </c>
      <c r="AP1216" s="9">
        <f t="shared" ca="1" si="180"/>
        <v>45869</v>
      </c>
    </row>
    <row r="1217" spans="1:42" x14ac:dyDescent="0.25">
      <c r="A1217">
        <v>37</v>
      </c>
      <c r="B1217" t="s">
        <v>33</v>
      </c>
      <c r="C1217">
        <v>1</v>
      </c>
      <c r="D1217" t="s">
        <v>95</v>
      </c>
      <c r="E1217" t="b">
        <v>0</v>
      </c>
      <c r="F1217" s="1">
        <v>0.38263888888888886</v>
      </c>
      <c r="G1217" s="1">
        <v>0.48125000000000001</v>
      </c>
      <c r="H1217">
        <v>142</v>
      </c>
      <c r="I1217" t="b">
        <v>1</v>
      </c>
      <c r="J1217" t="b">
        <v>1</v>
      </c>
      <c r="K1217" t="b">
        <v>0</v>
      </c>
      <c r="L1217" t="s">
        <v>35</v>
      </c>
      <c r="M1217">
        <v>30</v>
      </c>
      <c r="N1217" t="s">
        <v>29</v>
      </c>
      <c r="O1217">
        <v>30</v>
      </c>
      <c r="P1217" t="s">
        <v>74</v>
      </c>
      <c r="Q1217">
        <v>0.15</v>
      </c>
      <c r="R1217">
        <v>25.5</v>
      </c>
      <c r="S1217" t="s">
        <v>37</v>
      </c>
      <c r="T1217" t="s">
        <v>32</v>
      </c>
      <c r="U1217">
        <v>37.338200000000001</v>
      </c>
      <c r="V1217">
        <v>-121.88630000000001</v>
      </c>
      <c r="W1217" s="2">
        <v>45743</v>
      </c>
      <c r="X1217">
        <v>8</v>
      </c>
      <c r="Y1217" t="b">
        <v>0</v>
      </c>
      <c r="Z1217" s="2">
        <v>45856</v>
      </c>
      <c r="AA1217" t="str">
        <f t="shared" si="181"/>
        <v>30–39</v>
      </c>
      <c r="AB1217" t="str">
        <f t="shared" si="182"/>
        <v>30–39</v>
      </c>
      <c r="AC1217" t="str">
        <f t="shared" si="183"/>
        <v/>
      </c>
      <c r="AD1217" t="str">
        <f t="shared" si="184"/>
        <v/>
      </c>
      <c r="AE1217" t="str">
        <f t="shared" si="185"/>
        <v/>
      </c>
      <c r="AF1217" t="str">
        <f t="shared" si="186"/>
        <v/>
      </c>
      <c r="AG1217" t="str">
        <f t="shared" si="187"/>
        <v/>
      </c>
      <c r="AH1217" t="str">
        <f t="shared" si="188"/>
        <v>Saturday</v>
      </c>
      <c r="AI1217" t="str">
        <f t="shared" si="189"/>
        <v/>
      </c>
      <c r="AJ1217" t="str">
        <f>LEFT(Table1[[#This Row],[membership_type]],2)&amp;TEXT(Table1[[#This Row],[age]],"00")&amp;"-"&amp;TEXT(ROW(),"000")</f>
        <v>St37-1217</v>
      </c>
      <c r="AK1217" t="str">
        <f>LEFT(Table1[[#This Row],[membership_type]],1)&amp;TEXT(MATCH(Table1[[#This Row],[membership_type]],Table1[membership_type],0),"00")</f>
        <v>S02</v>
      </c>
      <c r="AL1217" t="str">
        <f>LEFT(Table1[[#This Row],[discount_type]],1)&amp;TEXT(ROUND(Table1[[#This Row],[discount_rate]]*100,0),"00")</f>
        <v>S15</v>
      </c>
      <c r="AM1217" t="str" cm="1">
        <f t="array" ref="AM1217">TEXT(SUMPRODUCT(CODE(MID(Table1[[#This Row],[home_gym_location]],_xlfn.SEQUENCE(LEN(Table1[[#This Row],[home_gym_location]])),1))),"00000")</f>
        <v>00931</v>
      </c>
      <c r="AN121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17" t="str">
        <f>LEFT(_xlfn.TEXTBEFORE(Table1[[#This Row],[Location Identifier]],"-"),3) &amp; "-" &amp; _xlfn.TEXTAFTER(Table1[[#This Row],[Location Identifier]],"-")</f>
        <v>SAN-010</v>
      </c>
      <c r="AP1217" s="9">
        <f t="shared" ca="1" si="180"/>
        <v>45869</v>
      </c>
    </row>
    <row r="1218" spans="1:42" x14ac:dyDescent="0.25">
      <c r="A1218">
        <v>33</v>
      </c>
      <c r="B1218" t="s">
        <v>33</v>
      </c>
      <c r="C1218">
        <v>3</v>
      </c>
      <c r="D1218" t="s">
        <v>82</v>
      </c>
      <c r="E1218" t="b">
        <v>0</v>
      </c>
      <c r="F1218" s="1">
        <v>0.63402777777777775</v>
      </c>
      <c r="G1218" s="1">
        <v>0.69861111111111107</v>
      </c>
      <c r="H1218">
        <v>93</v>
      </c>
      <c r="I1218" t="b">
        <v>0</v>
      </c>
      <c r="J1218" t="b">
        <v>1</v>
      </c>
      <c r="K1218" t="b">
        <v>1</v>
      </c>
      <c r="L1218" t="s">
        <v>28</v>
      </c>
      <c r="M1218">
        <v>30</v>
      </c>
      <c r="N1218" t="s">
        <v>29</v>
      </c>
      <c r="O1218">
        <v>30</v>
      </c>
      <c r="P1218" t="s">
        <v>74</v>
      </c>
      <c r="Q1218">
        <v>0.15</v>
      </c>
      <c r="R1218">
        <v>25.5</v>
      </c>
      <c r="S1218" t="s">
        <v>37</v>
      </c>
      <c r="T1218" t="s">
        <v>50</v>
      </c>
      <c r="U1218">
        <v>34.052199999999999</v>
      </c>
      <c r="V1218">
        <v>-118.2437</v>
      </c>
      <c r="W1218" s="2">
        <v>45106</v>
      </c>
      <c r="X1218">
        <v>8</v>
      </c>
      <c r="Y1218" t="b">
        <v>1</v>
      </c>
      <c r="Z1218" s="2">
        <v>45820</v>
      </c>
      <c r="AA1218" t="str">
        <f t="shared" si="181"/>
        <v>30–39</v>
      </c>
      <c r="AB1218" t="str">
        <f t="shared" si="182"/>
        <v>30–39</v>
      </c>
      <c r="AC1218" t="str">
        <f t="shared" si="183"/>
        <v/>
      </c>
      <c r="AD1218" t="str">
        <f t="shared" si="184"/>
        <v/>
      </c>
      <c r="AE1218" t="str">
        <f t="shared" si="185"/>
        <v/>
      </c>
      <c r="AF1218" t="str">
        <f t="shared" si="186"/>
        <v/>
      </c>
      <c r="AG1218" t="str">
        <f t="shared" si="187"/>
        <v>Friday</v>
      </c>
      <c r="AH1218" t="str">
        <f t="shared" si="188"/>
        <v>Saturday</v>
      </c>
      <c r="AI1218" t="str">
        <f t="shared" si="189"/>
        <v>Sunday</v>
      </c>
      <c r="AJ1218" t="str">
        <f>LEFT(Table1[[#This Row],[membership_type]],2)&amp;TEXT(Table1[[#This Row],[age]],"00")&amp;"-"&amp;TEXT(ROW(),"000")</f>
        <v>St33-1218</v>
      </c>
      <c r="AK1218" t="str">
        <f>LEFT(Table1[[#This Row],[membership_type]],1)&amp;TEXT(MATCH(Table1[[#This Row],[membership_type]],Table1[membership_type],0),"00")</f>
        <v>S02</v>
      </c>
      <c r="AL1218" t="str">
        <f>LEFT(Table1[[#This Row],[discount_type]],1)&amp;TEXT(ROUND(Table1[[#This Row],[discount_rate]]*100,0),"00")</f>
        <v>S15</v>
      </c>
      <c r="AM1218" t="str" cm="1">
        <f t="array" ref="AM1218">TEXT(SUMPRODUCT(CODE(MID(Table1[[#This Row],[home_gym_location]],_xlfn.SEQUENCE(LEN(Table1[[#This Row],[home_gym_location]])),1))),"00000")</f>
        <v>01245</v>
      </c>
      <c r="AN121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18" t="str">
        <f>LEFT(_xlfn.TEXTBEFORE(Table1[[#This Row],[Location Identifier]],"-"),3) &amp; "-" &amp; _xlfn.TEXTAFTER(Table1[[#This Row],[Location Identifier]],"-")</f>
        <v>LOS-005</v>
      </c>
      <c r="AP1218" s="9">
        <f t="shared" ref="AP1218:AP1281" ca="1" si="190">EOMONTH(DATE(YEAR(TODAY()),7,1),0)</f>
        <v>45869</v>
      </c>
    </row>
    <row r="1219" spans="1:42" x14ac:dyDescent="0.25">
      <c r="A1219">
        <v>33</v>
      </c>
      <c r="B1219" t="s">
        <v>26</v>
      </c>
      <c r="C1219">
        <v>4</v>
      </c>
      <c r="D1219" t="s">
        <v>107</v>
      </c>
      <c r="E1219" t="b">
        <v>1</v>
      </c>
      <c r="F1219" s="1">
        <v>0.38541666666666669</v>
      </c>
      <c r="G1219" s="1">
        <v>0.41944444444444445</v>
      </c>
      <c r="H1219">
        <v>49</v>
      </c>
      <c r="I1219" t="b">
        <v>0</v>
      </c>
      <c r="J1219" t="b">
        <v>0</v>
      </c>
      <c r="K1219" t="b">
        <v>1</v>
      </c>
      <c r="L1219" t="s">
        <v>62</v>
      </c>
      <c r="M1219">
        <v>50</v>
      </c>
      <c r="N1219" t="s">
        <v>64</v>
      </c>
      <c r="O1219">
        <v>37.5</v>
      </c>
      <c r="P1219" t="s">
        <v>36</v>
      </c>
      <c r="Q1219">
        <v>0</v>
      </c>
      <c r="R1219">
        <v>37.5</v>
      </c>
      <c r="S1219" t="s">
        <v>31</v>
      </c>
      <c r="T1219" t="s">
        <v>59</v>
      </c>
      <c r="U1219">
        <v>37.774900000000002</v>
      </c>
      <c r="V1219">
        <v>-122.4194</v>
      </c>
      <c r="W1219" s="2">
        <v>45133</v>
      </c>
      <c r="X1219">
        <v>0</v>
      </c>
      <c r="Y1219" t="b">
        <v>1</v>
      </c>
      <c r="Z1219" s="2">
        <v>45821</v>
      </c>
      <c r="AA1219" t="str">
        <f t="shared" ref="AA1219:AA1282" si="191">TEXT(10*INT($A1219/10),"0")&amp;"–"&amp;TEXT(10*INT($A1219/10)+9,"0")</f>
        <v>30–39</v>
      </c>
      <c r="AB1219" t="str">
        <f t="shared" ref="AB1219:AB1282" si="192">IF(AND($AA1219 = "10–19", $A1219 &lt; 16), "Under 16", IF(AND($AA1219 = "10–19", $A1219 &gt;= 16), "16–19", $AA1219))</f>
        <v>30–39</v>
      </c>
      <c r="AC1219" t="str">
        <f t="shared" ref="AC1219:AC1282" si="193">IF(ISNUMBER(SEARCH("Mon", $D1219)), "Monday", "")</f>
        <v/>
      </c>
      <c r="AD1219" t="str">
        <f t="shared" ref="AD1219:AD1282" si="194">IF(ISNUMBER(SEARCH("Tue", $D1219)), "Tuesday", "")</f>
        <v>Tuesday</v>
      </c>
      <c r="AE1219" t="str">
        <f t="shared" ref="AE1219:AE1282" si="195">IF(ISNUMBER(SEARCH("Wed", $D1219)), "Wednesday", "")</f>
        <v/>
      </c>
      <c r="AF1219" t="str">
        <f t="shared" ref="AF1219:AF1282" si="196">IF(ISNUMBER(SEARCH("Thu", $D1219)), "Thursday", "")</f>
        <v/>
      </c>
      <c r="AG1219" t="str">
        <f t="shared" ref="AG1219:AG1282" si="197">IF(ISNUMBER(SEARCH("Fri", $D1219)), "Friday", "")</f>
        <v>Friday</v>
      </c>
      <c r="AH1219" t="str">
        <f t="shared" ref="AH1219:AH1282" si="198">IF(ISNUMBER(SEARCH("Sat", $D1219)), "Saturday", "")</f>
        <v>Saturday</v>
      </c>
      <c r="AI1219" t="str">
        <f t="shared" ref="AI1219:AI1282" si="199">IF(ISNUMBER(SEARCH("Sun", $D1219)), "Sunday", "")</f>
        <v>Sunday</v>
      </c>
      <c r="AJ1219" t="str">
        <f>LEFT(Table1[[#This Row],[membership_type]],2)&amp;TEXT(Table1[[#This Row],[age]],"00")&amp;"-"&amp;TEXT(ROW(),"000")</f>
        <v>Pr33-1219</v>
      </c>
      <c r="AK1219" t="str">
        <f>LEFT(Table1[[#This Row],[membership_type]],1)&amp;TEXT(MATCH(Table1[[#This Row],[membership_type]],Table1[membership_type],0),"00")</f>
        <v>P01</v>
      </c>
      <c r="AL1219" t="str">
        <f>LEFT(Table1[[#This Row],[discount_type]],1)&amp;TEXT(ROUND(Table1[[#This Row],[discount_rate]]*100,0),"00")</f>
        <v>N00</v>
      </c>
      <c r="AM1219" t="str" cm="1">
        <f t="array" ref="AM1219">TEXT(SUMPRODUCT(CODE(MID(Table1[[#This Row],[home_gym_location]],_xlfn.SEQUENCE(LEN(Table1[[#This Row],[home_gym_location]])),1))),"00000")</f>
        <v>01450</v>
      </c>
      <c r="AN121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19" t="str">
        <f>LEFT(_xlfn.TEXTBEFORE(Table1[[#This Row],[Location Identifier]],"-"),3) &amp; "-" &amp; _xlfn.TEXTAFTER(Table1[[#This Row],[Location Identifier]],"-")</f>
        <v>SAN-009</v>
      </c>
      <c r="AP1219" s="9">
        <f t="shared" ca="1" si="190"/>
        <v>45869</v>
      </c>
    </row>
    <row r="1220" spans="1:42" x14ac:dyDescent="0.25">
      <c r="A1220">
        <v>28</v>
      </c>
      <c r="B1220" t="s">
        <v>33</v>
      </c>
      <c r="C1220">
        <v>3</v>
      </c>
      <c r="D1220" t="s">
        <v>82</v>
      </c>
      <c r="E1220" t="b">
        <v>0</v>
      </c>
      <c r="F1220" s="1">
        <v>0.56111111111111112</v>
      </c>
      <c r="G1220" s="1">
        <v>0.65555555555555556</v>
      </c>
      <c r="H1220">
        <v>136</v>
      </c>
      <c r="I1220" t="b">
        <v>1</v>
      </c>
      <c r="J1220" t="b">
        <v>1</v>
      </c>
      <c r="K1220" t="b">
        <v>1</v>
      </c>
      <c r="L1220" t="s">
        <v>62</v>
      </c>
      <c r="M1220">
        <v>30</v>
      </c>
      <c r="N1220" t="s">
        <v>29</v>
      </c>
      <c r="O1220">
        <v>30</v>
      </c>
      <c r="P1220" t="s">
        <v>36</v>
      </c>
      <c r="Q1220">
        <v>0</v>
      </c>
      <c r="R1220">
        <v>30</v>
      </c>
      <c r="S1220" t="s">
        <v>37</v>
      </c>
      <c r="T1220" t="s">
        <v>41</v>
      </c>
      <c r="U1220">
        <v>37.804400000000001</v>
      </c>
      <c r="V1220">
        <v>-122.27119999999999</v>
      </c>
      <c r="W1220" s="2">
        <v>45539</v>
      </c>
      <c r="X1220">
        <v>5</v>
      </c>
      <c r="Y1220" t="b">
        <v>0</v>
      </c>
      <c r="Z1220" s="2">
        <v>45844</v>
      </c>
      <c r="AA1220" t="str">
        <f t="shared" si="191"/>
        <v>20–29</v>
      </c>
      <c r="AB1220" t="str">
        <f t="shared" si="192"/>
        <v>20–29</v>
      </c>
      <c r="AC1220" t="str">
        <f t="shared" si="193"/>
        <v/>
      </c>
      <c r="AD1220" t="str">
        <f t="shared" si="194"/>
        <v/>
      </c>
      <c r="AE1220" t="str">
        <f t="shared" si="195"/>
        <v/>
      </c>
      <c r="AF1220" t="str">
        <f t="shared" si="196"/>
        <v/>
      </c>
      <c r="AG1220" t="str">
        <f t="shared" si="197"/>
        <v>Friday</v>
      </c>
      <c r="AH1220" t="str">
        <f t="shared" si="198"/>
        <v>Saturday</v>
      </c>
      <c r="AI1220" t="str">
        <f t="shared" si="199"/>
        <v>Sunday</v>
      </c>
      <c r="AJ1220" t="str">
        <f>LEFT(Table1[[#This Row],[membership_type]],2)&amp;TEXT(Table1[[#This Row],[age]],"00")&amp;"-"&amp;TEXT(ROW(),"000")</f>
        <v>St28-1220</v>
      </c>
      <c r="AK1220" t="str">
        <f>LEFT(Table1[[#This Row],[membership_type]],1)&amp;TEXT(MATCH(Table1[[#This Row],[membership_type]],Table1[membership_type],0),"00")</f>
        <v>S02</v>
      </c>
      <c r="AL1220" t="str">
        <f>LEFT(Table1[[#This Row],[discount_type]],1)&amp;TEXT(ROUND(Table1[[#This Row],[discount_rate]]*100,0),"00")</f>
        <v>N00</v>
      </c>
      <c r="AM1220" t="str" cm="1">
        <f t="array" ref="AM1220">TEXT(SUMPRODUCT(CODE(MID(Table1[[#This Row],[home_gym_location]],_xlfn.SEQUENCE(LEN(Table1[[#This Row],[home_gym_location]])),1))),"00000")</f>
        <v>00906</v>
      </c>
      <c r="AN122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20" t="str">
        <f>LEFT(_xlfn.TEXTBEFORE(Table1[[#This Row],[Location Identifier]],"-"),3) &amp; "-" &amp; _xlfn.TEXTAFTER(Table1[[#This Row],[Location Identifier]],"-")</f>
        <v>OAK-006</v>
      </c>
      <c r="AP1220" s="9">
        <f t="shared" ca="1" si="190"/>
        <v>45869</v>
      </c>
    </row>
    <row r="1221" spans="1:42" x14ac:dyDescent="0.25">
      <c r="A1221">
        <v>29</v>
      </c>
      <c r="B1221" t="s">
        <v>42</v>
      </c>
      <c r="C1221">
        <v>4</v>
      </c>
      <c r="D1221" t="s">
        <v>119</v>
      </c>
      <c r="E1221" t="b">
        <v>0</v>
      </c>
      <c r="F1221" s="1">
        <v>0.4465277777777778</v>
      </c>
      <c r="G1221" s="1">
        <v>0.49444444444444446</v>
      </c>
      <c r="H1221">
        <v>69</v>
      </c>
      <c r="I1221" t="b">
        <v>1</v>
      </c>
      <c r="J1221" t="b">
        <v>1</v>
      </c>
      <c r="K1221" t="b">
        <v>0</v>
      </c>
      <c r="L1221" t="s">
        <v>35</v>
      </c>
      <c r="M1221">
        <v>20</v>
      </c>
      <c r="N1221" t="s">
        <v>64</v>
      </c>
      <c r="O1221">
        <v>15</v>
      </c>
      <c r="P1221" t="s">
        <v>36</v>
      </c>
      <c r="Q1221">
        <v>0</v>
      </c>
      <c r="R1221">
        <v>15</v>
      </c>
      <c r="S1221" t="s">
        <v>44</v>
      </c>
      <c r="T1221" t="s">
        <v>45</v>
      </c>
      <c r="U1221">
        <v>33.836599999999997</v>
      </c>
      <c r="V1221">
        <v>-117.9143</v>
      </c>
      <c r="W1221" s="2">
        <v>44818</v>
      </c>
      <c r="X1221">
        <v>5</v>
      </c>
      <c r="Y1221" t="b">
        <v>0</v>
      </c>
      <c r="Z1221" s="2">
        <v>45803</v>
      </c>
      <c r="AA1221" t="str">
        <f t="shared" si="191"/>
        <v>20–29</v>
      </c>
      <c r="AB1221" t="str">
        <f t="shared" si="192"/>
        <v>20–29</v>
      </c>
      <c r="AC1221" t="str">
        <f t="shared" si="193"/>
        <v>Monday</v>
      </c>
      <c r="AD1221" t="str">
        <f t="shared" si="194"/>
        <v/>
      </c>
      <c r="AE1221" t="str">
        <f t="shared" si="195"/>
        <v>Wednesday</v>
      </c>
      <c r="AF1221" t="str">
        <f t="shared" si="196"/>
        <v/>
      </c>
      <c r="AG1221" t="str">
        <f t="shared" si="197"/>
        <v>Friday</v>
      </c>
      <c r="AH1221" t="str">
        <f t="shared" si="198"/>
        <v/>
      </c>
      <c r="AI1221" t="str">
        <f t="shared" si="199"/>
        <v>Sunday</v>
      </c>
      <c r="AJ1221" t="str">
        <f>LEFT(Table1[[#This Row],[membership_type]],2)&amp;TEXT(Table1[[#This Row],[age]],"00")&amp;"-"&amp;TEXT(ROW(),"000")</f>
        <v>Ba29-1221</v>
      </c>
      <c r="AK1221" t="str">
        <f>LEFT(Table1[[#This Row],[membership_type]],1)&amp;TEXT(MATCH(Table1[[#This Row],[membership_type]],Table1[membership_type],0),"00")</f>
        <v>B04</v>
      </c>
      <c r="AL1221" t="str">
        <f>LEFT(Table1[[#This Row],[discount_type]],1)&amp;TEXT(ROUND(Table1[[#This Row],[discount_rate]]*100,0),"00")</f>
        <v>N00</v>
      </c>
      <c r="AM1221" t="str" cm="1">
        <f t="array" ref="AM1221">TEXT(SUMPRODUCT(CODE(MID(Table1[[#This Row],[home_gym_location]],_xlfn.SEQUENCE(LEN(Table1[[#This Row],[home_gym_location]])),1))),"00000")</f>
        <v>00899</v>
      </c>
      <c r="AN122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21" t="str">
        <f>LEFT(_xlfn.TEXTBEFORE(Table1[[#This Row],[Location Identifier]],"-"),3) &amp; "-" &amp; _xlfn.TEXTAFTER(Table1[[#This Row],[Location Identifier]],"-")</f>
        <v>ANA-001</v>
      </c>
      <c r="AP1221" s="9">
        <f t="shared" ca="1" si="190"/>
        <v>45869</v>
      </c>
    </row>
    <row r="1222" spans="1:42" x14ac:dyDescent="0.25">
      <c r="A1222">
        <v>41</v>
      </c>
      <c r="B1222" t="s">
        <v>26</v>
      </c>
      <c r="C1222">
        <v>1</v>
      </c>
      <c r="D1222" t="s">
        <v>95</v>
      </c>
      <c r="E1222" t="b">
        <v>1</v>
      </c>
      <c r="F1222" s="1">
        <v>0.35347222222222224</v>
      </c>
      <c r="G1222" s="1">
        <v>0.43888888888888888</v>
      </c>
      <c r="H1222">
        <v>123</v>
      </c>
      <c r="I1222" t="b">
        <v>1</v>
      </c>
      <c r="J1222" t="b">
        <v>1</v>
      </c>
      <c r="K1222" t="b">
        <v>0</v>
      </c>
      <c r="L1222" t="s">
        <v>35</v>
      </c>
      <c r="M1222">
        <v>50</v>
      </c>
      <c r="N1222" t="s">
        <v>78</v>
      </c>
      <c r="O1222">
        <v>45</v>
      </c>
      <c r="P1222" t="s">
        <v>36</v>
      </c>
      <c r="Q1222">
        <v>0</v>
      </c>
      <c r="R1222">
        <v>45</v>
      </c>
      <c r="S1222" t="s">
        <v>31</v>
      </c>
      <c r="T1222" t="s">
        <v>32</v>
      </c>
      <c r="U1222">
        <v>37.338200000000001</v>
      </c>
      <c r="V1222">
        <v>-121.88630000000001</v>
      </c>
      <c r="W1222" s="2">
        <v>45670</v>
      </c>
      <c r="X1222">
        <v>5</v>
      </c>
      <c r="Y1222" t="b">
        <v>1</v>
      </c>
      <c r="Z1222" s="2">
        <v>45851</v>
      </c>
      <c r="AA1222" t="str">
        <f t="shared" si="191"/>
        <v>40–49</v>
      </c>
      <c r="AB1222" t="str">
        <f t="shared" si="192"/>
        <v>40–49</v>
      </c>
      <c r="AC1222" t="str">
        <f t="shared" si="193"/>
        <v/>
      </c>
      <c r="AD1222" t="str">
        <f t="shared" si="194"/>
        <v/>
      </c>
      <c r="AE1222" t="str">
        <f t="shared" si="195"/>
        <v/>
      </c>
      <c r="AF1222" t="str">
        <f t="shared" si="196"/>
        <v/>
      </c>
      <c r="AG1222" t="str">
        <f t="shared" si="197"/>
        <v/>
      </c>
      <c r="AH1222" t="str">
        <f t="shared" si="198"/>
        <v>Saturday</v>
      </c>
      <c r="AI1222" t="str">
        <f t="shared" si="199"/>
        <v/>
      </c>
      <c r="AJ1222" t="str">
        <f>LEFT(Table1[[#This Row],[membership_type]],2)&amp;TEXT(Table1[[#This Row],[age]],"00")&amp;"-"&amp;TEXT(ROW(),"000")</f>
        <v>Pr41-1222</v>
      </c>
      <c r="AK1222" t="str">
        <f>LEFT(Table1[[#This Row],[membership_type]],1)&amp;TEXT(MATCH(Table1[[#This Row],[membership_type]],Table1[membership_type],0),"00")</f>
        <v>P01</v>
      </c>
      <c r="AL1222" t="str">
        <f>LEFT(Table1[[#This Row],[discount_type]],1)&amp;TEXT(ROUND(Table1[[#This Row],[discount_rate]]*100,0),"00")</f>
        <v>N00</v>
      </c>
      <c r="AM1222" t="str" cm="1">
        <f t="array" ref="AM1222">TEXT(SUMPRODUCT(CODE(MID(Table1[[#This Row],[home_gym_location]],_xlfn.SEQUENCE(LEN(Table1[[#This Row],[home_gym_location]])),1))),"00000")</f>
        <v>00931</v>
      </c>
      <c r="AN122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22" t="str">
        <f>LEFT(_xlfn.TEXTBEFORE(Table1[[#This Row],[Location Identifier]],"-"),3) &amp; "-" &amp; _xlfn.TEXTAFTER(Table1[[#This Row],[Location Identifier]],"-")</f>
        <v>SAN-010</v>
      </c>
      <c r="AP1222" s="9">
        <f t="shared" ca="1" si="190"/>
        <v>45869</v>
      </c>
    </row>
    <row r="1223" spans="1:42" x14ac:dyDescent="0.25">
      <c r="A1223">
        <v>38</v>
      </c>
      <c r="B1223" t="s">
        <v>26</v>
      </c>
      <c r="C1223">
        <v>3</v>
      </c>
      <c r="D1223" t="s">
        <v>106</v>
      </c>
      <c r="E1223" t="b">
        <v>1</v>
      </c>
      <c r="F1223" s="1">
        <v>0.34513888888888888</v>
      </c>
      <c r="G1223" s="1">
        <v>0.44305555555555554</v>
      </c>
      <c r="H1223">
        <v>141</v>
      </c>
      <c r="I1223" t="b">
        <v>0</v>
      </c>
      <c r="J1223" t="b">
        <v>0</v>
      </c>
      <c r="K1223" t="b">
        <v>1</v>
      </c>
      <c r="L1223" t="s">
        <v>35</v>
      </c>
      <c r="M1223">
        <v>50</v>
      </c>
      <c r="N1223" t="s">
        <v>64</v>
      </c>
      <c r="O1223">
        <v>37.5</v>
      </c>
      <c r="P1223" t="s">
        <v>36</v>
      </c>
      <c r="Q1223">
        <v>0</v>
      </c>
      <c r="R1223">
        <v>37.5</v>
      </c>
      <c r="S1223" t="s">
        <v>31</v>
      </c>
      <c r="T1223" t="s">
        <v>45</v>
      </c>
      <c r="U1223">
        <v>33.836599999999997</v>
      </c>
      <c r="V1223">
        <v>-117.9143</v>
      </c>
      <c r="W1223" s="2">
        <v>45370</v>
      </c>
      <c r="X1223">
        <v>0</v>
      </c>
      <c r="Y1223" t="b">
        <v>1</v>
      </c>
      <c r="Z1223" s="2">
        <v>45835</v>
      </c>
      <c r="AA1223" t="str">
        <f t="shared" si="191"/>
        <v>30–39</v>
      </c>
      <c r="AB1223" t="str">
        <f t="shared" si="192"/>
        <v>30–39</v>
      </c>
      <c r="AC1223" t="str">
        <f t="shared" si="193"/>
        <v/>
      </c>
      <c r="AD1223" t="str">
        <f t="shared" si="194"/>
        <v/>
      </c>
      <c r="AE1223" t="str">
        <f t="shared" si="195"/>
        <v>Wednesday</v>
      </c>
      <c r="AF1223" t="str">
        <f t="shared" si="196"/>
        <v>Thursday</v>
      </c>
      <c r="AG1223" t="str">
        <f t="shared" si="197"/>
        <v>Friday</v>
      </c>
      <c r="AH1223" t="str">
        <f t="shared" si="198"/>
        <v/>
      </c>
      <c r="AI1223" t="str">
        <f t="shared" si="199"/>
        <v/>
      </c>
      <c r="AJ1223" t="str">
        <f>LEFT(Table1[[#This Row],[membership_type]],2)&amp;TEXT(Table1[[#This Row],[age]],"00")&amp;"-"&amp;TEXT(ROW(),"000")</f>
        <v>Pr38-1223</v>
      </c>
      <c r="AK1223" t="str">
        <f>LEFT(Table1[[#This Row],[membership_type]],1)&amp;TEXT(MATCH(Table1[[#This Row],[membership_type]],Table1[membership_type],0),"00")</f>
        <v>P01</v>
      </c>
      <c r="AL1223" t="str">
        <f>LEFT(Table1[[#This Row],[discount_type]],1)&amp;TEXT(ROUND(Table1[[#This Row],[discount_rate]]*100,0),"00")</f>
        <v>N00</v>
      </c>
      <c r="AM1223" t="str" cm="1">
        <f t="array" ref="AM1223">TEXT(SUMPRODUCT(CODE(MID(Table1[[#This Row],[home_gym_location]],_xlfn.SEQUENCE(LEN(Table1[[#This Row],[home_gym_location]])),1))),"00000")</f>
        <v>00899</v>
      </c>
      <c r="AN122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23" t="str">
        <f>LEFT(_xlfn.TEXTBEFORE(Table1[[#This Row],[Location Identifier]],"-"),3) &amp; "-" &amp; _xlfn.TEXTAFTER(Table1[[#This Row],[Location Identifier]],"-")</f>
        <v>ANA-001</v>
      </c>
      <c r="AP1223" s="9">
        <f t="shared" ca="1" si="190"/>
        <v>45869</v>
      </c>
    </row>
    <row r="1224" spans="1:42" x14ac:dyDescent="0.25">
      <c r="A1224">
        <v>22</v>
      </c>
      <c r="B1224" t="s">
        <v>33</v>
      </c>
      <c r="C1224">
        <v>2</v>
      </c>
      <c r="D1224" t="s">
        <v>27</v>
      </c>
      <c r="E1224" t="b">
        <v>0</v>
      </c>
      <c r="F1224" s="1">
        <v>0.8256944444444444</v>
      </c>
      <c r="G1224" s="1">
        <v>0.85624999999999996</v>
      </c>
      <c r="H1224">
        <v>44</v>
      </c>
      <c r="I1224" t="b">
        <v>1</v>
      </c>
      <c r="J1224" t="b">
        <v>0</v>
      </c>
      <c r="K1224" t="b">
        <v>1</v>
      </c>
      <c r="L1224" t="s">
        <v>62</v>
      </c>
      <c r="M1224">
        <v>30</v>
      </c>
      <c r="N1224" t="s">
        <v>29</v>
      </c>
      <c r="O1224">
        <v>30</v>
      </c>
      <c r="P1224" t="s">
        <v>36</v>
      </c>
      <c r="Q1224">
        <v>0</v>
      </c>
      <c r="R1224">
        <v>30</v>
      </c>
      <c r="S1224" t="s">
        <v>37</v>
      </c>
      <c r="T1224" t="s">
        <v>45</v>
      </c>
      <c r="U1224">
        <v>33.836599999999997</v>
      </c>
      <c r="V1224">
        <v>-117.9143</v>
      </c>
      <c r="W1224" s="2">
        <v>44826</v>
      </c>
      <c r="X1224">
        <v>0</v>
      </c>
      <c r="Y1224" t="b">
        <v>0</v>
      </c>
      <c r="Z1224" s="2">
        <v>45804</v>
      </c>
      <c r="AA1224" t="str">
        <f t="shared" si="191"/>
        <v>20–29</v>
      </c>
      <c r="AB1224" t="str">
        <f t="shared" si="192"/>
        <v>20–29</v>
      </c>
      <c r="AC1224" t="str">
        <f t="shared" si="193"/>
        <v/>
      </c>
      <c r="AD1224" t="str">
        <f t="shared" si="194"/>
        <v/>
      </c>
      <c r="AE1224" t="str">
        <f t="shared" si="195"/>
        <v/>
      </c>
      <c r="AF1224" t="str">
        <f t="shared" si="196"/>
        <v>Thursday</v>
      </c>
      <c r="AG1224" t="str">
        <f t="shared" si="197"/>
        <v/>
      </c>
      <c r="AH1224" t="str">
        <f t="shared" si="198"/>
        <v>Saturday</v>
      </c>
      <c r="AI1224" t="str">
        <f t="shared" si="199"/>
        <v/>
      </c>
      <c r="AJ1224" t="str">
        <f>LEFT(Table1[[#This Row],[membership_type]],2)&amp;TEXT(Table1[[#This Row],[age]],"00")&amp;"-"&amp;TEXT(ROW(),"000")</f>
        <v>St22-1224</v>
      </c>
      <c r="AK1224" t="str">
        <f>LEFT(Table1[[#This Row],[membership_type]],1)&amp;TEXT(MATCH(Table1[[#This Row],[membership_type]],Table1[membership_type],0),"00")</f>
        <v>S02</v>
      </c>
      <c r="AL1224" t="str">
        <f>LEFT(Table1[[#This Row],[discount_type]],1)&amp;TEXT(ROUND(Table1[[#This Row],[discount_rate]]*100,0),"00")</f>
        <v>N00</v>
      </c>
      <c r="AM1224" t="str" cm="1">
        <f t="array" ref="AM1224">TEXT(SUMPRODUCT(CODE(MID(Table1[[#This Row],[home_gym_location]],_xlfn.SEQUENCE(LEN(Table1[[#This Row],[home_gym_location]])),1))),"00000")</f>
        <v>00899</v>
      </c>
      <c r="AN122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24" t="str">
        <f>LEFT(_xlfn.TEXTBEFORE(Table1[[#This Row],[Location Identifier]],"-"),3) &amp; "-" &amp; _xlfn.TEXTAFTER(Table1[[#This Row],[Location Identifier]],"-")</f>
        <v>ANA-001</v>
      </c>
      <c r="AP1224" s="9">
        <f t="shared" ca="1" si="190"/>
        <v>45869</v>
      </c>
    </row>
    <row r="1225" spans="1:42" x14ac:dyDescent="0.25">
      <c r="A1225">
        <v>35</v>
      </c>
      <c r="B1225" t="s">
        <v>42</v>
      </c>
      <c r="C1225">
        <v>2</v>
      </c>
      <c r="D1225" t="s">
        <v>43</v>
      </c>
      <c r="E1225" t="b">
        <v>0</v>
      </c>
      <c r="F1225" s="1">
        <v>0.71250000000000002</v>
      </c>
      <c r="G1225" s="1">
        <v>0.77708333333333335</v>
      </c>
      <c r="H1225">
        <v>93</v>
      </c>
      <c r="I1225" t="b">
        <v>1</v>
      </c>
      <c r="J1225" t="b">
        <v>1</v>
      </c>
      <c r="K1225" t="b">
        <v>0</v>
      </c>
      <c r="L1225" t="s">
        <v>28</v>
      </c>
      <c r="M1225">
        <v>20</v>
      </c>
      <c r="N1225" t="s">
        <v>29</v>
      </c>
      <c r="O1225">
        <v>20</v>
      </c>
      <c r="P1225" t="s">
        <v>36</v>
      </c>
      <c r="Q1225">
        <v>0</v>
      </c>
      <c r="R1225">
        <v>20</v>
      </c>
      <c r="S1225" t="s">
        <v>44</v>
      </c>
      <c r="T1225" t="s">
        <v>45</v>
      </c>
      <c r="U1225">
        <v>33.836599999999997</v>
      </c>
      <c r="V1225">
        <v>-117.9143</v>
      </c>
      <c r="W1225" s="2">
        <v>45383</v>
      </c>
      <c r="X1225">
        <v>4</v>
      </c>
      <c r="Y1225" t="b">
        <v>0</v>
      </c>
      <c r="Z1225" s="2">
        <v>45835</v>
      </c>
      <c r="AA1225" t="str">
        <f t="shared" si="191"/>
        <v>30–39</v>
      </c>
      <c r="AB1225" t="str">
        <f t="shared" si="192"/>
        <v>30–39</v>
      </c>
      <c r="AC1225" t="str">
        <f t="shared" si="193"/>
        <v>Monday</v>
      </c>
      <c r="AD1225" t="str">
        <f t="shared" si="194"/>
        <v>Tuesday</v>
      </c>
      <c r="AE1225" t="str">
        <f t="shared" si="195"/>
        <v/>
      </c>
      <c r="AF1225" t="str">
        <f t="shared" si="196"/>
        <v/>
      </c>
      <c r="AG1225" t="str">
        <f t="shared" si="197"/>
        <v/>
      </c>
      <c r="AH1225" t="str">
        <f t="shared" si="198"/>
        <v/>
      </c>
      <c r="AI1225" t="str">
        <f t="shared" si="199"/>
        <v/>
      </c>
      <c r="AJ1225" t="str">
        <f>LEFT(Table1[[#This Row],[membership_type]],2)&amp;TEXT(Table1[[#This Row],[age]],"00")&amp;"-"&amp;TEXT(ROW(),"000")</f>
        <v>Ba35-1225</v>
      </c>
      <c r="AK1225" t="str">
        <f>LEFT(Table1[[#This Row],[membership_type]],1)&amp;TEXT(MATCH(Table1[[#This Row],[membership_type]],Table1[membership_type],0),"00")</f>
        <v>B04</v>
      </c>
      <c r="AL1225" t="str">
        <f>LEFT(Table1[[#This Row],[discount_type]],1)&amp;TEXT(ROUND(Table1[[#This Row],[discount_rate]]*100,0),"00")</f>
        <v>N00</v>
      </c>
      <c r="AM1225" t="str" cm="1">
        <f t="array" ref="AM1225">TEXT(SUMPRODUCT(CODE(MID(Table1[[#This Row],[home_gym_location]],_xlfn.SEQUENCE(LEN(Table1[[#This Row],[home_gym_location]])),1))),"00000")</f>
        <v>00899</v>
      </c>
      <c r="AN122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25" t="str">
        <f>LEFT(_xlfn.TEXTBEFORE(Table1[[#This Row],[Location Identifier]],"-"),3) &amp; "-" &amp; _xlfn.TEXTAFTER(Table1[[#This Row],[Location Identifier]],"-")</f>
        <v>ANA-001</v>
      </c>
      <c r="AP1225" s="9">
        <f t="shared" ca="1" si="190"/>
        <v>45869</v>
      </c>
    </row>
    <row r="1226" spans="1:42" x14ac:dyDescent="0.25">
      <c r="A1226">
        <v>31</v>
      </c>
      <c r="B1226" t="s">
        <v>26</v>
      </c>
      <c r="C1226">
        <v>4</v>
      </c>
      <c r="D1226" t="s">
        <v>147</v>
      </c>
      <c r="E1226" t="b">
        <v>0</v>
      </c>
      <c r="F1226" s="1">
        <v>0.49583333333333335</v>
      </c>
      <c r="G1226" s="1">
        <v>0.55625000000000002</v>
      </c>
      <c r="H1226">
        <v>87</v>
      </c>
      <c r="I1226" t="b">
        <v>0</v>
      </c>
      <c r="J1226" t="b">
        <v>0</v>
      </c>
      <c r="K1226" t="b">
        <v>1</v>
      </c>
      <c r="L1226" t="s">
        <v>28</v>
      </c>
      <c r="M1226">
        <v>50</v>
      </c>
      <c r="N1226" t="s">
        <v>64</v>
      </c>
      <c r="O1226">
        <v>37.5</v>
      </c>
      <c r="P1226" t="s">
        <v>36</v>
      </c>
      <c r="Q1226">
        <v>0</v>
      </c>
      <c r="R1226">
        <v>37.5</v>
      </c>
      <c r="S1226" t="s">
        <v>31</v>
      </c>
      <c r="T1226" t="s">
        <v>48</v>
      </c>
      <c r="U1226">
        <v>38.581600000000002</v>
      </c>
      <c r="V1226">
        <v>-121.4944</v>
      </c>
      <c r="W1226" s="2">
        <v>45150</v>
      </c>
      <c r="X1226">
        <v>0</v>
      </c>
      <c r="Y1226" t="b">
        <v>1</v>
      </c>
      <c r="Z1226" s="2">
        <v>45822</v>
      </c>
      <c r="AA1226" t="str">
        <f t="shared" si="191"/>
        <v>30–39</v>
      </c>
      <c r="AB1226" t="str">
        <f t="shared" si="192"/>
        <v>30–39</v>
      </c>
      <c r="AC1226" t="str">
        <f t="shared" si="193"/>
        <v>Monday</v>
      </c>
      <c r="AD1226" t="str">
        <f t="shared" si="194"/>
        <v/>
      </c>
      <c r="AE1226" t="str">
        <f t="shared" si="195"/>
        <v/>
      </c>
      <c r="AF1226" t="str">
        <f t="shared" si="196"/>
        <v>Thursday</v>
      </c>
      <c r="AG1226" t="str">
        <f t="shared" si="197"/>
        <v>Friday</v>
      </c>
      <c r="AH1226" t="str">
        <f t="shared" si="198"/>
        <v>Saturday</v>
      </c>
      <c r="AI1226" t="str">
        <f t="shared" si="199"/>
        <v/>
      </c>
      <c r="AJ1226" t="str">
        <f>LEFT(Table1[[#This Row],[membership_type]],2)&amp;TEXT(Table1[[#This Row],[age]],"00")&amp;"-"&amp;TEXT(ROW(),"000")</f>
        <v>Pr31-1226</v>
      </c>
      <c r="AK1226" t="str">
        <f>LEFT(Table1[[#This Row],[membership_type]],1)&amp;TEXT(MATCH(Table1[[#This Row],[membership_type]],Table1[membership_type],0),"00")</f>
        <v>P01</v>
      </c>
      <c r="AL1226" t="str">
        <f>LEFT(Table1[[#This Row],[discount_type]],1)&amp;TEXT(ROUND(Table1[[#This Row],[discount_rate]]*100,0),"00")</f>
        <v>N00</v>
      </c>
      <c r="AM1226" t="str" cm="1">
        <f t="array" ref="AM1226">TEXT(SUMPRODUCT(CODE(MID(Table1[[#This Row],[home_gym_location]],_xlfn.SEQUENCE(LEN(Table1[[#This Row],[home_gym_location]])),1))),"00000")</f>
        <v>01245</v>
      </c>
      <c r="AN122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26" t="str">
        <f>LEFT(_xlfn.TEXTBEFORE(Table1[[#This Row],[Location Identifier]],"-"),3) &amp; "-" &amp; _xlfn.TEXTAFTER(Table1[[#This Row],[Location Identifier]],"-")</f>
        <v>SAC-007</v>
      </c>
      <c r="AP1226" s="9">
        <f t="shared" ca="1" si="190"/>
        <v>45869</v>
      </c>
    </row>
    <row r="1227" spans="1:42" x14ac:dyDescent="0.25">
      <c r="A1227">
        <v>30</v>
      </c>
      <c r="B1227" t="s">
        <v>51</v>
      </c>
      <c r="C1227">
        <v>3</v>
      </c>
      <c r="D1227" t="s">
        <v>57</v>
      </c>
      <c r="E1227" t="b">
        <v>1</v>
      </c>
      <c r="F1227" s="1">
        <v>0.62152777777777779</v>
      </c>
      <c r="G1227" s="1">
        <v>0.66736111111111107</v>
      </c>
      <c r="H1227">
        <v>66</v>
      </c>
      <c r="I1227" t="b">
        <v>0</v>
      </c>
      <c r="J1227" t="b">
        <v>1</v>
      </c>
      <c r="K1227" t="b">
        <v>1</v>
      </c>
      <c r="L1227" t="s">
        <v>62</v>
      </c>
      <c r="M1227">
        <v>70</v>
      </c>
      <c r="N1227" t="s">
        <v>29</v>
      </c>
      <c r="O1227">
        <v>70</v>
      </c>
      <c r="P1227" t="s">
        <v>36</v>
      </c>
      <c r="Q1227">
        <v>0</v>
      </c>
      <c r="R1227">
        <v>70</v>
      </c>
      <c r="S1227" t="s">
        <v>53</v>
      </c>
      <c r="T1227" t="s">
        <v>54</v>
      </c>
      <c r="U1227">
        <v>32.715699999999998</v>
      </c>
      <c r="V1227">
        <v>-117.1611</v>
      </c>
      <c r="W1227" s="2">
        <v>45407</v>
      </c>
      <c r="X1227">
        <v>5</v>
      </c>
      <c r="Y1227" t="b">
        <v>1</v>
      </c>
      <c r="Z1227" s="2">
        <v>45837</v>
      </c>
      <c r="AA1227" t="str">
        <f t="shared" si="191"/>
        <v>30–39</v>
      </c>
      <c r="AB1227" t="str">
        <f t="shared" si="192"/>
        <v>30–39</v>
      </c>
      <c r="AC1227" t="str">
        <f t="shared" si="193"/>
        <v/>
      </c>
      <c r="AD1227" t="str">
        <f t="shared" si="194"/>
        <v/>
      </c>
      <c r="AE1227" t="str">
        <f t="shared" si="195"/>
        <v>Wednesday</v>
      </c>
      <c r="AF1227" t="str">
        <f t="shared" si="196"/>
        <v>Thursday</v>
      </c>
      <c r="AG1227" t="str">
        <f t="shared" si="197"/>
        <v/>
      </c>
      <c r="AH1227" t="str">
        <f t="shared" si="198"/>
        <v>Saturday</v>
      </c>
      <c r="AI1227" t="str">
        <f t="shared" si="199"/>
        <v/>
      </c>
      <c r="AJ1227" t="str">
        <f>LEFT(Table1[[#This Row],[membership_type]],2)&amp;TEXT(Table1[[#This Row],[age]],"00")&amp;"-"&amp;TEXT(ROW(),"000")</f>
        <v>El30-1227</v>
      </c>
      <c r="AK1227" t="str">
        <f>LEFT(Table1[[#This Row],[membership_type]],1)&amp;TEXT(MATCH(Table1[[#This Row],[membership_type]],Table1[membership_type],0),"00")</f>
        <v>E07</v>
      </c>
      <c r="AL1227" t="str">
        <f>LEFT(Table1[[#This Row],[discount_type]],1)&amp;TEXT(ROUND(Table1[[#This Row],[discount_rate]]*100,0),"00")</f>
        <v>N00</v>
      </c>
      <c r="AM1227" t="str" cm="1">
        <f t="array" ref="AM1227">TEXT(SUMPRODUCT(CODE(MID(Table1[[#This Row],[home_gym_location]],_xlfn.SEQUENCE(LEN(Table1[[#This Row],[home_gym_location]])),1))),"00000")</f>
        <v>01018</v>
      </c>
      <c r="AN122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27" t="str">
        <f>LEFT(_xlfn.TEXTBEFORE(Table1[[#This Row],[Location Identifier]],"-"),3) &amp; "-" &amp; _xlfn.TEXTAFTER(Table1[[#This Row],[Location Identifier]],"-")</f>
        <v>SAN-008</v>
      </c>
      <c r="AP1227" s="9">
        <f t="shared" ca="1" si="190"/>
        <v>45869</v>
      </c>
    </row>
    <row r="1228" spans="1:42" x14ac:dyDescent="0.25">
      <c r="A1228">
        <v>24</v>
      </c>
      <c r="B1228" t="s">
        <v>26</v>
      </c>
      <c r="C1228">
        <v>3</v>
      </c>
      <c r="D1228" t="s">
        <v>90</v>
      </c>
      <c r="E1228" t="b">
        <v>0</v>
      </c>
      <c r="F1228" s="1">
        <v>0.44861111111111113</v>
      </c>
      <c r="G1228" s="1">
        <v>0.54097222222222219</v>
      </c>
      <c r="H1228">
        <v>133</v>
      </c>
      <c r="I1228" t="b">
        <v>0</v>
      </c>
      <c r="J1228" t="b">
        <v>1</v>
      </c>
      <c r="K1228" t="b">
        <v>1</v>
      </c>
      <c r="L1228" t="s">
        <v>28</v>
      </c>
      <c r="M1228">
        <v>50</v>
      </c>
      <c r="N1228" t="s">
        <v>29</v>
      </c>
      <c r="O1228">
        <v>50</v>
      </c>
      <c r="P1228" t="s">
        <v>40</v>
      </c>
      <c r="Q1228">
        <v>0.1</v>
      </c>
      <c r="R1228">
        <v>45</v>
      </c>
      <c r="S1228" t="s">
        <v>31</v>
      </c>
      <c r="T1228" t="s">
        <v>65</v>
      </c>
      <c r="U1228">
        <v>33.770099999999999</v>
      </c>
      <c r="V1228">
        <v>-118.19370000000001</v>
      </c>
      <c r="W1228" s="2">
        <v>45538</v>
      </c>
      <c r="X1228">
        <v>8</v>
      </c>
      <c r="Y1228" t="b">
        <v>1</v>
      </c>
      <c r="Z1228" s="2">
        <v>45844</v>
      </c>
      <c r="AA1228" t="str">
        <f t="shared" si="191"/>
        <v>20–29</v>
      </c>
      <c r="AB1228" t="str">
        <f t="shared" si="192"/>
        <v>20–29</v>
      </c>
      <c r="AC1228" t="str">
        <f t="shared" si="193"/>
        <v/>
      </c>
      <c r="AD1228" t="str">
        <f t="shared" si="194"/>
        <v>Tuesday</v>
      </c>
      <c r="AE1228" t="str">
        <f t="shared" si="195"/>
        <v/>
      </c>
      <c r="AF1228" t="str">
        <f t="shared" si="196"/>
        <v/>
      </c>
      <c r="AG1228" t="str">
        <f t="shared" si="197"/>
        <v/>
      </c>
      <c r="AH1228" t="str">
        <f t="shared" si="198"/>
        <v>Saturday</v>
      </c>
      <c r="AI1228" t="str">
        <f t="shared" si="199"/>
        <v>Sunday</v>
      </c>
      <c r="AJ1228" t="str">
        <f>LEFT(Table1[[#This Row],[membership_type]],2)&amp;TEXT(Table1[[#This Row],[age]],"00")&amp;"-"&amp;TEXT(ROW(),"000")</f>
        <v>Pr24-1228</v>
      </c>
      <c r="AK1228" t="str">
        <f>LEFT(Table1[[#This Row],[membership_type]],1)&amp;TEXT(MATCH(Table1[[#This Row],[membership_type]],Table1[membership_type],0),"00")</f>
        <v>P01</v>
      </c>
      <c r="AL1228" t="str">
        <f>LEFT(Table1[[#This Row],[discount_type]],1)&amp;TEXT(ROUND(Table1[[#This Row],[discount_rate]]*100,0),"00")</f>
        <v>L10</v>
      </c>
      <c r="AM1228" t="str" cm="1">
        <f t="array" ref="AM1228">TEXT(SUMPRODUCT(CODE(MID(Table1[[#This Row],[home_gym_location]],_xlfn.SEQUENCE(LEN(Table1[[#This Row],[home_gym_location]])),1))),"00000")</f>
        <v>01107</v>
      </c>
      <c r="AN122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28" t="str">
        <f>LEFT(_xlfn.TEXTBEFORE(Table1[[#This Row],[Location Identifier]],"-"),3) &amp; "-" &amp; _xlfn.TEXTAFTER(Table1[[#This Row],[Location Identifier]],"-")</f>
        <v>LON-004</v>
      </c>
      <c r="AP1228" s="9">
        <f t="shared" ca="1" si="190"/>
        <v>45869</v>
      </c>
    </row>
    <row r="1229" spans="1:42" x14ac:dyDescent="0.25">
      <c r="A1229">
        <v>23</v>
      </c>
      <c r="B1229" t="s">
        <v>51</v>
      </c>
      <c r="C1229">
        <v>5</v>
      </c>
      <c r="D1229" t="s">
        <v>76</v>
      </c>
      <c r="E1229" t="b">
        <v>1</v>
      </c>
      <c r="F1229" s="1">
        <v>0.87291666666666667</v>
      </c>
      <c r="G1229" s="1">
        <v>0.98263888888888884</v>
      </c>
      <c r="H1229">
        <v>158</v>
      </c>
      <c r="I1229" t="b">
        <v>0</v>
      </c>
      <c r="J1229" t="b">
        <v>0</v>
      </c>
      <c r="K1229" t="b">
        <v>1</v>
      </c>
      <c r="L1229" t="s">
        <v>35</v>
      </c>
      <c r="M1229">
        <v>70</v>
      </c>
      <c r="N1229" t="s">
        <v>29</v>
      </c>
      <c r="O1229">
        <v>70</v>
      </c>
      <c r="P1229" t="s">
        <v>36</v>
      </c>
      <c r="Q1229">
        <v>0</v>
      </c>
      <c r="R1229">
        <v>70</v>
      </c>
      <c r="S1229" t="s">
        <v>53</v>
      </c>
      <c r="T1229" t="s">
        <v>45</v>
      </c>
      <c r="U1229">
        <v>33.836599999999997</v>
      </c>
      <c r="V1229">
        <v>-117.9143</v>
      </c>
      <c r="W1229" s="2">
        <v>44783</v>
      </c>
      <c r="X1229">
        <v>0</v>
      </c>
      <c r="Y1229" t="b">
        <v>1</v>
      </c>
      <c r="Z1229" s="2">
        <v>45801</v>
      </c>
      <c r="AA1229" t="str">
        <f t="shared" si="191"/>
        <v>20–29</v>
      </c>
      <c r="AB1229" t="str">
        <f t="shared" si="192"/>
        <v>20–29</v>
      </c>
      <c r="AC1229" t="str">
        <f t="shared" si="193"/>
        <v>Monday</v>
      </c>
      <c r="AD1229" t="str">
        <f t="shared" si="194"/>
        <v>Tuesday</v>
      </c>
      <c r="AE1229" t="str">
        <f t="shared" si="195"/>
        <v>Wednesday</v>
      </c>
      <c r="AF1229" t="str">
        <f t="shared" si="196"/>
        <v>Thursday</v>
      </c>
      <c r="AG1229" t="str">
        <f t="shared" si="197"/>
        <v/>
      </c>
      <c r="AH1229" t="str">
        <f t="shared" si="198"/>
        <v/>
      </c>
      <c r="AI1229" t="str">
        <f t="shared" si="199"/>
        <v>Sunday</v>
      </c>
      <c r="AJ1229" t="str">
        <f>LEFT(Table1[[#This Row],[membership_type]],2)&amp;TEXT(Table1[[#This Row],[age]],"00")&amp;"-"&amp;TEXT(ROW(),"000")</f>
        <v>El23-1229</v>
      </c>
      <c r="AK1229" t="str">
        <f>LEFT(Table1[[#This Row],[membership_type]],1)&amp;TEXT(MATCH(Table1[[#This Row],[membership_type]],Table1[membership_type],0),"00")</f>
        <v>E07</v>
      </c>
      <c r="AL1229" t="str">
        <f>LEFT(Table1[[#This Row],[discount_type]],1)&amp;TEXT(ROUND(Table1[[#This Row],[discount_rate]]*100,0),"00")</f>
        <v>N00</v>
      </c>
      <c r="AM1229" t="str" cm="1">
        <f t="array" ref="AM1229">TEXT(SUMPRODUCT(CODE(MID(Table1[[#This Row],[home_gym_location]],_xlfn.SEQUENCE(LEN(Table1[[#This Row],[home_gym_location]])),1))),"00000")</f>
        <v>00899</v>
      </c>
      <c r="AN122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29" t="str">
        <f>LEFT(_xlfn.TEXTBEFORE(Table1[[#This Row],[Location Identifier]],"-"),3) &amp; "-" &amp; _xlfn.TEXTAFTER(Table1[[#This Row],[Location Identifier]],"-")</f>
        <v>ANA-001</v>
      </c>
      <c r="AP1229" s="9">
        <f t="shared" ca="1" si="190"/>
        <v>45869</v>
      </c>
    </row>
    <row r="1230" spans="1:42" x14ac:dyDescent="0.25">
      <c r="A1230">
        <v>33</v>
      </c>
      <c r="B1230" t="s">
        <v>26</v>
      </c>
      <c r="C1230">
        <v>2</v>
      </c>
      <c r="D1230" t="s">
        <v>103</v>
      </c>
      <c r="E1230" t="b">
        <v>1</v>
      </c>
      <c r="F1230" s="1">
        <v>0.67777777777777781</v>
      </c>
      <c r="G1230" s="1">
        <v>0.75208333333333333</v>
      </c>
      <c r="H1230">
        <v>107</v>
      </c>
      <c r="I1230" t="b">
        <v>1</v>
      </c>
      <c r="J1230" t="b">
        <v>1</v>
      </c>
      <c r="K1230" t="b">
        <v>0</v>
      </c>
      <c r="L1230" t="s">
        <v>28</v>
      </c>
      <c r="M1230">
        <v>50</v>
      </c>
      <c r="N1230" t="s">
        <v>29</v>
      </c>
      <c r="O1230">
        <v>50</v>
      </c>
      <c r="P1230" t="s">
        <v>36</v>
      </c>
      <c r="Q1230">
        <v>0</v>
      </c>
      <c r="R1230">
        <v>50</v>
      </c>
      <c r="S1230" t="s">
        <v>31</v>
      </c>
      <c r="T1230" t="s">
        <v>32</v>
      </c>
      <c r="U1230">
        <v>37.338200000000001</v>
      </c>
      <c r="V1230">
        <v>-121.88630000000001</v>
      </c>
      <c r="W1230" s="2">
        <v>45395</v>
      </c>
      <c r="X1230">
        <v>1</v>
      </c>
      <c r="Y1230" t="b">
        <v>1</v>
      </c>
      <c r="Z1230" s="2">
        <v>45836</v>
      </c>
      <c r="AA1230" t="str">
        <f t="shared" si="191"/>
        <v>30–39</v>
      </c>
      <c r="AB1230" t="str">
        <f t="shared" si="192"/>
        <v>30–39</v>
      </c>
      <c r="AC1230" t="str">
        <f t="shared" si="193"/>
        <v>Monday</v>
      </c>
      <c r="AD1230" t="str">
        <f t="shared" si="194"/>
        <v/>
      </c>
      <c r="AE1230" t="str">
        <f t="shared" si="195"/>
        <v/>
      </c>
      <c r="AF1230" t="str">
        <f t="shared" si="196"/>
        <v/>
      </c>
      <c r="AG1230" t="str">
        <f t="shared" si="197"/>
        <v/>
      </c>
      <c r="AH1230" t="str">
        <f t="shared" si="198"/>
        <v/>
      </c>
      <c r="AI1230" t="str">
        <f t="shared" si="199"/>
        <v>Sunday</v>
      </c>
      <c r="AJ1230" t="str">
        <f>LEFT(Table1[[#This Row],[membership_type]],2)&amp;TEXT(Table1[[#This Row],[age]],"00")&amp;"-"&amp;TEXT(ROW(),"000")</f>
        <v>Pr33-1230</v>
      </c>
      <c r="AK1230" t="str">
        <f>LEFT(Table1[[#This Row],[membership_type]],1)&amp;TEXT(MATCH(Table1[[#This Row],[membership_type]],Table1[membership_type],0),"00")</f>
        <v>P01</v>
      </c>
      <c r="AL1230" t="str">
        <f>LEFT(Table1[[#This Row],[discount_type]],1)&amp;TEXT(ROUND(Table1[[#This Row],[discount_rate]]*100,0),"00")</f>
        <v>N00</v>
      </c>
      <c r="AM1230" t="str" cm="1">
        <f t="array" ref="AM1230">TEXT(SUMPRODUCT(CODE(MID(Table1[[#This Row],[home_gym_location]],_xlfn.SEQUENCE(LEN(Table1[[#This Row],[home_gym_location]])),1))),"00000")</f>
        <v>00931</v>
      </c>
      <c r="AN123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30" t="str">
        <f>LEFT(_xlfn.TEXTBEFORE(Table1[[#This Row],[Location Identifier]],"-"),3) &amp; "-" &amp; _xlfn.TEXTAFTER(Table1[[#This Row],[Location Identifier]],"-")</f>
        <v>SAN-010</v>
      </c>
      <c r="AP1230" s="9">
        <f t="shared" ca="1" si="190"/>
        <v>45869</v>
      </c>
    </row>
    <row r="1231" spans="1:42" x14ac:dyDescent="0.25">
      <c r="A1231">
        <v>28</v>
      </c>
      <c r="B1231" t="s">
        <v>51</v>
      </c>
      <c r="C1231">
        <v>4</v>
      </c>
      <c r="D1231" t="s">
        <v>164</v>
      </c>
      <c r="E1231" t="b">
        <v>0</v>
      </c>
      <c r="F1231" s="1">
        <v>0.39930555555555558</v>
      </c>
      <c r="G1231" s="1">
        <v>0.49722222222222223</v>
      </c>
      <c r="H1231">
        <v>141</v>
      </c>
      <c r="I1231" t="b">
        <v>1</v>
      </c>
      <c r="J1231" t="b">
        <v>1</v>
      </c>
      <c r="K1231" t="b">
        <v>1</v>
      </c>
      <c r="L1231" t="s">
        <v>28</v>
      </c>
      <c r="M1231">
        <v>70</v>
      </c>
      <c r="N1231" t="s">
        <v>29</v>
      </c>
      <c r="O1231">
        <v>70</v>
      </c>
      <c r="P1231" t="s">
        <v>36</v>
      </c>
      <c r="Q1231">
        <v>0</v>
      </c>
      <c r="R1231">
        <v>70</v>
      </c>
      <c r="S1231" t="s">
        <v>53</v>
      </c>
      <c r="T1231" t="s">
        <v>38</v>
      </c>
      <c r="U1231">
        <v>36.7378</v>
      </c>
      <c r="V1231">
        <v>-119.7871</v>
      </c>
      <c r="W1231" s="2">
        <v>44878</v>
      </c>
      <c r="X1231">
        <v>5</v>
      </c>
      <c r="Y1231" t="b">
        <v>1</v>
      </c>
      <c r="Z1231" s="2">
        <v>45807</v>
      </c>
      <c r="AA1231" t="str">
        <f t="shared" si="191"/>
        <v>20–29</v>
      </c>
      <c r="AB1231" t="str">
        <f t="shared" si="192"/>
        <v>20–29</v>
      </c>
      <c r="AC1231" t="str">
        <f t="shared" si="193"/>
        <v/>
      </c>
      <c r="AD1231" t="str">
        <f t="shared" si="194"/>
        <v/>
      </c>
      <c r="AE1231" t="str">
        <f t="shared" si="195"/>
        <v>Wednesday</v>
      </c>
      <c r="AF1231" t="str">
        <f t="shared" si="196"/>
        <v>Thursday</v>
      </c>
      <c r="AG1231" t="str">
        <f t="shared" si="197"/>
        <v>Friday</v>
      </c>
      <c r="AH1231" t="str">
        <f t="shared" si="198"/>
        <v>Saturday</v>
      </c>
      <c r="AI1231" t="str">
        <f t="shared" si="199"/>
        <v/>
      </c>
      <c r="AJ1231" t="str">
        <f>LEFT(Table1[[#This Row],[membership_type]],2)&amp;TEXT(Table1[[#This Row],[age]],"00")&amp;"-"&amp;TEXT(ROW(),"000")</f>
        <v>El28-1231</v>
      </c>
      <c r="AK1231" t="str">
        <f>LEFT(Table1[[#This Row],[membership_type]],1)&amp;TEXT(MATCH(Table1[[#This Row],[membership_type]],Table1[membership_type],0),"00")</f>
        <v>E07</v>
      </c>
      <c r="AL1231" t="str">
        <f>LEFT(Table1[[#This Row],[discount_type]],1)&amp;TEXT(ROUND(Table1[[#This Row],[discount_rate]]*100,0),"00")</f>
        <v>N00</v>
      </c>
      <c r="AM1231" t="str" cm="1">
        <f t="array" ref="AM1231">TEXT(SUMPRODUCT(CODE(MID(Table1[[#This Row],[home_gym_location]],_xlfn.SEQUENCE(LEN(Table1[[#This Row],[home_gym_location]])),1))),"00000")</f>
        <v>00829</v>
      </c>
      <c r="AN1231" t="str">
        <f>UPPER(_xlfn.TEXTBEFORE(Table1[[#This Row],[home_gym_location]],","))&amp;"-"&amp;TEXT(MATCH(Table1[[#This Row],[home_gym_location]],_xlfn._xlws.SORT(_xlfn.UNIQUE(Table1[home_gym_location])),0),"000")</f>
        <v>FRESNO-003</v>
      </c>
      <c r="AO1231" t="str">
        <f>LEFT(_xlfn.TEXTBEFORE(Table1[[#This Row],[Location Identifier]],"-"),3) &amp; "-" &amp; _xlfn.TEXTAFTER(Table1[[#This Row],[Location Identifier]],"-")</f>
        <v>FRE-003</v>
      </c>
      <c r="AP1231" s="9">
        <f t="shared" ca="1" si="190"/>
        <v>45869</v>
      </c>
    </row>
    <row r="1232" spans="1:42" x14ac:dyDescent="0.25">
      <c r="A1232">
        <v>43</v>
      </c>
      <c r="B1232" t="s">
        <v>33</v>
      </c>
      <c r="C1232">
        <v>5</v>
      </c>
      <c r="D1232" t="s">
        <v>69</v>
      </c>
      <c r="E1232" t="b">
        <v>1</v>
      </c>
      <c r="F1232" s="1">
        <v>0.55555555555555558</v>
      </c>
      <c r="G1232" s="1">
        <v>0.6118055555555556</v>
      </c>
      <c r="H1232">
        <v>81</v>
      </c>
      <c r="I1232" t="b">
        <v>1</v>
      </c>
      <c r="J1232" t="b">
        <v>0</v>
      </c>
      <c r="K1232" t="b">
        <v>1</v>
      </c>
      <c r="L1232" t="s">
        <v>35</v>
      </c>
      <c r="M1232">
        <v>30</v>
      </c>
      <c r="N1232" t="s">
        <v>64</v>
      </c>
      <c r="O1232">
        <v>22.5</v>
      </c>
      <c r="P1232" t="s">
        <v>36</v>
      </c>
      <c r="Q1232">
        <v>0</v>
      </c>
      <c r="R1232">
        <v>22.5</v>
      </c>
      <c r="S1232" t="s">
        <v>37</v>
      </c>
      <c r="T1232" t="s">
        <v>38</v>
      </c>
      <c r="U1232">
        <v>36.7378</v>
      </c>
      <c r="V1232">
        <v>-119.7871</v>
      </c>
      <c r="W1232" s="2">
        <v>45586</v>
      </c>
      <c r="X1232">
        <v>0</v>
      </c>
      <c r="Y1232" t="b">
        <v>0</v>
      </c>
      <c r="Z1232" s="2">
        <v>45847</v>
      </c>
      <c r="AA1232" t="str">
        <f t="shared" si="191"/>
        <v>40–49</v>
      </c>
      <c r="AB1232" t="str">
        <f t="shared" si="192"/>
        <v>40–49</v>
      </c>
      <c r="AC1232" t="str">
        <f t="shared" si="193"/>
        <v>Monday</v>
      </c>
      <c r="AD1232" t="str">
        <f t="shared" si="194"/>
        <v/>
      </c>
      <c r="AE1232" t="str">
        <f t="shared" si="195"/>
        <v>Wednesday</v>
      </c>
      <c r="AF1232" t="str">
        <f t="shared" si="196"/>
        <v>Thursday</v>
      </c>
      <c r="AG1232" t="str">
        <f t="shared" si="197"/>
        <v/>
      </c>
      <c r="AH1232" t="str">
        <f t="shared" si="198"/>
        <v>Saturday</v>
      </c>
      <c r="AI1232" t="str">
        <f t="shared" si="199"/>
        <v>Sunday</v>
      </c>
      <c r="AJ1232" t="str">
        <f>LEFT(Table1[[#This Row],[membership_type]],2)&amp;TEXT(Table1[[#This Row],[age]],"00")&amp;"-"&amp;TEXT(ROW(),"000")</f>
        <v>St43-1232</v>
      </c>
      <c r="AK1232" t="str">
        <f>LEFT(Table1[[#This Row],[membership_type]],1)&amp;TEXT(MATCH(Table1[[#This Row],[membership_type]],Table1[membership_type],0),"00")</f>
        <v>S02</v>
      </c>
      <c r="AL1232" t="str">
        <f>LEFT(Table1[[#This Row],[discount_type]],1)&amp;TEXT(ROUND(Table1[[#This Row],[discount_rate]]*100,0),"00")</f>
        <v>N00</v>
      </c>
      <c r="AM1232" t="str" cm="1">
        <f t="array" ref="AM1232">TEXT(SUMPRODUCT(CODE(MID(Table1[[#This Row],[home_gym_location]],_xlfn.SEQUENCE(LEN(Table1[[#This Row],[home_gym_location]])),1))),"00000")</f>
        <v>00829</v>
      </c>
      <c r="AN1232" t="str">
        <f>UPPER(_xlfn.TEXTBEFORE(Table1[[#This Row],[home_gym_location]],","))&amp;"-"&amp;TEXT(MATCH(Table1[[#This Row],[home_gym_location]],_xlfn._xlws.SORT(_xlfn.UNIQUE(Table1[home_gym_location])),0),"000")</f>
        <v>FRESNO-003</v>
      </c>
      <c r="AO1232" t="str">
        <f>LEFT(_xlfn.TEXTBEFORE(Table1[[#This Row],[Location Identifier]],"-"),3) &amp; "-" &amp; _xlfn.TEXTAFTER(Table1[[#This Row],[Location Identifier]],"-")</f>
        <v>FRE-003</v>
      </c>
      <c r="AP1232" s="9">
        <f t="shared" ca="1" si="190"/>
        <v>45869</v>
      </c>
    </row>
    <row r="1233" spans="1:42" x14ac:dyDescent="0.25">
      <c r="A1233">
        <v>45</v>
      </c>
      <c r="B1233" t="s">
        <v>33</v>
      </c>
      <c r="C1233">
        <v>2</v>
      </c>
      <c r="D1233" t="s">
        <v>88</v>
      </c>
      <c r="E1233" t="b">
        <v>1</v>
      </c>
      <c r="F1233" s="1">
        <v>0.34166666666666667</v>
      </c>
      <c r="G1233" s="1">
        <v>0.42291666666666666</v>
      </c>
      <c r="H1233">
        <v>117</v>
      </c>
      <c r="I1233" t="b">
        <v>1</v>
      </c>
      <c r="J1233" t="b">
        <v>0</v>
      </c>
      <c r="K1233" t="b">
        <v>0</v>
      </c>
      <c r="L1233" t="s">
        <v>47</v>
      </c>
      <c r="M1233">
        <v>30</v>
      </c>
      <c r="N1233" t="s">
        <v>29</v>
      </c>
      <c r="O1233">
        <v>30</v>
      </c>
      <c r="P1233" t="s">
        <v>74</v>
      </c>
      <c r="Q1233">
        <v>0.15</v>
      </c>
      <c r="R1233">
        <v>25.5</v>
      </c>
      <c r="S1233" t="s">
        <v>37</v>
      </c>
      <c r="T1233" t="s">
        <v>65</v>
      </c>
      <c r="U1233">
        <v>33.770099999999999</v>
      </c>
      <c r="V1233">
        <v>-118.19370000000001</v>
      </c>
      <c r="W1233" s="2">
        <v>45604</v>
      </c>
      <c r="X1233">
        <v>0</v>
      </c>
      <c r="Y1233" t="b">
        <v>0</v>
      </c>
      <c r="Z1233" s="2">
        <v>45848</v>
      </c>
      <c r="AA1233" t="str">
        <f t="shared" si="191"/>
        <v>40–49</v>
      </c>
      <c r="AB1233" t="str">
        <f t="shared" si="192"/>
        <v>40–49</v>
      </c>
      <c r="AC1233" t="str">
        <f t="shared" si="193"/>
        <v>Monday</v>
      </c>
      <c r="AD1233" t="str">
        <f t="shared" si="194"/>
        <v/>
      </c>
      <c r="AE1233" t="str">
        <f t="shared" si="195"/>
        <v>Wednesday</v>
      </c>
      <c r="AF1233" t="str">
        <f t="shared" si="196"/>
        <v/>
      </c>
      <c r="AG1233" t="str">
        <f t="shared" si="197"/>
        <v/>
      </c>
      <c r="AH1233" t="str">
        <f t="shared" si="198"/>
        <v/>
      </c>
      <c r="AI1233" t="str">
        <f t="shared" si="199"/>
        <v/>
      </c>
      <c r="AJ1233" t="str">
        <f>LEFT(Table1[[#This Row],[membership_type]],2)&amp;TEXT(Table1[[#This Row],[age]],"00")&amp;"-"&amp;TEXT(ROW(),"000")</f>
        <v>St45-1233</v>
      </c>
      <c r="AK1233" t="str">
        <f>LEFT(Table1[[#This Row],[membership_type]],1)&amp;TEXT(MATCH(Table1[[#This Row],[membership_type]],Table1[membership_type],0),"00")</f>
        <v>S02</v>
      </c>
      <c r="AL1233" t="str">
        <f>LEFT(Table1[[#This Row],[discount_type]],1)&amp;TEXT(ROUND(Table1[[#This Row],[discount_rate]]*100,0),"00")</f>
        <v>S15</v>
      </c>
      <c r="AM1233" t="str" cm="1">
        <f t="array" ref="AM1233">TEXT(SUMPRODUCT(CODE(MID(Table1[[#This Row],[home_gym_location]],_xlfn.SEQUENCE(LEN(Table1[[#This Row],[home_gym_location]])),1))),"00000")</f>
        <v>01107</v>
      </c>
      <c r="AN123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33" t="str">
        <f>LEFT(_xlfn.TEXTBEFORE(Table1[[#This Row],[Location Identifier]],"-"),3) &amp; "-" &amp; _xlfn.TEXTAFTER(Table1[[#This Row],[Location Identifier]],"-")</f>
        <v>LON-004</v>
      </c>
      <c r="AP1233" s="9">
        <f t="shared" ca="1" si="190"/>
        <v>45869</v>
      </c>
    </row>
    <row r="1234" spans="1:42" x14ac:dyDescent="0.25">
      <c r="A1234">
        <v>39</v>
      </c>
      <c r="B1234" t="s">
        <v>33</v>
      </c>
      <c r="C1234">
        <v>4</v>
      </c>
      <c r="D1234" t="s">
        <v>162</v>
      </c>
      <c r="E1234" t="b">
        <v>1</v>
      </c>
      <c r="F1234" s="1">
        <v>0.80694444444444446</v>
      </c>
      <c r="G1234" s="1">
        <v>0.88749999999999996</v>
      </c>
      <c r="H1234">
        <v>116</v>
      </c>
      <c r="I1234" t="b">
        <v>1</v>
      </c>
      <c r="J1234" t="b">
        <v>0</v>
      </c>
      <c r="K1234" t="b">
        <v>0</v>
      </c>
      <c r="L1234" t="s">
        <v>47</v>
      </c>
      <c r="M1234">
        <v>30</v>
      </c>
      <c r="N1234" t="s">
        <v>29</v>
      </c>
      <c r="O1234">
        <v>30</v>
      </c>
      <c r="P1234" t="s">
        <v>36</v>
      </c>
      <c r="Q1234">
        <v>0</v>
      </c>
      <c r="R1234">
        <v>30</v>
      </c>
      <c r="S1234" t="s">
        <v>37</v>
      </c>
      <c r="T1234" t="s">
        <v>59</v>
      </c>
      <c r="U1234">
        <v>37.774900000000002</v>
      </c>
      <c r="V1234">
        <v>-122.4194</v>
      </c>
      <c r="W1234" s="2">
        <v>45797</v>
      </c>
      <c r="X1234">
        <v>0</v>
      </c>
      <c r="Y1234" t="b">
        <v>0</v>
      </c>
      <c r="Z1234" s="2">
        <v>45859</v>
      </c>
      <c r="AA1234" t="str">
        <f t="shared" si="191"/>
        <v>30–39</v>
      </c>
      <c r="AB1234" t="str">
        <f t="shared" si="192"/>
        <v>30–39</v>
      </c>
      <c r="AC1234" t="str">
        <f t="shared" si="193"/>
        <v>Monday</v>
      </c>
      <c r="AD1234" t="str">
        <f t="shared" si="194"/>
        <v>Tuesday</v>
      </c>
      <c r="AE1234" t="str">
        <f t="shared" si="195"/>
        <v>Wednesday</v>
      </c>
      <c r="AF1234" t="str">
        <f t="shared" si="196"/>
        <v/>
      </c>
      <c r="AG1234" t="str">
        <f t="shared" si="197"/>
        <v/>
      </c>
      <c r="AH1234" t="str">
        <f t="shared" si="198"/>
        <v/>
      </c>
      <c r="AI1234" t="str">
        <f t="shared" si="199"/>
        <v>Sunday</v>
      </c>
      <c r="AJ1234" t="str">
        <f>LEFT(Table1[[#This Row],[membership_type]],2)&amp;TEXT(Table1[[#This Row],[age]],"00")&amp;"-"&amp;TEXT(ROW(),"000")</f>
        <v>St39-1234</v>
      </c>
      <c r="AK1234" t="str">
        <f>LEFT(Table1[[#This Row],[membership_type]],1)&amp;TEXT(MATCH(Table1[[#This Row],[membership_type]],Table1[membership_type],0),"00")</f>
        <v>S02</v>
      </c>
      <c r="AL1234" t="str">
        <f>LEFT(Table1[[#This Row],[discount_type]],1)&amp;TEXT(ROUND(Table1[[#This Row],[discount_rate]]*100,0),"00")</f>
        <v>N00</v>
      </c>
      <c r="AM1234" t="str" cm="1">
        <f t="array" ref="AM1234">TEXT(SUMPRODUCT(CODE(MID(Table1[[#This Row],[home_gym_location]],_xlfn.SEQUENCE(LEN(Table1[[#This Row],[home_gym_location]])),1))),"00000")</f>
        <v>01450</v>
      </c>
      <c r="AN123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34" t="str">
        <f>LEFT(_xlfn.TEXTBEFORE(Table1[[#This Row],[Location Identifier]],"-"),3) &amp; "-" &amp; _xlfn.TEXTAFTER(Table1[[#This Row],[Location Identifier]],"-")</f>
        <v>SAN-009</v>
      </c>
      <c r="AP1234" s="9">
        <f t="shared" ca="1" si="190"/>
        <v>45869</v>
      </c>
    </row>
    <row r="1235" spans="1:42" x14ac:dyDescent="0.25">
      <c r="A1235">
        <v>23</v>
      </c>
      <c r="B1235" t="s">
        <v>33</v>
      </c>
      <c r="C1235">
        <v>4</v>
      </c>
      <c r="D1235" t="s">
        <v>154</v>
      </c>
      <c r="E1235" t="b">
        <v>0</v>
      </c>
      <c r="F1235" s="1">
        <v>0.4284722222222222</v>
      </c>
      <c r="G1235" s="1">
        <v>0.51458333333333328</v>
      </c>
      <c r="H1235">
        <v>124</v>
      </c>
      <c r="I1235" t="b">
        <v>1</v>
      </c>
      <c r="J1235" t="b">
        <v>0</v>
      </c>
      <c r="K1235" t="b">
        <v>1</v>
      </c>
      <c r="L1235" t="s">
        <v>62</v>
      </c>
      <c r="M1235">
        <v>30</v>
      </c>
      <c r="N1235" t="s">
        <v>29</v>
      </c>
      <c r="O1235">
        <v>30</v>
      </c>
      <c r="P1235" t="s">
        <v>36</v>
      </c>
      <c r="Q1235">
        <v>0</v>
      </c>
      <c r="R1235">
        <v>30</v>
      </c>
      <c r="S1235" t="s">
        <v>37</v>
      </c>
      <c r="T1235" t="s">
        <v>45</v>
      </c>
      <c r="U1235">
        <v>33.836599999999997</v>
      </c>
      <c r="V1235">
        <v>-117.9143</v>
      </c>
      <c r="W1235" s="2">
        <v>45136</v>
      </c>
      <c r="X1235">
        <v>0</v>
      </c>
      <c r="Y1235" t="b">
        <v>0</v>
      </c>
      <c r="Z1235" s="2">
        <v>45821</v>
      </c>
      <c r="AA1235" t="str">
        <f t="shared" si="191"/>
        <v>20–29</v>
      </c>
      <c r="AB1235" t="str">
        <f t="shared" si="192"/>
        <v>20–29</v>
      </c>
      <c r="AC1235" t="str">
        <f t="shared" si="193"/>
        <v/>
      </c>
      <c r="AD1235" t="str">
        <f t="shared" si="194"/>
        <v/>
      </c>
      <c r="AE1235" t="str">
        <f t="shared" si="195"/>
        <v>Wednesday</v>
      </c>
      <c r="AF1235" t="str">
        <f t="shared" si="196"/>
        <v>Thursday</v>
      </c>
      <c r="AG1235" t="str">
        <f t="shared" si="197"/>
        <v>Friday</v>
      </c>
      <c r="AH1235" t="str">
        <f t="shared" si="198"/>
        <v/>
      </c>
      <c r="AI1235" t="str">
        <f t="shared" si="199"/>
        <v>Sunday</v>
      </c>
      <c r="AJ1235" t="str">
        <f>LEFT(Table1[[#This Row],[membership_type]],2)&amp;TEXT(Table1[[#This Row],[age]],"00")&amp;"-"&amp;TEXT(ROW(),"000")</f>
        <v>St23-1235</v>
      </c>
      <c r="AK1235" t="str">
        <f>LEFT(Table1[[#This Row],[membership_type]],1)&amp;TEXT(MATCH(Table1[[#This Row],[membership_type]],Table1[membership_type],0),"00")</f>
        <v>S02</v>
      </c>
      <c r="AL1235" t="str">
        <f>LEFT(Table1[[#This Row],[discount_type]],1)&amp;TEXT(ROUND(Table1[[#This Row],[discount_rate]]*100,0),"00")</f>
        <v>N00</v>
      </c>
      <c r="AM1235" t="str" cm="1">
        <f t="array" ref="AM1235">TEXT(SUMPRODUCT(CODE(MID(Table1[[#This Row],[home_gym_location]],_xlfn.SEQUENCE(LEN(Table1[[#This Row],[home_gym_location]])),1))),"00000")</f>
        <v>00899</v>
      </c>
      <c r="AN12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35" t="str">
        <f>LEFT(_xlfn.TEXTBEFORE(Table1[[#This Row],[Location Identifier]],"-"),3) &amp; "-" &amp; _xlfn.TEXTAFTER(Table1[[#This Row],[Location Identifier]],"-")</f>
        <v>ANA-001</v>
      </c>
      <c r="AP1235" s="9">
        <f t="shared" ca="1" si="190"/>
        <v>45869</v>
      </c>
    </row>
    <row r="1236" spans="1:42" x14ac:dyDescent="0.25">
      <c r="A1236">
        <v>48</v>
      </c>
      <c r="B1236" t="s">
        <v>42</v>
      </c>
      <c r="C1236">
        <v>1</v>
      </c>
      <c r="D1236" t="s">
        <v>63</v>
      </c>
      <c r="E1236" t="b">
        <v>1</v>
      </c>
      <c r="F1236" s="1">
        <v>0.61388888888888893</v>
      </c>
      <c r="G1236" s="1">
        <v>0.70902777777777781</v>
      </c>
      <c r="H1236">
        <v>137</v>
      </c>
      <c r="I1236" t="b">
        <v>0</v>
      </c>
      <c r="J1236" t="b">
        <v>1</v>
      </c>
      <c r="K1236" t="b">
        <v>0</v>
      </c>
      <c r="L1236" t="s">
        <v>28</v>
      </c>
      <c r="M1236">
        <v>20</v>
      </c>
      <c r="N1236" t="s">
        <v>78</v>
      </c>
      <c r="O1236">
        <v>18</v>
      </c>
      <c r="P1236" t="s">
        <v>30</v>
      </c>
      <c r="Q1236">
        <v>0.05</v>
      </c>
      <c r="R1236">
        <v>17.100000000000001</v>
      </c>
      <c r="S1236" t="s">
        <v>44</v>
      </c>
      <c r="T1236" t="s">
        <v>65</v>
      </c>
      <c r="U1236">
        <v>33.770099999999999</v>
      </c>
      <c r="V1236">
        <v>-118.19370000000001</v>
      </c>
      <c r="W1236" s="2">
        <v>45438</v>
      </c>
      <c r="X1236">
        <v>2</v>
      </c>
      <c r="Y1236" t="b">
        <v>0</v>
      </c>
      <c r="Z1236" s="2">
        <v>45838</v>
      </c>
      <c r="AA1236" t="str">
        <f t="shared" si="191"/>
        <v>40–49</v>
      </c>
      <c r="AB1236" t="str">
        <f t="shared" si="192"/>
        <v>40–49</v>
      </c>
      <c r="AC1236" t="str">
        <f t="shared" si="193"/>
        <v/>
      </c>
      <c r="AD1236" t="str">
        <f t="shared" si="194"/>
        <v/>
      </c>
      <c r="AE1236" t="str">
        <f t="shared" si="195"/>
        <v>Wednesday</v>
      </c>
      <c r="AF1236" t="str">
        <f t="shared" si="196"/>
        <v/>
      </c>
      <c r="AG1236" t="str">
        <f t="shared" si="197"/>
        <v/>
      </c>
      <c r="AH1236" t="str">
        <f t="shared" si="198"/>
        <v/>
      </c>
      <c r="AI1236" t="str">
        <f t="shared" si="199"/>
        <v/>
      </c>
      <c r="AJ1236" t="str">
        <f>LEFT(Table1[[#This Row],[membership_type]],2)&amp;TEXT(Table1[[#This Row],[age]],"00")&amp;"-"&amp;TEXT(ROW(),"000")</f>
        <v>Ba48-1236</v>
      </c>
      <c r="AK1236" t="str">
        <f>LEFT(Table1[[#This Row],[membership_type]],1)&amp;TEXT(MATCH(Table1[[#This Row],[membership_type]],Table1[membership_type],0),"00")</f>
        <v>B04</v>
      </c>
      <c r="AL1236" t="str">
        <f>LEFT(Table1[[#This Row],[discount_type]],1)&amp;TEXT(ROUND(Table1[[#This Row],[discount_rate]]*100,0),"00")</f>
        <v>P05</v>
      </c>
      <c r="AM1236" t="str" cm="1">
        <f t="array" ref="AM1236">TEXT(SUMPRODUCT(CODE(MID(Table1[[#This Row],[home_gym_location]],_xlfn.SEQUENCE(LEN(Table1[[#This Row],[home_gym_location]])),1))),"00000")</f>
        <v>01107</v>
      </c>
      <c r="AN12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36" t="str">
        <f>LEFT(_xlfn.TEXTBEFORE(Table1[[#This Row],[Location Identifier]],"-"),3) &amp; "-" &amp; _xlfn.TEXTAFTER(Table1[[#This Row],[Location Identifier]],"-")</f>
        <v>LON-004</v>
      </c>
      <c r="AP1236" s="9">
        <f t="shared" ca="1" si="190"/>
        <v>45869</v>
      </c>
    </row>
    <row r="1237" spans="1:42" x14ac:dyDescent="0.25">
      <c r="A1237">
        <v>30</v>
      </c>
      <c r="B1237" t="s">
        <v>42</v>
      </c>
      <c r="C1237">
        <v>1</v>
      </c>
      <c r="D1237" t="s">
        <v>95</v>
      </c>
      <c r="E1237" t="b">
        <v>0</v>
      </c>
      <c r="F1237" s="1">
        <v>0.58888888888888891</v>
      </c>
      <c r="G1237" s="1">
        <v>0.71388888888888891</v>
      </c>
      <c r="H1237">
        <v>180</v>
      </c>
      <c r="I1237" t="b">
        <v>0</v>
      </c>
      <c r="J1237" t="b">
        <v>1</v>
      </c>
      <c r="K1237" t="b">
        <v>0</v>
      </c>
      <c r="L1237" t="s">
        <v>58</v>
      </c>
      <c r="M1237">
        <v>20</v>
      </c>
      <c r="N1237" t="s">
        <v>29</v>
      </c>
      <c r="O1237">
        <v>20</v>
      </c>
      <c r="P1237" t="s">
        <v>40</v>
      </c>
      <c r="Q1237">
        <v>0.1</v>
      </c>
      <c r="R1237">
        <v>18</v>
      </c>
      <c r="S1237" t="s">
        <v>44</v>
      </c>
      <c r="T1237" t="s">
        <v>65</v>
      </c>
      <c r="U1237">
        <v>33.770099999999999</v>
      </c>
      <c r="V1237">
        <v>-118.19370000000001</v>
      </c>
      <c r="W1237" s="2">
        <v>44910</v>
      </c>
      <c r="X1237">
        <v>7</v>
      </c>
      <c r="Y1237" t="b">
        <v>0</v>
      </c>
      <c r="Z1237" s="2">
        <v>45809</v>
      </c>
      <c r="AA1237" t="str">
        <f t="shared" si="191"/>
        <v>30–39</v>
      </c>
      <c r="AB1237" t="str">
        <f t="shared" si="192"/>
        <v>30–39</v>
      </c>
      <c r="AC1237" t="str">
        <f t="shared" si="193"/>
        <v/>
      </c>
      <c r="AD1237" t="str">
        <f t="shared" si="194"/>
        <v/>
      </c>
      <c r="AE1237" t="str">
        <f t="shared" si="195"/>
        <v/>
      </c>
      <c r="AF1237" t="str">
        <f t="shared" si="196"/>
        <v/>
      </c>
      <c r="AG1237" t="str">
        <f t="shared" si="197"/>
        <v/>
      </c>
      <c r="AH1237" t="str">
        <f t="shared" si="198"/>
        <v>Saturday</v>
      </c>
      <c r="AI1237" t="str">
        <f t="shared" si="199"/>
        <v/>
      </c>
      <c r="AJ1237" t="str">
        <f>LEFT(Table1[[#This Row],[membership_type]],2)&amp;TEXT(Table1[[#This Row],[age]],"00")&amp;"-"&amp;TEXT(ROW(),"000")</f>
        <v>Ba30-1237</v>
      </c>
      <c r="AK1237" t="str">
        <f>LEFT(Table1[[#This Row],[membership_type]],1)&amp;TEXT(MATCH(Table1[[#This Row],[membership_type]],Table1[membership_type],0),"00")</f>
        <v>B04</v>
      </c>
      <c r="AL1237" t="str">
        <f>LEFT(Table1[[#This Row],[discount_type]],1)&amp;TEXT(ROUND(Table1[[#This Row],[discount_rate]]*100,0),"00")</f>
        <v>L10</v>
      </c>
      <c r="AM1237" t="str" cm="1">
        <f t="array" ref="AM1237">TEXT(SUMPRODUCT(CODE(MID(Table1[[#This Row],[home_gym_location]],_xlfn.SEQUENCE(LEN(Table1[[#This Row],[home_gym_location]])),1))),"00000")</f>
        <v>01107</v>
      </c>
      <c r="AN123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37" t="str">
        <f>LEFT(_xlfn.TEXTBEFORE(Table1[[#This Row],[Location Identifier]],"-"),3) &amp; "-" &amp; _xlfn.TEXTAFTER(Table1[[#This Row],[Location Identifier]],"-")</f>
        <v>LON-004</v>
      </c>
      <c r="AP1237" s="9">
        <f t="shared" ca="1" si="190"/>
        <v>45869</v>
      </c>
    </row>
    <row r="1238" spans="1:42" x14ac:dyDescent="0.25">
      <c r="A1238">
        <v>19</v>
      </c>
      <c r="B1238" t="s">
        <v>26</v>
      </c>
      <c r="C1238">
        <v>1</v>
      </c>
      <c r="D1238" t="s">
        <v>63</v>
      </c>
      <c r="E1238" t="b">
        <v>1</v>
      </c>
      <c r="F1238" s="1">
        <v>0.60416666666666663</v>
      </c>
      <c r="G1238" s="1">
        <v>0.72847222222222219</v>
      </c>
      <c r="H1238">
        <v>179</v>
      </c>
      <c r="I1238" t="b">
        <v>0</v>
      </c>
      <c r="J1238" t="b">
        <v>1</v>
      </c>
      <c r="K1238" t="b">
        <v>1</v>
      </c>
      <c r="L1238" t="s">
        <v>35</v>
      </c>
      <c r="M1238">
        <v>50</v>
      </c>
      <c r="N1238" t="s">
        <v>64</v>
      </c>
      <c r="O1238">
        <v>37.5</v>
      </c>
      <c r="P1238" t="s">
        <v>40</v>
      </c>
      <c r="Q1238">
        <v>0.1</v>
      </c>
      <c r="R1238">
        <v>33.75</v>
      </c>
      <c r="S1238" t="s">
        <v>31</v>
      </c>
      <c r="T1238" t="s">
        <v>32</v>
      </c>
      <c r="U1238">
        <v>37.338200000000001</v>
      </c>
      <c r="V1238">
        <v>-121.88630000000001</v>
      </c>
      <c r="W1238" s="2">
        <v>45327</v>
      </c>
      <c r="X1238">
        <v>4</v>
      </c>
      <c r="Y1238" t="b">
        <v>1</v>
      </c>
      <c r="Z1238" s="2">
        <v>45832</v>
      </c>
      <c r="AA1238" t="str">
        <f t="shared" si="191"/>
        <v>10–19</v>
      </c>
      <c r="AB1238" t="str">
        <f t="shared" si="192"/>
        <v>16–19</v>
      </c>
      <c r="AC1238" t="str">
        <f t="shared" si="193"/>
        <v/>
      </c>
      <c r="AD1238" t="str">
        <f t="shared" si="194"/>
        <v/>
      </c>
      <c r="AE1238" t="str">
        <f t="shared" si="195"/>
        <v>Wednesday</v>
      </c>
      <c r="AF1238" t="str">
        <f t="shared" si="196"/>
        <v/>
      </c>
      <c r="AG1238" t="str">
        <f t="shared" si="197"/>
        <v/>
      </c>
      <c r="AH1238" t="str">
        <f t="shared" si="198"/>
        <v/>
      </c>
      <c r="AI1238" t="str">
        <f t="shared" si="199"/>
        <v/>
      </c>
      <c r="AJ1238" t="str">
        <f>LEFT(Table1[[#This Row],[membership_type]],2)&amp;TEXT(Table1[[#This Row],[age]],"00")&amp;"-"&amp;TEXT(ROW(),"000")</f>
        <v>Pr19-1238</v>
      </c>
      <c r="AK1238" t="str">
        <f>LEFT(Table1[[#This Row],[membership_type]],1)&amp;TEXT(MATCH(Table1[[#This Row],[membership_type]],Table1[membership_type],0),"00")</f>
        <v>P01</v>
      </c>
      <c r="AL1238" t="str">
        <f>LEFT(Table1[[#This Row],[discount_type]],1)&amp;TEXT(ROUND(Table1[[#This Row],[discount_rate]]*100,0),"00")</f>
        <v>L10</v>
      </c>
      <c r="AM1238" t="str" cm="1">
        <f t="array" ref="AM1238">TEXT(SUMPRODUCT(CODE(MID(Table1[[#This Row],[home_gym_location]],_xlfn.SEQUENCE(LEN(Table1[[#This Row],[home_gym_location]])),1))),"00000")</f>
        <v>00931</v>
      </c>
      <c r="AN123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38" t="str">
        <f>LEFT(_xlfn.TEXTBEFORE(Table1[[#This Row],[Location Identifier]],"-"),3) &amp; "-" &amp; _xlfn.TEXTAFTER(Table1[[#This Row],[Location Identifier]],"-")</f>
        <v>SAN-010</v>
      </c>
      <c r="AP1238" s="9">
        <f t="shared" ca="1" si="190"/>
        <v>45869</v>
      </c>
    </row>
    <row r="1239" spans="1:42" x14ac:dyDescent="0.25">
      <c r="A1239">
        <v>33</v>
      </c>
      <c r="B1239" t="s">
        <v>33</v>
      </c>
      <c r="C1239">
        <v>2</v>
      </c>
      <c r="D1239" t="s">
        <v>70</v>
      </c>
      <c r="E1239" t="b">
        <v>0</v>
      </c>
      <c r="F1239" s="1">
        <v>0.41388888888888886</v>
      </c>
      <c r="G1239" s="1">
        <v>0.53611111111111109</v>
      </c>
      <c r="H1239">
        <v>176</v>
      </c>
      <c r="I1239" t="b">
        <v>0</v>
      </c>
      <c r="J1239" t="b">
        <v>1</v>
      </c>
      <c r="K1239" t="b">
        <v>1</v>
      </c>
      <c r="L1239" t="s">
        <v>62</v>
      </c>
      <c r="M1239">
        <v>30</v>
      </c>
      <c r="N1239" t="s">
        <v>29</v>
      </c>
      <c r="O1239">
        <v>30</v>
      </c>
      <c r="P1239" t="s">
        <v>74</v>
      </c>
      <c r="Q1239">
        <v>0.15</v>
      </c>
      <c r="R1239">
        <v>25.5</v>
      </c>
      <c r="S1239" t="s">
        <v>37</v>
      </c>
      <c r="T1239" t="s">
        <v>38</v>
      </c>
      <c r="U1239">
        <v>36.7378</v>
      </c>
      <c r="V1239">
        <v>-119.7871</v>
      </c>
      <c r="W1239" s="2">
        <v>44799</v>
      </c>
      <c r="X1239">
        <v>2</v>
      </c>
      <c r="Y1239" t="b">
        <v>1</v>
      </c>
      <c r="Z1239" s="2">
        <v>45802</v>
      </c>
      <c r="AA1239" t="str">
        <f t="shared" si="191"/>
        <v>30–39</v>
      </c>
      <c r="AB1239" t="str">
        <f t="shared" si="192"/>
        <v>30–39</v>
      </c>
      <c r="AC1239" t="str">
        <f t="shared" si="193"/>
        <v/>
      </c>
      <c r="AD1239" t="str">
        <f t="shared" si="194"/>
        <v/>
      </c>
      <c r="AE1239" t="str">
        <f t="shared" si="195"/>
        <v>Wednesday</v>
      </c>
      <c r="AF1239" t="str">
        <f t="shared" si="196"/>
        <v>Thursday</v>
      </c>
      <c r="AG1239" t="str">
        <f t="shared" si="197"/>
        <v/>
      </c>
      <c r="AH1239" t="str">
        <f t="shared" si="198"/>
        <v/>
      </c>
      <c r="AI1239" t="str">
        <f t="shared" si="199"/>
        <v/>
      </c>
      <c r="AJ1239" t="str">
        <f>LEFT(Table1[[#This Row],[membership_type]],2)&amp;TEXT(Table1[[#This Row],[age]],"00")&amp;"-"&amp;TEXT(ROW(),"000")</f>
        <v>St33-1239</v>
      </c>
      <c r="AK1239" t="str">
        <f>LEFT(Table1[[#This Row],[membership_type]],1)&amp;TEXT(MATCH(Table1[[#This Row],[membership_type]],Table1[membership_type],0),"00")</f>
        <v>S02</v>
      </c>
      <c r="AL1239" t="str">
        <f>LEFT(Table1[[#This Row],[discount_type]],1)&amp;TEXT(ROUND(Table1[[#This Row],[discount_rate]]*100,0),"00")</f>
        <v>S15</v>
      </c>
      <c r="AM1239" t="str" cm="1">
        <f t="array" ref="AM1239">TEXT(SUMPRODUCT(CODE(MID(Table1[[#This Row],[home_gym_location]],_xlfn.SEQUENCE(LEN(Table1[[#This Row],[home_gym_location]])),1))),"00000")</f>
        <v>00829</v>
      </c>
      <c r="AN1239" t="str">
        <f>UPPER(_xlfn.TEXTBEFORE(Table1[[#This Row],[home_gym_location]],","))&amp;"-"&amp;TEXT(MATCH(Table1[[#This Row],[home_gym_location]],_xlfn._xlws.SORT(_xlfn.UNIQUE(Table1[home_gym_location])),0),"000")</f>
        <v>FRESNO-003</v>
      </c>
      <c r="AO1239" t="str">
        <f>LEFT(_xlfn.TEXTBEFORE(Table1[[#This Row],[Location Identifier]],"-"),3) &amp; "-" &amp; _xlfn.TEXTAFTER(Table1[[#This Row],[Location Identifier]],"-")</f>
        <v>FRE-003</v>
      </c>
      <c r="AP1239" s="9">
        <f t="shared" ca="1" si="190"/>
        <v>45869</v>
      </c>
    </row>
    <row r="1240" spans="1:42" x14ac:dyDescent="0.25">
      <c r="A1240">
        <v>33</v>
      </c>
      <c r="B1240" t="s">
        <v>42</v>
      </c>
      <c r="C1240">
        <v>2</v>
      </c>
      <c r="D1240" t="s">
        <v>88</v>
      </c>
      <c r="E1240" t="b">
        <v>1</v>
      </c>
      <c r="F1240" s="1">
        <v>0.85069444444444442</v>
      </c>
      <c r="G1240" s="1">
        <v>0.96944444444444444</v>
      </c>
      <c r="H1240">
        <v>171</v>
      </c>
      <c r="I1240" t="b">
        <v>1</v>
      </c>
      <c r="J1240" t="b">
        <v>0</v>
      </c>
      <c r="K1240" t="b">
        <v>0</v>
      </c>
      <c r="L1240" t="s">
        <v>62</v>
      </c>
      <c r="M1240">
        <v>20</v>
      </c>
      <c r="N1240" t="s">
        <v>29</v>
      </c>
      <c r="O1240">
        <v>20</v>
      </c>
      <c r="P1240" t="s">
        <v>40</v>
      </c>
      <c r="Q1240">
        <v>0.1</v>
      </c>
      <c r="R1240">
        <v>18</v>
      </c>
      <c r="S1240" t="s">
        <v>44</v>
      </c>
      <c r="T1240" t="s">
        <v>45</v>
      </c>
      <c r="U1240">
        <v>33.836599999999997</v>
      </c>
      <c r="V1240">
        <v>-117.9143</v>
      </c>
      <c r="W1240" s="2">
        <v>45633</v>
      </c>
      <c r="X1240">
        <v>0</v>
      </c>
      <c r="Y1240" t="b">
        <v>1</v>
      </c>
      <c r="Z1240" s="2">
        <v>45849</v>
      </c>
      <c r="AA1240" t="str">
        <f t="shared" si="191"/>
        <v>30–39</v>
      </c>
      <c r="AB1240" t="str">
        <f t="shared" si="192"/>
        <v>30–39</v>
      </c>
      <c r="AC1240" t="str">
        <f t="shared" si="193"/>
        <v>Monday</v>
      </c>
      <c r="AD1240" t="str">
        <f t="shared" si="194"/>
        <v/>
      </c>
      <c r="AE1240" t="str">
        <f t="shared" si="195"/>
        <v>Wednesday</v>
      </c>
      <c r="AF1240" t="str">
        <f t="shared" si="196"/>
        <v/>
      </c>
      <c r="AG1240" t="str">
        <f t="shared" si="197"/>
        <v/>
      </c>
      <c r="AH1240" t="str">
        <f t="shared" si="198"/>
        <v/>
      </c>
      <c r="AI1240" t="str">
        <f t="shared" si="199"/>
        <v/>
      </c>
      <c r="AJ1240" t="str">
        <f>LEFT(Table1[[#This Row],[membership_type]],2)&amp;TEXT(Table1[[#This Row],[age]],"00")&amp;"-"&amp;TEXT(ROW(),"000")</f>
        <v>Ba33-1240</v>
      </c>
      <c r="AK1240" t="str">
        <f>LEFT(Table1[[#This Row],[membership_type]],1)&amp;TEXT(MATCH(Table1[[#This Row],[membership_type]],Table1[membership_type],0),"00")</f>
        <v>B04</v>
      </c>
      <c r="AL1240" t="str">
        <f>LEFT(Table1[[#This Row],[discount_type]],1)&amp;TEXT(ROUND(Table1[[#This Row],[discount_rate]]*100,0),"00")</f>
        <v>L10</v>
      </c>
      <c r="AM1240" t="str" cm="1">
        <f t="array" ref="AM1240">TEXT(SUMPRODUCT(CODE(MID(Table1[[#This Row],[home_gym_location]],_xlfn.SEQUENCE(LEN(Table1[[#This Row],[home_gym_location]])),1))),"00000")</f>
        <v>00899</v>
      </c>
      <c r="AN124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40" t="str">
        <f>LEFT(_xlfn.TEXTBEFORE(Table1[[#This Row],[Location Identifier]],"-"),3) &amp; "-" &amp; _xlfn.TEXTAFTER(Table1[[#This Row],[Location Identifier]],"-")</f>
        <v>ANA-001</v>
      </c>
      <c r="AP1240" s="9">
        <f t="shared" ca="1" si="190"/>
        <v>45869</v>
      </c>
    </row>
    <row r="1241" spans="1:42" x14ac:dyDescent="0.25">
      <c r="A1241">
        <v>22</v>
      </c>
      <c r="B1241" t="s">
        <v>42</v>
      </c>
      <c r="C1241">
        <v>3</v>
      </c>
      <c r="D1241" t="s">
        <v>140</v>
      </c>
      <c r="E1241" t="b">
        <v>1</v>
      </c>
      <c r="F1241" s="1">
        <v>0.69236111111111109</v>
      </c>
      <c r="G1241" s="1">
        <v>0.7416666666666667</v>
      </c>
      <c r="H1241">
        <v>71</v>
      </c>
      <c r="I1241" t="b">
        <v>1</v>
      </c>
      <c r="J1241" t="b">
        <v>0</v>
      </c>
      <c r="K1241" t="b">
        <v>1</v>
      </c>
      <c r="L1241" t="s">
        <v>62</v>
      </c>
      <c r="M1241">
        <v>20</v>
      </c>
      <c r="N1241" t="s">
        <v>29</v>
      </c>
      <c r="O1241">
        <v>20</v>
      </c>
      <c r="P1241" t="s">
        <v>30</v>
      </c>
      <c r="Q1241">
        <v>0.05</v>
      </c>
      <c r="R1241">
        <v>19</v>
      </c>
      <c r="S1241" t="s">
        <v>44</v>
      </c>
      <c r="T1241" t="s">
        <v>50</v>
      </c>
      <c r="U1241">
        <v>34.052199999999999</v>
      </c>
      <c r="V1241">
        <v>-118.2437</v>
      </c>
      <c r="W1241" s="2">
        <v>44905</v>
      </c>
      <c r="X1241">
        <v>0</v>
      </c>
      <c r="Y1241" t="b">
        <v>0</v>
      </c>
      <c r="Z1241" s="2">
        <v>45808</v>
      </c>
      <c r="AA1241" t="str">
        <f t="shared" si="191"/>
        <v>20–29</v>
      </c>
      <c r="AB1241" t="str">
        <f t="shared" si="192"/>
        <v>20–29</v>
      </c>
      <c r="AC1241" t="str">
        <f t="shared" si="193"/>
        <v>Monday</v>
      </c>
      <c r="AD1241" t="str">
        <f t="shared" si="194"/>
        <v>Tuesday</v>
      </c>
      <c r="AE1241" t="str">
        <f t="shared" si="195"/>
        <v/>
      </c>
      <c r="AF1241" t="str">
        <f t="shared" si="196"/>
        <v/>
      </c>
      <c r="AG1241" t="str">
        <f t="shared" si="197"/>
        <v>Friday</v>
      </c>
      <c r="AH1241" t="str">
        <f t="shared" si="198"/>
        <v/>
      </c>
      <c r="AI1241" t="str">
        <f t="shared" si="199"/>
        <v/>
      </c>
      <c r="AJ1241" t="str">
        <f>LEFT(Table1[[#This Row],[membership_type]],2)&amp;TEXT(Table1[[#This Row],[age]],"00")&amp;"-"&amp;TEXT(ROW(),"000")</f>
        <v>Ba22-1241</v>
      </c>
      <c r="AK1241" t="str">
        <f>LEFT(Table1[[#This Row],[membership_type]],1)&amp;TEXT(MATCH(Table1[[#This Row],[membership_type]],Table1[membership_type],0),"00")</f>
        <v>B04</v>
      </c>
      <c r="AL1241" t="str">
        <f>LEFT(Table1[[#This Row],[discount_type]],1)&amp;TEXT(ROUND(Table1[[#This Row],[discount_rate]]*100,0),"00")</f>
        <v>P05</v>
      </c>
      <c r="AM1241" t="str" cm="1">
        <f t="array" ref="AM1241">TEXT(SUMPRODUCT(CODE(MID(Table1[[#This Row],[home_gym_location]],_xlfn.SEQUENCE(LEN(Table1[[#This Row],[home_gym_location]])),1))),"00000")</f>
        <v>01245</v>
      </c>
      <c r="AN124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41" t="str">
        <f>LEFT(_xlfn.TEXTBEFORE(Table1[[#This Row],[Location Identifier]],"-"),3) &amp; "-" &amp; _xlfn.TEXTAFTER(Table1[[#This Row],[Location Identifier]],"-")</f>
        <v>LOS-005</v>
      </c>
      <c r="AP1241" s="9">
        <f t="shared" ca="1" si="190"/>
        <v>45869</v>
      </c>
    </row>
    <row r="1242" spans="1:42" x14ac:dyDescent="0.25">
      <c r="A1242">
        <v>39</v>
      </c>
      <c r="B1242" t="s">
        <v>42</v>
      </c>
      <c r="C1242">
        <v>5</v>
      </c>
      <c r="D1242" t="s">
        <v>104</v>
      </c>
      <c r="E1242" t="b">
        <v>1</v>
      </c>
      <c r="F1242" s="1">
        <v>0.67013888888888884</v>
      </c>
      <c r="G1242" s="1">
        <v>0.77916666666666667</v>
      </c>
      <c r="H1242">
        <v>157</v>
      </c>
      <c r="I1242" t="b">
        <v>0</v>
      </c>
      <c r="J1242" t="b">
        <v>1</v>
      </c>
      <c r="K1242" t="b">
        <v>0</v>
      </c>
      <c r="L1242" t="s">
        <v>28</v>
      </c>
      <c r="M1242">
        <v>20</v>
      </c>
      <c r="N1242" t="s">
        <v>29</v>
      </c>
      <c r="O1242">
        <v>20</v>
      </c>
      <c r="P1242" t="s">
        <v>40</v>
      </c>
      <c r="Q1242">
        <v>0.1</v>
      </c>
      <c r="R1242">
        <v>18</v>
      </c>
      <c r="S1242" t="s">
        <v>44</v>
      </c>
      <c r="T1242" t="s">
        <v>32</v>
      </c>
      <c r="U1242">
        <v>37.338200000000001</v>
      </c>
      <c r="V1242">
        <v>-121.88630000000001</v>
      </c>
      <c r="W1242" s="2">
        <v>45003</v>
      </c>
      <c r="X1242">
        <v>5</v>
      </c>
      <c r="Y1242" t="b">
        <v>0</v>
      </c>
      <c r="Z1242" s="2">
        <v>45814</v>
      </c>
      <c r="AA1242" t="str">
        <f t="shared" si="191"/>
        <v>30–39</v>
      </c>
      <c r="AB1242" t="str">
        <f t="shared" si="192"/>
        <v>30–39</v>
      </c>
      <c r="AC1242" t="str">
        <f t="shared" si="193"/>
        <v/>
      </c>
      <c r="AD1242" t="str">
        <f t="shared" si="194"/>
        <v>Tuesday</v>
      </c>
      <c r="AE1242" t="str">
        <f t="shared" si="195"/>
        <v>Wednesday</v>
      </c>
      <c r="AF1242" t="str">
        <f t="shared" si="196"/>
        <v>Thursday</v>
      </c>
      <c r="AG1242" t="str">
        <f t="shared" si="197"/>
        <v/>
      </c>
      <c r="AH1242" t="str">
        <f t="shared" si="198"/>
        <v>Saturday</v>
      </c>
      <c r="AI1242" t="str">
        <f t="shared" si="199"/>
        <v>Sunday</v>
      </c>
      <c r="AJ1242" t="str">
        <f>LEFT(Table1[[#This Row],[membership_type]],2)&amp;TEXT(Table1[[#This Row],[age]],"00")&amp;"-"&amp;TEXT(ROW(),"000")</f>
        <v>Ba39-1242</v>
      </c>
      <c r="AK1242" t="str">
        <f>LEFT(Table1[[#This Row],[membership_type]],1)&amp;TEXT(MATCH(Table1[[#This Row],[membership_type]],Table1[membership_type],0),"00")</f>
        <v>B04</v>
      </c>
      <c r="AL1242" t="str">
        <f>LEFT(Table1[[#This Row],[discount_type]],1)&amp;TEXT(ROUND(Table1[[#This Row],[discount_rate]]*100,0),"00")</f>
        <v>L10</v>
      </c>
      <c r="AM1242" t="str" cm="1">
        <f t="array" ref="AM1242">TEXT(SUMPRODUCT(CODE(MID(Table1[[#This Row],[home_gym_location]],_xlfn.SEQUENCE(LEN(Table1[[#This Row],[home_gym_location]])),1))),"00000")</f>
        <v>00931</v>
      </c>
      <c r="AN124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42" t="str">
        <f>LEFT(_xlfn.TEXTBEFORE(Table1[[#This Row],[Location Identifier]],"-"),3) &amp; "-" &amp; _xlfn.TEXTAFTER(Table1[[#This Row],[Location Identifier]],"-")</f>
        <v>SAN-010</v>
      </c>
      <c r="AP1242" s="9">
        <f t="shared" ca="1" si="190"/>
        <v>45869</v>
      </c>
    </row>
    <row r="1243" spans="1:42" x14ac:dyDescent="0.25">
      <c r="A1243">
        <v>22</v>
      </c>
      <c r="B1243" t="s">
        <v>51</v>
      </c>
      <c r="C1243">
        <v>3</v>
      </c>
      <c r="D1243" t="s">
        <v>106</v>
      </c>
      <c r="E1243" t="b">
        <v>1</v>
      </c>
      <c r="F1243" s="1">
        <v>0.49027777777777776</v>
      </c>
      <c r="G1243" s="1">
        <v>0.57430555555555551</v>
      </c>
      <c r="H1243">
        <v>121</v>
      </c>
      <c r="I1243" t="b">
        <v>0</v>
      </c>
      <c r="J1243" t="b">
        <v>1</v>
      </c>
      <c r="K1243" t="b">
        <v>1</v>
      </c>
      <c r="L1243" t="s">
        <v>62</v>
      </c>
      <c r="M1243">
        <v>70</v>
      </c>
      <c r="N1243" t="s">
        <v>29</v>
      </c>
      <c r="O1243">
        <v>70</v>
      </c>
      <c r="P1243" t="s">
        <v>36</v>
      </c>
      <c r="Q1243">
        <v>0</v>
      </c>
      <c r="R1243">
        <v>70</v>
      </c>
      <c r="S1243" t="s">
        <v>53</v>
      </c>
      <c r="T1243" t="s">
        <v>54</v>
      </c>
      <c r="U1243">
        <v>32.715699999999998</v>
      </c>
      <c r="V1243">
        <v>-117.1611</v>
      </c>
      <c r="W1243" s="2">
        <v>45009</v>
      </c>
      <c r="X1243">
        <v>8</v>
      </c>
      <c r="Y1243" t="b">
        <v>0</v>
      </c>
      <c r="Z1243" s="2">
        <v>45814</v>
      </c>
      <c r="AA1243" t="str">
        <f t="shared" si="191"/>
        <v>20–29</v>
      </c>
      <c r="AB1243" t="str">
        <f t="shared" si="192"/>
        <v>20–29</v>
      </c>
      <c r="AC1243" t="str">
        <f t="shared" si="193"/>
        <v/>
      </c>
      <c r="AD1243" t="str">
        <f t="shared" si="194"/>
        <v/>
      </c>
      <c r="AE1243" t="str">
        <f t="shared" si="195"/>
        <v>Wednesday</v>
      </c>
      <c r="AF1243" t="str">
        <f t="shared" si="196"/>
        <v>Thursday</v>
      </c>
      <c r="AG1243" t="str">
        <f t="shared" si="197"/>
        <v>Friday</v>
      </c>
      <c r="AH1243" t="str">
        <f t="shared" si="198"/>
        <v/>
      </c>
      <c r="AI1243" t="str">
        <f t="shared" si="199"/>
        <v/>
      </c>
      <c r="AJ1243" t="str">
        <f>LEFT(Table1[[#This Row],[membership_type]],2)&amp;TEXT(Table1[[#This Row],[age]],"00")&amp;"-"&amp;TEXT(ROW(),"000")</f>
        <v>El22-1243</v>
      </c>
      <c r="AK1243" t="str">
        <f>LEFT(Table1[[#This Row],[membership_type]],1)&amp;TEXT(MATCH(Table1[[#This Row],[membership_type]],Table1[membership_type],0),"00")</f>
        <v>E07</v>
      </c>
      <c r="AL1243" t="str">
        <f>LEFT(Table1[[#This Row],[discount_type]],1)&amp;TEXT(ROUND(Table1[[#This Row],[discount_rate]]*100,0),"00")</f>
        <v>N00</v>
      </c>
      <c r="AM1243" t="str" cm="1">
        <f t="array" ref="AM1243">TEXT(SUMPRODUCT(CODE(MID(Table1[[#This Row],[home_gym_location]],_xlfn.SEQUENCE(LEN(Table1[[#This Row],[home_gym_location]])),1))),"00000")</f>
        <v>01018</v>
      </c>
      <c r="AN124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43" t="str">
        <f>LEFT(_xlfn.TEXTBEFORE(Table1[[#This Row],[Location Identifier]],"-"),3) &amp; "-" &amp; _xlfn.TEXTAFTER(Table1[[#This Row],[Location Identifier]],"-")</f>
        <v>SAN-008</v>
      </c>
      <c r="AP1243" s="9">
        <f t="shared" ca="1" si="190"/>
        <v>45869</v>
      </c>
    </row>
    <row r="1244" spans="1:42" x14ac:dyDescent="0.25">
      <c r="A1244">
        <v>43</v>
      </c>
      <c r="B1244" t="s">
        <v>26</v>
      </c>
      <c r="C1244">
        <v>3</v>
      </c>
      <c r="D1244" t="s">
        <v>102</v>
      </c>
      <c r="E1244" t="b">
        <v>1</v>
      </c>
      <c r="F1244" s="1">
        <v>0.56944444444444442</v>
      </c>
      <c r="G1244" s="1">
        <v>0.68472222222222223</v>
      </c>
      <c r="H1244">
        <v>166</v>
      </c>
      <c r="I1244" t="b">
        <v>1</v>
      </c>
      <c r="J1244" t="b">
        <v>1</v>
      </c>
      <c r="K1244" t="b">
        <v>1</v>
      </c>
      <c r="L1244" t="s">
        <v>58</v>
      </c>
      <c r="M1244">
        <v>50</v>
      </c>
      <c r="N1244" t="s">
        <v>78</v>
      </c>
      <c r="O1244">
        <v>45</v>
      </c>
      <c r="P1244" t="s">
        <v>40</v>
      </c>
      <c r="Q1244">
        <v>0.1</v>
      </c>
      <c r="R1244">
        <v>40.5</v>
      </c>
      <c r="S1244" t="s">
        <v>31</v>
      </c>
      <c r="T1244" t="s">
        <v>50</v>
      </c>
      <c r="U1244">
        <v>34.052199999999999</v>
      </c>
      <c r="V1244">
        <v>-118.2437</v>
      </c>
      <c r="W1244" s="2">
        <v>44931</v>
      </c>
      <c r="X1244">
        <v>1</v>
      </c>
      <c r="Y1244" t="b">
        <v>1</v>
      </c>
      <c r="Z1244" s="2">
        <v>45810</v>
      </c>
      <c r="AA1244" t="str">
        <f t="shared" si="191"/>
        <v>40–49</v>
      </c>
      <c r="AB1244" t="str">
        <f t="shared" si="192"/>
        <v>40–49</v>
      </c>
      <c r="AC1244" t="str">
        <f t="shared" si="193"/>
        <v/>
      </c>
      <c r="AD1244" t="str">
        <f t="shared" si="194"/>
        <v/>
      </c>
      <c r="AE1244" t="str">
        <f t="shared" si="195"/>
        <v/>
      </c>
      <c r="AF1244" t="str">
        <f t="shared" si="196"/>
        <v>Thursday</v>
      </c>
      <c r="AG1244" t="str">
        <f t="shared" si="197"/>
        <v>Friday</v>
      </c>
      <c r="AH1244" t="str">
        <f t="shared" si="198"/>
        <v>Saturday</v>
      </c>
      <c r="AI1244" t="str">
        <f t="shared" si="199"/>
        <v/>
      </c>
      <c r="AJ1244" t="str">
        <f>LEFT(Table1[[#This Row],[membership_type]],2)&amp;TEXT(Table1[[#This Row],[age]],"00")&amp;"-"&amp;TEXT(ROW(),"000")</f>
        <v>Pr43-1244</v>
      </c>
      <c r="AK1244" t="str">
        <f>LEFT(Table1[[#This Row],[membership_type]],1)&amp;TEXT(MATCH(Table1[[#This Row],[membership_type]],Table1[membership_type],0),"00")</f>
        <v>P01</v>
      </c>
      <c r="AL1244" t="str">
        <f>LEFT(Table1[[#This Row],[discount_type]],1)&amp;TEXT(ROUND(Table1[[#This Row],[discount_rate]]*100,0),"00")</f>
        <v>L10</v>
      </c>
      <c r="AM1244" t="str" cm="1">
        <f t="array" ref="AM1244">TEXT(SUMPRODUCT(CODE(MID(Table1[[#This Row],[home_gym_location]],_xlfn.SEQUENCE(LEN(Table1[[#This Row],[home_gym_location]])),1))),"00000")</f>
        <v>01245</v>
      </c>
      <c r="AN124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44" t="str">
        <f>LEFT(_xlfn.TEXTBEFORE(Table1[[#This Row],[Location Identifier]],"-"),3) &amp; "-" &amp; _xlfn.TEXTAFTER(Table1[[#This Row],[Location Identifier]],"-")</f>
        <v>LOS-005</v>
      </c>
      <c r="AP1244" s="9">
        <f t="shared" ca="1" si="190"/>
        <v>45869</v>
      </c>
    </row>
    <row r="1245" spans="1:42" x14ac:dyDescent="0.25">
      <c r="A1245">
        <v>35</v>
      </c>
      <c r="B1245" t="s">
        <v>26</v>
      </c>
      <c r="C1245">
        <v>3</v>
      </c>
      <c r="D1245" t="s">
        <v>83</v>
      </c>
      <c r="E1245" t="b">
        <v>0</v>
      </c>
      <c r="F1245" s="1">
        <v>0.69097222222222221</v>
      </c>
      <c r="G1245" s="1">
        <v>0.73263888888888884</v>
      </c>
      <c r="H1245">
        <v>60</v>
      </c>
      <c r="I1245" t="b">
        <v>1</v>
      </c>
      <c r="J1245" t="b">
        <v>0</v>
      </c>
      <c r="K1245" t="b">
        <v>0</v>
      </c>
      <c r="L1245" t="s">
        <v>62</v>
      </c>
      <c r="M1245">
        <v>50</v>
      </c>
      <c r="N1245" t="s">
        <v>64</v>
      </c>
      <c r="O1245">
        <v>37.5</v>
      </c>
      <c r="P1245" t="s">
        <v>36</v>
      </c>
      <c r="Q1245">
        <v>0</v>
      </c>
      <c r="R1245">
        <v>37.5</v>
      </c>
      <c r="S1245" t="s">
        <v>31</v>
      </c>
      <c r="T1245" t="s">
        <v>32</v>
      </c>
      <c r="U1245">
        <v>37.338200000000001</v>
      </c>
      <c r="V1245">
        <v>-121.88630000000001</v>
      </c>
      <c r="W1245" s="2">
        <v>45020</v>
      </c>
      <c r="X1245">
        <v>0</v>
      </c>
      <c r="Y1245" t="b">
        <v>1</v>
      </c>
      <c r="Z1245" s="2">
        <v>45815</v>
      </c>
      <c r="AA1245" t="str">
        <f t="shared" si="191"/>
        <v>30–39</v>
      </c>
      <c r="AB1245" t="str">
        <f t="shared" si="192"/>
        <v>30–39</v>
      </c>
      <c r="AC1245" t="str">
        <f t="shared" si="193"/>
        <v/>
      </c>
      <c r="AD1245" t="str">
        <f t="shared" si="194"/>
        <v>Tuesday</v>
      </c>
      <c r="AE1245" t="str">
        <f t="shared" si="195"/>
        <v>Wednesday</v>
      </c>
      <c r="AF1245" t="str">
        <f t="shared" si="196"/>
        <v/>
      </c>
      <c r="AG1245" t="str">
        <f t="shared" si="197"/>
        <v/>
      </c>
      <c r="AH1245" t="str">
        <f t="shared" si="198"/>
        <v>Saturday</v>
      </c>
      <c r="AI1245" t="str">
        <f t="shared" si="199"/>
        <v/>
      </c>
      <c r="AJ1245" t="str">
        <f>LEFT(Table1[[#This Row],[membership_type]],2)&amp;TEXT(Table1[[#This Row],[age]],"00")&amp;"-"&amp;TEXT(ROW(),"000")</f>
        <v>Pr35-1245</v>
      </c>
      <c r="AK1245" t="str">
        <f>LEFT(Table1[[#This Row],[membership_type]],1)&amp;TEXT(MATCH(Table1[[#This Row],[membership_type]],Table1[membership_type],0),"00")</f>
        <v>P01</v>
      </c>
      <c r="AL1245" t="str">
        <f>LEFT(Table1[[#This Row],[discount_type]],1)&amp;TEXT(ROUND(Table1[[#This Row],[discount_rate]]*100,0),"00")</f>
        <v>N00</v>
      </c>
      <c r="AM1245" t="str" cm="1">
        <f t="array" ref="AM1245">TEXT(SUMPRODUCT(CODE(MID(Table1[[#This Row],[home_gym_location]],_xlfn.SEQUENCE(LEN(Table1[[#This Row],[home_gym_location]])),1))),"00000")</f>
        <v>00931</v>
      </c>
      <c r="AN124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45" t="str">
        <f>LEFT(_xlfn.TEXTBEFORE(Table1[[#This Row],[Location Identifier]],"-"),3) &amp; "-" &amp; _xlfn.TEXTAFTER(Table1[[#This Row],[Location Identifier]],"-")</f>
        <v>SAN-010</v>
      </c>
      <c r="AP1245" s="9">
        <f t="shared" ca="1" si="190"/>
        <v>45869</v>
      </c>
    </row>
    <row r="1246" spans="1:42" x14ac:dyDescent="0.25">
      <c r="A1246">
        <v>26</v>
      </c>
      <c r="B1246" t="s">
        <v>26</v>
      </c>
      <c r="C1246">
        <v>5</v>
      </c>
      <c r="D1246" t="s">
        <v>69</v>
      </c>
      <c r="E1246" t="b">
        <v>1</v>
      </c>
      <c r="F1246" s="1">
        <v>0.71597222222222223</v>
      </c>
      <c r="G1246" s="1">
        <v>0.75138888888888888</v>
      </c>
      <c r="H1246">
        <v>51</v>
      </c>
      <c r="I1246" t="b">
        <v>0</v>
      </c>
      <c r="J1246" t="b">
        <v>1</v>
      </c>
      <c r="K1246" t="b">
        <v>1</v>
      </c>
      <c r="L1246" t="s">
        <v>62</v>
      </c>
      <c r="M1246">
        <v>50</v>
      </c>
      <c r="N1246" t="s">
        <v>64</v>
      </c>
      <c r="O1246">
        <v>37.5</v>
      </c>
      <c r="P1246" t="s">
        <v>74</v>
      </c>
      <c r="Q1246">
        <v>0.15</v>
      </c>
      <c r="R1246">
        <v>31.875</v>
      </c>
      <c r="S1246" t="s">
        <v>31</v>
      </c>
      <c r="T1246" t="s">
        <v>65</v>
      </c>
      <c r="U1246">
        <v>33.770099999999999</v>
      </c>
      <c r="V1246">
        <v>-118.19370000000001</v>
      </c>
      <c r="W1246" s="2">
        <v>45164</v>
      </c>
      <c r="X1246">
        <v>3</v>
      </c>
      <c r="Y1246" t="b">
        <v>1</v>
      </c>
      <c r="Z1246" s="2">
        <v>45823</v>
      </c>
      <c r="AA1246" t="str">
        <f t="shared" si="191"/>
        <v>20–29</v>
      </c>
      <c r="AB1246" t="str">
        <f t="shared" si="192"/>
        <v>20–29</v>
      </c>
      <c r="AC1246" t="str">
        <f t="shared" si="193"/>
        <v>Monday</v>
      </c>
      <c r="AD1246" t="str">
        <f t="shared" si="194"/>
        <v/>
      </c>
      <c r="AE1246" t="str">
        <f t="shared" si="195"/>
        <v>Wednesday</v>
      </c>
      <c r="AF1246" t="str">
        <f t="shared" si="196"/>
        <v>Thursday</v>
      </c>
      <c r="AG1246" t="str">
        <f t="shared" si="197"/>
        <v/>
      </c>
      <c r="AH1246" t="str">
        <f t="shared" si="198"/>
        <v>Saturday</v>
      </c>
      <c r="AI1246" t="str">
        <f t="shared" si="199"/>
        <v>Sunday</v>
      </c>
      <c r="AJ1246" t="str">
        <f>LEFT(Table1[[#This Row],[membership_type]],2)&amp;TEXT(Table1[[#This Row],[age]],"00")&amp;"-"&amp;TEXT(ROW(),"000")</f>
        <v>Pr26-1246</v>
      </c>
      <c r="AK1246" t="str">
        <f>LEFT(Table1[[#This Row],[membership_type]],1)&amp;TEXT(MATCH(Table1[[#This Row],[membership_type]],Table1[membership_type],0),"00")</f>
        <v>P01</v>
      </c>
      <c r="AL1246" t="str">
        <f>LEFT(Table1[[#This Row],[discount_type]],1)&amp;TEXT(ROUND(Table1[[#This Row],[discount_rate]]*100,0),"00")</f>
        <v>S15</v>
      </c>
      <c r="AM1246" t="str" cm="1">
        <f t="array" ref="AM1246">TEXT(SUMPRODUCT(CODE(MID(Table1[[#This Row],[home_gym_location]],_xlfn.SEQUENCE(LEN(Table1[[#This Row],[home_gym_location]])),1))),"00000")</f>
        <v>01107</v>
      </c>
      <c r="AN124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46" t="str">
        <f>LEFT(_xlfn.TEXTBEFORE(Table1[[#This Row],[Location Identifier]],"-"),3) &amp; "-" &amp; _xlfn.TEXTAFTER(Table1[[#This Row],[Location Identifier]],"-")</f>
        <v>LON-004</v>
      </c>
      <c r="AP1246" s="9">
        <f t="shared" ca="1" si="190"/>
        <v>45869</v>
      </c>
    </row>
    <row r="1247" spans="1:42" x14ac:dyDescent="0.25">
      <c r="A1247">
        <v>29</v>
      </c>
      <c r="B1247" t="s">
        <v>33</v>
      </c>
      <c r="C1247">
        <v>1</v>
      </c>
      <c r="D1247" t="s">
        <v>63</v>
      </c>
      <c r="E1247" t="b">
        <v>1</v>
      </c>
      <c r="F1247" s="1">
        <v>0.79861111111111116</v>
      </c>
      <c r="G1247" s="1">
        <v>0.89722222222222225</v>
      </c>
      <c r="H1247">
        <v>142</v>
      </c>
      <c r="I1247" t="b">
        <v>1</v>
      </c>
      <c r="J1247" t="b">
        <v>1</v>
      </c>
      <c r="K1247" t="b">
        <v>0</v>
      </c>
      <c r="L1247" t="s">
        <v>28</v>
      </c>
      <c r="M1247">
        <v>30</v>
      </c>
      <c r="N1247" t="s">
        <v>78</v>
      </c>
      <c r="O1247">
        <v>27</v>
      </c>
      <c r="P1247" t="s">
        <v>40</v>
      </c>
      <c r="Q1247">
        <v>0.1</v>
      </c>
      <c r="R1247">
        <v>24.3</v>
      </c>
      <c r="S1247" t="s">
        <v>37</v>
      </c>
      <c r="T1247" t="s">
        <v>48</v>
      </c>
      <c r="U1247">
        <v>38.581600000000002</v>
      </c>
      <c r="V1247">
        <v>-121.4944</v>
      </c>
      <c r="W1247" s="2">
        <v>45691</v>
      </c>
      <c r="X1247">
        <v>6</v>
      </c>
      <c r="Y1247" t="b">
        <v>1</v>
      </c>
      <c r="Z1247" s="2">
        <v>45853</v>
      </c>
      <c r="AA1247" t="str">
        <f t="shared" si="191"/>
        <v>20–29</v>
      </c>
      <c r="AB1247" t="str">
        <f t="shared" si="192"/>
        <v>20–29</v>
      </c>
      <c r="AC1247" t="str">
        <f t="shared" si="193"/>
        <v/>
      </c>
      <c r="AD1247" t="str">
        <f t="shared" si="194"/>
        <v/>
      </c>
      <c r="AE1247" t="str">
        <f t="shared" si="195"/>
        <v>Wednesday</v>
      </c>
      <c r="AF1247" t="str">
        <f t="shared" si="196"/>
        <v/>
      </c>
      <c r="AG1247" t="str">
        <f t="shared" si="197"/>
        <v/>
      </c>
      <c r="AH1247" t="str">
        <f t="shared" si="198"/>
        <v/>
      </c>
      <c r="AI1247" t="str">
        <f t="shared" si="199"/>
        <v/>
      </c>
      <c r="AJ1247" t="str">
        <f>LEFT(Table1[[#This Row],[membership_type]],2)&amp;TEXT(Table1[[#This Row],[age]],"00")&amp;"-"&amp;TEXT(ROW(),"000")</f>
        <v>St29-1247</v>
      </c>
      <c r="AK1247" t="str">
        <f>LEFT(Table1[[#This Row],[membership_type]],1)&amp;TEXT(MATCH(Table1[[#This Row],[membership_type]],Table1[membership_type],0),"00")</f>
        <v>S02</v>
      </c>
      <c r="AL1247" t="str">
        <f>LEFT(Table1[[#This Row],[discount_type]],1)&amp;TEXT(ROUND(Table1[[#This Row],[discount_rate]]*100,0),"00")</f>
        <v>L10</v>
      </c>
      <c r="AM1247" t="str" cm="1">
        <f t="array" ref="AM1247">TEXT(SUMPRODUCT(CODE(MID(Table1[[#This Row],[home_gym_location]],_xlfn.SEQUENCE(LEN(Table1[[#This Row],[home_gym_location]])),1))),"00000")</f>
        <v>01245</v>
      </c>
      <c r="AN124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47" t="str">
        <f>LEFT(_xlfn.TEXTBEFORE(Table1[[#This Row],[Location Identifier]],"-"),3) &amp; "-" &amp; _xlfn.TEXTAFTER(Table1[[#This Row],[Location Identifier]],"-")</f>
        <v>SAC-007</v>
      </c>
      <c r="AP1247" s="9">
        <f t="shared" ca="1" si="190"/>
        <v>45869</v>
      </c>
    </row>
    <row r="1248" spans="1:42" x14ac:dyDescent="0.25">
      <c r="A1248">
        <v>35</v>
      </c>
      <c r="B1248" t="s">
        <v>33</v>
      </c>
      <c r="C1248">
        <v>2</v>
      </c>
      <c r="D1248" t="s">
        <v>126</v>
      </c>
      <c r="E1248" t="b">
        <v>0</v>
      </c>
      <c r="F1248" s="1">
        <v>0.77916666666666667</v>
      </c>
      <c r="G1248" s="1">
        <v>0.90347222222222223</v>
      </c>
      <c r="H1248">
        <v>179</v>
      </c>
      <c r="I1248" t="b">
        <v>0</v>
      </c>
      <c r="J1248" t="b">
        <v>1</v>
      </c>
      <c r="K1248" t="b">
        <v>1</v>
      </c>
      <c r="L1248" t="s">
        <v>28</v>
      </c>
      <c r="M1248">
        <v>30</v>
      </c>
      <c r="N1248" t="s">
        <v>29</v>
      </c>
      <c r="O1248">
        <v>30</v>
      </c>
      <c r="P1248" t="s">
        <v>36</v>
      </c>
      <c r="Q1248">
        <v>0</v>
      </c>
      <c r="R1248">
        <v>30</v>
      </c>
      <c r="S1248" t="s">
        <v>37</v>
      </c>
      <c r="T1248" t="s">
        <v>48</v>
      </c>
      <c r="U1248">
        <v>38.581600000000002</v>
      </c>
      <c r="V1248">
        <v>-121.4944</v>
      </c>
      <c r="W1248" s="2">
        <v>45796</v>
      </c>
      <c r="X1248">
        <v>7</v>
      </c>
      <c r="Y1248" t="b">
        <v>0</v>
      </c>
      <c r="Z1248" s="2">
        <v>45859</v>
      </c>
      <c r="AA1248" t="str">
        <f t="shared" si="191"/>
        <v>30–39</v>
      </c>
      <c r="AB1248" t="str">
        <f t="shared" si="192"/>
        <v>30–39</v>
      </c>
      <c r="AC1248" t="str">
        <f t="shared" si="193"/>
        <v/>
      </c>
      <c r="AD1248" t="str">
        <f t="shared" si="194"/>
        <v>Tuesday</v>
      </c>
      <c r="AE1248" t="str">
        <f t="shared" si="195"/>
        <v>Wednesday</v>
      </c>
      <c r="AF1248" t="str">
        <f t="shared" si="196"/>
        <v/>
      </c>
      <c r="AG1248" t="str">
        <f t="shared" si="197"/>
        <v/>
      </c>
      <c r="AH1248" t="str">
        <f t="shared" si="198"/>
        <v/>
      </c>
      <c r="AI1248" t="str">
        <f t="shared" si="199"/>
        <v/>
      </c>
      <c r="AJ1248" t="str">
        <f>LEFT(Table1[[#This Row],[membership_type]],2)&amp;TEXT(Table1[[#This Row],[age]],"00")&amp;"-"&amp;TEXT(ROW(),"000")</f>
        <v>St35-1248</v>
      </c>
      <c r="AK1248" t="str">
        <f>LEFT(Table1[[#This Row],[membership_type]],1)&amp;TEXT(MATCH(Table1[[#This Row],[membership_type]],Table1[membership_type],0),"00")</f>
        <v>S02</v>
      </c>
      <c r="AL1248" t="str">
        <f>LEFT(Table1[[#This Row],[discount_type]],1)&amp;TEXT(ROUND(Table1[[#This Row],[discount_rate]]*100,0),"00")</f>
        <v>N00</v>
      </c>
      <c r="AM1248" t="str" cm="1">
        <f t="array" ref="AM1248">TEXT(SUMPRODUCT(CODE(MID(Table1[[#This Row],[home_gym_location]],_xlfn.SEQUENCE(LEN(Table1[[#This Row],[home_gym_location]])),1))),"00000")</f>
        <v>01245</v>
      </c>
      <c r="AN124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48" t="str">
        <f>LEFT(_xlfn.TEXTBEFORE(Table1[[#This Row],[Location Identifier]],"-"),3) &amp; "-" &amp; _xlfn.TEXTAFTER(Table1[[#This Row],[Location Identifier]],"-")</f>
        <v>SAC-007</v>
      </c>
      <c r="AP1248" s="9">
        <f t="shared" ca="1" si="190"/>
        <v>45869</v>
      </c>
    </row>
    <row r="1249" spans="1:42" x14ac:dyDescent="0.25">
      <c r="A1249">
        <v>47</v>
      </c>
      <c r="B1249" t="s">
        <v>26</v>
      </c>
      <c r="C1249">
        <v>2</v>
      </c>
      <c r="D1249" t="s">
        <v>123</v>
      </c>
      <c r="E1249" t="b">
        <v>1</v>
      </c>
      <c r="F1249" s="1">
        <v>0.36041666666666666</v>
      </c>
      <c r="G1249" s="1">
        <v>0.40138888888888891</v>
      </c>
      <c r="H1249">
        <v>59</v>
      </c>
      <c r="I1249" t="b">
        <v>1</v>
      </c>
      <c r="J1249" t="b">
        <v>1</v>
      </c>
      <c r="K1249" t="b">
        <v>1</v>
      </c>
      <c r="L1249" t="s">
        <v>58</v>
      </c>
      <c r="M1249">
        <v>50</v>
      </c>
      <c r="N1249" t="s">
        <v>64</v>
      </c>
      <c r="O1249">
        <v>37.5</v>
      </c>
      <c r="P1249" t="s">
        <v>40</v>
      </c>
      <c r="Q1249">
        <v>0.1</v>
      </c>
      <c r="R1249">
        <v>33.75</v>
      </c>
      <c r="S1249" t="s">
        <v>31</v>
      </c>
      <c r="T1249" t="s">
        <v>54</v>
      </c>
      <c r="U1249">
        <v>32.715699999999998</v>
      </c>
      <c r="V1249">
        <v>-117.1611</v>
      </c>
      <c r="W1249" s="2">
        <v>44850</v>
      </c>
      <c r="X1249">
        <v>6</v>
      </c>
      <c r="Y1249" t="b">
        <v>1</v>
      </c>
      <c r="Z1249" s="2">
        <v>45805</v>
      </c>
      <c r="AA1249" t="str">
        <f t="shared" si="191"/>
        <v>40–49</v>
      </c>
      <c r="AB1249" t="str">
        <f t="shared" si="192"/>
        <v>40–49</v>
      </c>
      <c r="AC1249" t="str">
        <f t="shared" si="193"/>
        <v>Monday</v>
      </c>
      <c r="AD1249" t="str">
        <f t="shared" si="194"/>
        <v/>
      </c>
      <c r="AE1249" t="str">
        <f t="shared" si="195"/>
        <v/>
      </c>
      <c r="AF1249" t="str">
        <f t="shared" si="196"/>
        <v/>
      </c>
      <c r="AG1249" t="str">
        <f t="shared" si="197"/>
        <v/>
      </c>
      <c r="AH1249" t="str">
        <f t="shared" si="198"/>
        <v>Saturday</v>
      </c>
      <c r="AI1249" t="str">
        <f t="shared" si="199"/>
        <v/>
      </c>
      <c r="AJ1249" t="str">
        <f>LEFT(Table1[[#This Row],[membership_type]],2)&amp;TEXT(Table1[[#This Row],[age]],"00")&amp;"-"&amp;TEXT(ROW(),"000")</f>
        <v>Pr47-1249</v>
      </c>
      <c r="AK1249" t="str">
        <f>LEFT(Table1[[#This Row],[membership_type]],1)&amp;TEXT(MATCH(Table1[[#This Row],[membership_type]],Table1[membership_type],0),"00")</f>
        <v>P01</v>
      </c>
      <c r="AL1249" t="str">
        <f>LEFT(Table1[[#This Row],[discount_type]],1)&amp;TEXT(ROUND(Table1[[#This Row],[discount_rate]]*100,0),"00")</f>
        <v>L10</v>
      </c>
      <c r="AM1249" t="str" cm="1">
        <f t="array" ref="AM1249">TEXT(SUMPRODUCT(CODE(MID(Table1[[#This Row],[home_gym_location]],_xlfn.SEQUENCE(LEN(Table1[[#This Row],[home_gym_location]])),1))),"00000")</f>
        <v>01018</v>
      </c>
      <c r="AN124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49" t="str">
        <f>LEFT(_xlfn.TEXTBEFORE(Table1[[#This Row],[Location Identifier]],"-"),3) &amp; "-" &amp; _xlfn.TEXTAFTER(Table1[[#This Row],[Location Identifier]],"-")</f>
        <v>SAN-008</v>
      </c>
      <c r="AP1249" s="9">
        <f t="shared" ca="1" si="190"/>
        <v>45869</v>
      </c>
    </row>
    <row r="1250" spans="1:42" x14ac:dyDescent="0.25">
      <c r="A1250">
        <v>19</v>
      </c>
      <c r="B1250" t="s">
        <v>26</v>
      </c>
      <c r="C1250">
        <v>3</v>
      </c>
      <c r="D1250" t="s">
        <v>100</v>
      </c>
      <c r="E1250" t="b">
        <v>1</v>
      </c>
      <c r="F1250" s="1">
        <v>0.62569444444444444</v>
      </c>
      <c r="G1250" s="1">
        <v>0.70763888888888893</v>
      </c>
      <c r="H1250">
        <v>118</v>
      </c>
      <c r="I1250" t="b">
        <v>1</v>
      </c>
      <c r="J1250" t="b">
        <v>0</v>
      </c>
      <c r="K1250" t="b">
        <v>0</v>
      </c>
      <c r="L1250" t="s">
        <v>28</v>
      </c>
      <c r="M1250">
        <v>50</v>
      </c>
      <c r="N1250" t="s">
        <v>64</v>
      </c>
      <c r="O1250">
        <v>37.5</v>
      </c>
      <c r="P1250" t="s">
        <v>30</v>
      </c>
      <c r="Q1250">
        <v>0.05</v>
      </c>
      <c r="R1250">
        <v>35.625</v>
      </c>
      <c r="S1250" t="s">
        <v>31</v>
      </c>
      <c r="T1250" t="s">
        <v>54</v>
      </c>
      <c r="U1250">
        <v>32.715699999999998</v>
      </c>
      <c r="V1250">
        <v>-117.1611</v>
      </c>
      <c r="W1250" s="2">
        <v>45174</v>
      </c>
      <c r="X1250">
        <v>0</v>
      </c>
      <c r="Y1250" t="b">
        <v>1</v>
      </c>
      <c r="Z1250" s="2">
        <v>45824</v>
      </c>
      <c r="AA1250" t="str">
        <f t="shared" si="191"/>
        <v>10–19</v>
      </c>
      <c r="AB1250" t="str">
        <f t="shared" si="192"/>
        <v>16–19</v>
      </c>
      <c r="AC1250" t="str">
        <f t="shared" si="193"/>
        <v/>
      </c>
      <c r="AD1250" t="str">
        <f t="shared" si="194"/>
        <v/>
      </c>
      <c r="AE1250" t="str">
        <f t="shared" si="195"/>
        <v>Wednesday</v>
      </c>
      <c r="AF1250" t="str">
        <f t="shared" si="196"/>
        <v/>
      </c>
      <c r="AG1250" t="str">
        <f t="shared" si="197"/>
        <v>Friday</v>
      </c>
      <c r="AH1250" t="str">
        <f t="shared" si="198"/>
        <v/>
      </c>
      <c r="AI1250" t="str">
        <f t="shared" si="199"/>
        <v>Sunday</v>
      </c>
      <c r="AJ1250" t="str">
        <f>LEFT(Table1[[#This Row],[membership_type]],2)&amp;TEXT(Table1[[#This Row],[age]],"00")&amp;"-"&amp;TEXT(ROW(),"000")</f>
        <v>Pr19-1250</v>
      </c>
      <c r="AK1250" t="str">
        <f>LEFT(Table1[[#This Row],[membership_type]],1)&amp;TEXT(MATCH(Table1[[#This Row],[membership_type]],Table1[membership_type],0),"00")</f>
        <v>P01</v>
      </c>
      <c r="AL1250" t="str">
        <f>LEFT(Table1[[#This Row],[discount_type]],1)&amp;TEXT(ROUND(Table1[[#This Row],[discount_rate]]*100,0),"00")</f>
        <v>P05</v>
      </c>
      <c r="AM1250" t="str" cm="1">
        <f t="array" ref="AM1250">TEXT(SUMPRODUCT(CODE(MID(Table1[[#This Row],[home_gym_location]],_xlfn.SEQUENCE(LEN(Table1[[#This Row],[home_gym_location]])),1))),"00000")</f>
        <v>01018</v>
      </c>
      <c r="AN125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50" t="str">
        <f>LEFT(_xlfn.TEXTBEFORE(Table1[[#This Row],[Location Identifier]],"-"),3) &amp; "-" &amp; _xlfn.TEXTAFTER(Table1[[#This Row],[Location Identifier]],"-")</f>
        <v>SAN-008</v>
      </c>
      <c r="AP1250" s="9">
        <f t="shared" ca="1" si="190"/>
        <v>45869</v>
      </c>
    </row>
    <row r="1251" spans="1:42" x14ac:dyDescent="0.25">
      <c r="A1251">
        <v>43</v>
      </c>
      <c r="B1251" t="s">
        <v>33</v>
      </c>
      <c r="C1251">
        <v>3</v>
      </c>
      <c r="D1251" t="s">
        <v>122</v>
      </c>
      <c r="E1251" t="b">
        <v>0</v>
      </c>
      <c r="F1251" s="1">
        <v>0.77569444444444446</v>
      </c>
      <c r="G1251" s="1">
        <v>0.84375</v>
      </c>
      <c r="H1251">
        <v>98</v>
      </c>
      <c r="I1251" t="b">
        <v>0</v>
      </c>
      <c r="J1251" t="b">
        <v>1</v>
      </c>
      <c r="K1251" t="b">
        <v>1</v>
      </c>
      <c r="L1251" t="s">
        <v>62</v>
      </c>
      <c r="M1251">
        <v>30</v>
      </c>
      <c r="N1251" t="s">
        <v>78</v>
      </c>
      <c r="O1251">
        <v>27</v>
      </c>
      <c r="P1251" t="s">
        <v>40</v>
      </c>
      <c r="Q1251">
        <v>0.1</v>
      </c>
      <c r="R1251">
        <v>24.3</v>
      </c>
      <c r="S1251" t="s">
        <v>37</v>
      </c>
      <c r="T1251" t="s">
        <v>38</v>
      </c>
      <c r="U1251">
        <v>36.7378</v>
      </c>
      <c r="V1251">
        <v>-119.7871</v>
      </c>
      <c r="W1251" s="2">
        <v>44982</v>
      </c>
      <c r="X1251">
        <v>5</v>
      </c>
      <c r="Y1251" t="b">
        <v>0</v>
      </c>
      <c r="Z1251" s="2">
        <v>45813</v>
      </c>
      <c r="AA1251" t="str">
        <f t="shared" si="191"/>
        <v>40–49</v>
      </c>
      <c r="AB1251" t="str">
        <f t="shared" si="192"/>
        <v>40–49</v>
      </c>
      <c r="AC1251" t="str">
        <f t="shared" si="193"/>
        <v/>
      </c>
      <c r="AD1251" t="str">
        <f t="shared" si="194"/>
        <v>Tuesday</v>
      </c>
      <c r="AE1251" t="str">
        <f t="shared" si="195"/>
        <v/>
      </c>
      <c r="AF1251" t="str">
        <f t="shared" si="196"/>
        <v/>
      </c>
      <c r="AG1251" t="str">
        <f t="shared" si="197"/>
        <v>Friday</v>
      </c>
      <c r="AH1251" t="str">
        <f t="shared" si="198"/>
        <v/>
      </c>
      <c r="AI1251" t="str">
        <f t="shared" si="199"/>
        <v>Sunday</v>
      </c>
      <c r="AJ1251" t="str">
        <f>LEFT(Table1[[#This Row],[membership_type]],2)&amp;TEXT(Table1[[#This Row],[age]],"00")&amp;"-"&amp;TEXT(ROW(),"000")</f>
        <v>St43-1251</v>
      </c>
      <c r="AK1251" t="str">
        <f>LEFT(Table1[[#This Row],[membership_type]],1)&amp;TEXT(MATCH(Table1[[#This Row],[membership_type]],Table1[membership_type],0),"00")</f>
        <v>S02</v>
      </c>
      <c r="AL1251" t="str">
        <f>LEFT(Table1[[#This Row],[discount_type]],1)&amp;TEXT(ROUND(Table1[[#This Row],[discount_rate]]*100,0),"00")</f>
        <v>L10</v>
      </c>
      <c r="AM1251" t="str" cm="1">
        <f t="array" ref="AM1251">TEXT(SUMPRODUCT(CODE(MID(Table1[[#This Row],[home_gym_location]],_xlfn.SEQUENCE(LEN(Table1[[#This Row],[home_gym_location]])),1))),"00000")</f>
        <v>00829</v>
      </c>
      <c r="AN1251" t="str">
        <f>UPPER(_xlfn.TEXTBEFORE(Table1[[#This Row],[home_gym_location]],","))&amp;"-"&amp;TEXT(MATCH(Table1[[#This Row],[home_gym_location]],_xlfn._xlws.SORT(_xlfn.UNIQUE(Table1[home_gym_location])),0),"000")</f>
        <v>FRESNO-003</v>
      </c>
      <c r="AO1251" t="str">
        <f>LEFT(_xlfn.TEXTBEFORE(Table1[[#This Row],[Location Identifier]],"-"),3) &amp; "-" &amp; _xlfn.TEXTAFTER(Table1[[#This Row],[Location Identifier]],"-")</f>
        <v>FRE-003</v>
      </c>
      <c r="AP1251" s="9">
        <f t="shared" ca="1" si="190"/>
        <v>45869</v>
      </c>
    </row>
    <row r="1252" spans="1:42" x14ac:dyDescent="0.25">
      <c r="A1252">
        <v>24</v>
      </c>
      <c r="B1252" t="s">
        <v>26</v>
      </c>
      <c r="C1252">
        <v>5</v>
      </c>
      <c r="D1252" t="s">
        <v>115</v>
      </c>
      <c r="E1252" t="b">
        <v>0</v>
      </c>
      <c r="F1252" s="1">
        <v>0.87013888888888891</v>
      </c>
      <c r="G1252" s="1">
        <v>0.98124999999999996</v>
      </c>
      <c r="H1252">
        <v>160</v>
      </c>
      <c r="I1252" t="b">
        <v>1</v>
      </c>
      <c r="J1252" t="b">
        <v>0</v>
      </c>
      <c r="K1252" t="b">
        <v>0</v>
      </c>
      <c r="L1252" t="s">
        <v>28</v>
      </c>
      <c r="M1252">
        <v>50</v>
      </c>
      <c r="N1252" t="s">
        <v>29</v>
      </c>
      <c r="O1252">
        <v>50</v>
      </c>
      <c r="P1252" t="s">
        <v>40</v>
      </c>
      <c r="Q1252">
        <v>0.1</v>
      </c>
      <c r="R1252">
        <v>45</v>
      </c>
      <c r="S1252" t="s">
        <v>31</v>
      </c>
      <c r="T1252" t="s">
        <v>56</v>
      </c>
      <c r="U1252">
        <v>35.3733</v>
      </c>
      <c r="V1252">
        <v>-119.0187</v>
      </c>
      <c r="W1252" s="2">
        <v>45318</v>
      </c>
      <c r="X1252">
        <v>0</v>
      </c>
      <c r="Y1252" t="b">
        <v>1</v>
      </c>
      <c r="Z1252" s="2">
        <v>45832</v>
      </c>
      <c r="AA1252" t="str">
        <f t="shared" si="191"/>
        <v>20–29</v>
      </c>
      <c r="AB1252" t="str">
        <f t="shared" si="192"/>
        <v>20–29</v>
      </c>
      <c r="AC1252" t="str">
        <f t="shared" si="193"/>
        <v>Monday</v>
      </c>
      <c r="AD1252" t="str">
        <f t="shared" si="194"/>
        <v/>
      </c>
      <c r="AE1252" t="str">
        <f t="shared" si="195"/>
        <v>Wednesday</v>
      </c>
      <c r="AF1252" t="str">
        <f t="shared" si="196"/>
        <v/>
      </c>
      <c r="AG1252" t="str">
        <f t="shared" si="197"/>
        <v>Friday</v>
      </c>
      <c r="AH1252" t="str">
        <f t="shared" si="198"/>
        <v>Saturday</v>
      </c>
      <c r="AI1252" t="str">
        <f t="shared" si="199"/>
        <v>Sunday</v>
      </c>
      <c r="AJ1252" t="str">
        <f>LEFT(Table1[[#This Row],[membership_type]],2)&amp;TEXT(Table1[[#This Row],[age]],"00")&amp;"-"&amp;TEXT(ROW(),"000")</f>
        <v>Pr24-1252</v>
      </c>
      <c r="AK1252" t="str">
        <f>LEFT(Table1[[#This Row],[membership_type]],1)&amp;TEXT(MATCH(Table1[[#This Row],[membership_type]],Table1[membership_type],0),"00")</f>
        <v>P01</v>
      </c>
      <c r="AL1252" t="str">
        <f>LEFT(Table1[[#This Row],[discount_type]],1)&amp;TEXT(ROUND(Table1[[#This Row],[discount_rate]]*100,0),"00")</f>
        <v>L10</v>
      </c>
      <c r="AM1252" t="str" cm="1">
        <f t="array" ref="AM1252">TEXT(SUMPRODUCT(CODE(MID(Table1[[#This Row],[home_gym_location]],_xlfn.SEQUENCE(LEN(Table1[[#This Row],[home_gym_location]])),1))),"00000")</f>
        <v>01324</v>
      </c>
      <c r="AN125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52" t="str">
        <f>LEFT(_xlfn.TEXTBEFORE(Table1[[#This Row],[Location Identifier]],"-"),3) &amp; "-" &amp; _xlfn.TEXTAFTER(Table1[[#This Row],[Location Identifier]],"-")</f>
        <v>BAK-002</v>
      </c>
      <c r="AP1252" s="9">
        <f t="shared" ca="1" si="190"/>
        <v>45869</v>
      </c>
    </row>
    <row r="1253" spans="1:42" x14ac:dyDescent="0.25">
      <c r="A1253">
        <v>15</v>
      </c>
      <c r="B1253" t="s">
        <v>42</v>
      </c>
      <c r="C1253">
        <v>2</v>
      </c>
      <c r="D1253" t="s">
        <v>92</v>
      </c>
      <c r="E1253" t="b">
        <v>1</v>
      </c>
      <c r="F1253" s="1">
        <v>0.59722222222222221</v>
      </c>
      <c r="G1253" s="1">
        <v>0.70902777777777781</v>
      </c>
      <c r="H1253">
        <v>161</v>
      </c>
      <c r="I1253" t="b">
        <v>0</v>
      </c>
      <c r="J1253" t="b">
        <v>0</v>
      </c>
      <c r="K1253" t="b">
        <v>0</v>
      </c>
      <c r="L1253" t="s">
        <v>35</v>
      </c>
      <c r="M1253">
        <v>20</v>
      </c>
      <c r="N1253" t="s">
        <v>29</v>
      </c>
      <c r="O1253">
        <v>20</v>
      </c>
      <c r="P1253" t="s">
        <v>36</v>
      </c>
      <c r="Q1253">
        <v>0</v>
      </c>
      <c r="R1253">
        <v>20</v>
      </c>
      <c r="S1253" t="s">
        <v>44</v>
      </c>
      <c r="T1253" t="s">
        <v>45</v>
      </c>
      <c r="U1253">
        <v>33.836599999999997</v>
      </c>
      <c r="V1253">
        <v>-117.9143</v>
      </c>
      <c r="W1253" s="2">
        <v>45706</v>
      </c>
      <c r="X1253">
        <v>0</v>
      </c>
      <c r="Y1253" t="b">
        <v>1</v>
      </c>
      <c r="Z1253" s="2">
        <v>45853</v>
      </c>
      <c r="AA1253" t="str">
        <f t="shared" si="191"/>
        <v>10–19</v>
      </c>
      <c r="AB1253" t="str">
        <f t="shared" si="192"/>
        <v>Under 16</v>
      </c>
      <c r="AC1253" t="str">
        <f t="shared" si="193"/>
        <v/>
      </c>
      <c r="AD1253" t="str">
        <f t="shared" si="194"/>
        <v/>
      </c>
      <c r="AE1253" t="str">
        <f t="shared" si="195"/>
        <v/>
      </c>
      <c r="AF1253" t="str">
        <f t="shared" si="196"/>
        <v/>
      </c>
      <c r="AG1253" t="str">
        <f t="shared" si="197"/>
        <v>Friday</v>
      </c>
      <c r="AH1253" t="str">
        <f t="shared" si="198"/>
        <v/>
      </c>
      <c r="AI1253" t="str">
        <f t="shared" si="199"/>
        <v>Sunday</v>
      </c>
      <c r="AJ1253" t="str">
        <f>LEFT(Table1[[#This Row],[membership_type]],2)&amp;TEXT(Table1[[#This Row],[age]],"00")&amp;"-"&amp;TEXT(ROW(),"000")</f>
        <v>Ba15-1253</v>
      </c>
      <c r="AK1253" t="str">
        <f>LEFT(Table1[[#This Row],[membership_type]],1)&amp;TEXT(MATCH(Table1[[#This Row],[membership_type]],Table1[membership_type],0),"00")</f>
        <v>B04</v>
      </c>
      <c r="AL1253" t="str">
        <f>LEFT(Table1[[#This Row],[discount_type]],1)&amp;TEXT(ROUND(Table1[[#This Row],[discount_rate]]*100,0),"00")</f>
        <v>N00</v>
      </c>
      <c r="AM1253" t="str" cm="1">
        <f t="array" ref="AM1253">TEXT(SUMPRODUCT(CODE(MID(Table1[[#This Row],[home_gym_location]],_xlfn.SEQUENCE(LEN(Table1[[#This Row],[home_gym_location]])),1))),"00000")</f>
        <v>00899</v>
      </c>
      <c r="AN125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53" t="str">
        <f>LEFT(_xlfn.TEXTBEFORE(Table1[[#This Row],[Location Identifier]],"-"),3) &amp; "-" &amp; _xlfn.TEXTAFTER(Table1[[#This Row],[Location Identifier]],"-")</f>
        <v>ANA-001</v>
      </c>
      <c r="AP1253" s="9">
        <f t="shared" ca="1" si="190"/>
        <v>45869</v>
      </c>
    </row>
    <row r="1254" spans="1:42" x14ac:dyDescent="0.25">
      <c r="A1254">
        <v>19</v>
      </c>
      <c r="B1254" t="s">
        <v>42</v>
      </c>
      <c r="C1254">
        <v>2</v>
      </c>
      <c r="D1254" t="s">
        <v>79</v>
      </c>
      <c r="E1254" t="b">
        <v>1</v>
      </c>
      <c r="F1254" s="1">
        <v>0.84930555555555554</v>
      </c>
      <c r="G1254" s="1">
        <v>0.90902777777777777</v>
      </c>
      <c r="H1254">
        <v>86</v>
      </c>
      <c r="I1254" t="b">
        <v>0</v>
      </c>
      <c r="J1254" t="b">
        <v>1</v>
      </c>
      <c r="K1254" t="b">
        <v>0</v>
      </c>
      <c r="L1254" t="s">
        <v>28</v>
      </c>
      <c r="M1254">
        <v>20</v>
      </c>
      <c r="N1254" t="s">
        <v>64</v>
      </c>
      <c r="O1254">
        <v>15</v>
      </c>
      <c r="P1254" t="s">
        <v>40</v>
      </c>
      <c r="Q1254">
        <v>0.1</v>
      </c>
      <c r="R1254">
        <v>13.5</v>
      </c>
      <c r="S1254" t="s">
        <v>44</v>
      </c>
      <c r="T1254" t="s">
        <v>54</v>
      </c>
      <c r="U1254">
        <v>32.715699999999998</v>
      </c>
      <c r="V1254">
        <v>-117.1611</v>
      </c>
      <c r="W1254" s="2">
        <v>45697</v>
      </c>
      <c r="X1254">
        <v>7</v>
      </c>
      <c r="Y1254" t="b">
        <v>0</v>
      </c>
      <c r="Z1254" s="2">
        <v>45853</v>
      </c>
      <c r="AA1254" t="str">
        <f t="shared" si="191"/>
        <v>10–19</v>
      </c>
      <c r="AB1254" t="str">
        <f t="shared" si="192"/>
        <v>16–19</v>
      </c>
      <c r="AC1254" t="str">
        <f t="shared" si="193"/>
        <v/>
      </c>
      <c r="AD1254" t="str">
        <f t="shared" si="194"/>
        <v/>
      </c>
      <c r="AE1254" t="str">
        <f t="shared" si="195"/>
        <v/>
      </c>
      <c r="AF1254" t="str">
        <f t="shared" si="196"/>
        <v/>
      </c>
      <c r="AG1254" t="str">
        <f t="shared" si="197"/>
        <v>Friday</v>
      </c>
      <c r="AH1254" t="str">
        <f t="shared" si="198"/>
        <v>Saturday</v>
      </c>
      <c r="AI1254" t="str">
        <f t="shared" si="199"/>
        <v/>
      </c>
      <c r="AJ1254" t="str">
        <f>LEFT(Table1[[#This Row],[membership_type]],2)&amp;TEXT(Table1[[#This Row],[age]],"00")&amp;"-"&amp;TEXT(ROW(),"000")</f>
        <v>Ba19-1254</v>
      </c>
      <c r="AK1254" t="str">
        <f>LEFT(Table1[[#This Row],[membership_type]],1)&amp;TEXT(MATCH(Table1[[#This Row],[membership_type]],Table1[membership_type],0),"00")</f>
        <v>B04</v>
      </c>
      <c r="AL1254" t="str">
        <f>LEFT(Table1[[#This Row],[discount_type]],1)&amp;TEXT(ROUND(Table1[[#This Row],[discount_rate]]*100,0),"00")</f>
        <v>L10</v>
      </c>
      <c r="AM1254" t="str" cm="1">
        <f t="array" ref="AM1254">TEXT(SUMPRODUCT(CODE(MID(Table1[[#This Row],[home_gym_location]],_xlfn.SEQUENCE(LEN(Table1[[#This Row],[home_gym_location]])),1))),"00000")</f>
        <v>01018</v>
      </c>
      <c r="AN12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54" t="str">
        <f>LEFT(_xlfn.TEXTBEFORE(Table1[[#This Row],[Location Identifier]],"-"),3) &amp; "-" &amp; _xlfn.TEXTAFTER(Table1[[#This Row],[Location Identifier]],"-")</f>
        <v>SAN-008</v>
      </c>
      <c r="AP1254" s="9">
        <f t="shared" ca="1" si="190"/>
        <v>45869</v>
      </c>
    </row>
    <row r="1255" spans="1:42" x14ac:dyDescent="0.25">
      <c r="A1255">
        <v>27</v>
      </c>
      <c r="B1255" t="s">
        <v>33</v>
      </c>
      <c r="C1255">
        <v>1</v>
      </c>
      <c r="D1255" t="s">
        <v>97</v>
      </c>
      <c r="E1255" t="b">
        <v>0</v>
      </c>
      <c r="F1255" s="1">
        <v>0.52083333333333337</v>
      </c>
      <c r="G1255" s="1">
        <v>0.54722222222222228</v>
      </c>
      <c r="H1255">
        <v>38</v>
      </c>
      <c r="I1255" t="b">
        <v>1</v>
      </c>
      <c r="J1255" t="b">
        <v>0</v>
      </c>
      <c r="K1255" t="b">
        <v>0</v>
      </c>
      <c r="L1255" t="s">
        <v>28</v>
      </c>
      <c r="M1255">
        <v>30</v>
      </c>
      <c r="N1255" t="s">
        <v>78</v>
      </c>
      <c r="O1255">
        <v>27</v>
      </c>
      <c r="P1255" t="s">
        <v>36</v>
      </c>
      <c r="Q1255">
        <v>0</v>
      </c>
      <c r="R1255">
        <v>27</v>
      </c>
      <c r="S1255" t="s">
        <v>37</v>
      </c>
      <c r="T1255" t="s">
        <v>54</v>
      </c>
      <c r="U1255">
        <v>32.715699999999998</v>
      </c>
      <c r="V1255">
        <v>-117.1611</v>
      </c>
      <c r="W1255" s="2">
        <v>45100</v>
      </c>
      <c r="X1255">
        <v>0</v>
      </c>
      <c r="Y1255" t="b">
        <v>0</v>
      </c>
      <c r="Z1255" s="2">
        <v>45819</v>
      </c>
      <c r="AA1255" t="str">
        <f t="shared" si="191"/>
        <v>20–29</v>
      </c>
      <c r="AB1255" t="str">
        <f t="shared" si="192"/>
        <v>20–29</v>
      </c>
      <c r="AC1255" t="str">
        <f t="shared" si="193"/>
        <v>Monday</v>
      </c>
      <c r="AD1255" t="str">
        <f t="shared" si="194"/>
        <v/>
      </c>
      <c r="AE1255" t="str">
        <f t="shared" si="195"/>
        <v/>
      </c>
      <c r="AF1255" t="str">
        <f t="shared" si="196"/>
        <v/>
      </c>
      <c r="AG1255" t="str">
        <f t="shared" si="197"/>
        <v/>
      </c>
      <c r="AH1255" t="str">
        <f t="shared" si="198"/>
        <v/>
      </c>
      <c r="AI1255" t="str">
        <f t="shared" si="199"/>
        <v/>
      </c>
      <c r="AJ1255" t="str">
        <f>LEFT(Table1[[#This Row],[membership_type]],2)&amp;TEXT(Table1[[#This Row],[age]],"00")&amp;"-"&amp;TEXT(ROW(),"000")</f>
        <v>St27-1255</v>
      </c>
      <c r="AK1255" t="str">
        <f>LEFT(Table1[[#This Row],[membership_type]],1)&amp;TEXT(MATCH(Table1[[#This Row],[membership_type]],Table1[membership_type],0),"00")</f>
        <v>S02</v>
      </c>
      <c r="AL1255" t="str">
        <f>LEFT(Table1[[#This Row],[discount_type]],1)&amp;TEXT(ROUND(Table1[[#This Row],[discount_rate]]*100,0),"00")</f>
        <v>N00</v>
      </c>
      <c r="AM1255" t="str" cm="1">
        <f t="array" ref="AM1255">TEXT(SUMPRODUCT(CODE(MID(Table1[[#This Row],[home_gym_location]],_xlfn.SEQUENCE(LEN(Table1[[#This Row],[home_gym_location]])),1))),"00000")</f>
        <v>01018</v>
      </c>
      <c r="AN125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55" t="str">
        <f>LEFT(_xlfn.TEXTBEFORE(Table1[[#This Row],[Location Identifier]],"-"),3) &amp; "-" &amp; _xlfn.TEXTAFTER(Table1[[#This Row],[Location Identifier]],"-")</f>
        <v>SAN-008</v>
      </c>
      <c r="AP1255" s="9">
        <f t="shared" ca="1" si="190"/>
        <v>45869</v>
      </c>
    </row>
    <row r="1256" spans="1:42" x14ac:dyDescent="0.25">
      <c r="A1256">
        <v>43</v>
      </c>
      <c r="B1256" t="s">
        <v>33</v>
      </c>
      <c r="C1256">
        <v>2</v>
      </c>
      <c r="D1256" t="s">
        <v>61</v>
      </c>
      <c r="E1256" t="b">
        <v>0</v>
      </c>
      <c r="F1256" s="1">
        <v>0.81944444444444442</v>
      </c>
      <c r="G1256" s="1">
        <v>0.93888888888888888</v>
      </c>
      <c r="H1256">
        <v>172</v>
      </c>
      <c r="I1256" t="b">
        <v>0</v>
      </c>
      <c r="J1256" t="b">
        <v>1</v>
      </c>
      <c r="K1256" t="b">
        <v>0</v>
      </c>
      <c r="L1256" t="s">
        <v>62</v>
      </c>
      <c r="M1256">
        <v>30</v>
      </c>
      <c r="N1256" t="s">
        <v>29</v>
      </c>
      <c r="O1256">
        <v>30</v>
      </c>
      <c r="P1256" t="s">
        <v>30</v>
      </c>
      <c r="Q1256">
        <v>0.05</v>
      </c>
      <c r="R1256">
        <v>28.5</v>
      </c>
      <c r="S1256" t="s">
        <v>37</v>
      </c>
      <c r="T1256" t="s">
        <v>50</v>
      </c>
      <c r="U1256">
        <v>34.052199999999999</v>
      </c>
      <c r="V1256">
        <v>-118.2437</v>
      </c>
      <c r="W1256" s="2">
        <v>45372</v>
      </c>
      <c r="X1256">
        <v>7</v>
      </c>
      <c r="Y1256" t="b">
        <v>0</v>
      </c>
      <c r="Z1256" s="2">
        <v>45835</v>
      </c>
      <c r="AA1256" t="str">
        <f t="shared" si="191"/>
        <v>40–49</v>
      </c>
      <c r="AB1256" t="str">
        <f t="shared" si="192"/>
        <v>40–49</v>
      </c>
      <c r="AC1256" t="str">
        <f t="shared" si="193"/>
        <v/>
      </c>
      <c r="AD1256" t="str">
        <f t="shared" si="194"/>
        <v>Tuesday</v>
      </c>
      <c r="AE1256" t="str">
        <f t="shared" si="195"/>
        <v/>
      </c>
      <c r="AF1256" t="str">
        <f t="shared" si="196"/>
        <v/>
      </c>
      <c r="AG1256" t="str">
        <f t="shared" si="197"/>
        <v/>
      </c>
      <c r="AH1256" t="str">
        <f t="shared" si="198"/>
        <v>Saturday</v>
      </c>
      <c r="AI1256" t="str">
        <f t="shared" si="199"/>
        <v/>
      </c>
      <c r="AJ1256" t="str">
        <f>LEFT(Table1[[#This Row],[membership_type]],2)&amp;TEXT(Table1[[#This Row],[age]],"00")&amp;"-"&amp;TEXT(ROW(),"000")</f>
        <v>St43-1256</v>
      </c>
      <c r="AK1256" t="str">
        <f>LEFT(Table1[[#This Row],[membership_type]],1)&amp;TEXT(MATCH(Table1[[#This Row],[membership_type]],Table1[membership_type],0),"00")</f>
        <v>S02</v>
      </c>
      <c r="AL1256" t="str">
        <f>LEFT(Table1[[#This Row],[discount_type]],1)&amp;TEXT(ROUND(Table1[[#This Row],[discount_rate]]*100,0),"00")</f>
        <v>P05</v>
      </c>
      <c r="AM1256" t="str" cm="1">
        <f t="array" ref="AM1256">TEXT(SUMPRODUCT(CODE(MID(Table1[[#This Row],[home_gym_location]],_xlfn.SEQUENCE(LEN(Table1[[#This Row],[home_gym_location]])),1))),"00000")</f>
        <v>01245</v>
      </c>
      <c r="AN125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56" t="str">
        <f>LEFT(_xlfn.TEXTBEFORE(Table1[[#This Row],[Location Identifier]],"-"),3) &amp; "-" &amp; _xlfn.TEXTAFTER(Table1[[#This Row],[Location Identifier]],"-")</f>
        <v>LOS-005</v>
      </c>
      <c r="AP1256" s="9">
        <f t="shared" ca="1" si="190"/>
        <v>45869</v>
      </c>
    </row>
    <row r="1257" spans="1:42" x14ac:dyDescent="0.25">
      <c r="A1257">
        <v>35</v>
      </c>
      <c r="B1257" t="s">
        <v>42</v>
      </c>
      <c r="C1257">
        <v>3</v>
      </c>
      <c r="D1257" t="s">
        <v>114</v>
      </c>
      <c r="E1257" t="b">
        <v>0</v>
      </c>
      <c r="F1257" s="1">
        <v>0.82638888888888884</v>
      </c>
      <c r="G1257" s="1">
        <v>0.86875000000000002</v>
      </c>
      <c r="H1257">
        <v>61</v>
      </c>
      <c r="I1257" t="b">
        <v>1</v>
      </c>
      <c r="J1257" t="b">
        <v>0</v>
      </c>
      <c r="K1257" t="b">
        <v>0</v>
      </c>
      <c r="L1257" t="s">
        <v>28</v>
      </c>
      <c r="M1257">
        <v>20</v>
      </c>
      <c r="N1257" t="s">
        <v>29</v>
      </c>
      <c r="O1257">
        <v>20</v>
      </c>
      <c r="P1257" t="s">
        <v>36</v>
      </c>
      <c r="Q1257">
        <v>0</v>
      </c>
      <c r="R1257">
        <v>20</v>
      </c>
      <c r="S1257" t="s">
        <v>44</v>
      </c>
      <c r="T1257" t="s">
        <v>38</v>
      </c>
      <c r="U1257">
        <v>36.7378</v>
      </c>
      <c r="V1257">
        <v>-119.7871</v>
      </c>
      <c r="W1257" s="2">
        <v>45617</v>
      </c>
      <c r="X1257">
        <v>0</v>
      </c>
      <c r="Y1257" t="b">
        <v>0</v>
      </c>
      <c r="Z1257" s="2">
        <v>45848</v>
      </c>
      <c r="AA1257" t="str">
        <f t="shared" si="191"/>
        <v>30–39</v>
      </c>
      <c r="AB1257" t="str">
        <f t="shared" si="192"/>
        <v>30–39</v>
      </c>
      <c r="AC1257" t="str">
        <f t="shared" si="193"/>
        <v>Monday</v>
      </c>
      <c r="AD1257" t="str">
        <f t="shared" si="194"/>
        <v>Tuesday</v>
      </c>
      <c r="AE1257" t="str">
        <f t="shared" si="195"/>
        <v>Wednesday</v>
      </c>
      <c r="AF1257" t="str">
        <f t="shared" si="196"/>
        <v/>
      </c>
      <c r="AG1257" t="str">
        <f t="shared" si="197"/>
        <v/>
      </c>
      <c r="AH1257" t="str">
        <f t="shared" si="198"/>
        <v/>
      </c>
      <c r="AI1257" t="str">
        <f t="shared" si="199"/>
        <v/>
      </c>
      <c r="AJ1257" t="str">
        <f>LEFT(Table1[[#This Row],[membership_type]],2)&amp;TEXT(Table1[[#This Row],[age]],"00")&amp;"-"&amp;TEXT(ROW(),"000")</f>
        <v>Ba35-1257</v>
      </c>
      <c r="AK1257" t="str">
        <f>LEFT(Table1[[#This Row],[membership_type]],1)&amp;TEXT(MATCH(Table1[[#This Row],[membership_type]],Table1[membership_type],0),"00")</f>
        <v>B04</v>
      </c>
      <c r="AL1257" t="str">
        <f>LEFT(Table1[[#This Row],[discount_type]],1)&amp;TEXT(ROUND(Table1[[#This Row],[discount_rate]]*100,0),"00")</f>
        <v>N00</v>
      </c>
      <c r="AM1257" t="str" cm="1">
        <f t="array" ref="AM1257">TEXT(SUMPRODUCT(CODE(MID(Table1[[#This Row],[home_gym_location]],_xlfn.SEQUENCE(LEN(Table1[[#This Row],[home_gym_location]])),1))),"00000")</f>
        <v>00829</v>
      </c>
      <c r="AN1257" t="str">
        <f>UPPER(_xlfn.TEXTBEFORE(Table1[[#This Row],[home_gym_location]],","))&amp;"-"&amp;TEXT(MATCH(Table1[[#This Row],[home_gym_location]],_xlfn._xlws.SORT(_xlfn.UNIQUE(Table1[home_gym_location])),0),"000")</f>
        <v>FRESNO-003</v>
      </c>
      <c r="AO1257" t="str">
        <f>LEFT(_xlfn.TEXTBEFORE(Table1[[#This Row],[Location Identifier]],"-"),3) &amp; "-" &amp; _xlfn.TEXTAFTER(Table1[[#This Row],[Location Identifier]],"-")</f>
        <v>FRE-003</v>
      </c>
      <c r="AP1257" s="9">
        <f t="shared" ca="1" si="190"/>
        <v>45869</v>
      </c>
    </row>
    <row r="1258" spans="1:42" x14ac:dyDescent="0.25">
      <c r="A1258">
        <v>36</v>
      </c>
      <c r="B1258" t="s">
        <v>26</v>
      </c>
      <c r="C1258">
        <v>2</v>
      </c>
      <c r="D1258" t="s">
        <v>27</v>
      </c>
      <c r="E1258" t="b">
        <v>1</v>
      </c>
      <c r="F1258" s="1">
        <v>0.81805555555555554</v>
      </c>
      <c r="G1258" s="1">
        <v>0.90277777777777779</v>
      </c>
      <c r="H1258">
        <v>122</v>
      </c>
      <c r="I1258" t="b">
        <v>1</v>
      </c>
      <c r="J1258" t="b">
        <v>1</v>
      </c>
      <c r="K1258" t="b">
        <v>1</v>
      </c>
      <c r="L1258" t="s">
        <v>28</v>
      </c>
      <c r="M1258">
        <v>50</v>
      </c>
      <c r="N1258" t="s">
        <v>29</v>
      </c>
      <c r="O1258">
        <v>50</v>
      </c>
      <c r="P1258" t="s">
        <v>30</v>
      </c>
      <c r="Q1258">
        <v>0.05</v>
      </c>
      <c r="R1258">
        <v>47.5</v>
      </c>
      <c r="S1258" t="s">
        <v>31</v>
      </c>
      <c r="T1258" t="s">
        <v>45</v>
      </c>
      <c r="U1258">
        <v>33.836599999999997</v>
      </c>
      <c r="V1258">
        <v>-117.9143</v>
      </c>
      <c r="W1258" s="2">
        <v>45307</v>
      </c>
      <c r="X1258">
        <v>1</v>
      </c>
      <c r="Y1258" t="b">
        <v>1</v>
      </c>
      <c r="Z1258" s="2">
        <v>45831</v>
      </c>
      <c r="AA1258" t="str">
        <f t="shared" si="191"/>
        <v>30–39</v>
      </c>
      <c r="AB1258" t="str">
        <f t="shared" si="192"/>
        <v>30–39</v>
      </c>
      <c r="AC1258" t="str">
        <f t="shared" si="193"/>
        <v/>
      </c>
      <c r="AD1258" t="str">
        <f t="shared" si="194"/>
        <v/>
      </c>
      <c r="AE1258" t="str">
        <f t="shared" si="195"/>
        <v/>
      </c>
      <c r="AF1258" t="str">
        <f t="shared" si="196"/>
        <v>Thursday</v>
      </c>
      <c r="AG1258" t="str">
        <f t="shared" si="197"/>
        <v/>
      </c>
      <c r="AH1258" t="str">
        <f t="shared" si="198"/>
        <v>Saturday</v>
      </c>
      <c r="AI1258" t="str">
        <f t="shared" si="199"/>
        <v/>
      </c>
      <c r="AJ1258" t="str">
        <f>LEFT(Table1[[#This Row],[membership_type]],2)&amp;TEXT(Table1[[#This Row],[age]],"00")&amp;"-"&amp;TEXT(ROW(),"000")</f>
        <v>Pr36-1258</v>
      </c>
      <c r="AK1258" t="str">
        <f>LEFT(Table1[[#This Row],[membership_type]],1)&amp;TEXT(MATCH(Table1[[#This Row],[membership_type]],Table1[membership_type],0),"00")</f>
        <v>P01</v>
      </c>
      <c r="AL1258" t="str">
        <f>LEFT(Table1[[#This Row],[discount_type]],1)&amp;TEXT(ROUND(Table1[[#This Row],[discount_rate]]*100,0),"00")</f>
        <v>P05</v>
      </c>
      <c r="AM1258" t="str" cm="1">
        <f t="array" ref="AM1258">TEXT(SUMPRODUCT(CODE(MID(Table1[[#This Row],[home_gym_location]],_xlfn.SEQUENCE(LEN(Table1[[#This Row],[home_gym_location]])),1))),"00000")</f>
        <v>00899</v>
      </c>
      <c r="AN125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258" t="str">
        <f>LEFT(_xlfn.TEXTBEFORE(Table1[[#This Row],[Location Identifier]],"-"),3) &amp; "-" &amp; _xlfn.TEXTAFTER(Table1[[#This Row],[Location Identifier]],"-")</f>
        <v>ANA-001</v>
      </c>
      <c r="AP1258" s="9">
        <f t="shared" ca="1" si="190"/>
        <v>45869</v>
      </c>
    </row>
    <row r="1259" spans="1:42" x14ac:dyDescent="0.25">
      <c r="A1259">
        <v>40</v>
      </c>
      <c r="B1259" t="s">
        <v>26</v>
      </c>
      <c r="C1259">
        <v>2</v>
      </c>
      <c r="D1259" t="s">
        <v>61</v>
      </c>
      <c r="E1259" t="b">
        <v>1</v>
      </c>
      <c r="F1259" s="1">
        <v>0.85624999999999996</v>
      </c>
      <c r="G1259" s="1">
        <v>0.91111111111111109</v>
      </c>
      <c r="H1259">
        <v>79</v>
      </c>
      <c r="I1259" t="b">
        <v>1</v>
      </c>
      <c r="J1259" t="b">
        <v>1</v>
      </c>
      <c r="K1259" t="b">
        <v>1</v>
      </c>
      <c r="L1259" t="s">
        <v>35</v>
      </c>
      <c r="M1259">
        <v>50</v>
      </c>
      <c r="N1259" t="s">
        <v>64</v>
      </c>
      <c r="O1259">
        <v>37.5</v>
      </c>
      <c r="P1259" t="s">
        <v>74</v>
      </c>
      <c r="Q1259">
        <v>0.15</v>
      </c>
      <c r="R1259">
        <v>31.875</v>
      </c>
      <c r="S1259" t="s">
        <v>31</v>
      </c>
      <c r="T1259" t="s">
        <v>56</v>
      </c>
      <c r="U1259">
        <v>35.3733</v>
      </c>
      <c r="V1259">
        <v>-119.0187</v>
      </c>
      <c r="W1259" s="2">
        <v>45762</v>
      </c>
      <c r="X1259">
        <v>7</v>
      </c>
      <c r="Y1259" t="b">
        <v>0</v>
      </c>
      <c r="Z1259" s="2">
        <v>45857</v>
      </c>
      <c r="AA1259" t="str">
        <f t="shared" si="191"/>
        <v>40–49</v>
      </c>
      <c r="AB1259" t="str">
        <f t="shared" si="192"/>
        <v>40–49</v>
      </c>
      <c r="AC1259" t="str">
        <f t="shared" si="193"/>
        <v/>
      </c>
      <c r="AD1259" t="str">
        <f t="shared" si="194"/>
        <v>Tuesday</v>
      </c>
      <c r="AE1259" t="str">
        <f t="shared" si="195"/>
        <v/>
      </c>
      <c r="AF1259" t="str">
        <f t="shared" si="196"/>
        <v/>
      </c>
      <c r="AG1259" t="str">
        <f t="shared" si="197"/>
        <v/>
      </c>
      <c r="AH1259" t="str">
        <f t="shared" si="198"/>
        <v>Saturday</v>
      </c>
      <c r="AI1259" t="str">
        <f t="shared" si="199"/>
        <v/>
      </c>
      <c r="AJ1259" t="str">
        <f>LEFT(Table1[[#This Row],[membership_type]],2)&amp;TEXT(Table1[[#This Row],[age]],"00")&amp;"-"&amp;TEXT(ROW(),"000")</f>
        <v>Pr40-1259</v>
      </c>
      <c r="AK1259" t="str">
        <f>LEFT(Table1[[#This Row],[membership_type]],1)&amp;TEXT(MATCH(Table1[[#This Row],[membership_type]],Table1[membership_type],0),"00")</f>
        <v>P01</v>
      </c>
      <c r="AL1259" t="str">
        <f>LEFT(Table1[[#This Row],[discount_type]],1)&amp;TEXT(ROUND(Table1[[#This Row],[discount_rate]]*100,0),"00")</f>
        <v>S15</v>
      </c>
      <c r="AM1259" t="str" cm="1">
        <f t="array" ref="AM1259">TEXT(SUMPRODUCT(CODE(MID(Table1[[#This Row],[home_gym_location]],_xlfn.SEQUENCE(LEN(Table1[[#This Row],[home_gym_location]])),1))),"00000")</f>
        <v>01324</v>
      </c>
      <c r="AN12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59" t="str">
        <f>LEFT(_xlfn.TEXTBEFORE(Table1[[#This Row],[Location Identifier]],"-"),3) &amp; "-" &amp; _xlfn.TEXTAFTER(Table1[[#This Row],[Location Identifier]],"-")</f>
        <v>BAK-002</v>
      </c>
      <c r="AP1259" s="9">
        <f t="shared" ca="1" si="190"/>
        <v>45869</v>
      </c>
    </row>
    <row r="1260" spans="1:42" x14ac:dyDescent="0.25">
      <c r="A1260">
        <v>38</v>
      </c>
      <c r="B1260" t="s">
        <v>51</v>
      </c>
      <c r="C1260">
        <v>3</v>
      </c>
      <c r="D1260" t="s">
        <v>135</v>
      </c>
      <c r="E1260" t="b">
        <v>1</v>
      </c>
      <c r="F1260" s="1">
        <v>0.69513888888888886</v>
      </c>
      <c r="G1260" s="1">
        <v>0.7416666666666667</v>
      </c>
      <c r="H1260">
        <v>67</v>
      </c>
      <c r="I1260" t="b">
        <v>1</v>
      </c>
      <c r="J1260" t="b">
        <v>0</v>
      </c>
      <c r="K1260" t="b">
        <v>1</v>
      </c>
      <c r="L1260" t="s">
        <v>28</v>
      </c>
      <c r="M1260">
        <v>70</v>
      </c>
      <c r="N1260" t="s">
        <v>29</v>
      </c>
      <c r="O1260">
        <v>70</v>
      </c>
      <c r="P1260" t="s">
        <v>36</v>
      </c>
      <c r="Q1260">
        <v>0</v>
      </c>
      <c r="R1260">
        <v>70</v>
      </c>
      <c r="S1260" t="s">
        <v>53</v>
      </c>
      <c r="T1260" t="s">
        <v>32</v>
      </c>
      <c r="U1260">
        <v>37.338200000000001</v>
      </c>
      <c r="V1260">
        <v>-121.88630000000001</v>
      </c>
      <c r="W1260" s="2">
        <v>45211</v>
      </c>
      <c r="X1260">
        <v>0</v>
      </c>
      <c r="Y1260" t="b">
        <v>0</v>
      </c>
      <c r="Z1260" s="2">
        <v>45826</v>
      </c>
      <c r="AA1260" t="str">
        <f t="shared" si="191"/>
        <v>30–39</v>
      </c>
      <c r="AB1260" t="str">
        <f t="shared" si="192"/>
        <v>30–39</v>
      </c>
      <c r="AC1260" t="str">
        <f t="shared" si="193"/>
        <v/>
      </c>
      <c r="AD1260" t="str">
        <f t="shared" si="194"/>
        <v>Tuesday</v>
      </c>
      <c r="AE1260" t="str">
        <f t="shared" si="195"/>
        <v>Wednesday</v>
      </c>
      <c r="AF1260" t="str">
        <f t="shared" si="196"/>
        <v>Thursday</v>
      </c>
      <c r="AG1260" t="str">
        <f t="shared" si="197"/>
        <v/>
      </c>
      <c r="AH1260" t="str">
        <f t="shared" si="198"/>
        <v/>
      </c>
      <c r="AI1260" t="str">
        <f t="shared" si="199"/>
        <v/>
      </c>
      <c r="AJ1260" t="str">
        <f>LEFT(Table1[[#This Row],[membership_type]],2)&amp;TEXT(Table1[[#This Row],[age]],"00")&amp;"-"&amp;TEXT(ROW(),"000")</f>
        <v>El38-1260</v>
      </c>
      <c r="AK1260" t="str">
        <f>LEFT(Table1[[#This Row],[membership_type]],1)&amp;TEXT(MATCH(Table1[[#This Row],[membership_type]],Table1[membership_type],0),"00")</f>
        <v>E07</v>
      </c>
      <c r="AL1260" t="str">
        <f>LEFT(Table1[[#This Row],[discount_type]],1)&amp;TEXT(ROUND(Table1[[#This Row],[discount_rate]]*100,0),"00")</f>
        <v>N00</v>
      </c>
      <c r="AM1260" t="str" cm="1">
        <f t="array" ref="AM1260">TEXT(SUMPRODUCT(CODE(MID(Table1[[#This Row],[home_gym_location]],_xlfn.SEQUENCE(LEN(Table1[[#This Row],[home_gym_location]])),1))),"00000")</f>
        <v>00931</v>
      </c>
      <c r="AN126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60" t="str">
        <f>LEFT(_xlfn.TEXTBEFORE(Table1[[#This Row],[Location Identifier]],"-"),3) &amp; "-" &amp; _xlfn.TEXTAFTER(Table1[[#This Row],[Location Identifier]],"-")</f>
        <v>SAN-010</v>
      </c>
      <c r="AP1260" s="9">
        <f t="shared" ca="1" si="190"/>
        <v>45869</v>
      </c>
    </row>
    <row r="1261" spans="1:42" x14ac:dyDescent="0.25">
      <c r="A1261">
        <v>19</v>
      </c>
      <c r="B1261" t="s">
        <v>42</v>
      </c>
      <c r="C1261">
        <v>1</v>
      </c>
      <c r="D1261" t="s">
        <v>49</v>
      </c>
      <c r="E1261" t="b">
        <v>0</v>
      </c>
      <c r="F1261" s="1">
        <v>0.47847222222222224</v>
      </c>
      <c r="G1261" s="1">
        <v>0.60138888888888886</v>
      </c>
      <c r="H1261">
        <v>177</v>
      </c>
      <c r="I1261" t="b">
        <v>1</v>
      </c>
      <c r="J1261" t="b">
        <v>1</v>
      </c>
      <c r="K1261" t="b">
        <v>0</v>
      </c>
      <c r="L1261" t="s">
        <v>28</v>
      </c>
      <c r="M1261">
        <v>20</v>
      </c>
      <c r="N1261" t="s">
        <v>64</v>
      </c>
      <c r="O1261">
        <v>15</v>
      </c>
      <c r="P1261" t="s">
        <v>30</v>
      </c>
      <c r="Q1261">
        <v>0.05</v>
      </c>
      <c r="R1261">
        <v>14.25</v>
      </c>
      <c r="S1261" t="s">
        <v>44</v>
      </c>
      <c r="T1261" t="s">
        <v>65</v>
      </c>
      <c r="U1261">
        <v>33.770099999999999</v>
      </c>
      <c r="V1261">
        <v>-118.19370000000001</v>
      </c>
      <c r="W1261" s="2">
        <v>45544</v>
      </c>
      <c r="X1261">
        <v>4</v>
      </c>
      <c r="Y1261" t="b">
        <v>0</v>
      </c>
      <c r="Z1261" s="2">
        <v>45844</v>
      </c>
      <c r="AA1261" t="str">
        <f t="shared" si="191"/>
        <v>10–19</v>
      </c>
      <c r="AB1261" t="str">
        <f t="shared" si="192"/>
        <v>16–19</v>
      </c>
      <c r="AC1261" t="str">
        <f t="shared" si="193"/>
        <v/>
      </c>
      <c r="AD1261" t="str">
        <f t="shared" si="194"/>
        <v/>
      </c>
      <c r="AE1261" t="str">
        <f t="shared" si="195"/>
        <v/>
      </c>
      <c r="AF1261" t="str">
        <f t="shared" si="196"/>
        <v/>
      </c>
      <c r="AG1261" t="str">
        <f t="shared" si="197"/>
        <v/>
      </c>
      <c r="AH1261" t="str">
        <f t="shared" si="198"/>
        <v/>
      </c>
      <c r="AI1261" t="str">
        <f t="shared" si="199"/>
        <v>Sunday</v>
      </c>
      <c r="AJ1261" t="str">
        <f>LEFT(Table1[[#This Row],[membership_type]],2)&amp;TEXT(Table1[[#This Row],[age]],"00")&amp;"-"&amp;TEXT(ROW(),"000")</f>
        <v>Ba19-1261</v>
      </c>
      <c r="AK1261" t="str">
        <f>LEFT(Table1[[#This Row],[membership_type]],1)&amp;TEXT(MATCH(Table1[[#This Row],[membership_type]],Table1[membership_type],0),"00")</f>
        <v>B04</v>
      </c>
      <c r="AL1261" t="str">
        <f>LEFT(Table1[[#This Row],[discount_type]],1)&amp;TEXT(ROUND(Table1[[#This Row],[discount_rate]]*100,0),"00")</f>
        <v>P05</v>
      </c>
      <c r="AM1261" t="str" cm="1">
        <f t="array" ref="AM1261">TEXT(SUMPRODUCT(CODE(MID(Table1[[#This Row],[home_gym_location]],_xlfn.SEQUENCE(LEN(Table1[[#This Row],[home_gym_location]])),1))),"00000")</f>
        <v>01107</v>
      </c>
      <c r="AN126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61" t="str">
        <f>LEFT(_xlfn.TEXTBEFORE(Table1[[#This Row],[Location Identifier]],"-"),3) &amp; "-" &amp; _xlfn.TEXTAFTER(Table1[[#This Row],[Location Identifier]],"-")</f>
        <v>LON-004</v>
      </c>
      <c r="AP1261" s="9">
        <f t="shared" ca="1" si="190"/>
        <v>45869</v>
      </c>
    </row>
    <row r="1262" spans="1:42" x14ac:dyDescent="0.25">
      <c r="A1262">
        <v>20</v>
      </c>
      <c r="B1262" t="s">
        <v>26</v>
      </c>
      <c r="C1262">
        <v>3</v>
      </c>
      <c r="D1262" t="s">
        <v>125</v>
      </c>
      <c r="E1262" t="b">
        <v>0</v>
      </c>
      <c r="F1262" s="1">
        <v>0.43888888888888888</v>
      </c>
      <c r="G1262" s="1">
        <v>0.46458333333333335</v>
      </c>
      <c r="H1262">
        <v>37</v>
      </c>
      <c r="I1262" t="b">
        <v>0</v>
      </c>
      <c r="J1262" t="b">
        <v>0</v>
      </c>
      <c r="K1262" t="b">
        <v>1</v>
      </c>
      <c r="L1262" t="s">
        <v>62</v>
      </c>
      <c r="M1262">
        <v>50</v>
      </c>
      <c r="N1262" t="s">
        <v>29</v>
      </c>
      <c r="O1262">
        <v>50</v>
      </c>
      <c r="P1262" t="s">
        <v>74</v>
      </c>
      <c r="Q1262">
        <v>0.15</v>
      </c>
      <c r="R1262">
        <v>42.5</v>
      </c>
      <c r="S1262" t="s">
        <v>31</v>
      </c>
      <c r="T1262" t="s">
        <v>59</v>
      </c>
      <c r="U1262">
        <v>37.774900000000002</v>
      </c>
      <c r="V1262">
        <v>-122.4194</v>
      </c>
      <c r="W1262" s="2">
        <v>44981</v>
      </c>
      <c r="X1262">
        <v>0</v>
      </c>
      <c r="Y1262" t="b">
        <v>1</v>
      </c>
      <c r="Z1262" s="2">
        <v>45813</v>
      </c>
      <c r="AA1262" t="str">
        <f t="shared" si="191"/>
        <v>20–29</v>
      </c>
      <c r="AB1262" t="str">
        <f t="shared" si="192"/>
        <v>20–29</v>
      </c>
      <c r="AC1262" t="str">
        <f t="shared" si="193"/>
        <v/>
      </c>
      <c r="AD1262" t="str">
        <f t="shared" si="194"/>
        <v/>
      </c>
      <c r="AE1262" t="str">
        <f t="shared" si="195"/>
        <v/>
      </c>
      <c r="AF1262" t="str">
        <f t="shared" si="196"/>
        <v>Thursday</v>
      </c>
      <c r="AG1262" t="str">
        <f t="shared" si="197"/>
        <v/>
      </c>
      <c r="AH1262" t="str">
        <f t="shared" si="198"/>
        <v>Saturday</v>
      </c>
      <c r="AI1262" t="str">
        <f t="shared" si="199"/>
        <v>Sunday</v>
      </c>
      <c r="AJ1262" t="str">
        <f>LEFT(Table1[[#This Row],[membership_type]],2)&amp;TEXT(Table1[[#This Row],[age]],"00")&amp;"-"&amp;TEXT(ROW(),"000")</f>
        <v>Pr20-1262</v>
      </c>
      <c r="AK1262" t="str">
        <f>LEFT(Table1[[#This Row],[membership_type]],1)&amp;TEXT(MATCH(Table1[[#This Row],[membership_type]],Table1[membership_type],0),"00")</f>
        <v>P01</v>
      </c>
      <c r="AL1262" t="str">
        <f>LEFT(Table1[[#This Row],[discount_type]],1)&amp;TEXT(ROUND(Table1[[#This Row],[discount_rate]]*100,0),"00")</f>
        <v>S15</v>
      </c>
      <c r="AM1262" t="str" cm="1">
        <f t="array" ref="AM1262">TEXT(SUMPRODUCT(CODE(MID(Table1[[#This Row],[home_gym_location]],_xlfn.SEQUENCE(LEN(Table1[[#This Row],[home_gym_location]])),1))),"00000")</f>
        <v>01450</v>
      </c>
      <c r="AN126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62" t="str">
        <f>LEFT(_xlfn.TEXTBEFORE(Table1[[#This Row],[Location Identifier]],"-"),3) &amp; "-" &amp; _xlfn.TEXTAFTER(Table1[[#This Row],[Location Identifier]],"-")</f>
        <v>SAN-009</v>
      </c>
      <c r="AP1262" s="9">
        <f t="shared" ca="1" si="190"/>
        <v>45869</v>
      </c>
    </row>
    <row r="1263" spans="1:42" x14ac:dyDescent="0.25">
      <c r="A1263">
        <v>44</v>
      </c>
      <c r="B1263" t="s">
        <v>42</v>
      </c>
      <c r="C1263">
        <v>1</v>
      </c>
      <c r="D1263" t="s">
        <v>63</v>
      </c>
      <c r="E1263" t="b">
        <v>0</v>
      </c>
      <c r="F1263" s="1">
        <v>0.86319444444444449</v>
      </c>
      <c r="G1263" s="1">
        <v>0.95694444444444449</v>
      </c>
      <c r="H1263">
        <v>135</v>
      </c>
      <c r="I1263" t="b">
        <v>1</v>
      </c>
      <c r="J1263" t="b">
        <v>0</v>
      </c>
      <c r="K1263" t="b">
        <v>0</v>
      </c>
      <c r="L1263" t="s">
        <v>62</v>
      </c>
      <c r="M1263">
        <v>20</v>
      </c>
      <c r="N1263" t="s">
        <v>29</v>
      </c>
      <c r="O1263">
        <v>20</v>
      </c>
      <c r="P1263" t="s">
        <v>36</v>
      </c>
      <c r="Q1263">
        <v>0</v>
      </c>
      <c r="R1263">
        <v>20</v>
      </c>
      <c r="S1263" t="s">
        <v>44</v>
      </c>
      <c r="T1263" t="s">
        <v>48</v>
      </c>
      <c r="U1263">
        <v>38.581600000000002</v>
      </c>
      <c r="V1263">
        <v>-121.4944</v>
      </c>
      <c r="W1263" s="2">
        <v>45500</v>
      </c>
      <c r="X1263">
        <v>0</v>
      </c>
      <c r="Y1263" t="b">
        <v>0</v>
      </c>
      <c r="Z1263" s="2">
        <v>45842</v>
      </c>
      <c r="AA1263" t="str">
        <f t="shared" si="191"/>
        <v>40–49</v>
      </c>
      <c r="AB1263" t="str">
        <f t="shared" si="192"/>
        <v>40–49</v>
      </c>
      <c r="AC1263" t="str">
        <f t="shared" si="193"/>
        <v/>
      </c>
      <c r="AD1263" t="str">
        <f t="shared" si="194"/>
        <v/>
      </c>
      <c r="AE1263" t="str">
        <f t="shared" si="195"/>
        <v>Wednesday</v>
      </c>
      <c r="AF1263" t="str">
        <f t="shared" si="196"/>
        <v/>
      </c>
      <c r="AG1263" t="str">
        <f t="shared" si="197"/>
        <v/>
      </c>
      <c r="AH1263" t="str">
        <f t="shared" si="198"/>
        <v/>
      </c>
      <c r="AI1263" t="str">
        <f t="shared" si="199"/>
        <v/>
      </c>
      <c r="AJ1263" t="str">
        <f>LEFT(Table1[[#This Row],[membership_type]],2)&amp;TEXT(Table1[[#This Row],[age]],"00")&amp;"-"&amp;TEXT(ROW(),"000")</f>
        <v>Ba44-1263</v>
      </c>
      <c r="AK1263" t="str">
        <f>LEFT(Table1[[#This Row],[membership_type]],1)&amp;TEXT(MATCH(Table1[[#This Row],[membership_type]],Table1[membership_type],0),"00")</f>
        <v>B04</v>
      </c>
      <c r="AL1263" t="str">
        <f>LEFT(Table1[[#This Row],[discount_type]],1)&amp;TEXT(ROUND(Table1[[#This Row],[discount_rate]]*100,0),"00")</f>
        <v>N00</v>
      </c>
      <c r="AM1263" t="str" cm="1">
        <f t="array" ref="AM1263">TEXT(SUMPRODUCT(CODE(MID(Table1[[#This Row],[home_gym_location]],_xlfn.SEQUENCE(LEN(Table1[[#This Row],[home_gym_location]])),1))),"00000")</f>
        <v>01245</v>
      </c>
      <c r="AN126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63" t="str">
        <f>LEFT(_xlfn.TEXTBEFORE(Table1[[#This Row],[Location Identifier]],"-"),3) &amp; "-" &amp; _xlfn.TEXTAFTER(Table1[[#This Row],[Location Identifier]],"-")</f>
        <v>SAC-007</v>
      </c>
      <c r="AP1263" s="9">
        <f t="shared" ca="1" si="190"/>
        <v>45869</v>
      </c>
    </row>
    <row r="1264" spans="1:42" x14ac:dyDescent="0.25">
      <c r="A1264">
        <v>34</v>
      </c>
      <c r="B1264" t="s">
        <v>51</v>
      </c>
      <c r="C1264">
        <v>1</v>
      </c>
      <c r="D1264" t="s">
        <v>67</v>
      </c>
      <c r="E1264" t="b">
        <v>1</v>
      </c>
      <c r="F1264" s="1">
        <v>0.74791666666666667</v>
      </c>
      <c r="G1264" s="1">
        <v>0.82361111111111107</v>
      </c>
      <c r="H1264">
        <v>109</v>
      </c>
      <c r="I1264" t="b">
        <v>0</v>
      </c>
      <c r="J1264" t="b">
        <v>1</v>
      </c>
      <c r="K1264" t="b">
        <v>1</v>
      </c>
      <c r="L1264" t="s">
        <v>35</v>
      </c>
      <c r="M1264">
        <v>70</v>
      </c>
      <c r="N1264" t="s">
        <v>64</v>
      </c>
      <c r="O1264">
        <v>52.5</v>
      </c>
      <c r="P1264" t="s">
        <v>36</v>
      </c>
      <c r="Q1264">
        <v>0</v>
      </c>
      <c r="R1264">
        <v>52.5</v>
      </c>
      <c r="S1264" t="s">
        <v>53</v>
      </c>
      <c r="T1264" t="s">
        <v>32</v>
      </c>
      <c r="U1264">
        <v>37.338200000000001</v>
      </c>
      <c r="V1264">
        <v>-121.88630000000001</v>
      </c>
      <c r="W1264" s="2">
        <v>45346</v>
      </c>
      <c r="X1264">
        <v>2</v>
      </c>
      <c r="Y1264" t="b">
        <v>1</v>
      </c>
      <c r="Z1264" s="2">
        <v>45833</v>
      </c>
      <c r="AA1264" t="str">
        <f t="shared" si="191"/>
        <v>30–39</v>
      </c>
      <c r="AB1264" t="str">
        <f t="shared" si="192"/>
        <v>30–39</v>
      </c>
      <c r="AC1264" t="str">
        <f t="shared" si="193"/>
        <v/>
      </c>
      <c r="AD1264" t="str">
        <f t="shared" si="194"/>
        <v/>
      </c>
      <c r="AE1264" t="str">
        <f t="shared" si="195"/>
        <v/>
      </c>
      <c r="AF1264" t="str">
        <f t="shared" si="196"/>
        <v>Thursday</v>
      </c>
      <c r="AG1264" t="str">
        <f t="shared" si="197"/>
        <v/>
      </c>
      <c r="AH1264" t="str">
        <f t="shared" si="198"/>
        <v/>
      </c>
      <c r="AI1264" t="str">
        <f t="shared" si="199"/>
        <v/>
      </c>
      <c r="AJ1264" t="str">
        <f>LEFT(Table1[[#This Row],[membership_type]],2)&amp;TEXT(Table1[[#This Row],[age]],"00")&amp;"-"&amp;TEXT(ROW(),"000")</f>
        <v>El34-1264</v>
      </c>
      <c r="AK1264" t="str">
        <f>LEFT(Table1[[#This Row],[membership_type]],1)&amp;TEXT(MATCH(Table1[[#This Row],[membership_type]],Table1[membership_type],0),"00")</f>
        <v>E07</v>
      </c>
      <c r="AL1264" t="str">
        <f>LEFT(Table1[[#This Row],[discount_type]],1)&amp;TEXT(ROUND(Table1[[#This Row],[discount_rate]]*100,0),"00")</f>
        <v>N00</v>
      </c>
      <c r="AM1264" t="str" cm="1">
        <f t="array" ref="AM1264">TEXT(SUMPRODUCT(CODE(MID(Table1[[#This Row],[home_gym_location]],_xlfn.SEQUENCE(LEN(Table1[[#This Row],[home_gym_location]])),1))),"00000")</f>
        <v>00931</v>
      </c>
      <c r="AN126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64" t="str">
        <f>LEFT(_xlfn.TEXTBEFORE(Table1[[#This Row],[Location Identifier]],"-"),3) &amp; "-" &amp; _xlfn.TEXTAFTER(Table1[[#This Row],[Location Identifier]],"-")</f>
        <v>SAN-010</v>
      </c>
      <c r="AP1264" s="9">
        <f t="shared" ca="1" si="190"/>
        <v>45869</v>
      </c>
    </row>
    <row r="1265" spans="1:42" x14ac:dyDescent="0.25">
      <c r="A1265">
        <v>13</v>
      </c>
      <c r="B1265" t="s">
        <v>42</v>
      </c>
      <c r="C1265">
        <v>3</v>
      </c>
      <c r="D1265" t="s">
        <v>128</v>
      </c>
      <c r="E1265" t="b">
        <v>0</v>
      </c>
      <c r="F1265" s="1">
        <v>0.58402777777777781</v>
      </c>
      <c r="G1265" s="1">
        <v>0.68263888888888891</v>
      </c>
      <c r="H1265">
        <v>142</v>
      </c>
      <c r="I1265" t="b">
        <v>1</v>
      </c>
      <c r="J1265" t="b">
        <v>0</v>
      </c>
      <c r="K1265" t="b">
        <v>1</v>
      </c>
      <c r="L1265" t="s">
        <v>62</v>
      </c>
      <c r="M1265">
        <v>20</v>
      </c>
      <c r="N1265" t="s">
        <v>64</v>
      </c>
      <c r="O1265">
        <v>15</v>
      </c>
      <c r="P1265" t="s">
        <v>30</v>
      </c>
      <c r="Q1265">
        <v>0.05</v>
      </c>
      <c r="R1265">
        <v>14.25</v>
      </c>
      <c r="S1265" t="s">
        <v>44</v>
      </c>
      <c r="T1265" t="s">
        <v>38</v>
      </c>
      <c r="U1265">
        <v>36.7378</v>
      </c>
      <c r="V1265">
        <v>-119.7871</v>
      </c>
      <c r="W1265" s="2">
        <v>45818</v>
      </c>
      <c r="X1265">
        <v>0</v>
      </c>
      <c r="Y1265" t="b">
        <v>0</v>
      </c>
      <c r="Z1265" s="2">
        <v>45860</v>
      </c>
      <c r="AA1265" t="str">
        <f t="shared" si="191"/>
        <v>10–19</v>
      </c>
      <c r="AB1265" t="str">
        <f t="shared" si="192"/>
        <v>Under 16</v>
      </c>
      <c r="AC1265" t="str">
        <f t="shared" si="193"/>
        <v>Monday</v>
      </c>
      <c r="AD1265" t="str">
        <f t="shared" si="194"/>
        <v/>
      </c>
      <c r="AE1265" t="str">
        <f t="shared" si="195"/>
        <v/>
      </c>
      <c r="AF1265" t="str">
        <f t="shared" si="196"/>
        <v>Thursday</v>
      </c>
      <c r="AG1265" t="str">
        <f t="shared" si="197"/>
        <v/>
      </c>
      <c r="AH1265" t="str">
        <f t="shared" si="198"/>
        <v/>
      </c>
      <c r="AI1265" t="str">
        <f t="shared" si="199"/>
        <v>Sunday</v>
      </c>
      <c r="AJ1265" t="str">
        <f>LEFT(Table1[[#This Row],[membership_type]],2)&amp;TEXT(Table1[[#This Row],[age]],"00")&amp;"-"&amp;TEXT(ROW(),"000")</f>
        <v>Ba13-1265</v>
      </c>
      <c r="AK1265" t="str">
        <f>LEFT(Table1[[#This Row],[membership_type]],1)&amp;TEXT(MATCH(Table1[[#This Row],[membership_type]],Table1[membership_type],0),"00")</f>
        <v>B04</v>
      </c>
      <c r="AL1265" t="str">
        <f>LEFT(Table1[[#This Row],[discount_type]],1)&amp;TEXT(ROUND(Table1[[#This Row],[discount_rate]]*100,0),"00")</f>
        <v>P05</v>
      </c>
      <c r="AM1265" t="str" cm="1">
        <f t="array" ref="AM1265">TEXT(SUMPRODUCT(CODE(MID(Table1[[#This Row],[home_gym_location]],_xlfn.SEQUENCE(LEN(Table1[[#This Row],[home_gym_location]])),1))),"00000")</f>
        <v>00829</v>
      </c>
      <c r="AN1265" t="str">
        <f>UPPER(_xlfn.TEXTBEFORE(Table1[[#This Row],[home_gym_location]],","))&amp;"-"&amp;TEXT(MATCH(Table1[[#This Row],[home_gym_location]],_xlfn._xlws.SORT(_xlfn.UNIQUE(Table1[home_gym_location])),0),"000")</f>
        <v>FRESNO-003</v>
      </c>
      <c r="AO1265" t="str">
        <f>LEFT(_xlfn.TEXTBEFORE(Table1[[#This Row],[Location Identifier]],"-"),3) &amp; "-" &amp; _xlfn.TEXTAFTER(Table1[[#This Row],[Location Identifier]],"-")</f>
        <v>FRE-003</v>
      </c>
      <c r="AP1265" s="9">
        <f t="shared" ca="1" si="190"/>
        <v>45869</v>
      </c>
    </row>
    <row r="1266" spans="1:42" x14ac:dyDescent="0.25">
      <c r="A1266">
        <v>29</v>
      </c>
      <c r="B1266" t="s">
        <v>51</v>
      </c>
      <c r="C1266">
        <v>2</v>
      </c>
      <c r="D1266" t="s">
        <v>46</v>
      </c>
      <c r="E1266" t="b">
        <v>0</v>
      </c>
      <c r="F1266" s="1">
        <v>0.71458333333333335</v>
      </c>
      <c r="G1266" s="1">
        <v>0.75416666666666665</v>
      </c>
      <c r="H1266">
        <v>57</v>
      </c>
      <c r="I1266" t="b">
        <v>0</v>
      </c>
      <c r="J1266" t="b">
        <v>1</v>
      </c>
      <c r="K1266" t="b">
        <v>1</v>
      </c>
      <c r="L1266" t="s">
        <v>28</v>
      </c>
      <c r="M1266">
        <v>70</v>
      </c>
      <c r="N1266" t="s">
        <v>29</v>
      </c>
      <c r="O1266">
        <v>70</v>
      </c>
      <c r="P1266" t="s">
        <v>36</v>
      </c>
      <c r="Q1266">
        <v>0</v>
      </c>
      <c r="R1266">
        <v>70</v>
      </c>
      <c r="S1266" t="s">
        <v>53</v>
      </c>
      <c r="T1266" t="s">
        <v>50</v>
      </c>
      <c r="U1266">
        <v>34.052199999999999</v>
      </c>
      <c r="V1266">
        <v>-118.2437</v>
      </c>
      <c r="W1266" s="2">
        <v>45753</v>
      </c>
      <c r="X1266">
        <v>2</v>
      </c>
      <c r="Y1266" t="b">
        <v>1</v>
      </c>
      <c r="Z1266" s="2">
        <v>45856</v>
      </c>
      <c r="AA1266" t="str">
        <f t="shared" si="191"/>
        <v>20–29</v>
      </c>
      <c r="AB1266" t="str">
        <f t="shared" si="192"/>
        <v>20–29</v>
      </c>
      <c r="AC1266" t="str">
        <f t="shared" si="193"/>
        <v/>
      </c>
      <c r="AD1266" t="str">
        <f t="shared" si="194"/>
        <v/>
      </c>
      <c r="AE1266" t="str">
        <f t="shared" si="195"/>
        <v>Wednesday</v>
      </c>
      <c r="AF1266" t="str">
        <f t="shared" si="196"/>
        <v/>
      </c>
      <c r="AG1266" t="str">
        <f t="shared" si="197"/>
        <v/>
      </c>
      <c r="AH1266" t="str">
        <f t="shared" si="198"/>
        <v/>
      </c>
      <c r="AI1266" t="str">
        <f t="shared" si="199"/>
        <v>Sunday</v>
      </c>
      <c r="AJ1266" t="str">
        <f>LEFT(Table1[[#This Row],[membership_type]],2)&amp;TEXT(Table1[[#This Row],[age]],"00")&amp;"-"&amp;TEXT(ROW(),"000")</f>
        <v>El29-1266</v>
      </c>
      <c r="AK1266" t="str">
        <f>LEFT(Table1[[#This Row],[membership_type]],1)&amp;TEXT(MATCH(Table1[[#This Row],[membership_type]],Table1[membership_type],0),"00")</f>
        <v>E07</v>
      </c>
      <c r="AL1266" t="str">
        <f>LEFT(Table1[[#This Row],[discount_type]],1)&amp;TEXT(ROUND(Table1[[#This Row],[discount_rate]]*100,0),"00")</f>
        <v>N00</v>
      </c>
      <c r="AM1266" t="str" cm="1">
        <f t="array" ref="AM1266">TEXT(SUMPRODUCT(CODE(MID(Table1[[#This Row],[home_gym_location]],_xlfn.SEQUENCE(LEN(Table1[[#This Row],[home_gym_location]])),1))),"00000")</f>
        <v>01245</v>
      </c>
      <c r="AN126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266" t="str">
        <f>LEFT(_xlfn.TEXTBEFORE(Table1[[#This Row],[Location Identifier]],"-"),3) &amp; "-" &amp; _xlfn.TEXTAFTER(Table1[[#This Row],[Location Identifier]],"-")</f>
        <v>LOS-005</v>
      </c>
      <c r="AP1266" s="9">
        <f t="shared" ca="1" si="190"/>
        <v>45869</v>
      </c>
    </row>
    <row r="1267" spans="1:42" x14ac:dyDescent="0.25">
      <c r="A1267">
        <v>31</v>
      </c>
      <c r="B1267" t="s">
        <v>33</v>
      </c>
      <c r="C1267">
        <v>5</v>
      </c>
      <c r="D1267" t="s">
        <v>87</v>
      </c>
      <c r="E1267" t="b">
        <v>1</v>
      </c>
      <c r="F1267" s="1">
        <v>0.40763888888888888</v>
      </c>
      <c r="G1267" s="1">
        <v>0.48055555555555557</v>
      </c>
      <c r="H1267">
        <v>105</v>
      </c>
      <c r="I1267" t="b">
        <v>0</v>
      </c>
      <c r="J1267" t="b">
        <v>1</v>
      </c>
      <c r="K1267" t="b">
        <v>1</v>
      </c>
      <c r="L1267" t="s">
        <v>62</v>
      </c>
      <c r="M1267">
        <v>30</v>
      </c>
      <c r="N1267" t="s">
        <v>64</v>
      </c>
      <c r="O1267">
        <v>22.5</v>
      </c>
      <c r="P1267" t="s">
        <v>36</v>
      </c>
      <c r="Q1267">
        <v>0</v>
      </c>
      <c r="R1267">
        <v>22.5</v>
      </c>
      <c r="S1267" t="s">
        <v>37</v>
      </c>
      <c r="T1267" t="s">
        <v>41</v>
      </c>
      <c r="U1267">
        <v>37.804400000000001</v>
      </c>
      <c r="V1267">
        <v>-122.27119999999999</v>
      </c>
      <c r="W1267" s="2">
        <v>45412</v>
      </c>
      <c r="X1267">
        <v>2</v>
      </c>
      <c r="Y1267" t="b">
        <v>0</v>
      </c>
      <c r="Z1267" s="2">
        <v>45837</v>
      </c>
      <c r="AA1267" t="str">
        <f t="shared" si="191"/>
        <v>30–39</v>
      </c>
      <c r="AB1267" t="str">
        <f t="shared" si="192"/>
        <v>30–39</v>
      </c>
      <c r="AC1267" t="str">
        <f t="shared" si="193"/>
        <v/>
      </c>
      <c r="AD1267" t="str">
        <f t="shared" si="194"/>
        <v>Tuesday</v>
      </c>
      <c r="AE1267" t="str">
        <f t="shared" si="195"/>
        <v>Wednesday</v>
      </c>
      <c r="AF1267" t="str">
        <f t="shared" si="196"/>
        <v/>
      </c>
      <c r="AG1267" t="str">
        <f t="shared" si="197"/>
        <v>Friday</v>
      </c>
      <c r="AH1267" t="str">
        <f t="shared" si="198"/>
        <v>Saturday</v>
      </c>
      <c r="AI1267" t="str">
        <f t="shared" si="199"/>
        <v>Sunday</v>
      </c>
      <c r="AJ1267" t="str">
        <f>LEFT(Table1[[#This Row],[membership_type]],2)&amp;TEXT(Table1[[#This Row],[age]],"00")&amp;"-"&amp;TEXT(ROW(),"000")</f>
        <v>St31-1267</v>
      </c>
      <c r="AK1267" t="str">
        <f>LEFT(Table1[[#This Row],[membership_type]],1)&amp;TEXT(MATCH(Table1[[#This Row],[membership_type]],Table1[membership_type],0),"00")</f>
        <v>S02</v>
      </c>
      <c r="AL1267" t="str">
        <f>LEFT(Table1[[#This Row],[discount_type]],1)&amp;TEXT(ROUND(Table1[[#This Row],[discount_rate]]*100,0),"00")</f>
        <v>N00</v>
      </c>
      <c r="AM1267" t="str" cm="1">
        <f t="array" ref="AM1267">TEXT(SUMPRODUCT(CODE(MID(Table1[[#This Row],[home_gym_location]],_xlfn.SEQUENCE(LEN(Table1[[#This Row],[home_gym_location]])),1))),"00000")</f>
        <v>00906</v>
      </c>
      <c r="AN126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67" t="str">
        <f>LEFT(_xlfn.TEXTBEFORE(Table1[[#This Row],[Location Identifier]],"-"),3) &amp; "-" &amp; _xlfn.TEXTAFTER(Table1[[#This Row],[Location Identifier]],"-")</f>
        <v>OAK-006</v>
      </c>
      <c r="AP1267" s="9">
        <f t="shared" ca="1" si="190"/>
        <v>45869</v>
      </c>
    </row>
    <row r="1268" spans="1:42" x14ac:dyDescent="0.25">
      <c r="A1268">
        <v>15</v>
      </c>
      <c r="B1268" t="s">
        <v>26</v>
      </c>
      <c r="C1268">
        <v>1</v>
      </c>
      <c r="D1268" t="s">
        <v>97</v>
      </c>
      <c r="E1268" t="b">
        <v>0</v>
      </c>
      <c r="F1268" s="1">
        <v>0.72152777777777777</v>
      </c>
      <c r="G1268" s="1">
        <v>0.84652777777777777</v>
      </c>
      <c r="H1268">
        <v>180</v>
      </c>
      <c r="I1268" t="b">
        <v>0</v>
      </c>
      <c r="J1268" t="b">
        <v>0</v>
      </c>
      <c r="K1268" t="b">
        <v>1</v>
      </c>
      <c r="L1268" t="s">
        <v>28</v>
      </c>
      <c r="M1268">
        <v>50</v>
      </c>
      <c r="N1268" t="s">
        <v>64</v>
      </c>
      <c r="O1268">
        <v>37.5</v>
      </c>
      <c r="P1268" t="s">
        <v>30</v>
      </c>
      <c r="Q1268">
        <v>0.05</v>
      </c>
      <c r="R1268">
        <v>35.625</v>
      </c>
      <c r="S1268" t="s">
        <v>31</v>
      </c>
      <c r="T1268" t="s">
        <v>48</v>
      </c>
      <c r="U1268">
        <v>38.581600000000002</v>
      </c>
      <c r="V1268">
        <v>-121.4944</v>
      </c>
      <c r="W1268" s="2">
        <v>45319</v>
      </c>
      <c r="X1268">
        <v>0</v>
      </c>
      <c r="Y1268" t="b">
        <v>0</v>
      </c>
      <c r="Z1268" s="2">
        <v>45832</v>
      </c>
      <c r="AA1268" t="str">
        <f t="shared" si="191"/>
        <v>10–19</v>
      </c>
      <c r="AB1268" t="str">
        <f t="shared" si="192"/>
        <v>Under 16</v>
      </c>
      <c r="AC1268" t="str">
        <f t="shared" si="193"/>
        <v>Monday</v>
      </c>
      <c r="AD1268" t="str">
        <f t="shared" si="194"/>
        <v/>
      </c>
      <c r="AE1268" t="str">
        <f t="shared" si="195"/>
        <v/>
      </c>
      <c r="AF1268" t="str">
        <f t="shared" si="196"/>
        <v/>
      </c>
      <c r="AG1268" t="str">
        <f t="shared" si="197"/>
        <v/>
      </c>
      <c r="AH1268" t="str">
        <f t="shared" si="198"/>
        <v/>
      </c>
      <c r="AI1268" t="str">
        <f t="shared" si="199"/>
        <v/>
      </c>
      <c r="AJ1268" t="str">
        <f>LEFT(Table1[[#This Row],[membership_type]],2)&amp;TEXT(Table1[[#This Row],[age]],"00")&amp;"-"&amp;TEXT(ROW(),"000")</f>
        <v>Pr15-1268</v>
      </c>
      <c r="AK1268" t="str">
        <f>LEFT(Table1[[#This Row],[membership_type]],1)&amp;TEXT(MATCH(Table1[[#This Row],[membership_type]],Table1[membership_type],0),"00")</f>
        <v>P01</v>
      </c>
      <c r="AL1268" t="str">
        <f>LEFT(Table1[[#This Row],[discount_type]],1)&amp;TEXT(ROUND(Table1[[#This Row],[discount_rate]]*100,0),"00")</f>
        <v>P05</v>
      </c>
      <c r="AM1268" t="str" cm="1">
        <f t="array" ref="AM1268">TEXT(SUMPRODUCT(CODE(MID(Table1[[#This Row],[home_gym_location]],_xlfn.SEQUENCE(LEN(Table1[[#This Row],[home_gym_location]])),1))),"00000")</f>
        <v>01245</v>
      </c>
      <c r="AN126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68" t="str">
        <f>LEFT(_xlfn.TEXTBEFORE(Table1[[#This Row],[Location Identifier]],"-"),3) &amp; "-" &amp; _xlfn.TEXTAFTER(Table1[[#This Row],[Location Identifier]],"-")</f>
        <v>SAC-007</v>
      </c>
      <c r="AP1268" s="9">
        <f t="shared" ca="1" si="190"/>
        <v>45869</v>
      </c>
    </row>
    <row r="1269" spans="1:42" x14ac:dyDescent="0.25">
      <c r="A1269">
        <v>38</v>
      </c>
      <c r="B1269" t="s">
        <v>26</v>
      </c>
      <c r="C1269">
        <v>4</v>
      </c>
      <c r="D1269" t="s">
        <v>144</v>
      </c>
      <c r="E1269" t="b">
        <v>1</v>
      </c>
      <c r="F1269" s="1">
        <v>0.87083333333333335</v>
      </c>
      <c r="G1269" s="1">
        <v>0.94513888888888886</v>
      </c>
      <c r="H1269">
        <v>107</v>
      </c>
      <c r="I1269" t="b">
        <v>0</v>
      </c>
      <c r="J1269" t="b">
        <v>1</v>
      </c>
      <c r="K1269" t="b">
        <v>1</v>
      </c>
      <c r="L1269" t="s">
        <v>62</v>
      </c>
      <c r="M1269">
        <v>50</v>
      </c>
      <c r="N1269" t="s">
        <v>29</v>
      </c>
      <c r="O1269">
        <v>50</v>
      </c>
      <c r="P1269" t="s">
        <v>40</v>
      </c>
      <c r="Q1269">
        <v>0.1</v>
      </c>
      <c r="R1269">
        <v>45</v>
      </c>
      <c r="S1269" t="s">
        <v>31</v>
      </c>
      <c r="T1269" t="s">
        <v>54</v>
      </c>
      <c r="U1269">
        <v>32.715699999999998</v>
      </c>
      <c r="V1269">
        <v>-117.1611</v>
      </c>
      <c r="W1269" s="2">
        <v>45191</v>
      </c>
      <c r="X1269">
        <v>4</v>
      </c>
      <c r="Y1269" t="b">
        <v>1</v>
      </c>
      <c r="Z1269" s="2">
        <v>45824</v>
      </c>
      <c r="AA1269" t="str">
        <f t="shared" si="191"/>
        <v>30–39</v>
      </c>
      <c r="AB1269" t="str">
        <f t="shared" si="192"/>
        <v>30–39</v>
      </c>
      <c r="AC1269" t="str">
        <f t="shared" si="193"/>
        <v>Monday</v>
      </c>
      <c r="AD1269" t="str">
        <f t="shared" si="194"/>
        <v/>
      </c>
      <c r="AE1269" t="str">
        <f t="shared" si="195"/>
        <v>Wednesday</v>
      </c>
      <c r="AF1269" t="str">
        <f t="shared" si="196"/>
        <v>Thursday</v>
      </c>
      <c r="AG1269" t="str">
        <f t="shared" si="197"/>
        <v>Friday</v>
      </c>
      <c r="AH1269" t="str">
        <f t="shared" si="198"/>
        <v/>
      </c>
      <c r="AI1269" t="str">
        <f t="shared" si="199"/>
        <v/>
      </c>
      <c r="AJ1269" t="str">
        <f>LEFT(Table1[[#This Row],[membership_type]],2)&amp;TEXT(Table1[[#This Row],[age]],"00")&amp;"-"&amp;TEXT(ROW(),"000")</f>
        <v>Pr38-1269</v>
      </c>
      <c r="AK1269" t="str">
        <f>LEFT(Table1[[#This Row],[membership_type]],1)&amp;TEXT(MATCH(Table1[[#This Row],[membership_type]],Table1[membership_type],0),"00")</f>
        <v>P01</v>
      </c>
      <c r="AL1269" t="str">
        <f>LEFT(Table1[[#This Row],[discount_type]],1)&amp;TEXT(ROUND(Table1[[#This Row],[discount_rate]]*100,0),"00")</f>
        <v>L10</v>
      </c>
      <c r="AM1269" t="str" cm="1">
        <f t="array" ref="AM1269">TEXT(SUMPRODUCT(CODE(MID(Table1[[#This Row],[home_gym_location]],_xlfn.SEQUENCE(LEN(Table1[[#This Row],[home_gym_location]])),1))),"00000")</f>
        <v>01018</v>
      </c>
      <c r="AN126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69" t="str">
        <f>LEFT(_xlfn.TEXTBEFORE(Table1[[#This Row],[Location Identifier]],"-"),3) &amp; "-" &amp; _xlfn.TEXTAFTER(Table1[[#This Row],[Location Identifier]],"-")</f>
        <v>SAN-008</v>
      </c>
      <c r="AP1269" s="9">
        <f t="shared" ca="1" si="190"/>
        <v>45869</v>
      </c>
    </row>
    <row r="1270" spans="1:42" x14ac:dyDescent="0.25">
      <c r="A1270">
        <v>32</v>
      </c>
      <c r="B1270" t="s">
        <v>51</v>
      </c>
      <c r="C1270">
        <v>2</v>
      </c>
      <c r="D1270" t="s">
        <v>94</v>
      </c>
      <c r="E1270" t="b">
        <v>1</v>
      </c>
      <c r="F1270" s="1">
        <v>0.79652777777777772</v>
      </c>
      <c r="G1270" s="1">
        <v>0.91666666666666663</v>
      </c>
      <c r="H1270">
        <v>173</v>
      </c>
      <c r="I1270" t="b">
        <v>0</v>
      </c>
      <c r="J1270" t="b">
        <v>0</v>
      </c>
      <c r="K1270" t="b">
        <v>0</v>
      </c>
      <c r="L1270" t="s">
        <v>28</v>
      </c>
      <c r="M1270">
        <v>70</v>
      </c>
      <c r="N1270" t="s">
        <v>29</v>
      </c>
      <c r="O1270">
        <v>70</v>
      </c>
      <c r="P1270" t="s">
        <v>74</v>
      </c>
      <c r="Q1270">
        <v>0.15</v>
      </c>
      <c r="R1270">
        <v>59.5</v>
      </c>
      <c r="S1270" t="s">
        <v>53</v>
      </c>
      <c r="T1270" t="s">
        <v>54</v>
      </c>
      <c r="U1270">
        <v>32.715699999999998</v>
      </c>
      <c r="V1270">
        <v>-117.1611</v>
      </c>
      <c r="W1270" s="2">
        <v>45520</v>
      </c>
      <c r="X1270">
        <v>0</v>
      </c>
      <c r="Y1270" t="b">
        <v>1</v>
      </c>
      <c r="Z1270" s="2">
        <v>45843</v>
      </c>
      <c r="AA1270" t="str">
        <f t="shared" si="191"/>
        <v>30–39</v>
      </c>
      <c r="AB1270" t="str">
        <f t="shared" si="192"/>
        <v>30–39</v>
      </c>
      <c r="AC1270" t="str">
        <f t="shared" si="193"/>
        <v/>
      </c>
      <c r="AD1270" t="str">
        <f t="shared" si="194"/>
        <v/>
      </c>
      <c r="AE1270" t="str">
        <f t="shared" si="195"/>
        <v/>
      </c>
      <c r="AF1270" t="str">
        <f t="shared" si="196"/>
        <v/>
      </c>
      <c r="AG1270" t="str">
        <f t="shared" si="197"/>
        <v/>
      </c>
      <c r="AH1270" t="str">
        <f t="shared" si="198"/>
        <v>Saturday</v>
      </c>
      <c r="AI1270" t="str">
        <f t="shared" si="199"/>
        <v>Sunday</v>
      </c>
      <c r="AJ1270" t="str">
        <f>LEFT(Table1[[#This Row],[membership_type]],2)&amp;TEXT(Table1[[#This Row],[age]],"00")&amp;"-"&amp;TEXT(ROW(),"000")</f>
        <v>El32-1270</v>
      </c>
      <c r="AK1270" t="str">
        <f>LEFT(Table1[[#This Row],[membership_type]],1)&amp;TEXT(MATCH(Table1[[#This Row],[membership_type]],Table1[membership_type],0),"00")</f>
        <v>E07</v>
      </c>
      <c r="AL1270" t="str">
        <f>LEFT(Table1[[#This Row],[discount_type]],1)&amp;TEXT(ROUND(Table1[[#This Row],[discount_rate]]*100,0),"00")</f>
        <v>S15</v>
      </c>
      <c r="AM1270" t="str" cm="1">
        <f t="array" ref="AM1270">TEXT(SUMPRODUCT(CODE(MID(Table1[[#This Row],[home_gym_location]],_xlfn.SEQUENCE(LEN(Table1[[#This Row],[home_gym_location]])),1))),"00000")</f>
        <v>01018</v>
      </c>
      <c r="AN127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70" t="str">
        <f>LEFT(_xlfn.TEXTBEFORE(Table1[[#This Row],[Location Identifier]],"-"),3) &amp; "-" &amp; _xlfn.TEXTAFTER(Table1[[#This Row],[Location Identifier]],"-")</f>
        <v>SAN-008</v>
      </c>
      <c r="AP1270" s="9">
        <f t="shared" ca="1" si="190"/>
        <v>45869</v>
      </c>
    </row>
    <row r="1271" spans="1:42" x14ac:dyDescent="0.25">
      <c r="A1271">
        <v>37</v>
      </c>
      <c r="B1271" t="s">
        <v>42</v>
      </c>
      <c r="C1271">
        <v>1</v>
      </c>
      <c r="D1271" t="s">
        <v>95</v>
      </c>
      <c r="E1271" t="b">
        <v>1</v>
      </c>
      <c r="F1271" s="1">
        <v>0.34791666666666665</v>
      </c>
      <c r="G1271" s="1">
        <v>0.37152777777777779</v>
      </c>
      <c r="H1271">
        <v>34</v>
      </c>
      <c r="I1271" t="b">
        <v>1</v>
      </c>
      <c r="J1271" t="b">
        <v>0</v>
      </c>
      <c r="K1271" t="b">
        <v>0</v>
      </c>
      <c r="L1271" t="s">
        <v>62</v>
      </c>
      <c r="M1271">
        <v>20</v>
      </c>
      <c r="N1271" t="s">
        <v>64</v>
      </c>
      <c r="O1271">
        <v>15</v>
      </c>
      <c r="P1271" t="s">
        <v>36</v>
      </c>
      <c r="Q1271">
        <v>0</v>
      </c>
      <c r="R1271">
        <v>15</v>
      </c>
      <c r="S1271" t="s">
        <v>44</v>
      </c>
      <c r="T1271" t="s">
        <v>38</v>
      </c>
      <c r="U1271">
        <v>36.7378</v>
      </c>
      <c r="V1271">
        <v>-119.7871</v>
      </c>
      <c r="W1271" s="2">
        <v>45090</v>
      </c>
      <c r="X1271">
        <v>0</v>
      </c>
      <c r="Y1271" t="b">
        <v>0</v>
      </c>
      <c r="Z1271" s="2">
        <v>45819</v>
      </c>
      <c r="AA1271" t="str">
        <f t="shared" si="191"/>
        <v>30–39</v>
      </c>
      <c r="AB1271" t="str">
        <f t="shared" si="192"/>
        <v>30–39</v>
      </c>
      <c r="AC1271" t="str">
        <f t="shared" si="193"/>
        <v/>
      </c>
      <c r="AD1271" t="str">
        <f t="shared" si="194"/>
        <v/>
      </c>
      <c r="AE1271" t="str">
        <f t="shared" si="195"/>
        <v/>
      </c>
      <c r="AF1271" t="str">
        <f t="shared" si="196"/>
        <v/>
      </c>
      <c r="AG1271" t="str">
        <f t="shared" si="197"/>
        <v/>
      </c>
      <c r="AH1271" t="str">
        <f t="shared" si="198"/>
        <v>Saturday</v>
      </c>
      <c r="AI1271" t="str">
        <f t="shared" si="199"/>
        <v/>
      </c>
      <c r="AJ1271" t="str">
        <f>LEFT(Table1[[#This Row],[membership_type]],2)&amp;TEXT(Table1[[#This Row],[age]],"00")&amp;"-"&amp;TEXT(ROW(),"000")</f>
        <v>Ba37-1271</v>
      </c>
      <c r="AK1271" t="str">
        <f>LEFT(Table1[[#This Row],[membership_type]],1)&amp;TEXT(MATCH(Table1[[#This Row],[membership_type]],Table1[membership_type],0),"00")</f>
        <v>B04</v>
      </c>
      <c r="AL1271" t="str">
        <f>LEFT(Table1[[#This Row],[discount_type]],1)&amp;TEXT(ROUND(Table1[[#This Row],[discount_rate]]*100,0),"00")</f>
        <v>N00</v>
      </c>
      <c r="AM1271" t="str" cm="1">
        <f t="array" ref="AM1271">TEXT(SUMPRODUCT(CODE(MID(Table1[[#This Row],[home_gym_location]],_xlfn.SEQUENCE(LEN(Table1[[#This Row],[home_gym_location]])),1))),"00000")</f>
        <v>00829</v>
      </c>
      <c r="AN1271" t="str">
        <f>UPPER(_xlfn.TEXTBEFORE(Table1[[#This Row],[home_gym_location]],","))&amp;"-"&amp;TEXT(MATCH(Table1[[#This Row],[home_gym_location]],_xlfn._xlws.SORT(_xlfn.UNIQUE(Table1[home_gym_location])),0),"000")</f>
        <v>FRESNO-003</v>
      </c>
      <c r="AO1271" t="str">
        <f>LEFT(_xlfn.TEXTBEFORE(Table1[[#This Row],[Location Identifier]],"-"),3) &amp; "-" &amp; _xlfn.TEXTAFTER(Table1[[#This Row],[Location Identifier]],"-")</f>
        <v>FRE-003</v>
      </c>
      <c r="AP1271" s="9">
        <f t="shared" ca="1" si="190"/>
        <v>45869</v>
      </c>
    </row>
    <row r="1272" spans="1:42" x14ac:dyDescent="0.25">
      <c r="A1272">
        <v>24</v>
      </c>
      <c r="B1272" t="s">
        <v>26</v>
      </c>
      <c r="C1272">
        <v>5</v>
      </c>
      <c r="D1272" t="s">
        <v>115</v>
      </c>
      <c r="E1272" t="b">
        <v>0</v>
      </c>
      <c r="F1272" s="1">
        <v>0.87013888888888891</v>
      </c>
      <c r="G1272" s="1">
        <v>0.98124999999999996</v>
      </c>
      <c r="H1272">
        <v>160</v>
      </c>
      <c r="I1272" t="b">
        <v>1</v>
      </c>
      <c r="J1272" t="b">
        <v>0</v>
      </c>
      <c r="K1272" t="b">
        <v>0</v>
      </c>
      <c r="L1272" t="s">
        <v>28</v>
      </c>
      <c r="M1272">
        <v>50</v>
      </c>
      <c r="N1272" t="s">
        <v>29</v>
      </c>
      <c r="O1272">
        <v>50</v>
      </c>
      <c r="P1272" t="s">
        <v>40</v>
      </c>
      <c r="Q1272">
        <v>0.1</v>
      </c>
      <c r="R1272">
        <v>45</v>
      </c>
      <c r="S1272" t="s">
        <v>31</v>
      </c>
      <c r="T1272" t="s">
        <v>56</v>
      </c>
      <c r="U1272">
        <v>35.3733</v>
      </c>
      <c r="V1272">
        <v>-119.0187</v>
      </c>
      <c r="W1272" s="2">
        <v>44914</v>
      </c>
      <c r="X1272">
        <v>0</v>
      </c>
      <c r="Y1272" t="b">
        <v>1</v>
      </c>
      <c r="Z1272" s="2">
        <v>45809</v>
      </c>
      <c r="AA1272" t="str">
        <f t="shared" si="191"/>
        <v>20–29</v>
      </c>
      <c r="AB1272" t="str">
        <f t="shared" si="192"/>
        <v>20–29</v>
      </c>
      <c r="AC1272" t="str">
        <f t="shared" si="193"/>
        <v>Monday</v>
      </c>
      <c r="AD1272" t="str">
        <f t="shared" si="194"/>
        <v/>
      </c>
      <c r="AE1272" t="str">
        <f t="shared" si="195"/>
        <v>Wednesday</v>
      </c>
      <c r="AF1272" t="str">
        <f t="shared" si="196"/>
        <v/>
      </c>
      <c r="AG1272" t="str">
        <f t="shared" si="197"/>
        <v>Friday</v>
      </c>
      <c r="AH1272" t="str">
        <f t="shared" si="198"/>
        <v>Saturday</v>
      </c>
      <c r="AI1272" t="str">
        <f t="shared" si="199"/>
        <v>Sunday</v>
      </c>
      <c r="AJ1272" t="str">
        <f>LEFT(Table1[[#This Row],[membership_type]],2)&amp;TEXT(Table1[[#This Row],[age]],"00")&amp;"-"&amp;TEXT(ROW(),"000")</f>
        <v>Pr24-1272</v>
      </c>
      <c r="AK1272" t="str">
        <f>LEFT(Table1[[#This Row],[membership_type]],1)&amp;TEXT(MATCH(Table1[[#This Row],[membership_type]],Table1[membership_type],0),"00")</f>
        <v>P01</v>
      </c>
      <c r="AL1272" t="str">
        <f>LEFT(Table1[[#This Row],[discount_type]],1)&amp;TEXT(ROUND(Table1[[#This Row],[discount_rate]]*100,0),"00")</f>
        <v>L10</v>
      </c>
      <c r="AM1272" t="str" cm="1">
        <f t="array" ref="AM1272">TEXT(SUMPRODUCT(CODE(MID(Table1[[#This Row],[home_gym_location]],_xlfn.SEQUENCE(LEN(Table1[[#This Row],[home_gym_location]])),1))),"00000")</f>
        <v>01324</v>
      </c>
      <c r="AN127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72" t="str">
        <f>LEFT(_xlfn.TEXTBEFORE(Table1[[#This Row],[Location Identifier]],"-"),3) &amp; "-" &amp; _xlfn.TEXTAFTER(Table1[[#This Row],[Location Identifier]],"-")</f>
        <v>BAK-002</v>
      </c>
      <c r="AP1272" s="9">
        <f t="shared" ca="1" si="190"/>
        <v>45869</v>
      </c>
    </row>
    <row r="1273" spans="1:42" x14ac:dyDescent="0.25">
      <c r="A1273">
        <v>23</v>
      </c>
      <c r="B1273" t="s">
        <v>33</v>
      </c>
      <c r="C1273">
        <v>2</v>
      </c>
      <c r="D1273" t="s">
        <v>27</v>
      </c>
      <c r="E1273" t="b">
        <v>0</v>
      </c>
      <c r="F1273" s="1">
        <v>0.49722222222222223</v>
      </c>
      <c r="G1273" s="1">
        <v>0.5708333333333333</v>
      </c>
      <c r="H1273">
        <v>106</v>
      </c>
      <c r="I1273" t="b">
        <v>0</v>
      </c>
      <c r="J1273" t="b">
        <v>1</v>
      </c>
      <c r="K1273" t="b">
        <v>1</v>
      </c>
      <c r="L1273" t="s">
        <v>62</v>
      </c>
      <c r="M1273">
        <v>30</v>
      </c>
      <c r="N1273" t="s">
        <v>29</v>
      </c>
      <c r="O1273">
        <v>30</v>
      </c>
      <c r="P1273" t="s">
        <v>30</v>
      </c>
      <c r="Q1273">
        <v>0.05</v>
      </c>
      <c r="R1273">
        <v>28.5</v>
      </c>
      <c r="S1273" t="s">
        <v>37</v>
      </c>
      <c r="T1273" t="s">
        <v>38</v>
      </c>
      <c r="U1273">
        <v>36.7378</v>
      </c>
      <c r="V1273">
        <v>-119.7871</v>
      </c>
      <c r="W1273" s="2">
        <v>45000</v>
      </c>
      <c r="X1273">
        <v>6</v>
      </c>
      <c r="Y1273" t="b">
        <v>0</v>
      </c>
      <c r="Z1273" s="2">
        <v>45814</v>
      </c>
      <c r="AA1273" t="str">
        <f t="shared" si="191"/>
        <v>20–29</v>
      </c>
      <c r="AB1273" t="str">
        <f t="shared" si="192"/>
        <v>20–29</v>
      </c>
      <c r="AC1273" t="str">
        <f t="shared" si="193"/>
        <v/>
      </c>
      <c r="AD1273" t="str">
        <f t="shared" si="194"/>
        <v/>
      </c>
      <c r="AE1273" t="str">
        <f t="shared" si="195"/>
        <v/>
      </c>
      <c r="AF1273" t="str">
        <f t="shared" si="196"/>
        <v>Thursday</v>
      </c>
      <c r="AG1273" t="str">
        <f t="shared" si="197"/>
        <v/>
      </c>
      <c r="AH1273" t="str">
        <f t="shared" si="198"/>
        <v>Saturday</v>
      </c>
      <c r="AI1273" t="str">
        <f t="shared" si="199"/>
        <v/>
      </c>
      <c r="AJ1273" t="str">
        <f>LEFT(Table1[[#This Row],[membership_type]],2)&amp;TEXT(Table1[[#This Row],[age]],"00")&amp;"-"&amp;TEXT(ROW(),"000")</f>
        <v>St23-1273</v>
      </c>
      <c r="AK1273" t="str">
        <f>LEFT(Table1[[#This Row],[membership_type]],1)&amp;TEXT(MATCH(Table1[[#This Row],[membership_type]],Table1[membership_type],0),"00")</f>
        <v>S02</v>
      </c>
      <c r="AL1273" t="str">
        <f>LEFT(Table1[[#This Row],[discount_type]],1)&amp;TEXT(ROUND(Table1[[#This Row],[discount_rate]]*100,0),"00")</f>
        <v>P05</v>
      </c>
      <c r="AM1273" t="str" cm="1">
        <f t="array" ref="AM1273">TEXT(SUMPRODUCT(CODE(MID(Table1[[#This Row],[home_gym_location]],_xlfn.SEQUENCE(LEN(Table1[[#This Row],[home_gym_location]])),1))),"00000")</f>
        <v>00829</v>
      </c>
      <c r="AN1273" t="str">
        <f>UPPER(_xlfn.TEXTBEFORE(Table1[[#This Row],[home_gym_location]],","))&amp;"-"&amp;TEXT(MATCH(Table1[[#This Row],[home_gym_location]],_xlfn._xlws.SORT(_xlfn.UNIQUE(Table1[home_gym_location])),0),"000")</f>
        <v>FRESNO-003</v>
      </c>
      <c r="AO1273" t="str">
        <f>LEFT(_xlfn.TEXTBEFORE(Table1[[#This Row],[Location Identifier]],"-"),3) &amp; "-" &amp; _xlfn.TEXTAFTER(Table1[[#This Row],[Location Identifier]],"-")</f>
        <v>FRE-003</v>
      </c>
      <c r="AP1273" s="9">
        <f t="shared" ca="1" si="190"/>
        <v>45869</v>
      </c>
    </row>
    <row r="1274" spans="1:42" x14ac:dyDescent="0.25">
      <c r="A1274">
        <v>20</v>
      </c>
      <c r="B1274" t="s">
        <v>26</v>
      </c>
      <c r="C1274">
        <v>2</v>
      </c>
      <c r="D1274" t="s">
        <v>88</v>
      </c>
      <c r="E1274" t="b">
        <v>1</v>
      </c>
      <c r="F1274" s="1">
        <v>0.73958333333333337</v>
      </c>
      <c r="G1274" s="1">
        <v>0.80555555555555558</v>
      </c>
      <c r="H1274">
        <v>95</v>
      </c>
      <c r="I1274" t="b">
        <v>1</v>
      </c>
      <c r="J1274" t="b">
        <v>0</v>
      </c>
      <c r="K1274" t="b">
        <v>1</v>
      </c>
      <c r="L1274" t="s">
        <v>47</v>
      </c>
      <c r="M1274">
        <v>50</v>
      </c>
      <c r="N1274" t="s">
        <v>64</v>
      </c>
      <c r="O1274">
        <v>37.5</v>
      </c>
      <c r="P1274" t="s">
        <v>36</v>
      </c>
      <c r="Q1274">
        <v>0</v>
      </c>
      <c r="R1274">
        <v>37.5</v>
      </c>
      <c r="S1274" t="s">
        <v>31</v>
      </c>
      <c r="T1274" t="s">
        <v>38</v>
      </c>
      <c r="U1274">
        <v>36.7378</v>
      </c>
      <c r="V1274">
        <v>-119.7871</v>
      </c>
      <c r="W1274" s="2">
        <v>45788</v>
      </c>
      <c r="X1274">
        <v>0</v>
      </c>
      <c r="Y1274" t="b">
        <v>1</v>
      </c>
      <c r="Z1274" s="2">
        <v>45858</v>
      </c>
      <c r="AA1274" t="str">
        <f t="shared" si="191"/>
        <v>20–29</v>
      </c>
      <c r="AB1274" t="str">
        <f t="shared" si="192"/>
        <v>20–29</v>
      </c>
      <c r="AC1274" t="str">
        <f t="shared" si="193"/>
        <v>Monday</v>
      </c>
      <c r="AD1274" t="str">
        <f t="shared" si="194"/>
        <v/>
      </c>
      <c r="AE1274" t="str">
        <f t="shared" si="195"/>
        <v>Wednesday</v>
      </c>
      <c r="AF1274" t="str">
        <f t="shared" si="196"/>
        <v/>
      </c>
      <c r="AG1274" t="str">
        <f t="shared" si="197"/>
        <v/>
      </c>
      <c r="AH1274" t="str">
        <f t="shared" si="198"/>
        <v/>
      </c>
      <c r="AI1274" t="str">
        <f t="shared" si="199"/>
        <v/>
      </c>
      <c r="AJ1274" t="str">
        <f>LEFT(Table1[[#This Row],[membership_type]],2)&amp;TEXT(Table1[[#This Row],[age]],"00")&amp;"-"&amp;TEXT(ROW(),"000")</f>
        <v>Pr20-1274</v>
      </c>
      <c r="AK1274" t="str">
        <f>LEFT(Table1[[#This Row],[membership_type]],1)&amp;TEXT(MATCH(Table1[[#This Row],[membership_type]],Table1[membership_type],0),"00")</f>
        <v>P01</v>
      </c>
      <c r="AL1274" t="str">
        <f>LEFT(Table1[[#This Row],[discount_type]],1)&amp;TEXT(ROUND(Table1[[#This Row],[discount_rate]]*100,0),"00")</f>
        <v>N00</v>
      </c>
      <c r="AM1274" t="str" cm="1">
        <f t="array" ref="AM1274">TEXT(SUMPRODUCT(CODE(MID(Table1[[#This Row],[home_gym_location]],_xlfn.SEQUENCE(LEN(Table1[[#This Row],[home_gym_location]])),1))),"00000")</f>
        <v>00829</v>
      </c>
      <c r="AN1274" t="str">
        <f>UPPER(_xlfn.TEXTBEFORE(Table1[[#This Row],[home_gym_location]],","))&amp;"-"&amp;TEXT(MATCH(Table1[[#This Row],[home_gym_location]],_xlfn._xlws.SORT(_xlfn.UNIQUE(Table1[home_gym_location])),0),"000")</f>
        <v>FRESNO-003</v>
      </c>
      <c r="AO1274" t="str">
        <f>LEFT(_xlfn.TEXTBEFORE(Table1[[#This Row],[Location Identifier]],"-"),3) &amp; "-" &amp; _xlfn.TEXTAFTER(Table1[[#This Row],[Location Identifier]],"-")</f>
        <v>FRE-003</v>
      </c>
      <c r="AP1274" s="9">
        <f t="shared" ca="1" si="190"/>
        <v>45869</v>
      </c>
    </row>
    <row r="1275" spans="1:42" x14ac:dyDescent="0.25">
      <c r="A1275">
        <v>35</v>
      </c>
      <c r="B1275" t="s">
        <v>33</v>
      </c>
      <c r="C1275">
        <v>5</v>
      </c>
      <c r="D1275" t="s">
        <v>34</v>
      </c>
      <c r="E1275" t="b">
        <v>1</v>
      </c>
      <c r="F1275" s="1">
        <v>0.65625</v>
      </c>
      <c r="G1275" s="1">
        <v>0.77986111111111112</v>
      </c>
      <c r="H1275">
        <v>178</v>
      </c>
      <c r="I1275" t="b">
        <v>0</v>
      </c>
      <c r="J1275" t="b">
        <v>0</v>
      </c>
      <c r="K1275" t="b">
        <v>0</v>
      </c>
      <c r="L1275" t="s">
        <v>35</v>
      </c>
      <c r="M1275">
        <v>30</v>
      </c>
      <c r="N1275" t="s">
        <v>29</v>
      </c>
      <c r="O1275">
        <v>30</v>
      </c>
      <c r="P1275" t="s">
        <v>36</v>
      </c>
      <c r="Q1275">
        <v>0</v>
      </c>
      <c r="R1275">
        <v>30</v>
      </c>
      <c r="S1275" t="s">
        <v>37</v>
      </c>
      <c r="T1275" t="s">
        <v>38</v>
      </c>
      <c r="U1275">
        <v>36.7378</v>
      </c>
      <c r="V1275">
        <v>-119.7871</v>
      </c>
      <c r="W1275" s="2">
        <v>45319</v>
      </c>
      <c r="X1275">
        <v>0</v>
      </c>
      <c r="Y1275" t="b">
        <v>1</v>
      </c>
      <c r="Z1275" s="2">
        <v>45832</v>
      </c>
      <c r="AA1275" t="str">
        <f t="shared" si="191"/>
        <v>30–39</v>
      </c>
      <c r="AB1275" t="str">
        <f t="shared" si="192"/>
        <v>30–39</v>
      </c>
      <c r="AC1275" t="str">
        <f t="shared" si="193"/>
        <v/>
      </c>
      <c r="AD1275" t="str">
        <f t="shared" si="194"/>
        <v>Tuesday</v>
      </c>
      <c r="AE1275" t="str">
        <f t="shared" si="195"/>
        <v>Wednesday</v>
      </c>
      <c r="AF1275" t="str">
        <f t="shared" si="196"/>
        <v>Thursday</v>
      </c>
      <c r="AG1275" t="str">
        <f t="shared" si="197"/>
        <v>Friday</v>
      </c>
      <c r="AH1275" t="str">
        <f t="shared" si="198"/>
        <v>Saturday</v>
      </c>
      <c r="AI1275" t="str">
        <f t="shared" si="199"/>
        <v/>
      </c>
      <c r="AJ1275" t="str">
        <f>LEFT(Table1[[#This Row],[membership_type]],2)&amp;TEXT(Table1[[#This Row],[age]],"00")&amp;"-"&amp;TEXT(ROW(),"000")</f>
        <v>St35-1275</v>
      </c>
      <c r="AK1275" t="str">
        <f>LEFT(Table1[[#This Row],[membership_type]],1)&amp;TEXT(MATCH(Table1[[#This Row],[membership_type]],Table1[membership_type],0),"00")</f>
        <v>S02</v>
      </c>
      <c r="AL1275" t="str">
        <f>LEFT(Table1[[#This Row],[discount_type]],1)&amp;TEXT(ROUND(Table1[[#This Row],[discount_rate]]*100,0),"00")</f>
        <v>N00</v>
      </c>
      <c r="AM1275" t="str" cm="1">
        <f t="array" ref="AM1275">TEXT(SUMPRODUCT(CODE(MID(Table1[[#This Row],[home_gym_location]],_xlfn.SEQUENCE(LEN(Table1[[#This Row],[home_gym_location]])),1))),"00000")</f>
        <v>00829</v>
      </c>
      <c r="AN1275" t="str">
        <f>UPPER(_xlfn.TEXTBEFORE(Table1[[#This Row],[home_gym_location]],","))&amp;"-"&amp;TEXT(MATCH(Table1[[#This Row],[home_gym_location]],_xlfn._xlws.SORT(_xlfn.UNIQUE(Table1[home_gym_location])),0),"000")</f>
        <v>FRESNO-003</v>
      </c>
      <c r="AO1275" t="str">
        <f>LEFT(_xlfn.TEXTBEFORE(Table1[[#This Row],[Location Identifier]],"-"),3) &amp; "-" &amp; _xlfn.TEXTAFTER(Table1[[#This Row],[Location Identifier]],"-")</f>
        <v>FRE-003</v>
      </c>
      <c r="AP1275" s="9">
        <f t="shared" ca="1" si="190"/>
        <v>45869</v>
      </c>
    </row>
    <row r="1276" spans="1:42" x14ac:dyDescent="0.25">
      <c r="A1276">
        <v>26</v>
      </c>
      <c r="B1276" t="s">
        <v>26</v>
      </c>
      <c r="C1276">
        <v>5</v>
      </c>
      <c r="D1276" t="s">
        <v>69</v>
      </c>
      <c r="E1276" t="b">
        <v>1</v>
      </c>
      <c r="F1276" s="1">
        <v>0.71597222222222223</v>
      </c>
      <c r="G1276" s="1">
        <v>0.75138888888888888</v>
      </c>
      <c r="H1276">
        <v>51</v>
      </c>
      <c r="I1276" t="b">
        <v>0</v>
      </c>
      <c r="J1276" t="b">
        <v>1</v>
      </c>
      <c r="K1276" t="b">
        <v>1</v>
      </c>
      <c r="L1276" t="s">
        <v>62</v>
      </c>
      <c r="M1276">
        <v>50</v>
      </c>
      <c r="N1276" t="s">
        <v>64</v>
      </c>
      <c r="O1276">
        <v>37.5</v>
      </c>
      <c r="P1276" t="s">
        <v>74</v>
      </c>
      <c r="Q1276">
        <v>0.15</v>
      </c>
      <c r="R1276">
        <v>31.875</v>
      </c>
      <c r="S1276" t="s">
        <v>31</v>
      </c>
      <c r="T1276" t="s">
        <v>65</v>
      </c>
      <c r="U1276">
        <v>33.770099999999999</v>
      </c>
      <c r="V1276">
        <v>-118.19370000000001</v>
      </c>
      <c r="W1276" s="2">
        <v>45719</v>
      </c>
      <c r="X1276">
        <v>1</v>
      </c>
      <c r="Y1276" t="b">
        <v>1</v>
      </c>
      <c r="Z1276" s="2">
        <v>45854</v>
      </c>
      <c r="AA1276" t="str">
        <f t="shared" si="191"/>
        <v>20–29</v>
      </c>
      <c r="AB1276" t="str">
        <f t="shared" si="192"/>
        <v>20–29</v>
      </c>
      <c r="AC1276" t="str">
        <f t="shared" si="193"/>
        <v>Monday</v>
      </c>
      <c r="AD1276" t="str">
        <f t="shared" si="194"/>
        <v/>
      </c>
      <c r="AE1276" t="str">
        <f t="shared" si="195"/>
        <v>Wednesday</v>
      </c>
      <c r="AF1276" t="str">
        <f t="shared" si="196"/>
        <v>Thursday</v>
      </c>
      <c r="AG1276" t="str">
        <f t="shared" si="197"/>
        <v/>
      </c>
      <c r="AH1276" t="str">
        <f t="shared" si="198"/>
        <v>Saturday</v>
      </c>
      <c r="AI1276" t="str">
        <f t="shared" si="199"/>
        <v>Sunday</v>
      </c>
      <c r="AJ1276" t="str">
        <f>LEFT(Table1[[#This Row],[membership_type]],2)&amp;TEXT(Table1[[#This Row],[age]],"00")&amp;"-"&amp;TEXT(ROW(),"000")</f>
        <v>Pr26-1276</v>
      </c>
      <c r="AK1276" t="str">
        <f>LEFT(Table1[[#This Row],[membership_type]],1)&amp;TEXT(MATCH(Table1[[#This Row],[membership_type]],Table1[membership_type],0),"00")</f>
        <v>P01</v>
      </c>
      <c r="AL1276" t="str">
        <f>LEFT(Table1[[#This Row],[discount_type]],1)&amp;TEXT(ROUND(Table1[[#This Row],[discount_rate]]*100,0),"00")</f>
        <v>S15</v>
      </c>
      <c r="AM1276" t="str" cm="1">
        <f t="array" ref="AM1276">TEXT(SUMPRODUCT(CODE(MID(Table1[[#This Row],[home_gym_location]],_xlfn.SEQUENCE(LEN(Table1[[#This Row],[home_gym_location]])),1))),"00000")</f>
        <v>01107</v>
      </c>
      <c r="AN127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76" t="str">
        <f>LEFT(_xlfn.TEXTBEFORE(Table1[[#This Row],[Location Identifier]],"-"),3) &amp; "-" &amp; _xlfn.TEXTAFTER(Table1[[#This Row],[Location Identifier]],"-")</f>
        <v>LON-004</v>
      </c>
      <c r="AP1276" s="9">
        <f t="shared" ca="1" si="190"/>
        <v>45869</v>
      </c>
    </row>
    <row r="1277" spans="1:42" x14ac:dyDescent="0.25">
      <c r="A1277">
        <v>17</v>
      </c>
      <c r="B1277" t="s">
        <v>26</v>
      </c>
      <c r="C1277">
        <v>3</v>
      </c>
      <c r="D1277" t="s">
        <v>134</v>
      </c>
      <c r="E1277" t="b">
        <v>1</v>
      </c>
      <c r="F1277" s="1">
        <v>0.65347222222222223</v>
      </c>
      <c r="G1277" s="1">
        <v>0.70694444444444449</v>
      </c>
      <c r="H1277">
        <v>77</v>
      </c>
      <c r="I1277" t="b">
        <v>1</v>
      </c>
      <c r="J1277" t="b">
        <v>1</v>
      </c>
      <c r="K1277" t="b">
        <v>0</v>
      </c>
      <c r="L1277" t="s">
        <v>62</v>
      </c>
      <c r="M1277">
        <v>50</v>
      </c>
      <c r="N1277" t="s">
        <v>64</v>
      </c>
      <c r="O1277">
        <v>37.5</v>
      </c>
      <c r="P1277" t="s">
        <v>40</v>
      </c>
      <c r="Q1277">
        <v>0.1</v>
      </c>
      <c r="R1277">
        <v>33.75</v>
      </c>
      <c r="S1277" t="s">
        <v>31</v>
      </c>
      <c r="T1277" t="s">
        <v>59</v>
      </c>
      <c r="U1277">
        <v>37.774900000000002</v>
      </c>
      <c r="V1277">
        <v>-122.4194</v>
      </c>
      <c r="W1277" s="2">
        <v>45573</v>
      </c>
      <c r="X1277">
        <v>7</v>
      </c>
      <c r="Y1277" t="b">
        <v>1</v>
      </c>
      <c r="Z1277" s="2">
        <v>45846</v>
      </c>
      <c r="AA1277" t="str">
        <f t="shared" si="191"/>
        <v>10–19</v>
      </c>
      <c r="AB1277" t="str">
        <f t="shared" si="192"/>
        <v>16–19</v>
      </c>
      <c r="AC1277" t="str">
        <f t="shared" si="193"/>
        <v/>
      </c>
      <c r="AD1277" t="str">
        <f t="shared" si="194"/>
        <v>Tuesday</v>
      </c>
      <c r="AE1277" t="str">
        <f t="shared" si="195"/>
        <v/>
      </c>
      <c r="AF1277" t="str">
        <f t="shared" si="196"/>
        <v>Thursday</v>
      </c>
      <c r="AG1277" t="str">
        <f t="shared" si="197"/>
        <v/>
      </c>
      <c r="AH1277" t="str">
        <f t="shared" si="198"/>
        <v>Saturday</v>
      </c>
      <c r="AI1277" t="str">
        <f t="shared" si="199"/>
        <v/>
      </c>
      <c r="AJ1277" t="str">
        <f>LEFT(Table1[[#This Row],[membership_type]],2)&amp;TEXT(Table1[[#This Row],[age]],"00")&amp;"-"&amp;TEXT(ROW(),"000")</f>
        <v>Pr17-1277</v>
      </c>
      <c r="AK1277" t="str">
        <f>LEFT(Table1[[#This Row],[membership_type]],1)&amp;TEXT(MATCH(Table1[[#This Row],[membership_type]],Table1[membership_type],0),"00")</f>
        <v>P01</v>
      </c>
      <c r="AL1277" t="str">
        <f>LEFT(Table1[[#This Row],[discount_type]],1)&amp;TEXT(ROUND(Table1[[#This Row],[discount_rate]]*100,0),"00")</f>
        <v>L10</v>
      </c>
      <c r="AM1277" t="str" cm="1">
        <f t="array" ref="AM1277">TEXT(SUMPRODUCT(CODE(MID(Table1[[#This Row],[home_gym_location]],_xlfn.SEQUENCE(LEN(Table1[[#This Row],[home_gym_location]])),1))),"00000")</f>
        <v>01450</v>
      </c>
      <c r="AN127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77" t="str">
        <f>LEFT(_xlfn.TEXTBEFORE(Table1[[#This Row],[Location Identifier]],"-"),3) &amp; "-" &amp; _xlfn.TEXTAFTER(Table1[[#This Row],[Location Identifier]],"-")</f>
        <v>SAN-009</v>
      </c>
      <c r="AP1277" s="9">
        <f t="shared" ca="1" si="190"/>
        <v>45869</v>
      </c>
    </row>
    <row r="1278" spans="1:42" x14ac:dyDescent="0.25">
      <c r="A1278">
        <v>40</v>
      </c>
      <c r="B1278" t="s">
        <v>26</v>
      </c>
      <c r="C1278">
        <v>3</v>
      </c>
      <c r="D1278" t="s">
        <v>117</v>
      </c>
      <c r="E1278" t="b">
        <v>0</v>
      </c>
      <c r="F1278" s="1">
        <v>0.49861111111111112</v>
      </c>
      <c r="G1278" s="1">
        <v>0.60486111111111107</v>
      </c>
      <c r="H1278">
        <v>153</v>
      </c>
      <c r="I1278" t="b">
        <v>1</v>
      </c>
      <c r="J1278" t="b">
        <v>1</v>
      </c>
      <c r="K1278" t="b">
        <v>0</v>
      </c>
      <c r="L1278" t="s">
        <v>62</v>
      </c>
      <c r="M1278">
        <v>50</v>
      </c>
      <c r="N1278" t="s">
        <v>29</v>
      </c>
      <c r="O1278">
        <v>50</v>
      </c>
      <c r="P1278" t="s">
        <v>36</v>
      </c>
      <c r="Q1278">
        <v>0</v>
      </c>
      <c r="R1278">
        <v>50</v>
      </c>
      <c r="S1278" t="s">
        <v>31</v>
      </c>
      <c r="T1278" t="s">
        <v>65</v>
      </c>
      <c r="U1278">
        <v>33.770099999999999</v>
      </c>
      <c r="V1278">
        <v>-118.19370000000001</v>
      </c>
      <c r="W1278" s="2">
        <v>44780</v>
      </c>
      <c r="X1278">
        <v>4</v>
      </c>
      <c r="Y1278" t="b">
        <v>1</v>
      </c>
      <c r="Z1278" s="2">
        <v>45801</v>
      </c>
      <c r="AA1278" t="str">
        <f t="shared" si="191"/>
        <v>40–49</v>
      </c>
      <c r="AB1278" t="str">
        <f t="shared" si="192"/>
        <v>40–49</v>
      </c>
      <c r="AC1278" t="str">
        <f t="shared" si="193"/>
        <v/>
      </c>
      <c r="AD1278" t="str">
        <f t="shared" si="194"/>
        <v/>
      </c>
      <c r="AE1278" t="str">
        <f t="shared" si="195"/>
        <v>Wednesday</v>
      </c>
      <c r="AF1278" t="str">
        <f t="shared" si="196"/>
        <v>Thursday</v>
      </c>
      <c r="AG1278" t="str">
        <f t="shared" si="197"/>
        <v/>
      </c>
      <c r="AH1278" t="str">
        <f t="shared" si="198"/>
        <v/>
      </c>
      <c r="AI1278" t="str">
        <f t="shared" si="199"/>
        <v>Sunday</v>
      </c>
      <c r="AJ1278" t="str">
        <f>LEFT(Table1[[#This Row],[membership_type]],2)&amp;TEXT(Table1[[#This Row],[age]],"00")&amp;"-"&amp;TEXT(ROW(),"000")</f>
        <v>Pr40-1278</v>
      </c>
      <c r="AK1278" t="str">
        <f>LEFT(Table1[[#This Row],[membership_type]],1)&amp;TEXT(MATCH(Table1[[#This Row],[membership_type]],Table1[membership_type],0),"00")</f>
        <v>P01</v>
      </c>
      <c r="AL1278" t="str">
        <f>LEFT(Table1[[#This Row],[discount_type]],1)&amp;TEXT(ROUND(Table1[[#This Row],[discount_rate]]*100,0),"00")</f>
        <v>N00</v>
      </c>
      <c r="AM1278" t="str" cm="1">
        <f t="array" ref="AM1278">TEXT(SUMPRODUCT(CODE(MID(Table1[[#This Row],[home_gym_location]],_xlfn.SEQUENCE(LEN(Table1[[#This Row],[home_gym_location]])),1))),"00000")</f>
        <v>01107</v>
      </c>
      <c r="AN127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78" t="str">
        <f>LEFT(_xlfn.TEXTBEFORE(Table1[[#This Row],[Location Identifier]],"-"),3) &amp; "-" &amp; _xlfn.TEXTAFTER(Table1[[#This Row],[Location Identifier]],"-")</f>
        <v>LON-004</v>
      </c>
      <c r="AP1278" s="9">
        <f t="shared" ca="1" si="190"/>
        <v>45869</v>
      </c>
    </row>
    <row r="1279" spans="1:42" x14ac:dyDescent="0.25">
      <c r="A1279">
        <v>28</v>
      </c>
      <c r="B1279" t="s">
        <v>26</v>
      </c>
      <c r="C1279">
        <v>4</v>
      </c>
      <c r="D1279" t="s">
        <v>132</v>
      </c>
      <c r="E1279" t="b">
        <v>0</v>
      </c>
      <c r="F1279" s="1">
        <v>0.39027777777777778</v>
      </c>
      <c r="G1279" s="1">
        <v>0.45624999999999999</v>
      </c>
      <c r="H1279">
        <v>95</v>
      </c>
      <c r="I1279" t="b">
        <v>0</v>
      </c>
      <c r="J1279" t="b">
        <v>1</v>
      </c>
      <c r="K1279" t="b">
        <v>0</v>
      </c>
      <c r="L1279" t="s">
        <v>28</v>
      </c>
      <c r="M1279">
        <v>50</v>
      </c>
      <c r="N1279" t="s">
        <v>29</v>
      </c>
      <c r="O1279">
        <v>50</v>
      </c>
      <c r="P1279" t="s">
        <v>74</v>
      </c>
      <c r="Q1279">
        <v>0.15</v>
      </c>
      <c r="R1279">
        <v>42.5</v>
      </c>
      <c r="S1279" t="s">
        <v>31</v>
      </c>
      <c r="T1279" t="s">
        <v>65</v>
      </c>
      <c r="U1279">
        <v>33.770099999999999</v>
      </c>
      <c r="V1279">
        <v>-118.19370000000001</v>
      </c>
      <c r="W1279" s="2">
        <v>45679</v>
      </c>
      <c r="X1279">
        <v>2</v>
      </c>
      <c r="Y1279" t="b">
        <v>1</v>
      </c>
      <c r="Z1279" s="2">
        <v>45852</v>
      </c>
      <c r="AA1279" t="str">
        <f t="shared" si="191"/>
        <v>20–29</v>
      </c>
      <c r="AB1279" t="str">
        <f t="shared" si="192"/>
        <v>20–29</v>
      </c>
      <c r="AC1279" t="str">
        <f t="shared" si="193"/>
        <v>Monday</v>
      </c>
      <c r="AD1279" t="str">
        <f t="shared" si="194"/>
        <v/>
      </c>
      <c r="AE1279" t="str">
        <f t="shared" si="195"/>
        <v>Wednesday</v>
      </c>
      <c r="AF1279" t="str">
        <f t="shared" si="196"/>
        <v>Thursday</v>
      </c>
      <c r="AG1279" t="str">
        <f t="shared" si="197"/>
        <v/>
      </c>
      <c r="AH1279" t="str">
        <f t="shared" si="198"/>
        <v>Saturday</v>
      </c>
      <c r="AI1279" t="str">
        <f t="shared" si="199"/>
        <v/>
      </c>
      <c r="AJ1279" t="str">
        <f>LEFT(Table1[[#This Row],[membership_type]],2)&amp;TEXT(Table1[[#This Row],[age]],"00")&amp;"-"&amp;TEXT(ROW(),"000")</f>
        <v>Pr28-1279</v>
      </c>
      <c r="AK1279" t="str">
        <f>LEFT(Table1[[#This Row],[membership_type]],1)&amp;TEXT(MATCH(Table1[[#This Row],[membership_type]],Table1[membership_type],0),"00")</f>
        <v>P01</v>
      </c>
      <c r="AL1279" t="str">
        <f>LEFT(Table1[[#This Row],[discount_type]],1)&amp;TEXT(ROUND(Table1[[#This Row],[discount_rate]]*100,0),"00")</f>
        <v>S15</v>
      </c>
      <c r="AM1279" t="str" cm="1">
        <f t="array" ref="AM1279">TEXT(SUMPRODUCT(CODE(MID(Table1[[#This Row],[home_gym_location]],_xlfn.SEQUENCE(LEN(Table1[[#This Row],[home_gym_location]])),1))),"00000")</f>
        <v>01107</v>
      </c>
      <c r="AN127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79" t="str">
        <f>LEFT(_xlfn.TEXTBEFORE(Table1[[#This Row],[Location Identifier]],"-"),3) &amp; "-" &amp; _xlfn.TEXTAFTER(Table1[[#This Row],[Location Identifier]],"-")</f>
        <v>LON-004</v>
      </c>
      <c r="AP1279" s="9">
        <f t="shared" ca="1" si="190"/>
        <v>45869</v>
      </c>
    </row>
    <row r="1280" spans="1:42" x14ac:dyDescent="0.25">
      <c r="A1280">
        <v>17</v>
      </c>
      <c r="B1280" t="s">
        <v>33</v>
      </c>
      <c r="C1280">
        <v>2</v>
      </c>
      <c r="D1280" t="s">
        <v>126</v>
      </c>
      <c r="E1280" t="b">
        <v>0</v>
      </c>
      <c r="F1280" s="1">
        <v>0.33750000000000002</v>
      </c>
      <c r="G1280" s="1">
        <v>0.3659722222222222</v>
      </c>
      <c r="H1280">
        <v>41</v>
      </c>
      <c r="I1280" t="b">
        <v>1</v>
      </c>
      <c r="J1280" t="b">
        <v>0</v>
      </c>
      <c r="K1280" t="b">
        <v>1</v>
      </c>
      <c r="L1280" t="s">
        <v>28</v>
      </c>
      <c r="M1280">
        <v>30</v>
      </c>
      <c r="N1280" t="s">
        <v>64</v>
      </c>
      <c r="O1280">
        <v>22.5</v>
      </c>
      <c r="P1280" t="s">
        <v>40</v>
      </c>
      <c r="Q1280">
        <v>0.1</v>
      </c>
      <c r="R1280">
        <v>20.25</v>
      </c>
      <c r="S1280" t="s">
        <v>37</v>
      </c>
      <c r="T1280" t="s">
        <v>65</v>
      </c>
      <c r="U1280">
        <v>33.770099999999999</v>
      </c>
      <c r="V1280">
        <v>-118.19370000000001</v>
      </c>
      <c r="W1280" s="2">
        <v>45299</v>
      </c>
      <c r="X1280">
        <v>0</v>
      </c>
      <c r="Y1280" t="b">
        <v>0</v>
      </c>
      <c r="Z1280" s="2">
        <v>45831</v>
      </c>
      <c r="AA1280" t="str">
        <f t="shared" si="191"/>
        <v>10–19</v>
      </c>
      <c r="AB1280" t="str">
        <f t="shared" si="192"/>
        <v>16–19</v>
      </c>
      <c r="AC1280" t="str">
        <f t="shared" si="193"/>
        <v/>
      </c>
      <c r="AD1280" t="str">
        <f t="shared" si="194"/>
        <v>Tuesday</v>
      </c>
      <c r="AE1280" t="str">
        <f t="shared" si="195"/>
        <v>Wednesday</v>
      </c>
      <c r="AF1280" t="str">
        <f t="shared" si="196"/>
        <v/>
      </c>
      <c r="AG1280" t="str">
        <f t="shared" si="197"/>
        <v/>
      </c>
      <c r="AH1280" t="str">
        <f t="shared" si="198"/>
        <v/>
      </c>
      <c r="AI1280" t="str">
        <f t="shared" si="199"/>
        <v/>
      </c>
      <c r="AJ1280" t="str">
        <f>LEFT(Table1[[#This Row],[membership_type]],2)&amp;TEXT(Table1[[#This Row],[age]],"00")&amp;"-"&amp;TEXT(ROW(),"000")</f>
        <v>St17-1280</v>
      </c>
      <c r="AK1280" t="str">
        <f>LEFT(Table1[[#This Row],[membership_type]],1)&amp;TEXT(MATCH(Table1[[#This Row],[membership_type]],Table1[membership_type],0),"00")</f>
        <v>S02</v>
      </c>
      <c r="AL1280" t="str">
        <f>LEFT(Table1[[#This Row],[discount_type]],1)&amp;TEXT(ROUND(Table1[[#This Row],[discount_rate]]*100,0),"00")</f>
        <v>L10</v>
      </c>
      <c r="AM1280" t="str" cm="1">
        <f t="array" ref="AM1280">TEXT(SUMPRODUCT(CODE(MID(Table1[[#This Row],[home_gym_location]],_xlfn.SEQUENCE(LEN(Table1[[#This Row],[home_gym_location]])),1))),"00000")</f>
        <v>01107</v>
      </c>
      <c r="AN128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80" t="str">
        <f>LEFT(_xlfn.TEXTBEFORE(Table1[[#This Row],[Location Identifier]],"-"),3) &amp; "-" &amp; _xlfn.TEXTAFTER(Table1[[#This Row],[Location Identifier]],"-")</f>
        <v>LON-004</v>
      </c>
      <c r="AP1280" s="9">
        <f t="shared" ca="1" si="190"/>
        <v>45869</v>
      </c>
    </row>
    <row r="1281" spans="1:42" x14ac:dyDescent="0.25">
      <c r="A1281">
        <v>23</v>
      </c>
      <c r="B1281" t="s">
        <v>42</v>
      </c>
      <c r="C1281">
        <v>3</v>
      </c>
      <c r="D1281" t="s">
        <v>102</v>
      </c>
      <c r="E1281" t="b">
        <v>1</v>
      </c>
      <c r="F1281" s="1">
        <v>0.54583333333333328</v>
      </c>
      <c r="G1281" s="1">
        <v>0.60763888888888884</v>
      </c>
      <c r="H1281">
        <v>89</v>
      </c>
      <c r="I1281" t="b">
        <v>1</v>
      </c>
      <c r="J1281" t="b">
        <v>1</v>
      </c>
      <c r="K1281" t="b">
        <v>0</v>
      </c>
      <c r="L1281" t="s">
        <v>28</v>
      </c>
      <c r="M1281">
        <v>20</v>
      </c>
      <c r="N1281" t="s">
        <v>64</v>
      </c>
      <c r="O1281">
        <v>15</v>
      </c>
      <c r="P1281" t="s">
        <v>40</v>
      </c>
      <c r="Q1281">
        <v>0.1</v>
      </c>
      <c r="R1281">
        <v>13.5</v>
      </c>
      <c r="S1281" t="s">
        <v>44</v>
      </c>
      <c r="T1281" t="s">
        <v>59</v>
      </c>
      <c r="U1281">
        <v>37.774900000000002</v>
      </c>
      <c r="V1281">
        <v>-122.4194</v>
      </c>
      <c r="W1281" s="2">
        <v>45172</v>
      </c>
      <c r="X1281">
        <v>5</v>
      </c>
      <c r="Y1281" t="b">
        <v>1</v>
      </c>
      <c r="Z1281" s="2">
        <v>45823</v>
      </c>
      <c r="AA1281" t="str">
        <f t="shared" si="191"/>
        <v>20–29</v>
      </c>
      <c r="AB1281" t="str">
        <f t="shared" si="192"/>
        <v>20–29</v>
      </c>
      <c r="AC1281" t="str">
        <f t="shared" si="193"/>
        <v/>
      </c>
      <c r="AD1281" t="str">
        <f t="shared" si="194"/>
        <v/>
      </c>
      <c r="AE1281" t="str">
        <f t="shared" si="195"/>
        <v/>
      </c>
      <c r="AF1281" t="str">
        <f t="shared" si="196"/>
        <v>Thursday</v>
      </c>
      <c r="AG1281" t="str">
        <f t="shared" si="197"/>
        <v>Friday</v>
      </c>
      <c r="AH1281" t="str">
        <f t="shared" si="198"/>
        <v>Saturday</v>
      </c>
      <c r="AI1281" t="str">
        <f t="shared" si="199"/>
        <v/>
      </c>
      <c r="AJ1281" t="str">
        <f>LEFT(Table1[[#This Row],[membership_type]],2)&amp;TEXT(Table1[[#This Row],[age]],"00")&amp;"-"&amp;TEXT(ROW(),"000")</f>
        <v>Ba23-1281</v>
      </c>
      <c r="AK1281" t="str">
        <f>LEFT(Table1[[#This Row],[membership_type]],1)&amp;TEXT(MATCH(Table1[[#This Row],[membership_type]],Table1[membership_type],0),"00")</f>
        <v>B04</v>
      </c>
      <c r="AL1281" t="str">
        <f>LEFT(Table1[[#This Row],[discount_type]],1)&amp;TEXT(ROUND(Table1[[#This Row],[discount_rate]]*100,0),"00")</f>
        <v>L10</v>
      </c>
      <c r="AM1281" t="str" cm="1">
        <f t="array" ref="AM1281">TEXT(SUMPRODUCT(CODE(MID(Table1[[#This Row],[home_gym_location]],_xlfn.SEQUENCE(LEN(Table1[[#This Row],[home_gym_location]])),1))),"00000")</f>
        <v>01450</v>
      </c>
      <c r="AN128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281" t="str">
        <f>LEFT(_xlfn.TEXTBEFORE(Table1[[#This Row],[Location Identifier]],"-"),3) &amp; "-" &amp; _xlfn.TEXTAFTER(Table1[[#This Row],[Location Identifier]],"-")</f>
        <v>SAN-009</v>
      </c>
      <c r="AP1281" s="9">
        <f t="shared" ca="1" si="190"/>
        <v>45869</v>
      </c>
    </row>
    <row r="1282" spans="1:42" x14ac:dyDescent="0.25">
      <c r="A1282">
        <v>24</v>
      </c>
      <c r="B1282" t="s">
        <v>26</v>
      </c>
      <c r="C1282">
        <v>2</v>
      </c>
      <c r="D1282" t="s">
        <v>84</v>
      </c>
      <c r="E1282" t="b">
        <v>1</v>
      </c>
      <c r="F1282" s="1">
        <v>0.73888888888888893</v>
      </c>
      <c r="G1282" s="1">
        <v>0.83472222222222225</v>
      </c>
      <c r="H1282">
        <v>138</v>
      </c>
      <c r="I1282" t="b">
        <v>0</v>
      </c>
      <c r="J1282" t="b">
        <v>1</v>
      </c>
      <c r="K1282" t="b">
        <v>1</v>
      </c>
      <c r="L1282" t="s">
        <v>28</v>
      </c>
      <c r="M1282">
        <v>50</v>
      </c>
      <c r="N1282" t="s">
        <v>29</v>
      </c>
      <c r="O1282">
        <v>50</v>
      </c>
      <c r="P1282" t="s">
        <v>30</v>
      </c>
      <c r="Q1282">
        <v>0.05</v>
      </c>
      <c r="R1282">
        <v>47.5</v>
      </c>
      <c r="S1282" t="s">
        <v>31</v>
      </c>
      <c r="T1282" t="s">
        <v>38</v>
      </c>
      <c r="U1282">
        <v>36.7378</v>
      </c>
      <c r="V1282">
        <v>-119.7871</v>
      </c>
      <c r="W1282" s="2">
        <v>45082</v>
      </c>
      <c r="X1282">
        <v>3</v>
      </c>
      <c r="Y1282" t="b">
        <v>1</v>
      </c>
      <c r="Z1282" s="2">
        <v>45818</v>
      </c>
      <c r="AA1282" t="str">
        <f t="shared" si="191"/>
        <v>20–29</v>
      </c>
      <c r="AB1282" t="str">
        <f t="shared" si="192"/>
        <v>20–29</v>
      </c>
      <c r="AC1282" t="str">
        <f t="shared" si="193"/>
        <v/>
      </c>
      <c r="AD1282" t="str">
        <f t="shared" si="194"/>
        <v>Tuesday</v>
      </c>
      <c r="AE1282" t="str">
        <f t="shared" si="195"/>
        <v/>
      </c>
      <c r="AF1282" t="str">
        <f t="shared" si="196"/>
        <v/>
      </c>
      <c r="AG1282" t="str">
        <f t="shared" si="197"/>
        <v/>
      </c>
      <c r="AH1282" t="str">
        <f t="shared" si="198"/>
        <v/>
      </c>
      <c r="AI1282" t="str">
        <f t="shared" si="199"/>
        <v>Sunday</v>
      </c>
      <c r="AJ1282" t="str">
        <f>LEFT(Table1[[#This Row],[membership_type]],2)&amp;TEXT(Table1[[#This Row],[age]],"00")&amp;"-"&amp;TEXT(ROW(),"000")</f>
        <v>Pr24-1282</v>
      </c>
      <c r="AK1282" t="str">
        <f>LEFT(Table1[[#This Row],[membership_type]],1)&amp;TEXT(MATCH(Table1[[#This Row],[membership_type]],Table1[membership_type],0),"00")</f>
        <v>P01</v>
      </c>
      <c r="AL1282" t="str">
        <f>LEFT(Table1[[#This Row],[discount_type]],1)&amp;TEXT(ROUND(Table1[[#This Row],[discount_rate]]*100,0),"00")</f>
        <v>P05</v>
      </c>
      <c r="AM1282" t="str" cm="1">
        <f t="array" ref="AM1282">TEXT(SUMPRODUCT(CODE(MID(Table1[[#This Row],[home_gym_location]],_xlfn.SEQUENCE(LEN(Table1[[#This Row],[home_gym_location]])),1))),"00000")</f>
        <v>00829</v>
      </c>
      <c r="AN1282" t="str">
        <f>UPPER(_xlfn.TEXTBEFORE(Table1[[#This Row],[home_gym_location]],","))&amp;"-"&amp;TEXT(MATCH(Table1[[#This Row],[home_gym_location]],_xlfn._xlws.SORT(_xlfn.UNIQUE(Table1[home_gym_location])),0),"000")</f>
        <v>FRESNO-003</v>
      </c>
      <c r="AO1282" t="str">
        <f>LEFT(_xlfn.TEXTBEFORE(Table1[[#This Row],[Location Identifier]],"-"),3) &amp; "-" &amp; _xlfn.TEXTAFTER(Table1[[#This Row],[Location Identifier]],"-")</f>
        <v>FRE-003</v>
      </c>
      <c r="AP1282" s="9">
        <f t="shared" ref="AP1282:AP1345" ca="1" si="200">EOMONTH(DATE(YEAR(TODAY()),7,1),0)</f>
        <v>45869</v>
      </c>
    </row>
    <row r="1283" spans="1:42" x14ac:dyDescent="0.25">
      <c r="A1283">
        <v>18</v>
      </c>
      <c r="B1283" t="s">
        <v>26</v>
      </c>
      <c r="C1283">
        <v>1</v>
      </c>
      <c r="D1283" t="s">
        <v>95</v>
      </c>
      <c r="E1283" t="b">
        <v>0</v>
      </c>
      <c r="F1283" s="1">
        <v>0.75069444444444444</v>
      </c>
      <c r="G1283" s="1">
        <v>0.77500000000000002</v>
      </c>
      <c r="H1283">
        <v>35</v>
      </c>
      <c r="I1283" t="b">
        <v>1</v>
      </c>
      <c r="J1283" t="b">
        <v>1</v>
      </c>
      <c r="K1283" t="b">
        <v>0</v>
      </c>
      <c r="L1283" t="s">
        <v>35</v>
      </c>
      <c r="M1283">
        <v>50</v>
      </c>
      <c r="N1283" t="s">
        <v>29</v>
      </c>
      <c r="O1283">
        <v>50</v>
      </c>
      <c r="P1283" t="s">
        <v>40</v>
      </c>
      <c r="Q1283">
        <v>0.1</v>
      </c>
      <c r="R1283">
        <v>45</v>
      </c>
      <c r="S1283" t="s">
        <v>31</v>
      </c>
      <c r="T1283" t="s">
        <v>48</v>
      </c>
      <c r="U1283">
        <v>38.581600000000002</v>
      </c>
      <c r="V1283">
        <v>-121.4944</v>
      </c>
      <c r="W1283" s="2">
        <v>45234</v>
      </c>
      <c r="X1283">
        <v>7</v>
      </c>
      <c r="Y1283" t="b">
        <v>1</v>
      </c>
      <c r="Z1283" s="2">
        <v>45827</v>
      </c>
      <c r="AA1283" t="str">
        <f t="shared" ref="AA1283:AA1346" si="201">TEXT(10*INT($A1283/10),"0")&amp;"–"&amp;TEXT(10*INT($A1283/10)+9,"0")</f>
        <v>10–19</v>
      </c>
      <c r="AB1283" t="str">
        <f t="shared" ref="AB1283:AB1346" si="202">IF(AND($AA1283 = "10–19", $A1283 &lt; 16), "Under 16", IF(AND($AA1283 = "10–19", $A1283 &gt;= 16), "16–19", $AA1283))</f>
        <v>16–19</v>
      </c>
      <c r="AC1283" t="str">
        <f t="shared" ref="AC1283:AC1346" si="203">IF(ISNUMBER(SEARCH("Mon", $D1283)), "Monday", "")</f>
        <v/>
      </c>
      <c r="AD1283" t="str">
        <f t="shared" ref="AD1283:AD1346" si="204">IF(ISNUMBER(SEARCH("Tue", $D1283)), "Tuesday", "")</f>
        <v/>
      </c>
      <c r="AE1283" t="str">
        <f t="shared" ref="AE1283:AE1346" si="205">IF(ISNUMBER(SEARCH("Wed", $D1283)), "Wednesday", "")</f>
        <v/>
      </c>
      <c r="AF1283" t="str">
        <f t="shared" ref="AF1283:AF1346" si="206">IF(ISNUMBER(SEARCH("Thu", $D1283)), "Thursday", "")</f>
        <v/>
      </c>
      <c r="AG1283" t="str">
        <f t="shared" ref="AG1283:AG1346" si="207">IF(ISNUMBER(SEARCH("Fri", $D1283)), "Friday", "")</f>
        <v/>
      </c>
      <c r="AH1283" t="str">
        <f t="shared" ref="AH1283:AH1346" si="208">IF(ISNUMBER(SEARCH("Sat", $D1283)), "Saturday", "")</f>
        <v>Saturday</v>
      </c>
      <c r="AI1283" t="str">
        <f t="shared" ref="AI1283:AI1346" si="209">IF(ISNUMBER(SEARCH("Sun", $D1283)), "Sunday", "")</f>
        <v/>
      </c>
      <c r="AJ1283" t="str">
        <f>LEFT(Table1[[#This Row],[membership_type]],2)&amp;TEXT(Table1[[#This Row],[age]],"00")&amp;"-"&amp;TEXT(ROW(),"000")</f>
        <v>Pr18-1283</v>
      </c>
      <c r="AK1283" t="str">
        <f>LEFT(Table1[[#This Row],[membership_type]],1)&amp;TEXT(MATCH(Table1[[#This Row],[membership_type]],Table1[membership_type],0),"00")</f>
        <v>P01</v>
      </c>
      <c r="AL1283" t="str">
        <f>LEFT(Table1[[#This Row],[discount_type]],1)&amp;TEXT(ROUND(Table1[[#This Row],[discount_rate]]*100,0),"00")</f>
        <v>L10</v>
      </c>
      <c r="AM1283" t="str" cm="1">
        <f t="array" ref="AM1283">TEXT(SUMPRODUCT(CODE(MID(Table1[[#This Row],[home_gym_location]],_xlfn.SEQUENCE(LEN(Table1[[#This Row],[home_gym_location]])),1))),"00000")</f>
        <v>01245</v>
      </c>
      <c r="AN128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283" t="str">
        <f>LEFT(_xlfn.TEXTBEFORE(Table1[[#This Row],[Location Identifier]],"-"),3) &amp; "-" &amp; _xlfn.TEXTAFTER(Table1[[#This Row],[Location Identifier]],"-")</f>
        <v>SAC-007</v>
      </c>
      <c r="AP1283" s="9">
        <f t="shared" ca="1" si="200"/>
        <v>45869</v>
      </c>
    </row>
    <row r="1284" spans="1:42" x14ac:dyDescent="0.25">
      <c r="A1284">
        <v>48</v>
      </c>
      <c r="B1284" t="s">
        <v>26</v>
      </c>
      <c r="C1284">
        <v>4</v>
      </c>
      <c r="D1284" t="s">
        <v>151</v>
      </c>
      <c r="E1284" t="b">
        <v>0</v>
      </c>
      <c r="F1284" s="1">
        <v>0.39861111111111114</v>
      </c>
      <c r="G1284" s="1">
        <v>0.42430555555555555</v>
      </c>
      <c r="H1284">
        <v>37</v>
      </c>
      <c r="I1284" t="b">
        <v>0</v>
      </c>
      <c r="J1284" t="b">
        <v>0</v>
      </c>
      <c r="K1284" t="b">
        <v>0</v>
      </c>
      <c r="L1284" t="s">
        <v>28</v>
      </c>
      <c r="M1284">
        <v>50</v>
      </c>
      <c r="N1284" t="s">
        <v>64</v>
      </c>
      <c r="O1284">
        <v>37.5</v>
      </c>
      <c r="P1284" t="s">
        <v>36</v>
      </c>
      <c r="Q1284">
        <v>0</v>
      </c>
      <c r="R1284">
        <v>37.5</v>
      </c>
      <c r="S1284" t="s">
        <v>31</v>
      </c>
      <c r="T1284" t="s">
        <v>56</v>
      </c>
      <c r="U1284">
        <v>35.3733</v>
      </c>
      <c r="V1284">
        <v>-119.0187</v>
      </c>
      <c r="W1284" s="2">
        <v>45820</v>
      </c>
      <c r="X1284">
        <v>0</v>
      </c>
      <c r="Y1284" t="b">
        <v>1</v>
      </c>
      <c r="Z1284" s="2">
        <v>45860</v>
      </c>
      <c r="AA1284" t="str">
        <f t="shared" si="201"/>
        <v>40–49</v>
      </c>
      <c r="AB1284" t="str">
        <f t="shared" si="202"/>
        <v>40–49</v>
      </c>
      <c r="AC1284" t="str">
        <f t="shared" si="203"/>
        <v/>
      </c>
      <c r="AD1284" t="str">
        <f t="shared" si="204"/>
        <v>Tuesday</v>
      </c>
      <c r="AE1284" t="str">
        <f t="shared" si="205"/>
        <v>Wednesday</v>
      </c>
      <c r="AF1284" t="str">
        <f t="shared" si="206"/>
        <v>Thursday</v>
      </c>
      <c r="AG1284" t="str">
        <f t="shared" si="207"/>
        <v>Friday</v>
      </c>
      <c r="AH1284" t="str">
        <f t="shared" si="208"/>
        <v/>
      </c>
      <c r="AI1284" t="str">
        <f t="shared" si="209"/>
        <v/>
      </c>
      <c r="AJ1284" t="str">
        <f>LEFT(Table1[[#This Row],[membership_type]],2)&amp;TEXT(Table1[[#This Row],[age]],"00")&amp;"-"&amp;TEXT(ROW(),"000")</f>
        <v>Pr48-1284</v>
      </c>
      <c r="AK1284" t="str">
        <f>LEFT(Table1[[#This Row],[membership_type]],1)&amp;TEXT(MATCH(Table1[[#This Row],[membership_type]],Table1[membership_type],0),"00")</f>
        <v>P01</v>
      </c>
      <c r="AL1284" t="str">
        <f>LEFT(Table1[[#This Row],[discount_type]],1)&amp;TEXT(ROUND(Table1[[#This Row],[discount_rate]]*100,0),"00")</f>
        <v>N00</v>
      </c>
      <c r="AM1284" t="str" cm="1">
        <f t="array" ref="AM1284">TEXT(SUMPRODUCT(CODE(MID(Table1[[#This Row],[home_gym_location]],_xlfn.SEQUENCE(LEN(Table1[[#This Row],[home_gym_location]])),1))),"00000")</f>
        <v>01324</v>
      </c>
      <c r="AN128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284" t="str">
        <f>LEFT(_xlfn.TEXTBEFORE(Table1[[#This Row],[Location Identifier]],"-"),3) &amp; "-" &amp; _xlfn.TEXTAFTER(Table1[[#This Row],[Location Identifier]],"-")</f>
        <v>BAK-002</v>
      </c>
      <c r="AP1284" s="9">
        <f t="shared" ca="1" si="200"/>
        <v>45869</v>
      </c>
    </row>
    <row r="1285" spans="1:42" x14ac:dyDescent="0.25">
      <c r="A1285">
        <v>38</v>
      </c>
      <c r="B1285" t="s">
        <v>26</v>
      </c>
      <c r="C1285">
        <v>3</v>
      </c>
      <c r="D1285" t="s">
        <v>121</v>
      </c>
      <c r="E1285" t="b">
        <v>1</v>
      </c>
      <c r="F1285" s="1">
        <v>0.48402777777777778</v>
      </c>
      <c r="G1285" s="1">
        <v>0.5395833333333333</v>
      </c>
      <c r="H1285">
        <v>80</v>
      </c>
      <c r="I1285" t="b">
        <v>1</v>
      </c>
      <c r="J1285" t="b">
        <v>1</v>
      </c>
      <c r="K1285" t="b">
        <v>1</v>
      </c>
      <c r="L1285" t="s">
        <v>62</v>
      </c>
      <c r="M1285">
        <v>50</v>
      </c>
      <c r="N1285" t="s">
        <v>64</v>
      </c>
      <c r="O1285">
        <v>37.5</v>
      </c>
      <c r="P1285" t="s">
        <v>74</v>
      </c>
      <c r="Q1285">
        <v>0.15</v>
      </c>
      <c r="R1285">
        <v>31.875</v>
      </c>
      <c r="S1285" t="s">
        <v>31</v>
      </c>
      <c r="T1285" t="s">
        <v>41</v>
      </c>
      <c r="U1285">
        <v>37.804400000000001</v>
      </c>
      <c r="V1285">
        <v>-122.27119999999999</v>
      </c>
      <c r="W1285" s="2">
        <v>45483</v>
      </c>
      <c r="X1285">
        <v>4</v>
      </c>
      <c r="Y1285" t="b">
        <v>0</v>
      </c>
      <c r="Z1285" s="2">
        <v>45841</v>
      </c>
      <c r="AA1285" t="str">
        <f t="shared" si="201"/>
        <v>30–39</v>
      </c>
      <c r="AB1285" t="str">
        <f t="shared" si="202"/>
        <v>30–39</v>
      </c>
      <c r="AC1285" t="str">
        <f t="shared" si="203"/>
        <v>Monday</v>
      </c>
      <c r="AD1285" t="str">
        <f t="shared" si="204"/>
        <v>Tuesday</v>
      </c>
      <c r="AE1285" t="str">
        <f t="shared" si="205"/>
        <v/>
      </c>
      <c r="AF1285" t="str">
        <f t="shared" si="206"/>
        <v/>
      </c>
      <c r="AG1285" t="str">
        <f t="shared" si="207"/>
        <v/>
      </c>
      <c r="AH1285" t="str">
        <f t="shared" si="208"/>
        <v/>
      </c>
      <c r="AI1285" t="str">
        <f t="shared" si="209"/>
        <v>Sunday</v>
      </c>
      <c r="AJ1285" t="str">
        <f>LEFT(Table1[[#This Row],[membership_type]],2)&amp;TEXT(Table1[[#This Row],[age]],"00")&amp;"-"&amp;TEXT(ROW(),"000")</f>
        <v>Pr38-1285</v>
      </c>
      <c r="AK1285" t="str">
        <f>LEFT(Table1[[#This Row],[membership_type]],1)&amp;TEXT(MATCH(Table1[[#This Row],[membership_type]],Table1[membership_type],0),"00")</f>
        <v>P01</v>
      </c>
      <c r="AL1285" t="str">
        <f>LEFT(Table1[[#This Row],[discount_type]],1)&amp;TEXT(ROUND(Table1[[#This Row],[discount_rate]]*100,0),"00")</f>
        <v>S15</v>
      </c>
      <c r="AM1285" t="str" cm="1">
        <f t="array" ref="AM1285">TEXT(SUMPRODUCT(CODE(MID(Table1[[#This Row],[home_gym_location]],_xlfn.SEQUENCE(LEN(Table1[[#This Row],[home_gym_location]])),1))),"00000")</f>
        <v>00906</v>
      </c>
      <c r="AN128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85" t="str">
        <f>LEFT(_xlfn.TEXTBEFORE(Table1[[#This Row],[Location Identifier]],"-"),3) &amp; "-" &amp; _xlfn.TEXTAFTER(Table1[[#This Row],[Location Identifier]],"-")</f>
        <v>OAK-006</v>
      </c>
      <c r="AP1285" s="9">
        <f t="shared" ca="1" si="200"/>
        <v>45869</v>
      </c>
    </row>
    <row r="1286" spans="1:42" x14ac:dyDescent="0.25">
      <c r="A1286">
        <v>23</v>
      </c>
      <c r="B1286" t="s">
        <v>33</v>
      </c>
      <c r="C1286">
        <v>2</v>
      </c>
      <c r="D1286" t="s">
        <v>27</v>
      </c>
      <c r="E1286" t="b">
        <v>0</v>
      </c>
      <c r="F1286" s="1">
        <v>0.49722222222222223</v>
      </c>
      <c r="G1286" s="1">
        <v>0.5708333333333333</v>
      </c>
      <c r="H1286">
        <v>106</v>
      </c>
      <c r="I1286" t="b">
        <v>0</v>
      </c>
      <c r="J1286" t="b">
        <v>1</v>
      </c>
      <c r="K1286" t="b">
        <v>1</v>
      </c>
      <c r="L1286" t="s">
        <v>62</v>
      </c>
      <c r="M1286">
        <v>30</v>
      </c>
      <c r="N1286" t="s">
        <v>29</v>
      </c>
      <c r="O1286">
        <v>30</v>
      </c>
      <c r="P1286" t="s">
        <v>30</v>
      </c>
      <c r="Q1286">
        <v>0.05</v>
      </c>
      <c r="R1286">
        <v>28.5</v>
      </c>
      <c r="S1286" t="s">
        <v>37</v>
      </c>
      <c r="T1286" t="s">
        <v>38</v>
      </c>
      <c r="U1286">
        <v>36.7378</v>
      </c>
      <c r="V1286">
        <v>-119.7871</v>
      </c>
      <c r="W1286" s="2">
        <v>45279</v>
      </c>
      <c r="X1286">
        <v>8</v>
      </c>
      <c r="Y1286" t="b">
        <v>0</v>
      </c>
      <c r="Z1286" s="2">
        <v>45829</v>
      </c>
      <c r="AA1286" t="str">
        <f t="shared" si="201"/>
        <v>20–29</v>
      </c>
      <c r="AB1286" t="str">
        <f t="shared" si="202"/>
        <v>20–29</v>
      </c>
      <c r="AC1286" t="str">
        <f t="shared" si="203"/>
        <v/>
      </c>
      <c r="AD1286" t="str">
        <f t="shared" si="204"/>
        <v/>
      </c>
      <c r="AE1286" t="str">
        <f t="shared" si="205"/>
        <v/>
      </c>
      <c r="AF1286" t="str">
        <f t="shared" si="206"/>
        <v>Thursday</v>
      </c>
      <c r="AG1286" t="str">
        <f t="shared" si="207"/>
        <v/>
      </c>
      <c r="AH1286" t="str">
        <f t="shared" si="208"/>
        <v>Saturday</v>
      </c>
      <c r="AI1286" t="str">
        <f t="shared" si="209"/>
        <v/>
      </c>
      <c r="AJ1286" t="str">
        <f>LEFT(Table1[[#This Row],[membership_type]],2)&amp;TEXT(Table1[[#This Row],[age]],"00")&amp;"-"&amp;TEXT(ROW(),"000")</f>
        <v>St23-1286</v>
      </c>
      <c r="AK1286" t="str">
        <f>LEFT(Table1[[#This Row],[membership_type]],1)&amp;TEXT(MATCH(Table1[[#This Row],[membership_type]],Table1[membership_type],0),"00")</f>
        <v>S02</v>
      </c>
      <c r="AL1286" t="str">
        <f>LEFT(Table1[[#This Row],[discount_type]],1)&amp;TEXT(ROUND(Table1[[#This Row],[discount_rate]]*100,0),"00")</f>
        <v>P05</v>
      </c>
      <c r="AM1286" t="str" cm="1">
        <f t="array" ref="AM1286">TEXT(SUMPRODUCT(CODE(MID(Table1[[#This Row],[home_gym_location]],_xlfn.SEQUENCE(LEN(Table1[[#This Row],[home_gym_location]])),1))),"00000")</f>
        <v>00829</v>
      </c>
      <c r="AN1286" t="str">
        <f>UPPER(_xlfn.TEXTBEFORE(Table1[[#This Row],[home_gym_location]],","))&amp;"-"&amp;TEXT(MATCH(Table1[[#This Row],[home_gym_location]],_xlfn._xlws.SORT(_xlfn.UNIQUE(Table1[home_gym_location])),0),"000")</f>
        <v>FRESNO-003</v>
      </c>
      <c r="AO1286" t="str">
        <f>LEFT(_xlfn.TEXTBEFORE(Table1[[#This Row],[Location Identifier]],"-"),3) &amp; "-" &amp; _xlfn.TEXTAFTER(Table1[[#This Row],[Location Identifier]],"-")</f>
        <v>FRE-003</v>
      </c>
      <c r="AP1286" s="9">
        <f t="shared" ca="1" si="200"/>
        <v>45869</v>
      </c>
    </row>
    <row r="1287" spans="1:42" x14ac:dyDescent="0.25">
      <c r="A1287">
        <v>36</v>
      </c>
      <c r="B1287" t="s">
        <v>33</v>
      </c>
      <c r="C1287">
        <v>4</v>
      </c>
      <c r="D1287" t="s">
        <v>144</v>
      </c>
      <c r="E1287" t="b">
        <v>0</v>
      </c>
      <c r="F1287" s="1">
        <v>0.58472222222222225</v>
      </c>
      <c r="G1287" s="1">
        <v>0.68611111111111112</v>
      </c>
      <c r="H1287">
        <v>146</v>
      </c>
      <c r="I1287" t="b">
        <v>0</v>
      </c>
      <c r="J1287" t="b">
        <v>0</v>
      </c>
      <c r="K1287" t="b">
        <v>1</v>
      </c>
      <c r="L1287" t="s">
        <v>62</v>
      </c>
      <c r="M1287">
        <v>30</v>
      </c>
      <c r="N1287" t="s">
        <v>64</v>
      </c>
      <c r="O1287">
        <v>22.5</v>
      </c>
      <c r="P1287" t="s">
        <v>30</v>
      </c>
      <c r="Q1287">
        <v>0.05</v>
      </c>
      <c r="R1287">
        <v>21.375</v>
      </c>
      <c r="S1287" t="s">
        <v>37</v>
      </c>
      <c r="T1287" t="s">
        <v>32</v>
      </c>
      <c r="U1287">
        <v>37.338200000000001</v>
      </c>
      <c r="V1287">
        <v>-121.88630000000001</v>
      </c>
      <c r="W1287" s="2">
        <v>45737</v>
      </c>
      <c r="X1287">
        <v>0</v>
      </c>
      <c r="Y1287" t="b">
        <v>0</v>
      </c>
      <c r="Z1287" s="2">
        <v>45855</v>
      </c>
      <c r="AA1287" t="str">
        <f t="shared" si="201"/>
        <v>30–39</v>
      </c>
      <c r="AB1287" t="str">
        <f t="shared" si="202"/>
        <v>30–39</v>
      </c>
      <c r="AC1287" t="str">
        <f t="shared" si="203"/>
        <v>Monday</v>
      </c>
      <c r="AD1287" t="str">
        <f t="shared" si="204"/>
        <v/>
      </c>
      <c r="AE1287" t="str">
        <f t="shared" si="205"/>
        <v>Wednesday</v>
      </c>
      <c r="AF1287" t="str">
        <f t="shared" si="206"/>
        <v>Thursday</v>
      </c>
      <c r="AG1287" t="str">
        <f t="shared" si="207"/>
        <v>Friday</v>
      </c>
      <c r="AH1287" t="str">
        <f t="shared" si="208"/>
        <v/>
      </c>
      <c r="AI1287" t="str">
        <f t="shared" si="209"/>
        <v/>
      </c>
      <c r="AJ1287" t="str">
        <f>LEFT(Table1[[#This Row],[membership_type]],2)&amp;TEXT(Table1[[#This Row],[age]],"00")&amp;"-"&amp;TEXT(ROW(),"000")</f>
        <v>St36-1287</v>
      </c>
      <c r="AK1287" t="str">
        <f>LEFT(Table1[[#This Row],[membership_type]],1)&amp;TEXT(MATCH(Table1[[#This Row],[membership_type]],Table1[membership_type],0),"00")</f>
        <v>S02</v>
      </c>
      <c r="AL1287" t="str">
        <f>LEFT(Table1[[#This Row],[discount_type]],1)&amp;TEXT(ROUND(Table1[[#This Row],[discount_rate]]*100,0),"00")</f>
        <v>P05</v>
      </c>
      <c r="AM1287" t="str" cm="1">
        <f t="array" ref="AM1287">TEXT(SUMPRODUCT(CODE(MID(Table1[[#This Row],[home_gym_location]],_xlfn.SEQUENCE(LEN(Table1[[#This Row],[home_gym_location]])),1))),"00000")</f>
        <v>00931</v>
      </c>
      <c r="AN12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87" t="str">
        <f>LEFT(_xlfn.TEXTBEFORE(Table1[[#This Row],[Location Identifier]],"-"),3) &amp; "-" &amp; _xlfn.TEXTAFTER(Table1[[#This Row],[Location Identifier]],"-")</f>
        <v>SAN-010</v>
      </c>
      <c r="AP1287" s="9">
        <f t="shared" ca="1" si="200"/>
        <v>45869</v>
      </c>
    </row>
    <row r="1288" spans="1:42" x14ac:dyDescent="0.25">
      <c r="A1288">
        <v>26</v>
      </c>
      <c r="B1288" t="s">
        <v>26</v>
      </c>
      <c r="C1288">
        <v>3</v>
      </c>
      <c r="D1288" t="s">
        <v>135</v>
      </c>
      <c r="E1288" t="b">
        <v>0</v>
      </c>
      <c r="F1288" s="1">
        <v>0.40138888888888891</v>
      </c>
      <c r="G1288" s="1">
        <v>0.44791666666666669</v>
      </c>
      <c r="H1288">
        <v>67</v>
      </c>
      <c r="I1288" t="b">
        <v>0</v>
      </c>
      <c r="J1288" t="b">
        <v>1</v>
      </c>
      <c r="K1288" t="b">
        <v>1</v>
      </c>
      <c r="L1288" t="s">
        <v>28</v>
      </c>
      <c r="M1288">
        <v>50</v>
      </c>
      <c r="N1288" t="s">
        <v>64</v>
      </c>
      <c r="O1288">
        <v>37.5</v>
      </c>
      <c r="P1288" t="s">
        <v>30</v>
      </c>
      <c r="Q1288">
        <v>0.05</v>
      </c>
      <c r="R1288">
        <v>35.625</v>
      </c>
      <c r="S1288" t="s">
        <v>31</v>
      </c>
      <c r="T1288" t="s">
        <v>54</v>
      </c>
      <c r="U1288">
        <v>32.715699999999998</v>
      </c>
      <c r="V1288">
        <v>-117.1611</v>
      </c>
      <c r="W1288" s="2">
        <v>45457</v>
      </c>
      <c r="X1288">
        <v>4</v>
      </c>
      <c r="Y1288" t="b">
        <v>1</v>
      </c>
      <c r="Z1288" s="2">
        <v>45839</v>
      </c>
      <c r="AA1288" t="str">
        <f t="shared" si="201"/>
        <v>20–29</v>
      </c>
      <c r="AB1288" t="str">
        <f t="shared" si="202"/>
        <v>20–29</v>
      </c>
      <c r="AC1288" t="str">
        <f t="shared" si="203"/>
        <v/>
      </c>
      <c r="AD1288" t="str">
        <f t="shared" si="204"/>
        <v>Tuesday</v>
      </c>
      <c r="AE1288" t="str">
        <f t="shared" si="205"/>
        <v>Wednesday</v>
      </c>
      <c r="AF1288" t="str">
        <f t="shared" si="206"/>
        <v>Thursday</v>
      </c>
      <c r="AG1288" t="str">
        <f t="shared" si="207"/>
        <v/>
      </c>
      <c r="AH1288" t="str">
        <f t="shared" si="208"/>
        <v/>
      </c>
      <c r="AI1288" t="str">
        <f t="shared" si="209"/>
        <v/>
      </c>
      <c r="AJ1288" t="str">
        <f>LEFT(Table1[[#This Row],[membership_type]],2)&amp;TEXT(Table1[[#This Row],[age]],"00")&amp;"-"&amp;TEXT(ROW(),"000")</f>
        <v>Pr26-1288</v>
      </c>
      <c r="AK1288" t="str">
        <f>LEFT(Table1[[#This Row],[membership_type]],1)&amp;TEXT(MATCH(Table1[[#This Row],[membership_type]],Table1[membership_type],0),"00")</f>
        <v>P01</v>
      </c>
      <c r="AL1288" t="str">
        <f>LEFT(Table1[[#This Row],[discount_type]],1)&amp;TEXT(ROUND(Table1[[#This Row],[discount_rate]]*100,0),"00")</f>
        <v>P05</v>
      </c>
      <c r="AM1288" t="str" cm="1">
        <f t="array" ref="AM1288">TEXT(SUMPRODUCT(CODE(MID(Table1[[#This Row],[home_gym_location]],_xlfn.SEQUENCE(LEN(Table1[[#This Row],[home_gym_location]])),1))),"00000")</f>
        <v>01018</v>
      </c>
      <c r="AN128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88" t="str">
        <f>LEFT(_xlfn.TEXTBEFORE(Table1[[#This Row],[Location Identifier]],"-"),3) &amp; "-" &amp; _xlfn.TEXTAFTER(Table1[[#This Row],[Location Identifier]],"-")</f>
        <v>SAN-008</v>
      </c>
      <c r="AP1288" s="9">
        <f t="shared" ca="1" si="200"/>
        <v>45869</v>
      </c>
    </row>
    <row r="1289" spans="1:42" x14ac:dyDescent="0.25">
      <c r="A1289">
        <v>18</v>
      </c>
      <c r="B1289" t="s">
        <v>26</v>
      </c>
      <c r="C1289">
        <v>4</v>
      </c>
      <c r="D1289" t="s">
        <v>107</v>
      </c>
      <c r="E1289" t="b">
        <v>1</v>
      </c>
      <c r="F1289" s="1">
        <v>0.79722222222222228</v>
      </c>
      <c r="G1289" s="1">
        <v>0.89722222222222225</v>
      </c>
      <c r="H1289">
        <v>144</v>
      </c>
      <c r="I1289" t="b">
        <v>1</v>
      </c>
      <c r="J1289" t="b">
        <v>0</v>
      </c>
      <c r="K1289" t="b">
        <v>0</v>
      </c>
      <c r="L1289" t="s">
        <v>28</v>
      </c>
      <c r="M1289">
        <v>50</v>
      </c>
      <c r="N1289" t="s">
        <v>29</v>
      </c>
      <c r="O1289">
        <v>50</v>
      </c>
      <c r="P1289" t="s">
        <v>36</v>
      </c>
      <c r="Q1289">
        <v>0</v>
      </c>
      <c r="R1289">
        <v>50</v>
      </c>
      <c r="S1289" t="s">
        <v>31</v>
      </c>
      <c r="T1289" t="s">
        <v>54</v>
      </c>
      <c r="U1289">
        <v>32.715699999999998</v>
      </c>
      <c r="V1289">
        <v>-117.1611</v>
      </c>
      <c r="W1289" s="2">
        <v>45795</v>
      </c>
      <c r="X1289">
        <v>0</v>
      </c>
      <c r="Y1289" t="b">
        <v>0</v>
      </c>
      <c r="Z1289" s="2">
        <v>45859</v>
      </c>
      <c r="AA1289" t="str">
        <f t="shared" si="201"/>
        <v>10–19</v>
      </c>
      <c r="AB1289" t="str">
        <f t="shared" si="202"/>
        <v>16–19</v>
      </c>
      <c r="AC1289" t="str">
        <f t="shared" si="203"/>
        <v/>
      </c>
      <c r="AD1289" t="str">
        <f t="shared" si="204"/>
        <v>Tuesday</v>
      </c>
      <c r="AE1289" t="str">
        <f t="shared" si="205"/>
        <v/>
      </c>
      <c r="AF1289" t="str">
        <f t="shared" si="206"/>
        <v/>
      </c>
      <c r="AG1289" t="str">
        <f t="shared" si="207"/>
        <v>Friday</v>
      </c>
      <c r="AH1289" t="str">
        <f t="shared" si="208"/>
        <v>Saturday</v>
      </c>
      <c r="AI1289" t="str">
        <f t="shared" si="209"/>
        <v>Sunday</v>
      </c>
      <c r="AJ1289" t="str">
        <f>LEFT(Table1[[#This Row],[membership_type]],2)&amp;TEXT(Table1[[#This Row],[age]],"00")&amp;"-"&amp;TEXT(ROW(),"000")</f>
        <v>Pr18-1289</v>
      </c>
      <c r="AK1289" t="str">
        <f>LEFT(Table1[[#This Row],[membership_type]],1)&amp;TEXT(MATCH(Table1[[#This Row],[membership_type]],Table1[membership_type],0),"00")</f>
        <v>P01</v>
      </c>
      <c r="AL1289" t="str">
        <f>LEFT(Table1[[#This Row],[discount_type]],1)&amp;TEXT(ROUND(Table1[[#This Row],[discount_rate]]*100,0),"00")</f>
        <v>N00</v>
      </c>
      <c r="AM1289" t="str" cm="1">
        <f t="array" ref="AM1289">TEXT(SUMPRODUCT(CODE(MID(Table1[[#This Row],[home_gym_location]],_xlfn.SEQUENCE(LEN(Table1[[#This Row],[home_gym_location]])),1))),"00000")</f>
        <v>01018</v>
      </c>
      <c r="AN128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89" t="str">
        <f>LEFT(_xlfn.TEXTBEFORE(Table1[[#This Row],[Location Identifier]],"-"),3) &amp; "-" &amp; _xlfn.TEXTAFTER(Table1[[#This Row],[Location Identifier]],"-")</f>
        <v>SAN-008</v>
      </c>
      <c r="AP1289" s="9">
        <f t="shared" ca="1" si="200"/>
        <v>45869</v>
      </c>
    </row>
    <row r="1290" spans="1:42" x14ac:dyDescent="0.25">
      <c r="A1290">
        <v>20</v>
      </c>
      <c r="B1290" t="s">
        <v>51</v>
      </c>
      <c r="C1290">
        <v>2</v>
      </c>
      <c r="D1290" t="s">
        <v>116</v>
      </c>
      <c r="E1290" t="b">
        <v>1</v>
      </c>
      <c r="F1290" s="1">
        <v>0.39305555555555555</v>
      </c>
      <c r="G1290" s="1">
        <v>0.44097222222222221</v>
      </c>
      <c r="H1290">
        <v>69</v>
      </c>
      <c r="I1290" t="b">
        <v>0</v>
      </c>
      <c r="J1290" t="b">
        <v>0</v>
      </c>
      <c r="K1290" t="b">
        <v>0</v>
      </c>
      <c r="L1290" t="s">
        <v>47</v>
      </c>
      <c r="M1290">
        <v>70</v>
      </c>
      <c r="N1290" t="s">
        <v>29</v>
      </c>
      <c r="O1290">
        <v>70</v>
      </c>
      <c r="P1290" t="s">
        <v>36</v>
      </c>
      <c r="Q1290">
        <v>0</v>
      </c>
      <c r="R1290">
        <v>70</v>
      </c>
      <c r="S1290" t="s">
        <v>53</v>
      </c>
      <c r="T1290" t="s">
        <v>54</v>
      </c>
      <c r="U1290">
        <v>32.715699999999998</v>
      </c>
      <c r="V1290">
        <v>-117.1611</v>
      </c>
      <c r="W1290" s="2">
        <v>45747</v>
      </c>
      <c r="X1290">
        <v>0</v>
      </c>
      <c r="Y1290" t="b">
        <v>1</v>
      </c>
      <c r="Z1290" s="2">
        <v>45856</v>
      </c>
      <c r="AA1290" t="str">
        <f t="shared" si="201"/>
        <v>20–29</v>
      </c>
      <c r="AB1290" t="str">
        <f t="shared" si="202"/>
        <v>20–29</v>
      </c>
      <c r="AC1290" t="str">
        <f t="shared" si="203"/>
        <v/>
      </c>
      <c r="AD1290" t="str">
        <f t="shared" si="204"/>
        <v/>
      </c>
      <c r="AE1290" t="str">
        <f t="shared" si="205"/>
        <v/>
      </c>
      <c r="AF1290" t="str">
        <f t="shared" si="206"/>
        <v>Thursday</v>
      </c>
      <c r="AG1290" t="str">
        <f t="shared" si="207"/>
        <v/>
      </c>
      <c r="AH1290" t="str">
        <f t="shared" si="208"/>
        <v/>
      </c>
      <c r="AI1290" t="str">
        <f t="shared" si="209"/>
        <v>Sunday</v>
      </c>
      <c r="AJ1290" t="str">
        <f>LEFT(Table1[[#This Row],[membership_type]],2)&amp;TEXT(Table1[[#This Row],[age]],"00")&amp;"-"&amp;TEXT(ROW(),"000")</f>
        <v>El20-1290</v>
      </c>
      <c r="AK1290" t="str">
        <f>LEFT(Table1[[#This Row],[membership_type]],1)&amp;TEXT(MATCH(Table1[[#This Row],[membership_type]],Table1[membership_type],0),"00")</f>
        <v>E07</v>
      </c>
      <c r="AL1290" t="str">
        <f>LEFT(Table1[[#This Row],[discount_type]],1)&amp;TEXT(ROUND(Table1[[#This Row],[discount_rate]]*100,0),"00")</f>
        <v>N00</v>
      </c>
      <c r="AM1290" t="str" cm="1">
        <f t="array" ref="AM1290">TEXT(SUMPRODUCT(CODE(MID(Table1[[#This Row],[home_gym_location]],_xlfn.SEQUENCE(LEN(Table1[[#This Row],[home_gym_location]])),1))),"00000")</f>
        <v>01018</v>
      </c>
      <c r="AN129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90" t="str">
        <f>LEFT(_xlfn.TEXTBEFORE(Table1[[#This Row],[Location Identifier]],"-"),3) &amp; "-" &amp; _xlfn.TEXTAFTER(Table1[[#This Row],[Location Identifier]],"-")</f>
        <v>SAN-008</v>
      </c>
      <c r="AP1290" s="9">
        <f t="shared" ca="1" si="200"/>
        <v>45869</v>
      </c>
    </row>
    <row r="1291" spans="1:42" x14ac:dyDescent="0.25">
      <c r="A1291">
        <v>19</v>
      </c>
      <c r="B1291" t="s">
        <v>26</v>
      </c>
      <c r="C1291">
        <v>5</v>
      </c>
      <c r="D1291" t="s">
        <v>118</v>
      </c>
      <c r="E1291" t="b">
        <v>1</v>
      </c>
      <c r="F1291" s="1">
        <v>0.45416666666666666</v>
      </c>
      <c r="G1291" s="1">
        <v>0.55347222222222225</v>
      </c>
      <c r="H1291">
        <v>143</v>
      </c>
      <c r="I1291" t="b">
        <v>1</v>
      </c>
      <c r="J1291" t="b">
        <v>1</v>
      </c>
      <c r="K1291" t="b">
        <v>0</v>
      </c>
      <c r="L1291" t="s">
        <v>62</v>
      </c>
      <c r="M1291">
        <v>50</v>
      </c>
      <c r="N1291" t="s">
        <v>29</v>
      </c>
      <c r="O1291">
        <v>50</v>
      </c>
      <c r="P1291" t="s">
        <v>30</v>
      </c>
      <c r="Q1291">
        <v>0.05</v>
      </c>
      <c r="R1291">
        <v>47.5</v>
      </c>
      <c r="S1291" t="s">
        <v>31</v>
      </c>
      <c r="T1291" t="s">
        <v>65</v>
      </c>
      <c r="U1291">
        <v>33.770099999999999</v>
      </c>
      <c r="V1291">
        <v>-118.19370000000001</v>
      </c>
      <c r="W1291" s="2">
        <v>45408</v>
      </c>
      <c r="X1291">
        <v>1</v>
      </c>
      <c r="Y1291" t="b">
        <v>1</v>
      </c>
      <c r="Z1291" s="2">
        <v>45837</v>
      </c>
      <c r="AA1291" t="str">
        <f t="shared" si="201"/>
        <v>10–19</v>
      </c>
      <c r="AB1291" t="str">
        <f t="shared" si="202"/>
        <v>16–19</v>
      </c>
      <c r="AC1291" t="str">
        <f t="shared" si="203"/>
        <v>Monday</v>
      </c>
      <c r="AD1291" t="str">
        <f t="shared" si="204"/>
        <v/>
      </c>
      <c r="AE1291" t="str">
        <f t="shared" si="205"/>
        <v>Wednesday</v>
      </c>
      <c r="AF1291" t="str">
        <f t="shared" si="206"/>
        <v>Thursday</v>
      </c>
      <c r="AG1291" t="str">
        <f t="shared" si="207"/>
        <v>Friday</v>
      </c>
      <c r="AH1291" t="str">
        <f t="shared" si="208"/>
        <v>Saturday</v>
      </c>
      <c r="AI1291" t="str">
        <f t="shared" si="209"/>
        <v/>
      </c>
      <c r="AJ1291" t="str">
        <f>LEFT(Table1[[#This Row],[membership_type]],2)&amp;TEXT(Table1[[#This Row],[age]],"00")&amp;"-"&amp;TEXT(ROW(),"000")</f>
        <v>Pr19-1291</v>
      </c>
      <c r="AK1291" t="str">
        <f>LEFT(Table1[[#This Row],[membership_type]],1)&amp;TEXT(MATCH(Table1[[#This Row],[membership_type]],Table1[membership_type],0),"00")</f>
        <v>P01</v>
      </c>
      <c r="AL1291" t="str">
        <f>LEFT(Table1[[#This Row],[discount_type]],1)&amp;TEXT(ROUND(Table1[[#This Row],[discount_rate]]*100,0),"00")</f>
        <v>P05</v>
      </c>
      <c r="AM1291" t="str" cm="1">
        <f t="array" ref="AM1291">TEXT(SUMPRODUCT(CODE(MID(Table1[[#This Row],[home_gym_location]],_xlfn.SEQUENCE(LEN(Table1[[#This Row],[home_gym_location]])),1))),"00000")</f>
        <v>01107</v>
      </c>
      <c r="AN129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291" t="str">
        <f>LEFT(_xlfn.TEXTBEFORE(Table1[[#This Row],[Location Identifier]],"-"),3) &amp; "-" &amp; _xlfn.TEXTAFTER(Table1[[#This Row],[Location Identifier]],"-")</f>
        <v>LON-004</v>
      </c>
      <c r="AP1291" s="9">
        <f t="shared" ca="1" si="200"/>
        <v>45869</v>
      </c>
    </row>
    <row r="1292" spans="1:42" x14ac:dyDescent="0.25">
      <c r="A1292">
        <v>13</v>
      </c>
      <c r="B1292" t="s">
        <v>26</v>
      </c>
      <c r="C1292">
        <v>2</v>
      </c>
      <c r="D1292" t="s">
        <v>73</v>
      </c>
      <c r="E1292" t="b">
        <v>1</v>
      </c>
      <c r="F1292" s="1">
        <v>0.39097222222222222</v>
      </c>
      <c r="G1292" s="1">
        <v>0.50138888888888888</v>
      </c>
      <c r="H1292">
        <v>159</v>
      </c>
      <c r="I1292" t="b">
        <v>0</v>
      </c>
      <c r="J1292" t="b">
        <v>0</v>
      </c>
      <c r="K1292" t="b">
        <v>1</v>
      </c>
      <c r="L1292" t="s">
        <v>28</v>
      </c>
      <c r="M1292">
        <v>50</v>
      </c>
      <c r="N1292" t="s">
        <v>29</v>
      </c>
      <c r="O1292">
        <v>50</v>
      </c>
      <c r="P1292" t="s">
        <v>36</v>
      </c>
      <c r="Q1292">
        <v>0</v>
      </c>
      <c r="R1292">
        <v>50</v>
      </c>
      <c r="S1292" t="s">
        <v>31</v>
      </c>
      <c r="T1292" t="s">
        <v>54</v>
      </c>
      <c r="U1292">
        <v>32.715699999999998</v>
      </c>
      <c r="V1292">
        <v>-117.1611</v>
      </c>
      <c r="W1292" s="2">
        <v>45689</v>
      </c>
      <c r="X1292">
        <v>0</v>
      </c>
      <c r="Y1292" t="b">
        <v>1</v>
      </c>
      <c r="Z1292" s="2">
        <v>45853</v>
      </c>
      <c r="AA1292" t="str">
        <f t="shared" si="201"/>
        <v>10–19</v>
      </c>
      <c r="AB1292" t="str">
        <f t="shared" si="202"/>
        <v>Under 16</v>
      </c>
      <c r="AC1292" t="str">
        <f t="shared" si="203"/>
        <v/>
      </c>
      <c r="AD1292" t="str">
        <f t="shared" si="204"/>
        <v>Tuesday</v>
      </c>
      <c r="AE1292" t="str">
        <f t="shared" si="205"/>
        <v/>
      </c>
      <c r="AF1292" t="str">
        <f t="shared" si="206"/>
        <v/>
      </c>
      <c r="AG1292" t="str">
        <f t="shared" si="207"/>
        <v>Friday</v>
      </c>
      <c r="AH1292" t="str">
        <f t="shared" si="208"/>
        <v/>
      </c>
      <c r="AI1292" t="str">
        <f t="shared" si="209"/>
        <v/>
      </c>
      <c r="AJ1292" t="str">
        <f>LEFT(Table1[[#This Row],[membership_type]],2)&amp;TEXT(Table1[[#This Row],[age]],"00")&amp;"-"&amp;TEXT(ROW(),"000")</f>
        <v>Pr13-1292</v>
      </c>
      <c r="AK1292" t="str">
        <f>LEFT(Table1[[#This Row],[membership_type]],1)&amp;TEXT(MATCH(Table1[[#This Row],[membership_type]],Table1[membership_type],0),"00")</f>
        <v>P01</v>
      </c>
      <c r="AL1292" t="str">
        <f>LEFT(Table1[[#This Row],[discount_type]],1)&amp;TEXT(ROUND(Table1[[#This Row],[discount_rate]]*100,0),"00")</f>
        <v>N00</v>
      </c>
      <c r="AM1292" t="str" cm="1">
        <f t="array" ref="AM1292">TEXT(SUMPRODUCT(CODE(MID(Table1[[#This Row],[home_gym_location]],_xlfn.SEQUENCE(LEN(Table1[[#This Row],[home_gym_location]])),1))),"00000")</f>
        <v>01018</v>
      </c>
      <c r="AN129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292" t="str">
        <f>LEFT(_xlfn.TEXTBEFORE(Table1[[#This Row],[Location Identifier]],"-"),3) &amp; "-" &amp; _xlfn.TEXTAFTER(Table1[[#This Row],[Location Identifier]],"-")</f>
        <v>SAN-008</v>
      </c>
      <c r="AP1292" s="9">
        <f t="shared" ca="1" si="200"/>
        <v>45869</v>
      </c>
    </row>
    <row r="1293" spans="1:42" x14ac:dyDescent="0.25">
      <c r="A1293">
        <v>43</v>
      </c>
      <c r="B1293" t="s">
        <v>33</v>
      </c>
      <c r="C1293">
        <v>3</v>
      </c>
      <c r="D1293" t="s">
        <v>91</v>
      </c>
      <c r="E1293" t="b">
        <v>1</v>
      </c>
      <c r="F1293" s="1">
        <v>0.51180555555555551</v>
      </c>
      <c r="G1293" s="1">
        <v>0.63124999999999998</v>
      </c>
      <c r="H1293">
        <v>172</v>
      </c>
      <c r="I1293" t="b">
        <v>0</v>
      </c>
      <c r="J1293" t="b">
        <v>0</v>
      </c>
      <c r="K1293" t="b">
        <v>0</v>
      </c>
      <c r="L1293" t="s">
        <v>62</v>
      </c>
      <c r="M1293">
        <v>30</v>
      </c>
      <c r="N1293" t="s">
        <v>64</v>
      </c>
      <c r="O1293">
        <v>22.5</v>
      </c>
      <c r="P1293" t="s">
        <v>74</v>
      </c>
      <c r="Q1293">
        <v>0.15</v>
      </c>
      <c r="R1293">
        <v>19.125</v>
      </c>
      <c r="S1293" t="s">
        <v>37</v>
      </c>
      <c r="T1293" t="s">
        <v>38</v>
      </c>
      <c r="U1293">
        <v>36.7378</v>
      </c>
      <c r="V1293">
        <v>-119.7871</v>
      </c>
      <c r="W1293" s="2">
        <v>45226</v>
      </c>
      <c r="X1293">
        <v>0</v>
      </c>
      <c r="Y1293" t="b">
        <v>1</v>
      </c>
      <c r="Z1293" s="2">
        <v>45826</v>
      </c>
      <c r="AA1293" t="str">
        <f t="shared" si="201"/>
        <v>40–49</v>
      </c>
      <c r="AB1293" t="str">
        <f t="shared" si="202"/>
        <v>40–49</v>
      </c>
      <c r="AC1293" t="str">
        <f t="shared" si="203"/>
        <v>Monday</v>
      </c>
      <c r="AD1293" t="str">
        <f t="shared" si="204"/>
        <v/>
      </c>
      <c r="AE1293" t="str">
        <f t="shared" si="205"/>
        <v/>
      </c>
      <c r="AF1293" t="str">
        <f t="shared" si="206"/>
        <v>Thursday</v>
      </c>
      <c r="AG1293" t="str">
        <f t="shared" si="207"/>
        <v/>
      </c>
      <c r="AH1293" t="str">
        <f t="shared" si="208"/>
        <v>Saturday</v>
      </c>
      <c r="AI1293" t="str">
        <f t="shared" si="209"/>
        <v/>
      </c>
      <c r="AJ1293" t="str">
        <f>LEFT(Table1[[#This Row],[membership_type]],2)&amp;TEXT(Table1[[#This Row],[age]],"00")&amp;"-"&amp;TEXT(ROW(),"000")</f>
        <v>St43-1293</v>
      </c>
      <c r="AK1293" t="str">
        <f>LEFT(Table1[[#This Row],[membership_type]],1)&amp;TEXT(MATCH(Table1[[#This Row],[membership_type]],Table1[membership_type],0),"00")</f>
        <v>S02</v>
      </c>
      <c r="AL1293" t="str">
        <f>LEFT(Table1[[#This Row],[discount_type]],1)&amp;TEXT(ROUND(Table1[[#This Row],[discount_rate]]*100,0),"00")</f>
        <v>S15</v>
      </c>
      <c r="AM1293" t="str" cm="1">
        <f t="array" ref="AM1293">TEXT(SUMPRODUCT(CODE(MID(Table1[[#This Row],[home_gym_location]],_xlfn.SEQUENCE(LEN(Table1[[#This Row],[home_gym_location]])),1))),"00000")</f>
        <v>00829</v>
      </c>
      <c r="AN1293" t="str">
        <f>UPPER(_xlfn.TEXTBEFORE(Table1[[#This Row],[home_gym_location]],","))&amp;"-"&amp;TEXT(MATCH(Table1[[#This Row],[home_gym_location]],_xlfn._xlws.SORT(_xlfn.UNIQUE(Table1[home_gym_location])),0),"000")</f>
        <v>FRESNO-003</v>
      </c>
      <c r="AO1293" t="str">
        <f>LEFT(_xlfn.TEXTBEFORE(Table1[[#This Row],[Location Identifier]],"-"),3) &amp; "-" &amp; _xlfn.TEXTAFTER(Table1[[#This Row],[Location Identifier]],"-")</f>
        <v>FRE-003</v>
      </c>
      <c r="AP1293" s="9">
        <f t="shared" ca="1" si="200"/>
        <v>45869</v>
      </c>
    </row>
    <row r="1294" spans="1:42" x14ac:dyDescent="0.25">
      <c r="A1294">
        <v>27</v>
      </c>
      <c r="B1294" t="s">
        <v>33</v>
      </c>
      <c r="C1294">
        <v>1</v>
      </c>
      <c r="D1294" t="s">
        <v>63</v>
      </c>
      <c r="E1294" t="b">
        <v>0</v>
      </c>
      <c r="F1294" s="1">
        <v>0.47569444444444442</v>
      </c>
      <c r="G1294" s="1">
        <v>0.53888888888888886</v>
      </c>
      <c r="H1294">
        <v>91</v>
      </c>
      <c r="I1294" t="b">
        <v>1</v>
      </c>
      <c r="J1294" t="b">
        <v>0</v>
      </c>
      <c r="K1294" t="b">
        <v>1</v>
      </c>
      <c r="L1294" t="s">
        <v>62</v>
      </c>
      <c r="M1294">
        <v>30</v>
      </c>
      <c r="N1294" t="s">
        <v>29</v>
      </c>
      <c r="O1294">
        <v>30</v>
      </c>
      <c r="P1294" t="s">
        <v>74</v>
      </c>
      <c r="Q1294">
        <v>0.15</v>
      </c>
      <c r="R1294">
        <v>25.5</v>
      </c>
      <c r="S1294" t="s">
        <v>37</v>
      </c>
      <c r="T1294" t="s">
        <v>38</v>
      </c>
      <c r="U1294">
        <v>36.7378</v>
      </c>
      <c r="V1294">
        <v>-119.7871</v>
      </c>
      <c r="W1294" s="2">
        <v>45096</v>
      </c>
      <c r="X1294">
        <v>0</v>
      </c>
      <c r="Y1294" t="b">
        <v>0</v>
      </c>
      <c r="Z1294" s="2">
        <v>45819</v>
      </c>
      <c r="AA1294" t="str">
        <f t="shared" si="201"/>
        <v>20–29</v>
      </c>
      <c r="AB1294" t="str">
        <f t="shared" si="202"/>
        <v>20–29</v>
      </c>
      <c r="AC1294" t="str">
        <f t="shared" si="203"/>
        <v/>
      </c>
      <c r="AD1294" t="str">
        <f t="shared" si="204"/>
        <v/>
      </c>
      <c r="AE1294" t="str">
        <f t="shared" si="205"/>
        <v>Wednesday</v>
      </c>
      <c r="AF1294" t="str">
        <f t="shared" si="206"/>
        <v/>
      </c>
      <c r="AG1294" t="str">
        <f t="shared" si="207"/>
        <v/>
      </c>
      <c r="AH1294" t="str">
        <f t="shared" si="208"/>
        <v/>
      </c>
      <c r="AI1294" t="str">
        <f t="shared" si="209"/>
        <v/>
      </c>
      <c r="AJ1294" t="str">
        <f>LEFT(Table1[[#This Row],[membership_type]],2)&amp;TEXT(Table1[[#This Row],[age]],"00")&amp;"-"&amp;TEXT(ROW(),"000")</f>
        <v>St27-1294</v>
      </c>
      <c r="AK1294" t="str">
        <f>LEFT(Table1[[#This Row],[membership_type]],1)&amp;TEXT(MATCH(Table1[[#This Row],[membership_type]],Table1[membership_type],0),"00")</f>
        <v>S02</v>
      </c>
      <c r="AL1294" t="str">
        <f>LEFT(Table1[[#This Row],[discount_type]],1)&amp;TEXT(ROUND(Table1[[#This Row],[discount_rate]]*100,0),"00")</f>
        <v>S15</v>
      </c>
      <c r="AM1294" t="str" cm="1">
        <f t="array" ref="AM1294">TEXT(SUMPRODUCT(CODE(MID(Table1[[#This Row],[home_gym_location]],_xlfn.SEQUENCE(LEN(Table1[[#This Row],[home_gym_location]])),1))),"00000")</f>
        <v>00829</v>
      </c>
      <c r="AN1294" t="str">
        <f>UPPER(_xlfn.TEXTBEFORE(Table1[[#This Row],[home_gym_location]],","))&amp;"-"&amp;TEXT(MATCH(Table1[[#This Row],[home_gym_location]],_xlfn._xlws.SORT(_xlfn.UNIQUE(Table1[home_gym_location])),0),"000")</f>
        <v>FRESNO-003</v>
      </c>
      <c r="AO1294" t="str">
        <f>LEFT(_xlfn.TEXTBEFORE(Table1[[#This Row],[Location Identifier]],"-"),3) &amp; "-" &amp; _xlfn.TEXTAFTER(Table1[[#This Row],[Location Identifier]],"-")</f>
        <v>FRE-003</v>
      </c>
      <c r="AP1294" s="9">
        <f t="shared" ca="1" si="200"/>
        <v>45869</v>
      </c>
    </row>
    <row r="1295" spans="1:42" x14ac:dyDescent="0.25">
      <c r="A1295">
        <v>48</v>
      </c>
      <c r="B1295" t="s">
        <v>26</v>
      </c>
      <c r="C1295">
        <v>3</v>
      </c>
      <c r="D1295" t="s">
        <v>89</v>
      </c>
      <c r="E1295" t="b">
        <v>0</v>
      </c>
      <c r="F1295" s="1">
        <v>0.82222222222222219</v>
      </c>
      <c r="G1295" s="1">
        <v>0.86875000000000002</v>
      </c>
      <c r="H1295">
        <v>67</v>
      </c>
      <c r="I1295" t="b">
        <v>1</v>
      </c>
      <c r="J1295" t="b">
        <v>0</v>
      </c>
      <c r="K1295" t="b">
        <v>0</v>
      </c>
      <c r="L1295" t="s">
        <v>62</v>
      </c>
      <c r="M1295">
        <v>50</v>
      </c>
      <c r="N1295" t="s">
        <v>29</v>
      </c>
      <c r="O1295">
        <v>50</v>
      </c>
      <c r="P1295" t="s">
        <v>40</v>
      </c>
      <c r="Q1295">
        <v>0.1</v>
      </c>
      <c r="R1295">
        <v>45</v>
      </c>
      <c r="S1295" t="s">
        <v>31</v>
      </c>
      <c r="T1295" t="s">
        <v>41</v>
      </c>
      <c r="U1295">
        <v>37.804400000000001</v>
      </c>
      <c r="V1295">
        <v>-122.27119999999999</v>
      </c>
      <c r="W1295" s="2">
        <v>44978</v>
      </c>
      <c r="X1295">
        <v>0</v>
      </c>
      <c r="Y1295" t="b">
        <v>1</v>
      </c>
      <c r="Z1295" s="2">
        <v>45812</v>
      </c>
      <c r="AA1295" t="str">
        <f t="shared" si="201"/>
        <v>40–49</v>
      </c>
      <c r="AB1295" t="str">
        <f t="shared" si="202"/>
        <v>40–49</v>
      </c>
      <c r="AC1295" t="str">
        <f t="shared" si="203"/>
        <v>Monday</v>
      </c>
      <c r="AD1295" t="str">
        <f t="shared" si="204"/>
        <v>Tuesday</v>
      </c>
      <c r="AE1295" t="str">
        <f t="shared" si="205"/>
        <v/>
      </c>
      <c r="AF1295" t="str">
        <f t="shared" si="206"/>
        <v/>
      </c>
      <c r="AG1295" t="str">
        <f t="shared" si="207"/>
        <v/>
      </c>
      <c r="AH1295" t="str">
        <f t="shared" si="208"/>
        <v>Saturday</v>
      </c>
      <c r="AI1295" t="str">
        <f t="shared" si="209"/>
        <v/>
      </c>
      <c r="AJ1295" t="str">
        <f>LEFT(Table1[[#This Row],[membership_type]],2)&amp;TEXT(Table1[[#This Row],[age]],"00")&amp;"-"&amp;TEXT(ROW(),"000")</f>
        <v>Pr48-1295</v>
      </c>
      <c r="AK1295" t="str">
        <f>LEFT(Table1[[#This Row],[membership_type]],1)&amp;TEXT(MATCH(Table1[[#This Row],[membership_type]],Table1[membership_type],0),"00")</f>
        <v>P01</v>
      </c>
      <c r="AL1295" t="str">
        <f>LEFT(Table1[[#This Row],[discount_type]],1)&amp;TEXT(ROUND(Table1[[#This Row],[discount_rate]]*100,0),"00")</f>
        <v>L10</v>
      </c>
      <c r="AM1295" t="str" cm="1">
        <f t="array" ref="AM1295">TEXT(SUMPRODUCT(CODE(MID(Table1[[#This Row],[home_gym_location]],_xlfn.SEQUENCE(LEN(Table1[[#This Row],[home_gym_location]])),1))),"00000")</f>
        <v>00906</v>
      </c>
      <c r="AN129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95" t="str">
        <f>LEFT(_xlfn.TEXTBEFORE(Table1[[#This Row],[Location Identifier]],"-"),3) &amp; "-" &amp; _xlfn.TEXTAFTER(Table1[[#This Row],[Location Identifier]],"-")</f>
        <v>OAK-006</v>
      </c>
      <c r="AP1295" s="9">
        <f t="shared" ca="1" si="200"/>
        <v>45869</v>
      </c>
    </row>
    <row r="1296" spans="1:42" x14ac:dyDescent="0.25">
      <c r="A1296">
        <v>45</v>
      </c>
      <c r="B1296" t="s">
        <v>26</v>
      </c>
      <c r="C1296">
        <v>4</v>
      </c>
      <c r="D1296" t="s">
        <v>151</v>
      </c>
      <c r="E1296" t="b">
        <v>0</v>
      </c>
      <c r="F1296" s="1">
        <v>0.81388888888888888</v>
      </c>
      <c r="G1296" s="1">
        <v>0.84583333333333333</v>
      </c>
      <c r="H1296">
        <v>46</v>
      </c>
      <c r="I1296" t="b">
        <v>1</v>
      </c>
      <c r="J1296" t="b">
        <v>0</v>
      </c>
      <c r="K1296" t="b">
        <v>0</v>
      </c>
      <c r="L1296" t="s">
        <v>47</v>
      </c>
      <c r="M1296">
        <v>50</v>
      </c>
      <c r="N1296" t="s">
        <v>29</v>
      </c>
      <c r="O1296">
        <v>50</v>
      </c>
      <c r="P1296" t="s">
        <v>36</v>
      </c>
      <c r="Q1296">
        <v>0</v>
      </c>
      <c r="R1296">
        <v>50</v>
      </c>
      <c r="S1296" t="s">
        <v>31</v>
      </c>
      <c r="T1296" t="s">
        <v>32</v>
      </c>
      <c r="U1296">
        <v>37.338200000000001</v>
      </c>
      <c r="V1296">
        <v>-121.88630000000001</v>
      </c>
      <c r="W1296" s="2">
        <v>45617</v>
      </c>
      <c r="X1296">
        <v>0</v>
      </c>
      <c r="Y1296" t="b">
        <v>1</v>
      </c>
      <c r="Z1296" s="2">
        <v>45848</v>
      </c>
      <c r="AA1296" t="str">
        <f t="shared" si="201"/>
        <v>40–49</v>
      </c>
      <c r="AB1296" t="str">
        <f t="shared" si="202"/>
        <v>40–49</v>
      </c>
      <c r="AC1296" t="str">
        <f t="shared" si="203"/>
        <v/>
      </c>
      <c r="AD1296" t="str">
        <f t="shared" si="204"/>
        <v>Tuesday</v>
      </c>
      <c r="AE1296" t="str">
        <f t="shared" si="205"/>
        <v>Wednesday</v>
      </c>
      <c r="AF1296" t="str">
        <f t="shared" si="206"/>
        <v>Thursday</v>
      </c>
      <c r="AG1296" t="str">
        <f t="shared" si="207"/>
        <v>Friday</v>
      </c>
      <c r="AH1296" t="str">
        <f t="shared" si="208"/>
        <v/>
      </c>
      <c r="AI1296" t="str">
        <f t="shared" si="209"/>
        <v/>
      </c>
      <c r="AJ1296" t="str">
        <f>LEFT(Table1[[#This Row],[membership_type]],2)&amp;TEXT(Table1[[#This Row],[age]],"00")&amp;"-"&amp;TEXT(ROW(),"000")</f>
        <v>Pr45-1296</v>
      </c>
      <c r="AK1296" t="str">
        <f>LEFT(Table1[[#This Row],[membership_type]],1)&amp;TEXT(MATCH(Table1[[#This Row],[membership_type]],Table1[membership_type],0),"00")</f>
        <v>P01</v>
      </c>
      <c r="AL1296" t="str">
        <f>LEFT(Table1[[#This Row],[discount_type]],1)&amp;TEXT(ROUND(Table1[[#This Row],[discount_rate]]*100,0),"00")</f>
        <v>N00</v>
      </c>
      <c r="AM1296" t="str" cm="1">
        <f t="array" ref="AM1296">TEXT(SUMPRODUCT(CODE(MID(Table1[[#This Row],[home_gym_location]],_xlfn.SEQUENCE(LEN(Table1[[#This Row],[home_gym_location]])),1))),"00000")</f>
        <v>00931</v>
      </c>
      <c r="AN129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296" t="str">
        <f>LEFT(_xlfn.TEXTBEFORE(Table1[[#This Row],[Location Identifier]],"-"),3) &amp; "-" &amp; _xlfn.TEXTAFTER(Table1[[#This Row],[Location Identifier]],"-")</f>
        <v>SAN-010</v>
      </c>
      <c r="AP1296" s="9">
        <f t="shared" ca="1" si="200"/>
        <v>45869</v>
      </c>
    </row>
    <row r="1297" spans="1:42" x14ac:dyDescent="0.25">
      <c r="A1297">
        <v>36</v>
      </c>
      <c r="B1297" t="s">
        <v>51</v>
      </c>
      <c r="C1297">
        <v>4</v>
      </c>
      <c r="D1297" t="s">
        <v>161</v>
      </c>
      <c r="E1297" t="b">
        <v>0</v>
      </c>
      <c r="F1297" s="1">
        <v>0.52222222222222225</v>
      </c>
      <c r="G1297" s="1">
        <v>0.54305555555555551</v>
      </c>
      <c r="H1297">
        <v>30</v>
      </c>
      <c r="I1297" t="b">
        <v>0</v>
      </c>
      <c r="J1297" t="b">
        <v>0</v>
      </c>
      <c r="K1297" t="b">
        <v>0</v>
      </c>
      <c r="L1297" t="s">
        <v>62</v>
      </c>
      <c r="M1297">
        <v>70</v>
      </c>
      <c r="N1297" t="s">
        <v>29</v>
      </c>
      <c r="O1297">
        <v>70</v>
      </c>
      <c r="P1297" t="s">
        <v>74</v>
      </c>
      <c r="Q1297">
        <v>0.15</v>
      </c>
      <c r="R1297">
        <v>59.5</v>
      </c>
      <c r="S1297" t="s">
        <v>53</v>
      </c>
      <c r="T1297" t="s">
        <v>38</v>
      </c>
      <c r="U1297">
        <v>36.7378</v>
      </c>
      <c r="V1297">
        <v>-119.7871</v>
      </c>
      <c r="W1297" s="2">
        <v>45652</v>
      </c>
      <c r="X1297">
        <v>0</v>
      </c>
      <c r="Y1297" t="b">
        <v>1</v>
      </c>
      <c r="Z1297" s="2">
        <v>45850</v>
      </c>
      <c r="AA1297" t="str">
        <f t="shared" si="201"/>
        <v>30–39</v>
      </c>
      <c r="AB1297" t="str">
        <f t="shared" si="202"/>
        <v>30–39</v>
      </c>
      <c r="AC1297" t="str">
        <f t="shared" si="203"/>
        <v>Monday</v>
      </c>
      <c r="AD1297" t="str">
        <f t="shared" si="204"/>
        <v/>
      </c>
      <c r="AE1297" t="str">
        <f t="shared" si="205"/>
        <v>Wednesday</v>
      </c>
      <c r="AF1297" t="str">
        <f t="shared" si="206"/>
        <v>Thursday</v>
      </c>
      <c r="AG1297" t="str">
        <f t="shared" si="207"/>
        <v/>
      </c>
      <c r="AH1297" t="str">
        <f t="shared" si="208"/>
        <v/>
      </c>
      <c r="AI1297" t="str">
        <f t="shared" si="209"/>
        <v>Sunday</v>
      </c>
      <c r="AJ1297" t="str">
        <f>LEFT(Table1[[#This Row],[membership_type]],2)&amp;TEXT(Table1[[#This Row],[age]],"00")&amp;"-"&amp;TEXT(ROW(),"000")</f>
        <v>El36-1297</v>
      </c>
      <c r="AK1297" t="str">
        <f>LEFT(Table1[[#This Row],[membership_type]],1)&amp;TEXT(MATCH(Table1[[#This Row],[membership_type]],Table1[membership_type],0),"00")</f>
        <v>E07</v>
      </c>
      <c r="AL1297" t="str">
        <f>LEFT(Table1[[#This Row],[discount_type]],1)&amp;TEXT(ROUND(Table1[[#This Row],[discount_rate]]*100,0),"00")</f>
        <v>S15</v>
      </c>
      <c r="AM1297" t="str" cm="1">
        <f t="array" ref="AM1297">TEXT(SUMPRODUCT(CODE(MID(Table1[[#This Row],[home_gym_location]],_xlfn.SEQUENCE(LEN(Table1[[#This Row],[home_gym_location]])),1))),"00000")</f>
        <v>00829</v>
      </c>
      <c r="AN1297" t="str">
        <f>UPPER(_xlfn.TEXTBEFORE(Table1[[#This Row],[home_gym_location]],","))&amp;"-"&amp;TEXT(MATCH(Table1[[#This Row],[home_gym_location]],_xlfn._xlws.SORT(_xlfn.UNIQUE(Table1[home_gym_location])),0),"000")</f>
        <v>FRESNO-003</v>
      </c>
      <c r="AO1297" t="str">
        <f>LEFT(_xlfn.TEXTBEFORE(Table1[[#This Row],[Location Identifier]],"-"),3) &amp; "-" &amp; _xlfn.TEXTAFTER(Table1[[#This Row],[Location Identifier]],"-")</f>
        <v>FRE-003</v>
      </c>
      <c r="AP1297" s="9">
        <f t="shared" ca="1" si="200"/>
        <v>45869</v>
      </c>
    </row>
    <row r="1298" spans="1:42" x14ac:dyDescent="0.25">
      <c r="A1298">
        <v>21</v>
      </c>
      <c r="B1298" t="s">
        <v>33</v>
      </c>
      <c r="C1298">
        <v>5</v>
      </c>
      <c r="D1298" t="s">
        <v>112</v>
      </c>
      <c r="E1298" t="b">
        <v>1</v>
      </c>
      <c r="F1298" s="1">
        <v>0.84375</v>
      </c>
      <c r="G1298" s="1">
        <v>0.96805555555555556</v>
      </c>
      <c r="H1298">
        <v>179</v>
      </c>
      <c r="I1298" t="b">
        <v>1</v>
      </c>
      <c r="J1298" t="b">
        <v>0</v>
      </c>
      <c r="K1298" t="b">
        <v>1</v>
      </c>
      <c r="L1298" t="s">
        <v>28</v>
      </c>
      <c r="M1298">
        <v>30</v>
      </c>
      <c r="N1298" t="s">
        <v>29</v>
      </c>
      <c r="O1298">
        <v>30</v>
      </c>
      <c r="P1298" t="s">
        <v>30</v>
      </c>
      <c r="Q1298">
        <v>0.05</v>
      </c>
      <c r="R1298">
        <v>28.5</v>
      </c>
      <c r="S1298" t="s">
        <v>37</v>
      </c>
      <c r="T1298" t="s">
        <v>38</v>
      </c>
      <c r="U1298">
        <v>36.7378</v>
      </c>
      <c r="V1298">
        <v>-119.7871</v>
      </c>
      <c r="W1298" s="2">
        <v>45719</v>
      </c>
      <c r="X1298">
        <v>0</v>
      </c>
      <c r="Y1298" t="b">
        <v>1</v>
      </c>
      <c r="Z1298" s="2">
        <v>45854</v>
      </c>
      <c r="AA1298" t="str">
        <f t="shared" si="201"/>
        <v>20–29</v>
      </c>
      <c r="AB1298" t="str">
        <f t="shared" si="202"/>
        <v>20–29</v>
      </c>
      <c r="AC1298" t="str">
        <f t="shared" si="203"/>
        <v>Monday</v>
      </c>
      <c r="AD1298" t="str">
        <f t="shared" si="204"/>
        <v/>
      </c>
      <c r="AE1298" t="str">
        <f t="shared" si="205"/>
        <v/>
      </c>
      <c r="AF1298" t="str">
        <f t="shared" si="206"/>
        <v>Thursday</v>
      </c>
      <c r="AG1298" t="str">
        <f t="shared" si="207"/>
        <v>Friday</v>
      </c>
      <c r="AH1298" t="str">
        <f t="shared" si="208"/>
        <v>Saturday</v>
      </c>
      <c r="AI1298" t="str">
        <f t="shared" si="209"/>
        <v>Sunday</v>
      </c>
      <c r="AJ1298" t="str">
        <f>LEFT(Table1[[#This Row],[membership_type]],2)&amp;TEXT(Table1[[#This Row],[age]],"00")&amp;"-"&amp;TEXT(ROW(),"000")</f>
        <v>St21-1298</v>
      </c>
      <c r="AK1298" t="str">
        <f>LEFT(Table1[[#This Row],[membership_type]],1)&amp;TEXT(MATCH(Table1[[#This Row],[membership_type]],Table1[membership_type],0),"00")</f>
        <v>S02</v>
      </c>
      <c r="AL1298" t="str">
        <f>LEFT(Table1[[#This Row],[discount_type]],1)&amp;TEXT(ROUND(Table1[[#This Row],[discount_rate]]*100,0),"00")</f>
        <v>P05</v>
      </c>
      <c r="AM1298" t="str" cm="1">
        <f t="array" ref="AM1298">TEXT(SUMPRODUCT(CODE(MID(Table1[[#This Row],[home_gym_location]],_xlfn.SEQUENCE(LEN(Table1[[#This Row],[home_gym_location]])),1))),"00000")</f>
        <v>00829</v>
      </c>
      <c r="AN1298" t="str">
        <f>UPPER(_xlfn.TEXTBEFORE(Table1[[#This Row],[home_gym_location]],","))&amp;"-"&amp;TEXT(MATCH(Table1[[#This Row],[home_gym_location]],_xlfn._xlws.SORT(_xlfn.UNIQUE(Table1[home_gym_location])),0),"000")</f>
        <v>FRESNO-003</v>
      </c>
      <c r="AO1298" t="str">
        <f>LEFT(_xlfn.TEXTBEFORE(Table1[[#This Row],[Location Identifier]],"-"),3) &amp; "-" &amp; _xlfn.TEXTAFTER(Table1[[#This Row],[Location Identifier]],"-")</f>
        <v>FRE-003</v>
      </c>
      <c r="AP1298" s="9">
        <f t="shared" ca="1" si="200"/>
        <v>45869</v>
      </c>
    </row>
    <row r="1299" spans="1:42" x14ac:dyDescent="0.25">
      <c r="A1299">
        <v>41</v>
      </c>
      <c r="B1299" t="s">
        <v>33</v>
      </c>
      <c r="C1299">
        <v>1</v>
      </c>
      <c r="D1299" t="s">
        <v>67</v>
      </c>
      <c r="E1299" t="b">
        <v>1</v>
      </c>
      <c r="F1299" s="1">
        <v>0.4777777777777778</v>
      </c>
      <c r="G1299" s="1">
        <v>0.54861111111111116</v>
      </c>
      <c r="H1299">
        <v>102</v>
      </c>
      <c r="I1299" t="b">
        <v>1</v>
      </c>
      <c r="J1299" t="b">
        <v>1</v>
      </c>
      <c r="K1299" t="b">
        <v>1</v>
      </c>
      <c r="L1299" t="s">
        <v>62</v>
      </c>
      <c r="M1299">
        <v>30</v>
      </c>
      <c r="N1299" t="s">
        <v>64</v>
      </c>
      <c r="O1299">
        <v>22.5</v>
      </c>
      <c r="P1299" t="s">
        <v>74</v>
      </c>
      <c r="Q1299">
        <v>0.15</v>
      </c>
      <c r="R1299">
        <v>19.125</v>
      </c>
      <c r="S1299" t="s">
        <v>37</v>
      </c>
      <c r="T1299" t="s">
        <v>41</v>
      </c>
      <c r="U1299">
        <v>37.804400000000001</v>
      </c>
      <c r="V1299">
        <v>-122.27119999999999</v>
      </c>
      <c r="W1299" s="2">
        <v>45153</v>
      </c>
      <c r="X1299">
        <v>1</v>
      </c>
      <c r="Y1299" t="b">
        <v>0</v>
      </c>
      <c r="Z1299" s="2">
        <v>45822</v>
      </c>
      <c r="AA1299" t="str">
        <f t="shared" si="201"/>
        <v>40–49</v>
      </c>
      <c r="AB1299" t="str">
        <f t="shared" si="202"/>
        <v>40–49</v>
      </c>
      <c r="AC1299" t="str">
        <f t="shared" si="203"/>
        <v/>
      </c>
      <c r="AD1299" t="str">
        <f t="shared" si="204"/>
        <v/>
      </c>
      <c r="AE1299" t="str">
        <f t="shared" si="205"/>
        <v/>
      </c>
      <c r="AF1299" t="str">
        <f t="shared" si="206"/>
        <v>Thursday</v>
      </c>
      <c r="AG1299" t="str">
        <f t="shared" si="207"/>
        <v/>
      </c>
      <c r="AH1299" t="str">
        <f t="shared" si="208"/>
        <v/>
      </c>
      <c r="AI1299" t="str">
        <f t="shared" si="209"/>
        <v/>
      </c>
      <c r="AJ1299" t="str">
        <f>LEFT(Table1[[#This Row],[membership_type]],2)&amp;TEXT(Table1[[#This Row],[age]],"00")&amp;"-"&amp;TEXT(ROW(),"000")</f>
        <v>St41-1299</v>
      </c>
      <c r="AK1299" t="str">
        <f>LEFT(Table1[[#This Row],[membership_type]],1)&amp;TEXT(MATCH(Table1[[#This Row],[membership_type]],Table1[membership_type],0),"00")</f>
        <v>S02</v>
      </c>
      <c r="AL1299" t="str">
        <f>LEFT(Table1[[#This Row],[discount_type]],1)&amp;TEXT(ROUND(Table1[[#This Row],[discount_rate]]*100,0),"00")</f>
        <v>S15</v>
      </c>
      <c r="AM1299" t="str" cm="1">
        <f t="array" ref="AM1299">TEXT(SUMPRODUCT(CODE(MID(Table1[[#This Row],[home_gym_location]],_xlfn.SEQUENCE(LEN(Table1[[#This Row],[home_gym_location]])),1))),"00000")</f>
        <v>00906</v>
      </c>
      <c r="AN129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299" t="str">
        <f>LEFT(_xlfn.TEXTBEFORE(Table1[[#This Row],[Location Identifier]],"-"),3) &amp; "-" &amp; _xlfn.TEXTAFTER(Table1[[#This Row],[Location Identifier]],"-")</f>
        <v>OAK-006</v>
      </c>
      <c r="AP1299" s="9">
        <f t="shared" ca="1" si="200"/>
        <v>45869</v>
      </c>
    </row>
    <row r="1300" spans="1:42" x14ac:dyDescent="0.25">
      <c r="A1300">
        <v>28</v>
      </c>
      <c r="B1300" t="s">
        <v>33</v>
      </c>
      <c r="C1300">
        <v>3</v>
      </c>
      <c r="D1300" t="s">
        <v>57</v>
      </c>
      <c r="E1300" t="b">
        <v>0</v>
      </c>
      <c r="F1300" s="1">
        <v>0.83263888888888893</v>
      </c>
      <c r="G1300" s="1">
        <v>0.86111111111111116</v>
      </c>
      <c r="H1300">
        <v>41</v>
      </c>
      <c r="I1300" t="b">
        <v>0</v>
      </c>
      <c r="J1300" t="b">
        <v>1</v>
      </c>
      <c r="K1300" t="b">
        <v>0</v>
      </c>
      <c r="L1300" t="s">
        <v>28</v>
      </c>
      <c r="M1300">
        <v>30</v>
      </c>
      <c r="N1300" t="s">
        <v>64</v>
      </c>
      <c r="O1300">
        <v>22.5</v>
      </c>
      <c r="P1300" t="s">
        <v>30</v>
      </c>
      <c r="Q1300">
        <v>0.05</v>
      </c>
      <c r="R1300">
        <v>21.375</v>
      </c>
      <c r="S1300" t="s">
        <v>37</v>
      </c>
      <c r="T1300" t="s">
        <v>45</v>
      </c>
      <c r="U1300">
        <v>33.836599999999997</v>
      </c>
      <c r="V1300">
        <v>-117.9143</v>
      </c>
      <c r="W1300" s="2">
        <v>45078</v>
      </c>
      <c r="X1300">
        <v>4</v>
      </c>
      <c r="Y1300" t="b">
        <v>0</v>
      </c>
      <c r="Z1300" s="2">
        <v>45818</v>
      </c>
      <c r="AA1300" t="str">
        <f t="shared" si="201"/>
        <v>20–29</v>
      </c>
      <c r="AB1300" t="str">
        <f t="shared" si="202"/>
        <v>20–29</v>
      </c>
      <c r="AC1300" t="str">
        <f t="shared" si="203"/>
        <v/>
      </c>
      <c r="AD1300" t="str">
        <f t="shared" si="204"/>
        <v/>
      </c>
      <c r="AE1300" t="str">
        <f t="shared" si="205"/>
        <v>Wednesday</v>
      </c>
      <c r="AF1300" t="str">
        <f t="shared" si="206"/>
        <v>Thursday</v>
      </c>
      <c r="AG1300" t="str">
        <f t="shared" si="207"/>
        <v/>
      </c>
      <c r="AH1300" t="str">
        <f t="shared" si="208"/>
        <v>Saturday</v>
      </c>
      <c r="AI1300" t="str">
        <f t="shared" si="209"/>
        <v/>
      </c>
      <c r="AJ1300" t="str">
        <f>LEFT(Table1[[#This Row],[membership_type]],2)&amp;TEXT(Table1[[#This Row],[age]],"00")&amp;"-"&amp;TEXT(ROW(),"000")</f>
        <v>St28-1300</v>
      </c>
      <c r="AK1300" t="str">
        <f>LEFT(Table1[[#This Row],[membership_type]],1)&amp;TEXT(MATCH(Table1[[#This Row],[membership_type]],Table1[membership_type],0),"00")</f>
        <v>S02</v>
      </c>
      <c r="AL1300" t="str">
        <f>LEFT(Table1[[#This Row],[discount_type]],1)&amp;TEXT(ROUND(Table1[[#This Row],[discount_rate]]*100,0),"00")</f>
        <v>P05</v>
      </c>
      <c r="AM1300" t="str" cm="1">
        <f t="array" ref="AM1300">TEXT(SUMPRODUCT(CODE(MID(Table1[[#This Row],[home_gym_location]],_xlfn.SEQUENCE(LEN(Table1[[#This Row],[home_gym_location]])),1))),"00000")</f>
        <v>00899</v>
      </c>
      <c r="AN130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00" t="str">
        <f>LEFT(_xlfn.TEXTBEFORE(Table1[[#This Row],[Location Identifier]],"-"),3) &amp; "-" &amp; _xlfn.TEXTAFTER(Table1[[#This Row],[Location Identifier]],"-")</f>
        <v>ANA-001</v>
      </c>
      <c r="AP1300" s="9">
        <f t="shared" ca="1" si="200"/>
        <v>45869</v>
      </c>
    </row>
    <row r="1301" spans="1:42" x14ac:dyDescent="0.25">
      <c r="A1301">
        <v>21</v>
      </c>
      <c r="B1301" t="s">
        <v>26</v>
      </c>
      <c r="C1301">
        <v>1</v>
      </c>
      <c r="D1301" t="s">
        <v>49</v>
      </c>
      <c r="E1301" t="b">
        <v>1</v>
      </c>
      <c r="F1301" s="1">
        <v>0.6069444444444444</v>
      </c>
      <c r="G1301" s="1">
        <v>0.62777777777777777</v>
      </c>
      <c r="H1301">
        <v>30</v>
      </c>
      <c r="I1301" t="b">
        <v>1</v>
      </c>
      <c r="J1301" t="b">
        <v>1</v>
      </c>
      <c r="K1301" t="b">
        <v>1</v>
      </c>
      <c r="L1301" t="s">
        <v>28</v>
      </c>
      <c r="M1301">
        <v>50</v>
      </c>
      <c r="N1301" t="s">
        <v>64</v>
      </c>
      <c r="O1301">
        <v>37.5</v>
      </c>
      <c r="P1301" t="s">
        <v>36</v>
      </c>
      <c r="Q1301">
        <v>0</v>
      </c>
      <c r="R1301">
        <v>37.5</v>
      </c>
      <c r="S1301" t="s">
        <v>31</v>
      </c>
      <c r="T1301" t="s">
        <v>65</v>
      </c>
      <c r="U1301">
        <v>33.770099999999999</v>
      </c>
      <c r="V1301">
        <v>-118.19370000000001</v>
      </c>
      <c r="W1301" s="2">
        <v>45797</v>
      </c>
      <c r="X1301">
        <v>2</v>
      </c>
      <c r="Y1301" t="b">
        <v>0</v>
      </c>
      <c r="Z1301" s="2">
        <v>45859</v>
      </c>
      <c r="AA1301" t="str">
        <f t="shared" si="201"/>
        <v>20–29</v>
      </c>
      <c r="AB1301" t="str">
        <f t="shared" si="202"/>
        <v>20–29</v>
      </c>
      <c r="AC1301" t="str">
        <f t="shared" si="203"/>
        <v/>
      </c>
      <c r="AD1301" t="str">
        <f t="shared" si="204"/>
        <v/>
      </c>
      <c r="AE1301" t="str">
        <f t="shared" si="205"/>
        <v/>
      </c>
      <c r="AF1301" t="str">
        <f t="shared" si="206"/>
        <v/>
      </c>
      <c r="AG1301" t="str">
        <f t="shared" si="207"/>
        <v/>
      </c>
      <c r="AH1301" t="str">
        <f t="shared" si="208"/>
        <v/>
      </c>
      <c r="AI1301" t="str">
        <f t="shared" si="209"/>
        <v>Sunday</v>
      </c>
      <c r="AJ1301" t="str">
        <f>LEFT(Table1[[#This Row],[membership_type]],2)&amp;TEXT(Table1[[#This Row],[age]],"00")&amp;"-"&amp;TEXT(ROW(),"000")</f>
        <v>Pr21-1301</v>
      </c>
      <c r="AK1301" t="str">
        <f>LEFT(Table1[[#This Row],[membership_type]],1)&amp;TEXT(MATCH(Table1[[#This Row],[membership_type]],Table1[membership_type],0),"00")</f>
        <v>P01</v>
      </c>
      <c r="AL1301" t="str">
        <f>LEFT(Table1[[#This Row],[discount_type]],1)&amp;TEXT(ROUND(Table1[[#This Row],[discount_rate]]*100,0),"00")</f>
        <v>N00</v>
      </c>
      <c r="AM1301" t="str" cm="1">
        <f t="array" ref="AM1301">TEXT(SUMPRODUCT(CODE(MID(Table1[[#This Row],[home_gym_location]],_xlfn.SEQUENCE(LEN(Table1[[#This Row],[home_gym_location]])),1))),"00000")</f>
        <v>01107</v>
      </c>
      <c r="AN130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01" t="str">
        <f>LEFT(_xlfn.TEXTBEFORE(Table1[[#This Row],[Location Identifier]],"-"),3) &amp; "-" &amp; _xlfn.TEXTAFTER(Table1[[#This Row],[Location Identifier]],"-")</f>
        <v>LON-004</v>
      </c>
      <c r="AP1301" s="9">
        <f t="shared" ca="1" si="200"/>
        <v>45869</v>
      </c>
    </row>
    <row r="1302" spans="1:42" x14ac:dyDescent="0.25">
      <c r="A1302">
        <v>29</v>
      </c>
      <c r="B1302" t="s">
        <v>42</v>
      </c>
      <c r="C1302">
        <v>1</v>
      </c>
      <c r="D1302" t="s">
        <v>49</v>
      </c>
      <c r="E1302" t="b">
        <v>1</v>
      </c>
      <c r="F1302" s="1">
        <v>0.5180555555555556</v>
      </c>
      <c r="G1302" s="1">
        <v>0.57291666666666663</v>
      </c>
      <c r="H1302">
        <v>79</v>
      </c>
      <c r="I1302" t="b">
        <v>0</v>
      </c>
      <c r="J1302" t="b">
        <v>0</v>
      </c>
      <c r="K1302" t="b">
        <v>0</v>
      </c>
      <c r="L1302" t="s">
        <v>62</v>
      </c>
      <c r="M1302">
        <v>20</v>
      </c>
      <c r="N1302" t="s">
        <v>29</v>
      </c>
      <c r="O1302">
        <v>20</v>
      </c>
      <c r="P1302" t="s">
        <v>36</v>
      </c>
      <c r="Q1302">
        <v>0</v>
      </c>
      <c r="R1302">
        <v>20</v>
      </c>
      <c r="S1302" t="s">
        <v>44</v>
      </c>
      <c r="T1302" t="s">
        <v>38</v>
      </c>
      <c r="U1302">
        <v>36.7378</v>
      </c>
      <c r="V1302">
        <v>-119.7871</v>
      </c>
      <c r="W1302" s="2">
        <v>44833</v>
      </c>
      <c r="X1302">
        <v>0</v>
      </c>
      <c r="Y1302" t="b">
        <v>0</v>
      </c>
      <c r="Z1302" s="2">
        <v>45804</v>
      </c>
      <c r="AA1302" t="str">
        <f t="shared" si="201"/>
        <v>20–29</v>
      </c>
      <c r="AB1302" t="str">
        <f t="shared" si="202"/>
        <v>20–29</v>
      </c>
      <c r="AC1302" t="str">
        <f t="shared" si="203"/>
        <v/>
      </c>
      <c r="AD1302" t="str">
        <f t="shared" si="204"/>
        <v/>
      </c>
      <c r="AE1302" t="str">
        <f t="shared" si="205"/>
        <v/>
      </c>
      <c r="AF1302" t="str">
        <f t="shared" si="206"/>
        <v/>
      </c>
      <c r="AG1302" t="str">
        <f t="shared" si="207"/>
        <v/>
      </c>
      <c r="AH1302" t="str">
        <f t="shared" si="208"/>
        <v/>
      </c>
      <c r="AI1302" t="str">
        <f t="shared" si="209"/>
        <v>Sunday</v>
      </c>
      <c r="AJ1302" t="str">
        <f>LEFT(Table1[[#This Row],[membership_type]],2)&amp;TEXT(Table1[[#This Row],[age]],"00")&amp;"-"&amp;TEXT(ROW(),"000")</f>
        <v>Ba29-1302</v>
      </c>
      <c r="AK1302" t="str">
        <f>LEFT(Table1[[#This Row],[membership_type]],1)&amp;TEXT(MATCH(Table1[[#This Row],[membership_type]],Table1[membership_type],0),"00")</f>
        <v>B04</v>
      </c>
      <c r="AL1302" t="str">
        <f>LEFT(Table1[[#This Row],[discount_type]],1)&amp;TEXT(ROUND(Table1[[#This Row],[discount_rate]]*100,0),"00")</f>
        <v>N00</v>
      </c>
      <c r="AM1302" t="str" cm="1">
        <f t="array" ref="AM1302">TEXT(SUMPRODUCT(CODE(MID(Table1[[#This Row],[home_gym_location]],_xlfn.SEQUENCE(LEN(Table1[[#This Row],[home_gym_location]])),1))),"00000")</f>
        <v>00829</v>
      </c>
      <c r="AN1302" t="str">
        <f>UPPER(_xlfn.TEXTBEFORE(Table1[[#This Row],[home_gym_location]],","))&amp;"-"&amp;TEXT(MATCH(Table1[[#This Row],[home_gym_location]],_xlfn._xlws.SORT(_xlfn.UNIQUE(Table1[home_gym_location])),0),"000")</f>
        <v>FRESNO-003</v>
      </c>
      <c r="AO1302" t="str">
        <f>LEFT(_xlfn.TEXTBEFORE(Table1[[#This Row],[Location Identifier]],"-"),3) &amp; "-" &amp; _xlfn.TEXTAFTER(Table1[[#This Row],[Location Identifier]],"-")</f>
        <v>FRE-003</v>
      </c>
      <c r="AP1302" s="9">
        <f t="shared" ca="1" si="200"/>
        <v>45869</v>
      </c>
    </row>
    <row r="1303" spans="1:42" x14ac:dyDescent="0.25">
      <c r="A1303">
        <v>14</v>
      </c>
      <c r="B1303" t="s">
        <v>26</v>
      </c>
      <c r="C1303">
        <v>5</v>
      </c>
      <c r="D1303" t="s">
        <v>150</v>
      </c>
      <c r="E1303" t="b">
        <v>1</v>
      </c>
      <c r="F1303" s="1">
        <v>0.84930555555555554</v>
      </c>
      <c r="G1303" s="1">
        <v>0.89583333333333337</v>
      </c>
      <c r="H1303">
        <v>67</v>
      </c>
      <c r="I1303" t="b">
        <v>1</v>
      </c>
      <c r="J1303" t="b">
        <v>1</v>
      </c>
      <c r="K1303" t="b">
        <v>1</v>
      </c>
      <c r="L1303" t="s">
        <v>28</v>
      </c>
      <c r="M1303">
        <v>50</v>
      </c>
      <c r="N1303" t="s">
        <v>64</v>
      </c>
      <c r="O1303">
        <v>37.5</v>
      </c>
      <c r="P1303" t="s">
        <v>36</v>
      </c>
      <c r="Q1303">
        <v>0</v>
      </c>
      <c r="R1303">
        <v>37.5</v>
      </c>
      <c r="S1303" t="s">
        <v>31</v>
      </c>
      <c r="T1303" t="s">
        <v>41</v>
      </c>
      <c r="U1303">
        <v>37.804400000000001</v>
      </c>
      <c r="V1303">
        <v>-122.27119999999999</v>
      </c>
      <c r="W1303" s="2">
        <v>45775</v>
      </c>
      <c r="X1303">
        <v>3</v>
      </c>
      <c r="Y1303" t="b">
        <v>1</v>
      </c>
      <c r="Z1303" s="2">
        <v>45857</v>
      </c>
      <c r="AA1303" t="str">
        <f t="shared" si="201"/>
        <v>10–19</v>
      </c>
      <c r="AB1303" t="str">
        <f t="shared" si="202"/>
        <v>Under 16</v>
      </c>
      <c r="AC1303" t="str">
        <f t="shared" si="203"/>
        <v/>
      </c>
      <c r="AD1303" t="str">
        <f t="shared" si="204"/>
        <v>Tuesday</v>
      </c>
      <c r="AE1303" t="str">
        <f t="shared" si="205"/>
        <v/>
      </c>
      <c r="AF1303" t="str">
        <f t="shared" si="206"/>
        <v>Thursday</v>
      </c>
      <c r="AG1303" t="str">
        <f t="shared" si="207"/>
        <v>Friday</v>
      </c>
      <c r="AH1303" t="str">
        <f t="shared" si="208"/>
        <v>Saturday</v>
      </c>
      <c r="AI1303" t="str">
        <f t="shared" si="209"/>
        <v>Sunday</v>
      </c>
      <c r="AJ1303" t="str">
        <f>LEFT(Table1[[#This Row],[membership_type]],2)&amp;TEXT(Table1[[#This Row],[age]],"00")&amp;"-"&amp;TEXT(ROW(),"000")</f>
        <v>Pr14-1303</v>
      </c>
      <c r="AK1303" t="str">
        <f>LEFT(Table1[[#This Row],[membership_type]],1)&amp;TEXT(MATCH(Table1[[#This Row],[membership_type]],Table1[membership_type],0),"00")</f>
        <v>P01</v>
      </c>
      <c r="AL1303" t="str">
        <f>LEFT(Table1[[#This Row],[discount_type]],1)&amp;TEXT(ROUND(Table1[[#This Row],[discount_rate]]*100,0),"00")</f>
        <v>N00</v>
      </c>
      <c r="AM1303" t="str" cm="1">
        <f t="array" ref="AM1303">TEXT(SUMPRODUCT(CODE(MID(Table1[[#This Row],[home_gym_location]],_xlfn.SEQUENCE(LEN(Table1[[#This Row],[home_gym_location]])),1))),"00000")</f>
        <v>00906</v>
      </c>
      <c r="AN130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03" t="str">
        <f>LEFT(_xlfn.TEXTBEFORE(Table1[[#This Row],[Location Identifier]],"-"),3) &amp; "-" &amp; _xlfn.TEXTAFTER(Table1[[#This Row],[Location Identifier]],"-")</f>
        <v>OAK-006</v>
      </c>
      <c r="AP1303" s="9">
        <f t="shared" ca="1" si="200"/>
        <v>45869</v>
      </c>
    </row>
    <row r="1304" spans="1:42" x14ac:dyDescent="0.25">
      <c r="A1304">
        <v>17</v>
      </c>
      <c r="B1304" t="s">
        <v>51</v>
      </c>
      <c r="C1304">
        <v>2</v>
      </c>
      <c r="D1304" t="s">
        <v>92</v>
      </c>
      <c r="E1304" t="b">
        <v>0</v>
      </c>
      <c r="F1304" s="1">
        <v>0.73888888888888893</v>
      </c>
      <c r="G1304" s="1">
        <v>0.76388888888888884</v>
      </c>
      <c r="H1304">
        <v>36</v>
      </c>
      <c r="I1304" t="b">
        <v>1</v>
      </c>
      <c r="J1304" t="b">
        <v>1</v>
      </c>
      <c r="K1304" t="b">
        <v>0</v>
      </c>
      <c r="L1304" t="s">
        <v>28</v>
      </c>
      <c r="M1304">
        <v>70</v>
      </c>
      <c r="N1304" t="s">
        <v>78</v>
      </c>
      <c r="O1304">
        <v>63</v>
      </c>
      <c r="P1304" t="s">
        <v>74</v>
      </c>
      <c r="Q1304">
        <v>0.15</v>
      </c>
      <c r="R1304">
        <v>53.55</v>
      </c>
      <c r="S1304" t="s">
        <v>53</v>
      </c>
      <c r="T1304" t="s">
        <v>45</v>
      </c>
      <c r="U1304">
        <v>33.836599999999997</v>
      </c>
      <c r="V1304">
        <v>-117.9143</v>
      </c>
      <c r="W1304" s="2">
        <v>45254</v>
      </c>
      <c r="X1304">
        <v>7</v>
      </c>
      <c r="Y1304" t="b">
        <v>1</v>
      </c>
      <c r="Z1304" s="2">
        <v>45828</v>
      </c>
      <c r="AA1304" t="str">
        <f t="shared" si="201"/>
        <v>10–19</v>
      </c>
      <c r="AB1304" t="str">
        <f t="shared" si="202"/>
        <v>16–19</v>
      </c>
      <c r="AC1304" t="str">
        <f t="shared" si="203"/>
        <v/>
      </c>
      <c r="AD1304" t="str">
        <f t="shared" si="204"/>
        <v/>
      </c>
      <c r="AE1304" t="str">
        <f t="shared" si="205"/>
        <v/>
      </c>
      <c r="AF1304" t="str">
        <f t="shared" si="206"/>
        <v/>
      </c>
      <c r="AG1304" t="str">
        <f t="shared" si="207"/>
        <v>Friday</v>
      </c>
      <c r="AH1304" t="str">
        <f t="shared" si="208"/>
        <v/>
      </c>
      <c r="AI1304" t="str">
        <f t="shared" si="209"/>
        <v>Sunday</v>
      </c>
      <c r="AJ1304" t="str">
        <f>LEFT(Table1[[#This Row],[membership_type]],2)&amp;TEXT(Table1[[#This Row],[age]],"00")&amp;"-"&amp;TEXT(ROW(),"000")</f>
        <v>El17-1304</v>
      </c>
      <c r="AK1304" t="str">
        <f>LEFT(Table1[[#This Row],[membership_type]],1)&amp;TEXT(MATCH(Table1[[#This Row],[membership_type]],Table1[membership_type],0),"00")</f>
        <v>E07</v>
      </c>
      <c r="AL1304" t="str">
        <f>LEFT(Table1[[#This Row],[discount_type]],1)&amp;TEXT(ROUND(Table1[[#This Row],[discount_rate]]*100,0),"00")</f>
        <v>S15</v>
      </c>
      <c r="AM1304" t="str" cm="1">
        <f t="array" ref="AM1304">TEXT(SUMPRODUCT(CODE(MID(Table1[[#This Row],[home_gym_location]],_xlfn.SEQUENCE(LEN(Table1[[#This Row],[home_gym_location]])),1))),"00000")</f>
        <v>00899</v>
      </c>
      <c r="AN130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04" t="str">
        <f>LEFT(_xlfn.TEXTBEFORE(Table1[[#This Row],[Location Identifier]],"-"),3) &amp; "-" &amp; _xlfn.TEXTAFTER(Table1[[#This Row],[Location Identifier]],"-")</f>
        <v>ANA-001</v>
      </c>
      <c r="AP1304" s="9">
        <f t="shared" ca="1" si="200"/>
        <v>45869</v>
      </c>
    </row>
    <row r="1305" spans="1:42" x14ac:dyDescent="0.25">
      <c r="A1305">
        <v>31</v>
      </c>
      <c r="B1305" t="s">
        <v>33</v>
      </c>
      <c r="C1305">
        <v>2</v>
      </c>
      <c r="D1305" t="s">
        <v>84</v>
      </c>
      <c r="E1305" t="b">
        <v>1</v>
      </c>
      <c r="F1305" s="1">
        <v>0.66736111111111107</v>
      </c>
      <c r="G1305" s="1">
        <v>0.75763888888888886</v>
      </c>
      <c r="H1305">
        <v>130</v>
      </c>
      <c r="I1305" t="b">
        <v>1</v>
      </c>
      <c r="J1305" t="b">
        <v>0</v>
      </c>
      <c r="K1305" t="b">
        <v>1</v>
      </c>
      <c r="L1305" t="s">
        <v>28</v>
      </c>
      <c r="M1305">
        <v>30</v>
      </c>
      <c r="N1305" t="s">
        <v>64</v>
      </c>
      <c r="O1305">
        <v>22.5</v>
      </c>
      <c r="P1305" t="s">
        <v>40</v>
      </c>
      <c r="Q1305">
        <v>0.1</v>
      </c>
      <c r="R1305">
        <v>20.25</v>
      </c>
      <c r="S1305" t="s">
        <v>37</v>
      </c>
      <c r="T1305" t="s">
        <v>56</v>
      </c>
      <c r="U1305">
        <v>35.3733</v>
      </c>
      <c r="V1305">
        <v>-119.0187</v>
      </c>
      <c r="W1305" s="2">
        <v>45075</v>
      </c>
      <c r="X1305">
        <v>0</v>
      </c>
      <c r="Y1305" t="b">
        <v>0</v>
      </c>
      <c r="Z1305" s="2">
        <v>45818</v>
      </c>
      <c r="AA1305" t="str">
        <f t="shared" si="201"/>
        <v>30–39</v>
      </c>
      <c r="AB1305" t="str">
        <f t="shared" si="202"/>
        <v>30–39</v>
      </c>
      <c r="AC1305" t="str">
        <f t="shared" si="203"/>
        <v/>
      </c>
      <c r="AD1305" t="str">
        <f t="shared" si="204"/>
        <v>Tuesday</v>
      </c>
      <c r="AE1305" t="str">
        <f t="shared" si="205"/>
        <v/>
      </c>
      <c r="AF1305" t="str">
        <f t="shared" si="206"/>
        <v/>
      </c>
      <c r="AG1305" t="str">
        <f t="shared" si="207"/>
        <v/>
      </c>
      <c r="AH1305" t="str">
        <f t="shared" si="208"/>
        <v/>
      </c>
      <c r="AI1305" t="str">
        <f t="shared" si="209"/>
        <v>Sunday</v>
      </c>
      <c r="AJ1305" t="str">
        <f>LEFT(Table1[[#This Row],[membership_type]],2)&amp;TEXT(Table1[[#This Row],[age]],"00")&amp;"-"&amp;TEXT(ROW(),"000")</f>
        <v>St31-1305</v>
      </c>
      <c r="AK1305" t="str">
        <f>LEFT(Table1[[#This Row],[membership_type]],1)&amp;TEXT(MATCH(Table1[[#This Row],[membership_type]],Table1[membership_type],0),"00")</f>
        <v>S02</v>
      </c>
      <c r="AL1305" t="str">
        <f>LEFT(Table1[[#This Row],[discount_type]],1)&amp;TEXT(ROUND(Table1[[#This Row],[discount_rate]]*100,0),"00")</f>
        <v>L10</v>
      </c>
      <c r="AM1305" t="str" cm="1">
        <f t="array" ref="AM1305">TEXT(SUMPRODUCT(CODE(MID(Table1[[#This Row],[home_gym_location]],_xlfn.SEQUENCE(LEN(Table1[[#This Row],[home_gym_location]])),1))),"00000")</f>
        <v>01324</v>
      </c>
      <c r="AN130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05" t="str">
        <f>LEFT(_xlfn.TEXTBEFORE(Table1[[#This Row],[Location Identifier]],"-"),3) &amp; "-" &amp; _xlfn.TEXTAFTER(Table1[[#This Row],[Location Identifier]],"-")</f>
        <v>BAK-002</v>
      </c>
      <c r="AP1305" s="9">
        <f t="shared" ca="1" si="200"/>
        <v>45869</v>
      </c>
    </row>
    <row r="1306" spans="1:42" x14ac:dyDescent="0.25">
      <c r="A1306">
        <v>20</v>
      </c>
      <c r="B1306" t="s">
        <v>26</v>
      </c>
      <c r="C1306">
        <v>2</v>
      </c>
      <c r="D1306" t="s">
        <v>88</v>
      </c>
      <c r="E1306" t="b">
        <v>1</v>
      </c>
      <c r="F1306" s="1">
        <v>0.73958333333333337</v>
      </c>
      <c r="G1306" s="1">
        <v>0.80555555555555558</v>
      </c>
      <c r="H1306">
        <v>95</v>
      </c>
      <c r="I1306" t="b">
        <v>1</v>
      </c>
      <c r="J1306" t="b">
        <v>0</v>
      </c>
      <c r="K1306" t="b">
        <v>1</v>
      </c>
      <c r="L1306" t="s">
        <v>47</v>
      </c>
      <c r="M1306">
        <v>50</v>
      </c>
      <c r="N1306" t="s">
        <v>64</v>
      </c>
      <c r="O1306">
        <v>37.5</v>
      </c>
      <c r="P1306" t="s">
        <v>36</v>
      </c>
      <c r="Q1306">
        <v>0</v>
      </c>
      <c r="R1306">
        <v>37.5</v>
      </c>
      <c r="S1306" t="s">
        <v>31</v>
      </c>
      <c r="T1306" t="s">
        <v>38</v>
      </c>
      <c r="U1306">
        <v>36.7378</v>
      </c>
      <c r="V1306">
        <v>-119.7871</v>
      </c>
      <c r="W1306" s="2">
        <v>44903</v>
      </c>
      <c r="X1306">
        <v>0</v>
      </c>
      <c r="Y1306" t="b">
        <v>0</v>
      </c>
      <c r="Z1306" s="2">
        <v>45808</v>
      </c>
      <c r="AA1306" t="str">
        <f t="shared" si="201"/>
        <v>20–29</v>
      </c>
      <c r="AB1306" t="str">
        <f t="shared" si="202"/>
        <v>20–29</v>
      </c>
      <c r="AC1306" t="str">
        <f t="shared" si="203"/>
        <v>Monday</v>
      </c>
      <c r="AD1306" t="str">
        <f t="shared" si="204"/>
        <v/>
      </c>
      <c r="AE1306" t="str">
        <f t="shared" si="205"/>
        <v>Wednesday</v>
      </c>
      <c r="AF1306" t="str">
        <f t="shared" si="206"/>
        <v/>
      </c>
      <c r="AG1306" t="str">
        <f t="shared" si="207"/>
        <v/>
      </c>
      <c r="AH1306" t="str">
        <f t="shared" si="208"/>
        <v/>
      </c>
      <c r="AI1306" t="str">
        <f t="shared" si="209"/>
        <v/>
      </c>
      <c r="AJ1306" t="str">
        <f>LEFT(Table1[[#This Row],[membership_type]],2)&amp;TEXT(Table1[[#This Row],[age]],"00")&amp;"-"&amp;TEXT(ROW(),"000")</f>
        <v>Pr20-1306</v>
      </c>
      <c r="AK1306" t="str">
        <f>LEFT(Table1[[#This Row],[membership_type]],1)&amp;TEXT(MATCH(Table1[[#This Row],[membership_type]],Table1[membership_type],0),"00")</f>
        <v>P01</v>
      </c>
      <c r="AL1306" t="str">
        <f>LEFT(Table1[[#This Row],[discount_type]],1)&amp;TEXT(ROUND(Table1[[#This Row],[discount_rate]]*100,0),"00")</f>
        <v>N00</v>
      </c>
      <c r="AM1306" t="str" cm="1">
        <f t="array" ref="AM1306">TEXT(SUMPRODUCT(CODE(MID(Table1[[#This Row],[home_gym_location]],_xlfn.SEQUENCE(LEN(Table1[[#This Row],[home_gym_location]])),1))),"00000")</f>
        <v>00829</v>
      </c>
      <c r="AN1306" t="str">
        <f>UPPER(_xlfn.TEXTBEFORE(Table1[[#This Row],[home_gym_location]],","))&amp;"-"&amp;TEXT(MATCH(Table1[[#This Row],[home_gym_location]],_xlfn._xlws.SORT(_xlfn.UNIQUE(Table1[home_gym_location])),0),"000")</f>
        <v>FRESNO-003</v>
      </c>
      <c r="AO1306" t="str">
        <f>LEFT(_xlfn.TEXTBEFORE(Table1[[#This Row],[Location Identifier]],"-"),3) &amp; "-" &amp; _xlfn.TEXTAFTER(Table1[[#This Row],[Location Identifier]],"-")</f>
        <v>FRE-003</v>
      </c>
      <c r="AP1306" s="9">
        <f t="shared" ca="1" si="200"/>
        <v>45869</v>
      </c>
    </row>
    <row r="1307" spans="1:42" x14ac:dyDescent="0.25">
      <c r="A1307">
        <v>13</v>
      </c>
      <c r="B1307" t="s">
        <v>26</v>
      </c>
      <c r="C1307">
        <v>3</v>
      </c>
      <c r="D1307" t="s">
        <v>134</v>
      </c>
      <c r="E1307" t="b">
        <v>0</v>
      </c>
      <c r="F1307" s="1">
        <v>0.70416666666666672</v>
      </c>
      <c r="G1307" s="1">
        <v>0.78680555555555554</v>
      </c>
      <c r="H1307">
        <v>119</v>
      </c>
      <c r="I1307" t="b">
        <v>0</v>
      </c>
      <c r="J1307" t="b">
        <v>1</v>
      </c>
      <c r="K1307" t="b">
        <v>1</v>
      </c>
      <c r="L1307" t="s">
        <v>62</v>
      </c>
      <c r="M1307">
        <v>50</v>
      </c>
      <c r="N1307" t="s">
        <v>64</v>
      </c>
      <c r="O1307">
        <v>37.5</v>
      </c>
      <c r="P1307" t="s">
        <v>40</v>
      </c>
      <c r="Q1307">
        <v>0.1</v>
      </c>
      <c r="R1307">
        <v>33.75</v>
      </c>
      <c r="S1307" t="s">
        <v>31</v>
      </c>
      <c r="T1307" t="s">
        <v>59</v>
      </c>
      <c r="U1307">
        <v>37.774900000000002</v>
      </c>
      <c r="V1307">
        <v>-122.4194</v>
      </c>
      <c r="W1307" s="2">
        <v>45070</v>
      </c>
      <c r="X1307">
        <v>1</v>
      </c>
      <c r="Y1307" t="b">
        <v>1</v>
      </c>
      <c r="Z1307" s="2">
        <v>45818</v>
      </c>
      <c r="AA1307" t="str">
        <f t="shared" si="201"/>
        <v>10–19</v>
      </c>
      <c r="AB1307" t="str">
        <f t="shared" si="202"/>
        <v>Under 16</v>
      </c>
      <c r="AC1307" t="str">
        <f t="shared" si="203"/>
        <v/>
      </c>
      <c r="AD1307" t="str">
        <f t="shared" si="204"/>
        <v>Tuesday</v>
      </c>
      <c r="AE1307" t="str">
        <f t="shared" si="205"/>
        <v/>
      </c>
      <c r="AF1307" t="str">
        <f t="shared" si="206"/>
        <v>Thursday</v>
      </c>
      <c r="AG1307" t="str">
        <f t="shared" si="207"/>
        <v/>
      </c>
      <c r="AH1307" t="str">
        <f t="shared" si="208"/>
        <v>Saturday</v>
      </c>
      <c r="AI1307" t="str">
        <f t="shared" si="209"/>
        <v/>
      </c>
      <c r="AJ1307" t="str">
        <f>LEFT(Table1[[#This Row],[membership_type]],2)&amp;TEXT(Table1[[#This Row],[age]],"00")&amp;"-"&amp;TEXT(ROW(),"000")</f>
        <v>Pr13-1307</v>
      </c>
      <c r="AK1307" t="str">
        <f>LEFT(Table1[[#This Row],[membership_type]],1)&amp;TEXT(MATCH(Table1[[#This Row],[membership_type]],Table1[membership_type],0),"00")</f>
        <v>P01</v>
      </c>
      <c r="AL1307" t="str">
        <f>LEFT(Table1[[#This Row],[discount_type]],1)&amp;TEXT(ROUND(Table1[[#This Row],[discount_rate]]*100,0),"00")</f>
        <v>L10</v>
      </c>
      <c r="AM1307" t="str" cm="1">
        <f t="array" ref="AM1307">TEXT(SUMPRODUCT(CODE(MID(Table1[[#This Row],[home_gym_location]],_xlfn.SEQUENCE(LEN(Table1[[#This Row],[home_gym_location]])),1))),"00000")</f>
        <v>01450</v>
      </c>
      <c r="AN130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07" t="str">
        <f>LEFT(_xlfn.TEXTBEFORE(Table1[[#This Row],[Location Identifier]],"-"),3) &amp; "-" &amp; _xlfn.TEXTAFTER(Table1[[#This Row],[Location Identifier]],"-")</f>
        <v>SAN-009</v>
      </c>
      <c r="AP1307" s="9">
        <f t="shared" ca="1" si="200"/>
        <v>45869</v>
      </c>
    </row>
    <row r="1308" spans="1:42" x14ac:dyDescent="0.25">
      <c r="A1308">
        <v>16</v>
      </c>
      <c r="B1308" t="s">
        <v>51</v>
      </c>
      <c r="C1308">
        <v>3</v>
      </c>
      <c r="D1308" t="s">
        <v>83</v>
      </c>
      <c r="E1308" t="b">
        <v>0</v>
      </c>
      <c r="F1308" s="1">
        <v>0.77708333333333335</v>
      </c>
      <c r="G1308" s="1">
        <v>0.87083333333333335</v>
      </c>
      <c r="H1308">
        <v>135</v>
      </c>
      <c r="I1308" t="b">
        <v>0</v>
      </c>
      <c r="J1308" t="b">
        <v>0</v>
      </c>
      <c r="K1308" t="b">
        <v>0</v>
      </c>
      <c r="L1308" t="s">
        <v>28</v>
      </c>
      <c r="M1308">
        <v>70</v>
      </c>
      <c r="N1308" t="s">
        <v>78</v>
      </c>
      <c r="O1308">
        <v>63</v>
      </c>
      <c r="P1308" t="s">
        <v>36</v>
      </c>
      <c r="Q1308">
        <v>0</v>
      </c>
      <c r="R1308">
        <v>63</v>
      </c>
      <c r="S1308" t="s">
        <v>53</v>
      </c>
      <c r="T1308" t="s">
        <v>56</v>
      </c>
      <c r="U1308">
        <v>35.3733</v>
      </c>
      <c r="V1308">
        <v>-119.0187</v>
      </c>
      <c r="W1308" s="2">
        <v>44977</v>
      </c>
      <c r="X1308">
        <v>0</v>
      </c>
      <c r="Y1308" t="b">
        <v>1</v>
      </c>
      <c r="Z1308" s="2">
        <v>45812</v>
      </c>
      <c r="AA1308" t="str">
        <f t="shared" si="201"/>
        <v>10–19</v>
      </c>
      <c r="AB1308" t="str">
        <f t="shared" si="202"/>
        <v>16–19</v>
      </c>
      <c r="AC1308" t="str">
        <f t="shared" si="203"/>
        <v/>
      </c>
      <c r="AD1308" t="str">
        <f t="shared" si="204"/>
        <v>Tuesday</v>
      </c>
      <c r="AE1308" t="str">
        <f t="shared" si="205"/>
        <v>Wednesday</v>
      </c>
      <c r="AF1308" t="str">
        <f t="shared" si="206"/>
        <v/>
      </c>
      <c r="AG1308" t="str">
        <f t="shared" si="207"/>
        <v/>
      </c>
      <c r="AH1308" t="str">
        <f t="shared" si="208"/>
        <v>Saturday</v>
      </c>
      <c r="AI1308" t="str">
        <f t="shared" si="209"/>
        <v/>
      </c>
      <c r="AJ1308" t="str">
        <f>LEFT(Table1[[#This Row],[membership_type]],2)&amp;TEXT(Table1[[#This Row],[age]],"00")&amp;"-"&amp;TEXT(ROW(),"000")</f>
        <v>El16-1308</v>
      </c>
      <c r="AK1308" t="str">
        <f>LEFT(Table1[[#This Row],[membership_type]],1)&amp;TEXT(MATCH(Table1[[#This Row],[membership_type]],Table1[membership_type],0),"00")</f>
        <v>E07</v>
      </c>
      <c r="AL1308" t="str">
        <f>LEFT(Table1[[#This Row],[discount_type]],1)&amp;TEXT(ROUND(Table1[[#This Row],[discount_rate]]*100,0),"00")</f>
        <v>N00</v>
      </c>
      <c r="AM1308" t="str" cm="1">
        <f t="array" ref="AM1308">TEXT(SUMPRODUCT(CODE(MID(Table1[[#This Row],[home_gym_location]],_xlfn.SEQUENCE(LEN(Table1[[#This Row],[home_gym_location]])),1))),"00000")</f>
        <v>01324</v>
      </c>
      <c r="AN130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08" t="str">
        <f>LEFT(_xlfn.TEXTBEFORE(Table1[[#This Row],[Location Identifier]],"-"),3) &amp; "-" &amp; _xlfn.TEXTAFTER(Table1[[#This Row],[Location Identifier]],"-")</f>
        <v>BAK-002</v>
      </c>
      <c r="AP1308" s="9">
        <f t="shared" ca="1" si="200"/>
        <v>45869</v>
      </c>
    </row>
    <row r="1309" spans="1:42" x14ac:dyDescent="0.25">
      <c r="A1309">
        <v>47</v>
      </c>
      <c r="B1309" t="s">
        <v>26</v>
      </c>
      <c r="C1309">
        <v>3</v>
      </c>
      <c r="D1309" t="s">
        <v>86</v>
      </c>
      <c r="E1309" t="b">
        <v>1</v>
      </c>
      <c r="F1309" s="1">
        <v>0.53541666666666665</v>
      </c>
      <c r="G1309" s="1">
        <v>0.60902777777777772</v>
      </c>
      <c r="H1309">
        <v>106</v>
      </c>
      <c r="I1309" t="b">
        <v>0</v>
      </c>
      <c r="J1309" t="b">
        <v>1</v>
      </c>
      <c r="K1309" t="b">
        <v>1</v>
      </c>
      <c r="L1309" t="s">
        <v>35</v>
      </c>
      <c r="M1309">
        <v>50</v>
      </c>
      <c r="N1309" t="s">
        <v>29</v>
      </c>
      <c r="O1309">
        <v>50</v>
      </c>
      <c r="P1309" t="s">
        <v>40</v>
      </c>
      <c r="Q1309">
        <v>0.1</v>
      </c>
      <c r="R1309">
        <v>45</v>
      </c>
      <c r="S1309" t="s">
        <v>31</v>
      </c>
      <c r="T1309" t="s">
        <v>41</v>
      </c>
      <c r="U1309">
        <v>37.804400000000001</v>
      </c>
      <c r="V1309">
        <v>-122.27119999999999</v>
      </c>
      <c r="W1309" s="2">
        <v>45469</v>
      </c>
      <c r="X1309">
        <v>7</v>
      </c>
      <c r="Y1309" t="b">
        <v>1</v>
      </c>
      <c r="Z1309" s="2">
        <v>45840</v>
      </c>
      <c r="AA1309" t="str">
        <f t="shared" si="201"/>
        <v>40–49</v>
      </c>
      <c r="AB1309" t="str">
        <f t="shared" si="202"/>
        <v>40–49</v>
      </c>
      <c r="AC1309" t="str">
        <f t="shared" si="203"/>
        <v/>
      </c>
      <c r="AD1309" t="str">
        <f t="shared" si="204"/>
        <v>Tuesday</v>
      </c>
      <c r="AE1309" t="str">
        <f t="shared" si="205"/>
        <v/>
      </c>
      <c r="AF1309" t="str">
        <f t="shared" si="206"/>
        <v/>
      </c>
      <c r="AG1309" t="str">
        <f t="shared" si="207"/>
        <v>Friday</v>
      </c>
      <c r="AH1309" t="str">
        <f t="shared" si="208"/>
        <v>Saturday</v>
      </c>
      <c r="AI1309" t="str">
        <f t="shared" si="209"/>
        <v/>
      </c>
      <c r="AJ1309" t="str">
        <f>LEFT(Table1[[#This Row],[membership_type]],2)&amp;TEXT(Table1[[#This Row],[age]],"00")&amp;"-"&amp;TEXT(ROW(),"000")</f>
        <v>Pr47-1309</v>
      </c>
      <c r="AK1309" t="str">
        <f>LEFT(Table1[[#This Row],[membership_type]],1)&amp;TEXT(MATCH(Table1[[#This Row],[membership_type]],Table1[membership_type],0),"00")</f>
        <v>P01</v>
      </c>
      <c r="AL1309" t="str">
        <f>LEFT(Table1[[#This Row],[discount_type]],1)&amp;TEXT(ROUND(Table1[[#This Row],[discount_rate]]*100,0),"00")</f>
        <v>L10</v>
      </c>
      <c r="AM1309" t="str" cm="1">
        <f t="array" ref="AM1309">TEXT(SUMPRODUCT(CODE(MID(Table1[[#This Row],[home_gym_location]],_xlfn.SEQUENCE(LEN(Table1[[#This Row],[home_gym_location]])),1))),"00000")</f>
        <v>00906</v>
      </c>
      <c r="AN130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09" t="str">
        <f>LEFT(_xlfn.TEXTBEFORE(Table1[[#This Row],[Location Identifier]],"-"),3) &amp; "-" &amp; _xlfn.TEXTAFTER(Table1[[#This Row],[Location Identifier]],"-")</f>
        <v>OAK-006</v>
      </c>
      <c r="AP1309" s="9">
        <f t="shared" ca="1" si="200"/>
        <v>45869</v>
      </c>
    </row>
    <row r="1310" spans="1:42" x14ac:dyDescent="0.25">
      <c r="A1310">
        <v>40</v>
      </c>
      <c r="B1310" t="s">
        <v>26</v>
      </c>
      <c r="C1310">
        <v>2</v>
      </c>
      <c r="D1310" t="s">
        <v>116</v>
      </c>
      <c r="E1310" t="b">
        <v>0</v>
      </c>
      <c r="F1310" s="1">
        <v>0.48402777777777778</v>
      </c>
      <c r="G1310" s="1">
        <v>0.59930555555555554</v>
      </c>
      <c r="H1310">
        <v>166</v>
      </c>
      <c r="I1310" t="b">
        <v>0</v>
      </c>
      <c r="J1310" t="b">
        <v>1</v>
      </c>
      <c r="K1310" t="b">
        <v>1</v>
      </c>
      <c r="L1310" t="s">
        <v>28</v>
      </c>
      <c r="M1310">
        <v>50</v>
      </c>
      <c r="N1310" t="s">
        <v>29</v>
      </c>
      <c r="O1310">
        <v>50</v>
      </c>
      <c r="P1310" t="s">
        <v>36</v>
      </c>
      <c r="Q1310">
        <v>0</v>
      </c>
      <c r="R1310">
        <v>50</v>
      </c>
      <c r="S1310" t="s">
        <v>31</v>
      </c>
      <c r="T1310" t="s">
        <v>32</v>
      </c>
      <c r="U1310">
        <v>37.338200000000001</v>
      </c>
      <c r="V1310">
        <v>-121.88630000000001</v>
      </c>
      <c r="W1310" s="2">
        <v>44963</v>
      </c>
      <c r="X1310">
        <v>2</v>
      </c>
      <c r="Y1310" t="b">
        <v>1</v>
      </c>
      <c r="Z1310" s="2">
        <v>45812</v>
      </c>
      <c r="AA1310" t="str">
        <f t="shared" si="201"/>
        <v>40–49</v>
      </c>
      <c r="AB1310" t="str">
        <f t="shared" si="202"/>
        <v>40–49</v>
      </c>
      <c r="AC1310" t="str">
        <f t="shared" si="203"/>
        <v/>
      </c>
      <c r="AD1310" t="str">
        <f t="shared" si="204"/>
        <v/>
      </c>
      <c r="AE1310" t="str">
        <f t="shared" si="205"/>
        <v/>
      </c>
      <c r="AF1310" t="str">
        <f t="shared" si="206"/>
        <v>Thursday</v>
      </c>
      <c r="AG1310" t="str">
        <f t="shared" si="207"/>
        <v/>
      </c>
      <c r="AH1310" t="str">
        <f t="shared" si="208"/>
        <v/>
      </c>
      <c r="AI1310" t="str">
        <f t="shared" si="209"/>
        <v>Sunday</v>
      </c>
      <c r="AJ1310" t="str">
        <f>LEFT(Table1[[#This Row],[membership_type]],2)&amp;TEXT(Table1[[#This Row],[age]],"00")&amp;"-"&amp;TEXT(ROW(),"000")</f>
        <v>Pr40-1310</v>
      </c>
      <c r="AK1310" t="str">
        <f>LEFT(Table1[[#This Row],[membership_type]],1)&amp;TEXT(MATCH(Table1[[#This Row],[membership_type]],Table1[membership_type],0),"00")</f>
        <v>P01</v>
      </c>
      <c r="AL1310" t="str">
        <f>LEFT(Table1[[#This Row],[discount_type]],1)&amp;TEXT(ROUND(Table1[[#This Row],[discount_rate]]*100,0),"00")</f>
        <v>N00</v>
      </c>
      <c r="AM1310" t="str" cm="1">
        <f t="array" ref="AM1310">TEXT(SUMPRODUCT(CODE(MID(Table1[[#This Row],[home_gym_location]],_xlfn.SEQUENCE(LEN(Table1[[#This Row],[home_gym_location]])),1))),"00000")</f>
        <v>00931</v>
      </c>
      <c r="AN131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10" t="str">
        <f>LEFT(_xlfn.TEXTBEFORE(Table1[[#This Row],[Location Identifier]],"-"),3) &amp; "-" &amp; _xlfn.TEXTAFTER(Table1[[#This Row],[Location Identifier]],"-")</f>
        <v>SAN-010</v>
      </c>
      <c r="AP1310" s="9">
        <f t="shared" ca="1" si="200"/>
        <v>45869</v>
      </c>
    </row>
    <row r="1311" spans="1:42" x14ac:dyDescent="0.25">
      <c r="A1311">
        <v>26</v>
      </c>
      <c r="B1311" t="s">
        <v>33</v>
      </c>
      <c r="C1311">
        <v>3</v>
      </c>
      <c r="D1311" t="s">
        <v>134</v>
      </c>
      <c r="E1311" t="b">
        <v>0</v>
      </c>
      <c r="F1311" s="1">
        <v>0.59097222222222223</v>
      </c>
      <c r="G1311" s="1">
        <v>0.63263888888888886</v>
      </c>
      <c r="H1311">
        <v>60</v>
      </c>
      <c r="I1311" t="b">
        <v>1</v>
      </c>
      <c r="J1311" t="b">
        <v>0</v>
      </c>
      <c r="K1311" t="b">
        <v>0</v>
      </c>
      <c r="L1311" t="s">
        <v>62</v>
      </c>
      <c r="M1311">
        <v>30</v>
      </c>
      <c r="N1311" t="s">
        <v>78</v>
      </c>
      <c r="O1311">
        <v>27</v>
      </c>
      <c r="P1311" t="s">
        <v>40</v>
      </c>
      <c r="Q1311">
        <v>0.1</v>
      </c>
      <c r="R1311">
        <v>24.3</v>
      </c>
      <c r="S1311" t="s">
        <v>37</v>
      </c>
      <c r="T1311" t="s">
        <v>45</v>
      </c>
      <c r="U1311">
        <v>33.836599999999997</v>
      </c>
      <c r="V1311">
        <v>-117.9143</v>
      </c>
      <c r="W1311" s="2">
        <v>45745</v>
      </c>
      <c r="X1311">
        <v>0</v>
      </c>
      <c r="Y1311" t="b">
        <v>0</v>
      </c>
      <c r="Z1311" s="2">
        <v>45856</v>
      </c>
      <c r="AA1311" t="str">
        <f t="shared" si="201"/>
        <v>20–29</v>
      </c>
      <c r="AB1311" t="str">
        <f t="shared" si="202"/>
        <v>20–29</v>
      </c>
      <c r="AC1311" t="str">
        <f t="shared" si="203"/>
        <v/>
      </c>
      <c r="AD1311" t="str">
        <f t="shared" si="204"/>
        <v>Tuesday</v>
      </c>
      <c r="AE1311" t="str">
        <f t="shared" si="205"/>
        <v/>
      </c>
      <c r="AF1311" t="str">
        <f t="shared" si="206"/>
        <v>Thursday</v>
      </c>
      <c r="AG1311" t="str">
        <f t="shared" si="207"/>
        <v/>
      </c>
      <c r="AH1311" t="str">
        <f t="shared" si="208"/>
        <v>Saturday</v>
      </c>
      <c r="AI1311" t="str">
        <f t="shared" si="209"/>
        <v/>
      </c>
      <c r="AJ1311" t="str">
        <f>LEFT(Table1[[#This Row],[membership_type]],2)&amp;TEXT(Table1[[#This Row],[age]],"00")&amp;"-"&amp;TEXT(ROW(),"000")</f>
        <v>St26-1311</v>
      </c>
      <c r="AK1311" t="str">
        <f>LEFT(Table1[[#This Row],[membership_type]],1)&amp;TEXT(MATCH(Table1[[#This Row],[membership_type]],Table1[membership_type],0),"00")</f>
        <v>S02</v>
      </c>
      <c r="AL1311" t="str">
        <f>LEFT(Table1[[#This Row],[discount_type]],1)&amp;TEXT(ROUND(Table1[[#This Row],[discount_rate]]*100,0),"00")</f>
        <v>L10</v>
      </c>
      <c r="AM1311" t="str" cm="1">
        <f t="array" ref="AM1311">TEXT(SUMPRODUCT(CODE(MID(Table1[[#This Row],[home_gym_location]],_xlfn.SEQUENCE(LEN(Table1[[#This Row],[home_gym_location]])),1))),"00000")</f>
        <v>00899</v>
      </c>
      <c r="AN131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11" t="str">
        <f>LEFT(_xlfn.TEXTBEFORE(Table1[[#This Row],[Location Identifier]],"-"),3) &amp; "-" &amp; _xlfn.TEXTAFTER(Table1[[#This Row],[Location Identifier]],"-")</f>
        <v>ANA-001</v>
      </c>
      <c r="AP1311" s="9">
        <f t="shared" ca="1" si="200"/>
        <v>45869</v>
      </c>
    </row>
    <row r="1312" spans="1:42" x14ac:dyDescent="0.25">
      <c r="A1312">
        <v>33</v>
      </c>
      <c r="B1312" t="s">
        <v>51</v>
      </c>
      <c r="C1312">
        <v>3</v>
      </c>
      <c r="D1312" t="s">
        <v>91</v>
      </c>
      <c r="E1312" t="b">
        <v>0</v>
      </c>
      <c r="F1312" s="1">
        <v>0.8125</v>
      </c>
      <c r="G1312" s="1">
        <v>0.91597222222222219</v>
      </c>
      <c r="H1312">
        <v>149</v>
      </c>
      <c r="I1312" t="b">
        <v>1</v>
      </c>
      <c r="J1312" t="b">
        <v>0</v>
      </c>
      <c r="K1312" t="b">
        <v>1</v>
      </c>
      <c r="L1312" t="s">
        <v>28</v>
      </c>
      <c r="M1312">
        <v>70</v>
      </c>
      <c r="N1312" t="s">
        <v>64</v>
      </c>
      <c r="O1312">
        <v>52.5</v>
      </c>
      <c r="P1312" t="s">
        <v>36</v>
      </c>
      <c r="Q1312">
        <v>0</v>
      </c>
      <c r="R1312">
        <v>52.5</v>
      </c>
      <c r="S1312" t="s">
        <v>53</v>
      </c>
      <c r="T1312" t="s">
        <v>38</v>
      </c>
      <c r="U1312">
        <v>36.7378</v>
      </c>
      <c r="V1312">
        <v>-119.7871</v>
      </c>
      <c r="W1312" s="2">
        <v>44878</v>
      </c>
      <c r="X1312">
        <v>0</v>
      </c>
      <c r="Y1312" t="b">
        <v>0</v>
      </c>
      <c r="Z1312" s="2">
        <v>45807</v>
      </c>
      <c r="AA1312" t="str">
        <f t="shared" si="201"/>
        <v>30–39</v>
      </c>
      <c r="AB1312" t="str">
        <f t="shared" si="202"/>
        <v>30–39</v>
      </c>
      <c r="AC1312" t="str">
        <f t="shared" si="203"/>
        <v>Monday</v>
      </c>
      <c r="AD1312" t="str">
        <f t="shared" si="204"/>
        <v/>
      </c>
      <c r="AE1312" t="str">
        <f t="shared" si="205"/>
        <v/>
      </c>
      <c r="AF1312" t="str">
        <f t="shared" si="206"/>
        <v>Thursday</v>
      </c>
      <c r="AG1312" t="str">
        <f t="shared" si="207"/>
        <v/>
      </c>
      <c r="AH1312" t="str">
        <f t="shared" si="208"/>
        <v>Saturday</v>
      </c>
      <c r="AI1312" t="str">
        <f t="shared" si="209"/>
        <v/>
      </c>
      <c r="AJ1312" t="str">
        <f>LEFT(Table1[[#This Row],[membership_type]],2)&amp;TEXT(Table1[[#This Row],[age]],"00")&amp;"-"&amp;TEXT(ROW(),"000")</f>
        <v>El33-1312</v>
      </c>
      <c r="AK1312" t="str">
        <f>LEFT(Table1[[#This Row],[membership_type]],1)&amp;TEXT(MATCH(Table1[[#This Row],[membership_type]],Table1[membership_type],0),"00")</f>
        <v>E07</v>
      </c>
      <c r="AL1312" t="str">
        <f>LEFT(Table1[[#This Row],[discount_type]],1)&amp;TEXT(ROUND(Table1[[#This Row],[discount_rate]]*100,0),"00")</f>
        <v>N00</v>
      </c>
      <c r="AM1312" t="str" cm="1">
        <f t="array" ref="AM1312">TEXT(SUMPRODUCT(CODE(MID(Table1[[#This Row],[home_gym_location]],_xlfn.SEQUENCE(LEN(Table1[[#This Row],[home_gym_location]])),1))),"00000")</f>
        <v>00829</v>
      </c>
      <c r="AN1312" t="str">
        <f>UPPER(_xlfn.TEXTBEFORE(Table1[[#This Row],[home_gym_location]],","))&amp;"-"&amp;TEXT(MATCH(Table1[[#This Row],[home_gym_location]],_xlfn._xlws.SORT(_xlfn.UNIQUE(Table1[home_gym_location])),0),"000")</f>
        <v>FRESNO-003</v>
      </c>
      <c r="AO1312" t="str">
        <f>LEFT(_xlfn.TEXTBEFORE(Table1[[#This Row],[Location Identifier]],"-"),3) &amp; "-" &amp; _xlfn.TEXTAFTER(Table1[[#This Row],[Location Identifier]],"-")</f>
        <v>FRE-003</v>
      </c>
      <c r="AP1312" s="9">
        <f t="shared" ca="1" si="200"/>
        <v>45869</v>
      </c>
    </row>
    <row r="1313" spans="1:42" x14ac:dyDescent="0.25">
      <c r="A1313">
        <v>36</v>
      </c>
      <c r="B1313" t="s">
        <v>42</v>
      </c>
      <c r="C1313">
        <v>1</v>
      </c>
      <c r="D1313" t="s">
        <v>71</v>
      </c>
      <c r="E1313" t="b">
        <v>1</v>
      </c>
      <c r="F1313" s="1">
        <v>0.86388888888888893</v>
      </c>
      <c r="G1313" s="1">
        <v>0.93194444444444446</v>
      </c>
      <c r="H1313">
        <v>98</v>
      </c>
      <c r="I1313" t="b">
        <v>1</v>
      </c>
      <c r="J1313" t="b">
        <v>1</v>
      </c>
      <c r="K1313" t="b">
        <v>1</v>
      </c>
      <c r="L1313" t="s">
        <v>62</v>
      </c>
      <c r="M1313">
        <v>20</v>
      </c>
      <c r="N1313" t="s">
        <v>64</v>
      </c>
      <c r="O1313">
        <v>15</v>
      </c>
      <c r="P1313" t="s">
        <v>36</v>
      </c>
      <c r="Q1313">
        <v>0</v>
      </c>
      <c r="R1313">
        <v>15</v>
      </c>
      <c r="S1313" t="s">
        <v>44</v>
      </c>
      <c r="T1313" t="s">
        <v>41</v>
      </c>
      <c r="U1313">
        <v>37.804400000000001</v>
      </c>
      <c r="V1313">
        <v>-122.27119999999999</v>
      </c>
      <c r="W1313" s="2">
        <v>45247</v>
      </c>
      <c r="X1313">
        <v>7</v>
      </c>
      <c r="Y1313" t="b">
        <v>1</v>
      </c>
      <c r="Z1313" s="2">
        <v>45828</v>
      </c>
      <c r="AA1313" t="str">
        <f t="shared" si="201"/>
        <v>30–39</v>
      </c>
      <c r="AB1313" t="str">
        <f t="shared" si="202"/>
        <v>30–39</v>
      </c>
      <c r="AC1313" t="str">
        <f t="shared" si="203"/>
        <v/>
      </c>
      <c r="AD1313" t="str">
        <f t="shared" si="204"/>
        <v>Tuesday</v>
      </c>
      <c r="AE1313" t="str">
        <f t="shared" si="205"/>
        <v/>
      </c>
      <c r="AF1313" t="str">
        <f t="shared" si="206"/>
        <v/>
      </c>
      <c r="AG1313" t="str">
        <f t="shared" si="207"/>
        <v/>
      </c>
      <c r="AH1313" t="str">
        <f t="shared" si="208"/>
        <v/>
      </c>
      <c r="AI1313" t="str">
        <f t="shared" si="209"/>
        <v/>
      </c>
      <c r="AJ1313" t="str">
        <f>LEFT(Table1[[#This Row],[membership_type]],2)&amp;TEXT(Table1[[#This Row],[age]],"00")&amp;"-"&amp;TEXT(ROW(),"000")</f>
        <v>Ba36-1313</v>
      </c>
      <c r="AK1313" t="str">
        <f>LEFT(Table1[[#This Row],[membership_type]],1)&amp;TEXT(MATCH(Table1[[#This Row],[membership_type]],Table1[membership_type],0),"00")</f>
        <v>B04</v>
      </c>
      <c r="AL1313" t="str">
        <f>LEFT(Table1[[#This Row],[discount_type]],1)&amp;TEXT(ROUND(Table1[[#This Row],[discount_rate]]*100,0),"00")</f>
        <v>N00</v>
      </c>
      <c r="AM1313" t="str" cm="1">
        <f t="array" ref="AM1313">TEXT(SUMPRODUCT(CODE(MID(Table1[[#This Row],[home_gym_location]],_xlfn.SEQUENCE(LEN(Table1[[#This Row],[home_gym_location]])),1))),"00000")</f>
        <v>00906</v>
      </c>
      <c r="AN131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13" t="str">
        <f>LEFT(_xlfn.TEXTBEFORE(Table1[[#This Row],[Location Identifier]],"-"),3) &amp; "-" &amp; _xlfn.TEXTAFTER(Table1[[#This Row],[Location Identifier]],"-")</f>
        <v>OAK-006</v>
      </c>
      <c r="AP1313" s="9">
        <f t="shared" ca="1" si="200"/>
        <v>45869</v>
      </c>
    </row>
    <row r="1314" spans="1:42" x14ac:dyDescent="0.25">
      <c r="A1314">
        <v>24</v>
      </c>
      <c r="B1314" t="s">
        <v>42</v>
      </c>
      <c r="C1314">
        <v>4</v>
      </c>
      <c r="D1314" t="s">
        <v>113</v>
      </c>
      <c r="E1314" t="b">
        <v>1</v>
      </c>
      <c r="F1314" s="1">
        <v>0.48819444444444443</v>
      </c>
      <c r="G1314" s="1">
        <v>0.51875000000000004</v>
      </c>
      <c r="H1314">
        <v>44</v>
      </c>
      <c r="I1314" t="b">
        <v>1</v>
      </c>
      <c r="J1314" t="b">
        <v>0</v>
      </c>
      <c r="K1314" t="b">
        <v>0</v>
      </c>
      <c r="L1314" t="s">
        <v>62</v>
      </c>
      <c r="M1314">
        <v>20</v>
      </c>
      <c r="N1314" t="s">
        <v>29</v>
      </c>
      <c r="O1314">
        <v>20</v>
      </c>
      <c r="P1314" t="s">
        <v>36</v>
      </c>
      <c r="Q1314">
        <v>0</v>
      </c>
      <c r="R1314">
        <v>20</v>
      </c>
      <c r="S1314" t="s">
        <v>44</v>
      </c>
      <c r="T1314" t="s">
        <v>32</v>
      </c>
      <c r="U1314">
        <v>37.338200000000001</v>
      </c>
      <c r="V1314">
        <v>-121.88630000000001</v>
      </c>
      <c r="W1314" s="2">
        <v>44960</v>
      </c>
      <c r="X1314">
        <v>0</v>
      </c>
      <c r="Y1314" t="b">
        <v>0</v>
      </c>
      <c r="Z1314" s="2">
        <v>45811</v>
      </c>
      <c r="AA1314" t="str">
        <f t="shared" si="201"/>
        <v>20–29</v>
      </c>
      <c r="AB1314" t="str">
        <f t="shared" si="202"/>
        <v>20–29</v>
      </c>
      <c r="AC1314" t="str">
        <f t="shared" si="203"/>
        <v>Monday</v>
      </c>
      <c r="AD1314" t="str">
        <f t="shared" si="204"/>
        <v/>
      </c>
      <c r="AE1314" t="str">
        <f t="shared" si="205"/>
        <v/>
      </c>
      <c r="AF1314" t="str">
        <f t="shared" si="206"/>
        <v>Thursday</v>
      </c>
      <c r="AG1314" t="str">
        <f t="shared" si="207"/>
        <v/>
      </c>
      <c r="AH1314" t="str">
        <f t="shared" si="208"/>
        <v>Saturday</v>
      </c>
      <c r="AI1314" t="str">
        <f t="shared" si="209"/>
        <v>Sunday</v>
      </c>
      <c r="AJ1314" t="str">
        <f>LEFT(Table1[[#This Row],[membership_type]],2)&amp;TEXT(Table1[[#This Row],[age]],"00")&amp;"-"&amp;TEXT(ROW(),"000")</f>
        <v>Ba24-1314</v>
      </c>
      <c r="AK1314" t="str">
        <f>LEFT(Table1[[#This Row],[membership_type]],1)&amp;TEXT(MATCH(Table1[[#This Row],[membership_type]],Table1[membership_type],0),"00")</f>
        <v>B04</v>
      </c>
      <c r="AL1314" t="str">
        <f>LEFT(Table1[[#This Row],[discount_type]],1)&amp;TEXT(ROUND(Table1[[#This Row],[discount_rate]]*100,0),"00")</f>
        <v>N00</v>
      </c>
      <c r="AM1314" t="str" cm="1">
        <f t="array" ref="AM1314">TEXT(SUMPRODUCT(CODE(MID(Table1[[#This Row],[home_gym_location]],_xlfn.SEQUENCE(LEN(Table1[[#This Row],[home_gym_location]])),1))),"00000")</f>
        <v>00931</v>
      </c>
      <c r="AN131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14" t="str">
        <f>LEFT(_xlfn.TEXTBEFORE(Table1[[#This Row],[Location Identifier]],"-"),3) &amp; "-" &amp; _xlfn.TEXTAFTER(Table1[[#This Row],[Location Identifier]],"-")</f>
        <v>SAN-010</v>
      </c>
      <c r="AP1314" s="9">
        <f t="shared" ca="1" si="200"/>
        <v>45869</v>
      </c>
    </row>
    <row r="1315" spans="1:42" x14ac:dyDescent="0.25">
      <c r="A1315">
        <v>46</v>
      </c>
      <c r="B1315" t="s">
        <v>26</v>
      </c>
      <c r="C1315">
        <v>5</v>
      </c>
      <c r="D1315" t="s">
        <v>152</v>
      </c>
      <c r="E1315" t="b">
        <v>1</v>
      </c>
      <c r="F1315" s="1">
        <v>0.40347222222222223</v>
      </c>
      <c r="G1315" s="1">
        <v>0.52638888888888891</v>
      </c>
      <c r="H1315">
        <v>177</v>
      </c>
      <c r="I1315" t="b">
        <v>1</v>
      </c>
      <c r="J1315" t="b">
        <v>1</v>
      </c>
      <c r="K1315" t="b">
        <v>1</v>
      </c>
      <c r="L1315" t="s">
        <v>47</v>
      </c>
      <c r="M1315">
        <v>50</v>
      </c>
      <c r="N1315" t="s">
        <v>29</v>
      </c>
      <c r="O1315">
        <v>50</v>
      </c>
      <c r="P1315" t="s">
        <v>40</v>
      </c>
      <c r="Q1315">
        <v>0.1</v>
      </c>
      <c r="R1315">
        <v>45</v>
      </c>
      <c r="S1315" t="s">
        <v>31</v>
      </c>
      <c r="T1315" t="s">
        <v>41</v>
      </c>
      <c r="U1315">
        <v>37.804400000000001</v>
      </c>
      <c r="V1315">
        <v>-122.27119999999999</v>
      </c>
      <c r="W1315" s="2">
        <v>45349</v>
      </c>
      <c r="X1315">
        <v>5</v>
      </c>
      <c r="Y1315" t="b">
        <v>0</v>
      </c>
      <c r="Z1315" s="2">
        <v>45833</v>
      </c>
      <c r="AA1315" t="str">
        <f t="shared" si="201"/>
        <v>40–49</v>
      </c>
      <c r="AB1315" t="str">
        <f t="shared" si="202"/>
        <v>40–49</v>
      </c>
      <c r="AC1315" t="str">
        <f t="shared" si="203"/>
        <v>Monday</v>
      </c>
      <c r="AD1315" t="str">
        <f t="shared" si="204"/>
        <v>Tuesday</v>
      </c>
      <c r="AE1315" t="str">
        <f t="shared" si="205"/>
        <v>Wednesday</v>
      </c>
      <c r="AF1315" t="str">
        <f t="shared" si="206"/>
        <v/>
      </c>
      <c r="AG1315" t="str">
        <f t="shared" si="207"/>
        <v>Friday</v>
      </c>
      <c r="AH1315" t="str">
        <f t="shared" si="208"/>
        <v>Saturday</v>
      </c>
      <c r="AI1315" t="str">
        <f t="shared" si="209"/>
        <v/>
      </c>
      <c r="AJ1315" t="str">
        <f>LEFT(Table1[[#This Row],[membership_type]],2)&amp;TEXT(Table1[[#This Row],[age]],"00")&amp;"-"&amp;TEXT(ROW(),"000")</f>
        <v>Pr46-1315</v>
      </c>
      <c r="AK1315" t="str">
        <f>LEFT(Table1[[#This Row],[membership_type]],1)&amp;TEXT(MATCH(Table1[[#This Row],[membership_type]],Table1[membership_type],0),"00")</f>
        <v>P01</v>
      </c>
      <c r="AL1315" t="str">
        <f>LEFT(Table1[[#This Row],[discount_type]],1)&amp;TEXT(ROUND(Table1[[#This Row],[discount_rate]]*100,0),"00")</f>
        <v>L10</v>
      </c>
      <c r="AM1315" t="str" cm="1">
        <f t="array" ref="AM1315">TEXT(SUMPRODUCT(CODE(MID(Table1[[#This Row],[home_gym_location]],_xlfn.SEQUENCE(LEN(Table1[[#This Row],[home_gym_location]])),1))),"00000")</f>
        <v>00906</v>
      </c>
      <c r="AN131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15" t="str">
        <f>LEFT(_xlfn.TEXTBEFORE(Table1[[#This Row],[Location Identifier]],"-"),3) &amp; "-" &amp; _xlfn.TEXTAFTER(Table1[[#This Row],[Location Identifier]],"-")</f>
        <v>OAK-006</v>
      </c>
      <c r="AP1315" s="9">
        <f t="shared" ca="1" si="200"/>
        <v>45869</v>
      </c>
    </row>
    <row r="1316" spans="1:42" x14ac:dyDescent="0.25">
      <c r="A1316">
        <v>37</v>
      </c>
      <c r="B1316" t="s">
        <v>42</v>
      </c>
      <c r="C1316">
        <v>3</v>
      </c>
      <c r="D1316" t="s">
        <v>138</v>
      </c>
      <c r="E1316" t="b">
        <v>0</v>
      </c>
      <c r="F1316" s="1">
        <v>0.60624999999999996</v>
      </c>
      <c r="G1316" s="1">
        <v>0.63194444444444442</v>
      </c>
      <c r="H1316">
        <v>37</v>
      </c>
      <c r="I1316" t="b">
        <v>0</v>
      </c>
      <c r="J1316" t="b">
        <v>0</v>
      </c>
      <c r="K1316" t="b">
        <v>0</v>
      </c>
      <c r="L1316" t="s">
        <v>35</v>
      </c>
      <c r="M1316">
        <v>20</v>
      </c>
      <c r="N1316" t="s">
        <v>29</v>
      </c>
      <c r="O1316">
        <v>20</v>
      </c>
      <c r="P1316" t="s">
        <v>30</v>
      </c>
      <c r="Q1316">
        <v>0.05</v>
      </c>
      <c r="R1316">
        <v>19</v>
      </c>
      <c r="S1316" t="s">
        <v>44</v>
      </c>
      <c r="T1316" t="s">
        <v>48</v>
      </c>
      <c r="U1316">
        <v>38.581600000000002</v>
      </c>
      <c r="V1316">
        <v>-121.4944</v>
      </c>
      <c r="W1316" s="2">
        <v>45145</v>
      </c>
      <c r="X1316">
        <v>0</v>
      </c>
      <c r="Y1316" t="b">
        <v>0</v>
      </c>
      <c r="Z1316" s="2">
        <v>45822</v>
      </c>
      <c r="AA1316" t="str">
        <f t="shared" si="201"/>
        <v>30–39</v>
      </c>
      <c r="AB1316" t="str">
        <f t="shared" si="202"/>
        <v>30–39</v>
      </c>
      <c r="AC1316" t="str">
        <f t="shared" si="203"/>
        <v/>
      </c>
      <c r="AD1316" t="str">
        <f t="shared" si="204"/>
        <v>Tuesday</v>
      </c>
      <c r="AE1316" t="str">
        <f t="shared" si="205"/>
        <v/>
      </c>
      <c r="AF1316" t="str">
        <f t="shared" si="206"/>
        <v>Thursday</v>
      </c>
      <c r="AG1316" t="str">
        <f t="shared" si="207"/>
        <v/>
      </c>
      <c r="AH1316" t="str">
        <f t="shared" si="208"/>
        <v/>
      </c>
      <c r="AI1316" t="str">
        <f t="shared" si="209"/>
        <v>Sunday</v>
      </c>
      <c r="AJ1316" t="str">
        <f>LEFT(Table1[[#This Row],[membership_type]],2)&amp;TEXT(Table1[[#This Row],[age]],"00")&amp;"-"&amp;TEXT(ROW(),"000")</f>
        <v>Ba37-1316</v>
      </c>
      <c r="AK1316" t="str">
        <f>LEFT(Table1[[#This Row],[membership_type]],1)&amp;TEXT(MATCH(Table1[[#This Row],[membership_type]],Table1[membership_type],0),"00")</f>
        <v>B04</v>
      </c>
      <c r="AL1316" t="str">
        <f>LEFT(Table1[[#This Row],[discount_type]],1)&amp;TEXT(ROUND(Table1[[#This Row],[discount_rate]]*100,0),"00")</f>
        <v>P05</v>
      </c>
      <c r="AM1316" t="str" cm="1">
        <f t="array" ref="AM1316">TEXT(SUMPRODUCT(CODE(MID(Table1[[#This Row],[home_gym_location]],_xlfn.SEQUENCE(LEN(Table1[[#This Row],[home_gym_location]])),1))),"00000")</f>
        <v>01245</v>
      </c>
      <c r="AN131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16" t="str">
        <f>LEFT(_xlfn.TEXTBEFORE(Table1[[#This Row],[Location Identifier]],"-"),3) &amp; "-" &amp; _xlfn.TEXTAFTER(Table1[[#This Row],[Location Identifier]],"-")</f>
        <v>SAC-007</v>
      </c>
      <c r="AP1316" s="9">
        <f t="shared" ca="1" si="200"/>
        <v>45869</v>
      </c>
    </row>
    <row r="1317" spans="1:42" x14ac:dyDescent="0.25">
      <c r="A1317">
        <v>28</v>
      </c>
      <c r="B1317" t="s">
        <v>42</v>
      </c>
      <c r="C1317">
        <v>2</v>
      </c>
      <c r="D1317" t="s">
        <v>73</v>
      </c>
      <c r="E1317" t="b">
        <v>0</v>
      </c>
      <c r="F1317" s="1">
        <v>0.59166666666666667</v>
      </c>
      <c r="G1317" s="1">
        <v>0.6430555555555556</v>
      </c>
      <c r="H1317">
        <v>74</v>
      </c>
      <c r="I1317" t="b">
        <v>1</v>
      </c>
      <c r="J1317" t="b">
        <v>0</v>
      </c>
      <c r="K1317" t="b">
        <v>0</v>
      </c>
      <c r="L1317" t="s">
        <v>62</v>
      </c>
      <c r="M1317">
        <v>20</v>
      </c>
      <c r="N1317" t="s">
        <v>29</v>
      </c>
      <c r="O1317">
        <v>20</v>
      </c>
      <c r="P1317" t="s">
        <v>30</v>
      </c>
      <c r="Q1317">
        <v>0.05</v>
      </c>
      <c r="R1317">
        <v>19</v>
      </c>
      <c r="S1317" t="s">
        <v>44</v>
      </c>
      <c r="T1317" t="s">
        <v>41</v>
      </c>
      <c r="U1317">
        <v>37.804400000000001</v>
      </c>
      <c r="V1317">
        <v>-122.27119999999999</v>
      </c>
      <c r="W1317" s="2">
        <v>45270</v>
      </c>
      <c r="X1317">
        <v>0</v>
      </c>
      <c r="Y1317" t="b">
        <v>0</v>
      </c>
      <c r="Z1317" s="2">
        <v>45829</v>
      </c>
      <c r="AA1317" t="str">
        <f t="shared" si="201"/>
        <v>20–29</v>
      </c>
      <c r="AB1317" t="str">
        <f t="shared" si="202"/>
        <v>20–29</v>
      </c>
      <c r="AC1317" t="str">
        <f t="shared" si="203"/>
        <v/>
      </c>
      <c r="AD1317" t="str">
        <f t="shared" si="204"/>
        <v>Tuesday</v>
      </c>
      <c r="AE1317" t="str">
        <f t="shared" si="205"/>
        <v/>
      </c>
      <c r="AF1317" t="str">
        <f t="shared" si="206"/>
        <v/>
      </c>
      <c r="AG1317" t="str">
        <f t="shared" si="207"/>
        <v>Friday</v>
      </c>
      <c r="AH1317" t="str">
        <f t="shared" si="208"/>
        <v/>
      </c>
      <c r="AI1317" t="str">
        <f t="shared" si="209"/>
        <v/>
      </c>
      <c r="AJ1317" t="str">
        <f>LEFT(Table1[[#This Row],[membership_type]],2)&amp;TEXT(Table1[[#This Row],[age]],"00")&amp;"-"&amp;TEXT(ROW(),"000")</f>
        <v>Ba28-1317</v>
      </c>
      <c r="AK1317" t="str">
        <f>LEFT(Table1[[#This Row],[membership_type]],1)&amp;TEXT(MATCH(Table1[[#This Row],[membership_type]],Table1[membership_type],0),"00")</f>
        <v>B04</v>
      </c>
      <c r="AL1317" t="str">
        <f>LEFT(Table1[[#This Row],[discount_type]],1)&amp;TEXT(ROUND(Table1[[#This Row],[discount_rate]]*100,0),"00")</f>
        <v>P05</v>
      </c>
      <c r="AM1317" t="str" cm="1">
        <f t="array" ref="AM1317">TEXT(SUMPRODUCT(CODE(MID(Table1[[#This Row],[home_gym_location]],_xlfn.SEQUENCE(LEN(Table1[[#This Row],[home_gym_location]])),1))),"00000")</f>
        <v>00906</v>
      </c>
      <c r="AN131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17" t="str">
        <f>LEFT(_xlfn.TEXTBEFORE(Table1[[#This Row],[Location Identifier]],"-"),3) &amp; "-" &amp; _xlfn.TEXTAFTER(Table1[[#This Row],[Location Identifier]],"-")</f>
        <v>OAK-006</v>
      </c>
      <c r="AP1317" s="9">
        <f t="shared" ca="1" si="200"/>
        <v>45869</v>
      </c>
    </row>
    <row r="1318" spans="1:42" x14ac:dyDescent="0.25">
      <c r="A1318">
        <v>28</v>
      </c>
      <c r="B1318" t="s">
        <v>26</v>
      </c>
      <c r="C1318">
        <v>1</v>
      </c>
      <c r="D1318" t="s">
        <v>49</v>
      </c>
      <c r="E1318" t="b">
        <v>0</v>
      </c>
      <c r="F1318" s="1">
        <v>0.49236111111111114</v>
      </c>
      <c r="G1318" s="1">
        <v>0.59097222222222223</v>
      </c>
      <c r="H1318">
        <v>142</v>
      </c>
      <c r="I1318" t="b">
        <v>1</v>
      </c>
      <c r="J1318" t="b">
        <v>1</v>
      </c>
      <c r="K1318" t="b">
        <v>1</v>
      </c>
      <c r="L1318" t="s">
        <v>47</v>
      </c>
      <c r="M1318">
        <v>50</v>
      </c>
      <c r="N1318" t="s">
        <v>29</v>
      </c>
      <c r="O1318">
        <v>50</v>
      </c>
      <c r="P1318" t="s">
        <v>40</v>
      </c>
      <c r="Q1318">
        <v>0.1</v>
      </c>
      <c r="R1318">
        <v>45</v>
      </c>
      <c r="S1318" t="s">
        <v>31</v>
      </c>
      <c r="T1318" t="s">
        <v>48</v>
      </c>
      <c r="U1318">
        <v>38.581600000000002</v>
      </c>
      <c r="V1318">
        <v>-121.4944</v>
      </c>
      <c r="W1318" s="2">
        <v>45051</v>
      </c>
      <c r="X1318">
        <v>1</v>
      </c>
      <c r="Y1318" t="b">
        <v>1</v>
      </c>
      <c r="Z1318" s="2">
        <v>45817</v>
      </c>
      <c r="AA1318" t="str">
        <f t="shared" si="201"/>
        <v>20–29</v>
      </c>
      <c r="AB1318" t="str">
        <f t="shared" si="202"/>
        <v>20–29</v>
      </c>
      <c r="AC1318" t="str">
        <f t="shared" si="203"/>
        <v/>
      </c>
      <c r="AD1318" t="str">
        <f t="shared" si="204"/>
        <v/>
      </c>
      <c r="AE1318" t="str">
        <f t="shared" si="205"/>
        <v/>
      </c>
      <c r="AF1318" t="str">
        <f t="shared" si="206"/>
        <v/>
      </c>
      <c r="AG1318" t="str">
        <f t="shared" si="207"/>
        <v/>
      </c>
      <c r="AH1318" t="str">
        <f t="shared" si="208"/>
        <v/>
      </c>
      <c r="AI1318" t="str">
        <f t="shared" si="209"/>
        <v>Sunday</v>
      </c>
      <c r="AJ1318" t="str">
        <f>LEFT(Table1[[#This Row],[membership_type]],2)&amp;TEXT(Table1[[#This Row],[age]],"00")&amp;"-"&amp;TEXT(ROW(),"000")</f>
        <v>Pr28-1318</v>
      </c>
      <c r="AK1318" t="str">
        <f>LEFT(Table1[[#This Row],[membership_type]],1)&amp;TEXT(MATCH(Table1[[#This Row],[membership_type]],Table1[membership_type],0),"00")</f>
        <v>P01</v>
      </c>
      <c r="AL1318" t="str">
        <f>LEFT(Table1[[#This Row],[discount_type]],1)&amp;TEXT(ROUND(Table1[[#This Row],[discount_rate]]*100,0),"00")</f>
        <v>L10</v>
      </c>
      <c r="AM1318" t="str" cm="1">
        <f t="array" ref="AM1318">TEXT(SUMPRODUCT(CODE(MID(Table1[[#This Row],[home_gym_location]],_xlfn.SEQUENCE(LEN(Table1[[#This Row],[home_gym_location]])),1))),"00000")</f>
        <v>01245</v>
      </c>
      <c r="AN131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18" t="str">
        <f>LEFT(_xlfn.TEXTBEFORE(Table1[[#This Row],[Location Identifier]],"-"),3) &amp; "-" &amp; _xlfn.TEXTAFTER(Table1[[#This Row],[Location Identifier]],"-")</f>
        <v>SAC-007</v>
      </c>
      <c r="AP1318" s="9">
        <f t="shared" ca="1" si="200"/>
        <v>45869</v>
      </c>
    </row>
    <row r="1319" spans="1:42" x14ac:dyDescent="0.25">
      <c r="A1319">
        <v>26</v>
      </c>
      <c r="B1319" t="s">
        <v>26</v>
      </c>
      <c r="C1319">
        <v>3</v>
      </c>
      <c r="D1319" t="s">
        <v>106</v>
      </c>
      <c r="E1319" t="b">
        <v>1</v>
      </c>
      <c r="F1319" s="1">
        <v>0.77847222222222223</v>
      </c>
      <c r="G1319" s="1">
        <v>0.875</v>
      </c>
      <c r="H1319">
        <v>139</v>
      </c>
      <c r="I1319" t="b">
        <v>1</v>
      </c>
      <c r="J1319" t="b">
        <v>1</v>
      </c>
      <c r="K1319" t="b">
        <v>1</v>
      </c>
      <c r="L1319" t="s">
        <v>62</v>
      </c>
      <c r="M1319">
        <v>50</v>
      </c>
      <c r="N1319" t="s">
        <v>78</v>
      </c>
      <c r="O1319">
        <v>45</v>
      </c>
      <c r="P1319" t="s">
        <v>36</v>
      </c>
      <c r="Q1319">
        <v>0</v>
      </c>
      <c r="R1319">
        <v>45</v>
      </c>
      <c r="S1319" t="s">
        <v>31</v>
      </c>
      <c r="T1319" t="s">
        <v>45</v>
      </c>
      <c r="U1319">
        <v>33.836599999999997</v>
      </c>
      <c r="V1319">
        <v>-117.9143</v>
      </c>
      <c r="W1319" s="2">
        <v>45744</v>
      </c>
      <c r="X1319">
        <v>2</v>
      </c>
      <c r="Y1319" t="b">
        <v>1</v>
      </c>
      <c r="Z1319" s="2">
        <v>45856</v>
      </c>
      <c r="AA1319" t="str">
        <f t="shared" si="201"/>
        <v>20–29</v>
      </c>
      <c r="AB1319" t="str">
        <f t="shared" si="202"/>
        <v>20–29</v>
      </c>
      <c r="AC1319" t="str">
        <f t="shared" si="203"/>
        <v/>
      </c>
      <c r="AD1319" t="str">
        <f t="shared" si="204"/>
        <v/>
      </c>
      <c r="AE1319" t="str">
        <f t="shared" si="205"/>
        <v>Wednesday</v>
      </c>
      <c r="AF1319" t="str">
        <f t="shared" si="206"/>
        <v>Thursday</v>
      </c>
      <c r="AG1319" t="str">
        <f t="shared" si="207"/>
        <v>Friday</v>
      </c>
      <c r="AH1319" t="str">
        <f t="shared" si="208"/>
        <v/>
      </c>
      <c r="AI1319" t="str">
        <f t="shared" si="209"/>
        <v/>
      </c>
      <c r="AJ1319" t="str">
        <f>LEFT(Table1[[#This Row],[membership_type]],2)&amp;TEXT(Table1[[#This Row],[age]],"00")&amp;"-"&amp;TEXT(ROW(),"000")</f>
        <v>Pr26-1319</v>
      </c>
      <c r="AK1319" t="str">
        <f>LEFT(Table1[[#This Row],[membership_type]],1)&amp;TEXT(MATCH(Table1[[#This Row],[membership_type]],Table1[membership_type],0),"00")</f>
        <v>P01</v>
      </c>
      <c r="AL1319" t="str">
        <f>LEFT(Table1[[#This Row],[discount_type]],1)&amp;TEXT(ROUND(Table1[[#This Row],[discount_rate]]*100,0),"00")</f>
        <v>N00</v>
      </c>
      <c r="AM1319" t="str" cm="1">
        <f t="array" ref="AM1319">TEXT(SUMPRODUCT(CODE(MID(Table1[[#This Row],[home_gym_location]],_xlfn.SEQUENCE(LEN(Table1[[#This Row],[home_gym_location]])),1))),"00000")</f>
        <v>00899</v>
      </c>
      <c r="AN131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19" t="str">
        <f>LEFT(_xlfn.TEXTBEFORE(Table1[[#This Row],[Location Identifier]],"-"),3) &amp; "-" &amp; _xlfn.TEXTAFTER(Table1[[#This Row],[Location Identifier]],"-")</f>
        <v>ANA-001</v>
      </c>
      <c r="AP1319" s="9">
        <f t="shared" ca="1" si="200"/>
        <v>45869</v>
      </c>
    </row>
    <row r="1320" spans="1:42" x14ac:dyDescent="0.25">
      <c r="A1320">
        <v>22</v>
      </c>
      <c r="B1320" t="s">
        <v>33</v>
      </c>
      <c r="C1320">
        <v>3</v>
      </c>
      <c r="D1320" t="s">
        <v>122</v>
      </c>
      <c r="E1320" t="b">
        <v>0</v>
      </c>
      <c r="F1320" s="1">
        <v>0.71736111111111112</v>
      </c>
      <c r="G1320" s="1">
        <v>0.76666666666666672</v>
      </c>
      <c r="H1320">
        <v>71</v>
      </c>
      <c r="I1320" t="b">
        <v>0</v>
      </c>
      <c r="J1320" t="b">
        <v>0</v>
      </c>
      <c r="K1320" t="b">
        <v>1</v>
      </c>
      <c r="L1320" t="s">
        <v>47</v>
      </c>
      <c r="M1320">
        <v>30</v>
      </c>
      <c r="N1320" t="s">
        <v>64</v>
      </c>
      <c r="O1320">
        <v>22.5</v>
      </c>
      <c r="P1320" t="s">
        <v>30</v>
      </c>
      <c r="Q1320">
        <v>0.05</v>
      </c>
      <c r="R1320">
        <v>21.375</v>
      </c>
      <c r="S1320" t="s">
        <v>37</v>
      </c>
      <c r="T1320" t="s">
        <v>54</v>
      </c>
      <c r="U1320">
        <v>32.715699999999998</v>
      </c>
      <c r="V1320">
        <v>-117.1611</v>
      </c>
      <c r="W1320" s="2">
        <v>45766</v>
      </c>
      <c r="X1320">
        <v>0</v>
      </c>
      <c r="Y1320" t="b">
        <v>0</v>
      </c>
      <c r="Z1320" s="2">
        <v>45857</v>
      </c>
      <c r="AA1320" t="str">
        <f t="shared" si="201"/>
        <v>20–29</v>
      </c>
      <c r="AB1320" t="str">
        <f t="shared" si="202"/>
        <v>20–29</v>
      </c>
      <c r="AC1320" t="str">
        <f t="shared" si="203"/>
        <v/>
      </c>
      <c r="AD1320" t="str">
        <f t="shared" si="204"/>
        <v>Tuesday</v>
      </c>
      <c r="AE1320" t="str">
        <f t="shared" si="205"/>
        <v/>
      </c>
      <c r="AF1320" t="str">
        <f t="shared" si="206"/>
        <v/>
      </c>
      <c r="AG1320" t="str">
        <f t="shared" si="207"/>
        <v>Friday</v>
      </c>
      <c r="AH1320" t="str">
        <f t="shared" si="208"/>
        <v/>
      </c>
      <c r="AI1320" t="str">
        <f t="shared" si="209"/>
        <v>Sunday</v>
      </c>
      <c r="AJ1320" t="str">
        <f>LEFT(Table1[[#This Row],[membership_type]],2)&amp;TEXT(Table1[[#This Row],[age]],"00")&amp;"-"&amp;TEXT(ROW(),"000")</f>
        <v>St22-1320</v>
      </c>
      <c r="AK1320" t="str">
        <f>LEFT(Table1[[#This Row],[membership_type]],1)&amp;TEXT(MATCH(Table1[[#This Row],[membership_type]],Table1[membership_type],0),"00")</f>
        <v>S02</v>
      </c>
      <c r="AL1320" t="str">
        <f>LEFT(Table1[[#This Row],[discount_type]],1)&amp;TEXT(ROUND(Table1[[#This Row],[discount_rate]]*100,0),"00")</f>
        <v>P05</v>
      </c>
      <c r="AM1320" t="str" cm="1">
        <f t="array" ref="AM1320">TEXT(SUMPRODUCT(CODE(MID(Table1[[#This Row],[home_gym_location]],_xlfn.SEQUENCE(LEN(Table1[[#This Row],[home_gym_location]])),1))),"00000")</f>
        <v>01018</v>
      </c>
      <c r="AN132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20" t="str">
        <f>LEFT(_xlfn.TEXTBEFORE(Table1[[#This Row],[Location Identifier]],"-"),3) &amp; "-" &amp; _xlfn.TEXTAFTER(Table1[[#This Row],[Location Identifier]],"-")</f>
        <v>SAN-008</v>
      </c>
      <c r="AP1320" s="9">
        <f t="shared" ca="1" si="200"/>
        <v>45869</v>
      </c>
    </row>
    <row r="1321" spans="1:42" x14ac:dyDescent="0.25">
      <c r="A1321">
        <v>14</v>
      </c>
      <c r="B1321" t="s">
        <v>33</v>
      </c>
      <c r="C1321">
        <v>3</v>
      </c>
      <c r="D1321" t="s">
        <v>90</v>
      </c>
      <c r="E1321" t="b">
        <v>0</v>
      </c>
      <c r="F1321" s="1">
        <v>0.35694444444444445</v>
      </c>
      <c r="G1321" s="1">
        <v>0.45069444444444445</v>
      </c>
      <c r="H1321">
        <v>135</v>
      </c>
      <c r="I1321" t="b">
        <v>0</v>
      </c>
      <c r="J1321" t="b">
        <v>0</v>
      </c>
      <c r="K1321" t="b">
        <v>1</v>
      </c>
      <c r="L1321" t="s">
        <v>62</v>
      </c>
      <c r="M1321">
        <v>30</v>
      </c>
      <c r="N1321" t="s">
        <v>78</v>
      </c>
      <c r="O1321">
        <v>27</v>
      </c>
      <c r="P1321" t="s">
        <v>36</v>
      </c>
      <c r="Q1321">
        <v>0</v>
      </c>
      <c r="R1321">
        <v>27</v>
      </c>
      <c r="S1321" t="s">
        <v>37</v>
      </c>
      <c r="T1321" t="s">
        <v>54</v>
      </c>
      <c r="U1321">
        <v>32.715699999999998</v>
      </c>
      <c r="V1321">
        <v>-117.1611</v>
      </c>
      <c r="W1321" s="2">
        <v>45567</v>
      </c>
      <c r="X1321">
        <v>0</v>
      </c>
      <c r="Y1321" t="b">
        <v>1</v>
      </c>
      <c r="Z1321" s="2">
        <v>45846</v>
      </c>
      <c r="AA1321" t="str">
        <f t="shared" si="201"/>
        <v>10–19</v>
      </c>
      <c r="AB1321" t="str">
        <f t="shared" si="202"/>
        <v>Under 16</v>
      </c>
      <c r="AC1321" t="str">
        <f t="shared" si="203"/>
        <v/>
      </c>
      <c r="AD1321" t="str">
        <f t="shared" si="204"/>
        <v>Tuesday</v>
      </c>
      <c r="AE1321" t="str">
        <f t="shared" si="205"/>
        <v/>
      </c>
      <c r="AF1321" t="str">
        <f t="shared" si="206"/>
        <v/>
      </c>
      <c r="AG1321" t="str">
        <f t="shared" si="207"/>
        <v/>
      </c>
      <c r="AH1321" t="str">
        <f t="shared" si="208"/>
        <v>Saturday</v>
      </c>
      <c r="AI1321" t="str">
        <f t="shared" si="209"/>
        <v>Sunday</v>
      </c>
      <c r="AJ1321" t="str">
        <f>LEFT(Table1[[#This Row],[membership_type]],2)&amp;TEXT(Table1[[#This Row],[age]],"00")&amp;"-"&amp;TEXT(ROW(),"000")</f>
        <v>St14-1321</v>
      </c>
      <c r="AK1321" t="str">
        <f>LEFT(Table1[[#This Row],[membership_type]],1)&amp;TEXT(MATCH(Table1[[#This Row],[membership_type]],Table1[membership_type],0),"00")</f>
        <v>S02</v>
      </c>
      <c r="AL1321" t="str">
        <f>LEFT(Table1[[#This Row],[discount_type]],1)&amp;TEXT(ROUND(Table1[[#This Row],[discount_rate]]*100,0),"00")</f>
        <v>N00</v>
      </c>
      <c r="AM1321" t="str" cm="1">
        <f t="array" ref="AM1321">TEXT(SUMPRODUCT(CODE(MID(Table1[[#This Row],[home_gym_location]],_xlfn.SEQUENCE(LEN(Table1[[#This Row],[home_gym_location]])),1))),"00000")</f>
        <v>01018</v>
      </c>
      <c r="AN132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21" t="str">
        <f>LEFT(_xlfn.TEXTBEFORE(Table1[[#This Row],[Location Identifier]],"-"),3) &amp; "-" &amp; _xlfn.TEXTAFTER(Table1[[#This Row],[Location Identifier]],"-")</f>
        <v>SAN-008</v>
      </c>
      <c r="AP1321" s="9">
        <f t="shared" ca="1" si="200"/>
        <v>45869</v>
      </c>
    </row>
    <row r="1322" spans="1:42" x14ac:dyDescent="0.25">
      <c r="A1322">
        <v>47</v>
      </c>
      <c r="B1322" t="s">
        <v>26</v>
      </c>
      <c r="C1322">
        <v>2</v>
      </c>
      <c r="D1322" t="s">
        <v>123</v>
      </c>
      <c r="E1322" t="b">
        <v>1</v>
      </c>
      <c r="F1322" s="1">
        <v>0.36041666666666666</v>
      </c>
      <c r="G1322" s="1">
        <v>0.40138888888888891</v>
      </c>
      <c r="H1322">
        <v>59</v>
      </c>
      <c r="I1322" t="b">
        <v>1</v>
      </c>
      <c r="J1322" t="b">
        <v>1</v>
      </c>
      <c r="K1322" t="b">
        <v>1</v>
      </c>
      <c r="L1322" t="s">
        <v>58</v>
      </c>
      <c r="M1322">
        <v>50</v>
      </c>
      <c r="N1322" t="s">
        <v>64</v>
      </c>
      <c r="O1322">
        <v>37.5</v>
      </c>
      <c r="P1322" t="s">
        <v>40</v>
      </c>
      <c r="Q1322">
        <v>0.1</v>
      </c>
      <c r="R1322">
        <v>33.75</v>
      </c>
      <c r="S1322" t="s">
        <v>31</v>
      </c>
      <c r="T1322" t="s">
        <v>54</v>
      </c>
      <c r="U1322">
        <v>32.715699999999998</v>
      </c>
      <c r="V1322">
        <v>-117.1611</v>
      </c>
      <c r="W1322" s="2">
        <v>45661</v>
      </c>
      <c r="X1322">
        <v>2</v>
      </c>
      <c r="Y1322" t="b">
        <v>0</v>
      </c>
      <c r="Z1322" s="2">
        <v>45851</v>
      </c>
      <c r="AA1322" t="str">
        <f t="shared" si="201"/>
        <v>40–49</v>
      </c>
      <c r="AB1322" t="str">
        <f t="shared" si="202"/>
        <v>40–49</v>
      </c>
      <c r="AC1322" t="str">
        <f t="shared" si="203"/>
        <v>Monday</v>
      </c>
      <c r="AD1322" t="str">
        <f t="shared" si="204"/>
        <v/>
      </c>
      <c r="AE1322" t="str">
        <f t="shared" si="205"/>
        <v/>
      </c>
      <c r="AF1322" t="str">
        <f t="shared" si="206"/>
        <v/>
      </c>
      <c r="AG1322" t="str">
        <f t="shared" si="207"/>
        <v/>
      </c>
      <c r="AH1322" t="str">
        <f t="shared" si="208"/>
        <v>Saturday</v>
      </c>
      <c r="AI1322" t="str">
        <f t="shared" si="209"/>
        <v/>
      </c>
      <c r="AJ1322" t="str">
        <f>LEFT(Table1[[#This Row],[membership_type]],2)&amp;TEXT(Table1[[#This Row],[age]],"00")&amp;"-"&amp;TEXT(ROW(),"000")</f>
        <v>Pr47-1322</v>
      </c>
      <c r="AK1322" t="str">
        <f>LEFT(Table1[[#This Row],[membership_type]],1)&amp;TEXT(MATCH(Table1[[#This Row],[membership_type]],Table1[membership_type],0),"00")</f>
        <v>P01</v>
      </c>
      <c r="AL1322" t="str">
        <f>LEFT(Table1[[#This Row],[discount_type]],1)&amp;TEXT(ROUND(Table1[[#This Row],[discount_rate]]*100,0),"00")</f>
        <v>L10</v>
      </c>
      <c r="AM1322" t="str" cm="1">
        <f t="array" ref="AM1322">TEXT(SUMPRODUCT(CODE(MID(Table1[[#This Row],[home_gym_location]],_xlfn.SEQUENCE(LEN(Table1[[#This Row],[home_gym_location]])),1))),"00000")</f>
        <v>01018</v>
      </c>
      <c r="AN132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22" t="str">
        <f>LEFT(_xlfn.TEXTBEFORE(Table1[[#This Row],[Location Identifier]],"-"),3) &amp; "-" &amp; _xlfn.TEXTAFTER(Table1[[#This Row],[Location Identifier]],"-")</f>
        <v>SAN-008</v>
      </c>
      <c r="AP1322" s="9">
        <f t="shared" ca="1" si="200"/>
        <v>45869</v>
      </c>
    </row>
    <row r="1323" spans="1:42" x14ac:dyDescent="0.25">
      <c r="A1323">
        <v>32</v>
      </c>
      <c r="B1323" t="s">
        <v>26</v>
      </c>
      <c r="C1323">
        <v>3</v>
      </c>
      <c r="D1323" t="s">
        <v>142</v>
      </c>
      <c r="E1323" t="b">
        <v>0</v>
      </c>
      <c r="F1323" s="1">
        <v>0.72916666666666663</v>
      </c>
      <c r="G1323" s="1">
        <v>0.84305555555555556</v>
      </c>
      <c r="H1323">
        <v>164</v>
      </c>
      <c r="I1323" t="b">
        <v>0</v>
      </c>
      <c r="J1323" t="b">
        <v>1</v>
      </c>
      <c r="K1323" t="b">
        <v>1</v>
      </c>
      <c r="L1323" t="s">
        <v>62</v>
      </c>
      <c r="M1323">
        <v>50</v>
      </c>
      <c r="N1323" t="s">
        <v>29</v>
      </c>
      <c r="O1323">
        <v>50</v>
      </c>
      <c r="P1323" t="s">
        <v>36</v>
      </c>
      <c r="Q1323">
        <v>0</v>
      </c>
      <c r="R1323">
        <v>50</v>
      </c>
      <c r="S1323" t="s">
        <v>31</v>
      </c>
      <c r="T1323" t="s">
        <v>50</v>
      </c>
      <c r="U1323">
        <v>34.052199999999999</v>
      </c>
      <c r="V1323">
        <v>-118.2437</v>
      </c>
      <c r="W1323" s="2">
        <v>44902</v>
      </c>
      <c r="X1323">
        <v>3</v>
      </c>
      <c r="Y1323" t="b">
        <v>1</v>
      </c>
      <c r="Z1323" s="2">
        <v>45808</v>
      </c>
      <c r="AA1323" t="str">
        <f t="shared" si="201"/>
        <v>30–39</v>
      </c>
      <c r="AB1323" t="str">
        <f t="shared" si="202"/>
        <v>30–39</v>
      </c>
      <c r="AC1323" t="str">
        <f t="shared" si="203"/>
        <v>Monday</v>
      </c>
      <c r="AD1323" t="str">
        <f t="shared" si="204"/>
        <v/>
      </c>
      <c r="AE1323" t="str">
        <f t="shared" si="205"/>
        <v>Wednesday</v>
      </c>
      <c r="AF1323" t="str">
        <f t="shared" si="206"/>
        <v/>
      </c>
      <c r="AG1323" t="str">
        <f t="shared" si="207"/>
        <v/>
      </c>
      <c r="AH1323" t="str">
        <f t="shared" si="208"/>
        <v/>
      </c>
      <c r="AI1323" t="str">
        <f t="shared" si="209"/>
        <v>Sunday</v>
      </c>
      <c r="AJ1323" t="str">
        <f>LEFT(Table1[[#This Row],[membership_type]],2)&amp;TEXT(Table1[[#This Row],[age]],"00")&amp;"-"&amp;TEXT(ROW(),"000")</f>
        <v>Pr32-1323</v>
      </c>
      <c r="AK1323" t="str">
        <f>LEFT(Table1[[#This Row],[membership_type]],1)&amp;TEXT(MATCH(Table1[[#This Row],[membership_type]],Table1[membership_type],0),"00")</f>
        <v>P01</v>
      </c>
      <c r="AL1323" t="str">
        <f>LEFT(Table1[[#This Row],[discount_type]],1)&amp;TEXT(ROUND(Table1[[#This Row],[discount_rate]]*100,0),"00")</f>
        <v>N00</v>
      </c>
      <c r="AM1323" t="str" cm="1">
        <f t="array" ref="AM1323">TEXT(SUMPRODUCT(CODE(MID(Table1[[#This Row],[home_gym_location]],_xlfn.SEQUENCE(LEN(Table1[[#This Row],[home_gym_location]])),1))),"00000")</f>
        <v>01245</v>
      </c>
      <c r="AN132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23" t="str">
        <f>LEFT(_xlfn.TEXTBEFORE(Table1[[#This Row],[Location Identifier]],"-"),3) &amp; "-" &amp; _xlfn.TEXTAFTER(Table1[[#This Row],[Location Identifier]],"-")</f>
        <v>LOS-005</v>
      </c>
      <c r="AP1323" s="9">
        <f t="shared" ca="1" si="200"/>
        <v>45869</v>
      </c>
    </row>
    <row r="1324" spans="1:42" x14ac:dyDescent="0.25">
      <c r="A1324">
        <v>35</v>
      </c>
      <c r="B1324" t="s">
        <v>26</v>
      </c>
      <c r="C1324">
        <v>2</v>
      </c>
      <c r="D1324" t="s">
        <v>92</v>
      </c>
      <c r="E1324" t="b">
        <v>1</v>
      </c>
      <c r="F1324" s="1">
        <v>0.59861111111111109</v>
      </c>
      <c r="G1324" s="1">
        <v>0.65486111111111112</v>
      </c>
      <c r="H1324">
        <v>81</v>
      </c>
      <c r="I1324" t="b">
        <v>1</v>
      </c>
      <c r="J1324" t="b">
        <v>0</v>
      </c>
      <c r="K1324" t="b">
        <v>0</v>
      </c>
      <c r="L1324" t="s">
        <v>35</v>
      </c>
      <c r="M1324">
        <v>50</v>
      </c>
      <c r="N1324" t="s">
        <v>64</v>
      </c>
      <c r="O1324">
        <v>37.5</v>
      </c>
      <c r="P1324" t="s">
        <v>30</v>
      </c>
      <c r="Q1324">
        <v>0.05</v>
      </c>
      <c r="R1324">
        <v>35.625</v>
      </c>
      <c r="S1324" t="s">
        <v>31</v>
      </c>
      <c r="T1324" t="s">
        <v>41</v>
      </c>
      <c r="U1324">
        <v>37.804400000000001</v>
      </c>
      <c r="V1324">
        <v>-122.27119999999999</v>
      </c>
      <c r="W1324" s="2">
        <v>45597</v>
      </c>
      <c r="X1324">
        <v>0</v>
      </c>
      <c r="Y1324" t="b">
        <v>1</v>
      </c>
      <c r="Z1324" s="2">
        <v>45847</v>
      </c>
      <c r="AA1324" t="str">
        <f t="shared" si="201"/>
        <v>30–39</v>
      </c>
      <c r="AB1324" t="str">
        <f t="shared" si="202"/>
        <v>30–39</v>
      </c>
      <c r="AC1324" t="str">
        <f t="shared" si="203"/>
        <v/>
      </c>
      <c r="AD1324" t="str">
        <f t="shared" si="204"/>
        <v/>
      </c>
      <c r="AE1324" t="str">
        <f t="shared" si="205"/>
        <v/>
      </c>
      <c r="AF1324" t="str">
        <f t="shared" si="206"/>
        <v/>
      </c>
      <c r="AG1324" t="str">
        <f t="shared" si="207"/>
        <v>Friday</v>
      </c>
      <c r="AH1324" t="str">
        <f t="shared" si="208"/>
        <v/>
      </c>
      <c r="AI1324" t="str">
        <f t="shared" si="209"/>
        <v>Sunday</v>
      </c>
      <c r="AJ1324" t="str">
        <f>LEFT(Table1[[#This Row],[membership_type]],2)&amp;TEXT(Table1[[#This Row],[age]],"00")&amp;"-"&amp;TEXT(ROW(),"000")</f>
        <v>Pr35-1324</v>
      </c>
      <c r="AK1324" t="str">
        <f>LEFT(Table1[[#This Row],[membership_type]],1)&amp;TEXT(MATCH(Table1[[#This Row],[membership_type]],Table1[membership_type],0),"00")</f>
        <v>P01</v>
      </c>
      <c r="AL1324" t="str">
        <f>LEFT(Table1[[#This Row],[discount_type]],1)&amp;TEXT(ROUND(Table1[[#This Row],[discount_rate]]*100,0),"00")</f>
        <v>P05</v>
      </c>
      <c r="AM1324" t="str" cm="1">
        <f t="array" ref="AM1324">TEXT(SUMPRODUCT(CODE(MID(Table1[[#This Row],[home_gym_location]],_xlfn.SEQUENCE(LEN(Table1[[#This Row],[home_gym_location]])),1))),"00000")</f>
        <v>00906</v>
      </c>
      <c r="AN132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24" t="str">
        <f>LEFT(_xlfn.TEXTBEFORE(Table1[[#This Row],[Location Identifier]],"-"),3) &amp; "-" &amp; _xlfn.TEXTAFTER(Table1[[#This Row],[Location Identifier]],"-")</f>
        <v>OAK-006</v>
      </c>
      <c r="AP1324" s="9">
        <f t="shared" ca="1" si="200"/>
        <v>45869</v>
      </c>
    </row>
    <row r="1325" spans="1:42" x14ac:dyDescent="0.25">
      <c r="A1325">
        <v>39</v>
      </c>
      <c r="B1325" t="s">
        <v>26</v>
      </c>
      <c r="C1325">
        <v>4</v>
      </c>
      <c r="D1325" t="s">
        <v>113</v>
      </c>
      <c r="E1325" t="b">
        <v>0</v>
      </c>
      <c r="F1325" s="1">
        <v>0.71319444444444446</v>
      </c>
      <c r="G1325" s="1">
        <v>0.74652777777777779</v>
      </c>
      <c r="H1325">
        <v>48</v>
      </c>
      <c r="I1325" t="b">
        <v>0</v>
      </c>
      <c r="J1325" t="b">
        <v>0</v>
      </c>
      <c r="K1325" t="b">
        <v>1</v>
      </c>
      <c r="L1325" t="s">
        <v>47</v>
      </c>
      <c r="M1325">
        <v>50</v>
      </c>
      <c r="N1325" t="s">
        <v>78</v>
      </c>
      <c r="O1325">
        <v>45</v>
      </c>
      <c r="P1325" t="s">
        <v>30</v>
      </c>
      <c r="Q1325">
        <v>0.05</v>
      </c>
      <c r="R1325">
        <v>42.75</v>
      </c>
      <c r="S1325" t="s">
        <v>31</v>
      </c>
      <c r="T1325" t="s">
        <v>54</v>
      </c>
      <c r="U1325">
        <v>32.715699999999998</v>
      </c>
      <c r="V1325">
        <v>-117.1611</v>
      </c>
      <c r="W1325" s="2">
        <v>44791</v>
      </c>
      <c r="X1325">
        <v>0</v>
      </c>
      <c r="Y1325" t="b">
        <v>1</v>
      </c>
      <c r="Z1325" s="2">
        <v>45802</v>
      </c>
      <c r="AA1325" t="str">
        <f t="shared" si="201"/>
        <v>30–39</v>
      </c>
      <c r="AB1325" t="str">
        <f t="shared" si="202"/>
        <v>30–39</v>
      </c>
      <c r="AC1325" t="str">
        <f t="shared" si="203"/>
        <v>Monday</v>
      </c>
      <c r="AD1325" t="str">
        <f t="shared" si="204"/>
        <v/>
      </c>
      <c r="AE1325" t="str">
        <f t="shared" si="205"/>
        <v/>
      </c>
      <c r="AF1325" t="str">
        <f t="shared" si="206"/>
        <v>Thursday</v>
      </c>
      <c r="AG1325" t="str">
        <f t="shared" si="207"/>
        <v/>
      </c>
      <c r="AH1325" t="str">
        <f t="shared" si="208"/>
        <v>Saturday</v>
      </c>
      <c r="AI1325" t="str">
        <f t="shared" si="209"/>
        <v>Sunday</v>
      </c>
      <c r="AJ1325" t="str">
        <f>LEFT(Table1[[#This Row],[membership_type]],2)&amp;TEXT(Table1[[#This Row],[age]],"00")&amp;"-"&amp;TEXT(ROW(),"000")</f>
        <v>Pr39-1325</v>
      </c>
      <c r="AK1325" t="str">
        <f>LEFT(Table1[[#This Row],[membership_type]],1)&amp;TEXT(MATCH(Table1[[#This Row],[membership_type]],Table1[membership_type],0),"00")</f>
        <v>P01</v>
      </c>
      <c r="AL1325" t="str">
        <f>LEFT(Table1[[#This Row],[discount_type]],1)&amp;TEXT(ROUND(Table1[[#This Row],[discount_rate]]*100,0),"00")</f>
        <v>P05</v>
      </c>
      <c r="AM1325" t="str" cm="1">
        <f t="array" ref="AM1325">TEXT(SUMPRODUCT(CODE(MID(Table1[[#This Row],[home_gym_location]],_xlfn.SEQUENCE(LEN(Table1[[#This Row],[home_gym_location]])),1))),"00000")</f>
        <v>01018</v>
      </c>
      <c r="AN132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25" t="str">
        <f>LEFT(_xlfn.TEXTBEFORE(Table1[[#This Row],[Location Identifier]],"-"),3) &amp; "-" &amp; _xlfn.TEXTAFTER(Table1[[#This Row],[Location Identifier]],"-")</f>
        <v>SAN-008</v>
      </c>
      <c r="AP1325" s="9">
        <f t="shared" ca="1" si="200"/>
        <v>45869</v>
      </c>
    </row>
    <row r="1326" spans="1:42" x14ac:dyDescent="0.25">
      <c r="A1326">
        <v>36</v>
      </c>
      <c r="B1326" t="s">
        <v>33</v>
      </c>
      <c r="C1326">
        <v>4</v>
      </c>
      <c r="D1326" t="s">
        <v>156</v>
      </c>
      <c r="E1326" t="b">
        <v>0</v>
      </c>
      <c r="F1326" s="1">
        <v>0.7319444444444444</v>
      </c>
      <c r="G1326" s="1">
        <v>0.75416666666666665</v>
      </c>
      <c r="H1326">
        <v>32</v>
      </c>
      <c r="I1326" t="b">
        <v>1</v>
      </c>
      <c r="J1326" t="b">
        <v>1</v>
      </c>
      <c r="K1326" t="b">
        <v>0</v>
      </c>
      <c r="L1326" t="s">
        <v>62</v>
      </c>
      <c r="M1326">
        <v>30</v>
      </c>
      <c r="N1326" t="s">
        <v>29</v>
      </c>
      <c r="O1326">
        <v>30</v>
      </c>
      <c r="P1326" t="s">
        <v>74</v>
      </c>
      <c r="Q1326">
        <v>0.15</v>
      </c>
      <c r="R1326">
        <v>25.5</v>
      </c>
      <c r="S1326" t="s">
        <v>37</v>
      </c>
      <c r="T1326" t="s">
        <v>56</v>
      </c>
      <c r="U1326">
        <v>35.3733</v>
      </c>
      <c r="V1326">
        <v>-119.0187</v>
      </c>
      <c r="W1326" s="2">
        <v>45472</v>
      </c>
      <c r="X1326">
        <v>3</v>
      </c>
      <c r="Y1326" t="b">
        <v>0</v>
      </c>
      <c r="Z1326" s="2">
        <v>45840</v>
      </c>
      <c r="AA1326" t="str">
        <f t="shared" si="201"/>
        <v>30–39</v>
      </c>
      <c r="AB1326" t="str">
        <f t="shared" si="202"/>
        <v>30–39</v>
      </c>
      <c r="AC1326" t="str">
        <f t="shared" si="203"/>
        <v/>
      </c>
      <c r="AD1326" t="str">
        <f t="shared" si="204"/>
        <v>Tuesday</v>
      </c>
      <c r="AE1326" t="str">
        <f t="shared" si="205"/>
        <v>Wednesday</v>
      </c>
      <c r="AF1326" t="str">
        <f t="shared" si="206"/>
        <v>Thursday</v>
      </c>
      <c r="AG1326" t="str">
        <f t="shared" si="207"/>
        <v/>
      </c>
      <c r="AH1326" t="str">
        <f t="shared" si="208"/>
        <v>Saturday</v>
      </c>
      <c r="AI1326" t="str">
        <f t="shared" si="209"/>
        <v/>
      </c>
      <c r="AJ1326" t="str">
        <f>LEFT(Table1[[#This Row],[membership_type]],2)&amp;TEXT(Table1[[#This Row],[age]],"00")&amp;"-"&amp;TEXT(ROW(),"000")</f>
        <v>St36-1326</v>
      </c>
      <c r="AK1326" t="str">
        <f>LEFT(Table1[[#This Row],[membership_type]],1)&amp;TEXT(MATCH(Table1[[#This Row],[membership_type]],Table1[membership_type],0),"00")</f>
        <v>S02</v>
      </c>
      <c r="AL1326" t="str">
        <f>LEFT(Table1[[#This Row],[discount_type]],1)&amp;TEXT(ROUND(Table1[[#This Row],[discount_rate]]*100,0),"00")</f>
        <v>S15</v>
      </c>
      <c r="AM1326" t="str" cm="1">
        <f t="array" ref="AM1326">TEXT(SUMPRODUCT(CODE(MID(Table1[[#This Row],[home_gym_location]],_xlfn.SEQUENCE(LEN(Table1[[#This Row],[home_gym_location]])),1))),"00000")</f>
        <v>01324</v>
      </c>
      <c r="AN132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26" t="str">
        <f>LEFT(_xlfn.TEXTBEFORE(Table1[[#This Row],[Location Identifier]],"-"),3) &amp; "-" &amp; _xlfn.TEXTAFTER(Table1[[#This Row],[Location Identifier]],"-")</f>
        <v>BAK-002</v>
      </c>
      <c r="AP1326" s="9">
        <f t="shared" ca="1" si="200"/>
        <v>45869</v>
      </c>
    </row>
    <row r="1327" spans="1:42" x14ac:dyDescent="0.25">
      <c r="A1327">
        <v>12</v>
      </c>
      <c r="B1327" t="s">
        <v>42</v>
      </c>
      <c r="C1327">
        <v>3</v>
      </c>
      <c r="D1327" t="s">
        <v>55</v>
      </c>
      <c r="E1327" t="b">
        <v>1</v>
      </c>
      <c r="F1327" s="1">
        <v>0.83125000000000004</v>
      </c>
      <c r="G1327" s="1">
        <v>0.89444444444444449</v>
      </c>
      <c r="H1327">
        <v>91</v>
      </c>
      <c r="I1327" t="b">
        <v>1</v>
      </c>
      <c r="J1327" t="b">
        <v>0</v>
      </c>
      <c r="K1327" t="b">
        <v>0</v>
      </c>
      <c r="L1327" t="s">
        <v>28</v>
      </c>
      <c r="M1327">
        <v>20</v>
      </c>
      <c r="N1327" t="s">
        <v>29</v>
      </c>
      <c r="O1327">
        <v>20</v>
      </c>
      <c r="P1327" t="s">
        <v>40</v>
      </c>
      <c r="Q1327">
        <v>0.1</v>
      </c>
      <c r="R1327">
        <v>18</v>
      </c>
      <c r="S1327" t="s">
        <v>44</v>
      </c>
      <c r="T1327" t="s">
        <v>56</v>
      </c>
      <c r="U1327">
        <v>35.3733</v>
      </c>
      <c r="V1327">
        <v>-119.0187</v>
      </c>
      <c r="W1327" s="2">
        <v>45637</v>
      </c>
      <c r="X1327">
        <v>0</v>
      </c>
      <c r="Y1327" t="b">
        <v>0</v>
      </c>
      <c r="Z1327" s="2">
        <v>45850</v>
      </c>
      <c r="AA1327" t="str">
        <f t="shared" si="201"/>
        <v>10–19</v>
      </c>
      <c r="AB1327" t="str">
        <f t="shared" si="202"/>
        <v>Under 16</v>
      </c>
      <c r="AC1327" t="str">
        <f t="shared" si="203"/>
        <v/>
      </c>
      <c r="AD1327" t="str">
        <f t="shared" si="204"/>
        <v/>
      </c>
      <c r="AE1327" t="str">
        <f t="shared" si="205"/>
        <v/>
      </c>
      <c r="AF1327" t="str">
        <f t="shared" si="206"/>
        <v>Thursday</v>
      </c>
      <c r="AG1327" t="str">
        <f t="shared" si="207"/>
        <v>Friday</v>
      </c>
      <c r="AH1327" t="str">
        <f t="shared" si="208"/>
        <v/>
      </c>
      <c r="AI1327" t="str">
        <f t="shared" si="209"/>
        <v>Sunday</v>
      </c>
      <c r="AJ1327" t="str">
        <f>LEFT(Table1[[#This Row],[membership_type]],2)&amp;TEXT(Table1[[#This Row],[age]],"00")&amp;"-"&amp;TEXT(ROW(),"000")</f>
        <v>Ba12-1327</v>
      </c>
      <c r="AK1327" t="str">
        <f>LEFT(Table1[[#This Row],[membership_type]],1)&amp;TEXT(MATCH(Table1[[#This Row],[membership_type]],Table1[membership_type],0),"00")</f>
        <v>B04</v>
      </c>
      <c r="AL1327" t="str">
        <f>LEFT(Table1[[#This Row],[discount_type]],1)&amp;TEXT(ROUND(Table1[[#This Row],[discount_rate]]*100,0),"00")</f>
        <v>L10</v>
      </c>
      <c r="AM1327" t="str" cm="1">
        <f t="array" ref="AM1327">TEXT(SUMPRODUCT(CODE(MID(Table1[[#This Row],[home_gym_location]],_xlfn.SEQUENCE(LEN(Table1[[#This Row],[home_gym_location]])),1))),"00000")</f>
        <v>01324</v>
      </c>
      <c r="AN132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27" t="str">
        <f>LEFT(_xlfn.TEXTBEFORE(Table1[[#This Row],[Location Identifier]],"-"),3) &amp; "-" &amp; _xlfn.TEXTAFTER(Table1[[#This Row],[Location Identifier]],"-")</f>
        <v>BAK-002</v>
      </c>
      <c r="AP1327" s="9">
        <f t="shared" ca="1" si="200"/>
        <v>45869</v>
      </c>
    </row>
    <row r="1328" spans="1:42" x14ac:dyDescent="0.25">
      <c r="A1328">
        <v>23</v>
      </c>
      <c r="B1328" t="s">
        <v>26</v>
      </c>
      <c r="C1328">
        <v>5</v>
      </c>
      <c r="D1328" t="s">
        <v>66</v>
      </c>
      <c r="E1328" t="b">
        <v>0</v>
      </c>
      <c r="F1328" s="1">
        <v>0.68958333333333333</v>
      </c>
      <c r="G1328" s="1">
        <v>0.75208333333333333</v>
      </c>
      <c r="H1328">
        <v>90</v>
      </c>
      <c r="I1328" t="b">
        <v>0</v>
      </c>
      <c r="J1328" t="b">
        <v>0</v>
      </c>
      <c r="K1328" t="b">
        <v>0</v>
      </c>
      <c r="L1328" t="s">
        <v>28</v>
      </c>
      <c r="M1328">
        <v>50</v>
      </c>
      <c r="N1328" t="s">
        <v>29</v>
      </c>
      <c r="O1328">
        <v>50</v>
      </c>
      <c r="P1328" t="s">
        <v>30</v>
      </c>
      <c r="Q1328">
        <v>0.05</v>
      </c>
      <c r="R1328">
        <v>47.5</v>
      </c>
      <c r="S1328" t="s">
        <v>31</v>
      </c>
      <c r="T1328" t="s">
        <v>65</v>
      </c>
      <c r="U1328">
        <v>33.770099999999999</v>
      </c>
      <c r="V1328">
        <v>-118.19370000000001</v>
      </c>
      <c r="W1328" s="2">
        <v>44989</v>
      </c>
      <c r="X1328">
        <v>0</v>
      </c>
      <c r="Y1328" t="b">
        <v>1</v>
      </c>
      <c r="Z1328" s="2">
        <v>45813</v>
      </c>
      <c r="AA1328" t="str">
        <f t="shared" si="201"/>
        <v>20–29</v>
      </c>
      <c r="AB1328" t="str">
        <f t="shared" si="202"/>
        <v>20–29</v>
      </c>
      <c r="AC1328" t="str">
        <f t="shared" si="203"/>
        <v>Monday</v>
      </c>
      <c r="AD1328" t="str">
        <f t="shared" si="204"/>
        <v>Tuesday</v>
      </c>
      <c r="AE1328" t="str">
        <f t="shared" si="205"/>
        <v>Wednesday</v>
      </c>
      <c r="AF1328" t="str">
        <f t="shared" si="206"/>
        <v/>
      </c>
      <c r="AG1328" t="str">
        <f t="shared" si="207"/>
        <v>Friday</v>
      </c>
      <c r="AH1328" t="str">
        <f t="shared" si="208"/>
        <v/>
      </c>
      <c r="AI1328" t="str">
        <f t="shared" si="209"/>
        <v>Sunday</v>
      </c>
      <c r="AJ1328" t="str">
        <f>LEFT(Table1[[#This Row],[membership_type]],2)&amp;TEXT(Table1[[#This Row],[age]],"00")&amp;"-"&amp;TEXT(ROW(),"000")</f>
        <v>Pr23-1328</v>
      </c>
      <c r="AK1328" t="str">
        <f>LEFT(Table1[[#This Row],[membership_type]],1)&amp;TEXT(MATCH(Table1[[#This Row],[membership_type]],Table1[membership_type],0),"00")</f>
        <v>P01</v>
      </c>
      <c r="AL1328" t="str">
        <f>LEFT(Table1[[#This Row],[discount_type]],1)&amp;TEXT(ROUND(Table1[[#This Row],[discount_rate]]*100,0),"00")</f>
        <v>P05</v>
      </c>
      <c r="AM1328" t="str" cm="1">
        <f t="array" ref="AM1328">TEXT(SUMPRODUCT(CODE(MID(Table1[[#This Row],[home_gym_location]],_xlfn.SEQUENCE(LEN(Table1[[#This Row],[home_gym_location]])),1))),"00000")</f>
        <v>01107</v>
      </c>
      <c r="AN132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28" t="str">
        <f>LEFT(_xlfn.TEXTBEFORE(Table1[[#This Row],[Location Identifier]],"-"),3) &amp; "-" &amp; _xlfn.TEXTAFTER(Table1[[#This Row],[Location Identifier]],"-")</f>
        <v>LON-004</v>
      </c>
      <c r="AP1328" s="9">
        <f t="shared" ca="1" si="200"/>
        <v>45869</v>
      </c>
    </row>
    <row r="1329" spans="1:42" x14ac:dyDescent="0.25">
      <c r="A1329">
        <v>48</v>
      </c>
      <c r="B1329" t="s">
        <v>33</v>
      </c>
      <c r="C1329">
        <v>3</v>
      </c>
      <c r="D1329" t="s">
        <v>89</v>
      </c>
      <c r="E1329" t="b">
        <v>1</v>
      </c>
      <c r="F1329" s="1">
        <v>0.85902777777777772</v>
      </c>
      <c r="G1329" s="1">
        <v>0.90833333333333333</v>
      </c>
      <c r="H1329">
        <v>71</v>
      </c>
      <c r="I1329" t="b">
        <v>0</v>
      </c>
      <c r="J1329" t="b">
        <v>1</v>
      </c>
      <c r="K1329" t="b">
        <v>1</v>
      </c>
      <c r="L1329" t="s">
        <v>58</v>
      </c>
      <c r="M1329">
        <v>30</v>
      </c>
      <c r="N1329" t="s">
        <v>29</v>
      </c>
      <c r="O1329">
        <v>30</v>
      </c>
      <c r="P1329" t="s">
        <v>36</v>
      </c>
      <c r="Q1329">
        <v>0</v>
      </c>
      <c r="R1329">
        <v>30</v>
      </c>
      <c r="S1329" t="s">
        <v>37</v>
      </c>
      <c r="T1329" t="s">
        <v>32</v>
      </c>
      <c r="U1329">
        <v>37.338200000000001</v>
      </c>
      <c r="V1329">
        <v>-121.88630000000001</v>
      </c>
      <c r="W1329" s="2">
        <v>45129</v>
      </c>
      <c r="X1329">
        <v>5</v>
      </c>
      <c r="Y1329" t="b">
        <v>0</v>
      </c>
      <c r="Z1329" s="2">
        <v>45821</v>
      </c>
      <c r="AA1329" t="str">
        <f t="shared" si="201"/>
        <v>40–49</v>
      </c>
      <c r="AB1329" t="str">
        <f t="shared" si="202"/>
        <v>40–49</v>
      </c>
      <c r="AC1329" t="str">
        <f t="shared" si="203"/>
        <v>Monday</v>
      </c>
      <c r="AD1329" t="str">
        <f t="shared" si="204"/>
        <v>Tuesday</v>
      </c>
      <c r="AE1329" t="str">
        <f t="shared" si="205"/>
        <v/>
      </c>
      <c r="AF1329" t="str">
        <f t="shared" si="206"/>
        <v/>
      </c>
      <c r="AG1329" t="str">
        <f t="shared" si="207"/>
        <v/>
      </c>
      <c r="AH1329" t="str">
        <f t="shared" si="208"/>
        <v>Saturday</v>
      </c>
      <c r="AI1329" t="str">
        <f t="shared" si="209"/>
        <v/>
      </c>
      <c r="AJ1329" t="str">
        <f>LEFT(Table1[[#This Row],[membership_type]],2)&amp;TEXT(Table1[[#This Row],[age]],"00")&amp;"-"&amp;TEXT(ROW(),"000")</f>
        <v>St48-1329</v>
      </c>
      <c r="AK1329" t="str">
        <f>LEFT(Table1[[#This Row],[membership_type]],1)&amp;TEXT(MATCH(Table1[[#This Row],[membership_type]],Table1[membership_type],0),"00")</f>
        <v>S02</v>
      </c>
      <c r="AL1329" t="str">
        <f>LEFT(Table1[[#This Row],[discount_type]],1)&amp;TEXT(ROUND(Table1[[#This Row],[discount_rate]]*100,0),"00")</f>
        <v>N00</v>
      </c>
      <c r="AM1329" t="str" cm="1">
        <f t="array" ref="AM1329">TEXT(SUMPRODUCT(CODE(MID(Table1[[#This Row],[home_gym_location]],_xlfn.SEQUENCE(LEN(Table1[[#This Row],[home_gym_location]])),1))),"00000")</f>
        <v>00931</v>
      </c>
      <c r="AN132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29" t="str">
        <f>LEFT(_xlfn.TEXTBEFORE(Table1[[#This Row],[Location Identifier]],"-"),3) &amp; "-" &amp; _xlfn.TEXTAFTER(Table1[[#This Row],[Location Identifier]],"-")</f>
        <v>SAN-010</v>
      </c>
      <c r="AP1329" s="9">
        <f t="shared" ca="1" si="200"/>
        <v>45869</v>
      </c>
    </row>
    <row r="1330" spans="1:42" x14ac:dyDescent="0.25">
      <c r="A1330">
        <v>32</v>
      </c>
      <c r="B1330" t="s">
        <v>26</v>
      </c>
      <c r="C1330">
        <v>3</v>
      </c>
      <c r="D1330" t="s">
        <v>133</v>
      </c>
      <c r="E1330" t="b">
        <v>1</v>
      </c>
      <c r="F1330" s="1">
        <v>0.74097222222222225</v>
      </c>
      <c r="G1330" s="1">
        <v>0.81111111111111112</v>
      </c>
      <c r="H1330">
        <v>101</v>
      </c>
      <c r="I1330" t="b">
        <v>0</v>
      </c>
      <c r="J1330" t="b">
        <v>0</v>
      </c>
      <c r="K1330" t="b">
        <v>1</v>
      </c>
      <c r="L1330" t="s">
        <v>62</v>
      </c>
      <c r="M1330">
        <v>50</v>
      </c>
      <c r="N1330" t="s">
        <v>78</v>
      </c>
      <c r="O1330">
        <v>45</v>
      </c>
      <c r="P1330" t="s">
        <v>40</v>
      </c>
      <c r="Q1330">
        <v>0.1</v>
      </c>
      <c r="R1330">
        <v>40.5</v>
      </c>
      <c r="S1330" t="s">
        <v>31</v>
      </c>
      <c r="T1330" t="s">
        <v>38</v>
      </c>
      <c r="U1330">
        <v>36.7378</v>
      </c>
      <c r="V1330">
        <v>-119.7871</v>
      </c>
      <c r="W1330" s="2">
        <v>45300</v>
      </c>
      <c r="X1330">
        <v>0</v>
      </c>
      <c r="Y1330" t="b">
        <v>0</v>
      </c>
      <c r="Z1330" s="2">
        <v>45831</v>
      </c>
      <c r="AA1330" t="str">
        <f t="shared" si="201"/>
        <v>30–39</v>
      </c>
      <c r="AB1330" t="str">
        <f t="shared" si="202"/>
        <v>30–39</v>
      </c>
      <c r="AC1330" t="str">
        <f t="shared" si="203"/>
        <v/>
      </c>
      <c r="AD1330" t="str">
        <f t="shared" si="204"/>
        <v>Tuesday</v>
      </c>
      <c r="AE1330" t="str">
        <f t="shared" si="205"/>
        <v>Wednesday</v>
      </c>
      <c r="AF1330" t="str">
        <f t="shared" si="206"/>
        <v/>
      </c>
      <c r="AG1330" t="str">
        <f t="shared" si="207"/>
        <v>Friday</v>
      </c>
      <c r="AH1330" t="str">
        <f t="shared" si="208"/>
        <v/>
      </c>
      <c r="AI1330" t="str">
        <f t="shared" si="209"/>
        <v/>
      </c>
      <c r="AJ1330" t="str">
        <f>LEFT(Table1[[#This Row],[membership_type]],2)&amp;TEXT(Table1[[#This Row],[age]],"00")&amp;"-"&amp;TEXT(ROW(),"000")</f>
        <v>Pr32-1330</v>
      </c>
      <c r="AK1330" t="str">
        <f>LEFT(Table1[[#This Row],[membership_type]],1)&amp;TEXT(MATCH(Table1[[#This Row],[membership_type]],Table1[membership_type],0),"00")</f>
        <v>P01</v>
      </c>
      <c r="AL1330" t="str">
        <f>LEFT(Table1[[#This Row],[discount_type]],1)&amp;TEXT(ROUND(Table1[[#This Row],[discount_rate]]*100,0),"00")</f>
        <v>L10</v>
      </c>
      <c r="AM1330" t="str" cm="1">
        <f t="array" ref="AM1330">TEXT(SUMPRODUCT(CODE(MID(Table1[[#This Row],[home_gym_location]],_xlfn.SEQUENCE(LEN(Table1[[#This Row],[home_gym_location]])),1))),"00000")</f>
        <v>00829</v>
      </c>
      <c r="AN1330" t="str">
        <f>UPPER(_xlfn.TEXTBEFORE(Table1[[#This Row],[home_gym_location]],","))&amp;"-"&amp;TEXT(MATCH(Table1[[#This Row],[home_gym_location]],_xlfn._xlws.SORT(_xlfn.UNIQUE(Table1[home_gym_location])),0),"000")</f>
        <v>FRESNO-003</v>
      </c>
      <c r="AO1330" t="str">
        <f>LEFT(_xlfn.TEXTBEFORE(Table1[[#This Row],[Location Identifier]],"-"),3) &amp; "-" &amp; _xlfn.TEXTAFTER(Table1[[#This Row],[Location Identifier]],"-")</f>
        <v>FRE-003</v>
      </c>
      <c r="AP1330" s="9">
        <f t="shared" ca="1" si="200"/>
        <v>45869</v>
      </c>
    </row>
    <row r="1331" spans="1:42" x14ac:dyDescent="0.25">
      <c r="A1331">
        <v>45</v>
      </c>
      <c r="B1331" t="s">
        <v>33</v>
      </c>
      <c r="C1331">
        <v>2</v>
      </c>
      <c r="D1331" t="s">
        <v>61</v>
      </c>
      <c r="E1331" t="b">
        <v>1</v>
      </c>
      <c r="F1331" s="1">
        <v>0.66597222222222219</v>
      </c>
      <c r="G1331" s="1">
        <v>0.78194444444444444</v>
      </c>
      <c r="H1331">
        <v>167</v>
      </c>
      <c r="I1331" t="b">
        <v>0</v>
      </c>
      <c r="J1331" t="b">
        <v>1</v>
      </c>
      <c r="K1331" t="b">
        <v>1</v>
      </c>
      <c r="L1331" t="s">
        <v>62</v>
      </c>
      <c r="M1331">
        <v>30</v>
      </c>
      <c r="N1331" t="s">
        <v>29</v>
      </c>
      <c r="O1331">
        <v>30</v>
      </c>
      <c r="P1331" t="s">
        <v>74</v>
      </c>
      <c r="Q1331">
        <v>0.15</v>
      </c>
      <c r="R1331">
        <v>25.5</v>
      </c>
      <c r="S1331" t="s">
        <v>37</v>
      </c>
      <c r="T1331" t="s">
        <v>59</v>
      </c>
      <c r="U1331">
        <v>37.774900000000002</v>
      </c>
      <c r="V1331">
        <v>-122.4194</v>
      </c>
      <c r="W1331" s="2">
        <v>45239</v>
      </c>
      <c r="X1331">
        <v>2</v>
      </c>
      <c r="Y1331" t="b">
        <v>0</v>
      </c>
      <c r="Z1331" s="2">
        <v>45827</v>
      </c>
      <c r="AA1331" t="str">
        <f t="shared" si="201"/>
        <v>40–49</v>
      </c>
      <c r="AB1331" t="str">
        <f t="shared" si="202"/>
        <v>40–49</v>
      </c>
      <c r="AC1331" t="str">
        <f t="shared" si="203"/>
        <v/>
      </c>
      <c r="AD1331" t="str">
        <f t="shared" si="204"/>
        <v>Tuesday</v>
      </c>
      <c r="AE1331" t="str">
        <f t="shared" si="205"/>
        <v/>
      </c>
      <c r="AF1331" t="str">
        <f t="shared" si="206"/>
        <v/>
      </c>
      <c r="AG1331" t="str">
        <f t="shared" si="207"/>
        <v/>
      </c>
      <c r="AH1331" t="str">
        <f t="shared" si="208"/>
        <v>Saturday</v>
      </c>
      <c r="AI1331" t="str">
        <f t="shared" si="209"/>
        <v/>
      </c>
      <c r="AJ1331" t="str">
        <f>LEFT(Table1[[#This Row],[membership_type]],2)&amp;TEXT(Table1[[#This Row],[age]],"00")&amp;"-"&amp;TEXT(ROW(),"000")</f>
        <v>St45-1331</v>
      </c>
      <c r="AK1331" t="str">
        <f>LEFT(Table1[[#This Row],[membership_type]],1)&amp;TEXT(MATCH(Table1[[#This Row],[membership_type]],Table1[membership_type],0),"00")</f>
        <v>S02</v>
      </c>
      <c r="AL1331" t="str">
        <f>LEFT(Table1[[#This Row],[discount_type]],1)&amp;TEXT(ROUND(Table1[[#This Row],[discount_rate]]*100,0),"00")</f>
        <v>S15</v>
      </c>
      <c r="AM1331" t="str" cm="1">
        <f t="array" ref="AM1331">TEXT(SUMPRODUCT(CODE(MID(Table1[[#This Row],[home_gym_location]],_xlfn.SEQUENCE(LEN(Table1[[#This Row],[home_gym_location]])),1))),"00000")</f>
        <v>01450</v>
      </c>
      <c r="AN133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31" t="str">
        <f>LEFT(_xlfn.TEXTBEFORE(Table1[[#This Row],[Location Identifier]],"-"),3) &amp; "-" &amp; _xlfn.TEXTAFTER(Table1[[#This Row],[Location Identifier]],"-")</f>
        <v>SAN-009</v>
      </c>
      <c r="AP1331" s="9">
        <f t="shared" ca="1" si="200"/>
        <v>45869</v>
      </c>
    </row>
    <row r="1332" spans="1:42" x14ac:dyDescent="0.25">
      <c r="A1332">
        <v>32</v>
      </c>
      <c r="B1332" t="s">
        <v>26</v>
      </c>
      <c r="C1332">
        <v>3</v>
      </c>
      <c r="D1332" t="s">
        <v>83</v>
      </c>
      <c r="E1332" t="b">
        <v>0</v>
      </c>
      <c r="F1332" s="1">
        <v>0.8569444444444444</v>
      </c>
      <c r="G1332" s="1">
        <v>0.90277777777777779</v>
      </c>
      <c r="H1332">
        <v>66</v>
      </c>
      <c r="I1332" t="b">
        <v>0</v>
      </c>
      <c r="J1332" t="b">
        <v>1</v>
      </c>
      <c r="K1332" t="b">
        <v>1</v>
      </c>
      <c r="L1332" t="s">
        <v>35</v>
      </c>
      <c r="M1332">
        <v>50</v>
      </c>
      <c r="N1332" t="s">
        <v>78</v>
      </c>
      <c r="O1332">
        <v>45</v>
      </c>
      <c r="P1332" t="s">
        <v>40</v>
      </c>
      <c r="Q1332">
        <v>0.1</v>
      </c>
      <c r="R1332">
        <v>40.5</v>
      </c>
      <c r="S1332" t="s">
        <v>31</v>
      </c>
      <c r="T1332" t="s">
        <v>48</v>
      </c>
      <c r="U1332">
        <v>38.581600000000002</v>
      </c>
      <c r="V1332">
        <v>-121.4944</v>
      </c>
      <c r="W1332" s="2">
        <v>45065</v>
      </c>
      <c r="X1332">
        <v>6</v>
      </c>
      <c r="Y1332" t="b">
        <v>1</v>
      </c>
      <c r="Z1332" s="2">
        <v>45817</v>
      </c>
      <c r="AA1332" t="str">
        <f t="shared" si="201"/>
        <v>30–39</v>
      </c>
      <c r="AB1332" t="str">
        <f t="shared" si="202"/>
        <v>30–39</v>
      </c>
      <c r="AC1332" t="str">
        <f t="shared" si="203"/>
        <v/>
      </c>
      <c r="AD1332" t="str">
        <f t="shared" si="204"/>
        <v>Tuesday</v>
      </c>
      <c r="AE1332" t="str">
        <f t="shared" si="205"/>
        <v>Wednesday</v>
      </c>
      <c r="AF1332" t="str">
        <f t="shared" si="206"/>
        <v/>
      </c>
      <c r="AG1332" t="str">
        <f t="shared" si="207"/>
        <v/>
      </c>
      <c r="AH1332" t="str">
        <f t="shared" si="208"/>
        <v>Saturday</v>
      </c>
      <c r="AI1332" t="str">
        <f t="shared" si="209"/>
        <v/>
      </c>
      <c r="AJ1332" t="str">
        <f>LEFT(Table1[[#This Row],[membership_type]],2)&amp;TEXT(Table1[[#This Row],[age]],"00")&amp;"-"&amp;TEXT(ROW(),"000")</f>
        <v>Pr32-1332</v>
      </c>
      <c r="AK1332" t="str">
        <f>LEFT(Table1[[#This Row],[membership_type]],1)&amp;TEXT(MATCH(Table1[[#This Row],[membership_type]],Table1[membership_type],0),"00")</f>
        <v>P01</v>
      </c>
      <c r="AL1332" t="str">
        <f>LEFT(Table1[[#This Row],[discount_type]],1)&amp;TEXT(ROUND(Table1[[#This Row],[discount_rate]]*100,0),"00")</f>
        <v>L10</v>
      </c>
      <c r="AM1332" t="str" cm="1">
        <f t="array" ref="AM1332">TEXT(SUMPRODUCT(CODE(MID(Table1[[#This Row],[home_gym_location]],_xlfn.SEQUENCE(LEN(Table1[[#This Row],[home_gym_location]])),1))),"00000")</f>
        <v>01245</v>
      </c>
      <c r="AN133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32" t="str">
        <f>LEFT(_xlfn.TEXTBEFORE(Table1[[#This Row],[Location Identifier]],"-"),3) &amp; "-" &amp; _xlfn.TEXTAFTER(Table1[[#This Row],[Location Identifier]],"-")</f>
        <v>SAC-007</v>
      </c>
      <c r="AP1332" s="9">
        <f t="shared" ca="1" si="200"/>
        <v>45869</v>
      </c>
    </row>
    <row r="1333" spans="1:42" x14ac:dyDescent="0.25">
      <c r="A1333">
        <v>33</v>
      </c>
      <c r="B1333" t="s">
        <v>33</v>
      </c>
      <c r="C1333">
        <v>3</v>
      </c>
      <c r="D1333" t="s">
        <v>60</v>
      </c>
      <c r="E1333" t="b">
        <v>1</v>
      </c>
      <c r="F1333" s="1">
        <v>0.70763888888888893</v>
      </c>
      <c r="G1333" s="1">
        <v>0.77152777777777781</v>
      </c>
      <c r="H1333">
        <v>92</v>
      </c>
      <c r="I1333" t="b">
        <v>1</v>
      </c>
      <c r="J1333" t="b">
        <v>1</v>
      </c>
      <c r="K1333" t="b">
        <v>0</v>
      </c>
      <c r="L1333" t="s">
        <v>47</v>
      </c>
      <c r="M1333">
        <v>30</v>
      </c>
      <c r="N1333" t="s">
        <v>64</v>
      </c>
      <c r="O1333">
        <v>22.5</v>
      </c>
      <c r="P1333" t="s">
        <v>74</v>
      </c>
      <c r="Q1333">
        <v>0.15</v>
      </c>
      <c r="R1333">
        <v>19.125</v>
      </c>
      <c r="S1333" t="s">
        <v>37</v>
      </c>
      <c r="T1333" t="s">
        <v>65</v>
      </c>
      <c r="U1333">
        <v>33.770099999999999</v>
      </c>
      <c r="V1333">
        <v>-118.19370000000001</v>
      </c>
      <c r="W1333" s="2">
        <v>45587</v>
      </c>
      <c r="X1333">
        <v>2</v>
      </c>
      <c r="Y1333" t="b">
        <v>1</v>
      </c>
      <c r="Z1333" s="2">
        <v>45847</v>
      </c>
      <c r="AA1333" t="str">
        <f t="shared" si="201"/>
        <v>30–39</v>
      </c>
      <c r="AB1333" t="str">
        <f t="shared" si="202"/>
        <v>30–39</v>
      </c>
      <c r="AC1333" t="str">
        <f t="shared" si="203"/>
        <v/>
      </c>
      <c r="AD1333" t="str">
        <f t="shared" si="204"/>
        <v/>
      </c>
      <c r="AE1333" t="str">
        <f t="shared" si="205"/>
        <v>Wednesday</v>
      </c>
      <c r="AF1333" t="str">
        <f t="shared" si="206"/>
        <v/>
      </c>
      <c r="AG1333" t="str">
        <f t="shared" si="207"/>
        <v/>
      </c>
      <c r="AH1333" t="str">
        <f t="shared" si="208"/>
        <v>Saturday</v>
      </c>
      <c r="AI1333" t="str">
        <f t="shared" si="209"/>
        <v>Sunday</v>
      </c>
      <c r="AJ1333" t="str">
        <f>LEFT(Table1[[#This Row],[membership_type]],2)&amp;TEXT(Table1[[#This Row],[age]],"00")&amp;"-"&amp;TEXT(ROW(),"000")</f>
        <v>St33-1333</v>
      </c>
      <c r="AK1333" t="str">
        <f>LEFT(Table1[[#This Row],[membership_type]],1)&amp;TEXT(MATCH(Table1[[#This Row],[membership_type]],Table1[membership_type],0),"00")</f>
        <v>S02</v>
      </c>
      <c r="AL1333" t="str">
        <f>LEFT(Table1[[#This Row],[discount_type]],1)&amp;TEXT(ROUND(Table1[[#This Row],[discount_rate]]*100,0),"00")</f>
        <v>S15</v>
      </c>
      <c r="AM1333" t="str" cm="1">
        <f t="array" ref="AM1333">TEXT(SUMPRODUCT(CODE(MID(Table1[[#This Row],[home_gym_location]],_xlfn.SEQUENCE(LEN(Table1[[#This Row],[home_gym_location]])),1))),"00000")</f>
        <v>01107</v>
      </c>
      <c r="AN133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33" t="str">
        <f>LEFT(_xlfn.TEXTBEFORE(Table1[[#This Row],[Location Identifier]],"-"),3) &amp; "-" &amp; _xlfn.TEXTAFTER(Table1[[#This Row],[Location Identifier]],"-")</f>
        <v>LON-004</v>
      </c>
      <c r="AP1333" s="9">
        <f t="shared" ca="1" si="200"/>
        <v>45869</v>
      </c>
    </row>
    <row r="1334" spans="1:42" x14ac:dyDescent="0.25">
      <c r="A1334">
        <v>21</v>
      </c>
      <c r="B1334" t="s">
        <v>42</v>
      </c>
      <c r="C1334">
        <v>5</v>
      </c>
      <c r="D1334" t="s">
        <v>152</v>
      </c>
      <c r="E1334" t="b">
        <v>1</v>
      </c>
      <c r="F1334" s="1">
        <v>0.48333333333333334</v>
      </c>
      <c r="G1334" s="1">
        <v>0.59930555555555554</v>
      </c>
      <c r="H1334">
        <v>167</v>
      </c>
      <c r="I1334" t="b">
        <v>0</v>
      </c>
      <c r="J1334" t="b">
        <v>0</v>
      </c>
      <c r="K1334" t="b">
        <v>0</v>
      </c>
      <c r="L1334" t="s">
        <v>62</v>
      </c>
      <c r="M1334">
        <v>20</v>
      </c>
      <c r="N1334" t="s">
        <v>64</v>
      </c>
      <c r="O1334">
        <v>15</v>
      </c>
      <c r="P1334" t="s">
        <v>36</v>
      </c>
      <c r="Q1334">
        <v>0</v>
      </c>
      <c r="R1334">
        <v>15</v>
      </c>
      <c r="S1334" t="s">
        <v>44</v>
      </c>
      <c r="T1334" t="s">
        <v>45</v>
      </c>
      <c r="U1334">
        <v>33.836599999999997</v>
      </c>
      <c r="V1334">
        <v>-117.9143</v>
      </c>
      <c r="W1334" s="2">
        <v>44769</v>
      </c>
      <c r="X1334">
        <v>0</v>
      </c>
      <c r="Y1334" t="b">
        <v>0</v>
      </c>
      <c r="Z1334" s="2">
        <v>45801</v>
      </c>
      <c r="AA1334" t="str">
        <f t="shared" si="201"/>
        <v>20–29</v>
      </c>
      <c r="AB1334" t="str">
        <f t="shared" si="202"/>
        <v>20–29</v>
      </c>
      <c r="AC1334" t="str">
        <f t="shared" si="203"/>
        <v>Monday</v>
      </c>
      <c r="AD1334" t="str">
        <f t="shared" si="204"/>
        <v>Tuesday</v>
      </c>
      <c r="AE1334" t="str">
        <f t="shared" si="205"/>
        <v>Wednesday</v>
      </c>
      <c r="AF1334" t="str">
        <f t="shared" si="206"/>
        <v/>
      </c>
      <c r="AG1334" t="str">
        <f t="shared" si="207"/>
        <v>Friday</v>
      </c>
      <c r="AH1334" t="str">
        <f t="shared" si="208"/>
        <v>Saturday</v>
      </c>
      <c r="AI1334" t="str">
        <f t="shared" si="209"/>
        <v/>
      </c>
      <c r="AJ1334" t="str">
        <f>LEFT(Table1[[#This Row],[membership_type]],2)&amp;TEXT(Table1[[#This Row],[age]],"00")&amp;"-"&amp;TEXT(ROW(),"000")</f>
        <v>Ba21-1334</v>
      </c>
      <c r="AK1334" t="str">
        <f>LEFT(Table1[[#This Row],[membership_type]],1)&amp;TEXT(MATCH(Table1[[#This Row],[membership_type]],Table1[membership_type],0),"00")</f>
        <v>B04</v>
      </c>
      <c r="AL1334" t="str">
        <f>LEFT(Table1[[#This Row],[discount_type]],1)&amp;TEXT(ROUND(Table1[[#This Row],[discount_rate]]*100,0),"00")</f>
        <v>N00</v>
      </c>
      <c r="AM1334" t="str" cm="1">
        <f t="array" ref="AM1334">TEXT(SUMPRODUCT(CODE(MID(Table1[[#This Row],[home_gym_location]],_xlfn.SEQUENCE(LEN(Table1[[#This Row],[home_gym_location]])),1))),"00000")</f>
        <v>00899</v>
      </c>
      <c r="AN133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34" t="str">
        <f>LEFT(_xlfn.TEXTBEFORE(Table1[[#This Row],[Location Identifier]],"-"),3) &amp; "-" &amp; _xlfn.TEXTAFTER(Table1[[#This Row],[Location Identifier]],"-")</f>
        <v>ANA-001</v>
      </c>
      <c r="AP1334" s="9">
        <f t="shared" ca="1" si="200"/>
        <v>45869</v>
      </c>
    </row>
    <row r="1335" spans="1:42" x14ac:dyDescent="0.25">
      <c r="A1335">
        <v>44</v>
      </c>
      <c r="B1335" t="s">
        <v>33</v>
      </c>
      <c r="C1335">
        <v>2</v>
      </c>
      <c r="D1335" t="s">
        <v>108</v>
      </c>
      <c r="E1335" t="b">
        <v>0</v>
      </c>
      <c r="F1335" s="1">
        <v>0.50069444444444444</v>
      </c>
      <c r="G1335" s="1">
        <v>0.58819444444444446</v>
      </c>
      <c r="H1335">
        <v>126</v>
      </c>
      <c r="I1335" t="b">
        <v>0</v>
      </c>
      <c r="J1335" t="b">
        <v>0</v>
      </c>
      <c r="K1335" t="b">
        <v>1</v>
      </c>
      <c r="L1335" t="s">
        <v>62</v>
      </c>
      <c r="M1335">
        <v>30</v>
      </c>
      <c r="N1335" t="s">
        <v>64</v>
      </c>
      <c r="O1335">
        <v>22.5</v>
      </c>
      <c r="P1335" t="s">
        <v>36</v>
      </c>
      <c r="Q1335">
        <v>0</v>
      </c>
      <c r="R1335">
        <v>22.5</v>
      </c>
      <c r="S1335" t="s">
        <v>37</v>
      </c>
      <c r="T1335" t="s">
        <v>59</v>
      </c>
      <c r="U1335">
        <v>37.774900000000002</v>
      </c>
      <c r="V1335">
        <v>-122.4194</v>
      </c>
      <c r="W1335" s="2">
        <v>44792</v>
      </c>
      <c r="X1335">
        <v>0</v>
      </c>
      <c r="Y1335" t="b">
        <v>1</v>
      </c>
      <c r="Z1335" s="2">
        <v>45802</v>
      </c>
      <c r="AA1335" t="str">
        <f t="shared" si="201"/>
        <v>40–49</v>
      </c>
      <c r="AB1335" t="str">
        <f t="shared" si="202"/>
        <v>40–49</v>
      </c>
      <c r="AC1335" t="str">
        <f t="shared" si="203"/>
        <v/>
      </c>
      <c r="AD1335" t="str">
        <f t="shared" si="204"/>
        <v>Tuesday</v>
      </c>
      <c r="AE1335" t="str">
        <f t="shared" si="205"/>
        <v/>
      </c>
      <c r="AF1335" t="str">
        <f t="shared" si="206"/>
        <v>Thursday</v>
      </c>
      <c r="AG1335" t="str">
        <f t="shared" si="207"/>
        <v/>
      </c>
      <c r="AH1335" t="str">
        <f t="shared" si="208"/>
        <v/>
      </c>
      <c r="AI1335" t="str">
        <f t="shared" si="209"/>
        <v/>
      </c>
      <c r="AJ1335" t="str">
        <f>LEFT(Table1[[#This Row],[membership_type]],2)&amp;TEXT(Table1[[#This Row],[age]],"00")&amp;"-"&amp;TEXT(ROW(),"000")</f>
        <v>St44-1335</v>
      </c>
      <c r="AK1335" t="str">
        <f>LEFT(Table1[[#This Row],[membership_type]],1)&amp;TEXT(MATCH(Table1[[#This Row],[membership_type]],Table1[membership_type],0),"00")</f>
        <v>S02</v>
      </c>
      <c r="AL1335" t="str">
        <f>LEFT(Table1[[#This Row],[discount_type]],1)&amp;TEXT(ROUND(Table1[[#This Row],[discount_rate]]*100,0),"00")</f>
        <v>N00</v>
      </c>
      <c r="AM1335" t="str" cm="1">
        <f t="array" ref="AM1335">TEXT(SUMPRODUCT(CODE(MID(Table1[[#This Row],[home_gym_location]],_xlfn.SEQUENCE(LEN(Table1[[#This Row],[home_gym_location]])),1))),"00000")</f>
        <v>01450</v>
      </c>
      <c r="AN133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35" t="str">
        <f>LEFT(_xlfn.TEXTBEFORE(Table1[[#This Row],[Location Identifier]],"-"),3) &amp; "-" &amp; _xlfn.TEXTAFTER(Table1[[#This Row],[Location Identifier]],"-")</f>
        <v>SAN-009</v>
      </c>
      <c r="AP1335" s="9">
        <f t="shared" ca="1" si="200"/>
        <v>45869</v>
      </c>
    </row>
    <row r="1336" spans="1:42" x14ac:dyDescent="0.25">
      <c r="A1336">
        <v>19</v>
      </c>
      <c r="B1336" t="s">
        <v>26</v>
      </c>
      <c r="C1336">
        <v>1</v>
      </c>
      <c r="D1336" t="s">
        <v>63</v>
      </c>
      <c r="E1336" t="b">
        <v>1</v>
      </c>
      <c r="F1336" s="1">
        <v>0.60416666666666663</v>
      </c>
      <c r="G1336" s="1">
        <v>0.72847222222222219</v>
      </c>
      <c r="H1336">
        <v>179</v>
      </c>
      <c r="I1336" t="b">
        <v>0</v>
      </c>
      <c r="J1336" t="b">
        <v>1</v>
      </c>
      <c r="K1336" t="b">
        <v>1</v>
      </c>
      <c r="L1336" t="s">
        <v>35</v>
      </c>
      <c r="M1336">
        <v>50</v>
      </c>
      <c r="N1336" t="s">
        <v>64</v>
      </c>
      <c r="O1336">
        <v>37.5</v>
      </c>
      <c r="P1336" t="s">
        <v>40</v>
      </c>
      <c r="Q1336">
        <v>0.1</v>
      </c>
      <c r="R1336">
        <v>33.75</v>
      </c>
      <c r="S1336" t="s">
        <v>31</v>
      </c>
      <c r="T1336" t="s">
        <v>32</v>
      </c>
      <c r="U1336">
        <v>37.338200000000001</v>
      </c>
      <c r="V1336">
        <v>-121.88630000000001</v>
      </c>
      <c r="W1336" s="2">
        <v>45138</v>
      </c>
      <c r="X1336">
        <v>3</v>
      </c>
      <c r="Y1336" t="b">
        <v>1</v>
      </c>
      <c r="Z1336" s="2">
        <v>45821</v>
      </c>
      <c r="AA1336" t="str">
        <f t="shared" si="201"/>
        <v>10–19</v>
      </c>
      <c r="AB1336" t="str">
        <f t="shared" si="202"/>
        <v>16–19</v>
      </c>
      <c r="AC1336" t="str">
        <f t="shared" si="203"/>
        <v/>
      </c>
      <c r="AD1336" t="str">
        <f t="shared" si="204"/>
        <v/>
      </c>
      <c r="AE1336" t="str">
        <f t="shared" si="205"/>
        <v>Wednesday</v>
      </c>
      <c r="AF1336" t="str">
        <f t="shared" si="206"/>
        <v/>
      </c>
      <c r="AG1336" t="str">
        <f t="shared" si="207"/>
        <v/>
      </c>
      <c r="AH1336" t="str">
        <f t="shared" si="208"/>
        <v/>
      </c>
      <c r="AI1336" t="str">
        <f t="shared" si="209"/>
        <v/>
      </c>
      <c r="AJ1336" t="str">
        <f>LEFT(Table1[[#This Row],[membership_type]],2)&amp;TEXT(Table1[[#This Row],[age]],"00")&amp;"-"&amp;TEXT(ROW(),"000")</f>
        <v>Pr19-1336</v>
      </c>
      <c r="AK1336" t="str">
        <f>LEFT(Table1[[#This Row],[membership_type]],1)&amp;TEXT(MATCH(Table1[[#This Row],[membership_type]],Table1[membership_type],0),"00")</f>
        <v>P01</v>
      </c>
      <c r="AL1336" t="str">
        <f>LEFT(Table1[[#This Row],[discount_type]],1)&amp;TEXT(ROUND(Table1[[#This Row],[discount_rate]]*100,0),"00")</f>
        <v>L10</v>
      </c>
      <c r="AM1336" t="str" cm="1">
        <f t="array" ref="AM1336">TEXT(SUMPRODUCT(CODE(MID(Table1[[#This Row],[home_gym_location]],_xlfn.SEQUENCE(LEN(Table1[[#This Row],[home_gym_location]])),1))),"00000")</f>
        <v>00931</v>
      </c>
      <c r="AN133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36" t="str">
        <f>LEFT(_xlfn.TEXTBEFORE(Table1[[#This Row],[Location Identifier]],"-"),3) &amp; "-" &amp; _xlfn.TEXTAFTER(Table1[[#This Row],[Location Identifier]],"-")</f>
        <v>SAN-010</v>
      </c>
      <c r="AP1336" s="9">
        <f t="shared" ca="1" si="200"/>
        <v>45869</v>
      </c>
    </row>
    <row r="1337" spans="1:42" x14ac:dyDescent="0.25">
      <c r="A1337">
        <v>14</v>
      </c>
      <c r="B1337" t="s">
        <v>26</v>
      </c>
      <c r="C1337">
        <v>2</v>
      </c>
      <c r="D1337" t="s">
        <v>88</v>
      </c>
      <c r="E1337" t="b">
        <v>1</v>
      </c>
      <c r="F1337" s="1">
        <v>0.43958333333333333</v>
      </c>
      <c r="G1337" s="1">
        <v>0.5395833333333333</v>
      </c>
      <c r="H1337">
        <v>144</v>
      </c>
      <c r="I1337" t="b">
        <v>1</v>
      </c>
      <c r="J1337" t="b">
        <v>0</v>
      </c>
      <c r="K1337" t="b">
        <v>1</v>
      </c>
      <c r="L1337" t="s">
        <v>58</v>
      </c>
      <c r="M1337">
        <v>50</v>
      </c>
      <c r="N1337" t="s">
        <v>64</v>
      </c>
      <c r="O1337">
        <v>37.5</v>
      </c>
      <c r="P1337" t="s">
        <v>36</v>
      </c>
      <c r="Q1337">
        <v>0</v>
      </c>
      <c r="R1337">
        <v>37.5</v>
      </c>
      <c r="S1337" t="s">
        <v>31</v>
      </c>
      <c r="T1337" t="s">
        <v>65</v>
      </c>
      <c r="U1337">
        <v>33.770099999999999</v>
      </c>
      <c r="V1337">
        <v>-118.19370000000001</v>
      </c>
      <c r="W1337" s="2">
        <v>45618</v>
      </c>
      <c r="X1337">
        <v>0</v>
      </c>
      <c r="Y1337" t="b">
        <v>0</v>
      </c>
      <c r="Z1337" s="2">
        <v>45849</v>
      </c>
      <c r="AA1337" t="str">
        <f t="shared" si="201"/>
        <v>10–19</v>
      </c>
      <c r="AB1337" t="str">
        <f t="shared" si="202"/>
        <v>Under 16</v>
      </c>
      <c r="AC1337" t="str">
        <f t="shared" si="203"/>
        <v>Monday</v>
      </c>
      <c r="AD1337" t="str">
        <f t="shared" si="204"/>
        <v/>
      </c>
      <c r="AE1337" t="str">
        <f t="shared" si="205"/>
        <v>Wednesday</v>
      </c>
      <c r="AF1337" t="str">
        <f t="shared" si="206"/>
        <v/>
      </c>
      <c r="AG1337" t="str">
        <f t="shared" si="207"/>
        <v/>
      </c>
      <c r="AH1337" t="str">
        <f t="shared" si="208"/>
        <v/>
      </c>
      <c r="AI1337" t="str">
        <f t="shared" si="209"/>
        <v/>
      </c>
      <c r="AJ1337" t="str">
        <f>LEFT(Table1[[#This Row],[membership_type]],2)&amp;TEXT(Table1[[#This Row],[age]],"00")&amp;"-"&amp;TEXT(ROW(),"000")</f>
        <v>Pr14-1337</v>
      </c>
      <c r="AK1337" t="str">
        <f>LEFT(Table1[[#This Row],[membership_type]],1)&amp;TEXT(MATCH(Table1[[#This Row],[membership_type]],Table1[membership_type],0),"00")</f>
        <v>P01</v>
      </c>
      <c r="AL1337" t="str">
        <f>LEFT(Table1[[#This Row],[discount_type]],1)&amp;TEXT(ROUND(Table1[[#This Row],[discount_rate]]*100,0),"00")</f>
        <v>N00</v>
      </c>
      <c r="AM1337" t="str" cm="1">
        <f t="array" ref="AM1337">TEXT(SUMPRODUCT(CODE(MID(Table1[[#This Row],[home_gym_location]],_xlfn.SEQUENCE(LEN(Table1[[#This Row],[home_gym_location]])),1))),"00000")</f>
        <v>01107</v>
      </c>
      <c r="AN133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37" t="str">
        <f>LEFT(_xlfn.TEXTBEFORE(Table1[[#This Row],[Location Identifier]],"-"),3) &amp; "-" &amp; _xlfn.TEXTAFTER(Table1[[#This Row],[Location Identifier]],"-")</f>
        <v>LON-004</v>
      </c>
      <c r="AP1337" s="9">
        <f t="shared" ca="1" si="200"/>
        <v>45869</v>
      </c>
    </row>
    <row r="1338" spans="1:42" x14ac:dyDescent="0.25">
      <c r="A1338">
        <v>13</v>
      </c>
      <c r="B1338" t="s">
        <v>42</v>
      </c>
      <c r="C1338">
        <v>1</v>
      </c>
      <c r="D1338" t="s">
        <v>95</v>
      </c>
      <c r="E1338" t="b">
        <v>1</v>
      </c>
      <c r="F1338" s="1">
        <v>0.49652777777777779</v>
      </c>
      <c r="G1338" s="1">
        <v>0.53819444444444442</v>
      </c>
      <c r="H1338">
        <v>60</v>
      </c>
      <c r="I1338" t="b">
        <v>0</v>
      </c>
      <c r="J1338" t="b">
        <v>0</v>
      </c>
      <c r="K1338" t="b">
        <v>1</v>
      </c>
      <c r="L1338" t="s">
        <v>62</v>
      </c>
      <c r="M1338">
        <v>20</v>
      </c>
      <c r="N1338" t="s">
        <v>64</v>
      </c>
      <c r="O1338">
        <v>15</v>
      </c>
      <c r="P1338" t="s">
        <v>30</v>
      </c>
      <c r="Q1338">
        <v>0.05</v>
      </c>
      <c r="R1338">
        <v>14.25</v>
      </c>
      <c r="S1338" t="s">
        <v>44</v>
      </c>
      <c r="T1338" t="s">
        <v>65</v>
      </c>
      <c r="U1338">
        <v>33.770099999999999</v>
      </c>
      <c r="V1338">
        <v>-118.19370000000001</v>
      </c>
      <c r="W1338" s="2">
        <v>45106</v>
      </c>
      <c r="X1338">
        <v>0</v>
      </c>
      <c r="Y1338" t="b">
        <v>0</v>
      </c>
      <c r="Z1338" s="2">
        <v>45820</v>
      </c>
      <c r="AA1338" t="str">
        <f t="shared" si="201"/>
        <v>10–19</v>
      </c>
      <c r="AB1338" t="str">
        <f t="shared" si="202"/>
        <v>Under 16</v>
      </c>
      <c r="AC1338" t="str">
        <f t="shared" si="203"/>
        <v/>
      </c>
      <c r="AD1338" t="str">
        <f t="shared" si="204"/>
        <v/>
      </c>
      <c r="AE1338" t="str">
        <f t="shared" si="205"/>
        <v/>
      </c>
      <c r="AF1338" t="str">
        <f t="shared" si="206"/>
        <v/>
      </c>
      <c r="AG1338" t="str">
        <f t="shared" si="207"/>
        <v/>
      </c>
      <c r="AH1338" t="str">
        <f t="shared" si="208"/>
        <v>Saturday</v>
      </c>
      <c r="AI1338" t="str">
        <f t="shared" si="209"/>
        <v/>
      </c>
      <c r="AJ1338" t="str">
        <f>LEFT(Table1[[#This Row],[membership_type]],2)&amp;TEXT(Table1[[#This Row],[age]],"00")&amp;"-"&amp;TEXT(ROW(),"000")</f>
        <v>Ba13-1338</v>
      </c>
      <c r="AK1338" t="str">
        <f>LEFT(Table1[[#This Row],[membership_type]],1)&amp;TEXT(MATCH(Table1[[#This Row],[membership_type]],Table1[membership_type],0),"00")</f>
        <v>B04</v>
      </c>
      <c r="AL1338" t="str">
        <f>LEFT(Table1[[#This Row],[discount_type]],1)&amp;TEXT(ROUND(Table1[[#This Row],[discount_rate]]*100,0),"00")</f>
        <v>P05</v>
      </c>
      <c r="AM1338" t="str" cm="1">
        <f t="array" ref="AM1338">TEXT(SUMPRODUCT(CODE(MID(Table1[[#This Row],[home_gym_location]],_xlfn.SEQUENCE(LEN(Table1[[#This Row],[home_gym_location]])),1))),"00000")</f>
        <v>01107</v>
      </c>
      <c r="AN133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38" t="str">
        <f>LEFT(_xlfn.TEXTBEFORE(Table1[[#This Row],[Location Identifier]],"-"),3) &amp; "-" &amp; _xlfn.TEXTAFTER(Table1[[#This Row],[Location Identifier]],"-")</f>
        <v>LON-004</v>
      </c>
      <c r="AP1338" s="9">
        <f t="shared" ca="1" si="200"/>
        <v>45869</v>
      </c>
    </row>
    <row r="1339" spans="1:42" x14ac:dyDescent="0.25">
      <c r="A1339">
        <v>29</v>
      </c>
      <c r="B1339" t="s">
        <v>51</v>
      </c>
      <c r="C1339">
        <v>2</v>
      </c>
      <c r="D1339" t="s">
        <v>46</v>
      </c>
      <c r="E1339" t="b">
        <v>0</v>
      </c>
      <c r="F1339" s="1">
        <v>0.71458333333333335</v>
      </c>
      <c r="G1339" s="1">
        <v>0.75416666666666665</v>
      </c>
      <c r="H1339">
        <v>57</v>
      </c>
      <c r="I1339" t="b">
        <v>0</v>
      </c>
      <c r="J1339" t="b">
        <v>1</v>
      </c>
      <c r="K1339" t="b">
        <v>1</v>
      </c>
      <c r="L1339" t="s">
        <v>28</v>
      </c>
      <c r="M1339">
        <v>70</v>
      </c>
      <c r="N1339" t="s">
        <v>29</v>
      </c>
      <c r="O1339">
        <v>70</v>
      </c>
      <c r="P1339" t="s">
        <v>36</v>
      </c>
      <c r="Q1339">
        <v>0</v>
      </c>
      <c r="R1339">
        <v>70</v>
      </c>
      <c r="S1339" t="s">
        <v>53</v>
      </c>
      <c r="T1339" t="s">
        <v>50</v>
      </c>
      <c r="U1339">
        <v>34.052199999999999</v>
      </c>
      <c r="V1339">
        <v>-118.2437</v>
      </c>
      <c r="W1339" s="2">
        <v>45754</v>
      </c>
      <c r="X1339">
        <v>6</v>
      </c>
      <c r="Y1339" t="b">
        <v>1</v>
      </c>
      <c r="Z1339" s="2">
        <v>45856</v>
      </c>
      <c r="AA1339" t="str">
        <f t="shared" si="201"/>
        <v>20–29</v>
      </c>
      <c r="AB1339" t="str">
        <f t="shared" si="202"/>
        <v>20–29</v>
      </c>
      <c r="AC1339" t="str">
        <f t="shared" si="203"/>
        <v/>
      </c>
      <c r="AD1339" t="str">
        <f t="shared" si="204"/>
        <v/>
      </c>
      <c r="AE1339" t="str">
        <f t="shared" si="205"/>
        <v>Wednesday</v>
      </c>
      <c r="AF1339" t="str">
        <f t="shared" si="206"/>
        <v/>
      </c>
      <c r="AG1339" t="str">
        <f t="shared" si="207"/>
        <v/>
      </c>
      <c r="AH1339" t="str">
        <f t="shared" si="208"/>
        <v/>
      </c>
      <c r="AI1339" t="str">
        <f t="shared" si="209"/>
        <v>Sunday</v>
      </c>
      <c r="AJ1339" t="str">
        <f>LEFT(Table1[[#This Row],[membership_type]],2)&amp;TEXT(Table1[[#This Row],[age]],"00")&amp;"-"&amp;TEXT(ROW(),"000")</f>
        <v>El29-1339</v>
      </c>
      <c r="AK1339" t="str">
        <f>LEFT(Table1[[#This Row],[membership_type]],1)&amp;TEXT(MATCH(Table1[[#This Row],[membership_type]],Table1[membership_type],0),"00")</f>
        <v>E07</v>
      </c>
      <c r="AL1339" t="str">
        <f>LEFT(Table1[[#This Row],[discount_type]],1)&amp;TEXT(ROUND(Table1[[#This Row],[discount_rate]]*100,0),"00")</f>
        <v>N00</v>
      </c>
      <c r="AM1339" t="str" cm="1">
        <f t="array" ref="AM1339">TEXT(SUMPRODUCT(CODE(MID(Table1[[#This Row],[home_gym_location]],_xlfn.SEQUENCE(LEN(Table1[[#This Row],[home_gym_location]])),1))),"00000")</f>
        <v>01245</v>
      </c>
      <c r="AN133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39" t="str">
        <f>LEFT(_xlfn.TEXTBEFORE(Table1[[#This Row],[Location Identifier]],"-"),3) &amp; "-" &amp; _xlfn.TEXTAFTER(Table1[[#This Row],[Location Identifier]],"-")</f>
        <v>LOS-005</v>
      </c>
      <c r="AP1339" s="9">
        <f t="shared" ca="1" si="200"/>
        <v>45869</v>
      </c>
    </row>
    <row r="1340" spans="1:42" x14ac:dyDescent="0.25">
      <c r="A1340">
        <v>33</v>
      </c>
      <c r="B1340" t="s">
        <v>33</v>
      </c>
      <c r="C1340">
        <v>3</v>
      </c>
      <c r="D1340" t="s">
        <v>60</v>
      </c>
      <c r="E1340" t="b">
        <v>1</v>
      </c>
      <c r="F1340" s="1">
        <v>0.70763888888888893</v>
      </c>
      <c r="G1340" s="1">
        <v>0.77152777777777781</v>
      </c>
      <c r="H1340">
        <v>92</v>
      </c>
      <c r="I1340" t="b">
        <v>1</v>
      </c>
      <c r="J1340" t="b">
        <v>1</v>
      </c>
      <c r="K1340" t="b">
        <v>0</v>
      </c>
      <c r="L1340" t="s">
        <v>47</v>
      </c>
      <c r="M1340">
        <v>30</v>
      </c>
      <c r="N1340" t="s">
        <v>64</v>
      </c>
      <c r="O1340">
        <v>22.5</v>
      </c>
      <c r="P1340" t="s">
        <v>74</v>
      </c>
      <c r="Q1340">
        <v>0.15</v>
      </c>
      <c r="R1340">
        <v>19.125</v>
      </c>
      <c r="S1340" t="s">
        <v>37</v>
      </c>
      <c r="T1340" t="s">
        <v>65</v>
      </c>
      <c r="U1340">
        <v>33.770099999999999</v>
      </c>
      <c r="V1340">
        <v>-118.19370000000001</v>
      </c>
      <c r="W1340" s="2">
        <v>45798</v>
      </c>
      <c r="X1340">
        <v>1</v>
      </c>
      <c r="Y1340" t="b">
        <v>0</v>
      </c>
      <c r="Z1340" s="2">
        <v>45859</v>
      </c>
      <c r="AA1340" t="str">
        <f t="shared" si="201"/>
        <v>30–39</v>
      </c>
      <c r="AB1340" t="str">
        <f t="shared" si="202"/>
        <v>30–39</v>
      </c>
      <c r="AC1340" t="str">
        <f t="shared" si="203"/>
        <v/>
      </c>
      <c r="AD1340" t="str">
        <f t="shared" si="204"/>
        <v/>
      </c>
      <c r="AE1340" t="str">
        <f t="shared" si="205"/>
        <v>Wednesday</v>
      </c>
      <c r="AF1340" t="str">
        <f t="shared" si="206"/>
        <v/>
      </c>
      <c r="AG1340" t="str">
        <f t="shared" si="207"/>
        <v/>
      </c>
      <c r="AH1340" t="str">
        <f t="shared" si="208"/>
        <v>Saturday</v>
      </c>
      <c r="AI1340" t="str">
        <f t="shared" si="209"/>
        <v>Sunday</v>
      </c>
      <c r="AJ1340" t="str">
        <f>LEFT(Table1[[#This Row],[membership_type]],2)&amp;TEXT(Table1[[#This Row],[age]],"00")&amp;"-"&amp;TEXT(ROW(),"000")</f>
        <v>St33-1340</v>
      </c>
      <c r="AK1340" t="str">
        <f>LEFT(Table1[[#This Row],[membership_type]],1)&amp;TEXT(MATCH(Table1[[#This Row],[membership_type]],Table1[membership_type],0),"00")</f>
        <v>S02</v>
      </c>
      <c r="AL1340" t="str">
        <f>LEFT(Table1[[#This Row],[discount_type]],1)&amp;TEXT(ROUND(Table1[[#This Row],[discount_rate]]*100,0),"00")</f>
        <v>S15</v>
      </c>
      <c r="AM1340" t="str" cm="1">
        <f t="array" ref="AM1340">TEXT(SUMPRODUCT(CODE(MID(Table1[[#This Row],[home_gym_location]],_xlfn.SEQUENCE(LEN(Table1[[#This Row],[home_gym_location]])),1))),"00000")</f>
        <v>01107</v>
      </c>
      <c r="AN134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40" t="str">
        <f>LEFT(_xlfn.TEXTBEFORE(Table1[[#This Row],[Location Identifier]],"-"),3) &amp; "-" &amp; _xlfn.TEXTAFTER(Table1[[#This Row],[Location Identifier]],"-")</f>
        <v>LON-004</v>
      </c>
      <c r="AP1340" s="9">
        <f t="shared" ca="1" si="200"/>
        <v>45869</v>
      </c>
    </row>
    <row r="1341" spans="1:42" x14ac:dyDescent="0.25">
      <c r="A1341">
        <v>16</v>
      </c>
      <c r="B1341" t="s">
        <v>42</v>
      </c>
      <c r="C1341">
        <v>3</v>
      </c>
      <c r="D1341" t="s">
        <v>100</v>
      </c>
      <c r="E1341" t="b">
        <v>1</v>
      </c>
      <c r="F1341" s="1">
        <v>0.62013888888888891</v>
      </c>
      <c r="G1341" s="1">
        <v>0.70972222222222225</v>
      </c>
      <c r="H1341">
        <v>129</v>
      </c>
      <c r="I1341" t="b">
        <v>1</v>
      </c>
      <c r="J1341" t="b">
        <v>0</v>
      </c>
      <c r="K1341" t="b">
        <v>1</v>
      </c>
      <c r="L1341" t="s">
        <v>28</v>
      </c>
      <c r="M1341">
        <v>20</v>
      </c>
      <c r="N1341" t="s">
        <v>29</v>
      </c>
      <c r="O1341">
        <v>20</v>
      </c>
      <c r="P1341" t="s">
        <v>36</v>
      </c>
      <c r="Q1341">
        <v>0</v>
      </c>
      <c r="R1341">
        <v>20</v>
      </c>
      <c r="S1341" t="s">
        <v>44</v>
      </c>
      <c r="T1341" t="s">
        <v>50</v>
      </c>
      <c r="U1341">
        <v>34.052199999999999</v>
      </c>
      <c r="V1341">
        <v>-118.2437</v>
      </c>
      <c r="W1341" s="2">
        <v>45556</v>
      </c>
      <c r="X1341">
        <v>0</v>
      </c>
      <c r="Y1341" t="b">
        <v>0</v>
      </c>
      <c r="Z1341" s="2">
        <v>45845</v>
      </c>
      <c r="AA1341" t="str">
        <f t="shared" si="201"/>
        <v>10–19</v>
      </c>
      <c r="AB1341" t="str">
        <f t="shared" si="202"/>
        <v>16–19</v>
      </c>
      <c r="AC1341" t="str">
        <f t="shared" si="203"/>
        <v/>
      </c>
      <c r="AD1341" t="str">
        <f t="shared" si="204"/>
        <v/>
      </c>
      <c r="AE1341" t="str">
        <f t="shared" si="205"/>
        <v>Wednesday</v>
      </c>
      <c r="AF1341" t="str">
        <f t="shared" si="206"/>
        <v/>
      </c>
      <c r="AG1341" t="str">
        <f t="shared" si="207"/>
        <v>Friday</v>
      </c>
      <c r="AH1341" t="str">
        <f t="shared" si="208"/>
        <v/>
      </c>
      <c r="AI1341" t="str">
        <f t="shared" si="209"/>
        <v>Sunday</v>
      </c>
      <c r="AJ1341" t="str">
        <f>LEFT(Table1[[#This Row],[membership_type]],2)&amp;TEXT(Table1[[#This Row],[age]],"00")&amp;"-"&amp;TEXT(ROW(),"000")</f>
        <v>Ba16-1341</v>
      </c>
      <c r="AK1341" t="str">
        <f>LEFT(Table1[[#This Row],[membership_type]],1)&amp;TEXT(MATCH(Table1[[#This Row],[membership_type]],Table1[membership_type],0),"00")</f>
        <v>B04</v>
      </c>
      <c r="AL1341" t="str">
        <f>LEFT(Table1[[#This Row],[discount_type]],1)&amp;TEXT(ROUND(Table1[[#This Row],[discount_rate]]*100,0),"00")</f>
        <v>N00</v>
      </c>
      <c r="AM1341" t="str" cm="1">
        <f t="array" ref="AM1341">TEXT(SUMPRODUCT(CODE(MID(Table1[[#This Row],[home_gym_location]],_xlfn.SEQUENCE(LEN(Table1[[#This Row],[home_gym_location]])),1))),"00000")</f>
        <v>01245</v>
      </c>
      <c r="AN134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41" t="str">
        <f>LEFT(_xlfn.TEXTBEFORE(Table1[[#This Row],[Location Identifier]],"-"),3) &amp; "-" &amp; _xlfn.TEXTAFTER(Table1[[#This Row],[Location Identifier]],"-")</f>
        <v>LOS-005</v>
      </c>
      <c r="AP1341" s="9">
        <f t="shared" ca="1" si="200"/>
        <v>45869</v>
      </c>
    </row>
    <row r="1342" spans="1:42" x14ac:dyDescent="0.25">
      <c r="A1342">
        <v>28</v>
      </c>
      <c r="B1342" t="s">
        <v>42</v>
      </c>
      <c r="C1342">
        <v>3</v>
      </c>
      <c r="D1342" t="s">
        <v>138</v>
      </c>
      <c r="E1342" t="b">
        <v>0</v>
      </c>
      <c r="F1342" s="1">
        <v>0.4284722222222222</v>
      </c>
      <c r="G1342" s="1">
        <v>0.4909722222222222</v>
      </c>
      <c r="H1342">
        <v>90</v>
      </c>
      <c r="I1342" t="b">
        <v>0</v>
      </c>
      <c r="J1342" t="b">
        <v>1</v>
      </c>
      <c r="K1342" t="b">
        <v>0</v>
      </c>
      <c r="L1342" t="s">
        <v>28</v>
      </c>
      <c r="M1342">
        <v>20</v>
      </c>
      <c r="N1342" t="s">
        <v>29</v>
      </c>
      <c r="O1342">
        <v>20</v>
      </c>
      <c r="P1342" t="s">
        <v>30</v>
      </c>
      <c r="Q1342">
        <v>0.05</v>
      </c>
      <c r="R1342">
        <v>19</v>
      </c>
      <c r="S1342" t="s">
        <v>44</v>
      </c>
      <c r="T1342" t="s">
        <v>41</v>
      </c>
      <c r="U1342">
        <v>37.804400000000001</v>
      </c>
      <c r="V1342">
        <v>-122.27119999999999</v>
      </c>
      <c r="W1342" s="2">
        <v>45338</v>
      </c>
      <c r="X1342">
        <v>1</v>
      </c>
      <c r="Y1342" t="b">
        <v>0</v>
      </c>
      <c r="Z1342" s="2">
        <v>45833</v>
      </c>
      <c r="AA1342" t="str">
        <f t="shared" si="201"/>
        <v>20–29</v>
      </c>
      <c r="AB1342" t="str">
        <f t="shared" si="202"/>
        <v>20–29</v>
      </c>
      <c r="AC1342" t="str">
        <f t="shared" si="203"/>
        <v/>
      </c>
      <c r="AD1342" t="str">
        <f t="shared" si="204"/>
        <v>Tuesday</v>
      </c>
      <c r="AE1342" t="str">
        <f t="shared" si="205"/>
        <v/>
      </c>
      <c r="AF1342" t="str">
        <f t="shared" si="206"/>
        <v>Thursday</v>
      </c>
      <c r="AG1342" t="str">
        <f t="shared" si="207"/>
        <v/>
      </c>
      <c r="AH1342" t="str">
        <f t="shared" si="208"/>
        <v/>
      </c>
      <c r="AI1342" t="str">
        <f t="shared" si="209"/>
        <v>Sunday</v>
      </c>
      <c r="AJ1342" t="str">
        <f>LEFT(Table1[[#This Row],[membership_type]],2)&amp;TEXT(Table1[[#This Row],[age]],"00")&amp;"-"&amp;TEXT(ROW(),"000")</f>
        <v>Ba28-1342</v>
      </c>
      <c r="AK1342" t="str">
        <f>LEFT(Table1[[#This Row],[membership_type]],1)&amp;TEXT(MATCH(Table1[[#This Row],[membership_type]],Table1[membership_type],0),"00")</f>
        <v>B04</v>
      </c>
      <c r="AL1342" t="str">
        <f>LEFT(Table1[[#This Row],[discount_type]],1)&amp;TEXT(ROUND(Table1[[#This Row],[discount_rate]]*100,0),"00")</f>
        <v>P05</v>
      </c>
      <c r="AM1342" t="str" cm="1">
        <f t="array" ref="AM1342">TEXT(SUMPRODUCT(CODE(MID(Table1[[#This Row],[home_gym_location]],_xlfn.SEQUENCE(LEN(Table1[[#This Row],[home_gym_location]])),1))),"00000")</f>
        <v>00906</v>
      </c>
      <c r="AN134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42" t="str">
        <f>LEFT(_xlfn.TEXTBEFORE(Table1[[#This Row],[Location Identifier]],"-"),3) &amp; "-" &amp; _xlfn.TEXTAFTER(Table1[[#This Row],[Location Identifier]],"-")</f>
        <v>OAK-006</v>
      </c>
      <c r="AP1342" s="9">
        <f t="shared" ca="1" si="200"/>
        <v>45869</v>
      </c>
    </row>
    <row r="1343" spans="1:42" x14ac:dyDescent="0.25">
      <c r="A1343">
        <v>14</v>
      </c>
      <c r="B1343" t="s">
        <v>33</v>
      </c>
      <c r="C1343">
        <v>3</v>
      </c>
      <c r="D1343" t="s">
        <v>90</v>
      </c>
      <c r="E1343" t="b">
        <v>0</v>
      </c>
      <c r="F1343" s="1">
        <v>0.35694444444444445</v>
      </c>
      <c r="G1343" s="1">
        <v>0.45069444444444445</v>
      </c>
      <c r="H1343">
        <v>135</v>
      </c>
      <c r="I1343" t="b">
        <v>0</v>
      </c>
      <c r="J1343" t="b">
        <v>0</v>
      </c>
      <c r="K1343" t="b">
        <v>1</v>
      </c>
      <c r="L1343" t="s">
        <v>62</v>
      </c>
      <c r="M1343">
        <v>30</v>
      </c>
      <c r="N1343" t="s">
        <v>78</v>
      </c>
      <c r="O1343">
        <v>27</v>
      </c>
      <c r="P1343" t="s">
        <v>36</v>
      </c>
      <c r="Q1343">
        <v>0</v>
      </c>
      <c r="R1343">
        <v>27</v>
      </c>
      <c r="S1343" t="s">
        <v>37</v>
      </c>
      <c r="T1343" t="s">
        <v>54</v>
      </c>
      <c r="U1343">
        <v>32.715699999999998</v>
      </c>
      <c r="V1343">
        <v>-117.1611</v>
      </c>
      <c r="W1343" s="2">
        <v>44906</v>
      </c>
      <c r="X1343">
        <v>0</v>
      </c>
      <c r="Y1343" t="b">
        <v>0</v>
      </c>
      <c r="Z1343" s="2">
        <v>45808</v>
      </c>
      <c r="AA1343" t="str">
        <f t="shared" si="201"/>
        <v>10–19</v>
      </c>
      <c r="AB1343" t="str">
        <f t="shared" si="202"/>
        <v>Under 16</v>
      </c>
      <c r="AC1343" t="str">
        <f t="shared" si="203"/>
        <v/>
      </c>
      <c r="AD1343" t="str">
        <f t="shared" si="204"/>
        <v>Tuesday</v>
      </c>
      <c r="AE1343" t="str">
        <f t="shared" si="205"/>
        <v/>
      </c>
      <c r="AF1343" t="str">
        <f t="shared" si="206"/>
        <v/>
      </c>
      <c r="AG1343" t="str">
        <f t="shared" si="207"/>
        <v/>
      </c>
      <c r="AH1343" t="str">
        <f t="shared" si="208"/>
        <v>Saturday</v>
      </c>
      <c r="AI1343" t="str">
        <f t="shared" si="209"/>
        <v>Sunday</v>
      </c>
      <c r="AJ1343" t="str">
        <f>LEFT(Table1[[#This Row],[membership_type]],2)&amp;TEXT(Table1[[#This Row],[age]],"00")&amp;"-"&amp;TEXT(ROW(),"000")</f>
        <v>St14-1343</v>
      </c>
      <c r="AK1343" t="str">
        <f>LEFT(Table1[[#This Row],[membership_type]],1)&amp;TEXT(MATCH(Table1[[#This Row],[membership_type]],Table1[membership_type],0),"00")</f>
        <v>S02</v>
      </c>
      <c r="AL1343" t="str">
        <f>LEFT(Table1[[#This Row],[discount_type]],1)&amp;TEXT(ROUND(Table1[[#This Row],[discount_rate]]*100,0),"00")</f>
        <v>N00</v>
      </c>
      <c r="AM1343" t="str" cm="1">
        <f t="array" ref="AM1343">TEXT(SUMPRODUCT(CODE(MID(Table1[[#This Row],[home_gym_location]],_xlfn.SEQUENCE(LEN(Table1[[#This Row],[home_gym_location]])),1))),"00000")</f>
        <v>01018</v>
      </c>
      <c r="AN134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43" t="str">
        <f>LEFT(_xlfn.TEXTBEFORE(Table1[[#This Row],[Location Identifier]],"-"),3) &amp; "-" &amp; _xlfn.TEXTAFTER(Table1[[#This Row],[Location Identifier]],"-")</f>
        <v>SAN-008</v>
      </c>
      <c r="AP1343" s="9">
        <f t="shared" ca="1" si="200"/>
        <v>45869</v>
      </c>
    </row>
    <row r="1344" spans="1:42" x14ac:dyDescent="0.25">
      <c r="A1344">
        <v>16</v>
      </c>
      <c r="B1344" t="s">
        <v>26</v>
      </c>
      <c r="C1344">
        <v>4</v>
      </c>
      <c r="D1344" t="s">
        <v>159</v>
      </c>
      <c r="E1344" t="b">
        <v>1</v>
      </c>
      <c r="F1344" s="1">
        <v>0.68125000000000002</v>
      </c>
      <c r="G1344" s="1">
        <v>0.73472222222222228</v>
      </c>
      <c r="H1344">
        <v>77</v>
      </c>
      <c r="I1344" t="b">
        <v>0</v>
      </c>
      <c r="J1344" t="b">
        <v>1</v>
      </c>
      <c r="K1344" t="b">
        <v>0</v>
      </c>
      <c r="L1344" t="s">
        <v>62</v>
      </c>
      <c r="M1344">
        <v>50</v>
      </c>
      <c r="N1344" t="s">
        <v>29</v>
      </c>
      <c r="O1344">
        <v>50</v>
      </c>
      <c r="P1344" t="s">
        <v>40</v>
      </c>
      <c r="Q1344">
        <v>0.1</v>
      </c>
      <c r="R1344">
        <v>45</v>
      </c>
      <c r="S1344" t="s">
        <v>31</v>
      </c>
      <c r="T1344" t="s">
        <v>54</v>
      </c>
      <c r="U1344">
        <v>32.715699999999998</v>
      </c>
      <c r="V1344">
        <v>-117.1611</v>
      </c>
      <c r="W1344" s="2">
        <v>45056</v>
      </c>
      <c r="X1344">
        <v>7</v>
      </c>
      <c r="Y1344" t="b">
        <v>0</v>
      </c>
      <c r="Z1344" s="2">
        <v>45817</v>
      </c>
      <c r="AA1344" t="str">
        <f t="shared" si="201"/>
        <v>10–19</v>
      </c>
      <c r="AB1344" t="str">
        <f t="shared" si="202"/>
        <v>16–19</v>
      </c>
      <c r="AC1344" t="str">
        <f t="shared" si="203"/>
        <v>Monday</v>
      </c>
      <c r="AD1344" t="str">
        <f t="shared" si="204"/>
        <v>Tuesday</v>
      </c>
      <c r="AE1344" t="str">
        <f t="shared" si="205"/>
        <v/>
      </c>
      <c r="AF1344" t="str">
        <f t="shared" si="206"/>
        <v>Thursday</v>
      </c>
      <c r="AG1344" t="str">
        <f t="shared" si="207"/>
        <v/>
      </c>
      <c r="AH1344" t="str">
        <f t="shared" si="208"/>
        <v/>
      </c>
      <c r="AI1344" t="str">
        <f t="shared" si="209"/>
        <v>Sunday</v>
      </c>
      <c r="AJ1344" t="str">
        <f>LEFT(Table1[[#This Row],[membership_type]],2)&amp;TEXT(Table1[[#This Row],[age]],"00")&amp;"-"&amp;TEXT(ROW(),"000")</f>
        <v>Pr16-1344</v>
      </c>
      <c r="AK1344" t="str">
        <f>LEFT(Table1[[#This Row],[membership_type]],1)&amp;TEXT(MATCH(Table1[[#This Row],[membership_type]],Table1[membership_type],0),"00")</f>
        <v>P01</v>
      </c>
      <c r="AL1344" t="str">
        <f>LEFT(Table1[[#This Row],[discount_type]],1)&amp;TEXT(ROUND(Table1[[#This Row],[discount_rate]]*100,0),"00")</f>
        <v>L10</v>
      </c>
      <c r="AM1344" t="str" cm="1">
        <f t="array" ref="AM1344">TEXT(SUMPRODUCT(CODE(MID(Table1[[#This Row],[home_gym_location]],_xlfn.SEQUENCE(LEN(Table1[[#This Row],[home_gym_location]])),1))),"00000")</f>
        <v>01018</v>
      </c>
      <c r="AN134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44" t="str">
        <f>LEFT(_xlfn.TEXTBEFORE(Table1[[#This Row],[Location Identifier]],"-"),3) &amp; "-" &amp; _xlfn.TEXTAFTER(Table1[[#This Row],[Location Identifier]],"-")</f>
        <v>SAN-008</v>
      </c>
      <c r="AP1344" s="9">
        <f t="shared" ca="1" si="200"/>
        <v>45869</v>
      </c>
    </row>
    <row r="1345" spans="1:42" x14ac:dyDescent="0.25">
      <c r="A1345">
        <v>49</v>
      </c>
      <c r="B1345" t="s">
        <v>26</v>
      </c>
      <c r="C1345">
        <v>1</v>
      </c>
      <c r="D1345" t="s">
        <v>71</v>
      </c>
      <c r="E1345" t="b">
        <v>1</v>
      </c>
      <c r="F1345" s="1">
        <v>0.84930555555555554</v>
      </c>
      <c r="G1345" s="1">
        <v>0.88055555555555554</v>
      </c>
      <c r="H1345">
        <v>45</v>
      </c>
      <c r="I1345" t="b">
        <v>1</v>
      </c>
      <c r="J1345" t="b">
        <v>0</v>
      </c>
      <c r="K1345" t="b">
        <v>1</v>
      </c>
      <c r="L1345" t="s">
        <v>28</v>
      </c>
      <c r="M1345">
        <v>50</v>
      </c>
      <c r="N1345" t="s">
        <v>29</v>
      </c>
      <c r="O1345">
        <v>50</v>
      </c>
      <c r="P1345" t="s">
        <v>74</v>
      </c>
      <c r="Q1345">
        <v>0.15</v>
      </c>
      <c r="R1345">
        <v>42.5</v>
      </c>
      <c r="S1345" t="s">
        <v>31</v>
      </c>
      <c r="T1345" t="s">
        <v>32</v>
      </c>
      <c r="U1345">
        <v>37.338200000000001</v>
      </c>
      <c r="V1345">
        <v>-121.88630000000001</v>
      </c>
      <c r="W1345" s="2">
        <v>45040</v>
      </c>
      <c r="X1345">
        <v>0</v>
      </c>
      <c r="Y1345" t="b">
        <v>1</v>
      </c>
      <c r="Z1345" s="2">
        <v>45816</v>
      </c>
      <c r="AA1345" t="str">
        <f t="shared" si="201"/>
        <v>40–49</v>
      </c>
      <c r="AB1345" t="str">
        <f t="shared" si="202"/>
        <v>40–49</v>
      </c>
      <c r="AC1345" t="str">
        <f t="shared" si="203"/>
        <v/>
      </c>
      <c r="AD1345" t="str">
        <f t="shared" si="204"/>
        <v>Tuesday</v>
      </c>
      <c r="AE1345" t="str">
        <f t="shared" si="205"/>
        <v/>
      </c>
      <c r="AF1345" t="str">
        <f t="shared" si="206"/>
        <v/>
      </c>
      <c r="AG1345" t="str">
        <f t="shared" si="207"/>
        <v/>
      </c>
      <c r="AH1345" t="str">
        <f t="shared" si="208"/>
        <v/>
      </c>
      <c r="AI1345" t="str">
        <f t="shared" si="209"/>
        <v/>
      </c>
      <c r="AJ1345" t="str">
        <f>LEFT(Table1[[#This Row],[membership_type]],2)&amp;TEXT(Table1[[#This Row],[age]],"00")&amp;"-"&amp;TEXT(ROW(),"000")</f>
        <v>Pr49-1345</v>
      </c>
      <c r="AK1345" t="str">
        <f>LEFT(Table1[[#This Row],[membership_type]],1)&amp;TEXT(MATCH(Table1[[#This Row],[membership_type]],Table1[membership_type],0),"00")</f>
        <v>P01</v>
      </c>
      <c r="AL1345" t="str">
        <f>LEFT(Table1[[#This Row],[discount_type]],1)&amp;TEXT(ROUND(Table1[[#This Row],[discount_rate]]*100,0),"00")</f>
        <v>S15</v>
      </c>
      <c r="AM1345" t="str" cm="1">
        <f t="array" ref="AM1345">TEXT(SUMPRODUCT(CODE(MID(Table1[[#This Row],[home_gym_location]],_xlfn.SEQUENCE(LEN(Table1[[#This Row],[home_gym_location]])),1))),"00000")</f>
        <v>00931</v>
      </c>
      <c r="AN134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45" t="str">
        <f>LEFT(_xlfn.TEXTBEFORE(Table1[[#This Row],[Location Identifier]],"-"),3) &amp; "-" &amp; _xlfn.TEXTAFTER(Table1[[#This Row],[Location Identifier]],"-")</f>
        <v>SAN-010</v>
      </c>
      <c r="AP1345" s="9">
        <f t="shared" ca="1" si="200"/>
        <v>45869</v>
      </c>
    </row>
    <row r="1346" spans="1:42" x14ac:dyDescent="0.25">
      <c r="A1346">
        <v>22</v>
      </c>
      <c r="B1346" t="s">
        <v>26</v>
      </c>
      <c r="C1346">
        <v>1</v>
      </c>
      <c r="D1346" t="s">
        <v>75</v>
      </c>
      <c r="E1346" t="b">
        <v>0</v>
      </c>
      <c r="F1346" s="1">
        <v>0.47986111111111113</v>
      </c>
      <c r="G1346" s="1">
        <v>0.50902777777777775</v>
      </c>
      <c r="H1346">
        <v>42</v>
      </c>
      <c r="I1346" t="b">
        <v>1</v>
      </c>
      <c r="J1346" t="b">
        <v>1</v>
      </c>
      <c r="K1346" t="b">
        <v>1</v>
      </c>
      <c r="L1346" t="s">
        <v>28</v>
      </c>
      <c r="M1346">
        <v>50</v>
      </c>
      <c r="N1346" t="s">
        <v>29</v>
      </c>
      <c r="O1346">
        <v>50</v>
      </c>
      <c r="P1346" t="s">
        <v>30</v>
      </c>
      <c r="Q1346">
        <v>0.05</v>
      </c>
      <c r="R1346">
        <v>47.5</v>
      </c>
      <c r="S1346" t="s">
        <v>31</v>
      </c>
      <c r="T1346" t="s">
        <v>32</v>
      </c>
      <c r="U1346">
        <v>37.338200000000001</v>
      </c>
      <c r="V1346">
        <v>-121.88630000000001</v>
      </c>
      <c r="W1346" s="2">
        <v>45377</v>
      </c>
      <c r="X1346">
        <v>4</v>
      </c>
      <c r="Y1346" t="b">
        <v>1</v>
      </c>
      <c r="Z1346" s="2">
        <v>45835</v>
      </c>
      <c r="AA1346" t="str">
        <f t="shared" si="201"/>
        <v>20–29</v>
      </c>
      <c r="AB1346" t="str">
        <f t="shared" si="202"/>
        <v>20–29</v>
      </c>
      <c r="AC1346" t="str">
        <f t="shared" si="203"/>
        <v/>
      </c>
      <c r="AD1346" t="str">
        <f t="shared" si="204"/>
        <v/>
      </c>
      <c r="AE1346" t="str">
        <f t="shared" si="205"/>
        <v/>
      </c>
      <c r="AF1346" t="str">
        <f t="shared" si="206"/>
        <v/>
      </c>
      <c r="AG1346" t="str">
        <f t="shared" si="207"/>
        <v>Friday</v>
      </c>
      <c r="AH1346" t="str">
        <f t="shared" si="208"/>
        <v/>
      </c>
      <c r="AI1346" t="str">
        <f t="shared" si="209"/>
        <v/>
      </c>
      <c r="AJ1346" t="str">
        <f>LEFT(Table1[[#This Row],[membership_type]],2)&amp;TEXT(Table1[[#This Row],[age]],"00")&amp;"-"&amp;TEXT(ROW(),"000")</f>
        <v>Pr22-1346</v>
      </c>
      <c r="AK1346" t="str">
        <f>LEFT(Table1[[#This Row],[membership_type]],1)&amp;TEXT(MATCH(Table1[[#This Row],[membership_type]],Table1[membership_type],0),"00")</f>
        <v>P01</v>
      </c>
      <c r="AL1346" t="str">
        <f>LEFT(Table1[[#This Row],[discount_type]],1)&amp;TEXT(ROUND(Table1[[#This Row],[discount_rate]]*100,0),"00")</f>
        <v>P05</v>
      </c>
      <c r="AM1346" t="str" cm="1">
        <f t="array" ref="AM1346">TEXT(SUMPRODUCT(CODE(MID(Table1[[#This Row],[home_gym_location]],_xlfn.SEQUENCE(LEN(Table1[[#This Row],[home_gym_location]])),1))),"00000")</f>
        <v>00931</v>
      </c>
      <c r="AN134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46" t="str">
        <f>LEFT(_xlfn.TEXTBEFORE(Table1[[#This Row],[Location Identifier]],"-"),3) &amp; "-" &amp; _xlfn.TEXTAFTER(Table1[[#This Row],[Location Identifier]],"-")</f>
        <v>SAN-010</v>
      </c>
      <c r="AP1346" s="9">
        <f t="shared" ref="AP1346:AP1409" ca="1" si="210">EOMONTH(DATE(YEAR(TODAY()),7,1),0)</f>
        <v>45869</v>
      </c>
    </row>
    <row r="1347" spans="1:42" x14ac:dyDescent="0.25">
      <c r="A1347">
        <v>49</v>
      </c>
      <c r="B1347" t="s">
        <v>26</v>
      </c>
      <c r="C1347">
        <v>1</v>
      </c>
      <c r="D1347" t="s">
        <v>71</v>
      </c>
      <c r="E1347" t="b">
        <v>1</v>
      </c>
      <c r="F1347" s="1">
        <v>0.6791666666666667</v>
      </c>
      <c r="G1347" s="1">
        <v>0.73263888888888884</v>
      </c>
      <c r="H1347">
        <v>77</v>
      </c>
      <c r="I1347" t="b">
        <v>1</v>
      </c>
      <c r="J1347" t="b">
        <v>0</v>
      </c>
      <c r="K1347" t="b">
        <v>0</v>
      </c>
      <c r="L1347" t="s">
        <v>28</v>
      </c>
      <c r="M1347">
        <v>50</v>
      </c>
      <c r="N1347" t="s">
        <v>29</v>
      </c>
      <c r="O1347">
        <v>50</v>
      </c>
      <c r="P1347" t="s">
        <v>36</v>
      </c>
      <c r="Q1347">
        <v>0</v>
      </c>
      <c r="R1347">
        <v>50</v>
      </c>
      <c r="S1347" t="s">
        <v>31</v>
      </c>
      <c r="T1347" t="s">
        <v>32</v>
      </c>
      <c r="U1347">
        <v>37.338200000000001</v>
      </c>
      <c r="V1347">
        <v>-121.88630000000001</v>
      </c>
      <c r="W1347" s="2">
        <v>45462</v>
      </c>
      <c r="X1347">
        <v>0</v>
      </c>
      <c r="Y1347" t="b">
        <v>1</v>
      </c>
      <c r="Z1347" s="2">
        <v>45840</v>
      </c>
      <c r="AA1347" t="str">
        <f t="shared" ref="AA1347:AA1410" si="211">TEXT(10*INT($A1347/10),"0")&amp;"–"&amp;TEXT(10*INT($A1347/10)+9,"0")</f>
        <v>40–49</v>
      </c>
      <c r="AB1347" t="str">
        <f t="shared" ref="AB1347:AB1410" si="212">IF(AND($AA1347 = "10–19", $A1347 &lt; 16), "Under 16", IF(AND($AA1347 = "10–19", $A1347 &gt;= 16), "16–19", $AA1347))</f>
        <v>40–49</v>
      </c>
      <c r="AC1347" t="str">
        <f t="shared" ref="AC1347:AC1410" si="213">IF(ISNUMBER(SEARCH("Mon", $D1347)), "Monday", "")</f>
        <v/>
      </c>
      <c r="AD1347" t="str">
        <f t="shared" ref="AD1347:AD1410" si="214">IF(ISNUMBER(SEARCH("Tue", $D1347)), "Tuesday", "")</f>
        <v>Tuesday</v>
      </c>
      <c r="AE1347" t="str">
        <f t="shared" ref="AE1347:AE1410" si="215">IF(ISNUMBER(SEARCH("Wed", $D1347)), "Wednesday", "")</f>
        <v/>
      </c>
      <c r="AF1347" t="str">
        <f t="shared" ref="AF1347:AF1410" si="216">IF(ISNUMBER(SEARCH("Thu", $D1347)), "Thursday", "")</f>
        <v/>
      </c>
      <c r="AG1347" t="str">
        <f t="shared" ref="AG1347:AG1410" si="217">IF(ISNUMBER(SEARCH("Fri", $D1347)), "Friday", "")</f>
        <v/>
      </c>
      <c r="AH1347" t="str">
        <f t="shared" ref="AH1347:AH1410" si="218">IF(ISNUMBER(SEARCH("Sat", $D1347)), "Saturday", "")</f>
        <v/>
      </c>
      <c r="AI1347" t="str">
        <f t="shared" ref="AI1347:AI1410" si="219">IF(ISNUMBER(SEARCH("Sun", $D1347)), "Sunday", "")</f>
        <v/>
      </c>
      <c r="AJ1347" t="str">
        <f>LEFT(Table1[[#This Row],[membership_type]],2)&amp;TEXT(Table1[[#This Row],[age]],"00")&amp;"-"&amp;TEXT(ROW(),"000")</f>
        <v>Pr49-1347</v>
      </c>
      <c r="AK1347" t="str">
        <f>LEFT(Table1[[#This Row],[membership_type]],1)&amp;TEXT(MATCH(Table1[[#This Row],[membership_type]],Table1[membership_type],0),"00")</f>
        <v>P01</v>
      </c>
      <c r="AL1347" t="str">
        <f>LEFT(Table1[[#This Row],[discount_type]],1)&amp;TEXT(ROUND(Table1[[#This Row],[discount_rate]]*100,0),"00")</f>
        <v>N00</v>
      </c>
      <c r="AM1347" t="str" cm="1">
        <f t="array" ref="AM1347">TEXT(SUMPRODUCT(CODE(MID(Table1[[#This Row],[home_gym_location]],_xlfn.SEQUENCE(LEN(Table1[[#This Row],[home_gym_location]])),1))),"00000")</f>
        <v>00931</v>
      </c>
      <c r="AN134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47" t="str">
        <f>LEFT(_xlfn.TEXTBEFORE(Table1[[#This Row],[Location Identifier]],"-"),3) &amp; "-" &amp; _xlfn.TEXTAFTER(Table1[[#This Row],[Location Identifier]],"-")</f>
        <v>SAN-010</v>
      </c>
      <c r="AP1347" s="9">
        <f t="shared" ca="1" si="210"/>
        <v>45869</v>
      </c>
    </row>
    <row r="1348" spans="1:42" x14ac:dyDescent="0.25">
      <c r="A1348">
        <v>14</v>
      </c>
      <c r="B1348" t="s">
        <v>26</v>
      </c>
      <c r="C1348">
        <v>3</v>
      </c>
      <c r="D1348" t="s">
        <v>91</v>
      </c>
      <c r="E1348" t="b">
        <v>0</v>
      </c>
      <c r="F1348" s="1">
        <v>0.3611111111111111</v>
      </c>
      <c r="G1348" s="1">
        <v>0.42708333333333331</v>
      </c>
      <c r="H1348">
        <v>95</v>
      </c>
      <c r="I1348" t="b">
        <v>0</v>
      </c>
      <c r="J1348" t="b">
        <v>1</v>
      </c>
      <c r="K1348" t="b">
        <v>1</v>
      </c>
      <c r="L1348" t="s">
        <v>62</v>
      </c>
      <c r="M1348">
        <v>50</v>
      </c>
      <c r="N1348" t="s">
        <v>64</v>
      </c>
      <c r="O1348">
        <v>37.5</v>
      </c>
      <c r="P1348" t="s">
        <v>74</v>
      </c>
      <c r="Q1348">
        <v>0.15</v>
      </c>
      <c r="R1348">
        <v>31.875</v>
      </c>
      <c r="S1348" t="s">
        <v>31</v>
      </c>
      <c r="T1348" t="s">
        <v>59</v>
      </c>
      <c r="U1348">
        <v>37.774900000000002</v>
      </c>
      <c r="V1348">
        <v>-122.4194</v>
      </c>
      <c r="W1348" s="2">
        <v>45435</v>
      </c>
      <c r="X1348">
        <v>3</v>
      </c>
      <c r="Y1348" t="b">
        <v>1</v>
      </c>
      <c r="Z1348" s="2">
        <v>45838</v>
      </c>
      <c r="AA1348" t="str">
        <f t="shared" si="211"/>
        <v>10–19</v>
      </c>
      <c r="AB1348" t="str">
        <f t="shared" si="212"/>
        <v>Under 16</v>
      </c>
      <c r="AC1348" t="str">
        <f t="shared" si="213"/>
        <v>Monday</v>
      </c>
      <c r="AD1348" t="str">
        <f t="shared" si="214"/>
        <v/>
      </c>
      <c r="AE1348" t="str">
        <f t="shared" si="215"/>
        <v/>
      </c>
      <c r="AF1348" t="str">
        <f t="shared" si="216"/>
        <v>Thursday</v>
      </c>
      <c r="AG1348" t="str">
        <f t="shared" si="217"/>
        <v/>
      </c>
      <c r="AH1348" t="str">
        <f t="shared" si="218"/>
        <v>Saturday</v>
      </c>
      <c r="AI1348" t="str">
        <f t="shared" si="219"/>
        <v/>
      </c>
      <c r="AJ1348" t="str">
        <f>LEFT(Table1[[#This Row],[membership_type]],2)&amp;TEXT(Table1[[#This Row],[age]],"00")&amp;"-"&amp;TEXT(ROW(),"000")</f>
        <v>Pr14-1348</v>
      </c>
      <c r="AK1348" t="str">
        <f>LEFT(Table1[[#This Row],[membership_type]],1)&amp;TEXT(MATCH(Table1[[#This Row],[membership_type]],Table1[membership_type],0),"00")</f>
        <v>P01</v>
      </c>
      <c r="AL1348" t="str">
        <f>LEFT(Table1[[#This Row],[discount_type]],1)&amp;TEXT(ROUND(Table1[[#This Row],[discount_rate]]*100,0),"00")</f>
        <v>S15</v>
      </c>
      <c r="AM1348" t="str" cm="1">
        <f t="array" ref="AM1348">TEXT(SUMPRODUCT(CODE(MID(Table1[[#This Row],[home_gym_location]],_xlfn.SEQUENCE(LEN(Table1[[#This Row],[home_gym_location]])),1))),"00000")</f>
        <v>01450</v>
      </c>
      <c r="AN134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48" t="str">
        <f>LEFT(_xlfn.TEXTBEFORE(Table1[[#This Row],[Location Identifier]],"-"),3) &amp; "-" &amp; _xlfn.TEXTAFTER(Table1[[#This Row],[Location Identifier]],"-")</f>
        <v>SAN-009</v>
      </c>
      <c r="AP1348" s="9">
        <f t="shared" ca="1" si="210"/>
        <v>45869</v>
      </c>
    </row>
    <row r="1349" spans="1:42" x14ac:dyDescent="0.25">
      <c r="A1349">
        <v>49</v>
      </c>
      <c r="B1349" t="s">
        <v>33</v>
      </c>
      <c r="C1349">
        <v>2</v>
      </c>
      <c r="D1349" t="s">
        <v>139</v>
      </c>
      <c r="E1349" t="b">
        <v>0</v>
      </c>
      <c r="F1349" s="1">
        <v>0.65347222222222223</v>
      </c>
      <c r="G1349" s="1">
        <v>0.73958333333333337</v>
      </c>
      <c r="H1349">
        <v>124</v>
      </c>
      <c r="I1349" t="b">
        <v>1</v>
      </c>
      <c r="J1349" t="b">
        <v>0</v>
      </c>
      <c r="K1349" t="b">
        <v>0</v>
      </c>
      <c r="L1349" t="s">
        <v>28</v>
      </c>
      <c r="M1349">
        <v>30</v>
      </c>
      <c r="N1349" t="s">
        <v>29</v>
      </c>
      <c r="O1349">
        <v>30</v>
      </c>
      <c r="P1349" t="s">
        <v>40</v>
      </c>
      <c r="Q1349">
        <v>0.1</v>
      </c>
      <c r="R1349">
        <v>27</v>
      </c>
      <c r="S1349" t="s">
        <v>37</v>
      </c>
      <c r="T1349" t="s">
        <v>50</v>
      </c>
      <c r="U1349">
        <v>34.052199999999999</v>
      </c>
      <c r="V1349">
        <v>-118.2437</v>
      </c>
      <c r="W1349" s="2">
        <v>44779</v>
      </c>
      <c r="X1349">
        <v>0</v>
      </c>
      <c r="Y1349" t="b">
        <v>0</v>
      </c>
      <c r="Z1349" s="2">
        <v>45801</v>
      </c>
      <c r="AA1349" t="str">
        <f t="shared" si="211"/>
        <v>40–49</v>
      </c>
      <c r="AB1349" t="str">
        <f t="shared" si="212"/>
        <v>40–49</v>
      </c>
      <c r="AC1349" t="str">
        <f t="shared" si="213"/>
        <v/>
      </c>
      <c r="AD1349" t="str">
        <f t="shared" si="214"/>
        <v/>
      </c>
      <c r="AE1349" t="str">
        <f t="shared" si="215"/>
        <v>Wednesday</v>
      </c>
      <c r="AF1349" t="str">
        <f t="shared" si="216"/>
        <v/>
      </c>
      <c r="AG1349" t="str">
        <f t="shared" si="217"/>
        <v/>
      </c>
      <c r="AH1349" t="str">
        <f t="shared" si="218"/>
        <v>Saturday</v>
      </c>
      <c r="AI1349" t="str">
        <f t="shared" si="219"/>
        <v/>
      </c>
      <c r="AJ1349" t="str">
        <f>LEFT(Table1[[#This Row],[membership_type]],2)&amp;TEXT(Table1[[#This Row],[age]],"00")&amp;"-"&amp;TEXT(ROW(),"000")</f>
        <v>St49-1349</v>
      </c>
      <c r="AK1349" t="str">
        <f>LEFT(Table1[[#This Row],[membership_type]],1)&amp;TEXT(MATCH(Table1[[#This Row],[membership_type]],Table1[membership_type],0),"00")</f>
        <v>S02</v>
      </c>
      <c r="AL1349" t="str">
        <f>LEFT(Table1[[#This Row],[discount_type]],1)&amp;TEXT(ROUND(Table1[[#This Row],[discount_rate]]*100,0),"00")</f>
        <v>L10</v>
      </c>
      <c r="AM1349" t="str" cm="1">
        <f t="array" ref="AM1349">TEXT(SUMPRODUCT(CODE(MID(Table1[[#This Row],[home_gym_location]],_xlfn.SEQUENCE(LEN(Table1[[#This Row],[home_gym_location]])),1))),"00000")</f>
        <v>01245</v>
      </c>
      <c r="AN134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49" t="str">
        <f>LEFT(_xlfn.TEXTBEFORE(Table1[[#This Row],[Location Identifier]],"-"),3) &amp; "-" &amp; _xlfn.TEXTAFTER(Table1[[#This Row],[Location Identifier]],"-")</f>
        <v>LOS-005</v>
      </c>
      <c r="AP1349" s="9">
        <f t="shared" ca="1" si="210"/>
        <v>45869</v>
      </c>
    </row>
    <row r="1350" spans="1:42" x14ac:dyDescent="0.25">
      <c r="A1350">
        <v>28</v>
      </c>
      <c r="B1350" t="s">
        <v>26</v>
      </c>
      <c r="C1350">
        <v>1</v>
      </c>
      <c r="D1350" t="s">
        <v>49</v>
      </c>
      <c r="E1350" t="b">
        <v>0</v>
      </c>
      <c r="F1350" s="1">
        <v>0.49236111111111114</v>
      </c>
      <c r="G1350" s="1">
        <v>0.59097222222222223</v>
      </c>
      <c r="H1350">
        <v>142</v>
      </c>
      <c r="I1350" t="b">
        <v>1</v>
      </c>
      <c r="J1350" t="b">
        <v>1</v>
      </c>
      <c r="K1350" t="b">
        <v>1</v>
      </c>
      <c r="L1350" t="s">
        <v>47</v>
      </c>
      <c r="M1350">
        <v>50</v>
      </c>
      <c r="N1350" t="s">
        <v>29</v>
      </c>
      <c r="O1350">
        <v>50</v>
      </c>
      <c r="P1350" t="s">
        <v>40</v>
      </c>
      <c r="Q1350">
        <v>0.1</v>
      </c>
      <c r="R1350">
        <v>45</v>
      </c>
      <c r="S1350" t="s">
        <v>31</v>
      </c>
      <c r="T1350" t="s">
        <v>48</v>
      </c>
      <c r="U1350">
        <v>38.581600000000002</v>
      </c>
      <c r="V1350">
        <v>-121.4944</v>
      </c>
      <c r="W1350" s="2">
        <v>45788</v>
      </c>
      <c r="X1350">
        <v>4</v>
      </c>
      <c r="Y1350" t="b">
        <v>1</v>
      </c>
      <c r="Z1350" s="2">
        <v>45858</v>
      </c>
      <c r="AA1350" t="str">
        <f t="shared" si="211"/>
        <v>20–29</v>
      </c>
      <c r="AB1350" t="str">
        <f t="shared" si="212"/>
        <v>20–29</v>
      </c>
      <c r="AC1350" t="str">
        <f t="shared" si="213"/>
        <v/>
      </c>
      <c r="AD1350" t="str">
        <f t="shared" si="214"/>
        <v/>
      </c>
      <c r="AE1350" t="str">
        <f t="shared" si="215"/>
        <v/>
      </c>
      <c r="AF1350" t="str">
        <f t="shared" si="216"/>
        <v/>
      </c>
      <c r="AG1350" t="str">
        <f t="shared" si="217"/>
        <v/>
      </c>
      <c r="AH1350" t="str">
        <f t="shared" si="218"/>
        <v/>
      </c>
      <c r="AI1350" t="str">
        <f t="shared" si="219"/>
        <v>Sunday</v>
      </c>
      <c r="AJ1350" t="str">
        <f>LEFT(Table1[[#This Row],[membership_type]],2)&amp;TEXT(Table1[[#This Row],[age]],"00")&amp;"-"&amp;TEXT(ROW(),"000")</f>
        <v>Pr28-1350</v>
      </c>
      <c r="AK1350" t="str">
        <f>LEFT(Table1[[#This Row],[membership_type]],1)&amp;TEXT(MATCH(Table1[[#This Row],[membership_type]],Table1[membership_type],0),"00")</f>
        <v>P01</v>
      </c>
      <c r="AL1350" t="str">
        <f>LEFT(Table1[[#This Row],[discount_type]],1)&amp;TEXT(ROUND(Table1[[#This Row],[discount_rate]]*100,0),"00")</f>
        <v>L10</v>
      </c>
      <c r="AM1350" t="str" cm="1">
        <f t="array" ref="AM1350">TEXT(SUMPRODUCT(CODE(MID(Table1[[#This Row],[home_gym_location]],_xlfn.SEQUENCE(LEN(Table1[[#This Row],[home_gym_location]])),1))),"00000")</f>
        <v>01245</v>
      </c>
      <c r="AN135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50" t="str">
        <f>LEFT(_xlfn.TEXTBEFORE(Table1[[#This Row],[Location Identifier]],"-"),3) &amp; "-" &amp; _xlfn.TEXTAFTER(Table1[[#This Row],[Location Identifier]],"-")</f>
        <v>SAC-007</v>
      </c>
      <c r="AP1350" s="9">
        <f t="shared" ca="1" si="210"/>
        <v>45869</v>
      </c>
    </row>
    <row r="1351" spans="1:42" x14ac:dyDescent="0.25">
      <c r="A1351">
        <v>21</v>
      </c>
      <c r="B1351" t="s">
        <v>26</v>
      </c>
      <c r="C1351">
        <v>1</v>
      </c>
      <c r="D1351" t="s">
        <v>49</v>
      </c>
      <c r="E1351" t="b">
        <v>1</v>
      </c>
      <c r="F1351" s="1">
        <v>0.6069444444444444</v>
      </c>
      <c r="G1351" s="1">
        <v>0.62777777777777777</v>
      </c>
      <c r="H1351">
        <v>30</v>
      </c>
      <c r="I1351" t="b">
        <v>1</v>
      </c>
      <c r="J1351" t="b">
        <v>1</v>
      </c>
      <c r="K1351" t="b">
        <v>1</v>
      </c>
      <c r="L1351" t="s">
        <v>28</v>
      </c>
      <c r="M1351">
        <v>50</v>
      </c>
      <c r="N1351" t="s">
        <v>64</v>
      </c>
      <c r="O1351">
        <v>37.5</v>
      </c>
      <c r="P1351" t="s">
        <v>36</v>
      </c>
      <c r="Q1351">
        <v>0</v>
      </c>
      <c r="R1351">
        <v>37.5</v>
      </c>
      <c r="S1351" t="s">
        <v>31</v>
      </c>
      <c r="T1351" t="s">
        <v>65</v>
      </c>
      <c r="U1351">
        <v>33.770099999999999</v>
      </c>
      <c r="V1351">
        <v>-118.19370000000001</v>
      </c>
      <c r="W1351" s="2">
        <v>44907</v>
      </c>
      <c r="X1351">
        <v>6</v>
      </c>
      <c r="Y1351" t="b">
        <v>1</v>
      </c>
      <c r="Z1351" s="2">
        <v>45808</v>
      </c>
      <c r="AA1351" t="str">
        <f t="shared" si="211"/>
        <v>20–29</v>
      </c>
      <c r="AB1351" t="str">
        <f t="shared" si="212"/>
        <v>20–29</v>
      </c>
      <c r="AC1351" t="str">
        <f t="shared" si="213"/>
        <v/>
      </c>
      <c r="AD1351" t="str">
        <f t="shared" si="214"/>
        <v/>
      </c>
      <c r="AE1351" t="str">
        <f t="shared" si="215"/>
        <v/>
      </c>
      <c r="AF1351" t="str">
        <f t="shared" si="216"/>
        <v/>
      </c>
      <c r="AG1351" t="str">
        <f t="shared" si="217"/>
        <v/>
      </c>
      <c r="AH1351" t="str">
        <f t="shared" si="218"/>
        <v/>
      </c>
      <c r="AI1351" t="str">
        <f t="shared" si="219"/>
        <v>Sunday</v>
      </c>
      <c r="AJ1351" t="str">
        <f>LEFT(Table1[[#This Row],[membership_type]],2)&amp;TEXT(Table1[[#This Row],[age]],"00")&amp;"-"&amp;TEXT(ROW(),"000")</f>
        <v>Pr21-1351</v>
      </c>
      <c r="AK1351" t="str">
        <f>LEFT(Table1[[#This Row],[membership_type]],1)&amp;TEXT(MATCH(Table1[[#This Row],[membership_type]],Table1[membership_type],0),"00")</f>
        <v>P01</v>
      </c>
      <c r="AL1351" t="str">
        <f>LEFT(Table1[[#This Row],[discount_type]],1)&amp;TEXT(ROUND(Table1[[#This Row],[discount_rate]]*100,0),"00")</f>
        <v>N00</v>
      </c>
      <c r="AM1351" t="str" cm="1">
        <f t="array" ref="AM1351">TEXT(SUMPRODUCT(CODE(MID(Table1[[#This Row],[home_gym_location]],_xlfn.SEQUENCE(LEN(Table1[[#This Row],[home_gym_location]])),1))),"00000")</f>
        <v>01107</v>
      </c>
      <c r="AN135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51" t="str">
        <f>LEFT(_xlfn.TEXTBEFORE(Table1[[#This Row],[Location Identifier]],"-"),3) &amp; "-" &amp; _xlfn.TEXTAFTER(Table1[[#This Row],[Location Identifier]],"-")</f>
        <v>LON-004</v>
      </c>
      <c r="AP1351" s="9">
        <f t="shared" ca="1" si="210"/>
        <v>45869</v>
      </c>
    </row>
    <row r="1352" spans="1:42" x14ac:dyDescent="0.25">
      <c r="A1352">
        <v>21</v>
      </c>
      <c r="B1352" t="s">
        <v>51</v>
      </c>
      <c r="C1352">
        <v>2</v>
      </c>
      <c r="D1352" t="s">
        <v>88</v>
      </c>
      <c r="E1352" t="b">
        <v>0</v>
      </c>
      <c r="F1352" s="1">
        <v>0.84027777777777779</v>
      </c>
      <c r="G1352" s="1">
        <v>0.91388888888888886</v>
      </c>
      <c r="H1352">
        <v>106</v>
      </c>
      <c r="I1352" t="b">
        <v>0</v>
      </c>
      <c r="J1352" t="b">
        <v>0</v>
      </c>
      <c r="K1352" t="b">
        <v>1</v>
      </c>
      <c r="L1352" t="s">
        <v>28</v>
      </c>
      <c r="M1352">
        <v>70</v>
      </c>
      <c r="N1352" t="s">
        <v>64</v>
      </c>
      <c r="O1352">
        <v>52.5</v>
      </c>
      <c r="P1352" t="s">
        <v>36</v>
      </c>
      <c r="Q1352">
        <v>0</v>
      </c>
      <c r="R1352">
        <v>52.5</v>
      </c>
      <c r="S1352" t="s">
        <v>53</v>
      </c>
      <c r="T1352" t="s">
        <v>38</v>
      </c>
      <c r="U1352">
        <v>36.7378</v>
      </c>
      <c r="V1352">
        <v>-119.7871</v>
      </c>
      <c r="W1352" s="2">
        <v>45214</v>
      </c>
      <c r="X1352">
        <v>0</v>
      </c>
      <c r="Y1352" t="b">
        <v>1</v>
      </c>
      <c r="Z1352" s="2">
        <v>45826</v>
      </c>
      <c r="AA1352" t="str">
        <f t="shared" si="211"/>
        <v>20–29</v>
      </c>
      <c r="AB1352" t="str">
        <f t="shared" si="212"/>
        <v>20–29</v>
      </c>
      <c r="AC1352" t="str">
        <f t="shared" si="213"/>
        <v>Monday</v>
      </c>
      <c r="AD1352" t="str">
        <f t="shared" si="214"/>
        <v/>
      </c>
      <c r="AE1352" t="str">
        <f t="shared" si="215"/>
        <v>Wednesday</v>
      </c>
      <c r="AF1352" t="str">
        <f t="shared" si="216"/>
        <v/>
      </c>
      <c r="AG1352" t="str">
        <f t="shared" si="217"/>
        <v/>
      </c>
      <c r="AH1352" t="str">
        <f t="shared" si="218"/>
        <v/>
      </c>
      <c r="AI1352" t="str">
        <f t="shared" si="219"/>
        <v/>
      </c>
      <c r="AJ1352" t="str">
        <f>LEFT(Table1[[#This Row],[membership_type]],2)&amp;TEXT(Table1[[#This Row],[age]],"00")&amp;"-"&amp;TEXT(ROW(),"000")</f>
        <v>El21-1352</v>
      </c>
      <c r="AK1352" t="str">
        <f>LEFT(Table1[[#This Row],[membership_type]],1)&amp;TEXT(MATCH(Table1[[#This Row],[membership_type]],Table1[membership_type],0),"00")</f>
        <v>E07</v>
      </c>
      <c r="AL1352" t="str">
        <f>LEFT(Table1[[#This Row],[discount_type]],1)&amp;TEXT(ROUND(Table1[[#This Row],[discount_rate]]*100,0),"00")</f>
        <v>N00</v>
      </c>
      <c r="AM1352" t="str" cm="1">
        <f t="array" ref="AM1352">TEXT(SUMPRODUCT(CODE(MID(Table1[[#This Row],[home_gym_location]],_xlfn.SEQUENCE(LEN(Table1[[#This Row],[home_gym_location]])),1))),"00000")</f>
        <v>00829</v>
      </c>
      <c r="AN1352" t="str">
        <f>UPPER(_xlfn.TEXTBEFORE(Table1[[#This Row],[home_gym_location]],","))&amp;"-"&amp;TEXT(MATCH(Table1[[#This Row],[home_gym_location]],_xlfn._xlws.SORT(_xlfn.UNIQUE(Table1[home_gym_location])),0),"000")</f>
        <v>FRESNO-003</v>
      </c>
      <c r="AO1352" t="str">
        <f>LEFT(_xlfn.TEXTBEFORE(Table1[[#This Row],[Location Identifier]],"-"),3) &amp; "-" &amp; _xlfn.TEXTAFTER(Table1[[#This Row],[Location Identifier]],"-")</f>
        <v>FRE-003</v>
      </c>
      <c r="AP1352" s="9">
        <f t="shared" ca="1" si="210"/>
        <v>45869</v>
      </c>
    </row>
    <row r="1353" spans="1:42" x14ac:dyDescent="0.25">
      <c r="A1353">
        <v>49</v>
      </c>
      <c r="B1353" t="s">
        <v>26</v>
      </c>
      <c r="C1353">
        <v>1</v>
      </c>
      <c r="D1353" t="s">
        <v>71</v>
      </c>
      <c r="E1353" t="b">
        <v>1</v>
      </c>
      <c r="F1353" s="1">
        <v>0.6791666666666667</v>
      </c>
      <c r="G1353" s="1">
        <v>0.73263888888888884</v>
      </c>
      <c r="H1353">
        <v>77</v>
      </c>
      <c r="I1353" t="b">
        <v>1</v>
      </c>
      <c r="J1353" t="b">
        <v>0</v>
      </c>
      <c r="K1353" t="b">
        <v>0</v>
      </c>
      <c r="L1353" t="s">
        <v>28</v>
      </c>
      <c r="M1353">
        <v>50</v>
      </c>
      <c r="N1353" t="s">
        <v>29</v>
      </c>
      <c r="O1353">
        <v>50</v>
      </c>
      <c r="P1353" t="s">
        <v>36</v>
      </c>
      <c r="Q1353">
        <v>0</v>
      </c>
      <c r="R1353">
        <v>50</v>
      </c>
      <c r="S1353" t="s">
        <v>31</v>
      </c>
      <c r="T1353" t="s">
        <v>32</v>
      </c>
      <c r="U1353">
        <v>37.338200000000001</v>
      </c>
      <c r="V1353">
        <v>-121.88630000000001</v>
      </c>
      <c r="W1353" s="2">
        <v>45363</v>
      </c>
      <c r="X1353">
        <v>0</v>
      </c>
      <c r="Y1353" t="b">
        <v>1</v>
      </c>
      <c r="Z1353" s="2">
        <v>45834</v>
      </c>
      <c r="AA1353" t="str">
        <f t="shared" si="211"/>
        <v>40–49</v>
      </c>
      <c r="AB1353" t="str">
        <f t="shared" si="212"/>
        <v>40–49</v>
      </c>
      <c r="AC1353" t="str">
        <f t="shared" si="213"/>
        <v/>
      </c>
      <c r="AD1353" t="str">
        <f t="shared" si="214"/>
        <v>Tuesday</v>
      </c>
      <c r="AE1353" t="str">
        <f t="shared" si="215"/>
        <v/>
      </c>
      <c r="AF1353" t="str">
        <f t="shared" si="216"/>
        <v/>
      </c>
      <c r="AG1353" t="str">
        <f t="shared" si="217"/>
        <v/>
      </c>
      <c r="AH1353" t="str">
        <f t="shared" si="218"/>
        <v/>
      </c>
      <c r="AI1353" t="str">
        <f t="shared" si="219"/>
        <v/>
      </c>
      <c r="AJ1353" t="str">
        <f>LEFT(Table1[[#This Row],[membership_type]],2)&amp;TEXT(Table1[[#This Row],[age]],"00")&amp;"-"&amp;TEXT(ROW(),"000")</f>
        <v>Pr49-1353</v>
      </c>
      <c r="AK1353" t="str">
        <f>LEFT(Table1[[#This Row],[membership_type]],1)&amp;TEXT(MATCH(Table1[[#This Row],[membership_type]],Table1[membership_type],0),"00")</f>
        <v>P01</v>
      </c>
      <c r="AL1353" t="str">
        <f>LEFT(Table1[[#This Row],[discount_type]],1)&amp;TEXT(ROUND(Table1[[#This Row],[discount_rate]]*100,0),"00")</f>
        <v>N00</v>
      </c>
      <c r="AM1353" t="str" cm="1">
        <f t="array" ref="AM1353">TEXT(SUMPRODUCT(CODE(MID(Table1[[#This Row],[home_gym_location]],_xlfn.SEQUENCE(LEN(Table1[[#This Row],[home_gym_location]])),1))),"00000")</f>
        <v>00931</v>
      </c>
      <c r="AN135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53" t="str">
        <f>LEFT(_xlfn.TEXTBEFORE(Table1[[#This Row],[Location Identifier]],"-"),3) &amp; "-" &amp; _xlfn.TEXTAFTER(Table1[[#This Row],[Location Identifier]],"-")</f>
        <v>SAN-010</v>
      </c>
      <c r="AP1353" s="9">
        <f t="shared" ca="1" si="210"/>
        <v>45869</v>
      </c>
    </row>
    <row r="1354" spans="1:42" x14ac:dyDescent="0.25">
      <c r="A1354">
        <v>24</v>
      </c>
      <c r="B1354" t="s">
        <v>51</v>
      </c>
      <c r="C1354">
        <v>4</v>
      </c>
      <c r="D1354" t="s">
        <v>107</v>
      </c>
      <c r="E1354" t="b">
        <v>0</v>
      </c>
      <c r="F1354" s="1">
        <v>0.64444444444444449</v>
      </c>
      <c r="G1354" s="1">
        <v>0.69027777777777777</v>
      </c>
      <c r="H1354">
        <v>66</v>
      </c>
      <c r="I1354" t="b">
        <v>0</v>
      </c>
      <c r="J1354" t="b">
        <v>1</v>
      </c>
      <c r="K1354" t="b">
        <v>0</v>
      </c>
      <c r="L1354" t="s">
        <v>28</v>
      </c>
      <c r="M1354">
        <v>70</v>
      </c>
      <c r="N1354" t="s">
        <v>29</v>
      </c>
      <c r="O1354">
        <v>70</v>
      </c>
      <c r="P1354" t="s">
        <v>40</v>
      </c>
      <c r="Q1354">
        <v>0.1</v>
      </c>
      <c r="R1354">
        <v>63</v>
      </c>
      <c r="S1354" t="s">
        <v>53</v>
      </c>
      <c r="T1354" t="s">
        <v>38</v>
      </c>
      <c r="U1354">
        <v>36.7378</v>
      </c>
      <c r="V1354">
        <v>-119.7871</v>
      </c>
      <c r="W1354" s="2">
        <v>45058</v>
      </c>
      <c r="X1354">
        <v>3</v>
      </c>
      <c r="Y1354" t="b">
        <v>1</v>
      </c>
      <c r="Z1354" s="2">
        <v>45817</v>
      </c>
      <c r="AA1354" t="str">
        <f t="shared" si="211"/>
        <v>20–29</v>
      </c>
      <c r="AB1354" t="str">
        <f t="shared" si="212"/>
        <v>20–29</v>
      </c>
      <c r="AC1354" t="str">
        <f t="shared" si="213"/>
        <v/>
      </c>
      <c r="AD1354" t="str">
        <f t="shared" si="214"/>
        <v>Tuesday</v>
      </c>
      <c r="AE1354" t="str">
        <f t="shared" si="215"/>
        <v/>
      </c>
      <c r="AF1354" t="str">
        <f t="shared" si="216"/>
        <v/>
      </c>
      <c r="AG1354" t="str">
        <f t="shared" si="217"/>
        <v>Friday</v>
      </c>
      <c r="AH1354" t="str">
        <f t="shared" si="218"/>
        <v>Saturday</v>
      </c>
      <c r="AI1354" t="str">
        <f t="shared" si="219"/>
        <v>Sunday</v>
      </c>
      <c r="AJ1354" t="str">
        <f>LEFT(Table1[[#This Row],[membership_type]],2)&amp;TEXT(Table1[[#This Row],[age]],"00")&amp;"-"&amp;TEXT(ROW(),"000")</f>
        <v>El24-1354</v>
      </c>
      <c r="AK1354" t="str">
        <f>LEFT(Table1[[#This Row],[membership_type]],1)&amp;TEXT(MATCH(Table1[[#This Row],[membership_type]],Table1[membership_type],0),"00")</f>
        <v>E07</v>
      </c>
      <c r="AL1354" t="str">
        <f>LEFT(Table1[[#This Row],[discount_type]],1)&amp;TEXT(ROUND(Table1[[#This Row],[discount_rate]]*100,0),"00")</f>
        <v>L10</v>
      </c>
      <c r="AM1354" t="str" cm="1">
        <f t="array" ref="AM1354">TEXT(SUMPRODUCT(CODE(MID(Table1[[#This Row],[home_gym_location]],_xlfn.SEQUENCE(LEN(Table1[[#This Row],[home_gym_location]])),1))),"00000")</f>
        <v>00829</v>
      </c>
      <c r="AN1354" t="str">
        <f>UPPER(_xlfn.TEXTBEFORE(Table1[[#This Row],[home_gym_location]],","))&amp;"-"&amp;TEXT(MATCH(Table1[[#This Row],[home_gym_location]],_xlfn._xlws.SORT(_xlfn.UNIQUE(Table1[home_gym_location])),0),"000")</f>
        <v>FRESNO-003</v>
      </c>
      <c r="AO1354" t="str">
        <f>LEFT(_xlfn.TEXTBEFORE(Table1[[#This Row],[Location Identifier]],"-"),3) &amp; "-" &amp; _xlfn.TEXTAFTER(Table1[[#This Row],[Location Identifier]],"-")</f>
        <v>FRE-003</v>
      </c>
      <c r="AP1354" s="9">
        <f t="shared" ca="1" si="210"/>
        <v>45869</v>
      </c>
    </row>
    <row r="1355" spans="1:42" x14ac:dyDescent="0.25">
      <c r="A1355">
        <v>25</v>
      </c>
      <c r="B1355" t="s">
        <v>26</v>
      </c>
      <c r="C1355">
        <v>1</v>
      </c>
      <c r="D1355" t="s">
        <v>95</v>
      </c>
      <c r="E1355" t="b">
        <v>0</v>
      </c>
      <c r="F1355" s="1">
        <v>0.66319444444444442</v>
      </c>
      <c r="G1355" s="1">
        <v>0.70138888888888884</v>
      </c>
      <c r="H1355">
        <v>55</v>
      </c>
      <c r="I1355" t="b">
        <v>1</v>
      </c>
      <c r="J1355" t="b">
        <v>0</v>
      </c>
      <c r="K1355" t="b">
        <v>1</v>
      </c>
      <c r="L1355" t="s">
        <v>28</v>
      </c>
      <c r="M1355">
        <v>50</v>
      </c>
      <c r="N1355" t="s">
        <v>29</v>
      </c>
      <c r="O1355">
        <v>50</v>
      </c>
      <c r="P1355" t="s">
        <v>36</v>
      </c>
      <c r="Q1355">
        <v>0</v>
      </c>
      <c r="R1355">
        <v>50</v>
      </c>
      <c r="S1355" t="s">
        <v>31</v>
      </c>
      <c r="T1355" t="s">
        <v>59</v>
      </c>
      <c r="U1355">
        <v>37.774900000000002</v>
      </c>
      <c r="V1355">
        <v>-122.4194</v>
      </c>
      <c r="W1355" s="2">
        <v>45312</v>
      </c>
      <c r="X1355">
        <v>0</v>
      </c>
      <c r="Y1355" t="b">
        <v>1</v>
      </c>
      <c r="Z1355" s="2">
        <v>45831</v>
      </c>
      <c r="AA1355" t="str">
        <f t="shared" si="211"/>
        <v>20–29</v>
      </c>
      <c r="AB1355" t="str">
        <f t="shared" si="212"/>
        <v>20–29</v>
      </c>
      <c r="AC1355" t="str">
        <f t="shared" si="213"/>
        <v/>
      </c>
      <c r="AD1355" t="str">
        <f t="shared" si="214"/>
        <v/>
      </c>
      <c r="AE1355" t="str">
        <f t="shared" si="215"/>
        <v/>
      </c>
      <c r="AF1355" t="str">
        <f t="shared" si="216"/>
        <v/>
      </c>
      <c r="AG1355" t="str">
        <f t="shared" si="217"/>
        <v/>
      </c>
      <c r="AH1355" t="str">
        <f t="shared" si="218"/>
        <v>Saturday</v>
      </c>
      <c r="AI1355" t="str">
        <f t="shared" si="219"/>
        <v/>
      </c>
      <c r="AJ1355" t="str">
        <f>LEFT(Table1[[#This Row],[membership_type]],2)&amp;TEXT(Table1[[#This Row],[age]],"00")&amp;"-"&amp;TEXT(ROW(),"000")</f>
        <v>Pr25-1355</v>
      </c>
      <c r="AK1355" t="str">
        <f>LEFT(Table1[[#This Row],[membership_type]],1)&amp;TEXT(MATCH(Table1[[#This Row],[membership_type]],Table1[membership_type],0),"00")</f>
        <v>P01</v>
      </c>
      <c r="AL1355" t="str">
        <f>LEFT(Table1[[#This Row],[discount_type]],1)&amp;TEXT(ROUND(Table1[[#This Row],[discount_rate]]*100,0),"00")</f>
        <v>N00</v>
      </c>
      <c r="AM1355" t="str" cm="1">
        <f t="array" ref="AM1355">TEXT(SUMPRODUCT(CODE(MID(Table1[[#This Row],[home_gym_location]],_xlfn.SEQUENCE(LEN(Table1[[#This Row],[home_gym_location]])),1))),"00000")</f>
        <v>01450</v>
      </c>
      <c r="AN135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55" t="str">
        <f>LEFT(_xlfn.TEXTBEFORE(Table1[[#This Row],[Location Identifier]],"-"),3) &amp; "-" &amp; _xlfn.TEXTAFTER(Table1[[#This Row],[Location Identifier]],"-")</f>
        <v>SAN-009</v>
      </c>
      <c r="AP1355" s="9">
        <f t="shared" ca="1" si="210"/>
        <v>45869</v>
      </c>
    </row>
    <row r="1356" spans="1:42" x14ac:dyDescent="0.25">
      <c r="A1356">
        <v>40</v>
      </c>
      <c r="B1356" t="s">
        <v>42</v>
      </c>
      <c r="C1356">
        <v>1</v>
      </c>
      <c r="D1356" t="s">
        <v>95</v>
      </c>
      <c r="E1356" t="b">
        <v>0</v>
      </c>
      <c r="F1356" s="1">
        <v>0.43611111111111112</v>
      </c>
      <c r="G1356" s="1">
        <v>0.55902777777777779</v>
      </c>
      <c r="H1356">
        <v>177</v>
      </c>
      <c r="I1356" t="b">
        <v>0</v>
      </c>
      <c r="J1356" t="b">
        <v>0</v>
      </c>
      <c r="K1356" t="b">
        <v>1</v>
      </c>
      <c r="L1356" t="s">
        <v>62</v>
      </c>
      <c r="M1356">
        <v>20</v>
      </c>
      <c r="N1356" t="s">
        <v>64</v>
      </c>
      <c r="O1356">
        <v>15</v>
      </c>
      <c r="P1356" t="s">
        <v>74</v>
      </c>
      <c r="Q1356">
        <v>0.15</v>
      </c>
      <c r="R1356">
        <v>12.75</v>
      </c>
      <c r="S1356" t="s">
        <v>44</v>
      </c>
      <c r="T1356" t="s">
        <v>59</v>
      </c>
      <c r="U1356">
        <v>37.774900000000002</v>
      </c>
      <c r="V1356">
        <v>-122.4194</v>
      </c>
      <c r="W1356" s="2">
        <v>44900</v>
      </c>
      <c r="X1356">
        <v>0</v>
      </c>
      <c r="Y1356" t="b">
        <v>1</v>
      </c>
      <c r="Z1356" s="2">
        <v>45808</v>
      </c>
      <c r="AA1356" t="str">
        <f t="shared" si="211"/>
        <v>40–49</v>
      </c>
      <c r="AB1356" t="str">
        <f t="shared" si="212"/>
        <v>40–49</v>
      </c>
      <c r="AC1356" t="str">
        <f t="shared" si="213"/>
        <v/>
      </c>
      <c r="AD1356" t="str">
        <f t="shared" si="214"/>
        <v/>
      </c>
      <c r="AE1356" t="str">
        <f t="shared" si="215"/>
        <v/>
      </c>
      <c r="AF1356" t="str">
        <f t="shared" si="216"/>
        <v/>
      </c>
      <c r="AG1356" t="str">
        <f t="shared" si="217"/>
        <v/>
      </c>
      <c r="AH1356" t="str">
        <f t="shared" si="218"/>
        <v>Saturday</v>
      </c>
      <c r="AI1356" t="str">
        <f t="shared" si="219"/>
        <v/>
      </c>
      <c r="AJ1356" t="str">
        <f>LEFT(Table1[[#This Row],[membership_type]],2)&amp;TEXT(Table1[[#This Row],[age]],"00")&amp;"-"&amp;TEXT(ROW(),"000")</f>
        <v>Ba40-1356</v>
      </c>
      <c r="AK1356" t="str">
        <f>LEFT(Table1[[#This Row],[membership_type]],1)&amp;TEXT(MATCH(Table1[[#This Row],[membership_type]],Table1[membership_type],0),"00")</f>
        <v>B04</v>
      </c>
      <c r="AL1356" t="str">
        <f>LEFT(Table1[[#This Row],[discount_type]],1)&amp;TEXT(ROUND(Table1[[#This Row],[discount_rate]]*100,0),"00")</f>
        <v>S15</v>
      </c>
      <c r="AM1356" t="str" cm="1">
        <f t="array" ref="AM1356">TEXT(SUMPRODUCT(CODE(MID(Table1[[#This Row],[home_gym_location]],_xlfn.SEQUENCE(LEN(Table1[[#This Row],[home_gym_location]])),1))),"00000")</f>
        <v>01450</v>
      </c>
      <c r="AN135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56" t="str">
        <f>LEFT(_xlfn.TEXTBEFORE(Table1[[#This Row],[Location Identifier]],"-"),3) &amp; "-" &amp; _xlfn.TEXTAFTER(Table1[[#This Row],[Location Identifier]],"-")</f>
        <v>SAN-009</v>
      </c>
      <c r="AP1356" s="9">
        <f t="shared" ca="1" si="210"/>
        <v>45869</v>
      </c>
    </row>
    <row r="1357" spans="1:42" x14ac:dyDescent="0.25">
      <c r="A1357">
        <v>48</v>
      </c>
      <c r="B1357" t="s">
        <v>33</v>
      </c>
      <c r="C1357">
        <v>4</v>
      </c>
      <c r="D1357" t="s">
        <v>161</v>
      </c>
      <c r="E1357" t="b">
        <v>0</v>
      </c>
      <c r="F1357" s="1">
        <v>0.56458333333333333</v>
      </c>
      <c r="G1357" s="1">
        <v>0.58888888888888891</v>
      </c>
      <c r="H1357">
        <v>35</v>
      </c>
      <c r="I1357" t="b">
        <v>1</v>
      </c>
      <c r="J1357" t="b">
        <v>0</v>
      </c>
      <c r="K1357" t="b">
        <v>0</v>
      </c>
      <c r="L1357" t="s">
        <v>62</v>
      </c>
      <c r="M1357">
        <v>30</v>
      </c>
      <c r="N1357" t="s">
        <v>29</v>
      </c>
      <c r="O1357">
        <v>30</v>
      </c>
      <c r="P1357" t="s">
        <v>40</v>
      </c>
      <c r="Q1357">
        <v>0.1</v>
      </c>
      <c r="R1357">
        <v>27</v>
      </c>
      <c r="S1357" t="s">
        <v>37</v>
      </c>
      <c r="T1357" t="s">
        <v>41</v>
      </c>
      <c r="U1357">
        <v>37.804400000000001</v>
      </c>
      <c r="V1357">
        <v>-122.27119999999999</v>
      </c>
      <c r="W1357" s="2">
        <v>44871</v>
      </c>
      <c r="X1357">
        <v>0</v>
      </c>
      <c r="Y1357" t="b">
        <v>0</v>
      </c>
      <c r="Z1357" s="2">
        <v>45806</v>
      </c>
      <c r="AA1357" t="str">
        <f t="shared" si="211"/>
        <v>40–49</v>
      </c>
      <c r="AB1357" t="str">
        <f t="shared" si="212"/>
        <v>40–49</v>
      </c>
      <c r="AC1357" t="str">
        <f t="shared" si="213"/>
        <v>Monday</v>
      </c>
      <c r="AD1357" t="str">
        <f t="shared" si="214"/>
        <v/>
      </c>
      <c r="AE1357" t="str">
        <f t="shared" si="215"/>
        <v>Wednesday</v>
      </c>
      <c r="AF1357" t="str">
        <f t="shared" si="216"/>
        <v>Thursday</v>
      </c>
      <c r="AG1357" t="str">
        <f t="shared" si="217"/>
        <v/>
      </c>
      <c r="AH1357" t="str">
        <f t="shared" si="218"/>
        <v/>
      </c>
      <c r="AI1357" t="str">
        <f t="shared" si="219"/>
        <v>Sunday</v>
      </c>
      <c r="AJ1357" t="str">
        <f>LEFT(Table1[[#This Row],[membership_type]],2)&amp;TEXT(Table1[[#This Row],[age]],"00")&amp;"-"&amp;TEXT(ROW(),"000")</f>
        <v>St48-1357</v>
      </c>
      <c r="AK1357" t="str">
        <f>LEFT(Table1[[#This Row],[membership_type]],1)&amp;TEXT(MATCH(Table1[[#This Row],[membership_type]],Table1[membership_type],0),"00")</f>
        <v>S02</v>
      </c>
      <c r="AL1357" t="str">
        <f>LEFT(Table1[[#This Row],[discount_type]],1)&amp;TEXT(ROUND(Table1[[#This Row],[discount_rate]]*100,0),"00")</f>
        <v>L10</v>
      </c>
      <c r="AM1357" t="str" cm="1">
        <f t="array" ref="AM1357">TEXT(SUMPRODUCT(CODE(MID(Table1[[#This Row],[home_gym_location]],_xlfn.SEQUENCE(LEN(Table1[[#This Row],[home_gym_location]])),1))),"00000")</f>
        <v>00906</v>
      </c>
      <c r="AN135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57" t="str">
        <f>LEFT(_xlfn.TEXTBEFORE(Table1[[#This Row],[Location Identifier]],"-"),3) &amp; "-" &amp; _xlfn.TEXTAFTER(Table1[[#This Row],[Location Identifier]],"-")</f>
        <v>OAK-006</v>
      </c>
      <c r="AP1357" s="9">
        <f t="shared" ca="1" si="210"/>
        <v>45869</v>
      </c>
    </row>
    <row r="1358" spans="1:42" x14ac:dyDescent="0.25">
      <c r="A1358">
        <v>41</v>
      </c>
      <c r="B1358" t="s">
        <v>33</v>
      </c>
      <c r="C1358">
        <v>2</v>
      </c>
      <c r="D1358" t="s">
        <v>84</v>
      </c>
      <c r="E1358" t="b">
        <v>0</v>
      </c>
      <c r="F1358" s="1">
        <v>0.57986111111111116</v>
      </c>
      <c r="G1358" s="1">
        <v>0.68194444444444446</v>
      </c>
      <c r="H1358">
        <v>147</v>
      </c>
      <c r="I1358" t="b">
        <v>0</v>
      </c>
      <c r="J1358" t="b">
        <v>0</v>
      </c>
      <c r="K1358" t="b">
        <v>1</v>
      </c>
      <c r="L1358" t="s">
        <v>28</v>
      </c>
      <c r="M1358">
        <v>30</v>
      </c>
      <c r="N1358" t="s">
        <v>29</v>
      </c>
      <c r="O1358">
        <v>30</v>
      </c>
      <c r="P1358" t="s">
        <v>74</v>
      </c>
      <c r="Q1358">
        <v>0.15</v>
      </c>
      <c r="R1358">
        <v>25.5</v>
      </c>
      <c r="S1358" t="s">
        <v>37</v>
      </c>
      <c r="T1358" t="s">
        <v>65</v>
      </c>
      <c r="U1358">
        <v>33.770099999999999</v>
      </c>
      <c r="V1358">
        <v>-118.19370000000001</v>
      </c>
      <c r="W1358" s="2">
        <v>45381</v>
      </c>
      <c r="X1358">
        <v>0</v>
      </c>
      <c r="Y1358" t="b">
        <v>1</v>
      </c>
      <c r="Z1358" s="2">
        <v>45835</v>
      </c>
      <c r="AA1358" t="str">
        <f t="shared" si="211"/>
        <v>40–49</v>
      </c>
      <c r="AB1358" t="str">
        <f t="shared" si="212"/>
        <v>40–49</v>
      </c>
      <c r="AC1358" t="str">
        <f t="shared" si="213"/>
        <v/>
      </c>
      <c r="AD1358" t="str">
        <f t="shared" si="214"/>
        <v>Tuesday</v>
      </c>
      <c r="AE1358" t="str">
        <f t="shared" si="215"/>
        <v/>
      </c>
      <c r="AF1358" t="str">
        <f t="shared" si="216"/>
        <v/>
      </c>
      <c r="AG1358" t="str">
        <f t="shared" si="217"/>
        <v/>
      </c>
      <c r="AH1358" t="str">
        <f t="shared" si="218"/>
        <v/>
      </c>
      <c r="AI1358" t="str">
        <f t="shared" si="219"/>
        <v>Sunday</v>
      </c>
      <c r="AJ1358" t="str">
        <f>LEFT(Table1[[#This Row],[membership_type]],2)&amp;TEXT(Table1[[#This Row],[age]],"00")&amp;"-"&amp;TEXT(ROW(),"000")</f>
        <v>St41-1358</v>
      </c>
      <c r="AK1358" t="str">
        <f>LEFT(Table1[[#This Row],[membership_type]],1)&amp;TEXT(MATCH(Table1[[#This Row],[membership_type]],Table1[membership_type],0),"00")</f>
        <v>S02</v>
      </c>
      <c r="AL1358" t="str">
        <f>LEFT(Table1[[#This Row],[discount_type]],1)&amp;TEXT(ROUND(Table1[[#This Row],[discount_rate]]*100,0),"00")</f>
        <v>S15</v>
      </c>
      <c r="AM1358" t="str" cm="1">
        <f t="array" ref="AM1358">TEXT(SUMPRODUCT(CODE(MID(Table1[[#This Row],[home_gym_location]],_xlfn.SEQUENCE(LEN(Table1[[#This Row],[home_gym_location]])),1))),"00000")</f>
        <v>01107</v>
      </c>
      <c r="AN135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58" t="str">
        <f>LEFT(_xlfn.TEXTBEFORE(Table1[[#This Row],[Location Identifier]],"-"),3) &amp; "-" &amp; _xlfn.TEXTAFTER(Table1[[#This Row],[Location Identifier]],"-")</f>
        <v>LON-004</v>
      </c>
      <c r="AP1358" s="9">
        <f t="shared" ca="1" si="210"/>
        <v>45869</v>
      </c>
    </row>
    <row r="1359" spans="1:42" x14ac:dyDescent="0.25">
      <c r="A1359">
        <v>14</v>
      </c>
      <c r="B1359" t="s">
        <v>26</v>
      </c>
      <c r="C1359">
        <v>3</v>
      </c>
      <c r="D1359" t="s">
        <v>90</v>
      </c>
      <c r="E1359" t="b">
        <v>0</v>
      </c>
      <c r="F1359" s="1">
        <v>0.60833333333333328</v>
      </c>
      <c r="G1359" s="1">
        <v>0.63263888888888886</v>
      </c>
      <c r="H1359">
        <v>35</v>
      </c>
      <c r="I1359" t="b">
        <v>0</v>
      </c>
      <c r="J1359" t="b">
        <v>1</v>
      </c>
      <c r="K1359" t="b">
        <v>0</v>
      </c>
      <c r="L1359" t="s">
        <v>62</v>
      </c>
      <c r="M1359">
        <v>50</v>
      </c>
      <c r="N1359" t="s">
        <v>64</v>
      </c>
      <c r="O1359">
        <v>37.5</v>
      </c>
      <c r="P1359" t="s">
        <v>36</v>
      </c>
      <c r="Q1359">
        <v>0</v>
      </c>
      <c r="R1359">
        <v>37.5</v>
      </c>
      <c r="S1359" t="s">
        <v>31</v>
      </c>
      <c r="T1359" t="s">
        <v>56</v>
      </c>
      <c r="U1359">
        <v>35.3733</v>
      </c>
      <c r="V1359">
        <v>-119.0187</v>
      </c>
      <c r="W1359" s="2">
        <v>45536</v>
      </c>
      <c r="X1359">
        <v>5</v>
      </c>
      <c r="Y1359" t="b">
        <v>1</v>
      </c>
      <c r="Z1359" s="2">
        <v>45844</v>
      </c>
      <c r="AA1359" t="str">
        <f t="shared" si="211"/>
        <v>10–19</v>
      </c>
      <c r="AB1359" t="str">
        <f t="shared" si="212"/>
        <v>Under 16</v>
      </c>
      <c r="AC1359" t="str">
        <f t="shared" si="213"/>
        <v/>
      </c>
      <c r="AD1359" t="str">
        <f t="shared" si="214"/>
        <v>Tuesday</v>
      </c>
      <c r="AE1359" t="str">
        <f t="shared" si="215"/>
        <v/>
      </c>
      <c r="AF1359" t="str">
        <f t="shared" si="216"/>
        <v/>
      </c>
      <c r="AG1359" t="str">
        <f t="shared" si="217"/>
        <v/>
      </c>
      <c r="AH1359" t="str">
        <f t="shared" si="218"/>
        <v>Saturday</v>
      </c>
      <c r="AI1359" t="str">
        <f t="shared" si="219"/>
        <v>Sunday</v>
      </c>
      <c r="AJ1359" t="str">
        <f>LEFT(Table1[[#This Row],[membership_type]],2)&amp;TEXT(Table1[[#This Row],[age]],"00")&amp;"-"&amp;TEXT(ROW(),"000")</f>
        <v>Pr14-1359</v>
      </c>
      <c r="AK1359" t="str">
        <f>LEFT(Table1[[#This Row],[membership_type]],1)&amp;TEXT(MATCH(Table1[[#This Row],[membership_type]],Table1[membership_type],0),"00")</f>
        <v>P01</v>
      </c>
      <c r="AL1359" t="str">
        <f>LEFT(Table1[[#This Row],[discount_type]],1)&amp;TEXT(ROUND(Table1[[#This Row],[discount_rate]]*100,0),"00")</f>
        <v>N00</v>
      </c>
      <c r="AM1359" t="str" cm="1">
        <f t="array" ref="AM1359">TEXT(SUMPRODUCT(CODE(MID(Table1[[#This Row],[home_gym_location]],_xlfn.SEQUENCE(LEN(Table1[[#This Row],[home_gym_location]])),1))),"00000")</f>
        <v>01324</v>
      </c>
      <c r="AN13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59" t="str">
        <f>LEFT(_xlfn.TEXTBEFORE(Table1[[#This Row],[Location Identifier]],"-"),3) &amp; "-" &amp; _xlfn.TEXTAFTER(Table1[[#This Row],[Location Identifier]],"-")</f>
        <v>BAK-002</v>
      </c>
      <c r="AP1359" s="9">
        <f t="shared" ca="1" si="210"/>
        <v>45869</v>
      </c>
    </row>
    <row r="1360" spans="1:42" x14ac:dyDescent="0.25">
      <c r="A1360">
        <v>38</v>
      </c>
      <c r="B1360" t="s">
        <v>26</v>
      </c>
      <c r="C1360">
        <v>3</v>
      </c>
      <c r="D1360" t="s">
        <v>106</v>
      </c>
      <c r="E1360" t="b">
        <v>1</v>
      </c>
      <c r="F1360" s="1">
        <v>0.34513888888888888</v>
      </c>
      <c r="G1360" s="1">
        <v>0.44305555555555554</v>
      </c>
      <c r="H1360">
        <v>141</v>
      </c>
      <c r="I1360" t="b">
        <v>0</v>
      </c>
      <c r="J1360" t="b">
        <v>0</v>
      </c>
      <c r="K1360" t="b">
        <v>1</v>
      </c>
      <c r="L1360" t="s">
        <v>35</v>
      </c>
      <c r="M1360">
        <v>50</v>
      </c>
      <c r="N1360" t="s">
        <v>64</v>
      </c>
      <c r="O1360">
        <v>37.5</v>
      </c>
      <c r="P1360" t="s">
        <v>36</v>
      </c>
      <c r="Q1360">
        <v>0</v>
      </c>
      <c r="R1360">
        <v>37.5</v>
      </c>
      <c r="S1360" t="s">
        <v>31</v>
      </c>
      <c r="T1360" t="s">
        <v>45</v>
      </c>
      <c r="U1360">
        <v>33.836599999999997</v>
      </c>
      <c r="V1360">
        <v>-117.9143</v>
      </c>
      <c r="W1360" s="2">
        <v>45200</v>
      </c>
      <c r="X1360">
        <v>0</v>
      </c>
      <c r="Y1360" t="b">
        <v>1</v>
      </c>
      <c r="Z1360" s="2">
        <v>45825</v>
      </c>
      <c r="AA1360" t="str">
        <f t="shared" si="211"/>
        <v>30–39</v>
      </c>
      <c r="AB1360" t="str">
        <f t="shared" si="212"/>
        <v>30–39</v>
      </c>
      <c r="AC1360" t="str">
        <f t="shared" si="213"/>
        <v/>
      </c>
      <c r="AD1360" t="str">
        <f t="shared" si="214"/>
        <v/>
      </c>
      <c r="AE1360" t="str">
        <f t="shared" si="215"/>
        <v>Wednesday</v>
      </c>
      <c r="AF1360" t="str">
        <f t="shared" si="216"/>
        <v>Thursday</v>
      </c>
      <c r="AG1360" t="str">
        <f t="shared" si="217"/>
        <v>Friday</v>
      </c>
      <c r="AH1360" t="str">
        <f t="shared" si="218"/>
        <v/>
      </c>
      <c r="AI1360" t="str">
        <f t="shared" si="219"/>
        <v/>
      </c>
      <c r="AJ1360" t="str">
        <f>LEFT(Table1[[#This Row],[membership_type]],2)&amp;TEXT(Table1[[#This Row],[age]],"00")&amp;"-"&amp;TEXT(ROW(),"000")</f>
        <v>Pr38-1360</v>
      </c>
      <c r="AK1360" t="str">
        <f>LEFT(Table1[[#This Row],[membership_type]],1)&amp;TEXT(MATCH(Table1[[#This Row],[membership_type]],Table1[membership_type],0),"00")</f>
        <v>P01</v>
      </c>
      <c r="AL1360" t="str">
        <f>LEFT(Table1[[#This Row],[discount_type]],1)&amp;TEXT(ROUND(Table1[[#This Row],[discount_rate]]*100,0),"00")</f>
        <v>N00</v>
      </c>
      <c r="AM1360" t="str" cm="1">
        <f t="array" ref="AM1360">TEXT(SUMPRODUCT(CODE(MID(Table1[[#This Row],[home_gym_location]],_xlfn.SEQUENCE(LEN(Table1[[#This Row],[home_gym_location]])),1))),"00000")</f>
        <v>00899</v>
      </c>
      <c r="AN136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60" t="str">
        <f>LEFT(_xlfn.TEXTBEFORE(Table1[[#This Row],[Location Identifier]],"-"),3) &amp; "-" &amp; _xlfn.TEXTAFTER(Table1[[#This Row],[Location Identifier]],"-")</f>
        <v>ANA-001</v>
      </c>
      <c r="AP1360" s="9">
        <f t="shared" ca="1" si="210"/>
        <v>45869</v>
      </c>
    </row>
    <row r="1361" spans="1:42" x14ac:dyDescent="0.25">
      <c r="A1361">
        <v>35</v>
      </c>
      <c r="B1361" t="s">
        <v>26</v>
      </c>
      <c r="C1361">
        <v>5</v>
      </c>
      <c r="D1361" t="s">
        <v>104</v>
      </c>
      <c r="E1361" t="b">
        <v>0</v>
      </c>
      <c r="F1361" s="1">
        <v>0.54652777777777772</v>
      </c>
      <c r="G1361" s="1">
        <v>0.62291666666666667</v>
      </c>
      <c r="H1361">
        <v>110</v>
      </c>
      <c r="I1361" t="b">
        <v>1</v>
      </c>
      <c r="J1361" t="b">
        <v>1</v>
      </c>
      <c r="K1361" t="b">
        <v>0</v>
      </c>
      <c r="L1361" t="s">
        <v>35</v>
      </c>
      <c r="M1361">
        <v>50</v>
      </c>
      <c r="N1361" t="s">
        <v>29</v>
      </c>
      <c r="O1361">
        <v>50</v>
      </c>
      <c r="P1361" t="s">
        <v>40</v>
      </c>
      <c r="Q1361">
        <v>0.1</v>
      </c>
      <c r="R1361">
        <v>45</v>
      </c>
      <c r="S1361" t="s">
        <v>31</v>
      </c>
      <c r="T1361" t="s">
        <v>59</v>
      </c>
      <c r="U1361">
        <v>37.774900000000002</v>
      </c>
      <c r="V1361">
        <v>-122.4194</v>
      </c>
      <c r="W1361" s="2">
        <v>44859</v>
      </c>
      <c r="X1361">
        <v>2</v>
      </c>
      <c r="Y1361" t="b">
        <v>0</v>
      </c>
      <c r="Z1361" s="2">
        <v>45806</v>
      </c>
      <c r="AA1361" t="str">
        <f t="shared" si="211"/>
        <v>30–39</v>
      </c>
      <c r="AB1361" t="str">
        <f t="shared" si="212"/>
        <v>30–39</v>
      </c>
      <c r="AC1361" t="str">
        <f t="shared" si="213"/>
        <v/>
      </c>
      <c r="AD1361" t="str">
        <f t="shared" si="214"/>
        <v>Tuesday</v>
      </c>
      <c r="AE1361" t="str">
        <f t="shared" si="215"/>
        <v>Wednesday</v>
      </c>
      <c r="AF1361" t="str">
        <f t="shared" si="216"/>
        <v>Thursday</v>
      </c>
      <c r="AG1361" t="str">
        <f t="shared" si="217"/>
        <v/>
      </c>
      <c r="AH1361" t="str">
        <f t="shared" si="218"/>
        <v>Saturday</v>
      </c>
      <c r="AI1361" t="str">
        <f t="shared" si="219"/>
        <v>Sunday</v>
      </c>
      <c r="AJ1361" t="str">
        <f>LEFT(Table1[[#This Row],[membership_type]],2)&amp;TEXT(Table1[[#This Row],[age]],"00")&amp;"-"&amp;TEXT(ROW(),"000")</f>
        <v>Pr35-1361</v>
      </c>
      <c r="AK1361" t="str">
        <f>LEFT(Table1[[#This Row],[membership_type]],1)&amp;TEXT(MATCH(Table1[[#This Row],[membership_type]],Table1[membership_type],0),"00")</f>
        <v>P01</v>
      </c>
      <c r="AL1361" t="str">
        <f>LEFT(Table1[[#This Row],[discount_type]],1)&amp;TEXT(ROUND(Table1[[#This Row],[discount_rate]]*100,0),"00")</f>
        <v>L10</v>
      </c>
      <c r="AM1361" t="str" cm="1">
        <f t="array" ref="AM1361">TEXT(SUMPRODUCT(CODE(MID(Table1[[#This Row],[home_gym_location]],_xlfn.SEQUENCE(LEN(Table1[[#This Row],[home_gym_location]])),1))),"00000")</f>
        <v>01450</v>
      </c>
      <c r="AN136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61" t="str">
        <f>LEFT(_xlfn.TEXTBEFORE(Table1[[#This Row],[Location Identifier]],"-"),3) &amp; "-" &amp; _xlfn.TEXTAFTER(Table1[[#This Row],[Location Identifier]],"-")</f>
        <v>SAN-009</v>
      </c>
      <c r="AP1361" s="9">
        <f t="shared" ca="1" si="210"/>
        <v>45869</v>
      </c>
    </row>
    <row r="1362" spans="1:42" x14ac:dyDescent="0.25">
      <c r="A1362">
        <v>18</v>
      </c>
      <c r="B1362" t="s">
        <v>42</v>
      </c>
      <c r="C1362">
        <v>3</v>
      </c>
      <c r="D1362" t="s">
        <v>155</v>
      </c>
      <c r="E1362" t="b">
        <v>1</v>
      </c>
      <c r="F1362" s="1">
        <v>0.60624999999999996</v>
      </c>
      <c r="G1362" s="1">
        <v>0.64930555555555558</v>
      </c>
      <c r="H1362">
        <v>62</v>
      </c>
      <c r="I1362" t="b">
        <v>0</v>
      </c>
      <c r="J1362" t="b">
        <v>0</v>
      </c>
      <c r="K1362" t="b">
        <v>0</v>
      </c>
      <c r="L1362" t="s">
        <v>28</v>
      </c>
      <c r="M1362">
        <v>20</v>
      </c>
      <c r="N1362" t="s">
        <v>64</v>
      </c>
      <c r="O1362">
        <v>15</v>
      </c>
      <c r="P1362" t="s">
        <v>40</v>
      </c>
      <c r="Q1362">
        <v>0.1</v>
      </c>
      <c r="R1362">
        <v>13.5</v>
      </c>
      <c r="S1362" t="s">
        <v>44</v>
      </c>
      <c r="T1362" t="s">
        <v>48</v>
      </c>
      <c r="U1362">
        <v>38.581600000000002</v>
      </c>
      <c r="V1362">
        <v>-121.4944</v>
      </c>
      <c r="W1362" s="2">
        <v>45606</v>
      </c>
      <c r="X1362">
        <v>0</v>
      </c>
      <c r="Y1362" t="b">
        <v>0</v>
      </c>
      <c r="Z1362" s="2">
        <v>45848</v>
      </c>
      <c r="AA1362" t="str">
        <f t="shared" si="211"/>
        <v>10–19</v>
      </c>
      <c r="AB1362" t="str">
        <f t="shared" si="212"/>
        <v>16–19</v>
      </c>
      <c r="AC1362" t="str">
        <f t="shared" si="213"/>
        <v>Monday</v>
      </c>
      <c r="AD1362" t="str">
        <f t="shared" si="214"/>
        <v/>
      </c>
      <c r="AE1362" t="str">
        <f t="shared" si="215"/>
        <v>Wednesday</v>
      </c>
      <c r="AF1362" t="str">
        <f t="shared" si="216"/>
        <v>Thursday</v>
      </c>
      <c r="AG1362" t="str">
        <f t="shared" si="217"/>
        <v/>
      </c>
      <c r="AH1362" t="str">
        <f t="shared" si="218"/>
        <v/>
      </c>
      <c r="AI1362" t="str">
        <f t="shared" si="219"/>
        <v/>
      </c>
      <c r="AJ1362" t="str">
        <f>LEFT(Table1[[#This Row],[membership_type]],2)&amp;TEXT(Table1[[#This Row],[age]],"00")&amp;"-"&amp;TEXT(ROW(),"000")</f>
        <v>Ba18-1362</v>
      </c>
      <c r="AK1362" t="str">
        <f>LEFT(Table1[[#This Row],[membership_type]],1)&amp;TEXT(MATCH(Table1[[#This Row],[membership_type]],Table1[membership_type],0),"00")</f>
        <v>B04</v>
      </c>
      <c r="AL1362" t="str">
        <f>LEFT(Table1[[#This Row],[discount_type]],1)&amp;TEXT(ROUND(Table1[[#This Row],[discount_rate]]*100,0),"00")</f>
        <v>L10</v>
      </c>
      <c r="AM1362" t="str" cm="1">
        <f t="array" ref="AM1362">TEXT(SUMPRODUCT(CODE(MID(Table1[[#This Row],[home_gym_location]],_xlfn.SEQUENCE(LEN(Table1[[#This Row],[home_gym_location]])),1))),"00000")</f>
        <v>01245</v>
      </c>
      <c r="AN136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62" t="str">
        <f>LEFT(_xlfn.TEXTBEFORE(Table1[[#This Row],[Location Identifier]],"-"),3) &amp; "-" &amp; _xlfn.TEXTAFTER(Table1[[#This Row],[Location Identifier]],"-")</f>
        <v>SAC-007</v>
      </c>
      <c r="AP1362" s="9">
        <f t="shared" ca="1" si="210"/>
        <v>45869</v>
      </c>
    </row>
    <row r="1363" spans="1:42" x14ac:dyDescent="0.25">
      <c r="A1363">
        <v>25</v>
      </c>
      <c r="B1363" t="s">
        <v>26</v>
      </c>
      <c r="C1363">
        <v>1</v>
      </c>
      <c r="D1363" t="s">
        <v>95</v>
      </c>
      <c r="E1363" t="b">
        <v>0</v>
      </c>
      <c r="F1363" s="1">
        <v>0.66319444444444442</v>
      </c>
      <c r="G1363" s="1">
        <v>0.70138888888888884</v>
      </c>
      <c r="H1363">
        <v>55</v>
      </c>
      <c r="I1363" t="b">
        <v>1</v>
      </c>
      <c r="J1363" t="b">
        <v>0</v>
      </c>
      <c r="K1363" t="b">
        <v>1</v>
      </c>
      <c r="L1363" t="s">
        <v>28</v>
      </c>
      <c r="M1363">
        <v>50</v>
      </c>
      <c r="N1363" t="s">
        <v>29</v>
      </c>
      <c r="O1363">
        <v>50</v>
      </c>
      <c r="P1363" t="s">
        <v>36</v>
      </c>
      <c r="Q1363">
        <v>0</v>
      </c>
      <c r="R1363">
        <v>50</v>
      </c>
      <c r="S1363" t="s">
        <v>31</v>
      </c>
      <c r="T1363" t="s">
        <v>59</v>
      </c>
      <c r="U1363">
        <v>37.774900000000002</v>
      </c>
      <c r="V1363">
        <v>-122.4194</v>
      </c>
      <c r="W1363" s="2">
        <v>45167</v>
      </c>
      <c r="X1363">
        <v>0</v>
      </c>
      <c r="Y1363" t="b">
        <v>1</v>
      </c>
      <c r="Z1363" s="2">
        <v>45823</v>
      </c>
      <c r="AA1363" t="str">
        <f t="shared" si="211"/>
        <v>20–29</v>
      </c>
      <c r="AB1363" t="str">
        <f t="shared" si="212"/>
        <v>20–29</v>
      </c>
      <c r="AC1363" t="str">
        <f t="shared" si="213"/>
        <v/>
      </c>
      <c r="AD1363" t="str">
        <f t="shared" si="214"/>
        <v/>
      </c>
      <c r="AE1363" t="str">
        <f t="shared" si="215"/>
        <v/>
      </c>
      <c r="AF1363" t="str">
        <f t="shared" si="216"/>
        <v/>
      </c>
      <c r="AG1363" t="str">
        <f t="shared" si="217"/>
        <v/>
      </c>
      <c r="AH1363" t="str">
        <f t="shared" si="218"/>
        <v>Saturday</v>
      </c>
      <c r="AI1363" t="str">
        <f t="shared" si="219"/>
        <v/>
      </c>
      <c r="AJ1363" t="str">
        <f>LEFT(Table1[[#This Row],[membership_type]],2)&amp;TEXT(Table1[[#This Row],[age]],"00")&amp;"-"&amp;TEXT(ROW(),"000")</f>
        <v>Pr25-1363</v>
      </c>
      <c r="AK1363" t="str">
        <f>LEFT(Table1[[#This Row],[membership_type]],1)&amp;TEXT(MATCH(Table1[[#This Row],[membership_type]],Table1[membership_type],0),"00")</f>
        <v>P01</v>
      </c>
      <c r="AL1363" t="str">
        <f>LEFT(Table1[[#This Row],[discount_type]],1)&amp;TEXT(ROUND(Table1[[#This Row],[discount_rate]]*100,0),"00")</f>
        <v>N00</v>
      </c>
      <c r="AM1363" t="str" cm="1">
        <f t="array" ref="AM1363">TEXT(SUMPRODUCT(CODE(MID(Table1[[#This Row],[home_gym_location]],_xlfn.SEQUENCE(LEN(Table1[[#This Row],[home_gym_location]])),1))),"00000")</f>
        <v>01450</v>
      </c>
      <c r="AN13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63" t="str">
        <f>LEFT(_xlfn.TEXTBEFORE(Table1[[#This Row],[Location Identifier]],"-"),3) &amp; "-" &amp; _xlfn.TEXTAFTER(Table1[[#This Row],[Location Identifier]],"-")</f>
        <v>SAN-009</v>
      </c>
      <c r="AP1363" s="9">
        <f t="shared" ca="1" si="210"/>
        <v>45869</v>
      </c>
    </row>
    <row r="1364" spans="1:42" x14ac:dyDescent="0.25">
      <c r="A1364">
        <v>17</v>
      </c>
      <c r="B1364" t="s">
        <v>51</v>
      </c>
      <c r="C1364">
        <v>5</v>
      </c>
      <c r="D1364" t="s">
        <v>137</v>
      </c>
      <c r="E1364" t="b">
        <v>1</v>
      </c>
      <c r="F1364" s="1">
        <v>0.41666666666666669</v>
      </c>
      <c r="G1364" s="1">
        <v>0.49652777777777779</v>
      </c>
      <c r="H1364">
        <v>115</v>
      </c>
      <c r="I1364" t="b">
        <v>1</v>
      </c>
      <c r="J1364" t="b">
        <v>0</v>
      </c>
      <c r="K1364" t="b">
        <v>0</v>
      </c>
      <c r="L1364" t="s">
        <v>62</v>
      </c>
      <c r="M1364">
        <v>70</v>
      </c>
      <c r="N1364" t="s">
        <v>64</v>
      </c>
      <c r="O1364">
        <v>52.5</v>
      </c>
      <c r="P1364" t="s">
        <v>36</v>
      </c>
      <c r="Q1364">
        <v>0</v>
      </c>
      <c r="R1364">
        <v>52.5</v>
      </c>
      <c r="S1364" t="s">
        <v>53</v>
      </c>
      <c r="T1364" t="s">
        <v>54</v>
      </c>
      <c r="U1364">
        <v>32.715699999999998</v>
      </c>
      <c r="V1364">
        <v>-117.1611</v>
      </c>
      <c r="W1364" s="2">
        <v>45158</v>
      </c>
      <c r="X1364">
        <v>0</v>
      </c>
      <c r="Y1364" t="b">
        <v>1</v>
      </c>
      <c r="Z1364" s="2">
        <v>45823</v>
      </c>
      <c r="AA1364" t="str">
        <f t="shared" si="211"/>
        <v>10–19</v>
      </c>
      <c r="AB1364" t="str">
        <f t="shared" si="212"/>
        <v>16–19</v>
      </c>
      <c r="AC1364" t="str">
        <f t="shared" si="213"/>
        <v>Monday</v>
      </c>
      <c r="AD1364" t="str">
        <f t="shared" si="214"/>
        <v>Tuesday</v>
      </c>
      <c r="AE1364" t="str">
        <f t="shared" si="215"/>
        <v>Wednesday</v>
      </c>
      <c r="AF1364" t="str">
        <f t="shared" si="216"/>
        <v/>
      </c>
      <c r="AG1364" t="str">
        <f t="shared" si="217"/>
        <v/>
      </c>
      <c r="AH1364" t="str">
        <f t="shared" si="218"/>
        <v>Saturday</v>
      </c>
      <c r="AI1364" t="str">
        <f t="shared" si="219"/>
        <v>Sunday</v>
      </c>
      <c r="AJ1364" t="str">
        <f>LEFT(Table1[[#This Row],[membership_type]],2)&amp;TEXT(Table1[[#This Row],[age]],"00")&amp;"-"&amp;TEXT(ROW(),"000")</f>
        <v>El17-1364</v>
      </c>
      <c r="AK1364" t="str">
        <f>LEFT(Table1[[#This Row],[membership_type]],1)&amp;TEXT(MATCH(Table1[[#This Row],[membership_type]],Table1[membership_type],0),"00")</f>
        <v>E07</v>
      </c>
      <c r="AL1364" t="str">
        <f>LEFT(Table1[[#This Row],[discount_type]],1)&amp;TEXT(ROUND(Table1[[#This Row],[discount_rate]]*100,0),"00")</f>
        <v>N00</v>
      </c>
      <c r="AM1364" t="str" cm="1">
        <f t="array" ref="AM1364">TEXT(SUMPRODUCT(CODE(MID(Table1[[#This Row],[home_gym_location]],_xlfn.SEQUENCE(LEN(Table1[[#This Row],[home_gym_location]])),1))),"00000")</f>
        <v>01018</v>
      </c>
      <c r="AN136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64" t="str">
        <f>LEFT(_xlfn.TEXTBEFORE(Table1[[#This Row],[Location Identifier]],"-"),3) &amp; "-" &amp; _xlfn.TEXTAFTER(Table1[[#This Row],[Location Identifier]],"-")</f>
        <v>SAN-008</v>
      </c>
      <c r="AP1364" s="9">
        <f t="shared" ca="1" si="210"/>
        <v>45869</v>
      </c>
    </row>
    <row r="1365" spans="1:42" x14ac:dyDescent="0.25">
      <c r="A1365">
        <v>31</v>
      </c>
      <c r="B1365" t="s">
        <v>26</v>
      </c>
      <c r="C1365">
        <v>4</v>
      </c>
      <c r="D1365" t="s">
        <v>147</v>
      </c>
      <c r="E1365" t="b">
        <v>0</v>
      </c>
      <c r="F1365" s="1">
        <v>0.49583333333333335</v>
      </c>
      <c r="G1365" s="1">
        <v>0.55625000000000002</v>
      </c>
      <c r="H1365">
        <v>87</v>
      </c>
      <c r="I1365" t="b">
        <v>0</v>
      </c>
      <c r="J1365" t="b">
        <v>0</v>
      </c>
      <c r="K1365" t="b">
        <v>1</v>
      </c>
      <c r="L1365" t="s">
        <v>28</v>
      </c>
      <c r="M1365">
        <v>50</v>
      </c>
      <c r="N1365" t="s">
        <v>64</v>
      </c>
      <c r="O1365">
        <v>37.5</v>
      </c>
      <c r="P1365" t="s">
        <v>36</v>
      </c>
      <c r="Q1365">
        <v>0</v>
      </c>
      <c r="R1365">
        <v>37.5</v>
      </c>
      <c r="S1365" t="s">
        <v>31</v>
      </c>
      <c r="T1365" t="s">
        <v>48</v>
      </c>
      <c r="U1365">
        <v>38.581600000000002</v>
      </c>
      <c r="V1365">
        <v>-121.4944</v>
      </c>
      <c r="W1365" s="2">
        <v>45050</v>
      </c>
      <c r="X1365">
        <v>0</v>
      </c>
      <c r="Y1365" t="b">
        <v>1</v>
      </c>
      <c r="Z1365" s="2">
        <v>45817</v>
      </c>
      <c r="AA1365" t="str">
        <f t="shared" si="211"/>
        <v>30–39</v>
      </c>
      <c r="AB1365" t="str">
        <f t="shared" si="212"/>
        <v>30–39</v>
      </c>
      <c r="AC1365" t="str">
        <f t="shared" si="213"/>
        <v>Monday</v>
      </c>
      <c r="AD1365" t="str">
        <f t="shared" si="214"/>
        <v/>
      </c>
      <c r="AE1365" t="str">
        <f t="shared" si="215"/>
        <v/>
      </c>
      <c r="AF1365" t="str">
        <f t="shared" si="216"/>
        <v>Thursday</v>
      </c>
      <c r="AG1365" t="str">
        <f t="shared" si="217"/>
        <v>Friday</v>
      </c>
      <c r="AH1365" t="str">
        <f t="shared" si="218"/>
        <v>Saturday</v>
      </c>
      <c r="AI1365" t="str">
        <f t="shared" si="219"/>
        <v/>
      </c>
      <c r="AJ1365" t="str">
        <f>LEFT(Table1[[#This Row],[membership_type]],2)&amp;TEXT(Table1[[#This Row],[age]],"00")&amp;"-"&amp;TEXT(ROW(),"000")</f>
        <v>Pr31-1365</v>
      </c>
      <c r="AK1365" t="str">
        <f>LEFT(Table1[[#This Row],[membership_type]],1)&amp;TEXT(MATCH(Table1[[#This Row],[membership_type]],Table1[membership_type],0),"00")</f>
        <v>P01</v>
      </c>
      <c r="AL1365" t="str">
        <f>LEFT(Table1[[#This Row],[discount_type]],1)&amp;TEXT(ROUND(Table1[[#This Row],[discount_rate]]*100,0),"00")</f>
        <v>N00</v>
      </c>
      <c r="AM1365" t="str" cm="1">
        <f t="array" ref="AM1365">TEXT(SUMPRODUCT(CODE(MID(Table1[[#This Row],[home_gym_location]],_xlfn.SEQUENCE(LEN(Table1[[#This Row],[home_gym_location]])),1))),"00000")</f>
        <v>01245</v>
      </c>
      <c r="AN136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65" t="str">
        <f>LEFT(_xlfn.TEXTBEFORE(Table1[[#This Row],[Location Identifier]],"-"),3) &amp; "-" &amp; _xlfn.TEXTAFTER(Table1[[#This Row],[Location Identifier]],"-")</f>
        <v>SAC-007</v>
      </c>
      <c r="AP1365" s="9">
        <f t="shared" ca="1" si="210"/>
        <v>45869</v>
      </c>
    </row>
    <row r="1366" spans="1:42" x14ac:dyDescent="0.25">
      <c r="A1366">
        <v>45</v>
      </c>
      <c r="B1366" t="s">
        <v>33</v>
      </c>
      <c r="C1366">
        <v>5</v>
      </c>
      <c r="D1366" t="s">
        <v>150</v>
      </c>
      <c r="E1366" t="b">
        <v>0</v>
      </c>
      <c r="F1366" s="1">
        <v>0.82152777777777775</v>
      </c>
      <c r="G1366" s="1">
        <v>0.87569444444444444</v>
      </c>
      <c r="H1366">
        <v>78</v>
      </c>
      <c r="I1366" t="b">
        <v>1</v>
      </c>
      <c r="J1366" t="b">
        <v>0</v>
      </c>
      <c r="K1366" t="b">
        <v>0</v>
      </c>
      <c r="L1366" t="s">
        <v>35</v>
      </c>
      <c r="M1366">
        <v>30</v>
      </c>
      <c r="N1366" t="s">
        <v>29</v>
      </c>
      <c r="O1366">
        <v>30</v>
      </c>
      <c r="P1366" t="s">
        <v>74</v>
      </c>
      <c r="Q1366">
        <v>0.15</v>
      </c>
      <c r="R1366">
        <v>25.5</v>
      </c>
      <c r="S1366" t="s">
        <v>37</v>
      </c>
      <c r="T1366" t="s">
        <v>59</v>
      </c>
      <c r="U1366">
        <v>37.774900000000002</v>
      </c>
      <c r="V1366">
        <v>-122.4194</v>
      </c>
      <c r="W1366" s="2">
        <v>45690</v>
      </c>
      <c r="X1366">
        <v>0</v>
      </c>
      <c r="Y1366" t="b">
        <v>0</v>
      </c>
      <c r="Z1366" s="2">
        <v>45853</v>
      </c>
      <c r="AA1366" t="str">
        <f t="shared" si="211"/>
        <v>40–49</v>
      </c>
      <c r="AB1366" t="str">
        <f t="shared" si="212"/>
        <v>40–49</v>
      </c>
      <c r="AC1366" t="str">
        <f t="shared" si="213"/>
        <v/>
      </c>
      <c r="AD1366" t="str">
        <f t="shared" si="214"/>
        <v>Tuesday</v>
      </c>
      <c r="AE1366" t="str">
        <f t="shared" si="215"/>
        <v/>
      </c>
      <c r="AF1366" t="str">
        <f t="shared" si="216"/>
        <v>Thursday</v>
      </c>
      <c r="AG1366" t="str">
        <f t="shared" si="217"/>
        <v>Friday</v>
      </c>
      <c r="AH1366" t="str">
        <f t="shared" si="218"/>
        <v>Saturday</v>
      </c>
      <c r="AI1366" t="str">
        <f t="shared" si="219"/>
        <v>Sunday</v>
      </c>
      <c r="AJ1366" t="str">
        <f>LEFT(Table1[[#This Row],[membership_type]],2)&amp;TEXT(Table1[[#This Row],[age]],"00")&amp;"-"&amp;TEXT(ROW(),"000")</f>
        <v>St45-1366</v>
      </c>
      <c r="AK1366" t="str">
        <f>LEFT(Table1[[#This Row],[membership_type]],1)&amp;TEXT(MATCH(Table1[[#This Row],[membership_type]],Table1[membership_type],0),"00")</f>
        <v>S02</v>
      </c>
      <c r="AL1366" t="str">
        <f>LEFT(Table1[[#This Row],[discount_type]],1)&amp;TEXT(ROUND(Table1[[#This Row],[discount_rate]]*100,0),"00")</f>
        <v>S15</v>
      </c>
      <c r="AM1366" t="str" cm="1">
        <f t="array" ref="AM1366">TEXT(SUMPRODUCT(CODE(MID(Table1[[#This Row],[home_gym_location]],_xlfn.SEQUENCE(LEN(Table1[[#This Row],[home_gym_location]])),1))),"00000")</f>
        <v>01450</v>
      </c>
      <c r="AN136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66" t="str">
        <f>LEFT(_xlfn.TEXTBEFORE(Table1[[#This Row],[Location Identifier]],"-"),3) &amp; "-" &amp; _xlfn.TEXTAFTER(Table1[[#This Row],[Location Identifier]],"-")</f>
        <v>SAN-009</v>
      </c>
      <c r="AP1366" s="9">
        <f t="shared" ca="1" si="210"/>
        <v>45869</v>
      </c>
    </row>
    <row r="1367" spans="1:42" x14ac:dyDescent="0.25">
      <c r="A1367">
        <v>41</v>
      </c>
      <c r="B1367" t="s">
        <v>33</v>
      </c>
      <c r="C1367">
        <v>1</v>
      </c>
      <c r="D1367" t="s">
        <v>75</v>
      </c>
      <c r="E1367" t="b">
        <v>0</v>
      </c>
      <c r="F1367" s="1">
        <v>0.57638888888888884</v>
      </c>
      <c r="G1367" s="1">
        <v>0.60138888888888886</v>
      </c>
      <c r="H1367">
        <v>36</v>
      </c>
      <c r="I1367" t="b">
        <v>0</v>
      </c>
      <c r="J1367" t="b">
        <v>1</v>
      </c>
      <c r="K1367" t="b">
        <v>0</v>
      </c>
      <c r="L1367" t="s">
        <v>28</v>
      </c>
      <c r="M1367">
        <v>30</v>
      </c>
      <c r="N1367" t="s">
        <v>29</v>
      </c>
      <c r="O1367">
        <v>30</v>
      </c>
      <c r="P1367" t="s">
        <v>40</v>
      </c>
      <c r="Q1367">
        <v>0.1</v>
      </c>
      <c r="R1367">
        <v>27</v>
      </c>
      <c r="S1367" t="s">
        <v>37</v>
      </c>
      <c r="T1367" t="s">
        <v>38</v>
      </c>
      <c r="U1367">
        <v>36.7378</v>
      </c>
      <c r="V1367">
        <v>-119.7871</v>
      </c>
      <c r="W1367" s="2">
        <v>45068</v>
      </c>
      <c r="X1367">
        <v>5</v>
      </c>
      <c r="Y1367" t="b">
        <v>1</v>
      </c>
      <c r="Z1367" s="2">
        <v>45818</v>
      </c>
      <c r="AA1367" t="str">
        <f t="shared" si="211"/>
        <v>40–49</v>
      </c>
      <c r="AB1367" t="str">
        <f t="shared" si="212"/>
        <v>40–49</v>
      </c>
      <c r="AC1367" t="str">
        <f t="shared" si="213"/>
        <v/>
      </c>
      <c r="AD1367" t="str">
        <f t="shared" si="214"/>
        <v/>
      </c>
      <c r="AE1367" t="str">
        <f t="shared" si="215"/>
        <v/>
      </c>
      <c r="AF1367" t="str">
        <f t="shared" si="216"/>
        <v/>
      </c>
      <c r="AG1367" t="str">
        <f t="shared" si="217"/>
        <v>Friday</v>
      </c>
      <c r="AH1367" t="str">
        <f t="shared" si="218"/>
        <v/>
      </c>
      <c r="AI1367" t="str">
        <f t="shared" si="219"/>
        <v/>
      </c>
      <c r="AJ1367" t="str">
        <f>LEFT(Table1[[#This Row],[membership_type]],2)&amp;TEXT(Table1[[#This Row],[age]],"00")&amp;"-"&amp;TEXT(ROW(),"000")</f>
        <v>St41-1367</v>
      </c>
      <c r="AK1367" t="str">
        <f>LEFT(Table1[[#This Row],[membership_type]],1)&amp;TEXT(MATCH(Table1[[#This Row],[membership_type]],Table1[membership_type],0),"00")</f>
        <v>S02</v>
      </c>
      <c r="AL1367" t="str">
        <f>LEFT(Table1[[#This Row],[discount_type]],1)&amp;TEXT(ROUND(Table1[[#This Row],[discount_rate]]*100,0),"00")</f>
        <v>L10</v>
      </c>
      <c r="AM1367" t="str" cm="1">
        <f t="array" ref="AM1367">TEXT(SUMPRODUCT(CODE(MID(Table1[[#This Row],[home_gym_location]],_xlfn.SEQUENCE(LEN(Table1[[#This Row],[home_gym_location]])),1))),"00000")</f>
        <v>00829</v>
      </c>
      <c r="AN1367" t="str">
        <f>UPPER(_xlfn.TEXTBEFORE(Table1[[#This Row],[home_gym_location]],","))&amp;"-"&amp;TEXT(MATCH(Table1[[#This Row],[home_gym_location]],_xlfn._xlws.SORT(_xlfn.UNIQUE(Table1[home_gym_location])),0),"000")</f>
        <v>FRESNO-003</v>
      </c>
      <c r="AO1367" t="str">
        <f>LEFT(_xlfn.TEXTBEFORE(Table1[[#This Row],[Location Identifier]],"-"),3) &amp; "-" &amp; _xlfn.TEXTAFTER(Table1[[#This Row],[Location Identifier]],"-")</f>
        <v>FRE-003</v>
      </c>
      <c r="AP1367" s="9">
        <f t="shared" ca="1" si="210"/>
        <v>45869</v>
      </c>
    </row>
    <row r="1368" spans="1:42" x14ac:dyDescent="0.25">
      <c r="A1368">
        <v>12</v>
      </c>
      <c r="B1368" t="s">
        <v>26</v>
      </c>
      <c r="C1368">
        <v>5</v>
      </c>
      <c r="D1368" t="s">
        <v>76</v>
      </c>
      <c r="E1368" t="b">
        <v>1</v>
      </c>
      <c r="F1368" s="1">
        <v>0.77222222222222225</v>
      </c>
      <c r="G1368" s="1">
        <v>0.81111111111111112</v>
      </c>
      <c r="H1368">
        <v>56</v>
      </c>
      <c r="I1368" t="b">
        <v>1</v>
      </c>
      <c r="J1368" t="b">
        <v>0</v>
      </c>
      <c r="K1368" t="b">
        <v>1</v>
      </c>
      <c r="L1368" t="s">
        <v>28</v>
      </c>
      <c r="M1368">
        <v>50</v>
      </c>
      <c r="N1368" t="s">
        <v>29</v>
      </c>
      <c r="O1368">
        <v>50</v>
      </c>
      <c r="P1368" t="s">
        <v>40</v>
      </c>
      <c r="Q1368">
        <v>0.1</v>
      </c>
      <c r="R1368">
        <v>45</v>
      </c>
      <c r="S1368" t="s">
        <v>31</v>
      </c>
      <c r="T1368" t="s">
        <v>32</v>
      </c>
      <c r="U1368">
        <v>37.338200000000001</v>
      </c>
      <c r="V1368">
        <v>-121.88630000000001</v>
      </c>
      <c r="W1368" s="2">
        <v>44862</v>
      </c>
      <c r="X1368">
        <v>0</v>
      </c>
      <c r="Y1368" t="b">
        <v>0</v>
      </c>
      <c r="Z1368" s="2">
        <v>45806</v>
      </c>
      <c r="AA1368" t="str">
        <f t="shared" si="211"/>
        <v>10–19</v>
      </c>
      <c r="AB1368" t="str">
        <f t="shared" si="212"/>
        <v>Under 16</v>
      </c>
      <c r="AC1368" t="str">
        <f t="shared" si="213"/>
        <v>Monday</v>
      </c>
      <c r="AD1368" t="str">
        <f t="shared" si="214"/>
        <v>Tuesday</v>
      </c>
      <c r="AE1368" t="str">
        <f t="shared" si="215"/>
        <v>Wednesday</v>
      </c>
      <c r="AF1368" t="str">
        <f t="shared" si="216"/>
        <v>Thursday</v>
      </c>
      <c r="AG1368" t="str">
        <f t="shared" si="217"/>
        <v/>
      </c>
      <c r="AH1368" t="str">
        <f t="shared" si="218"/>
        <v/>
      </c>
      <c r="AI1368" t="str">
        <f t="shared" si="219"/>
        <v>Sunday</v>
      </c>
      <c r="AJ1368" t="str">
        <f>LEFT(Table1[[#This Row],[membership_type]],2)&amp;TEXT(Table1[[#This Row],[age]],"00")&amp;"-"&amp;TEXT(ROW(),"000")</f>
        <v>Pr12-1368</v>
      </c>
      <c r="AK1368" t="str">
        <f>LEFT(Table1[[#This Row],[membership_type]],1)&amp;TEXT(MATCH(Table1[[#This Row],[membership_type]],Table1[membership_type],0),"00")</f>
        <v>P01</v>
      </c>
      <c r="AL1368" t="str">
        <f>LEFT(Table1[[#This Row],[discount_type]],1)&amp;TEXT(ROUND(Table1[[#This Row],[discount_rate]]*100,0),"00")</f>
        <v>L10</v>
      </c>
      <c r="AM1368" t="str" cm="1">
        <f t="array" ref="AM1368">TEXT(SUMPRODUCT(CODE(MID(Table1[[#This Row],[home_gym_location]],_xlfn.SEQUENCE(LEN(Table1[[#This Row],[home_gym_location]])),1))),"00000")</f>
        <v>00931</v>
      </c>
      <c r="AN136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68" t="str">
        <f>LEFT(_xlfn.TEXTBEFORE(Table1[[#This Row],[Location Identifier]],"-"),3) &amp; "-" &amp; _xlfn.TEXTAFTER(Table1[[#This Row],[Location Identifier]],"-")</f>
        <v>SAN-010</v>
      </c>
      <c r="AP1368" s="9">
        <f t="shared" ca="1" si="210"/>
        <v>45869</v>
      </c>
    </row>
    <row r="1369" spans="1:42" x14ac:dyDescent="0.25">
      <c r="A1369">
        <v>12</v>
      </c>
      <c r="B1369" t="s">
        <v>33</v>
      </c>
      <c r="C1369">
        <v>2</v>
      </c>
      <c r="D1369" t="s">
        <v>43</v>
      </c>
      <c r="E1369" t="b">
        <v>1</v>
      </c>
      <c r="F1369" s="1">
        <v>0.40902777777777777</v>
      </c>
      <c r="G1369" s="1">
        <v>0.47916666666666669</v>
      </c>
      <c r="H1369">
        <v>101</v>
      </c>
      <c r="I1369" t="b">
        <v>0</v>
      </c>
      <c r="J1369" t="b">
        <v>1</v>
      </c>
      <c r="K1369" t="b">
        <v>0</v>
      </c>
      <c r="L1369" t="s">
        <v>62</v>
      </c>
      <c r="M1369">
        <v>30</v>
      </c>
      <c r="N1369" t="s">
        <v>64</v>
      </c>
      <c r="O1369">
        <v>22.5</v>
      </c>
      <c r="P1369" t="s">
        <v>36</v>
      </c>
      <c r="Q1369">
        <v>0</v>
      </c>
      <c r="R1369">
        <v>22.5</v>
      </c>
      <c r="S1369" t="s">
        <v>37</v>
      </c>
      <c r="T1369" t="s">
        <v>38</v>
      </c>
      <c r="U1369">
        <v>36.7378</v>
      </c>
      <c r="V1369">
        <v>-119.7871</v>
      </c>
      <c r="W1369" s="2">
        <v>45639</v>
      </c>
      <c r="X1369">
        <v>6</v>
      </c>
      <c r="Y1369" t="b">
        <v>0</v>
      </c>
      <c r="Z1369" s="2">
        <v>45850</v>
      </c>
      <c r="AA1369" t="str">
        <f t="shared" si="211"/>
        <v>10–19</v>
      </c>
      <c r="AB1369" t="str">
        <f t="shared" si="212"/>
        <v>Under 16</v>
      </c>
      <c r="AC1369" t="str">
        <f t="shared" si="213"/>
        <v>Monday</v>
      </c>
      <c r="AD1369" t="str">
        <f t="shared" si="214"/>
        <v>Tuesday</v>
      </c>
      <c r="AE1369" t="str">
        <f t="shared" si="215"/>
        <v/>
      </c>
      <c r="AF1369" t="str">
        <f t="shared" si="216"/>
        <v/>
      </c>
      <c r="AG1369" t="str">
        <f t="shared" si="217"/>
        <v/>
      </c>
      <c r="AH1369" t="str">
        <f t="shared" si="218"/>
        <v/>
      </c>
      <c r="AI1369" t="str">
        <f t="shared" si="219"/>
        <v/>
      </c>
      <c r="AJ1369" t="str">
        <f>LEFT(Table1[[#This Row],[membership_type]],2)&amp;TEXT(Table1[[#This Row],[age]],"00")&amp;"-"&amp;TEXT(ROW(),"000")</f>
        <v>St12-1369</v>
      </c>
      <c r="AK1369" t="str">
        <f>LEFT(Table1[[#This Row],[membership_type]],1)&amp;TEXT(MATCH(Table1[[#This Row],[membership_type]],Table1[membership_type],0),"00")</f>
        <v>S02</v>
      </c>
      <c r="AL1369" t="str">
        <f>LEFT(Table1[[#This Row],[discount_type]],1)&amp;TEXT(ROUND(Table1[[#This Row],[discount_rate]]*100,0),"00")</f>
        <v>N00</v>
      </c>
      <c r="AM1369" t="str" cm="1">
        <f t="array" ref="AM1369">TEXT(SUMPRODUCT(CODE(MID(Table1[[#This Row],[home_gym_location]],_xlfn.SEQUENCE(LEN(Table1[[#This Row],[home_gym_location]])),1))),"00000")</f>
        <v>00829</v>
      </c>
      <c r="AN1369" t="str">
        <f>UPPER(_xlfn.TEXTBEFORE(Table1[[#This Row],[home_gym_location]],","))&amp;"-"&amp;TEXT(MATCH(Table1[[#This Row],[home_gym_location]],_xlfn._xlws.SORT(_xlfn.UNIQUE(Table1[home_gym_location])),0),"000")</f>
        <v>FRESNO-003</v>
      </c>
      <c r="AO1369" t="str">
        <f>LEFT(_xlfn.TEXTBEFORE(Table1[[#This Row],[Location Identifier]],"-"),3) &amp; "-" &amp; _xlfn.TEXTAFTER(Table1[[#This Row],[Location Identifier]],"-")</f>
        <v>FRE-003</v>
      </c>
      <c r="AP1369" s="9">
        <f t="shared" ca="1" si="210"/>
        <v>45869</v>
      </c>
    </row>
    <row r="1370" spans="1:42" x14ac:dyDescent="0.25">
      <c r="A1370">
        <v>19</v>
      </c>
      <c r="B1370" t="s">
        <v>26</v>
      </c>
      <c r="C1370">
        <v>2</v>
      </c>
      <c r="D1370" t="s">
        <v>84</v>
      </c>
      <c r="E1370" t="b">
        <v>1</v>
      </c>
      <c r="F1370" s="1">
        <v>0.80694444444444446</v>
      </c>
      <c r="G1370" s="1">
        <v>0.85069444444444442</v>
      </c>
      <c r="H1370">
        <v>63</v>
      </c>
      <c r="I1370" t="b">
        <v>0</v>
      </c>
      <c r="J1370" t="b">
        <v>0</v>
      </c>
      <c r="K1370" t="b">
        <v>0</v>
      </c>
      <c r="L1370" t="s">
        <v>62</v>
      </c>
      <c r="M1370">
        <v>50</v>
      </c>
      <c r="N1370" t="s">
        <v>64</v>
      </c>
      <c r="O1370">
        <v>37.5</v>
      </c>
      <c r="P1370" t="s">
        <v>36</v>
      </c>
      <c r="Q1370">
        <v>0</v>
      </c>
      <c r="R1370">
        <v>37.5</v>
      </c>
      <c r="S1370" t="s">
        <v>31</v>
      </c>
      <c r="T1370" t="s">
        <v>56</v>
      </c>
      <c r="U1370">
        <v>35.3733</v>
      </c>
      <c r="V1370">
        <v>-119.0187</v>
      </c>
      <c r="W1370" s="2">
        <v>45578</v>
      </c>
      <c r="X1370">
        <v>0</v>
      </c>
      <c r="Y1370" t="b">
        <v>0</v>
      </c>
      <c r="Z1370" s="2">
        <v>45846</v>
      </c>
      <c r="AA1370" t="str">
        <f t="shared" si="211"/>
        <v>10–19</v>
      </c>
      <c r="AB1370" t="str">
        <f t="shared" si="212"/>
        <v>16–19</v>
      </c>
      <c r="AC1370" t="str">
        <f t="shared" si="213"/>
        <v/>
      </c>
      <c r="AD1370" t="str">
        <f t="shared" si="214"/>
        <v>Tuesday</v>
      </c>
      <c r="AE1370" t="str">
        <f t="shared" si="215"/>
        <v/>
      </c>
      <c r="AF1370" t="str">
        <f t="shared" si="216"/>
        <v/>
      </c>
      <c r="AG1370" t="str">
        <f t="shared" si="217"/>
        <v/>
      </c>
      <c r="AH1370" t="str">
        <f t="shared" si="218"/>
        <v/>
      </c>
      <c r="AI1370" t="str">
        <f t="shared" si="219"/>
        <v>Sunday</v>
      </c>
      <c r="AJ1370" t="str">
        <f>LEFT(Table1[[#This Row],[membership_type]],2)&amp;TEXT(Table1[[#This Row],[age]],"00")&amp;"-"&amp;TEXT(ROW(),"000")</f>
        <v>Pr19-1370</v>
      </c>
      <c r="AK1370" t="str">
        <f>LEFT(Table1[[#This Row],[membership_type]],1)&amp;TEXT(MATCH(Table1[[#This Row],[membership_type]],Table1[membership_type],0),"00")</f>
        <v>P01</v>
      </c>
      <c r="AL1370" t="str">
        <f>LEFT(Table1[[#This Row],[discount_type]],1)&amp;TEXT(ROUND(Table1[[#This Row],[discount_rate]]*100,0),"00")</f>
        <v>N00</v>
      </c>
      <c r="AM1370" t="str" cm="1">
        <f t="array" ref="AM1370">TEXT(SUMPRODUCT(CODE(MID(Table1[[#This Row],[home_gym_location]],_xlfn.SEQUENCE(LEN(Table1[[#This Row],[home_gym_location]])),1))),"00000")</f>
        <v>01324</v>
      </c>
      <c r="AN137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70" t="str">
        <f>LEFT(_xlfn.TEXTBEFORE(Table1[[#This Row],[Location Identifier]],"-"),3) &amp; "-" &amp; _xlfn.TEXTAFTER(Table1[[#This Row],[Location Identifier]],"-")</f>
        <v>BAK-002</v>
      </c>
      <c r="AP1370" s="9">
        <f t="shared" ca="1" si="210"/>
        <v>45869</v>
      </c>
    </row>
    <row r="1371" spans="1:42" x14ac:dyDescent="0.25">
      <c r="A1371">
        <v>24</v>
      </c>
      <c r="B1371" t="s">
        <v>33</v>
      </c>
      <c r="C1371">
        <v>1</v>
      </c>
      <c r="D1371" t="s">
        <v>97</v>
      </c>
      <c r="E1371" t="b">
        <v>0</v>
      </c>
      <c r="F1371" s="1">
        <v>0.54513888888888884</v>
      </c>
      <c r="G1371" s="1">
        <v>0.64513888888888893</v>
      </c>
      <c r="H1371">
        <v>144</v>
      </c>
      <c r="I1371" t="b">
        <v>0</v>
      </c>
      <c r="J1371" t="b">
        <v>1</v>
      </c>
      <c r="K1371" t="b">
        <v>1</v>
      </c>
      <c r="L1371" t="s">
        <v>35</v>
      </c>
      <c r="M1371">
        <v>30</v>
      </c>
      <c r="N1371" t="s">
        <v>29</v>
      </c>
      <c r="O1371">
        <v>30</v>
      </c>
      <c r="P1371" t="s">
        <v>36</v>
      </c>
      <c r="Q1371">
        <v>0</v>
      </c>
      <c r="R1371">
        <v>30</v>
      </c>
      <c r="S1371" t="s">
        <v>37</v>
      </c>
      <c r="T1371" t="s">
        <v>59</v>
      </c>
      <c r="U1371">
        <v>37.774900000000002</v>
      </c>
      <c r="V1371">
        <v>-122.4194</v>
      </c>
      <c r="W1371" s="2">
        <v>44796</v>
      </c>
      <c r="X1371">
        <v>3</v>
      </c>
      <c r="Y1371" t="b">
        <v>0</v>
      </c>
      <c r="Z1371" s="2">
        <v>45802</v>
      </c>
      <c r="AA1371" t="str">
        <f t="shared" si="211"/>
        <v>20–29</v>
      </c>
      <c r="AB1371" t="str">
        <f t="shared" si="212"/>
        <v>20–29</v>
      </c>
      <c r="AC1371" t="str">
        <f t="shared" si="213"/>
        <v>Monday</v>
      </c>
      <c r="AD1371" t="str">
        <f t="shared" si="214"/>
        <v/>
      </c>
      <c r="AE1371" t="str">
        <f t="shared" si="215"/>
        <v/>
      </c>
      <c r="AF1371" t="str">
        <f t="shared" si="216"/>
        <v/>
      </c>
      <c r="AG1371" t="str">
        <f t="shared" si="217"/>
        <v/>
      </c>
      <c r="AH1371" t="str">
        <f t="shared" si="218"/>
        <v/>
      </c>
      <c r="AI1371" t="str">
        <f t="shared" si="219"/>
        <v/>
      </c>
      <c r="AJ1371" t="str">
        <f>LEFT(Table1[[#This Row],[membership_type]],2)&amp;TEXT(Table1[[#This Row],[age]],"00")&amp;"-"&amp;TEXT(ROW(),"000")</f>
        <v>St24-1371</v>
      </c>
      <c r="AK1371" t="str">
        <f>LEFT(Table1[[#This Row],[membership_type]],1)&amp;TEXT(MATCH(Table1[[#This Row],[membership_type]],Table1[membership_type],0),"00")</f>
        <v>S02</v>
      </c>
      <c r="AL1371" t="str">
        <f>LEFT(Table1[[#This Row],[discount_type]],1)&amp;TEXT(ROUND(Table1[[#This Row],[discount_rate]]*100,0),"00")</f>
        <v>N00</v>
      </c>
      <c r="AM1371" t="str" cm="1">
        <f t="array" ref="AM1371">TEXT(SUMPRODUCT(CODE(MID(Table1[[#This Row],[home_gym_location]],_xlfn.SEQUENCE(LEN(Table1[[#This Row],[home_gym_location]])),1))),"00000")</f>
        <v>01450</v>
      </c>
      <c r="AN137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71" t="str">
        <f>LEFT(_xlfn.TEXTBEFORE(Table1[[#This Row],[Location Identifier]],"-"),3) &amp; "-" &amp; _xlfn.TEXTAFTER(Table1[[#This Row],[Location Identifier]],"-")</f>
        <v>SAN-009</v>
      </c>
      <c r="AP1371" s="9">
        <f t="shared" ca="1" si="210"/>
        <v>45869</v>
      </c>
    </row>
    <row r="1372" spans="1:42" x14ac:dyDescent="0.25">
      <c r="A1372">
        <v>47</v>
      </c>
      <c r="B1372" t="s">
        <v>51</v>
      </c>
      <c r="C1372">
        <v>2</v>
      </c>
      <c r="D1372" t="s">
        <v>61</v>
      </c>
      <c r="E1372" t="b">
        <v>0</v>
      </c>
      <c r="F1372" s="1">
        <v>0.55486111111111114</v>
      </c>
      <c r="G1372" s="1">
        <v>0.61805555555555558</v>
      </c>
      <c r="H1372">
        <v>91</v>
      </c>
      <c r="I1372" t="b">
        <v>1</v>
      </c>
      <c r="J1372" t="b">
        <v>1</v>
      </c>
      <c r="K1372" t="b">
        <v>1</v>
      </c>
      <c r="L1372" t="s">
        <v>62</v>
      </c>
      <c r="M1372">
        <v>70</v>
      </c>
      <c r="N1372" t="s">
        <v>64</v>
      </c>
      <c r="O1372">
        <v>52.5</v>
      </c>
      <c r="P1372" t="s">
        <v>40</v>
      </c>
      <c r="Q1372">
        <v>0.1</v>
      </c>
      <c r="R1372">
        <v>47.25</v>
      </c>
      <c r="S1372" t="s">
        <v>53</v>
      </c>
      <c r="T1372" t="s">
        <v>50</v>
      </c>
      <c r="U1372">
        <v>34.052199999999999</v>
      </c>
      <c r="V1372">
        <v>-118.2437</v>
      </c>
      <c r="W1372" s="2">
        <v>45638</v>
      </c>
      <c r="X1372">
        <v>8</v>
      </c>
      <c r="Y1372" t="b">
        <v>1</v>
      </c>
      <c r="Z1372" s="2">
        <v>45850</v>
      </c>
      <c r="AA1372" t="str">
        <f t="shared" si="211"/>
        <v>40–49</v>
      </c>
      <c r="AB1372" t="str">
        <f t="shared" si="212"/>
        <v>40–49</v>
      </c>
      <c r="AC1372" t="str">
        <f t="shared" si="213"/>
        <v/>
      </c>
      <c r="AD1372" t="str">
        <f t="shared" si="214"/>
        <v>Tuesday</v>
      </c>
      <c r="AE1372" t="str">
        <f t="shared" si="215"/>
        <v/>
      </c>
      <c r="AF1372" t="str">
        <f t="shared" si="216"/>
        <v/>
      </c>
      <c r="AG1372" t="str">
        <f t="shared" si="217"/>
        <v/>
      </c>
      <c r="AH1372" t="str">
        <f t="shared" si="218"/>
        <v>Saturday</v>
      </c>
      <c r="AI1372" t="str">
        <f t="shared" si="219"/>
        <v/>
      </c>
      <c r="AJ1372" t="str">
        <f>LEFT(Table1[[#This Row],[membership_type]],2)&amp;TEXT(Table1[[#This Row],[age]],"00")&amp;"-"&amp;TEXT(ROW(),"000")</f>
        <v>El47-1372</v>
      </c>
      <c r="AK1372" t="str">
        <f>LEFT(Table1[[#This Row],[membership_type]],1)&amp;TEXT(MATCH(Table1[[#This Row],[membership_type]],Table1[membership_type],0),"00")</f>
        <v>E07</v>
      </c>
      <c r="AL1372" t="str">
        <f>LEFT(Table1[[#This Row],[discount_type]],1)&amp;TEXT(ROUND(Table1[[#This Row],[discount_rate]]*100,0),"00")</f>
        <v>L10</v>
      </c>
      <c r="AM1372" t="str" cm="1">
        <f t="array" ref="AM1372">TEXT(SUMPRODUCT(CODE(MID(Table1[[#This Row],[home_gym_location]],_xlfn.SEQUENCE(LEN(Table1[[#This Row],[home_gym_location]])),1))),"00000")</f>
        <v>01245</v>
      </c>
      <c r="AN137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72" t="str">
        <f>LEFT(_xlfn.TEXTBEFORE(Table1[[#This Row],[Location Identifier]],"-"),3) &amp; "-" &amp; _xlfn.TEXTAFTER(Table1[[#This Row],[Location Identifier]],"-")</f>
        <v>LOS-005</v>
      </c>
      <c r="AP1372" s="9">
        <f t="shared" ca="1" si="210"/>
        <v>45869</v>
      </c>
    </row>
    <row r="1373" spans="1:42" x14ac:dyDescent="0.25">
      <c r="A1373">
        <v>21</v>
      </c>
      <c r="B1373" t="s">
        <v>26</v>
      </c>
      <c r="C1373">
        <v>2</v>
      </c>
      <c r="D1373" t="s">
        <v>116</v>
      </c>
      <c r="E1373" t="b">
        <v>0</v>
      </c>
      <c r="F1373" s="1">
        <v>0.54513888888888884</v>
      </c>
      <c r="G1373" s="1">
        <v>0.61458333333333337</v>
      </c>
      <c r="H1373">
        <v>100</v>
      </c>
      <c r="I1373" t="b">
        <v>1</v>
      </c>
      <c r="J1373" t="b">
        <v>1</v>
      </c>
      <c r="K1373" t="b">
        <v>0</v>
      </c>
      <c r="L1373" t="s">
        <v>47</v>
      </c>
      <c r="M1373">
        <v>50</v>
      </c>
      <c r="N1373" t="s">
        <v>64</v>
      </c>
      <c r="O1373">
        <v>37.5</v>
      </c>
      <c r="P1373" t="s">
        <v>36</v>
      </c>
      <c r="Q1373">
        <v>0</v>
      </c>
      <c r="R1373">
        <v>37.5</v>
      </c>
      <c r="S1373" t="s">
        <v>31</v>
      </c>
      <c r="T1373" t="s">
        <v>59</v>
      </c>
      <c r="U1373">
        <v>37.774900000000002</v>
      </c>
      <c r="V1373">
        <v>-122.4194</v>
      </c>
      <c r="W1373" s="2">
        <v>44921</v>
      </c>
      <c r="X1373">
        <v>6</v>
      </c>
      <c r="Y1373" t="b">
        <v>1</v>
      </c>
      <c r="Z1373" s="2">
        <v>45809</v>
      </c>
      <c r="AA1373" t="str">
        <f t="shared" si="211"/>
        <v>20–29</v>
      </c>
      <c r="AB1373" t="str">
        <f t="shared" si="212"/>
        <v>20–29</v>
      </c>
      <c r="AC1373" t="str">
        <f t="shared" si="213"/>
        <v/>
      </c>
      <c r="AD1373" t="str">
        <f t="shared" si="214"/>
        <v/>
      </c>
      <c r="AE1373" t="str">
        <f t="shared" si="215"/>
        <v/>
      </c>
      <c r="AF1373" t="str">
        <f t="shared" si="216"/>
        <v>Thursday</v>
      </c>
      <c r="AG1373" t="str">
        <f t="shared" si="217"/>
        <v/>
      </c>
      <c r="AH1373" t="str">
        <f t="shared" si="218"/>
        <v/>
      </c>
      <c r="AI1373" t="str">
        <f t="shared" si="219"/>
        <v>Sunday</v>
      </c>
      <c r="AJ1373" t="str">
        <f>LEFT(Table1[[#This Row],[membership_type]],2)&amp;TEXT(Table1[[#This Row],[age]],"00")&amp;"-"&amp;TEXT(ROW(),"000")</f>
        <v>Pr21-1373</v>
      </c>
      <c r="AK1373" t="str">
        <f>LEFT(Table1[[#This Row],[membership_type]],1)&amp;TEXT(MATCH(Table1[[#This Row],[membership_type]],Table1[membership_type],0),"00")</f>
        <v>P01</v>
      </c>
      <c r="AL1373" t="str">
        <f>LEFT(Table1[[#This Row],[discount_type]],1)&amp;TEXT(ROUND(Table1[[#This Row],[discount_rate]]*100,0),"00")</f>
        <v>N00</v>
      </c>
      <c r="AM1373" t="str" cm="1">
        <f t="array" ref="AM1373">TEXT(SUMPRODUCT(CODE(MID(Table1[[#This Row],[home_gym_location]],_xlfn.SEQUENCE(LEN(Table1[[#This Row],[home_gym_location]])),1))),"00000")</f>
        <v>01450</v>
      </c>
      <c r="AN137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73" t="str">
        <f>LEFT(_xlfn.TEXTBEFORE(Table1[[#This Row],[Location Identifier]],"-"),3) &amp; "-" &amp; _xlfn.TEXTAFTER(Table1[[#This Row],[Location Identifier]],"-")</f>
        <v>SAN-009</v>
      </c>
      <c r="AP1373" s="9">
        <f t="shared" ca="1" si="210"/>
        <v>45869</v>
      </c>
    </row>
    <row r="1374" spans="1:42" x14ac:dyDescent="0.25">
      <c r="A1374">
        <v>39</v>
      </c>
      <c r="B1374" t="s">
        <v>33</v>
      </c>
      <c r="C1374">
        <v>3</v>
      </c>
      <c r="D1374" t="s">
        <v>117</v>
      </c>
      <c r="E1374" t="b">
        <v>0</v>
      </c>
      <c r="F1374" s="1">
        <v>0.52500000000000002</v>
      </c>
      <c r="G1374" s="1">
        <v>0.59652777777777777</v>
      </c>
      <c r="H1374">
        <v>103</v>
      </c>
      <c r="I1374" t="b">
        <v>0</v>
      </c>
      <c r="J1374" t="b">
        <v>1</v>
      </c>
      <c r="K1374" t="b">
        <v>0</v>
      </c>
      <c r="L1374" t="s">
        <v>28</v>
      </c>
      <c r="M1374">
        <v>30</v>
      </c>
      <c r="N1374" t="s">
        <v>64</v>
      </c>
      <c r="O1374">
        <v>22.5</v>
      </c>
      <c r="P1374" t="s">
        <v>36</v>
      </c>
      <c r="Q1374">
        <v>0</v>
      </c>
      <c r="R1374">
        <v>22.5</v>
      </c>
      <c r="S1374" t="s">
        <v>37</v>
      </c>
      <c r="T1374" t="s">
        <v>48</v>
      </c>
      <c r="U1374">
        <v>38.581600000000002</v>
      </c>
      <c r="V1374">
        <v>-121.4944</v>
      </c>
      <c r="W1374" s="2">
        <v>45306</v>
      </c>
      <c r="X1374">
        <v>8</v>
      </c>
      <c r="Y1374" t="b">
        <v>0</v>
      </c>
      <c r="Z1374" s="2">
        <v>45831</v>
      </c>
      <c r="AA1374" t="str">
        <f t="shared" si="211"/>
        <v>30–39</v>
      </c>
      <c r="AB1374" t="str">
        <f t="shared" si="212"/>
        <v>30–39</v>
      </c>
      <c r="AC1374" t="str">
        <f t="shared" si="213"/>
        <v/>
      </c>
      <c r="AD1374" t="str">
        <f t="shared" si="214"/>
        <v/>
      </c>
      <c r="AE1374" t="str">
        <f t="shared" si="215"/>
        <v>Wednesday</v>
      </c>
      <c r="AF1374" t="str">
        <f t="shared" si="216"/>
        <v>Thursday</v>
      </c>
      <c r="AG1374" t="str">
        <f t="shared" si="217"/>
        <v/>
      </c>
      <c r="AH1374" t="str">
        <f t="shared" si="218"/>
        <v/>
      </c>
      <c r="AI1374" t="str">
        <f t="shared" si="219"/>
        <v>Sunday</v>
      </c>
      <c r="AJ1374" t="str">
        <f>LEFT(Table1[[#This Row],[membership_type]],2)&amp;TEXT(Table1[[#This Row],[age]],"00")&amp;"-"&amp;TEXT(ROW(),"000")</f>
        <v>St39-1374</v>
      </c>
      <c r="AK1374" t="str">
        <f>LEFT(Table1[[#This Row],[membership_type]],1)&amp;TEXT(MATCH(Table1[[#This Row],[membership_type]],Table1[membership_type],0),"00")</f>
        <v>S02</v>
      </c>
      <c r="AL1374" t="str">
        <f>LEFT(Table1[[#This Row],[discount_type]],1)&amp;TEXT(ROUND(Table1[[#This Row],[discount_rate]]*100,0),"00")</f>
        <v>N00</v>
      </c>
      <c r="AM1374" t="str" cm="1">
        <f t="array" ref="AM1374">TEXT(SUMPRODUCT(CODE(MID(Table1[[#This Row],[home_gym_location]],_xlfn.SEQUENCE(LEN(Table1[[#This Row],[home_gym_location]])),1))),"00000")</f>
        <v>01245</v>
      </c>
      <c r="AN137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74" t="str">
        <f>LEFT(_xlfn.TEXTBEFORE(Table1[[#This Row],[Location Identifier]],"-"),3) &amp; "-" &amp; _xlfn.TEXTAFTER(Table1[[#This Row],[Location Identifier]],"-")</f>
        <v>SAC-007</v>
      </c>
      <c r="AP1374" s="9">
        <f t="shared" ca="1" si="210"/>
        <v>45869</v>
      </c>
    </row>
    <row r="1375" spans="1:42" x14ac:dyDescent="0.25">
      <c r="A1375">
        <v>41</v>
      </c>
      <c r="B1375" t="s">
        <v>26</v>
      </c>
      <c r="C1375">
        <v>1</v>
      </c>
      <c r="D1375" t="s">
        <v>75</v>
      </c>
      <c r="E1375" t="b">
        <v>1</v>
      </c>
      <c r="F1375" s="1">
        <v>0.40694444444444444</v>
      </c>
      <c r="G1375" s="1">
        <v>0.46527777777777779</v>
      </c>
      <c r="H1375">
        <v>84</v>
      </c>
      <c r="I1375" t="b">
        <v>1</v>
      </c>
      <c r="J1375" t="b">
        <v>1</v>
      </c>
      <c r="K1375" t="b">
        <v>0</v>
      </c>
      <c r="L1375" t="s">
        <v>62</v>
      </c>
      <c r="M1375">
        <v>50</v>
      </c>
      <c r="N1375" t="s">
        <v>78</v>
      </c>
      <c r="O1375">
        <v>45</v>
      </c>
      <c r="P1375" t="s">
        <v>36</v>
      </c>
      <c r="Q1375">
        <v>0</v>
      </c>
      <c r="R1375">
        <v>45</v>
      </c>
      <c r="S1375" t="s">
        <v>31</v>
      </c>
      <c r="T1375" t="s">
        <v>65</v>
      </c>
      <c r="U1375">
        <v>33.770099999999999</v>
      </c>
      <c r="V1375">
        <v>-118.19370000000001</v>
      </c>
      <c r="W1375" s="2">
        <v>45567</v>
      </c>
      <c r="X1375">
        <v>2</v>
      </c>
      <c r="Y1375" t="b">
        <v>1</v>
      </c>
      <c r="Z1375" s="2">
        <v>45846</v>
      </c>
      <c r="AA1375" t="str">
        <f t="shared" si="211"/>
        <v>40–49</v>
      </c>
      <c r="AB1375" t="str">
        <f t="shared" si="212"/>
        <v>40–49</v>
      </c>
      <c r="AC1375" t="str">
        <f t="shared" si="213"/>
        <v/>
      </c>
      <c r="AD1375" t="str">
        <f t="shared" si="214"/>
        <v/>
      </c>
      <c r="AE1375" t="str">
        <f t="shared" si="215"/>
        <v/>
      </c>
      <c r="AF1375" t="str">
        <f t="shared" si="216"/>
        <v/>
      </c>
      <c r="AG1375" t="str">
        <f t="shared" si="217"/>
        <v>Friday</v>
      </c>
      <c r="AH1375" t="str">
        <f t="shared" si="218"/>
        <v/>
      </c>
      <c r="AI1375" t="str">
        <f t="shared" si="219"/>
        <v/>
      </c>
      <c r="AJ1375" t="str">
        <f>LEFT(Table1[[#This Row],[membership_type]],2)&amp;TEXT(Table1[[#This Row],[age]],"00")&amp;"-"&amp;TEXT(ROW(),"000")</f>
        <v>Pr41-1375</v>
      </c>
      <c r="AK1375" t="str">
        <f>LEFT(Table1[[#This Row],[membership_type]],1)&amp;TEXT(MATCH(Table1[[#This Row],[membership_type]],Table1[membership_type],0),"00")</f>
        <v>P01</v>
      </c>
      <c r="AL1375" t="str">
        <f>LEFT(Table1[[#This Row],[discount_type]],1)&amp;TEXT(ROUND(Table1[[#This Row],[discount_rate]]*100,0),"00")</f>
        <v>N00</v>
      </c>
      <c r="AM1375" t="str" cm="1">
        <f t="array" ref="AM1375">TEXT(SUMPRODUCT(CODE(MID(Table1[[#This Row],[home_gym_location]],_xlfn.SEQUENCE(LEN(Table1[[#This Row],[home_gym_location]])),1))),"00000")</f>
        <v>01107</v>
      </c>
      <c r="AN137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75" t="str">
        <f>LEFT(_xlfn.TEXTBEFORE(Table1[[#This Row],[Location Identifier]],"-"),3) &amp; "-" &amp; _xlfn.TEXTAFTER(Table1[[#This Row],[Location Identifier]],"-")</f>
        <v>LON-004</v>
      </c>
      <c r="AP1375" s="9">
        <f t="shared" ca="1" si="210"/>
        <v>45869</v>
      </c>
    </row>
    <row r="1376" spans="1:42" x14ac:dyDescent="0.25">
      <c r="A1376">
        <v>17</v>
      </c>
      <c r="B1376" t="s">
        <v>33</v>
      </c>
      <c r="C1376">
        <v>3</v>
      </c>
      <c r="D1376" t="s">
        <v>82</v>
      </c>
      <c r="E1376" t="b">
        <v>0</v>
      </c>
      <c r="F1376" s="1">
        <v>0.75138888888888888</v>
      </c>
      <c r="G1376" s="1">
        <v>0.8256944444444444</v>
      </c>
      <c r="H1376">
        <v>107</v>
      </c>
      <c r="I1376" t="b">
        <v>0</v>
      </c>
      <c r="J1376" t="b">
        <v>0</v>
      </c>
      <c r="K1376" t="b">
        <v>1</v>
      </c>
      <c r="L1376" t="s">
        <v>62</v>
      </c>
      <c r="M1376">
        <v>30</v>
      </c>
      <c r="N1376" t="s">
        <v>29</v>
      </c>
      <c r="O1376">
        <v>30</v>
      </c>
      <c r="P1376" t="s">
        <v>74</v>
      </c>
      <c r="Q1376">
        <v>0.15</v>
      </c>
      <c r="R1376">
        <v>25.5</v>
      </c>
      <c r="S1376" t="s">
        <v>37</v>
      </c>
      <c r="T1376" t="s">
        <v>45</v>
      </c>
      <c r="U1376">
        <v>33.836599999999997</v>
      </c>
      <c r="V1376">
        <v>-117.9143</v>
      </c>
      <c r="W1376" s="2">
        <v>44903</v>
      </c>
      <c r="X1376">
        <v>0</v>
      </c>
      <c r="Y1376" t="b">
        <v>0</v>
      </c>
      <c r="Z1376" s="2">
        <v>45808</v>
      </c>
      <c r="AA1376" t="str">
        <f t="shared" si="211"/>
        <v>10–19</v>
      </c>
      <c r="AB1376" t="str">
        <f t="shared" si="212"/>
        <v>16–19</v>
      </c>
      <c r="AC1376" t="str">
        <f t="shared" si="213"/>
        <v/>
      </c>
      <c r="AD1376" t="str">
        <f t="shared" si="214"/>
        <v/>
      </c>
      <c r="AE1376" t="str">
        <f t="shared" si="215"/>
        <v/>
      </c>
      <c r="AF1376" t="str">
        <f t="shared" si="216"/>
        <v/>
      </c>
      <c r="AG1376" t="str">
        <f t="shared" si="217"/>
        <v>Friday</v>
      </c>
      <c r="AH1376" t="str">
        <f t="shared" si="218"/>
        <v>Saturday</v>
      </c>
      <c r="AI1376" t="str">
        <f t="shared" si="219"/>
        <v>Sunday</v>
      </c>
      <c r="AJ1376" t="str">
        <f>LEFT(Table1[[#This Row],[membership_type]],2)&amp;TEXT(Table1[[#This Row],[age]],"00")&amp;"-"&amp;TEXT(ROW(),"000")</f>
        <v>St17-1376</v>
      </c>
      <c r="AK1376" t="str">
        <f>LEFT(Table1[[#This Row],[membership_type]],1)&amp;TEXT(MATCH(Table1[[#This Row],[membership_type]],Table1[membership_type],0),"00")</f>
        <v>S02</v>
      </c>
      <c r="AL1376" t="str">
        <f>LEFT(Table1[[#This Row],[discount_type]],1)&amp;TEXT(ROUND(Table1[[#This Row],[discount_rate]]*100,0),"00")</f>
        <v>S15</v>
      </c>
      <c r="AM1376" t="str" cm="1">
        <f t="array" ref="AM1376">TEXT(SUMPRODUCT(CODE(MID(Table1[[#This Row],[home_gym_location]],_xlfn.SEQUENCE(LEN(Table1[[#This Row],[home_gym_location]])),1))),"00000")</f>
        <v>00899</v>
      </c>
      <c r="AN137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76" t="str">
        <f>LEFT(_xlfn.TEXTBEFORE(Table1[[#This Row],[Location Identifier]],"-"),3) &amp; "-" &amp; _xlfn.TEXTAFTER(Table1[[#This Row],[Location Identifier]],"-")</f>
        <v>ANA-001</v>
      </c>
      <c r="AP1376" s="9">
        <f t="shared" ca="1" si="210"/>
        <v>45869</v>
      </c>
    </row>
    <row r="1377" spans="1:42" x14ac:dyDescent="0.25">
      <c r="A1377">
        <v>26</v>
      </c>
      <c r="B1377" t="s">
        <v>33</v>
      </c>
      <c r="C1377">
        <v>3</v>
      </c>
      <c r="D1377" t="s">
        <v>128</v>
      </c>
      <c r="E1377" t="b">
        <v>0</v>
      </c>
      <c r="F1377" s="1">
        <v>0.5493055555555556</v>
      </c>
      <c r="G1377" s="1">
        <v>0.59791666666666665</v>
      </c>
      <c r="H1377">
        <v>70</v>
      </c>
      <c r="I1377" t="b">
        <v>0</v>
      </c>
      <c r="J1377" t="b">
        <v>0</v>
      </c>
      <c r="K1377" t="b">
        <v>0</v>
      </c>
      <c r="L1377" t="s">
        <v>62</v>
      </c>
      <c r="M1377">
        <v>30</v>
      </c>
      <c r="N1377" t="s">
        <v>29</v>
      </c>
      <c r="O1377">
        <v>30</v>
      </c>
      <c r="P1377" t="s">
        <v>30</v>
      </c>
      <c r="Q1377">
        <v>0.05</v>
      </c>
      <c r="R1377">
        <v>28.5</v>
      </c>
      <c r="S1377" t="s">
        <v>37</v>
      </c>
      <c r="T1377" t="s">
        <v>65</v>
      </c>
      <c r="U1377">
        <v>33.770099999999999</v>
      </c>
      <c r="V1377">
        <v>-118.19370000000001</v>
      </c>
      <c r="W1377" s="2">
        <v>45356</v>
      </c>
      <c r="X1377">
        <v>0</v>
      </c>
      <c r="Y1377" t="b">
        <v>0</v>
      </c>
      <c r="Z1377" s="2">
        <v>45834</v>
      </c>
      <c r="AA1377" t="str">
        <f t="shared" si="211"/>
        <v>20–29</v>
      </c>
      <c r="AB1377" t="str">
        <f t="shared" si="212"/>
        <v>20–29</v>
      </c>
      <c r="AC1377" t="str">
        <f t="shared" si="213"/>
        <v>Monday</v>
      </c>
      <c r="AD1377" t="str">
        <f t="shared" si="214"/>
        <v/>
      </c>
      <c r="AE1377" t="str">
        <f t="shared" si="215"/>
        <v/>
      </c>
      <c r="AF1377" t="str">
        <f t="shared" si="216"/>
        <v>Thursday</v>
      </c>
      <c r="AG1377" t="str">
        <f t="shared" si="217"/>
        <v/>
      </c>
      <c r="AH1377" t="str">
        <f t="shared" si="218"/>
        <v/>
      </c>
      <c r="AI1377" t="str">
        <f t="shared" si="219"/>
        <v>Sunday</v>
      </c>
      <c r="AJ1377" t="str">
        <f>LEFT(Table1[[#This Row],[membership_type]],2)&amp;TEXT(Table1[[#This Row],[age]],"00")&amp;"-"&amp;TEXT(ROW(),"000")</f>
        <v>St26-1377</v>
      </c>
      <c r="AK1377" t="str">
        <f>LEFT(Table1[[#This Row],[membership_type]],1)&amp;TEXT(MATCH(Table1[[#This Row],[membership_type]],Table1[membership_type],0),"00")</f>
        <v>S02</v>
      </c>
      <c r="AL1377" t="str">
        <f>LEFT(Table1[[#This Row],[discount_type]],1)&amp;TEXT(ROUND(Table1[[#This Row],[discount_rate]]*100,0),"00")</f>
        <v>P05</v>
      </c>
      <c r="AM1377" t="str" cm="1">
        <f t="array" ref="AM1377">TEXT(SUMPRODUCT(CODE(MID(Table1[[#This Row],[home_gym_location]],_xlfn.SEQUENCE(LEN(Table1[[#This Row],[home_gym_location]])),1))),"00000")</f>
        <v>01107</v>
      </c>
      <c r="AN137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377" t="str">
        <f>LEFT(_xlfn.TEXTBEFORE(Table1[[#This Row],[Location Identifier]],"-"),3) &amp; "-" &amp; _xlfn.TEXTAFTER(Table1[[#This Row],[Location Identifier]],"-")</f>
        <v>LON-004</v>
      </c>
      <c r="AP1377" s="9">
        <f t="shared" ca="1" si="210"/>
        <v>45869</v>
      </c>
    </row>
    <row r="1378" spans="1:42" x14ac:dyDescent="0.25">
      <c r="A1378">
        <v>27</v>
      </c>
      <c r="B1378" t="s">
        <v>33</v>
      </c>
      <c r="C1378">
        <v>2</v>
      </c>
      <c r="D1378" t="s">
        <v>27</v>
      </c>
      <c r="E1378" t="b">
        <v>0</v>
      </c>
      <c r="F1378" s="1">
        <v>0.48819444444444443</v>
      </c>
      <c r="G1378" s="1">
        <v>0.60138888888888886</v>
      </c>
      <c r="H1378">
        <v>163</v>
      </c>
      <c r="I1378" t="b">
        <v>1</v>
      </c>
      <c r="J1378" t="b">
        <v>0</v>
      </c>
      <c r="K1378" t="b">
        <v>1</v>
      </c>
      <c r="L1378" t="s">
        <v>28</v>
      </c>
      <c r="M1378">
        <v>30</v>
      </c>
      <c r="N1378" t="s">
        <v>29</v>
      </c>
      <c r="O1378">
        <v>30</v>
      </c>
      <c r="P1378" t="s">
        <v>74</v>
      </c>
      <c r="Q1378">
        <v>0.15</v>
      </c>
      <c r="R1378">
        <v>25.5</v>
      </c>
      <c r="S1378" t="s">
        <v>37</v>
      </c>
      <c r="T1378" t="s">
        <v>50</v>
      </c>
      <c r="U1378">
        <v>34.052199999999999</v>
      </c>
      <c r="V1378">
        <v>-118.2437</v>
      </c>
      <c r="W1378" s="2">
        <v>45282</v>
      </c>
      <c r="X1378">
        <v>0</v>
      </c>
      <c r="Y1378" t="b">
        <v>0</v>
      </c>
      <c r="Z1378" s="2">
        <v>45830</v>
      </c>
      <c r="AA1378" t="str">
        <f t="shared" si="211"/>
        <v>20–29</v>
      </c>
      <c r="AB1378" t="str">
        <f t="shared" si="212"/>
        <v>20–29</v>
      </c>
      <c r="AC1378" t="str">
        <f t="shared" si="213"/>
        <v/>
      </c>
      <c r="AD1378" t="str">
        <f t="shared" si="214"/>
        <v/>
      </c>
      <c r="AE1378" t="str">
        <f t="shared" si="215"/>
        <v/>
      </c>
      <c r="AF1378" t="str">
        <f t="shared" si="216"/>
        <v>Thursday</v>
      </c>
      <c r="AG1378" t="str">
        <f t="shared" si="217"/>
        <v/>
      </c>
      <c r="AH1378" t="str">
        <f t="shared" si="218"/>
        <v>Saturday</v>
      </c>
      <c r="AI1378" t="str">
        <f t="shared" si="219"/>
        <v/>
      </c>
      <c r="AJ1378" t="str">
        <f>LEFT(Table1[[#This Row],[membership_type]],2)&amp;TEXT(Table1[[#This Row],[age]],"00")&amp;"-"&amp;TEXT(ROW(),"000")</f>
        <v>St27-1378</v>
      </c>
      <c r="AK1378" t="str">
        <f>LEFT(Table1[[#This Row],[membership_type]],1)&amp;TEXT(MATCH(Table1[[#This Row],[membership_type]],Table1[membership_type],0),"00")</f>
        <v>S02</v>
      </c>
      <c r="AL1378" t="str">
        <f>LEFT(Table1[[#This Row],[discount_type]],1)&amp;TEXT(ROUND(Table1[[#This Row],[discount_rate]]*100,0),"00")</f>
        <v>S15</v>
      </c>
      <c r="AM1378" t="str" cm="1">
        <f t="array" ref="AM1378">TEXT(SUMPRODUCT(CODE(MID(Table1[[#This Row],[home_gym_location]],_xlfn.SEQUENCE(LEN(Table1[[#This Row],[home_gym_location]])),1))),"00000")</f>
        <v>01245</v>
      </c>
      <c r="AN137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78" t="str">
        <f>LEFT(_xlfn.TEXTBEFORE(Table1[[#This Row],[Location Identifier]],"-"),3) &amp; "-" &amp; _xlfn.TEXTAFTER(Table1[[#This Row],[Location Identifier]],"-")</f>
        <v>LOS-005</v>
      </c>
      <c r="AP1378" s="9">
        <f t="shared" ca="1" si="210"/>
        <v>45869</v>
      </c>
    </row>
    <row r="1379" spans="1:42" x14ac:dyDescent="0.25">
      <c r="A1379">
        <v>27</v>
      </c>
      <c r="B1379" t="s">
        <v>51</v>
      </c>
      <c r="C1379">
        <v>5</v>
      </c>
      <c r="D1379" t="s">
        <v>68</v>
      </c>
      <c r="E1379" t="b">
        <v>0</v>
      </c>
      <c r="F1379" s="1">
        <v>0.41458333333333336</v>
      </c>
      <c r="G1379" s="1">
        <v>0.51527777777777772</v>
      </c>
      <c r="H1379">
        <v>145</v>
      </c>
      <c r="I1379" t="b">
        <v>0</v>
      </c>
      <c r="J1379" t="b">
        <v>0</v>
      </c>
      <c r="K1379" t="b">
        <v>0</v>
      </c>
      <c r="L1379" t="s">
        <v>35</v>
      </c>
      <c r="M1379">
        <v>70</v>
      </c>
      <c r="N1379" t="s">
        <v>64</v>
      </c>
      <c r="O1379">
        <v>52.5</v>
      </c>
      <c r="P1379" t="s">
        <v>40</v>
      </c>
      <c r="Q1379">
        <v>0.1</v>
      </c>
      <c r="R1379">
        <v>47.25</v>
      </c>
      <c r="S1379" t="s">
        <v>53</v>
      </c>
      <c r="T1379" t="s">
        <v>50</v>
      </c>
      <c r="U1379">
        <v>34.052199999999999</v>
      </c>
      <c r="V1379">
        <v>-118.2437</v>
      </c>
      <c r="W1379" s="2">
        <v>45448</v>
      </c>
      <c r="X1379">
        <v>0</v>
      </c>
      <c r="Y1379" t="b">
        <v>0</v>
      </c>
      <c r="Z1379" s="2">
        <v>45839</v>
      </c>
      <c r="AA1379" t="str">
        <f t="shared" si="211"/>
        <v>20–29</v>
      </c>
      <c r="AB1379" t="str">
        <f t="shared" si="212"/>
        <v>20–29</v>
      </c>
      <c r="AC1379" t="str">
        <f t="shared" si="213"/>
        <v>Monday</v>
      </c>
      <c r="AD1379" t="str">
        <f t="shared" si="214"/>
        <v>Tuesday</v>
      </c>
      <c r="AE1379" t="str">
        <f t="shared" si="215"/>
        <v/>
      </c>
      <c r="AF1379" t="str">
        <f t="shared" si="216"/>
        <v>Thursday</v>
      </c>
      <c r="AG1379" t="str">
        <f t="shared" si="217"/>
        <v>Friday</v>
      </c>
      <c r="AH1379" t="str">
        <f t="shared" si="218"/>
        <v>Saturday</v>
      </c>
      <c r="AI1379" t="str">
        <f t="shared" si="219"/>
        <v/>
      </c>
      <c r="AJ1379" t="str">
        <f>LEFT(Table1[[#This Row],[membership_type]],2)&amp;TEXT(Table1[[#This Row],[age]],"00")&amp;"-"&amp;TEXT(ROW(),"000")</f>
        <v>El27-1379</v>
      </c>
      <c r="AK1379" t="str">
        <f>LEFT(Table1[[#This Row],[membership_type]],1)&amp;TEXT(MATCH(Table1[[#This Row],[membership_type]],Table1[membership_type],0),"00")</f>
        <v>E07</v>
      </c>
      <c r="AL1379" t="str">
        <f>LEFT(Table1[[#This Row],[discount_type]],1)&amp;TEXT(ROUND(Table1[[#This Row],[discount_rate]]*100,0),"00")</f>
        <v>L10</v>
      </c>
      <c r="AM1379" t="str" cm="1">
        <f t="array" ref="AM1379">TEXT(SUMPRODUCT(CODE(MID(Table1[[#This Row],[home_gym_location]],_xlfn.SEQUENCE(LEN(Table1[[#This Row],[home_gym_location]])),1))),"00000")</f>
        <v>01245</v>
      </c>
      <c r="AN137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79" t="str">
        <f>LEFT(_xlfn.TEXTBEFORE(Table1[[#This Row],[Location Identifier]],"-"),3) &amp; "-" &amp; _xlfn.TEXTAFTER(Table1[[#This Row],[Location Identifier]],"-")</f>
        <v>LOS-005</v>
      </c>
      <c r="AP1379" s="9">
        <f t="shared" ca="1" si="210"/>
        <v>45869</v>
      </c>
    </row>
    <row r="1380" spans="1:42" x14ac:dyDescent="0.25">
      <c r="A1380">
        <v>21</v>
      </c>
      <c r="B1380" t="s">
        <v>33</v>
      </c>
      <c r="C1380">
        <v>3</v>
      </c>
      <c r="D1380" t="s">
        <v>90</v>
      </c>
      <c r="E1380" t="b">
        <v>0</v>
      </c>
      <c r="F1380" s="1">
        <v>0.54097222222222219</v>
      </c>
      <c r="G1380" s="1">
        <v>0.57499999999999996</v>
      </c>
      <c r="H1380">
        <v>49</v>
      </c>
      <c r="I1380" t="b">
        <v>1</v>
      </c>
      <c r="J1380" t="b">
        <v>0</v>
      </c>
      <c r="K1380" t="b">
        <v>0</v>
      </c>
      <c r="L1380" t="s">
        <v>28</v>
      </c>
      <c r="M1380">
        <v>30</v>
      </c>
      <c r="N1380" t="s">
        <v>29</v>
      </c>
      <c r="O1380">
        <v>30</v>
      </c>
      <c r="P1380" t="s">
        <v>36</v>
      </c>
      <c r="Q1380">
        <v>0</v>
      </c>
      <c r="R1380">
        <v>30</v>
      </c>
      <c r="S1380" t="s">
        <v>37</v>
      </c>
      <c r="T1380" t="s">
        <v>48</v>
      </c>
      <c r="U1380">
        <v>38.581600000000002</v>
      </c>
      <c r="V1380">
        <v>-121.4944</v>
      </c>
      <c r="W1380" s="2">
        <v>45199</v>
      </c>
      <c r="X1380">
        <v>0</v>
      </c>
      <c r="Y1380" t="b">
        <v>1</v>
      </c>
      <c r="Z1380" s="2">
        <v>45825</v>
      </c>
      <c r="AA1380" t="str">
        <f t="shared" si="211"/>
        <v>20–29</v>
      </c>
      <c r="AB1380" t="str">
        <f t="shared" si="212"/>
        <v>20–29</v>
      </c>
      <c r="AC1380" t="str">
        <f t="shared" si="213"/>
        <v/>
      </c>
      <c r="AD1380" t="str">
        <f t="shared" si="214"/>
        <v>Tuesday</v>
      </c>
      <c r="AE1380" t="str">
        <f t="shared" si="215"/>
        <v/>
      </c>
      <c r="AF1380" t="str">
        <f t="shared" si="216"/>
        <v/>
      </c>
      <c r="AG1380" t="str">
        <f t="shared" si="217"/>
        <v/>
      </c>
      <c r="AH1380" t="str">
        <f t="shared" si="218"/>
        <v>Saturday</v>
      </c>
      <c r="AI1380" t="str">
        <f t="shared" si="219"/>
        <v>Sunday</v>
      </c>
      <c r="AJ1380" t="str">
        <f>LEFT(Table1[[#This Row],[membership_type]],2)&amp;TEXT(Table1[[#This Row],[age]],"00")&amp;"-"&amp;TEXT(ROW(),"000")</f>
        <v>St21-1380</v>
      </c>
      <c r="AK1380" t="str">
        <f>LEFT(Table1[[#This Row],[membership_type]],1)&amp;TEXT(MATCH(Table1[[#This Row],[membership_type]],Table1[membership_type],0),"00")</f>
        <v>S02</v>
      </c>
      <c r="AL1380" t="str">
        <f>LEFT(Table1[[#This Row],[discount_type]],1)&amp;TEXT(ROUND(Table1[[#This Row],[discount_rate]]*100,0),"00")</f>
        <v>N00</v>
      </c>
      <c r="AM1380" t="str" cm="1">
        <f t="array" ref="AM1380">TEXT(SUMPRODUCT(CODE(MID(Table1[[#This Row],[home_gym_location]],_xlfn.SEQUENCE(LEN(Table1[[#This Row],[home_gym_location]])),1))),"00000")</f>
        <v>01245</v>
      </c>
      <c r="AN138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80" t="str">
        <f>LEFT(_xlfn.TEXTBEFORE(Table1[[#This Row],[Location Identifier]],"-"),3) &amp; "-" &amp; _xlfn.TEXTAFTER(Table1[[#This Row],[Location Identifier]],"-")</f>
        <v>SAC-007</v>
      </c>
      <c r="AP1380" s="9">
        <f t="shared" ca="1" si="210"/>
        <v>45869</v>
      </c>
    </row>
    <row r="1381" spans="1:42" x14ac:dyDescent="0.25">
      <c r="A1381">
        <v>28</v>
      </c>
      <c r="B1381" t="s">
        <v>33</v>
      </c>
      <c r="C1381">
        <v>3</v>
      </c>
      <c r="D1381" t="s">
        <v>82</v>
      </c>
      <c r="E1381" t="b">
        <v>0</v>
      </c>
      <c r="F1381" s="1">
        <v>0.56111111111111112</v>
      </c>
      <c r="G1381" s="1">
        <v>0.65555555555555556</v>
      </c>
      <c r="H1381">
        <v>136</v>
      </c>
      <c r="I1381" t="b">
        <v>1</v>
      </c>
      <c r="J1381" t="b">
        <v>1</v>
      </c>
      <c r="K1381" t="b">
        <v>1</v>
      </c>
      <c r="L1381" t="s">
        <v>62</v>
      </c>
      <c r="M1381">
        <v>30</v>
      </c>
      <c r="N1381" t="s">
        <v>29</v>
      </c>
      <c r="O1381">
        <v>30</v>
      </c>
      <c r="P1381" t="s">
        <v>36</v>
      </c>
      <c r="Q1381">
        <v>0</v>
      </c>
      <c r="R1381">
        <v>30</v>
      </c>
      <c r="S1381" t="s">
        <v>37</v>
      </c>
      <c r="T1381" t="s">
        <v>41</v>
      </c>
      <c r="U1381">
        <v>37.804400000000001</v>
      </c>
      <c r="V1381">
        <v>-122.27119999999999</v>
      </c>
      <c r="W1381" s="2">
        <v>45656</v>
      </c>
      <c r="X1381">
        <v>1</v>
      </c>
      <c r="Y1381" t="b">
        <v>0</v>
      </c>
      <c r="Z1381" s="2">
        <v>45851</v>
      </c>
      <c r="AA1381" t="str">
        <f t="shared" si="211"/>
        <v>20–29</v>
      </c>
      <c r="AB1381" t="str">
        <f t="shared" si="212"/>
        <v>20–29</v>
      </c>
      <c r="AC1381" t="str">
        <f t="shared" si="213"/>
        <v/>
      </c>
      <c r="AD1381" t="str">
        <f t="shared" si="214"/>
        <v/>
      </c>
      <c r="AE1381" t="str">
        <f t="shared" si="215"/>
        <v/>
      </c>
      <c r="AF1381" t="str">
        <f t="shared" si="216"/>
        <v/>
      </c>
      <c r="AG1381" t="str">
        <f t="shared" si="217"/>
        <v>Friday</v>
      </c>
      <c r="AH1381" t="str">
        <f t="shared" si="218"/>
        <v>Saturday</v>
      </c>
      <c r="AI1381" t="str">
        <f t="shared" si="219"/>
        <v>Sunday</v>
      </c>
      <c r="AJ1381" t="str">
        <f>LEFT(Table1[[#This Row],[membership_type]],2)&amp;TEXT(Table1[[#This Row],[age]],"00")&amp;"-"&amp;TEXT(ROW(),"000")</f>
        <v>St28-1381</v>
      </c>
      <c r="AK1381" t="str">
        <f>LEFT(Table1[[#This Row],[membership_type]],1)&amp;TEXT(MATCH(Table1[[#This Row],[membership_type]],Table1[membership_type],0),"00")</f>
        <v>S02</v>
      </c>
      <c r="AL1381" t="str">
        <f>LEFT(Table1[[#This Row],[discount_type]],1)&amp;TEXT(ROUND(Table1[[#This Row],[discount_rate]]*100,0),"00")</f>
        <v>N00</v>
      </c>
      <c r="AM1381" t="str" cm="1">
        <f t="array" ref="AM1381">TEXT(SUMPRODUCT(CODE(MID(Table1[[#This Row],[home_gym_location]],_xlfn.SEQUENCE(LEN(Table1[[#This Row],[home_gym_location]])),1))),"00000")</f>
        <v>00906</v>
      </c>
      <c r="AN138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381" t="str">
        <f>LEFT(_xlfn.TEXTBEFORE(Table1[[#This Row],[Location Identifier]],"-"),3) &amp; "-" &amp; _xlfn.TEXTAFTER(Table1[[#This Row],[Location Identifier]],"-")</f>
        <v>OAK-006</v>
      </c>
      <c r="AP1381" s="9">
        <f t="shared" ca="1" si="210"/>
        <v>45869</v>
      </c>
    </row>
    <row r="1382" spans="1:42" x14ac:dyDescent="0.25">
      <c r="A1382">
        <v>35</v>
      </c>
      <c r="B1382" t="s">
        <v>26</v>
      </c>
      <c r="C1382">
        <v>1</v>
      </c>
      <c r="D1382" t="s">
        <v>63</v>
      </c>
      <c r="E1382" t="b">
        <v>0</v>
      </c>
      <c r="F1382" s="1">
        <v>0.35694444444444445</v>
      </c>
      <c r="G1382" s="1">
        <v>0.39374999999999999</v>
      </c>
      <c r="H1382">
        <v>53</v>
      </c>
      <c r="I1382" t="b">
        <v>0</v>
      </c>
      <c r="J1382" t="b">
        <v>1</v>
      </c>
      <c r="K1382" t="b">
        <v>0</v>
      </c>
      <c r="L1382" t="s">
        <v>28</v>
      </c>
      <c r="M1382">
        <v>50</v>
      </c>
      <c r="N1382" t="s">
        <v>78</v>
      </c>
      <c r="O1382">
        <v>45</v>
      </c>
      <c r="P1382" t="s">
        <v>74</v>
      </c>
      <c r="Q1382">
        <v>0.15</v>
      </c>
      <c r="R1382">
        <v>38.25</v>
      </c>
      <c r="S1382" t="s">
        <v>31</v>
      </c>
      <c r="T1382" t="s">
        <v>50</v>
      </c>
      <c r="U1382">
        <v>34.052199999999999</v>
      </c>
      <c r="V1382">
        <v>-118.2437</v>
      </c>
      <c r="W1382" s="2">
        <v>45414</v>
      </c>
      <c r="X1382">
        <v>1</v>
      </c>
      <c r="Y1382" t="b">
        <v>1</v>
      </c>
      <c r="Z1382" s="2">
        <v>45837</v>
      </c>
      <c r="AA1382" t="str">
        <f t="shared" si="211"/>
        <v>30–39</v>
      </c>
      <c r="AB1382" t="str">
        <f t="shared" si="212"/>
        <v>30–39</v>
      </c>
      <c r="AC1382" t="str">
        <f t="shared" si="213"/>
        <v/>
      </c>
      <c r="AD1382" t="str">
        <f t="shared" si="214"/>
        <v/>
      </c>
      <c r="AE1382" t="str">
        <f t="shared" si="215"/>
        <v>Wednesday</v>
      </c>
      <c r="AF1382" t="str">
        <f t="shared" si="216"/>
        <v/>
      </c>
      <c r="AG1382" t="str">
        <f t="shared" si="217"/>
        <v/>
      </c>
      <c r="AH1382" t="str">
        <f t="shared" si="218"/>
        <v/>
      </c>
      <c r="AI1382" t="str">
        <f t="shared" si="219"/>
        <v/>
      </c>
      <c r="AJ1382" t="str">
        <f>LEFT(Table1[[#This Row],[membership_type]],2)&amp;TEXT(Table1[[#This Row],[age]],"00")&amp;"-"&amp;TEXT(ROW(),"000")</f>
        <v>Pr35-1382</v>
      </c>
      <c r="AK1382" t="str">
        <f>LEFT(Table1[[#This Row],[membership_type]],1)&amp;TEXT(MATCH(Table1[[#This Row],[membership_type]],Table1[membership_type],0),"00")</f>
        <v>P01</v>
      </c>
      <c r="AL1382" t="str">
        <f>LEFT(Table1[[#This Row],[discount_type]],1)&amp;TEXT(ROUND(Table1[[#This Row],[discount_rate]]*100,0),"00")</f>
        <v>S15</v>
      </c>
      <c r="AM1382" t="str" cm="1">
        <f t="array" ref="AM1382">TEXT(SUMPRODUCT(CODE(MID(Table1[[#This Row],[home_gym_location]],_xlfn.SEQUENCE(LEN(Table1[[#This Row],[home_gym_location]])),1))),"00000")</f>
        <v>01245</v>
      </c>
      <c r="AN138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82" t="str">
        <f>LEFT(_xlfn.TEXTBEFORE(Table1[[#This Row],[Location Identifier]],"-"),3) &amp; "-" &amp; _xlfn.TEXTAFTER(Table1[[#This Row],[Location Identifier]],"-")</f>
        <v>LOS-005</v>
      </c>
      <c r="AP1382" s="9">
        <f t="shared" ca="1" si="210"/>
        <v>45869</v>
      </c>
    </row>
    <row r="1383" spans="1:42" x14ac:dyDescent="0.25">
      <c r="A1383">
        <v>33</v>
      </c>
      <c r="B1383" t="s">
        <v>33</v>
      </c>
      <c r="C1383">
        <v>2</v>
      </c>
      <c r="D1383" t="s">
        <v>70</v>
      </c>
      <c r="E1383" t="b">
        <v>0</v>
      </c>
      <c r="F1383" s="1">
        <v>0.41388888888888886</v>
      </c>
      <c r="G1383" s="1">
        <v>0.53611111111111109</v>
      </c>
      <c r="H1383">
        <v>176</v>
      </c>
      <c r="I1383" t="b">
        <v>0</v>
      </c>
      <c r="J1383" t="b">
        <v>1</v>
      </c>
      <c r="K1383" t="b">
        <v>1</v>
      </c>
      <c r="L1383" t="s">
        <v>62</v>
      </c>
      <c r="M1383">
        <v>30</v>
      </c>
      <c r="N1383" t="s">
        <v>29</v>
      </c>
      <c r="O1383">
        <v>30</v>
      </c>
      <c r="P1383" t="s">
        <v>74</v>
      </c>
      <c r="Q1383">
        <v>0.15</v>
      </c>
      <c r="R1383">
        <v>25.5</v>
      </c>
      <c r="S1383" t="s">
        <v>37</v>
      </c>
      <c r="T1383" t="s">
        <v>38</v>
      </c>
      <c r="U1383">
        <v>36.7378</v>
      </c>
      <c r="V1383">
        <v>-119.7871</v>
      </c>
      <c r="W1383" s="2">
        <v>44798</v>
      </c>
      <c r="X1383">
        <v>6</v>
      </c>
      <c r="Y1383" t="b">
        <v>0</v>
      </c>
      <c r="Z1383" s="2">
        <v>45802</v>
      </c>
      <c r="AA1383" t="str">
        <f t="shared" si="211"/>
        <v>30–39</v>
      </c>
      <c r="AB1383" t="str">
        <f t="shared" si="212"/>
        <v>30–39</v>
      </c>
      <c r="AC1383" t="str">
        <f t="shared" si="213"/>
        <v/>
      </c>
      <c r="AD1383" t="str">
        <f t="shared" si="214"/>
        <v/>
      </c>
      <c r="AE1383" t="str">
        <f t="shared" si="215"/>
        <v>Wednesday</v>
      </c>
      <c r="AF1383" t="str">
        <f t="shared" si="216"/>
        <v>Thursday</v>
      </c>
      <c r="AG1383" t="str">
        <f t="shared" si="217"/>
        <v/>
      </c>
      <c r="AH1383" t="str">
        <f t="shared" si="218"/>
        <v/>
      </c>
      <c r="AI1383" t="str">
        <f t="shared" si="219"/>
        <v/>
      </c>
      <c r="AJ1383" t="str">
        <f>LEFT(Table1[[#This Row],[membership_type]],2)&amp;TEXT(Table1[[#This Row],[age]],"00")&amp;"-"&amp;TEXT(ROW(),"000")</f>
        <v>St33-1383</v>
      </c>
      <c r="AK1383" t="str">
        <f>LEFT(Table1[[#This Row],[membership_type]],1)&amp;TEXT(MATCH(Table1[[#This Row],[membership_type]],Table1[membership_type],0),"00")</f>
        <v>S02</v>
      </c>
      <c r="AL1383" t="str">
        <f>LEFT(Table1[[#This Row],[discount_type]],1)&amp;TEXT(ROUND(Table1[[#This Row],[discount_rate]]*100,0),"00")</f>
        <v>S15</v>
      </c>
      <c r="AM1383" t="str" cm="1">
        <f t="array" ref="AM1383">TEXT(SUMPRODUCT(CODE(MID(Table1[[#This Row],[home_gym_location]],_xlfn.SEQUENCE(LEN(Table1[[#This Row],[home_gym_location]])),1))),"00000")</f>
        <v>00829</v>
      </c>
      <c r="AN1383" t="str">
        <f>UPPER(_xlfn.TEXTBEFORE(Table1[[#This Row],[home_gym_location]],","))&amp;"-"&amp;TEXT(MATCH(Table1[[#This Row],[home_gym_location]],_xlfn._xlws.SORT(_xlfn.UNIQUE(Table1[home_gym_location])),0),"000")</f>
        <v>FRESNO-003</v>
      </c>
      <c r="AO1383" t="str">
        <f>LEFT(_xlfn.TEXTBEFORE(Table1[[#This Row],[Location Identifier]],"-"),3) &amp; "-" &amp; _xlfn.TEXTAFTER(Table1[[#This Row],[Location Identifier]],"-")</f>
        <v>FRE-003</v>
      </c>
      <c r="AP1383" s="9">
        <f t="shared" ca="1" si="210"/>
        <v>45869</v>
      </c>
    </row>
    <row r="1384" spans="1:42" x14ac:dyDescent="0.25">
      <c r="A1384">
        <v>37</v>
      </c>
      <c r="B1384" t="s">
        <v>26</v>
      </c>
      <c r="C1384">
        <v>1</v>
      </c>
      <c r="D1384" t="s">
        <v>49</v>
      </c>
      <c r="E1384" t="b">
        <v>0</v>
      </c>
      <c r="F1384" s="1">
        <v>0.69374999999999998</v>
      </c>
      <c r="G1384" s="1">
        <v>0.79513888888888884</v>
      </c>
      <c r="H1384">
        <v>146</v>
      </c>
      <c r="I1384" t="b">
        <v>1</v>
      </c>
      <c r="J1384" t="b">
        <v>1</v>
      </c>
      <c r="K1384" t="b">
        <v>0</v>
      </c>
      <c r="L1384" t="s">
        <v>62</v>
      </c>
      <c r="M1384">
        <v>50</v>
      </c>
      <c r="N1384" t="s">
        <v>64</v>
      </c>
      <c r="O1384">
        <v>37.5</v>
      </c>
      <c r="P1384" t="s">
        <v>74</v>
      </c>
      <c r="Q1384">
        <v>0.15</v>
      </c>
      <c r="R1384">
        <v>31.875</v>
      </c>
      <c r="S1384" t="s">
        <v>31</v>
      </c>
      <c r="T1384" t="s">
        <v>38</v>
      </c>
      <c r="U1384">
        <v>36.7378</v>
      </c>
      <c r="V1384">
        <v>-119.7871</v>
      </c>
      <c r="W1384" s="2">
        <v>45556</v>
      </c>
      <c r="X1384">
        <v>4</v>
      </c>
      <c r="Y1384" t="b">
        <v>1</v>
      </c>
      <c r="Z1384" s="2">
        <v>45845</v>
      </c>
      <c r="AA1384" t="str">
        <f t="shared" si="211"/>
        <v>30–39</v>
      </c>
      <c r="AB1384" t="str">
        <f t="shared" si="212"/>
        <v>30–39</v>
      </c>
      <c r="AC1384" t="str">
        <f t="shared" si="213"/>
        <v/>
      </c>
      <c r="AD1384" t="str">
        <f t="shared" si="214"/>
        <v/>
      </c>
      <c r="AE1384" t="str">
        <f t="shared" si="215"/>
        <v/>
      </c>
      <c r="AF1384" t="str">
        <f t="shared" si="216"/>
        <v/>
      </c>
      <c r="AG1384" t="str">
        <f t="shared" si="217"/>
        <v/>
      </c>
      <c r="AH1384" t="str">
        <f t="shared" si="218"/>
        <v/>
      </c>
      <c r="AI1384" t="str">
        <f t="shared" si="219"/>
        <v>Sunday</v>
      </c>
      <c r="AJ1384" t="str">
        <f>LEFT(Table1[[#This Row],[membership_type]],2)&amp;TEXT(Table1[[#This Row],[age]],"00")&amp;"-"&amp;TEXT(ROW(),"000")</f>
        <v>Pr37-1384</v>
      </c>
      <c r="AK1384" t="str">
        <f>LEFT(Table1[[#This Row],[membership_type]],1)&amp;TEXT(MATCH(Table1[[#This Row],[membership_type]],Table1[membership_type],0),"00")</f>
        <v>P01</v>
      </c>
      <c r="AL1384" t="str">
        <f>LEFT(Table1[[#This Row],[discount_type]],1)&amp;TEXT(ROUND(Table1[[#This Row],[discount_rate]]*100,0),"00")</f>
        <v>S15</v>
      </c>
      <c r="AM1384" t="str" cm="1">
        <f t="array" ref="AM1384">TEXT(SUMPRODUCT(CODE(MID(Table1[[#This Row],[home_gym_location]],_xlfn.SEQUENCE(LEN(Table1[[#This Row],[home_gym_location]])),1))),"00000")</f>
        <v>00829</v>
      </c>
      <c r="AN1384" t="str">
        <f>UPPER(_xlfn.TEXTBEFORE(Table1[[#This Row],[home_gym_location]],","))&amp;"-"&amp;TEXT(MATCH(Table1[[#This Row],[home_gym_location]],_xlfn._xlws.SORT(_xlfn.UNIQUE(Table1[home_gym_location])),0),"000")</f>
        <v>FRESNO-003</v>
      </c>
      <c r="AO1384" t="str">
        <f>LEFT(_xlfn.TEXTBEFORE(Table1[[#This Row],[Location Identifier]],"-"),3) &amp; "-" &amp; _xlfn.TEXTAFTER(Table1[[#This Row],[Location Identifier]],"-")</f>
        <v>FRE-003</v>
      </c>
      <c r="AP1384" s="9">
        <f t="shared" ca="1" si="210"/>
        <v>45869</v>
      </c>
    </row>
    <row r="1385" spans="1:42" x14ac:dyDescent="0.25">
      <c r="A1385">
        <v>24</v>
      </c>
      <c r="B1385" t="s">
        <v>42</v>
      </c>
      <c r="C1385">
        <v>2</v>
      </c>
      <c r="D1385" t="s">
        <v>84</v>
      </c>
      <c r="E1385" t="b">
        <v>1</v>
      </c>
      <c r="F1385" s="1">
        <v>0.79027777777777775</v>
      </c>
      <c r="G1385" s="1">
        <v>0.81944444444444442</v>
      </c>
      <c r="H1385">
        <v>42</v>
      </c>
      <c r="I1385" t="b">
        <v>1</v>
      </c>
      <c r="J1385" t="b">
        <v>0</v>
      </c>
      <c r="K1385" t="b">
        <v>1</v>
      </c>
      <c r="L1385" t="s">
        <v>62</v>
      </c>
      <c r="M1385">
        <v>20</v>
      </c>
      <c r="N1385" t="s">
        <v>78</v>
      </c>
      <c r="O1385">
        <v>18</v>
      </c>
      <c r="P1385" t="s">
        <v>40</v>
      </c>
      <c r="Q1385">
        <v>0.1</v>
      </c>
      <c r="R1385">
        <v>16.2</v>
      </c>
      <c r="S1385" t="s">
        <v>44</v>
      </c>
      <c r="T1385" t="s">
        <v>50</v>
      </c>
      <c r="U1385">
        <v>34.052199999999999</v>
      </c>
      <c r="V1385">
        <v>-118.2437</v>
      </c>
      <c r="W1385" s="2">
        <v>45131</v>
      </c>
      <c r="X1385">
        <v>0</v>
      </c>
      <c r="Y1385" t="b">
        <v>0</v>
      </c>
      <c r="Z1385" s="2">
        <v>45821</v>
      </c>
      <c r="AA1385" t="str">
        <f t="shared" si="211"/>
        <v>20–29</v>
      </c>
      <c r="AB1385" t="str">
        <f t="shared" si="212"/>
        <v>20–29</v>
      </c>
      <c r="AC1385" t="str">
        <f t="shared" si="213"/>
        <v/>
      </c>
      <c r="AD1385" t="str">
        <f t="shared" si="214"/>
        <v>Tuesday</v>
      </c>
      <c r="AE1385" t="str">
        <f t="shared" si="215"/>
        <v/>
      </c>
      <c r="AF1385" t="str">
        <f t="shared" si="216"/>
        <v/>
      </c>
      <c r="AG1385" t="str">
        <f t="shared" si="217"/>
        <v/>
      </c>
      <c r="AH1385" t="str">
        <f t="shared" si="218"/>
        <v/>
      </c>
      <c r="AI1385" t="str">
        <f t="shared" si="219"/>
        <v>Sunday</v>
      </c>
      <c r="AJ1385" t="str">
        <f>LEFT(Table1[[#This Row],[membership_type]],2)&amp;TEXT(Table1[[#This Row],[age]],"00")&amp;"-"&amp;TEXT(ROW(),"000")</f>
        <v>Ba24-1385</v>
      </c>
      <c r="AK1385" t="str">
        <f>LEFT(Table1[[#This Row],[membership_type]],1)&amp;TEXT(MATCH(Table1[[#This Row],[membership_type]],Table1[membership_type],0),"00")</f>
        <v>B04</v>
      </c>
      <c r="AL1385" t="str">
        <f>LEFT(Table1[[#This Row],[discount_type]],1)&amp;TEXT(ROUND(Table1[[#This Row],[discount_rate]]*100,0),"00")</f>
        <v>L10</v>
      </c>
      <c r="AM1385" t="str" cm="1">
        <f t="array" ref="AM1385">TEXT(SUMPRODUCT(CODE(MID(Table1[[#This Row],[home_gym_location]],_xlfn.SEQUENCE(LEN(Table1[[#This Row],[home_gym_location]])),1))),"00000")</f>
        <v>01245</v>
      </c>
      <c r="AN138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85" t="str">
        <f>LEFT(_xlfn.TEXTBEFORE(Table1[[#This Row],[Location Identifier]],"-"),3) &amp; "-" &amp; _xlfn.TEXTAFTER(Table1[[#This Row],[Location Identifier]],"-")</f>
        <v>LOS-005</v>
      </c>
      <c r="AP1385" s="9">
        <f t="shared" ca="1" si="210"/>
        <v>45869</v>
      </c>
    </row>
    <row r="1386" spans="1:42" x14ac:dyDescent="0.25">
      <c r="A1386">
        <v>17</v>
      </c>
      <c r="B1386" t="s">
        <v>26</v>
      </c>
      <c r="C1386">
        <v>2</v>
      </c>
      <c r="D1386" t="s">
        <v>73</v>
      </c>
      <c r="E1386" t="b">
        <v>0</v>
      </c>
      <c r="F1386" s="1">
        <v>0.39583333333333331</v>
      </c>
      <c r="G1386" s="1">
        <v>0.51666666666666672</v>
      </c>
      <c r="H1386">
        <v>174</v>
      </c>
      <c r="I1386" t="b">
        <v>1</v>
      </c>
      <c r="J1386" t="b">
        <v>1</v>
      </c>
      <c r="K1386" t="b">
        <v>1</v>
      </c>
      <c r="L1386" t="s">
        <v>35</v>
      </c>
      <c r="M1386">
        <v>50</v>
      </c>
      <c r="N1386" t="s">
        <v>29</v>
      </c>
      <c r="O1386">
        <v>50</v>
      </c>
      <c r="P1386" t="s">
        <v>36</v>
      </c>
      <c r="Q1386">
        <v>0</v>
      </c>
      <c r="R1386">
        <v>50</v>
      </c>
      <c r="S1386" t="s">
        <v>31</v>
      </c>
      <c r="T1386" t="s">
        <v>50</v>
      </c>
      <c r="U1386">
        <v>34.052199999999999</v>
      </c>
      <c r="V1386">
        <v>-118.2437</v>
      </c>
      <c r="W1386" s="2">
        <v>45484</v>
      </c>
      <c r="X1386">
        <v>3</v>
      </c>
      <c r="Y1386" t="b">
        <v>0</v>
      </c>
      <c r="Z1386" s="2">
        <v>45841</v>
      </c>
      <c r="AA1386" t="str">
        <f t="shared" si="211"/>
        <v>10–19</v>
      </c>
      <c r="AB1386" t="str">
        <f t="shared" si="212"/>
        <v>16–19</v>
      </c>
      <c r="AC1386" t="str">
        <f t="shared" si="213"/>
        <v/>
      </c>
      <c r="AD1386" t="str">
        <f t="shared" si="214"/>
        <v>Tuesday</v>
      </c>
      <c r="AE1386" t="str">
        <f t="shared" si="215"/>
        <v/>
      </c>
      <c r="AF1386" t="str">
        <f t="shared" si="216"/>
        <v/>
      </c>
      <c r="AG1386" t="str">
        <f t="shared" si="217"/>
        <v>Friday</v>
      </c>
      <c r="AH1386" t="str">
        <f t="shared" si="218"/>
        <v/>
      </c>
      <c r="AI1386" t="str">
        <f t="shared" si="219"/>
        <v/>
      </c>
      <c r="AJ1386" t="str">
        <f>LEFT(Table1[[#This Row],[membership_type]],2)&amp;TEXT(Table1[[#This Row],[age]],"00")&amp;"-"&amp;TEXT(ROW(),"000")</f>
        <v>Pr17-1386</v>
      </c>
      <c r="AK1386" t="str">
        <f>LEFT(Table1[[#This Row],[membership_type]],1)&amp;TEXT(MATCH(Table1[[#This Row],[membership_type]],Table1[membership_type],0),"00")</f>
        <v>P01</v>
      </c>
      <c r="AL1386" t="str">
        <f>LEFT(Table1[[#This Row],[discount_type]],1)&amp;TEXT(ROUND(Table1[[#This Row],[discount_rate]]*100,0),"00")</f>
        <v>N00</v>
      </c>
      <c r="AM1386" t="str" cm="1">
        <f t="array" ref="AM1386">TEXT(SUMPRODUCT(CODE(MID(Table1[[#This Row],[home_gym_location]],_xlfn.SEQUENCE(LEN(Table1[[#This Row],[home_gym_location]])),1))),"00000")</f>
        <v>01245</v>
      </c>
      <c r="AN138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86" t="str">
        <f>LEFT(_xlfn.TEXTBEFORE(Table1[[#This Row],[Location Identifier]],"-"),3) &amp; "-" &amp; _xlfn.TEXTAFTER(Table1[[#This Row],[Location Identifier]],"-")</f>
        <v>LOS-005</v>
      </c>
      <c r="AP1386" s="9">
        <f t="shared" ca="1" si="210"/>
        <v>45869</v>
      </c>
    </row>
    <row r="1387" spans="1:42" x14ac:dyDescent="0.25">
      <c r="A1387">
        <v>29</v>
      </c>
      <c r="B1387" t="s">
        <v>42</v>
      </c>
      <c r="C1387">
        <v>2</v>
      </c>
      <c r="D1387" t="s">
        <v>79</v>
      </c>
      <c r="E1387" t="b">
        <v>1</v>
      </c>
      <c r="F1387" s="1">
        <v>0.61458333333333337</v>
      </c>
      <c r="G1387" s="1">
        <v>0.7368055555555556</v>
      </c>
      <c r="H1387">
        <v>176</v>
      </c>
      <c r="I1387" t="b">
        <v>0</v>
      </c>
      <c r="J1387" t="b">
        <v>1</v>
      </c>
      <c r="K1387" t="b">
        <v>1</v>
      </c>
      <c r="L1387" t="s">
        <v>28</v>
      </c>
      <c r="M1387">
        <v>20</v>
      </c>
      <c r="N1387" t="s">
        <v>29</v>
      </c>
      <c r="O1387">
        <v>20</v>
      </c>
      <c r="P1387" t="s">
        <v>36</v>
      </c>
      <c r="Q1387">
        <v>0</v>
      </c>
      <c r="R1387">
        <v>20</v>
      </c>
      <c r="S1387" t="s">
        <v>44</v>
      </c>
      <c r="T1387" t="s">
        <v>32</v>
      </c>
      <c r="U1387">
        <v>37.338200000000001</v>
      </c>
      <c r="V1387">
        <v>-121.88630000000001</v>
      </c>
      <c r="W1387" s="2">
        <v>45007</v>
      </c>
      <c r="X1387">
        <v>3</v>
      </c>
      <c r="Y1387" t="b">
        <v>1</v>
      </c>
      <c r="Z1387" s="2">
        <v>45814</v>
      </c>
      <c r="AA1387" t="str">
        <f t="shared" si="211"/>
        <v>20–29</v>
      </c>
      <c r="AB1387" t="str">
        <f t="shared" si="212"/>
        <v>20–29</v>
      </c>
      <c r="AC1387" t="str">
        <f t="shared" si="213"/>
        <v/>
      </c>
      <c r="AD1387" t="str">
        <f t="shared" si="214"/>
        <v/>
      </c>
      <c r="AE1387" t="str">
        <f t="shared" si="215"/>
        <v/>
      </c>
      <c r="AF1387" t="str">
        <f t="shared" si="216"/>
        <v/>
      </c>
      <c r="AG1387" t="str">
        <f t="shared" si="217"/>
        <v>Friday</v>
      </c>
      <c r="AH1387" t="str">
        <f t="shared" si="218"/>
        <v>Saturday</v>
      </c>
      <c r="AI1387" t="str">
        <f t="shared" si="219"/>
        <v/>
      </c>
      <c r="AJ1387" t="str">
        <f>LEFT(Table1[[#This Row],[membership_type]],2)&amp;TEXT(Table1[[#This Row],[age]],"00")&amp;"-"&amp;TEXT(ROW(),"000")</f>
        <v>Ba29-1387</v>
      </c>
      <c r="AK1387" t="str">
        <f>LEFT(Table1[[#This Row],[membership_type]],1)&amp;TEXT(MATCH(Table1[[#This Row],[membership_type]],Table1[membership_type],0),"00")</f>
        <v>B04</v>
      </c>
      <c r="AL1387" t="str">
        <f>LEFT(Table1[[#This Row],[discount_type]],1)&amp;TEXT(ROUND(Table1[[#This Row],[discount_rate]]*100,0),"00")</f>
        <v>N00</v>
      </c>
      <c r="AM1387" t="str" cm="1">
        <f t="array" ref="AM1387">TEXT(SUMPRODUCT(CODE(MID(Table1[[#This Row],[home_gym_location]],_xlfn.SEQUENCE(LEN(Table1[[#This Row],[home_gym_location]])),1))),"00000")</f>
        <v>00931</v>
      </c>
      <c r="AN13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387" t="str">
        <f>LEFT(_xlfn.TEXTBEFORE(Table1[[#This Row],[Location Identifier]],"-"),3) &amp; "-" &amp; _xlfn.TEXTAFTER(Table1[[#This Row],[Location Identifier]],"-")</f>
        <v>SAN-010</v>
      </c>
      <c r="AP1387" s="9">
        <f t="shared" ca="1" si="210"/>
        <v>45869</v>
      </c>
    </row>
    <row r="1388" spans="1:42" x14ac:dyDescent="0.25">
      <c r="A1388">
        <v>45</v>
      </c>
      <c r="B1388" t="s">
        <v>26</v>
      </c>
      <c r="C1388">
        <v>1</v>
      </c>
      <c r="D1388" t="s">
        <v>97</v>
      </c>
      <c r="E1388" t="b">
        <v>1</v>
      </c>
      <c r="F1388" s="1">
        <v>0.39652777777777776</v>
      </c>
      <c r="G1388" s="1">
        <v>0.44583333333333336</v>
      </c>
      <c r="H1388">
        <v>71</v>
      </c>
      <c r="I1388" t="b">
        <v>1</v>
      </c>
      <c r="J1388" t="b">
        <v>0</v>
      </c>
      <c r="K1388" t="b">
        <v>1</v>
      </c>
      <c r="L1388" t="s">
        <v>58</v>
      </c>
      <c r="M1388">
        <v>50</v>
      </c>
      <c r="N1388" t="s">
        <v>78</v>
      </c>
      <c r="O1388">
        <v>45</v>
      </c>
      <c r="P1388" t="s">
        <v>74</v>
      </c>
      <c r="Q1388">
        <v>0.15</v>
      </c>
      <c r="R1388">
        <v>38.25</v>
      </c>
      <c r="S1388" t="s">
        <v>31</v>
      </c>
      <c r="T1388" t="s">
        <v>56</v>
      </c>
      <c r="U1388">
        <v>35.3733</v>
      </c>
      <c r="V1388">
        <v>-119.0187</v>
      </c>
      <c r="W1388" s="2">
        <v>45691</v>
      </c>
      <c r="X1388">
        <v>0</v>
      </c>
      <c r="Y1388" t="b">
        <v>0</v>
      </c>
      <c r="Z1388" s="2">
        <v>45853</v>
      </c>
      <c r="AA1388" t="str">
        <f t="shared" si="211"/>
        <v>40–49</v>
      </c>
      <c r="AB1388" t="str">
        <f t="shared" si="212"/>
        <v>40–49</v>
      </c>
      <c r="AC1388" t="str">
        <f t="shared" si="213"/>
        <v>Monday</v>
      </c>
      <c r="AD1388" t="str">
        <f t="shared" si="214"/>
        <v/>
      </c>
      <c r="AE1388" t="str">
        <f t="shared" si="215"/>
        <v/>
      </c>
      <c r="AF1388" t="str">
        <f t="shared" si="216"/>
        <v/>
      </c>
      <c r="AG1388" t="str">
        <f t="shared" si="217"/>
        <v/>
      </c>
      <c r="AH1388" t="str">
        <f t="shared" si="218"/>
        <v/>
      </c>
      <c r="AI1388" t="str">
        <f t="shared" si="219"/>
        <v/>
      </c>
      <c r="AJ1388" t="str">
        <f>LEFT(Table1[[#This Row],[membership_type]],2)&amp;TEXT(Table1[[#This Row],[age]],"00")&amp;"-"&amp;TEXT(ROW(),"000")</f>
        <v>Pr45-1388</v>
      </c>
      <c r="AK1388" t="str">
        <f>LEFT(Table1[[#This Row],[membership_type]],1)&amp;TEXT(MATCH(Table1[[#This Row],[membership_type]],Table1[membership_type],0),"00")</f>
        <v>P01</v>
      </c>
      <c r="AL1388" t="str">
        <f>LEFT(Table1[[#This Row],[discount_type]],1)&amp;TEXT(ROUND(Table1[[#This Row],[discount_rate]]*100,0),"00")</f>
        <v>S15</v>
      </c>
      <c r="AM1388" t="str" cm="1">
        <f t="array" ref="AM1388">TEXT(SUMPRODUCT(CODE(MID(Table1[[#This Row],[home_gym_location]],_xlfn.SEQUENCE(LEN(Table1[[#This Row],[home_gym_location]])),1))),"00000")</f>
        <v>01324</v>
      </c>
      <c r="AN138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88" t="str">
        <f>LEFT(_xlfn.TEXTBEFORE(Table1[[#This Row],[Location Identifier]],"-"),3) &amp; "-" &amp; _xlfn.TEXTAFTER(Table1[[#This Row],[Location Identifier]],"-")</f>
        <v>BAK-002</v>
      </c>
      <c r="AP1388" s="9">
        <f t="shared" ca="1" si="210"/>
        <v>45869</v>
      </c>
    </row>
    <row r="1389" spans="1:42" x14ac:dyDescent="0.25">
      <c r="A1389">
        <v>37</v>
      </c>
      <c r="B1389" t="s">
        <v>42</v>
      </c>
      <c r="C1389">
        <v>1</v>
      </c>
      <c r="D1389" t="s">
        <v>95</v>
      </c>
      <c r="E1389" t="b">
        <v>1</v>
      </c>
      <c r="F1389" s="1">
        <v>0.34791666666666665</v>
      </c>
      <c r="G1389" s="1">
        <v>0.37152777777777779</v>
      </c>
      <c r="H1389">
        <v>34</v>
      </c>
      <c r="I1389" t="b">
        <v>1</v>
      </c>
      <c r="J1389" t="b">
        <v>0</v>
      </c>
      <c r="K1389" t="b">
        <v>0</v>
      </c>
      <c r="L1389" t="s">
        <v>62</v>
      </c>
      <c r="M1389">
        <v>20</v>
      </c>
      <c r="N1389" t="s">
        <v>64</v>
      </c>
      <c r="O1389">
        <v>15</v>
      </c>
      <c r="P1389" t="s">
        <v>36</v>
      </c>
      <c r="Q1389">
        <v>0</v>
      </c>
      <c r="R1389">
        <v>15</v>
      </c>
      <c r="S1389" t="s">
        <v>44</v>
      </c>
      <c r="T1389" t="s">
        <v>38</v>
      </c>
      <c r="U1389">
        <v>36.7378</v>
      </c>
      <c r="V1389">
        <v>-119.7871</v>
      </c>
      <c r="W1389" s="2">
        <v>44798</v>
      </c>
      <c r="X1389">
        <v>0</v>
      </c>
      <c r="Y1389" t="b">
        <v>0</v>
      </c>
      <c r="Z1389" s="2">
        <v>45802</v>
      </c>
      <c r="AA1389" t="str">
        <f t="shared" si="211"/>
        <v>30–39</v>
      </c>
      <c r="AB1389" t="str">
        <f t="shared" si="212"/>
        <v>30–39</v>
      </c>
      <c r="AC1389" t="str">
        <f t="shared" si="213"/>
        <v/>
      </c>
      <c r="AD1389" t="str">
        <f t="shared" si="214"/>
        <v/>
      </c>
      <c r="AE1389" t="str">
        <f t="shared" si="215"/>
        <v/>
      </c>
      <c r="AF1389" t="str">
        <f t="shared" si="216"/>
        <v/>
      </c>
      <c r="AG1389" t="str">
        <f t="shared" si="217"/>
        <v/>
      </c>
      <c r="AH1389" t="str">
        <f t="shared" si="218"/>
        <v>Saturday</v>
      </c>
      <c r="AI1389" t="str">
        <f t="shared" si="219"/>
        <v/>
      </c>
      <c r="AJ1389" t="str">
        <f>LEFT(Table1[[#This Row],[membership_type]],2)&amp;TEXT(Table1[[#This Row],[age]],"00")&amp;"-"&amp;TEXT(ROW(),"000")</f>
        <v>Ba37-1389</v>
      </c>
      <c r="AK1389" t="str">
        <f>LEFT(Table1[[#This Row],[membership_type]],1)&amp;TEXT(MATCH(Table1[[#This Row],[membership_type]],Table1[membership_type],0),"00")</f>
        <v>B04</v>
      </c>
      <c r="AL1389" t="str">
        <f>LEFT(Table1[[#This Row],[discount_type]],1)&amp;TEXT(ROUND(Table1[[#This Row],[discount_rate]]*100,0),"00")</f>
        <v>N00</v>
      </c>
      <c r="AM1389" t="str" cm="1">
        <f t="array" ref="AM1389">TEXT(SUMPRODUCT(CODE(MID(Table1[[#This Row],[home_gym_location]],_xlfn.SEQUENCE(LEN(Table1[[#This Row],[home_gym_location]])),1))),"00000")</f>
        <v>00829</v>
      </c>
      <c r="AN1389" t="str">
        <f>UPPER(_xlfn.TEXTBEFORE(Table1[[#This Row],[home_gym_location]],","))&amp;"-"&amp;TEXT(MATCH(Table1[[#This Row],[home_gym_location]],_xlfn._xlws.SORT(_xlfn.UNIQUE(Table1[home_gym_location])),0),"000")</f>
        <v>FRESNO-003</v>
      </c>
      <c r="AO1389" t="str">
        <f>LEFT(_xlfn.TEXTBEFORE(Table1[[#This Row],[Location Identifier]],"-"),3) &amp; "-" &amp; _xlfn.TEXTAFTER(Table1[[#This Row],[Location Identifier]],"-")</f>
        <v>FRE-003</v>
      </c>
      <c r="AP1389" s="9">
        <f t="shared" ca="1" si="210"/>
        <v>45869</v>
      </c>
    </row>
    <row r="1390" spans="1:42" x14ac:dyDescent="0.25">
      <c r="A1390">
        <v>44</v>
      </c>
      <c r="B1390" t="s">
        <v>26</v>
      </c>
      <c r="C1390">
        <v>2</v>
      </c>
      <c r="D1390" t="s">
        <v>103</v>
      </c>
      <c r="E1390" t="b">
        <v>0</v>
      </c>
      <c r="F1390" s="1">
        <v>0.62361111111111112</v>
      </c>
      <c r="G1390" s="1">
        <v>0.73472222222222228</v>
      </c>
      <c r="H1390">
        <v>160</v>
      </c>
      <c r="I1390" t="b">
        <v>1</v>
      </c>
      <c r="J1390" t="b">
        <v>1</v>
      </c>
      <c r="K1390" t="b">
        <v>1</v>
      </c>
      <c r="L1390" t="s">
        <v>28</v>
      </c>
      <c r="M1390">
        <v>50</v>
      </c>
      <c r="N1390" t="s">
        <v>29</v>
      </c>
      <c r="O1390">
        <v>50</v>
      </c>
      <c r="P1390" t="s">
        <v>30</v>
      </c>
      <c r="Q1390">
        <v>0.05</v>
      </c>
      <c r="R1390">
        <v>47.5</v>
      </c>
      <c r="S1390" t="s">
        <v>31</v>
      </c>
      <c r="T1390" t="s">
        <v>50</v>
      </c>
      <c r="U1390">
        <v>34.052199999999999</v>
      </c>
      <c r="V1390">
        <v>-118.2437</v>
      </c>
      <c r="W1390" s="2">
        <v>45347</v>
      </c>
      <c r="X1390">
        <v>1</v>
      </c>
      <c r="Y1390" t="b">
        <v>1</v>
      </c>
      <c r="Z1390" s="2">
        <v>45833</v>
      </c>
      <c r="AA1390" t="str">
        <f t="shared" si="211"/>
        <v>40–49</v>
      </c>
      <c r="AB1390" t="str">
        <f t="shared" si="212"/>
        <v>40–49</v>
      </c>
      <c r="AC1390" t="str">
        <f t="shared" si="213"/>
        <v>Monday</v>
      </c>
      <c r="AD1390" t="str">
        <f t="shared" si="214"/>
        <v/>
      </c>
      <c r="AE1390" t="str">
        <f t="shared" si="215"/>
        <v/>
      </c>
      <c r="AF1390" t="str">
        <f t="shared" si="216"/>
        <v/>
      </c>
      <c r="AG1390" t="str">
        <f t="shared" si="217"/>
        <v/>
      </c>
      <c r="AH1390" t="str">
        <f t="shared" si="218"/>
        <v/>
      </c>
      <c r="AI1390" t="str">
        <f t="shared" si="219"/>
        <v>Sunday</v>
      </c>
      <c r="AJ1390" t="str">
        <f>LEFT(Table1[[#This Row],[membership_type]],2)&amp;TEXT(Table1[[#This Row],[age]],"00")&amp;"-"&amp;TEXT(ROW(),"000")</f>
        <v>Pr44-1390</v>
      </c>
      <c r="AK1390" t="str">
        <f>LEFT(Table1[[#This Row],[membership_type]],1)&amp;TEXT(MATCH(Table1[[#This Row],[membership_type]],Table1[membership_type],0),"00")</f>
        <v>P01</v>
      </c>
      <c r="AL1390" t="str">
        <f>LEFT(Table1[[#This Row],[discount_type]],1)&amp;TEXT(ROUND(Table1[[#This Row],[discount_rate]]*100,0),"00")</f>
        <v>P05</v>
      </c>
      <c r="AM1390" t="str" cm="1">
        <f t="array" ref="AM1390">TEXT(SUMPRODUCT(CODE(MID(Table1[[#This Row],[home_gym_location]],_xlfn.SEQUENCE(LEN(Table1[[#This Row],[home_gym_location]])),1))),"00000")</f>
        <v>01245</v>
      </c>
      <c r="AN139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90" t="str">
        <f>LEFT(_xlfn.TEXTBEFORE(Table1[[#This Row],[Location Identifier]],"-"),3) &amp; "-" &amp; _xlfn.TEXTAFTER(Table1[[#This Row],[Location Identifier]],"-")</f>
        <v>LOS-005</v>
      </c>
      <c r="AP1390" s="9">
        <f t="shared" ca="1" si="210"/>
        <v>45869</v>
      </c>
    </row>
    <row r="1391" spans="1:42" x14ac:dyDescent="0.25">
      <c r="A1391">
        <v>34</v>
      </c>
      <c r="B1391" t="s">
        <v>26</v>
      </c>
      <c r="C1391">
        <v>2</v>
      </c>
      <c r="D1391" t="s">
        <v>126</v>
      </c>
      <c r="E1391" t="b">
        <v>0</v>
      </c>
      <c r="F1391" s="1">
        <v>0.72083333333333333</v>
      </c>
      <c r="G1391" s="1">
        <v>0.7895833333333333</v>
      </c>
      <c r="H1391">
        <v>99</v>
      </c>
      <c r="I1391" t="b">
        <v>1</v>
      </c>
      <c r="J1391" t="b">
        <v>1</v>
      </c>
      <c r="K1391" t="b">
        <v>0</v>
      </c>
      <c r="L1391" t="s">
        <v>35</v>
      </c>
      <c r="M1391">
        <v>50</v>
      </c>
      <c r="N1391" t="s">
        <v>29</v>
      </c>
      <c r="O1391">
        <v>50</v>
      </c>
      <c r="P1391" t="s">
        <v>40</v>
      </c>
      <c r="Q1391">
        <v>0.1</v>
      </c>
      <c r="R1391">
        <v>45</v>
      </c>
      <c r="S1391" t="s">
        <v>31</v>
      </c>
      <c r="T1391" t="s">
        <v>56</v>
      </c>
      <c r="U1391">
        <v>35.3733</v>
      </c>
      <c r="V1391">
        <v>-119.0187</v>
      </c>
      <c r="W1391" s="2">
        <v>45579</v>
      </c>
      <c r="X1391">
        <v>7</v>
      </c>
      <c r="Y1391" t="b">
        <v>1</v>
      </c>
      <c r="Z1391" s="2">
        <v>45846</v>
      </c>
      <c r="AA1391" t="str">
        <f t="shared" si="211"/>
        <v>30–39</v>
      </c>
      <c r="AB1391" t="str">
        <f t="shared" si="212"/>
        <v>30–39</v>
      </c>
      <c r="AC1391" t="str">
        <f t="shared" si="213"/>
        <v/>
      </c>
      <c r="AD1391" t="str">
        <f t="shared" si="214"/>
        <v>Tuesday</v>
      </c>
      <c r="AE1391" t="str">
        <f t="shared" si="215"/>
        <v>Wednesday</v>
      </c>
      <c r="AF1391" t="str">
        <f t="shared" si="216"/>
        <v/>
      </c>
      <c r="AG1391" t="str">
        <f t="shared" si="217"/>
        <v/>
      </c>
      <c r="AH1391" t="str">
        <f t="shared" si="218"/>
        <v/>
      </c>
      <c r="AI1391" t="str">
        <f t="shared" si="219"/>
        <v/>
      </c>
      <c r="AJ1391" t="str">
        <f>LEFT(Table1[[#This Row],[membership_type]],2)&amp;TEXT(Table1[[#This Row],[age]],"00")&amp;"-"&amp;TEXT(ROW(),"000")</f>
        <v>Pr34-1391</v>
      </c>
      <c r="AK1391" t="str">
        <f>LEFT(Table1[[#This Row],[membership_type]],1)&amp;TEXT(MATCH(Table1[[#This Row],[membership_type]],Table1[membership_type],0),"00")</f>
        <v>P01</v>
      </c>
      <c r="AL1391" t="str">
        <f>LEFT(Table1[[#This Row],[discount_type]],1)&amp;TEXT(ROUND(Table1[[#This Row],[discount_rate]]*100,0),"00")</f>
        <v>L10</v>
      </c>
      <c r="AM1391" t="str" cm="1">
        <f t="array" ref="AM1391">TEXT(SUMPRODUCT(CODE(MID(Table1[[#This Row],[home_gym_location]],_xlfn.SEQUENCE(LEN(Table1[[#This Row],[home_gym_location]])),1))),"00000")</f>
        <v>01324</v>
      </c>
      <c r="AN139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391" t="str">
        <f>LEFT(_xlfn.TEXTBEFORE(Table1[[#This Row],[Location Identifier]],"-"),3) &amp; "-" &amp; _xlfn.TEXTAFTER(Table1[[#This Row],[Location Identifier]],"-")</f>
        <v>BAK-002</v>
      </c>
      <c r="AP1391" s="9">
        <f t="shared" ca="1" si="210"/>
        <v>45869</v>
      </c>
    </row>
    <row r="1392" spans="1:42" x14ac:dyDescent="0.25">
      <c r="A1392">
        <v>37</v>
      </c>
      <c r="B1392" t="s">
        <v>33</v>
      </c>
      <c r="C1392">
        <v>1</v>
      </c>
      <c r="D1392" t="s">
        <v>75</v>
      </c>
      <c r="E1392" t="b">
        <v>1</v>
      </c>
      <c r="F1392" s="1">
        <v>0.6694444444444444</v>
      </c>
      <c r="G1392" s="1">
        <v>0.76111111111111107</v>
      </c>
      <c r="H1392">
        <v>132</v>
      </c>
      <c r="I1392" t="b">
        <v>1</v>
      </c>
      <c r="J1392" t="b">
        <v>1</v>
      </c>
      <c r="K1392" t="b">
        <v>1</v>
      </c>
      <c r="L1392" t="s">
        <v>28</v>
      </c>
      <c r="M1392">
        <v>30</v>
      </c>
      <c r="N1392" t="s">
        <v>64</v>
      </c>
      <c r="O1392">
        <v>22.5</v>
      </c>
      <c r="P1392" t="s">
        <v>36</v>
      </c>
      <c r="Q1392">
        <v>0</v>
      </c>
      <c r="R1392">
        <v>22.5</v>
      </c>
      <c r="S1392" t="s">
        <v>37</v>
      </c>
      <c r="T1392" t="s">
        <v>45</v>
      </c>
      <c r="U1392">
        <v>33.836599999999997</v>
      </c>
      <c r="V1392">
        <v>-117.9143</v>
      </c>
      <c r="W1392" s="2">
        <v>45752</v>
      </c>
      <c r="X1392">
        <v>5</v>
      </c>
      <c r="Y1392" t="b">
        <v>0</v>
      </c>
      <c r="Z1392" s="2">
        <v>45856</v>
      </c>
      <c r="AA1392" t="str">
        <f t="shared" si="211"/>
        <v>30–39</v>
      </c>
      <c r="AB1392" t="str">
        <f t="shared" si="212"/>
        <v>30–39</v>
      </c>
      <c r="AC1392" t="str">
        <f t="shared" si="213"/>
        <v/>
      </c>
      <c r="AD1392" t="str">
        <f t="shared" si="214"/>
        <v/>
      </c>
      <c r="AE1392" t="str">
        <f t="shared" si="215"/>
        <v/>
      </c>
      <c r="AF1392" t="str">
        <f t="shared" si="216"/>
        <v/>
      </c>
      <c r="AG1392" t="str">
        <f t="shared" si="217"/>
        <v>Friday</v>
      </c>
      <c r="AH1392" t="str">
        <f t="shared" si="218"/>
        <v/>
      </c>
      <c r="AI1392" t="str">
        <f t="shared" si="219"/>
        <v/>
      </c>
      <c r="AJ1392" t="str">
        <f>LEFT(Table1[[#This Row],[membership_type]],2)&amp;TEXT(Table1[[#This Row],[age]],"00")&amp;"-"&amp;TEXT(ROW(),"000")</f>
        <v>St37-1392</v>
      </c>
      <c r="AK1392" t="str">
        <f>LEFT(Table1[[#This Row],[membership_type]],1)&amp;TEXT(MATCH(Table1[[#This Row],[membership_type]],Table1[membership_type],0),"00")</f>
        <v>S02</v>
      </c>
      <c r="AL1392" t="str">
        <f>LEFT(Table1[[#This Row],[discount_type]],1)&amp;TEXT(ROUND(Table1[[#This Row],[discount_rate]]*100,0),"00")</f>
        <v>N00</v>
      </c>
      <c r="AM1392" t="str" cm="1">
        <f t="array" ref="AM1392">TEXT(SUMPRODUCT(CODE(MID(Table1[[#This Row],[home_gym_location]],_xlfn.SEQUENCE(LEN(Table1[[#This Row],[home_gym_location]])),1))),"00000")</f>
        <v>00899</v>
      </c>
      <c r="AN139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392" t="str">
        <f>LEFT(_xlfn.TEXTBEFORE(Table1[[#This Row],[Location Identifier]],"-"),3) &amp; "-" &amp; _xlfn.TEXTAFTER(Table1[[#This Row],[Location Identifier]],"-")</f>
        <v>ANA-001</v>
      </c>
      <c r="AP1392" s="9">
        <f t="shared" ca="1" si="210"/>
        <v>45869</v>
      </c>
    </row>
    <row r="1393" spans="1:42" x14ac:dyDescent="0.25">
      <c r="A1393">
        <v>31</v>
      </c>
      <c r="B1393" t="s">
        <v>33</v>
      </c>
      <c r="C1393">
        <v>2</v>
      </c>
      <c r="D1393" t="s">
        <v>73</v>
      </c>
      <c r="E1393" t="b">
        <v>1</v>
      </c>
      <c r="F1393" s="1">
        <v>0.61875000000000002</v>
      </c>
      <c r="G1393" s="1">
        <v>0.73888888888888893</v>
      </c>
      <c r="H1393">
        <v>173</v>
      </c>
      <c r="I1393" t="b">
        <v>0</v>
      </c>
      <c r="J1393" t="b">
        <v>1</v>
      </c>
      <c r="K1393" t="b">
        <v>1</v>
      </c>
      <c r="L1393" t="s">
        <v>35</v>
      </c>
      <c r="M1393">
        <v>30</v>
      </c>
      <c r="N1393" t="s">
        <v>64</v>
      </c>
      <c r="O1393">
        <v>22.5</v>
      </c>
      <c r="P1393" t="s">
        <v>36</v>
      </c>
      <c r="Q1393">
        <v>0</v>
      </c>
      <c r="R1393">
        <v>22.5</v>
      </c>
      <c r="S1393" t="s">
        <v>37</v>
      </c>
      <c r="T1393" t="s">
        <v>54</v>
      </c>
      <c r="U1393">
        <v>32.715699999999998</v>
      </c>
      <c r="V1393">
        <v>-117.1611</v>
      </c>
      <c r="W1393" s="2">
        <v>45650</v>
      </c>
      <c r="X1393">
        <v>7</v>
      </c>
      <c r="Y1393" t="b">
        <v>0</v>
      </c>
      <c r="Z1393" s="2">
        <v>45850</v>
      </c>
      <c r="AA1393" t="str">
        <f t="shared" si="211"/>
        <v>30–39</v>
      </c>
      <c r="AB1393" t="str">
        <f t="shared" si="212"/>
        <v>30–39</v>
      </c>
      <c r="AC1393" t="str">
        <f t="shared" si="213"/>
        <v/>
      </c>
      <c r="AD1393" t="str">
        <f t="shared" si="214"/>
        <v>Tuesday</v>
      </c>
      <c r="AE1393" t="str">
        <f t="shared" si="215"/>
        <v/>
      </c>
      <c r="AF1393" t="str">
        <f t="shared" si="216"/>
        <v/>
      </c>
      <c r="AG1393" t="str">
        <f t="shared" si="217"/>
        <v>Friday</v>
      </c>
      <c r="AH1393" t="str">
        <f t="shared" si="218"/>
        <v/>
      </c>
      <c r="AI1393" t="str">
        <f t="shared" si="219"/>
        <v/>
      </c>
      <c r="AJ1393" t="str">
        <f>LEFT(Table1[[#This Row],[membership_type]],2)&amp;TEXT(Table1[[#This Row],[age]],"00")&amp;"-"&amp;TEXT(ROW(),"000")</f>
        <v>St31-1393</v>
      </c>
      <c r="AK1393" t="str">
        <f>LEFT(Table1[[#This Row],[membership_type]],1)&amp;TEXT(MATCH(Table1[[#This Row],[membership_type]],Table1[membership_type],0),"00")</f>
        <v>S02</v>
      </c>
      <c r="AL1393" t="str">
        <f>LEFT(Table1[[#This Row],[discount_type]],1)&amp;TEXT(ROUND(Table1[[#This Row],[discount_rate]]*100,0),"00")</f>
        <v>N00</v>
      </c>
      <c r="AM1393" t="str" cm="1">
        <f t="array" ref="AM1393">TEXT(SUMPRODUCT(CODE(MID(Table1[[#This Row],[home_gym_location]],_xlfn.SEQUENCE(LEN(Table1[[#This Row],[home_gym_location]])),1))),"00000")</f>
        <v>01018</v>
      </c>
      <c r="AN139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393" t="str">
        <f>LEFT(_xlfn.TEXTBEFORE(Table1[[#This Row],[Location Identifier]],"-"),3) &amp; "-" &amp; _xlfn.TEXTAFTER(Table1[[#This Row],[Location Identifier]],"-")</f>
        <v>SAN-008</v>
      </c>
      <c r="AP1393" s="9">
        <f t="shared" ca="1" si="210"/>
        <v>45869</v>
      </c>
    </row>
    <row r="1394" spans="1:42" x14ac:dyDescent="0.25">
      <c r="A1394">
        <v>21</v>
      </c>
      <c r="B1394" t="s">
        <v>33</v>
      </c>
      <c r="C1394">
        <v>2</v>
      </c>
      <c r="D1394" t="s">
        <v>101</v>
      </c>
      <c r="E1394" t="b">
        <v>0</v>
      </c>
      <c r="F1394" s="1">
        <v>0.84236111111111112</v>
      </c>
      <c r="G1394" s="1">
        <v>0.90833333333333333</v>
      </c>
      <c r="H1394">
        <v>95</v>
      </c>
      <c r="I1394" t="b">
        <v>1</v>
      </c>
      <c r="J1394" t="b">
        <v>0</v>
      </c>
      <c r="K1394" t="b">
        <v>0</v>
      </c>
      <c r="L1394" t="s">
        <v>62</v>
      </c>
      <c r="M1394">
        <v>30</v>
      </c>
      <c r="N1394" t="s">
        <v>64</v>
      </c>
      <c r="O1394">
        <v>22.5</v>
      </c>
      <c r="P1394" t="s">
        <v>74</v>
      </c>
      <c r="Q1394">
        <v>0.15</v>
      </c>
      <c r="R1394">
        <v>19.125</v>
      </c>
      <c r="S1394" t="s">
        <v>37</v>
      </c>
      <c r="T1394" t="s">
        <v>38</v>
      </c>
      <c r="U1394">
        <v>36.7378</v>
      </c>
      <c r="V1394">
        <v>-119.7871</v>
      </c>
      <c r="W1394" s="2">
        <v>45277</v>
      </c>
      <c r="X1394">
        <v>0</v>
      </c>
      <c r="Y1394" t="b">
        <v>1</v>
      </c>
      <c r="Z1394" s="2">
        <v>45829</v>
      </c>
      <c r="AA1394" t="str">
        <f t="shared" si="211"/>
        <v>20–29</v>
      </c>
      <c r="AB1394" t="str">
        <f t="shared" si="212"/>
        <v>20–29</v>
      </c>
      <c r="AC1394" t="str">
        <f t="shared" si="213"/>
        <v>Monday</v>
      </c>
      <c r="AD1394" t="str">
        <f t="shared" si="214"/>
        <v/>
      </c>
      <c r="AE1394" t="str">
        <f t="shared" si="215"/>
        <v/>
      </c>
      <c r="AF1394" t="str">
        <f t="shared" si="216"/>
        <v/>
      </c>
      <c r="AG1394" t="str">
        <f t="shared" si="217"/>
        <v>Friday</v>
      </c>
      <c r="AH1394" t="str">
        <f t="shared" si="218"/>
        <v/>
      </c>
      <c r="AI1394" t="str">
        <f t="shared" si="219"/>
        <v/>
      </c>
      <c r="AJ1394" t="str">
        <f>LEFT(Table1[[#This Row],[membership_type]],2)&amp;TEXT(Table1[[#This Row],[age]],"00")&amp;"-"&amp;TEXT(ROW(),"000")</f>
        <v>St21-1394</v>
      </c>
      <c r="AK1394" t="str">
        <f>LEFT(Table1[[#This Row],[membership_type]],1)&amp;TEXT(MATCH(Table1[[#This Row],[membership_type]],Table1[membership_type],0),"00")</f>
        <v>S02</v>
      </c>
      <c r="AL1394" t="str">
        <f>LEFT(Table1[[#This Row],[discount_type]],1)&amp;TEXT(ROUND(Table1[[#This Row],[discount_rate]]*100,0),"00")</f>
        <v>S15</v>
      </c>
      <c r="AM1394" t="str" cm="1">
        <f t="array" ref="AM1394">TEXT(SUMPRODUCT(CODE(MID(Table1[[#This Row],[home_gym_location]],_xlfn.SEQUENCE(LEN(Table1[[#This Row],[home_gym_location]])),1))),"00000")</f>
        <v>00829</v>
      </c>
      <c r="AN1394" t="str">
        <f>UPPER(_xlfn.TEXTBEFORE(Table1[[#This Row],[home_gym_location]],","))&amp;"-"&amp;TEXT(MATCH(Table1[[#This Row],[home_gym_location]],_xlfn._xlws.SORT(_xlfn.UNIQUE(Table1[home_gym_location])),0),"000")</f>
        <v>FRESNO-003</v>
      </c>
      <c r="AO1394" t="str">
        <f>LEFT(_xlfn.TEXTBEFORE(Table1[[#This Row],[Location Identifier]],"-"),3) &amp; "-" &amp; _xlfn.TEXTAFTER(Table1[[#This Row],[Location Identifier]],"-")</f>
        <v>FRE-003</v>
      </c>
      <c r="AP1394" s="9">
        <f t="shared" ca="1" si="210"/>
        <v>45869</v>
      </c>
    </row>
    <row r="1395" spans="1:42" x14ac:dyDescent="0.25">
      <c r="A1395">
        <v>26</v>
      </c>
      <c r="B1395" t="s">
        <v>33</v>
      </c>
      <c r="C1395">
        <v>3</v>
      </c>
      <c r="D1395" t="s">
        <v>136</v>
      </c>
      <c r="E1395" t="b">
        <v>1</v>
      </c>
      <c r="F1395" s="1">
        <v>0.62916666666666665</v>
      </c>
      <c r="G1395" s="1">
        <v>0.73611111111111116</v>
      </c>
      <c r="H1395">
        <v>154</v>
      </c>
      <c r="I1395" t="b">
        <v>1</v>
      </c>
      <c r="J1395" t="b">
        <v>0</v>
      </c>
      <c r="K1395" t="b">
        <v>1</v>
      </c>
      <c r="L1395" t="s">
        <v>28</v>
      </c>
      <c r="M1395">
        <v>30</v>
      </c>
      <c r="N1395" t="s">
        <v>29</v>
      </c>
      <c r="O1395">
        <v>30</v>
      </c>
      <c r="P1395" t="s">
        <v>40</v>
      </c>
      <c r="Q1395">
        <v>0.1</v>
      </c>
      <c r="R1395">
        <v>27</v>
      </c>
      <c r="S1395" t="s">
        <v>37</v>
      </c>
      <c r="T1395" t="s">
        <v>48</v>
      </c>
      <c r="U1395">
        <v>38.581600000000002</v>
      </c>
      <c r="V1395">
        <v>-121.4944</v>
      </c>
      <c r="W1395" s="2">
        <v>45472</v>
      </c>
      <c r="X1395">
        <v>0</v>
      </c>
      <c r="Y1395" t="b">
        <v>1</v>
      </c>
      <c r="Z1395" s="2">
        <v>45840</v>
      </c>
      <c r="AA1395" t="str">
        <f t="shared" si="211"/>
        <v>20–29</v>
      </c>
      <c r="AB1395" t="str">
        <f t="shared" si="212"/>
        <v>20–29</v>
      </c>
      <c r="AC1395" t="str">
        <f t="shared" si="213"/>
        <v>Monday</v>
      </c>
      <c r="AD1395" t="str">
        <f t="shared" si="214"/>
        <v/>
      </c>
      <c r="AE1395" t="str">
        <f t="shared" si="215"/>
        <v/>
      </c>
      <c r="AF1395" t="str">
        <f t="shared" si="216"/>
        <v/>
      </c>
      <c r="AG1395" t="str">
        <f t="shared" si="217"/>
        <v>Friday</v>
      </c>
      <c r="AH1395" t="str">
        <f t="shared" si="218"/>
        <v>Saturday</v>
      </c>
      <c r="AI1395" t="str">
        <f t="shared" si="219"/>
        <v/>
      </c>
      <c r="AJ1395" t="str">
        <f>LEFT(Table1[[#This Row],[membership_type]],2)&amp;TEXT(Table1[[#This Row],[age]],"00")&amp;"-"&amp;TEXT(ROW(),"000")</f>
        <v>St26-1395</v>
      </c>
      <c r="AK1395" t="str">
        <f>LEFT(Table1[[#This Row],[membership_type]],1)&amp;TEXT(MATCH(Table1[[#This Row],[membership_type]],Table1[membership_type],0),"00")</f>
        <v>S02</v>
      </c>
      <c r="AL1395" t="str">
        <f>LEFT(Table1[[#This Row],[discount_type]],1)&amp;TEXT(ROUND(Table1[[#This Row],[discount_rate]]*100,0),"00")</f>
        <v>L10</v>
      </c>
      <c r="AM1395" t="str" cm="1">
        <f t="array" ref="AM1395">TEXT(SUMPRODUCT(CODE(MID(Table1[[#This Row],[home_gym_location]],_xlfn.SEQUENCE(LEN(Table1[[#This Row],[home_gym_location]])),1))),"00000")</f>
        <v>01245</v>
      </c>
      <c r="AN139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95" t="str">
        <f>LEFT(_xlfn.TEXTBEFORE(Table1[[#This Row],[Location Identifier]],"-"),3) &amp; "-" &amp; _xlfn.TEXTAFTER(Table1[[#This Row],[Location Identifier]],"-")</f>
        <v>SAC-007</v>
      </c>
      <c r="AP1395" s="9">
        <f t="shared" ca="1" si="210"/>
        <v>45869</v>
      </c>
    </row>
    <row r="1396" spans="1:42" x14ac:dyDescent="0.25">
      <c r="A1396">
        <v>20</v>
      </c>
      <c r="B1396" t="s">
        <v>42</v>
      </c>
      <c r="C1396">
        <v>5</v>
      </c>
      <c r="D1396" t="s">
        <v>69</v>
      </c>
      <c r="E1396" t="b">
        <v>1</v>
      </c>
      <c r="F1396" s="1">
        <v>0.5444444444444444</v>
      </c>
      <c r="G1396" s="1">
        <v>0.56736111111111109</v>
      </c>
      <c r="H1396">
        <v>33</v>
      </c>
      <c r="I1396" t="b">
        <v>1</v>
      </c>
      <c r="J1396" t="b">
        <v>1</v>
      </c>
      <c r="K1396" t="b">
        <v>1</v>
      </c>
      <c r="L1396" t="s">
        <v>35</v>
      </c>
      <c r="M1396">
        <v>20</v>
      </c>
      <c r="N1396" t="s">
        <v>29</v>
      </c>
      <c r="O1396">
        <v>20</v>
      </c>
      <c r="P1396" t="s">
        <v>30</v>
      </c>
      <c r="Q1396">
        <v>0.05</v>
      </c>
      <c r="R1396">
        <v>19</v>
      </c>
      <c r="S1396" t="s">
        <v>44</v>
      </c>
      <c r="T1396" t="s">
        <v>50</v>
      </c>
      <c r="U1396">
        <v>34.052199999999999</v>
      </c>
      <c r="V1396">
        <v>-118.2437</v>
      </c>
      <c r="W1396" s="2">
        <v>44948</v>
      </c>
      <c r="X1396">
        <v>2</v>
      </c>
      <c r="Y1396" t="b">
        <v>1</v>
      </c>
      <c r="Z1396" s="2">
        <v>45811</v>
      </c>
      <c r="AA1396" t="str">
        <f t="shared" si="211"/>
        <v>20–29</v>
      </c>
      <c r="AB1396" t="str">
        <f t="shared" si="212"/>
        <v>20–29</v>
      </c>
      <c r="AC1396" t="str">
        <f t="shared" si="213"/>
        <v>Monday</v>
      </c>
      <c r="AD1396" t="str">
        <f t="shared" si="214"/>
        <v/>
      </c>
      <c r="AE1396" t="str">
        <f t="shared" si="215"/>
        <v>Wednesday</v>
      </c>
      <c r="AF1396" t="str">
        <f t="shared" si="216"/>
        <v>Thursday</v>
      </c>
      <c r="AG1396" t="str">
        <f t="shared" si="217"/>
        <v/>
      </c>
      <c r="AH1396" t="str">
        <f t="shared" si="218"/>
        <v>Saturday</v>
      </c>
      <c r="AI1396" t="str">
        <f t="shared" si="219"/>
        <v>Sunday</v>
      </c>
      <c r="AJ1396" t="str">
        <f>LEFT(Table1[[#This Row],[membership_type]],2)&amp;TEXT(Table1[[#This Row],[age]],"00")&amp;"-"&amp;TEXT(ROW(),"000")</f>
        <v>Ba20-1396</v>
      </c>
      <c r="AK1396" t="str">
        <f>LEFT(Table1[[#This Row],[membership_type]],1)&amp;TEXT(MATCH(Table1[[#This Row],[membership_type]],Table1[membership_type],0),"00")</f>
        <v>B04</v>
      </c>
      <c r="AL1396" t="str">
        <f>LEFT(Table1[[#This Row],[discount_type]],1)&amp;TEXT(ROUND(Table1[[#This Row],[discount_rate]]*100,0),"00")</f>
        <v>P05</v>
      </c>
      <c r="AM1396" t="str" cm="1">
        <f t="array" ref="AM1396">TEXT(SUMPRODUCT(CODE(MID(Table1[[#This Row],[home_gym_location]],_xlfn.SEQUENCE(LEN(Table1[[#This Row],[home_gym_location]])),1))),"00000")</f>
        <v>01245</v>
      </c>
      <c r="AN139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396" t="str">
        <f>LEFT(_xlfn.TEXTBEFORE(Table1[[#This Row],[Location Identifier]],"-"),3) &amp; "-" &amp; _xlfn.TEXTAFTER(Table1[[#This Row],[Location Identifier]],"-")</f>
        <v>LOS-005</v>
      </c>
      <c r="AP1396" s="9">
        <f t="shared" ca="1" si="210"/>
        <v>45869</v>
      </c>
    </row>
    <row r="1397" spans="1:42" x14ac:dyDescent="0.25">
      <c r="A1397">
        <v>19</v>
      </c>
      <c r="B1397" t="s">
        <v>26</v>
      </c>
      <c r="C1397">
        <v>3</v>
      </c>
      <c r="D1397" t="s">
        <v>129</v>
      </c>
      <c r="E1397" t="b">
        <v>1</v>
      </c>
      <c r="F1397" s="1">
        <v>0.53888888888888886</v>
      </c>
      <c r="G1397" s="1">
        <v>0.66111111111111109</v>
      </c>
      <c r="H1397">
        <v>176</v>
      </c>
      <c r="I1397" t="b">
        <v>0</v>
      </c>
      <c r="J1397" t="b">
        <v>1</v>
      </c>
      <c r="K1397" t="b">
        <v>0</v>
      </c>
      <c r="L1397" t="s">
        <v>35</v>
      </c>
      <c r="M1397">
        <v>50</v>
      </c>
      <c r="N1397" t="s">
        <v>64</v>
      </c>
      <c r="O1397">
        <v>37.5</v>
      </c>
      <c r="P1397" t="s">
        <v>36</v>
      </c>
      <c r="Q1397">
        <v>0</v>
      </c>
      <c r="R1397">
        <v>37.5</v>
      </c>
      <c r="S1397" t="s">
        <v>31</v>
      </c>
      <c r="T1397" t="s">
        <v>59</v>
      </c>
      <c r="U1397">
        <v>37.774900000000002</v>
      </c>
      <c r="V1397">
        <v>-122.4194</v>
      </c>
      <c r="W1397" s="2">
        <v>45372</v>
      </c>
      <c r="X1397">
        <v>5</v>
      </c>
      <c r="Y1397" t="b">
        <v>0</v>
      </c>
      <c r="Z1397" s="2">
        <v>45835</v>
      </c>
      <c r="AA1397" t="str">
        <f t="shared" si="211"/>
        <v>10–19</v>
      </c>
      <c r="AB1397" t="str">
        <f t="shared" si="212"/>
        <v>16–19</v>
      </c>
      <c r="AC1397" t="str">
        <f t="shared" si="213"/>
        <v/>
      </c>
      <c r="AD1397" t="str">
        <f t="shared" si="214"/>
        <v>Tuesday</v>
      </c>
      <c r="AE1397" t="str">
        <f t="shared" si="215"/>
        <v>Wednesday</v>
      </c>
      <c r="AF1397" t="str">
        <f t="shared" si="216"/>
        <v/>
      </c>
      <c r="AG1397" t="str">
        <f t="shared" si="217"/>
        <v/>
      </c>
      <c r="AH1397" t="str">
        <f t="shared" si="218"/>
        <v/>
      </c>
      <c r="AI1397" t="str">
        <f t="shared" si="219"/>
        <v>Sunday</v>
      </c>
      <c r="AJ1397" t="str">
        <f>LEFT(Table1[[#This Row],[membership_type]],2)&amp;TEXT(Table1[[#This Row],[age]],"00")&amp;"-"&amp;TEXT(ROW(),"000")</f>
        <v>Pr19-1397</v>
      </c>
      <c r="AK1397" t="str">
        <f>LEFT(Table1[[#This Row],[membership_type]],1)&amp;TEXT(MATCH(Table1[[#This Row],[membership_type]],Table1[membership_type],0),"00")</f>
        <v>P01</v>
      </c>
      <c r="AL1397" t="str">
        <f>LEFT(Table1[[#This Row],[discount_type]],1)&amp;TEXT(ROUND(Table1[[#This Row],[discount_rate]]*100,0),"00")</f>
        <v>N00</v>
      </c>
      <c r="AM1397" t="str" cm="1">
        <f t="array" ref="AM1397">TEXT(SUMPRODUCT(CODE(MID(Table1[[#This Row],[home_gym_location]],_xlfn.SEQUENCE(LEN(Table1[[#This Row],[home_gym_location]])),1))),"00000")</f>
        <v>01450</v>
      </c>
      <c r="AN139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397" t="str">
        <f>LEFT(_xlfn.TEXTBEFORE(Table1[[#This Row],[Location Identifier]],"-"),3) &amp; "-" &amp; _xlfn.TEXTAFTER(Table1[[#This Row],[Location Identifier]],"-")</f>
        <v>SAN-009</v>
      </c>
      <c r="AP1397" s="9">
        <f t="shared" ca="1" si="210"/>
        <v>45869</v>
      </c>
    </row>
    <row r="1398" spans="1:42" x14ac:dyDescent="0.25">
      <c r="A1398">
        <v>35</v>
      </c>
      <c r="B1398" t="s">
        <v>26</v>
      </c>
      <c r="C1398">
        <v>1</v>
      </c>
      <c r="D1398" t="s">
        <v>95</v>
      </c>
      <c r="E1398" t="b">
        <v>0</v>
      </c>
      <c r="F1398" s="1">
        <v>0.84166666666666667</v>
      </c>
      <c r="G1398" s="1">
        <v>0.94236111111111109</v>
      </c>
      <c r="H1398">
        <v>145</v>
      </c>
      <c r="I1398" t="b">
        <v>1</v>
      </c>
      <c r="J1398" t="b">
        <v>1</v>
      </c>
      <c r="K1398" t="b">
        <v>0</v>
      </c>
      <c r="L1398" t="s">
        <v>28</v>
      </c>
      <c r="M1398">
        <v>50</v>
      </c>
      <c r="N1398" t="s">
        <v>29</v>
      </c>
      <c r="O1398">
        <v>50</v>
      </c>
      <c r="P1398" t="s">
        <v>74</v>
      </c>
      <c r="Q1398">
        <v>0.15</v>
      </c>
      <c r="R1398">
        <v>42.5</v>
      </c>
      <c r="S1398" t="s">
        <v>31</v>
      </c>
      <c r="T1398" t="s">
        <v>48</v>
      </c>
      <c r="U1398">
        <v>38.581600000000002</v>
      </c>
      <c r="V1398">
        <v>-121.4944</v>
      </c>
      <c r="W1398" s="2">
        <v>45566</v>
      </c>
      <c r="X1398">
        <v>5</v>
      </c>
      <c r="Y1398" t="b">
        <v>0</v>
      </c>
      <c r="Z1398" s="2">
        <v>45846</v>
      </c>
      <c r="AA1398" t="str">
        <f t="shared" si="211"/>
        <v>30–39</v>
      </c>
      <c r="AB1398" t="str">
        <f t="shared" si="212"/>
        <v>30–39</v>
      </c>
      <c r="AC1398" t="str">
        <f t="shared" si="213"/>
        <v/>
      </c>
      <c r="AD1398" t="str">
        <f t="shared" si="214"/>
        <v/>
      </c>
      <c r="AE1398" t="str">
        <f t="shared" si="215"/>
        <v/>
      </c>
      <c r="AF1398" t="str">
        <f t="shared" si="216"/>
        <v/>
      </c>
      <c r="AG1398" t="str">
        <f t="shared" si="217"/>
        <v/>
      </c>
      <c r="AH1398" t="str">
        <f t="shared" si="218"/>
        <v>Saturday</v>
      </c>
      <c r="AI1398" t="str">
        <f t="shared" si="219"/>
        <v/>
      </c>
      <c r="AJ1398" t="str">
        <f>LEFT(Table1[[#This Row],[membership_type]],2)&amp;TEXT(Table1[[#This Row],[age]],"00")&amp;"-"&amp;TEXT(ROW(),"000")</f>
        <v>Pr35-1398</v>
      </c>
      <c r="AK1398" t="str">
        <f>LEFT(Table1[[#This Row],[membership_type]],1)&amp;TEXT(MATCH(Table1[[#This Row],[membership_type]],Table1[membership_type],0),"00")</f>
        <v>P01</v>
      </c>
      <c r="AL1398" t="str">
        <f>LEFT(Table1[[#This Row],[discount_type]],1)&amp;TEXT(ROUND(Table1[[#This Row],[discount_rate]]*100,0),"00")</f>
        <v>S15</v>
      </c>
      <c r="AM1398" t="str" cm="1">
        <f t="array" ref="AM1398">TEXT(SUMPRODUCT(CODE(MID(Table1[[#This Row],[home_gym_location]],_xlfn.SEQUENCE(LEN(Table1[[#This Row],[home_gym_location]])),1))),"00000")</f>
        <v>01245</v>
      </c>
      <c r="AN139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398" t="str">
        <f>LEFT(_xlfn.TEXTBEFORE(Table1[[#This Row],[Location Identifier]],"-"),3) &amp; "-" &amp; _xlfn.TEXTAFTER(Table1[[#This Row],[Location Identifier]],"-")</f>
        <v>SAC-007</v>
      </c>
      <c r="AP1398" s="9">
        <f t="shared" ca="1" si="210"/>
        <v>45869</v>
      </c>
    </row>
    <row r="1399" spans="1:42" x14ac:dyDescent="0.25">
      <c r="A1399">
        <v>26</v>
      </c>
      <c r="B1399" t="s">
        <v>26</v>
      </c>
      <c r="C1399">
        <v>2</v>
      </c>
      <c r="D1399" t="s">
        <v>101</v>
      </c>
      <c r="E1399" t="b">
        <v>0</v>
      </c>
      <c r="F1399" s="1">
        <v>0.34652777777777777</v>
      </c>
      <c r="G1399" s="1">
        <v>0.44791666666666669</v>
      </c>
      <c r="H1399">
        <v>146</v>
      </c>
      <c r="I1399" t="b">
        <v>0</v>
      </c>
      <c r="J1399" t="b">
        <v>1</v>
      </c>
      <c r="K1399" t="b">
        <v>0</v>
      </c>
      <c r="L1399" t="s">
        <v>62</v>
      </c>
      <c r="M1399">
        <v>50</v>
      </c>
      <c r="N1399" t="s">
        <v>78</v>
      </c>
      <c r="O1399">
        <v>45</v>
      </c>
      <c r="P1399" t="s">
        <v>36</v>
      </c>
      <c r="Q1399">
        <v>0</v>
      </c>
      <c r="R1399">
        <v>45</v>
      </c>
      <c r="S1399" t="s">
        <v>31</v>
      </c>
      <c r="T1399" t="s">
        <v>38</v>
      </c>
      <c r="U1399">
        <v>36.7378</v>
      </c>
      <c r="V1399">
        <v>-119.7871</v>
      </c>
      <c r="W1399" s="2">
        <v>45173</v>
      </c>
      <c r="X1399">
        <v>6</v>
      </c>
      <c r="Y1399" t="b">
        <v>1</v>
      </c>
      <c r="Z1399" s="2">
        <v>45823</v>
      </c>
      <c r="AA1399" t="str">
        <f t="shared" si="211"/>
        <v>20–29</v>
      </c>
      <c r="AB1399" t="str">
        <f t="shared" si="212"/>
        <v>20–29</v>
      </c>
      <c r="AC1399" t="str">
        <f t="shared" si="213"/>
        <v>Monday</v>
      </c>
      <c r="AD1399" t="str">
        <f t="shared" si="214"/>
        <v/>
      </c>
      <c r="AE1399" t="str">
        <f t="shared" si="215"/>
        <v/>
      </c>
      <c r="AF1399" t="str">
        <f t="shared" si="216"/>
        <v/>
      </c>
      <c r="AG1399" t="str">
        <f t="shared" si="217"/>
        <v>Friday</v>
      </c>
      <c r="AH1399" t="str">
        <f t="shared" si="218"/>
        <v/>
      </c>
      <c r="AI1399" t="str">
        <f t="shared" si="219"/>
        <v/>
      </c>
      <c r="AJ1399" t="str">
        <f>LEFT(Table1[[#This Row],[membership_type]],2)&amp;TEXT(Table1[[#This Row],[age]],"00")&amp;"-"&amp;TEXT(ROW(),"000")</f>
        <v>Pr26-1399</v>
      </c>
      <c r="AK1399" t="str">
        <f>LEFT(Table1[[#This Row],[membership_type]],1)&amp;TEXT(MATCH(Table1[[#This Row],[membership_type]],Table1[membership_type],0),"00")</f>
        <v>P01</v>
      </c>
      <c r="AL1399" t="str">
        <f>LEFT(Table1[[#This Row],[discount_type]],1)&amp;TEXT(ROUND(Table1[[#This Row],[discount_rate]]*100,0),"00")</f>
        <v>N00</v>
      </c>
      <c r="AM1399" t="str" cm="1">
        <f t="array" ref="AM1399">TEXT(SUMPRODUCT(CODE(MID(Table1[[#This Row],[home_gym_location]],_xlfn.SEQUENCE(LEN(Table1[[#This Row],[home_gym_location]])),1))),"00000")</f>
        <v>00829</v>
      </c>
      <c r="AN1399" t="str">
        <f>UPPER(_xlfn.TEXTBEFORE(Table1[[#This Row],[home_gym_location]],","))&amp;"-"&amp;TEXT(MATCH(Table1[[#This Row],[home_gym_location]],_xlfn._xlws.SORT(_xlfn.UNIQUE(Table1[home_gym_location])),0),"000")</f>
        <v>FRESNO-003</v>
      </c>
      <c r="AO1399" t="str">
        <f>LEFT(_xlfn.TEXTBEFORE(Table1[[#This Row],[Location Identifier]],"-"),3) &amp; "-" &amp; _xlfn.TEXTAFTER(Table1[[#This Row],[Location Identifier]],"-")</f>
        <v>FRE-003</v>
      </c>
      <c r="AP1399" s="9">
        <f t="shared" ca="1" si="210"/>
        <v>45869</v>
      </c>
    </row>
    <row r="1400" spans="1:42" x14ac:dyDescent="0.25">
      <c r="A1400">
        <v>26</v>
      </c>
      <c r="B1400" t="s">
        <v>42</v>
      </c>
      <c r="C1400">
        <v>5</v>
      </c>
      <c r="D1400" t="s">
        <v>66</v>
      </c>
      <c r="E1400" t="b">
        <v>0</v>
      </c>
      <c r="F1400" s="1">
        <v>0.75069444444444444</v>
      </c>
      <c r="G1400" s="1">
        <v>0.77986111111111112</v>
      </c>
      <c r="H1400">
        <v>42</v>
      </c>
      <c r="I1400" t="b">
        <v>1</v>
      </c>
      <c r="J1400" t="b">
        <v>0</v>
      </c>
      <c r="K1400" t="b">
        <v>0</v>
      </c>
      <c r="L1400" t="s">
        <v>28</v>
      </c>
      <c r="M1400">
        <v>20</v>
      </c>
      <c r="N1400" t="s">
        <v>64</v>
      </c>
      <c r="O1400">
        <v>15</v>
      </c>
      <c r="P1400" t="s">
        <v>36</v>
      </c>
      <c r="Q1400">
        <v>0</v>
      </c>
      <c r="R1400">
        <v>15</v>
      </c>
      <c r="S1400" t="s">
        <v>44</v>
      </c>
      <c r="T1400" t="s">
        <v>65</v>
      </c>
      <c r="U1400">
        <v>33.770099999999999</v>
      </c>
      <c r="V1400">
        <v>-118.19370000000001</v>
      </c>
      <c r="W1400" s="2">
        <v>45078</v>
      </c>
      <c r="X1400">
        <v>0</v>
      </c>
      <c r="Y1400" t="b">
        <v>0</v>
      </c>
      <c r="Z1400" s="2">
        <v>45818</v>
      </c>
      <c r="AA1400" t="str">
        <f t="shared" si="211"/>
        <v>20–29</v>
      </c>
      <c r="AB1400" t="str">
        <f t="shared" si="212"/>
        <v>20–29</v>
      </c>
      <c r="AC1400" t="str">
        <f t="shared" si="213"/>
        <v>Monday</v>
      </c>
      <c r="AD1400" t="str">
        <f t="shared" si="214"/>
        <v>Tuesday</v>
      </c>
      <c r="AE1400" t="str">
        <f t="shared" si="215"/>
        <v>Wednesday</v>
      </c>
      <c r="AF1400" t="str">
        <f t="shared" si="216"/>
        <v/>
      </c>
      <c r="AG1400" t="str">
        <f t="shared" si="217"/>
        <v>Friday</v>
      </c>
      <c r="AH1400" t="str">
        <f t="shared" si="218"/>
        <v/>
      </c>
      <c r="AI1400" t="str">
        <f t="shared" si="219"/>
        <v>Sunday</v>
      </c>
      <c r="AJ1400" t="str">
        <f>LEFT(Table1[[#This Row],[membership_type]],2)&amp;TEXT(Table1[[#This Row],[age]],"00")&amp;"-"&amp;TEXT(ROW(),"000")</f>
        <v>Ba26-1400</v>
      </c>
      <c r="AK1400" t="str">
        <f>LEFT(Table1[[#This Row],[membership_type]],1)&amp;TEXT(MATCH(Table1[[#This Row],[membership_type]],Table1[membership_type],0),"00")</f>
        <v>B04</v>
      </c>
      <c r="AL1400" t="str">
        <f>LEFT(Table1[[#This Row],[discount_type]],1)&amp;TEXT(ROUND(Table1[[#This Row],[discount_rate]]*100,0),"00")</f>
        <v>N00</v>
      </c>
      <c r="AM1400" t="str" cm="1">
        <f t="array" ref="AM1400">TEXT(SUMPRODUCT(CODE(MID(Table1[[#This Row],[home_gym_location]],_xlfn.SEQUENCE(LEN(Table1[[#This Row],[home_gym_location]])),1))),"00000")</f>
        <v>01107</v>
      </c>
      <c r="AN140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00" t="str">
        <f>LEFT(_xlfn.TEXTBEFORE(Table1[[#This Row],[Location Identifier]],"-"),3) &amp; "-" &amp; _xlfn.TEXTAFTER(Table1[[#This Row],[Location Identifier]],"-")</f>
        <v>LON-004</v>
      </c>
      <c r="AP1400" s="9">
        <f t="shared" ca="1" si="210"/>
        <v>45869</v>
      </c>
    </row>
    <row r="1401" spans="1:42" x14ac:dyDescent="0.25">
      <c r="A1401">
        <v>21</v>
      </c>
      <c r="B1401" t="s">
        <v>26</v>
      </c>
      <c r="C1401">
        <v>2</v>
      </c>
      <c r="D1401" t="s">
        <v>96</v>
      </c>
      <c r="E1401" t="b">
        <v>1</v>
      </c>
      <c r="F1401" s="1">
        <v>0.83263888888888893</v>
      </c>
      <c r="G1401" s="1">
        <v>0.86319444444444449</v>
      </c>
      <c r="H1401">
        <v>44</v>
      </c>
      <c r="I1401" t="b">
        <v>0</v>
      </c>
      <c r="J1401" t="b">
        <v>1</v>
      </c>
      <c r="K1401" t="b">
        <v>0</v>
      </c>
      <c r="L1401" t="s">
        <v>35</v>
      </c>
      <c r="M1401">
        <v>50</v>
      </c>
      <c r="N1401" t="s">
        <v>29</v>
      </c>
      <c r="O1401">
        <v>50</v>
      </c>
      <c r="P1401" t="s">
        <v>30</v>
      </c>
      <c r="Q1401">
        <v>0.05</v>
      </c>
      <c r="R1401">
        <v>47.5</v>
      </c>
      <c r="S1401" t="s">
        <v>31</v>
      </c>
      <c r="T1401" t="s">
        <v>54</v>
      </c>
      <c r="U1401">
        <v>32.715699999999998</v>
      </c>
      <c r="V1401">
        <v>-117.1611</v>
      </c>
      <c r="W1401" s="2">
        <v>45653</v>
      </c>
      <c r="X1401">
        <v>1</v>
      </c>
      <c r="Y1401" t="b">
        <v>1</v>
      </c>
      <c r="Z1401" s="2">
        <v>45850</v>
      </c>
      <c r="AA1401" t="str">
        <f t="shared" si="211"/>
        <v>20–29</v>
      </c>
      <c r="AB1401" t="str">
        <f t="shared" si="212"/>
        <v>20–29</v>
      </c>
      <c r="AC1401" t="str">
        <f t="shared" si="213"/>
        <v/>
      </c>
      <c r="AD1401" t="str">
        <f t="shared" si="214"/>
        <v/>
      </c>
      <c r="AE1401" t="str">
        <f t="shared" si="215"/>
        <v/>
      </c>
      <c r="AF1401" t="str">
        <f t="shared" si="216"/>
        <v>Thursday</v>
      </c>
      <c r="AG1401" t="str">
        <f t="shared" si="217"/>
        <v>Friday</v>
      </c>
      <c r="AH1401" t="str">
        <f t="shared" si="218"/>
        <v/>
      </c>
      <c r="AI1401" t="str">
        <f t="shared" si="219"/>
        <v/>
      </c>
      <c r="AJ1401" t="str">
        <f>LEFT(Table1[[#This Row],[membership_type]],2)&amp;TEXT(Table1[[#This Row],[age]],"00")&amp;"-"&amp;TEXT(ROW(),"000")</f>
        <v>Pr21-1401</v>
      </c>
      <c r="AK1401" t="str">
        <f>LEFT(Table1[[#This Row],[membership_type]],1)&amp;TEXT(MATCH(Table1[[#This Row],[membership_type]],Table1[membership_type],0),"00")</f>
        <v>P01</v>
      </c>
      <c r="AL1401" t="str">
        <f>LEFT(Table1[[#This Row],[discount_type]],1)&amp;TEXT(ROUND(Table1[[#This Row],[discount_rate]]*100,0),"00")</f>
        <v>P05</v>
      </c>
      <c r="AM1401" t="str" cm="1">
        <f t="array" ref="AM1401">TEXT(SUMPRODUCT(CODE(MID(Table1[[#This Row],[home_gym_location]],_xlfn.SEQUENCE(LEN(Table1[[#This Row],[home_gym_location]])),1))),"00000")</f>
        <v>01018</v>
      </c>
      <c r="AN140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01" t="str">
        <f>LEFT(_xlfn.TEXTBEFORE(Table1[[#This Row],[Location Identifier]],"-"),3) &amp; "-" &amp; _xlfn.TEXTAFTER(Table1[[#This Row],[Location Identifier]],"-")</f>
        <v>SAN-008</v>
      </c>
      <c r="AP1401" s="9">
        <f t="shared" ca="1" si="210"/>
        <v>45869</v>
      </c>
    </row>
    <row r="1402" spans="1:42" x14ac:dyDescent="0.25">
      <c r="A1402">
        <v>37</v>
      </c>
      <c r="B1402" t="s">
        <v>42</v>
      </c>
      <c r="C1402">
        <v>3</v>
      </c>
      <c r="D1402" t="s">
        <v>114</v>
      </c>
      <c r="E1402" t="b">
        <v>1</v>
      </c>
      <c r="F1402" s="1">
        <v>0.75486111111111109</v>
      </c>
      <c r="G1402" s="1">
        <v>0.83402777777777781</v>
      </c>
      <c r="H1402">
        <v>114</v>
      </c>
      <c r="I1402" t="b">
        <v>0</v>
      </c>
      <c r="J1402" t="b">
        <v>0</v>
      </c>
      <c r="K1402" t="b">
        <v>1</v>
      </c>
      <c r="L1402" t="s">
        <v>35</v>
      </c>
      <c r="M1402">
        <v>20</v>
      </c>
      <c r="N1402" t="s">
        <v>64</v>
      </c>
      <c r="O1402">
        <v>15</v>
      </c>
      <c r="P1402" t="s">
        <v>36</v>
      </c>
      <c r="Q1402">
        <v>0</v>
      </c>
      <c r="R1402">
        <v>15</v>
      </c>
      <c r="S1402" t="s">
        <v>44</v>
      </c>
      <c r="T1402" t="s">
        <v>50</v>
      </c>
      <c r="U1402">
        <v>34.052199999999999</v>
      </c>
      <c r="V1402">
        <v>-118.2437</v>
      </c>
      <c r="W1402" s="2">
        <v>45652</v>
      </c>
      <c r="X1402">
        <v>0</v>
      </c>
      <c r="Y1402" t="b">
        <v>0</v>
      </c>
      <c r="Z1402" s="2">
        <v>45850</v>
      </c>
      <c r="AA1402" t="str">
        <f t="shared" si="211"/>
        <v>30–39</v>
      </c>
      <c r="AB1402" t="str">
        <f t="shared" si="212"/>
        <v>30–39</v>
      </c>
      <c r="AC1402" t="str">
        <f t="shared" si="213"/>
        <v>Monday</v>
      </c>
      <c r="AD1402" t="str">
        <f t="shared" si="214"/>
        <v>Tuesday</v>
      </c>
      <c r="AE1402" t="str">
        <f t="shared" si="215"/>
        <v>Wednesday</v>
      </c>
      <c r="AF1402" t="str">
        <f t="shared" si="216"/>
        <v/>
      </c>
      <c r="AG1402" t="str">
        <f t="shared" si="217"/>
        <v/>
      </c>
      <c r="AH1402" t="str">
        <f t="shared" si="218"/>
        <v/>
      </c>
      <c r="AI1402" t="str">
        <f t="shared" si="219"/>
        <v/>
      </c>
      <c r="AJ1402" t="str">
        <f>LEFT(Table1[[#This Row],[membership_type]],2)&amp;TEXT(Table1[[#This Row],[age]],"00")&amp;"-"&amp;TEXT(ROW(),"000")</f>
        <v>Ba37-1402</v>
      </c>
      <c r="AK1402" t="str">
        <f>LEFT(Table1[[#This Row],[membership_type]],1)&amp;TEXT(MATCH(Table1[[#This Row],[membership_type]],Table1[membership_type],0),"00")</f>
        <v>B04</v>
      </c>
      <c r="AL1402" t="str">
        <f>LEFT(Table1[[#This Row],[discount_type]],1)&amp;TEXT(ROUND(Table1[[#This Row],[discount_rate]]*100,0),"00")</f>
        <v>N00</v>
      </c>
      <c r="AM1402" t="str" cm="1">
        <f t="array" ref="AM1402">TEXT(SUMPRODUCT(CODE(MID(Table1[[#This Row],[home_gym_location]],_xlfn.SEQUENCE(LEN(Table1[[#This Row],[home_gym_location]])),1))),"00000")</f>
        <v>01245</v>
      </c>
      <c r="AN140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02" t="str">
        <f>LEFT(_xlfn.TEXTBEFORE(Table1[[#This Row],[Location Identifier]],"-"),3) &amp; "-" &amp; _xlfn.TEXTAFTER(Table1[[#This Row],[Location Identifier]],"-")</f>
        <v>LOS-005</v>
      </c>
      <c r="AP1402" s="9">
        <f t="shared" ca="1" si="210"/>
        <v>45869</v>
      </c>
    </row>
    <row r="1403" spans="1:42" x14ac:dyDescent="0.25">
      <c r="A1403">
        <v>39</v>
      </c>
      <c r="B1403" t="s">
        <v>33</v>
      </c>
      <c r="C1403">
        <v>4</v>
      </c>
      <c r="D1403" t="s">
        <v>162</v>
      </c>
      <c r="E1403" t="b">
        <v>1</v>
      </c>
      <c r="F1403" s="1">
        <v>0.80694444444444446</v>
      </c>
      <c r="G1403" s="1">
        <v>0.88749999999999996</v>
      </c>
      <c r="H1403">
        <v>116</v>
      </c>
      <c r="I1403" t="b">
        <v>1</v>
      </c>
      <c r="J1403" t="b">
        <v>0</v>
      </c>
      <c r="K1403" t="b">
        <v>0</v>
      </c>
      <c r="L1403" t="s">
        <v>47</v>
      </c>
      <c r="M1403">
        <v>30</v>
      </c>
      <c r="N1403" t="s">
        <v>29</v>
      </c>
      <c r="O1403">
        <v>30</v>
      </c>
      <c r="P1403" t="s">
        <v>36</v>
      </c>
      <c r="Q1403">
        <v>0</v>
      </c>
      <c r="R1403">
        <v>30</v>
      </c>
      <c r="S1403" t="s">
        <v>37</v>
      </c>
      <c r="T1403" t="s">
        <v>59</v>
      </c>
      <c r="U1403">
        <v>37.774900000000002</v>
      </c>
      <c r="V1403">
        <v>-122.4194</v>
      </c>
      <c r="W1403" s="2">
        <v>45791</v>
      </c>
      <c r="X1403">
        <v>0</v>
      </c>
      <c r="Y1403" t="b">
        <v>0</v>
      </c>
      <c r="Z1403" s="2">
        <v>45858</v>
      </c>
      <c r="AA1403" t="str">
        <f t="shared" si="211"/>
        <v>30–39</v>
      </c>
      <c r="AB1403" t="str">
        <f t="shared" si="212"/>
        <v>30–39</v>
      </c>
      <c r="AC1403" t="str">
        <f t="shared" si="213"/>
        <v>Monday</v>
      </c>
      <c r="AD1403" t="str">
        <f t="shared" si="214"/>
        <v>Tuesday</v>
      </c>
      <c r="AE1403" t="str">
        <f t="shared" si="215"/>
        <v>Wednesday</v>
      </c>
      <c r="AF1403" t="str">
        <f t="shared" si="216"/>
        <v/>
      </c>
      <c r="AG1403" t="str">
        <f t="shared" si="217"/>
        <v/>
      </c>
      <c r="AH1403" t="str">
        <f t="shared" si="218"/>
        <v/>
      </c>
      <c r="AI1403" t="str">
        <f t="shared" si="219"/>
        <v>Sunday</v>
      </c>
      <c r="AJ1403" t="str">
        <f>LEFT(Table1[[#This Row],[membership_type]],2)&amp;TEXT(Table1[[#This Row],[age]],"00")&amp;"-"&amp;TEXT(ROW(),"000")</f>
        <v>St39-1403</v>
      </c>
      <c r="AK1403" t="str">
        <f>LEFT(Table1[[#This Row],[membership_type]],1)&amp;TEXT(MATCH(Table1[[#This Row],[membership_type]],Table1[membership_type],0),"00")</f>
        <v>S02</v>
      </c>
      <c r="AL1403" t="str">
        <f>LEFT(Table1[[#This Row],[discount_type]],1)&amp;TEXT(ROUND(Table1[[#This Row],[discount_rate]]*100,0),"00")</f>
        <v>N00</v>
      </c>
      <c r="AM1403" t="str" cm="1">
        <f t="array" ref="AM1403">TEXT(SUMPRODUCT(CODE(MID(Table1[[#This Row],[home_gym_location]],_xlfn.SEQUENCE(LEN(Table1[[#This Row],[home_gym_location]])),1))),"00000")</f>
        <v>01450</v>
      </c>
      <c r="AN140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03" t="str">
        <f>LEFT(_xlfn.TEXTBEFORE(Table1[[#This Row],[Location Identifier]],"-"),3) &amp; "-" &amp; _xlfn.TEXTAFTER(Table1[[#This Row],[Location Identifier]],"-")</f>
        <v>SAN-009</v>
      </c>
      <c r="AP1403" s="9">
        <f t="shared" ca="1" si="210"/>
        <v>45869</v>
      </c>
    </row>
    <row r="1404" spans="1:42" x14ac:dyDescent="0.25">
      <c r="A1404">
        <v>13</v>
      </c>
      <c r="B1404" t="s">
        <v>26</v>
      </c>
      <c r="C1404">
        <v>2</v>
      </c>
      <c r="D1404" t="s">
        <v>73</v>
      </c>
      <c r="E1404" t="b">
        <v>1</v>
      </c>
      <c r="F1404" s="1">
        <v>0.39097222222222222</v>
      </c>
      <c r="G1404" s="1">
        <v>0.50138888888888888</v>
      </c>
      <c r="H1404">
        <v>159</v>
      </c>
      <c r="I1404" t="b">
        <v>0</v>
      </c>
      <c r="J1404" t="b">
        <v>0</v>
      </c>
      <c r="K1404" t="b">
        <v>1</v>
      </c>
      <c r="L1404" t="s">
        <v>28</v>
      </c>
      <c r="M1404">
        <v>50</v>
      </c>
      <c r="N1404" t="s">
        <v>29</v>
      </c>
      <c r="O1404">
        <v>50</v>
      </c>
      <c r="P1404" t="s">
        <v>36</v>
      </c>
      <c r="Q1404">
        <v>0</v>
      </c>
      <c r="R1404">
        <v>50</v>
      </c>
      <c r="S1404" t="s">
        <v>31</v>
      </c>
      <c r="T1404" t="s">
        <v>54</v>
      </c>
      <c r="U1404">
        <v>32.715699999999998</v>
      </c>
      <c r="V1404">
        <v>-117.1611</v>
      </c>
      <c r="W1404" s="2">
        <v>45046</v>
      </c>
      <c r="X1404">
        <v>0</v>
      </c>
      <c r="Y1404" t="b">
        <v>0</v>
      </c>
      <c r="Z1404" s="2">
        <v>45816</v>
      </c>
      <c r="AA1404" t="str">
        <f t="shared" si="211"/>
        <v>10–19</v>
      </c>
      <c r="AB1404" t="str">
        <f t="shared" si="212"/>
        <v>Under 16</v>
      </c>
      <c r="AC1404" t="str">
        <f t="shared" si="213"/>
        <v/>
      </c>
      <c r="AD1404" t="str">
        <f t="shared" si="214"/>
        <v>Tuesday</v>
      </c>
      <c r="AE1404" t="str">
        <f t="shared" si="215"/>
        <v/>
      </c>
      <c r="AF1404" t="str">
        <f t="shared" si="216"/>
        <v/>
      </c>
      <c r="AG1404" t="str">
        <f t="shared" si="217"/>
        <v>Friday</v>
      </c>
      <c r="AH1404" t="str">
        <f t="shared" si="218"/>
        <v/>
      </c>
      <c r="AI1404" t="str">
        <f t="shared" si="219"/>
        <v/>
      </c>
      <c r="AJ1404" t="str">
        <f>LEFT(Table1[[#This Row],[membership_type]],2)&amp;TEXT(Table1[[#This Row],[age]],"00")&amp;"-"&amp;TEXT(ROW(),"000")</f>
        <v>Pr13-1404</v>
      </c>
      <c r="AK1404" t="str">
        <f>LEFT(Table1[[#This Row],[membership_type]],1)&amp;TEXT(MATCH(Table1[[#This Row],[membership_type]],Table1[membership_type],0),"00")</f>
        <v>P01</v>
      </c>
      <c r="AL1404" t="str">
        <f>LEFT(Table1[[#This Row],[discount_type]],1)&amp;TEXT(ROUND(Table1[[#This Row],[discount_rate]]*100,0),"00")</f>
        <v>N00</v>
      </c>
      <c r="AM1404" t="str" cm="1">
        <f t="array" ref="AM1404">TEXT(SUMPRODUCT(CODE(MID(Table1[[#This Row],[home_gym_location]],_xlfn.SEQUENCE(LEN(Table1[[#This Row],[home_gym_location]])),1))),"00000")</f>
        <v>01018</v>
      </c>
      <c r="AN140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04" t="str">
        <f>LEFT(_xlfn.TEXTBEFORE(Table1[[#This Row],[Location Identifier]],"-"),3) &amp; "-" &amp; _xlfn.TEXTAFTER(Table1[[#This Row],[Location Identifier]],"-")</f>
        <v>SAN-008</v>
      </c>
      <c r="AP1404" s="9">
        <f t="shared" ca="1" si="210"/>
        <v>45869</v>
      </c>
    </row>
    <row r="1405" spans="1:42" x14ac:dyDescent="0.25">
      <c r="A1405">
        <v>41</v>
      </c>
      <c r="B1405" t="s">
        <v>42</v>
      </c>
      <c r="C1405">
        <v>4</v>
      </c>
      <c r="D1405" t="s">
        <v>144</v>
      </c>
      <c r="E1405" t="b">
        <v>0</v>
      </c>
      <c r="F1405" s="1">
        <v>0.71388888888888891</v>
      </c>
      <c r="G1405" s="1">
        <v>0.76111111111111107</v>
      </c>
      <c r="H1405">
        <v>68</v>
      </c>
      <c r="I1405" t="b">
        <v>1</v>
      </c>
      <c r="J1405" t="b">
        <v>1</v>
      </c>
      <c r="K1405" t="b">
        <v>0</v>
      </c>
      <c r="L1405" t="s">
        <v>62</v>
      </c>
      <c r="M1405">
        <v>20</v>
      </c>
      <c r="N1405" t="s">
        <v>78</v>
      </c>
      <c r="O1405">
        <v>18</v>
      </c>
      <c r="P1405" t="s">
        <v>36</v>
      </c>
      <c r="Q1405">
        <v>0</v>
      </c>
      <c r="R1405">
        <v>18</v>
      </c>
      <c r="S1405" t="s">
        <v>44</v>
      </c>
      <c r="T1405" t="s">
        <v>65</v>
      </c>
      <c r="U1405">
        <v>33.770099999999999</v>
      </c>
      <c r="V1405">
        <v>-118.19370000000001</v>
      </c>
      <c r="W1405" s="2">
        <v>45124</v>
      </c>
      <c r="X1405">
        <v>7</v>
      </c>
      <c r="Y1405" t="b">
        <v>0</v>
      </c>
      <c r="Z1405" s="2">
        <v>45821</v>
      </c>
      <c r="AA1405" t="str">
        <f t="shared" si="211"/>
        <v>40–49</v>
      </c>
      <c r="AB1405" t="str">
        <f t="shared" si="212"/>
        <v>40–49</v>
      </c>
      <c r="AC1405" t="str">
        <f t="shared" si="213"/>
        <v>Monday</v>
      </c>
      <c r="AD1405" t="str">
        <f t="shared" si="214"/>
        <v/>
      </c>
      <c r="AE1405" t="str">
        <f t="shared" si="215"/>
        <v>Wednesday</v>
      </c>
      <c r="AF1405" t="str">
        <f t="shared" si="216"/>
        <v>Thursday</v>
      </c>
      <c r="AG1405" t="str">
        <f t="shared" si="217"/>
        <v>Friday</v>
      </c>
      <c r="AH1405" t="str">
        <f t="shared" si="218"/>
        <v/>
      </c>
      <c r="AI1405" t="str">
        <f t="shared" si="219"/>
        <v/>
      </c>
      <c r="AJ1405" t="str">
        <f>LEFT(Table1[[#This Row],[membership_type]],2)&amp;TEXT(Table1[[#This Row],[age]],"00")&amp;"-"&amp;TEXT(ROW(),"000")</f>
        <v>Ba41-1405</v>
      </c>
      <c r="AK1405" t="str">
        <f>LEFT(Table1[[#This Row],[membership_type]],1)&amp;TEXT(MATCH(Table1[[#This Row],[membership_type]],Table1[membership_type],0),"00")</f>
        <v>B04</v>
      </c>
      <c r="AL1405" t="str">
        <f>LEFT(Table1[[#This Row],[discount_type]],1)&amp;TEXT(ROUND(Table1[[#This Row],[discount_rate]]*100,0),"00")</f>
        <v>N00</v>
      </c>
      <c r="AM1405" t="str" cm="1">
        <f t="array" ref="AM1405">TEXT(SUMPRODUCT(CODE(MID(Table1[[#This Row],[home_gym_location]],_xlfn.SEQUENCE(LEN(Table1[[#This Row],[home_gym_location]])),1))),"00000")</f>
        <v>01107</v>
      </c>
      <c r="AN140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05" t="str">
        <f>LEFT(_xlfn.TEXTBEFORE(Table1[[#This Row],[Location Identifier]],"-"),3) &amp; "-" &amp; _xlfn.TEXTAFTER(Table1[[#This Row],[Location Identifier]],"-")</f>
        <v>LON-004</v>
      </c>
      <c r="AP1405" s="9">
        <f t="shared" ca="1" si="210"/>
        <v>45869</v>
      </c>
    </row>
    <row r="1406" spans="1:42" x14ac:dyDescent="0.25">
      <c r="A1406">
        <v>34</v>
      </c>
      <c r="B1406" t="s">
        <v>26</v>
      </c>
      <c r="C1406">
        <v>3</v>
      </c>
      <c r="D1406" t="s">
        <v>57</v>
      </c>
      <c r="E1406" t="b">
        <v>1</v>
      </c>
      <c r="F1406" s="1">
        <v>0.44930555555555557</v>
      </c>
      <c r="G1406" s="1">
        <v>0.50208333333333333</v>
      </c>
      <c r="H1406">
        <v>76</v>
      </c>
      <c r="I1406" t="b">
        <v>0</v>
      </c>
      <c r="J1406" t="b">
        <v>1</v>
      </c>
      <c r="K1406" t="b">
        <v>1</v>
      </c>
      <c r="L1406" t="s">
        <v>62</v>
      </c>
      <c r="M1406">
        <v>50</v>
      </c>
      <c r="N1406" t="s">
        <v>29</v>
      </c>
      <c r="O1406">
        <v>50</v>
      </c>
      <c r="P1406" t="s">
        <v>36</v>
      </c>
      <c r="Q1406">
        <v>0</v>
      </c>
      <c r="R1406">
        <v>50</v>
      </c>
      <c r="S1406" t="s">
        <v>31</v>
      </c>
      <c r="T1406" t="s">
        <v>32</v>
      </c>
      <c r="U1406">
        <v>37.338200000000001</v>
      </c>
      <c r="V1406">
        <v>-121.88630000000001</v>
      </c>
      <c r="W1406" s="2">
        <v>45325</v>
      </c>
      <c r="X1406">
        <v>7</v>
      </c>
      <c r="Y1406" t="b">
        <v>1</v>
      </c>
      <c r="Z1406" s="2">
        <v>45832</v>
      </c>
      <c r="AA1406" t="str">
        <f t="shared" si="211"/>
        <v>30–39</v>
      </c>
      <c r="AB1406" t="str">
        <f t="shared" si="212"/>
        <v>30–39</v>
      </c>
      <c r="AC1406" t="str">
        <f t="shared" si="213"/>
        <v/>
      </c>
      <c r="AD1406" t="str">
        <f t="shared" si="214"/>
        <v/>
      </c>
      <c r="AE1406" t="str">
        <f t="shared" si="215"/>
        <v>Wednesday</v>
      </c>
      <c r="AF1406" t="str">
        <f t="shared" si="216"/>
        <v>Thursday</v>
      </c>
      <c r="AG1406" t="str">
        <f t="shared" si="217"/>
        <v/>
      </c>
      <c r="AH1406" t="str">
        <f t="shared" si="218"/>
        <v>Saturday</v>
      </c>
      <c r="AI1406" t="str">
        <f t="shared" si="219"/>
        <v/>
      </c>
      <c r="AJ1406" t="str">
        <f>LEFT(Table1[[#This Row],[membership_type]],2)&amp;TEXT(Table1[[#This Row],[age]],"00")&amp;"-"&amp;TEXT(ROW(),"000")</f>
        <v>Pr34-1406</v>
      </c>
      <c r="AK1406" t="str">
        <f>LEFT(Table1[[#This Row],[membership_type]],1)&amp;TEXT(MATCH(Table1[[#This Row],[membership_type]],Table1[membership_type],0),"00")</f>
        <v>P01</v>
      </c>
      <c r="AL1406" t="str">
        <f>LEFT(Table1[[#This Row],[discount_type]],1)&amp;TEXT(ROUND(Table1[[#This Row],[discount_rate]]*100,0),"00")</f>
        <v>N00</v>
      </c>
      <c r="AM1406" t="str" cm="1">
        <f t="array" ref="AM1406">TEXT(SUMPRODUCT(CODE(MID(Table1[[#This Row],[home_gym_location]],_xlfn.SEQUENCE(LEN(Table1[[#This Row],[home_gym_location]])),1))),"00000")</f>
        <v>00931</v>
      </c>
      <c r="AN140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06" t="str">
        <f>LEFT(_xlfn.TEXTBEFORE(Table1[[#This Row],[Location Identifier]],"-"),3) &amp; "-" &amp; _xlfn.TEXTAFTER(Table1[[#This Row],[Location Identifier]],"-")</f>
        <v>SAN-010</v>
      </c>
      <c r="AP1406" s="9">
        <f t="shared" ca="1" si="210"/>
        <v>45869</v>
      </c>
    </row>
    <row r="1407" spans="1:42" x14ac:dyDescent="0.25">
      <c r="A1407">
        <v>34</v>
      </c>
      <c r="B1407" t="s">
        <v>51</v>
      </c>
      <c r="C1407">
        <v>1</v>
      </c>
      <c r="D1407" t="s">
        <v>49</v>
      </c>
      <c r="E1407" t="b">
        <v>1</v>
      </c>
      <c r="F1407" s="1">
        <v>0.61597222222222225</v>
      </c>
      <c r="G1407" s="1">
        <v>0.7006944444444444</v>
      </c>
      <c r="H1407">
        <v>122</v>
      </c>
      <c r="I1407" t="b">
        <v>1</v>
      </c>
      <c r="J1407" t="b">
        <v>0</v>
      </c>
      <c r="K1407" t="b">
        <v>0</v>
      </c>
      <c r="L1407" t="s">
        <v>62</v>
      </c>
      <c r="M1407">
        <v>70</v>
      </c>
      <c r="N1407" t="s">
        <v>64</v>
      </c>
      <c r="O1407">
        <v>52.5</v>
      </c>
      <c r="P1407" t="s">
        <v>36</v>
      </c>
      <c r="Q1407">
        <v>0</v>
      </c>
      <c r="R1407">
        <v>52.5</v>
      </c>
      <c r="S1407" t="s">
        <v>53</v>
      </c>
      <c r="T1407" t="s">
        <v>50</v>
      </c>
      <c r="U1407">
        <v>34.052199999999999</v>
      </c>
      <c r="V1407">
        <v>-118.2437</v>
      </c>
      <c r="W1407" s="2">
        <v>44931</v>
      </c>
      <c r="X1407">
        <v>0</v>
      </c>
      <c r="Y1407" t="b">
        <v>1</v>
      </c>
      <c r="Z1407" s="2">
        <v>45810</v>
      </c>
      <c r="AA1407" t="str">
        <f t="shared" si="211"/>
        <v>30–39</v>
      </c>
      <c r="AB1407" t="str">
        <f t="shared" si="212"/>
        <v>30–39</v>
      </c>
      <c r="AC1407" t="str">
        <f t="shared" si="213"/>
        <v/>
      </c>
      <c r="AD1407" t="str">
        <f t="shared" si="214"/>
        <v/>
      </c>
      <c r="AE1407" t="str">
        <f t="shared" si="215"/>
        <v/>
      </c>
      <c r="AF1407" t="str">
        <f t="shared" si="216"/>
        <v/>
      </c>
      <c r="AG1407" t="str">
        <f t="shared" si="217"/>
        <v/>
      </c>
      <c r="AH1407" t="str">
        <f t="shared" si="218"/>
        <v/>
      </c>
      <c r="AI1407" t="str">
        <f t="shared" si="219"/>
        <v>Sunday</v>
      </c>
      <c r="AJ1407" t="str">
        <f>LEFT(Table1[[#This Row],[membership_type]],2)&amp;TEXT(Table1[[#This Row],[age]],"00")&amp;"-"&amp;TEXT(ROW(),"000")</f>
        <v>El34-1407</v>
      </c>
      <c r="AK1407" t="str">
        <f>LEFT(Table1[[#This Row],[membership_type]],1)&amp;TEXT(MATCH(Table1[[#This Row],[membership_type]],Table1[membership_type],0),"00")</f>
        <v>E07</v>
      </c>
      <c r="AL1407" t="str">
        <f>LEFT(Table1[[#This Row],[discount_type]],1)&amp;TEXT(ROUND(Table1[[#This Row],[discount_rate]]*100,0),"00")</f>
        <v>N00</v>
      </c>
      <c r="AM1407" t="str" cm="1">
        <f t="array" ref="AM1407">TEXT(SUMPRODUCT(CODE(MID(Table1[[#This Row],[home_gym_location]],_xlfn.SEQUENCE(LEN(Table1[[#This Row],[home_gym_location]])),1))),"00000")</f>
        <v>01245</v>
      </c>
      <c r="AN140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07" t="str">
        <f>LEFT(_xlfn.TEXTBEFORE(Table1[[#This Row],[Location Identifier]],"-"),3) &amp; "-" &amp; _xlfn.TEXTAFTER(Table1[[#This Row],[Location Identifier]],"-")</f>
        <v>LOS-005</v>
      </c>
      <c r="AP1407" s="9">
        <f t="shared" ca="1" si="210"/>
        <v>45869</v>
      </c>
    </row>
    <row r="1408" spans="1:42" x14ac:dyDescent="0.25">
      <c r="A1408">
        <v>18</v>
      </c>
      <c r="B1408" t="s">
        <v>42</v>
      </c>
      <c r="C1408">
        <v>3</v>
      </c>
      <c r="D1408" t="s">
        <v>155</v>
      </c>
      <c r="E1408" t="b">
        <v>1</v>
      </c>
      <c r="F1408" s="1">
        <v>0.60624999999999996</v>
      </c>
      <c r="G1408" s="1">
        <v>0.64930555555555558</v>
      </c>
      <c r="H1408">
        <v>62</v>
      </c>
      <c r="I1408" t="b">
        <v>0</v>
      </c>
      <c r="J1408" t="b">
        <v>0</v>
      </c>
      <c r="K1408" t="b">
        <v>0</v>
      </c>
      <c r="L1408" t="s">
        <v>28</v>
      </c>
      <c r="M1408">
        <v>20</v>
      </c>
      <c r="N1408" t="s">
        <v>64</v>
      </c>
      <c r="O1408">
        <v>15</v>
      </c>
      <c r="P1408" t="s">
        <v>40</v>
      </c>
      <c r="Q1408">
        <v>0.1</v>
      </c>
      <c r="R1408">
        <v>13.5</v>
      </c>
      <c r="S1408" t="s">
        <v>44</v>
      </c>
      <c r="T1408" t="s">
        <v>48</v>
      </c>
      <c r="U1408">
        <v>38.581600000000002</v>
      </c>
      <c r="V1408">
        <v>-121.4944</v>
      </c>
      <c r="W1408" s="2">
        <v>44972</v>
      </c>
      <c r="X1408">
        <v>0</v>
      </c>
      <c r="Y1408" t="b">
        <v>0</v>
      </c>
      <c r="Z1408" s="2">
        <v>45812</v>
      </c>
      <c r="AA1408" t="str">
        <f t="shared" si="211"/>
        <v>10–19</v>
      </c>
      <c r="AB1408" t="str">
        <f t="shared" si="212"/>
        <v>16–19</v>
      </c>
      <c r="AC1408" t="str">
        <f t="shared" si="213"/>
        <v>Monday</v>
      </c>
      <c r="AD1408" t="str">
        <f t="shared" si="214"/>
        <v/>
      </c>
      <c r="AE1408" t="str">
        <f t="shared" si="215"/>
        <v>Wednesday</v>
      </c>
      <c r="AF1408" t="str">
        <f t="shared" si="216"/>
        <v>Thursday</v>
      </c>
      <c r="AG1408" t="str">
        <f t="shared" si="217"/>
        <v/>
      </c>
      <c r="AH1408" t="str">
        <f t="shared" si="218"/>
        <v/>
      </c>
      <c r="AI1408" t="str">
        <f t="shared" si="219"/>
        <v/>
      </c>
      <c r="AJ1408" t="str">
        <f>LEFT(Table1[[#This Row],[membership_type]],2)&amp;TEXT(Table1[[#This Row],[age]],"00")&amp;"-"&amp;TEXT(ROW(),"000")</f>
        <v>Ba18-1408</v>
      </c>
      <c r="AK1408" t="str">
        <f>LEFT(Table1[[#This Row],[membership_type]],1)&amp;TEXT(MATCH(Table1[[#This Row],[membership_type]],Table1[membership_type],0),"00")</f>
        <v>B04</v>
      </c>
      <c r="AL1408" t="str">
        <f>LEFT(Table1[[#This Row],[discount_type]],1)&amp;TEXT(ROUND(Table1[[#This Row],[discount_rate]]*100,0),"00")</f>
        <v>L10</v>
      </c>
      <c r="AM1408" t="str" cm="1">
        <f t="array" ref="AM1408">TEXT(SUMPRODUCT(CODE(MID(Table1[[#This Row],[home_gym_location]],_xlfn.SEQUENCE(LEN(Table1[[#This Row],[home_gym_location]])),1))),"00000")</f>
        <v>01245</v>
      </c>
      <c r="AN140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08" t="str">
        <f>LEFT(_xlfn.TEXTBEFORE(Table1[[#This Row],[Location Identifier]],"-"),3) &amp; "-" &amp; _xlfn.TEXTAFTER(Table1[[#This Row],[Location Identifier]],"-")</f>
        <v>SAC-007</v>
      </c>
      <c r="AP1408" s="9">
        <f t="shared" ca="1" si="210"/>
        <v>45869</v>
      </c>
    </row>
    <row r="1409" spans="1:42" x14ac:dyDescent="0.25">
      <c r="A1409">
        <v>33</v>
      </c>
      <c r="B1409" t="s">
        <v>26</v>
      </c>
      <c r="C1409">
        <v>2</v>
      </c>
      <c r="D1409" t="s">
        <v>103</v>
      </c>
      <c r="E1409" t="b">
        <v>1</v>
      </c>
      <c r="F1409" s="1">
        <v>0.67777777777777781</v>
      </c>
      <c r="G1409" s="1">
        <v>0.75208333333333333</v>
      </c>
      <c r="H1409">
        <v>107</v>
      </c>
      <c r="I1409" t="b">
        <v>1</v>
      </c>
      <c r="J1409" t="b">
        <v>1</v>
      </c>
      <c r="K1409" t="b">
        <v>0</v>
      </c>
      <c r="L1409" t="s">
        <v>28</v>
      </c>
      <c r="M1409">
        <v>50</v>
      </c>
      <c r="N1409" t="s">
        <v>29</v>
      </c>
      <c r="O1409">
        <v>50</v>
      </c>
      <c r="P1409" t="s">
        <v>36</v>
      </c>
      <c r="Q1409">
        <v>0</v>
      </c>
      <c r="R1409">
        <v>50</v>
      </c>
      <c r="S1409" t="s">
        <v>31</v>
      </c>
      <c r="T1409" t="s">
        <v>32</v>
      </c>
      <c r="U1409">
        <v>37.338200000000001</v>
      </c>
      <c r="V1409">
        <v>-121.88630000000001</v>
      </c>
      <c r="W1409" s="2">
        <v>45207</v>
      </c>
      <c r="X1409">
        <v>1</v>
      </c>
      <c r="Y1409" t="b">
        <v>1</v>
      </c>
      <c r="Z1409" s="2">
        <v>45825</v>
      </c>
      <c r="AA1409" t="str">
        <f t="shared" si="211"/>
        <v>30–39</v>
      </c>
      <c r="AB1409" t="str">
        <f t="shared" si="212"/>
        <v>30–39</v>
      </c>
      <c r="AC1409" t="str">
        <f t="shared" si="213"/>
        <v>Monday</v>
      </c>
      <c r="AD1409" t="str">
        <f t="shared" si="214"/>
        <v/>
      </c>
      <c r="AE1409" t="str">
        <f t="shared" si="215"/>
        <v/>
      </c>
      <c r="AF1409" t="str">
        <f t="shared" si="216"/>
        <v/>
      </c>
      <c r="AG1409" t="str">
        <f t="shared" si="217"/>
        <v/>
      </c>
      <c r="AH1409" t="str">
        <f t="shared" si="218"/>
        <v/>
      </c>
      <c r="AI1409" t="str">
        <f t="shared" si="219"/>
        <v>Sunday</v>
      </c>
      <c r="AJ1409" t="str">
        <f>LEFT(Table1[[#This Row],[membership_type]],2)&amp;TEXT(Table1[[#This Row],[age]],"00")&amp;"-"&amp;TEXT(ROW(),"000")</f>
        <v>Pr33-1409</v>
      </c>
      <c r="AK1409" t="str">
        <f>LEFT(Table1[[#This Row],[membership_type]],1)&amp;TEXT(MATCH(Table1[[#This Row],[membership_type]],Table1[membership_type],0),"00")</f>
        <v>P01</v>
      </c>
      <c r="AL1409" t="str">
        <f>LEFT(Table1[[#This Row],[discount_type]],1)&amp;TEXT(ROUND(Table1[[#This Row],[discount_rate]]*100,0),"00")</f>
        <v>N00</v>
      </c>
      <c r="AM1409" t="str" cm="1">
        <f t="array" ref="AM1409">TEXT(SUMPRODUCT(CODE(MID(Table1[[#This Row],[home_gym_location]],_xlfn.SEQUENCE(LEN(Table1[[#This Row],[home_gym_location]])),1))),"00000")</f>
        <v>00931</v>
      </c>
      <c r="AN140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09" t="str">
        <f>LEFT(_xlfn.TEXTBEFORE(Table1[[#This Row],[Location Identifier]],"-"),3) &amp; "-" &amp; _xlfn.TEXTAFTER(Table1[[#This Row],[Location Identifier]],"-")</f>
        <v>SAN-010</v>
      </c>
      <c r="AP1409" s="9">
        <f t="shared" ca="1" si="210"/>
        <v>45869</v>
      </c>
    </row>
    <row r="1410" spans="1:42" x14ac:dyDescent="0.25">
      <c r="A1410">
        <v>29</v>
      </c>
      <c r="B1410" t="s">
        <v>33</v>
      </c>
      <c r="C1410">
        <v>1</v>
      </c>
      <c r="D1410" t="s">
        <v>67</v>
      </c>
      <c r="E1410" t="b">
        <v>1</v>
      </c>
      <c r="F1410" s="1">
        <v>0.43402777777777779</v>
      </c>
      <c r="G1410" s="1">
        <v>0.50277777777777777</v>
      </c>
      <c r="H1410">
        <v>99</v>
      </c>
      <c r="I1410" t="b">
        <v>1</v>
      </c>
      <c r="J1410" t="b">
        <v>1</v>
      </c>
      <c r="K1410" t="b">
        <v>0</v>
      </c>
      <c r="L1410" t="s">
        <v>28</v>
      </c>
      <c r="M1410">
        <v>30</v>
      </c>
      <c r="N1410" t="s">
        <v>29</v>
      </c>
      <c r="O1410">
        <v>30</v>
      </c>
      <c r="P1410" t="s">
        <v>36</v>
      </c>
      <c r="Q1410">
        <v>0</v>
      </c>
      <c r="R1410">
        <v>30</v>
      </c>
      <c r="S1410" t="s">
        <v>37</v>
      </c>
      <c r="T1410" t="s">
        <v>45</v>
      </c>
      <c r="U1410">
        <v>33.836599999999997</v>
      </c>
      <c r="V1410">
        <v>-117.9143</v>
      </c>
      <c r="W1410" s="2">
        <v>44906</v>
      </c>
      <c r="X1410">
        <v>7</v>
      </c>
      <c r="Y1410" t="b">
        <v>0</v>
      </c>
      <c r="Z1410" s="2">
        <v>45808</v>
      </c>
      <c r="AA1410" t="str">
        <f t="shared" si="211"/>
        <v>20–29</v>
      </c>
      <c r="AB1410" t="str">
        <f t="shared" si="212"/>
        <v>20–29</v>
      </c>
      <c r="AC1410" t="str">
        <f t="shared" si="213"/>
        <v/>
      </c>
      <c r="AD1410" t="str">
        <f t="shared" si="214"/>
        <v/>
      </c>
      <c r="AE1410" t="str">
        <f t="shared" si="215"/>
        <v/>
      </c>
      <c r="AF1410" t="str">
        <f t="shared" si="216"/>
        <v>Thursday</v>
      </c>
      <c r="AG1410" t="str">
        <f t="shared" si="217"/>
        <v/>
      </c>
      <c r="AH1410" t="str">
        <f t="shared" si="218"/>
        <v/>
      </c>
      <c r="AI1410" t="str">
        <f t="shared" si="219"/>
        <v/>
      </c>
      <c r="AJ1410" t="str">
        <f>LEFT(Table1[[#This Row],[membership_type]],2)&amp;TEXT(Table1[[#This Row],[age]],"00")&amp;"-"&amp;TEXT(ROW(),"000")</f>
        <v>St29-1410</v>
      </c>
      <c r="AK1410" t="str">
        <f>LEFT(Table1[[#This Row],[membership_type]],1)&amp;TEXT(MATCH(Table1[[#This Row],[membership_type]],Table1[membership_type],0),"00")</f>
        <v>S02</v>
      </c>
      <c r="AL1410" t="str">
        <f>LEFT(Table1[[#This Row],[discount_type]],1)&amp;TEXT(ROUND(Table1[[#This Row],[discount_rate]]*100,0),"00")</f>
        <v>N00</v>
      </c>
      <c r="AM1410" t="str" cm="1">
        <f t="array" ref="AM1410">TEXT(SUMPRODUCT(CODE(MID(Table1[[#This Row],[home_gym_location]],_xlfn.SEQUENCE(LEN(Table1[[#This Row],[home_gym_location]])),1))),"00000")</f>
        <v>00899</v>
      </c>
      <c r="AN141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10" t="str">
        <f>LEFT(_xlfn.TEXTBEFORE(Table1[[#This Row],[Location Identifier]],"-"),3) &amp; "-" &amp; _xlfn.TEXTAFTER(Table1[[#This Row],[Location Identifier]],"-")</f>
        <v>ANA-001</v>
      </c>
      <c r="AP1410" s="9">
        <f t="shared" ref="AP1410:AP1473" ca="1" si="220">EOMONTH(DATE(YEAR(TODAY()),7,1),0)</f>
        <v>45869</v>
      </c>
    </row>
    <row r="1411" spans="1:42" x14ac:dyDescent="0.25">
      <c r="A1411">
        <v>17</v>
      </c>
      <c r="B1411" t="s">
        <v>42</v>
      </c>
      <c r="C1411">
        <v>1</v>
      </c>
      <c r="D1411" t="s">
        <v>75</v>
      </c>
      <c r="E1411" t="b">
        <v>0</v>
      </c>
      <c r="F1411" s="1">
        <v>0.70763888888888893</v>
      </c>
      <c r="G1411" s="1">
        <v>0.77847222222222223</v>
      </c>
      <c r="H1411">
        <v>102</v>
      </c>
      <c r="I1411" t="b">
        <v>1</v>
      </c>
      <c r="J1411" t="b">
        <v>0</v>
      </c>
      <c r="K1411" t="b">
        <v>0</v>
      </c>
      <c r="L1411" t="s">
        <v>28</v>
      </c>
      <c r="M1411">
        <v>20</v>
      </c>
      <c r="N1411" t="s">
        <v>29</v>
      </c>
      <c r="O1411">
        <v>20</v>
      </c>
      <c r="P1411" t="s">
        <v>30</v>
      </c>
      <c r="Q1411">
        <v>0.05</v>
      </c>
      <c r="R1411">
        <v>19</v>
      </c>
      <c r="S1411" t="s">
        <v>44</v>
      </c>
      <c r="T1411" t="s">
        <v>38</v>
      </c>
      <c r="U1411">
        <v>36.7378</v>
      </c>
      <c r="V1411">
        <v>-119.7871</v>
      </c>
      <c r="W1411" s="2">
        <v>45611</v>
      </c>
      <c r="X1411">
        <v>0</v>
      </c>
      <c r="Y1411" t="b">
        <v>0</v>
      </c>
      <c r="Z1411" s="2">
        <v>45848</v>
      </c>
      <c r="AA1411" t="str">
        <f t="shared" ref="AA1411:AA1474" si="221">TEXT(10*INT($A1411/10),"0")&amp;"–"&amp;TEXT(10*INT($A1411/10)+9,"0")</f>
        <v>10–19</v>
      </c>
      <c r="AB1411" t="str">
        <f t="shared" ref="AB1411:AB1474" si="222">IF(AND($AA1411 = "10–19", $A1411 &lt; 16), "Under 16", IF(AND($AA1411 = "10–19", $A1411 &gt;= 16), "16–19", $AA1411))</f>
        <v>16–19</v>
      </c>
      <c r="AC1411" t="str">
        <f t="shared" ref="AC1411:AC1474" si="223">IF(ISNUMBER(SEARCH("Mon", $D1411)), "Monday", "")</f>
        <v/>
      </c>
      <c r="AD1411" t="str">
        <f t="shared" ref="AD1411:AD1474" si="224">IF(ISNUMBER(SEARCH("Tue", $D1411)), "Tuesday", "")</f>
        <v/>
      </c>
      <c r="AE1411" t="str">
        <f t="shared" ref="AE1411:AE1474" si="225">IF(ISNUMBER(SEARCH("Wed", $D1411)), "Wednesday", "")</f>
        <v/>
      </c>
      <c r="AF1411" t="str">
        <f t="shared" ref="AF1411:AF1474" si="226">IF(ISNUMBER(SEARCH("Thu", $D1411)), "Thursday", "")</f>
        <v/>
      </c>
      <c r="AG1411" t="str">
        <f t="shared" ref="AG1411:AG1474" si="227">IF(ISNUMBER(SEARCH("Fri", $D1411)), "Friday", "")</f>
        <v>Friday</v>
      </c>
      <c r="AH1411" t="str">
        <f t="shared" ref="AH1411:AH1474" si="228">IF(ISNUMBER(SEARCH("Sat", $D1411)), "Saturday", "")</f>
        <v/>
      </c>
      <c r="AI1411" t="str">
        <f t="shared" ref="AI1411:AI1474" si="229">IF(ISNUMBER(SEARCH("Sun", $D1411)), "Sunday", "")</f>
        <v/>
      </c>
      <c r="AJ1411" t="str">
        <f>LEFT(Table1[[#This Row],[membership_type]],2)&amp;TEXT(Table1[[#This Row],[age]],"00")&amp;"-"&amp;TEXT(ROW(),"000")</f>
        <v>Ba17-1411</v>
      </c>
      <c r="AK1411" t="str">
        <f>LEFT(Table1[[#This Row],[membership_type]],1)&amp;TEXT(MATCH(Table1[[#This Row],[membership_type]],Table1[membership_type],0),"00")</f>
        <v>B04</v>
      </c>
      <c r="AL1411" t="str">
        <f>LEFT(Table1[[#This Row],[discount_type]],1)&amp;TEXT(ROUND(Table1[[#This Row],[discount_rate]]*100,0),"00")</f>
        <v>P05</v>
      </c>
      <c r="AM1411" t="str" cm="1">
        <f t="array" ref="AM1411">TEXT(SUMPRODUCT(CODE(MID(Table1[[#This Row],[home_gym_location]],_xlfn.SEQUENCE(LEN(Table1[[#This Row],[home_gym_location]])),1))),"00000")</f>
        <v>00829</v>
      </c>
      <c r="AN1411" t="str">
        <f>UPPER(_xlfn.TEXTBEFORE(Table1[[#This Row],[home_gym_location]],","))&amp;"-"&amp;TEXT(MATCH(Table1[[#This Row],[home_gym_location]],_xlfn._xlws.SORT(_xlfn.UNIQUE(Table1[home_gym_location])),0),"000")</f>
        <v>FRESNO-003</v>
      </c>
      <c r="AO1411" t="str">
        <f>LEFT(_xlfn.TEXTBEFORE(Table1[[#This Row],[Location Identifier]],"-"),3) &amp; "-" &amp; _xlfn.TEXTAFTER(Table1[[#This Row],[Location Identifier]],"-")</f>
        <v>FRE-003</v>
      </c>
      <c r="AP1411" s="9">
        <f t="shared" ca="1" si="220"/>
        <v>45869</v>
      </c>
    </row>
    <row r="1412" spans="1:42" x14ac:dyDescent="0.25">
      <c r="A1412">
        <v>43</v>
      </c>
      <c r="B1412" t="s">
        <v>26</v>
      </c>
      <c r="C1412">
        <v>3</v>
      </c>
      <c r="D1412" t="s">
        <v>102</v>
      </c>
      <c r="E1412" t="b">
        <v>1</v>
      </c>
      <c r="F1412" s="1">
        <v>0.56944444444444442</v>
      </c>
      <c r="G1412" s="1">
        <v>0.68472222222222223</v>
      </c>
      <c r="H1412">
        <v>166</v>
      </c>
      <c r="I1412" t="b">
        <v>1</v>
      </c>
      <c r="J1412" t="b">
        <v>1</v>
      </c>
      <c r="K1412" t="b">
        <v>1</v>
      </c>
      <c r="L1412" t="s">
        <v>58</v>
      </c>
      <c r="M1412">
        <v>50</v>
      </c>
      <c r="N1412" t="s">
        <v>78</v>
      </c>
      <c r="O1412">
        <v>45</v>
      </c>
      <c r="P1412" t="s">
        <v>40</v>
      </c>
      <c r="Q1412">
        <v>0.1</v>
      </c>
      <c r="R1412">
        <v>40.5</v>
      </c>
      <c r="S1412" t="s">
        <v>31</v>
      </c>
      <c r="T1412" t="s">
        <v>50</v>
      </c>
      <c r="U1412">
        <v>34.052199999999999</v>
      </c>
      <c r="V1412">
        <v>-118.2437</v>
      </c>
      <c r="W1412" s="2">
        <v>45711</v>
      </c>
      <c r="X1412">
        <v>8</v>
      </c>
      <c r="Y1412" t="b">
        <v>1</v>
      </c>
      <c r="Z1412" s="2">
        <v>45854</v>
      </c>
      <c r="AA1412" t="str">
        <f t="shared" si="221"/>
        <v>40–49</v>
      </c>
      <c r="AB1412" t="str">
        <f t="shared" si="222"/>
        <v>40–49</v>
      </c>
      <c r="AC1412" t="str">
        <f t="shared" si="223"/>
        <v/>
      </c>
      <c r="AD1412" t="str">
        <f t="shared" si="224"/>
        <v/>
      </c>
      <c r="AE1412" t="str">
        <f t="shared" si="225"/>
        <v/>
      </c>
      <c r="AF1412" t="str">
        <f t="shared" si="226"/>
        <v>Thursday</v>
      </c>
      <c r="AG1412" t="str">
        <f t="shared" si="227"/>
        <v>Friday</v>
      </c>
      <c r="AH1412" t="str">
        <f t="shared" si="228"/>
        <v>Saturday</v>
      </c>
      <c r="AI1412" t="str">
        <f t="shared" si="229"/>
        <v/>
      </c>
      <c r="AJ1412" t="str">
        <f>LEFT(Table1[[#This Row],[membership_type]],2)&amp;TEXT(Table1[[#This Row],[age]],"00")&amp;"-"&amp;TEXT(ROW(),"000")</f>
        <v>Pr43-1412</v>
      </c>
      <c r="AK1412" t="str">
        <f>LEFT(Table1[[#This Row],[membership_type]],1)&amp;TEXT(MATCH(Table1[[#This Row],[membership_type]],Table1[membership_type],0),"00")</f>
        <v>P01</v>
      </c>
      <c r="AL1412" t="str">
        <f>LEFT(Table1[[#This Row],[discount_type]],1)&amp;TEXT(ROUND(Table1[[#This Row],[discount_rate]]*100,0),"00")</f>
        <v>L10</v>
      </c>
      <c r="AM1412" t="str" cm="1">
        <f t="array" ref="AM1412">TEXT(SUMPRODUCT(CODE(MID(Table1[[#This Row],[home_gym_location]],_xlfn.SEQUENCE(LEN(Table1[[#This Row],[home_gym_location]])),1))),"00000")</f>
        <v>01245</v>
      </c>
      <c r="AN141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12" t="str">
        <f>LEFT(_xlfn.TEXTBEFORE(Table1[[#This Row],[Location Identifier]],"-"),3) &amp; "-" &amp; _xlfn.TEXTAFTER(Table1[[#This Row],[Location Identifier]],"-")</f>
        <v>LOS-005</v>
      </c>
      <c r="AP1412" s="9">
        <f t="shared" ca="1" si="220"/>
        <v>45869</v>
      </c>
    </row>
    <row r="1413" spans="1:42" x14ac:dyDescent="0.25">
      <c r="A1413">
        <v>20</v>
      </c>
      <c r="B1413" t="s">
        <v>42</v>
      </c>
      <c r="C1413">
        <v>4</v>
      </c>
      <c r="D1413" t="s">
        <v>151</v>
      </c>
      <c r="E1413" t="b">
        <v>0</v>
      </c>
      <c r="F1413" s="1">
        <v>0.49375000000000002</v>
      </c>
      <c r="G1413" s="1">
        <v>0.59791666666666665</v>
      </c>
      <c r="H1413">
        <v>150</v>
      </c>
      <c r="I1413" t="b">
        <v>1</v>
      </c>
      <c r="J1413" t="b">
        <v>1</v>
      </c>
      <c r="K1413" t="b">
        <v>0</v>
      </c>
      <c r="L1413" t="s">
        <v>62</v>
      </c>
      <c r="M1413">
        <v>20</v>
      </c>
      <c r="N1413" t="s">
        <v>29</v>
      </c>
      <c r="O1413">
        <v>20</v>
      </c>
      <c r="P1413" t="s">
        <v>30</v>
      </c>
      <c r="Q1413">
        <v>0.05</v>
      </c>
      <c r="R1413">
        <v>19</v>
      </c>
      <c r="S1413" t="s">
        <v>44</v>
      </c>
      <c r="T1413" t="s">
        <v>56</v>
      </c>
      <c r="U1413">
        <v>35.3733</v>
      </c>
      <c r="V1413">
        <v>-119.0187</v>
      </c>
      <c r="W1413" s="2">
        <v>45543</v>
      </c>
      <c r="X1413">
        <v>1</v>
      </c>
      <c r="Y1413" t="b">
        <v>1</v>
      </c>
      <c r="Z1413" s="2">
        <v>45844</v>
      </c>
      <c r="AA1413" t="str">
        <f t="shared" si="221"/>
        <v>20–29</v>
      </c>
      <c r="AB1413" t="str">
        <f t="shared" si="222"/>
        <v>20–29</v>
      </c>
      <c r="AC1413" t="str">
        <f t="shared" si="223"/>
        <v/>
      </c>
      <c r="AD1413" t="str">
        <f t="shared" si="224"/>
        <v>Tuesday</v>
      </c>
      <c r="AE1413" t="str">
        <f t="shared" si="225"/>
        <v>Wednesday</v>
      </c>
      <c r="AF1413" t="str">
        <f t="shared" si="226"/>
        <v>Thursday</v>
      </c>
      <c r="AG1413" t="str">
        <f t="shared" si="227"/>
        <v>Friday</v>
      </c>
      <c r="AH1413" t="str">
        <f t="shared" si="228"/>
        <v/>
      </c>
      <c r="AI1413" t="str">
        <f t="shared" si="229"/>
        <v/>
      </c>
      <c r="AJ1413" t="str">
        <f>LEFT(Table1[[#This Row],[membership_type]],2)&amp;TEXT(Table1[[#This Row],[age]],"00")&amp;"-"&amp;TEXT(ROW(),"000")</f>
        <v>Ba20-1413</v>
      </c>
      <c r="AK1413" t="str">
        <f>LEFT(Table1[[#This Row],[membership_type]],1)&amp;TEXT(MATCH(Table1[[#This Row],[membership_type]],Table1[membership_type],0),"00")</f>
        <v>B04</v>
      </c>
      <c r="AL1413" t="str">
        <f>LEFT(Table1[[#This Row],[discount_type]],1)&amp;TEXT(ROUND(Table1[[#This Row],[discount_rate]]*100,0),"00")</f>
        <v>P05</v>
      </c>
      <c r="AM1413" t="str" cm="1">
        <f t="array" ref="AM1413">TEXT(SUMPRODUCT(CODE(MID(Table1[[#This Row],[home_gym_location]],_xlfn.SEQUENCE(LEN(Table1[[#This Row],[home_gym_location]])),1))),"00000")</f>
        <v>01324</v>
      </c>
      <c r="AN141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13" t="str">
        <f>LEFT(_xlfn.TEXTBEFORE(Table1[[#This Row],[Location Identifier]],"-"),3) &amp; "-" &amp; _xlfn.TEXTAFTER(Table1[[#This Row],[Location Identifier]],"-")</f>
        <v>BAK-002</v>
      </c>
      <c r="AP1413" s="9">
        <f t="shared" ca="1" si="220"/>
        <v>45869</v>
      </c>
    </row>
    <row r="1414" spans="1:42" x14ac:dyDescent="0.25">
      <c r="A1414">
        <v>43</v>
      </c>
      <c r="B1414" t="s">
        <v>42</v>
      </c>
      <c r="C1414">
        <v>2</v>
      </c>
      <c r="D1414" t="s">
        <v>141</v>
      </c>
      <c r="E1414" t="b">
        <v>0</v>
      </c>
      <c r="F1414" s="1">
        <v>0.54861111111111116</v>
      </c>
      <c r="G1414" s="1">
        <v>0.60069444444444442</v>
      </c>
      <c r="H1414">
        <v>75</v>
      </c>
      <c r="I1414" t="b">
        <v>0</v>
      </c>
      <c r="J1414" t="b">
        <v>1</v>
      </c>
      <c r="K1414" t="b">
        <v>1</v>
      </c>
      <c r="L1414" t="s">
        <v>62</v>
      </c>
      <c r="M1414">
        <v>20</v>
      </c>
      <c r="N1414" t="s">
        <v>29</v>
      </c>
      <c r="O1414">
        <v>20</v>
      </c>
      <c r="P1414" t="s">
        <v>74</v>
      </c>
      <c r="Q1414">
        <v>0.15</v>
      </c>
      <c r="R1414">
        <v>17</v>
      </c>
      <c r="S1414" t="s">
        <v>44</v>
      </c>
      <c r="T1414" t="s">
        <v>65</v>
      </c>
      <c r="U1414">
        <v>33.770099999999999</v>
      </c>
      <c r="V1414">
        <v>-118.19370000000001</v>
      </c>
      <c r="W1414" s="2">
        <v>45770</v>
      </c>
      <c r="X1414">
        <v>6</v>
      </c>
      <c r="Y1414" t="b">
        <v>0</v>
      </c>
      <c r="Z1414" s="2">
        <v>45857</v>
      </c>
      <c r="AA1414" t="str">
        <f t="shared" si="221"/>
        <v>40–49</v>
      </c>
      <c r="AB1414" t="str">
        <f t="shared" si="222"/>
        <v>40–49</v>
      </c>
      <c r="AC1414" t="str">
        <f t="shared" si="223"/>
        <v/>
      </c>
      <c r="AD1414" t="str">
        <f t="shared" si="224"/>
        <v/>
      </c>
      <c r="AE1414" t="str">
        <f t="shared" si="225"/>
        <v>Wednesday</v>
      </c>
      <c r="AF1414" t="str">
        <f t="shared" si="226"/>
        <v/>
      </c>
      <c r="AG1414" t="str">
        <f t="shared" si="227"/>
        <v>Friday</v>
      </c>
      <c r="AH1414" t="str">
        <f t="shared" si="228"/>
        <v/>
      </c>
      <c r="AI1414" t="str">
        <f t="shared" si="229"/>
        <v/>
      </c>
      <c r="AJ1414" t="str">
        <f>LEFT(Table1[[#This Row],[membership_type]],2)&amp;TEXT(Table1[[#This Row],[age]],"00")&amp;"-"&amp;TEXT(ROW(),"000")</f>
        <v>Ba43-1414</v>
      </c>
      <c r="AK1414" t="str">
        <f>LEFT(Table1[[#This Row],[membership_type]],1)&amp;TEXT(MATCH(Table1[[#This Row],[membership_type]],Table1[membership_type],0),"00")</f>
        <v>B04</v>
      </c>
      <c r="AL1414" t="str">
        <f>LEFT(Table1[[#This Row],[discount_type]],1)&amp;TEXT(ROUND(Table1[[#This Row],[discount_rate]]*100,0),"00")</f>
        <v>S15</v>
      </c>
      <c r="AM1414" t="str" cm="1">
        <f t="array" ref="AM1414">TEXT(SUMPRODUCT(CODE(MID(Table1[[#This Row],[home_gym_location]],_xlfn.SEQUENCE(LEN(Table1[[#This Row],[home_gym_location]])),1))),"00000")</f>
        <v>01107</v>
      </c>
      <c r="AN141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14" t="str">
        <f>LEFT(_xlfn.TEXTBEFORE(Table1[[#This Row],[Location Identifier]],"-"),3) &amp; "-" &amp; _xlfn.TEXTAFTER(Table1[[#This Row],[Location Identifier]],"-")</f>
        <v>LON-004</v>
      </c>
      <c r="AP1414" s="9">
        <f t="shared" ca="1" si="220"/>
        <v>45869</v>
      </c>
    </row>
    <row r="1415" spans="1:42" x14ac:dyDescent="0.25">
      <c r="A1415">
        <v>27</v>
      </c>
      <c r="B1415" t="s">
        <v>33</v>
      </c>
      <c r="C1415">
        <v>3</v>
      </c>
      <c r="D1415" t="s">
        <v>121</v>
      </c>
      <c r="E1415" t="b">
        <v>1</v>
      </c>
      <c r="F1415" s="1">
        <v>0.85347222222222219</v>
      </c>
      <c r="G1415" s="1">
        <v>0.89930555555555558</v>
      </c>
      <c r="H1415">
        <v>66</v>
      </c>
      <c r="I1415" t="b">
        <v>0</v>
      </c>
      <c r="J1415" t="b">
        <v>1</v>
      </c>
      <c r="K1415" t="b">
        <v>0</v>
      </c>
      <c r="L1415" t="s">
        <v>28</v>
      </c>
      <c r="M1415">
        <v>30</v>
      </c>
      <c r="N1415" t="s">
        <v>29</v>
      </c>
      <c r="O1415">
        <v>30</v>
      </c>
      <c r="P1415" t="s">
        <v>74</v>
      </c>
      <c r="Q1415">
        <v>0.15</v>
      </c>
      <c r="R1415">
        <v>25.5</v>
      </c>
      <c r="S1415" t="s">
        <v>37</v>
      </c>
      <c r="T1415" t="s">
        <v>45</v>
      </c>
      <c r="U1415">
        <v>33.836599999999997</v>
      </c>
      <c r="V1415">
        <v>-117.9143</v>
      </c>
      <c r="W1415" s="2">
        <v>45265</v>
      </c>
      <c r="X1415">
        <v>4</v>
      </c>
      <c r="Y1415" t="b">
        <v>1</v>
      </c>
      <c r="Z1415" s="2">
        <v>45829</v>
      </c>
      <c r="AA1415" t="str">
        <f t="shared" si="221"/>
        <v>20–29</v>
      </c>
      <c r="AB1415" t="str">
        <f t="shared" si="222"/>
        <v>20–29</v>
      </c>
      <c r="AC1415" t="str">
        <f t="shared" si="223"/>
        <v>Monday</v>
      </c>
      <c r="AD1415" t="str">
        <f t="shared" si="224"/>
        <v>Tuesday</v>
      </c>
      <c r="AE1415" t="str">
        <f t="shared" si="225"/>
        <v/>
      </c>
      <c r="AF1415" t="str">
        <f t="shared" si="226"/>
        <v/>
      </c>
      <c r="AG1415" t="str">
        <f t="shared" si="227"/>
        <v/>
      </c>
      <c r="AH1415" t="str">
        <f t="shared" si="228"/>
        <v/>
      </c>
      <c r="AI1415" t="str">
        <f t="shared" si="229"/>
        <v>Sunday</v>
      </c>
      <c r="AJ1415" t="str">
        <f>LEFT(Table1[[#This Row],[membership_type]],2)&amp;TEXT(Table1[[#This Row],[age]],"00")&amp;"-"&amp;TEXT(ROW(),"000")</f>
        <v>St27-1415</v>
      </c>
      <c r="AK1415" t="str">
        <f>LEFT(Table1[[#This Row],[membership_type]],1)&amp;TEXT(MATCH(Table1[[#This Row],[membership_type]],Table1[membership_type],0),"00")</f>
        <v>S02</v>
      </c>
      <c r="AL1415" t="str">
        <f>LEFT(Table1[[#This Row],[discount_type]],1)&amp;TEXT(ROUND(Table1[[#This Row],[discount_rate]]*100,0),"00")</f>
        <v>S15</v>
      </c>
      <c r="AM1415" t="str" cm="1">
        <f t="array" ref="AM1415">TEXT(SUMPRODUCT(CODE(MID(Table1[[#This Row],[home_gym_location]],_xlfn.SEQUENCE(LEN(Table1[[#This Row],[home_gym_location]])),1))),"00000")</f>
        <v>00899</v>
      </c>
      <c r="AN141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15" t="str">
        <f>LEFT(_xlfn.TEXTBEFORE(Table1[[#This Row],[Location Identifier]],"-"),3) &amp; "-" &amp; _xlfn.TEXTAFTER(Table1[[#This Row],[Location Identifier]],"-")</f>
        <v>ANA-001</v>
      </c>
      <c r="AP1415" s="9">
        <f t="shared" ca="1" si="220"/>
        <v>45869</v>
      </c>
    </row>
    <row r="1416" spans="1:42" x14ac:dyDescent="0.25">
      <c r="A1416">
        <v>20</v>
      </c>
      <c r="B1416" t="s">
        <v>42</v>
      </c>
      <c r="C1416">
        <v>5</v>
      </c>
      <c r="D1416" t="s">
        <v>76</v>
      </c>
      <c r="E1416" t="b">
        <v>0</v>
      </c>
      <c r="F1416" s="1">
        <v>0.76041666666666663</v>
      </c>
      <c r="G1416" s="1">
        <v>0.87083333333333335</v>
      </c>
      <c r="H1416">
        <v>159</v>
      </c>
      <c r="I1416" t="b">
        <v>0</v>
      </c>
      <c r="J1416" t="b">
        <v>1</v>
      </c>
      <c r="K1416" t="b">
        <v>1</v>
      </c>
      <c r="L1416" t="s">
        <v>58</v>
      </c>
      <c r="M1416">
        <v>20</v>
      </c>
      <c r="N1416" t="s">
        <v>64</v>
      </c>
      <c r="O1416">
        <v>15</v>
      </c>
      <c r="P1416" t="s">
        <v>36</v>
      </c>
      <c r="Q1416">
        <v>0</v>
      </c>
      <c r="R1416">
        <v>15</v>
      </c>
      <c r="S1416" t="s">
        <v>44</v>
      </c>
      <c r="T1416" t="s">
        <v>48</v>
      </c>
      <c r="U1416">
        <v>38.581600000000002</v>
      </c>
      <c r="V1416">
        <v>-121.4944</v>
      </c>
      <c r="W1416" s="2">
        <v>44833</v>
      </c>
      <c r="X1416">
        <v>5</v>
      </c>
      <c r="Y1416" t="b">
        <v>0</v>
      </c>
      <c r="Z1416" s="2">
        <v>45804</v>
      </c>
      <c r="AA1416" t="str">
        <f t="shared" si="221"/>
        <v>20–29</v>
      </c>
      <c r="AB1416" t="str">
        <f t="shared" si="222"/>
        <v>20–29</v>
      </c>
      <c r="AC1416" t="str">
        <f t="shared" si="223"/>
        <v>Monday</v>
      </c>
      <c r="AD1416" t="str">
        <f t="shared" si="224"/>
        <v>Tuesday</v>
      </c>
      <c r="AE1416" t="str">
        <f t="shared" si="225"/>
        <v>Wednesday</v>
      </c>
      <c r="AF1416" t="str">
        <f t="shared" si="226"/>
        <v>Thursday</v>
      </c>
      <c r="AG1416" t="str">
        <f t="shared" si="227"/>
        <v/>
      </c>
      <c r="AH1416" t="str">
        <f t="shared" si="228"/>
        <v/>
      </c>
      <c r="AI1416" t="str">
        <f t="shared" si="229"/>
        <v>Sunday</v>
      </c>
      <c r="AJ1416" t="str">
        <f>LEFT(Table1[[#This Row],[membership_type]],2)&amp;TEXT(Table1[[#This Row],[age]],"00")&amp;"-"&amp;TEXT(ROW(),"000")</f>
        <v>Ba20-1416</v>
      </c>
      <c r="AK1416" t="str">
        <f>LEFT(Table1[[#This Row],[membership_type]],1)&amp;TEXT(MATCH(Table1[[#This Row],[membership_type]],Table1[membership_type],0),"00")</f>
        <v>B04</v>
      </c>
      <c r="AL1416" t="str">
        <f>LEFT(Table1[[#This Row],[discount_type]],1)&amp;TEXT(ROUND(Table1[[#This Row],[discount_rate]]*100,0),"00")</f>
        <v>N00</v>
      </c>
      <c r="AM1416" t="str" cm="1">
        <f t="array" ref="AM1416">TEXT(SUMPRODUCT(CODE(MID(Table1[[#This Row],[home_gym_location]],_xlfn.SEQUENCE(LEN(Table1[[#This Row],[home_gym_location]])),1))),"00000")</f>
        <v>01245</v>
      </c>
      <c r="AN141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16" t="str">
        <f>LEFT(_xlfn.TEXTBEFORE(Table1[[#This Row],[Location Identifier]],"-"),3) &amp; "-" &amp; _xlfn.TEXTAFTER(Table1[[#This Row],[Location Identifier]],"-")</f>
        <v>SAC-007</v>
      </c>
      <c r="AP1416" s="9">
        <f t="shared" ca="1" si="220"/>
        <v>45869</v>
      </c>
    </row>
    <row r="1417" spans="1:42" x14ac:dyDescent="0.25">
      <c r="A1417">
        <v>45</v>
      </c>
      <c r="B1417" t="s">
        <v>42</v>
      </c>
      <c r="C1417">
        <v>3</v>
      </c>
      <c r="D1417" t="s">
        <v>82</v>
      </c>
      <c r="E1417" t="b">
        <v>0</v>
      </c>
      <c r="F1417" s="1">
        <v>0.43125000000000002</v>
      </c>
      <c r="G1417" s="1">
        <v>0.52638888888888891</v>
      </c>
      <c r="H1417">
        <v>137</v>
      </c>
      <c r="I1417" t="b">
        <v>0</v>
      </c>
      <c r="J1417" t="b">
        <v>1</v>
      </c>
      <c r="K1417" t="b">
        <v>1</v>
      </c>
      <c r="L1417" t="s">
        <v>28</v>
      </c>
      <c r="M1417">
        <v>20</v>
      </c>
      <c r="N1417" t="s">
        <v>29</v>
      </c>
      <c r="O1417">
        <v>20</v>
      </c>
      <c r="P1417" t="s">
        <v>74</v>
      </c>
      <c r="Q1417">
        <v>0.15</v>
      </c>
      <c r="R1417">
        <v>17</v>
      </c>
      <c r="S1417" t="s">
        <v>44</v>
      </c>
      <c r="T1417" t="s">
        <v>48</v>
      </c>
      <c r="U1417">
        <v>38.581600000000002</v>
      </c>
      <c r="V1417">
        <v>-121.4944</v>
      </c>
      <c r="W1417" s="2">
        <v>45789</v>
      </c>
      <c r="X1417">
        <v>6</v>
      </c>
      <c r="Y1417" t="b">
        <v>1</v>
      </c>
      <c r="Z1417" s="2">
        <v>45858</v>
      </c>
      <c r="AA1417" t="str">
        <f t="shared" si="221"/>
        <v>40–49</v>
      </c>
      <c r="AB1417" t="str">
        <f t="shared" si="222"/>
        <v>40–49</v>
      </c>
      <c r="AC1417" t="str">
        <f t="shared" si="223"/>
        <v/>
      </c>
      <c r="AD1417" t="str">
        <f t="shared" si="224"/>
        <v/>
      </c>
      <c r="AE1417" t="str">
        <f t="shared" si="225"/>
        <v/>
      </c>
      <c r="AF1417" t="str">
        <f t="shared" si="226"/>
        <v/>
      </c>
      <c r="AG1417" t="str">
        <f t="shared" si="227"/>
        <v>Friday</v>
      </c>
      <c r="AH1417" t="str">
        <f t="shared" si="228"/>
        <v>Saturday</v>
      </c>
      <c r="AI1417" t="str">
        <f t="shared" si="229"/>
        <v>Sunday</v>
      </c>
      <c r="AJ1417" t="str">
        <f>LEFT(Table1[[#This Row],[membership_type]],2)&amp;TEXT(Table1[[#This Row],[age]],"00")&amp;"-"&amp;TEXT(ROW(),"000")</f>
        <v>Ba45-1417</v>
      </c>
      <c r="AK1417" t="str">
        <f>LEFT(Table1[[#This Row],[membership_type]],1)&amp;TEXT(MATCH(Table1[[#This Row],[membership_type]],Table1[membership_type],0),"00")</f>
        <v>B04</v>
      </c>
      <c r="AL1417" t="str">
        <f>LEFT(Table1[[#This Row],[discount_type]],1)&amp;TEXT(ROUND(Table1[[#This Row],[discount_rate]]*100,0),"00")</f>
        <v>S15</v>
      </c>
      <c r="AM1417" t="str" cm="1">
        <f t="array" ref="AM1417">TEXT(SUMPRODUCT(CODE(MID(Table1[[#This Row],[home_gym_location]],_xlfn.SEQUENCE(LEN(Table1[[#This Row],[home_gym_location]])),1))),"00000")</f>
        <v>01245</v>
      </c>
      <c r="AN141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17" t="str">
        <f>LEFT(_xlfn.TEXTBEFORE(Table1[[#This Row],[Location Identifier]],"-"),3) &amp; "-" &amp; _xlfn.TEXTAFTER(Table1[[#This Row],[Location Identifier]],"-")</f>
        <v>SAC-007</v>
      </c>
      <c r="AP1417" s="9">
        <f t="shared" ca="1" si="220"/>
        <v>45869</v>
      </c>
    </row>
    <row r="1418" spans="1:42" x14ac:dyDescent="0.25">
      <c r="A1418">
        <v>27</v>
      </c>
      <c r="B1418" t="s">
        <v>26</v>
      </c>
      <c r="C1418">
        <v>4</v>
      </c>
      <c r="D1418" t="s">
        <v>39</v>
      </c>
      <c r="E1418" t="b">
        <v>0</v>
      </c>
      <c r="F1418" s="1">
        <v>0.49236111111111114</v>
      </c>
      <c r="G1418" s="1">
        <v>0.60069444444444442</v>
      </c>
      <c r="H1418">
        <v>156</v>
      </c>
      <c r="I1418" t="b">
        <v>1</v>
      </c>
      <c r="J1418" t="b">
        <v>1</v>
      </c>
      <c r="K1418" t="b">
        <v>0</v>
      </c>
      <c r="L1418" t="s">
        <v>28</v>
      </c>
      <c r="M1418">
        <v>50</v>
      </c>
      <c r="N1418" t="s">
        <v>64</v>
      </c>
      <c r="O1418">
        <v>37.5</v>
      </c>
      <c r="P1418" t="s">
        <v>36</v>
      </c>
      <c r="Q1418">
        <v>0</v>
      </c>
      <c r="R1418">
        <v>37.5</v>
      </c>
      <c r="S1418" t="s">
        <v>31</v>
      </c>
      <c r="T1418" t="s">
        <v>54</v>
      </c>
      <c r="U1418">
        <v>32.715699999999998</v>
      </c>
      <c r="V1418">
        <v>-117.1611</v>
      </c>
      <c r="W1418" s="2">
        <v>45700</v>
      </c>
      <c r="X1418">
        <v>3</v>
      </c>
      <c r="Y1418" t="b">
        <v>1</v>
      </c>
      <c r="Z1418" s="2">
        <v>45853</v>
      </c>
      <c r="AA1418" t="str">
        <f t="shared" si="221"/>
        <v>20–29</v>
      </c>
      <c r="AB1418" t="str">
        <f t="shared" si="222"/>
        <v>20–29</v>
      </c>
      <c r="AC1418" t="str">
        <f t="shared" si="223"/>
        <v/>
      </c>
      <c r="AD1418" t="str">
        <f t="shared" si="224"/>
        <v>Tuesday</v>
      </c>
      <c r="AE1418" t="str">
        <f t="shared" si="225"/>
        <v>Wednesday</v>
      </c>
      <c r="AF1418" t="str">
        <f t="shared" si="226"/>
        <v>Thursday</v>
      </c>
      <c r="AG1418" t="str">
        <f t="shared" si="227"/>
        <v/>
      </c>
      <c r="AH1418" t="str">
        <f t="shared" si="228"/>
        <v/>
      </c>
      <c r="AI1418" t="str">
        <f t="shared" si="229"/>
        <v>Sunday</v>
      </c>
      <c r="AJ1418" t="str">
        <f>LEFT(Table1[[#This Row],[membership_type]],2)&amp;TEXT(Table1[[#This Row],[age]],"00")&amp;"-"&amp;TEXT(ROW(),"000")</f>
        <v>Pr27-1418</v>
      </c>
      <c r="AK1418" t="str">
        <f>LEFT(Table1[[#This Row],[membership_type]],1)&amp;TEXT(MATCH(Table1[[#This Row],[membership_type]],Table1[membership_type],0),"00")</f>
        <v>P01</v>
      </c>
      <c r="AL1418" t="str">
        <f>LEFT(Table1[[#This Row],[discount_type]],1)&amp;TEXT(ROUND(Table1[[#This Row],[discount_rate]]*100,0),"00")</f>
        <v>N00</v>
      </c>
      <c r="AM1418" t="str" cm="1">
        <f t="array" ref="AM1418">TEXT(SUMPRODUCT(CODE(MID(Table1[[#This Row],[home_gym_location]],_xlfn.SEQUENCE(LEN(Table1[[#This Row],[home_gym_location]])),1))),"00000")</f>
        <v>01018</v>
      </c>
      <c r="AN141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18" t="str">
        <f>LEFT(_xlfn.TEXTBEFORE(Table1[[#This Row],[Location Identifier]],"-"),3) &amp; "-" &amp; _xlfn.TEXTAFTER(Table1[[#This Row],[Location Identifier]],"-")</f>
        <v>SAN-008</v>
      </c>
      <c r="AP1418" s="9">
        <f t="shared" ca="1" si="220"/>
        <v>45869</v>
      </c>
    </row>
    <row r="1419" spans="1:42" x14ac:dyDescent="0.25">
      <c r="A1419">
        <v>45</v>
      </c>
      <c r="B1419" t="s">
        <v>51</v>
      </c>
      <c r="C1419">
        <v>2</v>
      </c>
      <c r="D1419" t="s">
        <v>84</v>
      </c>
      <c r="E1419" t="b">
        <v>0</v>
      </c>
      <c r="F1419" s="1">
        <v>0.50902777777777775</v>
      </c>
      <c r="G1419" s="1">
        <v>0.61597222222222225</v>
      </c>
      <c r="H1419">
        <v>154</v>
      </c>
      <c r="I1419" t="b">
        <v>1</v>
      </c>
      <c r="J1419" t="b">
        <v>1</v>
      </c>
      <c r="K1419" t="b">
        <v>1</v>
      </c>
      <c r="L1419" t="s">
        <v>62</v>
      </c>
      <c r="M1419">
        <v>70</v>
      </c>
      <c r="N1419" t="s">
        <v>64</v>
      </c>
      <c r="O1419">
        <v>52.5</v>
      </c>
      <c r="P1419" t="s">
        <v>40</v>
      </c>
      <c r="Q1419">
        <v>0.1</v>
      </c>
      <c r="R1419">
        <v>47.25</v>
      </c>
      <c r="S1419" t="s">
        <v>53</v>
      </c>
      <c r="T1419" t="s">
        <v>38</v>
      </c>
      <c r="U1419">
        <v>36.7378</v>
      </c>
      <c r="V1419">
        <v>-119.7871</v>
      </c>
      <c r="W1419" s="2">
        <v>45349</v>
      </c>
      <c r="X1419">
        <v>2</v>
      </c>
      <c r="Y1419" t="b">
        <v>1</v>
      </c>
      <c r="Z1419" s="2">
        <v>45833</v>
      </c>
      <c r="AA1419" t="str">
        <f t="shared" si="221"/>
        <v>40–49</v>
      </c>
      <c r="AB1419" t="str">
        <f t="shared" si="222"/>
        <v>40–49</v>
      </c>
      <c r="AC1419" t="str">
        <f t="shared" si="223"/>
        <v/>
      </c>
      <c r="AD1419" t="str">
        <f t="shared" si="224"/>
        <v>Tuesday</v>
      </c>
      <c r="AE1419" t="str">
        <f t="shared" si="225"/>
        <v/>
      </c>
      <c r="AF1419" t="str">
        <f t="shared" si="226"/>
        <v/>
      </c>
      <c r="AG1419" t="str">
        <f t="shared" si="227"/>
        <v/>
      </c>
      <c r="AH1419" t="str">
        <f t="shared" si="228"/>
        <v/>
      </c>
      <c r="AI1419" t="str">
        <f t="shared" si="229"/>
        <v>Sunday</v>
      </c>
      <c r="AJ1419" t="str">
        <f>LEFT(Table1[[#This Row],[membership_type]],2)&amp;TEXT(Table1[[#This Row],[age]],"00")&amp;"-"&amp;TEXT(ROW(),"000")</f>
        <v>El45-1419</v>
      </c>
      <c r="AK1419" t="str">
        <f>LEFT(Table1[[#This Row],[membership_type]],1)&amp;TEXT(MATCH(Table1[[#This Row],[membership_type]],Table1[membership_type],0),"00")</f>
        <v>E07</v>
      </c>
      <c r="AL1419" t="str">
        <f>LEFT(Table1[[#This Row],[discount_type]],1)&amp;TEXT(ROUND(Table1[[#This Row],[discount_rate]]*100,0),"00")</f>
        <v>L10</v>
      </c>
      <c r="AM1419" t="str" cm="1">
        <f t="array" ref="AM1419">TEXT(SUMPRODUCT(CODE(MID(Table1[[#This Row],[home_gym_location]],_xlfn.SEQUENCE(LEN(Table1[[#This Row],[home_gym_location]])),1))),"00000")</f>
        <v>00829</v>
      </c>
      <c r="AN1419" t="str">
        <f>UPPER(_xlfn.TEXTBEFORE(Table1[[#This Row],[home_gym_location]],","))&amp;"-"&amp;TEXT(MATCH(Table1[[#This Row],[home_gym_location]],_xlfn._xlws.SORT(_xlfn.UNIQUE(Table1[home_gym_location])),0),"000")</f>
        <v>FRESNO-003</v>
      </c>
      <c r="AO1419" t="str">
        <f>LEFT(_xlfn.TEXTBEFORE(Table1[[#This Row],[Location Identifier]],"-"),3) &amp; "-" &amp; _xlfn.TEXTAFTER(Table1[[#This Row],[Location Identifier]],"-")</f>
        <v>FRE-003</v>
      </c>
      <c r="AP1419" s="9">
        <f t="shared" ca="1" si="220"/>
        <v>45869</v>
      </c>
    </row>
    <row r="1420" spans="1:42" x14ac:dyDescent="0.25">
      <c r="A1420">
        <v>27</v>
      </c>
      <c r="B1420" t="s">
        <v>33</v>
      </c>
      <c r="C1420">
        <v>1</v>
      </c>
      <c r="D1420" t="s">
        <v>97</v>
      </c>
      <c r="E1420" t="b">
        <v>1</v>
      </c>
      <c r="F1420" s="1">
        <v>0.76527777777777772</v>
      </c>
      <c r="G1420" s="1">
        <v>0.88888888888888884</v>
      </c>
      <c r="H1420">
        <v>178</v>
      </c>
      <c r="I1420" t="b">
        <v>1</v>
      </c>
      <c r="J1420" t="b">
        <v>0</v>
      </c>
      <c r="K1420" t="b">
        <v>1</v>
      </c>
      <c r="L1420" t="s">
        <v>28</v>
      </c>
      <c r="M1420">
        <v>30</v>
      </c>
      <c r="N1420" t="s">
        <v>64</v>
      </c>
      <c r="O1420">
        <v>22.5</v>
      </c>
      <c r="P1420" t="s">
        <v>30</v>
      </c>
      <c r="Q1420">
        <v>0.05</v>
      </c>
      <c r="R1420">
        <v>21.375</v>
      </c>
      <c r="S1420" t="s">
        <v>37</v>
      </c>
      <c r="T1420" t="s">
        <v>50</v>
      </c>
      <c r="U1420">
        <v>34.052199999999999</v>
      </c>
      <c r="V1420">
        <v>-118.2437</v>
      </c>
      <c r="W1420" s="2">
        <v>44836</v>
      </c>
      <c r="X1420">
        <v>0</v>
      </c>
      <c r="Y1420" t="b">
        <v>0</v>
      </c>
      <c r="Z1420" s="2">
        <v>45804</v>
      </c>
      <c r="AA1420" t="str">
        <f t="shared" si="221"/>
        <v>20–29</v>
      </c>
      <c r="AB1420" t="str">
        <f t="shared" si="222"/>
        <v>20–29</v>
      </c>
      <c r="AC1420" t="str">
        <f t="shared" si="223"/>
        <v>Monday</v>
      </c>
      <c r="AD1420" t="str">
        <f t="shared" si="224"/>
        <v/>
      </c>
      <c r="AE1420" t="str">
        <f t="shared" si="225"/>
        <v/>
      </c>
      <c r="AF1420" t="str">
        <f t="shared" si="226"/>
        <v/>
      </c>
      <c r="AG1420" t="str">
        <f t="shared" si="227"/>
        <v/>
      </c>
      <c r="AH1420" t="str">
        <f t="shared" si="228"/>
        <v/>
      </c>
      <c r="AI1420" t="str">
        <f t="shared" si="229"/>
        <v/>
      </c>
      <c r="AJ1420" t="str">
        <f>LEFT(Table1[[#This Row],[membership_type]],2)&amp;TEXT(Table1[[#This Row],[age]],"00")&amp;"-"&amp;TEXT(ROW(),"000")</f>
        <v>St27-1420</v>
      </c>
      <c r="AK1420" t="str">
        <f>LEFT(Table1[[#This Row],[membership_type]],1)&amp;TEXT(MATCH(Table1[[#This Row],[membership_type]],Table1[membership_type],0),"00")</f>
        <v>S02</v>
      </c>
      <c r="AL1420" t="str">
        <f>LEFT(Table1[[#This Row],[discount_type]],1)&amp;TEXT(ROUND(Table1[[#This Row],[discount_rate]]*100,0),"00")</f>
        <v>P05</v>
      </c>
      <c r="AM1420" t="str" cm="1">
        <f t="array" ref="AM1420">TEXT(SUMPRODUCT(CODE(MID(Table1[[#This Row],[home_gym_location]],_xlfn.SEQUENCE(LEN(Table1[[#This Row],[home_gym_location]])),1))),"00000")</f>
        <v>01245</v>
      </c>
      <c r="AN142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20" t="str">
        <f>LEFT(_xlfn.TEXTBEFORE(Table1[[#This Row],[Location Identifier]],"-"),3) &amp; "-" &amp; _xlfn.TEXTAFTER(Table1[[#This Row],[Location Identifier]],"-")</f>
        <v>LOS-005</v>
      </c>
      <c r="AP1420" s="9">
        <f t="shared" ca="1" si="220"/>
        <v>45869</v>
      </c>
    </row>
    <row r="1421" spans="1:42" x14ac:dyDescent="0.25">
      <c r="A1421">
        <v>41</v>
      </c>
      <c r="B1421" t="s">
        <v>42</v>
      </c>
      <c r="C1421">
        <v>4</v>
      </c>
      <c r="D1421" t="s">
        <v>162</v>
      </c>
      <c r="E1421" t="b">
        <v>1</v>
      </c>
      <c r="F1421" s="1">
        <v>0.42291666666666666</v>
      </c>
      <c r="G1421" s="1">
        <v>0.45624999999999999</v>
      </c>
      <c r="H1421">
        <v>48</v>
      </c>
      <c r="I1421" t="b">
        <v>1</v>
      </c>
      <c r="J1421" t="b">
        <v>0</v>
      </c>
      <c r="K1421" t="b">
        <v>0</v>
      </c>
      <c r="L1421" t="s">
        <v>62</v>
      </c>
      <c r="M1421">
        <v>20</v>
      </c>
      <c r="N1421" t="s">
        <v>29</v>
      </c>
      <c r="O1421">
        <v>20</v>
      </c>
      <c r="P1421" t="s">
        <v>30</v>
      </c>
      <c r="Q1421">
        <v>0.05</v>
      </c>
      <c r="R1421">
        <v>19</v>
      </c>
      <c r="S1421" t="s">
        <v>44</v>
      </c>
      <c r="T1421" t="s">
        <v>45</v>
      </c>
      <c r="U1421">
        <v>33.836599999999997</v>
      </c>
      <c r="V1421">
        <v>-117.9143</v>
      </c>
      <c r="W1421" s="2">
        <v>45494</v>
      </c>
      <c r="X1421">
        <v>0</v>
      </c>
      <c r="Y1421" t="b">
        <v>1</v>
      </c>
      <c r="Z1421" s="2">
        <v>45842</v>
      </c>
      <c r="AA1421" t="str">
        <f t="shared" si="221"/>
        <v>40–49</v>
      </c>
      <c r="AB1421" t="str">
        <f t="shared" si="222"/>
        <v>40–49</v>
      </c>
      <c r="AC1421" t="str">
        <f t="shared" si="223"/>
        <v>Monday</v>
      </c>
      <c r="AD1421" t="str">
        <f t="shared" si="224"/>
        <v>Tuesday</v>
      </c>
      <c r="AE1421" t="str">
        <f t="shared" si="225"/>
        <v>Wednesday</v>
      </c>
      <c r="AF1421" t="str">
        <f t="shared" si="226"/>
        <v/>
      </c>
      <c r="AG1421" t="str">
        <f t="shared" si="227"/>
        <v/>
      </c>
      <c r="AH1421" t="str">
        <f t="shared" si="228"/>
        <v/>
      </c>
      <c r="AI1421" t="str">
        <f t="shared" si="229"/>
        <v>Sunday</v>
      </c>
      <c r="AJ1421" t="str">
        <f>LEFT(Table1[[#This Row],[membership_type]],2)&amp;TEXT(Table1[[#This Row],[age]],"00")&amp;"-"&amp;TEXT(ROW(),"000")</f>
        <v>Ba41-1421</v>
      </c>
      <c r="AK1421" t="str">
        <f>LEFT(Table1[[#This Row],[membership_type]],1)&amp;TEXT(MATCH(Table1[[#This Row],[membership_type]],Table1[membership_type],0),"00")</f>
        <v>B04</v>
      </c>
      <c r="AL1421" t="str">
        <f>LEFT(Table1[[#This Row],[discount_type]],1)&amp;TEXT(ROUND(Table1[[#This Row],[discount_rate]]*100,0),"00")</f>
        <v>P05</v>
      </c>
      <c r="AM1421" t="str" cm="1">
        <f t="array" ref="AM1421">TEXT(SUMPRODUCT(CODE(MID(Table1[[#This Row],[home_gym_location]],_xlfn.SEQUENCE(LEN(Table1[[#This Row],[home_gym_location]])),1))),"00000")</f>
        <v>00899</v>
      </c>
      <c r="AN142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21" t="str">
        <f>LEFT(_xlfn.TEXTBEFORE(Table1[[#This Row],[Location Identifier]],"-"),3) &amp; "-" &amp; _xlfn.TEXTAFTER(Table1[[#This Row],[Location Identifier]],"-")</f>
        <v>ANA-001</v>
      </c>
      <c r="AP1421" s="9">
        <f t="shared" ca="1" si="220"/>
        <v>45869</v>
      </c>
    </row>
    <row r="1422" spans="1:42" x14ac:dyDescent="0.25">
      <c r="A1422">
        <v>29</v>
      </c>
      <c r="B1422" t="s">
        <v>42</v>
      </c>
      <c r="C1422">
        <v>4</v>
      </c>
      <c r="D1422" t="s">
        <v>98</v>
      </c>
      <c r="E1422" t="b">
        <v>1</v>
      </c>
      <c r="F1422" s="1">
        <v>0.38263888888888886</v>
      </c>
      <c r="G1422" s="1">
        <v>0.45</v>
      </c>
      <c r="H1422">
        <v>97</v>
      </c>
      <c r="I1422" t="b">
        <v>0</v>
      </c>
      <c r="J1422" t="b">
        <v>0</v>
      </c>
      <c r="K1422" t="b">
        <v>1</v>
      </c>
      <c r="L1422" t="s">
        <v>62</v>
      </c>
      <c r="M1422">
        <v>20</v>
      </c>
      <c r="N1422" t="s">
        <v>78</v>
      </c>
      <c r="O1422">
        <v>18</v>
      </c>
      <c r="P1422" t="s">
        <v>36</v>
      </c>
      <c r="Q1422">
        <v>0</v>
      </c>
      <c r="R1422">
        <v>18</v>
      </c>
      <c r="S1422" t="s">
        <v>44</v>
      </c>
      <c r="T1422" t="s">
        <v>38</v>
      </c>
      <c r="U1422">
        <v>36.7378</v>
      </c>
      <c r="V1422">
        <v>-119.7871</v>
      </c>
      <c r="W1422" s="2">
        <v>45290</v>
      </c>
      <c r="X1422">
        <v>0</v>
      </c>
      <c r="Y1422" t="b">
        <v>1</v>
      </c>
      <c r="Z1422" s="2">
        <v>45830</v>
      </c>
      <c r="AA1422" t="str">
        <f t="shared" si="221"/>
        <v>20–29</v>
      </c>
      <c r="AB1422" t="str">
        <f t="shared" si="222"/>
        <v>20–29</v>
      </c>
      <c r="AC1422" t="str">
        <f t="shared" si="223"/>
        <v>Monday</v>
      </c>
      <c r="AD1422" t="str">
        <f t="shared" si="224"/>
        <v>Tuesday</v>
      </c>
      <c r="AE1422" t="str">
        <f t="shared" si="225"/>
        <v>Wednesday</v>
      </c>
      <c r="AF1422" t="str">
        <f t="shared" si="226"/>
        <v/>
      </c>
      <c r="AG1422" t="str">
        <f t="shared" si="227"/>
        <v/>
      </c>
      <c r="AH1422" t="str">
        <f t="shared" si="228"/>
        <v>Saturday</v>
      </c>
      <c r="AI1422" t="str">
        <f t="shared" si="229"/>
        <v/>
      </c>
      <c r="AJ1422" t="str">
        <f>LEFT(Table1[[#This Row],[membership_type]],2)&amp;TEXT(Table1[[#This Row],[age]],"00")&amp;"-"&amp;TEXT(ROW(),"000")</f>
        <v>Ba29-1422</v>
      </c>
      <c r="AK1422" t="str">
        <f>LEFT(Table1[[#This Row],[membership_type]],1)&amp;TEXT(MATCH(Table1[[#This Row],[membership_type]],Table1[membership_type],0),"00")</f>
        <v>B04</v>
      </c>
      <c r="AL1422" t="str">
        <f>LEFT(Table1[[#This Row],[discount_type]],1)&amp;TEXT(ROUND(Table1[[#This Row],[discount_rate]]*100,0),"00")</f>
        <v>N00</v>
      </c>
      <c r="AM1422" t="str" cm="1">
        <f t="array" ref="AM1422">TEXT(SUMPRODUCT(CODE(MID(Table1[[#This Row],[home_gym_location]],_xlfn.SEQUENCE(LEN(Table1[[#This Row],[home_gym_location]])),1))),"00000")</f>
        <v>00829</v>
      </c>
      <c r="AN1422" t="str">
        <f>UPPER(_xlfn.TEXTBEFORE(Table1[[#This Row],[home_gym_location]],","))&amp;"-"&amp;TEXT(MATCH(Table1[[#This Row],[home_gym_location]],_xlfn._xlws.SORT(_xlfn.UNIQUE(Table1[home_gym_location])),0),"000")</f>
        <v>FRESNO-003</v>
      </c>
      <c r="AO1422" t="str">
        <f>LEFT(_xlfn.TEXTBEFORE(Table1[[#This Row],[Location Identifier]],"-"),3) &amp; "-" &amp; _xlfn.TEXTAFTER(Table1[[#This Row],[Location Identifier]],"-")</f>
        <v>FRE-003</v>
      </c>
      <c r="AP1422" s="9">
        <f t="shared" ca="1" si="220"/>
        <v>45869</v>
      </c>
    </row>
    <row r="1423" spans="1:42" x14ac:dyDescent="0.25">
      <c r="A1423">
        <v>21</v>
      </c>
      <c r="B1423" t="s">
        <v>42</v>
      </c>
      <c r="C1423">
        <v>2</v>
      </c>
      <c r="D1423" t="s">
        <v>88</v>
      </c>
      <c r="E1423" t="b">
        <v>0</v>
      </c>
      <c r="F1423" s="1">
        <v>0.43472222222222223</v>
      </c>
      <c r="G1423" s="1">
        <v>0.51458333333333328</v>
      </c>
      <c r="H1423">
        <v>115</v>
      </c>
      <c r="I1423" t="b">
        <v>1</v>
      </c>
      <c r="J1423" t="b">
        <v>1</v>
      </c>
      <c r="K1423" t="b">
        <v>1</v>
      </c>
      <c r="L1423" t="s">
        <v>28</v>
      </c>
      <c r="M1423">
        <v>20</v>
      </c>
      <c r="N1423" t="s">
        <v>78</v>
      </c>
      <c r="O1423">
        <v>18</v>
      </c>
      <c r="P1423" t="s">
        <v>36</v>
      </c>
      <c r="Q1423">
        <v>0</v>
      </c>
      <c r="R1423">
        <v>18</v>
      </c>
      <c r="S1423" t="s">
        <v>44</v>
      </c>
      <c r="T1423" t="s">
        <v>65</v>
      </c>
      <c r="U1423">
        <v>33.770099999999999</v>
      </c>
      <c r="V1423">
        <v>-118.19370000000001</v>
      </c>
      <c r="W1423" s="2">
        <v>45786</v>
      </c>
      <c r="X1423">
        <v>4</v>
      </c>
      <c r="Y1423" t="b">
        <v>0</v>
      </c>
      <c r="Z1423" s="2">
        <v>45858</v>
      </c>
      <c r="AA1423" t="str">
        <f t="shared" si="221"/>
        <v>20–29</v>
      </c>
      <c r="AB1423" t="str">
        <f t="shared" si="222"/>
        <v>20–29</v>
      </c>
      <c r="AC1423" t="str">
        <f t="shared" si="223"/>
        <v>Monday</v>
      </c>
      <c r="AD1423" t="str">
        <f t="shared" si="224"/>
        <v/>
      </c>
      <c r="AE1423" t="str">
        <f t="shared" si="225"/>
        <v>Wednesday</v>
      </c>
      <c r="AF1423" t="str">
        <f t="shared" si="226"/>
        <v/>
      </c>
      <c r="AG1423" t="str">
        <f t="shared" si="227"/>
        <v/>
      </c>
      <c r="AH1423" t="str">
        <f t="shared" si="228"/>
        <v/>
      </c>
      <c r="AI1423" t="str">
        <f t="shared" si="229"/>
        <v/>
      </c>
      <c r="AJ1423" t="str">
        <f>LEFT(Table1[[#This Row],[membership_type]],2)&amp;TEXT(Table1[[#This Row],[age]],"00")&amp;"-"&amp;TEXT(ROW(),"000")</f>
        <v>Ba21-1423</v>
      </c>
      <c r="AK1423" t="str">
        <f>LEFT(Table1[[#This Row],[membership_type]],1)&amp;TEXT(MATCH(Table1[[#This Row],[membership_type]],Table1[membership_type],0),"00")</f>
        <v>B04</v>
      </c>
      <c r="AL1423" t="str">
        <f>LEFT(Table1[[#This Row],[discount_type]],1)&amp;TEXT(ROUND(Table1[[#This Row],[discount_rate]]*100,0),"00")</f>
        <v>N00</v>
      </c>
      <c r="AM1423" t="str" cm="1">
        <f t="array" ref="AM1423">TEXT(SUMPRODUCT(CODE(MID(Table1[[#This Row],[home_gym_location]],_xlfn.SEQUENCE(LEN(Table1[[#This Row],[home_gym_location]])),1))),"00000")</f>
        <v>01107</v>
      </c>
      <c r="AN142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23" t="str">
        <f>LEFT(_xlfn.TEXTBEFORE(Table1[[#This Row],[Location Identifier]],"-"),3) &amp; "-" &amp; _xlfn.TEXTAFTER(Table1[[#This Row],[Location Identifier]],"-")</f>
        <v>LON-004</v>
      </c>
      <c r="AP1423" s="9">
        <f t="shared" ca="1" si="220"/>
        <v>45869</v>
      </c>
    </row>
    <row r="1424" spans="1:42" x14ac:dyDescent="0.25">
      <c r="A1424">
        <v>27</v>
      </c>
      <c r="B1424" t="s">
        <v>26</v>
      </c>
      <c r="C1424">
        <v>2</v>
      </c>
      <c r="D1424" t="s">
        <v>130</v>
      </c>
      <c r="E1424" t="b">
        <v>1</v>
      </c>
      <c r="F1424" s="1">
        <v>0.85555555555555551</v>
      </c>
      <c r="G1424" s="1">
        <v>0.93055555555555558</v>
      </c>
      <c r="H1424">
        <v>108</v>
      </c>
      <c r="I1424" t="b">
        <v>1</v>
      </c>
      <c r="J1424" t="b">
        <v>0</v>
      </c>
      <c r="K1424" t="b">
        <v>0</v>
      </c>
      <c r="L1424" t="s">
        <v>58</v>
      </c>
      <c r="M1424">
        <v>50</v>
      </c>
      <c r="N1424" t="s">
        <v>78</v>
      </c>
      <c r="O1424">
        <v>45</v>
      </c>
      <c r="P1424" t="s">
        <v>36</v>
      </c>
      <c r="Q1424">
        <v>0</v>
      </c>
      <c r="R1424">
        <v>45</v>
      </c>
      <c r="S1424" t="s">
        <v>31</v>
      </c>
      <c r="T1424" t="s">
        <v>65</v>
      </c>
      <c r="U1424">
        <v>33.770099999999999</v>
      </c>
      <c r="V1424">
        <v>-118.19370000000001</v>
      </c>
      <c r="W1424" s="2">
        <v>45673</v>
      </c>
      <c r="X1424">
        <v>0</v>
      </c>
      <c r="Y1424" t="b">
        <v>1</v>
      </c>
      <c r="Z1424" s="2">
        <v>45852</v>
      </c>
      <c r="AA1424" t="str">
        <f t="shared" si="221"/>
        <v>20–29</v>
      </c>
      <c r="AB1424" t="str">
        <f t="shared" si="222"/>
        <v>20–29</v>
      </c>
      <c r="AC1424" t="str">
        <f t="shared" si="223"/>
        <v>Monday</v>
      </c>
      <c r="AD1424" t="str">
        <f t="shared" si="224"/>
        <v/>
      </c>
      <c r="AE1424" t="str">
        <f t="shared" si="225"/>
        <v/>
      </c>
      <c r="AF1424" t="str">
        <f t="shared" si="226"/>
        <v>Thursday</v>
      </c>
      <c r="AG1424" t="str">
        <f t="shared" si="227"/>
        <v/>
      </c>
      <c r="AH1424" t="str">
        <f t="shared" si="228"/>
        <v/>
      </c>
      <c r="AI1424" t="str">
        <f t="shared" si="229"/>
        <v/>
      </c>
      <c r="AJ1424" t="str">
        <f>LEFT(Table1[[#This Row],[membership_type]],2)&amp;TEXT(Table1[[#This Row],[age]],"00")&amp;"-"&amp;TEXT(ROW(),"000")</f>
        <v>Pr27-1424</v>
      </c>
      <c r="AK1424" t="str">
        <f>LEFT(Table1[[#This Row],[membership_type]],1)&amp;TEXT(MATCH(Table1[[#This Row],[membership_type]],Table1[membership_type],0),"00")</f>
        <v>P01</v>
      </c>
      <c r="AL1424" t="str">
        <f>LEFT(Table1[[#This Row],[discount_type]],1)&amp;TEXT(ROUND(Table1[[#This Row],[discount_rate]]*100,0),"00")</f>
        <v>N00</v>
      </c>
      <c r="AM1424" t="str" cm="1">
        <f t="array" ref="AM1424">TEXT(SUMPRODUCT(CODE(MID(Table1[[#This Row],[home_gym_location]],_xlfn.SEQUENCE(LEN(Table1[[#This Row],[home_gym_location]])),1))),"00000")</f>
        <v>01107</v>
      </c>
      <c r="AN142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24" t="str">
        <f>LEFT(_xlfn.TEXTBEFORE(Table1[[#This Row],[Location Identifier]],"-"),3) &amp; "-" &amp; _xlfn.TEXTAFTER(Table1[[#This Row],[Location Identifier]],"-")</f>
        <v>LON-004</v>
      </c>
      <c r="AP1424" s="9">
        <f t="shared" ca="1" si="220"/>
        <v>45869</v>
      </c>
    </row>
    <row r="1425" spans="1:42" x14ac:dyDescent="0.25">
      <c r="A1425">
        <v>13</v>
      </c>
      <c r="B1425" t="s">
        <v>33</v>
      </c>
      <c r="C1425">
        <v>2</v>
      </c>
      <c r="D1425" t="s">
        <v>73</v>
      </c>
      <c r="E1425" t="b">
        <v>0</v>
      </c>
      <c r="F1425" s="1">
        <v>0.40138888888888891</v>
      </c>
      <c r="G1425" s="1">
        <v>0.42430555555555555</v>
      </c>
      <c r="H1425">
        <v>33</v>
      </c>
      <c r="I1425" t="b">
        <v>0</v>
      </c>
      <c r="J1425" t="b">
        <v>0</v>
      </c>
      <c r="K1425" t="b">
        <v>1</v>
      </c>
      <c r="L1425" t="s">
        <v>62</v>
      </c>
      <c r="M1425">
        <v>30</v>
      </c>
      <c r="N1425" t="s">
        <v>78</v>
      </c>
      <c r="O1425">
        <v>27</v>
      </c>
      <c r="P1425" t="s">
        <v>30</v>
      </c>
      <c r="Q1425">
        <v>0.05</v>
      </c>
      <c r="R1425">
        <v>25.65</v>
      </c>
      <c r="S1425" t="s">
        <v>37</v>
      </c>
      <c r="T1425" t="s">
        <v>65</v>
      </c>
      <c r="U1425">
        <v>33.770099999999999</v>
      </c>
      <c r="V1425">
        <v>-118.19370000000001</v>
      </c>
      <c r="W1425" s="2">
        <v>44780</v>
      </c>
      <c r="X1425">
        <v>0</v>
      </c>
      <c r="Y1425" t="b">
        <v>0</v>
      </c>
      <c r="Z1425" s="2">
        <v>45801</v>
      </c>
      <c r="AA1425" t="str">
        <f t="shared" si="221"/>
        <v>10–19</v>
      </c>
      <c r="AB1425" t="str">
        <f t="shared" si="222"/>
        <v>Under 16</v>
      </c>
      <c r="AC1425" t="str">
        <f t="shared" si="223"/>
        <v/>
      </c>
      <c r="AD1425" t="str">
        <f t="shared" si="224"/>
        <v>Tuesday</v>
      </c>
      <c r="AE1425" t="str">
        <f t="shared" si="225"/>
        <v/>
      </c>
      <c r="AF1425" t="str">
        <f t="shared" si="226"/>
        <v/>
      </c>
      <c r="AG1425" t="str">
        <f t="shared" si="227"/>
        <v>Friday</v>
      </c>
      <c r="AH1425" t="str">
        <f t="shared" si="228"/>
        <v/>
      </c>
      <c r="AI1425" t="str">
        <f t="shared" si="229"/>
        <v/>
      </c>
      <c r="AJ1425" t="str">
        <f>LEFT(Table1[[#This Row],[membership_type]],2)&amp;TEXT(Table1[[#This Row],[age]],"00")&amp;"-"&amp;TEXT(ROW(),"000")</f>
        <v>St13-1425</v>
      </c>
      <c r="AK1425" t="str">
        <f>LEFT(Table1[[#This Row],[membership_type]],1)&amp;TEXT(MATCH(Table1[[#This Row],[membership_type]],Table1[membership_type],0),"00")</f>
        <v>S02</v>
      </c>
      <c r="AL1425" t="str">
        <f>LEFT(Table1[[#This Row],[discount_type]],1)&amp;TEXT(ROUND(Table1[[#This Row],[discount_rate]]*100,0),"00")</f>
        <v>P05</v>
      </c>
      <c r="AM1425" t="str" cm="1">
        <f t="array" ref="AM1425">TEXT(SUMPRODUCT(CODE(MID(Table1[[#This Row],[home_gym_location]],_xlfn.SEQUENCE(LEN(Table1[[#This Row],[home_gym_location]])),1))),"00000")</f>
        <v>01107</v>
      </c>
      <c r="AN142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25" t="str">
        <f>LEFT(_xlfn.TEXTBEFORE(Table1[[#This Row],[Location Identifier]],"-"),3) &amp; "-" &amp; _xlfn.TEXTAFTER(Table1[[#This Row],[Location Identifier]],"-")</f>
        <v>LON-004</v>
      </c>
      <c r="AP1425" s="9">
        <f t="shared" ca="1" si="220"/>
        <v>45869</v>
      </c>
    </row>
    <row r="1426" spans="1:42" x14ac:dyDescent="0.25">
      <c r="A1426">
        <v>42</v>
      </c>
      <c r="B1426" t="s">
        <v>26</v>
      </c>
      <c r="C1426">
        <v>4</v>
      </c>
      <c r="D1426" t="s">
        <v>111</v>
      </c>
      <c r="E1426" t="b">
        <v>1</v>
      </c>
      <c r="F1426" s="1">
        <v>0.41319444444444442</v>
      </c>
      <c r="G1426" s="1">
        <v>0.45763888888888887</v>
      </c>
      <c r="H1426">
        <v>64</v>
      </c>
      <c r="I1426" t="b">
        <v>0</v>
      </c>
      <c r="J1426" t="b">
        <v>0</v>
      </c>
      <c r="K1426" t="b">
        <v>1</v>
      </c>
      <c r="L1426" t="s">
        <v>28</v>
      </c>
      <c r="M1426">
        <v>50</v>
      </c>
      <c r="N1426" t="s">
        <v>64</v>
      </c>
      <c r="O1426">
        <v>37.5</v>
      </c>
      <c r="P1426" t="s">
        <v>30</v>
      </c>
      <c r="Q1426">
        <v>0.05</v>
      </c>
      <c r="R1426">
        <v>35.625</v>
      </c>
      <c r="S1426" t="s">
        <v>31</v>
      </c>
      <c r="T1426" t="s">
        <v>32</v>
      </c>
      <c r="U1426">
        <v>37.338200000000001</v>
      </c>
      <c r="V1426">
        <v>-121.88630000000001</v>
      </c>
      <c r="W1426" s="2">
        <v>44803</v>
      </c>
      <c r="X1426">
        <v>0</v>
      </c>
      <c r="Y1426" t="b">
        <v>1</v>
      </c>
      <c r="Z1426" s="2">
        <v>45803</v>
      </c>
      <c r="AA1426" t="str">
        <f t="shared" si="221"/>
        <v>40–49</v>
      </c>
      <c r="AB1426" t="str">
        <f t="shared" si="222"/>
        <v>40–49</v>
      </c>
      <c r="AC1426" t="str">
        <f t="shared" si="223"/>
        <v>Monday</v>
      </c>
      <c r="AD1426" t="str">
        <f t="shared" si="224"/>
        <v>Tuesday</v>
      </c>
      <c r="AE1426" t="str">
        <f t="shared" si="225"/>
        <v/>
      </c>
      <c r="AF1426" t="str">
        <f t="shared" si="226"/>
        <v>Thursday</v>
      </c>
      <c r="AG1426" t="str">
        <f t="shared" si="227"/>
        <v>Friday</v>
      </c>
      <c r="AH1426" t="str">
        <f t="shared" si="228"/>
        <v/>
      </c>
      <c r="AI1426" t="str">
        <f t="shared" si="229"/>
        <v/>
      </c>
      <c r="AJ1426" t="str">
        <f>LEFT(Table1[[#This Row],[membership_type]],2)&amp;TEXT(Table1[[#This Row],[age]],"00")&amp;"-"&amp;TEXT(ROW(),"000")</f>
        <v>Pr42-1426</v>
      </c>
      <c r="AK1426" t="str">
        <f>LEFT(Table1[[#This Row],[membership_type]],1)&amp;TEXT(MATCH(Table1[[#This Row],[membership_type]],Table1[membership_type],0),"00")</f>
        <v>P01</v>
      </c>
      <c r="AL1426" t="str">
        <f>LEFT(Table1[[#This Row],[discount_type]],1)&amp;TEXT(ROUND(Table1[[#This Row],[discount_rate]]*100,0),"00")</f>
        <v>P05</v>
      </c>
      <c r="AM1426" t="str" cm="1">
        <f t="array" ref="AM1426">TEXT(SUMPRODUCT(CODE(MID(Table1[[#This Row],[home_gym_location]],_xlfn.SEQUENCE(LEN(Table1[[#This Row],[home_gym_location]])),1))),"00000")</f>
        <v>00931</v>
      </c>
      <c r="AN142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26" t="str">
        <f>LEFT(_xlfn.TEXTBEFORE(Table1[[#This Row],[Location Identifier]],"-"),3) &amp; "-" &amp; _xlfn.TEXTAFTER(Table1[[#This Row],[Location Identifier]],"-")</f>
        <v>SAN-010</v>
      </c>
      <c r="AP1426" s="9">
        <f t="shared" ca="1" si="220"/>
        <v>45869</v>
      </c>
    </row>
    <row r="1427" spans="1:42" x14ac:dyDescent="0.25">
      <c r="A1427">
        <v>27</v>
      </c>
      <c r="B1427" t="s">
        <v>26</v>
      </c>
      <c r="C1427">
        <v>1</v>
      </c>
      <c r="D1427" t="s">
        <v>97</v>
      </c>
      <c r="E1427" t="b">
        <v>1</v>
      </c>
      <c r="F1427" s="1">
        <v>0.50763888888888886</v>
      </c>
      <c r="G1427" s="1">
        <v>0.61944444444444446</v>
      </c>
      <c r="H1427">
        <v>161</v>
      </c>
      <c r="I1427" t="b">
        <v>0</v>
      </c>
      <c r="J1427" t="b">
        <v>1</v>
      </c>
      <c r="K1427" t="b">
        <v>0</v>
      </c>
      <c r="L1427" t="s">
        <v>28</v>
      </c>
      <c r="M1427">
        <v>50</v>
      </c>
      <c r="N1427" t="s">
        <v>64</v>
      </c>
      <c r="O1427">
        <v>37.5</v>
      </c>
      <c r="P1427" t="s">
        <v>74</v>
      </c>
      <c r="Q1427">
        <v>0.15</v>
      </c>
      <c r="R1427">
        <v>31.875</v>
      </c>
      <c r="S1427" t="s">
        <v>31</v>
      </c>
      <c r="T1427" t="s">
        <v>41</v>
      </c>
      <c r="U1427">
        <v>37.804400000000001</v>
      </c>
      <c r="V1427">
        <v>-122.27119999999999</v>
      </c>
      <c r="W1427" s="2">
        <v>45825</v>
      </c>
      <c r="X1427">
        <v>3</v>
      </c>
      <c r="Y1427" t="b">
        <v>1</v>
      </c>
      <c r="Z1427" s="2">
        <v>45860</v>
      </c>
      <c r="AA1427" t="str">
        <f t="shared" si="221"/>
        <v>20–29</v>
      </c>
      <c r="AB1427" t="str">
        <f t="shared" si="222"/>
        <v>20–29</v>
      </c>
      <c r="AC1427" t="str">
        <f t="shared" si="223"/>
        <v>Monday</v>
      </c>
      <c r="AD1427" t="str">
        <f t="shared" si="224"/>
        <v/>
      </c>
      <c r="AE1427" t="str">
        <f t="shared" si="225"/>
        <v/>
      </c>
      <c r="AF1427" t="str">
        <f t="shared" si="226"/>
        <v/>
      </c>
      <c r="AG1427" t="str">
        <f t="shared" si="227"/>
        <v/>
      </c>
      <c r="AH1427" t="str">
        <f t="shared" si="228"/>
        <v/>
      </c>
      <c r="AI1427" t="str">
        <f t="shared" si="229"/>
        <v/>
      </c>
      <c r="AJ1427" t="str">
        <f>LEFT(Table1[[#This Row],[membership_type]],2)&amp;TEXT(Table1[[#This Row],[age]],"00")&amp;"-"&amp;TEXT(ROW(),"000")</f>
        <v>Pr27-1427</v>
      </c>
      <c r="AK1427" t="str">
        <f>LEFT(Table1[[#This Row],[membership_type]],1)&amp;TEXT(MATCH(Table1[[#This Row],[membership_type]],Table1[membership_type],0),"00")</f>
        <v>P01</v>
      </c>
      <c r="AL1427" t="str">
        <f>LEFT(Table1[[#This Row],[discount_type]],1)&amp;TEXT(ROUND(Table1[[#This Row],[discount_rate]]*100,0),"00")</f>
        <v>S15</v>
      </c>
      <c r="AM1427" t="str" cm="1">
        <f t="array" ref="AM1427">TEXT(SUMPRODUCT(CODE(MID(Table1[[#This Row],[home_gym_location]],_xlfn.SEQUENCE(LEN(Table1[[#This Row],[home_gym_location]])),1))),"00000")</f>
        <v>00906</v>
      </c>
      <c r="AN142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27" t="str">
        <f>LEFT(_xlfn.TEXTBEFORE(Table1[[#This Row],[Location Identifier]],"-"),3) &amp; "-" &amp; _xlfn.TEXTAFTER(Table1[[#This Row],[Location Identifier]],"-")</f>
        <v>OAK-006</v>
      </c>
      <c r="AP1427" s="9">
        <f t="shared" ca="1" si="220"/>
        <v>45869</v>
      </c>
    </row>
    <row r="1428" spans="1:42" x14ac:dyDescent="0.25">
      <c r="A1428">
        <v>12</v>
      </c>
      <c r="B1428" t="s">
        <v>33</v>
      </c>
      <c r="C1428">
        <v>5</v>
      </c>
      <c r="D1428" t="s">
        <v>72</v>
      </c>
      <c r="E1428" t="b">
        <v>0</v>
      </c>
      <c r="F1428" s="1">
        <v>0.43402777777777779</v>
      </c>
      <c r="G1428" s="1">
        <v>0.51249999999999996</v>
      </c>
      <c r="H1428">
        <v>113</v>
      </c>
      <c r="I1428" t="b">
        <v>0</v>
      </c>
      <c r="J1428" t="b">
        <v>0</v>
      </c>
      <c r="K1428" t="b">
        <v>1</v>
      </c>
      <c r="L1428" t="s">
        <v>28</v>
      </c>
      <c r="M1428">
        <v>30</v>
      </c>
      <c r="N1428" t="s">
        <v>29</v>
      </c>
      <c r="O1428">
        <v>30</v>
      </c>
      <c r="P1428" t="s">
        <v>36</v>
      </c>
      <c r="Q1428">
        <v>0</v>
      </c>
      <c r="R1428">
        <v>30</v>
      </c>
      <c r="S1428" t="s">
        <v>37</v>
      </c>
      <c r="T1428" t="s">
        <v>50</v>
      </c>
      <c r="U1428">
        <v>34.052199999999999</v>
      </c>
      <c r="V1428">
        <v>-118.2437</v>
      </c>
      <c r="W1428" s="2">
        <v>44817</v>
      </c>
      <c r="X1428">
        <v>0</v>
      </c>
      <c r="Y1428" t="b">
        <v>1</v>
      </c>
      <c r="Z1428" s="2">
        <v>45803</v>
      </c>
      <c r="AA1428" t="str">
        <f t="shared" si="221"/>
        <v>10–19</v>
      </c>
      <c r="AB1428" t="str">
        <f t="shared" si="222"/>
        <v>Under 16</v>
      </c>
      <c r="AC1428" t="str">
        <f t="shared" si="223"/>
        <v>Monday</v>
      </c>
      <c r="AD1428" t="str">
        <f t="shared" si="224"/>
        <v/>
      </c>
      <c r="AE1428" t="str">
        <f t="shared" si="225"/>
        <v>Wednesday</v>
      </c>
      <c r="AF1428" t="str">
        <f t="shared" si="226"/>
        <v>Thursday</v>
      </c>
      <c r="AG1428" t="str">
        <f t="shared" si="227"/>
        <v>Friday</v>
      </c>
      <c r="AH1428" t="str">
        <f t="shared" si="228"/>
        <v/>
      </c>
      <c r="AI1428" t="str">
        <f t="shared" si="229"/>
        <v>Sunday</v>
      </c>
      <c r="AJ1428" t="str">
        <f>LEFT(Table1[[#This Row],[membership_type]],2)&amp;TEXT(Table1[[#This Row],[age]],"00")&amp;"-"&amp;TEXT(ROW(),"000")</f>
        <v>St12-1428</v>
      </c>
      <c r="AK1428" t="str">
        <f>LEFT(Table1[[#This Row],[membership_type]],1)&amp;TEXT(MATCH(Table1[[#This Row],[membership_type]],Table1[membership_type],0),"00")</f>
        <v>S02</v>
      </c>
      <c r="AL1428" t="str">
        <f>LEFT(Table1[[#This Row],[discount_type]],1)&amp;TEXT(ROUND(Table1[[#This Row],[discount_rate]]*100,0),"00")</f>
        <v>N00</v>
      </c>
      <c r="AM1428" t="str" cm="1">
        <f t="array" ref="AM1428">TEXT(SUMPRODUCT(CODE(MID(Table1[[#This Row],[home_gym_location]],_xlfn.SEQUENCE(LEN(Table1[[#This Row],[home_gym_location]])),1))),"00000")</f>
        <v>01245</v>
      </c>
      <c r="AN142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28" t="str">
        <f>LEFT(_xlfn.TEXTBEFORE(Table1[[#This Row],[Location Identifier]],"-"),3) &amp; "-" &amp; _xlfn.TEXTAFTER(Table1[[#This Row],[Location Identifier]],"-")</f>
        <v>LOS-005</v>
      </c>
      <c r="AP1428" s="9">
        <f t="shared" ca="1" si="220"/>
        <v>45869</v>
      </c>
    </row>
    <row r="1429" spans="1:42" x14ac:dyDescent="0.25">
      <c r="A1429">
        <v>47</v>
      </c>
      <c r="B1429" t="s">
        <v>26</v>
      </c>
      <c r="C1429">
        <v>2</v>
      </c>
      <c r="D1429" t="s">
        <v>88</v>
      </c>
      <c r="E1429" t="b">
        <v>1</v>
      </c>
      <c r="F1429" s="1">
        <v>0.78263888888888888</v>
      </c>
      <c r="G1429" s="1">
        <v>0.89930555555555558</v>
      </c>
      <c r="H1429">
        <v>168</v>
      </c>
      <c r="I1429" t="b">
        <v>1</v>
      </c>
      <c r="J1429" t="b">
        <v>0</v>
      </c>
      <c r="K1429" t="b">
        <v>0</v>
      </c>
      <c r="L1429" t="s">
        <v>28</v>
      </c>
      <c r="M1429">
        <v>50</v>
      </c>
      <c r="N1429" t="s">
        <v>64</v>
      </c>
      <c r="O1429">
        <v>37.5</v>
      </c>
      <c r="P1429" t="s">
        <v>30</v>
      </c>
      <c r="Q1429">
        <v>0.05</v>
      </c>
      <c r="R1429">
        <v>35.625</v>
      </c>
      <c r="S1429" t="s">
        <v>31</v>
      </c>
      <c r="T1429" t="s">
        <v>48</v>
      </c>
      <c r="U1429">
        <v>38.581600000000002</v>
      </c>
      <c r="V1429">
        <v>-121.4944</v>
      </c>
      <c r="W1429" s="2">
        <v>45150</v>
      </c>
      <c r="X1429">
        <v>0</v>
      </c>
      <c r="Y1429" t="b">
        <v>1</v>
      </c>
      <c r="Z1429" s="2">
        <v>45822</v>
      </c>
      <c r="AA1429" t="str">
        <f t="shared" si="221"/>
        <v>40–49</v>
      </c>
      <c r="AB1429" t="str">
        <f t="shared" si="222"/>
        <v>40–49</v>
      </c>
      <c r="AC1429" t="str">
        <f t="shared" si="223"/>
        <v>Monday</v>
      </c>
      <c r="AD1429" t="str">
        <f t="shared" si="224"/>
        <v/>
      </c>
      <c r="AE1429" t="str">
        <f t="shared" si="225"/>
        <v>Wednesday</v>
      </c>
      <c r="AF1429" t="str">
        <f t="shared" si="226"/>
        <v/>
      </c>
      <c r="AG1429" t="str">
        <f t="shared" si="227"/>
        <v/>
      </c>
      <c r="AH1429" t="str">
        <f t="shared" si="228"/>
        <v/>
      </c>
      <c r="AI1429" t="str">
        <f t="shared" si="229"/>
        <v/>
      </c>
      <c r="AJ1429" t="str">
        <f>LEFT(Table1[[#This Row],[membership_type]],2)&amp;TEXT(Table1[[#This Row],[age]],"00")&amp;"-"&amp;TEXT(ROW(),"000")</f>
        <v>Pr47-1429</v>
      </c>
      <c r="AK1429" t="str">
        <f>LEFT(Table1[[#This Row],[membership_type]],1)&amp;TEXT(MATCH(Table1[[#This Row],[membership_type]],Table1[membership_type],0),"00")</f>
        <v>P01</v>
      </c>
      <c r="AL1429" t="str">
        <f>LEFT(Table1[[#This Row],[discount_type]],1)&amp;TEXT(ROUND(Table1[[#This Row],[discount_rate]]*100,0),"00")</f>
        <v>P05</v>
      </c>
      <c r="AM1429" t="str" cm="1">
        <f t="array" ref="AM1429">TEXT(SUMPRODUCT(CODE(MID(Table1[[#This Row],[home_gym_location]],_xlfn.SEQUENCE(LEN(Table1[[#This Row],[home_gym_location]])),1))),"00000")</f>
        <v>01245</v>
      </c>
      <c r="AN142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29" t="str">
        <f>LEFT(_xlfn.TEXTBEFORE(Table1[[#This Row],[Location Identifier]],"-"),3) &amp; "-" &amp; _xlfn.TEXTAFTER(Table1[[#This Row],[Location Identifier]],"-")</f>
        <v>SAC-007</v>
      </c>
      <c r="AP1429" s="9">
        <f t="shared" ca="1" si="220"/>
        <v>45869</v>
      </c>
    </row>
    <row r="1430" spans="1:42" x14ac:dyDescent="0.25">
      <c r="A1430">
        <v>27</v>
      </c>
      <c r="B1430" t="s">
        <v>51</v>
      </c>
      <c r="C1430">
        <v>5</v>
      </c>
      <c r="D1430" t="s">
        <v>160</v>
      </c>
      <c r="E1430" t="b">
        <v>1</v>
      </c>
      <c r="F1430" s="1">
        <v>0.4513888888888889</v>
      </c>
      <c r="G1430" s="1">
        <v>0.56805555555555554</v>
      </c>
      <c r="H1430">
        <v>168</v>
      </c>
      <c r="I1430" t="b">
        <v>1</v>
      </c>
      <c r="J1430" t="b">
        <v>0</v>
      </c>
      <c r="K1430" t="b">
        <v>1</v>
      </c>
      <c r="L1430" t="s">
        <v>28</v>
      </c>
      <c r="M1430">
        <v>70</v>
      </c>
      <c r="N1430" t="s">
        <v>29</v>
      </c>
      <c r="O1430">
        <v>70</v>
      </c>
      <c r="P1430" t="s">
        <v>36</v>
      </c>
      <c r="Q1430">
        <v>0</v>
      </c>
      <c r="R1430">
        <v>70</v>
      </c>
      <c r="S1430" t="s">
        <v>53</v>
      </c>
      <c r="T1430" t="s">
        <v>65</v>
      </c>
      <c r="U1430">
        <v>33.770099999999999</v>
      </c>
      <c r="V1430">
        <v>-118.19370000000001</v>
      </c>
      <c r="W1430" s="2">
        <v>44906</v>
      </c>
      <c r="X1430">
        <v>0</v>
      </c>
      <c r="Y1430" t="b">
        <v>1</v>
      </c>
      <c r="Z1430" s="2">
        <v>45808</v>
      </c>
      <c r="AA1430" t="str">
        <f t="shared" si="221"/>
        <v>20–29</v>
      </c>
      <c r="AB1430" t="str">
        <f t="shared" si="222"/>
        <v>20–29</v>
      </c>
      <c r="AC1430" t="str">
        <f t="shared" si="223"/>
        <v>Monday</v>
      </c>
      <c r="AD1430" t="str">
        <f t="shared" si="224"/>
        <v>Tuesday</v>
      </c>
      <c r="AE1430" t="str">
        <f t="shared" si="225"/>
        <v/>
      </c>
      <c r="AF1430" t="str">
        <f t="shared" si="226"/>
        <v>Thursday</v>
      </c>
      <c r="AG1430" t="str">
        <f t="shared" si="227"/>
        <v/>
      </c>
      <c r="AH1430" t="str">
        <f t="shared" si="228"/>
        <v>Saturday</v>
      </c>
      <c r="AI1430" t="str">
        <f t="shared" si="229"/>
        <v>Sunday</v>
      </c>
      <c r="AJ1430" t="str">
        <f>LEFT(Table1[[#This Row],[membership_type]],2)&amp;TEXT(Table1[[#This Row],[age]],"00")&amp;"-"&amp;TEXT(ROW(),"000")</f>
        <v>El27-1430</v>
      </c>
      <c r="AK1430" t="str">
        <f>LEFT(Table1[[#This Row],[membership_type]],1)&amp;TEXT(MATCH(Table1[[#This Row],[membership_type]],Table1[membership_type],0),"00")</f>
        <v>E07</v>
      </c>
      <c r="AL1430" t="str">
        <f>LEFT(Table1[[#This Row],[discount_type]],1)&amp;TEXT(ROUND(Table1[[#This Row],[discount_rate]]*100,0),"00")</f>
        <v>N00</v>
      </c>
      <c r="AM1430" t="str" cm="1">
        <f t="array" ref="AM1430">TEXT(SUMPRODUCT(CODE(MID(Table1[[#This Row],[home_gym_location]],_xlfn.SEQUENCE(LEN(Table1[[#This Row],[home_gym_location]])),1))),"00000")</f>
        <v>01107</v>
      </c>
      <c r="AN143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30" t="str">
        <f>LEFT(_xlfn.TEXTBEFORE(Table1[[#This Row],[Location Identifier]],"-"),3) &amp; "-" &amp; _xlfn.TEXTAFTER(Table1[[#This Row],[Location Identifier]],"-")</f>
        <v>LON-004</v>
      </c>
      <c r="AP1430" s="9">
        <f t="shared" ca="1" si="220"/>
        <v>45869</v>
      </c>
    </row>
    <row r="1431" spans="1:42" x14ac:dyDescent="0.25">
      <c r="A1431">
        <v>47</v>
      </c>
      <c r="B1431" t="s">
        <v>42</v>
      </c>
      <c r="C1431">
        <v>2</v>
      </c>
      <c r="D1431" t="s">
        <v>43</v>
      </c>
      <c r="E1431" t="b">
        <v>1</v>
      </c>
      <c r="F1431" s="1">
        <v>0.79583333333333328</v>
      </c>
      <c r="G1431" s="1">
        <v>0.82152777777777775</v>
      </c>
      <c r="H1431">
        <v>37</v>
      </c>
      <c r="I1431" t="b">
        <v>0</v>
      </c>
      <c r="J1431" t="b">
        <v>1</v>
      </c>
      <c r="K1431" t="b">
        <v>1</v>
      </c>
      <c r="L1431" t="s">
        <v>35</v>
      </c>
      <c r="M1431">
        <v>20</v>
      </c>
      <c r="N1431" t="s">
        <v>29</v>
      </c>
      <c r="O1431">
        <v>20</v>
      </c>
      <c r="P1431" t="s">
        <v>36</v>
      </c>
      <c r="Q1431">
        <v>0</v>
      </c>
      <c r="R1431">
        <v>20</v>
      </c>
      <c r="S1431" t="s">
        <v>44</v>
      </c>
      <c r="T1431" t="s">
        <v>59</v>
      </c>
      <c r="U1431">
        <v>37.774900000000002</v>
      </c>
      <c r="V1431">
        <v>-122.4194</v>
      </c>
      <c r="W1431" s="2">
        <v>45346</v>
      </c>
      <c r="X1431">
        <v>5</v>
      </c>
      <c r="Y1431" t="b">
        <v>0</v>
      </c>
      <c r="Z1431" s="2">
        <v>45833</v>
      </c>
      <c r="AA1431" t="str">
        <f t="shared" si="221"/>
        <v>40–49</v>
      </c>
      <c r="AB1431" t="str">
        <f t="shared" si="222"/>
        <v>40–49</v>
      </c>
      <c r="AC1431" t="str">
        <f t="shared" si="223"/>
        <v>Monday</v>
      </c>
      <c r="AD1431" t="str">
        <f t="shared" si="224"/>
        <v>Tuesday</v>
      </c>
      <c r="AE1431" t="str">
        <f t="shared" si="225"/>
        <v/>
      </c>
      <c r="AF1431" t="str">
        <f t="shared" si="226"/>
        <v/>
      </c>
      <c r="AG1431" t="str">
        <f t="shared" si="227"/>
        <v/>
      </c>
      <c r="AH1431" t="str">
        <f t="shared" si="228"/>
        <v/>
      </c>
      <c r="AI1431" t="str">
        <f t="shared" si="229"/>
        <v/>
      </c>
      <c r="AJ1431" t="str">
        <f>LEFT(Table1[[#This Row],[membership_type]],2)&amp;TEXT(Table1[[#This Row],[age]],"00")&amp;"-"&amp;TEXT(ROW(),"000")</f>
        <v>Ba47-1431</v>
      </c>
      <c r="AK1431" t="str">
        <f>LEFT(Table1[[#This Row],[membership_type]],1)&amp;TEXT(MATCH(Table1[[#This Row],[membership_type]],Table1[membership_type],0),"00")</f>
        <v>B04</v>
      </c>
      <c r="AL1431" t="str">
        <f>LEFT(Table1[[#This Row],[discount_type]],1)&amp;TEXT(ROUND(Table1[[#This Row],[discount_rate]]*100,0),"00")</f>
        <v>N00</v>
      </c>
      <c r="AM1431" t="str" cm="1">
        <f t="array" ref="AM1431">TEXT(SUMPRODUCT(CODE(MID(Table1[[#This Row],[home_gym_location]],_xlfn.SEQUENCE(LEN(Table1[[#This Row],[home_gym_location]])),1))),"00000")</f>
        <v>01450</v>
      </c>
      <c r="AN143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31" t="str">
        <f>LEFT(_xlfn.TEXTBEFORE(Table1[[#This Row],[Location Identifier]],"-"),3) &amp; "-" &amp; _xlfn.TEXTAFTER(Table1[[#This Row],[Location Identifier]],"-")</f>
        <v>SAN-009</v>
      </c>
      <c r="AP1431" s="9">
        <f t="shared" ca="1" si="220"/>
        <v>45869</v>
      </c>
    </row>
    <row r="1432" spans="1:42" x14ac:dyDescent="0.25">
      <c r="A1432">
        <v>29</v>
      </c>
      <c r="B1432" t="s">
        <v>51</v>
      </c>
      <c r="C1432">
        <v>2</v>
      </c>
      <c r="D1432" t="s">
        <v>46</v>
      </c>
      <c r="E1432" t="b">
        <v>0</v>
      </c>
      <c r="F1432" s="1">
        <v>0.71458333333333335</v>
      </c>
      <c r="G1432" s="1">
        <v>0.75416666666666665</v>
      </c>
      <c r="H1432">
        <v>57</v>
      </c>
      <c r="I1432" t="b">
        <v>0</v>
      </c>
      <c r="J1432" t="b">
        <v>1</v>
      </c>
      <c r="K1432" t="b">
        <v>1</v>
      </c>
      <c r="L1432" t="s">
        <v>28</v>
      </c>
      <c r="M1432">
        <v>70</v>
      </c>
      <c r="N1432" t="s">
        <v>29</v>
      </c>
      <c r="O1432">
        <v>70</v>
      </c>
      <c r="P1432" t="s">
        <v>36</v>
      </c>
      <c r="Q1432">
        <v>0</v>
      </c>
      <c r="R1432">
        <v>70</v>
      </c>
      <c r="S1432" t="s">
        <v>53</v>
      </c>
      <c r="T1432" t="s">
        <v>50</v>
      </c>
      <c r="U1432">
        <v>34.052199999999999</v>
      </c>
      <c r="V1432">
        <v>-118.2437</v>
      </c>
      <c r="W1432" s="2">
        <v>45281</v>
      </c>
      <c r="X1432">
        <v>7</v>
      </c>
      <c r="Y1432" t="b">
        <v>1</v>
      </c>
      <c r="Z1432" s="2">
        <v>45830</v>
      </c>
      <c r="AA1432" t="str">
        <f t="shared" si="221"/>
        <v>20–29</v>
      </c>
      <c r="AB1432" t="str">
        <f t="shared" si="222"/>
        <v>20–29</v>
      </c>
      <c r="AC1432" t="str">
        <f t="shared" si="223"/>
        <v/>
      </c>
      <c r="AD1432" t="str">
        <f t="shared" si="224"/>
        <v/>
      </c>
      <c r="AE1432" t="str">
        <f t="shared" si="225"/>
        <v>Wednesday</v>
      </c>
      <c r="AF1432" t="str">
        <f t="shared" si="226"/>
        <v/>
      </c>
      <c r="AG1432" t="str">
        <f t="shared" si="227"/>
        <v/>
      </c>
      <c r="AH1432" t="str">
        <f t="shared" si="228"/>
        <v/>
      </c>
      <c r="AI1432" t="str">
        <f t="shared" si="229"/>
        <v>Sunday</v>
      </c>
      <c r="AJ1432" t="str">
        <f>LEFT(Table1[[#This Row],[membership_type]],2)&amp;TEXT(Table1[[#This Row],[age]],"00")&amp;"-"&amp;TEXT(ROW(),"000")</f>
        <v>El29-1432</v>
      </c>
      <c r="AK1432" t="str">
        <f>LEFT(Table1[[#This Row],[membership_type]],1)&amp;TEXT(MATCH(Table1[[#This Row],[membership_type]],Table1[membership_type],0),"00")</f>
        <v>E07</v>
      </c>
      <c r="AL1432" t="str">
        <f>LEFT(Table1[[#This Row],[discount_type]],1)&amp;TEXT(ROUND(Table1[[#This Row],[discount_rate]]*100,0),"00")</f>
        <v>N00</v>
      </c>
      <c r="AM1432" t="str" cm="1">
        <f t="array" ref="AM1432">TEXT(SUMPRODUCT(CODE(MID(Table1[[#This Row],[home_gym_location]],_xlfn.SEQUENCE(LEN(Table1[[#This Row],[home_gym_location]])),1))),"00000")</f>
        <v>01245</v>
      </c>
      <c r="AN143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32" t="str">
        <f>LEFT(_xlfn.TEXTBEFORE(Table1[[#This Row],[Location Identifier]],"-"),3) &amp; "-" &amp; _xlfn.TEXTAFTER(Table1[[#This Row],[Location Identifier]],"-")</f>
        <v>LOS-005</v>
      </c>
      <c r="AP1432" s="9">
        <f t="shared" ca="1" si="220"/>
        <v>45869</v>
      </c>
    </row>
    <row r="1433" spans="1:42" x14ac:dyDescent="0.25">
      <c r="A1433">
        <v>14</v>
      </c>
      <c r="B1433" t="s">
        <v>26</v>
      </c>
      <c r="C1433">
        <v>1</v>
      </c>
      <c r="D1433" t="s">
        <v>97</v>
      </c>
      <c r="E1433" t="b">
        <v>1</v>
      </c>
      <c r="F1433" s="1">
        <v>0.49722222222222223</v>
      </c>
      <c r="G1433" s="1">
        <v>0.56736111111111109</v>
      </c>
      <c r="H1433">
        <v>101</v>
      </c>
      <c r="I1433" t="b">
        <v>0</v>
      </c>
      <c r="J1433" t="b">
        <v>0</v>
      </c>
      <c r="K1433" t="b">
        <v>0</v>
      </c>
      <c r="L1433" t="s">
        <v>28</v>
      </c>
      <c r="M1433">
        <v>50</v>
      </c>
      <c r="N1433" t="s">
        <v>64</v>
      </c>
      <c r="O1433">
        <v>37.5</v>
      </c>
      <c r="P1433" t="s">
        <v>36</v>
      </c>
      <c r="Q1433">
        <v>0</v>
      </c>
      <c r="R1433">
        <v>37.5</v>
      </c>
      <c r="S1433" t="s">
        <v>31</v>
      </c>
      <c r="T1433" t="s">
        <v>48</v>
      </c>
      <c r="U1433">
        <v>38.581600000000002</v>
      </c>
      <c r="V1433">
        <v>-121.4944</v>
      </c>
      <c r="W1433" s="2">
        <v>45310</v>
      </c>
      <c r="X1433">
        <v>0</v>
      </c>
      <c r="Y1433" t="b">
        <v>1</v>
      </c>
      <c r="Z1433" s="2">
        <v>45831</v>
      </c>
      <c r="AA1433" t="str">
        <f t="shared" si="221"/>
        <v>10–19</v>
      </c>
      <c r="AB1433" t="str">
        <f t="shared" si="222"/>
        <v>Under 16</v>
      </c>
      <c r="AC1433" t="str">
        <f t="shared" si="223"/>
        <v>Monday</v>
      </c>
      <c r="AD1433" t="str">
        <f t="shared" si="224"/>
        <v/>
      </c>
      <c r="AE1433" t="str">
        <f t="shared" si="225"/>
        <v/>
      </c>
      <c r="AF1433" t="str">
        <f t="shared" si="226"/>
        <v/>
      </c>
      <c r="AG1433" t="str">
        <f t="shared" si="227"/>
        <v/>
      </c>
      <c r="AH1433" t="str">
        <f t="shared" si="228"/>
        <v/>
      </c>
      <c r="AI1433" t="str">
        <f t="shared" si="229"/>
        <v/>
      </c>
      <c r="AJ1433" t="str">
        <f>LEFT(Table1[[#This Row],[membership_type]],2)&amp;TEXT(Table1[[#This Row],[age]],"00")&amp;"-"&amp;TEXT(ROW(),"000")</f>
        <v>Pr14-1433</v>
      </c>
      <c r="AK1433" t="str">
        <f>LEFT(Table1[[#This Row],[membership_type]],1)&amp;TEXT(MATCH(Table1[[#This Row],[membership_type]],Table1[membership_type],0),"00")</f>
        <v>P01</v>
      </c>
      <c r="AL1433" t="str">
        <f>LEFT(Table1[[#This Row],[discount_type]],1)&amp;TEXT(ROUND(Table1[[#This Row],[discount_rate]]*100,0),"00")</f>
        <v>N00</v>
      </c>
      <c r="AM1433" t="str" cm="1">
        <f t="array" ref="AM1433">TEXT(SUMPRODUCT(CODE(MID(Table1[[#This Row],[home_gym_location]],_xlfn.SEQUENCE(LEN(Table1[[#This Row],[home_gym_location]])),1))),"00000")</f>
        <v>01245</v>
      </c>
      <c r="AN143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33" t="str">
        <f>LEFT(_xlfn.TEXTBEFORE(Table1[[#This Row],[Location Identifier]],"-"),3) &amp; "-" &amp; _xlfn.TEXTAFTER(Table1[[#This Row],[Location Identifier]],"-")</f>
        <v>SAC-007</v>
      </c>
      <c r="AP1433" s="9">
        <f t="shared" ca="1" si="220"/>
        <v>45869</v>
      </c>
    </row>
    <row r="1434" spans="1:42" x14ac:dyDescent="0.25">
      <c r="A1434">
        <v>12</v>
      </c>
      <c r="B1434" t="s">
        <v>42</v>
      </c>
      <c r="C1434">
        <v>3</v>
      </c>
      <c r="D1434" t="s">
        <v>57</v>
      </c>
      <c r="E1434" t="b">
        <v>1</v>
      </c>
      <c r="F1434" s="1">
        <v>0.49305555555555558</v>
      </c>
      <c r="G1434" s="1">
        <v>0.57152777777777775</v>
      </c>
      <c r="H1434">
        <v>113</v>
      </c>
      <c r="I1434" t="b">
        <v>1</v>
      </c>
      <c r="J1434" t="b">
        <v>0</v>
      </c>
      <c r="K1434" t="b">
        <v>1</v>
      </c>
      <c r="L1434" t="s">
        <v>28</v>
      </c>
      <c r="M1434">
        <v>20</v>
      </c>
      <c r="N1434" t="s">
        <v>29</v>
      </c>
      <c r="O1434">
        <v>20</v>
      </c>
      <c r="P1434" t="s">
        <v>30</v>
      </c>
      <c r="Q1434">
        <v>0.05</v>
      </c>
      <c r="R1434">
        <v>19</v>
      </c>
      <c r="S1434" t="s">
        <v>44</v>
      </c>
      <c r="T1434" t="s">
        <v>56</v>
      </c>
      <c r="U1434">
        <v>35.3733</v>
      </c>
      <c r="V1434">
        <v>-119.0187</v>
      </c>
      <c r="W1434" s="2">
        <v>45120</v>
      </c>
      <c r="X1434">
        <v>0</v>
      </c>
      <c r="Y1434" t="b">
        <v>1</v>
      </c>
      <c r="Z1434" s="2">
        <v>45820</v>
      </c>
      <c r="AA1434" t="str">
        <f t="shared" si="221"/>
        <v>10–19</v>
      </c>
      <c r="AB1434" t="str">
        <f t="shared" si="222"/>
        <v>Under 16</v>
      </c>
      <c r="AC1434" t="str">
        <f t="shared" si="223"/>
        <v/>
      </c>
      <c r="AD1434" t="str">
        <f t="shared" si="224"/>
        <v/>
      </c>
      <c r="AE1434" t="str">
        <f t="shared" si="225"/>
        <v>Wednesday</v>
      </c>
      <c r="AF1434" t="str">
        <f t="shared" si="226"/>
        <v>Thursday</v>
      </c>
      <c r="AG1434" t="str">
        <f t="shared" si="227"/>
        <v/>
      </c>
      <c r="AH1434" t="str">
        <f t="shared" si="228"/>
        <v>Saturday</v>
      </c>
      <c r="AI1434" t="str">
        <f t="shared" si="229"/>
        <v/>
      </c>
      <c r="AJ1434" t="str">
        <f>LEFT(Table1[[#This Row],[membership_type]],2)&amp;TEXT(Table1[[#This Row],[age]],"00")&amp;"-"&amp;TEXT(ROW(),"000")</f>
        <v>Ba12-1434</v>
      </c>
      <c r="AK1434" t="str">
        <f>LEFT(Table1[[#This Row],[membership_type]],1)&amp;TEXT(MATCH(Table1[[#This Row],[membership_type]],Table1[membership_type],0),"00")</f>
        <v>B04</v>
      </c>
      <c r="AL1434" t="str">
        <f>LEFT(Table1[[#This Row],[discount_type]],1)&amp;TEXT(ROUND(Table1[[#This Row],[discount_rate]]*100,0),"00")</f>
        <v>P05</v>
      </c>
      <c r="AM1434" t="str" cm="1">
        <f t="array" ref="AM1434">TEXT(SUMPRODUCT(CODE(MID(Table1[[#This Row],[home_gym_location]],_xlfn.SEQUENCE(LEN(Table1[[#This Row],[home_gym_location]])),1))),"00000")</f>
        <v>01324</v>
      </c>
      <c r="AN143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34" t="str">
        <f>LEFT(_xlfn.TEXTBEFORE(Table1[[#This Row],[Location Identifier]],"-"),3) &amp; "-" &amp; _xlfn.TEXTAFTER(Table1[[#This Row],[Location Identifier]],"-")</f>
        <v>BAK-002</v>
      </c>
      <c r="AP1434" s="9">
        <f t="shared" ca="1" si="220"/>
        <v>45869</v>
      </c>
    </row>
    <row r="1435" spans="1:42" x14ac:dyDescent="0.25">
      <c r="A1435">
        <v>35</v>
      </c>
      <c r="B1435" t="s">
        <v>33</v>
      </c>
      <c r="C1435">
        <v>1</v>
      </c>
      <c r="D1435" t="s">
        <v>75</v>
      </c>
      <c r="E1435" t="b">
        <v>1</v>
      </c>
      <c r="F1435" s="1">
        <v>0.55000000000000004</v>
      </c>
      <c r="G1435" s="1">
        <v>0.62083333333333335</v>
      </c>
      <c r="H1435">
        <v>102</v>
      </c>
      <c r="I1435" t="b">
        <v>1</v>
      </c>
      <c r="J1435" t="b">
        <v>1</v>
      </c>
      <c r="K1435" t="b">
        <v>0</v>
      </c>
      <c r="L1435" t="s">
        <v>35</v>
      </c>
      <c r="M1435">
        <v>30</v>
      </c>
      <c r="N1435" t="s">
        <v>29</v>
      </c>
      <c r="O1435">
        <v>30</v>
      </c>
      <c r="P1435" t="s">
        <v>36</v>
      </c>
      <c r="Q1435">
        <v>0</v>
      </c>
      <c r="R1435">
        <v>30</v>
      </c>
      <c r="S1435" t="s">
        <v>37</v>
      </c>
      <c r="T1435" t="s">
        <v>65</v>
      </c>
      <c r="U1435">
        <v>33.770099999999999</v>
      </c>
      <c r="V1435">
        <v>-118.19370000000001</v>
      </c>
      <c r="W1435" s="2">
        <v>45682</v>
      </c>
      <c r="X1435">
        <v>1</v>
      </c>
      <c r="Y1435" t="b">
        <v>0</v>
      </c>
      <c r="Z1435" s="2">
        <v>45852</v>
      </c>
      <c r="AA1435" t="str">
        <f t="shared" si="221"/>
        <v>30–39</v>
      </c>
      <c r="AB1435" t="str">
        <f t="shared" si="222"/>
        <v>30–39</v>
      </c>
      <c r="AC1435" t="str">
        <f t="shared" si="223"/>
        <v/>
      </c>
      <c r="AD1435" t="str">
        <f t="shared" si="224"/>
        <v/>
      </c>
      <c r="AE1435" t="str">
        <f t="shared" si="225"/>
        <v/>
      </c>
      <c r="AF1435" t="str">
        <f t="shared" si="226"/>
        <v/>
      </c>
      <c r="AG1435" t="str">
        <f t="shared" si="227"/>
        <v>Friday</v>
      </c>
      <c r="AH1435" t="str">
        <f t="shared" si="228"/>
        <v/>
      </c>
      <c r="AI1435" t="str">
        <f t="shared" si="229"/>
        <v/>
      </c>
      <c r="AJ1435" t="str">
        <f>LEFT(Table1[[#This Row],[membership_type]],2)&amp;TEXT(Table1[[#This Row],[age]],"00")&amp;"-"&amp;TEXT(ROW(),"000")</f>
        <v>St35-1435</v>
      </c>
      <c r="AK1435" t="str">
        <f>LEFT(Table1[[#This Row],[membership_type]],1)&amp;TEXT(MATCH(Table1[[#This Row],[membership_type]],Table1[membership_type],0),"00")</f>
        <v>S02</v>
      </c>
      <c r="AL1435" t="str">
        <f>LEFT(Table1[[#This Row],[discount_type]],1)&amp;TEXT(ROUND(Table1[[#This Row],[discount_rate]]*100,0),"00")</f>
        <v>N00</v>
      </c>
      <c r="AM1435" t="str" cm="1">
        <f t="array" ref="AM1435">TEXT(SUMPRODUCT(CODE(MID(Table1[[#This Row],[home_gym_location]],_xlfn.SEQUENCE(LEN(Table1[[#This Row],[home_gym_location]])),1))),"00000")</f>
        <v>01107</v>
      </c>
      <c r="AN143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35" t="str">
        <f>LEFT(_xlfn.TEXTBEFORE(Table1[[#This Row],[Location Identifier]],"-"),3) &amp; "-" &amp; _xlfn.TEXTAFTER(Table1[[#This Row],[Location Identifier]],"-")</f>
        <v>LON-004</v>
      </c>
      <c r="AP1435" s="9">
        <f t="shared" ca="1" si="220"/>
        <v>45869</v>
      </c>
    </row>
    <row r="1436" spans="1:42" x14ac:dyDescent="0.25">
      <c r="A1436">
        <v>13</v>
      </c>
      <c r="B1436" t="s">
        <v>33</v>
      </c>
      <c r="C1436">
        <v>3</v>
      </c>
      <c r="D1436" t="s">
        <v>149</v>
      </c>
      <c r="E1436" t="b">
        <v>1</v>
      </c>
      <c r="F1436" s="1">
        <v>0.56736111111111109</v>
      </c>
      <c r="G1436" s="1">
        <v>0.58958333333333335</v>
      </c>
      <c r="H1436">
        <v>32</v>
      </c>
      <c r="I1436" t="b">
        <v>1</v>
      </c>
      <c r="J1436" t="b">
        <v>0</v>
      </c>
      <c r="K1436" t="b">
        <v>0</v>
      </c>
      <c r="L1436" t="s">
        <v>28</v>
      </c>
      <c r="M1436">
        <v>30</v>
      </c>
      <c r="N1436" t="s">
        <v>64</v>
      </c>
      <c r="O1436">
        <v>22.5</v>
      </c>
      <c r="P1436" t="s">
        <v>36</v>
      </c>
      <c r="Q1436">
        <v>0</v>
      </c>
      <c r="R1436">
        <v>22.5</v>
      </c>
      <c r="S1436" t="s">
        <v>37</v>
      </c>
      <c r="T1436" t="s">
        <v>65</v>
      </c>
      <c r="U1436">
        <v>33.770099999999999</v>
      </c>
      <c r="V1436">
        <v>-118.19370000000001</v>
      </c>
      <c r="W1436" s="2">
        <v>45799</v>
      </c>
      <c r="X1436">
        <v>0</v>
      </c>
      <c r="Y1436" t="b">
        <v>0</v>
      </c>
      <c r="Z1436" s="2">
        <v>45859</v>
      </c>
      <c r="AA1436" t="str">
        <f t="shared" si="221"/>
        <v>10–19</v>
      </c>
      <c r="AB1436" t="str">
        <f t="shared" si="222"/>
        <v>Under 16</v>
      </c>
      <c r="AC1436" t="str">
        <f t="shared" si="223"/>
        <v/>
      </c>
      <c r="AD1436" t="str">
        <f t="shared" si="224"/>
        <v/>
      </c>
      <c r="AE1436" t="str">
        <f t="shared" si="225"/>
        <v>Wednesday</v>
      </c>
      <c r="AF1436" t="str">
        <f t="shared" si="226"/>
        <v/>
      </c>
      <c r="AG1436" t="str">
        <f t="shared" si="227"/>
        <v>Friday</v>
      </c>
      <c r="AH1436" t="str">
        <f t="shared" si="228"/>
        <v>Saturday</v>
      </c>
      <c r="AI1436" t="str">
        <f t="shared" si="229"/>
        <v/>
      </c>
      <c r="AJ1436" t="str">
        <f>LEFT(Table1[[#This Row],[membership_type]],2)&amp;TEXT(Table1[[#This Row],[age]],"00")&amp;"-"&amp;TEXT(ROW(),"000")</f>
        <v>St13-1436</v>
      </c>
      <c r="AK1436" t="str">
        <f>LEFT(Table1[[#This Row],[membership_type]],1)&amp;TEXT(MATCH(Table1[[#This Row],[membership_type]],Table1[membership_type],0),"00")</f>
        <v>S02</v>
      </c>
      <c r="AL1436" t="str">
        <f>LEFT(Table1[[#This Row],[discount_type]],1)&amp;TEXT(ROUND(Table1[[#This Row],[discount_rate]]*100,0),"00")</f>
        <v>N00</v>
      </c>
      <c r="AM1436" t="str" cm="1">
        <f t="array" ref="AM1436">TEXT(SUMPRODUCT(CODE(MID(Table1[[#This Row],[home_gym_location]],_xlfn.SEQUENCE(LEN(Table1[[#This Row],[home_gym_location]])),1))),"00000")</f>
        <v>01107</v>
      </c>
      <c r="AN143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36" t="str">
        <f>LEFT(_xlfn.TEXTBEFORE(Table1[[#This Row],[Location Identifier]],"-"),3) &amp; "-" &amp; _xlfn.TEXTAFTER(Table1[[#This Row],[Location Identifier]],"-")</f>
        <v>LON-004</v>
      </c>
      <c r="AP1436" s="9">
        <f t="shared" ca="1" si="220"/>
        <v>45869</v>
      </c>
    </row>
    <row r="1437" spans="1:42" x14ac:dyDescent="0.25">
      <c r="A1437">
        <v>32</v>
      </c>
      <c r="B1437" t="s">
        <v>26</v>
      </c>
      <c r="C1437">
        <v>1</v>
      </c>
      <c r="D1437" t="s">
        <v>95</v>
      </c>
      <c r="E1437" t="b">
        <v>1</v>
      </c>
      <c r="F1437" s="1">
        <v>0.78055555555555556</v>
      </c>
      <c r="G1437" s="1">
        <v>0.81111111111111112</v>
      </c>
      <c r="H1437">
        <v>44</v>
      </c>
      <c r="I1437" t="b">
        <v>0</v>
      </c>
      <c r="J1437" t="b">
        <v>0</v>
      </c>
      <c r="K1437" t="b">
        <v>1</v>
      </c>
      <c r="L1437" t="s">
        <v>62</v>
      </c>
      <c r="M1437">
        <v>50</v>
      </c>
      <c r="N1437" t="s">
        <v>29</v>
      </c>
      <c r="O1437">
        <v>50</v>
      </c>
      <c r="P1437" t="s">
        <v>36</v>
      </c>
      <c r="Q1437">
        <v>0</v>
      </c>
      <c r="R1437">
        <v>50</v>
      </c>
      <c r="S1437" t="s">
        <v>31</v>
      </c>
      <c r="T1437" t="s">
        <v>54</v>
      </c>
      <c r="U1437">
        <v>32.715699999999998</v>
      </c>
      <c r="V1437">
        <v>-117.1611</v>
      </c>
      <c r="W1437" s="2">
        <v>45503</v>
      </c>
      <c r="X1437">
        <v>0</v>
      </c>
      <c r="Y1437" t="b">
        <v>1</v>
      </c>
      <c r="Z1437" s="2">
        <v>45842</v>
      </c>
      <c r="AA1437" t="str">
        <f t="shared" si="221"/>
        <v>30–39</v>
      </c>
      <c r="AB1437" t="str">
        <f t="shared" si="222"/>
        <v>30–39</v>
      </c>
      <c r="AC1437" t="str">
        <f t="shared" si="223"/>
        <v/>
      </c>
      <c r="AD1437" t="str">
        <f t="shared" si="224"/>
        <v/>
      </c>
      <c r="AE1437" t="str">
        <f t="shared" si="225"/>
        <v/>
      </c>
      <c r="AF1437" t="str">
        <f t="shared" si="226"/>
        <v/>
      </c>
      <c r="AG1437" t="str">
        <f t="shared" si="227"/>
        <v/>
      </c>
      <c r="AH1437" t="str">
        <f t="shared" si="228"/>
        <v>Saturday</v>
      </c>
      <c r="AI1437" t="str">
        <f t="shared" si="229"/>
        <v/>
      </c>
      <c r="AJ1437" t="str">
        <f>LEFT(Table1[[#This Row],[membership_type]],2)&amp;TEXT(Table1[[#This Row],[age]],"00")&amp;"-"&amp;TEXT(ROW(),"000")</f>
        <v>Pr32-1437</v>
      </c>
      <c r="AK1437" t="str">
        <f>LEFT(Table1[[#This Row],[membership_type]],1)&amp;TEXT(MATCH(Table1[[#This Row],[membership_type]],Table1[membership_type],0),"00")</f>
        <v>P01</v>
      </c>
      <c r="AL1437" t="str">
        <f>LEFT(Table1[[#This Row],[discount_type]],1)&amp;TEXT(ROUND(Table1[[#This Row],[discount_rate]]*100,0),"00")</f>
        <v>N00</v>
      </c>
      <c r="AM1437" t="str" cm="1">
        <f t="array" ref="AM1437">TEXT(SUMPRODUCT(CODE(MID(Table1[[#This Row],[home_gym_location]],_xlfn.SEQUENCE(LEN(Table1[[#This Row],[home_gym_location]])),1))),"00000")</f>
        <v>01018</v>
      </c>
      <c r="AN143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37" t="str">
        <f>LEFT(_xlfn.TEXTBEFORE(Table1[[#This Row],[Location Identifier]],"-"),3) &amp; "-" &amp; _xlfn.TEXTAFTER(Table1[[#This Row],[Location Identifier]],"-")</f>
        <v>SAN-008</v>
      </c>
      <c r="AP1437" s="9">
        <f t="shared" ca="1" si="220"/>
        <v>45869</v>
      </c>
    </row>
    <row r="1438" spans="1:42" x14ac:dyDescent="0.25">
      <c r="A1438">
        <v>44</v>
      </c>
      <c r="B1438" t="s">
        <v>33</v>
      </c>
      <c r="C1438">
        <v>2</v>
      </c>
      <c r="D1438" t="s">
        <v>46</v>
      </c>
      <c r="E1438" t="b">
        <v>1</v>
      </c>
      <c r="F1438" s="1">
        <v>0.6118055555555556</v>
      </c>
      <c r="G1438" s="1">
        <v>0.69097222222222221</v>
      </c>
      <c r="H1438">
        <v>114</v>
      </c>
      <c r="I1438" t="b">
        <v>0</v>
      </c>
      <c r="J1438" t="b">
        <v>0</v>
      </c>
      <c r="K1438" t="b">
        <v>0</v>
      </c>
      <c r="L1438" t="s">
        <v>58</v>
      </c>
      <c r="M1438">
        <v>30</v>
      </c>
      <c r="N1438" t="s">
        <v>64</v>
      </c>
      <c r="O1438">
        <v>22.5</v>
      </c>
      <c r="P1438" t="s">
        <v>30</v>
      </c>
      <c r="Q1438">
        <v>0.05</v>
      </c>
      <c r="R1438">
        <v>21.375</v>
      </c>
      <c r="S1438" t="s">
        <v>37</v>
      </c>
      <c r="T1438" t="s">
        <v>32</v>
      </c>
      <c r="U1438">
        <v>37.338200000000001</v>
      </c>
      <c r="V1438">
        <v>-121.88630000000001</v>
      </c>
      <c r="W1438" s="2">
        <v>45080</v>
      </c>
      <c r="X1438">
        <v>0</v>
      </c>
      <c r="Y1438" t="b">
        <v>1</v>
      </c>
      <c r="Z1438" s="2">
        <v>45818</v>
      </c>
      <c r="AA1438" t="str">
        <f t="shared" si="221"/>
        <v>40–49</v>
      </c>
      <c r="AB1438" t="str">
        <f t="shared" si="222"/>
        <v>40–49</v>
      </c>
      <c r="AC1438" t="str">
        <f t="shared" si="223"/>
        <v/>
      </c>
      <c r="AD1438" t="str">
        <f t="shared" si="224"/>
        <v/>
      </c>
      <c r="AE1438" t="str">
        <f t="shared" si="225"/>
        <v>Wednesday</v>
      </c>
      <c r="AF1438" t="str">
        <f t="shared" si="226"/>
        <v/>
      </c>
      <c r="AG1438" t="str">
        <f t="shared" si="227"/>
        <v/>
      </c>
      <c r="AH1438" t="str">
        <f t="shared" si="228"/>
        <v/>
      </c>
      <c r="AI1438" t="str">
        <f t="shared" si="229"/>
        <v>Sunday</v>
      </c>
      <c r="AJ1438" t="str">
        <f>LEFT(Table1[[#This Row],[membership_type]],2)&amp;TEXT(Table1[[#This Row],[age]],"00")&amp;"-"&amp;TEXT(ROW(),"000")</f>
        <v>St44-1438</v>
      </c>
      <c r="AK1438" t="str">
        <f>LEFT(Table1[[#This Row],[membership_type]],1)&amp;TEXT(MATCH(Table1[[#This Row],[membership_type]],Table1[membership_type],0),"00")</f>
        <v>S02</v>
      </c>
      <c r="AL1438" t="str">
        <f>LEFT(Table1[[#This Row],[discount_type]],1)&amp;TEXT(ROUND(Table1[[#This Row],[discount_rate]]*100,0),"00")</f>
        <v>P05</v>
      </c>
      <c r="AM1438" t="str" cm="1">
        <f t="array" ref="AM1438">TEXT(SUMPRODUCT(CODE(MID(Table1[[#This Row],[home_gym_location]],_xlfn.SEQUENCE(LEN(Table1[[#This Row],[home_gym_location]])),1))),"00000")</f>
        <v>00931</v>
      </c>
      <c r="AN143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38" t="str">
        <f>LEFT(_xlfn.TEXTBEFORE(Table1[[#This Row],[Location Identifier]],"-"),3) &amp; "-" &amp; _xlfn.TEXTAFTER(Table1[[#This Row],[Location Identifier]],"-")</f>
        <v>SAN-010</v>
      </c>
      <c r="AP1438" s="9">
        <f t="shared" ca="1" si="220"/>
        <v>45869</v>
      </c>
    </row>
    <row r="1439" spans="1:42" x14ac:dyDescent="0.25">
      <c r="A1439">
        <v>12</v>
      </c>
      <c r="B1439" t="s">
        <v>33</v>
      </c>
      <c r="C1439">
        <v>2</v>
      </c>
      <c r="D1439" t="s">
        <v>43</v>
      </c>
      <c r="E1439" t="b">
        <v>1</v>
      </c>
      <c r="F1439" s="1">
        <v>0.40902777777777777</v>
      </c>
      <c r="G1439" s="1">
        <v>0.47916666666666669</v>
      </c>
      <c r="H1439">
        <v>101</v>
      </c>
      <c r="I1439" t="b">
        <v>0</v>
      </c>
      <c r="J1439" t="b">
        <v>1</v>
      </c>
      <c r="K1439" t="b">
        <v>0</v>
      </c>
      <c r="L1439" t="s">
        <v>62</v>
      </c>
      <c r="M1439">
        <v>30</v>
      </c>
      <c r="N1439" t="s">
        <v>64</v>
      </c>
      <c r="O1439">
        <v>22.5</v>
      </c>
      <c r="P1439" t="s">
        <v>36</v>
      </c>
      <c r="Q1439">
        <v>0</v>
      </c>
      <c r="R1439">
        <v>22.5</v>
      </c>
      <c r="S1439" t="s">
        <v>37</v>
      </c>
      <c r="T1439" t="s">
        <v>38</v>
      </c>
      <c r="U1439">
        <v>36.7378</v>
      </c>
      <c r="V1439">
        <v>-119.7871</v>
      </c>
      <c r="W1439" s="2">
        <v>45616</v>
      </c>
      <c r="X1439">
        <v>5</v>
      </c>
      <c r="Y1439" t="b">
        <v>0</v>
      </c>
      <c r="Z1439" s="2">
        <v>45848</v>
      </c>
      <c r="AA1439" t="str">
        <f t="shared" si="221"/>
        <v>10–19</v>
      </c>
      <c r="AB1439" t="str">
        <f t="shared" si="222"/>
        <v>Under 16</v>
      </c>
      <c r="AC1439" t="str">
        <f t="shared" si="223"/>
        <v>Monday</v>
      </c>
      <c r="AD1439" t="str">
        <f t="shared" si="224"/>
        <v>Tuesday</v>
      </c>
      <c r="AE1439" t="str">
        <f t="shared" si="225"/>
        <v/>
      </c>
      <c r="AF1439" t="str">
        <f t="shared" si="226"/>
        <v/>
      </c>
      <c r="AG1439" t="str">
        <f t="shared" si="227"/>
        <v/>
      </c>
      <c r="AH1439" t="str">
        <f t="shared" si="228"/>
        <v/>
      </c>
      <c r="AI1439" t="str">
        <f t="shared" si="229"/>
        <v/>
      </c>
      <c r="AJ1439" t="str">
        <f>LEFT(Table1[[#This Row],[membership_type]],2)&amp;TEXT(Table1[[#This Row],[age]],"00")&amp;"-"&amp;TEXT(ROW(),"000")</f>
        <v>St12-1439</v>
      </c>
      <c r="AK1439" t="str">
        <f>LEFT(Table1[[#This Row],[membership_type]],1)&amp;TEXT(MATCH(Table1[[#This Row],[membership_type]],Table1[membership_type],0),"00")</f>
        <v>S02</v>
      </c>
      <c r="AL1439" t="str">
        <f>LEFT(Table1[[#This Row],[discount_type]],1)&amp;TEXT(ROUND(Table1[[#This Row],[discount_rate]]*100,0),"00")</f>
        <v>N00</v>
      </c>
      <c r="AM1439" t="str" cm="1">
        <f t="array" ref="AM1439">TEXT(SUMPRODUCT(CODE(MID(Table1[[#This Row],[home_gym_location]],_xlfn.SEQUENCE(LEN(Table1[[#This Row],[home_gym_location]])),1))),"00000")</f>
        <v>00829</v>
      </c>
      <c r="AN1439" t="str">
        <f>UPPER(_xlfn.TEXTBEFORE(Table1[[#This Row],[home_gym_location]],","))&amp;"-"&amp;TEXT(MATCH(Table1[[#This Row],[home_gym_location]],_xlfn._xlws.SORT(_xlfn.UNIQUE(Table1[home_gym_location])),0),"000")</f>
        <v>FRESNO-003</v>
      </c>
      <c r="AO1439" t="str">
        <f>LEFT(_xlfn.TEXTBEFORE(Table1[[#This Row],[Location Identifier]],"-"),3) &amp; "-" &amp; _xlfn.TEXTAFTER(Table1[[#This Row],[Location Identifier]],"-")</f>
        <v>FRE-003</v>
      </c>
      <c r="AP1439" s="9">
        <f t="shared" ca="1" si="220"/>
        <v>45869</v>
      </c>
    </row>
    <row r="1440" spans="1:42" x14ac:dyDescent="0.25">
      <c r="A1440">
        <v>36</v>
      </c>
      <c r="B1440" t="s">
        <v>26</v>
      </c>
      <c r="C1440">
        <v>2</v>
      </c>
      <c r="D1440" t="s">
        <v>27</v>
      </c>
      <c r="E1440" t="b">
        <v>1</v>
      </c>
      <c r="F1440" s="1">
        <v>0.81805555555555554</v>
      </c>
      <c r="G1440" s="1">
        <v>0.90277777777777779</v>
      </c>
      <c r="H1440">
        <v>122</v>
      </c>
      <c r="I1440" t="b">
        <v>1</v>
      </c>
      <c r="J1440" t="b">
        <v>1</v>
      </c>
      <c r="K1440" t="b">
        <v>1</v>
      </c>
      <c r="L1440" t="s">
        <v>28</v>
      </c>
      <c r="M1440">
        <v>50</v>
      </c>
      <c r="N1440" t="s">
        <v>29</v>
      </c>
      <c r="O1440">
        <v>50</v>
      </c>
      <c r="P1440" t="s">
        <v>30</v>
      </c>
      <c r="Q1440">
        <v>0.05</v>
      </c>
      <c r="R1440">
        <v>47.5</v>
      </c>
      <c r="S1440" t="s">
        <v>31</v>
      </c>
      <c r="T1440" t="s">
        <v>45</v>
      </c>
      <c r="U1440">
        <v>33.836599999999997</v>
      </c>
      <c r="V1440">
        <v>-117.9143</v>
      </c>
      <c r="W1440" s="2">
        <v>45113</v>
      </c>
      <c r="X1440">
        <v>6</v>
      </c>
      <c r="Y1440" t="b">
        <v>0</v>
      </c>
      <c r="Z1440" s="2">
        <v>45820</v>
      </c>
      <c r="AA1440" t="str">
        <f t="shared" si="221"/>
        <v>30–39</v>
      </c>
      <c r="AB1440" t="str">
        <f t="shared" si="222"/>
        <v>30–39</v>
      </c>
      <c r="AC1440" t="str">
        <f t="shared" si="223"/>
        <v/>
      </c>
      <c r="AD1440" t="str">
        <f t="shared" si="224"/>
        <v/>
      </c>
      <c r="AE1440" t="str">
        <f t="shared" si="225"/>
        <v/>
      </c>
      <c r="AF1440" t="str">
        <f t="shared" si="226"/>
        <v>Thursday</v>
      </c>
      <c r="AG1440" t="str">
        <f t="shared" si="227"/>
        <v/>
      </c>
      <c r="AH1440" t="str">
        <f t="shared" si="228"/>
        <v>Saturday</v>
      </c>
      <c r="AI1440" t="str">
        <f t="shared" si="229"/>
        <v/>
      </c>
      <c r="AJ1440" t="str">
        <f>LEFT(Table1[[#This Row],[membership_type]],2)&amp;TEXT(Table1[[#This Row],[age]],"00")&amp;"-"&amp;TEXT(ROW(),"000")</f>
        <v>Pr36-1440</v>
      </c>
      <c r="AK1440" t="str">
        <f>LEFT(Table1[[#This Row],[membership_type]],1)&amp;TEXT(MATCH(Table1[[#This Row],[membership_type]],Table1[membership_type],0),"00")</f>
        <v>P01</v>
      </c>
      <c r="AL1440" t="str">
        <f>LEFT(Table1[[#This Row],[discount_type]],1)&amp;TEXT(ROUND(Table1[[#This Row],[discount_rate]]*100,0),"00")</f>
        <v>P05</v>
      </c>
      <c r="AM1440" t="str" cm="1">
        <f t="array" ref="AM1440">TEXT(SUMPRODUCT(CODE(MID(Table1[[#This Row],[home_gym_location]],_xlfn.SEQUENCE(LEN(Table1[[#This Row],[home_gym_location]])),1))),"00000")</f>
        <v>00899</v>
      </c>
      <c r="AN144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40" t="str">
        <f>LEFT(_xlfn.TEXTBEFORE(Table1[[#This Row],[Location Identifier]],"-"),3) &amp; "-" &amp; _xlfn.TEXTAFTER(Table1[[#This Row],[Location Identifier]],"-")</f>
        <v>ANA-001</v>
      </c>
      <c r="AP1440" s="9">
        <f t="shared" ca="1" si="220"/>
        <v>45869</v>
      </c>
    </row>
    <row r="1441" spans="1:42" x14ac:dyDescent="0.25">
      <c r="A1441">
        <v>32</v>
      </c>
      <c r="B1441" t="s">
        <v>42</v>
      </c>
      <c r="C1441">
        <v>3</v>
      </c>
      <c r="D1441" t="s">
        <v>60</v>
      </c>
      <c r="E1441" t="b">
        <v>0</v>
      </c>
      <c r="F1441" s="1">
        <v>0.44305555555555554</v>
      </c>
      <c r="G1441" s="1">
        <v>0.54513888888888884</v>
      </c>
      <c r="H1441">
        <v>147</v>
      </c>
      <c r="I1441" t="b">
        <v>1</v>
      </c>
      <c r="J1441" t="b">
        <v>0</v>
      </c>
      <c r="K1441" t="b">
        <v>0</v>
      </c>
      <c r="L1441" t="s">
        <v>28</v>
      </c>
      <c r="M1441">
        <v>20</v>
      </c>
      <c r="N1441" t="s">
        <v>29</v>
      </c>
      <c r="O1441">
        <v>20</v>
      </c>
      <c r="P1441" t="s">
        <v>30</v>
      </c>
      <c r="Q1441">
        <v>0.05</v>
      </c>
      <c r="R1441">
        <v>19</v>
      </c>
      <c r="S1441" t="s">
        <v>44</v>
      </c>
      <c r="T1441" t="s">
        <v>38</v>
      </c>
      <c r="U1441">
        <v>36.7378</v>
      </c>
      <c r="V1441">
        <v>-119.7871</v>
      </c>
      <c r="W1441" s="2">
        <v>44798</v>
      </c>
      <c r="X1441">
        <v>0</v>
      </c>
      <c r="Y1441" t="b">
        <v>0</v>
      </c>
      <c r="Z1441" s="2">
        <v>45802</v>
      </c>
      <c r="AA1441" t="str">
        <f t="shared" si="221"/>
        <v>30–39</v>
      </c>
      <c r="AB1441" t="str">
        <f t="shared" si="222"/>
        <v>30–39</v>
      </c>
      <c r="AC1441" t="str">
        <f t="shared" si="223"/>
        <v/>
      </c>
      <c r="AD1441" t="str">
        <f t="shared" si="224"/>
        <v/>
      </c>
      <c r="AE1441" t="str">
        <f t="shared" si="225"/>
        <v>Wednesday</v>
      </c>
      <c r="AF1441" t="str">
        <f t="shared" si="226"/>
        <v/>
      </c>
      <c r="AG1441" t="str">
        <f t="shared" si="227"/>
        <v/>
      </c>
      <c r="AH1441" t="str">
        <f t="shared" si="228"/>
        <v>Saturday</v>
      </c>
      <c r="AI1441" t="str">
        <f t="shared" si="229"/>
        <v>Sunday</v>
      </c>
      <c r="AJ1441" t="str">
        <f>LEFT(Table1[[#This Row],[membership_type]],2)&amp;TEXT(Table1[[#This Row],[age]],"00")&amp;"-"&amp;TEXT(ROW(),"000")</f>
        <v>Ba32-1441</v>
      </c>
      <c r="AK1441" t="str">
        <f>LEFT(Table1[[#This Row],[membership_type]],1)&amp;TEXT(MATCH(Table1[[#This Row],[membership_type]],Table1[membership_type],0),"00")</f>
        <v>B04</v>
      </c>
      <c r="AL1441" t="str">
        <f>LEFT(Table1[[#This Row],[discount_type]],1)&amp;TEXT(ROUND(Table1[[#This Row],[discount_rate]]*100,0),"00")</f>
        <v>P05</v>
      </c>
      <c r="AM1441" t="str" cm="1">
        <f t="array" ref="AM1441">TEXT(SUMPRODUCT(CODE(MID(Table1[[#This Row],[home_gym_location]],_xlfn.SEQUENCE(LEN(Table1[[#This Row],[home_gym_location]])),1))),"00000")</f>
        <v>00829</v>
      </c>
      <c r="AN1441" t="str">
        <f>UPPER(_xlfn.TEXTBEFORE(Table1[[#This Row],[home_gym_location]],","))&amp;"-"&amp;TEXT(MATCH(Table1[[#This Row],[home_gym_location]],_xlfn._xlws.SORT(_xlfn.UNIQUE(Table1[home_gym_location])),0),"000")</f>
        <v>FRESNO-003</v>
      </c>
      <c r="AO1441" t="str">
        <f>LEFT(_xlfn.TEXTBEFORE(Table1[[#This Row],[Location Identifier]],"-"),3) &amp; "-" &amp; _xlfn.TEXTAFTER(Table1[[#This Row],[Location Identifier]],"-")</f>
        <v>FRE-003</v>
      </c>
      <c r="AP1441" s="9">
        <f t="shared" ca="1" si="220"/>
        <v>45869</v>
      </c>
    </row>
    <row r="1442" spans="1:42" x14ac:dyDescent="0.25">
      <c r="A1442">
        <v>21</v>
      </c>
      <c r="B1442" t="s">
        <v>26</v>
      </c>
      <c r="C1442">
        <v>3</v>
      </c>
      <c r="D1442" t="s">
        <v>124</v>
      </c>
      <c r="E1442" t="b">
        <v>1</v>
      </c>
      <c r="F1442" s="1">
        <v>0.84375</v>
      </c>
      <c r="G1442" s="1">
        <v>0.9</v>
      </c>
      <c r="H1442">
        <v>81</v>
      </c>
      <c r="I1442" t="b">
        <v>1</v>
      </c>
      <c r="J1442" t="b">
        <v>0</v>
      </c>
      <c r="K1442" t="b">
        <v>1</v>
      </c>
      <c r="L1442" t="s">
        <v>28</v>
      </c>
      <c r="M1442">
        <v>50</v>
      </c>
      <c r="N1442" t="s">
        <v>64</v>
      </c>
      <c r="O1442">
        <v>37.5</v>
      </c>
      <c r="P1442" t="s">
        <v>74</v>
      </c>
      <c r="Q1442">
        <v>0.15</v>
      </c>
      <c r="R1442">
        <v>31.875</v>
      </c>
      <c r="S1442" t="s">
        <v>31</v>
      </c>
      <c r="T1442" t="s">
        <v>38</v>
      </c>
      <c r="U1442">
        <v>36.7378</v>
      </c>
      <c r="V1442">
        <v>-119.7871</v>
      </c>
      <c r="W1442" s="2">
        <v>45730</v>
      </c>
      <c r="X1442">
        <v>0</v>
      </c>
      <c r="Y1442" t="b">
        <v>1</v>
      </c>
      <c r="Z1442" s="2">
        <v>45855</v>
      </c>
      <c r="AA1442" t="str">
        <f t="shared" si="221"/>
        <v>20–29</v>
      </c>
      <c r="AB1442" t="str">
        <f t="shared" si="222"/>
        <v>20–29</v>
      </c>
      <c r="AC1442" t="str">
        <f t="shared" si="223"/>
        <v>Monday</v>
      </c>
      <c r="AD1442" t="str">
        <f t="shared" si="224"/>
        <v/>
      </c>
      <c r="AE1442" t="str">
        <f t="shared" si="225"/>
        <v/>
      </c>
      <c r="AF1442" t="str">
        <f t="shared" si="226"/>
        <v>Thursday</v>
      </c>
      <c r="AG1442" t="str">
        <f t="shared" si="227"/>
        <v>Friday</v>
      </c>
      <c r="AH1442" t="str">
        <f t="shared" si="228"/>
        <v/>
      </c>
      <c r="AI1442" t="str">
        <f t="shared" si="229"/>
        <v/>
      </c>
      <c r="AJ1442" t="str">
        <f>LEFT(Table1[[#This Row],[membership_type]],2)&amp;TEXT(Table1[[#This Row],[age]],"00")&amp;"-"&amp;TEXT(ROW(),"000")</f>
        <v>Pr21-1442</v>
      </c>
      <c r="AK1442" t="str">
        <f>LEFT(Table1[[#This Row],[membership_type]],1)&amp;TEXT(MATCH(Table1[[#This Row],[membership_type]],Table1[membership_type],0),"00")</f>
        <v>P01</v>
      </c>
      <c r="AL1442" t="str">
        <f>LEFT(Table1[[#This Row],[discount_type]],1)&amp;TEXT(ROUND(Table1[[#This Row],[discount_rate]]*100,0),"00")</f>
        <v>S15</v>
      </c>
      <c r="AM1442" t="str" cm="1">
        <f t="array" ref="AM1442">TEXT(SUMPRODUCT(CODE(MID(Table1[[#This Row],[home_gym_location]],_xlfn.SEQUENCE(LEN(Table1[[#This Row],[home_gym_location]])),1))),"00000")</f>
        <v>00829</v>
      </c>
      <c r="AN1442" t="str">
        <f>UPPER(_xlfn.TEXTBEFORE(Table1[[#This Row],[home_gym_location]],","))&amp;"-"&amp;TEXT(MATCH(Table1[[#This Row],[home_gym_location]],_xlfn._xlws.SORT(_xlfn.UNIQUE(Table1[home_gym_location])),0),"000")</f>
        <v>FRESNO-003</v>
      </c>
      <c r="AO1442" t="str">
        <f>LEFT(_xlfn.TEXTBEFORE(Table1[[#This Row],[Location Identifier]],"-"),3) &amp; "-" &amp; _xlfn.TEXTAFTER(Table1[[#This Row],[Location Identifier]],"-")</f>
        <v>FRE-003</v>
      </c>
      <c r="AP1442" s="9">
        <f t="shared" ca="1" si="220"/>
        <v>45869</v>
      </c>
    </row>
    <row r="1443" spans="1:42" x14ac:dyDescent="0.25">
      <c r="A1443">
        <v>26</v>
      </c>
      <c r="B1443" t="s">
        <v>26</v>
      </c>
      <c r="C1443">
        <v>5</v>
      </c>
      <c r="D1443" t="s">
        <v>69</v>
      </c>
      <c r="E1443" t="b">
        <v>1</v>
      </c>
      <c r="F1443" s="1">
        <v>0.71597222222222223</v>
      </c>
      <c r="G1443" s="1">
        <v>0.75138888888888888</v>
      </c>
      <c r="H1443">
        <v>51</v>
      </c>
      <c r="I1443" t="b">
        <v>0</v>
      </c>
      <c r="J1443" t="b">
        <v>1</v>
      </c>
      <c r="K1443" t="b">
        <v>1</v>
      </c>
      <c r="L1443" t="s">
        <v>62</v>
      </c>
      <c r="M1443">
        <v>50</v>
      </c>
      <c r="N1443" t="s">
        <v>64</v>
      </c>
      <c r="O1443">
        <v>37.5</v>
      </c>
      <c r="P1443" t="s">
        <v>74</v>
      </c>
      <c r="Q1443">
        <v>0.15</v>
      </c>
      <c r="R1443">
        <v>31.875</v>
      </c>
      <c r="S1443" t="s">
        <v>31</v>
      </c>
      <c r="T1443" t="s">
        <v>65</v>
      </c>
      <c r="U1443">
        <v>33.770099999999999</v>
      </c>
      <c r="V1443">
        <v>-118.19370000000001</v>
      </c>
      <c r="W1443" s="2">
        <v>45114</v>
      </c>
      <c r="X1443">
        <v>2</v>
      </c>
      <c r="Y1443" t="b">
        <v>1</v>
      </c>
      <c r="Z1443" s="2">
        <v>45820</v>
      </c>
      <c r="AA1443" t="str">
        <f t="shared" si="221"/>
        <v>20–29</v>
      </c>
      <c r="AB1443" t="str">
        <f t="shared" si="222"/>
        <v>20–29</v>
      </c>
      <c r="AC1443" t="str">
        <f t="shared" si="223"/>
        <v>Monday</v>
      </c>
      <c r="AD1443" t="str">
        <f t="shared" si="224"/>
        <v/>
      </c>
      <c r="AE1443" t="str">
        <f t="shared" si="225"/>
        <v>Wednesday</v>
      </c>
      <c r="AF1443" t="str">
        <f t="shared" si="226"/>
        <v>Thursday</v>
      </c>
      <c r="AG1443" t="str">
        <f t="shared" si="227"/>
        <v/>
      </c>
      <c r="AH1443" t="str">
        <f t="shared" si="228"/>
        <v>Saturday</v>
      </c>
      <c r="AI1443" t="str">
        <f t="shared" si="229"/>
        <v>Sunday</v>
      </c>
      <c r="AJ1443" t="str">
        <f>LEFT(Table1[[#This Row],[membership_type]],2)&amp;TEXT(Table1[[#This Row],[age]],"00")&amp;"-"&amp;TEXT(ROW(),"000")</f>
        <v>Pr26-1443</v>
      </c>
      <c r="AK1443" t="str">
        <f>LEFT(Table1[[#This Row],[membership_type]],1)&amp;TEXT(MATCH(Table1[[#This Row],[membership_type]],Table1[membership_type],0),"00")</f>
        <v>P01</v>
      </c>
      <c r="AL1443" t="str">
        <f>LEFT(Table1[[#This Row],[discount_type]],1)&amp;TEXT(ROUND(Table1[[#This Row],[discount_rate]]*100,0),"00")</f>
        <v>S15</v>
      </c>
      <c r="AM1443" t="str" cm="1">
        <f t="array" ref="AM1443">TEXT(SUMPRODUCT(CODE(MID(Table1[[#This Row],[home_gym_location]],_xlfn.SEQUENCE(LEN(Table1[[#This Row],[home_gym_location]])),1))),"00000")</f>
        <v>01107</v>
      </c>
      <c r="AN144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43" t="str">
        <f>LEFT(_xlfn.TEXTBEFORE(Table1[[#This Row],[Location Identifier]],"-"),3) &amp; "-" &amp; _xlfn.TEXTAFTER(Table1[[#This Row],[Location Identifier]],"-")</f>
        <v>LON-004</v>
      </c>
      <c r="AP1443" s="9">
        <f t="shared" ca="1" si="220"/>
        <v>45869</v>
      </c>
    </row>
    <row r="1444" spans="1:42" x14ac:dyDescent="0.25">
      <c r="A1444">
        <v>26</v>
      </c>
      <c r="B1444" t="s">
        <v>33</v>
      </c>
      <c r="C1444">
        <v>3</v>
      </c>
      <c r="D1444" t="s">
        <v>129</v>
      </c>
      <c r="E1444" t="b">
        <v>1</v>
      </c>
      <c r="F1444" s="1">
        <v>0.55833333333333335</v>
      </c>
      <c r="G1444" s="1">
        <v>0.66180555555555554</v>
      </c>
      <c r="H1444">
        <v>149</v>
      </c>
      <c r="I1444" t="b">
        <v>1</v>
      </c>
      <c r="J1444" t="b">
        <v>1</v>
      </c>
      <c r="K1444" t="b">
        <v>0</v>
      </c>
      <c r="L1444" t="s">
        <v>62</v>
      </c>
      <c r="M1444">
        <v>30</v>
      </c>
      <c r="N1444" t="s">
        <v>64</v>
      </c>
      <c r="O1444">
        <v>22.5</v>
      </c>
      <c r="P1444" t="s">
        <v>40</v>
      </c>
      <c r="Q1444">
        <v>0.1</v>
      </c>
      <c r="R1444">
        <v>20.25</v>
      </c>
      <c r="S1444" t="s">
        <v>37</v>
      </c>
      <c r="T1444" t="s">
        <v>50</v>
      </c>
      <c r="U1444">
        <v>34.052199999999999</v>
      </c>
      <c r="V1444">
        <v>-118.2437</v>
      </c>
      <c r="W1444" s="2">
        <v>45358</v>
      </c>
      <c r="X1444">
        <v>6</v>
      </c>
      <c r="Y1444" t="b">
        <v>0</v>
      </c>
      <c r="Z1444" s="2">
        <v>45834</v>
      </c>
      <c r="AA1444" t="str">
        <f t="shared" si="221"/>
        <v>20–29</v>
      </c>
      <c r="AB1444" t="str">
        <f t="shared" si="222"/>
        <v>20–29</v>
      </c>
      <c r="AC1444" t="str">
        <f t="shared" si="223"/>
        <v/>
      </c>
      <c r="AD1444" t="str">
        <f t="shared" si="224"/>
        <v>Tuesday</v>
      </c>
      <c r="AE1444" t="str">
        <f t="shared" si="225"/>
        <v>Wednesday</v>
      </c>
      <c r="AF1444" t="str">
        <f t="shared" si="226"/>
        <v/>
      </c>
      <c r="AG1444" t="str">
        <f t="shared" si="227"/>
        <v/>
      </c>
      <c r="AH1444" t="str">
        <f t="shared" si="228"/>
        <v/>
      </c>
      <c r="AI1444" t="str">
        <f t="shared" si="229"/>
        <v>Sunday</v>
      </c>
      <c r="AJ1444" t="str">
        <f>LEFT(Table1[[#This Row],[membership_type]],2)&amp;TEXT(Table1[[#This Row],[age]],"00")&amp;"-"&amp;TEXT(ROW(),"000")</f>
        <v>St26-1444</v>
      </c>
      <c r="AK1444" t="str">
        <f>LEFT(Table1[[#This Row],[membership_type]],1)&amp;TEXT(MATCH(Table1[[#This Row],[membership_type]],Table1[membership_type],0),"00")</f>
        <v>S02</v>
      </c>
      <c r="AL1444" t="str">
        <f>LEFT(Table1[[#This Row],[discount_type]],1)&amp;TEXT(ROUND(Table1[[#This Row],[discount_rate]]*100,0),"00")</f>
        <v>L10</v>
      </c>
      <c r="AM1444" t="str" cm="1">
        <f t="array" ref="AM1444">TEXT(SUMPRODUCT(CODE(MID(Table1[[#This Row],[home_gym_location]],_xlfn.SEQUENCE(LEN(Table1[[#This Row],[home_gym_location]])),1))),"00000")</f>
        <v>01245</v>
      </c>
      <c r="AN144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44" t="str">
        <f>LEFT(_xlfn.TEXTBEFORE(Table1[[#This Row],[Location Identifier]],"-"),3) &amp; "-" &amp; _xlfn.TEXTAFTER(Table1[[#This Row],[Location Identifier]],"-")</f>
        <v>LOS-005</v>
      </c>
      <c r="AP1444" s="9">
        <f t="shared" ca="1" si="220"/>
        <v>45869</v>
      </c>
    </row>
    <row r="1445" spans="1:42" x14ac:dyDescent="0.25">
      <c r="A1445">
        <v>42</v>
      </c>
      <c r="B1445" t="s">
        <v>33</v>
      </c>
      <c r="C1445">
        <v>3</v>
      </c>
      <c r="D1445" t="s">
        <v>90</v>
      </c>
      <c r="E1445" t="b">
        <v>1</v>
      </c>
      <c r="F1445" s="1">
        <v>0.43263888888888891</v>
      </c>
      <c r="G1445" s="1">
        <v>0.50069444444444444</v>
      </c>
      <c r="H1445">
        <v>98</v>
      </c>
      <c r="I1445" t="b">
        <v>0</v>
      </c>
      <c r="J1445" t="b">
        <v>1</v>
      </c>
      <c r="K1445" t="b">
        <v>1</v>
      </c>
      <c r="L1445" t="s">
        <v>28</v>
      </c>
      <c r="M1445">
        <v>30</v>
      </c>
      <c r="N1445" t="s">
        <v>29</v>
      </c>
      <c r="O1445">
        <v>30</v>
      </c>
      <c r="P1445" t="s">
        <v>74</v>
      </c>
      <c r="Q1445">
        <v>0.15</v>
      </c>
      <c r="R1445">
        <v>25.5</v>
      </c>
      <c r="S1445" t="s">
        <v>37</v>
      </c>
      <c r="T1445" t="s">
        <v>48</v>
      </c>
      <c r="U1445">
        <v>38.581600000000002</v>
      </c>
      <c r="V1445">
        <v>-121.4944</v>
      </c>
      <c r="W1445" s="2">
        <v>44906</v>
      </c>
      <c r="X1445">
        <v>4</v>
      </c>
      <c r="Y1445" t="b">
        <v>0</v>
      </c>
      <c r="Z1445" s="2">
        <v>45808</v>
      </c>
      <c r="AA1445" t="str">
        <f t="shared" si="221"/>
        <v>40–49</v>
      </c>
      <c r="AB1445" t="str">
        <f t="shared" si="222"/>
        <v>40–49</v>
      </c>
      <c r="AC1445" t="str">
        <f t="shared" si="223"/>
        <v/>
      </c>
      <c r="AD1445" t="str">
        <f t="shared" si="224"/>
        <v>Tuesday</v>
      </c>
      <c r="AE1445" t="str">
        <f t="shared" si="225"/>
        <v/>
      </c>
      <c r="AF1445" t="str">
        <f t="shared" si="226"/>
        <v/>
      </c>
      <c r="AG1445" t="str">
        <f t="shared" si="227"/>
        <v/>
      </c>
      <c r="AH1445" t="str">
        <f t="shared" si="228"/>
        <v>Saturday</v>
      </c>
      <c r="AI1445" t="str">
        <f t="shared" si="229"/>
        <v>Sunday</v>
      </c>
      <c r="AJ1445" t="str">
        <f>LEFT(Table1[[#This Row],[membership_type]],2)&amp;TEXT(Table1[[#This Row],[age]],"00")&amp;"-"&amp;TEXT(ROW(),"000")</f>
        <v>St42-1445</v>
      </c>
      <c r="AK1445" t="str">
        <f>LEFT(Table1[[#This Row],[membership_type]],1)&amp;TEXT(MATCH(Table1[[#This Row],[membership_type]],Table1[membership_type],0),"00")</f>
        <v>S02</v>
      </c>
      <c r="AL1445" t="str">
        <f>LEFT(Table1[[#This Row],[discount_type]],1)&amp;TEXT(ROUND(Table1[[#This Row],[discount_rate]]*100,0),"00")</f>
        <v>S15</v>
      </c>
      <c r="AM1445" t="str" cm="1">
        <f t="array" ref="AM1445">TEXT(SUMPRODUCT(CODE(MID(Table1[[#This Row],[home_gym_location]],_xlfn.SEQUENCE(LEN(Table1[[#This Row],[home_gym_location]])),1))),"00000")</f>
        <v>01245</v>
      </c>
      <c r="AN144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45" t="str">
        <f>LEFT(_xlfn.TEXTBEFORE(Table1[[#This Row],[Location Identifier]],"-"),3) &amp; "-" &amp; _xlfn.TEXTAFTER(Table1[[#This Row],[Location Identifier]],"-")</f>
        <v>SAC-007</v>
      </c>
      <c r="AP1445" s="9">
        <f t="shared" ca="1" si="220"/>
        <v>45869</v>
      </c>
    </row>
    <row r="1446" spans="1:42" x14ac:dyDescent="0.25">
      <c r="A1446">
        <v>48</v>
      </c>
      <c r="B1446" t="s">
        <v>33</v>
      </c>
      <c r="C1446">
        <v>2</v>
      </c>
      <c r="D1446" t="s">
        <v>73</v>
      </c>
      <c r="E1446" t="b">
        <v>0</v>
      </c>
      <c r="F1446" s="1">
        <v>0.85138888888888886</v>
      </c>
      <c r="G1446" s="1">
        <v>0.94861111111111107</v>
      </c>
      <c r="H1446">
        <v>140</v>
      </c>
      <c r="I1446" t="b">
        <v>0</v>
      </c>
      <c r="J1446" t="b">
        <v>1</v>
      </c>
      <c r="K1446" t="b">
        <v>0</v>
      </c>
      <c r="L1446" t="s">
        <v>62</v>
      </c>
      <c r="M1446">
        <v>30</v>
      </c>
      <c r="N1446" t="s">
        <v>29</v>
      </c>
      <c r="O1446">
        <v>30</v>
      </c>
      <c r="P1446" t="s">
        <v>74</v>
      </c>
      <c r="Q1446">
        <v>0.15</v>
      </c>
      <c r="R1446">
        <v>25.5</v>
      </c>
      <c r="S1446" t="s">
        <v>37</v>
      </c>
      <c r="T1446" t="s">
        <v>59</v>
      </c>
      <c r="U1446">
        <v>37.774900000000002</v>
      </c>
      <c r="V1446">
        <v>-122.4194</v>
      </c>
      <c r="W1446" s="2">
        <v>45642</v>
      </c>
      <c r="X1446">
        <v>4</v>
      </c>
      <c r="Y1446" t="b">
        <v>1</v>
      </c>
      <c r="Z1446" s="2">
        <v>45850</v>
      </c>
      <c r="AA1446" t="str">
        <f t="shared" si="221"/>
        <v>40–49</v>
      </c>
      <c r="AB1446" t="str">
        <f t="shared" si="222"/>
        <v>40–49</v>
      </c>
      <c r="AC1446" t="str">
        <f t="shared" si="223"/>
        <v/>
      </c>
      <c r="AD1446" t="str">
        <f t="shared" si="224"/>
        <v>Tuesday</v>
      </c>
      <c r="AE1446" t="str">
        <f t="shared" si="225"/>
        <v/>
      </c>
      <c r="AF1446" t="str">
        <f t="shared" si="226"/>
        <v/>
      </c>
      <c r="AG1446" t="str">
        <f t="shared" si="227"/>
        <v>Friday</v>
      </c>
      <c r="AH1446" t="str">
        <f t="shared" si="228"/>
        <v/>
      </c>
      <c r="AI1446" t="str">
        <f t="shared" si="229"/>
        <v/>
      </c>
      <c r="AJ1446" t="str">
        <f>LEFT(Table1[[#This Row],[membership_type]],2)&amp;TEXT(Table1[[#This Row],[age]],"00")&amp;"-"&amp;TEXT(ROW(),"000")</f>
        <v>St48-1446</v>
      </c>
      <c r="AK1446" t="str">
        <f>LEFT(Table1[[#This Row],[membership_type]],1)&amp;TEXT(MATCH(Table1[[#This Row],[membership_type]],Table1[membership_type],0),"00")</f>
        <v>S02</v>
      </c>
      <c r="AL1446" t="str">
        <f>LEFT(Table1[[#This Row],[discount_type]],1)&amp;TEXT(ROUND(Table1[[#This Row],[discount_rate]]*100,0),"00")</f>
        <v>S15</v>
      </c>
      <c r="AM1446" t="str" cm="1">
        <f t="array" ref="AM1446">TEXT(SUMPRODUCT(CODE(MID(Table1[[#This Row],[home_gym_location]],_xlfn.SEQUENCE(LEN(Table1[[#This Row],[home_gym_location]])),1))),"00000")</f>
        <v>01450</v>
      </c>
      <c r="AN144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46" t="str">
        <f>LEFT(_xlfn.TEXTBEFORE(Table1[[#This Row],[Location Identifier]],"-"),3) &amp; "-" &amp; _xlfn.TEXTAFTER(Table1[[#This Row],[Location Identifier]],"-")</f>
        <v>SAN-009</v>
      </c>
      <c r="AP1446" s="9">
        <f t="shared" ca="1" si="220"/>
        <v>45869</v>
      </c>
    </row>
    <row r="1447" spans="1:42" x14ac:dyDescent="0.25">
      <c r="A1447">
        <v>18</v>
      </c>
      <c r="B1447" t="s">
        <v>26</v>
      </c>
      <c r="C1447">
        <v>3</v>
      </c>
      <c r="D1447" t="s">
        <v>131</v>
      </c>
      <c r="E1447" t="b">
        <v>0</v>
      </c>
      <c r="F1447" s="1">
        <v>0.55972222222222223</v>
      </c>
      <c r="G1447" s="1">
        <v>0.67708333333333337</v>
      </c>
      <c r="H1447">
        <v>169</v>
      </c>
      <c r="I1447" t="b">
        <v>0</v>
      </c>
      <c r="J1447" t="b">
        <v>0</v>
      </c>
      <c r="K1447" t="b">
        <v>0</v>
      </c>
      <c r="L1447" t="s">
        <v>47</v>
      </c>
      <c r="M1447">
        <v>50</v>
      </c>
      <c r="N1447" t="s">
        <v>29</v>
      </c>
      <c r="O1447">
        <v>50</v>
      </c>
      <c r="P1447" t="s">
        <v>74</v>
      </c>
      <c r="Q1447">
        <v>0.15</v>
      </c>
      <c r="R1447">
        <v>42.5</v>
      </c>
      <c r="S1447" t="s">
        <v>31</v>
      </c>
      <c r="T1447" t="s">
        <v>65</v>
      </c>
      <c r="U1447">
        <v>33.770099999999999</v>
      </c>
      <c r="V1447">
        <v>-118.19370000000001</v>
      </c>
      <c r="W1447" s="2">
        <v>45093</v>
      </c>
      <c r="X1447">
        <v>0</v>
      </c>
      <c r="Y1447" t="b">
        <v>1</v>
      </c>
      <c r="Z1447" s="2">
        <v>45819</v>
      </c>
      <c r="AA1447" t="str">
        <f t="shared" si="221"/>
        <v>10–19</v>
      </c>
      <c r="AB1447" t="str">
        <f t="shared" si="222"/>
        <v>16–19</v>
      </c>
      <c r="AC1447" t="str">
        <f t="shared" si="223"/>
        <v>Monday</v>
      </c>
      <c r="AD1447" t="str">
        <f t="shared" si="224"/>
        <v/>
      </c>
      <c r="AE1447" t="str">
        <f t="shared" si="225"/>
        <v/>
      </c>
      <c r="AF1447" t="str">
        <f t="shared" si="226"/>
        <v/>
      </c>
      <c r="AG1447" t="str">
        <f t="shared" si="227"/>
        <v>Friday</v>
      </c>
      <c r="AH1447" t="str">
        <f t="shared" si="228"/>
        <v/>
      </c>
      <c r="AI1447" t="str">
        <f t="shared" si="229"/>
        <v>Sunday</v>
      </c>
      <c r="AJ1447" t="str">
        <f>LEFT(Table1[[#This Row],[membership_type]],2)&amp;TEXT(Table1[[#This Row],[age]],"00")&amp;"-"&amp;TEXT(ROW(),"000")</f>
        <v>Pr18-1447</v>
      </c>
      <c r="AK1447" t="str">
        <f>LEFT(Table1[[#This Row],[membership_type]],1)&amp;TEXT(MATCH(Table1[[#This Row],[membership_type]],Table1[membership_type],0),"00")</f>
        <v>P01</v>
      </c>
      <c r="AL1447" t="str">
        <f>LEFT(Table1[[#This Row],[discount_type]],1)&amp;TEXT(ROUND(Table1[[#This Row],[discount_rate]]*100,0),"00")</f>
        <v>S15</v>
      </c>
      <c r="AM1447" t="str" cm="1">
        <f t="array" ref="AM1447">TEXT(SUMPRODUCT(CODE(MID(Table1[[#This Row],[home_gym_location]],_xlfn.SEQUENCE(LEN(Table1[[#This Row],[home_gym_location]])),1))),"00000")</f>
        <v>01107</v>
      </c>
      <c r="AN144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47" t="str">
        <f>LEFT(_xlfn.TEXTBEFORE(Table1[[#This Row],[Location Identifier]],"-"),3) &amp; "-" &amp; _xlfn.TEXTAFTER(Table1[[#This Row],[Location Identifier]],"-")</f>
        <v>LON-004</v>
      </c>
      <c r="AP1447" s="9">
        <f t="shared" ca="1" si="220"/>
        <v>45869</v>
      </c>
    </row>
    <row r="1448" spans="1:42" x14ac:dyDescent="0.25">
      <c r="A1448">
        <v>19</v>
      </c>
      <c r="B1448" t="s">
        <v>26</v>
      </c>
      <c r="C1448">
        <v>3</v>
      </c>
      <c r="D1448" t="s">
        <v>125</v>
      </c>
      <c r="E1448" t="b">
        <v>0</v>
      </c>
      <c r="F1448" s="1">
        <v>0.73819444444444449</v>
      </c>
      <c r="G1448" s="1">
        <v>0.77361111111111114</v>
      </c>
      <c r="H1448">
        <v>51</v>
      </c>
      <c r="I1448" t="b">
        <v>0</v>
      </c>
      <c r="J1448" t="b">
        <v>1</v>
      </c>
      <c r="K1448" t="b">
        <v>1</v>
      </c>
      <c r="L1448" t="s">
        <v>62</v>
      </c>
      <c r="M1448">
        <v>50</v>
      </c>
      <c r="N1448" t="s">
        <v>64</v>
      </c>
      <c r="O1448">
        <v>37.5</v>
      </c>
      <c r="P1448" t="s">
        <v>30</v>
      </c>
      <c r="Q1448">
        <v>0.05</v>
      </c>
      <c r="R1448">
        <v>35.625</v>
      </c>
      <c r="S1448" t="s">
        <v>31</v>
      </c>
      <c r="T1448" t="s">
        <v>32</v>
      </c>
      <c r="U1448">
        <v>37.338200000000001</v>
      </c>
      <c r="V1448">
        <v>-121.88630000000001</v>
      </c>
      <c r="W1448" s="2">
        <v>44938</v>
      </c>
      <c r="X1448">
        <v>2</v>
      </c>
      <c r="Y1448" t="b">
        <v>1</v>
      </c>
      <c r="Z1448" s="2">
        <v>45810</v>
      </c>
      <c r="AA1448" t="str">
        <f t="shared" si="221"/>
        <v>10–19</v>
      </c>
      <c r="AB1448" t="str">
        <f t="shared" si="222"/>
        <v>16–19</v>
      </c>
      <c r="AC1448" t="str">
        <f t="shared" si="223"/>
        <v/>
      </c>
      <c r="AD1448" t="str">
        <f t="shared" si="224"/>
        <v/>
      </c>
      <c r="AE1448" t="str">
        <f t="shared" si="225"/>
        <v/>
      </c>
      <c r="AF1448" t="str">
        <f t="shared" si="226"/>
        <v>Thursday</v>
      </c>
      <c r="AG1448" t="str">
        <f t="shared" si="227"/>
        <v/>
      </c>
      <c r="AH1448" t="str">
        <f t="shared" si="228"/>
        <v>Saturday</v>
      </c>
      <c r="AI1448" t="str">
        <f t="shared" si="229"/>
        <v>Sunday</v>
      </c>
      <c r="AJ1448" t="str">
        <f>LEFT(Table1[[#This Row],[membership_type]],2)&amp;TEXT(Table1[[#This Row],[age]],"00")&amp;"-"&amp;TEXT(ROW(),"000")</f>
        <v>Pr19-1448</v>
      </c>
      <c r="AK1448" t="str">
        <f>LEFT(Table1[[#This Row],[membership_type]],1)&amp;TEXT(MATCH(Table1[[#This Row],[membership_type]],Table1[membership_type],0),"00")</f>
        <v>P01</v>
      </c>
      <c r="AL1448" t="str">
        <f>LEFT(Table1[[#This Row],[discount_type]],1)&amp;TEXT(ROUND(Table1[[#This Row],[discount_rate]]*100,0),"00")</f>
        <v>P05</v>
      </c>
      <c r="AM1448" t="str" cm="1">
        <f t="array" ref="AM1448">TEXT(SUMPRODUCT(CODE(MID(Table1[[#This Row],[home_gym_location]],_xlfn.SEQUENCE(LEN(Table1[[#This Row],[home_gym_location]])),1))),"00000")</f>
        <v>00931</v>
      </c>
      <c r="AN144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48" t="str">
        <f>LEFT(_xlfn.TEXTBEFORE(Table1[[#This Row],[Location Identifier]],"-"),3) &amp; "-" &amp; _xlfn.TEXTAFTER(Table1[[#This Row],[Location Identifier]],"-")</f>
        <v>SAN-010</v>
      </c>
      <c r="AP1448" s="9">
        <f t="shared" ca="1" si="220"/>
        <v>45869</v>
      </c>
    </row>
    <row r="1449" spans="1:42" x14ac:dyDescent="0.25">
      <c r="A1449">
        <v>35</v>
      </c>
      <c r="B1449" t="s">
        <v>42</v>
      </c>
      <c r="C1449">
        <v>2</v>
      </c>
      <c r="D1449" t="s">
        <v>101</v>
      </c>
      <c r="E1449" t="b">
        <v>1</v>
      </c>
      <c r="F1449" s="1">
        <v>0.68055555555555558</v>
      </c>
      <c r="G1449" s="1">
        <v>0.72291666666666665</v>
      </c>
      <c r="H1449">
        <v>61</v>
      </c>
      <c r="I1449" t="b">
        <v>1</v>
      </c>
      <c r="J1449" t="b">
        <v>1</v>
      </c>
      <c r="K1449" t="b">
        <v>0</v>
      </c>
      <c r="L1449" t="s">
        <v>62</v>
      </c>
      <c r="M1449">
        <v>20</v>
      </c>
      <c r="N1449" t="s">
        <v>29</v>
      </c>
      <c r="O1449">
        <v>20</v>
      </c>
      <c r="P1449" t="s">
        <v>36</v>
      </c>
      <c r="Q1449">
        <v>0</v>
      </c>
      <c r="R1449">
        <v>20</v>
      </c>
      <c r="S1449" t="s">
        <v>44</v>
      </c>
      <c r="T1449" t="s">
        <v>65</v>
      </c>
      <c r="U1449">
        <v>33.770099999999999</v>
      </c>
      <c r="V1449">
        <v>-118.19370000000001</v>
      </c>
      <c r="W1449" s="2">
        <v>44824</v>
      </c>
      <c r="X1449">
        <v>8</v>
      </c>
      <c r="Y1449" t="b">
        <v>0</v>
      </c>
      <c r="Z1449" s="2">
        <v>45804</v>
      </c>
      <c r="AA1449" t="str">
        <f t="shared" si="221"/>
        <v>30–39</v>
      </c>
      <c r="AB1449" t="str">
        <f t="shared" si="222"/>
        <v>30–39</v>
      </c>
      <c r="AC1449" t="str">
        <f t="shared" si="223"/>
        <v>Monday</v>
      </c>
      <c r="AD1449" t="str">
        <f t="shared" si="224"/>
        <v/>
      </c>
      <c r="AE1449" t="str">
        <f t="shared" si="225"/>
        <v/>
      </c>
      <c r="AF1449" t="str">
        <f t="shared" si="226"/>
        <v/>
      </c>
      <c r="AG1449" t="str">
        <f t="shared" si="227"/>
        <v>Friday</v>
      </c>
      <c r="AH1449" t="str">
        <f t="shared" si="228"/>
        <v/>
      </c>
      <c r="AI1449" t="str">
        <f t="shared" si="229"/>
        <v/>
      </c>
      <c r="AJ1449" t="str">
        <f>LEFT(Table1[[#This Row],[membership_type]],2)&amp;TEXT(Table1[[#This Row],[age]],"00")&amp;"-"&amp;TEXT(ROW(),"000")</f>
        <v>Ba35-1449</v>
      </c>
      <c r="AK1449" t="str">
        <f>LEFT(Table1[[#This Row],[membership_type]],1)&amp;TEXT(MATCH(Table1[[#This Row],[membership_type]],Table1[membership_type],0),"00")</f>
        <v>B04</v>
      </c>
      <c r="AL1449" t="str">
        <f>LEFT(Table1[[#This Row],[discount_type]],1)&amp;TEXT(ROUND(Table1[[#This Row],[discount_rate]]*100,0),"00")</f>
        <v>N00</v>
      </c>
      <c r="AM1449" t="str" cm="1">
        <f t="array" ref="AM1449">TEXT(SUMPRODUCT(CODE(MID(Table1[[#This Row],[home_gym_location]],_xlfn.SEQUENCE(LEN(Table1[[#This Row],[home_gym_location]])),1))),"00000")</f>
        <v>01107</v>
      </c>
      <c r="AN144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49" t="str">
        <f>LEFT(_xlfn.TEXTBEFORE(Table1[[#This Row],[Location Identifier]],"-"),3) &amp; "-" &amp; _xlfn.TEXTAFTER(Table1[[#This Row],[Location Identifier]],"-")</f>
        <v>LON-004</v>
      </c>
      <c r="AP1449" s="9">
        <f t="shared" ca="1" si="220"/>
        <v>45869</v>
      </c>
    </row>
    <row r="1450" spans="1:42" x14ac:dyDescent="0.25">
      <c r="A1450">
        <v>46</v>
      </c>
      <c r="B1450" t="s">
        <v>26</v>
      </c>
      <c r="C1450">
        <v>4</v>
      </c>
      <c r="D1450" t="s">
        <v>157</v>
      </c>
      <c r="E1450" t="b">
        <v>1</v>
      </c>
      <c r="F1450" s="1">
        <v>0.56319444444444444</v>
      </c>
      <c r="G1450" s="1">
        <v>0.65763888888888888</v>
      </c>
      <c r="H1450">
        <v>136</v>
      </c>
      <c r="I1450" t="b">
        <v>1</v>
      </c>
      <c r="J1450" t="b">
        <v>1</v>
      </c>
      <c r="K1450" t="b">
        <v>0</v>
      </c>
      <c r="L1450" t="s">
        <v>62</v>
      </c>
      <c r="M1450">
        <v>50</v>
      </c>
      <c r="N1450" t="s">
        <v>78</v>
      </c>
      <c r="O1450">
        <v>45</v>
      </c>
      <c r="P1450" t="s">
        <v>40</v>
      </c>
      <c r="Q1450">
        <v>0.1</v>
      </c>
      <c r="R1450">
        <v>40.5</v>
      </c>
      <c r="S1450" t="s">
        <v>31</v>
      </c>
      <c r="T1450" t="s">
        <v>41</v>
      </c>
      <c r="U1450">
        <v>37.804400000000001</v>
      </c>
      <c r="V1450">
        <v>-122.27119999999999</v>
      </c>
      <c r="W1450" s="2">
        <v>45103</v>
      </c>
      <c r="X1450">
        <v>3</v>
      </c>
      <c r="Y1450" t="b">
        <v>1</v>
      </c>
      <c r="Z1450" s="2">
        <v>45820</v>
      </c>
      <c r="AA1450" t="str">
        <f t="shared" si="221"/>
        <v>40–49</v>
      </c>
      <c r="AB1450" t="str">
        <f t="shared" si="222"/>
        <v>40–49</v>
      </c>
      <c r="AC1450" t="str">
        <f t="shared" si="223"/>
        <v>Monday</v>
      </c>
      <c r="AD1450" t="str">
        <f t="shared" si="224"/>
        <v/>
      </c>
      <c r="AE1450" t="str">
        <f t="shared" si="225"/>
        <v>Wednesday</v>
      </c>
      <c r="AF1450" t="str">
        <f t="shared" si="226"/>
        <v/>
      </c>
      <c r="AG1450" t="str">
        <f t="shared" si="227"/>
        <v>Friday</v>
      </c>
      <c r="AH1450" t="str">
        <f t="shared" si="228"/>
        <v>Saturday</v>
      </c>
      <c r="AI1450" t="str">
        <f t="shared" si="229"/>
        <v/>
      </c>
      <c r="AJ1450" t="str">
        <f>LEFT(Table1[[#This Row],[membership_type]],2)&amp;TEXT(Table1[[#This Row],[age]],"00")&amp;"-"&amp;TEXT(ROW(),"000")</f>
        <v>Pr46-1450</v>
      </c>
      <c r="AK1450" t="str">
        <f>LEFT(Table1[[#This Row],[membership_type]],1)&amp;TEXT(MATCH(Table1[[#This Row],[membership_type]],Table1[membership_type],0),"00")</f>
        <v>P01</v>
      </c>
      <c r="AL1450" t="str">
        <f>LEFT(Table1[[#This Row],[discount_type]],1)&amp;TEXT(ROUND(Table1[[#This Row],[discount_rate]]*100,0),"00")</f>
        <v>L10</v>
      </c>
      <c r="AM1450" t="str" cm="1">
        <f t="array" ref="AM1450">TEXT(SUMPRODUCT(CODE(MID(Table1[[#This Row],[home_gym_location]],_xlfn.SEQUENCE(LEN(Table1[[#This Row],[home_gym_location]])),1))),"00000")</f>
        <v>00906</v>
      </c>
      <c r="AN145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50" t="str">
        <f>LEFT(_xlfn.TEXTBEFORE(Table1[[#This Row],[Location Identifier]],"-"),3) &amp; "-" &amp; _xlfn.TEXTAFTER(Table1[[#This Row],[Location Identifier]],"-")</f>
        <v>OAK-006</v>
      </c>
      <c r="AP1450" s="9">
        <f t="shared" ca="1" si="220"/>
        <v>45869</v>
      </c>
    </row>
    <row r="1451" spans="1:42" x14ac:dyDescent="0.25">
      <c r="A1451">
        <v>39</v>
      </c>
      <c r="B1451" t="s">
        <v>33</v>
      </c>
      <c r="C1451">
        <v>2</v>
      </c>
      <c r="D1451" t="s">
        <v>130</v>
      </c>
      <c r="E1451" t="b">
        <v>0</v>
      </c>
      <c r="F1451" s="1">
        <v>0.74791666666666667</v>
      </c>
      <c r="G1451" s="1">
        <v>0.82291666666666663</v>
      </c>
      <c r="H1451">
        <v>108</v>
      </c>
      <c r="I1451" t="b">
        <v>1</v>
      </c>
      <c r="J1451" t="b">
        <v>1</v>
      </c>
      <c r="K1451" t="b">
        <v>1</v>
      </c>
      <c r="L1451" t="s">
        <v>35</v>
      </c>
      <c r="M1451">
        <v>30</v>
      </c>
      <c r="N1451" t="s">
        <v>29</v>
      </c>
      <c r="O1451">
        <v>30</v>
      </c>
      <c r="P1451" t="s">
        <v>36</v>
      </c>
      <c r="Q1451">
        <v>0</v>
      </c>
      <c r="R1451">
        <v>30</v>
      </c>
      <c r="S1451" t="s">
        <v>37</v>
      </c>
      <c r="T1451" t="s">
        <v>41</v>
      </c>
      <c r="U1451">
        <v>37.804400000000001</v>
      </c>
      <c r="V1451">
        <v>-122.27119999999999</v>
      </c>
      <c r="W1451" s="2">
        <v>45301</v>
      </c>
      <c r="X1451">
        <v>3</v>
      </c>
      <c r="Y1451" t="b">
        <v>1</v>
      </c>
      <c r="Z1451" s="2">
        <v>45831</v>
      </c>
      <c r="AA1451" t="str">
        <f t="shared" si="221"/>
        <v>30–39</v>
      </c>
      <c r="AB1451" t="str">
        <f t="shared" si="222"/>
        <v>30–39</v>
      </c>
      <c r="AC1451" t="str">
        <f t="shared" si="223"/>
        <v>Monday</v>
      </c>
      <c r="AD1451" t="str">
        <f t="shared" si="224"/>
        <v/>
      </c>
      <c r="AE1451" t="str">
        <f t="shared" si="225"/>
        <v/>
      </c>
      <c r="AF1451" t="str">
        <f t="shared" si="226"/>
        <v>Thursday</v>
      </c>
      <c r="AG1451" t="str">
        <f t="shared" si="227"/>
        <v/>
      </c>
      <c r="AH1451" t="str">
        <f t="shared" si="228"/>
        <v/>
      </c>
      <c r="AI1451" t="str">
        <f t="shared" si="229"/>
        <v/>
      </c>
      <c r="AJ1451" t="str">
        <f>LEFT(Table1[[#This Row],[membership_type]],2)&amp;TEXT(Table1[[#This Row],[age]],"00")&amp;"-"&amp;TEXT(ROW(),"000")</f>
        <v>St39-1451</v>
      </c>
      <c r="AK1451" t="str">
        <f>LEFT(Table1[[#This Row],[membership_type]],1)&amp;TEXT(MATCH(Table1[[#This Row],[membership_type]],Table1[membership_type],0),"00")</f>
        <v>S02</v>
      </c>
      <c r="AL1451" t="str">
        <f>LEFT(Table1[[#This Row],[discount_type]],1)&amp;TEXT(ROUND(Table1[[#This Row],[discount_rate]]*100,0),"00")</f>
        <v>N00</v>
      </c>
      <c r="AM1451" t="str" cm="1">
        <f t="array" ref="AM1451">TEXT(SUMPRODUCT(CODE(MID(Table1[[#This Row],[home_gym_location]],_xlfn.SEQUENCE(LEN(Table1[[#This Row],[home_gym_location]])),1))),"00000")</f>
        <v>00906</v>
      </c>
      <c r="AN145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51" t="str">
        <f>LEFT(_xlfn.TEXTBEFORE(Table1[[#This Row],[Location Identifier]],"-"),3) &amp; "-" &amp; _xlfn.TEXTAFTER(Table1[[#This Row],[Location Identifier]],"-")</f>
        <v>OAK-006</v>
      </c>
      <c r="AP1451" s="9">
        <f t="shared" ca="1" si="220"/>
        <v>45869</v>
      </c>
    </row>
    <row r="1452" spans="1:42" x14ac:dyDescent="0.25">
      <c r="A1452">
        <v>22</v>
      </c>
      <c r="B1452" t="s">
        <v>51</v>
      </c>
      <c r="C1452">
        <v>3</v>
      </c>
      <c r="D1452" t="s">
        <v>106</v>
      </c>
      <c r="E1452" t="b">
        <v>1</v>
      </c>
      <c r="F1452" s="1">
        <v>0.49027777777777776</v>
      </c>
      <c r="G1452" s="1">
        <v>0.57430555555555551</v>
      </c>
      <c r="H1452">
        <v>121</v>
      </c>
      <c r="I1452" t="b">
        <v>0</v>
      </c>
      <c r="J1452" t="b">
        <v>1</v>
      </c>
      <c r="K1452" t="b">
        <v>1</v>
      </c>
      <c r="L1452" t="s">
        <v>62</v>
      </c>
      <c r="M1452">
        <v>70</v>
      </c>
      <c r="N1452" t="s">
        <v>29</v>
      </c>
      <c r="O1452">
        <v>70</v>
      </c>
      <c r="P1452" t="s">
        <v>36</v>
      </c>
      <c r="Q1452">
        <v>0</v>
      </c>
      <c r="R1452">
        <v>70</v>
      </c>
      <c r="S1452" t="s">
        <v>53</v>
      </c>
      <c r="T1452" t="s">
        <v>54</v>
      </c>
      <c r="U1452">
        <v>32.715699999999998</v>
      </c>
      <c r="V1452">
        <v>-117.1611</v>
      </c>
      <c r="W1452" s="2">
        <v>45172</v>
      </c>
      <c r="X1452">
        <v>4</v>
      </c>
      <c r="Y1452" t="b">
        <v>1</v>
      </c>
      <c r="Z1452" s="2">
        <v>45823</v>
      </c>
      <c r="AA1452" t="str">
        <f t="shared" si="221"/>
        <v>20–29</v>
      </c>
      <c r="AB1452" t="str">
        <f t="shared" si="222"/>
        <v>20–29</v>
      </c>
      <c r="AC1452" t="str">
        <f t="shared" si="223"/>
        <v/>
      </c>
      <c r="AD1452" t="str">
        <f t="shared" si="224"/>
        <v/>
      </c>
      <c r="AE1452" t="str">
        <f t="shared" si="225"/>
        <v>Wednesday</v>
      </c>
      <c r="AF1452" t="str">
        <f t="shared" si="226"/>
        <v>Thursday</v>
      </c>
      <c r="AG1452" t="str">
        <f t="shared" si="227"/>
        <v>Friday</v>
      </c>
      <c r="AH1452" t="str">
        <f t="shared" si="228"/>
        <v/>
      </c>
      <c r="AI1452" t="str">
        <f t="shared" si="229"/>
        <v/>
      </c>
      <c r="AJ1452" t="str">
        <f>LEFT(Table1[[#This Row],[membership_type]],2)&amp;TEXT(Table1[[#This Row],[age]],"00")&amp;"-"&amp;TEXT(ROW(),"000")</f>
        <v>El22-1452</v>
      </c>
      <c r="AK1452" t="str">
        <f>LEFT(Table1[[#This Row],[membership_type]],1)&amp;TEXT(MATCH(Table1[[#This Row],[membership_type]],Table1[membership_type],0),"00")</f>
        <v>E07</v>
      </c>
      <c r="AL1452" t="str">
        <f>LEFT(Table1[[#This Row],[discount_type]],1)&amp;TEXT(ROUND(Table1[[#This Row],[discount_rate]]*100,0),"00")</f>
        <v>N00</v>
      </c>
      <c r="AM1452" t="str" cm="1">
        <f t="array" ref="AM1452">TEXT(SUMPRODUCT(CODE(MID(Table1[[#This Row],[home_gym_location]],_xlfn.SEQUENCE(LEN(Table1[[#This Row],[home_gym_location]])),1))),"00000")</f>
        <v>01018</v>
      </c>
      <c r="AN145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452" t="str">
        <f>LEFT(_xlfn.TEXTBEFORE(Table1[[#This Row],[Location Identifier]],"-"),3) &amp; "-" &amp; _xlfn.TEXTAFTER(Table1[[#This Row],[Location Identifier]],"-")</f>
        <v>SAN-008</v>
      </c>
      <c r="AP1452" s="9">
        <f t="shared" ca="1" si="220"/>
        <v>45869</v>
      </c>
    </row>
    <row r="1453" spans="1:42" x14ac:dyDescent="0.25">
      <c r="A1453">
        <v>27</v>
      </c>
      <c r="B1453" t="s">
        <v>26</v>
      </c>
      <c r="C1453">
        <v>3</v>
      </c>
      <c r="D1453" t="s">
        <v>57</v>
      </c>
      <c r="E1453" t="b">
        <v>0</v>
      </c>
      <c r="F1453" s="1">
        <v>0.49305555555555558</v>
      </c>
      <c r="G1453" s="1">
        <v>0.53749999999999998</v>
      </c>
      <c r="H1453">
        <v>64</v>
      </c>
      <c r="I1453" t="b">
        <v>0</v>
      </c>
      <c r="J1453" t="b">
        <v>0</v>
      </c>
      <c r="K1453" t="b">
        <v>0</v>
      </c>
      <c r="L1453" t="s">
        <v>35</v>
      </c>
      <c r="M1453">
        <v>50</v>
      </c>
      <c r="N1453" t="s">
        <v>64</v>
      </c>
      <c r="O1453">
        <v>37.5</v>
      </c>
      <c r="P1453" t="s">
        <v>30</v>
      </c>
      <c r="Q1453">
        <v>0.05</v>
      </c>
      <c r="R1453">
        <v>35.625</v>
      </c>
      <c r="S1453" t="s">
        <v>31</v>
      </c>
      <c r="T1453" t="s">
        <v>50</v>
      </c>
      <c r="U1453">
        <v>34.052199999999999</v>
      </c>
      <c r="V1453">
        <v>-118.2437</v>
      </c>
      <c r="W1453" s="2">
        <v>44905</v>
      </c>
      <c r="X1453">
        <v>0</v>
      </c>
      <c r="Y1453" t="b">
        <v>1</v>
      </c>
      <c r="Z1453" s="2">
        <v>45808</v>
      </c>
      <c r="AA1453" t="str">
        <f t="shared" si="221"/>
        <v>20–29</v>
      </c>
      <c r="AB1453" t="str">
        <f t="shared" si="222"/>
        <v>20–29</v>
      </c>
      <c r="AC1453" t="str">
        <f t="shared" si="223"/>
        <v/>
      </c>
      <c r="AD1453" t="str">
        <f t="shared" si="224"/>
        <v/>
      </c>
      <c r="AE1453" t="str">
        <f t="shared" si="225"/>
        <v>Wednesday</v>
      </c>
      <c r="AF1453" t="str">
        <f t="shared" si="226"/>
        <v>Thursday</v>
      </c>
      <c r="AG1453" t="str">
        <f t="shared" si="227"/>
        <v/>
      </c>
      <c r="AH1453" t="str">
        <f t="shared" si="228"/>
        <v>Saturday</v>
      </c>
      <c r="AI1453" t="str">
        <f t="shared" si="229"/>
        <v/>
      </c>
      <c r="AJ1453" t="str">
        <f>LEFT(Table1[[#This Row],[membership_type]],2)&amp;TEXT(Table1[[#This Row],[age]],"00")&amp;"-"&amp;TEXT(ROW(),"000")</f>
        <v>Pr27-1453</v>
      </c>
      <c r="AK1453" t="str">
        <f>LEFT(Table1[[#This Row],[membership_type]],1)&amp;TEXT(MATCH(Table1[[#This Row],[membership_type]],Table1[membership_type],0),"00")</f>
        <v>P01</v>
      </c>
      <c r="AL1453" t="str">
        <f>LEFT(Table1[[#This Row],[discount_type]],1)&amp;TEXT(ROUND(Table1[[#This Row],[discount_rate]]*100,0),"00")</f>
        <v>P05</v>
      </c>
      <c r="AM1453" t="str" cm="1">
        <f t="array" ref="AM1453">TEXT(SUMPRODUCT(CODE(MID(Table1[[#This Row],[home_gym_location]],_xlfn.SEQUENCE(LEN(Table1[[#This Row],[home_gym_location]])),1))),"00000")</f>
        <v>01245</v>
      </c>
      <c r="AN145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53" t="str">
        <f>LEFT(_xlfn.TEXTBEFORE(Table1[[#This Row],[Location Identifier]],"-"),3) &amp; "-" &amp; _xlfn.TEXTAFTER(Table1[[#This Row],[Location Identifier]],"-")</f>
        <v>LOS-005</v>
      </c>
      <c r="AP1453" s="9">
        <f t="shared" ca="1" si="220"/>
        <v>45869</v>
      </c>
    </row>
    <row r="1454" spans="1:42" x14ac:dyDescent="0.25">
      <c r="A1454">
        <v>33</v>
      </c>
      <c r="B1454" t="s">
        <v>33</v>
      </c>
      <c r="C1454">
        <v>1</v>
      </c>
      <c r="D1454" t="s">
        <v>63</v>
      </c>
      <c r="E1454" t="b">
        <v>1</v>
      </c>
      <c r="F1454" s="1">
        <v>0.37777777777777777</v>
      </c>
      <c r="G1454" s="1">
        <v>0.40763888888888888</v>
      </c>
      <c r="H1454">
        <v>43</v>
      </c>
      <c r="I1454" t="b">
        <v>1</v>
      </c>
      <c r="J1454" t="b">
        <v>0</v>
      </c>
      <c r="K1454" t="b">
        <v>0</v>
      </c>
      <c r="L1454" t="s">
        <v>28</v>
      </c>
      <c r="M1454">
        <v>30</v>
      </c>
      <c r="N1454" t="s">
        <v>29</v>
      </c>
      <c r="O1454">
        <v>30</v>
      </c>
      <c r="P1454" t="s">
        <v>36</v>
      </c>
      <c r="Q1454">
        <v>0</v>
      </c>
      <c r="R1454">
        <v>30</v>
      </c>
      <c r="S1454" t="s">
        <v>37</v>
      </c>
      <c r="T1454" t="s">
        <v>65</v>
      </c>
      <c r="U1454">
        <v>33.770099999999999</v>
      </c>
      <c r="V1454">
        <v>-118.19370000000001</v>
      </c>
      <c r="W1454" s="2">
        <v>45223</v>
      </c>
      <c r="X1454">
        <v>0</v>
      </c>
      <c r="Y1454" t="b">
        <v>0</v>
      </c>
      <c r="Z1454" s="2">
        <v>45826</v>
      </c>
      <c r="AA1454" t="str">
        <f t="shared" si="221"/>
        <v>30–39</v>
      </c>
      <c r="AB1454" t="str">
        <f t="shared" si="222"/>
        <v>30–39</v>
      </c>
      <c r="AC1454" t="str">
        <f t="shared" si="223"/>
        <v/>
      </c>
      <c r="AD1454" t="str">
        <f t="shared" si="224"/>
        <v/>
      </c>
      <c r="AE1454" t="str">
        <f t="shared" si="225"/>
        <v>Wednesday</v>
      </c>
      <c r="AF1454" t="str">
        <f t="shared" si="226"/>
        <v/>
      </c>
      <c r="AG1454" t="str">
        <f t="shared" si="227"/>
        <v/>
      </c>
      <c r="AH1454" t="str">
        <f t="shared" si="228"/>
        <v/>
      </c>
      <c r="AI1454" t="str">
        <f t="shared" si="229"/>
        <v/>
      </c>
      <c r="AJ1454" t="str">
        <f>LEFT(Table1[[#This Row],[membership_type]],2)&amp;TEXT(Table1[[#This Row],[age]],"00")&amp;"-"&amp;TEXT(ROW(),"000")</f>
        <v>St33-1454</v>
      </c>
      <c r="AK1454" t="str">
        <f>LEFT(Table1[[#This Row],[membership_type]],1)&amp;TEXT(MATCH(Table1[[#This Row],[membership_type]],Table1[membership_type],0),"00")</f>
        <v>S02</v>
      </c>
      <c r="AL1454" t="str">
        <f>LEFT(Table1[[#This Row],[discount_type]],1)&amp;TEXT(ROUND(Table1[[#This Row],[discount_rate]]*100,0),"00")</f>
        <v>N00</v>
      </c>
      <c r="AM1454" t="str" cm="1">
        <f t="array" ref="AM1454">TEXT(SUMPRODUCT(CODE(MID(Table1[[#This Row],[home_gym_location]],_xlfn.SEQUENCE(LEN(Table1[[#This Row],[home_gym_location]])),1))),"00000")</f>
        <v>01107</v>
      </c>
      <c r="AN145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54" t="str">
        <f>LEFT(_xlfn.TEXTBEFORE(Table1[[#This Row],[Location Identifier]],"-"),3) &amp; "-" &amp; _xlfn.TEXTAFTER(Table1[[#This Row],[Location Identifier]],"-")</f>
        <v>LON-004</v>
      </c>
      <c r="AP1454" s="9">
        <f t="shared" ca="1" si="220"/>
        <v>45869</v>
      </c>
    </row>
    <row r="1455" spans="1:42" x14ac:dyDescent="0.25">
      <c r="A1455">
        <v>36</v>
      </c>
      <c r="B1455" t="s">
        <v>51</v>
      </c>
      <c r="C1455">
        <v>2</v>
      </c>
      <c r="D1455" t="s">
        <v>103</v>
      </c>
      <c r="E1455" t="b">
        <v>0</v>
      </c>
      <c r="F1455" s="1">
        <v>0.65138888888888891</v>
      </c>
      <c r="G1455" s="1">
        <v>0.73333333333333328</v>
      </c>
      <c r="H1455">
        <v>118</v>
      </c>
      <c r="I1455" t="b">
        <v>0</v>
      </c>
      <c r="J1455" t="b">
        <v>1</v>
      </c>
      <c r="K1455" t="b">
        <v>0</v>
      </c>
      <c r="L1455" t="s">
        <v>62</v>
      </c>
      <c r="M1455">
        <v>70</v>
      </c>
      <c r="N1455" t="s">
        <v>29</v>
      </c>
      <c r="O1455">
        <v>70</v>
      </c>
      <c r="P1455" t="s">
        <v>30</v>
      </c>
      <c r="Q1455">
        <v>0.05</v>
      </c>
      <c r="R1455">
        <v>66.5</v>
      </c>
      <c r="S1455" t="s">
        <v>53</v>
      </c>
      <c r="T1455" t="s">
        <v>50</v>
      </c>
      <c r="U1455">
        <v>34.052199999999999</v>
      </c>
      <c r="V1455">
        <v>-118.2437</v>
      </c>
      <c r="W1455" s="2">
        <v>45798</v>
      </c>
      <c r="X1455">
        <v>4</v>
      </c>
      <c r="Y1455" t="b">
        <v>1</v>
      </c>
      <c r="Z1455" s="2">
        <v>45859</v>
      </c>
      <c r="AA1455" t="str">
        <f t="shared" si="221"/>
        <v>30–39</v>
      </c>
      <c r="AB1455" t="str">
        <f t="shared" si="222"/>
        <v>30–39</v>
      </c>
      <c r="AC1455" t="str">
        <f t="shared" si="223"/>
        <v>Monday</v>
      </c>
      <c r="AD1455" t="str">
        <f t="shared" si="224"/>
        <v/>
      </c>
      <c r="AE1455" t="str">
        <f t="shared" si="225"/>
        <v/>
      </c>
      <c r="AF1455" t="str">
        <f t="shared" si="226"/>
        <v/>
      </c>
      <c r="AG1455" t="str">
        <f t="shared" si="227"/>
        <v/>
      </c>
      <c r="AH1455" t="str">
        <f t="shared" si="228"/>
        <v/>
      </c>
      <c r="AI1455" t="str">
        <f t="shared" si="229"/>
        <v>Sunday</v>
      </c>
      <c r="AJ1455" t="str">
        <f>LEFT(Table1[[#This Row],[membership_type]],2)&amp;TEXT(Table1[[#This Row],[age]],"00")&amp;"-"&amp;TEXT(ROW(),"000")</f>
        <v>El36-1455</v>
      </c>
      <c r="AK1455" t="str">
        <f>LEFT(Table1[[#This Row],[membership_type]],1)&amp;TEXT(MATCH(Table1[[#This Row],[membership_type]],Table1[membership_type],0),"00")</f>
        <v>E07</v>
      </c>
      <c r="AL1455" t="str">
        <f>LEFT(Table1[[#This Row],[discount_type]],1)&amp;TEXT(ROUND(Table1[[#This Row],[discount_rate]]*100,0),"00")</f>
        <v>P05</v>
      </c>
      <c r="AM1455" t="str" cm="1">
        <f t="array" ref="AM1455">TEXT(SUMPRODUCT(CODE(MID(Table1[[#This Row],[home_gym_location]],_xlfn.SEQUENCE(LEN(Table1[[#This Row],[home_gym_location]])),1))),"00000")</f>
        <v>01245</v>
      </c>
      <c r="AN145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55" t="str">
        <f>LEFT(_xlfn.TEXTBEFORE(Table1[[#This Row],[Location Identifier]],"-"),3) &amp; "-" &amp; _xlfn.TEXTAFTER(Table1[[#This Row],[Location Identifier]],"-")</f>
        <v>LOS-005</v>
      </c>
      <c r="AP1455" s="9">
        <f t="shared" ca="1" si="220"/>
        <v>45869</v>
      </c>
    </row>
    <row r="1456" spans="1:42" x14ac:dyDescent="0.25">
      <c r="A1456">
        <v>36</v>
      </c>
      <c r="B1456" t="s">
        <v>26</v>
      </c>
      <c r="C1456">
        <v>3</v>
      </c>
      <c r="D1456" t="s">
        <v>91</v>
      </c>
      <c r="E1456" t="b">
        <v>0</v>
      </c>
      <c r="F1456" s="1">
        <v>0.46250000000000002</v>
      </c>
      <c r="G1456" s="1">
        <v>0.48888888888888887</v>
      </c>
      <c r="H1456">
        <v>38</v>
      </c>
      <c r="I1456" t="b">
        <v>1</v>
      </c>
      <c r="J1456" t="b">
        <v>1</v>
      </c>
      <c r="K1456" t="b">
        <v>0</v>
      </c>
      <c r="L1456" t="s">
        <v>62</v>
      </c>
      <c r="M1456">
        <v>50</v>
      </c>
      <c r="N1456" t="s">
        <v>29</v>
      </c>
      <c r="O1456">
        <v>50</v>
      </c>
      <c r="P1456" t="s">
        <v>40</v>
      </c>
      <c r="Q1456">
        <v>0.1</v>
      </c>
      <c r="R1456">
        <v>45</v>
      </c>
      <c r="S1456" t="s">
        <v>31</v>
      </c>
      <c r="T1456" t="s">
        <v>45</v>
      </c>
      <c r="U1456">
        <v>33.836599999999997</v>
      </c>
      <c r="V1456">
        <v>-117.9143</v>
      </c>
      <c r="W1456" s="2">
        <v>44839</v>
      </c>
      <c r="X1456">
        <v>7</v>
      </c>
      <c r="Y1456" t="b">
        <v>1</v>
      </c>
      <c r="Z1456" s="2">
        <v>45805</v>
      </c>
      <c r="AA1456" t="str">
        <f t="shared" si="221"/>
        <v>30–39</v>
      </c>
      <c r="AB1456" t="str">
        <f t="shared" si="222"/>
        <v>30–39</v>
      </c>
      <c r="AC1456" t="str">
        <f t="shared" si="223"/>
        <v>Monday</v>
      </c>
      <c r="AD1456" t="str">
        <f t="shared" si="224"/>
        <v/>
      </c>
      <c r="AE1456" t="str">
        <f t="shared" si="225"/>
        <v/>
      </c>
      <c r="AF1456" t="str">
        <f t="shared" si="226"/>
        <v>Thursday</v>
      </c>
      <c r="AG1456" t="str">
        <f t="shared" si="227"/>
        <v/>
      </c>
      <c r="AH1456" t="str">
        <f t="shared" si="228"/>
        <v>Saturday</v>
      </c>
      <c r="AI1456" t="str">
        <f t="shared" si="229"/>
        <v/>
      </c>
      <c r="AJ1456" t="str">
        <f>LEFT(Table1[[#This Row],[membership_type]],2)&amp;TEXT(Table1[[#This Row],[age]],"00")&amp;"-"&amp;TEXT(ROW(),"000")</f>
        <v>Pr36-1456</v>
      </c>
      <c r="AK1456" t="str">
        <f>LEFT(Table1[[#This Row],[membership_type]],1)&amp;TEXT(MATCH(Table1[[#This Row],[membership_type]],Table1[membership_type],0),"00")</f>
        <v>P01</v>
      </c>
      <c r="AL1456" t="str">
        <f>LEFT(Table1[[#This Row],[discount_type]],1)&amp;TEXT(ROUND(Table1[[#This Row],[discount_rate]]*100,0),"00")</f>
        <v>L10</v>
      </c>
      <c r="AM1456" t="str" cm="1">
        <f t="array" ref="AM1456">TEXT(SUMPRODUCT(CODE(MID(Table1[[#This Row],[home_gym_location]],_xlfn.SEQUENCE(LEN(Table1[[#This Row],[home_gym_location]])),1))),"00000")</f>
        <v>00899</v>
      </c>
      <c r="AN145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456" t="str">
        <f>LEFT(_xlfn.TEXTBEFORE(Table1[[#This Row],[Location Identifier]],"-"),3) &amp; "-" &amp; _xlfn.TEXTAFTER(Table1[[#This Row],[Location Identifier]],"-")</f>
        <v>ANA-001</v>
      </c>
      <c r="AP1456" s="9">
        <f t="shared" ca="1" si="220"/>
        <v>45869</v>
      </c>
    </row>
    <row r="1457" spans="1:42" x14ac:dyDescent="0.25">
      <c r="A1457">
        <v>19</v>
      </c>
      <c r="B1457" t="s">
        <v>42</v>
      </c>
      <c r="C1457">
        <v>2</v>
      </c>
      <c r="D1457" t="s">
        <v>61</v>
      </c>
      <c r="E1457" t="b">
        <v>0</v>
      </c>
      <c r="F1457" s="1">
        <v>0.70625000000000004</v>
      </c>
      <c r="G1457" s="1">
        <v>0.78749999999999998</v>
      </c>
      <c r="H1457">
        <v>117</v>
      </c>
      <c r="I1457" t="b">
        <v>1</v>
      </c>
      <c r="J1457" t="b">
        <v>1</v>
      </c>
      <c r="K1457" t="b">
        <v>0</v>
      </c>
      <c r="L1457" t="s">
        <v>62</v>
      </c>
      <c r="M1457">
        <v>20</v>
      </c>
      <c r="N1457" t="s">
        <v>64</v>
      </c>
      <c r="O1457">
        <v>15</v>
      </c>
      <c r="P1457" t="s">
        <v>36</v>
      </c>
      <c r="Q1457">
        <v>0</v>
      </c>
      <c r="R1457">
        <v>15</v>
      </c>
      <c r="S1457" t="s">
        <v>44</v>
      </c>
      <c r="T1457" t="s">
        <v>48</v>
      </c>
      <c r="U1457">
        <v>38.581600000000002</v>
      </c>
      <c r="V1457">
        <v>-121.4944</v>
      </c>
      <c r="W1457" s="2">
        <v>45096</v>
      </c>
      <c r="X1457">
        <v>1</v>
      </c>
      <c r="Y1457" t="b">
        <v>0</v>
      </c>
      <c r="Z1457" s="2">
        <v>45819</v>
      </c>
      <c r="AA1457" t="str">
        <f t="shared" si="221"/>
        <v>10–19</v>
      </c>
      <c r="AB1457" t="str">
        <f t="shared" si="222"/>
        <v>16–19</v>
      </c>
      <c r="AC1457" t="str">
        <f t="shared" si="223"/>
        <v/>
      </c>
      <c r="AD1457" t="str">
        <f t="shared" si="224"/>
        <v>Tuesday</v>
      </c>
      <c r="AE1457" t="str">
        <f t="shared" si="225"/>
        <v/>
      </c>
      <c r="AF1457" t="str">
        <f t="shared" si="226"/>
        <v/>
      </c>
      <c r="AG1457" t="str">
        <f t="shared" si="227"/>
        <v/>
      </c>
      <c r="AH1457" t="str">
        <f t="shared" si="228"/>
        <v>Saturday</v>
      </c>
      <c r="AI1457" t="str">
        <f t="shared" si="229"/>
        <v/>
      </c>
      <c r="AJ1457" t="str">
        <f>LEFT(Table1[[#This Row],[membership_type]],2)&amp;TEXT(Table1[[#This Row],[age]],"00")&amp;"-"&amp;TEXT(ROW(),"000")</f>
        <v>Ba19-1457</v>
      </c>
      <c r="AK1457" t="str">
        <f>LEFT(Table1[[#This Row],[membership_type]],1)&amp;TEXT(MATCH(Table1[[#This Row],[membership_type]],Table1[membership_type],0),"00")</f>
        <v>B04</v>
      </c>
      <c r="AL1457" t="str">
        <f>LEFT(Table1[[#This Row],[discount_type]],1)&amp;TEXT(ROUND(Table1[[#This Row],[discount_rate]]*100,0),"00")</f>
        <v>N00</v>
      </c>
      <c r="AM1457" t="str" cm="1">
        <f t="array" ref="AM1457">TEXT(SUMPRODUCT(CODE(MID(Table1[[#This Row],[home_gym_location]],_xlfn.SEQUENCE(LEN(Table1[[#This Row],[home_gym_location]])),1))),"00000")</f>
        <v>01245</v>
      </c>
      <c r="AN145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57" t="str">
        <f>LEFT(_xlfn.TEXTBEFORE(Table1[[#This Row],[Location Identifier]],"-"),3) &amp; "-" &amp; _xlfn.TEXTAFTER(Table1[[#This Row],[Location Identifier]],"-")</f>
        <v>SAC-007</v>
      </c>
      <c r="AP1457" s="9">
        <f t="shared" ca="1" si="220"/>
        <v>45869</v>
      </c>
    </row>
    <row r="1458" spans="1:42" x14ac:dyDescent="0.25">
      <c r="A1458">
        <v>16</v>
      </c>
      <c r="B1458" t="s">
        <v>42</v>
      </c>
      <c r="C1458">
        <v>3</v>
      </c>
      <c r="D1458" t="s">
        <v>91</v>
      </c>
      <c r="E1458" t="b">
        <v>0</v>
      </c>
      <c r="F1458" s="1">
        <v>0.63194444444444442</v>
      </c>
      <c r="G1458" s="1">
        <v>0.67083333333333328</v>
      </c>
      <c r="H1458">
        <v>56</v>
      </c>
      <c r="I1458" t="b">
        <v>0</v>
      </c>
      <c r="J1458" t="b">
        <v>1</v>
      </c>
      <c r="K1458" t="b">
        <v>0</v>
      </c>
      <c r="L1458" t="s">
        <v>28</v>
      </c>
      <c r="M1458">
        <v>20</v>
      </c>
      <c r="N1458" t="s">
        <v>29</v>
      </c>
      <c r="O1458">
        <v>20</v>
      </c>
      <c r="P1458" t="s">
        <v>30</v>
      </c>
      <c r="Q1458">
        <v>0.05</v>
      </c>
      <c r="R1458">
        <v>19</v>
      </c>
      <c r="S1458" t="s">
        <v>44</v>
      </c>
      <c r="T1458" t="s">
        <v>41</v>
      </c>
      <c r="U1458">
        <v>37.804400000000001</v>
      </c>
      <c r="V1458">
        <v>-122.27119999999999</v>
      </c>
      <c r="W1458" s="2">
        <v>45110</v>
      </c>
      <c r="X1458">
        <v>7</v>
      </c>
      <c r="Y1458" t="b">
        <v>1</v>
      </c>
      <c r="Z1458" s="2">
        <v>45820</v>
      </c>
      <c r="AA1458" t="str">
        <f t="shared" si="221"/>
        <v>10–19</v>
      </c>
      <c r="AB1458" t="str">
        <f t="shared" si="222"/>
        <v>16–19</v>
      </c>
      <c r="AC1458" t="str">
        <f t="shared" si="223"/>
        <v>Monday</v>
      </c>
      <c r="AD1458" t="str">
        <f t="shared" si="224"/>
        <v/>
      </c>
      <c r="AE1458" t="str">
        <f t="shared" si="225"/>
        <v/>
      </c>
      <c r="AF1458" t="str">
        <f t="shared" si="226"/>
        <v>Thursday</v>
      </c>
      <c r="AG1458" t="str">
        <f t="shared" si="227"/>
        <v/>
      </c>
      <c r="AH1458" t="str">
        <f t="shared" si="228"/>
        <v>Saturday</v>
      </c>
      <c r="AI1458" t="str">
        <f t="shared" si="229"/>
        <v/>
      </c>
      <c r="AJ1458" t="str">
        <f>LEFT(Table1[[#This Row],[membership_type]],2)&amp;TEXT(Table1[[#This Row],[age]],"00")&amp;"-"&amp;TEXT(ROW(),"000")</f>
        <v>Ba16-1458</v>
      </c>
      <c r="AK1458" t="str">
        <f>LEFT(Table1[[#This Row],[membership_type]],1)&amp;TEXT(MATCH(Table1[[#This Row],[membership_type]],Table1[membership_type],0),"00")</f>
        <v>B04</v>
      </c>
      <c r="AL1458" t="str">
        <f>LEFT(Table1[[#This Row],[discount_type]],1)&amp;TEXT(ROUND(Table1[[#This Row],[discount_rate]]*100,0),"00")</f>
        <v>P05</v>
      </c>
      <c r="AM1458" t="str" cm="1">
        <f t="array" ref="AM1458">TEXT(SUMPRODUCT(CODE(MID(Table1[[#This Row],[home_gym_location]],_xlfn.SEQUENCE(LEN(Table1[[#This Row],[home_gym_location]])),1))),"00000")</f>
        <v>00906</v>
      </c>
      <c r="AN145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58" t="str">
        <f>LEFT(_xlfn.TEXTBEFORE(Table1[[#This Row],[Location Identifier]],"-"),3) &amp; "-" &amp; _xlfn.TEXTAFTER(Table1[[#This Row],[Location Identifier]],"-")</f>
        <v>OAK-006</v>
      </c>
      <c r="AP1458" s="9">
        <f t="shared" ca="1" si="220"/>
        <v>45869</v>
      </c>
    </row>
    <row r="1459" spans="1:42" x14ac:dyDescent="0.25">
      <c r="A1459">
        <v>46</v>
      </c>
      <c r="B1459" t="s">
        <v>33</v>
      </c>
      <c r="C1459">
        <v>3</v>
      </c>
      <c r="D1459" t="s">
        <v>93</v>
      </c>
      <c r="E1459" t="b">
        <v>1</v>
      </c>
      <c r="F1459" s="1">
        <v>0.84513888888888888</v>
      </c>
      <c r="G1459" s="1">
        <v>0.88263888888888886</v>
      </c>
      <c r="H1459">
        <v>54</v>
      </c>
      <c r="I1459" t="b">
        <v>0</v>
      </c>
      <c r="J1459" t="b">
        <v>0</v>
      </c>
      <c r="K1459" t="b">
        <v>1</v>
      </c>
      <c r="L1459" t="s">
        <v>35</v>
      </c>
      <c r="M1459">
        <v>30</v>
      </c>
      <c r="N1459" t="s">
        <v>29</v>
      </c>
      <c r="O1459">
        <v>30</v>
      </c>
      <c r="P1459" t="s">
        <v>40</v>
      </c>
      <c r="Q1459">
        <v>0.1</v>
      </c>
      <c r="R1459">
        <v>27</v>
      </c>
      <c r="S1459" t="s">
        <v>37</v>
      </c>
      <c r="T1459" t="s">
        <v>41</v>
      </c>
      <c r="U1459">
        <v>37.804400000000001</v>
      </c>
      <c r="V1459">
        <v>-122.27119999999999</v>
      </c>
      <c r="W1459" s="2">
        <v>45601</v>
      </c>
      <c r="X1459">
        <v>0</v>
      </c>
      <c r="Y1459" t="b">
        <v>0</v>
      </c>
      <c r="Z1459" s="2">
        <v>45848</v>
      </c>
      <c r="AA1459" t="str">
        <f t="shared" si="221"/>
        <v>40–49</v>
      </c>
      <c r="AB1459" t="str">
        <f t="shared" si="222"/>
        <v>40–49</v>
      </c>
      <c r="AC1459" t="str">
        <f t="shared" si="223"/>
        <v>Monday</v>
      </c>
      <c r="AD1459" t="str">
        <f t="shared" si="224"/>
        <v>Tuesday</v>
      </c>
      <c r="AE1459" t="str">
        <f t="shared" si="225"/>
        <v/>
      </c>
      <c r="AF1459" t="str">
        <f t="shared" si="226"/>
        <v>Thursday</v>
      </c>
      <c r="AG1459" t="str">
        <f t="shared" si="227"/>
        <v/>
      </c>
      <c r="AH1459" t="str">
        <f t="shared" si="228"/>
        <v/>
      </c>
      <c r="AI1459" t="str">
        <f t="shared" si="229"/>
        <v/>
      </c>
      <c r="AJ1459" t="str">
        <f>LEFT(Table1[[#This Row],[membership_type]],2)&amp;TEXT(Table1[[#This Row],[age]],"00")&amp;"-"&amp;TEXT(ROW(),"000")</f>
        <v>St46-1459</v>
      </c>
      <c r="AK1459" t="str">
        <f>LEFT(Table1[[#This Row],[membership_type]],1)&amp;TEXT(MATCH(Table1[[#This Row],[membership_type]],Table1[membership_type],0),"00")</f>
        <v>S02</v>
      </c>
      <c r="AL1459" t="str">
        <f>LEFT(Table1[[#This Row],[discount_type]],1)&amp;TEXT(ROUND(Table1[[#This Row],[discount_rate]]*100,0),"00")</f>
        <v>L10</v>
      </c>
      <c r="AM1459" t="str" cm="1">
        <f t="array" ref="AM1459">TEXT(SUMPRODUCT(CODE(MID(Table1[[#This Row],[home_gym_location]],_xlfn.SEQUENCE(LEN(Table1[[#This Row],[home_gym_location]])),1))),"00000")</f>
        <v>00906</v>
      </c>
      <c r="AN145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59" t="str">
        <f>LEFT(_xlfn.TEXTBEFORE(Table1[[#This Row],[Location Identifier]],"-"),3) &amp; "-" &amp; _xlfn.TEXTAFTER(Table1[[#This Row],[Location Identifier]],"-")</f>
        <v>OAK-006</v>
      </c>
      <c r="AP1459" s="9">
        <f t="shared" ca="1" si="220"/>
        <v>45869</v>
      </c>
    </row>
    <row r="1460" spans="1:42" x14ac:dyDescent="0.25">
      <c r="A1460">
        <v>41</v>
      </c>
      <c r="B1460" t="s">
        <v>26</v>
      </c>
      <c r="C1460">
        <v>1</v>
      </c>
      <c r="D1460" t="s">
        <v>75</v>
      </c>
      <c r="E1460" t="b">
        <v>1</v>
      </c>
      <c r="F1460" s="1">
        <v>0.40694444444444444</v>
      </c>
      <c r="G1460" s="1">
        <v>0.46527777777777779</v>
      </c>
      <c r="H1460">
        <v>84</v>
      </c>
      <c r="I1460" t="b">
        <v>1</v>
      </c>
      <c r="J1460" t="b">
        <v>1</v>
      </c>
      <c r="K1460" t="b">
        <v>0</v>
      </c>
      <c r="L1460" t="s">
        <v>62</v>
      </c>
      <c r="M1460">
        <v>50</v>
      </c>
      <c r="N1460" t="s">
        <v>78</v>
      </c>
      <c r="O1460">
        <v>45</v>
      </c>
      <c r="P1460" t="s">
        <v>36</v>
      </c>
      <c r="Q1460">
        <v>0</v>
      </c>
      <c r="R1460">
        <v>45</v>
      </c>
      <c r="S1460" t="s">
        <v>31</v>
      </c>
      <c r="T1460" t="s">
        <v>65</v>
      </c>
      <c r="U1460">
        <v>33.770099999999999</v>
      </c>
      <c r="V1460">
        <v>-118.19370000000001</v>
      </c>
      <c r="W1460" s="2">
        <v>45129</v>
      </c>
      <c r="X1460">
        <v>7</v>
      </c>
      <c r="Y1460" t="b">
        <v>1</v>
      </c>
      <c r="Z1460" s="2">
        <v>45821</v>
      </c>
      <c r="AA1460" t="str">
        <f t="shared" si="221"/>
        <v>40–49</v>
      </c>
      <c r="AB1460" t="str">
        <f t="shared" si="222"/>
        <v>40–49</v>
      </c>
      <c r="AC1460" t="str">
        <f t="shared" si="223"/>
        <v/>
      </c>
      <c r="AD1460" t="str">
        <f t="shared" si="224"/>
        <v/>
      </c>
      <c r="AE1460" t="str">
        <f t="shared" si="225"/>
        <v/>
      </c>
      <c r="AF1460" t="str">
        <f t="shared" si="226"/>
        <v/>
      </c>
      <c r="AG1460" t="str">
        <f t="shared" si="227"/>
        <v>Friday</v>
      </c>
      <c r="AH1460" t="str">
        <f t="shared" si="228"/>
        <v/>
      </c>
      <c r="AI1460" t="str">
        <f t="shared" si="229"/>
        <v/>
      </c>
      <c r="AJ1460" t="str">
        <f>LEFT(Table1[[#This Row],[membership_type]],2)&amp;TEXT(Table1[[#This Row],[age]],"00")&amp;"-"&amp;TEXT(ROW(),"000")</f>
        <v>Pr41-1460</v>
      </c>
      <c r="AK1460" t="str">
        <f>LEFT(Table1[[#This Row],[membership_type]],1)&amp;TEXT(MATCH(Table1[[#This Row],[membership_type]],Table1[membership_type],0),"00")</f>
        <v>P01</v>
      </c>
      <c r="AL1460" t="str">
        <f>LEFT(Table1[[#This Row],[discount_type]],1)&amp;TEXT(ROUND(Table1[[#This Row],[discount_rate]]*100,0),"00")</f>
        <v>N00</v>
      </c>
      <c r="AM1460" t="str" cm="1">
        <f t="array" ref="AM1460">TEXT(SUMPRODUCT(CODE(MID(Table1[[#This Row],[home_gym_location]],_xlfn.SEQUENCE(LEN(Table1[[#This Row],[home_gym_location]])),1))),"00000")</f>
        <v>01107</v>
      </c>
      <c r="AN146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60" t="str">
        <f>LEFT(_xlfn.TEXTBEFORE(Table1[[#This Row],[Location Identifier]],"-"),3) &amp; "-" &amp; _xlfn.TEXTAFTER(Table1[[#This Row],[Location Identifier]],"-")</f>
        <v>LON-004</v>
      </c>
      <c r="AP1460" s="9">
        <f t="shared" ca="1" si="220"/>
        <v>45869</v>
      </c>
    </row>
    <row r="1461" spans="1:42" x14ac:dyDescent="0.25">
      <c r="A1461">
        <v>23</v>
      </c>
      <c r="B1461" t="s">
        <v>51</v>
      </c>
      <c r="C1461">
        <v>3</v>
      </c>
      <c r="D1461" t="s">
        <v>80</v>
      </c>
      <c r="E1461" t="b">
        <v>0</v>
      </c>
      <c r="F1461" s="1">
        <v>0.5708333333333333</v>
      </c>
      <c r="G1461" s="1">
        <v>0.60624999999999996</v>
      </c>
      <c r="H1461">
        <v>51</v>
      </c>
      <c r="I1461" t="b">
        <v>0</v>
      </c>
      <c r="J1461" t="b">
        <v>0</v>
      </c>
      <c r="K1461" t="b">
        <v>1</v>
      </c>
      <c r="L1461" t="s">
        <v>28</v>
      </c>
      <c r="M1461">
        <v>70</v>
      </c>
      <c r="N1461" t="s">
        <v>29</v>
      </c>
      <c r="O1461">
        <v>70</v>
      </c>
      <c r="P1461" t="s">
        <v>30</v>
      </c>
      <c r="Q1461">
        <v>0.05</v>
      </c>
      <c r="R1461">
        <v>66.5</v>
      </c>
      <c r="S1461" t="s">
        <v>53</v>
      </c>
      <c r="T1461" t="s">
        <v>65</v>
      </c>
      <c r="U1461">
        <v>33.770099999999999</v>
      </c>
      <c r="V1461">
        <v>-118.19370000000001</v>
      </c>
      <c r="W1461" s="2">
        <v>45411</v>
      </c>
      <c r="X1461">
        <v>0</v>
      </c>
      <c r="Y1461" t="b">
        <v>1</v>
      </c>
      <c r="Z1461" s="2">
        <v>45837</v>
      </c>
      <c r="AA1461" t="str">
        <f t="shared" si="221"/>
        <v>20–29</v>
      </c>
      <c r="AB1461" t="str">
        <f t="shared" si="222"/>
        <v>20–29</v>
      </c>
      <c r="AC1461" t="str">
        <f t="shared" si="223"/>
        <v>Monday</v>
      </c>
      <c r="AD1461" t="str">
        <f t="shared" si="224"/>
        <v/>
      </c>
      <c r="AE1461" t="str">
        <f t="shared" si="225"/>
        <v/>
      </c>
      <c r="AF1461" t="str">
        <f t="shared" si="226"/>
        <v/>
      </c>
      <c r="AG1461" t="str">
        <f t="shared" si="227"/>
        <v/>
      </c>
      <c r="AH1461" t="str">
        <f t="shared" si="228"/>
        <v>Saturday</v>
      </c>
      <c r="AI1461" t="str">
        <f t="shared" si="229"/>
        <v>Sunday</v>
      </c>
      <c r="AJ1461" t="str">
        <f>LEFT(Table1[[#This Row],[membership_type]],2)&amp;TEXT(Table1[[#This Row],[age]],"00")&amp;"-"&amp;TEXT(ROW(),"000")</f>
        <v>El23-1461</v>
      </c>
      <c r="AK1461" t="str">
        <f>LEFT(Table1[[#This Row],[membership_type]],1)&amp;TEXT(MATCH(Table1[[#This Row],[membership_type]],Table1[membership_type],0),"00")</f>
        <v>E07</v>
      </c>
      <c r="AL1461" t="str">
        <f>LEFT(Table1[[#This Row],[discount_type]],1)&amp;TEXT(ROUND(Table1[[#This Row],[discount_rate]]*100,0),"00")</f>
        <v>P05</v>
      </c>
      <c r="AM1461" t="str" cm="1">
        <f t="array" ref="AM1461">TEXT(SUMPRODUCT(CODE(MID(Table1[[#This Row],[home_gym_location]],_xlfn.SEQUENCE(LEN(Table1[[#This Row],[home_gym_location]])),1))),"00000")</f>
        <v>01107</v>
      </c>
      <c r="AN146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61" t="str">
        <f>LEFT(_xlfn.TEXTBEFORE(Table1[[#This Row],[Location Identifier]],"-"),3) &amp; "-" &amp; _xlfn.TEXTAFTER(Table1[[#This Row],[Location Identifier]],"-")</f>
        <v>LON-004</v>
      </c>
      <c r="AP1461" s="9">
        <f t="shared" ca="1" si="220"/>
        <v>45869</v>
      </c>
    </row>
    <row r="1462" spans="1:42" x14ac:dyDescent="0.25">
      <c r="A1462">
        <v>16</v>
      </c>
      <c r="B1462" t="s">
        <v>26</v>
      </c>
      <c r="C1462">
        <v>1</v>
      </c>
      <c r="D1462" t="s">
        <v>63</v>
      </c>
      <c r="E1462" t="b">
        <v>0</v>
      </c>
      <c r="F1462" s="1">
        <v>0.36180555555555555</v>
      </c>
      <c r="G1462" s="1">
        <v>0.48125000000000001</v>
      </c>
      <c r="H1462">
        <v>172</v>
      </c>
      <c r="I1462" t="b">
        <v>0</v>
      </c>
      <c r="J1462" t="b">
        <v>0</v>
      </c>
      <c r="K1462" t="b">
        <v>1</v>
      </c>
      <c r="L1462" t="s">
        <v>62</v>
      </c>
      <c r="M1462">
        <v>50</v>
      </c>
      <c r="N1462" t="s">
        <v>64</v>
      </c>
      <c r="O1462">
        <v>37.5</v>
      </c>
      <c r="P1462" t="s">
        <v>30</v>
      </c>
      <c r="Q1462">
        <v>0.05</v>
      </c>
      <c r="R1462">
        <v>35.625</v>
      </c>
      <c r="S1462" t="s">
        <v>31</v>
      </c>
      <c r="T1462" t="s">
        <v>59</v>
      </c>
      <c r="U1462">
        <v>37.774900000000002</v>
      </c>
      <c r="V1462">
        <v>-122.4194</v>
      </c>
      <c r="W1462" s="2">
        <v>45137</v>
      </c>
      <c r="X1462">
        <v>0</v>
      </c>
      <c r="Y1462" t="b">
        <v>1</v>
      </c>
      <c r="Z1462" s="2">
        <v>45821</v>
      </c>
      <c r="AA1462" t="str">
        <f t="shared" si="221"/>
        <v>10–19</v>
      </c>
      <c r="AB1462" t="str">
        <f t="shared" si="222"/>
        <v>16–19</v>
      </c>
      <c r="AC1462" t="str">
        <f t="shared" si="223"/>
        <v/>
      </c>
      <c r="AD1462" t="str">
        <f t="shared" si="224"/>
        <v/>
      </c>
      <c r="AE1462" t="str">
        <f t="shared" si="225"/>
        <v>Wednesday</v>
      </c>
      <c r="AF1462" t="str">
        <f t="shared" si="226"/>
        <v/>
      </c>
      <c r="AG1462" t="str">
        <f t="shared" si="227"/>
        <v/>
      </c>
      <c r="AH1462" t="str">
        <f t="shared" si="228"/>
        <v/>
      </c>
      <c r="AI1462" t="str">
        <f t="shared" si="229"/>
        <v/>
      </c>
      <c r="AJ1462" t="str">
        <f>LEFT(Table1[[#This Row],[membership_type]],2)&amp;TEXT(Table1[[#This Row],[age]],"00")&amp;"-"&amp;TEXT(ROW(),"000")</f>
        <v>Pr16-1462</v>
      </c>
      <c r="AK1462" t="str">
        <f>LEFT(Table1[[#This Row],[membership_type]],1)&amp;TEXT(MATCH(Table1[[#This Row],[membership_type]],Table1[membership_type],0),"00")</f>
        <v>P01</v>
      </c>
      <c r="AL1462" t="str">
        <f>LEFT(Table1[[#This Row],[discount_type]],1)&amp;TEXT(ROUND(Table1[[#This Row],[discount_rate]]*100,0),"00")</f>
        <v>P05</v>
      </c>
      <c r="AM1462" t="str" cm="1">
        <f t="array" ref="AM1462">TEXT(SUMPRODUCT(CODE(MID(Table1[[#This Row],[home_gym_location]],_xlfn.SEQUENCE(LEN(Table1[[#This Row],[home_gym_location]])),1))),"00000")</f>
        <v>01450</v>
      </c>
      <c r="AN146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62" t="str">
        <f>LEFT(_xlfn.TEXTBEFORE(Table1[[#This Row],[Location Identifier]],"-"),3) &amp; "-" &amp; _xlfn.TEXTAFTER(Table1[[#This Row],[Location Identifier]],"-")</f>
        <v>SAN-009</v>
      </c>
      <c r="AP1462" s="9">
        <f t="shared" ca="1" si="220"/>
        <v>45869</v>
      </c>
    </row>
    <row r="1463" spans="1:42" x14ac:dyDescent="0.25">
      <c r="A1463">
        <v>41</v>
      </c>
      <c r="B1463" t="s">
        <v>42</v>
      </c>
      <c r="C1463">
        <v>4</v>
      </c>
      <c r="D1463" t="s">
        <v>144</v>
      </c>
      <c r="E1463" t="b">
        <v>0</v>
      </c>
      <c r="F1463" s="1">
        <v>0.71388888888888891</v>
      </c>
      <c r="G1463" s="1">
        <v>0.76111111111111107</v>
      </c>
      <c r="H1463">
        <v>68</v>
      </c>
      <c r="I1463" t="b">
        <v>1</v>
      </c>
      <c r="J1463" t="b">
        <v>1</v>
      </c>
      <c r="K1463" t="b">
        <v>0</v>
      </c>
      <c r="L1463" t="s">
        <v>62</v>
      </c>
      <c r="M1463">
        <v>20</v>
      </c>
      <c r="N1463" t="s">
        <v>78</v>
      </c>
      <c r="O1463">
        <v>18</v>
      </c>
      <c r="P1463" t="s">
        <v>36</v>
      </c>
      <c r="Q1463">
        <v>0</v>
      </c>
      <c r="R1463">
        <v>18</v>
      </c>
      <c r="S1463" t="s">
        <v>44</v>
      </c>
      <c r="T1463" t="s">
        <v>65</v>
      </c>
      <c r="U1463">
        <v>33.770099999999999</v>
      </c>
      <c r="V1463">
        <v>-118.19370000000001</v>
      </c>
      <c r="W1463" s="2">
        <v>45717</v>
      </c>
      <c r="X1463">
        <v>8</v>
      </c>
      <c r="Y1463" t="b">
        <v>0</v>
      </c>
      <c r="Z1463" s="2">
        <v>45854</v>
      </c>
      <c r="AA1463" t="str">
        <f t="shared" si="221"/>
        <v>40–49</v>
      </c>
      <c r="AB1463" t="str">
        <f t="shared" si="222"/>
        <v>40–49</v>
      </c>
      <c r="AC1463" t="str">
        <f t="shared" si="223"/>
        <v>Monday</v>
      </c>
      <c r="AD1463" t="str">
        <f t="shared" si="224"/>
        <v/>
      </c>
      <c r="AE1463" t="str">
        <f t="shared" si="225"/>
        <v>Wednesday</v>
      </c>
      <c r="AF1463" t="str">
        <f t="shared" si="226"/>
        <v>Thursday</v>
      </c>
      <c r="AG1463" t="str">
        <f t="shared" si="227"/>
        <v>Friday</v>
      </c>
      <c r="AH1463" t="str">
        <f t="shared" si="228"/>
        <v/>
      </c>
      <c r="AI1463" t="str">
        <f t="shared" si="229"/>
        <v/>
      </c>
      <c r="AJ1463" t="str">
        <f>LEFT(Table1[[#This Row],[membership_type]],2)&amp;TEXT(Table1[[#This Row],[age]],"00")&amp;"-"&amp;TEXT(ROW(),"000")</f>
        <v>Ba41-1463</v>
      </c>
      <c r="AK1463" t="str">
        <f>LEFT(Table1[[#This Row],[membership_type]],1)&amp;TEXT(MATCH(Table1[[#This Row],[membership_type]],Table1[membership_type],0),"00")</f>
        <v>B04</v>
      </c>
      <c r="AL1463" t="str">
        <f>LEFT(Table1[[#This Row],[discount_type]],1)&amp;TEXT(ROUND(Table1[[#This Row],[discount_rate]]*100,0),"00")</f>
        <v>N00</v>
      </c>
      <c r="AM1463" t="str" cm="1">
        <f t="array" ref="AM1463">TEXT(SUMPRODUCT(CODE(MID(Table1[[#This Row],[home_gym_location]],_xlfn.SEQUENCE(LEN(Table1[[#This Row],[home_gym_location]])),1))),"00000")</f>
        <v>01107</v>
      </c>
      <c r="AN146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63" t="str">
        <f>LEFT(_xlfn.TEXTBEFORE(Table1[[#This Row],[Location Identifier]],"-"),3) &amp; "-" &amp; _xlfn.TEXTAFTER(Table1[[#This Row],[Location Identifier]],"-")</f>
        <v>LON-004</v>
      </c>
      <c r="AP1463" s="9">
        <f t="shared" ca="1" si="220"/>
        <v>45869</v>
      </c>
    </row>
    <row r="1464" spans="1:42" x14ac:dyDescent="0.25">
      <c r="A1464">
        <v>46</v>
      </c>
      <c r="B1464" t="s">
        <v>51</v>
      </c>
      <c r="C1464">
        <v>2</v>
      </c>
      <c r="D1464" t="s">
        <v>73</v>
      </c>
      <c r="E1464" t="b">
        <v>0</v>
      </c>
      <c r="F1464" s="1">
        <v>0.47708333333333336</v>
      </c>
      <c r="G1464" s="1">
        <v>0.56874999999999998</v>
      </c>
      <c r="H1464">
        <v>132</v>
      </c>
      <c r="I1464" t="b">
        <v>1</v>
      </c>
      <c r="J1464" t="b">
        <v>1</v>
      </c>
      <c r="K1464" t="b">
        <v>0</v>
      </c>
      <c r="L1464" t="s">
        <v>35</v>
      </c>
      <c r="M1464">
        <v>70</v>
      </c>
      <c r="N1464" t="s">
        <v>29</v>
      </c>
      <c r="O1464">
        <v>70</v>
      </c>
      <c r="P1464" t="s">
        <v>36</v>
      </c>
      <c r="Q1464">
        <v>0</v>
      </c>
      <c r="R1464">
        <v>70</v>
      </c>
      <c r="S1464" t="s">
        <v>53</v>
      </c>
      <c r="T1464" t="s">
        <v>59</v>
      </c>
      <c r="U1464">
        <v>37.774900000000002</v>
      </c>
      <c r="V1464">
        <v>-122.4194</v>
      </c>
      <c r="W1464" s="2">
        <v>45130</v>
      </c>
      <c r="X1464">
        <v>3</v>
      </c>
      <c r="Y1464" t="b">
        <v>0</v>
      </c>
      <c r="Z1464" s="2">
        <v>45821</v>
      </c>
      <c r="AA1464" t="str">
        <f t="shared" si="221"/>
        <v>40–49</v>
      </c>
      <c r="AB1464" t="str">
        <f t="shared" si="222"/>
        <v>40–49</v>
      </c>
      <c r="AC1464" t="str">
        <f t="shared" si="223"/>
        <v/>
      </c>
      <c r="AD1464" t="str">
        <f t="shared" si="224"/>
        <v>Tuesday</v>
      </c>
      <c r="AE1464" t="str">
        <f t="shared" si="225"/>
        <v/>
      </c>
      <c r="AF1464" t="str">
        <f t="shared" si="226"/>
        <v/>
      </c>
      <c r="AG1464" t="str">
        <f t="shared" si="227"/>
        <v>Friday</v>
      </c>
      <c r="AH1464" t="str">
        <f t="shared" si="228"/>
        <v/>
      </c>
      <c r="AI1464" t="str">
        <f t="shared" si="229"/>
        <v/>
      </c>
      <c r="AJ1464" t="str">
        <f>LEFT(Table1[[#This Row],[membership_type]],2)&amp;TEXT(Table1[[#This Row],[age]],"00")&amp;"-"&amp;TEXT(ROW(),"000")</f>
        <v>El46-1464</v>
      </c>
      <c r="AK1464" t="str">
        <f>LEFT(Table1[[#This Row],[membership_type]],1)&amp;TEXT(MATCH(Table1[[#This Row],[membership_type]],Table1[membership_type],0),"00")</f>
        <v>E07</v>
      </c>
      <c r="AL1464" t="str">
        <f>LEFT(Table1[[#This Row],[discount_type]],1)&amp;TEXT(ROUND(Table1[[#This Row],[discount_rate]]*100,0),"00")</f>
        <v>N00</v>
      </c>
      <c r="AM1464" t="str" cm="1">
        <f t="array" ref="AM1464">TEXT(SUMPRODUCT(CODE(MID(Table1[[#This Row],[home_gym_location]],_xlfn.SEQUENCE(LEN(Table1[[#This Row],[home_gym_location]])),1))),"00000")</f>
        <v>01450</v>
      </c>
      <c r="AN146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64" t="str">
        <f>LEFT(_xlfn.TEXTBEFORE(Table1[[#This Row],[Location Identifier]],"-"),3) &amp; "-" &amp; _xlfn.TEXTAFTER(Table1[[#This Row],[Location Identifier]],"-")</f>
        <v>SAN-009</v>
      </c>
      <c r="AP1464" s="9">
        <f t="shared" ca="1" si="220"/>
        <v>45869</v>
      </c>
    </row>
    <row r="1465" spans="1:42" x14ac:dyDescent="0.25">
      <c r="A1465">
        <v>37</v>
      </c>
      <c r="B1465" t="s">
        <v>26</v>
      </c>
      <c r="C1465">
        <v>1</v>
      </c>
      <c r="D1465" t="s">
        <v>95</v>
      </c>
      <c r="E1465" t="b">
        <v>1</v>
      </c>
      <c r="F1465" s="1">
        <v>0.54861111111111116</v>
      </c>
      <c r="G1465" s="1">
        <v>0.66805555555555551</v>
      </c>
      <c r="H1465">
        <v>172</v>
      </c>
      <c r="I1465" t="b">
        <v>0</v>
      </c>
      <c r="J1465" t="b">
        <v>0</v>
      </c>
      <c r="K1465" t="b">
        <v>1</v>
      </c>
      <c r="L1465" t="s">
        <v>28</v>
      </c>
      <c r="M1465">
        <v>50</v>
      </c>
      <c r="N1465" t="s">
        <v>29</v>
      </c>
      <c r="O1465">
        <v>50</v>
      </c>
      <c r="P1465" t="s">
        <v>30</v>
      </c>
      <c r="Q1465">
        <v>0.05</v>
      </c>
      <c r="R1465">
        <v>47.5</v>
      </c>
      <c r="S1465" t="s">
        <v>31</v>
      </c>
      <c r="T1465" t="s">
        <v>38</v>
      </c>
      <c r="U1465">
        <v>36.7378</v>
      </c>
      <c r="V1465">
        <v>-119.7871</v>
      </c>
      <c r="W1465" s="2">
        <v>44766</v>
      </c>
      <c r="X1465">
        <v>0</v>
      </c>
      <c r="Y1465" t="b">
        <v>0</v>
      </c>
      <c r="Z1465" s="2">
        <v>45801</v>
      </c>
      <c r="AA1465" t="str">
        <f t="shared" si="221"/>
        <v>30–39</v>
      </c>
      <c r="AB1465" t="str">
        <f t="shared" si="222"/>
        <v>30–39</v>
      </c>
      <c r="AC1465" t="str">
        <f t="shared" si="223"/>
        <v/>
      </c>
      <c r="AD1465" t="str">
        <f t="shared" si="224"/>
        <v/>
      </c>
      <c r="AE1465" t="str">
        <f t="shared" si="225"/>
        <v/>
      </c>
      <c r="AF1465" t="str">
        <f t="shared" si="226"/>
        <v/>
      </c>
      <c r="AG1465" t="str">
        <f t="shared" si="227"/>
        <v/>
      </c>
      <c r="AH1465" t="str">
        <f t="shared" si="228"/>
        <v>Saturday</v>
      </c>
      <c r="AI1465" t="str">
        <f t="shared" si="229"/>
        <v/>
      </c>
      <c r="AJ1465" t="str">
        <f>LEFT(Table1[[#This Row],[membership_type]],2)&amp;TEXT(Table1[[#This Row],[age]],"00")&amp;"-"&amp;TEXT(ROW(),"000")</f>
        <v>Pr37-1465</v>
      </c>
      <c r="AK1465" t="str">
        <f>LEFT(Table1[[#This Row],[membership_type]],1)&amp;TEXT(MATCH(Table1[[#This Row],[membership_type]],Table1[membership_type],0),"00")</f>
        <v>P01</v>
      </c>
      <c r="AL1465" t="str">
        <f>LEFT(Table1[[#This Row],[discount_type]],1)&amp;TEXT(ROUND(Table1[[#This Row],[discount_rate]]*100,0),"00")</f>
        <v>P05</v>
      </c>
      <c r="AM1465" t="str" cm="1">
        <f t="array" ref="AM1465">TEXT(SUMPRODUCT(CODE(MID(Table1[[#This Row],[home_gym_location]],_xlfn.SEQUENCE(LEN(Table1[[#This Row],[home_gym_location]])),1))),"00000")</f>
        <v>00829</v>
      </c>
      <c r="AN1465" t="str">
        <f>UPPER(_xlfn.TEXTBEFORE(Table1[[#This Row],[home_gym_location]],","))&amp;"-"&amp;TEXT(MATCH(Table1[[#This Row],[home_gym_location]],_xlfn._xlws.SORT(_xlfn.UNIQUE(Table1[home_gym_location])),0),"000")</f>
        <v>FRESNO-003</v>
      </c>
      <c r="AO1465" t="str">
        <f>LEFT(_xlfn.TEXTBEFORE(Table1[[#This Row],[Location Identifier]],"-"),3) &amp; "-" &amp; _xlfn.TEXTAFTER(Table1[[#This Row],[Location Identifier]],"-")</f>
        <v>FRE-003</v>
      </c>
      <c r="AP1465" s="9">
        <f t="shared" ca="1" si="220"/>
        <v>45869</v>
      </c>
    </row>
    <row r="1466" spans="1:42" x14ac:dyDescent="0.25">
      <c r="A1466">
        <v>41</v>
      </c>
      <c r="B1466" t="s">
        <v>26</v>
      </c>
      <c r="C1466">
        <v>1</v>
      </c>
      <c r="D1466" t="s">
        <v>63</v>
      </c>
      <c r="E1466" t="b">
        <v>1</v>
      </c>
      <c r="F1466" s="1">
        <v>0.80763888888888891</v>
      </c>
      <c r="G1466" s="1">
        <v>0.8520833333333333</v>
      </c>
      <c r="H1466">
        <v>64</v>
      </c>
      <c r="I1466" t="b">
        <v>0</v>
      </c>
      <c r="J1466" t="b">
        <v>0</v>
      </c>
      <c r="K1466" t="b">
        <v>0</v>
      </c>
      <c r="L1466" t="s">
        <v>35</v>
      </c>
      <c r="M1466">
        <v>50</v>
      </c>
      <c r="N1466" t="s">
        <v>29</v>
      </c>
      <c r="O1466">
        <v>50</v>
      </c>
      <c r="P1466" t="s">
        <v>36</v>
      </c>
      <c r="Q1466">
        <v>0</v>
      </c>
      <c r="R1466">
        <v>50</v>
      </c>
      <c r="S1466" t="s">
        <v>31</v>
      </c>
      <c r="T1466" t="s">
        <v>38</v>
      </c>
      <c r="U1466">
        <v>36.7378</v>
      </c>
      <c r="V1466">
        <v>-119.7871</v>
      </c>
      <c r="W1466" s="2">
        <v>45779</v>
      </c>
      <c r="X1466">
        <v>0</v>
      </c>
      <c r="Y1466" t="b">
        <v>1</v>
      </c>
      <c r="Z1466" s="2">
        <v>45858</v>
      </c>
      <c r="AA1466" t="str">
        <f t="shared" si="221"/>
        <v>40–49</v>
      </c>
      <c r="AB1466" t="str">
        <f t="shared" si="222"/>
        <v>40–49</v>
      </c>
      <c r="AC1466" t="str">
        <f t="shared" si="223"/>
        <v/>
      </c>
      <c r="AD1466" t="str">
        <f t="shared" si="224"/>
        <v/>
      </c>
      <c r="AE1466" t="str">
        <f t="shared" si="225"/>
        <v>Wednesday</v>
      </c>
      <c r="AF1466" t="str">
        <f t="shared" si="226"/>
        <v/>
      </c>
      <c r="AG1466" t="str">
        <f t="shared" si="227"/>
        <v/>
      </c>
      <c r="AH1466" t="str">
        <f t="shared" si="228"/>
        <v/>
      </c>
      <c r="AI1466" t="str">
        <f t="shared" si="229"/>
        <v/>
      </c>
      <c r="AJ1466" t="str">
        <f>LEFT(Table1[[#This Row],[membership_type]],2)&amp;TEXT(Table1[[#This Row],[age]],"00")&amp;"-"&amp;TEXT(ROW(),"000")</f>
        <v>Pr41-1466</v>
      </c>
      <c r="AK1466" t="str">
        <f>LEFT(Table1[[#This Row],[membership_type]],1)&amp;TEXT(MATCH(Table1[[#This Row],[membership_type]],Table1[membership_type],0),"00")</f>
        <v>P01</v>
      </c>
      <c r="AL1466" t="str">
        <f>LEFT(Table1[[#This Row],[discount_type]],1)&amp;TEXT(ROUND(Table1[[#This Row],[discount_rate]]*100,0),"00")</f>
        <v>N00</v>
      </c>
      <c r="AM1466" t="str" cm="1">
        <f t="array" ref="AM1466">TEXT(SUMPRODUCT(CODE(MID(Table1[[#This Row],[home_gym_location]],_xlfn.SEQUENCE(LEN(Table1[[#This Row],[home_gym_location]])),1))),"00000")</f>
        <v>00829</v>
      </c>
      <c r="AN1466" t="str">
        <f>UPPER(_xlfn.TEXTBEFORE(Table1[[#This Row],[home_gym_location]],","))&amp;"-"&amp;TEXT(MATCH(Table1[[#This Row],[home_gym_location]],_xlfn._xlws.SORT(_xlfn.UNIQUE(Table1[home_gym_location])),0),"000")</f>
        <v>FRESNO-003</v>
      </c>
      <c r="AO1466" t="str">
        <f>LEFT(_xlfn.TEXTBEFORE(Table1[[#This Row],[Location Identifier]],"-"),3) &amp; "-" &amp; _xlfn.TEXTAFTER(Table1[[#This Row],[Location Identifier]],"-")</f>
        <v>FRE-003</v>
      </c>
      <c r="AP1466" s="9">
        <f t="shared" ca="1" si="220"/>
        <v>45869</v>
      </c>
    </row>
    <row r="1467" spans="1:42" x14ac:dyDescent="0.25">
      <c r="A1467">
        <v>20</v>
      </c>
      <c r="B1467" t="s">
        <v>42</v>
      </c>
      <c r="C1467">
        <v>4</v>
      </c>
      <c r="D1467" t="s">
        <v>151</v>
      </c>
      <c r="E1467" t="b">
        <v>0</v>
      </c>
      <c r="F1467" s="1">
        <v>0.49375000000000002</v>
      </c>
      <c r="G1467" s="1">
        <v>0.59791666666666665</v>
      </c>
      <c r="H1467">
        <v>150</v>
      </c>
      <c r="I1467" t="b">
        <v>1</v>
      </c>
      <c r="J1467" t="b">
        <v>1</v>
      </c>
      <c r="K1467" t="b">
        <v>0</v>
      </c>
      <c r="L1467" t="s">
        <v>62</v>
      </c>
      <c r="M1467">
        <v>20</v>
      </c>
      <c r="N1467" t="s">
        <v>29</v>
      </c>
      <c r="O1467">
        <v>20</v>
      </c>
      <c r="P1467" t="s">
        <v>30</v>
      </c>
      <c r="Q1467">
        <v>0.05</v>
      </c>
      <c r="R1467">
        <v>19</v>
      </c>
      <c r="S1467" t="s">
        <v>44</v>
      </c>
      <c r="T1467" t="s">
        <v>56</v>
      </c>
      <c r="U1467">
        <v>35.3733</v>
      </c>
      <c r="V1467">
        <v>-119.0187</v>
      </c>
      <c r="W1467" s="2">
        <v>44790</v>
      </c>
      <c r="X1467">
        <v>8</v>
      </c>
      <c r="Y1467" t="b">
        <v>1</v>
      </c>
      <c r="Z1467" s="2">
        <v>45802</v>
      </c>
      <c r="AA1467" t="str">
        <f t="shared" si="221"/>
        <v>20–29</v>
      </c>
      <c r="AB1467" t="str">
        <f t="shared" si="222"/>
        <v>20–29</v>
      </c>
      <c r="AC1467" t="str">
        <f t="shared" si="223"/>
        <v/>
      </c>
      <c r="AD1467" t="str">
        <f t="shared" si="224"/>
        <v>Tuesday</v>
      </c>
      <c r="AE1467" t="str">
        <f t="shared" si="225"/>
        <v>Wednesday</v>
      </c>
      <c r="AF1467" t="str">
        <f t="shared" si="226"/>
        <v>Thursday</v>
      </c>
      <c r="AG1467" t="str">
        <f t="shared" si="227"/>
        <v>Friday</v>
      </c>
      <c r="AH1467" t="str">
        <f t="shared" si="228"/>
        <v/>
      </c>
      <c r="AI1467" t="str">
        <f t="shared" si="229"/>
        <v/>
      </c>
      <c r="AJ1467" t="str">
        <f>LEFT(Table1[[#This Row],[membership_type]],2)&amp;TEXT(Table1[[#This Row],[age]],"00")&amp;"-"&amp;TEXT(ROW(),"000")</f>
        <v>Ba20-1467</v>
      </c>
      <c r="AK1467" t="str">
        <f>LEFT(Table1[[#This Row],[membership_type]],1)&amp;TEXT(MATCH(Table1[[#This Row],[membership_type]],Table1[membership_type],0),"00")</f>
        <v>B04</v>
      </c>
      <c r="AL1467" t="str">
        <f>LEFT(Table1[[#This Row],[discount_type]],1)&amp;TEXT(ROUND(Table1[[#This Row],[discount_rate]]*100,0),"00")</f>
        <v>P05</v>
      </c>
      <c r="AM1467" t="str" cm="1">
        <f t="array" ref="AM1467">TEXT(SUMPRODUCT(CODE(MID(Table1[[#This Row],[home_gym_location]],_xlfn.SEQUENCE(LEN(Table1[[#This Row],[home_gym_location]])),1))),"00000")</f>
        <v>01324</v>
      </c>
      <c r="AN146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67" t="str">
        <f>LEFT(_xlfn.TEXTBEFORE(Table1[[#This Row],[Location Identifier]],"-"),3) &amp; "-" &amp; _xlfn.TEXTAFTER(Table1[[#This Row],[Location Identifier]],"-")</f>
        <v>BAK-002</v>
      </c>
      <c r="AP1467" s="9">
        <f t="shared" ca="1" si="220"/>
        <v>45869</v>
      </c>
    </row>
    <row r="1468" spans="1:42" x14ac:dyDescent="0.25">
      <c r="A1468">
        <v>30</v>
      </c>
      <c r="B1468" t="s">
        <v>26</v>
      </c>
      <c r="C1468">
        <v>3</v>
      </c>
      <c r="D1468" t="s">
        <v>57</v>
      </c>
      <c r="E1468" t="b">
        <v>0</v>
      </c>
      <c r="F1468" s="1">
        <v>0.42777777777777776</v>
      </c>
      <c r="G1468" s="1">
        <v>0.4909722222222222</v>
      </c>
      <c r="H1468">
        <v>91</v>
      </c>
      <c r="I1468" t="b">
        <v>1</v>
      </c>
      <c r="J1468" t="b">
        <v>0</v>
      </c>
      <c r="K1468" t="b">
        <v>1</v>
      </c>
      <c r="L1468" t="s">
        <v>62</v>
      </c>
      <c r="M1468">
        <v>50</v>
      </c>
      <c r="N1468" t="s">
        <v>29</v>
      </c>
      <c r="O1468">
        <v>50</v>
      </c>
      <c r="P1468" t="s">
        <v>40</v>
      </c>
      <c r="Q1468">
        <v>0.1</v>
      </c>
      <c r="R1468">
        <v>45</v>
      </c>
      <c r="S1468" t="s">
        <v>31</v>
      </c>
      <c r="T1468" t="s">
        <v>59</v>
      </c>
      <c r="U1468">
        <v>37.774900000000002</v>
      </c>
      <c r="V1468">
        <v>-122.4194</v>
      </c>
      <c r="W1468" s="2">
        <v>45397</v>
      </c>
      <c r="X1468">
        <v>0</v>
      </c>
      <c r="Y1468" t="b">
        <v>0</v>
      </c>
      <c r="Z1468" s="2">
        <v>45836</v>
      </c>
      <c r="AA1468" t="str">
        <f t="shared" si="221"/>
        <v>30–39</v>
      </c>
      <c r="AB1468" t="str">
        <f t="shared" si="222"/>
        <v>30–39</v>
      </c>
      <c r="AC1468" t="str">
        <f t="shared" si="223"/>
        <v/>
      </c>
      <c r="AD1468" t="str">
        <f t="shared" si="224"/>
        <v/>
      </c>
      <c r="AE1468" t="str">
        <f t="shared" si="225"/>
        <v>Wednesday</v>
      </c>
      <c r="AF1468" t="str">
        <f t="shared" si="226"/>
        <v>Thursday</v>
      </c>
      <c r="AG1468" t="str">
        <f t="shared" si="227"/>
        <v/>
      </c>
      <c r="AH1468" t="str">
        <f t="shared" si="228"/>
        <v>Saturday</v>
      </c>
      <c r="AI1468" t="str">
        <f t="shared" si="229"/>
        <v/>
      </c>
      <c r="AJ1468" t="str">
        <f>LEFT(Table1[[#This Row],[membership_type]],2)&amp;TEXT(Table1[[#This Row],[age]],"00")&amp;"-"&amp;TEXT(ROW(),"000")</f>
        <v>Pr30-1468</v>
      </c>
      <c r="AK1468" t="str">
        <f>LEFT(Table1[[#This Row],[membership_type]],1)&amp;TEXT(MATCH(Table1[[#This Row],[membership_type]],Table1[membership_type],0),"00")</f>
        <v>P01</v>
      </c>
      <c r="AL1468" t="str">
        <f>LEFT(Table1[[#This Row],[discount_type]],1)&amp;TEXT(ROUND(Table1[[#This Row],[discount_rate]]*100,0),"00")</f>
        <v>L10</v>
      </c>
      <c r="AM1468" t="str" cm="1">
        <f t="array" ref="AM1468">TEXT(SUMPRODUCT(CODE(MID(Table1[[#This Row],[home_gym_location]],_xlfn.SEQUENCE(LEN(Table1[[#This Row],[home_gym_location]])),1))),"00000")</f>
        <v>01450</v>
      </c>
      <c r="AN14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68" t="str">
        <f>LEFT(_xlfn.TEXTBEFORE(Table1[[#This Row],[Location Identifier]],"-"),3) &amp; "-" &amp; _xlfn.TEXTAFTER(Table1[[#This Row],[Location Identifier]],"-")</f>
        <v>SAN-009</v>
      </c>
      <c r="AP1468" s="9">
        <f t="shared" ca="1" si="220"/>
        <v>45869</v>
      </c>
    </row>
    <row r="1469" spans="1:42" x14ac:dyDescent="0.25">
      <c r="A1469">
        <v>40</v>
      </c>
      <c r="B1469" t="s">
        <v>26</v>
      </c>
      <c r="C1469">
        <v>4</v>
      </c>
      <c r="D1469" t="s">
        <v>165</v>
      </c>
      <c r="E1469" t="b">
        <v>1</v>
      </c>
      <c r="F1469" s="1">
        <v>0.41319444444444442</v>
      </c>
      <c r="G1469" s="1">
        <v>0.4465277777777778</v>
      </c>
      <c r="H1469">
        <v>48</v>
      </c>
      <c r="I1469" t="b">
        <v>0</v>
      </c>
      <c r="J1469" t="b">
        <v>0</v>
      </c>
      <c r="K1469" t="b">
        <v>1</v>
      </c>
      <c r="L1469" t="s">
        <v>35</v>
      </c>
      <c r="M1469">
        <v>50</v>
      </c>
      <c r="N1469" t="s">
        <v>29</v>
      </c>
      <c r="O1469">
        <v>50</v>
      </c>
      <c r="P1469" t="s">
        <v>36</v>
      </c>
      <c r="Q1469">
        <v>0</v>
      </c>
      <c r="R1469">
        <v>50</v>
      </c>
      <c r="S1469" t="s">
        <v>31</v>
      </c>
      <c r="T1469" t="s">
        <v>38</v>
      </c>
      <c r="U1469">
        <v>36.7378</v>
      </c>
      <c r="V1469">
        <v>-119.7871</v>
      </c>
      <c r="W1469" s="2">
        <v>44903</v>
      </c>
      <c r="X1469">
        <v>0</v>
      </c>
      <c r="Y1469" t="b">
        <v>0</v>
      </c>
      <c r="Z1469" s="2">
        <v>45808</v>
      </c>
      <c r="AA1469" t="str">
        <f t="shared" si="221"/>
        <v>40–49</v>
      </c>
      <c r="AB1469" t="str">
        <f t="shared" si="222"/>
        <v>40–49</v>
      </c>
      <c r="AC1469" t="str">
        <f t="shared" si="223"/>
        <v>Monday</v>
      </c>
      <c r="AD1469" t="str">
        <f t="shared" si="224"/>
        <v/>
      </c>
      <c r="AE1469" t="str">
        <f t="shared" si="225"/>
        <v>Wednesday</v>
      </c>
      <c r="AF1469" t="str">
        <f t="shared" si="226"/>
        <v/>
      </c>
      <c r="AG1469" t="str">
        <f t="shared" si="227"/>
        <v/>
      </c>
      <c r="AH1469" t="str">
        <f t="shared" si="228"/>
        <v>Saturday</v>
      </c>
      <c r="AI1469" t="str">
        <f t="shared" si="229"/>
        <v>Sunday</v>
      </c>
      <c r="AJ1469" t="str">
        <f>LEFT(Table1[[#This Row],[membership_type]],2)&amp;TEXT(Table1[[#This Row],[age]],"00")&amp;"-"&amp;TEXT(ROW(),"000")</f>
        <v>Pr40-1469</v>
      </c>
      <c r="AK1469" t="str">
        <f>LEFT(Table1[[#This Row],[membership_type]],1)&amp;TEXT(MATCH(Table1[[#This Row],[membership_type]],Table1[membership_type],0),"00")</f>
        <v>P01</v>
      </c>
      <c r="AL1469" t="str">
        <f>LEFT(Table1[[#This Row],[discount_type]],1)&amp;TEXT(ROUND(Table1[[#This Row],[discount_rate]]*100,0),"00")</f>
        <v>N00</v>
      </c>
      <c r="AM1469" t="str" cm="1">
        <f t="array" ref="AM1469">TEXT(SUMPRODUCT(CODE(MID(Table1[[#This Row],[home_gym_location]],_xlfn.SEQUENCE(LEN(Table1[[#This Row],[home_gym_location]])),1))),"00000")</f>
        <v>00829</v>
      </c>
      <c r="AN1469" t="str">
        <f>UPPER(_xlfn.TEXTBEFORE(Table1[[#This Row],[home_gym_location]],","))&amp;"-"&amp;TEXT(MATCH(Table1[[#This Row],[home_gym_location]],_xlfn._xlws.SORT(_xlfn.UNIQUE(Table1[home_gym_location])),0),"000")</f>
        <v>FRESNO-003</v>
      </c>
      <c r="AO1469" t="str">
        <f>LEFT(_xlfn.TEXTBEFORE(Table1[[#This Row],[Location Identifier]],"-"),3) &amp; "-" &amp; _xlfn.TEXTAFTER(Table1[[#This Row],[Location Identifier]],"-")</f>
        <v>FRE-003</v>
      </c>
      <c r="AP1469" s="9">
        <f t="shared" ca="1" si="220"/>
        <v>45869</v>
      </c>
    </row>
    <row r="1470" spans="1:42" x14ac:dyDescent="0.25">
      <c r="A1470">
        <v>38</v>
      </c>
      <c r="B1470" t="s">
        <v>51</v>
      </c>
      <c r="C1470">
        <v>3</v>
      </c>
      <c r="D1470" t="s">
        <v>135</v>
      </c>
      <c r="E1470" t="b">
        <v>1</v>
      </c>
      <c r="F1470" s="1">
        <v>0.69513888888888886</v>
      </c>
      <c r="G1470" s="1">
        <v>0.7416666666666667</v>
      </c>
      <c r="H1470">
        <v>67</v>
      </c>
      <c r="I1470" t="b">
        <v>1</v>
      </c>
      <c r="J1470" t="b">
        <v>0</v>
      </c>
      <c r="K1470" t="b">
        <v>1</v>
      </c>
      <c r="L1470" t="s">
        <v>28</v>
      </c>
      <c r="M1470">
        <v>70</v>
      </c>
      <c r="N1470" t="s">
        <v>29</v>
      </c>
      <c r="O1470">
        <v>70</v>
      </c>
      <c r="P1470" t="s">
        <v>36</v>
      </c>
      <c r="Q1470">
        <v>0</v>
      </c>
      <c r="R1470">
        <v>70</v>
      </c>
      <c r="S1470" t="s">
        <v>53</v>
      </c>
      <c r="T1470" t="s">
        <v>32</v>
      </c>
      <c r="U1470">
        <v>37.338200000000001</v>
      </c>
      <c r="V1470">
        <v>-121.88630000000001</v>
      </c>
      <c r="W1470" s="2">
        <v>44997</v>
      </c>
      <c r="X1470">
        <v>0</v>
      </c>
      <c r="Y1470" t="b">
        <v>1</v>
      </c>
      <c r="Z1470" s="2">
        <v>45814</v>
      </c>
      <c r="AA1470" t="str">
        <f t="shared" si="221"/>
        <v>30–39</v>
      </c>
      <c r="AB1470" t="str">
        <f t="shared" si="222"/>
        <v>30–39</v>
      </c>
      <c r="AC1470" t="str">
        <f t="shared" si="223"/>
        <v/>
      </c>
      <c r="AD1470" t="str">
        <f t="shared" si="224"/>
        <v>Tuesday</v>
      </c>
      <c r="AE1470" t="str">
        <f t="shared" si="225"/>
        <v>Wednesday</v>
      </c>
      <c r="AF1470" t="str">
        <f t="shared" si="226"/>
        <v>Thursday</v>
      </c>
      <c r="AG1470" t="str">
        <f t="shared" si="227"/>
        <v/>
      </c>
      <c r="AH1470" t="str">
        <f t="shared" si="228"/>
        <v/>
      </c>
      <c r="AI1470" t="str">
        <f t="shared" si="229"/>
        <v/>
      </c>
      <c r="AJ1470" t="str">
        <f>LEFT(Table1[[#This Row],[membership_type]],2)&amp;TEXT(Table1[[#This Row],[age]],"00")&amp;"-"&amp;TEXT(ROW(),"000")</f>
        <v>El38-1470</v>
      </c>
      <c r="AK1470" t="str">
        <f>LEFT(Table1[[#This Row],[membership_type]],1)&amp;TEXT(MATCH(Table1[[#This Row],[membership_type]],Table1[membership_type],0),"00")</f>
        <v>E07</v>
      </c>
      <c r="AL1470" t="str">
        <f>LEFT(Table1[[#This Row],[discount_type]],1)&amp;TEXT(ROUND(Table1[[#This Row],[discount_rate]]*100,0),"00")</f>
        <v>N00</v>
      </c>
      <c r="AM1470" t="str" cm="1">
        <f t="array" ref="AM1470">TEXT(SUMPRODUCT(CODE(MID(Table1[[#This Row],[home_gym_location]],_xlfn.SEQUENCE(LEN(Table1[[#This Row],[home_gym_location]])),1))),"00000")</f>
        <v>00931</v>
      </c>
      <c r="AN147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70" t="str">
        <f>LEFT(_xlfn.TEXTBEFORE(Table1[[#This Row],[Location Identifier]],"-"),3) &amp; "-" &amp; _xlfn.TEXTAFTER(Table1[[#This Row],[Location Identifier]],"-")</f>
        <v>SAN-010</v>
      </c>
      <c r="AP1470" s="9">
        <f t="shared" ca="1" si="220"/>
        <v>45869</v>
      </c>
    </row>
    <row r="1471" spans="1:42" x14ac:dyDescent="0.25">
      <c r="A1471">
        <v>47</v>
      </c>
      <c r="B1471" t="s">
        <v>42</v>
      </c>
      <c r="C1471">
        <v>5</v>
      </c>
      <c r="D1471" t="s">
        <v>104</v>
      </c>
      <c r="E1471" t="b">
        <v>0</v>
      </c>
      <c r="F1471" s="1">
        <v>0.47638888888888886</v>
      </c>
      <c r="G1471" s="1">
        <v>0.53819444444444442</v>
      </c>
      <c r="H1471">
        <v>89</v>
      </c>
      <c r="I1471" t="b">
        <v>0</v>
      </c>
      <c r="J1471" t="b">
        <v>0</v>
      </c>
      <c r="K1471" t="b">
        <v>1</v>
      </c>
      <c r="L1471" t="s">
        <v>35</v>
      </c>
      <c r="M1471">
        <v>20</v>
      </c>
      <c r="N1471" t="s">
        <v>29</v>
      </c>
      <c r="O1471">
        <v>20</v>
      </c>
      <c r="P1471" t="s">
        <v>74</v>
      </c>
      <c r="Q1471">
        <v>0.15</v>
      </c>
      <c r="R1471">
        <v>17</v>
      </c>
      <c r="S1471" t="s">
        <v>44</v>
      </c>
      <c r="T1471" t="s">
        <v>32</v>
      </c>
      <c r="U1471">
        <v>37.338200000000001</v>
      </c>
      <c r="V1471">
        <v>-121.88630000000001</v>
      </c>
      <c r="W1471" s="2">
        <v>45227</v>
      </c>
      <c r="X1471">
        <v>0</v>
      </c>
      <c r="Y1471" t="b">
        <v>0</v>
      </c>
      <c r="Z1471" s="2">
        <v>45826</v>
      </c>
      <c r="AA1471" t="str">
        <f t="shared" si="221"/>
        <v>40–49</v>
      </c>
      <c r="AB1471" t="str">
        <f t="shared" si="222"/>
        <v>40–49</v>
      </c>
      <c r="AC1471" t="str">
        <f t="shared" si="223"/>
        <v/>
      </c>
      <c r="AD1471" t="str">
        <f t="shared" si="224"/>
        <v>Tuesday</v>
      </c>
      <c r="AE1471" t="str">
        <f t="shared" si="225"/>
        <v>Wednesday</v>
      </c>
      <c r="AF1471" t="str">
        <f t="shared" si="226"/>
        <v>Thursday</v>
      </c>
      <c r="AG1471" t="str">
        <f t="shared" si="227"/>
        <v/>
      </c>
      <c r="AH1471" t="str">
        <f t="shared" si="228"/>
        <v>Saturday</v>
      </c>
      <c r="AI1471" t="str">
        <f t="shared" si="229"/>
        <v>Sunday</v>
      </c>
      <c r="AJ1471" t="str">
        <f>LEFT(Table1[[#This Row],[membership_type]],2)&amp;TEXT(Table1[[#This Row],[age]],"00")&amp;"-"&amp;TEXT(ROW(),"000")</f>
        <v>Ba47-1471</v>
      </c>
      <c r="AK1471" t="str">
        <f>LEFT(Table1[[#This Row],[membership_type]],1)&amp;TEXT(MATCH(Table1[[#This Row],[membership_type]],Table1[membership_type],0),"00")</f>
        <v>B04</v>
      </c>
      <c r="AL1471" t="str">
        <f>LEFT(Table1[[#This Row],[discount_type]],1)&amp;TEXT(ROUND(Table1[[#This Row],[discount_rate]]*100,0),"00")</f>
        <v>S15</v>
      </c>
      <c r="AM1471" t="str" cm="1">
        <f t="array" ref="AM1471">TEXT(SUMPRODUCT(CODE(MID(Table1[[#This Row],[home_gym_location]],_xlfn.SEQUENCE(LEN(Table1[[#This Row],[home_gym_location]])),1))),"00000")</f>
        <v>00931</v>
      </c>
      <c r="AN147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71" t="str">
        <f>LEFT(_xlfn.TEXTBEFORE(Table1[[#This Row],[Location Identifier]],"-"),3) &amp; "-" &amp; _xlfn.TEXTAFTER(Table1[[#This Row],[Location Identifier]],"-")</f>
        <v>SAN-010</v>
      </c>
      <c r="AP1471" s="9">
        <f t="shared" ca="1" si="220"/>
        <v>45869</v>
      </c>
    </row>
    <row r="1472" spans="1:42" x14ac:dyDescent="0.25">
      <c r="A1472">
        <v>15</v>
      </c>
      <c r="B1472" t="s">
        <v>33</v>
      </c>
      <c r="C1472">
        <v>3</v>
      </c>
      <c r="D1472" t="s">
        <v>55</v>
      </c>
      <c r="E1472" t="b">
        <v>0</v>
      </c>
      <c r="F1472" s="1">
        <v>0.60624999999999996</v>
      </c>
      <c r="G1472" s="1">
        <v>0.7</v>
      </c>
      <c r="H1472">
        <v>135</v>
      </c>
      <c r="I1472" t="b">
        <v>0</v>
      </c>
      <c r="J1472" t="b">
        <v>0</v>
      </c>
      <c r="K1472" t="b">
        <v>1</v>
      </c>
      <c r="L1472" t="s">
        <v>28</v>
      </c>
      <c r="M1472">
        <v>30</v>
      </c>
      <c r="N1472" t="s">
        <v>29</v>
      </c>
      <c r="O1472">
        <v>30</v>
      </c>
      <c r="P1472" t="s">
        <v>40</v>
      </c>
      <c r="Q1472">
        <v>0.1</v>
      </c>
      <c r="R1472">
        <v>27</v>
      </c>
      <c r="S1472" t="s">
        <v>37</v>
      </c>
      <c r="T1472" t="s">
        <v>32</v>
      </c>
      <c r="U1472">
        <v>37.338200000000001</v>
      </c>
      <c r="V1472">
        <v>-121.88630000000001</v>
      </c>
      <c r="W1472" s="2">
        <v>45044</v>
      </c>
      <c r="X1472">
        <v>0</v>
      </c>
      <c r="Y1472" t="b">
        <v>0</v>
      </c>
      <c r="Z1472" s="2">
        <v>45816</v>
      </c>
      <c r="AA1472" t="str">
        <f t="shared" si="221"/>
        <v>10–19</v>
      </c>
      <c r="AB1472" t="str">
        <f t="shared" si="222"/>
        <v>Under 16</v>
      </c>
      <c r="AC1472" t="str">
        <f t="shared" si="223"/>
        <v/>
      </c>
      <c r="AD1472" t="str">
        <f t="shared" si="224"/>
        <v/>
      </c>
      <c r="AE1472" t="str">
        <f t="shared" si="225"/>
        <v/>
      </c>
      <c r="AF1472" t="str">
        <f t="shared" si="226"/>
        <v>Thursday</v>
      </c>
      <c r="AG1472" t="str">
        <f t="shared" si="227"/>
        <v>Friday</v>
      </c>
      <c r="AH1472" t="str">
        <f t="shared" si="228"/>
        <v/>
      </c>
      <c r="AI1472" t="str">
        <f t="shared" si="229"/>
        <v>Sunday</v>
      </c>
      <c r="AJ1472" t="str">
        <f>LEFT(Table1[[#This Row],[membership_type]],2)&amp;TEXT(Table1[[#This Row],[age]],"00")&amp;"-"&amp;TEXT(ROW(),"000")</f>
        <v>St15-1472</v>
      </c>
      <c r="AK1472" t="str">
        <f>LEFT(Table1[[#This Row],[membership_type]],1)&amp;TEXT(MATCH(Table1[[#This Row],[membership_type]],Table1[membership_type],0),"00")</f>
        <v>S02</v>
      </c>
      <c r="AL1472" t="str">
        <f>LEFT(Table1[[#This Row],[discount_type]],1)&amp;TEXT(ROUND(Table1[[#This Row],[discount_rate]]*100,0),"00")</f>
        <v>L10</v>
      </c>
      <c r="AM1472" t="str" cm="1">
        <f t="array" ref="AM1472">TEXT(SUMPRODUCT(CODE(MID(Table1[[#This Row],[home_gym_location]],_xlfn.SEQUENCE(LEN(Table1[[#This Row],[home_gym_location]])),1))),"00000")</f>
        <v>00931</v>
      </c>
      <c r="AN147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72" t="str">
        <f>LEFT(_xlfn.TEXTBEFORE(Table1[[#This Row],[Location Identifier]],"-"),3) &amp; "-" &amp; _xlfn.TEXTAFTER(Table1[[#This Row],[Location Identifier]],"-")</f>
        <v>SAN-010</v>
      </c>
      <c r="AP1472" s="9">
        <f t="shared" ca="1" si="220"/>
        <v>45869</v>
      </c>
    </row>
    <row r="1473" spans="1:42" x14ac:dyDescent="0.25">
      <c r="A1473">
        <v>26</v>
      </c>
      <c r="B1473" t="s">
        <v>26</v>
      </c>
      <c r="C1473">
        <v>4</v>
      </c>
      <c r="D1473" t="s">
        <v>105</v>
      </c>
      <c r="E1473" t="b">
        <v>0</v>
      </c>
      <c r="F1473" s="1">
        <v>0.36388888888888887</v>
      </c>
      <c r="G1473" s="1">
        <v>0.46597222222222223</v>
      </c>
      <c r="H1473">
        <v>147</v>
      </c>
      <c r="I1473" t="b">
        <v>1</v>
      </c>
      <c r="J1473" t="b">
        <v>0</v>
      </c>
      <c r="K1473" t="b">
        <v>0</v>
      </c>
      <c r="L1473" t="s">
        <v>62</v>
      </c>
      <c r="M1473">
        <v>50</v>
      </c>
      <c r="N1473" t="s">
        <v>29</v>
      </c>
      <c r="O1473">
        <v>50</v>
      </c>
      <c r="P1473" t="s">
        <v>36</v>
      </c>
      <c r="Q1473">
        <v>0</v>
      </c>
      <c r="R1473">
        <v>50</v>
      </c>
      <c r="S1473" t="s">
        <v>31</v>
      </c>
      <c r="T1473" t="s">
        <v>32</v>
      </c>
      <c r="U1473">
        <v>37.338200000000001</v>
      </c>
      <c r="V1473">
        <v>-121.88630000000001</v>
      </c>
      <c r="W1473" s="2">
        <v>44895</v>
      </c>
      <c r="X1473">
        <v>0</v>
      </c>
      <c r="Y1473" t="b">
        <v>0</v>
      </c>
      <c r="Z1473" s="2">
        <v>45808</v>
      </c>
      <c r="AA1473" t="str">
        <f t="shared" si="221"/>
        <v>20–29</v>
      </c>
      <c r="AB1473" t="str">
        <f t="shared" si="222"/>
        <v>20–29</v>
      </c>
      <c r="AC1473" t="str">
        <f t="shared" si="223"/>
        <v>Monday</v>
      </c>
      <c r="AD1473" t="str">
        <f t="shared" si="224"/>
        <v>Tuesday</v>
      </c>
      <c r="AE1473" t="str">
        <f t="shared" si="225"/>
        <v>Wednesday</v>
      </c>
      <c r="AF1473" t="str">
        <f t="shared" si="226"/>
        <v>Thursday</v>
      </c>
      <c r="AG1473" t="str">
        <f t="shared" si="227"/>
        <v/>
      </c>
      <c r="AH1473" t="str">
        <f t="shared" si="228"/>
        <v/>
      </c>
      <c r="AI1473" t="str">
        <f t="shared" si="229"/>
        <v/>
      </c>
      <c r="AJ1473" t="str">
        <f>LEFT(Table1[[#This Row],[membership_type]],2)&amp;TEXT(Table1[[#This Row],[age]],"00")&amp;"-"&amp;TEXT(ROW(),"000")</f>
        <v>Pr26-1473</v>
      </c>
      <c r="AK1473" t="str">
        <f>LEFT(Table1[[#This Row],[membership_type]],1)&amp;TEXT(MATCH(Table1[[#This Row],[membership_type]],Table1[membership_type],0),"00")</f>
        <v>P01</v>
      </c>
      <c r="AL1473" t="str">
        <f>LEFT(Table1[[#This Row],[discount_type]],1)&amp;TEXT(ROUND(Table1[[#This Row],[discount_rate]]*100,0),"00")</f>
        <v>N00</v>
      </c>
      <c r="AM1473" t="str" cm="1">
        <f t="array" ref="AM1473">TEXT(SUMPRODUCT(CODE(MID(Table1[[#This Row],[home_gym_location]],_xlfn.SEQUENCE(LEN(Table1[[#This Row],[home_gym_location]])),1))),"00000")</f>
        <v>00931</v>
      </c>
      <c r="AN147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73" t="str">
        <f>LEFT(_xlfn.TEXTBEFORE(Table1[[#This Row],[Location Identifier]],"-"),3) &amp; "-" &amp; _xlfn.TEXTAFTER(Table1[[#This Row],[Location Identifier]],"-")</f>
        <v>SAN-010</v>
      </c>
      <c r="AP1473" s="9">
        <f t="shared" ca="1" si="220"/>
        <v>45869</v>
      </c>
    </row>
    <row r="1474" spans="1:42" x14ac:dyDescent="0.25">
      <c r="A1474">
        <v>18</v>
      </c>
      <c r="B1474" t="s">
        <v>33</v>
      </c>
      <c r="C1474">
        <v>4</v>
      </c>
      <c r="D1474" t="s">
        <v>159</v>
      </c>
      <c r="E1474" t="b">
        <v>1</v>
      </c>
      <c r="F1474" s="1">
        <v>0.8208333333333333</v>
      </c>
      <c r="G1474" s="1">
        <v>0.87291666666666667</v>
      </c>
      <c r="H1474">
        <v>75</v>
      </c>
      <c r="I1474" t="b">
        <v>0</v>
      </c>
      <c r="J1474" t="b">
        <v>0</v>
      </c>
      <c r="K1474" t="b">
        <v>0</v>
      </c>
      <c r="L1474" t="s">
        <v>35</v>
      </c>
      <c r="M1474">
        <v>30</v>
      </c>
      <c r="N1474" t="s">
        <v>29</v>
      </c>
      <c r="O1474">
        <v>30</v>
      </c>
      <c r="P1474" t="s">
        <v>36</v>
      </c>
      <c r="Q1474">
        <v>0</v>
      </c>
      <c r="R1474">
        <v>30</v>
      </c>
      <c r="S1474" t="s">
        <v>37</v>
      </c>
      <c r="T1474" t="s">
        <v>59</v>
      </c>
      <c r="U1474">
        <v>37.774900000000002</v>
      </c>
      <c r="V1474">
        <v>-122.4194</v>
      </c>
      <c r="W1474" s="2">
        <v>45400</v>
      </c>
      <c r="X1474">
        <v>0</v>
      </c>
      <c r="Y1474" t="b">
        <v>1</v>
      </c>
      <c r="Z1474" s="2">
        <v>45836</v>
      </c>
      <c r="AA1474" t="str">
        <f t="shared" si="221"/>
        <v>10–19</v>
      </c>
      <c r="AB1474" t="str">
        <f t="shared" si="222"/>
        <v>16–19</v>
      </c>
      <c r="AC1474" t="str">
        <f t="shared" si="223"/>
        <v>Monday</v>
      </c>
      <c r="AD1474" t="str">
        <f t="shared" si="224"/>
        <v>Tuesday</v>
      </c>
      <c r="AE1474" t="str">
        <f t="shared" si="225"/>
        <v/>
      </c>
      <c r="AF1474" t="str">
        <f t="shared" si="226"/>
        <v>Thursday</v>
      </c>
      <c r="AG1474" t="str">
        <f t="shared" si="227"/>
        <v/>
      </c>
      <c r="AH1474" t="str">
        <f t="shared" si="228"/>
        <v/>
      </c>
      <c r="AI1474" t="str">
        <f t="shared" si="229"/>
        <v>Sunday</v>
      </c>
      <c r="AJ1474" t="str">
        <f>LEFT(Table1[[#This Row],[membership_type]],2)&amp;TEXT(Table1[[#This Row],[age]],"00")&amp;"-"&amp;TEXT(ROW(),"000")</f>
        <v>St18-1474</v>
      </c>
      <c r="AK1474" t="str">
        <f>LEFT(Table1[[#This Row],[membership_type]],1)&amp;TEXT(MATCH(Table1[[#This Row],[membership_type]],Table1[membership_type],0),"00")</f>
        <v>S02</v>
      </c>
      <c r="AL1474" t="str">
        <f>LEFT(Table1[[#This Row],[discount_type]],1)&amp;TEXT(ROUND(Table1[[#This Row],[discount_rate]]*100,0),"00")</f>
        <v>N00</v>
      </c>
      <c r="AM1474" t="str" cm="1">
        <f t="array" ref="AM1474">TEXT(SUMPRODUCT(CODE(MID(Table1[[#This Row],[home_gym_location]],_xlfn.SEQUENCE(LEN(Table1[[#This Row],[home_gym_location]])),1))),"00000")</f>
        <v>01450</v>
      </c>
      <c r="AN147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74" t="str">
        <f>LEFT(_xlfn.TEXTBEFORE(Table1[[#This Row],[Location Identifier]],"-"),3) &amp; "-" &amp; _xlfn.TEXTAFTER(Table1[[#This Row],[Location Identifier]],"-")</f>
        <v>SAN-009</v>
      </c>
      <c r="AP1474" s="9">
        <f t="shared" ref="AP1474:AP1537" ca="1" si="230">EOMONTH(DATE(YEAR(TODAY()),7,1),0)</f>
        <v>45869</v>
      </c>
    </row>
    <row r="1475" spans="1:42" x14ac:dyDescent="0.25">
      <c r="A1475">
        <v>30</v>
      </c>
      <c r="B1475" t="s">
        <v>26</v>
      </c>
      <c r="C1475">
        <v>3</v>
      </c>
      <c r="D1475" t="s">
        <v>102</v>
      </c>
      <c r="E1475" t="b">
        <v>1</v>
      </c>
      <c r="F1475" s="1">
        <v>0.61388888888888893</v>
      </c>
      <c r="G1475" s="1">
        <v>0.66666666666666663</v>
      </c>
      <c r="H1475">
        <v>76</v>
      </c>
      <c r="I1475" t="b">
        <v>1</v>
      </c>
      <c r="J1475" t="b">
        <v>1</v>
      </c>
      <c r="K1475" t="b">
        <v>1</v>
      </c>
      <c r="L1475" t="s">
        <v>47</v>
      </c>
      <c r="M1475">
        <v>50</v>
      </c>
      <c r="N1475" t="s">
        <v>29</v>
      </c>
      <c r="O1475">
        <v>50</v>
      </c>
      <c r="P1475" t="s">
        <v>40</v>
      </c>
      <c r="Q1475">
        <v>0.1</v>
      </c>
      <c r="R1475">
        <v>45</v>
      </c>
      <c r="S1475" t="s">
        <v>31</v>
      </c>
      <c r="T1475" t="s">
        <v>50</v>
      </c>
      <c r="U1475">
        <v>34.052199999999999</v>
      </c>
      <c r="V1475">
        <v>-118.2437</v>
      </c>
      <c r="W1475" s="2">
        <v>45482</v>
      </c>
      <c r="X1475">
        <v>8</v>
      </c>
      <c r="Y1475" t="b">
        <v>1</v>
      </c>
      <c r="Z1475" s="2">
        <v>45841</v>
      </c>
      <c r="AA1475" t="str">
        <f t="shared" ref="AA1475:AA1538" si="231">TEXT(10*INT($A1475/10),"0")&amp;"–"&amp;TEXT(10*INT($A1475/10)+9,"0")</f>
        <v>30–39</v>
      </c>
      <c r="AB1475" t="str">
        <f t="shared" ref="AB1475:AB1538" si="232">IF(AND($AA1475 = "10–19", $A1475 &lt; 16), "Under 16", IF(AND($AA1475 = "10–19", $A1475 &gt;= 16), "16–19", $AA1475))</f>
        <v>30–39</v>
      </c>
      <c r="AC1475" t="str">
        <f t="shared" ref="AC1475:AC1538" si="233">IF(ISNUMBER(SEARCH("Mon", $D1475)), "Monday", "")</f>
        <v/>
      </c>
      <c r="AD1475" t="str">
        <f t="shared" ref="AD1475:AD1538" si="234">IF(ISNUMBER(SEARCH("Tue", $D1475)), "Tuesday", "")</f>
        <v/>
      </c>
      <c r="AE1475" t="str">
        <f t="shared" ref="AE1475:AE1538" si="235">IF(ISNUMBER(SEARCH("Wed", $D1475)), "Wednesday", "")</f>
        <v/>
      </c>
      <c r="AF1475" t="str">
        <f t="shared" ref="AF1475:AF1538" si="236">IF(ISNUMBER(SEARCH("Thu", $D1475)), "Thursday", "")</f>
        <v>Thursday</v>
      </c>
      <c r="AG1475" t="str">
        <f t="shared" ref="AG1475:AG1538" si="237">IF(ISNUMBER(SEARCH("Fri", $D1475)), "Friday", "")</f>
        <v>Friday</v>
      </c>
      <c r="AH1475" t="str">
        <f t="shared" ref="AH1475:AH1538" si="238">IF(ISNUMBER(SEARCH("Sat", $D1475)), "Saturday", "")</f>
        <v>Saturday</v>
      </c>
      <c r="AI1475" t="str">
        <f t="shared" ref="AI1475:AI1538" si="239">IF(ISNUMBER(SEARCH("Sun", $D1475)), "Sunday", "")</f>
        <v/>
      </c>
      <c r="AJ1475" t="str">
        <f>LEFT(Table1[[#This Row],[membership_type]],2)&amp;TEXT(Table1[[#This Row],[age]],"00")&amp;"-"&amp;TEXT(ROW(),"000")</f>
        <v>Pr30-1475</v>
      </c>
      <c r="AK1475" t="str">
        <f>LEFT(Table1[[#This Row],[membership_type]],1)&amp;TEXT(MATCH(Table1[[#This Row],[membership_type]],Table1[membership_type],0),"00")</f>
        <v>P01</v>
      </c>
      <c r="AL1475" t="str">
        <f>LEFT(Table1[[#This Row],[discount_type]],1)&amp;TEXT(ROUND(Table1[[#This Row],[discount_rate]]*100,0),"00")</f>
        <v>L10</v>
      </c>
      <c r="AM1475" t="str" cm="1">
        <f t="array" ref="AM1475">TEXT(SUMPRODUCT(CODE(MID(Table1[[#This Row],[home_gym_location]],_xlfn.SEQUENCE(LEN(Table1[[#This Row],[home_gym_location]])),1))),"00000")</f>
        <v>01245</v>
      </c>
      <c r="AN147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75" t="str">
        <f>LEFT(_xlfn.TEXTBEFORE(Table1[[#This Row],[Location Identifier]],"-"),3) &amp; "-" &amp; _xlfn.TEXTAFTER(Table1[[#This Row],[Location Identifier]],"-")</f>
        <v>LOS-005</v>
      </c>
      <c r="AP1475" s="9">
        <f t="shared" ca="1" si="230"/>
        <v>45869</v>
      </c>
    </row>
    <row r="1476" spans="1:42" x14ac:dyDescent="0.25">
      <c r="A1476">
        <v>24</v>
      </c>
      <c r="B1476" t="s">
        <v>26</v>
      </c>
      <c r="C1476">
        <v>5</v>
      </c>
      <c r="D1476" t="s">
        <v>115</v>
      </c>
      <c r="E1476" t="b">
        <v>0</v>
      </c>
      <c r="F1476" s="1">
        <v>0.87013888888888891</v>
      </c>
      <c r="G1476" s="1">
        <v>0.98124999999999996</v>
      </c>
      <c r="H1476">
        <v>160</v>
      </c>
      <c r="I1476" t="b">
        <v>1</v>
      </c>
      <c r="J1476" t="b">
        <v>0</v>
      </c>
      <c r="K1476" t="b">
        <v>0</v>
      </c>
      <c r="L1476" t="s">
        <v>28</v>
      </c>
      <c r="M1476">
        <v>50</v>
      </c>
      <c r="N1476" t="s">
        <v>29</v>
      </c>
      <c r="O1476">
        <v>50</v>
      </c>
      <c r="P1476" t="s">
        <v>40</v>
      </c>
      <c r="Q1476">
        <v>0.1</v>
      </c>
      <c r="R1476">
        <v>45</v>
      </c>
      <c r="S1476" t="s">
        <v>31</v>
      </c>
      <c r="T1476" t="s">
        <v>56</v>
      </c>
      <c r="U1476">
        <v>35.3733</v>
      </c>
      <c r="V1476">
        <v>-119.0187</v>
      </c>
      <c r="W1476" s="2">
        <v>45120</v>
      </c>
      <c r="X1476">
        <v>0</v>
      </c>
      <c r="Y1476" t="b">
        <v>1</v>
      </c>
      <c r="Z1476" s="2">
        <v>45820</v>
      </c>
      <c r="AA1476" t="str">
        <f t="shared" si="231"/>
        <v>20–29</v>
      </c>
      <c r="AB1476" t="str">
        <f t="shared" si="232"/>
        <v>20–29</v>
      </c>
      <c r="AC1476" t="str">
        <f t="shared" si="233"/>
        <v>Monday</v>
      </c>
      <c r="AD1476" t="str">
        <f t="shared" si="234"/>
        <v/>
      </c>
      <c r="AE1476" t="str">
        <f t="shared" si="235"/>
        <v>Wednesday</v>
      </c>
      <c r="AF1476" t="str">
        <f t="shared" si="236"/>
        <v/>
      </c>
      <c r="AG1476" t="str">
        <f t="shared" si="237"/>
        <v>Friday</v>
      </c>
      <c r="AH1476" t="str">
        <f t="shared" si="238"/>
        <v>Saturday</v>
      </c>
      <c r="AI1476" t="str">
        <f t="shared" si="239"/>
        <v>Sunday</v>
      </c>
      <c r="AJ1476" t="str">
        <f>LEFT(Table1[[#This Row],[membership_type]],2)&amp;TEXT(Table1[[#This Row],[age]],"00")&amp;"-"&amp;TEXT(ROW(),"000")</f>
        <v>Pr24-1476</v>
      </c>
      <c r="AK1476" t="str">
        <f>LEFT(Table1[[#This Row],[membership_type]],1)&amp;TEXT(MATCH(Table1[[#This Row],[membership_type]],Table1[membership_type],0),"00")</f>
        <v>P01</v>
      </c>
      <c r="AL1476" t="str">
        <f>LEFT(Table1[[#This Row],[discount_type]],1)&amp;TEXT(ROUND(Table1[[#This Row],[discount_rate]]*100,0),"00")</f>
        <v>L10</v>
      </c>
      <c r="AM1476" t="str" cm="1">
        <f t="array" ref="AM1476">TEXT(SUMPRODUCT(CODE(MID(Table1[[#This Row],[home_gym_location]],_xlfn.SEQUENCE(LEN(Table1[[#This Row],[home_gym_location]])),1))),"00000")</f>
        <v>01324</v>
      </c>
      <c r="AN147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76" t="str">
        <f>LEFT(_xlfn.TEXTBEFORE(Table1[[#This Row],[Location Identifier]],"-"),3) &amp; "-" &amp; _xlfn.TEXTAFTER(Table1[[#This Row],[Location Identifier]],"-")</f>
        <v>BAK-002</v>
      </c>
      <c r="AP1476" s="9">
        <f t="shared" ca="1" si="230"/>
        <v>45869</v>
      </c>
    </row>
    <row r="1477" spans="1:42" x14ac:dyDescent="0.25">
      <c r="A1477">
        <v>15</v>
      </c>
      <c r="B1477" t="s">
        <v>26</v>
      </c>
      <c r="C1477">
        <v>2</v>
      </c>
      <c r="D1477" t="s">
        <v>103</v>
      </c>
      <c r="E1477" t="b">
        <v>1</v>
      </c>
      <c r="F1477" s="1">
        <v>0.83819444444444446</v>
      </c>
      <c r="G1477" s="1">
        <v>0.90208333333333335</v>
      </c>
      <c r="H1477">
        <v>92</v>
      </c>
      <c r="I1477" t="b">
        <v>1</v>
      </c>
      <c r="J1477" t="b">
        <v>0</v>
      </c>
      <c r="K1477" t="b">
        <v>0</v>
      </c>
      <c r="L1477" t="s">
        <v>62</v>
      </c>
      <c r="M1477">
        <v>50</v>
      </c>
      <c r="N1477" t="s">
        <v>29</v>
      </c>
      <c r="O1477">
        <v>50</v>
      </c>
      <c r="P1477" t="s">
        <v>30</v>
      </c>
      <c r="Q1477">
        <v>0.05</v>
      </c>
      <c r="R1477">
        <v>47.5</v>
      </c>
      <c r="S1477" t="s">
        <v>31</v>
      </c>
      <c r="T1477" t="s">
        <v>41</v>
      </c>
      <c r="U1477">
        <v>37.804400000000001</v>
      </c>
      <c r="V1477">
        <v>-122.27119999999999</v>
      </c>
      <c r="W1477" s="2">
        <v>44970</v>
      </c>
      <c r="X1477">
        <v>0</v>
      </c>
      <c r="Y1477" t="b">
        <v>1</v>
      </c>
      <c r="Z1477" s="2">
        <v>45812</v>
      </c>
      <c r="AA1477" t="str">
        <f t="shared" si="231"/>
        <v>10–19</v>
      </c>
      <c r="AB1477" t="str">
        <f t="shared" si="232"/>
        <v>Under 16</v>
      </c>
      <c r="AC1477" t="str">
        <f t="shared" si="233"/>
        <v>Monday</v>
      </c>
      <c r="AD1477" t="str">
        <f t="shared" si="234"/>
        <v/>
      </c>
      <c r="AE1477" t="str">
        <f t="shared" si="235"/>
        <v/>
      </c>
      <c r="AF1477" t="str">
        <f t="shared" si="236"/>
        <v/>
      </c>
      <c r="AG1477" t="str">
        <f t="shared" si="237"/>
        <v/>
      </c>
      <c r="AH1477" t="str">
        <f t="shared" si="238"/>
        <v/>
      </c>
      <c r="AI1477" t="str">
        <f t="shared" si="239"/>
        <v>Sunday</v>
      </c>
      <c r="AJ1477" t="str">
        <f>LEFT(Table1[[#This Row],[membership_type]],2)&amp;TEXT(Table1[[#This Row],[age]],"00")&amp;"-"&amp;TEXT(ROW(),"000")</f>
        <v>Pr15-1477</v>
      </c>
      <c r="AK1477" t="str">
        <f>LEFT(Table1[[#This Row],[membership_type]],1)&amp;TEXT(MATCH(Table1[[#This Row],[membership_type]],Table1[membership_type],0),"00")</f>
        <v>P01</v>
      </c>
      <c r="AL1477" t="str">
        <f>LEFT(Table1[[#This Row],[discount_type]],1)&amp;TEXT(ROUND(Table1[[#This Row],[discount_rate]]*100,0),"00")</f>
        <v>P05</v>
      </c>
      <c r="AM1477" t="str" cm="1">
        <f t="array" ref="AM1477">TEXT(SUMPRODUCT(CODE(MID(Table1[[#This Row],[home_gym_location]],_xlfn.SEQUENCE(LEN(Table1[[#This Row],[home_gym_location]])),1))),"00000")</f>
        <v>00906</v>
      </c>
      <c r="AN147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77" t="str">
        <f>LEFT(_xlfn.TEXTBEFORE(Table1[[#This Row],[Location Identifier]],"-"),3) &amp; "-" &amp; _xlfn.TEXTAFTER(Table1[[#This Row],[Location Identifier]],"-")</f>
        <v>OAK-006</v>
      </c>
      <c r="AP1477" s="9">
        <f t="shared" ca="1" si="230"/>
        <v>45869</v>
      </c>
    </row>
    <row r="1478" spans="1:42" x14ac:dyDescent="0.25">
      <c r="A1478">
        <v>17</v>
      </c>
      <c r="B1478" t="s">
        <v>33</v>
      </c>
      <c r="C1478">
        <v>2</v>
      </c>
      <c r="D1478" t="s">
        <v>43</v>
      </c>
      <c r="E1478" t="b">
        <v>0</v>
      </c>
      <c r="F1478" s="1">
        <v>0.66249999999999998</v>
      </c>
      <c r="G1478" s="1">
        <v>0.69861111111111107</v>
      </c>
      <c r="H1478">
        <v>52</v>
      </c>
      <c r="I1478" t="b">
        <v>0</v>
      </c>
      <c r="J1478" t="b">
        <v>1</v>
      </c>
      <c r="K1478" t="b">
        <v>0</v>
      </c>
      <c r="L1478" t="s">
        <v>35</v>
      </c>
      <c r="M1478">
        <v>30</v>
      </c>
      <c r="N1478" t="s">
        <v>29</v>
      </c>
      <c r="O1478">
        <v>30</v>
      </c>
      <c r="P1478" t="s">
        <v>30</v>
      </c>
      <c r="Q1478">
        <v>0.05</v>
      </c>
      <c r="R1478">
        <v>28.5</v>
      </c>
      <c r="S1478" t="s">
        <v>37</v>
      </c>
      <c r="T1478" t="s">
        <v>50</v>
      </c>
      <c r="U1478">
        <v>34.052199999999999</v>
      </c>
      <c r="V1478">
        <v>-118.2437</v>
      </c>
      <c r="W1478" s="2">
        <v>45019</v>
      </c>
      <c r="X1478">
        <v>2</v>
      </c>
      <c r="Y1478" t="b">
        <v>0</v>
      </c>
      <c r="Z1478" s="2">
        <v>45815</v>
      </c>
      <c r="AA1478" t="str">
        <f t="shared" si="231"/>
        <v>10–19</v>
      </c>
      <c r="AB1478" t="str">
        <f t="shared" si="232"/>
        <v>16–19</v>
      </c>
      <c r="AC1478" t="str">
        <f t="shared" si="233"/>
        <v>Monday</v>
      </c>
      <c r="AD1478" t="str">
        <f t="shared" si="234"/>
        <v>Tuesday</v>
      </c>
      <c r="AE1478" t="str">
        <f t="shared" si="235"/>
        <v/>
      </c>
      <c r="AF1478" t="str">
        <f t="shared" si="236"/>
        <v/>
      </c>
      <c r="AG1478" t="str">
        <f t="shared" si="237"/>
        <v/>
      </c>
      <c r="AH1478" t="str">
        <f t="shared" si="238"/>
        <v/>
      </c>
      <c r="AI1478" t="str">
        <f t="shared" si="239"/>
        <v/>
      </c>
      <c r="AJ1478" t="str">
        <f>LEFT(Table1[[#This Row],[membership_type]],2)&amp;TEXT(Table1[[#This Row],[age]],"00")&amp;"-"&amp;TEXT(ROW(),"000")</f>
        <v>St17-1478</v>
      </c>
      <c r="AK1478" t="str">
        <f>LEFT(Table1[[#This Row],[membership_type]],1)&amp;TEXT(MATCH(Table1[[#This Row],[membership_type]],Table1[membership_type],0),"00")</f>
        <v>S02</v>
      </c>
      <c r="AL1478" t="str">
        <f>LEFT(Table1[[#This Row],[discount_type]],1)&amp;TEXT(ROUND(Table1[[#This Row],[discount_rate]]*100,0),"00")</f>
        <v>P05</v>
      </c>
      <c r="AM1478" t="str" cm="1">
        <f t="array" ref="AM1478">TEXT(SUMPRODUCT(CODE(MID(Table1[[#This Row],[home_gym_location]],_xlfn.SEQUENCE(LEN(Table1[[#This Row],[home_gym_location]])),1))),"00000")</f>
        <v>01245</v>
      </c>
      <c r="AN147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78" t="str">
        <f>LEFT(_xlfn.TEXTBEFORE(Table1[[#This Row],[Location Identifier]],"-"),3) &amp; "-" &amp; _xlfn.TEXTAFTER(Table1[[#This Row],[Location Identifier]],"-")</f>
        <v>LOS-005</v>
      </c>
      <c r="AP1478" s="9">
        <f t="shared" ca="1" si="230"/>
        <v>45869</v>
      </c>
    </row>
    <row r="1479" spans="1:42" x14ac:dyDescent="0.25">
      <c r="A1479">
        <v>27</v>
      </c>
      <c r="B1479" t="s">
        <v>33</v>
      </c>
      <c r="C1479">
        <v>2</v>
      </c>
      <c r="D1479" t="s">
        <v>96</v>
      </c>
      <c r="E1479" t="b">
        <v>1</v>
      </c>
      <c r="F1479" s="1">
        <v>0.68680555555555556</v>
      </c>
      <c r="G1479" s="1">
        <v>0.79722222222222228</v>
      </c>
      <c r="H1479">
        <v>159</v>
      </c>
      <c r="I1479" t="b">
        <v>1</v>
      </c>
      <c r="J1479" t="b">
        <v>0</v>
      </c>
      <c r="K1479" t="b">
        <v>1</v>
      </c>
      <c r="L1479" t="s">
        <v>28</v>
      </c>
      <c r="M1479">
        <v>30</v>
      </c>
      <c r="N1479" t="s">
        <v>29</v>
      </c>
      <c r="O1479">
        <v>30</v>
      </c>
      <c r="P1479" t="s">
        <v>36</v>
      </c>
      <c r="Q1479">
        <v>0</v>
      </c>
      <c r="R1479">
        <v>30</v>
      </c>
      <c r="S1479" t="s">
        <v>37</v>
      </c>
      <c r="T1479" t="s">
        <v>50</v>
      </c>
      <c r="U1479">
        <v>34.052199999999999</v>
      </c>
      <c r="V1479">
        <v>-118.2437</v>
      </c>
      <c r="W1479" s="2">
        <v>44981</v>
      </c>
      <c r="X1479">
        <v>0</v>
      </c>
      <c r="Y1479" t="b">
        <v>0</v>
      </c>
      <c r="Z1479" s="2">
        <v>45813</v>
      </c>
      <c r="AA1479" t="str">
        <f t="shared" si="231"/>
        <v>20–29</v>
      </c>
      <c r="AB1479" t="str">
        <f t="shared" si="232"/>
        <v>20–29</v>
      </c>
      <c r="AC1479" t="str">
        <f t="shared" si="233"/>
        <v/>
      </c>
      <c r="AD1479" t="str">
        <f t="shared" si="234"/>
        <v/>
      </c>
      <c r="AE1479" t="str">
        <f t="shared" si="235"/>
        <v/>
      </c>
      <c r="AF1479" t="str">
        <f t="shared" si="236"/>
        <v>Thursday</v>
      </c>
      <c r="AG1479" t="str">
        <f t="shared" si="237"/>
        <v>Friday</v>
      </c>
      <c r="AH1479" t="str">
        <f t="shared" si="238"/>
        <v/>
      </c>
      <c r="AI1479" t="str">
        <f t="shared" si="239"/>
        <v/>
      </c>
      <c r="AJ1479" t="str">
        <f>LEFT(Table1[[#This Row],[membership_type]],2)&amp;TEXT(Table1[[#This Row],[age]],"00")&amp;"-"&amp;TEXT(ROW(),"000")</f>
        <v>St27-1479</v>
      </c>
      <c r="AK1479" t="str">
        <f>LEFT(Table1[[#This Row],[membership_type]],1)&amp;TEXT(MATCH(Table1[[#This Row],[membership_type]],Table1[membership_type],0),"00")</f>
        <v>S02</v>
      </c>
      <c r="AL1479" t="str">
        <f>LEFT(Table1[[#This Row],[discount_type]],1)&amp;TEXT(ROUND(Table1[[#This Row],[discount_rate]]*100,0),"00")</f>
        <v>N00</v>
      </c>
      <c r="AM1479" t="str" cm="1">
        <f t="array" ref="AM1479">TEXT(SUMPRODUCT(CODE(MID(Table1[[#This Row],[home_gym_location]],_xlfn.SEQUENCE(LEN(Table1[[#This Row],[home_gym_location]])),1))),"00000")</f>
        <v>01245</v>
      </c>
      <c r="AN147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79" t="str">
        <f>LEFT(_xlfn.TEXTBEFORE(Table1[[#This Row],[Location Identifier]],"-"),3) &amp; "-" &amp; _xlfn.TEXTAFTER(Table1[[#This Row],[Location Identifier]],"-")</f>
        <v>LOS-005</v>
      </c>
      <c r="AP1479" s="9">
        <f t="shared" ca="1" si="230"/>
        <v>45869</v>
      </c>
    </row>
    <row r="1480" spans="1:42" x14ac:dyDescent="0.25">
      <c r="A1480">
        <v>18</v>
      </c>
      <c r="B1480" t="s">
        <v>26</v>
      </c>
      <c r="C1480">
        <v>2</v>
      </c>
      <c r="D1480" t="s">
        <v>96</v>
      </c>
      <c r="E1480" t="b">
        <v>1</v>
      </c>
      <c r="F1480" s="1">
        <v>0.33680555555555558</v>
      </c>
      <c r="G1480" s="1">
        <v>0.39097222222222222</v>
      </c>
      <c r="H1480">
        <v>78</v>
      </c>
      <c r="I1480" t="b">
        <v>1</v>
      </c>
      <c r="J1480" t="b">
        <v>0</v>
      </c>
      <c r="K1480" t="b">
        <v>0</v>
      </c>
      <c r="L1480" t="s">
        <v>28</v>
      </c>
      <c r="M1480">
        <v>50</v>
      </c>
      <c r="N1480" t="s">
        <v>29</v>
      </c>
      <c r="O1480">
        <v>50</v>
      </c>
      <c r="P1480" t="s">
        <v>40</v>
      </c>
      <c r="Q1480">
        <v>0.1</v>
      </c>
      <c r="R1480">
        <v>45</v>
      </c>
      <c r="S1480" t="s">
        <v>31</v>
      </c>
      <c r="T1480" t="s">
        <v>56</v>
      </c>
      <c r="U1480">
        <v>35.3733</v>
      </c>
      <c r="V1480">
        <v>-119.0187</v>
      </c>
      <c r="W1480" s="2">
        <v>45367</v>
      </c>
      <c r="X1480">
        <v>0</v>
      </c>
      <c r="Y1480" t="b">
        <v>1</v>
      </c>
      <c r="Z1480" s="2">
        <v>45834</v>
      </c>
      <c r="AA1480" t="str">
        <f t="shared" si="231"/>
        <v>10–19</v>
      </c>
      <c r="AB1480" t="str">
        <f t="shared" si="232"/>
        <v>16–19</v>
      </c>
      <c r="AC1480" t="str">
        <f t="shared" si="233"/>
        <v/>
      </c>
      <c r="AD1480" t="str">
        <f t="shared" si="234"/>
        <v/>
      </c>
      <c r="AE1480" t="str">
        <f t="shared" si="235"/>
        <v/>
      </c>
      <c r="AF1480" t="str">
        <f t="shared" si="236"/>
        <v>Thursday</v>
      </c>
      <c r="AG1480" t="str">
        <f t="shared" si="237"/>
        <v>Friday</v>
      </c>
      <c r="AH1480" t="str">
        <f t="shared" si="238"/>
        <v/>
      </c>
      <c r="AI1480" t="str">
        <f t="shared" si="239"/>
        <v/>
      </c>
      <c r="AJ1480" t="str">
        <f>LEFT(Table1[[#This Row],[membership_type]],2)&amp;TEXT(Table1[[#This Row],[age]],"00")&amp;"-"&amp;TEXT(ROW(),"000")</f>
        <v>Pr18-1480</v>
      </c>
      <c r="AK1480" t="str">
        <f>LEFT(Table1[[#This Row],[membership_type]],1)&amp;TEXT(MATCH(Table1[[#This Row],[membership_type]],Table1[membership_type],0),"00")</f>
        <v>P01</v>
      </c>
      <c r="AL1480" t="str">
        <f>LEFT(Table1[[#This Row],[discount_type]],1)&amp;TEXT(ROUND(Table1[[#This Row],[discount_rate]]*100,0),"00")</f>
        <v>L10</v>
      </c>
      <c r="AM1480" t="str" cm="1">
        <f t="array" ref="AM1480">TEXT(SUMPRODUCT(CODE(MID(Table1[[#This Row],[home_gym_location]],_xlfn.SEQUENCE(LEN(Table1[[#This Row],[home_gym_location]])),1))),"00000")</f>
        <v>01324</v>
      </c>
      <c r="AN148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80" t="str">
        <f>LEFT(_xlfn.TEXTBEFORE(Table1[[#This Row],[Location Identifier]],"-"),3) &amp; "-" &amp; _xlfn.TEXTAFTER(Table1[[#This Row],[Location Identifier]],"-")</f>
        <v>BAK-002</v>
      </c>
      <c r="AP1480" s="9">
        <f t="shared" ca="1" si="230"/>
        <v>45869</v>
      </c>
    </row>
    <row r="1481" spans="1:42" x14ac:dyDescent="0.25">
      <c r="A1481">
        <v>40</v>
      </c>
      <c r="B1481" t="s">
        <v>26</v>
      </c>
      <c r="C1481">
        <v>4</v>
      </c>
      <c r="D1481" t="s">
        <v>85</v>
      </c>
      <c r="E1481" t="b">
        <v>1</v>
      </c>
      <c r="F1481" s="1">
        <v>0.81597222222222221</v>
      </c>
      <c r="G1481" s="1">
        <v>0.88055555555555554</v>
      </c>
      <c r="H1481">
        <v>93</v>
      </c>
      <c r="I1481" t="b">
        <v>0</v>
      </c>
      <c r="J1481" t="b">
        <v>0</v>
      </c>
      <c r="K1481" t="b">
        <v>0</v>
      </c>
      <c r="L1481" t="s">
        <v>47</v>
      </c>
      <c r="M1481">
        <v>50</v>
      </c>
      <c r="N1481" t="s">
        <v>64</v>
      </c>
      <c r="O1481">
        <v>37.5</v>
      </c>
      <c r="P1481" t="s">
        <v>40</v>
      </c>
      <c r="Q1481">
        <v>0.1</v>
      </c>
      <c r="R1481">
        <v>33.75</v>
      </c>
      <c r="S1481" t="s">
        <v>31</v>
      </c>
      <c r="T1481" t="s">
        <v>38</v>
      </c>
      <c r="U1481">
        <v>36.7378</v>
      </c>
      <c r="V1481">
        <v>-119.7871</v>
      </c>
      <c r="W1481" s="2">
        <v>44960</v>
      </c>
      <c r="X1481">
        <v>0</v>
      </c>
      <c r="Y1481" t="b">
        <v>1</v>
      </c>
      <c r="Z1481" s="2">
        <v>45811</v>
      </c>
      <c r="AA1481" t="str">
        <f t="shared" si="231"/>
        <v>40–49</v>
      </c>
      <c r="AB1481" t="str">
        <f t="shared" si="232"/>
        <v>40–49</v>
      </c>
      <c r="AC1481" t="str">
        <f t="shared" si="233"/>
        <v/>
      </c>
      <c r="AD1481" t="str">
        <f t="shared" si="234"/>
        <v>Tuesday</v>
      </c>
      <c r="AE1481" t="str">
        <f t="shared" si="235"/>
        <v/>
      </c>
      <c r="AF1481" t="str">
        <f t="shared" si="236"/>
        <v>Thursday</v>
      </c>
      <c r="AG1481" t="str">
        <f t="shared" si="237"/>
        <v/>
      </c>
      <c r="AH1481" t="str">
        <f t="shared" si="238"/>
        <v>Saturday</v>
      </c>
      <c r="AI1481" t="str">
        <f t="shared" si="239"/>
        <v>Sunday</v>
      </c>
      <c r="AJ1481" t="str">
        <f>LEFT(Table1[[#This Row],[membership_type]],2)&amp;TEXT(Table1[[#This Row],[age]],"00")&amp;"-"&amp;TEXT(ROW(),"000")</f>
        <v>Pr40-1481</v>
      </c>
      <c r="AK1481" t="str">
        <f>LEFT(Table1[[#This Row],[membership_type]],1)&amp;TEXT(MATCH(Table1[[#This Row],[membership_type]],Table1[membership_type],0),"00")</f>
        <v>P01</v>
      </c>
      <c r="AL1481" t="str">
        <f>LEFT(Table1[[#This Row],[discount_type]],1)&amp;TEXT(ROUND(Table1[[#This Row],[discount_rate]]*100,0),"00")</f>
        <v>L10</v>
      </c>
      <c r="AM1481" t="str" cm="1">
        <f t="array" ref="AM1481">TEXT(SUMPRODUCT(CODE(MID(Table1[[#This Row],[home_gym_location]],_xlfn.SEQUENCE(LEN(Table1[[#This Row],[home_gym_location]])),1))),"00000")</f>
        <v>00829</v>
      </c>
      <c r="AN1481" t="str">
        <f>UPPER(_xlfn.TEXTBEFORE(Table1[[#This Row],[home_gym_location]],","))&amp;"-"&amp;TEXT(MATCH(Table1[[#This Row],[home_gym_location]],_xlfn._xlws.SORT(_xlfn.UNIQUE(Table1[home_gym_location])),0),"000")</f>
        <v>FRESNO-003</v>
      </c>
      <c r="AO1481" t="str">
        <f>LEFT(_xlfn.TEXTBEFORE(Table1[[#This Row],[Location Identifier]],"-"),3) &amp; "-" &amp; _xlfn.TEXTAFTER(Table1[[#This Row],[Location Identifier]],"-")</f>
        <v>FRE-003</v>
      </c>
      <c r="AP1481" s="9">
        <f t="shared" ca="1" si="230"/>
        <v>45869</v>
      </c>
    </row>
    <row r="1482" spans="1:42" x14ac:dyDescent="0.25">
      <c r="A1482">
        <v>46</v>
      </c>
      <c r="B1482" t="s">
        <v>26</v>
      </c>
      <c r="C1482">
        <v>5</v>
      </c>
      <c r="D1482" t="s">
        <v>110</v>
      </c>
      <c r="E1482" t="b">
        <v>0</v>
      </c>
      <c r="F1482" s="1">
        <v>0.86527777777777781</v>
      </c>
      <c r="G1482" s="1">
        <v>0.92291666666666672</v>
      </c>
      <c r="H1482">
        <v>83</v>
      </c>
      <c r="I1482" t="b">
        <v>1</v>
      </c>
      <c r="J1482" t="b">
        <v>1</v>
      </c>
      <c r="K1482" t="b">
        <v>1</v>
      </c>
      <c r="L1482" t="s">
        <v>62</v>
      </c>
      <c r="M1482">
        <v>50</v>
      </c>
      <c r="N1482" t="s">
        <v>64</v>
      </c>
      <c r="O1482">
        <v>37.5</v>
      </c>
      <c r="P1482" t="s">
        <v>74</v>
      </c>
      <c r="Q1482">
        <v>0.15</v>
      </c>
      <c r="R1482">
        <v>31.875</v>
      </c>
      <c r="S1482" t="s">
        <v>31</v>
      </c>
      <c r="T1482" t="s">
        <v>56</v>
      </c>
      <c r="U1482">
        <v>35.3733</v>
      </c>
      <c r="V1482">
        <v>-119.0187</v>
      </c>
      <c r="W1482" s="2">
        <v>45702</v>
      </c>
      <c r="X1482">
        <v>3</v>
      </c>
      <c r="Y1482" t="b">
        <v>1</v>
      </c>
      <c r="Z1482" s="2">
        <v>45853</v>
      </c>
      <c r="AA1482" t="str">
        <f t="shared" si="231"/>
        <v>40–49</v>
      </c>
      <c r="AB1482" t="str">
        <f t="shared" si="232"/>
        <v>40–49</v>
      </c>
      <c r="AC1482" t="str">
        <f t="shared" si="233"/>
        <v>Monday</v>
      </c>
      <c r="AD1482" t="str">
        <f t="shared" si="234"/>
        <v>Tuesday</v>
      </c>
      <c r="AE1482" t="str">
        <f t="shared" si="235"/>
        <v>Wednesday</v>
      </c>
      <c r="AF1482" t="str">
        <f t="shared" si="236"/>
        <v>Thursday</v>
      </c>
      <c r="AG1482" t="str">
        <f t="shared" si="237"/>
        <v/>
      </c>
      <c r="AH1482" t="str">
        <f t="shared" si="238"/>
        <v>Saturday</v>
      </c>
      <c r="AI1482" t="str">
        <f t="shared" si="239"/>
        <v/>
      </c>
      <c r="AJ1482" t="str">
        <f>LEFT(Table1[[#This Row],[membership_type]],2)&amp;TEXT(Table1[[#This Row],[age]],"00")&amp;"-"&amp;TEXT(ROW(),"000")</f>
        <v>Pr46-1482</v>
      </c>
      <c r="AK1482" t="str">
        <f>LEFT(Table1[[#This Row],[membership_type]],1)&amp;TEXT(MATCH(Table1[[#This Row],[membership_type]],Table1[membership_type],0),"00")</f>
        <v>P01</v>
      </c>
      <c r="AL1482" t="str">
        <f>LEFT(Table1[[#This Row],[discount_type]],1)&amp;TEXT(ROUND(Table1[[#This Row],[discount_rate]]*100,0),"00")</f>
        <v>S15</v>
      </c>
      <c r="AM1482" t="str" cm="1">
        <f t="array" ref="AM1482">TEXT(SUMPRODUCT(CODE(MID(Table1[[#This Row],[home_gym_location]],_xlfn.SEQUENCE(LEN(Table1[[#This Row],[home_gym_location]])),1))),"00000")</f>
        <v>01324</v>
      </c>
      <c r="AN148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82" t="str">
        <f>LEFT(_xlfn.TEXTBEFORE(Table1[[#This Row],[Location Identifier]],"-"),3) &amp; "-" &amp; _xlfn.TEXTAFTER(Table1[[#This Row],[Location Identifier]],"-")</f>
        <v>BAK-002</v>
      </c>
      <c r="AP1482" s="9">
        <f t="shared" ca="1" si="230"/>
        <v>45869</v>
      </c>
    </row>
    <row r="1483" spans="1:42" x14ac:dyDescent="0.25">
      <c r="A1483">
        <v>30</v>
      </c>
      <c r="B1483" t="s">
        <v>42</v>
      </c>
      <c r="C1483">
        <v>2</v>
      </c>
      <c r="D1483" t="s">
        <v>139</v>
      </c>
      <c r="E1483" t="b">
        <v>0</v>
      </c>
      <c r="F1483" s="1">
        <v>0.35972222222222222</v>
      </c>
      <c r="G1483" s="1">
        <v>0.45694444444444443</v>
      </c>
      <c r="H1483">
        <v>140</v>
      </c>
      <c r="I1483" t="b">
        <v>1</v>
      </c>
      <c r="J1483" t="b">
        <v>1</v>
      </c>
      <c r="K1483" t="b">
        <v>0</v>
      </c>
      <c r="L1483" t="s">
        <v>47</v>
      </c>
      <c r="M1483">
        <v>20</v>
      </c>
      <c r="N1483" t="s">
        <v>64</v>
      </c>
      <c r="O1483">
        <v>15</v>
      </c>
      <c r="P1483" t="s">
        <v>36</v>
      </c>
      <c r="Q1483">
        <v>0</v>
      </c>
      <c r="R1483">
        <v>15</v>
      </c>
      <c r="S1483" t="s">
        <v>44</v>
      </c>
      <c r="T1483" t="s">
        <v>48</v>
      </c>
      <c r="U1483">
        <v>38.581600000000002</v>
      </c>
      <c r="V1483">
        <v>-121.4944</v>
      </c>
      <c r="W1483" s="2">
        <v>45251</v>
      </c>
      <c r="X1483">
        <v>1</v>
      </c>
      <c r="Y1483" t="b">
        <v>1</v>
      </c>
      <c r="Z1483" s="2">
        <v>45828</v>
      </c>
      <c r="AA1483" t="str">
        <f t="shared" si="231"/>
        <v>30–39</v>
      </c>
      <c r="AB1483" t="str">
        <f t="shared" si="232"/>
        <v>30–39</v>
      </c>
      <c r="AC1483" t="str">
        <f t="shared" si="233"/>
        <v/>
      </c>
      <c r="AD1483" t="str">
        <f t="shared" si="234"/>
        <v/>
      </c>
      <c r="AE1483" t="str">
        <f t="shared" si="235"/>
        <v>Wednesday</v>
      </c>
      <c r="AF1483" t="str">
        <f t="shared" si="236"/>
        <v/>
      </c>
      <c r="AG1483" t="str">
        <f t="shared" si="237"/>
        <v/>
      </c>
      <c r="AH1483" t="str">
        <f t="shared" si="238"/>
        <v>Saturday</v>
      </c>
      <c r="AI1483" t="str">
        <f t="shared" si="239"/>
        <v/>
      </c>
      <c r="AJ1483" t="str">
        <f>LEFT(Table1[[#This Row],[membership_type]],2)&amp;TEXT(Table1[[#This Row],[age]],"00")&amp;"-"&amp;TEXT(ROW(),"000")</f>
        <v>Ba30-1483</v>
      </c>
      <c r="AK1483" t="str">
        <f>LEFT(Table1[[#This Row],[membership_type]],1)&amp;TEXT(MATCH(Table1[[#This Row],[membership_type]],Table1[membership_type],0),"00")</f>
        <v>B04</v>
      </c>
      <c r="AL1483" t="str">
        <f>LEFT(Table1[[#This Row],[discount_type]],1)&amp;TEXT(ROUND(Table1[[#This Row],[discount_rate]]*100,0),"00")</f>
        <v>N00</v>
      </c>
      <c r="AM1483" t="str" cm="1">
        <f t="array" ref="AM1483">TEXT(SUMPRODUCT(CODE(MID(Table1[[#This Row],[home_gym_location]],_xlfn.SEQUENCE(LEN(Table1[[#This Row],[home_gym_location]])),1))),"00000")</f>
        <v>01245</v>
      </c>
      <c r="AN148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483" t="str">
        <f>LEFT(_xlfn.TEXTBEFORE(Table1[[#This Row],[Location Identifier]],"-"),3) &amp; "-" &amp; _xlfn.TEXTAFTER(Table1[[#This Row],[Location Identifier]],"-")</f>
        <v>SAC-007</v>
      </c>
      <c r="AP1483" s="9">
        <f t="shared" ca="1" si="230"/>
        <v>45869</v>
      </c>
    </row>
    <row r="1484" spans="1:42" x14ac:dyDescent="0.25">
      <c r="A1484">
        <v>29</v>
      </c>
      <c r="B1484" t="s">
        <v>26</v>
      </c>
      <c r="C1484">
        <v>2</v>
      </c>
      <c r="D1484" t="s">
        <v>92</v>
      </c>
      <c r="E1484" t="b">
        <v>0</v>
      </c>
      <c r="F1484" s="1">
        <v>0.4597222222222222</v>
      </c>
      <c r="G1484" s="1">
        <v>0.51527777777777772</v>
      </c>
      <c r="H1484">
        <v>80</v>
      </c>
      <c r="I1484" t="b">
        <v>1</v>
      </c>
      <c r="J1484" t="b">
        <v>1</v>
      </c>
      <c r="K1484" t="b">
        <v>1</v>
      </c>
      <c r="L1484" t="s">
        <v>28</v>
      </c>
      <c r="M1484">
        <v>50</v>
      </c>
      <c r="N1484" t="s">
        <v>29</v>
      </c>
      <c r="O1484">
        <v>50</v>
      </c>
      <c r="P1484" t="s">
        <v>36</v>
      </c>
      <c r="Q1484">
        <v>0</v>
      </c>
      <c r="R1484">
        <v>50</v>
      </c>
      <c r="S1484" t="s">
        <v>31</v>
      </c>
      <c r="T1484" t="s">
        <v>50</v>
      </c>
      <c r="U1484">
        <v>34.052199999999999</v>
      </c>
      <c r="V1484">
        <v>-118.2437</v>
      </c>
      <c r="W1484" s="2">
        <v>45824</v>
      </c>
      <c r="X1484">
        <v>6</v>
      </c>
      <c r="Y1484" t="b">
        <v>1</v>
      </c>
      <c r="Z1484" s="2">
        <v>45860</v>
      </c>
      <c r="AA1484" t="str">
        <f t="shared" si="231"/>
        <v>20–29</v>
      </c>
      <c r="AB1484" t="str">
        <f t="shared" si="232"/>
        <v>20–29</v>
      </c>
      <c r="AC1484" t="str">
        <f t="shared" si="233"/>
        <v/>
      </c>
      <c r="AD1484" t="str">
        <f t="shared" si="234"/>
        <v/>
      </c>
      <c r="AE1484" t="str">
        <f t="shared" si="235"/>
        <v/>
      </c>
      <c r="AF1484" t="str">
        <f t="shared" si="236"/>
        <v/>
      </c>
      <c r="AG1484" t="str">
        <f t="shared" si="237"/>
        <v>Friday</v>
      </c>
      <c r="AH1484" t="str">
        <f t="shared" si="238"/>
        <v/>
      </c>
      <c r="AI1484" t="str">
        <f t="shared" si="239"/>
        <v>Sunday</v>
      </c>
      <c r="AJ1484" t="str">
        <f>LEFT(Table1[[#This Row],[membership_type]],2)&amp;TEXT(Table1[[#This Row],[age]],"00")&amp;"-"&amp;TEXT(ROW(),"000")</f>
        <v>Pr29-1484</v>
      </c>
      <c r="AK1484" t="str">
        <f>LEFT(Table1[[#This Row],[membership_type]],1)&amp;TEXT(MATCH(Table1[[#This Row],[membership_type]],Table1[membership_type],0),"00")</f>
        <v>P01</v>
      </c>
      <c r="AL1484" t="str">
        <f>LEFT(Table1[[#This Row],[discount_type]],1)&amp;TEXT(ROUND(Table1[[#This Row],[discount_rate]]*100,0),"00")</f>
        <v>N00</v>
      </c>
      <c r="AM1484" t="str" cm="1">
        <f t="array" ref="AM1484">TEXT(SUMPRODUCT(CODE(MID(Table1[[#This Row],[home_gym_location]],_xlfn.SEQUENCE(LEN(Table1[[#This Row],[home_gym_location]])),1))),"00000")</f>
        <v>01245</v>
      </c>
      <c r="AN148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84" t="str">
        <f>LEFT(_xlfn.TEXTBEFORE(Table1[[#This Row],[Location Identifier]],"-"),3) &amp; "-" &amp; _xlfn.TEXTAFTER(Table1[[#This Row],[Location Identifier]],"-")</f>
        <v>LOS-005</v>
      </c>
      <c r="AP1484" s="9">
        <f t="shared" ca="1" si="230"/>
        <v>45869</v>
      </c>
    </row>
    <row r="1485" spans="1:42" x14ac:dyDescent="0.25">
      <c r="A1485">
        <v>45</v>
      </c>
      <c r="B1485" t="s">
        <v>33</v>
      </c>
      <c r="C1485">
        <v>1</v>
      </c>
      <c r="D1485" t="s">
        <v>97</v>
      </c>
      <c r="E1485" t="b">
        <v>1</v>
      </c>
      <c r="F1485" s="1">
        <v>0.75486111111111109</v>
      </c>
      <c r="G1485" s="1">
        <v>0.8208333333333333</v>
      </c>
      <c r="H1485">
        <v>95</v>
      </c>
      <c r="I1485" t="b">
        <v>0</v>
      </c>
      <c r="J1485" t="b">
        <v>0</v>
      </c>
      <c r="K1485" t="b">
        <v>0</v>
      </c>
      <c r="L1485" t="s">
        <v>62</v>
      </c>
      <c r="M1485">
        <v>30</v>
      </c>
      <c r="N1485" t="s">
        <v>29</v>
      </c>
      <c r="O1485">
        <v>30</v>
      </c>
      <c r="P1485" t="s">
        <v>40</v>
      </c>
      <c r="Q1485">
        <v>0.1</v>
      </c>
      <c r="R1485">
        <v>27</v>
      </c>
      <c r="S1485" t="s">
        <v>37</v>
      </c>
      <c r="T1485" t="s">
        <v>41</v>
      </c>
      <c r="U1485">
        <v>37.804400000000001</v>
      </c>
      <c r="V1485">
        <v>-122.27119999999999</v>
      </c>
      <c r="W1485" s="2">
        <v>45485</v>
      </c>
      <c r="X1485">
        <v>0</v>
      </c>
      <c r="Y1485" t="b">
        <v>0</v>
      </c>
      <c r="Z1485" s="2">
        <v>45841</v>
      </c>
      <c r="AA1485" t="str">
        <f t="shared" si="231"/>
        <v>40–49</v>
      </c>
      <c r="AB1485" t="str">
        <f t="shared" si="232"/>
        <v>40–49</v>
      </c>
      <c r="AC1485" t="str">
        <f t="shared" si="233"/>
        <v>Monday</v>
      </c>
      <c r="AD1485" t="str">
        <f t="shared" si="234"/>
        <v/>
      </c>
      <c r="AE1485" t="str">
        <f t="shared" si="235"/>
        <v/>
      </c>
      <c r="AF1485" t="str">
        <f t="shared" si="236"/>
        <v/>
      </c>
      <c r="AG1485" t="str">
        <f t="shared" si="237"/>
        <v/>
      </c>
      <c r="AH1485" t="str">
        <f t="shared" si="238"/>
        <v/>
      </c>
      <c r="AI1485" t="str">
        <f t="shared" si="239"/>
        <v/>
      </c>
      <c r="AJ1485" t="str">
        <f>LEFT(Table1[[#This Row],[membership_type]],2)&amp;TEXT(Table1[[#This Row],[age]],"00")&amp;"-"&amp;TEXT(ROW(),"000")</f>
        <v>St45-1485</v>
      </c>
      <c r="AK1485" t="str">
        <f>LEFT(Table1[[#This Row],[membership_type]],1)&amp;TEXT(MATCH(Table1[[#This Row],[membership_type]],Table1[membership_type],0),"00")</f>
        <v>S02</v>
      </c>
      <c r="AL1485" t="str">
        <f>LEFT(Table1[[#This Row],[discount_type]],1)&amp;TEXT(ROUND(Table1[[#This Row],[discount_rate]]*100,0),"00")</f>
        <v>L10</v>
      </c>
      <c r="AM1485" t="str" cm="1">
        <f t="array" ref="AM1485">TEXT(SUMPRODUCT(CODE(MID(Table1[[#This Row],[home_gym_location]],_xlfn.SEQUENCE(LEN(Table1[[#This Row],[home_gym_location]])),1))),"00000")</f>
        <v>00906</v>
      </c>
      <c r="AN148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85" t="str">
        <f>LEFT(_xlfn.TEXTBEFORE(Table1[[#This Row],[Location Identifier]],"-"),3) &amp; "-" &amp; _xlfn.TEXTAFTER(Table1[[#This Row],[Location Identifier]],"-")</f>
        <v>OAK-006</v>
      </c>
      <c r="AP1485" s="9">
        <f t="shared" ca="1" si="230"/>
        <v>45869</v>
      </c>
    </row>
    <row r="1486" spans="1:42" x14ac:dyDescent="0.25">
      <c r="A1486">
        <v>27</v>
      </c>
      <c r="B1486" t="s">
        <v>51</v>
      </c>
      <c r="C1486">
        <v>5</v>
      </c>
      <c r="D1486" t="s">
        <v>68</v>
      </c>
      <c r="E1486" t="b">
        <v>0</v>
      </c>
      <c r="F1486" s="1">
        <v>0.41458333333333336</v>
      </c>
      <c r="G1486" s="1">
        <v>0.51527777777777772</v>
      </c>
      <c r="H1486">
        <v>145</v>
      </c>
      <c r="I1486" t="b">
        <v>0</v>
      </c>
      <c r="J1486" t="b">
        <v>0</v>
      </c>
      <c r="K1486" t="b">
        <v>0</v>
      </c>
      <c r="L1486" t="s">
        <v>35</v>
      </c>
      <c r="M1486">
        <v>70</v>
      </c>
      <c r="N1486" t="s">
        <v>64</v>
      </c>
      <c r="O1486">
        <v>52.5</v>
      </c>
      <c r="P1486" t="s">
        <v>40</v>
      </c>
      <c r="Q1486">
        <v>0.1</v>
      </c>
      <c r="R1486">
        <v>47.25</v>
      </c>
      <c r="S1486" t="s">
        <v>53</v>
      </c>
      <c r="T1486" t="s">
        <v>50</v>
      </c>
      <c r="U1486">
        <v>34.052199999999999</v>
      </c>
      <c r="V1486">
        <v>-118.2437</v>
      </c>
      <c r="W1486" s="2">
        <v>45440</v>
      </c>
      <c r="X1486">
        <v>0</v>
      </c>
      <c r="Y1486" t="b">
        <v>1</v>
      </c>
      <c r="Z1486" s="2">
        <v>45839</v>
      </c>
      <c r="AA1486" t="str">
        <f t="shared" si="231"/>
        <v>20–29</v>
      </c>
      <c r="AB1486" t="str">
        <f t="shared" si="232"/>
        <v>20–29</v>
      </c>
      <c r="AC1486" t="str">
        <f t="shared" si="233"/>
        <v>Monday</v>
      </c>
      <c r="AD1486" t="str">
        <f t="shared" si="234"/>
        <v>Tuesday</v>
      </c>
      <c r="AE1486" t="str">
        <f t="shared" si="235"/>
        <v/>
      </c>
      <c r="AF1486" t="str">
        <f t="shared" si="236"/>
        <v>Thursday</v>
      </c>
      <c r="AG1486" t="str">
        <f t="shared" si="237"/>
        <v>Friday</v>
      </c>
      <c r="AH1486" t="str">
        <f t="shared" si="238"/>
        <v>Saturday</v>
      </c>
      <c r="AI1486" t="str">
        <f t="shared" si="239"/>
        <v/>
      </c>
      <c r="AJ1486" t="str">
        <f>LEFT(Table1[[#This Row],[membership_type]],2)&amp;TEXT(Table1[[#This Row],[age]],"00")&amp;"-"&amp;TEXT(ROW(),"000")</f>
        <v>El27-1486</v>
      </c>
      <c r="AK1486" t="str">
        <f>LEFT(Table1[[#This Row],[membership_type]],1)&amp;TEXT(MATCH(Table1[[#This Row],[membership_type]],Table1[membership_type],0),"00")</f>
        <v>E07</v>
      </c>
      <c r="AL1486" t="str">
        <f>LEFT(Table1[[#This Row],[discount_type]],1)&amp;TEXT(ROUND(Table1[[#This Row],[discount_rate]]*100,0),"00")</f>
        <v>L10</v>
      </c>
      <c r="AM1486" t="str" cm="1">
        <f t="array" ref="AM1486">TEXT(SUMPRODUCT(CODE(MID(Table1[[#This Row],[home_gym_location]],_xlfn.SEQUENCE(LEN(Table1[[#This Row],[home_gym_location]])),1))),"00000")</f>
        <v>01245</v>
      </c>
      <c r="AN148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86" t="str">
        <f>LEFT(_xlfn.TEXTBEFORE(Table1[[#This Row],[Location Identifier]],"-"),3) &amp; "-" &amp; _xlfn.TEXTAFTER(Table1[[#This Row],[Location Identifier]],"-")</f>
        <v>LOS-005</v>
      </c>
      <c r="AP1486" s="9">
        <f t="shared" ca="1" si="230"/>
        <v>45869</v>
      </c>
    </row>
    <row r="1487" spans="1:42" x14ac:dyDescent="0.25">
      <c r="A1487">
        <v>30</v>
      </c>
      <c r="B1487" t="s">
        <v>26</v>
      </c>
      <c r="C1487">
        <v>1</v>
      </c>
      <c r="D1487" t="s">
        <v>75</v>
      </c>
      <c r="E1487" t="b">
        <v>0</v>
      </c>
      <c r="F1487" s="1">
        <v>0.69027777777777777</v>
      </c>
      <c r="G1487" s="1">
        <v>0.79305555555555551</v>
      </c>
      <c r="H1487">
        <v>148</v>
      </c>
      <c r="I1487" t="b">
        <v>0</v>
      </c>
      <c r="J1487" t="b">
        <v>0</v>
      </c>
      <c r="K1487" t="b">
        <v>1</v>
      </c>
      <c r="L1487" t="s">
        <v>62</v>
      </c>
      <c r="M1487">
        <v>50</v>
      </c>
      <c r="N1487" t="s">
        <v>29</v>
      </c>
      <c r="O1487">
        <v>50</v>
      </c>
      <c r="P1487" t="s">
        <v>36</v>
      </c>
      <c r="Q1487">
        <v>0</v>
      </c>
      <c r="R1487">
        <v>50</v>
      </c>
      <c r="S1487" t="s">
        <v>31</v>
      </c>
      <c r="T1487" t="s">
        <v>56</v>
      </c>
      <c r="U1487">
        <v>35.3733</v>
      </c>
      <c r="V1487">
        <v>-119.0187</v>
      </c>
      <c r="W1487" s="2">
        <v>45409</v>
      </c>
      <c r="X1487">
        <v>0</v>
      </c>
      <c r="Y1487" t="b">
        <v>1</v>
      </c>
      <c r="Z1487" s="2">
        <v>45837</v>
      </c>
      <c r="AA1487" t="str">
        <f t="shared" si="231"/>
        <v>30–39</v>
      </c>
      <c r="AB1487" t="str">
        <f t="shared" si="232"/>
        <v>30–39</v>
      </c>
      <c r="AC1487" t="str">
        <f t="shared" si="233"/>
        <v/>
      </c>
      <c r="AD1487" t="str">
        <f t="shared" si="234"/>
        <v/>
      </c>
      <c r="AE1487" t="str">
        <f t="shared" si="235"/>
        <v/>
      </c>
      <c r="AF1487" t="str">
        <f t="shared" si="236"/>
        <v/>
      </c>
      <c r="AG1487" t="str">
        <f t="shared" si="237"/>
        <v>Friday</v>
      </c>
      <c r="AH1487" t="str">
        <f t="shared" si="238"/>
        <v/>
      </c>
      <c r="AI1487" t="str">
        <f t="shared" si="239"/>
        <v/>
      </c>
      <c r="AJ1487" t="str">
        <f>LEFT(Table1[[#This Row],[membership_type]],2)&amp;TEXT(Table1[[#This Row],[age]],"00")&amp;"-"&amp;TEXT(ROW(),"000")</f>
        <v>Pr30-1487</v>
      </c>
      <c r="AK1487" t="str">
        <f>LEFT(Table1[[#This Row],[membership_type]],1)&amp;TEXT(MATCH(Table1[[#This Row],[membership_type]],Table1[membership_type],0),"00")</f>
        <v>P01</v>
      </c>
      <c r="AL1487" t="str">
        <f>LEFT(Table1[[#This Row],[discount_type]],1)&amp;TEXT(ROUND(Table1[[#This Row],[discount_rate]]*100,0),"00")</f>
        <v>N00</v>
      </c>
      <c r="AM1487" t="str" cm="1">
        <f t="array" ref="AM1487">TEXT(SUMPRODUCT(CODE(MID(Table1[[#This Row],[home_gym_location]],_xlfn.SEQUENCE(LEN(Table1[[#This Row],[home_gym_location]])),1))),"00000")</f>
        <v>01324</v>
      </c>
      <c r="AN148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87" t="str">
        <f>LEFT(_xlfn.TEXTBEFORE(Table1[[#This Row],[Location Identifier]],"-"),3) &amp; "-" &amp; _xlfn.TEXTAFTER(Table1[[#This Row],[Location Identifier]],"-")</f>
        <v>BAK-002</v>
      </c>
      <c r="AP1487" s="9">
        <f t="shared" ca="1" si="230"/>
        <v>45869</v>
      </c>
    </row>
    <row r="1488" spans="1:42" x14ac:dyDescent="0.25">
      <c r="A1488">
        <v>43</v>
      </c>
      <c r="B1488" t="s">
        <v>26</v>
      </c>
      <c r="C1488">
        <v>1</v>
      </c>
      <c r="D1488" t="s">
        <v>97</v>
      </c>
      <c r="E1488" t="b">
        <v>0</v>
      </c>
      <c r="F1488" s="1">
        <v>0.62777777777777777</v>
      </c>
      <c r="G1488" s="1">
        <v>0.71180555555555558</v>
      </c>
      <c r="H1488">
        <v>121</v>
      </c>
      <c r="I1488" t="b">
        <v>0</v>
      </c>
      <c r="J1488" t="b">
        <v>1</v>
      </c>
      <c r="K1488" t="b">
        <v>0</v>
      </c>
      <c r="L1488" t="s">
        <v>47</v>
      </c>
      <c r="M1488">
        <v>50</v>
      </c>
      <c r="N1488" t="s">
        <v>64</v>
      </c>
      <c r="O1488">
        <v>37.5</v>
      </c>
      <c r="P1488" t="s">
        <v>74</v>
      </c>
      <c r="Q1488">
        <v>0.15</v>
      </c>
      <c r="R1488">
        <v>31.875</v>
      </c>
      <c r="S1488" t="s">
        <v>31</v>
      </c>
      <c r="T1488" t="s">
        <v>41</v>
      </c>
      <c r="U1488">
        <v>37.804400000000001</v>
      </c>
      <c r="V1488">
        <v>-122.27119999999999</v>
      </c>
      <c r="W1488" s="2">
        <v>45090</v>
      </c>
      <c r="X1488">
        <v>4</v>
      </c>
      <c r="Y1488" t="b">
        <v>1</v>
      </c>
      <c r="Z1488" s="2">
        <v>45819</v>
      </c>
      <c r="AA1488" t="str">
        <f t="shared" si="231"/>
        <v>40–49</v>
      </c>
      <c r="AB1488" t="str">
        <f t="shared" si="232"/>
        <v>40–49</v>
      </c>
      <c r="AC1488" t="str">
        <f t="shared" si="233"/>
        <v>Monday</v>
      </c>
      <c r="AD1488" t="str">
        <f t="shared" si="234"/>
        <v/>
      </c>
      <c r="AE1488" t="str">
        <f t="shared" si="235"/>
        <v/>
      </c>
      <c r="AF1488" t="str">
        <f t="shared" si="236"/>
        <v/>
      </c>
      <c r="AG1488" t="str">
        <f t="shared" si="237"/>
        <v/>
      </c>
      <c r="AH1488" t="str">
        <f t="shared" si="238"/>
        <v/>
      </c>
      <c r="AI1488" t="str">
        <f t="shared" si="239"/>
        <v/>
      </c>
      <c r="AJ1488" t="str">
        <f>LEFT(Table1[[#This Row],[membership_type]],2)&amp;TEXT(Table1[[#This Row],[age]],"00")&amp;"-"&amp;TEXT(ROW(),"000")</f>
        <v>Pr43-1488</v>
      </c>
      <c r="AK1488" t="str">
        <f>LEFT(Table1[[#This Row],[membership_type]],1)&amp;TEXT(MATCH(Table1[[#This Row],[membership_type]],Table1[membership_type],0),"00")</f>
        <v>P01</v>
      </c>
      <c r="AL1488" t="str">
        <f>LEFT(Table1[[#This Row],[discount_type]],1)&amp;TEXT(ROUND(Table1[[#This Row],[discount_rate]]*100,0),"00")</f>
        <v>S15</v>
      </c>
      <c r="AM1488" t="str" cm="1">
        <f t="array" ref="AM1488">TEXT(SUMPRODUCT(CODE(MID(Table1[[#This Row],[home_gym_location]],_xlfn.SEQUENCE(LEN(Table1[[#This Row],[home_gym_location]])),1))),"00000")</f>
        <v>00906</v>
      </c>
      <c r="AN148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88" t="str">
        <f>LEFT(_xlfn.TEXTBEFORE(Table1[[#This Row],[Location Identifier]],"-"),3) &amp; "-" &amp; _xlfn.TEXTAFTER(Table1[[#This Row],[Location Identifier]],"-")</f>
        <v>OAK-006</v>
      </c>
      <c r="AP1488" s="9">
        <f t="shared" ca="1" si="230"/>
        <v>45869</v>
      </c>
    </row>
    <row r="1489" spans="1:42" x14ac:dyDescent="0.25">
      <c r="A1489">
        <v>15</v>
      </c>
      <c r="B1489" t="s">
        <v>26</v>
      </c>
      <c r="C1489">
        <v>2</v>
      </c>
      <c r="D1489" t="s">
        <v>103</v>
      </c>
      <c r="E1489" t="b">
        <v>1</v>
      </c>
      <c r="F1489" s="1">
        <v>0.83819444444444446</v>
      </c>
      <c r="G1489" s="1">
        <v>0.90208333333333335</v>
      </c>
      <c r="H1489">
        <v>92</v>
      </c>
      <c r="I1489" t="b">
        <v>1</v>
      </c>
      <c r="J1489" t="b">
        <v>0</v>
      </c>
      <c r="K1489" t="b">
        <v>0</v>
      </c>
      <c r="L1489" t="s">
        <v>62</v>
      </c>
      <c r="M1489">
        <v>50</v>
      </c>
      <c r="N1489" t="s">
        <v>29</v>
      </c>
      <c r="O1489">
        <v>50</v>
      </c>
      <c r="P1489" t="s">
        <v>30</v>
      </c>
      <c r="Q1489">
        <v>0.05</v>
      </c>
      <c r="R1489">
        <v>47.5</v>
      </c>
      <c r="S1489" t="s">
        <v>31</v>
      </c>
      <c r="T1489" t="s">
        <v>41</v>
      </c>
      <c r="U1489">
        <v>37.804400000000001</v>
      </c>
      <c r="V1489">
        <v>-122.27119999999999</v>
      </c>
      <c r="W1489" s="2">
        <v>45417</v>
      </c>
      <c r="X1489">
        <v>0</v>
      </c>
      <c r="Y1489" t="b">
        <v>1</v>
      </c>
      <c r="Z1489" s="2">
        <v>45837</v>
      </c>
      <c r="AA1489" t="str">
        <f t="shared" si="231"/>
        <v>10–19</v>
      </c>
      <c r="AB1489" t="str">
        <f t="shared" si="232"/>
        <v>Under 16</v>
      </c>
      <c r="AC1489" t="str">
        <f t="shared" si="233"/>
        <v>Monday</v>
      </c>
      <c r="AD1489" t="str">
        <f t="shared" si="234"/>
        <v/>
      </c>
      <c r="AE1489" t="str">
        <f t="shared" si="235"/>
        <v/>
      </c>
      <c r="AF1489" t="str">
        <f t="shared" si="236"/>
        <v/>
      </c>
      <c r="AG1489" t="str">
        <f t="shared" si="237"/>
        <v/>
      </c>
      <c r="AH1489" t="str">
        <f t="shared" si="238"/>
        <v/>
      </c>
      <c r="AI1489" t="str">
        <f t="shared" si="239"/>
        <v>Sunday</v>
      </c>
      <c r="AJ1489" t="str">
        <f>LEFT(Table1[[#This Row],[membership_type]],2)&amp;TEXT(Table1[[#This Row],[age]],"00")&amp;"-"&amp;TEXT(ROW(),"000")</f>
        <v>Pr15-1489</v>
      </c>
      <c r="AK1489" t="str">
        <f>LEFT(Table1[[#This Row],[membership_type]],1)&amp;TEXT(MATCH(Table1[[#This Row],[membership_type]],Table1[membership_type],0),"00")</f>
        <v>P01</v>
      </c>
      <c r="AL1489" t="str">
        <f>LEFT(Table1[[#This Row],[discount_type]],1)&amp;TEXT(ROUND(Table1[[#This Row],[discount_rate]]*100,0),"00")</f>
        <v>P05</v>
      </c>
      <c r="AM1489" t="str" cm="1">
        <f t="array" ref="AM1489">TEXT(SUMPRODUCT(CODE(MID(Table1[[#This Row],[home_gym_location]],_xlfn.SEQUENCE(LEN(Table1[[#This Row],[home_gym_location]])),1))),"00000")</f>
        <v>00906</v>
      </c>
      <c r="AN148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489" t="str">
        <f>LEFT(_xlfn.TEXTBEFORE(Table1[[#This Row],[Location Identifier]],"-"),3) &amp; "-" &amp; _xlfn.TEXTAFTER(Table1[[#This Row],[Location Identifier]],"-")</f>
        <v>OAK-006</v>
      </c>
      <c r="AP1489" s="9">
        <f t="shared" ca="1" si="230"/>
        <v>45869</v>
      </c>
    </row>
    <row r="1490" spans="1:42" x14ac:dyDescent="0.25">
      <c r="A1490">
        <v>49</v>
      </c>
      <c r="B1490" t="s">
        <v>51</v>
      </c>
      <c r="C1490">
        <v>3</v>
      </c>
      <c r="D1490" t="s">
        <v>100</v>
      </c>
      <c r="E1490" t="b">
        <v>0</v>
      </c>
      <c r="F1490" s="1">
        <v>0.73750000000000004</v>
      </c>
      <c r="G1490" s="1">
        <v>0.79166666666666663</v>
      </c>
      <c r="H1490">
        <v>78</v>
      </c>
      <c r="I1490" t="b">
        <v>1</v>
      </c>
      <c r="J1490" t="b">
        <v>1</v>
      </c>
      <c r="K1490" t="b">
        <v>1</v>
      </c>
      <c r="L1490" t="s">
        <v>62</v>
      </c>
      <c r="M1490">
        <v>70</v>
      </c>
      <c r="N1490" t="s">
        <v>78</v>
      </c>
      <c r="O1490">
        <v>63</v>
      </c>
      <c r="P1490" t="s">
        <v>40</v>
      </c>
      <c r="Q1490">
        <v>0.1</v>
      </c>
      <c r="R1490">
        <v>56.7</v>
      </c>
      <c r="S1490" t="s">
        <v>53</v>
      </c>
      <c r="T1490" t="s">
        <v>50</v>
      </c>
      <c r="U1490">
        <v>34.052199999999999</v>
      </c>
      <c r="V1490">
        <v>-118.2437</v>
      </c>
      <c r="W1490" s="2">
        <v>45353</v>
      </c>
      <c r="X1490">
        <v>4</v>
      </c>
      <c r="Y1490" t="b">
        <v>1</v>
      </c>
      <c r="Z1490" s="2">
        <v>45834</v>
      </c>
      <c r="AA1490" t="str">
        <f t="shared" si="231"/>
        <v>40–49</v>
      </c>
      <c r="AB1490" t="str">
        <f t="shared" si="232"/>
        <v>40–49</v>
      </c>
      <c r="AC1490" t="str">
        <f t="shared" si="233"/>
        <v/>
      </c>
      <c r="AD1490" t="str">
        <f t="shared" si="234"/>
        <v/>
      </c>
      <c r="AE1490" t="str">
        <f t="shared" si="235"/>
        <v>Wednesday</v>
      </c>
      <c r="AF1490" t="str">
        <f t="shared" si="236"/>
        <v/>
      </c>
      <c r="AG1490" t="str">
        <f t="shared" si="237"/>
        <v>Friday</v>
      </c>
      <c r="AH1490" t="str">
        <f t="shared" si="238"/>
        <v/>
      </c>
      <c r="AI1490" t="str">
        <f t="shared" si="239"/>
        <v>Sunday</v>
      </c>
      <c r="AJ1490" t="str">
        <f>LEFT(Table1[[#This Row],[membership_type]],2)&amp;TEXT(Table1[[#This Row],[age]],"00")&amp;"-"&amp;TEXT(ROW(),"000")</f>
        <v>El49-1490</v>
      </c>
      <c r="AK1490" t="str">
        <f>LEFT(Table1[[#This Row],[membership_type]],1)&amp;TEXT(MATCH(Table1[[#This Row],[membership_type]],Table1[membership_type],0),"00")</f>
        <v>E07</v>
      </c>
      <c r="AL1490" t="str">
        <f>LEFT(Table1[[#This Row],[discount_type]],1)&amp;TEXT(ROUND(Table1[[#This Row],[discount_rate]]*100,0),"00")</f>
        <v>L10</v>
      </c>
      <c r="AM1490" t="str" cm="1">
        <f t="array" ref="AM1490">TEXT(SUMPRODUCT(CODE(MID(Table1[[#This Row],[home_gym_location]],_xlfn.SEQUENCE(LEN(Table1[[#This Row],[home_gym_location]])),1))),"00000")</f>
        <v>01245</v>
      </c>
      <c r="AN149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490" t="str">
        <f>LEFT(_xlfn.TEXTBEFORE(Table1[[#This Row],[Location Identifier]],"-"),3) &amp; "-" &amp; _xlfn.TEXTAFTER(Table1[[#This Row],[Location Identifier]],"-")</f>
        <v>LOS-005</v>
      </c>
      <c r="AP1490" s="9">
        <f t="shared" ca="1" si="230"/>
        <v>45869</v>
      </c>
    </row>
    <row r="1491" spans="1:42" x14ac:dyDescent="0.25">
      <c r="A1491">
        <v>29</v>
      </c>
      <c r="B1491" t="s">
        <v>42</v>
      </c>
      <c r="C1491">
        <v>4</v>
      </c>
      <c r="D1491" t="s">
        <v>98</v>
      </c>
      <c r="E1491" t="b">
        <v>1</v>
      </c>
      <c r="F1491" s="1">
        <v>0.38263888888888886</v>
      </c>
      <c r="G1491" s="1">
        <v>0.45</v>
      </c>
      <c r="H1491">
        <v>97</v>
      </c>
      <c r="I1491" t="b">
        <v>0</v>
      </c>
      <c r="J1491" t="b">
        <v>0</v>
      </c>
      <c r="K1491" t="b">
        <v>1</v>
      </c>
      <c r="L1491" t="s">
        <v>62</v>
      </c>
      <c r="M1491">
        <v>20</v>
      </c>
      <c r="N1491" t="s">
        <v>78</v>
      </c>
      <c r="O1491">
        <v>18</v>
      </c>
      <c r="P1491" t="s">
        <v>36</v>
      </c>
      <c r="Q1491">
        <v>0</v>
      </c>
      <c r="R1491">
        <v>18</v>
      </c>
      <c r="S1491" t="s">
        <v>44</v>
      </c>
      <c r="T1491" t="s">
        <v>38</v>
      </c>
      <c r="U1491">
        <v>36.7378</v>
      </c>
      <c r="V1491">
        <v>-119.7871</v>
      </c>
      <c r="W1491" s="2">
        <v>45578</v>
      </c>
      <c r="X1491">
        <v>0</v>
      </c>
      <c r="Y1491" t="b">
        <v>0</v>
      </c>
      <c r="Z1491" s="2">
        <v>45846</v>
      </c>
      <c r="AA1491" t="str">
        <f t="shared" si="231"/>
        <v>20–29</v>
      </c>
      <c r="AB1491" t="str">
        <f t="shared" si="232"/>
        <v>20–29</v>
      </c>
      <c r="AC1491" t="str">
        <f t="shared" si="233"/>
        <v>Monday</v>
      </c>
      <c r="AD1491" t="str">
        <f t="shared" si="234"/>
        <v>Tuesday</v>
      </c>
      <c r="AE1491" t="str">
        <f t="shared" si="235"/>
        <v>Wednesday</v>
      </c>
      <c r="AF1491" t="str">
        <f t="shared" si="236"/>
        <v/>
      </c>
      <c r="AG1491" t="str">
        <f t="shared" si="237"/>
        <v/>
      </c>
      <c r="AH1491" t="str">
        <f t="shared" si="238"/>
        <v>Saturday</v>
      </c>
      <c r="AI1491" t="str">
        <f t="shared" si="239"/>
        <v/>
      </c>
      <c r="AJ1491" t="str">
        <f>LEFT(Table1[[#This Row],[membership_type]],2)&amp;TEXT(Table1[[#This Row],[age]],"00")&amp;"-"&amp;TEXT(ROW(),"000")</f>
        <v>Ba29-1491</v>
      </c>
      <c r="AK1491" t="str">
        <f>LEFT(Table1[[#This Row],[membership_type]],1)&amp;TEXT(MATCH(Table1[[#This Row],[membership_type]],Table1[membership_type],0),"00")</f>
        <v>B04</v>
      </c>
      <c r="AL1491" t="str">
        <f>LEFT(Table1[[#This Row],[discount_type]],1)&amp;TEXT(ROUND(Table1[[#This Row],[discount_rate]]*100,0),"00")</f>
        <v>N00</v>
      </c>
      <c r="AM1491" t="str" cm="1">
        <f t="array" ref="AM1491">TEXT(SUMPRODUCT(CODE(MID(Table1[[#This Row],[home_gym_location]],_xlfn.SEQUENCE(LEN(Table1[[#This Row],[home_gym_location]])),1))),"00000")</f>
        <v>00829</v>
      </c>
      <c r="AN1491" t="str">
        <f>UPPER(_xlfn.TEXTBEFORE(Table1[[#This Row],[home_gym_location]],","))&amp;"-"&amp;TEXT(MATCH(Table1[[#This Row],[home_gym_location]],_xlfn._xlws.SORT(_xlfn.UNIQUE(Table1[home_gym_location])),0),"000")</f>
        <v>FRESNO-003</v>
      </c>
      <c r="AO1491" t="str">
        <f>LEFT(_xlfn.TEXTBEFORE(Table1[[#This Row],[Location Identifier]],"-"),3) &amp; "-" &amp; _xlfn.TEXTAFTER(Table1[[#This Row],[Location Identifier]],"-")</f>
        <v>FRE-003</v>
      </c>
      <c r="AP1491" s="9">
        <f t="shared" ca="1" si="230"/>
        <v>45869</v>
      </c>
    </row>
    <row r="1492" spans="1:42" x14ac:dyDescent="0.25">
      <c r="A1492">
        <v>21</v>
      </c>
      <c r="B1492" t="s">
        <v>33</v>
      </c>
      <c r="C1492">
        <v>3</v>
      </c>
      <c r="D1492" t="s">
        <v>153</v>
      </c>
      <c r="E1492" t="b">
        <v>0</v>
      </c>
      <c r="F1492" s="1">
        <v>0.35694444444444445</v>
      </c>
      <c r="G1492" s="1">
        <v>0.41666666666666669</v>
      </c>
      <c r="H1492">
        <v>86</v>
      </c>
      <c r="I1492" t="b">
        <v>0</v>
      </c>
      <c r="J1492" t="b">
        <v>0</v>
      </c>
      <c r="K1492" t="b">
        <v>1</v>
      </c>
      <c r="L1492" t="s">
        <v>28</v>
      </c>
      <c r="M1492">
        <v>30</v>
      </c>
      <c r="N1492" t="s">
        <v>29</v>
      </c>
      <c r="O1492">
        <v>30</v>
      </c>
      <c r="P1492" t="s">
        <v>40</v>
      </c>
      <c r="Q1492">
        <v>0.1</v>
      </c>
      <c r="R1492">
        <v>27</v>
      </c>
      <c r="S1492" t="s">
        <v>37</v>
      </c>
      <c r="T1492" t="s">
        <v>56</v>
      </c>
      <c r="U1492">
        <v>35.3733</v>
      </c>
      <c r="V1492">
        <v>-119.0187</v>
      </c>
      <c r="W1492" s="2">
        <v>45433</v>
      </c>
      <c r="X1492">
        <v>0</v>
      </c>
      <c r="Y1492" t="b">
        <v>0</v>
      </c>
      <c r="Z1492" s="2">
        <v>45838</v>
      </c>
      <c r="AA1492" t="str">
        <f t="shared" si="231"/>
        <v>20–29</v>
      </c>
      <c r="AB1492" t="str">
        <f t="shared" si="232"/>
        <v>20–29</v>
      </c>
      <c r="AC1492" t="str">
        <f t="shared" si="233"/>
        <v>Monday</v>
      </c>
      <c r="AD1492" t="str">
        <f t="shared" si="234"/>
        <v/>
      </c>
      <c r="AE1492" t="str">
        <f t="shared" si="235"/>
        <v>Wednesday</v>
      </c>
      <c r="AF1492" t="str">
        <f t="shared" si="236"/>
        <v/>
      </c>
      <c r="AG1492" t="str">
        <f t="shared" si="237"/>
        <v/>
      </c>
      <c r="AH1492" t="str">
        <f t="shared" si="238"/>
        <v>Saturday</v>
      </c>
      <c r="AI1492" t="str">
        <f t="shared" si="239"/>
        <v/>
      </c>
      <c r="AJ1492" t="str">
        <f>LEFT(Table1[[#This Row],[membership_type]],2)&amp;TEXT(Table1[[#This Row],[age]],"00")&amp;"-"&amp;TEXT(ROW(),"000")</f>
        <v>St21-1492</v>
      </c>
      <c r="AK1492" t="str">
        <f>LEFT(Table1[[#This Row],[membership_type]],1)&amp;TEXT(MATCH(Table1[[#This Row],[membership_type]],Table1[membership_type],0),"00")</f>
        <v>S02</v>
      </c>
      <c r="AL1492" t="str">
        <f>LEFT(Table1[[#This Row],[discount_type]],1)&amp;TEXT(ROUND(Table1[[#This Row],[discount_rate]]*100,0),"00")</f>
        <v>L10</v>
      </c>
      <c r="AM1492" t="str" cm="1">
        <f t="array" ref="AM1492">TEXT(SUMPRODUCT(CODE(MID(Table1[[#This Row],[home_gym_location]],_xlfn.SEQUENCE(LEN(Table1[[#This Row],[home_gym_location]])),1))),"00000")</f>
        <v>01324</v>
      </c>
      <c r="AN149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92" t="str">
        <f>LEFT(_xlfn.TEXTBEFORE(Table1[[#This Row],[Location Identifier]],"-"),3) &amp; "-" &amp; _xlfn.TEXTAFTER(Table1[[#This Row],[Location Identifier]],"-")</f>
        <v>BAK-002</v>
      </c>
      <c r="AP1492" s="9">
        <f t="shared" ca="1" si="230"/>
        <v>45869</v>
      </c>
    </row>
    <row r="1493" spans="1:42" x14ac:dyDescent="0.25">
      <c r="A1493">
        <v>18</v>
      </c>
      <c r="B1493" t="s">
        <v>51</v>
      </c>
      <c r="C1493">
        <v>3</v>
      </c>
      <c r="D1493" t="s">
        <v>106</v>
      </c>
      <c r="E1493" t="b">
        <v>1</v>
      </c>
      <c r="F1493" s="1">
        <v>0.77986111111111112</v>
      </c>
      <c r="G1493" s="1">
        <v>0.87916666666666665</v>
      </c>
      <c r="H1493">
        <v>143</v>
      </c>
      <c r="I1493" t="b">
        <v>1</v>
      </c>
      <c r="J1493" t="b">
        <v>0</v>
      </c>
      <c r="K1493" t="b">
        <v>1</v>
      </c>
      <c r="L1493" t="s">
        <v>62</v>
      </c>
      <c r="M1493">
        <v>70</v>
      </c>
      <c r="N1493" t="s">
        <v>29</v>
      </c>
      <c r="O1493">
        <v>70</v>
      </c>
      <c r="P1493" t="s">
        <v>40</v>
      </c>
      <c r="Q1493">
        <v>0.1</v>
      </c>
      <c r="R1493">
        <v>63</v>
      </c>
      <c r="S1493" t="s">
        <v>53</v>
      </c>
      <c r="T1493" t="s">
        <v>65</v>
      </c>
      <c r="U1493">
        <v>33.770099999999999</v>
      </c>
      <c r="V1493">
        <v>-118.19370000000001</v>
      </c>
      <c r="W1493" s="2">
        <v>45588</v>
      </c>
      <c r="X1493">
        <v>0</v>
      </c>
      <c r="Y1493" t="b">
        <v>1</v>
      </c>
      <c r="Z1493" s="2">
        <v>45847</v>
      </c>
      <c r="AA1493" t="str">
        <f t="shared" si="231"/>
        <v>10–19</v>
      </c>
      <c r="AB1493" t="str">
        <f t="shared" si="232"/>
        <v>16–19</v>
      </c>
      <c r="AC1493" t="str">
        <f t="shared" si="233"/>
        <v/>
      </c>
      <c r="AD1493" t="str">
        <f t="shared" si="234"/>
        <v/>
      </c>
      <c r="AE1493" t="str">
        <f t="shared" si="235"/>
        <v>Wednesday</v>
      </c>
      <c r="AF1493" t="str">
        <f t="shared" si="236"/>
        <v>Thursday</v>
      </c>
      <c r="AG1493" t="str">
        <f t="shared" si="237"/>
        <v>Friday</v>
      </c>
      <c r="AH1493" t="str">
        <f t="shared" si="238"/>
        <v/>
      </c>
      <c r="AI1493" t="str">
        <f t="shared" si="239"/>
        <v/>
      </c>
      <c r="AJ1493" t="str">
        <f>LEFT(Table1[[#This Row],[membership_type]],2)&amp;TEXT(Table1[[#This Row],[age]],"00")&amp;"-"&amp;TEXT(ROW(),"000")</f>
        <v>El18-1493</v>
      </c>
      <c r="AK1493" t="str">
        <f>LEFT(Table1[[#This Row],[membership_type]],1)&amp;TEXT(MATCH(Table1[[#This Row],[membership_type]],Table1[membership_type],0),"00")</f>
        <v>E07</v>
      </c>
      <c r="AL1493" t="str">
        <f>LEFT(Table1[[#This Row],[discount_type]],1)&amp;TEXT(ROUND(Table1[[#This Row],[discount_rate]]*100,0),"00")</f>
        <v>L10</v>
      </c>
      <c r="AM1493" t="str" cm="1">
        <f t="array" ref="AM1493">TEXT(SUMPRODUCT(CODE(MID(Table1[[#This Row],[home_gym_location]],_xlfn.SEQUENCE(LEN(Table1[[#This Row],[home_gym_location]])),1))),"00000")</f>
        <v>01107</v>
      </c>
      <c r="AN149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93" t="str">
        <f>LEFT(_xlfn.TEXTBEFORE(Table1[[#This Row],[Location Identifier]],"-"),3) &amp; "-" &amp; _xlfn.TEXTAFTER(Table1[[#This Row],[Location Identifier]],"-")</f>
        <v>LON-004</v>
      </c>
      <c r="AP1493" s="9">
        <f t="shared" ca="1" si="230"/>
        <v>45869</v>
      </c>
    </row>
    <row r="1494" spans="1:42" x14ac:dyDescent="0.25">
      <c r="A1494">
        <v>40</v>
      </c>
      <c r="B1494" t="s">
        <v>26</v>
      </c>
      <c r="C1494">
        <v>4</v>
      </c>
      <c r="D1494" t="s">
        <v>85</v>
      </c>
      <c r="E1494" t="b">
        <v>1</v>
      </c>
      <c r="F1494" s="1">
        <v>0.81597222222222221</v>
      </c>
      <c r="G1494" s="1">
        <v>0.88055555555555554</v>
      </c>
      <c r="H1494">
        <v>93</v>
      </c>
      <c r="I1494" t="b">
        <v>0</v>
      </c>
      <c r="J1494" t="b">
        <v>0</v>
      </c>
      <c r="K1494" t="b">
        <v>0</v>
      </c>
      <c r="L1494" t="s">
        <v>47</v>
      </c>
      <c r="M1494">
        <v>50</v>
      </c>
      <c r="N1494" t="s">
        <v>64</v>
      </c>
      <c r="O1494">
        <v>37.5</v>
      </c>
      <c r="P1494" t="s">
        <v>40</v>
      </c>
      <c r="Q1494">
        <v>0.1</v>
      </c>
      <c r="R1494">
        <v>33.75</v>
      </c>
      <c r="S1494" t="s">
        <v>31</v>
      </c>
      <c r="T1494" t="s">
        <v>38</v>
      </c>
      <c r="U1494">
        <v>36.7378</v>
      </c>
      <c r="V1494">
        <v>-119.7871</v>
      </c>
      <c r="W1494" s="2">
        <v>45753</v>
      </c>
      <c r="X1494">
        <v>0</v>
      </c>
      <c r="Y1494" t="b">
        <v>1</v>
      </c>
      <c r="Z1494" s="2">
        <v>45856</v>
      </c>
      <c r="AA1494" t="str">
        <f t="shared" si="231"/>
        <v>40–49</v>
      </c>
      <c r="AB1494" t="str">
        <f t="shared" si="232"/>
        <v>40–49</v>
      </c>
      <c r="AC1494" t="str">
        <f t="shared" si="233"/>
        <v/>
      </c>
      <c r="AD1494" t="str">
        <f t="shared" si="234"/>
        <v>Tuesday</v>
      </c>
      <c r="AE1494" t="str">
        <f t="shared" si="235"/>
        <v/>
      </c>
      <c r="AF1494" t="str">
        <f t="shared" si="236"/>
        <v>Thursday</v>
      </c>
      <c r="AG1494" t="str">
        <f t="shared" si="237"/>
        <v/>
      </c>
      <c r="AH1494" t="str">
        <f t="shared" si="238"/>
        <v>Saturday</v>
      </c>
      <c r="AI1494" t="str">
        <f t="shared" si="239"/>
        <v>Sunday</v>
      </c>
      <c r="AJ1494" t="str">
        <f>LEFT(Table1[[#This Row],[membership_type]],2)&amp;TEXT(Table1[[#This Row],[age]],"00")&amp;"-"&amp;TEXT(ROW(),"000")</f>
        <v>Pr40-1494</v>
      </c>
      <c r="AK1494" t="str">
        <f>LEFT(Table1[[#This Row],[membership_type]],1)&amp;TEXT(MATCH(Table1[[#This Row],[membership_type]],Table1[membership_type],0),"00")</f>
        <v>P01</v>
      </c>
      <c r="AL1494" t="str">
        <f>LEFT(Table1[[#This Row],[discount_type]],1)&amp;TEXT(ROUND(Table1[[#This Row],[discount_rate]]*100,0),"00")</f>
        <v>L10</v>
      </c>
      <c r="AM1494" t="str" cm="1">
        <f t="array" ref="AM1494">TEXT(SUMPRODUCT(CODE(MID(Table1[[#This Row],[home_gym_location]],_xlfn.SEQUENCE(LEN(Table1[[#This Row],[home_gym_location]])),1))),"00000")</f>
        <v>00829</v>
      </c>
      <c r="AN1494" t="str">
        <f>UPPER(_xlfn.TEXTBEFORE(Table1[[#This Row],[home_gym_location]],","))&amp;"-"&amp;TEXT(MATCH(Table1[[#This Row],[home_gym_location]],_xlfn._xlws.SORT(_xlfn.UNIQUE(Table1[home_gym_location])),0),"000")</f>
        <v>FRESNO-003</v>
      </c>
      <c r="AO1494" t="str">
        <f>LEFT(_xlfn.TEXTBEFORE(Table1[[#This Row],[Location Identifier]],"-"),3) &amp; "-" &amp; _xlfn.TEXTAFTER(Table1[[#This Row],[Location Identifier]],"-")</f>
        <v>FRE-003</v>
      </c>
      <c r="AP1494" s="9">
        <f t="shared" ca="1" si="230"/>
        <v>45869</v>
      </c>
    </row>
    <row r="1495" spans="1:42" x14ac:dyDescent="0.25">
      <c r="A1495">
        <v>23</v>
      </c>
      <c r="B1495" t="s">
        <v>33</v>
      </c>
      <c r="C1495">
        <v>1</v>
      </c>
      <c r="D1495" t="s">
        <v>63</v>
      </c>
      <c r="E1495" t="b">
        <v>1</v>
      </c>
      <c r="F1495" s="1">
        <v>0.79166666666666663</v>
      </c>
      <c r="G1495" s="1">
        <v>0.8256944444444444</v>
      </c>
      <c r="H1495">
        <v>49</v>
      </c>
      <c r="I1495" t="b">
        <v>1</v>
      </c>
      <c r="J1495" t="b">
        <v>0</v>
      </c>
      <c r="K1495" t="b">
        <v>1</v>
      </c>
      <c r="L1495" t="s">
        <v>62</v>
      </c>
      <c r="M1495">
        <v>30</v>
      </c>
      <c r="N1495" t="s">
        <v>29</v>
      </c>
      <c r="O1495">
        <v>30</v>
      </c>
      <c r="P1495" t="s">
        <v>30</v>
      </c>
      <c r="Q1495">
        <v>0.05</v>
      </c>
      <c r="R1495">
        <v>28.5</v>
      </c>
      <c r="S1495" t="s">
        <v>37</v>
      </c>
      <c r="T1495" t="s">
        <v>56</v>
      </c>
      <c r="U1495">
        <v>35.3733</v>
      </c>
      <c r="V1495">
        <v>-119.0187</v>
      </c>
      <c r="W1495" s="2">
        <v>45188</v>
      </c>
      <c r="X1495">
        <v>0</v>
      </c>
      <c r="Y1495" t="b">
        <v>0</v>
      </c>
      <c r="Z1495" s="2">
        <v>45824</v>
      </c>
      <c r="AA1495" t="str">
        <f t="shared" si="231"/>
        <v>20–29</v>
      </c>
      <c r="AB1495" t="str">
        <f t="shared" si="232"/>
        <v>20–29</v>
      </c>
      <c r="AC1495" t="str">
        <f t="shared" si="233"/>
        <v/>
      </c>
      <c r="AD1495" t="str">
        <f t="shared" si="234"/>
        <v/>
      </c>
      <c r="AE1495" t="str">
        <f t="shared" si="235"/>
        <v>Wednesday</v>
      </c>
      <c r="AF1495" t="str">
        <f t="shared" si="236"/>
        <v/>
      </c>
      <c r="AG1495" t="str">
        <f t="shared" si="237"/>
        <v/>
      </c>
      <c r="AH1495" t="str">
        <f t="shared" si="238"/>
        <v/>
      </c>
      <c r="AI1495" t="str">
        <f t="shared" si="239"/>
        <v/>
      </c>
      <c r="AJ1495" t="str">
        <f>LEFT(Table1[[#This Row],[membership_type]],2)&amp;TEXT(Table1[[#This Row],[age]],"00")&amp;"-"&amp;TEXT(ROW(),"000")</f>
        <v>St23-1495</v>
      </c>
      <c r="AK1495" t="str">
        <f>LEFT(Table1[[#This Row],[membership_type]],1)&amp;TEXT(MATCH(Table1[[#This Row],[membership_type]],Table1[membership_type],0),"00")</f>
        <v>S02</v>
      </c>
      <c r="AL1495" t="str">
        <f>LEFT(Table1[[#This Row],[discount_type]],1)&amp;TEXT(ROUND(Table1[[#This Row],[discount_rate]]*100,0),"00")</f>
        <v>P05</v>
      </c>
      <c r="AM1495" t="str" cm="1">
        <f t="array" ref="AM1495">TEXT(SUMPRODUCT(CODE(MID(Table1[[#This Row],[home_gym_location]],_xlfn.SEQUENCE(LEN(Table1[[#This Row],[home_gym_location]])),1))),"00000")</f>
        <v>01324</v>
      </c>
      <c r="AN149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495" t="str">
        <f>LEFT(_xlfn.TEXTBEFORE(Table1[[#This Row],[Location Identifier]],"-"),3) &amp; "-" &amp; _xlfn.TEXTAFTER(Table1[[#This Row],[Location Identifier]],"-")</f>
        <v>BAK-002</v>
      </c>
      <c r="AP1495" s="9">
        <f t="shared" ca="1" si="230"/>
        <v>45869</v>
      </c>
    </row>
    <row r="1496" spans="1:42" x14ac:dyDescent="0.25">
      <c r="A1496">
        <v>33</v>
      </c>
      <c r="B1496" t="s">
        <v>42</v>
      </c>
      <c r="C1496">
        <v>3</v>
      </c>
      <c r="D1496" t="s">
        <v>86</v>
      </c>
      <c r="E1496" t="b">
        <v>1</v>
      </c>
      <c r="F1496" s="1">
        <v>0.43333333333333335</v>
      </c>
      <c r="G1496" s="1">
        <v>0.53333333333333333</v>
      </c>
      <c r="H1496">
        <v>144</v>
      </c>
      <c r="I1496" t="b">
        <v>0</v>
      </c>
      <c r="J1496" t="b">
        <v>1</v>
      </c>
      <c r="K1496" t="b">
        <v>0</v>
      </c>
      <c r="L1496" t="s">
        <v>62</v>
      </c>
      <c r="M1496">
        <v>20</v>
      </c>
      <c r="N1496" t="s">
        <v>64</v>
      </c>
      <c r="O1496">
        <v>15</v>
      </c>
      <c r="P1496" t="s">
        <v>36</v>
      </c>
      <c r="Q1496">
        <v>0</v>
      </c>
      <c r="R1496">
        <v>15</v>
      </c>
      <c r="S1496" t="s">
        <v>44</v>
      </c>
      <c r="T1496" t="s">
        <v>65</v>
      </c>
      <c r="U1496">
        <v>33.770099999999999</v>
      </c>
      <c r="V1496">
        <v>-118.19370000000001</v>
      </c>
      <c r="W1496" s="2">
        <v>45119</v>
      </c>
      <c r="X1496">
        <v>1</v>
      </c>
      <c r="Y1496" t="b">
        <v>0</v>
      </c>
      <c r="Z1496" s="2">
        <v>45820</v>
      </c>
      <c r="AA1496" t="str">
        <f t="shared" si="231"/>
        <v>30–39</v>
      </c>
      <c r="AB1496" t="str">
        <f t="shared" si="232"/>
        <v>30–39</v>
      </c>
      <c r="AC1496" t="str">
        <f t="shared" si="233"/>
        <v/>
      </c>
      <c r="AD1496" t="str">
        <f t="shared" si="234"/>
        <v>Tuesday</v>
      </c>
      <c r="AE1496" t="str">
        <f t="shared" si="235"/>
        <v/>
      </c>
      <c r="AF1496" t="str">
        <f t="shared" si="236"/>
        <v/>
      </c>
      <c r="AG1496" t="str">
        <f t="shared" si="237"/>
        <v>Friday</v>
      </c>
      <c r="AH1496" t="str">
        <f t="shared" si="238"/>
        <v>Saturday</v>
      </c>
      <c r="AI1496" t="str">
        <f t="shared" si="239"/>
        <v/>
      </c>
      <c r="AJ1496" t="str">
        <f>LEFT(Table1[[#This Row],[membership_type]],2)&amp;TEXT(Table1[[#This Row],[age]],"00")&amp;"-"&amp;TEXT(ROW(),"000")</f>
        <v>Ba33-1496</v>
      </c>
      <c r="AK1496" t="str">
        <f>LEFT(Table1[[#This Row],[membership_type]],1)&amp;TEXT(MATCH(Table1[[#This Row],[membership_type]],Table1[membership_type],0),"00")</f>
        <v>B04</v>
      </c>
      <c r="AL1496" t="str">
        <f>LEFT(Table1[[#This Row],[discount_type]],1)&amp;TEXT(ROUND(Table1[[#This Row],[discount_rate]]*100,0),"00")</f>
        <v>N00</v>
      </c>
      <c r="AM1496" t="str" cm="1">
        <f t="array" ref="AM1496">TEXT(SUMPRODUCT(CODE(MID(Table1[[#This Row],[home_gym_location]],_xlfn.SEQUENCE(LEN(Table1[[#This Row],[home_gym_location]])),1))),"00000")</f>
        <v>01107</v>
      </c>
      <c r="AN149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496" t="str">
        <f>LEFT(_xlfn.TEXTBEFORE(Table1[[#This Row],[Location Identifier]],"-"),3) &amp; "-" &amp; _xlfn.TEXTAFTER(Table1[[#This Row],[Location Identifier]],"-")</f>
        <v>LON-004</v>
      </c>
      <c r="AP1496" s="9">
        <f t="shared" ca="1" si="230"/>
        <v>45869</v>
      </c>
    </row>
    <row r="1497" spans="1:42" x14ac:dyDescent="0.25">
      <c r="A1497">
        <v>35</v>
      </c>
      <c r="B1497" t="s">
        <v>26</v>
      </c>
      <c r="C1497">
        <v>1</v>
      </c>
      <c r="D1497" t="s">
        <v>49</v>
      </c>
      <c r="E1497" t="b">
        <v>0</v>
      </c>
      <c r="F1497" s="1">
        <v>0.40138888888888891</v>
      </c>
      <c r="G1497" s="1">
        <v>0.44166666666666665</v>
      </c>
      <c r="H1497">
        <v>58</v>
      </c>
      <c r="I1497" t="b">
        <v>0</v>
      </c>
      <c r="J1497" t="b">
        <v>0</v>
      </c>
      <c r="K1497" t="b">
        <v>0</v>
      </c>
      <c r="L1497" t="s">
        <v>62</v>
      </c>
      <c r="M1497">
        <v>50</v>
      </c>
      <c r="N1497" t="s">
        <v>29</v>
      </c>
      <c r="O1497">
        <v>50</v>
      </c>
      <c r="P1497" t="s">
        <v>30</v>
      </c>
      <c r="Q1497">
        <v>0.05</v>
      </c>
      <c r="R1497">
        <v>47.5</v>
      </c>
      <c r="S1497" t="s">
        <v>31</v>
      </c>
      <c r="T1497" t="s">
        <v>38</v>
      </c>
      <c r="U1497">
        <v>36.7378</v>
      </c>
      <c r="V1497">
        <v>-119.7871</v>
      </c>
      <c r="W1497" s="2">
        <v>45171</v>
      </c>
      <c r="X1497">
        <v>0</v>
      </c>
      <c r="Y1497" t="b">
        <v>1</v>
      </c>
      <c r="Z1497" s="2">
        <v>45823</v>
      </c>
      <c r="AA1497" t="str">
        <f t="shared" si="231"/>
        <v>30–39</v>
      </c>
      <c r="AB1497" t="str">
        <f t="shared" si="232"/>
        <v>30–39</v>
      </c>
      <c r="AC1497" t="str">
        <f t="shared" si="233"/>
        <v/>
      </c>
      <c r="AD1497" t="str">
        <f t="shared" si="234"/>
        <v/>
      </c>
      <c r="AE1497" t="str">
        <f t="shared" si="235"/>
        <v/>
      </c>
      <c r="AF1497" t="str">
        <f t="shared" si="236"/>
        <v/>
      </c>
      <c r="AG1497" t="str">
        <f t="shared" si="237"/>
        <v/>
      </c>
      <c r="AH1497" t="str">
        <f t="shared" si="238"/>
        <v/>
      </c>
      <c r="AI1497" t="str">
        <f t="shared" si="239"/>
        <v>Sunday</v>
      </c>
      <c r="AJ1497" t="str">
        <f>LEFT(Table1[[#This Row],[membership_type]],2)&amp;TEXT(Table1[[#This Row],[age]],"00")&amp;"-"&amp;TEXT(ROW(),"000")</f>
        <v>Pr35-1497</v>
      </c>
      <c r="AK1497" t="str">
        <f>LEFT(Table1[[#This Row],[membership_type]],1)&amp;TEXT(MATCH(Table1[[#This Row],[membership_type]],Table1[membership_type],0),"00")</f>
        <v>P01</v>
      </c>
      <c r="AL1497" t="str">
        <f>LEFT(Table1[[#This Row],[discount_type]],1)&amp;TEXT(ROUND(Table1[[#This Row],[discount_rate]]*100,0),"00")</f>
        <v>P05</v>
      </c>
      <c r="AM1497" t="str" cm="1">
        <f t="array" ref="AM1497">TEXT(SUMPRODUCT(CODE(MID(Table1[[#This Row],[home_gym_location]],_xlfn.SEQUENCE(LEN(Table1[[#This Row],[home_gym_location]])),1))),"00000")</f>
        <v>00829</v>
      </c>
      <c r="AN1497" t="str">
        <f>UPPER(_xlfn.TEXTBEFORE(Table1[[#This Row],[home_gym_location]],","))&amp;"-"&amp;TEXT(MATCH(Table1[[#This Row],[home_gym_location]],_xlfn._xlws.SORT(_xlfn.UNIQUE(Table1[home_gym_location])),0),"000")</f>
        <v>FRESNO-003</v>
      </c>
      <c r="AO1497" t="str">
        <f>LEFT(_xlfn.TEXTBEFORE(Table1[[#This Row],[Location Identifier]],"-"),3) &amp; "-" &amp; _xlfn.TEXTAFTER(Table1[[#This Row],[Location Identifier]],"-")</f>
        <v>FRE-003</v>
      </c>
      <c r="AP1497" s="9">
        <f t="shared" ca="1" si="230"/>
        <v>45869</v>
      </c>
    </row>
    <row r="1498" spans="1:42" x14ac:dyDescent="0.25">
      <c r="A1498">
        <v>29</v>
      </c>
      <c r="B1498" t="s">
        <v>33</v>
      </c>
      <c r="C1498">
        <v>3</v>
      </c>
      <c r="D1498" t="s">
        <v>91</v>
      </c>
      <c r="E1498" t="b">
        <v>1</v>
      </c>
      <c r="F1498" s="1">
        <v>0.86319444444444449</v>
      </c>
      <c r="G1498" s="1">
        <v>0.89097222222222228</v>
      </c>
      <c r="H1498">
        <v>40</v>
      </c>
      <c r="I1498" t="b">
        <v>1</v>
      </c>
      <c r="J1498" t="b">
        <v>0</v>
      </c>
      <c r="K1498" t="b">
        <v>0</v>
      </c>
      <c r="L1498" t="s">
        <v>58</v>
      </c>
      <c r="M1498">
        <v>30</v>
      </c>
      <c r="N1498" t="s">
        <v>78</v>
      </c>
      <c r="O1498">
        <v>27</v>
      </c>
      <c r="P1498" t="s">
        <v>36</v>
      </c>
      <c r="Q1498">
        <v>0</v>
      </c>
      <c r="R1498">
        <v>27</v>
      </c>
      <c r="S1498" t="s">
        <v>37</v>
      </c>
      <c r="T1498" t="s">
        <v>59</v>
      </c>
      <c r="U1498">
        <v>37.774900000000002</v>
      </c>
      <c r="V1498">
        <v>-122.4194</v>
      </c>
      <c r="W1498" s="2">
        <v>45337</v>
      </c>
      <c r="X1498">
        <v>0</v>
      </c>
      <c r="Y1498" t="b">
        <v>0</v>
      </c>
      <c r="Z1498" s="2">
        <v>45833</v>
      </c>
      <c r="AA1498" t="str">
        <f t="shared" si="231"/>
        <v>20–29</v>
      </c>
      <c r="AB1498" t="str">
        <f t="shared" si="232"/>
        <v>20–29</v>
      </c>
      <c r="AC1498" t="str">
        <f t="shared" si="233"/>
        <v>Monday</v>
      </c>
      <c r="AD1498" t="str">
        <f t="shared" si="234"/>
        <v/>
      </c>
      <c r="AE1498" t="str">
        <f t="shared" si="235"/>
        <v/>
      </c>
      <c r="AF1498" t="str">
        <f t="shared" si="236"/>
        <v>Thursday</v>
      </c>
      <c r="AG1498" t="str">
        <f t="shared" si="237"/>
        <v/>
      </c>
      <c r="AH1498" t="str">
        <f t="shared" si="238"/>
        <v>Saturday</v>
      </c>
      <c r="AI1498" t="str">
        <f t="shared" si="239"/>
        <v/>
      </c>
      <c r="AJ1498" t="str">
        <f>LEFT(Table1[[#This Row],[membership_type]],2)&amp;TEXT(Table1[[#This Row],[age]],"00")&amp;"-"&amp;TEXT(ROW(),"000")</f>
        <v>St29-1498</v>
      </c>
      <c r="AK1498" t="str">
        <f>LEFT(Table1[[#This Row],[membership_type]],1)&amp;TEXT(MATCH(Table1[[#This Row],[membership_type]],Table1[membership_type],0),"00")</f>
        <v>S02</v>
      </c>
      <c r="AL1498" t="str">
        <f>LEFT(Table1[[#This Row],[discount_type]],1)&amp;TEXT(ROUND(Table1[[#This Row],[discount_rate]]*100,0),"00")</f>
        <v>N00</v>
      </c>
      <c r="AM1498" t="str" cm="1">
        <f t="array" ref="AM1498">TEXT(SUMPRODUCT(CODE(MID(Table1[[#This Row],[home_gym_location]],_xlfn.SEQUENCE(LEN(Table1[[#This Row],[home_gym_location]])),1))),"00000")</f>
        <v>01450</v>
      </c>
      <c r="AN149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498" t="str">
        <f>LEFT(_xlfn.TEXTBEFORE(Table1[[#This Row],[Location Identifier]],"-"),3) &amp; "-" &amp; _xlfn.TEXTAFTER(Table1[[#This Row],[Location Identifier]],"-")</f>
        <v>SAN-009</v>
      </c>
      <c r="AP1498" s="9">
        <f t="shared" ca="1" si="230"/>
        <v>45869</v>
      </c>
    </row>
    <row r="1499" spans="1:42" x14ac:dyDescent="0.25">
      <c r="A1499">
        <v>48</v>
      </c>
      <c r="B1499" t="s">
        <v>26</v>
      </c>
      <c r="C1499">
        <v>3</v>
      </c>
      <c r="D1499" t="s">
        <v>82</v>
      </c>
      <c r="E1499" t="b">
        <v>1</v>
      </c>
      <c r="F1499" s="1">
        <v>0.66736111111111107</v>
      </c>
      <c r="G1499" s="1">
        <v>0.76111111111111107</v>
      </c>
      <c r="H1499">
        <v>135</v>
      </c>
      <c r="I1499" t="b">
        <v>0</v>
      </c>
      <c r="J1499" t="b">
        <v>1</v>
      </c>
      <c r="K1499" t="b">
        <v>1</v>
      </c>
      <c r="L1499" t="s">
        <v>62</v>
      </c>
      <c r="M1499">
        <v>50</v>
      </c>
      <c r="N1499" t="s">
        <v>29</v>
      </c>
      <c r="O1499">
        <v>50</v>
      </c>
      <c r="P1499" t="s">
        <v>36</v>
      </c>
      <c r="Q1499">
        <v>0</v>
      </c>
      <c r="R1499">
        <v>50</v>
      </c>
      <c r="S1499" t="s">
        <v>31</v>
      </c>
      <c r="T1499" t="s">
        <v>32</v>
      </c>
      <c r="U1499">
        <v>37.338200000000001</v>
      </c>
      <c r="V1499">
        <v>-121.88630000000001</v>
      </c>
      <c r="W1499" s="2">
        <v>45426</v>
      </c>
      <c r="X1499">
        <v>8</v>
      </c>
      <c r="Y1499" t="b">
        <v>1</v>
      </c>
      <c r="Z1499" s="2">
        <v>45838</v>
      </c>
      <c r="AA1499" t="str">
        <f t="shared" si="231"/>
        <v>40–49</v>
      </c>
      <c r="AB1499" t="str">
        <f t="shared" si="232"/>
        <v>40–49</v>
      </c>
      <c r="AC1499" t="str">
        <f t="shared" si="233"/>
        <v/>
      </c>
      <c r="AD1499" t="str">
        <f t="shared" si="234"/>
        <v/>
      </c>
      <c r="AE1499" t="str">
        <f t="shared" si="235"/>
        <v/>
      </c>
      <c r="AF1499" t="str">
        <f t="shared" si="236"/>
        <v/>
      </c>
      <c r="AG1499" t="str">
        <f t="shared" si="237"/>
        <v>Friday</v>
      </c>
      <c r="AH1499" t="str">
        <f t="shared" si="238"/>
        <v>Saturday</v>
      </c>
      <c r="AI1499" t="str">
        <f t="shared" si="239"/>
        <v>Sunday</v>
      </c>
      <c r="AJ1499" t="str">
        <f>LEFT(Table1[[#This Row],[membership_type]],2)&amp;TEXT(Table1[[#This Row],[age]],"00")&amp;"-"&amp;TEXT(ROW(),"000")</f>
        <v>Pr48-1499</v>
      </c>
      <c r="AK1499" t="str">
        <f>LEFT(Table1[[#This Row],[membership_type]],1)&amp;TEXT(MATCH(Table1[[#This Row],[membership_type]],Table1[membership_type],0),"00")</f>
        <v>P01</v>
      </c>
      <c r="AL1499" t="str">
        <f>LEFT(Table1[[#This Row],[discount_type]],1)&amp;TEXT(ROUND(Table1[[#This Row],[discount_rate]]*100,0),"00")</f>
        <v>N00</v>
      </c>
      <c r="AM1499" t="str" cm="1">
        <f t="array" ref="AM1499">TEXT(SUMPRODUCT(CODE(MID(Table1[[#This Row],[home_gym_location]],_xlfn.SEQUENCE(LEN(Table1[[#This Row],[home_gym_location]])),1))),"00000")</f>
        <v>00931</v>
      </c>
      <c r="AN149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499" t="str">
        <f>LEFT(_xlfn.TEXTBEFORE(Table1[[#This Row],[Location Identifier]],"-"),3) &amp; "-" &amp; _xlfn.TEXTAFTER(Table1[[#This Row],[Location Identifier]],"-")</f>
        <v>SAN-010</v>
      </c>
      <c r="AP1499" s="9">
        <f t="shared" ca="1" si="230"/>
        <v>45869</v>
      </c>
    </row>
    <row r="1500" spans="1:42" x14ac:dyDescent="0.25">
      <c r="A1500">
        <v>32</v>
      </c>
      <c r="B1500" t="s">
        <v>26</v>
      </c>
      <c r="C1500">
        <v>1</v>
      </c>
      <c r="D1500" t="s">
        <v>95</v>
      </c>
      <c r="E1500" t="b">
        <v>0</v>
      </c>
      <c r="F1500" s="1">
        <v>0.74861111111111112</v>
      </c>
      <c r="G1500" s="1">
        <v>0.83194444444444449</v>
      </c>
      <c r="H1500">
        <v>120</v>
      </c>
      <c r="I1500" t="b">
        <v>1</v>
      </c>
      <c r="J1500" t="b">
        <v>0</v>
      </c>
      <c r="K1500" t="b">
        <v>1</v>
      </c>
      <c r="L1500" t="s">
        <v>47</v>
      </c>
      <c r="M1500">
        <v>50</v>
      </c>
      <c r="N1500" t="s">
        <v>64</v>
      </c>
      <c r="O1500">
        <v>37.5</v>
      </c>
      <c r="P1500" t="s">
        <v>36</v>
      </c>
      <c r="Q1500">
        <v>0</v>
      </c>
      <c r="R1500">
        <v>37.5</v>
      </c>
      <c r="S1500" t="s">
        <v>31</v>
      </c>
      <c r="T1500" t="s">
        <v>41</v>
      </c>
      <c r="U1500">
        <v>37.804400000000001</v>
      </c>
      <c r="V1500">
        <v>-122.27119999999999</v>
      </c>
      <c r="W1500" s="2">
        <v>44911</v>
      </c>
      <c r="X1500">
        <v>0</v>
      </c>
      <c r="Y1500" t="b">
        <v>0</v>
      </c>
      <c r="Z1500" s="2">
        <v>45809</v>
      </c>
      <c r="AA1500" t="str">
        <f t="shared" si="231"/>
        <v>30–39</v>
      </c>
      <c r="AB1500" t="str">
        <f t="shared" si="232"/>
        <v>30–39</v>
      </c>
      <c r="AC1500" t="str">
        <f t="shared" si="233"/>
        <v/>
      </c>
      <c r="AD1500" t="str">
        <f t="shared" si="234"/>
        <v/>
      </c>
      <c r="AE1500" t="str">
        <f t="shared" si="235"/>
        <v/>
      </c>
      <c r="AF1500" t="str">
        <f t="shared" si="236"/>
        <v/>
      </c>
      <c r="AG1500" t="str">
        <f t="shared" si="237"/>
        <v/>
      </c>
      <c r="AH1500" t="str">
        <f t="shared" si="238"/>
        <v>Saturday</v>
      </c>
      <c r="AI1500" t="str">
        <f t="shared" si="239"/>
        <v/>
      </c>
      <c r="AJ1500" t="str">
        <f>LEFT(Table1[[#This Row],[membership_type]],2)&amp;TEXT(Table1[[#This Row],[age]],"00")&amp;"-"&amp;TEXT(ROW(),"000")</f>
        <v>Pr32-1500</v>
      </c>
      <c r="AK1500" t="str">
        <f>LEFT(Table1[[#This Row],[membership_type]],1)&amp;TEXT(MATCH(Table1[[#This Row],[membership_type]],Table1[membership_type],0),"00")</f>
        <v>P01</v>
      </c>
      <c r="AL1500" t="str">
        <f>LEFT(Table1[[#This Row],[discount_type]],1)&amp;TEXT(ROUND(Table1[[#This Row],[discount_rate]]*100,0),"00")</f>
        <v>N00</v>
      </c>
      <c r="AM1500" t="str" cm="1">
        <f t="array" ref="AM1500">TEXT(SUMPRODUCT(CODE(MID(Table1[[#This Row],[home_gym_location]],_xlfn.SEQUENCE(LEN(Table1[[#This Row],[home_gym_location]])),1))),"00000")</f>
        <v>00906</v>
      </c>
      <c r="AN150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00" t="str">
        <f>LEFT(_xlfn.TEXTBEFORE(Table1[[#This Row],[Location Identifier]],"-"),3) &amp; "-" &amp; _xlfn.TEXTAFTER(Table1[[#This Row],[Location Identifier]],"-")</f>
        <v>OAK-006</v>
      </c>
      <c r="AP1500" s="9">
        <f t="shared" ca="1" si="230"/>
        <v>45869</v>
      </c>
    </row>
    <row r="1501" spans="1:42" x14ac:dyDescent="0.25">
      <c r="A1501">
        <v>13</v>
      </c>
      <c r="B1501" t="s">
        <v>26</v>
      </c>
      <c r="C1501">
        <v>5</v>
      </c>
      <c r="D1501" t="s">
        <v>77</v>
      </c>
      <c r="E1501" t="b">
        <v>0</v>
      </c>
      <c r="F1501" s="1">
        <v>0.40763888888888888</v>
      </c>
      <c r="G1501" s="1">
        <v>0.51111111111111107</v>
      </c>
      <c r="H1501">
        <v>149</v>
      </c>
      <c r="I1501" t="b">
        <v>0</v>
      </c>
      <c r="J1501" t="b">
        <v>1</v>
      </c>
      <c r="K1501" t="b">
        <v>0</v>
      </c>
      <c r="L1501" t="s">
        <v>35</v>
      </c>
      <c r="M1501">
        <v>50</v>
      </c>
      <c r="N1501" t="s">
        <v>29</v>
      </c>
      <c r="O1501">
        <v>50</v>
      </c>
      <c r="P1501" t="s">
        <v>36</v>
      </c>
      <c r="Q1501">
        <v>0</v>
      </c>
      <c r="R1501">
        <v>50</v>
      </c>
      <c r="S1501" t="s">
        <v>31</v>
      </c>
      <c r="T1501" t="s">
        <v>45</v>
      </c>
      <c r="U1501">
        <v>33.836599999999997</v>
      </c>
      <c r="V1501">
        <v>-117.9143</v>
      </c>
      <c r="W1501" s="2">
        <v>45278</v>
      </c>
      <c r="X1501">
        <v>7</v>
      </c>
      <c r="Y1501" t="b">
        <v>0</v>
      </c>
      <c r="Z1501" s="2">
        <v>45829</v>
      </c>
      <c r="AA1501" t="str">
        <f t="shared" si="231"/>
        <v>10–19</v>
      </c>
      <c r="AB1501" t="str">
        <f t="shared" si="232"/>
        <v>Under 16</v>
      </c>
      <c r="AC1501" t="str">
        <f t="shared" si="233"/>
        <v/>
      </c>
      <c r="AD1501" t="str">
        <f t="shared" si="234"/>
        <v>Tuesday</v>
      </c>
      <c r="AE1501" t="str">
        <f t="shared" si="235"/>
        <v>Wednesday</v>
      </c>
      <c r="AF1501" t="str">
        <f t="shared" si="236"/>
        <v>Thursday</v>
      </c>
      <c r="AG1501" t="str">
        <f t="shared" si="237"/>
        <v>Friday</v>
      </c>
      <c r="AH1501" t="str">
        <f t="shared" si="238"/>
        <v/>
      </c>
      <c r="AI1501" t="str">
        <f t="shared" si="239"/>
        <v>Sunday</v>
      </c>
      <c r="AJ1501" t="str">
        <f>LEFT(Table1[[#This Row],[membership_type]],2)&amp;TEXT(Table1[[#This Row],[age]],"00")&amp;"-"&amp;TEXT(ROW(),"000")</f>
        <v>Pr13-1501</v>
      </c>
      <c r="AK1501" t="str">
        <f>LEFT(Table1[[#This Row],[membership_type]],1)&amp;TEXT(MATCH(Table1[[#This Row],[membership_type]],Table1[membership_type],0),"00")</f>
        <v>P01</v>
      </c>
      <c r="AL1501" t="str">
        <f>LEFT(Table1[[#This Row],[discount_type]],1)&amp;TEXT(ROUND(Table1[[#This Row],[discount_rate]]*100,0),"00")</f>
        <v>N00</v>
      </c>
      <c r="AM1501" t="str" cm="1">
        <f t="array" ref="AM1501">TEXT(SUMPRODUCT(CODE(MID(Table1[[#This Row],[home_gym_location]],_xlfn.SEQUENCE(LEN(Table1[[#This Row],[home_gym_location]])),1))),"00000")</f>
        <v>00899</v>
      </c>
      <c r="AN150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01" t="str">
        <f>LEFT(_xlfn.TEXTBEFORE(Table1[[#This Row],[Location Identifier]],"-"),3) &amp; "-" &amp; _xlfn.TEXTAFTER(Table1[[#This Row],[Location Identifier]],"-")</f>
        <v>ANA-001</v>
      </c>
      <c r="AP1501" s="9">
        <f t="shared" ca="1" si="230"/>
        <v>45869</v>
      </c>
    </row>
    <row r="1502" spans="1:42" x14ac:dyDescent="0.25">
      <c r="A1502">
        <v>49</v>
      </c>
      <c r="B1502" t="s">
        <v>26</v>
      </c>
      <c r="C1502">
        <v>1</v>
      </c>
      <c r="D1502" t="s">
        <v>71</v>
      </c>
      <c r="E1502" t="b">
        <v>1</v>
      </c>
      <c r="F1502" s="1">
        <v>0.84930555555555554</v>
      </c>
      <c r="G1502" s="1">
        <v>0.88055555555555554</v>
      </c>
      <c r="H1502">
        <v>45</v>
      </c>
      <c r="I1502" t="b">
        <v>1</v>
      </c>
      <c r="J1502" t="b">
        <v>0</v>
      </c>
      <c r="K1502" t="b">
        <v>1</v>
      </c>
      <c r="L1502" t="s">
        <v>28</v>
      </c>
      <c r="M1502">
        <v>50</v>
      </c>
      <c r="N1502" t="s">
        <v>29</v>
      </c>
      <c r="O1502">
        <v>50</v>
      </c>
      <c r="P1502" t="s">
        <v>74</v>
      </c>
      <c r="Q1502">
        <v>0.15</v>
      </c>
      <c r="R1502">
        <v>42.5</v>
      </c>
      <c r="S1502" t="s">
        <v>31</v>
      </c>
      <c r="T1502" t="s">
        <v>32</v>
      </c>
      <c r="U1502">
        <v>37.338200000000001</v>
      </c>
      <c r="V1502">
        <v>-121.88630000000001</v>
      </c>
      <c r="W1502" s="2">
        <v>45320</v>
      </c>
      <c r="X1502">
        <v>0</v>
      </c>
      <c r="Y1502" t="b">
        <v>1</v>
      </c>
      <c r="Z1502" s="2">
        <v>45832</v>
      </c>
      <c r="AA1502" t="str">
        <f t="shared" si="231"/>
        <v>40–49</v>
      </c>
      <c r="AB1502" t="str">
        <f t="shared" si="232"/>
        <v>40–49</v>
      </c>
      <c r="AC1502" t="str">
        <f t="shared" si="233"/>
        <v/>
      </c>
      <c r="AD1502" t="str">
        <f t="shared" si="234"/>
        <v>Tuesday</v>
      </c>
      <c r="AE1502" t="str">
        <f t="shared" si="235"/>
        <v/>
      </c>
      <c r="AF1502" t="str">
        <f t="shared" si="236"/>
        <v/>
      </c>
      <c r="AG1502" t="str">
        <f t="shared" si="237"/>
        <v/>
      </c>
      <c r="AH1502" t="str">
        <f t="shared" si="238"/>
        <v/>
      </c>
      <c r="AI1502" t="str">
        <f t="shared" si="239"/>
        <v/>
      </c>
      <c r="AJ1502" t="str">
        <f>LEFT(Table1[[#This Row],[membership_type]],2)&amp;TEXT(Table1[[#This Row],[age]],"00")&amp;"-"&amp;TEXT(ROW(),"000")</f>
        <v>Pr49-1502</v>
      </c>
      <c r="AK1502" t="str">
        <f>LEFT(Table1[[#This Row],[membership_type]],1)&amp;TEXT(MATCH(Table1[[#This Row],[membership_type]],Table1[membership_type],0),"00")</f>
        <v>P01</v>
      </c>
      <c r="AL1502" t="str">
        <f>LEFT(Table1[[#This Row],[discount_type]],1)&amp;TEXT(ROUND(Table1[[#This Row],[discount_rate]]*100,0),"00")</f>
        <v>S15</v>
      </c>
      <c r="AM1502" t="str" cm="1">
        <f t="array" ref="AM1502">TEXT(SUMPRODUCT(CODE(MID(Table1[[#This Row],[home_gym_location]],_xlfn.SEQUENCE(LEN(Table1[[#This Row],[home_gym_location]])),1))),"00000")</f>
        <v>00931</v>
      </c>
      <c r="AN150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02" t="str">
        <f>LEFT(_xlfn.TEXTBEFORE(Table1[[#This Row],[Location Identifier]],"-"),3) &amp; "-" &amp; _xlfn.TEXTAFTER(Table1[[#This Row],[Location Identifier]],"-")</f>
        <v>SAN-010</v>
      </c>
      <c r="AP1502" s="9">
        <f t="shared" ca="1" si="230"/>
        <v>45869</v>
      </c>
    </row>
    <row r="1503" spans="1:42" x14ac:dyDescent="0.25">
      <c r="A1503">
        <v>28</v>
      </c>
      <c r="B1503" t="s">
        <v>33</v>
      </c>
      <c r="C1503">
        <v>1</v>
      </c>
      <c r="D1503" t="s">
        <v>71</v>
      </c>
      <c r="E1503" t="b">
        <v>1</v>
      </c>
      <c r="F1503" s="1">
        <v>0.54722222222222228</v>
      </c>
      <c r="G1503" s="1">
        <v>0.60763888888888884</v>
      </c>
      <c r="H1503">
        <v>87</v>
      </c>
      <c r="I1503" t="b">
        <v>1</v>
      </c>
      <c r="J1503" t="b">
        <v>1</v>
      </c>
      <c r="K1503" t="b">
        <v>1</v>
      </c>
      <c r="L1503" t="s">
        <v>28</v>
      </c>
      <c r="M1503">
        <v>30</v>
      </c>
      <c r="N1503" t="s">
        <v>64</v>
      </c>
      <c r="O1503">
        <v>22.5</v>
      </c>
      <c r="P1503" t="s">
        <v>74</v>
      </c>
      <c r="Q1503">
        <v>0.15</v>
      </c>
      <c r="R1503">
        <v>19.125</v>
      </c>
      <c r="S1503" t="s">
        <v>37</v>
      </c>
      <c r="T1503" t="s">
        <v>48</v>
      </c>
      <c r="U1503">
        <v>38.581600000000002</v>
      </c>
      <c r="V1503">
        <v>-121.4944</v>
      </c>
      <c r="W1503" s="2">
        <v>45803</v>
      </c>
      <c r="X1503">
        <v>2</v>
      </c>
      <c r="Y1503" t="b">
        <v>1</v>
      </c>
      <c r="Z1503" s="2">
        <v>45859</v>
      </c>
      <c r="AA1503" t="str">
        <f t="shared" si="231"/>
        <v>20–29</v>
      </c>
      <c r="AB1503" t="str">
        <f t="shared" si="232"/>
        <v>20–29</v>
      </c>
      <c r="AC1503" t="str">
        <f t="shared" si="233"/>
        <v/>
      </c>
      <c r="AD1503" t="str">
        <f t="shared" si="234"/>
        <v>Tuesday</v>
      </c>
      <c r="AE1503" t="str">
        <f t="shared" si="235"/>
        <v/>
      </c>
      <c r="AF1503" t="str">
        <f t="shared" si="236"/>
        <v/>
      </c>
      <c r="AG1503" t="str">
        <f t="shared" si="237"/>
        <v/>
      </c>
      <c r="AH1503" t="str">
        <f t="shared" si="238"/>
        <v/>
      </c>
      <c r="AI1503" t="str">
        <f t="shared" si="239"/>
        <v/>
      </c>
      <c r="AJ1503" t="str">
        <f>LEFT(Table1[[#This Row],[membership_type]],2)&amp;TEXT(Table1[[#This Row],[age]],"00")&amp;"-"&amp;TEXT(ROW(),"000")</f>
        <v>St28-1503</v>
      </c>
      <c r="AK1503" t="str">
        <f>LEFT(Table1[[#This Row],[membership_type]],1)&amp;TEXT(MATCH(Table1[[#This Row],[membership_type]],Table1[membership_type],0),"00")</f>
        <v>S02</v>
      </c>
      <c r="AL1503" t="str">
        <f>LEFT(Table1[[#This Row],[discount_type]],1)&amp;TEXT(ROUND(Table1[[#This Row],[discount_rate]]*100,0),"00")</f>
        <v>S15</v>
      </c>
      <c r="AM1503" t="str" cm="1">
        <f t="array" ref="AM1503">TEXT(SUMPRODUCT(CODE(MID(Table1[[#This Row],[home_gym_location]],_xlfn.SEQUENCE(LEN(Table1[[#This Row],[home_gym_location]])),1))),"00000")</f>
        <v>01245</v>
      </c>
      <c r="AN150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03" t="str">
        <f>LEFT(_xlfn.TEXTBEFORE(Table1[[#This Row],[Location Identifier]],"-"),3) &amp; "-" &amp; _xlfn.TEXTAFTER(Table1[[#This Row],[Location Identifier]],"-")</f>
        <v>SAC-007</v>
      </c>
      <c r="AP1503" s="9">
        <f t="shared" ca="1" si="230"/>
        <v>45869</v>
      </c>
    </row>
    <row r="1504" spans="1:42" x14ac:dyDescent="0.25">
      <c r="A1504">
        <v>49</v>
      </c>
      <c r="B1504" t="s">
        <v>26</v>
      </c>
      <c r="C1504">
        <v>1</v>
      </c>
      <c r="D1504" t="s">
        <v>49</v>
      </c>
      <c r="E1504" t="b">
        <v>0</v>
      </c>
      <c r="F1504" s="1">
        <v>0.58194444444444449</v>
      </c>
      <c r="G1504" s="1">
        <v>0.60763888888888884</v>
      </c>
      <c r="H1504">
        <v>37</v>
      </c>
      <c r="I1504" t="b">
        <v>1</v>
      </c>
      <c r="J1504" t="b">
        <v>1</v>
      </c>
      <c r="K1504" t="b">
        <v>0</v>
      </c>
      <c r="L1504" t="s">
        <v>47</v>
      </c>
      <c r="M1504">
        <v>50</v>
      </c>
      <c r="N1504" t="s">
        <v>29</v>
      </c>
      <c r="O1504">
        <v>50</v>
      </c>
      <c r="P1504" t="s">
        <v>40</v>
      </c>
      <c r="Q1504">
        <v>0.1</v>
      </c>
      <c r="R1504">
        <v>45</v>
      </c>
      <c r="S1504" t="s">
        <v>31</v>
      </c>
      <c r="T1504" t="s">
        <v>41</v>
      </c>
      <c r="U1504">
        <v>37.804400000000001</v>
      </c>
      <c r="V1504">
        <v>-122.27119999999999</v>
      </c>
      <c r="W1504" s="2">
        <v>45467</v>
      </c>
      <c r="X1504">
        <v>8</v>
      </c>
      <c r="Y1504" t="b">
        <v>1</v>
      </c>
      <c r="Z1504" s="2">
        <v>45840</v>
      </c>
      <c r="AA1504" t="str">
        <f t="shared" si="231"/>
        <v>40–49</v>
      </c>
      <c r="AB1504" t="str">
        <f t="shared" si="232"/>
        <v>40–49</v>
      </c>
      <c r="AC1504" t="str">
        <f t="shared" si="233"/>
        <v/>
      </c>
      <c r="AD1504" t="str">
        <f t="shared" si="234"/>
        <v/>
      </c>
      <c r="AE1504" t="str">
        <f t="shared" si="235"/>
        <v/>
      </c>
      <c r="AF1504" t="str">
        <f t="shared" si="236"/>
        <v/>
      </c>
      <c r="AG1504" t="str">
        <f t="shared" si="237"/>
        <v/>
      </c>
      <c r="AH1504" t="str">
        <f t="shared" si="238"/>
        <v/>
      </c>
      <c r="AI1504" t="str">
        <f t="shared" si="239"/>
        <v>Sunday</v>
      </c>
      <c r="AJ1504" t="str">
        <f>LEFT(Table1[[#This Row],[membership_type]],2)&amp;TEXT(Table1[[#This Row],[age]],"00")&amp;"-"&amp;TEXT(ROW(),"000")</f>
        <v>Pr49-1504</v>
      </c>
      <c r="AK1504" t="str">
        <f>LEFT(Table1[[#This Row],[membership_type]],1)&amp;TEXT(MATCH(Table1[[#This Row],[membership_type]],Table1[membership_type],0),"00")</f>
        <v>P01</v>
      </c>
      <c r="AL1504" t="str">
        <f>LEFT(Table1[[#This Row],[discount_type]],1)&amp;TEXT(ROUND(Table1[[#This Row],[discount_rate]]*100,0),"00")</f>
        <v>L10</v>
      </c>
      <c r="AM1504" t="str" cm="1">
        <f t="array" ref="AM1504">TEXT(SUMPRODUCT(CODE(MID(Table1[[#This Row],[home_gym_location]],_xlfn.SEQUENCE(LEN(Table1[[#This Row],[home_gym_location]])),1))),"00000")</f>
        <v>00906</v>
      </c>
      <c r="AN150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04" t="str">
        <f>LEFT(_xlfn.TEXTBEFORE(Table1[[#This Row],[Location Identifier]],"-"),3) &amp; "-" &amp; _xlfn.TEXTAFTER(Table1[[#This Row],[Location Identifier]],"-")</f>
        <v>OAK-006</v>
      </c>
      <c r="AP1504" s="9">
        <f t="shared" ca="1" si="230"/>
        <v>45869</v>
      </c>
    </row>
    <row r="1505" spans="1:42" x14ac:dyDescent="0.25">
      <c r="A1505">
        <v>34</v>
      </c>
      <c r="B1505" t="s">
        <v>33</v>
      </c>
      <c r="C1505">
        <v>2</v>
      </c>
      <c r="D1505" t="s">
        <v>101</v>
      </c>
      <c r="E1505" t="b">
        <v>0</v>
      </c>
      <c r="F1505" s="1">
        <v>0.70902777777777781</v>
      </c>
      <c r="G1505" s="1">
        <v>0.79791666666666672</v>
      </c>
      <c r="H1505">
        <v>128</v>
      </c>
      <c r="I1505" t="b">
        <v>0</v>
      </c>
      <c r="J1505" t="b">
        <v>1</v>
      </c>
      <c r="K1505" t="b">
        <v>0</v>
      </c>
      <c r="L1505" t="s">
        <v>47</v>
      </c>
      <c r="M1505">
        <v>30</v>
      </c>
      <c r="N1505" t="s">
        <v>29</v>
      </c>
      <c r="O1505">
        <v>30</v>
      </c>
      <c r="P1505" t="s">
        <v>36</v>
      </c>
      <c r="Q1505">
        <v>0</v>
      </c>
      <c r="R1505">
        <v>30</v>
      </c>
      <c r="S1505" t="s">
        <v>37</v>
      </c>
      <c r="T1505" t="s">
        <v>38</v>
      </c>
      <c r="U1505">
        <v>36.7378</v>
      </c>
      <c r="V1505">
        <v>-119.7871</v>
      </c>
      <c r="W1505" s="2">
        <v>45426</v>
      </c>
      <c r="X1505">
        <v>4</v>
      </c>
      <c r="Y1505" t="b">
        <v>1</v>
      </c>
      <c r="Z1505" s="2">
        <v>45838</v>
      </c>
      <c r="AA1505" t="str">
        <f t="shared" si="231"/>
        <v>30–39</v>
      </c>
      <c r="AB1505" t="str">
        <f t="shared" si="232"/>
        <v>30–39</v>
      </c>
      <c r="AC1505" t="str">
        <f t="shared" si="233"/>
        <v>Monday</v>
      </c>
      <c r="AD1505" t="str">
        <f t="shared" si="234"/>
        <v/>
      </c>
      <c r="AE1505" t="str">
        <f t="shared" si="235"/>
        <v/>
      </c>
      <c r="AF1505" t="str">
        <f t="shared" si="236"/>
        <v/>
      </c>
      <c r="AG1505" t="str">
        <f t="shared" si="237"/>
        <v>Friday</v>
      </c>
      <c r="AH1505" t="str">
        <f t="shared" si="238"/>
        <v/>
      </c>
      <c r="AI1505" t="str">
        <f t="shared" si="239"/>
        <v/>
      </c>
      <c r="AJ1505" t="str">
        <f>LEFT(Table1[[#This Row],[membership_type]],2)&amp;TEXT(Table1[[#This Row],[age]],"00")&amp;"-"&amp;TEXT(ROW(),"000")</f>
        <v>St34-1505</v>
      </c>
      <c r="AK1505" t="str">
        <f>LEFT(Table1[[#This Row],[membership_type]],1)&amp;TEXT(MATCH(Table1[[#This Row],[membership_type]],Table1[membership_type],0),"00")</f>
        <v>S02</v>
      </c>
      <c r="AL1505" t="str">
        <f>LEFT(Table1[[#This Row],[discount_type]],1)&amp;TEXT(ROUND(Table1[[#This Row],[discount_rate]]*100,0),"00")</f>
        <v>N00</v>
      </c>
      <c r="AM1505" t="str" cm="1">
        <f t="array" ref="AM1505">TEXT(SUMPRODUCT(CODE(MID(Table1[[#This Row],[home_gym_location]],_xlfn.SEQUENCE(LEN(Table1[[#This Row],[home_gym_location]])),1))),"00000")</f>
        <v>00829</v>
      </c>
      <c r="AN1505" t="str">
        <f>UPPER(_xlfn.TEXTBEFORE(Table1[[#This Row],[home_gym_location]],","))&amp;"-"&amp;TEXT(MATCH(Table1[[#This Row],[home_gym_location]],_xlfn._xlws.SORT(_xlfn.UNIQUE(Table1[home_gym_location])),0),"000")</f>
        <v>FRESNO-003</v>
      </c>
      <c r="AO1505" t="str">
        <f>LEFT(_xlfn.TEXTBEFORE(Table1[[#This Row],[Location Identifier]],"-"),3) &amp; "-" &amp; _xlfn.TEXTAFTER(Table1[[#This Row],[Location Identifier]],"-")</f>
        <v>FRE-003</v>
      </c>
      <c r="AP1505" s="9">
        <f t="shared" ca="1" si="230"/>
        <v>45869</v>
      </c>
    </row>
    <row r="1506" spans="1:42" x14ac:dyDescent="0.25">
      <c r="A1506">
        <v>32</v>
      </c>
      <c r="B1506" t="s">
        <v>51</v>
      </c>
      <c r="C1506">
        <v>3</v>
      </c>
      <c r="D1506" t="s">
        <v>125</v>
      </c>
      <c r="E1506" t="b">
        <v>0</v>
      </c>
      <c r="F1506" s="1">
        <v>0.58402777777777781</v>
      </c>
      <c r="G1506" s="1">
        <v>0.67847222222222225</v>
      </c>
      <c r="H1506">
        <v>136</v>
      </c>
      <c r="I1506" t="b">
        <v>0</v>
      </c>
      <c r="J1506" t="b">
        <v>0</v>
      </c>
      <c r="K1506" t="b">
        <v>0</v>
      </c>
      <c r="L1506" t="s">
        <v>62</v>
      </c>
      <c r="M1506">
        <v>70</v>
      </c>
      <c r="N1506" t="s">
        <v>29</v>
      </c>
      <c r="O1506">
        <v>70</v>
      </c>
      <c r="P1506" t="s">
        <v>36</v>
      </c>
      <c r="Q1506">
        <v>0</v>
      </c>
      <c r="R1506">
        <v>70</v>
      </c>
      <c r="S1506" t="s">
        <v>53</v>
      </c>
      <c r="T1506" t="s">
        <v>45</v>
      </c>
      <c r="U1506">
        <v>33.836599999999997</v>
      </c>
      <c r="V1506">
        <v>-117.9143</v>
      </c>
      <c r="W1506" s="2">
        <v>45406</v>
      </c>
      <c r="X1506">
        <v>0</v>
      </c>
      <c r="Y1506" t="b">
        <v>1</v>
      </c>
      <c r="Z1506" s="2">
        <v>45837</v>
      </c>
      <c r="AA1506" t="str">
        <f t="shared" si="231"/>
        <v>30–39</v>
      </c>
      <c r="AB1506" t="str">
        <f t="shared" si="232"/>
        <v>30–39</v>
      </c>
      <c r="AC1506" t="str">
        <f t="shared" si="233"/>
        <v/>
      </c>
      <c r="AD1506" t="str">
        <f t="shared" si="234"/>
        <v/>
      </c>
      <c r="AE1506" t="str">
        <f t="shared" si="235"/>
        <v/>
      </c>
      <c r="AF1506" t="str">
        <f t="shared" si="236"/>
        <v>Thursday</v>
      </c>
      <c r="AG1506" t="str">
        <f t="shared" si="237"/>
        <v/>
      </c>
      <c r="AH1506" t="str">
        <f t="shared" si="238"/>
        <v>Saturday</v>
      </c>
      <c r="AI1506" t="str">
        <f t="shared" si="239"/>
        <v>Sunday</v>
      </c>
      <c r="AJ1506" t="str">
        <f>LEFT(Table1[[#This Row],[membership_type]],2)&amp;TEXT(Table1[[#This Row],[age]],"00")&amp;"-"&amp;TEXT(ROW(),"000")</f>
        <v>El32-1506</v>
      </c>
      <c r="AK1506" t="str">
        <f>LEFT(Table1[[#This Row],[membership_type]],1)&amp;TEXT(MATCH(Table1[[#This Row],[membership_type]],Table1[membership_type],0),"00")</f>
        <v>E07</v>
      </c>
      <c r="AL1506" t="str">
        <f>LEFT(Table1[[#This Row],[discount_type]],1)&amp;TEXT(ROUND(Table1[[#This Row],[discount_rate]]*100,0),"00")</f>
        <v>N00</v>
      </c>
      <c r="AM1506" t="str" cm="1">
        <f t="array" ref="AM1506">TEXT(SUMPRODUCT(CODE(MID(Table1[[#This Row],[home_gym_location]],_xlfn.SEQUENCE(LEN(Table1[[#This Row],[home_gym_location]])),1))),"00000")</f>
        <v>00899</v>
      </c>
      <c r="AN150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06" t="str">
        <f>LEFT(_xlfn.TEXTBEFORE(Table1[[#This Row],[Location Identifier]],"-"),3) &amp; "-" &amp; _xlfn.TEXTAFTER(Table1[[#This Row],[Location Identifier]],"-")</f>
        <v>ANA-001</v>
      </c>
      <c r="AP1506" s="9">
        <f t="shared" ca="1" si="230"/>
        <v>45869</v>
      </c>
    </row>
    <row r="1507" spans="1:42" x14ac:dyDescent="0.25">
      <c r="A1507">
        <v>21</v>
      </c>
      <c r="B1507" t="s">
        <v>42</v>
      </c>
      <c r="C1507">
        <v>2</v>
      </c>
      <c r="D1507" t="s">
        <v>88</v>
      </c>
      <c r="E1507" t="b">
        <v>0</v>
      </c>
      <c r="F1507" s="1">
        <v>0.43472222222222223</v>
      </c>
      <c r="G1507" s="1">
        <v>0.51458333333333328</v>
      </c>
      <c r="H1507">
        <v>115</v>
      </c>
      <c r="I1507" t="b">
        <v>1</v>
      </c>
      <c r="J1507" t="b">
        <v>1</v>
      </c>
      <c r="K1507" t="b">
        <v>1</v>
      </c>
      <c r="L1507" t="s">
        <v>28</v>
      </c>
      <c r="M1507">
        <v>20</v>
      </c>
      <c r="N1507" t="s">
        <v>78</v>
      </c>
      <c r="O1507">
        <v>18</v>
      </c>
      <c r="P1507" t="s">
        <v>36</v>
      </c>
      <c r="Q1507">
        <v>0</v>
      </c>
      <c r="R1507">
        <v>18</v>
      </c>
      <c r="S1507" t="s">
        <v>44</v>
      </c>
      <c r="T1507" t="s">
        <v>65</v>
      </c>
      <c r="U1507">
        <v>33.770099999999999</v>
      </c>
      <c r="V1507">
        <v>-118.19370000000001</v>
      </c>
      <c r="W1507" s="2">
        <v>45213</v>
      </c>
      <c r="X1507">
        <v>5</v>
      </c>
      <c r="Y1507" t="b">
        <v>0</v>
      </c>
      <c r="Z1507" s="2">
        <v>45826</v>
      </c>
      <c r="AA1507" t="str">
        <f t="shared" si="231"/>
        <v>20–29</v>
      </c>
      <c r="AB1507" t="str">
        <f t="shared" si="232"/>
        <v>20–29</v>
      </c>
      <c r="AC1507" t="str">
        <f t="shared" si="233"/>
        <v>Monday</v>
      </c>
      <c r="AD1507" t="str">
        <f t="shared" si="234"/>
        <v/>
      </c>
      <c r="AE1507" t="str">
        <f t="shared" si="235"/>
        <v>Wednesday</v>
      </c>
      <c r="AF1507" t="str">
        <f t="shared" si="236"/>
        <v/>
      </c>
      <c r="AG1507" t="str">
        <f t="shared" si="237"/>
        <v/>
      </c>
      <c r="AH1507" t="str">
        <f t="shared" si="238"/>
        <v/>
      </c>
      <c r="AI1507" t="str">
        <f t="shared" si="239"/>
        <v/>
      </c>
      <c r="AJ1507" t="str">
        <f>LEFT(Table1[[#This Row],[membership_type]],2)&amp;TEXT(Table1[[#This Row],[age]],"00")&amp;"-"&amp;TEXT(ROW(),"000")</f>
        <v>Ba21-1507</v>
      </c>
      <c r="AK1507" t="str">
        <f>LEFT(Table1[[#This Row],[membership_type]],1)&amp;TEXT(MATCH(Table1[[#This Row],[membership_type]],Table1[membership_type],0),"00")</f>
        <v>B04</v>
      </c>
      <c r="AL1507" t="str">
        <f>LEFT(Table1[[#This Row],[discount_type]],1)&amp;TEXT(ROUND(Table1[[#This Row],[discount_rate]]*100,0),"00")</f>
        <v>N00</v>
      </c>
      <c r="AM1507" t="str" cm="1">
        <f t="array" ref="AM1507">TEXT(SUMPRODUCT(CODE(MID(Table1[[#This Row],[home_gym_location]],_xlfn.SEQUENCE(LEN(Table1[[#This Row],[home_gym_location]])),1))),"00000")</f>
        <v>01107</v>
      </c>
      <c r="AN150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07" t="str">
        <f>LEFT(_xlfn.TEXTBEFORE(Table1[[#This Row],[Location Identifier]],"-"),3) &amp; "-" &amp; _xlfn.TEXTAFTER(Table1[[#This Row],[Location Identifier]],"-")</f>
        <v>LON-004</v>
      </c>
      <c r="AP1507" s="9">
        <f t="shared" ca="1" si="230"/>
        <v>45869</v>
      </c>
    </row>
    <row r="1508" spans="1:42" x14ac:dyDescent="0.25">
      <c r="A1508">
        <v>26</v>
      </c>
      <c r="B1508" t="s">
        <v>42</v>
      </c>
      <c r="C1508">
        <v>1</v>
      </c>
      <c r="D1508" t="s">
        <v>97</v>
      </c>
      <c r="E1508" t="b">
        <v>1</v>
      </c>
      <c r="F1508" s="1">
        <v>0.48749999999999999</v>
      </c>
      <c r="G1508" s="1">
        <v>0.56874999999999998</v>
      </c>
      <c r="H1508">
        <v>117</v>
      </c>
      <c r="I1508" t="b">
        <v>0</v>
      </c>
      <c r="J1508" t="b">
        <v>1</v>
      </c>
      <c r="K1508" t="b">
        <v>0</v>
      </c>
      <c r="L1508" t="s">
        <v>35</v>
      </c>
      <c r="M1508">
        <v>20</v>
      </c>
      <c r="N1508" t="s">
        <v>64</v>
      </c>
      <c r="O1508">
        <v>15</v>
      </c>
      <c r="P1508" t="s">
        <v>36</v>
      </c>
      <c r="Q1508">
        <v>0</v>
      </c>
      <c r="R1508">
        <v>15</v>
      </c>
      <c r="S1508" t="s">
        <v>44</v>
      </c>
      <c r="T1508" t="s">
        <v>38</v>
      </c>
      <c r="U1508">
        <v>36.7378</v>
      </c>
      <c r="V1508">
        <v>-119.7871</v>
      </c>
      <c r="W1508" s="2">
        <v>45262</v>
      </c>
      <c r="X1508">
        <v>7</v>
      </c>
      <c r="Y1508" t="b">
        <v>0</v>
      </c>
      <c r="Z1508" s="2">
        <v>45828</v>
      </c>
      <c r="AA1508" t="str">
        <f t="shared" si="231"/>
        <v>20–29</v>
      </c>
      <c r="AB1508" t="str">
        <f t="shared" si="232"/>
        <v>20–29</v>
      </c>
      <c r="AC1508" t="str">
        <f t="shared" si="233"/>
        <v>Monday</v>
      </c>
      <c r="AD1508" t="str">
        <f t="shared" si="234"/>
        <v/>
      </c>
      <c r="AE1508" t="str">
        <f t="shared" si="235"/>
        <v/>
      </c>
      <c r="AF1508" t="str">
        <f t="shared" si="236"/>
        <v/>
      </c>
      <c r="AG1508" t="str">
        <f t="shared" si="237"/>
        <v/>
      </c>
      <c r="AH1508" t="str">
        <f t="shared" si="238"/>
        <v/>
      </c>
      <c r="AI1508" t="str">
        <f t="shared" si="239"/>
        <v/>
      </c>
      <c r="AJ1508" t="str">
        <f>LEFT(Table1[[#This Row],[membership_type]],2)&amp;TEXT(Table1[[#This Row],[age]],"00")&amp;"-"&amp;TEXT(ROW(),"000")</f>
        <v>Ba26-1508</v>
      </c>
      <c r="AK1508" t="str">
        <f>LEFT(Table1[[#This Row],[membership_type]],1)&amp;TEXT(MATCH(Table1[[#This Row],[membership_type]],Table1[membership_type],0),"00")</f>
        <v>B04</v>
      </c>
      <c r="AL1508" t="str">
        <f>LEFT(Table1[[#This Row],[discount_type]],1)&amp;TEXT(ROUND(Table1[[#This Row],[discount_rate]]*100,0),"00")</f>
        <v>N00</v>
      </c>
      <c r="AM1508" t="str" cm="1">
        <f t="array" ref="AM1508">TEXT(SUMPRODUCT(CODE(MID(Table1[[#This Row],[home_gym_location]],_xlfn.SEQUENCE(LEN(Table1[[#This Row],[home_gym_location]])),1))),"00000")</f>
        <v>00829</v>
      </c>
      <c r="AN1508" t="str">
        <f>UPPER(_xlfn.TEXTBEFORE(Table1[[#This Row],[home_gym_location]],","))&amp;"-"&amp;TEXT(MATCH(Table1[[#This Row],[home_gym_location]],_xlfn._xlws.SORT(_xlfn.UNIQUE(Table1[home_gym_location])),0),"000")</f>
        <v>FRESNO-003</v>
      </c>
      <c r="AO1508" t="str">
        <f>LEFT(_xlfn.TEXTBEFORE(Table1[[#This Row],[Location Identifier]],"-"),3) &amp; "-" &amp; _xlfn.TEXTAFTER(Table1[[#This Row],[Location Identifier]],"-")</f>
        <v>FRE-003</v>
      </c>
      <c r="AP1508" s="9">
        <f t="shared" ca="1" si="230"/>
        <v>45869</v>
      </c>
    </row>
    <row r="1509" spans="1:42" x14ac:dyDescent="0.25">
      <c r="A1509">
        <v>13</v>
      </c>
      <c r="B1509" t="s">
        <v>26</v>
      </c>
      <c r="C1509">
        <v>4</v>
      </c>
      <c r="D1509" t="s">
        <v>85</v>
      </c>
      <c r="E1509" t="b">
        <v>0</v>
      </c>
      <c r="F1509" s="1">
        <v>0.61597222222222225</v>
      </c>
      <c r="G1509" s="1">
        <v>0.63958333333333328</v>
      </c>
      <c r="H1509">
        <v>34</v>
      </c>
      <c r="I1509" t="b">
        <v>0</v>
      </c>
      <c r="J1509" t="b">
        <v>0</v>
      </c>
      <c r="K1509" t="b">
        <v>0</v>
      </c>
      <c r="L1509" t="s">
        <v>28</v>
      </c>
      <c r="M1509">
        <v>50</v>
      </c>
      <c r="N1509" t="s">
        <v>64</v>
      </c>
      <c r="O1509">
        <v>37.5</v>
      </c>
      <c r="P1509" t="s">
        <v>74</v>
      </c>
      <c r="Q1509">
        <v>0.15</v>
      </c>
      <c r="R1509">
        <v>31.875</v>
      </c>
      <c r="S1509" t="s">
        <v>31</v>
      </c>
      <c r="T1509" t="s">
        <v>41</v>
      </c>
      <c r="U1509">
        <v>37.804400000000001</v>
      </c>
      <c r="V1509">
        <v>-122.27119999999999</v>
      </c>
      <c r="W1509" s="2">
        <v>45183</v>
      </c>
      <c r="X1509">
        <v>0</v>
      </c>
      <c r="Y1509" t="b">
        <v>0</v>
      </c>
      <c r="Z1509" s="2">
        <v>45824</v>
      </c>
      <c r="AA1509" t="str">
        <f t="shared" si="231"/>
        <v>10–19</v>
      </c>
      <c r="AB1509" t="str">
        <f t="shared" si="232"/>
        <v>Under 16</v>
      </c>
      <c r="AC1509" t="str">
        <f t="shared" si="233"/>
        <v/>
      </c>
      <c r="AD1509" t="str">
        <f t="shared" si="234"/>
        <v>Tuesday</v>
      </c>
      <c r="AE1509" t="str">
        <f t="shared" si="235"/>
        <v/>
      </c>
      <c r="AF1509" t="str">
        <f t="shared" si="236"/>
        <v>Thursday</v>
      </c>
      <c r="AG1509" t="str">
        <f t="shared" si="237"/>
        <v/>
      </c>
      <c r="AH1509" t="str">
        <f t="shared" si="238"/>
        <v>Saturday</v>
      </c>
      <c r="AI1509" t="str">
        <f t="shared" si="239"/>
        <v>Sunday</v>
      </c>
      <c r="AJ1509" t="str">
        <f>LEFT(Table1[[#This Row],[membership_type]],2)&amp;TEXT(Table1[[#This Row],[age]],"00")&amp;"-"&amp;TEXT(ROW(),"000")</f>
        <v>Pr13-1509</v>
      </c>
      <c r="AK1509" t="str">
        <f>LEFT(Table1[[#This Row],[membership_type]],1)&amp;TEXT(MATCH(Table1[[#This Row],[membership_type]],Table1[membership_type],0),"00")</f>
        <v>P01</v>
      </c>
      <c r="AL1509" t="str">
        <f>LEFT(Table1[[#This Row],[discount_type]],1)&amp;TEXT(ROUND(Table1[[#This Row],[discount_rate]]*100,0),"00")</f>
        <v>S15</v>
      </c>
      <c r="AM1509" t="str" cm="1">
        <f t="array" ref="AM1509">TEXT(SUMPRODUCT(CODE(MID(Table1[[#This Row],[home_gym_location]],_xlfn.SEQUENCE(LEN(Table1[[#This Row],[home_gym_location]])),1))),"00000")</f>
        <v>00906</v>
      </c>
      <c r="AN150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09" t="str">
        <f>LEFT(_xlfn.TEXTBEFORE(Table1[[#This Row],[Location Identifier]],"-"),3) &amp; "-" &amp; _xlfn.TEXTAFTER(Table1[[#This Row],[Location Identifier]],"-")</f>
        <v>OAK-006</v>
      </c>
      <c r="AP1509" s="9">
        <f t="shared" ca="1" si="230"/>
        <v>45869</v>
      </c>
    </row>
    <row r="1510" spans="1:42" x14ac:dyDescent="0.25">
      <c r="A1510">
        <v>36</v>
      </c>
      <c r="B1510" t="s">
        <v>33</v>
      </c>
      <c r="C1510">
        <v>2</v>
      </c>
      <c r="D1510" t="s">
        <v>73</v>
      </c>
      <c r="E1510" t="b">
        <v>1</v>
      </c>
      <c r="F1510" s="1">
        <v>0.4777777777777778</v>
      </c>
      <c r="G1510" s="1">
        <v>0.59305555555555556</v>
      </c>
      <c r="H1510">
        <v>166</v>
      </c>
      <c r="I1510" t="b">
        <v>0</v>
      </c>
      <c r="J1510" t="b">
        <v>0</v>
      </c>
      <c r="K1510" t="b">
        <v>1</v>
      </c>
      <c r="L1510" t="s">
        <v>62</v>
      </c>
      <c r="M1510">
        <v>30</v>
      </c>
      <c r="N1510" t="s">
        <v>64</v>
      </c>
      <c r="O1510">
        <v>22.5</v>
      </c>
      <c r="P1510" t="s">
        <v>30</v>
      </c>
      <c r="Q1510">
        <v>0.05</v>
      </c>
      <c r="R1510">
        <v>21.375</v>
      </c>
      <c r="S1510" t="s">
        <v>37</v>
      </c>
      <c r="T1510" t="s">
        <v>65</v>
      </c>
      <c r="U1510">
        <v>33.770099999999999</v>
      </c>
      <c r="V1510">
        <v>-118.19370000000001</v>
      </c>
      <c r="W1510" s="2">
        <v>45016</v>
      </c>
      <c r="X1510">
        <v>0</v>
      </c>
      <c r="Y1510" t="b">
        <v>0</v>
      </c>
      <c r="Z1510" s="2">
        <v>45815</v>
      </c>
      <c r="AA1510" t="str">
        <f t="shared" si="231"/>
        <v>30–39</v>
      </c>
      <c r="AB1510" t="str">
        <f t="shared" si="232"/>
        <v>30–39</v>
      </c>
      <c r="AC1510" t="str">
        <f t="shared" si="233"/>
        <v/>
      </c>
      <c r="AD1510" t="str">
        <f t="shared" si="234"/>
        <v>Tuesday</v>
      </c>
      <c r="AE1510" t="str">
        <f t="shared" si="235"/>
        <v/>
      </c>
      <c r="AF1510" t="str">
        <f t="shared" si="236"/>
        <v/>
      </c>
      <c r="AG1510" t="str">
        <f t="shared" si="237"/>
        <v>Friday</v>
      </c>
      <c r="AH1510" t="str">
        <f t="shared" si="238"/>
        <v/>
      </c>
      <c r="AI1510" t="str">
        <f t="shared" si="239"/>
        <v/>
      </c>
      <c r="AJ1510" t="str">
        <f>LEFT(Table1[[#This Row],[membership_type]],2)&amp;TEXT(Table1[[#This Row],[age]],"00")&amp;"-"&amp;TEXT(ROW(),"000")</f>
        <v>St36-1510</v>
      </c>
      <c r="AK1510" t="str">
        <f>LEFT(Table1[[#This Row],[membership_type]],1)&amp;TEXT(MATCH(Table1[[#This Row],[membership_type]],Table1[membership_type],0),"00")</f>
        <v>S02</v>
      </c>
      <c r="AL1510" t="str">
        <f>LEFT(Table1[[#This Row],[discount_type]],1)&amp;TEXT(ROUND(Table1[[#This Row],[discount_rate]]*100,0),"00")</f>
        <v>P05</v>
      </c>
      <c r="AM1510" t="str" cm="1">
        <f t="array" ref="AM1510">TEXT(SUMPRODUCT(CODE(MID(Table1[[#This Row],[home_gym_location]],_xlfn.SEQUENCE(LEN(Table1[[#This Row],[home_gym_location]])),1))),"00000")</f>
        <v>01107</v>
      </c>
      <c r="AN151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10" t="str">
        <f>LEFT(_xlfn.TEXTBEFORE(Table1[[#This Row],[Location Identifier]],"-"),3) &amp; "-" &amp; _xlfn.TEXTAFTER(Table1[[#This Row],[Location Identifier]],"-")</f>
        <v>LON-004</v>
      </c>
      <c r="AP1510" s="9">
        <f t="shared" ca="1" si="230"/>
        <v>45869</v>
      </c>
    </row>
    <row r="1511" spans="1:42" x14ac:dyDescent="0.25">
      <c r="A1511">
        <v>44</v>
      </c>
      <c r="B1511" t="s">
        <v>42</v>
      </c>
      <c r="C1511">
        <v>3</v>
      </c>
      <c r="D1511" t="s">
        <v>140</v>
      </c>
      <c r="E1511" t="b">
        <v>0</v>
      </c>
      <c r="F1511" s="1">
        <v>0.43819444444444444</v>
      </c>
      <c r="G1511" s="1">
        <v>0.51944444444444449</v>
      </c>
      <c r="H1511">
        <v>117</v>
      </c>
      <c r="I1511" t="b">
        <v>1</v>
      </c>
      <c r="J1511" t="b">
        <v>1</v>
      </c>
      <c r="K1511" t="b">
        <v>0</v>
      </c>
      <c r="L1511" t="s">
        <v>62</v>
      </c>
      <c r="M1511">
        <v>20</v>
      </c>
      <c r="N1511" t="s">
        <v>29</v>
      </c>
      <c r="O1511">
        <v>20</v>
      </c>
      <c r="P1511" t="s">
        <v>74</v>
      </c>
      <c r="Q1511">
        <v>0.15</v>
      </c>
      <c r="R1511">
        <v>17</v>
      </c>
      <c r="S1511" t="s">
        <v>44</v>
      </c>
      <c r="T1511" t="s">
        <v>65</v>
      </c>
      <c r="U1511">
        <v>33.770099999999999</v>
      </c>
      <c r="V1511">
        <v>-118.19370000000001</v>
      </c>
      <c r="W1511" s="2">
        <v>44965</v>
      </c>
      <c r="X1511">
        <v>4</v>
      </c>
      <c r="Y1511" t="b">
        <v>1</v>
      </c>
      <c r="Z1511" s="2">
        <v>45812</v>
      </c>
      <c r="AA1511" t="str">
        <f t="shared" si="231"/>
        <v>40–49</v>
      </c>
      <c r="AB1511" t="str">
        <f t="shared" si="232"/>
        <v>40–49</v>
      </c>
      <c r="AC1511" t="str">
        <f t="shared" si="233"/>
        <v>Monday</v>
      </c>
      <c r="AD1511" t="str">
        <f t="shared" si="234"/>
        <v>Tuesday</v>
      </c>
      <c r="AE1511" t="str">
        <f t="shared" si="235"/>
        <v/>
      </c>
      <c r="AF1511" t="str">
        <f t="shared" si="236"/>
        <v/>
      </c>
      <c r="AG1511" t="str">
        <f t="shared" si="237"/>
        <v>Friday</v>
      </c>
      <c r="AH1511" t="str">
        <f t="shared" si="238"/>
        <v/>
      </c>
      <c r="AI1511" t="str">
        <f t="shared" si="239"/>
        <v/>
      </c>
      <c r="AJ1511" t="str">
        <f>LEFT(Table1[[#This Row],[membership_type]],2)&amp;TEXT(Table1[[#This Row],[age]],"00")&amp;"-"&amp;TEXT(ROW(),"000")</f>
        <v>Ba44-1511</v>
      </c>
      <c r="AK1511" t="str">
        <f>LEFT(Table1[[#This Row],[membership_type]],1)&amp;TEXT(MATCH(Table1[[#This Row],[membership_type]],Table1[membership_type],0),"00")</f>
        <v>B04</v>
      </c>
      <c r="AL1511" t="str">
        <f>LEFT(Table1[[#This Row],[discount_type]],1)&amp;TEXT(ROUND(Table1[[#This Row],[discount_rate]]*100,0),"00")</f>
        <v>S15</v>
      </c>
      <c r="AM1511" t="str" cm="1">
        <f t="array" ref="AM1511">TEXT(SUMPRODUCT(CODE(MID(Table1[[#This Row],[home_gym_location]],_xlfn.SEQUENCE(LEN(Table1[[#This Row],[home_gym_location]])),1))),"00000")</f>
        <v>01107</v>
      </c>
      <c r="AN151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11" t="str">
        <f>LEFT(_xlfn.TEXTBEFORE(Table1[[#This Row],[Location Identifier]],"-"),3) &amp; "-" &amp; _xlfn.TEXTAFTER(Table1[[#This Row],[Location Identifier]],"-")</f>
        <v>LON-004</v>
      </c>
      <c r="AP1511" s="9">
        <f t="shared" ca="1" si="230"/>
        <v>45869</v>
      </c>
    </row>
    <row r="1512" spans="1:42" x14ac:dyDescent="0.25">
      <c r="A1512">
        <v>29</v>
      </c>
      <c r="B1512" t="s">
        <v>33</v>
      </c>
      <c r="C1512">
        <v>3</v>
      </c>
      <c r="D1512" t="s">
        <v>100</v>
      </c>
      <c r="E1512" t="b">
        <v>0</v>
      </c>
      <c r="F1512" s="1">
        <v>0.59444444444444444</v>
      </c>
      <c r="G1512" s="1">
        <v>0.71388888888888891</v>
      </c>
      <c r="H1512">
        <v>172</v>
      </c>
      <c r="I1512" t="b">
        <v>0</v>
      </c>
      <c r="J1512" t="b">
        <v>0</v>
      </c>
      <c r="K1512" t="b">
        <v>0</v>
      </c>
      <c r="L1512" t="s">
        <v>62</v>
      </c>
      <c r="M1512">
        <v>30</v>
      </c>
      <c r="N1512" t="s">
        <v>29</v>
      </c>
      <c r="O1512">
        <v>30</v>
      </c>
      <c r="P1512" t="s">
        <v>30</v>
      </c>
      <c r="Q1512">
        <v>0.05</v>
      </c>
      <c r="R1512">
        <v>28.5</v>
      </c>
      <c r="S1512" t="s">
        <v>37</v>
      </c>
      <c r="T1512" t="s">
        <v>38</v>
      </c>
      <c r="U1512">
        <v>36.7378</v>
      </c>
      <c r="V1512">
        <v>-119.7871</v>
      </c>
      <c r="W1512" s="2">
        <v>45066</v>
      </c>
      <c r="X1512">
        <v>0</v>
      </c>
      <c r="Y1512" t="b">
        <v>0</v>
      </c>
      <c r="Z1512" s="2">
        <v>45817</v>
      </c>
      <c r="AA1512" t="str">
        <f t="shared" si="231"/>
        <v>20–29</v>
      </c>
      <c r="AB1512" t="str">
        <f t="shared" si="232"/>
        <v>20–29</v>
      </c>
      <c r="AC1512" t="str">
        <f t="shared" si="233"/>
        <v/>
      </c>
      <c r="AD1512" t="str">
        <f t="shared" si="234"/>
        <v/>
      </c>
      <c r="AE1512" t="str">
        <f t="shared" si="235"/>
        <v>Wednesday</v>
      </c>
      <c r="AF1512" t="str">
        <f t="shared" si="236"/>
        <v/>
      </c>
      <c r="AG1512" t="str">
        <f t="shared" si="237"/>
        <v>Friday</v>
      </c>
      <c r="AH1512" t="str">
        <f t="shared" si="238"/>
        <v/>
      </c>
      <c r="AI1512" t="str">
        <f t="shared" si="239"/>
        <v>Sunday</v>
      </c>
      <c r="AJ1512" t="str">
        <f>LEFT(Table1[[#This Row],[membership_type]],2)&amp;TEXT(Table1[[#This Row],[age]],"00")&amp;"-"&amp;TEXT(ROW(),"000")</f>
        <v>St29-1512</v>
      </c>
      <c r="AK1512" t="str">
        <f>LEFT(Table1[[#This Row],[membership_type]],1)&amp;TEXT(MATCH(Table1[[#This Row],[membership_type]],Table1[membership_type],0),"00")</f>
        <v>S02</v>
      </c>
      <c r="AL1512" t="str">
        <f>LEFT(Table1[[#This Row],[discount_type]],1)&amp;TEXT(ROUND(Table1[[#This Row],[discount_rate]]*100,0),"00")</f>
        <v>P05</v>
      </c>
      <c r="AM1512" t="str" cm="1">
        <f t="array" ref="AM1512">TEXT(SUMPRODUCT(CODE(MID(Table1[[#This Row],[home_gym_location]],_xlfn.SEQUENCE(LEN(Table1[[#This Row],[home_gym_location]])),1))),"00000")</f>
        <v>00829</v>
      </c>
      <c r="AN1512" t="str">
        <f>UPPER(_xlfn.TEXTBEFORE(Table1[[#This Row],[home_gym_location]],","))&amp;"-"&amp;TEXT(MATCH(Table1[[#This Row],[home_gym_location]],_xlfn._xlws.SORT(_xlfn.UNIQUE(Table1[home_gym_location])),0),"000")</f>
        <v>FRESNO-003</v>
      </c>
      <c r="AO1512" t="str">
        <f>LEFT(_xlfn.TEXTBEFORE(Table1[[#This Row],[Location Identifier]],"-"),3) &amp; "-" &amp; _xlfn.TEXTAFTER(Table1[[#This Row],[Location Identifier]],"-")</f>
        <v>FRE-003</v>
      </c>
      <c r="AP1512" s="9">
        <f t="shared" ca="1" si="230"/>
        <v>45869</v>
      </c>
    </row>
    <row r="1513" spans="1:42" x14ac:dyDescent="0.25">
      <c r="A1513">
        <v>20</v>
      </c>
      <c r="B1513" t="s">
        <v>26</v>
      </c>
      <c r="C1513">
        <v>2</v>
      </c>
      <c r="D1513" t="s">
        <v>79</v>
      </c>
      <c r="E1513" t="b">
        <v>0</v>
      </c>
      <c r="F1513" s="1">
        <v>0.78749999999999998</v>
      </c>
      <c r="G1513" s="1">
        <v>0.81736111111111109</v>
      </c>
      <c r="H1513">
        <v>43</v>
      </c>
      <c r="I1513" t="b">
        <v>1</v>
      </c>
      <c r="J1513" t="b">
        <v>1</v>
      </c>
      <c r="K1513" t="b">
        <v>1</v>
      </c>
      <c r="L1513" t="s">
        <v>28</v>
      </c>
      <c r="M1513">
        <v>50</v>
      </c>
      <c r="N1513" t="s">
        <v>29</v>
      </c>
      <c r="O1513">
        <v>50</v>
      </c>
      <c r="P1513" t="s">
        <v>74</v>
      </c>
      <c r="Q1513">
        <v>0.15</v>
      </c>
      <c r="R1513">
        <v>42.5</v>
      </c>
      <c r="S1513" t="s">
        <v>31</v>
      </c>
      <c r="T1513" t="s">
        <v>41</v>
      </c>
      <c r="U1513">
        <v>37.804400000000001</v>
      </c>
      <c r="V1513">
        <v>-122.27119999999999</v>
      </c>
      <c r="W1513" s="2">
        <v>44813</v>
      </c>
      <c r="X1513">
        <v>5</v>
      </c>
      <c r="Y1513" t="b">
        <v>1</v>
      </c>
      <c r="Z1513" s="2">
        <v>45803</v>
      </c>
      <c r="AA1513" t="str">
        <f t="shared" si="231"/>
        <v>20–29</v>
      </c>
      <c r="AB1513" t="str">
        <f t="shared" si="232"/>
        <v>20–29</v>
      </c>
      <c r="AC1513" t="str">
        <f t="shared" si="233"/>
        <v/>
      </c>
      <c r="AD1513" t="str">
        <f t="shared" si="234"/>
        <v/>
      </c>
      <c r="AE1513" t="str">
        <f t="shared" si="235"/>
        <v/>
      </c>
      <c r="AF1513" t="str">
        <f t="shared" si="236"/>
        <v/>
      </c>
      <c r="AG1513" t="str">
        <f t="shared" si="237"/>
        <v>Friday</v>
      </c>
      <c r="AH1513" t="str">
        <f t="shared" si="238"/>
        <v>Saturday</v>
      </c>
      <c r="AI1513" t="str">
        <f t="shared" si="239"/>
        <v/>
      </c>
      <c r="AJ1513" t="str">
        <f>LEFT(Table1[[#This Row],[membership_type]],2)&amp;TEXT(Table1[[#This Row],[age]],"00")&amp;"-"&amp;TEXT(ROW(),"000")</f>
        <v>Pr20-1513</v>
      </c>
      <c r="AK1513" t="str">
        <f>LEFT(Table1[[#This Row],[membership_type]],1)&amp;TEXT(MATCH(Table1[[#This Row],[membership_type]],Table1[membership_type],0),"00")</f>
        <v>P01</v>
      </c>
      <c r="AL1513" t="str">
        <f>LEFT(Table1[[#This Row],[discount_type]],1)&amp;TEXT(ROUND(Table1[[#This Row],[discount_rate]]*100,0),"00")</f>
        <v>S15</v>
      </c>
      <c r="AM1513" t="str" cm="1">
        <f t="array" ref="AM1513">TEXT(SUMPRODUCT(CODE(MID(Table1[[#This Row],[home_gym_location]],_xlfn.SEQUENCE(LEN(Table1[[#This Row],[home_gym_location]])),1))),"00000")</f>
        <v>00906</v>
      </c>
      <c r="AN151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13" t="str">
        <f>LEFT(_xlfn.TEXTBEFORE(Table1[[#This Row],[Location Identifier]],"-"),3) &amp; "-" &amp; _xlfn.TEXTAFTER(Table1[[#This Row],[Location Identifier]],"-")</f>
        <v>OAK-006</v>
      </c>
      <c r="AP1513" s="9">
        <f t="shared" ca="1" si="230"/>
        <v>45869</v>
      </c>
    </row>
    <row r="1514" spans="1:42" x14ac:dyDescent="0.25">
      <c r="A1514">
        <v>45</v>
      </c>
      <c r="B1514" t="s">
        <v>33</v>
      </c>
      <c r="C1514">
        <v>2</v>
      </c>
      <c r="D1514" t="s">
        <v>88</v>
      </c>
      <c r="E1514" t="b">
        <v>1</v>
      </c>
      <c r="F1514" s="1">
        <v>0.34166666666666667</v>
      </c>
      <c r="G1514" s="1">
        <v>0.42291666666666666</v>
      </c>
      <c r="H1514">
        <v>117</v>
      </c>
      <c r="I1514" t="b">
        <v>1</v>
      </c>
      <c r="J1514" t="b">
        <v>0</v>
      </c>
      <c r="K1514" t="b">
        <v>0</v>
      </c>
      <c r="L1514" t="s">
        <v>47</v>
      </c>
      <c r="M1514">
        <v>30</v>
      </c>
      <c r="N1514" t="s">
        <v>29</v>
      </c>
      <c r="O1514">
        <v>30</v>
      </c>
      <c r="P1514" t="s">
        <v>74</v>
      </c>
      <c r="Q1514">
        <v>0.15</v>
      </c>
      <c r="R1514">
        <v>25.5</v>
      </c>
      <c r="S1514" t="s">
        <v>37</v>
      </c>
      <c r="T1514" t="s">
        <v>65</v>
      </c>
      <c r="U1514">
        <v>33.770099999999999</v>
      </c>
      <c r="V1514">
        <v>-118.19370000000001</v>
      </c>
      <c r="W1514" s="2">
        <v>45811</v>
      </c>
      <c r="X1514">
        <v>0</v>
      </c>
      <c r="Y1514" t="b">
        <v>0</v>
      </c>
      <c r="Z1514" s="2">
        <v>45859</v>
      </c>
      <c r="AA1514" t="str">
        <f t="shared" si="231"/>
        <v>40–49</v>
      </c>
      <c r="AB1514" t="str">
        <f t="shared" si="232"/>
        <v>40–49</v>
      </c>
      <c r="AC1514" t="str">
        <f t="shared" si="233"/>
        <v>Monday</v>
      </c>
      <c r="AD1514" t="str">
        <f t="shared" si="234"/>
        <v/>
      </c>
      <c r="AE1514" t="str">
        <f t="shared" si="235"/>
        <v>Wednesday</v>
      </c>
      <c r="AF1514" t="str">
        <f t="shared" si="236"/>
        <v/>
      </c>
      <c r="AG1514" t="str">
        <f t="shared" si="237"/>
        <v/>
      </c>
      <c r="AH1514" t="str">
        <f t="shared" si="238"/>
        <v/>
      </c>
      <c r="AI1514" t="str">
        <f t="shared" si="239"/>
        <v/>
      </c>
      <c r="AJ1514" t="str">
        <f>LEFT(Table1[[#This Row],[membership_type]],2)&amp;TEXT(Table1[[#This Row],[age]],"00")&amp;"-"&amp;TEXT(ROW(),"000")</f>
        <v>St45-1514</v>
      </c>
      <c r="AK1514" t="str">
        <f>LEFT(Table1[[#This Row],[membership_type]],1)&amp;TEXT(MATCH(Table1[[#This Row],[membership_type]],Table1[membership_type],0),"00")</f>
        <v>S02</v>
      </c>
      <c r="AL1514" t="str">
        <f>LEFT(Table1[[#This Row],[discount_type]],1)&amp;TEXT(ROUND(Table1[[#This Row],[discount_rate]]*100,0),"00")</f>
        <v>S15</v>
      </c>
      <c r="AM1514" t="str" cm="1">
        <f t="array" ref="AM1514">TEXT(SUMPRODUCT(CODE(MID(Table1[[#This Row],[home_gym_location]],_xlfn.SEQUENCE(LEN(Table1[[#This Row],[home_gym_location]])),1))),"00000")</f>
        <v>01107</v>
      </c>
      <c r="AN151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14" t="str">
        <f>LEFT(_xlfn.TEXTBEFORE(Table1[[#This Row],[Location Identifier]],"-"),3) &amp; "-" &amp; _xlfn.TEXTAFTER(Table1[[#This Row],[Location Identifier]],"-")</f>
        <v>LON-004</v>
      </c>
      <c r="AP1514" s="9">
        <f t="shared" ca="1" si="230"/>
        <v>45869</v>
      </c>
    </row>
    <row r="1515" spans="1:42" x14ac:dyDescent="0.25">
      <c r="A1515">
        <v>48</v>
      </c>
      <c r="B1515" t="s">
        <v>33</v>
      </c>
      <c r="C1515">
        <v>2</v>
      </c>
      <c r="D1515" t="s">
        <v>73</v>
      </c>
      <c r="E1515" t="b">
        <v>1</v>
      </c>
      <c r="F1515" s="1">
        <v>0.49027777777777776</v>
      </c>
      <c r="G1515" s="1">
        <v>0.55347222222222225</v>
      </c>
      <c r="H1515">
        <v>91</v>
      </c>
      <c r="I1515" t="b">
        <v>1</v>
      </c>
      <c r="J1515" t="b">
        <v>0</v>
      </c>
      <c r="K1515" t="b">
        <v>1</v>
      </c>
      <c r="L1515" t="s">
        <v>28</v>
      </c>
      <c r="M1515">
        <v>30</v>
      </c>
      <c r="N1515" t="s">
        <v>29</v>
      </c>
      <c r="O1515">
        <v>30</v>
      </c>
      <c r="P1515" t="s">
        <v>30</v>
      </c>
      <c r="Q1515">
        <v>0.05</v>
      </c>
      <c r="R1515">
        <v>28.5</v>
      </c>
      <c r="S1515" t="s">
        <v>37</v>
      </c>
      <c r="T1515" t="s">
        <v>59</v>
      </c>
      <c r="U1515">
        <v>37.774900000000002</v>
      </c>
      <c r="V1515">
        <v>-122.4194</v>
      </c>
      <c r="W1515" s="2">
        <v>45622</v>
      </c>
      <c r="X1515">
        <v>0</v>
      </c>
      <c r="Y1515" t="b">
        <v>1</v>
      </c>
      <c r="Z1515" s="2">
        <v>45849</v>
      </c>
      <c r="AA1515" t="str">
        <f t="shared" si="231"/>
        <v>40–49</v>
      </c>
      <c r="AB1515" t="str">
        <f t="shared" si="232"/>
        <v>40–49</v>
      </c>
      <c r="AC1515" t="str">
        <f t="shared" si="233"/>
        <v/>
      </c>
      <c r="AD1515" t="str">
        <f t="shared" si="234"/>
        <v>Tuesday</v>
      </c>
      <c r="AE1515" t="str">
        <f t="shared" si="235"/>
        <v/>
      </c>
      <c r="AF1515" t="str">
        <f t="shared" si="236"/>
        <v/>
      </c>
      <c r="AG1515" t="str">
        <f t="shared" si="237"/>
        <v>Friday</v>
      </c>
      <c r="AH1515" t="str">
        <f t="shared" si="238"/>
        <v/>
      </c>
      <c r="AI1515" t="str">
        <f t="shared" si="239"/>
        <v/>
      </c>
      <c r="AJ1515" t="str">
        <f>LEFT(Table1[[#This Row],[membership_type]],2)&amp;TEXT(Table1[[#This Row],[age]],"00")&amp;"-"&amp;TEXT(ROW(),"000")</f>
        <v>St48-1515</v>
      </c>
      <c r="AK1515" t="str">
        <f>LEFT(Table1[[#This Row],[membership_type]],1)&amp;TEXT(MATCH(Table1[[#This Row],[membership_type]],Table1[membership_type],0),"00")</f>
        <v>S02</v>
      </c>
      <c r="AL1515" t="str">
        <f>LEFT(Table1[[#This Row],[discount_type]],1)&amp;TEXT(ROUND(Table1[[#This Row],[discount_rate]]*100,0),"00")</f>
        <v>P05</v>
      </c>
      <c r="AM1515" t="str" cm="1">
        <f t="array" ref="AM1515">TEXT(SUMPRODUCT(CODE(MID(Table1[[#This Row],[home_gym_location]],_xlfn.SEQUENCE(LEN(Table1[[#This Row],[home_gym_location]])),1))),"00000")</f>
        <v>01450</v>
      </c>
      <c r="AN151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15" t="str">
        <f>LEFT(_xlfn.TEXTBEFORE(Table1[[#This Row],[Location Identifier]],"-"),3) &amp; "-" &amp; _xlfn.TEXTAFTER(Table1[[#This Row],[Location Identifier]],"-")</f>
        <v>SAN-009</v>
      </c>
      <c r="AP1515" s="9">
        <f t="shared" ca="1" si="230"/>
        <v>45869</v>
      </c>
    </row>
    <row r="1516" spans="1:42" x14ac:dyDescent="0.25">
      <c r="A1516">
        <v>20</v>
      </c>
      <c r="B1516" t="s">
        <v>26</v>
      </c>
      <c r="C1516">
        <v>3</v>
      </c>
      <c r="D1516" t="s">
        <v>109</v>
      </c>
      <c r="E1516" t="b">
        <v>0</v>
      </c>
      <c r="F1516" s="1">
        <v>0.34930555555555554</v>
      </c>
      <c r="G1516" s="1">
        <v>0.47361111111111109</v>
      </c>
      <c r="H1516">
        <v>179</v>
      </c>
      <c r="I1516" t="b">
        <v>0</v>
      </c>
      <c r="J1516" t="b">
        <v>0</v>
      </c>
      <c r="K1516" t="b">
        <v>0</v>
      </c>
      <c r="L1516" t="s">
        <v>28</v>
      </c>
      <c r="M1516">
        <v>50</v>
      </c>
      <c r="N1516" t="s">
        <v>29</v>
      </c>
      <c r="O1516">
        <v>50</v>
      </c>
      <c r="P1516" t="s">
        <v>30</v>
      </c>
      <c r="Q1516">
        <v>0.05</v>
      </c>
      <c r="R1516">
        <v>47.5</v>
      </c>
      <c r="S1516" t="s">
        <v>31</v>
      </c>
      <c r="T1516" t="s">
        <v>54</v>
      </c>
      <c r="U1516">
        <v>32.715699999999998</v>
      </c>
      <c r="V1516">
        <v>-117.1611</v>
      </c>
      <c r="W1516" s="2">
        <v>45822</v>
      </c>
      <c r="X1516">
        <v>0</v>
      </c>
      <c r="Y1516" t="b">
        <v>1</v>
      </c>
      <c r="Z1516" s="2">
        <v>45860</v>
      </c>
      <c r="AA1516" t="str">
        <f t="shared" si="231"/>
        <v>20–29</v>
      </c>
      <c r="AB1516" t="str">
        <f t="shared" si="232"/>
        <v>20–29</v>
      </c>
      <c r="AC1516" t="str">
        <f t="shared" si="233"/>
        <v/>
      </c>
      <c r="AD1516" t="str">
        <f t="shared" si="234"/>
        <v>Tuesday</v>
      </c>
      <c r="AE1516" t="str">
        <f t="shared" si="235"/>
        <v/>
      </c>
      <c r="AF1516" t="str">
        <f t="shared" si="236"/>
        <v>Thursday</v>
      </c>
      <c r="AG1516" t="str">
        <f t="shared" si="237"/>
        <v>Friday</v>
      </c>
      <c r="AH1516" t="str">
        <f t="shared" si="238"/>
        <v/>
      </c>
      <c r="AI1516" t="str">
        <f t="shared" si="239"/>
        <v/>
      </c>
      <c r="AJ1516" t="str">
        <f>LEFT(Table1[[#This Row],[membership_type]],2)&amp;TEXT(Table1[[#This Row],[age]],"00")&amp;"-"&amp;TEXT(ROW(),"000")</f>
        <v>Pr20-1516</v>
      </c>
      <c r="AK1516" t="str">
        <f>LEFT(Table1[[#This Row],[membership_type]],1)&amp;TEXT(MATCH(Table1[[#This Row],[membership_type]],Table1[membership_type],0),"00")</f>
        <v>P01</v>
      </c>
      <c r="AL1516" t="str">
        <f>LEFT(Table1[[#This Row],[discount_type]],1)&amp;TEXT(ROUND(Table1[[#This Row],[discount_rate]]*100,0),"00")</f>
        <v>P05</v>
      </c>
      <c r="AM1516" t="str" cm="1">
        <f t="array" ref="AM1516">TEXT(SUMPRODUCT(CODE(MID(Table1[[#This Row],[home_gym_location]],_xlfn.SEQUENCE(LEN(Table1[[#This Row],[home_gym_location]])),1))),"00000")</f>
        <v>01018</v>
      </c>
      <c r="AN151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16" t="str">
        <f>LEFT(_xlfn.TEXTBEFORE(Table1[[#This Row],[Location Identifier]],"-"),3) &amp; "-" &amp; _xlfn.TEXTAFTER(Table1[[#This Row],[Location Identifier]],"-")</f>
        <v>SAN-008</v>
      </c>
      <c r="AP1516" s="9">
        <f t="shared" ca="1" si="230"/>
        <v>45869</v>
      </c>
    </row>
    <row r="1517" spans="1:42" x14ac:dyDescent="0.25">
      <c r="A1517">
        <v>25</v>
      </c>
      <c r="B1517" t="s">
        <v>33</v>
      </c>
      <c r="C1517">
        <v>2</v>
      </c>
      <c r="D1517" t="s">
        <v>70</v>
      </c>
      <c r="E1517" t="b">
        <v>0</v>
      </c>
      <c r="F1517" s="1">
        <v>0.44305555555555554</v>
      </c>
      <c r="G1517" s="1">
        <v>0.52222222222222225</v>
      </c>
      <c r="H1517">
        <v>114</v>
      </c>
      <c r="I1517" t="b">
        <v>1</v>
      </c>
      <c r="J1517" t="b">
        <v>1</v>
      </c>
      <c r="K1517" t="b">
        <v>0</v>
      </c>
      <c r="L1517" t="s">
        <v>35</v>
      </c>
      <c r="M1517">
        <v>30</v>
      </c>
      <c r="N1517" t="s">
        <v>64</v>
      </c>
      <c r="O1517">
        <v>22.5</v>
      </c>
      <c r="P1517" t="s">
        <v>30</v>
      </c>
      <c r="Q1517">
        <v>0.05</v>
      </c>
      <c r="R1517">
        <v>21.375</v>
      </c>
      <c r="S1517" t="s">
        <v>37</v>
      </c>
      <c r="T1517" t="s">
        <v>48</v>
      </c>
      <c r="U1517">
        <v>38.581600000000002</v>
      </c>
      <c r="V1517">
        <v>-121.4944</v>
      </c>
      <c r="W1517" s="2">
        <v>45141</v>
      </c>
      <c r="X1517">
        <v>8</v>
      </c>
      <c r="Y1517" t="b">
        <v>0</v>
      </c>
      <c r="Z1517" s="2">
        <v>45822</v>
      </c>
      <c r="AA1517" t="str">
        <f t="shared" si="231"/>
        <v>20–29</v>
      </c>
      <c r="AB1517" t="str">
        <f t="shared" si="232"/>
        <v>20–29</v>
      </c>
      <c r="AC1517" t="str">
        <f t="shared" si="233"/>
        <v/>
      </c>
      <c r="AD1517" t="str">
        <f t="shared" si="234"/>
        <v/>
      </c>
      <c r="AE1517" t="str">
        <f t="shared" si="235"/>
        <v>Wednesday</v>
      </c>
      <c r="AF1517" t="str">
        <f t="shared" si="236"/>
        <v>Thursday</v>
      </c>
      <c r="AG1517" t="str">
        <f t="shared" si="237"/>
        <v/>
      </c>
      <c r="AH1517" t="str">
        <f t="shared" si="238"/>
        <v/>
      </c>
      <c r="AI1517" t="str">
        <f t="shared" si="239"/>
        <v/>
      </c>
      <c r="AJ1517" t="str">
        <f>LEFT(Table1[[#This Row],[membership_type]],2)&amp;TEXT(Table1[[#This Row],[age]],"00")&amp;"-"&amp;TEXT(ROW(),"000")</f>
        <v>St25-1517</v>
      </c>
      <c r="AK1517" t="str">
        <f>LEFT(Table1[[#This Row],[membership_type]],1)&amp;TEXT(MATCH(Table1[[#This Row],[membership_type]],Table1[membership_type],0),"00")</f>
        <v>S02</v>
      </c>
      <c r="AL1517" t="str">
        <f>LEFT(Table1[[#This Row],[discount_type]],1)&amp;TEXT(ROUND(Table1[[#This Row],[discount_rate]]*100,0),"00")</f>
        <v>P05</v>
      </c>
      <c r="AM1517" t="str" cm="1">
        <f t="array" ref="AM1517">TEXT(SUMPRODUCT(CODE(MID(Table1[[#This Row],[home_gym_location]],_xlfn.SEQUENCE(LEN(Table1[[#This Row],[home_gym_location]])),1))),"00000")</f>
        <v>01245</v>
      </c>
      <c r="AN151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17" t="str">
        <f>LEFT(_xlfn.TEXTBEFORE(Table1[[#This Row],[Location Identifier]],"-"),3) &amp; "-" &amp; _xlfn.TEXTAFTER(Table1[[#This Row],[Location Identifier]],"-")</f>
        <v>SAC-007</v>
      </c>
      <c r="AP1517" s="9">
        <f t="shared" ca="1" si="230"/>
        <v>45869</v>
      </c>
    </row>
    <row r="1518" spans="1:42" x14ac:dyDescent="0.25">
      <c r="A1518">
        <v>45</v>
      </c>
      <c r="B1518" t="s">
        <v>42</v>
      </c>
      <c r="C1518">
        <v>3</v>
      </c>
      <c r="D1518" t="s">
        <v>81</v>
      </c>
      <c r="E1518" t="b">
        <v>1</v>
      </c>
      <c r="F1518" s="1">
        <v>0.65208333333333335</v>
      </c>
      <c r="G1518" s="1">
        <v>0.7319444444444444</v>
      </c>
      <c r="H1518">
        <v>115</v>
      </c>
      <c r="I1518" t="b">
        <v>1</v>
      </c>
      <c r="J1518" t="b">
        <v>1</v>
      </c>
      <c r="K1518" t="b">
        <v>1</v>
      </c>
      <c r="L1518" t="s">
        <v>28</v>
      </c>
      <c r="M1518">
        <v>20</v>
      </c>
      <c r="N1518" t="s">
        <v>64</v>
      </c>
      <c r="O1518">
        <v>15</v>
      </c>
      <c r="P1518" t="s">
        <v>40</v>
      </c>
      <c r="Q1518">
        <v>0.1</v>
      </c>
      <c r="R1518">
        <v>13.5</v>
      </c>
      <c r="S1518" t="s">
        <v>44</v>
      </c>
      <c r="T1518" t="s">
        <v>45</v>
      </c>
      <c r="U1518">
        <v>33.836599999999997</v>
      </c>
      <c r="V1518">
        <v>-117.9143</v>
      </c>
      <c r="W1518" s="2">
        <v>44874</v>
      </c>
      <c r="X1518">
        <v>1</v>
      </c>
      <c r="Y1518" t="b">
        <v>1</v>
      </c>
      <c r="Z1518" s="2">
        <v>45807</v>
      </c>
      <c r="AA1518" t="str">
        <f t="shared" si="231"/>
        <v>40–49</v>
      </c>
      <c r="AB1518" t="str">
        <f t="shared" si="232"/>
        <v>40–49</v>
      </c>
      <c r="AC1518" t="str">
        <f t="shared" si="233"/>
        <v>Monday</v>
      </c>
      <c r="AD1518" t="str">
        <f t="shared" si="234"/>
        <v/>
      </c>
      <c r="AE1518" t="str">
        <f t="shared" si="235"/>
        <v>Wednesday</v>
      </c>
      <c r="AF1518" t="str">
        <f t="shared" si="236"/>
        <v/>
      </c>
      <c r="AG1518" t="str">
        <f t="shared" si="237"/>
        <v>Friday</v>
      </c>
      <c r="AH1518" t="str">
        <f t="shared" si="238"/>
        <v/>
      </c>
      <c r="AI1518" t="str">
        <f t="shared" si="239"/>
        <v/>
      </c>
      <c r="AJ1518" t="str">
        <f>LEFT(Table1[[#This Row],[membership_type]],2)&amp;TEXT(Table1[[#This Row],[age]],"00")&amp;"-"&amp;TEXT(ROW(),"000")</f>
        <v>Ba45-1518</v>
      </c>
      <c r="AK1518" t="str">
        <f>LEFT(Table1[[#This Row],[membership_type]],1)&amp;TEXT(MATCH(Table1[[#This Row],[membership_type]],Table1[membership_type],0),"00")</f>
        <v>B04</v>
      </c>
      <c r="AL1518" t="str">
        <f>LEFT(Table1[[#This Row],[discount_type]],1)&amp;TEXT(ROUND(Table1[[#This Row],[discount_rate]]*100,0),"00")</f>
        <v>L10</v>
      </c>
      <c r="AM1518" t="str" cm="1">
        <f t="array" ref="AM1518">TEXT(SUMPRODUCT(CODE(MID(Table1[[#This Row],[home_gym_location]],_xlfn.SEQUENCE(LEN(Table1[[#This Row],[home_gym_location]])),1))),"00000")</f>
        <v>00899</v>
      </c>
      <c r="AN151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18" t="str">
        <f>LEFT(_xlfn.TEXTBEFORE(Table1[[#This Row],[Location Identifier]],"-"),3) &amp; "-" &amp; _xlfn.TEXTAFTER(Table1[[#This Row],[Location Identifier]],"-")</f>
        <v>ANA-001</v>
      </c>
      <c r="AP1518" s="9">
        <f t="shared" ca="1" si="230"/>
        <v>45869</v>
      </c>
    </row>
    <row r="1519" spans="1:42" x14ac:dyDescent="0.25">
      <c r="A1519">
        <v>19</v>
      </c>
      <c r="B1519" t="s">
        <v>26</v>
      </c>
      <c r="C1519">
        <v>3</v>
      </c>
      <c r="D1519" t="s">
        <v>100</v>
      </c>
      <c r="E1519" t="b">
        <v>1</v>
      </c>
      <c r="F1519" s="1">
        <v>0.62569444444444444</v>
      </c>
      <c r="G1519" s="1">
        <v>0.70763888888888893</v>
      </c>
      <c r="H1519">
        <v>118</v>
      </c>
      <c r="I1519" t="b">
        <v>1</v>
      </c>
      <c r="J1519" t="b">
        <v>0</v>
      </c>
      <c r="K1519" t="b">
        <v>0</v>
      </c>
      <c r="L1519" t="s">
        <v>28</v>
      </c>
      <c r="M1519">
        <v>50</v>
      </c>
      <c r="N1519" t="s">
        <v>64</v>
      </c>
      <c r="O1519">
        <v>37.5</v>
      </c>
      <c r="P1519" t="s">
        <v>30</v>
      </c>
      <c r="Q1519">
        <v>0.05</v>
      </c>
      <c r="R1519">
        <v>35.625</v>
      </c>
      <c r="S1519" t="s">
        <v>31</v>
      </c>
      <c r="T1519" t="s">
        <v>54</v>
      </c>
      <c r="U1519">
        <v>32.715699999999998</v>
      </c>
      <c r="V1519">
        <v>-117.1611</v>
      </c>
      <c r="W1519" s="2">
        <v>45571</v>
      </c>
      <c r="X1519">
        <v>0</v>
      </c>
      <c r="Y1519" t="b">
        <v>0</v>
      </c>
      <c r="Z1519" s="2">
        <v>45846</v>
      </c>
      <c r="AA1519" t="str">
        <f t="shared" si="231"/>
        <v>10–19</v>
      </c>
      <c r="AB1519" t="str">
        <f t="shared" si="232"/>
        <v>16–19</v>
      </c>
      <c r="AC1519" t="str">
        <f t="shared" si="233"/>
        <v/>
      </c>
      <c r="AD1519" t="str">
        <f t="shared" si="234"/>
        <v/>
      </c>
      <c r="AE1519" t="str">
        <f t="shared" si="235"/>
        <v>Wednesday</v>
      </c>
      <c r="AF1519" t="str">
        <f t="shared" si="236"/>
        <v/>
      </c>
      <c r="AG1519" t="str">
        <f t="shared" si="237"/>
        <v>Friday</v>
      </c>
      <c r="AH1519" t="str">
        <f t="shared" si="238"/>
        <v/>
      </c>
      <c r="AI1519" t="str">
        <f t="shared" si="239"/>
        <v>Sunday</v>
      </c>
      <c r="AJ1519" t="str">
        <f>LEFT(Table1[[#This Row],[membership_type]],2)&amp;TEXT(Table1[[#This Row],[age]],"00")&amp;"-"&amp;TEXT(ROW(),"000")</f>
        <v>Pr19-1519</v>
      </c>
      <c r="AK1519" t="str">
        <f>LEFT(Table1[[#This Row],[membership_type]],1)&amp;TEXT(MATCH(Table1[[#This Row],[membership_type]],Table1[membership_type],0),"00")</f>
        <v>P01</v>
      </c>
      <c r="AL1519" t="str">
        <f>LEFT(Table1[[#This Row],[discount_type]],1)&amp;TEXT(ROUND(Table1[[#This Row],[discount_rate]]*100,0),"00")</f>
        <v>P05</v>
      </c>
      <c r="AM1519" t="str" cm="1">
        <f t="array" ref="AM1519">TEXT(SUMPRODUCT(CODE(MID(Table1[[#This Row],[home_gym_location]],_xlfn.SEQUENCE(LEN(Table1[[#This Row],[home_gym_location]])),1))),"00000")</f>
        <v>01018</v>
      </c>
      <c r="AN151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19" t="str">
        <f>LEFT(_xlfn.TEXTBEFORE(Table1[[#This Row],[Location Identifier]],"-"),3) &amp; "-" &amp; _xlfn.TEXTAFTER(Table1[[#This Row],[Location Identifier]],"-")</f>
        <v>SAN-008</v>
      </c>
      <c r="AP1519" s="9">
        <f t="shared" ca="1" si="230"/>
        <v>45869</v>
      </c>
    </row>
    <row r="1520" spans="1:42" x14ac:dyDescent="0.25">
      <c r="A1520">
        <v>28</v>
      </c>
      <c r="B1520" t="s">
        <v>33</v>
      </c>
      <c r="C1520">
        <v>3</v>
      </c>
      <c r="D1520" t="s">
        <v>82</v>
      </c>
      <c r="E1520" t="b">
        <v>0</v>
      </c>
      <c r="F1520" s="1">
        <v>0.56111111111111112</v>
      </c>
      <c r="G1520" s="1">
        <v>0.65555555555555556</v>
      </c>
      <c r="H1520">
        <v>136</v>
      </c>
      <c r="I1520" t="b">
        <v>1</v>
      </c>
      <c r="J1520" t="b">
        <v>1</v>
      </c>
      <c r="K1520" t="b">
        <v>1</v>
      </c>
      <c r="L1520" t="s">
        <v>62</v>
      </c>
      <c r="M1520">
        <v>30</v>
      </c>
      <c r="N1520" t="s">
        <v>29</v>
      </c>
      <c r="O1520">
        <v>30</v>
      </c>
      <c r="P1520" t="s">
        <v>36</v>
      </c>
      <c r="Q1520">
        <v>0</v>
      </c>
      <c r="R1520">
        <v>30</v>
      </c>
      <c r="S1520" t="s">
        <v>37</v>
      </c>
      <c r="T1520" t="s">
        <v>41</v>
      </c>
      <c r="U1520">
        <v>37.804400000000001</v>
      </c>
      <c r="V1520">
        <v>-122.27119999999999</v>
      </c>
      <c r="W1520" s="2">
        <v>44843</v>
      </c>
      <c r="X1520">
        <v>1</v>
      </c>
      <c r="Y1520" t="b">
        <v>0</v>
      </c>
      <c r="Z1520" s="2">
        <v>45805</v>
      </c>
      <c r="AA1520" t="str">
        <f t="shared" si="231"/>
        <v>20–29</v>
      </c>
      <c r="AB1520" t="str">
        <f t="shared" si="232"/>
        <v>20–29</v>
      </c>
      <c r="AC1520" t="str">
        <f t="shared" si="233"/>
        <v/>
      </c>
      <c r="AD1520" t="str">
        <f t="shared" si="234"/>
        <v/>
      </c>
      <c r="AE1520" t="str">
        <f t="shared" si="235"/>
        <v/>
      </c>
      <c r="AF1520" t="str">
        <f t="shared" si="236"/>
        <v/>
      </c>
      <c r="AG1520" t="str">
        <f t="shared" si="237"/>
        <v>Friday</v>
      </c>
      <c r="AH1520" t="str">
        <f t="shared" si="238"/>
        <v>Saturday</v>
      </c>
      <c r="AI1520" t="str">
        <f t="shared" si="239"/>
        <v>Sunday</v>
      </c>
      <c r="AJ1520" t="str">
        <f>LEFT(Table1[[#This Row],[membership_type]],2)&amp;TEXT(Table1[[#This Row],[age]],"00")&amp;"-"&amp;TEXT(ROW(),"000")</f>
        <v>St28-1520</v>
      </c>
      <c r="AK1520" t="str">
        <f>LEFT(Table1[[#This Row],[membership_type]],1)&amp;TEXT(MATCH(Table1[[#This Row],[membership_type]],Table1[membership_type],0),"00")</f>
        <v>S02</v>
      </c>
      <c r="AL1520" t="str">
        <f>LEFT(Table1[[#This Row],[discount_type]],1)&amp;TEXT(ROUND(Table1[[#This Row],[discount_rate]]*100,0),"00")</f>
        <v>N00</v>
      </c>
      <c r="AM1520" t="str" cm="1">
        <f t="array" ref="AM1520">TEXT(SUMPRODUCT(CODE(MID(Table1[[#This Row],[home_gym_location]],_xlfn.SEQUENCE(LEN(Table1[[#This Row],[home_gym_location]])),1))),"00000")</f>
        <v>00906</v>
      </c>
      <c r="AN152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20" t="str">
        <f>LEFT(_xlfn.TEXTBEFORE(Table1[[#This Row],[Location Identifier]],"-"),3) &amp; "-" &amp; _xlfn.TEXTAFTER(Table1[[#This Row],[Location Identifier]],"-")</f>
        <v>OAK-006</v>
      </c>
      <c r="AP1520" s="9">
        <f t="shared" ca="1" si="230"/>
        <v>45869</v>
      </c>
    </row>
    <row r="1521" spans="1:42" x14ac:dyDescent="0.25">
      <c r="A1521">
        <v>37</v>
      </c>
      <c r="B1521" t="s">
        <v>33</v>
      </c>
      <c r="C1521">
        <v>1</v>
      </c>
      <c r="D1521" t="s">
        <v>71</v>
      </c>
      <c r="E1521" t="b">
        <v>1</v>
      </c>
      <c r="F1521" s="1">
        <v>0.75416666666666665</v>
      </c>
      <c r="G1521" s="1">
        <v>0.83263888888888893</v>
      </c>
      <c r="H1521">
        <v>113</v>
      </c>
      <c r="I1521" t="b">
        <v>0</v>
      </c>
      <c r="J1521" t="b">
        <v>0</v>
      </c>
      <c r="K1521" t="b">
        <v>0</v>
      </c>
      <c r="L1521" t="s">
        <v>62</v>
      </c>
      <c r="M1521">
        <v>30</v>
      </c>
      <c r="N1521" t="s">
        <v>29</v>
      </c>
      <c r="O1521">
        <v>30</v>
      </c>
      <c r="P1521" t="s">
        <v>36</v>
      </c>
      <c r="Q1521">
        <v>0</v>
      </c>
      <c r="R1521">
        <v>30</v>
      </c>
      <c r="S1521" t="s">
        <v>37</v>
      </c>
      <c r="T1521" t="s">
        <v>59</v>
      </c>
      <c r="U1521">
        <v>37.774900000000002</v>
      </c>
      <c r="V1521">
        <v>-122.4194</v>
      </c>
      <c r="W1521" s="2">
        <v>45766</v>
      </c>
      <c r="X1521">
        <v>0</v>
      </c>
      <c r="Y1521" t="b">
        <v>0</v>
      </c>
      <c r="Z1521" s="2">
        <v>45857</v>
      </c>
      <c r="AA1521" t="str">
        <f t="shared" si="231"/>
        <v>30–39</v>
      </c>
      <c r="AB1521" t="str">
        <f t="shared" si="232"/>
        <v>30–39</v>
      </c>
      <c r="AC1521" t="str">
        <f t="shared" si="233"/>
        <v/>
      </c>
      <c r="AD1521" t="str">
        <f t="shared" si="234"/>
        <v>Tuesday</v>
      </c>
      <c r="AE1521" t="str">
        <f t="shared" si="235"/>
        <v/>
      </c>
      <c r="AF1521" t="str">
        <f t="shared" si="236"/>
        <v/>
      </c>
      <c r="AG1521" t="str">
        <f t="shared" si="237"/>
        <v/>
      </c>
      <c r="AH1521" t="str">
        <f t="shared" si="238"/>
        <v/>
      </c>
      <c r="AI1521" t="str">
        <f t="shared" si="239"/>
        <v/>
      </c>
      <c r="AJ1521" t="str">
        <f>LEFT(Table1[[#This Row],[membership_type]],2)&amp;TEXT(Table1[[#This Row],[age]],"00")&amp;"-"&amp;TEXT(ROW(),"000")</f>
        <v>St37-1521</v>
      </c>
      <c r="AK1521" t="str">
        <f>LEFT(Table1[[#This Row],[membership_type]],1)&amp;TEXT(MATCH(Table1[[#This Row],[membership_type]],Table1[membership_type],0),"00")</f>
        <v>S02</v>
      </c>
      <c r="AL1521" t="str">
        <f>LEFT(Table1[[#This Row],[discount_type]],1)&amp;TEXT(ROUND(Table1[[#This Row],[discount_rate]]*100,0),"00")</f>
        <v>N00</v>
      </c>
      <c r="AM1521" t="str" cm="1">
        <f t="array" ref="AM1521">TEXT(SUMPRODUCT(CODE(MID(Table1[[#This Row],[home_gym_location]],_xlfn.SEQUENCE(LEN(Table1[[#This Row],[home_gym_location]])),1))),"00000")</f>
        <v>01450</v>
      </c>
      <c r="AN152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21" t="str">
        <f>LEFT(_xlfn.TEXTBEFORE(Table1[[#This Row],[Location Identifier]],"-"),3) &amp; "-" &amp; _xlfn.TEXTAFTER(Table1[[#This Row],[Location Identifier]],"-")</f>
        <v>SAN-009</v>
      </c>
      <c r="AP1521" s="9">
        <f t="shared" ca="1" si="230"/>
        <v>45869</v>
      </c>
    </row>
    <row r="1522" spans="1:42" x14ac:dyDescent="0.25">
      <c r="A1522">
        <v>28</v>
      </c>
      <c r="B1522" t="s">
        <v>26</v>
      </c>
      <c r="C1522">
        <v>4</v>
      </c>
      <c r="D1522" t="s">
        <v>143</v>
      </c>
      <c r="E1522" t="b">
        <v>1</v>
      </c>
      <c r="F1522" s="1">
        <v>0.46527777777777779</v>
      </c>
      <c r="G1522" s="1">
        <v>0.5805555555555556</v>
      </c>
      <c r="H1522">
        <v>166</v>
      </c>
      <c r="I1522" t="b">
        <v>0</v>
      </c>
      <c r="J1522" t="b">
        <v>1</v>
      </c>
      <c r="K1522" t="b">
        <v>1</v>
      </c>
      <c r="L1522" t="s">
        <v>28</v>
      </c>
      <c r="M1522">
        <v>50</v>
      </c>
      <c r="N1522" t="s">
        <v>64</v>
      </c>
      <c r="O1522">
        <v>37.5</v>
      </c>
      <c r="P1522" t="s">
        <v>74</v>
      </c>
      <c r="Q1522">
        <v>0.15</v>
      </c>
      <c r="R1522">
        <v>31.875</v>
      </c>
      <c r="S1522" t="s">
        <v>31</v>
      </c>
      <c r="T1522" t="s">
        <v>65</v>
      </c>
      <c r="U1522">
        <v>33.770099999999999</v>
      </c>
      <c r="V1522">
        <v>-118.19370000000001</v>
      </c>
      <c r="W1522" s="2">
        <v>44835</v>
      </c>
      <c r="X1522">
        <v>7</v>
      </c>
      <c r="Y1522" t="b">
        <v>1</v>
      </c>
      <c r="Z1522" s="2">
        <v>45804</v>
      </c>
      <c r="AA1522" t="str">
        <f t="shared" si="231"/>
        <v>20–29</v>
      </c>
      <c r="AB1522" t="str">
        <f t="shared" si="232"/>
        <v>20–29</v>
      </c>
      <c r="AC1522" t="str">
        <f t="shared" si="233"/>
        <v>Monday</v>
      </c>
      <c r="AD1522" t="str">
        <f t="shared" si="234"/>
        <v>Tuesday</v>
      </c>
      <c r="AE1522" t="str">
        <f t="shared" si="235"/>
        <v>Wednesday</v>
      </c>
      <c r="AF1522" t="str">
        <f t="shared" si="236"/>
        <v/>
      </c>
      <c r="AG1522" t="str">
        <f t="shared" si="237"/>
        <v>Friday</v>
      </c>
      <c r="AH1522" t="str">
        <f t="shared" si="238"/>
        <v/>
      </c>
      <c r="AI1522" t="str">
        <f t="shared" si="239"/>
        <v/>
      </c>
      <c r="AJ1522" t="str">
        <f>LEFT(Table1[[#This Row],[membership_type]],2)&amp;TEXT(Table1[[#This Row],[age]],"00")&amp;"-"&amp;TEXT(ROW(),"000")</f>
        <v>Pr28-1522</v>
      </c>
      <c r="AK1522" t="str">
        <f>LEFT(Table1[[#This Row],[membership_type]],1)&amp;TEXT(MATCH(Table1[[#This Row],[membership_type]],Table1[membership_type],0),"00")</f>
        <v>P01</v>
      </c>
      <c r="AL1522" t="str">
        <f>LEFT(Table1[[#This Row],[discount_type]],1)&amp;TEXT(ROUND(Table1[[#This Row],[discount_rate]]*100,0),"00")</f>
        <v>S15</v>
      </c>
      <c r="AM1522" t="str" cm="1">
        <f t="array" ref="AM1522">TEXT(SUMPRODUCT(CODE(MID(Table1[[#This Row],[home_gym_location]],_xlfn.SEQUENCE(LEN(Table1[[#This Row],[home_gym_location]])),1))),"00000")</f>
        <v>01107</v>
      </c>
      <c r="AN152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22" t="str">
        <f>LEFT(_xlfn.TEXTBEFORE(Table1[[#This Row],[Location Identifier]],"-"),3) &amp; "-" &amp; _xlfn.TEXTAFTER(Table1[[#This Row],[Location Identifier]],"-")</f>
        <v>LON-004</v>
      </c>
      <c r="AP1522" s="9">
        <f t="shared" ca="1" si="230"/>
        <v>45869</v>
      </c>
    </row>
    <row r="1523" spans="1:42" x14ac:dyDescent="0.25">
      <c r="A1523">
        <v>33</v>
      </c>
      <c r="B1523" t="s">
        <v>33</v>
      </c>
      <c r="C1523">
        <v>2</v>
      </c>
      <c r="D1523" t="s">
        <v>84</v>
      </c>
      <c r="E1523" t="b">
        <v>0</v>
      </c>
      <c r="F1523" s="1">
        <v>0.52916666666666667</v>
      </c>
      <c r="G1523" s="1">
        <v>0.62569444444444444</v>
      </c>
      <c r="H1523">
        <v>139</v>
      </c>
      <c r="I1523" t="b">
        <v>1</v>
      </c>
      <c r="J1523" t="b">
        <v>1</v>
      </c>
      <c r="K1523" t="b">
        <v>0</v>
      </c>
      <c r="L1523" t="s">
        <v>58</v>
      </c>
      <c r="M1523">
        <v>30</v>
      </c>
      <c r="N1523" t="s">
        <v>29</v>
      </c>
      <c r="O1523">
        <v>30</v>
      </c>
      <c r="P1523" t="s">
        <v>36</v>
      </c>
      <c r="Q1523">
        <v>0</v>
      </c>
      <c r="R1523">
        <v>30</v>
      </c>
      <c r="S1523" t="s">
        <v>37</v>
      </c>
      <c r="T1523" t="s">
        <v>56</v>
      </c>
      <c r="U1523">
        <v>35.3733</v>
      </c>
      <c r="V1523">
        <v>-119.0187</v>
      </c>
      <c r="W1523" s="2">
        <v>45456</v>
      </c>
      <c r="X1523">
        <v>4</v>
      </c>
      <c r="Y1523" t="b">
        <v>0</v>
      </c>
      <c r="Z1523" s="2">
        <v>45839</v>
      </c>
      <c r="AA1523" t="str">
        <f t="shared" si="231"/>
        <v>30–39</v>
      </c>
      <c r="AB1523" t="str">
        <f t="shared" si="232"/>
        <v>30–39</v>
      </c>
      <c r="AC1523" t="str">
        <f t="shared" si="233"/>
        <v/>
      </c>
      <c r="AD1523" t="str">
        <f t="shared" si="234"/>
        <v>Tuesday</v>
      </c>
      <c r="AE1523" t="str">
        <f t="shared" si="235"/>
        <v/>
      </c>
      <c r="AF1523" t="str">
        <f t="shared" si="236"/>
        <v/>
      </c>
      <c r="AG1523" t="str">
        <f t="shared" si="237"/>
        <v/>
      </c>
      <c r="AH1523" t="str">
        <f t="shared" si="238"/>
        <v/>
      </c>
      <c r="AI1523" t="str">
        <f t="shared" si="239"/>
        <v>Sunday</v>
      </c>
      <c r="AJ1523" t="str">
        <f>LEFT(Table1[[#This Row],[membership_type]],2)&amp;TEXT(Table1[[#This Row],[age]],"00")&amp;"-"&amp;TEXT(ROW(),"000")</f>
        <v>St33-1523</v>
      </c>
      <c r="AK1523" t="str">
        <f>LEFT(Table1[[#This Row],[membership_type]],1)&amp;TEXT(MATCH(Table1[[#This Row],[membership_type]],Table1[membership_type],0),"00")</f>
        <v>S02</v>
      </c>
      <c r="AL1523" t="str">
        <f>LEFT(Table1[[#This Row],[discount_type]],1)&amp;TEXT(ROUND(Table1[[#This Row],[discount_rate]]*100,0),"00")</f>
        <v>N00</v>
      </c>
      <c r="AM1523" t="str" cm="1">
        <f t="array" ref="AM1523">TEXT(SUMPRODUCT(CODE(MID(Table1[[#This Row],[home_gym_location]],_xlfn.SEQUENCE(LEN(Table1[[#This Row],[home_gym_location]])),1))),"00000")</f>
        <v>01324</v>
      </c>
      <c r="AN152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23" t="str">
        <f>LEFT(_xlfn.TEXTBEFORE(Table1[[#This Row],[Location Identifier]],"-"),3) &amp; "-" &amp; _xlfn.TEXTAFTER(Table1[[#This Row],[Location Identifier]],"-")</f>
        <v>BAK-002</v>
      </c>
      <c r="AP1523" s="9">
        <f t="shared" ca="1" si="230"/>
        <v>45869</v>
      </c>
    </row>
    <row r="1524" spans="1:42" x14ac:dyDescent="0.25">
      <c r="A1524">
        <v>20</v>
      </c>
      <c r="B1524" t="s">
        <v>26</v>
      </c>
      <c r="C1524">
        <v>1</v>
      </c>
      <c r="D1524" t="s">
        <v>75</v>
      </c>
      <c r="E1524" t="b">
        <v>0</v>
      </c>
      <c r="F1524" s="1">
        <v>0.4826388888888889</v>
      </c>
      <c r="G1524" s="1">
        <v>0.5625</v>
      </c>
      <c r="H1524">
        <v>115</v>
      </c>
      <c r="I1524" t="b">
        <v>0</v>
      </c>
      <c r="J1524" t="b">
        <v>0</v>
      </c>
      <c r="K1524" t="b">
        <v>1</v>
      </c>
      <c r="L1524" t="s">
        <v>62</v>
      </c>
      <c r="M1524">
        <v>50</v>
      </c>
      <c r="N1524" t="s">
        <v>78</v>
      </c>
      <c r="O1524">
        <v>45</v>
      </c>
      <c r="P1524" t="s">
        <v>40</v>
      </c>
      <c r="Q1524">
        <v>0.1</v>
      </c>
      <c r="R1524">
        <v>40.5</v>
      </c>
      <c r="S1524" t="s">
        <v>31</v>
      </c>
      <c r="T1524" t="s">
        <v>38</v>
      </c>
      <c r="U1524">
        <v>36.7378</v>
      </c>
      <c r="V1524">
        <v>-119.7871</v>
      </c>
      <c r="W1524" s="2">
        <v>45722</v>
      </c>
      <c r="X1524">
        <v>0</v>
      </c>
      <c r="Y1524" t="b">
        <v>0</v>
      </c>
      <c r="Z1524" s="2">
        <v>45854</v>
      </c>
      <c r="AA1524" t="str">
        <f t="shared" si="231"/>
        <v>20–29</v>
      </c>
      <c r="AB1524" t="str">
        <f t="shared" si="232"/>
        <v>20–29</v>
      </c>
      <c r="AC1524" t="str">
        <f t="shared" si="233"/>
        <v/>
      </c>
      <c r="AD1524" t="str">
        <f t="shared" si="234"/>
        <v/>
      </c>
      <c r="AE1524" t="str">
        <f t="shared" si="235"/>
        <v/>
      </c>
      <c r="AF1524" t="str">
        <f t="shared" si="236"/>
        <v/>
      </c>
      <c r="AG1524" t="str">
        <f t="shared" si="237"/>
        <v>Friday</v>
      </c>
      <c r="AH1524" t="str">
        <f t="shared" si="238"/>
        <v/>
      </c>
      <c r="AI1524" t="str">
        <f t="shared" si="239"/>
        <v/>
      </c>
      <c r="AJ1524" t="str">
        <f>LEFT(Table1[[#This Row],[membership_type]],2)&amp;TEXT(Table1[[#This Row],[age]],"00")&amp;"-"&amp;TEXT(ROW(),"000")</f>
        <v>Pr20-1524</v>
      </c>
      <c r="AK1524" t="str">
        <f>LEFT(Table1[[#This Row],[membership_type]],1)&amp;TEXT(MATCH(Table1[[#This Row],[membership_type]],Table1[membership_type],0),"00")</f>
        <v>P01</v>
      </c>
      <c r="AL1524" t="str">
        <f>LEFT(Table1[[#This Row],[discount_type]],1)&amp;TEXT(ROUND(Table1[[#This Row],[discount_rate]]*100,0),"00")</f>
        <v>L10</v>
      </c>
      <c r="AM1524" t="str" cm="1">
        <f t="array" ref="AM1524">TEXT(SUMPRODUCT(CODE(MID(Table1[[#This Row],[home_gym_location]],_xlfn.SEQUENCE(LEN(Table1[[#This Row],[home_gym_location]])),1))),"00000")</f>
        <v>00829</v>
      </c>
      <c r="AN1524" t="str">
        <f>UPPER(_xlfn.TEXTBEFORE(Table1[[#This Row],[home_gym_location]],","))&amp;"-"&amp;TEXT(MATCH(Table1[[#This Row],[home_gym_location]],_xlfn._xlws.SORT(_xlfn.UNIQUE(Table1[home_gym_location])),0),"000")</f>
        <v>FRESNO-003</v>
      </c>
      <c r="AO1524" t="str">
        <f>LEFT(_xlfn.TEXTBEFORE(Table1[[#This Row],[Location Identifier]],"-"),3) &amp; "-" &amp; _xlfn.TEXTAFTER(Table1[[#This Row],[Location Identifier]],"-")</f>
        <v>FRE-003</v>
      </c>
      <c r="AP1524" s="9">
        <f t="shared" ca="1" si="230"/>
        <v>45869</v>
      </c>
    </row>
    <row r="1525" spans="1:42" x14ac:dyDescent="0.25">
      <c r="A1525">
        <v>19</v>
      </c>
      <c r="B1525" t="s">
        <v>26</v>
      </c>
      <c r="C1525">
        <v>3</v>
      </c>
      <c r="D1525" t="s">
        <v>125</v>
      </c>
      <c r="E1525" t="b">
        <v>0</v>
      </c>
      <c r="F1525" s="1">
        <v>0.73819444444444449</v>
      </c>
      <c r="G1525" s="1">
        <v>0.77361111111111114</v>
      </c>
      <c r="H1525">
        <v>51</v>
      </c>
      <c r="I1525" t="b">
        <v>0</v>
      </c>
      <c r="J1525" t="b">
        <v>1</v>
      </c>
      <c r="K1525" t="b">
        <v>1</v>
      </c>
      <c r="L1525" t="s">
        <v>62</v>
      </c>
      <c r="M1525">
        <v>50</v>
      </c>
      <c r="N1525" t="s">
        <v>64</v>
      </c>
      <c r="O1525">
        <v>37.5</v>
      </c>
      <c r="P1525" t="s">
        <v>30</v>
      </c>
      <c r="Q1525">
        <v>0.05</v>
      </c>
      <c r="R1525">
        <v>35.625</v>
      </c>
      <c r="S1525" t="s">
        <v>31</v>
      </c>
      <c r="T1525" t="s">
        <v>32</v>
      </c>
      <c r="U1525">
        <v>37.338200000000001</v>
      </c>
      <c r="V1525">
        <v>-121.88630000000001</v>
      </c>
      <c r="W1525" s="2">
        <v>45313</v>
      </c>
      <c r="X1525">
        <v>3</v>
      </c>
      <c r="Y1525" t="b">
        <v>1</v>
      </c>
      <c r="Z1525" s="2">
        <v>45831</v>
      </c>
      <c r="AA1525" t="str">
        <f t="shared" si="231"/>
        <v>10–19</v>
      </c>
      <c r="AB1525" t="str">
        <f t="shared" si="232"/>
        <v>16–19</v>
      </c>
      <c r="AC1525" t="str">
        <f t="shared" si="233"/>
        <v/>
      </c>
      <c r="AD1525" t="str">
        <f t="shared" si="234"/>
        <v/>
      </c>
      <c r="AE1525" t="str">
        <f t="shared" si="235"/>
        <v/>
      </c>
      <c r="AF1525" t="str">
        <f t="shared" si="236"/>
        <v>Thursday</v>
      </c>
      <c r="AG1525" t="str">
        <f t="shared" si="237"/>
        <v/>
      </c>
      <c r="AH1525" t="str">
        <f t="shared" si="238"/>
        <v>Saturday</v>
      </c>
      <c r="AI1525" t="str">
        <f t="shared" si="239"/>
        <v>Sunday</v>
      </c>
      <c r="AJ1525" t="str">
        <f>LEFT(Table1[[#This Row],[membership_type]],2)&amp;TEXT(Table1[[#This Row],[age]],"00")&amp;"-"&amp;TEXT(ROW(),"000")</f>
        <v>Pr19-1525</v>
      </c>
      <c r="AK1525" t="str">
        <f>LEFT(Table1[[#This Row],[membership_type]],1)&amp;TEXT(MATCH(Table1[[#This Row],[membership_type]],Table1[membership_type],0),"00")</f>
        <v>P01</v>
      </c>
      <c r="AL1525" t="str">
        <f>LEFT(Table1[[#This Row],[discount_type]],1)&amp;TEXT(ROUND(Table1[[#This Row],[discount_rate]]*100,0),"00")</f>
        <v>P05</v>
      </c>
      <c r="AM1525" t="str" cm="1">
        <f t="array" ref="AM1525">TEXT(SUMPRODUCT(CODE(MID(Table1[[#This Row],[home_gym_location]],_xlfn.SEQUENCE(LEN(Table1[[#This Row],[home_gym_location]])),1))),"00000")</f>
        <v>00931</v>
      </c>
      <c r="AN152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25" t="str">
        <f>LEFT(_xlfn.TEXTBEFORE(Table1[[#This Row],[Location Identifier]],"-"),3) &amp; "-" &amp; _xlfn.TEXTAFTER(Table1[[#This Row],[Location Identifier]],"-")</f>
        <v>SAN-010</v>
      </c>
      <c r="AP1525" s="9">
        <f t="shared" ca="1" si="230"/>
        <v>45869</v>
      </c>
    </row>
    <row r="1526" spans="1:42" x14ac:dyDescent="0.25">
      <c r="A1526">
        <v>20</v>
      </c>
      <c r="B1526" t="s">
        <v>42</v>
      </c>
      <c r="C1526">
        <v>4</v>
      </c>
      <c r="D1526" t="s">
        <v>119</v>
      </c>
      <c r="E1526" t="b">
        <v>0</v>
      </c>
      <c r="F1526" s="1">
        <v>0.71666666666666667</v>
      </c>
      <c r="G1526" s="1">
        <v>0.7631944444444444</v>
      </c>
      <c r="H1526">
        <v>67</v>
      </c>
      <c r="I1526" t="b">
        <v>0</v>
      </c>
      <c r="J1526" t="b">
        <v>0</v>
      </c>
      <c r="K1526" t="b">
        <v>1</v>
      </c>
      <c r="L1526" t="s">
        <v>28</v>
      </c>
      <c r="M1526">
        <v>20</v>
      </c>
      <c r="N1526" t="s">
        <v>64</v>
      </c>
      <c r="O1526">
        <v>15</v>
      </c>
      <c r="P1526" t="s">
        <v>36</v>
      </c>
      <c r="Q1526">
        <v>0</v>
      </c>
      <c r="R1526">
        <v>15</v>
      </c>
      <c r="S1526" t="s">
        <v>44</v>
      </c>
      <c r="T1526" t="s">
        <v>54</v>
      </c>
      <c r="U1526">
        <v>32.715699999999998</v>
      </c>
      <c r="V1526">
        <v>-117.1611</v>
      </c>
      <c r="W1526" s="2">
        <v>45557</v>
      </c>
      <c r="X1526">
        <v>0</v>
      </c>
      <c r="Y1526" t="b">
        <v>0</v>
      </c>
      <c r="Z1526" s="2">
        <v>45845</v>
      </c>
      <c r="AA1526" t="str">
        <f t="shared" si="231"/>
        <v>20–29</v>
      </c>
      <c r="AB1526" t="str">
        <f t="shared" si="232"/>
        <v>20–29</v>
      </c>
      <c r="AC1526" t="str">
        <f t="shared" si="233"/>
        <v>Monday</v>
      </c>
      <c r="AD1526" t="str">
        <f t="shared" si="234"/>
        <v/>
      </c>
      <c r="AE1526" t="str">
        <f t="shared" si="235"/>
        <v>Wednesday</v>
      </c>
      <c r="AF1526" t="str">
        <f t="shared" si="236"/>
        <v/>
      </c>
      <c r="AG1526" t="str">
        <f t="shared" si="237"/>
        <v>Friday</v>
      </c>
      <c r="AH1526" t="str">
        <f t="shared" si="238"/>
        <v/>
      </c>
      <c r="AI1526" t="str">
        <f t="shared" si="239"/>
        <v>Sunday</v>
      </c>
      <c r="AJ1526" t="str">
        <f>LEFT(Table1[[#This Row],[membership_type]],2)&amp;TEXT(Table1[[#This Row],[age]],"00")&amp;"-"&amp;TEXT(ROW(),"000")</f>
        <v>Ba20-1526</v>
      </c>
      <c r="AK1526" t="str">
        <f>LEFT(Table1[[#This Row],[membership_type]],1)&amp;TEXT(MATCH(Table1[[#This Row],[membership_type]],Table1[membership_type],0),"00")</f>
        <v>B04</v>
      </c>
      <c r="AL1526" t="str">
        <f>LEFT(Table1[[#This Row],[discount_type]],1)&amp;TEXT(ROUND(Table1[[#This Row],[discount_rate]]*100,0),"00")</f>
        <v>N00</v>
      </c>
      <c r="AM1526" t="str" cm="1">
        <f t="array" ref="AM1526">TEXT(SUMPRODUCT(CODE(MID(Table1[[#This Row],[home_gym_location]],_xlfn.SEQUENCE(LEN(Table1[[#This Row],[home_gym_location]])),1))),"00000")</f>
        <v>01018</v>
      </c>
      <c r="AN152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26" t="str">
        <f>LEFT(_xlfn.TEXTBEFORE(Table1[[#This Row],[Location Identifier]],"-"),3) &amp; "-" &amp; _xlfn.TEXTAFTER(Table1[[#This Row],[Location Identifier]],"-")</f>
        <v>SAN-008</v>
      </c>
      <c r="AP1526" s="9">
        <f t="shared" ca="1" si="230"/>
        <v>45869</v>
      </c>
    </row>
    <row r="1527" spans="1:42" x14ac:dyDescent="0.25">
      <c r="A1527">
        <v>14</v>
      </c>
      <c r="B1527" t="s">
        <v>51</v>
      </c>
      <c r="C1527">
        <v>5</v>
      </c>
      <c r="D1527" t="s">
        <v>104</v>
      </c>
      <c r="E1527" t="b">
        <v>1</v>
      </c>
      <c r="F1527" s="1">
        <v>0.35069444444444442</v>
      </c>
      <c r="G1527" s="1">
        <v>0.42222222222222222</v>
      </c>
      <c r="H1527">
        <v>103</v>
      </c>
      <c r="I1527" t="b">
        <v>0</v>
      </c>
      <c r="J1527" t="b">
        <v>1</v>
      </c>
      <c r="K1527" t="b">
        <v>1</v>
      </c>
      <c r="L1527" t="s">
        <v>28</v>
      </c>
      <c r="M1527">
        <v>70</v>
      </c>
      <c r="N1527" t="s">
        <v>29</v>
      </c>
      <c r="O1527">
        <v>70</v>
      </c>
      <c r="P1527" t="s">
        <v>40</v>
      </c>
      <c r="Q1527">
        <v>0.1</v>
      </c>
      <c r="R1527">
        <v>63</v>
      </c>
      <c r="S1527" t="s">
        <v>53</v>
      </c>
      <c r="T1527" t="s">
        <v>41</v>
      </c>
      <c r="U1527">
        <v>37.804400000000001</v>
      </c>
      <c r="V1527">
        <v>-122.27119999999999</v>
      </c>
      <c r="W1527" s="2">
        <v>45527</v>
      </c>
      <c r="X1527">
        <v>5</v>
      </c>
      <c r="Y1527" t="b">
        <v>1</v>
      </c>
      <c r="Z1527" s="2">
        <v>45843</v>
      </c>
      <c r="AA1527" t="str">
        <f t="shared" si="231"/>
        <v>10–19</v>
      </c>
      <c r="AB1527" t="str">
        <f t="shared" si="232"/>
        <v>Under 16</v>
      </c>
      <c r="AC1527" t="str">
        <f t="shared" si="233"/>
        <v/>
      </c>
      <c r="AD1527" t="str">
        <f t="shared" si="234"/>
        <v>Tuesday</v>
      </c>
      <c r="AE1527" t="str">
        <f t="shared" si="235"/>
        <v>Wednesday</v>
      </c>
      <c r="AF1527" t="str">
        <f t="shared" si="236"/>
        <v>Thursday</v>
      </c>
      <c r="AG1527" t="str">
        <f t="shared" si="237"/>
        <v/>
      </c>
      <c r="AH1527" t="str">
        <f t="shared" si="238"/>
        <v>Saturday</v>
      </c>
      <c r="AI1527" t="str">
        <f t="shared" si="239"/>
        <v>Sunday</v>
      </c>
      <c r="AJ1527" t="str">
        <f>LEFT(Table1[[#This Row],[membership_type]],2)&amp;TEXT(Table1[[#This Row],[age]],"00")&amp;"-"&amp;TEXT(ROW(),"000")</f>
        <v>El14-1527</v>
      </c>
      <c r="AK1527" t="str">
        <f>LEFT(Table1[[#This Row],[membership_type]],1)&amp;TEXT(MATCH(Table1[[#This Row],[membership_type]],Table1[membership_type],0),"00")</f>
        <v>E07</v>
      </c>
      <c r="AL1527" t="str">
        <f>LEFT(Table1[[#This Row],[discount_type]],1)&amp;TEXT(ROUND(Table1[[#This Row],[discount_rate]]*100,0),"00")</f>
        <v>L10</v>
      </c>
      <c r="AM1527" t="str" cm="1">
        <f t="array" ref="AM1527">TEXT(SUMPRODUCT(CODE(MID(Table1[[#This Row],[home_gym_location]],_xlfn.SEQUENCE(LEN(Table1[[#This Row],[home_gym_location]])),1))),"00000")</f>
        <v>00906</v>
      </c>
      <c r="AN152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27" t="str">
        <f>LEFT(_xlfn.TEXTBEFORE(Table1[[#This Row],[Location Identifier]],"-"),3) &amp; "-" &amp; _xlfn.TEXTAFTER(Table1[[#This Row],[Location Identifier]],"-")</f>
        <v>OAK-006</v>
      </c>
      <c r="AP1527" s="9">
        <f t="shared" ca="1" si="230"/>
        <v>45869</v>
      </c>
    </row>
    <row r="1528" spans="1:42" x14ac:dyDescent="0.25">
      <c r="A1528">
        <v>31</v>
      </c>
      <c r="B1528" t="s">
        <v>26</v>
      </c>
      <c r="C1528">
        <v>2</v>
      </c>
      <c r="D1528" t="s">
        <v>116</v>
      </c>
      <c r="E1528" t="b">
        <v>1</v>
      </c>
      <c r="F1528" s="1">
        <v>0.85277777777777775</v>
      </c>
      <c r="G1528" s="1">
        <v>0.8930555555555556</v>
      </c>
      <c r="H1528">
        <v>58</v>
      </c>
      <c r="I1528" t="b">
        <v>0</v>
      </c>
      <c r="J1528" t="b">
        <v>1</v>
      </c>
      <c r="K1528" t="b">
        <v>0</v>
      </c>
      <c r="L1528" t="s">
        <v>35</v>
      </c>
      <c r="M1528">
        <v>50</v>
      </c>
      <c r="N1528" t="s">
        <v>29</v>
      </c>
      <c r="O1528">
        <v>50</v>
      </c>
      <c r="P1528" t="s">
        <v>74</v>
      </c>
      <c r="Q1528">
        <v>0.15</v>
      </c>
      <c r="R1528">
        <v>42.5</v>
      </c>
      <c r="S1528" t="s">
        <v>31</v>
      </c>
      <c r="T1528" t="s">
        <v>48</v>
      </c>
      <c r="U1528">
        <v>38.581600000000002</v>
      </c>
      <c r="V1528">
        <v>-121.4944</v>
      </c>
      <c r="W1528" s="2">
        <v>45503</v>
      </c>
      <c r="X1528">
        <v>2</v>
      </c>
      <c r="Y1528" t="b">
        <v>1</v>
      </c>
      <c r="Z1528" s="2">
        <v>45842</v>
      </c>
      <c r="AA1528" t="str">
        <f t="shared" si="231"/>
        <v>30–39</v>
      </c>
      <c r="AB1528" t="str">
        <f t="shared" si="232"/>
        <v>30–39</v>
      </c>
      <c r="AC1528" t="str">
        <f t="shared" si="233"/>
        <v/>
      </c>
      <c r="AD1528" t="str">
        <f t="shared" si="234"/>
        <v/>
      </c>
      <c r="AE1528" t="str">
        <f t="shared" si="235"/>
        <v/>
      </c>
      <c r="AF1528" t="str">
        <f t="shared" si="236"/>
        <v>Thursday</v>
      </c>
      <c r="AG1528" t="str">
        <f t="shared" si="237"/>
        <v/>
      </c>
      <c r="AH1528" t="str">
        <f t="shared" si="238"/>
        <v/>
      </c>
      <c r="AI1528" t="str">
        <f t="shared" si="239"/>
        <v>Sunday</v>
      </c>
      <c r="AJ1528" t="str">
        <f>LEFT(Table1[[#This Row],[membership_type]],2)&amp;TEXT(Table1[[#This Row],[age]],"00")&amp;"-"&amp;TEXT(ROW(),"000")</f>
        <v>Pr31-1528</v>
      </c>
      <c r="AK1528" t="str">
        <f>LEFT(Table1[[#This Row],[membership_type]],1)&amp;TEXT(MATCH(Table1[[#This Row],[membership_type]],Table1[membership_type],0),"00")</f>
        <v>P01</v>
      </c>
      <c r="AL1528" t="str">
        <f>LEFT(Table1[[#This Row],[discount_type]],1)&amp;TEXT(ROUND(Table1[[#This Row],[discount_rate]]*100,0),"00")</f>
        <v>S15</v>
      </c>
      <c r="AM1528" t="str" cm="1">
        <f t="array" ref="AM1528">TEXT(SUMPRODUCT(CODE(MID(Table1[[#This Row],[home_gym_location]],_xlfn.SEQUENCE(LEN(Table1[[#This Row],[home_gym_location]])),1))),"00000")</f>
        <v>01245</v>
      </c>
      <c r="AN152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28" t="str">
        <f>LEFT(_xlfn.TEXTBEFORE(Table1[[#This Row],[Location Identifier]],"-"),3) &amp; "-" &amp; _xlfn.TEXTAFTER(Table1[[#This Row],[Location Identifier]],"-")</f>
        <v>SAC-007</v>
      </c>
      <c r="AP1528" s="9">
        <f t="shared" ca="1" si="230"/>
        <v>45869</v>
      </c>
    </row>
    <row r="1529" spans="1:42" x14ac:dyDescent="0.25">
      <c r="A1529">
        <v>14</v>
      </c>
      <c r="B1529" t="s">
        <v>26</v>
      </c>
      <c r="C1529">
        <v>3</v>
      </c>
      <c r="D1529" t="s">
        <v>133</v>
      </c>
      <c r="E1529" t="b">
        <v>0</v>
      </c>
      <c r="F1529" s="1">
        <v>0.86944444444444446</v>
      </c>
      <c r="G1529" s="1">
        <v>0.91805555555555551</v>
      </c>
      <c r="H1529">
        <v>70</v>
      </c>
      <c r="I1529" t="b">
        <v>1</v>
      </c>
      <c r="J1529" t="b">
        <v>1</v>
      </c>
      <c r="K1529" t="b">
        <v>1</v>
      </c>
      <c r="L1529" t="s">
        <v>62</v>
      </c>
      <c r="M1529">
        <v>50</v>
      </c>
      <c r="N1529" t="s">
        <v>29</v>
      </c>
      <c r="O1529">
        <v>50</v>
      </c>
      <c r="P1529" t="s">
        <v>74</v>
      </c>
      <c r="Q1529">
        <v>0.15</v>
      </c>
      <c r="R1529">
        <v>42.5</v>
      </c>
      <c r="S1529" t="s">
        <v>31</v>
      </c>
      <c r="T1529" t="s">
        <v>38</v>
      </c>
      <c r="U1529">
        <v>36.7378</v>
      </c>
      <c r="V1529">
        <v>-119.7871</v>
      </c>
      <c r="W1529" s="2">
        <v>44975</v>
      </c>
      <c r="X1529">
        <v>4</v>
      </c>
      <c r="Y1529" t="b">
        <v>1</v>
      </c>
      <c r="Z1529" s="2">
        <v>45812</v>
      </c>
      <c r="AA1529" t="str">
        <f t="shared" si="231"/>
        <v>10–19</v>
      </c>
      <c r="AB1529" t="str">
        <f t="shared" si="232"/>
        <v>Under 16</v>
      </c>
      <c r="AC1529" t="str">
        <f t="shared" si="233"/>
        <v/>
      </c>
      <c r="AD1529" t="str">
        <f t="shared" si="234"/>
        <v>Tuesday</v>
      </c>
      <c r="AE1529" t="str">
        <f t="shared" si="235"/>
        <v>Wednesday</v>
      </c>
      <c r="AF1529" t="str">
        <f t="shared" si="236"/>
        <v/>
      </c>
      <c r="AG1529" t="str">
        <f t="shared" si="237"/>
        <v>Friday</v>
      </c>
      <c r="AH1529" t="str">
        <f t="shared" si="238"/>
        <v/>
      </c>
      <c r="AI1529" t="str">
        <f t="shared" si="239"/>
        <v/>
      </c>
      <c r="AJ1529" t="str">
        <f>LEFT(Table1[[#This Row],[membership_type]],2)&amp;TEXT(Table1[[#This Row],[age]],"00")&amp;"-"&amp;TEXT(ROW(),"000")</f>
        <v>Pr14-1529</v>
      </c>
      <c r="AK1529" t="str">
        <f>LEFT(Table1[[#This Row],[membership_type]],1)&amp;TEXT(MATCH(Table1[[#This Row],[membership_type]],Table1[membership_type],0),"00")</f>
        <v>P01</v>
      </c>
      <c r="AL1529" t="str">
        <f>LEFT(Table1[[#This Row],[discount_type]],1)&amp;TEXT(ROUND(Table1[[#This Row],[discount_rate]]*100,0),"00")</f>
        <v>S15</v>
      </c>
      <c r="AM1529" t="str" cm="1">
        <f t="array" ref="AM1529">TEXT(SUMPRODUCT(CODE(MID(Table1[[#This Row],[home_gym_location]],_xlfn.SEQUENCE(LEN(Table1[[#This Row],[home_gym_location]])),1))),"00000")</f>
        <v>00829</v>
      </c>
      <c r="AN1529" t="str">
        <f>UPPER(_xlfn.TEXTBEFORE(Table1[[#This Row],[home_gym_location]],","))&amp;"-"&amp;TEXT(MATCH(Table1[[#This Row],[home_gym_location]],_xlfn._xlws.SORT(_xlfn.UNIQUE(Table1[home_gym_location])),0),"000")</f>
        <v>FRESNO-003</v>
      </c>
      <c r="AO1529" t="str">
        <f>LEFT(_xlfn.TEXTBEFORE(Table1[[#This Row],[Location Identifier]],"-"),3) &amp; "-" &amp; _xlfn.TEXTAFTER(Table1[[#This Row],[Location Identifier]],"-")</f>
        <v>FRE-003</v>
      </c>
      <c r="AP1529" s="9">
        <f t="shared" ca="1" si="230"/>
        <v>45869</v>
      </c>
    </row>
    <row r="1530" spans="1:42" x14ac:dyDescent="0.25">
      <c r="A1530">
        <v>21</v>
      </c>
      <c r="B1530" t="s">
        <v>33</v>
      </c>
      <c r="C1530">
        <v>5</v>
      </c>
      <c r="D1530" t="s">
        <v>127</v>
      </c>
      <c r="E1530" t="b">
        <v>0</v>
      </c>
      <c r="F1530" s="1">
        <v>0.60347222222222219</v>
      </c>
      <c r="G1530" s="1">
        <v>0.66736111111111107</v>
      </c>
      <c r="H1530">
        <v>92</v>
      </c>
      <c r="I1530" t="b">
        <v>1</v>
      </c>
      <c r="J1530" t="b">
        <v>1</v>
      </c>
      <c r="K1530" t="b">
        <v>1</v>
      </c>
      <c r="L1530" t="s">
        <v>28</v>
      </c>
      <c r="M1530">
        <v>30</v>
      </c>
      <c r="N1530" t="s">
        <v>29</v>
      </c>
      <c r="O1530">
        <v>30</v>
      </c>
      <c r="P1530" t="s">
        <v>74</v>
      </c>
      <c r="Q1530">
        <v>0.15</v>
      </c>
      <c r="R1530">
        <v>25.5</v>
      </c>
      <c r="S1530" t="s">
        <v>37</v>
      </c>
      <c r="T1530" t="s">
        <v>48</v>
      </c>
      <c r="U1530">
        <v>38.581600000000002</v>
      </c>
      <c r="V1530">
        <v>-121.4944</v>
      </c>
      <c r="W1530" s="2">
        <v>45256</v>
      </c>
      <c r="X1530">
        <v>2</v>
      </c>
      <c r="Y1530" t="b">
        <v>0</v>
      </c>
      <c r="Z1530" s="2">
        <v>45828</v>
      </c>
      <c r="AA1530" t="str">
        <f t="shared" si="231"/>
        <v>20–29</v>
      </c>
      <c r="AB1530" t="str">
        <f t="shared" si="232"/>
        <v>20–29</v>
      </c>
      <c r="AC1530" t="str">
        <f t="shared" si="233"/>
        <v>Monday</v>
      </c>
      <c r="AD1530" t="str">
        <f t="shared" si="234"/>
        <v>Tuesday</v>
      </c>
      <c r="AE1530" t="str">
        <f t="shared" si="235"/>
        <v/>
      </c>
      <c r="AF1530" t="str">
        <f t="shared" si="236"/>
        <v/>
      </c>
      <c r="AG1530" t="str">
        <f t="shared" si="237"/>
        <v>Friday</v>
      </c>
      <c r="AH1530" t="str">
        <f t="shared" si="238"/>
        <v>Saturday</v>
      </c>
      <c r="AI1530" t="str">
        <f t="shared" si="239"/>
        <v>Sunday</v>
      </c>
      <c r="AJ1530" t="str">
        <f>LEFT(Table1[[#This Row],[membership_type]],2)&amp;TEXT(Table1[[#This Row],[age]],"00")&amp;"-"&amp;TEXT(ROW(),"000")</f>
        <v>St21-1530</v>
      </c>
      <c r="AK1530" t="str">
        <f>LEFT(Table1[[#This Row],[membership_type]],1)&amp;TEXT(MATCH(Table1[[#This Row],[membership_type]],Table1[membership_type],0),"00")</f>
        <v>S02</v>
      </c>
      <c r="AL1530" t="str">
        <f>LEFT(Table1[[#This Row],[discount_type]],1)&amp;TEXT(ROUND(Table1[[#This Row],[discount_rate]]*100,0),"00")</f>
        <v>S15</v>
      </c>
      <c r="AM1530" t="str" cm="1">
        <f t="array" ref="AM1530">TEXT(SUMPRODUCT(CODE(MID(Table1[[#This Row],[home_gym_location]],_xlfn.SEQUENCE(LEN(Table1[[#This Row],[home_gym_location]])),1))),"00000")</f>
        <v>01245</v>
      </c>
      <c r="AN153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30" t="str">
        <f>LEFT(_xlfn.TEXTBEFORE(Table1[[#This Row],[Location Identifier]],"-"),3) &amp; "-" &amp; _xlfn.TEXTAFTER(Table1[[#This Row],[Location Identifier]],"-")</f>
        <v>SAC-007</v>
      </c>
      <c r="AP1530" s="9">
        <f t="shared" ca="1" si="230"/>
        <v>45869</v>
      </c>
    </row>
    <row r="1531" spans="1:42" x14ac:dyDescent="0.25">
      <c r="A1531">
        <v>28</v>
      </c>
      <c r="B1531" t="s">
        <v>33</v>
      </c>
      <c r="C1531">
        <v>1</v>
      </c>
      <c r="D1531" t="s">
        <v>71</v>
      </c>
      <c r="E1531" t="b">
        <v>1</v>
      </c>
      <c r="F1531" s="1">
        <v>0.54722222222222228</v>
      </c>
      <c r="G1531" s="1">
        <v>0.60763888888888884</v>
      </c>
      <c r="H1531">
        <v>87</v>
      </c>
      <c r="I1531" t="b">
        <v>1</v>
      </c>
      <c r="J1531" t="b">
        <v>1</v>
      </c>
      <c r="K1531" t="b">
        <v>1</v>
      </c>
      <c r="L1531" t="s">
        <v>28</v>
      </c>
      <c r="M1531">
        <v>30</v>
      </c>
      <c r="N1531" t="s">
        <v>64</v>
      </c>
      <c r="O1531">
        <v>22.5</v>
      </c>
      <c r="P1531" t="s">
        <v>74</v>
      </c>
      <c r="Q1531">
        <v>0.15</v>
      </c>
      <c r="R1531">
        <v>19.125</v>
      </c>
      <c r="S1531" t="s">
        <v>37</v>
      </c>
      <c r="T1531" t="s">
        <v>48</v>
      </c>
      <c r="U1531">
        <v>38.581600000000002</v>
      </c>
      <c r="V1531">
        <v>-121.4944</v>
      </c>
      <c r="W1531" s="2">
        <v>45499</v>
      </c>
      <c r="X1531">
        <v>4</v>
      </c>
      <c r="Y1531" t="b">
        <v>0</v>
      </c>
      <c r="Z1531" s="2">
        <v>45842</v>
      </c>
      <c r="AA1531" t="str">
        <f t="shared" si="231"/>
        <v>20–29</v>
      </c>
      <c r="AB1531" t="str">
        <f t="shared" si="232"/>
        <v>20–29</v>
      </c>
      <c r="AC1531" t="str">
        <f t="shared" si="233"/>
        <v/>
      </c>
      <c r="AD1531" t="str">
        <f t="shared" si="234"/>
        <v>Tuesday</v>
      </c>
      <c r="AE1531" t="str">
        <f t="shared" si="235"/>
        <v/>
      </c>
      <c r="AF1531" t="str">
        <f t="shared" si="236"/>
        <v/>
      </c>
      <c r="AG1531" t="str">
        <f t="shared" si="237"/>
        <v/>
      </c>
      <c r="AH1531" t="str">
        <f t="shared" si="238"/>
        <v/>
      </c>
      <c r="AI1531" t="str">
        <f t="shared" si="239"/>
        <v/>
      </c>
      <c r="AJ1531" t="str">
        <f>LEFT(Table1[[#This Row],[membership_type]],2)&amp;TEXT(Table1[[#This Row],[age]],"00")&amp;"-"&amp;TEXT(ROW(),"000")</f>
        <v>St28-1531</v>
      </c>
      <c r="AK1531" t="str">
        <f>LEFT(Table1[[#This Row],[membership_type]],1)&amp;TEXT(MATCH(Table1[[#This Row],[membership_type]],Table1[membership_type],0),"00")</f>
        <v>S02</v>
      </c>
      <c r="AL1531" t="str">
        <f>LEFT(Table1[[#This Row],[discount_type]],1)&amp;TEXT(ROUND(Table1[[#This Row],[discount_rate]]*100,0),"00")</f>
        <v>S15</v>
      </c>
      <c r="AM1531" t="str" cm="1">
        <f t="array" ref="AM1531">TEXT(SUMPRODUCT(CODE(MID(Table1[[#This Row],[home_gym_location]],_xlfn.SEQUENCE(LEN(Table1[[#This Row],[home_gym_location]])),1))),"00000")</f>
        <v>01245</v>
      </c>
      <c r="AN153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31" t="str">
        <f>LEFT(_xlfn.TEXTBEFORE(Table1[[#This Row],[Location Identifier]],"-"),3) &amp; "-" &amp; _xlfn.TEXTAFTER(Table1[[#This Row],[Location Identifier]],"-")</f>
        <v>SAC-007</v>
      </c>
      <c r="AP1531" s="9">
        <f t="shared" ca="1" si="230"/>
        <v>45869</v>
      </c>
    </row>
    <row r="1532" spans="1:42" x14ac:dyDescent="0.25">
      <c r="A1532">
        <v>33</v>
      </c>
      <c r="B1532" t="s">
        <v>33</v>
      </c>
      <c r="C1532">
        <v>1</v>
      </c>
      <c r="D1532" t="s">
        <v>49</v>
      </c>
      <c r="E1532" t="b">
        <v>0</v>
      </c>
      <c r="F1532" s="1">
        <v>0.68680555555555556</v>
      </c>
      <c r="G1532" s="1">
        <v>0.71319444444444446</v>
      </c>
      <c r="H1532">
        <v>38</v>
      </c>
      <c r="I1532" t="b">
        <v>0</v>
      </c>
      <c r="J1532" t="b">
        <v>1</v>
      </c>
      <c r="K1532" t="b">
        <v>0</v>
      </c>
      <c r="L1532" t="s">
        <v>47</v>
      </c>
      <c r="M1532">
        <v>30</v>
      </c>
      <c r="N1532" t="s">
        <v>29</v>
      </c>
      <c r="O1532">
        <v>30</v>
      </c>
      <c r="P1532" t="s">
        <v>30</v>
      </c>
      <c r="Q1532">
        <v>0.05</v>
      </c>
      <c r="R1532">
        <v>28.5</v>
      </c>
      <c r="S1532" t="s">
        <v>37</v>
      </c>
      <c r="T1532" t="s">
        <v>65</v>
      </c>
      <c r="U1532">
        <v>33.770099999999999</v>
      </c>
      <c r="V1532">
        <v>-118.19370000000001</v>
      </c>
      <c r="W1532" s="2">
        <v>45180</v>
      </c>
      <c r="X1532">
        <v>3</v>
      </c>
      <c r="Y1532" t="b">
        <v>0</v>
      </c>
      <c r="Z1532" s="2">
        <v>45824</v>
      </c>
      <c r="AA1532" t="str">
        <f t="shared" si="231"/>
        <v>30–39</v>
      </c>
      <c r="AB1532" t="str">
        <f t="shared" si="232"/>
        <v>30–39</v>
      </c>
      <c r="AC1532" t="str">
        <f t="shared" si="233"/>
        <v/>
      </c>
      <c r="AD1532" t="str">
        <f t="shared" si="234"/>
        <v/>
      </c>
      <c r="AE1532" t="str">
        <f t="shared" si="235"/>
        <v/>
      </c>
      <c r="AF1532" t="str">
        <f t="shared" si="236"/>
        <v/>
      </c>
      <c r="AG1532" t="str">
        <f t="shared" si="237"/>
        <v/>
      </c>
      <c r="AH1532" t="str">
        <f t="shared" si="238"/>
        <v/>
      </c>
      <c r="AI1532" t="str">
        <f t="shared" si="239"/>
        <v>Sunday</v>
      </c>
      <c r="AJ1532" t="str">
        <f>LEFT(Table1[[#This Row],[membership_type]],2)&amp;TEXT(Table1[[#This Row],[age]],"00")&amp;"-"&amp;TEXT(ROW(),"000")</f>
        <v>St33-1532</v>
      </c>
      <c r="AK1532" t="str">
        <f>LEFT(Table1[[#This Row],[membership_type]],1)&amp;TEXT(MATCH(Table1[[#This Row],[membership_type]],Table1[membership_type],0),"00")</f>
        <v>S02</v>
      </c>
      <c r="AL1532" t="str">
        <f>LEFT(Table1[[#This Row],[discount_type]],1)&amp;TEXT(ROUND(Table1[[#This Row],[discount_rate]]*100,0),"00")</f>
        <v>P05</v>
      </c>
      <c r="AM1532" t="str" cm="1">
        <f t="array" ref="AM1532">TEXT(SUMPRODUCT(CODE(MID(Table1[[#This Row],[home_gym_location]],_xlfn.SEQUENCE(LEN(Table1[[#This Row],[home_gym_location]])),1))),"00000")</f>
        <v>01107</v>
      </c>
      <c r="AN153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32" t="str">
        <f>LEFT(_xlfn.TEXTBEFORE(Table1[[#This Row],[Location Identifier]],"-"),3) &amp; "-" &amp; _xlfn.TEXTAFTER(Table1[[#This Row],[Location Identifier]],"-")</f>
        <v>LON-004</v>
      </c>
      <c r="AP1532" s="9">
        <f t="shared" ca="1" si="230"/>
        <v>45869</v>
      </c>
    </row>
    <row r="1533" spans="1:42" x14ac:dyDescent="0.25">
      <c r="A1533">
        <v>29</v>
      </c>
      <c r="B1533" t="s">
        <v>33</v>
      </c>
      <c r="C1533">
        <v>3</v>
      </c>
      <c r="D1533" t="s">
        <v>91</v>
      </c>
      <c r="E1533" t="b">
        <v>1</v>
      </c>
      <c r="F1533" s="1">
        <v>0.86319444444444449</v>
      </c>
      <c r="G1533" s="1">
        <v>0.89097222222222228</v>
      </c>
      <c r="H1533">
        <v>40</v>
      </c>
      <c r="I1533" t="b">
        <v>1</v>
      </c>
      <c r="J1533" t="b">
        <v>0</v>
      </c>
      <c r="K1533" t="b">
        <v>0</v>
      </c>
      <c r="L1533" t="s">
        <v>58</v>
      </c>
      <c r="M1533">
        <v>30</v>
      </c>
      <c r="N1533" t="s">
        <v>78</v>
      </c>
      <c r="O1533">
        <v>27</v>
      </c>
      <c r="P1533" t="s">
        <v>36</v>
      </c>
      <c r="Q1533">
        <v>0</v>
      </c>
      <c r="R1533">
        <v>27</v>
      </c>
      <c r="S1533" t="s">
        <v>37</v>
      </c>
      <c r="T1533" t="s">
        <v>59</v>
      </c>
      <c r="U1533">
        <v>37.774900000000002</v>
      </c>
      <c r="V1533">
        <v>-122.4194</v>
      </c>
      <c r="W1533" s="2">
        <v>45068</v>
      </c>
      <c r="X1533">
        <v>0</v>
      </c>
      <c r="Y1533" t="b">
        <v>1</v>
      </c>
      <c r="Z1533" s="2">
        <v>45818</v>
      </c>
      <c r="AA1533" t="str">
        <f t="shared" si="231"/>
        <v>20–29</v>
      </c>
      <c r="AB1533" t="str">
        <f t="shared" si="232"/>
        <v>20–29</v>
      </c>
      <c r="AC1533" t="str">
        <f t="shared" si="233"/>
        <v>Monday</v>
      </c>
      <c r="AD1533" t="str">
        <f t="shared" si="234"/>
        <v/>
      </c>
      <c r="AE1533" t="str">
        <f t="shared" si="235"/>
        <v/>
      </c>
      <c r="AF1533" t="str">
        <f t="shared" si="236"/>
        <v>Thursday</v>
      </c>
      <c r="AG1533" t="str">
        <f t="shared" si="237"/>
        <v/>
      </c>
      <c r="AH1533" t="str">
        <f t="shared" si="238"/>
        <v>Saturday</v>
      </c>
      <c r="AI1533" t="str">
        <f t="shared" si="239"/>
        <v/>
      </c>
      <c r="AJ1533" t="str">
        <f>LEFT(Table1[[#This Row],[membership_type]],2)&amp;TEXT(Table1[[#This Row],[age]],"00")&amp;"-"&amp;TEXT(ROW(),"000")</f>
        <v>St29-1533</v>
      </c>
      <c r="AK1533" t="str">
        <f>LEFT(Table1[[#This Row],[membership_type]],1)&amp;TEXT(MATCH(Table1[[#This Row],[membership_type]],Table1[membership_type],0),"00")</f>
        <v>S02</v>
      </c>
      <c r="AL1533" t="str">
        <f>LEFT(Table1[[#This Row],[discount_type]],1)&amp;TEXT(ROUND(Table1[[#This Row],[discount_rate]]*100,0),"00")</f>
        <v>N00</v>
      </c>
      <c r="AM1533" t="str" cm="1">
        <f t="array" ref="AM1533">TEXT(SUMPRODUCT(CODE(MID(Table1[[#This Row],[home_gym_location]],_xlfn.SEQUENCE(LEN(Table1[[#This Row],[home_gym_location]])),1))),"00000")</f>
        <v>01450</v>
      </c>
      <c r="AN153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33" t="str">
        <f>LEFT(_xlfn.TEXTBEFORE(Table1[[#This Row],[Location Identifier]],"-"),3) &amp; "-" &amp; _xlfn.TEXTAFTER(Table1[[#This Row],[Location Identifier]],"-")</f>
        <v>SAN-009</v>
      </c>
      <c r="AP1533" s="9">
        <f t="shared" ca="1" si="230"/>
        <v>45869</v>
      </c>
    </row>
    <row r="1534" spans="1:42" x14ac:dyDescent="0.25">
      <c r="A1534">
        <v>37</v>
      </c>
      <c r="B1534" t="s">
        <v>42</v>
      </c>
      <c r="C1534">
        <v>1</v>
      </c>
      <c r="D1534" t="s">
        <v>63</v>
      </c>
      <c r="E1534" t="b">
        <v>1</v>
      </c>
      <c r="F1534" s="1">
        <v>0.38194444444444442</v>
      </c>
      <c r="G1534" s="1">
        <v>0.4375</v>
      </c>
      <c r="H1534">
        <v>80</v>
      </c>
      <c r="I1534" t="b">
        <v>1</v>
      </c>
      <c r="J1534" t="b">
        <v>0</v>
      </c>
      <c r="K1534" t="b">
        <v>0</v>
      </c>
      <c r="L1534" t="s">
        <v>58</v>
      </c>
      <c r="M1534">
        <v>20</v>
      </c>
      <c r="N1534" t="s">
        <v>29</v>
      </c>
      <c r="O1534">
        <v>20</v>
      </c>
      <c r="P1534" t="s">
        <v>30</v>
      </c>
      <c r="Q1534">
        <v>0.05</v>
      </c>
      <c r="R1534">
        <v>19</v>
      </c>
      <c r="S1534" t="s">
        <v>44</v>
      </c>
      <c r="T1534" t="s">
        <v>56</v>
      </c>
      <c r="U1534">
        <v>35.3733</v>
      </c>
      <c r="V1534">
        <v>-119.0187</v>
      </c>
      <c r="W1534" s="2">
        <v>45540</v>
      </c>
      <c r="X1534">
        <v>0</v>
      </c>
      <c r="Y1534" t="b">
        <v>0</v>
      </c>
      <c r="Z1534" s="2">
        <v>45844</v>
      </c>
      <c r="AA1534" t="str">
        <f t="shared" si="231"/>
        <v>30–39</v>
      </c>
      <c r="AB1534" t="str">
        <f t="shared" si="232"/>
        <v>30–39</v>
      </c>
      <c r="AC1534" t="str">
        <f t="shared" si="233"/>
        <v/>
      </c>
      <c r="AD1534" t="str">
        <f t="shared" si="234"/>
        <v/>
      </c>
      <c r="AE1534" t="str">
        <f t="shared" si="235"/>
        <v>Wednesday</v>
      </c>
      <c r="AF1534" t="str">
        <f t="shared" si="236"/>
        <v/>
      </c>
      <c r="AG1534" t="str">
        <f t="shared" si="237"/>
        <v/>
      </c>
      <c r="AH1534" t="str">
        <f t="shared" si="238"/>
        <v/>
      </c>
      <c r="AI1534" t="str">
        <f t="shared" si="239"/>
        <v/>
      </c>
      <c r="AJ1534" t="str">
        <f>LEFT(Table1[[#This Row],[membership_type]],2)&amp;TEXT(Table1[[#This Row],[age]],"00")&amp;"-"&amp;TEXT(ROW(),"000")</f>
        <v>Ba37-1534</v>
      </c>
      <c r="AK1534" t="str">
        <f>LEFT(Table1[[#This Row],[membership_type]],1)&amp;TEXT(MATCH(Table1[[#This Row],[membership_type]],Table1[membership_type],0),"00")</f>
        <v>B04</v>
      </c>
      <c r="AL1534" t="str">
        <f>LEFT(Table1[[#This Row],[discount_type]],1)&amp;TEXT(ROUND(Table1[[#This Row],[discount_rate]]*100,0),"00")</f>
        <v>P05</v>
      </c>
      <c r="AM1534" t="str" cm="1">
        <f t="array" ref="AM1534">TEXT(SUMPRODUCT(CODE(MID(Table1[[#This Row],[home_gym_location]],_xlfn.SEQUENCE(LEN(Table1[[#This Row],[home_gym_location]])),1))),"00000")</f>
        <v>01324</v>
      </c>
      <c r="AN153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34" t="str">
        <f>LEFT(_xlfn.TEXTBEFORE(Table1[[#This Row],[Location Identifier]],"-"),3) &amp; "-" &amp; _xlfn.TEXTAFTER(Table1[[#This Row],[Location Identifier]],"-")</f>
        <v>BAK-002</v>
      </c>
      <c r="AP1534" s="9">
        <f t="shared" ca="1" si="230"/>
        <v>45869</v>
      </c>
    </row>
    <row r="1535" spans="1:42" x14ac:dyDescent="0.25">
      <c r="A1535">
        <v>13</v>
      </c>
      <c r="B1535" t="s">
        <v>33</v>
      </c>
      <c r="C1535">
        <v>1</v>
      </c>
      <c r="D1535" t="s">
        <v>67</v>
      </c>
      <c r="E1535" t="b">
        <v>0</v>
      </c>
      <c r="F1535" s="1">
        <v>0.43055555555555558</v>
      </c>
      <c r="G1535" s="1">
        <v>0.45624999999999999</v>
      </c>
      <c r="H1535">
        <v>37</v>
      </c>
      <c r="I1535" t="b">
        <v>1</v>
      </c>
      <c r="J1535" t="b">
        <v>0</v>
      </c>
      <c r="K1535" t="b">
        <v>1</v>
      </c>
      <c r="L1535" t="s">
        <v>28</v>
      </c>
      <c r="M1535">
        <v>30</v>
      </c>
      <c r="N1535" t="s">
        <v>64</v>
      </c>
      <c r="O1535">
        <v>22.5</v>
      </c>
      <c r="P1535" t="s">
        <v>36</v>
      </c>
      <c r="Q1535">
        <v>0</v>
      </c>
      <c r="R1535">
        <v>22.5</v>
      </c>
      <c r="S1535" t="s">
        <v>37</v>
      </c>
      <c r="T1535" t="s">
        <v>45</v>
      </c>
      <c r="U1535">
        <v>33.836599999999997</v>
      </c>
      <c r="V1535">
        <v>-117.9143</v>
      </c>
      <c r="W1535" s="2">
        <v>45390</v>
      </c>
      <c r="X1535">
        <v>0</v>
      </c>
      <c r="Y1535" t="b">
        <v>0</v>
      </c>
      <c r="Z1535" s="2">
        <v>45836</v>
      </c>
      <c r="AA1535" t="str">
        <f t="shared" si="231"/>
        <v>10–19</v>
      </c>
      <c r="AB1535" t="str">
        <f t="shared" si="232"/>
        <v>Under 16</v>
      </c>
      <c r="AC1535" t="str">
        <f t="shared" si="233"/>
        <v/>
      </c>
      <c r="AD1535" t="str">
        <f t="shared" si="234"/>
        <v/>
      </c>
      <c r="AE1535" t="str">
        <f t="shared" si="235"/>
        <v/>
      </c>
      <c r="AF1535" t="str">
        <f t="shared" si="236"/>
        <v>Thursday</v>
      </c>
      <c r="AG1535" t="str">
        <f t="shared" si="237"/>
        <v/>
      </c>
      <c r="AH1535" t="str">
        <f t="shared" si="238"/>
        <v/>
      </c>
      <c r="AI1535" t="str">
        <f t="shared" si="239"/>
        <v/>
      </c>
      <c r="AJ1535" t="str">
        <f>LEFT(Table1[[#This Row],[membership_type]],2)&amp;TEXT(Table1[[#This Row],[age]],"00")&amp;"-"&amp;TEXT(ROW(),"000")</f>
        <v>St13-1535</v>
      </c>
      <c r="AK1535" t="str">
        <f>LEFT(Table1[[#This Row],[membership_type]],1)&amp;TEXT(MATCH(Table1[[#This Row],[membership_type]],Table1[membership_type],0),"00")</f>
        <v>S02</v>
      </c>
      <c r="AL1535" t="str">
        <f>LEFT(Table1[[#This Row],[discount_type]],1)&amp;TEXT(ROUND(Table1[[#This Row],[discount_rate]]*100,0),"00")</f>
        <v>N00</v>
      </c>
      <c r="AM1535" t="str" cm="1">
        <f t="array" ref="AM1535">TEXT(SUMPRODUCT(CODE(MID(Table1[[#This Row],[home_gym_location]],_xlfn.SEQUENCE(LEN(Table1[[#This Row],[home_gym_location]])),1))),"00000")</f>
        <v>00899</v>
      </c>
      <c r="AN15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35" t="str">
        <f>LEFT(_xlfn.TEXTBEFORE(Table1[[#This Row],[Location Identifier]],"-"),3) &amp; "-" &amp; _xlfn.TEXTAFTER(Table1[[#This Row],[Location Identifier]],"-")</f>
        <v>ANA-001</v>
      </c>
      <c r="AP1535" s="9">
        <f t="shared" ca="1" si="230"/>
        <v>45869</v>
      </c>
    </row>
    <row r="1536" spans="1:42" x14ac:dyDescent="0.25">
      <c r="A1536">
        <v>49</v>
      </c>
      <c r="B1536" t="s">
        <v>33</v>
      </c>
      <c r="C1536">
        <v>3</v>
      </c>
      <c r="D1536" t="s">
        <v>80</v>
      </c>
      <c r="E1536" t="b">
        <v>0</v>
      </c>
      <c r="F1536" s="1">
        <v>0.64236111111111116</v>
      </c>
      <c r="G1536" s="1">
        <v>0.75347222222222221</v>
      </c>
      <c r="H1536">
        <v>160</v>
      </c>
      <c r="I1536" t="b">
        <v>1</v>
      </c>
      <c r="J1536" t="b">
        <v>0</v>
      </c>
      <c r="K1536" t="b">
        <v>1</v>
      </c>
      <c r="L1536" t="s">
        <v>62</v>
      </c>
      <c r="M1536">
        <v>30</v>
      </c>
      <c r="N1536" t="s">
        <v>29</v>
      </c>
      <c r="O1536">
        <v>30</v>
      </c>
      <c r="P1536" t="s">
        <v>40</v>
      </c>
      <c r="Q1536">
        <v>0.1</v>
      </c>
      <c r="R1536">
        <v>27</v>
      </c>
      <c r="S1536" t="s">
        <v>37</v>
      </c>
      <c r="T1536" t="s">
        <v>50</v>
      </c>
      <c r="U1536">
        <v>34.052199999999999</v>
      </c>
      <c r="V1536">
        <v>-118.2437</v>
      </c>
      <c r="W1536" s="2">
        <v>45701</v>
      </c>
      <c r="X1536">
        <v>0</v>
      </c>
      <c r="Y1536" t="b">
        <v>0</v>
      </c>
      <c r="Z1536" s="2">
        <v>45853</v>
      </c>
      <c r="AA1536" t="str">
        <f t="shared" si="231"/>
        <v>40–49</v>
      </c>
      <c r="AB1536" t="str">
        <f t="shared" si="232"/>
        <v>40–49</v>
      </c>
      <c r="AC1536" t="str">
        <f t="shared" si="233"/>
        <v>Monday</v>
      </c>
      <c r="AD1536" t="str">
        <f t="shared" si="234"/>
        <v/>
      </c>
      <c r="AE1536" t="str">
        <f t="shared" si="235"/>
        <v/>
      </c>
      <c r="AF1536" t="str">
        <f t="shared" si="236"/>
        <v/>
      </c>
      <c r="AG1536" t="str">
        <f t="shared" si="237"/>
        <v/>
      </c>
      <c r="AH1536" t="str">
        <f t="shared" si="238"/>
        <v>Saturday</v>
      </c>
      <c r="AI1536" t="str">
        <f t="shared" si="239"/>
        <v>Sunday</v>
      </c>
      <c r="AJ1536" t="str">
        <f>LEFT(Table1[[#This Row],[membership_type]],2)&amp;TEXT(Table1[[#This Row],[age]],"00")&amp;"-"&amp;TEXT(ROW(),"000")</f>
        <v>St49-1536</v>
      </c>
      <c r="AK1536" t="str">
        <f>LEFT(Table1[[#This Row],[membership_type]],1)&amp;TEXT(MATCH(Table1[[#This Row],[membership_type]],Table1[membership_type],0),"00")</f>
        <v>S02</v>
      </c>
      <c r="AL1536" t="str">
        <f>LEFT(Table1[[#This Row],[discount_type]],1)&amp;TEXT(ROUND(Table1[[#This Row],[discount_rate]]*100,0),"00")</f>
        <v>L10</v>
      </c>
      <c r="AM1536" t="str" cm="1">
        <f t="array" ref="AM1536">TEXT(SUMPRODUCT(CODE(MID(Table1[[#This Row],[home_gym_location]],_xlfn.SEQUENCE(LEN(Table1[[#This Row],[home_gym_location]])),1))),"00000")</f>
        <v>01245</v>
      </c>
      <c r="AN153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36" t="str">
        <f>LEFT(_xlfn.TEXTBEFORE(Table1[[#This Row],[Location Identifier]],"-"),3) &amp; "-" &amp; _xlfn.TEXTAFTER(Table1[[#This Row],[Location Identifier]],"-")</f>
        <v>LOS-005</v>
      </c>
      <c r="AP1536" s="9">
        <f t="shared" ca="1" si="230"/>
        <v>45869</v>
      </c>
    </row>
    <row r="1537" spans="1:42" x14ac:dyDescent="0.25">
      <c r="A1537">
        <v>19</v>
      </c>
      <c r="B1537" t="s">
        <v>26</v>
      </c>
      <c r="C1537">
        <v>5</v>
      </c>
      <c r="D1537" t="s">
        <v>118</v>
      </c>
      <c r="E1537" t="b">
        <v>1</v>
      </c>
      <c r="F1537" s="1">
        <v>0.45416666666666666</v>
      </c>
      <c r="G1537" s="1">
        <v>0.55347222222222225</v>
      </c>
      <c r="H1537">
        <v>143</v>
      </c>
      <c r="I1537" t="b">
        <v>1</v>
      </c>
      <c r="J1537" t="b">
        <v>1</v>
      </c>
      <c r="K1537" t="b">
        <v>0</v>
      </c>
      <c r="L1537" t="s">
        <v>62</v>
      </c>
      <c r="M1537">
        <v>50</v>
      </c>
      <c r="N1537" t="s">
        <v>29</v>
      </c>
      <c r="O1537">
        <v>50</v>
      </c>
      <c r="P1537" t="s">
        <v>30</v>
      </c>
      <c r="Q1537">
        <v>0.05</v>
      </c>
      <c r="R1537">
        <v>47.5</v>
      </c>
      <c r="S1537" t="s">
        <v>31</v>
      </c>
      <c r="T1537" t="s">
        <v>65</v>
      </c>
      <c r="U1537">
        <v>33.770099999999999</v>
      </c>
      <c r="V1537">
        <v>-118.19370000000001</v>
      </c>
      <c r="W1537" s="2">
        <v>45638</v>
      </c>
      <c r="X1537">
        <v>3</v>
      </c>
      <c r="Y1537" t="b">
        <v>1</v>
      </c>
      <c r="Z1537" s="2">
        <v>45850</v>
      </c>
      <c r="AA1537" t="str">
        <f t="shared" si="231"/>
        <v>10–19</v>
      </c>
      <c r="AB1537" t="str">
        <f t="shared" si="232"/>
        <v>16–19</v>
      </c>
      <c r="AC1537" t="str">
        <f t="shared" si="233"/>
        <v>Monday</v>
      </c>
      <c r="AD1537" t="str">
        <f t="shared" si="234"/>
        <v/>
      </c>
      <c r="AE1537" t="str">
        <f t="shared" si="235"/>
        <v>Wednesday</v>
      </c>
      <c r="AF1537" t="str">
        <f t="shared" si="236"/>
        <v>Thursday</v>
      </c>
      <c r="AG1537" t="str">
        <f t="shared" si="237"/>
        <v>Friday</v>
      </c>
      <c r="AH1537" t="str">
        <f t="shared" si="238"/>
        <v>Saturday</v>
      </c>
      <c r="AI1537" t="str">
        <f t="shared" si="239"/>
        <v/>
      </c>
      <c r="AJ1537" t="str">
        <f>LEFT(Table1[[#This Row],[membership_type]],2)&amp;TEXT(Table1[[#This Row],[age]],"00")&amp;"-"&amp;TEXT(ROW(),"000")</f>
        <v>Pr19-1537</v>
      </c>
      <c r="AK1537" t="str">
        <f>LEFT(Table1[[#This Row],[membership_type]],1)&amp;TEXT(MATCH(Table1[[#This Row],[membership_type]],Table1[membership_type],0),"00")</f>
        <v>P01</v>
      </c>
      <c r="AL1537" t="str">
        <f>LEFT(Table1[[#This Row],[discount_type]],1)&amp;TEXT(ROUND(Table1[[#This Row],[discount_rate]]*100,0),"00")</f>
        <v>P05</v>
      </c>
      <c r="AM1537" t="str" cm="1">
        <f t="array" ref="AM1537">TEXT(SUMPRODUCT(CODE(MID(Table1[[#This Row],[home_gym_location]],_xlfn.SEQUENCE(LEN(Table1[[#This Row],[home_gym_location]])),1))),"00000")</f>
        <v>01107</v>
      </c>
      <c r="AN153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37" t="str">
        <f>LEFT(_xlfn.TEXTBEFORE(Table1[[#This Row],[Location Identifier]],"-"),3) &amp; "-" &amp; _xlfn.TEXTAFTER(Table1[[#This Row],[Location Identifier]],"-")</f>
        <v>LON-004</v>
      </c>
      <c r="AP1537" s="9">
        <f t="shared" ca="1" si="230"/>
        <v>45869</v>
      </c>
    </row>
    <row r="1538" spans="1:42" x14ac:dyDescent="0.25">
      <c r="A1538">
        <v>13</v>
      </c>
      <c r="B1538" t="s">
        <v>26</v>
      </c>
      <c r="C1538">
        <v>4</v>
      </c>
      <c r="D1538" t="s">
        <v>85</v>
      </c>
      <c r="E1538" t="b">
        <v>0</v>
      </c>
      <c r="F1538" s="1">
        <v>0.61597222222222225</v>
      </c>
      <c r="G1538" s="1">
        <v>0.63958333333333328</v>
      </c>
      <c r="H1538">
        <v>34</v>
      </c>
      <c r="I1538" t="b">
        <v>0</v>
      </c>
      <c r="J1538" t="b">
        <v>0</v>
      </c>
      <c r="K1538" t="b">
        <v>0</v>
      </c>
      <c r="L1538" t="s">
        <v>28</v>
      </c>
      <c r="M1538">
        <v>50</v>
      </c>
      <c r="N1538" t="s">
        <v>64</v>
      </c>
      <c r="O1538">
        <v>37.5</v>
      </c>
      <c r="P1538" t="s">
        <v>74</v>
      </c>
      <c r="Q1538">
        <v>0.15</v>
      </c>
      <c r="R1538">
        <v>31.875</v>
      </c>
      <c r="S1538" t="s">
        <v>31</v>
      </c>
      <c r="T1538" t="s">
        <v>41</v>
      </c>
      <c r="U1538">
        <v>37.804400000000001</v>
      </c>
      <c r="V1538">
        <v>-122.27119999999999</v>
      </c>
      <c r="W1538" s="2">
        <v>45105</v>
      </c>
      <c r="X1538">
        <v>0</v>
      </c>
      <c r="Y1538" t="b">
        <v>1</v>
      </c>
      <c r="Z1538" s="2">
        <v>45820</v>
      </c>
      <c r="AA1538" t="str">
        <f t="shared" si="231"/>
        <v>10–19</v>
      </c>
      <c r="AB1538" t="str">
        <f t="shared" si="232"/>
        <v>Under 16</v>
      </c>
      <c r="AC1538" t="str">
        <f t="shared" si="233"/>
        <v/>
      </c>
      <c r="AD1538" t="str">
        <f t="shared" si="234"/>
        <v>Tuesday</v>
      </c>
      <c r="AE1538" t="str">
        <f t="shared" si="235"/>
        <v/>
      </c>
      <c r="AF1538" t="str">
        <f t="shared" si="236"/>
        <v>Thursday</v>
      </c>
      <c r="AG1538" t="str">
        <f t="shared" si="237"/>
        <v/>
      </c>
      <c r="AH1538" t="str">
        <f t="shared" si="238"/>
        <v>Saturday</v>
      </c>
      <c r="AI1538" t="str">
        <f t="shared" si="239"/>
        <v>Sunday</v>
      </c>
      <c r="AJ1538" t="str">
        <f>LEFT(Table1[[#This Row],[membership_type]],2)&amp;TEXT(Table1[[#This Row],[age]],"00")&amp;"-"&amp;TEXT(ROW(),"000")</f>
        <v>Pr13-1538</v>
      </c>
      <c r="AK1538" t="str">
        <f>LEFT(Table1[[#This Row],[membership_type]],1)&amp;TEXT(MATCH(Table1[[#This Row],[membership_type]],Table1[membership_type],0),"00")</f>
        <v>P01</v>
      </c>
      <c r="AL1538" t="str">
        <f>LEFT(Table1[[#This Row],[discount_type]],1)&amp;TEXT(ROUND(Table1[[#This Row],[discount_rate]]*100,0),"00")</f>
        <v>S15</v>
      </c>
      <c r="AM1538" t="str" cm="1">
        <f t="array" ref="AM1538">TEXT(SUMPRODUCT(CODE(MID(Table1[[#This Row],[home_gym_location]],_xlfn.SEQUENCE(LEN(Table1[[#This Row],[home_gym_location]])),1))),"00000")</f>
        <v>00906</v>
      </c>
      <c r="AN153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38" t="str">
        <f>LEFT(_xlfn.TEXTBEFORE(Table1[[#This Row],[Location Identifier]],"-"),3) &amp; "-" &amp; _xlfn.TEXTAFTER(Table1[[#This Row],[Location Identifier]],"-")</f>
        <v>OAK-006</v>
      </c>
      <c r="AP1538" s="9">
        <f t="shared" ref="AP1538:AP1601" ca="1" si="240">EOMONTH(DATE(YEAR(TODAY()),7,1),0)</f>
        <v>45869</v>
      </c>
    </row>
    <row r="1539" spans="1:42" x14ac:dyDescent="0.25">
      <c r="A1539">
        <v>38</v>
      </c>
      <c r="B1539" t="s">
        <v>26</v>
      </c>
      <c r="C1539">
        <v>4</v>
      </c>
      <c r="D1539" t="s">
        <v>52</v>
      </c>
      <c r="E1539" t="b">
        <v>1</v>
      </c>
      <c r="F1539" s="1">
        <v>0.53472222222222221</v>
      </c>
      <c r="G1539" s="1">
        <v>0.59652777777777777</v>
      </c>
      <c r="H1539">
        <v>89</v>
      </c>
      <c r="I1539" t="b">
        <v>0</v>
      </c>
      <c r="J1539" t="b">
        <v>0</v>
      </c>
      <c r="K1539" t="b">
        <v>1</v>
      </c>
      <c r="L1539" t="s">
        <v>62</v>
      </c>
      <c r="M1539">
        <v>50</v>
      </c>
      <c r="N1539" t="s">
        <v>29</v>
      </c>
      <c r="O1539">
        <v>50</v>
      </c>
      <c r="P1539" t="s">
        <v>36</v>
      </c>
      <c r="Q1539">
        <v>0</v>
      </c>
      <c r="R1539">
        <v>50</v>
      </c>
      <c r="S1539" t="s">
        <v>31</v>
      </c>
      <c r="T1539" t="s">
        <v>50</v>
      </c>
      <c r="U1539">
        <v>34.052199999999999</v>
      </c>
      <c r="V1539">
        <v>-118.2437</v>
      </c>
      <c r="W1539" s="2">
        <v>45637</v>
      </c>
      <c r="X1539">
        <v>0</v>
      </c>
      <c r="Y1539" t="b">
        <v>1</v>
      </c>
      <c r="Z1539" s="2">
        <v>45850</v>
      </c>
      <c r="AA1539" t="str">
        <f t="shared" ref="AA1539:AA1602" si="241">TEXT(10*INT($A1539/10),"0")&amp;"–"&amp;TEXT(10*INT($A1539/10)+9,"0")</f>
        <v>30–39</v>
      </c>
      <c r="AB1539" t="str">
        <f t="shared" ref="AB1539:AB1602" si="242">IF(AND($AA1539 = "10–19", $A1539 &lt; 16), "Under 16", IF(AND($AA1539 = "10–19", $A1539 &gt;= 16), "16–19", $AA1539))</f>
        <v>30–39</v>
      </c>
      <c r="AC1539" t="str">
        <f t="shared" ref="AC1539:AC1602" si="243">IF(ISNUMBER(SEARCH("Mon", $D1539)), "Monday", "")</f>
        <v>Monday</v>
      </c>
      <c r="AD1539" t="str">
        <f t="shared" ref="AD1539:AD1602" si="244">IF(ISNUMBER(SEARCH("Tue", $D1539)), "Tuesday", "")</f>
        <v/>
      </c>
      <c r="AE1539" t="str">
        <f t="shared" ref="AE1539:AE1602" si="245">IF(ISNUMBER(SEARCH("Wed", $D1539)), "Wednesday", "")</f>
        <v/>
      </c>
      <c r="AF1539" t="str">
        <f t="shared" ref="AF1539:AF1602" si="246">IF(ISNUMBER(SEARCH("Thu", $D1539)), "Thursday", "")</f>
        <v>Thursday</v>
      </c>
      <c r="AG1539" t="str">
        <f t="shared" ref="AG1539:AG1602" si="247">IF(ISNUMBER(SEARCH("Fri", $D1539)), "Friday", "")</f>
        <v>Friday</v>
      </c>
      <c r="AH1539" t="str">
        <f t="shared" ref="AH1539:AH1602" si="248">IF(ISNUMBER(SEARCH("Sat", $D1539)), "Saturday", "")</f>
        <v/>
      </c>
      <c r="AI1539" t="str">
        <f t="shared" ref="AI1539:AI1602" si="249">IF(ISNUMBER(SEARCH("Sun", $D1539)), "Sunday", "")</f>
        <v>Sunday</v>
      </c>
      <c r="AJ1539" t="str">
        <f>LEFT(Table1[[#This Row],[membership_type]],2)&amp;TEXT(Table1[[#This Row],[age]],"00")&amp;"-"&amp;TEXT(ROW(),"000")</f>
        <v>Pr38-1539</v>
      </c>
      <c r="AK1539" t="str">
        <f>LEFT(Table1[[#This Row],[membership_type]],1)&amp;TEXT(MATCH(Table1[[#This Row],[membership_type]],Table1[membership_type],0),"00")</f>
        <v>P01</v>
      </c>
      <c r="AL1539" t="str">
        <f>LEFT(Table1[[#This Row],[discount_type]],1)&amp;TEXT(ROUND(Table1[[#This Row],[discount_rate]]*100,0),"00")</f>
        <v>N00</v>
      </c>
      <c r="AM1539" t="str" cm="1">
        <f t="array" ref="AM1539">TEXT(SUMPRODUCT(CODE(MID(Table1[[#This Row],[home_gym_location]],_xlfn.SEQUENCE(LEN(Table1[[#This Row],[home_gym_location]])),1))),"00000")</f>
        <v>01245</v>
      </c>
      <c r="AN153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39" t="str">
        <f>LEFT(_xlfn.TEXTBEFORE(Table1[[#This Row],[Location Identifier]],"-"),3) &amp; "-" &amp; _xlfn.TEXTAFTER(Table1[[#This Row],[Location Identifier]],"-")</f>
        <v>LOS-005</v>
      </c>
      <c r="AP1539" s="9">
        <f t="shared" ca="1" si="240"/>
        <v>45869</v>
      </c>
    </row>
    <row r="1540" spans="1:42" x14ac:dyDescent="0.25">
      <c r="A1540">
        <v>30</v>
      </c>
      <c r="B1540" t="s">
        <v>33</v>
      </c>
      <c r="C1540">
        <v>4</v>
      </c>
      <c r="D1540" t="s">
        <v>99</v>
      </c>
      <c r="E1540" t="b">
        <v>1</v>
      </c>
      <c r="F1540" s="1">
        <v>0.6020833333333333</v>
      </c>
      <c r="G1540" s="1">
        <v>0.67291666666666672</v>
      </c>
      <c r="H1540">
        <v>102</v>
      </c>
      <c r="I1540" t="b">
        <v>0</v>
      </c>
      <c r="J1540" t="b">
        <v>1</v>
      </c>
      <c r="K1540" t="b">
        <v>0</v>
      </c>
      <c r="L1540" t="s">
        <v>35</v>
      </c>
      <c r="M1540">
        <v>30</v>
      </c>
      <c r="N1540" t="s">
        <v>29</v>
      </c>
      <c r="O1540">
        <v>30</v>
      </c>
      <c r="P1540" t="s">
        <v>40</v>
      </c>
      <c r="Q1540">
        <v>0.1</v>
      </c>
      <c r="R1540">
        <v>27</v>
      </c>
      <c r="S1540" t="s">
        <v>37</v>
      </c>
      <c r="T1540" t="s">
        <v>54</v>
      </c>
      <c r="U1540">
        <v>32.715699999999998</v>
      </c>
      <c r="V1540">
        <v>-117.1611</v>
      </c>
      <c r="W1540" s="2">
        <v>45271</v>
      </c>
      <c r="X1540">
        <v>7</v>
      </c>
      <c r="Y1540" t="b">
        <v>0</v>
      </c>
      <c r="Z1540" s="2">
        <v>45829</v>
      </c>
      <c r="AA1540" t="str">
        <f t="shared" si="241"/>
        <v>30–39</v>
      </c>
      <c r="AB1540" t="str">
        <f t="shared" si="242"/>
        <v>30–39</v>
      </c>
      <c r="AC1540" t="str">
        <f t="shared" si="243"/>
        <v/>
      </c>
      <c r="AD1540" t="str">
        <f t="shared" si="244"/>
        <v/>
      </c>
      <c r="AE1540" t="str">
        <f t="shared" si="245"/>
        <v>Wednesday</v>
      </c>
      <c r="AF1540" t="str">
        <f t="shared" si="246"/>
        <v/>
      </c>
      <c r="AG1540" t="str">
        <f t="shared" si="247"/>
        <v>Friday</v>
      </c>
      <c r="AH1540" t="str">
        <f t="shared" si="248"/>
        <v>Saturday</v>
      </c>
      <c r="AI1540" t="str">
        <f t="shared" si="249"/>
        <v>Sunday</v>
      </c>
      <c r="AJ1540" t="str">
        <f>LEFT(Table1[[#This Row],[membership_type]],2)&amp;TEXT(Table1[[#This Row],[age]],"00")&amp;"-"&amp;TEXT(ROW(),"000")</f>
        <v>St30-1540</v>
      </c>
      <c r="AK1540" t="str">
        <f>LEFT(Table1[[#This Row],[membership_type]],1)&amp;TEXT(MATCH(Table1[[#This Row],[membership_type]],Table1[membership_type],0),"00")</f>
        <v>S02</v>
      </c>
      <c r="AL1540" t="str">
        <f>LEFT(Table1[[#This Row],[discount_type]],1)&amp;TEXT(ROUND(Table1[[#This Row],[discount_rate]]*100,0),"00")</f>
        <v>L10</v>
      </c>
      <c r="AM1540" t="str" cm="1">
        <f t="array" ref="AM1540">TEXT(SUMPRODUCT(CODE(MID(Table1[[#This Row],[home_gym_location]],_xlfn.SEQUENCE(LEN(Table1[[#This Row],[home_gym_location]])),1))),"00000")</f>
        <v>01018</v>
      </c>
      <c r="AN154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40" t="str">
        <f>LEFT(_xlfn.TEXTBEFORE(Table1[[#This Row],[Location Identifier]],"-"),3) &amp; "-" &amp; _xlfn.TEXTAFTER(Table1[[#This Row],[Location Identifier]],"-")</f>
        <v>SAN-008</v>
      </c>
      <c r="AP1540" s="9">
        <f t="shared" ca="1" si="240"/>
        <v>45869</v>
      </c>
    </row>
    <row r="1541" spans="1:42" x14ac:dyDescent="0.25">
      <c r="A1541">
        <v>48</v>
      </c>
      <c r="B1541" t="s">
        <v>26</v>
      </c>
      <c r="C1541">
        <v>3</v>
      </c>
      <c r="D1541" t="s">
        <v>89</v>
      </c>
      <c r="E1541" t="b">
        <v>0</v>
      </c>
      <c r="F1541" s="1">
        <v>0.82222222222222219</v>
      </c>
      <c r="G1541" s="1">
        <v>0.86875000000000002</v>
      </c>
      <c r="H1541">
        <v>67</v>
      </c>
      <c r="I1541" t="b">
        <v>1</v>
      </c>
      <c r="J1541" t="b">
        <v>0</v>
      </c>
      <c r="K1541" t="b">
        <v>0</v>
      </c>
      <c r="L1541" t="s">
        <v>62</v>
      </c>
      <c r="M1541">
        <v>50</v>
      </c>
      <c r="N1541" t="s">
        <v>29</v>
      </c>
      <c r="O1541">
        <v>50</v>
      </c>
      <c r="P1541" t="s">
        <v>40</v>
      </c>
      <c r="Q1541">
        <v>0.1</v>
      </c>
      <c r="R1541">
        <v>45</v>
      </c>
      <c r="S1541" t="s">
        <v>31</v>
      </c>
      <c r="T1541" t="s">
        <v>41</v>
      </c>
      <c r="U1541">
        <v>37.804400000000001</v>
      </c>
      <c r="V1541">
        <v>-122.27119999999999</v>
      </c>
      <c r="W1541" s="2">
        <v>45075</v>
      </c>
      <c r="X1541">
        <v>0</v>
      </c>
      <c r="Y1541" t="b">
        <v>1</v>
      </c>
      <c r="Z1541" s="2">
        <v>45818</v>
      </c>
      <c r="AA1541" t="str">
        <f t="shared" si="241"/>
        <v>40–49</v>
      </c>
      <c r="AB1541" t="str">
        <f t="shared" si="242"/>
        <v>40–49</v>
      </c>
      <c r="AC1541" t="str">
        <f t="shared" si="243"/>
        <v>Monday</v>
      </c>
      <c r="AD1541" t="str">
        <f t="shared" si="244"/>
        <v>Tuesday</v>
      </c>
      <c r="AE1541" t="str">
        <f t="shared" si="245"/>
        <v/>
      </c>
      <c r="AF1541" t="str">
        <f t="shared" si="246"/>
        <v/>
      </c>
      <c r="AG1541" t="str">
        <f t="shared" si="247"/>
        <v/>
      </c>
      <c r="AH1541" t="str">
        <f t="shared" si="248"/>
        <v>Saturday</v>
      </c>
      <c r="AI1541" t="str">
        <f t="shared" si="249"/>
        <v/>
      </c>
      <c r="AJ1541" t="str">
        <f>LEFT(Table1[[#This Row],[membership_type]],2)&amp;TEXT(Table1[[#This Row],[age]],"00")&amp;"-"&amp;TEXT(ROW(),"000")</f>
        <v>Pr48-1541</v>
      </c>
      <c r="AK1541" t="str">
        <f>LEFT(Table1[[#This Row],[membership_type]],1)&amp;TEXT(MATCH(Table1[[#This Row],[membership_type]],Table1[membership_type],0),"00")</f>
        <v>P01</v>
      </c>
      <c r="AL1541" t="str">
        <f>LEFT(Table1[[#This Row],[discount_type]],1)&amp;TEXT(ROUND(Table1[[#This Row],[discount_rate]]*100,0),"00")</f>
        <v>L10</v>
      </c>
      <c r="AM1541" t="str" cm="1">
        <f t="array" ref="AM1541">TEXT(SUMPRODUCT(CODE(MID(Table1[[#This Row],[home_gym_location]],_xlfn.SEQUENCE(LEN(Table1[[#This Row],[home_gym_location]])),1))),"00000")</f>
        <v>00906</v>
      </c>
      <c r="AN154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41" t="str">
        <f>LEFT(_xlfn.TEXTBEFORE(Table1[[#This Row],[Location Identifier]],"-"),3) &amp; "-" &amp; _xlfn.TEXTAFTER(Table1[[#This Row],[Location Identifier]],"-")</f>
        <v>OAK-006</v>
      </c>
      <c r="AP1541" s="9">
        <f t="shared" ca="1" si="240"/>
        <v>45869</v>
      </c>
    </row>
    <row r="1542" spans="1:42" x14ac:dyDescent="0.25">
      <c r="A1542">
        <v>43</v>
      </c>
      <c r="B1542" t="s">
        <v>26</v>
      </c>
      <c r="C1542">
        <v>5</v>
      </c>
      <c r="D1542" t="s">
        <v>118</v>
      </c>
      <c r="E1542" t="b">
        <v>1</v>
      </c>
      <c r="F1542" s="1">
        <v>0.39513888888888887</v>
      </c>
      <c r="G1542" s="1">
        <v>0.50347222222222221</v>
      </c>
      <c r="H1542">
        <v>156</v>
      </c>
      <c r="I1542" t="b">
        <v>0</v>
      </c>
      <c r="J1542" t="b">
        <v>1</v>
      </c>
      <c r="K1542" t="b">
        <v>1</v>
      </c>
      <c r="L1542" t="s">
        <v>35</v>
      </c>
      <c r="M1542">
        <v>50</v>
      </c>
      <c r="N1542" t="s">
        <v>29</v>
      </c>
      <c r="O1542">
        <v>50</v>
      </c>
      <c r="P1542" t="s">
        <v>30</v>
      </c>
      <c r="Q1542">
        <v>0.05</v>
      </c>
      <c r="R1542">
        <v>47.5</v>
      </c>
      <c r="S1542" t="s">
        <v>31</v>
      </c>
      <c r="T1542" t="s">
        <v>59</v>
      </c>
      <c r="U1542">
        <v>37.774900000000002</v>
      </c>
      <c r="V1542">
        <v>-122.4194</v>
      </c>
      <c r="W1542" s="2">
        <v>45717</v>
      </c>
      <c r="X1542">
        <v>7</v>
      </c>
      <c r="Y1542" t="b">
        <v>0</v>
      </c>
      <c r="Z1542" s="2">
        <v>45854</v>
      </c>
      <c r="AA1542" t="str">
        <f t="shared" si="241"/>
        <v>40–49</v>
      </c>
      <c r="AB1542" t="str">
        <f t="shared" si="242"/>
        <v>40–49</v>
      </c>
      <c r="AC1542" t="str">
        <f t="shared" si="243"/>
        <v>Monday</v>
      </c>
      <c r="AD1542" t="str">
        <f t="shared" si="244"/>
        <v/>
      </c>
      <c r="AE1542" t="str">
        <f t="shared" si="245"/>
        <v>Wednesday</v>
      </c>
      <c r="AF1542" t="str">
        <f t="shared" si="246"/>
        <v>Thursday</v>
      </c>
      <c r="AG1542" t="str">
        <f t="shared" si="247"/>
        <v>Friday</v>
      </c>
      <c r="AH1542" t="str">
        <f t="shared" si="248"/>
        <v>Saturday</v>
      </c>
      <c r="AI1542" t="str">
        <f t="shared" si="249"/>
        <v/>
      </c>
      <c r="AJ1542" t="str">
        <f>LEFT(Table1[[#This Row],[membership_type]],2)&amp;TEXT(Table1[[#This Row],[age]],"00")&amp;"-"&amp;TEXT(ROW(),"000")</f>
        <v>Pr43-1542</v>
      </c>
      <c r="AK1542" t="str">
        <f>LEFT(Table1[[#This Row],[membership_type]],1)&amp;TEXT(MATCH(Table1[[#This Row],[membership_type]],Table1[membership_type],0),"00")</f>
        <v>P01</v>
      </c>
      <c r="AL1542" t="str">
        <f>LEFT(Table1[[#This Row],[discount_type]],1)&amp;TEXT(ROUND(Table1[[#This Row],[discount_rate]]*100,0),"00")</f>
        <v>P05</v>
      </c>
      <c r="AM1542" t="str" cm="1">
        <f t="array" ref="AM1542">TEXT(SUMPRODUCT(CODE(MID(Table1[[#This Row],[home_gym_location]],_xlfn.SEQUENCE(LEN(Table1[[#This Row],[home_gym_location]])),1))),"00000")</f>
        <v>01450</v>
      </c>
      <c r="AN154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42" t="str">
        <f>LEFT(_xlfn.TEXTBEFORE(Table1[[#This Row],[Location Identifier]],"-"),3) &amp; "-" &amp; _xlfn.TEXTAFTER(Table1[[#This Row],[Location Identifier]],"-")</f>
        <v>SAN-009</v>
      </c>
      <c r="AP1542" s="9">
        <f t="shared" ca="1" si="240"/>
        <v>45869</v>
      </c>
    </row>
    <row r="1543" spans="1:42" x14ac:dyDescent="0.25">
      <c r="A1543">
        <v>24</v>
      </c>
      <c r="B1543" t="s">
        <v>42</v>
      </c>
      <c r="C1543">
        <v>5</v>
      </c>
      <c r="D1543" t="s">
        <v>148</v>
      </c>
      <c r="E1543" t="b">
        <v>1</v>
      </c>
      <c r="F1543" s="1">
        <v>0.37916666666666665</v>
      </c>
      <c r="G1543" s="1">
        <v>0.42986111111111114</v>
      </c>
      <c r="H1543">
        <v>73</v>
      </c>
      <c r="I1543" t="b">
        <v>1</v>
      </c>
      <c r="J1543" t="b">
        <v>0</v>
      </c>
      <c r="K1543" t="b">
        <v>1</v>
      </c>
      <c r="L1543" t="s">
        <v>28</v>
      </c>
      <c r="M1543">
        <v>20</v>
      </c>
      <c r="N1543" t="s">
        <v>29</v>
      </c>
      <c r="O1543">
        <v>20</v>
      </c>
      <c r="P1543" t="s">
        <v>36</v>
      </c>
      <c r="Q1543">
        <v>0</v>
      </c>
      <c r="R1543">
        <v>20</v>
      </c>
      <c r="S1543" t="s">
        <v>44</v>
      </c>
      <c r="T1543" t="s">
        <v>50</v>
      </c>
      <c r="U1543">
        <v>34.052199999999999</v>
      </c>
      <c r="V1543">
        <v>-118.2437</v>
      </c>
      <c r="W1543" s="2">
        <v>45226</v>
      </c>
      <c r="X1543">
        <v>0</v>
      </c>
      <c r="Y1543" t="b">
        <v>0</v>
      </c>
      <c r="Z1543" s="2">
        <v>45826</v>
      </c>
      <c r="AA1543" t="str">
        <f t="shared" si="241"/>
        <v>20–29</v>
      </c>
      <c r="AB1543" t="str">
        <f t="shared" si="242"/>
        <v>20–29</v>
      </c>
      <c r="AC1543" t="str">
        <f t="shared" si="243"/>
        <v/>
      </c>
      <c r="AD1543" t="str">
        <f t="shared" si="244"/>
        <v/>
      </c>
      <c r="AE1543" t="str">
        <f t="shared" si="245"/>
        <v>Wednesday</v>
      </c>
      <c r="AF1543" t="str">
        <f t="shared" si="246"/>
        <v>Thursday</v>
      </c>
      <c r="AG1543" t="str">
        <f t="shared" si="247"/>
        <v>Friday</v>
      </c>
      <c r="AH1543" t="str">
        <f t="shared" si="248"/>
        <v>Saturday</v>
      </c>
      <c r="AI1543" t="str">
        <f t="shared" si="249"/>
        <v>Sunday</v>
      </c>
      <c r="AJ1543" t="str">
        <f>LEFT(Table1[[#This Row],[membership_type]],2)&amp;TEXT(Table1[[#This Row],[age]],"00")&amp;"-"&amp;TEXT(ROW(),"000")</f>
        <v>Ba24-1543</v>
      </c>
      <c r="AK1543" t="str">
        <f>LEFT(Table1[[#This Row],[membership_type]],1)&amp;TEXT(MATCH(Table1[[#This Row],[membership_type]],Table1[membership_type],0),"00")</f>
        <v>B04</v>
      </c>
      <c r="AL1543" t="str">
        <f>LEFT(Table1[[#This Row],[discount_type]],1)&amp;TEXT(ROUND(Table1[[#This Row],[discount_rate]]*100,0),"00")</f>
        <v>N00</v>
      </c>
      <c r="AM1543" t="str" cm="1">
        <f t="array" ref="AM1543">TEXT(SUMPRODUCT(CODE(MID(Table1[[#This Row],[home_gym_location]],_xlfn.SEQUENCE(LEN(Table1[[#This Row],[home_gym_location]])),1))),"00000")</f>
        <v>01245</v>
      </c>
      <c r="AN154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43" t="str">
        <f>LEFT(_xlfn.TEXTBEFORE(Table1[[#This Row],[Location Identifier]],"-"),3) &amp; "-" &amp; _xlfn.TEXTAFTER(Table1[[#This Row],[Location Identifier]],"-")</f>
        <v>LOS-005</v>
      </c>
      <c r="AP1543" s="9">
        <f t="shared" ca="1" si="240"/>
        <v>45869</v>
      </c>
    </row>
    <row r="1544" spans="1:42" x14ac:dyDescent="0.25">
      <c r="A1544">
        <v>45</v>
      </c>
      <c r="B1544" t="s">
        <v>26</v>
      </c>
      <c r="C1544">
        <v>4</v>
      </c>
      <c r="D1544" t="s">
        <v>151</v>
      </c>
      <c r="E1544" t="b">
        <v>0</v>
      </c>
      <c r="F1544" s="1">
        <v>0.81388888888888888</v>
      </c>
      <c r="G1544" s="1">
        <v>0.84583333333333333</v>
      </c>
      <c r="H1544">
        <v>46</v>
      </c>
      <c r="I1544" t="b">
        <v>1</v>
      </c>
      <c r="J1544" t="b">
        <v>0</v>
      </c>
      <c r="K1544" t="b">
        <v>0</v>
      </c>
      <c r="L1544" t="s">
        <v>47</v>
      </c>
      <c r="M1544">
        <v>50</v>
      </c>
      <c r="N1544" t="s">
        <v>29</v>
      </c>
      <c r="O1544">
        <v>50</v>
      </c>
      <c r="P1544" t="s">
        <v>36</v>
      </c>
      <c r="Q1544">
        <v>0</v>
      </c>
      <c r="R1544">
        <v>50</v>
      </c>
      <c r="S1544" t="s">
        <v>31</v>
      </c>
      <c r="T1544" t="s">
        <v>32</v>
      </c>
      <c r="U1544">
        <v>37.338200000000001</v>
      </c>
      <c r="V1544">
        <v>-121.88630000000001</v>
      </c>
      <c r="W1544" s="2">
        <v>45557</v>
      </c>
      <c r="X1544">
        <v>0</v>
      </c>
      <c r="Y1544" t="b">
        <v>1</v>
      </c>
      <c r="Z1544" s="2">
        <v>45845</v>
      </c>
      <c r="AA1544" t="str">
        <f t="shared" si="241"/>
        <v>40–49</v>
      </c>
      <c r="AB1544" t="str">
        <f t="shared" si="242"/>
        <v>40–49</v>
      </c>
      <c r="AC1544" t="str">
        <f t="shared" si="243"/>
        <v/>
      </c>
      <c r="AD1544" t="str">
        <f t="shared" si="244"/>
        <v>Tuesday</v>
      </c>
      <c r="AE1544" t="str">
        <f t="shared" si="245"/>
        <v>Wednesday</v>
      </c>
      <c r="AF1544" t="str">
        <f t="shared" si="246"/>
        <v>Thursday</v>
      </c>
      <c r="AG1544" t="str">
        <f t="shared" si="247"/>
        <v>Friday</v>
      </c>
      <c r="AH1544" t="str">
        <f t="shared" si="248"/>
        <v/>
      </c>
      <c r="AI1544" t="str">
        <f t="shared" si="249"/>
        <v/>
      </c>
      <c r="AJ1544" t="str">
        <f>LEFT(Table1[[#This Row],[membership_type]],2)&amp;TEXT(Table1[[#This Row],[age]],"00")&amp;"-"&amp;TEXT(ROW(),"000")</f>
        <v>Pr45-1544</v>
      </c>
      <c r="AK1544" t="str">
        <f>LEFT(Table1[[#This Row],[membership_type]],1)&amp;TEXT(MATCH(Table1[[#This Row],[membership_type]],Table1[membership_type],0),"00")</f>
        <v>P01</v>
      </c>
      <c r="AL1544" t="str">
        <f>LEFT(Table1[[#This Row],[discount_type]],1)&amp;TEXT(ROUND(Table1[[#This Row],[discount_rate]]*100,0),"00")</f>
        <v>N00</v>
      </c>
      <c r="AM1544" t="str" cm="1">
        <f t="array" ref="AM1544">TEXT(SUMPRODUCT(CODE(MID(Table1[[#This Row],[home_gym_location]],_xlfn.SEQUENCE(LEN(Table1[[#This Row],[home_gym_location]])),1))),"00000")</f>
        <v>00931</v>
      </c>
      <c r="AN154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44" t="str">
        <f>LEFT(_xlfn.TEXTBEFORE(Table1[[#This Row],[Location Identifier]],"-"),3) &amp; "-" &amp; _xlfn.TEXTAFTER(Table1[[#This Row],[Location Identifier]],"-")</f>
        <v>SAN-010</v>
      </c>
      <c r="AP1544" s="9">
        <f t="shared" ca="1" si="240"/>
        <v>45869</v>
      </c>
    </row>
    <row r="1545" spans="1:42" x14ac:dyDescent="0.25">
      <c r="A1545">
        <v>19</v>
      </c>
      <c r="B1545" t="s">
        <v>26</v>
      </c>
      <c r="C1545">
        <v>1</v>
      </c>
      <c r="D1545" t="s">
        <v>95</v>
      </c>
      <c r="E1545" t="b">
        <v>0</v>
      </c>
      <c r="F1545" s="1">
        <v>0.67361111111111116</v>
      </c>
      <c r="G1545" s="1">
        <v>0.72222222222222221</v>
      </c>
      <c r="H1545">
        <v>70</v>
      </c>
      <c r="I1545" t="b">
        <v>0</v>
      </c>
      <c r="J1545" t="b">
        <v>1</v>
      </c>
      <c r="K1545" t="b">
        <v>1</v>
      </c>
      <c r="L1545" t="s">
        <v>28</v>
      </c>
      <c r="M1545">
        <v>50</v>
      </c>
      <c r="N1545" t="s">
        <v>64</v>
      </c>
      <c r="O1545">
        <v>37.5</v>
      </c>
      <c r="P1545" t="s">
        <v>40</v>
      </c>
      <c r="Q1545">
        <v>0.1</v>
      </c>
      <c r="R1545">
        <v>33.75</v>
      </c>
      <c r="S1545" t="s">
        <v>31</v>
      </c>
      <c r="T1545" t="s">
        <v>41</v>
      </c>
      <c r="U1545">
        <v>37.804400000000001</v>
      </c>
      <c r="V1545">
        <v>-122.27119999999999</v>
      </c>
      <c r="W1545" s="2">
        <v>44805</v>
      </c>
      <c r="X1545">
        <v>3</v>
      </c>
      <c r="Y1545" t="b">
        <v>1</v>
      </c>
      <c r="Z1545" s="2">
        <v>45803</v>
      </c>
      <c r="AA1545" t="str">
        <f t="shared" si="241"/>
        <v>10–19</v>
      </c>
      <c r="AB1545" t="str">
        <f t="shared" si="242"/>
        <v>16–19</v>
      </c>
      <c r="AC1545" t="str">
        <f t="shared" si="243"/>
        <v/>
      </c>
      <c r="AD1545" t="str">
        <f t="shared" si="244"/>
        <v/>
      </c>
      <c r="AE1545" t="str">
        <f t="shared" si="245"/>
        <v/>
      </c>
      <c r="AF1545" t="str">
        <f t="shared" si="246"/>
        <v/>
      </c>
      <c r="AG1545" t="str">
        <f t="shared" si="247"/>
        <v/>
      </c>
      <c r="AH1545" t="str">
        <f t="shared" si="248"/>
        <v>Saturday</v>
      </c>
      <c r="AI1545" t="str">
        <f t="shared" si="249"/>
        <v/>
      </c>
      <c r="AJ1545" t="str">
        <f>LEFT(Table1[[#This Row],[membership_type]],2)&amp;TEXT(Table1[[#This Row],[age]],"00")&amp;"-"&amp;TEXT(ROW(),"000")</f>
        <v>Pr19-1545</v>
      </c>
      <c r="AK1545" t="str">
        <f>LEFT(Table1[[#This Row],[membership_type]],1)&amp;TEXT(MATCH(Table1[[#This Row],[membership_type]],Table1[membership_type],0),"00")</f>
        <v>P01</v>
      </c>
      <c r="AL1545" t="str">
        <f>LEFT(Table1[[#This Row],[discount_type]],1)&amp;TEXT(ROUND(Table1[[#This Row],[discount_rate]]*100,0),"00")</f>
        <v>L10</v>
      </c>
      <c r="AM1545" t="str" cm="1">
        <f t="array" ref="AM1545">TEXT(SUMPRODUCT(CODE(MID(Table1[[#This Row],[home_gym_location]],_xlfn.SEQUENCE(LEN(Table1[[#This Row],[home_gym_location]])),1))),"00000")</f>
        <v>00906</v>
      </c>
      <c r="AN154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45" t="str">
        <f>LEFT(_xlfn.TEXTBEFORE(Table1[[#This Row],[Location Identifier]],"-"),3) &amp; "-" &amp; _xlfn.TEXTAFTER(Table1[[#This Row],[Location Identifier]],"-")</f>
        <v>OAK-006</v>
      </c>
      <c r="AP1545" s="9">
        <f t="shared" ca="1" si="240"/>
        <v>45869</v>
      </c>
    </row>
    <row r="1546" spans="1:42" x14ac:dyDescent="0.25">
      <c r="A1546">
        <v>46</v>
      </c>
      <c r="B1546" t="s">
        <v>26</v>
      </c>
      <c r="C1546">
        <v>1</v>
      </c>
      <c r="D1546" t="s">
        <v>49</v>
      </c>
      <c r="E1546" t="b">
        <v>1</v>
      </c>
      <c r="F1546" s="1">
        <v>0.75416666666666665</v>
      </c>
      <c r="G1546" s="1">
        <v>0.86736111111111114</v>
      </c>
      <c r="H1546">
        <v>163</v>
      </c>
      <c r="I1546" t="b">
        <v>1</v>
      </c>
      <c r="J1546" t="b">
        <v>0</v>
      </c>
      <c r="K1546" t="b">
        <v>0</v>
      </c>
      <c r="L1546" t="s">
        <v>28</v>
      </c>
      <c r="M1546">
        <v>50</v>
      </c>
      <c r="N1546" t="s">
        <v>78</v>
      </c>
      <c r="O1546">
        <v>45</v>
      </c>
      <c r="P1546" t="s">
        <v>30</v>
      </c>
      <c r="Q1546">
        <v>0.05</v>
      </c>
      <c r="R1546">
        <v>42.75</v>
      </c>
      <c r="S1546" t="s">
        <v>31</v>
      </c>
      <c r="T1546" t="s">
        <v>65</v>
      </c>
      <c r="U1546">
        <v>33.770099999999999</v>
      </c>
      <c r="V1546">
        <v>-118.19370000000001</v>
      </c>
      <c r="W1546" s="2">
        <v>45316</v>
      </c>
      <c r="X1546">
        <v>0</v>
      </c>
      <c r="Y1546" t="b">
        <v>1</v>
      </c>
      <c r="Z1546" s="2">
        <v>45831</v>
      </c>
      <c r="AA1546" t="str">
        <f t="shared" si="241"/>
        <v>40–49</v>
      </c>
      <c r="AB1546" t="str">
        <f t="shared" si="242"/>
        <v>40–49</v>
      </c>
      <c r="AC1546" t="str">
        <f t="shared" si="243"/>
        <v/>
      </c>
      <c r="AD1546" t="str">
        <f t="shared" si="244"/>
        <v/>
      </c>
      <c r="AE1546" t="str">
        <f t="shared" si="245"/>
        <v/>
      </c>
      <c r="AF1546" t="str">
        <f t="shared" si="246"/>
        <v/>
      </c>
      <c r="AG1546" t="str">
        <f t="shared" si="247"/>
        <v/>
      </c>
      <c r="AH1546" t="str">
        <f t="shared" si="248"/>
        <v/>
      </c>
      <c r="AI1546" t="str">
        <f t="shared" si="249"/>
        <v>Sunday</v>
      </c>
      <c r="AJ1546" t="str">
        <f>LEFT(Table1[[#This Row],[membership_type]],2)&amp;TEXT(Table1[[#This Row],[age]],"00")&amp;"-"&amp;TEXT(ROW(),"000")</f>
        <v>Pr46-1546</v>
      </c>
      <c r="AK1546" t="str">
        <f>LEFT(Table1[[#This Row],[membership_type]],1)&amp;TEXT(MATCH(Table1[[#This Row],[membership_type]],Table1[membership_type],0),"00")</f>
        <v>P01</v>
      </c>
      <c r="AL1546" t="str">
        <f>LEFT(Table1[[#This Row],[discount_type]],1)&amp;TEXT(ROUND(Table1[[#This Row],[discount_rate]]*100,0),"00")</f>
        <v>P05</v>
      </c>
      <c r="AM1546" t="str" cm="1">
        <f t="array" ref="AM1546">TEXT(SUMPRODUCT(CODE(MID(Table1[[#This Row],[home_gym_location]],_xlfn.SEQUENCE(LEN(Table1[[#This Row],[home_gym_location]])),1))),"00000")</f>
        <v>01107</v>
      </c>
      <c r="AN154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46" t="str">
        <f>LEFT(_xlfn.TEXTBEFORE(Table1[[#This Row],[Location Identifier]],"-"),3) &amp; "-" &amp; _xlfn.TEXTAFTER(Table1[[#This Row],[Location Identifier]],"-")</f>
        <v>LON-004</v>
      </c>
      <c r="AP1546" s="9">
        <f t="shared" ca="1" si="240"/>
        <v>45869</v>
      </c>
    </row>
    <row r="1547" spans="1:42" x14ac:dyDescent="0.25">
      <c r="A1547">
        <v>17</v>
      </c>
      <c r="B1547" t="s">
        <v>26</v>
      </c>
      <c r="C1547">
        <v>1</v>
      </c>
      <c r="D1547" t="s">
        <v>71</v>
      </c>
      <c r="E1547" t="b">
        <v>1</v>
      </c>
      <c r="F1547" s="1">
        <v>0.51180555555555551</v>
      </c>
      <c r="G1547" s="1">
        <v>0.63472222222222219</v>
      </c>
      <c r="H1547">
        <v>177</v>
      </c>
      <c r="I1547" t="b">
        <v>1</v>
      </c>
      <c r="J1547" t="b">
        <v>1</v>
      </c>
      <c r="K1547" t="b">
        <v>0</v>
      </c>
      <c r="L1547" t="s">
        <v>62</v>
      </c>
      <c r="M1547">
        <v>50</v>
      </c>
      <c r="N1547" t="s">
        <v>29</v>
      </c>
      <c r="O1547">
        <v>50</v>
      </c>
      <c r="P1547" t="s">
        <v>74</v>
      </c>
      <c r="Q1547">
        <v>0.15</v>
      </c>
      <c r="R1547">
        <v>42.5</v>
      </c>
      <c r="S1547" t="s">
        <v>31</v>
      </c>
      <c r="T1547" t="s">
        <v>48</v>
      </c>
      <c r="U1547">
        <v>38.581600000000002</v>
      </c>
      <c r="V1547">
        <v>-121.4944</v>
      </c>
      <c r="W1547" s="2">
        <v>44972</v>
      </c>
      <c r="X1547">
        <v>6</v>
      </c>
      <c r="Y1547" t="b">
        <v>1</v>
      </c>
      <c r="Z1547" s="2">
        <v>45812</v>
      </c>
      <c r="AA1547" t="str">
        <f t="shared" si="241"/>
        <v>10–19</v>
      </c>
      <c r="AB1547" t="str">
        <f t="shared" si="242"/>
        <v>16–19</v>
      </c>
      <c r="AC1547" t="str">
        <f t="shared" si="243"/>
        <v/>
      </c>
      <c r="AD1547" t="str">
        <f t="shared" si="244"/>
        <v>Tuesday</v>
      </c>
      <c r="AE1547" t="str">
        <f t="shared" si="245"/>
        <v/>
      </c>
      <c r="AF1547" t="str">
        <f t="shared" si="246"/>
        <v/>
      </c>
      <c r="AG1547" t="str">
        <f t="shared" si="247"/>
        <v/>
      </c>
      <c r="AH1547" t="str">
        <f t="shared" si="248"/>
        <v/>
      </c>
      <c r="AI1547" t="str">
        <f t="shared" si="249"/>
        <v/>
      </c>
      <c r="AJ1547" t="str">
        <f>LEFT(Table1[[#This Row],[membership_type]],2)&amp;TEXT(Table1[[#This Row],[age]],"00")&amp;"-"&amp;TEXT(ROW(),"000")</f>
        <v>Pr17-1547</v>
      </c>
      <c r="AK1547" t="str">
        <f>LEFT(Table1[[#This Row],[membership_type]],1)&amp;TEXT(MATCH(Table1[[#This Row],[membership_type]],Table1[membership_type],0),"00")</f>
        <v>P01</v>
      </c>
      <c r="AL1547" t="str">
        <f>LEFT(Table1[[#This Row],[discount_type]],1)&amp;TEXT(ROUND(Table1[[#This Row],[discount_rate]]*100,0),"00")</f>
        <v>S15</v>
      </c>
      <c r="AM1547" t="str" cm="1">
        <f t="array" ref="AM1547">TEXT(SUMPRODUCT(CODE(MID(Table1[[#This Row],[home_gym_location]],_xlfn.SEQUENCE(LEN(Table1[[#This Row],[home_gym_location]])),1))),"00000")</f>
        <v>01245</v>
      </c>
      <c r="AN154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47" t="str">
        <f>LEFT(_xlfn.TEXTBEFORE(Table1[[#This Row],[Location Identifier]],"-"),3) &amp; "-" &amp; _xlfn.TEXTAFTER(Table1[[#This Row],[Location Identifier]],"-")</f>
        <v>SAC-007</v>
      </c>
      <c r="AP1547" s="9">
        <f t="shared" ca="1" si="240"/>
        <v>45869</v>
      </c>
    </row>
    <row r="1548" spans="1:42" x14ac:dyDescent="0.25">
      <c r="A1548">
        <v>18</v>
      </c>
      <c r="B1548" t="s">
        <v>26</v>
      </c>
      <c r="C1548">
        <v>3</v>
      </c>
      <c r="D1548" t="s">
        <v>124</v>
      </c>
      <c r="E1548" t="b">
        <v>1</v>
      </c>
      <c r="F1548" s="1">
        <v>0.48680555555555555</v>
      </c>
      <c r="G1548" s="1">
        <v>0.54722222222222228</v>
      </c>
      <c r="H1548">
        <v>87</v>
      </c>
      <c r="I1548" t="b">
        <v>0</v>
      </c>
      <c r="J1548" t="b">
        <v>0</v>
      </c>
      <c r="K1548" t="b">
        <v>0</v>
      </c>
      <c r="L1548" t="s">
        <v>28</v>
      </c>
      <c r="M1548">
        <v>50</v>
      </c>
      <c r="N1548" t="s">
        <v>64</v>
      </c>
      <c r="O1548">
        <v>37.5</v>
      </c>
      <c r="P1548" t="s">
        <v>74</v>
      </c>
      <c r="Q1548">
        <v>0.15</v>
      </c>
      <c r="R1548">
        <v>31.875</v>
      </c>
      <c r="S1548" t="s">
        <v>31</v>
      </c>
      <c r="T1548" t="s">
        <v>41</v>
      </c>
      <c r="U1548">
        <v>37.804400000000001</v>
      </c>
      <c r="V1548">
        <v>-122.27119999999999</v>
      </c>
      <c r="W1548" s="2">
        <v>45245</v>
      </c>
      <c r="X1548">
        <v>0</v>
      </c>
      <c r="Y1548" t="b">
        <v>0</v>
      </c>
      <c r="Z1548" s="2">
        <v>45827</v>
      </c>
      <c r="AA1548" t="str">
        <f t="shared" si="241"/>
        <v>10–19</v>
      </c>
      <c r="AB1548" t="str">
        <f t="shared" si="242"/>
        <v>16–19</v>
      </c>
      <c r="AC1548" t="str">
        <f t="shared" si="243"/>
        <v>Monday</v>
      </c>
      <c r="AD1548" t="str">
        <f t="shared" si="244"/>
        <v/>
      </c>
      <c r="AE1548" t="str">
        <f t="shared" si="245"/>
        <v/>
      </c>
      <c r="AF1548" t="str">
        <f t="shared" si="246"/>
        <v>Thursday</v>
      </c>
      <c r="AG1548" t="str">
        <f t="shared" si="247"/>
        <v>Friday</v>
      </c>
      <c r="AH1548" t="str">
        <f t="shared" si="248"/>
        <v/>
      </c>
      <c r="AI1548" t="str">
        <f t="shared" si="249"/>
        <v/>
      </c>
      <c r="AJ1548" t="str">
        <f>LEFT(Table1[[#This Row],[membership_type]],2)&amp;TEXT(Table1[[#This Row],[age]],"00")&amp;"-"&amp;TEXT(ROW(),"000")</f>
        <v>Pr18-1548</v>
      </c>
      <c r="AK1548" t="str">
        <f>LEFT(Table1[[#This Row],[membership_type]],1)&amp;TEXT(MATCH(Table1[[#This Row],[membership_type]],Table1[membership_type],0),"00")</f>
        <v>P01</v>
      </c>
      <c r="AL1548" t="str">
        <f>LEFT(Table1[[#This Row],[discount_type]],1)&amp;TEXT(ROUND(Table1[[#This Row],[discount_rate]]*100,0),"00")</f>
        <v>S15</v>
      </c>
      <c r="AM1548" t="str" cm="1">
        <f t="array" ref="AM1548">TEXT(SUMPRODUCT(CODE(MID(Table1[[#This Row],[home_gym_location]],_xlfn.SEQUENCE(LEN(Table1[[#This Row],[home_gym_location]])),1))),"00000")</f>
        <v>00906</v>
      </c>
      <c r="AN154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548" t="str">
        <f>LEFT(_xlfn.TEXTBEFORE(Table1[[#This Row],[Location Identifier]],"-"),3) &amp; "-" &amp; _xlfn.TEXTAFTER(Table1[[#This Row],[Location Identifier]],"-")</f>
        <v>OAK-006</v>
      </c>
      <c r="AP1548" s="9">
        <f t="shared" ca="1" si="240"/>
        <v>45869</v>
      </c>
    </row>
    <row r="1549" spans="1:42" x14ac:dyDescent="0.25">
      <c r="A1549">
        <v>41</v>
      </c>
      <c r="B1549" t="s">
        <v>26</v>
      </c>
      <c r="C1549">
        <v>1</v>
      </c>
      <c r="D1549" t="s">
        <v>63</v>
      </c>
      <c r="E1549" t="b">
        <v>1</v>
      </c>
      <c r="F1549" s="1">
        <v>0.80763888888888891</v>
      </c>
      <c r="G1549" s="1">
        <v>0.8520833333333333</v>
      </c>
      <c r="H1549">
        <v>64</v>
      </c>
      <c r="I1549" t="b">
        <v>0</v>
      </c>
      <c r="J1549" t="b">
        <v>0</v>
      </c>
      <c r="K1549" t="b">
        <v>0</v>
      </c>
      <c r="L1549" t="s">
        <v>35</v>
      </c>
      <c r="M1549">
        <v>50</v>
      </c>
      <c r="N1549" t="s">
        <v>29</v>
      </c>
      <c r="O1549">
        <v>50</v>
      </c>
      <c r="P1549" t="s">
        <v>36</v>
      </c>
      <c r="Q1549">
        <v>0</v>
      </c>
      <c r="R1549">
        <v>50</v>
      </c>
      <c r="S1549" t="s">
        <v>31</v>
      </c>
      <c r="T1549" t="s">
        <v>38</v>
      </c>
      <c r="U1549">
        <v>36.7378</v>
      </c>
      <c r="V1549">
        <v>-119.7871</v>
      </c>
      <c r="W1549" s="2">
        <v>45784</v>
      </c>
      <c r="X1549">
        <v>0</v>
      </c>
      <c r="Y1549" t="b">
        <v>1</v>
      </c>
      <c r="Z1549" s="2">
        <v>45858</v>
      </c>
      <c r="AA1549" t="str">
        <f t="shared" si="241"/>
        <v>40–49</v>
      </c>
      <c r="AB1549" t="str">
        <f t="shared" si="242"/>
        <v>40–49</v>
      </c>
      <c r="AC1549" t="str">
        <f t="shared" si="243"/>
        <v/>
      </c>
      <c r="AD1549" t="str">
        <f t="shared" si="244"/>
        <v/>
      </c>
      <c r="AE1549" t="str">
        <f t="shared" si="245"/>
        <v>Wednesday</v>
      </c>
      <c r="AF1549" t="str">
        <f t="shared" si="246"/>
        <v/>
      </c>
      <c r="AG1549" t="str">
        <f t="shared" si="247"/>
        <v/>
      </c>
      <c r="AH1549" t="str">
        <f t="shared" si="248"/>
        <v/>
      </c>
      <c r="AI1549" t="str">
        <f t="shared" si="249"/>
        <v/>
      </c>
      <c r="AJ1549" t="str">
        <f>LEFT(Table1[[#This Row],[membership_type]],2)&amp;TEXT(Table1[[#This Row],[age]],"00")&amp;"-"&amp;TEXT(ROW(),"000")</f>
        <v>Pr41-1549</v>
      </c>
      <c r="AK1549" t="str">
        <f>LEFT(Table1[[#This Row],[membership_type]],1)&amp;TEXT(MATCH(Table1[[#This Row],[membership_type]],Table1[membership_type],0),"00")</f>
        <v>P01</v>
      </c>
      <c r="AL1549" t="str">
        <f>LEFT(Table1[[#This Row],[discount_type]],1)&amp;TEXT(ROUND(Table1[[#This Row],[discount_rate]]*100,0),"00")</f>
        <v>N00</v>
      </c>
      <c r="AM1549" t="str" cm="1">
        <f t="array" ref="AM1549">TEXT(SUMPRODUCT(CODE(MID(Table1[[#This Row],[home_gym_location]],_xlfn.SEQUENCE(LEN(Table1[[#This Row],[home_gym_location]])),1))),"00000")</f>
        <v>00829</v>
      </c>
      <c r="AN1549" t="str">
        <f>UPPER(_xlfn.TEXTBEFORE(Table1[[#This Row],[home_gym_location]],","))&amp;"-"&amp;TEXT(MATCH(Table1[[#This Row],[home_gym_location]],_xlfn._xlws.SORT(_xlfn.UNIQUE(Table1[home_gym_location])),0),"000")</f>
        <v>FRESNO-003</v>
      </c>
      <c r="AO1549" t="str">
        <f>LEFT(_xlfn.TEXTBEFORE(Table1[[#This Row],[Location Identifier]],"-"),3) &amp; "-" &amp; _xlfn.TEXTAFTER(Table1[[#This Row],[Location Identifier]],"-")</f>
        <v>FRE-003</v>
      </c>
      <c r="AP1549" s="9">
        <f t="shared" ca="1" si="240"/>
        <v>45869</v>
      </c>
    </row>
    <row r="1550" spans="1:42" x14ac:dyDescent="0.25">
      <c r="A1550">
        <v>48</v>
      </c>
      <c r="B1550" t="s">
        <v>33</v>
      </c>
      <c r="C1550">
        <v>2</v>
      </c>
      <c r="D1550" t="s">
        <v>73</v>
      </c>
      <c r="E1550" t="b">
        <v>1</v>
      </c>
      <c r="F1550" s="1">
        <v>0.49027777777777776</v>
      </c>
      <c r="G1550" s="1">
        <v>0.55347222222222225</v>
      </c>
      <c r="H1550">
        <v>91</v>
      </c>
      <c r="I1550" t="b">
        <v>1</v>
      </c>
      <c r="J1550" t="b">
        <v>0</v>
      </c>
      <c r="K1550" t="b">
        <v>1</v>
      </c>
      <c r="L1550" t="s">
        <v>28</v>
      </c>
      <c r="M1550">
        <v>30</v>
      </c>
      <c r="N1550" t="s">
        <v>29</v>
      </c>
      <c r="O1550">
        <v>30</v>
      </c>
      <c r="P1550" t="s">
        <v>30</v>
      </c>
      <c r="Q1550">
        <v>0.05</v>
      </c>
      <c r="R1550">
        <v>28.5</v>
      </c>
      <c r="S1550" t="s">
        <v>37</v>
      </c>
      <c r="T1550" t="s">
        <v>59</v>
      </c>
      <c r="U1550">
        <v>37.774900000000002</v>
      </c>
      <c r="V1550">
        <v>-122.4194</v>
      </c>
      <c r="W1550" s="2">
        <v>45156</v>
      </c>
      <c r="X1550">
        <v>0</v>
      </c>
      <c r="Y1550" t="b">
        <v>1</v>
      </c>
      <c r="Z1550" s="2">
        <v>45823</v>
      </c>
      <c r="AA1550" t="str">
        <f t="shared" si="241"/>
        <v>40–49</v>
      </c>
      <c r="AB1550" t="str">
        <f t="shared" si="242"/>
        <v>40–49</v>
      </c>
      <c r="AC1550" t="str">
        <f t="shared" si="243"/>
        <v/>
      </c>
      <c r="AD1550" t="str">
        <f t="shared" si="244"/>
        <v>Tuesday</v>
      </c>
      <c r="AE1550" t="str">
        <f t="shared" si="245"/>
        <v/>
      </c>
      <c r="AF1550" t="str">
        <f t="shared" si="246"/>
        <v/>
      </c>
      <c r="AG1550" t="str">
        <f t="shared" si="247"/>
        <v>Friday</v>
      </c>
      <c r="AH1550" t="str">
        <f t="shared" si="248"/>
        <v/>
      </c>
      <c r="AI1550" t="str">
        <f t="shared" si="249"/>
        <v/>
      </c>
      <c r="AJ1550" t="str">
        <f>LEFT(Table1[[#This Row],[membership_type]],2)&amp;TEXT(Table1[[#This Row],[age]],"00")&amp;"-"&amp;TEXT(ROW(),"000")</f>
        <v>St48-1550</v>
      </c>
      <c r="AK1550" t="str">
        <f>LEFT(Table1[[#This Row],[membership_type]],1)&amp;TEXT(MATCH(Table1[[#This Row],[membership_type]],Table1[membership_type],0),"00")</f>
        <v>S02</v>
      </c>
      <c r="AL1550" t="str">
        <f>LEFT(Table1[[#This Row],[discount_type]],1)&amp;TEXT(ROUND(Table1[[#This Row],[discount_rate]]*100,0),"00")</f>
        <v>P05</v>
      </c>
      <c r="AM1550" t="str" cm="1">
        <f t="array" ref="AM1550">TEXT(SUMPRODUCT(CODE(MID(Table1[[#This Row],[home_gym_location]],_xlfn.SEQUENCE(LEN(Table1[[#This Row],[home_gym_location]])),1))),"00000")</f>
        <v>01450</v>
      </c>
      <c r="AN155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50" t="str">
        <f>LEFT(_xlfn.TEXTBEFORE(Table1[[#This Row],[Location Identifier]],"-"),3) &amp; "-" &amp; _xlfn.TEXTAFTER(Table1[[#This Row],[Location Identifier]],"-")</f>
        <v>SAN-009</v>
      </c>
      <c r="AP1550" s="9">
        <f t="shared" ca="1" si="240"/>
        <v>45869</v>
      </c>
    </row>
    <row r="1551" spans="1:42" x14ac:dyDescent="0.25">
      <c r="A1551">
        <v>33</v>
      </c>
      <c r="B1551" t="s">
        <v>33</v>
      </c>
      <c r="C1551">
        <v>3</v>
      </c>
      <c r="D1551" t="s">
        <v>82</v>
      </c>
      <c r="E1551" t="b">
        <v>0</v>
      </c>
      <c r="F1551" s="1">
        <v>0.63402777777777775</v>
      </c>
      <c r="G1551" s="1">
        <v>0.69861111111111107</v>
      </c>
      <c r="H1551">
        <v>93</v>
      </c>
      <c r="I1551" t="b">
        <v>0</v>
      </c>
      <c r="J1551" t="b">
        <v>1</v>
      </c>
      <c r="K1551" t="b">
        <v>1</v>
      </c>
      <c r="L1551" t="s">
        <v>28</v>
      </c>
      <c r="M1551">
        <v>30</v>
      </c>
      <c r="N1551" t="s">
        <v>29</v>
      </c>
      <c r="O1551">
        <v>30</v>
      </c>
      <c r="P1551" t="s">
        <v>74</v>
      </c>
      <c r="Q1551">
        <v>0.15</v>
      </c>
      <c r="R1551">
        <v>25.5</v>
      </c>
      <c r="S1551" t="s">
        <v>37</v>
      </c>
      <c r="T1551" t="s">
        <v>50</v>
      </c>
      <c r="U1551">
        <v>34.052199999999999</v>
      </c>
      <c r="V1551">
        <v>-118.2437</v>
      </c>
      <c r="W1551" s="2">
        <v>44817</v>
      </c>
      <c r="X1551">
        <v>3</v>
      </c>
      <c r="Y1551" t="b">
        <v>0</v>
      </c>
      <c r="Z1551" s="2">
        <v>45803</v>
      </c>
      <c r="AA1551" t="str">
        <f t="shared" si="241"/>
        <v>30–39</v>
      </c>
      <c r="AB1551" t="str">
        <f t="shared" si="242"/>
        <v>30–39</v>
      </c>
      <c r="AC1551" t="str">
        <f t="shared" si="243"/>
        <v/>
      </c>
      <c r="AD1551" t="str">
        <f t="shared" si="244"/>
        <v/>
      </c>
      <c r="AE1551" t="str">
        <f t="shared" si="245"/>
        <v/>
      </c>
      <c r="AF1551" t="str">
        <f t="shared" si="246"/>
        <v/>
      </c>
      <c r="AG1551" t="str">
        <f t="shared" si="247"/>
        <v>Friday</v>
      </c>
      <c r="AH1551" t="str">
        <f t="shared" si="248"/>
        <v>Saturday</v>
      </c>
      <c r="AI1551" t="str">
        <f t="shared" si="249"/>
        <v>Sunday</v>
      </c>
      <c r="AJ1551" t="str">
        <f>LEFT(Table1[[#This Row],[membership_type]],2)&amp;TEXT(Table1[[#This Row],[age]],"00")&amp;"-"&amp;TEXT(ROW(),"000")</f>
        <v>St33-1551</v>
      </c>
      <c r="AK1551" t="str">
        <f>LEFT(Table1[[#This Row],[membership_type]],1)&amp;TEXT(MATCH(Table1[[#This Row],[membership_type]],Table1[membership_type],0),"00")</f>
        <v>S02</v>
      </c>
      <c r="AL1551" t="str">
        <f>LEFT(Table1[[#This Row],[discount_type]],1)&amp;TEXT(ROUND(Table1[[#This Row],[discount_rate]]*100,0),"00")</f>
        <v>S15</v>
      </c>
      <c r="AM1551" t="str" cm="1">
        <f t="array" ref="AM1551">TEXT(SUMPRODUCT(CODE(MID(Table1[[#This Row],[home_gym_location]],_xlfn.SEQUENCE(LEN(Table1[[#This Row],[home_gym_location]])),1))),"00000")</f>
        <v>01245</v>
      </c>
      <c r="AN155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51" t="str">
        <f>LEFT(_xlfn.TEXTBEFORE(Table1[[#This Row],[Location Identifier]],"-"),3) &amp; "-" &amp; _xlfn.TEXTAFTER(Table1[[#This Row],[Location Identifier]],"-")</f>
        <v>LOS-005</v>
      </c>
      <c r="AP1551" s="9">
        <f t="shared" ca="1" si="240"/>
        <v>45869</v>
      </c>
    </row>
    <row r="1552" spans="1:42" x14ac:dyDescent="0.25">
      <c r="A1552">
        <v>16</v>
      </c>
      <c r="B1552" t="s">
        <v>42</v>
      </c>
      <c r="C1552">
        <v>3</v>
      </c>
      <c r="D1552" t="s">
        <v>100</v>
      </c>
      <c r="E1552" t="b">
        <v>1</v>
      </c>
      <c r="F1552" s="1">
        <v>0.62013888888888891</v>
      </c>
      <c r="G1552" s="1">
        <v>0.70972222222222225</v>
      </c>
      <c r="H1552">
        <v>129</v>
      </c>
      <c r="I1552" t="b">
        <v>1</v>
      </c>
      <c r="J1552" t="b">
        <v>0</v>
      </c>
      <c r="K1552" t="b">
        <v>1</v>
      </c>
      <c r="L1552" t="s">
        <v>28</v>
      </c>
      <c r="M1552">
        <v>20</v>
      </c>
      <c r="N1552" t="s">
        <v>29</v>
      </c>
      <c r="O1552">
        <v>20</v>
      </c>
      <c r="P1552" t="s">
        <v>36</v>
      </c>
      <c r="Q1552">
        <v>0</v>
      </c>
      <c r="R1552">
        <v>20</v>
      </c>
      <c r="S1552" t="s">
        <v>44</v>
      </c>
      <c r="T1552" t="s">
        <v>50</v>
      </c>
      <c r="U1552">
        <v>34.052199999999999</v>
      </c>
      <c r="V1552">
        <v>-118.2437</v>
      </c>
      <c r="W1552" s="2">
        <v>45190</v>
      </c>
      <c r="X1552">
        <v>0</v>
      </c>
      <c r="Y1552" t="b">
        <v>0</v>
      </c>
      <c r="Z1552" s="2">
        <v>45824</v>
      </c>
      <c r="AA1552" t="str">
        <f t="shared" si="241"/>
        <v>10–19</v>
      </c>
      <c r="AB1552" t="str">
        <f t="shared" si="242"/>
        <v>16–19</v>
      </c>
      <c r="AC1552" t="str">
        <f t="shared" si="243"/>
        <v/>
      </c>
      <c r="AD1552" t="str">
        <f t="shared" si="244"/>
        <v/>
      </c>
      <c r="AE1552" t="str">
        <f t="shared" si="245"/>
        <v>Wednesday</v>
      </c>
      <c r="AF1552" t="str">
        <f t="shared" si="246"/>
        <v/>
      </c>
      <c r="AG1552" t="str">
        <f t="shared" si="247"/>
        <v>Friday</v>
      </c>
      <c r="AH1552" t="str">
        <f t="shared" si="248"/>
        <v/>
      </c>
      <c r="AI1552" t="str">
        <f t="shared" si="249"/>
        <v>Sunday</v>
      </c>
      <c r="AJ1552" t="str">
        <f>LEFT(Table1[[#This Row],[membership_type]],2)&amp;TEXT(Table1[[#This Row],[age]],"00")&amp;"-"&amp;TEXT(ROW(),"000")</f>
        <v>Ba16-1552</v>
      </c>
      <c r="AK1552" t="str">
        <f>LEFT(Table1[[#This Row],[membership_type]],1)&amp;TEXT(MATCH(Table1[[#This Row],[membership_type]],Table1[membership_type],0),"00")</f>
        <v>B04</v>
      </c>
      <c r="AL1552" t="str">
        <f>LEFT(Table1[[#This Row],[discount_type]],1)&amp;TEXT(ROUND(Table1[[#This Row],[discount_rate]]*100,0),"00")</f>
        <v>N00</v>
      </c>
      <c r="AM1552" t="str" cm="1">
        <f t="array" ref="AM1552">TEXT(SUMPRODUCT(CODE(MID(Table1[[#This Row],[home_gym_location]],_xlfn.SEQUENCE(LEN(Table1[[#This Row],[home_gym_location]])),1))),"00000")</f>
        <v>01245</v>
      </c>
      <c r="AN155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52" t="str">
        <f>LEFT(_xlfn.TEXTBEFORE(Table1[[#This Row],[Location Identifier]],"-"),3) &amp; "-" &amp; _xlfn.TEXTAFTER(Table1[[#This Row],[Location Identifier]],"-")</f>
        <v>LOS-005</v>
      </c>
      <c r="AP1552" s="9">
        <f t="shared" ca="1" si="240"/>
        <v>45869</v>
      </c>
    </row>
    <row r="1553" spans="1:42" x14ac:dyDescent="0.25">
      <c r="A1553">
        <v>31</v>
      </c>
      <c r="B1553" t="s">
        <v>42</v>
      </c>
      <c r="C1553">
        <v>4</v>
      </c>
      <c r="D1553" t="s">
        <v>143</v>
      </c>
      <c r="E1553" t="b">
        <v>0</v>
      </c>
      <c r="F1553" s="1">
        <v>0.85624999999999996</v>
      </c>
      <c r="G1553" s="1">
        <v>0.9555555555555556</v>
      </c>
      <c r="H1553">
        <v>143</v>
      </c>
      <c r="I1553" t="b">
        <v>1</v>
      </c>
      <c r="J1553" t="b">
        <v>0</v>
      </c>
      <c r="K1553" t="b">
        <v>0</v>
      </c>
      <c r="L1553" t="s">
        <v>62</v>
      </c>
      <c r="M1553">
        <v>20</v>
      </c>
      <c r="N1553" t="s">
        <v>64</v>
      </c>
      <c r="O1553">
        <v>15</v>
      </c>
      <c r="P1553" t="s">
        <v>36</v>
      </c>
      <c r="Q1553">
        <v>0</v>
      </c>
      <c r="R1553">
        <v>15</v>
      </c>
      <c r="S1553" t="s">
        <v>44</v>
      </c>
      <c r="T1553" t="s">
        <v>59</v>
      </c>
      <c r="U1553">
        <v>37.774900000000002</v>
      </c>
      <c r="V1553">
        <v>-122.4194</v>
      </c>
      <c r="W1553" s="2">
        <v>44958</v>
      </c>
      <c r="X1553">
        <v>0</v>
      </c>
      <c r="Y1553" t="b">
        <v>0</v>
      </c>
      <c r="Z1553" s="2">
        <v>45811</v>
      </c>
      <c r="AA1553" t="str">
        <f t="shared" si="241"/>
        <v>30–39</v>
      </c>
      <c r="AB1553" t="str">
        <f t="shared" si="242"/>
        <v>30–39</v>
      </c>
      <c r="AC1553" t="str">
        <f t="shared" si="243"/>
        <v>Monday</v>
      </c>
      <c r="AD1553" t="str">
        <f t="shared" si="244"/>
        <v>Tuesday</v>
      </c>
      <c r="AE1553" t="str">
        <f t="shared" si="245"/>
        <v>Wednesday</v>
      </c>
      <c r="AF1553" t="str">
        <f t="shared" si="246"/>
        <v/>
      </c>
      <c r="AG1553" t="str">
        <f t="shared" si="247"/>
        <v>Friday</v>
      </c>
      <c r="AH1553" t="str">
        <f t="shared" si="248"/>
        <v/>
      </c>
      <c r="AI1553" t="str">
        <f t="shared" si="249"/>
        <v/>
      </c>
      <c r="AJ1553" t="str">
        <f>LEFT(Table1[[#This Row],[membership_type]],2)&amp;TEXT(Table1[[#This Row],[age]],"00")&amp;"-"&amp;TEXT(ROW(),"000")</f>
        <v>Ba31-1553</v>
      </c>
      <c r="AK1553" t="str">
        <f>LEFT(Table1[[#This Row],[membership_type]],1)&amp;TEXT(MATCH(Table1[[#This Row],[membership_type]],Table1[membership_type],0),"00")</f>
        <v>B04</v>
      </c>
      <c r="AL1553" t="str">
        <f>LEFT(Table1[[#This Row],[discount_type]],1)&amp;TEXT(ROUND(Table1[[#This Row],[discount_rate]]*100,0),"00")</f>
        <v>N00</v>
      </c>
      <c r="AM1553" t="str" cm="1">
        <f t="array" ref="AM1553">TEXT(SUMPRODUCT(CODE(MID(Table1[[#This Row],[home_gym_location]],_xlfn.SEQUENCE(LEN(Table1[[#This Row],[home_gym_location]])),1))),"00000")</f>
        <v>01450</v>
      </c>
      <c r="AN155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53" t="str">
        <f>LEFT(_xlfn.TEXTBEFORE(Table1[[#This Row],[Location Identifier]],"-"),3) &amp; "-" &amp; _xlfn.TEXTAFTER(Table1[[#This Row],[Location Identifier]],"-")</f>
        <v>SAN-009</v>
      </c>
      <c r="AP1553" s="9">
        <f t="shared" ca="1" si="240"/>
        <v>45869</v>
      </c>
    </row>
    <row r="1554" spans="1:42" x14ac:dyDescent="0.25">
      <c r="A1554">
        <v>33</v>
      </c>
      <c r="B1554" t="s">
        <v>26</v>
      </c>
      <c r="C1554">
        <v>1</v>
      </c>
      <c r="D1554" t="s">
        <v>63</v>
      </c>
      <c r="E1554" t="b">
        <v>0</v>
      </c>
      <c r="F1554" s="1">
        <v>0.58958333333333335</v>
      </c>
      <c r="G1554" s="1">
        <v>0.69861111111111107</v>
      </c>
      <c r="H1554">
        <v>157</v>
      </c>
      <c r="I1554" t="b">
        <v>0</v>
      </c>
      <c r="J1554" t="b">
        <v>0</v>
      </c>
      <c r="K1554" t="b">
        <v>0</v>
      </c>
      <c r="L1554" t="s">
        <v>62</v>
      </c>
      <c r="M1554">
        <v>50</v>
      </c>
      <c r="N1554" t="s">
        <v>29</v>
      </c>
      <c r="O1554">
        <v>50</v>
      </c>
      <c r="P1554" t="s">
        <v>30</v>
      </c>
      <c r="Q1554">
        <v>0.05</v>
      </c>
      <c r="R1554">
        <v>47.5</v>
      </c>
      <c r="S1554" t="s">
        <v>31</v>
      </c>
      <c r="T1554" t="s">
        <v>65</v>
      </c>
      <c r="U1554">
        <v>33.770099999999999</v>
      </c>
      <c r="V1554">
        <v>-118.19370000000001</v>
      </c>
      <c r="W1554" s="2">
        <v>44889</v>
      </c>
      <c r="X1554">
        <v>0</v>
      </c>
      <c r="Y1554" t="b">
        <v>1</v>
      </c>
      <c r="Z1554" s="2">
        <v>45807</v>
      </c>
      <c r="AA1554" t="str">
        <f t="shared" si="241"/>
        <v>30–39</v>
      </c>
      <c r="AB1554" t="str">
        <f t="shared" si="242"/>
        <v>30–39</v>
      </c>
      <c r="AC1554" t="str">
        <f t="shared" si="243"/>
        <v/>
      </c>
      <c r="AD1554" t="str">
        <f t="shared" si="244"/>
        <v/>
      </c>
      <c r="AE1554" t="str">
        <f t="shared" si="245"/>
        <v>Wednesday</v>
      </c>
      <c r="AF1554" t="str">
        <f t="shared" si="246"/>
        <v/>
      </c>
      <c r="AG1554" t="str">
        <f t="shared" si="247"/>
        <v/>
      </c>
      <c r="AH1554" t="str">
        <f t="shared" si="248"/>
        <v/>
      </c>
      <c r="AI1554" t="str">
        <f t="shared" si="249"/>
        <v/>
      </c>
      <c r="AJ1554" t="str">
        <f>LEFT(Table1[[#This Row],[membership_type]],2)&amp;TEXT(Table1[[#This Row],[age]],"00")&amp;"-"&amp;TEXT(ROW(),"000")</f>
        <v>Pr33-1554</v>
      </c>
      <c r="AK1554" t="str">
        <f>LEFT(Table1[[#This Row],[membership_type]],1)&amp;TEXT(MATCH(Table1[[#This Row],[membership_type]],Table1[membership_type],0),"00")</f>
        <v>P01</v>
      </c>
      <c r="AL1554" t="str">
        <f>LEFT(Table1[[#This Row],[discount_type]],1)&amp;TEXT(ROUND(Table1[[#This Row],[discount_rate]]*100,0),"00")</f>
        <v>P05</v>
      </c>
      <c r="AM1554" t="str" cm="1">
        <f t="array" ref="AM1554">TEXT(SUMPRODUCT(CODE(MID(Table1[[#This Row],[home_gym_location]],_xlfn.SEQUENCE(LEN(Table1[[#This Row],[home_gym_location]])),1))),"00000")</f>
        <v>01107</v>
      </c>
      <c r="AN155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54" t="str">
        <f>LEFT(_xlfn.TEXTBEFORE(Table1[[#This Row],[Location Identifier]],"-"),3) &amp; "-" &amp; _xlfn.TEXTAFTER(Table1[[#This Row],[Location Identifier]],"-")</f>
        <v>LON-004</v>
      </c>
      <c r="AP1554" s="9">
        <f t="shared" ca="1" si="240"/>
        <v>45869</v>
      </c>
    </row>
    <row r="1555" spans="1:42" x14ac:dyDescent="0.25">
      <c r="A1555">
        <v>13</v>
      </c>
      <c r="B1555" t="s">
        <v>26</v>
      </c>
      <c r="C1555">
        <v>2</v>
      </c>
      <c r="D1555" t="s">
        <v>70</v>
      </c>
      <c r="E1555" t="b">
        <v>0</v>
      </c>
      <c r="F1555" s="1">
        <v>0.81180555555555556</v>
      </c>
      <c r="G1555" s="1">
        <v>0.87638888888888888</v>
      </c>
      <c r="H1555">
        <v>93</v>
      </c>
      <c r="I1555" t="b">
        <v>1</v>
      </c>
      <c r="J1555" t="b">
        <v>0</v>
      </c>
      <c r="K1555" t="b">
        <v>1</v>
      </c>
      <c r="L1555" t="s">
        <v>28</v>
      </c>
      <c r="M1555">
        <v>50</v>
      </c>
      <c r="N1555" t="s">
        <v>64</v>
      </c>
      <c r="O1555">
        <v>37.5</v>
      </c>
      <c r="P1555" t="s">
        <v>74</v>
      </c>
      <c r="Q1555">
        <v>0.15</v>
      </c>
      <c r="R1555">
        <v>31.875</v>
      </c>
      <c r="S1555" t="s">
        <v>31</v>
      </c>
      <c r="T1555" t="s">
        <v>48</v>
      </c>
      <c r="U1555">
        <v>38.581600000000002</v>
      </c>
      <c r="V1555">
        <v>-121.4944</v>
      </c>
      <c r="W1555" s="2">
        <v>45588</v>
      </c>
      <c r="X1555">
        <v>0</v>
      </c>
      <c r="Y1555" t="b">
        <v>1</v>
      </c>
      <c r="Z1555" s="2">
        <v>45847</v>
      </c>
      <c r="AA1555" t="str">
        <f t="shared" si="241"/>
        <v>10–19</v>
      </c>
      <c r="AB1555" t="str">
        <f t="shared" si="242"/>
        <v>Under 16</v>
      </c>
      <c r="AC1555" t="str">
        <f t="shared" si="243"/>
        <v/>
      </c>
      <c r="AD1555" t="str">
        <f t="shared" si="244"/>
        <v/>
      </c>
      <c r="AE1555" t="str">
        <f t="shared" si="245"/>
        <v>Wednesday</v>
      </c>
      <c r="AF1555" t="str">
        <f t="shared" si="246"/>
        <v>Thursday</v>
      </c>
      <c r="AG1555" t="str">
        <f t="shared" si="247"/>
        <v/>
      </c>
      <c r="AH1555" t="str">
        <f t="shared" si="248"/>
        <v/>
      </c>
      <c r="AI1555" t="str">
        <f t="shared" si="249"/>
        <v/>
      </c>
      <c r="AJ1555" t="str">
        <f>LEFT(Table1[[#This Row],[membership_type]],2)&amp;TEXT(Table1[[#This Row],[age]],"00")&amp;"-"&amp;TEXT(ROW(),"000")</f>
        <v>Pr13-1555</v>
      </c>
      <c r="AK1555" t="str">
        <f>LEFT(Table1[[#This Row],[membership_type]],1)&amp;TEXT(MATCH(Table1[[#This Row],[membership_type]],Table1[membership_type],0),"00")</f>
        <v>P01</v>
      </c>
      <c r="AL1555" t="str">
        <f>LEFT(Table1[[#This Row],[discount_type]],1)&amp;TEXT(ROUND(Table1[[#This Row],[discount_rate]]*100,0),"00")</f>
        <v>S15</v>
      </c>
      <c r="AM1555" t="str" cm="1">
        <f t="array" ref="AM1555">TEXT(SUMPRODUCT(CODE(MID(Table1[[#This Row],[home_gym_location]],_xlfn.SEQUENCE(LEN(Table1[[#This Row],[home_gym_location]])),1))),"00000")</f>
        <v>01245</v>
      </c>
      <c r="AN155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55" t="str">
        <f>LEFT(_xlfn.TEXTBEFORE(Table1[[#This Row],[Location Identifier]],"-"),3) &amp; "-" &amp; _xlfn.TEXTAFTER(Table1[[#This Row],[Location Identifier]],"-")</f>
        <v>SAC-007</v>
      </c>
      <c r="AP1555" s="9">
        <f t="shared" ca="1" si="240"/>
        <v>45869</v>
      </c>
    </row>
    <row r="1556" spans="1:42" x14ac:dyDescent="0.25">
      <c r="A1556">
        <v>33</v>
      </c>
      <c r="B1556" t="s">
        <v>33</v>
      </c>
      <c r="C1556">
        <v>1</v>
      </c>
      <c r="D1556" t="s">
        <v>63</v>
      </c>
      <c r="E1556" t="b">
        <v>1</v>
      </c>
      <c r="F1556" s="1">
        <v>0.37777777777777777</v>
      </c>
      <c r="G1556" s="1">
        <v>0.40763888888888888</v>
      </c>
      <c r="H1556">
        <v>43</v>
      </c>
      <c r="I1556" t="b">
        <v>1</v>
      </c>
      <c r="J1556" t="b">
        <v>0</v>
      </c>
      <c r="K1556" t="b">
        <v>0</v>
      </c>
      <c r="L1556" t="s">
        <v>28</v>
      </c>
      <c r="M1556">
        <v>30</v>
      </c>
      <c r="N1556" t="s">
        <v>29</v>
      </c>
      <c r="O1556">
        <v>30</v>
      </c>
      <c r="P1556" t="s">
        <v>36</v>
      </c>
      <c r="Q1556">
        <v>0</v>
      </c>
      <c r="R1556">
        <v>30</v>
      </c>
      <c r="S1556" t="s">
        <v>37</v>
      </c>
      <c r="T1556" t="s">
        <v>65</v>
      </c>
      <c r="U1556">
        <v>33.770099999999999</v>
      </c>
      <c r="V1556">
        <v>-118.19370000000001</v>
      </c>
      <c r="W1556" s="2">
        <v>45605</v>
      </c>
      <c r="X1556">
        <v>0</v>
      </c>
      <c r="Y1556" t="b">
        <v>0</v>
      </c>
      <c r="Z1556" s="2">
        <v>45848</v>
      </c>
      <c r="AA1556" t="str">
        <f t="shared" si="241"/>
        <v>30–39</v>
      </c>
      <c r="AB1556" t="str">
        <f t="shared" si="242"/>
        <v>30–39</v>
      </c>
      <c r="AC1556" t="str">
        <f t="shared" si="243"/>
        <v/>
      </c>
      <c r="AD1556" t="str">
        <f t="shared" si="244"/>
        <v/>
      </c>
      <c r="AE1556" t="str">
        <f t="shared" si="245"/>
        <v>Wednesday</v>
      </c>
      <c r="AF1556" t="str">
        <f t="shared" si="246"/>
        <v/>
      </c>
      <c r="AG1556" t="str">
        <f t="shared" si="247"/>
        <v/>
      </c>
      <c r="AH1556" t="str">
        <f t="shared" si="248"/>
        <v/>
      </c>
      <c r="AI1556" t="str">
        <f t="shared" si="249"/>
        <v/>
      </c>
      <c r="AJ1556" t="str">
        <f>LEFT(Table1[[#This Row],[membership_type]],2)&amp;TEXT(Table1[[#This Row],[age]],"00")&amp;"-"&amp;TEXT(ROW(),"000")</f>
        <v>St33-1556</v>
      </c>
      <c r="AK1556" t="str">
        <f>LEFT(Table1[[#This Row],[membership_type]],1)&amp;TEXT(MATCH(Table1[[#This Row],[membership_type]],Table1[membership_type],0),"00")</f>
        <v>S02</v>
      </c>
      <c r="AL1556" t="str">
        <f>LEFT(Table1[[#This Row],[discount_type]],1)&amp;TEXT(ROUND(Table1[[#This Row],[discount_rate]]*100,0),"00")</f>
        <v>N00</v>
      </c>
      <c r="AM1556" t="str" cm="1">
        <f t="array" ref="AM1556">TEXT(SUMPRODUCT(CODE(MID(Table1[[#This Row],[home_gym_location]],_xlfn.SEQUENCE(LEN(Table1[[#This Row],[home_gym_location]])),1))),"00000")</f>
        <v>01107</v>
      </c>
      <c r="AN155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56" t="str">
        <f>LEFT(_xlfn.TEXTBEFORE(Table1[[#This Row],[Location Identifier]],"-"),3) &amp; "-" &amp; _xlfn.TEXTAFTER(Table1[[#This Row],[Location Identifier]],"-")</f>
        <v>LON-004</v>
      </c>
      <c r="AP1556" s="9">
        <f t="shared" ca="1" si="240"/>
        <v>45869</v>
      </c>
    </row>
    <row r="1557" spans="1:42" x14ac:dyDescent="0.25">
      <c r="A1557">
        <v>33</v>
      </c>
      <c r="B1557" t="s">
        <v>26</v>
      </c>
      <c r="C1557">
        <v>2</v>
      </c>
      <c r="D1557" t="s">
        <v>139</v>
      </c>
      <c r="E1557" t="b">
        <v>1</v>
      </c>
      <c r="F1557" s="1">
        <v>0.71250000000000002</v>
      </c>
      <c r="G1557" s="1">
        <v>0.79791666666666672</v>
      </c>
      <c r="H1557">
        <v>123</v>
      </c>
      <c r="I1557" t="b">
        <v>1</v>
      </c>
      <c r="J1557" t="b">
        <v>1</v>
      </c>
      <c r="K1557" t="b">
        <v>0</v>
      </c>
      <c r="L1557" t="s">
        <v>47</v>
      </c>
      <c r="M1557">
        <v>50</v>
      </c>
      <c r="N1557" t="s">
        <v>29</v>
      </c>
      <c r="O1557">
        <v>50</v>
      </c>
      <c r="P1557" t="s">
        <v>40</v>
      </c>
      <c r="Q1557">
        <v>0.1</v>
      </c>
      <c r="R1557">
        <v>45</v>
      </c>
      <c r="S1557" t="s">
        <v>31</v>
      </c>
      <c r="T1557" t="s">
        <v>38</v>
      </c>
      <c r="U1557">
        <v>36.7378</v>
      </c>
      <c r="V1557">
        <v>-119.7871</v>
      </c>
      <c r="W1557" s="2">
        <v>45180</v>
      </c>
      <c r="X1557">
        <v>1</v>
      </c>
      <c r="Y1557" t="b">
        <v>1</v>
      </c>
      <c r="Z1557" s="2">
        <v>45824</v>
      </c>
      <c r="AA1557" t="str">
        <f t="shared" si="241"/>
        <v>30–39</v>
      </c>
      <c r="AB1557" t="str">
        <f t="shared" si="242"/>
        <v>30–39</v>
      </c>
      <c r="AC1557" t="str">
        <f t="shared" si="243"/>
        <v/>
      </c>
      <c r="AD1557" t="str">
        <f t="shared" si="244"/>
        <v/>
      </c>
      <c r="AE1557" t="str">
        <f t="shared" si="245"/>
        <v>Wednesday</v>
      </c>
      <c r="AF1557" t="str">
        <f t="shared" si="246"/>
        <v/>
      </c>
      <c r="AG1557" t="str">
        <f t="shared" si="247"/>
        <v/>
      </c>
      <c r="AH1557" t="str">
        <f t="shared" si="248"/>
        <v>Saturday</v>
      </c>
      <c r="AI1557" t="str">
        <f t="shared" si="249"/>
        <v/>
      </c>
      <c r="AJ1557" t="str">
        <f>LEFT(Table1[[#This Row],[membership_type]],2)&amp;TEXT(Table1[[#This Row],[age]],"00")&amp;"-"&amp;TEXT(ROW(),"000")</f>
        <v>Pr33-1557</v>
      </c>
      <c r="AK1557" t="str">
        <f>LEFT(Table1[[#This Row],[membership_type]],1)&amp;TEXT(MATCH(Table1[[#This Row],[membership_type]],Table1[membership_type],0),"00")</f>
        <v>P01</v>
      </c>
      <c r="AL1557" t="str">
        <f>LEFT(Table1[[#This Row],[discount_type]],1)&amp;TEXT(ROUND(Table1[[#This Row],[discount_rate]]*100,0),"00")</f>
        <v>L10</v>
      </c>
      <c r="AM1557" t="str" cm="1">
        <f t="array" ref="AM1557">TEXT(SUMPRODUCT(CODE(MID(Table1[[#This Row],[home_gym_location]],_xlfn.SEQUENCE(LEN(Table1[[#This Row],[home_gym_location]])),1))),"00000")</f>
        <v>00829</v>
      </c>
      <c r="AN1557" t="str">
        <f>UPPER(_xlfn.TEXTBEFORE(Table1[[#This Row],[home_gym_location]],","))&amp;"-"&amp;TEXT(MATCH(Table1[[#This Row],[home_gym_location]],_xlfn._xlws.SORT(_xlfn.UNIQUE(Table1[home_gym_location])),0),"000")</f>
        <v>FRESNO-003</v>
      </c>
      <c r="AO1557" t="str">
        <f>LEFT(_xlfn.TEXTBEFORE(Table1[[#This Row],[Location Identifier]],"-"),3) &amp; "-" &amp; _xlfn.TEXTAFTER(Table1[[#This Row],[Location Identifier]],"-")</f>
        <v>FRE-003</v>
      </c>
      <c r="AP1557" s="9">
        <f t="shared" ca="1" si="240"/>
        <v>45869</v>
      </c>
    </row>
    <row r="1558" spans="1:42" x14ac:dyDescent="0.25">
      <c r="A1558">
        <v>44</v>
      </c>
      <c r="B1558" t="s">
        <v>42</v>
      </c>
      <c r="C1558">
        <v>1</v>
      </c>
      <c r="D1558" t="s">
        <v>97</v>
      </c>
      <c r="E1558" t="b">
        <v>0</v>
      </c>
      <c r="F1558" s="1">
        <v>0.7368055555555556</v>
      </c>
      <c r="G1558" s="1">
        <v>0.76041666666666663</v>
      </c>
      <c r="H1558">
        <v>34</v>
      </c>
      <c r="I1558" t="b">
        <v>1</v>
      </c>
      <c r="J1558" t="b">
        <v>1</v>
      </c>
      <c r="K1558" t="b">
        <v>0</v>
      </c>
      <c r="L1558" t="s">
        <v>62</v>
      </c>
      <c r="M1558">
        <v>20</v>
      </c>
      <c r="N1558" t="s">
        <v>29</v>
      </c>
      <c r="O1558">
        <v>20</v>
      </c>
      <c r="P1558" t="s">
        <v>74</v>
      </c>
      <c r="Q1558">
        <v>0.15</v>
      </c>
      <c r="R1558">
        <v>17</v>
      </c>
      <c r="S1558" t="s">
        <v>44</v>
      </c>
      <c r="T1558" t="s">
        <v>54</v>
      </c>
      <c r="U1558">
        <v>32.715699999999998</v>
      </c>
      <c r="V1558">
        <v>-117.1611</v>
      </c>
      <c r="W1558" s="2">
        <v>45393</v>
      </c>
      <c r="X1558">
        <v>1</v>
      </c>
      <c r="Y1558" t="b">
        <v>0</v>
      </c>
      <c r="Z1558" s="2">
        <v>45836</v>
      </c>
      <c r="AA1558" t="str">
        <f t="shared" si="241"/>
        <v>40–49</v>
      </c>
      <c r="AB1558" t="str">
        <f t="shared" si="242"/>
        <v>40–49</v>
      </c>
      <c r="AC1558" t="str">
        <f t="shared" si="243"/>
        <v>Monday</v>
      </c>
      <c r="AD1558" t="str">
        <f t="shared" si="244"/>
        <v/>
      </c>
      <c r="AE1558" t="str">
        <f t="shared" si="245"/>
        <v/>
      </c>
      <c r="AF1558" t="str">
        <f t="shared" si="246"/>
        <v/>
      </c>
      <c r="AG1558" t="str">
        <f t="shared" si="247"/>
        <v/>
      </c>
      <c r="AH1558" t="str">
        <f t="shared" si="248"/>
        <v/>
      </c>
      <c r="AI1558" t="str">
        <f t="shared" si="249"/>
        <v/>
      </c>
      <c r="AJ1558" t="str">
        <f>LEFT(Table1[[#This Row],[membership_type]],2)&amp;TEXT(Table1[[#This Row],[age]],"00")&amp;"-"&amp;TEXT(ROW(),"000")</f>
        <v>Ba44-1558</v>
      </c>
      <c r="AK1558" t="str">
        <f>LEFT(Table1[[#This Row],[membership_type]],1)&amp;TEXT(MATCH(Table1[[#This Row],[membership_type]],Table1[membership_type],0),"00")</f>
        <v>B04</v>
      </c>
      <c r="AL1558" t="str">
        <f>LEFT(Table1[[#This Row],[discount_type]],1)&amp;TEXT(ROUND(Table1[[#This Row],[discount_rate]]*100,0),"00")</f>
        <v>S15</v>
      </c>
      <c r="AM1558" t="str" cm="1">
        <f t="array" ref="AM1558">TEXT(SUMPRODUCT(CODE(MID(Table1[[#This Row],[home_gym_location]],_xlfn.SEQUENCE(LEN(Table1[[#This Row],[home_gym_location]])),1))),"00000")</f>
        <v>01018</v>
      </c>
      <c r="AN155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58" t="str">
        <f>LEFT(_xlfn.TEXTBEFORE(Table1[[#This Row],[Location Identifier]],"-"),3) &amp; "-" &amp; _xlfn.TEXTAFTER(Table1[[#This Row],[Location Identifier]],"-")</f>
        <v>SAN-008</v>
      </c>
      <c r="AP1558" s="9">
        <f t="shared" ca="1" si="240"/>
        <v>45869</v>
      </c>
    </row>
    <row r="1559" spans="1:42" x14ac:dyDescent="0.25">
      <c r="A1559">
        <v>34</v>
      </c>
      <c r="B1559" t="s">
        <v>42</v>
      </c>
      <c r="C1559">
        <v>3</v>
      </c>
      <c r="D1559" t="s">
        <v>121</v>
      </c>
      <c r="E1559" t="b">
        <v>0</v>
      </c>
      <c r="F1559" s="1">
        <v>0.45416666666666666</v>
      </c>
      <c r="G1559" s="1">
        <v>0.48055555555555557</v>
      </c>
      <c r="H1559">
        <v>38</v>
      </c>
      <c r="I1559" t="b">
        <v>0</v>
      </c>
      <c r="J1559" t="b">
        <v>0</v>
      </c>
      <c r="K1559" t="b">
        <v>0</v>
      </c>
      <c r="L1559" t="s">
        <v>35</v>
      </c>
      <c r="M1559">
        <v>20</v>
      </c>
      <c r="N1559" t="s">
        <v>29</v>
      </c>
      <c r="O1559">
        <v>20</v>
      </c>
      <c r="P1559" t="s">
        <v>30</v>
      </c>
      <c r="Q1559">
        <v>0.05</v>
      </c>
      <c r="R1559">
        <v>19</v>
      </c>
      <c r="S1559" t="s">
        <v>44</v>
      </c>
      <c r="T1559" t="s">
        <v>45</v>
      </c>
      <c r="U1559">
        <v>33.836599999999997</v>
      </c>
      <c r="V1559">
        <v>-117.9143</v>
      </c>
      <c r="W1559" s="2">
        <v>44936</v>
      </c>
      <c r="X1559">
        <v>0</v>
      </c>
      <c r="Y1559" t="b">
        <v>0</v>
      </c>
      <c r="Z1559" s="2">
        <v>45810</v>
      </c>
      <c r="AA1559" t="str">
        <f t="shared" si="241"/>
        <v>30–39</v>
      </c>
      <c r="AB1559" t="str">
        <f t="shared" si="242"/>
        <v>30–39</v>
      </c>
      <c r="AC1559" t="str">
        <f t="shared" si="243"/>
        <v>Monday</v>
      </c>
      <c r="AD1559" t="str">
        <f t="shared" si="244"/>
        <v>Tuesday</v>
      </c>
      <c r="AE1559" t="str">
        <f t="shared" si="245"/>
        <v/>
      </c>
      <c r="AF1559" t="str">
        <f t="shared" si="246"/>
        <v/>
      </c>
      <c r="AG1559" t="str">
        <f t="shared" si="247"/>
        <v/>
      </c>
      <c r="AH1559" t="str">
        <f t="shared" si="248"/>
        <v/>
      </c>
      <c r="AI1559" t="str">
        <f t="shared" si="249"/>
        <v>Sunday</v>
      </c>
      <c r="AJ1559" t="str">
        <f>LEFT(Table1[[#This Row],[membership_type]],2)&amp;TEXT(Table1[[#This Row],[age]],"00")&amp;"-"&amp;TEXT(ROW(),"000")</f>
        <v>Ba34-1559</v>
      </c>
      <c r="AK1559" t="str">
        <f>LEFT(Table1[[#This Row],[membership_type]],1)&amp;TEXT(MATCH(Table1[[#This Row],[membership_type]],Table1[membership_type],0),"00")</f>
        <v>B04</v>
      </c>
      <c r="AL1559" t="str">
        <f>LEFT(Table1[[#This Row],[discount_type]],1)&amp;TEXT(ROUND(Table1[[#This Row],[discount_rate]]*100,0),"00")</f>
        <v>P05</v>
      </c>
      <c r="AM1559" t="str" cm="1">
        <f t="array" ref="AM1559">TEXT(SUMPRODUCT(CODE(MID(Table1[[#This Row],[home_gym_location]],_xlfn.SEQUENCE(LEN(Table1[[#This Row],[home_gym_location]])),1))),"00000")</f>
        <v>00899</v>
      </c>
      <c r="AN155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59" t="str">
        <f>LEFT(_xlfn.TEXTBEFORE(Table1[[#This Row],[Location Identifier]],"-"),3) &amp; "-" &amp; _xlfn.TEXTAFTER(Table1[[#This Row],[Location Identifier]],"-")</f>
        <v>ANA-001</v>
      </c>
      <c r="AP1559" s="9">
        <f t="shared" ca="1" si="240"/>
        <v>45869</v>
      </c>
    </row>
    <row r="1560" spans="1:42" x14ac:dyDescent="0.25">
      <c r="A1560">
        <v>26</v>
      </c>
      <c r="B1560" t="s">
        <v>33</v>
      </c>
      <c r="C1560">
        <v>3</v>
      </c>
      <c r="D1560" t="s">
        <v>134</v>
      </c>
      <c r="E1560" t="b">
        <v>1</v>
      </c>
      <c r="F1560" s="1">
        <v>0.73263888888888884</v>
      </c>
      <c r="G1560" s="1">
        <v>0.77152777777777781</v>
      </c>
      <c r="H1560">
        <v>56</v>
      </c>
      <c r="I1560" t="b">
        <v>1</v>
      </c>
      <c r="J1560" t="b">
        <v>0</v>
      </c>
      <c r="K1560" t="b">
        <v>1</v>
      </c>
      <c r="L1560" t="s">
        <v>47</v>
      </c>
      <c r="M1560">
        <v>30</v>
      </c>
      <c r="N1560" t="s">
        <v>29</v>
      </c>
      <c r="O1560">
        <v>30</v>
      </c>
      <c r="P1560" t="s">
        <v>36</v>
      </c>
      <c r="Q1560">
        <v>0</v>
      </c>
      <c r="R1560">
        <v>30</v>
      </c>
      <c r="S1560" t="s">
        <v>37</v>
      </c>
      <c r="T1560" t="s">
        <v>38</v>
      </c>
      <c r="U1560">
        <v>36.7378</v>
      </c>
      <c r="V1560">
        <v>-119.7871</v>
      </c>
      <c r="W1560" s="2">
        <v>44872</v>
      </c>
      <c r="X1560">
        <v>0</v>
      </c>
      <c r="Y1560" t="b">
        <v>0</v>
      </c>
      <c r="Z1560" s="2">
        <v>45806</v>
      </c>
      <c r="AA1560" t="str">
        <f t="shared" si="241"/>
        <v>20–29</v>
      </c>
      <c r="AB1560" t="str">
        <f t="shared" si="242"/>
        <v>20–29</v>
      </c>
      <c r="AC1560" t="str">
        <f t="shared" si="243"/>
        <v/>
      </c>
      <c r="AD1560" t="str">
        <f t="shared" si="244"/>
        <v>Tuesday</v>
      </c>
      <c r="AE1560" t="str">
        <f t="shared" si="245"/>
        <v/>
      </c>
      <c r="AF1560" t="str">
        <f t="shared" si="246"/>
        <v>Thursday</v>
      </c>
      <c r="AG1560" t="str">
        <f t="shared" si="247"/>
        <v/>
      </c>
      <c r="AH1560" t="str">
        <f t="shared" si="248"/>
        <v>Saturday</v>
      </c>
      <c r="AI1560" t="str">
        <f t="shared" si="249"/>
        <v/>
      </c>
      <c r="AJ1560" t="str">
        <f>LEFT(Table1[[#This Row],[membership_type]],2)&amp;TEXT(Table1[[#This Row],[age]],"00")&amp;"-"&amp;TEXT(ROW(),"000")</f>
        <v>St26-1560</v>
      </c>
      <c r="AK1560" t="str">
        <f>LEFT(Table1[[#This Row],[membership_type]],1)&amp;TEXT(MATCH(Table1[[#This Row],[membership_type]],Table1[membership_type],0),"00")</f>
        <v>S02</v>
      </c>
      <c r="AL1560" t="str">
        <f>LEFT(Table1[[#This Row],[discount_type]],1)&amp;TEXT(ROUND(Table1[[#This Row],[discount_rate]]*100,0),"00")</f>
        <v>N00</v>
      </c>
      <c r="AM1560" t="str" cm="1">
        <f t="array" ref="AM1560">TEXT(SUMPRODUCT(CODE(MID(Table1[[#This Row],[home_gym_location]],_xlfn.SEQUENCE(LEN(Table1[[#This Row],[home_gym_location]])),1))),"00000")</f>
        <v>00829</v>
      </c>
      <c r="AN1560" t="str">
        <f>UPPER(_xlfn.TEXTBEFORE(Table1[[#This Row],[home_gym_location]],","))&amp;"-"&amp;TEXT(MATCH(Table1[[#This Row],[home_gym_location]],_xlfn._xlws.SORT(_xlfn.UNIQUE(Table1[home_gym_location])),0),"000")</f>
        <v>FRESNO-003</v>
      </c>
      <c r="AO1560" t="str">
        <f>LEFT(_xlfn.TEXTBEFORE(Table1[[#This Row],[Location Identifier]],"-"),3) &amp; "-" &amp; _xlfn.TEXTAFTER(Table1[[#This Row],[Location Identifier]],"-")</f>
        <v>FRE-003</v>
      </c>
      <c r="AP1560" s="9">
        <f t="shared" ca="1" si="240"/>
        <v>45869</v>
      </c>
    </row>
    <row r="1561" spans="1:42" x14ac:dyDescent="0.25">
      <c r="A1561">
        <v>18</v>
      </c>
      <c r="B1561" t="s">
        <v>33</v>
      </c>
      <c r="C1561">
        <v>2</v>
      </c>
      <c r="D1561" t="s">
        <v>108</v>
      </c>
      <c r="E1561" t="b">
        <v>0</v>
      </c>
      <c r="F1561" s="1">
        <v>0.69513888888888886</v>
      </c>
      <c r="G1561" s="1">
        <v>0.79166666666666663</v>
      </c>
      <c r="H1561">
        <v>139</v>
      </c>
      <c r="I1561" t="b">
        <v>1</v>
      </c>
      <c r="J1561" t="b">
        <v>0</v>
      </c>
      <c r="K1561" t="b">
        <v>0</v>
      </c>
      <c r="L1561" t="s">
        <v>62</v>
      </c>
      <c r="M1561">
        <v>30</v>
      </c>
      <c r="N1561" t="s">
        <v>64</v>
      </c>
      <c r="O1561">
        <v>22.5</v>
      </c>
      <c r="P1561" t="s">
        <v>36</v>
      </c>
      <c r="Q1561">
        <v>0</v>
      </c>
      <c r="R1561">
        <v>22.5</v>
      </c>
      <c r="S1561" t="s">
        <v>37</v>
      </c>
      <c r="T1561" t="s">
        <v>56</v>
      </c>
      <c r="U1561">
        <v>35.3733</v>
      </c>
      <c r="V1561">
        <v>-119.0187</v>
      </c>
      <c r="W1561" s="2">
        <v>45454</v>
      </c>
      <c r="X1561">
        <v>0</v>
      </c>
      <c r="Y1561" t="b">
        <v>1</v>
      </c>
      <c r="Z1561" s="2">
        <v>45839</v>
      </c>
      <c r="AA1561" t="str">
        <f t="shared" si="241"/>
        <v>10–19</v>
      </c>
      <c r="AB1561" t="str">
        <f t="shared" si="242"/>
        <v>16–19</v>
      </c>
      <c r="AC1561" t="str">
        <f t="shared" si="243"/>
        <v/>
      </c>
      <c r="AD1561" t="str">
        <f t="shared" si="244"/>
        <v>Tuesday</v>
      </c>
      <c r="AE1561" t="str">
        <f t="shared" si="245"/>
        <v/>
      </c>
      <c r="AF1561" t="str">
        <f t="shared" si="246"/>
        <v>Thursday</v>
      </c>
      <c r="AG1561" t="str">
        <f t="shared" si="247"/>
        <v/>
      </c>
      <c r="AH1561" t="str">
        <f t="shared" si="248"/>
        <v/>
      </c>
      <c r="AI1561" t="str">
        <f t="shared" si="249"/>
        <v/>
      </c>
      <c r="AJ1561" t="str">
        <f>LEFT(Table1[[#This Row],[membership_type]],2)&amp;TEXT(Table1[[#This Row],[age]],"00")&amp;"-"&amp;TEXT(ROW(),"000")</f>
        <v>St18-1561</v>
      </c>
      <c r="AK1561" t="str">
        <f>LEFT(Table1[[#This Row],[membership_type]],1)&amp;TEXT(MATCH(Table1[[#This Row],[membership_type]],Table1[membership_type],0),"00")</f>
        <v>S02</v>
      </c>
      <c r="AL1561" t="str">
        <f>LEFT(Table1[[#This Row],[discount_type]],1)&amp;TEXT(ROUND(Table1[[#This Row],[discount_rate]]*100,0),"00")</f>
        <v>N00</v>
      </c>
      <c r="AM1561" t="str" cm="1">
        <f t="array" ref="AM1561">TEXT(SUMPRODUCT(CODE(MID(Table1[[#This Row],[home_gym_location]],_xlfn.SEQUENCE(LEN(Table1[[#This Row],[home_gym_location]])),1))),"00000")</f>
        <v>01324</v>
      </c>
      <c r="AN156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61" t="str">
        <f>LEFT(_xlfn.TEXTBEFORE(Table1[[#This Row],[Location Identifier]],"-"),3) &amp; "-" &amp; _xlfn.TEXTAFTER(Table1[[#This Row],[Location Identifier]],"-")</f>
        <v>BAK-002</v>
      </c>
      <c r="AP1561" s="9">
        <f t="shared" ca="1" si="240"/>
        <v>45869</v>
      </c>
    </row>
    <row r="1562" spans="1:42" x14ac:dyDescent="0.25">
      <c r="A1562">
        <v>24</v>
      </c>
      <c r="B1562" t="s">
        <v>33</v>
      </c>
      <c r="C1562">
        <v>3</v>
      </c>
      <c r="D1562" t="s">
        <v>155</v>
      </c>
      <c r="E1562" t="b">
        <v>0</v>
      </c>
      <c r="F1562" s="1">
        <v>0.3840277777777778</v>
      </c>
      <c r="G1562" s="1">
        <v>0.48402777777777778</v>
      </c>
      <c r="H1562">
        <v>144</v>
      </c>
      <c r="I1562" t="b">
        <v>0</v>
      </c>
      <c r="J1562" t="b">
        <v>0</v>
      </c>
      <c r="K1562" t="b">
        <v>0</v>
      </c>
      <c r="L1562" t="s">
        <v>62</v>
      </c>
      <c r="M1562">
        <v>30</v>
      </c>
      <c r="N1562" t="s">
        <v>78</v>
      </c>
      <c r="O1562">
        <v>27</v>
      </c>
      <c r="P1562" t="s">
        <v>40</v>
      </c>
      <c r="Q1562">
        <v>0.1</v>
      </c>
      <c r="R1562">
        <v>24.3</v>
      </c>
      <c r="S1562" t="s">
        <v>37</v>
      </c>
      <c r="T1562" t="s">
        <v>59</v>
      </c>
      <c r="U1562">
        <v>37.774900000000002</v>
      </c>
      <c r="V1562">
        <v>-122.4194</v>
      </c>
      <c r="W1562" s="2">
        <v>45578</v>
      </c>
      <c r="X1562">
        <v>0</v>
      </c>
      <c r="Y1562" t="b">
        <v>0</v>
      </c>
      <c r="Z1562" s="2">
        <v>45846</v>
      </c>
      <c r="AA1562" t="str">
        <f t="shared" si="241"/>
        <v>20–29</v>
      </c>
      <c r="AB1562" t="str">
        <f t="shared" si="242"/>
        <v>20–29</v>
      </c>
      <c r="AC1562" t="str">
        <f t="shared" si="243"/>
        <v>Monday</v>
      </c>
      <c r="AD1562" t="str">
        <f t="shared" si="244"/>
        <v/>
      </c>
      <c r="AE1562" t="str">
        <f t="shared" si="245"/>
        <v>Wednesday</v>
      </c>
      <c r="AF1562" t="str">
        <f t="shared" si="246"/>
        <v>Thursday</v>
      </c>
      <c r="AG1562" t="str">
        <f t="shared" si="247"/>
        <v/>
      </c>
      <c r="AH1562" t="str">
        <f t="shared" si="248"/>
        <v/>
      </c>
      <c r="AI1562" t="str">
        <f t="shared" si="249"/>
        <v/>
      </c>
      <c r="AJ1562" t="str">
        <f>LEFT(Table1[[#This Row],[membership_type]],2)&amp;TEXT(Table1[[#This Row],[age]],"00")&amp;"-"&amp;TEXT(ROW(),"000")</f>
        <v>St24-1562</v>
      </c>
      <c r="AK1562" t="str">
        <f>LEFT(Table1[[#This Row],[membership_type]],1)&amp;TEXT(MATCH(Table1[[#This Row],[membership_type]],Table1[membership_type],0),"00")</f>
        <v>S02</v>
      </c>
      <c r="AL1562" t="str">
        <f>LEFT(Table1[[#This Row],[discount_type]],1)&amp;TEXT(ROUND(Table1[[#This Row],[discount_rate]]*100,0),"00")</f>
        <v>L10</v>
      </c>
      <c r="AM1562" t="str" cm="1">
        <f t="array" ref="AM1562">TEXT(SUMPRODUCT(CODE(MID(Table1[[#This Row],[home_gym_location]],_xlfn.SEQUENCE(LEN(Table1[[#This Row],[home_gym_location]])),1))),"00000")</f>
        <v>01450</v>
      </c>
      <c r="AN156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62" t="str">
        <f>LEFT(_xlfn.TEXTBEFORE(Table1[[#This Row],[Location Identifier]],"-"),3) &amp; "-" &amp; _xlfn.TEXTAFTER(Table1[[#This Row],[Location Identifier]],"-")</f>
        <v>SAN-009</v>
      </c>
      <c r="AP1562" s="9">
        <f t="shared" ca="1" si="240"/>
        <v>45869</v>
      </c>
    </row>
    <row r="1563" spans="1:42" x14ac:dyDescent="0.25">
      <c r="A1563">
        <v>23</v>
      </c>
      <c r="B1563" t="s">
        <v>33</v>
      </c>
      <c r="C1563">
        <v>3</v>
      </c>
      <c r="D1563" t="s">
        <v>83</v>
      </c>
      <c r="E1563" t="b">
        <v>1</v>
      </c>
      <c r="F1563" s="1">
        <v>0.5229166666666667</v>
      </c>
      <c r="G1563" s="1">
        <v>0.6118055555555556</v>
      </c>
      <c r="H1563">
        <v>128</v>
      </c>
      <c r="I1563" t="b">
        <v>0</v>
      </c>
      <c r="J1563" t="b">
        <v>0</v>
      </c>
      <c r="K1563" t="b">
        <v>0</v>
      </c>
      <c r="L1563" t="s">
        <v>35</v>
      </c>
      <c r="M1563">
        <v>30</v>
      </c>
      <c r="N1563" t="s">
        <v>78</v>
      </c>
      <c r="O1563">
        <v>27</v>
      </c>
      <c r="P1563" t="s">
        <v>36</v>
      </c>
      <c r="Q1563">
        <v>0</v>
      </c>
      <c r="R1563">
        <v>27</v>
      </c>
      <c r="S1563" t="s">
        <v>37</v>
      </c>
      <c r="T1563" t="s">
        <v>56</v>
      </c>
      <c r="U1563">
        <v>35.3733</v>
      </c>
      <c r="V1563">
        <v>-119.0187</v>
      </c>
      <c r="W1563" s="2">
        <v>44999</v>
      </c>
      <c r="X1563">
        <v>0</v>
      </c>
      <c r="Y1563" t="b">
        <v>1</v>
      </c>
      <c r="Z1563" s="2">
        <v>45814</v>
      </c>
      <c r="AA1563" t="str">
        <f t="shared" si="241"/>
        <v>20–29</v>
      </c>
      <c r="AB1563" t="str">
        <f t="shared" si="242"/>
        <v>20–29</v>
      </c>
      <c r="AC1563" t="str">
        <f t="shared" si="243"/>
        <v/>
      </c>
      <c r="AD1563" t="str">
        <f t="shared" si="244"/>
        <v>Tuesday</v>
      </c>
      <c r="AE1563" t="str">
        <f t="shared" si="245"/>
        <v>Wednesday</v>
      </c>
      <c r="AF1563" t="str">
        <f t="shared" si="246"/>
        <v/>
      </c>
      <c r="AG1563" t="str">
        <f t="shared" si="247"/>
        <v/>
      </c>
      <c r="AH1563" t="str">
        <f t="shared" si="248"/>
        <v>Saturday</v>
      </c>
      <c r="AI1563" t="str">
        <f t="shared" si="249"/>
        <v/>
      </c>
      <c r="AJ1563" t="str">
        <f>LEFT(Table1[[#This Row],[membership_type]],2)&amp;TEXT(Table1[[#This Row],[age]],"00")&amp;"-"&amp;TEXT(ROW(),"000")</f>
        <v>St23-1563</v>
      </c>
      <c r="AK1563" t="str">
        <f>LEFT(Table1[[#This Row],[membership_type]],1)&amp;TEXT(MATCH(Table1[[#This Row],[membership_type]],Table1[membership_type],0),"00")</f>
        <v>S02</v>
      </c>
      <c r="AL1563" t="str">
        <f>LEFT(Table1[[#This Row],[discount_type]],1)&amp;TEXT(ROUND(Table1[[#This Row],[discount_rate]]*100,0),"00")</f>
        <v>N00</v>
      </c>
      <c r="AM1563" t="str" cm="1">
        <f t="array" ref="AM1563">TEXT(SUMPRODUCT(CODE(MID(Table1[[#This Row],[home_gym_location]],_xlfn.SEQUENCE(LEN(Table1[[#This Row],[home_gym_location]])),1))),"00000")</f>
        <v>01324</v>
      </c>
      <c r="AN156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63" t="str">
        <f>LEFT(_xlfn.TEXTBEFORE(Table1[[#This Row],[Location Identifier]],"-"),3) &amp; "-" &amp; _xlfn.TEXTAFTER(Table1[[#This Row],[Location Identifier]],"-")</f>
        <v>BAK-002</v>
      </c>
      <c r="AP1563" s="9">
        <f t="shared" ca="1" si="240"/>
        <v>45869</v>
      </c>
    </row>
    <row r="1564" spans="1:42" x14ac:dyDescent="0.25">
      <c r="A1564">
        <v>43</v>
      </c>
      <c r="B1564" t="s">
        <v>42</v>
      </c>
      <c r="C1564">
        <v>3</v>
      </c>
      <c r="D1564" t="s">
        <v>122</v>
      </c>
      <c r="E1564" t="b">
        <v>0</v>
      </c>
      <c r="F1564" s="1">
        <v>0.50138888888888888</v>
      </c>
      <c r="G1564" s="1">
        <v>0.58819444444444446</v>
      </c>
      <c r="H1564">
        <v>125</v>
      </c>
      <c r="I1564" t="b">
        <v>1</v>
      </c>
      <c r="J1564" t="b">
        <v>1</v>
      </c>
      <c r="K1564" t="b">
        <v>1</v>
      </c>
      <c r="L1564" t="s">
        <v>28</v>
      </c>
      <c r="M1564">
        <v>20</v>
      </c>
      <c r="N1564" t="s">
        <v>29</v>
      </c>
      <c r="O1564">
        <v>20</v>
      </c>
      <c r="P1564" t="s">
        <v>30</v>
      </c>
      <c r="Q1564">
        <v>0.05</v>
      </c>
      <c r="R1564">
        <v>19</v>
      </c>
      <c r="S1564" t="s">
        <v>44</v>
      </c>
      <c r="T1564" t="s">
        <v>45</v>
      </c>
      <c r="U1564">
        <v>33.836599999999997</v>
      </c>
      <c r="V1564">
        <v>-117.9143</v>
      </c>
      <c r="W1564" s="2">
        <v>45538</v>
      </c>
      <c r="X1564">
        <v>6</v>
      </c>
      <c r="Y1564" t="b">
        <v>0</v>
      </c>
      <c r="Z1564" s="2">
        <v>45844</v>
      </c>
      <c r="AA1564" t="str">
        <f t="shared" si="241"/>
        <v>40–49</v>
      </c>
      <c r="AB1564" t="str">
        <f t="shared" si="242"/>
        <v>40–49</v>
      </c>
      <c r="AC1564" t="str">
        <f t="shared" si="243"/>
        <v/>
      </c>
      <c r="AD1564" t="str">
        <f t="shared" si="244"/>
        <v>Tuesday</v>
      </c>
      <c r="AE1564" t="str">
        <f t="shared" si="245"/>
        <v/>
      </c>
      <c r="AF1564" t="str">
        <f t="shared" si="246"/>
        <v/>
      </c>
      <c r="AG1564" t="str">
        <f t="shared" si="247"/>
        <v>Friday</v>
      </c>
      <c r="AH1564" t="str">
        <f t="shared" si="248"/>
        <v/>
      </c>
      <c r="AI1564" t="str">
        <f t="shared" si="249"/>
        <v>Sunday</v>
      </c>
      <c r="AJ1564" t="str">
        <f>LEFT(Table1[[#This Row],[membership_type]],2)&amp;TEXT(Table1[[#This Row],[age]],"00")&amp;"-"&amp;TEXT(ROW(),"000")</f>
        <v>Ba43-1564</v>
      </c>
      <c r="AK1564" t="str">
        <f>LEFT(Table1[[#This Row],[membership_type]],1)&amp;TEXT(MATCH(Table1[[#This Row],[membership_type]],Table1[membership_type],0),"00")</f>
        <v>B04</v>
      </c>
      <c r="AL1564" t="str">
        <f>LEFT(Table1[[#This Row],[discount_type]],1)&amp;TEXT(ROUND(Table1[[#This Row],[discount_rate]]*100,0),"00")</f>
        <v>P05</v>
      </c>
      <c r="AM1564" t="str" cm="1">
        <f t="array" ref="AM1564">TEXT(SUMPRODUCT(CODE(MID(Table1[[#This Row],[home_gym_location]],_xlfn.SEQUENCE(LEN(Table1[[#This Row],[home_gym_location]])),1))),"00000")</f>
        <v>00899</v>
      </c>
      <c r="AN156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64" t="str">
        <f>LEFT(_xlfn.TEXTBEFORE(Table1[[#This Row],[Location Identifier]],"-"),3) &amp; "-" &amp; _xlfn.TEXTAFTER(Table1[[#This Row],[Location Identifier]],"-")</f>
        <v>ANA-001</v>
      </c>
      <c r="AP1564" s="9">
        <f t="shared" ca="1" si="240"/>
        <v>45869</v>
      </c>
    </row>
    <row r="1565" spans="1:42" x14ac:dyDescent="0.25">
      <c r="A1565">
        <v>46</v>
      </c>
      <c r="B1565" t="s">
        <v>33</v>
      </c>
      <c r="C1565">
        <v>1</v>
      </c>
      <c r="D1565" t="s">
        <v>95</v>
      </c>
      <c r="E1565" t="b">
        <v>0</v>
      </c>
      <c r="F1565" s="1">
        <v>0.46736111111111112</v>
      </c>
      <c r="G1565" s="1">
        <v>0.55486111111111114</v>
      </c>
      <c r="H1565">
        <v>126</v>
      </c>
      <c r="I1565" t="b">
        <v>1</v>
      </c>
      <c r="J1565" t="b">
        <v>0</v>
      </c>
      <c r="K1565" t="b">
        <v>1</v>
      </c>
      <c r="L1565" t="s">
        <v>62</v>
      </c>
      <c r="M1565">
        <v>30</v>
      </c>
      <c r="N1565" t="s">
        <v>29</v>
      </c>
      <c r="O1565">
        <v>30</v>
      </c>
      <c r="P1565" t="s">
        <v>36</v>
      </c>
      <c r="Q1565">
        <v>0</v>
      </c>
      <c r="R1565">
        <v>30</v>
      </c>
      <c r="S1565" t="s">
        <v>37</v>
      </c>
      <c r="T1565" t="s">
        <v>54</v>
      </c>
      <c r="U1565">
        <v>32.715699999999998</v>
      </c>
      <c r="V1565">
        <v>-117.1611</v>
      </c>
      <c r="W1565" s="2">
        <v>44954</v>
      </c>
      <c r="X1565">
        <v>0</v>
      </c>
      <c r="Y1565" t="b">
        <v>1</v>
      </c>
      <c r="Z1565" s="2">
        <v>45811</v>
      </c>
      <c r="AA1565" t="str">
        <f t="shared" si="241"/>
        <v>40–49</v>
      </c>
      <c r="AB1565" t="str">
        <f t="shared" si="242"/>
        <v>40–49</v>
      </c>
      <c r="AC1565" t="str">
        <f t="shared" si="243"/>
        <v/>
      </c>
      <c r="AD1565" t="str">
        <f t="shared" si="244"/>
        <v/>
      </c>
      <c r="AE1565" t="str">
        <f t="shared" si="245"/>
        <v/>
      </c>
      <c r="AF1565" t="str">
        <f t="shared" si="246"/>
        <v/>
      </c>
      <c r="AG1565" t="str">
        <f t="shared" si="247"/>
        <v/>
      </c>
      <c r="AH1565" t="str">
        <f t="shared" si="248"/>
        <v>Saturday</v>
      </c>
      <c r="AI1565" t="str">
        <f t="shared" si="249"/>
        <v/>
      </c>
      <c r="AJ1565" t="str">
        <f>LEFT(Table1[[#This Row],[membership_type]],2)&amp;TEXT(Table1[[#This Row],[age]],"00")&amp;"-"&amp;TEXT(ROW(),"000")</f>
        <v>St46-1565</v>
      </c>
      <c r="AK1565" t="str">
        <f>LEFT(Table1[[#This Row],[membership_type]],1)&amp;TEXT(MATCH(Table1[[#This Row],[membership_type]],Table1[membership_type],0),"00")</f>
        <v>S02</v>
      </c>
      <c r="AL1565" t="str">
        <f>LEFT(Table1[[#This Row],[discount_type]],1)&amp;TEXT(ROUND(Table1[[#This Row],[discount_rate]]*100,0),"00")</f>
        <v>N00</v>
      </c>
      <c r="AM1565" t="str" cm="1">
        <f t="array" ref="AM1565">TEXT(SUMPRODUCT(CODE(MID(Table1[[#This Row],[home_gym_location]],_xlfn.SEQUENCE(LEN(Table1[[#This Row],[home_gym_location]])),1))),"00000")</f>
        <v>01018</v>
      </c>
      <c r="AN156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65" t="str">
        <f>LEFT(_xlfn.TEXTBEFORE(Table1[[#This Row],[Location Identifier]],"-"),3) &amp; "-" &amp; _xlfn.TEXTAFTER(Table1[[#This Row],[Location Identifier]],"-")</f>
        <v>SAN-008</v>
      </c>
      <c r="AP1565" s="9">
        <f t="shared" ca="1" si="240"/>
        <v>45869</v>
      </c>
    </row>
    <row r="1566" spans="1:42" x14ac:dyDescent="0.25">
      <c r="A1566">
        <v>42</v>
      </c>
      <c r="B1566" t="s">
        <v>26</v>
      </c>
      <c r="C1566">
        <v>3</v>
      </c>
      <c r="D1566" t="s">
        <v>128</v>
      </c>
      <c r="E1566" t="b">
        <v>1</v>
      </c>
      <c r="F1566" s="1">
        <v>0.48888888888888887</v>
      </c>
      <c r="G1566" s="1">
        <v>0.55486111111111114</v>
      </c>
      <c r="H1566">
        <v>95</v>
      </c>
      <c r="I1566" t="b">
        <v>0</v>
      </c>
      <c r="J1566" t="b">
        <v>1</v>
      </c>
      <c r="K1566" t="b">
        <v>1</v>
      </c>
      <c r="L1566" t="s">
        <v>62</v>
      </c>
      <c r="M1566">
        <v>50</v>
      </c>
      <c r="N1566" t="s">
        <v>78</v>
      </c>
      <c r="O1566">
        <v>45</v>
      </c>
      <c r="P1566" t="s">
        <v>36</v>
      </c>
      <c r="Q1566">
        <v>0</v>
      </c>
      <c r="R1566">
        <v>45</v>
      </c>
      <c r="S1566" t="s">
        <v>31</v>
      </c>
      <c r="T1566" t="s">
        <v>48</v>
      </c>
      <c r="U1566">
        <v>38.581600000000002</v>
      </c>
      <c r="V1566">
        <v>-121.4944</v>
      </c>
      <c r="W1566" s="2">
        <v>45379</v>
      </c>
      <c r="X1566">
        <v>8</v>
      </c>
      <c r="Y1566" t="b">
        <v>1</v>
      </c>
      <c r="Z1566" s="2">
        <v>45835</v>
      </c>
      <c r="AA1566" t="str">
        <f t="shared" si="241"/>
        <v>40–49</v>
      </c>
      <c r="AB1566" t="str">
        <f t="shared" si="242"/>
        <v>40–49</v>
      </c>
      <c r="AC1566" t="str">
        <f t="shared" si="243"/>
        <v>Monday</v>
      </c>
      <c r="AD1566" t="str">
        <f t="shared" si="244"/>
        <v/>
      </c>
      <c r="AE1566" t="str">
        <f t="shared" si="245"/>
        <v/>
      </c>
      <c r="AF1566" t="str">
        <f t="shared" si="246"/>
        <v>Thursday</v>
      </c>
      <c r="AG1566" t="str">
        <f t="shared" si="247"/>
        <v/>
      </c>
      <c r="AH1566" t="str">
        <f t="shared" si="248"/>
        <v/>
      </c>
      <c r="AI1566" t="str">
        <f t="shared" si="249"/>
        <v>Sunday</v>
      </c>
      <c r="AJ1566" t="str">
        <f>LEFT(Table1[[#This Row],[membership_type]],2)&amp;TEXT(Table1[[#This Row],[age]],"00")&amp;"-"&amp;TEXT(ROW(),"000")</f>
        <v>Pr42-1566</v>
      </c>
      <c r="AK1566" t="str">
        <f>LEFT(Table1[[#This Row],[membership_type]],1)&amp;TEXT(MATCH(Table1[[#This Row],[membership_type]],Table1[membership_type],0),"00")</f>
        <v>P01</v>
      </c>
      <c r="AL1566" t="str">
        <f>LEFT(Table1[[#This Row],[discount_type]],1)&amp;TEXT(ROUND(Table1[[#This Row],[discount_rate]]*100,0),"00")</f>
        <v>N00</v>
      </c>
      <c r="AM1566" t="str" cm="1">
        <f t="array" ref="AM1566">TEXT(SUMPRODUCT(CODE(MID(Table1[[#This Row],[home_gym_location]],_xlfn.SEQUENCE(LEN(Table1[[#This Row],[home_gym_location]])),1))),"00000")</f>
        <v>01245</v>
      </c>
      <c r="AN156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66" t="str">
        <f>LEFT(_xlfn.TEXTBEFORE(Table1[[#This Row],[Location Identifier]],"-"),3) &amp; "-" &amp; _xlfn.TEXTAFTER(Table1[[#This Row],[Location Identifier]],"-")</f>
        <v>SAC-007</v>
      </c>
      <c r="AP1566" s="9">
        <f t="shared" ca="1" si="240"/>
        <v>45869</v>
      </c>
    </row>
    <row r="1567" spans="1:42" x14ac:dyDescent="0.25">
      <c r="A1567">
        <v>32</v>
      </c>
      <c r="B1567" t="s">
        <v>42</v>
      </c>
      <c r="C1567">
        <v>5</v>
      </c>
      <c r="D1567" t="s">
        <v>104</v>
      </c>
      <c r="E1567" t="b">
        <v>0</v>
      </c>
      <c r="F1567" s="1">
        <v>0.46388888888888891</v>
      </c>
      <c r="G1567" s="1">
        <v>0.55555555555555558</v>
      </c>
      <c r="H1567">
        <v>132</v>
      </c>
      <c r="I1567" t="b">
        <v>1</v>
      </c>
      <c r="J1567" t="b">
        <v>0</v>
      </c>
      <c r="K1567" t="b">
        <v>1</v>
      </c>
      <c r="L1567" t="s">
        <v>62</v>
      </c>
      <c r="M1567">
        <v>20</v>
      </c>
      <c r="N1567" t="s">
        <v>78</v>
      </c>
      <c r="O1567">
        <v>18</v>
      </c>
      <c r="P1567" t="s">
        <v>36</v>
      </c>
      <c r="Q1567">
        <v>0</v>
      </c>
      <c r="R1567">
        <v>18</v>
      </c>
      <c r="S1567" t="s">
        <v>44</v>
      </c>
      <c r="T1567" t="s">
        <v>32</v>
      </c>
      <c r="U1567">
        <v>37.338200000000001</v>
      </c>
      <c r="V1567">
        <v>-121.88630000000001</v>
      </c>
      <c r="W1567" s="2">
        <v>45120</v>
      </c>
      <c r="X1567">
        <v>0</v>
      </c>
      <c r="Y1567" t="b">
        <v>0</v>
      </c>
      <c r="Z1567" s="2">
        <v>45820</v>
      </c>
      <c r="AA1567" t="str">
        <f t="shared" si="241"/>
        <v>30–39</v>
      </c>
      <c r="AB1567" t="str">
        <f t="shared" si="242"/>
        <v>30–39</v>
      </c>
      <c r="AC1567" t="str">
        <f t="shared" si="243"/>
        <v/>
      </c>
      <c r="AD1567" t="str">
        <f t="shared" si="244"/>
        <v>Tuesday</v>
      </c>
      <c r="AE1567" t="str">
        <f t="shared" si="245"/>
        <v>Wednesday</v>
      </c>
      <c r="AF1567" t="str">
        <f t="shared" si="246"/>
        <v>Thursday</v>
      </c>
      <c r="AG1567" t="str">
        <f t="shared" si="247"/>
        <v/>
      </c>
      <c r="AH1567" t="str">
        <f t="shared" si="248"/>
        <v>Saturday</v>
      </c>
      <c r="AI1567" t="str">
        <f t="shared" si="249"/>
        <v>Sunday</v>
      </c>
      <c r="AJ1567" t="str">
        <f>LEFT(Table1[[#This Row],[membership_type]],2)&amp;TEXT(Table1[[#This Row],[age]],"00")&amp;"-"&amp;TEXT(ROW(),"000")</f>
        <v>Ba32-1567</v>
      </c>
      <c r="AK1567" t="str">
        <f>LEFT(Table1[[#This Row],[membership_type]],1)&amp;TEXT(MATCH(Table1[[#This Row],[membership_type]],Table1[membership_type],0),"00")</f>
        <v>B04</v>
      </c>
      <c r="AL1567" t="str">
        <f>LEFT(Table1[[#This Row],[discount_type]],1)&amp;TEXT(ROUND(Table1[[#This Row],[discount_rate]]*100,0),"00")</f>
        <v>N00</v>
      </c>
      <c r="AM1567" t="str" cm="1">
        <f t="array" ref="AM1567">TEXT(SUMPRODUCT(CODE(MID(Table1[[#This Row],[home_gym_location]],_xlfn.SEQUENCE(LEN(Table1[[#This Row],[home_gym_location]])),1))),"00000")</f>
        <v>00931</v>
      </c>
      <c r="AN156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67" t="str">
        <f>LEFT(_xlfn.TEXTBEFORE(Table1[[#This Row],[Location Identifier]],"-"),3) &amp; "-" &amp; _xlfn.TEXTAFTER(Table1[[#This Row],[Location Identifier]],"-")</f>
        <v>SAN-010</v>
      </c>
      <c r="AP1567" s="9">
        <f t="shared" ca="1" si="240"/>
        <v>45869</v>
      </c>
    </row>
    <row r="1568" spans="1:42" x14ac:dyDescent="0.25">
      <c r="A1568">
        <v>45</v>
      </c>
      <c r="B1568" t="s">
        <v>26</v>
      </c>
      <c r="C1568">
        <v>5</v>
      </c>
      <c r="D1568" t="s">
        <v>72</v>
      </c>
      <c r="E1568" t="b">
        <v>0</v>
      </c>
      <c r="F1568" s="1">
        <v>0.7944444444444444</v>
      </c>
      <c r="G1568" s="1">
        <v>0.86388888888888893</v>
      </c>
      <c r="H1568">
        <v>100</v>
      </c>
      <c r="I1568" t="b">
        <v>1</v>
      </c>
      <c r="J1568" t="b">
        <v>1</v>
      </c>
      <c r="K1568" t="b">
        <v>1</v>
      </c>
      <c r="L1568" t="s">
        <v>62</v>
      </c>
      <c r="M1568">
        <v>50</v>
      </c>
      <c r="N1568" t="s">
        <v>29</v>
      </c>
      <c r="O1568">
        <v>50</v>
      </c>
      <c r="P1568" t="s">
        <v>36</v>
      </c>
      <c r="Q1568">
        <v>0</v>
      </c>
      <c r="R1568">
        <v>50</v>
      </c>
      <c r="S1568" t="s">
        <v>31</v>
      </c>
      <c r="T1568" t="s">
        <v>59</v>
      </c>
      <c r="U1568">
        <v>37.774900000000002</v>
      </c>
      <c r="V1568">
        <v>-122.4194</v>
      </c>
      <c r="W1568" s="2">
        <v>45729</v>
      </c>
      <c r="X1568">
        <v>5</v>
      </c>
      <c r="Y1568" t="b">
        <v>1</v>
      </c>
      <c r="Z1568" s="2">
        <v>45855</v>
      </c>
      <c r="AA1568" t="str">
        <f t="shared" si="241"/>
        <v>40–49</v>
      </c>
      <c r="AB1568" t="str">
        <f t="shared" si="242"/>
        <v>40–49</v>
      </c>
      <c r="AC1568" t="str">
        <f t="shared" si="243"/>
        <v>Monday</v>
      </c>
      <c r="AD1568" t="str">
        <f t="shared" si="244"/>
        <v/>
      </c>
      <c r="AE1568" t="str">
        <f t="shared" si="245"/>
        <v>Wednesday</v>
      </c>
      <c r="AF1568" t="str">
        <f t="shared" si="246"/>
        <v>Thursday</v>
      </c>
      <c r="AG1568" t="str">
        <f t="shared" si="247"/>
        <v>Friday</v>
      </c>
      <c r="AH1568" t="str">
        <f t="shared" si="248"/>
        <v/>
      </c>
      <c r="AI1568" t="str">
        <f t="shared" si="249"/>
        <v>Sunday</v>
      </c>
      <c r="AJ1568" t="str">
        <f>LEFT(Table1[[#This Row],[membership_type]],2)&amp;TEXT(Table1[[#This Row],[age]],"00")&amp;"-"&amp;TEXT(ROW(),"000")</f>
        <v>Pr45-1568</v>
      </c>
      <c r="AK1568" t="str">
        <f>LEFT(Table1[[#This Row],[membership_type]],1)&amp;TEXT(MATCH(Table1[[#This Row],[membership_type]],Table1[membership_type],0),"00")</f>
        <v>P01</v>
      </c>
      <c r="AL1568" t="str">
        <f>LEFT(Table1[[#This Row],[discount_type]],1)&amp;TEXT(ROUND(Table1[[#This Row],[discount_rate]]*100,0),"00")</f>
        <v>N00</v>
      </c>
      <c r="AM1568" t="str" cm="1">
        <f t="array" ref="AM1568">TEXT(SUMPRODUCT(CODE(MID(Table1[[#This Row],[home_gym_location]],_xlfn.SEQUENCE(LEN(Table1[[#This Row],[home_gym_location]])),1))),"00000")</f>
        <v>01450</v>
      </c>
      <c r="AN15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68" t="str">
        <f>LEFT(_xlfn.TEXTBEFORE(Table1[[#This Row],[Location Identifier]],"-"),3) &amp; "-" &amp; _xlfn.TEXTAFTER(Table1[[#This Row],[Location Identifier]],"-")</f>
        <v>SAN-009</v>
      </c>
      <c r="AP1568" s="9">
        <f t="shared" ca="1" si="240"/>
        <v>45869</v>
      </c>
    </row>
    <row r="1569" spans="1:42" x14ac:dyDescent="0.25">
      <c r="A1569">
        <v>20</v>
      </c>
      <c r="B1569" t="s">
        <v>51</v>
      </c>
      <c r="C1569">
        <v>2</v>
      </c>
      <c r="D1569" t="s">
        <v>84</v>
      </c>
      <c r="E1569" t="b">
        <v>0</v>
      </c>
      <c r="F1569" s="1">
        <v>0.5854166666666667</v>
      </c>
      <c r="G1569" s="1">
        <v>0.7</v>
      </c>
      <c r="H1569">
        <v>165</v>
      </c>
      <c r="I1569" t="b">
        <v>1</v>
      </c>
      <c r="J1569" t="b">
        <v>1</v>
      </c>
      <c r="K1569" t="b">
        <v>1</v>
      </c>
      <c r="L1569" t="s">
        <v>62</v>
      </c>
      <c r="M1569">
        <v>70</v>
      </c>
      <c r="N1569" t="s">
        <v>64</v>
      </c>
      <c r="O1569">
        <v>52.5</v>
      </c>
      <c r="P1569" t="s">
        <v>36</v>
      </c>
      <c r="Q1569">
        <v>0</v>
      </c>
      <c r="R1569">
        <v>52.5</v>
      </c>
      <c r="S1569" t="s">
        <v>53</v>
      </c>
      <c r="T1569" t="s">
        <v>54</v>
      </c>
      <c r="U1569">
        <v>32.715699999999998</v>
      </c>
      <c r="V1569">
        <v>-117.1611</v>
      </c>
      <c r="W1569" s="2">
        <v>45166</v>
      </c>
      <c r="X1569">
        <v>8</v>
      </c>
      <c r="Y1569" t="b">
        <v>1</v>
      </c>
      <c r="Z1569" s="2">
        <v>45823</v>
      </c>
      <c r="AA1569" t="str">
        <f t="shared" si="241"/>
        <v>20–29</v>
      </c>
      <c r="AB1569" t="str">
        <f t="shared" si="242"/>
        <v>20–29</v>
      </c>
      <c r="AC1569" t="str">
        <f t="shared" si="243"/>
        <v/>
      </c>
      <c r="AD1569" t="str">
        <f t="shared" si="244"/>
        <v>Tuesday</v>
      </c>
      <c r="AE1569" t="str">
        <f t="shared" si="245"/>
        <v/>
      </c>
      <c r="AF1569" t="str">
        <f t="shared" si="246"/>
        <v/>
      </c>
      <c r="AG1569" t="str">
        <f t="shared" si="247"/>
        <v/>
      </c>
      <c r="AH1569" t="str">
        <f t="shared" si="248"/>
        <v/>
      </c>
      <c r="AI1569" t="str">
        <f t="shared" si="249"/>
        <v>Sunday</v>
      </c>
      <c r="AJ1569" t="str">
        <f>LEFT(Table1[[#This Row],[membership_type]],2)&amp;TEXT(Table1[[#This Row],[age]],"00")&amp;"-"&amp;TEXT(ROW(),"000")</f>
        <v>El20-1569</v>
      </c>
      <c r="AK1569" t="str">
        <f>LEFT(Table1[[#This Row],[membership_type]],1)&amp;TEXT(MATCH(Table1[[#This Row],[membership_type]],Table1[membership_type],0),"00")</f>
        <v>E07</v>
      </c>
      <c r="AL1569" t="str">
        <f>LEFT(Table1[[#This Row],[discount_type]],1)&amp;TEXT(ROUND(Table1[[#This Row],[discount_rate]]*100,0),"00")</f>
        <v>N00</v>
      </c>
      <c r="AM1569" t="str" cm="1">
        <f t="array" ref="AM1569">TEXT(SUMPRODUCT(CODE(MID(Table1[[#This Row],[home_gym_location]],_xlfn.SEQUENCE(LEN(Table1[[#This Row],[home_gym_location]])),1))),"00000")</f>
        <v>01018</v>
      </c>
      <c r="AN156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69" t="str">
        <f>LEFT(_xlfn.TEXTBEFORE(Table1[[#This Row],[Location Identifier]],"-"),3) &amp; "-" &amp; _xlfn.TEXTAFTER(Table1[[#This Row],[Location Identifier]],"-")</f>
        <v>SAN-008</v>
      </c>
      <c r="AP1569" s="9">
        <f t="shared" ca="1" si="240"/>
        <v>45869</v>
      </c>
    </row>
    <row r="1570" spans="1:42" x14ac:dyDescent="0.25">
      <c r="A1570">
        <v>37</v>
      </c>
      <c r="B1570" t="s">
        <v>26</v>
      </c>
      <c r="C1570">
        <v>3</v>
      </c>
      <c r="D1570" t="s">
        <v>60</v>
      </c>
      <c r="E1570" t="b">
        <v>0</v>
      </c>
      <c r="F1570" s="1">
        <v>0.54722222222222228</v>
      </c>
      <c r="G1570" s="1">
        <v>0.5805555555555556</v>
      </c>
      <c r="H1570">
        <v>48</v>
      </c>
      <c r="I1570" t="b">
        <v>0</v>
      </c>
      <c r="J1570" t="b">
        <v>0</v>
      </c>
      <c r="K1570" t="b">
        <v>1</v>
      </c>
      <c r="L1570" t="s">
        <v>47</v>
      </c>
      <c r="M1570">
        <v>50</v>
      </c>
      <c r="N1570" t="s">
        <v>29</v>
      </c>
      <c r="O1570">
        <v>50</v>
      </c>
      <c r="P1570" t="s">
        <v>30</v>
      </c>
      <c r="Q1570">
        <v>0.05</v>
      </c>
      <c r="R1570">
        <v>47.5</v>
      </c>
      <c r="S1570" t="s">
        <v>31</v>
      </c>
      <c r="T1570" t="s">
        <v>32</v>
      </c>
      <c r="U1570">
        <v>37.338200000000001</v>
      </c>
      <c r="V1570">
        <v>-121.88630000000001</v>
      </c>
      <c r="W1570" s="2">
        <v>45349</v>
      </c>
      <c r="X1570">
        <v>0</v>
      </c>
      <c r="Y1570" t="b">
        <v>1</v>
      </c>
      <c r="Z1570" s="2">
        <v>45833</v>
      </c>
      <c r="AA1570" t="str">
        <f t="shared" si="241"/>
        <v>30–39</v>
      </c>
      <c r="AB1570" t="str">
        <f t="shared" si="242"/>
        <v>30–39</v>
      </c>
      <c r="AC1570" t="str">
        <f t="shared" si="243"/>
        <v/>
      </c>
      <c r="AD1570" t="str">
        <f t="shared" si="244"/>
        <v/>
      </c>
      <c r="AE1570" t="str">
        <f t="shared" si="245"/>
        <v>Wednesday</v>
      </c>
      <c r="AF1570" t="str">
        <f t="shared" si="246"/>
        <v/>
      </c>
      <c r="AG1570" t="str">
        <f t="shared" si="247"/>
        <v/>
      </c>
      <c r="AH1570" t="str">
        <f t="shared" si="248"/>
        <v>Saturday</v>
      </c>
      <c r="AI1570" t="str">
        <f t="shared" si="249"/>
        <v>Sunday</v>
      </c>
      <c r="AJ1570" t="str">
        <f>LEFT(Table1[[#This Row],[membership_type]],2)&amp;TEXT(Table1[[#This Row],[age]],"00")&amp;"-"&amp;TEXT(ROW(),"000")</f>
        <v>Pr37-1570</v>
      </c>
      <c r="AK1570" t="str">
        <f>LEFT(Table1[[#This Row],[membership_type]],1)&amp;TEXT(MATCH(Table1[[#This Row],[membership_type]],Table1[membership_type],0),"00")</f>
        <v>P01</v>
      </c>
      <c r="AL1570" t="str">
        <f>LEFT(Table1[[#This Row],[discount_type]],1)&amp;TEXT(ROUND(Table1[[#This Row],[discount_rate]]*100,0),"00")</f>
        <v>P05</v>
      </c>
      <c r="AM1570" t="str" cm="1">
        <f t="array" ref="AM1570">TEXT(SUMPRODUCT(CODE(MID(Table1[[#This Row],[home_gym_location]],_xlfn.SEQUENCE(LEN(Table1[[#This Row],[home_gym_location]])),1))),"00000")</f>
        <v>00931</v>
      </c>
      <c r="AN157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70" t="str">
        <f>LEFT(_xlfn.TEXTBEFORE(Table1[[#This Row],[Location Identifier]],"-"),3) &amp; "-" &amp; _xlfn.TEXTAFTER(Table1[[#This Row],[Location Identifier]],"-")</f>
        <v>SAN-010</v>
      </c>
      <c r="AP1570" s="9">
        <f t="shared" ca="1" si="240"/>
        <v>45869</v>
      </c>
    </row>
    <row r="1571" spans="1:42" x14ac:dyDescent="0.25">
      <c r="A1571">
        <v>43</v>
      </c>
      <c r="B1571" t="s">
        <v>33</v>
      </c>
      <c r="C1571">
        <v>5</v>
      </c>
      <c r="D1571" t="s">
        <v>137</v>
      </c>
      <c r="E1571" t="b">
        <v>0</v>
      </c>
      <c r="F1571" s="1">
        <v>0.53472222222222221</v>
      </c>
      <c r="G1571" s="1">
        <v>0.63888888888888884</v>
      </c>
      <c r="H1571">
        <v>150</v>
      </c>
      <c r="I1571" t="b">
        <v>1</v>
      </c>
      <c r="J1571" t="b">
        <v>1</v>
      </c>
      <c r="K1571" t="b">
        <v>1</v>
      </c>
      <c r="L1571" t="s">
        <v>28</v>
      </c>
      <c r="M1571">
        <v>30</v>
      </c>
      <c r="N1571" t="s">
        <v>78</v>
      </c>
      <c r="O1571">
        <v>27</v>
      </c>
      <c r="P1571" t="s">
        <v>36</v>
      </c>
      <c r="Q1571">
        <v>0</v>
      </c>
      <c r="R1571">
        <v>27</v>
      </c>
      <c r="S1571" t="s">
        <v>37</v>
      </c>
      <c r="T1571" t="s">
        <v>59</v>
      </c>
      <c r="U1571">
        <v>37.774900000000002</v>
      </c>
      <c r="V1571">
        <v>-122.4194</v>
      </c>
      <c r="W1571" s="2">
        <v>45206</v>
      </c>
      <c r="X1571">
        <v>2</v>
      </c>
      <c r="Y1571" t="b">
        <v>0</v>
      </c>
      <c r="Z1571" s="2">
        <v>45825</v>
      </c>
      <c r="AA1571" t="str">
        <f t="shared" si="241"/>
        <v>40–49</v>
      </c>
      <c r="AB1571" t="str">
        <f t="shared" si="242"/>
        <v>40–49</v>
      </c>
      <c r="AC1571" t="str">
        <f t="shared" si="243"/>
        <v>Monday</v>
      </c>
      <c r="AD1571" t="str">
        <f t="shared" si="244"/>
        <v>Tuesday</v>
      </c>
      <c r="AE1571" t="str">
        <f t="shared" si="245"/>
        <v>Wednesday</v>
      </c>
      <c r="AF1571" t="str">
        <f t="shared" si="246"/>
        <v/>
      </c>
      <c r="AG1571" t="str">
        <f t="shared" si="247"/>
        <v/>
      </c>
      <c r="AH1571" t="str">
        <f t="shared" si="248"/>
        <v>Saturday</v>
      </c>
      <c r="AI1571" t="str">
        <f t="shared" si="249"/>
        <v>Sunday</v>
      </c>
      <c r="AJ1571" t="str">
        <f>LEFT(Table1[[#This Row],[membership_type]],2)&amp;TEXT(Table1[[#This Row],[age]],"00")&amp;"-"&amp;TEXT(ROW(),"000")</f>
        <v>St43-1571</v>
      </c>
      <c r="AK1571" t="str">
        <f>LEFT(Table1[[#This Row],[membership_type]],1)&amp;TEXT(MATCH(Table1[[#This Row],[membership_type]],Table1[membership_type],0),"00")</f>
        <v>S02</v>
      </c>
      <c r="AL1571" t="str">
        <f>LEFT(Table1[[#This Row],[discount_type]],1)&amp;TEXT(ROUND(Table1[[#This Row],[discount_rate]]*100,0),"00")</f>
        <v>N00</v>
      </c>
      <c r="AM1571" t="str" cm="1">
        <f t="array" ref="AM1571">TEXT(SUMPRODUCT(CODE(MID(Table1[[#This Row],[home_gym_location]],_xlfn.SEQUENCE(LEN(Table1[[#This Row],[home_gym_location]])),1))),"00000")</f>
        <v>01450</v>
      </c>
      <c r="AN157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71" t="str">
        <f>LEFT(_xlfn.TEXTBEFORE(Table1[[#This Row],[Location Identifier]],"-"),3) &amp; "-" &amp; _xlfn.TEXTAFTER(Table1[[#This Row],[Location Identifier]],"-")</f>
        <v>SAN-009</v>
      </c>
      <c r="AP1571" s="9">
        <f t="shared" ca="1" si="240"/>
        <v>45869</v>
      </c>
    </row>
    <row r="1572" spans="1:42" x14ac:dyDescent="0.25">
      <c r="A1572">
        <v>28</v>
      </c>
      <c r="B1572" t="s">
        <v>33</v>
      </c>
      <c r="C1572">
        <v>3</v>
      </c>
      <c r="D1572" t="s">
        <v>57</v>
      </c>
      <c r="E1572" t="b">
        <v>0</v>
      </c>
      <c r="F1572" s="1">
        <v>0.83263888888888893</v>
      </c>
      <c r="G1572" s="1">
        <v>0.86111111111111116</v>
      </c>
      <c r="H1572">
        <v>41</v>
      </c>
      <c r="I1572" t="b">
        <v>0</v>
      </c>
      <c r="J1572" t="b">
        <v>1</v>
      </c>
      <c r="K1572" t="b">
        <v>0</v>
      </c>
      <c r="L1572" t="s">
        <v>28</v>
      </c>
      <c r="M1572">
        <v>30</v>
      </c>
      <c r="N1572" t="s">
        <v>64</v>
      </c>
      <c r="O1572">
        <v>22.5</v>
      </c>
      <c r="P1572" t="s">
        <v>30</v>
      </c>
      <c r="Q1572">
        <v>0.05</v>
      </c>
      <c r="R1572">
        <v>21.375</v>
      </c>
      <c r="S1572" t="s">
        <v>37</v>
      </c>
      <c r="T1572" t="s">
        <v>45</v>
      </c>
      <c r="U1572">
        <v>33.836599999999997</v>
      </c>
      <c r="V1572">
        <v>-117.9143</v>
      </c>
      <c r="W1572" s="2">
        <v>45652</v>
      </c>
      <c r="X1572">
        <v>8</v>
      </c>
      <c r="Y1572" t="b">
        <v>0</v>
      </c>
      <c r="Z1572" s="2">
        <v>45850</v>
      </c>
      <c r="AA1572" t="str">
        <f t="shared" si="241"/>
        <v>20–29</v>
      </c>
      <c r="AB1572" t="str">
        <f t="shared" si="242"/>
        <v>20–29</v>
      </c>
      <c r="AC1572" t="str">
        <f t="shared" si="243"/>
        <v/>
      </c>
      <c r="AD1572" t="str">
        <f t="shared" si="244"/>
        <v/>
      </c>
      <c r="AE1572" t="str">
        <f t="shared" si="245"/>
        <v>Wednesday</v>
      </c>
      <c r="AF1572" t="str">
        <f t="shared" si="246"/>
        <v>Thursday</v>
      </c>
      <c r="AG1572" t="str">
        <f t="shared" si="247"/>
        <v/>
      </c>
      <c r="AH1572" t="str">
        <f t="shared" si="248"/>
        <v>Saturday</v>
      </c>
      <c r="AI1572" t="str">
        <f t="shared" si="249"/>
        <v/>
      </c>
      <c r="AJ1572" t="str">
        <f>LEFT(Table1[[#This Row],[membership_type]],2)&amp;TEXT(Table1[[#This Row],[age]],"00")&amp;"-"&amp;TEXT(ROW(),"000")</f>
        <v>St28-1572</v>
      </c>
      <c r="AK1572" t="str">
        <f>LEFT(Table1[[#This Row],[membership_type]],1)&amp;TEXT(MATCH(Table1[[#This Row],[membership_type]],Table1[membership_type],0),"00")</f>
        <v>S02</v>
      </c>
      <c r="AL1572" t="str">
        <f>LEFT(Table1[[#This Row],[discount_type]],1)&amp;TEXT(ROUND(Table1[[#This Row],[discount_rate]]*100,0),"00")</f>
        <v>P05</v>
      </c>
      <c r="AM1572" t="str" cm="1">
        <f t="array" ref="AM1572">TEXT(SUMPRODUCT(CODE(MID(Table1[[#This Row],[home_gym_location]],_xlfn.SEQUENCE(LEN(Table1[[#This Row],[home_gym_location]])),1))),"00000")</f>
        <v>00899</v>
      </c>
      <c r="AN157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72" t="str">
        <f>LEFT(_xlfn.TEXTBEFORE(Table1[[#This Row],[Location Identifier]],"-"),3) &amp; "-" &amp; _xlfn.TEXTAFTER(Table1[[#This Row],[Location Identifier]],"-")</f>
        <v>ANA-001</v>
      </c>
      <c r="AP1572" s="9">
        <f t="shared" ca="1" si="240"/>
        <v>45869</v>
      </c>
    </row>
    <row r="1573" spans="1:42" x14ac:dyDescent="0.25">
      <c r="A1573">
        <v>34</v>
      </c>
      <c r="B1573" t="s">
        <v>42</v>
      </c>
      <c r="C1573">
        <v>1</v>
      </c>
      <c r="D1573" t="s">
        <v>49</v>
      </c>
      <c r="E1573" t="b">
        <v>0</v>
      </c>
      <c r="F1573" s="1">
        <v>0.52916666666666667</v>
      </c>
      <c r="G1573" s="1">
        <v>0.55625000000000002</v>
      </c>
      <c r="H1573">
        <v>39</v>
      </c>
      <c r="I1573" t="b">
        <v>1</v>
      </c>
      <c r="J1573" t="b">
        <v>1</v>
      </c>
      <c r="K1573" t="b">
        <v>1</v>
      </c>
      <c r="L1573" t="s">
        <v>28</v>
      </c>
      <c r="M1573">
        <v>20</v>
      </c>
      <c r="N1573" t="s">
        <v>64</v>
      </c>
      <c r="O1573">
        <v>15</v>
      </c>
      <c r="P1573" t="s">
        <v>36</v>
      </c>
      <c r="Q1573">
        <v>0</v>
      </c>
      <c r="R1573">
        <v>15</v>
      </c>
      <c r="S1573" t="s">
        <v>44</v>
      </c>
      <c r="T1573" t="s">
        <v>50</v>
      </c>
      <c r="U1573">
        <v>34.052199999999999</v>
      </c>
      <c r="V1573">
        <v>-118.2437</v>
      </c>
      <c r="W1573" s="2">
        <v>45046</v>
      </c>
      <c r="X1573">
        <v>4</v>
      </c>
      <c r="Y1573" t="b">
        <v>1</v>
      </c>
      <c r="Z1573" s="2">
        <v>45816</v>
      </c>
      <c r="AA1573" t="str">
        <f t="shared" si="241"/>
        <v>30–39</v>
      </c>
      <c r="AB1573" t="str">
        <f t="shared" si="242"/>
        <v>30–39</v>
      </c>
      <c r="AC1573" t="str">
        <f t="shared" si="243"/>
        <v/>
      </c>
      <c r="AD1573" t="str">
        <f t="shared" si="244"/>
        <v/>
      </c>
      <c r="AE1573" t="str">
        <f t="shared" si="245"/>
        <v/>
      </c>
      <c r="AF1573" t="str">
        <f t="shared" si="246"/>
        <v/>
      </c>
      <c r="AG1573" t="str">
        <f t="shared" si="247"/>
        <v/>
      </c>
      <c r="AH1573" t="str">
        <f t="shared" si="248"/>
        <v/>
      </c>
      <c r="AI1573" t="str">
        <f t="shared" si="249"/>
        <v>Sunday</v>
      </c>
      <c r="AJ1573" t="str">
        <f>LEFT(Table1[[#This Row],[membership_type]],2)&amp;TEXT(Table1[[#This Row],[age]],"00")&amp;"-"&amp;TEXT(ROW(),"000")</f>
        <v>Ba34-1573</v>
      </c>
      <c r="AK1573" t="str">
        <f>LEFT(Table1[[#This Row],[membership_type]],1)&amp;TEXT(MATCH(Table1[[#This Row],[membership_type]],Table1[membership_type],0),"00")</f>
        <v>B04</v>
      </c>
      <c r="AL1573" t="str">
        <f>LEFT(Table1[[#This Row],[discount_type]],1)&amp;TEXT(ROUND(Table1[[#This Row],[discount_rate]]*100,0),"00")</f>
        <v>N00</v>
      </c>
      <c r="AM1573" t="str" cm="1">
        <f t="array" ref="AM1573">TEXT(SUMPRODUCT(CODE(MID(Table1[[#This Row],[home_gym_location]],_xlfn.SEQUENCE(LEN(Table1[[#This Row],[home_gym_location]])),1))),"00000")</f>
        <v>01245</v>
      </c>
      <c r="AN157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73" t="str">
        <f>LEFT(_xlfn.TEXTBEFORE(Table1[[#This Row],[Location Identifier]],"-"),3) &amp; "-" &amp; _xlfn.TEXTAFTER(Table1[[#This Row],[Location Identifier]],"-")</f>
        <v>LOS-005</v>
      </c>
      <c r="AP1573" s="9">
        <f t="shared" ca="1" si="240"/>
        <v>45869</v>
      </c>
    </row>
    <row r="1574" spans="1:42" x14ac:dyDescent="0.25">
      <c r="A1574">
        <v>16</v>
      </c>
      <c r="B1574" t="s">
        <v>51</v>
      </c>
      <c r="C1574">
        <v>1</v>
      </c>
      <c r="D1574" t="s">
        <v>75</v>
      </c>
      <c r="E1574" t="b">
        <v>0</v>
      </c>
      <c r="F1574" s="1">
        <v>0.36249999999999999</v>
      </c>
      <c r="G1574" s="1">
        <v>0.44027777777777777</v>
      </c>
      <c r="H1574">
        <v>112</v>
      </c>
      <c r="I1574" t="b">
        <v>0</v>
      </c>
      <c r="J1574" t="b">
        <v>0</v>
      </c>
      <c r="K1574" t="b">
        <v>0</v>
      </c>
      <c r="L1574" t="s">
        <v>62</v>
      </c>
      <c r="M1574">
        <v>70</v>
      </c>
      <c r="N1574" t="s">
        <v>29</v>
      </c>
      <c r="O1574">
        <v>70</v>
      </c>
      <c r="P1574" t="s">
        <v>36</v>
      </c>
      <c r="Q1574">
        <v>0</v>
      </c>
      <c r="R1574">
        <v>70</v>
      </c>
      <c r="S1574" t="s">
        <v>53</v>
      </c>
      <c r="T1574" t="s">
        <v>56</v>
      </c>
      <c r="U1574">
        <v>35.3733</v>
      </c>
      <c r="V1574">
        <v>-119.0187</v>
      </c>
      <c r="W1574" s="2">
        <v>44912</v>
      </c>
      <c r="X1574">
        <v>0</v>
      </c>
      <c r="Y1574" t="b">
        <v>1</v>
      </c>
      <c r="Z1574" s="2">
        <v>45809</v>
      </c>
      <c r="AA1574" t="str">
        <f t="shared" si="241"/>
        <v>10–19</v>
      </c>
      <c r="AB1574" t="str">
        <f t="shared" si="242"/>
        <v>16–19</v>
      </c>
      <c r="AC1574" t="str">
        <f t="shared" si="243"/>
        <v/>
      </c>
      <c r="AD1574" t="str">
        <f t="shared" si="244"/>
        <v/>
      </c>
      <c r="AE1574" t="str">
        <f t="shared" si="245"/>
        <v/>
      </c>
      <c r="AF1574" t="str">
        <f t="shared" si="246"/>
        <v/>
      </c>
      <c r="AG1574" t="str">
        <f t="shared" si="247"/>
        <v>Friday</v>
      </c>
      <c r="AH1574" t="str">
        <f t="shared" si="248"/>
        <v/>
      </c>
      <c r="AI1574" t="str">
        <f t="shared" si="249"/>
        <v/>
      </c>
      <c r="AJ1574" t="str">
        <f>LEFT(Table1[[#This Row],[membership_type]],2)&amp;TEXT(Table1[[#This Row],[age]],"00")&amp;"-"&amp;TEXT(ROW(),"000")</f>
        <v>El16-1574</v>
      </c>
      <c r="AK1574" t="str">
        <f>LEFT(Table1[[#This Row],[membership_type]],1)&amp;TEXT(MATCH(Table1[[#This Row],[membership_type]],Table1[membership_type],0),"00")</f>
        <v>E07</v>
      </c>
      <c r="AL1574" t="str">
        <f>LEFT(Table1[[#This Row],[discount_type]],1)&amp;TEXT(ROUND(Table1[[#This Row],[discount_rate]]*100,0),"00")</f>
        <v>N00</v>
      </c>
      <c r="AM1574" t="str" cm="1">
        <f t="array" ref="AM1574">TEXT(SUMPRODUCT(CODE(MID(Table1[[#This Row],[home_gym_location]],_xlfn.SEQUENCE(LEN(Table1[[#This Row],[home_gym_location]])),1))),"00000")</f>
        <v>01324</v>
      </c>
      <c r="AN157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74" t="str">
        <f>LEFT(_xlfn.TEXTBEFORE(Table1[[#This Row],[Location Identifier]],"-"),3) &amp; "-" &amp; _xlfn.TEXTAFTER(Table1[[#This Row],[Location Identifier]],"-")</f>
        <v>BAK-002</v>
      </c>
      <c r="AP1574" s="9">
        <f t="shared" ca="1" si="240"/>
        <v>45869</v>
      </c>
    </row>
    <row r="1575" spans="1:42" x14ac:dyDescent="0.25">
      <c r="A1575">
        <v>47</v>
      </c>
      <c r="B1575" t="s">
        <v>51</v>
      </c>
      <c r="C1575">
        <v>2</v>
      </c>
      <c r="D1575" t="s">
        <v>27</v>
      </c>
      <c r="E1575" t="b">
        <v>0</v>
      </c>
      <c r="F1575" s="1">
        <v>0.51249999999999996</v>
      </c>
      <c r="G1575" s="1">
        <v>0.56458333333333333</v>
      </c>
      <c r="H1575">
        <v>75</v>
      </c>
      <c r="I1575" t="b">
        <v>1</v>
      </c>
      <c r="J1575" t="b">
        <v>1</v>
      </c>
      <c r="K1575" t="b">
        <v>0</v>
      </c>
      <c r="L1575" t="s">
        <v>62</v>
      </c>
      <c r="M1575">
        <v>70</v>
      </c>
      <c r="N1575" t="s">
        <v>64</v>
      </c>
      <c r="O1575">
        <v>52.5</v>
      </c>
      <c r="P1575" t="s">
        <v>40</v>
      </c>
      <c r="Q1575">
        <v>0.1</v>
      </c>
      <c r="R1575">
        <v>47.25</v>
      </c>
      <c r="S1575" t="s">
        <v>53</v>
      </c>
      <c r="T1575" t="s">
        <v>32</v>
      </c>
      <c r="U1575">
        <v>37.338200000000001</v>
      </c>
      <c r="V1575">
        <v>-121.88630000000001</v>
      </c>
      <c r="W1575" s="2">
        <v>45600</v>
      </c>
      <c r="X1575">
        <v>8</v>
      </c>
      <c r="Y1575" t="b">
        <v>1</v>
      </c>
      <c r="Z1575" s="2">
        <v>45847</v>
      </c>
      <c r="AA1575" t="str">
        <f t="shared" si="241"/>
        <v>40–49</v>
      </c>
      <c r="AB1575" t="str">
        <f t="shared" si="242"/>
        <v>40–49</v>
      </c>
      <c r="AC1575" t="str">
        <f t="shared" si="243"/>
        <v/>
      </c>
      <c r="AD1575" t="str">
        <f t="shared" si="244"/>
        <v/>
      </c>
      <c r="AE1575" t="str">
        <f t="shared" si="245"/>
        <v/>
      </c>
      <c r="AF1575" t="str">
        <f t="shared" si="246"/>
        <v>Thursday</v>
      </c>
      <c r="AG1575" t="str">
        <f t="shared" si="247"/>
        <v/>
      </c>
      <c r="AH1575" t="str">
        <f t="shared" si="248"/>
        <v>Saturday</v>
      </c>
      <c r="AI1575" t="str">
        <f t="shared" si="249"/>
        <v/>
      </c>
      <c r="AJ1575" t="str">
        <f>LEFT(Table1[[#This Row],[membership_type]],2)&amp;TEXT(Table1[[#This Row],[age]],"00")&amp;"-"&amp;TEXT(ROW(),"000")</f>
        <v>El47-1575</v>
      </c>
      <c r="AK1575" t="str">
        <f>LEFT(Table1[[#This Row],[membership_type]],1)&amp;TEXT(MATCH(Table1[[#This Row],[membership_type]],Table1[membership_type],0),"00")</f>
        <v>E07</v>
      </c>
      <c r="AL1575" t="str">
        <f>LEFT(Table1[[#This Row],[discount_type]],1)&amp;TEXT(ROUND(Table1[[#This Row],[discount_rate]]*100,0),"00")</f>
        <v>L10</v>
      </c>
      <c r="AM1575" t="str" cm="1">
        <f t="array" ref="AM1575">TEXT(SUMPRODUCT(CODE(MID(Table1[[#This Row],[home_gym_location]],_xlfn.SEQUENCE(LEN(Table1[[#This Row],[home_gym_location]])),1))),"00000")</f>
        <v>00931</v>
      </c>
      <c r="AN157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75" t="str">
        <f>LEFT(_xlfn.TEXTBEFORE(Table1[[#This Row],[Location Identifier]],"-"),3) &amp; "-" &amp; _xlfn.TEXTAFTER(Table1[[#This Row],[Location Identifier]],"-")</f>
        <v>SAN-010</v>
      </c>
      <c r="AP1575" s="9">
        <f t="shared" ca="1" si="240"/>
        <v>45869</v>
      </c>
    </row>
    <row r="1576" spans="1:42" x14ac:dyDescent="0.25">
      <c r="A1576">
        <v>18</v>
      </c>
      <c r="B1576" t="s">
        <v>26</v>
      </c>
      <c r="C1576">
        <v>3</v>
      </c>
      <c r="D1576" t="s">
        <v>131</v>
      </c>
      <c r="E1576" t="b">
        <v>0</v>
      </c>
      <c r="F1576" s="1">
        <v>0.55972222222222223</v>
      </c>
      <c r="G1576" s="1">
        <v>0.67708333333333337</v>
      </c>
      <c r="H1576">
        <v>169</v>
      </c>
      <c r="I1576" t="b">
        <v>0</v>
      </c>
      <c r="J1576" t="b">
        <v>0</v>
      </c>
      <c r="K1576" t="b">
        <v>0</v>
      </c>
      <c r="L1576" t="s">
        <v>47</v>
      </c>
      <c r="M1576">
        <v>50</v>
      </c>
      <c r="N1576" t="s">
        <v>29</v>
      </c>
      <c r="O1576">
        <v>50</v>
      </c>
      <c r="P1576" t="s">
        <v>74</v>
      </c>
      <c r="Q1576">
        <v>0.15</v>
      </c>
      <c r="R1576">
        <v>42.5</v>
      </c>
      <c r="S1576" t="s">
        <v>31</v>
      </c>
      <c r="T1576" t="s">
        <v>65</v>
      </c>
      <c r="U1576">
        <v>33.770099999999999</v>
      </c>
      <c r="V1576">
        <v>-118.19370000000001</v>
      </c>
      <c r="W1576" s="2">
        <v>45729</v>
      </c>
      <c r="X1576">
        <v>0</v>
      </c>
      <c r="Y1576" t="b">
        <v>1</v>
      </c>
      <c r="Z1576" s="2">
        <v>45855</v>
      </c>
      <c r="AA1576" t="str">
        <f t="shared" si="241"/>
        <v>10–19</v>
      </c>
      <c r="AB1576" t="str">
        <f t="shared" si="242"/>
        <v>16–19</v>
      </c>
      <c r="AC1576" t="str">
        <f t="shared" si="243"/>
        <v>Monday</v>
      </c>
      <c r="AD1576" t="str">
        <f t="shared" si="244"/>
        <v/>
      </c>
      <c r="AE1576" t="str">
        <f t="shared" si="245"/>
        <v/>
      </c>
      <c r="AF1576" t="str">
        <f t="shared" si="246"/>
        <v/>
      </c>
      <c r="AG1576" t="str">
        <f t="shared" si="247"/>
        <v>Friday</v>
      </c>
      <c r="AH1576" t="str">
        <f t="shared" si="248"/>
        <v/>
      </c>
      <c r="AI1576" t="str">
        <f t="shared" si="249"/>
        <v>Sunday</v>
      </c>
      <c r="AJ1576" t="str">
        <f>LEFT(Table1[[#This Row],[membership_type]],2)&amp;TEXT(Table1[[#This Row],[age]],"00")&amp;"-"&amp;TEXT(ROW(),"000")</f>
        <v>Pr18-1576</v>
      </c>
      <c r="AK1576" t="str">
        <f>LEFT(Table1[[#This Row],[membership_type]],1)&amp;TEXT(MATCH(Table1[[#This Row],[membership_type]],Table1[membership_type],0),"00")</f>
        <v>P01</v>
      </c>
      <c r="AL1576" t="str">
        <f>LEFT(Table1[[#This Row],[discount_type]],1)&amp;TEXT(ROUND(Table1[[#This Row],[discount_rate]]*100,0),"00")</f>
        <v>S15</v>
      </c>
      <c r="AM1576" t="str" cm="1">
        <f t="array" ref="AM1576">TEXT(SUMPRODUCT(CODE(MID(Table1[[#This Row],[home_gym_location]],_xlfn.SEQUENCE(LEN(Table1[[#This Row],[home_gym_location]])),1))),"00000")</f>
        <v>01107</v>
      </c>
      <c r="AN157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76" t="str">
        <f>LEFT(_xlfn.TEXTBEFORE(Table1[[#This Row],[Location Identifier]],"-"),3) &amp; "-" &amp; _xlfn.TEXTAFTER(Table1[[#This Row],[Location Identifier]],"-")</f>
        <v>LON-004</v>
      </c>
      <c r="AP1576" s="9">
        <f t="shared" ca="1" si="240"/>
        <v>45869</v>
      </c>
    </row>
    <row r="1577" spans="1:42" x14ac:dyDescent="0.25">
      <c r="A1577">
        <v>30</v>
      </c>
      <c r="B1577" t="s">
        <v>26</v>
      </c>
      <c r="C1577">
        <v>3</v>
      </c>
      <c r="D1577" t="s">
        <v>60</v>
      </c>
      <c r="E1577" t="b">
        <v>1</v>
      </c>
      <c r="F1577" s="1">
        <v>0.77500000000000002</v>
      </c>
      <c r="G1577" s="1">
        <v>0.85624999999999996</v>
      </c>
      <c r="H1577">
        <v>117</v>
      </c>
      <c r="I1577" t="b">
        <v>1</v>
      </c>
      <c r="J1577" t="b">
        <v>1</v>
      </c>
      <c r="K1577" t="b">
        <v>0</v>
      </c>
      <c r="L1577" t="s">
        <v>62</v>
      </c>
      <c r="M1577">
        <v>50</v>
      </c>
      <c r="N1577" t="s">
        <v>29</v>
      </c>
      <c r="O1577">
        <v>50</v>
      </c>
      <c r="P1577" t="s">
        <v>74</v>
      </c>
      <c r="Q1577">
        <v>0.15</v>
      </c>
      <c r="R1577">
        <v>42.5</v>
      </c>
      <c r="S1577" t="s">
        <v>31</v>
      </c>
      <c r="T1577" t="s">
        <v>54</v>
      </c>
      <c r="U1577">
        <v>32.715699999999998</v>
      </c>
      <c r="V1577">
        <v>-117.1611</v>
      </c>
      <c r="W1577" s="2">
        <v>45805</v>
      </c>
      <c r="X1577">
        <v>4</v>
      </c>
      <c r="Y1577" t="b">
        <v>0</v>
      </c>
      <c r="Z1577" s="2">
        <v>45859</v>
      </c>
      <c r="AA1577" t="str">
        <f t="shared" si="241"/>
        <v>30–39</v>
      </c>
      <c r="AB1577" t="str">
        <f t="shared" si="242"/>
        <v>30–39</v>
      </c>
      <c r="AC1577" t="str">
        <f t="shared" si="243"/>
        <v/>
      </c>
      <c r="AD1577" t="str">
        <f t="shared" si="244"/>
        <v/>
      </c>
      <c r="AE1577" t="str">
        <f t="shared" si="245"/>
        <v>Wednesday</v>
      </c>
      <c r="AF1577" t="str">
        <f t="shared" si="246"/>
        <v/>
      </c>
      <c r="AG1577" t="str">
        <f t="shared" si="247"/>
        <v/>
      </c>
      <c r="AH1577" t="str">
        <f t="shared" si="248"/>
        <v>Saturday</v>
      </c>
      <c r="AI1577" t="str">
        <f t="shared" si="249"/>
        <v>Sunday</v>
      </c>
      <c r="AJ1577" t="str">
        <f>LEFT(Table1[[#This Row],[membership_type]],2)&amp;TEXT(Table1[[#This Row],[age]],"00")&amp;"-"&amp;TEXT(ROW(),"000")</f>
        <v>Pr30-1577</v>
      </c>
      <c r="AK1577" t="str">
        <f>LEFT(Table1[[#This Row],[membership_type]],1)&amp;TEXT(MATCH(Table1[[#This Row],[membership_type]],Table1[membership_type],0),"00")</f>
        <v>P01</v>
      </c>
      <c r="AL1577" t="str">
        <f>LEFT(Table1[[#This Row],[discount_type]],1)&amp;TEXT(ROUND(Table1[[#This Row],[discount_rate]]*100,0),"00")</f>
        <v>S15</v>
      </c>
      <c r="AM1577" t="str" cm="1">
        <f t="array" ref="AM1577">TEXT(SUMPRODUCT(CODE(MID(Table1[[#This Row],[home_gym_location]],_xlfn.SEQUENCE(LEN(Table1[[#This Row],[home_gym_location]])),1))),"00000")</f>
        <v>01018</v>
      </c>
      <c r="AN157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77" t="str">
        <f>LEFT(_xlfn.TEXTBEFORE(Table1[[#This Row],[Location Identifier]],"-"),3) &amp; "-" &amp; _xlfn.TEXTAFTER(Table1[[#This Row],[Location Identifier]],"-")</f>
        <v>SAN-008</v>
      </c>
      <c r="AP1577" s="9">
        <f t="shared" ca="1" si="240"/>
        <v>45869</v>
      </c>
    </row>
    <row r="1578" spans="1:42" x14ac:dyDescent="0.25">
      <c r="A1578">
        <v>33</v>
      </c>
      <c r="B1578" t="s">
        <v>42</v>
      </c>
      <c r="C1578">
        <v>2</v>
      </c>
      <c r="D1578" t="s">
        <v>88</v>
      </c>
      <c r="E1578" t="b">
        <v>1</v>
      </c>
      <c r="F1578" s="1">
        <v>0.85069444444444442</v>
      </c>
      <c r="G1578" s="1">
        <v>0.96944444444444444</v>
      </c>
      <c r="H1578">
        <v>171</v>
      </c>
      <c r="I1578" t="b">
        <v>1</v>
      </c>
      <c r="J1578" t="b">
        <v>0</v>
      </c>
      <c r="K1578" t="b">
        <v>0</v>
      </c>
      <c r="L1578" t="s">
        <v>62</v>
      </c>
      <c r="M1578">
        <v>20</v>
      </c>
      <c r="N1578" t="s">
        <v>29</v>
      </c>
      <c r="O1578">
        <v>20</v>
      </c>
      <c r="P1578" t="s">
        <v>40</v>
      </c>
      <c r="Q1578">
        <v>0.1</v>
      </c>
      <c r="R1578">
        <v>18</v>
      </c>
      <c r="S1578" t="s">
        <v>44</v>
      </c>
      <c r="T1578" t="s">
        <v>45</v>
      </c>
      <c r="U1578">
        <v>33.836599999999997</v>
      </c>
      <c r="V1578">
        <v>-117.9143</v>
      </c>
      <c r="W1578" s="2">
        <v>45147</v>
      </c>
      <c r="X1578">
        <v>0</v>
      </c>
      <c r="Y1578" t="b">
        <v>0</v>
      </c>
      <c r="Z1578" s="2">
        <v>45822</v>
      </c>
      <c r="AA1578" t="str">
        <f t="shared" si="241"/>
        <v>30–39</v>
      </c>
      <c r="AB1578" t="str">
        <f t="shared" si="242"/>
        <v>30–39</v>
      </c>
      <c r="AC1578" t="str">
        <f t="shared" si="243"/>
        <v>Monday</v>
      </c>
      <c r="AD1578" t="str">
        <f t="shared" si="244"/>
        <v/>
      </c>
      <c r="AE1578" t="str">
        <f t="shared" si="245"/>
        <v>Wednesday</v>
      </c>
      <c r="AF1578" t="str">
        <f t="shared" si="246"/>
        <v/>
      </c>
      <c r="AG1578" t="str">
        <f t="shared" si="247"/>
        <v/>
      </c>
      <c r="AH1578" t="str">
        <f t="shared" si="248"/>
        <v/>
      </c>
      <c r="AI1578" t="str">
        <f t="shared" si="249"/>
        <v/>
      </c>
      <c r="AJ1578" t="str">
        <f>LEFT(Table1[[#This Row],[membership_type]],2)&amp;TEXT(Table1[[#This Row],[age]],"00")&amp;"-"&amp;TEXT(ROW(),"000")</f>
        <v>Ba33-1578</v>
      </c>
      <c r="AK1578" t="str">
        <f>LEFT(Table1[[#This Row],[membership_type]],1)&amp;TEXT(MATCH(Table1[[#This Row],[membership_type]],Table1[membership_type],0),"00")</f>
        <v>B04</v>
      </c>
      <c r="AL1578" t="str">
        <f>LEFT(Table1[[#This Row],[discount_type]],1)&amp;TEXT(ROUND(Table1[[#This Row],[discount_rate]]*100,0),"00")</f>
        <v>L10</v>
      </c>
      <c r="AM1578" t="str" cm="1">
        <f t="array" ref="AM1578">TEXT(SUMPRODUCT(CODE(MID(Table1[[#This Row],[home_gym_location]],_xlfn.SEQUENCE(LEN(Table1[[#This Row],[home_gym_location]])),1))),"00000")</f>
        <v>00899</v>
      </c>
      <c r="AN157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78" t="str">
        <f>LEFT(_xlfn.TEXTBEFORE(Table1[[#This Row],[Location Identifier]],"-"),3) &amp; "-" &amp; _xlfn.TEXTAFTER(Table1[[#This Row],[Location Identifier]],"-")</f>
        <v>ANA-001</v>
      </c>
      <c r="AP1578" s="9">
        <f t="shared" ca="1" si="240"/>
        <v>45869</v>
      </c>
    </row>
    <row r="1579" spans="1:42" x14ac:dyDescent="0.25">
      <c r="A1579">
        <v>33</v>
      </c>
      <c r="B1579" t="s">
        <v>26</v>
      </c>
      <c r="C1579">
        <v>4</v>
      </c>
      <c r="D1579" t="s">
        <v>164</v>
      </c>
      <c r="E1579" t="b">
        <v>0</v>
      </c>
      <c r="F1579" s="1">
        <v>0.5625</v>
      </c>
      <c r="G1579" s="1">
        <v>0.59513888888888888</v>
      </c>
      <c r="H1579">
        <v>47</v>
      </c>
      <c r="I1579" t="b">
        <v>1</v>
      </c>
      <c r="J1579" t="b">
        <v>1</v>
      </c>
      <c r="K1579" t="b">
        <v>1</v>
      </c>
      <c r="L1579" t="s">
        <v>35</v>
      </c>
      <c r="M1579">
        <v>50</v>
      </c>
      <c r="N1579" t="s">
        <v>29</v>
      </c>
      <c r="O1579">
        <v>50</v>
      </c>
      <c r="P1579" t="s">
        <v>30</v>
      </c>
      <c r="Q1579">
        <v>0.05</v>
      </c>
      <c r="R1579">
        <v>47.5</v>
      </c>
      <c r="S1579" t="s">
        <v>31</v>
      </c>
      <c r="T1579" t="s">
        <v>45</v>
      </c>
      <c r="U1579">
        <v>33.836599999999997</v>
      </c>
      <c r="V1579">
        <v>-117.9143</v>
      </c>
      <c r="W1579" s="2">
        <v>45184</v>
      </c>
      <c r="X1579">
        <v>6</v>
      </c>
      <c r="Y1579" t="b">
        <v>1</v>
      </c>
      <c r="Z1579" s="2">
        <v>45824</v>
      </c>
      <c r="AA1579" t="str">
        <f t="shared" si="241"/>
        <v>30–39</v>
      </c>
      <c r="AB1579" t="str">
        <f t="shared" si="242"/>
        <v>30–39</v>
      </c>
      <c r="AC1579" t="str">
        <f t="shared" si="243"/>
        <v/>
      </c>
      <c r="AD1579" t="str">
        <f t="shared" si="244"/>
        <v/>
      </c>
      <c r="AE1579" t="str">
        <f t="shared" si="245"/>
        <v>Wednesday</v>
      </c>
      <c r="AF1579" t="str">
        <f t="shared" si="246"/>
        <v>Thursday</v>
      </c>
      <c r="AG1579" t="str">
        <f t="shared" si="247"/>
        <v>Friday</v>
      </c>
      <c r="AH1579" t="str">
        <f t="shared" si="248"/>
        <v>Saturday</v>
      </c>
      <c r="AI1579" t="str">
        <f t="shared" si="249"/>
        <v/>
      </c>
      <c r="AJ1579" t="str">
        <f>LEFT(Table1[[#This Row],[membership_type]],2)&amp;TEXT(Table1[[#This Row],[age]],"00")&amp;"-"&amp;TEXT(ROW(),"000")</f>
        <v>Pr33-1579</v>
      </c>
      <c r="AK1579" t="str">
        <f>LEFT(Table1[[#This Row],[membership_type]],1)&amp;TEXT(MATCH(Table1[[#This Row],[membership_type]],Table1[membership_type],0),"00")</f>
        <v>P01</v>
      </c>
      <c r="AL1579" t="str">
        <f>LEFT(Table1[[#This Row],[discount_type]],1)&amp;TEXT(ROUND(Table1[[#This Row],[discount_rate]]*100,0),"00")</f>
        <v>P05</v>
      </c>
      <c r="AM1579" t="str" cm="1">
        <f t="array" ref="AM1579">TEXT(SUMPRODUCT(CODE(MID(Table1[[#This Row],[home_gym_location]],_xlfn.SEQUENCE(LEN(Table1[[#This Row],[home_gym_location]])),1))),"00000")</f>
        <v>00899</v>
      </c>
      <c r="AN157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79" t="str">
        <f>LEFT(_xlfn.TEXTBEFORE(Table1[[#This Row],[Location Identifier]],"-"),3) &amp; "-" &amp; _xlfn.TEXTAFTER(Table1[[#This Row],[Location Identifier]],"-")</f>
        <v>ANA-001</v>
      </c>
      <c r="AP1579" s="9">
        <f t="shared" ca="1" si="240"/>
        <v>45869</v>
      </c>
    </row>
    <row r="1580" spans="1:42" x14ac:dyDescent="0.25">
      <c r="A1580">
        <v>24</v>
      </c>
      <c r="B1580" t="s">
        <v>26</v>
      </c>
      <c r="C1580">
        <v>1</v>
      </c>
      <c r="D1580" t="s">
        <v>95</v>
      </c>
      <c r="E1580" t="b">
        <v>0</v>
      </c>
      <c r="F1580" s="1">
        <v>0.70208333333333328</v>
      </c>
      <c r="G1580" s="1">
        <v>0.77152777777777781</v>
      </c>
      <c r="H1580">
        <v>100</v>
      </c>
      <c r="I1580" t="b">
        <v>0</v>
      </c>
      <c r="J1580" t="b">
        <v>1</v>
      </c>
      <c r="K1580" t="b">
        <v>1</v>
      </c>
      <c r="L1580" t="s">
        <v>62</v>
      </c>
      <c r="M1580">
        <v>50</v>
      </c>
      <c r="N1580" t="s">
        <v>29</v>
      </c>
      <c r="O1580">
        <v>50</v>
      </c>
      <c r="P1580" t="s">
        <v>36</v>
      </c>
      <c r="Q1580">
        <v>0</v>
      </c>
      <c r="R1580">
        <v>50</v>
      </c>
      <c r="S1580" t="s">
        <v>31</v>
      </c>
      <c r="T1580" t="s">
        <v>48</v>
      </c>
      <c r="U1580">
        <v>38.581600000000002</v>
      </c>
      <c r="V1580">
        <v>-121.4944</v>
      </c>
      <c r="W1580" s="2">
        <v>45248</v>
      </c>
      <c r="X1580">
        <v>1</v>
      </c>
      <c r="Y1580" t="b">
        <v>1</v>
      </c>
      <c r="Z1580" s="2">
        <v>45828</v>
      </c>
      <c r="AA1580" t="str">
        <f t="shared" si="241"/>
        <v>20–29</v>
      </c>
      <c r="AB1580" t="str">
        <f t="shared" si="242"/>
        <v>20–29</v>
      </c>
      <c r="AC1580" t="str">
        <f t="shared" si="243"/>
        <v/>
      </c>
      <c r="AD1580" t="str">
        <f t="shared" si="244"/>
        <v/>
      </c>
      <c r="AE1580" t="str">
        <f t="shared" si="245"/>
        <v/>
      </c>
      <c r="AF1580" t="str">
        <f t="shared" si="246"/>
        <v/>
      </c>
      <c r="AG1580" t="str">
        <f t="shared" si="247"/>
        <v/>
      </c>
      <c r="AH1580" t="str">
        <f t="shared" si="248"/>
        <v>Saturday</v>
      </c>
      <c r="AI1580" t="str">
        <f t="shared" si="249"/>
        <v/>
      </c>
      <c r="AJ1580" t="str">
        <f>LEFT(Table1[[#This Row],[membership_type]],2)&amp;TEXT(Table1[[#This Row],[age]],"00")&amp;"-"&amp;TEXT(ROW(),"000")</f>
        <v>Pr24-1580</v>
      </c>
      <c r="AK1580" t="str">
        <f>LEFT(Table1[[#This Row],[membership_type]],1)&amp;TEXT(MATCH(Table1[[#This Row],[membership_type]],Table1[membership_type],0),"00")</f>
        <v>P01</v>
      </c>
      <c r="AL1580" t="str">
        <f>LEFT(Table1[[#This Row],[discount_type]],1)&amp;TEXT(ROUND(Table1[[#This Row],[discount_rate]]*100,0),"00")</f>
        <v>N00</v>
      </c>
      <c r="AM1580" t="str" cm="1">
        <f t="array" ref="AM1580">TEXT(SUMPRODUCT(CODE(MID(Table1[[#This Row],[home_gym_location]],_xlfn.SEQUENCE(LEN(Table1[[#This Row],[home_gym_location]])),1))),"00000")</f>
        <v>01245</v>
      </c>
      <c r="AN158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80" t="str">
        <f>LEFT(_xlfn.TEXTBEFORE(Table1[[#This Row],[Location Identifier]],"-"),3) &amp; "-" &amp; _xlfn.TEXTAFTER(Table1[[#This Row],[Location Identifier]],"-")</f>
        <v>SAC-007</v>
      </c>
      <c r="AP1580" s="9">
        <f t="shared" ca="1" si="240"/>
        <v>45869</v>
      </c>
    </row>
    <row r="1581" spans="1:42" x14ac:dyDescent="0.25">
      <c r="A1581">
        <v>22</v>
      </c>
      <c r="B1581" t="s">
        <v>33</v>
      </c>
      <c r="C1581">
        <v>5</v>
      </c>
      <c r="D1581" t="s">
        <v>87</v>
      </c>
      <c r="E1581" t="b">
        <v>1</v>
      </c>
      <c r="F1581" s="1">
        <v>0.34236111111111112</v>
      </c>
      <c r="G1581" s="1">
        <v>0.40694444444444444</v>
      </c>
      <c r="H1581">
        <v>93</v>
      </c>
      <c r="I1581" t="b">
        <v>0</v>
      </c>
      <c r="J1581" t="b">
        <v>0</v>
      </c>
      <c r="K1581" t="b">
        <v>1</v>
      </c>
      <c r="L1581" t="s">
        <v>28</v>
      </c>
      <c r="M1581">
        <v>30</v>
      </c>
      <c r="N1581" t="s">
        <v>29</v>
      </c>
      <c r="O1581">
        <v>30</v>
      </c>
      <c r="P1581" t="s">
        <v>30</v>
      </c>
      <c r="Q1581">
        <v>0.05</v>
      </c>
      <c r="R1581">
        <v>28.5</v>
      </c>
      <c r="S1581" t="s">
        <v>37</v>
      </c>
      <c r="T1581" t="s">
        <v>32</v>
      </c>
      <c r="U1581">
        <v>37.338200000000001</v>
      </c>
      <c r="V1581">
        <v>-121.88630000000001</v>
      </c>
      <c r="W1581" s="2">
        <v>45583</v>
      </c>
      <c r="X1581">
        <v>0</v>
      </c>
      <c r="Y1581" t="b">
        <v>1</v>
      </c>
      <c r="Z1581" s="2">
        <v>45847</v>
      </c>
      <c r="AA1581" t="str">
        <f t="shared" si="241"/>
        <v>20–29</v>
      </c>
      <c r="AB1581" t="str">
        <f t="shared" si="242"/>
        <v>20–29</v>
      </c>
      <c r="AC1581" t="str">
        <f t="shared" si="243"/>
        <v/>
      </c>
      <c r="AD1581" t="str">
        <f t="shared" si="244"/>
        <v>Tuesday</v>
      </c>
      <c r="AE1581" t="str">
        <f t="shared" si="245"/>
        <v>Wednesday</v>
      </c>
      <c r="AF1581" t="str">
        <f t="shared" si="246"/>
        <v/>
      </c>
      <c r="AG1581" t="str">
        <f t="shared" si="247"/>
        <v>Friday</v>
      </c>
      <c r="AH1581" t="str">
        <f t="shared" si="248"/>
        <v>Saturday</v>
      </c>
      <c r="AI1581" t="str">
        <f t="shared" si="249"/>
        <v>Sunday</v>
      </c>
      <c r="AJ1581" t="str">
        <f>LEFT(Table1[[#This Row],[membership_type]],2)&amp;TEXT(Table1[[#This Row],[age]],"00")&amp;"-"&amp;TEXT(ROW(),"000")</f>
        <v>St22-1581</v>
      </c>
      <c r="AK1581" t="str">
        <f>LEFT(Table1[[#This Row],[membership_type]],1)&amp;TEXT(MATCH(Table1[[#This Row],[membership_type]],Table1[membership_type],0),"00")</f>
        <v>S02</v>
      </c>
      <c r="AL1581" t="str">
        <f>LEFT(Table1[[#This Row],[discount_type]],1)&amp;TEXT(ROUND(Table1[[#This Row],[discount_rate]]*100,0),"00")</f>
        <v>P05</v>
      </c>
      <c r="AM1581" t="str" cm="1">
        <f t="array" ref="AM1581">TEXT(SUMPRODUCT(CODE(MID(Table1[[#This Row],[home_gym_location]],_xlfn.SEQUENCE(LEN(Table1[[#This Row],[home_gym_location]])),1))),"00000")</f>
        <v>00931</v>
      </c>
      <c r="AN158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81" t="str">
        <f>LEFT(_xlfn.TEXTBEFORE(Table1[[#This Row],[Location Identifier]],"-"),3) &amp; "-" &amp; _xlfn.TEXTAFTER(Table1[[#This Row],[Location Identifier]],"-")</f>
        <v>SAN-010</v>
      </c>
      <c r="AP1581" s="9">
        <f t="shared" ca="1" si="240"/>
        <v>45869</v>
      </c>
    </row>
    <row r="1582" spans="1:42" x14ac:dyDescent="0.25">
      <c r="A1582">
        <v>30</v>
      </c>
      <c r="B1582" t="s">
        <v>26</v>
      </c>
      <c r="C1582">
        <v>3</v>
      </c>
      <c r="D1582" t="s">
        <v>57</v>
      </c>
      <c r="E1582" t="b">
        <v>1</v>
      </c>
      <c r="F1582" s="1">
        <v>0.82361111111111107</v>
      </c>
      <c r="G1582" s="1">
        <v>0.8666666666666667</v>
      </c>
      <c r="H1582">
        <v>62</v>
      </c>
      <c r="I1582" t="b">
        <v>0</v>
      </c>
      <c r="J1582" t="b">
        <v>0</v>
      </c>
      <c r="K1582" t="b">
        <v>0</v>
      </c>
      <c r="L1582" t="s">
        <v>28</v>
      </c>
      <c r="M1582">
        <v>50</v>
      </c>
      <c r="N1582" t="s">
        <v>29</v>
      </c>
      <c r="O1582">
        <v>50</v>
      </c>
      <c r="P1582" t="s">
        <v>30</v>
      </c>
      <c r="Q1582">
        <v>0.05</v>
      </c>
      <c r="R1582">
        <v>47.5</v>
      </c>
      <c r="S1582" t="s">
        <v>31</v>
      </c>
      <c r="T1582" t="s">
        <v>56</v>
      </c>
      <c r="U1582">
        <v>35.3733</v>
      </c>
      <c r="V1582">
        <v>-119.0187</v>
      </c>
      <c r="W1582" s="2">
        <v>45414</v>
      </c>
      <c r="X1582">
        <v>0</v>
      </c>
      <c r="Y1582" t="b">
        <v>1</v>
      </c>
      <c r="Z1582" s="2">
        <v>45837</v>
      </c>
      <c r="AA1582" t="str">
        <f t="shared" si="241"/>
        <v>30–39</v>
      </c>
      <c r="AB1582" t="str">
        <f t="shared" si="242"/>
        <v>30–39</v>
      </c>
      <c r="AC1582" t="str">
        <f t="shared" si="243"/>
        <v/>
      </c>
      <c r="AD1582" t="str">
        <f t="shared" si="244"/>
        <v/>
      </c>
      <c r="AE1582" t="str">
        <f t="shared" si="245"/>
        <v>Wednesday</v>
      </c>
      <c r="AF1582" t="str">
        <f t="shared" si="246"/>
        <v>Thursday</v>
      </c>
      <c r="AG1582" t="str">
        <f t="shared" si="247"/>
        <v/>
      </c>
      <c r="AH1582" t="str">
        <f t="shared" si="248"/>
        <v>Saturday</v>
      </c>
      <c r="AI1582" t="str">
        <f t="shared" si="249"/>
        <v/>
      </c>
      <c r="AJ1582" t="str">
        <f>LEFT(Table1[[#This Row],[membership_type]],2)&amp;TEXT(Table1[[#This Row],[age]],"00")&amp;"-"&amp;TEXT(ROW(),"000")</f>
        <v>Pr30-1582</v>
      </c>
      <c r="AK1582" t="str">
        <f>LEFT(Table1[[#This Row],[membership_type]],1)&amp;TEXT(MATCH(Table1[[#This Row],[membership_type]],Table1[membership_type],0),"00")</f>
        <v>P01</v>
      </c>
      <c r="AL1582" t="str">
        <f>LEFT(Table1[[#This Row],[discount_type]],1)&amp;TEXT(ROUND(Table1[[#This Row],[discount_rate]]*100,0),"00")</f>
        <v>P05</v>
      </c>
      <c r="AM1582" t="str" cm="1">
        <f t="array" ref="AM1582">TEXT(SUMPRODUCT(CODE(MID(Table1[[#This Row],[home_gym_location]],_xlfn.SEQUENCE(LEN(Table1[[#This Row],[home_gym_location]])),1))),"00000")</f>
        <v>01324</v>
      </c>
      <c r="AN158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82" t="str">
        <f>LEFT(_xlfn.TEXTBEFORE(Table1[[#This Row],[Location Identifier]],"-"),3) &amp; "-" &amp; _xlfn.TEXTAFTER(Table1[[#This Row],[Location Identifier]],"-")</f>
        <v>BAK-002</v>
      </c>
      <c r="AP1582" s="9">
        <f t="shared" ca="1" si="240"/>
        <v>45869</v>
      </c>
    </row>
    <row r="1583" spans="1:42" x14ac:dyDescent="0.25">
      <c r="A1583">
        <v>41</v>
      </c>
      <c r="B1583" t="s">
        <v>26</v>
      </c>
      <c r="C1583">
        <v>1</v>
      </c>
      <c r="D1583" t="s">
        <v>95</v>
      </c>
      <c r="E1583" t="b">
        <v>1</v>
      </c>
      <c r="F1583" s="1">
        <v>0.35347222222222224</v>
      </c>
      <c r="G1583" s="1">
        <v>0.43888888888888888</v>
      </c>
      <c r="H1583">
        <v>123</v>
      </c>
      <c r="I1583" t="b">
        <v>1</v>
      </c>
      <c r="J1583" t="b">
        <v>1</v>
      </c>
      <c r="K1583" t="b">
        <v>0</v>
      </c>
      <c r="L1583" t="s">
        <v>35</v>
      </c>
      <c r="M1583">
        <v>50</v>
      </c>
      <c r="N1583" t="s">
        <v>78</v>
      </c>
      <c r="O1583">
        <v>45</v>
      </c>
      <c r="P1583" t="s">
        <v>36</v>
      </c>
      <c r="Q1583">
        <v>0</v>
      </c>
      <c r="R1583">
        <v>45</v>
      </c>
      <c r="S1583" t="s">
        <v>31</v>
      </c>
      <c r="T1583" t="s">
        <v>32</v>
      </c>
      <c r="U1583">
        <v>37.338200000000001</v>
      </c>
      <c r="V1583">
        <v>-121.88630000000001</v>
      </c>
      <c r="W1583" s="2">
        <v>45197</v>
      </c>
      <c r="X1583">
        <v>7</v>
      </c>
      <c r="Y1583" t="b">
        <v>1</v>
      </c>
      <c r="Z1583" s="2">
        <v>45825</v>
      </c>
      <c r="AA1583" t="str">
        <f t="shared" si="241"/>
        <v>40–49</v>
      </c>
      <c r="AB1583" t="str">
        <f t="shared" si="242"/>
        <v>40–49</v>
      </c>
      <c r="AC1583" t="str">
        <f t="shared" si="243"/>
        <v/>
      </c>
      <c r="AD1583" t="str">
        <f t="shared" si="244"/>
        <v/>
      </c>
      <c r="AE1583" t="str">
        <f t="shared" si="245"/>
        <v/>
      </c>
      <c r="AF1583" t="str">
        <f t="shared" si="246"/>
        <v/>
      </c>
      <c r="AG1583" t="str">
        <f t="shared" si="247"/>
        <v/>
      </c>
      <c r="AH1583" t="str">
        <f t="shared" si="248"/>
        <v>Saturday</v>
      </c>
      <c r="AI1583" t="str">
        <f t="shared" si="249"/>
        <v/>
      </c>
      <c r="AJ1583" t="str">
        <f>LEFT(Table1[[#This Row],[membership_type]],2)&amp;TEXT(Table1[[#This Row],[age]],"00")&amp;"-"&amp;TEXT(ROW(),"000")</f>
        <v>Pr41-1583</v>
      </c>
      <c r="AK1583" t="str">
        <f>LEFT(Table1[[#This Row],[membership_type]],1)&amp;TEXT(MATCH(Table1[[#This Row],[membership_type]],Table1[membership_type],0),"00")</f>
        <v>P01</v>
      </c>
      <c r="AL1583" t="str">
        <f>LEFT(Table1[[#This Row],[discount_type]],1)&amp;TEXT(ROUND(Table1[[#This Row],[discount_rate]]*100,0),"00")</f>
        <v>N00</v>
      </c>
      <c r="AM1583" t="str" cm="1">
        <f t="array" ref="AM1583">TEXT(SUMPRODUCT(CODE(MID(Table1[[#This Row],[home_gym_location]],_xlfn.SEQUENCE(LEN(Table1[[#This Row],[home_gym_location]])),1))),"00000")</f>
        <v>00931</v>
      </c>
      <c r="AN158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83" t="str">
        <f>LEFT(_xlfn.TEXTBEFORE(Table1[[#This Row],[Location Identifier]],"-"),3) &amp; "-" &amp; _xlfn.TEXTAFTER(Table1[[#This Row],[Location Identifier]],"-")</f>
        <v>SAN-010</v>
      </c>
      <c r="AP1583" s="9">
        <f t="shared" ca="1" si="240"/>
        <v>45869</v>
      </c>
    </row>
    <row r="1584" spans="1:42" x14ac:dyDescent="0.25">
      <c r="A1584">
        <v>30</v>
      </c>
      <c r="B1584" t="s">
        <v>33</v>
      </c>
      <c r="C1584">
        <v>3</v>
      </c>
      <c r="D1584" t="s">
        <v>106</v>
      </c>
      <c r="E1584" t="b">
        <v>1</v>
      </c>
      <c r="F1584" s="1">
        <v>0.80277777777777781</v>
      </c>
      <c r="G1584" s="1">
        <v>0.84375</v>
      </c>
      <c r="H1584">
        <v>59</v>
      </c>
      <c r="I1584" t="b">
        <v>0</v>
      </c>
      <c r="J1584" t="b">
        <v>1</v>
      </c>
      <c r="K1584" t="b">
        <v>1</v>
      </c>
      <c r="L1584" t="s">
        <v>28</v>
      </c>
      <c r="M1584">
        <v>30</v>
      </c>
      <c r="N1584" t="s">
        <v>29</v>
      </c>
      <c r="O1584">
        <v>30</v>
      </c>
      <c r="P1584" t="s">
        <v>40</v>
      </c>
      <c r="Q1584">
        <v>0.1</v>
      </c>
      <c r="R1584">
        <v>27</v>
      </c>
      <c r="S1584" t="s">
        <v>37</v>
      </c>
      <c r="T1584" t="s">
        <v>56</v>
      </c>
      <c r="U1584">
        <v>35.3733</v>
      </c>
      <c r="V1584">
        <v>-119.0187</v>
      </c>
      <c r="W1584" s="2">
        <v>45301</v>
      </c>
      <c r="X1584">
        <v>4</v>
      </c>
      <c r="Y1584" t="b">
        <v>0</v>
      </c>
      <c r="Z1584" s="2">
        <v>45831</v>
      </c>
      <c r="AA1584" t="str">
        <f t="shared" si="241"/>
        <v>30–39</v>
      </c>
      <c r="AB1584" t="str">
        <f t="shared" si="242"/>
        <v>30–39</v>
      </c>
      <c r="AC1584" t="str">
        <f t="shared" si="243"/>
        <v/>
      </c>
      <c r="AD1584" t="str">
        <f t="shared" si="244"/>
        <v/>
      </c>
      <c r="AE1584" t="str">
        <f t="shared" si="245"/>
        <v>Wednesday</v>
      </c>
      <c r="AF1584" t="str">
        <f t="shared" si="246"/>
        <v>Thursday</v>
      </c>
      <c r="AG1584" t="str">
        <f t="shared" si="247"/>
        <v>Friday</v>
      </c>
      <c r="AH1584" t="str">
        <f t="shared" si="248"/>
        <v/>
      </c>
      <c r="AI1584" t="str">
        <f t="shared" si="249"/>
        <v/>
      </c>
      <c r="AJ1584" t="str">
        <f>LEFT(Table1[[#This Row],[membership_type]],2)&amp;TEXT(Table1[[#This Row],[age]],"00")&amp;"-"&amp;TEXT(ROW(),"000")</f>
        <v>St30-1584</v>
      </c>
      <c r="AK1584" t="str">
        <f>LEFT(Table1[[#This Row],[membership_type]],1)&amp;TEXT(MATCH(Table1[[#This Row],[membership_type]],Table1[membership_type],0),"00")</f>
        <v>S02</v>
      </c>
      <c r="AL1584" t="str">
        <f>LEFT(Table1[[#This Row],[discount_type]],1)&amp;TEXT(ROUND(Table1[[#This Row],[discount_rate]]*100,0),"00")</f>
        <v>L10</v>
      </c>
      <c r="AM1584" t="str" cm="1">
        <f t="array" ref="AM1584">TEXT(SUMPRODUCT(CODE(MID(Table1[[#This Row],[home_gym_location]],_xlfn.SEQUENCE(LEN(Table1[[#This Row],[home_gym_location]])),1))),"00000")</f>
        <v>01324</v>
      </c>
      <c r="AN158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84" t="str">
        <f>LEFT(_xlfn.TEXTBEFORE(Table1[[#This Row],[Location Identifier]],"-"),3) &amp; "-" &amp; _xlfn.TEXTAFTER(Table1[[#This Row],[Location Identifier]],"-")</f>
        <v>BAK-002</v>
      </c>
      <c r="AP1584" s="9">
        <f t="shared" ca="1" si="240"/>
        <v>45869</v>
      </c>
    </row>
    <row r="1585" spans="1:42" x14ac:dyDescent="0.25">
      <c r="A1585">
        <v>35</v>
      </c>
      <c r="B1585" t="s">
        <v>42</v>
      </c>
      <c r="C1585">
        <v>2</v>
      </c>
      <c r="D1585" t="s">
        <v>101</v>
      </c>
      <c r="E1585" t="b">
        <v>1</v>
      </c>
      <c r="F1585" s="1">
        <v>0.68055555555555558</v>
      </c>
      <c r="G1585" s="1">
        <v>0.72291666666666665</v>
      </c>
      <c r="H1585">
        <v>61</v>
      </c>
      <c r="I1585" t="b">
        <v>1</v>
      </c>
      <c r="J1585" t="b">
        <v>1</v>
      </c>
      <c r="K1585" t="b">
        <v>0</v>
      </c>
      <c r="L1585" t="s">
        <v>62</v>
      </c>
      <c r="M1585">
        <v>20</v>
      </c>
      <c r="N1585" t="s">
        <v>29</v>
      </c>
      <c r="O1585">
        <v>20</v>
      </c>
      <c r="P1585" t="s">
        <v>36</v>
      </c>
      <c r="Q1585">
        <v>0</v>
      </c>
      <c r="R1585">
        <v>20</v>
      </c>
      <c r="S1585" t="s">
        <v>44</v>
      </c>
      <c r="T1585" t="s">
        <v>65</v>
      </c>
      <c r="U1585">
        <v>33.770099999999999</v>
      </c>
      <c r="V1585">
        <v>-118.19370000000001</v>
      </c>
      <c r="W1585" s="2">
        <v>44779</v>
      </c>
      <c r="X1585">
        <v>1</v>
      </c>
      <c r="Y1585" t="b">
        <v>0</v>
      </c>
      <c r="Z1585" s="2">
        <v>45801</v>
      </c>
      <c r="AA1585" t="str">
        <f t="shared" si="241"/>
        <v>30–39</v>
      </c>
      <c r="AB1585" t="str">
        <f t="shared" si="242"/>
        <v>30–39</v>
      </c>
      <c r="AC1585" t="str">
        <f t="shared" si="243"/>
        <v>Monday</v>
      </c>
      <c r="AD1585" t="str">
        <f t="shared" si="244"/>
        <v/>
      </c>
      <c r="AE1585" t="str">
        <f t="shared" si="245"/>
        <v/>
      </c>
      <c r="AF1585" t="str">
        <f t="shared" si="246"/>
        <v/>
      </c>
      <c r="AG1585" t="str">
        <f t="shared" si="247"/>
        <v>Friday</v>
      </c>
      <c r="AH1585" t="str">
        <f t="shared" si="248"/>
        <v/>
      </c>
      <c r="AI1585" t="str">
        <f t="shared" si="249"/>
        <v/>
      </c>
      <c r="AJ1585" t="str">
        <f>LEFT(Table1[[#This Row],[membership_type]],2)&amp;TEXT(Table1[[#This Row],[age]],"00")&amp;"-"&amp;TEXT(ROW(),"000")</f>
        <v>Ba35-1585</v>
      </c>
      <c r="AK1585" t="str">
        <f>LEFT(Table1[[#This Row],[membership_type]],1)&amp;TEXT(MATCH(Table1[[#This Row],[membership_type]],Table1[membership_type],0),"00")</f>
        <v>B04</v>
      </c>
      <c r="AL1585" t="str">
        <f>LEFT(Table1[[#This Row],[discount_type]],1)&amp;TEXT(ROUND(Table1[[#This Row],[discount_rate]]*100,0),"00")</f>
        <v>N00</v>
      </c>
      <c r="AM1585" t="str" cm="1">
        <f t="array" ref="AM1585">TEXT(SUMPRODUCT(CODE(MID(Table1[[#This Row],[home_gym_location]],_xlfn.SEQUENCE(LEN(Table1[[#This Row],[home_gym_location]])),1))),"00000")</f>
        <v>01107</v>
      </c>
      <c r="AN158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85" t="str">
        <f>LEFT(_xlfn.TEXTBEFORE(Table1[[#This Row],[Location Identifier]],"-"),3) &amp; "-" &amp; _xlfn.TEXTAFTER(Table1[[#This Row],[Location Identifier]],"-")</f>
        <v>LON-004</v>
      </c>
      <c r="AP1585" s="9">
        <f t="shared" ca="1" si="240"/>
        <v>45869</v>
      </c>
    </row>
    <row r="1586" spans="1:42" x14ac:dyDescent="0.25">
      <c r="A1586">
        <v>27</v>
      </c>
      <c r="B1586" t="s">
        <v>26</v>
      </c>
      <c r="C1586">
        <v>4</v>
      </c>
      <c r="D1586" t="s">
        <v>39</v>
      </c>
      <c r="E1586" t="b">
        <v>0</v>
      </c>
      <c r="F1586" s="1">
        <v>0.49236111111111114</v>
      </c>
      <c r="G1586" s="1">
        <v>0.60069444444444442</v>
      </c>
      <c r="H1586">
        <v>156</v>
      </c>
      <c r="I1586" t="b">
        <v>1</v>
      </c>
      <c r="J1586" t="b">
        <v>1</v>
      </c>
      <c r="K1586" t="b">
        <v>0</v>
      </c>
      <c r="L1586" t="s">
        <v>28</v>
      </c>
      <c r="M1586">
        <v>50</v>
      </c>
      <c r="N1586" t="s">
        <v>64</v>
      </c>
      <c r="O1586">
        <v>37.5</v>
      </c>
      <c r="P1586" t="s">
        <v>36</v>
      </c>
      <c r="Q1586">
        <v>0</v>
      </c>
      <c r="R1586">
        <v>37.5</v>
      </c>
      <c r="S1586" t="s">
        <v>31</v>
      </c>
      <c r="T1586" t="s">
        <v>54</v>
      </c>
      <c r="U1586">
        <v>32.715699999999998</v>
      </c>
      <c r="V1586">
        <v>-117.1611</v>
      </c>
      <c r="W1586" s="2">
        <v>45685</v>
      </c>
      <c r="X1586">
        <v>5</v>
      </c>
      <c r="Y1586" t="b">
        <v>1</v>
      </c>
      <c r="Z1586" s="2">
        <v>45852</v>
      </c>
      <c r="AA1586" t="str">
        <f t="shared" si="241"/>
        <v>20–29</v>
      </c>
      <c r="AB1586" t="str">
        <f t="shared" si="242"/>
        <v>20–29</v>
      </c>
      <c r="AC1586" t="str">
        <f t="shared" si="243"/>
        <v/>
      </c>
      <c r="AD1586" t="str">
        <f t="shared" si="244"/>
        <v>Tuesday</v>
      </c>
      <c r="AE1586" t="str">
        <f t="shared" si="245"/>
        <v>Wednesday</v>
      </c>
      <c r="AF1586" t="str">
        <f t="shared" si="246"/>
        <v>Thursday</v>
      </c>
      <c r="AG1586" t="str">
        <f t="shared" si="247"/>
        <v/>
      </c>
      <c r="AH1586" t="str">
        <f t="shared" si="248"/>
        <v/>
      </c>
      <c r="AI1586" t="str">
        <f t="shared" si="249"/>
        <v>Sunday</v>
      </c>
      <c r="AJ1586" t="str">
        <f>LEFT(Table1[[#This Row],[membership_type]],2)&amp;TEXT(Table1[[#This Row],[age]],"00")&amp;"-"&amp;TEXT(ROW(),"000")</f>
        <v>Pr27-1586</v>
      </c>
      <c r="AK1586" t="str">
        <f>LEFT(Table1[[#This Row],[membership_type]],1)&amp;TEXT(MATCH(Table1[[#This Row],[membership_type]],Table1[membership_type],0),"00")</f>
        <v>P01</v>
      </c>
      <c r="AL1586" t="str">
        <f>LEFT(Table1[[#This Row],[discount_type]],1)&amp;TEXT(ROUND(Table1[[#This Row],[discount_rate]]*100,0),"00")</f>
        <v>N00</v>
      </c>
      <c r="AM1586" t="str" cm="1">
        <f t="array" ref="AM1586">TEXT(SUMPRODUCT(CODE(MID(Table1[[#This Row],[home_gym_location]],_xlfn.SEQUENCE(LEN(Table1[[#This Row],[home_gym_location]])),1))),"00000")</f>
        <v>01018</v>
      </c>
      <c r="AN158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86" t="str">
        <f>LEFT(_xlfn.TEXTBEFORE(Table1[[#This Row],[Location Identifier]],"-"),3) &amp; "-" &amp; _xlfn.TEXTAFTER(Table1[[#This Row],[Location Identifier]],"-")</f>
        <v>SAN-008</v>
      </c>
      <c r="AP1586" s="9">
        <f t="shared" ca="1" si="240"/>
        <v>45869</v>
      </c>
    </row>
    <row r="1587" spans="1:42" x14ac:dyDescent="0.25">
      <c r="A1587">
        <v>34</v>
      </c>
      <c r="B1587" t="s">
        <v>51</v>
      </c>
      <c r="C1587">
        <v>1</v>
      </c>
      <c r="D1587" t="s">
        <v>67</v>
      </c>
      <c r="E1587" t="b">
        <v>1</v>
      </c>
      <c r="F1587" s="1">
        <v>0.74791666666666667</v>
      </c>
      <c r="G1587" s="1">
        <v>0.82361111111111107</v>
      </c>
      <c r="H1587">
        <v>109</v>
      </c>
      <c r="I1587" t="b">
        <v>0</v>
      </c>
      <c r="J1587" t="b">
        <v>1</v>
      </c>
      <c r="K1587" t="b">
        <v>1</v>
      </c>
      <c r="L1587" t="s">
        <v>35</v>
      </c>
      <c r="M1587">
        <v>70</v>
      </c>
      <c r="N1587" t="s">
        <v>64</v>
      </c>
      <c r="O1587">
        <v>52.5</v>
      </c>
      <c r="P1587" t="s">
        <v>36</v>
      </c>
      <c r="Q1587">
        <v>0</v>
      </c>
      <c r="R1587">
        <v>52.5</v>
      </c>
      <c r="S1587" t="s">
        <v>53</v>
      </c>
      <c r="T1587" t="s">
        <v>32</v>
      </c>
      <c r="U1587">
        <v>37.338200000000001</v>
      </c>
      <c r="V1587">
        <v>-121.88630000000001</v>
      </c>
      <c r="W1587" s="2">
        <v>45090</v>
      </c>
      <c r="X1587">
        <v>2</v>
      </c>
      <c r="Y1587" t="b">
        <v>1</v>
      </c>
      <c r="Z1587" s="2">
        <v>45819</v>
      </c>
      <c r="AA1587" t="str">
        <f t="shared" si="241"/>
        <v>30–39</v>
      </c>
      <c r="AB1587" t="str">
        <f t="shared" si="242"/>
        <v>30–39</v>
      </c>
      <c r="AC1587" t="str">
        <f t="shared" si="243"/>
        <v/>
      </c>
      <c r="AD1587" t="str">
        <f t="shared" si="244"/>
        <v/>
      </c>
      <c r="AE1587" t="str">
        <f t="shared" si="245"/>
        <v/>
      </c>
      <c r="AF1587" t="str">
        <f t="shared" si="246"/>
        <v>Thursday</v>
      </c>
      <c r="AG1587" t="str">
        <f t="shared" si="247"/>
        <v/>
      </c>
      <c r="AH1587" t="str">
        <f t="shared" si="248"/>
        <v/>
      </c>
      <c r="AI1587" t="str">
        <f t="shared" si="249"/>
        <v/>
      </c>
      <c r="AJ1587" t="str">
        <f>LEFT(Table1[[#This Row],[membership_type]],2)&amp;TEXT(Table1[[#This Row],[age]],"00")&amp;"-"&amp;TEXT(ROW(),"000")</f>
        <v>El34-1587</v>
      </c>
      <c r="AK1587" t="str">
        <f>LEFT(Table1[[#This Row],[membership_type]],1)&amp;TEXT(MATCH(Table1[[#This Row],[membership_type]],Table1[membership_type],0),"00")</f>
        <v>E07</v>
      </c>
      <c r="AL1587" t="str">
        <f>LEFT(Table1[[#This Row],[discount_type]],1)&amp;TEXT(ROUND(Table1[[#This Row],[discount_rate]]*100,0),"00")</f>
        <v>N00</v>
      </c>
      <c r="AM1587" t="str" cm="1">
        <f t="array" ref="AM1587">TEXT(SUMPRODUCT(CODE(MID(Table1[[#This Row],[home_gym_location]],_xlfn.SEQUENCE(LEN(Table1[[#This Row],[home_gym_location]])),1))),"00000")</f>
        <v>00931</v>
      </c>
      <c r="AN15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87" t="str">
        <f>LEFT(_xlfn.TEXTBEFORE(Table1[[#This Row],[Location Identifier]],"-"),3) &amp; "-" &amp; _xlfn.TEXTAFTER(Table1[[#This Row],[Location Identifier]],"-")</f>
        <v>SAN-010</v>
      </c>
      <c r="AP1587" s="9">
        <f t="shared" ca="1" si="240"/>
        <v>45869</v>
      </c>
    </row>
    <row r="1588" spans="1:42" x14ac:dyDescent="0.25">
      <c r="A1588">
        <v>20</v>
      </c>
      <c r="B1588" t="s">
        <v>42</v>
      </c>
      <c r="C1588">
        <v>4</v>
      </c>
      <c r="D1588" t="s">
        <v>151</v>
      </c>
      <c r="E1588" t="b">
        <v>0</v>
      </c>
      <c r="F1588" s="1">
        <v>0.49375000000000002</v>
      </c>
      <c r="G1588" s="1">
        <v>0.59791666666666665</v>
      </c>
      <c r="H1588">
        <v>150</v>
      </c>
      <c r="I1588" t="b">
        <v>1</v>
      </c>
      <c r="J1588" t="b">
        <v>1</v>
      </c>
      <c r="K1588" t="b">
        <v>0</v>
      </c>
      <c r="L1588" t="s">
        <v>62</v>
      </c>
      <c r="M1588">
        <v>20</v>
      </c>
      <c r="N1588" t="s">
        <v>29</v>
      </c>
      <c r="O1588">
        <v>20</v>
      </c>
      <c r="P1588" t="s">
        <v>30</v>
      </c>
      <c r="Q1588">
        <v>0.05</v>
      </c>
      <c r="R1588">
        <v>19</v>
      </c>
      <c r="S1588" t="s">
        <v>44</v>
      </c>
      <c r="T1588" t="s">
        <v>56</v>
      </c>
      <c r="U1588">
        <v>35.3733</v>
      </c>
      <c r="V1588">
        <v>-119.0187</v>
      </c>
      <c r="W1588" s="2">
        <v>45400</v>
      </c>
      <c r="X1588">
        <v>5</v>
      </c>
      <c r="Y1588" t="b">
        <v>1</v>
      </c>
      <c r="Z1588" s="2">
        <v>45836</v>
      </c>
      <c r="AA1588" t="str">
        <f t="shared" si="241"/>
        <v>20–29</v>
      </c>
      <c r="AB1588" t="str">
        <f t="shared" si="242"/>
        <v>20–29</v>
      </c>
      <c r="AC1588" t="str">
        <f t="shared" si="243"/>
        <v/>
      </c>
      <c r="AD1588" t="str">
        <f t="shared" si="244"/>
        <v>Tuesday</v>
      </c>
      <c r="AE1588" t="str">
        <f t="shared" si="245"/>
        <v>Wednesday</v>
      </c>
      <c r="AF1588" t="str">
        <f t="shared" si="246"/>
        <v>Thursday</v>
      </c>
      <c r="AG1588" t="str">
        <f t="shared" si="247"/>
        <v>Friday</v>
      </c>
      <c r="AH1588" t="str">
        <f t="shared" si="248"/>
        <v/>
      </c>
      <c r="AI1588" t="str">
        <f t="shared" si="249"/>
        <v/>
      </c>
      <c r="AJ1588" t="str">
        <f>LEFT(Table1[[#This Row],[membership_type]],2)&amp;TEXT(Table1[[#This Row],[age]],"00")&amp;"-"&amp;TEXT(ROW(),"000")</f>
        <v>Ba20-1588</v>
      </c>
      <c r="AK1588" t="str">
        <f>LEFT(Table1[[#This Row],[membership_type]],1)&amp;TEXT(MATCH(Table1[[#This Row],[membership_type]],Table1[membership_type],0),"00")</f>
        <v>B04</v>
      </c>
      <c r="AL1588" t="str">
        <f>LEFT(Table1[[#This Row],[discount_type]],1)&amp;TEXT(ROUND(Table1[[#This Row],[discount_rate]]*100,0),"00")</f>
        <v>P05</v>
      </c>
      <c r="AM1588" t="str" cm="1">
        <f t="array" ref="AM1588">TEXT(SUMPRODUCT(CODE(MID(Table1[[#This Row],[home_gym_location]],_xlfn.SEQUENCE(LEN(Table1[[#This Row],[home_gym_location]])),1))),"00000")</f>
        <v>01324</v>
      </c>
      <c r="AN158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588" t="str">
        <f>LEFT(_xlfn.TEXTBEFORE(Table1[[#This Row],[Location Identifier]],"-"),3) &amp; "-" &amp; _xlfn.TEXTAFTER(Table1[[#This Row],[Location Identifier]],"-")</f>
        <v>BAK-002</v>
      </c>
      <c r="AP1588" s="9">
        <f t="shared" ca="1" si="240"/>
        <v>45869</v>
      </c>
    </row>
    <row r="1589" spans="1:42" x14ac:dyDescent="0.25">
      <c r="A1589">
        <v>34</v>
      </c>
      <c r="B1589" t="s">
        <v>26</v>
      </c>
      <c r="C1589">
        <v>3</v>
      </c>
      <c r="D1589" t="s">
        <v>90</v>
      </c>
      <c r="E1589" t="b">
        <v>1</v>
      </c>
      <c r="F1589" s="1">
        <v>0.56874999999999998</v>
      </c>
      <c r="G1589" s="1">
        <v>0.68055555555555558</v>
      </c>
      <c r="H1589">
        <v>161</v>
      </c>
      <c r="I1589" t="b">
        <v>1</v>
      </c>
      <c r="J1589" t="b">
        <v>0</v>
      </c>
      <c r="K1589" t="b">
        <v>1</v>
      </c>
      <c r="L1589" t="s">
        <v>35</v>
      </c>
      <c r="M1589">
        <v>50</v>
      </c>
      <c r="N1589" t="s">
        <v>29</v>
      </c>
      <c r="O1589">
        <v>50</v>
      </c>
      <c r="P1589" t="s">
        <v>36</v>
      </c>
      <c r="Q1589">
        <v>0</v>
      </c>
      <c r="R1589">
        <v>50</v>
      </c>
      <c r="S1589" t="s">
        <v>31</v>
      </c>
      <c r="T1589" t="s">
        <v>59</v>
      </c>
      <c r="U1589">
        <v>37.774900000000002</v>
      </c>
      <c r="V1589">
        <v>-122.4194</v>
      </c>
      <c r="W1589" s="2">
        <v>45374</v>
      </c>
      <c r="X1589">
        <v>0</v>
      </c>
      <c r="Y1589" t="b">
        <v>1</v>
      </c>
      <c r="Z1589" s="2">
        <v>45835</v>
      </c>
      <c r="AA1589" t="str">
        <f t="shared" si="241"/>
        <v>30–39</v>
      </c>
      <c r="AB1589" t="str">
        <f t="shared" si="242"/>
        <v>30–39</v>
      </c>
      <c r="AC1589" t="str">
        <f t="shared" si="243"/>
        <v/>
      </c>
      <c r="AD1589" t="str">
        <f t="shared" si="244"/>
        <v>Tuesday</v>
      </c>
      <c r="AE1589" t="str">
        <f t="shared" si="245"/>
        <v/>
      </c>
      <c r="AF1589" t="str">
        <f t="shared" si="246"/>
        <v/>
      </c>
      <c r="AG1589" t="str">
        <f t="shared" si="247"/>
        <v/>
      </c>
      <c r="AH1589" t="str">
        <f t="shared" si="248"/>
        <v>Saturday</v>
      </c>
      <c r="AI1589" t="str">
        <f t="shared" si="249"/>
        <v>Sunday</v>
      </c>
      <c r="AJ1589" t="str">
        <f>LEFT(Table1[[#This Row],[membership_type]],2)&amp;TEXT(Table1[[#This Row],[age]],"00")&amp;"-"&amp;TEXT(ROW(),"000")</f>
        <v>Pr34-1589</v>
      </c>
      <c r="AK1589" t="str">
        <f>LEFT(Table1[[#This Row],[membership_type]],1)&amp;TEXT(MATCH(Table1[[#This Row],[membership_type]],Table1[membership_type],0),"00")</f>
        <v>P01</v>
      </c>
      <c r="AL1589" t="str">
        <f>LEFT(Table1[[#This Row],[discount_type]],1)&amp;TEXT(ROUND(Table1[[#This Row],[discount_rate]]*100,0),"00")</f>
        <v>N00</v>
      </c>
      <c r="AM1589" t="str" cm="1">
        <f t="array" ref="AM1589">TEXT(SUMPRODUCT(CODE(MID(Table1[[#This Row],[home_gym_location]],_xlfn.SEQUENCE(LEN(Table1[[#This Row],[home_gym_location]])),1))),"00000")</f>
        <v>01450</v>
      </c>
      <c r="AN158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89" t="str">
        <f>LEFT(_xlfn.TEXTBEFORE(Table1[[#This Row],[Location Identifier]],"-"),3) &amp; "-" &amp; _xlfn.TEXTAFTER(Table1[[#This Row],[Location Identifier]],"-")</f>
        <v>SAN-009</v>
      </c>
      <c r="AP1589" s="9">
        <f t="shared" ca="1" si="240"/>
        <v>45869</v>
      </c>
    </row>
    <row r="1590" spans="1:42" x14ac:dyDescent="0.25">
      <c r="A1590">
        <v>40</v>
      </c>
      <c r="B1590" t="s">
        <v>42</v>
      </c>
      <c r="C1590">
        <v>2</v>
      </c>
      <c r="D1590" t="s">
        <v>73</v>
      </c>
      <c r="E1590" t="b">
        <v>0</v>
      </c>
      <c r="F1590" s="1">
        <v>0.72291666666666665</v>
      </c>
      <c r="G1590" s="1">
        <v>0.82847222222222228</v>
      </c>
      <c r="H1590">
        <v>152</v>
      </c>
      <c r="I1590" t="b">
        <v>1</v>
      </c>
      <c r="J1590" t="b">
        <v>1</v>
      </c>
      <c r="K1590" t="b">
        <v>1</v>
      </c>
      <c r="L1590" t="s">
        <v>28</v>
      </c>
      <c r="M1590">
        <v>20</v>
      </c>
      <c r="N1590" t="s">
        <v>29</v>
      </c>
      <c r="O1590">
        <v>20</v>
      </c>
      <c r="P1590" t="s">
        <v>36</v>
      </c>
      <c r="Q1590">
        <v>0</v>
      </c>
      <c r="R1590">
        <v>20</v>
      </c>
      <c r="S1590" t="s">
        <v>44</v>
      </c>
      <c r="T1590" t="s">
        <v>65</v>
      </c>
      <c r="U1590">
        <v>33.770099999999999</v>
      </c>
      <c r="V1590">
        <v>-118.19370000000001</v>
      </c>
      <c r="W1590" s="2">
        <v>45066</v>
      </c>
      <c r="X1590">
        <v>6</v>
      </c>
      <c r="Y1590" t="b">
        <v>0</v>
      </c>
      <c r="Z1590" s="2">
        <v>45817</v>
      </c>
      <c r="AA1590" t="str">
        <f t="shared" si="241"/>
        <v>40–49</v>
      </c>
      <c r="AB1590" t="str">
        <f t="shared" si="242"/>
        <v>40–49</v>
      </c>
      <c r="AC1590" t="str">
        <f t="shared" si="243"/>
        <v/>
      </c>
      <c r="AD1590" t="str">
        <f t="shared" si="244"/>
        <v>Tuesday</v>
      </c>
      <c r="AE1590" t="str">
        <f t="shared" si="245"/>
        <v/>
      </c>
      <c r="AF1590" t="str">
        <f t="shared" si="246"/>
        <v/>
      </c>
      <c r="AG1590" t="str">
        <f t="shared" si="247"/>
        <v>Friday</v>
      </c>
      <c r="AH1590" t="str">
        <f t="shared" si="248"/>
        <v/>
      </c>
      <c r="AI1590" t="str">
        <f t="shared" si="249"/>
        <v/>
      </c>
      <c r="AJ1590" t="str">
        <f>LEFT(Table1[[#This Row],[membership_type]],2)&amp;TEXT(Table1[[#This Row],[age]],"00")&amp;"-"&amp;TEXT(ROW(),"000")</f>
        <v>Ba40-1590</v>
      </c>
      <c r="AK1590" t="str">
        <f>LEFT(Table1[[#This Row],[membership_type]],1)&amp;TEXT(MATCH(Table1[[#This Row],[membership_type]],Table1[membership_type],0),"00")</f>
        <v>B04</v>
      </c>
      <c r="AL1590" t="str">
        <f>LEFT(Table1[[#This Row],[discount_type]],1)&amp;TEXT(ROUND(Table1[[#This Row],[discount_rate]]*100,0),"00")</f>
        <v>N00</v>
      </c>
      <c r="AM1590" t="str" cm="1">
        <f t="array" ref="AM1590">TEXT(SUMPRODUCT(CODE(MID(Table1[[#This Row],[home_gym_location]],_xlfn.SEQUENCE(LEN(Table1[[#This Row],[home_gym_location]])),1))),"00000")</f>
        <v>01107</v>
      </c>
      <c r="AN159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90" t="str">
        <f>LEFT(_xlfn.TEXTBEFORE(Table1[[#This Row],[Location Identifier]],"-"),3) &amp; "-" &amp; _xlfn.TEXTAFTER(Table1[[#This Row],[Location Identifier]],"-")</f>
        <v>LON-004</v>
      </c>
      <c r="AP1590" s="9">
        <f t="shared" ca="1" si="240"/>
        <v>45869</v>
      </c>
    </row>
    <row r="1591" spans="1:42" x14ac:dyDescent="0.25">
      <c r="A1591">
        <v>16</v>
      </c>
      <c r="B1591" t="s">
        <v>26</v>
      </c>
      <c r="C1591">
        <v>3</v>
      </c>
      <c r="D1591" t="s">
        <v>60</v>
      </c>
      <c r="E1591" t="b">
        <v>1</v>
      </c>
      <c r="F1591" s="1">
        <v>0.5625</v>
      </c>
      <c r="G1591" s="1">
        <v>0.59722222222222221</v>
      </c>
      <c r="H1591">
        <v>50</v>
      </c>
      <c r="I1591" t="b">
        <v>1</v>
      </c>
      <c r="J1591" t="b">
        <v>0</v>
      </c>
      <c r="K1591" t="b">
        <v>1</v>
      </c>
      <c r="L1591" t="s">
        <v>62</v>
      </c>
      <c r="M1591">
        <v>50</v>
      </c>
      <c r="N1591" t="s">
        <v>64</v>
      </c>
      <c r="O1591">
        <v>37.5</v>
      </c>
      <c r="P1591" t="s">
        <v>36</v>
      </c>
      <c r="Q1591">
        <v>0</v>
      </c>
      <c r="R1591">
        <v>37.5</v>
      </c>
      <c r="S1591" t="s">
        <v>31</v>
      </c>
      <c r="T1591" t="s">
        <v>54</v>
      </c>
      <c r="U1591">
        <v>32.715699999999998</v>
      </c>
      <c r="V1591">
        <v>-117.1611</v>
      </c>
      <c r="W1591" s="2">
        <v>45093</v>
      </c>
      <c r="X1591">
        <v>0</v>
      </c>
      <c r="Y1591" t="b">
        <v>1</v>
      </c>
      <c r="Z1591" s="2">
        <v>45819</v>
      </c>
      <c r="AA1591" t="str">
        <f t="shared" si="241"/>
        <v>10–19</v>
      </c>
      <c r="AB1591" t="str">
        <f t="shared" si="242"/>
        <v>16–19</v>
      </c>
      <c r="AC1591" t="str">
        <f t="shared" si="243"/>
        <v/>
      </c>
      <c r="AD1591" t="str">
        <f t="shared" si="244"/>
        <v/>
      </c>
      <c r="AE1591" t="str">
        <f t="shared" si="245"/>
        <v>Wednesday</v>
      </c>
      <c r="AF1591" t="str">
        <f t="shared" si="246"/>
        <v/>
      </c>
      <c r="AG1591" t="str">
        <f t="shared" si="247"/>
        <v/>
      </c>
      <c r="AH1591" t="str">
        <f t="shared" si="248"/>
        <v>Saturday</v>
      </c>
      <c r="AI1591" t="str">
        <f t="shared" si="249"/>
        <v>Sunday</v>
      </c>
      <c r="AJ1591" t="str">
        <f>LEFT(Table1[[#This Row],[membership_type]],2)&amp;TEXT(Table1[[#This Row],[age]],"00")&amp;"-"&amp;TEXT(ROW(),"000")</f>
        <v>Pr16-1591</v>
      </c>
      <c r="AK1591" t="str">
        <f>LEFT(Table1[[#This Row],[membership_type]],1)&amp;TEXT(MATCH(Table1[[#This Row],[membership_type]],Table1[membership_type],0),"00")</f>
        <v>P01</v>
      </c>
      <c r="AL1591" t="str">
        <f>LEFT(Table1[[#This Row],[discount_type]],1)&amp;TEXT(ROUND(Table1[[#This Row],[discount_rate]]*100,0),"00")</f>
        <v>N00</v>
      </c>
      <c r="AM1591" t="str" cm="1">
        <f t="array" ref="AM1591">TEXT(SUMPRODUCT(CODE(MID(Table1[[#This Row],[home_gym_location]],_xlfn.SEQUENCE(LEN(Table1[[#This Row],[home_gym_location]])),1))),"00000")</f>
        <v>01018</v>
      </c>
      <c r="AN159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591" t="str">
        <f>LEFT(_xlfn.TEXTBEFORE(Table1[[#This Row],[Location Identifier]],"-"),3) &amp; "-" &amp; _xlfn.TEXTAFTER(Table1[[#This Row],[Location Identifier]],"-")</f>
        <v>SAN-008</v>
      </c>
      <c r="AP1591" s="9">
        <f t="shared" ca="1" si="240"/>
        <v>45869</v>
      </c>
    </row>
    <row r="1592" spans="1:42" x14ac:dyDescent="0.25">
      <c r="A1592">
        <v>25</v>
      </c>
      <c r="B1592" t="s">
        <v>33</v>
      </c>
      <c r="C1592">
        <v>3</v>
      </c>
      <c r="D1592" t="s">
        <v>122</v>
      </c>
      <c r="E1592" t="b">
        <v>0</v>
      </c>
      <c r="F1592" s="1">
        <v>0.63958333333333328</v>
      </c>
      <c r="G1592" s="1">
        <v>0.68472222222222223</v>
      </c>
      <c r="H1592">
        <v>65</v>
      </c>
      <c r="I1592" t="b">
        <v>0</v>
      </c>
      <c r="J1592" t="b">
        <v>1</v>
      </c>
      <c r="K1592" t="b">
        <v>0</v>
      </c>
      <c r="L1592" t="s">
        <v>47</v>
      </c>
      <c r="M1592">
        <v>30</v>
      </c>
      <c r="N1592" t="s">
        <v>29</v>
      </c>
      <c r="O1592">
        <v>30</v>
      </c>
      <c r="P1592" t="s">
        <v>30</v>
      </c>
      <c r="Q1592">
        <v>0.05</v>
      </c>
      <c r="R1592">
        <v>28.5</v>
      </c>
      <c r="S1592" t="s">
        <v>37</v>
      </c>
      <c r="T1592" t="s">
        <v>48</v>
      </c>
      <c r="U1592">
        <v>38.581600000000002</v>
      </c>
      <c r="V1592">
        <v>-121.4944</v>
      </c>
      <c r="W1592" s="2">
        <v>44775</v>
      </c>
      <c r="X1592">
        <v>8</v>
      </c>
      <c r="Y1592" t="b">
        <v>0</v>
      </c>
      <c r="Z1592" s="2">
        <v>45801</v>
      </c>
      <c r="AA1592" t="str">
        <f t="shared" si="241"/>
        <v>20–29</v>
      </c>
      <c r="AB1592" t="str">
        <f t="shared" si="242"/>
        <v>20–29</v>
      </c>
      <c r="AC1592" t="str">
        <f t="shared" si="243"/>
        <v/>
      </c>
      <c r="AD1592" t="str">
        <f t="shared" si="244"/>
        <v>Tuesday</v>
      </c>
      <c r="AE1592" t="str">
        <f t="shared" si="245"/>
        <v/>
      </c>
      <c r="AF1592" t="str">
        <f t="shared" si="246"/>
        <v/>
      </c>
      <c r="AG1592" t="str">
        <f t="shared" si="247"/>
        <v>Friday</v>
      </c>
      <c r="AH1592" t="str">
        <f t="shared" si="248"/>
        <v/>
      </c>
      <c r="AI1592" t="str">
        <f t="shared" si="249"/>
        <v>Sunday</v>
      </c>
      <c r="AJ1592" t="str">
        <f>LEFT(Table1[[#This Row],[membership_type]],2)&amp;TEXT(Table1[[#This Row],[age]],"00")&amp;"-"&amp;TEXT(ROW(),"000")</f>
        <v>St25-1592</v>
      </c>
      <c r="AK1592" t="str">
        <f>LEFT(Table1[[#This Row],[membership_type]],1)&amp;TEXT(MATCH(Table1[[#This Row],[membership_type]],Table1[membership_type],0),"00")</f>
        <v>S02</v>
      </c>
      <c r="AL1592" t="str">
        <f>LEFT(Table1[[#This Row],[discount_type]],1)&amp;TEXT(ROUND(Table1[[#This Row],[discount_rate]]*100,0),"00")</f>
        <v>P05</v>
      </c>
      <c r="AM1592" t="str" cm="1">
        <f t="array" ref="AM1592">TEXT(SUMPRODUCT(CODE(MID(Table1[[#This Row],[home_gym_location]],_xlfn.SEQUENCE(LEN(Table1[[#This Row],[home_gym_location]])),1))),"00000")</f>
        <v>01245</v>
      </c>
      <c r="AN159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92" t="str">
        <f>LEFT(_xlfn.TEXTBEFORE(Table1[[#This Row],[Location Identifier]],"-"),3) &amp; "-" &amp; _xlfn.TEXTAFTER(Table1[[#This Row],[Location Identifier]],"-")</f>
        <v>SAC-007</v>
      </c>
      <c r="AP1592" s="9">
        <f t="shared" ca="1" si="240"/>
        <v>45869</v>
      </c>
    </row>
    <row r="1593" spans="1:42" x14ac:dyDescent="0.25">
      <c r="A1593">
        <v>46</v>
      </c>
      <c r="B1593" t="s">
        <v>26</v>
      </c>
      <c r="C1593">
        <v>1</v>
      </c>
      <c r="D1593" t="s">
        <v>49</v>
      </c>
      <c r="E1593" t="b">
        <v>1</v>
      </c>
      <c r="F1593" s="1">
        <v>0.75416666666666665</v>
      </c>
      <c r="G1593" s="1">
        <v>0.86736111111111114</v>
      </c>
      <c r="H1593">
        <v>163</v>
      </c>
      <c r="I1593" t="b">
        <v>1</v>
      </c>
      <c r="J1593" t="b">
        <v>0</v>
      </c>
      <c r="K1593" t="b">
        <v>0</v>
      </c>
      <c r="L1593" t="s">
        <v>28</v>
      </c>
      <c r="M1593">
        <v>50</v>
      </c>
      <c r="N1593" t="s">
        <v>78</v>
      </c>
      <c r="O1593">
        <v>45</v>
      </c>
      <c r="P1593" t="s">
        <v>30</v>
      </c>
      <c r="Q1593">
        <v>0.05</v>
      </c>
      <c r="R1593">
        <v>42.75</v>
      </c>
      <c r="S1593" t="s">
        <v>31</v>
      </c>
      <c r="T1593" t="s">
        <v>65</v>
      </c>
      <c r="U1593">
        <v>33.770099999999999</v>
      </c>
      <c r="V1593">
        <v>-118.19370000000001</v>
      </c>
      <c r="W1593" s="2">
        <v>45694</v>
      </c>
      <c r="X1593">
        <v>0</v>
      </c>
      <c r="Y1593" t="b">
        <v>1</v>
      </c>
      <c r="Z1593" s="2">
        <v>45853</v>
      </c>
      <c r="AA1593" t="str">
        <f t="shared" si="241"/>
        <v>40–49</v>
      </c>
      <c r="AB1593" t="str">
        <f t="shared" si="242"/>
        <v>40–49</v>
      </c>
      <c r="AC1593" t="str">
        <f t="shared" si="243"/>
        <v/>
      </c>
      <c r="AD1593" t="str">
        <f t="shared" si="244"/>
        <v/>
      </c>
      <c r="AE1593" t="str">
        <f t="shared" si="245"/>
        <v/>
      </c>
      <c r="AF1593" t="str">
        <f t="shared" si="246"/>
        <v/>
      </c>
      <c r="AG1593" t="str">
        <f t="shared" si="247"/>
        <v/>
      </c>
      <c r="AH1593" t="str">
        <f t="shared" si="248"/>
        <v/>
      </c>
      <c r="AI1593" t="str">
        <f t="shared" si="249"/>
        <v>Sunday</v>
      </c>
      <c r="AJ1593" t="str">
        <f>LEFT(Table1[[#This Row],[membership_type]],2)&amp;TEXT(Table1[[#This Row],[age]],"00")&amp;"-"&amp;TEXT(ROW(),"000")</f>
        <v>Pr46-1593</v>
      </c>
      <c r="AK1593" t="str">
        <f>LEFT(Table1[[#This Row],[membership_type]],1)&amp;TEXT(MATCH(Table1[[#This Row],[membership_type]],Table1[membership_type],0),"00")</f>
        <v>P01</v>
      </c>
      <c r="AL1593" t="str">
        <f>LEFT(Table1[[#This Row],[discount_type]],1)&amp;TEXT(ROUND(Table1[[#This Row],[discount_rate]]*100,0),"00")</f>
        <v>P05</v>
      </c>
      <c r="AM1593" t="str" cm="1">
        <f t="array" ref="AM1593">TEXT(SUMPRODUCT(CODE(MID(Table1[[#This Row],[home_gym_location]],_xlfn.SEQUENCE(LEN(Table1[[#This Row],[home_gym_location]])),1))),"00000")</f>
        <v>01107</v>
      </c>
      <c r="AN159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593" t="str">
        <f>LEFT(_xlfn.TEXTBEFORE(Table1[[#This Row],[Location Identifier]],"-"),3) &amp; "-" &amp; _xlfn.TEXTAFTER(Table1[[#This Row],[Location Identifier]],"-")</f>
        <v>LON-004</v>
      </c>
      <c r="AP1593" s="9">
        <f t="shared" ca="1" si="240"/>
        <v>45869</v>
      </c>
    </row>
    <row r="1594" spans="1:42" x14ac:dyDescent="0.25">
      <c r="A1594">
        <v>19</v>
      </c>
      <c r="B1594" t="s">
        <v>26</v>
      </c>
      <c r="C1594">
        <v>2</v>
      </c>
      <c r="D1594" t="s">
        <v>43</v>
      </c>
      <c r="E1594" t="b">
        <v>1</v>
      </c>
      <c r="F1594" s="1">
        <v>0.58402777777777781</v>
      </c>
      <c r="G1594" s="1">
        <v>0.66388888888888886</v>
      </c>
      <c r="H1594">
        <v>115</v>
      </c>
      <c r="I1594" t="b">
        <v>0</v>
      </c>
      <c r="J1594" t="b">
        <v>0</v>
      </c>
      <c r="K1594" t="b">
        <v>0</v>
      </c>
      <c r="L1594" t="s">
        <v>62</v>
      </c>
      <c r="M1594">
        <v>50</v>
      </c>
      <c r="N1594" t="s">
        <v>29</v>
      </c>
      <c r="O1594">
        <v>50</v>
      </c>
      <c r="P1594" t="s">
        <v>36</v>
      </c>
      <c r="Q1594">
        <v>0</v>
      </c>
      <c r="R1594">
        <v>50</v>
      </c>
      <c r="S1594" t="s">
        <v>31</v>
      </c>
      <c r="T1594" t="s">
        <v>50</v>
      </c>
      <c r="U1594">
        <v>34.052199999999999</v>
      </c>
      <c r="V1594">
        <v>-118.2437</v>
      </c>
      <c r="W1594" s="2">
        <v>45720</v>
      </c>
      <c r="X1594">
        <v>0</v>
      </c>
      <c r="Y1594" t="b">
        <v>1</v>
      </c>
      <c r="Z1594" s="2">
        <v>45854</v>
      </c>
      <c r="AA1594" t="str">
        <f t="shared" si="241"/>
        <v>10–19</v>
      </c>
      <c r="AB1594" t="str">
        <f t="shared" si="242"/>
        <v>16–19</v>
      </c>
      <c r="AC1594" t="str">
        <f t="shared" si="243"/>
        <v>Monday</v>
      </c>
      <c r="AD1594" t="str">
        <f t="shared" si="244"/>
        <v>Tuesday</v>
      </c>
      <c r="AE1594" t="str">
        <f t="shared" si="245"/>
        <v/>
      </c>
      <c r="AF1594" t="str">
        <f t="shared" si="246"/>
        <v/>
      </c>
      <c r="AG1594" t="str">
        <f t="shared" si="247"/>
        <v/>
      </c>
      <c r="AH1594" t="str">
        <f t="shared" si="248"/>
        <v/>
      </c>
      <c r="AI1594" t="str">
        <f t="shared" si="249"/>
        <v/>
      </c>
      <c r="AJ1594" t="str">
        <f>LEFT(Table1[[#This Row],[membership_type]],2)&amp;TEXT(Table1[[#This Row],[age]],"00")&amp;"-"&amp;TEXT(ROW(),"000")</f>
        <v>Pr19-1594</v>
      </c>
      <c r="AK1594" t="str">
        <f>LEFT(Table1[[#This Row],[membership_type]],1)&amp;TEXT(MATCH(Table1[[#This Row],[membership_type]],Table1[membership_type],0),"00")</f>
        <v>P01</v>
      </c>
      <c r="AL1594" t="str">
        <f>LEFT(Table1[[#This Row],[discount_type]],1)&amp;TEXT(ROUND(Table1[[#This Row],[discount_rate]]*100,0),"00")</f>
        <v>N00</v>
      </c>
      <c r="AM1594" t="str" cm="1">
        <f t="array" ref="AM1594">TEXT(SUMPRODUCT(CODE(MID(Table1[[#This Row],[home_gym_location]],_xlfn.SEQUENCE(LEN(Table1[[#This Row],[home_gym_location]])),1))),"00000")</f>
        <v>01245</v>
      </c>
      <c r="AN159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594" t="str">
        <f>LEFT(_xlfn.TEXTBEFORE(Table1[[#This Row],[Location Identifier]],"-"),3) &amp; "-" &amp; _xlfn.TEXTAFTER(Table1[[#This Row],[Location Identifier]],"-")</f>
        <v>LOS-005</v>
      </c>
      <c r="AP1594" s="9">
        <f t="shared" ca="1" si="240"/>
        <v>45869</v>
      </c>
    </row>
    <row r="1595" spans="1:42" x14ac:dyDescent="0.25">
      <c r="A1595">
        <v>43</v>
      </c>
      <c r="B1595" t="s">
        <v>33</v>
      </c>
      <c r="C1595">
        <v>5</v>
      </c>
      <c r="D1595" t="s">
        <v>34</v>
      </c>
      <c r="E1595" t="b">
        <v>1</v>
      </c>
      <c r="F1595" s="1">
        <v>0.53055555555555556</v>
      </c>
      <c r="G1595" s="1">
        <v>0.65555555555555556</v>
      </c>
      <c r="H1595">
        <v>180</v>
      </c>
      <c r="I1595" t="b">
        <v>0</v>
      </c>
      <c r="J1595" t="b">
        <v>0</v>
      </c>
      <c r="K1595" t="b">
        <v>0</v>
      </c>
      <c r="L1595" t="s">
        <v>62</v>
      </c>
      <c r="M1595">
        <v>30</v>
      </c>
      <c r="N1595" t="s">
        <v>78</v>
      </c>
      <c r="O1595">
        <v>27</v>
      </c>
      <c r="P1595" t="s">
        <v>36</v>
      </c>
      <c r="Q1595">
        <v>0</v>
      </c>
      <c r="R1595">
        <v>27</v>
      </c>
      <c r="S1595" t="s">
        <v>37</v>
      </c>
      <c r="T1595" t="s">
        <v>45</v>
      </c>
      <c r="U1595">
        <v>33.836599999999997</v>
      </c>
      <c r="V1595">
        <v>-117.9143</v>
      </c>
      <c r="W1595" s="2">
        <v>45059</v>
      </c>
      <c r="X1595">
        <v>0</v>
      </c>
      <c r="Y1595" t="b">
        <v>0</v>
      </c>
      <c r="Z1595" s="2">
        <v>45817</v>
      </c>
      <c r="AA1595" t="str">
        <f t="shared" si="241"/>
        <v>40–49</v>
      </c>
      <c r="AB1595" t="str">
        <f t="shared" si="242"/>
        <v>40–49</v>
      </c>
      <c r="AC1595" t="str">
        <f t="shared" si="243"/>
        <v/>
      </c>
      <c r="AD1595" t="str">
        <f t="shared" si="244"/>
        <v>Tuesday</v>
      </c>
      <c r="AE1595" t="str">
        <f t="shared" si="245"/>
        <v>Wednesday</v>
      </c>
      <c r="AF1595" t="str">
        <f t="shared" si="246"/>
        <v>Thursday</v>
      </c>
      <c r="AG1595" t="str">
        <f t="shared" si="247"/>
        <v>Friday</v>
      </c>
      <c r="AH1595" t="str">
        <f t="shared" si="248"/>
        <v>Saturday</v>
      </c>
      <c r="AI1595" t="str">
        <f t="shared" si="249"/>
        <v/>
      </c>
      <c r="AJ1595" t="str">
        <f>LEFT(Table1[[#This Row],[membership_type]],2)&amp;TEXT(Table1[[#This Row],[age]],"00")&amp;"-"&amp;TEXT(ROW(),"000")</f>
        <v>St43-1595</v>
      </c>
      <c r="AK1595" t="str">
        <f>LEFT(Table1[[#This Row],[membership_type]],1)&amp;TEXT(MATCH(Table1[[#This Row],[membership_type]],Table1[membership_type],0),"00")</f>
        <v>S02</v>
      </c>
      <c r="AL1595" t="str">
        <f>LEFT(Table1[[#This Row],[discount_type]],1)&amp;TEXT(ROUND(Table1[[#This Row],[discount_rate]]*100,0),"00")</f>
        <v>N00</v>
      </c>
      <c r="AM1595" t="str" cm="1">
        <f t="array" ref="AM1595">TEXT(SUMPRODUCT(CODE(MID(Table1[[#This Row],[home_gym_location]],_xlfn.SEQUENCE(LEN(Table1[[#This Row],[home_gym_location]])),1))),"00000")</f>
        <v>00899</v>
      </c>
      <c r="AN159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595" t="str">
        <f>LEFT(_xlfn.TEXTBEFORE(Table1[[#This Row],[Location Identifier]],"-"),3) &amp; "-" &amp; _xlfn.TEXTAFTER(Table1[[#This Row],[Location Identifier]],"-")</f>
        <v>ANA-001</v>
      </c>
      <c r="AP1595" s="9">
        <f t="shared" ca="1" si="240"/>
        <v>45869</v>
      </c>
    </row>
    <row r="1596" spans="1:42" x14ac:dyDescent="0.25">
      <c r="A1596">
        <v>37</v>
      </c>
      <c r="B1596" t="s">
        <v>26</v>
      </c>
      <c r="C1596">
        <v>3</v>
      </c>
      <c r="D1596" t="s">
        <v>114</v>
      </c>
      <c r="E1596" t="b">
        <v>0</v>
      </c>
      <c r="F1596" s="1">
        <v>0.85763888888888884</v>
      </c>
      <c r="G1596" s="1">
        <v>0.95694444444444449</v>
      </c>
      <c r="H1596">
        <v>143</v>
      </c>
      <c r="I1596" t="b">
        <v>0</v>
      </c>
      <c r="J1596" t="b">
        <v>1</v>
      </c>
      <c r="K1596" t="b">
        <v>0</v>
      </c>
      <c r="L1596" t="s">
        <v>28</v>
      </c>
      <c r="M1596">
        <v>50</v>
      </c>
      <c r="N1596" t="s">
        <v>29</v>
      </c>
      <c r="O1596">
        <v>50</v>
      </c>
      <c r="P1596" t="s">
        <v>30</v>
      </c>
      <c r="Q1596">
        <v>0.05</v>
      </c>
      <c r="R1596">
        <v>47.5</v>
      </c>
      <c r="S1596" t="s">
        <v>31</v>
      </c>
      <c r="T1596" t="s">
        <v>38</v>
      </c>
      <c r="U1596">
        <v>36.7378</v>
      </c>
      <c r="V1596">
        <v>-119.7871</v>
      </c>
      <c r="W1596" s="2">
        <v>45215</v>
      </c>
      <c r="X1596">
        <v>8</v>
      </c>
      <c r="Y1596" t="b">
        <v>1</v>
      </c>
      <c r="Z1596" s="2">
        <v>45826</v>
      </c>
      <c r="AA1596" t="str">
        <f t="shared" si="241"/>
        <v>30–39</v>
      </c>
      <c r="AB1596" t="str">
        <f t="shared" si="242"/>
        <v>30–39</v>
      </c>
      <c r="AC1596" t="str">
        <f t="shared" si="243"/>
        <v>Monday</v>
      </c>
      <c r="AD1596" t="str">
        <f t="shared" si="244"/>
        <v>Tuesday</v>
      </c>
      <c r="AE1596" t="str">
        <f t="shared" si="245"/>
        <v>Wednesday</v>
      </c>
      <c r="AF1596" t="str">
        <f t="shared" si="246"/>
        <v/>
      </c>
      <c r="AG1596" t="str">
        <f t="shared" si="247"/>
        <v/>
      </c>
      <c r="AH1596" t="str">
        <f t="shared" si="248"/>
        <v/>
      </c>
      <c r="AI1596" t="str">
        <f t="shared" si="249"/>
        <v/>
      </c>
      <c r="AJ1596" t="str">
        <f>LEFT(Table1[[#This Row],[membership_type]],2)&amp;TEXT(Table1[[#This Row],[age]],"00")&amp;"-"&amp;TEXT(ROW(),"000")</f>
        <v>Pr37-1596</v>
      </c>
      <c r="AK1596" t="str">
        <f>LEFT(Table1[[#This Row],[membership_type]],1)&amp;TEXT(MATCH(Table1[[#This Row],[membership_type]],Table1[membership_type],0),"00")</f>
        <v>P01</v>
      </c>
      <c r="AL1596" t="str">
        <f>LEFT(Table1[[#This Row],[discount_type]],1)&amp;TEXT(ROUND(Table1[[#This Row],[discount_rate]]*100,0),"00")</f>
        <v>P05</v>
      </c>
      <c r="AM1596" t="str" cm="1">
        <f t="array" ref="AM1596">TEXT(SUMPRODUCT(CODE(MID(Table1[[#This Row],[home_gym_location]],_xlfn.SEQUENCE(LEN(Table1[[#This Row],[home_gym_location]])),1))),"00000")</f>
        <v>00829</v>
      </c>
      <c r="AN1596" t="str">
        <f>UPPER(_xlfn.TEXTBEFORE(Table1[[#This Row],[home_gym_location]],","))&amp;"-"&amp;TEXT(MATCH(Table1[[#This Row],[home_gym_location]],_xlfn._xlws.SORT(_xlfn.UNIQUE(Table1[home_gym_location])),0),"000")</f>
        <v>FRESNO-003</v>
      </c>
      <c r="AO1596" t="str">
        <f>LEFT(_xlfn.TEXTBEFORE(Table1[[#This Row],[Location Identifier]],"-"),3) &amp; "-" &amp; _xlfn.TEXTAFTER(Table1[[#This Row],[Location Identifier]],"-")</f>
        <v>FRE-003</v>
      </c>
      <c r="AP1596" s="9">
        <f t="shared" ca="1" si="240"/>
        <v>45869</v>
      </c>
    </row>
    <row r="1597" spans="1:42" x14ac:dyDescent="0.25">
      <c r="A1597">
        <v>26</v>
      </c>
      <c r="B1597" t="s">
        <v>33</v>
      </c>
      <c r="C1597">
        <v>5</v>
      </c>
      <c r="D1597" t="s">
        <v>68</v>
      </c>
      <c r="E1597" t="b">
        <v>0</v>
      </c>
      <c r="F1597" s="1">
        <v>0.56527777777777777</v>
      </c>
      <c r="G1597" s="1">
        <v>0.6381944444444444</v>
      </c>
      <c r="H1597">
        <v>105</v>
      </c>
      <c r="I1597" t="b">
        <v>1</v>
      </c>
      <c r="J1597" t="b">
        <v>0</v>
      </c>
      <c r="K1597" t="b">
        <v>1</v>
      </c>
      <c r="L1597" t="s">
        <v>58</v>
      </c>
      <c r="M1597">
        <v>30</v>
      </c>
      <c r="N1597" t="s">
        <v>29</v>
      </c>
      <c r="O1597">
        <v>30</v>
      </c>
      <c r="P1597" t="s">
        <v>36</v>
      </c>
      <c r="Q1597">
        <v>0</v>
      </c>
      <c r="R1597">
        <v>30</v>
      </c>
      <c r="S1597" t="s">
        <v>37</v>
      </c>
      <c r="T1597" t="s">
        <v>32</v>
      </c>
      <c r="U1597">
        <v>37.338200000000001</v>
      </c>
      <c r="V1597">
        <v>-121.88630000000001</v>
      </c>
      <c r="W1597" s="2">
        <v>45539</v>
      </c>
      <c r="X1597">
        <v>0</v>
      </c>
      <c r="Y1597" t="b">
        <v>1</v>
      </c>
      <c r="Z1597" s="2">
        <v>45844</v>
      </c>
      <c r="AA1597" t="str">
        <f t="shared" si="241"/>
        <v>20–29</v>
      </c>
      <c r="AB1597" t="str">
        <f t="shared" si="242"/>
        <v>20–29</v>
      </c>
      <c r="AC1597" t="str">
        <f t="shared" si="243"/>
        <v>Monday</v>
      </c>
      <c r="AD1597" t="str">
        <f t="shared" si="244"/>
        <v>Tuesday</v>
      </c>
      <c r="AE1597" t="str">
        <f t="shared" si="245"/>
        <v/>
      </c>
      <c r="AF1597" t="str">
        <f t="shared" si="246"/>
        <v>Thursday</v>
      </c>
      <c r="AG1597" t="str">
        <f t="shared" si="247"/>
        <v>Friday</v>
      </c>
      <c r="AH1597" t="str">
        <f t="shared" si="248"/>
        <v>Saturday</v>
      </c>
      <c r="AI1597" t="str">
        <f t="shared" si="249"/>
        <v/>
      </c>
      <c r="AJ1597" t="str">
        <f>LEFT(Table1[[#This Row],[membership_type]],2)&amp;TEXT(Table1[[#This Row],[age]],"00")&amp;"-"&amp;TEXT(ROW(),"000")</f>
        <v>St26-1597</v>
      </c>
      <c r="AK1597" t="str">
        <f>LEFT(Table1[[#This Row],[membership_type]],1)&amp;TEXT(MATCH(Table1[[#This Row],[membership_type]],Table1[membership_type],0),"00")</f>
        <v>S02</v>
      </c>
      <c r="AL1597" t="str">
        <f>LEFT(Table1[[#This Row],[discount_type]],1)&amp;TEXT(ROUND(Table1[[#This Row],[discount_rate]]*100,0),"00")</f>
        <v>N00</v>
      </c>
      <c r="AM1597" t="str" cm="1">
        <f t="array" ref="AM1597">TEXT(SUMPRODUCT(CODE(MID(Table1[[#This Row],[home_gym_location]],_xlfn.SEQUENCE(LEN(Table1[[#This Row],[home_gym_location]])),1))),"00000")</f>
        <v>00931</v>
      </c>
      <c r="AN159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597" t="str">
        <f>LEFT(_xlfn.TEXTBEFORE(Table1[[#This Row],[Location Identifier]],"-"),3) &amp; "-" &amp; _xlfn.TEXTAFTER(Table1[[#This Row],[Location Identifier]],"-")</f>
        <v>SAN-010</v>
      </c>
      <c r="AP1597" s="9">
        <f t="shared" ca="1" si="240"/>
        <v>45869</v>
      </c>
    </row>
    <row r="1598" spans="1:42" x14ac:dyDescent="0.25">
      <c r="A1598">
        <v>36</v>
      </c>
      <c r="B1598" t="s">
        <v>33</v>
      </c>
      <c r="C1598">
        <v>5</v>
      </c>
      <c r="D1598" t="s">
        <v>120</v>
      </c>
      <c r="E1598" t="b">
        <v>0</v>
      </c>
      <c r="F1598" s="1">
        <v>0.87291666666666667</v>
      </c>
      <c r="G1598" s="1">
        <v>0.92708333333333337</v>
      </c>
      <c r="H1598">
        <v>78</v>
      </c>
      <c r="I1598" t="b">
        <v>1</v>
      </c>
      <c r="J1598" t="b">
        <v>1</v>
      </c>
      <c r="K1598" t="b">
        <v>0</v>
      </c>
      <c r="L1598" t="s">
        <v>35</v>
      </c>
      <c r="M1598">
        <v>30</v>
      </c>
      <c r="N1598" t="s">
        <v>29</v>
      </c>
      <c r="O1598">
        <v>30</v>
      </c>
      <c r="P1598" t="s">
        <v>74</v>
      </c>
      <c r="Q1598">
        <v>0.15</v>
      </c>
      <c r="R1598">
        <v>25.5</v>
      </c>
      <c r="S1598" t="s">
        <v>37</v>
      </c>
      <c r="T1598" t="s">
        <v>48</v>
      </c>
      <c r="U1598">
        <v>38.581600000000002</v>
      </c>
      <c r="V1598">
        <v>-121.4944</v>
      </c>
      <c r="W1598" s="2">
        <v>45746</v>
      </c>
      <c r="X1598">
        <v>3</v>
      </c>
      <c r="Y1598" t="b">
        <v>0</v>
      </c>
      <c r="Z1598" s="2">
        <v>45856</v>
      </c>
      <c r="AA1598" t="str">
        <f t="shared" si="241"/>
        <v>30–39</v>
      </c>
      <c r="AB1598" t="str">
        <f t="shared" si="242"/>
        <v>30–39</v>
      </c>
      <c r="AC1598" t="str">
        <f t="shared" si="243"/>
        <v>Monday</v>
      </c>
      <c r="AD1598" t="str">
        <f t="shared" si="244"/>
        <v>Tuesday</v>
      </c>
      <c r="AE1598" t="str">
        <f t="shared" si="245"/>
        <v/>
      </c>
      <c r="AF1598" t="str">
        <f t="shared" si="246"/>
        <v>Thursday</v>
      </c>
      <c r="AG1598" t="str">
        <f t="shared" si="247"/>
        <v>Friday</v>
      </c>
      <c r="AH1598" t="str">
        <f t="shared" si="248"/>
        <v/>
      </c>
      <c r="AI1598" t="str">
        <f t="shared" si="249"/>
        <v>Sunday</v>
      </c>
      <c r="AJ1598" t="str">
        <f>LEFT(Table1[[#This Row],[membership_type]],2)&amp;TEXT(Table1[[#This Row],[age]],"00")&amp;"-"&amp;TEXT(ROW(),"000")</f>
        <v>St36-1598</v>
      </c>
      <c r="AK1598" t="str">
        <f>LEFT(Table1[[#This Row],[membership_type]],1)&amp;TEXT(MATCH(Table1[[#This Row],[membership_type]],Table1[membership_type],0),"00")</f>
        <v>S02</v>
      </c>
      <c r="AL1598" t="str">
        <f>LEFT(Table1[[#This Row],[discount_type]],1)&amp;TEXT(ROUND(Table1[[#This Row],[discount_rate]]*100,0),"00")</f>
        <v>S15</v>
      </c>
      <c r="AM1598" t="str" cm="1">
        <f t="array" ref="AM1598">TEXT(SUMPRODUCT(CODE(MID(Table1[[#This Row],[home_gym_location]],_xlfn.SEQUENCE(LEN(Table1[[#This Row],[home_gym_location]])),1))),"00000")</f>
        <v>01245</v>
      </c>
      <c r="AN159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598" t="str">
        <f>LEFT(_xlfn.TEXTBEFORE(Table1[[#This Row],[Location Identifier]],"-"),3) &amp; "-" &amp; _xlfn.TEXTAFTER(Table1[[#This Row],[Location Identifier]],"-")</f>
        <v>SAC-007</v>
      </c>
      <c r="AP1598" s="9">
        <f t="shared" ca="1" si="240"/>
        <v>45869</v>
      </c>
    </row>
    <row r="1599" spans="1:42" x14ac:dyDescent="0.25">
      <c r="A1599">
        <v>39</v>
      </c>
      <c r="B1599" t="s">
        <v>26</v>
      </c>
      <c r="C1599">
        <v>3</v>
      </c>
      <c r="D1599" t="s">
        <v>83</v>
      </c>
      <c r="E1599" t="b">
        <v>1</v>
      </c>
      <c r="F1599" s="1">
        <v>0.69236111111111109</v>
      </c>
      <c r="G1599" s="1">
        <v>0.73958333333333337</v>
      </c>
      <c r="H1599">
        <v>68</v>
      </c>
      <c r="I1599" t="b">
        <v>0</v>
      </c>
      <c r="J1599" t="b">
        <v>1</v>
      </c>
      <c r="K1599" t="b">
        <v>0</v>
      </c>
      <c r="L1599" t="s">
        <v>62</v>
      </c>
      <c r="M1599">
        <v>50</v>
      </c>
      <c r="N1599" t="s">
        <v>29</v>
      </c>
      <c r="O1599">
        <v>50</v>
      </c>
      <c r="P1599" t="s">
        <v>74</v>
      </c>
      <c r="Q1599">
        <v>0.15</v>
      </c>
      <c r="R1599">
        <v>42.5</v>
      </c>
      <c r="S1599" t="s">
        <v>31</v>
      </c>
      <c r="T1599" t="s">
        <v>59</v>
      </c>
      <c r="U1599">
        <v>37.774900000000002</v>
      </c>
      <c r="V1599">
        <v>-122.4194</v>
      </c>
      <c r="W1599" s="2">
        <v>45739</v>
      </c>
      <c r="X1599">
        <v>3</v>
      </c>
      <c r="Y1599" t="b">
        <v>1</v>
      </c>
      <c r="Z1599" s="2">
        <v>45855</v>
      </c>
      <c r="AA1599" t="str">
        <f t="shared" si="241"/>
        <v>30–39</v>
      </c>
      <c r="AB1599" t="str">
        <f t="shared" si="242"/>
        <v>30–39</v>
      </c>
      <c r="AC1599" t="str">
        <f t="shared" si="243"/>
        <v/>
      </c>
      <c r="AD1599" t="str">
        <f t="shared" si="244"/>
        <v>Tuesday</v>
      </c>
      <c r="AE1599" t="str">
        <f t="shared" si="245"/>
        <v>Wednesday</v>
      </c>
      <c r="AF1599" t="str">
        <f t="shared" si="246"/>
        <v/>
      </c>
      <c r="AG1599" t="str">
        <f t="shared" si="247"/>
        <v/>
      </c>
      <c r="AH1599" t="str">
        <f t="shared" si="248"/>
        <v>Saturday</v>
      </c>
      <c r="AI1599" t="str">
        <f t="shared" si="249"/>
        <v/>
      </c>
      <c r="AJ1599" t="str">
        <f>LEFT(Table1[[#This Row],[membership_type]],2)&amp;TEXT(Table1[[#This Row],[age]],"00")&amp;"-"&amp;TEXT(ROW(),"000")</f>
        <v>Pr39-1599</v>
      </c>
      <c r="AK1599" t="str">
        <f>LEFT(Table1[[#This Row],[membership_type]],1)&amp;TEXT(MATCH(Table1[[#This Row],[membership_type]],Table1[membership_type],0),"00")</f>
        <v>P01</v>
      </c>
      <c r="AL1599" t="str">
        <f>LEFT(Table1[[#This Row],[discount_type]],1)&amp;TEXT(ROUND(Table1[[#This Row],[discount_rate]]*100,0),"00")</f>
        <v>S15</v>
      </c>
      <c r="AM1599" t="str" cm="1">
        <f t="array" ref="AM1599">TEXT(SUMPRODUCT(CODE(MID(Table1[[#This Row],[home_gym_location]],_xlfn.SEQUENCE(LEN(Table1[[#This Row],[home_gym_location]])),1))),"00000")</f>
        <v>01450</v>
      </c>
      <c r="AN159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599" t="str">
        <f>LEFT(_xlfn.TEXTBEFORE(Table1[[#This Row],[Location Identifier]],"-"),3) &amp; "-" &amp; _xlfn.TEXTAFTER(Table1[[#This Row],[Location Identifier]],"-")</f>
        <v>SAN-009</v>
      </c>
      <c r="AP1599" s="9">
        <f t="shared" ca="1" si="240"/>
        <v>45869</v>
      </c>
    </row>
    <row r="1600" spans="1:42" x14ac:dyDescent="0.25">
      <c r="A1600">
        <v>26</v>
      </c>
      <c r="B1600" t="s">
        <v>26</v>
      </c>
      <c r="C1600">
        <v>2</v>
      </c>
      <c r="D1600" t="s">
        <v>27</v>
      </c>
      <c r="E1600" t="b">
        <v>0</v>
      </c>
      <c r="F1600" s="1">
        <v>0.74791666666666667</v>
      </c>
      <c r="G1600" s="1">
        <v>0.83888888888888891</v>
      </c>
      <c r="H1600">
        <v>131</v>
      </c>
      <c r="I1600" t="b">
        <v>0</v>
      </c>
      <c r="J1600" t="b">
        <v>0</v>
      </c>
      <c r="K1600" t="b">
        <v>0</v>
      </c>
      <c r="L1600" t="s">
        <v>28</v>
      </c>
      <c r="M1600">
        <v>50</v>
      </c>
      <c r="N1600" t="s">
        <v>29</v>
      </c>
      <c r="O1600">
        <v>50</v>
      </c>
      <c r="P1600" t="s">
        <v>74</v>
      </c>
      <c r="Q1600">
        <v>0.15</v>
      </c>
      <c r="R1600">
        <v>42.5</v>
      </c>
      <c r="S1600" t="s">
        <v>31</v>
      </c>
      <c r="T1600" t="s">
        <v>38</v>
      </c>
      <c r="U1600">
        <v>36.7378</v>
      </c>
      <c r="V1600">
        <v>-119.7871</v>
      </c>
      <c r="W1600" s="2">
        <v>44878</v>
      </c>
      <c r="X1600">
        <v>0</v>
      </c>
      <c r="Y1600" t="b">
        <v>0</v>
      </c>
      <c r="Z1600" s="2">
        <v>45807</v>
      </c>
      <c r="AA1600" t="str">
        <f t="shared" si="241"/>
        <v>20–29</v>
      </c>
      <c r="AB1600" t="str">
        <f t="shared" si="242"/>
        <v>20–29</v>
      </c>
      <c r="AC1600" t="str">
        <f t="shared" si="243"/>
        <v/>
      </c>
      <c r="AD1600" t="str">
        <f t="shared" si="244"/>
        <v/>
      </c>
      <c r="AE1600" t="str">
        <f t="shared" si="245"/>
        <v/>
      </c>
      <c r="AF1600" t="str">
        <f t="shared" si="246"/>
        <v>Thursday</v>
      </c>
      <c r="AG1600" t="str">
        <f t="shared" si="247"/>
        <v/>
      </c>
      <c r="AH1600" t="str">
        <f t="shared" si="248"/>
        <v>Saturday</v>
      </c>
      <c r="AI1600" t="str">
        <f t="shared" si="249"/>
        <v/>
      </c>
      <c r="AJ1600" t="str">
        <f>LEFT(Table1[[#This Row],[membership_type]],2)&amp;TEXT(Table1[[#This Row],[age]],"00")&amp;"-"&amp;TEXT(ROW(),"000")</f>
        <v>Pr26-1600</v>
      </c>
      <c r="AK1600" t="str">
        <f>LEFT(Table1[[#This Row],[membership_type]],1)&amp;TEXT(MATCH(Table1[[#This Row],[membership_type]],Table1[membership_type],0),"00")</f>
        <v>P01</v>
      </c>
      <c r="AL1600" t="str">
        <f>LEFT(Table1[[#This Row],[discount_type]],1)&amp;TEXT(ROUND(Table1[[#This Row],[discount_rate]]*100,0),"00")</f>
        <v>S15</v>
      </c>
      <c r="AM1600" t="str" cm="1">
        <f t="array" ref="AM1600">TEXT(SUMPRODUCT(CODE(MID(Table1[[#This Row],[home_gym_location]],_xlfn.SEQUENCE(LEN(Table1[[#This Row],[home_gym_location]])),1))),"00000")</f>
        <v>00829</v>
      </c>
      <c r="AN1600" t="str">
        <f>UPPER(_xlfn.TEXTBEFORE(Table1[[#This Row],[home_gym_location]],","))&amp;"-"&amp;TEXT(MATCH(Table1[[#This Row],[home_gym_location]],_xlfn._xlws.SORT(_xlfn.UNIQUE(Table1[home_gym_location])),0),"000")</f>
        <v>FRESNO-003</v>
      </c>
      <c r="AO1600" t="str">
        <f>LEFT(_xlfn.TEXTBEFORE(Table1[[#This Row],[Location Identifier]],"-"),3) &amp; "-" &amp; _xlfn.TEXTAFTER(Table1[[#This Row],[Location Identifier]],"-")</f>
        <v>FRE-003</v>
      </c>
      <c r="AP1600" s="9">
        <f t="shared" ca="1" si="240"/>
        <v>45869</v>
      </c>
    </row>
    <row r="1601" spans="1:42" x14ac:dyDescent="0.25">
      <c r="A1601">
        <v>27</v>
      </c>
      <c r="B1601" t="s">
        <v>26</v>
      </c>
      <c r="C1601">
        <v>2</v>
      </c>
      <c r="D1601" t="s">
        <v>70</v>
      </c>
      <c r="E1601" t="b">
        <v>0</v>
      </c>
      <c r="F1601" s="1">
        <v>0.86388888888888893</v>
      </c>
      <c r="G1601" s="1">
        <v>0.9145833333333333</v>
      </c>
      <c r="H1601">
        <v>73</v>
      </c>
      <c r="I1601" t="b">
        <v>0</v>
      </c>
      <c r="J1601" t="b">
        <v>1</v>
      </c>
      <c r="K1601" t="b">
        <v>1</v>
      </c>
      <c r="L1601" t="s">
        <v>28</v>
      </c>
      <c r="M1601">
        <v>50</v>
      </c>
      <c r="N1601" t="s">
        <v>29</v>
      </c>
      <c r="O1601">
        <v>50</v>
      </c>
      <c r="P1601" t="s">
        <v>36</v>
      </c>
      <c r="Q1601">
        <v>0</v>
      </c>
      <c r="R1601">
        <v>50</v>
      </c>
      <c r="S1601" t="s">
        <v>31</v>
      </c>
      <c r="T1601" t="s">
        <v>48</v>
      </c>
      <c r="U1601">
        <v>38.581600000000002</v>
      </c>
      <c r="V1601">
        <v>-121.4944</v>
      </c>
      <c r="W1601" s="2">
        <v>45626</v>
      </c>
      <c r="X1601">
        <v>3</v>
      </c>
      <c r="Y1601" t="b">
        <v>1</v>
      </c>
      <c r="Z1601" s="2">
        <v>45849</v>
      </c>
      <c r="AA1601" t="str">
        <f t="shared" si="241"/>
        <v>20–29</v>
      </c>
      <c r="AB1601" t="str">
        <f t="shared" si="242"/>
        <v>20–29</v>
      </c>
      <c r="AC1601" t="str">
        <f t="shared" si="243"/>
        <v/>
      </c>
      <c r="AD1601" t="str">
        <f t="shared" si="244"/>
        <v/>
      </c>
      <c r="AE1601" t="str">
        <f t="shared" si="245"/>
        <v>Wednesday</v>
      </c>
      <c r="AF1601" t="str">
        <f t="shared" si="246"/>
        <v>Thursday</v>
      </c>
      <c r="AG1601" t="str">
        <f t="shared" si="247"/>
        <v/>
      </c>
      <c r="AH1601" t="str">
        <f t="shared" si="248"/>
        <v/>
      </c>
      <c r="AI1601" t="str">
        <f t="shared" si="249"/>
        <v/>
      </c>
      <c r="AJ1601" t="str">
        <f>LEFT(Table1[[#This Row],[membership_type]],2)&amp;TEXT(Table1[[#This Row],[age]],"00")&amp;"-"&amp;TEXT(ROW(),"000")</f>
        <v>Pr27-1601</v>
      </c>
      <c r="AK1601" t="str">
        <f>LEFT(Table1[[#This Row],[membership_type]],1)&amp;TEXT(MATCH(Table1[[#This Row],[membership_type]],Table1[membership_type],0),"00")</f>
        <v>P01</v>
      </c>
      <c r="AL1601" t="str">
        <f>LEFT(Table1[[#This Row],[discount_type]],1)&amp;TEXT(ROUND(Table1[[#This Row],[discount_rate]]*100,0),"00")</f>
        <v>N00</v>
      </c>
      <c r="AM1601" t="str" cm="1">
        <f t="array" ref="AM1601">TEXT(SUMPRODUCT(CODE(MID(Table1[[#This Row],[home_gym_location]],_xlfn.SEQUENCE(LEN(Table1[[#This Row],[home_gym_location]])),1))),"00000")</f>
        <v>01245</v>
      </c>
      <c r="AN160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01" t="str">
        <f>LEFT(_xlfn.TEXTBEFORE(Table1[[#This Row],[Location Identifier]],"-"),3) &amp; "-" &amp; _xlfn.TEXTAFTER(Table1[[#This Row],[Location Identifier]],"-")</f>
        <v>SAC-007</v>
      </c>
      <c r="AP1601" s="9">
        <f t="shared" ca="1" si="240"/>
        <v>45869</v>
      </c>
    </row>
    <row r="1602" spans="1:42" x14ac:dyDescent="0.25">
      <c r="A1602">
        <v>16</v>
      </c>
      <c r="B1602" t="s">
        <v>26</v>
      </c>
      <c r="C1602">
        <v>1</v>
      </c>
      <c r="D1602" t="s">
        <v>63</v>
      </c>
      <c r="E1602" t="b">
        <v>0</v>
      </c>
      <c r="F1602" s="1">
        <v>0.36180555555555555</v>
      </c>
      <c r="G1602" s="1">
        <v>0.48125000000000001</v>
      </c>
      <c r="H1602">
        <v>172</v>
      </c>
      <c r="I1602" t="b">
        <v>0</v>
      </c>
      <c r="J1602" t="b">
        <v>0</v>
      </c>
      <c r="K1602" t="b">
        <v>1</v>
      </c>
      <c r="L1602" t="s">
        <v>62</v>
      </c>
      <c r="M1602">
        <v>50</v>
      </c>
      <c r="N1602" t="s">
        <v>64</v>
      </c>
      <c r="O1602">
        <v>37.5</v>
      </c>
      <c r="P1602" t="s">
        <v>30</v>
      </c>
      <c r="Q1602">
        <v>0.05</v>
      </c>
      <c r="R1602">
        <v>35.625</v>
      </c>
      <c r="S1602" t="s">
        <v>31</v>
      </c>
      <c r="T1602" t="s">
        <v>59</v>
      </c>
      <c r="U1602">
        <v>37.774900000000002</v>
      </c>
      <c r="V1602">
        <v>-122.4194</v>
      </c>
      <c r="W1602" s="2">
        <v>45486</v>
      </c>
      <c r="X1602">
        <v>0</v>
      </c>
      <c r="Y1602" t="b">
        <v>1</v>
      </c>
      <c r="Z1602" s="2">
        <v>45841</v>
      </c>
      <c r="AA1602" t="str">
        <f t="shared" si="241"/>
        <v>10–19</v>
      </c>
      <c r="AB1602" t="str">
        <f t="shared" si="242"/>
        <v>16–19</v>
      </c>
      <c r="AC1602" t="str">
        <f t="shared" si="243"/>
        <v/>
      </c>
      <c r="AD1602" t="str">
        <f t="shared" si="244"/>
        <v/>
      </c>
      <c r="AE1602" t="str">
        <f t="shared" si="245"/>
        <v>Wednesday</v>
      </c>
      <c r="AF1602" t="str">
        <f t="shared" si="246"/>
        <v/>
      </c>
      <c r="AG1602" t="str">
        <f t="shared" si="247"/>
        <v/>
      </c>
      <c r="AH1602" t="str">
        <f t="shared" si="248"/>
        <v/>
      </c>
      <c r="AI1602" t="str">
        <f t="shared" si="249"/>
        <v/>
      </c>
      <c r="AJ1602" t="str">
        <f>LEFT(Table1[[#This Row],[membership_type]],2)&amp;TEXT(Table1[[#This Row],[age]],"00")&amp;"-"&amp;TEXT(ROW(),"000")</f>
        <v>Pr16-1602</v>
      </c>
      <c r="AK1602" t="str">
        <f>LEFT(Table1[[#This Row],[membership_type]],1)&amp;TEXT(MATCH(Table1[[#This Row],[membership_type]],Table1[membership_type],0),"00")</f>
        <v>P01</v>
      </c>
      <c r="AL1602" t="str">
        <f>LEFT(Table1[[#This Row],[discount_type]],1)&amp;TEXT(ROUND(Table1[[#This Row],[discount_rate]]*100,0),"00")</f>
        <v>P05</v>
      </c>
      <c r="AM1602" t="str" cm="1">
        <f t="array" ref="AM1602">TEXT(SUMPRODUCT(CODE(MID(Table1[[#This Row],[home_gym_location]],_xlfn.SEQUENCE(LEN(Table1[[#This Row],[home_gym_location]])),1))),"00000")</f>
        <v>01450</v>
      </c>
      <c r="AN160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02" t="str">
        <f>LEFT(_xlfn.TEXTBEFORE(Table1[[#This Row],[Location Identifier]],"-"),3) &amp; "-" &amp; _xlfn.TEXTAFTER(Table1[[#This Row],[Location Identifier]],"-")</f>
        <v>SAN-009</v>
      </c>
      <c r="AP1602" s="9">
        <f t="shared" ref="AP1602:AP1665" ca="1" si="250">EOMONTH(DATE(YEAR(TODAY()),7,1),0)</f>
        <v>45869</v>
      </c>
    </row>
    <row r="1603" spans="1:42" x14ac:dyDescent="0.25">
      <c r="A1603">
        <v>28</v>
      </c>
      <c r="B1603" t="s">
        <v>42</v>
      </c>
      <c r="C1603">
        <v>2</v>
      </c>
      <c r="D1603" t="s">
        <v>73</v>
      </c>
      <c r="E1603" t="b">
        <v>0</v>
      </c>
      <c r="F1603" s="1">
        <v>0.59166666666666667</v>
      </c>
      <c r="G1603" s="1">
        <v>0.6430555555555556</v>
      </c>
      <c r="H1603">
        <v>74</v>
      </c>
      <c r="I1603" t="b">
        <v>1</v>
      </c>
      <c r="J1603" t="b">
        <v>0</v>
      </c>
      <c r="K1603" t="b">
        <v>0</v>
      </c>
      <c r="L1603" t="s">
        <v>62</v>
      </c>
      <c r="M1603">
        <v>20</v>
      </c>
      <c r="N1603" t="s">
        <v>29</v>
      </c>
      <c r="O1603">
        <v>20</v>
      </c>
      <c r="P1603" t="s">
        <v>30</v>
      </c>
      <c r="Q1603">
        <v>0.05</v>
      </c>
      <c r="R1603">
        <v>19</v>
      </c>
      <c r="S1603" t="s">
        <v>44</v>
      </c>
      <c r="T1603" t="s">
        <v>41</v>
      </c>
      <c r="U1603">
        <v>37.804400000000001</v>
      </c>
      <c r="V1603">
        <v>-122.27119999999999</v>
      </c>
      <c r="W1603" s="2">
        <v>45589</v>
      </c>
      <c r="X1603">
        <v>0</v>
      </c>
      <c r="Y1603" t="b">
        <v>0</v>
      </c>
      <c r="Z1603" s="2">
        <v>45847</v>
      </c>
      <c r="AA1603" t="str">
        <f t="shared" ref="AA1603:AA1666" si="251">TEXT(10*INT($A1603/10),"0")&amp;"–"&amp;TEXT(10*INT($A1603/10)+9,"0")</f>
        <v>20–29</v>
      </c>
      <c r="AB1603" t="str">
        <f t="shared" ref="AB1603:AB1666" si="252">IF(AND($AA1603 = "10–19", $A1603 &lt; 16), "Under 16", IF(AND($AA1603 = "10–19", $A1603 &gt;= 16), "16–19", $AA1603))</f>
        <v>20–29</v>
      </c>
      <c r="AC1603" t="str">
        <f t="shared" ref="AC1603:AC1666" si="253">IF(ISNUMBER(SEARCH("Mon", $D1603)), "Monday", "")</f>
        <v/>
      </c>
      <c r="AD1603" t="str">
        <f t="shared" ref="AD1603:AD1666" si="254">IF(ISNUMBER(SEARCH("Tue", $D1603)), "Tuesday", "")</f>
        <v>Tuesday</v>
      </c>
      <c r="AE1603" t="str">
        <f t="shared" ref="AE1603:AE1666" si="255">IF(ISNUMBER(SEARCH("Wed", $D1603)), "Wednesday", "")</f>
        <v/>
      </c>
      <c r="AF1603" t="str">
        <f t="shared" ref="AF1603:AF1666" si="256">IF(ISNUMBER(SEARCH("Thu", $D1603)), "Thursday", "")</f>
        <v/>
      </c>
      <c r="AG1603" t="str">
        <f t="shared" ref="AG1603:AG1666" si="257">IF(ISNUMBER(SEARCH("Fri", $D1603)), "Friday", "")</f>
        <v>Friday</v>
      </c>
      <c r="AH1603" t="str">
        <f t="shared" ref="AH1603:AH1666" si="258">IF(ISNUMBER(SEARCH("Sat", $D1603)), "Saturday", "")</f>
        <v/>
      </c>
      <c r="AI1603" t="str">
        <f t="shared" ref="AI1603:AI1666" si="259">IF(ISNUMBER(SEARCH("Sun", $D1603)), "Sunday", "")</f>
        <v/>
      </c>
      <c r="AJ1603" t="str">
        <f>LEFT(Table1[[#This Row],[membership_type]],2)&amp;TEXT(Table1[[#This Row],[age]],"00")&amp;"-"&amp;TEXT(ROW(),"000")</f>
        <v>Ba28-1603</v>
      </c>
      <c r="AK1603" t="str">
        <f>LEFT(Table1[[#This Row],[membership_type]],1)&amp;TEXT(MATCH(Table1[[#This Row],[membership_type]],Table1[membership_type],0),"00")</f>
        <v>B04</v>
      </c>
      <c r="AL1603" t="str">
        <f>LEFT(Table1[[#This Row],[discount_type]],1)&amp;TEXT(ROUND(Table1[[#This Row],[discount_rate]]*100,0),"00")</f>
        <v>P05</v>
      </c>
      <c r="AM1603" t="str" cm="1">
        <f t="array" ref="AM1603">TEXT(SUMPRODUCT(CODE(MID(Table1[[#This Row],[home_gym_location]],_xlfn.SEQUENCE(LEN(Table1[[#This Row],[home_gym_location]])),1))),"00000")</f>
        <v>00906</v>
      </c>
      <c r="AN160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03" t="str">
        <f>LEFT(_xlfn.TEXTBEFORE(Table1[[#This Row],[Location Identifier]],"-"),3) &amp; "-" &amp; _xlfn.TEXTAFTER(Table1[[#This Row],[Location Identifier]],"-")</f>
        <v>OAK-006</v>
      </c>
      <c r="AP1603" s="9">
        <f t="shared" ca="1" si="250"/>
        <v>45869</v>
      </c>
    </row>
    <row r="1604" spans="1:42" x14ac:dyDescent="0.25">
      <c r="A1604">
        <v>24</v>
      </c>
      <c r="B1604" t="s">
        <v>42</v>
      </c>
      <c r="C1604">
        <v>4</v>
      </c>
      <c r="D1604" t="s">
        <v>99</v>
      </c>
      <c r="E1604" t="b">
        <v>1</v>
      </c>
      <c r="F1604" s="1">
        <v>0.55000000000000004</v>
      </c>
      <c r="G1604" s="1">
        <v>0.61736111111111114</v>
      </c>
      <c r="H1604">
        <v>97</v>
      </c>
      <c r="I1604" t="b">
        <v>0</v>
      </c>
      <c r="J1604" t="b">
        <v>1</v>
      </c>
      <c r="K1604" t="b">
        <v>0</v>
      </c>
      <c r="L1604" t="s">
        <v>62</v>
      </c>
      <c r="M1604">
        <v>20</v>
      </c>
      <c r="N1604" t="s">
        <v>29</v>
      </c>
      <c r="O1604">
        <v>20</v>
      </c>
      <c r="P1604" t="s">
        <v>74</v>
      </c>
      <c r="Q1604">
        <v>0.15</v>
      </c>
      <c r="R1604">
        <v>17</v>
      </c>
      <c r="S1604" t="s">
        <v>44</v>
      </c>
      <c r="T1604" t="s">
        <v>65</v>
      </c>
      <c r="U1604">
        <v>33.770099999999999</v>
      </c>
      <c r="V1604">
        <v>-118.19370000000001</v>
      </c>
      <c r="W1604" s="2">
        <v>45452</v>
      </c>
      <c r="X1604">
        <v>5</v>
      </c>
      <c r="Y1604" t="b">
        <v>1</v>
      </c>
      <c r="Z1604" s="2">
        <v>45839</v>
      </c>
      <c r="AA1604" t="str">
        <f t="shared" si="251"/>
        <v>20–29</v>
      </c>
      <c r="AB1604" t="str">
        <f t="shared" si="252"/>
        <v>20–29</v>
      </c>
      <c r="AC1604" t="str">
        <f t="shared" si="253"/>
        <v/>
      </c>
      <c r="AD1604" t="str">
        <f t="shared" si="254"/>
        <v/>
      </c>
      <c r="AE1604" t="str">
        <f t="shared" si="255"/>
        <v>Wednesday</v>
      </c>
      <c r="AF1604" t="str">
        <f t="shared" si="256"/>
        <v/>
      </c>
      <c r="AG1604" t="str">
        <f t="shared" si="257"/>
        <v>Friday</v>
      </c>
      <c r="AH1604" t="str">
        <f t="shared" si="258"/>
        <v>Saturday</v>
      </c>
      <c r="AI1604" t="str">
        <f t="shared" si="259"/>
        <v>Sunday</v>
      </c>
      <c r="AJ1604" t="str">
        <f>LEFT(Table1[[#This Row],[membership_type]],2)&amp;TEXT(Table1[[#This Row],[age]],"00")&amp;"-"&amp;TEXT(ROW(),"000")</f>
        <v>Ba24-1604</v>
      </c>
      <c r="AK1604" t="str">
        <f>LEFT(Table1[[#This Row],[membership_type]],1)&amp;TEXT(MATCH(Table1[[#This Row],[membership_type]],Table1[membership_type],0),"00")</f>
        <v>B04</v>
      </c>
      <c r="AL1604" t="str">
        <f>LEFT(Table1[[#This Row],[discount_type]],1)&amp;TEXT(ROUND(Table1[[#This Row],[discount_rate]]*100,0),"00")</f>
        <v>S15</v>
      </c>
      <c r="AM1604" t="str" cm="1">
        <f t="array" ref="AM1604">TEXT(SUMPRODUCT(CODE(MID(Table1[[#This Row],[home_gym_location]],_xlfn.SEQUENCE(LEN(Table1[[#This Row],[home_gym_location]])),1))),"00000")</f>
        <v>01107</v>
      </c>
      <c r="AN160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04" t="str">
        <f>LEFT(_xlfn.TEXTBEFORE(Table1[[#This Row],[Location Identifier]],"-"),3) &amp; "-" &amp; _xlfn.TEXTAFTER(Table1[[#This Row],[Location Identifier]],"-")</f>
        <v>LON-004</v>
      </c>
      <c r="AP1604" s="9">
        <f t="shared" ca="1" si="250"/>
        <v>45869</v>
      </c>
    </row>
    <row r="1605" spans="1:42" x14ac:dyDescent="0.25">
      <c r="A1605">
        <v>43</v>
      </c>
      <c r="B1605" t="s">
        <v>33</v>
      </c>
      <c r="C1605">
        <v>1</v>
      </c>
      <c r="D1605" t="s">
        <v>67</v>
      </c>
      <c r="E1605" t="b">
        <v>0</v>
      </c>
      <c r="F1605" s="1">
        <v>0.34513888888888888</v>
      </c>
      <c r="G1605" s="1">
        <v>0.38055555555555554</v>
      </c>
      <c r="H1605">
        <v>51</v>
      </c>
      <c r="I1605" t="b">
        <v>0</v>
      </c>
      <c r="J1605" t="b">
        <v>1</v>
      </c>
      <c r="K1605" t="b">
        <v>1</v>
      </c>
      <c r="L1605" t="s">
        <v>28</v>
      </c>
      <c r="M1605">
        <v>30</v>
      </c>
      <c r="N1605" t="s">
        <v>64</v>
      </c>
      <c r="O1605">
        <v>22.5</v>
      </c>
      <c r="P1605" t="s">
        <v>40</v>
      </c>
      <c r="Q1605">
        <v>0.1</v>
      </c>
      <c r="R1605">
        <v>20.25</v>
      </c>
      <c r="S1605" t="s">
        <v>37</v>
      </c>
      <c r="T1605" t="s">
        <v>38</v>
      </c>
      <c r="U1605">
        <v>36.7378</v>
      </c>
      <c r="V1605">
        <v>-119.7871</v>
      </c>
      <c r="W1605" s="2">
        <v>45757</v>
      </c>
      <c r="X1605">
        <v>4</v>
      </c>
      <c r="Y1605" t="b">
        <v>0</v>
      </c>
      <c r="Z1605" s="2">
        <v>45856</v>
      </c>
      <c r="AA1605" t="str">
        <f t="shared" si="251"/>
        <v>40–49</v>
      </c>
      <c r="AB1605" t="str">
        <f t="shared" si="252"/>
        <v>40–49</v>
      </c>
      <c r="AC1605" t="str">
        <f t="shared" si="253"/>
        <v/>
      </c>
      <c r="AD1605" t="str">
        <f t="shared" si="254"/>
        <v/>
      </c>
      <c r="AE1605" t="str">
        <f t="shared" si="255"/>
        <v/>
      </c>
      <c r="AF1605" t="str">
        <f t="shared" si="256"/>
        <v>Thursday</v>
      </c>
      <c r="AG1605" t="str">
        <f t="shared" si="257"/>
        <v/>
      </c>
      <c r="AH1605" t="str">
        <f t="shared" si="258"/>
        <v/>
      </c>
      <c r="AI1605" t="str">
        <f t="shared" si="259"/>
        <v/>
      </c>
      <c r="AJ1605" t="str">
        <f>LEFT(Table1[[#This Row],[membership_type]],2)&amp;TEXT(Table1[[#This Row],[age]],"00")&amp;"-"&amp;TEXT(ROW(),"000")</f>
        <v>St43-1605</v>
      </c>
      <c r="AK1605" t="str">
        <f>LEFT(Table1[[#This Row],[membership_type]],1)&amp;TEXT(MATCH(Table1[[#This Row],[membership_type]],Table1[membership_type],0),"00")</f>
        <v>S02</v>
      </c>
      <c r="AL1605" t="str">
        <f>LEFT(Table1[[#This Row],[discount_type]],1)&amp;TEXT(ROUND(Table1[[#This Row],[discount_rate]]*100,0),"00")</f>
        <v>L10</v>
      </c>
      <c r="AM1605" t="str" cm="1">
        <f t="array" ref="AM1605">TEXT(SUMPRODUCT(CODE(MID(Table1[[#This Row],[home_gym_location]],_xlfn.SEQUENCE(LEN(Table1[[#This Row],[home_gym_location]])),1))),"00000")</f>
        <v>00829</v>
      </c>
      <c r="AN1605" t="str">
        <f>UPPER(_xlfn.TEXTBEFORE(Table1[[#This Row],[home_gym_location]],","))&amp;"-"&amp;TEXT(MATCH(Table1[[#This Row],[home_gym_location]],_xlfn._xlws.SORT(_xlfn.UNIQUE(Table1[home_gym_location])),0),"000")</f>
        <v>FRESNO-003</v>
      </c>
      <c r="AO1605" t="str">
        <f>LEFT(_xlfn.TEXTBEFORE(Table1[[#This Row],[Location Identifier]],"-"),3) &amp; "-" &amp; _xlfn.TEXTAFTER(Table1[[#This Row],[Location Identifier]],"-")</f>
        <v>FRE-003</v>
      </c>
      <c r="AP1605" s="9">
        <f t="shared" ca="1" si="250"/>
        <v>45869</v>
      </c>
    </row>
    <row r="1606" spans="1:42" x14ac:dyDescent="0.25">
      <c r="A1606">
        <v>24</v>
      </c>
      <c r="B1606" t="s">
        <v>26</v>
      </c>
      <c r="C1606">
        <v>2</v>
      </c>
      <c r="D1606" t="s">
        <v>116</v>
      </c>
      <c r="E1606" t="b">
        <v>0</v>
      </c>
      <c r="F1606" s="1">
        <v>0.55694444444444446</v>
      </c>
      <c r="G1606" s="1">
        <v>0.60902777777777772</v>
      </c>
      <c r="H1606">
        <v>75</v>
      </c>
      <c r="I1606" t="b">
        <v>1</v>
      </c>
      <c r="J1606" t="b">
        <v>1</v>
      </c>
      <c r="K1606" t="b">
        <v>0</v>
      </c>
      <c r="L1606" t="s">
        <v>47</v>
      </c>
      <c r="M1606">
        <v>50</v>
      </c>
      <c r="N1606" t="s">
        <v>78</v>
      </c>
      <c r="O1606">
        <v>45</v>
      </c>
      <c r="P1606" t="s">
        <v>30</v>
      </c>
      <c r="Q1606">
        <v>0.05</v>
      </c>
      <c r="R1606">
        <v>42.75</v>
      </c>
      <c r="S1606" t="s">
        <v>31</v>
      </c>
      <c r="T1606" t="s">
        <v>41</v>
      </c>
      <c r="U1606">
        <v>37.804400000000001</v>
      </c>
      <c r="V1606">
        <v>-122.27119999999999</v>
      </c>
      <c r="W1606" s="2">
        <v>45278</v>
      </c>
      <c r="X1606">
        <v>2</v>
      </c>
      <c r="Y1606" t="b">
        <v>1</v>
      </c>
      <c r="Z1606" s="2">
        <v>45829</v>
      </c>
      <c r="AA1606" t="str">
        <f t="shared" si="251"/>
        <v>20–29</v>
      </c>
      <c r="AB1606" t="str">
        <f t="shared" si="252"/>
        <v>20–29</v>
      </c>
      <c r="AC1606" t="str">
        <f t="shared" si="253"/>
        <v/>
      </c>
      <c r="AD1606" t="str">
        <f t="shared" si="254"/>
        <v/>
      </c>
      <c r="AE1606" t="str">
        <f t="shared" si="255"/>
        <v/>
      </c>
      <c r="AF1606" t="str">
        <f t="shared" si="256"/>
        <v>Thursday</v>
      </c>
      <c r="AG1606" t="str">
        <f t="shared" si="257"/>
        <v/>
      </c>
      <c r="AH1606" t="str">
        <f t="shared" si="258"/>
        <v/>
      </c>
      <c r="AI1606" t="str">
        <f t="shared" si="259"/>
        <v>Sunday</v>
      </c>
      <c r="AJ1606" t="str">
        <f>LEFT(Table1[[#This Row],[membership_type]],2)&amp;TEXT(Table1[[#This Row],[age]],"00")&amp;"-"&amp;TEXT(ROW(),"000")</f>
        <v>Pr24-1606</v>
      </c>
      <c r="AK1606" t="str">
        <f>LEFT(Table1[[#This Row],[membership_type]],1)&amp;TEXT(MATCH(Table1[[#This Row],[membership_type]],Table1[membership_type],0),"00")</f>
        <v>P01</v>
      </c>
      <c r="AL1606" t="str">
        <f>LEFT(Table1[[#This Row],[discount_type]],1)&amp;TEXT(ROUND(Table1[[#This Row],[discount_rate]]*100,0),"00")</f>
        <v>P05</v>
      </c>
      <c r="AM1606" t="str" cm="1">
        <f t="array" ref="AM1606">TEXT(SUMPRODUCT(CODE(MID(Table1[[#This Row],[home_gym_location]],_xlfn.SEQUENCE(LEN(Table1[[#This Row],[home_gym_location]])),1))),"00000")</f>
        <v>00906</v>
      </c>
      <c r="AN1606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06" t="str">
        <f>LEFT(_xlfn.TEXTBEFORE(Table1[[#This Row],[Location Identifier]],"-"),3) &amp; "-" &amp; _xlfn.TEXTAFTER(Table1[[#This Row],[Location Identifier]],"-")</f>
        <v>OAK-006</v>
      </c>
      <c r="AP1606" s="9">
        <f t="shared" ca="1" si="250"/>
        <v>45869</v>
      </c>
    </row>
    <row r="1607" spans="1:42" x14ac:dyDescent="0.25">
      <c r="A1607">
        <v>33</v>
      </c>
      <c r="B1607" t="s">
        <v>42</v>
      </c>
      <c r="C1607">
        <v>4</v>
      </c>
      <c r="D1607" t="s">
        <v>52</v>
      </c>
      <c r="E1607" t="b">
        <v>0</v>
      </c>
      <c r="F1607" s="1">
        <v>0.43333333333333335</v>
      </c>
      <c r="G1607" s="1">
        <v>0.49166666666666664</v>
      </c>
      <c r="H1607">
        <v>84</v>
      </c>
      <c r="I1607" t="b">
        <v>1</v>
      </c>
      <c r="J1607" t="b">
        <v>0</v>
      </c>
      <c r="K1607" t="b">
        <v>0</v>
      </c>
      <c r="L1607" t="s">
        <v>28</v>
      </c>
      <c r="M1607">
        <v>20</v>
      </c>
      <c r="N1607" t="s">
        <v>29</v>
      </c>
      <c r="O1607">
        <v>20</v>
      </c>
      <c r="P1607" t="s">
        <v>40</v>
      </c>
      <c r="Q1607">
        <v>0.1</v>
      </c>
      <c r="R1607">
        <v>18</v>
      </c>
      <c r="S1607" t="s">
        <v>44</v>
      </c>
      <c r="T1607" t="s">
        <v>54</v>
      </c>
      <c r="U1607">
        <v>32.715699999999998</v>
      </c>
      <c r="V1607">
        <v>-117.1611</v>
      </c>
      <c r="W1607" s="2">
        <v>45758</v>
      </c>
      <c r="X1607">
        <v>0</v>
      </c>
      <c r="Y1607" t="b">
        <v>0</v>
      </c>
      <c r="Z1607" s="2">
        <v>45856</v>
      </c>
      <c r="AA1607" t="str">
        <f t="shared" si="251"/>
        <v>30–39</v>
      </c>
      <c r="AB1607" t="str">
        <f t="shared" si="252"/>
        <v>30–39</v>
      </c>
      <c r="AC1607" t="str">
        <f t="shared" si="253"/>
        <v>Monday</v>
      </c>
      <c r="AD1607" t="str">
        <f t="shared" si="254"/>
        <v/>
      </c>
      <c r="AE1607" t="str">
        <f t="shared" si="255"/>
        <v/>
      </c>
      <c r="AF1607" t="str">
        <f t="shared" si="256"/>
        <v>Thursday</v>
      </c>
      <c r="AG1607" t="str">
        <f t="shared" si="257"/>
        <v>Friday</v>
      </c>
      <c r="AH1607" t="str">
        <f t="shared" si="258"/>
        <v/>
      </c>
      <c r="AI1607" t="str">
        <f t="shared" si="259"/>
        <v>Sunday</v>
      </c>
      <c r="AJ1607" t="str">
        <f>LEFT(Table1[[#This Row],[membership_type]],2)&amp;TEXT(Table1[[#This Row],[age]],"00")&amp;"-"&amp;TEXT(ROW(),"000")</f>
        <v>Ba33-1607</v>
      </c>
      <c r="AK1607" t="str">
        <f>LEFT(Table1[[#This Row],[membership_type]],1)&amp;TEXT(MATCH(Table1[[#This Row],[membership_type]],Table1[membership_type],0),"00")</f>
        <v>B04</v>
      </c>
      <c r="AL1607" t="str">
        <f>LEFT(Table1[[#This Row],[discount_type]],1)&amp;TEXT(ROUND(Table1[[#This Row],[discount_rate]]*100,0),"00")</f>
        <v>L10</v>
      </c>
      <c r="AM1607" t="str" cm="1">
        <f t="array" ref="AM1607">TEXT(SUMPRODUCT(CODE(MID(Table1[[#This Row],[home_gym_location]],_xlfn.SEQUENCE(LEN(Table1[[#This Row],[home_gym_location]])),1))),"00000")</f>
        <v>01018</v>
      </c>
      <c r="AN160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07" t="str">
        <f>LEFT(_xlfn.TEXTBEFORE(Table1[[#This Row],[Location Identifier]],"-"),3) &amp; "-" &amp; _xlfn.TEXTAFTER(Table1[[#This Row],[Location Identifier]],"-")</f>
        <v>SAN-008</v>
      </c>
      <c r="AP1607" s="9">
        <f t="shared" ca="1" si="250"/>
        <v>45869</v>
      </c>
    </row>
    <row r="1608" spans="1:42" x14ac:dyDescent="0.25">
      <c r="A1608">
        <v>45</v>
      </c>
      <c r="B1608" t="s">
        <v>26</v>
      </c>
      <c r="C1608">
        <v>3</v>
      </c>
      <c r="D1608" t="s">
        <v>128</v>
      </c>
      <c r="E1608" t="b">
        <v>0</v>
      </c>
      <c r="F1608" s="1">
        <v>0.40486111111111112</v>
      </c>
      <c r="G1608" s="1">
        <v>0.46944444444444444</v>
      </c>
      <c r="H1608">
        <v>93</v>
      </c>
      <c r="I1608" t="b">
        <v>1</v>
      </c>
      <c r="J1608" t="b">
        <v>0</v>
      </c>
      <c r="K1608" t="b">
        <v>1</v>
      </c>
      <c r="L1608" t="s">
        <v>58</v>
      </c>
      <c r="M1608">
        <v>50</v>
      </c>
      <c r="N1608" t="s">
        <v>29</v>
      </c>
      <c r="O1608">
        <v>50</v>
      </c>
      <c r="P1608" t="s">
        <v>36</v>
      </c>
      <c r="Q1608">
        <v>0</v>
      </c>
      <c r="R1608">
        <v>50</v>
      </c>
      <c r="S1608" t="s">
        <v>31</v>
      </c>
      <c r="T1608" t="s">
        <v>54</v>
      </c>
      <c r="U1608">
        <v>32.715699999999998</v>
      </c>
      <c r="V1608">
        <v>-117.1611</v>
      </c>
      <c r="W1608" s="2">
        <v>44978</v>
      </c>
      <c r="X1608">
        <v>0</v>
      </c>
      <c r="Y1608" t="b">
        <v>1</v>
      </c>
      <c r="Z1608" s="2">
        <v>45812</v>
      </c>
      <c r="AA1608" t="str">
        <f t="shared" si="251"/>
        <v>40–49</v>
      </c>
      <c r="AB1608" t="str">
        <f t="shared" si="252"/>
        <v>40–49</v>
      </c>
      <c r="AC1608" t="str">
        <f t="shared" si="253"/>
        <v>Monday</v>
      </c>
      <c r="AD1608" t="str">
        <f t="shared" si="254"/>
        <v/>
      </c>
      <c r="AE1608" t="str">
        <f t="shared" si="255"/>
        <v/>
      </c>
      <c r="AF1608" t="str">
        <f t="shared" si="256"/>
        <v>Thursday</v>
      </c>
      <c r="AG1608" t="str">
        <f t="shared" si="257"/>
        <v/>
      </c>
      <c r="AH1608" t="str">
        <f t="shared" si="258"/>
        <v/>
      </c>
      <c r="AI1608" t="str">
        <f t="shared" si="259"/>
        <v>Sunday</v>
      </c>
      <c r="AJ1608" t="str">
        <f>LEFT(Table1[[#This Row],[membership_type]],2)&amp;TEXT(Table1[[#This Row],[age]],"00")&amp;"-"&amp;TEXT(ROW(),"000")</f>
        <v>Pr45-1608</v>
      </c>
      <c r="AK1608" t="str">
        <f>LEFT(Table1[[#This Row],[membership_type]],1)&amp;TEXT(MATCH(Table1[[#This Row],[membership_type]],Table1[membership_type],0),"00")</f>
        <v>P01</v>
      </c>
      <c r="AL1608" t="str">
        <f>LEFT(Table1[[#This Row],[discount_type]],1)&amp;TEXT(ROUND(Table1[[#This Row],[discount_rate]]*100,0),"00")</f>
        <v>N00</v>
      </c>
      <c r="AM1608" t="str" cm="1">
        <f t="array" ref="AM1608">TEXT(SUMPRODUCT(CODE(MID(Table1[[#This Row],[home_gym_location]],_xlfn.SEQUENCE(LEN(Table1[[#This Row],[home_gym_location]])),1))),"00000")</f>
        <v>01018</v>
      </c>
      <c r="AN160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08" t="str">
        <f>LEFT(_xlfn.TEXTBEFORE(Table1[[#This Row],[Location Identifier]],"-"),3) &amp; "-" &amp; _xlfn.TEXTAFTER(Table1[[#This Row],[Location Identifier]],"-")</f>
        <v>SAN-008</v>
      </c>
      <c r="AP1608" s="9">
        <f t="shared" ca="1" si="250"/>
        <v>45869</v>
      </c>
    </row>
    <row r="1609" spans="1:42" x14ac:dyDescent="0.25">
      <c r="A1609">
        <v>21</v>
      </c>
      <c r="B1609" t="s">
        <v>51</v>
      </c>
      <c r="C1609">
        <v>3</v>
      </c>
      <c r="D1609" t="s">
        <v>80</v>
      </c>
      <c r="E1609" t="b">
        <v>0</v>
      </c>
      <c r="F1609" s="1">
        <v>0.5444444444444444</v>
      </c>
      <c r="G1609" s="1">
        <v>0.59791666666666665</v>
      </c>
      <c r="H1609">
        <v>77</v>
      </c>
      <c r="I1609" t="b">
        <v>1</v>
      </c>
      <c r="J1609" t="b">
        <v>0</v>
      </c>
      <c r="K1609" t="b">
        <v>0</v>
      </c>
      <c r="L1609" t="s">
        <v>28</v>
      </c>
      <c r="M1609">
        <v>70</v>
      </c>
      <c r="N1609" t="s">
        <v>64</v>
      </c>
      <c r="O1609">
        <v>52.5</v>
      </c>
      <c r="P1609" t="s">
        <v>40</v>
      </c>
      <c r="Q1609">
        <v>0.1</v>
      </c>
      <c r="R1609">
        <v>47.25</v>
      </c>
      <c r="S1609" t="s">
        <v>53</v>
      </c>
      <c r="T1609" t="s">
        <v>45</v>
      </c>
      <c r="U1609">
        <v>33.836599999999997</v>
      </c>
      <c r="V1609">
        <v>-117.9143</v>
      </c>
      <c r="W1609" s="2">
        <v>45582</v>
      </c>
      <c r="X1609">
        <v>0</v>
      </c>
      <c r="Y1609" t="b">
        <v>1</v>
      </c>
      <c r="Z1609" s="2">
        <v>45846</v>
      </c>
      <c r="AA1609" t="str">
        <f t="shared" si="251"/>
        <v>20–29</v>
      </c>
      <c r="AB1609" t="str">
        <f t="shared" si="252"/>
        <v>20–29</v>
      </c>
      <c r="AC1609" t="str">
        <f t="shared" si="253"/>
        <v>Monday</v>
      </c>
      <c r="AD1609" t="str">
        <f t="shared" si="254"/>
        <v/>
      </c>
      <c r="AE1609" t="str">
        <f t="shared" si="255"/>
        <v/>
      </c>
      <c r="AF1609" t="str">
        <f t="shared" si="256"/>
        <v/>
      </c>
      <c r="AG1609" t="str">
        <f t="shared" si="257"/>
        <v/>
      </c>
      <c r="AH1609" t="str">
        <f t="shared" si="258"/>
        <v>Saturday</v>
      </c>
      <c r="AI1609" t="str">
        <f t="shared" si="259"/>
        <v>Sunday</v>
      </c>
      <c r="AJ1609" t="str">
        <f>LEFT(Table1[[#This Row],[membership_type]],2)&amp;TEXT(Table1[[#This Row],[age]],"00")&amp;"-"&amp;TEXT(ROW(),"000")</f>
        <v>El21-1609</v>
      </c>
      <c r="AK1609" t="str">
        <f>LEFT(Table1[[#This Row],[membership_type]],1)&amp;TEXT(MATCH(Table1[[#This Row],[membership_type]],Table1[membership_type],0),"00")</f>
        <v>E07</v>
      </c>
      <c r="AL1609" t="str">
        <f>LEFT(Table1[[#This Row],[discount_type]],1)&amp;TEXT(ROUND(Table1[[#This Row],[discount_rate]]*100,0),"00")</f>
        <v>L10</v>
      </c>
      <c r="AM1609" t="str" cm="1">
        <f t="array" ref="AM1609">TEXT(SUMPRODUCT(CODE(MID(Table1[[#This Row],[home_gym_location]],_xlfn.SEQUENCE(LEN(Table1[[#This Row],[home_gym_location]])),1))),"00000")</f>
        <v>00899</v>
      </c>
      <c r="AN160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09" t="str">
        <f>LEFT(_xlfn.TEXTBEFORE(Table1[[#This Row],[Location Identifier]],"-"),3) &amp; "-" &amp; _xlfn.TEXTAFTER(Table1[[#This Row],[Location Identifier]],"-")</f>
        <v>ANA-001</v>
      </c>
      <c r="AP1609" s="9">
        <f t="shared" ca="1" si="250"/>
        <v>45869</v>
      </c>
    </row>
    <row r="1610" spans="1:42" x14ac:dyDescent="0.25">
      <c r="A1610">
        <v>24</v>
      </c>
      <c r="B1610" t="s">
        <v>33</v>
      </c>
      <c r="C1610">
        <v>1</v>
      </c>
      <c r="D1610" t="s">
        <v>97</v>
      </c>
      <c r="E1610" t="b">
        <v>0</v>
      </c>
      <c r="F1610" s="1">
        <v>0.54513888888888884</v>
      </c>
      <c r="G1610" s="1">
        <v>0.64513888888888893</v>
      </c>
      <c r="H1610">
        <v>144</v>
      </c>
      <c r="I1610" t="b">
        <v>0</v>
      </c>
      <c r="J1610" t="b">
        <v>1</v>
      </c>
      <c r="K1610" t="b">
        <v>1</v>
      </c>
      <c r="L1610" t="s">
        <v>35</v>
      </c>
      <c r="M1610">
        <v>30</v>
      </c>
      <c r="N1610" t="s">
        <v>29</v>
      </c>
      <c r="O1610">
        <v>30</v>
      </c>
      <c r="P1610" t="s">
        <v>36</v>
      </c>
      <c r="Q1610">
        <v>0</v>
      </c>
      <c r="R1610">
        <v>30</v>
      </c>
      <c r="S1610" t="s">
        <v>37</v>
      </c>
      <c r="T1610" t="s">
        <v>59</v>
      </c>
      <c r="U1610">
        <v>37.774900000000002</v>
      </c>
      <c r="V1610">
        <v>-122.4194</v>
      </c>
      <c r="W1610" s="2">
        <v>45255</v>
      </c>
      <c r="X1610">
        <v>3</v>
      </c>
      <c r="Y1610" t="b">
        <v>0</v>
      </c>
      <c r="Z1610" s="2">
        <v>45828</v>
      </c>
      <c r="AA1610" t="str">
        <f t="shared" si="251"/>
        <v>20–29</v>
      </c>
      <c r="AB1610" t="str">
        <f t="shared" si="252"/>
        <v>20–29</v>
      </c>
      <c r="AC1610" t="str">
        <f t="shared" si="253"/>
        <v>Monday</v>
      </c>
      <c r="AD1610" t="str">
        <f t="shared" si="254"/>
        <v/>
      </c>
      <c r="AE1610" t="str">
        <f t="shared" si="255"/>
        <v/>
      </c>
      <c r="AF1610" t="str">
        <f t="shared" si="256"/>
        <v/>
      </c>
      <c r="AG1610" t="str">
        <f t="shared" si="257"/>
        <v/>
      </c>
      <c r="AH1610" t="str">
        <f t="shared" si="258"/>
        <v/>
      </c>
      <c r="AI1610" t="str">
        <f t="shared" si="259"/>
        <v/>
      </c>
      <c r="AJ1610" t="str">
        <f>LEFT(Table1[[#This Row],[membership_type]],2)&amp;TEXT(Table1[[#This Row],[age]],"00")&amp;"-"&amp;TEXT(ROW(),"000")</f>
        <v>St24-1610</v>
      </c>
      <c r="AK1610" t="str">
        <f>LEFT(Table1[[#This Row],[membership_type]],1)&amp;TEXT(MATCH(Table1[[#This Row],[membership_type]],Table1[membership_type],0),"00")</f>
        <v>S02</v>
      </c>
      <c r="AL1610" t="str">
        <f>LEFT(Table1[[#This Row],[discount_type]],1)&amp;TEXT(ROUND(Table1[[#This Row],[discount_rate]]*100,0),"00")</f>
        <v>N00</v>
      </c>
      <c r="AM1610" t="str" cm="1">
        <f t="array" ref="AM1610">TEXT(SUMPRODUCT(CODE(MID(Table1[[#This Row],[home_gym_location]],_xlfn.SEQUENCE(LEN(Table1[[#This Row],[home_gym_location]])),1))),"00000")</f>
        <v>01450</v>
      </c>
      <c r="AN161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10" t="str">
        <f>LEFT(_xlfn.TEXTBEFORE(Table1[[#This Row],[Location Identifier]],"-"),3) &amp; "-" &amp; _xlfn.TEXTAFTER(Table1[[#This Row],[Location Identifier]],"-")</f>
        <v>SAN-009</v>
      </c>
      <c r="AP1610" s="9">
        <f t="shared" ca="1" si="250"/>
        <v>45869</v>
      </c>
    </row>
    <row r="1611" spans="1:42" x14ac:dyDescent="0.25">
      <c r="A1611">
        <v>37</v>
      </c>
      <c r="B1611" t="s">
        <v>26</v>
      </c>
      <c r="C1611">
        <v>3</v>
      </c>
      <c r="D1611" t="s">
        <v>114</v>
      </c>
      <c r="E1611" t="b">
        <v>0</v>
      </c>
      <c r="F1611" s="1">
        <v>0.85763888888888884</v>
      </c>
      <c r="G1611" s="1">
        <v>0.95694444444444449</v>
      </c>
      <c r="H1611">
        <v>143</v>
      </c>
      <c r="I1611" t="b">
        <v>0</v>
      </c>
      <c r="J1611" t="b">
        <v>1</v>
      </c>
      <c r="K1611" t="b">
        <v>0</v>
      </c>
      <c r="L1611" t="s">
        <v>28</v>
      </c>
      <c r="M1611">
        <v>50</v>
      </c>
      <c r="N1611" t="s">
        <v>29</v>
      </c>
      <c r="O1611">
        <v>50</v>
      </c>
      <c r="P1611" t="s">
        <v>30</v>
      </c>
      <c r="Q1611">
        <v>0.05</v>
      </c>
      <c r="R1611">
        <v>47.5</v>
      </c>
      <c r="S1611" t="s">
        <v>31</v>
      </c>
      <c r="T1611" t="s">
        <v>38</v>
      </c>
      <c r="U1611">
        <v>36.7378</v>
      </c>
      <c r="V1611">
        <v>-119.7871</v>
      </c>
      <c r="W1611" s="2">
        <v>44893</v>
      </c>
      <c r="X1611">
        <v>6</v>
      </c>
      <c r="Y1611" t="b">
        <v>0</v>
      </c>
      <c r="Z1611" s="2">
        <v>45808</v>
      </c>
      <c r="AA1611" t="str">
        <f t="shared" si="251"/>
        <v>30–39</v>
      </c>
      <c r="AB1611" t="str">
        <f t="shared" si="252"/>
        <v>30–39</v>
      </c>
      <c r="AC1611" t="str">
        <f t="shared" si="253"/>
        <v>Monday</v>
      </c>
      <c r="AD1611" t="str">
        <f t="shared" si="254"/>
        <v>Tuesday</v>
      </c>
      <c r="AE1611" t="str">
        <f t="shared" si="255"/>
        <v>Wednesday</v>
      </c>
      <c r="AF1611" t="str">
        <f t="shared" si="256"/>
        <v/>
      </c>
      <c r="AG1611" t="str">
        <f t="shared" si="257"/>
        <v/>
      </c>
      <c r="AH1611" t="str">
        <f t="shared" si="258"/>
        <v/>
      </c>
      <c r="AI1611" t="str">
        <f t="shared" si="259"/>
        <v/>
      </c>
      <c r="AJ1611" t="str">
        <f>LEFT(Table1[[#This Row],[membership_type]],2)&amp;TEXT(Table1[[#This Row],[age]],"00")&amp;"-"&amp;TEXT(ROW(),"000")</f>
        <v>Pr37-1611</v>
      </c>
      <c r="AK1611" t="str">
        <f>LEFT(Table1[[#This Row],[membership_type]],1)&amp;TEXT(MATCH(Table1[[#This Row],[membership_type]],Table1[membership_type],0),"00")</f>
        <v>P01</v>
      </c>
      <c r="AL1611" t="str">
        <f>LEFT(Table1[[#This Row],[discount_type]],1)&amp;TEXT(ROUND(Table1[[#This Row],[discount_rate]]*100,0),"00")</f>
        <v>P05</v>
      </c>
      <c r="AM1611" t="str" cm="1">
        <f t="array" ref="AM1611">TEXT(SUMPRODUCT(CODE(MID(Table1[[#This Row],[home_gym_location]],_xlfn.SEQUENCE(LEN(Table1[[#This Row],[home_gym_location]])),1))),"00000")</f>
        <v>00829</v>
      </c>
      <c r="AN1611" t="str">
        <f>UPPER(_xlfn.TEXTBEFORE(Table1[[#This Row],[home_gym_location]],","))&amp;"-"&amp;TEXT(MATCH(Table1[[#This Row],[home_gym_location]],_xlfn._xlws.SORT(_xlfn.UNIQUE(Table1[home_gym_location])),0),"000")</f>
        <v>FRESNO-003</v>
      </c>
      <c r="AO1611" t="str">
        <f>LEFT(_xlfn.TEXTBEFORE(Table1[[#This Row],[Location Identifier]],"-"),3) &amp; "-" &amp; _xlfn.TEXTAFTER(Table1[[#This Row],[Location Identifier]],"-")</f>
        <v>FRE-003</v>
      </c>
      <c r="AP1611" s="9">
        <f t="shared" ca="1" si="250"/>
        <v>45869</v>
      </c>
    </row>
    <row r="1612" spans="1:42" x14ac:dyDescent="0.25">
      <c r="A1612">
        <v>35</v>
      </c>
      <c r="B1612" t="s">
        <v>26</v>
      </c>
      <c r="C1612">
        <v>2</v>
      </c>
      <c r="D1612" t="s">
        <v>92</v>
      </c>
      <c r="E1612" t="b">
        <v>1</v>
      </c>
      <c r="F1612" s="1">
        <v>0.59861111111111109</v>
      </c>
      <c r="G1612" s="1">
        <v>0.65486111111111112</v>
      </c>
      <c r="H1612">
        <v>81</v>
      </c>
      <c r="I1612" t="b">
        <v>1</v>
      </c>
      <c r="J1612" t="b">
        <v>0</v>
      </c>
      <c r="K1612" t="b">
        <v>0</v>
      </c>
      <c r="L1612" t="s">
        <v>35</v>
      </c>
      <c r="M1612">
        <v>50</v>
      </c>
      <c r="N1612" t="s">
        <v>64</v>
      </c>
      <c r="O1612">
        <v>37.5</v>
      </c>
      <c r="P1612" t="s">
        <v>30</v>
      </c>
      <c r="Q1612">
        <v>0.05</v>
      </c>
      <c r="R1612">
        <v>35.625</v>
      </c>
      <c r="S1612" t="s">
        <v>31</v>
      </c>
      <c r="T1612" t="s">
        <v>41</v>
      </c>
      <c r="U1612">
        <v>37.804400000000001</v>
      </c>
      <c r="V1612">
        <v>-122.27119999999999</v>
      </c>
      <c r="W1612" s="2">
        <v>45137</v>
      </c>
      <c r="X1612">
        <v>0</v>
      </c>
      <c r="Y1612" t="b">
        <v>1</v>
      </c>
      <c r="Z1612" s="2">
        <v>45821</v>
      </c>
      <c r="AA1612" t="str">
        <f t="shared" si="251"/>
        <v>30–39</v>
      </c>
      <c r="AB1612" t="str">
        <f t="shared" si="252"/>
        <v>30–39</v>
      </c>
      <c r="AC1612" t="str">
        <f t="shared" si="253"/>
        <v/>
      </c>
      <c r="AD1612" t="str">
        <f t="shared" si="254"/>
        <v/>
      </c>
      <c r="AE1612" t="str">
        <f t="shared" si="255"/>
        <v/>
      </c>
      <c r="AF1612" t="str">
        <f t="shared" si="256"/>
        <v/>
      </c>
      <c r="AG1612" t="str">
        <f t="shared" si="257"/>
        <v>Friday</v>
      </c>
      <c r="AH1612" t="str">
        <f t="shared" si="258"/>
        <v/>
      </c>
      <c r="AI1612" t="str">
        <f t="shared" si="259"/>
        <v>Sunday</v>
      </c>
      <c r="AJ1612" t="str">
        <f>LEFT(Table1[[#This Row],[membership_type]],2)&amp;TEXT(Table1[[#This Row],[age]],"00")&amp;"-"&amp;TEXT(ROW(),"000")</f>
        <v>Pr35-1612</v>
      </c>
      <c r="AK1612" t="str">
        <f>LEFT(Table1[[#This Row],[membership_type]],1)&amp;TEXT(MATCH(Table1[[#This Row],[membership_type]],Table1[membership_type],0),"00")</f>
        <v>P01</v>
      </c>
      <c r="AL1612" t="str">
        <f>LEFT(Table1[[#This Row],[discount_type]],1)&amp;TEXT(ROUND(Table1[[#This Row],[discount_rate]]*100,0),"00")</f>
        <v>P05</v>
      </c>
      <c r="AM1612" t="str" cm="1">
        <f t="array" ref="AM1612">TEXT(SUMPRODUCT(CODE(MID(Table1[[#This Row],[home_gym_location]],_xlfn.SEQUENCE(LEN(Table1[[#This Row],[home_gym_location]])),1))),"00000")</f>
        <v>00906</v>
      </c>
      <c r="AN161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12" t="str">
        <f>LEFT(_xlfn.TEXTBEFORE(Table1[[#This Row],[Location Identifier]],"-"),3) &amp; "-" &amp; _xlfn.TEXTAFTER(Table1[[#This Row],[Location Identifier]],"-")</f>
        <v>OAK-006</v>
      </c>
      <c r="AP1612" s="9">
        <f t="shared" ca="1" si="250"/>
        <v>45869</v>
      </c>
    </row>
    <row r="1613" spans="1:42" x14ac:dyDescent="0.25">
      <c r="A1613">
        <v>43</v>
      </c>
      <c r="B1613" t="s">
        <v>33</v>
      </c>
      <c r="C1613">
        <v>3</v>
      </c>
      <c r="D1613" t="s">
        <v>122</v>
      </c>
      <c r="E1613" t="b">
        <v>0</v>
      </c>
      <c r="F1613" s="1">
        <v>0.77569444444444446</v>
      </c>
      <c r="G1613" s="1">
        <v>0.84375</v>
      </c>
      <c r="H1613">
        <v>98</v>
      </c>
      <c r="I1613" t="b">
        <v>0</v>
      </c>
      <c r="J1613" t="b">
        <v>1</v>
      </c>
      <c r="K1613" t="b">
        <v>1</v>
      </c>
      <c r="L1613" t="s">
        <v>62</v>
      </c>
      <c r="M1613">
        <v>30</v>
      </c>
      <c r="N1613" t="s">
        <v>78</v>
      </c>
      <c r="O1613">
        <v>27</v>
      </c>
      <c r="P1613" t="s">
        <v>40</v>
      </c>
      <c r="Q1613">
        <v>0.1</v>
      </c>
      <c r="R1613">
        <v>24.3</v>
      </c>
      <c r="S1613" t="s">
        <v>37</v>
      </c>
      <c r="T1613" t="s">
        <v>38</v>
      </c>
      <c r="U1613">
        <v>36.7378</v>
      </c>
      <c r="V1613">
        <v>-119.7871</v>
      </c>
      <c r="W1613" s="2">
        <v>45263</v>
      </c>
      <c r="X1613">
        <v>6</v>
      </c>
      <c r="Y1613" t="b">
        <v>1</v>
      </c>
      <c r="Z1613" s="2">
        <v>45829</v>
      </c>
      <c r="AA1613" t="str">
        <f t="shared" si="251"/>
        <v>40–49</v>
      </c>
      <c r="AB1613" t="str">
        <f t="shared" si="252"/>
        <v>40–49</v>
      </c>
      <c r="AC1613" t="str">
        <f t="shared" si="253"/>
        <v/>
      </c>
      <c r="AD1613" t="str">
        <f t="shared" si="254"/>
        <v>Tuesday</v>
      </c>
      <c r="AE1613" t="str">
        <f t="shared" si="255"/>
        <v/>
      </c>
      <c r="AF1613" t="str">
        <f t="shared" si="256"/>
        <v/>
      </c>
      <c r="AG1613" t="str">
        <f t="shared" si="257"/>
        <v>Friday</v>
      </c>
      <c r="AH1613" t="str">
        <f t="shared" si="258"/>
        <v/>
      </c>
      <c r="AI1613" t="str">
        <f t="shared" si="259"/>
        <v>Sunday</v>
      </c>
      <c r="AJ1613" t="str">
        <f>LEFT(Table1[[#This Row],[membership_type]],2)&amp;TEXT(Table1[[#This Row],[age]],"00")&amp;"-"&amp;TEXT(ROW(),"000")</f>
        <v>St43-1613</v>
      </c>
      <c r="AK1613" t="str">
        <f>LEFT(Table1[[#This Row],[membership_type]],1)&amp;TEXT(MATCH(Table1[[#This Row],[membership_type]],Table1[membership_type],0),"00")</f>
        <v>S02</v>
      </c>
      <c r="AL1613" t="str">
        <f>LEFT(Table1[[#This Row],[discount_type]],1)&amp;TEXT(ROUND(Table1[[#This Row],[discount_rate]]*100,0),"00")</f>
        <v>L10</v>
      </c>
      <c r="AM1613" t="str" cm="1">
        <f t="array" ref="AM1613">TEXT(SUMPRODUCT(CODE(MID(Table1[[#This Row],[home_gym_location]],_xlfn.SEQUENCE(LEN(Table1[[#This Row],[home_gym_location]])),1))),"00000")</f>
        <v>00829</v>
      </c>
      <c r="AN1613" t="str">
        <f>UPPER(_xlfn.TEXTBEFORE(Table1[[#This Row],[home_gym_location]],","))&amp;"-"&amp;TEXT(MATCH(Table1[[#This Row],[home_gym_location]],_xlfn._xlws.SORT(_xlfn.UNIQUE(Table1[home_gym_location])),0),"000")</f>
        <v>FRESNO-003</v>
      </c>
      <c r="AO1613" t="str">
        <f>LEFT(_xlfn.TEXTBEFORE(Table1[[#This Row],[Location Identifier]],"-"),3) &amp; "-" &amp; _xlfn.TEXTAFTER(Table1[[#This Row],[Location Identifier]],"-")</f>
        <v>FRE-003</v>
      </c>
      <c r="AP1613" s="9">
        <f t="shared" ca="1" si="250"/>
        <v>45869</v>
      </c>
    </row>
    <row r="1614" spans="1:42" x14ac:dyDescent="0.25">
      <c r="A1614">
        <v>14</v>
      </c>
      <c r="B1614" t="s">
        <v>42</v>
      </c>
      <c r="C1614">
        <v>2</v>
      </c>
      <c r="D1614" t="s">
        <v>96</v>
      </c>
      <c r="E1614" t="b">
        <v>1</v>
      </c>
      <c r="F1614" s="1">
        <v>0.38958333333333334</v>
      </c>
      <c r="G1614" s="1">
        <v>0.5083333333333333</v>
      </c>
      <c r="H1614">
        <v>171</v>
      </c>
      <c r="I1614" t="b">
        <v>0</v>
      </c>
      <c r="J1614" t="b">
        <v>1</v>
      </c>
      <c r="K1614" t="b">
        <v>0</v>
      </c>
      <c r="L1614" t="s">
        <v>28</v>
      </c>
      <c r="M1614">
        <v>20</v>
      </c>
      <c r="N1614" t="s">
        <v>29</v>
      </c>
      <c r="O1614">
        <v>20</v>
      </c>
      <c r="P1614" t="s">
        <v>40</v>
      </c>
      <c r="Q1614">
        <v>0.1</v>
      </c>
      <c r="R1614">
        <v>18</v>
      </c>
      <c r="S1614" t="s">
        <v>44</v>
      </c>
      <c r="T1614" t="s">
        <v>56</v>
      </c>
      <c r="U1614">
        <v>35.3733</v>
      </c>
      <c r="V1614">
        <v>-119.0187</v>
      </c>
      <c r="W1614" s="2">
        <v>45485</v>
      </c>
      <c r="X1614">
        <v>3</v>
      </c>
      <c r="Y1614" t="b">
        <v>1</v>
      </c>
      <c r="Z1614" s="2">
        <v>45841</v>
      </c>
      <c r="AA1614" t="str">
        <f t="shared" si="251"/>
        <v>10–19</v>
      </c>
      <c r="AB1614" t="str">
        <f t="shared" si="252"/>
        <v>Under 16</v>
      </c>
      <c r="AC1614" t="str">
        <f t="shared" si="253"/>
        <v/>
      </c>
      <c r="AD1614" t="str">
        <f t="shared" si="254"/>
        <v/>
      </c>
      <c r="AE1614" t="str">
        <f t="shared" si="255"/>
        <v/>
      </c>
      <c r="AF1614" t="str">
        <f t="shared" si="256"/>
        <v>Thursday</v>
      </c>
      <c r="AG1614" t="str">
        <f t="shared" si="257"/>
        <v>Friday</v>
      </c>
      <c r="AH1614" t="str">
        <f t="shared" si="258"/>
        <v/>
      </c>
      <c r="AI1614" t="str">
        <f t="shared" si="259"/>
        <v/>
      </c>
      <c r="AJ1614" t="str">
        <f>LEFT(Table1[[#This Row],[membership_type]],2)&amp;TEXT(Table1[[#This Row],[age]],"00")&amp;"-"&amp;TEXT(ROW(),"000")</f>
        <v>Ba14-1614</v>
      </c>
      <c r="AK1614" t="str">
        <f>LEFT(Table1[[#This Row],[membership_type]],1)&amp;TEXT(MATCH(Table1[[#This Row],[membership_type]],Table1[membership_type],0),"00")</f>
        <v>B04</v>
      </c>
      <c r="AL1614" t="str">
        <f>LEFT(Table1[[#This Row],[discount_type]],1)&amp;TEXT(ROUND(Table1[[#This Row],[discount_rate]]*100,0),"00")</f>
        <v>L10</v>
      </c>
      <c r="AM1614" t="str" cm="1">
        <f t="array" ref="AM1614">TEXT(SUMPRODUCT(CODE(MID(Table1[[#This Row],[home_gym_location]],_xlfn.SEQUENCE(LEN(Table1[[#This Row],[home_gym_location]])),1))),"00000")</f>
        <v>01324</v>
      </c>
      <c r="AN161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14" t="str">
        <f>LEFT(_xlfn.TEXTBEFORE(Table1[[#This Row],[Location Identifier]],"-"),3) &amp; "-" &amp; _xlfn.TEXTAFTER(Table1[[#This Row],[Location Identifier]],"-")</f>
        <v>BAK-002</v>
      </c>
      <c r="AP1614" s="9">
        <f t="shared" ca="1" si="250"/>
        <v>45869</v>
      </c>
    </row>
    <row r="1615" spans="1:42" x14ac:dyDescent="0.25">
      <c r="A1615">
        <v>44</v>
      </c>
      <c r="B1615" t="s">
        <v>26</v>
      </c>
      <c r="C1615">
        <v>1</v>
      </c>
      <c r="D1615" t="s">
        <v>49</v>
      </c>
      <c r="E1615" t="b">
        <v>0</v>
      </c>
      <c r="F1615" s="1">
        <v>0.64861111111111114</v>
      </c>
      <c r="G1615" s="1">
        <v>0.69513888888888886</v>
      </c>
      <c r="H1615">
        <v>67</v>
      </c>
      <c r="I1615" t="b">
        <v>1</v>
      </c>
      <c r="J1615" t="b">
        <v>1</v>
      </c>
      <c r="K1615" t="b">
        <v>0</v>
      </c>
      <c r="L1615" t="s">
        <v>62</v>
      </c>
      <c r="M1615">
        <v>50</v>
      </c>
      <c r="N1615" t="s">
        <v>29</v>
      </c>
      <c r="O1615">
        <v>50</v>
      </c>
      <c r="P1615" t="s">
        <v>36</v>
      </c>
      <c r="Q1615">
        <v>0</v>
      </c>
      <c r="R1615">
        <v>50</v>
      </c>
      <c r="S1615" t="s">
        <v>31</v>
      </c>
      <c r="T1615" t="s">
        <v>38</v>
      </c>
      <c r="U1615">
        <v>36.7378</v>
      </c>
      <c r="V1615">
        <v>-119.7871</v>
      </c>
      <c r="W1615" s="2">
        <v>45476</v>
      </c>
      <c r="X1615">
        <v>8</v>
      </c>
      <c r="Y1615" t="b">
        <v>1</v>
      </c>
      <c r="Z1615" s="2">
        <v>45841</v>
      </c>
      <c r="AA1615" t="str">
        <f t="shared" si="251"/>
        <v>40–49</v>
      </c>
      <c r="AB1615" t="str">
        <f t="shared" si="252"/>
        <v>40–49</v>
      </c>
      <c r="AC1615" t="str">
        <f t="shared" si="253"/>
        <v/>
      </c>
      <c r="AD1615" t="str">
        <f t="shared" si="254"/>
        <v/>
      </c>
      <c r="AE1615" t="str">
        <f t="shared" si="255"/>
        <v/>
      </c>
      <c r="AF1615" t="str">
        <f t="shared" si="256"/>
        <v/>
      </c>
      <c r="AG1615" t="str">
        <f t="shared" si="257"/>
        <v/>
      </c>
      <c r="AH1615" t="str">
        <f t="shared" si="258"/>
        <v/>
      </c>
      <c r="AI1615" t="str">
        <f t="shared" si="259"/>
        <v>Sunday</v>
      </c>
      <c r="AJ1615" t="str">
        <f>LEFT(Table1[[#This Row],[membership_type]],2)&amp;TEXT(Table1[[#This Row],[age]],"00")&amp;"-"&amp;TEXT(ROW(),"000")</f>
        <v>Pr44-1615</v>
      </c>
      <c r="AK1615" t="str">
        <f>LEFT(Table1[[#This Row],[membership_type]],1)&amp;TEXT(MATCH(Table1[[#This Row],[membership_type]],Table1[membership_type],0),"00")</f>
        <v>P01</v>
      </c>
      <c r="AL1615" t="str">
        <f>LEFT(Table1[[#This Row],[discount_type]],1)&amp;TEXT(ROUND(Table1[[#This Row],[discount_rate]]*100,0),"00")</f>
        <v>N00</v>
      </c>
      <c r="AM1615" t="str" cm="1">
        <f t="array" ref="AM1615">TEXT(SUMPRODUCT(CODE(MID(Table1[[#This Row],[home_gym_location]],_xlfn.SEQUENCE(LEN(Table1[[#This Row],[home_gym_location]])),1))),"00000")</f>
        <v>00829</v>
      </c>
      <c r="AN1615" t="str">
        <f>UPPER(_xlfn.TEXTBEFORE(Table1[[#This Row],[home_gym_location]],","))&amp;"-"&amp;TEXT(MATCH(Table1[[#This Row],[home_gym_location]],_xlfn._xlws.SORT(_xlfn.UNIQUE(Table1[home_gym_location])),0),"000")</f>
        <v>FRESNO-003</v>
      </c>
      <c r="AO1615" t="str">
        <f>LEFT(_xlfn.TEXTBEFORE(Table1[[#This Row],[Location Identifier]],"-"),3) &amp; "-" &amp; _xlfn.TEXTAFTER(Table1[[#This Row],[Location Identifier]],"-")</f>
        <v>FRE-003</v>
      </c>
      <c r="AP1615" s="9">
        <f t="shared" ca="1" si="250"/>
        <v>45869</v>
      </c>
    </row>
    <row r="1616" spans="1:42" x14ac:dyDescent="0.25">
      <c r="A1616">
        <v>47</v>
      </c>
      <c r="B1616" t="s">
        <v>42</v>
      </c>
      <c r="C1616">
        <v>2</v>
      </c>
      <c r="D1616" t="s">
        <v>123</v>
      </c>
      <c r="E1616" t="b">
        <v>1</v>
      </c>
      <c r="F1616" s="1">
        <v>0.61250000000000004</v>
      </c>
      <c r="G1616" s="1">
        <v>0.67222222222222228</v>
      </c>
      <c r="H1616">
        <v>86</v>
      </c>
      <c r="I1616" t="b">
        <v>0</v>
      </c>
      <c r="J1616" t="b">
        <v>1</v>
      </c>
      <c r="K1616" t="b">
        <v>1</v>
      </c>
      <c r="L1616" t="s">
        <v>47</v>
      </c>
      <c r="M1616">
        <v>20</v>
      </c>
      <c r="N1616" t="s">
        <v>78</v>
      </c>
      <c r="O1616">
        <v>18</v>
      </c>
      <c r="P1616" t="s">
        <v>36</v>
      </c>
      <c r="Q1616">
        <v>0</v>
      </c>
      <c r="R1616">
        <v>18</v>
      </c>
      <c r="S1616" t="s">
        <v>44</v>
      </c>
      <c r="T1616" t="s">
        <v>56</v>
      </c>
      <c r="U1616">
        <v>35.3733</v>
      </c>
      <c r="V1616">
        <v>-119.0187</v>
      </c>
      <c r="W1616" s="2">
        <v>45117</v>
      </c>
      <c r="X1616">
        <v>3</v>
      </c>
      <c r="Y1616" t="b">
        <v>0</v>
      </c>
      <c r="Z1616" s="2">
        <v>45820</v>
      </c>
      <c r="AA1616" t="str">
        <f t="shared" si="251"/>
        <v>40–49</v>
      </c>
      <c r="AB1616" t="str">
        <f t="shared" si="252"/>
        <v>40–49</v>
      </c>
      <c r="AC1616" t="str">
        <f t="shared" si="253"/>
        <v>Monday</v>
      </c>
      <c r="AD1616" t="str">
        <f t="shared" si="254"/>
        <v/>
      </c>
      <c r="AE1616" t="str">
        <f t="shared" si="255"/>
        <v/>
      </c>
      <c r="AF1616" t="str">
        <f t="shared" si="256"/>
        <v/>
      </c>
      <c r="AG1616" t="str">
        <f t="shared" si="257"/>
        <v/>
      </c>
      <c r="AH1616" t="str">
        <f t="shared" si="258"/>
        <v>Saturday</v>
      </c>
      <c r="AI1616" t="str">
        <f t="shared" si="259"/>
        <v/>
      </c>
      <c r="AJ1616" t="str">
        <f>LEFT(Table1[[#This Row],[membership_type]],2)&amp;TEXT(Table1[[#This Row],[age]],"00")&amp;"-"&amp;TEXT(ROW(),"000")</f>
        <v>Ba47-1616</v>
      </c>
      <c r="AK1616" t="str">
        <f>LEFT(Table1[[#This Row],[membership_type]],1)&amp;TEXT(MATCH(Table1[[#This Row],[membership_type]],Table1[membership_type],0),"00")</f>
        <v>B04</v>
      </c>
      <c r="AL1616" t="str">
        <f>LEFT(Table1[[#This Row],[discount_type]],1)&amp;TEXT(ROUND(Table1[[#This Row],[discount_rate]]*100,0),"00")</f>
        <v>N00</v>
      </c>
      <c r="AM1616" t="str" cm="1">
        <f t="array" ref="AM1616">TEXT(SUMPRODUCT(CODE(MID(Table1[[#This Row],[home_gym_location]],_xlfn.SEQUENCE(LEN(Table1[[#This Row],[home_gym_location]])),1))),"00000")</f>
        <v>01324</v>
      </c>
      <c r="AN161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16" t="str">
        <f>LEFT(_xlfn.TEXTBEFORE(Table1[[#This Row],[Location Identifier]],"-"),3) &amp; "-" &amp; _xlfn.TEXTAFTER(Table1[[#This Row],[Location Identifier]],"-")</f>
        <v>BAK-002</v>
      </c>
      <c r="AP1616" s="9">
        <f t="shared" ca="1" si="250"/>
        <v>45869</v>
      </c>
    </row>
    <row r="1617" spans="1:42" x14ac:dyDescent="0.25">
      <c r="A1617">
        <v>30</v>
      </c>
      <c r="B1617" t="s">
        <v>51</v>
      </c>
      <c r="C1617">
        <v>3</v>
      </c>
      <c r="D1617" t="s">
        <v>57</v>
      </c>
      <c r="E1617" t="b">
        <v>1</v>
      </c>
      <c r="F1617" s="1">
        <v>0.62152777777777779</v>
      </c>
      <c r="G1617" s="1">
        <v>0.66736111111111107</v>
      </c>
      <c r="H1617">
        <v>66</v>
      </c>
      <c r="I1617" t="b">
        <v>0</v>
      </c>
      <c r="J1617" t="b">
        <v>1</v>
      </c>
      <c r="K1617" t="b">
        <v>1</v>
      </c>
      <c r="L1617" t="s">
        <v>62</v>
      </c>
      <c r="M1617">
        <v>70</v>
      </c>
      <c r="N1617" t="s">
        <v>29</v>
      </c>
      <c r="O1617">
        <v>70</v>
      </c>
      <c r="P1617" t="s">
        <v>36</v>
      </c>
      <c r="Q1617">
        <v>0</v>
      </c>
      <c r="R1617">
        <v>70</v>
      </c>
      <c r="S1617" t="s">
        <v>53</v>
      </c>
      <c r="T1617" t="s">
        <v>54</v>
      </c>
      <c r="U1617">
        <v>32.715699999999998</v>
      </c>
      <c r="V1617">
        <v>-117.1611</v>
      </c>
      <c r="W1617" s="2">
        <v>44772</v>
      </c>
      <c r="X1617">
        <v>2</v>
      </c>
      <c r="Y1617" t="b">
        <v>1</v>
      </c>
      <c r="Z1617" s="2">
        <v>45801</v>
      </c>
      <c r="AA1617" t="str">
        <f t="shared" si="251"/>
        <v>30–39</v>
      </c>
      <c r="AB1617" t="str">
        <f t="shared" si="252"/>
        <v>30–39</v>
      </c>
      <c r="AC1617" t="str">
        <f t="shared" si="253"/>
        <v/>
      </c>
      <c r="AD1617" t="str">
        <f t="shared" si="254"/>
        <v/>
      </c>
      <c r="AE1617" t="str">
        <f t="shared" si="255"/>
        <v>Wednesday</v>
      </c>
      <c r="AF1617" t="str">
        <f t="shared" si="256"/>
        <v>Thursday</v>
      </c>
      <c r="AG1617" t="str">
        <f t="shared" si="257"/>
        <v/>
      </c>
      <c r="AH1617" t="str">
        <f t="shared" si="258"/>
        <v>Saturday</v>
      </c>
      <c r="AI1617" t="str">
        <f t="shared" si="259"/>
        <v/>
      </c>
      <c r="AJ1617" t="str">
        <f>LEFT(Table1[[#This Row],[membership_type]],2)&amp;TEXT(Table1[[#This Row],[age]],"00")&amp;"-"&amp;TEXT(ROW(),"000")</f>
        <v>El30-1617</v>
      </c>
      <c r="AK1617" t="str">
        <f>LEFT(Table1[[#This Row],[membership_type]],1)&amp;TEXT(MATCH(Table1[[#This Row],[membership_type]],Table1[membership_type],0),"00")</f>
        <v>E07</v>
      </c>
      <c r="AL1617" t="str">
        <f>LEFT(Table1[[#This Row],[discount_type]],1)&amp;TEXT(ROUND(Table1[[#This Row],[discount_rate]]*100,0),"00")</f>
        <v>N00</v>
      </c>
      <c r="AM1617" t="str" cm="1">
        <f t="array" ref="AM1617">TEXT(SUMPRODUCT(CODE(MID(Table1[[#This Row],[home_gym_location]],_xlfn.SEQUENCE(LEN(Table1[[#This Row],[home_gym_location]])),1))),"00000")</f>
        <v>01018</v>
      </c>
      <c r="AN161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17" t="str">
        <f>LEFT(_xlfn.TEXTBEFORE(Table1[[#This Row],[Location Identifier]],"-"),3) &amp; "-" &amp; _xlfn.TEXTAFTER(Table1[[#This Row],[Location Identifier]],"-")</f>
        <v>SAN-008</v>
      </c>
      <c r="AP1617" s="9">
        <f t="shared" ca="1" si="250"/>
        <v>45869</v>
      </c>
    </row>
    <row r="1618" spans="1:42" x14ac:dyDescent="0.25">
      <c r="A1618">
        <v>43</v>
      </c>
      <c r="B1618" t="s">
        <v>51</v>
      </c>
      <c r="C1618">
        <v>1</v>
      </c>
      <c r="D1618" t="s">
        <v>75</v>
      </c>
      <c r="E1618" t="b">
        <v>1</v>
      </c>
      <c r="F1618" s="1">
        <v>0.83958333333333335</v>
      </c>
      <c r="G1618" s="1">
        <v>0.9145833333333333</v>
      </c>
      <c r="H1618">
        <v>108</v>
      </c>
      <c r="I1618" t="b">
        <v>0</v>
      </c>
      <c r="J1618" t="b">
        <v>0</v>
      </c>
      <c r="K1618" t="b">
        <v>1</v>
      </c>
      <c r="L1618" t="s">
        <v>47</v>
      </c>
      <c r="M1618">
        <v>70</v>
      </c>
      <c r="N1618" t="s">
        <v>29</v>
      </c>
      <c r="O1618">
        <v>70</v>
      </c>
      <c r="P1618" t="s">
        <v>36</v>
      </c>
      <c r="Q1618">
        <v>0</v>
      </c>
      <c r="R1618">
        <v>70</v>
      </c>
      <c r="S1618" t="s">
        <v>53</v>
      </c>
      <c r="T1618" t="s">
        <v>45</v>
      </c>
      <c r="U1618">
        <v>33.836599999999997</v>
      </c>
      <c r="V1618">
        <v>-117.9143</v>
      </c>
      <c r="W1618" s="2">
        <v>45126</v>
      </c>
      <c r="X1618">
        <v>0</v>
      </c>
      <c r="Y1618" t="b">
        <v>1</v>
      </c>
      <c r="Z1618" s="2">
        <v>45821</v>
      </c>
      <c r="AA1618" t="str">
        <f t="shared" si="251"/>
        <v>40–49</v>
      </c>
      <c r="AB1618" t="str">
        <f t="shared" si="252"/>
        <v>40–49</v>
      </c>
      <c r="AC1618" t="str">
        <f t="shared" si="253"/>
        <v/>
      </c>
      <c r="AD1618" t="str">
        <f t="shared" si="254"/>
        <v/>
      </c>
      <c r="AE1618" t="str">
        <f t="shared" si="255"/>
        <v/>
      </c>
      <c r="AF1618" t="str">
        <f t="shared" si="256"/>
        <v/>
      </c>
      <c r="AG1618" t="str">
        <f t="shared" si="257"/>
        <v>Friday</v>
      </c>
      <c r="AH1618" t="str">
        <f t="shared" si="258"/>
        <v/>
      </c>
      <c r="AI1618" t="str">
        <f t="shared" si="259"/>
        <v/>
      </c>
      <c r="AJ1618" t="str">
        <f>LEFT(Table1[[#This Row],[membership_type]],2)&amp;TEXT(Table1[[#This Row],[age]],"00")&amp;"-"&amp;TEXT(ROW(),"000")</f>
        <v>El43-1618</v>
      </c>
      <c r="AK1618" t="str">
        <f>LEFT(Table1[[#This Row],[membership_type]],1)&amp;TEXT(MATCH(Table1[[#This Row],[membership_type]],Table1[membership_type],0),"00")</f>
        <v>E07</v>
      </c>
      <c r="AL1618" t="str">
        <f>LEFT(Table1[[#This Row],[discount_type]],1)&amp;TEXT(ROUND(Table1[[#This Row],[discount_rate]]*100,0),"00")</f>
        <v>N00</v>
      </c>
      <c r="AM1618" t="str" cm="1">
        <f t="array" ref="AM1618">TEXT(SUMPRODUCT(CODE(MID(Table1[[#This Row],[home_gym_location]],_xlfn.SEQUENCE(LEN(Table1[[#This Row],[home_gym_location]])),1))),"00000")</f>
        <v>00899</v>
      </c>
      <c r="AN161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18" t="str">
        <f>LEFT(_xlfn.TEXTBEFORE(Table1[[#This Row],[Location Identifier]],"-"),3) &amp; "-" &amp; _xlfn.TEXTAFTER(Table1[[#This Row],[Location Identifier]],"-")</f>
        <v>ANA-001</v>
      </c>
      <c r="AP1618" s="9">
        <f t="shared" ca="1" si="250"/>
        <v>45869</v>
      </c>
    </row>
    <row r="1619" spans="1:42" x14ac:dyDescent="0.25">
      <c r="A1619">
        <v>41</v>
      </c>
      <c r="B1619" t="s">
        <v>42</v>
      </c>
      <c r="C1619">
        <v>4</v>
      </c>
      <c r="D1619" t="s">
        <v>162</v>
      </c>
      <c r="E1619" t="b">
        <v>1</v>
      </c>
      <c r="F1619" s="1">
        <v>0.42291666666666666</v>
      </c>
      <c r="G1619" s="1">
        <v>0.45624999999999999</v>
      </c>
      <c r="H1619">
        <v>48</v>
      </c>
      <c r="I1619" t="b">
        <v>1</v>
      </c>
      <c r="J1619" t="b">
        <v>0</v>
      </c>
      <c r="K1619" t="b">
        <v>0</v>
      </c>
      <c r="L1619" t="s">
        <v>62</v>
      </c>
      <c r="M1619">
        <v>20</v>
      </c>
      <c r="N1619" t="s">
        <v>29</v>
      </c>
      <c r="O1619">
        <v>20</v>
      </c>
      <c r="P1619" t="s">
        <v>30</v>
      </c>
      <c r="Q1619">
        <v>0.05</v>
      </c>
      <c r="R1619">
        <v>19</v>
      </c>
      <c r="S1619" t="s">
        <v>44</v>
      </c>
      <c r="T1619" t="s">
        <v>45</v>
      </c>
      <c r="U1619">
        <v>33.836599999999997</v>
      </c>
      <c r="V1619">
        <v>-117.9143</v>
      </c>
      <c r="W1619" s="2">
        <v>45236</v>
      </c>
      <c r="X1619">
        <v>0</v>
      </c>
      <c r="Y1619" t="b">
        <v>1</v>
      </c>
      <c r="Z1619" s="2">
        <v>45827</v>
      </c>
      <c r="AA1619" t="str">
        <f t="shared" si="251"/>
        <v>40–49</v>
      </c>
      <c r="AB1619" t="str">
        <f t="shared" si="252"/>
        <v>40–49</v>
      </c>
      <c r="AC1619" t="str">
        <f t="shared" si="253"/>
        <v>Monday</v>
      </c>
      <c r="AD1619" t="str">
        <f t="shared" si="254"/>
        <v>Tuesday</v>
      </c>
      <c r="AE1619" t="str">
        <f t="shared" si="255"/>
        <v>Wednesday</v>
      </c>
      <c r="AF1619" t="str">
        <f t="shared" si="256"/>
        <v/>
      </c>
      <c r="AG1619" t="str">
        <f t="shared" si="257"/>
        <v/>
      </c>
      <c r="AH1619" t="str">
        <f t="shared" si="258"/>
        <v/>
      </c>
      <c r="AI1619" t="str">
        <f t="shared" si="259"/>
        <v>Sunday</v>
      </c>
      <c r="AJ1619" t="str">
        <f>LEFT(Table1[[#This Row],[membership_type]],2)&amp;TEXT(Table1[[#This Row],[age]],"00")&amp;"-"&amp;TEXT(ROW(),"000")</f>
        <v>Ba41-1619</v>
      </c>
      <c r="AK1619" t="str">
        <f>LEFT(Table1[[#This Row],[membership_type]],1)&amp;TEXT(MATCH(Table1[[#This Row],[membership_type]],Table1[membership_type],0),"00")</f>
        <v>B04</v>
      </c>
      <c r="AL1619" t="str">
        <f>LEFT(Table1[[#This Row],[discount_type]],1)&amp;TEXT(ROUND(Table1[[#This Row],[discount_rate]]*100,0),"00")</f>
        <v>P05</v>
      </c>
      <c r="AM1619" t="str" cm="1">
        <f t="array" ref="AM1619">TEXT(SUMPRODUCT(CODE(MID(Table1[[#This Row],[home_gym_location]],_xlfn.SEQUENCE(LEN(Table1[[#This Row],[home_gym_location]])),1))),"00000")</f>
        <v>00899</v>
      </c>
      <c r="AN161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19" t="str">
        <f>LEFT(_xlfn.TEXTBEFORE(Table1[[#This Row],[Location Identifier]],"-"),3) &amp; "-" &amp; _xlfn.TEXTAFTER(Table1[[#This Row],[Location Identifier]],"-")</f>
        <v>ANA-001</v>
      </c>
      <c r="AP1619" s="9">
        <f t="shared" ca="1" si="250"/>
        <v>45869</v>
      </c>
    </row>
    <row r="1620" spans="1:42" x14ac:dyDescent="0.25">
      <c r="A1620">
        <v>43</v>
      </c>
      <c r="B1620" t="s">
        <v>26</v>
      </c>
      <c r="C1620">
        <v>5</v>
      </c>
      <c r="D1620" t="s">
        <v>118</v>
      </c>
      <c r="E1620" t="b">
        <v>0</v>
      </c>
      <c r="F1620" s="1">
        <v>0.74444444444444446</v>
      </c>
      <c r="G1620" s="1">
        <v>0.86944444444444446</v>
      </c>
      <c r="H1620">
        <v>180</v>
      </c>
      <c r="I1620" t="b">
        <v>0</v>
      </c>
      <c r="J1620" t="b">
        <v>1</v>
      </c>
      <c r="K1620" t="b">
        <v>0</v>
      </c>
      <c r="L1620" t="s">
        <v>28</v>
      </c>
      <c r="M1620">
        <v>50</v>
      </c>
      <c r="N1620" t="s">
        <v>64</v>
      </c>
      <c r="O1620">
        <v>37.5</v>
      </c>
      <c r="P1620" t="s">
        <v>36</v>
      </c>
      <c r="Q1620">
        <v>0</v>
      </c>
      <c r="R1620">
        <v>37.5</v>
      </c>
      <c r="S1620" t="s">
        <v>31</v>
      </c>
      <c r="T1620" t="s">
        <v>59</v>
      </c>
      <c r="U1620">
        <v>37.774900000000002</v>
      </c>
      <c r="V1620">
        <v>-122.4194</v>
      </c>
      <c r="W1620" s="2">
        <v>45052</v>
      </c>
      <c r="X1620">
        <v>3</v>
      </c>
      <c r="Y1620" t="b">
        <v>1</v>
      </c>
      <c r="Z1620" s="2">
        <v>45817</v>
      </c>
      <c r="AA1620" t="str">
        <f t="shared" si="251"/>
        <v>40–49</v>
      </c>
      <c r="AB1620" t="str">
        <f t="shared" si="252"/>
        <v>40–49</v>
      </c>
      <c r="AC1620" t="str">
        <f t="shared" si="253"/>
        <v>Monday</v>
      </c>
      <c r="AD1620" t="str">
        <f t="shared" si="254"/>
        <v/>
      </c>
      <c r="AE1620" t="str">
        <f t="shared" si="255"/>
        <v>Wednesday</v>
      </c>
      <c r="AF1620" t="str">
        <f t="shared" si="256"/>
        <v>Thursday</v>
      </c>
      <c r="AG1620" t="str">
        <f t="shared" si="257"/>
        <v>Friday</v>
      </c>
      <c r="AH1620" t="str">
        <f t="shared" si="258"/>
        <v>Saturday</v>
      </c>
      <c r="AI1620" t="str">
        <f t="shared" si="259"/>
        <v/>
      </c>
      <c r="AJ1620" t="str">
        <f>LEFT(Table1[[#This Row],[membership_type]],2)&amp;TEXT(Table1[[#This Row],[age]],"00")&amp;"-"&amp;TEXT(ROW(),"000")</f>
        <v>Pr43-1620</v>
      </c>
      <c r="AK1620" t="str">
        <f>LEFT(Table1[[#This Row],[membership_type]],1)&amp;TEXT(MATCH(Table1[[#This Row],[membership_type]],Table1[membership_type],0),"00")</f>
        <v>P01</v>
      </c>
      <c r="AL1620" t="str">
        <f>LEFT(Table1[[#This Row],[discount_type]],1)&amp;TEXT(ROUND(Table1[[#This Row],[discount_rate]]*100,0),"00")</f>
        <v>N00</v>
      </c>
      <c r="AM1620" t="str" cm="1">
        <f t="array" ref="AM1620">TEXT(SUMPRODUCT(CODE(MID(Table1[[#This Row],[home_gym_location]],_xlfn.SEQUENCE(LEN(Table1[[#This Row],[home_gym_location]])),1))),"00000")</f>
        <v>01450</v>
      </c>
      <c r="AN162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20" t="str">
        <f>LEFT(_xlfn.TEXTBEFORE(Table1[[#This Row],[Location Identifier]],"-"),3) &amp; "-" &amp; _xlfn.TEXTAFTER(Table1[[#This Row],[Location Identifier]],"-")</f>
        <v>SAN-009</v>
      </c>
      <c r="AP1620" s="9">
        <f t="shared" ca="1" si="250"/>
        <v>45869</v>
      </c>
    </row>
    <row r="1621" spans="1:42" x14ac:dyDescent="0.25">
      <c r="A1621">
        <v>15</v>
      </c>
      <c r="B1621" t="s">
        <v>33</v>
      </c>
      <c r="C1621">
        <v>3</v>
      </c>
      <c r="D1621" t="s">
        <v>55</v>
      </c>
      <c r="E1621" t="b">
        <v>0</v>
      </c>
      <c r="F1621" s="1">
        <v>0.60624999999999996</v>
      </c>
      <c r="G1621" s="1">
        <v>0.7</v>
      </c>
      <c r="H1621">
        <v>135</v>
      </c>
      <c r="I1621" t="b">
        <v>0</v>
      </c>
      <c r="J1621" t="b">
        <v>0</v>
      </c>
      <c r="K1621" t="b">
        <v>1</v>
      </c>
      <c r="L1621" t="s">
        <v>28</v>
      </c>
      <c r="M1621">
        <v>30</v>
      </c>
      <c r="N1621" t="s">
        <v>29</v>
      </c>
      <c r="O1621">
        <v>30</v>
      </c>
      <c r="P1621" t="s">
        <v>40</v>
      </c>
      <c r="Q1621">
        <v>0.1</v>
      </c>
      <c r="R1621">
        <v>27</v>
      </c>
      <c r="S1621" t="s">
        <v>37</v>
      </c>
      <c r="T1621" t="s">
        <v>32</v>
      </c>
      <c r="U1621">
        <v>37.338200000000001</v>
      </c>
      <c r="V1621">
        <v>-121.88630000000001</v>
      </c>
      <c r="W1621" s="2">
        <v>45335</v>
      </c>
      <c r="X1621">
        <v>0</v>
      </c>
      <c r="Y1621" t="b">
        <v>0</v>
      </c>
      <c r="Z1621" s="2">
        <v>45833</v>
      </c>
      <c r="AA1621" t="str">
        <f t="shared" si="251"/>
        <v>10–19</v>
      </c>
      <c r="AB1621" t="str">
        <f t="shared" si="252"/>
        <v>Under 16</v>
      </c>
      <c r="AC1621" t="str">
        <f t="shared" si="253"/>
        <v/>
      </c>
      <c r="AD1621" t="str">
        <f t="shared" si="254"/>
        <v/>
      </c>
      <c r="AE1621" t="str">
        <f t="shared" si="255"/>
        <v/>
      </c>
      <c r="AF1621" t="str">
        <f t="shared" si="256"/>
        <v>Thursday</v>
      </c>
      <c r="AG1621" t="str">
        <f t="shared" si="257"/>
        <v>Friday</v>
      </c>
      <c r="AH1621" t="str">
        <f t="shared" si="258"/>
        <v/>
      </c>
      <c r="AI1621" t="str">
        <f t="shared" si="259"/>
        <v>Sunday</v>
      </c>
      <c r="AJ1621" t="str">
        <f>LEFT(Table1[[#This Row],[membership_type]],2)&amp;TEXT(Table1[[#This Row],[age]],"00")&amp;"-"&amp;TEXT(ROW(),"000")</f>
        <v>St15-1621</v>
      </c>
      <c r="AK1621" t="str">
        <f>LEFT(Table1[[#This Row],[membership_type]],1)&amp;TEXT(MATCH(Table1[[#This Row],[membership_type]],Table1[membership_type],0),"00")</f>
        <v>S02</v>
      </c>
      <c r="AL1621" t="str">
        <f>LEFT(Table1[[#This Row],[discount_type]],1)&amp;TEXT(ROUND(Table1[[#This Row],[discount_rate]]*100,0),"00")</f>
        <v>L10</v>
      </c>
      <c r="AM1621" t="str" cm="1">
        <f t="array" ref="AM1621">TEXT(SUMPRODUCT(CODE(MID(Table1[[#This Row],[home_gym_location]],_xlfn.SEQUENCE(LEN(Table1[[#This Row],[home_gym_location]])),1))),"00000")</f>
        <v>00931</v>
      </c>
      <c r="AN162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21" t="str">
        <f>LEFT(_xlfn.TEXTBEFORE(Table1[[#This Row],[Location Identifier]],"-"),3) &amp; "-" &amp; _xlfn.TEXTAFTER(Table1[[#This Row],[Location Identifier]],"-")</f>
        <v>SAN-010</v>
      </c>
      <c r="AP1621" s="9">
        <f t="shared" ca="1" si="250"/>
        <v>45869</v>
      </c>
    </row>
    <row r="1622" spans="1:42" x14ac:dyDescent="0.25">
      <c r="A1622">
        <v>47</v>
      </c>
      <c r="B1622" t="s">
        <v>42</v>
      </c>
      <c r="C1622">
        <v>2</v>
      </c>
      <c r="D1622" t="s">
        <v>123</v>
      </c>
      <c r="E1622" t="b">
        <v>1</v>
      </c>
      <c r="F1622" s="1">
        <v>0.61250000000000004</v>
      </c>
      <c r="G1622" s="1">
        <v>0.67222222222222228</v>
      </c>
      <c r="H1622">
        <v>86</v>
      </c>
      <c r="I1622" t="b">
        <v>0</v>
      </c>
      <c r="J1622" t="b">
        <v>1</v>
      </c>
      <c r="K1622" t="b">
        <v>1</v>
      </c>
      <c r="L1622" t="s">
        <v>47</v>
      </c>
      <c r="M1622">
        <v>20</v>
      </c>
      <c r="N1622" t="s">
        <v>78</v>
      </c>
      <c r="O1622">
        <v>18</v>
      </c>
      <c r="P1622" t="s">
        <v>36</v>
      </c>
      <c r="Q1622">
        <v>0</v>
      </c>
      <c r="R1622">
        <v>18</v>
      </c>
      <c r="S1622" t="s">
        <v>44</v>
      </c>
      <c r="T1622" t="s">
        <v>56</v>
      </c>
      <c r="U1622">
        <v>35.3733</v>
      </c>
      <c r="V1622">
        <v>-119.0187</v>
      </c>
      <c r="W1622" s="2">
        <v>45766</v>
      </c>
      <c r="X1622">
        <v>2</v>
      </c>
      <c r="Y1622" t="b">
        <v>0</v>
      </c>
      <c r="Z1622" s="2">
        <v>45857</v>
      </c>
      <c r="AA1622" t="str">
        <f t="shared" si="251"/>
        <v>40–49</v>
      </c>
      <c r="AB1622" t="str">
        <f t="shared" si="252"/>
        <v>40–49</v>
      </c>
      <c r="AC1622" t="str">
        <f t="shared" si="253"/>
        <v>Monday</v>
      </c>
      <c r="AD1622" t="str">
        <f t="shared" si="254"/>
        <v/>
      </c>
      <c r="AE1622" t="str">
        <f t="shared" si="255"/>
        <v/>
      </c>
      <c r="AF1622" t="str">
        <f t="shared" si="256"/>
        <v/>
      </c>
      <c r="AG1622" t="str">
        <f t="shared" si="257"/>
        <v/>
      </c>
      <c r="AH1622" t="str">
        <f t="shared" si="258"/>
        <v>Saturday</v>
      </c>
      <c r="AI1622" t="str">
        <f t="shared" si="259"/>
        <v/>
      </c>
      <c r="AJ1622" t="str">
        <f>LEFT(Table1[[#This Row],[membership_type]],2)&amp;TEXT(Table1[[#This Row],[age]],"00")&amp;"-"&amp;TEXT(ROW(),"000")</f>
        <v>Ba47-1622</v>
      </c>
      <c r="AK1622" t="str">
        <f>LEFT(Table1[[#This Row],[membership_type]],1)&amp;TEXT(MATCH(Table1[[#This Row],[membership_type]],Table1[membership_type],0),"00")</f>
        <v>B04</v>
      </c>
      <c r="AL1622" t="str">
        <f>LEFT(Table1[[#This Row],[discount_type]],1)&amp;TEXT(ROUND(Table1[[#This Row],[discount_rate]]*100,0),"00")</f>
        <v>N00</v>
      </c>
      <c r="AM1622" t="str" cm="1">
        <f t="array" ref="AM1622">TEXT(SUMPRODUCT(CODE(MID(Table1[[#This Row],[home_gym_location]],_xlfn.SEQUENCE(LEN(Table1[[#This Row],[home_gym_location]])),1))),"00000")</f>
        <v>01324</v>
      </c>
      <c r="AN162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22" t="str">
        <f>LEFT(_xlfn.TEXTBEFORE(Table1[[#This Row],[Location Identifier]],"-"),3) &amp; "-" &amp; _xlfn.TEXTAFTER(Table1[[#This Row],[Location Identifier]],"-")</f>
        <v>BAK-002</v>
      </c>
      <c r="AP1622" s="9">
        <f t="shared" ca="1" si="250"/>
        <v>45869</v>
      </c>
    </row>
    <row r="1623" spans="1:42" x14ac:dyDescent="0.25">
      <c r="A1623">
        <v>18</v>
      </c>
      <c r="B1623" t="s">
        <v>33</v>
      </c>
      <c r="C1623">
        <v>2</v>
      </c>
      <c r="D1623" t="s">
        <v>108</v>
      </c>
      <c r="E1623" t="b">
        <v>0</v>
      </c>
      <c r="F1623" s="1">
        <v>0.69513888888888886</v>
      </c>
      <c r="G1623" s="1">
        <v>0.79166666666666663</v>
      </c>
      <c r="H1623">
        <v>139</v>
      </c>
      <c r="I1623" t="b">
        <v>1</v>
      </c>
      <c r="J1623" t="b">
        <v>0</v>
      </c>
      <c r="K1623" t="b">
        <v>0</v>
      </c>
      <c r="L1623" t="s">
        <v>62</v>
      </c>
      <c r="M1623">
        <v>30</v>
      </c>
      <c r="N1623" t="s">
        <v>64</v>
      </c>
      <c r="O1623">
        <v>22.5</v>
      </c>
      <c r="P1623" t="s">
        <v>36</v>
      </c>
      <c r="Q1623">
        <v>0</v>
      </c>
      <c r="R1623">
        <v>22.5</v>
      </c>
      <c r="S1623" t="s">
        <v>37</v>
      </c>
      <c r="T1623" t="s">
        <v>56</v>
      </c>
      <c r="U1623">
        <v>35.3733</v>
      </c>
      <c r="V1623">
        <v>-119.0187</v>
      </c>
      <c r="W1623" s="2">
        <v>45232</v>
      </c>
      <c r="X1623">
        <v>0</v>
      </c>
      <c r="Y1623" t="b">
        <v>0</v>
      </c>
      <c r="Z1623" s="2">
        <v>45827</v>
      </c>
      <c r="AA1623" t="str">
        <f t="shared" si="251"/>
        <v>10–19</v>
      </c>
      <c r="AB1623" t="str">
        <f t="shared" si="252"/>
        <v>16–19</v>
      </c>
      <c r="AC1623" t="str">
        <f t="shared" si="253"/>
        <v/>
      </c>
      <c r="AD1623" t="str">
        <f t="shared" si="254"/>
        <v>Tuesday</v>
      </c>
      <c r="AE1623" t="str">
        <f t="shared" si="255"/>
        <v/>
      </c>
      <c r="AF1623" t="str">
        <f t="shared" si="256"/>
        <v>Thursday</v>
      </c>
      <c r="AG1623" t="str">
        <f t="shared" si="257"/>
        <v/>
      </c>
      <c r="AH1623" t="str">
        <f t="shared" si="258"/>
        <v/>
      </c>
      <c r="AI1623" t="str">
        <f t="shared" si="259"/>
        <v/>
      </c>
      <c r="AJ1623" t="str">
        <f>LEFT(Table1[[#This Row],[membership_type]],2)&amp;TEXT(Table1[[#This Row],[age]],"00")&amp;"-"&amp;TEXT(ROW(),"000")</f>
        <v>St18-1623</v>
      </c>
      <c r="AK1623" t="str">
        <f>LEFT(Table1[[#This Row],[membership_type]],1)&amp;TEXT(MATCH(Table1[[#This Row],[membership_type]],Table1[membership_type],0),"00")</f>
        <v>S02</v>
      </c>
      <c r="AL1623" t="str">
        <f>LEFT(Table1[[#This Row],[discount_type]],1)&amp;TEXT(ROUND(Table1[[#This Row],[discount_rate]]*100,0),"00")</f>
        <v>N00</v>
      </c>
      <c r="AM1623" t="str" cm="1">
        <f t="array" ref="AM1623">TEXT(SUMPRODUCT(CODE(MID(Table1[[#This Row],[home_gym_location]],_xlfn.SEQUENCE(LEN(Table1[[#This Row],[home_gym_location]])),1))),"00000")</f>
        <v>01324</v>
      </c>
      <c r="AN162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23" t="str">
        <f>LEFT(_xlfn.TEXTBEFORE(Table1[[#This Row],[Location Identifier]],"-"),3) &amp; "-" &amp; _xlfn.TEXTAFTER(Table1[[#This Row],[Location Identifier]],"-")</f>
        <v>BAK-002</v>
      </c>
      <c r="AP1623" s="9">
        <f t="shared" ca="1" si="250"/>
        <v>45869</v>
      </c>
    </row>
    <row r="1624" spans="1:42" x14ac:dyDescent="0.25">
      <c r="A1624">
        <v>25</v>
      </c>
      <c r="B1624" t="s">
        <v>51</v>
      </c>
      <c r="C1624">
        <v>4</v>
      </c>
      <c r="D1624" t="s">
        <v>151</v>
      </c>
      <c r="E1624" t="b">
        <v>1</v>
      </c>
      <c r="F1624" s="1">
        <v>0.3923611111111111</v>
      </c>
      <c r="G1624" s="1">
        <v>0.44166666666666665</v>
      </c>
      <c r="H1624">
        <v>71</v>
      </c>
      <c r="I1624" t="b">
        <v>0</v>
      </c>
      <c r="J1624" t="b">
        <v>0</v>
      </c>
      <c r="K1624" t="b">
        <v>1</v>
      </c>
      <c r="L1624" t="s">
        <v>28</v>
      </c>
      <c r="M1624">
        <v>70</v>
      </c>
      <c r="N1624" t="s">
        <v>78</v>
      </c>
      <c r="O1624">
        <v>63</v>
      </c>
      <c r="P1624" t="s">
        <v>36</v>
      </c>
      <c r="Q1624">
        <v>0</v>
      </c>
      <c r="R1624">
        <v>63</v>
      </c>
      <c r="S1624" t="s">
        <v>53</v>
      </c>
      <c r="T1624" t="s">
        <v>59</v>
      </c>
      <c r="U1624">
        <v>37.774900000000002</v>
      </c>
      <c r="V1624">
        <v>-122.4194</v>
      </c>
      <c r="W1624" s="2">
        <v>44811</v>
      </c>
      <c r="X1624">
        <v>0</v>
      </c>
      <c r="Y1624" t="b">
        <v>1</v>
      </c>
      <c r="Z1624" s="2">
        <v>45803</v>
      </c>
      <c r="AA1624" t="str">
        <f t="shared" si="251"/>
        <v>20–29</v>
      </c>
      <c r="AB1624" t="str">
        <f t="shared" si="252"/>
        <v>20–29</v>
      </c>
      <c r="AC1624" t="str">
        <f t="shared" si="253"/>
        <v/>
      </c>
      <c r="AD1624" t="str">
        <f t="shared" si="254"/>
        <v>Tuesday</v>
      </c>
      <c r="AE1624" t="str">
        <f t="shared" si="255"/>
        <v>Wednesday</v>
      </c>
      <c r="AF1624" t="str">
        <f t="shared" si="256"/>
        <v>Thursday</v>
      </c>
      <c r="AG1624" t="str">
        <f t="shared" si="257"/>
        <v>Friday</v>
      </c>
      <c r="AH1624" t="str">
        <f t="shared" si="258"/>
        <v/>
      </c>
      <c r="AI1624" t="str">
        <f t="shared" si="259"/>
        <v/>
      </c>
      <c r="AJ1624" t="str">
        <f>LEFT(Table1[[#This Row],[membership_type]],2)&amp;TEXT(Table1[[#This Row],[age]],"00")&amp;"-"&amp;TEXT(ROW(),"000")</f>
        <v>El25-1624</v>
      </c>
      <c r="AK1624" t="str">
        <f>LEFT(Table1[[#This Row],[membership_type]],1)&amp;TEXT(MATCH(Table1[[#This Row],[membership_type]],Table1[membership_type],0),"00")</f>
        <v>E07</v>
      </c>
      <c r="AL1624" t="str">
        <f>LEFT(Table1[[#This Row],[discount_type]],1)&amp;TEXT(ROUND(Table1[[#This Row],[discount_rate]]*100,0),"00")</f>
        <v>N00</v>
      </c>
      <c r="AM1624" t="str" cm="1">
        <f t="array" ref="AM1624">TEXT(SUMPRODUCT(CODE(MID(Table1[[#This Row],[home_gym_location]],_xlfn.SEQUENCE(LEN(Table1[[#This Row],[home_gym_location]])),1))),"00000")</f>
        <v>01450</v>
      </c>
      <c r="AN162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24" t="str">
        <f>LEFT(_xlfn.TEXTBEFORE(Table1[[#This Row],[Location Identifier]],"-"),3) &amp; "-" &amp; _xlfn.TEXTAFTER(Table1[[#This Row],[Location Identifier]],"-")</f>
        <v>SAN-009</v>
      </c>
      <c r="AP1624" s="9">
        <f t="shared" ca="1" si="250"/>
        <v>45869</v>
      </c>
    </row>
    <row r="1625" spans="1:42" x14ac:dyDescent="0.25">
      <c r="A1625">
        <v>45</v>
      </c>
      <c r="B1625" t="s">
        <v>42</v>
      </c>
      <c r="C1625">
        <v>2</v>
      </c>
      <c r="D1625" t="s">
        <v>141</v>
      </c>
      <c r="E1625" t="b">
        <v>1</v>
      </c>
      <c r="F1625" s="1">
        <v>0.7680555555555556</v>
      </c>
      <c r="G1625" s="1">
        <v>0.88958333333333328</v>
      </c>
      <c r="H1625">
        <v>175</v>
      </c>
      <c r="I1625" t="b">
        <v>1</v>
      </c>
      <c r="J1625" t="b">
        <v>1</v>
      </c>
      <c r="K1625" t="b">
        <v>0</v>
      </c>
      <c r="L1625" t="s">
        <v>28</v>
      </c>
      <c r="M1625">
        <v>20</v>
      </c>
      <c r="N1625" t="s">
        <v>64</v>
      </c>
      <c r="O1625">
        <v>15</v>
      </c>
      <c r="P1625" t="s">
        <v>74</v>
      </c>
      <c r="Q1625">
        <v>0.15</v>
      </c>
      <c r="R1625">
        <v>12.75</v>
      </c>
      <c r="S1625" t="s">
        <v>44</v>
      </c>
      <c r="T1625" t="s">
        <v>59</v>
      </c>
      <c r="U1625">
        <v>37.774900000000002</v>
      </c>
      <c r="V1625">
        <v>-122.4194</v>
      </c>
      <c r="W1625" s="2">
        <v>45644</v>
      </c>
      <c r="X1625">
        <v>6</v>
      </c>
      <c r="Y1625" t="b">
        <v>1</v>
      </c>
      <c r="Z1625" s="2">
        <v>45850</v>
      </c>
      <c r="AA1625" t="str">
        <f t="shared" si="251"/>
        <v>40–49</v>
      </c>
      <c r="AB1625" t="str">
        <f t="shared" si="252"/>
        <v>40–49</v>
      </c>
      <c r="AC1625" t="str">
        <f t="shared" si="253"/>
        <v/>
      </c>
      <c r="AD1625" t="str">
        <f t="shared" si="254"/>
        <v/>
      </c>
      <c r="AE1625" t="str">
        <f t="shared" si="255"/>
        <v>Wednesday</v>
      </c>
      <c r="AF1625" t="str">
        <f t="shared" si="256"/>
        <v/>
      </c>
      <c r="AG1625" t="str">
        <f t="shared" si="257"/>
        <v>Friday</v>
      </c>
      <c r="AH1625" t="str">
        <f t="shared" si="258"/>
        <v/>
      </c>
      <c r="AI1625" t="str">
        <f t="shared" si="259"/>
        <v/>
      </c>
      <c r="AJ1625" t="str">
        <f>LEFT(Table1[[#This Row],[membership_type]],2)&amp;TEXT(Table1[[#This Row],[age]],"00")&amp;"-"&amp;TEXT(ROW(),"000")</f>
        <v>Ba45-1625</v>
      </c>
      <c r="AK1625" t="str">
        <f>LEFT(Table1[[#This Row],[membership_type]],1)&amp;TEXT(MATCH(Table1[[#This Row],[membership_type]],Table1[membership_type],0),"00")</f>
        <v>B04</v>
      </c>
      <c r="AL1625" t="str">
        <f>LEFT(Table1[[#This Row],[discount_type]],1)&amp;TEXT(ROUND(Table1[[#This Row],[discount_rate]]*100,0),"00")</f>
        <v>S15</v>
      </c>
      <c r="AM1625" t="str" cm="1">
        <f t="array" ref="AM1625">TEXT(SUMPRODUCT(CODE(MID(Table1[[#This Row],[home_gym_location]],_xlfn.SEQUENCE(LEN(Table1[[#This Row],[home_gym_location]])),1))),"00000")</f>
        <v>01450</v>
      </c>
      <c r="AN162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25" t="str">
        <f>LEFT(_xlfn.TEXTBEFORE(Table1[[#This Row],[Location Identifier]],"-"),3) &amp; "-" &amp; _xlfn.TEXTAFTER(Table1[[#This Row],[Location Identifier]],"-")</f>
        <v>SAN-009</v>
      </c>
      <c r="AP1625" s="9">
        <f t="shared" ca="1" si="250"/>
        <v>45869</v>
      </c>
    </row>
    <row r="1626" spans="1:42" x14ac:dyDescent="0.25">
      <c r="A1626">
        <v>41</v>
      </c>
      <c r="B1626" t="s">
        <v>42</v>
      </c>
      <c r="C1626">
        <v>2</v>
      </c>
      <c r="D1626" t="s">
        <v>84</v>
      </c>
      <c r="E1626" t="b">
        <v>1</v>
      </c>
      <c r="F1626" s="1">
        <v>0.58750000000000002</v>
      </c>
      <c r="G1626" s="1">
        <v>0.67083333333333328</v>
      </c>
      <c r="H1626">
        <v>120</v>
      </c>
      <c r="I1626" t="b">
        <v>1</v>
      </c>
      <c r="J1626" t="b">
        <v>1</v>
      </c>
      <c r="K1626" t="b">
        <v>1</v>
      </c>
      <c r="L1626" t="s">
        <v>47</v>
      </c>
      <c r="M1626">
        <v>20</v>
      </c>
      <c r="N1626" t="s">
        <v>29</v>
      </c>
      <c r="O1626">
        <v>20</v>
      </c>
      <c r="P1626" t="s">
        <v>74</v>
      </c>
      <c r="Q1626">
        <v>0.15</v>
      </c>
      <c r="R1626">
        <v>17</v>
      </c>
      <c r="S1626" t="s">
        <v>44</v>
      </c>
      <c r="T1626" t="s">
        <v>45</v>
      </c>
      <c r="U1626">
        <v>33.836599999999997</v>
      </c>
      <c r="V1626">
        <v>-117.9143</v>
      </c>
      <c r="W1626" s="2">
        <v>45096</v>
      </c>
      <c r="X1626">
        <v>3</v>
      </c>
      <c r="Y1626" t="b">
        <v>1</v>
      </c>
      <c r="Z1626" s="2">
        <v>45819</v>
      </c>
      <c r="AA1626" t="str">
        <f t="shared" si="251"/>
        <v>40–49</v>
      </c>
      <c r="AB1626" t="str">
        <f t="shared" si="252"/>
        <v>40–49</v>
      </c>
      <c r="AC1626" t="str">
        <f t="shared" si="253"/>
        <v/>
      </c>
      <c r="AD1626" t="str">
        <f t="shared" si="254"/>
        <v>Tuesday</v>
      </c>
      <c r="AE1626" t="str">
        <f t="shared" si="255"/>
        <v/>
      </c>
      <c r="AF1626" t="str">
        <f t="shared" si="256"/>
        <v/>
      </c>
      <c r="AG1626" t="str">
        <f t="shared" si="257"/>
        <v/>
      </c>
      <c r="AH1626" t="str">
        <f t="shared" si="258"/>
        <v/>
      </c>
      <c r="AI1626" t="str">
        <f t="shared" si="259"/>
        <v>Sunday</v>
      </c>
      <c r="AJ1626" t="str">
        <f>LEFT(Table1[[#This Row],[membership_type]],2)&amp;TEXT(Table1[[#This Row],[age]],"00")&amp;"-"&amp;TEXT(ROW(),"000")</f>
        <v>Ba41-1626</v>
      </c>
      <c r="AK1626" t="str">
        <f>LEFT(Table1[[#This Row],[membership_type]],1)&amp;TEXT(MATCH(Table1[[#This Row],[membership_type]],Table1[membership_type],0),"00")</f>
        <v>B04</v>
      </c>
      <c r="AL1626" t="str">
        <f>LEFT(Table1[[#This Row],[discount_type]],1)&amp;TEXT(ROUND(Table1[[#This Row],[discount_rate]]*100,0),"00")</f>
        <v>S15</v>
      </c>
      <c r="AM1626" t="str" cm="1">
        <f t="array" ref="AM1626">TEXT(SUMPRODUCT(CODE(MID(Table1[[#This Row],[home_gym_location]],_xlfn.SEQUENCE(LEN(Table1[[#This Row],[home_gym_location]])),1))),"00000")</f>
        <v>00899</v>
      </c>
      <c r="AN162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26" t="str">
        <f>LEFT(_xlfn.TEXTBEFORE(Table1[[#This Row],[Location Identifier]],"-"),3) &amp; "-" &amp; _xlfn.TEXTAFTER(Table1[[#This Row],[Location Identifier]],"-")</f>
        <v>ANA-001</v>
      </c>
      <c r="AP1626" s="9">
        <f t="shared" ca="1" si="250"/>
        <v>45869</v>
      </c>
    </row>
    <row r="1627" spans="1:42" x14ac:dyDescent="0.25">
      <c r="A1627">
        <v>33</v>
      </c>
      <c r="B1627" t="s">
        <v>51</v>
      </c>
      <c r="C1627">
        <v>3</v>
      </c>
      <c r="D1627" t="s">
        <v>91</v>
      </c>
      <c r="E1627" t="b">
        <v>0</v>
      </c>
      <c r="F1627" s="1">
        <v>0.8125</v>
      </c>
      <c r="G1627" s="1">
        <v>0.91597222222222219</v>
      </c>
      <c r="H1627">
        <v>149</v>
      </c>
      <c r="I1627" t="b">
        <v>1</v>
      </c>
      <c r="J1627" t="b">
        <v>0</v>
      </c>
      <c r="K1627" t="b">
        <v>1</v>
      </c>
      <c r="L1627" t="s">
        <v>28</v>
      </c>
      <c r="M1627">
        <v>70</v>
      </c>
      <c r="N1627" t="s">
        <v>64</v>
      </c>
      <c r="O1627">
        <v>52.5</v>
      </c>
      <c r="P1627" t="s">
        <v>36</v>
      </c>
      <c r="Q1627">
        <v>0</v>
      </c>
      <c r="R1627">
        <v>52.5</v>
      </c>
      <c r="S1627" t="s">
        <v>53</v>
      </c>
      <c r="T1627" t="s">
        <v>38</v>
      </c>
      <c r="U1627">
        <v>36.7378</v>
      </c>
      <c r="V1627">
        <v>-119.7871</v>
      </c>
      <c r="W1627" s="2">
        <v>45617</v>
      </c>
      <c r="X1627">
        <v>0</v>
      </c>
      <c r="Y1627" t="b">
        <v>0</v>
      </c>
      <c r="Z1627" s="2">
        <v>45848</v>
      </c>
      <c r="AA1627" t="str">
        <f t="shared" si="251"/>
        <v>30–39</v>
      </c>
      <c r="AB1627" t="str">
        <f t="shared" si="252"/>
        <v>30–39</v>
      </c>
      <c r="AC1627" t="str">
        <f t="shared" si="253"/>
        <v>Monday</v>
      </c>
      <c r="AD1627" t="str">
        <f t="shared" si="254"/>
        <v/>
      </c>
      <c r="AE1627" t="str">
        <f t="shared" si="255"/>
        <v/>
      </c>
      <c r="AF1627" t="str">
        <f t="shared" si="256"/>
        <v>Thursday</v>
      </c>
      <c r="AG1627" t="str">
        <f t="shared" si="257"/>
        <v/>
      </c>
      <c r="AH1627" t="str">
        <f t="shared" si="258"/>
        <v>Saturday</v>
      </c>
      <c r="AI1627" t="str">
        <f t="shared" si="259"/>
        <v/>
      </c>
      <c r="AJ1627" t="str">
        <f>LEFT(Table1[[#This Row],[membership_type]],2)&amp;TEXT(Table1[[#This Row],[age]],"00")&amp;"-"&amp;TEXT(ROW(),"000")</f>
        <v>El33-1627</v>
      </c>
      <c r="AK1627" t="str">
        <f>LEFT(Table1[[#This Row],[membership_type]],1)&amp;TEXT(MATCH(Table1[[#This Row],[membership_type]],Table1[membership_type],0),"00")</f>
        <v>E07</v>
      </c>
      <c r="AL1627" t="str">
        <f>LEFT(Table1[[#This Row],[discount_type]],1)&amp;TEXT(ROUND(Table1[[#This Row],[discount_rate]]*100,0),"00")</f>
        <v>N00</v>
      </c>
      <c r="AM1627" t="str" cm="1">
        <f t="array" ref="AM1627">TEXT(SUMPRODUCT(CODE(MID(Table1[[#This Row],[home_gym_location]],_xlfn.SEQUENCE(LEN(Table1[[#This Row],[home_gym_location]])),1))),"00000")</f>
        <v>00829</v>
      </c>
      <c r="AN1627" t="str">
        <f>UPPER(_xlfn.TEXTBEFORE(Table1[[#This Row],[home_gym_location]],","))&amp;"-"&amp;TEXT(MATCH(Table1[[#This Row],[home_gym_location]],_xlfn._xlws.SORT(_xlfn.UNIQUE(Table1[home_gym_location])),0),"000")</f>
        <v>FRESNO-003</v>
      </c>
      <c r="AO1627" t="str">
        <f>LEFT(_xlfn.TEXTBEFORE(Table1[[#This Row],[Location Identifier]],"-"),3) &amp; "-" &amp; _xlfn.TEXTAFTER(Table1[[#This Row],[Location Identifier]],"-")</f>
        <v>FRE-003</v>
      </c>
      <c r="AP1627" s="9">
        <f t="shared" ca="1" si="250"/>
        <v>45869</v>
      </c>
    </row>
    <row r="1628" spans="1:42" x14ac:dyDescent="0.25">
      <c r="A1628">
        <v>18</v>
      </c>
      <c r="B1628" t="s">
        <v>51</v>
      </c>
      <c r="C1628">
        <v>2</v>
      </c>
      <c r="D1628" t="s">
        <v>61</v>
      </c>
      <c r="E1628" t="b">
        <v>1</v>
      </c>
      <c r="F1628" s="1">
        <v>0.66180555555555554</v>
      </c>
      <c r="G1628" s="1">
        <v>0.6958333333333333</v>
      </c>
      <c r="H1628">
        <v>49</v>
      </c>
      <c r="I1628" t="b">
        <v>0</v>
      </c>
      <c r="J1628" t="b">
        <v>1</v>
      </c>
      <c r="K1628" t="b">
        <v>0</v>
      </c>
      <c r="L1628" t="s">
        <v>28</v>
      </c>
      <c r="M1628">
        <v>70</v>
      </c>
      <c r="N1628" t="s">
        <v>29</v>
      </c>
      <c r="O1628">
        <v>70</v>
      </c>
      <c r="P1628" t="s">
        <v>40</v>
      </c>
      <c r="Q1628">
        <v>0.1</v>
      </c>
      <c r="R1628">
        <v>63</v>
      </c>
      <c r="S1628" t="s">
        <v>53</v>
      </c>
      <c r="T1628" t="s">
        <v>65</v>
      </c>
      <c r="U1628">
        <v>33.770099999999999</v>
      </c>
      <c r="V1628">
        <v>-118.19370000000001</v>
      </c>
      <c r="W1628" s="2">
        <v>45260</v>
      </c>
      <c r="X1628">
        <v>5</v>
      </c>
      <c r="Y1628" t="b">
        <v>0</v>
      </c>
      <c r="Z1628" s="2">
        <v>45828</v>
      </c>
      <c r="AA1628" t="str">
        <f t="shared" si="251"/>
        <v>10–19</v>
      </c>
      <c r="AB1628" t="str">
        <f t="shared" si="252"/>
        <v>16–19</v>
      </c>
      <c r="AC1628" t="str">
        <f t="shared" si="253"/>
        <v/>
      </c>
      <c r="AD1628" t="str">
        <f t="shared" si="254"/>
        <v>Tuesday</v>
      </c>
      <c r="AE1628" t="str">
        <f t="shared" si="255"/>
        <v/>
      </c>
      <c r="AF1628" t="str">
        <f t="shared" si="256"/>
        <v/>
      </c>
      <c r="AG1628" t="str">
        <f t="shared" si="257"/>
        <v/>
      </c>
      <c r="AH1628" t="str">
        <f t="shared" si="258"/>
        <v>Saturday</v>
      </c>
      <c r="AI1628" t="str">
        <f t="shared" si="259"/>
        <v/>
      </c>
      <c r="AJ1628" t="str">
        <f>LEFT(Table1[[#This Row],[membership_type]],2)&amp;TEXT(Table1[[#This Row],[age]],"00")&amp;"-"&amp;TEXT(ROW(),"000")</f>
        <v>El18-1628</v>
      </c>
      <c r="AK1628" t="str">
        <f>LEFT(Table1[[#This Row],[membership_type]],1)&amp;TEXT(MATCH(Table1[[#This Row],[membership_type]],Table1[membership_type],0),"00")</f>
        <v>E07</v>
      </c>
      <c r="AL1628" t="str">
        <f>LEFT(Table1[[#This Row],[discount_type]],1)&amp;TEXT(ROUND(Table1[[#This Row],[discount_rate]]*100,0),"00")</f>
        <v>L10</v>
      </c>
      <c r="AM1628" t="str" cm="1">
        <f t="array" ref="AM1628">TEXT(SUMPRODUCT(CODE(MID(Table1[[#This Row],[home_gym_location]],_xlfn.SEQUENCE(LEN(Table1[[#This Row],[home_gym_location]])),1))),"00000")</f>
        <v>01107</v>
      </c>
      <c r="AN162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28" t="str">
        <f>LEFT(_xlfn.TEXTBEFORE(Table1[[#This Row],[Location Identifier]],"-"),3) &amp; "-" &amp; _xlfn.TEXTAFTER(Table1[[#This Row],[Location Identifier]],"-")</f>
        <v>LON-004</v>
      </c>
      <c r="AP1628" s="9">
        <f t="shared" ca="1" si="250"/>
        <v>45869</v>
      </c>
    </row>
    <row r="1629" spans="1:42" x14ac:dyDescent="0.25">
      <c r="A1629">
        <v>39</v>
      </c>
      <c r="B1629" t="s">
        <v>51</v>
      </c>
      <c r="C1629">
        <v>2</v>
      </c>
      <c r="D1629" t="s">
        <v>79</v>
      </c>
      <c r="E1629" t="b">
        <v>0</v>
      </c>
      <c r="F1629" s="1">
        <v>0.83611111111111114</v>
      </c>
      <c r="G1629" s="1">
        <v>0.86319444444444449</v>
      </c>
      <c r="H1629">
        <v>39</v>
      </c>
      <c r="I1629" t="b">
        <v>0</v>
      </c>
      <c r="J1629" t="b">
        <v>0</v>
      </c>
      <c r="K1629" t="b">
        <v>0</v>
      </c>
      <c r="L1629" t="s">
        <v>62</v>
      </c>
      <c r="M1629">
        <v>70</v>
      </c>
      <c r="N1629" t="s">
        <v>78</v>
      </c>
      <c r="O1629">
        <v>63</v>
      </c>
      <c r="P1629" t="s">
        <v>74</v>
      </c>
      <c r="Q1629">
        <v>0.15</v>
      </c>
      <c r="R1629">
        <v>53.55</v>
      </c>
      <c r="S1629" t="s">
        <v>53</v>
      </c>
      <c r="T1629" t="s">
        <v>59</v>
      </c>
      <c r="U1629">
        <v>37.774900000000002</v>
      </c>
      <c r="V1629">
        <v>-122.4194</v>
      </c>
      <c r="W1629" s="2">
        <v>45728</v>
      </c>
      <c r="X1629">
        <v>0</v>
      </c>
      <c r="Y1629" t="b">
        <v>1</v>
      </c>
      <c r="Z1629" s="2">
        <v>45855</v>
      </c>
      <c r="AA1629" t="str">
        <f t="shared" si="251"/>
        <v>30–39</v>
      </c>
      <c r="AB1629" t="str">
        <f t="shared" si="252"/>
        <v>30–39</v>
      </c>
      <c r="AC1629" t="str">
        <f t="shared" si="253"/>
        <v/>
      </c>
      <c r="AD1629" t="str">
        <f t="shared" si="254"/>
        <v/>
      </c>
      <c r="AE1629" t="str">
        <f t="shared" si="255"/>
        <v/>
      </c>
      <c r="AF1629" t="str">
        <f t="shared" si="256"/>
        <v/>
      </c>
      <c r="AG1629" t="str">
        <f t="shared" si="257"/>
        <v>Friday</v>
      </c>
      <c r="AH1629" t="str">
        <f t="shared" si="258"/>
        <v>Saturday</v>
      </c>
      <c r="AI1629" t="str">
        <f t="shared" si="259"/>
        <v/>
      </c>
      <c r="AJ1629" t="str">
        <f>LEFT(Table1[[#This Row],[membership_type]],2)&amp;TEXT(Table1[[#This Row],[age]],"00")&amp;"-"&amp;TEXT(ROW(),"000")</f>
        <v>El39-1629</v>
      </c>
      <c r="AK1629" t="str">
        <f>LEFT(Table1[[#This Row],[membership_type]],1)&amp;TEXT(MATCH(Table1[[#This Row],[membership_type]],Table1[membership_type],0),"00")</f>
        <v>E07</v>
      </c>
      <c r="AL1629" t="str">
        <f>LEFT(Table1[[#This Row],[discount_type]],1)&amp;TEXT(ROUND(Table1[[#This Row],[discount_rate]]*100,0),"00")</f>
        <v>S15</v>
      </c>
      <c r="AM1629" t="str" cm="1">
        <f t="array" ref="AM1629">TEXT(SUMPRODUCT(CODE(MID(Table1[[#This Row],[home_gym_location]],_xlfn.SEQUENCE(LEN(Table1[[#This Row],[home_gym_location]])),1))),"00000")</f>
        <v>01450</v>
      </c>
      <c r="AN162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29" t="str">
        <f>LEFT(_xlfn.TEXTBEFORE(Table1[[#This Row],[Location Identifier]],"-"),3) &amp; "-" &amp; _xlfn.TEXTAFTER(Table1[[#This Row],[Location Identifier]],"-")</f>
        <v>SAN-009</v>
      </c>
      <c r="AP1629" s="9">
        <f t="shared" ca="1" si="250"/>
        <v>45869</v>
      </c>
    </row>
    <row r="1630" spans="1:42" x14ac:dyDescent="0.25">
      <c r="A1630">
        <v>32</v>
      </c>
      <c r="B1630" t="s">
        <v>26</v>
      </c>
      <c r="C1630">
        <v>5</v>
      </c>
      <c r="D1630" t="s">
        <v>87</v>
      </c>
      <c r="E1630" t="b">
        <v>1</v>
      </c>
      <c r="F1630" s="1">
        <v>0.82013888888888886</v>
      </c>
      <c r="G1630" s="1">
        <v>0.89930555555555558</v>
      </c>
      <c r="H1630">
        <v>114</v>
      </c>
      <c r="I1630" t="b">
        <v>1</v>
      </c>
      <c r="J1630" t="b">
        <v>1</v>
      </c>
      <c r="K1630" t="b">
        <v>0</v>
      </c>
      <c r="L1630" t="s">
        <v>62</v>
      </c>
      <c r="M1630">
        <v>50</v>
      </c>
      <c r="N1630" t="s">
        <v>78</v>
      </c>
      <c r="O1630">
        <v>45</v>
      </c>
      <c r="P1630" t="s">
        <v>74</v>
      </c>
      <c r="Q1630">
        <v>0.15</v>
      </c>
      <c r="R1630">
        <v>38.25</v>
      </c>
      <c r="S1630" t="s">
        <v>31</v>
      </c>
      <c r="T1630" t="s">
        <v>54</v>
      </c>
      <c r="U1630">
        <v>32.715699999999998</v>
      </c>
      <c r="V1630">
        <v>-117.1611</v>
      </c>
      <c r="W1630" s="2">
        <v>45351</v>
      </c>
      <c r="X1630">
        <v>7</v>
      </c>
      <c r="Y1630" t="b">
        <v>1</v>
      </c>
      <c r="Z1630" s="2">
        <v>45833</v>
      </c>
      <c r="AA1630" t="str">
        <f t="shared" si="251"/>
        <v>30–39</v>
      </c>
      <c r="AB1630" t="str">
        <f t="shared" si="252"/>
        <v>30–39</v>
      </c>
      <c r="AC1630" t="str">
        <f t="shared" si="253"/>
        <v/>
      </c>
      <c r="AD1630" t="str">
        <f t="shared" si="254"/>
        <v>Tuesday</v>
      </c>
      <c r="AE1630" t="str">
        <f t="shared" si="255"/>
        <v>Wednesday</v>
      </c>
      <c r="AF1630" t="str">
        <f t="shared" si="256"/>
        <v/>
      </c>
      <c r="AG1630" t="str">
        <f t="shared" si="257"/>
        <v>Friday</v>
      </c>
      <c r="AH1630" t="str">
        <f t="shared" si="258"/>
        <v>Saturday</v>
      </c>
      <c r="AI1630" t="str">
        <f t="shared" si="259"/>
        <v>Sunday</v>
      </c>
      <c r="AJ1630" t="str">
        <f>LEFT(Table1[[#This Row],[membership_type]],2)&amp;TEXT(Table1[[#This Row],[age]],"00")&amp;"-"&amp;TEXT(ROW(),"000")</f>
        <v>Pr32-1630</v>
      </c>
      <c r="AK1630" t="str">
        <f>LEFT(Table1[[#This Row],[membership_type]],1)&amp;TEXT(MATCH(Table1[[#This Row],[membership_type]],Table1[membership_type],0),"00")</f>
        <v>P01</v>
      </c>
      <c r="AL1630" t="str">
        <f>LEFT(Table1[[#This Row],[discount_type]],1)&amp;TEXT(ROUND(Table1[[#This Row],[discount_rate]]*100,0),"00")</f>
        <v>S15</v>
      </c>
      <c r="AM1630" t="str" cm="1">
        <f t="array" ref="AM1630">TEXT(SUMPRODUCT(CODE(MID(Table1[[#This Row],[home_gym_location]],_xlfn.SEQUENCE(LEN(Table1[[#This Row],[home_gym_location]])),1))),"00000")</f>
        <v>01018</v>
      </c>
      <c r="AN163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30" t="str">
        <f>LEFT(_xlfn.TEXTBEFORE(Table1[[#This Row],[Location Identifier]],"-"),3) &amp; "-" &amp; _xlfn.TEXTAFTER(Table1[[#This Row],[Location Identifier]],"-")</f>
        <v>SAN-008</v>
      </c>
      <c r="AP1630" s="9">
        <f t="shared" ca="1" si="250"/>
        <v>45869</v>
      </c>
    </row>
    <row r="1631" spans="1:42" x14ac:dyDescent="0.25">
      <c r="A1631">
        <v>15</v>
      </c>
      <c r="B1631" t="s">
        <v>33</v>
      </c>
      <c r="C1631">
        <v>3</v>
      </c>
      <c r="D1631" t="s">
        <v>55</v>
      </c>
      <c r="E1631" t="b">
        <v>0</v>
      </c>
      <c r="F1631" s="1">
        <v>0.60624999999999996</v>
      </c>
      <c r="G1631" s="1">
        <v>0.7</v>
      </c>
      <c r="H1631">
        <v>135</v>
      </c>
      <c r="I1631" t="b">
        <v>0</v>
      </c>
      <c r="J1631" t="b">
        <v>0</v>
      </c>
      <c r="K1631" t="b">
        <v>1</v>
      </c>
      <c r="L1631" t="s">
        <v>28</v>
      </c>
      <c r="M1631">
        <v>30</v>
      </c>
      <c r="N1631" t="s">
        <v>29</v>
      </c>
      <c r="O1631">
        <v>30</v>
      </c>
      <c r="P1631" t="s">
        <v>40</v>
      </c>
      <c r="Q1631">
        <v>0.1</v>
      </c>
      <c r="R1631">
        <v>27</v>
      </c>
      <c r="S1631" t="s">
        <v>37</v>
      </c>
      <c r="T1631" t="s">
        <v>32</v>
      </c>
      <c r="U1631">
        <v>37.338200000000001</v>
      </c>
      <c r="V1631">
        <v>-121.88630000000001</v>
      </c>
      <c r="W1631" s="2">
        <v>45025</v>
      </c>
      <c r="X1631">
        <v>0</v>
      </c>
      <c r="Y1631" t="b">
        <v>0</v>
      </c>
      <c r="Z1631" s="2">
        <v>45815</v>
      </c>
      <c r="AA1631" t="str">
        <f t="shared" si="251"/>
        <v>10–19</v>
      </c>
      <c r="AB1631" t="str">
        <f t="shared" si="252"/>
        <v>Under 16</v>
      </c>
      <c r="AC1631" t="str">
        <f t="shared" si="253"/>
        <v/>
      </c>
      <c r="AD1631" t="str">
        <f t="shared" si="254"/>
        <v/>
      </c>
      <c r="AE1631" t="str">
        <f t="shared" si="255"/>
        <v/>
      </c>
      <c r="AF1631" t="str">
        <f t="shared" si="256"/>
        <v>Thursday</v>
      </c>
      <c r="AG1631" t="str">
        <f t="shared" si="257"/>
        <v>Friday</v>
      </c>
      <c r="AH1631" t="str">
        <f t="shared" si="258"/>
        <v/>
      </c>
      <c r="AI1631" t="str">
        <f t="shared" si="259"/>
        <v>Sunday</v>
      </c>
      <c r="AJ1631" t="str">
        <f>LEFT(Table1[[#This Row],[membership_type]],2)&amp;TEXT(Table1[[#This Row],[age]],"00")&amp;"-"&amp;TEXT(ROW(),"000")</f>
        <v>St15-1631</v>
      </c>
      <c r="AK1631" t="str">
        <f>LEFT(Table1[[#This Row],[membership_type]],1)&amp;TEXT(MATCH(Table1[[#This Row],[membership_type]],Table1[membership_type],0),"00")</f>
        <v>S02</v>
      </c>
      <c r="AL1631" t="str">
        <f>LEFT(Table1[[#This Row],[discount_type]],1)&amp;TEXT(ROUND(Table1[[#This Row],[discount_rate]]*100,0),"00")</f>
        <v>L10</v>
      </c>
      <c r="AM1631" t="str" cm="1">
        <f t="array" ref="AM1631">TEXT(SUMPRODUCT(CODE(MID(Table1[[#This Row],[home_gym_location]],_xlfn.SEQUENCE(LEN(Table1[[#This Row],[home_gym_location]])),1))),"00000")</f>
        <v>00931</v>
      </c>
      <c r="AN163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31" t="str">
        <f>LEFT(_xlfn.TEXTBEFORE(Table1[[#This Row],[Location Identifier]],"-"),3) &amp; "-" &amp; _xlfn.TEXTAFTER(Table1[[#This Row],[Location Identifier]],"-")</f>
        <v>SAN-010</v>
      </c>
      <c r="AP1631" s="9">
        <f t="shared" ca="1" si="250"/>
        <v>45869</v>
      </c>
    </row>
    <row r="1632" spans="1:42" x14ac:dyDescent="0.25">
      <c r="A1632">
        <v>30</v>
      </c>
      <c r="B1632" t="s">
        <v>42</v>
      </c>
      <c r="C1632">
        <v>5</v>
      </c>
      <c r="D1632" t="s">
        <v>72</v>
      </c>
      <c r="E1632" t="b">
        <v>0</v>
      </c>
      <c r="F1632" s="1">
        <v>0.72847222222222219</v>
      </c>
      <c r="G1632" s="1">
        <v>0.76736111111111116</v>
      </c>
      <c r="H1632">
        <v>56</v>
      </c>
      <c r="I1632" t="b">
        <v>0</v>
      </c>
      <c r="J1632" t="b">
        <v>1</v>
      </c>
      <c r="K1632" t="b">
        <v>0</v>
      </c>
      <c r="L1632" t="s">
        <v>35</v>
      </c>
      <c r="M1632">
        <v>20</v>
      </c>
      <c r="N1632" t="s">
        <v>29</v>
      </c>
      <c r="O1632">
        <v>20</v>
      </c>
      <c r="P1632" t="s">
        <v>74</v>
      </c>
      <c r="Q1632">
        <v>0.15</v>
      </c>
      <c r="R1632">
        <v>17</v>
      </c>
      <c r="S1632" t="s">
        <v>44</v>
      </c>
      <c r="T1632" t="s">
        <v>38</v>
      </c>
      <c r="U1632">
        <v>36.7378</v>
      </c>
      <c r="V1632">
        <v>-119.7871</v>
      </c>
      <c r="W1632" s="2">
        <v>45460</v>
      </c>
      <c r="X1632">
        <v>5</v>
      </c>
      <c r="Y1632" t="b">
        <v>0</v>
      </c>
      <c r="Z1632" s="2">
        <v>45840</v>
      </c>
      <c r="AA1632" t="str">
        <f t="shared" si="251"/>
        <v>30–39</v>
      </c>
      <c r="AB1632" t="str">
        <f t="shared" si="252"/>
        <v>30–39</v>
      </c>
      <c r="AC1632" t="str">
        <f t="shared" si="253"/>
        <v>Monday</v>
      </c>
      <c r="AD1632" t="str">
        <f t="shared" si="254"/>
        <v/>
      </c>
      <c r="AE1632" t="str">
        <f t="shared" si="255"/>
        <v>Wednesday</v>
      </c>
      <c r="AF1632" t="str">
        <f t="shared" si="256"/>
        <v>Thursday</v>
      </c>
      <c r="AG1632" t="str">
        <f t="shared" si="257"/>
        <v>Friday</v>
      </c>
      <c r="AH1632" t="str">
        <f t="shared" si="258"/>
        <v/>
      </c>
      <c r="AI1632" t="str">
        <f t="shared" si="259"/>
        <v>Sunday</v>
      </c>
      <c r="AJ1632" t="str">
        <f>LEFT(Table1[[#This Row],[membership_type]],2)&amp;TEXT(Table1[[#This Row],[age]],"00")&amp;"-"&amp;TEXT(ROW(),"000")</f>
        <v>Ba30-1632</v>
      </c>
      <c r="AK1632" t="str">
        <f>LEFT(Table1[[#This Row],[membership_type]],1)&amp;TEXT(MATCH(Table1[[#This Row],[membership_type]],Table1[membership_type],0),"00")</f>
        <v>B04</v>
      </c>
      <c r="AL1632" t="str">
        <f>LEFT(Table1[[#This Row],[discount_type]],1)&amp;TEXT(ROUND(Table1[[#This Row],[discount_rate]]*100,0),"00")</f>
        <v>S15</v>
      </c>
      <c r="AM1632" t="str" cm="1">
        <f t="array" ref="AM1632">TEXT(SUMPRODUCT(CODE(MID(Table1[[#This Row],[home_gym_location]],_xlfn.SEQUENCE(LEN(Table1[[#This Row],[home_gym_location]])),1))),"00000")</f>
        <v>00829</v>
      </c>
      <c r="AN1632" t="str">
        <f>UPPER(_xlfn.TEXTBEFORE(Table1[[#This Row],[home_gym_location]],","))&amp;"-"&amp;TEXT(MATCH(Table1[[#This Row],[home_gym_location]],_xlfn._xlws.SORT(_xlfn.UNIQUE(Table1[home_gym_location])),0),"000")</f>
        <v>FRESNO-003</v>
      </c>
      <c r="AO1632" t="str">
        <f>LEFT(_xlfn.TEXTBEFORE(Table1[[#This Row],[Location Identifier]],"-"),3) &amp; "-" &amp; _xlfn.TEXTAFTER(Table1[[#This Row],[Location Identifier]],"-")</f>
        <v>FRE-003</v>
      </c>
      <c r="AP1632" s="9">
        <f t="shared" ca="1" si="250"/>
        <v>45869</v>
      </c>
    </row>
    <row r="1633" spans="1:42" x14ac:dyDescent="0.25">
      <c r="A1633">
        <v>47</v>
      </c>
      <c r="B1633" t="s">
        <v>42</v>
      </c>
      <c r="C1633">
        <v>5</v>
      </c>
      <c r="D1633" t="s">
        <v>104</v>
      </c>
      <c r="E1633" t="b">
        <v>0</v>
      </c>
      <c r="F1633" s="1">
        <v>0.47638888888888886</v>
      </c>
      <c r="G1633" s="1">
        <v>0.53819444444444442</v>
      </c>
      <c r="H1633">
        <v>89</v>
      </c>
      <c r="I1633" t="b">
        <v>0</v>
      </c>
      <c r="J1633" t="b">
        <v>0</v>
      </c>
      <c r="K1633" t="b">
        <v>1</v>
      </c>
      <c r="L1633" t="s">
        <v>35</v>
      </c>
      <c r="M1633">
        <v>20</v>
      </c>
      <c r="N1633" t="s">
        <v>29</v>
      </c>
      <c r="O1633">
        <v>20</v>
      </c>
      <c r="P1633" t="s">
        <v>74</v>
      </c>
      <c r="Q1633">
        <v>0.15</v>
      </c>
      <c r="R1633">
        <v>17</v>
      </c>
      <c r="S1633" t="s">
        <v>44</v>
      </c>
      <c r="T1633" t="s">
        <v>32</v>
      </c>
      <c r="U1633">
        <v>37.338200000000001</v>
      </c>
      <c r="V1633">
        <v>-121.88630000000001</v>
      </c>
      <c r="W1633" s="2">
        <v>45122</v>
      </c>
      <c r="X1633">
        <v>0</v>
      </c>
      <c r="Y1633" t="b">
        <v>0</v>
      </c>
      <c r="Z1633" s="2">
        <v>45821</v>
      </c>
      <c r="AA1633" t="str">
        <f t="shared" si="251"/>
        <v>40–49</v>
      </c>
      <c r="AB1633" t="str">
        <f t="shared" si="252"/>
        <v>40–49</v>
      </c>
      <c r="AC1633" t="str">
        <f t="shared" si="253"/>
        <v/>
      </c>
      <c r="AD1633" t="str">
        <f t="shared" si="254"/>
        <v>Tuesday</v>
      </c>
      <c r="AE1633" t="str">
        <f t="shared" si="255"/>
        <v>Wednesday</v>
      </c>
      <c r="AF1633" t="str">
        <f t="shared" si="256"/>
        <v>Thursday</v>
      </c>
      <c r="AG1633" t="str">
        <f t="shared" si="257"/>
        <v/>
      </c>
      <c r="AH1633" t="str">
        <f t="shared" si="258"/>
        <v>Saturday</v>
      </c>
      <c r="AI1633" t="str">
        <f t="shared" si="259"/>
        <v>Sunday</v>
      </c>
      <c r="AJ1633" t="str">
        <f>LEFT(Table1[[#This Row],[membership_type]],2)&amp;TEXT(Table1[[#This Row],[age]],"00")&amp;"-"&amp;TEXT(ROW(),"000")</f>
        <v>Ba47-1633</v>
      </c>
      <c r="AK1633" t="str">
        <f>LEFT(Table1[[#This Row],[membership_type]],1)&amp;TEXT(MATCH(Table1[[#This Row],[membership_type]],Table1[membership_type],0),"00")</f>
        <v>B04</v>
      </c>
      <c r="AL1633" t="str">
        <f>LEFT(Table1[[#This Row],[discount_type]],1)&amp;TEXT(ROUND(Table1[[#This Row],[discount_rate]]*100,0),"00")</f>
        <v>S15</v>
      </c>
      <c r="AM1633" t="str" cm="1">
        <f t="array" ref="AM1633">TEXT(SUMPRODUCT(CODE(MID(Table1[[#This Row],[home_gym_location]],_xlfn.SEQUENCE(LEN(Table1[[#This Row],[home_gym_location]])),1))),"00000")</f>
        <v>00931</v>
      </c>
      <c r="AN163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33" t="str">
        <f>LEFT(_xlfn.TEXTBEFORE(Table1[[#This Row],[Location Identifier]],"-"),3) &amp; "-" &amp; _xlfn.TEXTAFTER(Table1[[#This Row],[Location Identifier]],"-")</f>
        <v>SAN-010</v>
      </c>
      <c r="AP1633" s="9">
        <f t="shared" ca="1" si="250"/>
        <v>45869</v>
      </c>
    </row>
    <row r="1634" spans="1:42" x14ac:dyDescent="0.25">
      <c r="A1634">
        <v>30</v>
      </c>
      <c r="B1634" t="s">
        <v>51</v>
      </c>
      <c r="C1634">
        <v>3</v>
      </c>
      <c r="D1634" t="s">
        <v>57</v>
      </c>
      <c r="E1634" t="b">
        <v>1</v>
      </c>
      <c r="F1634" s="1">
        <v>0.62152777777777779</v>
      </c>
      <c r="G1634" s="1">
        <v>0.66736111111111107</v>
      </c>
      <c r="H1634">
        <v>66</v>
      </c>
      <c r="I1634" t="b">
        <v>0</v>
      </c>
      <c r="J1634" t="b">
        <v>1</v>
      </c>
      <c r="K1634" t="b">
        <v>1</v>
      </c>
      <c r="L1634" t="s">
        <v>62</v>
      </c>
      <c r="M1634">
        <v>70</v>
      </c>
      <c r="N1634" t="s">
        <v>29</v>
      </c>
      <c r="O1634">
        <v>70</v>
      </c>
      <c r="P1634" t="s">
        <v>36</v>
      </c>
      <c r="Q1634">
        <v>0</v>
      </c>
      <c r="R1634">
        <v>70</v>
      </c>
      <c r="S1634" t="s">
        <v>53</v>
      </c>
      <c r="T1634" t="s">
        <v>54</v>
      </c>
      <c r="U1634">
        <v>32.715699999999998</v>
      </c>
      <c r="V1634">
        <v>-117.1611</v>
      </c>
      <c r="W1634" s="2">
        <v>44983</v>
      </c>
      <c r="X1634">
        <v>6</v>
      </c>
      <c r="Y1634" t="b">
        <v>1</v>
      </c>
      <c r="Z1634" s="2">
        <v>45813</v>
      </c>
      <c r="AA1634" t="str">
        <f t="shared" si="251"/>
        <v>30–39</v>
      </c>
      <c r="AB1634" t="str">
        <f t="shared" si="252"/>
        <v>30–39</v>
      </c>
      <c r="AC1634" t="str">
        <f t="shared" si="253"/>
        <v/>
      </c>
      <c r="AD1634" t="str">
        <f t="shared" si="254"/>
        <v/>
      </c>
      <c r="AE1634" t="str">
        <f t="shared" si="255"/>
        <v>Wednesday</v>
      </c>
      <c r="AF1634" t="str">
        <f t="shared" si="256"/>
        <v>Thursday</v>
      </c>
      <c r="AG1634" t="str">
        <f t="shared" si="257"/>
        <v/>
      </c>
      <c r="AH1634" t="str">
        <f t="shared" si="258"/>
        <v>Saturday</v>
      </c>
      <c r="AI1634" t="str">
        <f t="shared" si="259"/>
        <v/>
      </c>
      <c r="AJ1634" t="str">
        <f>LEFT(Table1[[#This Row],[membership_type]],2)&amp;TEXT(Table1[[#This Row],[age]],"00")&amp;"-"&amp;TEXT(ROW(),"000")</f>
        <v>El30-1634</v>
      </c>
      <c r="AK1634" t="str">
        <f>LEFT(Table1[[#This Row],[membership_type]],1)&amp;TEXT(MATCH(Table1[[#This Row],[membership_type]],Table1[membership_type],0),"00")</f>
        <v>E07</v>
      </c>
      <c r="AL1634" t="str">
        <f>LEFT(Table1[[#This Row],[discount_type]],1)&amp;TEXT(ROUND(Table1[[#This Row],[discount_rate]]*100,0),"00")</f>
        <v>N00</v>
      </c>
      <c r="AM1634" t="str" cm="1">
        <f t="array" ref="AM1634">TEXT(SUMPRODUCT(CODE(MID(Table1[[#This Row],[home_gym_location]],_xlfn.SEQUENCE(LEN(Table1[[#This Row],[home_gym_location]])),1))),"00000")</f>
        <v>01018</v>
      </c>
      <c r="AN163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34" t="str">
        <f>LEFT(_xlfn.TEXTBEFORE(Table1[[#This Row],[Location Identifier]],"-"),3) &amp; "-" &amp; _xlfn.TEXTAFTER(Table1[[#This Row],[Location Identifier]],"-")</f>
        <v>SAN-008</v>
      </c>
      <c r="AP1634" s="9">
        <f t="shared" ca="1" si="250"/>
        <v>45869</v>
      </c>
    </row>
    <row r="1635" spans="1:42" x14ac:dyDescent="0.25">
      <c r="A1635">
        <v>17</v>
      </c>
      <c r="B1635" t="s">
        <v>42</v>
      </c>
      <c r="C1635">
        <v>2</v>
      </c>
      <c r="D1635" t="s">
        <v>126</v>
      </c>
      <c r="E1635" t="b">
        <v>1</v>
      </c>
      <c r="F1635" s="1">
        <v>0.50624999999999998</v>
      </c>
      <c r="G1635" s="1">
        <v>0.62152777777777779</v>
      </c>
      <c r="H1635">
        <v>166</v>
      </c>
      <c r="I1635" t="b">
        <v>1</v>
      </c>
      <c r="J1635" t="b">
        <v>1</v>
      </c>
      <c r="K1635" t="b">
        <v>1</v>
      </c>
      <c r="L1635" t="s">
        <v>47</v>
      </c>
      <c r="M1635">
        <v>20</v>
      </c>
      <c r="N1635" t="s">
        <v>29</v>
      </c>
      <c r="O1635">
        <v>20</v>
      </c>
      <c r="P1635" t="s">
        <v>74</v>
      </c>
      <c r="Q1635">
        <v>0.15</v>
      </c>
      <c r="R1635">
        <v>17</v>
      </c>
      <c r="S1635" t="s">
        <v>44</v>
      </c>
      <c r="T1635" t="s">
        <v>45</v>
      </c>
      <c r="U1635">
        <v>33.836599999999997</v>
      </c>
      <c r="V1635">
        <v>-117.9143</v>
      </c>
      <c r="W1635" s="2">
        <v>44843</v>
      </c>
      <c r="X1635">
        <v>2</v>
      </c>
      <c r="Y1635" t="b">
        <v>1</v>
      </c>
      <c r="Z1635" s="2">
        <v>45805</v>
      </c>
      <c r="AA1635" t="str">
        <f t="shared" si="251"/>
        <v>10–19</v>
      </c>
      <c r="AB1635" t="str">
        <f t="shared" si="252"/>
        <v>16–19</v>
      </c>
      <c r="AC1635" t="str">
        <f t="shared" si="253"/>
        <v/>
      </c>
      <c r="AD1635" t="str">
        <f t="shared" si="254"/>
        <v>Tuesday</v>
      </c>
      <c r="AE1635" t="str">
        <f t="shared" si="255"/>
        <v>Wednesday</v>
      </c>
      <c r="AF1635" t="str">
        <f t="shared" si="256"/>
        <v/>
      </c>
      <c r="AG1635" t="str">
        <f t="shared" si="257"/>
        <v/>
      </c>
      <c r="AH1635" t="str">
        <f t="shared" si="258"/>
        <v/>
      </c>
      <c r="AI1635" t="str">
        <f t="shared" si="259"/>
        <v/>
      </c>
      <c r="AJ1635" t="str">
        <f>LEFT(Table1[[#This Row],[membership_type]],2)&amp;TEXT(Table1[[#This Row],[age]],"00")&amp;"-"&amp;TEXT(ROW(),"000")</f>
        <v>Ba17-1635</v>
      </c>
      <c r="AK1635" t="str">
        <f>LEFT(Table1[[#This Row],[membership_type]],1)&amp;TEXT(MATCH(Table1[[#This Row],[membership_type]],Table1[membership_type],0),"00")</f>
        <v>B04</v>
      </c>
      <c r="AL1635" t="str">
        <f>LEFT(Table1[[#This Row],[discount_type]],1)&amp;TEXT(ROUND(Table1[[#This Row],[discount_rate]]*100,0),"00")</f>
        <v>S15</v>
      </c>
      <c r="AM1635" t="str" cm="1">
        <f t="array" ref="AM1635">TEXT(SUMPRODUCT(CODE(MID(Table1[[#This Row],[home_gym_location]],_xlfn.SEQUENCE(LEN(Table1[[#This Row],[home_gym_location]])),1))),"00000")</f>
        <v>00899</v>
      </c>
      <c r="AN163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35" t="str">
        <f>LEFT(_xlfn.TEXTBEFORE(Table1[[#This Row],[Location Identifier]],"-"),3) &amp; "-" &amp; _xlfn.TEXTAFTER(Table1[[#This Row],[Location Identifier]],"-")</f>
        <v>ANA-001</v>
      </c>
      <c r="AP1635" s="9">
        <f t="shared" ca="1" si="250"/>
        <v>45869</v>
      </c>
    </row>
    <row r="1636" spans="1:42" x14ac:dyDescent="0.25">
      <c r="A1636">
        <v>48</v>
      </c>
      <c r="B1636" t="s">
        <v>33</v>
      </c>
      <c r="C1636">
        <v>3</v>
      </c>
      <c r="D1636" t="s">
        <v>114</v>
      </c>
      <c r="E1636" t="b">
        <v>0</v>
      </c>
      <c r="F1636" s="1">
        <v>0.64722222222222225</v>
      </c>
      <c r="G1636" s="1">
        <v>0.68402777777777779</v>
      </c>
      <c r="H1636">
        <v>53</v>
      </c>
      <c r="I1636" t="b">
        <v>1</v>
      </c>
      <c r="J1636" t="b">
        <v>1</v>
      </c>
      <c r="K1636" t="b">
        <v>1</v>
      </c>
      <c r="L1636" t="s">
        <v>28</v>
      </c>
      <c r="M1636">
        <v>30</v>
      </c>
      <c r="N1636" t="s">
        <v>29</v>
      </c>
      <c r="O1636">
        <v>30</v>
      </c>
      <c r="P1636" t="s">
        <v>40</v>
      </c>
      <c r="Q1636">
        <v>0.1</v>
      </c>
      <c r="R1636">
        <v>27</v>
      </c>
      <c r="S1636" t="s">
        <v>37</v>
      </c>
      <c r="T1636" t="s">
        <v>38</v>
      </c>
      <c r="U1636">
        <v>36.7378</v>
      </c>
      <c r="V1636">
        <v>-119.7871</v>
      </c>
      <c r="W1636" s="2">
        <v>45581</v>
      </c>
      <c r="X1636">
        <v>5</v>
      </c>
      <c r="Y1636" t="b">
        <v>0</v>
      </c>
      <c r="Z1636" s="2">
        <v>45846</v>
      </c>
      <c r="AA1636" t="str">
        <f t="shared" si="251"/>
        <v>40–49</v>
      </c>
      <c r="AB1636" t="str">
        <f t="shared" si="252"/>
        <v>40–49</v>
      </c>
      <c r="AC1636" t="str">
        <f t="shared" si="253"/>
        <v>Monday</v>
      </c>
      <c r="AD1636" t="str">
        <f t="shared" si="254"/>
        <v>Tuesday</v>
      </c>
      <c r="AE1636" t="str">
        <f t="shared" si="255"/>
        <v>Wednesday</v>
      </c>
      <c r="AF1636" t="str">
        <f t="shared" si="256"/>
        <v/>
      </c>
      <c r="AG1636" t="str">
        <f t="shared" si="257"/>
        <v/>
      </c>
      <c r="AH1636" t="str">
        <f t="shared" si="258"/>
        <v/>
      </c>
      <c r="AI1636" t="str">
        <f t="shared" si="259"/>
        <v/>
      </c>
      <c r="AJ1636" t="str">
        <f>LEFT(Table1[[#This Row],[membership_type]],2)&amp;TEXT(Table1[[#This Row],[age]],"00")&amp;"-"&amp;TEXT(ROW(),"000")</f>
        <v>St48-1636</v>
      </c>
      <c r="AK1636" t="str">
        <f>LEFT(Table1[[#This Row],[membership_type]],1)&amp;TEXT(MATCH(Table1[[#This Row],[membership_type]],Table1[membership_type],0),"00")</f>
        <v>S02</v>
      </c>
      <c r="AL1636" t="str">
        <f>LEFT(Table1[[#This Row],[discount_type]],1)&amp;TEXT(ROUND(Table1[[#This Row],[discount_rate]]*100,0),"00")</f>
        <v>L10</v>
      </c>
      <c r="AM1636" t="str" cm="1">
        <f t="array" ref="AM1636">TEXT(SUMPRODUCT(CODE(MID(Table1[[#This Row],[home_gym_location]],_xlfn.SEQUENCE(LEN(Table1[[#This Row],[home_gym_location]])),1))),"00000")</f>
        <v>00829</v>
      </c>
      <c r="AN1636" t="str">
        <f>UPPER(_xlfn.TEXTBEFORE(Table1[[#This Row],[home_gym_location]],","))&amp;"-"&amp;TEXT(MATCH(Table1[[#This Row],[home_gym_location]],_xlfn._xlws.SORT(_xlfn.UNIQUE(Table1[home_gym_location])),0),"000")</f>
        <v>FRESNO-003</v>
      </c>
      <c r="AO1636" t="str">
        <f>LEFT(_xlfn.TEXTBEFORE(Table1[[#This Row],[Location Identifier]],"-"),3) &amp; "-" &amp; _xlfn.TEXTAFTER(Table1[[#This Row],[Location Identifier]],"-")</f>
        <v>FRE-003</v>
      </c>
      <c r="AP1636" s="9">
        <f t="shared" ca="1" si="250"/>
        <v>45869</v>
      </c>
    </row>
    <row r="1637" spans="1:42" x14ac:dyDescent="0.25">
      <c r="A1637">
        <v>32</v>
      </c>
      <c r="B1637" t="s">
        <v>42</v>
      </c>
      <c r="C1637">
        <v>5</v>
      </c>
      <c r="D1637" t="s">
        <v>104</v>
      </c>
      <c r="E1637" t="b">
        <v>0</v>
      </c>
      <c r="F1637" s="1">
        <v>0.46388888888888891</v>
      </c>
      <c r="G1637" s="1">
        <v>0.55555555555555558</v>
      </c>
      <c r="H1637">
        <v>132</v>
      </c>
      <c r="I1637" t="b">
        <v>1</v>
      </c>
      <c r="J1637" t="b">
        <v>0</v>
      </c>
      <c r="K1637" t="b">
        <v>1</v>
      </c>
      <c r="L1637" t="s">
        <v>62</v>
      </c>
      <c r="M1637">
        <v>20</v>
      </c>
      <c r="N1637" t="s">
        <v>78</v>
      </c>
      <c r="O1637">
        <v>18</v>
      </c>
      <c r="P1637" t="s">
        <v>36</v>
      </c>
      <c r="Q1637">
        <v>0</v>
      </c>
      <c r="R1637">
        <v>18</v>
      </c>
      <c r="S1637" t="s">
        <v>44</v>
      </c>
      <c r="T1637" t="s">
        <v>32</v>
      </c>
      <c r="U1637">
        <v>37.338200000000001</v>
      </c>
      <c r="V1637">
        <v>-121.88630000000001</v>
      </c>
      <c r="W1637" s="2">
        <v>45405</v>
      </c>
      <c r="X1637">
        <v>0</v>
      </c>
      <c r="Y1637" t="b">
        <v>0</v>
      </c>
      <c r="Z1637" s="2">
        <v>45837</v>
      </c>
      <c r="AA1637" t="str">
        <f t="shared" si="251"/>
        <v>30–39</v>
      </c>
      <c r="AB1637" t="str">
        <f t="shared" si="252"/>
        <v>30–39</v>
      </c>
      <c r="AC1637" t="str">
        <f t="shared" si="253"/>
        <v/>
      </c>
      <c r="AD1637" t="str">
        <f t="shared" si="254"/>
        <v>Tuesday</v>
      </c>
      <c r="AE1637" t="str">
        <f t="shared" si="255"/>
        <v>Wednesday</v>
      </c>
      <c r="AF1637" t="str">
        <f t="shared" si="256"/>
        <v>Thursday</v>
      </c>
      <c r="AG1637" t="str">
        <f t="shared" si="257"/>
        <v/>
      </c>
      <c r="AH1637" t="str">
        <f t="shared" si="258"/>
        <v>Saturday</v>
      </c>
      <c r="AI1637" t="str">
        <f t="shared" si="259"/>
        <v>Sunday</v>
      </c>
      <c r="AJ1637" t="str">
        <f>LEFT(Table1[[#This Row],[membership_type]],2)&amp;TEXT(Table1[[#This Row],[age]],"00")&amp;"-"&amp;TEXT(ROW(),"000")</f>
        <v>Ba32-1637</v>
      </c>
      <c r="AK1637" t="str">
        <f>LEFT(Table1[[#This Row],[membership_type]],1)&amp;TEXT(MATCH(Table1[[#This Row],[membership_type]],Table1[membership_type],0),"00")</f>
        <v>B04</v>
      </c>
      <c r="AL1637" t="str">
        <f>LEFT(Table1[[#This Row],[discount_type]],1)&amp;TEXT(ROUND(Table1[[#This Row],[discount_rate]]*100,0),"00")</f>
        <v>N00</v>
      </c>
      <c r="AM1637" t="str" cm="1">
        <f t="array" ref="AM1637">TEXT(SUMPRODUCT(CODE(MID(Table1[[#This Row],[home_gym_location]],_xlfn.SEQUENCE(LEN(Table1[[#This Row],[home_gym_location]])),1))),"00000")</f>
        <v>00931</v>
      </c>
      <c r="AN163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37" t="str">
        <f>LEFT(_xlfn.TEXTBEFORE(Table1[[#This Row],[Location Identifier]],"-"),3) &amp; "-" &amp; _xlfn.TEXTAFTER(Table1[[#This Row],[Location Identifier]],"-")</f>
        <v>SAN-010</v>
      </c>
      <c r="AP1637" s="9">
        <f t="shared" ca="1" si="250"/>
        <v>45869</v>
      </c>
    </row>
    <row r="1638" spans="1:42" x14ac:dyDescent="0.25">
      <c r="A1638">
        <v>12</v>
      </c>
      <c r="B1638" t="s">
        <v>26</v>
      </c>
      <c r="C1638">
        <v>3</v>
      </c>
      <c r="D1638" t="s">
        <v>81</v>
      </c>
      <c r="E1638" t="b">
        <v>1</v>
      </c>
      <c r="F1638" s="1">
        <v>0.62083333333333335</v>
      </c>
      <c r="G1638" s="1">
        <v>0.70277777777777772</v>
      </c>
      <c r="H1638">
        <v>118</v>
      </c>
      <c r="I1638" t="b">
        <v>0</v>
      </c>
      <c r="J1638" t="b">
        <v>0</v>
      </c>
      <c r="K1638" t="b">
        <v>0</v>
      </c>
      <c r="L1638" t="s">
        <v>62</v>
      </c>
      <c r="M1638">
        <v>50</v>
      </c>
      <c r="N1638" t="s">
        <v>29</v>
      </c>
      <c r="O1638">
        <v>50</v>
      </c>
      <c r="P1638" t="s">
        <v>30</v>
      </c>
      <c r="Q1638">
        <v>0.05</v>
      </c>
      <c r="R1638">
        <v>47.5</v>
      </c>
      <c r="S1638" t="s">
        <v>31</v>
      </c>
      <c r="T1638" t="s">
        <v>50</v>
      </c>
      <c r="U1638">
        <v>34.052199999999999</v>
      </c>
      <c r="V1638">
        <v>-118.2437</v>
      </c>
      <c r="W1638" s="2">
        <v>45668</v>
      </c>
      <c r="X1638">
        <v>0</v>
      </c>
      <c r="Y1638" t="b">
        <v>1</v>
      </c>
      <c r="Z1638" s="2">
        <v>45851</v>
      </c>
      <c r="AA1638" t="str">
        <f t="shared" si="251"/>
        <v>10–19</v>
      </c>
      <c r="AB1638" t="str">
        <f t="shared" si="252"/>
        <v>Under 16</v>
      </c>
      <c r="AC1638" t="str">
        <f t="shared" si="253"/>
        <v>Monday</v>
      </c>
      <c r="AD1638" t="str">
        <f t="shared" si="254"/>
        <v/>
      </c>
      <c r="AE1638" t="str">
        <f t="shared" si="255"/>
        <v>Wednesday</v>
      </c>
      <c r="AF1638" t="str">
        <f t="shared" si="256"/>
        <v/>
      </c>
      <c r="AG1638" t="str">
        <f t="shared" si="257"/>
        <v>Friday</v>
      </c>
      <c r="AH1638" t="str">
        <f t="shared" si="258"/>
        <v/>
      </c>
      <c r="AI1638" t="str">
        <f t="shared" si="259"/>
        <v/>
      </c>
      <c r="AJ1638" t="str">
        <f>LEFT(Table1[[#This Row],[membership_type]],2)&amp;TEXT(Table1[[#This Row],[age]],"00")&amp;"-"&amp;TEXT(ROW(),"000")</f>
        <v>Pr12-1638</v>
      </c>
      <c r="AK1638" t="str">
        <f>LEFT(Table1[[#This Row],[membership_type]],1)&amp;TEXT(MATCH(Table1[[#This Row],[membership_type]],Table1[membership_type],0),"00")</f>
        <v>P01</v>
      </c>
      <c r="AL1638" t="str">
        <f>LEFT(Table1[[#This Row],[discount_type]],1)&amp;TEXT(ROUND(Table1[[#This Row],[discount_rate]]*100,0),"00")</f>
        <v>P05</v>
      </c>
      <c r="AM1638" t="str" cm="1">
        <f t="array" ref="AM1638">TEXT(SUMPRODUCT(CODE(MID(Table1[[#This Row],[home_gym_location]],_xlfn.SEQUENCE(LEN(Table1[[#This Row],[home_gym_location]])),1))),"00000")</f>
        <v>01245</v>
      </c>
      <c r="AN163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638" t="str">
        <f>LEFT(_xlfn.TEXTBEFORE(Table1[[#This Row],[Location Identifier]],"-"),3) &amp; "-" &amp; _xlfn.TEXTAFTER(Table1[[#This Row],[Location Identifier]],"-")</f>
        <v>LOS-005</v>
      </c>
      <c r="AP1638" s="9">
        <f t="shared" ca="1" si="250"/>
        <v>45869</v>
      </c>
    </row>
    <row r="1639" spans="1:42" x14ac:dyDescent="0.25">
      <c r="A1639">
        <v>30</v>
      </c>
      <c r="B1639" t="s">
        <v>33</v>
      </c>
      <c r="C1639">
        <v>3</v>
      </c>
      <c r="D1639" t="s">
        <v>109</v>
      </c>
      <c r="E1639" t="b">
        <v>0</v>
      </c>
      <c r="F1639" s="1">
        <v>0.33680555555555558</v>
      </c>
      <c r="G1639" s="1">
        <v>0.37916666666666665</v>
      </c>
      <c r="H1639">
        <v>61</v>
      </c>
      <c r="I1639" t="b">
        <v>1</v>
      </c>
      <c r="J1639" t="b">
        <v>1</v>
      </c>
      <c r="K1639" t="b">
        <v>0</v>
      </c>
      <c r="L1639" t="s">
        <v>47</v>
      </c>
      <c r="M1639">
        <v>30</v>
      </c>
      <c r="N1639" t="s">
        <v>64</v>
      </c>
      <c r="O1639">
        <v>22.5</v>
      </c>
      <c r="P1639" t="s">
        <v>30</v>
      </c>
      <c r="Q1639">
        <v>0.05</v>
      </c>
      <c r="R1639">
        <v>21.375</v>
      </c>
      <c r="S1639" t="s">
        <v>37</v>
      </c>
      <c r="T1639" t="s">
        <v>65</v>
      </c>
      <c r="U1639">
        <v>33.770099999999999</v>
      </c>
      <c r="V1639">
        <v>-118.19370000000001</v>
      </c>
      <c r="W1639" s="2">
        <v>44774</v>
      </c>
      <c r="X1639">
        <v>2</v>
      </c>
      <c r="Y1639" t="b">
        <v>1</v>
      </c>
      <c r="Z1639" s="2">
        <v>45801</v>
      </c>
      <c r="AA1639" t="str">
        <f t="shared" si="251"/>
        <v>30–39</v>
      </c>
      <c r="AB1639" t="str">
        <f t="shared" si="252"/>
        <v>30–39</v>
      </c>
      <c r="AC1639" t="str">
        <f t="shared" si="253"/>
        <v/>
      </c>
      <c r="AD1639" t="str">
        <f t="shared" si="254"/>
        <v>Tuesday</v>
      </c>
      <c r="AE1639" t="str">
        <f t="shared" si="255"/>
        <v/>
      </c>
      <c r="AF1639" t="str">
        <f t="shared" si="256"/>
        <v>Thursday</v>
      </c>
      <c r="AG1639" t="str">
        <f t="shared" si="257"/>
        <v>Friday</v>
      </c>
      <c r="AH1639" t="str">
        <f t="shared" si="258"/>
        <v/>
      </c>
      <c r="AI1639" t="str">
        <f t="shared" si="259"/>
        <v/>
      </c>
      <c r="AJ1639" t="str">
        <f>LEFT(Table1[[#This Row],[membership_type]],2)&amp;TEXT(Table1[[#This Row],[age]],"00")&amp;"-"&amp;TEXT(ROW(),"000")</f>
        <v>St30-1639</v>
      </c>
      <c r="AK1639" t="str">
        <f>LEFT(Table1[[#This Row],[membership_type]],1)&amp;TEXT(MATCH(Table1[[#This Row],[membership_type]],Table1[membership_type],0),"00")</f>
        <v>S02</v>
      </c>
      <c r="AL1639" t="str">
        <f>LEFT(Table1[[#This Row],[discount_type]],1)&amp;TEXT(ROUND(Table1[[#This Row],[discount_rate]]*100,0),"00")</f>
        <v>P05</v>
      </c>
      <c r="AM1639" t="str" cm="1">
        <f t="array" ref="AM1639">TEXT(SUMPRODUCT(CODE(MID(Table1[[#This Row],[home_gym_location]],_xlfn.SEQUENCE(LEN(Table1[[#This Row],[home_gym_location]])),1))),"00000")</f>
        <v>01107</v>
      </c>
      <c r="AN163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39" t="str">
        <f>LEFT(_xlfn.TEXTBEFORE(Table1[[#This Row],[Location Identifier]],"-"),3) &amp; "-" &amp; _xlfn.TEXTAFTER(Table1[[#This Row],[Location Identifier]],"-")</f>
        <v>LON-004</v>
      </c>
      <c r="AP1639" s="9">
        <f t="shared" ca="1" si="250"/>
        <v>45869</v>
      </c>
    </row>
    <row r="1640" spans="1:42" x14ac:dyDescent="0.25">
      <c r="A1640">
        <v>49</v>
      </c>
      <c r="B1640" t="s">
        <v>42</v>
      </c>
      <c r="C1640">
        <v>1</v>
      </c>
      <c r="D1640" t="s">
        <v>75</v>
      </c>
      <c r="E1640" t="b">
        <v>1</v>
      </c>
      <c r="F1640" s="1">
        <v>0.63680555555555551</v>
      </c>
      <c r="G1640" s="1">
        <v>0.70833333333333337</v>
      </c>
      <c r="H1640">
        <v>103</v>
      </c>
      <c r="I1640" t="b">
        <v>1</v>
      </c>
      <c r="J1640" t="b">
        <v>0</v>
      </c>
      <c r="K1640" t="b">
        <v>0</v>
      </c>
      <c r="L1640" t="s">
        <v>35</v>
      </c>
      <c r="M1640">
        <v>20</v>
      </c>
      <c r="N1640" t="s">
        <v>29</v>
      </c>
      <c r="O1640">
        <v>20</v>
      </c>
      <c r="P1640" t="s">
        <v>30</v>
      </c>
      <c r="Q1640">
        <v>0.05</v>
      </c>
      <c r="R1640">
        <v>19</v>
      </c>
      <c r="S1640" t="s">
        <v>44</v>
      </c>
      <c r="T1640" t="s">
        <v>59</v>
      </c>
      <c r="U1640">
        <v>37.774900000000002</v>
      </c>
      <c r="V1640">
        <v>-122.4194</v>
      </c>
      <c r="W1640" s="2">
        <v>44843</v>
      </c>
      <c r="X1640">
        <v>0</v>
      </c>
      <c r="Y1640" t="b">
        <v>0</v>
      </c>
      <c r="Z1640" s="2">
        <v>45805</v>
      </c>
      <c r="AA1640" t="str">
        <f t="shared" si="251"/>
        <v>40–49</v>
      </c>
      <c r="AB1640" t="str">
        <f t="shared" si="252"/>
        <v>40–49</v>
      </c>
      <c r="AC1640" t="str">
        <f t="shared" si="253"/>
        <v/>
      </c>
      <c r="AD1640" t="str">
        <f t="shared" si="254"/>
        <v/>
      </c>
      <c r="AE1640" t="str">
        <f t="shared" si="255"/>
        <v/>
      </c>
      <c r="AF1640" t="str">
        <f t="shared" si="256"/>
        <v/>
      </c>
      <c r="AG1640" t="str">
        <f t="shared" si="257"/>
        <v>Friday</v>
      </c>
      <c r="AH1640" t="str">
        <f t="shared" si="258"/>
        <v/>
      </c>
      <c r="AI1640" t="str">
        <f t="shared" si="259"/>
        <v/>
      </c>
      <c r="AJ1640" t="str">
        <f>LEFT(Table1[[#This Row],[membership_type]],2)&amp;TEXT(Table1[[#This Row],[age]],"00")&amp;"-"&amp;TEXT(ROW(),"000")</f>
        <v>Ba49-1640</v>
      </c>
      <c r="AK1640" t="str">
        <f>LEFT(Table1[[#This Row],[membership_type]],1)&amp;TEXT(MATCH(Table1[[#This Row],[membership_type]],Table1[membership_type],0),"00")</f>
        <v>B04</v>
      </c>
      <c r="AL1640" t="str">
        <f>LEFT(Table1[[#This Row],[discount_type]],1)&amp;TEXT(ROUND(Table1[[#This Row],[discount_rate]]*100,0),"00")</f>
        <v>P05</v>
      </c>
      <c r="AM1640" t="str" cm="1">
        <f t="array" ref="AM1640">TEXT(SUMPRODUCT(CODE(MID(Table1[[#This Row],[home_gym_location]],_xlfn.SEQUENCE(LEN(Table1[[#This Row],[home_gym_location]])),1))),"00000")</f>
        <v>01450</v>
      </c>
      <c r="AN1640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40" t="str">
        <f>LEFT(_xlfn.TEXTBEFORE(Table1[[#This Row],[Location Identifier]],"-"),3) &amp; "-" &amp; _xlfn.TEXTAFTER(Table1[[#This Row],[Location Identifier]],"-")</f>
        <v>SAN-009</v>
      </c>
      <c r="AP1640" s="9">
        <f t="shared" ca="1" si="250"/>
        <v>45869</v>
      </c>
    </row>
    <row r="1641" spans="1:42" x14ac:dyDescent="0.25">
      <c r="A1641">
        <v>35</v>
      </c>
      <c r="B1641" t="s">
        <v>33</v>
      </c>
      <c r="C1641">
        <v>3</v>
      </c>
      <c r="D1641" t="s">
        <v>129</v>
      </c>
      <c r="E1641" t="b">
        <v>0</v>
      </c>
      <c r="F1641" s="1">
        <v>0.62638888888888888</v>
      </c>
      <c r="G1641" s="1">
        <v>0.68680555555555556</v>
      </c>
      <c r="H1641">
        <v>87</v>
      </c>
      <c r="I1641" t="b">
        <v>0</v>
      </c>
      <c r="J1641" t="b">
        <v>0</v>
      </c>
      <c r="K1641" t="b">
        <v>0</v>
      </c>
      <c r="L1641" t="s">
        <v>28</v>
      </c>
      <c r="M1641">
        <v>30</v>
      </c>
      <c r="N1641" t="s">
        <v>29</v>
      </c>
      <c r="O1641">
        <v>30</v>
      </c>
      <c r="P1641" t="s">
        <v>40</v>
      </c>
      <c r="Q1641">
        <v>0.1</v>
      </c>
      <c r="R1641">
        <v>27</v>
      </c>
      <c r="S1641" t="s">
        <v>37</v>
      </c>
      <c r="T1641" t="s">
        <v>56</v>
      </c>
      <c r="U1641">
        <v>35.3733</v>
      </c>
      <c r="V1641">
        <v>-119.0187</v>
      </c>
      <c r="W1641" s="2">
        <v>45255</v>
      </c>
      <c r="X1641">
        <v>0</v>
      </c>
      <c r="Y1641" t="b">
        <v>0</v>
      </c>
      <c r="Z1641" s="2">
        <v>45828</v>
      </c>
      <c r="AA1641" t="str">
        <f t="shared" si="251"/>
        <v>30–39</v>
      </c>
      <c r="AB1641" t="str">
        <f t="shared" si="252"/>
        <v>30–39</v>
      </c>
      <c r="AC1641" t="str">
        <f t="shared" si="253"/>
        <v/>
      </c>
      <c r="AD1641" t="str">
        <f t="shared" si="254"/>
        <v>Tuesday</v>
      </c>
      <c r="AE1641" t="str">
        <f t="shared" si="255"/>
        <v>Wednesday</v>
      </c>
      <c r="AF1641" t="str">
        <f t="shared" si="256"/>
        <v/>
      </c>
      <c r="AG1641" t="str">
        <f t="shared" si="257"/>
        <v/>
      </c>
      <c r="AH1641" t="str">
        <f t="shared" si="258"/>
        <v/>
      </c>
      <c r="AI1641" t="str">
        <f t="shared" si="259"/>
        <v>Sunday</v>
      </c>
      <c r="AJ1641" t="str">
        <f>LEFT(Table1[[#This Row],[membership_type]],2)&amp;TEXT(Table1[[#This Row],[age]],"00")&amp;"-"&amp;TEXT(ROW(),"000")</f>
        <v>St35-1641</v>
      </c>
      <c r="AK1641" t="str">
        <f>LEFT(Table1[[#This Row],[membership_type]],1)&amp;TEXT(MATCH(Table1[[#This Row],[membership_type]],Table1[membership_type],0),"00")</f>
        <v>S02</v>
      </c>
      <c r="AL1641" t="str">
        <f>LEFT(Table1[[#This Row],[discount_type]],1)&amp;TEXT(ROUND(Table1[[#This Row],[discount_rate]]*100,0),"00")</f>
        <v>L10</v>
      </c>
      <c r="AM1641" t="str" cm="1">
        <f t="array" ref="AM1641">TEXT(SUMPRODUCT(CODE(MID(Table1[[#This Row],[home_gym_location]],_xlfn.SEQUENCE(LEN(Table1[[#This Row],[home_gym_location]])),1))),"00000")</f>
        <v>01324</v>
      </c>
      <c r="AN164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41" t="str">
        <f>LEFT(_xlfn.TEXTBEFORE(Table1[[#This Row],[Location Identifier]],"-"),3) &amp; "-" &amp; _xlfn.TEXTAFTER(Table1[[#This Row],[Location Identifier]],"-")</f>
        <v>BAK-002</v>
      </c>
      <c r="AP1641" s="9">
        <f t="shared" ca="1" si="250"/>
        <v>45869</v>
      </c>
    </row>
    <row r="1642" spans="1:42" x14ac:dyDescent="0.25">
      <c r="A1642">
        <v>24</v>
      </c>
      <c r="B1642" t="s">
        <v>26</v>
      </c>
      <c r="C1642">
        <v>1</v>
      </c>
      <c r="D1642" t="s">
        <v>95</v>
      </c>
      <c r="E1642" t="b">
        <v>0</v>
      </c>
      <c r="F1642" s="1">
        <v>0.70208333333333328</v>
      </c>
      <c r="G1642" s="1">
        <v>0.77152777777777781</v>
      </c>
      <c r="H1642">
        <v>100</v>
      </c>
      <c r="I1642" t="b">
        <v>0</v>
      </c>
      <c r="J1642" t="b">
        <v>1</v>
      </c>
      <c r="K1642" t="b">
        <v>1</v>
      </c>
      <c r="L1642" t="s">
        <v>62</v>
      </c>
      <c r="M1642">
        <v>50</v>
      </c>
      <c r="N1642" t="s">
        <v>29</v>
      </c>
      <c r="O1642">
        <v>50</v>
      </c>
      <c r="P1642" t="s">
        <v>36</v>
      </c>
      <c r="Q1642">
        <v>0</v>
      </c>
      <c r="R1642">
        <v>50</v>
      </c>
      <c r="S1642" t="s">
        <v>31</v>
      </c>
      <c r="T1642" t="s">
        <v>48</v>
      </c>
      <c r="U1642">
        <v>38.581600000000002</v>
      </c>
      <c r="V1642">
        <v>-121.4944</v>
      </c>
      <c r="W1642" s="2">
        <v>44934</v>
      </c>
      <c r="X1642">
        <v>5</v>
      </c>
      <c r="Y1642" t="b">
        <v>0</v>
      </c>
      <c r="Z1642" s="2">
        <v>45810</v>
      </c>
      <c r="AA1642" t="str">
        <f t="shared" si="251"/>
        <v>20–29</v>
      </c>
      <c r="AB1642" t="str">
        <f t="shared" si="252"/>
        <v>20–29</v>
      </c>
      <c r="AC1642" t="str">
        <f t="shared" si="253"/>
        <v/>
      </c>
      <c r="AD1642" t="str">
        <f t="shared" si="254"/>
        <v/>
      </c>
      <c r="AE1642" t="str">
        <f t="shared" si="255"/>
        <v/>
      </c>
      <c r="AF1642" t="str">
        <f t="shared" si="256"/>
        <v/>
      </c>
      <c r="AG1642" t="str">
        <f t="shared" si="257"/>
        <v/>
      </c>
      <c r="AH1642" t="str">
        <f t="shared" si="258"/>
        <v>Saturday</v>
      </c>
      <c r="AI1642" t="str">
        <f t="shared" si="259"/>
        <v/>
      </c>
      <c r="AJ1642" t="str">
        <f>LEFT(Table1[[#This Row],[membership_type]],2)&amp;TEXT(Table1[[#This Row],[age]],"00")&amp;"-"&amp;TEXT(ROW(),"000")</f>
        <v>Pr24-1642</v>
      </c>
      <c r="AK1642" t="str">
        <f>LEFT(Table1[[#This Row],[membership_type]],1)&amp;TEXT(MATCH(Table1[[#This Row],[membership_type]],Table1[membership_type],0),"00")</f>
        <v>P01</v>
      </c>
      <c r="AL1642" t="str">
        <f>LEFT(Table1[[#This Row],[discount_type]],1)&amp;TEXT(ROUND(Table1[[#This Row],[discount_rate]]*100,0),"00")</f>
        <v>N00</v>
      </c>
      <c r="AM1642" t="str" cm="1">
        <f t="array" ref="AM1642">TEXT(SUMPRODUCT(CODE(MID(Table1[[#This Row],[home_gym_location]],_xlfn.SEQUENCE(LEN(Table1[[#This Row],[home_gym_location]])),1))),"00000")</f>
        <v>01245</v>
      </c>
      <c r="AN164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42" t="str">
        <f>LEFT(_xlfn.TEXTBEFORE(Table1[[#This Row],[Location Identifier]],"-"),3) &amp; "-" &amp; _xlfn.TEXTAFTER(Table1[[#This Row],[Location Identifier]],"-")</f>
        <v>SAC-007</v>
      </c>
      <c r="AP1642" s="9">
        <f t="shared" ca="1" si="250"/>
        <v>45869</v>
      </c>
    </row>
    <row r="1643" spans="1:42" x14ac:dyDescent="0.25">
      <c r="A1643">
        <v>49</v>
      </c>
      <c r="B1643" t="s">
        <v>26</v>
      </c>
      <c r="C1643">
        <v>2</v>
      </c>
      <c r="D1643" t="s">
        <v>126</v>
      </c>
      <c r="E1643" t="b">
        <v>0</v>
      </c>
      <c r="F1643" s="1">
        <v>0.42430555555555555</v>
      </c>
      <c r="G1643" s="1">
        <v>0.4777777777777778</v>
      </c>
      <c r="H1643">
        <v>77</v>
      </c>
      <c r="I1643" t="b">
        <v>1</v>
      </c>
      <c r="J1643" t="b">
        <v>1</v>
      </c>
      <c r="K1643" t="b">
        <v>0</v>
      </c>
      <c r="L1643" t="s">
        <v>62</v>
      </c>
      <c r="M1643">
        <v>50</v>
      </c>
      <c r="N1643" t="s">
        <v>29</v>
      </c>
      <c r="O1643">
        <v>50</v>
      </c>
      <c r="P1643" t="s">
        <v>36</v>
      </c>
      <c r="Q1643">
        <v>0</v>
      </c>
      <c r="R1643">
        <v>50</v>
      </c>
      <c r="S1643" t="s">
        <v>31</v>
      </c>
      <c r="T1643" t="s">
        <v>56</v>
      </c>
      <c r="U1643">
        <v>35.3733</v>
      </c>
      <c r="V1643">
        <v>-119.0187</v>
      </c>
      <c r="W1643" s="2">
        <v>45276</v>
      </c>
      <c r="X1643">
        <v>5</v>
      </c>
      <c r="Y1643" t="b">
        <v>1</v>
      </c>
      <c r="Z1643" s="2">
        <v>45829</v>
      </c>
      <c r="AA1643" t="str">
        <f t="shared" si="251"/>
        <v>40–49</v>
      </c>
      <c r="AB1643" t="str">
        <f t="shared" si="252"/>
        <v>40–49</v>
      </c>
      <c r="AC1643" t="str">
        <f t="shared" si="253"/>
        <v/>
      </c>
      <c r="AD1643" t="str">
        <f t="shared" si="254"/>
        <v>Tuesday</v>
      </c>
      <c r="AE1643" t="str">
        <f t="shared" si="255"/>
        <v>Wednesday</v>
      </c>
      <c r="AF1643" t="str">
        <f t="shared" si="256"/>
        <v/>
      </c>
      <c r="AG1643" t="str">
        <f t="shared" si="257"/>
        <v/>
      </c>
      <c r="AH1643" t="str">
        <f t="shared" si="258"/>
        <v/>
      </c>
      <c r="AI1643" t="str">
        <f t="shared" si="259"/>
        <v/>
      </c>
      <c r="AJ1643" t="str">
        <f>LEFT(Table1[[#This Row],[membership_type]],2)&amp;TEXT(Table1[[#This Row],[age]],"00")&amp;"-"&amp;TEXT(ROW(),"000")</f>
        <v>Pr49-1643</v>
      </c>
      <c r="AK1643" t="str">
        <f>LEFT(Table1[[#This Row],[membership_type]],1)&amp;TEXT(MATCH(Table1[[#This Row],[membership_type]],Table1[membership_type],0),"00")</f>
        <v>P01</v>
      </c>
      <c r="AL1643" t="str">
        <f>LEFT(Table1[[#This Row],[discount_type]],1)&amp;TEXT(ROUND(Table1[[#This Row],[discount_rate]]*100,0),"00")</f>
        <v>N00</v>
      </c>
      <c r="AM1643" t="str" cm="1">
        <f t="array" ref="AM1643">TEXT(SUMPRODUCT(CODE(MID(Table1[[#This Row],[home_gym_location]],_xlfn.SEQUENCE(LEN(Table1[[#This Row],[home_gym_location]])),1))),"00000")</f>
        <v>01324</v>
      </c>
      <c r="AN164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43" t="str">
        <f>LEFT(_xlfn.TEXTBEFORE(Table1[[#This Row],[Location Identifier]],"-"),3) &amp; "-" &amp; _xlfn.TEXTAFTER(Table1[[#This Row],[Location Identifier]],"-")</f>
        <v>BAK-002</v>
      </c>
      <c r="AP1643" s="9">
        <f t="shared" ca="1" si="250"/>
        <v>45869</v>
      </c>
    </row>
    <row r="1644" spans="1:42" x14ac:dyDescent="0.25">
      <c r="A1644">
        <v>26</v>
      </c>
      <c r="B1644" t="s">
        <v>33</v>
      </c>
      <c r="C1644">
        <v>3</v>
      </c>
      <c r="D1644" t="s">
        <v>136</v>
      </c>
      <c r="E1644" t="b">
        <v>1</v>
      </c>
      <c r="F1644" s="1">
        <v>0.62916666666666665</v>
      </c>
      <c r="G1644" s="1">
        <v>0.73611111111111116</v>
      </c>
      <c r="H1644">
        <v>154</v>
      </c>
      <c r="I1644" t="b">
        <v>1</v>
      </c>
      <c r="J1644" t="b">
        <v>0</v>
      </c>
      <c r="K1644" t="b">
        <v>1</v>
      </c>
      <c r="L1644" t="s">
        <v>28</v>
      </c>
      <c r="M1644">
        <v>30</v>
      </c>
      <c r="N1644" t="s">
        <v>29</v>
      </c>
      <c r="O1644">
        <v>30</v>
      </c>
      <c r="P1644" t="s">
        <v>40</v>
      </c>
      <c r="Q1644">
        <v>0.1</v>
      </c>
      <c r="R1644">
        <v>27</v>
      </c>
      <c r="S1644" t="s">
        <v>37</v>
      </c>
      <c r="T1644" t="s">
        <v>48</v>
      </c>
      <c r="U1644">
        <v>38.581600000000002</v>
      </c>
      <c r="V1644">
        <v>-121.4944</v>
      </c>
      <c r="W1644" s="2">
        <v>45166</v>
      </c>
      <c r="X1644">
        <v>0</v>
      </c>
      <c r="Y1644" t="b">
        <v>0</v>
      </c>
      <c r="Z1644" s="2">
        <v>45823</v>
      </c>
      <c r="AA1644" t="str">
        <f t="shared" si="251"/>
        <v>20–29</v>
      </c>
      <c r="AB1644" t="str">
        <f t="shared" si="252"/>
        <v>20–29</v>
      </c>
      <c r="AC1644" t="str">
        <f t="shared" si="253"/>
        <v>Monday</v>
      </c>
      <c r="AD1644" t="str">
        <f t="shared" si="254"/>
        <v/>
      </c>
      <c r="AE1644" t="str">
        <f t="shared" si="255"/>
        <v/>
      </c>
      <c r="AF1644" t="str">
        <f t="shared" si="256"/>
        <v/>
      </c>
      <c r="AG1644" t="str">
        <f t="shared" si="257"/>
        <v>Friday</v>
      </c>
      <c r="AH1644" t="str">
        <f t="shared" si="258"/>
        <v>Saturday</v>
      </c>
      <c r="AI1644" t="str">
        <f t="shared" si="259"/>
        <v/>
      </c>
      <c r="AJ1644" t="str">
        <f>LEFT(Table1[[#This Row],[membership_type]],2)&amp;TEXT(Table1[[#This Row],[age]],"00")&amp;"-"&amp;TEXT(ROW(),"000")</f>
        <v>St26-1644</v>
      </c>
      <c r="AK1644" t="str">
        <f>LEFT(Table1[[#This Row],[membership_type]],1)&amp;TEXT(MATCH(Table1[[#This Row],[membership_type]],Table1[membership_type],0),"00")</f>
        <v>S02</v>
      </c>
      <c r="AL1644" t="str">
        <f>LEFT(Table1[[#This Row],[discount_type]],1)&amp;TEXT(ROUND(Table1[[#This Row],[discount_rate]]*100,0),"00")</f>
        <v>L10</v>
      </c>
      <c r="AM1644" t="str" cm="1">
        <f t="array" ref="AM1644">TEXT(SUMPRODUCT(CODE(MID(Table1[[#This Row],[home_gym_location]],_xlfn.SEQUENCE(LEN(Table1[[#This Row],[home_gym_location]])),1))),"00000")</f>
        <v>01245</v>
      </c>
      <c r="AN16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44" t="str">
        <f>LEFT(_xlfn.TEXTBEFORE(Table1[[#This Row],[Location Identifier]],"-"),3) &amp; "-" &amp; _xlfn.TEXTAFTER(Table1[[#This Row],[Location Identifier]],"-")</f>
        <v>SAC-007</v>
      </c>
      <c r="AP1644" s="9">
        <f t="shared" ca="1" si="250"/>
        <v>45869</v>
      </c>
    </row>
    <row r="1645" spans="1:42" x14ac:dyDescent="0.25">
      <c r="A1645">
        <v>21</v>
      </c>
      <c r="B1645" t="s">
        <v>42</v>
      </c>
      <c r="C1645">
        <v>5</v>
      </c>
      <c r="D1645" t="s">
        <v>152</v>
      </c>
      <c r="E1645" t="b">
        <v>1</v>
      </c>
      <c r="F1645" s="1">
        <v>0.48333333333333334</v>
      </c>
      <c r="G1645" s="1">
        <v>0.59930555555555554</v>
      </c>
      <c r="H1645">
        <v>167</v>
      </c>
      <c r="I1645" t="b">
        <v>0</v>
      </c>
      <c r="J1645" t="b">
        <v>0</v>
      </c>
      <c r="K1645" t="b">
        <v>0</v>
      </c>
      <c r="L1645" t="s">
        <v>62</v>
      </c>
      <c r="M1645">
        <v>20</v>
      </c>
      <c r="N1645" t="s">
        <v>64</v>
      </c>
      <c r="O1645">
        <v>15</v>
      </c>
      <c r="P1645" t="s">
        <v>36</v>
      </c>
      <c r="Q1645">
        <v>0</v>
      </c>
      <c r="R1645">
        <v>15</v>
      </c>
      <c r="S1645" t="s">
        <v>44</v>
      </c>
      <c r="T1645" t="s">
        <v>45</v>
      </c>
      <c r="U1645">
        <v>33.836599999999997</v>
      </c>
      <c r="V1645">
        <v>-117.9143</v>
      </c>
      <c r="W1645" s="2">
        <v>45736</v>
      </c>
      <c r="X1645">
        <v>0</v>
      </c>
      <c r="Y1645" t="b">
        <v>1</v>
      </c>
      <c r="Z1645" s="2">
        <v>45855</v>
      </c>
      <c r="AA1645" t="str">
        <f t="shared" si="251"/>
        <v>20–29</v>
      </c>
      <c r="AB1645" t="str">
        <f t="shared" si="252"/>
        <v>20–29</v>
      </c>
      <c r="AC1645" t="str">
        <f t="shared" si="253"/>
        <v>Monday</v>
      </c>
      <c r="AD1645" t="str">
        <f t="shared" si="254"/>
        <v>Tuesday</v>
      </c>
      <c r="AE1645" t="str">
        <f t="shared" si="255"/>
        <v>Wednesday</v>
      </c>
      <c r="AF1645" t="str">
        <f t="shared" si="256"/>
        <v/>
      </c>
      <c r="AG1645" t="str">
        <f t="shared" si="257"/>
        <v>Friday</v>
      </c>
      <c r="AH1645" t="str">
        <f t="shared" si="258"/>
        <v>Saturday</v>
      </c>
      <c r="AI1645" t="str">
        <f t="shared" si="259"/>
        <v/>
      </c>
      <c r="AJ1645" t="str">
        <f>LEFT(Table1[[#This Row],[membership_type]],2)&amp;TEXT(Table1[[#This Row],[age]],"00")&amp;"-"&amp;TEXT(ROW(),"000")</f>
        <v>Ba21-1645</v>
      </c>
      <c r="AK1645" t="str">
        <f>LEFT(Table1[[#This Row],[membership_type]],1)&amp;TEXT(MATCH(Table1[[#This Row],[membership_type]],Table1[membership_type],0),"00")</f>
        <v>B04</v>
      </c>
      <c r="AL1645" t="str">
        <f>LEFT(Table1[[#This Row],[discount_type]],1)&amp;TEXT(ROUND(Table1[[#This Row],[discount_rate]]*100,0),"00")</f>
        <v>N00</v>
      </c>
      <c r="AM1645" t="str" cm="1">
        <f t="array" ref="AM1645">TEXT(SUMPRODUCT(CODE(MID(Table1[[#This Row],[home_gym_location]],_xlfn.SEQUENCE(LEN(Table1[[#This Row],[home_gym_location]])),1))),"00000")</f>
        <v>00899</v>
      </c>
      <c r="AN164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45" t="str">
        <f>LEFT(_xlfn.TEXTBEFORE(Table1[[#This Row],[Location Identifier]],"-"),3) &amp; "-" &amp; _xlfn.TEXTAFTER(Table1[[#This Row],[Location Identifier]],"-")</f>
        <v>ANA-001</v>
      </c>
      <c r="AP1645" s="9">
        <f t="shared" ca="1" si="250"/>
        <v>45869</v>
      </c>
    </row>
    <row r="1646" spans="1:42" x14ac:dyDescent="0.25">
      <c r="A1646">
        <v>45</v>
      </c>
      <c r="B1646" t="s">
        <v>33</v>
      </c>
      <c r="C1646">
        <v>2</v>
      </c>
      <c r="D1646" t="s">
        <v>88</v>
      </c>
      <c r="E1646" t="b">
        <v>1</v>
      </c>
      <c r="F1646" s="1">
        <v>0.34166666666666667</v>
      </c>
      <c r="G1646" s="1">
        <v>0.42291666666666666</v>
      </c>
      <c r="H1646">
        <v>117</v>
      </c>
      <c r="I1646" t="b">
        <v>1</v>
      </c>
      <c r="J1646" t="b">
        <v>0</v>
      </c>
      <c r="K1646" t="b">
        <v>0</v>
      </c>
      <c r="L1646" t="s">
        <v>47</v>
      </c>
      <c r="M1646">
        <v>30</v>
      </c>
      <c r="N1646" t="s">
        <v>29</v>
      </c>
      <c r="O1646">
        <v>30</v>
      </c>
      <c r="P1646" t="s">
        <v>74</v>
      </c>
      <c r="Q1646">
        <v>0.15</v>
      </c>
      <c r="R1646">
        <v>25.5</v>
      </c>
      <c r="S1646" t="s">
        <v>37</v>
      </c>
      <c r="T1646" t="s">
        <v>65</v>
      </c>
      <c r="U1646">
        <v>33.770099999999999</v>
      </c>
      <c r="V1646">
        <v>-118.19370000000001</v>
      </c>
      <c r="W1646" s="2">
        <v>45026</v>
      </c>
      <c r="X1646">
        <v>0</v>
      </c>
      <c r="Y1646" t="b">
        <v>0</v>
      </c>
      <c r="Z1646" s="2">
        <v>45815</v>
      </c>
      <c r="AA1646" t="str">
        <f t="shared" si="251"/>
        <v>40–49</v>
      </c>
      <c r="AB1646" t="str">
        <f t="shared" si="252"/>
        <v>40–49</v>
      </c>
      <c r="AC1646" t="str">
        <f t="shared" si="253"/>
        <v>Monday</v>
      </c>
      <c r="AD1646" t="str">
        <f t="shared" si="254"/>
        <v/>
      </c>
      <c r="AE1646" t="str">
        <f t="shared" si="255"/>
        <v>Wednesday</v>
      </c>
      <c r="AF1646" t="str">
        <f t="shared" si="256"/>
        <v/>
      </c>
      <c r="AG1646" t="str">
        <f t="shared" si="257"/>
        <v/>
      </c>
      <c r="AH1646" t="str">
        <f t="shared" si="258"/>
        <v/>
      </c>
      <c r="AI1646" t="str">
        <f t="shared" si="259"/>
        <v/>
      </c>
      <c r="AJ1646" t="str">
        <f>LEFT(Table1[[#This Row],[membership_type]],2)&amp;TEXT(Table1[[#This Row],[age]],"00")&amp;"-"&amp;TEXT(ROW(),"000")</f>
        <v>St45-1646</v>
      </c>
      <c r="AK1646" t="str">
        <f>LEFT(Table1[[#This Row],[membership_type]],1)&amp;TEXT(MATCH(Table1[[#This Row],[membership_type]],Table1[membership_type],0),"00")</f>
        <v>S02</v>
      </c>
      <c r="AL1646" t="str">
        <f>LEFT(Table1[[#This Row],[discount_type]],1)&amp;TEXT(ROUND(Table1[[#This Row],[discount_rate]]*100,0),"00")</f>
        <v>S15</v>
      </c>
      <c r="AM1646" t="str" cm="1">
        <f t="array" ref="AM1646">TEXT(SUMPRODUCT(CODE(MID(Table1[[#This Row],[home_gym_location]],_xlfn.SEQUENCE(LEN(Table1[[#This Row],[home_gym_location]])),1))),"00000")</f>
        <v>01107</v>
      </c>
      <c r="AN164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46" t="str">
        <f>LEFT(_xlfn.TEXTBEFORE(Table1[[#This Row],[Location Identifier]],"-"),3) &amp; "-" &amp; _xlfn.TEXTAFTER(Table1[[#This Row],[Location Identifier]],"-")</f>
        <v>LON-004</v>
      </c>
      <c r="AP1646" s="9">
        <f t="shared" ca="1" si="250"/>
        <v>45869</v>
      </c>
    </row>
    <row r="1647" spans="1:42" x14ac:dyDescent="0.25">
      <c r="A1647">
        <v>47</v>
      </c>
      <c r="B1647" t="s">
        <v>33</v>
      </c>
      <c r="C1647">
        <v>2</v>
      </c>
      <c r="D1647" t="s">
        <v>92</v>
      </c>
      <c r="E1647" t="b">
        <v>0</v>
      </c>
      <c r="F1647" s="1">
        <v>0.4152777777777778</v>
      </c>
      <c r="G1647" s="1">
        <v>0.52152777777777781</v>
      </c>
      <c r="H1647">
        <v>153</v>
      </c>
      <c r="I1647" t="b">
        <v>0</v>
      </c>
      <c r="J1647" t="b">
        <v>0</v>
      </c>
      <c r="K1647" t="b">
        <v>1</v>
      </c>
      <c r="L1647" t="s">
        <v>62</v>
      </c>
      <c r="M1647">
        <v>30</v>
      </c>
      <c r="N1647" t="s">
        <v>64</v>
      </c>
      <c r="O1647">
        <v>22.5</v>
      </c>
      <c r="P1647" t="s">
        <v>30</v>
      </c>
      <c r="Q1647">
        <v>0.05</v>
      </c>
      <c r="R1647">
        <v>21.375</v>
      </c>
      <c r="S1647" t="s">
        <v>37</v>
      </c>
      <c r="T1647" t="s">
        <v>38</v>
      </c>
      <c r="U1647">
        <v>36.7378</v>
      </c>
      <c r="V1647">
        <v>-119.7871</v>
      </c>
      <c r="W1647" s="2">
        <v>45694</v>
      </c>
      <c r="X1647">
        <v>0</v>
      </c>
      <c r="Y1647" t="b">
        <v>0</v>
      </c>
      <c r="Z1647" s="2">
        <v>45853</v>
      </c>
      <c r="AA1647" t="str">
        <f t="shared" si="251"/>
        <v>40–49</v>
      </c>
      <c r="AB1647" t="str">
        <f t="shared" si="252"/>
        <v>40–49</v>
      </c>
      <c r="AC1647" t="str">
        <f t="shared" si="253"/>
        <v/>
      </c>
      <c r="AD1647" t="str">
        <f t="shared" si="254"/>
        <v/>
      </c>
      <c r="AE1647" t="str">
        <f t="shared" si="255"/>
        <v/>
      </c>
      <c r="AF1647" t="str">
        <f t="shared" si="256"/>
        <v/>
      </c>
      <c r="AG1647" t="str">
        <f t="shared" si="257"/>
        <v>Friday</v>
      </c>
      <c r="AH1647" t="str">
        <f t="shared" si="258"/>
        <v/>
      </c>
      <c r="AI1647" t="str">
        <f t="shared" si="259"/>
        <v>Sunday</v>
      </c>
      <c r="AJ1647" t="str">
        <f>LEFT(Table1[[#This Row],[membership_type]],2)&amp;TEXT(Table1[[#This Row],[age]],"00")&amp;"-"&amp;TEXT(ROW(),"000")</f>
        <v>St47-1647</v>
      </c>
      <c r="AK1647" t="str">
        <f>LEFT(Table1[[#This Row],[membership_type]],1)&amp;TEXT(MATCH(Table1[[#This Row],[membership_type]],Table1[membership_type],0),"00")</f>
        <v>S02</v>
      </c>
      <c r="AL1647" t="str">
        <f>LEFT(Table1[[#This Row],[discount_type]],1)&amp;TEXT(ROUND(Table1[[#This Row],[discount_rate]]*100,0),"00")</f>
        <v>P05</v>
      </c>
      <c r="AM1647" t="str" cm="1">
        <f t="array" ref="AM1647">TEXT(SUMPRODUCT(CODE(MID(Table1[[#This Row],[home_gym_location]],_xlfn.SEQUENCE(LEN(Table1[[#This Row],[home_gym_location]])),1))),"00000")</f>
        <v>00829</v>
      </c>
      <c r="AN1647" t="str">
        <f>UPPER(_xlfn.TEXTBEFORE(Table1[[#This Row],[home_gym_location]],","))&amp;"-"&amp;TEXT(MATCH(Table1[[#This Row],[home_gym_location]],_xlfn._xlws.SORT(_xlfn.UNIQUE(Table1[home_gym_location])),0),"000")</f>
        <v>FRESNO-003</v>
      </c>
      <c r="AO1647" t="str">
        <f>LEFT(_xlfn.TEXTBEFORE(Table1[[#This Row],[Location Identifier]],"-"),3) &amp; "-" &amp; _xlfn.TEXTAFTER(Table1[[#This Row],[Location Identifier]],"-")</f>
        <v>FRE-003</v>
      </c>
      <c r="AP1647" s="9">
        <f t="shared" ca="1" si="250"/>
        <v>45869</v>
      </c>
    </row>
    <row r="1648" spans="1:42" x14ac:dyDescent="0.25">
      <c r="A1648">
        <v>36</v>
      </c>
      <c r="B1648" t="s">
        <v>26</v>
      </c>
      <c r="C1648">
        <v>2</v>
      </c>
      <c r="D1648" t="s">
        <v>123</v>
      </c>
      <c r="E1648" t="b">
        <v>1</v>
      </c>
      <c r="F1648" s="1">
        <v>0.38055555555555554</v>
      </c>
      <c r="G1648" s="1">
        <v>0.47152777777777777</v>
      </c>
      <c r="H1648">
        <v>131</v>
      </c>
      <c r="I1648" t="b">
        <v>1</v>
      </c>
      <c r="J1648" t="b">
        <v>1</v>
      </c>
      <c r="K1648" t="b">
        <v>0</v>
      </c>
      <c r="L1648" t="s">
        <v>62</v>
      </c>
      <c r="M1648">
        <v>50</v>
      </c>
      <c r="N1648" t="s">
        <v>29</v>
      </c>
      <c r="O1648">
        <v>50</v>
      </c>
      <c r="P1648" t="s">
        <v>74</v>
      </c>
      <c r="Q1648">
        <v>0.15</v>
      </c>
      <c r="R1648">
        <v>42.5</v>
      </c>
      <c r="S1648" t="s">
        <v>31</v>
      </c>
      <c r="T1648" t="s">
        <v>45</v>
      </c>
      <c r="U1648">
        <v>33.836599999999997</v>
      </c>
      <c r="V1648">
        <v>-117.9143</v>
      </c>
      <c r="W1648" s="2">
        <v>44951</v>
      </c>
      <c r="X1648">
        <v>2</v>
      </c>
      <c r="Y1648" t="b">
        <v>1</v>
      </c>
      <c r="Z1648" s="2">
        <v>45811</v>
      </c>
      <c r="AA1648" t="str">
        <f t="shared" si="251"/>
        <v>30–39</v>
      </c>
      <c r="AB1648" t="str">
        <f t="shared" si="252"/>
        <v>30–39</v>
      </c>
      <c r="AC1648" t="str">
        <f t="shared" si="253"/>
        <v>Monday</v>
      </c>
      <c r="AD1648" t="str">
        <f t="shared" si="254"/>
        <v/>
      </c>
      <c r="AE1648" t="str">
        <f t="shared" si="255"/>
        <v/>
      </c>
      <c r="AF1648" t="str">
        <f t="shared" si="256"/>
        <v/>
      </c>
      <c r="AG1648" t="str">
        <f t="shared" si="257"/>
        <v/>
      </c>
      <c r="AH1648" t="str">
        <f t="shared" si="258"/>
        <v>Saturday</v>
      </c>
      <c r="AI1648" t="str">
        <f t="shared" si="259"/>
        <v/>
      </c>
      <c r="AJ1648" t="str">
        <f>LEFT(Table1[[#This Row],[membership_type]],2)&amp;TEXT(Table1[[#This Row],[age]],"00")&amp;"-"&amp;TEXT(ROW(),"000")</f>
        <v>Pr36-1648</v>
      </c>
      <c r="AK1648" t="str">
        <f>LEFT(Table1[[#This Row],[membership_type]],1)&amp;TEXT(MATCH(Table1[[#This Row],[membership_type]],Table1[membership_type],0),"00")</f>
        <v>P01</v>
      </c>
      <c r="AL1648" t="str">
        <f>LEFT(Table1[[#This Row],[discount_type]],1)&amp;TEXT(ROUND(Table1[[#This Row],[discount_rate]]*100,0),"00")</f>
        <v>S15</v>
      </c>
      <c r="AM1648" t="str" cm="1">
        <f t="array" ref="AM1648">TEXT(SUMPRODUCT(CODE(MID(Table1[[#This Row],[home_gym_location]],_xlfn.SEQUENCE(LEN(Table1[[#This Row],[home_gym_location]])),1))),"00000")</f>
        <v>00899</v>
      </c>
      <c r="AN164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48" t="str">
        <f>LEFT(_xlfn.TEXTBEFORE(Table1[[#This Row],[Location Identifier]],"-"),3) &amp; "-" &amp; _xlfn.TEXTAFTER(Table1[[#This Row],[Location Identifier]],"-")</f>
        <v>ANA-001</v>
      </c>
      <c r="AP1648" s="9">
        <f t="shared" ca="1" si="250"/>
        <v>45869</v>
      </c>
    </row>
    <row r="1649" spans="1:42" x14ac:dyDescent="0.25">
      <c r="A1649">
        <v>25</v>
      </c>
      <c r="B1649" t="s">
        <v>26</v>
      </c>
      <c r="C1649">
        <v>2</v>
      </c>
      <c r="D1649" t="s">
        <v>126</v>
      </c>
      <c r="E1649" t="b">
        <v>0</v>
      </c>
      <c r="F1649" s="1">
        <v>0.84722222222222221</v>
      </c>
      <c r="G1649" s="1">
        <v>0.96527777777777779</v>
      </c>
      <c r="H1649">
        <v>170</v>
      </c>
      <c r="I1649" t="b">
        <v>1</v>
      </c>
      <c r="J1649" t="b">
        <v>0</v>
      </c>
      <c r="K1649" t="b">
        <v>0</v>
      </c>
      <c r="L1649" t="s">
        <v>47</v>
      </c>
      <c r="M1649">
        <v>50</v>
      </c>
      <c r="N1649" t="s">
        <v>78</v>
      </c>
      <c r="O1649">
        <v>45</v>
      </c>
      <c r="P1649" t="s">
        <v>30</v>
      </c>
      <c r="Q1649">
        <v>0.05</v>
      </c>
      <c r="R1649">
        <v>42.75</v>
      </c>
      <c r="S1649" t="s">
        <v>31</v>
      </c>
      <c r="T1649" t="s">
        <v>38</v>
      </c>
      <c r="U1649">
        <v>36.7378</v>
      </c>
      <c r="V1649">
        <v>-119.7871</v>
      </c>
      <c r="W1649" s="2">
        <v>44998</v>
      </c>
      <c r="X1649">
        <v>0</v>
      </c>
      <c r="Y1649" t="b">
        <v>1</v>
      </c>
      <c r="Z1649" s="2">
        <v>45814</v>
      </c>
      <c r="AA1649" t="str">
        <f t="shared" si="251"/>
        <v>20–29</v>
      </c>
      <c r="AB1649" t="str">
        <f t="shared" si="252"/>
        <v>20–29</v>
      </c>
      <c r="AC1649" t="str">
        <f t="shared" si="253"/>
        <v/>
      </c>
      <c r="AD1649" t="str">
        <f t="shared" si="254"/>
        <v>Tuesday</v>
      </c>
      <c r="AE1649" t="str">
        <f t="shared" si="255"/>
        <v>Wednesday</v>
      </c>
      <c r="AF1649" t="str">
        <f t="shared" si="256"/>
        <v/>
      </c>
      <c r="AG1649" t="str">
        <f t="shared" si="257"/>
        <v/>
      </c>
      <c r="AH1649" t="str">
        <f t="shared" si="258"/>
        <v/>
      </c>
      <c r="AI1649" t="str">
        <f t="shared" si="259"/>
        <v/>
      </c>
      <c r="AJ1649" t="str">
        <f>LEFT(Table1[[#This Row],[membership_type]],2)&amp;TEXT(Table1[[#This Row],[age]],"00")&amp;"-"&amp;TEXT(ROW(),"000")</f>
        <v>Pr25-1649</v>
      </c>
      <c r="AK1649" t="str">
        <f>LEFT(Table1[[#This Row],[membership_type]],1)&amp;TEXT(MATCH(Table1[[#This Row],[membership_type]],Table1[membership_type],0),"00")</f>
        <v>P01</v>
      </c>
      <c r="AL1649" t="str">
        <f>LEFT(Table1[[#This Row],[discount_type]],1)&amp;TEXT(ROUND(Table1[[#This Row],[discount_rate]]*100,0),"00")</f>
        <v>P05</v>
      </c>
      <c r="AM1649" t="str" cm="1">
        <f t="array" ref="AM1649">TEXT(SUMPRODUCT(CODE(MID(Table1[[#This Row],[home_gym_location]],_xlfn.SEQUENCE(LEN(Table1[[#This Row],[home_gym_location]])),1))),"00000")</f>
        <v>00829</v>
      </c>
      <c r="AN1649" t="str">
        <f>UPPER(_xlfn.TEXTBEFORE(Table1[[#This Row],[home_gym_location]],","))&amp;"-"&amp;TEXT(MATCH(Table1[[#This Row],[home_gym_location]],_xlfn._xlws.SORT(_xlfn.UNIQUE(Table1[home_gym_location])),0),"000")</f>
        <v>FRESNO-003</v>
      </c>
      <c r="AO1649" t="str">
        <f>LEFT(_xlfn.TEXTBEFORE(Table1[[#This Row],[Location Identifier]],"-"),3) &amp; "-" &amp; _xlfn.TEXTAFTER(Table1[[#This Row],[Location Identifier]],"-")</f>
        <v>FRE-003</v>
      </c>
      <c r="AP1649" s="9">
        <f t="shared" ca="1" si="250"/>
        <v>45869</v>
      </c>
    </row>
    <row r="1650" spans="1:42" x14ac:dyDescent="0.25">
      <c r="A1650">
        <v>32</v>
      </c>
      <c r="B1650" t="s">
        <v>26</v>
      </c>
      <c r="C1650">
        <v>5</v>
      </c>
      <c r="D1650" t="s">
        <v>87</v>
      </c>
      <c r="E1650" t="b">
        <v>1</v>
      </c>
      <c r="F1650" s="1">
        <v>0.82013888888888886</v>
      </c>
      <c r="G1650" s="1">
        <v>0.89930555555555558</v>
      </c>
      <c r="H1650">
        <v>114</v>
      </c>
      <c r="I1650" t="b">
        <v>1</v>
      </c>
      <c r="J1650" t="b">
        <v>1</v>
      </c>
      <c r="K1650" t="b">
        <v>0</v>
      </c>
      <c r="L1650" t="s">
        <v>62</v>
      </c>
      <c r="M1650">
        <v>50</v>
      </c>
      <c r="N1650" t="s">
        <v>78</v>
      </c>
      <c r="O1650">
        <v>45</v>
      </c>
      <c r="P1650" t="s">
        <v>74</v>
      </c>
      <c r="Q1650">
        <v>0.15</v>
      </c>
      <c r="R1650">
        <v>38.25</v>
      </c>
      <c r="S1650" t="s">
        <v>31</v>
      </c>
      <c r="T1650" t="s">
        <v>54</v>
      </c>
      <c r="U1650">
        <v>32.715699999999998</v>
      </c>
      <c r="V1650">
        <v>-117.1611</v>
      </c>
      <c r="W1650" s="2">
        <v>45076</v>
      </c>
      <c r="X1650">
        <v>4</v>
      </c>
      <c r="Y1650" t="b">
        <v>1</v>
      </c>
      <c r="Z1650" s="2">
        <v>45818</v>
      </c>
      <c r="AA1650" t="str">
        <f t="shared" si="251"/>
        <v>30–39</v>
      </c>
      <c r="AB1650" t="str">
        <f t="shared" si="252"/>
        <v>30–39</v>
      </c>
      <c r="AC1650" t="str">
        <f t="shared" si="253"/>
        <v/>
      </c>
      <c r="AD1650" t="str">
        <f t="shared" si="254"/>
        <v>Tuesday</v>
      </c>
      <c r="AE1650" t="str">
        <f t="shared" si="255"/>
        <v>Wednesday</v>
      </c>
      <c r="AF1650" t="str">
        <f t="shared" si="256"/>
        <v/>
      </c>
      <c r="AG1650" t="str">
        <f t="shared" si="257"/>
        <v>Friday</v>
      </c>
      <c r="AH1650" t="str">
        <f t="shared" si="258"/>
        <v>Saturday</v>
      </c>
      <c r="AI1650" t="str">
        <f t="shared" si="259"/>
        <v>Sunday</v>
      </c>
      <c r="AJ1650" t="str">
        <f>LEFT(Table1[[#This Row],[membership_type]],2)&amp;TEXT(Table1[[#This Row],[age]],"00")&amp;"-"&amp;TEXT(ROW(),"000")</f>
        <v>Pr32-1650</v>
      </c>
      <c r="AK1650" t="str">
        <f>LEFT(Table1[[#This Row],[membership_type]],1)&amp;TEXT(MATCH(Table1[[#This Row],[membership_type]],Table1[membership_type],0),"00")</f>
        <v>P01</v>
      </c>
      <c r="AL1650" t="str">
        <f>LEFT(Table1[[#This Row],[discount_type]],1)&amp;TEXT(ROUND(Table1[[#This Row],[discount_rate]]*100,0),"00")</f>
        <v>S15</v>
      </c>
      <c r="AM1650" t="str" cm="1">
        <f t="array" ref="AM1650">TEXT(SUMPRODUCT(CODE(MID(Table1[[#This Row],[home_gym_location]],_xlfn.SEQUENCE(LEN(Table1[[#This Row],[home_gym_location]])),1))),"00000")</f>
        <v>01018</v>
      </c>
      <c r="AN165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50" t="str">
        <f>LEFT(_xlfn.TEXTBEFORE(Table1[[#This Row],[Location Identifier]],"-"),3) &amp; "-" &amp; _xlfn.TEXTAFTER(Table1[[#This Row],[Location Identifier]],"-")</f>
        <v>SAN-008</v>
      </c>
      <c r="AP1650" s="9">
        <f t="shared" ca="1" si="250"/>
        <v>45869</v>
      </c>
    </row>
    <row r="1651" spans="1:42" x14ac:dyDescent="0.25">
      <c r="A1651">
        <v>19</v>
      </c>
      <c r="B1651" t="s">
        <v>42</v>
      </c>
      <c r="C1651">
        <v>2</v>
      </c>
      <c r="D1651" t="s">
        <v>61</v>
      </c>
      <c r="E1651" t="b">
        <v>0</v>
      </c>
      <c r="F1651" s="1">
        <v>0.70625000000000004</v>
      </c>
      <c r="G1651" s="1">
        <v>0.78749999999999998</v>
      </c>
      <c r="H1651">
        <v>117</v>
      </c>
      <c r="I1651" t="b">
        <v>1</v>
      </c>
      <c r="J1651" t="b">
        <v>1</v>
      </c>
      <c r="K1651" t="b">
        <v>0</v>
      </c>
      <c r="L1651" t="s">
        <v>62</v>
      </c>
      <c r="M1651">
        <v>20</v>
      </c>
      <c r="N1651" t="s">
        <v>64</v>
      </c>
      <c r="O1651">
        <v>15</v>
      </c>
      <c r="P1651" t="s">
        <v>36</v>
      </c>
      <c r="Q1651">
        <v>0</v>
      </c>
      <c r="R1651">
        <v>15</v>
      </c>
      <c r="S1651" t="s">
        <v>44</v>
      </c>
      <c r="T1651" t="s">
        <v>48</v>
      </c>
      <c r="U1651">
        <v>38.581600000000002</v>
      </c>
      <c r="V1651">
        <v>-121.4944</v>
      </c>
      <c r="W1651" s="2">
        <v>45792</v>
      </c>
      <c r="X1651">
        <v>5</v>
      </c>
      <c r="Y1651" t="b">
        <v>1</v>
      </c>
      <c r="Z1651" s="2">
        <v>45858</v>
      </c>
      <c r="AA1651" t="str">
        <f t="shared" si="251"/>
        <v>10–19</v>
      </c>
      <c r="AB1651" t="str">
        <f t="shared" si="252"/>
        <v>16–19</v>
      </c>
      <c r="AC1651" t="str">
        <f t="shared" si="253"/>
        <v/>
      </c>
      <c r="AD1651" t="str">
        <f t="shared" si="254"/>
        <v>Tuesday</v>
      </c>
      <c r="AE1651" t="str">
        <f t="shared" si="255"/>
        <v/>
      </c>
      <c r="AF1651" t="str">
        <f t="shared" si="256"/>
        <v/>
      </c>
      <c r="AG1651" t="str">
        <f t="shared" si="257"/>
        <v/>
      </c>
      <c r="AH1651" t="str">
        <f t="shared" si="258"/>
        <v>Saturday</v>
      </c>
      <c r="AI1651" t="str">
        <f t="shared" si="259"/>
        <v/>
      </c>
      <c r="AJ1651" t="str">
        <f>LEFT(Table1[[#This Row],[membership_type]],2)&amp;TEXT(Table1[[#This Row],[age]],"00")&amp;"-"&amp;TEXT(ROW(),"000")</f>
        <v>Ba19-1651</v>
      </c>
      <c r="AK1651" t="str">
        <f>LEFT(Table1[[#This Row],[membership_type]],1)&amp;TEXT(MATCH(Table1[[#This Row],[membership_type]],Table1[membership_type],0),"00")</f>
        <v>B04</v>
      </c>
      <c r="AL1651" t="str">
        <f>LEFT(Table1[[#This Row],[discount_type]],1)&amp;TEXT(ROUND(Table1[[#This Row],[discount_rate]]*100,0),"00")</f>
        <v>N00</v>
      </c>
      <c r="AM1651" t="str" cm="1">
        <f t="array" ref="AM1651">TEXT(SUMPRODUCT(CODE(MID(Table1[[#This Row],[home_gym_location]],_xlfn.SEQUENCE(LEN(Table1[[#This Row],[home_gym_location]])),1))),"00000")</f>
        <v>01245</v>
      </c>
      <c r="AN165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51" t="str">
        <f>LEFT(_xlfn.TEXTBEFORE(Table1[[#This Row],[Location Identifier]],"-"),3) &amp; "-" &amp; _xlfn.TEXTAFTER(Table1[[#This Row],[Location Identifier]],"-")</f>
        <v>SAC-007</v>
      </c>
      <c r="AP1651" s="9">
        <f t="shared" ca="1" si="250"/>
        <v>45869</v>
      </c>
    </row>
    <row r="1652" spans="1:42" x14ac:dyDescent="0.25">
      <c r="A1652">
        <v>13</v>
      </c>
      <c r="B1652" t="s">
        <v>33</v>
      </c>
      <c r="C1652">
        <v>3</v>
      </c>
      <c r="D1652" t="s">
        <v>149</v>
      </c>
      <c r="E1652" t="b">
        <v>1</v>
      </c>
      <c r="F1652" s="1">
        <v>0.56736111111111109</v>
      </c>
      <c r="G1652" s="1">
        <v>0.58958333333333335</v>
      </c>
      <c r="H1652">
        <v>32</v>
      </c>
      <c r="I1652" t="b">
        <v>1</v>
      </c>
      <c r="J1652" t="b">
        <v>0</v>
      </c>
      <c r="K1652" t="b">
        <v>0</v>
      </c>
      <c r="L1652" t="s">
        <v>28</v>
      </c>
      <c r="M1652">
        <v>30</v>
      </c>
      <c r="N1652" t="s">
        <v>64</v>
      </c>
      <c r="O1652">
        <v>22.5</v>
      </c>
      <c r="P1652" t="s">
        <v>36</v>
      </c>
      <c r="Q1652">
        <v>0</v>
      </c>
      <c r="R1652">
        <v>22.5</v>
      </c>
      <c r="S1652" t="s">
        <v>37</v>
      </c>
      <c r="T1652" t="s">
        <v>65</v>
      </c>
      <c r="U1652">
        <v>33.770099999999999</v>
      </c>
      <c r="V1652">
        <v>-118.19370000000001</v>
      </c>
      <c r="W1652" s="2">
        <v>45508</v>
      </c>
      <c r="X1652">
        <v>0</v>
      </c>
      <c r="Y1652" t="b">
        <v>0</v>
      </c>
      <c r="Z1652" s="2">
        <v>45842</v>
      </c>
      <c r="AA1652" t="str">
        <f t="shared" si="251"/>
        <v>10–19</v>
      </c>
      <c r="AB1652" t="str">
        <f t="shared" si="252"/>
        <v>Under 16</v>
      </c>
      <c r="AC1652" t="str">
        <f t="shared" si="253"/>
        <v/>
      </c>
      <c r="AD1652" t="str">
        <f t="shared" si="254"/>
        <v/>
      </c>
      <c r="AE1652" t="str">
        <f t="shared" si="255"/>
        <v>Wednesday</v>
      </c>
      <c r="AF1652" t="str">
        <f t="shared" si="256"/>
        <v/>
      </c>
      <c r="AG1652" t="str">
        <f t="shared" si="257"/>
        <v>Friday</v>
      </c>
      <c r="AH1652" t="str">
        <f t="shared" si="258"/>
        <v>Saturday</v>
      </c>
      <c r="AI1652" t="str">
        <f t="shared" si="259"/>
        <v/>
      </c>
      <c r="AJ1652" t="str">
        <f>LEFT(Table1[[#This Row],[membership_type]],2)&amp;TEXT(Table1[[#This Row],[age]],"00")&amp;"-"&amp;TEXT(ROW(),"000")</f>
        <v>St13-1652</v>
      </c>
      <c r="AK1652" t="str">
        <f>LEFT(Table1[[#This Row],[membership_type]],1)&amp;TEXT(MATCH(Table1[[#This Row],[membership_type]],Table1[membership_type],0),"00")</f>
        <v>S02</v>
      </c>
      <c r="AL1652" t="str">
        <f>LEFT(Table1[[#This Row],[discount_type]],1)&amp;TEXT(ROUND(Table1[[#This Row],[discount_rate]]*100,0),"00")</f>
        <v>N00</v>
      </c>
      <c r="AM1652" t="str" cm="1">
        <f t="array" ref="AM1652">TEXT(SUMPRODUCT(CODE(MID(Table1[[#This Row],[home_gym_location]],_xlfn.SEQUENCE(LEN(Table1[[#This Row],[home_gym_location]])),1))),"00000")</f>
        <v>01107</v>
      </c>
      <c r="AN165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52" t="str">
        <f>LEFT(_xlfn.TEXTBEFORE(Table1[[#This Row],[Location Identifier]],"-"),3) &amp; "-" &amp; _xlfn.TEXTAFTER(Table1[[#This Row],[Location Identifier]],"-")</f>
        <v>LON-004</v>
      </c>
      <c r="AP1652" s="9">
        <f t="shared" ca="1" si="250"/>
        <v>45869</v>
      </c>
    </row>
    <row r="1653" spans="1:42" x14ac:dyDescent="0.25">
      <c r="A1653">
        <v>20</v>
      </c>
      <c r="B1653" t="s">
        <v>51</v>
      </c>
      <c r="C1653">
        <v>3</v>
      </c>
      <c r="D1653" t="s">
        <v>124</v>
      </c>
      <c r="E1653" t="b">
        <v>1</v>
      </c>
      <c r="F1653" s="1">
        <v>0.72916666666666663</v>
      </c>
      <c r="G1653" s="1">
        <v>0.80347222222222225</v>
      </c>
      <c r="H1653">
        <v>107</v>
      </c>
      <c r="I1653" t="b">
        <v>0</v>
      </c>
      <c r="J1653" t="b">
        <v>1</v>
      </c>
      <c r="K1653" t="b">
        <v>1</v>
      </c>
      <c r="L1653" t="s">
        <v>62</v>
      </c>
      <c r="M1653">
        <v>70</v>
      </c>
      <c r="N1653" t="s">
        <v>29</v>
      </c>
      <c r="O1653">
        <v>70</v>
      </c>
      <c r="P1653" t="s">
        <v>74</v>
      </c>
      <c r="Q1653">
        <v>0.15</v>
      </c>
      <c r="R1653">
        <v>59.5</v>
      </c>
      <c r="S1653" t="s">
        <v>53</v>
      </c>
      <c r="T1653" t="s">
        <v>48</v>
      </c>
      <c r="U1653">
        <v>38.581600000000002</v>
      </c>
      <c r="V1653">
        <v>-121.4944</v>
      </c>
      <c r="W1653" s="2">
        <v>45550</v>
      </c>
      <c r="X1653">
        <v>3</v>
      </c>
      <c r="Y1653" t="b">
        <v>1</v>
      </c>
      <c r="Z1653" s="2">
        <v>45845</v>
      </c>
      <c r="AA1653" t="str">
        <f t="shared" si="251"/>
        <v>20–29</v>
      </c>
      <c r="AB1653" t="str">
        <f t="shared" si="252"/>
        <v>20–29</v>
      </c>
      <c r="AC1653" t="str">
        <f t="shared" si="253"/>
        <v>Monday</v>
      </c>
      <c r="AD1653" t="str">
        <f t="shared" si="254"/>
        <v/>
      </c>
      <c r="AE1653" t="str">
        <f t="shared" si="255"/>
        <v/>
      </c>
      <c r="AF1653" t="str">
        <f t="shared" si="256"/>
        <v>Thursday</v>
      </c>
      <c r="AG1653" t="str">
        <f t="shared" si="257"/>
        <v>Friday</v>
      </c>
      <c r="AH1653" t="str">
        <f t="shared" si="258"/>
        <v/>
      </c>
      <c r="AI1653" t="str">
        <f t="shared" si="259"/>
        <v/>
      </c>
      <c r="AJ1653" t="str">
        <f>LEFT(Table1[[#This Row],[membership_type]],2)&amp;TEXT(Table1[[#This Row],[age]],"00")&amp;"-"&amp;TEXT(ROW(),"000")</f>
        <v>El20-1653</v>
      </c>
      <c r="AK1653" t="str">
        <f>LEFT(Table1[[#This Row],[membership_type]],1)&amp;TEXT(MATCH(Table1[[#This Row],[membership_type]],Table1[membership_type],0),"00")</f>
        <v>E07</v>
      </c>
      <c r="AL1653" t="str">
        <f>LEFT(Table1[[#This Row],[discount_type]],1)&amp;TEXT(ROUND(Table1[[#This Row],[discount_rate]]*100,0),"00")</f>
        <v>S15</v>
      </c>
      <c r="AM1653" t="str" cm="1">
        <f t="array" ref="AM1653">TEXT(SUMPRODUCT(CODE(MID(Table1[[#This Row],[home_gym_location]],_xlfn.SEQUENCE(LEN(Table1[[#This Row],[home_gym_location]])),1))),"00000")</f>
        <v>01245</v>
      </c>
      <c r="AN165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53" t="str">
        <f>LEFT(_xlfn.TEXTBEFORE(Table1[[#This Row],[Location Identifier]],"-"),3) &amp; "-" &amp; _xlfn.TEXTAFTER(Table1[[#This Row],[Location Identifier]],"-")</f>
        <v>SAC-007</v>
      </c>
      <c r="AP1653" s="9">
        <f t="shared" ca="1" si="250"/>
        <v>45869</v>
      </c>
    </row>
    <row r="1654" spans="1:42" x14ac:dyDescent="0.25">
      <c r="A1654">
        <v>43</v>
      </c>
      <c r="B1654" t="s">
        <v>42</v>
      </c>
      <c r="C1654">
        <v>2</v>
      </c>
      <c r="D1654" t="s">
        <v>141</v>
      </c>
      <c r="E1654" t="b">
        <v>0</v>
      </c>
      <c r="F1654" s="1">
        <v>0.54861111111111116</v>
      </c>
      <c r="G1654" s="1">
        <v>0.60069444444444442</v>
      </c>
      <c r="H1654">
        <v>75</v>
      </c>
      <c r="I1654" t="b">
        <v>0</v>
      </c>
      <c r="J1654" t="b">
        <v>1</v>
      </c>
      <c r="K1654" t="b">
        <v>1</v>
      </c>
      <c r="L1654" t="s">
        <v>62</v>
      </c>
      <c r="M1654">
        <v>20</v>
      </c>
      <c r="N1654" t="s">
        <v>29</v>
      </c>
      <c r="O1654">
        <v>20</v>
      </c>
      <c r="P1654" t="s">
        <v>74</v>
      </c>
      <c r="Q1654">
        <v>0.15</v>
      </c>
      <c r="R1654">
        <v>17</v>
      </c>
      <c r="S1654" t="s">
        <v>44</v>
      </c>
      <c r="T1654" t="s">
        <v>65</v>
      </c>
      <c r="U1654">
        <v>33.770099999999999</v>
      </c>
      <c r="V1654">
        <v>-118.19370000000001</v>
      </c>
      <c r="W1654" s="2">
        <v>45447</v>
      </c>
      <c r="X1654">
        <v>7</v>
      </c>
      <c r="Y1654" t="b">
        <v>1</v>
      </c>
      <c r="Z1654" s="2">
        <v>45839</v>
      </c>
      <c r="AA1654" t="str">
        <f t="shared" si="251"/>
        <v>40–49</v>
      </c>
      <c r="AB1654" t="str">
        <f t="shared" si="252"/>
        <v>40–49</v>
      </c>
      <c r="AC1654" t="str">
        <f t="shared" si="253"/>
        <v/>
      </c>
      <c r="AD1654" t="str">
        <f t="shared" si="254"/>
        <v/>
      </c>
      <c r="AE1654" t="str">
        <f t="shared" si="255"/>
        <v>Wednesday</v>
      </c>
      <c r="AF1654" t="str">
        <f t="shared" si="256"/>
        <v/>
      </c>
      <c r="AG1654" t="str">
        <f t="shared" si="257"/>
        <v>Friday</v>
      </c>
      <c r="AH1654" t="str">
        <f t="shared" si="258"/>
        <v/>
      </c>
      <c r="AI1654" t="str">
        <f t="shared" si="259"/>
        <v/>
      </c>
      <c r="AJ1654" t="str">
        <f>LEFT(Table1[[#This Row],[membership_type]],2)&amp;TEXT(Table1[[#This Row],[age]],"00")&amp;"-"&amp;TEXT(ROW(),"000")</f>
        <v>Ba43-1654</v>
      </c>
      <c r="AK1654" t="str">
        <f>LEFT(Table1[[#This Row],[membership_type]],1)&amp;TEXT(MATCH(Table1[[#This Row],[membership_type]],Table1[membership_type],0),"00")</f>
        <v>B04</v>
      </c>
      <c r="AL1654" t="str">
        <f>LEFT(Table1[[#This Row],[discount_type]],1)&amp;TEXT(ROUND(Table1[[#This Row],[discount_rate]]*100,0),"00")</f>
        <v>S15</v>
      </c>
      <c r="AM1654" t="str" cm="1">
        <f t="array" ref="AM1654">TEXT(SUMPRODUCT(CODE(MID(Table1[[#This Row],[home_gym_location]],_xlfn.SEQUENCE(LEN(Table1[[#This Row],[home_gym_location]])),1))),"00000")</f>
        <v>01107</v>
      </c>
      <c r="AN165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54" t="str">
        <f>LEFT(_xlfn.TEXTBEFORE(Table1[[#This Row],[Location Identifier]],"-"),3) &amp; "-" &amp; _xlfn.TEXTAFTER(Table1[[#This Row],[Location Identifier]],"-")</f>
        <v>LON-004</v>
      </c>
      <c r="AP1654" s="9">
        <f t="shared" ca="1" si="250"/>
        <v>45869</v>
      </c>
    </row>
    <row r="1655" spans="1:42" x14ac:dyDescent="0.25">
      <c r="A1655">
        <v>26</v>
      </c>
      <c r="B1655" t="s">
        <v>33</v>
      </c>
      <c r="C1655">
        <v>4</v>
      </c>
      <c r="D1655" t="s">
        <v>132</v>
      </c>
      <c r="E1655" t="b">
        <v>1</v>
      </c>
      <c r="F1655" s="1">
        <v>0.54374999999999996</v>
      </c>
      <c r="G1655" s="1">
        <v>0.65208333333333335</v>
      </c>
      <c r="H1655">
        <v>156</v>
      </c>
      <c r="I1655" t="b">
        <v>0</v>
      </c>
      <c r="J1655" t="b">
        <v>1</v>
      </c>
      <c r="K1655" t="b">
        <v>1</v>
      </c>
      <c r="L1655" t="s">
        <v>47</v>
      </c>
      <c r="M1655">
        <v>30</v>
      </c>
      <c r="N1655" t="s">
        <v>64</v>
      </c>
      <c r="O1655">
        <v>22.5</v>
      </c>
      <c r="P1655" t="s">
        <v>30</v>
      </c>
      <c r="Q1655">
        <v>0.05</v>
      </c>
      <c r="R1655">
        <v>21.375</v>
      </c>
      <c r="S1655" t="s">
        <v>37</v>
      </c>
      <c r="T1655" t="s">
        <v>48</v>
      </c>
      <c r="U1655">
        <v>38.581600000000002</v>
      </c>
      <c r="V1655">
        <v>-121.4944</v>
      </c>
      <c r="W1655" s="2">
        <v>45737</v>
      </c>
      <c r="X1655">
        <v>6</v>
      </c>
      <c r="Y1655" t="b">
        <v>0</v>
      </c>
      <c r="Z1655" s="2">
        <v>45855</v>
      </c>
      <c r="AA1655" t="str">
        <f t="shared" si="251"/>
        <v>20–29</v>
      </c>
      <c r="AB1655" t="str">
        <f t="shared" si="252"/>
        <v>20–29</v>
      </c>
      <c r="AC1655" t="str">
        <f t="shared" si="253"/>
        <v>Monday</v>
      </c>
      <c r="AD1655" t="str">
        <f t="shared" si="254"/>
        <v/>
      </c>
      <c r="AE1655" t="str">
        <f t="shared" si="255"/>
        <v>Wednesday</v>
      </c>
      <c r="AF1655" t="str">
        <f t="shared" si="256"/>
        <v>Thursday</v>
      </c>
      <c r="AG1655" t="str">
        <f t="shared" si="257"/>
        <v/>
      </c>
      <c r="AH1655" t="str">
        <f t="shared" si="258"/>
        <v>Saturday</v>
      </c>
      <c r="AI1655" t="str">
        <f t="shared" si="259"/>
        <v/>
      </c>
      <c r="AJ1655" t="str">
        <f>LEFT(Table1[[#This Row],[membership_type]],2)&amp;TEXT(Table1[[#This Row],[age]],"00")&amp;"-"&amp;TEXT(ROW(),"000")</f>
        <v>St26-1655</v>
      </c>
      <c r="AK1655" t="str">
        <f>LEFT(Table1[[#This Row],[membership_type]],1)&amp;TEXT(MATCH(Table1[[#This Row],[membership_type]],Table1[membership_type],0),"00")</f>
        <v>S02</v>
      </c>
      <c r="AL1655" t="str">
        <f>LEFT(Table1[[#This Row],[discount_type]],1)&amp;TEXT(ROUND(Table1[[#This Row],[discount_rate]]*100,0),"00")</f>
        <v>P05</v>
      </c>
      <c r="AM1655" t="str" cm="1">
        <f t="array" ref="AM1655">TEXT(SUMPRODUCT(CODE(MID(Table1[[#This Row],[home_gym_location]],_xlfn.SEQUENCE(LEN(Table1[[#This Row],[home_gym_location]])),1))),"00000")</f>
        <v>01245</v>
      </c>
      <c r="AN165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55" t="str">
        <f>LEFT(_xlfn.TEXTBEFORE(Table1[[#This Row],[Location Identifier]],"-"),3) &amp; "-" &amp; _xlfn.TEXTAFTER(Table1[[#This Row],[Location Identifier]],"-")</f>
        <v>SAC-007</v>
      </c>
      <c r="AP1655" s="9">
        <f t="shared" ca="1" si="250"/>
        <v>45869</v>
      </c>
    </row>
    <row r="1656" spans="1:42" x14ac:dyDescent="0.25">
      <c r="A1656">
        <v>35</v>
      </c>
      <c r="B1656" t="s">
        <v>26</v>
      </c>
      <c r="C1656">
        <v>1</v>
      </c>
      <c r="D1656" t="s">
        <v>75</v>
      </c>
      <c r="E1656" t="b">
        <v>1</v>
      </c>
      <c r="F1656" s="1">
        <v>0.81041666666666667</v>
      </c>
      <c r="G1656" s="1">
        <v>0.91874999999999996</v>
      </c>
      <c r="H1656">
        <v>156</v>
      </c>
      <c r="I1656" t="b">
        <v>0</v>
      </c>
      <c r="J1656" t="b">
        <v>0</v>
      </c>
      <c r="K1656" t="b">
        <v>0</v>
      </c>
      <c r="L1656" t="s">
        <v>62</v>
      </c>
      <c r="M1656">
        <v>50</v>
      </c>
      <c r="N1656" t="s">
        <v>64</v>
      </c>
      <c r="O1656">
        <v>37.5</v>
      </c>
      <c r="P1656" t="s">
        <v>36</v>
      </c>
      <c r="Q1656">
        <v>0</v>
      </c>
      <c r="R1656">
        <v>37.5</v>
      </c>
      <c r="S1656" t="s">
        <v>31</v>
      </c>
      <c r="T1656" t="s">
        <v>59</v>
      </c>
      <c r="U1656">
        <v>37.774900000000002</v>
      </c>
      <c r="V1656">
        <v>-122.4194</v>
      </c>
      <c r="W1656" s="2">
        <v>44833</v>
      </c>
      <c r="X1656">
        <v>0</v>
      </c>
      <c r="Y1656" t="b">
        <v>1</v>
      </c>
      <c r="Z1656" s="2">
        <v>45804</v>
      </c>
      <c r="AA1656" t="str">
        <f t="shared" si="251"/>
        <v>30–39</v>
      </c>
      <c r="AB1656" t="str">
        <f t="shared" si="252"/>
        <v>30–39</v>
      </c>
      <c r="AC1656" t="str">
        <f t="shared" si="253"/>
        <v/>
      </c>
      <c r="AD1656" t="str">
        <f t="shared" si="254"/>
        <v/>
      </c>
      <c r="AE1656" t="str">
        <f t="shared" si="255"/>
        <v/>
      </c>
      <c r="AF1656" t="str">
        <f t="shared" si="256"/>
        <v/>
      </c>
      <c r="AG1656" t="str">
        <f t="shared" si="257"/>
        <v>Friday</v>
      </c>
      <c r="AH1656" t="str">
        <f t="shared" si="258"/>
        <v/>
      </c>
      <c r="AI1656" t="str">
        <f t="shared" si="259"/>
        <v/>
      </c>
      <c r="AJ1656" t="str">
        <f>LEFT(Table1[[#This Row],[membership_type]],2)&amp;TEXT(Table1[[#This Row],[age]],"00")&amp;"-"&amp;TEXT(ROW(),"000")</f>
        <v>Pr35-1656</v>
      </c>
      <c r="AK1656" t="str">
        <f>LEFT(Table1[[#This Row],[membership_type]],1)&amp;TEXT(MATCH(Table1[[#This Row],[membership_type]],Table1[membership_type],0),"00")</f>
        <v>P01</v>
      </c>
      <c r="AL1656" t="str">
        <f>LEFT(Table1[[#This Row],[discount_type]],1)&amp;TEXT(ROUND(Table1[[#This Row],[discount_rate]]*100,0),"00")</f>
        <v>N00</v>
      </c>
      <c r="AM1656" t="str" cm="1">
        <f t="array" ref="AM1656">TEXT(SUMPRODUCT(CODE(MID(Table1[[#This Row],[home_gym_location]],_xlfn.SEQUENCE(LEN(Table1[[#This Row],[home_gym_location]])),1))),"00000")</f>
        <v>01450</v>
      </c>
      <c r="AN165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56" t="str">
        <f>LEFT(_xlfn.TEXTBEFORE(Table1[[#This Row],[Location Identifier]],"-"),3) &amp; "-" &amp; _xlfn.TEXTAFTER(Table1[[#This Row],[Location Identifier]],"-")</f>
        <v>SAN-009</v>
      </c>
      <c r="AP1656" s="9">
        <f t="shared" ca="1" si="250"/>
        <v>45869</v>
      </c>
    </row>
    <row r="1657" spans="1:42" x14ac:dyDescent="0.25">
      <c r="A1657">
        <v>19</v>
      </c>
      <c r="B1657" t="s">
        <v>42</v>
      </c>
      <c r="C1657">
        <v>4</v>
      </c>
      <c r="D1657" t="s">
        <v>163</v>
      </c>
      <c r="E1657" t="b">
        <v>1</v>
      </c>
      <c r="F1657" s="1">
        <v>0.65902777777777777</v>
      </c>
      <c r="G1657" s="1">
        <v>0.71527777777777779</v>
      </c>
      <c r="H1657">
        <v>81</v>
      </c>
      <c r="I1657" t="b">
        <v>1</v>
      </c>
      <c r="J1657" t="b">
        <v>0</v>
      </c>
      <c r="K1657" t="b">
        <v>0</v>
      </c>
      <c r="L1657" t="s">
        <v>28</v>
      </c>
      <c r="M1657">
        <v>20</v>
      </c>
      <c r="N1657" t="s">
        <v>29</v>
      </c>
      <c r="O1657">
        <v>20</v>
      </c>
      <c r="P1657" t="s">
        <v>40</v>
      </c>
      <c r="Q1657">
        <v>0.1</v>
      </c>
      <c r="R1657">
        <v>18</v>
      </c>
      <c r="S1657" t="s">
        <v>44</v>
      </c>
      <c r="T1657" t="s">
        <v>32</v>
      </c>
      <c r="U1657">
        <v>37.338200000000001</v>
      </c>
      <c r="V1657">
        <v>-121.88630000000001</v>
      </c>
      <c r="W1657" s="2">
        <v>45241</v>
      </c>
      <c r="X1657">
        <v>0</v>
      </c>
      <c r="Y1657" t="b">
        <v>0</v>
      </c>
      <c r="Z1657" s="2">
        <v>45827</v>
      </c>
      <c r="AA1657" t="str">
        <f t="shared" si="251"/>
        <v>10–19</v>
      </c>
      <c r="AB1657" t="str">
        <f t="shared" si="252"/>
        <v>16–19</v>
      </c>
      <c r="AC1657" t="str">
        <f t="shared" si="253"/>
        <v/>
      </c>
      <c r="AD1657" t="str">
        <f t="shared" si="254"/>
        <v>Tuesday</v>
      </c>
      <c r="AE1657" t="str">
        <f t="shared" si="255"/>
        <v>Wednesday</v>
      </c>
      <c r="AF1657" t="str">
        <f t="shared" si="256"/>
        <v/>
      </c>
      <c r="AG1657" t="str">
        <f t="shared" si="257"/>
        <v/>
      </c>
      <c r="AH1657" t="str">
        <f t="shared" si="258"/>
        <v>Saturday</v>
      </c>
      <c r="AI1657" t="str">
        <f t="shared" si="259"/>
        <v>Sunday</v>
      </c>
      <c r="AJ1657" t="str">
        <f>LEFT(Table1[[#This Row],[membership_type]],2)&amp;TEXT(Table1[[#This Row],[age]],"00")&amp;"-"&amp;TEXT(ROW(),"000")</f>
        <v>Ba19-1657</v>
      </c>
      <c r="AK1657" t="str">
        <f>LEFT(Table1[[#This Row],[membership_type]],1)&amp;TEXT(MATCH(Table1[[#This Row],[membership_type]],Table1[membership_type],0),"00")</f>
        <v>B04</v>
      </c>
      <c r="AL1657" t="str">
        <f>LEFT(Table1[[#This Row],[discount_type]],1)&amp;TEXT(ROUND(Table1[[#This Row],[discount_rate]]*100,0),"00")</f>
        <v>L10</v>
      </c>
      <c r="AM1657" t="str" cm="1">
        <f t="array" ref="AM1657">TEXT(SUMPRODUCT(CODE(MID(Table1[[#This Row],[home_gym_location]],_xlfn.SEQUENCE(LEN(Table1[[#This Row],[home_gym_location]])),1))),"00000")</f>
        <v>00931</v>
      </c>
      <c r="AN165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57" t="str">
        <f>LEFT(_xlfn.TEXTBEFORE(Table1[[#This Row],[Location Identifier]],"-"),3) &amp; "-" &amp; _xlfn.TEXTAFTER(Table1[[#This Row],[Location Identifier]],"-")</f>
        <v>SAN-010</v>
      </c>
      <c r="AP1657" s="9">
        <f t="shared" ca="1" si="250"/>
        <v>45869</v>
      </c>
    </row>
    <row r="1658" spans="1:42" x14ac:dyDescent="0.25">
      <c r="A1658">
        <v>16</v>
      </c>
      <c r="B1658" t="s">
        <v>42</v>
      </c>
      <c r="C1658">
        <v>3</v>
      </c>
      <c r="D1658" t="s">
        <v>90</v>
      </c>
      <c r="E1658" t="b">
        <v>0</v>
      </c>
      <c r="F1658" s="1">
        <v>0.63541666666666663</v>
      </c>
      <c r="G1658" s="1">
        <v>0.65694444444444444</v>
      </c>
      <c r="H1658">
        <v>31</v>
      </c>
      <c r="I1658" t="b">
        <v>1</v>
      </c>
      <c r="J1658" t="b">
        <v>1</v>
      </c>
      <c r="K1658" t="b">
        <v>0</v>
      </c>
      <c r="L1658" t="s">
        <v>62</v>
      </c>
      <c r="M1658">
        <v>20</v>
      </c>
      <c r="N1658" t="s">
        <v>29</v>
      </c>
      <c r="O1658">
        <v>20</v>
      </c>
      <c r="P1658" t="s">
        <v>30</v>
      </c>
      <c r="Q1658">
        <v>0.05</v>
      </c>
      <c r="R1658">
        <v>19</v>
      </c>
      <c r="S1658" t="s">
        <v>44</v>
      </c>
      <c r="T1658" t="s">
        <v>50</v>
      </c>
      <c r="U1658">
        <v>34.052199999999999</v>
      </c>
      <c r="V1658">
        <v>-118.2437</v>
      </c>
      <c r="W1658" s="2">
        <v>45505</v>
      </c>
      <c r="X1658">
        <v>4</v>
      </c>
      <c r="Y1658" t="b">
        <v>0</v>
      </c>
      <c r="Z1658" s="2">
        <v>45842</v>
      </c>
      <c r="AA1658" t="str">
        <f t="shared" si="251"/>
        <v>10–19</v>
      </c>
      <c r="AB1658" t="str">
        <f t="shared" si="252"/>
        <v>16–19</v>
      </c>
      <c r="AC1658" t="str">
        <f t="shared" si="253"/>
        <v/>
      </c>
      <c r="AD1658" t="str">
        <f t="shared" si="254"/>
        <v>Tuesday</v>
      </c>
      <c r="AE1658" t="str">
        <f t="shared" si="255"/>
        <v/>
      </c>
      <c r="AF1658" t="str">
        <f t="shared" si="256"/>
        <v/>
      </c>
      <c r="AG1658" t="str">
        <f t="shared" si="257"/>
        <v/>
      </c>
      <c r="AH1658" t="str">
        <f t="shared" si="258"/>
        <v>Saturday</v>
      </c>
      <c r="AI1658" t="str">
        <f t="shared" si="259"/>
        <v>Sunday</v>
      </c>
      <c r="AJ1658" t="str">
        <f>LEFT(Table1[[#This Row],[membership_type]],2)&amp;TEXT(Table1[[#This Row],[age]],"00")&amp;"-"&amp;TEXT(ROW(),"000")</f>
        <v>Ba16-1658</v>
      </c>
      <c r="AK1658" t="str">
        <f>LEFT(Table1[[#This Row],[membership_type]],1)&amp;TEXT(MATCH(Table1[[#This Row],[membership_type]],Table1[membership_type],0),"00")</f>
        <v>B04</v>
      </c>
      <c r="AL1658" t="str">
        <f>LEFT(Table1[[#This Row],[discount_type]],1)&amp;TEXT(ROUND(Table1[[#This Row],[discount_rate]]*100,0),"00")</f>
        <v>P05</v>
      </c>
      <c r="AM1658" t="str" cm="1">
        <f t="array" ref="AM1658">TEXT(SUMPRODUCT(CODE(MID(Table1[[#This Row],[home_gym_location]],_xlfn.SEQUENCE(LEN(Table1[[#This Row],[home_gym_location]])),1))),"00000")</f>
        <v>01245</v>
      </c>
      <c r="AN165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658" t="str">
        <f>LEFT(_xlfn.TEXTBEFORE(Table1[[#This Row],[Location Identifier]],"-"),3) &amp; "-" &amp; _xlfn.TEXTAFTER(Table1[[#This Row],[Location Identifier]],"-")</f>
        <v>LOS-005</v>
      </c>
      <c r="AP1658" s="9">
        <f t="shared" ca="1" si="250"/>
        <v>45869</v>
      </c>
    </row>
    <row r="1659" spans="1:42" x14ac:dyDescent="0.25">
      <c r="A1659">
        <v>23</v>
      </c>
      <c r="B1659" t="s">
        <v>33</v>
      </c>
      <c r="C1659">
        <v>2</v>
      </c>
      <c r="D1659" t="s">
        <v>88</v>
      </c>
      <c r="E1659" t="b">
        <v>1</v>
      </c>
      <c r="F1659" s="1">
        <v>0.75069444444444444</v>
      </c>
      <c r="G1659" s="1">
        <v>0.8125</v>
      </c>
      <c r="H1659">
        <v>89</v>
      </c>
      <c r="I1659" t="b">
        <v>0</v>
      </c>
      <c r="J1659" t="b">
        <v>1</v>
      </c>
      <c r="K1659" t="b">
        <v>1</v>
      </c>
      <c r="L1659" t="s">
        <v>35</v>
      </c>
      <c r="M1659">
        <v>30</v>
      </c>
      <c r="N1659" t="s">
        <v>29</v>
      </c>
      <c r="O1659">
        <v>30</v>
      </c>
      <c r="P1659" t="s">
        <v>36</v>
      </c>
      <c r="Q1659">
        <v>0</v>
      </c>
      <c r="R1659">
        <v>30</v>
      </c>
      <c r="S1659" t="s">
        <v>37</v>
      </c>
      <c r="T1659" t="s">
        <v>41</v>
      </c>
      <c r="U1659">
        <v>37.804400000000001</v>
      </c>
      <c r="V1659">
        <v>-122.27119999999999</v>
      </c>
      <c r="W1659" s="2">
        <v>45408</v>
      </c>
      <c r="X1659">
        <v>2</v>
      </c>
      <c r="Y1659" t="b">
        <v>0</v>
      </c>
      <c r="Z1659" s="2">
        <v>45837</v>
      </c>
      <c r="AA1659" t="str">
        <f t="shared" si="251"/>
        <v>20–29</v>
      </c>
      <c r="AB1659" t="str">
        <f t="shared" si="252"/>
        <v>20–29</v>
      </c>
      <c r="AC1659" t="str">
        <f t="shared" si="253"/>
        <v>Monday</v>
      </c>
      <c r="AD1659" t="str">
        <f t="shared" si="254"/>
        <v/>
      </c>
      <c r="AE1659" t="str">
        <f t="shared" si="255"/>
        <v>Wednesday</v>
      </c>
      <c r="AF1659" t="str">
        <f t="shared" si="256"/>
        <v/>
      </c>
      <c r="AG1659" t="str">
        <f t="shared" si="257"/>
        <v/>
      </c>
      <c r="AH1659" t="str">
        <f t="shared" si="258"/>
        <v/>
      </c>
      <c r="AI1659" t="str">
        <f t="shared" si="259"/>
        <v/>
      </c>
      <c r="AJ1659" t="str">
        <f>LEFT(Table1[[#This Row],[membership_type]],2)&amp;TEXT(Table1[[#This Row],[age]],"00")&amp;"-"&amp;TEXT(ROW(),"000")</f>
        <v>St23-1659</v>
      </c>
      <c r="AK1659" t="str">
        <f>LEFT(Table1[[#This Row],[membership_type]],1)&amp;TEXT(MATCH(Table1[[#This Row],[membership_type]],Table1[membership_type],0),"00")</f>
        <v>S02</v>
      </c>
      <c r="AL1659" t="str">
        <f>LEFT(Table1[[#This Row],[discount_type]],1)&amp;TEXT(ROUND(Table1[[#This Row],[discount_rate]]*100,0),"00")</f>
        <v>N00</v>
      </c>
      <c r="AM1659" t="str" cm="1">
        <f t="array" ref="AM1659">TEXT(SUMPRODUCT(CODE(MID(Table1[[#This Row],[home_gym_location]],_xlfn.SEQUENCE(LEN(Table1[[#This Row],[home_gym_location]])),1))),"00000")</f>
        <v>00906</v>
      </c>
      <c r="AN165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59" t="str">
        <f>LEFT(_xlfn.TEXTBEFORE(Table1[[#This Row],[Location Identifier]],"-"),3) &amp; "-" &amp; _xlfn.TEXTAFTER(Table1[[#This Row],[Location Identifier]],"-")</f>
        <v>OAK-006</v>
      </c>
      <c r="AP1659" s="9">
        <f t="shared" ca="1" si="250"/>
        <v>45869</v>
      </c>
    </row>
    <row r="1660" spans="1:42" x14ac:dyDescent="0.25">
      <c r="A1660">
        <v>17</v>
      </c>
      <c r="B1660" t="s">
        <v>42</v>
      </c>
      <c r="C1660">
        <v>1</v>
      </c>
      <c r="D1660" t="s">
        <v>75</v>
      </c>
      <c r="E1660" t="b">
        <v>0</v>
      </c>
      <c r="F1660" s="1">
        <v>0.70763888888888893</v>
      </c>
      <c r="G1660" s="1">
        <v>0.77847222222222223</v>
      </c>
      <c r="H1660">
        <v>102</v>
      </c>
      <c r="I1660" t="b">
        <v>1</v>
      </c>
      <c r="J1660" t="b">
        <v>0</v>
      </c>
      <c r="K1660" t="b">
        <v>0</v>
      </c>
      <c r="L1660" t="s">
        <v>28</v>
      </c>
      <c r="M1660">
        <v>20</v>
      </c>
      <c r="N1660" t="s">
        <v>29</v>
      </c>
      <c r="O1660">
        <v>20</v>
      </c>
      <c r="P1660" t="s">
        <v>30</v>
      </c>
      <c r="Q1660">
        <v>0.05</v>
      </c>
      <c r="R1660">
        <v>19</v>
      </c>
      <c r="S1660" t="s">
        <v>44</v>
      </c>
      <c r="T1660" t="s">
        <v>38</v>
      </c>
      <c r="U1660">
        <v>36.7378</v>
      </c>
      <c r="V1660">
        <v>-119.7871</v>
      </c>
      <c r="W1660" s="2">
        <v>45354</v>
      </c>
      <c r="X1660">
        <v>0</v>
      </c>
      <c r="Y1660" t="b">
        <v>0</v>
      </c>
      <c r="Z1660" s="2">
        <v>45834</v>
      </c>
      <c r="AA1660" t="str">
        <f t="shared" si="251"/>
        <v>10–19</v>
      </c>
      <c r="AB1660" t="str">
        <f t="shared" si="252"/>
        <v>16–19</v>
      </c>
      <c r="AC1660" t="str">
        <f t="shared" si="253"/>
        <v/>
      </c>
      <c r="AD1660" t="str">
        <f t="shared" si="254"/>
        <v/>
      </c>
      <c r="AE1660" t="str">
        <f t="shared" si="255"/>
        <v/>
      </c>
      <c r="AF1660" t="str">
        <f t="shared" si="256"/>
        <v/>
      </c>
      <c r="AG1660" t="str">
        <f t="shared" si="257"/>
        <v>Friday</v>
      </c>
      <c r="AH1660" t="str">
        <f t="shared" si="258"/>
        <v/>
      </c>
      <c r="AI1660" t="str">
        <f t="shared" si="259"/>
        <v/>
      </c>
      <c r="AJ1660" t="str">
        <f>LEFT(Table1[[#This Row],[membership_type]],2)&amp;TEXT(Table1[[#This Row],[age]],"00")&amp;"-"&amp;TEXT(ROW(),"000")</f>
        <v>Ba17-1660</v>
      </c>
      <c r="AK1660" t="str">
        <f>LEFT(Table1[[#This Row],[membership_type]],1)&amp;TEXT(MATCH(Table1[[#This Row],[membership_type]],Table1[membership_type],0),"00")</f>
        <v>B04</v>
      </c>
      <c r="AL1660" t="str">
        <f>LEFT(Table1[[#This Row],[discount_type]],1)&amp;TEXT(ROUND(Table1[[#This Row],[discount_rate]]*100,0),"00")</f>
        <v>P05</v>
      </c>
      <c r="AM1660" t="str" cm="1">
        <f t="array" ref="AM1660">TEXT(SUMPRODUCT(CODE(MID(Table1[[#This Row],[home_gym_location]],_xlfn.SEQUENCE(LEN(Table1[[#This Row],[home_gym_location]])),1))),"00000")</f>
        <v>00829</v>
      </c>
      <c r="AN1660" t="str">
        <f>UPPER(_xlfn.TEXTBEFORE(Table1[[#This Row],[home_gym_location]],","))&amp;"-"&amp;TEXT(MATCH(Table1[[#This Row],[home_gym_location]],_xlfn._xlws.SORT(_xlfn.UNIQUE(Table1[home_gym_location])),0),"000")</f>
        <v>FRESNO-003</v>
      </c>
      <c r="AO1660" t="str">
        <f>LEFT(_xlfn.TEXTBEFORE(Table1[[#This Row],[Location Identifier]],"-"),3) &amp; "-" &amp; _xlfn.TEXTAFTER(Table1[[#This Row],[Location Identifier]],"-")</f>
        <v>FRE-003</v>
      </c>
      <c r="AP1660" s="9">
        <f t="shared" ca="1" si="250"/>
        <v>45869</v>
      </c>
    </row>
    <row r="1661" spans="1:42" x14ac:dyDescent="0.25">
      <c r="A1661">
        <v>40</v>
      </c>
      <c r="B1661" t="s">
        <v>42</v>
      </c>
      <c r="C1661">
        <v>1</v>
      </c>
      <c r="D1661" t="s">
        <v>95</v>
      </c>
      <c r="E1661" t="b">
        <v>0</v>
      </c>
      <c r="F1661" s="1">
        <v>0.43611111111111112</v>
      </c>
      <c r="G1661" s="1">
        <v>0.55902777777777779</v>
      </c>
      <c r="H1661">
        <v>177</v>
      </c>
      <c r="I1661" t="b">
        <v>0</v>
      </c>
      <c r="J1661" t="b">
        <v>0</v>
      </c>
      <c r="K1661" t="b">
        <v>1</v>
      </c>
      <c r="L1661" t="s">
        <v>62</v>
      </c>
      <c r="M1661">
        <v>20</v>
      </c>
      <c r="N1661" t="s">
        <v>64</v>
      </c>
      <c r="O1661">
        <v>15</v>
      </c>
      <c r="P1661" t="s">
        <v>74</v>
      </c>
      <c r="Q1661">
        <v>0.15</v>
      </c>
      <c r="R1661">
        <v>12.75</v>
      </c>
      <c r="S1661" t="s">
        <v>44</v>
      </c>
      <c r="T1661" t="s">
        <v>59</v>
      </c>
      <c r="U1661">
        <v>37.774900000000002</v>
      </c>
      <c r="V1661">
        <v>-122.4194</v>
      </c>
      <c r="W1661" s="2">
        <v>45191</v>
      </c>
      <c r="X1661">
        <v>0</v>
      </c>
      <c r="Y1661" t="b">
        <v>0</v>
      </c>
      <c r="Z1661" s="2">
        <v>45824</v>
      </c>
      <c r="AA1661" t="str">
        <f t="shared" si="251"/>
        <v>40–49</v>
      </c>
      <c r="AB1661" t="str">
        <f t="shared" si="252"/>
        <v>40–49</v>
      </c>
      <c r="AC1661" t="str">
        <f t="shared" si="253"/>
        <v/>
      </c>
      <c r="AD1661" t="str">
        <f t="shared" si="254"/>
        <v/>
      </c>
      <c r="AE1661" t="str">
        <f t="shared" si="255"/>
        <v/>
      </c>
      <c r="AF1661" t="str">
        <f t="shared" si="256"/>
        <v/>
      </c>
      <c r="AG1661" t="str">
        <f t="shared" si="257"/>
        <v/>
      </c>
      <c r="AH1661" t="str">
        <f t="shared" si="258"/>
        <v>Saturday</v>
      </c>
      <c r="AI1661" t="str">
        <f t="shared" si="259"/>
        <v/>
      </c>
      <c r="AJ1661" t="str">
        <f>LEFT(Table1[[#This Row],[membership_type]],2)&amp;TEXT(Table1[[#This Row],[age]],"00")&amp;"-"&amp;TEXT(ROW(),"000")</f>
        <v>Ba40-1661</v>
      </c>
      <c r="AK1661" t="str">
        <f>LEFT(Table1[[#This Row],[membership_type]],1)&amp;TEXT(MATCH(Table1[[#This Row],[membership_type]],Table1[membership_type],0),"00")</f>
        <v>B04</v>
      </c>
      <c r="AL1661" t="str">
        <f>LEFT(Table1[[#This Row],[discount_type]],1)&amp;TEXT(ROUND(Table1[[#This Row],[discount_rate]]*100,0),"00")</f>
        <v>S15</v>
      </c>
      <c r="AM1661" t="str" cm="1">
        <f t="array" ref="AM1661">TEXT(SUMPRODUCT(CODE(MID(Table1[[#This Row],[home_gym_location]],_xlfn.SEQUENCE(LEN(Table1[[#This Row],[home_gym_location]])),1))),"00000")</f>
        <v>01450</v>
      </c>
      <c r="AN166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61" t="str">
        <f>LEFT(_xlfn.TEXTBEFORE(Table1[[#This Row],[Location Identifier]],"-"),3) &amp; "-" &amp; _xlfn.TEXTAFTER(Table1[[#This Row],[Location Identifier]],"-")</f>
        <v>SAN-009</v>
      </c>
      <c r="AP1661" s="9">
        <f t="shared" ca="1" si="250"/>
        <v>45869</v>
      </c>
    </row>
    <row r="1662" spans="1:42" x14ac:dyDescent="0.25">
      <c r="A1662">
        <v>21</v>
      </c>
      <c r="B1662" t="s">
        <v>26</v>
      </c>
      <c r="C1662">
        <v>3</v>
      </c>
      <c r="D1662" t="s">
        <v>124</v>
      </c>
      <c r="E1662" t="b">
        <v>1</v>
      </c>
      <c r="F1662" s="1">
        <v>0.84375</v>
      </c>
      <c r="G1662" s="1">
        <v>0.9</v>
      </c>
      <c r="H1662">
        <v>81</v>
      </c>
      <c r="I1662" t="b">
        <v>1</v>
      </c>
      <c r="J1662" t="b">
        <v>0</v>
      </c>
      <c r="K1662" t="b">
        <v>1</v>
      </c>
      <c r="L1662" t="s">
        <v>28</v>
      </c>
      <c r="M1662">
        <v>50</v>
      </c>
      <c r="N1662" t="s">
        <v>64</v>
      </c>
      <c r="O1662">
        <v>37.5</v>
      </c>
      <c r="P1662" t="s">
        <v>74</v>
      </c>
      <c r="Q1662">
        <v>0.15</v>
      </c>
      <c r="R1662">
        <v>31.875</v>
      </c>
      <c r="S1662" t="s">
        <v>31</v>
      </c>
      <c r="T1662" t="s">
        <v>38</v>
      </c>
      <c r="U1662">
        <v>36.7378</v>
      </c>
      <c r="V1662">
        <v>-119.7871</v>
      </c>
      <c r="W1662" s="2">
        <v>45281</v>
      </c>
      <c r="X1662">
        <v>0</v>
      </c>
      <c r="Y1662" t="b">
        <v>1</v>
      </c>
      <c r="Z1662" s="2">
        <v>45830</v>
      </c>
      <c r="AA1662" t="str">
        <f t="shared" si="251"/>
        <v>20–29</v>
      </c>
      <c r="AB1662" t="str">
        <f t="shared" si="252"/>
        <v>20–29</v>
      </c>
      <c r="AC1662" t="str">
        <f t="shared" si="253"/>
        <v>Monday</v>
      </c>
      <c r="AD1662" t="str">
        <f t="shared" si="254"/>
        <v/>
      </c>
      <c r="AE1662" t="str">
        <f t="shared" si="255"/>
        <v/>
      </c>
      <c r="AF1662" t="str">
        <f t="shared" si="256"/>
        <v>Thursday</v>
      </c>
      <c r="AG1662" t="str">
        <f t="shared" si="257"/>
        <v>Friday</v>
      </c>
      <c r="AH1662" t="str">
        <f t="shared" si="258"/>
        <v/>
      </c>
      <c r="AI1662" t="str">
        <f t="shared" si="259"/>
        <v/>
      </c>
      <c r="AJ1662" t="str">
        <f>LEFT(Table1[[#This Row],[membership_type]],2)&amp;TEXT(Table1[[#This Row],[age]],"00")&amp;"-"&amp;TEXT(ROW(),"000")</f>
        <v>Pr21-1662</v>
      </c>
      <c r="AK1662" t="str">
        <f>LEFT(Table1[[#This Row],[membership_type]],1)&amp;TEXT(MATCH(Table1[[#This Row],[membership_type]],Table1[membership_type],0),"00")</f>
        <v>P01</v>
      </c>
      <c r="AL1662" t="str">
        <f>LEFT(Table1[[#This Row],[discount_type]],1)&amp;TEXT(ROUND(Table1[[#This Row],[discount_rate]]*100,0),"00")</f>
        <v>S15</v>
      </c>
      <c r="AM1662" t="str" cm="1">
        <f t="array" ref="AM1662">TEXT(SUMPRODUCT(CODE(MID(Table1[[#This Row],[home_gym_location]],_xlfn.SEQUENCE(LEN(Table1[[#This Row],[home_gym_location]])),1))),"00000")</f>
        <v>00829</v>
      </c>
      <c r="AN1662" t="str">
        <f>UPPER(_xlfn.TEXTBEFORE(Table1[[#This Row],[home_gym_location]],","))&amp;"-"&amp;TEXT(MATCH(Table1[[#This Row],[home_gym_location]],_xlfn._xlws.SORT(_xlfn.UNIQUE(Table1[home_gym_location])),0),"000")</f>
        <v>FRESNO-003</v>
      </c>
      <c r="AO1662" t="str">
        <f>LEFT(_xlfn.TEXTBEFORE(Table1[[#This Row],[Location Identifier]],"-"),3) &amp; "-" &amp; _xlfn.TEXTAFTER(Table1[[#This Row],[Location Identifier]],"-")</f>
        <v>FRE-003</v>
      </c>
      <c r="AP1662" s="9">
        <f t="shared" ca="1" si="250"/>
        <v>45869</v>
      </c>
    </row>
    <row r="1663" spans="1:42" x14ac:dyDescent="0.25">
      <c r="A1663">
        <v>32</v>
      </c>
      <c r="B1663" t="s">
        <v>26</v>
      </c>
      <c r="C1663">
        <v>2</v>
      </c>
      <c r="D1663" t="s">
        <v>139</v>
      </c>
      <c r="E1663" t="b">
        <v>1</v>
      </c>
      <c r="F1663" s="1">
        <v>0.71111111111111114</v>
      </c>
      <c r="G1663" s="1">
        <v>0.82361111111111107</v>
      </c>
      <c r="H1663">
        <v>162</v>
      </c>
      <c r="I1663" t="b">
        <v>0</v>
      </c>
      <c r="J1663" t="b">
        <v>1</v>
      </c>
      <c r="K1663" t="b">
        <v>0</v>
      </c>
      <c r="L1663" t="s">
        <v>62</v>
      </c>
      <c r="M1663">
        <v>50</v>
      </c>
      <c r="N1663" t="s">
        <v>29</v>
      </c>
      <c r="O1663">
        <v>50</v>
      </c>
      <c r="P1663" t="s">
        <v>74</v>
      </c>
      <c r="Q1663">
        <v>0.15</v>
      </c>
      <c r="R1663">
        <v>42.5</v>
      </c>
      <c r="S1663" t="s">
        <v>31</v>
      </c>
      <c r="T1663" t="s">
        <v>56</v>
      </c>
      <c r="U1663">
        <v>35.3733</v>
      </c>
      <c r="V1663">
        <v>-119.0187</v>
      </c>
      <c r="W1663" s="2">
        <v>44851</v>
      </c>
      <c r="X1663">
        <v>4</v>
      </c>
      <c r="Y1663" t="b">
        <v>1</v>
      </c>
      <c r="Z1663" s="2">
        <v>45805</v>
      </c>
      <c r="AA1663" t="str">
        <f t="shared" si="251"/>
        <v>30–39</v>
      </c>
      <c r="AB1663" t="str">
        <f t="shared" si="252"/>
        <v>30–39</v>
      </c>
      <c r="AC1663" t="str">
        <f t="shared" si="253"/>
        <v/>
      </c>
      <c r="AD1663" t="str">
        <f t="shared" si="254"/>
        <v/>
      </c>
      <c r="AE1663" t="str">
        <f t="shared" si="255"/>
        <v>Wednesday</v>
      </c>
      <c r="AF1663" t="str">
        <f t="shared" si="256"/>
        <v/>
      </c>
      <c r="AG1663" t="str">
        <f t="shared" si="257"/>
        <v/>
      </c>
      <c r="AH1663" t="str">
        <f t="shared" si="258"/>
        <v>Saturday</v>
      </c>
      <c r="AI1663" t="str">
        <f t="shared" si="259"/>
        <v/>
      </c>
      <c r="AJ1663" t="str">
        <f>LEFT(Table1[[#This Row],[membership_type]],2)&amp;TEXT(Table1[[#This Row],[age]],"00")&amp;"-"&amp;TEXT(ROW(),"000")</f>
        <v>Pr32-1663</v>
      </c>
      <c r="AK1663" t="str">
        <f>LEFT(Table1[[#This Row],[membership_type]],1)&amp;TEXT(MATCH(Table1[[#This Row],[membership_type]],Table1[membership_type],0),"00")</f>
        <v>P01</v>
      </c>
      <c r="AL1663" t="str">
        <f>LEFT(Table1[[#This Row],[discount_type]],1)&amp;TEXT(ROUND(Table1[[#This Row],[discount_rate]]*100,0),"00")</f>
        <v>S15</v>
      </c>
      <c r="AM1663" t="str" cm="1">
        <f t="array" ref="AM1663">TEXT(SUMPRODUCT(CODE(MID(Table1[[#This Row],[home_gym_location]],_xlfn.SEQUENCE(LEN(Table1[[#This Row],[home_gym_location]])),1))),"00000")</f>
        <v>01324</v>
      </c>
      <c r="AN166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63" t="str">
        <f>LEFT(_xlfn.TEXTBEFORE(Table1[[#This Row],[Location Identifier]],"-"),3) &amp; "-" &amp; _xlfn.TEXTAFTER(Table1[[#This Row],[Location Identifier]],"-")</f>
        <v>BAK-002</v>
      </c>
      <c r="AP1663" s="9">
        <f t="shared" ca="1" si="250"/>
        <v>45869</v>
      </c>
    </row>
    <row r="1664" spans="1:42" x14ac:dyDescent="0.25">
      <c r="A1664">
        <v>29</v>
      </c>
      <c r="B1664" t="s">
        <v>42</v>
      </c>
      <c r="C1664">
        <v>4</v>
      </c>
      <c r="D1664" t="s">
        <v>119</v>
      </c>
      <c r="E1664" t="b">
        <v>0</v>
      </c>
      <c r="F1664" s="1">
        <v>0.4465277777777778</v>
      </c>
      <c r="G1664" s="1">
        <v>0.49444444444444446</v>
      </c>
      <c r="H1664">
        <v>69</v>
      </c>
      <c r="I1664" t="b">
        <v>1</v>
      </c>
      <c r="J1664" t="b">
        <v>1</v>
      </c>
      <c r="K1664" t="b">
        <v>0</v>
      </c>
      <c r="L1664" t="s">
        <v>35</v>
      </c>
      <c r="M1664">
        <v>20</v>
      </c>
      <c r="N1664" t="s">
        <v>64</v>
      </c>
      <c r="O1664">
        <v>15</v>
      </c>
      <c r="P1664" t="s">
        <v>36</v>
      </c>
      <c r="Q1664">
        <v>0</v>
      </c>
      <c r="R1664">
        <v>15</v>
      </c>
      <c r="S1664" t="s">
        <v>44</v>
      </c>
      <c r="T1664" t="s">
        <v>45</v>
      </c>
      <c r="U1664">
        <v>33.836599999999997</v>
      </c>
      <c r="V1664">
        <v>-117.9143</v>
      </c>
      <c r="W1664" s="2">
        <v>45301</v>
      </c>
      <c r="X1664">
        <v>1</v>
      </c>
      <c r="Y1664" t="b">
        <v>0</v>
      </c>
      <c r="Z1664" s="2">
        <v>45831</v>
      </c>
      <c r="AA1664" t="str">
        <f t="shared" si="251"/>
        <v>20–29</v>
      </c>
      <c r="AB1664" t="str">
        <f t="shared" si="252"/>
        <v>20–29</v>
      </c>
      <c r="AC1664" t="str">
        <f t="shared" si="253"/>
        <v>Monday</v>
      </c>
      <c r="AD1664" t="str">
        <f t="shared" si="254"/>
        <v/>
      </c>
      <c r="AE1664" t="str">
        <f t="shared" si="255"/>
        <v>Wednesday</v>
      </c>
      <c r="AF1664" t="str">
        <f t="shared" si="256"/>
        <v/>
      </c>
      <c r="AG1664" t="str">
        <f t="shared" si="257"/>
        <v>Friday</v>
      </c>
      <c r="AH1664" t="str">
        <f t="shared" si="258"/>
        <v/>
      </c>
      <c r="AI1664" t="str">
        <f t="shared" si="259"/>
        <v>Sunday</v>
      </c>
      <c r="AJ1664" t="str">
        <f>LEFT(Table1[[#This Row],[membership_type]],2)&amp;TEXT(Table1[[#This Row],[age]],"00")&amp;"-"&amp;TEXT(ROW(),"000")</f>
        <v>Ba29-1664</v>
      </c>
      <c r="AK1664" t="str">
        <f>LEFT(Table1[[#This Row],[membership_type]],1)&amp;TEXT(MATCH(Table1[[#This Row],[membership_type]],Table1[membership_type],0),"00")</f>
        <v>B04</v>
      </c>
      <c r="AL1664" t="str">
        <f>LEFT(Table1[[#This Row],[discount_type]],1)&amp;TEXT(ROUND(Table1[[#This Row],[discount_rate]]*100,0),"00")</f>
        <v>N00</v>
      </c>
      <c r="AM1664" t="str" cm="1">
        <f t="array" ref="AM1664">TEXT(SUMPRODUCT(CODE(MID(Table1[[#This Row],[home_gym_location]],_xlfn.SEQUENCE(LEN(Table1[[#This Row],[home_gym_location]])),1))),"00000")</f>
        <v>00899</v>
      </c>
      <c r="AN166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64" t="str">
        <f>LEFT(_xlfn.TEXTBEFORE(Table1[[#This Row],[Location Identifier]],"-"),3) &amp; "-" &amp; _xlfn.TEXTAFTER(Table1[[#This Row],[Location Identifier]],"-")</f>
        <v>ANA-001</v>
      </c>
      <c r="AP1664" s="9">
        <f t="shared" ca="1" si="250"/>
        <v>45869</v>
      </c>
    </row>
    <row r="1665" spans="1:42" x14ac:dyDescent="0.25">
      <c r="A1665">
        <v>38</v>
      </c>
      <c r="B1665" t="s">
        <v>51</v>
      </c>
      <c r="C1665">
        <v>3</v>
      </c>
      <c r="D1665" t="s">
        <v>135</v>
      </c>
      <c r="E1665" t="b">
        <v>1</v>
      </c>
      <c r="F1665" s="1">
        <v>0.69513888888888886</v>
      </c>
      <c r="G1665" s="1">
        <v>0.7416666666666667</v>
      </c>
      <c r="H1665">
        <v>67</v>
      </c>
      <c r="I1665" t="b">
        <v>1</v>
      </c>
      <c r="J1665" t="b">
        <v>0</v>
      </c>
      <c r="K1665" t="b">
        <v>1</v>
      </c>
      <c r="L1665" t="s">
        <v>28</v>
      </c>
      <c r="M1665">
        <v>70</v>
      </c>
      <c r="N1665" t="s">
        <v>29</v>
      </c>
      <c r="O1665">
        <v>70</v>
      </c>
      <c r="P1665" t="s">
        <v>36</v>
      </c>
      <c r="Q1665">
        <v>0</v>
      </c>
      <c r="R1665">
        <v>70</v>
      </c>
      <c r="S1665" t="s">
        <v>53</v>
      </c>
      <c r="T1665" t="s">
        <v>32</v>
      </c>
      <c r="U1665">
        <v>37.338200000000001</v>
      </c>
      <c r="V1665">
        <v>-121.88630000000001</v>
      </c>
      <c r="W1665" s="2">
        <v>44774</v>
      </c>
      <c r="X1665">
        <v>0</v>
      </c>
      <c r="Y1665" t="b">
        <v>1</v>
      </c>
      <c r="Z1665" s="2">
        <v>45801</v>
      </c>
      <c r="AA1665" t="str">
        <f t="shared" si="251"/>
        <v>30–39</v>
      </c>
      <c r="AB1665" t="str">
        <f t="shared" si="252"/>
        <v>30–39</v>
      </c>
      <c r="AC1665" t="str">
        <f t="shared" si="253"/>
        <v/>
      </c>
      <c r="AD1665" t="str">
        <f t="shared" si="254"/>
        <v>Tuesday</v>
      </c>
      <c r="AE1665" t="str">
        <f t="shared" si="255"/>
        <v>Wednesday</v>
      </c>
      <c r="AF1665" t="str">
        <f t="shared" si="256"/>
        <v>Thursday</v>
      </c>
      <c r="AG1665" t="str">
        <f t="shared" si="257"/>
        <v/>
      </c>
      <c r="AH1665" t="str">
        <f t="shared" si="258"/>
        <v/>
      </c>
      <c r="AI1665" t="str">
        <f t="shared" si="259"/>
        <v/>
      </c>
      <c r="AJ1665" t="str">
        <f>LEFT(Table1[[#This Row],[membership_type]],2)&amp;TEXT(Table1[[#This Row],[age]],"00")&amp;"-"&amp;TEXT(ROW(),"000")</f>
        <v>El38-1665</v>
      </c>
      <c r="AK1665" t="str">
        <f>LEFT(Table1[[#This Row],[membership_type]],1)&amp;TEXT(MATCH(Table1[[#This Row],[membership_type]],Table1[membership_type],0),"00")</f>
        <v>E07</v>
      </c>
      <c r="AL1665" t="str">
        <f>LEFT(Table1[[#This Row],[discount_type]],1)&amp;TEXT(ROUND(Table1[[#This Row],[discount_rate]]*100,0),"00")</f>
        <v>N00</v>
      </c>
      <c r="AM1665" t="str" cm="1">
        <f t="array" ref="AM1665">TEXT(SUMPRODUCT(CODE(MID(Table1[[#This Row],[home_gym_location]],_xlfn.SEQUENCE(LEN(Table1[[#This Row],[home_gym_location]])),1))),"00000")</f>
        <v>00931</v>
      </c>
      <c r="AN166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65" t="str">
        <f>LEFT(_xlfn.TEXTBEFORE(Table1[[#This Row],[Location Identifier]],"-"),3) &amp; "-" &amp; _xlfn.TEXTAFTER(Table1[[#This Row],[Location Identifier]],"-")</f>
        <v>SAN-010</v>
      </c>
      <c r="AP1665" s="9">
        <f t="shared" ca="1" si="250"/>
        <v>45869</v>
      </c>
    </row>
    <row r="1666" spans="1:42" x14ac:dyDescent="0.25">
      <c r="A1666">
        <v>24</v>
      </c>
      <c r="B1666" t="s">
        <v>42</v>
      </c>
      <c r="C1666">
        <v>1</v>
      </c>
      <c r="D1666" t="s">
        <v>49</v>
      </c>
      <c r="E1666" t="b">
        <v>0</v>
      </c>
      <c r="F1666" s="1">
        <v>0.62430555555555556</v>
      </c>
      <c r="G1666" s="1">
        <v>0.72013888888888888</v>
      </c>
      <c r="H1666">
        <v>138</v>
      </c>
      <c r="I1666" t="b">
        <v>0</v>
      </c>
      <c r="J1666" t="b">
        <v>1</v>
      </c>
      <c r="K1666" t="b">
        <v>1</v>
      </c>
      <c r="L1666" t="s">
        <v>58</v>
      </c>
      <c r="M1666">
        <v>20</v>
      </c>
      <c r="N1666" t="s">
        <v>64</v>
      </c>
      <c r="O1666">
        <v>15</v>
      </c>
      <c r="P1666" t="s">
        <v>40</v>
      </c>
      <c r="Q1666">
        <v>0.1</v>
      </c>
      <c r="R1666">
        <v>13.5</v>
      </c>
      <c r="S1666" t="s">
        <v>44</v>
      </c>
      <c r="T1666" t="s">
        <v>54</v>
      </c>
      <c r="U1666">
        <v>32.715699999999998</v>
      </c>
      <c r="V1666">
        <v>-117.1611</v>
      </c>
      <c r="W1666" s="2">
        <v>44924</v>
      </c>
      <c r="X1666">
        <v>1</v>
      </c>
      <c r="Y1666" t="b">
        <v>0</v>
      </c>
      <c r="Z1666" s="2">
        <v>45809</v>
      </c>
      <c r="AA1666" t="str">
        <f t="shared" si="251"/>
        <v>20–29</v>
      </c>
      <c r="AB1666" t="str">
        <f t="shared" si="252"/>
        <v>20–29</v>
      </c>
      <c r="AC1666" t="str">
        <f t="shared" si="253"/>
        <v/>
      </c>
      <c r="AD1666" t="str">
        <f t="shared" si="254"/>
        <v/>
      </c>
      <c r="AE1666" t="str">
        <f t="shared" si="255"/>
        <v/>
      </c>
      <c r="AF1666" t="str">
        <f t="shared" si="256"/>
        <v/>
      </c>
      <c r="AG1666" t="str">
        <f t="shared" si="257"/>
        <v/>
      </c>
      <c r="AH1666" t="str">
        <f t="shared" si="258"/>
        <v/>
      </c>
      <c r="AI1666" t="str">
        <f t="shared" si="259"/>
        <v>Sunday</v>
      </c>
      <c r="AJ1666" t="str">
        <f>LEFT(Table1[[#This Row],[membership_type]],2)&amp;TEXT(Table1[[#This Row],[age]],"00")&amp;"-"&amp;TEXT(ROW(),"000")</f>
        <v>Ba24-1666</v>
      </c>
      <c r="AK1666" t="str">
        <f>LEFT(Table1[[#This Row],[membership_type]],1)&amp;TEXT(MATCH(Table1[[#This Row],[membership_type]],Table1[membership_type],0),"00")</f>
        <v>B04</v>
      </c>
      <c r="AL1666" t="str">
        <f>LEFT(Table1[[#This Row],[discount_type]],1)&amp;TEXT(ROUND(Table1[[#This Row],[discount_rate]]*100,0),"00")</f>
        <v>L10</v>
      </c>
      <c r="AM1666" t="str" cm="1">
        <f t="array" ref="AM1666">TEXT(SUMPRODUCT(CODE(MID(Table1[[#This Row],[home_gym_location]],_xlfn.SEQUENCE(LEN(Table1[[#This Row],[home_gym_location]])),1))),"00000")</f>
        <v>01018</v>
      </c>
      <c r="AN166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66" t="str">
        <f>LEFT(_xlfn.TEXTBEFORE(Table1[[#This Row],[Location Identifier]],"-"),3) &amp; "-" &amp; _xlfn.TEXTAFTER(Table1[[#This Row],[Location Identifier]],"-")</f>
        <v>SAN-008</v>
      </c>
      <c r="AP1666" s="9">
        <f t="shared" ref="AP1666:AP1729" ca="1" si="260">EOMONTH(DATE(YEAR(TODAY()),7,1),0)</f>
        <v>45869</v>
      </c>
    </row>
    <row r="1667" spans="1:42" x14ac:dyDescent="0.25">
      <c r="A1667">
        <v>37</v>
      </c>
      <c r="B1667" t="s">
        <v>33</v>
      </c>
      <c r="C1667">
        <v>1</v>
      </c>
      <c r="D1667" t="s">
        <v>95</v>
      </c>
      <c r="E1667" t="b">
        <v>1</v>
      </c>
      <c r="F1667" s="1">
        <v>0.35902777777777778</v>
      </c>
      <c r="G1667" s="1">
        <v>0.42499999999999999</v>
      </c>
      <c r="H1667">
        <v>95</v>
      </c>
      <c r="I1667" t="b">
        <v>1</v>
      </c>
      <c r="J1667" t="b">
        <v>1</v>
      </c>
      <c r="K1667" t="b">
        <v>0</v>
      </c>
      <c r="L1667" t="s">
        <v>35</v>
      </c>
      <c r="M1667">
        <v>30</v>
      </c>
      <c r="N1667" t="s">
        <v>29</v>
      </c>
      <c r="O1667">
        <v>30</v>
      </c>
      <c r="P1667" t="s">
        <v>74</v>
      </c>
      <c r="Q1667">
        <v>0.15</v>
      </c>
      <c r="R1667">
        <v>25.5</v>
      </c>
      <c r="S1667" t="s">
        <v>37</v>
      </c>
      <c r="T1667" t="s">
        <v>45</v>
      </c>
      <c r="U1667">
        <v>33.836599999999997</v>
      </c>
      <c r="V1667">
        <v>-117.9143</v>
      </c>
      <c r="W1667" s="2">
        <v>45608</v>
      </c>
      <c r="X1667">
        <v>5</v>
      </c>
      <c r="Y1667" t="b">
        <v>0</v>
      </c>
      <c r="Z1667" s="2">
        <v>45848</v>
      </c>
      <c r="AA1667" t="str">
        <f t="shared" ref="AA1667:AA1730" si="261">TEXT(10*INT($A1667/10),"0")&amp;"–"&amp;TEXT(10*INT($A1667/10)+9,"0")</f>
        <v>30–39</v>
      </c>
      <c r="AB1667" t="str">
        <f t="shared" ref="AB1667:AB1730" si="262">IF(AND($AA1667 = "10–19", $A1667 &lt; 16), "Under 16", IF(AND($AA1667 = "10–19", $A1667 &gt;= 16), "16–19", $AA1667))</f>
        <v>30–39</v>
      </c>
      <c r="AC1667" t="str">
        <f t="shared" ref="AC1667:AC1730" si="263">IF(ISNUMBER(SEARCH("Mon", $D1667)), "Monday", "")</f>
        <v/>
      </c>
      <c r="AD1667" t="str">
        <f t="shared" ref="AD1667:AD1730" si="264">IF(ISNUMBER(SEARCH("Tue", $D1667)), "Tuesday", "")</f>
        <v/>
      </c>
      <c r="AE1667" t="str">
        <f t="shared" ref="AE1667:AE1730" si="265">IF(ISNUMBER(SEARCH("Wed", $D1667)), "Wednesday", "")</f>
        <v/>
      </c>
      <c r="AF1667" t="str">
        <f t="shared" ref="AF1667:AF1730" si="266">IF(ISNUMBER(SEARCH("Thu", $D1667)), "Thursday", "")</f>
        <v/>
      </c>
      <c r="AG1667" t="str">
        <f t="shared" ref="AG1667:AG1730" si="267">IF(ISNUMBER(SEARCH("Fri", $D1667)), "Friday", "")</f>
        <v/>
      </c>
      <c r="AH1667" t="str">
        <f t="shared" ref="AH1667:AH1730" si="268">IF(ISNUMBER(SEARCH("Sat", $D1667)), "Saturday", "")</f>
        <v>Saturday</v>
      </c>
      <c r="AI1667" t="str">
        <f t="shared" ref="AI1667:AI1730" si="269">IF(ISNUMBER(SEARCH("Sun", $D1667)), "Sunday", "")</f>
        <v/>
      </c>
      <c r="AJ1667" t="str">
        <f>LEFT(Table1[[#This Row],[membership_type]],2)&amp;TEXT(Table1[[#This Row],[age]],"00")&amp;"-"&amp;TEXT(ROW(),"000")</f>
        <v>St37-1667</v>
      </c>
      <c r="AK1667" t="str">
        <f>LEFT(Table1[[#This Row],[membership_type]],1)&amp;TEXT(MATCH(Table1[[#This Row],[membership_type]],Table1[membership_type],0),"00")</f>
        <v>S02</v>
      </c>
      <c r="AL1667" t="str">
        <f>LEFT(Table1[[#This Row],[discount_type]],1)&amp;TEXT(ROUND(Table1[[#This Row],[discount_rate]]*100,0),"00")</f>
        <v>S15</v>
      </c>
      <c r="AM1667" t="str" cm="1">
        <f t="array" ref="AM1667">TEXT(SUMPRODUCT(CODE(MID(Table1[[#This Row],[home_gym_location]],_xlfn.SEQUENCE(LEN(Table1[[#This Row],[home_gym_location]])),1))),"00000")</f>
        <v>00899</v>
      </c>
      <c r="AN166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67" t="str">
        <f>LEFT(_xlfn.TEXTBEFORE(Table1[[#This Row],[Location Identifier]],"-"),3) &amp; "-" &amp; _xlfn.TEXTAFTER(Table1[[#This Row],[Location Identifier]],"-")</f>
        <v>ANA-001</v>
      </c>
      <c r="AP1667" s="9">
        <f t="shared" ca="1" si="260"/>
        <v>45869</v>
      </c>
    </row>
    <row r="1668" spans="1:42" x14ac:dyDescent="0.25">
      <c r="A1668">
        <v>30</v>
      </c>
      <c r="B1668" t="s">
        <v>26</v>
      </c>
      <c r="C1668">
        <v>2</v>
      </c>
      <c r="D1668" t="s">
        <v>27</v>
      </c>
      <c r="E1668" t="b">
        <v>0</v>
      </c>
      <c r="F1668" s="1">
        <v>0.47083333333333333</v>
      </c>
      <c r="G1668" s="1">
        <v>0.55208333333333337</v>
      </c>
      <c r="H1668">
        <v>117</v>
      </c>
      <c r="I1668" t="b">
        <v>0</v>
      </c>
      <c r="J1668" t="b">
        <v>1</v>
      </c>
      <c r="K1668" t="b">
        <v>0</v>
      </c>
      <c r="L1668" t="s">
        <v>58</v>
      </c>
      <c r="M1668">
        <v>50</v>
      </c>
      <c r="N1668" t="s">
        <v>29</v>
      </c>
      <c r="O1668">
        <v>50</v>
      </c>
      <c r="P1668" t="s">
        <v>74</v>
      </c>
      <c r="Q1668">
        <v>0.15</v>
      </c>
      <c r="R1668">
        <v>42.5</v>
      </c>
      <c r="S1668" t="s">
        <v>31</v>
      </c>
      <c r="T1668" t="s">
        <v>45</v>
      </c>
      <c r="U1668">
        <v>33.836599999999997</v>
      </c>
      <c r="V1668">
        <v>-117.9143</v>
      </c>
      <c r="W1668" s="2">
        <v>44839</v>
      </c>
      <c r="X1668">
        <v>5</v>
      </c>
      <c r="Y1668" t="b">
        <v>1</v>
      </c>
      <c r="Z1668" s="2">
        <v>45805</v>
      </c>
      <c r="AA1668" t="str">
        <f t="shared" si="261"/>
        <v>30–39</v>
      </c>
      <c r="AB1668" t="str">
        <f t="shared" si="262"/>
        <v>30–39</v>
      </c>
      <c r="AC1668" t="str">
        <f t="shared" si="263"/>
        <v/>
      </c>
      <c r="AD1668" t="str">
        <f t="shared" si="264"/>
        <v/>
      </c>
      <c r="AE1668" t="str">
        <f t="shared" si="265"/>
        <v/>
      </c>
      <c r="AF1668" t="str">
        <f t="shared" si="266"/>
        <v>Thursday</v>
      </c>
      <c r="AG1668" t="str">
        <f t="shared" si="267"/>
        <v/>
      </c>
      <c r="AH1668" t="str">
        <f t="shared" si="268"/>
        <v>Saturday</v>
      </c>
      <c r="AI1668" t="str">
        <f t="shared" si="269"/>
        <v/>
      </c>
      <c r="AJ1668" t="str">
        <f>LEFT(Table1[[#This Row],[membership_type]],2)&amp;TEXT(Table1[[#This Row],[age]],"00")&amp;"-"&amp;TEXT(ROW(),"000")</f>
        <v>Pr30-1668</v>
      </c>
      <c r="AK1668" t="str">
        <f>LEFT(Table1[[#This Row],[membership_type]],1)&amp;TEXT(MATCH(Table1[[#This Row],[membership_type]],Table1[membership_type],0),"00")</f>
        <v>P01</v>
      </c>
      <c r="AL1668" t="str">
        <f>LEFT(Table1[[#This Row],[discount_type]],1)&amp;TEXT(ROUND(Table1[[#This Row],[discount_rate]]*100,0),"00")</f>
        <v>S15</v>
      </c>
      <c r="AM1668" t="str" cm="1">
        <f t="array" ref="AM1668">TEXT(SUMPRODUCT(CODE(MID(Table1[[#This Row],[home_gym_location]],_xlfn.SEQUENCE(LEN(Table1[[#This Row],[home_gym_location]])),1))),"00000")</f>
        <v>00899</v>
      </c>
      <c r="AN166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68" t="str">
        <f>LEFT(_xlfn.TEXTBEFORE(Table1[[#This Row],[Location Identifier]],"-"),3) &amp; "-" &amp; _xlfn.TEXTAFTER(Table1[[#This Row],[Location Identifier]],"-")</f>
        <v>ANA-001</v>
      </c>
      <c r="AP1668" s="9">
        <f t="shared" ca="1" si="260"/>
        <v>45869</v>
      </c>
    </row>
    <row r="1669" spans="1:42" x14ac:dyDescent="0.25">
      <c r="A1669">
        <v>26</v>
      </c>
      <c r="B1669" t="s">
        <v>51</v>
      </c>
      <c r="C1669">
        <v>2</v>
      </c>
      <c r="D1669" t="s">
        <v>92</v>
      </c>
      <c r="E1669" t="b">
        <v>1</v>
      </c>
      <c r="F1669" s="1">
        <v>0.86458333333333337</v>
      </c>
      <c r="G1669" s="1">
        <v>0.90833333333333333</v>
      </c>
      <c r="H1669">
        <v>63</v>
      </c>
      <c r="I1669" t="b">
        <v>0</v>
      </c>
      <c r="J1669" t="b">
        <v>1</v>
      </c>
      <c r="K1669" t="b">
        <v>1</v>
      </c>
      <c r="L1669" t="s">
        <v>62</v>
      </c>
      <c r="M1669">
        <v>70</v>
      </c>
      <c r="N1669" t="s">
        <v>29</v>
      </c>
      <c r="O1669">
        <v>70</v>
      </c>
      <c r="P1669" t="s">
        <v>40</v>
      </c>
      <c r="Q1669">
        <v>0.1</v>
      </c>
      <c r="R1669">
        <v>63</v>
      </c>
      <c r="S1669" t="s">
        <v>53</v>
      </c>
      <c r="T1669" t="s">
        <v>65</v>
      </c>
      <c r="U1669">
        <v>33.770099999999999</v>
      </c>
      <c r="V1669">
        <v>-118.19370000000001</v>
      </c>
      <c r="W1669" s="2">
        <v>45707</v>
      </c>
      <c r="X1669">
        <v>3</v>
      </c>
      <c r="Y1669" t="b">
        <v>1</v>
      </c>
      <c r="Z1669" s="2">
        <v>45854</v>
      </c>
      <c r="AA1669" t="str">
        <f t="shared" si="261"/>
        <v>20–29</v>
      </c>
      <c r="AB1669" t="str">
        <f t="shared" si="262"/>
        <v>20–29</v>
      </c>
      <c r="AC1669" t="str">
        <f t="shared" si="263"/>
        <v/>
      </c>
      <c r="AD1669" t="str">
        <f t="shared" si="264"/>
        <v/>
      </c>
      <c r="AE1669" t="str">
        <f t="shared" si="265"/>
        <v/>
      </c>
      <c r="AF1669" t="str">
        <f t="shared" si="266"/>
        <v/>
      </c>
      <c r="AG1669" t="str">
        <f t="shared" si="267"/>
        <v>Friday</v>
      </c>
      <c r="AH1669" t="str">
        <f t="shared" si="268"/>
        <v/>
      </c>
      <c r="AI1669" t="str">
        <f t="shared" si="269"/>
        <v>Sunday</v>
      </c>
      <c r="AJ1669" t="str">
        <f>LEFT(Table1[[#This Row],[membership_type]],2)&amp;TEXT(Table1[[#This Row],[age]],"00")&amp;"-"&amp;TEXT(ROW(),"000")</f>
        <v>El26-1669</v>
      </c>
      <c r="AK1669" t="str">
        <f>LEFT(Table1[[#This Row],[membership_type]],1)&amp;TEXT(MATCH(Table1[[#This Row],[membership_type]],Table1[membership_type],0),"00")</f>
        <v>E07</v>
      </c>
      <c r="AL1669" t="str">
        <f>LEFT(Table1[[#This Row],[discount_type]],1)&amp;TEXT(ROUND(Table1[[#This Row],[discount_rate]]*100,0),"00")</f>
        <v>L10</v>
      </c>
      <c r="AM1669" t="str" cm="1">
        <f t="array" ref="AM1669">TEXT(SUMPRODUCT(CODE(MID(Table1[[#This Row],[home_gym_location]],_xlfn.SEQUENCE(LEN(Table1[[#This Row],[home_gym_location]])),1))),"00000")</f>
        <v>01107</v>
      </c>
      <c r="AN166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69" t="str">
        <f>LEFT(_xlfn.TEXTBEFORE(Table1[[#This Row],[Location Identifier]],"-"),3) &amp; "-" &amp; _xlfn.TEXTAFTER(Table1[[#This Row],[Location Identifier]],"-")</f>
        <v>LON-004</v>
      </c>
      <c r="AP1669" s="9">
        <f t="shared" ca="1" si="260"/>
        <v>45869</v>
      </c>
    </row>
    <row r="1670" spans="1:42" x14ac:dyDescent="0.25">
      <c r="A1670">
        <v>12</v>
      </c>
      <c r="B1670" t="s">
        <v>33</v>
      </c>
      <c r="C1670">
        <v>2</v>
      </c>
      <c r="D1670" t="s">
        <v>43</v>
      </c>
      <c r="E1670" t="b">
        <v>1</v>
      </c>
      <c r="F1670" s="1">
        <v>0.40902777777777777</v>
      </c>
      <c r="G1670" s="1">
        <v>0.47916666666666669</v>
      </c>
      <c r="H1670">
        <v>101</v>
      </c>
      <c r="I1670" t="b">
        <v>0</v>
      </c>
      <c r="J1670" t="b">
        <v>1</v>
      </c>
      <c r="K1670" t="b">
        <v>0</v>
      </c>
      <c r="L1670" t="s">
        <v>62</v>
      </c>
      <c r="M1670">
        <v>30</v>
      </c>
      <c r="N1670" t="s">
        <v>64</v>
      </c>
      <c r="O1670">
        <v>22.5</v>
      </c>
      <c r="P1670" t="s">
        <v>36</v>
      </c>
      <c r="Q1670">
        <v>0</v>
      </c>
      <c r="R1670">
        <v>22.5</v>
      </c>
      <c r="S1670" t="s">
        <v>37</v>
      </c>
      <c r="T1670" t="s">
        <v>38</v>
      </c>
      <c r="U1670">
        <v>36.7378</v>
      </c>
      <c r="V1670">
        <v>-119.7871</v>
      </c>
      <c r="W1670" s="2">
        <v>44960</v>
      </c>
      <c r="X1670">
        <v>7</v>
      </c>
      <c r="Y1670" t="b">
        <v>1</v>
      </c>
      <c r="Z1670" s="2">
        <v>45811</v>
      </c>
      <c r="AA1670" t="str">
        <f t="shared" si="261"/>
        <v>10–19</v>
      </c>
      <c r="AB1670" t="str">
        <f t="shared" si="262"/>
        <v>Under 16</v>
      </c>
      <c r="AC1670" t="str">
        <f t="shared" si="263"/>
        <v>Monday</v>
      </c>
      <c r="AD1670" t="str">
        <f t="shared" si="264"/>
        <v>Tuesday</v>
      </c>
      <c r="AE1670" t="str">
        <f t="shared" si="265"/>
        <v/>
      </c>
      <c r="AF1670" t="str">
        <f t="shared" si="266"/>
        <v/>
      </c>
      <c r="AG1670" t="str">
        <f t="shared" si="267"/>
        <v/>
      </c>
      <c r="AH1670" t="str">
        <f t="shared" si="268"/>
        <v/>
      </c>
      <c r="AI1670" t="str">
        <f t="shared" si="269"/>
        <v/>
      </c>
      <c r="AJ1670" t="str">
        <f>LEFT(Table1[[#This Row],[membership_type]],2)&amp;TEXT(Table1[[#This Row],[age]],"00")&amp;"-"&amp;TEXT(ROW(),"000")</f>
        <v>St12-1670</v>
      </c>
      <c r="AK1670" t="str">
        <f>LEFT(Table1[[#This Row],[membership_type]],1)&amp;TEXT(MATCH(Table1[[#This Row],[membership_type]],Table1[membership_type],0),"00")</f>
        <v>S02</v>
      </c>
      <c r="AL1670" t="str">
        <f>LEFT(Table1[[#This Row],[discount_type]],1)&amp;TEXT(ROUND(Table1[[#This Row],[discount_rate]]*100,0),"00")</f>
        <v>N00</v>
      </c>
      <c r="AM1670" t="str" cm="1">
        <f t="array" ref="AM1670">TEXT(SUMPRODUCT(CODE(MID(Table1[[#This Row],[home_gym_location]],_xlfn.SEQUENCE(LEN(Table1[[#This Row],[home_gym_location]])),1))),"00000")</f>
        <v>00829</v>
      </c>
      <c r="AN1670" t="str">
        <f>UPPER(_xlfn.TEXTBEFORE(Table1[[#This Row],[home_gym_location]],","))&amp;"-"&amp;TEXT(MATCH(Table1[[#This Row],[home_gym_location]],_xlfn._xlws.SORT(_xlfn.UNIQUE(Table1[home_gym_location])),0),"000")</f>
        <v>FRESNO-003</v>
      </c>
      <c r="AO1670" t="str">
        <f>LEFT(_xlfn.TEXTBEFORE(Table1[[#This Row],[Location Identifier]],"-"),3) &amp; "-" &amp; _xlfn.TEXTAFTER(Table1[[#This Row],[Location Identifier]],"-")</f>
        <v>FRE-003</v>
      </c>
      <c r="AP1670" s="9">
        <f t="shared" ca="1" si="260"/>
        <v>45869</v>
      </c>
    </row>
    <row r="1671" spans="1:42" x14ac:dyDescent="0.25">
      <c r="A1671">
        <v>39</v>
      </c>
      <c r="B1671" t="s">
        <v>33</v>
      </c>
      <c r="C1671">
        <v>4</v>
      </c>
      <c r="D1671" t="s">
        <v>39</v>
      </c>
      <c r="E1671" t="b">
        <v>1</v>
      </c>
      <c r="F1671" s="1">
        <v>0.56597222222222221</v>
      </c>
      <c r="G1671" s="1">
        <v>0.60902777777777772</v>
      </c>
      <c r="H1671">
        <v>62</v>
      </c>
      <c r="I1671" t="b">
        <v>1</v>
      </c>
      <c r="J1671" t="b">
        <v>1</v>
      </c>
      <c r="K1671" t="b">
        <v>1</v>
      </c>
      <c r="L1671" t="s">
        <v>28</v>
      </c>
      <c r="M1671">
        <v>30</v>
      </c>
      <c r="N1671" t="s">
        <v>29</v>
      </c>
      <c r="O1671">
        <v>30</v>
      </c>
      <c r="P1671" t="s">
        <v>40</v>
      </c>
      <c r="Q1671">
        <v>0.1</v>
      </c>
      <c r="R1671">
        <v>27</v>
      </c>
      <c r="S1671" t="s">
        <v>37</v>
      </c>
      <c r="T1671" t="s">
        <v>41</v>
      </c>
      <c r="U1671">
        <v>37.804400000000001</v>
      </c>
      <c r="V1671">
        <v>-122.27119999999999</v>
      </c>
      <c r="W1671" s="2">
        <v>45425</v>
      </c>
      <c r="X1671">
        <v>6</v>
      </c>
      <c r="Y1671" t="b">
        <v>0</v>
      </c>
      <c r="Z1671" s="2">
        <v>45838</v>
      </c>
      <c r="AA1671" t="str">
        <f t="shared" si="261"/>
        <v>30–39</v>
      </c>
      <c r="AB1671" t="str">
        <f t="shared" si="262"/>
        <v>30–39</v>
      </c>
      <c r="AC1671" t="str">
        <f t="shared" si="263"/>
        <v/>
      </c>
      <c r="AD1671" t="str">
        <f t="shared" si="264"/>
        <v>Tuesday</v>
      </c>
      <c r="AE1671" t="str">
        <f t="shared" si="265"/>
        <v>Wednesday</v>
      </c>
      <c r="AF1671" t="str">
        <f t="shared" si="266"/>
        <v>Thursday</v>
      </c>
      <c r="AG1671" t="str">
        <f t="shared" si="267"/>
        <v/>
      </c>
      <c r="AH1671" t="str">
        <f t="shared" si="268"/>
        <v/>
      </c>
      <c r="AI1671" t="str">
        <f t="shared" si="269"/>
        <v>Sunday</v>
      </c>
      <c r="AJ1671" t="str">
        <f>LEFT(Table1[[#This Row],[membership_type]],2)&amp;TEXT(Table1[[#This Row],[age]],"00")&amp;"-"&amp;TEXT(ROW(),"000")</f>
        <v>St39-1671</v>
      </c>
      <c r="AK1671" t="str">
        <f>LEFT(Table1[[#This Row],[membership_type]],1)&amp;TEXT(MATCH(Table1[[#This Row],[membership_type]],Table1[membership_type],0),"00")</f>
        <v>S02</v>
      </c>
      <c r="AL1671" t="str">
        <f>LEFT(Table1[[#This Row],[discount_type]],1)&amp;TEXT(ROUND(Table1[[#This Row],[discount_rate]]*100,0),"00")</f>
        <v>L10</v>
      </c>
      <c r="AM1671" t="str" cm="1">
        <f t="array" ref="AM1671">TEXT(SUMPRODUCT(CODE(MID(Table1[[#This Row],[home_gym_location]],_xlfn.SEQUENCE(LEN(Table1[[#This Row],[home_gym_location]])),1))),"00000")</f>
        <v>00906</v>
      </c>
      <c r="AN167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671" t="str">
        <f>LEFT(_xlfn.TEXTBEFORE(Table1[[#This Row],[Location Identifier]],"-"),3) &amp; "-" &amp; _xlfn.TEXTAFTER(Table1[[#This Row],[Location Identifier]],"-")</f>
        <v>OAK-006</v>
      </c>
      <c r="AP1671" s="9">
        <f t="shared" ca="1" si="260"/>
        <v>45869</v>
      </c>
    </row>
    <row r="1672" spans="1:42" x14ac:dyDescent="0.25">
      <c r="A1672">
        <v>33</v>
      </c>
      <c r="B1672" t="s">
        <v>26</v>
      </c>
      <c r="C1672">
        <v>2</v>
      </c>
      <c r="D1672" t="s">
        <v>139</v>
      </c>
      <c r="E1672" t="b">
        <v>1</v>
      </c>
      <c r="F1672" s="1">
        <v>0.71250000000000002</v>
      </c>
      <c r="G1672" s="1">
        <v>0.79791666666666672</v>
      </c>
      <c r="H1672">
        <v>123</v>
      </c>
      <c r="I1672" t="b">
        <v>1</v>
      </c>
      <c r="J1672" t="b">
        <v>1</v>
      </c>
      <c r="K1672" t="b">
        <v>0</v>
      </c>
      <c r="L1672" t="s">
        <v>47</v>
      </c>
      <c r="M1672">
        <v>50</v>
      </c>
      <c r="N1672" t="s">
        <v>29</v>
      </c>
      <c r="O1672">
        <v>50</v>
      </c>
      <c r="P1672" t="s">
        <v>40</v>
      </c>
      <c r="Q1672">
        <v>0.1</v>
      </c>
      <c r="R1672">
        <v>45</v>
      </c>
      <c r="S1672" t="s">
        <v>31</v>
      </c>
      <c r="T1672" t="s">
        <v>38</v>
      </c>
      <c r="U1672">
        <v>36.7378</v>
      </c>
      <c r="V1672">
        <v>-119.7871</v>
      </c>
      <c r="W1672" s="2">
        <v>44895</v>
      </c>
      <c r="X1672">
        <v>4</v>
      </c>
      <c r="Y1672" t="b">
        <v>1</v>
      </c>
      <c r="Z1672" s="2">
        <v>45808</v>
      </c>
      <c r="AA1672" t="str">
        <f t="shared" si="261"/>
        <v>30–39</v>
      </c>
      <c r="AB1672" t="str">
        <f t="shared" si="262"/>
        <v>30–39</v>
      </c>
      <c r="AC1672" t="str">
        <f t="shared" si="263"/>
        <v/>
      </c>
      <c r="AD1672" t="str">
        <f t="shared" si="264"/>
        <v/>
      </c>
      <c r="AE1672" t="str">
        <f t="shared" si="265"/>
        <v>Wednesday</v>
      </c>
      <c r="AF1672" t="str">
        <f t="shared" si="266"/>
        <v/>
      </c>
      <c r="AG1672" t="str">
        <f t="shared" si="267"/>
        <v/>
      </c>
      <c r="AH1672" t="str">
        <f t="shared" si="268"/>
        <v>Saturday</v>
      </c>
      <c r="AI1672" t="str">
        <f t="shared" si="269"/>
        <v/>
      </c>
      <c r="AJ1672" t="str">
        <f>LEFT(Table1[[#This Row],[membership_type]],2)&amp;TEXT(Table1[[#This Row],[age]],"00")&amp;"-"&amp;TEXT(ROW(),"000")</f>
        <v>Pr33-1672</v>
      </c>
      <c r="AK1672" t="str">
        <f>LEFT(Table1[[#This Row],[membership_type]],1)&amp;TEXT(MATCH(Table1[[#This Row],[membership_type]],Table1[membership_type],0),"00")</f>
        <v>P01</v>
      </c>
      <c r="AL1672" t="str">
        <f>LEFT(Table1[[#This Row],[discount_type]],1)&amp;TEXT(ROUND(Table1[[#This Row],[discount_rate]]*100,0),"00")</f>
        <v>L10</v>
      </c>
      <c r="AM1672" t="str" cm="1">
        <f t="array" ref="AM1672">TEXT(SUMPRODUCT(CODE(MID(Table1[[#This Row],[home_gym_location]],_xlfn.SEQUENCE(LEN(Table1[[#This Row],[home_gym_location]])),1))),"00000")</f>
        <v>00829</v>
      </c>
      <c r="AN1672" t="str">
        <f>UPPER(_xlfn.TEXTBEFORE(Table1[[#This Row],[home_gym_location]],","))&amp;"-"&amp;TEXT(MATCH(Table1[[#This Row],[home_gym_location]],_xlfn._xlws.SORT(_xlfn.UNIQUE(Table1[home_gym_location])),0),"000")</f>
        <v>FRESNO-003</v>
      </c>
      <c r="AO1672" t="str">
        <f>LEFT(_xlfn.TEXTBEFORE(Table1[[#This Row],[Location Identifier]],"-"),3) &amp; "-" &amp; _xlfn.TEXTAFTER(Table1[[#This Row],[Location Identifier]],"-")</f>
        <v>FRE-003</v>
      </c>
      <c r="AP1672" s="9">
        <f t="shared" ca="1" si="260"/>
        <v>45869</v>
      </c>
    </row>
    <row r="1673" spans="1:42" x14ac:dyDescent="0.25">
      <c r="A1673">
        <v>26</v>
      </c>
      <c r="B1673" t="s">
        <v>26</v>
      </c>
      <c r="C1673">
        <v>1</v>
      </c>
      <c r="D1673" t="s">
        <v>95</v>
      </c>
      <c r="E1673" t="b">
        <v>1</v>
      </c>
      <c r="F1673" s="1">
        <v>0.53055555555555556</v>
      </c>
      <c r="G1673" s="1">
        <v>0.56944444444444442</v>
      </c>
      <c r="H1673">
        <v>56</v>
      </c>
      <c r="I1673" t="b">
        <v>0</v>
      </c>
      <c r="J1673" t="b">
        <v>0</v>
      </c>
      <c r="K1673" t="b">
        <v>0</v>
      </c>
      <c r="L1673" t="s">
        <v>62</v>
      </c>
      <c r="M1673">
        <v>50</v>
      </c>
      <c r="N1673" t="s">
        <v>29</v>
      </c>
      <c r="O1673">
        <v>50</v>
      </c>
      <c r="P1673" t="s">
        <v>40</v>
      </c>
      <c r="Q1673">
        <v>0.1</v>
      </c>
      <c r="R1673">
        <v>45</v>
      </c>
      <c r="S1673" t="s">
        <v>31</v>
      </c>
      <c r="T1673" t="s">
        <v>45</v>
      </c>
      <c r="U1673">
        <v>33.836599999999997</v>
      </c>
      <c r="V1673">
        <v>-117.9143</v>
      </c>
      <c r="W1673" s="2">
        <v>44906</v>
      </c>
      <c r="X1673">
        <v>0</v>
      </c>
      <c r="Y1673" t="b">
        <v>1</v>
      </c>
      <c r="Z1673" s="2">
        <v>45808</v>
      </c>
      <c r="AA1673" t="str">
        <f t="shared" si="261"/>
        <v>20–29</v>
      </c>
      <c r="AB1673" t="str">
        <f t="shared" si="262"/>
        <v>20–29</v>
      </c>
      <c r="AC1673" t="str">
        <f t="shared" si="263"/>
        <v/>
      </c>
      <c r="AD1673" t="str">
        <f t="shared" si="264"/>
        <v/>
      </c>
      <c r="AE1673" t="str">
        <f t="shared" si="265"/>
        <v/>
      </c>
      <c r="AF1673" t="str">
        <f t="shared" si="266"/>
        <v/>
      </c>
      <c r="AG1673" t="str">
        <f t="shared" si="267"/>
        <v/>
      </c>
      <c r="AH1673" t="str">
        <f t="shared" si="268"/>
        <v>Saturday</v>
      </c>
      <c r="AI1673" t="str">
        <f t="shared" si="269"/>
        <v/>
      </c>
      <c r="AJ1673" t="str">
        <f>LEFT(Table1[[#This Row],[membership_type]],2)&amp;TEXT(Table1[[#This Row],[age]],"00")&amp;"-"&amp;TEXT(ROW(),"000")</f>
        <v>Pr26-1673</v>
      </c>
      <c r="AK1673" t="str">
        <f>LEFT(Table1[[#This Row],[membership_type]],1)&amp;TEXT(MATCH(Table1[[#This Row],[membership_type]],Table1[membership_type],0),"00")</f>
        <v>P01</v>
      </c>
      <c r="AL1673" t="str">
        <f>LEFT(Table1[[#This Row],[discount_type]],1)&amp;TEXT(ROUND(Table1[[#This Row],[discount_rate]]*100,0),"00")</f>
        <v>L10</v>
      </c>
      <c r="AM1673" t="str" cm="1">
        <f t="array" ref="AM1673">TEXT(SUMPRODUCT(CODE(MID(Table1[[#This Row],[home_gym_location]],_xlfn.SEQUENCE(LEN(Table1[[#This Row],[home_gym_location]])),1))),"00000")</f>
        <v>00899</v>
      </c>
      <c r="AN167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73" t="str">
        <f>LEFT(_xlfn.TEXTBEFORE(Table1[[#This Row],[Location Identifier]],"-"),3) &amp; "-" &amp; _xlfn.TEXTAFTER(Table1[[#This Row],[Location Identifier]],"-")</f>
        <v>ANA-001</v>
      </c>
      <c r="AP1673" s="9">
        <f t="shared" ca="1" si="260"/>
        <v>45869</v>
      </c>
    </row>
    <row r="1674" spans="1:42" x14ac:dyDescent="0.25">
      <c r="A1674">
        <v>23</v>
      </c>
      <c r="B1674" t="s">
        <v>51</v>
      </c>
      <c r="C1674">
        <v>5</v>
      </c>
      <c r="D1674" t="s">
        <v>76</v>
      </c>
      <c r="E1674" t="b">
        <v>1</v>
      </c>
      <c r="F1674" s="1">
        <v>0.87291666666666667</v>
      </c>
      <c r="G1674" s="1">
        <v>0.98263888888888884</v>
      </c>
      <c r="H1674">
        <v>158</v>
      </c>
      <c r="I1674" t="b">
        <v>0</v>
      </c>
      <c r="J1674" t="b">
        <v>0</v>
      </c>
      <c r="K1674" t="b">
        <v>1</v>
      </c>
      <c r="L1674" t="s">
        <v>35</v>
      </c>
      <c r="M1674">
        <v>70</v>
      </c>
      <c r="N1674" t="s">
        <v>29</v>
      </c>
      <c r="O1674">
        <v>70</v>
      </c>
      <c r="P1674" t="s">
        <v>36</v>
      </c>
      <c r="Q1674">
        <v>0</v>
      </c>
      <c r="R1674">
        <v>70</v>
      </c>
      <c r="S1674" t="s">
        <v>53</v>
      </c>
      <c r="T1674" t="s">
        <v>45</v>
      </c>
      <c r="U1674">
        <v>33.836599999999997</v>
      </c>
      <c r="V1674">
        <v>-117.9143</v>
      </c>
      <c r="W1674" s="2">
        <v>44972</v>
      </c>
      <c r="X1674">
        <v>0</v>
      </c>
      <c r="Y1674" t="b">
        <v>1</v>
      </c>
      <c r="Z1674" s="2">
        <v>45812</v>
      </c>
      <c r="AA1674" t="str">
        <f t="shared" si="261"/>
        <v>20–29</v>
      </c>
      <c r="AB1674" t="str">
        <f t="shared" si="262"/>
        <v>20–29</v>
      </c>
      <c r="AC1674" t="str">
        <f t="shared" si="263"/>
        <v>Monday</v>
      </c>
      <c r="AD1674" t="str">
        <f t="shared" si="264"/>
        <v>Tuesday</v>
      </c>
      <c r="AE1674" t="str">
        <f t="shared" si="265"/>
        <v>Wednesday</v>
      </c>
      <c r="AF1674" t="str">
        <f t="shared" si="266"/>
        <v>Thursday</v>
      </c>
      <c r="AG1674" t="str">
        <f t="shared" si="267"/>
        <v/>
      </c>
      <c r="AH1674" t="str">
        <f t="shared" si="268"/>
        <v/>
      </c>
      <c r="AI1674" t="str">
        <f t="shared" si="269"/>
        <v>Sunday</v>
      </c>
      <c r="AJ1674" t="str">
        <f>LEFT(Table1[[#This Row],[membership_type]],2)&amp;TEXT(Table1[[#This Row],[age]],"00")&amp;"-"&amp;TEXT(ROW(),"000")</f>
        <v>El23-1674</v>
      </c>
      <c r="AK1674" t="str">
        <f>LEFT(Table1[[#This Row],[membership_type]],1)&amp;TEXT(MATCH(Table1[[#This Row],[membership_type]],Table1[membership_type],0),"00")</f>
        <v>E07</v>
      </c>
      <c r="AL1674" t="str">
        <f>LEFT(Table1[[#This Row],[discount_type]],1)&amp;TEXT(ROUND(Table1[[#This Row],[discount_rate]]*100,0),"00")</f>
        <v>N00</v>
      </c>
      <c r="AM1674" t="str" cm="1">
        <f t="array" ref="AM1674">TEXT(SUMPRODUCT(CODE(MID(Table1[[#This Row],[home_gym_location]],_xlfn.SEQUENCE(LEN(Table1[[#This Row],[home_gym_location]])),1))),"00000")</f>
        <v>00899</v>
      </c>
      <c r="AN167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74" t="str">
        <f>LEFT(_xlfn.TEXTBEFORE(Table1[[#This Row],[Location Identifier]],"-"),3) &amp; "-" &amp; _xlfn.TEXTAFTER(Table1[[#This Row],[Location Identifier]],"-")</f>
        <v>ANA-001</v>
      </c>
      <c r="AP1674" s="9">
        <f t="shared" ca="1" si="260"/>
        <v>45869</v>
      </c>
    </row>
    <row r="1675" spans="1:42" x14ac:dyDescent="0.25">
      <c r="A1675">
        <v>20</v>
      </c>
      <c r="B1675" t="s">
        <v>26</v>
      </c>
      <c r="C1675">
        <v>3</v>
      </c>
      <c r="D1675" t="s">
        <v>125</v>
      </c>
      <c r="E1675" t="b">
        <v>0</v>
      </c>
      <c r="F1675" s="1">
        <v>0.43888888888888888</v>
      </c>
      <c r="G1675" s="1">
        <v>0.46458333333333335</v>
      </c>
      <c r="H1675">
        <v>37</v>
      </c>
      <c r="I1675" t="b">
        <v>0</v>
      </c>
      <c r="J1675" t="b">
        <v>0</v>
      </c>
      <c r="K1675" t="b">
        <v>1</v>
      </c>
      <c r="L1675" t="s">
        <v>62</v>
      </c>
      <c r="M1675">
        <v>50</v>
      </c>
      <c r="N1675" t="s">
        <v>29</v>
      </c>
      <c r="O1675">
        <v>50</v>
      </c>
      <c r="P1675" t="s">
        <v>74</v>
      </c>
      <c r="Q1675">
        <v>0.15</v>
      </c>
      <c r="R1675">
        <v>42.5</v>
      </c>
      <c r="S1675" t="s">
        <v>31</v>
      </c>
      <c r="T1675" t="s">
        <v>59</v>
      </c>
      <c r="U1675">
        <v>37.774900000000002</v>
      </c>
      <c r="V1675">
        <v>-122.4194</v>
      </c>
      <c r="W1675" s="2">
        <v>44989</v>
      </c>
      <c r="X1675">
        <v>0</v>
      </c>
      <c r="Y1675" t="b">
        <v>0</v>
      </c>
      <c r="Z1675" s="2">
        <v>45813</v>
      </c>
      <c r="AA1675" t="str">
        <f t="shared" si="261"/>
        <v>20–29</v>
      </c>
      <c r="AB1675" t="str">
        <f t="shared" si="262"/>
        <v>20–29</v>
      </c>
      <c r="AC1675" t="str">
        <f t="shared" si="263"/>
        <v/>
      </c>
      <c r="AD1675" t="str">
        <f t="shared" si="264"/>
        <v/>
      </c>
      <c r="AE1675" t="str">
        <f t="shared" si="265"/>
        <v/>
      </c>
      <c r="AF1675" t="str">
        <f t="shared" si="266"/>
        <v>Thursday</v>
      </c>
      <c r="AG1675" t="str">
        <f t="shared" si="267"/>
        <v/>
      </c>
      <c r="AH1675" t="str">
        <f t="shared" si="268"/>
        <v>Saturday</v>
      </c>
      <c r="AI1675" t="str">
        <f t="shared" si="269"/>
        <v>Sunday</v>
      </c>
      <c r="AJ1675" t="str">
        <f>LEFT(Table1[[#This Row],[membership_type]],2)&amp;TEXT(Table1[[#This Row],[age]],"00")&amp;"-"&amp;TEXT(ROW(),"000")</f>
        <v>Pr20-1675</v>
      </c>
      <c r="AK1675" t="str">
        <f>LEFT(Table1[[#This Row],[membership_type]],1)&amp;TEXT(MATCH(Table1[[#This Row],[membership_type]],Table1[membership_type],0),"00")</f>
        <v>P01</v>
      </c>
      <c r="AL1675" t="str">
        <f>LEFT(Table1[[#This Row],[discount_type]],1)&amp;TEXT(ROUND(Table1[[#This Row],[discount_rate]]*100,0),"00")</f>
        <v>S15</v>
      </c>
      <c r="AM1675" t="str" cm="1">
        <f t="array" ref="AM1675">TEXT(SUMPRODUCT(CODE(MID(Table1[[#This Row],[home_gym_location]],_xlfn.SEQUENCE(LEN(Table1[[#This Row],[home_gym_location]])),1))),"00000")</f>
        <v>01450</v>
      </c>
      <c r="AN167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675" t="str">
        <f>LEFT(_xlfn.TEXTBEFORE(Table1[[#This Row],[Location Identifier]],"-"),3) &amp; "-" &amp; _xlfn.TEXTAFTER(Table1[[#This Row],[Location Identifier]],"-")</f>
        <v>SAN-009</v>
      </c>
      <c r="AP1675" s="9">
        <f t="shared" ca="1" si="260"/>
        <v>45869</v>
      </c>
    </row>
    <row r="1676" spans="1:42" x14ac:dyDescent="0.25">
      <c r="A1676">
        <v>40</v>
      </c>
      <c r="B1676" t="s">
        <v>26</v>
      </c>
      <c r="C1676">
        <v>2</v>
      </c>
      <c r="D1676" t="s">
        <v>116</v>
      </c>
      <c r="E1676" t="b">
        <v>0</v>
      </c>
      <c r="F1676" s="1">
        <v>0.48402777777777778</v>
      </c>
      <c r="G1676" s="1">
        <v>0.59930555555555554</v>
      </c>
      <c r="H1676">
        <v>166</v>
      </c>
      <c r="I1676" t="b">
        <v>0</v>
      </c>
      <c r="J1676" t="b">
        <v>1</v>
      </c>
      <c r="K1676" t="b">
        <v>1</v>
      </c>
      <c r="L1676" t="s">
        <v>28</v>
      </c>
      <c r="M1676">
        <v>50</v>
      </c>
      <c r="N1676" t="s">
        <v>29</v>
      </c>
      <c r="O1676">
        <v>50</v>
      </c>
      <c r="P1676" t="s">
        <v>36</v>
      </c>
      <c r="Q1676">
        <v>0</v>
      </c>
      <c r="R1676">
        <v>50</v>
      </c>
      <c r="S1676" t="s">
        <v>31</v>
      </c>
      <c r="T1676" t="s">
        <v>32</v>
      </c>
      <c r="U1676">
        <v>37.338200000000001</v>
      </c>
      <c r="V1676">
        <v>-121.88630000000001</v>
      </c>
      <c r="W1676" s="2">
        <v>45506</v>
      </c>
      <c r="X1676">
        <v>1</v>
      </c>
      <c r="Y1676" t="b">
        <v>1</v>
      </c>
      <c r="Z1676" s="2">
        <v>45842</v>
      </c>
      <c r="AA1676" t="str">
        <f t="shared" si="261"/>
        <v>40–49</v>
      </c>
      <c r="AB1676" t="str">
        <f t="shared" si="262"/>
        <v>40–49</v>
      </c>
      <c r="AC1676" t="str">
        <f t="shared" si="263"/>
        <v/>
      </c>
      <c r="AD1676" t="str">
        <f t="shared" si="264"/>
        <v/>
      </c>
      <c r="AE1676" t="str">
        <f t="shared" si="265"/>
        <v/>
      </c>
      <c r="AF1676" t="str">
        <f t="shared" si="266"/>
        <v>Thursday</v>
      </c>
      <c r="AG1676" t="str">
        <f t="shared" si="267"/>
        <v/>
      </c>
      <c r="AH1676" t="str">
        <f t="shared" si="268"/>
        <v/>
      </c>
      <c r="AI1676" t="str">
        <f t="shared" si="269"/>
        <v>Sunday</v>
      </c>
      <c r="AJ1676" t="str">
        <f>LEFT(Table1[[#This Row],[membership_type]],2)&amp;TEXT(Table1[[#This Row],[age]],"00")&amp;"-"&amp;TEXT(ROW(),"000")</f>
        <v>Pr40-1676</v>
      </c>
      <c r="AK1676" t="str">
        <f>LEFT(Table1[[#This Row],[membership_type]],1)&amp;TEXT(MATCH(Table1[[#This Row],[membership_type]],Table1[membership_type],0),"00")</f>
        <v>P01</v>
      </c>
      <c r="AL1676" t="str">
        <f>LEFT(Table1[[#This Row],[discount_type]],1)&amp;TEXT(ROUND(Table1[[#This Row],[discount_rate]]*100,0),"00")</f>
        <v>N00</v>
      </c>
      <c r="AM1676" t="str" cm="1">
        <f t="array" ref="AM1676">TEXT(SUMPRODUCT(CODE(MID(Table1[[#This Row],[home_gym_location]],_xlfn.SEQUENCE(LEN(Table1[[#This Row],[home_gym_location]])),1))),"00000")</f>
        <v>00931</v>
      </c>
      <c r="AN167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76" t="str">
        <f>LEFT(_xlfn.TEXTBEFORE(Table1[[#This Row],[Location Identifier]],"-"),3) &amp; "-" &amp; _xlfn.TEXTAFTER(Table1[[#This Row],[Location Identifier]],"-")</f>
        <v>SAN-010</v>
      </c>
      <c r="AP1676" s="9">
        <f t="shared" ca="1" si="260"/>
        <v>45869</v>
      </c>
    </row>
    <row r="1677" spans="1:42" x14ac:dyDescent="0.25">
      <c r="A1677">
        <v>14</v>
      </c>
      <c r="B1677" t="s">
        <v>51</v>
      </c>
      <c r="C1677">
        <v>3</v>
      </c>
      <c r="D1677" t="s">
        <v>83</v>
      </c>
      <c r="E1677" t="b">
        <v>0</v>
      </c>
      <c r="F1677" s="1">
        <v>0.6069444444444444</v>
      </c>
      <c r="G1677" s="1">
        <v>0.68958333333333333</v>
      </c>
      <c r="H1677">
        <v>119</v>
      </c>
      <c r="I1677" t="b">
        <v>1</v>
      </c>
      <c r="J1677" t="b">
        <v>1</v>
      </c>
      <c r="K1677" t="b">
        <v>1</v>
      </c>
      <c r="L1677" t="s">
        <v>62</v>
      </c>
      <c r="M1677">
        <v>70</v>
      </c>
      <c r="N1677" t="s">
        <v>29</v>
      </c>
      <c r="O1677">
        <v>70</v>
      </c>
      <c r="P1677" t="s">
        <v>36</v>
      </c>
      <c r="Q1677">
        <v>0</v>
      </c>
      <c r="R1677">
        <v>70</v>
      </c>
      <c r="S1677" t="s">
        <v>53</v>
      </c>
      <c r="T1677" t="s">
        <v>48</v>
      </c>
      <c r="U1677">
        <v>38.581600000000002</v>
      </c>
      <c r="V1677">
        <v>-121.4944</v>
      </c>
      <c r="W1677" s="2">
        <v>45744</v>
      </c>
      <c r="X1677">
        <v>5</v>
      </c>
      <c r="Y1677" t="b">
        <v>1</v>
      </c>
      <c r="Z1677" s="2">
        <v>45856</v>
      </c>
      <c r="AA1677" t="str">
        <f t="shared" si="261"/>
        <v>10–19</v>
      </c>
      <c r="AB1677" t="str">
        <f t="shared" si="262"/>
        <v>Under 16</v>
      </c>
      <c r="AC1677" t="str">
        <f t="shared" si="263"/>
        <v/>
      </c>
      <c r="AD1677" t="str">
        <f t="shared" si="264"/>
        <v>Tuesday</v>
      </c>
      <c r="AE1677" t="str">
        <f t="shared" si="265"/>
        <v>Wednesday</v>
      </c>
      <c r="AF1677" t="str">
        <f t="shared" si="266"/>
        <v/>
      </c>
      <c r="AG1677" t="str">
        <f t="shared" si="267"/>
        <v/>
      </c>
      <c r="AH1677" t="str">
        <f t="shared" si="268"/>
        <v>Saturday</v>
      </c>
      <c r="AI1677" t="str">
        <f t="shared" si="269"/>
        <v/>
      </c>
      <c r="AJ1677" t="str">
        <f>LEFT(Table1[[#This Row],[membership_type]],2)&amp;TEXT(Table1[[#This Row],[age]],"00")&amp;"-"&amp;TEXT(ROW(),"000")</f>
        <v>El14-1677</v>
      </c>
      <c r="AK1677" t="str">
        <f>LEFT(Table1[[#This Row],[membership_type]],1)&amp;TEXT(MATCH(Table1[[#This Row],[membership_type]],Table1[membership_type],0),"00")</f>
        <v>E07</v>
      </c>
      <c r="AL1677" t="str">
        <f>LEFT(Table1[[#This Row],[discount_type]],1)&amp;TEXT(ROUND(Table1[[#This Row],[discount_rate]]*100,0),"00")</f>
        <v>N00</v>
      </c>
      <c r="AM1677" t="str" cm="1">
        <f t="array" ref="AM1677">TEXT(SUMPRODUCT(CODE(MID(Table1[[#This Row],[home_gym_location]],_xlfn.SEQUENCE(LEN(Table1[[#This Row],[home_gym_location]])),1))),"00000")</f>
        <v>01245</v>
      </c>
      <c r="AN167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77" t="str">
        <f>LEFT(_xlfn.TEXTBEFORE(Table1[[#This Row],[Location Identifier]],"-"),3) &amp; "-" &amp; _xlfn.TEXTAFTER(Table1[[#This Row],[Location Identifier]],"-")</f>
        <v>SAC-007</v>
      </c>
      <c r="AP1677" s="9">
        <f t="shared" ca="1" si="260"/>
        <v>45869</v>
      </c>
    </row>
    <row r="1678" spans="1:42" x14ac:dyDescent="0.25">
      <c r="A1678">
        <v>40</v>
      </c>
      <c r="B1678" t="s">
        <v>26</v>
      </c>
      <c r="C1678">
        <v>3</v>
      </c>
      <c r="D1678" t="s">
        <v>89</v>
      </c>
      <c r="E1678" t="b">
        <v>0</v>
      </c>
      <c r="F1678" s="1">
        <v>0.36180555555555555</v>
      </c>
      <c r="G1678" s="1">
        <v>0.39930555555555558</v>
      </c>
      <c r="H1678">
        <v>54</v>
      </c>
      <c r="I1678" t="b">
        <v>1</v>
      </c>
      <c r="J1678" t="b">
        <v>0</v>
      </c>
      <c r="K1678" t="b">
        <v>1</v>
      </c>
      <c r="L1678" t="s">
        <v>62</v>
      </c>
      <c r="M1678">
        <v>50</v>
      </c>
      <c r="N1678" t="s">
        <v>29</v>
      </c>
      <c r="O1678">
        <v>50</v>
      </c>
      <c r="P1678" t="s">
        <v>74</v>
      </c>
      <c r="Q1678">
        <v>0.15</v>
      </c>
      <c r="R1678">
        <v>42.5</v>
      </c>
      <c r="S1678" t="s">
        <v>31</v>
      </c>
      <c r="T1678" t="s">
        <v>65</v>
      </c>
      <c r="U1678">
        <v>33.770099999999999</v>
      </c>
      <c r="V1678">
        <v>-118.19370000000001</v>
      </c>
      <c r="W1678" s="2">
        <v>45401</v>
      </c>
      <c r="X1678">
        <v>0</v>
      </c>
      <c r="Y1678" t="b">
        <v>1</v>
      </c>
      <c r="Z1678" s="2">
        <v>45836</v>
      </c>
      <c r="AA1678" t="str">
        <f t="shared" si="261"/>
        <v>40–49</v>
      </c>
      <c r="AB1678" t="str">
        <f t="shared" si="262"/>
        <v>40–49</v>
      </c>
      <c r="AC1678" t="str">
        <f t="shared" si="263"/>
        <v>Monday</v>
      </c>
      <c r="AD1678" t="str">
        <f t="shared" si="264"/>
        <v>Tuesday</v>
      </c>
      <c r="AE1678" t="str">
        <f t="shared" si="265"/>
        <v/>
      </c>
      <c r="AF1678" t="str">
        <f t="shared" si="266"/>
        <v/>
      </c>
      <c r="AG1678" t="str">
        <f t="shared" si="267"/>
        <v/>
      </c>
      <c r="AH1678" t="str">
        <f t="shared" si="268"/>
        <v>Saturday</v>
      </c>
      <c r="AI1678" t="str">
        <f t="shared" si="269"/>
        <v/>
      </c>
      <c r="AJ1678" t="str">
        <f>LEFT(Table1[[#This Row],[membership_type]],2)&amp;TEXT(Table1[[#This Row],[age]],"00")&amp;"-"&amp;TEXT(ROW(),"000")</f>
        <v>Pr40-1678</v>
      </c>
      <c r="AK1678" t="str">
        <f>LEFT(Table1[[#This Row],[membership_type]],1)&amp;TEXT(MATCH(Table1[[#This Row],[membership_type]],Table1[membership_type],0),"00")</f>
        <v>P01</v>
      </c>
      <c r="AL1678" t="str">
        <f>LEFT(Table1[[#This Row],[discount_type]],1)&amp;TEXT(ROUND(Table1[[#This Row],[discount_rate]]*100,0),"00")</f>
        <v>S15</v>
      </c>
      <c r="AM1678" t="str" cm="1">
        <f t="array" ref="AM1678">TEXT(SUMPRODUCT(CODE(MID(Table1[[#This Row],[home_gym_location]],_xlfn.SEQUENCE(LEN(Table1[[#This Row],[home_gym_location]])),1))),"00000")</f>
        <v>01107</v>
      </c>
      <c r="AN167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78" t="str">
        <f>LEFT(_xlfn.TEXTBEFORE(Table1[[#This Row],[Location Identifier]],"-"),3) &amp; "-" &amp; _xlfn.TEXTAFTER(Table1[[#This Row],[Location Identifier]],"-")</f>
        <v>LON-004</v>
      </c>
      <c r="AP1678" s="9">
        <f t="shared" ca="1" si="260"/>
        <v>45869</v>
      </c>
    </row>
    <row r="1679" spans="1:42" x14ac:dyDescent="0.25">
      <c r="A1679">
        <v>42</v>
      </c>
      <c r="B1679" t="s">
        <v>33</v>
      </c>
      <c r="C1679">
        <v>5</v>
      </c>
      <c r="D1679" t="s">
        <v>148</v>
      </c>
      <c r="E1679" t="b">
        <v>0</v>
      </c>
      <c r="F1679" s="1">
        <v>0.40902777777777777</v>
      </c>
      <c r="G1679" s="1">
        <v>0.52986111111111112</v>
      </c>
      <c r="H1679">
        <v>174</v>
      </c>
      <c r="I1679" t="b">
        <v>1</v>
      </c>
      <c r="J1679" t="b">
        <v>0</v>
      </c>
      <c r="K1679" t="b">
        <v>1</v>
      </c>
      <c r="L1679" t="s">
        <v>28</v>
      </c>
      <c r="M1679">
        <v>30</v>
      </c>
      <c r="N1679" t="s">
        <v>64</v>
      </c>
      <c r="O1679">
        <v>22.5</v>
      </c>
      <c r="P1679" t="s">
        <v>36</v>
      </c>
      <c r="Q1679">
        <v>0</v>
      </c>
      <c r="R1679">
        <v>22.5</v>
      </c>
      <c r="S1679" t="s">
        <v>37</v>
      </c>
      <c r="T1679" t="s">
        <v>48</v>
      </c>
      <c r="U1679">
        <v>38.581600000000002</v>
      </c>
      <c r="V1679">
        <v>-121.4944</v>
      </c>
      <c r="W1679" s="2">
        <v>45646</v>
      </c>
      <c r="X1679">
        <v>0</v>
      </c>
      <c r="Y1679" t="b">
        <v>1</v>
      </c>
      <c r="Z1679" s="2">
        <v>45850</v>
      </c>
      <c r="AA1679" t="str">
        <f t="shared" si="261"/>
        <v>40–49</v>
      </c>
      <c r="AB1679" t="str">
        <f t="shared" si="262"/>
        <v>40–49</v>
      </c>
      <c r="AC1679" t="str">
        <f t="shared" si="263"/>
        <v/>
      </c>
      <c r="AD1679" t="str">
        <f t="shared" si="264"/>
        <v/>
      </c>
      <c r="AE1679" t="str">
        <f t="shared" si="265"/>
        <v>Wednesday</v>
      </c>
      <c r="AF1679" t="str">
        <f t="shared" si="266"/>
        <v>Thursday</v>
      </c>
      <c r="AG1679" t="str">
        <f t="shared" si="267"/>
        <v>Friday</v>
      </c>
      <c r="AH1679" t="str">
        <f t="shared" si="268"/>
        <v>Saturday</v>
      </c>
      <c r="AI1679" t="str">
        <f t="shared" si="269"/>
        <v>Sunday</v>
      </c>
      <c r="AJ1679" t="str">
        <f>LEFT(Table1[[#This Row],[membership_type]],2)&amp;TEXT(Table1[[#This Row],[age]],"00")&amp;"-"&amp;TEXT(ROW(),"000")</f>
        <v>St42-1679</v>
      </c>
      <c r="AK1679" t="str">
        <f>LEFT(Table1[[#This Row],[membership_type]],1)&amp;TEXT(MATCH(Table1[[#This Row],[membership_type]],Table1[membership_type],0),"00")</f>
        <v>S02</v>
      </c>
      <c r="AL1679" t="str">
        <f>LEFT(Table1[[#This Row],[discount_type]],1)&amp;TEXT(ROUND(Table1[[#This Row],[discount_rate]]*100,0),"00")</f>
        <v>N00</v>
      </c>
      <c r="AM1679" t="str" cm="1">
        <f t="array" ref="AM1679">TEXT(SUMPRODUCT(CODE(MID(Table1[[#This Row],[home_gym_location]],_xlfn.SEQUENCE(LEN(Table1[[#This Row],[home_gym_location]])),1))),"00000")</f>
        <v>01245</v>
      </c>
      <c r="AN167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79" t="str">
        <f>LEFT(_xlfn.TEXTBEFORE(Table1[[#This Row],[Location Identifier]],"-"),3) &amp; "-" &amp; _xlfn.TEXTAFTER(Table1[[#This Row],[Location Identifier]],"-")</f>
        <v>SAC-007</v>
      </c>
      <c r="AP1679" s="9">
        <f t="shared" ca="1" si="260"/>
        <v>45869</v>
      </c>
    </row>
    <row r="1680" spans="1:42" x14ac:dyDescent="0.25">
      <c r="A1680">
        <v>43</v>
      </c>
      <c r="B1680" t="s">
        <v>26</v>
      </c>
      <c r="C1680">
        <v>3</v>
      </c>
      <c r="D1680" t="s">
        <v>128</v>
      </c>
      <c r="E1680" t="b">
        <v>0</v>
      </c>
      <c r="F1680" s="1">
        <v>0.34861111111111109</v>
      </c>
      <c r="G1680" s="1">
        <v>0.44444444444444442</v>
      </c>
      <c r="H1680">
        <v>138</v>
      </c>
      <c r="I1680" t="b">
        <v>0</v>
      </c>
      <c r="J1680" t="b">
        <v>1</v>
      </c>
      <c r="K1680" t="b">
        <v>0</v>
      </c>
      <c r="L1680" t="s">
        <v>35</v>
      </c>
      <c r="M1680">
        <v>50</v>
      </c>
      <c r="N1680" t="s">
        <v>29</v>
      </c>
      <c r="O1680">
        <v>50</v>
      </c>
      <c r="P1680" t="s">
        <v>36</v>
      </c>
      <c r="Q1680">
        <v>0</v>
      </c>
      <c r="R1680">
        <v>50</v>
      </c>
      <c r="S1680" t="s">
        <v>31</v>
      </c>
      <c r="T1680" t="s">
        <v>38</v>
      </c>
      <c r="U1680">
        <v>36.7378</v>
      </c>
      <c r="V1680">
        <v>-119.7871</v>
      </c>
      <c r="W1680" s="2">
        <v>45090</v>
      </c>
      <c r="X1680">
        <v>8</v>
      </c>
      <c r="Y1680" t="b">
        <v>1</v>
      </c>
      <c r="Z1680" s="2">
        <v>45819</v>
      </c>
      <c r="AA1680" t="str">
        <f t="shared" si="261"/>
        <v>40–49</v>
      </c>
      <c r="AB1680" t="str">
        <f t="shared" si="262"/>
        <v>40–49</v>
      </c>
      <c r="AC1680" t="str">
        <f t="shared" si="263"/>
        <v>Monday</v>
      </c>
      <c r="AD1680" t="str">
        <f t="shared" si="264"/>
        <v/>
      </c>
      <c r="AE1680" t="str">
        <f t="shared" si="265"/>
        <v/>
      </c>
      <c r="AF1680" t="str">
        <f t="shared" si="266"/>
        <v>Thursday</v>
      </c>
      <c r="AG1680" t="str">
        <f t="shared" si="267"/>
        <v/>
      </c>
      <c r="AH1680" t="str">
        <f t="shared" si="268"/>
        <v/>
      </c>
      <c r="AI1680" t="str">
        <f t="shared" si="269"/>
        <v>Sunday</v>
      </c>
      <c r="AJ1680" t="str">
        <f>LEFT(Table1[[#This Row],[membership_type]],2)&amp;TEXT(Table1[[#This Row],[age]],"00")&amp;"-"&amp;TEXT(ROW(),"000")</f>
        <v>Pr43-1680</v>
      </c>
      <c r="AK1680" t="str">
        <f>LEFT(Table1[[#This Row],[membership_type]],1)&amp;TEXT(MATCH(Table1[[#This Row],[membership_type]],Table1[membership_type],0),"00")</f>
        <v>P01</v>
      </c>
      <c r="AL1680" t="str">
        <f>LEFT(Table1[[#This Row],[discount_type]],1)&amp;TEXT(ROUND(Table1[[#This Row],[discount_rate]]*100,0),"00")</f>
        <v>N00</v>
      </c>
      <c r="AM1680" t="str" cm="1">
        <f t="array" ref="AM1680">TEXT(SUMPRODUCT(CODE(MID(Table1[[#This Row],[home_gym_location]],_xlfn.SEQUENCE(LEN(Table1[[#This Row],[home_gym_location]])),1))),"00000")</f>
        <v>00829</v>
      </c>
      <c r="AN1680" t="str">
        <f>UPPER(_xlfn.TEXTBEFORE(Table1[[#This Row],[home_gym_location]],","))&amp;"-"&amp;TEXT(MATCH(Table1[[#This Row],[home_gym_location]],_xlfn._xlws.SORT(_xlfn.UNIQUE(Table1[home_gym_location])),0),"000")</f>
        <v>FRESNO-003</v>
      </c>
      <c r="AO1680" t="str">
        <f>LEFT(_xlfn.TEXTBEFORE(Table1[[#This Row],[Location Identifier]],"-"),3) &amp; "-" &amp; _xlfn.TEXTAFTER(Table1[[#This Row],[Location Identifier]],"-")</f>
        <v>FRE-003</v>
      </c>
      <c r="AP1680" s="9">
        <f t="shared" ca="1" si="260"/>
        <v>45869</v>
      </c>
    </row>
    <row r="1681" spans="1:42" x14ac:dyDescent="0.25">
      <c r="A1681">
        <v>32</v>
      </c>
      <c r="B1681" t="s">
        <v>33</v>
      </c>
      <c r="C1681">
        <v>5</v>
      </c>
      <c r="D1681" t="s">
        <v>145</v>
      </c>
      <c r="E1681" t="b">
        <v>1</v>
      </c>
      <c r="F1681" s="1">
        <v>0.4284722222222222</v>
      </c>
      <c r="G1681" s="1">
        <v>0.54513888888888884</v>
      </c>
      <c r="H1681">
        <v>168</v>
      </c>
      <c r="I1681" t="b">
        <v>1</v>
      </c>
      <c r="J1681" t="b">
        <v>0</v>
      </c>
      <c r="K1681" t="b">
        <v>0</v>
      </c>
      <c r="L1681" t="s">
        <v>62</v>
      </c>
      <c r="M1681">
        <v>30</v>
      </c>
      <c r="N1681" t="s">
        <v>78</v>
      </c>
      <c r="O1681">
        <v>27</v>
      </c>
      <c r="P1681" t="s">
        <v>36</v>
      </c>
      <c r="Q1681">
        <v>0</v>
      </c>
      <c r="R1681">
        <v>27</v>
      </c>
      <c r="S1681" t="s">
        <v>37</v>
      </c>
      <c r="T1681" t="s">
        <v>48</v>
      </c>
      <c r="U1681">
        <v>38.581600000000002</v>
      </c>
      <c r="V1681">
        <v>-121.4944</v>
      </c>
      <c r="W1681" s="2">
        <v>45462</v>
      </c>
      <c r="X1681">
        <v>0</v>
      </c>
      <c r="Y1681" t="b">
        <v>1</v>
      </c>
      <c r="Z1681" s="2">
        <v>45840</v>
      </c>
      <c r="AA1681" t="str">
        <f t="shared" si="261"/>
        <v>30–39</v>
      </c>
      <c r="AB1681" t="str">
        <f t="shared" si="262"/>
        <v>30–39</v>
      </c>
      <c r="AC1681" t="str">
        <f t="shared" si="263"/>
        <v>Monday</v>
      </c>
      <c r="AD1681" t="str">
        <f t="shared" si="264"/>
        <v>Tuesday</v>
      </c>
      <c r="AE1681" t="str">
        <f t="shared" si="265"/>
        <v>Wednesday</v>
      </c>
      <c r="AF1681" t="str">
        <f t="shared" si="266"/>
        <v>Thursday</v>
      </c>
      <c r="AG1681" t="str">
        <f t="shared" si="267"/>
        <v>Friday</v>
      </c>
      <c r="AH1681" t="str">
        <f t="shared" si="268"/>
        <v/>
      </c>
      <c r="AI1681" t="str">
        <f t="shared" si="269"/>
        <v/>
      </c>
      <c r="AJ1681" t="str">
        <f>LEFT(Table1[[#This Row],[membership_type]],2)&amp;TEXT(Table1[[#This Row],[age]],"00")&amp;"-"&amp;TEXT(ROW(),"000")</f>
        <v>St32-1681</v>
      </c>
      <c r="AK1681" t="str">
        <f>LEFT(Table1[[#This Row],[membership_type]],1)&amp;TEXT(MATCH(Table1[[#This Row],[membership_type]],Table1[membership_type],0),"00")</f>
        <v>S02</v>
      </c>
      <c r="AL1681" t="str">
        <f>LEFT(Table1[[#This Row],[discount_type]],1)&amp;TEXT(ROUND(Table1[[#This Row],[discount_rate]]*100,0),"00")</f>
        <v>N00</v>
      </c>
      <c r="AM1681" t="str" cm="1">
        <f t="array" ref="AM1681">TEXT(SUMPRODUCT(CODE(MID(Table1[[#This Row],[home_gym_location]],_xlfn.SEQUENCE(LEN(Table1[[#This Row],[home_gym_location]])),1))),"00000")</f>
        <v>01245</v>
      </c>
      <c r="AN168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81" t="str">
        <f>LEFT(_xlfn.TEXTBEFORE(Table1[[#This Row],[Location Identifier]],"-"),3) &amp; "-" &amp; _xlfn.TEXTAFTER(Table1[[#This Row],[Location Identifier]],"-")</f>
        <v>SAC-007</v>
      </c>
      <c r="AP1681" s="9">
        <f t="shared" ca="1" si="260"/>
        <v>45869</v>
      </c>
    </row>
    <row r="1682" spans="1:42" x14ac:dyDescent="0.25">
      <c r="A1682">
        <v>21</v>
      </c>
      <c r="B1682" t="s">
        <v>33</v>
      </c>
      <c r="C1682">
        <v>1</v>
      </c>
      <c r="D1682" t="s">
        <v>63</v>
      </c>
      <c r="E1682" t="b">
        <v>0</v>
      </c>
      <c r="F1682" s="1">
        <v>0.75763888888888886</v>
      </c>
      <c r="G1682" s="1">
        <v>0.86875000000000002</v>
      </c>
      <c r="H1682">
        <v>160</v>
      </c>
      <c r="I1682" t="b">
        <v>1</v>
      </c>
      <c r="J1682" t="b">
        <v>1</v>
      </c>
      <c r="K1682" t="b">
        <v>1</v>
      </c>
      <c r="L1682" t="s">
        <v>28</v>
      </c>
      <c r="M1682">
        <v>30</v>
      </c>
      <c r="N1682" t="s">
        <v>29</v>
      </c>
      <c r="O1682">
        <v>30</v>
      </c>
      <c r="P1682" t="s">
        <v>30</v>
      </c>
      <c r="Q1682">
        <v>0.05</v>
      </c>
      <c r="R1682">
        <v>28.5</v>
      </c>
      <c r="S1682" t="s">
        <v>37</v>
      </c>
      <c r="T1682" t="s">
        <v>48</v>
      </c>
      <c r="U1682">
        <v>38.581600000000002</v>
      </c>
      <c r="V1682">
        <v>-121.4944</v>
      </c>
      <c r="W1682" s="2">
        <v>44791</v>
      </c>
      <c r="X1682">
        <v>8</v>
      </c>
      <c r="Y1682" t="b">
        <v>0</v>
      </c>
      <c r="Z1682" s="2">
        <v>45802</v>
      </c>
      <c r="AA1682" t="str">
        <f t="shared" si="261"/>
        <v>20–29</v>
      </c>
      <c r="AB1682" t="str">
        <f t="shared" si="262"/>
        <v>20–29</v>
      </c>
      <c r="AC1682" t="str">
        <f t="shared" si="263"/>
        <v/>
      </c>
      <c r="AD1682" t="str">
        <f t="shared" si="264"/>
        <v/>
      </c>
      <c r="AE1682" t="str">
        <f t="shared" si="265"/>
        <v>Wednesday</v>
      </c>
      <c r="AF1682" t="str">
        <f t="shared" si="266"/>
        <v/>
      </c>
      <c r="AG1682" t="str">
        <f t="shared" si="267"/>
        <v/>
      </c>
      <c r="AH1682" t="str">
        <f t="shared" si="268"/>
        <v/>
      </c>
      <c r="AI1682" t="str">
        <f t="shared" si="269"/>
        <v/>
      </c>
      <c r="AJ1682" t="str">
        <f>LEFT(Table1[[#This Row],[membership_type]],2)&amp;TEXT(Table1[[#This Row],[age]],"00")&amp;"-"&amp;TEXT(ROW(),"000")</f>
        <v>St21-1682</v>
      </c>
      <c r="AK1682" t="str">
        <f>LEFT(Table1[[#This Row],[membership_type]],1)&amp;TEXT(MATCH(Table1[[#This Row],[membership_type]],Table1[membership_type],0),"00")</f>
        <v>S02</v>
      </c>
      <c r="AL1682" t="str">
        <f>LEFT(Table1[[#This Row],[discount_type]],1)&amp;TEXT(ROUND(Table1[[#This Row],[discount_rate]]*100,0),"00")</f>
        <v>P05</v>
      </c>
      <c r="AM1682" t="str" cm="1">
        <f t="array" ref="AM1682">TEXT(SUMPRODUCT(CODE(MID(Table1[[#This Row],[home_gym_location]],_xlfn.SEQUENCE(LEN(Table1[[#This Row],[home_gym_location]])),1))),"00000")</f>
        <v>01245</v>
      </c>
      <c r="AN168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82" t="str">
        <f>LEFT(_xlfn.TEXTBEFORE(Table1[[#This Row],[Location Identifier]],"-"),3) &amp; "-" &amp; _xlfn.TEXTAFTER(Table1[[#This Row],[Location Identifier]],"-")</f>
        <v>SAC-007</v>
      </c>
      <c r="AP1682" s="9">
        <f t="shared" ca="1" si="260"/>
        <v>45869</v>
      </c>
    </row>
    <row r="1683" spans="1:42" x14ac:dyDescent="0.25">
      <c r="A1683">
        <v>22</v>
      </c>
      <c r="B1683" t="s">
        <v>26</v>
      </c>
      <c r="C1683">
        <v>5</v>
      </c>
      <c r="D1683" t="s">
        <v>34</v>
      </c>
      <c r="E1683" t="b">
        <v>1</v>
      </c>
      <c r="F1683" s="1">
        <v>0.7368055555555556</v>
      </c>
      <c r="G1683" s="1">
        <v>0.81319444444444444</v>
      </c>
      <c r="H1683">
        <v>110</v>
      </c>
      <c r="I1683" t="b">
        <v>0</v>
      </c>
      <c r="J1683" t="b">
        <v>0</v>
      </c>
      <c r="K1683" t="b">
        <v>0</v>
      </c>
      <c r="L1683" t="s">
        <v>28</v>
      </c>
      <c r="M1683">
        <v>50</v>
      </c>
      <c r="N1683" t="s">
        <v>64</v>
      </c>
      <c r="O1683">
        <v>37.5</v>
      </c>
      <c r="P1683" t="s">
        <v>74</v>
      </c>
      <c r="Q1683">
        <v>0.15</v>
      </c>
      <c r="R1683">
        <v>31.875</v>
      </c>
      <c r="S1683" t="s">
        <v>31</v>
      </c>
      <c r="T1683" t="s">
        <v>48</v>
      </c>
      <c r="U1683">
        <v>38.581600000000002</v>
      </c>
      <c r="V1683">
        <v>-121.4944</v>
      </c>
      <c r="W1683" s="2">
        <v>45148</v>
      </c>
      <c r="X1683">
        <v>0</v>
      </c>
      <c r="Y1683" t="b">
        <v>1</v>
      </c>
      <c r="Z1683" s="2">
        <v>45822</v>
      </c>
      <c r="AA1683" t="str">
        <f t="shared" si="261"/>
        <v>20–29</v>
      </c>
      <c r="AB1683" t="str">
        <f t="shared" si="262"/>
        <v>20–29</v>
      </c>
      <c r="AC1683" t="str">
        <f t="shared" si="263"/>
        <v/>
      </c>
      <c r="AD1683" t="str">
        <f t="shared" si="264"/>
        <v>Tuesday</v>
      </c>
      <c r="AE1683" t="str">
        <f t="shared" si="265"/>
        <v>Wednesday</v>
      </c>
      <c r="AF1683" t="str">
        <f t="shared" si="266"/>
        <v>Thursday</v>
      </c>
      <c r="AG1683" t="str">
        <f t="shared" si="267"/>
        <v>Friday</v>
      </c>
      <c r="AH1683" t="str">
        <f t="shared" si="268"/>
        <v>Saturday</v>
      </c>
      <c r="AI1683" t="str">
        <f t="shared" si="269"/>
        <v/>
      </c>
      <c r="AJ1683" t="str">
        <f>LEFT(Table1[[#This Row],[membership_type]],2)&amp;TEXT(Table1[[#This Row],[age]],"00")&amp;"-"&amp;TEXT(ROW(),"000")</f>
        <v>Pr22-1683</v>
      </c>
      <c r="AK1683" t="str">
        <f>LEFT(Table1[[#This Row],[membership_type]],1)&amp;TEXT(MATCH(Table1[[#This Row],[membership_type]],Table1[membership_type],0),"00")</f>
        <v>P01</v>
      </c>
      <c r="AL1683" t="str">
        <f>LEFT(Table1[[#This Row],[discount_type]],1)&amp;TEXT(ROUND(Table1[[#This Row],[discount_rate]]*100,0),"00")</f>
        <v>S15</v>
      </c>
      <c r="AM1683" t="str" cm="1">
        <f t="array" ref="AM1683">TEXT(SUMPRODUCT(CODE(MID(Table1[[#This Row],[home_gym_location]],_xlfn.SEQUENCE(LEN(Table1[[#This Row],[home_gym_location]])),1))),"00000")</f>
        <v>01245</v>
      </c>
      <c r="AN168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83" t="str">
        <f>LEFT(_xlfn.TEXTBEFORE(Table1[[#This Row],[Location Identifier]],"-"),3) &amp; "-" &amp; _xlfn.TEXTAFTER(Table1[[#This Row],[Location Identifier]],"-")</f>
        <v>SAC-007</v>
      </c>
      <c r="AP1683" s="9">
        <f t="shared" ca="1" si="260"/>
        <v>45869</v>
      </c>
    </row>
    <row r="1684" spans="1:42" x14ac:dyDescent="0.25">
      <c r="A1684">
        <v>12</v>
      </c>
      <c r="B1684" t="s">
        <v>26</v>
      </c>
      <c r="C1684">
        <v>2</v>
      </c>
      <c r="D1684" t="s">
        <v>94</v>
      </c>
      <c r="E1684" t="b">
        <v>0</v>
      </c>
      <c r="F1684" s="1">
        <v>0.33680555555555558</v>
      </c>
      <c r="G1684" s="1">
        <v>0.42638888888888887</v>
      </c>
      <c r="H1684">
        <v>129</v>
      </c>
      <c r="I1684" t="b">
        <v>0</v>
      </c>
      <c r="J1684" t="b">
        <v>0</v>
      </c>
      <c r="K1684" t="b">
        <v>0</v>
      </c>
      <c r="L1684" t="s">
        <v>62</v>
      </c>
      <c r="M1684">
        <v>50</v>
      </c>
      <c r="N1684" t="s">
        <v>29</v>
      </c>
      <c r="O1684">
        <v>50</v>
      </c>
      <c r="P1684" t="s">
        <v>30</v>
      </c>
      <c r="Q1684">
        <v>0.05</v>
      </c>
      <c r="R1684">
        <v>47.5</v>
      </c>
      <c r="S1684" t="s">
        <v>31</v>
      </c>
      <c r="T1684" t="s">
        <v>32</v>
      </c>
      <c r="U1684">
        <v>37.338200000000001</v>
      </c>
      <c r="V1684">
        <v>-121.88630000000001</v>
      </c>
      <c r="W1684" s="2">
        <v>44955</v>
      </c>
      <c r="X1684">
        <v>0</v>
      </c>
      <c r="Y1684" t="b">
        <v>0</v>
      </c>
      <c r="Z1684" s="2">
        <v>45811</v>
      </c>
      <c r="AA1684" t="str">
        <f t="shared" si="261"/>
        <v>10–19</v>
      </c>
      <c r="AB1684" t="str">
        <f t="shared" si="262"/>
        <v>Under 16</v>
      </c>
      <c r="AC1684" t="str">
        <f t="shared" si="263"/>
        <v/>
      </c>
      <c r="AD1684" t="str">
        <f t="shared" si="264"/>
        <v/>
      </c>
      <c r="AE1684" t="str">
        <f t="shared" si="265"/>
        <v/>
      </c>
      <c r="AF1684" t="str">
        <f t="shared" si="266"/>
        <v/>
      </c>
      <c r="AG1684" t="str">
        <f t="shared" si="267"/>
        <v/>
      </c>
      <c r="AH1684" t="str">
        <f t="shared" si="268"/>
        <v>Saturday</v>
      </c>
      <c r="AI1684" t="str">
        <f t="shared" si="269"/>
        <v>Sunday</v>
      </c>
      <c r="AJ1684" t="str">
        <f>LEFT(Table1[[#This Row],[membership_type]],2)&amp;TEXT(Table1[[#This Row],[age]],"00")&amp;"-"&amp;TEXT(ROW(),"000")</f>
        <v>Pr12-1684</v>
      </c>
      <c r="AK1684" t="str">
        <f>LEFT(Table1[[#This Row],[membership_type]],1)&amp;TEXT(MATCH(Table1[[#This Row],[membership_type]],Table1[membership_type],0),"00")</f>
        <v>P01</v>
      </c>
      <c r="AL1684" t="str">
        <f>LEFT(Table1[[#This Row],[discount_type]],1)&amp;TEXT(ROUND(Table1[[#This Row],[discount_rate]]*100,0),"00")</f>
        <v>P05</v>
      </c>
      <c r="AM1684" t="str" cm="1">
        <f t="array" ref="AM1684">TEXT(SUMPRODUCT(CODE(MID(Table1[[#This Row],[home_gym_location]],_xlfn.SEQUENCE(LEN(Table1[[#This Row],[home_gym_location]])),1))),"00000")</f>
        <v>00931</v>
      </c>
      <c r="AN168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684" t="str">
        <f>LEFT(_xlfn.TEXTBEFORE(Table1[[#This Row],[Location Identifier]],"-"),3) &amp; "-" &amp; _xlfn.TEXTAFTER(Table1[[#This Row],[Location Identifier]],"-")</f>
        <v>SAN-010</v>
      </c>
      <c r="AP1684" s="9">
        <f t="shared" ca="1" si="260"/>
        <v>45869</v>
      </c>
    </row>
    <row r="1685" spans="1:42" x14ac:dyDescent="0.25">
      <c r="A1685">
        <v>14</v>
      </c>
      <c r="B1685" t="s">
        <v>26</v>
      </c>
      <c r="C1685">
        <v>2</v>
      </c>
      <c r="D1685" t="s">
        <v>73</v>
      </c>
      <c r="E1685" t="b">
        <v>1</v>
      </c>
      <c r="F1685" s="1">
        <v>0.57291666666666663</v>
      </c>
      <c r="G1685" s="1">
        <v>0.68472222222222223</v>
      </c>
      <c r="H1685">
        <v>161</v>
      </c>
      <c r="I1685" t="b">
        <v>0</v>
      </c>
      <c r="J1685" t="b">
        <v>0</v>
      </c>
      <c r="K1685" t="b">
        <v>0</v>
      </c>
      <c r="L1685" t="s">
        <v>28</v>
      </c>
      <c r="M1685">
        <v>50</v>
      </c>
      <c r="N1685" t="s">
        <v>64</v>
      </c>
      <c r="O1685">
        <v>37.5</v>
      </c>
      <c r="P1685" t="s">
        <v>36</v>
      </c>
      <c r="Q1685">
        <v>0</v>
      </c>
      <c r="R1685">
        <v>37.5</v>
      </c>
      <c r="S1685" t="s">
        <v>31</v>
      </c>
      <c r="T1685" t="s">
        <v>48</v>
      </c>
      <c r="U1685">
        <v>38.581600000000002</v>
      </c>
      <c r="V1685">
        <v>-121.4944</v>
      </c>
      <c r="W1685" s="2">
        <v>45689</v>
      </c>
      <c r="X1685">
        <v>0</v>
      </c>
      <c r="Y1685" t="b">
        <v>1</v>
      </c>
      <c r="Z1685" s="2">
        <v>45853</v>
      </c>
      <c r="AA1685" t="str">
        <f t="shared" si="261"/>
        <v>10–19</v>
      </c>
      <c r="AB1685" t="str">
        <f t="shared" si="262"/>
        <v>Under 16</v>
      </c>
      <c r="AC1685" t="str">
        <f t="shared" si="263"/>
        <v/>
      </c>
      <c r="AD1685" t="str">
        <f t="shared" si="264"/>
        <v>Tuesday</v>
      </c>
      <c r="AE1685" t="str">
        <f t="shared" si="265"/>
        <v/>
      </c>
      <c r="AF1685" t="str">
        <f t="shared" si="266"/>
        <v/>
      </c>
      <c r="AG1685" t="str">
        <f t="shared" si="267"/>
        <v>Friday</v>
      </c>
      <c r="AH1685" t="str">
        <f t="shared" si="268"/>
        <v/>
      </c>
      <c r="AI1685" t="str">
        <f t="shared" si="269"/>
        <v/>
      </c>
      <c r="AJ1685" t="str">
        <f>LEFT(Table1[[#This Row],[membership_type]],2)&amp;TEXT(Table1[[#This Row],[age]],"00")&amp;"-"&amp;TEXT(ROW(),"000")</f>
        <v>Pr14-1685</v>
      </c>
      <c r="AK1685" t="str">
        <f>LEFT(Table1[[#This Row],[membership_type]],1)&amp;TEXT(MATCH(Table1[[#This Row],[membership_type]],Table1[membership_type],0),"00")</f>
        <v>P01</v>
      </c>
      <c r="AL1685" t="str">
        <f>LEFT(Table1[[#This Row],[discount_type]],1)&amp;TEXT(ROUND(Table1[[#This Row],[discount_rate]]*100,0),"00")</f>
        <v>N00</v>
      </c>
      <c r="AM1685" t="str" cm="1">
        <f t="array" ref="AM1685">TEXT(SUMPRODUCT(CODE(MID(Table1[[#This Row],[home_gym_location]],_xlfn.SEQUENCE(LEN(Table1[[#This Row],[home_gym_location]])),1))),"00000")</f>
        <v>01245</v>
      </c>
      <c r="AN168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85" t="str">
        <f>LEFT(_xlfn.TEXTBEFORE(Table1[[#This Row],[Location Identifier]],"-"),3) &amp; "-" &amp; _xlfn.TEXTAFTER(Table1[[#This Row],[Location Identifier]],"-")</f>
        <v>SAC-007</v>
      </c>
      <c r="AP1685" s="9">
        <f t="shared" ca="1" si="260"/>
        <v>45869</v>
      </c>
    </row>
    <row r="1686" spans="1:42" x14ac:dyDescent="0.25">
      <c r="A1686">
        <v>14</v>
      </c>
      <c r="B1686" t="s">
        <v>26</v>
      </c>
      <c r="C1686">
        <v>1</v>
      </c>
      <c r="D1686" t="s">
        <v>97</v>
      </c>
      <c r="E1686" t="b">
        <v>1</v>
      </c>
      <c r="F1686" s="1">
        <v>0.49722222222222223</v>
      </c>
      <c r="G1686" s="1">
        <v>0.56736111111111109</v>
      </c>
      <c r="H1686">
        <v>101</v>
      </c>
      <c r="I1686" t="b">
        <v>0</v>
      </c>
      <c r="J1686" t="b">
        <v>0</v>
      </c>
      <c r="K1686" t="b">
        <v>0</v>
      </c>
      <c r="L1686" t="s">
        <v>28</v>
      </c>
      <c r="M1686">
        <v>50</v>
      </c>
      <c r="N1686" t="s">
        <v>64</v>
      </c>
      <c r="O1686">
        <v>37.5</v>
      </c>
      <c r="P1686" t="s">
        <v>36</v>
      </c>
      <c r="Q1686">
        <v>0</v>
      </c>
      <c r="R1686">
        <v>37.5</v>
      </c>
      <c r="S1686" t="s">
        <v>31</v>
      </c>
      <c r="T1686" t="s">
        <v>48</v>
      </c>
      <c r="U1686">
        <v>38.581600000000002</v>
      </c>
      <c r="V1686">
        <v>-121.4944</v>
      </c>
      <c r="W1686" s="2">
        <v>44912</v>
      </c>
      <c r="X1686">
        <v>0</v>
      </c>
      <c r="Y1686" t="b">
        <v>1</v>
      </c>
      <c r="Z1686" s="2">
        <v>45809</v>
      </c>
      <c r="AA1686" t="str">
        <f t="shared" si="261"/>
        <v>10–19</v>
      </c>
      <c r="AB1686" t="str">
        <f t="shared" si="262"/>
        <v>Under 16</v>
      </c>
      <c r="AC1686" t="str">
        <f t="shared" si="263"/>
        <v>Monday</v>
      </c>
      <c r="AD1686" t="str">
        <f t="shared" si="264"/>
        <v/>
      </c>
      <c r="AE1686" t="str">
        <f t="shared" si="265"/>
        <v/>
      </c>
      <c r="AF1686" t="str">
        <f t="shared" si="266"/>
        <v/>
      </c>
      <c r="AG1686" t="str">
        <f t="shared" si="267"/>
        <v/>
      </c>
      <c r="AH1686" t="str">
        <f t="shared" si="268"/>
        <v/>
      </c>
      <c r="AI1686" t="str">
        <f t="shared" si="269"/>
        <v/>
      </c>
      <c r="AJ1686" t="str">
        <f>LEFT(Table1[[#This Row],[membership_type]],2)&amp;TEXT(Table1[[#This Row],[age]],"00")&amp;"-"&amp;TEXT(ROW(),"000")</f>
        <v>Pr14-1686</v>
      </c>
      <c r="AK1686" t="str">
        <f>LEFT(Table1[[#This Row],[membership_type]],1)&amp;TEXT(MATCH(Table1[[#This Row],[membership_type]],Table1[membership_type],0),"00")</f>
        <v>P01</v>
      </c>
      <c r="AL1686" t="str">
        <f>LEFT(Table1[[#This Row],[discount_type]],1)&amp;TEXT(ROUND(Table1[[#This Row],[discount_rate]]*100,0),"00")</f>
        <v>N00</v>
      </c>
      <c r="AM1686" t="str" cm="1">
        <f t="array" ref="AM1686">TEXT(SUMPRODUCT(CODE(MID(Table1[[#This Row],[home_gym_location]],_xlfn.SEQUENCE(LEN(Table1[[#This Row],[home_gym_location]])),1))),"00000")</f>
        <v>01245</v>
      </c>
      <c r="AN168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686" t="str">
        <f>LEFT(_xlfn.TEXTBEFORE(Table1[[#This Row],[Location Identifier]],"-"),3) &amp; "-" &amp; _xlfn.TEXTAFTER(Table1[[#This Row],[Location Identifier]],"-")</f>
        <v>SAC-007</v>
      </c>
      <c r="AP1686" s="9">
        <f t="shared" ca="1" si="260"/>
        <v>45869</v>
      </c>
    </row>
    <row r="1687" spans="1:42" x14ac:dyDescent="0.25">
      <c r="A1687">
        <v>36</v>
      </c>
      <c r="B1687" t="s">
        <v>51</v>
      </c>
      <c r="C1687">
        <v>4</v>
      </c>
      <c r="D1687" t="s">
        <v>105</v>
      </c>
      <c r="E1687" t="b">
        <v>1</v>
      </c>
      <c r="F1687" s="1">
        <v>0.72777777777777775</v>
      </c>
      <c r="G1687" s="1">
        <v>0.77013888888888893</v>
      </c>
      <c r="H1687">
        <v>61</v>
      </c>
      <c r="I1687" t="b">
        <v>0</v>
      </c>
      <c r="J1687" t="b">
        <v>0</v>
      </c>
      <c r="K1687" t="b">
        <v>0</v>
      </c>
      <c r="L1687" t="s">
        <v>28</v>
      </c>
      <c r="M1687">
        <v>70</v>
      </c>
      <c r="N1687" t="s">
        <v>29</v>
      </c>
      <c r="O1687">
        <v>70</v>
      </c>
      <c r="P1687" t="s">
        <v>36</v>
      </c>
      <c r="Q1687">
        <v>0</v>
      </c>
      <c r="R1687">
        <v>70</v>
      </c>
      <c r="S1687" t="s">
        <v>53</v>
      </c>
      <c r="T1687" t="s">
        <v>54</v>
      </c>
      <c r="U1687">
        <v>32.715699999999998</v>
      </c>
      <c r="V1687">
        <v>-117.1611</v>
      </c>
      <c r="W1687" s="2">
        <v>44848</v>
      </c>
      <c r="X1687">
        <v>0</v>
      </c>
      <c r="Y1687" t="b">
        <v>0</v>
      </c>
      <c r="Z1687" s="2">
        <v>45805</v>
      </c>
      <c r="AA1687" t="str">
        <f t="shared" si="261"/>
        <v>30–39</v>
      </c>
      <c r="AB1687" t="str">
        <f t="shared" si="262"/>
        <v>30–39</v>
      </c>
      <c r="AC1687" t="str">
        <f t="shared" si="263"/>
        <v>Monday</v>
      </c>
      <c r="AD1687" t="str">
        <f t="shared" si="264"/>
        <v>Tuesday</v>
      </c>
      <c r="AE1687" t="str">
        <f t="shared" si="265"/>
        <v>Wednesday</v>
      </c>
      <c r="AF1687" t="str">
        <f t="shared" si="266"/>
        <v>Thursday</v>
      </c>
      <c r="AG1687" t="str">
        <f t="shared" si="267"/>
        <v/>
      </c>
      <c r="AH1687" t="str">
        <f t="shared" si="268"/>
        <v/>
      </c>
      <c r="AI1687" t="str">
        <f t="shared" si="269"/>
        <v/>
      </c>
      <c r="AJ1687" t="str">
        <f>LEFT(Table1[[#This Row],[membership_type]],2)&amp;TEXT(Table1[[#This Row],[age]],"00")&amp;"-"&amp;TEXT(ROW(),"000")</f>
        <v>El36-1687</v>
      </c>
      <c r="AK1687" t="str">
        <f>LEFT(Table1[[#This Row],[membership_type]],1)&amp;TEXT(MATCH(Table1[[#This Row],[membership_type]],Table1[membership_type],0),"00")</f>
        <v>E07</v>
      </c>
      <c r="AL1687" t="str">
        <f>LEFT(Table1[[#This Row],[discount_type]],1)&amp;TEXT(ROUND(Table1[[#This Row],[discount_rate]]*100,0),"00")</f>
        <v>N00</v>
      </c>
      <c r="AM1687" t="str" cm="1">
        <f t="array" ref="AM1687">TEXT(SUMPRODUCT(CODE(MID(Table1[[#This Row],[home_gym_location]],_xlfn.SEQUENCE(LEN(Table1[[#This Row],[home_gym_location]])),1))),"00000")</f>
        <v>01018</v>
      </c>
      <c r="AN168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87" t="str">
        <f>LEFT(_xlfn.TEXTBEFORE(Table1[[#This Row],[Location Identifier]],"-"),3) &amp; "-" &amp; _xlfn.TEXTAFTER(Table1[[#This Row],[Location Identifier]],"-")</f>
        <v>SAN-008</v>
      </c>
      <c r="AP1687" s="9">
        <f t="shared" ca="1" si="260"/>
        <v>45869</v>
      </c>
    </row>
    <row r="1688" spans="1:42" x14ac:dyDescent="0.25">
      <c r="A1688">
        <v>21</v>
      </c>
      <c r="B1688" t="s">
        <v>26</v>
      </c>
      <c r="C1688">
        <v>2</v>
      </c>
      <c r="D1688" t="s">
        <v>101</v>
      </c>
      <c r="E1688" t="b">
        <v>1</v>
      </c>
      <c r="F1688" s="1">
        <v>0.65277777777777779</v>
      </c>
      <c r="G1688" s="1">
        <v>0.69930555555555551</v>
      </c>
      <c r="H1688">
        <v>67</v>
      </c>
      <c r="I1688" t="b">
        <v>0</v>
      </c>
      <c r="J1688" t="b">
        <v>1</v>
      </c>
      <c r="K1688" t="b">
        <v>1</v>
      </c>
      <c r="L1688" t="s">
        <v>47</v>
      </c>
      <c r="M1688">
        <v>50</v>
      </c>
      <c r="N1688" t="s">
        <v>29</v>
      </c>
      <c r="O1688">
        <v>50</v>
      </c>
      <c r="P1688" t="s">
        <v>40</v>
      </c>
      <c r="Q1688">
        <v>0.1</v>
      </c>
      <c r="R1688">
        <v>45</v>
      </c>
      <c r="S1688" t="s">
        <v>31</v>
      </c>
      <c r="T1688" t="s">
        <v>54</v>
      </c>
      <c r="U1688">
        <v>32.715699999999998</v>
      </c>
      <c r="V1688">
        <v>-117.1611</v>
      </c>
      <c r="W1688" s="2">
        <v>45312</v>
      </c>
      <c r="X1688">
        <v>6</v>
      </c>
      <c r="Y1688" t="b">
        <v>1</v>
      </c>
      <c r="Z1688" s="2">
        <v>45831</v>
      </c>
      <c r="AA1688" t="str">
        <f t="shared" si="261"/>
        <v>20–29</v>
      </c>
      <c r="AB1688" t="str">
        <f t="shared" si="262"/>
        <v>20–29</v>
      </c>
      <c r="AC1688" t="str">
        <f t="shared" si="263"/>
        <v>Monday</v>
      </c>
      <c r="AD1688" t="str">
        <f t="shared" si="264"/>
        <v/>
      </c>
      <c r="AE1688" t="str">
        <f t="shared" si="265"/>
        <v/>
      </c>
      <c r="AF1688" t="str">
        <f t="shared" si="266"/>
        <v/>
      </c>
      <c r="AG1688" t="str">
        <f t="shared" si="267"/>
        <v>Friday</v>
      </c>
      <c r="AH1688" t="str">
        <f t="shared" si="268"/>
        <v/>
      </c>
      <c r="AI1688" t="str">
        <f t="shared" si="269"/>
        <v/>
      </c>
      <c r="AJ1688" t="str">
        <f>LEFT(Table1[[#This Row],[membership_type]],2)&amp;TEXT(Table1[[#This Row],[age]],"00")&amp;"-"&amp;TEXT(ROW(),"000")</f>
        <v>Pr21-1688</v>
      </c>
      <c r="AK1688" t="str">
        <f>LEFT(Table1[[#This Row],[membership_type]],1)&amp;TEXT(MATCH(Table1[[#This Row],[membership_type]],Table1[membership_type],0),"00")</f>
        <v>P01</v>
      </c>
      <c r="AL1688" t="str">
        <f>LEFT(Table1[[#This Row],[discount_type]],1)&amp;TEXT(ROUND(Table1[[#This Row],[discount_rate]]*100,0),"00")</f>
        <v>L10</v>
      </c>
      <c r="AM1688" t="str" cm="1">
        <f t="array" ref="AM1688">TEXT(SUMPRODUCT(CODE(MID(Table1[[#This Row],[home_gym_location]],_xlfn.SEQUENCE(LEN(Table1[[#This Row],[home_gym_location]])),1))),"00000")</f>
        <v>01018</v>
      </c>
      <c r="AN168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88" t="str">
        <f>LEFT(_xlfn.TEXTBEFORE(Table1[[#This Row],[Location Identifier]],"-"),3) &amp; "-" &amp; _xlfn.TEXTAFTER(Table1[[#This Row],[Location Identifier]],"-")</f>
        <v>SAN-008</v>
      </c>
      <c r="AP1688" s="9">
        <f t="shared" ca="1" si="260"/>
        <v>45869</v>
      </c>
    </row>
    <row r="1689" spans="1:42" x14ac:dyDescent="0.25">
      <c r="A1689">
        <v>43</v>
      </c>
      <c r="B1689" t="s">
        <v>26</v>
      </c>
      <c r="C1689">
        <v>3</v>
      </c>
      <c r="D1689" t="s">
        <v>128</v>
      </c>
      <c r="E1689" t="b">
        <v>0</v>
      </c>
      <c r="F1689" s="1">
        <v>0.34861111111111109</v>
      </c>
      <c r="G1689" s="1">
        <v>0.44444444444444442</v>
      </c>
      <c r="H1689">
        <v>138</v>
      </c>
      <c r="I1689" t="b">
        <v>0</v>
      </c>
      <c r="J1689" t="b">
        <v>1</v>
      </c>
      <c r="K1689" t="b">
        <v>0</v>
      </c>
      <c r="L1689" t="s">
        <v>35</v>
      </c>
      <c r="M1689">
        <v>50</v>
      </c>
      <c r="N1689" t="s">
        <v>29</v>
      </c>
      <c r="O1689">
        <v>50</v>
      </c>
      <c r="P1689" t="s">
        <v>36</v>
      </c>
      <c r="Q1689">
        <v>0</v>
      </c>
      <c r="R1689">
        <v>50</v>
      </c>
      <c r="S1689" t="s">
        <v>31</v>
      </c>
      <c r="T1689" t="s">
        <v>38</v>
      </c>
      <c r="U1689">
        <v>36.7378</v>
      </c>
      <c r="V1689">
        <v>-119.7871</v>
      </c>
      <c r="W1689" s="2">
        <v>45185</v>
      </c>
      <c r="X1689">
        <v>4</v>
      </c>
      <c r="Y1689" t="b">
        <v>1</v>
      </c>
      <c r="Z1689" s="2">
        <v>45824</v>
      </c>
      <c r="AA1689" t="str">
        <f t="shared" si="261"/>
        <v>40–49</v>
      </c>
      <c r="AB1689" t="str">
        <f t="shared" si="262"/>
        <v>40–49</v>
      </c>
      <c r="AC1689" t="str">
        <f t="shared" si="263"/>
        <v>Monday</v>
      </c>
      <c r="AD1689" t="str">
        <f t="shared" si="264"/>
        <v/>
      </c>
      <c r="AE1689" t="str">
        <f t="shared" si="265"/>
        <v/>
      </c>
      <c r="AF1689" t="str">
        <f t="shared" si="266"/>
        <v>Thursday</v>
      </c>
      <c r="AG1689" t="str">
        <f t="shared" si="267"/>
        <v/>
      </c>
      <c r="AH1689" t="str">
        <f t="shared" si="268"/>
        <v/>
      </c>
      <c r="AI1689" t="str">
        <f t="shared" si="269"/>
        <v>Sunday</v>
      </c>
      <c r="AJ1689" t="str">
        <f>LEFT(Table1[[#This Row],[membership_type]],2)&amp;TEXT(Table1[[#This Row],[age]],"00")&amp;"-"&amp;TEXT(ROW(),"000")</f>
        <v>Pr43-1689</v>
      </c>
      <c r="AK1689" t="str">
        <f>LEFT(Table1[[#This Row],[membership_type]],1)&amp;TEXT(MATCH(Table1[[#This Row],[membership_type]],Table1[membership_type],0),"00")</f>
        <v>P01</v>
      </c>
      <c r="AL1689" t="str">
        <f>LEFT(Table1[[#This Row],[discount_type]],1)&amp;TEXT(ROUND(Table1[[#This Row],[discount_rate]]*100,0),"00")</f>
        <v>N00</v>
      </c>
      <c r="AM1689" t="str" cm="1">
        <f t="array" ref="AM1689">TEXT(SUMPRODUCT(CODE(MID(Table1[[#This Row],[home_gym_location]],_xlfn.SEQUENCE(LEN(Table1[[#This Row],[home_gym_location]])),1))),"00000")</f>
        <v>00829</v>
      </c>
      <c r="AN1689" t="str">
        <f>UPPER(_xlfn.TEXTBEFORE(Table1[[#This Row],[home_gym_location]],","))&amp;"-"&amp;TEXT(MATCH(Table1[[#This Row],[home_gym_location]],_xlfn._xlws.SORT(_xlfn.UNIQUE(Table1[home_gym_location])),0),"000")</f>
        <v>FRESNO-003</v>
      </c>
      <c r="AO1689" t="str">
        <f>LEFT(_xlfn.TEXTBEFORE(Table1[[#This Row],[Location Identifier]],"-"),3) &amp; "-" &amp; _xlfn.TEXTAFTER(Table1[[#This Row],[Location Identifier]],"-")</f>
        <v>FRE-003</v>
      </c>
      <c r="AP1689" s="9">
        <f t="shared" ca="1" si="260"/>
        <v>45869</v>
      </c>
    </row>
    <row r="1690" spans="1:42" x14ac:dyDescent="0.25">
      <c r="A1690">
        <v>33</v>
      </c>
      <c r="B1690" t="s">
        <v>33</v>
      </c>
      <c r="C1690">
        <v>1</v>
      </c>
      <c r="D1690" t="s">
        <v>49</v>
      </c>
      <c r="E1690" t="b">
        <v>0</v>
      </c>
      <c r="F1690" s="1">
        <v>0.68680555555555556</v>
      </c>
      <c r="G1690" s="1">
        <v>0.71319444444444446</v>
      </c>
      <c r="H1690">
        <v>38</v>
      </c>
      <c r="I1690" t="b">
        <v>0</v>
      </c>
      <c r="J1690" t="b">
        <v>1</v>
      </c>
      <c r="K1690" t="b">
        <v>0</v>
      </c>
      <c r="L1690" t="s">
        <v>47</v>
      </c>
      <c r="M1690">
        <v>30</v>
      </c>
      <c r="N1690" t="s">
        <v>29</v>
      </c>
      <c r="O1690">
        <v>30</v>
      </c>
      <c r="P1690" t="s">
        <v>30</v>
      </c>
      <c r="Q1690">
        <v>0.05</v>
      </c>
      <c r="R1690">
        <v>28.5</v>
      </c>
      <c r="S1690" t="s">
        <v>37</v>
      </c>
      <c r="T1690" t="s">
        <v>65</v>
      </c>
      <c r="U1690">
        <v>33.770099999999999</v>
      </c>
      <c r="V1690">
        <v>-118.19370000000001</v>
      </c>
      <c r="W1690" s="2">
        <v>45016</v>
      </c>
      <c r="X1690">
        <v>5</v>
      </c>
      <c r="Y1690" t="b">
        <v>0</v>
      </c>
      <c r="Z1690" s="2">
        <v>45815</v>
      </c>
      <c r="AA1690" t="str">
        <f t="shared" si="261"/>
        <v>30–39</v>
      </c>
      <c r="AB1690" t="str">
        <f t="shared" si="262"/>
        <v>30–39</v>
      </c>
      <c r="AC1690" t="str">
        <f t="shared" si="263"/>
        <v/>
      </c>
      <c r="AD1690" t="str">
        <f t="shared" si="264"/>
        <v/>
      </c>
      <c r="AE1690" t="str">
        <f t="shared" si="265"/>
        <v/>
      </c>
      <c r="AF1690" t="str">
        <f t="shared" si="266"/>
        <v/>
      </c>
      <c r="AG1690" t="str">
        <f t="shared" si="267"/>
        <v/>
      </c>
      <c r="AH1690" t="str">
        <f t="shared" si="268"/>
        <v/>
      </c>
      <c r="AI1690" t="str">
        <f t="shared" si="269"/>
        <v>Sunday</v>
      </c>
      <c r="AJ1690" t="str">
        <f>LEFT(Table1[[#This Row],[membership_type]],2)&amp;TEXT(Table1[[#This Row],[age]],"00")&amp;"-"&amp;TEXT(ROW(),"000")</f>
        <v>St33-1690</v>
      </c>
      <c r="AK1690" t="str">
        <f>LEFT(Table1[[#This Row],[membership_type]],1)&amp;TEXT(MATCH(Table1[[#This Row],[membership_type]],Table1[membership_type],0),"00")</f>
        <v>S02</v>
      </c>
      <c r="AL1690" t="str">
        <f>LEFT(Table1[[#This Row],[discount_type]],1)&amp;TEXT(ROUND(Table1[[#This Row],[discount_rate]]*100,0),"00")</f>
        <v>P05</v>
      </c>
      <c r="AM1690" t="str" cm="1">
        <f t="array" ref="AM1690">TEXT(SUMPRODUCT(CODE(MID(Table1[[#This Row],[home_gym_location]],_xlfn.SEQUENCE(LEN(Table1[[#This Row],[home_gym_location]])),1))),"00000")</f>
        <v>01107</v>
      </c>
      <c r="AN169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90" t="str">
        <f>LEFT(_xlfn.TEXTBEFORE(Table1[[#This Row],[Location Identifier]],"-"),3) &amp; "-" &amp; _xlfn.TEXTAFTER(Table1[[#This Row],[Location Identifier]],"-")</f>
        <v>LON-004</v>
      </c>
      <c r="AP1690" s="9">
        <f t="shared" ca="1" si="260"/>
        <v>45869</v>
      </c>
    </row>
    <row r="1691" spans="1:42" x14ac:dyDescent="0.25">
      <c r="A1691">
        <v>21</v>
      </c>
      <c r="B1691" t="s">
        <v>33</v>
      </c>
      <c r="C1691">
        <v>2</v>
      </c>
      <c r="D1691" t="s">
        <v>101</v>
      </c>
      <c r="E1691" t="b">
        <v>0</v>
      </c>
      <c r="F1691" s="1">
        <v>0.84236111111111112</v>
      </c>
      <c r="G1691" s="1">
        <v>0.90833333333333333</v>
      </c>
      <c r="H1691">
        <v>95</v>
      </c>
      <c r="I1691" t="b">
        <v>1</v>
      </c>
      <c r="J1691" t="b">
        <v>0</v>
      </c>
      <c r="K1691" t="b">
        <v>0</v>
      </c>
      <c r="L1691" t="s">
        <v>62</v>
      </c>
      <c r="M1691">
        <v>30</v>
      </c>
      <c r="N1691" t="s">
        <v>64</v>
      </c>
      <c r="O1691">
        <v>22.5</v>
      </c>
      <c r="P1691" t="s">
        <v>74</v>
      </c>
      <c r="Q1691">
        <v>0.15</v>
      </c>
      <c r="R1691">
        <v>19.125</v>
      </c>
      <c r="S1691" t="s">
        <v>37</v>
      </c>
      <c r="T1691" t="s">
        <v>38</v>
      </c>
      <c r="U1691">
        <v>36.7378</v>
      </c>
      <c r="V1691">
        <v>-119.7871</v>
      </c>
      <c r="W1691" s="2">
        <v>45644</v>
      </c>
      <c r="X1691">
        <v>0</v>
      </c>
      <c r="Y1691" t="b">
        <v>0</v>
      </c>
      <c r="Z1691" s="2">
        <v>45850</v>
      </c>
      <c r="AA1691" t="str">
        <f t="shared" si="261"/>
        <v>20–29</v>
      </c>
      <c r="AB1691" t="str">
        <f t="shared" si="262"/>
        <v>20–29</v>
      </c>
      <c r="AC1691" t="str">
        <f t="shared" si="263"/>
        <v>Monday</v>
      </c>
      <c r="AD1691" t="str">
        <f t="shared" si="264"/>
        <v/>
      </c>
      <c r="AE1691" t="str">
        <f t="shared" si="265"/>
        <v/>
      </c>
      <c r="AF1691" t="str">
        <f t="shared" si="266"/>
        <v/>
      </c>
      <c r="AG1691" t="str">
        <f t="shared" si="267"/>
        <v>Friday</v>
      </c>
      <c r="AH1691" t="str">
        <f t="shared" si="268"/>
        <v/>
      </c>
      <c r="AI1691" t="str">
        <f t="shared" si="269"/>
        <v/>
      </c>
      <c r="AJ1691" t="str">
        <f>LEFT(Table1[[#This Row],[membership_type]],2)&amp;TEXT(Table1[[#This Row],[age]],"00")&amp;"-"&amp;TEXT(ROW(),"000")</f>
        <v>St21-1691</v>
      </c>
      <c r="AK1691" t="str">
        <f>LEFT(Table1[[#This Row],[membership_type]],1)&amp;TEXT(MATCH(Table1[[#This Row],[membership_type]],Table1[membership_type],0),"00")</f>
        <v>S02</v>
      </c>
      <c r="AL1691" t="str">
        <f>LEFT(Table1[[#This Row],[discount_type]],1)&amp;TEXT(ROUND(Table1[[#This Row],[discount_rate]]*100,0),"00")</f>
        <v>S15</v>
      </c>
      <c r="AM1691" t="str" cm="1">
        <f t="array" ref="AM1691">TEXT(SUMPRODUCT(CODE(MID(Table1[[#This Row],[home_gym_location]],_xlfn.SEQUENCE(LEN(Table1[[#This Row],[home_gym_location]])),1))),"00000")</f>
        <v>00829</v>
      </c>
      <c r="AN1691" t="str">
        <f>UPPER(_xlfn.TEXTBEFORE(Table1[[#This Row],[home_gym_location]],","))&amp;"-"&amp;TEXT(MATCH(Table1[[#This Row],[home_gym_location]],_xlfn._xlws.SORT(_xlfn.UNIQUE(Table1[home_gym_location])),0),"000")</f>
        <v>FRESNO-003</v>
      </c>
      <c r="AO1691" t="str">
        <f>LEFT(_xlfn.TEXTBEFORE(Table1[[#This Row],[Location Identifier]],"-"),3) &amp; "-" &amp; _xlfn.TEXTAFTER(Table1[[#This Row],[Location Identifier]],"-")</f>
        <v>FRE-003</v>
      </c>
      <c r="AP1691" s="9">
        <f t="shared" ca="1" si="260"/>
        <v>45869</v>
      </c>
    </row>
    <row r="1692" spans="1:42" x14ac:dyDescent="0.25">
      <c r="A1692">
        <v>43</v>
      </c>
      <c r="B1692" t="s">
        <v>51</v>
      </c>
      <c r="C1692">
        <v>1</v>
      </c>
      <c r="D1692" t="s">
        <v>75</v>
      </c>
      <c r="E1692" t="b">
        <v>1</v>
      </c>
      <c r="F1692" s="1">
        <v>0.83958333333333335</v>
      </c>
      <c r="G1692" s="1">
        <v>0.9145833333333333</v>
      </c>
      <c r="H1692">
        <v>108</v>
      </c>
      <c r="I1692" t="b">
        <v>0</v>
      </c>
      <c r="J1692" t="b">
        <v>0</v>
      </c>
      <c r="K1692" t="b">
        <v>1</v>
      </c>
      <c r="L1692" t="s">
        <v>47</v>
      </c>
      <c r="M1692">
        <v>70</v>
      </c>
      <c r="N1692" t="s">
        <v>29</v>
      </c>
      <c r="O1692">
        <v>70</v>
      </c>
      <c r="P1692" t="s">
        <v>36</v>
      </c>
      <c r="Q1692">
        <v>0</v>
      </c>
      <c r="R1692">
        <v>70</v>
      </c>
      <c r="S1692" t="s">
        <v>53</v>
      </c>
      <c r="T1692" t="s">
        <v>45</v>
      </c>
      <c r="U1692">
        <v>33.836599999999997</v>
      </c>
      <c r="V1692">
        <v>-117.9143</v>
      </c>
      <c r="W1692" s="2">
        <v>45295</v>
      </c>
      <c r="X1692">
        <v>0</v>
      </c>
      <c r="Y1692" t="b">
        <v>1</v>
      </c>
      <c r="Z1692" s="2">
        <v>45830</v>
      </c>
      <c r="AA1692" t="str">
        <f t="shared" si="261"/>
        <v>40–49</v>
      </c>
      <c r="AB1692" t="str">
        <f t="shared" si="262"/>
        <v>40–49</v>
      </c>
      <c r="AC1692" t="str">
        <f t="shared" si="263"/>
        <v/>
      </c>
      <c r="AD1692" t="str">
        <f t="shared" si="264"/>
        <v/>
      </c>
      <c r="AE1692" t="str">
        <f t="shared" si="265"/>
        <v/>
      </c>
      <c r="AF1692" t="str">
        <f t="shared" si="266"/>
        <v/>
      </c>
      <c r="AG1692" t="str">
        <f t="shared" si="267"/>
        <v>Friday</v>
      </c>
      <c r="AH1692" t="str">
        <f t="shared" si="268"/>
        <v/>
      </c>
      <c r="AI1692" t="str">
        <f t="shared" si="269"/>
        <v/>
      </c>
      <c r="AJ1692" t="str">
        <f>LEFT(Table1[[#This Row],[membership_type]],2)&amp;TEXT(Table1[[#This Row],[age]],"00")&amp;"-"&amp;TEXT(ROW(),"000")</f>
        <v>El43-1692</v>
      </c>
      <c r="AK1692" t="str">
        <f>LEFT(Table1[[#This Row],[membership_type]],1)&amp;TEXT(MATCH(Table1[[#This Row],[membership_type]],Table1[membership_type],0),"00")</f>
        <v>E07</v>
      </c>
      <c r="AL1692" t="str">
        <f>LEFT(Table1[[#This Row],[discount_type]],1)&amp;TEXT(ROUND(Table1[[#This Row],[discount_rate]]*100,0),"00")</f>
        <v>N00</v>
      </c>
      <c r="AM1692" t="str" cm="1">
        <f t="array" ref="AM1692">TEXT(SUMPRODUCT(CODE(MID(Table1[[#This Row],[home_gym_location]],_xlfn.SEQUENCE(LEN(Table1[[#This Row],[home_gym_location]])),1))),"00000")</f>
        <v>00899</v>
      </c>
      <c r="AN169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692" t="str">
        <f>LEFT(_xlfn.TEXTBEFORE(Table1[[#This Row],[Location Identifier]],"-"),3) &amp; "-" &amp; _xlfn.TEXTAFTER(Table1[[#This Row],[Location Identifier]],"-")</f>
        <v>ANA-001</v>
      </c>
      <c r="AP1692" s="9">
        <f t="shared" ca="1" si="260"/>
        <v>45869</v>
      </c>
    </row>
    <row r="1693" spans="1:42" x14ac:dyDescent="0.25">
      <c r="A1693">
        <v>12</v>
      </c>
      <c r="B1693" t="s">
        <v>42</v>
      </c>
      <c r="C1693">
        <v>1</v>
      </c>
      <c r="D1693" t="s">
        <v>71</v>
      </c>
      <c r="E1693" t="b">
        <v>1</v>
      </c>
      <c r="F1693" s="1">
        <v>0.71388888888888891</v>
      </c>
      <c r="G1693" s="1">
        <v>0.80972222222222223</v>
      </c>
      <c r="H1693">
        <v>138</v>
      </c>
      <c r="I1693" t="b">
        <v>0</v>
      </c>
      <c r="J1693" t="b">
        <v>0</v>
      </c>
      <c r="K1693" t="b">
        <v>0</v>
      </c>
      <c r="L1693" t="s">
        <v>62</v>
      </c>
      <c r="M1693">
        <v>20</v>
      </c>
      <c r="N1693" t="s">
        <v>64</v>
      </c>
      <c r="O1693">
        <v>15</v>
      </c>
      <c r="P1693" t="s">
        <v>74</v>
      </c>
      <c r="Q1693">
        <v>0.15</v>
      </c>
      <c r="R1693">
        <v>12.75</v>
      </c>
      <c r="S1693" t="s">
        <v>44</v>
      </c>
      <c r="T1693" t="s">
        <v>54</v>
      </c>
      <c r="U1693">
        <v>32.715699999999998</v>
      </c>
      <c r="V1693">
        <v>-117.1611</v>
      </c>
      <c r="W1693" s="2">
        <v>45406</v>
      </c>
      <c r="X1693">
        <v>0</v>
      </c>
      <c r="Y1693" t="b">
        <v>1</v>
      </c>
      <c r="Z1693" s="2">
        <v>45837</v>
      </c>
      <c r="AA1693" t="str">
        <f t="shared" si="261"/>
        <v>10–19</v>
      </c>
      <c r="AB1693" t="str">
        <f t="shared" si="262"/>
        <v>Under 16</v>
      </c>
      <c r="AC1693" t="str">
        <f t="shared" si="263"/>
        <v/>
      </c>
      <c r="AD1693" t="str">
        <f t="shared" si="264"/>
        <v>Tuesday</v>
      </c>
      <c r="AE1693" t="str">
        <f t="shared" si="265"/>
        <v/>
      </c>
      <c r="AF1693" t="str">
        <f t="shared" si="266"/>
        <v/>
      </c>
      <c r="AG1693" t="str">
        <f t="shared" si="267"/>
        <v/>
      </c>
      <c r="AH1693" t="str">
        <f t="shared" si="268"/>
        <v/>
      </c>
      <c r="AI1693" t="str">
        <f t="shared" si="269"/>
        <v/>
      </c>
      <c r="AJ1693" t="str">
        <f>LEFT(Table1[[#This Row],[membership_type]],2)&amp;TEXT(Table1[[#This Row],[age]],"00")&amp;"-"&amp;TEXT(ROW(),"000")</f>
        <v>Ba12-1693</v>
      </c>
      <c r="AK1693" t="str">
        <f>LEFT(Table1[[#This Row],[membership_type]],1)&amp;TEXT(MATCH(Table1[[#This Row],[membership_type]],Table1[membership_type],0),"00")</f>
        <v>B04</v>
      </c>
      <c r="AL1693" t="str">
        <f>LEFT(Table1[[#This Row],[discount_type]],1)&amp;TEXT(ROUND(Table1[[#This Row],[discount_rate]]*100,0),"00")</f>
        <v>S15</v>
      </c>
      <c r="AM1693" t="str" cm="1">
        <f t="array" ref="AM1693">TEXT(SUMPRODUCT(CODE(MID(Table1[[#This Row],[home_gym_location]],_xlfn.SEQUENCE(LEN(Table1[[#This Row],[home_gym_location]])),1))),"00000")</f>
        <v>01018</v>
      </c>
      <c r="AN1693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693" t="str">
        <f>LEFT(_xlfn.TEXTBEFORE(Table1[[#This Row],[Location Identifier]],"-"),3) &amp; "-" &amp; _xlfn.TEXTAFTER(Table1[[#This Row],[Location Identifier]],"-")</f>
        <v>SAN-008</v>
      </c>
      <c r="AP1693" s="9">
        <f t="shared" ca="1" si="260"/>
        <v>45869</v>
      </c>
    </row>
    <row r="1694" spans="1:42" x14ac:dyDescent="0.25">
      <c r="A1694">
        <v>36</v>
      </c>
      <c r="B1694" t="s">
        <v>26</v>
      </c>
      <c r="C1694">
        <v>1</v>
      </c>
      <c r="D1694" t="s">
        <v>75</v>
      </c>
      <c r="E1694" t="b">
        <v>1</v>
      </c>
      <c r="F1694" s="1">
        <v>0.61736111111111114</v>
      </c>
      <c r="G1694" s="1">
        <v>0.68888888888888888</v>
      </c>
      <c r="H1694">
        <v>103</v>
      </c>
      <c r="I1694" t="b">
        <v>1</v>
      </c>
      <c r="J1694" t="b">
        <v>1</v>
      </c>
      <c r="K1694" t="b">
        <v>0</v>
      </c>
      <c r="L1694" t="s">
        <v>28</v>
      </c>
      <c r="M1694">
        <v>50</v>
      </c>
      <c r="N1694" t="s">
        <v>64</v>
      </c>
      <c r="O1694">
        <v>37.5</v>
      </c>
      <c r="P1694" t="s">
        <v>40</v>
      </c>
      <c r="Q1694">
        <v>0.1</v>
      </c>
      <c r="R1694">
        <v>33.75</v>
      </c>
      <c r="S1694" t="s">
        <v>31</v>
      </c>
      <c r="T1694" t="s">
        <v>56</v>
      </c>
      <c r="U1694">
        <v>35.3733</v>
      </c>
      <c r="V1694">
        <v>-119.0187</v>
      </c>
      <c r="W1694" s="2">
        <v>45675</v>
      </c>
      <c r="X1694">
        <v>5</v>
      </c>
      <c r="Y1694" t="b">
        <v>1</v>
      </c>
      <c r="Z1694" s="2">
        <v>45852</v>
      </c>
      <c r="AA1694" t="str">
        <f t="shared" si="261"/>
        <v>30–39</v>
      </c>
      <c r="AB1694" t="str">
        <f t="shared" si="262"/>
        <v>30–39</v>
      </c>
      <c r="AC1694" t="str">
        <f t="shared" si="263"/>
        <v/>
      </c>
      <c r="AD1694" t="str">
        <f t="shared" si="264"/>
        <v/>
      </c>
      <c r="AE1694" t="str">
        <f t="shared" si="265"/>
        <v/>
      </c>
      <c r="AF1694" t="str">
        <f t="shared" si="266"/>
        <v/>
      </c>
      <c r="AG1694" t="str">
        <f t="shared" si="267"/>
        <v>Friday</v>
      </c>
      <c r="AH1694" t="str">
        <f t="shared" si="268"/>
        <v/>
      </c>
      <c r="AI1694" t="str">
        <f t="shared" si="269"/>
        <v/>
      </c>
      <c r="AJ1694" t="str">
        <f>LEFT(Table1[[#This Row],[membership_type]],2)&amp;TEXT(Table1[[#This Row],[age]],"00")&amp;"-"&amp;TEXT(ROW(),"000")</f>
        <v>Pr36-1694</v>
      </c>
      <c r="AK1694" t="str">
        <f>LEFT(Table1[[#This Row],[membership_type]],1)&amp;TEXT(MATCH(Table1[[#This Row],[membership_type]],Table1[membership_type],0),"00")</f>
        <v>P01</v>
      </c>
      <c r="AL1694" t="str">
        <f>LEFT(Table1[[#This Row],[discount_type]],1)&amp;TEXT(ROUND(Table1[[#This Row],[discount_rate]]*100,0),"00")</f>
        <v>L10</v>
      </c>
      <c r="AM1694" t="str" cm="1">
        <f t="array" ref="AM1694">TEXT(SUMPRODUCT(CODE(MID(Table1[[#This Row],[home_gym_location]],_xlfn.SEQUENCE(LEN(Table1[[#This Row],[home_gym_location]])),1))),"00000")</f>
        <v>01324</v>
      </c>
      <c r="AN169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94" t="str">
        <f>LEFT(_xlfn.TEXTBEFORE(Table1[[#This Row],[Location Identifier]],"-"),3) &amp; "-" &amp; _xlfn.TEXTAFTER(Table1[[#This Row],[Location Identifier]],"-")</f>
        <v>BAK-002</v>
      </c>
      <c r="AP1694" s="9">
        <f t="shared" ca="1" si="260"/>
        <v>45869</v>
      </c>
    </row>
    <row r="1695" spans="1:42" x14ac:dyDescent="0.25">
      <c r="A1695">
        <v>21</v>
      </c>
      <c r="B1695" t="s">
        <v>33</v>
      </c>
      <c r="C1695">
        <v>5</v>
      </c>
      <c r="D1695" t="s">
        <v>112</v>
      </c>
      <c r="E1695" t="b">
        <v>1</v>
      </c>
      <c r="F1695" s="1">
        <v>0.84375</v>
      </c>
      <c r="G1695" s="1">
        <v>0.96805555555555556</v>
      </c>
      <c r="H1695">
        <v>179</v>
      </c>
      <c r="I1695" t="b">
        <v>1</v>
      </c>
      <c r="J1695" t="b">
        <v>0</v>
      </c>
      <c r="K1695" t="b">
        <v>1</v>
      </c>
      <c r="L1695" t="s">
        <v>28</v>
      </c>
      <c r="M1695">
        <v>30</v>
      </c>
      <c r="N1695" t="s">
        <v>29</v>
      </c>
      <c r="O1695">
        <v>30</v>
      </c>
      <c r="P1695" t="s">
        <v>30</v>
      </c>
      <c r="Q1695">
        <v>0.05</v>
      </c>
      <c r="R1695">
        <v>28.5</v>
      </c>
      <c r="S1695" t="s">
        <v>37</v>
      </c>
      <c r="T1695" t="s">
        <v>38</v>
      </c>
      <c r="U1695">
        <v>36.7378</v>
      </c>
      <c r="V1695">
        <v>-119.7871</v>
      </c>
      <c r="W1695" s="2">
        <v>45439</v>
      </c>
      <c r="X1695">
        <v>0</v>
      </c>
      <c r="Y1695" t="b">
        <v>0</v>
      </c>
      <c r="Z1695" s="2">
        <v>45838</v>
      </c>
      <c r="AA1695" t="str">
        <f t="shared" si="261"/>
        <v>20–29</v>
      </c>
      <c r="AB1695" t="str">
        <f t="shared" si="262"/>
        <v>20–29</v>
      </c>
      <c r="AC1695" t="str">
        <f t="shared" si="263"/>
        <v>Monday</v>
      </c>
      <c r="AD1695" t="str">
        <f t="shared" si="264"/>
        <v/>
      </c>
      <c r="AE1695" t="str">
        <f t="shared" si="265"/>
        <v/>
      </c>
      <c r="AF1695" t="str">
        <f t="shared" si="266"/>
        <v>Thursday</v>
      </c>
      <c r="AG1695" t="str">
        <f t="shared" si="267"/>
        <v>Friday</v>
      </c>
      <c r="AH1695" t="str">
        <f t="shared" si="268"/>
        <v>Saturday</v>
      </c>
      <c r="AI1695" t="str">
        <f t="shared" si="269"/>
        <v>Sunday</v>
      </c>
      <c r="AJ1695" t="str">
        <f>LEFT(Table1[[#This Row],[membership_type]],2)&amp;TEXT(Table1[[#This Row],[age]],"00")&amp;"-"&amp;TEXT(ROW(),"000")</f>
        <v>St21-1695</v>
      </c>
      <c r="AK1695" t="str">
        <f>LEFT(Table1[[#This Row],[membership_type]],1)&amp;TEXT(MATCH(Table1[[#This Row],[membership_type]],Table1[membership_type],0),"00")</f>
        <v>S02</v>
      </c>
      <c r="AL1695" t="str">
        <f>LEFT(Table1[[#This Row],[discount_type]],1)&amp;TEXT(ROUND(Table1[[#This Row],[discount_rate]]*100,0),"00")</f>
        <v>P05</v>
      </c>
      <c r="AM1695" t="str" cm="1">
        <f t="array" ref="AM1695">TEXT(SUMPRODUCT(CODE(MID(Table1[[#This Row],[home_gym_location]],_xlfn.SEQUENCE(LEN(Table1[[#This Row],[home_gym_location]])),1))),"00000")</f>
        <v>00829</v>
      </c>
      <c r="AN1695" t="str">
        <f>UPPER(_xlfn.TEXTBEFORE(Table1[[#This Row],[home_gym_location]],","))&amp;"-"&amp;TEXT(MATCH(Table1[[#This Row],[home_gym_location]],_xlfn._xlws.SORT(_xlfn.UNIQUE(Table1[home_gym_location])),0),"000")</f>
        <v>FRESNO-003</v>
      </c>
      <c r="AO1695" t="str">
        <f>LEFT(_xlfn.TEXTBEFORE(Table1[[#This Row],[Location Identifier]],"-"),3) &amp; "-" &amp; _xlfn.TEXTAFTER(Table1[[#This Row],[Location Identifier]],"-")</f>
        <v>FRE-003</v>
      </c>
      <c r="AP1695" s="9">
        <f t="shared" ca="1" si="260"/>
        <v>45869</v>
      </c>
    </row>
    <row r="1696" spans="1:42" x14ac:dyDescent="0.25">
      <c r="A1696">
        <v>45</v>
      </c>
      <c r="B1696" t="s">
        <v>51</v>
      </c>
      <c r="C1696">
        <v>2</v>
      </c>
      <c r="D1696" t="s">
        <v>70</v>
      </c>
      <c r="E1696" t="b">
        <v>0</v>
      </c>
      <c r="F1696" s="1">
        <v>0.65</v>
      </c>
      <c r="G1696" s="1">
        <v>0.74722222222222223</v>
      </c>
      <c r="H1696">
        <v>140</v>
      </c>
      <c r="I1696" t="b">
        <v>0</v>
      </c>
      <c r="J1696" t="b">
        <v>1</v>
      </c>
      <c r="K1696" t="b">
        <v>1</v>
      </c>
      <c r="L1696" t="s">
        <v>62</v>
      </c>
      <c r="M1696">
        <v>70</v>
      </c>
      <c r="N1696" t="s">
        <v>29</v>
      </c>
      <c r="O1696">
        <v>70</v>
      </c>
      <c r="P1696" t="s">
        <v>40</v>
      </c>
      <c r="Q1696">
        <v>0.1</v>
      </c>
      <c r="R1696">
        <v>63</v>
      </c>
      <c r="S1696" t="s">
        <v>53</v>
      </c>
      <c r="T1696" t="s">
        <v>38</v>
      </c>
      <c r="U1696">
        <v>36.7378</v>
      </c>
      <c r="V1696">
        <v>-119.7871</v>
      </c>
      <c r="W1696" s="2">
        <v>45758</v>
      </c>
      <c r="X1696">
        <v>1</v>
      </c>
      <c r="Y1696" t="b">
        <v>1</v>
      </c>
      <c r="Z1696" s="2">
        <v>45856</v>
      </c>
      <c r="AA1696" t="str">
        <f t="shared" si="261"/>
        <v>40–49</v>
      </c>
      <c r="AB1696" t="str">
        <f t="shared" si="262"/>
        <v>40–49</v>
      </c>
      <c r="AC1696" t="str">
        <f t="shared" si="263"/>
        <v/>
      </c>
      <c r="AD1696" t="str">
        <f t="shared" si="264"/>
        <v/>
      </c>
      <c r="AE1696" t="str">
        <f t="shared" si="265"/>
        <v>Wednesday</v>
      </c>
      <c r="AF1696" t="str">
        <f t="shared" si="266"/>
        <v>Thursday</v>
      </c>
      <c r="AG1696" t="str">
        <f t="shared" si="267"/>
        <v/>
      </c>
      <c r="AH1696" t="str">
        <f t="shared" si="268"/>
        <v/>
      </c>
      <c r="AI1696" t="str">
        <f t="shared" si="269"/>
        <v/>
      </c>
      <c r="AJ1696" t="str">
        <f>LEFT(Table1[[#This Row],[membership_type]],2)&amp;TEXT(Table1[[#This Row],[age]],"00")&amp;"-"&amp;TEXT(ROW(),"000")</f>
        <v>El45-1696</v>
      </c>
      <c r="AK1696" t="str">
        <f>LEFT(Table1[[#This Row],[membership_type]],1)&amp;TEXT(MATCH(Table1[[#This Row],[membership_type]],Table1[membership_type],0),"00")</f>
        <v>E07</v>
      </c>
      <c r="AL1696" t="str">
        <f>LEFT(Table1[[#This Row],[discount_type]],1)&amp;TEXT(ROUND(Table1[[#This Row],[discount_rate]]*100,0),"00")</f>
        <v>L10</v>
      </c>
      <c r="AM1696" t="str" cm="1">
        <f t="array" ref="AM1696">TEXT(SUMPRODUCT(CODE(MID(Table1[[#This Row],[home_gym_location]],_xlfn.SEQUENCE(LEN(Table1[[#This Row],[home_gym_location]])),1))),"00000")</f>
        <v>00829</v>
      </c>
      <c r="AN1696" t="str">
        <f>UPPER(_xlfn.TEXTBEFORE(Table1[[#This Row],[home_gym_location]],","))&amp;"-"&amp;TEXT(MATCH(Table1[[#This Row],[home_gym_location]],_xlfn._xlws.SORT(_xlfn.UNIQUE(Table1[home_gym_location])),0),"000")</f>
        <v>FRESNO-003</v>
      </c>
      <c r="AO1696" t="str">
        <f>LEFT(_xlfn.TEXTBEFORE(Table1[[#This Row],[Location Identifier]],"-"),3) &amp; "-" &amp; _xlfn.TEXTAFTER(Table1[[#This Row],[Location Identifier]],"-")</f>
        <v>FRE-003</v>
      </c>
      <c r="AP1696" s="9">
        <f t="shared" ca="1" si="260"/>
        <v>45869</v>
      </c>
    </row>
    <row r="1697" spans="1:42" x14ac:dyDescent="0.25">
      <c r="A1697">
        <v>45</v>
      </c>
      <c r="B1697" t="s">
        <v>26</v>
      </c>
      <c r="C1697">
        <v>1</v>
      </c>
      <c r="D1697" t="s">
        <v>97</v>
      </c>
      <c r="E1697" t="b">
        <v>1</v>
      </c>
      <c r="F1697" s="1">
        <v>0.39652777777777776</v>
      </c>
      <c r="G1697" s="1">
        <v>0.44583333333333336</v>
      </c>
      <c r="H1697">
        <v>71</v>
      </c>
      <c r="I1697" t="b">
        <v>1</v>
      </c>
      <c r="J1697" t="b">
        <v>0</v>
      </c>
      <c r="K1697" t="b">
        <v>1</v>
      </c>
      <c r="L1697" t="s">
        <v>58</v>
      </c>
      <c r="M1697">
        <v>50</v>
      </c>
      <c r="N1697" t="s">
        <v>78</v>
      </c>
      <c r="O1697">
        <v>45</v>
      </c>
      <c r="P1697" t="s">
        <v>74</v>
      </c>
      <c r="Q1697">
        <v>0.15</v>
      </c>
      <c r="R1697">
        <v>38.25</v>
      </c>
      <c r="S1697" t="s">
        <v>31</v>
      </c>
      <c r="T1697" t="s">
        <v>56</v>
      </c>
      <c r="U1697">
        <v>35.3733</v>
      </c>
      <c r="V1697">
        <v>-119.0187</v>
      </c>
      <c r="W1697" s="2">
        <v>45803</v>
      </c>
      <c r="X1697">
        <v>0</v>
      </c>
      <c r="Y1697" t="b">
        <v>1</v>
      </c>
      <c r="Z1697" s="2">
        <v>45859</v>
      </c>
      <c r="AA1697" t="str">
        <f t="shared" si="261"/>
        <v>40–49</v>
      </c>
      <c r="AB1697" t="str">
        <f t="shared" si="262"/>
        <v>40–49</v>
      </c>
      <c r="AC1697" t="str">
        <f t="shared" si="263"/>
        <v>Monday</v>
      </c>
      <c r="AD1697" t="str">
        <f t="shared" si="264"/>
        <v/>
      </c>
      <c r="AE1697" t="str">
        <f t="shared" si="265"/>
        <v/>
      </c>
      <c r="AF1697" t="str">
        <f t="shared" si="266"/>
        <v/>
      </c>
      <c r="AG1697" t="str">
        <f t="shared" si="267"/>
        <v/>
      </c>
      <c r="AH1697" t="str">
        <f t="shared" si="268"/>
        <v/>
      </c>
      <c r="AI1697" t="str">
        <f t="shared" si="269"/>
        <v/>
      </c>
      <c r="AJ1697" t="str">
        <f>LEFT(Table1[[#This Row],[membership_type]],2)&amp;TEXT(Table1[[#This Row],[age]],"00")&amp;"-"&amp;TEXT(ROW(),"000")</f>
        <v>Pr45-1697</v>
      </c>
      <c r="AK1697" t="str">
        <f>LEFT(Table1[[#This Row],[membership_type]],1)&amp;TEXT(MATCH(Table1[[#This Row],[membership_type]],Table1[membership_type],0),"00")</f>
        <v>P01</v>
      </c>
      <c r="AL1697" t="str">
        <f>LEFT(Table1[[#This Row],[discount_type]],1)&amp;TEXT(ROUND(Table1[[#This Row],[discount_rate]]*100,0),"00")</f>
        <v>S15</v>
      </c>
      <c r="AM1697" t="str" cm="1">
        <f t="array" ref="AM1697">TEXT(SUMPRODUCT(CODE(MID(Table1[[#This Row],[home_gym_location]],_xlfn.SEQUENCE(LEN(Table1[[#This Row],[home_gym_location]])),1))),"00000")</f>
        <v>01324</v>
      </c>
      <c r="AN169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97" t="str">
        <f>LEFT(_xlfn.TEXTBEFORE(Table1[[#This Row],[Location Identifier]],"-"),3) &amp; "-" &amp; _xlfn.TEXTAFTER(Table1[[#This Row],[Location Identifier]],"-")</f>
        <v>BAK-002</v>
      </c>
      <c r="AP1697" s="9">
        <f t="shared" ca="1" si="260"/>
        <v>45869</v>
      </c>
    </row>
    <row r="1698" spans="1:42" x14ac:dyDescent="0.25">
      <c r="A1698">
        <v>33</v>
      </c>
      <c r="B1698" t="s">
        <v>33</v>
      </c>
      <c r="C1698">
        <v>2</v>
      </c>
      <c r="D1698" t="s">
        <v>84</v>
      </c>
      <c r="E1698" t="b">
        <v>0</v>
      </c>
      <c r="F1698" s="1">
        <v>0.52916666666666667</v>
      </c>
      <c r="G1698" s="1">
        <v>0.62569444444444444</v>
      </c>
      <c r="H1698">
        <v>139</v>
      </c>
      <c r="I1698" t="b">
        <v>1</v>
      </c>
      <c r="J1698" t="b">
        <v>1</v>
      </c>
      <c r="K1698" t="b">
        <v>0</v>
      </c>
      <c r="L1698" t="s">
        <v>58</v>
      </c>
      <c r="M1698">
        <v>30</v>
      </c>
      <c r="N1698" t="s">
        <v>29</v>
      </c>
      <c r="O1698">
        <v>30</v>
      </c>
      <c r="P1698" t="s">
        <v>36</v>
      </c>
      <c r="Q1698">
        <v>0</v>
      </c>
      <c r="R1698">
        <v>30</v>
      </c>
      <c r="S1698" t="s">
        <v>37</v>
      </c>
      <c r="T1698" t="s">
        <v>56</v>
      </c>
      <c r="U1698">
        <v>35.3733</v>
      </c>
      <c r="V1698">
        <v>-119.0187</v>
      </c>
      <c r="W1698" s="2">
        <v>45687</v>
      </c>
      <c r="X1698">
        <v>1</v>
      </c>
      <c r="Y1698" t="b">
        <v>0</v>
      </c>
      <c r="Z1698" s="2">
        <v>45852</v>
      </c>
      <c r="AA1698" t="str">
        <f t="shared" si="261"/>
        <v>30–39</v>
      </c>
      <c r="AB1698" t="str">
        <f t="shared" si="262"/>
        <v>30–39</v>
      </c>
      <c r="AC1698" t="str">
        <f t="shared" si="263"/>
        <v/>
      </c>
      <c r="AD1698" t="str">
        <f t="shared" si="264"/>
        <v>Tuesday</v>
      </c>
      <c r="AE1698" t="str">
        <f t="shared" si="265"/>
        <v/>
      </c>
      <c r="AF1698" t="str">
        <f t="shared" si="266"/>
        <v/>
      </c>
      <c r="AG1698" t="str">
        <f t="shared" si="267"/>
        <v/>
      </c>
      <c r="AH1698" t="str">
        <f t="shared" si="268"/>
        <v/>
      </c>
      <c r="AI1698" t="str">
        <f t="shared" si="269"/>
        <v>Sunday</v>
      </c>
      <c r="AJ1698" t="str">
        <f>LEFT(Table1[[#This Row],[membership_type]],2)&amp;TEXT(Table1[[#This Row],[age]],"00")&amp;"-"&amp;TEXT(ROW(),"000")</f>
        <v>St33-1698</v>
      </c>
      <c r="AK1698" t="str">
        <f>LEFT(Table1[[#This Row],[membership_type]],1)&amp;TEXT(MATCH(Table1[[#This Row],[membership_type]],Table1[membership_type],0),"00")</f>
        <v>S02</v>
      </c>
      <c r="AL1698" t="str">
        <f>LEFT(Table1[[#This Row],[discount_type]],1)&amp;TEXT(ROUND(Table1[[#This Row],[discount_rate]]*100,0),"00")</f>
        <v>N00</v>
      </c>
      <c r="AM1698" t="str" cm="1">
        <f t="array" ref="AM1698">TEXT(SUMPRODUCT(CODE(MID(Table1[[#This Row],[home_gym_location]],_xlfn.SEQUENCE(LEN(Table1[[#This Row],[home_gym_location]])),1))),"00000")</f>
        <v>01324</v>
      </c>
      <c r="AN169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698" t="str">
        <f>LEFT(_xlfn.TEXTBEFORE(Table1[[#This Row],[Location Identifier]],"-"),3) &amp; "-" &amp; _xlfn.TEXTAFTER(Table1[[#This Row],[Location Identifier]],"-")</f>
        <v>BAK-002</v>
      </c>
      <c r="AP1698" s="9">
        <f t="shared" ca="1" si="260"/>
        <v>45869</v>
      </c>
    </row>
    <row r="1699" spans="1:42" x14ac:dyDescent="0.25">
      <c r="A1699">
        <v>20</v>
      </c>
      <c r="B1699" t="s">
        <v>26</v>
      </c>
      <c r="C1699">
        <v>5</v>
      </c>
      <c r="D1699" t="s">
        <v>110</v>
      </c>
      <c r="E1699" t="b">
        <v>0</v>
      </c>
      <c r="F1699" s="1">
        <v>0.7368055555555556</v>
      </c>
      <c r="G1699" s="1">
        <v>0.84861111111111109</v>
      </c>
      <c r="H1699">
        <v>161</v>
      </c>
      <c r="I1699" t="b">
        <v>0</v>
      </c>
      <c r="J1699" t="b">
        <v>0</v>
      </c>
      <c r="K1699" t="b">
        <v>0</v>
      </c>
      <c r="L1699" t="s">
        <v>62</v>
      </c>
      <c r="M1699">
        <v>50</v>
      </c>
      <c r="N1699" t="s">
        <v>64</v>
      </c>
      <c r="O1699">
        <v>37.5</v>
      </c>
      <c r="P1699" t="s">
        <v>40</v>
      </c>
      <c r="Q1699">
        <v>0.1</v>
      </c>
      <c r="R1699">
        <v>33.75</v>
      </c>
      <c r="S1699" t="s">
        <v>31</v>
      </c>
      <c r="T1699" t="s">
        <v>65</v>
      </c>
      <c r="U1699">
        <v>33.770099999999999</v>
      </c>
      <c r="V1699">
        <v>-118.19370000000001</v>
      </c>
      <c r="W1699" s="2">
        <v>44805</v>
      </c>
      <c r="X1699">
        <v>0</v>
      </c>
      <c r="Y1699" t="b">
        <v>0</v>
      </c>
      <c r="Z1699" s="2">
        <v>45803</v>
      </c>
      <c r="AA1699" t="str">
        <f t="shared" si="261"/>
        <v>20–29</v>
      </c>
      <c r="AB1699" t="str">
        <f t="shared" si="262"/>
        <v>20–29</v>
      </c>
      <c r="AC1699" t="str">
        <f t="shared" si="263"/>
        <v>Monday</v>
      </c>
      <c r="AD1699" t="str">
        <f t="shared" si="264"/>
        <v>Tuesday</v>
      </c>
      <c r="AE1699" t="str">
        <f t="shared" si="265"/>
        <v>Wednesday</v>
      </c>
      <c r="AF1699" t="str">
        <f t="shared" si="266"/>
        <v>Thursday</v>
      </c>
      <c r="AG1699" t="str">
        <f t="shared" si="267"/>
        <v/>
      </c>
      <c r="AH1699" t="str">
        <f t="shared" si="268"/>
        <v>Saturday</v>
      </c>
      <c r="AI1699" t="str">
        <f t="shared" si="269"/>
        <v/>
      </c>
      <c r="AJ1699" t="str">
        <f>LEFT(Table1[[#This Row],[membership_type]],2)&amp;TEXT(Table1[[#This Row],[age]],"00")&amp;"-"&amp;TEXT(ROW(),"000")</f>
        <v>Pr20-1699</v>
      </c>
      <c r="AK1699" t="str">
        <f>LEFT(Table1[[#This Row],[membership_type]],1)&amp;TEXT(MATCH(Table1[[#This Row],[membership_type]],Table1[membership_type],0),"00")</f>
        <v>P01</v>
      </c>
      <c r="AL1699" t="str">
        <f>LEFT(Table1[[#This Row],[discount_type]],1)&amp;TEXT(ROUND(Table1[[#This Row],[discount_rate]]*100,0),"00")</f>
        <v>L10</v>
      </c>
      <c r="AM1699" t="str" cm="1">
        <f t="array" ref="AM1699">TEXT(SUMPRODUCT(CODE(MID(Table1[[#This Row],[home_gym_location]],_xlfn.SEQUENCE(LEN(Table1[[#This Row],[home_gym_location]])),1))),"00000")</f>
        <v>01107</v>
      </c>
      <c r="AN169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699" t="str">
        <f>LEFT(_xlfn.TEXTBEFORE(Table1[[#This Row],[Location Identifier]],"-"),3) &amp; "-" &amp; _xlfn.TEXTAFTER(Table1[[#This Row],[Location Identifier]],"-")</f>
        <v>LON-004</v>
      </c>
      <c r="AP1699" s="9">
        <f t="shared" ca="1" si="260"/>
        <v>45869</v>
      </c>
    </row>
    <row r="1700" spans="1:42" x14ac:dyDescent="0.25">
      <c r="A1700">
        <v>19</v>
      </c>
      <c r="B1700" t="s">
        <v>26</v>
      </c>
      <c r="C1700">
        <v>2</v>
      </c>
      <c r="D1700" t="s">
        <v>84</v>
      </c>
      <c r="E1700" t="b">
        <v>1</v>
      </c>
      <c r="F1700" s="1">
        <v>0.80694444444444446</v>
      </c>
      <c r="G1700" s="1">
        <v>0.85069444444444442</v>
      </c>
      <c r="H1700">
        <v>63</v>
      </c>
      <c r="I1700" t="b">
        <v>0</v>
      </c>
      <c r="J1700" t="b">
        <v>0</v>
      </c>
      <c r="K1700" t="b">
        <v>0</v>
      </c>
      <c r="L1700" t="s">
        <v>62</v>
      </c>
      <c r="M1700">
        <v>50</v>
      </c>
      <c r="N1700" t="s">
        <v>64</v>
      </c>
      <c r="O1700">
        <v>37.5</v>
      </c>
      <c r="P1700" t="s">
        <v>36</v>
      </c>
      <c r="Q1700">
        <v>0</v>
      </c>
      <c r="R1700">
        <v>37.5</v>
      </c>
      <c r="S1700" t="s">
        <v>31</v>
      </c>
      <c r="T1700" t="s">
        <v>56</v>
      </c>
      <c r="U1700">
        <v>35.3733</v>
      </c>
      <c r="V1700">
        <v>-119.0187</v>
      </c>
      <c r="W1700" s="2">
        <v>45245</v>
      </c>
      <c r="X1700">
        <v>0</v>
      </c>
      <c r="Y1700" t="b">
        <v>1</v>
      </c>
      <c r="Z1700" s="2">
        <v>45828</v>
      </c>
      <c r="AA1700" t="str">
        <f t="shared" si="261"/>
        <v>10–19</v>
      </c>
      <c r="AB1700" t="str">
        <f t="shared" si="262"/>
        <v>16–19</v>
      </c>
      <c r="AC1700" t="str">
        <f t="shared" si="263"/>
        <v/>
      </c>
      <c r="AD1700" t="str">
        <f t="shared" si="264"/>
        <v>Tuesday</v>
      </c>
      <c r="AE1700" t="str">
        <f t="shared" si="265"/>
        <v/>
      </c>
      <c r="AF1700" t="str">
        <f t="shared" si="266"/>
        <v/>
      </c>
      <c r="AG1700" t="str">
        <f t="shared" si="267"/>
        <v/>
      </c>
      <c r="AH1700" t="str">
        <f t="shared" si="268"/>
        <v/>
      </c>
      <c r="AI1700" t="str">
        <f t="shared" si="269"/>
        <v>Sunday</v>
      </c>
      <c r="AJ1700" t="str">
        <f>LEFT(Table1[[#This Row],[membership_type]],2)&amp;TEXT(Table1[[#This Row],[age]],"00")&amp;"-"&amp;TEXT(ROW(),"000")</f>
        <v>Pr19-1700</v>
      </c>
      <c r="AK1700" t="str">
        <f>LEFT(Table1[[#This Row],[membership_type]],1)&amp;TEXT(MATCH(Table1[[#This Row],[membership_type]],Table1[membership_type],0),"00")</f>
        <v>P01</v>
      </c>
      <c r="AL1700" t="str">
        <f>LEFT(Table1[[#This Row],[discount_type]],1)&amp;TEXT(ROUND(Table1[[#This Row],[discount_rate]]*100,0),"00")</f>
        <v>N00</v>
      </c>
      <c r="AM1700" t="str" cm="1">
        <f t="array" ref="AM1700">TEXT(SUMPRODUCT(CODE(MID(Table1[[#This Row],[home_gym_location]],_xlfn.SEQUENCE(LEN(Table1[[#This Row],[home_gym_location]])),1))),"00000")</f>
        <v>01324</v>
      </c>
      <c r="AN170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00" t="str">
        <f>LEFT(_xlfn.TEXTBEFORE(Table1[[#This Row],[Location Identifier]],"-"),3) &amp; "-" &amp; _xlfn.TEXTAFTER(Table1[[#This Row],[Location Identifier]],"-")</f>
        <v>BAK-002</v>
      </c>
      <c r="AP1700" s="9">
        <f t="shared" ca="1" si="260"/>
        <v>45869</v>
      </c>
    </row>
    <row r="1701" spans="1:42" x14ac:dyDescent="0.25">
      <c r="A1701">
        <v>40</v>
      </c>
      <c r="B1701" t="s">
        <v>26</v>
      </c>
      <c r="C1701">
        <v>2</v>
      </c>
      <c r="D1701" t="s">
        <v>123</v>
      </c>
      <c r="E1701" t="b">
        <v>1</v>
      </c>
      <c r="F1701" s="1">
        <v>0.62361111111111112</v>
      </c>
      <c r="G1701" s="1">
        <v>0.6958333333333333</v>
      </c>
      <c r="H1701">
        <v>104</v>
      </c>
      <c r="I1701" t="b">
        <v>0</v>
      </c>
      <c r="J1701" t="b">
        <v>0</v>
      </c>
      <c r="K1701" t="b">
        <v>1</v>
      </c>
      <c r="L1701" t="s">
        <v>28</v>
      </c>
      <c r="M1701">
        <v>50</v>
      </c>
      <c r="N1701" t="s">
        <v>64</v>
      </c>
      <c r="O1701">
        <v>37.5</v>
      </c>
      <c r="P1701" t="s">
        <v>36</v>
      </c>
      <c r="Q1701">
        <v>0</v>
      </c>
      <c r="R1701">
        <v>37.5</v>
      </c>
      <c r="S1701" t="s">
        <v>31</v>
      </c>
      <c r="T1701" t="s">
        <v>38</v>
      </c>
      <c r="U1701">
        <v>36.7378</v>
      </c>
      <c r="V1701">
        <v>-119.7871</v>
      </c>
      <c r="W1701" s="2">
        <v>44802</v>
      </c>
      <c r="X1701">
        <v>0</v>
      </c>
      <c r="Y1701" t="b">
        <v>1</v>
      </c>
      <c r="Z1701" s="2">
        <v>45803</v>
      </c>
      <c r="AA1701" t="str">
        <f t="shared" si="261"/>
        <v>40–49</v>
      </c>
      <c r="AB1701" t="str">
        <f t="shared" si="262"/>
        <v>40–49</v>
      </c>
      <c r="AC1701" t="str">
        <f t="shared" si="263"/>
        <v>Monday</v>
      </c>
      <c r="AD1701" t="str">
        <f t="shared" si="264"/>
        <v/>
      </c>
      <c r="AE1701" t="str">
        <f t="shared" si="265"/>
        <v/>
      </c>
      <c r="AF1701" t="str">
        <f t="shared" si="266"/>
        <v/>
      </c>
      <c r="AG1701" t="str">
        <f t="shared" si="267"/>
        <v/>
      </c>
      <c r="AH1701" t="str">
        <f t="shared" si="268"/>
        <v>Saturday</v>
      </c>
      <c r="AI1701" t="str">
        <f t="shared" si="269"/>
        <v/>
      </c>
      <c r="AJ1701" t="str">
        <f>LEFT(Table1[[#This Row],[membership_type]],2)&amp;TEXT(Table1[[#This Row],[age]],"00")&amp;"-"&amp;TEXT(ROW(),"000")</f>
        <v>Pr40-1701</v>
      </c>
      <c r="AK1701" t="str">
        <f>LEFT(Table1[[#This Row],[membership_type]],1)&amp;TEXT(MATCH(Table1[[#This Row],[membership_type]],Table1[membership_type],0),"00")</f>
        <v>P01</v>
      </c>
      <c r="AL1701" t="str">
        <f>LEFT(Table1[[#This Row],[discount_type]],1)&amp;TEXT(ROUND(Table1[[#This Row],[discount_rate]]*100,0),"00")</f>
        <v>N00</v>
      </c>
      <c r="AM1701" t="str" cm="1">
        <f t="array" ref="AM1701">TEXT(SUMPRODUCT(CODE(MID(Table1[[#This Row],[home_gym_location]],_xlfn.SEQUENCE(LEN(Table1[[#This Row],[home_gym_location]])),1))),"00000")</f>
        <v>00829</v>
      </c>
      <c r="AN1701" t="str">
        <f>UPPER(_xlfn.TEXTBEFORE(Table1[[#This Row],[home_gym_location]],","))&amp;"-"&amp;TEXT(MATCH(Table1[[#This Row],[home_gym_location]],_xlfn._xlws.SORT(_xlfn.UNIQUE(Table1[home_gym_location])),0),"000")</f>
        <v>FRESNO-003</v>
      </c>
      <c r="AO1701" t="str">
        <f>LEFT(_xlfn.TEXTBEFORE(Table1[[#This Row],[Location Identifier]],"-"),3) &amp; "-" &amp; _xlfn.TEXTAFTER(Table1[[#This Row],[Location Identifier]],"-")</f>
        <v>FRE-003</v>
      </c>
      <c r="AP1701" s="9">
        <f t="shared" ca="1" si="260"/>
        <v>45869</v>
      </c>
    </row>
    <row r="1702" spans="1:42" x14ac:dyDescent="0.25">
      <c r="A1702">
        <v>49</v>
      </c>
      <c r="B1702" t="s">
        <v>33</v>
      </c>
      <c r="C1702">
        <v>3</v>
      </c>
      <c r="D1702" t="s">
        <v>81</v>
      </c>
      <c r="E1702" t="b">
        <v>0</v>
      </c>
      <c r="F1702" s="1">
        <v>0.52569444444444446</v>
      </c>
      <c r="G1702" s="1">
        <v>0.55208333333333337</v>
      </c>
      <c r="H1702">
        <v>38</v>
      </c>
      <c r="I1702" t="b">
        <v>1</v>
      </c>
      <c r="J1702" t="b">
        <v>1</v>
      </c>
      <c r="K1702" t="b">
        <v>0</v>
      </c>
      <c r="L1702" t="s">
        <v>28</v>
      </c>
      <c r="M1702">
        <v>30</v>
      </c>
      <c r="N1702" t="s">
        <v>29</v>
      </c>
      <c r="O1702">
        <v>30</v>
      </c>
      <c r="P1702" t="s">
        <v>36</v>
      </c>
      <c r="Q1702">
        <v>0</v>
      </c>
      <c r="R1702">
        <v>30</v>
      </c>
      <c r="S1702" t="s">
        <v>37</v>
      </c>
      <c r="T1702" t="s">
        <v>32</v>
      </c>
      <c r="U1702">
        <v>37.338200000000001</v>
      </c>
      <c r="V1702">
        <v>-121.88630000000001</v>
      </c>
      <c r="W1702" s="2">
        <v>45370</v>
      </c>
      <c r="X1702">
        <v>5</v>
      </c>
      <c r="Y1702" t="b">
        <v>0</v>
      </c>
      <c r="Z1702" s="2">
        <v>45835</v>
      </c>
      <c r="AA1702" t="str">
        <f t="shared" si="261"/>
        <v>40–49</v>
      </c>
      <c r="AB1702" t="str">
        <f t="shared" si="262"/>
        <v>40–49</v>
      </c>
      <c r="AC1702" t="str">
        <f t="shared" si="263"/>
        <v>Monday</v>
      </c>
      <c r="AD1702" t="str">
        <f t="shared" si="264"/>
        <v/>
      </c>
      <c r="AE1702" t="str">
        <f t="shared" si="265"/>
        <v>Wednesday</v>
      </c>
      <c r="AF1702" t="str">
        <f t="shared" si="266"/>
        <v/>
      </c>
      <c r="AG1702" t="str">
        <f t="shared" si="267"/>
        <v>Friday</v>
      </c>
      <c r="AH1702" t="str">
        <f t="shared" si="268"/>
        <v/>
      </c>
      <c r="AI1702" t="str">
        <f t="shared" si="269"/>
        <v/>
      </c>
      <c r="AJ1702" t="str">
        <f>LEFT(Table1[[#This Row],[membership_type]],2)&amp;TEXT(Table1[[#This Row],[age]],"00")&amp;"-"&amp;TEXT(ROW(),"000")</f>
        <v>St49-1702</v>
      </c>
      <c r="AK1702" t="str">
        <f>LEFT(Table1[[#This Row],[membership_type]],1)&amp;TEXT(MATCH(Table1[[#This Row],[membership_type]],Table1[membership_type],0),"00")</f>
        <v>S02</v>
      </c>
      <c r="AL1702" t="str">
        <f>LEFT(Table1[[#This Row],[discount_type]],1)&amp;TEXT(ROUND(Table1[[#This Row],[discount_rate]]*100,0),"00")</f>
        <v>N00</v>
      </c>
      <c r="AM1702" t="str" cm="1">
        <f t="array" ref="AM1702">TEXT(SUMPRODUCT(CODE(MID(Table1[[#This Row],[home_gym_location]],_xlfn.SEQUENCE(LEN(Table1[[#This Row],[home_gym_location]])),1))),"00000")</f>
        <v>00931</v>
      </c>
      <c r="AN1702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02" t="str">
        <f>LEFT(_xlfn.TEXTBEFORE(Table1[[#This Row],[Location Identifier]],"-"),3) &amp; "-" &amp; _xlfn.TEXTAFTER(Table1[[#This Row],[Location Identifier]],"-")</f>
        <v>SAN-010</v>
      </c>
      <c r="AP1702" s="9">
        <f t="shared" ca="1" si="260"/>
        <v>45869</v>
      </c>
    </row>
    <row r="1703" spans="1:42" x14ac:dyDescent="0.25">
      <c r="A1703">
        <v>19</v>
      </c>
      <c r="B1703" t="s">
        <v>42</v>
      </c>
      <c r="C1703">
        <v>4</v>
      </c>
      <c r="D1703" t="s">
        <v>163</v>
      </c>
      <c r="E1703" t="b">
        <v>1</v>
      </c>
      <c r="F1703" s="1">
        <v>0.65902777777777777</v>
      </c>
      <c r="G1703" s="1">
        <v>0.71527777777777779</v>
      </c>
      <c r="H1703">
        <v>81</v>
      </c>
      <c r="I1703" t="b">
        <v>1</v>
      </c>
      <c r="J1703" t="b">
        <v>0</v>
      </c>
      <c r="K1703" t="b">
        <v>0</v>
      </c>
      <c r="L1703" t="s">
        <v>28</v>
      </c>
      <c r="M1703">
        <v>20</v>
      </c>
      <c r="N1703" t="s">
        <v>29</v>
      </c>
      <c r="O1703">
        <v>20</v>
      </c>
      <c r="P1703" t="s">
        <v>40</v>
      </c>
      <c r="Q1703">
        <v>0.1</v>
      </c>
      <c r="R1703">
        <v>18</v>
      </c>
      <c r="S1703" t="s">
        <v>44</v>
      </c>
      <c r="T1703" t="s">
        <v>32</v>
      </c>
      <c r="U1703">
        <v>37.338200000000001</v>
      </c>
      <c r="V1703">
        <v>-121.88630000000001</v>
      </c>
      <c r="W1703" s="2">
        <v>45498</v>
      </c>
      <c r="X1703">
        <v>0</v>
      </c>
      <c r="Y1703" t="b">
        <v>1</v>
      </c>
      <c r="Z1703" s="2">
        <v>45842</v>
      </c>
      <c r="AA1703" t="str">
        <f t="shared" si="261"/>
        <v>10–19</v>
      </c>
      <c r="AB1703" t="str">
        <f t="shared" si="262"/>
        <v>16–19</v>
      </c>
      <c r="AC1703" t="str">
        <f t="shared" si="263"/>
        <v/>
      </c>
      <c r="AD1703" t="str">
        <f t="shared" si="264"/>
        <v>Tuesday</v>
      </c>
      <c r="AE1703" t="str">
        <f t="shared" si="265"/>
        <v>Wednesday</v>
      </c>
      <c r="AF1703" t="str">
        <f t="shared" si="266"/>
        <v/>
      </c>
      <c r="AG1703" t="str">
        <f t="shared" si="267"/>
        <v/>
      </c>
      <c r="AH1703" t="str">
        <f t="shared" si="268"/>
        <v>Saturday</v>
      </c>
      <c r="AI1703" t="str">
        <f t="shared" si="269"/>
        <v>Sunday</v>
      </c>
      <c r="AJ1703" t="str">
        <f>LEFT(Table1[[#This Row],[membership_type]],2)&amp;TEXT(Table1[[#This Row],[age]],"00")&amp;"-"&amp;TEXT(ROW(),"000")</f>
        <v>Ba19-1703</v>
      </c>
      <c r="AK1703" t="str">
        <f>LEFT(Table1[[#This Row],[membership_type]],1)&amp;TEXT(MATCH(Table1[[#This Row],[membership_type]],Table1[membership_type],0),"00")</f>
        <v>B04</v>
      </c>
      <c r="AL1703" t="str">
        <f>LEFT(Table1[[#This Row],[discount_type]],1)&amp;TEXT(ROUND(Table1[[#This Row],[discount_rate]]*100,0),"00")</f>
        <v>L10</v>
      </c>
      <c r="AM1703" t="str" cm="1">
        <f t="array" ref="AM1703">TEXT(SUMPRODUCT(CODE(MID(Table1[[#This Row],[home_gym_location]],_xlfn.SEQUENCE(LEN(Table1[[#This Row],[home_gym_location]])),1))),"00000")</f>
        <v>00931</v>
      </c>
      <c r="AN170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03" t="str">
        <f>LEFT(_xlfn.TEXTBEFORE(Table1[[#This Row],[Location Identifier]],"-"),3) &amp; "-" &amp; _xlfn.TEXTAFTER(Table1[[#This Row],[Location Identifier]],"-")</f>
        <v>SAN-010</v>
      </c>
      <c r="AP1703" s="9">
        <f t="shared" ca="1" si="260"/>
        <v>45869</v>
      </c>
    </row>
    <row r="1704" spans="1:42" x14ac:dyDescent="0.25">
      <c r="A1704">
        <v>23</v>
      </c>
      <c r="B1704" t="s">
        <v>33</v>
      </c>
      <c r="C1704">
        <v>2</v>
      </c>
      <c r="D1704" t="s">
        <v>27</v>
      </c>
      <c r="E1704" t="b">
        <v>0</v>
      </c>
      <c r="F1704" s="1">
        <v>0.49722222222222223</v>
      </c>
      <c r="G1704" s="1">
        <v>0.5708333333333333</v>
      </c>
      <c r="H1704">
        <v>106</v>
      </c>
      <c r="I1704" t="b">
        <v>0</v>
      </c>
      <c r="J1704" t="b">
        <v>1</v>
      </c>
      <c r="K1704" t="b">
        <v>1</v>
      </c>
      <c r="L1704" t="s">
        <v>62</v>
      </c>
      <c r="M1704">
        <v>30</v>
      </c>
      <c r="N1704" t="s">
        <v>29</v>
      </c>
      <c r="O1704">
        <v>30</v>
      </c>
      <c r="P1704" t="s">
        <v>30</v>
      </c>
      <c r="Q1704">
        <v>0.05</v>
      </c>
      <c r="R1704">
        <v>28.5</v>
      </c>
      <c r="S1704" t="s">
        <v>37</v>
      </c>
      <c r="T1704" t="s">
        <v>38</v>
      </c>
      <c r="U1704">
        <v>36.7378</v>
      </c>
      <c r="V1704">
        <v>-119.7871</v>
      </c>
      <c r="W1704" s="2">
        <v>45291</v>
      </c>
      <c r="X1704">
        <v>2</v>
      </c>
      <c r="Y1704" t="b">
        <v>0</v>
      </c>
      <c r="Z1704" s="2">
        <v>45830</v>
      </c>
      <c r="AA1704" t="str">
        <f t="shared" si="261"/>
        <v>20–29</v>
      </c>
      <c r="AB1704" t="str">
        <f t="shared" si="262"/>
        <v>20–29</v>
      </c>
      <c r="AC1704" t="str">
        <f t="shared" si="263"/>
        <v/>
      </c>
      <c r="AD1704" t="str">
        <f t="shared" si="264"/>
        <v/>
      </c>
      <c r="AE1704" t="str">
        <f t="shared" si="265"/>
        <v/>
      </c>
      <c r="AF1704" t="str">
        <f t="shared" si="266"/>
        <v>Thursday</v>
      </c>
      <c r="AG1704" t="str">
        <f t="shared" si="267"/>
        <v/>
      </c>
      <c r="AH1704" t="str">
        <f t="shared" si="268"/>
        <v>Saturday</v>
      </c>
      <c r="AI1704" t="str">
        <f t="shared" si="269"/>
        <v/>
      </c>
      <c r="AJ1704" t="str">
        <f>LEFT(Table1[[#This Row],[membership_type]],2)&amp;TEXT(Table1[[#This Row],[age]],"00")&amp;"-"&amp;TEXT(ROW(),"000")</f>
        <v>St23-1704</v>
      </c>
      <c r="AK1704" t="str">
        <f>LEFT(Table1[[#This Row],[membership_type]],1)&amp;TEXT(MATCH(Table1[[#This Row],[membership_type]],Table1[membership_type],0),"00")</f>
        <v>S02</v>
      </c>
      <c r="AL1704" t="str">
        <f>LEFT(Table1[[#This Row],[discount_type]],1)&amp;TEXT(ROUND(Table1[[#This Row],[discount_rate]]*100,0),"00")</f>
        <v>P05</v>
      </c>
      <c r="AM1704" t="str" cm="1">
        <f t="array" ref="AM1704">TEXT(SUMPRODUCT(CODE(MID(Table1[[#This Row],[home_gym_location]],_xlfn.SEQUENCE(LEN(Table1[[#This Row],[home_gym_location]])),1))),"00000")</f>
        <v>00829</v>
      </c>
      <c r="AN1704" t="str">
        <f>UPPER(_xlfn.TEXTBEFORE(Table1[[#This Row],[home_gym_location]],","))&amp;"-"&amp;TEXT(MATCH(Table1[[#This Row],[home_gym_location]],_xlfn._xlws.SORT(_xlfn.UNIQUE(Table1[home_gym_location])),0),"000")</f>
        <v>FRESNO-003</v>
      </c>
      <c r="AO1704" t="str">
        <f>LEFT(_xlfn.TEXTBEFORE(Table1[[#This Row],[Location Identifier]],"-"),3) &amp; "-" &amp; _xlfn.TEXTAFTER(Table1[[#This Row],[Location Identifier]],"-")</f>
        <v>FRE-003</v>
      </c>
      <c r="AP1704" s="9">
        <f t="shared" ca="1" si="260"/>
        <v>45869</v>
      </c>
    </row>
    <row r="1705" spans="1:42" x14ac:dyDescent="0.25">
      <c r="A1705">
        <v>48</v>
      </c>
      <c r="B1705" t="s">
        <v>33</v>
      </c>
      <c r="C1705">
        <v>3</v>
      </c>
      <c r="D1705" t="s">
        <v>100</v>
      </c>
      <c r="E1705" t="b">
        <v>0</v>
      </c>
      <c r="F1705" s="1">
        <v>0.46319444444444446</v>
      </c>
      <c r="G1705" s="1">
        <v>0.52986111111111112</v>
      </c>
      <c r="H1705">
        <v>96</v>
      </c>
      <c r="I1705" t="b">
        <v>1</v>
      </c>
      <c r="J1705" t="b">
        <v>1</v>
      </c>
      <c r="K1705" t="b">
        <v>1</v>
      </c>
      <c r="L1705" t="s">
        <v>28</v>
      </c>
      <c r="M1705">
        <v>30</v>
      </c>
      <c r="N1705" t="s">
        <v>29</v>
      </c>
      <c r="O1705">
        <v>30</v>
      </c>
      <c r="P1705" t="s">
        <v>36</v>
      </c>
      <c r="Q1705">
        <v>0</v>
      </c>
      <c r="R1705">
        <v>30</v>
      </c>
      <c r="S1705" t="s">
        <v>37</v>
      </c>
      <c r="T1705" t="s">
        <v>54</v>
      </c>
      <c r="U1705">
        <v>32.715699999999998</v>
      </c>
      <c r="V1705">
        <v>-117.1611</v>
      </c>
      <c r="W1705" s="2">
        <v>45362</v>
      </c>
      <c r="X1705">
        <v>5</v>
      </c>
      <c r="Y1705" t="b">
        <v>0</v>
      </c>
      <c r="Z1705" s="2">
        <v>45834</v>
      </c>
      <c r="AA1705" t="str">
        <f t="shared" si="261"/>
        <v>40–49</v>
      </c>
      <c r="AB1705" t="str">
        <f t="shared" si="262"/>
        <v>40–49</v>
      </c>
      <c r="AC1705" t="str">
        <f t="shared" si="263"/>
        <v/>
      </c>
      <c r="AD1705" t="str">
        <f t="shared" si="264"/>
        <v/>
      </c>
      <c r="AE1705" t="str">
        <f t="shared" si="265"/>
        <v>Wednesday</v>
      </c>
      <c r="AF1705" t="str">
        <f t="shared" si="266"/>
        <v/>
      </c>
      <c r="AG1705" t="str">
        <f t="shared" si="267"/>
        <v>Friday</v>
      </c>
      <c r="AH1705" t="str">
        <f t="shared" si="268"/>
        <v/>
      </c>
      <c r="AI1705" t="str">
        <f t="shared" si="269"/>
        <v>Sunday</v>
      </c>
      <c r="AJ1705" t="str">
        <f>LEFT(Table1[[#This Row],[membership_type]],2)&amp;TEXT(Table1[[#This Row],[age]],"00")&amp;"-"&amp;TEXT(ROW(),"000")</f>
        <v>St48-1705</v>
      </c>
      <c r="AK1705" t="str">
        <f>LEFT(Table1[[#This Row],[membership_type]],1)&amp;TEXT(MATCH(Table1[[#This Row],[membership_type]],Table1[membership_type],0),"00")</f>
        <v>S02</v>
      </c>
      <c r="AL1705" t="str">
        <f>LEFT(Table1[[#This Row],[discount_type]],1)&amp;TEXT(ROUND(Table1[[#This Row],[discount_rate]]*100,0),"00")</f>
        <v>N00</v>
      </c>
      <c r="AM1705" t="str" cm="1">
        <f t="array" ref="AM1705">TEXT(SUMPRODUCT(CODE(MID(Table1[[#This Row],[home_gym_location]],_xlfn.SEQUENCE(LEN(Table1[[#This Row],[home_gym_location]])),1))),"00000")</f>
        <v>01018</v>
      </c>
      <c r="AN170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05" t="str">
        <f>LEFT(_xlfn.TEXTBEFORE(Table1[[#This Row],[Location Identifier]],"-"),3) &amp; "-" &amp; _xlfn.TEXTAFTER(Table1[[#This Row],[Location Identifier]],"-")</f>
        <v>SAN-008</v>
      </c>
      <c r="AP1705" s="9">
        <f t="shared" ca="1" si="260"/>
        <v>45869</v>
      </c>
    </row>
    <row r="1706" spans="1:42" x14ac:dyDescent="0.25">
      <c r="A1706">
        <v>38</v>
      </c>
      <c r="B1706" t="s">
        <v>26</v>
      </c>
      <c r="C1706">
        <v>4</v>
      </c>
      <c r="D1706" t="s">
        <v>52</v>
      </c>
      <c r="E1706" t="b">
        <v>1</v>
      </c>
      <c r="F1706" s="1">
        <v>0.53472222222222221</v>
      </c>
      <c r="G1706" s="1">
        <v>0.59652777777777777</v>
      </c>
      <c r="H1706">
        <v>89</v>
      </c>
      <c r="I1706" t="b">
        <v>0</v>
      </c>
      <c r="J1706" t="b">
        <v>0</v>
      </c>
      <c r="K1706" t="b">
        <v>1</v>
      </c>
      <c r="L1706" t="s">
        <v>62</v>
      </c>
      <c r="M1706">
        <v>50</v>
      </c>
      <c r="N1706" t="s">
        <v>29</v>
      </c>
      <c r="O1706">
        <v>50</v>
      </c>
      <c r="P1706" t="s">
        <v>36</v>
      </c>
      <c r="Q1706">
        <v>0</v>
      </c>
      <c r="R1706">
        <v>50</v>
      </c>
      <c r="S1706" t="s">
        <v>31</v>
      </c>
      <c r="T1706" t="s">
        <v>50</v>
      </c>
      <c r="U1706">
        <v>34.052199999999999</v>
      </c>
      <c r="V1706">
        <v>-118.2437</v>
      </c>
      <c r="W1706" s="2">
        <v>45718</v>
      </c>
      <c r="X1706">
        <v>0</v>
      </c>
      <c r="Y1706" t="b">
        <v>0</v>
      </c>
      <c r="Z1706" s="2">
        <v>45854</v>
      </c>
      <c r="AA1706" t="str">
        <f t="shared" si="261"/>
        <v>30–39</v>
      </c>
      <c r="AB1706" t="str">
        <f t="shared" si="262"/>
        <v>30–39</v>
      </c>
      <c r="AC1706" t="str">
        <f t="shared" si="263"/>
        <v>Monday</v>
      </c>
      <c r="AD1706" t="str">
        <f t="shared" si="264"/>
        <v/>
      </c>
      <c r="AE1706" t="str">
        <f t="shared" si="265"/>
        <v/>
      </c>
      <c r="AF1706" t="str">
        <f t="shared" si="266"/>
        <v>Thursday</v>
      </c>
      <c r="AG1706" t="str">
        <f t="shared" si="267"/>
        <v>Friday</v>
      </c>
      <c r="AH1706" t="str">
        <f t="shared" si="268"/>
        <v/>
      </c>
      <c r="AI1706" t="str">
        <f t="shared" si="269"/>
        <v>Sunday</v>
      </c>
      <c r="AJ1706" t="str">
        <f>LEFT(Table1[[#This Row],[membership_type]],2)&amp;TEXT(Table1[[#This Row],[age]],"00")&amp;"-"&amp;TEXT(ROW(),"000")</f>
        <v>Pr38-1706</v>
      </c>
      <c r="AK1706" t="str">
        <f>LEFT(Table1[[#This Row],[membership_type]],1)&amp;TEXT(MATCH(Table1[[#This Row],[membership_type]],Table1[membership_type],0),"00")</f>
        <v>P01</v>
      </c>
      <c r="AL1706" t="str">
        <f>LEFT(Table1[[#This Row],[discount_type]],1)&amp;TEXT(ROUND(Table1[[#This Row],[discount_rate]]*100,0),"00")</f>
        <v>N00</v>
      </c>
      <c r="AM1706" t="str" cm="1">
        <f t="array" ref="AM1706">TEXT(SUMPRODUCT(CODE(MID(Table1[[#This Row],[home_gym_location]],_xlfn.SEQUENCE(LEN(Table1[[#This Row],[home_gym_location]])),1))),"00000")</f>
        <v>01245</v>
      </c>
      <c r="AN170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06" t="str">
        <f>LEFT(_xlfn.TEXTBEFORE(Table1[[#This Row],[Location Identifier]],"-"),3) &amp; "-" &amp; _xlfn.TEXTAFTER(Table1[[#This Row],[Location Identifier]],"-")</f>
        <v>LOS-005</v>
      </c>
      <c r="AP1706" s="9">
        <f t="shared" ca="1" si="260"/>
        <v>45869</v>
      </c>
    </row>
    <row r="1707" spans="1:42" x14ac:dyDescent="0.25">
      <c r="A1707">
        <v>49</v>
      </c>
      <c r="B1707" t="s">
        <v>51</v>
      </c>
      <c r="C1707">
        <v>3</v>
      </c>
      <c r="D1707" t="s">
        <v>100</v>
      </c>
      <c r="E1707" t="b">
        <v>0</v>
      </c>
      <c r="F1707" s="1">
        <v>0.73750000000000004</v>
      </c>
      <c r="G1707" s="1">
        <v>0.79166666666666663</v>
      </c>
      <c r="H1707">
        <v>78</v>
      </c>
      <c r="I1707" t="b">
        <v>1</v>
      </c>
      <c r="J1707" t="b">
        <v>1</v>
      </c>
      <c r="K1707" t="b">
        <v>1</v>
      </c>
      <c r="L1707" t="s">
        <v>62</v>
      </c>
      <c r="M1707">
        <v>70</v>
      </c>
      <c r="N1707" t="s">
        <v>78</v>
      </c>
      <c r="O1707">
        <v>63</v>
      </c>
      <c r="P1707" t="s">
        <v>40</v>
      </c>
      <c r="Q1707">
        <v>0.1</v>
      </c>
      <c r="R1707">
        <v>56.7</v>
      </c>
      <c r="S1707" t="s">
        <v>53</v>
      </c>
      <c r="T1707" t="s">
        <v>50</v>
      </c>
      <c r="U1707">
        <v>34.052199999999999</v>
      </c>
      <c r="V1707">
        <v>-118.2437</v>
      </c>
      <c r="W1707" s="2">
        <v>45148</v>
      </c>
      <c r="X1707">
        <v>6</v>
      </c>
      <c r="Y1707" t="b">
        <v>0</v>
      </c>
      <c r="Z1707" s="2">
        <v>45822</v>
      </c>
      <c r="AA1707" t="str">
        <f t="shared" si="261"/>
        <v>40–49</v>
      </c>
      <c r="AB1707" t="str">
        <f t="shared" si="262"/>
        <v>40–49</v>
      </c>
      <c r="AC1707" t="str">
        <f t="shared" si="263"/>
        <v/>
      </c>
      <c r="AD1707" t="str">
        <f t="shared" si="264"/>
        <v/>
      </c>
      <c r="AE1707" t="str">
        <f t="shared" si="265"/>
        <v>Wednesday</v>
      </c>
      <c r="AF1707" t="str">
        <f t="shared" si="266"/>
        <v/>
      </c>
      <c r="AG1707" t="str">
        <f t="shared" si="267"/>
        <v>Friday</v>
      </c>
      <c r="AH1707" t="str">
        <f t="shared" si="268"/>
        <v/>
      </c>
      <c r="AI1707" t="str">
        <f t="shared" si="269"/>
        <v>Sunday</v>
      </c>
      <c r="AJ1707" t="str">
        <f>LEFT(Table1[[#This Row],[membership_type]],2)&amp;TEXT(Table1[[#This Row],[age]],"00")&amp;"-"&amp;TEXT(ROW(),"000")</f>
        <v>El49-1707</v>
      </c>
      <c r="AK1707" t="str">
        <f>LEFT(Table1[[#This Row],[membership_type]],1)&amp;TEXT(MATCH(Table1[[#This Row],[membership_type]],Table1[membership_type],0),"00")</f>
        <v>E07</v>
      </c>
      <c r="AL1707" t="str">
        <f>LEFT(Table1[[#This Row],[discount_type]],1)&amp;TEXT(ROUND(Table1[[#This Row],[discount_rate]]*100,0),"00")</f>
        <v>L10</v>
      </c>
      <c r="AM1707" t="str" cm="1">
        <f t="array" ref="AM1707">TEXT(SUMPRODUCT(CODE(MID(Table1[[#This Row],[home_gym_location]],_xlfn.SEQUENCE(LEN(Table1[[#This Row],[home_gym_location]])),1))),"00000")</f>
        <v>01245</v>
      </c>
      <c r="AN170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07" t="str">
        <f>LEFT(_xlfn.TEXTBEFORE(Table1[[#This Row],[Location Identifier]],"-"),3) &amp; "-" &amp; _xlfn.TEXTAFTER(Table1[[#This Row],[Location Identifier]],"-")</f>
        <v>LOS-005</v>
      </c>
      <c r="AP1707" s="9">
        <f t="shared" ca="1" si="260"/>
        <v>45869</v>
      </c>
    </row>
    <row r="1708" spans="1:42" x14ac:dyDescent="0.25">
      <c r="A1708">
        <v>21</v>
      </c>
      <c r="B1708" t="s">
        <v>26</v>
      </c>
      <c r="C1708">
        <v>2</v>
      </c>
      <c r="D1708" t="s">
        <v>101</v>
      </c>
      <c r="E1708" t="b">
        <v>1</v>
      </c>
      <c r="F1708" s="1">
        <v>0.65277777777777779</v>
      </c>
      <c r="G1708" s="1">
        <v>0.69930555555555551</v>
      </c>
      <c r="H1708">
        <v>67</v>
      </c>
      <c r="I1708" t="b">
        <v>0</v>
      </c>
      <c r="J1708" t="b">
        <v>1</v>
      </c>
      <c r="K1708" t="b">
        <v>1</v>
      </c>
      <c r="L1708" t="s">
        <v>47</v>
      </c>
      <c r="M1708">
        <v>50</v>
      </c>
      <c r="N1708" t="s">
        <v>29</v>
      </c>
      <c r="O1708">
        <v>50</v>
      </c>
      <c r="P1708" t="s">
        <v>40</v>
      </c>
      <c r="Q1708">
        <v>0.1</v>
      </c>
      <c r="R1708">
        <v>45</v>
      </c>
      <c r="S1708" t="s">
        <v>31</v>
      </c>
      <c r="T1708" t="s">
        <v>54</v>
      </c>
      <c r="U1708">
        <v>32.715699999999998</v>
      </c>
      <c r="V1708">
        <v>-117.1611</v>
      </c>
      <c r="W1708" s="2">
        <v>45600</v>
      </c>
      <c r="X1708">
        <v>5</v>
      </c>
      <c r="Y1708" t="b">
        <v>1</v>
      </c>
      <c r="Z1708" s="2">
        <v>45848</v>
      </c>
      <c r="AA1708" t="str">
        <f t="shared" si="261"/>
        <v>20–29</v>
      </c>
      <c r="AB1708" t="str">
        <f t="shared" si="262"/>
        <v>20–29</v>
      </c>
      <c r="AC1708" t="str">
        <f t="shared" si="263"/>
        <v>Monday</v>
      </c>
      <c r="AD1708" t="str">
        <f t="shared" si="264"/>
        <v/>
      </c>
      <c r="AE1708" t="str">
        <f t="shared" si="265"/>
        <v/>
      </c>
      <c r="AF1708" t="str">
        <f t="shared" si="266"/>
        <v/>
      </c>
      <c r="AG1708" t="str">
        <f t="shared" si="267"/>
        <v>Friday</v>
      </c>
      <c r="AH1708" t="str">
        <f t="shared" si="268"/>
        <v/>
      </c>
      <c r="AI1708" t="str">
        <f t="shared" si="269"/>
        <v/>
      </c>
      <c r="AJ1708" t="str">
        <f>LEFT(Table1[[#This Row],[membership_type]],2)&amp;TEXT(Table1[[#This Row],[age]],"00")&amp;"-"&amp;TEXT(ROW(),"000")</f>
        <v>Pr21-1708</v>
      </c>
      <c r="AK1708" t="str">
        <f>LEFT(Table1[[#This Row],[membership_type]],1)&amp;TEXT(MATCH(Table1[[#This Row],[membership_type]],Table1[membership_type],0),"00")</f>
        <v>P01</v>
      </c>
      <c r="AL1708" t="str">
        <f>LEFT(Table1[[#This Row],[discount_type]],1)&amp;TEXT(ROUND(Table1[[#This Row],[discount_rate]]*100,0),"00")</f>
        <v>L10</v>
      </c>
      <c r="AM1708" t="str" cm="1">
        <f t="array" ref="AM1708">TEXT(SUMPRODUCT(CODE(MID(Table1[[#This Row],[home_gym_location]],_xlfn.SEQUENCE(LEN(Table1[[#This Row],[home_gym_location]])),1))),"00000")</f>
        <v>01018</v>
      </c>
      <c r="AN170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08" t="str">
        <f>LEFT(_xlfn.TEXTBEFORE(Table1[[#This Row],[Location Identifier]],"-"),3) &amp; "-" &amp; _xlfn.TEXTAFTER(Table1[[#This Row],[Location Identifier]],"-")</f>
        <v>SAN-008</v>
      </c>
      <c r="AP1708" s="9">
        <f t="shared" ca="1" si="260"/>
        <v>45869</v>
      </c>
    </row>
    <row r="1709" spans="1:42" x14ac:dyDescent="0.25">
      <c r="A1709">
        <v>42</v>
      </c>
      <c r="B1709" t="s">
        <v>33</v>
      </c>
      <c r="C1709">
        <v>4</v>
      </c>
      <c r="D1709" t="s">
        <v>167</v>
      </c>
      <c r="E1709" t="b">
        <v>1</v>
      </c>
      <c r="F1709" s="1">
        <v>0.80625000000000002</v>
      </c>
      <c r="G1709" s="1">
        <v>0.90902777777777777</v>
      </c>
      <c r="H1709">
        <v>148</v>
      </c>
      <c r="I1709" t="b">
        <v>0</v>
      </c>
      <c r="J1709" t="b">
        <v>1</v>
      </c>
      <c r="K1709" t="b">
        <v>1</v>
      </c>
      <c r="L1709" t="s">
        <v>62</v>
      </c>
      <c r="M1709">
        <v>30</v>
      </c>
      <c r="N1709" t="s">
        <v>64</v>
      </c>
      <c r="O1709">
        <v>22.5</v>
      </c>
      <c r="P1709" t="s">
        <v>30</v>
      </c>
      <c r="Q1709">
        <v>0.05</v>
      </c>
      <c r="R1709">
        <v>21.375</v>
      </c>
      <c r="S1709" t="s">
        <v>37</v>
      </c>
      <c r="T1709" t="s">
        <v>50</v>
      </c>
      <c r="U1709">
        <v>34.052199999999999</v>
      </c>
      <c r="V1709">
        <v>-118.2437</v>
      </c>
      <c r="W1709" s="2">
        <v>45171</v>
      </c>
      <c r="X1709">
        <v>3</v>
      </c>
      <c r="Y1709" t="b">
        <v>0</v>
      </c>
      <c r="Z1709" s="2">
        <v>45823</v>
      </c>
      <c r="AA1709" t="str">
        <f t="shared" si="261"/>
        <v>40–49</v>
      </c>
      <c r="AB1709" t="str">
        <f t="shared" si="262"/>
        <v>40–49</v>
      </c>
      <c r="AC1709" t="str">
        <f t="shared" si="263"/>
        <v>Monday</v>
      </c>
      <c r="AD1709" t="str">
        <f t="shared" si="264"/>
        <v>Tuesday</v>
      </c>
      <c r="AE1709" t="str">
        <f t="shared" si="265"/>
        <v/>
      </c>
      <c r="AF1709" t="str">
        <f t="shared" si="266"/>
        <v/>
      </c>
      <c r="AG1709" t="str">
        <f t="shared" si="267"/>
        <v/>
      </c>
      <c r="AH1709" t="str">
        <f t="shared" si="268"/>
        <v>Saturday</v>
      </c>
      <c r="AI1709" t="str">
        <f t="shared" si="269"/>
        <v>Sunday</v>
      </c>
      <c r="AJ1709" t="str">
        <f>LEFT(Table1[[#This Row],[membership_type]],2)&amp;TEXT(Table1[[#This Row],[age]],"00")&amp;"-"&amp;TEXT(ROW(),"000")</f>
        <v>St42-1709</v>
      </c>
      <c r="AK1709" t="str">
        <f>LEFT(Table1[[#This Row],[membership_type]],1)&amp;TEXT(MATCH(Table1[[#This Row],[membership_type]],Table1[membership_type],0),"00")</f>
        <v>S02</v>
      </c>
      <c r="AL1709" t="str">
        <f>LEFT(Table1[[#This Row],[discount_type]],1)&amp;TEXT(ROUND(Table1[[#This Row],[discount_rate]]*100,0),"00")</f>
        <v>P05</v>
      </c>
      <c r="AM1709" t="str" cm="1">
        <f t="array" ref="AM1709">TEXT(SUMPRODUCT(CODE(MID(Table1[[#This Row],[home_gym_location]],_xlfn.SEQUENCE(LEN(Table1[[#This Row],[home_gym_location]])),1))),"00000")</f>
        <v>01245</v>
      </c>
      <c r="AN170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09" t="str">
        <f>LEFT(_xlfn.TEXTBEFORE(Table1[[#This Row],[Location Identifier]],"-"),3) &amp; "-" &amp; _xlfn.TEXTAFTER(Table1[[#This Row],[Location Identifier]],"-")</f>
        <v>LOS-005</v>
      </c>
      <c r="AP1709" s="9">
        <f t="shared" ca="1" si="260"/>
        <v>45869</v>
      </c>
    </row>
    <row r="1710" spans="1:42" x14ac:dyDescent="0.25">
      <c r="A1710">
        <v>17</v>
      </c>
      <c r="B1710" t="s">
        <v>26</v>
      </c>
      <c r="C1710">
        <v>3</v>
      </c>
      <c r="D1710" t="s">
        <v>140</v>
      </c>
      <c r="E1710" t="b">
        <v>1</v>
      </c>
      <c r="F1710" s="1">
        <v>0.49375000000000002</v>
      </c>
      <c r="G1710" s="1">
        <v>0.60416666666666663</v>
      </c>
      <c r="H1710">
        <v>159</v>
      </c>
      <c r="I1710" t="b">
        <v>0</v>
      </c>
      <c r="J1710" t="b">
        <v>0</v>
      </c>
      <c r="K1710" t="b">
        <v>1</v>
      </c>
      <c r="L1710" t="s">
        <v>62</v>
      </c>
      <c r="M1710">
        <v>50</v>
      </c>
      <c r="N1710" t="s">
        <v>29</v>
      </c>
      <c r="O1710">
        <v>50</v>
      </c>
      <c r="P1710" t="s">
        <v>30</v>
      </c>
      <c r="Q1710">
        <v>0.05</v>
      </c>
      <c r="R1710">
        <v>47.5</v>
      </c>
      <c r="S1710" t="s">
        <v>31</v>
      </c>
      <c r="T1710" t="s">
        <v>50</v>
      </c>
      <c r="U1710">
        <v>34.052199999999999</v>
      </c>
      <c r="V1710">
        <v>-118.2437</v>
      </c>
      <c r="W1710" s="2">
        <v>45138</v>
      </c>
      <c r="X1710">
        <v>0</v>
      </c>
      <c r="Y1710" t="b">
        <v>1</v>
      </c>
      <c r="Z1710" s="2">
        <v>45821</v>
      </c>
      <c r="AA1710" t="str">
        <f t="shared" si="261"/>
        <v>10–19</v>
      </c>
      <c r="AB1710" t="str">
        <f t="shared" si="262"/>
        <v>16–19</v>
      </c>
      <c r="AC1710" t="str">
        <f t="shared" si="263"/>
        <v>Monday</v>
      </c>
      <c r="AD1710" t="str">
        <f t="shared" si="264"/>
        <v>Tuesday</v>
      </c>
      <c r="AE1710" t="str">
        <f t="shared" si="265"/>
        <v/>
      </c>
      <c r="AF1710" t="str">
        <f t="shared" si="266"/>
        <v/>
      </c>
      <c r="AG1710" t="str">
        <f t="shared" si="267"/>
        <v>Friday</v>
      </c>
      <c r="AH1710" t="str">
        <f t="shared" si="268"/>
        <v/>
      </c>
      <c r="AI1710" t="str">
        <f t="shared" si="269"/>
        <v/>
      </c>
      <c r="AJ1710" t="str">
        <f>LEFT(Table1[[#This Row],[membership_type]],2)&amp;TEXT(Table1[[#This Row],[age]],"00")&amp;"-"&amp;TEXT(ROW(),"000")</f>
        <v>Pr17-1710</v>
      </c>
      <c r="AK1710" t="str">
        <f>LEFT(Table1[[#This Row],[membership_type]],1)&amp;TEXT(MATCH(Table1[[#This Row],[membership_type]],Table1[membership_type],0),"00")</f>
        <v>P01</v>
      </c>
      <c r="AL1710" t="str">
        <f>LEFT(Table1[[#This Row],[discount_type]],1)&amp;TEXT(ROUND(Table1[[#This Row],[discount_rate]]*100,0),"00")</f>
        <v>P05</v>
      </c>
      <c r="AM1710" t="str" cm="1">
        <f t="array" ref="AM1710">TEXT(SUMPRODUCT(CODE(MID(Table1[[#This Row],[home_gym_location]],_xlfn.SEQUENCE(LEN(Table1[[#This Row],[home_gym_location]])),1))),"00000")</f>
        <v>01245</v>
      </c>
      <c r="AN171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10" t="str">
        <f>LEFT(_xlfn.TEXTBEFORE(Table1[[#This Row],[Location Identifier]],"-"),3) &amp; "-" &amp; _xlfn.TEXTAFTER(Table1[[#This Row],[Location Identifier]],"-")</f>
        <v>LOS-005</v>
      </c>
      <c r="AP1710" s="9">
        <f t="shared" ca="1" si="260"/>
        <v>45869</v>
      </c>
    </row>
    <row r="1711" spans="1:42" x14ac:dyDescent="0.25">
      <c r="A1711">
        <v>29</v>
      </c>
      <c r="B1711" t="s">
        <v>33</v>
      </c>
      <c r="C1711">
        <v>3</v>
      </c>
      <c r="D1711" t="s">
        <v>91</v>
      </c>
      <c r="E1711" t="b">
        <v>0</v>
      </c>
      <c r="F1711" s="1">
        <v>0.62847222222222221</v>
      </c>
      <c r="G1711" s="1">
        <v>0.67986111111111114</v>
      </c>
      <c r="H1711">
        <v>74</v>
      </c>
      <c r="I1711" t="b">
        <v>0</v>
      </c>
      <c r="J1711" t="b">
        <v>1</v>
      </c>
      <c r="K1711" t="b">
        <v>1</v>
      </c>
      <c r="L1711" t="s">
        <v>35</v>
      </c>
      <c r="M1711">
        <v>30</v>
      </c>
      <c r="N1711" t="s">
        <v>29</v>
      </c>
      <c r="O1711">
        <v>30</v>
      </c>
      <c r="P1711" t="s">
        <v>36</v>
      </c>
      <c r="Q1711">
        <v>0</v>
      </c>
      <c r="R1711">
        <v>30</v>
      </c>
      <c r="S1711" t="s">
        <v>37</v>
      </c>
      <c r="T1711" t="s">
        <v>54</v>
      </c>
      <c r="U1711">
        <v>32.715699999999998</v>
      </c>
      <c r="V1711">
        <v>-117.1611</v>
      </c>
      <c r="W1711" s="2">
        <v>45669</v>
      </c>
      <c r="X1711">
        <v>7</v>
      </c>
      <c r="Y1711" t="b">
        <v>0</v>
      </c>
      <c r="Z1711" s="2">
        <v>45851</v>
      </c>
      <c r="AA1711" t="str">
        <f t="shared" si="261"/>
        <v>20–29</v>
      </c>
      <c r="AB1711" t="str">
        <f t="shared" si="262"/>
        <v>20–29</v>
      </c>
      <c r="AC1711" t="str">
        <f t="shared" si="263"/>
        <v>Monday</v>
      </c>
      <c r="AD1711" t="str">
        <f t="shared" si="264"/>
        <v/>
      </c>
      <c r="AE1711" t="str">
        <f t="shared" si="265"/>
        <v/>
      </c>
      <c r="AF1711" t="str">
        <f t="shared" si="266"/>
        <v>Thursday</v>
      </c>
      <c r="AG1711" t="str">
        <f t="shared" si="267"/>
        <v/>
      </c>
      <c r="AH1711" t="str">
        <f t="shared" si="268"/>
        <v>Saturday</v>
      </c>
      <c r="AI1711" t="str">
        <f t="shared" si="269"/>
        <v/>
      </c>
      <c r="AJ1711" t="str">
        <f>LEFT(Table1[[#This Row],[membership_type]],2)&amp;TEXT(Table1[[#This Row],[age]],"00")&amp;"-"&amp;TEXT(ROW(),"000")</f>
        <v>St29-1711</v>
      </c>
      <c r="AK1711" t="str">
        <f>LEFT(Table1[[#This Row],[membership_type]],1)&amp;TEXT(MATCH(Table1[[#This Row],[membership_type]],Table1[membership_type],0),"00")</f>
        <v>S02</v>
      </c>
      <c r="AL1711" t="str">
        <f>LEFT(Table1[[#This Row],[discount_type]],1)&amp;TEXT(ROUND(Table1[[#This Row],[discount_rate]]*100,0),"00")</f>
        <v>N00</v>
      </c>
      <c r="AM1711" t="str" cm="1">
        <f t="array" ref="AM1711">TEXT(SUMPRODUCT(CODE(MID(Table1[[#This Row],[home_gym_location]],_xlfn.SEQUENCE(LEN(Table1[[#This Row],[home_gym_location]])),1))),"00000")</f>
        <v>01018</v>
      </c>
      <c r="AN171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11" t="str">
        <f>LEFT(_xlfn.TEXTBEFORE(Table1[[#This Row],[Location Identifier]],"-"),3) &amp; "-" &amp; _xlfn.TEXTAFTER(Table1[[#This Row],[Location Identifier]],"-")</f>
        <v>SAN-008</v>
      </c>
      <c r="AP1711" s="9">
        <f t="shared" ca="1" si="260"/>
        <v>45869</v>
      </c>
    </row>
    <row r="1712" spans="1:42" x14ac:dyDescent="0.25">
      <c r="A1712">
        <v>33</v>
      </c>
      <c r="B1712" t="s">
        <v>26</v>
      </c>
      <c r="C1712">
        <v>1</v>
      </c>
      <c r="D1712" t="s">
        <v>75</v>
      </c>
      <c r="E1712" t="b">
        <v>1</v>
      </c>
      <c r="F1712" s="1">
        <v>0.67083333333333328</v>
      </c>
      <c r="G1712" s="1">
        <v>0.70972222222222225</v>
      </c>
      <c r="H1712">
        <v>56</v>
      </c>
      <c r="I1712" t="b">
        <v>0</v>
      </c>
      <c r="J1712" t="b">
        <v>0</v>
      </c>
      <c r="K1712" t="b">
        <v>0</v>
      </c>
      <c r="L1712" t="s">
        <v>62</v>
      </c>
      <c r="M1712">
        <v>50</v>
      </c>
      <c r="N1712" t="s">
        <v>29</v>
      </c>
      <c r="O1712">
        <v>50</v>
      </c>
      <c r="P1712" t="s">
        <v>40</v>
      </c>
      <c r="Q1712">
        <v>0.1</v>
      </c>
      <c r="R1712">
        <v>45</v>
      </c>
      <c r="S1712" t="s">
        <v>31</v>
      </c>
      <c r="T1712" t="s">
        <v>38</v>
      </c>
      <c r="U1712">
        <v>36.7378</v>
      </c>
      <c r="V1712">
        <v>-119.7871</v>
      </c>
      <c r="W1712" s="2">
        <v>45765</v>
      </c>
      <c r="X1712">
        <v>0</v>
      </c>
      <c r="Y1712" t="b">
        <v>1</v>
      </c>
      <c r="Z1712" s="2">
        <v>45857</v>
      </c>
      <c r="AA1712" t="str">
        <f t="shared" si="261"/>
        <v>30–39</v>
      </c>
      <c r="AB1712" t="str">
        <f t="shared" si="262"/>
        <v>30–39</v>
      </c>
      <c r="AC1712" t="str">
        <f t="shared" si="263"/>
        <v/>
      </c>
      <c r="AD1712" t="str">
        <f t="shared" si="264"/>
        <v/>
      </c>
      <c r="AE1712" t="str">
        <f t="shared" si="265"/>
        <v/>
      </c>
      <c r="AF1712" t="str">
        <f t="shared" si="266"/>
        <v/>
      </c>
      <c r="AG1712" t="str">
        <f t="shared" si="267"/>
        <v>Friday</v>
      </c>
      <c r="AH1712" t="str">
        <f t="shared" si="268"/>
        <v/>
      </c>
      <c r="AI1712" t="str">
        <f t="shared" si="269"/>
        <v/>
      </c>
      <c r="AJ1712" t="str">
        <f>LEFT(Table1[[#This Row],[membership_type]],2)&amp;TEXT(Table1[[#This Row],[age]],"00")&amp;"-"&amp;TEXT(ROW(),"000")</f>
        <v>Pr33-1712</v>
      </c>
      <c r="AK1712" t="str">
        <f>LEFT(Table1[[#This Row],[membership_type]],1)&amp;TEXT(MATCH(Table1[[#This Row],[membership_type]],Table1[membership_type],0),"00")</f>
        <v>P01</v>
      </c>
      <c r="AL1712" t="str">
        <f>LEFT(Table1[[#This Row],[discount_type]],1)&amp;TEXT(ROUND(Table1[[#This Row],[discount_rate]]*100,0),"00")</f>
        <v>L10</v>
      </c>
      <c r="AM1712" t="str" cm="1">
        <f t="array" ref="AM1712">TEXT(SUMPRODUCT(CODE(MID(Table1[[#This Row],[home_gym_location]],_xlfn.SEQUENCE(LEN(Table1[[#This Row],[home_gym_location]])),1))),"00000")</f>
        <v>00829</v>
      </c>
      <c r="AN1712" t="str">
        <f>UPPER(_xlfn.TEXTBEFORE(Table1[[#This Row],[home_gym_location]],","))&amp;"-"&amp;TEXT(MATCH(Table1[[#This Row],[home_gym_location]],_xlfn._xlws.SORT(_xlfn.UNIQUE(Table1[home_gym_location])),0),"000")</f>
        <v>FRESNO-003</v>
      </c>
      <c r="AO1712" t="str">
        <f>LEFT(_xlfn.TEXTBEFORE(Table1[[#This Row],[Location Identifier]],"-"),3) &amp; "-" &amp; _xlfn.TEXTAFTER(Table1[[#This Row],[Location Identifier]],"-")</f>
        <v>FRE-003</v>
      </c>
      <c r="AP1712" s="9">
        <f t="shared" ca="1" si="260"/>
        <v>45869</v>
      </c>
    </row>
    <row r="1713" spans="1:42" x14ac:dyDescent="0.25">
      <c r="A1713">
        <v>29</v>
      </c>
      <c r="B1713" t="s">
        <v>26</v>
      </c>
      <c r="C1713">
        <v>3</v>
      </c>
      <c r="D1713" t="s">
        <v>102</v>
      </c>
      <c r="E1713" t="b">
        <v>1</v>
      </c>
      <c r="F1713" s="1">
        <v>0.54305555555555551</v>
      </c>
      <c r="G1713" s="1">
        <v>0.58888888888888891</v>
      </c>
      <c r="H1713">
        <v>66</v>
      </c>
      <c r="I1713" t="b">
        <v>0</v>
      </c>
      <c r="J1713" t="b">
        <v>0</v>
      </c>
      <c r="K1713" t="b">
        <v>1</v>
      </c>
      <c r="L1713" t="s">
        <v>35</v>
      </c>
      <c r="M1713">
        <v>50</v>
      </c>
      <c r="N1713" t="s">
        <v>64</v>
      </c>
      <c r="O1713">
        <v>37.5</v>
      </c>
      <c r="P1713" t="s">
        <v>40</v>
      </c>
      <c r="Q1713">
        <v>0.1</v>
      </c>
      <c r="R1713">
        <v>33.75</v>
      </c>
      <c r="S1713" t="s">
        <v>31</v>
      </c>
      <c r="T1713" t="s">
        <v>38</v>
      </c>
      <c r="U1713">
        <v>36.7378</v>
      </c>
      <c r="V1713">
        <v>-119.7871</v>
      </c>
      <c r="W1713" s="2">
        <v>44999</v>
      </c>
      <c r="X1713">
        <v>0</v>
      </c>
      <c r="Y1713" t="b">
        <v>1</v>
      </c>
      <c r="Z1713" s="2">
        <v>45814</v>
      </c>
      <c r="AA1713" t="str">
        <f t="shared" si="261"/>
        <v>20–29</v>
      </c>
      <c r="AB1713" t="str">
        <f t="shared" si="262"/>
        <v>20–29</v>
      </c>
      <c r="AC1713" t="str">
        <f t="shared" si="263"/>
        <v/>
      </c>
      <c r="AD1713" t="str">
        <f t="shared" si="264"/>
        <v/>
      </c>
      <c r="AE1713" t="str">
        <f t="shared" si="265"/>
        <v/>
      </c>
      <c r="AF1713" t="str">
        <f t="shared" si="266"/>
        <v>Thursday</v>
      </c>
      <c r="AG1713" t="str">
        <f t="shared" si="267"/>
        <v>Friday</v>
      </c>
      <c r="AH1713" t="str">
        <f t="shared" si="268"/>
        <v>Saturday</v>
      </c>
      <c r="AI1713" t="str">
        <f t="shared" si="269"/>
        <v/>
      </c>
      <c r="AJ1713" t="str">
        <f>LEFT(Table1[[#This Row],[membership_type]],2)&amp;TEXT(Table1[[#This Row],[age]],"00")&amp;"-"&amp;TEXT(ROW(),"000")</f>
        <v>Pr29-1713</v>
      </c>
      <c r="AK1713" t="str">
        <f>LEFT(Table1[[#This Row],[membership_type]],1)&amp;TEXT(MATCH(Table1[[#This Row],[membership_type]],Table1[membership_type],0),"00")</f>
        <v>P01</v>
      </c>
      <c r="AL1713" t="str">
        <f>LEFT(Table1[[#This Row],[discount_type]],1)&amp;TEXT(ROUND(Table1[[#This Row],[discount_rate]]*100,0),"00")</f>
        <v>L10</v>
      </c>
      <c r="AM1713" t="str" cm="1">
        <f t="array" ref="AM1713">TEXT(SUMPRODUCT(CODE(MID(Table1[[#This Row],[home_gym_location]],_xlfn.SEQUENCE(LEN(Table1[[#This Row],[home_gym_location]])),1))),"00000")</f>
        <v>00829</v>
      </c>
      <c r="AN1713" t="str">
        <f>UPPER(_xlfn.TEXTBEFORE(Table1[[#This Row],[home_gym_location]],","))&amp;"-"&amp;TEXT(MATCH(Table1[[#This Row],[home_gym_location]],_xlfn._xlws.SORT(_xlfn.UNIQUE(Table1[home_gym_location])),0),"000")</f>
        <v>FRESNO-003</v>
      </c>
      <c r="AO1713" t="str">
        <f>LEFT(_xlfn.TEXTBEFORE(Table1[[#This Row],[Location Identifier]],"-"),3) &amp; "-" &amp; _xlfn.TEXTAFTER(Table1[[#This Row],[Location Identifier]],"-")</f>
        <v>FRE-003</v>
      </c>
      <c r="AP1713" s="9">
        <f t="shared" ca="1" si="260"/>
        <v>45869</v>
      </c>
    </row>
    <row r="1714" spans="1:42" x14ac:dyDescent="0.25">
      <c r="A1714">
        <v>39</v>
      </c>
      <c r="B1714" t="s">
        <v>26</v>
      </c>
      <c r="C1714">
        <v>5</v>
      </c>
      <c r="D1714" t="s">
        <v>118</v>
      </c>
      <c r="E1714" t="b">
        <v>0</v>
      </c>
      <c r="F1714" s="1">
        <v>0.83402777777777781</v>
      </c>
      <c r="G1714" s="1">
        <v>0.88055555555555554</v>
      </c>
      <c r="H1714">
        <v>67</v>
      </c>
      <c r="I1714" t="b">
        <v>1</v>
      </c>
      <c r="J1714" t="b">
        <v>1</v>
      </c>
      <c r="K1714" t="b">
        <v>0</v>
      </c>
      <c r="L1714" t="s">
        <v>28</v>
      </c>
      <c r="M1714">
        <v>50</v>
      </c>
      <c r="N1714" t="s">
        <v>29</v>
      </c>
      <c r="O1714">
        <v>50</v>
      </c>
      <c r="P1714" t="s">
        <v>40</v>
      </c>
      <c r="Q1714">
        <v>0.1</v>
      </c>
      <c r="R1714">
        <v>45</v>
      </c>
      <c r="S1714" t="s">
        <v>31</v>
      </c>
      <c r="T1714" t="s">
        <v>56</v>
      </c>
      <c r="U1714">
        <v>35.3733</v>
      </c>
      <c r="V1714">
        <v>-119.0187</v>
      </c>
      <c r="W1714" s="2">
        <v>45341</v>
      </c>
      <c r="X1714">
        <v>3</v>
      </c>
      <c r="Y1714" t="b">
        <v>1</v>
      </c>
      <c r="Z1714" s="2">
        <v>45833</v>
      </c>
      <c r="AA1714" t="str">
        <f t="shared" si="261"/>
        <v>30–39</v>
      </c>
      <c r="AB1714" t="str">
        <f t="shared" si="262"/>
        <v>30–39</v>
      </c>
      <c r="AC1714" t="str">
        <f t="shared" si="263"/>
        <v>Monday</v>
      </c>
      <c r="AD1714" t="str">
        <f t="shared" si="264"/>
        <v/>
      </c>
      <c r="AE1714" t="str">
        <f t="shared" si="265"/>
        <v>Wednesday</v>
      </c>
      <c r="AF1714" t="str">
        <f t="shared" si="266"/>
        <v>Thursday</v>
      </c>
      <c r="AG1714" t="str">
        <f t="shared" si="267"/>
        <v>Friday</v>
      </c>
      <c r="AH1714" t="str">
        <f t="shared" si="268"/>
        <v>Saturday</v>
      </c>
      <c r="AI1714" t="str">
        <f t="shared" si="269"/>
        <v/>
      </c>
      <c r="AJ1714" t="str">
        <f>LEFT(Table1[[#This Row],[membership_type]],2)&amp;TEXT(Table1[[#This Row],[age]],"00")&amp;"-"&amp;TEXT(ROW(),"000")</f>
        <v>Pr39-1714</v>
      </c>
      <c r="AK1714" t="str">
        <f>LEFT(Table1[[#This Row],[membership_type]],1)&amp;TEXT(MATCH(Table1[[#This Row],[membership_type]],Table1[membership_type],0),"00")</f>
        <v>P01</v>
      </c>
      <c r="AL1714" t="str">
        <f>LEFT(Table1[[#This Row],[discount_type]],1)&amp;TEXT(ROUND(Table1[[#This Row],[discount_rate]]*100,0),"00")</f>
        <v>L10</v>
      </c>
      <c r="AM1714" t="str" cm="1">
        <f t="array" ref="AM1714">TEXT(SUMPRODUCT(CODE(MID(Table1[[#This Row],[home_gym_location]],_xlfn.SEQUENCE(LEN(Table1[[#This Row],[home_gym_location]])),1))),"00000")</f>
        <v>01324</v>
      </c>
      <c r="AN171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14" t="str">
        <f>LEFT(_xlfn.TEXTBEFORE(Table1[[#This Row],[Location Identifier]],"-"),3) &amp; "-" &amp; _xlfn.TEXTAFTER(Table1[[#This Row],[Location Identifier]],"-")</f>
        <v>BAK-002</v>
      </c>
      <c r="AP1714" s="9">
        <f t="shared" ca="1" si="260"/>
        <v>45869</v>
      </c>
    </row>
    <row r="1715" spans="1:42" x14ac:dyDescent="0.25">
      <c r="A1715">
        <v>28</v>
      </c>
      <c r="B1715" t="s">
        <v>42</v>
      </c>
      <c r="C1715">
        <v>2</v>
      </c>
      <c r="D1715" t="s">
        <v>92</v>
      </c>
      <c r="E1715" t="b">
        <v>0</v>
      </c>
      <c r="F1715" s="1">
        <v>0.84513888888888888</v>
      </c>
      <c r="G1715" s="1">
        <v>0.9604166666666667</v>
      </c>
      <c r="H1715">
        <v>166</v>
      </c>
      <c r="I1715" t="b">
        <v>1</v>
      </c>
      <c r="J1715" t="b">
        <v>0</v>
      </c>
      <c r="K1715" t="b">
        <v>1</v>
      </c>
      <c r="L1715" t="s">
        <v>35</v>
      </c>
      <c r="M1715">
        <v>20</v>
      </c>
      <c r="N1715" t="s">
        <v>64</v>
      </c>
      <c r="O1715">
        <v>15</v>
      </c>
      <c r="P1715" t="s">
        <v>36</v>
      </c>
      <c r="Q1715">
        <v>0</v>
      </c>
      <c r="R1715">
        <v>15</v>
      </c>
      <c r="S1715" t="s">
        <v>44</v>
      </c>
      <c r="T1715" t="s">
        <v>59</v>
      </c>
      <c r="U1715">
        <v>37.774900000000002</v>
      </c>
      <c r="V1715">
        <v>-122.4194</v>
      </c>
      <c r="W1715" s="2">
        <v>45769</v>
      </c>
      <c r="X1715">
        <v>0</v>
      </c>
      <c r="Y1715" t="b">
        <v>0</v>
      </c>
      <c r="Z1715" s="2">
        <v>45857</v>
      </c>
      <c r="AA1715" t="str">
        <f t="shared" si="261"/>
        <v>20–29</v>
      </c>
      <c r="AB1715" t="str">
        <f t="shared" si="262"/>
        <v>20–29</v>
      </c>
      <c r="AC1715" t="str">
        <f t="shared" si="263"/>
        <v/>
      </c>
      <c r="AD1715" t="str">
        <f t="shared" si="264"/>
        <v/>
      </c>
      <c r="AE1715" t="str">
        <f t="shared" si="265"/>
        <v/>
      </c>
      <c r="AF1715" t="str">
        <f t="shared" si="266"/>
        <v/>
      </c>
      <c r="AG1715" t="str">
        <f t="shared" si="267"/>
        <v>Friday</v>
      </c>
      <c r="AH1715" t="str">
        <f t="shared" si="268"/>
        <v/>
      </c>
      <c r="AI1715" t="str">
        <f t="shared" si="269"/>
        <v>Sunday</v>
      </c>
      <c r="AJ1715" t="str">
        <f>LEFT(Table1[[#This Row],[membership_type]],2)&amp;TEXT(Table1[[#This Row],[age]],"00")&amp;"-"&amp;TEXT(ROW(),"000")</f>
        <v>Ba28-1715</v>
      </c>
      <c r="AK1715" t="str">
        <f>LEFT(Table1[[#This Row],[membership_type]],1)&amp;TEXT(MATCH(Table1[[#This Row],[membership_type]],Table1[membership_type],0),"00")</f>
        <v>B04</v>
      </c>
      <c r="AL1715" t="str">
        <f>LEFT(Table1[[#This Row],[discount_type]],1)&amp;TEXT(ROUND(Table1[[#This Row],[discount_rate]]*100,0),"00")</f>
        <v>N00</v>
      </c>
      <c r="AM1715" t="str" cm="1">
        <f t="array" ref="AM1715">TEXT(SUMPRODUCT(CODE(MID(Table1[[#This Row],[home_gym_location]],_xlfn.SEQUENCE(LEN(Table1[[#This Row],[home_gym_location]])),1))),"00000")</f>
        <v>01450</v>
      </c>
      <c r="AN171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15" t="str">
        <f>LEFT(_xlfn.TEXTBEFORE(Table1[[#This Row],[Location Identifier]],"-"),3) &amp; "-" &amp; _xlfn.TEXTAFTER(Table1[[#This Row],[Location Identifier]],"-")</f>
        <v>SAN-009</v>
      </c>
      <c r="AP1715" s="9">
        <f t="shared" ca="1" si="260"/>
        <v>45869</v>
      </c>
    </row>
    <row r="1716" spans="1:42" x14ac:dyDescent="0.25">
      <c r="A1716">
        <v>19</v>
      </c>
      <c r="B1716" t="s">
        <v>26</v>
      </c>
      <c r="C1716">
        <v>2</v>
      </c>
      <c r="D1716" t="s">
        <v>43</v>
      </c>
      <c r="E1716" t="b">
        <v>1</v>
      </c>
      <c r="F1716" s="1">
        <v>0.58402777777777781</v>
      </c>
      <c r="G1716" s="1">
        <v>0.66388888888888886</v>
      </c>
      <c r="H1716">
        <v>115</v>
      </c>
      <c r="I1716" t="b">
        <v>0</v>
      </c>
      <c r="J1716" t="b">
        <v>0</v>
      </c>
      <c r="K1716" t="b">
        <v>0</v>
      </c>
      <c r="L1716" t="s">
        <v>62</v>
      </c>
      <c r="M1716">
        <v>50</v>
      </c>
      <c r="N1716" t="s">
        <v>29</v>
      </c>
      <c r="O1716">
        <v>50</v>
      </c>
      <c r="P1716" t="s">
        <v>36</v>
      </c>
      <c r="Q1716">
        <v>0</v>
      </c>
      <c r="R1716">
        <v>50</v>
      </c>
      <c r="S1716" t="s">
        <v>31</v>
      </c>
      <c r="T1716" t="s">
        <v>50</v>
      </c>
      <c r="U1716">
        <v>34.052199999999999</v>
      </c>
      <c r="V1716">
        <v>-118.2437</v>
      </c>
      <c r="W1716" s="2">
        <v>44771</v>
      </c>
      <c r="X1716">
        <v>0</v>
      </c>
      <c r="Y1716" t="b">
        <v>1</v>
      </c>
      <c r="Z1716" s="2">
        <v>45801</v>
      </c>
      <c r="AA1716" t="str">
        <f t="shared" si="261"/>
        <v>10–19</v>
      </c>
      <c r="AB1716" t="str">
        <f t="shared" si="262"/>
        <v>16–19</v>
      </c>
      <c r="AC1716" t="str">
        <f t="shared" si="263"/>
        <v>Monday</v>
      </c>
      <c r="AD1716" t="str">
        <f t="shared" si="264"/>
        <v>Tuesday</v>
      </c>
      <c r="AE1716" t="str">
        <f t="shared" si="265"/>
        <v/>
      </c>
      <c r="AF1716" t="str">
        <f t="shared" si="266"/>
        <v/>
      </c>
      <c r="AG1716" t="str">
        <f t="shared" si="267"/>
        <v/>
      </c>
      <c r="AH1716" t="str">
        <f t="shared" si="268"/>
        <v/>
      </c>
      <c r="AI1716" t="str">
        <f t="shared" si="269"/>
        <v/>
      </c>
      <c r="AJ1716" t="str">
        <f>LEFT(Table1[[#This Row],[membership_type]],2)&amp;TEXT(Table1[[#This Row],[age]],"00")&amp;"-"&amp;TEXT(ROW(),"000")</f>
        <v>Pr19-1716</v>
      </c>
      <c r="AK1716" t="str">
        <f>LEFT(Table1[[#This Row],[membership_type]],1)&amp;TEXT(MATCH(Table1[[#This Row],[membership_type]],Table1[membership_type],0),"00")</f>
        <v>P01</v>
      </c>
      <c r="AL1716" t="str">
        <f>LEFT(Table1[[#This Row],[discount_type]],1)&amp;TEXT(ROUND(Table1[[#This Row],[discount_rate]]*100,0),"00")</f>
        <v>N00</v>
      </c>
      <c r="AM1716" t="str" cm="1">
        <f t="array" ref="AM1716">TEXT(SUMPRODUCT(CODE(MID(Table1[[#This Row],[home_gym_location]],_xlfn.SEQUENCE(LEN(Table1[[#This Row],[home_gym_location]])),1))),"00000")</f>
        <v>01245</v>
      </c>
      <c r="AN171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16" t="str">
        <f>LEFT(_xlfn.TEXTBEFORE(Table1[[#This Row],[Location Identifier]],"-"),3) &amp; "-" &amp; _xlfn.TEXTAFTER(Table1[[#This Row],[Location Identifier]],"-")</f>
        <v>LOS-005</v>
      </c>
      <c r="AP1716" s="9">
        <f t="shared" ca="1" si="260"/>
        <v>45869</v>
      </c>
    </row>
    <row r="1717" spans="1:42" x14ac:dyDescent="0.25">
      <c r="A1717">
        <v>27</v>
      </c>
      <c r="B1717" t="s">
        <v>26</v>
      </c>
      <c r="C1717">
        <v>2</v>
      </c>
      <c r="D1717" t="s">
        <v>103</v>
      </c>
      <c r="E1717" t="b">
        <v>1</v>
      </c>
      <c r="F1717" s="1">
        <v>0.69097222222222221</v>
      </c>
      <c r="G1717" s="1">
        <v>0.78888888888888886</v>
      </c>
      <c r="H1717">
        <v>141</v>
      </c>
      <c r="I1717" t="b">
        <v>1</v>
      </c>
      <c r="J1717" t="b">
        <v>1</v>
      </c>
      <c r="K1717" t="b">
        <v>0</v>
      </c>
      <c r="L1717" t="s">
        <v>28</v>
      </c>
      <c r="M1717">
        <v>50</v>
      </c>
      <c r="N1717" t="s">
        <v>64</v>
      </c>
      <c r="O1717">
        <v>37.5</v>
      </c>
      <c r="P1717" t="s">
        <v>74</v>
      </c>
      <c r="Q1717">
        <v>0.15</v>
      </c>
      <c r="R1717">
        <v>31.875</v>
      </c>
      <c r="S1717" t="s">
        <v>31</v>
      </c>
      <c r="T1717" t="s">
        <v>59</v>
      </c>
      <c r="U1717">
        <v>37.774900000000002</v>
      </c>
      <c r="V1717">
        <v>-122.4194</v>
      </c>
      <c r="W1717" s="2">
        <v>45769</v>
      </c>
      <c r="X1717">
        <v>3</v>
      </c>
      <c r="Y1717" t="b">
        <v>0</v>
      </c>
      <c r="Z1717" s="2">
        <v>45857</v>
      </c>
      <c r="AA1717" t="str">
        <f t="shared" si="261"/>
        <v>20–29</v>
      </c>
      <c r="AB1717" t="str">
        <f t="shared" si="262"/>
        <v>20–29</v>
      </c>
      <c r="AC1717" t="str">
        <f t="shared" si="263"/>
        <v>Monday</v>
      </c>
      <c r="AD1717" t="str">
        <f t="shared" si="264"/>
        <v/>
      </c>
      <c r="AE1717" t="str">
        <f t="shared" si="265"/>
        <v/>
      </c>
      <c r="AF1717" t="str">
        <f t="shared" si="266"/>
        <v/>
      </c>
      <c r="AG1717" t="str">
        <f t="shared" si="267"/>
        <v/>
      </c>
      <c r="AH1717" t="str">
        <f t="shared" si="268"/>
        <v/>
      </c>
      <c r="AI1717" t="str">
        <f t="shared" si="269"/>
        <v>Sunday</v>
      </c>
      <c r="AJ1717" t="str">
        <f>LEFT(Table1[[#This Row],[membership_type]],2)&amp;TEXT(Table1[[#This Row],[age]],"00")&amp;"-"&amp;TEXT(ROW(),"000")</f>
        <v>Pr27-1717</v>
      </c>
      <c r="AK1717" t="str">
        <f>LEFT(Table1[[#This Row],[membership_type]],1)&amp;TEXT(MATCH(Table1[[#This Row],[membership_type]],Table1[membership_type],0),"00")</f>
        <v>P01</v>
      </c>
      <c r="AL1717" t="str">
        <f>LEFT(Table1[[#This Row],[discount_type]],1)&amp;TEXT(ROUND(Table1[[#This Row],[discount_rate]]*100,0),"00")</f>
        <v>S15</v>
      </c>
      <c r="AM1717" t="str" cm="1">
        <f t="array" ref="AM1717">TEXT(SUMPRODUCT(CODE(MID(Table1[[#This Row],[home_gym_location]],_xlfn.SEQUENCE(LEN(Table1[[#This Row],[home_gym_location]])),1))),"00000")</f>
        <v>01450</v>
      </c>
      <c r="AN171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17" t="str">
        <f>LEFT(_xlfn.TEXTBEFORE(Table1[[#This Row],[Location Identifier]],"-"),3) &amp; "-" &amp; _xlfn.TEXTAFTER(Table1[[#This Row],[Location Identifier]],"-")</f>
        <v>SAN-009</v>
      </c>
      <c r="AP1717" s="9">
        <f t="shared" ca="1" si="260"/>
        <v>45869</v>
      </c>
    </row>
    <row r="1718" spans="1:42" x14ac:dyDescent="0.25">
      <c r="A1718">
        <v>26</v>
      </c>
      <c r="B1718" t="s">
        <v>26</v>
      </c>
      <c r="C1718">
        <v>5</v>
      </c>
      <c r="D1718" t="s">
        <v>69</v>
      </c>
      <c r="E1718" t="b">
        <v>1</v>
      </c>
      <c r="F1718" s="1">
        <v>0.71597222222222223</v>
      </c>
      <c r="G1718" s="1">
        <v>0.75138888888888888</v>
      </c>
      <c r="H1718">
        <v>51</v>
      </c>
      <c r="I1718" t="b">
        <v>0</v>
      </c>
      <c r="J1718" t="b">
        <v>1</v>
      </c>
      <c r="K1718" t="b">
        <v>1</v>
      </c>
      <c r="L1718" t="s">
        <v>62</v>
      </c>
      <c r="M1718">
        <v>50</v>
      </c>
      <c r="N1718" t="s">
        <v>64</v>
      </c>
      <c r="O1718">
        <v>37.5</v>
      </c>
      <c r="P1718" t="s">
        <v>74</v>
      </c>
      <c r="Q1718">
        <v>0.15</v>
      </c>
      <c r="R1718">
        <v>31.875</v>
      </c>
      <c r="S1718" t="s">
        <v>31</v>
      </c>
      <c r="T1718" t="s">
        <v>65</v>
      </c>
      <c r="U1718">
        <v>33.770099999999999</v>
      </c>
      <c r="V1718">
        <v>-118.19370000000001</v>
      </c>
      <c r="W1718" s="2">
        <v>45090</v>
      </c>
      <c r="X1718">
        <v>2</v>
      </c>
      <c r="Y1718" t="b">
        <v>1</v>
      </c>
      <c r="Z1718" s="2">
        <v>45819</v>
      </c>
      <c r="AA1718" t="str">
        <f t="shared" si="261"/>
        <v>20–29</v>
      </c>
      <c r="AB1718" t="str">
        <f t="shared" si="262"/>
        <v>20–29</v>
      </c>
      <c r="AC1718" t="str">
        <f t="shared" si="263"/>
        <v>Monday</v>
      </c>
      <c r="AD1718" t="str">
        <f t="shared" si="264"/>
        <v/>
      </c>
      <c r="AE1718" t="str">
        <f t="shared" si="265"/>
        <v>Wednesday</v>
      </c>
      <c r="AF1718" t="str">
        <f t="shared" si="266"/>
        <v>Thursday</v>
      </c>
      <c r="AG1718" t="str">
        <f t="shared" si="267"/>
        <v/>
      </c>
      <c r="AH1718" t="str">
        <f t="shared" si="268"/>
        <v>Saturday</v>
      </c>
      <c r="AI1718" t="str">
        <f t="shared" si="269"/>
        <v>Sunday</v>
      </c>
      <c r="AJ1718" t="str">
        <f>LEFT(Table1[[#This Row],[membership_type]],2)&amp;TEXT(Table1[[#This Row],[age]],"00")&amp;"-"&amp;TEXT(ROW(),"000")</f>
        <v>Pr26-1718</v>
      </c>
      <c r="AK1718" t="str">
        <f>LEFT(Table1[[#This Row],[membership_type]],1)&amp;TEXT(MATCH(Table1[[#This Row],[membership_type]],Table1[membership_type],0),"00")</f>
        <v>P01</v>
      </c>
      <c r="AL1718" t="str">
        <f>LEFT(Table1[[#This Row],[discount_type]],1)&amp;TEXT(ROUND(Table1[[#This Row],[discount_rate]]*100,0),"00")</f>
        <v>S15</v>
      </c>
      <c r="AM1718" t="str" cm="1">
        <f t="array" ref="AM1718">TEXT(SUMPRODUCT(CODE(MID(Table1[[#This Row],[home_gym_location]],_xlfn.SEQUENCE(LEN(Table1[[#This Row],[home_gym_location]])),1))),"00000")</f>
        <v>01107</v>
      </c>
      <c r="AN171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18" t="str">
        <f>LEFT(_xlfn.TEXTBEFORE(Table1[[#This Row],[Location Identifier]],"-"),3) &amp; "-" &amp; _xlfn.TEXTAFTER(Table1[[#This Row],[Location Identifier]],"-")</f>
        <v>LON-004</v>
      </c>
      <c r="AP1718" s="9">
        <f t="shared" ca="1" si="260"/>
        <v>45869</v>
      </c>
    </row>
    <row r="1719" spans="1:42" x14ac:dyDescent="0.25">
      <c r="A1719">
        <v>43</v>
      </c>
      <c r="B1719" t="s">
        <v>26</v>
      </c>
      <c r="C1719">
        <v>3</v>
      </c>
      <c r="D1719" t="s">
        <v>128</v>
      </c>
      <c r="E1719" t="b">
        <v>0</v>
      </c>
      <c r="F1719" s="1">
        <v>0.34861111111111109</v>
      </c>
      <c r="G1719" s="1">
        <v>0.44444444444444442</v>
      </c>
      <c r="H1719">
        <v>138</v>
      </c>
      <c r="I1719" t="b">
        <v>0</v>
      </c>
      <c r="J1719" t="b">
        <v>1</v>
      </c>
      <c r="K1719" t="b">
        <v>0</v>
      </c>
      <c r="L1719" t="s">
        <v>35</v>
      </c>
      <c r="M1719">
        <v>50</v>
      </c>
      <c r="N1719" t="s">
        <v>29</v>
      </c>
      <c r="O1719">
        <v>50</v>
      </c>
      <c r="P1719" t="s">
        <v>36</v>
      </c>
      <c r="Q1719">
        <v>0</v>
      </c>
      <c r="R1719">
        <v>50</v>
      </c>
      <c r="S1719" t="s">
        <v>31</v>
      </c>
      <c r="T1719" t="s">
        <v>38</v>
      </c>
      <c r="U1719">
        <v>36.7378</v>
      </c>
      <c r="V1719">
        <v>-119.7871</v>
      </c>
      <c r="W1719" s="2">
        <v>44783</v>
      </c>
      <c r="X1719">
        <v>2</v>
      </c>
      <c r="Y1719" t="b">
        <v>1</v>
      </c>
      <c r="Z1719" s="2">
        <v>45801</v>
      </c>
      <c r="AA1719" t="str">
        <f t="shared" si="261"/>
        <v>40–49</v>
      </c>
      <c r="AB1719" t="str">
        <f t="shared" si="262"/>
        <v>40–49</v>
      </c>
      <c r="AC1719" t="str">
        <f t="shared" si="263"/>
        <v>Monday</v>
      </c>
      <c r="AD1719" t="str">
        <f t="shared" si="264"/>
        <v/>
      </c>
      <c r="AE1719" t="str">
        <f t="shared" si="265"/>
        <v/>
      </c>
      <c r="AF1719" t="str">
        <f t="shared" si="266"/>
        <v>Thursday</v>
      </c>
      <c r="AG1719" t="str">
        <f t="shared" si="267"/>
        <v/>
      </c>
      <c r="AH1719" t="str">
        <f t="shared" si="268"/>
        <v/>
      </c>
      <c r="AI1719" t="str">
        <f t="shared" si="269"/>
        <v>Sunday</v>
      </c>
      <c r="AJ1719" t="str">
        <f>LEFT(Table1[[#This Row],[membership_type]],2)&amp;TEXT(Table1[[#This Row],[age]],"00")&amp;"-"&amp;TEXT(ROW(),"000")</f>
        <v>Pr43-1719</v>
      </c>
      <c r="AK1719" t="str">
        <f>LEFT(Table1[[#This Row],[membership_type]],1)&amp;TEXT(MATCH(Table1[[#This Row],[membership_type]],Table1[membership_type],0),"00")</f>
        <v>P01</v>
      </c>
      <c r="AL1719" t="str">
        <f>LEFT(Table1[[#This Row],[discount_type]],1)&amp;TEXT(ROUND(Table1[[#This Row],[discount_rate]]*100,0),"00")</f>
        <v>N00</v>
      </c>
      <c r="AM1719" t="str" cm="1">
        <f t="array" ref="AM1719">TEXT(SUMPRODUCT(CODE(MID(Table1[[#This Row],[home_gym_location]],_xlfn.SEQUENCE(LEN(Table1[[#This Row],[home_gym_location]])),1))),"00000")</f>
        <v>00829</v>
      </c>
      <c r="AN1719" t="str">
        <f>UPPER(_xlfn.TEXTBEFORE(Table1[[#This Row],[home_gym_location]],","))&amp;"-"&amp;TEXT(MATCH(Table1[[#This Row],[home_gym_location]],_xlfn._xlws.SORT(_xlfn.UNIQUE(Table1[home_gym_location])),0),"000")</f>
        <v>FRESNO-003</v>
      </c>
      <c r="AO1719" t="str">
        <f>LEFT(_xlfn.TEXTBEFORE(Table1[[#This Row],[Location Identifier]],"-"),3) &amp; "-" &amp; _xlfn.TEXTAFTER(Table1[[#This Row],[Location Identifier]],"-")</f>
        <v>FRE-003</v>
      </c>
      <c r="AP1719" s="9">
        <f t="shared" ca="1" si="260"/>
        <v>45869</v>
      </c>
    </row>
    <row r="1720" spans="1:42" x14ac:dyDescent="0.25">
      <c r="A1720">
        <v>30</v>
      </c>
      <c r="B1720" t="s">
        <v>51</v>
      </c>
      <c r="C1720">
        <v>2</v>
      </c>
      <c r="D1720" t="s">
        <v>46</v>
      </c>
      <c r="E1720" t="b">
        <v>1</v>
      </c>
      <c r="F1720" s="1">
        <v>0.71111111111111114</v>
      </c>
      <c r="G1720" s="1">
        <v>0.8208333333333333</v>
      </c>
      <c r="H1720">
        <v>158</v>
      </c>
      <c r="I1720" t="b">
        <v>1</v>
      </c>
      <c r="J1720" t="b">
        <v>0</v>
      </c>
      <c r="K1720" t="b">
        <v>1</v>
      </c>
      <c r="L1720" t="s">
        <v>35</v>
      </c>
      <c r="M1720">
        <v>70</v>
      </c>
      <c r="N1720" t="s">
        <v>78</v>
      </c>
      <c r="O1720">
        <v>63</v>
      </c>
      <c r="P1720" t="s">
        <v>36</v>
      </c>
      <c r="Q1720">
        <v>0</v>
      </c>
      <c r="R1720">
        <v>63</v>
      </c>
      <c r="S1720" t="s">
        <v>53</v>
      </c>
      <c r="T1720" t="s">
        <v>32</v>
      </c>
      <c r="U1720">
        <v>37.338200000000001</v>
      </c>
      <c r="V1720">
        <v>-121.88630000000001</v>
      </c>
      <c r="W1720" s="2">
        <v>45576</v>
      </c>
      <c r="X1720">
        <v>0</v>
      </c>
      <c r="Y1720" t="b">
        <v>1</v>
      </c>
      <c r="Z1720" s="2">
        <v>45846</v>
      </c>
      <c r="AA1720" t="str">
        <f t="shared" si="261"/>
        <v>30–39</v>
      </c>
      <c r="AB1720" t="str">
        <f t="shared" si="262"/>
        <v>30–39</v>
      </c>
      <c r="AC1720" t="str">
        <f t="shared" si="263"/>
        <v/>
      </c>
      <c r="AD1720" t="str">
        <f t="shared" si="264"/>
        <v/>
      </c>
      <c r="AE1720" t="str">
        <f t="shared" si="265"/>
        <v>Wednesday</v>
      </c>
      <c r="AF1720" t="str">
        <f t="shared" si="266"/>
        <v/>
      </c>
      <c r="AG1720" t="str">
        <f t="shared" si="267"/>
        <v/>
      </c>
      <c r="AH1720" t="str">
        <f t="shared" si="268"/>
        <v/>
      </c>
      <c r="AI1720" t="str">
        <f t="shared" si="269"/>
        <v>Sunday</v>
      </c>
      <c r="AJ1720" t="str">
        <f>LEFT(Table1[[#This Row],[membership_type]],2)&amp;TEXT(Table1[[#This Row],[age]],"00")&amp;"-"&amp;TEXT(ROW(),"000")</f>
        <v>El30-1720</v>
      </c>
      <c r="AK1720" t="str">
        <f>LEFT(Table1[[#This Row],[membership_type]],1)&amp;TEXT(MATCH(Table1[[#This Row],[membership_type]],Table1[membership_type],0),"00")</f>
        <v>E07</v>
      </c>
      <c r="AL1720" t="str">
        <f>LEFT(Table1[[#This Row],[discount_type]],1)&amp;TEXT(ROUND(Table1[[#This Row],[discount_rate]]*100,0),"00")</f>
        <v>N00</v>
      </c>
      <c r="AM1720" t="str" cm="1">
        <f t="array" ref="AM1720">TEXT(SUMPRODUCT(CODE(MID(Table1[[#This Row],[home_gym_location]],_xlfn.SEQUENCE(LEN(Table1[[#This Row],[home_gym_location]])),1))),"00000")</f>
        <v>00931</v>
      </c>
      <c r="AN172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20" t="str">
        <f>LEFT(_xlfn.TEXTBEFORE(Table1[[#This Row],[Location Identifier]],"-"),3) &amp; "-" &amp; _xlfn.TEXTAFTER(Table1[[#This Row],[Location Identifier]],"-")</f>
        <v>SAN-010</v>
      </c>
      <c r="AP1720" s="9">
        <f t="shared" ca="1" si="260"/>
        <v>45869</v>
      </c>
    </row>
    <row r="1721" spans="1:42" x14ac:dyDescent="0.25">
      <c r="A1721">
        <v>45</v>
      </c>
      <c r="B1721" t="s">
        <v>26</v>
      </c>
      <c r="C1721">
        <v>3</v>
      </c>
      <c r="D1721" t="s">
        <v>129</v>
      </c>
      <c r="E1721" t="b">
        <v>0</v>
      </c>
      <c r="F1721" s="1">
        <v>0.47222222222222221</v>
      </c>
      <c r="G1721" s="1">
        <v>0.58888888888888891</v>
      </c>
      <c r="H1721">
        <v>168</v>
      </c>
      <c r="I1721" t="b">
        <v>0</v>
      </c>
      <c r="J1721" t="b">
        <v>1</v>
      </c>
      <c r="K1721" t="b">
        <v>1</v>
      </c>
      <c r="L1721" t="s">
        <v>28</v>
      </c>
      <c r="M1721">
        <v>50</v>
      </c>
      <c r="N1721" t="s">
        <v>29</v>
      </c>
      <c r="O1721">
        <v>50</v>
      </c>
      <c r="P1721" t="s">
        <v>36</v>
      </c>
      <c r="Q1721">
        <v>0</v>
      </c>
      <c r="R1721">
        <v>50</v>
      </c>
      <c r="S1721" t="s">
        <v>31</v>
      </c>
      <c r="T1721" t="s">
        <v>59</v>
      </c>
      <c r="U1721">
        <v>37.774900000000002</v>
      </c>
      <c r="V1721">
        <v>-122.4194</v>
      </c>
      <c r="W1721" s="2">
        <v>45679</v>
      </c>
      <c r="X1721">
        <v>8</v>
      </c>
      <c r="Y1721" t="b">
        <v>1</v>
      </c>
      <c r="Z1721" s="2">
        <v>45852</v>
      </c>
      <c r="AA1721" t="str">
        <f t="shared" si="261"/>
        <v>40–49</v>
      </c>
      <c r="AB1721" t="str">
        <f t="shared" si="262"/>
        <v>40–49</v>
      </c>
      <c r="AC1721" t="str">
        <f t="shared" si="263"/>
        <v/>
      </c>
      <c r="AD1721" t="str">
        <f t="shared" si="264"/>
        <v>Tuesday</v>
      </c>
      <c r="AE1721" t="str">
        <f t="shared" si="265"/>
        <v>Wednesday</v>
      </c>
      <c r="AF1721" t="str">
        <f t="shared" si="266"/>
        <v/>
      </c>
      <c r="AG1721" t="str">
        <f t="shared" si="267"/>
        <v/>
      </c>
      <c r="AH1721" t="str">
        <f t="shared" si="268"/>
        <v/>
      </c>
      <c r="AI1721" t="str">
        <f t="shared" si="269"/>
        <v>Sunday</v>
      </c>
      <c r="AJ1721" t="str">
        <f>LEFT(Table1[[#This Row],[membership_type]],2)&amp;TEXT(Table1[[#This Row],[age]],"00")&amp;"-"&amp;TEXT(ROW(),"000")</f>
        <v>Pr45-1721</v>
      </c>
      <c r="AK1721" t="str">
        <f>LEFT(Table1[[#This Row],[membership_type]],1)&amp;TEXT(MATCH(Table1[[#This Row],[membership_type]],Table1[membership_type],0),"00")</f>
        <v>P01</v>
      </c>
      <c r="AL1721" t="str">
        <f>LEFT(Table1[[#This Row],[discount_type]],1)&amp;TEXT(ROUND(Table1[[#This Row],[discount_rate]]*100,0),"00")</f>
        <v>N00</v>
      </c>
      <c r="AM1721" t="str" cm="1">
        <f t="array" ref="AM1721">TEXT(SUMPRODUCT(CODE(MID(Table1[[#This Row],[home_gym_location]],_xlfn.SEQUENCE(LEN(Table1[[#This Row],[home_gym_location]])),1))),"00000")</f>
        <v>01450</v>
      </c>
      <c r="AN172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21" t="str">
        <f>LEFT(_xlfn.TEXTBEFORE(Table1[[#This Row],[Location Identifier]],"-"),3) &amp; "-" &amp; _xlfn.TEXTAFTER(Table1[[#This Row],[Location Identifier]],"-")</f>
        <v>SAN-009</v>
      </c>
      <c r="AP1721" s="9">
        <f t="shared" ca="1" si="260"/>
        <v>45869</v>
      </c>
    </row>
    <row r="1722" spans="1:42" x14ac:dyDescent="0.25">
      <c r="A1722">
        <v>25</v>
      </c>
      <c r="B1722" t="s">
        <v>26</v>
      </c>
      <c r="C1722">
        <v>1</v>
      </c>
      <c r="D1722" t="s">
        <v>71</v>
      </c>
      <c r="E1722" t="b">
        <v>0</v>
      </c>
      <c r="F1722" s="1">
        <v>0.35902777777777778</v>
      </c>
      <c r="G1722" s="1">
        <v>0.45277777777777778</v>
      </c>
      <c r="H1722">
        <v>135</v>
      </c>
      <c r="I1722" t="b">
        <v>1</v>
      </c>
      <c r="J1722" t="b">
        <v>1</v>
      </c>
      <c r="K1722" t="b">
        <v>0</v>
      </c>
      <c r="L1722" t="s">
        <v>28</v>
      </c>
      <c r="M1722">
        <v>50</v>
      </c>
      <c r="N1722" t="s">
        <v>29</v>
      </c>
      <c r="O1722">
        <v>50</v>
      </c>
      <c r="P1722" t="s">
        <v>36</v>
      </c>
      <c r="Q1722">
        <v>0</v>
      </c>
      <c r="R1722">
        <v>50</v>
      </c>
      <c r="S1722" t="s">
        <v>31</v>
      </c>
      <c r="T1722" t="s">
        <v>65</v>
      </c>
      <c r="U1722">
        <v>33.770099999999999</v>
      </c>
      <c r="V1722">
        <v>-118.19370000000001</v>
      </c>
      <c r="W1722" s="2">
        <v>45701</v>
      </c>
      <c r="X1722">
        <v>5</v>
      </c>
      <c r="Y1722" t="b">
        <v>1</v>
      </c>
      <c r="Z1722" s="2">
        <v>45853</v>
      </c>
      <c r="AA1722" t="str">
        <f t="shared" si="261"/>
        <v>20–29</v>
      </c>
      <c r="AB1722" t="str">
        <f t="shared" si="262"/>
        <v>20–29</v>
      </c>
      <c r="AC1722" t="str">
        <f t="shared" si="263"/>
        <v/>
      </c>
      <c r="AD1722" t="str">
        <f t="shared" si="264"/>
        <v>Tuesday</v>
      </c>
      <c r="AE1722" t="str">
        <f t="shared" si="265"/>
        <v/>
      </c>
      <c r="AF1722" t="str">
        <f t="shared" si="266"/>
        <v/>
      </c>
      <c r="AG1722" t="str">
        <f t="shared" si="267"/>
        <v/>
      </c>
      <c r="AH1722" t="str">
        <f t="shared" si="268"/>
        <v/>
      </c>
      <c r="AI1722" t="str">
        <f t="shared" si="269"/>
        <v/>
      </c>
      <c r="AJ1722" t="str">
        <f>LEFT(Table1[[#This Row],[membership_type]],2)&amp;TEXT(Table1[[#This Row],[age]],"00")&amp;"-"&amp;TEXT(ROW(),"000")</f>
        <v>Pr25-1722</v>
      </c>
      <c r="AK1722" t="str">
        <f>LEFT(Table1[[#This Row],[membership_type]],1)&amp;TEXT(MATCH(Table1[[#This Row],[membership_type]],Table1[membership_type],0),"00")</f>
        <v>P01</v>
      </c>
      <c r="AL1722" t="str">
        <f>LEFT(Table1[[#This Row],[discount_type]],1)&amp;TEXT(ROUND(Table1[[#This Row],[discount_rate]]*100,0),"00")</f>
        <v>N00</v>
      </c>
      <c r="AM1722" t="str" cm="1">
        <f t="array" ref="AM1722">TEXT(SUMPRODUCT(CODE(MID(Table1[[#This Row],[home_gym_location]],_xlfn.SEQUENCE(LEN(Table1[[#This Row],[home_gym_location]])),1))),"00000")</f>
        <v>01107</v>
      </c>
      <c r="AN172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22" t="str">
        <f>LEFT(_xlfn.TEXTBEFORE(Table1[[#This Row],[Location Identifier]],"-"),3) &amp; "-" &amp; _xlfn.TEXTAFTER(Table1[[#This Row],[Location Identifier]],"-")</f>
        <v>LON-004</v>
      </c>
      <c r="AP1722" s="9">
        <f t="shared" ca="1" si="260"/>
        <v>45869</v>
      </c>
    </row>
    <row r="1723" spans="1:42" x14ac:dyDescent="0.25">
      <c r="A1723">
        <v>19</v>
      </c>
      <c r="B1723" t="s">
        <v>42</v>
      </c>
      <c r="C1723">
        <v>2</v>
      </c>
      <c r="D1723" t="s">
        <v>61</v>
      </c>
      <c r="E1723" t="b">
        <v>0</v>
      </c>
      <c r="F1723" s="1">
        <v>0.70625000000000004</v>
      </c>
      <c r="G1723" s="1">
        <v>0.78749999999999998</v>
      </c>
      <c r="H1723">
        <v>117</v>
      </c>
      <c r="I1723" t="b">
        <v>1</v>
      </c>
      <c r="J1723" t="b">
        <v>1</v>
      </c>
      <c r="K1723" t="b">
        <v>0</v>
      </c>
      <c r="L1723" t="s">
        <v>62</v>
      </c>
      <c r="M1723">
        <v>20</v>
      </c>
      <c r="N1723" t="s">
        <v>64</v>
      </c>
      <c r="O1723">
        <v>15</v>
      </c>
      <c r="P1723" t="s">
        <v>36</v>
      </c>
      <c r="Q1723">
        <v>0</v>
      </c>
      <c r="R1723">
        <v>15</v>
      </c>
      <c r="S1723" t="s">
        <v>44</v>
      </c>
      <c r="T1723" t="s">
        <v>48</v>
      </c>
      <c r="U1723">
        <v>38.581600000000002</v>
      </c>
      <c r="V1723">
        <v>-121.4944</v>
      </c>
      <c r="W1723" s="2">
        <v>45508</v>
      </c>
      <c r="X1723">
        <v>3</v>
      </c>
      <c r="Y1723" t="b">
        <v>0</v>
      </c>
      <c r="Z1723" s="2">
        <v>45842</v>
      </c>
      <c r="AA1723" t="str">
        <f t="shared" si="261"/>
        <v>10–19</v>
      </c>
      <c r="AB1723" t="str">
        <f t="shared" si="262"/>
        <v>16–19</v>
      </c>
      <c r="AC1723" t="str">
        <f t="shared" si="263"/>
        <v/>
      </c>
      <c r="AD1723" t="str">
        <f t="shared" si="264"/>
        <v>Tuesday</v>
      </c>
      <c r="AE1723" t="str">
        <f t="shared" si="265"/>
        <v/>
      </c>
      <c r="AF1723" t="str">
        <f t="shared" si="266"/>
        <v/>
      </c>
      <c r="AG1723" t="str">
        <f t="shared" si="267"/>
        <v/>
      </c>
      <c r="AH1723" t="str">
        <f t="shared" si="268"/>
        <v>Saturday</v>
      </c>
      <c r="AI1723" t="str">
        <f t="shared" si="269"/>
        <v/>
      </c>
      <c r="AJ1723" t="str">
        <f>LEFT(Table1[[#This Row],[membership_type]],2)&amp;TEXT(Table1[[#This Row],[age]],"00")&amp;"-"&amp;TEXT(ROW(),"000")</f>
        <v>Ba19-1723</v>
      </c>
      <c r="AK1723" t="str">
        <f>LEFT(Table1[[#This Row],[membership_type]],1)&amp;TEXT(MATCH(Table1[[#This Row],[membership_type]],Table1[membership_type],0),"00")</f>
        <v>B04</v>
      </c>
      <c r="AL1723" t="str">
        <f>LEFT(Table1[[#This Row],[discount_type]],1)&amp;TEXT(ROUND(Table1[[#This Row],[discount_rate]]*100,0),"00")</f>
        <v>N00</v>
      </c>
      <c r="AM1723" t="str" cm="1">
        <f t="array" ref="AM1723">TEXT(SUMPRODUCT(CODE(MID(Table1[[#This Row],[home_gym_location]],_xlfn.SEQUENCE(LEN(Table1[[#This Row],[home_gym_location]])),1))),"00000")</f>
        <v>01245</v>
      </c>
      <c r="AN172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23" t="str">
        <f>LEFT(_xlfn.TEXTBEFORE(Table1[[#This Row],[Location Identifier]],"-"),3) &amp; "-" &amp; _xlfn.TEXTAFTER(Table1[[#This Row],[Location Identifier]],"-")</f>
        <v>SAC-007</v>
      </c>
      <c r="AP1723" s="9">
        <f t="shared" ca="1" si="260"/>
        <v>45869</v>
      </c>
    </row>
    <row r="1724" spans="1:42" x14ac:dyDescent="0.25">
      <c r="A1724">
        <v>48</v>
      </c>
      <c r="B1724" t="s">
        <v>33</v>
      </c>
      <c r="C1724">
        <v>3</v>
      </c>
      <c r="D1724" t="s">
        <v>89</v>
      </c>
      <c r="E1724" t="b">
        <v>1</v>
      </c>
      <c r="F1724" s="1">
        <v>0.85902777777777772</v>
      </c>
      <c r="G1724" s="1">
        <v>0.90833333333333333</v>
      </c>
      <c r="H1724">
        <v>71</v>
      </c>
      <c r="I1724" t="b">
        <v>0</v>
      </c>
      <c r="J1724" t="b">
        <v>1</v>
      </c>
      <c r="K1724" t="b">
        <v>1</v>
      </c>
      <c r="L1724" t="s">
        <v>58</v>
      </c>
      <c r="M1724">
        <v>30</v>
      </c>
      <c r="N1724" t="s">
        <v>29</v>
      </c>
      <c r="O1724">
        <v>30</v>
      </c>
      <c r="P1724" t="s">
        <v>36</v>
      </c>
      <c r="Q1724">
        <v>0</v>
      </c>
      <c r="R1724">
        <v>30</v>
      </c>
      <c r="S1724" t="s">
        <v>37</v>
      </c>
      <c r="T1724" t="s">
        <v>32</v>
      </c>
      <c r="U1724">
        <v>37.338200000000001</v>
      </c>
      <c r="V1724">
        <v>-121.88630000000001</v>
      </c>
      <c r="W1724" s="2">
        <v>45723</v>
      </c>
      <c r="X1724">
        <v>2</v>
      </c>
      <c r="Y1724" t="b">
        <v>0</v>
      </c>
      <c r="Z1724" s="2">
        <v>45854</v>
      </c>
      <c r="AA1724" t="str">
        <f t="shared" si="261"/>
        <v>40–49</v>
      </c>
      <c r="AB1724" t="str">
        <f t="shared" si="262"/>
        <v>40–49</v>
      </c>
      <c r="AC1724" t="str">
        <f t="shared" si="263"/>
        <v>Monday</v>
      </c>
      <c r="AD1724" t="str">
        <f t="shared" si="264"/>
        <v>Tuesday</v>
      </c>
      <c r="AE1724" t="str">
        <f t="shared" si="265"/>
        <v/>
      </c>
      <c r="AF1724" t="str">
        <f t="shared" si="266"/>
        <v/>
      </c>
      <c r="AG1724" t="str">
        <f t="shared" si="267"/>
        <v/>
      </c>
      <c r="AH1724" t="str">
        <f t="shared" si="268"/>
        <v>Saturday</v>
      </c>
      <c r="AI1724" t="str">
        <f t="shared" si="269"/>
        <v/>
      </c>
      <c r="AJ1724" t="str">
        <f>LEFT(Table1[[#This Row],[membership_type]],2)&amp;TEXT(Table1[[#This Row],[age]],"00")&amp;"-"&amp;TEXT(ROW(),"000")</f>
        <v>St48-1724</v>
      </c>
      <c r="AK1724" t="str">
        <f>LEFT(Table1[[#This Row],[membership_type]],1)&amp;TEXT(MATCH(Table1[[#This Row],[membership_type]],Table1[membership_type],0),"00")</f>
        <v>S02</v>
      </c>
      <c r="AL1724" t="str">
        <f>LEFT(Table1[[#This Row],[discount_type]],1)&amp;TEXT(ROUND(Table1[[#This Row],[discount_rate]]*100,0),"00")</f>
        <v>N00</v>
      </c>
      <c r="AM1724" t="str" cm="1">
        <f t="array" ref="AM1724">TEXT(SUMPRODUCT(CODE(MID(Table1[[#This Row],[home_gym_location]],_xlfn.SEQUENCE(LEN(Table1[[#This Row],[home_gym_location]])),1))),"00000")</f>
        <v>00931</v>
      </c>
      <c r="AN172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24" t="str">
        <f>LEFT(_xlfn.TEXTBEFORE(Table1[[#This Row],[Location Identifier]],"-"),3) &amp; "-" &amp; _xlfn.TEXTAFTER(Table1[[#This Row],[Location Identifier]],"-")</f>
        <v>SAN-010</v>
      </c>
      <c r="AP1724" s="9">
        <f t="shared" ca="1" si="260"/>
        <v>45869</v>
      </c>
    </row>
    <row r="1725" spans="1:42" x14ac:dyDescent="0.25">
      <c r="A1725">
        <v>28</v>
      </c>
      <c r="B1725" t="s">
        <v>26</v>
      </c>
      <c r="C1725">
        <v>4</v>
      </c>
      <c r="D1725" t="s">
        <v>143</v>
      </c>
      <c r="E1725" t="b">
        <v>1</v>
      </c>
      <c r="F1725" s="1">
        <v>0.46527777777777779</v>
      </c>
      <c r="G1725" s="1">
        <v>0.5805555555555556</v>
      </c>
      <c r="H1725">
        <v>166</v>
      </c>
      <c r="I1725" t="b">
        <v>0</v>
      </c>
      <c r="J1725" t="b">
        <v>1</v>
      </c>
      <c r="K1725" t="b">
        <v>1</v>
      </c>
      <c r="L1725" t="s">
        <v>28</v>
      </c>
      <c r="M1725">
        <v>50</v>
      </c>
      <c r="N1725" t="s">
        <v>64</v>
      </c>
      <c r="O1725">
        <v>37.5</v>
      </c>
      <c r="P1725" t="s">
        <v>74</v>
      </c>
      <c r="Q1725">
        <v>0.15</v>
      </c>
      <c r="R1725">
        <v>31.875</v>
      </c>
      <c r="S1725" t="s">
        <v>31</v>
      </c>
      <c r="T1725" t="s">
        <v>65</v>
      </c>
      <c r="U1725">
        <v>33.770099999999999</v>
      </c>
      <c r="V1725">
        <v>-118.19370000000001</v>
      </c>
      <c r="W1725" s="2">
        <v>45093</v>
      </c>
      <c r="X1725">
        <v>1</v>
      </c>
      <c r="Y1725" t="b">
        <v>1</v>
      </c>
      <c r="Z1725" s="2">
        <v>45819</v>
      </c>
      <c r="AA1725" t="str">
        <f t="shared" si="261"/>
        <v>20–29</v>
      </c>
      <c r="AB1725" t="str">
        <f t="shared" si="262"/>
        <v>20–29</v>
      </c>
      <c r="AC1725" t="str">
        <f t="shared" si="263"/>
        <v>Monday</v>
      </c>
      <c r="AD1725" t="str">
        <f t="shared" si="264"/>
        <v>Tuesday</v>
      </c>
      <c r="AE1725" t="str">
        <f t="shared" si="265"/>
        <v>Wednesday</v>
      </c>
      <c r="AF1725" t="str">
        <f t="shared" si="266"/>
        <v/>
      </c>
      <c r="AG1725" t="str">
        <f t="shared" si="267"/>
        <v>Friday</v>
      </c>
      <c r="AH1725" t="str">
        <f t="shared" si="268"/>
        <v/>
      </c>
      <c r="AI1725" t="str">
        <f t="shared" si="269"/>
        <v/>
      </c>
      <c r="AJ1725" t="str">
        <f>LEFT(Table1[[#This Row],[membership_type]],2)&amp;TEXT(Table1[[#This Row],[age]],"00")&amp;"-"&amp;TEXT(ROW(),"000")</f>
        <v>Pr28-1725</v>
      </c>
      <c r="AK1725" t="str">
        <f>LEFT(Table1[[#This Row],[membership_type]],1)&amp;TEXT(MATCH(Table1[[#This Row],[membership_type]],Table1[membership_type],0),"00")</f>
        <v>P01</v>
      </c>
      <c r="AL1725" t="str">
        <f>LEFT(Table1[[#This Row],[discount_type]],1)&amp;TEXT(ROUND(Table1[[#This Row],[discount_rate]]*100,0),"00")</f>
        <v>S15</v>
      </c>
      <c r="AM1725" t="str" cm="1">
        <f t="array" ref="AM1725">TEXT(SUMPRODUCT(CODE(MID(Table1[[#This Row],[home_gym_location]],_xlfn.SEQUENCE(LEN(Table1[[#This Row],[home_gym_location]])),1))),"00000")</f>
        <v>01107</v>
      </c>
      <c r="AN172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25" t="str">
        <f>LEFT(_xlfn.TEXTBEFORE(Table1[[#This Row],[Location Identifier]],"-"),3) &amp; "-" &amp; _xlfn.TEXTAFTER(Table1[[#This Row],[Location Identifier]],"-")</f>
        <v>LON-004</v>
      </c>
      <c r="AP1725" s="9">
        <f t="shared" ca="1" si="260"/>
        <v>45869</v>
      </c>
    </row>
    <row r="1726" spans="1:42" x14ac:dyDescent="0.25">
      <c r="A1726">
        <v>14</v>
      </c>
      <c r="B1726" t="s">
        <v>26</v>
      </c>
      <c r="C1726">
        <v>2</v>
      </c>
      <c r="D1726" t="s">
        <v>88</v>
      </c>
      <c r="E1726" t="b">
        <v>1</v>
      </c>
      <c r="F1726" s="1">
        <v>0.43958333333333333</v>
      </c>
      <c r="G1726" s="1">
        <v>0.5395833333333333</v>
      </c>
      <c r="H1726">
        <v>144</v>
      </c>
      <c r="I1726" t="b">
        <v>1</v>
      </c>
      <c r="J1726" t="b">
        <v>0</v>
      </c>
      <c r="K1726" t="b">
        <v>1</v>
      </c>
      <c r="L1726" t="s">
        <v>58</v>
      </c>
      <c r="M1726">
        <v>50</v>
      </c>
      <c r="N1726" t="s">
        <v>64</v>
      </c>
      <c r="O1726">
        <v>37.5</v>
      </c>
      <c r="P1726" t="s">
        <v>36</v>
      </c>
      <c r="Q1726">
        <v>0</v>
      </c>
      <c r="R1726">
        <v>37.5</v>
      </c>
      <c r="S1726" t="s">
        <v>31</v>
      </c>
      <c r="T1726" t="s">
        <v>65</v>
      </c>
      <c r="U1726">
        <v>33.770099999999999</v>
      </c>
      <c r="V1726">
        <v>-118.19370000000001</v>
      </c>
      <c r="W1726" s="2">
        <v>45764</v>
      </c>
      <c r="X1726">
        <v>0</v>
      </c>
      <c r="Y1726" t="b">
        <v>1</v>
      </c>
      <c r="Z1726" s="2">
        <v>45857</v>
      </c>
      <c r="AA1726" t="str">
        <f t="shared" si="261"/>
        <v>10–19</v>
      </c>
      <c r="AB1726" t="str">
        <f t="shared" si="262"/>
        <v>Under 16</v>
      </c>
      <c r="AC1726" t="str">
        <f t="shared" si="263"/>
        <v>Monday</v>
      </c>
      <c r="AD1726" t="str">
        <f t="shared" si="264"/>
        <v/>
      </c>
      <c r="AE1726" t="str">
        <f t="shared" si="265"/>
        <v>Wednesday</v>
      </c>
      <c r="AF1726" t="str">
        <f t="shared" si="266"/>
        <v/>
      </c>
      <c r="AG1726" t="str">
        <f t="shared" si="267"/>
        <v/>
      </c>
      <c r="AH1726" t="str">
        <f t="shared" si="268"/>
        <v/>
      </c>
      <c r="AI1726" t="str">
        <f t="shared" si="269"/>
        <v/>
      </c>
      <c r="AJ1726" t="str">
        <f>LEFT(Table1[[#This Row],[membership_type]],2)&amp;TEXT(Table1[[#This Row],[age]],"00")&amp;"-"&amp;TEXT(ROW(),"000")</f>
        <v>Pr14-1726</v>
      </c>
      <c r="AK1726" t="str">
        <f>LEFT(Table1[[#This Row],[membership_type]],1)&amp;TEXT(MATCH(Table1[[#This Row],[membership_type]],Table1[membership_type],0),"00")</f>
        <v>P01</v>
      </c>
      <c r="AL1726" t="str">
        <f>LEFT(Table1[[#This Row],[discount_type]],1)&amp;TEXT(ROUND(Table1[[#This Row],[discount_rate]]*100,0),"00")</f>
        <v>N00</v>
      </c>
      <c r="AM1726" t="str" cm="1">
        <f t="array" ref="AM1726">TEXT(SUMPRODUCT(CODE(MID(Table1[[#This Row],[home_gym_location]],_xlfn.SEQUENCE(LEN(Table1[[#This Row],[home_gym_location]])),1))),"00000")</f>
        <v>01107</v>
      </c>
      <c r="AN172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26" t="str">
        <f>LEFT(_xlfn.TEXTBEFORE(Table1[[#This Row],[Location Identifier]],"-"),3) &amp; "-" &amp; _xlfn.TEXTAFTER(Table1[[#This Row],[Location Identifier]],"-")</f>
        <v>LON-004</v>
      </c>
      <c r="AP1726" s="9">
        <f t="shared" ca="1" si="260"/>
        <v>45869</v>
      </c>
    </row>
    <row r="1727" spans="1:42" x14ac:dyDescent="0.25">
      <c r="A1727">
        <v>39</v>
      </c>
      <c r="B1727" t="s">
        <v>33</v>
      </c>
      <c r="C1727">
        <v>3</v>
      </c>
      <c r="D1727" t="s">
        <v>114</v>
      </c>
      <c r="E1727" t="b">
        <v>0</v>
      </c>
      <c r="F1727" s="1">
        <v>0.70208333333333328</v>
      </c>
      <c r="G1727" s="1">
        <v>0.77500000000000002</v>
      </c>
      <c r="H1727">
        <v>105</v>
      </c>
      <c r="I1727" t="b">
        <v>0</v>
      </c>
      <c r="J1727" t="b">
        <v>0</v>
      </c>
      <c r="K1727" t="b">
        <v>1</v>
      </c>
      <c r="L1727" t="s">
        <v>62</v>
      </c>
      <c r="M1727">
        <v>30</v>
      </c>
      <c r="N1727" t="s">
        <v>64</v>
      </c>
      <c r="O1727">
        <v>22.5</v>
      </c>
      <c r="P1727" t="s">
        <v>36</v>
      </c>
      <c r="Q1727">
        <v>0</v>
      </c>
      <c r="R1727">
        <v>22.5</v>
      </c>
      <c r="S1727" t="s">
        <v>37</v>
      </c>
      <c r="T1727" t="s">
        <v>45</v>
      </c>
      <c r="U1727">
        <v>33.836599999999997</v>
      </c>
      <c r="V1727">
        <v>-117.9143</v>
      </c>
      <c r="W1727" s="2">
        <v>45288</v>
      </c>
      <c r="X1727">
        <v>0</v>
      </c>
      <c r="Y1727" t="b">
        <v>0</v>
      </c>
      <c r="Z1727" s="2">
        <v>45830</v>
      </c>
      <c r="AA1727" t="str">
        <f t="shared" si="261"/>
        <v>30–39</v>
      </c>
      <c r="AB1727" t="str">
        <f t="shared" si="262"/>
        <v>30–39</v>
      </c>
      <c r="AC1727" t="str">
        <f t="shared" si="263"/>
        <v>Monday</v>
      </c>
      <c r="AD1727" t="str">
        <f t="shared" si="264"/>
        <v>Tuesday</v>
      </c>
      <c r="AE1727" t="str">
        <f t="shared" si="265"/>
        <v>Wednesday</v>
      </c>
      <c r="AF1727" t="str">
        <f t="shared" si="266"/>
        <v/>
      </c>
      <c r="AG1727" t="str">
        <f t="shared" si="267"/>
        <v/>
      </c>
      <c r="AH1727" t="str">
        <f t="shared" si="268"/>
        <v/>
      </c>
      <c r="AI1727" t="str">
        <f t="shared" si="269"/>
        <v/>
      </c>
      <c r="AJ1727" t="str">
        <f>LEFT(Table1[[#This Row],[membership_type]],2)&amp;TEXT(Table1[[#This Row],[age]],"00")&amp;"-"&amp;TEXT(ROW(),"000")</f>
        <v>St39-1727</v>
      </c>
      <c r="AK1727" t="str">
        <f>LEFT(Table1[[#This Row],[membership_type]],1)&amp;TEXT(MATCH(Table1[[#This Row],[membership_type]],Table1[membership_type],0),"00")</f>
        <v>S02</v>
      </c>
      <c r="AL1727" t="str">
        <f>LEFT(Table1[[#This Row],[discount_type]],1)&amp;TEXT(ROUND(Table1[[#This Row],[discount_rate]]*100,0),"00")</f>
        <v>N00</v>
      </c>
      <c r="AM1727" t="str" cm="1">
        <f t="array" ref="AM1727">TEXT(SUMPRODUCT(CODE(MID(Table1[[#This Row],[home_gym_location]],_xlfn.SEQUENCE(LEN(Table1[[#This Row],[home_gym_location]])),1))),"00000")</f>
        <v>00899</v>
      </c>
      <c r="AN172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27" t="str">
        <f>LEFT(_xlfn.TEXTBEFORE(Table1[[#This Row],[Location Identifier]],"-"),3) &amp; "-" &amp; _xlfn.TEXTAFTER(Table1[[#This Row],[Location Identifier]],"-")</f>
        <v>ANA-001</v>
      </c>
      <c r="AP1727" s="9">
        <f t="shared" ca="1" si="260"/>
        <v>45869</v>
      </c>
    </row>
    <row r="1728" spans="1:42" x14ac:dyDescent="0.25">
      <c r="A1728">
        <v>33</v>
      </c>
      <c r="B1728" t="s">
        <v>26</v>
      </c>
      <c r="C1728">
        <v>1</v>
      </c>
      <c r="D1728" t="s">
        <v>75</v>
      </c>
      <c r="E1728" t="b">
        <v>1</v>
      </c>
      <c r="F1728" s="1">
        <v>0.67083333333333328</v>
      </c>
      <c r="G1728" s="1">
        <v>0.70972222222222225</v>
      </c>
      <c r="H1728">
        <v>56</v>
      </c>
      <c r="I1728" t="b">
        <v>0</v>
      </c>
      <c r="J1728" t="b">
        <v>0</v>
      </c>
      <c r="K1728" t="b">
        <v>0</v>
      </c>
      <c r="L1728" t="s">
        <v>62</v>
      </c>
      <c r="M1728">
        <v>50</v>
      </c>
      <c r="N1728" t="s">
        <v>29</v>
      </c>
      <c r="O1728">
        <v>50</v>
      </c>
      <c r="P1728" t="s">
        <v>40</v>
      </c>
      <c r="Q1728">
        <v>0.1</v>
      </c>
      <c r="R1728">
        <v>45</v>
      </c>
      <c r="S1728" t="s">
        <v>31</v>
      </c>
      <c r="T1728" t="s">
        <v>38</v>
      </c>
      <c r="U1728">
        <v>36.7378</v>
      </c>
      <c r="V1728">
        <v>-119.7871</v>
      </c>
      <c r="W1728" s="2">
        <v>44769</v>
      </c>
      <c r="X1728">
        <v>0</v>
      </c>
      <c r="Y1728" t="b">
        <v>1</v>
      </c>
      <c r="Z1728" s="2">
        <v>45801</v>
      </c>
      <c r="AA1728" t="str">
        <f t="shared" si="261"/>
        <v>30–39</v>
      </c>
      <c r="AB1728" t="str">
        <f t="shared" si="262"/>
        <v>30–39</v>
      </c>
      <c r="AC1728" t="str">
        <f t="shared" si="263"/>
        <v/>
      </c>
      <c r="AD1728" t="str">
        <f t="shared" si="264"/>
        <v/>
      </c>
      <c r="AE1728" t="str">
        <f t="shared" si="265"/>
        <v/>
      </c>
      <c r="AF1728" t="str">
        <f t="shared" si="266"/>
        <v/>
      </c>
      <c r="AG1728" t="str">
        <f t="shared" si="267"/>
        <v>Friday</v>
      </c>
      <c r="AH1728" t="str">
        <f t="shared" si="268"/>
        <v/>
      </c>
      <c r="AI1728" t="str">
        <f t="shared" si="269"/>
        <v/>
      </c>
      <c r="AJ1728" t="str">
        <f>LEFT(Table1[[#This Row],[membership_type]],2)&amp;TEXT(Table1[[#This Row],[age]],"00")&amp;"-"&amp;TEXT(ROW(),"000")</f>
        <v>Pr33-1728</v>
      </c>
      <c r="AK1728" t="str">
        <f>LEFT(Table1[[#This Row],[membership_type]],1)&amp;TEXT(MATCH(Table1[[#This Row],[membership_type]],Table1[membership_type],0),"00")</f>
        <v>P01</v>
      </c>
      <c r="AL1728" t="str">
        <f>LEFT(Table1[[#This Row],[discount_type]],1)&amp;TEXT(ROUND(Table1[[#This Row],[discount_rate]]*100,0),"00")</f>
        <v>L10</v>
      </c>
      <c r="AM1728" t="str" cm="1">
        <f t="array" ref="AM1728">TEXT(SUMPRODUCT(CODE(MID(Table1[[#This Row],[home_gym_location]],_xlfn.SEQUENCE(LEN(Table1[[#This Row],[home_gym_location]])),1))),"00000")</f>
        <v>00829</v>
      </c>
      <c r="AN1728" t="str">
        <f>UPPER(_xlfn.TEXTBEFORE(Table1[[#This Row],[home_gym_location]],","))&amp;"-"&amp;TEXT(MATCH(Table1[[#This Row],[home_gym_location]],_xlfn._xlws.SORT(_xlfn.UNIQUE(Table1[home_gym_location])),0),"000")</f>
        <v>FRESNO-003</v>
      </c>
      <c r="AO1728" t="str">
        <f>LEFT(_xlfn.TEXTBEFORE(Table1[[#This Row],[Location Identifier]],"-"),3) &amp; "-" &amp; _xlfn.TEXTAFTER(Table1[[#This Row],[Location Identifier]],"-")</f>
        <v>FRE-003</v>
      </c>
      <c r="AP1728" s="9">
        <f t="shared" ca="1" si="260"/>
        <v>45869</v>
      </c>
    </row>
    <row r="1729" spans="1:42" x14ac:dyDescent="0.25">
      <c r="A1729">
        <v>17</v>
      </c>
      <c r="B1729" t="s">
        <v>26</v>
      </c>
      <c r="C1729">
        <v>5</v>
      </c>
      <c r="D1729" t="s">
        <v>115</v>
      </c>
      <c r="E1729" t="b">
        <v>1</v>
      </c>
      <c r="F1729" s="1">
        <v>0.57638888888888884</v>
      </c>
      <c r="G1729" s="1">
        <v>0.60347222222222219</v>
      </c>
      <c r="H1729">
        <v>39</v>
      </c>
      <c r="I1729" t="b">
        <v>1</v>
      </c>
      <c r="J1729" t="b">
        <v>1</v>
      </c>
      <c r="K1729" t="b">
        <v>1</v>
      </c>
      <c r="L1729" t="s">
        <v>62</v>
      </c>
      <c r="M1729">
        <v>50</v>
      </c>
      <c r="N1729" t="s">
        <v>78</v>
      </c>
      <c r="O1729">
        <v>45</v>
      </c>
      <c r="P1729" t="s">
        <v>74</v>
      </c>
      <c r="Q1729">
        <v>0.15</v>
      </c>
      <c r="R1729">
        <v>38.25</v>
      </c>
      <c r="S1729" t="s">
        <v>31</v>
      </c>
      <c r="T1729" t="s">
        <v>48</v>
      </c>
      <c r="U1729">
        <v>38.581600000000002</v>
      </c>
      <c r="V1729">
        <v>-121.4944</v>
      </c>
      <c r="W1729" s="2">
        <v>44964</v>
      </c>
      <c r="X1729">
        <v>5</v>
      </c>
      <c r="Y1729" t="b">
        <v>0</v>
      </c>
      <c r="Z1729" s="2">
        <v>45812</v>
      </c>
      <c r="AA1729" t="str">
        <f t="shared" si="261"/>
        <v>10–19</v>
      </c>
      <c r="AB1729" t="str">
        <f t="shared" si="262"/>
        <v>16–19</v>
      </c>
      <c r="AC1729" t="str">
        <f t="shared" si="263"/>
        <v>Monday</v>
      </c>
      <c r="AD1729" t="str">
        <f t="shared" si="264"/>
        <v/>
      </c>
      <c r="AE1729" t="str">
        <f t="shared" si="265"/>
        <v>Wednesday</v>
      </c>
      <c r="AF1729" t="str">
        <f t="shared" si="266"/>
        <v/>
      </c>
      <c r="AG1729" t="str">
        <f t="shared" si="267"/>
        <v>Friday</v>
      </c>
      <c r="AH1729" t="str">
        <f t="shared" si="268"/>
        <v>Saturday</v>
      </c>
      <c r="AI1729" t="str">
        <f t="shared" si="269"/>
        <v>Sunday</v>
      </c>
      <c r="AJ1729" t="str">
        <f>LEFT(Table1[[#This Row],[membership_type]],2)&amp;TEXT(Table1[[#This Row],[age]],"00")&amp;"-"&amp;TEXT(ROW(),"000")</f>
        <v>Pr17-1729</v>
      </c>
      <c r="AK1729" t="str">
        <f>LEFT(Table1[[#This Row],[membership_type]],1)&amp;TEXT(MATCH(Table1[[#This Row],[membership_type]],Table1[membership_type],0),"00")</f>
        <v>P01</v>
      </c>
      <c r="AL1729" t="str">
        <f>LEFT(Table1[[#This Row],[discount_type]],1)&amp;TEXT(ROUND(Table1[[#This Row],[discount_rate]]*100,0),"00")</f>
        <v>S15</v>
      </c>
      <c r="AM1729" t="str" cm="1">
        <f t="array" ref="AM1729">TEXT(SUMPRODUCT(CODE(MID(Table1[[#This Row],[home_gym_location]],_xlfn.SEQUENCE(LEN(Table1[[#This Row],[home_gym_location]])),1))),"00000")</f>
        <v>01245</v>
      </c>
      <c r="AN172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29" t="str">
        <f>LEFT(_xlfn.TEXTBEFORE(Table1[[#This Row],[Location Identifier]],"-"),3) &amp; "-" &amp; _xlfn.TEXTAFTER(Table1[[#This Row],[Location Identifier]],"-")</f>
        <v>SAC-007</v>
      </c>
      <c r="AP1729" s="9">
        <f t="shared" ca="1" si="260"/>
        <v>45869</v>
      </c>
    </row>
    <row r="1730" spans="1:42" x14ac:dyDescent="0.25">
      <c r="A1730">
        <v>24</v>
      </c>
      <c r="B1730" t="s">
        <v>51</v>
      </c>
      <c r="C1730">
        <v>2</v>
      </c>
      <c r="D1730" t="s">
        <v>116</v>
      </c>
      <c r="E1730" t="b">
        <v>1</v>
      </c>
      <c r="F1730" s="1">
        <v>0.65902777777777777</v>
      </c>
      <c r="G1730" s="1">
        <v>0.77152777777777781</v>
      </c>
      <c r="H1730">
        <v>162</v>
      </c>
      <c r="I1730" t="b">
        <v>1</v>
      </c>
      <c r="J1730" t="b">
        <v>1</v>
      </c>
      <c r="K1730" t="b">
        <v>1</v>
      </c>
      <c r="L1730" t="s">
        <v>62</v>
      </c>
      <c r="M1730">
        <v>70</v>
      </c>
      <c r="N1730" t="s">
        <v>64</v>
      </c>
      <c r="O1730">
        <v>52.5</v>
      </c>
      <c r="P1730" t="s">
        <v>74</v>
      </c>
      <c r="Q1730">
        <v>0.15</v>
      </c>
      <c r="R1730">
        <v>44.625</v>
      </c>
      <c r="S1730" t="s">
        <v>53</v>
      </c>
      <c r="T1730" t="s">
        <v>32</v>
      </c>
      <c r="U1730">
        <v>37.338200000000001</v>
      </c>
      <c r="V1730">
        <v>-121.88630000000001</v>
      </c>
      <c r="W1730" s="2">
        <v>45175</v>
      </c>
      <c r="X1730">
        <v>6</v>
      </c>
      <c r="Y1730" t="b">
        <v>1</v>
      </c>
      <c r="Z1730" s="2">
        <v>45824</v>
      </c>
      <c r="AA1730" t="str">
        <f t="shared" si="261"/>
        <v>20–29</v>
      </c>
      <c r="AB1730" t="str">
        <f t="shared" si="262"/>
        <v>20–29</v>
      </c>
      <c r="AC1730" t="str">
        <f t="shared" si="263"/>
        <v/>
      </c>
      <c r="AD1730" t="str">
        <f t="shared" si="264"/>
        <v/>
      </c>
      <c r="AE1730" t="str">
        <f t="shared" si="265"/>
        <v/>
      </c>
      <c r="AF1730" t="str">
        <f t="shared" si="266"/>
        <v>Thursday</v>
      </c>
      <c r="AG1730" t="str">
        <f t="shared" si="267"/>
        <v/>
      </c>
      <c r="AH1730" t="str">
        <f t="shared" si="268"/>
        <v/>
      </c>
      <c r="AI1730" t="str">
        <f t="shared" si="269"/>
        <v>Sunday</v>
      </c>
      <c r="AJ1730" t="str">
        <f>LEFT(Table1[[#This Row],[membership_type]],2)&amp;TEXT(Table1[[#This Row],[age]],"00")&amp;"-"&amp;TEXT(ROW(),"000")</f>
        <v>El24-1730</v>
      </c>
      <c r="AK1730" t="str">
        <f>LEFT(Table1[[#This Row],[membership_type]],1)&amp;TEXT(MATCH(Table1[[#This Row],[membership_type]],Table1[membership_type],0),"00")</f>
        <v>E07</v>
      </c>
      <c r="AL1730" t="str">
        <f>LEFT(Table1[[#This Row],[discount_type]],1)&amp;TEXT(ROUND(Table1[[#This Row],[discount_rate]]*100,0),"00")</f>
        <v>S15</v>
      </c>
      <c r="AM1730" t="str" cm="1">
        <f t="array" ref="AM1730">TEXT(SUMPRODUCT(CODE(MID(Table1[[#This Row],[home_gym_location]],_xlfn.SEQUENCE(LEN(Table1[[#This Row],[home_gym_location]])),1))),"00000")</f>
        <v>00931</v>
      </c>
      <c r="AN173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30" t="str">
        <f>LEFT(_xlfn.TEXTBEFORE(Table1[[#This Row],[Location Identifier]],"-"),3) &amp; "-" &amp; _xlfn.TEXTAFTER(Table1[[#This Row],[Location Identifier]],"-")</f>
        <v>SAN-010</v>
      </c>
      <c r="AP1730" s="9">
        <f t="shared" ref="AP1730:AP1793" ca="1" si="270">EOMONTH(DATE(YEAR(TODAY()),7,1),0)</f>
        <v>45869</v>
      </c>
    </row>
    <row r="1731" spans="1:42" x14ac:dyDescent="0.25">
      <c r="A1731">
        <v>12</v>
      </c>
      <c r="B1731" t="s">
        <v>26</v>
      </c>
      <c r="C1731">
        <v>5</v>
      </c>
      <c r="D1731" t="s">
        <v>76</v>
      </c>
      <c r="E1731" t="b">
        <v>1</v>
      </c>
      <c r="F1731" s="1">
        <v>0.77222222222222225</v>
      </c>
      <c r="G1731" s="1">
        <v>0.81111111111111112</v>
      </c>
      <c r="H1731">
        <v>56</v>
      </c>
      <c r="I1731" t="b">
        <v>1</v>
      </c>
      <c r="J1731" t="b">
        <v>0</v>
      </c>
      <c r="K1731" t="b">
        <v>1</v>
      </c>
      <c r="L1731" t="s">
        <v>28</v>
      </c>
      <c r="M1731">
        <v>50</v>
      </c>
      <c r="N1731" t="s">
        <v>29</v>
      </c>
      <c r="O1731">
        <v>50</v>
      </c>
      <c r="P1731" t="s">
        <v>40</v>
      </c>
      <c r="Q1731">
        <v>0.1</v>
      </c>
      <c r="R1731">
        <v>45</v>
      </c>
      <c r="S1731" t="s">
        <v>31</v>
      </c>
      <c r="T1731" t="s">
        <v>32</v>
      </c>
      <c r="U1731">
        <v>37.338200000000001</v>
      </c>
      <c r="V1731">
        <v>-121.88630000000001</v>
      </c>
      <c r="W1731" s="2">
        <v>45504</v>
      </c>
      <c r="X1731">
        <v>0</v>
      </c>
      <c r="Y1731" t="b">
        <v>1</v>
      </c>
      <c r="Z1731" s="2">
        <v>45842</v>
      </c>
      <c r="AA1731" t="str">
        <f t="shared" ref="AA1731:AA1794" si="271">TEXT(10*INT($A1731/10),"0")&amp;"–"&amp;TEXT(10*INT($A1731/10)+9,"0")</f>
        <v>10–19</v>
      </c>
      <c r="AB1731" t="str">
        <f t="shared" ref="AB1731:AB1794" si="272">IF(AND($AA1731 = "10–19", $A1731 &lt; 16), "Under 16", IF(AND($AA1731 = "10–19", $A1731 &gt;= 16), "16–19", $AA1731))</f>
        <v>Under 16</v>
      </c>
      <c r="AC1731" t="str">
        <f t="shared" ref="AC1731:AC1794" si="273">IF(ISNUMBER(SEARCH("Mon", $D1731)), "Monday", "")</f>
        <v>Monday</v>
      </c>
      <c r="AD1731" t="str">
        <f t="shared" ref="AD1731:AD1794" si="274">IF(ISNUMBER(SEARCH("Tue", $D1731)), "Tuesday", "")</f>
        <v>Tuesday</v>
      </c>
      <c r="AE1731" t="str">
        <f t="shared" ref="AE1731:AE1794" si="275">IF(ISNUMBER(SEARCH("Wed", $D1731)), "Wednesday", "")</f>
        <v>Wednesday</v>
      </c>
      <c r="AF1731" t="str">
        <f t="shared" ref="AF1731:AF1794" si="276">IF(ISNUMBER(SEARCH("Thu", $D1731)), "Thursday", "")</f>
        <v>Thursday</v>
      </c>
      <c r="AG1731" t="str">
        <f t="shared" ref="AG1731:AG1794" si="277">IF(ISNUMBER(SEARCH("Fri", $D1731)), "Friday", "")</f>
        <v/>
      </c>
      <c r="AH1731" t="str">
        <f t="shared" ref="AH1731:AH1794" si="278">IF(ISNUMBER(SEARCH("Sat", $D1731)), "Saturday", "")</f>
        <v/>
      </c>
      <c r="AI1731" t="str">
        <f t="shared" ref="AI1731:AI1794" si="279">IF(ISNUMBER(SEARCH("Sun", $D1731)), "Sunday", "")</f>
        <v>Sunday</v>
      </c>
      <c r="AJ1731" t="str">
        <f>LEFT(Table1[[#This Row],[membership_type]],2)&amp;TEXT(Table1[[#This Row],[age]],"00")&amp;"-"&amp;TEXT(ROW(),"000")</f>
        <v>Pr12-1731</v>
      </c>
      <c r="AK1731" t="str">
        <f>LEFT(Table1[[#This Row],[membership_type]],1)&amp;TEXT(MATCH(Table1[[#This Row],[membership_type]],Table1[membership_type],0),"00")</f>
        <v>P01</v>
      </c>
      <c r="AL1731" t="str">
        <f>LEFT(Table1[[#This Row],[discount_type]],1)&amp;TEXT(ROUND(Table1[[#This Row],[discount_rate]]*100,0),"00")</f>
        <v>L10</v>
      </c>
      <c r="AM1731" t="str" cm="1">
        <f t="array" ref="AM1731">TEXT(SUMPRODUCT(CODE(MID(Table1[[#This Row],[home_gym_location]],_xlfn.SEQUENCE(LEN(Table1[[#This Row],[home_gym_location]])),1))),"00000")</f>
        <v>00931</v>
      </c>
      <c r="AN173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31" t="str">
        <f>LEFT(_xlfn.TEXTBEFORE(Table1[[#This Row],[Location Identifier]],"-"),3) &amp; "-" &amp; _xlfn.TEXTAFTER(Table1[[#This Row],[Location Identifier]],"-")</f>
        <v>SAN-010</v>
      </c>
      <c r="AP1731" s="9">
        <f t="shared" ca="1" si="270"/>
        <v>45869</v>
      </c>
    </row>
    <row r="1732" spans="1:42" x14ac:dyDescent="0.25">
      <c r="A1732">
        <v>26</v>
      </c>
      <c r="B1732" t="s">
        <v>42</v>
      </c>
      <c r="C1732">
        <v>1</v>
      </c>
      <c r="D1732" t="s">
        <v>67</v>
      </c>
      <c r="E1732" t="b">
        <v>0</v>
      </c>
      <c r="F1732" s="1">
        <v>0.59791666666666665</v>
      </c>
      <c r="G1732" s="1">
        <v>0.72013888888888888</v>
      </c>
      <c r="H1732">
        <v>176</v>
      </c>
      <c r="I1732" t="b">
        <v>1</v>
      </c>
      <c r="J1732" t="b">
        <v>0</v>
      </c>
      <c r="K1732" t="b">
        <v>0</v>
      </c>
      <c r="L1732" t="s">
        <v>28</v>
      </c>
      <c r="M1732">
        <v>20</v>
      </c>
      <c r="N1732" t="s">
        <v>29</v>
      </c>
      <c r="O1732">
        <v>20</v>
      </c>
      <c r="P1732" t="s">
        <v>40</v>
      </c>
      <c r="Q1732">
        <v>0.1</v>
      </c>
      <c r="R1732">
        <v>18</v>
      </c>
      <c r="S1732" t="s">
        <v>44</v>
      </c>
      <c r="T1732" t="s">
        <v>65</v>
      </c>
      <c r="U1732">
        <v>33.770099999999999</v>
      </c>
      <c r="V1732">
        <v>-118.19370000000001</v>
      </c>
      <c r="W1732" s="2">
        <v>45166</v>
      </c>
      <c r="X1732">
        <v>0</v>
      </c>
      <c r="Y1732" t="b">
        <v>0</v>
      </c>
      <c r="Z1732" s="2">
        <v>45823</v>
      </c>
      <c r="AA1732" t="str">
        <f t="shared" si="271"/>
        <v>20–29</v>
      </c>
      <c r="AB1732" t="str">
        <f t="shared" si="272"/>
        <v>20–29</v>
      </c>
      <c r="AC1732" t="str">
        <f t="shared" si="273"/>
        <v/>
      </c>
      <c r="AD1732" t="str">
        <f t="shared" si="274"/>
        <v/>
      </c>
      <c r="AE1732" t="str">
        <f t="shared" si="275"/>
        <v/>
      </c>
      <c r="AF1732" t="str">
        <f t="shared" si="276"/>
        <v>Thursday</v>
      </c>
      <c r="AG1732" t="str">
        <f t="shared" si="277"/>
        <v/>
      </c>
      <c r="AH1732" t="str">
        <f t="shared" si="278"/>
        <v/>
      </c>
      <c r="AI1732" t="str">
        <f t="shared" si="279"/>
        <v/>
      </c>
      <c r="AJ1732" t="str">
        <f>LEFT(Table1[[#This Row],[membership_type]],2)&amp;TEXT(Table1[[#This Row],[age]],"00")&amp;"-"&amp;TEXT(ROW(),"000")</f>
        <v>Ba26-1732</v>
      </c>
      <c r="AK1732" t="str">
        <f>LEFT(Table1[[#This Row],[membership_type]],1)&amp;TEXT(MATCH(Table1[[#This Row],[membership_type]],Table1[membership_type],0),"00")</f>
        <v>B04</v>
      </c>
      <c r="AL1732" t="str">
        <f>LEFT(Table1[[#This Row],[discount_type]],1)&amp;TEXT(ROUND(Table1[[#This Row],[discount_rate]]*100,0),"00")</f>
        <v>L10</v>
      </c>
      <c r="AM1732" t="str" cm="1">
        <f t="array" ref="AM1732">TEXT(SUMPRODUCT(CODE(MID(Table1[[#This Row],[home_gym_location]],_xlfn.SEQUENCE(LEN(Table1[[#This Row],[home_gym_location]])),1))),"00000")</f>
        <v>01107</v>
      </c>
      <c r="AN173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32" t="str">
        <f>LEFT(_xlfn.TEXTBEFORE(Table1[[#This Row],[Location Identifier]],"-"),3) &amp; "-" &amp; _xlfn.TEXTAFTER(Table1[[#This Row],[Location Identifier]],"-")</f>
        <v>LON-004</v>
      </c>
      <c r="AP1732" s="9">
        <f t="shared" ca="1" si="270"/>
        <v>45869</v>
      </c>
    </row>
    <row r="1733" spans="1:42" x14ac:dyDescent="0.25">
      <c r="A1733">
        <v>23</v>
      </c>
      <c r="B1733" t="s">
        <v>26</v>
      </c>
      <c r="C1733">
        <v>2</v>
      </c>
      <c r="D1733" t="s">
        <v>108</v>
      </c>
      <c r="E1733" t="b">
        <v>1</v>
      </c>
      <c r="F1733" s="1">
        <v>0.61250000000000004</v>
      </c>
      <c r="G1733" s="1">
        <v>0.7055555555555556</v>
      </c>
      <c r="H1733">
        <v>134</v>
      </c>
      <c r="I1733" t="b">
        <v>1</v>
      </c>
      <c r="J1733" t="b">
        <v>1</v>
      </c>
      <c r="K1733" t="b">
        <v>0</v>
      </c>
      <c r="L1733" t="s">
        <v>62</v>
      </c>
      <c r="M1733">
        <v>50</v>
      </c>
      <c r="N1733" t="s">
        <v>29</v>
      </c>
      <c r="O1733">
        <v>50</v>
      </c>
      <c r="P1733" t="s">
        <v>30</v>
      </c>
      <c r="Q1733">
        <v>0.05</v>
      </c>
      <c r="R1733">
        <v>47.5</v>
      </c>
      <c r="S1733" t="s">
        <v>31</v>
      </c>
      <c r="T1733" t="s">
        <v>59</v>
      </c>
      <c r="U1733">
        <v>37.774900000000002</v>
      </c>
      <c r="V1733">
        <v>-122.4194</v>
      </c>
      <c r="W1733" s="2">
        <v>45269</v>
      </c>
      <c r="X1733">
        <v>7</v>
      </c>
      <c r="Y1733" t="b">
        <v>0</v>
      </c>
      <c r="Z1733" s="2">
        <v>45829</v>
      </c>
      <c r="AA1733" t="str">
        <f t="shared" si="271"/>
        <v>20–29</v>
      </c>
      <c r="AB1733" t="str">
        <f t="shared" si="272"/>
        <v>20–29</v>
      </c>
      <c r="AC1733" t="str">
        <f t="shared" si="273"/>
        <v/>
      </c>
      <c r="AD1733" t="str">
        <f t="shared" si="274"/>
        <v>Tuesday</v>
      </c>
      <c r="AE1733" t="str">
        <f t="shared" si="275"/>
        <v/>
      </c>
      <c r="AF1733" t="str">
        <f t="shared" si="276"/>
        <v>Thursday</v>
      </c>
      <c r="AG1733" t="str">
        <f t="shared" si="277"/>
        <v/>
      </c>
      <c r="AH1733" t="str">
        <f t="shared" si="278"/>
        <v/>
      </c>
      <c r="AI1733" t="str">
        <f t="shared" si="279"/>
        <v/>
      </c>
      <c r="AJ1733" t="str">
        <f>LEFT(Table1[[#This Row],[membership_type]],2)&amp;TEXT(Table1[[#This Row],[age]],"00")&amp;"-"&amp;TEXT(ROW(),"000")</f>
        <v>Pr23-1733</v>
      </c>
      <c r="AK1733" t="str">
        <f>LEFT(Table1[[#This Row],[membership_type]],1)&amp;TEXT(MATCH(Table1[[#This Row],[membership_type]],Table1[membership_type],0),"00")</f>
        <v>P01</v>
      </c>
      <c r="AL1733" t="str">
        <f>LEFT(Table1[[#This Row],[discount_type]],1)&amp;TEXT(ROUND(Table1[[#This Row],[discount_rate]]*100,0),"00")</f>
        <v>P05</v>
      </c>
      <c r="AM1733" t="str" cm="1">
        <f t="array" ref="AM1733">TEXT(SUMPRODUCT(CODE(MID(Table1[[#This Row],[home_gym_location]],_xlfn.SEQUENCE(LEN(Table1[[#This Row],[home_gym_location]])),1))),"00000")</f>
        <v>01450</v>
      </c>
      <c r="AN173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33" t="str">
        <f>LEFT(_xlfn.TEXTBEFORE(Table1[[#This Row],[Location Identifier]],"-"),3) &amp; "-" &amp; _xlfn.TEXTAFTER(Table1[[#This Row],[Location Identifier]],"-")</f>
        <v>SAN-009</v>
      </c>
      <c r="AP1733" s="9">
        <f t="shared" ca="1" si="270"/>
        <v>45869</v>
      </c>
    </row>
    <row r="1734" spans="1:42" x14ac:dyDescent="0.25">
      <c r="A1734">
        <v>13</v>
      </c>
      <c r="B1734" t="s">
        <v>33</v>
      </c>
      <c r="C1734">
        <v>3</v>
      </c>
      <c r="D1734" t="s">
        <v>93</v>
      </c>
      <c r="E1734" t="b">
        <v>0</v>
      </c>
      <c r="F1734" s="1">
        <v>0.85069444444444442</v>
      </c>
      <c r="G1734" s="1">
        <v>0.94722222222222219</v>
      </c>
      <c r="H1734">
        <v>139</v>
      </c>
      <c r="I1734" t="b">
        <v>0</v>
      </c>
      <c r="J1734" t="b">
        <v>1</v>
      </c>
      <c r="K1734" t="b">
        <v>0</v>
      </c>
      <c r="L1734" t="s">
        <v>28</v>
      </c>
      <c r="M1734">
        <v>30</v>
      </c>
      <c r="N1734" t="s">
        <v>29</v>
      </c>
      <c r="O1734">
        <v>30</v>
      </c>
      <c r="P1734" t="s">
        <v>36</v>
      </c>
      <c r="Q1734">
        <v>0</v>
      </c>
      <c r="R1734">
        <v>30</v>
      </c>
      <c r="S1734" t="s">
        <v>37</v>
      </c>
      <c r="T1734" t="s">
        <v>45</v>
      </c>
      <c r="U1734">
        <v>33.836599999999997</v>
      </c>
      <c r="V1734">
        <v>-117.9143</v>
      </c>
      <c r="W1734" s="2">
        <v>45377</v>
      </c>
      <c r="X1734">
        <v>4</v>
      </c>
      <c r="Y1734" t="b">
        <v>0</v>
      </c>
      <c r="Z1734" s="2">
        <v>45835</v>
      </c>
      <c r="AA1734" t="str">
        <f t="shared" si="271"/>
        <v>10–19</v>
      </c>
      <c r="AB1734" t="str">
        <f t="shared" si="272"/>
        <v>Under 16</v>
      </c>
      <c r="AC1734" t="str">
        <f t="shared" si="273"/>
        <v>Monday</v>
      </c>
      <c r="AD1734" t="str">
        <f t="shared" si="274"/>
        <v>Tuesday</v>
      </c>
      <c r="AE1734" t="str">
        <f t="shared" si="275"/>
        <v/>
      </c>
      <c r="AF1734" t="str">
        <f t="shared" si="276"/>
        <v>Thursday</v>
      </c>
      <c r="AG1734" t="str">
        <f t="shared" si="277"/>
        <v/>
      </c>
      <c r="AH1734" t="str">
        <f t="shared" si="278"/>
        <v/>
      </c>
      <c r="AI1734" t="str">
        <f t="shared" si="279"/>
        <v/>
      </c>
      <c r="AJ1734" t="str">
        <f>LEFT(Table1[[#This Row],[membership_type]],2)&amp;TEXT(Table1[[#This Row],[age]],"00")&amp;"-"&amp;TEXT(ROW(),"000")</f>
        <v>St13-1734</v>
      </c>
      <c r="AK1734" t="str">
        <f>LEFT(Table1[[#This Row],[membership_type]],1)&amp;TEXT(MATCH(Table1[[#This Row],[membership_type]],Table1[membership_type],0),"00")</f>
        <v>S02</v>
      </c>
      <c r="AL1734" t="str">
        <f>LEFT(Table1[[#This Row],[discount_type]],1)&amp;TEXT(ROUND(Table1[[#This Row],[discount_rate]]*100,0),"00")</f>
        <v>N00</v>
      </c>
      <c r="AM1734" t="str" cm="1">
        <f t="array" ref="AM1734">TEXT(SUMPRODUCT(CODE(MID(Table1[[#This Row],[home_gym_location]],_xlfn.SEQUENCE(LEN(Table1[[#This Row],[home_gym_location]])),1))),"00000")</f>
        <v>00899</v>
      </c>
      <c r="AN173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34" t="str">
        <f>LEFT(_xlfn.TEXTBEFORE(Table1[[#This Row],[Location Identifier]],"-"),3) &amp; "-" &amp; _xlfn.TEXTAFTER(Table1[[#This Row],[Location Identifier]],"-")</f>
        <v>ANA-001</v>
      </c>
      <c r="AP1734" s="9">
        <f t="shared" ca="1" si="270"/>
        <v>45869</v>
      </c>
    </row>
    <row r="1735" spans="1:42" x14ac:dyDescent="0.25">
      <c r="A1735">
        <v>25</v>
      </c>
      <c r="B1735" t="s">
        <v>26</v>
      </c>
      <c r="C1735">
        <v>2</v>
      </c>
      <c r="D1735" t="s">
        <v>108</v>
      </c>
      <c r="E1735" t="b">
        <v>0</v>
      </c>
      <c r="F1735" s="1">
        <v>0.4548611111111111</v>
      </c>
      <c r="G1735" s="1">
        <v>0.57708333333333328</v>
      </c>
      <c r="H1735">
        <v>176</v>
      </c>
      <c r="I1735" t="b">
        <v>1</v>
      </c>
      <c r="J1735" t="b">
        <v>0</v>
      </c>
      <c r="K1735" t="b">
        <v>1</v>
      </c>
      <c r="L1735" t="s">
        <v>62</v>
      </c>
      <c r="M1735">
        <v>50</v>
      </c>
      <c r="N1735" t="s">
        <v>64</v>
      </c>
      <c r="O1735">
        <v>37.5</v>
      </c>
      <c r="P1735" t="s">
        <v>36</v>
      </c>
      <c r="Q1735">
        <v>0</v>
      </c>
      <c r="R1735">
        <v>37.5</v>
      </c>
      <c r="S1735" t="s">
        <v>31</v>
      </c>
      <c r="T1735" t="s">
        <v>48</v>
      </c>
      <c r="U1735">
        <v>38.581600000000002</v>
      </c>
      <c r="V1735">
        <v>-121.4944</v>
      </c>
      <c r="W1735" s="2">
        <v>45691</v>
      </c>
      <c r="X1735">
        <v>0</v>
      </c>
      <c r="Y1735" t="b">
        <v>1</v>
      </c>
      <c r="Z1735" s="2">
        <v>45853</v>
      </c>
      <c r="AA1735" t="str">
        <f t="shared" si="271"/>
        <v>20–29</v>
      </c>
      <c r="AB1735" t="str">
        <f t="shared" si="272"/>
        <v>20–29</v>
      </c>
      <c r="AC1735" t="str">
        <f t="shared" si="273"/>
        <v/>
      </c>
      <c r="AD1735" t="str">
        <f t="shared" si="274"/>
        <v>Tuesday</v>
      </c>
      <c r="AE1735" t="str">
        <f t="shared" si="275"/>
        <v/>
      </c>
      <c r="AF1735" t="str">
        <f t="shared" si="276"/>
        <v>Thursday</v>
      </c>
      <c r="AG1735" t="str">
        <f t="shared" si="277"/>
        <v/>
      </c>
      <c r="AH1735" t="str">
        <f t="shared" si="278"/>
        <v/>
      </c>
      <c r="AI1735" t="str">
        <f t="shared" si="279"/>
        <v/>
      </c>
      <c r="AJ1735" t="str">
        <f>LEFT(Table1[[#This Row],[membership_type]],2)&amp;TEXT(Table1[[#This Row],[age]],"00")&amp;"-"&amp;TEXT(ROW(),"000")</f>
        <v>Pr25-1735</v>
      </c>
      <c r="AK1735" t="str">
        <f>LEFT(Table1[[#This Row],[membership_type]],1)&amp;TEXT(MATCH(Table1[[#This Row],[membership_type]],Table1[membership_type],0),"00")</f>
        <v>P01</v>
      </c>
      <c r="AL1735" t="str">
        <f>LEFT(Table1[[#This Row],[discount_type]],1)&amp;TEXT(ROUND(Table1[[#This Row],[discount_rate]]*100,0),"00")</f>
        <v>N00</v>
      </c>
      <c r="AM1735" t="str" cm="1">
        <f t="array" ref="AM1735">TEXT(SUMPRODUCT(CODE(MID(Table1[[#This Row],[home_gym_location]],_xlfn.SEQUENCE(LEN(Table1[[#This Row],[home_gym_location]])),1))),"00000")</f>
        <v>01245</v>
      </c>
      <c r="AN173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35" t="str">
        <f>LEFT(_xlfn.TEXTBEFORE(Table1[[#This Row],[Location Identifier]],"-"),3) &amp; "-" &amp; _xlfn.TEXTAFTER(Table1[[#This Row],[Location Identifier]],"-")</f>
        <v>SAC-007</v>
      </c>
      <c r="AP1735" s="9">
        <f t="shared" ca="1" si="270"/>
        <v>45869</v>
      </c>
    </row>
    <row r="1736" spans="1:42" x14ac:dyDescent="0.25">
      <c r="A1736">
        <v>34</v>
      </c>
      <c r="B1736" t="s">
        <v>33</v>
      </c>
      <c r="C1736">
        <v>2</v>
      </c>
      <c r="D1736" t="s">
        <v>73</v>
      </c>
      <c r="E1736" t="b">
        <v>0</v>
      </c>
      <c r="F1736" s="1">
        <v>0.70972222222222225</v>
      </c>
      <c r="G1736" s="1">
        <v>0.77500000000000002</v>
      </c>
      <c r="H1736">
        <v>94</v>
      </c>
      <c r="I1736" t="b">
        <v>1</v>
      </c>
      <c r="J1736" t="b">
        <v>1</v>
      </c>
      <c r="K1736" t="b">
        <v>1</v>
      </c>
      <c r="L1736" t="s">
        <v>28</v>
      </c>
      <c r="M1736">
        <v>30</v>
      </c>
      <c r="N1736" t="s">
        <v>29</v>
      </c>
      <c r="O1736">
        <v>30</v>
      </c>
      <c r="P1736" t="s">
        <v>74</v>
      </c>
      <c r="Q1736">
        <v>0.15</v>
      </c>
      <c r="R1736">
        <v>25.5</v>
      </c>
      <c r="S1736" t="s">
        <v>37</v>
      </c>
      <c r="T1736" t="s">
        <v>32</v>
      </c>
      <c r="U1736">
        <v>37.338200000000001</v>
      </c>
      <c r="V1736">
        <v>-121.88630000000001</v>
      </c>
      <c r="W1736" s="2">
        <v>44886</v>
      </c>
      <c r="X1736">
        <v>5</v>
      </c>
      <c r="Y1736" t="b">
        <v>0</v>
      </c>
      <c r="Z1736" s="2">
        <v>45807</v>
      </c>
      <c r="AA1736" t="str">
        <f t="shared" si="271"/>
        <v>30–39</v>
      </c>
      <c r="AB1736" t="str">
        <f t="shared" si="272"/>
        <v>30–39</v>
      </c>
      <c r="AC1736" t="str">
        <f t="shared" si="273"/>
        <v/>
      </c>
      <c r="AD1736" t="str">
        <f t="shared" si="274"/>
        <v>Tuesday</v>
      </c>
      <c r="AE1736" t="str">
        <f t="shared" si="275"/>
        <v/>
      </c>
      <c r="AF1736" t="str">
        <f t="shared" si="276"/>
        <v/>
      </c>
      <c r="AG1736" t="str">
        <f t="shared" si="277"/>
        <v>Friday</v>
      </c>
      <c r="AH1736" t="str">
        <f t="shared" si="278"/>
        <v/>
      </c>
      <c r="AI1736" t="str">
        <f t="shared" si="279"/>
        <v/>
      </c>
      <c r="AJ1736" t="str">
        <f>LEFT(Table1[[#This Row],[membership_type]],2)&amp;TEXT(Table1[[#This Row],[age]],"00")&amp;"-"&amp;TEXT(ROW(),"000")</f>
        <v>St34-1736</v>
      </c>
      <c r="AK1736" t="str">
        <f>LEFT(Table1[[#This Row],[membership_type]],1)&amp;TEXT(MATCH(Table1[[#This Row],[membership_type]],Table1[membership_type],0),"00")</f>
        <v>S02</v>
      </c>
      <c r="AL1736" t="str">
        <f>LEFT(Table1[[#This Row],[discount_type]],1)&amp;TEXT(ROUND(Table1[[#This Row],[discount_rate]]*100,0),"00")</f>
        <v>S15</v>
      </c>
      <c r="AM1736" t="str" cm="1">
        <f t="array" ref="AM1736">TEXT(SUMPRODUCT(CODE(MID(Table1[[#This Row],[home_gym_location]],_xlfn.SEQUENCE(LEN(Table1[[#This Row],[home_gym_location]])),1))),"00000")</f>
        <v>00931</v>
      </c>
      <c r="AN173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36" t="str">
        <f>LEFT(_xlfn.TEXTBEFORE(Table1[[#This Row],[Location Identifier]],"-"),3) &amp; "-" &amp; _xlfn.TEXTAFTER(Table1[[#This Row],[Location Identifier]],"-")</f>
        <v>SAN-010</v>
      </c>
      <c r="AP1736" s="9">
        <f t="shared" ca="1" si="270"/>
        <v>45869</v>
      </c>
    </row>
    <row r="1737" spans="1:42" x14ac:dyDescent="0.25">
      <c r="A1737">
        <v>30</v>
      </c>
      <c r="B1737" t="s">
        <v>42</v>
      </c>
      <c r="C1737">
        <v>5</v>
      </c>
      <c r="D1737" t="s">
        <v>72</v>
      </c>
      <c r="E1737" t="b">
        <v>0</v>
      </c>
      <c r="F1737" s="1">
        <v>0.72847222222222219</v>
      </c>
      <c r="G1737" s="1">
        <v>0.76736111111111116</v>
      </c>
      <c r="H1737">
        <v>56</v>
      </c>
      <c r="I1737" t="b">
        <v>0</v>
      </c>
      <c r="J1737" t="b">
        <v>1</v>
      </c>
      <c r="K1737" t="b">
        <v>0</v>
      </c>
      <c r="L1737" t="s">
        <v>35</v>
      </c>
      <c r="M1737">
        <v>20</v>
      </c>
      <c r="N1737" t="s">
        <v>29</v>
      </c>
      <c r="O1737">
        <v>20</v>
      </c>
      <c r="P1737" t="s">
        <v>74</v>
      </c>
      <c r="Q1737">
        <v>0.15</v>
      </c>
      <c r="R1737">
        <v>17</v>
      </c>
      <c r="S1737" t="s">
        <v>44</v>
      </c>
      <c r="T1737" t="s">
        <v>38</v>
      </c>
      <c r="U1737">
        <v>36.7378</v>
      </c>
      <c r="V1737">
        <v>-119.7871</v>
      </c>
      <c r="W1737" s="2">
        <v>45351</v>
      </c>
      <c r="X1737">
        <v>4</v>
      </c>
      <c r="Y1737" t="b">
        <v>0</v>
      </c>
      <c r="Z1737" s="2">
        <v>45834</v>
      </c>
      <c r="AA1737" t="str">
        <f t="shared" si="271"/>
        <v>30–39</v>
      </c>
      <c r="AB1737" t="str">
        <f t="shared" si="272"/>
        <v>30–39</v>
      </c>
      <c r="AC1737" t="str">
        <f t="shared" si="273"/>
        <v>Monday</v>
      </c>
      <c r="AD1737" t="str">
        <f t="shared" si="274"/>
        <v/>
      </c>
      <c r="AE1737" t="str">
        <f t="shared" si="275"/>
        <v>Wednesday</v>
      </c>
      <c r="AF1737" t="str">
        <f t="shared" si="276"/>
        <v>Thursday</v>
      </c>
      <c r="AG1737" t="str">
        <f t="shared" si="277"/>
        <v>Friday</v>
      </c>
      <c r="AH1737" t="str">
        <f t="shared" si="278"/>
        <v/>
      </c>
      <c r="AI1737" t="str">
        <f t="shared" si="279"/>
        <v>Sunday</v>
      </c>
      <c r="AJ1737" t="str">
        <f>LEFT(Table1[[#This Row],[membership_type]],2)&amp;TEXT(Table1[[#This Row],[age]],"00")&amp;"-"&amp;TEXT(ROW(),"000")</f>
        <v>Ba30-1737</v>
      </c>
      <c r="AK1737" t="str">
        <f>LEFT(Table1[[#This Row],[membership_type]],1)&amp;TEXT(MATCH(Table1[[#This Row],[membership_type]],Table1[membership_type],0),"00")</f>
        <v>B04</v>
      </c>
      <c r="AL1737" t="str">
        <f>LEFT(Table1[[#This Row],[discount_type]],1)&amp;TEXT(ROUND(Table1[[#This Row],[discount_rate]]*100,0),"00")</f>
        <v>S15</v>
      </c>
      <c r="AM1737" t="str" cm="1">
        <f t="array" ref="AM1737">TEXT(SUMPRODUCT(CODE(MID(Table1[[#This Row],[home_gym_location]],_xlfn.SEQUENCE(LEN(Table1[[#This Row],[home_gym_location]])),1))),"00000")</f>
        <v>00829</v>
      </c>
      <c r="AN1737" t="str">
        <f>UPPER(_xlfn.TEXTBEFORE(Table1[[#This Row],[home_gym_location]],","))&amp;"-"&amp;TEXT(MATCH(Table1[[#This Row],[home_gym_location]],_xlfn._xlws.SORT(_xlfn.UNIQUE(Table1[home_gym_location])),0),"000")</f>
        <v>FRESNO-003</v>
      </c>
      <c r="AO1737" t="str">
        <f>LEFT(_xlfn.TEXTBEFORE(Table1[[#This Row],[Location Identifier]],"-"),3) &amp; "-" &amp; _xlfn.TEXTAFTER(Table1[[#This Row],[Location Identifier]],"-")</f>
        <v>FRE-003</v>
      </c>
      <c r="AP1737" s="9">
        <f t="shared" ca="1" si="270"/>
        <v>45869</v>
      </c>
    </row>
    <row r="1738" spans="1:42" x14ac:dyDescent="0.25">
      <c r="A1738">
        <v>49</v>
      </c>
      <c r="B1738" t="s">
        <v>33</v>
      </c>
      <c r="C1738">
        <v>2</v>
      </c>
      <c r="D1738" t="s">
        <v>103</v>
      </c>
      <c r="E1738" t="b">
        <v>0</v>
      </c>
      <c r="F1738" s="1">
        <v>0.77777777777777779</v>
      </c>
      <c r="G1738" s="1">
        <v>0.86527777777777781</v>
      </c>
      <c r="H1738">
        <v>126</v>
      </c>
      <c r="I1738" t="b">
        <v>0</v>
      </c>
      <c r="J1738" t="b">
        <v>1</v>
      </c>
      <c r="K1738" t="b">
        <v>1</v>
      </c>
      <c r="L1738" t="s">
        <v>62</v>
      </c>
      <c r="M1738">
        <v>30</v>
      </c>
      <c r="N1738" t="s">
        <v>64</v>
      </c>
      <c r="O1738">
        <v>22.5</v>
      </c>
      <c r="P1738" t="s">
        <v>30</v>
      </c>
      <c r="Q1738">
        <v>0.05</v>
      </c>
      <c r="R1738">
        <v>21.375</v>
      </c>
      <c r="S1738" t="s">
        <v>37</v>
      </c>
      <c r="T1738" t="s">
        <v>45</v>
      </c>
      <c r="U1738">
        <v>33.836599999999997</v>
      </c>
      <c r="V1738">
        <v>-117.9143</v>
      </c>
      <c r="W1738" s="2">
        <v>45623</v>
      </c>
      <c r="X1738">
        <v>3</v>
      </c>
      <c r="Y1738" t="b">
        <v>1</v>
      </c>
      <c r="Z1738" s="2">
        <v>45849</v>
      </c>
      <c r="AA1738" t="str">
        <f t="shared" si="271"/>
        <v>40–49</v>
      </c>
      <c r="AB1738" t="str">
        <f t="shared" si="272"/>
        <v>40–49</v>
      </c>
      <c r="AC1738" t="str">
        <f t="shared" si="273"/>
        <v>Monday</v>
      </c>
      <c r="AD1738" t="str">
        <f t="shared" si="274"/>
        <v/>
      </c>
      <c r="AE1738" t="str">
        <f t="shared" si="275"/>
        <v/>
      </c>
      <c r="AF1738" t="str">
        <f t="shared" si="276"/>
        <v/>
      </c>
      <c r="AG1738" t="str">
        <f t="shared" si="277"/>
        <v/>
      </c>
      <c r="AH1738" t="str">
        <f t="shared" si="278"/>
        <v/>
      </c>
      <c r="AI1738" t="str">
        <f t="shared" si="279"/>
        <v>Sunday</v>
      </c>
      <c r="AJ1738" t="str">
        <f>LEFT(Table1[[#This Row],[membership_type]],2)&amp;TEXT(Table1[[#This Row],[age]],"00")&amp;"-"&amp;TEXT(ROW(),"000")</f>
        <v>St49-1738</v>
      </c>
      <c r="AK1738" t="str">
        <f>LEFT(Table1[[#This Row],[membership_type]],1)&amp;TEXT(MATCH(Table1[[#This Row],[membership_type]],Table1[membership_type],0),"00")</f>
        <v>S02</v>
      </c>
      <c r="AL1738" t="str">
        <f>LEFT(Table1[[#This Row],[discount_type]],1)&amp;TEXT(ROUND(Table1[[#This Row],[discount_rate]]*100,0),"00")</f>
        <v>P05</v>
      </c>
      <c r="AM1738" t="str" cm="1">
        <f t="array" ref="AM1738">TEXT(SUMPRODUCT(CODE(MID(Table1[[#This Row],[home_gym_location]],_xlfn.SEQUENCE(LEN(Table1[[#This Row],[home_gym_location]])),1))),"00000")</f>
        <v>00899</v>
      </c>
      <c r="AN173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38" t="str">
        <f>LEFT(_xlfn.TEXTBEFORE(Table1[[#This Row],[Location Identifier]],"-"),3) &amp; "-" &amp; _xlfn.TEXTAFTER(Table1[[#This Row],[Location Identifier]],"-")</f>
        <v>ANA-001</v>
      </c>
      <c r="AP1738" s="9">
        <f t="shared" ca="1" si="270"/>
        <v>45869</v>
      </c>
    </row>
    <row r="1739" spans="1:42" x14ac:dyDescent="0.25">
      <c r="A1739">
        <v>33</v>
      </c>
      <c r="B1739" t="s">
        <v>42</v>
      </c>
      <c r="C1739">
        <v>3</v>
      </c>
      <c r="D1739" t="s">
        <v>86</v>
      </c>
      <c r="E1739" t="b">
        <v>1</v>
      </c>
      <c r="F1739" s="1">
        <v>0.43333333333333335</v>
      </c>
      <c r="G1739" s="1">
        <v>0.53333333333333333</v>
      </c>
      <c r="H1739">
        <v>144</v>
      </c>
      <c r="I1739" t="b">
        <v>0</v>
      </c>
      <c r="J1739" t="b">
        <v>1</v>
      </c>
      <c r="K1739" t="b">
        <v>0</v>
      </c>
      <c r="L1739" t="s">
        <v>62</v>
      </c>
      <c r="M1739">
        <v>20</v>
      </c>
      <c r="N1739" t="s">
        <v>64</v>
      </c>
      <c r="O1739">
        <v>15</v>
      </c>
      <c r="P1739" t="s">
        <v>36</v>
      </c>
      <c r="Q1739">
        <v>0</v>
      </c>
      <c r="R1739">
        <v>15</v>
      </c>
      <c r="S1739" t="s">
        <v>44</v>
      </c>
      <c r="T1739" t="s">
        <v>65</v>
      </c>
      <c r="U1739">
        <v>33.770099999999999</v>
      </c>
      <c r="V1739">
        <v>-118.19370000000001</v>
      </c>
      <c r="W1739" s="2">
        <v>45439</v>
      </c>
      <c r="X1739">
        <v>7</v>
      </c>
      <c r="Y1739" t="b">
        <v>0</v>
      </c>
      <c r="Z1739" s="2">
        <v>45838</v>
      </c>
      <c r="AA1739" t="str">
        <f t="shared" si="271"/>
        <v>30–39</v>
      </c>
      <c r="AB1739" t="str">
        <f t="shared" si="272"/>
        <v>30–39</v>
      </c>
      <c r="AC1739" t="str">
        <f t="shared" si="273"/>
        <v/>
      </c>
      <c r="AD1739" t="str">
        <f t="shared" si="274"/>
        <v>Tuesday</v>
      </c>
      <c r="AE1739" t="str">
        <f t="shared" si="275"/>
        <v/>
      </c>
      <c r="AF1739" t="str">
        <f t="shared" si="276"/>
        <v/>
      </c>
      <c r="AG1739" t="str">
        <f t="shared" si="277"/>
        <v>Friday</v>
      </c>
      <c r="AH1739" t="str">
        <f t="shared" si="278"/>
        <v>Saturday</v>
      </c>
      <c r="AI1739" t="str">
        <f t="shared" si="279"/>
        <v/>
      </c>
      <c r="AJ1739" t="str">
        <f>LEFT(Table1[[#This Row],[membership_type]],2)&amp;TEXT(Table1[[#This Row],[age]],"00")&amp;"-"&amp;TEXT(ROW(),"000")</f>
        <v>Ba33-1739</v>
      </c>
      <c r="AK1739" t="str">
        <f>LEFT(Table1[[#This Row],[membership_type]],1)&amp;TEXT(MATCH(Table1[[#This Row],[membership_type]],Table1[membership_type],0),"00")</f>
        <v>B04</v>
      </c>
      <c r="AL1739" t="str">
        <f>LEFT(Table1[[#This Row],[discount_type]],1)&amp;TEXT(ROUND(Table1[[#This Row],[discount_rate]]*100,0),"00")</f>
        <v>N00</v>
      </c>
      <c r="AM1739" t="str" cm="1">
        <f t="array" ref="AM1739">TEXT(SUMPRODUCT(CODE(MID(Table1[[#This Row],[home_gym_location]],_xlfn.SEQUENCE(LEN(Table1[[#This Row],[home_gym_location]])),1))),"00000")</f>
        <v>01107</v>
      </c>
      <c r="AN173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39" t="str">
        <f>LEFT(_xlfn.TEXTBEFORE(Table1[[#This Row],[Location Identifier]],"-"),3) &amp; "-" &amp; _xlfn.TEXTAFTER(Table1[[#This Row],[Location Identifier]],"-")</f>
        <v>LON-004</v>
      </c>
      <c r="AP1739" s="9">
        <f t="shared" ca="1" si="270"/>
        <v>45869</v>
      </c>
    </row>
    <row r="1740" spans="1:42" x14ac:dyDescent="0.25">
      <c r="A1740">
        <v>31</v>
      </c>
      <c r="B1740" t="s">
        <v>26</v>
      </c>
      <c r="C1740">
        <v>2</v>
      </c>
      <c r="D1740" t="s">
        <v>116</v>
      </c>
      <c r="E1740" t="b">
        <v>1</v>
      </c>
      <c r="F1740" s="1">
        <v>0.85277777777777775</v>
      </c>
      <c r="G1740" s="1">
        <v>0.8930555555555556</v>
      </c>
      <c r="H1740">
        <v>58</v>
      </c>
      <c r="I1740" t="b">
        <v>0</v>
      </c>
      <c r="J1740" t="b">
        <v>1</v>
      </c>
      <c r="K1740" t="b">
        <v>0</v>
      </c>
      <c r="L1740" t="s">
        <v>35</v>
      </c>
      <c r="M1740">
        <v>50</v>
      </c>
      <c r="N1740" t="s">
        <v>29</v>
      </c>
      <c r="O1740">
        <v>50</v>
      </c>
      <c r="P1740" t="s">
        <v>74</v>
      </c>
      <c r="Q1740">
        <v>0.15</v>
      </c>
      <c r="R1740">
        <v>42.5</v>
      </c>
      <c r="S1740" t="s">
        <v>31</v>
      </c>
      <c r="T1740" t="s">
        <v>48</v>
      </c>
      <c r="U1740">
        <v>38.581600000000002</v>
      </c>
      <c r="V1740">
        <v>-121.4944</v>
      </c>
      <c r="W1740" s="2">
        <v>45389</v>
      </c>
      <c r="X1740">
        <v>4</v>
      </c>
      <c r="Y1740" t="b">
        <v>0</v>
      </c>
      <c r="Z1740" s="2">
        <v>45836</v>
      </c>
      <c r="AA1740" t="str">
        <f t="shared" si="271"/>
        <v>30–39</v>
      </c>
      <c r="AB1740" t="str">
        <f t="shared" si="272"/>
        <v>30–39</v>
      </c>
      <c r="AC1740" t="str">
        <f t="shared" si="273"/>
        <v/>
      </c>
      <c r="AD1740" t="str">
        <f t="shared" si="274"/>
        <v/>
      </c>
      <c r="AE1740" t="str">
        <f t="shared" si="275"/>
        <v/>
      </c>
      <c r="AF1740" t="str">
        <f t="shared" si="276"/>
        <v>Thursday</v>
      </c>
      <c r="AG1740" t="str">
        <f t="shared" si="277"/>
        <v/>
      </c>
      <c r="AH1740" t="str">
        <f t="shared" si="278"/>
        <v/>
      </c>
      <c r="AI1740" t="str">
        <f t="shared" si="279"/>
        <v>Sunday</v>
      </c>
      <c r="AJ1740" t="str">
        <f>LEFT(Table1[[#This Row],[membership_type]],2)&amp;TEXT(Table1[[#This Row],[age]],"00")&amp;"-"&amp;TEXT(ROW(),"000")</f>
        <v>Pr31-1740</v>
      </c>
      <c r="AK1740" t="str">
        <f>LEFT(Table1[[#This Row],[membership_type]],1)&amp;TEXT(MATCH(Table1[[#This Row],[membership_type]],Table1[membership_type],0),"00")</f>
        <v>P01</v>
      </c>
      <c r="AL1740" t="str">
        <f>LEFT(Table1[[#This Row],[discount_type]],1)&amp;TEXT(ROUND(Table1[[#This Row],[discount_rate]]*100,0),"00")</f>
        <v>S15</v>
      </c>
      <c r="AM1740" t="str" cm="1">
        <f t="array" ref="AM1740">TEXT(SUMPRODUCT(CODE(MID(Table1[[#This Row],[home_gym_location]],_xlfn.SEQUENCE(LEN(Table1[[#This Row],[home_gym_location]])),1))),"00000")</f>
        <v>01245</v>
      </c>
      <c r="AN174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40" t="str">
        <f>LEFT(_xlfn.TEXTBEFORE(Table1[[#This Row],[Location Identifier]],"-"),3) &amp; "-" &amp; _xlfn.TEXTAFTER(Table1[[#This Row],[Location Identifier]],"-")</f>
        <v>SAC-007</v>
      </c>
      <c r="AP1740" s="9">
        <f t="shared" ca="1" si="270"/>
        <v>45869</v>
      </c>
    </row>
    <row r="1741" spans="1:42" x14ac:dyDescent="0.25">
      <c r="A1741">
        <v>24</v>
      </c>
      <c r="B1741" t="s">
        <v>42</v>
      </c>
      <c r="C1741">
        <v>3</v>
      </c>
      <c r="D1741" t="s">
        <v>57</v>
      </c>
      <c r="E1741" t="b">
        <v>1</v>
      </c>
      <c r="F1741" s="1">
        <v>0.5</v>
      </c>
      <c r="G1741" s="1">
        <v>0.58888888888888891</v>
      </c>
      <c r="H1741">
        <v>128</v>
      </c>
      <c r="I1741" t="b">
        <v>1</v>
      </c>
      <c r="J1741" t="b">
        <v>0</v>
      </c>
      <c r="K1741" t="b">
        <v>1</v>
      </c>
      <c r="L1741" t="s">
        <v>58</v>
      </c>
      <c r="M1741">
        <v>20</v>
      </c>
      <c r="N1741" t="s">
        <v>29</v>
      </c>
      <c r="O1741">
        <v>20</v>
      </c>
      <c r="P1741" t="s">
        <v>40</v>
      </c>
      <c r="Q1741">
        <v>0.1</v>
      </c>
      <c r="R1741">
        <v>18</v>
      </c>
      <c r="S1741" t="s">
        <v>44</v>
      </c>
      <c r="T1741" t="s">
        <v>59</v>
      </c>
      <c r="U1741">
        <v>37.774900000000002</v>
      </c>
      <c r="V1741">
        <v>-122.4194</v>
      </c>
      <c r="W1741" s="2">
        <v>44949</v>
      </c>
      <c r="X1741">
        <v>0</v>
      </c>
      <c r="Y1741" t="b">
        <v>0</v>
      </c>
      <c r="Z1741" s="2">
        <v>45811</v>
      </c>
      <c r="AA1741" t="str">
        <f t="shared" si="271"/>
        <v>20–29</v>
      </c>
      <c r="AB1741" t="str">
        <f t="shared" si="272"/>
        <v>20–29</v>
      </c>
      <c r="AC1741" t="str">
        <f t="shared" si="273"/>
        <v/>
      </c>
      <c r="AD1741" t="str">
        <f t="shared" si="274"/>
        <v/>
      </c>
      <c r="AE1741" t="str">
        <f t="shared" si="275"/>
        <v>Wednesday</v>
      </c>
      <c r="AF1741" t="str">
        <f t="shared" si="276"/>
        <v>Thursday</v>
      </c>
      <c r="AG1741" t="str">
        <f t="shared" si="277"/>
        <v/>
      </c>
      <c r="AH1741" t="str">
        <f t="shared" si="278"/>
        <v>Saturday</v>
      </c>
      <c r="AI1741" t="str">
        <f t="shared" si="279"/>
        <v/>
      </c>
      <c r="AJ1741" t="str">
        <f>LEFT(Table1[[#This Row],[membership_type]],2)&amp;TEXT(Table1[[#This Row],[age]],"00")&amp;"-"&amp;TEXT(ROW(),"000")</f>
        <v>Ba24-1741</v>
      </c>
      <c r="AK1741" t="str">
        <f>LEFT(Table1[[#This Row],[membership_type]],1)&amp;TEXT(MATCH(Table1[[#This Row],[membership_type]],Table1[membership_type],0),"00")</f>
        <v>B04</v>
      </c>
      <c r="AL1741" t="str">
        <f>LEFT(Table1[[#This Row],[discount_type]],1)&amp;TEXT(ROUND(Table1[[#This Row],[discount_rate]]*100,0),"00")</f>
        <v>L10</v>
      </c>
      <c r="AM1741" t="str" cm="1">
        <f t="array" ref="AM1741">TEXT(SUMPRODUCT(CODE(MID(Table1[[#This Row],[home_gym_location]],_xlfn.SEQUENCE(LEN(Table1[[#This Row],[home_gym_location]])),1))),"00000")</f>
        <v>01450</v>
      </c>
      <c r="AN174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41" t="str">
        <f>LEFT(_xlfn.TEXTBEFORE(Table1[[#This Row],[Location Identifier]],"-"),3) &amp; "-" &amp; _xlfn.TEXTAFTER(Table1[[#This Row],[Location Identifier]],"-")</f>
        <v>SAN-009</v>
      </c>
      <c r="AP1741" s="9">
        <f t="shared" ca="1" si="270"/>
        <v>45869</v>
      </c>
    </row>
    <row r="1742" spans="1:42" x14ac:dyDescent="0.25">
      <c r="A1742">
        <v>49</v>
      </c>
      <c r="B1742" t="s">
        <v>33</v>
      </c>
      <c r="C1742">
        <v>2</v>
      </c>
      <c r="D1742" t="s">
        <v>139</v>
      </c>
      <c r="E1742" t="b">
        <v>0</v>
      </c>
      <c r="F1742" s="1">
        <v>0.65347222222222223</v>
      </c>
      <c r="G1742" s="1">
        <v>0.73958333333333337</v>
      </c>
      <c r="H1742">
        <v>124</v>
      </c>
      <c r="I1742" t="b">
        <v>1</v>
      </c>
      <c r="J1742" t="b">
        <v>0</v>
      </c>
      <c r="K1742" t="b">
        <v>0</v>
      </c>
      <c r="L1742" t="s">
        <v>28</v>
      </c>
      <c r="M1742">
        <v>30</v>
      </c>
      <c r="N1742" t="s">
        <v>29</v>
      </c>
      <c r="O1742">
        <v>30</v>
      </c>
      <c r="P1742" t="s">
        <v>40</v>
      </c>
      <c r="Q1742">
        <v>0.1</v>
      </c>
      <c r="R1742">
        <v>27</v>
      </c>
      <c r="S1742" t="s">
        <v>37</v>
      </c>
      <c r="T1742" t="s">
        <v>50</v>
      </c>
      <c r="U1742">
        <v>34.052199999999999</v>
      </c>
      <c r="V1742">
        <v>-118.2437</v>
      </c>
      <c r="W1742" s="2">
        <v>45049</v>
      </c>
      <c r="X1742">
        <v>0</v>
      </c>
      <c r="Y1742" t="b">
        <v>0</v>
      </c>
      <c r="Z1742" s="2">
        <v>45816</v>
      </c>
      <c r="AA1742" t="str">
        <f t="shared" si="271"/>
        <v>40–49</v>
      </c>
      <c r="AB1742" t="str">
        <f t="shared" si="272"/>
        <v>40–49</v>
      </c>
      <c r="AC1742" t="str">
        <f t="shared" si="273"/>
        <v/>
      </c>
      <c r="AD1742" t="str">
        <f t="shared" si="274"/>
        <v/>
      </c>
      <c r="AE1742" t="str">
        <f t="shared" si="275"/>
        <v>Wednesday</v>
      </c>
      <c r="AF1742" t="str">
        <f t="shared" si="276"/>
        <v/>
      </c>
      <c r="AG1742" t="str">
        <f t="shared" si="277"/>
        <v/>
      </c>
      <c r="AH1742" t="str">
        <f t="shared" si="278"/>
        <v>Saturday</v>
      </c>
      <c r="AI1742" t="str">
        <f t="shared" si="279"/>
        <v/>
      </c>
      <c r="AJ1742" t="str">
        <f>LEFT(Table1[[#This Row],[membership_type]],2)&amp;TEXT(Table1[[#This Row],[age]],"00")&amp;"-"&amp;TEXT(ROW(),"000")</f>
        <v>St49-1742</v>
      </c>
      <c r="AK1742" t="str">
        <f>LEFT(Table1[[#This Row],[membership_type]],1)&amp;TEXT(MATCH(Table1[[#This Row],[membership_type]],Table1[membership_type],0),"00")</f>
        <v>S02</v>
      </c>
      <c r="AL1742" t="str">
        <f>LEFT(Table1[[#This Row],[discount_type]],1)&amp;TEXT(ROUND(Table1[[#This Row],[discount_rate]]*100,0),"00")</f>
        <v>L10</v>
      </c>
      <c r="AM1742" t="str" cm="1">
        <f t="array" ref="AM1742">TEXT(SUMPRODUCT(CODE(MID(Table1[[#This Row],[home_gym_location]],_xlfn.SEQUENCE(LEN(Table1[[#This Row],[home_gym_location]])),1))),"00000")</f>
        <v>01245</v>
      </c>
      <c r="AN174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42" t="str">
        <f>LEFT(_xlfn.TEXTBEFORE(Table1[[#This Row],[Location Identifier]],"-"),3) &amp; "-" &amp; _xlfn.TEXTAFTER(Table1[[#This Row],[Location Identifier]],"-")</f>
        <v>LOS-005</v>
      </c>
      <c r="AP1742" s="9">
        <f t="shared" ca="1" si="270"/>
        <v>45869</v>
      </c>
    </row>
    <row r="1743" spans="1:42" x14ac:dyDescent="0.25">
      <c r="A1743">
        <v>34</v>
      </c>
      <c r="B1743" t="s">
        <v>42</v>
      </c>
      <c r="C1743">
        <v>3</v>
      </c>
      <c r="D1743" t="s">
        <v>100</v>
      </c>
      <c r="E1743" t="b">
        <v>0</v>
      </c>
      <c r="F1743" s="1">
        <v>0.38958333333333334</v>
      </c>
      <c r="G1743" s="1">
        <v>0.46597222222222223</v>
      </c>
      <c r="H1743">
        <v>110</v>
      </c>
      <c r="I1743" t="b">
        <v>1</v>
      </c>
      <c r="J1743" t="b">
        <v>0</v>
      </c>
      <c r="K1743" t="b">
        <v>0</v>
      </c>
      <c r="L1743" t="s">
        <v>47</v>
      </c>
      <c r="M1743">
        <v>20</v>
      </c>
      <c r="N1743" t="s">
        <v>29</v>
      </c>
      <c r="O1743">
        <v>20</v>
      </c>
      <c r="P1743" t="s">
        <v>40</v>
      </c>
      <c r="Q1743">
        <v>0.1</v>
      </c>
      <c r="R1743">
        <v>18</v>
      </c>
      <c r="S1743" t="s">
        <v>44</v>
      </c>
      <c r="T1743" t="s">
        <v>48</v>
      </c>
      <c r="U1743">
        <v>38.581600000000002</v>
      </c>
      <c r="V1743">
        <v>-121.4944</v>
      </c>
      <c r="W1743" s="2">
        <v>45011</v>
      </c>
      <c r="X1743">
        <v>0</v>
      </c>
      <c r="Y1743" t="b">
        <v>0</v>
      </c>
      <c r="Z1743" s="2">
        <v>45814</v>
      </c>
      <c r="AA1743" t="str">
        <f t="shared" si="271"/>
        <v>30–39</v>
      </c>
      <c r="AB1743" t="str">
        <f t="shared" si="272"/>
        <v>30–39</v>
      </c>
      <c r="AC1743" t="str">
        <f t="shared" si="273"/>
        <v/>
      </c>
      <c r="AD1743" t="str">
        <f t="shared" si="274"/>
        <v/>
      </c>
      <c r="AE1743" t="str">
        <f t="shared" si="275"/>
        <v>Wednesday</v>
      </c>
      <c r="AF1743" t="str">
        <f t="shared" si="276"/>
        <v/>
      </c>
      <c r="AG1743" t="str">
        <f t="shared" si="277"/>
        <v>Friday</v>
      </c>
      <c r="AH1743" t="str">
        <f t="shared" si="278"/>
        <v/>
      </c>
      <c r="AI1743" t="str">
        <f t="shared" si="279"/>
        <v>Sunday</v>
      </c>
      <c r="AJ1743" t="str">
        <f>LEFT(Table1[[#This Row],[membership_type]],2)&amp;TEXT(Table1[[#This Row],[age]],"00")&amp;"-"&amp;TEXT(ROW(),"000")</f>
        <v>Ba34-1743</v>
      </c>
      <c r="AK1743" t="str">
        <f>LEFT(Table1[[#This Row],[membership_type]],1)&amp;TEXT(MATCH(Table1[[#This Row],[membership_type]],Table1[membership_type],0),"00")</f>
        <v>B04</v>
      </c>
      <c r="AL1743" t="str">
        <f>LEFT(Table1[[#This Row],[discount_type]],1)&amp;TEXT(ROUND(Table1[[#This Row],[discount_rate]]*100,0),"00")</f>
        <v>L10</v>
      </c>
      <c r="AM1743" t="str" cm="1">
        <f t="array" ref="AM1743">TEXT(SUMPRODUCT(CODE(MID(Table1[[#This Row],[home_gym_location]],_xlfn.SEQUENCE(LEN(Table1[[#This Row],[home_gym_location]])),1))),"00000")</f>
        <v>01245</v>
      </c>
      <c r="AN17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43" t="str">
        <f>LEFT(_xlfn.TEXTBEFORE(Table1[[#This Row],[Location Identifier]],"-"),3) &amp; "-" &amp; _xlfn.TEXTAFTER(Table1[[#This Row],[Location Identifier]],"-")</f>
        <v>SAC-007</v>
      </c>
      <c r="AP1743" s="9">
        <f t="shared" ca="1" si="270"/>
        <v>45869</v>
      </c>
    </row>
    <row r="1744" spans="1:42" x14ac:dyDescent="0.25">
      <c r="A1744">
        <v>40</v>
      </c>
      <c r="B1744" t="s">
        <v>26</v>
      </c>
      <c r="C1744">
        <v>3</v>
      </c>
      <c r="D1744" t="s">
        <v>89</v>
      </c>
      <c r="E1744" t="b">
        <v>0</v>
      </c>
      <c r="F1744" s="1">
        <v>0.36180555555555555</v>
      </c>
      <c r="G1744" s="1">
        <v>0.39930555555555558</v>
      </c>
      <c r="H1744">
        <v>54</v>
      </c>
      <c r="I1744" t="b">
        <v>1</v>
      </c>
      <c r="J1744" t="b">
        <v>0</v>
      </c>
      <c r="K1744" t="b">
        <v>1</v>
      </c>
      <c r="L1744" t="s">
        <v>62</v>
      </c>
      <c r="M1744">
        <v>50</v>
      </c>
      <c r="N1744" t="s">
        <v>29</v>
      </c>
      <c r="O1744">
        <v>50</v>
      </c>
      <c r="P1744" t="s">
        <v>74</v>
      </c>
      <c r="Q1744">
        <v>0.15</v>
      </c>
      <c r="R1744">
        <v>42.5</v>
      </c>
      <c r="S1744" t="s">
        <v>31</v>
      </c>
      <c r="T1744" t="s">
        <v>65</v>
      </c>
      <c r="U1744">
        <v>33.770099999999999</v>
      </c>
      <c r="V1744">
        <v>-118.19370000000001</v>
      </c>
      <c r="W1744" s="2">
        <v>45819</v>
      </c>
      <c r="X1744">
        <v>0</v>
      </c>
      <c r="Y1744" t="b">
        <v>1</v>
      </c>
      <c r="Z1744" s="2">
        <v>45860</v>
      </c>
      <c r="AA1744" t="str">
        <f t="shared" si="271"/>
        <v>40–49</v>
      </c>
      <c r="AB1744" t="str">
        <f t="shared" si="272"/>
        <v>40–49</v>
      </c>
      <c r="AC1744" t="str">
        <f t="shared" si="273"/>
        <v>Monday</v>
      </c>
      <c r="AD1744" t="str">
        <f t="shared" si="274"/>
        <v>Tuesday</v>
      </c>
      <c r="AE1744" t="str">
        <f t="shared" si="275"/>
        <v/>
      </c>
      <c r="AF1744" t="str">
        <f t="shared" si="276"/>
        <v/>
      </c>
      <c r="AG1744" t="str">
        <f t="shared" si="277"/>
        <v/>
      </c>
      <c r="AH1744" t="str">
        <f t="shared" si="278"/>
        <v>Saturday</v>
      </c>
      <c r="AI1744" t="str">
        <f t="shared" si="279"/>
        <v/>
      </c>
      <c r="AJ1744" t="str">
        <f>LEFT(Table1[[#This Row],[membership_type]],2)&amp;TEXT(Table1[[#This Row],[age]],"00")&amp;"-"&amp;TEXT(ROW(),"000")</f>
        <v>Pr40-1744</v>
      </c>
      <c r="AK1744" t="str">
        <f>LEFT(Table1[[#This Row],[membership_type]],1)&amp;TEXT(MATCH(Table1[[#This Row],[membership_type]],Table1[membership_type],0),"00")</f>
        <v>P01</v>
      </c>
      <c r="AL1744" t="str">
        <f>LEFT(Table1[[#This Row],[discount_type]],1)&amp;TEXT(ROUND(Table1[[#This Row],[discount_rate]]*100,0),"00")</f>
        <v>S15</v>
      </c>
      <c r="AM1744" t="str" cm="1">
        <f t="array" ref="AM1744">TEXT(SUMPRODUCT(CODE(MID(Table1[[#This Row],[home_gym_location]],_xlfn.SEQUENCE(LEN(Table1[[#This Row],[home_gym_location]])),1))),"00000")</f>
        <v>01107</v>
      </c>
      <c r="AN174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44" t="str">
        <f>LEFT(_xlfn.TEXTBEFORE(Table1[[#This Row],[Location Identifier]],"-"),3) &amp; "-" &amp; _xlfn.TEXTAFTER(Table1[[#This Row],[Location Identifier]],"-")</f>
        <v>LON-004</v>
      </c>
      <c r="AP1744" s="9">
        <f t="shared" ca="1" si="270"/>
        <v>45869</v>
      </c>
    </row>
    <row r="1745" spans="1:42" x14ac:dyDescent="0.25">
      <c r="A1745">
        <v>49</v>
      </c>
      <c r="B1745" t="s">
        <v>26</v>
      </c>
      <c r="C1745">
        <v>3</v>
      </c>
      <c r="D1745" t="s">
        <v>90</v>
      </c>
      <c r="E1745" t="b">
        <v>1</v>
      </c>
      <c r="F1745" s="1">
        <v>0.45347222222222222</v>
      </c>
      <c r="G1745" s="1">
        <v>0.56180555555555556</v>
      </c>
      <c r="H1745">
        <v>156</v>
      </c>
      <c r="I1745" t="b">
        <v>0</v>
      </c>
      <c r="J1745" t="b">
        <v>1</v>
      </c>
      <c r="K1745" t="b">
        <v>0</v>
      </c>
      <c r="L1745" t="s">
        <v>62</v>
      </c>
      <c r="M1745">
        <v>50</v>
      </c>
      <c r="N1745" t="s">
        <v>29</v>
      </c>
      <c r="O1745">
        <v>50</v>
      </c>
      <c r="P1745" t="s">
        <v>36</v>
      </c>
      <c r="Q1745">
        <v>0</v>
      </c>
      <c r="R1745">
        <v>50</v>
      </c>
      <c r="S1745" t="s">
        <v>31</v>
      </c>
      <c r="T1745" t="s">
        <v>50</v>
      </c>
      <c r="U1745">
        <v>34.052199999999999</v>
      </c>
      <c r="V1745">
        <v>-118.2437</v>
      </c>
      <c r="W1745" s="2">
        <v>45387</v>
      </c>
      <c r="X1745">
        <v>3</v>
      </c>
      <c r="Y1745" t="b">
        <v>0</v>
      </c>
      <c r="Z1745" s="2">
        <v>45836</v>
      </c>
      <c r="AA1745" t="str">
        <f t="shared" si="271"/>
        <v>40–49</v>
      </c>
      <c r="AB1745" t="str">
        <f t="shared" si="272"/>
        <v>40–49</v>
      </c>
      <c r="AC1745" t="str">
        <f t="shared" si="273"/>
        <v/>
      </c>
      <c r="AD1745" t="str">
        <f t="shared" si="274"/>
        <v>Tuesday</v>
      </c>
      <c r="AE1745" t="str">
        <f t="shared" si="275"/>
        <v/>
      </c>
      <c r="AF1745" t="str">
        <f t="shared" si="276"/>
        <v/>
      </c>
      <c r="AG1745" t="str">
        <f t="shared" si="277"/>
        <v/>
      </c>
      <c r="AH1745" t="str">
        <f t="shared" si="278"/>
        <v>Saturday</v>
      </c>
      <c r="AI1745" t="str">
        <f t="shared" si="279"/>
        <v>Sunday</v>
      </c>
      <c r="AJ1745" t="str">
        <f>LEFT(Table1[[#This Row],[membership_type]],2)&amp;TEXT(Table1[[#This Row],[age]],"00")&amp;"-"&amp;TEXT(ROW(),"000")</f>
        <v>Pr49-1745</v>
      </c>
      <c r="AK1745" t="str">
        <f>LEFT(Table1[[#This Row],[membership_type]],1)&amp;TEXT(MATCH(Table1[[#This Row],[membership_type]],Table1[membership_type],0),"00")</f>
        <v>P01</v>
      </c>
      <c r="AL1745" t="str">
        <f>LEFT(Table1[[#This Row],[discount_type]],1)&amp;TEXT(ROUND(Table1[[#This Row],[discount_rate]]*100,0),"00")</f>
        <v>N00</v>
      </c>
      <c r="AM1745" t="str" cm="1">
        <f t="array" ref="AM1745">TEXT(SUMPRODUCT(CODE(MID(Table1[[#This Row],[home_gym_location]],_xlfn.SEQUENCE(LEN(Table1[[#This Row],[home_gym_location]])),1))),"00000")</f>
        <v>01245</v>
      </c>
      <c r="AN174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45" t="str">
        <f>LEFT(_xlfn.TEXTBEFORE(Table1[[#This Row],[Location Identifier]],"-"),3) &amp; "-" &amp; _xlfn.TEXTAFTER(Table1[[#This Row],[Location Identifier]],"-")</f>
        <v>LOS-005</v>
      </c>
      <c r="AP1745" s="9">
        <f t="shared" ca="1" si="270"/>
        <v>45869</v>
      </c>
    </row>
    <row r="1746" spans="1:42" x14ac:dyDescent="0.25">
      <c r="A1746">
        <v>16</v>
      </c>
      <c r="B1746" t="s">
        <v>51</v>
      </c>
      <c r="C1746">
        <v>3</v>
      </c>
      <c r="D1746" t="s">
        <v>83</v>
      </c>
      <c r="E1746" t="b">
        <v>0</v>
      </c>
      <c r="F1746" s="1">
        <v>0.77708333333333335</v>
      </c>
      <c r="G1746" s="1">
        <v>0.87083333333333335</v>
      </c>
      <c r="H1746">
        <v>135</v>
      </c>
      <c r="I1746" t="b">
        <v>0</v>
      </c>
      <c r="J1746" t="b">
        <v>0</v>
      </c>
      <c r="K1746" t="b">
        <v>0</v>
      </c>
      <c r="L1746" t="s">
        <v>28</v>
      </c>
      <c r="M1746">
        <v>70</v>
      </c>
      <c r="N1746" t="s">
        <v>78</v>
      </c>
      <c r="O1746">
        <v>63</v>
      </c>
      <c r="P1746" t="s">
        <v>36</v>
      </c>
      <c r="Q1746">
        <v>0</v>
      </c>
      <c r="R1746">
        <v>63</v>
      </c>
      <c r="S1746" t="s">
        <v>53</v>
      </c>
      <c r="T1746" t="s">
        <v>56</v>
      </c>
      <c r="U1746">
        <v>35.3733</v>
      </c>
      <c r="V1746">
        <v>-119.0187</v>
      </c>
      <c r="W1746" s="2">
        <v>45318</v>
      </c>
      <c r="X1746">
        <v>0</v>
      </c>
      <c r="Y1746" t="b">
        <v>1</v>
      </c>
      <c r="Z1746" s="2">
        <v>45832</v>
      </c>
      <c r="AA1746" t="str">
        <f t="shared" si="271"/>
        <v>10–19</v>
      </c>
      <c r="AB1746" t="str">
        <f t="shared" si="272"/>
        <v>16–19</v>
      </c>
      <c r="AC1746" t="str">
        <f t="shared" si="273"/>
        <v/>
      </c>
      <c r="AD1746" t="str">
        <f t="shared" si="274"/>
        <v>Tuesday</v>
      </c>
      <c r="AE1746" t="str">
        <f t="shared" si="275"/>
        <v>Wednesday</v>
      </c>
      <c r="AF1746" t="str">
        <f t="shared" si="276"/>
        <v/>
      </c>
      <c r="AG1746" t="str">
        <f t="shared" si="277"/>
        <v/>
      </c>
      <c r="AH1746" t="str">
        <f t="shared" si="278"/>
        <v>Saturday</v>
      </c>
      <c r="AI1746" t="str">
        <f t="shared" si="279"/>
        <v/>
      </c>
      <c r="AJ1746" t="str">
        <f>LEFT(Table1[[#This Row],[membership_type]],2)&amp;TEXT(Table1[[#This Row],[age]],"00")&amp;"-"&amp;TEXT(ROW(),"000")</f>
        <v>El16-1746</v>
      </c>
      <c r="AK1746" t="str">
        <f>LEFT(Table1[[#This Row],[membership_type]],1)&amp;TEXT(MATCH(Table1[[#This Row],[membership_type]],Table1[membership_type],0),"00")</f>
        <v>E07</v>
      </c>
      <c r="AL1746" t="str">
        <f>LEFT(Table1[[#This Row],[discount_type]],1)&amp;TEXT(ROUND(Table1[[#This Row],[discount_rate]]*100,0),"00")</f>
        <v>N00</v>
      </c>
      <c r="AM1746" t="str" cm="1">
        <f t="array" ref="AM1746">TEXT(SUMPRODUCT(CODE(MID(Table1[[#This Row],[home_gym_location]],_xlfn.SEQUENCE(LEN(Table1[[#This Row],[home_gym_location]])),1))),"00000")</f>
        <v>01324</v>
      </c>
      <c r="AN174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46" t="str">
        <f>LEFT(_xlfn.TEXTBEFORE(Table1[[#This Row],[Location Identifier]],"-"),3) &amp; "-" &amp; _xlfn.TEXTAFTER(Table1[[#This Row],[Location Identifier]],"-")</f>
        <v>BAK-002</v>
      </c>
      <c r="AP1746" s="9">
        <f t="shared" ca="1" si="270"/>
        <v>45869</v>
      </c>
    </row>
    <row r="1747" spans="1:42" x14ac:dyDescent="0.25">
      <c r="A1747">
        <v>47</v>
      </c>
      <c r="B1747" t="s">
        <v>42</v>
      </c>
      <c r="C1747">
        <v>2</v>
      </c>
      <c r="D1747" t="s">
        <v>123</v>
      </c>
      <c r="E1747" t="b">
        <v>1</v>
      </c>
      <c r="F1747" s="1">
        <v>0.61250000000000004</v>
      </c>
      <c r="G1747" s="1">
        <v>0.67222222222222228</v>
      </c>
      <c r="H1747">
        <v>86</v>
      </c>
      <c r="I1747" t="b">
        <v>0</v>
      </c>
      <c r="J1747" t="b">
        <v>1</v>
      </c>
      <c r="K1747" t="b">
        <v>1</v>
      </c>
      <c r="L1747" t="s">
        <v>47</v>
      </c>
      <c r="M1747">
        <v>20</v>
      </c>
      <c r="N1747" t="s">
        <v>78</v>
      </c>
      <c r="O1747">
        <v>18</v>
      </c>
      <c r="P1747" t="s">
        <v>36</v>
      </c>
      <c r="Q1747">
        <v>0</v>
      </c>
      <c r="R1747">
        <v>18</v>
      </c>
      <c r="S1747" t="s">
        <v>44</v>
      </c>
      <c r="T1747" t="s">
        <v>56</v>
      </c>
      <c r="U1747">
        <v>35.3733</v>
      </c>
      <c r="V1747">
        <v>-119.0187</v>
      </c>
      <c r="W1747" s="2">
        <v>45810</v>
      </c>
      <c r="X1747">
        <v>1</v>
      </c>
      <c r="Y1747" t="b">
        <v>0</v>
      </c>
      <c r="Z1747" s="2">
        <v>45859</v>
      </c>
      <c r="AA1747" t="str">
        <f t="shared" si="271"/>
        <v>40–49</v>
      </c>
      <c r="AB1747" t="str">
        <f t="shared" si="272"/>
        <v>40–49</v>
      </c>
      <c r="AC1747" t="str">
        <f t="shared" si="273"/>
        <v>Monday</v>
      </c>
      <c r="AD1747" t="str">
        <f t="shared" si="274"/>
        <v/>
      </c>
      <c r="AE1747" t="str">
        <f t="shared" si="275"/>
        <v/>
      </c>
      <c r="AF1747" t="str">
        <f t="shared" si="276"/>
        <v/>
      </c>
      <c r="AG1747" t="str">
        <f t="shared" si="277"/>
        <v/>
      </c>
      <c r="AH1747" t="str">
        <f t="shared" si="278"/>
        <v>Saturday</v>
      </c>
      <c r="AI1747" t="str">
        <f t="shared" si="279"/>
        <v/>
      </c>
      <c r="AJ1747" t="str">
        <f>LEFT(Table1[[#This Row],[membership_type]],2)&amp;TEXT(Table1[[#This Row],[age]],"00")&amp;"-"&amp;TEXT(ROW(),"000")</f>
        <v>Ba47-1747</v>
      </c>
      <c r="AK1747" t="str">
        <f>LEFT(Table1[[#This Row],[membership_type]],1)&amp;TEXT(MATCH(Table1[[#This Row],[membership_type]],Table1[membership_type],0),"00")</f>
        <v>B04</v>
      </c>
      <c r="AL1747" t="str">
        <f>LEFT(Table1[[#This Row],[discount_type]],1)&amp;TEXT(ROUND(Table1[[#This Row],[discount_rate]]*100,0),"00")</f>
        <v>N00</v>
      </c>
      <c r="AM1747" t="str" cm="1">
        <f t="array" ref="AM1747">TEXT(SUMPRODUCT(CODE(MID(Table1[[#This Row],[home_gym_location]],_xlfn.SEQUENCE(LEN(Table1[[#This Row],[home_gym_location]])),1))),"00000")</f>
        <v>01324</v>
      </c>
      <c r="AN1747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47" t="str">
        <f>LEFT(_xlfn.TEXTBEFORE(Table1[[#This Row],[Location Identifier]],"-"),3) &amp; "-" &amp; _xlfn.TEXTAFTER(Table1[[#This Row],[Location Identifier]],"-")</f>
        <v>BAK-002</v>
      </c>
      <c r="AP1747" s="9">
        <f t="shared" ca="1" si="270"/>
        <v>45869</v>
      </c>
    </row>
    <row r="1748" spans="1:42" x14ac:dyDescent="0.25">
      <c r="A1748">
        <v>37</v>
      </c>
      <c r="B1748" t="s">
        <v>42</v>
      </c>
      <c r="C1748">
        <v>5</v>
      </c>
      <c r="D1748" t="s">
        <v>112</v>
      </c>
      <c r="E1748" t="b">
        <v>1</v>
      </c>
      <c r="F1748" s="1">
        <v>0.78333333333333333</v>
      </c>
      <c r="G1748" s="1">
        <v>0.87708333333333333</v>
      </c>
      <c r="H1748">
        <v>135</v>
      </c>
      <c r="I1748" t="b">
        <v>0</v>
      </c>
      <c r="J1748" t="b">
        <v>1</v>
      </c>
      <c r="K1748" t="b">
        <v>1</v>
      </c>
      <c r="L1748" t="s">
        <v>28</v>
      </c>
      <c r="M1748">
        <v>20</v>
      </c>
      <c r="N1748" t="s">
        <v>64</v>
      </c>
      <c r="O1748">
        <v>15</v>
      </c>
      <c r="P1748" t="s">
        <v>74</v>
      </c>
      <c r="Q1748">
        <v>0.15</v>
      </c>
      <c r="R1748">
        <v>12.75</v>
      </c>
      <c r="S1748" t="s">
        <v>44</v>
      </c>
      <c r="T1748" t="s">
        <v>59</v>
      </c>
      <c r="U1748">
        <v>37.774900000000002</v>
      </c>
      <c r="V1748">
        <v>-122.4194</v>
      </c>
      <c r="W1748" s="2">
        <v>45554</v>
      </c>
      <c r="X1748">
        <v>4</v>
      </c>
      <c r="Y1748" t="b">
        <v>0</v>
      </c>
      <c r="Z1748" s="2">
        <v>45845</v>
      </c>
      <c r="AA1748" t="str">
        <f t="shared" si="271"/>
        <v>30–39</v>
      </c>
      <c r="AB1748" t="str">
        <f t="shared" si="272"/>
        <v>30–39</v>
      </c>
      <c r="AC1748" t="str">
        <f t="shared" si="273"/>
        <v>Monday</v>
      </c>
      <c r="AD1748" t="str">
        <f t="shared" si="274"/>
        <v/>
      </c>
      <c r="AE1748" t="str">
        <f t="shared" si="275"/>
        <v/>
      </c>
      <c r="AF1748" t="str">
        <f t="shared" si="276"/>
        <v>Thursday</v>
      </c>
      <c r="AG1748" t="str">
        <f t="shared" si="277"/>
        <v>Friday</v>
      </c>
      <c r="AH1748" t="str">
        <f t="shared" si="278"/>
        <v>Saturday</v>
      </c>
      <c r="AI1748" t="str">
        <f t="shared" si="279"/>
        <v>Sunday</v>
      </c>
      <c r="AJ1748" t="str">
        <f>LEFT(Table1[[#This Row],[membership_type]],2)&amp;TEXT(Table1[[#This Row],[age]],"00")&amp;"-"&amp;TEXT(ROW(),"000")</f>
        <v>Ba37-1748</v>
      </c>
      <c r="AK1748" t="str">
        <f>LEFT(Table1[[#This Row],[membership_type]],1)&amp;TEXT(MATCH(Table1[[#This Row],[membership_type]],Table1[membership_type],0),"00")</f>
        <v>B04</v>
      </c>
      <c r="AL1748" t="str">
        <f>LEFT(Table1[[#This Row],[discount_type]],1)&amp;TEXT(ROUND(Table1[[#This Row],[discount_rate]]*100,0),"00")</f>
        <v>S15</v>
      </c>
      <c r="AM1748" t="str" cm="1">
        <f t="array" ref="AM1748">TEXT(SUMPRODUCT(CODE(MID(Table1[[#This Row],[home_gym_location]],_xlfn.SEQUENCE(LEN(Table1[[#This Row],[home_gym_location]])),1))),"00000")</f>
        <v>01450</v>
      </c>
      <c r="AN174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48" t="str">
        <f>LEFT(_xlfn.TEXTBEFORE(Table1[[#This Row],[Location Identifier]],"-"),3) &amp; "-" &amp; _xlfn.TEXTAFTER(Table1[[#This Row],[Location Identifier]],"-")</f>
        <v>SAN-009</v>
      </c>
      <c r="AP1748" s="9">
        <f t="shared" ca="1" si="270"/>
        <v>45869</v>
      </c>
    </row>
    <row r="1749" spans="1:42" x14ac:dyDescent="0.25">
      <c r="A1749">
        <v>34</v>
      </c>
      <c r="B1749" t="s">
        <v>33</v>
      </c>
      <c r="C1749">
        <v>1</v>
      </c>
      <c r="D1749" t="s">
        <v>49</v>
      </c>
      <c r="E1749" t="b">
        <v>1</v>
      </c>
      <c r="F1749" s="1">
        <v>0.38472222222222224</v>
      </c>
      <c r="G1749" s="1">
        <v>0.49444444444444446</v>
      </c>
      <c r="H1749">
        <v>158</v>
      </c>
      <c r="I1749" t="b">
        <v>0</v>
      </c>
      <c r="J1749" t="b">
        <v>1</v>
      </c>
      <c r="K1749" t="b">
        <v>0</v>
      </c>
      <c r="L1749" t="s">
        <v>28</v>
      </c>
      <c r="M1749">
        <v>30</v>
      </c>
      <c r="N1749" t="s">
        <v>64</v>
      </c>
      <c r="O1749">
        <v>22.5</v>
      </c>
      <c r="P1749" t="s">
        <v>36</v>
      </c>
      <c r="Q1749">
        <v>0</v>
      </c>
      <c r="R1749">
        <v>22.5</v>
      </c>
      <c r="S1749" t="s">
        <v>37</v>
      </c>
      <c r="T1749" t="s">
        <v>45</v>
      </c>
      <c r="U1749">
        <v>33.836599999999997</v>
      </c>
      <c r="V1749">
        <v>-117.9143</v>
      </c>
      <c r="W1749" s="2">
        <v>45021</v>
      </c>
      <c r="X1749">
        <v>7</v>
      </c>
      <c r="Y1749" t="b">
        <v>0</v>
      </c>
      <c r="Z1749" s="2">
        <v>45815</v>
      </c>
      <c r="AA1749" t="str">
        <f t="shared" si="271"/>
        <v>30–39</v>
      </c>
      <c r="AB1749" t="str">
        <f t="shared" si="272"/>
        <v>30–39</v>
      </c>
      <c r="AC1749" t="str">
        <f t="shared" si="273"/>
        <v/>
      </c>
      <c r="AD1749" t="str">
        <f t="shared" si="274"/>
        <v/>
      </c>
      <c r="AE1749" t="str">
        <f t="shared" si="275"/>
        <v/>
      </c>
      <c r="AF1749" t="str">
        <f t="shared" si="276"/>
        <v/>
      </c>
      <c r="AG1749" t="str">
        <f t="shared" si="277"/>
        <v/>
      </c>
      <c r="AH1749" t="str">
        <f t="shared" si="278"/>
        <v/>
      </c>
      <c r="AI1749" t="str">
        <f t="shared" si="279"/>
        <v>Sunday</v>
      </c>
      <c r="AJ1749" t="str">
        <f>LEFT(Table1[[#This Row],[membership_type]],2)&amp;TEXT(Table1[[#This Row],[age]],"00")&amp;"-"&amp;TEXT(ROW(),"000")</f>
        <v>St34-1749</v>
      </c>
      <c r="AK1749" t="str">
        <f>LEFT(Table1[[#This Row],[membership_type]],1)&amp;TEXT(MATCH(Table1[[#This Row],[membership_type]],Table1[membership_type],0),"00")</f>
        <v>S02</v>
      </c>
      <c r="AL1749" t="str">
        <f>LEFT(Table1[[#This Row],[discount_type]],1)&amp;TEXT(ROUND(Table1[[#This Row],[discount_rate]]*100,0),"00")</f>
        <v>N00</v>
      </c>
      <c r="AM1749" t="str" cm="1">
        <f t="array" ref="AM1749">TEXT(SUMPRODUCT(CODE(MID(Table1[[#This Row],[home_gym_location]],_xlfn.SEQUENCE(LEN(Table1[[#This Row],[home_gym_location]])),1))),"00000")</f>
        <v>00899</v>
      </c>
      <c r="AN1749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49" t="str">
        <f>LEFT(_xlfn.TEXTBEFORE(Table1[[#This Row],[Location Identifier]],"-"),3) &amp; "-" &amp; _xlfn.TEXTAFTER(Table1[[#This Row],[Location Identifier]],"-")</f>
        <v>ANA-001</v>
      </c>
      <c r="AP1749" s="9">
        <f t="shared" ca="1" si="270"/>
        <v>45869</v>
      </c>
    </row>
    <row r="1750" spans="1:42" x14ac:dyDescent="0.25">
      <c r="A1750">
        <v>16</v>
      </c>
      <c r="B1750" t="s">
        <v>33</v>
      </c>
      <c r="C1750">
        <v>2</v>
      </c>
      <c r="D1750" t="s">
        <v>96</v>
      </c>
      <c r="E1750" t="b">
        <v>0</v>
      </c>
      <c r="F1750" s="1">
        <v>0.48819444444444443</v>
      </c>
      <c r="G1750" s="1">
        <v>0.53611111111111109</v>
      </c>
      <c r="H1750">
        <v>69</v>
      </c>
      <c r="I1750" t="b">
        <v>0</v>
      </c>
      <c r="J1750" t="b">
        <v>0</v>
      </c>
      <c r="K1750" t="b">
        <v>1</v>
      </c>
      <c r="L1750" t="s">
        <v>62</v>
      </c>
      <c r="M1750">
        <v>30</v>
      </c>
      <c r="N1750" t="s">
        <v>29</v>
      </c>
      <c r="O1750">
        <v>30</v>
      </c>
      <c r="P1750" t="s">
        <v>74</v>
      </c>
      <c r="Q1750">
        <v>0.15</v>
      </c>
      <c r="R1750">
        <v>25.5</v>
      </c>
      <c r="S1750" t="s">
        <v>37</v>
      </c>
      <c r="T1750" t="s">
        <v>56</v>
      </c>
      <c r="U1750">
        <v>35.3733</v>
      </c>
      <c r="V1750">
        <v>-119.0187</v>
      </c>
      <c r="W1750" s="2">
        <v>45684</v>
      </c>
      <c r="X1750">
        <v>0</v>
      </c>
      <c r="Y1750" t="b">
        <v>0</v>
      </c>
      <c r="Z1750" s="2">
        <v>45852</v>
      </c>
      <c r="AA1750" t="str">
        <f t="shared" si="271"/>
        <v>10–19</v>
      </c>
      <c r="AB1750" t="str">
        <f t="shared" si="272"/>
        <v>16–19</v>
      </c>
      <c r="AC1750" t="str">
        <f t="shared" si="273"/>
        <v/>
      </c>
      <c r="AD1750" t="str">
        <f t="shared" si="274"/>
        <v/>
      </c>
      <c r="AE1750" t="str">
        <f t="shared" si="275"/>
        <v/>
      </c>
      <c r="AF1750" t="str">
        <f t="shared" si="276"/>
        <v>Thursday</v>
      </c>
      <c r="AG1750" t="str">
        <f t="shared" si="277"/>
        <v>Friday</v>
      </c>
      <c r="AH1750" t="str">
        <f t="shared" si="278"/>
        <v/>
      </c>
      <c r="AI1750" t="str">
        <f t="shared" si="279"/>
        <v/>
      </c>
      <c r="AJ1750" t="str">
        <f>LEFT(Table1[[#This Row],[membership_type]],2)&amp;TEXT(Table1[[#This Row],[age]],"00")&amp;"-"&amp;TEXT(ROW(),"000")</f>
        <v>St16-1750</v>
      </c>
      <c r="AK1750" t="str">
        <f>LEFT(Table1[[#This Row],[membership_type]],1)&amp;TEXT(MATCH(Table1[[#This Row],[membership_type]],Table1[membership_type],0),"00")</f>
        <v>S02</v>
      </c>
      <c r="AL1750" t="str">
        <f>LEFT(Table1[[#This Row],[discount_type]],1)&amp;TEXT(ROUND(Table1[[#This Row],[discount_rate]]*100,0),"00")</f>
        <v>S15</v>
      </c>
      <c r="AM1750" t="str" cm="1">
        <f t="array" ref="AM1750">TEXT(SUMPRODUCT(CODE(MID(Table1[[#This Row],[home_gym_location]],_xlfn.SEQUENCE(LEN(Table1[[#This Row],[home_gym_location]])),1))),"00000")</f>
        <v>01324</v>
      </c>
      <c r="AN175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50" t="str">
        <f>LEFT(_xlfn.TEXTBEFORE(Table1[[#This Row],[Location Identifier]],"-"),3) &amp; "-" &amp; _xlfn.TEXTAFTER(Table1[[#This Row],[Location Identifier]],"-")</f>
        <v>BAK-002</v>
      </c>
      <c r="AP1750" s="9">
        <f t="shared" ca="1" si="270"/>
        <v>45869</v>
      </c>
    </row>
    <row r="1751" spans="1:42" x14ac:dyDescent="0.25">
      <c r="A1751">
        <v>27</v>
      </c>
      <c r="B1751" t="s">
        <v>26</v>
      </c>
      <c r="C1751">
        <v>2</v>
      </c>
      <c r="D1751" t="s">
        <v>103</v>
      </c>
      <c r="E1751" t="b">
        <v>1</v>
      </c>
      <c r="F1751" s="1">
        <v>0.69097222222222221</v>
      </c>
      <c r="G1751" s="1">
        <v>0.78888888888888886</v>
      </c>
      <c r="H1751">
        <v>141</v>
      </c>
      <c r="I1751" t="b">
        <v>1</v>
      </c>
      <c r="J1751" t="b">
        <v>1</v>
      </c>
      <c r="K1751" t="b">
        <v>0</v>
      </c>
      <c r="L1751" t="s">
        <v>28</v>
      </c>
      <c r="M1751">
        <v>50</v>
      </c>
      <c r="N1751" t="s">
        <v>64</v>
      </c>
      <c r="O1751">
        <v>37.5</v>
      </c>
      <c r="P1751" t="s">
        <v>74</v>
      </c>
      <c r="Q1751">
        <v>0.15</v>
      </c>
      <c r="R1751">
        <v>31.875</v>
      </c>
      <c r="S1751" t="s">
        <v>31</v>
      </c>
      <c r="T1751" t="s">
        <v>59</v>
      </c>
      <c r="U1751">
        <v>37.774900000000002</v>
      </c>
      <c r="V1751">
        <v>-122.4194</v>
      </c>
      <c r="W1751" s="2">
        <v>45260</v>
      </c>
      <c r="X1751">
        <v>8</v>
      </c>
      <c r="Y1751" t="b">
        <v>1</v>
      </c>
      <c r="Z1751" s="2">
        <v>45828</v>
      </c>
      <c r="AA1751" t="str">
        <f t="shared" si="271"/>
        <v>20–29</v>
      </c>
      <c r="AB1751" t="str">
        <f t="shared" si="272"/>
        <v>20–29</v>
      </c>
      <c r="AC1751" t="str">
        <f t="shared" si="273"/>
        <v>Monday</v>
      </c>
      <c r="AD1751" t="str">
        <f t="shared" si="274"/>
        <v/>
      </c>
      <c r="AE1751" t="str">
        <f t="shared" si="275"/>
        <v/>
      </c>
      <c r="AF1751" t="str">
        <f t="shared" si="276"/>
        <v/>
      </c>
      <c r="AG1751" t="str">
        <f t="shared" si="277"/>
        <v/>
      </c>
      <c r="AH1751" t="str">
        <f t="shared" si="278"/>
        <v/>
      </c>
      <c r="AI1751" t="str">
        <f t="shared" si="279"/>
        <v>Sunday</v>
      </c>
      <c r="AJ1751" t="str">
        <f>LEFT(Table1[[#This Row],[membership_type]],2)&amp;TEXT(Table1[[#This Row],[age]],"00")&amp;"-"&amp;TEXT(ROW(),"000")</f>
        <v>Pr27-1751</v>
      </c>
      <c r="AK1751" t="str">
        <f>LEFT(Table1[[#This Row],[membership_type]],1)&amp;TEXT(MATCH(Table1[[#This Row],[membership_type]],Table1[membership_type],0),"00")</f>
        <v>P01</v>
      </c>
      <c r="AL1751" t="str">
        <f>LEFT(Table1[[#This Row],[discount_type]],1)&amp;TEXT(ROUND(Table1[[#This Row],[discount_rate]]*100,0),"00")</f>
        <v>S15</v>
      </c>
      <c r="AM1751" t="str" cm="1">
        <f t="array" ref="AM1751">TEXT(SUMPRODUCT(CODE(MID(Table1[[#This Row],[home_gym_location]],_xlfn.SEQUENCE(LEN(Table1[[#This Row],[home_gym_location]])),1))),"00000")</f>
        <v>01450</v>
      </c>
      <c r="AN175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51" t="str">
        <f>LEFT(_xlfn.TEXTBEFORE(Table1[[#This Row],[Location Identifier]],"-"),3) &amp; "-" &amp; _xlfn.TEXTAFTER(Table1[[#This Row],[Location Identifier]],"-")</f>
        <v>SAN-009</v>
      </c>
      <c r="AP1751" s="9">
        <f t="shared" ca="1" si="270"/>
        <v>45869</v>
      </c>
    </row>
    <row r="1752" spans="1:42" x14ac:dyDescent="0.25">
      <c r="A1752">
        <v>24</v>
      </c>
      <c r="B1752" t="s">
        <v>33</v>
      </c>
      <c r="C1752">
        <v>3</v>
      </c>
      <c r="D1752" t="s">
        <v>80</v>
      </c>
      <c r="E1752" t="b">
        <v>1</v>
      </c>
      <c r="F1752" s="1">
        <v>0.87013888888888891</v>
      </c>
      <c r="G1752" s="1">
        <v>0.8979166666666667</v>
      </c>
      <c r="H1752">
        <v>40</v>
      </c>
      <c r="I1752" t="b">
        <v>0</v>
      </c>
      <c r="J1752" t="b">
        <v>0</v>
      </c>
      <c r="K1752" t="b">
        <v>1</v>
      </c>
      <c r="L1752" t="s">
        <v>62</v>
      </c>
      <c r="M1752">
        <v>30</v>
      </c>
      <c r="N1752" t="s">
        <v>29</v>
      </c>
      <c r="O1752">
        <v>30</v>
      </c>
      <c r="P1752" t="s">
        <v>36</v>
      </c>
      <c r="Q1752">
        <v>0</v>
      </c>
      <c r="R1752">
        <v>30</v>
      </c>
      <c r="S1752" t="s">
        <v>37</v>
      </c>
      <c r="T1752" t="s">
        <v>48</v>
      </c>
      <c r="U1752">
        <v>38.581600000000002</v>
      </c>
      <c r="V1752">
        <v>-121.4944</v>
      </c>
      <c r="W1752" s="2">
        <v>45601</v>
      </c>
      <c r="X1752">
        <v>0</v>
      </c>
      <c r="Y1752" t="b">
        <v>0</v>
      </c>
      <c r="Z1752" s="2">
        <v>45848</v>
      </c>
      <c r="AA1752" t="str">
        <f t="shared" si="271"/>
        <v>20–29</v>
      </c>
      <c r="AB1752" t="str">
        <f t="shared" si="272"/>
        <v>20–29</v>
      </c>
      <c r="AC1752" t="str">
        <f t="shared" si="273"/>
        <v>Monday</v>
      </c>
      <c r="AD1752" t="str">
        <f t="shared" si="274"/>
        <v/>
      </c>
      <c r="AE1752" t="str">
        <f t="shared" si="275"/>
        <v/>
      </c>
      <c r="AF1752" t="str">
        <f t="shared" si="276"/>
        <v/>
      </c>
      <c r="AG1752" t="str">
        <f t="shared" si="277"/>
        <v/>
      </c>
      <c r="AH1752" t="str">
        <f t="shared" si="278"/>
        <v>Saturday</v>
      </c>
      <c r="AI1752" t="str">
        <f t="shared" si="279"/>
        <v>Sunday</v>
      </c>
      <c r="AJ1752" t="str">
        <f>LEFT(Table1[[#This Row],[membership_type]],2)&amp;TEXT(Table1[[#This Row],[age]],"00")&amp;"-"&amp;TEXT(ROW(),"000")</f>
        <v>St24-1752</v>
      </c>
      <c r="AK1752" t="str">
        <f>LEFT(Table1[[#This Row],[membership_type]],1)&amp;TEXT(MATCH(Table1[[#This Row],[membership_type]],Table1[membership_type],0),"00")</f>
        <v>S02</v>
      </c>
      <c r="AL1752" t="str">
        <f>LEFT(Table1[[#This Row],[discount_type]],1)&amp;TEXT(ROUND(Table1[[#This Row],[discount_rate]]*100,0),"00")</f>
        <v>N00</v>
      </c>
      <c r="AM1752" t="str" cm="1">
        <f t="array" ref="AM1752">TEXT(SUMPRODUCT(CODE(MID(Table1[[#This Row],[home_gym_location]],_xlfn.SEQUENCE(LEN(Table1[[#This Row],[home_gym_location]])),1))),"00000")</f>
        <v>01245</v>
      </c>
      <c r="AN175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52" t="str">
        <f>LEFT(_xlfn.TEXTBEFORE(Table1[[#This Row],[Location Identifier]],"-"),3) &amp; "-" &amp; _xlfn.TEXTAFTER(Table1[[#This Row],[Location Identifier]],"-")</f>
        <v>SAC-007</v>
      </c>
      <c r="AP1752" s="9">
        <f t="shared" ca="1" si="270"/>
        <v>45869</v>
      </c>
    </row>
    <row r="1753" spans="1:42" x14ac:dyDescent="0.25">
      <c r="A1753">
        <v>24</v>
      </c>
      <c r="B1753" t="s">
        <v>51</v>
      </c>
      <c r="C1753">
        <v>2</v>
      </c>
      <c r="D1753" t="s">
        <v>130</v>
      </c>
      <c r="E1753" t="b">
        <v>1</v>
      </c>
      <c r="F1753" s="1">
        <v>0.85069444444444442</v>
      </c>
      <c r="G1753" s="1">
        <v>0.87152777777777779</v>
      </c>
      <c r="H1753">
        <v>30</v>
      </c>
      <c r="I1753" t="b">
        <v>0</v>
      </c>
      <c r="J1753" t="b">
        <v>0</v>
      </c>
      <c r="K1753" t="b">
        <v>1</v>
      </c>
      <c r="L1753" t="s">
        <v>62</v>
      </c>
      <c r="M1753">
        <v>70</v>
      </c>
      <c r="N1753" t="s">
        <v>29</v>
      </c>
      <c r="O1753">
        <v>70</v>
      </c>
      <c r="P1753" t="s">
        <v>40</v>
      </c>
      <c r="Q1753">
        <v>0.1</v>
      </c>
      <c r="R1753">
        <v>63</v>
      </c>
      <c r="S1753" t="s">
        <v>53</v>
      </c>
      <c r="T1753" t="s">
        <v>59</v>
      </c>
      <c r="U1753">
        <v>37.774900000000002</v>
      </c>
      <c r="V1753">
        <v>-122.4194</v>
      </c>
      <c r="W1753" s="2">
        <v>45818</v>
      </c>
      <c r="X1753">
        <v>0</v>
      </c>
      <c r="Y1753" t="b">
        <v>0</v>
      </c>
      <c r="Z1753" s="2">
        <v>45860</v>
      </c>
      <c r="AA1753" t="str">
        <f t="shared" si="271"/>
        <v>20–29</v>
      </c>
      <c r="AB1753" t="str">
        <f t="shared" si="272"/>
        <v>20–29</v>
      </c>
      <c r="AC1753" t="str">
        <f t="shared" si="273"/>
        <v>Monday</v>
      </c>
      <c r="AD1753" t="str">
        <f t="shared" si="274"/>
        <v/>
      </c>
      <c r="AE1753" t="str">
        <f t="shared" si="275"/>
        <v/>
      </c>
      <c r="AF1753" t="str">
        <f t="shared" si="276"/>
        <v>Thursday</v>
      </c>
      <c r="AG1753" t="str">
        <f t="shared" si="277"/>
        <v/>
      </c>
      <c r="AH1753" t="str">
        <f t="shared" si="278"/>
        <v/>
      </c>
      <c r="AI1753" t="str">
        <f t="shared" si="279"/>
        <v/>
      </c>
      <c r="AJ1753" t="str">
        <f>LEFT(Table1[[#This Row],[membership_type]],2)&amp;TEXT(Table1[[#This Row],[age]],"00")&amp;"-"&amp;TEXT(ROW(),"000")</f>
        <v>El24-1753</v>
      </c>
      <c r="AK1753" t="str">
        <f>LEFT(Table1[[#This Row],[membership_type]],1)&amp;TEXT(MATCH(Table1[[#This Row],[membership_type]],Table1[membership_type],0),"00")</f>
        <v>E07</v>
      </c>
      <c r="AL1753" t="str">
        <f>LEFT(Table1[[#This Row],[discount_type]],1)&amp;TEXT(ROUND(Table1[[#This Row],[discount_rate]]*100,0),"00")</f>
        <v>L10</v>
      </c>
      <c r="AM1753" t="str" cm="1">
        <f t="array" ref="AM1753">TEXT(SUMPRODUCT(CODE(MID(Table1[[#This Row],[home_gym_location]],_xlfn.SEQUENCE(LEN(Table1[[#This Row],[home_gym_location]])),1))),"00000")</f>
        <v>01450</v>
      </c>
      <c r="AN175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53" t="str">
        <f>LEFT(_xlfn.TEXTBEFORE(Table1[[#This Row],[Location Identifier]],"-"),3) &amp; "-" &amp; _xlfn.TEXTAFTER(Table1[[#This Row],[Location Identifier]],"-")</f>
        <v>SAN-009</v>
      </c>
      <c r="AP1753" s="9">
        <f t="shared" ca="1" si="270"/>
        <v>45869</v>
      </c>
    </row>
    <row r="1754" spans="1:42" x14ac:dyDescent="0.25">
      <c r="A1754">
        <v>49</v>
      </c>
      <c r="B1754" t="s">
        <v>33</v>
      </c>
      <c r="C1754">
        <v>1</v>
      </c>
      <c r="D1754" t="s">
        <v>75</v>
      </c>
      <c r="E1754" t="b">
        <v>1</v>
      </c>
      <c r="F1754" s="1">
        <v>0.33750000000000002</v>
      </c>
      <c r="G1754" s="1">
        <v>0.44513888888888886</v>
      </c>
      <c r="H1754">
        <v>155</v>
      </c>
      <c r="I1754" t="b">
        <v>0</v>
      </c>
      <c r="J1754" t="b">
        <v>1</v>
      </c>
      <c r="K1754" t="b">
        <v>0</v>
      </c>
      <c r="L1754" t="s">
        <v>62</v>
      </c>
      <c r="M1754">
        <v>30</v>
      </c>
      <c r="N1754" t="s">
        <v>29</v>
      </c>
      <c r="O1754">
        <v>30</v>
      </c>
      <c r="P1754" t="s">
        <v>36</v>
      </c>
      <c r="Q1754">
        <v>0</v>
      </c>
      <c r="R1754">
        <v>30</v>
      </c>
      <c r="S1754" t="s">
        <v>37</v>
      </c>
      <c r="T1754" t="s">
        <v>45</v>
      </c>
      <c r="U1754">
        <v>33.836599999999997</v>
      </c>
      <c r="V1754">
        <v>-117.9143</v>
      </c>
      <c r="W1754" s="2">
        <v>45574</v>
      </c>
      <c r="X1754">
        <v>5</v>
      </c>
      <c r="Y1754" t="b">
        <v>0</v>
      </c>
      <c r="Z1754" s="2">
        <v>45846</v>
      </c>
      <c r="AA1754" t="str">
        <f t="shared" si="271"/>
        <v>40–49</v>
      </c>
      <c r="AB1754" t="str">
        <f t="shared" si="272"/>
        <v>40–49</v>
      </c>
      <c r="AC1754" t="str">
        <f t="shared" si="273"/>
        <v/>
      </c>
      <c r="AD1754" t="str">
        <f t="shared" si="274"/>
        <v/>
      </c>
      <c r="AE1754" t="str">
        <f t="shared" si="275"/>
        <v/>
      </c>
      <c r="AF1754" t="str">
        <f t="shared" si="276"/>
        <v/>
      </c>
      <c r="AG1754" t="str">
        <f t="shared" si="277"/>
        <v>Friday</v>
      </c>
      <c r="AH1754" t="str">
        <f t="shared" si="278"/>
        <v/>
      </c>
      <c r="AI1754" t="str">
        <f t="shared" si="279"/>
        <v/>
      </c>
      <c r="AJ1754" t="str">
        <f>LEFT(Table1[[#This Row],[membership_type]],2)&amp;TEXT(Table1[[#This Row],[age]],"00")&amp;"-"&amp;TEXT(ROW(),"000")</f>
        <v>St49-1754</v>
      </c>
      <c r="AK1754" t="str">
        <f>LEFT(Table1[[#This Row],[membership_type]],1)&amp;TEXT(MATCH(Table1[[#This Row],[membership_type]],Table1[membership_type],0),"00")</f>
        <v>S02</v>
      </c>
      <c r="AL1754" t="str">
        <f>LEFT(Table1[[#This Row],[discount_type]],1)&amp;TEXT(ROUND(Table1[[#This Row],[discount_rate]]*100,0),"00")</f>
        <v>N00</v>
      </c>
      <c r="AM1754" t="str" cm="1">
        <f t="array" ref="AM1754">TEXT(SUMPRODUCT(CODE(MID(Table1[[#This Row],[home_gym_location]],_xlfn.SEQUENCE(LEN(Table1[[#This Row],[home_gym_location]])),1))),"00000")</f>
        <v>00899</v>
      </c>
      <c r="AN175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54" t="str">
        <f>LEFT(_xlfn.TEXTBEFORE(Table1[[#This Row],[Location Identifier]],"-"),3) &amp; "-" &amp; _xlfn.TEXTAFTER(Table1[[#This Row],[Location Identifier]],"-")</f>
        <v>ANA-001</v>
      </c>
      <c r="AP1754" s="9">
        <f t="shared" ca="1" si="270"/>
        <v>45869</v>
      </c>
    </row>
    <row r="1755" spans="1:42" x14ac:dyDescent="0.25">
      <c r="A1755">
        <v>30</v>
      </c>
      <c r="B1755" t="s">
        <v>33</v>
      </c>
      <c r="C1755">
        <v>3</v>
      </c>
      <c r="D1755" t="s">
        <v>106</v>
      </c>
      <c r="E1755" t="b">
        <v>1</v>
      </c>
      <c r="F1755" s="1">
        <v>0.80277777777777781</v>
      </c>
      <c r="G1755" s="1">
        <v>0.84375</v>
      </c>
      <c r="H1755">
        <v>59</v>
      </c>
      <c r="I1755" t="b">
        <v>0</v>
      </c>
      <c r="J1755" t="b">
        <v>1</v>
      </c>
      <c r="K1755" t="b">
        <v>1</v>
      </c>
      <c r="L1755" t="s">
        <v>28</v>
      </c>
      <c r="M1755">
        <v>30</v>
      </c>
      <c r="N1755" t="s">
        <v>29</v>
      </c>
      <c r="O1755">
        <v>30</v>
      </c>
      <c r="P1755" t="s">
        <v>40</v>
      </c>
      <c r="Q1755">
        <v>0.1</v>
      </c>
      <c r="R1755">
        <v>27</v>
      </c>
      <c r="S1755" t="s">
        <v>37</v>
      </c>
      <c r="T1755" t="s">
        <v>56</v>
      </c>
      <c r="U1755">
        <v>35.3733</v>
      </c>
      <c r="V1755">
        <v>-119.0187</v>
      </c>
      <c r="W1755" s="2">
        <v>44791</v>
      </c>
      <c r="X1755">
        <v>3</v>
      </c>
      <c r="Y1755" t="b">
        <v>0</v>
      </c>
      <c r="Z1755" s="2">
        <v>45802</v>
      </c>
      <c r="AA1755" t="str">
        <f t="shared" si="271"/>
        <v>30–39</v>
      </c>
      <c r="AB1755" t="str">
        <f t="shared" si="272"/>
        <v>30–39</v>
      </c>
      <c r="AC1755" t="str">
        <f t="shared" si="273"/>
        <v/>
      </c>
      <c r="AD1755" t="str">
        <f t="shared" si="274"/>
        <v/>
      </c>
      <c r="AE1755" t="str">
        <f t="shared" si="275"/>
        <v>Wednesday</v>
      </c>
      <c r="AF1755" t="str">
        <f t="shared" si="276"/>
        <v>Thursday</v>
      </c>
      <c r="AG1755" t="str">
        <f t="shared" si="277"/>
        <v>Friday</v>
      </c>
      <c r="AH1755" t="str">
        <f t="shared" si="278"/>
        <v/>
      </c>
      <c r="AI1755" t="str">
        <f t="shared" si="279"/>
        <v/>
      </c>
      <c r="AJ1755" t="str">
        <f>LEFT(Table1[[#This Row],[membership_type]],2)&amp;TEXT(Table1[[#This Row],[age]],"00")&amp;"-"&amp;TEXT(ROW(),"000")</f>
        <v>St30-1755</v>
      </c>
      <c r="AK1755" t="str">
        <f>LEFT(Table1[[#This Row],[membership_type]],1)&amp;TEXT(MATCH(Table1[[#This Row],[membership_type]],Table1[membership_type],0),"00")</f>
        <v>S02</v>
      </c>
      <c r="AL1755" t="str">
        <f>LEFT(Table1[[#This Row],[discount_type]],1)&amp;TEXT(ROUND(Table1[[#This Row],[discount_rate]]*100,0),"00")</f>
        <v>L10</v>
      </c>
      <c r="AM1755" t="str" cm="1">
        <f t="array" ref="AM1755">TEXT(SUMPRODUCT(CODE(MID(Table1[[#This Row],[home_gym_location]],_xlfn.SEQUENCE(LEN(Table1[[#This Row],[home_gym_location]])),1))),"00000")</f>
        <v>01324</v>
      </c>
      <c r="AN175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55" t="str">
        <f>LEFT(_xlfn.TEXTBEFORE(Table1[[#This Row],[Location Identifier]],"-"),3) &amp; "-" &amp; _xlfn.TEXTAFTER(Table1[[#This Row],[Location Identifier]],"-")</f>
        <v>BAK-002</v>
      </c>
      <c r="AP1755" s="9">
        <f t="shared" ca="1" si="270"/>
        <v>45869</v>
      </c>
    </row>
    <row r="1756" spans="1:42" x14ac:dyDescent="0.25">
      <c r="A1756">
        <v>15</v>
      </c>
      <c r="B1756" t="s">
        <v>42</v>
      </c>
      <c r="C1756">
        <v>1</v>
      </c>
      <c r="D1756" t="s">
        <v>67</v>
      </c>
      <c r="E1756" t="b">
        <v>1</v>
      </c>
      <c r="F1756" s="1">
        <v>0.33402777777777776</v>
      </c>
      <c r="G1756" s="1">
        <v>0.4375</v>
      </c>
      <c r="H1756">
        <v>149</v>
      </c>
      <c r="I1756" t="b">
        <v>1</v>
      </c>
      <c r="J1756" t="b">
        <v>1</v>
      </c>
      <c r="K1756" t="b">
        <v>1</v>
      </c>
      <c r="L1756" t="s">
        <v>28</v>
      </c>
      <c r="M1756">
        <v>20</v>
      </c>
      <c r="N1756" t="s">
        <v>29</v>
      </c>
      <c r="O1756">
        <v>20</v>
      </c>
      <c r="P1756" t="s">
        <v>40</v>
      </c>
      <c r="Q1756">
        <v>0.1</v>
      </c>
      <c r="R1756">
        <v>18</v>
      </c>
      <c r="S1756" t="s">
        <v>44</v>
      </c>
      <c r="T1756" t="s">
        <v>48</v>
      </c>
      <c r="U1756">
        <v>38.581600000000002</v>
      </c>
      <c r="V1756">
        <v>-121.4944</v>
      </c>
      <c r="W1756" s="2">
        <v>44977</v>
      </c>
      <c r="X1756">
        <v>5</v>
      </c>
      <c r="Y1756" t="b">
        <v>1</v>
      </c>
      <c r="Z1756" s="2">
        <v>45812</v>
      </c>
      <c r="AA1756" t="str">
        <f t="shared" si="271"/>
        <v>10–19</v>
      </c>
      <c r="AB1756" t="str">
        <f t="shared" si="272"/>
        <v>Under 16</v>
      </c>
      <c r="AC1756" t="str">
        <f t="shared" si="273"/>
        <v/>
      </c>
      <c r="AD1756" t="str">
        <f t="shared" si="274"/>
        <v/>
      </c>
      <c r="AE1756" t="str">
        <f t="shared" si="275"/>
        <v/>
      </c>
      <c r="AF1756" t="str">
        <f t="shared" si="276"/>
        <v>Thursday</v>
      </c>
      <c r="AG1756" t="str">
        <f t="shared" si="277"/>
        <v/>
      </c>
      <c r="AH1756" t="str">
        <f t="shared" si="278"/>
        <v/>
      </c>
      <c r="AI1756" t="str">
        <f t="shared" si="279"/>
        <v/>
      </c>
      <c r="AJ1756" t="str">
        <f>LEFT(Table1[[#This Row],[membership_type]],2)&amp;TEXT(Table1[[#This Row],[age]],"00")&amp;"-"&amp;TEXT(ROW(),"000")</f>
        <v>Ba15-1756</v>
      </c>
      <c r="AK1756" t="str">
        <f>LEFT(Table1[[#This Row],[membership_type]],1)&amp;TEXT(MATCH(Table1[[#This Row],[membership_type]],Table1[membership_type],0),"00")</f>
        <v>B04</v>
      </c>
      <c r="AL1756" t="str">
        <f>LEFT(Table1[[#This Row],[discount_type]],1)&amp;TEXT(ROUND(Table1[[#This Row],[discount_rate]]*100,0),"00")</f>
        <v>L10</v>
      </c>
      <c r="AM1756" t="str" cm="1">
        <f t="array" ref="AM1756">TEXT(SUMPRODUCT(CODE(MID(Table1[[#This Row],[home_gym_location]],_xlfn.SEQUENCE(LEN(Table1[[#This Row],[home_gym_location]])),1))),"00000")</f>
        <v>01245</v>
      </c>
      <c r="AN175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56" t="str">
        <f>LEFT(_xlfn.TEXTBEFORE(Table1[[#This Row],[Location Identifier]],"-"),3) &amp; "-" &amp; _xlfn.TEXTAFTER(Table1[[#This Row],[Location Identifier]],"-")</f>
        <v>SAC-007</v>
      </c>
      <c r="AP1756" s="9">
        <f t="shared" ca="1" si="270"/>
        <v>45869</v>
      </c>
    </row>
    <row r="1757" spans="1:42" x14ac:dyDescent="0.25">
      <c r="A1757">
        <v>36</v>
      </c>
      <c r="B1757" t="s">
        <v>51</v>
      </c>
      <c r="C1757">
        <v>2</v>
      </c>
      <c r="D1757" t="s">
        <v>73</v>
      </c>
      <c r="E1757" t="b">
        <v>1</v>
      </c>
      <c r="F1757" s="1">
        <v>0.7631944444444444</v>
      </c>
      <c r="G1757" s="1">
        <v>0.83472222222222225</v>
      </c>
      <c r="H1757">
        <v>103</v>
      </c>
      <c r="I1757" t="b">
        <v>0</v>
      </c>
      <c r="J1757" t="b">
        <v>1</v>
      </c>
      <c r="K1757" t="b">
        <v>1</v>
      </c>
      <c r="L1757" t="s">
        <v>28</v>
      </c>
      <c r="M1757">
        <v>70</v>
      </c>
      <c r="N1757" t="s">
        <v>64</v>
      </c>
      <c r="O1757">
        <v>52.5</v>
      </c>
      <c r="P1757" t="s">
        <v>30</v>
      </c>
      <c r="Q1757">
        <v>0.05</v>
      </c>
      <c r="R1757">
        <v>49.875</v>
      </c>
      <c r="S1757" t="s">
        <v>53</v>
      </c>
      <c r="T1757" t="s">
        <v>65</v>
      </c>
      <c r="U1757">
        <v>33.770099999999999</v>
      </c>
      <c r="V1757">
        <v>-118.19370000000001</v>
      </c>
      <c r="W1757" s="2">
        <v>44809</v>
      </c>
      <c r="X1757">
        <v>7</v>
      </c>
      <c r="Y1757" t="b">
        <v>1</v>
      </c>
      <c r="Z1757" s="2">
        <v>45803</v>
      </c>
      <c r="AA1757" t="str">
        <f t="shared" si="271"/>
        <v>30–39</v>
      </c>
      <c r="AB1757" t="str">
        <f t="shared" si="272"/>
        <v>30–39</v>
      </c>
      <c r="AC1757" t="str">
        <f t="shared" si="273"/>
        <v/>
      </c>
      <c r="AD1757" t="str">
        <f t="shared" si="274"/>
        <v>Tuesday</v>
      </c>
      <c r="AE1757" t="str">
        <f t="shared" si="275"/>
        <v/>
      </c>
      <c r="AF1757" t="str">
        <f t="shared" si="276"/>
        <v/>
      </c>
      <c r="AG1757" t="str">
        <f t="shared" si="277"/>
        <v>Friday</v>
      </c>
      <c r="AH1757" t="str">
        <f t="shared" si="278"/>
        <v/>
      </c>
      <c r="AI1757" t="str">
        <f t="shared" si="279"/>
        <v/>
      </c>
      <c r="AJ1757" t="str">
        <f>LEFT(Table1[[#This Row],[membership_type]],2)&amp;TEXT(Table1[[#This Row],[age]],"00")&amp;"-"&amp;TEXT(ROW(),"000")</f>
        <v>El36-1757</v>
      </c>
      <c r="AK1757" t="str">
        <f>LEFT(Table1[[#This Row],[membership_type]],1)&amp;TEXT(MATCH(Table1[[#This Row],[membership_type]],Table1[membership_type],0),"00")</f>
        <v>E07</v>
      </c>
      <c r="AL1757" t="str">
        <f>LEFT(Table1[[#This Row],[discount_type]],1)&amp;TEXT(ROUND(Table1[[#This Row],[discount_rate]]*100,0),"00")</f>
        <v>P05</v>
      </c>
      <c r="AM1757" t="str" cm="1">
        <f t="array" ref="AM1757">TEXT(SUMPRODUCT(CODE(MID(Table1[[#This Row],[home_gym_location]],_xlfn.SEQUENCE(LEN(Table1[[#This Row],[home_gym_location]])),1))),"00000")</f>
        <v>01107</v>
      </c>
      <c r="AN175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57" t="str">
        <f>LEFT(_xlfn.TEXTBEFORE(Table1[[#This Row],[Location Identifier]],"-"),3) &amp; "-" &amp; _xlfn.TEXTAFTER(Table1[[#This Row],[Location Identifier]],"-")</f>
        <v>LON-004</v>
      </c>
      <c r="AP1757" s="9">
        <f t="shared" ca="1" si="270"/>
        <v>45869</v>
      </c>
    </row>
    <row r="1758" spans="1:42" x14ac:dyDescent="0.25">
      <c r="A1758">
        <v>24</v>
      </c>
      <c r="B1758" t="s">
        <v>26</v>
      </c>
      <c r="C1758">
        <v>3</v>
      </c>
      <c r="D1758" t="s">
        <v>149</v>
      </c>
      <c r="E1758" t="b">
        <v>0</v>
      </c>
      <c r="F1758" s="1">
        <v>0.80069444444444449</v>
      </c>
      <c r="G1758" s="1">
        <v>0.83472222222222225</v>
      </c>
      <c r="H1758">
        <v>49</v>
      </c>
      <c r="I1758" t="b">
        <v>0</v>
      </c>
      <c r="J1758" t="b">
        <v>1</v>
      </c>
      <c r="K1758" t="b">
        <v>1</v>
      </c>
      <c r="L1758" t="s">
        <v>28</v>
      </c>
      <c r="M1758">
        <v>50</v>
      </c>
      <c r="N1758" t="s">
        <v>29</v>
      </c>
      <c r="O1758">
        <v>50</v>
      </c>
      <c r="P1758" t="s">
        <v>30</v>
      </c>
      <c r="Q1758">
        <v>0.05</v>
      </c>
      <c r="R1758">
        <v>47.5</v>
      </c>
      <c r="S1758" t="s">
        <v>31</v>
      </c>
      <c r="T1758" t="s">
        <v>59</v>
      </c>
      <c r="U1758">
        <v>37.774900000000002</v>
      </c>
      <c r="V1758">
        <v>-122.4194</v>
      </c>
      <c r="W1758" s="2">
        <v>45311</v>
      </c>
      <c r="X1758">
        <v>2</v>
      </c>
      <c r="Y1758" t="b">
        <v>1</v>
      </c>
      <c r="Z1758" s="2">
        <v>45831</v>
      </c>
      <c r="AA1758" t="str">
        <f t="shared" si="271"/>
        <v>20–29</v>
      </c>
      <c r="AB1758" t="str">
        <f t="shared" si="272"/>
        <v>20–29</v>
      </c>
      <c r="AC1758" t="str">
        <f t="shared" si="273"/>
        <v/>
      </c>
      <c r="AD1758" t="str">
        <f t="shared" si="274"/>
        <v/>
      </c>
      <c r="AE1758" t="str">
        <f t="shared" si="275"/>
        <v>Wednesday</v>
      </c>
      <c r="AF1758" t="str">
        <f t="shared" si="276"/>
        <v/>
      </c>
      <c r="AG1758" t="str">
        <f t="shared" si="277"/>
        <v>Friday</v>
      </c>
      <c r="AH1758" t="str">
        <f t="shared" si="278"/>
        <v>Saturday</v>
      </c>
      <c r="AI1758" t="str">
        <f t="shared" si="279"/>
        <v/>
      </c>
      <c r="AJ1758" t="str">
        <f>LEFT(Table1[[#This Row],[membership_type]],2)&amp;TEXT(Table1[[#This Row],[age]],"00")&amp;"-"&amp;TEXT(ROW(),"000")</f>
        <v>Pr24-1758</v>
      </c>
      <c r="AK1758" t="str">
        <f>LEFT(Table1[[#This Row],[membership_type]],1)&amp;TEXT(MATCH(Table1[[#This Row],[membership_type]],Table1[membership_type],0),"00")</f>
        <v>P01</v>
      </c>
      <c r="AL1758" t="str">
        <f>LEFT(Table1[[#This Row],[discount_type]],1)&amp;TEXT(ROUND(Table1[[#This Row],[discount_rate]]*100,0),"00")</f>
        <v>P05</v>
      </c>
      <c r="AM1758" t="str" cm="1">
        <f t="array" ref="AM1758">TEXT(SUMPRODUCT(CODE(MID(Table1[[#This Row],[home_gym_location]],_xlfn.SEQUENCE(LEN(Table1[[#This Row],[home_gym_location]])),1))),"00000")</f>
        <v>01450</v>
      </c>
      <c r="AN175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58" t="str">
        <f>LEFT(_xlfn.TEXTBEFORE(Table1[[#This Row],[Location Identifier]],"-"),3) &amp; "-" &amp; _xlfn.TEXTAFTER(Table1[[#This Row],[Location Identifier]],"-")</f>
        <v>SAN-009</v>
      </c>
      <c r="AP1758" s="9">
        <f t="shared" ca="1" si="270"/>
        <v>45869</v>
      </c>
    </row>
    <row r="1759" spans="1:42" x14ac:dyDescent="0.25">
      <c r="A1759">
        <v>48</v>
      </c>
      <c r="B1759" t="s">
        <v>26</v>
      </c>
      <c r="C1759">
        <v>4</v>
      </c>
      <c r="D1759" t="s">
        <v>151</v>
      </c>
      <c r="E1759" t="b">
        <v>0</v>
      </c>
      <c r="F1759" s="1">
        <v>0.39861111111111114</v>
      </c>
      <c r="G1759" s="1">
        <v>0.42430555555555555</v>
      </c>
      <c r="H1759">
        <v>37</v>
      </c>
      <c r="I1759" t="b">
        <v>0</v>
      </c>
      <c r="J1759" t="b">
        <v>0</v>
      </c>
      <c r="K1759" t="b">
        <v>0</v>
      </c>
      <c r="L1759" t="s">
        <v>28</v>
      </c>
      <c r="M1759">
        <v>50</v>
      </c>
      <c r="N1759" t="s">
        <v>64</v>
      </c>
      <c r="O1759">
        <v>37.5</v>
      </c>
      <c r="P1759" t="s">
        <v>36</v>
      </c>
      <c r="Q1759">
        <v>0</v>
      </c>
      <c r="R1759">
        <v>37.5</v>
      </c>
      <c r="S1759" t="s">
        <v>31</v>
      </c>
      <c r="T1759" t="s">
        <v>56</v>
      </c>
      <c r="U1759">
        <v>35.3733</v>
      </c>
      <c r="V1759">
        <v>-119.0187</v>
      </c>
      <c r="W1759" s="2">
        <v>45714</v>
      </c>
      <c r="X1759">
        <v>0</v>
      </c>
      <c r="Y1759" t="b">
        <v>1</v>
      </c>
      <c r="Z1759" s="2">
        <v>45854</v>
      </c>
      <c r="AA1759" t="str">
        <f t="shared" si="271"/>
        <v>40–49</v>
      </c>
      <c r="AB1759" t="str">
        <f t="shared" si="272"/>
        <v>40–49</v>
      </c>
      <c r="AC1759" t="str">
        <f t="shared" si="273"/>
        <v/>
      </c>
      <c r="AD1759" t="str">
        <f t="shared" si="274"/>
        <v>Tuesday</v>
      </c>
      <c r="AE1759" t="str">
        <f t="shared" si="275"/>
        <v>Wednesday</v>
      </c>
      <c r="AF1759" t="str">
        <f t="shared" si="276"/>
        <v>Thursday</v>
      </c>
      <c r="AG1759" t="str">
        <f t="shared" si="277"/>
        <v>Friday</v>
      </c>
      <c r="AH1759" t="str">
        <f t="shared" si="278"/>
        <v/>
      </c>
      <c r="AI1759" t="str">
        <f t="shared" si="279"/>
        <v/>
      </c>
      <c r="AJ1759" t="str">
        <f>LEFT(Table1[[#This Row],[membership_type]],2)&amp;TEXT(Table1[[#This Row],[age]],"00")&amp;"-"&amp;TEXT(ROW(),"000")</f>
        <v>Pr48-1759</v>
      </c>
      <c r="AK1759" t="str">
        <f>LEFT(Table1[[#This Row],[membership_type]],1)&amp;TEXT(MATCH(Table1[[#This Row],[membership_type]],Table1[membership_type],0),"00")</f>
        <v>P01</v>
      </c>
      <c r="AL1759" t="str">
        <f>LEFT(Table1[[#This Row],[discount_type]],1)&amp;TEXT(ROUND(Table1[[#This Row],[discount_rate]]*100,0),"00")</f>
        <v>N00</v>
      </c>
      <c r="AM1759" t="str" cm="1">
        <f t="array" ref="AM1759">TEXT(SUMPRODUCT(CODE(MID(Table1[[#This Row],[home_gym_location]],_xlfn.SEQUENCE(LEN(Table1[[#This Row],[home_gym_location]])),1))),"00000")</f>
        <v>01324</v>
      </c>
      <c r="AN175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59" t="str">
        <f>LEFT(_xlfn.TEXTBEFORE(Table1[[#This Row],[Location Identifier]],"-"),3) &amp; "-" &amp; _xlfn.TEXTAFTER(Table1[[#This Row],[Location Identifier]],"-")</f>
        <v>BAK-002</v>
      </c>
      <c r="AP1759" s="9">
        <f t="shared" ca="1" si="270"/>
        <v>45869</v>
      </c>
    </row>
    <row r="1760" spans="1:42" x14ac:dyDescent="0.25">
      <c r="A1760">
        <v>16</v>
      </c>
      <c r="B1760" t="s">
        <v>42</v>
      </c>
      <c r="C1760">
        <v>1</v>
      </c>
      <c r="D1760" t="s">
        <v>97</v>
      </c>
      <c r="E1760" t="b">
        <v>1</v>
      </c>
      <c r="F1760" s="1">
        <v>0.83472222222222225</v>
      </c>
      <c r="G1760" s="1">
        <v>0.94236111111111109</v>
      </c>
      <c r="H1760">
        <v>155</v>
      </c>
      <c r="I1760" t="b">
        <v>0</v>
      </c>
      <c r="J1760" t="b">
        <v>1</v>
      </c>
      <c r="K1760" t="b">
        <v>0</v>
      </c>
      <c r="L1760" t="s">
        <v>28</v>
      </c>
      <c r="M1760">
        <v>20</v>
      </c>
      <c r="N1760" t="s">
        <v>29</v>
      </c>
      <c r="O1760">
        <v>20</v>
      </c>
      <c r="P1760" t="s">
        <v>30</v>
      </c>
      <c r="Q1760">
        <v>0.05</v>
      </c>
      <c r="R1760">
        <v>19</v>
      </c>
      <c r="S1760" t="s">
        <v>44</v>
      </c>
      <c r="T1760" t="s">
        <v>38</v>
      </c>
      <c r="U1760">
        <v>36.7378</v>
      </c>
      <c r="V1760">
        <v>-119.7871</v>
      </c>
      <c r="W1760" s="2">
        <v>45247</v>
      </c>
      <c r="X1760">
        <v>3</v>
      </c>
      <c r="Y1760" t="b">
        <v>0</v>
      </c>
      <c r="Z1760" s="2">
        <v>45828</v>
      </c>
      <c r="AA1760" t="str">
        <f t="shared" si="271"/>
        <v>10–19</v>
      </c>
      <c r="AB1760" t="str">
        <f t="shared" si="272"/>
        <v>16–19</v>
      </c>
      <c r="AC1760" t="str">
        <f t="shared" si="273"/>
        <v>Monday</v>
      </c>
      <c r="AD1760" t="str">
        <f t="shared" si="274"/>
        <v/>
      </c>
      <c r="AE1760" t="str">
        <f t="shared" si="275"/>
        <v/>
      </c>
      <c r="AF1760" t="str">
        <f t="shared" si="276"/>
        <v/>
      </c>
      <c r="AG1760" t="str">
        <f t="shared" si="277"/>
        <v/>
      </c>
      <c r="AH1760" t="str">
        <f t="shared" si="278"/>
        <v/>
      </c>
      <c r="AI1760" t="str">
        <f t="shared" si="279"/>
        <v/>
      </c>
      <c r="AJ1760" t="str">
        <f>LEFT(Table1[[#This Row],[membership_type]],2)&amp;TEXT(Table1[[#This Row],[age]],"00")&amp;"-"&amp;TEXT(ROW(),"000")</f>
        <v>Ba16-1760</v>
      </c>
      <c r="AK1760" t="str">
        <f>LEFT(Table1[[#This Row],[membership_type]],1)&amp;TEXT(MATCH(Table1[[#This Row],[membership_type]],Table1[membership_type],0),"00")</f>
        <v>B04</v>
      </c>
      <c r="AL1760" t="str">
        <f>LEFT(Table1[[#This Row],[discount_type]],1)&amp;TEXT(ROUND(Table1[[#This Row],[discount_rate]]*100,0),"00")</f>
        <v>P05</v>
      </c>
      <c r="AM1760" t="str" cm="1">
        <f t="array" ref="AM1760">TEXT(SUMPRODUCT(CODE(MID(Table1[[#This Row],[home_gym_location]],_xlfn.SEQUENCE(LEN(Table1[[#This Row],[home_gym_location]])),1))),"00000")</f>
        <v>00829</v>
      </c>
      <c r="AN1760" t="str">
        <f>UPPER(_xlfn.TEXTBEFORE(Table1[[#This Row],[home_gym_location]],","))&amp;"-"&amp;TEXT(MATCH(Table1[[#This Row],[home_gym_location]],_xlfn._xlws.SORT(_xlfn.UNIQUE(Table1[home_gym_location])),0),"000")</f>
        <v>FRESNO-003</v>
      </c>
      <c r="AO1760" t="str">
        <f>LEFT(_xlfn.TEXTBEFORE(Table1[[#This Row],[Location Identifier]],"-"),3) &amp; "-" &amp; _xlfn.TEXTAFTER(Table1[[#This Row],[Location Identifier]],"-")</f>
        <v>FRE-003</v>
      </c>
      <c r="AP1760" s="9">
        <f t="shared" ca="1" si="270"/>
        <v>45869</v>
      </c>
    </row>
    <row r="1761" spans="1:42" x14ac:dyDescent="0.25">
      <c r="A1761">
        <v>14</v>
      </c>
      <c r="B1761" t="s">
        <v>42</v>
      </c>
      <c r="C1761">
        <v>3</v>
      </c>
      <c r="D1761" t="s">
        <v>131</v>
      </c>
      <c r="E1761" t="b">
        <v>0</v>
      </c>
      <c r="F1761" s="1">
        <v>0.67013888888888884</v>
      </c>
      <c r="G1761" s="1">
        <v>0.79513888888888884</v>
      </c>
      <c r="H1761">
        <v>180</v>
      </c>
      <c r="I1761" t="b">
        <v>1</v>
      </c>
      <c r="J1761" t="b">
        <v>1</v>
      </c>
      <c r="K1761" t="b">
        <v>0</v>
      </c>
      <c r="L1761" t="s">
        <v>62</v>
      </c>
      <c r="M1761">
        <v>20</v>
      </c>
      <c r="N1761" t="s">
        <v>29</v>
      </c>
      <c r="O1761">
        <v>20</v>
      </c>
      <c r="P1761" t="s">
        <v>40</v>
      </c>
      <c r="Q1761">
        <v>0.1</v>
      </c>
      <c r="R1761">
        <v>18</v>
      </c>
      <c r="S1761" t="s">
        <v>44</v>
      </c>
      <c r="T1761" t="s">
        <v>38</v>
      </c>
      <c r="U1761">
        <v>36.7378</v>
      </c>
      <c r="V1761">
        <v>-119.7871</v>
      </c>
      <c r="W1761" s="2">
        <v>45347</v>
      </c>
      <c r="X1761">
        <v>4</v>
      </c>
      <c r="Y1761" t="b">
        <v>0</v>
      </c>
      <c r="Z1761" s="2">
        <v>45833</v>
      </c>
      <c r="AA1761" t="str">
        <f t="shared" si="271"/>
        <v>10–19</v>
      </c>
      <c r="AB1761" t="str">
        <f t="shared" si="272"/>
        <v>Under 16</v>
      </c>
      <c r="AC1761" t="str">
        <f t="shared" si="273"/>
        <v>Monday</v>
      </c>
      <c r="AD1761" t="str">
        <f t="shared" si="274"/>
        <v/>
      </c>
      <c r="AE1761" t="str">
        <f t="shared" si="275"/>
        <v/>
      </c>
      <c r="AF1761" t="str">
        <f t="shared" si="276"/>
        <v/>
      </c>
      <c r="AG1761" t="str">
        <f t="shared" si="277"/>
        <v>Friday</v>
      </c>
      <c r="AH1761" t="str">
        <f t="shared" si="278"/>
        <v/>
      </c>
      <c r="AI1761" t="str">
        <f t="shared" si="279"/>
        <v>Sunday</v>
      </c>
      <c r="AJ1761" t="str">
        <f>LEFT(Table1[[#This Row],[membership_type]],2)&amp;TEXT(Table1[[#This Row],[age]],"00")&amp;"-"&amp;TEXT(ROW(),"000")</f>
        <v>Ba14-1761</v>
      </c>
      <c r="AK1761" t="str">
        <f>LEFT(Table1[[#This Row],[membership_type]],1)&amp;TEXT(MATCH(Table1[[#This Row],[membership_type]],Table1[membership_type],0),"00")</f>
        <v>B04</v>
      </c>
      <c r="AL1761" t="str">
        <f>LEFT(Table1[[#This Row],[discount_type]],1)&amp;TEXT(ROUND(Table1[[#This Row],[discount_rate]]*100,0),"00")</f>
        <v>L10</v>
      </c>
      <c r="AM1761" t="str" cm="1">
        <f t="array" ref="AM1761">TEXT(SUMPRODUCT(CODE(MID(Table1[[#This Row],[home_gym_location]],_xlfn.SEQUENCE(LEN(Table1[[#This Row],[home_gym_location]])),1))),"00000")</f>
        <v>00829</v>
      </c>
      <c r="AN1761" t="str">
        <f>UPPER(_xlfn.TEXTBEFORE(Table1[[#This Row],[home_gym_location]],","))&amp;"-"&amp;TEXT(MATCH(Table1[[#This Row],[home_gym_location]],_xlfn._xlws.SORT(_xlfn.UNIQUE(Table1[home_gym_location])),0),"000")</f>
        <v>FRESNO-003</v>
      </c>
      <c r="AO1761" t="str">
        <f>LEFT(_xlfn.TEXTBEFORE(Table1[[#This Row],[Location Identifier]],"-"),3) &amp; "-" &amp; _xlfn.TEXTAFTER(Table1[[#This Row],[Location Identifier]],"-")</f>
        <v>FRE-003</v>
      </c>
      <c r="AP1761" s="9">
        <f t="shared" ca="1" si="270"/>
        <v>45869</v>
      </c>
    </row>
    <row r="1762" spans="1:42" x14ac:dyDescent="0.25">
      <c r="A1762">
        <v>49</v>
      </c>
      <c r="B1762" t="s">
        <v>26</v>
      </c>
      <c r="C1762">
        <v>3</v>
      </c>
      <c r="D1762" t="s">
        <v>55</v>
      </c>
      <c r="E1762" t="b">
        <v>0</v>
      </c>
      <c r="F1762" s="1">
        <v>0.71944444444444444</v>
      </c>
      <c r="G1762" s="1">
        <v>0.82777777777777772</v>
      </c>
      <c r="H1762">
        <v>156</v>
      </c>
      <c r="I1762" t="b">
        <v>1</v>
      </c>
      <c r="J1762" t="b">
        <v>0</v>
      </c>
      <c r="K1762" t="b">
        <v>0</v>
      </c>
      <c r="L1762" t="s">
        <v>47</v>
      </c>
      <c r="M1762">
        <v>50</v>
      </c>
      <c r="N1762" t="s">
        <v>29</v>
      </c>
      <c r="O1762">
        <v>50</v>
      </c>
      <c r="P1762" t="s">
        <v>36</v>
      </c>
      <c r="Q1762">
        <v>0</v>
      </c>
      <c r="R1762">
        <v>50</v>
      </c>
      <c r="S1762" t="s">
        <v>31</v>
      </c>
      <c r="T1762" t="s">
        <v>56</v>
      </c>
      <c r="U1762">
        <v>35.3733</v>
      </c>
      <c r="V1762">
        <v>-119.0187</v>
      </c>
      <c r="W1762" s="2">
        <v>44931</v>
      </c>
      <c r="X1762">
        <v>0</v>
      </c>
      <c r="Y1762" t="b">
        <v>1</v>
      </c>
      <c r="Z1762" s="2">
        <v>45810</v>
      </c>
      <c r="AA1762" t="str">
        <f t="shared" si="271"/>
        <v>40–49</v>
      </c>
      <c r="AB1762" t="str">
        <f t="shared" si="272"/>
        <v>40–49</v>
      </c>
      <c r="AC1762" t="str">
        <f t="shared" si="273"/>
        <v/>
      </c>
      <c r="AD1762" t="str">
        <f t="shared" si="274"/>
        <v/>
      </c>
      <c r="AE1762" t="str">
        <f t="shared" si="275"/>
        <v/>
      </c>
      <c r="AF1762" t="str">
        <f t="shared" si="276"/>
        <v>Thursday</v>
      </c>
      <c r="AG1762" t="str">
        <f t="shared" si="277"/>
        <v>Friday</v>
      </c>
      <c r="AH1762" t="str">
        <f t="shared" si="278"/>
        <v/>
      </c>
      <c r="AI1762" t="str">
        <f t="shared" si="279"/>
        <v>Sunday</v>
      </c>
      <c r="AJ1762" t="str">
        <f>LEFT(Table1[[#This Row],[membership_type]],2)&amp;TEXT(Table1[[#This Row],[age]],"00")&amp;"-"&amp;TEXT(ROW(),"000")</f>
        <v>Pr49-1762</v>
      </c>
      <c r="AK1762" t="str">
        <f>LEFT(Table1[[#This Row],[membership_type]],1)&amp;TEXT(MATCH(Table1[[#This Row],[membership_type]],Table1[membership_type],0),"00")</f>
        <v>P01</v>
      </c>
      <c r="AL1762" t="str">
        <f>LEFT(Table1[[#This Row],[discount_type]],1)&amp;TEXT(ROUND(Table1[[#This Row],[discount_rate]]*100,0),"00")</f>
        <v>N00</v>
      </c>
      <c r="AM1762" t="str" cm="1">
        <f t="array" ref="AM1762">TEXT(SUMPRODUCT(CODE(MID(Table1[[#This Row],[home_gym_location]],_xlfn.SEQUENCE(LEN(Table1[[#This Row],[home_gym_location]])),1))),"00000")</f>
        <v>01324</v>
      </c>
      <c r="AN17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62" t="str">
        <f>LEFT(_xlfn.TEXTBEFORE(Table1[[#This Row],[Location Identifier]],"-"),3) &amp; "-" &amp; _xlfn.TEXTAFTER(Table1[[#This Row],[Location Identifier]],"-")</f>
        <v>BAK-002</v>
      </c>
      <c r="AP1762" s="9">
        <f t="shared" ca="1" si="270"/>
        <v>45869</v>
      </c>
    </row>
    <row r="1763" spans="1:42" x14ac:dyDescent="0.25">
      <c r="A1763">
        <v>27</v>
      </c>
      <c r="B1763" t="s">
        <v>26</v>
      </c>
      <c r="C1763">
        <v>2</v>
      </c>
      <c r="D1763" t="s">
        <v>103</v>
      </c>
      <c r="E1763" t="b">
        <v>1</v>
      </c>
      <c r="F1763" s="1">
        <v>0.69097222222222221</v>
      </c>
      <c r="G1763" s="1">
        <v>0.78888888888888886</v>
      </c>
      <c r="H1763">
        <v>141</v>
      </c>
      <c r="I1763" t="b">
        <v>1</v>
      </c>
      <c r="J1763" t="b">
        <v>1</v>
      </c>
      <c r="K1763" t="b">
        <v>0</v>
      </c>
      <c r="L1763" t="s">
        <v>28</v>
      </c>
      <c r="M1763">
        <v>50</v>
      </c>
      <c r="N1763" t="s">
        <v>64</v>
      </c>
      <c r="O1763">
        <v>37.5</v>
      </c>
      <c r="P1763" t="s">
        <v>74</v>
      </c>
      <c r="Q1763">
        <v>0.15</v>
      </c>
      <c r="R1763">
        <v>31.875</v>
      </c>
      <c r="S1763" t="s">
        <v>31</v>
      </c>
      <c r="T1763" t="s">
        <v>59</v>
      </c>
      <c r="U1763">
        <v>37.774900000000002</v>
      </c>
      <c r="V1763">
        <v>-122.4194</v>
      </c>
      <c r="W1763" s="2">
        <v>45726</v>
      </c>
      <c r="X1763">
        <v>3</v>
      </c>
      <c r="Y1763" t="b">
        <v>1</v>
      </c>
      <c r="Z1763" s="2">
        <v>45855</v>
      </c>
      <c r="AA1763" t="str">
        <f t="shared" si="271"/>
        <v>20–29</v>
      </c>
      <c r="AB1763" t="str">
        <f t="shared" si="272"/>
        <v>20–29</v>
      </c>
      <c r="AC1763" t="str">
        <f t="shared" si="273"/>
        <v>Monday</v>
      </c>
      <c r="AD1763" t="str">
        <f t="shared" si="274"/>
        <v/>
      </c>
      <c r="AE1763" t="str">
        <f t="shared" si="275"/>
        <v/>
      </c>
      <c r="AF1763" t="str">
        <f t="shared" si="276"/>
        <v/>
      </c>
      <c r="AG1763" t="str">
        <f t="shared" si="277"/>
        <v/>
      </c>
      <c r="AH1763" t="str">
        <f t="shared" si="278"/>
        <v/>
      </c>
      <c r="AI1763" t="str">
        <f t="shared" si="279"/>
        <v>Sunday</v>
      </c>
      <c r="AJ1763" t="str">
        <f>LEFT(Table1[[#This Row],[membership_type]],2)&amp;TEXT(Table1[[#This Row],[age]],"00")&amp;"-"&amp;TEXT(ROW(),"000")</f>
        <v>Pr27-1763</v>
      </c>
      <c r="AK1763" t="str">
        <f>LEFT(Table1[[#This Row],[membership_type]],1)&amp;TEXT(MATCH(Table1[[#This Row],[membership_type]],Table1[membership_type],0),"00")</f>
        <v>P01</v>
      </c>
      <c r="AL1763" t="str">
        <f>LEFT(Table1[[#This Row],[discount_type]],1)&amp;TEXT(ROUND(Table1[[#This Row],[discount_rate]]*100,0),"00")</f>
        <v>S15</v>
      </c>
      <c r="AM1763" t="str" cm="1">
        <f t="array" ref="AM1763">TEXT(SUMPRODUCT(CODE(MID(Table1[[#This Row],[home_gym_location]],_xlfn.SEQUENCE(LEN(Table1[[#This Row],[home_gym_location]])),1))),"00000")</f>
        <v>01450</v>
      </c>
      <c r="AN17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63" t="str">
        <f>LEFT(_xlfn.TEXTBEFORE(Table1[[#This Row],[Location Identifier]],"-"),3) &amp; "-" &amp; _xlfn.TEXTAFTER(Table1[[#This Row],[Location Identifier]],"-")</f>
        <v>SAN-009</v>
      </c>
      <c r="AP1763" s="9">
        <f t="shared" ca="1" si="270"/>
        <v>45869</v>
      </c>
    </row>
    <row r="1764" spans="1:42" x14ac:dyDescent="0.25">
      <c r="A1764">
        <v>44</v>
      </c>
      <c r="B1764" t="s">
        <v>26</v>
      </c>
      <c r="C1764">
        <v>5</v>
      </c>
      <c r="D1764" t="s">
        <v>150</v>
      </c>
      <c r="E1764" t="b">
        <v>1</v>
      </c>
      <c r="F1764" s="1">
        <v>0.64375000000000004</v>
      </c>
      <c r="G1764" s="1">
        <v>0.73541666666666672</v>
      </c>
      <c r="H1764">
        <v>132</v>
      </c>
      <c r="I1764" t="b">
        <v>0</v>
      </c>
      <c r="J1764" t="b">
        <v>1</v>
      </c>
      <c r="K1764" t="b">
        <v>1</v>
      </c>
      <c r="L1764" t="s">
        <v>47</v>
      </c>
      <c r="M1764">
        <v>50</v>
      </c>
      <c r="N1764" t="s">
        <v>29</v>
      </c>
      <c r="O1764">
        <v>50</v>
      </c>
      <c r="P1764" t="s">
        <v>36</v>
      </c>
      <c r="Q1764">
        <v>0</v>
      </c>
      <c r="R1764">
        <v>50</v>
      </c>
      <c r="S1764" t="s">
        <v>31</v>
      </c>
      <c r="T1764" t="s">
        <v>50</v>
      </c>
      <c r="U1764">
        <v>34.052199999999999</v>
      </c>
      <c r="V1764">
        <v>-118.2437</v>
      </c>
      <c r="W1764" s="2">
        <v>45311</v>
      </c>
      <c r="X1764">
        <v>5</v>
      </c>
      <c r="Y1764" t="b">
        <v>1</v>
      </c>
      <c r="Z1764" s="2">
        <v>45831</v>
      </c>
      <c r="AA1764" t="str">
        <f t="shared" si="271"/>
        <v>40–49</v>
      </c>
      <c r="AB1764" t="str">
        <f t="shared" si="272"/>
        <v>40–49</v>
      </c>
      <c r="AC1764" t="str">
        <f t="shared" si="273"/>
        <v/>
      </c>
      <c r="AD1764" t="str">
        <f t="shared" si="274"/>
        <v>Tuesday</v>
      </c>
      <c r="AE1764" t="str">
        <f t="shared" si="275"/>
        <v/>
      </c>
      <c r="AF1764" t="str">
        <f t="shared" si="276"/>
        <v>Thursday</v>
      </c>
      <c r="AG1764" t="str">
        <f t="shared" si="277"/>
        <v>Friday</v>
      </c>
      <c r="AH1764" t="str">
        <f t="shared" si="278"/>
        <v>Saturday</v>
      </c>
      <c r="AI1764" t="str">
        <f t="shared" si="279"/>
        <v>Sunday</v>
      </c>
      <c r="AJ1764" t="str">
        <f>LEFT(Table1[[#This Row],[membership_type]],2)&amp;TEXT(Table1[[#This Row],[age]],"00")&amp;"-"&amp;TEXT(ROW(),"000")</f>
        <v>Pr44-1764</v>
      </c>
      <c r="AK1764" t="str">
        <f>LEFT(Table1[[#This Row],[membership_type]],1)&amp;TEXT(MATCH(Table1[[#This Row],[membership_type]],Table1[membership_type],0),"00")</f>
        <v>P01</v>
      </c>
      <c r="AL1764" t="str">
        <f>LEFT(Table1[[#This Row],[discount_type]],1)&amp;TEXT(ROUND(Table1[[#This Row],[discount_rate]]*100,0),"00")</f>
        <v>N00</v>
      </c>
      <c r="AM1764" t="str" cm="1">
        <f t="array" ref="AM1764">TEXT(SUMPRODUCT(CODE(MID(Table1[[#This Row],[home_gym_location]],_xlfn.SEQUENCE(LEN(Table1[[#This Row],[home_gym_location]])),1))),"00000")</f>
        <v>01245</v>
      </c>
      <c r="AN176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64" t="str">
        <f>LEFT(_xlfn.TEXTBEFORE(Table1[[#This Row],[Location Identifier]],"-"),3) &amp; "-" &amp; _xlfn.TEXTAFTER(Table1[[#This Row],[Location Identifier]],"-")</f>
        <v>LOS-005</v>
      </c>
      <c r="AP1764" s="9">
        <f t="shared" ca="1" si="270"/>
        <v>45869</v>
      </c>
    </row>
    <row r="1765" spans="1:42" x14ac:dyDescent="0.25">
      <c r="A1765">
        <v>37</v>
      </c>
      <c r="B1765" t="s">
        <v>42</v>
      </c>
      <c r="C1765">
        <v>1</v>
      </c>
      <c r="D1765" t="s">
        <v>95</v>
      </c>
      <c r="E1765" t="b">
        <v>1</v>
      </c>
      <c r="F1765" s="1">
        <v>0.34791666666666665</v>
      </c>
      <c r="G1765" s="1">
        <v>0.37152777777777779</v>
      </c>
      <c r="H1765">
        <v>34</v>
      </c>
      <c r="I1765" t="b">
        <v>1</v>
      </c>
      <c r="J1765" t="b">
        <v>0</v>
      </c>
      <c r="K1765" t="b">
        <v>0</v>
      </c>
      <c r="L1765" t="s">
        <v>62</v>
      </c>
      <c r="M1765">
        <v>20</v>
      </c>
      <c r="N1765" t="s">
        <v>64</v>
      </c>
      <c r="O1765">
        <v>15</v>
      </c>
      <c r="P1765" t="s">
        <v>36</v>
      </c>
      <c r="Q1765">
        <v>0</v>
      </c>
      <c r="R1765">
        <v>15</v>
      </c>
      <c r="S1765" t="s">
        <v>44</v>
      </c>
      <c r="T1765" t="s">
        <v>38</v>
      </c>
      <c r="U1765">
        <v>36.7378</v>
      </c>
      <c r="V1765">
        <v>-119.7871</v>
      </c>
      <c r="W1765" s="2">
        <v>45671</v>
      </c>
      <c r="X1765">
        <v>0</v>
      </c>
      <c r="Y1765" t="b">
        <v>0</v>
      </c>
      <c r="Z1765" s="2">
        <v>45851</v>
      </c>
      <c r="AA1765" t="str">
        <f t="shared" si="271"/>
        <v>30–39</v>
      </c>
      <c r="AB1765" t="str">
        <f t="shared" si="272"/>
        <v>30–39</v>
      </c>
      <c r="AC1765" t="str">
        <f t="shared" si="273"/>
        <v/>
      </c>
      <c r="AD1765" t="str">
        <f t="shared" si="274"/>
        <v/>
      </c>
      <c r="AE1765" t="str">
        <f t="shared" si="275"/>
        <v/>
      </c>
      <c r="AF1765" t="str">
        <f t="shared" si="276"/>
        <v/>
      </c>
      <c r="AG1765" t="str">
        <f t="shared" si="277"/>
        <v/>
      </c>
      <c r="AH1765" t="str">
        <f t="shared" si="278"/>
        <v>Saturday</v>
      </c>
      <c r="AI1765" t="str">
        <f t="shared" si="279"/>
        <v/>
      </c>
      <c r="AJ1765" t="str">
        <f>LEFT(Table1[[#This Row],[membership_type]],2)&amp;TEXT(Table1[[#This Row],[age]],"00")&amp;"-"&amp;TEXT(ROW(),"000")</f>
        <v>Ba37-1765</v>
      </c>
      <c r="AK1765" t="str">
        <f>LEFT(Table1[[#This Row],[membership_type]],1)&amp;TEXT(MATCH(Table1[[#This Row],[membership_type]],Table1[membership_type],0),"00")</f>
        <v>B04</v>
      </c>
      <c r="AL1765" t="str">
        <f>LEFT(Table1[[#This Row],[discount_type]],1)&amp;TEXT(ROUND(Table1[[#This Row],[discount_rate]]*100,0),"00")</f>
        <v>N00</v>
      </c>
      <c r="AM1765" t="str" cm="1">
        <f t="array" ref="AM1765">TEXT(SUMPRODUCT(CODE(MID(Table1[[#This Row],[home_gym_location]],_xlfn.SEQUENCE(LEN(Table1[[#This Row],[home_gym_location]])),1))),"00000")</f>
        <v>00829</v>
      </c>
      <c r="AN1765" t="str">
        <f>UPPER(_xlfn.TEXTBEFORE(Table1[[#This Row],[home_gym_location]],","))&amp;"-"&amp;TEXT(MATCH(Table1[[#This Row],[home_gym_location]],_xlfn._xlws.SORT(_xlfn.UNIQUE(Table1[home_gym_location])),0),"000")</f>
        <v>FRESNO-003</v>
      </c>
      <c r="AO1765" t="str">
        <f>LEFT(_xlfn.TEXTBEFORE(Table1[[#This Row],[Location Identifier]],"-"),3) &amp; "-" &amp; _xlfn.TEXTAFTER(Table1[[#This Row],[Location Identifier]],"-")</f>
        <v>FRE-003</v>
      </c>
      <c r="AP1765" s="9">
        <f t="shared" ca="1" si="270"/>
        <v>45869</v>
      </c>
    </row>
    <row r="1766" spans="1:42" x14ac:dyDescent="0.25">
      <c r="A1766">
        <v>21</v>
      </c>
      <c r="B1766" t="s">
        <v>42</v>
      </c>
      <c r="C1766">
        <v>5</v>
      </c>
      <c r="D1766" t="s">
        <v>152</v>
      </c>
      <c r="E1766" t="b">
        <v>1</v>
      </c>
      <c r="F1766" s="1">
        <v>0.48333333333333334</v>
      </c>
      <c r="G1766" s="1">
        <v>0.59930555555555554</v>
      </c>
      <c r="H1766">
        <v>167</v>
      </c>
      <c r="I1766" t="b">
        <v>0</v>
      </c>
      <c r="J1766" t="b">
        <v>0</v>
      </c>
      <c r="K1766" t="b">
        <v>0</v>
      </c>
      <c r="L1766" t="s">
        <v>62</v>
      </c>
      <c r="M1766">
        <v>20</v>
      </c>
      <c r="N1766" t="s">
        <v>64</v>
      </c>
      <c r="O1766">
        <v>15</v>
      </c>
      <c r="P1766" t="s">
        <v>36</v>
      </c>
      <c r="Q1766">
        <v>0</v>
      </c>
      <c r="R1766">
        <v>15</v>
      </c>
      <c r="S1766" t="s">
        <v>44</v>
      </c>
      <c r="T1766" t="s">
        <v>45</v>
      </c>
      <c r="U1766">
        <v>33.836599999999997</v>
      </c>
      <c r="V1766">
        <v>-117.9143</v>
      </c>
      <c r="W1766" s="2">
        <v>45485</v>
      </c>
      <c r="X1766">
        <v>0</v>
      </c>
      <c r="Y1766" t="b">
        <v>1</v>
      </c>
      <c r="Z1766" s="2">
        <v>45841</v>
      </c>
      <c r="AA1766" t="str">
        <f t="shared" si="271"/>
        <v>20–29</v>
      </c>
      <c r="AB1766" t="str">
        <f t="shared" si="272"/>
        <v>20–29</v>
      </c>
      <c r="AC1766" t="str">
        <f t="shared" si="273"/>
        <v>Monday</v>
      </c>
      <c r="AD1766" t="str">
        <f t="shared" si="274"/>
        <v>Tuesday</v>
      </c>
      <c r="AE1766" t="str">
        <f t="shared" si="275"/>
        <v>Wednesday</v>
      </c>
      <c r="AF1766" t="str">
        <f t="shared" si="276"/>
        <v/>
      </c>
      <c r="AG1766" t="str">
        <f t="shared" si="277"/>
        <v>Friday</v>
      </c>
      <c r="AH1766" t="str">
        <f t="shared" si="278"/>
        <v>Saturday</v>
      </c>
      <c r="AI1766" t="str">
        <f t="shared" si="279"/>
        <v/>
      </c>
      <c r="AJ1766" t="str">
        <f>LEFT(Table1[[#This Row],[membership_type]],2)&amp;TEXT(Table1[[#This Row],[age]],"00")&amp;"-"&amp;TEXT(ROW(),"000")</f>
        <v>Ba21-1766</v>
      </c>
      <c r="AK1766" t="str">
        <f>LEFT(Table1[[#This Row],[membership_type]],1)&amp;TEXT(MATCH(Table1[[#This Row],[membership_type]],Table1[membership_type],0),"00")</f>
        <v>B04</v>
      </c>
      <c r="AL1766" t="str">
        <f>LEFT(Table1[[#This Row],[discount_type]],1)&amp;TEXT(ROUND(Table1[[#This Row],[discount_rate]]*100,0),"00")</f>
        <v>N00</v>
      </c>
      <c r="AM1766" t="str" cm="1">
        <f t="array" ref="AM1766">TEXT(SUMPRODUCT(CODE(MID(Table1[[#This Row],[home_gym_location]],_xlfn.SEQUENCE(LEN(Table1[[#This Row],[home_gym_location]])),1))),"00000")</f>
        <v>00899</v>
      </c>
      <c r="AN176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66" t="str">
        <f>LEFT(_xlfn.TEXTBEFORE(Table1[[#This Row],[Location Identifier]],"-"),3) &amp; "-" &amp; _xlfn.TEXTAFTER(Table1[[#This Row],[Location Identifier]],"-")</f>
        <v>ANA-001</v>
      </c>
      <c r="AP1766" s="9">
        <f t="shared" ca="1" si="270"/>
        <v>45869</v>
      </c>
    </row>
    <row r="1767" spans="1:42" x14ac:dyDescent="0.25">
      <c r="A1767">
        <v>28</v>
      </c>
      <c r="B1767" t="s">
        <v>26</v>
      </c>
      <c r="C1767">
        <v>4</v>
      </c>
      <c r="D1767" t="s">
        <v>143</v>
      </c>
      <c r="E1767" t="b">
        <v>1</v>
      </c>
      <c r="F1767" s="1">
        <v>0.46527777777777779</v>
      </c>
      <c r="G1767" s="1">
        <v>0.5805555555555556</v>
      </c>
      <c r="H1767">
        <v>166</v>
      </c>
      <c r="I1767" t="b">
        <v>0</v>
      </c>
      <c r="J1767" t="b">
        <v>1</v>
      </c>
      <c r="K1767" t="b">
        <v>1</v>
      </c>
      <c r="L1767" t="s">
        <v>28</v>
      </c>
      <c r="M1767">
        <v>50</v>
      </c>
      <c r="N1767" t="s">
        <v>64</v>
      </c>
      <c r="O1767">
        <v>37.5</v>
      </c>
      <c r="P1767" t="s">
        <v>74</v>
      </c>
      <c r="Q1767">
        <v>0.15</v>
      </c>
      <c r="R1767">
        <v>31.875</v>
      </c>
      <c r="S1767" t="s">
        <v>31</v>
      </c>
      <c r="T1767" t="s">
        <v>65</v>
      </c>
      <c r="U1767">
        <v>33.770099999999999</v>
      </c>
      <c r="V1767">
        <v>-118.19370000000001</v>
      </c>
      <c r="W1767" s="2">
        <v>45045</v>
      </c>
      <c r="X1767">
        <v>1</v>
      </c>
      <c r="Y1767" t="b">
        <v>1</v>
      </c>
      <c r="Z1767" s="2">
        <v>45816</v>
      </c>
      <c r="AA1767" t="str">
        <f t="shared" si="271"/>
        <v>20–29</v>
      </c>
      <c r="AB1767" t="str">
        <f t="shared" si="272"/>
        <v>20–29</v>
      </c>
      <c r="AC1767" t="str">
        <f t="shared" si="273"/>
        <v>Monday</v>
      </c>
      <c r="AD1767" t="str">
        <f t="shared" si="274"/>
        <v>Tuesday</v>
      </c>
      <c r="AE1767" t="str">
        <f t="shared" si="275"/>
        <v>Wednesday</v>
      </c>
      <c r="AF1767" t="str">
        <f t="shared" si="276"/>
        <v/>
      </c>
      <c r="AG1767" t="str">
        <f t="shared" si="277"/>
        <v>Friday</v>
      </c>
      <c r="AH1767" t="str">
        <f t="shared" si="278"/>
        <v/>
      </c>
      <c r="AI1767" t="str">
        <f t="shared" si="279"/>
        <v/>
      </c>
      <c r="AJ1767" t="str">
        <f>LEFT(Table1[[#This Row],[membership_type]],2)&amp;TEXT(Table1[[#This Row],[age]],"00")&amp;"-"&amp;TEXT(ROW(),"000")</f>
        <v>Pr28-1767</v>
      </c>
      <c r="AK1767" t="str">
        <f>LEFT(Table1[[#This Row],[membership_type]],1)&amp;TEXT(MATCH(Table1[[#This Row],[membership_type]],Table1[membership_type],0),"00")</f>
        <v>P01</v>
      </c>
      <c r="AL1767" t="str">
        <f>LEFT(Table1[[#This Row],[discount_type]],1)&amp;TEXT(ROUND(Table1[[#This Row],[discount_rate]]*100,0),"00")</f>
        <v>S15</v>
      </c>
      <c r="AM1767" t="str" cm="1">
        <f t="array" ref="AM1767">TEXT(SUMPRODUCT(CODE(MID(Table1[[#This Row],[home_gym_location]],_xlfn.SEQUENCE(LEN(Table1[[#This Row],[home_gym_location]])),1))),"00000")</f>
        <v>01107</v>
      </c>
      <c r="AN176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67" t="str">
        <f>LEFT(_xlfn.TEXTBEFORE(Table1[[#This Row],[Location Identifier]],"-"),3) &amp; "-" &amp; _xlfn.TEXTAFTER(Table1[[#This Row],[Location Identifier]],"-")</f>
        <v>LON-004</v>
      </c>
      <c r="AP1767" s="9">
        <f t="shared" ca="1" si="270"/>
        <v>45869</v>
      </c>
    </row>
    <row r="1768" spans="1:42" x14ac:dyDescent="0.25">
      <c r="A1768">
        <v>33</v>
      </c>
      <c r="B1768" t="s">
        <v>26</v>
      </c>
      <c r="C1768">
        <v>1</v>
      </c>
      <c r="D1768" t="s">
        <v>75</v>
      </c>
      <c r="E1768" t="b">
        <v>1</v>
      </c>
      <c r="F1768" s="1">
        <v>0.67083333333333328</v>
      </c>
      <c r="G1768" s="1">
        <v>0.70972222222222225</v>
      </c>
      <c r="H1768">
        <v>56</v>
      </c>
      <c r="I1768" t="b">
        <v>0</v>
      </c>
      <c r="J1768" t="b">
        <v>0</v>
      </c>
      <c r="K1768" t="b">
        <v>0</v>
      </c>
      <c r="L1768" t="s">
        <v>62</v>
      </c>
      <c r="M1768">
        <v>50</v>
      </c>
      <c r="N1768" t="s">
        <v>29</v>
      </c>
      <c r="O1768">
        <v>50</v>
      </c>
      <c r="P1768" t="s">
        <v>40</v>
      </c>
      <c r="Q1768">
        <v>0.1</v>
      </c>
      <c r="R1768">
        <v>45</v>
      </c>
      <c r="S1768" t="s">
        <v>31</v>
      </c>
      <c r="T1768" t="s">
        <v>38</v>
      </c>
      <c r="U1768">
        <v>36.7378</v>
      </c>
      <c r="V1768">
        <v>-119.7871</v>
      </c>
      <c r="W1768" s="2">
        <v>45324</v>
      </c>
      <c r="X1768">
        <v>0</v>
      </c>
      <c r="Y1768" t="b">
        <v>1</v>
      </c>
      <c r="Z1768" s="2">
        <v>45832</v>
      </c>
      <c r="AA1768" t="str">
        <f t="shared" si="271"/>
        <v>30–39</v>
      </c>
      <c r="AB1768" t="str">
        <f t="shared" si="272"/>
        <v>30–39</v>
      </c>
      <c r="AC1768" t="str">
        <f t="shared" si="273"/>
        <v/>
      </c>
      <c r="AD1768" t="str">
        <f t="shared" si="274"/>
        <v/>
      </c>
      <c r="AE1768" t="str">
        <f t="shared" si="275"/>
        <v/>
      </c>
      <c r="AF1768" t="str">
        <f t="shared" si="276"/>
        <v/>
      </c>
      <c r="AG1768" t="str">
        <f t="shared" si="277"/>
        <v>Friday</v>
      </c>
      <c r="AH1768" t="str">
        <f t="shared" si="278"/>
        <v/>
      </c>
      <c r="AI1768" t="str">
        <f t="shared" si="279"/>
        <v/>
      </c>
      <c r="AJ1768" t="str">
        <f>LEFT(Table1[[#This Row],[membership_type]],2)&amp;TEXT(Table1[[#This Row],[age]],"00")&amp;"-"&amp;TEXT(ROW(),"000")</f>
        <v>Pr33-1768</v>
      </c>
      <c r="AK1768" t="str">
        <f>LEFT(Table1[[#This Row],[membership_type]],1)&amp;TEXT(MATCH(Table1[[#This Row],[membership_type]],Table1[membership_type],0),"00")</f>
        <v>P01</v>
      </c>
      <c r="AL1768" t="str">
        <f>LEFT(Table1[[#This Row],[discount_type]],1)&amp;TEXT(ROUND(Table1[[#This Row],[discount_rate]]*100,0),"00")</f>
        <v>L10</v>
      </c>
      <c r="AM1768" t="str" cm="1">
        <f t="array" ref="AM1768">TEXT(SUMPRODUCT(CODE(MID(Table1[[#This Row],[home_gym_location]],_xlfn.SEQUENCE(LEN(Table1[[#This Row],[home_gym_location]])),1))),"00000")</f>
        <v>00829</v>
      </c>
      <c r="AN1768" t="str">
        <f>UPPER(_xlfn.TEXTBEFORE(Table1[[#This Row],[home_gym_location]],","))&amp;"-"&amp;TEXT(MATCH(Table1[[#This Row],[home_gym_location]],_xlfn._xlws.SORT(_xlfn.UNIQUE(Table1[home_gym_location])),0),"000")</f>
        <v>FRESNO-003</v>
      </c>
      <c r="AO1768" t="str">
        <f>LEFT(_xlfn.TEXTBEFORE(Table1[[#This Row],[Location Identifier]],"-"),3) &amp; "-" &amp; _xlfn.TEXTAFTER(Table1[[#This Row],[Location Identifier]],"-")</f>
        <v>FRE-003</v>
      </c>
      <c r="AP1768" s="9">
        <f t="shared" ca="1" si="270"/>
        <v>45869</v>
      </c>
    </row>
    <row r="1769" spans="1:42" x14ac:dyDescent="0.25">
      <c r="A1769">
        <v>16</v>
      </c>
      <c r="B1769" t="s">
        <v>33</v>
      </c>
      <c r="C1769">
        <v>1</v>
      </c>
      <c r="D1769" t="s">
        <v>71</v>
      </c>
      <c r="E1769" t="b">
        <v>1</v>
      </c>
      <c r="F1769" s="1">
        <v>0.35972222222222222</v>
      </c>
      <c r="G1769" s="1">
        <v>0.43402777777777779</v>
      </c>
      <c r="H1769">
        <v>107</v>
      </c>
      <c r="I1769" t="b">
        <v>0</v>
      </c>
      <c r="J1769" t="b">
        <v>1</v>
      </c>
      <c r="K1769" t="b">
        <v>1</v>
      </c>
      <c r="L1769" t="s">
        <v>35</v>
      </c>
      <c r="M1769">
        <v>30</v>
      </c>
      <c r="N1769" t="s">
        <v>78</v>
      </c>
      <c r="O1769">
        <v>27</v>
      </c>
      <c r="P1769" t="s">
        <v>36</v>
      </c>
      <c r="Q1769">
        <v>0</v>
      </c>
      <c r="R1769">
        <v>27</v>
      </c>
      <c r="S1769" t="s">
        <v>37</v>
      </c>
      <c r="T1769" t="s">
        <v>54</v>
      </c>
      <c r="U1769">
        <v>32.715699999999998</v>
      </c>
      <c r="V1769">
        <v>-117.1611</v>
      </c>
      <c r="W1769" s="2">
        <v>45430</v>
      </c>
      <c r="X1769">
        <v>3</v>
      </c>
      <c r="Y1769" t="b">
        <v>0</v>
      </c>
      <c r="Z1769" s="2">
        <v>45838</v>
      </c>
      <c r="AA1769" t="str">
        <f t="shared" si="271"/>
        <v>10–19</v>
      </c>
      <c r="AB1769" t="str">
        <f t="shared" si="272"/>
        <v>16–19</v>
      </c>
      <c r="AC1769" t="str">
        <f t="shared" si="273"/>
        <v/>
      </c>
      <c r="AD1769" t="str">
        <f t="shared" si="274"/>
        <v>Tuesday</v>
      </c>
      <c r="AE1769" t="str">
        <f t="shared" si="275"/>
        <v/>
      </c>
      <c r="AF1769" t="str">
        <f t="shared" si="276"/>
        <v/>
      </c>
      <c r="AG1769" t="str">
        <f t="shared" si="277"/>
        <v/>
      </c>
      <c r="AH1769" t="str">
        <f t="shared" si="278"/>
        <v/>
      </c>
      <c r="AI1769" t="str">
        <f t="shared" si="279"/>
        <v/>
      </c>
      <c r="AJ1769" t="str">
        <f>LEFT(Table1[[#This Row],[membership_type]],2)&amp;TEXT(Table1[[#This Row],[age]],"00")&amp;"-"&amp;TEXT(ROW(),"000")</f>
        <v>St16-1769</v>
      </c>
      <c r="AK1769" t="str">
        <f>LEFT(Table1[[#This Row],[membership_type]],1)&amp;TEXT(MATCH(Table1[[#This Row],[membership_type]],Table1[membership_type],0),"00")</f>
        <v>S02</v>
      </c>
      <c r="AL1769" t="str">
        <f>LEFT(Table1[[#This Row],[discount_type]],1)&amp;TEXT(ROUND(Table1[[#This Row],[discount_rate]]*100,0),"00")</f>
        <v>N00</v>
      </c>
      <c r="AM1769" t="str" cm="1">
        <f t="array" ref="AM1769">TEXT(SUMPRODUCT(CODE(MID(Table1[[#This Row],[home_gym_location]],_xlfn.SEQUENCE(LEN(Table1[[#This Row],[home_gym_location]])),1))),"00000")</f>
        <v>01018</v>
      </c>
      <c r="AN176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69" t="str">
        <f>LEFT(_xlfn.TEXTBEFORE(Table1[[#This Row],[Location Identifier]],"-"),3) &amp; "-" &amp; _xlfn.TEXTAFTER(Table1[[#This Row],[Location Identifier]],"-")</f>
        <v>SAN-008</v>
      </c>
      <c r="AP1769" s="9">
        <f t="shared" ca="1" si="270"/>
        <v>45869</v>
      </c>
    </row>
    <row r="1770" spans="1:42" x14ac:dyDescent="0.25">
      <c r="A1770">
        <v>33</v>
      </c>
      <c r="B1770" t="s">
        <v>26</v>
      </c>
      <c r="C1770">
        <v>3</v>
      </c>
      <c r="D1770" t="s">
        <v>81</v>
      </c>
      <c r="E1770" t="b">
        <v>1</v>
      </c>
      <c r="F1770" s="1">
        <v>0.5493055555555556</v>
      </c>
      <c r="G1770" s="1">
        <v>0.66388888888888886</v>
      </c>
      <c r="H1770">
        <v>165</v>
      </c>
      <c r="I1770" t="b">
        <v>1</v>
      </c>
      <c r="J1770" t="b">
        <v>0</v>
      </c>
      <c r="K1770" t="b">
        <v>0</v>
      </c>
      <c r="L1770" t="s">
        <v>28</v>
      </c>
      <c r="M1770">
        <v>50</v>
      </c>
      <c r="N1770" t="s">
        <v>29</v>
      </c>
      <c r="O1770">
        <v>50</v>
      </c>
      <c r="P1770" t="s">
        <v>30</v>
      </c>
      <c r="Q1770">
        <v>0.05</v>
      </c>
      <c r="R1770">
        <v>47.5</v>
      </c>
      <c r="S1770" t="s">
        <v>31</v>
      </c>
      <c r="T1770" t="s">
        <v>48</v>
      </c>
      <c r="U1770">
        <v>38.581600000000002</v>
      </c>
      <c r="V1770">
        <v>-121.4944</v>
      </c>
      <c r="W1770" s="2">
        <v>45410</v>
      </c>
      <c r="X1770">
        <v>0</v>
      </c>
      <c r="Y1770" t="b">
        <v>0</v>
      </c>
      <c r="Z1770" s="2">
        <v>45837</v>
      </c>
      <c r="AA1770" t="str">
        <f t="shared" si="271"/>
        <v>30–39</v>
      </c>
      <c r="AB1770" t="str">
        <f t="shared" si="272"/>
        <v>30–39</v>
      </c>
      <c r="AC1770" t="str">
        <f t="shared" si="273"/>
        <v>Monday</v>
      </c>
      <c r="AD1770" t="str">
        <f t="shared" si="274"/>
        <v/>
      </c>
      <c r="AE1770" t="str">
        <f t="shared" si="275"/>
        <v>Wednesday</v>
      </c>
      <c r="AF1770" t="str">
        <f t="shared" si="276"/>
        <v/>
      </c>
      <c r="AG1770" t="str">
        <f t="shared" si="277"/>
        <v>Friday</v>
      </c>
      <c r="AH1770" t="str">
        <f t="shared" si="278"/>
        <v/>
      </c>
      <c r="AI1770" t="str">
        <f t="shared" si="279"/>
        <v/>
      </c>
      <c r="AJ1770" t="str">
        <f>LEFT(Table1[[#This Row],[membership_type]],2)&amp;TEXT(Table1[[#This Row],[age]],"00")&amp;"-"&amp;TEXT(ROW(),"000")</f>
        <v>Pr33-1770</v>
      </c>
      <c r="AK1770" t="str">
        <f>LEFT(Table1[[#This Row],[membership_type]],1)&amp;TEXT(MATCH(Table1[[#This Row],[membership_type]],Table1[membership_type],0),"00")</f>
        <v>P01</v>
      </c>
      <c r="AL1770" t="str">
        <f>LEFT(Table1[[#This Row],[discount_type]],1)&amp;TEXT(ROUND(Table1[[#This Row],[discount_rate]]*100,0),"00")</f>
        <v>P05</v>
      </c>
      <c r="AM1770" t="str" cm="1">
        <f t="array" ref="AM1770">TEXT(SUMPRODUCT(CODE(MID(Table1[[#This Row],[home_gym_location]],_xlfn.SEQUENCE(LEN(Table1[[#This Row],[home_gym_location]])),1))),"00000")</f>
        <v>01245</v>
      </c>
      <c r="AN177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70" t="str">
        <f>LEFT(_xlfn.TEXTBEFORE(Table1[[#This Row],[Location Identifier]],"-"),3) &amp; "-" &amp; _xlfn.TEXTAFTER(Table1[[#This Row],[Location Identifier]],"-")</f>
        <v>SAC-007</v>
      </c>
      <c r="AP1770" s="9">
        <f t="shared" ca="1" si="270"/>
        <v>45869</v>
      </c>
    </row>
    <row r="1771" spans="1:42" x14ac:dyDescent="0.25">
      <c r="A1771">
        <v>36</v>
      </c>
      <c r="B1771" t="s">
        <v>51</v>
      </c>
      <c r="C1771">
        <v>2</v>
      </c>
      <c r="D1771" t="s">
        <v>73</v>
      </c>
      <c r="E1771" t="b">
        <v>1</v>
      </c>
      <c r="F1771" s="1">
        <v>0.7631944444444444</v>
      </c>
      <c r="G1771" s="1">
        <v>0.83472222222222225</v>
      </c>
      <c r="H1771">
        <v>103</v>
      </c>
      <c r="I1771" t="b">
        <v>0</v>
      </c>
      <c r="J1771" t="b">
        <v>1</v>
      </c>
      <c r="K1771" t="b">
        <v>1</v>
      </c>
      <c r="L1771" t="s">
        <v>28</v>
      </c>
      <c r="M1771">
        <v>70</v>
      </c>
      <c r="N1771" t="s">
        <v>64</v>
      </c>
      <c r="O1771">
        <v>52.5</v>
      </c>
      <c r="P1771" t="s">
        <v>30</v>
      </c>
      <c r="Q1771">
        <v>0.05</v>
      </c>
      <c r="R1771">
        <v>49.875</v>
      </c>
      <c r="S1771" t="s">
        <v>53</v>
      </c>
      <c r="T1771" t="s">
        <v>65</v>
      </c>
      <c r="U1771">
        <v>33.770099999999999</v>
      </c>
      <c r="V1771">
        <v>-118.19370000000001</v>
      </c>
      <c r="W1771" s="2">
        <v>45341</v>
      </c>
      <c r="X1771">
        <v>4</v>
      </c>
      <c r="Y1771" t="b">
        <v>1</v>
      </c>
      <c r="Z1771" s="2">
        <v>45833</v>
      </c>
      <c r="AA1771" t="str">
        <f t="shared" si="271"/>
        <v>30–39</v>
      </c>
      <c r="AB1771" t="str">
        <f t="shared" si="272"/>
        <v>30–39</v>
      </c>
      <c r="AC1771" t="str">
        <f t="shared" si="273"/>
        <v/>
      </c>
      <c r="AD1771" t="str">
        <f t="shared" si="274"/>
        <v>Tuesday</v>
      </c>
      <c r="AE1771" t="str">
        <f t="shared" si="275"/>
        <v/>
      </c>
      <c r="AF1771" t="str">
        <f t="shared" si="276"/>
        <v/>
      </c>
      <c r="AG1771" t="str">
        <f t="shared" si="277"/>
        <v>Friday</v>
      </c>
      <c r="AH1771" t="str">
        <f t="shared" si="278"/>
        <v/>
      </c>
      <c r="AI1771" t="str">
        <f t="shared" si="279"/>
        <v/>
      </c>
      <c r="AJ1771" t="str">
        <f>LEFT(Table1[[#This Row],[membership_type]],2)&amp;TEXT(Table1[[#This Row],[age]],"00")&amp;"-"&amp;TEXT(ROW(),"000")</f>
        <v>El36-1771</v>
      </c>
      <c r="AK1771" t="str">
        <f>LEFT(Table1[[#This Row],[membership_type]],1)&amp;TEXT(MATCH(Table1[[#This Row],[membership_type]],Table1[membership_type],0),"00")</f>
        <v>E07</v>
      </c>
      <c r="AL1771" t="str">
        <f>LEFT(Table1[[#This Row],[discount_type]],1)&amp;TEXT(ROUND(Table1[[#This Row],[discount_rate]]*100,0),"00")</f>
        <v>P05</v>
      </c>
      <c r="AM1771" t="str" cm="1">
        <f t="array" ref="AM1771">TEXT(SUMPRODUCT(CODE(MID(Table1[[#This Row],[home_gym_location]],_xlfn.SEQUENCE(LEN(Table1[[#This Row],[home_gym_location]])),1))),"00000")</f>
        <v>01107</v>
      </c>
      <c r="AN177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71" t="str">
        <f>LEFT(_xlfn.TEXTBEFORE(Table1[[#This Row],[Location Identifier]],"-"),3) &amp; "-" &amp; _xlfn.TEXTAFTER(Table1[[#This Row],[Location Identifier]],"-")</f>
        <v>LON-004</v>
      </c>
      <c r="AP1771" s="9">
        <f t="shared" ca="1" si="270"/>
        <v>45869</v>
      </c>
    </row>
    <row r="1772" spans="1:42" x14ac:dyDescent="0.25">
      <c r="A1772">
        <v>15</v>
      </c>
      <c r="B1772" t="s">
        <v>26</v>
      </c>
      <c r="C1772">
        <v>1</v>
      </c>
      <c r="D1772" t="s">
        <v>75</v>
      </c>
      <c r="E1772" t="b">
        <v>1</v>
      </c>
      <c r="F1772" s="1">
        <v>0.79583333333333328</v>
      </c>
      <c r="G1772" s="1">
        <v>0.88680555555555551</v>
      </c>
      <c r="H1772">
        <v>131</v>
      </c>
      <c r="I1772" t="b">
        <v>1</v>
      </c>
      <c r="J1772" t="b">
        <v>1</v>
      </c>
      <c r="K1772" t="b">
        <v>0</v>
      </c>
      <c r="L1772" t="s">
        <v>58</v>
      </c>
      <c r="M1772">
        <v>50</v>
      </c>
      <c r="N1772" t="s">
        <v>29</v>
      </c>
      <c r="O1772">
        <v>50</v>
      </c>
      <c r="P1772" t="s">
        <v>74</v>
      </c>
      <c r="Q1772">
        <v>0.15</v>
      </c>
      <c r="R1772">
        <v>42.5</v>
      </c>
      <c r="S1772" t="s">
        <v>31</v>
      </c>
      <c r="T1772" t="s">
        <v>50</v>
      </c>
      <c r="U1772">
        <v>34.052199999999999</v>
      </c>
      <c r="V1772">
        <v>-118.2437</v>
      </c>
      <c r="W1772" s="2">
        <v>44994</v>
      </c>
      <c r="X1772">
        <v>2</v>
      </c>
      <c r="Y1772" t="b">
        <v>1</v>
      </c>
      <c r="Z1772" s="2">
        <v>45813</v>
      </c>
      <c r="AA1772" t="str">
        <f t="shared" si="271"/>
        <v>10–19</v>
      </c>
      <c r="AB1772" t="str">
        <f t="shared" si="272"/>
        <v>Under 16</v>
      </c>
      <c r="AC1772" t="str">
        <f t="shared" si="273"/>
        <v/>
      </c>
      <c r="AD1772" t="str">
        <f t="shared" si="274"/>
        <v/>
      </c>
      <c r="AE1772" t="str">
        <f t="shared" si="275"/>
        <v/>
      </c>
      <c r="AF1772" t="str">
        <f t="shared" si="276"/>
        <v/>
      </c>
      <c r="AG1772" t="str">
        <f t="shared" si="277"/>
        <v>Friday</v>
      </c>
      <c r="AH1772" t="str">
        <f t="shared" si="278"/>
        <v/>
      </c>
      <c r="AI1772" t="str">
        <f t="shared" si="279"/>
        <v/>
      </c>
      <c r="AJ1772" t="str">
        <f>LEFT(Table1[[#This Row],[membership_type]],2)&amp;TEXT(Table1[[#This Row],[age]],"00")&amp;"-"&amp;TEXT(ROW(),"000")</f>
        <v>Pr15-1772</v>
      </c>
      <c r="AK1772" t="str">
        <f>LEFT(Table1[[#This Row],[membership_type]],1)&amp;TEXT(MATCH(Table1[[#This Row],[membership_type]],Table1[membership_type],0),"00")</f>
        <v>P01</v>
      </c>
      <c r="AL1772" t="str">
        <f>LEFT(Table1[[#This Row],[discount_type]],1)&amp;TEXT(ROUND(Table1[[#This Row],[discount_rate]]*100,0),"00")</f>
        <v>S15</v>
      </c>
      <c r="AM1772" t="str" cm="1">
        <f t="array" ref="AM1772">TEXT(SUMPRODUCT(CODE(MID(Table1[[#This Row],[home_gym_location]],_xlfn.SEQUENCE(LEN(Table1[[#This Row],[home_gym_location]])),1))),"00000")</f>
        <v>01245</v>
      </c>
      <c r="AN177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72" t="str">
        <f>LEFT(_xlfn.TEXTBEFORE(Table1[[#This Row],[Location Identifier]],"-"),3) &amp; "-" &amp; _xlfn.TEXTAFTER(Table1[[#This Row],[Location Identifier]],"-")</f>
        <v>LOS-005</v>
      </c>
      <c r="AP1772" s="9">
        <f t="shared" ca="1" si="270"/>
        <v>45869</v>
      </c>
    </row>
    <row r="1773" spans="1:42" x14ac:dyDescent="0.25">
      <c r="A1773">
        <v>35</v>
      </c>
      <c r="B1773" t="s">
        <v>33</v>
      </c>
      <c r="C1773">
        <v>3</v>
      </c>
      <c r="D1773" t="s">
        <v>91</v>
      </c>
      <c r="E1773" t="b">
        <v>1</v>
      </c>
      <c r="F1773" s="1">
        <v>0.44166666666666665</v>
      </c>
      <c r="G1773" s="1">
        <v>0.49027777777777776</v>
      </c>
      <c r="H1773">
        <v>70</v>
      </c>
      <c r="I1773" t="b">
        <v>1</v>
      </c>
      <c r="J1773" t="b">
        <v>1</v>
      </c>
      <c r="K1773" t="b">
        <v>1</v>
      </c>
      <c r="L1773" t="s">
        <v>62</v>
      </c>
      <c r="M1773">
        <v>30</v>
      </c>
      <c r="N1773" t="s">
        <v>64</v>
      </c>
      <c r="O1773">
        <v>22.5</v>
      </c>
      <c r="P1773" t="s">
        <v>36</v>
      </c>
      <c r="Q1773">
        <v>0</v>
      </c>
      <c r="R1773">
        <v>22.5</v>
      </c>
      <c r="S1773" t="s">
        <v>37</v>
      </c>
      <c r="T1773" t="s">
        <v>56</v>
      </c>
      <c r="U1773">
        <v>35.3733</v>
      </c>
      <c r="V1773">
        <v>-119.0187</v>
      </c>
      <c r="W1773" s="2">
        <v>44880</v>
      </c>
      <c r="X1773">
        <v>8</v>
      </c>
      <c r="Y1773" t="b">
        <v>0</v>
      </c>
      <c r="Z1773" s="2">
        <v>45807</v>
      </c>
      <c r="AA1773" t="str">
        <f t="shared" si="271"/>
        <v>30–39</v>
      </c>
      <c r="AB1773" t="str">
        <f t="shared" si="272"/>
        <v>30–39</v>
      </c>
      <c r="AC1773" t="str">
        <f t="shared" si="273"/>
        <v>Monday</v>
      </c>
      <c r="AD1773" t="str">
        <f t="shared" si="274"/>
        <v/>
      </c>
      <c r="AE1773" t="str">
        <f t="shared" si="275"/>
        <v/>
      </c>
      <c r="AF1773" t="str">
        <f t="shared" si="276"/>
        <v>Thursday</v>
      </c>
      <c r="AG1773" t="str">
        <f t="shared" si="277"/>
        <v/>
      </c>
      <c r="AH1773" t="str">
        <f t="shared" si="278"/>
        <v>Saturday</v>
      </c>
      <c r="AI1773" t="str">
        <f t="shared" si="279"/>
        <v/>
      </c>
      <c r="AJ1773" t="str">
        <f>LEFT(Table1[[#This Row],[membership_type]],2)&amp;TEXT(Table1[[#This Row],[age]],"00")&amp;"-"&amp;TEXT(ROW(),"000")</f>
        <v>St35-1773</v>
      </c>
      <c r="AK1773" t="str">
        <f>LEFT(Table1[[#This Row],[membership_type]],1)&amp;TEXT(MATCH(Table1[[#This Row],[membership_type]],Table1[membership_type],0),"00")</f>
        <v>S02</v>
      </c>
      <c r="AL1773" t="str">
        <f>LEFT(Table1[[#This Row],[discount_type]],1)&amp;TEXT(ROUND(Table1[[#This Row],[discount_rate]]*100,0),"00")</f>
        <v>N00</v>
      </c>
      <c r="AM1773" t="str" cm="1">
        <f t="array" ref="AM1773">TEXT(SUMPRODUCT(CODE(MID(Table1[[#This Row],[home_gym_location]],_xlfn.SEQUENCE(LEN(Table1[[#This Row],[home_gym_location]])),1))),"00000")</f>
        <v>01324</v>
      </c>
      <c r="AN177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73" t="str">
        <f>LEFT(_xlfn.TEXTBEFORE(Table1[[#This Row],[Location Identifier]],"-"),3) &amp; "-" &amp; _xlfn.TEXTAFTER(Table1[[#This Row],[Location Identifier]],"-")</f>
        <v>BAK-002</v>
      </c>
      <c r="AP1773" s="9">
        <f t="shared" ca="1" si="270"/>
        <v>45869</v>
      </c>
    </row>
    <row r="1774" spans="1:42" x14ac:dyDescent="0.25">
      <c r="A1774">
        <v>15</v>
      </c>
      <c r="B1774" t="s">
        <v>51</v>
      </c>
      <c r="C1774">
        <v>3</v>
      </c>
      <c r="D1774" t="s">
        <v>82</v>
      </c>
      <c r="E1774" t="b">
        <v>1</v>
      </c>
      <c r="F1774" s="1">
        <v>0.75416666666666665</v>
      </c>
      <c r="G1774" s="1">
        <v>0.86250000000000004</v>
      </c>
      <c r="H1774">
        <v>156</v>
      </c>
      <c r="I1774" t="b">
        <v>0</v>
      </c>
      <c r="J1774" t="b">
        <v>1</v>
      </c>
      <c r="K1774" t="b">
        <v>1</v>
      </c>
      <c r="L1774" t="s">
        <v>28</v>
      </c>
      <c r="M1774">
        <v>70</v>
      </c>
      <c r="N1774" t="s">
        <v>64</v>
      </c>
      <c r="O1774">
        <v>52.5</v>
      </c>
      <c r="P1774" t="s">
        <v>30</v>
      </c>
      <c r="Q1774">
        <v>0.05</v>
      </c>
      <c r="R1774">
        <v>49.875</v>
      </c>
      <c r="S1774" t="s">
        <v>53</v>
      </c>
      <c r="T1774" t="s">
        <v>41</v>
      </c>
      <c r="U1774">
        <v>37.804400000000001</v>
      </c>
      <c r="V1774">
        <v>-122.27119999999999</v>
      </c>
      <c r="W1774" s="2">
        <v>44813</v>
      </c>
      <c r="X1774">
        <v>6</v>
      </c>
      <c r="Y1774" t="b">
        <v>1</v>
      </c>
      <c r="Z1774" s="2">
        <v>45803</v>
      </c>
      <c r="AA1774" t="str">
        <f t="shared" si="271"/>
        <v>10–19</v>
      </c>
      <c r="AB1774" t="str">
        <f t="shared" si="272"/>
        <v>Under 16</v>
      </c>
      <c r="AC1774" t="str">
        <f t="shared" si="273"/>
        <v/>
      </c>
      <c r="AD1774" t="str">
        <f t="shared" si="274"/>
        <v/>
      </c>
      <c r="AE1774" t="str">
        <f t="shared" si="275"/>
        <v/>
      </c>
      <c r="AF1774" t="str">
        <f t="shared" si="276"/>
        <v/>
      </c>
      <c r="AG1774" t="str">
        <f t="shared" si="277"/>
        <v>Friday</v>
      </c>
      <c r="AH1774" t="str">
        <f t="shared" si="278"/>
        <v>Saturday</v>
      </c>
      <c r="AI1774" t="str">
        <f t="shared" si="279"/>
        <v>Sunday</v>
      </c>
      <c r="AJ1774" t="str">
        <f>LEFT(Table1[[#This Row],[membership_type]],2)&amp;TEXT(Table1[[#This Row],[age]],"00")&amp;"-"&amp;TEXT(ROW(),"000")</f>
        <v>El15-1774</v>
      </c>
      <c r="AK1774" t="str">
        <f>LEFT(Table1[[#This Row],[membership_type]],1)&amp;TEXT(MATCH(Table1[[#This Row],[membership_type]],Table1[membership_type],0),"00")</f>
        <v>E07</v>
      </c>
      <c r="AL1774" t="str">
        <f>LEFT(Table1[[#This Row],[discount_type]],1)&amp;TEXT(ROUND(Table1[[#This Row],[discount_rate]]*100,0),"00")</f>
        <v>P05</v>
      </c>
      <c r="AM1774" t="str" cm="1">
        <f t="array" ref="AM1774">TEXT(SUMPRODUCT(CODE(MID(Table1[[#This Row],[home_gym_location]],_xlfn.SEQUENCE(LEN(Table1[[#This Row],[home_gym_location]])),1))),"00000")</f>
        <v>00906</v>
      </c>
      <c r="AN177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774" t="str">
        <f>LEFT(_xlfn.TEXTBEFORE(Table1[[#This Row],[Location Identifier]],"-"),3) &amp; "-" &amp; _xlfn.TEXTAFTER(Table1[[#This Row],[Location Identifier]],"-")</f>
        <v>OAK-006</v>
      </c>
      <c r="AP1774" s="9">
        <f t="shared" ca="1" si="270"/>
        <v>45869</v>
      </c>
    </row>
    <row r="1775" spans="1:42" x14ac:dyDescent="0.25">
      <c r="A1775">
        <v>15</v>
      </c>
      <c r="B1775" t="s">
        <v>33</v>
      </c>
      <c r="C1775">
        <v>3</v>
      </c>
      <c r="D1775" t="s">
        <v>55</v>
      </c>
      <c r="E1775" t="b">
        <v>0</v>
      </c>
      <c r="F1775" s="1">
        <v>0.60624999999999996</v>
      </c>
      <c r="G1775" s="1">
        <v>0.7</v>
      </c>
      <c r="H1775">
        <v>135</v>
      </c>
      <c r="I1775" t="b">
        <v>0</v>
      </c>
      <c r="J1775" t="b">
        <v>0</v>
      </c>
      <c r="K1775" t="b">
        <v>1</v>
      </c>
      <c r="L1775" t="s">
        <v>28</v>
      </c>
      <c r="M1775">
        <v>30</v>
      </c>
      <c r="N1775" t="s">
        <v>29</v>
      </c>
      <c r="O1775">
        <v>30</v>
      </c>
      <c r="P1775" t="s">
        <v>40</v>
      </c>
      <c r="Q1775">
        <v>0.1</v>
      </c>
      <c r="R1775">
        <v>27</v>
      </c>
      <c r="S1775" t="s">
        <v>37</v>
      </c>
      <c r="T1775" t="s">
        <v>32</v>
      </c>
      <c r="U1775">
        <v>37.338200000000001</v>
      </c>
      <c r="V1775">
        <v>-121.88630000000001</v>
      </c>
      <c r="W1775" s="2">
        <v>44992</v>
      </c>
      <c r="X1775">
        <v>0</v>
      </c>
      <c r="Y1775" t="b">
        <v>1</v>
      </c>
      <c r="Z1775" s="2">
        <v>45813</v>
      </c>
      <c r="AA1775" t="str">
        <f t="shared" si="271"/>
        <v>10–19</v>
      </c>
      <c r="AB1775" t="str">
        <f t="shared" si="272"/>
        <v>Under 16</v>
      </c>
      <c r="AC1775" t="str">
        <f t="shared" si="273"/>
        <v/>
      </c>
      <c r="AD1775" t="str">
        <f t="shared" si="274"/>
        <v/>
      </c>
      <c r="AE1775" t="str">
        <f t="shared" si="275"/>
        <v/>
      </c>
      <c r="AF1775" t="str">
        <f t="shared" si="276"/>
        <v>Thursday</v>
      </c>
      <c r="AG1775" t="str">
        <f t="shared" si="277"/>
        <v>Friday</v>
      </c>
      <c r="AH1775" t="str">
        <f t="shared" si="278"/>
        <v/>
      </c>
      <c r="AI1775" t="str">
        <f t="shared" si="279"/>
        <v>Sunday</v>
      </c>
      <c r="AJ1775" t="str">
        <f>LEFT(Table1[[#This Row],[membership_type]],2)&amp;TEXT(Table1[[#This Row],[age]],"00")&amp;"-"&amp;TEXT(ROW(),"000")</f>
        <v>St15-1775</v>
      </c>
      <c r="AK1775" t="str">
        <f>LEFT(Table1[[#This Row],[membership_type]],1)&amp;TEXT(MATCH(Table1[[#This Row],[membership_type]],Table1[membership_type],0),"00")</f>
        <v>S02</v>
      </c>
      <c r="AL1775" t="str">
        <f>LEFT(Table1[[#This Row],[discount_type]],1)&amp;TEXT(ROUND(Table1[[#This Row],[discount_rate]]*100,0),"00")</f>
        <v>L10</v>
      </c>
      <c r="AM1775" t="str" cm="1">
        <f t="array" ref="AM1775">TEXT(SUMPRODUCT(CODE(MID(Table1[[#This Row],[home_gym_location]],_xlfn.SEQUENCE(LEN(Table1[[#This Row],[home_gym_location]])),1))),"00000")</f>
        <v>00931</v>
      </c>
      <c r="AN177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75" t="str">
        <f>LEFT(_xlfn.TEXTBEFORE(Table1[[#This Row],[Location Identifier]],"-"),3) &amp; "-" &amp; _xlfn.TEXTAFTER(Table1[[#This Row],[Location Identifier]],"-")</f>
        <v>SAN-010</v>
      </c>
      <c r="AP1775" s="9">
        <f t="shared" ca="1" si="270"/>
        <v>45869</v>
      </c>
    </row>
    <row r="1776" spans="1:42" x14ac:dyDescent="0.25">
      <c r="A1776">
        <v>16</v>
      </c>
      <c r="B1776" t="s">
        <v>42</v>
      </c>
      <c r="C1776">
        <v>2</v>
      </c>
      <c r="D1776" t="s">
        <v>141</v>
      </c>
      <c r="E1776" t="b">
        <v>1</v>
      </c>
      <c r="F1776" s="1">
        <v>0.52777777777777779</v>
      </c>
      <c r="G1776" s="1">
        <v>0.57777777777777772</v>
      </c>
      <c r="H1776">
        <v>72</v>
      </c>
      <c r="I1776" t="b">
        <v>1</v>
      </c>
      <c r="J1776" t="b">
        <v>1</v>
      </c>
      <c r="K1776" t="b">
        <v>0</v>
      </c>
      <c r="L1776" t="s">
        <v>47</v>
      </c>
      <c r="M1776">
        <v>20</v>
      </c>
      <c r="N1776" t="s">
        <v>64</v>
      </c>
      <c r="O1776">
        <v>15</v>
      </c>
      <c r="P1776" t="s">
        <v>36</v>
      </c>
      <c r="Q1776">
        <v>0</v>
      </c>
      <c r="R1776">
        <v>15</v>
      </c>
      <c r="S1776" t="s">
        <v>44</v>
      </c>
      <c r="T1776" t="s">
        <v>54</v>
      </c>
      <c r="U1776">
        <v>32.715699999999998</v>
      </c>
      <c r="V1776">
        <v>-117.1611</v>
      </c>
      <c r="W1776" s="2">
        <v>45495</v>
      </c>
      <c r="X1776">
        <v>1</v>
      </c>
      <c r="Y1776" t="b">
        <v>0</v>
      </c>
      <c r="Z1776" s="2">
        <v>45842</v>
      </c>
      <c r="AA1776" t="str">
        <f t="shared" si="271"/>
        <v>10–19</v>
      </c>
      <c r="AB1776" t="str">
        <f t="shared" si="272"/>
        <v>16–19</v>
      </c>
      <c r="AC1776" t="str">
        <f t="shared" si="273"/>
        <v/>
      </c>
      <c r="AD1776" t="str">
        <f t="shared" si="274"/>
        <v/>
      </c>
      <c r="AE1776" t="str">
        <f t="shared" si="275"/>
        <v>Wednesday</v>
      </c>
      <c r="AF1776" t="str">
        <f t="shared" si="276"/>
        <v/>
      </c>
      <c r="AG1776" t="str">
        <f t="shared" si="277"/>
        <v>Friday</v>
      </c>
      <c r="AH1776" t="str">
        <f t="shared" si="278"/>
        <v/>
      </c>
      <c r="AI1776" t="str">
        <f t="shared" si="279"/>
        <v/>
      </c>
      <c r="AJ1776" t="str">
        <f>LEFT(Table1[[#This Row],[membership_type]],2)&amp;TEXT(Table1[[#This Row],[age]],"00")&amp;"-"&amp;TEXT(ROW(),"000")</f>
        <v>Ba16-1776</v>
      </c>
      <c r="AK1776" t="str">
        <f>LEFT(Table1[[#This Row],[membership_type]],1)&amp;TEXT(MATCH(Table1[[#This Row],[membership_type]],Table1[membership_type],0),"00")</f>
        <v>B04</v>
      </c>
      <c r="AL1776" t="str">
        <f>LEFT(Table1[[#This Row],[discount_type]],1)&amp;TEXT(ROUND(Table1[[#This Row],[discount_rate]]*100,0),"00")</f>
        <v>N00</v>
      </c>
      <c r="AM1776" t="str" cm="1">
        <f t="array" ref="AM1776">TEXT(SUMPRODUCT(CODE(MID(Table1[[#This Row],[home_gym_location]],_xlfn.SEQUENCE(LEN(Table1[[#This Row],[home_gym_location]])),1))),"00000")</f>
        <v>01018</v>
      </c>
      <c r="AN177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76" t="str">
        <f>LEFT(_xlfn.TEXTBEFORE(Table1[[#This Row],[Location Identifier]],"-"),3) &amp; "-" &amp; _xlfn.TEXTAFTER(Table1[[#This Row],[Location Identifier]],"-")</f>
        <v>SAN-008</v>
      </c>
      <c r="AP1776" s="9">
        <f t="shared" ca="1" si="270"/>
        <v>45869</v>
      </c>
    </row>
    <row r="1777" spans="1:42" x14ac:dyDescent="0.25">
      <c r="A1777">
        <v>46</v>
      </c>
      <c r="B1777" t="s">
        <v>42</v>
      </c>
      <c r="C1777">
        <v>2</v>
      </c>
      <c r="D1777" t="s">
        <v>108</v>
      </c>
      <c r="E1777" t="b">
        <v>0</v>
      </c>
      <c r="F1777" s="1">
        <v>0.34861111111111109</v>
      </c>
      <c r="G1777" s="1">
        <v>0.45277777777777778</v>
      </c>
      <c r="H1777">
        <v>150</v>
      </c>
      <c r="I1777" t="b">
        <v>0</v>
      </c>
      <c r="J1777" t="b">
        <v>1</v>
      </c>
      <c r="K1777" t="b">
        <v>1</v>
      </c>
      <c r="L1777" t="s">
        <v>62</v>
      </c>
      <c r="M1777">
        <v>20</v>
      </c>
      <c r="N1777" t="s">
        <v>29</v>
      </c>
      <c r="O1777">
        <v>20</v>
      </c>
      <c r="P1777" t="s">
        <v>36</v>
      </c>
      <c r="Q1777">
        <v>0</v>
      </c>
      <c r="R1777">
        <v>20</v>
      </c>
      <c r="S1777" t="s">
        <v>44</v>
      </c>
      <c r="T1777" t="s">
        <v>38</v>
      </c>
      <c r="U1777">
        <v>36.7378</v>
      </c>
      <c r="V1777">
        <v>-119.7871</v>
      </c>
      <c r="W1777" s="2">
        <v>45098</v>
      </c>
      <c r="X1777">
        <v>8</v>
      </c>
      <c r="Y1777" t="b">
        <v>0</v>
      </c>
      <c r="Z1777" s="2">
        <v>45819</v>
      </c>
      <c r="AA1777" t="str">
        <f t="shared" si="271"/>
        <v>40–49</v>
      </c>
      <c r="AB1777" t="str">
        <f t="shared" si="272"/>
        <v>40–49</v>
      </c>
      <c r="AC1777" t="str">
        <f t="shared" si="273"/>
        <v/>
      </c>
      <c r="AD1777" t="str">
        <f t="shared" si="274"/>
        <v>Tuesday</v>
      </c>
      <c r="AE1777" t="str">
        <f t="shared" si="275"/>
        <v/>
      </c>
      <c r="AF1777" t="str">
        <f t="shared" si="276"/>
        <v>Thursday</v>
      </c>
      <c r="AG1777" t="str">
        <f t="shared" si="277"/>
        <v/>
      </c>
      <c r="AH1777" t="str">
        <f t="shared" si="278"/>
        <v/>
      </c>
      <c r="AI1777" t="str">
        <f t="shared" si="279"/>
        <v/>
      </c>
      <c r="AJ1777" t="str">
        <f>LEFT(Table1[[#This Row],[membership_type]],2)&amp;TEXT(Table1[[#This Row],[age]],"00")&amp;"-"&amp;TEXT(ROW(),"000")</f>
        <v>Ba46-1777</v>
      </c>
      <c r="AK1777" t="str">
        <f>LEFT(Table1[[#This Row],[membership_type]],1)&amp;TEXT(MATCH(Table1[[#This Row],[membership_type]],Table1[membership_type],0),"00")</f>
        <v>B04</v>
      </c>
      <c r="AL1777" t="str">
        <f>LEFT(Table1[[#This Row],[discount_type]],1)&amp;TEXT(ROUND(Table1[[#This Row],[discount_rate]]*100,0),"00")</f>
        <v>N00</v>
      </c>
      <c r="AM1777" t="str" cm="1">
        <f t="array" ref="AM1777">TEXT(SUMPRODUCT(CODE(MID(Table1[[#This Row],[home_gym_location]],_xlfn.SEQUENCE(LEN(Table1[[#This Row],[home_gym_location]])),1))),"00000")</f>
        <v>00829</v>
      </c>
      <c r="AN1777" t="str">
        <f>UPPER(_xlfn.TEXTBEFORE(Table1[[#This Row],[home_gym_location]],","))&amp;"-"&amp;TEXT(MATCH(Table1[[#This Row],[home_gym_location]],_xlfn._xlws.SORT(_xlfn.UNIQUE(Table1[home_gym_location])),0),"000")</f>
        <v>FRESNO-003</v>
      </c>
      <c r="AO1777" t="str">
        <f>LEFT(_xlfn.TEXTBEFORE(Table1[[#This Row],[Location Identifier]],"-"),3) &amp; "-" &amp; _xlfn.TEXTAFTER(Table1[[#This Row],[Location Identifier]],"-")</f>
        <v>FRE-003</v>
      </c>
      <c r="AP1777" s="9">
        <f t="shared" ca="1" si="270"/>
        <v>45869</v>
      </c>
    </row>
    <row r="1778" spans="1:42" x14ac:dyDescent="0.25">
      <c r="A1778">
        <v>46</v>
      </c>
      <c r="B1778" t="s">
        <v>26</v>
      </c>
      <c r="C1778">
        <v>5</v>
      </c>
      <c r="D1778" t="s">
        <v>110</v>
      </c>
      <c r="E1778" t="b">
        <v>0</v>
      </c>
      <c r="F1778" s="1">
        <v>0.86527777777777781</v>
      </c>
      <c r="G1778" s="1">
        <v>0.92291666666666672</v>
      </c>
      <c r="H1778">
        <v>83</v>
      </c>
      <c r="I1778" t="b">
        <v>1</v>
      </c>
      <c r="J1778" t="b">
        <v>1</v>
      </c>
      <c r="K1778" t="b">
        <v>1</v>
      </c>
      <c r="L1778" t="s">
        <v>62</v>
      </c>
      <c r="M1778">
        <v>50</v>
      </c>
      <c r="N1778" t="s">
        <v>64</v>
      </c>
      <c r="O1778">
        <v>37.5</v>
      </c>
      <c r="P1778" t="s">
        <v>74</v>
      </c>
      <c r="Q1778">
        <v>0.15</v>
      </c>
      <c r="R1778">
        <v>31.875</v>
      </c>
      <c r="S1778" t="s">
        <v>31</v>
      </c>
      <c r="T1778" t="s">
        <v>56</v>
      </c>
      <c r="U1778">
        <v>35.3733</v>
      </c>
      <c r="V1778">
        <v>-119.0187</v>
      </c>
      <c r="W1778" s="2">
        <v>45364</v>
      </c>
      <c r="X1778">
        <v>2</v>
      </c>
      <c r="Y1778" t="b">
        <v>1</v>
      </c>
      <c r="Z1778" s="2">
        <v>45834</v>
      </c>
      <c r="AA1778" t="str">
        <f t="shared" si="271"/>
        <v>40–49</v>
      </c>
      <c r="AB1778" t="str">
        <f t="shared" si="272"/>
        <v>40–49</v>
      </c>
      <c r="AC1778" t="str">
        <f t="shared" si="273"/>
        <v>Monday</v>
      </c>
      <c r="AD1778" t="str">
        <f t="shared" si="274"/>
        <v>Tuesday</v>
      </c>
      <c r="AE1778" t="str">
        <f t="shared" si="275"/>
        <v>Wednesday</v>
      </c>
      <c r="AF1778" t="str">
        <f t="shared" si="276"/>
        <v>Thursday</v>
      </c>
      <c r="AG1778" t="str">
        <f t="shared" si="277"/>
        <v/>
      </c>
      <c r="AH1778" t="str">
        <f t="shared" si="278"/>
        <v>Saturday</v>
      </c>
      <c r="AI1778" t="str">
        <f t="shared" si="279"/>
        <v/>
      </c>
      <c r="AJ1778" t="str">
        <f>LEFT(Table1[[#This Row],[membership_type]],2)&amp;TEXT(Table1[[#This Row],[age]],"00")&amp;"-"&amp;TEXT(ROW(),"000")</f>
        <v>Pr46-1778</v>
      </c>
      <c r="AK1778" t="str">
        <f>LEFT(Table1[[#This Row],[membership_type]],1)&amp;TEXT(MATCH(Table1[[#This Row],[membership_type]],Table1[membership_type],0),"00")</f>
        <v>P01</v>
      </c>
      <c r="AL1778" t="str">
        <f>LEFT(Table1[[#This Row],[discount_type]],1)&amp;TEXT(ROUND(Table1[[#This Row],[discount_rate]]*100,0),"00")</f>
        <v>S15</v>
      </c>
      <c r="AM1778" t="str" cm="1">
        <f t="array" ref="AM1778">TEXT(SUMPRODUCT(CODE(MID(Table1[[#This Row],[home_gym_location]],_xlfn.SEQUENCE(LEN(Table1[[#This Row],[home_gym_location]])),1))),"00000")</f>
        <v>01324</v>
      </c>
      <c r="AN1778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78" t="str">
        <f>LEFT(_xlfn.TEXTBEFORE(Table1[[#This Row],[Location Identifier]],"-"),3) &amp; "-" &amp; _xlfn.TEXTAFTER(Table1[[#This Row],[Location Identifier]],"-")</f>
        <v>BAK-002</v>
      </c>
      <c r="AP1778" s="9">
        <f t="shared" ca="1" si="270"/>
        <v>45869</v>
      </c>
    </row>
    <row r="1779" spans="1:42" x14ac:dyDescent="0.25">
      <c r="A1779">
        <v>40</v>
      </c>
      <c r="B1779" t="s">
        <v>26</v>
      </c>
      <c r="C1779">
        <v>3</v>
      </c>
      <c r="D1779" t="s">
        <v>93</v>
      </c>
      <c r="E1779" t="b">
        <v>0</v>
      </c>
      <c r="F1779" s="1">
        <v>0.81805555555555554</v>
      </c>
      <c r="G1779" s="1">
        <v>0.88194444444444442</v>
      </c>
      <c r="H1779">
        <v>92</v>
      </c>
      <c r="I1779" t="b">
        <v>1</v>
      </c>
      <c r="J1779" t="b">
        <v>1</v>
      </c>
      <c r="K1779" t="b">
        <v>1</v>
      </c>
      <c r="L1779" t="s">
        <v>28</v>
      </c>
      <c r="M1779">
        <v>50</v>
      </c>
      <c r="N1779" t="s">
        <v>29</v>
      </c>
      <c r="O1779">
        <v>50</v>
      </c>
      <c r="P1779" t="s">
        <v>36</v>
      </c>
      <c r="Q1779">
        <v>0</v>
      </c>
      <c r="R1779">
        <v>50</v>
      </c>
      <c r="S1779" t="s">
        <v>31</v>
      </c>
      <c r="T1779" t="s">
        <v>65</v>
      </c>
      <c r="U1779">
        <v>33.770099999999999</v>
      </c>
      <c r="V1779">
        <v>-118.19370000000001</v>
      </c>
      <c r="W1779" s="2">
        <v>45559</v>
      </c>
      <c r="X1779">
        <v>3</v>
      </c>
      <c r="Y1779" t="b">
        <v>1</v>
      </c>
      <c r="Z1779" s="2">
        <v>45845</v>
      </c>
      <c r="AA1779" t="str">
        <f t="shared" si="271"/>
        <v>40–49</v>
      </c>
      <c r="AB1779" t="str">
        <f t="shared" si="272"/>
        <v>40–49</v>
      </c>
      <c r="AC1779" t="str">
        <f t="shared" si="273"/>
        <v>Monday</v>
      </c>
      <c r="AD1779" t="str">
        <f t="shared" si="274"/>
        <v>Tuesday</v>
      </c>
      <c r="AE1779" t="str">
        <f t="shared" si="275"/>
        <v/>
      </c>
      <c r="AF1779" t="str">
        <f t="shared" si="276"/>
        <v>Thursday</v>
      </c>
      <c r="AG1779" t="str">
        <f t="shared" si="277"/>
        <v/>
      </c>
      <c r="AH1779" t="str">
        <f t="shared" si="278"/>
        <v/>
      </c>
      <c r="AI1779" t="str">
        <f t="shared" si="279"/>
        <v/>
      </c>
      <c r="AJ1779" t="str">
        <f>LEFT(Table1[[#This Row],[membership_type]],2)&amp;TEXT(Table1[[#This Row],[age]],"00")&amp;"-"&amp;TEXT(ROW(),"000")</f>
        <v>Pr40-1779</v>
      </c>
      <c r="AK1779" t="str">
        <f>LEFT(Table1[[#This Row],[membership_type]],1)&amp;TEXT(MATCH(Table1[[#This Row],[membership_type]],Table1[membership_type],0),"00")</f>
        <v>P01</v>
      </c>
      <c r="AL1779" t="str">
        <f>LEFT(Table1[[#This Row],[discount_type]],1)&amp;TEXT(ROUND(Table1[[#This Row],[discount_rate]]*100,0),"00")</f>
        <v>N00</v>
      </c>
      <c r="AM1779" t="str" cm="1">
        <f t="array" ref="AM1779">TEXT(SUMPRODUCT(CODE(MID(Table1[[#This Row],[home_gym_location]],_xlfn.SEQUENCE(LEN(Table1[[#This Row],[home_gym_location]])),1))),"00000")</f>
        <v>01107</v>
      </c>
      <c r="AN177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779" t="str">
        <f>LEFT(_xlfn.TEXTBEFORE(Table1[[#This Row],[Location Identifier]],"-"),3) &amp; "-" &amp; _xlfn.TEXTAFTER(Table1[[#This Row],[Location Identifier]],"-")</f>
        <v>LON-004</v>
      </c>
      <c r="AP1779" s="9">
        <f t="shared" ca="1" si="270"/>
        <v>45869</v>
      </c>
    </row>
    <row r="1780" spans="1:42" x14ac:dyDescent="0.25">
      <c r="A1780">
        <v>27</v>
      </c>
      <c r="B1780" t="s">
        <v>33</v>
      </c>
      <c r="C1780">
        <v>1</v>
      </c>
      <c r="D1780" t="s">
        <v>97</v>
      </c>
      <c r="E1780" t="b">
        <v>1</v>
      </c>
      <c r="F1780" s="1">
        <v>0.76527777777777772</v>
      </c>
      <c r="G1780" s="1">
        <v>0.88888888888888884</v>
      </c>
      <c r="H1780">
        <v>178</v>
      </c>
      <c r="I1780" t="b">
        <v>1</v>
      </c>
      <c r="J1780" t="b">
        <v>0</v>
      </c>
      <c r="K1780" t="b">
        <v>1</v>
      </c>
      <c r="L1780" t="s">
        <v>28</v>
      </c>
      <c r="M1780">
        <v>30</v>
      </c>
      <c r="N1780" t="s">
        <v>64</v>
      </c>
      <c r="O1780">
        <v>22.5</v>
      </c>
      <c r="P1780" t="s">
        <v>30</v>
      </c>
      <c r="Q1780">
        <v>0.05</v>
      </c>
      <c r="R1780">
        <v>21.375</v>
      </c>
      <c r="S1780" t="s">
        <v>37</v>
      </c>
      <c r="T1780" t="s">
        <v>50</v>
      </c>
      <c r="U1780">
        <v>34.052199999999999</v>
      </c>
      <c r="V1780">
        <v>-118.2437</v>
      </c>
      <c r="W1780" s="2">
        <v>44935</v>
      </c>
      <c r="X1780">
        <v>0</v>
      </c>
      <c r="Y1780" t="b">
        <v>1</v>
      </c>
      <c r="Z1780" s="2">
        <v>45810</v>
      </c>
      <c r="AA1780" t="str">
        <f t="shared" si="271"/>
        <v>20–29</v>
      </c>
      <c r="AB1780" t="str">
        <f t="shared" si="272"/>
        <v>20–29</v>
      </c>
      <c r="AC1780" t="str">
        <f t="shared" si="273"/>
        <v>Monday</v>
      </c>
      <c r="AD1780" t="str">
        <f t="shared" si="274"/>
        <v/>
      </c>
      <c r="AE1780" t="str">
        <f t="shared" si="275"/>
        <v/>
      </c>
      <c r="AF1780" t="str">
        <f t="shared" si="276"/>
        <v/>
      </c>
      <c r="AG1780" t="str">
        <f t="shared" si="277"/>
        <v/>
      </c>
      <c r="AH1780" t="str">
        <f t="shared" si="278"/>
        <v/>
      </c>
      <c r="AI1780" t="str">
        <f t="shared" si="279"/>
        <v/>
      </c>
      <c r="AJ1780" t="str">
        <f>LEFT(Table1[[#This Row],[membership_type]],2)&amp;TEXT(Table1[[#This Row],[age]],"00")&amp;"-"&amp;TEXT(ROW(),"000")</f>
        <v>St27-1780</v>
      </c>
      <c r="AK1780" t="str">
        <f>LEFT(Table1[[#This Row],[membership_type]],1)&amp;TEXT(MATCH(Table1[[#This Row],[membership_type]],Table1[membership_type],0),"00")</f>
        <v>S02</v>
      </c>
      <c r="AL1780" t="str">
        <f>LEFT(Table1[[#This Row],[discount_type]],1)&amp;TEXT(ROUND(Table1[[#This Row],[discount_rate]]*100,0),"00")</f>
        <v>P05</v>
      </c>
      <c r="AM1780" t="str" cm="1">
        <f t="array" ref="AM1780">TEXT(SUMPRODUCT(CODE(MID(Table1[[#This Row],[home_gym_location]],_xlfn.SEQUENCE(LEN(Table1[[#This Row],[home_gym_location]])),1))),"00000")</f>
        <v>01245</v>
      </c>
      <c r="AN178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80" t="str">
        <f>LEFT(_xlfn.TEXTBEFORE(Table1[[#This Row],[Location Identifier]],"-"),3) &amp; "-" &amp; _xlfn.TEXTAFTER(Table1[[#This Row],[Location Identifier]],"-")</f>
        <v>LOS-005</v>
      </c>
      <c r="AP1780" s="9">
        <f t="shared" ca="1" si="270"/>
        <v>45869</v>
      </c>
    </row>
    <row r="1781" spans="1:42" x14ac:dyDescent="0.25">
      <c r="A1781">
        <v>27</v>
      </c>
      <c r="B1781" t="s">
        <v>26</v>
      </c>
      <c r="C1781">
        <v>5</v>
      </c>
      <c r="D1781" t="s">
        <v>152</v>
      </c>
      <c r="E1781" t="b">
        <v>1</v>
      </c>
      <c r="F1781" s="1">
        <v>0.61250000000000004</v>
      </c>
      <c r="G1781" s="1">
        <v>0.66180555555555554</v>
      </c>
      <c r="H1781">
        <v>71</v>
      </c>
      <c r="I1781" t="b">
        <v>0</v>
      </c>
      <c r="J1781" t="b">
        <v>0</v>
      </c>
      <c r="K1781" t="b">
        <v>0</v>
      </c>
      <c r="L1781" t="s">
        <v>62</v>
      </c>
      <c r="M1781">
        <v>50</v>
      </c>
      <c r="N1781" t="s">
        <v>29</v>
      </c>
      <c r="O1781">
        <v>50</v>
      </c>
      <c r="P1781" t="s">
        <v>40</v>
      </c>
      <c r="Q1781">
        <v>0.1</v>
      </c>
      <c r="R1781">
        <v>45</v>
      </c>
      <c r="S1781" t="s">
        <v>31</v>
      </c>
      <c r="T1781" t="s">
        <v>50</v>
      </c>
      <c r="U1781">
        <v>34.052199999999999</v>
      </c>
      <c r="V1781">
        <v>-118.2437</v>
      </c>
      <c r="W1781" s="2">
        <v>45790</v>
      </c>
      <c r="X1781">
        <v>0</v>
      </c>
      <c r="Y1781" t="b">
        <v>1</v>
      </c>
      <c r="Z1781" s="2">
        <v>45858</v>
      </c>
      <c r="AA1781" t="str">
        <f t="shared" si="271"/>
        <v>20–29</v>
      </c>
      <c r="AB1781" t="str">
        <f t="shared" si="272"/>
        <v>20–29</v>
      </c>
      <c r="AC1781" t="str">
        <f t="shared" si="273"/>
        <v>Monday</v>
      </c>
      <c r="AD1781" t="str">
        <f t="shared" si="274"/>
        <v>Tuesday</v>
      </c>
      <c r="AE1781" t="str">
        <f t="shared" si="275"/>
        <v>Wednesday</v>
      </c>
      <c r="AF1781" t="str">
        <f t="shared" si="276"/>
        <v/>
      </c>
      <c r="AG1781" t="str">
        <f t="shared" si="277"/>
        <v>Friday</v>
      </c>
      <c r="AH1781" t="str">
        <f t="shared" si="278"/>
        <v>Saturday</v>
      </c>
      <c r="AI1781" t="str">
        <f t="shared" si="279"/>
        <v/>
      </c>
      <c r="AJ1781" t="str">
        <f>LEFT(Table1[[#This Row],[membership_type]],2)&amp;TEXT(Table1[[#This Row],[age]],"00")&amp;"-"&amp;TEXT(ROW(),"000")</f>
        <v>Pr27-1781</v>
      </c>
      <c r="AK1781" t="str">
        <f>LEFT(Table1[[#This Row],[membership_type]],1)&amp;TEXT(MATCH(Table1[[#This Row],[membership_type]],Table1[membership_type],0),"00")</f>
        <v>P01</v>
      </c>
      <c r="AL1781" t="str">
        <f>LEFT(Table1[[#This Row],[discount_type]],1)&amp;TEXT(ROUND(Table1[[#This Row],[discount_rate]]*100,0),"00")</f>
        <v>L10</v>
      </c>
      <c r="AM1781" t="str" cm="1">
        <f t="array" ref="AM1781">TEXT(SUMPRODUCT(CODE(MID(Table1[[#This Row],[home_gym_location]],_xlfn.SEQUENCE(LEN(Table1[[#This Row],[home_gym_location]])),1))),"00000")</f>
        <v>01245</v>
      </c>
      <c r="AN178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781" t="str">
        <f>LEFT(_xlfn.TEXTBEFORE(Table1[[#This Row],[Location Identifier]],"-"),3) &amp; "-" &amp; _xlfn.TEXTAFTER(Table1[[#This Row],[Location Identifier]],"-")</f>
        <v>LOS-005</v>
      </c>
      <c r="AP1781" s="9">
        <f t="shared" ca="1" si="270"/>
        <v>45869</v>
      </c>
    </row>
    <row r="1782" spans="1:42" x14ac:dyDescent="0.25">
      <c r="A1782">
        <v>38</v>
      </c>
      <c r="B1782" t="s">
        <v>26</v>
      </c>
      <c r="C1782">
        <v>5</v>
      </c>
      <c r="D1782" t="s">
        <v>150</v>
      </c>
      <c r="E1782" t="b">
        <v>0</v>
      </c>
      <c r="F1782" s="1">
        <v>0.74930555555555556</v>
      </c>
      <c r="G1782" s="1">
        <v>0.87083333333333335</v>
      </c>
      <c r="H1782">
        <v>175</v>
      </c>
      <c r="I1782" t="b">
        <v>1</v>
      </c>
      <c r="J1782" t="b">
        <v>0</v>
      </c>
      <c r="K1782" t="b">
        <v>1</v>
      </c>
      <c r="L1782" t="s">
        <v>62</v>
      </c>
      <c r="M1782">
        <v>50</v>
      </c>
      <c r="N1782" t="s">
        <v>29</v>
      </c>
      <c r="O1782">
        <v>50</v>
      </c>
      <c r="P1782" t="s">
        <v>36</v>
      </c>
      <c r="Q1782">
        <v>0</v>
      </c>
      <c r="R1782">
        <v>50</v>
      </c>
      <c r="S1782" t="s">
        <v>31</v>
      </c>
      <c r="T1782" t="s">
        <v>48</v>
      </c>
      <c r="U1782">
        <v>38.581600000000002</v>
      </c>
      <c r="V1782">
        <v>-121.4944</v>
      </c>
      <c r="W1782" s="2">
        <v>44870</v>
      </c>
      <c r="X1782">
        <v>0</v>
      </c>
      <c r="Y1782" t="b">
        <v>1</v>
      </c>
      <c r="Z1782" s="2">
        <v>45806</v>
      </c>
      <c r="AA1782" t="str">
        <f t="shared" si="271"/>
        <v>30–39</v>
      </c>
      <c r="AB1782" t="str">
        <f t="shared" si="272"/>
        <v>30–39</v>
      </c>
      <c r="AC1782" t="str">
        <f t="shared" si="273"/>
        <v/>
      </c>
      <c r="AD1782" t="str">
        <f t="shared" si="274"/>
        <v>Tuesday</v>
      </c>
      <c r="AE1782" t="str">
        <f t="shared" si="275"/>
        <v/>
      </c>
      <c r="AF1782" t="str">
        <f t="shared" si="276"/>
        <v>Thursday</v>
      </c>
      <c r="AG1782" t="str">
        <f t="shared" si="277"/>
        <v>Friday</v>
      </c>
      <c r="AH1782" t="str">
        <f t="shared" si="278"/>
        <v>Saturday</v>
      </c>
      <c r="AI1782" t="str">
        <f t="shared" si="279"/>
        <v>Sunday</v>
      </c>
      <c r="AJ1782" t="str">
        <f>LEFT(Table1[[#This Row],[membership_type]],2)&amp;TEXT(Table1[[#This Row],[age]],"00")&amp;"-"&amp;TEXT(ROW(),"000")</f>
        <v>Pr38-1782</v>
      </c>
      <c r="AK1782" t="str">
        <f>LEFT(Table1[[#This Row],[membership_type]],1)&amp;TEXT(MATCH(Table1[[#This Row],[membership_type]],Table1[membership_type],0),"00")</f>
        <v>P01</v>
      </c>
      <c r="AL1782" t="str">
        <f>LEFT(Table1[[#This Row],[discount_type]],1)&amp;TEXT(ROUND(Table1[[#This Row],[discount_rate]]*100,0),"00")</f>
        <v>N00</v>
      </c>
      <c r="AM1782" t="str" cm="1">
        <f t="array" ref="AM1782">TEXT(SUMPRODUCT(CODE(MID(Table1[[#This Row],[home_gym_location]],_xlfn.SEQUENCE(LEN(Table1[[#This Row],[home_gym_location]])),1))),"00000")</f>
        <v>01245</v>
      </c>
      <c r="AN178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82" t="str">
        <f>LEFT(_xlfn.TEXTBEFORE(Table1[[#This Row],[Location Identifier]],"-"),3) &amp; "-" &amp; _xlfn.TEXTAFTER(Table1[[#This Row],[Location Identifier]],"-")</f>
        <v>SAC-007</v>
      </c>
      <c r="AP1782" s="9">
        <f t="shared" ca="1" si="270"/>
        <v>45869</v>
      </c>
    </row>
    <row r="1783" spans="1:42" x14ac:dyDescent="0.25">
      <c r="A1783">
        <v>34</v>
      </c>
      <c r="B1783" t="s">
        <v>51</v>
      </c>
      <c r="C1783">
        <v>5</v>
      </c>
      <c r="D1783" t="s">
        <v>120</v>
      </c>
      <c r="E1783" t="b">
        <v>0</v>
      </c>
      <c r="F1783" s="1">
        <v>0.35625000000000001</v>
      </c>
      <c r="G1783" s="1">
        <v>0.43680555555555556</v>
      </c>
      <c r="H1783">
        <v>116</v>
      </c>
      <c r="I1783" t="b">
        <v>0</v>
      </c>
      <c r="J1783" t="b">
        <v>0</v>
      </c>
      <c r="K1783" t="b">
        <v>0</v>
      </c>
      <c r="L1783" t="s">
        <v>28</v>
      </c>
      <c r="M1783">
        <v>70</v>
      </c>
      <c r="N1783" t="s">
        <v>64</v>
      </c>
      <c r="O1783">
        <v>52.5</v>
      </c>
      <c r="P1783" t="s">
        <v>40</v>
      </c>
      <c r="Q1783">
        <v>0.1</v>
      </c>
      <c r="R1783">
        <v>47.25</v>
      </c>
      <c r="S1783" t="s">
        <v>53</v>
      </c>
      <c r="T1783" t="s">
        <v>56</v>
      </c>
      <c r="U1783">
        <v>35.3733</v>
      </c>
      <c r="V1783">
        <v>-119.0187</v>
      </c>
      <c r="W1783" s="2">
        <v>45339</v>
      </c>
      <c r="X1783">
        <v>0</v>
      </c>
      <c r="Y1783" t="b">
        <v>1</v>
      </c>
      <c r="Z1783" s="2">
        <v>45833</v>
      </c>
      <c r="AA1783" t="str">
        <f t="shared" si="271"/>
        <v>30–39</v>
      </c>
      <c r="AB1783" t="str">
        <f t="shared" si="272"/>
        <v>30–39</v>
      </c>
      <c r="AC1783" t="str">
        <f t="shared" si="273"/>
        <v>Monday</v>
      </c>
      <c r="AD1783" t="str">
        <f t="shared" si="274"/>
        <v>Tuesday</v>
      </c>
      <c r="AE1783" t="str">
        <f t="shared" si="275"/>
        <v/>
      </c>
      <c r="AF1783" t="str">
        <f t="shared" si="276"/>
        <v>Thursday</v>
      </c>
      <c r="AG1783" t="str">
        <f t="shared" si="277"/>
        <v>Friday</v>
      </c>
      <c r="AH1783" t="str">
        <f t="shared" si="278"/>
        <v/>
      </c>
      <c r="AI1783" t="str">
        <f t="shared" si="279"/>
        <v>Sunday</v>
      </c>
      <c r="AJ1783" t="str">
        <f>LEFT(Table1[[#This Row],[membership_type]],2)&amp;TEXT(Table1[[#This Row],[age]],"00")&amp;"-"&amp;TEXT(ROW(),"000")</f>
        <v>El34-1783</v>
      </c>
      <c r="AK1783" t="str">
        <f>LEFT(Table1[[#This Row],[membership_type]],1)&amp;TEXT(MATCH(Table1[[#This Row],[membership_type]],Table1[membership_type],0),"00")</f>
        <v>E07</v>
      </c>
      <c r="AL1783" t="str">
        <f>LEFT(Table1[[#This Row],[discount_type]],1)&amp;TEXT(ROUND(Table1[[#This Row],[discount_rate]]*100,0),"00")</f>
        <v>L10</v>
      </c>
      <c r="AM1783" t="str" cm="1">
        <f t="array" ref="AM1783">TEXT(SUMPRODUCT(CODE(MID(Table1[[#This Row],[home_gym_location]],_xlfn.SEQUENCE(LEN(Table1[[#This Row],[home_gym_location]])),1))),"00000")</f>
        <v>01324</v>
      </c>
      <c r="AN178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83" t="str">
        <f>LEFT(_xlfn.TEXTBEFORE(Table1[[#This Row],[Location Identifier]],"-"),3) &amp; "-" &amp; _xlfn.TEXTAFTER(Table1[[#This Row],[Location Identifier]],"-")</f>
        <v>BAK-002</v>
      </c>
      <c r="AP1783" s="9">
        <f t="shared" ca="1" si="270"/>
        <v>45869</v>
      </c>
    </row>
    <row r="1784" spans="1:42" x14ac:dyDescent="0.25">
      <c r="A1784">
        <v>26</v>
      </c>
      <c r="B1784" t="s">
        <v>42</v>
      </c>
      <c r="C1784">
        <v>1</v>
      </c>
      <c r="D1784" t="s">
        <v>97</v>
      </c>
      <c r="E1784" t="b">
        <v>1</v>
      </c>
      <c r="F1784" s="1">
        <v>0.48749999999999999</v>
      </c>
      <c r="G1784" s="1">
        <v>0.56874999999999998</v>
      </c>
      <c r="H1784">
        <v>117</v>
      </c>
      <c r="I1784" t="b">
        <v>0</v>
      </c>
      <c r="J1784" t="b">
        <v>1</v>
      </c>
      <c r="K1784" t="b">
        <v>0</v>
      </c>
      <c r="L1784" t="s">
        <v>35</v>
      </c>
      <c r="M1784">
        <v>20</v>
      </c>
      <c r="N1784" t="s">
        <v>64</v>
      </c>
      <c r="O1784">
        <v>15</v>
      </c>
      <c r="P1784" t="s">
        <v>36</v>
      </c>
      <c r="Q1784">
        <v>0</v>
      </c>
      <c r="R1784">
        <v>15</v>
      </c>
      <c r="S1784" t="s">
        <v>44</v>
      </c>
      <c r="T1784" t="s">
        <v>38</v>
      </c>
      <c r="U1784">
        <v>36.7378</v>
      </c>
      <c r="V1784">
        <v>-119.7871</v>
      </c>
      <c r="W1784" s="2">
        <v>45152</v>
      </c>
      <c r="X1784">
        <v>5</v>
      </c>
      <c r="Y1784" t="b">
        <v>1</v>
      </c>
      <c r="Z1784" s="2">
        <v>45822</v>
      </c>
      <c r="AA1784" t="str">
        <f t="shared" si="271"/>
        <v>20–29</v>
      </c>
      <c r="AB1784" t="str">
        <f t="shared" si="272"/>
        <v>20–29</v>
      </c>
      <c r="AC1784" t="str">
        <f t="shared" si="273"/>
        <v>Monday</v>
      </c>
      <c r="AD1784" t="str">
        <f t="shared" si="274"/>
        <v/>
      </c>
      <c r="AE1784" t="str">
        <f t="shared" si="275"/>
        <v/>
      </c>
      <c r="AF1784" t="str">
        <f t="shared" si="276"/>
        <v/>
      </c>
      <c r="AG1784" t="str">
        <f t="shared" si="277"/>
        <v/>
      </c>
      <c r="AH1784" t="str">
        <f t="shared" si="278"/>
        <v/>
      </c>
      <c r="AI1784" t="str">
        <f t="shared" si="279"/>
        <v/>
      </c>
      <c r="AJ1784" t="str">
        <f>LEFT(Table1[[#This Row],[membership_type]],2)&amp;TEXT(Table1[[#This Row],[age]],"00")&amp;"-"&amp;TEXT(ROW(),"000")</f>
        <v>Ba26-1784</v>
      </c>
      <c r="AK1784" t="str">
        <f>LEFT(Table1[[#This Row],[membership_type]],1)&amp;TEXT(MATCH(Table1[[#This Row],[membership_type]],Table1[membership_type],0),"00")</f>
        <v>B04</v>
      </c>
      <c r="AL1784" t="str">
        <f>LEFT(Table1[[#This Row],[discount_type]],1)&amp;TEXT(ROUND(Table1[[#This Row],[discount_rate]]*100,0),"00")</f>
        <v>N00</v>
      </c>
      <c r="AM1784" t="str" cm="1">
        <f t="array" ref="AM1784">TEXT(SUMPRODUCT(CODE(MID(Table1[[#This Row],[home_gym_location]],_xlfn.SEQUENCE(LEN(Table1[[#This Row],[home_gym_location]])),1))),"00000")</f>
        <v>00829</v>
      </c>
      <c r="AN1784" t="str">
        <f>UPPER(_xlfn.TEXTBEFORE(Table1[[#This Row],[home_gym_location]],","))&amp;"-"&amp;TEXT(MATCH(Table1[[#This Row],[home_gym_location]],_xlfn._xlws.SORT(_xlfn.UNIQUE(Table1[home_gym_location])),0),"000")</f>
        <v>FRESNO-003</v>
      </c>
      <c r="AO1784" t="str">
        <f>LEFT(_xlfn.TEXTBEFORE(Table1[[#This Row],[Location Identifier]],"-"),3) &amp; "-" &amp; _xlfn.TEXTAFTER(Table1[[#This Row],[Location Identifier]],"-")</f>
        <v>FRE-003</v>
      </c>
      <c r="AP1784" s="9">
        <f t="shared" ca="1" si="270"/>
        <v>45869</v>
      </c>
    </row>
    <row r="1785" spans="1:42" x14ac:dyDescent="0.25">
      <c r="A1785">
        <v>49</v>
      </c>
      <c r="B1785" t="s">
        <v>42</v>
      </c>
      <c r="C1785">
        <v>1</v>
      </c>
      <c r="D1785" t="s">
        <v>71</v>
      </c>
      <c r="E1785" t="b">
        <v>1</v>
      </c>
      <c r="F1785" s="1">
        <v>0.75138888888888888</v>
      </c>
      <c r="G1785" s="1">
        <v>0.78055555555555556</v>
      </c>
      <c r="H1785">
        <v>42</v>
      </c>
      <c r="I1785" t="b">
        <v>1</v>
      </c>
      <c r="J1785" t="b">
        <v>0</v>
      </c>
      <c r="K1785" t="b">
        <v>0</v>
      </c>
      <c r="L1785" t="s">
        <v>35</v>
      </c>
      <c r="M1785">
        <v>20</v>
      </c>
      <c r="N1785" t="s">
        <v>29</v>
      </c>
      <c r="O1785">
        <v>20</v>
      </c>
      <c r="P1785" t="s">
        <v>74</v>
      </c>
      <c r="Q1785">
        <v>0.15</v>
      </c>
      <c r="R1785">
        <v>17</v>
      </c>
      <c r="S1785" t="s">
        <v>44</v>
      </c>
      <c r="T1785" t="s">
        <v>45</v>
      </c>
      <c r="U1785">
        <v>33.836599999999997</v>
      </c>
      <c r="V1785">
        <v>-117.9143</v>
      </c>
      <c r="W1785" s="2">
        <v>45128</v>
      </c>
      <c r="X1785">
        <v>0</v>
      </c>
      <c r="Y1785" t="b">
        <v>0</v>
      </c>
      <c r="Z1785" s="2">
        <v>45821</v>
      </c>
      <c r="AA1785" t="str">
        <f t="shared" si="271"/>
        <v>40–49</v>
      </c>
      <c r="AB1785" t="str">
        <f t="shared" si="272"/>
        <v>40–49</v>
      </c>
      <c r="AC1785" t="str">
        <f t="shared" si="273"/>
        <v/>
      </c>
      <c r="AD1785" t="str">
        <f t="shared" si="274"/>
        <v>Tuesday</v>
      </c>
      <c r="AE1785" t="str">
        <f t="shared" si="275"/>
        <v/>
      </c>
      <c r="AF1785" t="str">
        <f t="shared" si="276"/>
        <v/>
      </c>
      <c r="AG1785" t="str">
        <f t="shared" si="277"/>
        <v/>
      </c>
      <c r="AH1785" t="str">
        <f t="shared" si="278"/>
        <v/>
      </c>
      <c r="AI1785" t="str">
        <f t="shared" si="279"/>
        <v/>
      </c>
      <c r="AJ1785" t="str">
        <f>LEFT(Table1[[#This Row],[membership_type]],2)&amp;TEXT(Table1[[#This Row],[age]],"00")&amp;"-"&amp;TEXT(ROW(),"000")</f>
        <v>Ba49-1785</v>
      </c>
      <c r="AK1785" t="str">
        <f>LEFT(Table1[[#This Row],[membership_type]],1)&amp;TEXT(MATCH(Table1[[#This Row],[membership_type]],Table1[membership_type],0),"00")</f>
        <v>B04</v>
      </c>
      <c r="AL1785" t="str">
        <f>LEFT(Table1[[#This Row],[discount_type]],1)&amp;TEXT(ROUND(Table1[[#This Row],[discount_rate]]*100,0),"00")</f>
        <v>S15</v>
      </c>
      <c r="AM1785" t="str" cm="1">
        <f t="array" ref="AM1785">TEXT(SUMPRODUCT(CODE(MID(Table1[[#This Row],[home_gym_location]],_xlfn.SEQUENCE(LEN(Table1[[#This Row],[home_gym_location]])),1))),"00000")</f>
        <v>00899</v>
      </c>
      <c r="AN178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85" t="str">
        <f>LEFT(_xlfn.TEXTBEFORE(Table1[[#This Row],[Location Identifier]],"-"),3) &amp; "-" &amp; _xlfn.TEXTAFTER(Table1[[#This Row],[Location Identifier]],"-")</f>
        <v>ANA-001</v>
      </c>
      <c r="AP1785" s="9">
        <f t="shared" ca="1" si="270"/>
        <v>45869</v>
      </c>
    </row>
    <row r="1786" spans="1:42" x14ac:dyDescent="0.25">
      <c r="A1786">
        <v>32</v>
      </c>
      <c r="B1786" t="s">
        <v>26</v>
      </c>
      <c r="C1786">
        <v>5</v>
      </c>
      <c r="D1786" t="s">
        <v>87</v>
      </c>
      <c r="E1786" t="b">
        <v>1</v>
      </c>
      <c r="F1786" s="1">
        <v>0.82013888888888886</v>
      </c>
      <c r="G1786" s="1">
        <v>0.89930555555555558</v>
      </c>
      <c r="H1786">
        <v>114</v>
      </c>
      <c r="I1786" t="b">
        <v>1</v>
      </c>
      <c r="J1786" t="b">
        <v>1</v>
      </c>
      <c r="K1786" t="b">
        <v>0</v>
      </c>
      <c r="L1786" t="s">
        <v>62</v>
      </c>
      <c r="M1786">
        <v>50</v>
      </c>
      <c r="N1786" t="s">
        <v>78</v>
      </c>
      <c r="O1786">
        <v>45</v>
      </c>
      <c r="P1786" t="s">
        <v>74</v>
      </c>
      <c r="Q1786">
        <v>0.15</v>
      </c>
      <c r="R1786">
        <v>38.25</v>
      </c>
      <c r="S1786" t="s">
        <v>31</v>
      </c>
      <c r="T1786" t="s">
        <v>54</v>
      </c>
      <c r="U1786">
        <v>32.715699999999998</v>
      </c>
      <c r="V1786">
        <v>-117.1611</v>
      </c>
      <c r="W1786" s="2">
        <v>44877</v>
      </c>
      <c r="X1786">
        <v>7</v>
      </c>
      <c r="Y1786" t="b">
        <v>1</v>
      </c>
      <c r="Z1786" s="2">
        <v>45807</v>
      </c>
      <c r="AA1786" t="str">
        <f t="shared" si="271"/>
        <v>30–39</v>
      </c>
      <c r="AB1786" t="str">
        <f t="shared" si="272"/>
        <v>30–39</v>
      </c>
      <c r="AC1786" t="str">
        <f t="shared" si="273"/>
        <v/>
      </c>
      <c r="AD1786" t="str">
        <f t="shared" si="274"/>
        <v>Tuesday</v>
      </c>
      <c r="AE1786" t="str">
        <f t="shared" si="275"/>
        <v>Wednesday</v>
      </c>
      <c r="AF1786" t="str">
        <f t="shared" si="276"/>
        <v/>
      </c>
      <c r="AG1786" t="str">
        <f t="shared" si="277"/>
        <v>Friday</v>
      </c>
      <c r="AH1786" t="str">
        <f t="shared" si="278"/>
        <v>Saturday</v>
      </c>
      <c r="AI1786" t="str">
        <f t="shared" si="279"/>
        <v>Sunday</v>
      </c>
      <c r="AJ1786" t="str">
        <f>LEFT(Table1[[#This Row],[membership_type]],2)&amp;TEXT(Table1[[#This Row],[age]],"00")&amp;"-"&amp;TEXT(ROW(),"000")</f>
        <v>Pr32-1786</v>
      </c>
      <c r="AK1786" t="str">
        <f>LEFT(Table1[[#This Row],[membership_type]],1)&amp;TEXT(MATCH(Table1[[#This Row],[membership_type]],Table1[membership_type],0),"00")</f>
        <v>P01</v>
      </c>
      <c r="AL1786" t="str">
        <f>LEFT(Table1[[#This Row],[discount_type]],1)&amp;TEXT(ROUND(Table1[[#This Row],[discount_rate]]*100,0),"00")</f>
        <v>S15</v>
      </c>
      <c r="AM1786" t="str" cm="1">
        <f t="array" ref="AM1786">TEXT(SUMPRODUCT(CODE(MID(Table1[[#This Row],[home_gym_location]],_xlfn.SEQUENCE(LEN(Table1[[#This Row],[home_gym_location]])),1))),"00000")</f>
        <v>01018</v>
      </c>
      <c r="AN178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86" t="str">
        <f>LEFT(_xlfn.TEXTBEFORE(Table1[[#This Row],[Location Identifier]],"-"),3) &amp; "-" &amp; _xlfn.TEXTAFTER(Table1[[#This Row],[Location Identifier]],"-")</f>
        <v>SAN-008</v>
      </c>
      <c r="AP1786" s="9">
        <f t="shared" ca="1" si="270"/>
        <v>45869</v>
      </c>
    </row>
    <row r="1787" spans="1:42" x14ac:dyDescent="0.25">
      <c r="A1787">
        <v>41</v>
      </c>
      <c r="B1787" t="s">
        <v>33</v>
      </c>
      <c r="C1787">
        <v>2</v>
      </c>
      <c r="D1787" t="s">
        <v>96</v>
      </c>
      <c r="E1787" t="b">
        <v>1</v>
      </c>
      <c r="F1787" s="1">
        <v>0.43680555555555556</v>
      </c>
      <c r="G1787" s="1">
        <v>0.52569444444444446</v>
      </c>
      <c r="H1787">
        <v>128</v>
      </c>
      <c r="I1787" t="b">
        <v>1</v>
      </c>
      <c r="J1787" t="b">
        <v>1</v>
      </c>
      <c r="K1787" t="b">
        <v>1</v>
      </c>
      <c r="L1787" t="s">
        <v>35</v>
      </c>
      <c r="M1787">
        <v>30</v>
      </c>
      <c r="N1787" t="s">
        <v>29</v>
      </c>
      <c r="O1787">
        <v>30</v>
      </c>
      <c r="P1787" t="s">
        <v>74</v>
      </c>
      <c r="Q1787">
        <v>0.15</v>
      </c>
      <c r="R1787">
        <v>25.5</v>
      </c>
      <c r="S1787" t="s">
        <v>37</v>
      </c>
      <c r="T1787" t="s">
        <v>38</v>
      </c>
      <c r="U1787">
        <v>36.7378</v>
      </c>
      <c r="V1787">
        <v>-119.7871</v>
      </c>
      <c r="W1787" s="2">
        <v>45152</v>
      </c>
      <c r="X1787">
        <v>5</v>
      </c>
      <c r="Y1787" t="b">
        <v>0</v>
      </c>
      <c r="Z1787" s="2">
        <v>45822</v>
      </c>
      <c r="AA1787" t="str">
        <f t="shared" si="271"/>
        <v>40–49</v>
      </c>
      <c r="AB1787" t="str">
        <f t="shared" si="272"/>
        <v>40–49</v>
      </c>
      <c r="AC1787" t="str">
        <f t="shared" si="273"/>
        <v/>
      </c>
      <c r="AD1787" t="str">
        <f t="shared" si="274"/>
        <v/>
      </c>
      <c r="AE1787" t="str">
        <f t="shared" si="275"/>
        <v/>
      </c>
      <c r="AF1787" t="str">
        <f t="shared" si="276"/>
        <v>Thursday</v>
      </c>
      <c r="AG1787" t="str">
        <f t="shared" si="277"/>
        <v>Friday</v>
      </c>
      <c r="AH1787" t="str">
        <f t="shared" si="278"/>
        <v/>
      </c>
      <c r="AI1787" t="str">
        <f t="shared" si="279"/>
        <v/>
      </c>
      <c r="AJ1787" t="str">
        <f>LEFT(Table1[[#This Row],[membership_type]],2)&amp;TEXT(Table1[[#This Row],[age]],"00")&amp;"-"&amp;TEXT(ROW(),"000")</f>
        <v>St41-1787</v>
      </c>
      <c r="AK1787" t="str">
        <f>LEFT(Table1[[#This Row],[membership_type]],1)&amp;TEXT(MATCH(Table1[[#This Row],[membership_type]],Table1[membership_type],0),"00")</f>
        <v>S02</v>
      </c>
      <c r="AL1787" t="str">
        <f>LEFT(Table1[[#This Row],[discount_type]],1)&amp;TEXT(ROUND(Table1[[#This Row],[discount_rate]]*100,0),"00")</f>
        <v>S15</v>
      </c>
      <c r="AM1787" t="str" cm="1">
        <f t="array" ref="AM1787">TEXT(SUMPRODUCT(CODE(MID(Table1[[#This Row],[home_gym_location]],_xlfn.SEQUENCE(LEN(Table1[[#This Row],[home_gym_location]])),1))),"00000")</f>
        <v>00829</v>
      </c>
      <c r="AN1787" t="str">
        <f>UPPER(_xlfn.TEXTBEFORE(Table1[[#This Row],[home_gym_location]],","))&amp;"-"&amp;TEXT(MATCH(Table1[[#This Row],[home_gym_location]],_xlfn._xlws.SORT(_xlfn.UNIQUE(Table1[home_gym_location])),0),"000")</f>
        <v>FRESNO-003</v>
      </c>
      <c r="AO1787" t="str">
        <f>LEFT(_xlfn.TEXTBEFORE(Table1[[#This Row],[Location Identifier]],"-"),3) &amp; "-" &amp; _xlfn.TEXTAFTER(Table1[[#This Row],[Location Identifier]],"-")</f>
        <v>FRE-003</v>
      </c>
      <c r="AP1787" s="9">
        <f t="shared" ca="1" si="270"/>
        <v>45869</v>
      </c>
    </row>
    <row r="1788" spans="1:42" x14ac:dyDescent="0.25">
      <c r="A1788">
        <v>22</v>
      </c>
      <c r="B1788" t="s">
        <v>33</v>
      </c>
      <c r="C1788">
        <v>5</v>
      </c>
      <c r="D1788" t="s">
        <v>115</v>
      </c>
      <c r="E1788" t="b">
        <v>1</v>
      </c>
      <c r="F1788" s="1">
        <v>0.65555555555555556</v>
      </c>
      <c r="G1788" s="1">
        <v>0.71180555555555558</v>
      </c>
      <c r="H1788">
        <v>81</v>
      </c>
      <c r="I1788" t="b">
        <v>0</v>
      </c>
      <c r="J1788" t="b">
        <v>1</v>
      </c>
      <c r="K1788" t="b">
        <v>0</v>
      </c>
      <c r="L1788" t="s">
        <v>62</v>
      </c>
      <c r="M1788">
        <v>30</v>
      </c>
      <c r="N1788" t="s">
        <v>78</v>
      </c>
      <c r="O1788">
        <v>27</v>
      </c>
      <c r="P1788" t="s">
        <v>36</v>
      </c>
      <c r="Q1788">
        <v>0</v>
      </c>
      <c r="R1788">
        <v>27</v>
      </c>
      <c r="S1788" t="s">
        <v>37</v>
      </c>
      <c r="T1788" t="s">
        <v>38</v>
      </c>
      <c r="U1788">
        <v>36.7378</v>
      </c>
      <c r="V1788">
        <v>-119.7871</v>
      </c>
      <c r="W1788" s="2">
        <v>45177</v>
      </c>
      <c r="X1788">
        <v>8</v>
      </c>
      <c r="Y1788" t="b">
        <v>0</v>
      </c>
      <c r="Z1788" s="2">
        <v>45824</v>
      </c>
      <c r="AA1788" t="str">
        <f t="shared" si="271"/>
        <v>20–29</v>
      </c>
      <c r="AB1788" t="str">
        <f t="shared" si="272"/>
        <v>20–29</v>
      </c>
      <c r="AC1788" t="str">
        <f t="shared" si="273"/>
        <v>Monday</v>
      </c>
      <c r="AD1788" t="str">
        <f t="shared" si="274"/>
        <v/>
      </c>
      <c r="AE1788" t="str">
        <f t="shared" si="275"/>
        <v>Wednesday</v>
      </c>
      <c r="AF1788" t="str">
        <f t="shared" si="276"/>
        <v/>
      </c>
      <c r="AG1788" t="str">
        <f t="shared" si="277"/>
        <v>Friday</v>
      </c>
      <c r="AH1788" t="str">
        <f t="shared" si="278"/>
        <v>Saturday</v>
      </c>
      <c r="AI1788" t="str">
        <f t="shared" si="279"/>
        <v>Sunday</v>
      </c>
      <c r="AJ1788" t="str">
        <f>LEFT(Table1[[#This Row],[membership_type]],2)&amp;TEXT(Table1[[#This Row],[age]],"00")&amp;"-"&amp;TEXT(ROW(),"000")</f>
        <v>St22-1788</v>
      </c>
      <c r="AK1788" t="str">
        <f>LEFT(Table1[[#This Row],[membership_type]],1)&amp;TEXT(MATCH(Table1[[#This Row],[membership_type]],Table1[membership_type],0),"00")</f>
        <v>S02</v>
      </c>
      <c r="AL1788" t="str">
        <f>LEFT(Table1[[#This Row],[discount_type]],1)&amp;TEXT(ROUND(Table1[[#This Row],[discount_rate]]*100,0),"00")</f>
        <v>N00</v>
      </c>
      <c r="AM1788" t="str" cm="1">
        <f t="array" ref="AM1788">TEXT(SUMPRODUCT(CODE(MID(Table1[[#This Row],[home_gym_location]],_xlfn.SEQUENCE(LEN(Table1[[#This Row],[home_gym_location]])),1))),"00000")</f>
        <v>00829</v>
      </c>
      <c r="AN1788" t="str">
        <f>UPPER(_xlfn.TEXTBEFORE(Table1[[#This Row],[home_gym_location]],","))&amp;"-"&amp;TEXT(MATCH(Table1[[#This Row],[home_gym_location]],_xlfn._xlws.SORT(_xlfn.UNIQUE(Table1[home_gym_location])),0),"000")</f>
        <v>FRESNO-003</v>
      </c>
      <c r="AO1788" t="str">
        <f>LEFT(_xlfn.TEXTBEFORE(Table1[[#This Row],[Location Identifier]],"-"),3) &amp; "-" &amp; _xlfn.TEXTAFTER(Table1[[#This Row],[Location Identifier]],"-")</f>
        <v>FRE-003</v>
      </c>
      <c r="AP1788" s="9">
        <f t="shared" ca="1" si="270"/>
        <v>45869</v>
      </c>
    </row>
    <row r="1789" spans="1:42" x14ac:dyDescent="0.25">
      <c r="A1789">
        <v>44</v>
      </c>
      <c r="B1789" t="s">
        <v>33</v>
      </c>
      <c r="C1789">
        <v>2</v>
      </c>
      <c r="D1789" t="s">
        <v>46</v>
      </c>
      <c r="E1789" t="b">
        <v>1</v>
      </c>
      <c r="F1789" s="1">
        <v>0.6118055555555556</v>
      </c>
      <c r="G1789" s="1">
        <v>0.69097222222222221</v>
      </c>
      <c r="H1789">
        <v>114</v>
      </c>
      <c r="I1789" t="b">
        <v>0</v>
      </c>
      <c r="J1789" t="b">
        <v>0</v>
      </c>
      <c r="K1789" t="b">
        <v>0</v>
      </c>
      <c r="L1789" t="s">
        <v>58</v>
      </c>
      <c r="M1789">
        <v>30</v>
      </c>
      <c r="N1789" t="s">
        <v>64</v>
      </c>
      <c r="O1789">
        <v>22.5</v>
      </c>
      <c r="P1789" t="s">
        <v>30</v>
      </c>
      <c r="Q1789">
        <v>0.05</v>
      </c>
      <c r="R1789">
        <v>21.375</v>
      </c>
      <c r="S1789" t="s">
        <v>37</v>
      </c>
      <c r="T1789" t="s">
        <v>32</v>
      </c>
      <c r="U1789">
        <v>37.338200000000001</v>
      </c>
      <c r="V1789">
        <v>-121.88630000000001</v>
      </c>
      <c r="W1789" s="2">
        <v>45760</v>
      </c>
      <c r="X1789">
        <v>0</v>
      </c>
      <c r="Y1789" t="b">
        <v>1</v>
      </c>
      <c r="Z1789" s="2">
        <v>45857</v>
      </c>
      <c r="AA1789" t="str">
        <f t="shared" si="271"/>
        <v>40–49</v>
      </c>
      <c r="AB1789" t="str">
        <f t="shared" si="272"/>
        <v>40–49</v>
      </c>
      <c r="AC1789" t="str">
        <f t="shared" si="273"/>
        <v/>
      </c>
      <c r="AD1789" t="str">
        <f t="shared" si="274"/>
        <v/>
      </c>
      <c r="AE1789" t="str">
        <f t="shared" si="275"/>
        <v>Wednesday</v>
      </c>
      <c r="AF1789" t="str">
        <f t="shared" si="276"/>
        <v/>
      </c>
      <c r="AG1789" t="str">
        <f t="shared" si="277"/>
        <v/>
      </c>
      <c r="AH1789" t="str">
        <f t="shared" si="278"/>
        <v/>
      </c>
      <c r="AI1789" t="str">
        <f t="shared" si="279"/>
        <v>Sunday</v>
      </c>
      <c r="AJ1789" t="str">
        <f>LEFT(Table1[[#This Row],[membership_type]],2)&amp;TEXT(Table1[[#This Row],[age]],"00")&amp;"-"&amp;TEXT(ROW(),"000")</f>
        <v>St44-1789</v>
      </c>
      <c r="AK1789" t="str">
        <f>LEFT(Table1[[#This Row],[membership_type]],1)&amp;TEXT(MATCH(Table1[[#This Row],[membership_type]],Table1[membership_type],0),"00")</f>
        <v>S02</v>
      </c>
      <c r="AL1789" t="str">
        <f>LEFT(Table1[[#This Row],[discount_type]],1)&amp;TEXT(ROUND(Table1[[#This Row],[discount_rate]]*100,0),"00")</f>
        <v>P05</v>
      </c>
      <c r="AM1789" t="str" cm="1">
        <f t="array" ref="AM1789">TEXT(SUMPRODUCT(CODE(MID(Table1[[#This Row],[home_gym_location]],_xlfn.SEQUENCE(LEN(Table1[[#This Row],[home_gym_location]])),1))),"00000")</f>
        <v>00931</v>
      </c>
      <c r="AN1789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789" t="str">
        <f>LEFT(_xlfn.TEXTBEFORE(Table1[[#This Row],[Location Identifier]],"-"),3) &amp; "-" &amp; _xlfn.TEXTAFTER(Table1[[#This Row],[Location Identifier]],"-")</f>
        <v>SAN-010</v>
      </c>
      <c r="AP1789" s="9">
        <f t="shared" ca="1" si="270"/>
        <v>45869</v>
      </c>
    </row>
    <row r="1790" spans="1:42" x14ac:dyDescent="0.25">
      <c r="A1790">
        <v>30</v>
      </c>
      <c r="B1790" t="s">
        <v>26</v>
      </c>
      <c r="C1790">
        <v>3</v>
      </c>
      <c r="D1790" t="s">
        <v>60</v>
      </c>
      <c r="E1790" t="b">
        <v>1</v>
      </c>
      <c r="F1790" s="1">
        <v>0.77500000000000002</v>
      </c>
      <c r="G1790" s="1">
        <v>0.85624999999999996</v>
      </c>
      <c r="H1790">
        <v>117</v>
      </c>
      <c r="I1790" t="b">
        <v>1</v>
      </c>
      <c r="J1790" t="b">
        <v>1</v>
      </c>
      <c r="K1790" t="b">
        <v>0</v>
      </c>
      <c r="L1790" t="s">
        <v>62</v>
      </c>
      <c r="M1790">
        <v>50</v>
      </c>
      <c r="N1790" t="s">
        <v>29</v>
      </c>
      <c r="O1790">
        <v>50</v>
      </c>
      <c r="P1790" t="s">
        <v>74</v>
      </c>
      <c r="Q1790">
        <v>0.15</v>
      </c>
      <c r="R1790">
        <v>42.5</v>
      </c>
      <c r="S1790" t="s">
        <v>31</v>
      </c>
      <c r="T1790" t="s">
        <v>54</v>
      </c>
      <c r="U1790">
        <v>32.715699999999998</v>
      </c>
      <c r="V1790">
        <v>-117.1611</v>
      </c>
      <c r="W1790" s="2">
        <v>45278</v>
      </c>
      <c r="X1790">
        <v>4</v>
      </c>
      <c r="Y1790" t="b">
        <v>1</v>
      </c>
      <c r="Z1790" s="2">
        <v>45829</v>
      </c>
      <c r="AA1790" t="str">
        <f t="shared" si="271"/>
        <v>30–39</v>
      </c>
      <c r="AB1790" t="str">
        <f t="shared" si="272"/>
        <v>30–39</v>
      </c>
      <c r="AC1790" t="str">
        <f t="shared" si="273"/>
        <v/>
      </c>
      <c r="AD1790" t="str">
        <f t="shared" si="274"/>
        <v/>
      </c>
      <c r="AE1790" t="str">
        <f t="shared" si="275"/>
        <v>Wednesday</v>
      </c>
      <c r="AF1790" t="str">
        <f t="shared" si="276"/>
        <v/>
      </c>
      <c r="AG1790" t="str">
        <f t="shared" si="277"/>
        <v/>
      </c>
      <c r="AH1790" t="str">
        <f t="shared" si="278"/>
        <v>Saturday</v>
      </c>
      <c r="AI1790" t="str">
        <f t="shared" si="279"/>
        <v>Sunday</v>
      </c>
      <c r="AJ1790" t="str">
        <f>LEFT(Table1[[#This Row],[membership_type]],2)&amp;TEXT(Table1[[#This Row],[age]],"00")&amp;"-"&amp;TEXT(ROW(),"000")</f>
        <v>Pr30-1790</v>
      </c>
      <c r="AK1790" t="str">
        <f>LEFT(Table1[[#This Row],[membership_type]],1)&amp;TEXT(MATCH(Table1[[#This Row],[membership_type]],Table1[membership_type],0),"00")</f>
        <v>P01</v>
      </c>
      <c r="AL1790" t="str">
        <f>LEFT(Table1[[#This Row],[discount_type]],1)&amp;TEXT(ROUND(Table1[[#This Row],[discount_rate]]*100,0),"00")</f>
        <v>S15</v>
      </c>
      <c r="AM1790" t="str" cm="1">
        <f t="array" ref="AM1790">TEXT(SUMPRODUCT(CODE(MID(Table1[[#This Row],[home_gym_location]],_xlfn.SEQUENCE(LEN(Table1[[#This Row],[home_gym_location]])),1))),"00000")</f>
        <v>01018</v>
      </c>
      <c r="AN1790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90" t="str">
        <f>LEFT(_xlfn.TEXTBEFORE(Table1[[#This Row],[Location Identifier]],"-"),3) &amp; "-" &amp; _xlfn.TEXTAFTER(Table1[[#This Row],[Location Identifier]],"-")</f>
        <v>SAN-008</v>
      </c>
      <c r="AP1790" s="9">
        <f t="shared" ca="1" si="270"/>
        <v>45869</v>
      </c>
    </row>
    <row r="1791" spans="1:42" x14ac:dyDescent="0.25">
      <c r="A1791">
        <v>41</v>
      </c>
      <c r="B1791" t="s">
        <v>33</v>
      </c>
      <c r="C1791">
        <v>2</v>
      </c>
      <c r="D1791" t="s">
        <v>96</v>
      </c>
      <c r="E1791" t="b">
        <v>1</v>
      </c>
      <c r="F1791" s="1">
        <v>0.43680555555555556</v>
      </c>
      <c r="G1791" s="1">
        <v>0.52569444444444446</v>
      </c>
      <c r="H1791">
        <v>128</v>
      </c>
      <c r="I1791" t="b">
        <v>1</v>
      </c>
      <c r="J1791" t="b">
        <v>1</v>
      </c>
      <c r="K1791" t="b">
        <v>1</v>
      </c>
      <c r="L1791" t="s">
        <v>35</v>
      </c>
      <c r="M1791">
        <v>30</v>
      </c>
      <c r="N1791" t="s">
        <v>29</v>
      </c>
      <c r="O1791">
        <v>30</v>
      </c>
      <c r="P1791" t="s">
        <v>74</v>
      </c>
      <c r="Q1791">
        <v>0.15</v>
      </c>
      <c r="R1791">
        <v>25.5</v>
      </c>
      <c r="S1791" t="s">
        <v>37</v>
      </c>
      <c r="T1791" t="s">
        <v>38</v>
      </c>
      <c r="U1791">
        <v>36.7378</v>
      </c>
      <c r="V1791">
        <v>-119.7871</v>
      </c>
      <c r="W1791" s="2">
        <v>45671</v>
      </c>
      <c r="X1791">
        <v>5</v>
      </c>
      <c r="Y1791" t="b">
        <v>0</v>
      </c>
      <c r="Z1791" s="2">
        <v>45851</v>
      </c>
      <c r="AA1791" t="str">
        <f t="shared" si="271"/>
        <v>40–49</v>
      </c>
      <c r="AB1791" t="str">
        <f t="shared" si="272"/>
        <v>40–49</v>
      </c>
      <c r="AC1791" t="str">
        <f t="shared" si="273"/>
        <v/>
      </c>
      <c r="AD1791" t="str">
        <f t="shared" si="274"/>
        <v/>
      </c>
      <c r="AE1791" t="str">
        <f t="shared" si="275"/>
        <v/>
      </c>
      <c r="AF1791" t="str">
        <f t="shared" si="276"/>
        <v>Thursday</v>
      </c>
      <c r="AG1791" t="str">
        <f t="shared" si="277"/>
        <v>Friday</v>
      </c>
      <c r="AH1791" t="str">
        <f t="shared" si="278"/>
        <v/>
      </c>
      <c r="AI1791" t="str">
        <f t="shared" si="279"/>
        <v/>
      </c>
      <c r="AJ1791" t="str">
        <f>LEFT(Table1[[#This Row],[membership_type]],2)&amp;TEXT(Table1[[#This Row],[age]],"00")&amp;"-"&amp;TEXT(ROW(),"000")</f>
        <v>St41-1791</v>
      </c>
      <c r="AK1791" t="str">
        <f>LEFT(Table1[[#This Row],[membership_type]],1)&amp;TEXT(MATCH(Table1[[#This Row],[membership_type]],Table1[membership_type],0),"00")</f>
        <v>S02</v>
      </c>
      <c r="AL1791" t="str">
        <f>LEFT(Table1[[#This Row],[discount_type]],1)&amp;TEXT(ROUND(Table1[[#This Row],[discount_rate]]*100,0),"00")</f>
        <v>S15</v>
      </c>
      <c r="AM1791" t="str" cm="1">
        <f t="array" ref="AM1791">TEXT(SUMPRODUCT(CODE(MID(Table1[[#This Row],[home_gym_location]],_xlfn.SEQUENCE(LEN(Table1[[#This Row],[home_gym_location]])),1))),"00000")</f>
        <v>00829</v>
      </c>
      <c r="AN1791" t="str">
        <f>UPPER(_xlfn.TEXTBEFORE(Table1[[#This Row],[home_gym_location]],","))&amp;"-"&amp;TEXT(MATCH(Table1[[#This Row],[home_gym_location]],_xlfn._xlws.SORT(_xlfn.UNIQUE(Table1[home_gym_location])),0),"000")</f>
        <v>FRESNO-003</v>
      </c>
      <c r="AO1791" t="str">
        <f>LEFT(_xlfn.TEXTBEFORE(Table1[[#This Row],[Location Identifier]],"-"),3) &amp; "-" &amp; _xlfn.TEXTAFTER(Table1[[#This Row],[Location Identifier]],"-")</f>
        <v>FRE-003</v>
      </c>
      <c r="AP1791" s="9">
        <f t="shared" ca="1" si="270"/>
        <v>45869</v>
      </c>
    </row>
    <row r="1792" spans="1:42" x14ac:dyDescent="0.25">
      <c r="A1792">
        <v>31</v>
      </c>
      <c r="B1792" t="s">
        <v>33</v>
      </c>
      <c r="C1792">
        <v>2</v>
      </c>
      <c r="D1792" t="s">
        <v>84</v>
      </c>
      <c r="E1792" t="b">
        <v>1</v>
      </c>
      <c r="F1792" s="1">
        <v>0.66736111111111107</v>
      </c>
      <c r="G1792" s="1">
        <v>0.75763888888888886</v>
      </c>
      <c r="H1792">
        <v>130</v>
      </c>
      <c r="I1792" t="b">
        <v>1</v>
      </c>
      <c r="J1792" t="b">
        <v>0</v>
      </c>
      <c r="K1792" t="b">
        <v>1</v>
      </c>
      <c r="L1792" t="s">
        <v>28</v>
      </c>
      <c r="M1792">
        <v>30</v>
      </c>
      <c r="N1792" t="s">
        <v>64</v>
      </c>
      <c r="O1792">
        <v>22.5</v>
      </c>
      <c r="P1792" t="s">
        <v>40</v>
      </c>
      <c r="Q1792">
        <v>0.1</v>
      </c>
      <c r="R1792">
        <v>20.25</v>
      </c>
      <c r="S1792" t="s">
        <v>37</v>
      </c>
      <c r="T1792" t="s">
        <v>56</v>
      </c>
      <c r="U1792">
        <v>35.3733</v>
      </c>
      <c r="V1792">
        <v>-119.0187</v>
      </c>
      <c r="W1792" s="2">
        <v>45045</v>
      </c>
      <c r="X1792">
        <v>0</v>
      </c>
      <c r="Y1792" t="b">
        <v>0</v>
      </c>
      <c r="Z1792" s="2">
        <v>45816</v>
      </c>
      <c r="AA1792" t="str">
        <f t="shared" si="271"/>
        <v>30–39</v>
      </c>
      <c r="AB1792" t="str">
        <f t="shared" si="272"/>
        <v>30–39</v>
      </c>
      <c r="AC1792" t="str">
        <f t="shared" si="273"/>
        <v/>
      </c>
      <c r="AD1792" t="str">
        <f t="shared" si="274"/>
        <v>Tuesday</v>
      </c>
      <c r="AE1792" t="str">
        <f t="shared" si="275"/>
        <v/>
      </c>
      <c r="AF1792" t="str">
        <f t="shared" si="276"/>
        <v/>
      </c>
      <c r="AG1792" t="str">
        <f t="shared" si="277"/>
        <v/>
      </c>
      <c r="AH1792" t="str">
        <f t="shared" si="278"/>
        <v/>
      </c>
      <c r="AI1792" t="str">
        <f t="shared" si="279"/>
        <v>Sunday</v>
      </c>
      <c r="AJ1792" t="str">
        <f>LEFT(Table1[[#This Row],[membership_type]],2)&amp;TEXT(Table1[[#This Row],[age]],"00")&amp;"-"&amp;TEXT(ROW(),"000")</f>
        <v>St31-1792</v>
      </c>
      <c r="AK1792" t="str">
        <f>LEFT(Table1[[#This Row],[membership_type]],1)&amp;TEXT(MATCH(Table1[[#This Row],[membership_type]],Table1[membership_type],0),"00")</f>
        <v>S02</v>
      </c>
      <c r="AL1792" t="str">
        <f>LEFT(Table1[[#This Row],[discount_type]],1)&amp;TEXT(ROUND(Table1[[#This Row],[discount_rate]]*100,0),"00")</f>
        <v>L10</v>
      </c>
      <c r="AM1792" t="str" cm="1">
        <f t="array" ref="AM1792">TEXT(SUMPRODUCT(CODE(MID(Table1[[#This Row],[home_gym_location]],_xlfn.SEQUENCE(LEN(Table1[[#This Row],[home_gym_location]])),1))),"00000")</f>
        <v>01324</v>
      </c>
      <c r="AN179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92" t="str">
        <f>LEFT(_xlfn.TEXTBEFORE(Table1[[#This Row],[Location Identifier]],"-"),3) &amp; "-" &amp; _xlfn.TEXTAFTER(Table1[[#This Row],[Location Identifier]],"-")</f>
        <v>BAK-002</v>
      </c>
      <c r="AP1792" s="9">
        <f t="shared" ca="1" si="270"/>
        <v>45869</v>
      </c>
    </row>
    <row r="1793" spans="1:42" x14ac:dyDescent="0.25">
      <c r="A1793">
        <v>23</v>
      </c>
      <c r="B1793" t="s">
        <v>33</v>
      </c>
      <c r="C1793">
        <v>4</v>
      </c>
      <c r="D1793" t="s">
        <v>154</v>
      </c>
      <c r="E1793" t="b">
        <v>0</v>
      </c>
      <c r="F1793" s="1">
        <v>0.4284722222222222</v>
      </c>
      <c r="G1793" s="1">
        <v>0.51458333333333328</v>
      </c>
      <c r="H1793">
        <v>124</v>
      </c>
      <c r="I1793" t="b">
        <v>1</v>
      </c>
      <c r="J1793" t="b">
        <v>0</v>
      </c>
      <c r="K1793" t="b">
        <v>1</v>
      </c>
      <c r="L1793" t="s">
        <v>62</v>
      </c>
      <c r="M1793">
        <v>30</v>
      </c>
      <c r="N1793" t="s">
        <v>29</v>
      </c>
      <c r="O1793">
        <v>30</v>
      </c>
      <c r="P1793" t="s">
        <v>36</v>
      </c>
      <c r="Q1793">
        <v>0</v>
      </c>
      <c r="R1793">
        <v>30</v>
      </c>
      <c r="S1793" t="s">
        <v>37</v>
      </c>
      <c r="T1793" t="s">
        <v>45</v>
      </c>
      <c r="U1793">
        <v>33.836599999999997</v>
      </c>
      <c r="V1793">
        <v>-117.9143</v>
      </c>
      <c r="W1793" s="2">
        <v>45285</v>
      </c>
      <c r="X1793">
        <v>0</v>
      </c>
      <c r="Y1793" t="b">
        <v>0</v>
      </c>
      <c r="Z1793" s="2">
        <v>45830</v>
      </c>
      <c r="AA1793" t="str">
        <f t="shared" si="271"/>
        <v>20–29</v>
      </c>
      <c r="AB1793" t="str">
        <f t="shared" si="272"/>
        <v>20–29</v>
      </c>
      <c r="AC1793" t="str">
        <f t="shared" si="273"/>
        <v/>
      </c>
      <c r="AD1793" t="str">
        <f t="shared" si="274"/>
        <v/>
      </c>
      <c r="AE1793" t="str">
        <f t="shared" si="275"/>
        <v>Wednesday</v>
      </c>
      <c r="AF1793" t="str">
        <f t="shared" si="276"/>
        <v>Thursday</v>
      </c>
      <c r="AG1793" t="str">
        <f t="shared" si="277"/>
        <v>Friday</v>
      </c>
      <c r="AH1793" t="str">
        <f t="shared" si="278"/>
        <v/>
      </c>
      <c r="AI1793" t="str">
        <f t="shared" si="279"/>
        <v>Sunday</v>
      </c>
      <c r="AJ1793" t="str">
        <f>LEFT(Table1[[#This Row],[membership_type]],2)&amp;TEXT(Table1[[#This Row],[age]],"00")&amp;"-"&amp;TEXT(ROW(),"000")</f>
        <v>St23-1793</v>
      </c>
      <c r="AK1793" t="str">
        <f>LEFT(Table1[[#This Row],[membership_type]],1)&amp;TEXT(MATCH(Table1[[#This Row],[membership_type]],Table1[membership_type],0),"00")</f>
        <v>S02</v>
      </c>
      <c r="AL1793" t="str">
        <f>LEFT(Table1[[#This Row],[discount_type]],1)&amp;TEXT(ROUND(Table1[[#This Row],[discount_rate]]*100,0),"00")</f>
        <v>N00</v>
      </c>
      <c r="AM1793" t="str" cm="1">
        <f t="array" ref="AM1793">TEXT(SUMPRODUCT(CODE(MID(Table1[[#This Row],[home_gym_location]],_xlfn.SEQUENCE(LEN(Table1[[#This Row],[home_gym_location]])),1))),"00000")</f>
        <v>00899</v>
      </c>
      <c r="AN1793" t="str">
        <f>UPPER(_xlfn.TEXTBEFORE(Table1[[#This Row],[home_gym_location]],","))&amp;"-"&amp;TEXT(MATCH(Table1[[#This Row],[home_gym_location]],_xlfn._xlws.SORT(_xlfn.UNIQUE(Table1[home_gym_location])),0),"000")</f>
        <v>ANAHEIM-001</v>
      </c>
      <c r="AO1793" t="str">
        <f>LEFT(_xlfn.TEXTBEFORE(Table1[[#This Row],[Location Identifier]],"-"),3) &amp; "-" &amp; _xlfn.TEXTAFTER(Table1[[#This Row],[Location Identifier]],"-")</f>
        <v>ANA-001</v>
      </c>
      <c r="AP1793" s="9">
        <f t="shared" ca="1" si="270"/>
        <v>45869</v>
      </c>
    </row>
    <row r="1794" spans="1:42" x14ac:dyDescent="0.25">
      <c r="A1794">
        <v>22</v>
      </c>
      <c r="B1794" t="s">
        <v>33</v>
      </c>
      <c r="C1794">
        <v>1</v>
      </c>
      <c r="D1794" t="s">
        <v>49</v>
      </c>
      <c r="E1794" t="b">
        <v>1</v>
      </c>
      <c r="F1794" s="1">
        <v>0.34583333333333333</v>
      </c>
      <c r="G1794" s="1">
        <v>0.46388888888888891</v>
      </c>
      <c r="H1794">
        <v>170</v>
      </c>
      <c r="I1794" t="b">
        <v>0</v>
      </c>
      <c r="J1794" t="b">
        <v>0</v>
      </c>
      <c r="K1794" t="b">
        <v>0</v>
      </c>
      <c r="L1794" t="s">
        <v>28</v>
      </c>
      <c r="M1794">
        <v>30</v>
      </c>
      <c r="N1794" t="s">
        <v>29</v>
      </c>
      <c r="O1794">
        <v>30</v>
      </c>
      <c r="P1794" t="s">
        <v>36</v>
      </c>
      <c r="Q1794">
        <v>0</v>
      </c>
      <c r="R1794">
        <v>30</v>
      </c>
      <c r="S1794" t="s">
        <v>37</v>
      </c>
      <c r="T1794" t="s">
        <v>41</v>
      </c>
      <c r="U1794">
        <v>37.804400000000001</v>
      </c>
      <c r="V1794">
        <v>-122.27119999999999</v>
      </c>
      <c r="W1794" s="2">
        <v>45106</v>
      </c>
      <c r="X1794">
        <v>0</v>
      </c>
      <c r="Y1794" t="b">
        <v>1</v>
      </c>
      <c r="Z1794" s="2">
        <v>45820</v>
      </c>
      <c r="AA1794" t="str">
        <f t="shared" si="271"/>
        <v>20–29</v>
      </c>
      <c r="AB1794" t="str">
        <f t="shared" si="272"/>
        <v>20–29</v>
      </c>
      <c r="AC1794" t="str">
        <f t="shared" si="273"/>
        <v/>
      </c>
      <c r="AD1794" t="str">
        <f t="shared" si="274"/>
        <v/>
      </c>
      <c r="AE1794" t="str">
        <f t="shared" si="275"/>
        <v/>
      </c>
      <c r="AF1794" t="str">
        <f t="shared" si="276"/>
        <v/>
      </c>
      <c r="AG1794" t="str">
        <f t="shared" si="277"/>
        <v/>
      </c>
      <c r="AH1794" t="str">
        <f t="shared" si="278"/>
        <v/>
      </c>
      <c r="AI1794" t="str">
        <f t="shared" si="279"/>
        <v>Sunday</v>
      </c>
      <c r="AJ1794" t="str">
        <f>LEFT(Table1[[#This Row],[membership_type]],2)&amp;TEXT(Table1[[#This Row],[age]],"00")&amp;"-"&amp;TEXT(ROW(),"000")</f>
        <v>St22-1794</v>
      </c>
      <c r="AK1794" t="str">
        <f>LEFT(Table1[[#This Row],[membership_type]],1)&amp;TEXT(MATCH(Table1[[#This Row],[membership_type]],Table1[membership_type],0),"00")</f>
        <v>S02</v>
      </c>
      <c r="AL1794" t="str">
        <f>LEFT(Table1[[#This Row],[discount_type]],1)&amp;TEXT(ROUND(Table1[[#This Row],[discount_rate]]*100,0),"00")</f>
        <v>N00</v>
      </c>
      <c r="AM1794" t="str" cm="1">
        <f t="array" ref="AM1794">TEXT(SUMPRODUCT(CODE(MID(Table1[[#This Row],[home_gym_location]],_xlfn.SEQUENCE(LEN(Table1[[#This Row],[home_gym_location]])),1))),"00000")</f>
        <v>00906</v>
      </c>
      <c r="AN1794" t="str">
        <f>UPPER(_xlfn.TEXTBEFORE(Table1[[#This Row],[home_gym_location]],","))&amp;"-"&amp;TEXT(MATCH(Table1[[#This Row],[home_gym_location]],_xlfn._xlws.SORT(_xlfn.UNIQUE(Table1[home_gym_location])),0),"000")</f>
        <v>OAKLAND-006</v>
      </c>
      <c r="AO1794" t="str">
        <f>LEFT(_xlfn.TEXTBEFORE(Table1[[#This Row],[Location Identifier]],"-"),3) &amp; "-" &amp; _xlfn.TEXTAFTER(Table1[[#This Row],[Location Identifier]],"-")</f>
        <v>OAK-006</v>
      </c>
      <c r="AP1794" s="9">
        <f t="shared" ref="AP1794:AP1857" ca="1" si="280">EOMONTH(DATE(YEAR(TODAY()),7,1),0)</f>
        <v>45869</v>
      </c>
    </row>
    <row r="1795" spans="1:42" x14ac:dyDescent="0.25">
      <c r="A1795">
        <v>15</v>
      </c>
      <c r="B1795" t="s">
        <v>51</v>
      </c>
      <c r="C1795">
        <v>3</v>
      </c>
      <c r="D1795" t="s">
        <v>80</v>
      </c>
      <c r="E1795" t="b">
        <v>0</v>
      </c>
      <c r="F1795" s="1">
        <v>0.72847222222222219</v>
      </c>
      <c r="G1795" s="1">
        <v>0.75208333333333333</v>
      </c>
      <c r="H1795">
        <v>34</v>
      </c>
      <c r="I1795" t="b">
        <v>0</v>
      </c>
      <c r="J1795" t="b">
        <v>0</v>
      </c>
      <c r="K1795" t="b">
        <v>1</v>
      </c>
      <c r="L1795" t="s">
        <v>28</v>
      </c>
      <c r="M1795">
        <v>70</v>
      </c>
      <c r="N1795" t="s">
        <v>64</v>
      </c>
      <c r="O1795">
        <v>52.5</v>
      </c>
      <c r="P1795" t="s">
        <v>36</v>
      </c>
      <c r="Q1795">
        <v>0</v>
      </c>
      <c r="R1795">
        <v>52.5</v>
      </c>
      <c r="S1795" t="s">
        <v>53</v>
      </c>
      <c r="T1795" t="s">
        <v>56</v>
      </c>
      <c r="U1795">
        <v>35.3733</v>
      </c>
      <c r="V1795">
        <v>-119.0187</v>
      </c>
      <c r="W1795" s="2">
        <v>45786</v>
      </c>
      <c r="X1795">
        <v>0</v>
      </c>
      <c r="Y1795" t="b">
        <v>0</v>
      </c>
      <c r="Z1795" s="2">
        <v>45858</v>
      </c>
      <c r="AA1795" t="str">
        <f t="shared" ref="AA1795:AA1858" si="281">TEXT(10*INT($A1795/10),"0")&amp;"–"&amp;TEXT(10*INT($A1795/10)+9,"0")</f>
        <v>10–19</v>
      </c>
      <c r="AB1795" t="str">
        <f t="shared" ref="AB1795:AB1858" si="282">IF(AND($AA1795 = "10–19", $A1795 &lt; 16), "Under 16", IF(AND($AA1795 = "10–19", $A1795 &gt;= 16), "16–19", $AA1795))</f>
        <v>Under 16</v>
      </c>
      <c r="AC1795" t="str">
        <f t="shared" ref="AC1795:AC1858" si="283">IF(ISNUMBER(SEARCH("Mon", $D1795)), "Monday", "")</f>
        <v>Monday</v>
      </c>
      <c r="AD1795" t="str">
        <f t="shared" ref="AD1795:AD1858" si="284">IF(ISNUMBER(SEARCH("Tue", $D1795)), "Tuesday", "")</f>
        <v/>
      </c>
      <c r="AE1795" t="str">
        <f t="shared" ref="AE1795:AE1858" si="285">IF(ISNUMBER(SEARCH("Wed", $D1795)), "Wednesday", "")</f>
        <v/>
      </c>
      <c r="AF1795" t="str">
        <f t="shared" ref="AF1795:AF1858" si="286">IF(ISNUMBER(SEARCH("Thu", $D1795)), "Thursday", "")</f>
        <v/>
      </c>
      <c r="AG1795" t="str">
        <f t="shared" ref="AG1795:AG1858" si="287">IF(ISNUMBER(SEARCH("Fri", $D1795)), "Friday", "")</f>
        <v/>
      </c>
      <c r="AH1795" t="str">
        <f t="shared" ref="AH1795:AH1858" si="288">IF(ISNUMBER(SEARCH("Sat", $D1795)), "Saturday", "")</f>
        <v>Saturday</v>
      </c>
      <c r="AI1795" t="str">
        <f t="shared" ref="AI1795:AI1858" si="289">IF(ISNUMBER(SEARCH("Sun", $D1795)), "Sunday", "")</f>
        <v>Sunday</v>
      </c>
      <c r="AJ1795" t="str">
        <f>LEFT(Table1[[#This Row],[membership_type]],2)&amp;TEXT(Table1[[#This Row],[age]],"00")&amp;"-"&amp;TEXT(ROW(),"000")</f>
        <v>El15-1795</v>
      </c>
      <c r="AK1795" t="str">
        <f>LEFT(Table1[[#This Row],[membership_type]],1)&amp;TEXT(MATCH(Table1[[#This Row],[membership_type]],Table1[membership_type],0),"00")</f>
        <v>E07</v>
      </c>
      <c r="AL1795" t="str">
        <f>LEFT(Table1[[#This Row],[discount_type]],1)&amp;TEXT(ROUND(Table1[[#This Row],[discount_rate]]*100,0),"00")</f>
        <v>N00</v>
      </c>
      <c r="AM1795" t="str" cm="1">
        <f t="array" ref="AM1795">TEXT(SUMPRODUCT(CODE(MID(Table1[[#This Row],[home_gym_location]],_xlfn.SEQUENCE(LEN(Table1[[#This Row],[home_gym_location]])),1))),"00000")</f>
        <v>01324</v>
      </c>
      <c r="AN179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795" t="str">
        <f>LEFT(_xlfn.TEXTBEFORE(Table1[[#This Row],[Location Identifier]],"-"),3) &amp; "-" &amp; _xlfn.TEXTAFTER(Table1[[#This Row],[Location Identifier]],"-")</f>
        <v>BAK-002</v>
      </c>
      <c r="AP1795" s="9">
        <f t="shared" ca="1" si="280"/>
        <v>45869</v>
      </c>
    </row>
    <row r="1796" spans="1:42" x14ac:dyDescent="0.25">
      <c r="A1796">
        <v>48</v>
      </c>
      <c r="B1796" t="s">
        <v>26</v>
      </c>
      <c r="C1796">
        <v>3</v>
      </c>
      <c r="D1796" t="s">
        <v>121</v>
      </c>
      <c r="E1796" t="b">
        <v>0</v>
      </c>
      <c r="F1796" s="1">
        <v>0.60347222222222219</v>
      </c>
      <c r="G1796" s="1">
        <v>0.63194444444444442</v>
      </c>
      <c r="H1796">
        <v>41</v>
      </c>
      <c r="I1796" t="b">
        <v>0</v>
      </c>
      <c r="J1796" t="b">
        <v>1</v>
      </c>
      <c r="K1796" t="b">
        <v>0</v>
      </c>
      <c r="L1796" t="s">
        <v>35</v>
      </c>
      <c r="M1796">
        <v>50</v>
      </c>
      <c r="N1796" t="s">
        <v>64</v>
      </c>
      <c r="O1796">
        <v>37.5</v>
      </c>
      <c r="P1796" t="s">
        <v>74</v>
      </c>
      <c r="Q1796">
        <v>0.15</v>
      </c>
      <c r="R1796">
        <v>31.875</v>
      </c>
      <c r="S1796" t="s">
        <v>31</v>
      </c>
      <c r="T1796" t="s">
        <v>59</v>
      </c>
      <c r="U1796">
        <v>37.774900000000002</v>
      </c>
      <c r="V1796">
        <v>-122.4194</v>
      </c>
      <c r="W1796" s="2">
        <v>45740</v>
      </c>
      <c r="X1796">
        <v>1</v>
      </c>
      <c r="Y1796" t="b">
        <v>1</v>
      </c>
      <c r="Z1796" s="2">
        <v>45855</v>
      </c>
      <c r="AA1796" t="str">
        <f t="shared" si="281"/>
        <v>40–49</v>
      </c>
      <c r="AB1796" t="str">
        <f t="shared" si="282"/>
        <v>40–49</v>
      </c>
      <c r="AC1796" t="str">
        <f t="shared" si="283"/>
        <v>Monday</v>
      </c>
      <c r="AD1796" t="str">
        <f t="shared" si="284"/>
        <v>Tuesday</v>
      </c>
      <c r="AE1796" t="str">
        <f t="shared" si="285"/>
        <v/>
      </c>
      <c r="AF1796" t="str">
        <f t="shared" si="286"/>
        <v/>
      </c>
      <c r="AG1796" t="str">
        <f t="shared" si="287"/>
        <v/>
      </c>
      <c r="AH1796" t="str">
        <f t="shared" si="288"/>
        <v/>
      </c>
      <c r="AI1796" t="str">
        <f t="shared" si="289"/>
        <v>Sunday</v>
      </c>
      <c r="AJ1796" t="str">
        <f>LEFT(Table1[[#This Row],[membership_type]],2)&amp;TEXT(Table1[[#This Row],[age]],"00")&amp;"-"&amp;TEXT(ROW(),"000")</f>
        <v>Pr48-1796</v>
      </c>
      <c r="AK1796" t="str">
        <f>LEFT(Table1[[#This Row],[membership_type]],1)&amp;TEXT(MATCH(Table1[[#This Row],[membership_type]],Table1[membership_type],0),"00")</f>
        <v>P01</v>
      </c>
      <c r="AL1796" t="str">
        <f>LEFT(Table1[[#This Row],[discount_type]],1)&amp;TEXT(ROUND(Table1[[#This Row],[discount_rate]]*100,0),"00")</f>
        <v>S15</v>
      </c>
      <c r="AM1796" t="str" cm="1">
        <f t="array" ref="AM1796">TEXT(SUMPRODUCT(CODE(MID(Table1[[#This Row],[home_gym_location]],_xlfn.SEQUENCE(LEN(Table1[[#This Row],[home_gym_location]])),1))),"00000")</f>
        <v>01450</v>
      </c>
      <c r="AN179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796" t="str">
        <f>LEFT(_xlfn.TEXTBEFORE(Table1[[#This Row],[Location Identifier]],"-"),3) &amp; "-" &amp; _xlfn.TEXTAFTER(Table1[[#This Row],[Location Identifier]],"-")</f>
        <v>SAN-009</v>
      </c>
      <c r="AP1796" s="9">
        <f t="shared" ca="1" si="280"/>
        <v>45869</v>
      </c>
    </row>
    <row r="1797" spans="1:42" x14ac:dyDescent="0.25">
      <c r="A1797">
        <v>47</v>
      </c>
      <c r="B1797" t="s">
        <v>26</v>
      </c>
      <c r="C1797">
        <v>1</v>
      </c>
      <c r="D1797" t="s">
        <v>75</v>
      </c>
      <c r="E1797" t="b">
        <v>0</v>
      </c>
      <c r="F1797" s="1">
        <v>0.6118055555555556</v>
      </c>
      <c r="G1797" s="1">
        <v>0.63958333333333328</v>
      </c>
      <c r="H1797">
        <v>40</v>
      </c>
      <c r="I1797" t="b">
        <v>1</v>
      </c>
      <c r="J1797" t="b">
        <v>1</v>
      </c>
      <c r="K1797" t="b">
        <v>0</v>
      </c>
      <c r="L1797" t="s">
        <v>58</v>
      </c>
      <c r="M1797">
        <v>50</v>
      </c>
      <c r="N1797" t="s">
        <v>29</v>
      </c>
      <c r="O1797">
        <v>50</v>
      </c>
      <c r="P1797" t="s">
        <v>40</v>
      </c>
      <c r="Q1797">
        <v>0.1</v>
      </c>
      <c r="R1797">
        <v>45</v>
      </c>
      <c r="S1797" t="s">
        <v>31</v>
      </c>
      <c r="T1797" t="s">
        <v>48</v>
      </c>
      <c r="U1797">
        <v>38.581600000000002</v>
      </c>
      <c r="V1797">
        <v>-121.4944</v>
      </c>
      <c r="W1797" s="2">
        <v>45068</v>
      </c>
      <c r="X1797">
        <v>5</v>
      </c>
      <c r="Y1797" t="b">
        <v>0</v>
      </c>
      <c r="Z1797" s="2">
        <v>45818</v>
      </c>
      <c r="AA1797" t="str">
        <f t="shared" si="281"/>
        <v>40–49</v>
      </c>
      <c r="AB1797" t="str">
        <f t="shared" si="282"/>
        <v>40–49</v>
      </c>
      <c r="AC1797" t="str">
        <f t="shared" si="283"/>
        <v/>
      </c>
      <c r="AD1797" t="str">
        <f t="shared" si="284"/>
        <v/>
      </c>
      <c r="AE1797" t="str">
        <f t="shared" si="285"/>
        <v/>
      </c>
      <c r="AF1797" t="str">
        <f t="shared" si="286"/>
        <v/>
      </c>
      <c r="AG1797" t="str">
        <f t="shared" si="287"/>
        <v>Friday</v>
      </c>
      <c r="AH1797" t="str">
        <f t="shared" si="288"/>
        <v/>
      </c>
      <c r="AI1797" t="str">
        <f t="shared" si="289"/>
        <v/>
      </c>
      <c r="AJ1797" t="str">
        <f>LEFT(Table1[[#This Row],[membership_type]],2)&amp;TEXT(Table1[[#This Row],[age]],"00")&amp;"-"&amp;TEXT(ROW(),"000")</f>
        <v>Pr47-1797</v>
      </c>
      <c r="AK1797" t="str">
        <f>LEFT(Table1[[#This Row],[membership_type]],1)&amp;TEXT(MATCH(Table1[[#This Row],[membership_type]],Table1[membership_type],0),"00")</f>
        <v>P01</v>
      </c>
      <c r="AL1797" t="str">
        <f>LEFT(Table1[[#This Row],[discount_type]],1)&amp;TEXT(ROUND(Table1[[#This Row],[discount_rate]]*100,0),"00")</f>
        <v>L10</v>
      </c>
      <c r="AM1797" t="str" cm="1">
        <f t="array" ref="AM1797">TEXT(SUMPRODUCT(CODE(MID(Table1[[#This Row],[home_gym_location]],_xlfn.SEQUENCE(LEN(Table1[[#This Row],[home_gym_location]])),1))),"00000")</f>
        <v>01245</v>
      </c>
      <c r="AN179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797" t="str">
        <f>LEFT(_xlfn.TEXTBEFORE(Table1[[#This Row],[Location Identifier]],"-"),3) &amp; "-" &amp; _xlfn.TEXTAFTER(Table1[[#This Row],[Location Identifier]],"-")</f>
        <v>SAC-007</v>
      </c>
      <c r="AP1797" s="9">
        <f t="shared" ca="1" si="280"/>
        <v>45869</v>
      </c>
    </row>
    <row r="1798" spans="1:42" x14ac:dyDescent="0.25">
      <c r="A1798">
        <v>33</v>
      </c>
      <c r="B1798" t="s">
        <v>26</v>
      </c>
      <c r="C1798">
        <v>1</v>
      </c>
      <c r="D1798" t="s">
        <v>75</v>
      </c>
      <c r="E1798" t="b">
        <v>1</v>
      </c>
      <c r="F1798" s="1">
        <v>0.67083333333333328</v>
      </c>
      <c r="G1798" s="1">
        <v>0.70972222222222225</v>
      </c>
      <c r="H1798">
        <v>56</v>
      </c>
      <c r="I1798" t="b">
        <v>0</v>
      </c>
      <c r="J1798" t="b">
        <v>0</v>
      </c>
      <c r="K1798" t="b">
        <v>0</v>
      </c>
      <c r="L1798" t="s">
        <v>62</v>
      </c>
      <c r="M1798">
        <v>50</v>
      </c>
      <c r="N1798" t="s">
        <v>29</v>
      </c>
      <c r="O1798">
        <v>50</v>
      </c>
      <c r="P1798" t="s">
        <v>40</v>
      </c>
      <c r="Q1798">
        <v>0.1</v>
      </c>
      <c r="R1798">
        <v>45</v>
      </c>
      <c r="S1798" t="s">
        <v>31</v>
      </c>
      <c r="T1798" t="s">
        <v>38</v>
      </c>
      <c r="U1798">
        <v>36.7378</v>
      </c>
      <c r="V1798">
        <v>-119.7871</v>
      </c>
      <c r="W1798" s="2">
        <v>45754</v>
      </c>
      <c r="X1798">
        <v>0</v>
      </c>
      <c r="Y1798" t="b">
        <v>0</v>
      </c>
      <c r="Z1798" s="2">
        <v>45856</v>
      </c>
      <c r="AA1798" t="str">
        <f t="shared" si="281"/>
        <v>30–39</v>
      </c>
      <c r="AB1798" t="str">
        <f t="shared" si="282"/>
        <v>30–39</v>
      </c>
      <c r="AC1798" t="str">
        <f t="shared" si="283"/>
        <v/>
      </c>
      <c r="AD1798" t="str">
        <f t="shared" si="284"/>
        <v/>
      </c>
      <c r="AE1798" t="str">
        <f t="shared" si="285"/>
        <v/>
      </c>
      <c r="AF1798" t="str">
        <f t="shared" si="286"/>
        <v/>
      </c>
      <c r="AG1798" t="str">
        <f t="shared" si="287"/>
        <v>Friday</v>
      </c>
      <c r="AH1798" t="str">
        <f t="shared" si="288"/>
        <v/>
      </c>
      <c r="AI1798" t="str">
        <f t="shared" si="289"/>
        <v/>
      </c>
      <c r="AJ1798" t="str">
        <f>LEFT(Table1[[#This Row],[membership_type]],2)&amp;TEXT(Table1[[#This Row],[age]],"00")&amp;"-"&amp;TEXT(ROW(),"000")</f>
        <v>Pr33-1798</v>
      </c>
      <c r="AK1798" t="str">
        <f>LEFT(Table1[[#This Row],[membership_type]],1)&amp;TEXT(MATCH(Table1[[#This Row],[membership_type]],Table1[membership_type],0),"00")</f>
        <v>P01</v>
      </c>
      <c r="AL1798" t="str">
        <f>LEFT(Table1[[#This Row],[discount_type]],1)&amp;TEXT(ROUND(Table1[[#This Row],[discount_rate]]*100,0),"00")</f>
        <v>L10</v>
      </c>
      <c r="AM1798" t="str" cm="1">
        <f t="array" ref="AM1798">TEXT(SUMPRODUCT(CODE(MID(Table1[[#This Row],[home_gym_location]],_xlfn.SEQUENCE(LEN(Table1[[#This Row],[home_gym_location]])),1))),"00000")</f>
        <v>00829</v>
      </c>
      <c r="AN1798" t="str">
        <f>UPPER(_xlfn.TEXTBEFORE(Table1[[#This Row],[home_gym_location]],","))&amp;"-"&amp;TEXT(MATCH(Table1[[#This Row],[home_gym_location]],_xlfn._xlws.SORT(_xlfn.UNIQUE(Table1[home_gym_location])),0),"000")</f>
        <v>FRESNO-003</v>
      </c>
      <c r="AO1798" t="str">
        <f>LEFT(_xlfn.TEXTBEFORE(Table1[[#This Row],[Location Identifier]],"-"),3) &amp; "-" &amp; _xlfn.TEXTAFTER(Table1[[#This Row],[Location Identifier]],"-")</f>
        <v>FRE-003</v>
      </c>
      <c r="AP1798" s="9">
        <f t="shared" ca="1" si="280"/>
        <v>45869</v>
      </c>
    </row>
    <row r="1799" spans="1:42" x14ac:dyDescent="0.25">
      <c r="A1799">
        <v>17</v>
      </c>
      <c r="B1799" t="s">
        <v>51</v>
      </c>
      <c r="C1799">
        <v>5</v>
      </c>
      <c r="D1799" t="s">
        <v>137</v>
      </c>
      <c r="E1799" t="b">
        <v>1</v>
      </c>
      <c r="F1799" s="1">
        <v>0.41666666666666669</v>
      </c>
      <c r="G1799" s="1">
        <v>0.49652777777777779</v>
      </c>
      <c r="H1799">
        <v>115</v>
      </c>
      <c r="I1799" t="b">
        <v>1</v>
      </c>
      <c r="J1799" t="b">
        <v>0</v>
      </c>
      <c r="K1799" t="b">
        <v>0</v>
      </c>
      <c r="L1799" t="s">
        <v>62</v>
      </c>
      <c r="M1799">
        <v>70</v>
      </c>
      <c r="N1799" t="s">
        <v>64</v>
      </c>
      <c r="O1799">
        <v>52.5</v>
      </c>
      <c r="P1799" t="s">
        <v>36</v>
      </c>
      <c r="Q1799">
        <v>0</v>
      </c>
      <c r="R1799">
        <v>52.5</v>
      </c>
      <c r="S1799" t="s">
        <v>53</v>
      </c>
      <c r="T1799" t="s">
        <v>54</v>
      </c>
      <c r="U1799">
        <v>32.715699999999998</v>
      </c>
      <c r="V1799">
        <v>-117.1611</v>
      </c>
      <c r="W1799" s="2">
        <v>45755</v>
      </c>
      <c r="X1799">
        <v>0</v>
      </c>
      <c r="Y1799" t="b">
        <v>1</v>
      </c>
      <c r="Z1799" s="2">
        <v>45856</v>
      </c>
      <c r="AA1799" t="str">
        <f t="shared" si="281"/>
        <v>10–19</v>
      </c>
      <c r="AB1799" t="str">
        <f t="shared" si="282"/>
        <v>16–19</v>
      </c>
      <c r="AC1799" t="str">
        <f t="shared" si="283"/>
        <v>Monday</v>
      </c>
      <c r="AD1799" t="str">
        <f t="shared" si="284"/>
        <v>Tuesday</v>
      </c>
      <c r="AE1799" t="str">
        <f t="shared" si="285"/>
        <v>Wednesday</v>
      </c>
      <c r="AF1799" t="str">
        <f t="shared" si="286"/>
        <v/>
      </c>
      <c r="AG1799" t="str">
        <f t="shared" si="287"/>
        <v/>
      </c>
      <c r="AH1799" t="str">
        <f t="shared" si="288"/>
        <v>Saturday</v>
      </c>
      <c r="AI1799" t="str">
        <f t="shared" si="289"/>
        <v>Sunday</v>
      </c>
      <c r="AJ1799" t="str">
        <f>LEFT(Table1[[#This Row],[membership_type]],2)&amp;TEXT(Table1[[#This Row],[age]],"00")&amp;"-"&amp;TEXT(ROW(),"000")</f>
        <v>El17-1799</v>
      </c>
      <c r="AK1799" t="str">
        <f>LEFT(Table1[[#This Row],[membership_type]],1)&amp;TEXT(MATCH(Table1[[#This Row],[membership_type]],Table1[membership_type],0),"00")</f>
        <v>E07</v>
      </c>
      <c r="AL1799" t="str">
        <f>LEFT(Table1[[#This Row],[discount_type]],1)&amp;TEXT(ROUND(Table1[[#This Row],[discount_rate]]*100,0),"00")</f>
        <v>N00</v>
      </c>
      <c r="AM1799" t="str" cm="1">
        <f t="array" ref="AM1799">TEXT(SUMPRODUCT(CODE(MID(Table1[[#This Row],[home_gym_location]],_xlfn.SEQUENCE(LEN(Table1[[#This Row],[home_gym_location]])),1))),"00000")</f>
        <v>01018</v>
      </c>
      <c r="AN179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799" t="str">
        <f>LEFT(_xlfn.TEXTBEFORE(Table1[[#This Row],[Location Identifier]],"-"),3) &amp; "-" &amp; _xlfn.TEXTAFTER(Table1[[#This Row],[Location Identifier]],"-")</f>
        <v>SAN-008</v>
      </c>
      <c r="AP1799" s="9">
        <f t="shared" ca="1" si="280"/>
        <v>45869</v>
      </c>
    </row>
    <row r="1800" spans="1:42" x14ac:dyDescent="0.25">
      <c r="A1800">
        <v>17</v>
      </c>
      <c r="B1800" t="s">
        <v>42</v>
      </c>
      <c r="C1800">
        <v>2</v>
      </c>
      <c r="D1800" t="s">
        <v>96</v>
      </c>
      <c r="E1800" t="b">
        <v>1</v>
      </c>
      <c r="F1800" s="1">
        <v>0.70694444444444449</v>
      </c>
      <c r="G1800" s="1">
        <v>0.81944444444444442</v>
      </c>
      <c r="H1800">
        <v>162</v>
      </c>
      <c r="I1800" t="b">
        <v>1</v>
      </c>
      <c r="J1800" t="b">
        <v>0</v>
      </c>
      <c r="K1800" t="b">
        <v>1</v>
      </c>
      <c r="L1800" t="s">
        <v>47</v>
      </c>
      <c r="M1800">
        <v>20</v>
      </c>
      <c r="N1800" t="s">
        <v>29</v>
      </c>
      <c r="O1800">
        <v>20</v>
      </c>
      <c r="P1800" t="s">
        <v>36</v>
      </c>
      <c r="Q1800">
        <v>0</v>
      </c>
      <c r="R1800">
        <v>20</v>
      </c>
      <c r="S1800" t="s">
        <v>44</v>
      </c>
      <c r="T1800" t="s">
        <v>65</v>
      </c>
      <c r="U1800">
        <v>33.770099999999999</v>
      </c>
      <c r="V1800">
        <v>-118.19370000000001</v>
      </c>
      <c r="W1800" s="2">
        <v>45818</v>
      </c>
      <c r="X1800">
        <v>0</v>
      </c>
      <c r="Y1800" t="b">
        <v>0</v>
      </c>
      <c r="Z1800" s="2">
        <v>45860</v>
      </c>
      <c r="AA1800" t="str">
        <f t="shared" si="281"/>
        <v>10–19</v>
      </c>
      <c r="AB1800" t="str">
        <f t="shared" si="282"/>
        <v>16–19</v>
      </c>
      <c r="AC1800" t="str">
        <f t="shared" si="283"/>
        <v/>
      </c>
      <c r="AD1800" t="str">
        <f t="shared" si="284"/>
        <v/>
      </c>
      <c r="AE1800" t="str">
        <f t="shared" si="285"/>
        <v/>
      </c>
      <c r="AF1800" t="str">
        <f t="shared" si="286"/>
        <v>Thursday</v>
      </c>
      <c r="AG1800" t="str">
        <f t="shared" si="287"/>
        <v>Friday</v>
      </c>
      <c r="AH1800" t="str">
        <f t="shared" si="288"/>
        <v/>
      </c>
      <c r="AI1800" t="str">
        <f t="shared" si="289"/>
        <v/>
      </c>
      <c r="AJ1800" t="str">
        <f>LEFT(Table1[[#This Row],[membership_type]],2)&amp;TEXT(Table1[[#This Row],[age]],"00")&amp;"-"&amp;TEXT(ROW(),"000")</f>
        <v>Ba17-1800</v>
      </c>
      <c r="AK1800" t="str">
        <f>LEFT(Table1[[#This Row],[membership_type]],1)&amp;TEXT(MATCH(Table1[[#This Row],[membership_type]],Table1[membership_type],0),"00")</f>
        <v>B04</v>
      </c>
      <c r="AL1800" t="str">
        <f>LEFT(Table1[[#This Row],[discount_type]],1)&amp;TEXT(ROUND(Table1[[#This Row],[discount_rate]]*100,0),"00")</f>
        <v>N00</v>
      </c>
      <c r="AM1800" t="str" cm="1">
        <f t="array" ref="AM1800">TEXT(SUMPRODUCT(CODE(MID(Table1[[#This Row],[home_gym_location]],_xlfn.SEQUENCE(LEN(Table1[[#This Row],[home_gym_location]])),1))),"00000")</f>
        <v>01107</v>
      </c>
      <c r="AN180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00" t="str">
        <f>LEFT(_xlfn.TEXTBEFORE(Table1[[#This Row],[Location Identifier]],"-"),3) &amp; "-" &amp; _xlfn.TEXTAFTER(Table1[[#This Row],[Location Identifier]],"-")</f>
        <v>LON-004</v>
      </c>
      <c r="AP1800" s="9">
        <f t="shared" ca="1" si="280"/>
        <v>45869</v>
      </c>
    </row>
    <row r="1801" spans="1:42" x14ac:dyDescent="0.25">
      <c r="A1801">
        <v>44</v>
      </c>
      <c r="B1801" t="s">
        <v>26</v>
      </c>
      <c r="C1801">
        <v>3</v>
      </c>
      <c r="D1801" t="s">
        <v>129</v>
      </c>
      <c r="E1801" t="b">
        <v>0</v>
      </c>
      <c r="F1801" s="1">
        <v>0.81944444444444442</v>
      </c>
      <c r="G1801" s="1">
        <v>0.93680555555555556</v>
      </c>
      <c r="H1801">
        <v>169</v>
      </c>
      <c r="I1801" t="b">
        <v>0</v>
      </c>
      <c r="J1801" t="b">
        <v>1</v>
      </c>
      <c r="K1801" t="b">
        <v>0</v>
      </c>
      <c r="L1801" t="s">
        <v>28</v>
      </c>
      <c r="M1801">
        <v>50</v>
      </c>
      <c r="N1801" t="s">
        <v>29</v>
      </c>
      <c r="O1801">
        <v>50</v>
      </c>
      <c r="P1801" t="s">
        <v>74</v>
      </c>
      <c r="Q1801">
        <v>0.15</v>
      </c>
      <c r="R1801">
        <v>42.5</v>
      </c>
      <c r="S1801" t="s">
        <v>31</v>
      </c>
      <c r="T1801" t="s">
        <v>45</v>
      </c>
      <c r="U1801">
        <v>33.836599999999997</v>
      </c>
      <c r="V1801">
        <v>-117.9143</v>
      </c>
      <c r="W1801" s="2">
        <v>44812</v>
      </c>
      <c r="X1801">
        <v>4</v>
      </c>
      <c r="Y1801" t="b">
        <v>1</v>
      </c>
      <c r="Z1801" s="2">
        <v>45803</v>
      </c>
      <c r="AA1801" t="str">
        <f t="shared" si="281"/>
        <v>40–49</v>
      </c>
      <c r="AB1801" t="str">
        <f t="shared" si="282"/>
        <v>40–49</v>
      </c>
      <c r="AC1801" t="str">
        <f t="shared" si="283"/>
        <v/>
      </c>
      <c r="AD1801" t="str">
        <f t="shared" si="284"/>
        <v>Tuesday</v>
      </c>
      <c r="AE1801" t="str">
        <f t="shared" si="285"/>
        <v>Wednesday</v>
      </c>
      <c r="AF1801" t="str">
        <f t="shared" si="286"/>
        <v/>
      </c>
      <c r="AG1801" t="str">
        <f t="shared" si="287"/>
        <v/>
      </c>
      <c r="AH1801" t="str">
        <f t="shared" si="288"/>
        <v/>
      </c>
      <c r="AI1801" t="str">
        <f t="shared" si="289"/>
        <v>Sunday</v>
      </c>
      <c r="AJ1801" t="str">
        <f>LEFT(Table1[[#This Row],[membership_type]],2)&amp;TEXT(Table1[[#This Row],[age]],"00")&amp;"-"&amp;TEXT(ROW(),"000")</f>
        <v>Pr44-1801</v>
      </c>
      <c r="AK1801" t="str">
        <f>LEFT(Table1[[#This Row],[membership_type]],1)&amp;TEXT(MATCH(Table1[[#This Row],[membership_type]],Table1[membership_type],0),"00")</f>
        <v>P01</v>
      </c>
      <c r="AL1801" t="str">
        <f>LEFT(Table1[[#This Row],[discount_type]],1)&amp;TEXT(ROUND(Table1[[#This Row],[discount_rate]]*100,0),"00")</f>
        <v>S15</v>
      </c>
      <c r="AM1801" t="str" cm="1">
        <f t="array" ref="AM1801">TEXT(SUMPRODUCT(CODE(MID(Table1[[#This Row],[home_gym_location]],_xlfn.SEQUENCE(LEN(Table1[[#This Row],[home_gym_location]])),1))),"00000")</f>
        <v>00899</v>
      </c>
      <c r="AN180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01" t="str">
        <f>LEFT(_xlfn.TEXTBEFORE(Table1[[#This Row],[Location Identifier]],"-"),3) &amp; "-" &amp; _xlfn.TEXTAFTER(Table1[[#This Row],[Location Identifier]],"-")</f>
        <v>ANA-001</v>
      </c>
      <c r="AP1801" s="9">
        <f t="shared" ca="1" si="280"/>
        <v>45869</v>
      </c>
    </row>
    <row r="1802" spans="1:42" x14ac:dyDescent="0.25">
      <c r="A1802">
        <v>27</v>
      </c>
      <c r="B1802" t="s">
        <v>33</v>
      </c>
      <c r="C1802">
        <v>2</v>
      </c>
      <c r="D1802" t="s">
        <v>92</v>
      </c>
      <c r="E1802" t="b">
        <v>0</v>
      </c>
      <c r="F1802" s="1">
        <v>0.72361111111111109</v>
      </c>
      <c r="G1802" s="1">
        <v>0.78472222222222221</v>
      </c>
      <c r="H1802">
        <v>88</v>
      </c>
      <c r="I1802" t="b">
        <v>1</v>
      </c>
      <c r="J1802" t="b">
        <v>1</v>
      </c>
      <c r="K1802" t="b">
        <v>0</v>
      </c>
      <c r="L1802" t="s">
        <v>35</v>
      </c>
      <c r="M1802">
        <v>30</v>
      </c>
      <c r="N1802" t="s">
        <v>64</v>
      </c>
      <c r="O1802">
        <v>22.5</v>
      </c>
      <c r="P1802" t="s">
        <v>36</v>
      </c>
      <c r="Q1802">
        <v>0</v>
      </c>
      <c r="R1802">
        <v>22.5</v>
      </c>
      <c r="S1802" t="s">
        <v>37</v>
      </c>
      <c r="T1802" t="s">
        <v>38</v>
      </c>
      <c r="U1802">
        <v>36.7378</v>
      </c>
      <c r="V1802">
        <v>-119.7871</v>
      </c>
      <c r="W1802" s="2">
        <v>45045</v>
      </c>
      <c r="X1802">
        <v>6</v>
      </c>
      <c r="Y1802" t="b">
        <v>0</v>
      </c>
      <c r="Z1802" s="2">
        <v>45816</v>
      </c>
      <c r="AA1802" t="str">
        <f t="shared" si="281"/>
        <v>20–29</v>
      </c>
      <c r="AB1802" t="str">
        <f t="shared" si="282"/>
        <v>20–29</v>
      </c>
      <c r="AC1802" t="str">
        <f t="shared" si="283"/>
        <v/>
      </c>
      <c r="AD1802" t="str">
        <f t="shared" si="284"/>
        <v/>
      </c>
      <c r="AE1802" t="str">
        <f t="shared" si="285"/>
        <v/>
      </c>
      <c r="AF1802" t="str">
        <f t="shared" si="286"/>
        <v/>
      </c>
      <c r="AG1802" t="str">
        <f t="shared" si="287"/>
        <v>Friday</v>
      </c>
      <c r="AH1802" t="str">
        <f t="shared" si="288"/>
        <v/>
      </c>
      <c r="AI1802" t="str">
        <f t="shared" si="289"/>
        <v>Sunday</v>
      </c>
      <c r="AJ1802" t="str">
        <f>LEFT(Table1[[#This Row],[membership_type]],2)&amp;TEXT(Table1[[#This Row],[age]],"00")&amp;"-"&amp;TEXT(ROW(),"000")</f>
        <v>St27-1802</v>
      </c>
      <c r="AK1802" t="str">
        <f>LEFT(Table1[[#This Row],[membership_type]],1)&amp;TEXT(MATCH(Table1[[#This Row],[membership_type]],Table1[membership_type],0),"00")</f>
        <v>S02</v>
      </c>
      <c r="AL1802" t="str">
        <f>LEFT(Table1[[#This Row],[discount_type]],1)&amp;TEXT(ROUND(Table1[[#This Row],[discount_rate]]*100,0),"00")</f>
        <v>N00</v>
      </c>
      <c r="AM1802" t="str" cm="1">
        <f t="array" ref="AM1802">TEXT(SUMPRODUCT(CODE(MID(Table1[[#This Row],[home_gym_location]],_xlfn.SEQUENCE(LEN(Table1[[#This Row],[home_gym_location]])),1))),"00000")</f>
        <v>00829</v>
      </c>
      <c r="AN1802" t="str">
        <f>UPPER(_xlfn.TEXTBEFORE(Table1[[#This Row],[home_gym_location]],","))&amp;"-"&amp;TEXT(MATCH(Table1[[#This Row],[home_gym_location]],_xlfn._xlws.SORT(_xlfn.UNIQUE(Table1[home_gym_location])),0),"000")</f>
        <v>FRESNO-003</v>
      </c>
      <c r="AO1802" t="str">
        <f>LEFT(_xlfn.TEXTBEFORE(Table1[[#This Row],[Location Identifier]],"-"),3) &amp; "-" &amp; _xlfn.TEXTAFTER(Table1[[#This Row],[Location Identifier]],"-")</f>
        <v>FRE-003</v>
      </c>
      <c r="AP1802" s="9">
        <f t="shared" ca="1" si="280"/>
        <v>45869</v>
      </c>
    </row>
    <row r="1803" spans="1:42" x14ac:dyDescent="0.25">
      <c r="A1803">
        <v>49</v>
      </c>
      <c r="B1803" t="s">
        <v>33</v>
      </c>
      <c r="C1803">
        <v>1</v>
      </c>
      <c r="D1803" t="s">
        <v>95</v>
      </c>
      <c r="E1803" t="b">
        <v>0</v>
      </c>
      <c r="F1803" s="1">
        <v>0.47291666666666665</v>
      </c>
      <c r="G1803" s="1">
        <v>0.53194444444444444</v>
      </c>
      <c r="H1803">
        <v>85</v>
      </c>
      <c r="I1803" t="b">
        <v>0</v>
      </c>
      <c r="J1803" t="b">
        <v>0</v>
      </c>
      <c r="K1803" t="b">
        <v>1</v>
      </c>
      <c r="L1803" t="s">
        <v>28</v>
      </c>
      <c r="M1803">
        <v>30</v>
      </c>
      <c r="N1803" t="s">
        <v>64</v>
      </c>
      <c r="O1803">
        <v>22.5</v>
      </c>
      <c r="P1803" t="s">
        <v>36</v>
      </c>
      <c r="Q1803">
        <v>0</v>
      </c>
      <c r="R1803">
        <v>22.5</v>
      </c>
      <c r="S1803" t="s">
        <v>37</v>
      </c>
      <c r="T1803" t="s">
        <v>65</v>
      </c>
      <c r="U1803">
        <v>33.770099999999999</v>
      </c>
      <c r="V1803">
        <v>-118.19370000000001</v>
      </c>
      <c r="W1803" s="2">
        <v>45454</v>
      </c>
      <c r="X1803">
        <v>0</v>
      </c>
      <c r="Y1803" t="b">
        <v>0</v>
      </c>
      <c r="Z1803" s="2">
        <v>45839</v>
      </c>
      <c r="AA1803" t="str">
        <f t="shared" si="281"/>
        <v>40–49</v>
      </c>
      <c r="AB1803" t="str">
        <f t="shared" si="282"/>
        <v>40–49</v>
      </c>
      <c r="AC1803" t="str">
        <f t="shared" si="283"/>
        <v/>
      </c>
      <c r="AD1803" t="str">
        <f t="shared" si="284"/>
        <v/>
      </c>
      <c r="AE1803" t="str">
        <f t="shared" si="285"/>
        <v/>
      </c>
      <c r="AF1803" t="str">
        <f t="shared" si="286"/>
        <v/>
      </c>
      <c r="AG1803" t="str">
        <f t="shared" si="287"/>
        <v/>
      </c>
      <c r="AH1803" t="str">
        <f t="shared" si="288"/>
        <v>Saturday</v>
      </c>
      <c r="AI1803" t="str">
        <f t="shared" si="289"/>
        <v/>
      </c>
      <c r="AJ1803" t="str">
        <f>LEFT(Table1[[#This Row],[membership_type]],2)&amp;TEXT(Table1[[#This Row],[age]],"00")&amp;"-"&amp;TEXT(ROW(),"000")</f>
        <v>St49-1803</v>
      </c>
      <c r="AK1803" t="str">
        <f>LEFT(Table1[[#This Row],[membership_type]],1)&amp;TEXT(MATCH(Table1[[#This Row],[membership_type]],Table1[membership_type],0),"00")</f>
        <v>S02</v>
      </c>
      <c r="AL1803" t="str">
        <f>LEFT(Table1[[#This Row],[discount_type]],1)&amp;TEXT(ROUND(Table1[[#This Row],[discount_rate]]*100,0),"00")</f>
        <v>N00</v>
      </c>
      <c r="AM1803" t="str" cm="1">
        <f t="array" ref="AM1803">TEXT(SUMPRODUCT(CODE(MID(Table1[[#This Row],[home_gym_location]],_xlfn.SEQUENCE(LEN(Table1[[#This Row],[home_gym_location]])),1))),"00000")</f>
        <v>01107</v>
      </c>
      <c r="AN180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03" t="str">
        <f>LEFT(_xlfn.TEXTBEFORE(Table1[[#This Row],[Location Identifier]],"-"),3) &amp; "-" &amp; _xlfn.TEXTAFTER(Table1[[#This Row],[Location Identifier]],"-")</f>
        <v>LON-004</v>
      </c>
      <c r="AP1803" s="9">
        <f t="shared" ca="1" si="280"/>
        <v>45869</v>
      </c>
    </row>
    <row r="1804" spans="1:42" x14ac:dyDescent="0.25">
      <c r="A1804">
        <v>38</v>
      </c>
      <c r="B1804" t="s">
        <v>51</v>
      </c>
      <c r="C1804">
        <v>3</v>
      </c>
      <c r="D1804" t="s">
        <v>133</v>
      </c>
      <c r="E1804" t="b">
        <v>1</v>
      </c>
      <c r="F1804" s="1">
        <v>0.53194444444444444</v>
      </c>
      <c r="G1804" s="1">
        <v>0.5756944444444444</v>
      </c>
      <c r="H1804">
        <v>63</v>
      </c>
      <c r="I1804" t="b">
        <v>1</v>
      </c>
      <c r="J1804" t="b">
        <v>1</v>
      </c>
      <c r="K1804" t="b">
        <v>1</v>
      </c>
      <c r="L1804" t="s">
        <v>62</v>
      </c>
      <c r="M1804">
        <v>70</v>
      </c>
      <c r="N1804" t="s">
        <v>78</v>
      </c>
      <c r="O1804">
        <v>63</v>
      </c>
      <c r="P1804" t="s">
        <v>36</v>
      </c>
      <c r="Q1804">
        <v>0</v>
      </c>
      <c r="R1804">
        <v>63</v>
      </c>
      <c r="S1804" t="s">
        <v>53</v>
      </c>
      <c r="T1804" t="s">
        <v>48</v>
      </c>
      <c r="U1804">
        <v>38.581600000000002</v>
      </c>
      <c r="V1804">
        <v>-121.4944</v>
      </c>
      <c r="W1804" s="2">
        <v>45515</v>
      </c>
      <c r="X1804">
        <v>3</v>
      </c>
      <c r="Y1804" t="b">
        <v>1</v>
      </c>
      <c r="Z1804" s="2">
        <v>45843</v>
      </c>
      <c r="AA1804" t="str">
        <f t="shared" si="281"/>
        <v>30–39</v>
      </c>
      <c r="AB1804" t="str">
        <f t="shared" si="282"/>
        <v>30–39</v>
      </c>
      <c r="AC1804" t="str">
        <f t="shared" si="283"/>
        <v/>
      </c>
      <c r="AD1804" t="str">
        <f t="shared" si="284"/>
        <v>Tuesday</v>
      </c>
      <c r="AE1804" t="str">
        <f t="shared" si="285"/>
        <v>Wednesday</v>
      </c>
      <c r="AF1804" t="str">
        <f t="shared" si="286"/>
        <v/>
      </c>
      <c r="AG1804" t="str">
        <f t="shared" si="287"/>
        <v>Friday</v>
      </c>
      <c r="AH1804" t="str">
        <f t="shared" si="288"/>
        <v/>
      </c>
      <c r="AI1804" t="str">
        <f t="shared" si="289"/>
        <v/>
      </c>
      <c r="AJ1804" t="str">
        <f>LEFT(Table1[[#This Row],[membership_type]],2)&amp;TEXT(Table1[[#This Row],[age]],"00")&amp;"-"&amp;TEXT(ROW(),"000")</f>
        <v>El38-1804</v>
      </c>
      <c r="AK1804" t="str">
        <f>LEFT(Table1[[#This Row],[membership_type]],1)&amp;TEXT(MATCH(Table1[[#This Row],[membership_type]],Table1[membership_type],0),"00")</f>
        <v>E07</v>
      </c>
      <c r="AL1804" t="str">
        <f>LEFT(Table1[[#This Row],[discount_type]],1)&amp;TEXT(ROUND(Table1[[#This Row],[discount_rate]]*100,0),"00")</f>
        <v>N00</v>
      </c>
      <c r="AM1804" t="str" cm="1">
        <f t="array" ref="AM1804">TEXT(SUMPRODUCT(CODE(MID(Table1[[#This Row],[home_gym_location]],_xlfn.SEQUENCE(LEN(Table1[[#This Row],[home_gym_location]])),1))),"00000")</f>
        <v>01245</v>
      </c>
      <c r="AN180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04" t="str">
        <f>LEFT(_xlfn.TEXTBEFORE(Table1[[#This Row],[Location Identifier]],"-"),3) &amp; "-" &amp; _xlfn.TEXTAFTER(Table1[[#This Row],[Location Identifier]],"-")</f>
        <v>SAC-007</v>
      </c>
      <c r="AP1804" s="9">
        <f t="shared" ca="1" si="280"/>
        <v>45869</v>
      </c>
    </row>
    <row r="1805" spans="1:42" x14ac:dyDescent="0.25">
      <c r="A1805">
        <v>26</v>
      </c>
      <c r="B1805" t="s">
        <v>33</v>
      </c>
      <c r="C1805">
        <v>4</v>
      </c>
      <c r="D1805" t="s">
        <v>132</v>
      </c>
      <c r="E1805" t="b">
        <v>1</v>
      </c>
      <c r="F1805" s="1">
        <v>0.54374999999999996</v>
      </c>
      <c r="G1805" s="1">
        <v>0.65208333333333335</v>
      </c>
      <c r="H1805">
        <v>156</v>
      </c>
      <c r="I1805" t="b">
        <v>0</v>
      </c>
      <c r="J1805" t="b">
        <v>1</v>
      </c>
      <c r="K1805" t="b">
        <v>1</v>
      </c>
      <c r="L1805" t="s">
        <v>47</v>
      </c>
      <c r="M1805">
        <v>30</v>
      </c>
      <c r="N1805" t="s">
        <v>64</v>
      </c>
      <c r="O1805">
        <v>22.5</v>
      </c>
      <c r="P1805" t="s">
        <v>30</v>
      </c>
      <c r="Q1805">
        <v>0.05</v>
      </c>
      <c r="R1805">
        <v>21.375</v>
      </c>
      <c r="S1805" t="s">
        <v>37</v>
      </c>
      <c r="T1805" t="s">
        <v>48</v>
      </c>
      <c r="U1805">
        <v>38.581600000000002</v>
      </c>
      <c r="V1805">
        <v>-121.4944</v>
      </c>
      <c r="W1805" s="2">
        <v>45458</v>
      </c>
      <c r="X1805">
        <v>7</v>
      </c>
      <c r="Y1805" t="b">
        <v>0</v>
      </c>
      <c r="Z1805" s="2">
        <v>45840</v>
      </c>
      <c r="AA1805" t="str">
        <f t="shared" si="281"/>
        <v>20–29</v>
      </c>
      <c r="AB1805" t="str">
        <f t="shared" si="282"/>
        <v>20–29</v>
      </c>
      <c r="AC1805" t="str">
        <f t="shared" si="283"/>
        <v>Monday</v>
      </c>
      <c r="AD1805" t="str">
        <f t="shared" si="284"/>
        <v/>
      </c>
      <c r="AE1805" t="str">
        <f t="shared" si="285"/>
        <v>Wednesday</v>
      </c>
      <c r="AF1805" t="str">
        <f t="shared" si="286"/>
        <v>Thursday</v>
      </c>
      <c r="AG1805" t="str">
        <f t="shared" si="287"/>
        <v/>
      </c>
      <c r="AH1805" t="str">
        <f t="shared" si="288"/>
        <v>Saturday</v>
      </c>
      <c r="AI1805" t="str">
        <f t="shared" si="289"/>
        <v/>
      </c>
      <c r="AJ1805" t="str">
        <f>LEFT(Table1[[#This Row],[membership_type]],2)&amp;TEXT(Table1[[#This Row],[age]],"00")&amp;"-"&amp;TEXT(ROW(),"000")</f>
        <v>St26-1805</v>
      </c>
      <c r="AK1805" t="str">
        <f>LEFT(Table1[[#This Row],[membership_type]],1)&amp;TEXT(MATCH(Table1[[#This Row],[membership_type]],Table1[membership_type],0),"00")</f>
        <v>S02</v>
      </c>
      <c r="AL1805" t="str">
        <f>LEFT(Table1[[#This Row],[discount_type]],1)&amp;TEXT(ROUND(Table1[[#This Row],[discount_rate]]*100,0),"00")</f>
        <v>P05</v>
      </c>
      <c r="AM1805" t="str" cm="1">
        <f t="array" ref="AM1805">TEXT(SUMPRODUCT(CODE(MID(Table1[[#This Row],[home_gym_location]],_xlfn.SEQUENCE(LEN(Table1[[#This Row],[home_gym_location]])),1))),"00000")</f>
        <v>01245</v>
      </c>
      <c r="AN180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05" t="str">
        <f>LEFT(_xlfn.TEXTBEFORE(Table1[[#This Row],[Location Identifier]],"-"),3) &amp; "-" &amp; _xlfn.TEXTAFTER(Table1[[#This Row],[Location Identifier]],"-")</f>
        <v>SAC-007</v>
      </c>
      <c r="AP1805" s="9">
        <f t="shared" ca="1" si="280"/>
        <v>45869</v>
      </c>
    </row>
    <row r="1806" spans="1:42" x14ac:dyDescent="0.25">
      <c r="A1806">
        <v>19</v>
      </c>
      <c r="B1806" t="s">
        <v>42</v>
      </c>
      <c r="C1806">
        <v>4</v>
      </c>
      <c r="D1806" t="s">
        <v>163</v>
      </c>
      <c r="E1806" t="b">
        <v>1</v>
      </c>
      <c r="F1806" s="1">
        <v>0.65902777777777777</v>
      </c>
      <c r="G1806" s="1">
        <v>0.71527777777777779</v>
      </c>
      <c r="H1806">
        <v>81</v>
      </c>
      <c r="I1806" t="b">
        <v>1</v>
      </c>
      <c r="J1806" t="b">
        <v>0</v>
      </c>
      <c r="K1806" t="b">
        <v>0</v>
      </c>
      <c r="L1806" t="s">
        <v>28</v>
      </c>
      <c r="M1806">
        <v>20</v>
      </c>
      <c r="N1806" t="s">
        <v>29</v>
      </c>
      <c r="O1806">
        <v>20</v>
      </c>
      <c r="P1806" t="s">
        <v>40</v>
      </c>
      <c r="Q1806">
        <v>0.1</v>
      </c>
      <c r="R1806">
        <v>18</v>
      </c>
      <c r="S1806" t="s">
        <v>44</v>
      </c>
      <c r="T1806" t="s">
        <v>32</v>
      </c>
      <c r="U1806">
        <v>37.338200000000001</v>
      </c>
      <c r="V1806">
        <v>-121.88630000000001</v>
      </c>
      <c r="W1806" s="2">
        <v>45005</v>
      </c>
      <c r="X1806">
        <v>0</v>
      </c>
      <c r="Y1806" t="b">
        <v>0</v>
      </c>
      <c r="Z1806" s="2">
        <v>45814</v>
      </c>
      <c r="AA1806" t="str">
        <f t="shared" si="281"/>
        <v>10–19</v>
      </c>
      <c r="AB1806" t="str">
        <f t="shared" si="282"/>
        <v>16–19</v>
      </c>
      <c r="AC1806" t="str">
        <f t="shared" si="283"/>
        <v/>
      </c>
      <c r="AD1806" t="str">
        <f t="shared" si="284"/>
        <v>Tuesday</v>
      </c>
      <c r="AE1806" t="str">
        <f t="shared" si="285"/>
        <v>Wednesday</v>
      </c>
      <c r="AF1806" t="str">
        <f t="shared" si="286"/>
        <v/>
      </c>
      <c r="AG1806" t="str">
        <f t="shared" si="287"/>
        <v/>
      </c>
      <c r="AH1806" t="str">
        <f t="shared" si="288"/>
        <v>Saturday</v>
      </c>
      <c r="AI1806" t="str">
        <f t="shared" si="289"/>
        <v>Sunday</v>
      </c>
      <c r="AJ1806" t="str">
        <f>LEFT(Table1[[#This Row],[membership_type]],2)&amp;TEXT(Table1[[#This Row],[age]],"00")&amp;"-"&amp;TEXT(ROW(),"000")</f>
        <v>Ba19-1806</v>
      </c>
      <c r="AK1806" t="str">
        <f>LEFT(Table1[[#This Row],[membership_type]],1)&amp;TEXT(MATCH(Table1[[#This Row],[membership_type]],Table1[membership_type],0),"00")</f>
        <v>B04</v>
      </c>
      <c r="AL1806" t="str">
        <f>LEFT(Table1[[#This Row],[discount_type]],1)&amp;TEXT(ROUND(Table1[[#This Row],[discount_rate]]*100,0),"00")</f>
        <v>L10</v>
      </c>
      <c r="AM1806" t="str" cm="1">
        <f t="array" ref="AM1806">TEXT(SUMPRODUCT(CODE(MID(Table1[[#This Row],[home_gym_location]],_xlfn.SEQUENCE(LEN(Table1[[#This Row],[home_gym_location]])),1))),"00000")</f>
        <v>00931</v>
      </c>
      <c r="AN180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06" t="str">
        <f>LEFT(_xlfn.TEXTBEFORE(Table1[[#This Row],[Location Identifier]],"-"),3) &amp; "-" &amp; _xlfn.TEXTAFTER(Table1[[#This Row],[Location Identifier]],"-")</f>
        <v>SAN-010</v>
      </c>
      <c r="AP1806" s="9">
        <f t="shared" ca="1" si="280"/>
        <v>45869</v>
      </c>
    </row>
    <row r="1807" spans="1:42" x14ac:dyDescent="0.25">
      <c r="A1807">
        <v>45</v>
      </c>
      <c r="B1807" t="s">
        <v>26</v>
      </c>
      <c r="C1807">
        <v>3</v>
      </c>
      <c r="D1807" t="s">
        <v>86</v>
      </c>
      <c r="E1807" t="b">
        <v>1</v>
      </c>
      <c r="F1807" s="1">
        <v>0.83263888888888893</v>
      </c>
      <c r="G1807" s="1">
        <v>0.87291666666666667</v>
      </c>
      <c r="H1807">
        <v>58</v>
      </c>
      <c r="I1807" t="b">
        <v>1</v>
      </c>
      <c r="J1807" t="b">
        <v>0</v>
      </c>
      <c r="K1807" t="b">
        <v>1</v>
      </c>
      <c r="L1807" t="s">
        <v>47</v>
      </c>
      <c r="M1807">
        <v>50</v>
      </c>
      <c r="N1807" t="s">
        <v>78</v>
      </c>
      <c r="O1807">
        <v>45</v>
      </c>
      <c r="P1807" t="s">
        <v>40</v>
      </c>
      <c r="Q1807">
        <v>0.1</v>
      </c>
      <c r="R1807">
        <v>40.5</v>
      </c>
      <c r="S1807" t="s">
        <v>31</v>
      </c>
      <c r="T1807" t="s">
        <v>54</v>
      </c>
      <c r="U1807">
        <v>32.715699999999998</v>
      </c>
      <c r="V1807">
        <v>-117.1611</v>
      </c>
      <c r="W1807" s="2">
        <v>45126</v>
      </c>
      <c r="X1807">
        <v>0</v>
      </c>
      <c r="Y1807" t="b">
        <v>1</v>
      </c>
      <c r="Z1807" s="2">
        <v>45821</v>
      </c>
      <c r="AA1807" t="str">
        <f t="shared" si="281"/>
        <v>40–49</v>
      </c>
      <c r="AB1807" t="str">
        <f t="shared" si="282"/>
        <v>40–49</v>
      </c>
      <c r="AC1807" t="str">
        <f t="shared" si="283"/>
        <v/>
      </c>
      <c r="AD1807" t="str">
        <f t="shared" si="284"/>
        <v>Tuesday</v>
      </c>
      <c r="AE1807" t="str">
        <f t="shared" si="285"/>
        <v/>
      </c>
      <c r="AF1807" t="str">
        <f t="shared" si="286"/>
        <v/>
      </c>
      <c r="AG1807" t="str">
        <f t="shared" si="287"/>
        <v>Friday</v>
      </c>
      <c r="AH1807" t="str">
        <f t="shared" si="288"/>
        <v>Saturday</v>
      </c>
      <c r="AI1807" t="str">
        <f t="shared" si="289"/>
        <v/>
      </c>
      <c r="AJ1807" t="str">
        <f>LEFT(Table1[[#This Row],[membership_type]],2)&amp;TEXT(Table1[[#This Row],[age]],"00")&amp;"-"&amp;TEXT(ROW(),"000")</f>
        <v>Pr45-1807</v>
      </c>
      <c r="AK1807" t="str">
        <f>LEFT(Table1[[#This Row],[membership_type]],1)&amp;TEXT(MATCH(Table1[[#This Row],[membership_type]],Table1[membership_type],0),"00")</f>
        <v>P01</v>
      </c>
      <c r="AL1807" t="str">
        <f>LEFT(Table1[[#This Row],[discount_type]],1)&amp;TEXT(ROUND(Table1[[#This Row],[discount_rate]]*100,0),"00")</f>
        <v>L10</v>
      </c>
      <c r="AM1807" t="str" cm="1">
        <f t="array" ref="AM1807">TEXT(SUMPRODUCT(CODE(MID(Table1[[#This Row],[home_gym_location]],_xlfn.SEQUENCE(LEN(Table1[[#This Row],[home_gym_location]])),1))),"00000")</f>
        <v>01018</v>
      </c>
      <c r="AN180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07" t="str">
        <f>LEFT(_xlfn.TEXTBEFORE(Table1[[#This Row],[Location Identifier]],"-"),3) &amp; "-" &amp; _xlfn.TEXTAFTER(Table1[[#This Row],[Location Identifier]],"-")</f>
        <v>SAN-008</v>
      </c>
      <c r="AP1807" s="9">
        <f t="shared" ca="1" si="280"/>
        <v>45869</v>
      </c>
    </row>
    <row r="1808" spans="1:42" x14ac:dyDescent="0.25">
      <c r="A1808">
        <v>22</v>
      </c>
      <c r="B1808" t="s">
        <v>42</v>
      </c>
      <c r="C1808">
        <v>5</v>
      </c>
      <c r="D1808" t="s">
        <v>87</v>
      </c>
      <c r="E1808" t="b">
        <v>1</v>
      </c>
      <c r="F1808" s="1">
        <v>0.43819444444444444</v>
      </c>
      <c r="G1808" s="1">
        <v>0.49166666666666664</v>
      </c>
      <c r="H1808">
        <v>77</v>
      </c>
      <c r="I1808" t="b">
        <v>1</v>
      </c>
      <c r="J1808" t="b">
        <v>1</v>
      </c>
      <c r="K1808" t="b">
        <v>0</v>
      </c>
      <c r="L1808" t="s">
        <v>28</v>
      </c>
      <c r="M1808">
        <v>20</v>
      </c>
      <c r="N1808" t="s">
        <v>64</v>
      </c>
      <c r="O1808">
        <v>15</v>
      </c>
      <c r="P1808" t="s">
        <v>30</v>
      </c>
      <c r="Q1808">
        <v>0.05</v>
      </c>
      <c r="R1808">
        <v>14.25</v>
      </c>
      <c r="S1808" t="s">
        <v>44</v>
      </c>
      <c r="T1808" t="s">
        <v>45</v>
      </c>
      <c r="U1808">
        <v>33.836599999999997</v>
      </c>
      <c r="V1808">
        <v>-117.9143</v>
      </c>
      <c r="W1808" s="2">
        <v>45633</v>
      </c>
      <c r="X1808">
        <v>8</v>
      </c>
      <c r="Y1808" t="b">
        <v>0</v>
      </c>
      <c r="Z1808" s="2">
        <v>45849</v>
      </c>
      <c r="AA1808" t="str">
        <f t="shared" si="281"/>
        <v>20–29</v>
      </c>
      <c r="AB1808" t="str">
        <f t="shared" si="282"/>
        <v>20–29</v>
      </c>
      <c r="AC1808" t="str">
        <f t="shared" si="283"/>
        <v/>
      </c>
      <c r="AD1808" t="str">
        <f t="shared" si="284"/>
        <v>Tuesday</v>
      </c>
      <c r="AE1808" t="str">
        <f t="shared" si="285"/>
        <v>Wednesday</v>
      </c>
      <c r="AF1808" t="str">
        <f t="shared" si="286"/>
        <v/>
      </c>
      <c r="AG1808" t="str">
        <f t="shared" si="287"/>
        <v>Friday</v>
      </c>
      <c r="AH1808" t="str">
        <f t="shared" si="288"/>
        <v>Saturday</v>
      </c>
      <c r="AI1808" t="str">
        <f t="shared" si="289"/>
        <v>Sunday</v>
      </c>
      <c r="AJ1808" t="str">
        <f>LEFT(Table1[[#This Row],[membership_type]],2)&amp;TEXT(Table1[[#This Row],[age]],"00")&amp;"-"&amp;TEXT(ROW(),"000")</f>
        <v>Ba22-1808</v>
      </c>
      <c r="AK1808" t="str">
        <f>LEFT(Table1[[#This Row],[membership_type]],1)&amp;TEXT(MATCH(Table1[[#This Row],[membership_type]],Table1[membership_type],0),"00")</f>
        <v>B04</v>
      </c>
      <c r="AL1808" t="str">
        <f>LEFT(Table1[[#This Row],[discount_type]],1)&amp;TEXT(ROUND(Table1[[#This Row],[discount_rate]]*100,0),"00")</f>
        <v>P05</v>
      </c>
      <c r="AM1808" t="str" cm="1">
        <f t="array" ref="AM1808">TEXT(SUMPRODUCT(CODE(MID(Table1[[#This Row],[home_gym_location]],_xlfn.SEQUENCE(LEN(Table1[[#This Row],[home_gym_location]])),1))),"00000")</f>
        <v>00899</v>
      </c>
      <c r="AN180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08" t="str">
        <f>LEFT(_xlfn.TEXTBEFORE(Table1[[#This Row],[Location Identifier]],"-"),3) &amp; "-" &amp; _xlfn.TEXTAFTER(Table1[[#This Row],[Location Identifier]],"-")</f>
        <v>ANA-001</v>
      </c>
      <c r="AP1808" s="9">
        <f t="shared" ca="1" si="280"/>
        <v>45869</v>
      </c>
    </row>
    <row r="1809" spans="1:42" x14ac:dyDescent="0.25">
      <c r="A1809">
        <v>26</v>
      </c>
      <c r="B1809" t="s">
        <v>42</v>
      </c>
      <c r="C1809">
        <v>2</v>
      </c>
      <c r="D1809" t="s">
        <v>84</v>
      </c>
      <c r="E1809" t="b">
        <v>1</v>
      </c>
      <c r="F1809" s="1">
        <v>0.66111111111111109</v>
      </c>
      <c r="G1809" s="1">
        <v>0.75347222222222221</v>
      </c>
      <c r="H1809">
        <v>133</v>
      </c>
      <c r="I1809" t="b">
        <v>0</v>
      </c>
      <c r="J1809" t="b">
        <v>0</v>
      </c>
      <c r="K1809" t="b">
        <v>0</v>
      </c>
      <c r="L1809" t="s">
        <v>62</v>
      </c>
      <c r="M1809">
        <v>20</v>
      </c>
      <c r="N1809" t="s">
        <v>29</v>
      </c>
      <c r="O1809">
        <v>20</v>
      </c>
      <c r="P1809" t="s">
        <v>36</v>
      </c>
      <c r="Q1809">
        <v>0</v>
      </c>
      <c r="R1809">
        <v>20</v>
      </c>
      <c r="S1809" t="s">
        <v>44</v>
      </c>
      <c r="T1809" t="s">
        <v>56</v>
      </c>
      <c r="U1809">
        <v>35.3733</v>
      </c>
      <c r="V1809">
        <v>-119.0187</v>
      </c>
      <c r="W1809" s="2">
        <v>45645</v>
      </c>
      <c r="X1809">
        <v>0</v>
      </c>
      <c r="Y1809" t="b">
        <v>0</v>
      </c>
      <c r="Z1809" s="2">
        <v>45850</v>
      </c>
      <c r="AA1809" t="str">
        <f t="shared" si="281"/>
        <v>20–29</v>
      </c>
      <c r="AB1809" t="str">
        <f t="shared" si="282"/>
        <v>20–29</v>
      </c>
      <c r="AC1809" t="str">
        <f t="shared" si="283"/>
        <v/>
      </c>
      <c r="AD1809" t="str">
        <f t="shared" si="284"/>
        <v>Tuesday</v>
      </c>
      <c r="AE1809" t="str">
        <f t="shared" si="285"/>
        <v/>
      </c>
      <c r="AF1809" t="str">
        <f t="shared" si="286"/>
        <v/>
      </c>
      <c r="AG1809" t="str">
        <f t="shared" si="287"/>
        <v/>
      </c>
      <c r="AH1809" t="str">
        <f t="shared" si="288"/>
        <v/>
      </c>
      <c r="AI1809" t="str">
        <f t="shared" si="289"/>
        <v>Sunday</v>
      </c>
      <c r="AJ1809" t="str">
        <f>LEFT(Table1[[#This Row],[membership_type]],2)&amp;TEXT(Table1[[#This Row],[age]],"00")&amp;"-"&amp;TEXT(ROW(),"000")</f>
        <v>Ba26-1809</v>
      </c>
      <c r="AK1809" t="str">
        <f>LEFT(Table1[[#This Row],[membership_type]],1)&amp;TEXT(MATCH(Table1[[#This Row],[membership_type]],Table1[membership_type],0),"00")</f>
        <v>B04</v>
      </c>
      <c r="AL1809" t="str">
        <f>LEFT(Table1[[#This Row],[discount_type]],1)&amp;TEXT(ROUND(Table1[[#This Row],[discount_rate]]*100,0),"00")</f>
        <v>N00</v>
      </c>
      <c r="AM1809" t="str" cm="1">
        <f t="array" ref="AM1809">TEXT(SUMPRODUCT(CODE(MID(Table1[[#This Row],[home_gym_location]],_xlfn.SEQUENCE(LEN(Table1[[#This Row],[home_gym_location]])),1))),"00000")</f>
        <v>01324</v>
      </c>
      <c r="AN180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809" t="str">
        <f>LEFT(_xlfn.TEXTBEFORE(Table1[[#This Row],[Location Identifier]],"-"),3) &amp; "-" &amp; _xlfn.TEXTAFTER(Table1[[#This Row],[Location Identifier]],"-")</f>
        <v>BAK-002</v>
      </c>
      <c r="AP1809" s="9">
        <f t="shared" ca="1" si="280"/>
        <v>45869</v>
      </c>
    </row>
    <row r="1810" spans="1:42" x14ac:dyDescent="0.25">
      <c r="A1810">
        <v>16</v>
      </c>
      <c r="B1810" t="s">
        <v>51</v>
      </c>
      <c r="C1810">
        <v>3</v>
      </c>
      <c r="D1810" t="s">
        <v>60</v>
      </c>
      <c r="E1810" t="b">
        <v>1</v>
      </c>
      <c r="F1810" s="1">
        <v>0.58750000000000002</v>
      </c>
      <c r="G1810" s="1">
        <v>0.67708333333333337</v>
      </c>
      <c r="H1810">
        <v>129</v>
      </c>
      <c r="I1810" t="b">
        <v>1</v>
      </c>
      <c r="J1810" t="b">
        <v>0</v>
      </c>
      <c r="K1810" t="b">
        <v>0</v>
      </c>
      <c r="L1810" t="s">
        <v>47</v>
      </c>
      <c r="M1810">
        <v>70</v>
      </c>
      <c r="N1810" t="s">
        <v>78</v>
      </c>
      <c r="O1810">
        <v>63</v>
      </c>
      <c r="P1810" t="s">
        <v>74</v>
      </c>
      <c r="Q1810">
        <v>0.15</v>
      </c>
      <c r="R1810">
        <v>53.55</v>
      </c>
      <c r="S1810" t="s">
        <v>53</v>
      </c>
      <c r="T1810" t="s">
        <v>45</v>
      </c>
      <c r="U1810">
        <v>33.836599999999997</v>
      </c>
      <c r="V1810">
        <v>-117.9143</v>
      </c>
      <c r="W1810" s="2">
        <v>45726</v>
      </c>
      <c r="X1810">
        <v>0</v>
      </c>
      <c r="Y1810" t="b">
        <v>1</v>
      </c>
      <c r="Z1810" s="2">
        <v>45855</v>
      </c>
      <c r="AA1810" t="str">
        <f t="shared" si="281"/>
        <v>10–19</v>
      </c>
      <c r="AB1810" t="str">
        <f t="shared" si="282"/>
        <v>16–19</v>
      </c>
      <c r="AC1810" t="str">
        <f t="shared" si="283"/>
        <v/>
      </c>
      <c r="AD1810" t="str">
        <f t="shared" si="284"/>
        <v/>
      </c>
      <c r="AE1810" t="str">
        <f t="shared" si="285"/>
        <v>Wednesday</v>
      </c>
      <c r="AF1810" t="str">
        <f t="shared" si="286"/>
        <v/>
      </c>
      <c r="AG1810" t="str">
        <f t="shared" si="287"/>
        <v/>
      </c>
      <c r="AH1810" t="str">
        <f t="shared" si="288"/>
        <v>Saturday</v>
      </c>
      <c r="AI1810" t="str">
        <f t="shared" si="289"/>
        <v>Sunday</v>
      </c>
      <c r="AJ1810" t="str">
        <f>LEFT(Table1[[#This Row],[membership_type]],2)&amp;TEXT(Table1[[#This Row],[age]],"00")&amp;"-"&amp;TEXT(ROW(),"000")</f>
        <v>El16-1810</v>
      </c>
      <c r="AK1810" t="str">
        <f>LEFT(Table1[[#This Row],[membership_type]],1)&amp;TEXT(MATCH(Table1[[#This Row],[membership_type]],Table1[membership_type],0),"00")</f>
        <v>E07</v>
      </c>
      <c r="AL1810" t="str">
        <f>LEFT(Table1[[#This Row],[discount_type]],1)&amp;TEXT(ROUND(Table1[[#This Row],[discount_rate]]*100,0),"00")</f>
        <v>S15</v>
      </c>
      <c r="AM1810" t="str" cm="1">
        <f t="array" ref="AM1810">TEXT(SUMPRODUCT(CODE(MID(Table1[[#This Row],[home_gym_location]],_xlfn.SEQUENCE(LEN(Table1[[#This Row],[home_gym_location]])),1))),"00000")</f>
        <v>00899</v>
      </c>
      <c r="AN181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10" t="str">
        <f>LEFT(_xlfn.TEXTBEFORE(Table1[[#This Row],[Location Identifier]],"-"),3) &amp; "-" &amp; _xlfn.TEXTAFTER(Table1[[#This Row],[Location Identifier]],"-")</f>
        <v>ANA-001</v>
      </c>
      <c r="AP1810" s="9">
        <f t="shared" ca="1" si="280"/>
        <v>45869</v>
      </c>
    </row>
    <row r="1811" spans="1:42" x14ac:dyDescent="0.25">
      <c r="A1811">
        <v>43</v>
      </c>
      <c r="B1811" t="s">
        <v>26</v>
      </c>
      <c r="C1811">
        <v>3</v>
      </c>
      <c r="D1811" t="s">
        <v>102</v>
      </c>
      <c r="E1811" t="b">
        <v>1</v>
      </c>
      <c r="F1811" s="1">
        <v>0.56944444444444442</v>
      </c>
      <c r="G1811" s="1">
        <v>0.68472222222222223</v>
      </c>
      <c r="H1811">
        <v>166</v>
      </c>
      <c r="I1811" t="b">
        <v>1</v>
      </c>
      <c r="J1811" t="b">
        <v>1</v>
      </c>
      <c r="K1811" t="b">
        <v>1</v>
      </c>
      <c r="L1811" t="s">
        <v>58</v>
      </c>
      <c r="M1811">
        <v>50</v>
      </c>
      <c r="N1811" t="s">
        <v>78</v>
      </c>
      <c r="O1811">
        <v>45</v>
      </c>
      <c r="P1811" t="s">
        <v>40</v>
      </c>
      <c r="Q1811">
        <v>0.1</v>
      </c>
      <c r="R1811">
        <v>40.5</v>
      </c>
      <c r="S1811" t="s">
        <v>31</v>
      </c>
      <c r="T1811" t="s">
        <v>50</v>
      </c>
      <c r="U1811">
        <v>34.052199999999999</v>
      </c>
      <c r="V1811">
        <v>-118.2437</v>
      </c>
      <c r="W1811" s="2">
        <v>45127</v>
      </c>
      <c r="X1811">
        <v>3</v>
      </c>
      <c r="Y1811" t="b">
        <v>0</v>
      </c>
      <c r="Z1811" s="2">
        <v>45821</v>
      </c>
      <c r="AA1811" t="str">
        <f t="shared" si="281"/>
        <v>40–49</v>
      </c>
      <c r="AB1811" t="str">
        <f t="shared" si="282"/>
        <v>40–49</v>
      </c>
      <c r="AC1811" t="str">
        <f t="shared" si="283"/>
        <v/>
      </c>
      <c r="AD1811" t="str">
        <f t="shared" si="284"/>
        <v/>
      </c>
      <c r="AE1811" t="str">
        <f t="shared" si="285"/>
        <v/>
      </c>
      <c r="AF1811" t="str">
        <f t="shared" si="286"/>
        <v>Thursday</v>
      </c>
      <c r="AG1811" t="str">
        <f t="shared" si="287"/>
        <v>Friday</v>
      </c>
      <c r="AH1811" t="str">
        <f t="shared" si="288"/>
        <v>Saturday</v>
      </c>
      <c r="AI1811" t="str">
        <f t="shared" si="289"/>
        <v/>
      </c>
      <c r="AJ1811" t="str">
        <f>LEFT(Table1[[#This Row],[membership_type]],2)&amp;TEXT(Table1[[#This Row],[age]],"00")&amp;"-"&amp;TEXT(ROW(),"000")</f>
        <v>Pr43-1811</v>
      </c>
      <c r="AK1811" t="str">
        <f>LEFT(Table1[[#This Row],[membership_type]],1)&amp;TEXT(MATCH(Table1[[#This Row],[membership_type]],Table1[membership_type],0),"00")</f>
        <v>P01</v>
      </c>
      <c r="AL1811" t="str">
        <f>LEFT(Table1[[#This Row],[discount_type]],1)&amp;TEXT(ROUND(Table1[[#This Row],[discount_rate]]*100,0),"00")</f>
        <v>L10</v>
      </c>
      <c r="AM1811" t="str" cm="1">
        <f t="array" ref="AM1811">TEXT(SUMPRODUCT(CODE(MID(Table1[[#This Row],[home_gym_location]],_xlfn.SEQUENCE(LEN(Table1[[#This Row],[home_gym_location]])),1))),"00000")</f>
        <v>01245</v>
      </c>
      <c r="AN181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11" t="str">
        <f>LEFT(_xlfn.TEXTBEFORE(Table1[[#This Row],[Location Identifier]],"-"),3) &amp; "-" &amp; _xlfn.TEXTAFTER(Table1[[#This Row],[Location Identifier]],"-")</f>
        <v>LOS-005</v>
      </c>
      <c r="AP1811" s="9">
        <f t="shared" ca="1" si="280"/>
        <v>45869</v>
      </c>
    </row>
    <row r="1812" spans="1:42" x14ac:dyDescent="0.25">
      <c r="A1812">
        <v>26</v>
      </c>
      <c r="B1812" t="s">
        <v>26</v>
      </c>
      <c r="C1812">
        <v>3</v>
      </c>
      <c r="D1812" t="s">
        <v>106</v>
      </c>
      <c r="E1812" t="b">
        <v>1</v>
      </c>
      <c r="F1812" s="1">
        <v>0.77847222222222223</v>
      </c>
      <c r="G1812" s="1">
        <v>0.875</v>
      </c>
      <c r="H1812">
        <v>139</v>
      </c>
      <c r="I1812" t="b">
        <v>1</v>
      </c>
      <c r="J1812" t="b">
        <v>1</v>
      </c>
      <c r="K1812" t="b">
        <v>1</v>
      </c>
      <c r="L1812" t="s">
        <v>62</v>
      </c>
      <c r="M1812">
        <v>50</v>
      </c>
      <c r="N1812" t="s">
        <v>78</v>
      </c>
      <c r="O1812">
        <v>45</v>
      </c>
      <c r="P1812" t="s">
        <v>36</v>
      </c>
      <c r="Q1812">
        <v>0</v>
      </c>
      <c r="R1812">
        <v>45</v>
      </c>
      <c r="S1812" t="s">
        <v>31</v>
      </c>
      <c r="T1812" t="s">
        <v>45</v>
      </c>
      <c r="U1812">
        <v>33.836599999999997</v>
      </c>
      <c r="V1812">
        <v>-117.9143</v>
      </c>
      <c r="W1812" s="2">
        <v>45016</v>
      </c>
      <c r="X1812">
        <v>5</v>
      </c>
      <c r="Y1812" t="b">
        <v>1</v>
      </c>
      <c r="Z1812" s="2">
        <v>45815</v>
      </c>
      <c r="AA1812" t="str">
        <f t="shared" si="281"/>
        <v>20–29</v>
      </c>
      <c r="AB1812" t="str">
        <f t="shared" si="282"/>
        <v>20–29</v>
      </c>
      <c r="AC1812" t="str">
        <f t="shared" si="283"/>
        <v/>
      </c>
      <c r="AD1812" t="str">
        <f t="shared" si="284"/>
        <v/>
      </c>
      <c r="AE1812" t="str">
        <f t="shared" si="285"/>
        <v>Wednesday</v>
      </c>
      <c r="AF1812" t="str">
        <f t="shared" si="286"/>
        <v>Thursday</v>
      </c>
      <c r="AG1812" t="str">
        <f t="shared" si="287"/>
        <v>Friday</v>
      </c>
      <c r="AH1812" t="str">
        <f t="shared" si="288"/>
        <v/>
      </c>
      <c r="AI1812" t="str">
        <f t="shared" si="289"/>
        <v/>
      </c>
      <c r="AJ1812" t="str">
        <f>LEFT(Table1[[#This Row],[membership_type]],2)&amp;TEXT(Table1[[#This Row],[age]],"00")&amp;"-"&amp;TEXT(ROW(),"000")</f>
        <v>Pr26-1812</v>
      </c>
      <c r="AK1812" t="str">
        <f>LEFT(Table1[[#This Row],[membership_type]],1)&amp;TEXT(MATCH(Table1[[#This Row],[membership_type]],Table1[membership_type],0),"00")</f>
        <v>P01</v>
      </c>
      <c r="AL1812" t="str">
        <f>LEFT(Table1[[#This Row],[discount_type]],1)&amp;TEXT(ROUND(Table1[[#This Row],[discount_rate]]*100,0),"00")</f>
        <v>N00</v>
      </c>
      <c r="AM1812" t="str" cm="1">
        <f t="array" ref="AM1812">TEXT(SUMPRODUCT(CODE(MID(Table1[[#This Row],[home_gym_location]],_xlfn.SEQUENCE(LEN(Table1[[#This Row],[home_gym_location]])),1))),"00000")</f>
        <v>00899</v>
      </c>
      <c r="AN181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12" t="str">
        <f>LEFT(_xlfn.TEXTBEFORE(Table1[[#This Row],[Location Identifier]],"-"),3) &amp; "-" &amp; _xlfn.TEXTAFTER(Table1[[#This Row],[Location Identifier]],"-")</f>
        <v>ANA-001</v>
      </c>
      <c r="AP1812" s="9">
        <f t="shared" ca="1" si="280"/>
        <v>45869</v>
      </c>
    </row>
    <row r="1813" spans="1:42" x14ac:dyDescent="0.25">
      <c r="A1813">
        <v>21</v>
      </c>
      <c r="B1813" t="s">
        <v>42</v>
      </c>
      <c r="C1813">
        <v>1</v>
      </c>
      <c r="D1813" t="s">
        <v>97</v>
      </c>
      <c r="E1813" t="b">
        <v>0</v>
      </c>
      <c r="F1813" s="1">
        <v>0.35347222222222224</v>
      </c>
      <c r="G1813" s="1">
        <v>0.41180555555555554</v>
      </c>
      <c r="H1813">
        <v>84</v>
      </c>
      <c r="I1813" t="b">
        <v>1</v>
      </c>
      <c r="J1813" t="b">
        <v>0</v>
      </c>
      <c r="K1813" t="b">
        <v>0</v>
      </c>
      <c r="L1813" t="s">
        <v>28</v>
      </c>
      <c r="M1813">
        <v>20</v>
      </c>
      <c r="N1813" t="s">
        <v>64</v>
      </c>
      <c r="O1813">
        <v>15</v>
      </c>
      <c r="P1813" t="s">
        <v>30</v>
      </c>
      <c r="Q1813">
        <v>0.05</v>
      </c>
      <c r="R1813">
        <v>14.25</v>
      </c>
      <c r="S1813" t="s">
        <v>44</v>
      </c>
      <c r="T1813" t="s">
        <v>41</v>
      </c>
      <c r="U1813">
        <v>37.804400000000001</v>
      </c>
      <c r="V1813">
        <v>-122.27119999999999</v>
      </c>
      <c r="W1813" s="2">
        <v>45548</v>
      </c>
      <c r="X1813">
        <v>0</v>
      </c>
      <c r="Y1813" t="b">
        <v>0</v>
      </c>
      <c r="Z1813" s="2">
        <v>45845</v>
      </c>
      <c r="AA1813" t="str">
        <f t="shared" si="281"/>
        <v>20–29</v>
      </c>
      <c r="AB1813" t="str">
        <f t="shared" si="282"/>
        <v>20–29</v>
      </c>
      <c r="AC1813" t="str">
        <f t="shared" si="283"/>
        <v>Monday</v>
      </c>
      <c r="AD1813" t="str">
        <f t="shared" si="284"/>
        <v/>
      </c>
      <c r="AE1813" t="str">
        <f t="shared" si="285"/>
        <v/>
      </c>
      <c r="AF1813" t="str">
        <f t="shared" si="286"/>
        <v/>
      </c>
      <c r="AG1813" t="str">
        <f t="shared" si="287"/>
        <v/>
      </c>
      <c r="AH1813" t="str">
        <f t="shared" si="288"/>
        <v/>
      </c>
      <c r="AI1813" t="str">
        <f t="shared" si="289"/>
        <v/>
      </c>
      <c r="AJ1813" t="str">
        <f>LEFT(Table1[[#This Row],[membership_type]],2)&amp;TEXT(Table1[[#This Row],[age]],"00")&amp;"-"&amp;TEXT(ROW(),"000")</f>
        <v>Ba21-1813</v>
      </c>
      <c r="AK1813" t="str">
        <f>LEFT(Table1[[#This Row],[membership_type]],1)&amp;TEXT(MATCH(Table1[[#This Row],[membership_type]],Table1[membership_type],0),"00")</f>
        <v>B04</v>
      </c>
      <c r="AL1813" t="str">
        <f>LEFT(Table1[[#This Row],[discount_type]],1)&amp;TEXT(ROUND(Table1[[#This Row],[discount_rate]]*100,0),"00")</f>
        <v>P05</v>
      </c>
      <c r="AM1813" t="str" cm="1">
        <f t="array" ref="AM1813">TEXT(SUMPRODUCT(CODE(MID(Table1[[#This Row],[home_gym_location]],_xlfn.SEQUENCE(LEN(Table1[[#This Row],[home_gym_location]])),1))),"00000")</f>
        <v>00906</v>
      </c>
      <c r="AN181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13" t="str">
        <f>LEFT(_xlfn.TEXTBEFORE(Table1[[#This Row],[Location Identifier]],"-"),3) &amp; "-" &amp; _xlfn.TEXTAFTER(Table1[[#This Row],[Location Identifier]],"-")</f>
        <v>OAK-006</v>
      </c>
      <c r="AP1813" s="9">
        <f t="shared" ca="1" si="280"/>
        <v>45869</v>
      </c>
    </row>
    <row r="1814" spans="1:42" x14ac:dyDescent="0.25">
      <c r="A1814">
        <v>15</v>
      </c>
      <c r="B1814" t="s">
        <v>33</v>
      </c>
      <c r="C1814">
        <v>2</v>
      </c>
      <c r="D1814" t="s">
        <v>101</v>
      </c>
      <c r="E1814" t="b">
        <v>0</v>
      </c>
      <c r="F1814" s="1">
        <v>0.56736111111111109</v>
      </c>
      <c r="G1814" s="1">
        <v>0.61805555555555558</v>
      </c>
      <c r="H1814">
        <v>73</v>
      </c>
      <c r="I1814" t="b">
        <v>1</v>
      </c>
      <c r="J1814" t="b">
        <v>1</v>
      </c>
      <c r="K1814" t="b">
        <v>1</v>
      </c>
      <c r="L1814" t="s">
        <v>62</v>
      </c>
      <c r="M1814">
        <v>30</v>
      </c>
      <c r="N1814" t="s">
        <v>64</v>
      </c>
      <c r="O1814">
        <v>22.5</v>
      </c>
      <c r="P1814" t="s">
        <v>30</v>
      </c>
      <c r="Q1814">
        <v>0.05</v>
      </c>
      <c r="R1814">
        <v>21.375</v>
      </c>
      <c r="S1814" t="s">
        <v>37</v>
      </c>
      <c r="T1814" t="s">
        <v>54</v>
      </c>
      <c r="U1814">
        <v>32.715699999999998</v>
      </c>
      <c r="V1814">
        <v>-117.1611</v>
      </c>
      <c r="W1814" s="2">
        <v>45808</v>
      </c>
      <c r="X1814">
        <v>2</v>
      </c>
      <c r="Y1814" t="b">
        <v>1</v>
      </c>
      <c r="Z1814" s="2">
        <v>45859</v>
      </c>
      <c r="AA1814" t="str">
        <f t="shared" si="281"/>
        <v>10–19</v>
      </c>
      <c r="AB1814" t="str">
        <f t="shared" si="282"/>
        <v>Under 16</v>
      </c>
      <c r="AC1814" t="str">
        <f t="shared" si="283"/>
        <v>Monday</v>
      </c>
      <c r="AD1814" t="str">
        <f t="shared" si="284"/>
        <v/>
      </c>
      <c r="AE1814" t="str">
        <f t="shared" si="285"/>
        <v/>
      </c>
      <c r="AF1814" t="str">
        <f t="shared" si="286"/>
        <v/>
      </c>
      <c r="AG1814" t="str">
        <f t="shared" si="287"/>
        <v>Friday</v>
      </c>
      <c r="AH1814" t="str">
        <f t="shared" si="288"/>
        <v/>
      </c>
      <c r="AI1814" t="str">
        <f t="shared" si="289"/>
        <v/>
      </c>
      <c r="AJ1814" t="str">
        <f>LEFT(Table1[[#This Row],[membership_type]],2)&amp;TEXT(Table1[[#This Row],[age]],"00")&amp;"-"&amp;TEXT(ROW(),"000")</f>
        <v>St15-1814</v>
      </c>
      <c r="AK1814" t="str">
        <f>LEFT(Table1[[#This Row],[membership_type]],1)&amp;TEXT(MATCH(Table1[[#This Row],[membership_type]],Table1[membership_type],0),"00")</f>
        <v>S02</v>
      </c>
      <c r="AL1814" t="str">
        <f>LEFT(Table1[[#This Row],[discount_type]],1)&amp;TEXT(ROUND(Table1[[#This Row],[discount_rate]]*100,0),"00")</f>
        <v>P05</v>
      </c>
      <c r="AM1814" t="str" cm="1">
        <f t="array" ref="AM1814">TEXT(SUMPRODUCT(CODE(MID(Table1[[#This Row],[home_gym_location]],_xlfn.SEQUENCE(LEN(Table1[[#This Row],[home_gym_location]])),1))),"00000")</f>
        <v>01018</v>
      </c>
      <c r="AN181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14" t="str">
        <f>LEFT(_xlfn.TEXTBEFORE(Table1[[#This Row],[Location Identifier]],"-"),3) &amp; "-" &amp; _xlfn.TEXTAFTER(Table1[[#This Row],[Location Identifier]],"-")</f>
        <v>SAN-008</v>
      </c>
      <c r="AP1814" s="9">
        <f t="shared" ca="1" si="280"/>
        <v>45869</v>
      </c>
    </row>
    <row r="1815" spans="1:42" x14ac:dyDescent="0.25">
      <c r="A1815">
        <v>39</v>
      </c>
      <c r="B1815" t="s">
        <v>33</v>
      </c>
      <c r="C1815">
        <v>3</v>
      </c>
      <c r="D1815" t="s">
        <v>114</v>
      </c>
      <c r="E1815" t="b">
        <v>0</v>
      </c>
      <c r="F1815" s="1">
        <v>0.70208333333333328</v>
      </c>
      <c r="G1815" s="1">
        <v>0.77500000000000002</v>
      </c>
      <c r="H1815">
        <v>105</v>
      </c>
      <c r="I1815" t="b">
        <v>0</v>
      </c>
      <c r="J1815" t="b">
        <v>0</v>
      </c>
      <c r="K1815" t="b">
        <v>1</v>
      </c>
      <c r="L1815" t="s">
        <v>62</v>
      </c>
      <c r="M1815">
        <v>30</v>
      </c>
      <c r="N1815" t="s">
        <v>64</v>
      </c>
      <c r="O1815">
        <v>22.5</v>
      </c>
      <c r="P1815" t="s">
        <v>36</v>
      </c>
      <c r="Q1815">
        <v>0</v>
      </c>
      <c r="R1815">
        <v>22.5</v>
      </c>
      <c r="S1815" t="s">
        <v>37</v>
      </c>
      <c r="T1815" t="s">
        <v>45</v>
      </c>
      <c r="U1815">
        <v>33.836599999999997</v>
      </c>
      <c r="V1815">
        <v>-117.9143</v>
      </c>
      <c r="W1815" s="2">
        <v>45743</v>
      </c>
      <c r="X1815">
        <v>0</v>
      </c>
      <c r="Y1815" t="b">
        <v>1</v>
      </c>
      <c r="Z1815" s="2">
        <v>45856</v>
      </c>
      <c r="AA1815" t="str">
        <f t="shared" si="281"/>
        <v>30–39</v>
      </c>
      <c r="AB1815" t="str">
        <f t="shared" si="282"/>
        <v>30–39</v>
      </c>
      <c r="AC1815" t="str">
        <f t="shared" si="283"/>
        <v>Monday</v>
      </c>
      <c r="AD1815" t="str">
        <f t="shared" si="284"/>
        <v>Tuesday</v>
      </c>
      <c r="AE1815" t="str">
        <f t="shared" si="285"/>
        <v>Wednesday</v>
      </c>
      <c r="AF1815" t="str">
        <f t="shared" si="286"/>
        <v/>
      </c>
      <c r="AG1815" t="str">
        <f t="shared" si="287"/>
        <v/>
      </c>
      <c r="AH1815" t="str">
        <f t="shared" si="288"/>
        <v/>
      </c>
      <c r="AI1815" t="str">
        <f t="shared" si="289"/>
        <v/>
      </c>
      <c r="AJ1815" t="str">
        <f>LEFT(Table1[[#This Row],[membership_type]],2)&amp;TEXT(Table1[[#This Row],[age]],"00")&amp;"-"&amp;TEXT(ROW(),"000")</f>
        <v>St39-1815</v>
      </c>
      <c r="AK1815" t="str">
        <f>LEFT(Table1[[#This Row],[membership_type]],1)&amp;TEXT(MATCH(Table1[[#This Row],[membership_type]],Table1[membership_type],0),"00")</f>
        <v>S02</v>
      </c>
      <c r="AL1815" t="str">
        <f>LEFT(Table1[[#This Row],[discount_type]],1)&amp;TEXT(ROUND(Table1[[#This Row],[discount_rate]]*100,0),"00")</f>
        <v>N00</v>
      </c>
      <c r="AM1815" t="str" cm="1">
        <f t="array" ref="AM1815">TEXT(SUMPRODUCT(CODE(MID(Table1[[#This Row],[home_gym_location]],_xlfn.SEQUENCE(LEN(Table1[[#This Row],[home_gym_location]])),1))),"00000")</f>
        <v>00899</v>
      </c>
      <c r="AN181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15" t="str">
        <f>LEFT(_xlfn.TEXTBEFORE(Table1[[#This Row],[Location Identifier]],"-"),3) &amp; "-" &amp; _xlfn.TEXTAFTER(Table1[[#This Row],[Location Identifier]],"-")</f>
        <v>ANA-001</v>
      </c>
      <c r="AP1815" s="9">
        <f t="shared" ca="1" si="280"/>
        <v>45869</v>
      </c>
    </row>
    <row r="1816" spans="1:42" x14ac:dyDescent="0.25">
      <c r="A1816">
        <v>18</v>
      </c>
      <c r="B1816" t="s">
        <v>26</v>
      </c>
      <c r="C1816">
        <v>3</v>
      </c>
      <c r="D1816" t="s">
        <v>138</v>
      </c>
      <c r="E1816" t="b">
        <v>1</v>
      </c>
      <c r="F1816" s="1">
        <v>0.38541666666666669</v>
      </c>
      <c r="G1816" s="1">
        <v>0.41944444444444445</v>
      </c>
      <c r="H1816">
        <v>49</v>
      </c>
      <c r="I1816" t="b">
        <v>1</v>
      </c>
      <c r="J1816" t="b">
        <v>0</v>
      </c>
      <c r="K1816" t="b">
        <v>0</v>
      </c>
      <c r="L1816" t="s">
        <v>28</v>
      </c>
      <c r="M1816">
        <v>50</v>
      </c>
      <c r="N1816" t="s">
        <v>78</v>
      </c>
      <c r="O1816">
        <v>45</v>
      </c>
      <c r="P1816" t="s">
        <v>40</v>
      </c>
      <c r="Q1816">
        <v>0.1</v>
      </c>
      <c r="R1816">
        <v>40.5</v>
      </c>
      <c r="S1816" t="s">
        <v>31</v>
      </c>
      <c r="T1816" t="s">
        <v>48</v>
      </c>
      <c r="U1816">
        <v>38.581600000000002</v>
      </c>
      <c r="V1816">
        <v>-121.4944</v>
      </c>
      <c r="W1816" s="2">
        <v>44800</v>
      </c>
      <c r="X1816">
        <v>0</v>
      </c>
      <c r="Y1816" t="b">
        <v>1</v>
      </c>
      <c r="Z1816" s="2">
        <v>45802</v>
      </c>
      <c r="AA1816" t="str">
        <f t="shared" si="281"/>
        <v>10–19</v>
      </c>
      <c r="AB1816" t="str">
        <f t="shared" si="282"/>
        <v>16–19</v>
      </c>
      <c r="AC1816" t="str">
        <f t="shared" si="283"/>
        <v/>
      </c>
      <c r="AD1816" t="str">
        <f t="shared" si="284"/>
        <v>Tuesday</v>
      </c>
      <c r="AE1816" t="str">
        <f t="shared" si="285"/>
        <v/>
      </c>
      <c r="AF1816" t="str">
        <f t="shared" si="286"/>
        <v>Thursday</v>
      </c>
      <c r="AG1816" t="str">
        <f t="shared" si="287"/>
        <v/>
      </c>
      <c r="AH1816" t="str">
        <f t="shared" si="288"/>
        <v/>
      </c>
      <c r="AI1816" t="str">
        <f t="shared" si="289"/>
        <v>Sunday</v>
      </c>
      <c r="AJ1816" t="str">
        <f>LEFT(Table1[[#This Row],[membership_type]],2)&amp;TEXT(Table1[[#This Row],[age]],"00")&amp;"-"&amp;TEXT(ROW(),"000")</f>
        <v>Pr18-1816</v>
      </c>
      <c r="AK1816" t="str">
        <f>LEFT(Table1[[#This Row],[membership_type]],1)&amp;TEXT(MATCH(Table1[[#This Row],[membership_type]],Table1[membership_type],0),"00")</f>
        <v>P01</v>
      </c>
      <c r="AL1816" t="str">
        <f>LEFT(Table1[[#This Row],[discount_type]],1)&amp;TEXT(ROUND(Table1[[#This Row],[discount_rate]]*100,0),"00")</f>
        <v>L10</v>
      </c>
      <c r="AM1816" t="str" cm="1">
        <f t="array" ref="AM1816">TEXT(SUMPRODUCT(CODE(MID(Table1[[#This Row],[home_gym_location]],_xlfn.SEQUENCE(LEN(Table1[[#This Row],[home_gym_location]])),1))),"00000")</f>
        <v>01245</v>
      </c>
      <c r="AN181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16" t="str">
        <f>LEFT(_xlfn.TEXTBEFORE(Table1[[#This Row],[Location Identifier]],"-"),3) &amp; "-" &amp; _xlfn.TEXTAFTER(Table1[[#This Row],[Location Identifier]],"-")</f>
        <v>SAC-007</v>
      </c>
      <c r="AP1816" s="9">
        <f t="shared" ca="1" si="280"/>
        <v>45869</v>
      </c>
    </row>
    <row r="1817" spans="1:42" x14ac:dyDescent="0.25">
      <c r="A1817">
        <v>43</v>
      </c>
      <c r="B1817" t="s">
        <v>26</v>
      </c>
      <c r="C1817">
        <v>1</v>
      </c>
      <c r="D1817" t="s">
        <v>97</v>
      </c>
      <c r="E1817" t="b">
        <v>0</v>
      </c>
      <c r="F1817" s="1">
        <v>0.62777777777777777</v>
      </c>
      <c r="G1817" s="1">
        <v>0.71180555555555558</v>
      </c>
      <c r="H1817">
        <v>121</v>
      </c>
      <c r="I1817" t="b">
        <v>0</v>
      </c>
      <c r="J1817" t="b">
        <v>1</v>
      </c>
      <c r="K1817" t="b">
        <v>0</v>
      </c>
      <c r="L1817" t="s">
        <v>47</v>
      </c>
      <c r="M1817">
        <v>50</v>
      </c>
      <c r="N1817" t="s">
        <v>64</v>
      </c>
      <c r="O1817">
        <v>37.5</v>
      </c>
      <c r="P1817" t="s">
        <v>74</v>
      </c>
      <c r="Q1817">
        <v>0.15</v>
      </c>
      <c r="R1817">
        <v>31.875</v>
      </c>
      <c r="S1817" t="s">
        <v>31</v>
      </c>
      <c r="T1817" t="s">
        <v>41</v>
      </c>
      <c r="U1817">
        <v>37.804400000000001</v>
      </c>
      <c r="V1817">
        <v>-122.27119999999999</v>
      </c>
      <c r="W1817" s="2">
        <v>45516</v>
      </c>
      <c r="X1817">
        <v>3</v>
      </c>
      <c r="Y1817" t="b">
        <v>1</v>
      </c>
      <c r="Z1817" s="2">
        <v>45843</v>
      </c>
      <c r="AA1817" t="str">
        <f t="shared" si="281"/>
        <v>40–49</v>
      </c>
      <c r="AB1817" t="str">
        <f t="shared" si="282"/>
        <v>40–49</v>
      </c>
      <c r="AC1817" t="str">
        <f t="shared" si="283"/>
        <v>Monday</v>
      </c>
      <c r="AD1817" t="str">
        <f t="shared" si="284"/>
        <v/>
      </c>
      <c r="AE1817" t="str">
        <f t="shared" si="285"/>
        <v/>
      </c>
      <c r="AF1817" t="str">
        <f t="shared" si="286"/>
        <v/>
      </c>
      <c r="AG1817" t="str">
        <f t="shared" si="287"/>
        <v/>
      </c>
      <c r="AH1817" t="str">
        <f t="shared" si="288"/>
        <v/>
      </c>
      <c r="AI1817" t="str">
        <f t="shared" si="289"/>
        <v/>
      </c>
      <c r="AJ1817" t="str">
        <f>LEFT(Table1[[#This Row],[membership_type]],2)&amp;TEXT(Table1[[#This Row],[age]],"00")&amp;"-"&amp;TEXT(ROW(),"000")</f>
        <v>Pr43-1817</v>
      </c>
      <c r="AK1817" t="str">
        <f>LEFT(Table1[[#This Row],[membership_type]],1)&amp;TEXT(MATCH(Table1[[#This Row],[membership_type]],Table1[membership_type],0),"00")</f>
        <v>P01</v>
      </c>
      <c r="AL1817" t="str">
        <f>LEFT(Table1[[#This Row],[discount_type]],1)&amp;TEXT(ROUND(Table1[[#This Row],[discount_rate]]*100,0),"00")</f>
        <v>S15</v>
      </c>
      <c r="AM1817" t="str" cm="1">
        <f t="array" ref="AM1817">TEXT(SUMPRODUCT(CODE(MID(Table1[[#This Row],[home_gym_location]],_xlfn.SEQUENCE(LEN(Table1[[#This Row],[home_gym_location]])),1))),"00000")</f>
        <v>00906</v>
      </c>
      <c r="AN1817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17" t="str">
        <f>LEFT(_xlfn.TEXTBEFORE(Table1[[#This Row],[Location Identifier]],"-"),3) &amp; "-" &amp; _xlfn.TEXTAFTER(Table1[[#This Row],[Location Identifier]],"-")</f>
        <v>OAK-006</v>
      </c>
      <c r="AP1817" s="9">
        <f t="shared" ca="1" si="280"/>
        <v>45869</v>
      </c>
    </row>
    <row r="1818" spans="1:42" x14ac:dyDescent="0.25">
      <c r="A1818">
        <v>44</v>
      </c>
      <c r="B1818" t="s">
        <v>33</v>
      </c>
      <c r="C1818">
        <v>2</v>
      </c>
      <c r="D1818" t="s">
        <v>126</v>
      </c>
      <c r="E1818" t="b">
        <v>0</v>
      </c>
      <c r="F1818" s="1">
        <v>0.49513888888888891</v>
      </c>
      <c r="G1818" s="1">
        <v>0.53333333333333333</v>
      </c>
      <c r="H1818">
        <v>55</v>
      </c>
      <c r="I1818" t="b">
        <v>0</v>
      </c>
      <c r="J1818" t="b">
        <v>0</v>
      </c>
      <c r="K1818" t="b">
        <v>0</v>
      </c>
      <c r="L1818" t="s">
        <v>28</v>
      </c>
      <c r="M1818">
        <v>30</v>
      </c>
      <c r="N1818" t="s">
        <v>64</v>
      </c>
      <c r="O1818">
        <v>22.5</v>
      </c>
      <c r="P1818" t="s">
        <v>40</v>
      </c>
      <c r="Q1818">
        <v>0.1</v>
      </c>
      <c r="R1818">
        <v>20.25</v>
      </c>
      <c r="S1818" t="s">
        <v>37</v>
      </c>
      <c r="T1818" t="s">
        <v>54</v>
      </c>
      <c r="U1818">
        <v>32.715699999999998</v>
      </c>
      <c r="V1818">
        <v>-117.1611</v>
      </c>
      <c r="W1818" s="2">
        <v>45011</v>
      </c>
      <c r="X1818">
        <v>0</v>
      </c>
      <c r="Y1818" t="b">
        <v>0</v>
      </c>
      <c r="Z1818" s="2">
        <v>45814</v>
      </c>
      <c r="AA1818" t="str">
        <f t="shared" si="281"/>
        <v>40–49</v>
      </c>
      <c r="AB1818" t="str">
        <f t="shared" si="282"/>
        <v>40–49</v>
      </c>
      <c r="AC1818" t="str">
        <f t="shared" si="283"/>
        <v/>
      </c>
      <c r="AD1818" t="str">
        <f t="shared" si="284"/>
        <v>Tuesday</v>
      </c>
      <c r="AE1818" t="str">
        <f t="shared" si="285"/>
        <v>Wednesday</v>
      </c>
      <c r="AF1818" t="str">
        <f t="shared" si="286"/>
        <v/>
      </c>
      <c r="AG1818" t="str">
        <f t="shared" si="287"/>
        <v/>
      </c>
      <c r="AH1818" t="str">
        <f t="shared" si="288"/>
        <v/>
      </c>
      <c r="AI1818" t="str">
        <f t="shared" si="289"/>
        <v/>
      </c>
      <c r="AJ1818" t="str">
        <f>LEFT(Table1[[#This Row],[membership_type]],2)&amp;TEXT(Table1[[#This Row],[age]],"00")&amp;"-"&amp;TEXT(ROW(),"000")</f>
        <v>St44-1818</v>
      </c>
      <c r="AK1818" t="str">
        <f>LEFT(Table1[[#This Row],[membership_type]],1)&amp;TEXT(MATCH(Table1[[#This Row],[membership_type]],Table1[membership_type],0),"00")</f>
        <v>S02</v>
      </c>
      <c r="AL1818" t="str">
        <f>LEFT(Table1[[#This Row],[discount_type]],1)&amp;TEXT(ROUND(Table1[[#This Row],[discount_rate]]*100,0),"00")</f>
        <v>L10</v>
      </c>
      <c r="AM1818" t="str" cm="1">
        <f t="array" ref="AM1818">TEXT(SUMPRODUCT(CODE(MID(Table1[[#This Row],[home_gym_location]],_xlfn.SEQUENCE(LEN(Table1[[#This Row],[home_gym_location]])),1))),"00000")</f>
        <v>01018</v>
      </c>
      <c r="AN181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18" t="str">
        <f>LEFT(_xlfn.TEXTBEFORE(Table1[[#This Row],[Location Identifier]],"-"),3) &amp; "-" &amp; _xlfn.TEXTAFTER(Table1[[#This Row],[Location Identifier]],"-")</f>
        <v>SAN-008</v>
      </c>
      <c r="AP1818" s="9">
        <f t="shared" ca="1" si="280"/>
        <v>45869</v>
      </c>
    </row>
    <row r="1819" spans="1:42" x14ac:dyDescent="0.25">
      <c r="A1819">
        <v>46</v>
      </c>
      <c r="B1819" t="s">
        <v>42</v>
      </c>
      <c r="C1819">
        <v>5</v>
      </c>
      <c r="D1819" t="s">
        <v>77</v>
      </c>
      <c r="E1819" t="b">
        <v>1</v>
      </c>
      <c r="F1819" s="1">
        <v>0.47083333333333333</v>
      </c>
      <c r="G1819" s="1">
        <v>0.58750000000000002</v>
      </c>
      <c r="H1819">
        <v>168</v>
      </c>
      <c r="I1819" t="b">
        <v>1</v>
      </c>
      <c r="J1819" t="b">
        <v>1</v>
      </c>
      <c r="K1819" t="b">
        <v>1</v>
      </c>
      <c r="L1819" t="s">
        <v>28</v>
      </c>
      <c r="M1819">
        <v>20</v>
      </c>
      <c r="N1819" t="s">
        <v>64</v>
      </c>
      <c r="O1819">
        <v>15</v>
      </c>
      <c r="P1819" t="s">
        <v>40</v>
      </c>
      <c r="Q1819">
        <v>0.1</v>
      </c>
      <c r="R1819">
        <v>13.5</v>
      </c>
      <c r="S1819" t="s">
        <v>44</v>
      </c>
      <c r="T1819" t="s">
        <v>59</v>
      </c>
      <c r="U1819">
        <v>37.774900000000002</v>
      </c>
      <c r="V1819">
        <v>-122.4194</v>
      </c>
      <c r="W1819" s="2">
        <v>45165</v>
      </c>
      <c r="X1819">
        <v>6</v>
      </c>
      <c r="Y1819" t="b">
        <v>1</v>
      </c>
      <c r="Z1819" s="2">
        <v>45823</v>
      </c>
      <c r="AA1819" t="str">
        <f t="shared" si="281"/>
        <v>40–49</v>
      </c>
      <c r="AB1819" t="str">
        <f t="shared" si="282"/>
        <v>40–49</v>
      </c>
      <c r="AC1819" t="str">
        <f t="shared" si="283"/>
        <v/>
      </c>
      <c r="AD1819" t="str">
        <f t="shared" si="284"/>
        <v>Tuesday</v>
      </c>
      <c r="AE1819" t="str">
        <f t="shared" si="285"/>
        <v>Wednesday</v>
      </c>
      <c r="AF1819" t="str">
        <f t="shared" si="286"/>
        <v>Thursday</v>
      </c>
      <c r="AG1819" t="str">
        <f t="shared" si="287"/>
        <v>Friday</v>
      </c>
      <c r="AH1819" t="str">
        <f t="shared" si="288"/>
        <v/>
      </c>
      <c r="AI1819" t="str">
        <f t="shared" si="289"/>
        <v>Sunday</v>
      </c>
      <c r="AJ1819" t="str">
        <f>LEFT(Table1[[#This Row],[membership_type]],2)&amp;TEXT(Table1[[#This Row],[age]],"00")&amp;"-"&amp;TEXT(ROW(),"000")</f>
        <v>Ba46-1819</v>
      </c>
      <c r="AK1819" t="str">
        <f>LEFT(Table1[[#This Row],[membership_type]],1)&amp;TEXT(MATCH(Table1[[#This Row],[membership_type]],Table1[membership_type],0),"00")</f>
        <v>B04</v>
      </c>
      <c r="AL1819" t="str">
        <f>LEFT(Table1[[#This Row],[discount_type]],1)&amp;TEXT(ROUND(Table1[[#This Row],[discount_rate]]*100,0),"00")</f>
        <v>L10</v>
      </c>
      <c r="AM1819" t="str" cm="1">
        <f t="array" ref="AM1819">TEXT(SUMPRODUCT(CODE(MID(Table1[[#This Row],[home_gym_location]],_xlfn.SEQUENCE(LEN(Table1[[#This Row],[home_gym_location]])),1))),"00000")</f>
        <v>01450</v>
      </c>
      <c r="AN181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19" t="str">
        <f>LEFT(_xlfn.TEXTBEFORE(Table1[[#This Row],[Location Identifier]],"-"),3) &amp; "-" &amp; _xlfn.TEXTAFTER(Table1[[#This Row],[Location Identifier]],"-")</f>
        <v>SAN-009</v>
      </c>
      <c r="AP1819" s="9">
        <f t="shared" ca="1" si="280"/>
        <v>45869</v>
      </c>
    </row>
    <row r="1820" spans="1:42" x14ac:dyDescent="0.25">
      <c r="A1820">
        <v>34</v>
      </c>
      <c r="B1820" t="s">
        <v>33</v>
      </c>
      <c r="C1820">
        <v>2</v>
      </c>
      <c r="D1820" t="s">
        <v>101</v>
      </c>
      <c r="E1820" t="b">
        <v>0</v>
      </c>
      <c r="F1820" s="1">
        <v>0.70902777777777781</v>
      </c>
      <c r="G1820" s="1">
        <v>0.79791666666666672</v>
      </c>
      <c r="H1820">
        <v>128</v>
      </c>
      <c r="I1820" t="b">
        <v>0</v>
      </c>
      <c r="J1820" t="b">
        <v>1</v>
      </c>
      <c r="K1820" t="b">
        <v>0</v>
      </c>
      <c r="L1820" t="s">
        <v>47</v>
      </c>
      <c r="M1820">
        <v>30</v>
      </c>
      <c r="N1820" t="s">
        <v>29</v>
      </c>
      <c r="O1820">
        <v>30</v>
      </c>
      <c r="P1820" t="s">
        <v>36</v>
      </c>
      <c r="Q1820">
        <v>0</v>
      </c>
      <c r="R1820">
        <v>30</v>
      </c>
      <c r="S1820" t="s">
        <v>37</v>
      </c>
      <c r="T1820" t="s">
        <v>38</v>
      </c>
      <c r="U1820">
        <v>36.7378</v>
      </c>
      <c r="V1820">
        <v>-119.7871</v>
      </c>
      <c r="W1820" s="2">
        <v>45424</v>
      </c>
      <c r="X1820">
        <v>5</v>
      </c>
      <c r="Y1820" t="b">
        <v>0</v>
      </c>
      <c r="Z1820" s="2">
        <v>45838</v>
      </c>
      <c r="AA1820" t="str">
        <f t="shared" si="281"/>
        <v>30–39</v>
      </c>
      <c r="AB1820" t="str">
        <f t="shared" si="282"/>
        <v>30–39</v>
      </c>
      <c r="AC1820" t="str">
        <f t="shared" si="283"/>
        <v>Monday</v>
      </c>
      <c r="AD1820" t="str">
        <f t="shared" si="284"/>
        <v/>
      </c>
      <c r="AE1820" t="str">
        <f t="shared" si="285"/>
        <v/>
      </c>
      <c r="AF1820" t="str">
        <f t="shared" si="286"/>
        <v/>
      </c>
      <c r="AG1820" t="str">
        <f t="shared" si="287"/>
        <v>Friday</v>
      </c>
      <c r="AH1820" t="str">
        <f t="shared" si="288"/>
        <v/>
      </c>
      <c r="AI1820" t="str">
        <f t="shared" si="289"/>
        <v/>
      </c>
      <c r="AJ1820" t="str">
        <f>LEFT(Table1[[#This Row],[membership_type]],2)&amp;TEXT(Table1[[#This Row],[age]],"00")&amp;"-"&amp;TEXT(ROW(),"000")</f>
        <v>St34-1820</v>
      </c>
      <c r="AK1820" t="str">
        <f>LEFT(Table1[[#This Row],[membership_type]],1)&amp;TEXT(MATCH(Table1[[#This Row],[membership_type]],Table1[membership_type],0),"00")</f>
        <v>S02</v>
      </c>
      <c r="AL1820" t="str">
        <f>LEFT(Table1[[#This Row],[discount_type]],1)&amp;TEXT(ROUND(Table1[[#This Row],[discount_rate]]*100,0),"00")</f>
        <v>N00</v>
      </c>
      <c r="AM1820" t="str" cm="1">
        <f t="array" ref="AM1820">TEXT(SUMPRODUCT(CODE(MID(Table1[[#This Row],[home_gym_location]],_xlfn.SEQUENCE(LEN(Table1[[#This Row],[home_gym_location]])),1))),"00000")</f>
        <v>00829</v>
      </c>
      <c r="AN1820" t="str">
        <f>UPPER(_xlfn.TEXTBEFORE(Table1[[#This Row],[home_gym_location]],","))&amp;"-"&amp;TEXT(MATCH(Table1[[#This Row],[home_gym_location]],_xlfn._xlws.SORT(_xlfn.UNIQUE(Table1[home_gym_location])),0),"000")</f>
        <v>FRESNO-003</v>
      </c>
      <c r="AO1820" t="str">
        <f>LEFT(_xlfn.TEXTBEFORE(Table1[[#This Row],[Location Identifier]],"-"),3) &amp; "-" &amp; _xlfn.TEXTAFTER(Table1[[#This Row],[Location Identifier]],"-")</f>
        <v>FRE-003</v>
      </c>
      <c r="AP1820" s="9">
        <f t="shared" ca="1" si="280"/>
        <v>45869</v>
      </c>
    </row>
    <row r="1821" spans="1:42" x14ac:dyDescent="0.25">
      <c r="A1821">
        <v>22</v>
      </c>
      <c r="B1821" t="s">
        <v>33</v>
      </c>
      <c r="C1821">
        <v>3</v>
      </c>
      <c r="D1821" t="s">
        <v>122</v>
      </c>
      <c r="E1821" t="b">
        <v>0</v>
      </c>
      <c r="F1821" s="1">
        <v>0.71736111111111112</v>
      </c>
      <c r="G1821" s="1">
        <v>0.76666666666666672</v>
      </c>
      <c r="H1821">
        <v>71</v>
      </c>
      <c r="I1821" t="b">
        <v>0</v>
      </c>
      <c r="J1821" t="b">
        <v>0</v>
      </c>
      <c r="K1821" t="b">
        <v>1</v>
      </c>
      <c r="L1821" t="s">
        <v>47</v>
      </c>
      <c r="M1821">
        <v>30</v>
      </c>
      <c r="N1821" t="s">
        <v>64</v>
      </c>
      <c r="O1821">
        <v>22.5</v>
      </c>
      <c r="P1821" t="s">
        <v>30</v>
      </c>
      <c r="Q1821">
        <v>0.05</v>
      </c>
      <c r="R1821">
        <v>21.375</v>
      </c>
      <c r="S1821" t="s">
        <v>37</v>
      </c>
      <c r="T1821" t="s">
        <v>54</v>
      </c>
      <c r="U1821">
        <v>32.715699999999998</v>
      </c>
      <c r="V1821">
        <v>-117.1611</v>
      </c>
      <c r="W1821" s="2">
        <v>45611</v>
      </c>
      <c r="X1821">
        <v>0</v>
      </c>
      <c r="Y1821" t="b">
        <v>0</v>
      </c>
      <c r="Z1821" s="2">
        <v>45848</v>
      </c>
      <c r="AA1821" t="str">
        <f t="shared" si="281"/>
        <v>20–29</v>
      </c>
      <c r="AB1821" t="str">
        <f t="shared" si="282"/>
        <v>20–29</v>
      </c>
      <c r="AC1821" t="str">
        <f t="shared" si="283"/>
        <v/>
      </c>
      <c r="AD1821" t="str">
        <f t="shared" si="284"/>
        <v>Tuesday</v>
      </c>
      <c r="AE1821" t="str">
        <f t="shared" si="285"/>
        <v/>
      </c>
      <c r="AF1821" t="str">
        <f t="shared" si="286"/>
        <v/>
      </c>
      <c r="AG1821" t="str">
        <f t="shared" si="287"/>
        <v>Friday</v>
      </c>
      <c r="AH1821" t="str">
        <f t="shared" si="288"/>
        <v/>
      </c>
      <c r="AI1821" t="str">
        <f t="shared" si="289"/>
        <v>Sunday</v>
      </c>
      <c r="AJ1821" t="str">
        <f>LEFT(Table1[[#This Row],[membership_type]],2)&amp;TEXT(Table1[[#This Row],[age]],"00")&amp;"-"&amp;TEXT(ROW(),"000")</f>
        <v>St22-1821</v>
      </c>
      <c r="AK1821" t="str">
        <f>LEFT(Table1[[#This Row],[membership_type]],1)&amp;TEXT(MATCH(Table1[[#This Row],[membership_type]],Table1[membership_type],0),"00")</f>
        <v>S02</v>
      </c>
      <c r="AL1821" t="str">
        <f>LEFT(Table1[[#This Row],[discount_type]],1)&amp;TEXT(ROUND(Table1[[#This Row],[discount_rate]]*100,0),"00")</f>
        <v>P05</v>
      </c>
      <c r="AM1821" t="str" cm="1">
        <f t="array" ref="AM1821">TEXT(SUMPRODUCT(CODE(MID(Table1[[#This Row],[home_gym_location]],_xlfn.SEQUENCE(LEN(Table1[[#This Row],[home_gym_location]])),1))),"00000")</f>
        <v>01018</v>
      </c>
      <c r="AN182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21" t="str">
        <f>LEFT(_xlfn.TEXTBEFORE(Table1[[#This Row],[Location Identifier]],"-"),3) &amp; "-" &amp; _xlfn.TEXTAFTER(Table1[[#This Row],[Location Identifier]],"-")</f>
        <v>SAN-008</v>
      </c>
      <c r="AP1821" s="9">
        <f t="shared" ca="1" si="280"/>
        <v>45869</v>
      </c>
    </row>
    <row r="1822" spans="1:42" x14ac:dyDescent="0.25">
      <c r="A1822">
        <v>20</v>
      </c>
      <c r="B1822" t="s">
        <v>26</v>
      </c>
      <c r="C1822">
        <v>2</v>
      </c>
      <c r="D1822" t="s">
        <v>88</v>
      </c>
      <c r="E1822" t="b">
        <v>1</v>
      </c>
      <c r="F1822" s="1">
        <v>0.73958333333333337</v>
      </c>
      <c r="G1822" s="1">
        <v>0.80555555555555558</v>
      </c>
      <c r="H1822">
        <v>95</v>
      </c>
      <c r="I1822" t="b">
        <v>1</v>
      </c>
      <c r="J1822" t="b">
        <v>0</v>
      </c>
      <c r="K1822" t="b">
        <v>1</v>
      </c>
      <c r="L1822" t="s">
        <v>47</v>
      </c>
      <c r="M1822">
        <v>50</v>
      </c>
      <c r="N1822" t="s">
        <v>64</v>
      </c>
      <c r="O1822">
        <v>37.5</v>
      </c>
      <c r="P1822" t="s">
        <v>36</v>
      </c>
      <c r="Q1822">
        <v>0</v>
      </c>
      <c r="R1822">
        <v>37.5</v>
      </c>
      <c r="S1822" t="s">
        <v>31</v>
      </c>
      <c r="T1822" t="s">
        <v>38</v>
      </c>
      <c r="U1822">
        <v>36.7378</v>
      </c>
      <c r="V1822">
        <v>-119.7871</v>
      </c>
      <c r="W1822" s="2">
        <v>45701</v>
      </c>
      <c r="X1822">
        <v>0</v>
      </c>
      <c r="Y1822" t="b">
        <v>1</v>
      </c>
      <c r="Z1822" s="2">
        <v>45853</v>
      </c>
      <c r="AA1822" t="str">
        <f t="shared" si="281"/>
        <v>20–29</v>
      </c>
      <c r="AB1822" t="str">
        <f t="shared" si="282"/>
        <v>20–29</v>
      </c>
      <c r="AC1822" t="str">
        <f t="shared" si="283"/>
        <v>Monday</v>
      </c>
      <c r="AD1822" t="str">
        <f t="shared" si="284"/>
        <v/>
      </c>
      <c r="AE1822" t="str">
        <f t="shared" si="285"/>
        <v>Wednesday</v>
      </c>
      <c r="AF1822" t="str">
        <f t="shared" si="286"/>
        <v/>
      </c>
      <c r="AG1822" t="str">
        <f t="shared" si="287"/>
        <v/>
      </c>
      <c r="AH1822" t="str">
        <f t="shared" si="288"/>
        <v/>
      </c>
      <c r="AI1822" t="str">
        <f t="shared" si="289"/>
        <v/>
      </c>
      <c r="AJ1822" t="str">
        <f>LEFT(Table1[[#This Row],[membership_type]],2)&amp;TEXT(Table1[[#This Row],[age]],"00")&amp;"-"&amp;TEXT(ROW(),"000")</f>
        <v>Pr20-1822</v>
      </c>
      <c r="AK1822" t="str">
        <f>LEFT(Table1[[#This Row],[membership_type]],1)&amp;TEXT(MATCH(Table1[[#This Row],[membership_type]],Table1[membership_type],0),"00")</f>
        <v>P01</v>
      </c>
      <c r="AL1822" t="str">
        <f>LEFT(Table1[[#This Row],[discount_type]],1)&amp;TEXT(ROUND(Table1[[#This Row],[discount_rate]]*100,0),"00")</f>
        <v>N00</v>
      </c>
      <c r="AM1822" t="str" cm="1">
        <f t="array" ref="AM1822">TEXT(SUMPRODUCT(CODE(MID(Table1[[#This Row],[home_gym_location]],_xlfn.SEQUENCE(LEN(Table1[[#This Row],[home_gym_location]])),1))),"00000")</f>
        <v>00829</v>
      </c>
      <c r="AN1822" t="str">
        <f>UPPER(_xlfn.TEXTBEFORE(Table1[[#This Row],[home_gym_location]],","))&amp;"-"&amp;TEXT(MATCH(Table1[[#This Row],[home_gym_location]],_xlfn._xlws.SORT(_xlfn.UNIQUE(Table1[home_gym_location])),0),"000")</f>
        <v>FRESNO-003</v>
      </c>
      <c r="AO1822" t="str">
        <f>LEFT(_xlfn.TEXTBEFORE(Table1[[#This Row],[Location Identifier]],"-"),3) &amp; "-" &amp; _xlfn.TEXTAFTER(Table1[[#This Row],[Location Identifier]],"-")</f>
        <v>FRE-003</v>
      </c>
      <c r="AP1822" s="9">
        <f t="shared" ca="1" si="280"/>
        <v>45869</v>
      </c>
    </row>
    <row r="1823" spans="1:42" x14ac:dyDescent="0.25">
      <c r="A1823">
        <v>21</v>
      </c>
      <c r="B1823" t="s">
        <v>26</v>
      </c>
      <c r="C1823">
        <v>3</v>
      </c>
      <c r="D1823" t="s">
        <v>86</v>
      </c>
      <c r="E1823" t="b">
        <v>0</v>
      </c>
      <c r="F1823" s="1">
        <v>0.39027777777777778</v>
      </c>
      <c r="G1823" s="1">
        <v>0.45277777777777778</v>
      </c>
      <c r="H1823">
        <v>90</v>
      </c>
      <c r="I1823" t="b">
        <v>1</v>
      </c>
      <c r="J1823" t="b">
        <v>1</v>
      </c>
      <c r="K1823" t="b">
        <v>0</v>
      </c>
      <c r="L1823" t="s">
        <v>28</v>
      </c>
      <c r="M1823">
        <v>50</v>
      </c>
      <c r="N1823" t="s">
        <v>29</v>
      </c>
      <c r="O1823">
        <v>50</v>
      </c>
      <c r="P1823" t="s">
        <v>36</v>
      </c>
      <c r="Q1823">
        <v>0</v>
      </c>
      <c r="R1823">
        <v>50</v>
      </c>
      <c r="S1823" t="s">
        <v>31</v>
      </c>
      <c r="T1823" t="s">
        <v>56</v>
      </c>
      <c r="U1823">
        <v>35.3733</v>
      </c>
      <c r="V1823">
        <v>-119.0187</v>
      </c>
      <c r="W1823" s="2">
        <v>45176</v>
      </c>
      <c r="X1823">
        <v>7</v>
      </c>
      <c r="Y1823" t="b">
        <v>1</v>
      </c>
      <c r="Z1823" s="2">
        <v>45824</v>
      </c>
      <c r="AA1823" t="str">
        <f t="shared" si="281"/>
        <v>20–29</v>
      </c>
      <c r="AB1823" t="str">
        <f t="shared" si="282"/>
        <v>20–29</v>
      </c>
      <c r="AC1823" t="str">
        <f t="shared" si="283"/>
        <v/>
      </c>
      <c r="AD1823" t="str">
        <f t="shared" si="284"/>
        <v>Tuesday</v>
      </c>
      <c r="AE1823" t="str">
        <f t="shared" si="285"/>
        <v/>
      </c>
      <c r="AF1823" t="str">
        <f t="shared" si="286"/>
        <v/>
      </c>
      <c r="AG1823" t="str">
        <f t="shared" si="287"/>
        <v>Friday</v>
      </c>
      <c r="AH1823" t="str">
        <f t="shared" si="288"/>
        <v>Saturday</v>
      </c>
      <c r="AI1823" t="str">
        <f t="shared" si="289"/>
        <v/>
      </c>
      <c r="AJ1823" t="str">
        <f>LEFT(Table1[[#This Row],[membership_type]],2)&amp;TEXT(Table1[[#This Row],[age]],"00")&amp;"-"&amp;TEXT(ROW(),"000")</f>
        <v>Pr21-1823</v>
      </c>
      <c r="AK1823" t="str">
        <f>LEFT(Table1[[#This Row],[membership_type]],1)&amp;TEXT(MATCH(Table1[[#This Row],[membership_type]],Table1[membership_type],0),"00")</f>
        <v>P01</v>
      </c>
      <c r="AL1823" t="str">
        <f>LEFT(Table1[[#This Row],[discount_type]],1)&amp;TEXT(ROUND(Table1[[#This Row],[discount_rate]]*100,0),"00")</f>
        <v>N00</v>
      </c>
      <c r="AM1823" t="str" cm="1">
        <f t="array" ref="AM1823">TEXT(SUMPRODUCT(CODE(MID(Table1[[#This Row],[home_gym_location]],_xlfn.SEQUENCE(LEN(Table1[[#This Row],[home_gym_location]])),1))),"00000")</f>
        <v>01324</v>
      </c>
      <c r="AN1823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823" t="str">
        <f>LEFT(_xlfn.TEXTBEFORE(Table1[[#This Row],[Location Identifier]],"-"),3) &amp; "-" &amp; _xlfn.TEXTAFTER(Table1[[#This Row],[Location Identifier]],"-")</f>
        <v>BAK-002</v>
      </c>
      <c r="AP1823" s="9">
        <f t="shared" ca="1" si="280"/>
        <v>45869</v>
      </c>
    </row>
    <row r="1824" spans="1:42" x14ac:dyDescent="0.25">
      <c r="A1824">
        <v>19</v>
      </c>
      <c r="B1824" t="s">
        <v>33</v>
      </c>
      <c r="C1824">
        <v>4</v>
      </c>
      <c r="D1824" t="s">
        <v>146</v>
      </c>
      <c r="E1824" t="b">
        <v>0</v>
      </c>
      <c r="F1824" s="1">
        <v>0.46944444444444444</v>
      </c>
      <c r="G1824" s="1">
        <v>0.52638888888888891</v>
      </c>
      <c r="H1824">
        <v>82</v>
      </c>
      <c r="I1824" t="b">
        <v>0</v>
      </c>
      <c r="J1824" t="b">
        <v>0</v>
      </c>
      <c r="K1824" t="b">
        <v>1</v>
      </c>
      <c r="L1824" t="s">
        <v>62</v>
      </c>
      <c r="M1824">
        <v>30</v>
      </c>
      <c r="N1824" t="s">
        <v>29</v>
      </c>
      <c r="O1824">
        <v>30</v>
      </c>
      <c r="P1824" t="s">
        <v>40</v>
      </c>
      <c r="Q1824">
        <v>0.1</v>
      </c>
      <c r="R1824">
        <v>27</v>
      </c>
      <c r="S1824" t="s">
        <v>37</v>
      </c>
      <c r="T1824" t="s">
        <v>54</v>
      </c>
      <c r="U1824">
        <v>32.715699999999998</v>
      </c>
      <c r="V1824">
        <v>-117.1611</v>
      </c>
      <c r="W1824" s="2">
        <v>45006</v>
      </c>
      <c r="X1824">
        <v>0</v>
      </c>
      <c r="Y1824" t="b">
        <v>0</v>
      </c>
      <c r="Z1824" s="2">
        <v>45814</v>
      </c>
      <c r="AA1824" t="str">
        <f t="shared" si="281"/>
        <v>10–19</v>
      </c>
      <c r="AB1824" t="str">
        <f t="shared" si="282"/>
        <v>16–19</v>
      </c>
      <c r="AC1824" t="str">
        <f t="shared" si="283"/>
        <v/>
      </c>
      <c r="AD1824" t="str">
        <f t="shared" si="284"/>
        <v/>
      </c>
      <c r="AE1824" t="str">
        <f t="shared" si="285"/>
        <v/>
      </c>
      <c r="AF1824" t="str">
        <f t="shared" si="286"/>
        <v>Thursday</v>
      </c>
      <c r="AG1824" t="str">
        <f t="shared" si="287"/>
        <v>Friday</v>
      </c>
      <c r="AH1824" t="str">
        <f t="shared" si="288"/>
        <v>Saturday</v>
      </c>
      <c r="AI1824" t="str">
        <f t="shared" si="289"/>
        <v>Sunday</v>
      </c>
      <c r="AJ1824" t="str">
        <f>LEFT(Table1[[#This Row],[membership_type]],2)&amp;TEXT(Table1[[#This Row],[age]],"00")&amp;"-"&amp;TEXT(ROW(),"000")</f>
        <v>St19-1824</v>
      </c>
      <c r="AK1824" t="str">
        <f>LEFT(Table1[[#This Row],[membership_type]],1)&amp;TEXT(MATCH(Table1[[#This Row],[membership_type]],Table1[membership_type],0),"00")</f>
        <v>S02</v>
      </c>
      <c r="AL1824" t="str">
        <f>LEFT(Table1[[#This Row],[discount_type]],1)&amp;TEXT(ROUND(Table1[[#This Row],[discount_rate]]*100,0),"00")</f>
        <v>L10</v>
      </c>
      <c r="AM1824" t="str" cm="1">
        <f t="array" ref="AM1824">TEXT(SUMPRODUCT(CODE(MID(Table1[[#This Row],[home_gym_location]],_xlfn.SEQUENCE(LEN(Table1[[#This Row],[home_gym_location]])),1))),"00000")</f>
        <v>01018</v>
      </c>
      <c r="AN182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24" t="str">
        <f>LEFT(_xlfn.TEXTBEFORE(Table1[[#This Row],[Location Identifier]],"-"),3) &amp; "-" &amp; _xlfn.TEXTAFTER(Table1[[#This Row],[Location Identifier]],"-")</f>
        <v>SAN-008</v>
      </c>
      <c r="AP1824" s="9">
        <f t="shared" ca="1" si="280"/>
        <v>45869</v>
      </c>
    </row>
    <row r="1825" spans="1:42" x14ac:dyDescent="0.25">
      <c r="A1825">
        <v>24</v>
      </c>
      <c r="B1825" t="s">
        <v>42</v>
      </c>
      <c r="C1825">
        <v>3</v>
      </c>
      <c r="D1825" t="s">
        <v>155</v>
      </c>
      <c r="E1825" t="b">
        <v>1</v>
      </c>
      <c r="F1825" s="1">
        <v>0.63680555555555551</v>
      </c>
      <c r="G1825" s="1">
        <v>0.6694444444444444</v>
      </c>
      <c r="H1825">
        <v>47</v>
      </c>
      <c r="I1825" t="b">
        <v>0</v>
      </c>
      <c r="J1825" t="b">
        <v>1</v>
      </c>
      <c r="K1825" t="b">
        <v>1</v>
      </c>
      <c r="L1825" t="s">
        <v>35</v>
      </c>
      <c r="M1825">
        <v>20</v>
      </c>
      <c r="N1825" t="s">
        <v>64</v>
      </c>
      <c r="O1825">
        <v>15</v>
      </c>
      <c r="P1825" t="s">
        <v>36</v>
      </c>
      <c r="Q1825">
        <v>0</v>
      </c>
      <c r="R1825">
        <v>15</v>
      </c>
      <c r="S1825" t="s">
        <v>44</v>
      </c>
      <c r="T1825" t="s">
        <v>48</v>
      </c>
      <c r="U1825">
        <v>38.581600000000002</v>
      </c>
      <c r="V1825">
        <v>-121.4944</v>
      </c>
      <c r="W1825" s="2">
        <v>45145</v>
      </c>
      <c r="X1825">
        <v>4</v>
      </c>
      <c r="Y1825" t="b">
        <v>1</v>
      </c>
      <c r="Z1825" s="2">
        <v>45822</v>
      </c>
      <c r="AA1825" t="str">
        <f t="shared" si="281"/>
        <v>20–29</v>
      </c>
      <c r="AB1825" t="str">
        <f t="shared" si="282"/>
        <v>20–29</v>
      </c>
      <c r="AC1825" t="str">
        <f t="shared" si="283"/>
        <v>Monday</v>
      </c>
      <c r="AD1825" t="str">
        <f t="shared" si="284"/>
        <v/>
      </c>
      <c r="AE1825" t="str">
        <f t="shared" si="285"/>
        <v>Wednesday</v>
      </c>
      <c r="AF1825" t="str">
        <f t="shared" si="286"/>
        <v>Thursday</v>
      </c>
      <c r="AG1825" t="str">
        <f t="shared" si="287"/>
        <v/>
      </c>
      <c r="AH1825" t="str">
        <f t="shared" si="288"/>
        <v/>
      </c>
      <c r="AI1825" t="str">
        <f t="shared" si="289"/>
        <v/>
      </c>
      <c r="AJ1825" t="str">
        <f>LEFT(Table1[[#This Row],[membership_type]],2)&amp;TEXT(Table1[[#This Row],[age]],"00")&amp;"-"&amp;TEXT(ROW(),"000")</f>
        <v>Ba24-1825</v>
      </c>
      <c r="AK1825" t="str">
        <f>LEFT(Table1[[#This Row],[membership_type]],1)&amp;TEXT(MATCH(Table1[[#This Row],[membership_type]],Table1[membership_type],0),"00")</f>
        <v>B04</v>
      </c>
      <c r="AL1825" t="str">
        <f>LEFT(Table1[[#This Row],[discount_type]],1)&amp;TEXT(ROUND(Table1[[#This Row],[discount_rate]]*100,0),"00")</f>
        <v>N00</v>
      </c>
      <c r="AM1825" t="str" cm="1">
        <f t="array" ref="AM1825">TEXT(SUMPRODUCT(CODE(MID(Table1[[#This Row],[home_gym_location]],_xlfn.SEQUENCE(LEN(Table1[[#This Row],[home_gym_location]])),1))),"00000")</f>
        <v>01245</v>
      </c>
      <c r="AN182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25" t="str">
        <f>LEFT(_xlfn.TEXTBEFORE(Table1[[#This Row],[Location Identifier]],"-"),3) &amp; "-" &amp; _xlfn.TEXTAFTER(Table1[[#This Row],[Location Identifier]],"-")</f>
        <v>SAC-007</v>
      </c>
      <c r="AP1825" s="9">
        <f t="shared" ca="1" si="280"/>
        <v>45869</v>
      </c>
    </row>
    <row r="1826" spans="1:42" x14ac:dyDescent="0.25">
      <c r="A1826">
        <v>24</v>
      </c>
      <c r="B1826" t="s">
        <v>42</v>
      </c>
      <c r="C1826">
        <v>3</v>
      </c>
      <c r="D1826" t="s">
        <v>57</v>
      </c>
      <c r="E1826" t="b">
        <v>1</v>
      </c>
      <c r="F1826" s="1">
        <v>0.5</v>
      </c>
      <c r="G1826" s="1">
        <v>0.58888888888888891</v>
      </c>
      <c r="H1826">
        <v>128</v>
      </c>
      <c r="I1826" t="b">
        <v>1</v>
      </c>
      <c r="J1826" t="b">
        <v>0</v>
      </c>
      <c r="K1826" t="b">
        <v>1</v>
      </c>
      <c r="L1826" t="s">
        <v>58</v>
      </c>
      <c r="M1826">
        <v>20</v>
      </c>
      <c r="N1826" t="s">
        <v>29</v>
      </c>
      <c r="O1826">
        <v>20</v>
      </c>
      <c r="P1826" t="s">
        <v>40</v>
      </c>
      <c r="Q1826">
        <v>0.1</v>
      </c>
      <c r="R1826">
        <v>18</v>
      </c>
      <c r="S1826" t="s">
        <v>44</v>
      </c>
      <c r="T1826" t="s">
        <v>59</v>
      </c>
      <c r="U1826">
        <v>37.774900000000002</v>
      </c>
      <c r="V1826">
        <v>-122.4194</v>
      </c>
      <c r="W1826" s="2">
        <v>45266</v>
      </c>
      <c r="X1826">
        <v>0</v>
      </c>
      <c r="Y1826" t="b">
        <v>0</v>
      </c>
      <c r="Z1826" s="2">
        <v>45829</v>
      </c>
      <c r="AA1826" t="str">
        <f t="shared" si="281"/>
        <v>20–29</v>
      </c>
      <c r="AB1826" t="str">
        <f t="shared" si="282"/>
        <v>20–29</v>
      </c>
      <c r="AC1826" t="str">
        <f t="shared" si="283"/>
        <v/>
      </c>
      <c r="AD1826" t="str">
        <f t="shared" si="284"/>
        <v/>
      </c>
      <c r="AE1826" t="str">
        <f t="shared" si="285"/>
        <v>Wednesday</v>
      </c>
      <c r="AF1826" t="str">
        <f t="shared" si="286"/>
        <v>Thursday</v>
      </c>
      <c r="AG1826" t="str">
        <f t="shared" si="287"/>
        <v/>
      </c>
      <c r="AH1826" t="str">
        <f t="shared" si="288"/>
        <v>Saturday</v>
      </c>
      <c r="AI1826" t="str">
        <f t="shared" si="289"/>
        <v/>
      </c>
      <c r="AJ1826" t="str">
        <f>LEFT(Table1[[#This Row],[membership_type]],2)&amp;TEXT(Table1[[#This Row],[age]],"00")&amp;"-"&amp;TEXT(ROW(),"000")</f>
        <v>Ba24-1826</v>
      </c>
      <c r="AK1826" t="str">
        <f>LEFT(Table1[[#This Row],[membership_type]],1)&amp;TEXT(MATCH(Table1[[#This Row],[membership_type]],Table1[membership_type],0),"00")</f>
        <v>B04</v>
      </c>
      <c r="AL1826" t="str">
        <f>LEFT(Table1[[#This Row],[discount_type]],1)&amp;TEXT(ROUND(Table1[[#This Row],[discount_rate]]*100,0),"00")</f>
        <v>L10</v>
      </c>
      <c r="AM1826" t="str" cm="1">
        <f t="array" ref="AM1826">TEXT(SUMPRODUCT(CODE(MID(Table1[[#This Row],[home_gym_location]],_xlfn.SEQUENCE(LEN(Table1[[#This Row],[home_gym_location]])),1))),"00000")</f>
        <v>01450</v>
      </c>
      <c r="AN182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26" t="str">
        <f>LEFT(_xlfn.TEXTBEFORE(Table1[[#This Row],[Location Identifier]],"-"),3) &amp; "-" &amp; _xlfn.TEXTAFTER(Table1[[#This Row],[Location Identifier]],"-")</f>
        <v>SAN-009</v>
      </c>
      <c r="AP1826" s="9">
        <f t="shared" ca="1" si="280"/>
        <v>45869</v>
      </c>
    </row>
    <row r="1827" spans="1:42" x14ac:dyDescent="0.25">
      <c r="A1827">
        <v>34</v>
      </c>
      <c r="B1827" t="s">
        <v>33</v>
      </c>
      <c r="C1827">
        <v>1</v>
      </c>
      <c r="D1827" t="s">
        <v>49</v>
      </c>
      <c r="E1827" t="b">
        <v>1</v>
      </c>
      <c r="F1827" s="1">
        <v>0.38472222222222224</v>
      </c>
      <c r="G1827" s="1">
        <v>0.49444444444444446</v>
      </c>
      <c r="H1827">
        <v>158</v>
      </c>
      <c r="I1827" t="b">
        <v>0</v>
      </c>
      <c r="J1827" t="b">
        <v>1</v>
      </c>
      <c r="K1827" t="b">
        <v>0</v>
      </c>
      <c r="L1827" t="s">
        <v>28</v>
      </c>
      <c r="M1827">
        <v>30</v>
      </c>
      <c r="N1827" t="s">
        <v>64</v>
      </c>
      <c r="O1827">
        <v>22.5</v>
      </c>
      <c r="P1827" t="s">
        <v>36</v>
      </c>
      <c r="Q1827">
        <v>0</v>
      </c>
      <c r="R1827">
        <v>22.5</v>
      </c>
      <c r="S1827" t="s">
        <v>37</v>
      </c>
      <c r="T1827" t="s">
        <v>45</v>
      </c>
      <c r="U1827">
        <v>33.836599999999997</v>
      </c>
      <c r="V1827">
        <v>-117.9143</v>
      </c>
      <c r="W1827" s="2">
        <v>45786</v>
      </c>
      <c r="X1827">
        <v>6</v>
      </c>
      <c r="Y1827" t="b">
        <v>0</v>
      </c>
      <c r="Z1827" s="2">
        <v>45858</v>
      </c>
      <c r="AA1827" t="str">
        <f t="shared" si="281"/>
        <v>30–39</v>
      </c>
      <c r="AB1827" t="str">
        <f t="shared" si="282"/>
        <v>30–39</v>
      </c>
      <c r="AC1827" t="str">
        <f t="shared" si="283"/>
        <v/>
      </c>
      <c r="AD1827" t="str">
        <f t="shared" si="284"/>
        <v/>
      </c>
      <c r="AE1827" t="str">
        <f t="shared" si="285"/>
        <v/>
      </c>
      <c r="AF1827" t="str">
        <f t="shared" si="286"/>
        <v/>
      </c>
      <c r="AG1827" t="str">
        <f t="shared" si="287"/>
        <v/>
      </c>
      <c r="AH1827" t="str">
        <f t="shared" si="288"/>
        <v/>
      </c>
      <c r="AI1827" t="str">
        <f t="shared" si="289"/>
        <v>Sunday</v>
      </c>
      <c r="AJ1827" t="str">
        <f>LEFT(Table1[[#This Row],[membership_type]],2)&amp;TEXT(Table1[[#This Row],[age]],"00")&amp;"-"&amp;TEXT(ROW(),"000")</f>
        <v>St34-1827</v>
      </c>
      <c r="AK1827" t="str">
        <f>LEFT(Table1[[#This Row],[membership_type]],1)&amp;TEXT(MATCH(Table1[[#This Row],[membership_type]],Table1[membership_type],0),"00")</f>
        <v>S02</v>
      </c>
      <c r="AL1827" t="str">
        <f>LEFT(Table1[[#This Row],[discount_type]],1)&amp;TEXT(ROUND(Table1[[#This Row],[discount_rate]]*100,0),"00")</f>
        <v>N00</v>
      </c>
      <c r="AM1827" t="str" cm="1">
        <f t="array" ref="AM1827">TEXT(SUMPRODUCT(CODE(MID(Table1[[#This Row],[home_gym_location]],_xlfn.SEQUENCE(LEN(Table1[[#This Row],[home_gym_location]])),1))),"00000")</f>
        <v>00899</v>
      </c>
      <c r="AN182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27" t="str">
        <f>LEFT(_xlfn.TEXTBEFORE(Table1[[#This Row],[Location Identifier]],"-"),3) &amp; "-" &amp; _xlfn.TEXTAFTER(Table1[[#This Row],[Location Identifier]],"-")</f>
        <v>ANA-001</v>
      </c>
      <c r="AP1827" s="9">
        <f t="shared" ca="1" si="280"/>
        <v>45869</v>
      </c>
    </row>
    <row r="1828" spans="1:42" x14ac:dyDescent="0.25">
      <c r="A1828">
        <v>15</v>
      </c>
      <c r="B1828" t="s">
        <v>33</v>
      </c>
      <c r="C1828">
        <v>2</v>
      </c>
      <c r="D1828" t="s">
        <v>130</v>
      </c>
      <c r="E1828" t="b">
        <v>1</v>
      </c>
      <c r="F1828" s="1">
        <v>0.79652777777777772</v>
      </c>
      <c r="G1828" s="1">
        <v>0.91805555555555551</v>
      </c>
      <c r="H1828">
        <v>175</v>
      </c>
      <c r="I1828" t="b">
        <v>1</v>
      </c>
      <c r="J1828" t="b">
        <v>0</v>
      </c>
      <c r="K1828" t="b">
        <v>1</v>
      </c>
      <c r="L1828" t="s">
        <v>28</v>
      </c>
      <c r="M1828">
        <v>30</v>
      </c>
      <c r="N1828" t="s">
        <v>78</v>
      </c>
      <c r="O1828">
        <v>27</v>
      </c>
      <c r="P1828" t="s">
        <v>36</v>
      </c>
      <c r="Q1828">
        <v>0</v>
      </c>
      <c r="R1828">
        <v>27</v>
      </c>
      <c r="S1828" t="s">
        <v>37</v>
      </c>
      <c r="T1828" t="s">
        <v>45</v>
      </c>
      <c r="U1828">
        <v>33.836599999999997</v>
      </c>
      <c r="V1828">
        <v>-117.9143</v>
      </c>
      <c r="W1828" s="2">
        <v>44799</v>
      </c>
      <c r="X1828">
        <v>0</v>
      </c>
      <c r="Y1828" t="b">
        <v>0</v>
      </c>
      <c r="Z1828" s="2">
        <v>45802</v>
      </c>
      <c r="AA1828" t="str">
        <f t="shared" si="281"/>
        <v>10–19</v>
      </c>
      <c r="AB1828" t="str">
        <f t="shared" si="282"/>
        <v>Under 16</v>
      </c>
      <c r="AC1828" t="str">
        <f t="shared" si="283"/>
        <v>Monday</v>
      </c>
      <c r="AD1828" t="str">
        <f t="shared" si="284"/>
        <v/>
      </c>
      <c r="AE1828" t="str">
        <f t="shared" si="285"/>
        <v/>
      </c>
      <c r="AF1828" t="str">
        <f t="shared" si="286"/>
        <v>Thursday</v>
      </c>
      <c r="AG1828" t="str">
        <f t="shared" si="287"/>
        <v/>
      </c>
      <c r="AH1828" t="str">
        <f t="shared" si="288"/>
        <v/>
      </c>
      <c r="AI1828" t="str">
        <f t="shared" si="289"/>
        <v/>
      </c>
      <c r="AJ1828" t="str">
        <f>LEFT(Table1[[#This Row],[membership_type]],2)&amp;TEXT(Table1[[#This Row],[age]],"00")&amp;"-"&amp;TEXT(ROW(),"000")</f>
        <v>St15-1828</v>
      </c>
      <c r="AK1828" t="str">
        <f>LEFT(Table1[[#This Row],[membership_type]],1)&amp;TEXT(MATCH(Table1[[#This Row],[membership_type]],Table1[membership_type],0),"00")</f>
        <v>S02</v>
      </c>
      <c r="AL1828" t="str">
        <f>LEFT(Table1[[#This Row],[discount_type]],1)&amp;TEXT(ROUND(Table1[[#This Row],[discount_rate]]*100,0),"00")</f>
        <v>N00</v>
      </c>
      <c r="AM1828" t="str" cm="1">
        <f t="array" ref="AM1828">TEXT(SUMPRODUCT(CODE(MID(Table1[[#This Row],[home_gym_location]],_xlfn.SEQUENCE(LEN(Table1[[#This Row],[home_gym_location]])),1))),"00000")</f>
        <v>00899</v>
      </c>
      <c r="AN182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28" t="str">
        <f>LEFT(_xlfn.TEXTBEFORE(Table1[[#This Row],[Location Identifier]],"-"),3) &amp; "-" &amp; _xlfn.TEXTAFTER(Table1[[#This Row],[Location Identifier]],"-")</f>
        <v>ANA-001</v>
      </c>
      <c r="AP1828" s="9">
        <f t="shared" ca="1" si="280"/>
        <v>45869</v>
      </c>
    </row>
    <row r="1829" spans="1:42" x14ac:dyDescent="0.25">
      <c r="A1829">
        <v>40</v>
      </c>
      <c r="B1829" t="s">
        <v>26</v>
      </c>
      <c r="C1829">
        <v>3</v>
      </c>
      <c r="D1829" t="s">
        <v>117</v>
      </c>
      <c r="E1829" t="b">
        <v>0</v>
      </c>
      <c r="F1829" s="1">
        <v>0.49861111111111112</v>
      </c>
      <c r="G1829" s="1">
        <v>0.60486111111111107</v>
      </c>
      <c r="H1829">
        <v>153</v>
      </c>
      <c r="I1829" t="b">
        <v>1</v>
      </c>
      <c r="J1829" t="b">
        <v>1</v>
      </c>
      <c r="K1829" t="b">
        <v>0</v>
      </c>
      <c r="L1829" t="s">
        <v>62</v>
      </c>
      <c r="M1829">
        <v>50</v>
      </c>
      <c r="N1829" t="s">
        <v>29</v>
      </c>
      <c r="O1829">
        <v>50</v>
      </c>
      <c r="P1829" t="s">
        <v>36</v>
      </c>
      <c r="Q1829">
        <v>0</v>
      </c>
      <c r="R1829">
        <v>50</v>
      </c>
      <c r="S1829" t="s">
        <v>31</v>
      </c>
      <c r="T1829" t="s">
        <v>65</v>
      </c>
      <c r="U1829">
        <v>33.770099999999999</v>
      </c>
      <c r="V1829">
        <v>-118.19370000000001</v>
      </c>
      <c r="W1829" s="2">
        <v>44980</v>
      </c>
      <c r="X1829">
        <v>5</v>
      </c>
      <c r="Y1829" t="b">
        <v>1</v>
      </c>
      <c r="Z1829" s="2">
        <v>45813</v>
      </c>
      <c r="AA1829" t="str">
        <f t="shared" si="281"/>
        <v>40–49</v>
      </c>
      <c r="AB1829" t="str">
        <f t="shared" si="282"/>
        <v>40–49</v>
      </c>
      <c r="AC1829" t="str">
        <f t="shared" si="283"/>
        <v/>
      </c>
      <c r="AD1829" t="str">
        <f t="shared" si="284"/>
        <v/>
      </c>
      <c r="AE1829" t="str">
        <f t="shared" si="285"/>
        <v>Wednesday</v>
      </c>
      <c r="AF1829" t="str">
        <f t="shared" si="286"/>
        <v>Thursday</v>
      </c>
      <c r="AG1829" t="str">
        <f t="shared" si="287"/>
        <v/>
      </c>
      <c r="AH1829" t="str">
        <f t="shared" si="288"/>
        <v/>
      </c>
      <c r="AI1829" t="str">
        <f t="shared" si="289"/>
        <v>Sunday</v>
      </c>
      <c r="AJ1829" t="str">
        <f>LEFT(Table1[[#This Row],[membership_type]],2)&amp;TEXT(Table1[[#This Row],[age]],"00")&amp;"-"&amp;TEXT(ROW(),"000")</f>
        <v>Pr40-1829</v>
      </c>
      <c r="AK1829" t="str">
        <f>LEFT(Table1[[#This Row],[membership_type]],1)&amp;TEXT(MATCH(Table1[[#This Row],[membership_type]],Table1[membership_type],0),"00")</f>
        <v>P01</v>
      </c>
      <c r="AL1829" t="str">
        <f>LEFT(Table1[[#This Row],[discount_type]],1)&amp;TEXT(ROUND(Table1[[#This Row],[discount_rate]]*100,0),"00")</f>
        <v>N00</v>
      </c>
      <c r="AM1829" t="str" cm="1">
        <f t="array" ref="AM1829">TEXT(SUMPRODUCT(CODE(MID(Table1[[#This Row],[home_gym_location]],_xlfn.SEQUENCE(LEN(Table1[[#This Row],[home_gym_location]])),1))),"00000")</f>
        <v>01107</v>
      </c>
      <c r="AN182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29" t="str">
        <f>LEFT(_xlfn.TEXTBEFORE(Table1[[#This Row],[Location Identifier]],"-"),3) &amp; "-" &amp; _xlfn.TEXTAFTER(Table1[[#This Row],[Location Identifier]],"-")</f>
        <v>LON-004</v>
      </c>
      <c r="AP1829" s="9">
        <f t="shared" ca="1" si="280"/>
        <v>45869</v>
      </c>
    </row>
    <row r="1830" spans="1:42" x14ac:dyDescent="0.25">
      <c r="A1830">
        <v>40</v>
      </c>
      <c r="B1830" t="s">
        <v>33</v>
      </c>
      <c r="C1830">
        <v>3</v>
      </c>
      <c r="D1830" t="s">
        <v>55</v>
      </c>
      <c r="E1830" t="b">
        <v>1</v>
      </c>
      <c r="F1830" s="1">
        <v>0.71180555555555558</v>
      </c>
      <c r="G1830" s="1">
        <v>0.81874999999999998</v>
      </c>
      <c r="H1830">
        <v>154</v>
      </c>
      <c r="I1830" t="b">
        <v>0</v>
      </c>
      <c r="J1830" t="b">
        <v>1</v>
      </c>
      <c r="K1830" t="b">
        <v>0</v>
      </c>
      <c r="L1830" t="s">
        <v>28</v>
      </c>
      <c r="M1830">
        <v>30</v>
      </c>
      <c r="N1830" t="s">
        <v>29</v>
      </c>
      <c r="O1830">
        <v>30</v>
      </c>
      <c r="P1830" t="s">
        <v>36</v>
      </c>
      <c r="Q1830">
        <v>0</v>
      </c>
      <c r="R1830">
        <v>30</v>
      </c>
      <c r="S1830" t="s">
        <v>37</v>
      </c>
      <c r="T1830" t="s">
        <v>38</v>
      </c>
      <c r="U1830">
        <v>36.7378</v>
      </c>
      <c r="V1830">
        <v>-119.7871</v>
      </c>
      <c r="W1830" s="2">
        <v>45519</v>
      </c>
      <c r="X1830">
        <v>6</v>
      </c>
      <c r="Y1830" t="b">
        <v>0</v>
      </c>
      <c r="Z1830" s="2">
        <v>45843</v>
      </c>
      <c r="AA1830" t="str">
        <f t="shared" si="281"/>
        <v>40–49</v>
      </c>
      <c r="AB1830" t="str">
        <f t="shared" si="282"/>
        <v>40–49</v>
      </c>
      <c r="AC1830" t="str">
        <f t="shared" si="283"/>
        <v/>
      </c>
      <c r="AD1830" t="str">
        <f t="shared" si="284"/>
        <v/>
      </c>
      <c r="AE1830" t="str">
        <f t="shared" si="285"/>
        <v/>
      </c>
      <c r="AF1830" t="str">
        <f t="shared" si="286"/>
        <v>Thursday</v>
      </c>
      <c r="AG1830" t="str">
        <f t="shared" si="287"/>
        <v>Friday</v>
      </c>
      <c r="AH1830" t="str">
        <f t="shared" si="288"/>
        <v/>
      </c>
      <c r="AI1830" t="str">
        <f t="shared" si="289"/>
        <v>Sunday</v>
      </c>
      <c r="AJ1830" t="str">
        <f>LEFT(Table1[[#This Row],[membership_type]],2)&amp;TEXT(Table1[[#This Row],[age]],"00")&amp;"-"&amp;TEXT(ROW(),"000")</f>
        <v>St40-1830</v>
      </c>
      <c r="AK1830" t="str">
        <f>LEFT(Table1[[#This Row],[membership_type]],1)&amp;TEXT(MATCH(Table1[[#This Row],[membership_type]],Table1[membership_type],0),"00")</f>
        <v>S02</v>
      </c>
      <c r="AL1830" t="str">
        <f>LEFT(Table1[[#This Row],[discount_type]],1)&amp;TEXT(ROUND(Table1[[#This Row],[discount_rate]]*100,0),"00")</f>
        <v>N00</v>
      </c>
      <c r="AM1830" t="str" cm="1">
        <f t="array" ref="AM1830">TEXT(SUMPRODUCT(CODE(MID(Table1[[#This Row],[home_gym_location]],_xlfn.SEQUENCE(LEN(Table1[[#This Row],[home_gym_location]])),1))),"00000")</f>
        <v>00829</v>
      </c>
      <c r="AN1830" t="str">
        <f>UPPER(_xlfn.TEXTBEFORE(Table1[[#This Row],[home_gym_location]],","))&amp;"-"&amp;TEXT(MATCH(Table1[[#This Row],[home_gym_location]],_xlfn._xlws.SORT(_xlfn.UNIQUE(Table1[home_gym_location])),0),"000")</f>
        <v>FRESNO-003</v>
      </c>
      <c r="AO1830" t="str">
        <f>LEFT(_xlfn.TEXTBEFORE(Table1[[#This Row],[Location Identifier]],"-"),3) &amp; "-" &amp; _xlfn.TEXTAFTER(Table1[[#This Row],[Location Identifier]],"-")</f>
        <v>FRE-003</v>
      </c>
      <c r="AP1830" s="9">
        <f t="shared" ca="1" si="280"/>
        <v>45869</v>
      </c>
    </row>
    <row r="1831" spans="1:42" x14ac:dyDescent="0.25">
      <c r="A1831">
        <v>15</v>
      </c>
      <c r="B1831" t="s">
        <v>26</v>
      </c>
      <c r="C1831">
        <v>3</v>
      </c>
      <c r="D1831" t="s">
        <v>93</v>
      </c>
      <c r="E1831" t="b">
        <v>0</v>
      </c>
      <c r="F1831" s="1">
        <v>0.41319444444444442</v>
      </c>
      <c r="G1831" s="1">
        <v>0.46319444444444446</v>
      </c>
      <c r="H1831">
        <v>72</v>
      </c>
      <c r="I1831" t="b">
        <v>1</v>
      </c>
      <c r="J1831" t="b">
        <v>1</v>
      </c>
      <c r="K1831" t="b">
        <v>1</v>
      </c>
      <c r="L1831" t="s">
        <v>47</v>
      </c>
      <c r="M1831">
        <v>50</v>
      </c>
      <c r="N1831" t="s">
        <v>29</v>
      </c>
      <c r="O1831">
        <v>50</v>
      </c>
      <c r="P1831" t="s">
        <v>36</v>
      </c>
      <c r="Q1831">
        <v>0</v>
      </c>
      <c r="R1831">
        <v>50</v>
      </c>
      <c r="S1831" t="s">
        <v>31</v>
      </c>
      <c r="T1831" t="s">
        <v>32</v>
      </c>
      <c r="U1831">
        <v>37.338200000000001</v>
      </c>
      <c r="V1831">
        <v>-121.88630000000001</v>
      </c>
      <c r="W1831" s="2">
        <v>44787</v>
      </c>
      <c r="X1831">
        <v>3</v>
      </c>
      <c r="Y1831" t="b">
        <v>1</v>
      </c>
      <c r="Z1831" s="2">
        <v>45802</v>
      </c>
      <c r="AA1831" t="str">
        <f t="shared" si="281"/>
        <v>10–19</v>
      </c>
      <c r="AB1831" t="str">
        <f t="shared" si="282"/>
        <v>Under 16</v>
      </c>
      <c r="AC1831" t="str">
        <f t="shared" si="283"/>
        <v>Monday</v>
      </c>
      <c r="AD1831" t="str">
        <f t="shared" si="284"/>
        <v>Tuesday</v>
      </c>
      <c r="AE1831" t="str">
        <f t="shared" si="285"/>
        <v/>
      </c>
      <c r="AF1831" t="str">
        <f t="shared" si="286"/>
        <v>Thursday</v>
      </c>
      <c r="AG1831" t="str">
        <f t="shared" si="287"/>
        <v/>
      </c>
      <c r="AH1831" t="str">
        <f t="shared" si="288"/>
        <v/>
      </c>
      <c r="AI1831" t="str">
        <f t="shared" si="289"/>
        <v/>
      </c>
      <c r="AJ1831" t="str">
        <f>LEFT(Table1[[#This Row],[membership_type]],2)&amp;TEXT(Table1[[#This Row],[age]],"00")&amp;"-"&amp;TEXT(ROW(),"000")</f>
        <v>Pr15-1831</v>
      </c>
      <c r="AK1831" t="str">
        <f>LEFT(Table1[[#This Row],[membership_type]],1)&amp;TEXT(MATCH(Table1[[#This Row],[membership_type]],Table1[membership_type],0),"00")</f>
        <v>P01</v>
      </c>
      <c r="AL1831" t="str">
        <f>LEFT(Table1[[#This Row],[discount_type]],1)&amp;TEXT(ROUND(Table1[[#This Row],[discount_rate]]*100,0),"00")</f>
        <v>N00</v>
      </c>
      <c r="AM1831" t="str" cm="1">
        <f t="array" ref="AM1831">TEXT(SUMPRODUCT(CODE(MID(Table1[[#This Row],[home_gym_location]],_xlfn.SEQUENCE(LEN(Table1[[#This Row],[home_gym_location]])),1))),"00000")</f>
        <v>00931</v>
      </c>
      <c r="AN183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31" t="str">
        <f>LEFT(_xlfn.TEXTBEFORE(Table1[[#This Row],[Location Identifier]],"-"),3) &amp; "-" &amp; _xlfn.TEXTAFTER(Table1[[#This Row],[Location Identifier]],"-")</f>
        <v>SAN-010</v>
      </c>
      <c r="AP1831" s="9">
        <f t="shared" ca="1" si="280"/>
        <v>45869</v>
      </c>
    </row>
    <row r="1832" spans="1:42" x14ac:dyDescent="0.25">
      <c r="A1832">
        <v>49</v>
      </c>
      <c r="B1832" t="s">
        <v>33</v>
      </c>
      <c r="C1832">
        <v>3</v>
      </c>
      <c r="D1832" t="s">
        <v>102</v>
      </c>
      <c r="E1832" t="b">
        <v>1</v>
      </c>
      <c r="F1832" s="1">
        <v>0.86111111111111116</v>
      </c>
      <c r="G1832" s="1">
        <v>0.89166666666666672</v>
      </c>
      <c r="H1832">
        <v>44</v>
      </c>
      <c r="I1832" t="b">
        <v>0</v>
      </c>
      <c r="J1832" t="b">
        <v>1</v>
      </c>
      <c r="K1832" t="b">
        <v>0</v>
      </c>
      <c r="L1832" t="s">
        <v>62</v>
      </c>
      <c r="M1832">
        <v>30</v>
      </c>
      <c r="N1832" t="s">
        <v>29</v>
      </c>
      <c r="O1832">
        <v>30</v>
      </c>
      <c r="P1832" t="s">
        <v>36</v>
      </c>
      <c r="Q1832">
        <v>0</v>
      </c>
      <c r="R1832">
        <v>30</v>
      </c>
      <c r="S1832" t="s">
        <v>37</v>
      </c>
      <c r="T1832" t="s">
        <v>54</v>
      </c>
      <c r="U1832">
        <v>32.715699999999998</v>
      </c>
      <c r="V1832">
        <v>-117.1611</v>
      </c>
      <c r="W1832" s="2">
        <v>45189</v>
      </c>
      <c r="X1832">
        <v>7</v>
      </c>
      <c r="Y1832" t="b">
        <v>0</v>
      </c>
      <c r="Z1832" s="2">
        <v>45824</v>
      </c>
      <c r="AA1832" t="str">
        <f t="shared" si="281"/>
        <v>40–49</v>
      </c>
      <c r="AB1832" t="str">
        <f t="shared" si="282"/>
        <v>40–49</v>
      </c>
      <c r="AC1832" t="str">
        <f t="shared" si="283"/>
        <v/>
      </c>
      <c r="AD1832" t="str">
        <f t="shared" si="284"/>
        <v/>
      </c>
      <c r="AE1832" t="str">
        <f t="shared" si="285"/>
        <v/>
      </c>
      <c r="AF1832" t="str">
        <f t="shared" si="286"/>
        <v>Thursday</v>
      </c>
      <c r="AG1832" t="str">
        <f t="shared" si="287"/>
        <v>Friday</v>
      </c>
      <c r="AH1832" t="str">
        <f t="shared" si="288"/>
        <v>Saturday</v>
      </c>
      <c r="AI1832" t="str">
        <f t="shared" si="289"/>
        <v/>
      </c>
      <c r="AJ1832" t="str">
        <f>LEFT(Table1[[#This Row],[membership_type]],2)&amp;TEXT(Table1[[#This Row],[age]],"00")&amp;"-"&amp;TEXT(ROW(),"000")</f>
        <v>St49-1832</v>
      </c>
      <c r="AK1832" t="str">
        <f>LEFT(Table1[[#This Row],[membership_type]],1)&amp;TEXT(MATCH(Table1[[#This Row],[membership_type]],Table1[membership_type],0),"00")</f>
        <v>S02</v>
      </c>
      <c r="AL1832" t="str">
        <f>LEFT(Table1[[#This Row],[discount_type]],1)&amp;TEXT(ROUND(Table1[[#This Row],[discount_rate]]*100,0),"00")</f>
        <v>N00</v>
      </c>
      <c r="AM1832" t="str" cm="1">
        <f t="array" ref="AM1832">TEXT(SUMPRODUCT(CODE(MID(Table1[[#This Row],[home_gym_location]],_xlfn.SEQUENCE(LEN(Table1[[#This Row],[home_gym_location]])),1))),"00000")</f>
        <v>01018</v>
      </c>
      <c r="AN183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32" t="str">
        <f>LEFT(_xlfn.TEXTBEFORE(Table1[[#This Row],[Location Identifier]],"-"),3) &amp; "-" &amp; _xlfn.TEXTAFTER(Table1[[#This Row],[Location Identifier]],"-")</f>
        <v>SAN-008</v>
      </c>
      <c r="AP1832" s="9">
        <f t="shared" ca="1" si="280"/>
        <v>45869</v>
      </c>
    </row>
    <row r="1833" spans="1:42" x14ac:dyDescent="0.25">
      <c r="A1833">
        <v>38</v>
      </c>
      <c r="B1833" t="s">
        <v>26</v>
      </c>
      <c r="C1833">
        <v>5</v>
      </c>
      <c r="D1833" t="s">
        <v>150</v>
      </c>
      <c r="E1833" t="b">
        <v>0</v>
      </c>
      <c r="F1833" s="1">
        <v>0.74930555555555556</v>
      </c>
      <c r="G1833" s="1">
        <v>0.87083333333333335</v>
      </c>
      <c r="H1833">
        <v>175</v>
      </c>
      <c r="I1833" t="b">
        <v>1</v>
      </c>
      <c r="J1833" t="b">
        <v>0</v>
      </c>
      <c r="K1833" t="b">
        <v>1</v>
      </c>
      <c r="L1833" t="s">
        <v>62</v>
      </c>
      <c r="M1833">
        <v>50</v>
      </c>
      <c r="N1833" t="s">
        <v>29</v>
      </c>
      <c r="O1833">
        <v>50</v>
      </c>
      <c r="P1833" t="s">
        <v>36</v>
      </c>
      <c r="Q1833">
        <v>0</v>
      </c>
      <c r="R1833">
        <v>50</v>
      </c>
      <c r="S1833" t="s">
        <v>31</v>
      </c>
      <c r="T1833" t="s">
        <v>48</v>
      </c>
      <c r="U1833">
        <v>38.581600000000002</v>
      </c>
      <c r="V1833">
        <v>-121.4944</v>
      </c>
      <c r="W1833" s="2">
        <v>45210</v>
      </c>
      <c r="X1833">
        <v>0</v>
      </c>
      <c r="Y1833" t="b">
        <v>1</v>
      </c>
      <c r="Z1833" s="2">
        <v>45826</v>
      </c>
      <c r="AA1833" t="str">
        <f t="shared" si="281"/>
        <v>30–39</v>
      </c>
      <c r="AB1833" t="str">
        <f t="shared" si="282"/>
        <v>30–39</v>
      </c>
      <c r="AC1833" t="str">
        <f t="shared" si="283"/>
        <v/>
      </c>
      <c r="AD1833" t="str">
        <f t="shared" si="284"/>
        <v>Tuesday</v>
      </c>
      <c r="AE1833" t="str">
        <f t="shared" si="285"/>
        <v/>
      </c>
      <c r="AF1833" t="str">
        <f t="shared" si="286"/>
        <v>Thursday</v>
      </c>
      <c r="AG1833" t="str">
        <f t="shared" si="287"/>
        <v>Friday</v>
      </c>
      <c r="AH1833" t="str">
        <f t="shared" si="288"/>
        <v>Saturday</v>
      </c>
      <c r="AI1833" t="str">
        <f t="shared" si="289"/>
        <v>Sunday</v>
      </c>
      <c r="AJ1833" t="str">
        <f>LEFT(Table1[[#This Row],[membership_type]],2)&amp;TEXT(Table1[[#This Row],[age]],"00")&amp;"-"&amp;TEXT(ROW(),"000")</f>
        <v>Pr38-1833</v>
      </c>
      <c r="AK1833" t="str">
        <f>LEFT(Table1[[#This Row],[membership_type]],1)&amp;TEXT(MATCH(Table1[[#This Row],[membership_type]],Table1[membership_type],0),"00")</f>
        <v>P01</v>
      </c>
      <c r="AL1833" t="str">
        <f>LEFT(Table1[[#This Row],[discount_type]],1)&amp;TEXT(ROUND(Table1[[#This Row],[discount_rate]]*100,0),"00")</f>
        <v>N00</v>
      </c>
      <c r="AM1833" t="str" cm="1">
        <f t="array" ref="AM1833">TEXT(SUMPRODUCT(CODE(MID(Table1[[#This Row],[home_gym_location]],_xlfn.SEQUENCE(LEN(Table1[[#This Row],[home_gym_location]])),1))),"00000")</f>
        <v>01245</v>
      </c>
      <c r="AN183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33" t="str">
        <f>LEFT(_xlfn.TEXTBEFORE(Table1[[#This Row],[Location Identifier]],"-"),3) &amp; "-" &amp; _xlfn.TEXTAFTER(Table1[[#This Row],[Location Identifier]],"-")</f>
        <v>SAC-007</v>
      </c>
      <c r="AP1833" s="9">
        <f t="shared" ca="1" si="280"/>
        <v>45869</v>
      </c>
    </row>
    <row r="1834" spans="1:42" x14ac:dyDescent="0.25">
      <c r="A1834">
        <v>40</v>
      </c>
      <c r="B1834" t="s">
        <v>26</v>
      </c>
      <c r="C1834">
        <v>4</v>
      </c>
      <c r="D1834" t="s">
        <v>165</v>
      </c>
      <c r="E1834" t="b">
        <v>1</v>
      </c>
      <c r="F1834" s="1">
        <v>0.41319444444444442</v>
      </c>
      <c r="G1834" s="1">
        <v>0.4465277777777778</v>
      </c>
      <c r="H1834">
        <v>48</v>
      </c>
      <c r="I1834" t="b">
        <v>0</v>
      </c>
      <c r="J1834" t="b">
        <v>0</v>
      </c>
      <c r="K1834" t="b">
        <v>1</v>
      </c>
      <c r="L1834" t="s">
        <v>35</v>
      </c>
      <c r="M1834">
        <v>50</v>
      </c>
      <c r="N1834" t="s">
        <v>29</v>
      </c>
      <c r="O1834">
        <v>50</v>
      </c>
      <c r="P1834" t="s">
        <v>36</v>
      </c>
      <c r="Q1834">
        <v>0</v>
      </c>
      <c r="R1834">
        <v>50</v>
      </c>
      <c r="S1834" t="s">
        <v>31</v>
      </c>
      <c r="T1834" t="s">
        <v>38</v>
      </c>
      <c r="U1834">
        <v>36.7378</v>
      </c>
      <c r="V1834">
        <v>-119.7871</v>
      </c>
      <c r="W1834" s="2">
        <v>45034</v>
      </c>
      <c r="X1834">
        <v>0</v>
      </c>
      <c r="Y1834" t="b">
        <v>1</v>
      </c>
      <c r="Z1834" s="2">
        <v>45816</v>
      </c>
      <c r="AA1834" t="str">
        <f t="shared" si="281"/>
        <v>40–49</v>
      </c>
      <c r="AB1834" t="str">
        <f t="shared" si="282"/>
        <v>40–49</v>
      </c>
      <c r="AC1834" t="str">
        <f t="shared" si="283"/>
        <v>Monday</v>
      </c>
      <c r="AD1834" t="str">
        <f t="shared" si="284"/>
        <v/>
      </c>
      <c r="AE1834" t="str">
        <f t="shared" si="285"/>
        <v>Wednesday</v>
      </c>
      <c r="AF1834" t="str">
        <f t="shared" si="286"/>
        <v/>
      </c>
      <c r="AG1834" t="str">
        <f t="shared" si="287"/>
        <v/>
      </c>
      <c r="AH1834" t="str">
        <f t="shared" si="288"/>
        <v>Saturday</v>
      </c>
      <c r="AI1834" t="str">
        <f t="shared" si="289"/>
        <v>Sunday</v>
      </c>
      <c r="AJ1834" t="str">
        <f>LEFT(Table1[[#This Row],[membership_type]],2)&amp;TEXT(Table1[[#This Row],[age]],"00")&amp;"-"&amp;TEXT(ROW(),"000")</f>
        <v>Pr40-1834</v>
      </c>
      <c r="AK1834" t="str">
        <f>LEFT(Table1[[#This Row],[membership_type]],1)&amp;TEXT(MATCH(Table1[[#This Row],[membership_type]],Table1[membership_type],0),"00")</f>
        <v>P01</v>
      </c>
      <c r="AL1834" t="str">
        <f>LEFT(Table1[[#This Row],[discount_type]],1)&amp;TEXT(ROUND(Table1[[#This Row],[discount_rate]]*100,0),"00")</f>
        <v>N00</v>
      </c>
      <c r="AM1834" t="str" cm="1">
        <f t="array" ref="AM1834">TEXT(SUMPRODUCT(CODE(MID(Table1[[#This Row],[home_gym_location]],_xlfn.SEQUENCE(LEN(Table1[[#This Row],[home_gym_location]])),1))),"00000")</f>
        <v>00829</v>
      </c>
      <c r="AN1834" t="str">
        <f>UPPER(_xlfn.TEXTBEFORE(Table1[[#This Row],[home_gym_location]],","))&amp;"-"&amp;TEXT(MATCH(Table1[[#This Row],[home_gym_location]],_xlfn._xlws.SORT(_xlfn.UNIQUE(Table1[home_gym_location])),0),"000")</f>
        <v>FRESNO-003</v>
      </c>
      <c r="AO1834" t="str">
        <f>LEFT(_xlfn.TEXTBEFORE(Table1[[#This Row],[Location Identifier]],"-"),3) &amp; "-" &amp; _xlfn.TEXTAFTER(Table1[[#This Row],[Location Identifier]],"-")</f>
        <v>FRE-003</v>
      </c>
      <c r="AP1834" s="9">
        <f t="shared" ca="1" si="280"/>
        <v>45869</v>
      </c>
    </row>
    <row r="1835" spans="1:42" x14ac:dyDescent="0.25">
      <c r="A1835">
        <v>37</v>
      </c>
      <c r="B1835" t="s">
        <v>33</v>
      </c>
      <c r="C1835">
        <v>1</v>
      </c>
      <c r="D1835" t="s">
        <v>97</v>
      </c>
      <c r="E1835" t="b">
        <v>1</v>
      </c>
      <c r="F1835" s="1">
        <v>0.69791666666666663</v>
      </c>
      <c r="G1835" s="1">
        <v>0.79027777777777775</v>
      </c>
      <c r="H1835">
        <v>133</v>
      </c>
      <c r="I1835" t="b">
        <v>0</v>
      </c>
      <c r="J1835" t="b">
        <v>0</v>
      </c>
      <c r="K1835" t="b">
        <v>0</v>
      </c>
      <c r="L1835" t="s">
        <v>28</v>
      </c>
      <c r="M1835">
        <v>30</v>
      </c>
      <c r="N1835" t="s">
        <v>64</v>
      </c>
      <c r="O1835">
        <v>22.5</v>
      </c>
      <c r="P1835" t="s">
        <v>36</v>
      </c>
      <c r="Q1835">
        <v>0</v>
      </c>
      <c r="R1835">
        <v>22.5</v>
      </c>
      <c r="S1835" t="s">
        <v>37</v>
      </c>
      <c r="T1835" t="s">
        <v>41</v>
      </c>
      <c r="U1835">
        <v>37.804400000000001</v>
      </c>
      <c r="V1835">
        <v>-122.27119999999999</v>
      </c>
      <c r="W1835" s="2">
        <v>44966</v>
      </c>
      <c r="X1835">
        <v>0</v>
      </c>
      <c r="Y1835" t="b">
        <v>0</v>
      </c>
      <c r="Z1835" s="2">
        <v>45812</v>
      </c>
      <c r="AA1835" t="str">
        <f t="shared" si="281"/>
        <v>30–39</v>
      </c>
      <c r="AB1835" t="str">
        <f t="shared" si="282"/>
        <v>30–39</v>
      </c>
      <c r="AC1835" t="str">
        <f t="shared" si="283"/>
        <v>Monday</v>
      </c>
      <c r="AD1835" t="str">
        <f t="shared" si="284"/>
        <v/>
      </c>
      <c r="AE1835" t="str">
        <f t="shared" si="285"/>
        <v/>
      </c>
      <c r="AF1835" t="str">
        <f t="shared" si="286"/>
        <v/>
      </c>
      <c r="AG1835" t="str">
        <f t="shared" si="287"/>
        <v/>
      </c>
      <c r="AH1835" t="str">
        <f t="shared" si="288"/>
        <v/>
      </c>
      <c r="AI1835" t="str">
        <f t="shared" si="289"/>
        <v/>
      </c>
      <c r="AJ1835" t="str">
        <f>LEFT(Table1[[#This Row],[membership_type]],2)&amp;TEXT(Table1[[#This Row],[age]],"00")&amp;"-"&amp;TEXT(ROW(),"000")</f>
        <v>St37-1835</v>
      </c>
      <c r="AK1835" t="str">
        <f>LEFT(Table1[[#This Row],[membership_type]],1)&amp;TEXT(MATCH(Table1[[#This Row],[membership_type]],Table1[membership_type],0),"00")</f>
        <v>S02</v>
      </c>
      <c r="AL1835" t="str">
        <f>LEFT(Table1[[#This Row],[discount_type]],1)&amp;TEXT(ROUND(Table1[[#This Row],[discount_rate]]*100,0),"00")</f>
        <v>N00</v>
      </c>
      <c r="AM1835" t="str" cm="1">
        <f t="array" ref="AM1835">TEXT(SUMPRODUCT(CODE(MID(Table1[[#This Row],[home_gym_location]],_xlfn.SEQUENCE(LEN(Table1[[#This Row],[home_gym_location]])),1))),"00000")</f>
        <v>00906</v>
      </c>
      <c r="AN183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35" t="str">
        <f>LEFT(_xlfn.TEXTBEFORE(Table1[[#This Row],[Location Identifier]],"-"),3) &amp; "-" &amp; _xlfn.TEXTAFTER(Table1[[#This Row],[Location Identifier]],"-")</f>
        <v>OAK-006</v>
      </c>
      <c r="AP1835" s="9">
        <f t="shared" ca="1" si="280"/>
        <v>45869</v>
      </c>
    </row>
    <row r="1836" spans="1:42" x14ac:dyDescent="0.25">
      <c r="A1836">
        <v>23</v>
      </c>
      <c r="B1836" t="s">
        <v>51</v>
      </c>
      <c r="C1836">
        <v>5</v>
      </c>
      <c r="D1836" t="s">
        <v>76</v>
      </c>
      <c r="E1836" t="b">
        <v>1</v>
      </c>
      <c r="F1836" s="1">
        <v>0.87291666666666667</v>
      </c>
      <c r="G1836" s="1">
        <v>0.98263888888888884</v>
      </c>
      <c r="H1836">
        <v>158</v>
      </c>
      <c r="I1836" t="b">
        <v>0</v>
      </c>
      <c r="J1836" t="b">
        <v>0</v>
      </c>
      <c r="K1836" t="b">
        <v>1</v>
      </c>
      <c r="L1836" t="s">
        <v>35</v>
      </c>
      <c r="M1836">
        <v>70</v>
      </c>
      <c r="N1836" t="s">
        <v>29</v>
      </c>
      <c r="O1836">
        <v>70</v>
      </c>
      <c r="P1836" t="s">
        <v>36</v>
      </c>
      <c r="Q1836">
        <v>0</v>
      </c>
      <c r="R1836">
        <v>70</v>
      </c>
      <c r="S1836" t="s">
        <v>53</v>
      </c>
      <c r="T1836" t="s">
        <v>45</v>
      </c>
      <c r="U1836">
        <v>33.836599999999997</v>
      </c>
      <c r="V1836">
        <v>-117.9143</v>
      </c>
      <c r="W1836" s="2">
        <v>45131</v>
      </c>
      <c r="X1836">
        <v>0</v>
      </c>
      <c r="Y1836" t="b">
        <v>1</v>
      </c>
      <c r="Z1836" s="2">
        <v>45821</v>
      </c>
      <c r="AA1836" t="str">
        <f t="shared" si="281"/>
        <v>20–29</v>
      </c>
      <c r="AB1836" t="str">
        <f t="shared" si="282"/>
        <v>20–29</v>
      </c>
      <c r="AC1836" t="str">
        <f t="shared" si="283"/>
        <v>Monday</v>
      </c>
      <c r="AD1836" t="str">
        <f t="shared" si="284"/>
        <v>Tuesday</v>
      </c>
      <c r="AE1836" t="str">
        <f t="shared" si="285"/>
        <v>Wednesday</v>
      </c>
      <c r="AF1836" t="str">
        <f t="shared" si="286"/>
        <v>Thursday</v>
      </c>
      <c r="AG1836" t="str">
        <f t="shared" si="287"/>
        <v/>
      </c>
      <c r="AH1836" t="str">
        <f t="shared" si="288"/>
        <v/>
      </c>
      <c r="AI1836" t="str">
        <f t="shared" si="289"/>
        <v>Sunday</v>
      </c>
      <c r="AJ1836" t="str">
        <f>LEFT(Table1[[#This Row],[membership_type]],2)&amp;TEXT(Table1[[#This Row],[age]],"00")&amp;"-"&amp;TEXT(ROW(),"000")</f>
        <v>El23-1836</v>
      </c>
      <c r="AK1836" t="str">
        <f>LEFT(Table1[[#This Row],[membership_type]],1)&amp;TEXT(MATCH(Table1[[#This Row],[membership_type]],Table1[membership_type],0),"00")</f>
        <v>E07</v>
      </c>
      <c r="AL1836" t="str">
        <f>LEFT(Table1[[#This Row],[discount_type]],1)&amp;TEXT(ROUND(Table1[[#This Row],[discount_rate]]*100,0),"00")</f>
        <v>N00</v>
      </c>
      <c r="AM1836" t="str" cm="1">
        <f t="array" ref="AM1836">TEXT(SUMPRODUCT(CODE(MID(Table1[[#This Row],[home_gym_location]],_xlfn.SEQUENCE(LEN(Table1[[#This Row],[home_gym_location]])),1))),"00000")</f>
        <v>00899</v>
      </c>
      <c r="AN183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36" t="str">
        <f>LEFT(_xlfn.TEXTBEFORE(Table1[[#This Row],[Location Identifier]],"-"),3) &amp; "-" &amp; _xlfn.TEXTAFTER(Table1[[#This Row],[Location Identifier]],"-")</f>
        <v>ANA-001</v>
      </c>
      <c r="AP1836" s="9">
        <f t="shared" ca="1" si="280"/>
        <v>45869</v>
      </c>
    </row>
    <row r="1837" spans="1:42" x14ac:dyDescent="0.25">
      <c r="A1837">
        <v>35</v>
      </c>
      <c r="B1837" t="s">
        <v>26</v>
      </c>
      <c r="C1837">
        <v>1</v>
      </c>
      <c r="D1837" t="s">
        <v>63</v>
      </c>
      <c r="E1837" t="b">
        <v>0</v>
      </c>
      <c r="F1837" s="1">
        <v>0.35694444444444445</v>
      </c>
      <c r="G1837" s="1">
        <v>0.39374999999999999</v>
      </c>
      <c r="H1837">
        <v>53</v>
      </c>
      <c r="I1837" t="b">
        <v>0</v>
      </c>
      <c r="J1837" t="b">
        <v>1</v>
      </c>
      <c r="K1837" t="b">
        <v>0</v>
      </c>
      <c r="L1837" t="s">
        <v>28</v>
      </c>
      <c r="M1837">
        <v>50</v>
      </c>
      <c r="N1837" t="s">
        <v>78</v>
      </c>
      <c r="O1837">
        <v>45</v>
      </c>
      <c r="P1837" t="s">
        <v>74</v>
      </c>
      <c r="Q1837">
        <v>0.15</v>
      </c>
      <c r="R1837">
        <v>38.25</v>
      </c>
      <c r="S1837" t="s">
        <v>31</v>
      </c>
      <c r="T1837" t="s">
        <v>50</v>
      </c>
      <c r="U1837">
        <v>34.052199999999999</v>
      </c>
      <c r="V1837">
        <v>-118.2437</v>
      </c>
      <c r="W1837" s="2">
        <v>45694</v>
      </c>
      <c r="X1837">
        <v>4</v>
      </c>
      <c r="Y1837" t="b">
        <v>0</v>
      </c>
      <c r="Z1837" s="2">
        <v>45853</v>
      </c>
      <c r="AA1837" t="str">
        <f t="shared" si="281"/>
        <v>30–39</v>
      </c>
      <c r="AB1837" t="str">
        <f t="shared" si="282"/>
        <v>30–39</v>
      </c>
      <c r="AC1837" t="str">
        <f t="shared" si="283"/>
        <v/>
      </c>
      <c r="AD1837" t="str">
        <f t="shared" si="284"/>
        <v/>
      </c>
      <c r="AE1837" t="str">
        <f t="shared" si="285"/>
        <v>Wednesday</v>
      </c>
      <c r="AF1837" t="str">
        <f t="shared" si="286"/>
        <v/>
      </c>
      <c r="AG1837" t="str">
        <f t="shared" si="287"/>
        <v/>
      </c>
      <c r="AH1837" t="str">
        <f t="shared" si="288"/>
        <v/>
      </c>
      <c r="AI1837" t="str">
        <f t="shared" si="289"/>
        <v/>
      </c>
      <c r="AJ1837" t="str">
        <f>LEFT(Table1[[#This Row],[membership_type]],2)&amp;TEXT(Table1[[#This Row],[age]],"00")&amp;"-"&amp;TEXT(ROW(),"000")</f>
        <v>Pr35-1837</v>
      </c>
      <c r="AK1837" t="str">
        <f>LEFT(Table1[[#This Row],[membership_type]],1)&amp;TEXT(MATCH(Table1[[#This Row],[membership_type]],Table1[membership_type],0),"00")</f>
        <v>P01</v>
      </c>
      <c r="AL1837" t="str">
        <f>LEFT(Table1[[#This Row],[discount_type]],1)&amp;TEXT(ROUND(Table1[[#This Row],[discount_rate]]*100,0),"00")</f>
        <v>S15</v>
      </c>
      <c r="AM1837" t="str" cm="1">
        <f t="array" ref="AM1837">TEXT(SUMPRODUCT(CODE(MID(Table1[[#This Row],[home_gym_location]],_xlfn.SEQUENCE(LEN(Table1[[#This Row],[home_gym_location]])),1))),"00000")</f>
        <v>01245</v>
      </c>
      <c r="AN183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37" t="str">
        <f>LEFT(_xlfn.TEXTBEFORE(Table1[[#This Row],[Location Identifier]],"-"),3) &amp; "-" &amp; _xlfn.TEXTAFTER(Table1[[#This Row],[Location Identifier]],"-")</f>
        <v>LOS-005</v>
      </c>
      <c r="AP1837" s="9">
        <f t="shared" ca="1" si="280"/>
        <v>45869</v>
      </c>
    </row>
    <row r="1838" spans="1:42" x14ac:dyDescent="0.25">
      <c r="A1838">
        <v>27</v>
      </c>
      <c r="B1838" t="s">
        <v>51</v>
      </c>
      <c r="C1838">
        <v>5</v>
      </c>
      <c r="D1838" t="s">
        <v>68</v>
      </c>
      <c r="E1838" t="b">
        <v>0</v>
      </c>
      <c r="F1838" s="1">
        <v>0.41458333333333336</v>
      </c>
      <c r="G1838" s="1">
        <v>0.51527777777777772</v>
      </c>
      <c r="H1838">
        <v>145</v>
      </c>
      <c r="I1838" t="b">
        <v>0</v>
      </c>
      <c r="J1838" t="b">
        <v>0</v>
      </c>
      <c r="K1838" t="b">
        <v>0</v>
      </c>
      <c r="L1838" t="s">
        <v>35</v>
      </c>
      <c r="M1838">
        <v>70</v>
      </c>
      <c r="N1838" t="s">
        <v>64</v>
      </c>
      <c r="O1838">
        <v>52.5</v>
      </c>
      <c r="P1838" t="s">
        <v>40</v>
      </c>
      <c r="Q1838">
        <v>0.1</v>
      </c>
      <c r="R1838">
        <v>47.25</v>
      </c>
      <c r="S1838" t="s">
        <v>53</v>
      </c>
      <c r="T1838" t="s">
        <v>50</v>
      </c>
      <c r="U1838">
        <v>34.052199999999999</v>
      </c>
      <c r="V1838">
        <v>-118.2437</v>
      </c>
      <c r="W1838" s="2">
        <v>45470</v>
      </c>
      <c r="X1838">
        <v>0</v>
      </c>
      <c r="Y1838" t="b">
        <v>1</v>
      </c>
      <c r="Z1838" s="2">
        <v>45840</v>
      </c>
      <c r="AA1838" t="str">
        <f t="shared" si="281"/>
        <v>20–29</v>
      </c>
      <c r="AB1838" t="str">
        <f t="shared" si="282"/>
        <v>20–29</v>
      </c>
      <c r="AC1838" t="str">
        <f t="shared" si="283"/>
        <v>Monday</v>
      </c>
      <c r="AD1838" t="str">
        <f t="shared" si="284"/>
        <v>Tuesday</v>
      </c>
      <c r="AE1838" t="str">
        <f t="shared" si="285"/>
        <v/>
      </c>
      <c r="AF1838" t="str">
        <f t="shared" si="286"/>
        <v>Thursday</v>
      </c>
      <c r="AG1838" t="str">
        <f t="shared" si="287"/>
        <v>Friday</v>
      </c>
      <c r="AH1838" t="str">
        <f t="shared" si="288"/>
        <v>Saturday</v>
      </c>
      <c r="AI1838" t="str">
        <f t="shared" si="289"/>
        <v/>
      </c>
      <c r="AJ1838" t="str">
        <f>LEFT(Table1[[#This Row],[membership_type]],2)&amp;TEXT(Table1[[#This Row],[age]],"00")&amp;"-"&amp;TEXT(ROW(),"000")</f>
        <v>El27-1838</v>
      </c>
      <c r="AK1838" t="str">
        <f>LEFT(Table1[[#This Row],[membership_type]],1)&amp;TEXT(MATCH(Table1[[#This Row],[membership_type]],Table1[membership_type],0),"00")</f>
        <v>E07</v>
      </c>
      <c r="AL1838" t="str">
        <f>LEFT(Table1[[#This Row],[discount_type]],1)&amp;TEXT(ROUND(Table1[[#This Row],[discount_rate]]*100,0),"00")</f>
        <v>L10</v>
      </c>
      <c r="AM1838" t="str" cm="1">
        <f t="array" ref="AM1838">TEXT(SUMPRODUCT(CODE(MID(Table1[[#This Row],[home_gym_location]],_xlfn.SEQUENCE(LEN(Table1[[#This Row],[home_gym_location]])),1))),"00000")</f>
        <v>01245</v>
      </c>
      <c r="AN1838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38" t="str">
        <f>LEFT(_xlfn.TEXTBEFORE(Table1[[#This Row],[Location Identifier]],"-"),3) &amp; "-" &amp; _xlfn.TEXTAFTER(Table1[[#This Row],[Location Identifier]],"-")</f>
        <v>LOS-005</v>
      </c>
      <c r="AP1838" s="9">
        <f t="shared" ca="1" si="280"/>
        <v>45869</v>
      </c>
    </row>
    <row r="1839" spans="1:42" x14ac:dyDescent="0.25">
      <c r="A1839">
        <v>29</v>
      </c>
      <c r="B1839" t="s">
        <v>26</v>
      </c>
      <c r="C1839">
        <v>3</v>
      </c>
      <c r="D1839" t="s">
        <v>102</v>
      </c>
      <c r="E1839" t="b">
        <v>1</v>
      </c>
      <c r="F1839" s="1">
        <v>0.54305555555555551</v>
      </c>
      <c r="G1839" s="1">
        <v>0.58888888888888891</v>
      </c>
      <c r="H1839">
        <v>66</v>
      </c>
      <c r="I1839" t="b">
        <v>0</v>
      </c>
      <c r="J1839" t="b">
        <v>0</v>
      </c>
      <c r="K1839" t="b">
        <v>1</v>
      </c>
      <c r="L1839" t="s">
        <v>35</v>
      </c>
      <c r="M1839">
        <v>50</v>
      </c>
      <c r="N1839" t="s">
        <v>64</v>
      </c>
      <c r="O1839">
        <v>37.5</v>
      </c>
      <c r="P1839" t="s">
        <v>40</v>
      </c>
      <c r="Q1839">
        <v>0.1</v>
      </c>
      <c r="R1839">
        <v>33.75</v>
      </c>
      <c r="S1839" t="s">
        <v>31</v>
      </c>
      <c r="T1839" t="s">
        <v>38</v>
      </c>
      <c r="U1839">
        <v>36.7378</v>
      </c>
      <c r="V1839">
        <v>-119.7871</v>
      </c>
      <c r="W1839" s="2">
        <v>44842</v>
      </c>
      <c r="X1839">
        <v>0</v>
      </c>
      <c r="Y1839" t="b">
        <v>1</v>
      </c>
      <c r="Z1839" s="2">
        <v>45805</v>
      </c>
      <c r="AA1839" t="str">
        <f t="shared" si="281"/>
        <v>20–29</v>
      </c>
      <c r="AB1839" t="str">
        <f t="shared" si="282"/>
        <v>20–29</v>
      </c>
      <c r="AC1839" t="str">
        <f t="shared" si="283"/>
        <v/>
      </c>
      <c r="AD1839" t="str">
        <f t="shared" si="284"/>
        <v/>
      </c>
      <c r="AE1839" t="str">
        <f t="shared" si="285"/>
        <v/>
      </c>
      <c r="AF1839" t="str">
        <f t="shared" si="286"/>
        <v>Thursday</v>
      </c>
      <c r="AG1839" t="str">
        <f t="shared" si="287"/>
        <v>Friday</v>
      </c>
      <c r="AH1839" t="str">
        <f t="shared" si="288"/>
        <v>Saturday</v>
      </c>
      <c r="AI1839" t="str">
        <f t="shared" si="289"/>
        <v/>
      </c>
      <c r="AJ1839" t="str">
        <f>LEFT(Table1[[#This Row],[membership_type]],2)&amp;TEXT(Table1[[#This Row],[age]],"00")&amp;"-"&amp;TEXT(ROW(),"000")</f>
        <v>Pr29-1839</v>
      </c>
      <c r="AK1839" t="str">
        <f>LEFT(Table1[[#This Row],[membership_type]],1)&amp;TEXT(MATCH(Table1[[#This Row],[membership_type]],Table1[membership_type],0),"00")</f>
        <v>P01</v>
      </c>
      <c r="AL1839" t="str">
        <f>LEFT(Table1[[#This Row],[discount_type]],1)&amp;TEXT(ROUND(Table1[[#This Row],[discount_rate]]*100,0),"00")</f>
        <v>L10</v>
      </c>
      <c r="AM1839" t="str" cm="1">
        <f t="array" ref="AM1839">TEXT(SUMPRODUCT(CODE(MID(Table1[[#This Row],[home_gym_location]],_xlfn.SEQUENCE(LEN(Table1[[#This Row],[home_gym_location]])),1))),"00000")</f>
        <v>00829</v>
      </c>
      <c r="AN1839" t="str">
        <f>UPPER(_xlfn.TEXTBEFORE(Table1[[#This Row],[home_gym_location]],","))&amp;"-"&amp;TEXT(MATCH(Table1[[#This Row],[home_gym_location]],_xlfn._xlws.SORT(_xlfn.UNIQUE(Table1[home_gym_location])),0),"000")</f>
        <v>FRESNO-003</v>
      </c>
      <c r="AO1839" t="str">
        <f>LEFT(_xlfn.TEXTBEFORE(Table1[[#This Row],[Location Identifier]],"-"),3) &amp; "-" &amp; _xlfn.TEXTAFTER(Table1[[#This Row],[Location Identifier]],"-")</f>
        <v>FRE-003</v>
      </c>
      <c r="AP1839" s="9">
        <f t="shared" ca="1" si="280"/>
        <v>45869</v>
      </c>
    </row>
    <row r="1840" spans="1:42" x14ac:dyDescent="0.25">
      <c r="A1840">
        <v>21</v>
      </c>
      <c r="B1840" t="s">
        <v>33</v>
      </c>
      <c r="C1840">
        <v>5</v>
      </c>
      <c r="D1840" t="s">
        <v>127</v>
      </c>
      <c r="E1840" t="b">
        <v>0</v>
      </c>
      <c r="F1840" s="1">
        <v>0.60347222222222219</v>
      </c>
      <c r="G1840" s="1">
        <v>0.66736111111111107</v>
      </c>
      <c r="H1840">
        <v>92</v>
      </c>
      <c r="I1840" t="b">
        <v>1</v>
      </c>
      <c r="J1840" t="b">
        <v>1</v>
      </c>
      <c r="K1840" t="b">
        <v>1</v>
      </c>
      <c r="L1840" t="s">
        <v>28</v>
      </c>
      <c r="M1840">
        <v>30</v>
      </c>
      <c r="N1840" t="s">
        <v>29</v>
      </c>
      <c r="O1840">
        <v>30</v>
      </c>
      <c r="P1840" t="s">
        <v>74</v>
      </c>
      <c r="Q1840">
        <v>0.15</v>
      </c>
      <c r="R1840">
        <v>25.5</v>
      </c>
      <c r="S1840" t="s">
        <v>37</v>
      </c>
      <c r="T1840" t="s">
        <v>48</v>
      </c>
      <c r="U1840">
        <v>38.581600000000002</v>
      </c>
      <c r="V1840">
        <v>-121.4944</v>
      </c>
      <c r="W1840" s="2">
        <v>45591</v>
      </c>
      <c r="X1840">
        <v>5</v>
      </c>
      <c r="Y1840" t="b">
        <v>1</v>
      </c>
      <c r="Z1840" s="2">
        <v>45847</v>
      </c>
      <c r="AA1840" t="str">
        <f t="shared" si="281"/>
        <v>20–29</v>
      </c>
      <c r="AB1840" t="str">
        <f t="shared" si="282"/>
        <v>20–29</v>
      </c>
      <c r="AC1840" t="str">
        <f t="shared" si="283"/>
        <v>Monday</v>
      </c>
      <c r="AD1840" t="str">
        <f t="shared" si="284"/>
        <v>Tuesday</v>
      </c>
      <c r="AE1840" t="str">
        <f t="shared" si="285"/>
        <v/>
      </c>
      <c r="AF1840" t="str">
        <f t="shared" si="286"/>
        <v/>
      </c>
      <c r="AG1840" t="str">
        <f t="shared" si="287"/>
        <v>Friday</v>
      </c>
      <c r="AH1840" t="str">
        <f t="shared" si="288"/>
        <v>Saturday</v>
      </c>
      <c r="AI1840" t="str">
        <f t="shared" si="289"/>
        <v>Sunday</v>
      </c>
      <c r="AJ1840" t="str">
        <f>LEFT(Table1[[#This Row],[membership_type]],2)&amp;TEXT(Table1[[#This Row],[age]],"00")&amp;"-"&amp;TEXT(ROW(),"000")</f>
        <v>St21-1840</v>
      </c>
      <c r="AK1840" t="str">
        <f>LEFT(Table1[[#This Row],[membership_type]],1)&amp;TEXT(MATCH(Table1[[#This Row],[membership_type]],Table1[membership_type],0),"00")</f>
        <v>S02</v>
      </c>
      <c r="AL1840" t="str">
        <f>LEFT(Table1[[#This Row],[discount_type]],1)&amp;TEXT(ROUND(Table1[[#This Row],[discount_rate]]*100,0),"00")</f>
        <v>S15</v>
      </c>
      <c r="AM1840" t="str" cm="1">
        <f t="array" ref="AM1840">TEXT(SUMPRODUCT(CODE(MID(Table1[[#This Row],[home_gym_location]],_xlfn.SEQUENCE(LEN(Table1[[#This Row],[home_gym_location]])),1))),"00000")</f>
        <v>01245</v>
      </c>
      <c r="AN184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40" t="str">
        <f>LEFT(_xlfn.TEXTBEFORE(Table1[[#This Row],[Location Identifier]],"-"),3) &amp; "-" &amp; _xlfn.TEXTAFTER(Table1[[#This Row],[Location Identifier]],"-")</f>
        <v>SAC-007</v>
      </c>
      <c r="AP1840" s="9">
        <f t="shared" ca="1" si="280"/>
        <v>45869</v>
      </c>
    </row>
    <row r="1841" spans="1:42" x14ac:dyDescent="0.25">
      <c r="A1841">
        <v>16</v>
      </c>
      <c r="B1841" t="s">
        <v>26</v>
      </c>
      <c r="C1841">
        <v>3</v>
      </c>
      <c r="D1841" t="s">
        <v>100</v>
      </c>
      <c r="E1841" t="b">
        <v>0</v>
      </c>
      <c r="F1841" s="1">
        <v>0.72291666666666665</v>
      </c>
      <c r="G1841" s="1">
        <v>0.78194444444444444</v>
      </c>
      <c r="H1841">
        <v>85</v>
      </c>
      <c r="I1841" t="b">
        <v>0</v>
      </c>
      <c r="J1841" t="b">
        <v>1</v>
      </c>
      <c r="K1841" t="b">
        <v>0</v>
      </c>
      <c r="L1841" t="s">
        <v>62</v>
      </c>
      <c r="M1841">
        <v>50</v>
      </c>
      <c r="N1841" t="s">
        <v>64</v>
      </c>
      <c r="O1841">
        <v>37.5</v>
      </c>
      <c r="P1841" t="s">
        <v>40</v>
      </c>
      <c r="Q1841">
        <v>0.1</v>
      </c>
      <c r="R1841">
        <v>33.75</v>
      </c>
      <c r="S1841" t="s">
        <v>31</v>
      </c>
      <c r="T1841" t="s">
        <v>45</v>
      </c>
      <c r="U1841">
        <v>33.836599999999997</v>
      </c>
      <c r="V1841">
        <v>-117.9143</v>
      </c>
      <c r="W1841" s="2">
        <v>45434</v>
      </c>
      <c r="X1841">
        <v>1</v>
      </c>
      <c r="Y1841" t="b">
        <v>1</v>
      </c>
      <c r="Z1841" s="2">
        <v>45838</v>
      </c>
      <c r="AA1841" t="str">
        <f t="shared" si="281"/>
        <v>10–19</v>
      </c>
      <c r="AB1841" t="str">
        <f t="shared" si="282"/>
        <v>16–19</v>
      </c>
      <c r="AC1841" t="str">
        <f t="shared" si="283"/>
        <v/>
      </c>
      <c r="AD1841" t="str">
        <f t="shared" si="284"/>
        <v/>
      </c>
      <c r="AE1841" t="str">
        <f t="shared" si="285"/>
        <v>Wednesday</v>
      </c>
      <c r="AF1841" t="str">
        <f t="shared" si="286"/>
        <v/>
      </c>
      <c r="AG1841" t="str">
        <f t="shared" si="287"/>
        <v>Friday</v>
      </c>
      <c r="AH1841" t="str">
        <f t="shared" si="288"/>
        <v/>
      </c>
      <c r="AI1841" t="str">
        <f t="shared" si="289"/>
        <v>Sunday</v>
      </c>
      <c r="AJ1841" t="str">
        <f>LEFT(Table1[[#This Row],[membership_type]],2)&amp;TEXT(Table1[[#This Row],[age]],"00")&amp;"-"&amp;TEXT(ROW(),"000")</f>
        <v>Pr16-1841</v>
      </c>
      <c r="AK1841" t="str">
        <f>LEFT(Table1[[#This Row],[membership_type]],1)&amp;TEXT(MATCH(Table1[[#This Row],[membership_type]],Table1[membership_type],0),"00")</f>
        <v>P01</v>
      </c>
      <c r="AL1841" t="str">
        <f>LEFT(Table1[[#This Row],[discount_type]],1)&amp;TEXT(ROUND(Table1[[#This Row],[discount_rate]]*100,0),"00")</f>
        <v>L10</v>
      </c>
      <c r="AM1841" t="str" cm="1">
        <f t="array" ref="AM1841">TEXT(SUMPRODUCT(CODE(MID(Table1[[#This Row],[home_gym_location]],_xlfn.SEQUENCE(LEN(Table1[[#This Row],[home_gym_location]])),1))),"00000")</f>
        <v>00899</v>
      </c>
      <c r="AN184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41" t="str">
        <f>LEFT(_xlfn.TEXTBEFORE(Table1[[#This Row],[Location Identifier]],"-"),3) &amp; "-" &amp; _xlfn.TEXTAFTER(Table1[[#This Row],[Location Identifier]],"-")</f>
        <v>ANA-001</v>
      </c>
      <c r="AP1841" s="9">
        <f t="shared" ca="1" si="280"/>
        <v>45869</v>
      </c>
    </row>
    <row r="1842" spans="1:42" x14ac:dyDescent="0.25">
      <c r="A1842">
        <v>31</v>
      </c>
      <c r="B1842" t="s">
        <v>26</v>
      </c>
      <c r="C1842">
        <v>2</v>
      </c>
      <c r="D1842" t="s">
        <v>88</v>
      </c>
      <c r="E1842" t="b">
        <v>1</v>
      </c>
      <c r="F1842" s="1">
        <v>0.85277777777777775</v>
      </c>
      <c r="G1842" s="1">
        <v>0.91111111111111109</v>
      </c>
      <c r="H1842">
        <v>84</v>
      </c>
      <c r="I1842" t="b">
        <v>1</v>
      </c>
      <c r="J1842" t="b">
        <v>1</v>
      </c>
      <c r="K1842" t="b">
        <v>0</v>
      </c>
      <c r="L1842" t="s">
        <v>47</v>
      </c>
      <c r="M1842">
        <v>50</v>
      </c>
      <c r="N1842" t="s">
        <v>64</v>
      </c>
      <c r="O1842">
        <v>37.5</v>
      </c>
      <c r="P1842" t="s">
        <v>74</v>
      </c>
      <c r="Q1842">
        <v>0.15</v>
      </c>
      <c r="R1842">
        <v>31.875</v>
      </c>
      <c r="S1842" t="s">
        <v>31</v>
      </c>
      <c r="T1842" t="s">
        <v>41</v>
      </c>
      <c r="U1842">
        <v>37.804400000000001</v>
      </c>
      <c r="V1842">
        <v>-122.27119999999999</v>
      </c>
      <c r="W1842" s="2">
        <v>45370</v>
      </c>
      <c r="X1842">
        <v>8</v>
      </c>
      <c r="Y1842" t="b">
        <v>1</v>
      </c>
      <c r="Z1842" s="2">
        <v>45835</v>
      </c>
      <c r="AA1842" t="str">
        <f t="shared" si="281"/>
        <v>30–39</v>
      </c>
      <c r="AB1842" t="str">
        <f t="shared" si="282"/>
        <v>30–39</v>
      </c>
      <c r="AC1842" t="str">
        <f t="shared" si="283"/>
        <v>Monday</v>
      </c>
      <c r="AD1842" t="str">
        <f t="shared" si="284"/>
        <v/>
      </c>
      <c r="AE1842" t="str">
        <f t="shared" si="285"/>
        <v>Wednesday</v>
      </c>
      <c r="AF1842" t="str">
        <f t="shared" si="286"/>
        <v/>
      </c>
      <c r="AG1842" t="str">
        <f t="shared" si="287"/>
        <v/>
      </c>
      <c r="AH1842" t="str">
        <f t="shared" si="288"/>
        <v/>
      </c>
      <c r="AI1842" t="str">
        <f t="shared" si="289"/>
        <v/>
      </c>
      <c r="AJ1842" t="str">
        <f>LEFT(Table1[[#This Row],[membership_type]],2)&amp;TEXT(Table1[[#This Row],[age]],"00")&amp;"-"&amp;TEXT(ROW(),"000")</f>
        <v>Pr31-1842</v>
      </c>
      <c r="AK1842" t="str">
        <f>LEFT(Table1[[#This Row],[membership_type]],1)&amp;TEXT(MATCH(Table1[[#This Row],[membership_type]],Table1[membership_type],0),"00")</f>
        <v>P01</v>
      </c>
      <c r="AL1842" t="str">
        <f>LEFT(Table1[[#This Row],[discount_type]],1)&amp;TEXT(ROUND(Table1[[#This Row],[discount_rate]]*100,0),"00")</f>
        <v>S15</v>
      </c>
      <c r="AM1842" t="str" cm="1">
        <f t="array" ref="AM1842">TEXT(SUMPRODUCT(CODE(MID(Table1[[#This Row],[home_gym_location]],_xlfn.SEQUENCE(LEN(Table1[[#This Row],[home_gym_location]])),1))),"00000")</f>
        <v>00906</v>
      </c>
      <c r="AN184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42" t="str">
        <f>LEFT(_xlfn.TEXTBEFORE(Table1[[#This Row],[Location Identifier]],"-"),3) &amp; "-" &amp; _xlfn.TEXTAFTER(Table1[[#This Row],[Location Identifier]],"-")</f>
        <v>OAK-006</v>
      </c>
      <c r="AP1842" s="9">
        <f t="shared" ca="1" si="280"/>
        <v>45869</v>
      </c>
    </row>
    <row r="1843" spans="1:42" x14ac:dyDescent="0.25">
      <c r="A1843">
        <v>49</v>
      </c>
      <c r="B1843" t="s">
        <v>33</v>
      </c>
      <c r="C1843">
        <v>3</v>
      </c>
      <c r="D1843" t="s">
        <v>81</v>
      </c>
      <c r="E1843" t="b">
        <v>0</v>
      </c>
      <c r="F1843" s="1">
        <v>0.52569444444444446</v>
      </c>
      <c r="G1843" s="1">
        <v>0.55208333333333337</v>
      </c>
      <c r="H1843">
        <v>38</v>
      </c>
      <c r="I1843" t="b">
        <v>1</v>
      </c>
      <c r="J1843" t="b">
        <v>1</v>
      </c>
      <c r="K1843" t="b">
        <v>0</v>
      </c>
      <c r="L1843" t="s">
        <v>28</v>
      </c>
      <c r="M1843">
        <v>30</v>
      </c>
      <c r="N1843" t="s">
        <v>29</v>
      </c>
      <c r="O1843">
        <v>30</v>
      </c>
      <c r="P1843" t="s">
        <v>36</v>
      </c>
      <c r="Q1843">
        <v>0</v>
      </c>
      <c r="R1843">
        <v>30</v>
      </c>
      <c r="S1843" t="s">
        <v>37</v>
      </c>
      <c r="T1843" t="s">
        <v>32</v>
      </c>
      <c r="U1843">
        <v>37.338200000000001</v>
      </c>
      <c r="V1843">
        <v>-121.88630000000001</v>
      </c>
      <c r="W1843" s="2">
        <v>45363</v>
      </c>
      <c r="X1843">
        <v>4</v>
      </c>
      <c r="Y1843" t="b">
        <v>1</v>
      </c>
      <c r="Z1843" s="2">
        <v>45834</v>
      </c>
      <c r="AA1843" t="str">
        <f t="shared" si="281"/>
        <v>40–49</v>
      </c>
      <c r="AB1843" t="str">
        <f t="shared" si="282"/>
        <v>40–49</v>
      </c>
      <c r="AC1843" t="str">
        <f t="shared" si="283"/>
        <v>Monday</v>
      </c>
      <c r="AD1843" t="str">
        <f t="shared" si="284"/>
        <v/>
      </c>
      <c r="AE1843" t="str">
        <f t="shared" si="285"/>
        <v>Wednesday</v>
      </c>
      <c r="AF1843" t="str">
        <f t="shared" si="286"/>
        <v/>
      </c>
      <c r="AG1843" t="str">
        <f t="shared" si="287"/>
        <v>Friday</v>
      </c>
      <c r="AH1843" t="str">
        <f t="shared" si="288"/>
        <v/>
      </c>
      <c r="AI1843" t="str">
        <f t="shared" si="289"/>
        <v/>
      </c>
      <c r="AJ1843" t="str">
        <f>LEFT(Table1[[#This Row],[membership_type]],2)&amp;TEXT(Table1[[#This Row],[age]],"00")&amp;"-"&amp;TEXT(ROW(),"000")</f>
        <v>St49-1843</v>
      </c>
      <c r="AK1843" t="str">
        <f>LEFT(Table1[[#This Row],[membership_type]],1)&amp;TEXT(MATCH(Table1[[#This Row],[membership_type]],Table1[membership_type],0),"00")</f>
        <v>S02</v>
      </c>
      <c r="AL1843" t="str">
        <f>LEFT(Table1[[#This Row],[discount_type]],1)&amp;TEXT(ROUND(Table1[[#This Row],[discount_rate]]*100,0),"00")</f>
        <v>N00</v>
      </c>
      <c r="AM1843" t="str" cm="1">
        <f t="array" ref="AM1843">TEXT(SUMPRODUCT(CODE(MID(Table1[[#This Row],[home_gym_location]],_xlfn.SEQUENCE(LEN(Table1[[#This Row],[home_gym_location]])),1))),"00000")</f>
        <v>00931</v>
      </c>
      <c r="AN1843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43" t="str">
        <f>LEFT(_xlfn.TEXTBEFORE(Table1[[#This Row],[Location Identifier]],"-"),3) &amp; "-" &amp; _xlfn.TEXTAFTER(Table1[[#This Row],[Location Identifier]],"-")</f>
        <v>SAN-010</v>
      </c>
      <c r="AP1843" s="9">
        <f t="shared" ca="1" si="280"/>
        <v>45869</v>
      </c>
    </row>
    <row r="1844" spans="1:42" x14ac:dyDescent="0.25">
      <c r="A1844">
        <v>47</v>
      </c>
      <c r="B1844" t="s">
        <v>26</v>
      </c>
      <c r="C1844">
        <v>3</v>
      </c>
      <c r="D1844" t="s">
        <v>153</v>
      </c>
      <c r="E1844" t="b">
        <v>0</v>
      </c>
      <c r="F1844" s="1">
        <v>0.81319444444444444</v>
      </c>
      <c r="G1844" s="1">
        <v>0.84652777777777777</v>
      </c>
      <c r="H1844">
        <v>48</v>
      </c>
      <c r="I1844" t="b">
        <v>0</v>
      </c>
      <c r="J1844" t="b">
        <v>1</v>
      </c>
      <c r="K1844" t="b">
        <v>0</v>
      </c>
      <c r="L1844" t="s">
        <v>58</v>
      </c>
      <c r="M1844">
        <v>50</v>
      </c>
      <c r="N1844" t="s">
        <v>29</v>
      </c>
      <c r="O1844">
        <v>50</v>
      </c>
      <c r="P1844" t="s">
        <v>74</v>
      </c>
      <c r="Q1844">
        <v>0.15</v>
      </c>
      <c r="R1844">
        <v>42.5</v>
      </c>
      <c r="S1844" t="s">
        <v>31</v>
      </c>
      <c r="T1844" t="s">
        <v>32</v>
      </c>
      <c r="U1844">
        <v>37.338200000000001</v>
      </c>
      <c r="V1844">
        <v>-121.88630000000001</v>
      </c>
      <c r="W1844" s="2">
        <v>45178</v>
      </c>
      <c r="X1844">
        <v>1</v>
      </c>
      <c r="Y1844" t="b">
        <v>1</v>
      </c>
      <c r="Z1844" s="2">
        <v>45824</v>
      </c>
      <c r="AA1844" t="str">
        <f t="shared" si="281"/>
        <v>40–49</v>
      </c>
      <c r="AB1844" t="str">
        <f t="shared" si="282"/>
        <v>40–49</v>
      </c>
      <c r="AC1844" t="str">
        <f t="shared" si="283"/>
        <v>Monday</v>
      </c>
      <c r="AD1844" t="str">
        <f t="shared" si="284"/>
        <v/>
      </c>
      <c r="AE1844" t="str">
        <f t="shared" si="285"/>
        <v>Wednesday</v>
      </c>
      <c r="AF1844" t="str">
        <f t="shared" si="286"/>
        <v/>
      </c>
      <c r="AG1844" t="str">
        <f t="shared" si="287"/>
        <v/>
      </c>
      <c r="AH1844" t="str">
        <f t="shared" si="288"/>
        <v>Saturday</v>
      </c>
      <c r="AI1844" t="str">
        <f t="shared" si="289"/>
        <v/>
      </c>
      <c r="AJ1844" t="str">
        <f>LEFT(Table1[[#This Row],[membership_type]],2)&amp;TEXT(Table1[[#This Row],[age]],"00")&amp;"-"&amp;TEXT(ROW(),"000")</f>
        <v>Pr47-1844</v>
      </c>
      <c r="AK1844" t="str">
        <f>LEFT(Table1[[#This Row],[membership_type]],1)&amp;TEXT(MATCH(Table1[[#This Row],[membership_type]],Table1[membership_type],0),"00")</f>
        <v>P01</v>
      </c>
      <c r="AL1844" t="str">
        <f>LEFT(Table1[[#This Row],[discount_type]],1)&amp;TEXT(ROUND(Table1[[#This Row],[discount_rate]]*100,0),"00")</f>
        <v>S15</v>
      </c>
      <c r="AM1844" t="str" cm="1">
        <f t="array" ref="AM1844">TEXT(SUMPRODUCT(CODE(MID(Table1[[#This Row],[home_gym_location]],_xlfn.SEQUENCE(LEN(Table1[[#This Row],[home_gym_location]])),1))),"00000")</f>
        <v>00931</v>
      </c>
      <c r="AN184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44" t="str">
        <f>LEFT(_xlfn.TEXTBEFORE(Table1[[#This Row],[Location Identifier]],"-"),3) &amp; "-" &amp; _xlfn.TEXTAFTER(Table1[[#This Row],[Location Identifier]],"-")</f>
        <v>SAN-010</v>
      </c>
      <c r="AP1844" s="9">
        <f t="shared" ca="1" si="280"/>
        <v>45869</v>
      </c>
    </row>
    <row r="1845" spans="1:42" x14ac:dyDescent="0.25">
      <c r="A1845">
        <v>32</v>
      </c>
      <c r="B1845" t="s">
        <v>42</v>
      </c>
      <c r="C1845">
        <v>3</v>
      </c>
      <c r="D1845" t="s">
        <v>100</v>
      </c>
      <c r="E1845" t="b">
        <v>1</v>
      </c>
      <c r="F1845" s="1">
        <v>0.61944444444444446</v>
      </c>
      <c r="G1845" s="1">
        <v>0.73055555555555551</v>
      </c>
      <c r="H1845">
        <v>160</v>
      </c>
      <c r="I1845" t="b">
        <v>0</v>
      </c>
      <c r="J1845" t="b">
        <v>0</v>
      </c>
      <c r="K1845" t="b">
        <v>0</v>
      </c>
      <c r="L1845" t="s">
        <v>28</v>
      </c>
      <c r="M1845">
        <v>20</v>
      </c>
      <c r="N1845" t="s">
        <v>29</v>
      </c>
      <c r="O1845">
        <v>20</v>
      </c>
      <c r="P1845" t="s">
        <v>30</v>
      </c>
      <c r="Q1845">
        <v>0.05</v>
      </c>
      <c r="R1845">
        <v>19</v>
      </c>
      <c r="S1845" t="s">
        <v>44</v>
      </c>
      <c r="T1845" t="s">
        <v>48</v>
      </c>
      <c r="U1845">
        <v>38.581600000000002</v>
      </c>
      <c r="V1845">
        <v>-121.4944</v>
      </c>
      <c r="W1845" s="2">
        <v>44826</v>
      </c>
      <c r="X1845">
        <v>0</v>
      </c>
      <c r="Y1845" t="b">
        <v>0</v>
      </c>
      <c r="Z1845" s="2">
        <v>45804</v>
      </c>
      <c r="AA1845" t="str">
        <f t="shared" si="281"/>
        <v>30–39</v>
      </c>
      <c r="AB1845" t="str">
        <f t="shared" si="282"/>
        <v>30–39</v>
      </c>
      <c r="AC1845" t="str">
        <f t="shared" si="283"/>
        <v/>
      </c>
      <c r="AD1845" t="str">
        <f t="shared" si="284"/>
        <v/>
      </c>
      <c r="AE1845" t="str">
        <f t="shared" si="285"/>
        <v>Wednesday</v>
      </c>
      <c r="AF1845" t="str">
        <f t="shared" si="286"/>
        <v/>
      </c>
      <c r="AG1845" t="str">
        <f t="shared" si="287"/>
        <v>Friday</v>
      </c>
      <c r="AH1845" t="str">
        <f t="shared" si="288"/>
        <v/>
      </c>
      <c r="AI1845" t="str">
        <f t="shared" si="289"/>
        <v>Sunday</v>
      </c>
      <c r="AJ1845" t="str">
        <f>LEFT(Table1[[#This Row],[membership_type]],2)&amp;TEXT(Table1[[#This Row],[age]],"00")&amp;"-"&amp;TEXT(ROW(),"000")</f>
        <v>Ba32-1845</v>
      </c>
      <c r="AK1845" t="str">
        <f>LEFT(Table1[[#This Row],[membership_type]],1)&amp;TEXT(MATCH(Table1[[#This Row],[membership_type]],Table1[membership_type],0),"00")</f>
        <v>B04</v>
      </c>
      <c r="AL1845" t="str">
        <f>LEFT(Table1[[#This Row],[discount_type]],1)&amp;TEXT(ROUND(Table1[[#This Row],[discount_rate]]*100,0),"00")</f>
        <v>P05</v>
      </c>
      <c r="AM1845" t="str" cm="1">
        <f t="array" ref="AM1845">TEXT(SUMPRODUCT(CODE(MID(Table1[[#This Row],[home_gym_location]],_xlfn.SEQUENCE(LEN(Table1[[#This Row],[home_gym_location]])),1))),"00000")</f>
        <v>01245</v>
      </c>
      <c r="AN184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45" t="str">
        <f>LEFT(_xlfn.TEXTBEFORE(Table1[[#This Row],[Location Identifier]],"-"),3) &amp; "-" &amp; _xlfn.TEXTAFTER(Table1[[#This Row],[Location Identifier]],"-")</f>
        <v>SAC-007</v>
      </c>
      <c r="AP1845" s="9">
        <f t="shared" ca="1" si="280"/>
        <v>45869</v>
      </c>
    </row>
    <row r="1846" spans="1:42" x14ac:dyDescent="0.25">
      <c r="A1846">
        <v>29</v>
      </c>
      <c r="B1846" t="s">
        <v>51</v>
      </c>
      <c r="C1846">
        <v>4</v>
      </c>
      <c r="D1846" t="s">
        <v>52</v>
      </c>
      <c r="E1846" t="b">
        <v>1</v>
      </c>
      <c r="F1846" s="1">
        <v>0.76041666666666663</v>
      </c>
      <c r="G1846" s="1">
        <v>0.78749999999999998</v>
      </c>
      <c r="H1846">
        <v>39</v>
      </c>
      <c r="I1846" t="b">
        <v>0</v>
      </c>
      <c r="J1846" t="b">
        <v>1</v>
      </c>
      <c r="K1846" t="b">
        <v>1</v>
      </c>
      <c r="L1846" t="s">
        <v>47</v>
      </c>
      <c r="M1846">
        <v>70</v>
      </c>
      <c r="N1846" t="s">
        <v>29</v>
      </c>
      <c r="O1846">
        <v>70</v>
      </c>
      <c r="P1846" t="s">
        <v>36</v>
      </c>
      <c r="Q1846">
        <v>0</v>
      </c>
      <c r="R1846">
        <v>70</v>
      </c>
      <c r="S1846" t="s">
        <v>53</v>
      </c>
      <c r="T1846" t="s">
        <v>54</v>
      </c>
      <c r="U1846">
        <v>32.715699999999998</v>
      </c>
      <c r="V1846">
        <v>-117.1611</v>
      </c>
      <c r="W1846" s="2">
        <v>45574</v>
      </c>
      <c r="X1846">
        <v>6</v>
      </c>
      <c r="Y1846" t="b">
        <v>1</v>
      </c>
      <c r="Z1846" s="2">
        <v>45846</v>
      </c>
      <c r="AA1846" t="str">
        <f t="shared" si="281"/>
        <v>20–29</v>
      </c>
      <c r="AB1846" t="str">
        <f t="shared" si="282"/>
        <v>20–29</v>
      </c>
      <c r="AC1846" t="str">
        <f t="shared" si="283"/>
        <v>Monday</v>
      </c>
      <c r="AD1846" t="str">
        <f t="shared" si="284"/>
        <v/>
      </c>
      <c r="AE1846" t="str">
        <f t="shared" si="285"/>
        <v/>
      </c>
      <c r="AF1846" t="str">
        <f t="shared" si="286"/>
        <v>Thursday</v>
      </c>
      <c r="AG1846" t="str">
        <f t="shared" si="287"/>
        <v>Friday</v>
      </c>
      <c r="AH1846" t="str">
        <f t="shared" si="288"/>
        <v/>
      </c>
      <c r="AI1846" t="str">
        <f t="shared" si="289"/>
        <v>Sunday</v>
      </c>
      <c r="AJ1846" t="str">
        <f>LEFT(Table1[[#This Row],[membership_type]],2)&amp;TEXT(Table1[[#This Row],[age]],"00")&amp;"-"&amp;TEXT(ROW(),"000")</f>
        <v>El29-1846</v>
      </c>
      <c r="AK1846" t="str">
        <f>LEFT(Table1[[#This Row],[membership_type]],1)&amp;TEXT(MATCH(Table1[[#This Row],[membership_type]],Table1[membership_type],0),"00")</f>
        <v>E07</v>
      </c>
      <c r="AL1846" t="str">
        <f>LEFT(Table1[[#This Row],[discount_type]],1)&amp;TEXT(ROUND(Table1[[#This Row],[discount_rate]]*100,0),"00")</f>
        <v>N00</v>
      </c>
      <c r="AM1846" t="str" cm="1">
        <f t="array" ref="AM1846">TEXT(SUMPRODUCT(CODE(MID(Table1[[#This Row],[home_gym_location]],_xlfn.SEQUENCE(LEN(Table1[[#This Row],[home_gym_location]])),1))),"00000")</f>
        <v>01018</v>
      </c>
      <c r="AN184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46" t="str">
        <f>LEFT(_xlfn.TEXTBEFORE(Table1[[#This Row],[Location Identifier]],"-"),3) &amp; "-" &amp; _xlfn.TEXTAFTER(Table1[[#This Row],[Location Identifier]],"-")</f>
        <v>SAN-008</v>
      </c>
      <c r="AP1846" s="9">
        <f t="shared" ca="1" si="280"/>
        <v>45869</v>
      </c>
    </row>
    <row r="1847" spans="1:42" x14ac:dyDescent="0.25">
      <c r="A1847">
        <v>40</v>
      </c>
      <c r="B1847" t="s">
        <v>33</v>
      </c>
      <c r="C1847">
        <v>3</v>
      </c>
      <c r="D1847" t="s">
        <v>122</v>
      </c>
      <c r="E1847" t="b">
        <v>0</v>
      </c>
      <c r="F1847" s="1">
        <v>0.47083333333333333</v>
      </c>
      <c r="G1847" s="1">
        <v>0.58958333333333335</v>
      </c>
      <c r="H1847">
        <v>171</v>
      </c>
      <c r="I1847" t="b">
        <v>0</v>
      </c>
      <c r="J1847" t="b">
        <v>1</v>
      </c>
      <c r="K1847" t="b">
        <v>1</v>
      </c>
      <c r="L1847" t="s">
        <v>28</v>
      </c>
      <c r="M1847">
        <v>30</v>
      </c>
      <c r="N1847" t="s">
        <v>64</v>
      </c>
      <c r="O1847">
        <v>22.5</v>
      </c>
      <c r="P1847" t="s">
        <v>36</v>
      </c>
      <c r="Q1847">
        <v>0</v>
      </c>
      <c r="R1847">
        <v>22.5</v>
      </c>
      <c r="S1847" t="s">
        <v>37</v>
      </c>
      <c r="T1847" t="s">
        <v>45</v>
      </c>
      <c r="U1847">
        <v>33.836599999999997</v>
      </c>
      <c r="V1847">
        <v>-117.9143</v>
      </c>
      <c r="W1847" s="2">
        <v>45701</v>
      </c>
      <c r="X1847">
        <v>2</v>
      </c>
      <c r="Y1847" t="b">
        <v>0</v>
      </c>
      <c r="Z1847" s="2">
        <v>45853</v>
      </c>
      <c r="AA1847" t="str">
        <f t="shared" si="281"/>
        <v>40–49</v>
      </c>
      <c r="AB1847" t="str">
        <f t="shared" si="282"/>
        <v>40–49</v>
      </c>
      <c r="AC1847" t="str">
        <f t="shared" si="283"/>
        <v/>
      </c>
      <c r="AD1847" t="str">
        <f t="shared" si="284"/>
        <v>Tuesday</v>
      </c>
      <c r="AE1847" t="str">
        <f t="shared" si="285"/>
        <v/>
      </c>
      <c r="AF1847" t="str">
        <f t="shared" si="286"/>
        <v/>
      </c>
      <c r="AG1847" t="str">
        <f t="shared" si="287"/>
        <v>Friday</v>
      </c>
      <c r="AH1847" t="str">
        <f t="shared" si="288"/>
        <v/>
      </c>
      <c r="AI1847" t="str">
        <f t="shared" si="289"/>
        <v>Sunday</v>
      </c>
      <c r="AJ1847" t="str">
        <f>LEFT(Table1[[#This Row],[membership_type]],2)&amp;TEXT(Table1[[#This Row],[age]],"00")&amp;"-"&amp;TEXT(ROW(),"000")</f>
        <v>St40-1847</v>
      </c>
      <c r="AK1847" t="str">
        <f>LEFT(Table1[[#This Row],[membership_type]],1)&amp;TEXT(MATCH(Table1[[#This Row],[membership_type]],Table1[membership_type],0),"00")</f>
        <v>S02</v>
      </c>
      <c r="AL1847" t="str">
        <f>LEFT(Table1[[#This Row],[discount_type]],1)&amp;TEXT(ROUND(Table1[[#This Row],[discount_rate]]*100,0),"00")</f>
        <v>N00</v>
      </c>
      <c r="AM1847" t="str" cm="1">
        <f t="array" ref="AM1847">TEXT(SUMPRODUCT(CODE(MID(Table1[[#This Row],[home_gym_location]],_xlfn.SEQUENCE(LEN(Table1[[#This Row],[home_gym_location]])),1))),"00000")</f>
        <v>00899</v>
      </c>
      <c r="AN184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47" t="str">
        <f>LEFT(_xlfn.TEXTBEFORE(Table1[[#This Row],[Location Identifier]],"-"),3) &amp; "-" &amp; _xlfn.TEXTAFTER(Table1[[#This Row],[Location Identifier]],"-")</f>
        <v>ANA-001</v>
      </c>
      <c r="AP1847" s="9">
        <f t="shared" ca="1" si="280"/>
        <v>45869</v>
      </c>
    </row>
    <row r="1848" spans="1:42" x14ac:dyDescent="0.25">
      <c r="A1848">
        <v>19</v>
      </c>
      <c r="B1848" t="s">
        <v>42</v>
      </c>
      <c r="C1848">
        <v>4</v>
      </c>
      <c r="D1848" t="s">
        <v>163</v>
      </c>
      <c r="E1848" t="b">
        <v>1</v>
      </c>
      <c r="F1848" s="1">
        <v>0.65902777777777777</v>
      </c>
      <c r="G1848" s="1">
        <v>0.71527777777777779</v>
      </c>
      <c r="H1848">
        <v>81</v>
      </c>
      <c r="I1848" t="b">
        <v>1</v>
      </c>
      <c r="J1848" t="b">
        <v>0</v>
      </c>
      <c r="K1848" t="b">
        <v>0</v>
      </c>
      <c r="L1848" t="s">
        <v>28</v>
      </c>
      <c r="M1848">
        <v>20</v>
      </c>
      <c r="N1848" t="s">
        <v>29</v>
      </c>
      <c r="O1848">
        <v>20</v>
      </c>
      <c r="P1848" t="s">
        <v>40</v>
      </c>
      <c r="Q1848">
        <v>0.1</v>
      </c>
      <c r="R1848">
        <v>18</v>
      </c>
      <c r="S1848" t="s">
        <v>44</v>
      </c>
      <c r="T1848" t="s">
        <v>32</v>
      </c>
      <c r="U1848">
        <v>37.338200000000001</v>
      </c>
      <c r="V1848">
        <v>-121.88630000000001</v>
      </c>
      <c r="W1848" s="2">
        <v>45620</v>
      </c>
      <c r="X1848">
        <v>0</v>
      </c>
      <c r="Y1848" t="b">
        <v>1</v>
      </c>
      <c r="Z1848" s="2">
        <v>45849</v>
      </c>
      <c r="AA1848" t="str">
        <f t="shared" si="281"/>
        <v>10–19</v>
      </c>
      <c r="AB1848" t="str">
        <f t="shared" si="282"/>
        <v>16–19</v>
      </c>
      <c r="AC1848" t="str">
        <f t="shared" si="283"/>
        <v/>
      </c>
      <c r="AD1848" t="str">
        <f t="shared" si="284"/>
        <v>Tuesday</v>
      </c>
      <c r="AE1848" t="str">
        <f t="shared" si="285"/>
        <v>Wednesday</v>
      </c>
      <c r="AF1848" t="str">
        <f t="shared" si="286"/>
        <v/>
      </c>
      <c r="AG1848" t="str">
        <f t="shared" si="287"/>
        <v/>
      </c>
      <c r="AH1848" t="str">
        <f t="shared" si="288"/>
        <v>Saturday</v>
      </c>
      <c r="AI1848" t="str">
        <f t="shared" si="289"/>
        <v>Sunday</v>
      </c>
      <c r="AJ1848" t="str">
        <f>LEFT(Table1[[#This Row],[membership_type]],2)&amp;TEXT(Table1[[#This Row],[age]],"00")&amp;"-"&amp;TEXT(ROW(),"000")</f>
        <v>Ba19-1848</v>
      </c>
      <c r="AK1848" t="str">
        <f>LEFT(Table1[[#This Row],[membership_type]],1)&amp;TEXT(MATCH(Table1[[#This Row],[membership_type]],Table1[membership_type],0),"00")</f>
        <v>B04</v>
      </c>
      <c r="AL1848" t="str">
        <f>LEFT(Table1[[#This Row],[discount_type]],1)&amp;TEXT(ROUND(Table1[[#This Row],[discount_rate]]*100,0),"00")</f>
        <v>L10</v>
      </c>
      <c r="AM1848" t="str" cm="1">
        <f t="array" ref="AM1848">TEXT(SUMPRODUCT(CODE(MID(Table1[[#This Row],[home_gym_location]],_xlfn.SEQUENCE(LEN(Table1[[#This Row],[home_gym_location]])),1))),"00000")</f>
        <v>00931</v>
      </c>
      <c r="AN1848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48" t="str">
        <f>LEFT(_xlfn.TEXTBEFORE(Table1[[#This Row],[Location Identifier]],"-"),3) &amp; "-" &amp; _xlfn.TEXTAFTER(Table1[[#This Row],[Location Identifier]],"-")</f>
        <v>SAN-010</v>
      </c>
      <c r="AP1848" s="9">
        <f t="shared" ca="1" si="280"/>
        <v>45869</v>
      </c>
    </row>
    <row r="1849" spans="1:42" x14ac:dyDescent="0.25">
      <c r="A1849">
        <v>45</v>
      </c>
      <c r="B1849" t="s">
        <v>26</v>
      </c>
      <c r="C1849">
        <v>5</v>
      </c>
      <c r="D1849" t="s">
        <v>72</v>
      </c>
      <c r="E1849" t="b">
        <v>0</v>
      </c>
      <c r="F1849" s="1">
        <v>0.7944444444444444</v>
      </c>
      <c r="G1849" s="1">
        <v>0.86388888888888893</v>
      </c>
      <c r="H1849">
        <v>100</v>
      </c>
      <c r="I1849" t="b">
        <v>1</v>
      </c>
      <c r="J1849" t="b">
        <v>1</v>
      </c>
      <c r="K1849" t="b">
        <v>1</v>
      </c>
      <c r="L1849" t="s">
        <v>62</v>
      </c>
      <c r="M1849">
        <v>50</v>
      </c>
      <c r="N1849" t="s">
        <v>29</v>
      </c>
      <c r="O1849">
        <v>50</v>
      </c>
      <c r="P1849" t="s">
        <v>36</v>
      </c>
      <c r="Q1849">
        <v>0</v>
      </c>
      <c r="R1849">
        <v>50</v>
      </c>
      <c r="S1849" t="s">
        <v>31</v>
      </c>
      <c r="T1849" t="s">
        <v>59</v>
      </c>
      <c r="U1849">
        <v>37.774900000000002</v>
      </c>
      <c r="V1849">
        <v>-122.4194</v>
      </c>
      <c r="W1849" s="2">
        <v>44886</v>
      </c>
      <c r="X1849">
        <v>4</v>
      </c>
      <c r="Y1849" t="b">
        <v>1</v>
      </c>
      <c r="Z1849" s="2">
        <v>45807</v>
      </c>
      <c r="AA1849" t="str">
        <f t="shared" si="281"/>
        <v>40–49</v>
      </c>
      <c r="AB1849" t="str">
        <f t="shared" si="282"/>
        <v>40–49</v>
      </c>
      <c r="AC1849" t="str">
        <f t="shared" si="283"/>
        <v>Monday</v>
      </c>
      <c r="AD1849" t="str">
        <f t="shared" si="284"/>
        <v/>
      </c>
      <c r="AE1849" t="str">
        <f t="shared" si="285"/>
        <v>Wednesday</v>
      </c>
      <c r="AF1849" t="str">
        <f t="shared" si="286"/>
        <v>Thursday</v>
      </c>
      <c r="AG1849" t="str">
        <f t="shared" si="287"/>
        <v>Friday</v>
      </c>
      <c r="AH1849" t="str">
        <f t="shared" si="288"/>
        <v/>
      </c>
      <c r="AI1849" t="str">
        <f t="shared" si="289"/>
        <v>Sunday</v>
      </c>
      <c r="AJ1849" t="str">
        <f>LEFT(Table1[[#This Row],[membership_type]],2)&amp;TEXT(Table1[[#This Row],[age]],"00")&amp;"-"&amp;TEXT(ROW(),"000")</f>
        <v>Pr45-1849</v>
      </c>
      <c r="AK1849" t="str">
        <f>LEFT(Table1[[#This Row],[membership_type]],1)&amp;TEXT(MATCH(Table1[[#This Row],[membership_type]],Table1[membership_type],0),"00")</f>
        <v>P01</v>
      </c>
      <c r="AL1849" t="str">
        <f>LEFT(Table1[[#This Row],[discount_type]],1)&amp;TEXT(ROUND(Table1[[#This Row],[discount_rate]]*100,0),"00")</f>
        <v>N00</v>
      </c>
      <c r="AM1849" t="str" cm="1">
        <f t="array" ref="AM1849">TEXT(SUMPRODUCT(CODE(MID(Table1[[#This Row],[home_gym_location]],_xlfn.SEQUENCE(LEN(Table1[[#This Row],[home_gym_location]])),1))),"00000")</f>
        <v>01450</v>
      </c>
      <c r="AN184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49" t="str">
        <f>LEFT(_xlfn.TEXTBEFORE(Table1[[#This Row],[Location Identifier]],"-"),3) &amp; "-" &amp; _xlfn.TEXTAFTER(Table1[[#This Row],[Location Identifier]],"-")</f>
        <v>SAN-009</v>
      </c>
      <c r="AP1849" s="9">
        <f t="shared" ca="1" si="280"/>
        <v>45869</v>
      </c>
    </row>
    <row r="1850" spans="1:42" x14ac:dyDescent="0.25">
      <c r="A1850">
        <v>17</v>
      </c>
      <c r="B1850" t="s">
        <v>33</v>
      </c>
      <c r="C1850">
        <v>3</v>
      </c>
      <c r="D1850" t="s">
        <v>82</v>
      </c>
      <c r="E1850" t="b">
        <v>0</v>
      </c>
      <c r="F1850" s="1">
        <v>0.75138888888888888</v>
      </c>
      <c r="G1850" s="1">
        <v>0.8256944444444444</v>
      </c>
      <c r="H1850">
        <v>107</v>
      </c>
      <c r="I1850" t="b">
        <v>0</v>
      </c>
      <c r="J1850" t="b">
        <v>0</v>
      </c>
      <c r="K1850" t="b">
        <v>1</v>
      </c>
      <c r="L1850" t="s">
        <v>62</v>
      </c>
      <c r="M1850">
        <v>30</v>
      </c>
      <c r="N1850" t="s">
        <v>29</v>
      </c>
      <c r="O1850">
        <v>30</v>
      </c>
      <c r="P1850" t="s">
        <v>74</v>
      </c>
      <c r="Q1850">
        <v>0.15</v>
      </c>
      <c r="R1850">
        <v>25.5</v>
      </c>
      <c r="S1850" t="s">
        <v>37</v>
      </c>
      <c r="T1850" t="s">
        <v>45</v>
      </c>
      <c r="U1850">
        <v>33.836599999999997</v>
      </c>
      <c r="V1850">
        <v>-117.9143</v>
      </c>
      <c r="W1850" s="2">
        <v>45143</v>
      </c>
      <c r="X1850">
        <v>0</v>
      </c>
      <c r="Y1850" t="b">
        <v>1</v>
      </c>
      <c r="Z1850" s="2">
        <v>45822</v>
      </c>
      <c r="AA1850" t="str">
        <f t="shared" si="281"/>
        <v>10–19</v>
      </c>
      <c r="AB1850" t="str">
        <f t="shared" si="282"/>
        <v>16–19</v>
      </c>
      <c r="AC1850" t="str">
        <f t="shared" si="283"/>
        <v/>
      </c>
      <c r="AD1850" t="str">
        <f t="shared" si="284"/>
        <v/>
      </c>
      <c r="AE1850" t="str">
        <f t="shared" si="285"/>
        <v/>
      </c>
      <c r="AF1850" t="str">
        <f t="shared" si="286"/>
        <v/>
      </c>
      <c r="AG1850" t="str">
        <f t="shared" si="287"/>
        <v>Friday</v>
      </c>
      <c r="AH1850" t="str">
        <f t="shared" si="288"/>
        <v>Saturday</v>
      </c>
      <c r="AI1850" t="str">
        <f t="shared" si="289"/>
        <v>Sunday</v>
      </c>
      <c r="AJ1850" t="str">
        <f>LEFT(Table1[[#This Row],[membership_type]],2)&amp;TEXT(Table1[[#This Row],[age]],"00")&amp;"-"&amp;TEXT(ROW(),"000")</f>
        <v>St17-1850</v>
      </c>
      <c r="AK1850" t="str">
        <f>LEFT(Table1[[#This Row],[membership_type]],1)&amp;TEXT(MATCH(Table1[[#This Row],[membership_type]],Table1[membership_type],0),"00")</f>
        <v>S02</v>
      </c>
      <c r="AL1850" t="str">
        <f>LEFT(Table1[[#This Row],[discount_type]],1)&amp;TEXT(ROUND(Table1[[#This Row],[discount_rate]]*100,0),"00")</f>
        <v>S15</v>
      </c>
      <c r="AM1850" t="str" cm="1">
        <f t="array" ref="AM1850">TEXT(SUMPRODUCT(CODE(MID(Table1[[#This Row],[home_gym_location]],_xlfn.SEQUENCE(LEN(Table1[[#This Row],[home_gym_location]])),1))),"00000")</f>
        <v>00899</v>
      </c>
      <c r="AN185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50" t="str">
        <f>LEFT(_xlfn.TEXTBEFORE(Table1[[#This Row],[Location Identifier]],"-"),3) &amp; "-" &amp; _xlfn.TEXTAFTER(Table1[[#This Row],[Location Identifier]],"-")</f>
        <v>ANA-001</v>
      </c>
      <c r="AP1850" s="9">
        <f t="shared" ca="1" si="280"/>
        <v>45869</v>
      </c>
    </row>
    <row r="1851" spans="1:42" x14ac:dyDescent="0.25">
      <c r="A1851">
        <v>30</v>
      </c>
      <c r="B1851" t="s">
        <v>26</v>
      </c>
      <c r="C1851">
        <v>3</v>
      </c>
      <c r="D1851" t="s">
        <v>55</v>
      </c>
      <c r="E1851" t="b">
        <v>0</v>
      </c>
      <c r="F1851" s="1">
        <v>0.72361111111111109</v>
      </c>
      <c r="G1851" s="1">
        <v>0.74791666666666667</v>
      </c>
      <c r="H1851">
        <v>35</v>
      </c>
      <c r="I1851" t="b">
        <v>1</v>
      </c>
      <c r="J1851" t="b">
        <v>0</v>
      </c>
      <c r="K1851" t="b">
        <v>1</v>
      </c>
      <c r="L1851" t="s">
        <v>35</v>
      </c>
      <c r="M1851">
        <v>50</v>
      </c>
      <c r="N1851" t="s">
        <v>64</v>
      </c>
      <c r="O1851">
        <v>37.5</v>
      </c>
      <c r="P1851" t="s">
        <v>40</v>
      </c>
      <c r="Q1851">
        <v>0.1</v>
      </c>
      <c r="R1851">
        <v>33.75</v>
      </c>
      <c r="S1851" t="s">
        <v>31</v>
      </c>
      <c r="T1851" t="s">
        <v>41</v>
      </c>
      <c r="U1851">
        <v>37.804400000000001</v>
      </c>
      <c r="V1851">
        <v>-122.27119999999999</v>
      </c>
      <c r="W1851" s="2">
        <v>45526</v>
      </c>
      <c r="X1851">
        <v>0</v>
      </c>
      <c r="Y1851" t="b">
        <v>1</v>
      </c>
      <c r="Z1851" s="2">
        <v>45843</v>
      </c>
      <c r="AA1851" t="str">
        <f t="shared" si="281"/>
        <v>30–39</v>
      </c>
      <c r="AB1851" t="str">
        <f t="shared" si="282"/>
        <v>30–39</v>
      </c>
      <c r="AC1851" t="str">
        <f t="shared" si="283"/>
        <v/>
      </c>
      <c r="AD1851" t="str">
        <f t="shared" si="284"/>
        <v/>
      </c>
      <c r="AE1851" t="str">
        <f t="shared" si="285"/>
        <v/>
      </c>
      <c r="AF1851" t="str">
        <f t="shared" si="286"/>
        <v>Thursday</v>
      </c>
      <c r="AG1851" t="str">
        <f t="shared" si="287"/>
        <v>Friday</v>
      </c>
      <c r="AH1851" t="str">
        <f t="shared" si="288"/>
        <v/>
      </c>
      <c r="AI1851" t="str">
        <f t="shared" si="289"/>
        <v>Sunday</v>
      </c>
      <c r="AJ1851" t="str">
        <f>LEFT(Table1[[#This Row],[membership_type]],2)&amp;TEXT(Table1[[#This Row],[age]],"00")&amp;"-"&amp;TEXT(ROW(),"000")</f>
        <v>Pr30-1851</v>
      </c>
      <c r="AK1851" t="str">
        <f>LEFT(Table1[[#This Row],[membership_type]],1)&amp;TEXT(MATCH(Table1[[#This Row],[membership_type]],Table1[membership_type],0),"00")</f>
        <v>P01</v>
      </c>
      <c r="AL1851" t="str">
        <f>LEFT(Table1[[#This Row],[discount_type]],1)&amp;TEXT(ROUND(Table1[[#This Row],[discount_rate]]*100,0),"00")</f>
        <v>L10</v>
      </c>
      <c r="AM1851" t="str" cm="1">
        <f t="array" ref="AM1851">TEXT(SUMPRODUCT(CODE(MID(Table1[[#This Row],[home_gym_location]],_xlfn.SEQUENCE(LEN(Table1[[#This Row],[home_gym_location]])),1))),"00000")</f>
        <v>00906</v>
      </c>
      <c r="AN185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51" t="str">
        <f>LEFT(_xlfn.TEXTBEFORE(Table1[[#This Row],[Location Identifier]],"-"),3) &amp; "-" &amp; _xlfn.TEXTAFTER(Table1[[#This Row],[Location Identifier]],"-")</f>
        <v>OAK-006</v>
      </c>
      <c r="AP1851" s="9">
        <f t="shared" ca="1" si="280"/>
        <v>45869</v>
      </c>
    </row>
    <row r="1852" spans="1:42" x14ac:dyDescent="0.25">
      <c r="A1852">
        <v>43</v>
      </c>
      <c r="B1852" t="s">
        <v>33</v>
      </c>
      <c r="C1852">
        <v>3</v>
      </c>
      <c r="D1852" t="s">
        <v>135</v>
      </c>
      <c r="E1852" t="b">
        <v>0</v>
      </c>
      <c r="F1852" s="1">
        <v>0.44930555555555557</v>
      </c>
      <c r="G1852" s="1">
        <v>0.55208333333333337</v>
      </c>
      <c r="H1852">
        <v>148</v>
      </c>
      <c r="I1852" t="b">
        <v>0</v>
      </c>
      <c r="J1852" t="b">
        <v>1</v>
      </c>
      <c r="K1852" t="b">
        <v>0</v>
      </c>
      <c r="L1852" t="s">
        <v>62</v>
      </c>
      <c r="M1852">
        <v>30</v>
      </c>
      <c r="N1852" t="s">
        <v>64</v>
      </c>
      <c r="O1852">
        <v>22.5</v>
      </c>
      <c r="P1852" t="s">
        <v>30</v>
      </c>
      <c r="Q1852">
        <v>0.05</v>
      </c>
      <c r="R1852">
        <v>21.375</v>
      </c>
      <c r="S1852" t="s">
        <v>37</v>
      </c>
      <c r="T1852" t="s">
        <v>54</v>
      </c>
      <c r="U1852">
        <v>32.715699999999998</v>
      </c>
      <c r="V1852">
        <v>-117.1611</v>
      </c>
      <c r="W1852" s="2">
        <v>44962</v>
      </c>
      <c r="X1852">
        <v>6</v>
      </c>
      <c r="Y1852" t="b">
        <v>1</v>
      </c>
      <c r="Z1852" s="2">
        <v>45812</v>
      </c>
      <c r="AA1852" t="str">
        <f t="shared" si="281"/>
        <v>40–49</v>
      </c>
      <c r="AB1852" t="str">
        <f t="shared" si="282"/>
        <v>40–49</v>
      </c>
      <c r="AC1852" t="str">
        <f t="shared" si="283"/>
        <v/>
      </c>
      <c r="AD1852" t="str">
        <f t="shared" si="284"/>
        <v>Tuesday</v>
      </c>
      <c r="AE1852" t="str">
        <f t="shared" si="285"/>
        <v>Wednesday</v>
      </c>
      <c r="AF1852" t="str">
        <f t="shared" si="286"/>
        <v>Thursday</v>
      </c>
      <c r="AG1852" t="str">
        <f t="shared" si="287"/>
        <v/>
      </c>
      <c r="AH1852" t="str">
        <f t="shared" si="288"/>
        <v/>
      </c>
      <c r="AI1852" t="str">
        <f t="shared" si="289"/>
        <v/>
      </c>
      <c r="AJ1852" t="str">
        <f>LEFT(Table1[[#This Row],[membership_type]],2)&amp;TEXT(Table1[[#This Row],[age]],"00")&amp;"-"&amp;TEXT(ROW(),"000")</f>
        <v>St43-1852</v>
      </c>
      <c r="AK1852" t="str">
        <f>LEFT(Table1[[#This Row],[membership_type]],1)&amp;TEXT(MATCH(Table1[[#This Row],[membership_type]],Table1[membership_type],0),"00")</f>
        <v>S02</v>
      </c>
      <c r="AL1852" t="str">
        <f>LEFT(Table1[[#This Row],[discount_type]],1)&amp;TEXT(ROUND(Table1[[#This Row],[discount_rate]]*100,0),"00")</f>
        <v>P05</v>
      </c>
      <c r="AM1852" t="str" cm="1">
        <f t="array" ref="AM1852">TEXT(SUMPRODUCT(CODE(MID(Table1[[#This Row],[home_gym_location]],_xlfn.SEQUENCE(LEN(Table1[[#This Row],[home_gym_location]])),1))),"00000")</f>
        <v>01018</v>
      </c>
      <c r="AN185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52" t="str">
        <f>LEFT(_xlfn.TEXTBEFORE(Table1[[#This Row],[Location Identifier]],"-"),3) &amp; "-" &amp; _xlfn.TEXTAFTER(Table1[[#This Row],[Location Identifier]],"-")</f>
        <v>SAN-008</v>
      </c>
      <c r="AP1852" s="9">
        <f t="shared" ca="1" si="280"/>
        <v>45869</v>
      </c>
    </row>
    <row r="1853" spans="1:42" x14ac:dyDescent="0.25">
      <c r="A1853">
        <v>14</v>
      </c>
      <c r="B1853" t="s">
        <v>26</v>
      </c>
      <c r="C1853">
        <v>3</v>
      </c>
      <c r="D1853" t="s">
        <v>60</v>
      </c>
      <c r="E1853" t="b">
        <v>0</v>
      </c>
      <c r="F1853" s="1">
        <v>0.80277777777777781</v>
      </c>
      <c r="G1853" s="1">
        <v>0.92569444444444449</v>
      </c>
      <c r="H1853">
        <v>177</v>
      </c>
      <c r="I1853" t="b">
        <v>1</v>
      </c>
      <c r="J1853" t="b">
        <v>1</v>
      </c>
      <c r="K1853" t="b">
        <v>0</v>
      </c>
      <c r="L1853" t="s">
        <v>28</v>
      </c>
      <c r="M1853">
        <v>50</v>
      </c>
      <c r="N1853" t="s">
        <v>29</v>
      </c>
      <c r="O1853">
        <v>50</v>
      </c>
      <c r="P1853" t="s">
        <v>36</v>
      </c>
      <c r="Q1853">
        <v>0</v>
      </c>
      <c r="R1853">
        <v>50</v>
      </c>
      <c r="S1853" t="s">
        <v>31</v>
      </c>
      <c r="T1853" t="s">
        <v>59</v>
      </c>
      <c r="U1853">
        <v>37.774900000000002</v>
      </c>
      <c r="V1853">
        <v>-122.4194</v>
      </c>
      <c r="W1853" s="2">
        <v>44913</v>
      </c>
      <c r="X1853">
        <v>1</v>
      </c>
      <c r="Y1853" t="b">
        <v>1</v>
      </c>
      <c r="Z1853" s="2">
        <v>45809</v>
      </c>
      <c r="AA1853" t="str">
        <f t="shared" si="281"/>
        <v>10–19</v>
      </c>
      <c r="AB1853" t="str">
        <f t="shared" si="282"/>
        <v>Under 16</v>
      </c>
      <c r="AC1853" t="str">
        <f t="shared" si="283"/>
        <v/>
      </c>
      <c r="AD1853" t="str">
        <f t="shared" si="284"/>
        <v/>
      </c>
      <c r="AE1853" t="str">
        <f t="shared" si="285"/>
        <v>Wednesday</v>
      </c>
      <c r="AF1853" t="str">
        <f t="shared" si="286"/>
        <v/>
      </c>
      <c r="AG1853" t="str">
        <f t="shared" si="287"/>
        <v/>
      </c>
      <c r="AH1853" t="str">
        <f t="shared" si="288"/>
        <v>Saturday</v>
      </c>
      <c r="AI1853" t="str">
        <f t="shared" si="289"/>
        <v>Sunday</v>
      </c>
      <c r="AJ1853" t="str">
        <f>LEFT(Table1[[#This Row],[membership_type]],2)&amp;TEXT(Table1[[#This Row],[age]],"00")&amp;"-"&amp;TEXT(ROW(),"000")</f>
        <v>Pr14-1853</v>
      </c>
      <c r="AK1853" t="str">
        <f>LEFT(Table1[[#This Row],[membership_type]],1)&amp;TEXT(MATCH(Table1[[#This Row],[membership_type]],Table1[membership_type],0),"00")</f>
        <v>P01</v>
      </c>
      <c r="AL1853" t="str">
        <f>LEFT(Table1[[#This Row],[discount_type]],1)&amp;TEXT(ROUND(Table1[[#This Row],[discount_rate]]*100,0),"00")</f>
        <v>N00</v>
      </c>
      <c r="AM1853" t="str" cm="1">
        <f t="array" ref="AM1853">TEXT(SUMPRODUCT(CODE(MID(Table1[[#This Row],[home_gym_location]],_xlfn.SEQUENCE(LEN(Table1[[#This Row],[home_gym_location]])),1))),"00000")</f>
        <v>01450</v>
      </c>
      <c r="AN185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53" t="str">
        <f>LEFT(_xlfn.TEXTBEFORE(Table1[[#This Row],[Location Identifier]],"-"),3) &amp; "-" &amp; _xlfn.TEXTAFTER(Table1[[#This Row],[Location Identifier]],"-")</f>
        <v>SAN-009</v>
      </c>
      <c r="AP1853" s="9">
        <f t="shared" ca="1" si="280"/>
        <v>45869</v>
      </c>
    </row>
    <row r="1854" spans="1:42" x14ac:dyDescent="0.25">
      <c r="A1854">
        <v>29</v>
      </c>
      <c r="B1854" t="s">
        <v>33</v>
      </c>
      <c r="C1854">
        <v>3</v>
      </c>
      <c r="D1854" t="s">
        <v>91</v>
      </c>
      <c r="E1854" t="b">
        <v>0</v>
      </c>
      <c r="F1854" s="1">
        <v>0.62847222222222221</v>
      </c>
      <c r="G1854" s="1">
        <v>0.67986111111111114</v>
      </c>
      <c r="H1854">
        <v>74</v>
      </c>
      <c r="I1854" t="b">
        <v>0</v>
      </c>
      <c r="J1854" t="b">
        <v>1</v>
      </c>
      <c r="K1854" t="b">
        <v>1</v>
      </c>
      <c r="L1854" t="s">
        <v>35</v>
      </c>
      <c r="M1854">
        <v>30</v>
      </c>
      <c r="N1854" t="s">
        <v>29</v>
      </c>
      <c r="O1854">
        <v>30</v>
      </c>
      <c r="P1854" t="s">
        <v>36</v>
      </c>
      <c r="Q1854">
        <v>0</v>
      </c>
      <c r="R1854">
        <v>30</v>
      </c>
      <c r="S1854" t="s">
        <v>37</v>
      </c>
      <c r="T1854" t="s">
        <v>54</v>
      </c>
      <c r="U1854">
        <v>32.715699999999998</v>
      </c>
      <c r="V1854">
        <v>-117.1611</v>
      </c>
      <c r="W1854" s="2">
        <v>44929</v>
      </c>
      <c r="X1854">
        <v>3</v>
      </c>
      <c r="Y1854" t="b">
        <v>1</v>
      </c>
      <c r="Z1854" s="2">
        <v>45810</v>
      </c>
      <c r="AA1854" t="str">
        <f t="shared" si="281"/>
        <v>20–29</v>
      </c>
      <c r="AB1854" t="str">
        <f t="shared" si="282"/>
        <v>20–29</v>
      </c>
      <c r="AC1854" t="str">
        <f t="shared" si="283"/>
        <v>Monday</v>
      </c>
      <c r="AD1854" t="str">
        <f t="shared" si="284"/>
        <v/>
      </c>
      <c r="AE1854" t="str">
        <f t="shared" si="285"/>
        <v/>
      </c>
      <c r="AF1854" t="str">
        <f t="shared" si="286"/>
        <v>Thursday</v>
      </c>
      <c r="AG1854" t="str">
        <f t="shared" si="287"/>
        <v/>
      </c>
      <c r="AH1854" t="str">
        <f t="shared" si="288"/>
        <v>Saturday</v>
      </c>
      <c r="AI1854" t="str">
        <f t="shared" si="289"/>
        <v/>
      </c>
      <c r="AJ1854" t="str">
        <f>LEFT(Table1[[#This Row],[membership_type]],2)&amp;TEXT(Table1[[#This Row],[age]],"00")&amp;"-"&amp;TEXT(ROW(),"000")</f>
        <v>St29-1854</v>
      </c>
      <c r="AK1854" t="str">
        <f>LEFT(Table1[[#This Row],[membership_type]],1)&amp;TEXT(MATCH(Table1[[#This Row],[membership_type]],Table1[membership_type],0),"00")</f>
        <v>S02</v>
      </c>
      <c r="AL1854" t="str">
        <f>LEFT(Table1[[#This Row],[discount_type]],1)&amp;TEXT(ROUND(Table1[[#This Row],[discount_rate]]*100,0),"00")</f>
        <v>N00</v>
      </c>
      <c r="AM1854" t="str" cm="1">
        <f t="array" ref="AM1854">TEXT(SUMPRODUCT(CODE(MID(Table1[[#This Row],[home_gym_location]],_xlfn.SEQUENCE(LEN(Table1[[#This Row],[home_gym_location]])),1))),"00000")</f>
        <v>01018</v>
      </c>
      <c r="AN18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54" t="str">
        <f>LEFT(_xlfn.TEXTBEFORE(Table1[[#This Row],[Location Identifier]],"-"),3) &amp; "-" &amp; _xlfn.TEXTAFTER(Table1[[#This Row],[Location Identifier]],"-")</f>
        <v>SAN-008</v>
      </c>
      <c r="AP1854" s="9">
        <f t="shared" ca="1" si="280"/>
        <v>45869</v>
      </c>
    </row>
    <row r="1855" spans="1:42" x14ac:dyDescent="0.25">
      <c r="A1855">
        <v>48</v>
      </c>
      <c r="B1855" t="s">
        <v>33</v>
      </c>
      <c r="C1855">
        <v>4</v>
      </c>
      <c r="D1855" t="s">
        <v>161</v>
      </c>
      <c r="E1855" t="b">
        <v>0</v>
      </c>
      <c r="F1855" s="1">
        <v>0.56458333333333333</v>
      </c>
      <c r="G1855" s="1">
        <v>0.58888888888888891</v>
      </c>
      <c r="H1855">
        <v>35</v>
      </c>
      <c r="I1855" t="b">
        <v>1</v>
      </c>
      <c r="J1855" t="b">
        <v>0</v>
      </c>
      <c r="K1855" t="b">
        <v>0</v>
      </c>
      <c r="L1855" t="s">
        <v>62</v>
      </c>
      <c r="M1855">
        <v>30</v>
      </c>
      <c r="N1855" t="s">
        <v>29</v>
      </c>
      <c r="O1855">
        <v>30</v>
      </c>
      <c r="P1855" t="s">
        <v>40</v>
      </c>
      <c r="Q1855">
        <v>0.1</v>
      </c>
      <c r="R1855">
        <v>27</v>
      </c>
      <c r="S1855" t="s">
        <v>37</v>
      </c>
      <c r="T1855" t="s">
        <v>41</v>
      </c>
      <c r="U1855">
        <v>37.804400000000001</v>
      </c>
      <c r="V1855">
        <v>-122.27119999999999</v>
      </c>
      <c r="W1855" s="2">
        <v>44852</v>
      </c>
      <c r="X1855">
        <v>0</v>
      </c>
      <c r="Y1855" t="b">
        <v>0</v>
      </c>
      <c r="Z1855" s="2">
        <v>45805</v>
      </c>
      <c r="AA1855" t="str">
        <f t="shared" si="281"/>
        <v>40–49</v>
      </c>
      <c r="AB1855" t="str">
        <f t="shared" si="282"/>
        <v>40–49</v>
      </c>
      <c r="AC1855" t="str">
        <f t="shared" si="283"/>
        <v>Monday</v>
      </c>
      <c r="AD1855" t="str">
        <f t="shared" si="284"/>
        <v/>
      </c>
      <c r="AE1855" t="str">
        <f t="shared" si="285"/>
        <v>Wednesday</v>
      </c>
      <c r="AF1855" t="str">
        <f t="shared" si="286"/>
        <v>Thursday</v>
      </c>
      <c r="AG1855" t="str">
        <f t="shared" si="287"/>
        <v/>
      </c>
      <c r="AH1855" t="str">
        <f t="shared" si="288"/>
        <v/>
      </c>
      <c r="AI1855" t="str">
        <f t="shared" si="289"/>
        <v>Sunday</v>
      </c>
      <c r="AJ1855" t="str">
        <f>LEFT(Table1[[#This Row],[membership_type]],2)&amp;TEXT(Table1[[#This Row],[age]],"00")&amp;"-"&amp;TEXT(ROW(),"000")</f>
        <v>St48-1855</v>
      </c>
      <c r="AK1855" t="str">
        <f>LEFT(Table1[[#This Row],[membership_type]],1)&amp;TEXT(MATCH(Table1[[#This Row],[membership_type]],Table1[membership_type],0),"00")</f>
        <v>S02</v>
      </c>
      <c r="AL1855" t="str">
        <f>LEFT(Table1[[#This Row],[discount_type]],1)&amp;TEXT(ROUND(Table1[[#This Row],[discount_rate]]*100,0),"00")</f>
        <v>L10</v>
      </c>
      <c r="AM1855" t="str" cm="1">
        <f t="array" ref="AM1855">TEXT(SUMPRODUCT(CODE(MID(Table1[[#This Row],[home_gym_location]],_xlfn.SEQUENCE(LEN(Table1[[#This Row],[home_gym_location]])),1))),"00000")</f>
        <v>00906</v>
      </c>
      <c r="AN1855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55" t="str">
        <f>LEFT(_xlfn.TEXTBEFORE(Table1[[#This Row],[Location Identifier]],"-"),3) &amp; "-" &amp; _xlfn.TEXTAFTER(Table1[[#This Row],[Location Identifier]],"-")</f>
        <v>OAK-006</v>
      </c>
      <c r="AP1855" s="9">
        <f t="shared" ca="1" si="280"/>
        <v>45869</v>
      </c>
    </row>
    <row r="1856" spans="1:42" x14ac:dyDescent="0.25">
      <c r="A1856">
        <v>44</v>
      </c>
      <c r="B1856" t="s">
        <v>26</v>
      </c>
      <c r="C1856">
        <v>3</v>
      </c>
      <c r="D1856" t="s">
        <v>129</v>
      </c>
      <c r="E1856" t="b">
        <v>0</v>
      </c>
      <c r="F1856" s="1">
        <v>0.81944444444444442</v>
      </c>
      <c r="G1856" s="1">
        <v>0.93680555555555556</v>
      </c>
      <c r="H1856">
        <v>169</v>
      </c>
      <c r="I1856" t="b">
        <v>0</v>
      </c>
      <c r="J1856" t="b">
        <v>1</v>
      </c>
      <c r="K1856" t="b">
        <v>0</v>
      </c>
      <c r="L1856" t="s">
        <v>28</v>
      </c>
      <c r="M1856">
        <v>50</v>
      </c>
      <c r="N1856" t="s">
        <v>29</v>
      </c>
      <c r="O1856">
        <v>50</v>
      </c>
      <c r="P1856" t="s">
        <v>74</v>
      </c>
      <c r="Q1856">
        <v>0.15</v>
      </c>
      <c r="R1856">
        <v>42.5</v>
      </c>
      <c r="S1856" t="s">
        <v>31</v>
      </c>
      <c r="T1856" t="s">
        <v>45</v>
      </c>
      <c r="U1856">
        <v>33.836599999999997</v>
      </c>
      <c r="V1856">
        <v>-117.9143</v>
      </c>
      <c r="W1856" s="2">
        <v>45562</v>
      </c>
      <c r="X1856">
        <v>3</v>
      </c>
      <c r="Y1856" t="b">
        <v>1</v>
      </c>
      <c r="Z1856" s="2">
        <v>45845</v>
      </c>
      <c r="AA1856" t="str">
        <f t="shared" si="281"/>
        <v>40–49</v>
      </c>
      <c r="AB1856" t="str">
        <f t="shared" si="282"/>
        <v>40–49</v>
      </c>
      <c r="AC1856" t="str">
        <f t="shared" si="283"/>
        <v/>
      </c>
      <c r="AD1856" t="str">
        <f t="shared" si="284"/>
        <v>Tuesday</v>
      </c>
      <c r="AE1856" t="str">
        <f t="shared" si="285"/>
        <v>Wednesday</v>
      </c>
      <c r="AF1856" t="str">
        <f t="shared" si="286"/>
        <v/>
      </c>
      <c r="AG1856" t="str">
        <f t="shared" si="287"/>
        <v/>
      </c>
      <c r="AH1856" t="str">
        <f t="shared" si="288"/>
        <v/>
      </c>
      <c r="AI1856" t="str">
        <f t="shared" si="289"/>
        <v>Sunday</v>
      </c>
      <c r="AJ1856" t="str">
        <f>LEFT(Table1[[#This Row],[membership_type]],2)&amp;TEXT(Table1[[#This Row],[age]],"00")&amp;"-"&amp;TEXT(ROW(),"000")</f>
        <v>Pr44-1856</v>
      </c>
      <c r="AK1856" t="str">
        <f>LEFT(Table1[[#This Row],[membership_type]],1)&amp;TEXT(MATCH(Table1[[#This Row],[membership_type]],Table1[membership_type],0),"00")</f>
        <v>P01</v>
      </c>
      <c r="AL1856" t="str">
        <f>LEFT(Table1[[#This Row],[discount_type]],1)&amp;TEXT(ROUND(Table1[[#This Row],[discount_rate]]*100,0),"00")</f>
        <v>S15</v>
      </c>
      <c r="AM1856" t="str" cm="1">
        <f t="array" ref="AM1856">TEXT(SUMPRODUCT(CODE(MID(Table1[[#This Row],[home_gym_location]],_xlfn.SEQUENCE(LEN(Table1[[#This Row],[home_gym_location]])),1))),"00000")</f>
        <v>00899</v>
      </c>
      <c r="AN1856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56" t="str">
        <f>LEFT(_xlfn.TEXTBEFORE(Table1[[#This Row],[Location Identifier]],"-"),3) &amp; "-" &amp; _xlfn.TEXTAFTER(Table1[[#This Row],[Location Identifier]],"-")</f>
        <v>ANA-001</v>
      </c>
      <c r="AP1856" s="9">
        <f t="shared" ca="1" si="280"/>
        <v>45869</v>
      </c>
    </row>
    <row r="1857" spans="1:42" x14ac:dyDescent="0.25">
      <c r="A1857">
        <v>36</v>
      </c>
      <c r="B1857" t="s">
        <v>26</v>
      </c>
      <c r="C1857">
        <v>3</v>
      </c>
      <c r="D1857" t="s">
        <v>106</v>
      </c>
      <c r="E1857" t="b">
        <v>0</v>
      </c>
      <c r="F1857" s="1">
        <v>0.64444444444444449</v>
      </c>
      <c r="G1857" s="1">
        <v>0.74791666666666667</v>
      </c>
      <c r="H1857">
        <v>149</v>
      </c>
      <c r="I1857" t="b">
        <v>1</v>
      </c>
      <c r="J1857" t="b">
        <v>0</v>
      </c>
      <c r="K1857" t="b">
        <v>0</v>
      </c>
      <c r="L1857" t="s">
        <v>28</v>
      </c>
      <c r="M1857">
        <v>50</v>
      </c>
      <c r="N1857" t="s">
        <v>29</v>
      </c>
      <c r="O1857">
        <v>50</v>
      </c>
      <c r="P1857" t="s">
        <v>30</v>
      </c>
      <c r="Q1857">
        <v>0.05</v>
      </c>
      <c r="R1857">
        <v>47.5</v>
      </c>
      <c r="S1857" t="s">
        <v>31</v>
      </c>
      <c r="T1857" t="s">
        <v>65</v>
      </c>
      <c r="U1857">
        <v>33.770099999999999</v>
      </c>
      <c r="V1857">
        <v>-118.19370000000001</v>
      </c>
      <c r="W1857" s="2">
        <v>45026</v>
      </c>
      <c r="X1857">
        <v>0</v>
      </c>
      <c r="Y1857" t="b">
        <v>1</v>
      </c>
      <c r="Z1857" s="2">
        <v>45815</v>
      </c>
      <c r="AA1857" t="str">
        <f t="shared" si="281"/>
        <v>30–39</v>
      </c>
      <c r="AB1857" t="str">
        <f t="shared" si="282"/>
        <v>30–39</v>
      </c>
      <c r="AC1857" t="str">
        <f t="shared" si="283"/>
        <v/>
      </c>
      <c r="AD1857" t="str">
        <f t="shared" si="284"/>
        <v/>
      </c>
      <c r="AE1857" t="str">
        <f t="shared" si="285"/>
        <v>Wednesday</v>
      </c>
      <c r="AF1857" t="str">
        <f t="shared" si="286"/>
        <v>Thursday</v>
      </c>
      <c r="AG1857" t="str">
        <f t="shared" si="287"/>
        <v>Friday</v>
      </c>
      <c r="AH1857" t="str">
        <f t="shared" si="288"/>
        <v/>
      </c>
      <c r="AI1857" t="str">
        <f t="shared" si="289"/>
        <v/>
      </c>
      <c r="AJ1857" t="str">
        <f>LEFT(Table1[[#This Row],[membership_type]],2)&amp;TEXT(Table1[[#This Row],[age]],"00")&amp;"-"&amp;TEXT(ROW(),"000")</f>
        <v>Pr36-1857</v>
      </c>
      <c r="AK1857" t="str">
        <f>LEFT(Table1[[#This Row],[membership_type]],1)&amp;TEXT(MATCH(Table1[[#This Row],[membership_type]],Table1[membership_type],0),"00")</f>
        <v>P01</v>
      </c>
      <c r="AL1857" t="str">
        <f>LEFT(Table1[[#This Row],[discount_type]],1)&amp;TEXT(ROUND(Table1[[#This Row],[discount_rate]]*100,0),"00")</f>
        <v>P05</v>
      </c>
      <c r="AM1857" t="str" cm="1">
        <f t="array" ref="AM1857">TEXT(SUMPRODUCT(CODE(MID(Table1[[#This Row],[home_gym_location]],_xlfn.SEQUENCE(LEN(Table1[[#This Row],[home_gym_location]])),1))),"00000")</f>
        <v>01107</v>
      </c>
      <c r="AN185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57" t="str">
        <f>LEFT(_xlfn.TEXTBEFORE(Table1[[#This Row],[Location Identifier]],"-"),3) &amp; "-" &amp; _xlfn.TEXTAFTER(Table1[[#This Row],[Location Identifier]],"-")</f>
        <v>LON-004</v>
      </c>
      <c r="AP1857" s="9">
        <f t="shared" ca="1" si="280"/>
        <v>45869</v>
      </c>
    </row>
    <row r="1858" spans="1:42" x14ac:dyDescent="0.25">
      <c r="A1858">
        <v>26</v>
      </c>
      <c r="B1858" t="s">
        <v>26</v>
      </c>
      <c r="C1858">
        <v>2</v>
      </c>
      <c r="D1858" t="s">
        <v>27</v>
      </c>
      <c r="E1858" t="b">
        <v>0</v>
      </c>
      <c r="F1858" s="1">
        <v>0.74791666666666667</v>
      </c>
      <c r="G1858" s="1">
        <v>0.83888888888888891</v>
      </c>
      <c r="H1858">
        <v>131</v>
      </c>
      <c r="I1858" t="b">
        <v>0</v>
      </c>
      <c r="J1858" t="b">
        <v>0</v>
      </c>
      <c r="K1858" t="b">
        <v>0</v>
      </c>
      <c r="L1858" t="s">
        <v>28</v>
      </c>
      <c r="M1858">
        <v>50</v>
      </c>
      <c r="N1858" t="s">
        <v>29</v>
      </c>
      <c r="O1858">
        <v>50</v>
      </c>
      <c r="P1858" t="s">
        <v>74</v>
      </c>
      <c r="Q1858">
        <v>0.15</v>
      </c>
      <c r="R1858">
        <v>42.5</v>
      </c>
      <c r="S1858" t="s">
        <v>31</v>
      </c>
      <c r="T1858" t="s">
        <v>38</v>
      </c>
      <c r="U1858">
        <v>36.7378</v>
      </c>
      <c r="V1858">
        <v>-119.7871</v>
      </c>
      <c r="W1858" s="2">
        <v>45340</v>
      </c>
      <c r="X1858">
        <v>0</v>
      </c>
      <c r="Y1858" t="b">
        <v>1</v>
      </c>
      <c r="Z1858" s="2">
        <v>45833</v>
      </c>
      <c r="AA1858" t="str">
        <f t="shared" si="281"/>
        <v>20–29</v>
      </c>
      <c r="AB1858" t="str">
        <f t="shared" si="282"/>
        <v>20–29</v>
      </c>
      <c r="AC1858" t="str">
        <f t="shared" si="283"/>
        <v/>
      </c>
      <c r="AD1858" t="str">
        <f t="shared" si="284"/>
        <v/>
      </c>
      <c r="AE1858" t="str">
        <f t="shared" si="285"/>
        <v/>
      </c>
      <c r="AF1858" t="str">
        <f t="shared" si="286"/>
        <v>Thursday</v>
      </c>
      <c r="AG1858" t="str">
        <f t="shared" si="287"/>
        <v/>
      </c>
      <c r="AH1858" t="str">
        <f t="shared" si="288"/>
        <v>Saturday</v>
      </c>
      <c r="AI1858" t="str">
        <f t="shared" si="289"/>
        <v/>
      </c>
      <c r="AJ1858" t="str">
        <f>LEFT(Table1[[#This Row],[membership_type]],2)&amp;TEXT(Table1[[#This Row],[age]],"00")&amp;"-"&amp;TEXT(ROW(),"000")</f>
        <v>Pr26-1858</v>
      </c>
      <c r="AK1858" t="str">
        <f>LEFT(Table1[[#This Row],[membership_type]],1)&amp;TEXT(MATCH(Table1[[#This Row],[membership_type]],Table1[membership_type],0),"00")</f>
        <v>P01</v>
      </c>
      <c r="AL1858" t="str">
        <f>LEFT(Table1[[#This Row],[discount_type]],1)&amp;TEXT(ROUND(Table1[[#This Row],[discount_rate]]*100,0),"00")</f>
        <v>S15</v>
      </c>
      <c r="AM1858" t="str" cm="1">
        <f t="array" ref="AM1858">TEXT(SUMPRODUCT(CODE(MID(Table1[[#This Row],[home_gym_location]],_xlfn.SEQUENCE(LEN(Table1[[#This Row],[home_gym_location]])),1))),"00000")</f>
        <v>00829</v>
      </c>
      <c r="AN1858" t="str">
        <f>UPPER(_xlfn.TEXTBEFORE(Table1[[#This Row],[home_gym_location]],","))&amp;"-"&amp;TEXT(MATCH(Table1[[#This Row],[home_gym_location]],_xlfn._xlws.SORT(_xlfn.UNIQUE(Table1[home_gym_location])),0),"000")</f>
        <v>FRESNO-003</v>
      </c>
      <c r="AO1858" t="str">
        <f>LEFT(_xlfn.TEXTBEFORE(Table1[[#This Row],[Location Identifier]],"-"),3) &amp; "-" &amp; _xlfn.TEXTAFTER(Table1[[#This Row],[Location Identifier]],"-")</f>
        <v>FRE-003</v>
      </c>
      <c r="AP1858" s="9">
        <f t="shared" ref="AP1858:AP1921" ca="1" si="290">EOMONTH(DATE(YEAR(TODAY()),7,1),0)</f>
        <v>45869</v>
      </c>
    </row>
    <row r="1859" spans="1:42" x14ac:dyDescent="0.25">
      <c r="A1859">
        <v>34</v>
      </c>
      <c r="B1859" t="s">
        <v>26</v>
      </c>
      <c r="C1859">
        <v>2</v>
      </c>
      <c r="D1859" t="s">
        <v>130</v>
      </c>
      <c r="E1859" t="b">
        <v>1</v>
      </c>
      <c r="F1859" s="1">
        <v>0.5854166666666667</v>
      </c>
      <c r="G1859" s="1">
        <v>0.67361111111111116</v>
      </c>
      <c r="H1859">
        <v>127</v>
      </c>
      <c r="I1859" t="b">
        <v>1</v>
      </c>
      <c r="J1859" t="b">
        <v>0</v>
      </c>
      <c r="K1859" t="b">
        <v>1</v>
      </c>
      <c r="L1859" t="s">
        <v>62</v>
      </c>
      <c r="M1859">
        <v>50</v>
      </c>
      <c r="N1859" t="s">
        <v>29</v>
      </c>
      <c r="O1859">
        <v>50</v>
      </c>
      <c r="P1859" t="s">
        <v>30</v>
      </c>
      <c r="Q1859">
        <v>0.05</v>
      </c>
      <c r="R1859">
        <v>47.5</v>
      </c>
      <c r="S1859" t="s">
        <v>31</v>
      </c>
      <c r="T1859" t="s">
        <v>59</v>
      </c>
      <c r="U1859">
        <v>37.774900000000002</v>
      </c>
      <c r="V1859">
        <v>-122.4194</v>
      </c>
      <c r="W1859" s="2">
        <v>44934</v>
      </c>
      <c r="X1859">
        <v>0</v>
      </c>
      <c r="Y1859" t="b">
        <v>1</v>
      </c>
      <c r="Z1859" s="2">
        <v>45810</v>
      </c>
      <c r="AA1859" t="str">
        <f t="shared" ref="AA1859:AA1922" si="291">TEXT(10*INT($A1859/10),"0")&amp;"–"&amp;TEXT(10*INT($A1859/10)+9,"0")</f>
        <v>30–39</v>
      </c>
      <c r="AB1859" t="str">
        <f t="shared" ref="AB1859:AB1922" si="292">IF(AND($AA1859 = "10–19", $A1859 &lt; 16), "Under 16", IF(AND($AA1859 = "10–19", $A1859 &gt;= 16), "16–19", $AA1859))</f>
        <v>30–39</v>
      </c>
      <c r="AC1859" t="str">
        <f t="shared" ref="AC1859:AC1922" si="293">IF(ISNUMBER(SEARCH("Mon", $D1859)), "Monday", "")</f>
        <v>Monday</v>
      </c>
      <c r="AD1859" t="str">
        <f t="shared" ref="AD1859:AD1922" si="294">IF(ISNUMBER(SEARCH("Tue", $D1859)), "Tuesday", "")</f>
        <v/>
      </c>
      <c r="AE1859" t="str">
        <f t="shared" ref="AE1859:AE1922" si="295">IF(ISNUMBER(SEARCH("Wed", $D1859)), "Wednesday", "")</f>
        <v/>
      </c>
      <c r="AF1859" t="str">
        <f t="shared" ref="AF1859:AF1922" si="296">IF(ISNUMBER(SEARCH("Thu", $D1859)), "Thursday", "")</f>
        <v>Thursday</v>
      </c>
      <c r="AG1859" t="str">
        <f t="shared" ref="AG1859:AG1922" si="297">IF(ISNUMBER(SEARCH("Fri", $D1859)), "Friday", "")</f>
        <v/>
      </c>
      <c r="AH1859" t="str">
        <f t="shared" ref="AH1859:AH1922" si="298">IF(ISNUMBER(SEARCH("Sat", $D1859)), "Saturday", "")</f>
        <v/>
      </c>
      <c r="AI1859" t="str">
        <f t="shared" ref="AI1859:AI1922" si="299">IF(ISNUMBER(SEARCH("Sun", $D1859)), "Sunday", "")</f>
        <v/>
      </c>
      <c r="AJ1859" t="str">
        <f>LEFT(Table1[[#This Row],[membership_type]],2)&amp;TEXT(Table1[[#This Row],[age]],"00")&amp;"-"&amp;TEXT(ROW(),"000")</f>
        <v>Pr34-1859</v>
      </c>
      <c r="AK1859" t="str">
        <f>LEFT(Table1[[#This Row],[membership_type]],1)&amp;TEXT(MATCH(Table1[[#This Row],[membership_type]],Table1[membership_type],0),"00")</f>
        <v>P01</v>
      </c>
      <c r="AL1859" t="str">
        <f>LEFT(Table1[[#This Row],[discount_type]],1)&amp;TEXT(ROUND(Table1[[#This Row],[discount_rate]]*100,0),"00")</f>
        <v>P05</v>
      </c>
      <c r="AM1859" t="str" cm="1">
        <f t="array" ref="AM1859">TEXT(SUMPRODUCT(CODE(MID(Table1[[#This Row],[home_gym_location]],_xlfn.SEQUENCE(LEN(Table1[[#This Row],[home_gym_location]])),1))),"00000")</f>
        <v>01450</v>
      </c>
      <c r="AN185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59" t="str">
        <f>LEFT(_xlfn.TEXTBEFORE(Table1[[#This Row],[Location Identifier]],"-"),3) &amp; "-" &amp; _xlfn.TEXTAFTER(Table1[[#This Row],[Location Identifier]],"-")</f>
        <v>SAN-009</v>
      </c>
      <c r="AP1859" s="9">
        <f t="shared" ca="1" si="290"/>
        <v>45869</v>
      </c>
    </row>
    <row r="1860" spans="1:42" x14ac:dyDescent="0.25">
      <c r="A1860">
        <v>48</v>
      </c>
      <c r="B1860" t="s">
        <v>26</v>
      </c>
      <c r="C1860">
        <v>3</v>
      </c>
      <c r="D1860" t="s">
        <v>102</v>
      </c>
      <c r="E1860" t="b">
        <v>1</v>
      </c>
      <c r="F1860" s="1">
        <v>0.35625000000000001</v>
      </c>
      <c r="G1860" s="1">
        <v>0.42569444444444443</v>
      </c>
      <c r="H1860">
        <v>100</v>
      </c>
      <c r="I1860" t="b">
        <v>1</v>
      </c>
      <c r="J1860" t="b">
        <v>1</v>
      </c>
      <c r="K1860" t="b">
        <v>1</v>
      </c>
      <c r="L1860" t="s">
        <v>28</v>
      </c>
      <c r="M1860">
        <v>50</v>
      </c>
      <c r="N1860" t="s">
        <v>29</v>
      </c>
      <c r="O1860">
        <v>50</v>
      </c>
      <c r="P1860" t="s">
        <v>74</v>
      </c>
      <c r="Q1860">
        <v>0.15</v>
      </c>
      <c r="R1860">
        <v>42.5</v>
      </c>
      <c r="S1860" t="s">
        <v>31</v>
      </c>
      <c r="T1860" t="s">
        <v>48</v>
      </c>
      <c r="U1860">
        <v>38.581600000000002</v>
      </c>
      <c r="V1860">
        <v>-121.4944</v>
      </c>
      <c r="W1860" s="2">
        <v>45055</v>
      </c>
      <c r="X1860">
        <v>2</v>
      </c>
      <c r="Y1860" t="b">
        <v>1</v>
      </c>
      <c r="Z1860" s="2">
        <v>45817</v>
      </c>
      <c r="AA1860" t="str">
        <f t="shared" si="291"/>
        <v>40–49</v>
      </c>
      <c r="AB1860" t="str">
        <f t="shared" si="292"/>
        <v>40–49</v>
      </c>
      <c r="AC1860" t="str">
        <f t="shared" si="293"/>
        <v/>
      </c>
      <c r="AD1860" t="str">
        <f t="shared" si="294"/>
        <v/>
      </c>
      <c r="AE1860" t="str">
        <f t="shared" si="295"/>
        <v/>
      </c>
      <c r="AF1860" t="str">
        <f t="shared" si="296"/>
        <v>Thursday</v>
      </c>
      <c r="AG1860" t="str">
        <f t="shared" si="297"/>
        <v>Friday</v>
      </c>
      <c r="AH1860" t="str">
        <f t="shared" si="298"/>
        <v>Saturday</v>
      </c>
      <c r="AI1860" t="str">
        <f t="shared" si="299"/>
        <v/>
      </c>
      <c r="AJ1860" t="str">
        <f>LEFT(Table1[[#This Row],[membership_type]],2)&amp;TEXT(Table1[[#This Row],[age]],"00")&amp;"-"&amp;TEXT(ROW(),"000")</f>
        <v>Pr48-1860</v>
      </c>
      <c r="AK1860" t="str">
        <f>LEFT(Table1[[#This Row],[membership_type]],1)&amp;TEXT(MATCH(Table1[[#This Row],[membership_type]],Table1[membership_type],0),"00")</f>
        <v>P01</v>
      </c>
      <c r="AL1860" t="str">
        <f>LEFT(Table1[[#This Row],[discount_type]],1)&amp;TEXT(ROUND(Table1[[#This Row],[discount_rate]]*100,0),"00")</f>
        <v>S15</v>
      </c>
      <c r="AM1860" t="str" cm="1">
        <f t="array" ref="AM1860">TEXT(SUMPRODUCT(CODE(MID(Table1[[#This Row],[home_gym_location]],_xlfn.SEQUENCE(LEN(Table1[[#This Row],[home_gym_location]])),1))),"00000")</f>
        <v>01245</v>
      </c>
      <c r="AN186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60" t="str">
        <f>LEFT(_xlfn.TEXTBEFORE(Table1[[#This Row],[Location Identifier]],"-"),3) &amp; "-" &amp; _xlfn.TEXTAFTER(Table1[[#This Row],[Location Identifier]],"-")</f>
        <v>SAC-007</v>
      </c>
      <c r="AP1860" s="9">
        <f t="shared" ca="1" si="290"/>
        <v>45869</v>
      </c>
    </row>
    <row r="1861" spans="1:42" x14ac:dyDescent="0.25">
      <c r="A1861">
        <v>30</v>
      </c>
      <c r="B1861" t="s">
        <v>26</v>
      </c>
      <c r="C1861">
        <v>3</v>
      </c>
      <c r="D1861" t="s">
        <v>60</v>
      </c>
      <c r="E1861" t="b">
        <v>1</v>
      </c>
      <c r="F1861" s="1">
        <v>0.73819444444444449</v>
      </c>
      <c r="G1861" s="1">
        <v>0.76597222222222228</v>
      </c>
      <c r="H1861">
        <v>40</v>
      </c>
      <c r="I1861" t="b">
        <v>0</v>
      </c>
      <c r="J1861" t="b">
        <v>0</v>
      </c>
      <c r="K1861" t="b">
        <v>0</v>
      </c>
      <c r="L1861" t="s">
        <v>28</v>
      </c>
      <c r="M1861">
        <v>50</v>
      </c>
      <c r="N1861" t="s">
        <v>29</v>
      </c>
      <c r="O1861">
        <v>50</v>
      </c>
      <c r="P1861" t="s">
        <v>74</v>
      </c>
      <c r="Q1861">
        <v>0.15</v>
      </c>
      <c r="R1861">
        <v>42.5</v>
      </c>
      <c r="S1861" t="s">
        <v>31</v>
      </c>
      <c r="T1861" t="s">
        <v>38</v>
      </c>
      <c r="U1861">
        <v>36.7378</v>
      </c>
      <c r="V1861">
        <v>-119.7871</v>
      </c>
      <c r="W1861" s="2">
        <v>45004</v>
      </c>
      <c r="X1861">
        <v>0</v>
      </c>
      <c r="Y1861" t="b">
        <v>0</v>
      </c>
      <c r="Z1861" s="2">
        <v>45814</v>
      </c>
      <c r="AA1861" t="str">
        <f t="shared" si="291"/>
        <v>30–39</v>
      </c>
      <c r="AB1861" t="str">
        <f t="shared" si="292"/>
        <v>30–39</v>
      </c>
      <c r="AC1861" t="str">
        <f t="shared" si="293"/>
        <v/>
      </c>
      <c r="AD1861" t="str">
        <f t="shared" si="294"/>
        <v/>
      </c>
      <c r="AE1861" t="str">
        <f t="shared" si="295"/>
        <v>Wednesday</v>
      </c>
      <c r="AF1861" t="str">
        <f t="shared" si="296"/>
        <v/>
      </c>
      <c r="AG1861" t="str">
        <f t="shared" si="297"/>
        <v/>
      </c>
      <c r="AH1861" t="str">
        <f t="shared" si="298"/>
        <v>Saturday</v>
      </c>
      <c r="AI1861" t="str">
        <f t="shared" si="299"/>
        <v>Sunday</v>
      </c>
      <c r="AJ1861" t="str">
        <f>LEFT(Table1[[#This Row],[membership_type]],2)&amp;TEXT(Table1[[#This Row],[age]],"00")&amp;"-"&amp;TEXT(ROW(),"000")</f>
        <v>Pr30-1861</v>
      </c>
      <c r="AK1861" t="str">
        <f>LEFT(Table1[[#This Row],[membership_type]],1)&amp;TEXT(MATCH(Table1[[#This Row],[membership_type]],Table1[membership_type],0),"00")</f>
        <v>P01</v>
      </c>
      <c r="AL1861" t="str">
        <f>LEFT(Table1[[#This Row],[discount_type]],1)&amp;TEXT(ROUND(Table1[[#This Row],[discount_rate]]*100,0),"00")</f>
        <v>S15</v>
      </c>
      <c r="AM1861" t="str" cm="1">
        <f t="array" ref="AM1861">TEXT(SUMPRODUCT(CODE(MID(Table1[[#This Row],[home_gym_location]],_xlfn.SEQUENCE(LEN(Table1[[#This Row],[home_gym_location]])),1))),"00000")</f>
        <v>00829</v>
      </c>
      <c r="AN1861" t="str">
        <f>UPPER(_xlfn.TEXTBEFORE(Table1[[#This Row],[home_gym_location]],","))&amp;"-"&amp;TEXT(MATCH(Table1[[#This Row],[home_gym_location]],_xlfn._xlws.SORT(_xlfn.UNIQUE(Table1[home_gym_location])),0),"000")</f>
        <v>FRESNO-003</v>
      </c>
      <c r="AO1861" t="str">
        <f>LEFT(_xlfn.TEXTBEFORE(Table1[[#This Row],[Location Identifier]],"-"),3) &amp; "-" &amp; _xlfn.TEXTAFTER(Table1[[#This Row],[Location Identifier]],"-")</f>
        <v>FRE-003</v>
      </c>
      <c r="AP1861" s="9">
        <f t="shared" ca="1" si="290"/>
        <v>45869</v>
      </c>
    </row>
    <row r="1862" spans="1:42" x14ac:dyDescent="0.25">
      <c r="A1862">
        <v>16</v>
      </c>
      <c r="B1862" t="s">
        <v>42</v>
      </c>
      <c r="C1862">
        <v>5</v>
      </c>
      <c r="D1862" t="s">
        <v>148</v>
      </c>
      <c r="E1862" t="b">
        <v>1</v>
      </c>
      <c r="F1862" s="1">
        <v>0.71111111111111114</v>
      </c>
      <c r="G1862" s="1">
        <v>0.73958333333333337</v>
      </c>
      <c r="H1862">
        <v>41</v>
      </c>
      <c r="I1862" t="b">
        <v>1</v>
      </c>
      <c r="J1862" t="b">
        <v>0</v>
      </c>
      <c r="K1862" t="b">
        <v>1</v>
      </c>
      <c r="L1862" t="s">
        <v>35</v>
      </c>
      <c r="M1862">
        <v>20</v>
      </c>
      <c r="N1862" t="s">
        <v>78</v>
      </c>
      <c r="O1862">
        <v>18</v>
      </c>
      <c r="P1862" t="s">
        <v>40</v>
      </c>
      <c r="Q1862">
        <v>0.1</v>
      </c>
      <c r="R1862">
        <v>16.2</v>
      </c>
      <c r="S1862" t="s">
        <v>44</v>
      </c>
      <c r="T1862" t="s">
        <v>56</v>
      </c>
      <c r="U1862">
        <v>35.3733</v>
      </c>
      <c r="V1862">
        <v>-119.0187</v>
      </c>
      <c r="W1862" s="2">
        <v>45132</v>
      </c>
      <c r="X1862">
        <v>0</v>
      </c>
      <c r="Y1862" t="b">
        <v>1</v>
      </c>
      <c r="Z1862" s="2">
        <v>45821</v>
      </c>
      <c r="AA1862" t="str">
        <f t="shared" si="291"/>
        <v>10–19</v>
      </c>
      <c r="AB1862" t="str">
        <f t="shared" si="292"/>
        <v>16–19</v>
      </c>
      <c r="AC1862" t="str">
        <f t="shared" si="293"/>
        <v/>
      </c>
      <c r="AD1862" t="str">
        <f t="shared" si="294"/>
        <v/>
      </c>
      <c r="AE1862" t="str">
        <f t="shared" si="295"/>
        <v>Wednesday</v>
      </c>
      <c r="AF1862" t="str">
        <f t="shared" si="296"/>
        <v>Thursday</v>
      </c>
      <c r="AG1862" t="str">
        <f t="shared" si="297"/>
        <v>Friday</v>
      </c>
      <c r="AH1862" t="str">
        <f t="shared" si="298"/>
        <v>Saturday</v>
      </c>
      <c r="AI1862" t="str">
        <f t="shared" si="299"/>
        <v>Sunday</v>
      </c>
      <c r="AJ1862" t="str">
        <f>LEFT(Table1[[#This Row],[membership_type]],2)&amp;TEXT(Table1[[#This Row],[age]],"00")&amp;"-"&amp;TEXT(ROW(),"000")</f>
        <v>Ba16-1862</v>
      </c>
      <c r="AK1862" t="str">
        <f>LEFT(Table1[[#This Row],[membership_type]],1)&amp;TEXT(MATCH(Table1[[#This Row],[membership_type]],Table1[membership_type],0),"00")</f>
        <v>B04</v>
      </c>
      <c r="AL1862" t="str">
        <f>LEFT(Table1[[#This Row],[discount_type]],1)&amp;TEXT(ROUND(Table1[[#This Row],[discount_rate]]*100,0),"00")</f>
        <v>L10</v>
      </c>
      <c r="AM1862" t="str" cm="1">
        <f t="array" ref="AM1862">TEXT(SUMPRODUCT(CODE(MID(Table1[[#This Row],[home_gym_location]],_xlfn.SEQUENCE(LEN(Table1[[#This Row],[home_gym_location]])),1))),"00000")</f>
        <v>01324</v>
      </c>
      <c r="AN186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862" t="str">
        <f>LEFT(_xlfn.TEXTBEFORE(Table1[[#This Row],[Location Identifier]],"-"),3) &amp; "-" &amp; _xlfn.TEXTAFTER(Table1[[#This Row],[Location Identifier]],"-")</f>
        <v>BAK-002</v>
      </c>
      <c r="AP1862" s="9">
        <f t="shared" ca="1" si="290"/>
        <v>45869</v>
      </c>
    </row>
    <row r="1863" spans="1:42" x14ac:dyDescent="0.25">
      <c r="A1863">
        <v>35</v>
      </c>
      <c r="B1863" t="s">
        <v>26</v>
      </c>
      <c r="C1863">
        <v>1</v>
      </c>
      <c r="D1863" t="s">
        <v>75</v>
      </c>
      <c r="E1863" t="b">
        <v>1</v>
      </c>
      <c r="F1863" s="1">
        <v>0.81041666666666667</v>
      </c>
      <c r="G1863" s="1">
        <v>0.91874999999999996</v>
      </c>
      <c r="H1863">
        <v>156</v>
      </c>
      <c r="I1863" t="b">
        <v>0</v>
      </c>
      <c r="J1863" t="b">
        <v>0</v>
      </c>
      <c r="K1863" t="b">
        <v>0</v>
      </c>
      <c r="L1863" t="s">
        <v>62</v>
      </c>
      <c r="M1863">
        <v>50</v>
      </c>
      <c r="N1863" t="s">
        <v>64</v>
      </c>
      <c r="O1863">
        <v>37.5</v>
      </c>
      <c r="P1863" t="s">
        <v>36</v>
      </c>
      <c r="Q1863">
        <v>0</v>
      </c>
      <c r="R1863">
        <v>37.5</v>
      </c>
      <c r="S1863" t="s">
        <v>31</v>
      </c>
      <c r="T1863" t="s">
        <v>59</v>
      </c>
      <c r="U1863">
        <v>37.774900000000002</v>
      </c>
      <c r="V1863">
        <v>-122.4194</v>
      </c>
      <c r="W1863" s="2">
        <v>45642</v>
      </c>
      <c r="X1863">
        <v>0</v>
      </c>
      <c r="Y1863" t="b">
        <v>1</v>
      </c>
      <c r="Z1863" s="2">
        <v>45850</v>
      </c>
      <c r="AA1863" t="str">
        <f t="shared" si="291"/>
        <v>30–39</v>
      </c>
      <c r="AB1863" t="str">
        <f t="shared" si="292"/>
        <v>30–39</v>
      </c>
      <c r="AC1863" t="str">
        <f t="shared" si="293"/>
        <v/>
      </c>
      <c r="AD1863" t="str">
        <f t="shared" si="294"/>
        <v/>
      </c>
      <c r="AE1863" t="str">
        <f t="shared" si="295"/>
        <v/>
      </c>
      <c r="AF1863" t="str">
        <f t="shared" si="296"/>
        <v/>
      </c>
      <c r="AG1863" t="str">
        <f t="shared" si="297"/>
        <v>Friday</v>
      </c>
      <c r="AH1863" t="str">
        <f t="shared" si="298"/>
        <v/>
      </c>
      <c r="AI1863" t="str">
        <f t="shared" si="299"/>
        <v/>
      </c>
      <c r="AJ1863" t="str">
        <f>LEFT(Table1[[#This Row],[membership_type]],2)&amp;TEXT(Table1[[#This Row],[age]],"00")&amp;"-"&amp;TEXT(ROW(),"000")</f>
        <v>Pr35-1863</v>
      </c>
      <c r="AK1863" t="str">
        <f>LEFT(Table1[[#This Row],[membership_type]],1)&amp;TEXT(MATCH(Table1[[#This Row],[membership_type]],Table1[membership_type],0),"00")</f>
        <v>P01</v>
      </c>
      <c r="AL1863" t="str">
        <f>LEFT(Table1[[#This Row],[discount_type]],1)&amp;TEXT(ROUND(Table1[[#This Row],[discount_rate]]*100,0),"00")</f>
        <v>N00</v>
      </c>
      <c r="AM1863" t="str" cm="1">
        <f t="array" ref="AM1863">TEXT(SUMPRODUCT(CODE(MID(Table1[[#This Row],[home_gym_location]],_xlfn.SEQUENCE(LEN(Table1[[#This Row],[home_gym_location]])),1))),"00000")</f>
        <v>01450</v>
      </c>
      <c r="AN186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63" t="str">
        <f>LEFT(_xlfn.TEXTBEFORE(Table1[[#This Row],[Location Identifier]],"-"),3) &amp; "-" &amp; _xlfn.TEXTAFTER(Table1[[#This Row],[Location Identifier]],"-")</f>
        <v>SAN-009</v>
      </c>
      <c r="AP1863" s="9">
        <f t="shared" ca="1" si="290"/>
        <v>45869</v>
      </c>
    </row>
    <row r="1864" spans="1:42" x14ac:dyDescent="0.25">
      <c r="A1864">
        <v>18</v>
      </c>
      <c r="B1864" t="s">
        <v>51</v>
      </c>
      <c r="C1864">
        <v>3</v>
      </c>
      <c r="D1864" t="s">
        <v>106</v>
      </c>
      <c r="E1864" t="b">
        <v>1</v>
      </c>
      <c r="F1864" s="1">
        <v>0.77986111111111112</v>
      </c>
      <c r="G1864" s="1">
        <v>0.87916666666666665</v>
      </c>
      <c r="H1864">
        <v>143</v>
      </c>
      <c r="I1864" t="b">
        <v>1</v>
      </c>
      <c r="J1864" t="b">
        <v>0</v>
      </c>
      <c r="K1864" t="b">
        <v>1</v>
      </c>
      <c r="L1864" t="s">
        <v>62</v>
      </c>
      <c r="M1864">
        <v>70</v>
      </c>
      <c r="N1864" t="s">
        <v>29</v>
      </c>
      <c r="O1864">
        <v>70</v>
      </c>
      <c r="P1864" t="s">
        <v>40</v>
      </c>
      <c r="Q1864">
        <v>0.1</v>
      </c>
      <c r="R1864">
        <v>63</v>
      </c>
      <c r="S1864" t="s">
        <v>53</v>
      </c>
      <c r="T1864" t="s">
        <v>65</v>
      </c>
      <c r="U1864">
        <v>33.770099999999999</v>
      </c>
      <c r="V1864">
        <v>-118.19370000000001</v>
      </c>
      <c r="W1864" s="2">
        <v>45250</v>
      </c>
      <c r="X1864">
        <v>0</v>
      </c>
      <c r="Y1864" t="b">
        <v>1</v>
      </c>
      <c r="Z1864" s="2">
        <v>45828</v>
      </c>
      <c r="AA1864" t="str">
        <f t="shared" si="291"/>
        <v>10–19</v>
      </c>
      <c r="AB1864" t="str">
        <f t="shared" si="292"/>
        <v>16–19</v>
      </c>
      <c r="AC1864" t="str">
        <f t="shared" si="293"/>
        <v/>
      </c>
      <c r="AD1864" t="str">
        <f t="shared" si="294"/>
        <v/>
      </c>
      <c r="AE1864" t="str">
        <f t="shared" si="295"/>
        <v>Wednesday</v>
      </c>
      <c r="AF1864" t="str">
        <f t="shared" si="296"/>
        <v>Thursday</v>
      </c>
      <c r="AG1864" t="str">
        <f t="shared" si="297"/>
        <v>Friday</v>
      </c>
      <c r="AH1864" t="str">
        <f t="shared" si="298"/>
        <v/>
      </c>
      <c r="AI1864" t="str">
        <f t="shared" si="299"/>
        <v/>
      </c>
      <c r="AJ1864" t="str">
        <f>LEFT(Table1[[#This Row],[membership_type]],2)&amp;TEXT(Table1[[#This Row],[age]],"00")&amp;"-"&amp;TEXT(ROW(),"000")</f>
        <v>El18-1864</v>
      </c>
      <c r="AK1864" t="str">
        <f>LEFT(Table1[[#This Row],[membership_type]],1)&amp;TEXT(MATCH(Table1[[#This Row],[membership_type]],Table1[membership_type],0),"00")</f>
        <v>E07</v>
      </c>
      <c r="AL1864" t="str">
        <f>LEFT(Table1[[#This Row],[discount_type]],1)&amp;TEXT(ROUND(Table1[[#This Row],[discount_rate]]*100,0),"00")</f>
        <v>L10</v>
      </c>
      <c r="AM1864" t="str" cm="1">
        <f t="array" ref="AM1864">TEXT(SUMPRODUCT(CODE(MID(Table1[[#This Row],[home_gym_location]],_xlfn.SEQUENCE(LEN(Table1[[#This Row],[home_gym_location]])),1))),"00000")</f>
        <v>01107</v>
      </c>
      <c r="AN1864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64" t="str">
        <f>LEFT(_xlfn.TEXTBEFORE(Table1[[#This Row],[Location Identifier]],"-"),3) &amp; "-" &amp; _xlfn.TEXTAFTER(Table1[[#This Row],[Location Identifier]],"-")</f>
        <v>LON-004</v>
      </c>
      <c r="AP1864" s="9">
        <f t="shared" ca="1" si="290"/>
        <v>45869</v>
      </c>
    </row>
    <row r="1865" spans="1:42" x14ac:dyDescent="0.25">
      <c r="A1865">
        <v>34</v>
      </c>
      <c r="B1865" t="s">
        <v>33</v>
      </c>
      <c r="C1865">
        <v>3</v>
      </c>
      <c r="D1865" t="s">
        <v>114</v>
      </c>
      <c r="E1865" t="b">
        <v>0</v>
      </c>
      <c r="F1865" s="1">
        <v>0.46875</v>
      </c>
      <c r="G1865" s="1">
        <v>0.55833333333333335</v>
      </c>
      <c r="H1865">
        <v>129</v>
      </c>
      <c r="I1865" t="b">
        <v>1</v>
      </c>
      <c r="J1865" t="b">
        <v>1</v>
      </c>
      <c r="K1865" t="b">
        <v>1</v>
      </c>
      <c r="L1865" t="s">
        <v>62</v>
      </c>
      <c r="M1865">
        <v>30</v>
      </c>
      <c r="N1865" t="s">
        <v>29</v>
      </c>
      <c r="O1865">
        <v>30</v>
      </c>
      <c r="P1865" t="s">
        <v>30</v>
      </c>
      <c r="Q1865">
        <v>0.05</v>
      </c>
      <c r="R1865">
        <v>28.5</v>
      </c>
      <c r="S1865" t="s">
        <v>37</v>
      </c>
      <c r="T1865" t="s">
        <v>59</v>
      </c>
      <c r="U1865">
        <v>37.774900000000002</v>
      </c>
      <c r="V1865">
        <v>-122.4194</v>
      </c>
      <c r="W1865" s="2">
        <v>44782</v>
      </c>
      <c r="X1865">
        <v>8</v>
      </c>
      <c r="Y1865" t="b">
        <v>1</v>
      </c>
      <c r="Z1865" s="2">
        <v>45801</v>
      </c>
      <c r="AA1865" t="str">
        <f t="shared" si="291"/>
        <v>30–39</v>
      </c>
      <c r="AB1865" t="str">
        <f t="shared" si="292"/>
        <v>30–39</v>
      </c>
      <c r="AC1865" t="str">
        <f t="shared" si="293"/>
        <v>Monday</v>
      </c>
      <c r="AD1865" t="str">
        <f t="shared" si="294"/>
        <v>Tuesday</v>
      </c>
      <c r="AE1865" t="str">
        <f t="shared" si="295"/>
        <v>Wednesday</v>
      </c>
      <c r="AF1865" t="str">
        <f t="shared" si="296"/>
        <v/>
      </c>
      <c r="AG1865" t="str">
        <f t="shared" si="297"/>
        <v/>
      </c>
      <c r="AH1865" t="str">
        <f t="shared" si="298"/>
        <v/>
      </c>
      <c r="AI1865" t="str">
        <f t="shared" si="299"/>
        <v/>
      </c>
      <c r="AJ1865" t="str">
        <f>LEFT(Table1[[#This Row],[membership_type]],2)&amp;TEXT(Table1[[#This Row],[age]],"00")&amp;"-"&amp;TEXT(ROW(),"000")</f>
        <v>St34-1865</v>
      </c>
      <c r="AK1865" t="str">
        <f>LEFT(Table1[[#This Row],[membership_type]],1)&amp;TEXT(MATCH(Table1[[#This Row],[membership_type]],Table1[membership_type],0),"00")</f>
        <v>S02</v>
      </c>
      <c r="AL1865" t="str">
        <f>LEFT(Table1[[#This Row],[discount_type]],1)&amp;TEXT(ROUND(Table1[[#This Row],[discount_rate]]*100,0),"00")</f>
        <v>P05</v>
      </c>
      <c r="AM1865" t="str" cm="1">
        <f t="array" ref="AM1865">TEXT(SUMPRODUCT(CODE(MID(Table1[[#This Row],[home_gym_location]],_xlfn.SEQUENCE(LEN(Table1[[#This Row],[home_gym_location]])),1))),"00000")</f>
        <v>01450</v>
      </c>
      <c r="AN186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65" t="str">
        <f>LEFT(_xlfn.TEXTBEFORE(Table1[[#This Row],[Location Identifier]],"-"),3) &amp; "-" &amp; _xlfn.TEXTAFTER(Table1[[#This Row],[Location Identifier]],"-")</f>
        <v>SAN-009</v>
      </c>
      <c r="AP1865" s="9">
        <f t="shared" ca="1" si="290"/>
        <v>45869</v>
      </c>
    </row>
    <row r="1866" spans="1:42" x14ac:dyDescent="0.25">
      <c r="A1866">
        <v>19</v>
      </c>
      <c r="B1866" t="s">
        <v>42</v>
      </c>
      <c r="C1866">
        <v>2</v>
      </c>
      <c r="D1866" t="s">
        <v>73</v>
      </c>
      <c r="E1866" t="b">
        <v>1</v>
      </c>
      <c r="F1866" s="1">
        <v>0.53472222222222221</v>
      </c>
      <c r="G1866" s="1">
        <v>0.62222222222222223</v>
      </c>
      <c r="H1866">
        <v>126</v>
      </c>
      <c r="I1866" t="b">
        <v>1</v>
      </c>
      <c r="J1866" t="b">
        <v>0</v>
      </c>
      <c r="K1866" t="b">
        <v>0</v>
      </c>
      <c r="L1866" t="s">
        <v>62</v>
      </c>
      <c r="M1866">
        <v>20</v>
      </c>
      <c r="N1866" t="s">
        <v>64</v>
      </c>
      <c r="O1866">
        <v>15</v>
      </c>
      <c r="P1866" t="s">
        <v>40</v>
      </c>
      <c r="Q1866">
        <v>0.1</v>
      </c>
      <c r="R1866">
        <v>13.5</v>
      </c>
      <c r="S1866" t="s">
        <v>44</v>
      </c>
      <c r="T1866" t="s">
        <v>50</v>
      </c>
      <c r="U1866">
        <v>34.052199999999999</v>
      </c>
      <c r="V1866">
        <v>-118.2437</v>
      </c>
      <c r="W1866" s="2">
        <v>44832</v>
      </c>
      <c r="X1866">
        <v>0</v>
      </c>
      <c r="Y1866" t="b">
        <v>0</v>
      </c>
      <c r="Z1866" s="2">
        <v>45804</v>
      </c>
      <c r="AA1866" t="str">
        <f t="shared" si="291"/>
        <v>10–19</v>
      </c>
      <c r="AB1866" t="str">
        <f t="shared" si="292"/>
        <v>16–19</v>
      </c>
      <c r="AC1866" t="str">
        <f t="shared" si="293"/>
        <v/>
      </c>
      <c r="AD1866" t="str">
        <f t="shared" si="294"/>
        <v>Tuesday</v>
      </c>
      <c r="AE1866" t="str">
        <f t="shared" si="295"/>
        <v/>
      </c>
      <c r="AF1866" t="str">
        <f t="shared" si="296"/>
        <v/>
      </c>
      <c r="AG1866" t="str">
        <f t="shared" si="297"/>
        <v>Friday</v>
      </c>
      <c r="AH1866" t="str">
        <f t="shared" si="298"/>
        <v/>
      </c>
      <c r="AI1866" t="str">
        <f t="shared" si="299"/>
        <v/>
      </c>
      <c r="AJ1866" t="str">
        <f>LEFT(Table1[[#This Row],[membership_type]],2)&amp;TEXT(Table1[[#This Row],[age]],"00")&amp;"-"&amp;TEXT(ROW(),"000")</f>
        <v>Ba19-1866</v>
      </c>
      <c r="AK1866" t="str">
        <f>LEFT(Table1[[#This Row],[membership_type]],1)&amp;TEXT(MATCH(Table1[[#This Row],[membership_type]],Table1[membership_type],0),"00")</f>
        <v>B04</v>
      </c>
      <c r="AL1866" t="str">
        <f>LEFT(Table1[[#This Row],[discount_type]],1)&amp;TEXT(ROUND(Table1[[#This Row],[discount_rate]]*100,0),"00")</f>
        <v>L10</v>
      </c>
      <c r="AM1866" t="str" cm="1">
        <f t="array" ref="AM1866">TEXT(SUMPRODUCT(CODE(MID(Table1[[#This Row],[home_gym_location]],_xlfn.SEQUENCE(LEN(Table1[[#This Row],[home_gym_location]])),1))),"00000")</f>
        <v>01245</v>
      </c>
      <c r="AN1866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66" t="str">
        <f>LEFT(_xlfn.TEXTBEFORE(Table1[[#This Row],[Location Identifier]],"-"),3) &amp; "-" &amp; _xlfn.TEXTAFTER(Table1[[#This Row],[Location Identifier]],"-")</f>
        <v>LOS-005</v>
      </c>
      <c r="AP1866" s="9">
        <f t="shared" ca="1" si="290"/>
        <v>45869</v>
      </c>
    </row>
    <row r="1867" spans="1:42" x14ac:dyDescent="0.25">
      <c r="A1867">
        <v>29</v>
      </c>
      <c r="B1867" t="s">
        <v>33</v>
      </c>
      <c r="C1867">
        <v>3</v>
      </c>
      <c r="D1867" t="s">
        <v>91</v>
      </c>
      <c r="E1867" t="b">
        <v>0</v>
      </c>
      <c r="F1867" s="1">
        <v>0.62847222222222221</v>
      </c>
      <c r="G1867" s="1">
        <v>0.67986111111111114</v>
      </c>
      <c r="H1867">
        <v>74</v>
      </c>
      <c r="I1867" t="b">
        <v>0</v>
      </c>
      <c r="J1867" t="b">
        <v>1</v>
      </c>
      <c r="K1867" t="b">
        <v>1</v>
      </c>
      <c r="L1867" t="s">
        <v>35</v>
      </c>
      <c r="M1867">
        <v>30</v>
      </c>
      <c r="N1867" t="s">
        <v>29</v>
      </c>
      <c r="O1867">
        <v>30</v>
      </c>
      <c r="P1867" t="s">
        <v>36</v>
      </c>
      <c r="Q1867">
        <v>0</v>
      </c>
      <c r="R1867">
        <v>30</v>
      </c>
      <c r="S1867" t="s">
        <v>37</v>
      </c>
      <c r="T1867" t="s">
        <v>54</v>
      </c>
      <c r="U1867">
        <v>32.715699999999998</v>
      </c>
      <c r="V1867">
        <v>-117.1611</v>
      </c>
      <c r="W1867" s="2">
        <v>45785</v>
      </c>
      <c r="X1867">
        <v>4</v>
      </c>
      <c r="Y1867" t="b">
        <v>0</v>
      </c>
      <c r="Z1867" s="2">
        <v>45858</v>
      </c>
      <c r="AA1867" t="str">
        <f t="shared" si="291"/>
        <v>20–29</v>
      </c>
      <c r="AB1867" t="str">
        <f t="shared" si="292"/>
        <v>20–29</v>
      </c>
      <c r="AC1867" t="str">
        <f t="shared" si="293"/>
        <v>Monday</v>
      </c>
      <c r="AD1867" t="str">
        <f t="shared" si="294"/>
        <v/>
      </c>
      <c r="AE1867" t="str">
        <f t="shared" si="295"/>
        <v/>
      </c>
      <c r="AF1867" t="str">
        <f t="shared" si="296"/>
        <v>Thursday</v>
      </c>
      <c r="AG1867" t="str">
        <f t="shared" si="297"/>
        <v/>
      </c>
      <c r="AH1867" t="str">
        <f t="shared" si="298"/>
        <v>Saturday</v>
      </c>
      <c r="AI1867" t="str">
        <f t="shared" si="299"/>
        <v/>
      </c>
      <c r="AJ1867" t="str">
        <f>LEFT(Table1[[#This Row],[membership_type]],2)&amp;TEXT(Table1[[#This Row],[age]],"00")&amp;"-"&amp;TEXT(ROW(),"000")</f>
        <v>St29-1867</v>
      </c>
      <c r="AK1867" t="str">
        <f>LEFT(Table1[[#This Row],[membership_type]],1)&amp;TEXT(MATCH(Table1[[#This Row],[membership_type]],Table1[membership_type],0),"00")</f>
        <v>S02</v>
      </c>
      <c r="AL1867" t="str">
        <f>LEFT(Table1[[#This Row],[discount_type]],1)&amp;TEXT(ROUND(Table1[[#This Row],[discount_rate]]*100,0),"00")</f>
        <v>N00</v>
      </c>
      <c r="AM1867" t="str" cm="1">
        <f t="array" ref="AM1867">TEXT(SUMPRODUCT(CODE(MID(Table1[[#This Row],[home_gym_location]],_xlfn.SEQUENCE(LEN(Table1[[#This Row],[home_gym_location]])),1))),"00000")</f>
        <v>01018</v>
      </c>
      <c r="AN186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67" t="str">
        <f>LEFT(_xlfn.TEXTBEFORE(Table1[[#This Row],[Location Identifier]],"-"),3) &amp; "-" &amp; _xlfn.TEXTAFTER(Table1[[#This Row],[Location Identifier]],"-")</f>
        <v>SAN-008</v>
      </c>
      <c r="AP1867" s="9">
        <f t="shared" ca="1" si="290"/>
        <v>45869</v>
      </c>
    </row>
    <row r="1868" spans="1:42" x14ac:dyDescent="0.25">
      <c r="A1868">
        <v>48</v>
      </c>
      <c r="B1868" t="s">
        <v>26</v>
      </c>
      <c r="C1868">
        <v>2</v>
      </c>
      <c r="D1868" t="s">
        <v>126</v>
      </c>
      <c r="E1868" t="b">
        <v>0</v>
      </c>
      <c r="F1868" s="1">
        <v>0.41458333333333336</v>
      </c>
      <c r="G1868" s="1">
        <v>0.52430555555555558</v>
      </c>
      <c r="H1868">
        <v>158</v>
      </c>
      <c r="I1868" t="b">
        <v>0</v>
      </c>
      <c r="J1868" t="b">
        <v>1</v>
      </c>
      <c r="K1868" t="b">
        <v>1</v>
      </c>
      <c r="L1868" t="s">
        <v>28</v>
      </c>
      <c r="M1868">
        <v>50</v>
      </c>
      <c r="N1868" t="s">
        <v>64</v>
      </c>
      <c r="O1868">
        <v>37.5</v>
      </c>
      <c r="P1868" t="s">
        <v>74</v>
      </c>
      <c r="Q1868">
        <v>0.15</v>
      </c>
      <c r="R1868">
        <v>31.875</v>
      </c>
      <c r="S1868" t="s">
        <v>31</v>
      </c>
      <c r="T1868" t="s">
        <v>59</v>
      </c>
      <c r="U1868">
        <v>37.774900000000002</v>
      </c>
      <c r="V1868">
        <v>-122.4194</v>
      </c>
      <c r="W1868" s="2">
        <v>45655</v>
      </c>
      <c r="X1868">
        <v>4</v>
      </c>
      <c r="Y1868" t="b">
        <v>0</v>
      </c>
      <c r="Z1868" s="2">
        <v>45851</v>
      </c>
      <c r="AA1868" t="str">
        <f t="shared" si="291"/>
        <v>40–49</v>
      </c>
      <c r="AB1868" t="str">
        <f t="shared" si="292"/>
        <v>40–49</v>
      </c>
      <c r="AC1868" t="str">
        <f t="shared" si="293"/>
        <v/>
      </c>
      <c r="AD1868" t="str">
        <f t="shared" si="294"/>
        <v>Tuesday</v>
      </c>
      <c r="AE1868" t="str">
        <f t="shared" si="295"/>
        <v>Wednesday</v>
      </c>
      <c r="AF1868" t="str">
        <f t="shared" si="296"/>
        <v/>
      </c>
      <c r="AG1868" t="str">
        <f t="shared" si="297"/>
        <v/>
      </c>
      <c r="AH1868" t="str">
        <f t="shared" si="298"/>
        <v/>
      </c>
      <c r="AI1868" t="str">
        <f t="shared" si="299"/>
        <v/>
      </c>
      <c r="AJ1868" t="str">
        <f>LEFT(Table1[[#This Row],[membership_type]],2)&amp;TEXT(Table1[[#This Row],[age]],"00")&amp;"-"&amp;TEXT(ROW(),"000")</f>
        <v>Pr48-1868</v>
      </c>
      <c r="AK1868" t="str">
        <f>LEFT(Table1[[#This Row],[membership_type]],1)&amp;TEXT(MATCH(Table1[[#This Row],[membership_type]],Table1[membership_type],0),"00")</f>
        <v>P01</v>
      </c>
      <c r="AL1868" t="str">
        <f>LEFT(Table1[[#This Row],[discount_type]],1)&amp;TEXT(ROUND(Table1[[#This Row],[discount_rate]]*100,0),"00")</f>
        <v>S15</v>
      </c>
      <c r="AM1868" t="str" cm="1">
        <f t="array" ref="AM1868">TEXT(SUMPRODUCT(CODE(MID(Table1[[#This Row],[home_gym_location]],_xlfn.SEQUENCE(LEN(Table1[[#This Row],[home_gym_location]])),1))),"00000")</f>
        <v>01450</v>
      </c>
      <c r="AN186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68" t="str">
        <f>LEFT(_xlfn.TEXTBEFORE(Table1[[#This Row],[Location Identifier]],"-"),3) &amp; "-" &amp; _xlfn.TEXTAFTER(Table1[[#This Row],[Location Identifier]],"-")</f>
        <v>SAN-009</v>
      </c>
      <c r="AP1868" s="9">
        <f t="shared" ca="1" si="290"/>
        <v>45869</v>
      </c>
    </row>
    <row r="1869" spans="1:42" x14ac:dyDescent="0.25">
      <c r="A1869">
        <v>20</v>
      </c>
      <c r="B1869" t="s">
        <v>26</v>
      </c>
      <c r="C1869">
        <v>2</v>
      </c>
      <c r="D1869" t="s">
        <v>88</v>
      </c>
      <c r="E1869" t="b">
        <v>0</v>
      </c>
      <c r="F1869" s="1">
        <v>0.36805555555555558</v>
      </c>
      <c r="G1869" s="1">
        <v>0.42569444444444443</v>
      </c>
      <c r="H1869">
        <v>83</v>
      </c>
      <c r="I1869" t="b">
        <v>0</v>
      </c>
      <c r="J1869" t="b">
        <v>0</v>
      </c>
      <c r="K1869" t="b">
        <v>0</v>
      </c>
      <c r="L1869" t="s">
        <v>28</v>
      </c>
      <c r="M1869">
        <v>50</v>
      </c>
      <c r="N1869" t="s">
        <v>29</v>
      </c>
      <c r="O1869">
        <v>50</v>
      </c>
      <c r="P1869" t="s">
        <v>30</v>
      </c>
      <c r="Q1869">
        <v>0.05</v>
      </c>
      <c r="R1869">
        <v>47.5</v>
      </c>
      <c r="S1869" t="s">
        <v>31</v>
      </c>
      <c r="T1869" t="s">
        <v>65</v>
      </c>
      <c r="U1869">
        <v>33.770099999999999</v>
      </c>
      <c r="V1869">
        <v>-118.19370000000001</v>
      </c>
      <c r="W1869" s="2">
        <v>45690</v>
      </c>
      <c r="X1869">
        <v>0</v>
      </c>
      <c r="Y1869" t="b">
        <v>1</v>
      </c>
      <c r="Z1869" s="2">
        <v>45853</v>
      </c>
      <c r="AA1869" t="str">
        <f t="shared" si="291"/>
        <v>20–29</v>
      </c>
      <c r="AB1869" t="str">
        <f t="shared" si="292"/>
        <v>20–29</v>
      </c>
      <c r="AC1869" t="str">
        <f t="shared" si="293"/>
        <v>Monday</v>
      </c>
      <c r="AD1869" t="str">
        <f t="shared" si="294"/>
        <v/>
      </c>
      <c r="AE1869" t="str">
        <f t="shared" si="295"/>
        <v>Wednesday</v>
      </c>
      <c r="AF1869" t="str">
        <f t="shared" si="296"/>
        <v/>
      </c>
      <c r="AG1869" t="str">
        <f t="shared" si="297"/>
        <v/>
      </c>
      <c r="AH1869" t="str">
        <f t="shared" si="298"/>
        <v/>
      </c>
      <c r="AI1869" t="str">
        <f t="shared" si="299"/>
        <v/>
      </c>
      <c r="AJ1869" t="str">
        <f>LEFT(Table1[[#This Row],[membership_type]],2)&amp;TEXT(Table1[[#This Row],[age]],"00")&amp;"-"&amp;TEXT(ROW(),"000")</f>
        <v>Pr20-1869</v>
      </c>
      <c r="AK1869" t="str">
        <f>LEFT(Table1[[#This Row],[membership_type]],1)&amp;TEXT(MATCH(Table1[[#This Row],[membership_type]],Table1[membership_type],0),"00")</f>
        <v>P01</v>
      </c>
      <c r="AL1869" t="str">
        <f>LEFT(Table1[[#This Row],[discount_type]],1)&amp;TEXT(ROUND(Table1[[#This Row],[discount_rate]]*100,0),"00")</f>
        <v>P05</v>
      </c>
      <c r="AM1869" t="str" cm="1">
        <f t="array" ref="AM1869">TEXT(SUMPRODUCT(CODE(MID(Table1[[#This Row],[home_gym_location]],_xlfn.SEQUENCE(LEN(Table1[[#This Row],[home_gym_location]])),1))),"00000")</f>
        <v>01107</v>
      </c>
      <c r="AN186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69" t="str">
        <f>LEFT(_xlfn.TEXTBEFORE(Table1[[#This Row],[Location Identifier]],"-"),3) &amp; "-" &amp; _xlfn.TEXTAFTER(Table1[[#This Row],[Location Identifier]],"-")</f>
        <v>LON-004</v>
      </c>
      <c r="AP1869" s="9">
        <f t="shared" ca="1" si="290"/>
        <v>45869</v>
      </c>
    </row>
    <row r="1870" spans="1:42" x14ac:dyDescent="0.25">
      <c r="A1870">
        <v>32</v>
      </c>
      <c r="B1870" t="s">
        <v>33</v>
      </c>
      <c r="C1870">
        <v>3</v>
      </c>
      <c r="D1870" t="s">
        <v>153</v>
      </c>
      <c r="E1870" t="b">
        <v>1</v>
      </c>
      <c r="F1870" s="1">
        <v>0.72847222222222219</v>
      </c>
      <c r="G1870" s="1">
        <v>0.78263888888888888</v>
      </c>
      <c r="H1870">
        <v>78</v>
      </c>
      <c r="I1870" t="b">
        <v>1</v>
      </c>
      <c r="J1870" t="b">
        <v>0</v>
      </c>
      <c r="K1870" t="b">
        <v>1</v>
      </c>
      <c r="L1870" t="s">
        <v>28</v>
      </c>
      <c r="M1870">
        <v>30</v>
      </c>
      <c r="N1870" t="s">
        <v>64</v>
      </c>
      <c r="O1870">
        <v>22.5</v>
      </c>
      <c r="P1870" t="s">
        <v>30</v>
      </c>
      <c r="Q1870">
        <v>0.05</v>
      </c>
      <c r="R1870">
        <v>21.375</v>
      </c>
      <c r="S1870" t="s">
        <v>37</v>
      </c>
      <c r="T1870" t="s">
        <v>65</v>
      </c>
      <c r="U1870">
        <v>33.770099999999999</v>
      </c>
      <c r="V1870">
        <v>-118.19370000000001</v>
      </c>
      <c r="W1870" s="2">
        <v>45057</v>
      </c>
      <c r="X1870">
        <v>0</v>
      </c>
      <c r="Y1870" t="b">
        <v>0</v>
      </c>
      <c r="Z1870" s="2">
        <v>45817</v>
      </c>
      <c r="AA1870" t="str">
        <f t="shared" si="291"/>
        <v>30–39</v>
      </c>
      <c r="AB1870" t="str">
        <f t="shared" si="292"/>
        <v>30–39</v>
      </c>
      <c r="AC1870" t="str">
        <f t="shared" si="293"/>
        <v>Monday</v>
      </c>
      <c r="AD1870" t="str">
        <f t="shared" si="294"/>
        <v/>
      </c>
      <c r="AE1870" t="str">
        <f t="shared" si="295"/>
        <v>Wednesday</v>
      </c>
      <c r="AF1870" t="str">
        <f t="shared" si="296"/>
        <v/>
      </c>
      <c r="AG1870" t="str">
        <f t="shared" si="297"/>
        <v/>
      </c>
      <c r="AH1870" t="str">
        <f t="shared" si="298"/>
        <v>Saturday</v>
      </c>
      <c r="AI1870" t="str">
        <f t="shared" si="299"/>
        <v/>
      </c>
      <c r="AJ1870" t="str">
        <f>LEFT(Table1[[#This Row],[membership_type]],2)&amp;TEXT(Table1[[#This Row],[age]],"00")&amp;"-"&amp;TEXT(ROW(),"000")</f>
        <v>St32-1870</v>
      </c>
      <c r="AK1870" t="str">
        <f>LEFT(Table1[[#This Row],[membership_type]],1)&amp;TEXT(MATCH(Table1[[#This Row],[membership_type]],Table1[membership_type],0),"00")</f>
        <v>S02</v>
      </c>
      <c r="AL1870" t="str">
        <f>LEFT(Table1[[#This Row],[discount_type]],1)&amp;TEXT(ROUND(Table1[[#This Row],[discount_rate]]*100,0),"00")</f>
        <v>P05</v>
      </c>
      <c r="AM1870" t="str" cm="1">
        <f t="array" ref="AM1870">TEXT(SUMPRODUCT(CODE(MID(Table1[[#This Row],[home_gym_location]],_xlfn.SEQUENCE(LEN(Table1[[#This Row],[home_gym_location]])),1))),"00000")</f>
        <v>01107</v>
      </c>
      <c r="AN187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70" t="str">
        <f>LEFT(_xlfn.TEXTBEFORE(Table1[[#This Row],[Location Identifier]],"-"),3) &amp; "-" &amp; _xlfn.TEXTAFTER(Table1[[#This Row],[Location Identifier]],"-")</f>
        <v>LON-004</v>
      </c>
      <c r="AP1870" s="9">
        <f t="shared" ca="1" si="290"/>
        <v>45869</v>
      </c>
    </row>
    <row r="1871" spans="1:42" x14ac:dyDescent="0.25">
      <c r="A1871">
        <v>44</v>
      </c>
      <c r="B1871" t="s">
        <v>42</v>
      </c>
      <c r="C1871">
        <v>3</v>
      </c>
      <c r="D1871" t="s">
        <v>140</v>
      </c>
      <c r="E1871" t="b">
        <v>0</v>
      </c>
      <c r="F1871" s="1">
        <v>0.43819444444444444</v>
      </c>
      <c r="G1871" s="1">
        <v>0.51944444444444449</v>
      </c>
      <c r="H1871">
        <v>117</v>
      </c>
      <c r="I1871" t="b">
        <v>1</v>
      </c>
      <c r="J1871" t="b">
        <v>1</v>
      </c>
      <c r="K1871" t="b">
        <v>0</v>
      </c>
      <c r="L1871" t="s">
        <v>62</v>
      </c>
      <c r="M1871">
        <v>20</v>
      </c>
      <c r="N1871" t="s">
        <v>29</v>
      </c>
      <c r="O1871">
        <v>20</v>
      </c>
      <c r="P1871" t="s">
        <v>74</v>
      </c>
      <c r="Q1871">
        <v>0.15</v>
      </c>
      <c r="R1871">
        <v>17</v>
      </c>
      <c r="S1871" t="s">
        <v>44</v>
      </c>
      <c r="T1871" t="s">
        <v>65</v>
      </c>
      <c r="U1871">
        <v>33.770099999999999</v>
      </c>
      <c r="V1871">
        <v>-118.19370000000001</v>
      </c>
      <c r="W1871" s="2">
        <v>44960</v>
      </c>
      <c r="X1871">
        <v>4</v>
      </c>
      <c r="Y1871" t="b">
        <v>1</v>
      </c>
      <c r="Z1871" s="2">
        <v>45811</v>
      </c>
      <c r="AA1871" t="str">
        <f t="shared" si="291"/>
        <v>40–49</v>
      </c>
      <c r="AB1871" t="str">
        <f t="shared" si="292"/>
        <v>40–49</v>
      </c>
      <c r="AC1871" t="str">
        <f t="shared" si="293"/>
        <v>Monday</v>
      </c>
      <c r="AD1871" t="str">
        <f t="shared" si="294"/>
        <v>Tuesday</v>
      </c>
      <c r="AE1871" t="str">
        <f t="shared" si="295"/>
        <v/>
      </c>
      <c r="AF1871" t="str">
        <f t="shared" si="296"/>
        <v/>
      </c>
      <c r="AG1871" t="str">
        <f t="shared" si="297"/>
        <v>Friday</v>
      </c>
      <c r="AH1871" t="str">
        <f t="shared" si="298"/>
        <v/>
      </c>
      <c r="AI1871" t="str">
        <f t="shared" si="299"/>
        <v/>
      </c>
      <c r="AJ1871" t="str">
        <f>LEFT(Table1[[#This Row],[membership_type]],2)&amp;TEXT(Table1[[#This Row],[age]],"00")&amp;"-"&amp;TEXT(ROW(),"000")</f>
        <v>Ba44-1871</v>
      </c>
      <c r="AK1871" t="str">
        <f>LEFT(Table1[[#This Row],[membership_type]],1)&amp;TEXT(MATCH(Table1[[#This Row],[membership_type]],Table1[membership_type],0),"00")</f>
        <v>B04</v>
      </c>
      <c r="AL1871" t="str">
        <f>LEFT(Table1[[#This Row],[discount_type]],1)&amp;TEXT(ROUND(Table1[[#This Row],[discount_rate]]*100,0),"00")</f>
        <v>S15</v>
      </c>
      <c r="AM1871" t="str" cm="1">
        <f t="array" ref="AM1871">TEXT(SUMPRODUCT(CODE(MID(Table1[[#This Row],[home_gym_location]],_xlfn.SEQUENCE(LEN(Table1[[#This Row],[home_gym_location]])),1))),"00000")</f>
        <v>01107</v>
      </c>
      <c r="AN187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71" t="str">
        <f>LEFT(_xlfn.TEXTBEFORE(Table1[[#This Row],[Location Identifier]],"-"),3) &amp; "-" &amp; _xlfn.TEXTAFTER(Table1[[#This Row],[Location Identifier]],"-")</f>
        <v>LON-004</v>
      </c>
      <c r="AP1871" s="9">
        <f t="shared" ca="1" si="290"/>
        <v>45869</v>
      </c>
    </row>
    <row r="1872" spans="1:42" x14ac:dyDescent="0.25">
      <c r="A1872">
        <v>20</v>
      </c>
      <c r="B1872" t="s">
        <v>42</v>
      </c>
      <c r="C1872">
        <v>2</v>
      </c>
      <c r="D1872" t="s">
        <v>141</v>
      </c>
      <c r="E1872" t="b">
        <v>1</v>
      </c>
      <c r="F1872" s="1">
        <v>0.74444444444444446</v>
      </c>
      <c r="G1872" s="1">
        <v>0.8618055555555556</v>
      </c>
      <c r="H1872">
        <v>169</v>
      </c>
      <c r="I1872" t="b">
        <v>0</v>
      </c>
      <c r="J1872" t="b">
        <v>0</v>
      </c>
      <c r="K1872" t="b">
        <v>1</v>
      </c>
      <c r="L1872" t="s">
        <v>28</v>
      </c>
      <c r="M1872">
        <v>20</v>
      </c>
      <c r="N1872" t="s">
        <v>78</v>
      </c>
      <c r="O1872">
        <v>18</v>
      </c>
      <c r="P1872" t="s">
        <v>74</v>
      </c>
      <c r="Q1872">
        <v>0.15</v>
      </c>
      <c r="R1872">
        <v>15.3</v>
      </c>
      <c r="S1872" t="s">
        <v>44</v>
      </c>
      <c r="T1872" t="s">
        <v>38</v>
      </c>
      <c r="U1872">
        <v>36.7378</v>
      </c>
      <c r="V1872">
        <v>-119.7871</v>
      </c>
      <c r="W1872" s="2">
        <v>45603</v>
      </c>
      <c r="X1872">
        <v>0</v>
      </c>
      <c r="Y1872" t="b">
        <v>1</v>
      </c>
      <c r="Z1872" s="2">
        <v>45848</v>
      </c>
      <c r="AA1872" t="str">
        <f t="shared" si="291"/>
        <v>20–29</v>
      </c>
      <c r="AB1872" t="str">
        <f t="shared" si="292"/>
        <v>20–29</v>
      </c>
      <c r="AC1872" t="str">
        <f t="shared" si="293"/>
        <v/>
      </c>
      <c r="AD1872" t="str">
        <f t="shared" si="294"/>
        <v/>
      </c>
      <c r="AE1872" t="str">
        <f t="shared" si="295"/>
        <v>Wednesday</v>
      </c>
      <c r="AF1872" t="str">
        <f t="shared" si="296"/>
        <v/>
      </c>
      <c r="AG1872" t="str">
        <f t="shared" si="297"/>
        <v>Friday</v>
      </c>
      <c r="AH1872" t="str">
        <f t="shared" si="298"/>
        <v/>
      </c>
      <c r="AI1872" t="str">
        <f t="shared" si="299"/>
        <v/>
      </c>
      <c r="AJ1872" t="str">
        <f>LEFT(Table1[[#This Row],[membership_type]],2)&amp;TEXT(Table1[[#This Row],[age]],"00")&amp;"-"&amp;TEXT(ROW(),"000")</f>
        <v>Ba20-1872</v>
      </c>
      <c r="AK1872" t="str">
        <f>LEFT(Table1[[#This Row],[membership_type]],1)&amp;TEXT(MATCH(Table1[[#This Row],[membership_type]],Table1[membership_type],0),"00")</f>
        <v>B04</v>
      </c>
      <c r="AL1872" t="str">
        <f>LEFT(Table1[[#This Row],[discount_type]],1)&amp;TEXT(ROUND(Table1[[#This Row],[discount_rate]]*100,0),"00")</f>
        <v>S15</v>
      </c>
      <c r="AM1872" t="str" cm="1">
        <f t="array" ref="AM1872">TEXT(SUMPRODUCT(CODE(MID(Table1[[#This Row],[home_gym_location]],_xlfn.SEQUENCE(LEN(Table1[[#This Row],[home_gym_location]])),1))),"00000")</f>
        <v>00829</v>
      </c>
      <c r="AN1872" t="str">
        <f>UPPER(_xlfn.TEXTBEFORE(Table1[[#This Row],[home_gym_location]],","))&amp;"-"&amp;TEXT(MATCH(Table1[[#This Row],[home_gym_location]],_xlfn._xlws.SORT(_xlfn.UNIQUE(Table1[home_gym_location])),0),"000")</f>
        <v>FRESNO-003</v>
      </c>
      <c r="AO1872" t="str">
        <f>LEFT(_xlfn.TEXTBEFORE(Table1[[#This Row],[Location Identifier]],"-"),3) &amp; "-" &amp; _xlfn.TEXTAFTER(Table1[[#This Row],[Location Identifier]],"-")</f>
        <v>FRE-003</v>
      </c>
      <c r="AP1872" s="9">
        <f t="shared" ca="1" si="290"/>
        <v>45869</v>
      </c>
    </row>
    <row r="1873" spans="1:42" x14ac:dyDescent="0.25">
      <c r="A1873">
        <v>32</v>
      </c>
      <c r="B1873" t="s">
        <v>33</v>
      </c>
      <c r="C1873">
        <v>5</v>
      </c>
      <c r="D1873" t="s">
        <v>145</v>
      </c>
      <c r="E1873" t="b">
        <v>1</v>
      </c>
      <c r="F1873" s="1">
        <v>0.4284722222222222</v>
      </c>
      <c r="G1873" s="1">
        <v>0.54513888888888884</v>
      </c>
      <c r="H1873">
        <v>168</v>
      </c>
      <c r="I1873" t="b">
        <v>1</v>
      </c>
      <c r="J1873" t="b">
        <v>0</v>
      </c>
      <c r="K1873" t="b">
        <v>0</v>
      </c>
      <c r="L1873" t="s">
        <v>62</v>
      </c>
      <c r="M1873">
        <v>30</v>
      </c>
      <c r="N1873" t="s">
        <v>78</v>
      </c>
      <c r="O1873">
        <v>27</v>
      </c>
      <c r="P1873" t="s">
        <v>36</v>
      </c>
      <c r="Q1873">
        <v>0</v>
      </c>
      <c r="R1873">
        <v>27</v>
      </c>
      <c r="S1873" t="s">
        <v>37</v>
      </c>
      <c r="T1873" t="s">
        <v>48</v>
      </c>
      <c r="U1873">
        <v>38.581600000000002</v>
      </c>
      <c r="V1873">
        <v>-121.4944</v>
      </c>
      <c r="W1873" s="2">
        <v>45292</v>
      </c>
      <c r="X1873">
        <v>0</v>
      </c>
      <c r="Y1873" t="b">
        <v>1</v>
      </c>
      <c r="Z1873" s="2">
        <v>45830</v>
      </c>
      <c r="AA1873" t="str">
        <f t="shared" si="291"/>
        <v>30–39</v>
      </c>
      <c r="AB1873" t="str">
        <f t="shared" si="292"/>
        <v>30–39</v>
      </c>
      <c r="AC1873" t="str">
        <f t="shared" si="293"/>
        <v>Monday</v>
      </c>
      <c r="AD1873" t="str">
        <f t="shared" si="294"/>
        <v>Tuesday</v>
      </c>
      <c r="AE1873" t="str">
        <f t="shared" si="295"/>
        <v>Wednesday</v>
      </c>
      <c r="AF1873" t="str">
        <f t="shared" si="296"/>
        <v>Thursday</v>
      </c>
      <c r="AG1873" t="str">
        <f t="shared" si="297"/>
        <v>Friday</v>
      </c>
      <c r="AH1873" t="str">
        <f t="shared" si="298"/>
        <v/>
      </c>
      <c r="AI1873" t="str">
        <f t="shared" si="299"/>
        <v/>
      </c>
      <c r="AJ1873" t="str">
        <f>LEFT(Table1[[#This Row],[membership_type]],2)&amp;TEXT(Table1[[#This Row],[age]],"00")&amp;"-"&amp;TEXT(ROW(),"000")</f>
        <v>St32-1873</v>
      </c>
      <c r="AK1873" t="str">
        <f>LEFT(Table1[[#This Row],[membership_type]],1)&amp;TEXT(MATCH(Table1[[#This Row],[membership_type]],Table1[membership_type],0),"00")</f>
        <v>S02</v>
      </c>
      <c r="AL1873" t="str">
        <f>LEFT(Table1[[#This Row],[discount_type]],1)&amp;TEXT(ROUND(Table1[[#This Row],[discount_rate]]*100,0),"00")</f>
        <v>N00</v>
      </c>
      <c r="AM1873" t="str" cm="1">
        <f t="array" ref="AM1873">TEXT(SUMPRODUCT(CODE(MID(Table1[[#This Row],[home_gym_location]],_xlfn.SEQUENCE(LEN(Table1[[#This Row],[home_gym_location]])),1))),"00000")</f>
        <v>01245</v>
      </c>
      <c r="AN187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73" t="str">
        <f>LEFT(_xlfn.TEXTBEFORE(Table1[[#This Row],[Location Identifier]],"-"),3) &amp; "-" &amp; _xlfn.TEXTAFTER(Table1[[#This Row],[Location Identifier]],"-")</f>
        <v>SAC-007</v>
      </c>
      <c r="AP1873" s="9">
        <f t="shared" ca="1" si="290"/>
        <v>45869</v>
      </c>
    </row>
    <row r="1874" spans="1:42" x14ac:dyDescent="0.25">
      <c r="A1874">
        <v>23</v>
      </c>
      <c r="B1874" t="s">
        <v>26</v>
      </c>
      <c r="C1874">
        <v>3</v>
      </c>
      <c r="D1874" t="s">
        <v>128</v>
      </c>
      <c r="E1874" t="b">
        <v>1</v>
      </c>
      <c r="F1874" s="1">
        <v>0.41875000000000001</v>
      </c>
      <c r="G1874" s="1">
        <v>0.51527777777777772</v>
      </c>
      <c r="H1874">
        <v>139</v>
      </c>
      <c r="I1874" t="b">
        <v>1</v>
      </c>
      <c r="J1874" t="b">
        <v>1</v>
      </c>
      <c r="K1874" t="b">
        <v>0</v>
      </c>
      <c r="L1874" t="s">
        <v>28</v>
      </c>
      <c r="M1874">
        <v>50</v>
      </c>
      <c r="N1874" t="s">
        <v>64</v>
      </c>
      <c r="O1874">
        <v>37.5</v>
      </c>
      <c r="P1874" t="s">
        <v>74</v>
      </c>
      <c r="Q1874">
        <v>0.15</v>
      </c>
      <c r="R1874">
        <v>31.875</v>
      </c>
      <c r="S1874" t="s">
        <v>31</v>
      </c>
      <c r="T1874" t="s">
        <v>59</v>
      </c>
      <c r="U1874">
        <v>37.774900000000002</v>
      </c>
      <c r="V1874">
        <v>-122.4194</v>
      </c>
      <c r="W1874" s="2">
        <v>44935</v>
      </c>
      <c r="X1874">
        <v>8</v>
      </c>
      <c r="Y1874" t="b">
        <v>1</v>
      </c>
      <c r="Z1874" s="2">
        <v>45810</v>
      </c>
      <c r="AA1874" t="str">
        <f t="shared" si="291"/>
        <v>20–29</v>
      </c>
      <c r="AB1874" t="str">
        <f t="shared" si="292"/>
        <v>20–29</v>
      </c>
      <c r="AC1874" t="str">
        <f t="shared" si="293"/>
        <v>Monday</v>
      </c>
      <c r="AD1874" t="str">
        <f t="shared" si="294"/>
        <v/>
      </c>
      <c r="AE1874" t="str">
        <f t="shared" si="295"/>
        <v/>
      </c>
      <c r="AF1874" t="str">
        <f t="shared" si="296"/>
        <v>Thursday</v>
      </c>
      <c r="AG1874" t="str">
        <f t="shared" si="297"/>
        <v/>
      </c>
      <c r="AH1874" t="str">
        <f t="shared" si="298"/>
        <v/>
      </c>
      <c r="AI1874" t="str">
        <f t="shared" si="299"/>
        <v>Sunday</v>
      </c>
      <c r="AJ1874" t="str">
        <f>LEFT(Table1[[#This Row],[membership_type]],2)&amp;TEXT(Table1[[#This Row],[age]],"00")&amp;"-"&amp;TEXT(ROW(),"000")</f>
        <v>Pr23-1874</v>
      </c>
      <c r="AK1874" t="str">
        <f>LEFT(Table1[[#This Row],[membership_type]],1)&amp;TEXT(MATCH(Table1[[#This Row],[membership_type]],Table1[membership_type],0),"00")</f>
        <v>P01</v>
      </c>
      <c r="AL1874" t="str">
        <f>LEFT(Table1[[#This Row],[discount_type]],1)&amp;TEXT(ROUND(Table1[[#This Row],[discount_rate]]*100,0),"00")</f>
        <v>S15</v>
      </c>
      <c r="AM1874" t="str" cm="1">
        <f t="array" ref="AM1874">TEXT(SUMPRODUCT(CODE(MID(Table1[[#This Row],[home_gym_location]],_xlfn.SEQUENCE(LEN(Table1[[#This Row],[home_gym_location]])),1))),"00000")</f>
        <v>01450</v>
      </c>
      <c r="AN187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74" t="str">
        <f>LEFT(_xlfn.TEXTBEFORE(Table1[[#This Row],[Location Identifier]],"-"),3) &amp; "-" &amp; _xlfn.TEXTAFTER(Table1[[#This Row],[Location Identifier]],"-")</f>
        <v>SAN-009</v>
      </c>
      <c r="AP1874" s="9">
        <f t="shared" ca="1" si="290"/>
        <v>45869</v>
      </c>
    </row>
    <row r="1875" spans="1:42" x14ac:dyDescent="0.25">
      <c r="A1875">
        <v>16</v>
      </c>
      <c r="B1875" t="s">
        <v>26</v>
      </c>
      <c r="C1875">
        <v>3</v>
      </c>
      <c r="D1875" t="s">
        <v>60</v>
      </c>
      <c r="E1875" t="b">
        <v>1</v>
      </c>
      <c r="F1875" s="1">
        <v>0.5625</v>
      </c>
      <c r="G1875" s="1">
        <v>0.59722222222222221</v>
      </c>
      <c r="H1875">
        <v>50</v>
      </c>
      <c r="I1875" t="b">
        <v>1</v>
      </c>
      <c r="J1875" t="b">
        <v>0</v>
      </c>
      <c r="K1875" t="b">
        <v>1</v>
      </c>
      <c r="L1875" t="s">
        <v>62</v>
      </c>
      <c r="M1875">
        <v>50</v>
      </c>
      <c r="N1875" t="s">
        <v>64</v>
      </c>
      <c r="O1875">
        <v>37.5</v>
      </c>
      <c r="P1875" t="s">
        <v>36</v>
      </c>
      <c r="Q1875">
        <v>0</v>
      </c>
      <c r="R1875">
        <v>37.5</v>
      </c>
      <c r="S1875" t="s">
        <v>31</v>
      </c>
      <c r="T1875" t="s">
        <v>54</v>
      </c>
      <c r="U1875">
        <v>32.715699999999998</v>
      </c>
      <c r="V1875">
        <v>-117.1611</v>
      </c>
      <c r="W1875" s="2">
        <v>45050</v>
      </c>
      <c r="X1875">
        <v>0</v>
      </c>
      <c r="Y1875" t="b">
        <v>1</v>
      </c>
      <c r="Z1875" s="2">
        <v>45817</v>
      </c>
      <c r="AA1875" t="str">
        <f t="shared" si="291"/>
        <v>10–19</v>
      </c>
      <c r="AB1875" t="str">
        <f t="shared" si="292"/>
        <v>16–19</v>
      </c>
      <c r="AC1875" t="str">
        <f t="shared" si="293"/>
        <v/>
      </c>
      <c r="AD1875" t="str">
        <f t="shared" si="294"/>
        <v/>
      </c>
      <c r="AE1875" t="str">
        <f t="shared" si="295"/>
        <v>Wednesday</v>
      </c>
      <c r="AF1875" t="str">
        <f t="shared" si="296"/>
        <v/>
      </c>
      <c r="AG1875" t="str">
        <f t="shared" si="297"/>
        <v/>
      </c>
      <c r="AH1875" t="str">
        <f t="shared" si="298"/>
        <v>Saturday</v>
      </c>
      <c r="AI1875" t="str">
        <f t="shared" si="299"/>
        <v>Sunday</v>
      </c>
      <c r="AJ1875" t="str">
        <f>LEFT(Table1[[#This Row],[membership_type]],2)&amp;TEXT(Table1[[#This Row],[age]],"00")&amp;"-"&amp;TEXT(ROW(),"000")</f>
        <v>Pr16-1875</v>
      </c>
      <c r="AK1875" t="str">
        <f>LEFT(Table1[[#This Row],[membership_type]],1)&amp;TEXT(MATCH(Table1[[#This Row],[membership_type]],Table1[membership_type],0),"00")</f>
        <v>P01</v>
      </c>
      <c r="AL1875" t="str">
        <f>LEFT(Table1[[#This Row],[discount_type]],1)&amp;TEXT(ROUND(Table1[[#This Row],[discount_rate]]*100,0),"00")</f>
        <v>N00</v>
      </c>
      <c r="AM1875" t="str" cm="1">
        <f t="array" ref="AM1875">TEXT(SUMPRODUCT(CODE(MID(Table1[[#This Row],[home_gym_location]],_xlfn.SEQUENCE(LEN(Table1[[#This Row],[home_gym_location]])),1))),"00000")</f>
        <v>01018</v>
      </c>
      <c r="AN187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75" t="str">
        <f>LEFT(_xlfn.TEXTBEFORE(Table1[[#This Row],[Location Identifier]],"-"),3) &amp; "-" &amp; _xlfn.TEXTAFTER(Table1[[#This Row],[Location Identifier]],"-")</f>
        <v>SAN-008</v>
      </c>
      <c r="AP1875" s="9">
        <f t="shared" ca="1" si="290"/>
        <v>45869</v>
      </c>
    </row>
    <row r="1876" spans="1:42" x14ac:dyDescent="0.25">
      <c r="A1876">
        <v>15</v>
      </c>
      <c r="B1876" t="s">
        <v>51</v>
      </c>
      <c r="C1876">
        <v>3</v>
      </c>
      <c r="D1876" t="s">
        <v>131</v>
      </c>
      <c r="E1876" t="b">
        <v>1</v>
      </c>
      <c r="F1876" s="1">
        <v>0.38472222222222224</v>
      </c>
      <c r="G1876" s="1">
        <v>0.4777777777777778</v>
      </c>
      <c r="H1876">
        <v>134</v>
      </c>
      <c r="I1876" t="b">
        <v>1</v>
      </c>
      <c r="J1876" t="b">
        <v>0</v>
      </c>
      <c r="K1876" t="b">
        <v>1</v>
      </c>
      <c r="L1876" t="s">
        <v>47</v>
      </c>
      <c r="M1876">
        <v>70</v>
      </c>
      <c r="N1876" t="s">
        <v>29</v>
      </c>
      <c r="O1876">
        <v>70</v>
      </c>
      <c r="P1876" t="s">
        <v>36</v>
      </c>
      <c r="Q1876">
        <v>0</v>
      </c>
      <c r="R1876">
        <v>70</v>
      </c>
      <c r="S1876" t="s">
        <v>53</v>
      </c>
      <c r="T1876" t="s">
        <v>41</v>
      </c>
      <c r="U1876">
        <v>37.804400000000001</v>
      </c>
      <c r="V1876">
        <v>-122.27119999999999</v>
      </c>
      <c r="W1876" s="2">
        <v>45253</v>
      </c>
      <c r="X1876">
        <v>0</v>
      </c>
      <c r="Y1876" t="b">
        <v>1</v>
      </c>
      <c r="Z1876" s="2">
        <v>45828</v>
      </c>
      <c r="AA1876" t="str">
        <f t="shared" si="291"/>
        <v>10–19</v>
      </c>
      <c r="AB1876" t="str">
        <f t="shared" si="292"/>
        <v>Under 16</v>
      </c>
      <c r="AC1876" t="str">
        <f t="shared" si="293"/>
        <v>Monday</v>
      </c>
      <c r="AD1876" t="str">
        <f t="shared" si="294"/>
        <v/>
      </c>
      <c r="AE1876" t="str">
        <f t="shared" si="295"/>
        <v/>
      </c>
      <c r="AF1876" t="str">
        <f t="shared" si="296"/>
        <v/>
      </c>
      <c r="AG1876" t="str">
        <f t="shared" si="297"/>
        <v>Friday</v>
      </c>
      <c r="AH1876" t="str">
        <f t="shared" si="298"/>
        <v/>
      </c>
      <c r="AI1876" t="str">
        <f t="shared" si="299"/>
        <v>Sunday</v>
      </c>
      <c r="AJ1876" t="str">
        <f>LEFT(Table1[[#This Row],[membership_type]],2)&amp;TEXT(Table1[[#This Row],[age]],"00")&amp;"-"&amp;TEXT(ROW(),"000")</f>
        <v>El15-1876</v>
      </c>
      <c r="AK1876" t="str">
        <f>LEFT(Table1[[#This Row],[membership_type]],1)&amp;TEXT(MATCH(Table1[[#This Row],[membership_type]],Table1[membership_type],0),"00")</f>
        <v>E07</v>
      </c>
      <c r="AL1876" t="str">
        <f>LEFT(Table1[[#This Row],[discount_type]],1)&amp;TEXT(ROUND(Table1[[#This Row],[discount_rate]]*100,0),"00")</f>
        <v>N00</v>
      </c>
      <c r="AM1876" t="str" cm="1">
        <f t="array" ref="AM1876">TEXT(SUMPRODUCT(CODE(MID(Table1[[#This Row],[home_gym_location]],_xlfn.SEQUENCE(LEN(Table1[[#This Row],[home_gym_location]])),1))),"00000")</f>
        <v>00906</v>
      </c>
      <c r="AN1876" t="str">
        <f>UPPER(_xlfn.TEXTBEFORE(Table1[[#This Row],[home_gym_location]],","))&amp;"-"&amp;TEXT(MATCH(Table1[[#This Row],[home_gym_location]],_xlfn._xlws.SORT(_xlfn.UNIQUE(Table1[home_gym_location])),0),"000")</f>
        <v>OAKLAND-006</v>
      </c>
      <c r="AO1876" t="str">
        <f>LEFT(_xlfn.TEXTBEFORE(Table1[[#This Row],[Location Identifier]],"-"),3) &amp; "-" &amp; _xlfn.TEXTAFTER(Table1[[#This Row],[Location Identifier]],"-")</f>
        <v>OAK-006</v>
      </c>
      <c r="AP1876" s="9">
        <f t="shared" ca="1" si="290"/>
        <v>45869</v>
      </c>
    </row>
    <row r="1877" spans="1:42" x14ac:dyDescent="0.25">
      <c r="A1877">
        <v>30</v>
      </c>
      <c r="B1877" t="s">
        <v>33</v>
      </c>
      <c r="C1877">
        <v>1</v>
      </c>
      <c r="D1877" t="s">
        <v>75</v>
      </c>
      <c r="E1877" t="b">
        <v>0</v>
      </c>
      <c r="F1877" s="1">
        <v>0.74930555555555556</v>
      </c>
      <c r="G1877" s="1">
        <v>0.86597222222222225</v>
      </c>
      <c r="H1877">
        <v>168</v>
      </c>
      <c r="I1877" t="b">
        <v>0</v>
      </c>
      <c r="J1877" t="b">
        <v>1</v>
      </c>
      <c r="K1877" t="b">
        <v>1</v>
      </c>
      <c r="L1877" t="s">
        <v>58</v>
      </c>
      <c r="M1877">
        <v>30</v>
      </c>
      <c r="N1877" t="s">
        <v>29</v>
      </c>
      <c r="O1877">
        <v>30</v>
      </c>
      <c r="P1877" t="s">
        <v>36</v>
      </c>
      <c r="Q1877">
        <v>0</v>
      </c>
      <c r="R1877">
        <v>30</v>
      </c>
      <c r="S1877" t="s">
        <v>37</v>
      </c>
      <c r="T1877" t="s">
        <v>59</v>
      </c>
      <c r="U1877">
        <v>37.774900000000002</v>
      </c>
      <c r="V1877">
        <v>-122.4194</v>
      </c>
      <c r="W1877" s="2">
        <v>45202</v>
      </c>
      <c r="X1877">
        <v>6</v>
      </c>
      <c r="Y1877" t="b">
        <v>1</v>
      </c>
      <c r="Z1877" s="2">
        <v>45825</v>
      </c>
      <c r="AA1877" t="str">
        <f t="shared" si="291"/>
        <v>30–39</v>
      </c>
      <c r="AB1877" t="str">
        <f t="shared" si="292"/>
        <v>30–39</v>
      </c>
      <c r="AC1877" t="str">
        <f t="shared" si="293"/>
        <v/>
      </c>
      <c r="AD1877" t="str">
        <f t="shared" si="294"/>
        <v/>
      </c>
      <c r="AE1877" t="str">
        <f t="shared" si="295"/>
        <v/>
      </c>
      <c r="AF1877" t="str">
        <f t="shared" si="296"/>
        <v/>
      </c>
      <c r="AG1877" t="str">
        <f t="shared" si="297"/>
        <v>Friday</v>
      </c>
      <c r="AH1877" t="str">
        <f t="shared" si="298"/>
        <v/>
      </c>
      <c r="AI1877" t="str">
        <f t="shared" si="299"/>
        <v/>
      </c>
      <c r="AJ1877" t="str">
        <f>LEFT(Table1[[#This Row],[membership_type]],2)&amp;TEXT(Table1[[#This Row],[age]],"00")&amp;"-"&amp;TEXT(ROW(),"000")</f>
        <v>St30-1877</v>
      </c>
      <c r="AK1877" t="str">
        <f>LEFT(Table1[[#This Row],[membership_type]],1)&amp;TEXT(MATCH(Table1[[#This Row],[membership_type]],Table1[membership_type],0),"00")</f>
        <v>S02</v>
      </c>
      <c r="AL1877" t="str">
        <f>LEFT(Table1[[#This Row],[discount_type]],1)&amp;TEXT(ROUND(Table1[[#This Row],[discount_rate]]*100,0),"00")</f>
        <v>N00</v>
      </c>
      <c r="AM1877" t="str" cm="1">
        <f t="array" ref="AM1877">TEXT(SUMPRODUCT(CODE(MID(Table1[[#This Row],[home_gym_location]],_xlfn.SEQUENCE(LEN(Table1[[#This Row],[home_gym_location]])),1))),"00000")</f>
        <v>01450</v>
      </c>
      <c r="AN1877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77" t="str">
        <f>LEFT(_xlfn.TEXTBEFORE(Table1[[#This Row],[Location Identifier]],"-"),3) &amp; "-" &amp; _xlfn.TEXTAFTER(Table1[[#This Row],[Location Identifier]],"-")</f>
        <v>SAN-009</v>
      </c>
      <c r="AP1877" s="9">
        <f t="shared" ca="1" si="290"/>
        <v>45869</v>
      </c>
    </row>
    <row r="1878" spans="1:42" x14ac:dyDescent="0.25">
      <c r="A1878">
        <v>43</v>
      </c>
      <c r="B1878" t="s">
        <v>26</v>
      </c>
      <c r="C1878">
        <v>4</v>
      </c>
      <c r="D1878" t="s">
        <v>166</v>
      </c>
      <c r="E1878" t="b">
        <v>1</v>
      </c>
      <c r="F1878" s="1">
        <v>0.77847222222222223</v>
      </c>
      <c r="G1878" s="1">
        <v>0.9</v>
      </c>
      <c r="H1878">
        <v>175</v>
      </c>
      <c r="I1878" t="b">
        <v>0</v>
      </c>
      <c r="J1878" t="b">
        <v>1</v>
      </c>
      <c r="K1878" t="b">
        <v>0</v>
      </c>
      <c r="L1878" t="s">
        <v>62</v>
      </c>
      <c r="M1878">
        <v>50</v>
      </c>
      <c r="N1878" t="s">
        <v>64</v>
      </c>
      <c r="O1878">
        <v>37.5</v>
      </c>
      <c r="P1878" t="s">
        <v>74</v>
      </c>
      <c r="Q1878">
        <v>0.15</v>
      </c>
      <c r="R1878">
        <v>31.875</v>
      </c>
      <c r="S1878" t="s">
        <v>31</v>
      </c>
      <c r="T1878" t="s">
        <v>45</v>
      </c>
      <c r="U1878">
        <v>33.836599999999997</v>
      </c>
      <c r="V1878">
        <v>-117.9143</v>
      </c>
      <c r="W1878" s="2">
        <v>45289</v>
      </c>
      <c r="X1878">
        <v>7</v>
      </c>
      <c r="Y1878" t="b">
        <v>0</v>
      </c>
      <c r="Z1878" s="2">
        <v>45830</v>
      </c>
      <c r="AA1878" t="str">
        <f t="shared" si="291"/>
        <v>40–49</v>
      </c>
      <c r="AB1878" t="str">
        <f t="shared" si="292"/>
        <v>40–49</v>
      </c>
      <c r="AC1878" t="str">
        <f t="shared" si="293"/>
        <v>Monday</v>
      </c>
      <c r="AD1878" t="str">
        <f t="shared" si="294"/>
        <v>Tuesday</v>
      </c>
      <c r="AE1878" t="str">
        <f t="shared" si="295"/>
        <v/>
      </c>
      <c r="AF1878" t="str">
        <f t="shared" si="296"/>
        <v/>
      </c>
      <c r="AG1878" t="str">
        <f t="shared" si="297"/>
        <v>Friday</v>
      </c>
      <c r="AH1878" t="str">
        <f t="shared" si="298"/>
        <v>Saturday</v>
      </c>
      <c r="AI1878" t="str">
        <f t="shared" si="299"/>
        <v/>
      </c>
      <c r="AJ1878" t="str">
        <f>LEFT(Table1[[#This Row],[membership_type]],2)&amp;TEXT(Table1[[#This Row],[age]],"00")&amp;"-"&amp;TEXT(ROW(),"000")</f>
        <v>Pr43-1878</v>
      </c>
      <c r="AK1878" t="str">
        <f>LEFT(Table1[[#This Row],[membership_type]],1)&amp;TEXT(MATCH(Table1[[#This Row],[membership_type]],Table1[membership_type],0),"00")</f>
        <v>P01</v>
      </c>
      <c r="AL1878" t="str">
        <f>LEFT(Table1[[#This Row],[discount_type]],1)&amp;TEXT(ROUND(Table1[[#This Row],[discount_rate]]*100,0),"00")</f>
        <v>S15</v>
      </c>
      <c r="AM1878" t="str" cm="1">
        <f t="array" ref="AM1878">TEXT(SUMPRODUCT(CODE(MID(Table1[[#This Row],[home_gym_location]],_xlfn.SEQUENCE(LEN(Table1[[#This Row],[home_gym_location]])),1))),"00000")</f>
        <v>00899</v>
      </c>
      <c r="AN1878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78" t="str">
        <f>LEFT(_xlfn.TEXTBEFORE(Table1[[#This Row],[Location Identifier]],"-"),3) &amp; "-" &amp; _xlfn.TEXTAFTER(Table1[[#This Row],[Location Identifier]],"-")</f>
        <v>ANA-001</v>
      </c>
      <c r="AP1878" s="9">
        <f t="shared" ca="1" si="290"/>
        <v>45869</v>
      </c>
    </row>
    <row r="1879" spans="1:42" x14ac:dyDescent="0.25">
      <c r="A1879">
        <v>34</v>
      </c>
      <c r="B1879" t="s">
        <v>42</v>
      </c>
      <c r="C1879">
        <v>1</v>
      </c>
      <c r="D1879" t="s">
        <v>49</v>
      </c>
      <c r="E1879" t="b">
        <v>0</v>
      </c>
      <c r="F1879" s="1">
        <v>0.52916666666666667</v>
      </c>
      <c r="G1879" s="1">
        <v>0.55625000000000002</v>
      </c>
      <c r="H1879">
        <v>39</v>
      </c>
      <c r="I1879" t="b">
        <v>1</v>
      </c>
      <c r="J1879" t="b">
        <v>1</v>
      </c>
      <c r="K1879" t="b">
        <v>1</v>
      </c>
      <c r="L1879" t="s">
        <v>28</v>
      </c>
      <c r="M1879">
        <v>20</v>
      </c>
      <c r="N1879" t="s">
        <v>64</v>
      </c>
      <c r="O1879">
        <v>15</v>
      </c>
      <c r="P1879" t="s">
        <v>36</v>
      </c>
      <c r="Q1879">
        <v>0</v>
      </c>
      <c r="R1879">
        <v>15</v>
      </c>
      <c r="S1879" t="s">
        <v>44</v>
      </c>
      <c r="T1879" t="s">
        <v>50</v>
      </c>
      <c r="U1879">
        <v>34.052199999999999</v>
      </c>
      <c r="V1879">
        <v>-118.2437</v>
      </c>
      <c r="W1879" s="2">
        <v>45514</v>
      </c>
      <c r="X1879">
        <v>7</v>
      </c>
      <c r="Y1879" t="b">
        <v>0</v>
      </c>
      <c r="Z1879" s="2">
        <v>45843</v>
      </c>
      <c r="AA1879" t="str">
        <f t="shared" si="291"/>
        <v>30–39</v>
      </c>
      <c r="AB1879" t="str">
        <f t="shared" si="292"/>
        <v>30–39</v>
      </c>
      <c r="AC1879" t="str">
        <f t="shared" si="293"/>
        <v/>
      </c>
      <c r="AD1879" t="str">
        <f t="shared" si="294"/>
        <v/>
      </c>
      <c r="AE1879" t="str">
        <f t="shared" si="295"/>
        <v/>
      </c>
      <c r="AF1879" t="str">
        <f t="shared" si="296"/>
        <v/>
      </c>
      <c r="AG1879" t="str">
        <f t="shared" si="297"/>
        <v/>
      </c>
      <c r="AH1879" t="str">
        <f t="shared" si="298"/>
        <v/>
      </c>
      <c r="AI1879" t="str">
        <f t="shared" si="299"/>
        <v>Sunday</v>
      </c>
      <c r="AJ1879" t="str">
        <f>LEFT(Table1[[#This Row],[membership_type]],2)&amp;TEXT(Table1[[#This Row],[age]],"00")&amp;"-"&amp;TEXT(ROW(),"000")</f>
        <v>Ba34-1879</v>
      </c>
      <c r="AK1879" t="str">
        <f>LEFT(Table1[[#This Row],[membership_type]],1)&amp;TEXT(MATCH(Table1[[#This Row],[membership_type]],Table1[membership_type],0),"00")</f>
        <v>B04</v>
      </c>
      <c r="AL1879" t="str">
        <f>LEFT(Table1[[#This Row],[discount_type]],1)&amp;TEXT(ROUND(Table1[[#This Row],[discount_rate]]*100,0),"00")</f>
        <v>N00</v>
      </c>
      <c r="AM1879" t="str" cm="1">
        <f t="array" ref="AM1879">TEXT(SUMPRODUCT(CODE(MID(Table1[[#This Row],[home_gym_location]],_xlfn.SEQUENCE(LEN(Table1[[#This Row],[home_gym_location]])),1))),"00000")</f>
        <v>01245</v>
      </c>
      <c r="AN187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79" t="str">
        <f>LEFT(_xlfn.TEXTBEFORE(Table1[[#This Row],[Location Identifier]],"-"),3) &amp; "-" &amp; _xlfn.TEXTAFTER(Table1[[#This Row],[Location Identifier]],"-")</f>
        <v>LOS-005</v>
      </c>
      <c r="AP1879" s="9">
        <f t="shared" ca="1" si="290"/>
        <v>45869</v>
      </c>
    </row>
    <row r="1880" spans="1:42" x14ac:dyDescent="0.25">
      <c r="A1880">
        <v>39</v>
      </c>
      <c r="B1880" t="s">
        <v>26</v>
      </c>
      <c r="C1880">
        <v>5</v>
      </c>
      <c r="D1880" t="s">
        <v>72</v>
      </c>
      <c r="E1880" t="b">
        <v>1</v>
      </c>
      <c r="F1880" s="1">
        <v>0.53472222222222221</v>
      </c>
      <c r="G1880" s="1">
        <v>0.62361111111111112</v>
      </c>
      <c r="H1880">
        <v>128</v>
      </c>
      <c r="I1880" t="b">
        <v>0</v>
      </c>
      <c r="J1880" t="b">
        <v>1</v>
      </c>
      <c r="K1880" t="b">
        <v>1</v>
      </c>
      <c r="L1880" t="s">
        <v>28</v>
      </c>
      <c r="M1880">
        <v>50</v>
      </c>
      <c r="N1880" t="s">
        <v>64</v>
      </c>
      <c r="O1880">
        <v>37.5</v>
      </c>
      <c r="P1880" t="s">
        <v>30</v>
      </c>
      <c r="Q1880">
        <v>0.05</v>
      </c>
      <c r="R1880">
        <v>35.625</v>
      </c>
      <c r="S1880" t="s">
        <v>31</v>
      </c>
      <c r="T1880" t="s">
        <v>45</v>
      </c>
      <c r="U1880">
        <v>33.836599999999997</v>
      </c>
      <c r="V1880">
        <v>-117.9143</v>
      </c>
      <c r="W1880" s="2">
        <v>45229</v>
      </c>
      <c r="X1880">
        <v>2</v>
      </c>
      <c r="Y1880" t="b">
        <v>1</v>
      </c>
      <c r="Z1880" s="2">
        <v>45827</v>
      </c>
      <c r="AA1880" t="str">
        <f t="shared" si="291"/>
        <v>30–39</v>
      </c>
      <c r="AB1880" t="str">
        <f t="shared" si="292"/>
        <v>30–39</v>
      </c>
      <c r="AC1880" t="str">
        <f t="shared" si="293"/>
        <v>Monday</v>
      </c>
      <c r="AD1880" t="str">
        <f t="shared" si="294"/>
        <v/>
      </c>
      <c r="AE1880" t="str">
        <f t="shared" si="295"/>
        <v>Wednesday</v>
      </c>
      <c r="AF1880" t="str">
        <f t="shared" si="296"/>
        <v>Thursday</v>
      </c>
      <c r="AG1880" t="str">
        <f t="shared" si="297"/>
        <v>Friday</v>
      </c>
      <c r="AH1880" t="str">
        <f t="shared" si="298"/>
        <v/>
      </c>
      <c r="AI1880" t="str">
        <f t="shared" si="299"/>
        <v>Sunday</v>
      </c>
      <c r="AJ1880" t="str">
        <f>LEFT(Table1[[#This Row],[membership_type]],2)&amp;TEXT(Table1[[#This Row],[age]],"00")&amp;"-"&amp;TEXT(ROW(),"000")</f>
        <v>Pr39-1880</v>
      </c>
      <c r="AK1880" t="str">
        <f>LEFT(Table1[[#This Row],[membership_type]],1)&amp;TEXT(MATCH(Table1[[#This Row],[membership_type]],Table1[membership_type],0),"00")</f>
        <v>P01</v>
      </c>
      <c r="AL1880" t="str">
        <f>LEFT(Table1[[#This Row],[discount_type]],1)&amp;TEXT(ROUND(Table1[[#This Row],[discount_rate]]*100,0),"00")</f>
        <v>P05</v>
      </c>
      <c r="AM1880" t="str" cm="1">
        <f t="array" ref="AM1880">TEXT(SUMPRODUCT(CODE(MID(Table1[[#This Row],[home_gym_location]],_xlfn.SEQUENCE(LEN(Table1[[#This Row],[home_gym_location]])),1))),"00000")</f>
        <v>00899</v>
      </c>
      <c r="AN188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80" t="str">
        <f>LEFT(_xlfn.TEXTBEFORE(Table1[[#This Row],[Location Identifier]],"-"),3) &amp; "-" &amp; _xlfn.TEXTAFTER(Table1[[#This Row],[Location Identifier]],"-")</f>
        <v>ANA-001</v>
      </c>
      <c r="AP1880" s="9">
        <f t="shared" ca="1" si="290"/>
        <v>45869</v>
      </c>
    </row>
    <row r="1881" spans="1:42" x14ac:dyDescent="0.25">
      <c r="A1881">
        <v>47</v>
      </c>
      <c r="B1881" t="s">
        <v>51</v>
      </c>
      <c r="C1881">
        <v>2</v>
      </c>
      <c r="D1881" t="s">
        <v>61</v>
      </c>
      <c r="E1881" t="b">
        <v>0</v>
      </c>
      <c r="F1881" s="1">
        <v>0.55486111111111114</v>
      </c>
      <c r="G1881" s="1">
        <v>0.61805555555555558</v>
      </c>
      <c r="H1881">
        <v>91</v>
      </c>
      <c r="I1881" t="b">
        <v>1</v>
      </c>
      <c r="J1881" t="b">
        <v>1</v>
      </c>
      <c r="K1881" t="b">
        <v>1</v>
      </c>
      <c r="L1881" t="s">
        <v>62</v>
      </c>
      <c r="M1881">
        <v>70</v>
      </c>
      <c r="N1881" t="s">
        <v>64</v>
      </c>
      <c r="O1881">
        <v>52.5</v>
      </c>
      <c r="P1881" t="s">
        <v>40</v>
      </c>
      <c r="Q1881">
        <v>0.1</v>
      </c>
      <c r="R1881">
        <v>47.25</v>
      </c>
      <c r="S1881" t="s">
        <v>53</v>
      </c>
      <c r="T1881" t="s">
        <v>50</v>
      </c>
      <c r="U1881">
        <v>34.052199999999999</v>
      </c>
      <c r="V1881">
        <v>-118.2437</v>
      </c>
      <c r="W1881" s="2">
        <v>45097</v>
      </c>
      <c r="X1881">
        <v>4</v>
      </c>
      <c r="Y1881" t="b">
        <v>1</v>
      </c>
      <c r="Z1881" s="2">
        <v>45819</v>
      </c>
      <c r="AA1881" t="str">
        <f t="shared" si="291"/>
        <v>40–49</v>
      </c>
      <c r="AB1881" t="str">
        <f t="shared" si="292"/>
        <v>40–49</v>
      </c>
      <c r="AC1881" t="str">
        <f t="shared" si="293"/>
        <v/>
      </c>
      <c r="AD1881" t="str">
        <f t="shared" si="294"/>
        <v>Tuesday</v>
      </c>
      <c r="AE1881" t="str">
        <f t="shared" si="295"/>
        <v/>
      </c>
      <c r="AF1881" t="str">
        <f t="shared" si="296"/>
        <v/>
      </c>
      <c r="AG1881" t="str">
        <f t="shared" si="297"/>
        <v/>
      </c>
      <c r="AH1881" t="str">
        <f t="shared" si="298"/>
        <v>Saturday</v>
      </c>
      <c r="AI1881" t="str">
        <f t="shared" si="299"/>
        <v/>
      </c>
      <c r="AJ1881" t="str">
        <f>LEFT(Table1[[#This Row],[membership_type]],2)&amp;TEXT(Table1[[#This Row],[age]],"00")&amp;"-"&amp;TEXT(ROW(),"000")</f>
        <v>El47-1881</v>
      </c>
      <c r="AK1881" t="str">
        <f>LEFT(Table1[[#This Row],[membership_type]],1)&amp;TEXT(MATCH(Table1[[#This Row],[membership_type]],Table1[membership_type],0),"00")</f>
        <v>E07</v>
      </c>
      <c r="AL1881" t="str">
        <f>LEFT(Table1[[#This Row],[discount_type]],1)&amp;TEXT(ROUND(Table1[[#This Row],[discount_rate]]*100,0),"00")</f>
        <v>L10</v>
      </c>
      <c r="AM1881" t="str" cm="1">
        <f t="array" ref="AM1881">TEXT(SUMPRODUCT(CODE(MID(Table1[[#This Row],[home_gym_location]],_xlfn.SEQUENCE(LEN(Table1[[#This Row],[home_gym_location]])),1))),"00000")</f>
        <v>01245</v>
      </c>
      <c r="AN1881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81" t="str">
        <f>LEFT(_xlfn.TEXTBEFORE(Table1[[#This Row],[Location Identifier]],"-"),3) &amp; "-" &amp; _xlfn.TEXTAFTER(Table1[[#This Row],[Location Identifier]],"-")</f>
        <v>LOS-005</v>
      </c>
      <c r="AP1881" s="9">
        <f t="shared" ca="1" si="290"/>
        <v>45869</v>
      </c>
    </row>
    <row r="1882" spans="1:42" x14ac:dyDescent="0.25">
      <c r="A1882">
        <v>45</v>
      </c>
      <c r="B1882" t="s">
        <v>42</v>
      </c>
      <c r="C1882">
        <v>2</v>
      </c>
      <c r="D1882" t="s">
        <v>141</v>
      </c>
      <c r="E1882" t="b">
        <v>1</v>
      </c>
      <c r="F1882" s="1">
        <v>0.7680555555555556</v>
      </c>
      <c r="G1882" s="1">
        <v>0.88958333333333328</v>
      </c>
      <c r="H1882">
        <v>175</v>
      </c>
      <c r="I1882" t="b">
        <v>1</v>
      </c>
      <c r="J1882" t="b">
        <v>1</v>
      </c>
      <c r="K1882" t="b">
        <v>0</v>
      </c>
      <c r="L1882" t="s">
        <v>28</v>
      </c>
      <c r="M1882">
        <v>20</v>
      </c>
      <c r="N1882" t="s">
        <v>64</v>
      </c>
      <c r="O1882">
        <v>15</v>
      </c>
      <c r="P1882" t="s">
        <v>74</v>
      </c>
      <c r="Q1882">
        <v>0.15</v>
      </c>
      <c r="R1882">
        <v>12.75</v>
      </c>
      <c r="S1882" t="s">
        <v>44</v>
      </c>
      <c r="T1882" t="s">
        <v>59</v>
      </c>
      <c r="U1882">
        <v>37.774900000000002</v>
      </c>
      <c r="V1882">
        <v>-122.4194</v>
      </c>
      <c r="W1882" s="2">
        <v>44900</v>
      </c>
      <c r="X1882">
        <v>6</v>
      </c>
      <c r="Y1882" t="b">
        <v>1</v>
      </c>
      <c r="Z1882" s="2">
        <v>45808</v>
      </c>
      <c r="AA1882" t="str">
        <f t="shared" si="291"/>
        <v>40–49</v>
      </c>
      <c r="AB1882" t="str">
        <f t="shared" si="292"/>
        <v>40–49</v>
      </c>
      <c r="AC1882" t="str">
        <f t="shared" si="293"/>
        <v/>
      </c>
      <c r="AD1882" t="str">
        <f t="shared" si="294"/>
        <v/>
      </c>
      <c r="AE1882" t="str">
        <f t="shared" si="295"/>
        <v>Wednesday</v>
      </c>
      <c r="AF1882" t="str">
        <f t="shared" si="296"/>
        <v/>
      </c>
      <c r="AG1882" t="str">
        <f t="shared" si="297"/>
        <v>Friday</v>
      </c>
      <c r="AH1882" t="str">
        <f t="shared" si="298"/>
        <v/>
      </c>
      <c r="AI1882" t="str">
        <f t="shared" si="299"/>
        <v/>
      </c>
      <c r="AJ1882" t="str">
        <f>LEFT(Table1[[#This Row],[membership_type]],2)&amp;TEXT(Table1[[#This Row],[age]],"00")&amp;"-"&amp;TEXT(ROW(),"000")</f>
        <v>Ba45-1882</v>
      </c>
      <c r="AK1882" t="str">
        <f>LEFT(Table1[[#This Row],[membership_type]],1)&amp;TEXT(MATCH(Table1[[#This Row],[membership_type]],Table1[membership_type],0),"00")</f>
        <v>B04</v>
      </c>
      <c r="AL1882" t="str">
        <f>LEFT(Table1[[#This Row],[discount_type]],1)&amp;TEXT(ROUND(Table1[[#This Row],[discount_rate]]*100,0),"00")</f>
        <v>S15</v>
      </c>
      <c r="AM1882" t="str" cm="1">
        <f t="array" ref="AM1882">TEXT(SUMPRODUCT(CODE(MID(Table1[[#This Row],[home_gym_location]],_xlfn.SEQUENCE(LEN(Table1[[#This Row],[home_gym_location]])),1))),"00000")</f>
        <v>01450</v>
      </c>
      <c r="AN188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882" t="str">
        <f>LEFT(_xlfn.TEXTBEFORE(Table1[[#This Row],[Location Identifier]],"-"),3) &amp; "-" &amp; _xlfn.TEXTAFTER(Table1[[#This Row],[Location Identifier]],"-")</f>
        <v>SAN-009</v>
      </c>
      <c r="AP1882" s="9">
        <f t="shared" ca="1" si="290"/>
        <v>45869</v>
      </c>
    </row>
    <row r="1883" spans="1:42" x14ac:dyDescent="0.25">
      <c r="A1883">
        <v>14</v>
      </c>
      <c r="B1883" t="s">
        <v>26</v>
      </c>
      <c r="C1883">
        <v>3</v>
      </c>
      <c r="D1883" t="s">
        <v>133</v>
      </c>
      <c r="E1883" t="b">
        <v>0</v>
      </c>
      <c r="F1883" s="1">
        <v>0.86944444444444446</v>
      </c>
      <c r="G1883" s="1">
        <v>0.91805555555555551</v>
      </c>
      <c r="H1883">
        <v>70</v>
      </c>
      <c r="I1883" t="b">
        <v>1</v>
      </c>
      <c r="J1883" t="b">
        <v>1</v>
      </c>
      <c r="K1883" t="b">
        <v>1</v>
      </c>
      <c r="L1883" t="s">
        <v>62</v>
      </c>
      <c r="M1883">
        <v>50</v>
      </c>
      <c r="N1883" t="s">
        <v>29</v>
      </c>
      <c r="O1883">
        <v>50</v>
      </c>
      <c r="P1883" t="s">
        <v>74</v>
      </c>
      <c r="Q1883">
        <v>0.15</v>
      </c>
      <c r="R1883">
        <v>42.5</v>
      </c>
      <c r="S1883" t="s">
        <v>31</v>
      </c>
      <c r="T1883" t="s">
        <v>38</v>
      </c>
      <c r="U1883">
        <v>36.7378</v>
      </c>
      <c r="V1883">
        <v>-119.7871</v>
      </c>
      <c r="W1883" s="2">
        <v>45153</v>
      </c>
      <c r="X1883">
        <v>3</v>
      </c>
      <c r="Y1883" t="b">
        <v>1</v>
      </c>
      <c r="Z1883" s="2">
        <v>45822</v>
      </c>
      <c r="AA1883" t="str">
        <f t="shared" si="291"/>
        <v>10–19</v>
      </c>
      <c r="AB1883" t="str">
        <f t="shared" si="292"/>
        <v>Under 16</v>
      </c>
      <c r="AC1883" t="str">
        <f t="shared" si="293"/>
        <v/>
      </c>
      <c r="AD1883" t="str">
        <f t="shared" si="294"/>
        <v>Tuesday</v>
      </c>
      <c r="AE1883" t="str">
        <f t="shared" si="295"/>
        <v>Wednesday</v>
      </c>
      <c r="AF1883" t="str">
        <f t="shared" si="296"/>
        <v/>
      </c>
      <c r="AG1883" t="str">
        <f t="shared" si="297"/>
        <v>Friday</v>
      </c>
      <c r="AH1883" t="str">
        <f t="shared" si="298"/>
        <v/>
      </c>
      <c r="AI1883" t="str">
        <f t="shared" si="299"/>
        <v/>
      </c>
      <c r="AJ1883" t="str">
        <f>LEFT(Table1[[#This Row],[membership_type]],2)&amp;TEXT(Table1[[#This Row],[age]],"00")&amp;"-"&amp;TEXT(ROW(),"000")</f>
        <v>Pr14-1883</v>
      </c>
      <c r="AK1883" t="str">
        <f>LEFT(Table1[[#This Row],[membership_type]],1)&amp;TEXT(MATCH(Table1[[#This Row],[membership_type]],Table1[membership_type],0),"00")</f>
        <v>P01</v>
      </c>
      <c r="AL1883" t="str">
        <f>LEFT(Table1[[#This Row],[discount_type]],1)&amp;TEXT(ROUND(Table1[[#This Row],[discount_rate]]*100,0),"00")</f>
        <v>S15</v>
      </c>
      <c r="AM1883" t="str" cm="1">
        <f t="array" ref="AM1883">TEXT(SUMPRODUCT(CODE(MID(Table1[[#This Row],[home_gym_location]],_xlfn.SEQUENCE(LEN(Table1[[#This Row],[home_gym_location]])),1))),"00000")</f>
        <v>00829</v>
      </c>
      <c r="AN1883" t="str">
        <f>UPPER(_xlfn.TEXTBEFORE(Table1[[#This Row],[home_gym_location]],","))&amp;"-"&amp;TEXT(MATCH(Table1[[#This Row],[home_gym_location]],_xlfn._xlws.SORT(_xlfn.UNIQUE(Table1[home_gym_location])),0),"000")</f>
        <v>FRESNO-003</v>
      </c>
      <c r="AO1883" t="str">
        <f>LEFT(_xlfn.TEXTBEFORE(Table1[[#This Row],[Location Identifier]],"-"),3) &amp; "-" &amp; _xlfn.TEXTAFTER(Table1[[#This Row],[Location Identifier]],"-")</f>
        <v>FRE-003</v>
      </c>
      <c r="AP1883" s="9">
        <f t="shared" ca="1" si="290"/>
        <v>45869</v>
      </c>
    </row>
    <row r="1884" spans="1:42" x14ac:dyDescent="0.25">
      <c r="A1884">
        <v>22</v>
      </c>
      <c r="B1884" t="s">
        <v>51</v>
      </c>
      <c r="C1884">
        <v>3</v>
      </c>
      <c r="D1884" t="s">
        <v>106</v>
      </c>
      <c r="E1884" t="b">
        <v>1</v>
      </c>
      <c r="F1884" s="1">
        <v>0.49027777777777776</v>
      </c>
      <c r="G1884" s="1">
        <v>0.57430555555555551</v>
      </c>
      <c r="H1884">
        <v>121</v>
      </c>
      <c r="I1884" t="b">
        <v>0</v>
      </c>
      <c r="J1884" t="b">
        <v>1</v>
      </c>
      <c r="K1884" t="b">
        <v>1</v>
      </c>
      <c r="L1884" t="s">
        <v>62</v>
      </c>
      <c r="M1884">
        <v>70</v>
      </c>
      <c r="N1884" t="s">
        <v>29</v>
      </c>
      <c r="O1884">
        <v>70</v>
      </c>
      <c r="P1884" t="s">
        <v>36</v>
      </c>
      <c r="Q1884">
        <v>0</v>
      </c>
      <c r="R1884">
        <v>70</v>
      </c>
      <c r="S1884" t="s">
        <v>53</v>
      </c>
      <c r="T1884" t="s">
        <v>54</v>
      </c>
      <c r="U1884">
        <v>32.715699999999998</v>
      </c>
      <c r="V1884">
        <v>-117.1611</v>
      </c>
      <c r="W1884" s="2">
        <v>45020</v>
      </c>
      <c r="X1884">
        <v>1</v>
      </c>
      <c r="Y1884" t="b">
        <v>1</v>
      </c>
      <c r="Z1884" s="2">
        <v>45815</v>
      </c>
      <c r="AA1884" t="str">
        <f t="shared" si="291"/>
        <v>20–29</v>
      </c>
      <c r="AB1884" t="str">
        <f t="shared" si="292"/>
        <v>20–29</v>
      </c>
      <c r="AC1884" t="str">
        <f t="shared" si="293"/>
        <v/>
      </c>
      <c r="AD1884" t="str">
        <f t="shared" si="294"/>
        <v/>
      </c>
      <c r="AE1884" t="str">
        <f t="shared" si="295"/>
        <v>Wednesday</v>
      </c>
      <c r="AF1884" t="str">
        <f t="shared" si="296"/>
        <v>Thursday</v>
      </c>
      <c r="AG1884" t="str">
        <f t="shared" si="297"/>
        <v>Friday</v>
      </c>
      <c r="AH1884" t="str">
        <f t="shared" si="298"/>
        <v/>
      </c>
      <c r="AI1884" t="str">
        <f t="shared" si="299"/>
        <v/>
      </c>
      <c r="AJ1884" t="str">
        <f>LEFT(Table1[[#This Row],[membership_type]],2)&amp;TEXT(Table1[[#This Row],[age]],"00")&amp;"-"&amp;TEXT(ROW(),"000")</f>
        <v>El22-1884</v>
      </c>
      <c r="AK1884" t="str">
        <f>LEFT(Table1[[#This Row],[membership_type]],1)&amp;TEXT(MATCH(Table1[[#This Row],[membership_type]],Table1[membership_type],0),"00")</f>
        <v>E07</v>
      </c>
      <c r="AL1884" t="str">
        <f>LEFT(Table1[[#This Row],[discount_type]],1)&amp;TEXT(ROUND(Table1[[#This Row],[discount_rate]]*100,0),"00")</f>
        <v>N00</v>
      </c>
      <c r="AM1884" t="str" cm="1">
        <f t="array" ref="AM1884">TEXT(SUMPRODUCT(CODE(MID(Table1[[#This Row],[home_gym_location]],_xlfn.SEQUENCE(LEN(Table1[[#This Row],[home_gym_location]])),1))),"00000")</f>
        <v>01018</v>
      </c>
      <c r="AN188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84" t="str">
        <f>LEFT(_xlfn.TEXTBEFORE(Table1[[#This Row],[Location Identifier]],"-"),3) &amp; "-" &amp; _xlfn.TEXTAFTER(Table1[[#This Row],[Location Identifier]],"-")</f>
        <v>SAN-008</v>
      </c>
      <c r="AP1884" s="9">
        <f t="shared" ca="1" si="290"/>
        <v>45869</v>
      </c>
    </row>
    <row r="1885" spans="1:42" x14ac:dyDescent="0.25">
      <c r="A1885">
        <v>49</v>
      </c>
      <c r="B1885" t="s">
        <v>26</v>
      </c>
      <c r="C1885">
        <v>1</v>
      </c>
      <c r="D1885" t="s">
        <v>71</v>
      </c>
      <c r="E1885" t="b">
        <v>1</v>
      </c>
      <c r="F1885" s="1">
        <v>0.84930555555555554</v>
      </c>
      <c r="G1885" s="1">
        <v>0.88055555555555554</v>
      </c>
      <c r="H1885">
        <v>45</v>
      </c>
      <c r="I1885" t="b">
        <v>1</v>
      </c>
      <c r="J1885" t="b">
        <v>0</v>
      </c>
      <c r="K1885" t="b">
        <v>1</v>
      </c>
      <c r="L1885" t="s">
        <v>28</v>
      </c>
      <c r="M1885">
        <v>50</v>
      </c>
      <c r="N1885" t="s">
        <v>29</v>
      </c>
      <c r="O1885">
        <v>50</v>
      </c>
      <c r="P1885" t="s">
        <v>74</v>
      </c>
      <c r="Q1885">
        <v>0.15</v>
      </c>
      <c r="R1885">
        <v>42.5</v>
      </c>
      <c r="S1885" t="s">
        <v>31</v>
      </c>
      <c r="T1885" t="s">
        <v>32</v>
      </c>
      <c r="U1885">
        <v>37.338200000000001</v>
      </c>
      <c r="V1885">
        <v>-121.88630000000001</v>
      </c>
      <c r="W1885" s="2">
        <v>45660</v>
      </c>
      <c r="X1885">
        <v>0</v>
      </c>
      <c r="Y1885" t="b">
        <v>1</v>
      </c>
      <c r="Z1885" s="2">
        <v>45851</v>
      </c>
      <c r="AA1885" t="str">
        <f t="shared" si="291"/>
        <v>40–49</v>
      </c>
      <c r="AB1885" t="str">
        <f t="shared" si="292"/>
        <v>40–49</v>
      </c>
      <c r="AC1885" t="str">
        <f t="shared" si="293"/>
        <v/>
      </c>
      <c r="AD1885" t="str">
        <f t="shared" si="294"/>
        <v>Tuesday</v>
      </c>
      <c r="AE1885" t="str">
        <f t="shared" si="295"/>
        <v/>
      </c>
      <c r="AF1885" t="str">
        <f t="shared" si="296"/>
        <v/>
      </c>
      <c r="AG1885" t="str">
        <f t="shared" si="297"/>
        <v/>
      </c>
      <c r="AH1885" t="str">
        <f t="shared" si="298"/>
        <v/>
      </c>
      <c r="AI1885" t="str">
        <f t="shared" si="299"/>
        <v/>
      </c>
      <c r="AJ1885" t="str">
        <f>LEFT(Table1[[#This Row],[membership_type]],2)&amp;TEXT(Table1[[#This Row],[age]],"00")&amp;"-"&amp;TEXT(ROW(),"000")</f>
        <v>Pr49-1885</v>
      </c>
      <c r="AK1885" t="str">
        <f>LEFT(Table1[[#This Row],[membership_type]],1)&amp;TEXT(MATCH(Table1[[#This Row],[membership_type]],Table1[membership_type],0),"00")</f>
        <v>P01</v>
      </c>
      <c r="AL1885" t="str">
        <f>LEFT(Table1[[#This Row],[discount_type]],1)&amp;TEXT(ROUND(Table1[[#This Row],[discount_rate]]*100,0),"00")</f>
        <v>S15</v>
      </c>
      <c r="AM1885" t="str" cm="1">
        <f t="array" ref="AM1885">TEXT(SUMPRODUCT(CODE(MID(Table1[[#This Row],[home_gym_location]],_xlfn.SEQUENCE(LEN(Table1[[#This Row],[home_gym_location]])),1))),"00000")</f>
        <v>00931</v>
      </c>
      <c r="AN1885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885" t="str">
        <f>LEFT(_xlfn.TEXTBEFORE(Table1[[#This Row],[Location Identifier]],"-"),3) &amp; "-" &amp; _xlfn.TEXTAFTER(Table1[[#This Row],[Location Identifier]],"-")</f>
        <v>SAN-010</v>
      </c>
      <c r="AP1885" s="9">
        <f t="shared" ca="1" si="290"/>
        <v>45869</v>
      </c>
    </row>
    <row r="1886" spans="1:42" x14ac:dyDescent="0.25">
      <c r="A1886">
        <v>32</v>
      </c>
      <c r="B1886" t="s">
        <v>33</v>
      </c>
      <c r="C1886">
        <v>3</v>
      </c>
      <c r="D1886" t="s">
        <v>153</v>
      </c>
      <c r="E1886" t="b">
        <v>1</v>
      </c>
      <c r="F1886" s="1">
        <v>0.72847222222222219</v>
      </c>
      <c r="G1886" s="1">
        <v>0.78263888888888888</v>
      </c>
      <c r="H1886">
        <v>78</v>
      </c>
      <c r="I1886" t="b">
        <v>1</v>
      </c>
      <c r="J1886" t="b">
        <v>0</v>
      </c>
      <c r="K1886" t="b">
        <v>1</v>
      </c>
      <c r="L1886" t="s">
        <v>28</v>
      </c>
      <c r="M1886">
        <v>30</v>
      </c>
      <c r="N1886" t="s">
        <v>64</v>
      </c>
      <c r="O1886">
        <v>22.5</v>
      </c>
      <c r="P1886" t="s">
        <v>30</v>
      </c>
      <c r="Q1886">
        <v>0.05</v>
      </c>
      <c r="R1886">
        <v>21.375</v>
      </c>
      <c r="S1886" t="s">
        <v>37</v>
      </c>
      <c r="T1886" t="s">
        <v>65</v>
      </c>
      <c r="U1886">
        <v>33.770099999999999</v>
      </c>
      <c r="V1886">
        <v>-118.19370000000001</v>
      </c>
      <c r="W1886" s="2">
        <v>45339</v>
      </c>
      <c r="X1886">
        <v>0</v>
      </c>
      <c r="Y1886" t="b">
        <v>1</v>
      </c>
      <c r="Z1886" s="2">
        <v>45833</v>
      </c>
      <c r="AA1886" t="str">
        <f t="shared" si="291"/>
        <v>30–39</v>
      </c>
      <c r="AB1886" t="str">
        <f t="shared" si="292"/>
        <v>30–39</v>
      </c>
      <c r="AC1886" t="str">
        <f t="shared" si="293"/>
        <v>Monday</v>
      </c>
      <c r="AD1886" t="str">
        <f t="shared" si="294"/>
        <v/>
      </c>
      <c r="AE1886" t="str">
        <f t="shared" si="295"/>
        <v>Wednesday</v>
      </c>
      <c r="AF1886" t="str">
        <f t="shared" si="296"/>
        <v/>
      </c>
      <c r="AG1886" t="str">
        <f t="shared" si="297"/>
        <v/>
      </c>
      <c r="AH1886" t="str">
        <f t="shared" si="298"/>
        <v>Saturday</v>
      </c>
      <c r="AI1886" t="str">
        <f t="shared" si="299"/>
        <v/>
      </c>
      <c r="AJ1886" t="str">
        <f>LEFT(Table1[[#This Row],[membership_type]],2)&amp;TEXT(Table1[[#This Row],[age]],"00")&amp;"-"&amp;TEXT(ROW(),"000")</f>
        <v>St32-1886</v>
      </c>
      <c r="AK1886" t="str">
        <f>LEFT(Table1[[#This Row],[membership_type]],1)&amp;TEXT(MATCH(Table1[[#This Row],[membership_type]],Table1[membership_type],0),"00")</f>
        <v>S02</v>
      </c>
      <c r="AL1886" t="str">
        <f>LEFT(Table1[[#This Row],[discount_type]],1)&amp;TEXT(ROUND(Table1[[#This Row],[discount_rate]]*100,0),"00")</f>
        <v>P05</v>
      </c>
      <c r="AM1886" t="str" cm="1">
        <f t="array" ref="AM1886">TEXT(SUMPRODUCT(CODE(MID(Table1[[#This Row],[home_gym_location]],_xlfn.SEQUENCE(LEN(Table1[[#This Row],[home_gym_location]])),1))),"00000")</f>
        <v>01107</v>
      </c>
      <c r="AN188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86" t="str">
        <f>LEFT(_xlfn.TEXTBEFORE(Table1[[#This Row],[Location Identifier]],"-"),3) &amp; "-" &amp; _xlfn.TEXTAFTER(Table1[[#This Row],[Location Identifier]],"-")</f>
        <v>LON-004</v>
      </c>
      <c r="AP1886" s="9">
        <f t="shared" ca="1" si="290"/>
        <v>45869</v>
      </c>
    </row>
    <row r="1887" spans="1:42" x14ac:dyDescent="0.25">
      <c r="A1887">
        <v>47</v>
      </c>
      <c r="B1887" t="s">
        <v>26</v>
      </c>
      <c r="C1887">
        <v>2</v>
      </c>
      <c r="D1887" t="s">
        <v>123</v>
      </c>
      <c r="E1887" t="b">
        <v>1</v>
      </c>
      <c r="F1887" s="1">
        <v>0.36041666666666666</v>
      </c>
      <c r="G1887" s="1">
        <v>0.40138888888888891</v>
      </c>
      <c r="H1887">
        <v>59</v>
      </c>
      <c r="I1887" t="b">
        <v>1</v>
      </c>
      <c r="J1887" t="b">
        <v>1</v>
      </c>
      <c r="K1887" t="b">
        <v>1</v>
      </c>
      <c r="L1887" t="s">
        <v>58</v>
      </c>
      <c r="M1887">
        <v>50</v>
      </c>
      <c r="N1887" t="s">
        <v>64</v>
      </c>
      <c r="O1887">
        <v>37.5</v>
      </c>
      <c r="P1887" t="s">
        <v>40</v>
      </c>
      <c r="Q1887">
        <v>0.1</v>
      </c>
      <c r="R1887">
        <v>33.75</v>
      </c>
      <c r="S1887" t="s">
        <v>31</v>
      </c>
      <c r="T1887" t="s">
        <v>54</v>
      </c>
      <c r="U1887">
        <v>32.715699999999998</v>
      </c>
      <c r="V1887">
        <v>-117.1611</v>
      </c>
      <c r="W1887" s="2">
        <v>45821</v>
      </c>
      <c r="X1887">
        <v>6</v>
      </c>
      <c r="Y1887" t="b">
        <v>1</v>
      </c>
      <c r="Z1887" s="2">
        <v>45860</v>
      </c>
      <c r="AA1887" t="str">
        <f t="shared" si="291"/>
        <v>40–49</v>
      </c>
      <c r="AB1887" t="str">
        <f t="shared" si="292"/>
        <v>40–49</v>
      </c>
      <c r="AC1887" t="str">
        <f t="shared" si="293"/>
        <v>Monday</v>
      </c>
      <c r="AD1887" t="str">
        <f t="shared" si="294"/>
        <v/>
      </c>
      <c r="AE1887" t="str">
        <f t="shared" si="295"/>
        <v/>
      </c>
      <c r="AF1887" t="str">
        <f t="shared" si="296"/>
        <v/>
      </c>
      <c r="AG1887" t="str">
        <f t="shared" si="297"/>
        <v/>
      </c>
      <c r="AH1887" t="str">
        <f t="shared" si="298"/>
        <v>Saturday</v>
      </c>
      <c r="AI1887" t="str">
        <f t="shared" si="299"/>
        <v/>
      </c>
      <c r="AJ1887" t="str">
        <f>LEFT(Table1[[#This Row],[membership_type]],2)&amp;TEXT(Table1[[#This Row],[age]],"00")&amp;"-"&amp;TEXT(ROW(),"000")</f>
        <v>Pr47-1887</v>
      </c>
      <c r="AK1887" t="str">
        <f>LEFT(Table1[[#This Row],[membership_type]],1)&amp;TEXT(MATCH(Table1[[#This Row],[membership_type]],Table1[membership_type],0),"00")</f>
        <v>P01</v>
      </c>
      <c r="AL1887" t="str">
        <f>LEFT(Table1[[#This Row],[discount_type]],1)&amp;TEXT(ROUND(Table1[[#This Row],[discount_rate]]*100,0),"00")</f>
        <v>L10</v>
      </c>
      <c r="AM1887" t="str" cm="1">
        <f t="array" ref="AM1887">TEXT(SUMPRODUCT(CODE(MID(Table1[[#This Row],[home_gym_location]],_xlfn.SEQUENCE(LEN(Table1[[#This Row],[home_gym_location]])),1))),"00000")</f>
        <v>01018</v>
      </c>
      <c r="AN188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87" t="str">
        <f>LEFT(_xlfn.TEXTBEFORE(Table1[[#This Row],[Location Identifier]],"-"),3) &amp; "-" &amp; _xlfn.TEXTAFTER(Table1[[#This Row],[Location Identifier]],"-")</f>
        <v>SAN-008</v>
      </c>
      <c r="AP1887" s="9">
        <f t="shared" ca="1" si="290"/>
        <v>45869</v>
      </c>
    </row>
    <row r="1888" spans="1:42" x14ac:dyDescent="0.25">
      <c r="A1888">
        <v>17</v>
      </c>
      <c r="B1888" t="s">
        <v>33</v>
      </c>
      <c r="C1888">
        <v>3</v>
      </c>
      <c r="D1888" t="s">
        <v>131</v>
      </c>
      <c r="E1888" t="b">
        <v>0</v>
      </c>
      <c r="F1888" s="1">
        <v>0.64166666666666672</v>
      </c>
      <c r="G1888" s="1">
        <v>0.73750000000000004</v>
      </c>
      <c r="H1888">
        <v>138</v>
      </c>
      <c r="I1888" t="b">
        <v>0</v>
      </c>
      <c r="J1888" t="b">
        <v>0</v>
      </c>
      <c r="K1888" t="b">
        <v>1</v>
      </c>
      <c r="L1888" t="s">
        <v>28</v>
      </c>
      <c r="M1888">
        <v>30</v>
      </c>
      <c r="N1888" t="s">
        <v>64</v>
      </c>
      <c r="O1888">
        <v>22.5</v>
      </c>
      <c r="P1888" t="s">
        <v>36</v>
      </c>
      <c r="Q1888">
        <v>0</v>
      </c>
      <c r="R1888">
        <v>22.5</v>
      </c>
      <c r="S1888" t="s">
        <v>37</v>
      </c>
      <c r="T1888" t="s">
        <v>65</v>
      </c>
      <c r="U1888">
        <v>33.770099999999999</v>
      </c>
      <c r="V1888">
        <v>-118.19370000000001</v>
      </c>
      <c r="W1888" s="2">
        <v>45568</v>
      </c>
      <c r="X1888">
        <v>0</v>
      </c>
      <c r="Y1888" t="b">
        <v>0</v>
      </c>
      <c r="Z1888" s="2">
        <v>45846</v>
      </c>
      <c r="AA1888" t="str">
        <f t="shared" si="291"/>
        <v>10–19</v>
      </c>
      <c r="AB1888" t="str">
        <f t="shared" si="292"/>
        <v>16–19</v>
      </c>
      <c r="AC1888" t="str">
        <f t="shared" si="293"/>
        <v>Monday</v>
      </c>
      <c r="AD1888" t="str">
        <f t="shared" si="294"/>
        <v/>
      </c>
      <c r="AE1888" t="str">
        <f t="shared" si="295"/>
        <v/>
      </c>
      <c r="AF1888" t="str">
        <f t="shared" si="296"/>
        <v/>
      </c>
      <c r="AG1888" t="str">
        <f t="shared" si="297"/>
        <v>Friday</v>
      </c>
      <c r="AH1888" t="str">
        <f t="shared" si="298"/>
        <v/>
      </c>
      <c r="AI1888" t="str">
        <f t="shared" si="299"/>
        <v>Sunday</v>
      </c>
      <c r="AJ1888" t="str">
        <f>LEFT(Table1[[#This Row],[membership_type]],2)&amp;TEXT(Table1[[#This Row],[age]],"00")&amp;"-"&amp;TEXT(ROW(),"000")</f>
        <v>St17-1888</v>
      </c>
      <c r="AK1888" t="str">
        <f>LEFT(Table1[[#This Row],[membership_type]],1)&amp;TEXT(MATCH(Table1[[#This Row],[membership_type]],Table1[membership_type],0),"00")</f>
        <v>S02</v>
      </c>
      <c r="AL1888" t="str">
        <f>LEFT(Table1[[#This Row],[discount_type]],1)&amp;TEXT(ROUND(Table1[[#This Row],[discount_rate]]*100,0),"00")</f>
        <v>N00</v>
      </c>
      <c r="AM1888" t="str" cm="1">
        <f t="array" ref="AM1888">TEXT(SUMPRODUCT(CODE(MID(Table1[[#This Row],[home_gym_location]],_xlfn.SEQUENCE(LEN(Table1[[#This Row],[home_gym_location]])),1))),"00000")</f>
        <v>01107</v>
      </c>
      <c r="AN188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88" t="str">
        <f>LEFT(_xlfn.TEXTBEFORE(Table1[[#This Row],[Location Identifier]],"-"),3) &amp; "-" &amp; _xlfn.TEXTAFTER(Table1[[#This Row],[Location Identifier]],"-")</f>
        <v>LON-004</v>
      </c>
      <c r="AP1888" s="9">
        <f t="shared" ca="1" si="290"/>
        <v>45869</v>
      </c>
    </row>
    <row r="1889" spans="1:42" x14ac:dyDescent="0.25">
      <c r="A1889">
        <v>29</v>
      </c>
      <c r="B1889" t="s">
        <v>51</v>
      </c>
      <c r="C1889">
        <v>2</v>
      </c>
      <c r="D1889" t="s">
        <v>46</v>
      </c>
      <c r="E1889" t="b">
        <v>0</v>
      </c>
      <c r="F1889" s="1">
        <v>0.71458333333333335</v>
      </c>
      <c r="G1889" s="1">
        <v>0.75416666666666665</v>
      </c>
      <c r="H1889">
        <v>57</v>
      </c>
      <c r="I1889" t="b">
        <v>0</v>
      </c>
      <c r="J1889" t="b">
        <v>1</v>
      </c>
      <c r="K1889" t="b">
        <v>1</v>
      </c>
      <c r="L1889" t="s">
        <v>28</v>
      </c>
      <c r="M1889">
        <v>70</v>
      </c>
      <c r="N1889" t="s">
        <v>29</v>
      </c>
      <c r="O1889">
        <v>70</v>
      </c>
      <c r="P1889" t="s">
        <v>36</v>
      </c>
      <c r="Q1889">
        <v>0</v>
      </c>
      <c r="R1889">
        <v>70</v>
      </c>
      <c r="S1889" t="s">
        <v>53</v>
      </c>
      <c r="T1889" t="s">
        <v>50</v>
      </c>
      <c r="U1889">
        <v>34.052199999999999</v>
      </c>
      <c r="V1889">
        <v>-118.2437</v>
      </c>
      <c r="W1889" s="2">
        <v>45057</v>
      </c>
      <c r="X1889">
        <v>8</v>
      </c>
      <c r="Y1889" t="b">
        <v>1</v>
      </c>
      <c r="Z1889" s="2">
        <v>45817</v>
      </c>
      <c r="AA1889" t="str">
        <f t="shared" si="291"/>
        <v>20–29</v>
      </c>
      <c r="AB1889" t="str">
        <f t="shared" si="292"/>
        <v>20–29</v>
      </c>
      <c r="AC1889" t="str">
        <f t="shared" si="293"/>
        <v/>
      </c>
      <c r="AD1889" t="str">
        <f t="shared" si="294"/>
        <v/>
      </c>
      <c r="AE1889" t="str">
        <f t="shared" si="295"/>
        <v>Wednesday</v>
      </c>
      <c r="AF1889" t="str">
        <f t="shared" si="296"/>
        <v/>
      </c>
      <c r="AG1889" t="str">
        <f t="shared" si="297"/>
        <v/>
      </c>
      <c r="AH1889" t="str">
        <f t="shared" si="298"/>
        <v/>
      </c>
      <c r="AI1889" t="str">
        <f t="shared" si="299"/>
        <v>Sunday</v>
      </c>
      <c r="AJ1889" t="str">
        <f>LEFT(Table1[[#This Row],[membership_type]],2)&amp;TEXT(Table1[[#This Row],[age]],"00")&amp;"-"&amp;TEXT(ROW(),"000")</f>
        <v>El29-1889</v>
      </c>
      <c r="AK1889" t="str">
        <f>LEFT(Table1[[#This Row],[membership_type]],1)&amp;TEXT(MATCH(Table1[[#This Row],[membership_type]],Table1[membership_type],0),"00")</f>
        <v>E07</v>
      </c>
      <c r="AL1889" t="str">
        <f>LEFT(Table1[[#This Row],[discount_type]],1)&amp;TEXT(ROUND(Table1[[#This Row],[discount_rate]]*100,0),"00")</f>
        <v>N00</v>
      </c>
      <c r="AM1889" t="str" cm="1">
        <f t="array" ref="AM1889">TEXT(SUMPRODUCT(CODE(MID(Table1[[#This Row],[home_gym_location]],_xlfn.SEQUENCE(LEN(Table1[[#This Row],[home_gym_location]])),1))),"00000")</f>
        <v>01245</v>
      </c>
      <c r="AN1889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889" t="str">
        <f>LEFT(_xlfn.TEXTBEFORE(Table1[[#This Row],[Location Identifier]],"-"),3) &amp; "-" &amp; _xlfn.TEXTAFTER(Table1[[#This Row],[Location Identifier]],"-")</f>
        <v>LOS-005</v>
      </c>
      <c r="AP1889" s="9">
        <f t="shared" ca="1" si="290"/>
        <v>45869</v>
      </c>
    </row>
    <row r="1890" spans="1:42" x14ac:dyDescent="0.25">
      <c r="A1890">
        <v>35</v>
      </c>
      <c r="B1890" t="s">
        <v>42</v>
      </c>
      <c r="C1890">
        <v>5</v>
      </c>
      <c r="D1890" t="s">
        <v>104</v>
      </c>
      <c r="E1890" t="b">
        <v>0</v>
      </c>
      <c r="F1890" s="1">
        <v>0.44513888888888886</v>
      </c>
      <c r="G1890" s="1">
        <v>0.57013888888888886</v>
      </c>
      <c r="H1890">
        <v>180</v>
      </c>
      <c r="I1890" t="b">
        <v>0</v>
      </c>
      <c r="J1890" t="b">
        <v>0</v>
      </c>
      <c r="K1890" t="b">
        <v>1</v>
      </c>
      <c r="L1890" t="s">
        <v>62</v>
      </c>
      <c r="M1890">
        <v>20</v>
      </c>
      <c r="N1890" t="s">
        <v>29</v>
      </c>
      <c r="O1890">
        <v>20</v>
      </c>
      <c r="P1890" t="s">
        <v>74</v>
      </c>
      <c r="Q1890">
        <v>0.15</v>
      </c>
      <c r="R1890">
        <v>17</v>
      </c>
      <c r="S1890" t="s">
        <v>44</v>
      </c>
      <c r="T1890" t="s">
        <v>45</v>
      </c>
      <c r="U1890">
        <v>33.836599999999997</v>
      </c>
      <c r="V1890">
        <v>-117.9143</v>
      </c>
      <c r="W1890" s="2">
        <v>44774</v>
      </c>
      <c r="X1890">
        <v>0</v>
      </c>
      <c r="Y1890" t="b">
        <v>0</v>
      </c>
      <c r="Z1890" s="2">
        <v>45801</v>
      </c>
      <c r="AA1890" t="str">
        <f t="shared" si="291"/>
        <v>30–39</v>
      </c>
      <c r="AB1890" t="str">
        <f t="shared" si="292"/>
        <v>30–39</v>
      </c>
      <c r="AC1890" t="str">
        <f t="shared" si="293"/>
        <v/>
      </c>
      <c r="AD1890" t="str">
        <f t="shared" si="294"/>
        <v>Tuesday</v>
      </c>
      <c r="AE1890" t="str">
        <f t="shared" si="295"/>
        <v>Wednesday</v>
      </c>
      <c r="AF1890" t="str">
        <f t="shared" si="296"/>
        <v>Thursday</v>
      </c>
      <c r="AG1890" t="str">
        <f t="shared" si="297"/>
        <v/>
      </c>
      <c r="AH1890" t="str">
        <f t="shared" si="298"/>
        <v>Saturday</v>
      </c>
      <c r="AI1890" t="str">
        <f t="shared" si="299"/>
        <v>Sunday</v>
      </c>
      <c r="AJ1890" t="str">
        <f>LEFT(Table1[[#This Row],[membership_type]],2)&amp;TEXT(Table1[[#This Row],[age]],"00")&amp;"-"&amp;TEXT(ROW(),"000")</f>
        <v>Ba35-1890</v>
      </c>
      <c r="AK1890" t="str">
        <f>LEFT(Table1[[#This Row],[membership_type]],1)&amp;TEXT(MATCH(Table1[[#This Row],[membership_type]],Table1[membership_type],0),"00")</f>
        <v>B04</v>
      </c>
      <c r="AL1890" t="str">
        <f>LEFT(Table1[[#This Row],[discount_type]],1)&amp;TEXT(ROUND(Table1[[#This Row],[discount_rate]]*100,0),"00")</f>
        <v>S15</v>
      </c>
      <c r="AM1890" t="str" cm="1">
        <f t="array" ref="AM1890">TEXT(SUMPRODUCT(CODE(MID(Table1[[#This Row],[home_gym_location]],_xlfn.SEQUENCE(LEN(Table1[[#This Row],[home_gym_location]])),1))),"00000")</f>
        <v>00899</v>
      </c>
      <c r="AN189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890" t="str">
        <f>LEFT(_xlfn.TEXTBEFORE(Table1[[#This Row],[Location Identifier]],"-"),3) &amp; "-" &amp; _xlfn.TEXTAFTER(Table1[[#This Row],[Location Identifier]],"-")</f>
        <v>ANA-001</v>
      </c>
      <c r="AP1890" s="9">
        <f t="shared" ca="1" si="290"/>
        <v>45869</v>
      </c>
    </row>
    <row r="1891" spans="1:42" x14ac:dyDescent="0.25">
      <c r="A1891">
        <v>43</v>
      </c>
      <c r="B1891" t="s">
        <v>33</v>
      </c>
      <c r="C1891">
        <v>4</v>
      </c>
      <c r="D1891" t="s">
        <v>98</v>
      </c>
      <c r="E1891" t="b">
        <v>1</v>
      </c>
      <c r="F1891" s="1">
        <v>0.44305555555555554</v>
      </c>
      <c r="G1891" s="1">
        <v>0.48680555555555555</v>
      </c>
      <c r="H1891">
        <v>63</v>
      </c>
      <c r="I1891" t="b">
        <v>1</v>
      </c>
      <c r="J1891" t="b">
        <v>1</v>
      </c>
      <c r="K1891" t="b">
        <v>1</v>
      </c>
      <c r="L1891" t="s">
        <v>28</v>
      </c>
      <c r="M1891">
        <v>30</v>
      </c>
      <c r="N1891" t="s">
        <v>64</v>
      </c>
      <c r="O1891">
        <v>22.5</v>
      </c>
      <c r="P1891" t="s">
        <v>30</v>
      </c>
      <c r="Q1891">
        <v>0.05</v>
      </c>
      <c r="R1891">
        <v>21.375</v>
      </c>
      <c r="S1891" t="s">
        <v>37</v>
      </c>
      <c r="T1891" t="s">
        <v>56</v>
      </c>
      <c r="U1891">
        <v>35.3733</v>
      </c>
      <c r="V1891">
        <v>-119.0187</v>
      </c>
      <c r="W1891" s="2">
        <v>45725</v>
      </c>
      <c r="X1891">
        <v>7</v>
      </c>
      <c r="Y1891" t="b">
        <v>1</v>
      </c>
      <c r="Z1891" s="2">
        <v>45855</v>
      </c>
      <c r="AA1891" t="str">
        <f t="shared" si="291"/>
        <v>40–49</v>
      </c>
      <c r="AB1891" t="str">
        <f t="shared" si="292"/>
        <v>40–49</v>
      </c>
      <c r="AC1891" t="str">
        <f t="shared" si="293"/>
        <v>Monday</v>
      </c>
      <c r="AD1891" t="str">
        <f t="shared" si="294"/>
        <v>Tuesday</v>
      </c>
      <c r="AE1891" t="str">
        <f t="shared" si="295"/>
        <v>Wednesday</v>
      </c>
      <c r="AF1891" t="str">
        <f t="shared" si="296"/>
        <v/>
      </c>
      <c r="AG1891" t="str">
        <f t="shared" si="297"/>
        <v/>
      </c>
      <c r="AH1891" t="str">
        <f t="shared" si="298"/>
        <v>Saturday</v>
      </c>
      <c r="AI1891" t="str">
        <f t="shared" si="299"/>
        <v/>
      </c>
      <c r="AJ1891" t="str">
        <f>LEFT(Table1[[#This Row],[membership_type]],2)&amp;TEXT(Table1[[#This Row],[age]],"00")&amp;"-"&amp;TEXT(ROW(),"000")</f>
        <v>St43-1891</v>
      </c>
      <c r="AK1891" t="str">
        <f>LEFT(Table1[[#This Row],[membership_type]],1)&amp;TEXT(MATCH(Table1[[#This Row],[membership_type]],Table1[membership_type],0),"00")</f>
        <v>S02</v>
      </c>
      <c r="AL1891" t="str">
        <f>LEFT(Table1[[#This Row],[discount_type]],1)&amp;TEXT(ROUND(Table1[[#This Row],[discount_rate]]*100,0),"00")</f>
        <v>P05</v>
      </c>
      <c r="AM1891" t="str" cm="1">
        <f t="array" ref="AM1891">TEXT(SUMPRODUCT(CODE(MID(Table1[[#This Row],[home_gym_location]],_xlfn.SEQUENCE(LEN(Table1[[#This Row],[home_gym_location]])),1))),"00000")</f>
        <v>01324</v>
      </c>
      <c r="AN189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891" t="str">
        <f>LEFT(_xlfn.TEXTBEFORE(Table1[[#This Row],[Location Identifier]],"-"),3) &amp; "-" &amp; _xlfn.TEXTAFTER(Table1[[#This Row],[Location Identifier]],"-")</f>
        <v>BAK-002</v>
      </c>
      <c r="AP1891" s="9">
        <f t="shared" ca="1" si="290"/>
        <v>45869</v>
      </c>
    </row>
    <row r="1892" spans="1:42" x14ac:dyDescent="0.25">
      <c r="A1892">
        <v>43</v>
      </c>
      <c r="B1892" t="s">
        <v>26</v>
      </c>
      <c r="C1892">
        <v>5</v>
      </c>
      <c r="D1892" t="s">
        <v>87</v>
      </c>
      <c r="E1892" t="b">
        <v>0</v>
      </c>
      <c r="F1892" s="1">
        <v>0.52152777777777781</v>
      </c>
      <c r="G1892" s="1">
        <v>0.59097222222222223</v>
      </c>
      <c r="H1892">
        <v>100</v>
      </c>
      <c r="I1892" t="b">
        <v>1</v>
      </c>
      <c r="J1892" t="b">
        <v>1</v>
      </c>
      <c r="K1892" t="b">
        <v>0</v>
      </c>
      <c r="L1892" t="s">
        <v>62</v>
      </c>
      <c r="M1892">
        <v>50</v>
      </c>
      <c r="N1892" t="s">
        <v>29</v>
      </c>
      <c r="O1892">
        <v>50</v>
      </c>
      <c r="P1892" t="s">
        <v>36</v>
      </c>
      <c r="Q1892">
        <v>0</v>
      </c>
      <c r="R1892">
        <v>50</v>
      </c>
      <c r="S1892" t="s">
        <v>31</v>
      </c>
      <c r="T1892" t="s">
        <v>65</v>
      </c>
      <c r="U1892">
        <v>33.770099999999999</v>
      </c>
      <c r="V1892">
        <v>-118.19370000000001</v>
      </c>
      <c r="W1892" s="2">
        <v>45403</v>
      </c>
      <c r="X1892">
        <v>7</v>
      </c>
      <c r="Y1892" t="b">
        <v>1</v>
      </c>
      <c r="Z1892" s="2">
        <v>45836</v>
      </c>
      <c r="AA1892" t="str">
        <f t="shared" si="291"/>
        <v>40–49</v>
      </c>
      <c r="AB1892" t="str">
        <f t="shared" si="292"/>
        <v>40–49</v>
      </c>
      <c r="AC1892" t="str">
        <f t="shared" si="293"/>
        <v/>
      </c>
      <c r="AD1892" t="str">
        <f t="shared" si="294"/>
        <v>Tuesday</v>
      </c>
      <c r="AE1892" t="str">
        <f t="shared" si="295"/>
        <v>Wednesday</v>
      </c>
      <c r="AF1892" t="str">
        <f t="shared" si="296"/>
        <v/>
      </c>
      <c r="AG1892" t="str">
        <f t="shared" si="297"/>
        <v>Friday</v>
      </c>
      <c r="AH1892" t="str">
        <f t="shared" si="298"/>
        <v>Saturday</v>
      </c>
      <c r="AI1892" t="str">
        <f t="shared" si="299"/>
        <v>Sunday</v>
      </c>
      <c r="AJ1892" t="str">
        <f>LEFT(Table1[[#This Row],[membership_type]],2)&amp;TEXT(Table1[[#This Row],[age]],"00")&amp;"-"&amp;TEXT(ROW(),"000")</f>
        <v>Pr43-1892</v>
      </c>
      <c r="AK1892" t="str">
        <f>LEFT(Table1[[#This Row],[membership_type]],1)&amp;TEXT(MATCH(Table1[[#This Row],[membership_type]],Table1[membership_type],0),"00")</f>
        <v>P01</v>
      </c>
      <c r="AL1892" t="str">
        <f>LEFT(Table1[[#This Row],[discount_type]],1)&amp;TEXT(ROUND(Table1[[#This Row],[discount_rate]]*100,0),"00")</f>
        <v>N00</v>
      </c>
      <c r="AM1892" t="str" cm="1">
        <f t="array" ref="AM1892">TEXT(SUMPRODUCT(CODE(MID(Table1[[#This Row],[home_gym_location]],_xlfn.SEQUENCE(LEN(Table1[[#This Row],[home_gym_location]])),1))),"00000")</f>
        <v>01107</v>
      </c>
      <c r="AN1892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92" t="str">
        <f>LEFT(_xlfn.TEXTBEFORE(Table1[[#This Row],[Location Identifier]],"-"),3) &amp; "-" &amp; _xlfn.TEXTAFTER(Table1[[#This Row],[Location Identifier]],"-")</f>
        <v>LON-004</v>
      </c>
      <c r="AP1892" s="9">
        <f t="shared" ca="1" si="290"/>
        <v>45869</v>
      </c>
    </row>
    <row r="1893" spans="1:42" x14ac:dyDescent="0.25">
      <c r="A1893">
        <v>25</v>
      </c>
      <c r="B1893" t="s">
        <v>33</v>
      </c>
      <c r="C1893">
        <v>2</v>
      </c>
      <c r="D1893" t="s">
        <v>70</v>
      </c>
      <c r="E1893" t="b">
        <v>0</v>
      </c>
      <c r="F1893" s="1">
        <v>0.44305555555555554</v>
      </c>
      <c r="G1893" s="1">
        <v>0.52222222222222225</v>
      </c>
      <c r="H1893">
        <v>114</v>
      </c>
      <c r="I1893" t="b">
        <v>1</v>
      </c>
      <c r="J1893" t="b">
        <v>1</v>
      </c>
      <c r="K1893" t="b">
        <v>0</v>
      </c>
      <c r="L1893" t="s">
        <v>35</v>
      </c>
      <c r="M1893">
        <v>30</v>
      </c>
      <c r="N1893" t="s">
        <v>64</v>
      </c>
      <c r="O1893">
        <v>22.5</v>
      </c>
      <c r="P1893" t="s">
        <v>30</v>
      </c>
      <c r="Q1893">
        <v>0.05</v>
      </c>
      <c r="R1893">
        <v>21.375</v>
      </c>
      <c r="S1893" t="s">
        <v>37</v>
      </c>
      <c r="T1893" t="s">
        <v>48</v>
      </c>
      <c r="U1893">
        <v>38.581600000000002</v>
      </c>
      <c r="V1893">
        <v>-121.4944</v>
      </c>
      <c r="W1893" s="2">
        <v>44978</v>
      </c>
      <c r="X1893">
        <v>3</v>
      </c>
      <c r="Y1893" t="b">
        <v>0</v>
      </c>
      <c r="Z1893" s="2">
        <v>45812</v>
      </c>
      <c r="AA1893" t="str">
        <f t="shared" si="291"/>
        <v>20–29</v>
      </c>
      <c r="AB1893" t="str">
        <f t="shared" si="292"/>
        <v>20–29</v>
      </c>
      <c r="AC1893" t="str">
        <f t="shared" si="293"/>
        <v/>
      </c>
      <c r="AD1893" t="str">
        <f t="shared" si="294"/>
        <v/>
      </c>
      <c r="AE1893" t="str">
        <f t="shared" si="295"/>
        <v>Wednesday</v>
      </c>
      <c r="AF1893" t="str">
        <f t="shared" si="296"/>
        <v>Thursday</v>
      </c>
      <c r="AG1893" t="str">
        <f t="shared" si="297"/>
        <v/>
      </c>
      <c r="AH1893" t="str">
        <f t="shared" si="298"/>
        <v/>
      </c>
      <c r="AI1893" t="str">
        <f t="shared" si="299"/>
        <v/>
      </c>
      <c r="AJ1893" t="str">
        <f>LEFT(Table1[[#This Row],[membership_type]],2)&amp;TEXT(Table1[[#This Row],[age]],"00")&amp;"-"&amp;TEXT(ROW(),"000")</f>
        <v>St25-1893</v>
      </c>
      <c r="AK1893" t="str">
        <f>LEFT(Table1[[#This Row],[membership_type]],1)&amp;TEXT(MATCH(Table1[[#This Row],[membership_type]],Table1[membership_type],0),"00")</f>
        <v>S02</v>
      </c>
      <c r="AL1893" t="str">
        <f>LEFT(Table1[[#This Row],[discount_type]],1)&amp;TEXT(ROUND(Table1[[#This Row],[discount_rate]]*100,0),"00")</f>
        <v>P05</v>
      </c>
      <c r="AM1893" t="str" cm="1">
        <f t="array" ref="AM1893">TEXT(SUMPRODUCT(CODE(MID(Table1[[#This Row],[home_gym_location]],_xlfn.SEQUENCE(LEN(Table1[[#This Row],[home_gym_location]])),1))),"00000")</f>
        <v>01245</v>
      </c>
      <c r="AN189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93" t="str">
        <f>LEFT(_xlfn.TEXTBEFORE(Table1[[#This Row],[Location Identifier]],"-"),3) &amp; "-" &amp; _xlfn.TEXTAFTER(Table1[[#This Row],[Location Identifier]],"-")</f>
        <v>SAC-007</v>
      </c>
      <c r="AP1893" s="9">
        <f t="shared" ca="1" si="290"/>
        <v>45869</v>
      </c>
    </row>
    <row r="1894" spans="1:42" x14ac:dyDescent="0.25">
      <c r="A1894">
        <v>33</v>
      </c>
      <c r="B1894" t="s">
        <v>26</v>
      </c>
      <c r="C1894">
        <v>3</v>
      </c>
      <c r="D1894" t="s">
        <v>81</v>
      </c>
      <c r="E1894" t="b">
        <v>1</v>
      </c>
      <c r="F1894" s="1">
        <v>0.5493055555555556</v>
      </c>
      <c r="G1894" s="1">
        <v>0.66388888888888886</v>
      </c>
      <c r="H1894">
        <v>165</v>
      </c>
      <c r="I1894" t="b">
        <v>1</v>
      </c>
      <c r="J1894" t="b">
        <v>0</v>
      </c>
      <c r="K1894" t="b">
        <v>0</v>
      </c>
      <c r="L1894" t="s">
        <v>28</v>
      </c>
      <c r="M1894">
        <v>50</v>
      </c>
      <c r="N1894" t="s">
        <v>29</v>
      </c>
      <c r="O1894">
        <v>50</v>
      </c>
      <c r="P1894" t="s">
        <v>30</v>
      </c>
      <c r="Q1894">
        <v>0.05</v>
      </c>
      <c r="R1894">
        <v>47.5</v>
      </c>
      <c r="S1894" t="s">
        <v>31</v>
      </c>
      <c r="T1894" t="s">
        <v>48</v>
      </c>
      <c r="U1894">
        <v>38.581600000000002</v>
      </c>
      <c r="V1894">
        <v>-121.4944</v>
      </c>
      <c r="W1894" s="2">
        <v>45613</v>
      </c>
      <c r="X1894">
        <v>0</v>
      </c>
      <c r="Y1894" t="b">
        <v>1</v>
      </c>
      <c r="Z1894" s="2">
        <v>45848</v>
      </c>
      <c r="AA1894" t="str">
        <f t="shared" si="291"/>
        <v>30–39</v>
      </c>
      <c r="AB1894" t="str">
        <f t="shared" si="292"/>
        <v>30–39</v>
      </c>
      <c r="AC1894" t="str">
        <f t="shared" si="293"/>
        <v>Monday</v>
      </c>
      <c r="AD1894" t="str">
        <f t="shared" si="294"/>
        <v/>
      </c>
      <c r="AE1894" t="str">
        <f t="shared" si="295"/>
        <v>Wednesday</v>
      </c>
      <c r="AF1894" t="str">
        <f t="shared" si="296"/>
        <v/>
      </c>
      <c r="AG1894" t="str">
        <f t="shared" si="297"/>
        <v>Friday</v>
      </c>
      <c r="AH1894" t="str">
        <f t="shared" si="298"/>
        <v/>
      </c>
      <c r="AI1894" t="str">
        <f t="shared" si="299"/>
        <v/>
      </c>
      <c r="AJ1894" t="str">
        <f>LEFT(Table1[[#This Row],[membership_type]],2)&amp;TEXT(Table1[[#This Row],[age]],"00")&amp;"-"&amp;TEXT(ROW(),"000")</f>
        <v>Pr33-1894</v>
      </c>
      <c r="AK1894" t="str">
        <f>LEFT(Table1[[#This Row],[membership_type]],1)&amp;TEXT(MATCH(Table1[[#This Row],[membership_type]],Table1[membership_type],0),"00")</f>
        <v>P01</v>
      </c>
      <c r="AL1894" t="str">
        <f>LEFT(Table1[[#This Row],[discount_type]],1)&amp;TEXT(ROUND(Table1[[#This Row],[discount_rate]]*100,0),"00")</f>
        <v>P05</v>
      </c>
      <c r="AM1894" t="str" cm="1">
        <f t="array" ref="AM1894">TEXT(SUMPRODUCT(CODE(MID(Table1[[#This Row],[home_gym_location]],_xlfn.SEQUENCE(LEN(Table1[[#This Row],[home_gym_location]])),1))),"00000")</f>
        <v>01245</v>
      </c>
      <c r="AN189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94" t="str">
        <f>LEFT(_xlfn.TEXTBEFORE(Table1[[#This Row],[Location Identifier]],"-"),3) &amp; "-" &amp; _xlfn.TEXTAFTER(Table1[[#This Row],[Location Identifier]],"-")</f>
        <v>SAC-007</v>
      </c>
      <c r="AP1894" s="9">
        <f t="shared" ca="1" si="290"/>
        <v>45869</v>
      </c>
    </row>
    <row r="1895" spans="1:42" x14ac:dyDescent="0.25">
      <c r="A1895">
        <v>39</v>
      </c>
      <c r="B1895" t="s">
        <v>51</v>
      </c>
      <c r="C1895">
        <v>4</v>
      </c>
      <c r="D1895" t="s">
        <v>157</v>
      </c>
      <c r="E1895" t="b">
        <v>1</v>
      </c>
      <c r="F1895" s="1">
        <v>0.44027777777777777</v>
      </c>
      <c r="G1895" s="1">
        <v>0.47708333333333336</v>
      </c>
      <c r="H1895">
        <v>53</v>
      </c>
      <c r="I1895" t="b">
        <v>0</v>
      </c>
      <c r="J1895" t="b">
        <v>0</v>
      </c>
      <c r="K1895" t="b">
        <v>1</v>
      </c>
      <c r="L1895" t="s">
        <v>47</v>
      </c>
      <c r="M1895">
        <v>70</v>
      </c>
      <c r="N1895" t="s">
        <v>64</v>
      </c>
      <c r="O1895">
        <v>52.5</v>
      </c>
      <c r="P1895" t="s">
        <v>40</v>
      </c>
      <c r="Q1895">
        <v>0.1</v>
      </c>
      <c r="R1895">
        <v>47.25</v>
      </c>
      <c r="S1895" t="s">
        <v>53</v>
      </c>
      <c r="T1895" t="s">
        <v>54</v>
      </c>
      <c r="U1895">
        <v>32.715699999999998</v>
      </c>
      <c r="V1895">
        <v>-117.1611</v>
      </c>
      <c r="W1895" s="2">
        <v>45239</v>
      </c>
      <c r="X1895">
        <v>0</v>
      </c>
      <c r="Y1895" t="b">
        <v>1</v>
      </c>
      <c r="Z1895" s="2">
        <v>45827</v>
      </c>
      <c r="AA1895" t="str">
        <f t="shared" si="291"/>
        <v>30–39</v>
      </c>
      <c r="AB1895" t="str">
        <f t="shared" si="292"/>
        <v>30–39</v>
      </c>
      <c r="AC1895" t="str">
        <f t="shared" si="293"/>
        <v>Monday</v>
      </c>
      <c r="AD1895" t="str">
        <f t="shared" si="294"/>
        <v/>
      </c>
      <c r="AE1895" t="str">
        <f t="shared" si="295"/>
        <v>Wednesday</v>
      </c>
      <c r="AF1895" t="str">
        <f t="shared" si="296"/>
        <v/>
      </c>
      <c r="AG1895" t="str">
        <f t="shared" si="297"/>
        <v>Friday</v>
      </c>
      <c r="AH1895" t="str">
        <f t="shared" si="298"/>
        <v>Saturday</v>
      </c>
      <c r="AI1895" t="str">
        <f t="shared" si="299"/>
        <v/>
      </c>
      <c r="AJ1895" t="str">
        <f>LEFT(Table1[[#This Row],[membership_type]],2)&amp;TEXT(Table1[[#This Row],[age]],"00")&amp;"-"&amp;TEXT(ROW(),"000")</f>
        <v>El39-1895</v>
      </c>
      <c r="AK1895" t="str">
        <f>LEFT(Table1[[#This Row],[membership_type]],1)&amp;TEXT(MATCH(Table1[[#This Row],[membership_type]],Table1[membership_type],0),"00")</f>
        <v>E07</v>
      </c>
      <c r="AL1895" t="str">
        <f>LEFT(Table1[[#This Row],[discount_type]],1)&amp;TEXT(ROUND(Table1[[#This Row],[discount_rate]]*100,0),"00")</f>
        <v>L10</v>
      </c>
      <c r="AM1895" t="str" cm="1">
        <f t="array" ref="AM1895">TEXT(SUMPRODUCT(CODE(MID(Table1[[#This Row],[home_gym_location]],_xlfn.SEQUENCE(LEN(Table1[[#This Row],[home_gym_location]])),1))),"00000")</f>
        <v>01018</v>
      </c>
      <c r="AN189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895" t="str">
        <f>LEFT(_xlfn.TEXTBEFORE(Table1[[#This Row],[Location Identifier]],"-"),3) &amp; "-" &amp; _xlfn.TEXTAFTER(Table1[[#This Row],[Location Identifier]],"-")</f>
        <v>SAN-008</v>
      </c>
      <c r="AP1895" s="9">
        <f t="shared" ca="1" si="290"/>
        <v>45869</v>
      </c>
    </row>
    <row r="1896" spans="1:42" x14ac:dyDescent="0.25">
      <c r="A1896">
        <v>14</v>
      </c>
      <c r="B1896" t="s">
        <v>26</v>
      </c>
      <c r="C1896">
        <v>1</v>
      </c>
      <c r="D1896" t="s">
        <v>97</v>
      </c>
      <c r="E1896" t="b">
        <v>1</v>
      </c>
      <c r="F1896" s="1">
        <v>0.49722222222222223</v>
      </c>
      <c r="G1896" s="1">
        <v>0.56736111111111109</v>
      </c>
      <c r="H1896">
        <v>101</v>
      </c>
      <c r="I1896" t="b">
        <v>0</v>
      </c>
      <c r="J1896" t="b">
        <v>0</v>
      </c>
      <c r="K1896" t="b">
        <v>0</v>
      </c>
      <c r="L1896" t="s">
        <v>28</v>
      </c>
      <c r="M1896">
        <v>50</v>
      </c>
      <c r="N1896" t="s">
        <v>64</v>
      </c>
      <c r="O1896">
        <v>37.5</v>
      </c>
      <c r="P1896" t="s">
        <v>36</v>
      </c>
      <c r="Q1896">
        <v>0</v>
      </c>
      <c r="R1896">
        <v>37.5</v>
      </c>
      <c r="S1896" t="s">
        <v>31</v>
      </c>
      <c r="T1896" t="s">
        <v>48</v>
      </c>
      <c r="U1896">
        <v>38.581600000000002</v>
      </c>
      <c r="V1896">
        <v>-121.4944</v>
      </c>
      <c r="W1896" s="2">
        <v>45050</v>
      </c>
      <c r="X1896">
        <v>0</v>
      </c>
      <c r="Y1896" t="b">
        <v>1</v>
      </c>
      <c r="Z1896" s="2">
        <v>45817</v>
      </c>
      <c r="AA1896" t="str">
        <f t="shared" si="291"/>
        <v>10–19</v>
      </c>
      <c r="AB1896" t="str">
        <f t="shared" si="292"/>
        <v>Under 16</v>
      </c>
      <c r="AC1896" t="str">
        <f t="shared" si="293"/>
        <v>Monday</v>
      </c>
      <c r="AD1896" t="str">
        <f t="shared" si="294"/>
        <v/>
      </c>
      <c r="AE1896" t="str">
        <f t="shared" si="295"/>
        <v/>
      </c>
      <c r="AF1896" t="str">
        <f t="shared" si="296"/>
        <v/>
      </c>
      <c r="AG1896" t="str">
        <f t="shared" si="297"/>
        <v/>
      </c>
      <c r="AH1896" t="str">
        <f t="shared" si="298"/>
        <v/>
      </c>
      <c r="AI1896" t="str">
        <f t="shared" si="299"/>
        <v/>
      </c>
      <c r="AJ1896" t="str">
        <f>LEFT(Table1[[#This Row],[membership_type]],2)&amp;TEXT(Table1[[#This Row],[age]],"00")&amp;"-"&amp;TEXT(ROW(),"000")</f>
        <v>Pr14-1896</v>
      </c>
      <c r="AK1896" t="str">
        <f>LEFT(Table1[[#This Row],[membership_type]],1)&amp;TEXT(MATCH(Table1[[#This Row],[membership_type]],Table1[membership_type],0),"00")</f>
        <v>P01</v>
      </c>
      <c r="AL1896" t="str">
        <f>LEFT(Table1[[#This Row],[discount_type]],1)&amp;TEXT(ROUND(Table1[[#This Row],[discount_rate]]*100,0),"00")</f>
        <v>N00</v>
      </c>
      <c r="AM1896" t="str" cm="1">
        <f t="array" ref="AM1896">TEXT(SUMPRODUCT(CODE(MID(Table1[[#This Row],[home_gym_location]],_xlfn.SEQUENCE(LEN(Table1[[#This Row],[home_gym_location]])),1))),"00000")</f>
        <v>01245</v>
      </c>
      <c r="AN1896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896" t="str">
        <f>LEFT(_xlfn.TEXTBEFORE(Table1[[#This Row],[Location Identifier]],"-"),3) &amp; "-" &amp; _xlfn.TEXTAFTER(Table1[[#This Row],[Location Identifier]],"-")</f>
        <v>SAC-007</v>
      </c>
      <c r="AP1896" s="9">
        <f t="shared" ca="1" si="290"/>
        <v>45869</v>
      </c>
    </row>
    <row r="1897" spans="1:42" x14ac:dyDescent="0.25">
      <c r="A1897">
        <v>13</v>
      </c>
      <c r="B1897" t="s">
        <v>33</v>
      </c>
      <c r="C1897">
        <v>2</v>
      </c>
      <c r="D1897" t="s">
        <v>73</v>
      </c>
      <c r="E1897" t="b">
        <v>0</v>
      </c>
      <c r="F1897" s="1">
        <v>0.40138888888888891</v>
      </c>
      <c r="G1897" s="1">
        <v>0.42430555555555555</v>
      </c>
      <c r="H1897">
        <v>33</v>
      </c>
      <c r="I1897" t="b">
        <v>0</v>
      </c>
      <c r="J1897" t="b">
        <v>0</v>
      </c>
      <c r="K1897" t="b">
        <v>1</v>
      </c>
      <c r="L1897" t="s">
        <v>62</v>
      </c>
      <c r="M1897">
        <v>30</v>
      </c>
      <c r="N1897" t="s">
        <v>78</v>
      </c>
      <c r="O1897">
        <v>27</v>
      </c>
      <c r="P1897" t="s">
        <v>30</v>
      </c>
      <c r="Q1897">
        <v>0.05</v>
      </c>
      <c r="R1897">
        <v>25.65</v>
      </c>
      <c r="S1897" t="s">
        <v>37</v>
      </c>
      <c r="T1897" t="s">
        <v>65</v>
      </c>
      <c r="U1897">
        <v>33.770099999999999</v>
      </c>
      <c r="V1897">
        <v>-118.19370000000001</v>
      </c>
      <c r="W1897" s="2">
        <v>45174</v>
      </c>
      <c r="X1897">
        <v>0</v>
      </c>
      <c r="Y1897" t="b">
        <v>0</v>
      </c>
      <c r="Z1897" s="2">
        <v>45824</v>
      </c>
      <c r="AA1897" t="str">
        <f t="shared" si="291"/>
        <v>10–19</v>
      </c>
      <c r="AB1897" t="str">
        <f t="shared" si="292"/>
        <v>Under 16</v>
      </c>
      <c r="AC1897" t="str">
        <f t="shared" si="293"/>
        <v/>
      </c>
      <c r="AD1897" t="str">
        <f t="shared" si="294"/>
        <v>Tuesday</v>
      </c>
      <c r="AE1897" t="str">
        <f t="shared" si="295"/>
        <v/>
      </c>
      <c r="AF1897" t="str">
        <f t="shared" si="296"/>
        <v/>
      </c>
      <c r="AG1897" t="str">
        <f t="shared" si="297"/>
        <v>Friday</v>
      </c>
      <c r="AH1897" t="str">
        <f t="shared" si="298"/>
        <v/>
      </c>
      <c r="AI1897" t="str">
        <f t="shared" si="299"/>
        <v/>
      </c>
      <c r="AJ1897" t="str">
        <f>LEFT(Table1[[#This Row],[membership_type]],2)&amp;TEXT(Table1[[#This Row],[age]],"00")&amp;"-"&amp;TEXT(ROW(),"000")</f>
        <v>St13-1897</v>
      </c>
      <c r="AK1897" t="str">
        <f>LEFT(Table1[[#This Row],[membership_type]],1)&amp;TEXT(MATCH(Table1[[#This Row],[membership_type]],Table1[membership_type],0),"00")</f>
        <v>S02</v>
      </c>
      <c r="AL1897" t="str">
        <f>LEFT(Table1[[#This Row],[discount_type]],1)&amp;TEXT(ROUND(Table1[[#This Row],[discount_rate]]*100,0),"00")</f>
        <v>P05</v>
      </c>
      <c r="AM1897" t="str" cm="1">
        <f t="array" ref="AM1897">TEXT(SUMPRODUCT(CODE(MID(Table1[[#This Row],[home_gym_location]],_xlfn.SEQUENCE(LEN(Table1[[#This Row],[home_gym_location]])),1))),"00000")</f>
        <v>01107</v>
      </c>
      <c r="AN189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97" t="str">
        <f>LEFT(_xlfn.TEXTBEFORE(Table1[[#This Row],[Location Identifier]],"-"),3) &amp; "-" &amp; _xlfn.TEXTAFTER(Table1[[#This Row],[Location Identifier]],"-")</f>
        <v>LON-004</v>
      </c>
      <c r="AP1897" s="9">
        <f t="shared" ca="1" si="290"/>
        <v>45869</v>
      </c>
    </row>
    <row r="1898" spans="1:42" x14ac:dyDescent="0.25">
      <c r="A1898">
        <v>40</v>
      </c>
      <c r="B1898" t="s">
        <v>26</v>
      </c>
      <c r="C1898">
        <v>4</v>
      </c>
      <c r="D1898" t="s">
        <v>165</v>
      </c>
      <c r="E1898" t="b">
        <v>1</v>
      </c>
      <c r="F1898" s="1">
        <v>0.41319444444444442</v>
      </c>
      <c r="G1898" s="1">
        <v>0.4465277777777778</v>
      </c>
      <c r="H1898">
        <v>48</v>
      </c>
      <c r="I1898" t="b">
        <v>0</v>
      </c>
      <c r="J1898" t="b">
        <v>0</v>
      </c>
      <c r="K1898" t="b">
        <v>1</v>
      </c>
      <c r="L1898" t="s">
        <v>35</v>
      </c>
      <c r="M1898">
        <v>50</v>
      </c>
      <c r="N1898" t="s">
        <v>29</v>
      </c>
      <c r="O1898">
        <v>50</v>
      </c>
      <c r="P1898" t="s">
        <v>36</v>
      </c>
      <c r="Q1898">
        <v>0</v>
      </c>
      <c r="R1898">
        <v>50</v>
      </c>
      <c r="S1898" t="s">
        <v>31</v>
      </c>
      <c r="T1898" t="s">
        <v>38</v>
      </c>
      <c r="U1898">
        <v>36.7378</v>
      </c>
      <c r="V1898">
        <v>-119.7871</v>
      </c>
      <c r="W1898" s="2">
        <v>45630</v>
      </c>
      <c r="X1898">
        <v>0</v>
      </c>
      <c r="Y1898" t="b">
        <v>1</v>
      </c>
      <c r="Z1898" s="2">
        <v>45849</v>
      </c>
      <c r="AA1898" t="str">
        <f t="shared" si="291"/>
        <v>40–49</v>
      </c>
      <c r="AB1898" t="str">
        <f t="shared" si="292"/>
        <v>40–49</v>
      </c>
      <c r="AC1898" t="str">
        <f t="shared" si="293"/>
        <v>Monday</v>
      </c>
      <c r="AD1898" t="str">
        <f t="shared" si="294"/>
        <v/>
      </c>
      <c r="AE1898" t="str">
        <f t="shared" si="295"/>
        <v>Wednesday</v>
      </c>
      <c r="AF1898" t="str">
        <f t="shared" si="296"/>
        <v/>
      </c>
      <c r="AG1898" t="str">
        <f t="shared" si="297"/>
        <v/>
      </c>
      <c r="AH1898" t="str">
        <f t="shared" si="298"/>
        <v>Saturday</v>
      </c>
      <c r="AI1898" t="str">
        <f t="shared" si="299"/>
        <v>Sunday</v>
      </c>
      <c r="AJ1898" t="str">
        <f>LEFT(Table1[[#This Row],[membership_type]],2)&amp;TEXT(Table1[[#This Row],[age]],"00")&amp;"-"&amp;TEXT(ROW(),"000")</f>
        <v>Pr40-1898</v>
      </c>
      <c r="AK1898" t="str">
        <f>LEFT(Table1[[#This Row],[membership_type]],1)&amp;TEXT(MATCH(Table1[[#This Row],[membership_type]],Table1[membership_type],0),"00")</f>
        <v>P01</v>
      </c>
      <c r="AL1898" t="str">
        <f>LEFT(Table1[[#This Row],[discount_type]],1)&amp;TEXT(ROUND(Table1[[#This Row],[discount_rate]]*100,0),"00")</f>
        <v>N00</v>
      </c>
      <c r="AM1898" t="str" cm="1">
        <f t="array" ref="AM1898">TEXT(SUMPRODUCT(CODE(MID(Table1[[#This Row],[home_gym_location]],_xlfn.SEQUENCE(LEN(Table1[[#This Row],[home_gym_location]])),1))),"00000")</f>
        <v>00829</v>
      </c>
      <c r="AN1898" t="str">
        <f>UPPER(_xlfn.TEXTBEFORE(Table1[[#This Row],[home_gym_location]],","))&amp;"-"&amp;TEXT(MATCH(Table1[[#This Row],[home_gym_location]],_xlfn._xlws.SORT(_xlfn.UNIQUE(Table1[home_gym_location])),0),"000")</f>
        <v>FRESNO-003</v>
      </c>
      <c r="AO1898" t="str">
        <f>LEFT(_xlfn.TEXTBEFORE(Table1[[#This Row],[Location Identifier]],"-"),3) &amp; "-" &amp; _xlfn.TEXTAFTER(Table1[[#This Row],[Location Identifier]],"-")</f>
        <v>FRE-003</v>
      </c>
      <c r="AP1898" s="9">
        <f t="shared" ca="1" si="290"/>
        <v>45869</v>
      </c>
    </row>
    <row r="1899" spans="1:42" x14ac:dyDescent="0.25">
      <c r="A1899">
        <v>29</v>
      </c>
      <c r="B1899" t="s">
        <v>26</v>
      </c>
      <c r="C1899">
        <v>5</v>
      </c>
      <c r="D1899" t="s">
        <v>160</v>
      </c>
      <c r="E1899" t="b">
        <v>0</v>
      </c>
      <c r="F1899" s="1">
        <v>0.75972222222222219</v>
      </c>
      <c r="G1899" s="1">
        <v>0.87777777777777777</v>
      </c>
      <c r="H1899">
        <v>170</v>
      </c>
      <c r="I1899" t="b">
        <v>0</v>
      </c>
      <c r="J1899" t="b">
        <v>0</v>
      </c>
      <c r="K1899" t="b">
        <v>0</v>
      </c>
      <c r="L1899" t="s">
        <v>28</v>
      </c>
      <c r="M1899">
        <v>50</v>
      </c>
      <c r="N1899" t="s">
        <v>29</v>
      </c>
      <c r="O1899">
        <v>50</v>
      </c>
      <c r="P1899" t="s">
        <v>40</v>
      </c>
      <c r="Q1899">
        <v>0.1</v>
      </c>
      <c r="R1899">
        <v>45</v>
      </c>
      <c r="S1899" t="s">
        <v>31</v>
      </c>
      <c r="T1899" t="s">
        <v>65</v>
      </c>
      <c r="U1899">
        <v>33.770099999999999</v>
      </c>
      <c r="V1899">
        <v>-118.19370000000001</v>
      </c>
      <c r="W1899" s="2">
        <v>45452</v>
      </c>
      <c r="X1899">
        <v>0</v>
      </c>
      <c r="Y1899" t="b">
        <v>1</v>
      </c>
      <c r="Z1899" s="2">
        <v>45839</v>
      </c>
      <c r="AA1899" t="str">
        <f t="shared" si="291"/>
        <v>20–29</v>
      </c>
      <c r="AB1899" t="str">
        <f t="shared" si="292"/>
        <v>20–29</v>
      </c>
      <c r="AC1899" t="str">
        <f t="shared" si="293"/>
        <v>Monday</v>
      </c>
      <c r="AD1899" t="str">
        <f t="shared" si="294"/>
        <v>Tuesday</v>
      </c>
      <c r="AE1899" t="str">
        <f t="shared" si="295"/>
        <v/>
      </c>
      <c r="AF1899" t="str">
        <f t="shared" si="296"/>
        <v>Thursday</v>
      </c>
      <c r="AG1899" t="str">
        <f t="shared" si="297"/>
        <v/>
      </c>
      <c r="AH1899" t="str">
        <f t="shared" si="298"/>
        <v>Saturday</v>
      </c>
      <c r="AI1899" t="str">
        <f t="shared" si="299"/>
        <v>Sunday</v>
      </c>
      <c r="AJ1899" t="str">
        <f>LEFT(Table1[[#This Row],[membership_type]],2)&amp;TEXT(Table1[[#This Row],[age]],"00")&amp;"-"&amp;TEXT(ROW(),"000")</f>
        <v>Pr29-1899</v>
      </c>
      <c r="AK1899" t="str">
        <f>LEFT(Table1[[#This Row],[membership_type]],1)&amp;TEXT(MATCH(Table1[[#This Row],[membership_type]],Table1[membership_type],0),"00")</f>
        <v>P01</v>
      </c>
      <c r="AL1899" t="str">
        <f>LEFT(Table1[[#This Row],[discount_type]],1)&amp;TEXT(ROUND(Table1[[#This Row],[discount_rate]]*100,0),"00")</f>
        <v>L10</v>
      </c>
      <c r="AM1899" t="str" cm="1">
        <f t="array" ref="AM1899">TEXT(SUMPRODUCT(CODE(MID(Table1[[#This Row],[home_gym_location]],_xlfn.SEQUENCE(LEN(Table1[[#This Row],[home_gym_location]])),1))),"00000")</f>
        <v>01107</v>
      </c>
      <c r="AN189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899" t="str">
        <f>LEFT(_xlfn.TEXTBEFORE(Table1[[#This Row],[Location Identifier]],"-"),3) &amp; "-" &amp; _xlfn.TEXTAFTER(Table1[[#This Row],[Location Identifier]],"-")</f>
        <v>LON-004</v>
      </c>
      <c r="AP1899" s="9">
        <f t="shared" ca="1" si="290"/>
        <v>45869</v>
      </c>
    </row>
    <row r="1900" spans="1:42" x14ac:dyDescent="0.25">
      <c r="A1900">
        <v>25</v>
      </c>
      <c r="B1900" t="s">
        <v>33</v>
      </c>
      <c r="C1900">
        <v>3</v>
      </c>
      <c r="D1900" t="s">
        <v>90</v>
      </c>
      <c r="E1900" t="b">
        <v>0</v>
      </c>
      <c r="F1900" s="1">
        <v>0.72291666666666665</v>
      </c>
      <c r="G1900" s="1">
        <v>0.76180555555555551</v>
      </c>
      <c r="H1900">
        <v>56</v>
      </c>
      <c r="I1900" t="b">
        <v>0</v>
      </c>
      <c r="J1900" t="b">
        <v>0</v>
      </c>
      <c r="K1900" t="b">
        <v>1</v>
      </c>
      <c r="L1900" t="s">
        <v>62</v>
      </c>
      <c r="M1900">
        <v>30</v>
      </c>
      <c r="N1900" t="s">
        <v>64</v>
      </c>
      <c r="O1900">
        <v>22.5</v>
      </c>
      <c r="P1900" t="s">
        <v>74</v>
      </c>
      <c r="Q1900">
        <v>0.15</v>
      </c>
      <c r="R1900">
        <v>19.125</v>
      </c>
      <c r="S1900" t="s">
        <v>37</v>
      </c>
      <c r="T1900" t="s">
        <v>48</v>
      </c>
      <c r="U1900">
        <v>38.581600000000002</v>
      </c>
      <c r="V1900">
        <v>-121.4944</v>
      </c>
      <c r="W1900" s="2">
        <v>44996</v>
      </c>
      <c r="X1900">
        <v>0</v>
      </c>
      <c r="Y1900" t="b">
        <v>0</v>
      </c>
      <c r="Z1900" s="2">
        <v>45813</v>
      </c>
      <c r="AA1900" t="str">
        <f t="shared" si="291"/>
        <v>20–29</v>
      </c>
      <c r="AB1900" t="str">
        <f t="shared" si="292"/>
        <v>20–29</v>
      </c>
      <c r="AC1900" t="str">
        <f t="shared" si="293"/>
        <v/>
      </c>
      <c r="AD1900" t="str">
        <f t="shared" si="294"/>
        <v>Tuesday</v>
      </c>
      <c r="AE1900" t="str">
        <f t="shared" si="295"/>
        <v/>
      </c>
      <c r="AF1900" t="str">
        <f t="shared" si="296"/>
        <v/>
      </c>
      <c r="AG1900" t="str">
        <f t="shared" si="297"/>
        <v/>
      </c>
      <c r="AH1900" t="str">
        <f t="shared" si="298"/>
        <v>Saturday</v>
      </c>
      <c r="AI1900" t="str">
        <f t="shared" si="299"/>
        <v>Sunday</v>
      </c>
      <c r="AJ1900" t="str">
        <f>LEFT(Table1[[#This Row],[membership_type]],2)&amp;TEXT(Table1[[#This Row],[age]],"00")&amp;"-"&amp;TEXT(ROW(),"000")</f>
        <v>St25-1900</v>
      </c>
      <c r="AK1900" t="str">
        <f>LEFT(Table1[[#This Row],[membership_type]],1)&amp;TEXT(MATCH(Table1[[#This Row],[membership_type]],Table1[membership_type],0),"00")</f>
        <v>S02</v>
      </c>
      <c r="AL1900" t="str">
        <f>LEFT(Table1[[#This Row],[discount_type]],1)&amp;TEXT(ROUND(Table1[[#This Row],[discount_rate]]*100,0),"00")</f>
        <v>S15</v>
      </c>
      <c r="AM1900" t="str" cm="1">
        <f t="array" ref="AM1900">TEXT(SUMPRODUCT(CODE(MID(Table1[[#This Row],[home_gym_location]],_xlfn.SEQUENCE(LEN(Table1[[#This Row],[home_gym_location]])),1))),"00000")</f>
        <v>01245</v>
      </c>
      <c r="AN1900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00" t="str">
        <f>LEFT(_xlfn.TEXTBEFORE(Table1[[#This Row],[Location Identifier]],"-"),3) &amp; "-" &amp; _xlfn.TEXTAFTER(Table1[[#This Row],[Location Identifier]],"-")</f>
        <v>SAC-007</v>
      </c>
      <c r="AP1900" s="9">
        <f t="shared" ca="1" si="290"/>
        <v>45869</v>
      </c>
    </row>
    <row r="1901" spans="1:42" x14ac:dyDescent="0.25">
      <c r="A1901">
        <v>49</v>
      </c>
      <c r="B1901" t="s">
        <v>26</v>
      </c>
      <c r="C1901">
        <v>3</v>
      </c>
      <c r="D1901" t="s">
        <v>106</v>
      </c>
      <c r="E1901" t="b">
        <v>1</v>
      </c>
      <c r="F1901" s="1">
        <v>0.85416666666666663</v>
      </c>
      <c r="G1901" s="1">
        <v>0.89166666666666672</v>
      </c>
      <c r="H1901">
        <v>54</v>
      </c>
      <c r="I1901" t="b">
        <v>1</v>
      </c>
      <c r="J1901" t="b">
        <v>1</v>
      </c>
      <c r="K1901" t="b">
        <v>1</v>
      </c>
      <c r="L1901" t="s">
        <v>28</v>
      </c>
      <c r="M1901">
        <v>50</v>
      </c>
      <c r="N1901" t="s">
        <v>29</v>
      </c>
      <c r="O1901">
        <v>50</v>
      </c>
      <c r="P1901" t="s">
        <v>40</v>
      </c>
      <c r="Q1901">
        <v>0.1</v>
      </c>
      <c r="R1901">
        <v>45</v>
      </c>
      <c r="S1901" t="s">
        <v>31</v>
      </c>
      <c r="T1901" t="s">
        <v>32</v>
      </c>
      <c r="U1901">
        <v>37.338200000000001</v>
      </c>
      <c r="V1901">
        <v>-121.88630000000001</v>
      </c>
      <c r="W1901" s="2">
        <v>45240</v>
      </c>
      <c r="X1901">
        <v>3</v>
      </c>
      <c r="Y1901" t="b">
        <v>1</v>
      </c>
      <c r="Z1901" s="2">
        <v>45827</v>
      </c>
      <c r="AA1901" t="str">
        <f t="shared" si="291"/>
        <v>40–49</v>
      </c>
      <c r="AB1901" t="str">
        <f t="shared" si="292"/>
        <v>40–49</v>
      </c>
      <c r="AC1901" t="str">
        <f t="shared" si="293"/>
        <v/>
      </c>
      <c r="AD1901" t="str">
        <f t="shared" si="294"/>
        <v/>
      </c>
      <c r="AE1901" t="str">
        <f t="shared" si="295"/>
        <v>Wednesday</v>
      </c>
      <c r="AF1901" t="str">
        <f t="shared" si="296"/>
        <v>Thursday</v>
      </c>
      <c r="AG1901" t="str">
        <f t="shared" si="297"/>
        <v>Friday</v>
      </c>
      <c r="AH1901" t="str">
        <f t="shared" si="298"/>
        <v/>
      </c>
      <c r="AI1901" t="str">
        <f t="shared" si="299"/>
        <v/>
      </c>
      <c r="AJ1901" t="str">
        <f>LEFT(Table1[[#This Row],[membership_type]],2)&amp;TEXT(Table1[[#This Row],[age]],"00")&amp;"-"&amp;TEXT(ROW(),"000")</f>
        <v>Pr49-1901</v>
      </c>
      <c r="AK1901" t="str">
        <f>LEFT(Table1[[#This Row],[membership_type]],1)&amp;TEXT(MATCH(Table1[[#This Row],[membership_type]],Table1[membership_type],0),"00")</f>
        <v>P01</v>
      </c>
      <c r="AL1901" t="str">
        <f>LEFT(Table1[[#This Row],[discount_type]],1)&amp;TEXT(ROUND(Table1[[#This Row],[discount_rate]]*100,0),"00")</f>
        <v>L10</v>
      </c>
      <c r="AM1901" t="str" cm="1">
        <f t="array" ref="AM1901">TEXT(SUMPRODUCT(CODE(MID(Table1[[#This Row],[home_gym_location]],_xlfn.SEQUENCE(LEN(Table1[[#This Row],[home_gym_location]])),1))),"00000")</f>
        <v>00931</v>
      </c>
      <c r="AN1901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01" t="str">
        <f>LEFT(_xlfn.TEXTBEFORE(Table1[[#This Row],[Location Identifier]],"-"),3) &amp; "-" &amp; _xlfn.TEXTAFTER(Table1[[#This Row],[Location Identifier]],"-")</f>
        <v>SAN-010</v>
      </c>
      <c r="AP1901" s="9">
        <f t="shared" ca="1" si="290"/>
        <v>45869</v>
      </c>
    </row>
    <row r="1902" spans="1:42" x14ac:dyDescent="0.25">
      <c r="A1902">
        <v>45</v>
      </c>
      <c r="B1902" t="s">
        <v>26</v>
      </c>
      <c r="C1902">
        <v>3</v>
      </c>
      <c r="D1902" t="s">
        <v>86</v>
      </c>
      <c r="E1902" t="b">
        <v>1</v>
      </c>
      <c r="F1902" s="1">
        <v>0.83263888888888893</v>
      </c>
      <c r="G1902" s="1">
        <v>0.87291666666666667</v>
      </c>
      <c r="H1902">
        <v>58</v>
      </c>
      <c r="I1902" t="b">
        <v>1</v>
      </c>
      <c r="J1902" t="b">
        <v>0</v>
      </c>
      <c r="K1902" t="b">
        <v>1</v>
      </c>
      <c r="L1902" t="s">
        <v>47</v>
      </c>
      <c r="M1902">
        <v>50</v>
      </c>
      <c r="N1902" t="s">
        <v>78</v>
      </c>
      <c r="O1902">
        <v>45</v>
      </c>
      <c r="P1902" t="s">
        <v>40</v>
      </c>
      <c r="Q1902">
        <v>0.1</v>
      </c>
      <c r="R1902">
        <v>40.5</v>
      </c>
      <c r="S1902" t="s">
        <v>31</v>
      </c>
      <c r="T1902" t="s">
        <v>54</v>
      </c>
      <c r="U1902">
        <v>32.715699999999998</v>
      </c>
      <c r="V1902">
        <v>-117.1611</v>
      </c>
      <c r="W1902" s="2">
        <v>45825</v>
      </c>
      <c r="X1902">
        <v>0</v>
      </c>
      <c r="Y1902" t="b">
        <v>1</v>
      </c>
      <c r="Z1902" s="2">
        <v>45860</v>
      </c>
      <c r="AA1902" t="str">
        <f t="shared" si="291"/>
        <v>40–49</v>
      </c>
      <c r="AB1902" t="str">
        <f t="shared" si="292"/>
        <v>40–49</v>
      </c>
      <c r="AC1902" t="str">
        <f t="shared" si="293"/>
        <v/>
      </c>
      <c r="AD1902" t="str">
        <f t="shared" si="294"/>
        <v>Tuesday</v>
      </c>
      <c r="AE1902" t="str">
        <f t="shared" si="295"/>
        <v/>
      </c>
      <c r="AF1902" t="str">
        <f t="shared" si="296"/>
        <v/>
      </c>
      <c r="AG1902" t="str">
        <f t="shared" si="297"/>
        <v>Friday</v>
      </c>
      <c r="AH1902" t="str">
        <f t="shared" si="298"/>
        <v>Saturday</v>
      </c>
      <c r="AI1902" t="str">
        <f t="shared" si="299"/>
        <v/>
      </c>
      <c r="AJ1902" t="str">
        <f>LEFT(Table1[[#This Row],[membership_type]],2)&amp;TEXT(Table1[[#This Row],[age]],"00")&amp;"-"&amp;TEXT(ROW(),"000")</f>
        <v>Pr45-1902</v>
      </c>
      <c r="AK1902" t="str">
        <f>LEFT(Table1[[#This Row],[membership_type]],1)&amp;TEXT(MATCH(Table1[[#This Row],[membership_type]],Table1[membership_type],0),"00")</f>
        <v>P01</v>
      </c>
      <c r="AL1902" t="str">
        <f>LEFT(Table1[[#This Row],[discount_type]],1)&amp;TEXT(ROUND(Table1[[#This Row],[discount_rate]]*100,0),"00")</f>
        <v>L10</v>
      </c>
      <c r="AM1902" t="str" cm="1">
        <f t="array" ref="AM1902">TEXT(SUMPRODUCT(CODE(MID(Table1[[#This Row],[home_gym_location]],_xlfn.SEQUENCE(LEN(Table1[[#This Row],[home_gym_location]])),1))),"00000")</f>
        <v>01018</v>
      </c>
      <c r="AN1902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02" t="str">
        <f>LEFT(_xlfn.TEXTBEFORE(Table1[[#This Row],[Location Identifier]],"-"),3) &amp; "-" &amp; _xlfn.TEXTAFTER(Table1[[#This Row],[Location Identifier]],"-")</f>
        <v>SAN-008</v>
      </c>
      <c r="AP1902" s="9">
        <f t="shared" ca="1" si="290"/>
        <v>45869</v>
      </c>
    </row>
    <row r="1903" spans="1:42" x14ac:dyDescent="0.25">
      <c r="A1903">
        <v>13</v>
      </c>
      <c r="B1903" t="s">
        <v>26</v>
      </c>
      <c r="C1903">
        <v>4</v>
      </c>
      <c r="D1903" t="s">
        <v>85</v>
      </c>
      <c r="E1903" t="b">
        <v>0</v>
      </c>
      <c r="F1903" s="1">
        <v>0.61597222222222225</v>
      </c>
      <c r="G1903" s="1">
        <v>0.63958333333333328</v>
      </c>
      <c r="H1903">
        <v>34</v>
      </c>
      <c r="I1903" t="b">
        <v>0</v>
      </c>
      <c r="J1903" t="b">
        <v>0</v>
      </c>
      <c r="K1903" t="b">
        <v>0</v>
      </c>
      <c r="L1903" t="s">
        <v>28</v>
      </c>
      <c r="M1903">
        <v>50</v>
      </c>
      <c r="N1903" t="s">
        <v>64</v>
      </c>
      <c r="O1903">
        <v>37.5</v>
      </c>
      <c r="P1903" t="s">
        <v>74</v>
      </c>
      <c r="Q1903">
        <v>0.15</v>
      </c>
      <c r="R1903">
        <v>31.875</v>
      </c>
      <c r="S1903" t="s">
        <v>31</v>
      </c>
      <c r="T1903" t="s">
        <v>41</v>
      </c>
      <c r="U1903">
        <v>37.804400000000001</v>
      </c>
      <c r="V1903">
        <v>-122.27119999999999</v>
      </c>
      <c r="W1903" s="2">
        <v>45020</v>
      </c>
      <c r="X1903">
        <v>0</v>
      </c>
      <c r="Y1903" t="b">
        <v>1</v>
      </c>
      <c r="Z1903" s="2">
        <v>45815</v>
      </c>
      <c r="AA1903" t="str">
        <f t="shared" si="291"/>
        <v>10–19</v>
      </c>
      <c r="AB1903" t="str">
        <f t="shared" si="292"/>
        <v>Under 16</v>
      </c>
      <c r="AC1903" t="str">
        <f t="shared" si="293"/>
        <v/>
      </c>
      <c r="AD1903" t="str">
        <f t="shared" si="294"/>
        <v>Tuesday</v>
      </c>
      <c r="AE1903" t="str">
        <f t="shared" si="295"/>
        <v/>
      </c>
      <c r="AF1903" t="str">
        <f t="shared" si="296"/>
        <v>Thursday</v>
      </c>
      <c r="AG1903" t="str">
        <f t="shared" si="297"/>
        <v/>
      </c>
      <c r="AH1903" t="str">
        <f t="shared" si="298"/>
        <v>Saturday</v>
      </c>
      <c r="AI1903" t="str">
        <f t="shared" si="299"/>
        <v>Sunday</v>
      </c>
      <c r="AJ1903" t="str">
        <f>LEFT(Table1[[#This Row],[membership_type]],2)&amp;TEXT(Table1[[#This Row],[age]],"00")&amp;"-"&amp;TEXT(ROW(),"000")</f>
        <v>Pr13-1903</v>
      </c>
      <c r="AK1903" t="str">
        <f>LEFT(Table1[[#This Row],[membership_type]],1)&amp;TEXT(MATCH(Table1[[#This Row],[membership_type]],Table1[membership_type],0),"00")</f>
        <v>P01</v>
      </c>
      <c r="AL1903" t="str">
        <f>LEFT(Table1[[#This Row],[discount_type]],1)&amp;TEXT(ROUND(Table1[[#This Row],[discount_rate]]*100,0),"00")</f>
        <v>S15</v>
      </c>
      <c r="AM1903" t="str" cm="1">
        <f t="array" ref="AM1903">TEXT(SUMPRODUCT(CODE(MID(Table1[[#This Row],[home_gym_location]],_xlfn.SEQUENCE(LEN(Table1[[#This Row],[home_gym_location]])),1))),"00000")</f>
        <v>00906</v>
      </c>
      <c r="AN190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03" t="str">
        <f>LEFT(_xlfn.TEXTBEFORE(Table1[[#This Row],[Location Identifier]],"-"),3) &amp; "-" &amp; _xlfn.TEXTAFTER(Table1[[#This Row],[Location Identifier]],"-")</f>
        <v>OAK-006</v>
      </c>
      <c r="AP1903" s="9">
        <f t="shared" ca="1" si="290"/>
        <v>45869</v>
      </c>
    </row>
    <row r="1904" spans="1:42" x14ac:dyDescent="0.25">
      <c r="A1904">
        <v>15</v>
      </c>
      <c r="B1904" t="s">
        <v>42</v>
      </c>
      <c r="C1904">
        <v>2</v>
      </c>
      <c r="D1904" t="s">
        <v>43</v>
      </c>
      <c r="E1904" t="b">
        <v>0</v>
      </c>
      <c r="F1904" s="1">
        <v>0.70208333333333328</v>
      </c>
      <c r="G1904" s="1">
        <v>0.82291666666666663</v>
      </c>
      <c r="H1904">
        <v>174</v>
      </c>
      <c r="I1904" t="b">
        <v>1</v>
      </c>
      <c r="J1904" t="b">
        <v>0</v>
      </c>
      <c r="K1904" t="b">
        <v>0</v>
      </c>
      <c r="L1904" t="s">
        <v>28</v>
      </c>
      <c r="M1904">
        <v>20</v>
      </c>
      <c r="N1904" t="s">
        <v>64</v>
      </c>
      <c r="O1904">
        <v>15</v>
      </c>
      <c r="P1904" t="s">
        <v>74</v>
      </c>
      <c r="Q1904">
        <v>0.15</v>
      </c>
      <c r="R1904">
        <v>12.75</v>
      </c>
      <c r="S1904" t="s">
        <v>44</v>
      </c>
      <c r="T1904" t="s">
        <v>56</v>
      </c>
      <c r="U1904">
        <v>35.3733</v>
      </c>
      <c r="V1904">
        <v>-119.0187</v>
      </c>
      <c r="W1904" s="2">
        <v>45793</v>
      </c>
      <c r="X1904">
        <v>0</v>
      </c>
      <c r="Y1904" t="b">
        <v>1</v>
      </c>
      <c r="Z1904" s="2">
        <v>45858</v>
      </c>
      <c r="AA1904" t="str">
        <f t="shared" si="291"/>
        <v>10–19</v>
      </c>
      <c r="AB1904" t="str">
        <f t="shared" si="292"/>
        <v>Under 16</v>
      </c>
      <c r="AC1904" t="str">
        <f t="shared" si="293"/>
        <v>Monday</v>
      </c>
      <c r="AD1904" t="str">
        <f t="shared" si="294"/>
        <v>Tuesday</v>
      </c>
      <c r="AE1904" t="str">
        <f t="shared" si="295"/>
        <v/>
      </c>
      <c r="AF1904" t="str">
        <f t="shared" si="296"/>
        <v/>
      </c>
      <c r="AG1904" t="str">
        <f t="shared" si="297"/>
        <v/>
      </c>
      <c r="AH1904" t="str">
        <f t="shared" si="298"/>
        <v/>
      </c>
      <c r="AI1904" t="str">
        <f t="shared" si="299"/>
        <v/>
      </c>
      <c r="AJ1904" t="str">
        <f>LEFT(Table1[[#This Row],[membership_type]],2)&amp;TEXT(Table1[[#This Row],[age]],"00")&amp;"-"&amp;TEXT(ROW(),"000")</f>
        <v>Ba15-1904</v>
      </c>
      <c r="AK1904" t="str">
        <f>LEFT(Table1[[#This Row],[membership_type]],1)&amp;TEXT(MATCH(Table1[[#This Row],[membership_type]],Table1[membership_type],0),"00")</f>
        <v>B04</v>
      </c>
      <c r="AL1904" t="str">
        <f>LEFT(Table1[[#This Row],[discount_type]],1)&amp;TEXT(ROUND(Table1[[#This Row],[discount_rate]]*100,0),"00")</f>
        <v>S15</v>
      </c>
      <c r="AM1904" t="str" cm="1">
        <f t="array" ref="AM1904">TEXT(SUMPRODUCT(CODE(MID(Table1[[#This Row],[home_gym_location]],_xlfn.SEQUENCE(LEN(Table1[[#This Row],[home_gym_location]])),1))),"00000")</f>
        <v>01324</v>
      </c>
      <c r="AN1904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04" t="str">
        <f>LEFT(_xlfn.TEXTBEFORE(Table1[[#This Row],[Location Identifier]],"-"),3) &amp; "-" &amp; _xlfn.TEXTAFTER(Table1[[#This Row],[Location Identifier]],"-")</f>
        <v>BAK-002</v>
      </c>
      <c r="AP1904" s="9">
        <f t="shared" ca="1" si="290"/>
        <v>45869</v>
      </c>
    </row>
    <row r="1905" spans="1:42" x14ac:dyDescent="0.25">
      <c r="A1905">
        <v>40</v>
      </c>
      <c r="B1905" t="s">
        <v>26</v>
      </c>
      <c r="C1905">
        <v>2</v>
      </c>
      <c r="D1905" t="s">
        <v>61</v>
      </c>
      <c r="E1905" t="b">
        <v>1</v>
      </c>
      <c r="F1905" s="1">
        <v>0.85624999999999996</v>
      </c>
      <c r="G1905" s="1">
        <v>0.91111111111111109</v>
      </c>
      <c r="H1905">
        <v>79</v>
      </c>
      <c r="I1905" t="b">
        <v>1</v>
      </c>
      <c r="J1905" t="b">
        <v>1</v>
      </c>
      <c r="K1905" t="b">
        <v>1</v>
      </c>
      <c r="L1905" t="s">
        <v>35</v>
      </c>
      <c r="M1905">
        <v>50</v>
      </c>
      <c r="N1905" t="s">
        <v>64</v>
      </c>
      <c r="O1905">
        <v>37.5</v>
      </c>
      <c r="P1905" t="s">
        <v>74</v>
      </c>
      <c r="Q1905">
        <v>0.15</v>
      </c>
      <c r="R1905">
        <v>31.875</v>
      </c>
      <c r="S1905" t="s">
        <v>31</v>
      </c>
      <c r="T1905" t="s">
        <v>56</v>
      </c>
      <c r="U1905">
        <v>35.3733</v>
      </c>
      <c r="V1905">
        <v>-119.0187</v>
      </c>
      <c r="W1905" s="2">
        <v>45036</v>
      </c>
      <c r="X1905">
        <v>8</v>
      </c>
      <c r="Y1905" t="b">
        <v>0</v>
      </c>
      <c r="Z1905" s="2">
        <v>45816</v>
      </c>
      <c r="AA1905" t="str">
        <f t="shared" si="291"/>
        <v>40–49</v>
      </c>
      <c r="AB1905" t="str">
        <f t="shared" si="292"/>
        <v>40–49</v>
      </c>
      <c r="AC1905" t="str">
        <f t="shared" si="293"/>
        <v/>
      </c>
      <c r="AD1905" t="str">
        <f t="shared" si="294"/>
        <v>Tuesday</v>
      </c>
      <c r="AE1905" t="str">
        <f t="shared" si="295"/>
        <v/>
      </c>
      <c r="AF1905" t="str">
        <f t="shared" si="296"/>
        <v/>
      </c>
      <c r="AG1905" t="str">
        <f t="shared" si="297"/>
        <v/>
      </c>
      <c r="AH1905" t="str">
        <f t="shared" si="298"/>
        <v>Saturday</v>
      </c>
      <c r="AI1905" t="str">
        <f t="shared" si="299"/>
        <v/>
      </c>
      <c r="AJ1905" t="str">
        <f>LEFT(Table1[[#This Row],[membership_type]],2)&amp;TEXT(Table1[[#This Row],[age]],"00")&amp;"-"&amp;TEXT(ROW(),"000")</f>
        <v>Pr40-1905</v>
      </c>
      <c r="AK1905" t="str">
        <f>LEFT(Table1[[#This Row],[membership_type]],1)&amp;TEXT(MATCH(Table1[[#This Row],[membership_type]],Table1[membership_type],0),"00")</f>
        <v>P01</v>
      </c>
      <c r="AL1905" t="str">
        <f>LEFT(Table1[[#This Row],[discount_type]],1)&amp;TEXT(ROUND(Table1[[#This Row],[discount_rate]]*100,0),"00")</f>
        <v>S15</v>
      </c>
      <c r="AM1905" t="str" cm="1">
        <f t="array" ref="AM1905">TEXT(SUMPRODUCT(CODE(MID(Table1[[#This Row],[home_gym_location]],_xlfn.SEQUENCE(LEN(Table1[[#This Row],[home_gym_location]])),1))),"00000")</f>
        <v>01324</v>
      </c>
      <c r="AN190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05" t="str">
        <f>LEFT(_xlfn.TEXTBEFORE(Table1[[#This Row],[Location Identifier]],"-"),3) &amp; "-" &amp; _xlfn.TEXTAFTER(Table1[[#This Row],[Location Identifier]],"-")</f>
        <v>BAK-002</v>
      </c>
      <c r="AP1905" s="9">
        <f t="shared" ca="1" si="290"/>
        <v>45869</v>
      </c>
    </row>
    <row r="1906" spans="1:42" x14ac:dyDescent="0.25">
      <c r="A1906">
        <v>43</v>
      </c>
      <c r="B1906" t="s">
        <v>26</v>
      </c>
      <c r="C1906">
        <v>5</v>
      </c>
      <c r="D1906" t="s">
        <v>118</v>
      </c>
      <c r="E1906" t="b">
        <v>0</v>
      </c>
      <c r="F1906" s="1">
        <v>0.74444444444444446</v>
      </c>
      <c r="G1906" s="1">
        <v>0.86944444444444446</v>
      </c>
      <c r="H1906">
        <v>180</v>
      </c>
      <c r="I1906" t="b">
        <v>0</v>
      </c>
      <c r="J1906" t="b">
        <v>1</v>
      </c>
      <c r="K1906" t="b">
        <v>0</v>
      </c>
      <c r="L1906" t="s">
        <v>28</v>
      </c>
      <c r="M1906">
        <v>50</v>
      </c>
      <c r="N1906" t="s">
        <v>64</v>
      </c>
      <c r="O1906">
        <v>37.5</v>
      </c>
      <c r="P1906" t="s">
        <v>36</v>
      </c>
      <c r="Q1906">
        <v>0</v>
      </c>
      <c r="R1906">
        <v>37.5</v>
      </c>
      <c r="S1906" t="s">
        <v>31</v>
      </c>
      <c r="T1906" t="s">
        <v>59</v>
      </c>
      <c r="U1906">
        <v>37.774900000000002</v>
      </c>
      <c r="V1906">
        <v>-122.4194</v>
      </c>
      <c r="W1906" s="2">
        <v>45615</v>
      </c>
      <c r="X1906">
        <v>1</v>
      </c>
      <c r="Y1906" t="b">
        <v>1</v>
      </c>
      <c r="Z1906" s="2">
        <v>45848</v>
      </c>
      <c r="AA1906" t="str">
        <f t="shared" si="291"/>
        <v>40–49</v>
      </c>
      <c r="AB1906" t="str">
        <f t="shared" si="292"/>
        <v>40–49</v>
      </c>
      <c r="AC1906" t="str">
        <f t="shared" si="293"/>
        <v>Monday</v>
      </c>
      <c r="AD1906" t="str">
        <f t="shared" si="294"/>
        <v/>
      </c>
      <c r="AE1906" t="str">
        <f t="shared" si="295"/>
        <v>Wednesday</v>
      </c>
      <c r="AF1906" t="str">
        <f t="shared" si="296"/>
        <v>Thursday</v>
      </c>
      <c r="AG1906" t="str">
        <f t="shared" si="297"/>
        <v>Friday</v>
      </c>
      <c r="AH1906" t="str">
        <f t="shared" si="298"/>
        <v>Saturday</v>
      </c>
      <c r="AI1906" t="str">
        <f t="shared" si="299"/>
        <v/>
      </c>
      <c r="AJ1906" t="str">
        <f>LEFT(Table1[[#This Row],[membership_type]],2)&amp;TEXT(Table1[[#This Row],[age]],"00")&amp;"-"&amp;TEXT(ROW(),"000")</f>
        <v>Pr43-1906</v>
      </c>
      <c r="AK1906" t="str">
        <f>LEFT(Table1[[#This Row],[membership_type]],1)&amp;TEXT(MATCH(Table1[[#This Row],[membership_type]],Table1[membership_type],0),"00")</f>
        <v>P01</v>
      </c>
      <c r="AL1906" t="str">
        <f>LEFT(Table1[[#This Row],[discount_type]],1)&amp;TEXT(ROUND(Table1[[#This Row],[discount_rate]]*100,0),"00")</f>
        <v>N00</v>
      </c>
      <c r="AM1906" t="str" cm="1">
        <f t="array" ref="AM1906">TEXT(SUMPRODUCT(CODE(MID(Table1[[#This Row],[home_gym_location]],_xlfn.SEQUENCE(LEN(Table1[[#This Row],[home_gym_location]])),1))),"00000")</f>
        <v>01450</v>
      </c>
      <c r="AN190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06" t="str">
        <f>LEFT(_xlfn.TEXTBEFORE(Table1[[#This Row],[Location Identifier]],"-"),3) &amp; "-" &amp; _xlfn.TEXTAFTER(Table1[[#This Row],[Location Identifier]],"-")</f>
        <v>SAN-009</v>
      </c>
      <c r="AP1906" s="9">
        <f t="shared" ca="1" si="290"/>
        <v>45869</v>
      </c>
    </row>
    <row r="1907" spans="1:42" x14ac:dyDescent="0.25">
      <c r="A1907">
        <v>33</v>
      </c>
      <c r="B1907" t="s">
        <v>42</v>
      </c>
      <c r="C1907">
        <v>4</v>
      </c>
      <c r="D1907" t="s">
        <v>52</v>
      </c>
      <c r="E1907" t="b">
        <v>0</v>
      </c>
      <c r="F1907" s="1">
        <v>0.43333333333333335</v>
      </c>
      <c r="G1907" s="1">
        <v>0.49166666666666664</v>
      </c>
      <c r="H1907">
        <v>84</v>
      </c>
      <c r="I1907" t="b">
        <v>1</v>
      </c>
      <c r="J1907" t="b">
        <v>0</v>
      </c>
      <c r="K1907" t="b">
        <v>0</v>
      </c>
      <c r="L1907" t="s">
        <v>28</v>
      </c>
      <c r="M1907">
        <v>20</v>
      </c>
      <c r="N1907" t="s">
        <v>29</v>
      </c>
      <c r="O1907">
        <v>20</v>
      </c>
      <c r="P1907" t="s">
        <v>40</v>
      </c>
      <c r="Q1907">
        <v>0.1</v>
      </c>
      <c r="R1907">
        <v>18</v>
      </c>
      <c r="S1907" t="s">
        <v>44</v>
      </c>
      <c r="T1907" t="s">
        <v>54</v>
      </c>
      <c r="U1907">
        <v>32.715699999999998</v>
      </c>
      <c r="V1907">
        <v>-117.1611</v>
      </c>
      <c r="W1907" s="2">
        <v>44810</v>
      </c>
      <c r="X1907">
        <v>0</v>
      </c>
      <c r="Y1907" t="b">
        <v>0</v>
      </c>
      <c r="Z1907" s="2">
        <v>45803</v>
      </c>
      <c r="AA1907" t="str">
        <f t="shared" si="291"/>
        <v>30–39</v>
      </c>
      <c r="AB1907" t="str">
        <f t="shared" si="292"/>
        <v>30–39</v>
      </c>
      <c r="AC1907" t="str">
        <f t="shared" si="293"/>
        <v>Monday</v>
      </c>
      <c r="AD1907" t="str">
        <f t="shared" si="294"/>
        <v/>
      </c>
      <c r="AE1907" t="str">
        <f t="shared" si="295"/>
        <v/>
      </c>
      <c r="AF1907" t="str">
        <f t="shared" si="296"/>
        <v>Thursday</v>
      </c>
      <c r="AG1907" t="str">
        <f t="shared" si="297"/>
        <v>Friday</v>
      </c>
      <c r="AH1907" t="str">
        <f t="shared" si="298"/>
        <v/>
      </c>
      <c r="AI1907" t="str">
        <f t="shared" si="299"/>
        <v>Sunday</v>
      </c>
      <c r="AJ1907" t="str">
        <f>LEFT(Table1[[#This Row],[membership_type]],2)&amp;TEXT(Table1[[#This Row],[age]],"00")&amp;"-"&amp;TEXT(ROW(),"000")</f>
        <v>Ba33-1907</v>
      </c>
      <c r="AK1907" t="str">
        <f>LEFT(Table1[[#This Row],[membership_type]],1)&amp;TEXT(MATCH(Table1[[#This Row],[membership_type]],Table1[membership_type],0),"00")</f>
        <v>B04</v>
      </c>
      <c r="AL1907" t="str">
        <f>LEFT(Table1[[#This Row],[discount_type]],1)&amp;TEXT(ROUND(Table1[[#This Row],[discount_rate]]*100,0),"00")</f>
        <v>L10</v>
      </c>
      <c r="AM1907" t="str" cm="1">
        <f t="array" ref="AM1907">TEXT(SUMPRODUCT(CODE(MID(Table1[[#This Row],[home_gym_location]],_xlfn.SEQUENCE(LEN(Table1[[#This Row],[home_gym_location]])),1))),"00000")</f>
        <v>01018</v>
      </c>
      <c r="AN190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07" t="str">
        <f>LEFT(_xlfn.TEXTBEFORE(Table1[[#This Row],[Location Identifier]],"-"),3) &amp; "-" &amp; _xlfn.TEXTAFTER(Table1[[#This Row],[Location Identifier]],"-")</f>
        <v>SAN-008</v>
      </c>
      <c r="AP1907" s="9">
        <f t="shared" ca="1" si="290"/>
        <v>45869</v>
      </c>
    </row>
    <row r="1908" spans="1:42" x14ac:dyDescent="0.25">
      <c r="A1908">
        <v>22</v>
      </c>
      <c r="B1908" t="s">
        <v>33</v>
      </c>
      <c r="C1908">
        <v>3</v>
      </c>
      <c r="D1908" t="s">
        <v>122</v>
      </c>
      <c r="E1908" t="b">
        <v>0</v>
      </c>
      <c r="F1908" s="1">
        <v>0.71736111111111112</v>
      </c>
      <c r="G1908" s="1">
        <v>0.76666666666666672</v>
      </c>
      <c r="H1908">
        <v>71</v>
      </c>
      <c r="I1908" t="b">
        <v>0</v>
      </c>
      <c r="J1908" t="b">
        <v>0</v>
      </c>
      <c r="K1908" t="b">
        <v>1</v>
      </c>
      <c r="L1908" t="s">
        <v>47</v>
      </c>
      <c r="M1908">
        <v>30</v>
      </c>
      <c r="N1908" t="s">
        <v>64</v>
      </c>
      <c r="O1908">
        <v>22.5</v>
      </c>
      <c r="P1908" t="s">
        <v>30</v>
      </c>
      <c r="Q1908">
        <v>0.05</v>
      </c>
      <c r="R1908">
        <v>21.375</v>
      </c>
      <c r="S1908" t="s">
        <v>37</v>
      </c>
      <c r="T1908" t="s">
        <v>54</v>
      </c>
      <c r="U1908">
        <v>32.715699999999998</v>
      </c>
      <c r="V1908">
        <v>-117.1611</v>
      </c>
      <c r="W1908" s="2">
        <v>45439</v>
      </c>
      <c r="X1908">
        <v>0</v>
      </c>
      <c r="Y1908" t="b">
        <v>0</v>
      </c>
      <c r="Z1908" s="2">
        <v>45838</v>
      </c>
      <c r="AA1908" t="str">
        <f t="shared" si="291"/>
        <v>20–29</v>
      </c>
      <c r="AB1908" t="str">
        <f t="shared" si="292"/>
        <v>20–29</v>
      </c>
      <c r="AC1908" t="str">
        <f t="shared" si="293"/>
        <v/>
      </c>
      <c r="AD1908" t="str">
        <f t="shared" si="294"/>
        <v>Tuesday</v>
      </c>
      <c r="AE1908" t="str">
        <f t="shared" si="295"/>
        <v/>
      </c>
      <c r="AF1908" t="str">
        <f t="shared" si="296"/>
        <v/>
      </c>
      <c r="AG1908" t="str">
        <f t="shared" si="297"/>
        <v>Friday</v>
      </c>
      <c r="AH1908" t="str">
        <f t="shared" si="298"/>
        <v/>
      </c>
      <c r="AI1908" t="str">
        <f t="shared" si="299"/>
        <v>Sunday</v>
      </c>
      <c r="AJ1908" t="str">
        <f>LEFT(Table1[[#This Row],[membership_type]],2)&amp;TEXT(Table1[[#This Row],[age]],"00")&amp;"-"&amp;TEXT(ROW(),"000")</f>
        <v>St22-1908</v>
      </c>
      <c r="AK1908" t="str">
        <f>LEFT(Table1[[#This Row],[membership_type]],1)&amp;TEXT(MATCH(Table1[[#This Row],[membership_type]],Table1[membership_type],0),"00")</f>
        <v>S02</v>
      </c>
      <c r="AL1908" t="str">
        <f>LEFT(Table1[[#This Row],[discount_type]],1)&amp;TEXT(ROUND(Table1[[#This Row],[discount_rate]]*100,0),"00")</f>
        <v>P05</v>
      </c>
      <c r="AM1908" t="str" cm="1">
        <f t="array" ref="AM1908">TEXT(SUMPRODUCT(CODE(MID(Table1[[#This Row],[home_gym_location]],_xlfn.SEQUENCE(LEN(Table1[[#This Row],[home_gym_location]])),1))),"00000")</f>
        <v>01018</v>
      </c>
      <c r="AN1908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08" t="str">
        <f>LEFT(_xlfn.TEXTBEFORE(Table1[[#This Row],[Location Identifier]],"-"),3) &amp; "-" &amp; _xlfn.TEXTAFTER(Table1[[#This Row],[Location Identifier]],"-")</f>
        <v>SAN-008</v>
      </c>
      <c r="AP1908" s="9">
        <f t="shared" ca="1" si="290"/>
        <v>45869</v>
      </c>
    </row>
    <row r="1909" spans="1:42" x14ac:dyDescent="0.25">
      <c r="A1909">
        <v>34</v>
      </c>
      <c r="B1909" t="s">
        <v>26</v>
      </c>
      <c r="C1909">
        <v>3</v>
      </c>
      <c r="D1909" t="s">
        <v>109</v>
      </c>
      <c r="E1909" t="b">
        <v>0</v>
      </c>
      <c r="F1909" s="1">
        <v>0.65347222222222223</v>
      </c>
      <c r="G1909" s="1">
        <v>0.71111111111111114</v>
      </c>
      <c r="H1909">
        <v>83</v>
      </c>
      <c r="I1909" t="b">
        <v>1</v>
      </c>
      <c r="J1909" t="b">
        <v>1</v>
      </c>
      <c r="K1909" t="b">
        <v>0</v>
      </c>
      <c r="L1909" t="s">
        <v>62</v>
      </c>
      <c r="M1909">
        <v>50</v>
      </c>
      <c r="N1909" t="s">
        <v>29</v>
      </c>
      <c r="O1909">
        <v>50</v>
      </c>
      <c r="P1909" t="s">
        <v>30</v>
      </c>
      <c r="Q1909">
        <v>0.05</v>
      </c>
      <c r="R1909">
        <v>47.5</v>
      </c>
      <c r="S1909" t="s">
        <v>31</v>
      </c>
      <c r="T1909" t="s">
        <v>54</v>
      </c>
      <c r="U1909">
        <v>32.715699999999998</v>
      </c>
      <c r="V1909">
        <v>-117.1611</v>
      </c>
      <c r="W1909" s="2">
        <v>45482</v>
      </c>
      <c r="X1909">
        <v>3</v>
      </c>
      <c r="Y1909" t="b">
        <v>1</v>
      </c>
      <c r="Z1909" s="2">
        <v>45841</v>
      </c>
      <c r="AA1909" t="str">
        <f t="shared" si="291"/>
        <v>30–39</v>
      </c>
      <c r="AB1909" t="str">
        <f t="shared" si="292"/>
        <v>30–39</v>
      </c>
      <c r="AC1909" t="str">
        <f t="shared" si="293"/>
        <v/>
      </c>
      <c r="AD1909" t="str">
        <f t="shared" si="294"/>
        <v>Tuesday</v>
      </c>
      <c r="AE1909" t="str">
        <f t="shared" si="295"/>
        <v/>
      </c>
      <c r="AF1909" t="str">
        <f t="shared" si="296"/>
        <v>Thursday</v>
      </c>
      <c r="AG1909" t="str">
        <f t="shared" si="297"/>
        <v>Friday</v>
      </c>
      <c r="AH1909" t="str">
        <f t="shared" si="298"/>
        <v/>
      </c>
      <c r="AI1909" t="str">
        <f t="shared" si="299"/>
        <v/>
      </c>
      <c r="AJ1909" t="str">
        <f>LEFT(Table1[[#This Row],[membership_type]],2)&amp;TEXT(Table1[[#This Row],[age]],"00")&amp;"-"&amp;TEXT(ROW(),"000")</f>
        <v>Pr34-1909</v>
      </c>
      <c r="AK1909" t="str">
        <f>LEFT(Table1[[#This Row],[membership_type]],1)&amp;TEXT(MATCH(Table1[[#This Row],[membership_type]],Table1[membership_type],0),"00")</f>
        <v>P01</v>
      </c>
      <c r="AL1909" t="str">
        <f>LEFT(Table1[[#This Row],[discount_type]],1)&amp;TEXT(ROUND(Table1[[#This Row],[discount_rate]]*100,0),"00")</f>
        <v>P05</v>
      </c>
      <c r="AM1909" t="str" cm="1">
        <f t="array" ref="AM1909">TEXT(SUMPRODUCT(CODE(MID(Table1[[#This Row],[home_gym_location]],_xlfn.SEQUENCE(LEN(Table1[[#This Row],[home_gym_location]])),1))),"00000")</f>
        <v>01018</v>
      </c>
      <c r="AN1909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09" t="str">
        <f>LEFT(_xlfn.TEXTBEFORE(Table1[[#This Row],[Location Identifier]],"-"),3) &amp; "-" &amp; _xlfn.TEXTAFTER(Table1[[#This Row],[Location Identifier]],"-")</f>
        <v>SAN-008</v>
      </c>
      <c r="AP1909" s="9">
        <f t="shared" ca="1" si="290"/>
        <v>45869</v>
      </c>
    </row>
    <row r="1910" spans="1:42" x14ac:dyDescent="0.25">
      <c r="A1910">
        <v>23</v>
      </c>
      <c r="B1910" t="s">
        <v>33</v>
      </c>
      <c r="C1910">
        <v>2</v>
      </c>
      <c r="D1910" t="s">
        <v>27</v>
      </c>
      <c r="E1910" t="b">
        <v>0</v>
      </c>
      <c r="F1910" s="1">
        <v>0.49722222222222223</v>
      </c>
      <c r="G1910" s="1">
        <v>0.5708333333333333</v>
      </c>
      <c r="H1910">
        <v>106</v>
      </c>
      <c r="I1910" t="b">
        <v>0</v>
      </c>
      <c r="J1910" t="b">
        <v>1</v>
      </c>
      <c r="K1910" t="b">
        <v>1</v>
      </c>
      <c r="L1910" t="s">
        <v>62</v>
      </c>
      <c r="M1910">
        <v>30</v>
      </c>
      <c r="N1910" t="s">
        <v>29</v>
      </c>
      <c r="O1910">
        <v>30</v>
      </c>
      <c r="P1910" t="s">
        <v>30</v>
      </c>
      <c r="Q1910">
        <v>0.05</v>
      </c>
      <c r="R1910">
        <v>28.5</v>
      </c>
      <c r="S1910" t="s">
        <v>37</v>
      </c>
      <c r="T1910" t="s">
        <v>38</v>
      </c>
      <c r="U1910">
        <v>36.7378</v>
      </c>
      <c r="V1910">
        <v>-119.7871</v>
      </c>
      <c r="W1910" s="2">
        <v>45672</v>
      </c>
      <c r="X1910">
        <v>2</v>
      </c>
      <c r="Y1910" t="b">
        <v>1</v>
      </c>
      <c r="Z1910" s="2">
        <v>45852</v>
      </c>
      <c r="AA1910" t="str">
        <f t="shared" si="291"/>
        <v>20–29</v>
      </c>
      <c r="AB1910" t="str">
        <f t="shared" si="292"/>
        <v>20–29</v>
      </c>
      <c r="AC1910" t="str">
        <f t="shared" si="293"/>
        <v/>
      </c>
      <c r="AD1910" t="str">
        <f t="shared" si="294"/>
        <v/>
      </c>
      <c r="AE1910" t="str">
        <f t="shared" si="295"/>
        <v/>
      </c>
      <c r="AF1910" t="str">
        <f t="shared" si="296"/>
        <v>Thursday</v>
      </c>
      <c r="AG1910" t="str">
        <f t="shared" si="297"/>
        <v/>
      </c>
      <c r="AH1910" t="str">
        <f t="shared" si="298"/>
        <v>Saturday</v>
      </c>
      <c r="AI1910" t="str">
        <f t="shared" si="299"/>
        <v/>
      </c>
      <c r="AJ1910" t="str">
        <f>LEFT(Table1[[#This Row],[membership_type]],2)&amp;TEXT(Table1[[#This Row],[age]],"00")&amp;"-"&amp;TEXT(ROW(),"000")</f>
        <v>St23-1910</v>
      </c>
      <c r="AK1910" t="str">
        <f>LEFT(Table1[[#This Row],[membership_type]],1)&amp;TEXT(MATCH(Table1[[#This Row],[membership_type]],Table1[membership_type],0),"00")</f>
        <v>S02</v>
      </c>
      <c r="AL1910" t="str">
        <f>LEFT(Table1[[#This Row],[discount_type]],1)&amp;TEXT(ROUND(Table1[[#This Row],[discount_rate]]*100,0),"00")</f>
        <v>P05</v>
      </c>
      <c r="AM1910" t="str" cm="1">
        <f t="array" ref="AM1910">TEXT(SUMPRODUCT(CODE(MID(Table1[[#This Row],[home_gym_location]],_xlfn.SEQUENCE(LEN(Table1[[#This Row],[home_gym_location]])),1))),"00000")</f>
        <v>00829</v>
      </c>
      <c r="AN1910" t="str">
        <f>UPPER(_xlfn.TEXTBEFORE(Table1[[#This Row],[home_gym_location]],","))&amp;"-"&amp;TEXT(MATCH(Table1[[#This Row],[home_gym_location]],_xlfn._xlws.SORT(_xlfn.UNIQUE(Table1[home_gym_location])),0),"000")</f>
        <v>FRESNO-003</v>
      </c>
      <c r="AO1910" t="str">
        <f>LEFT(_xlfn.TEXTBEFORE(Table1[[#This Row],[Location Identifier]],"-"),3) &amp; "-" &amp; _xlfn.TEXTAFTER(Table1[[#This Row],[Location Identifier]],"-")</f>
        <v>FRE-003</v>
      </c>
      <c r="AP1910" s="9">
        <f t="shared" ca="1" si="290"/>
        <v>45869</v>
      </c>
    </row>
    <row r="1911" spans="1:42" x14ac:dyDescent="0.25">
      <c r="A1911">
        <v>19</v>
      </c>
      <c r="B1911" t="s">
        <v>26</v>
      </c>
      <c r="C1911">
        <v>3</v>
      </c>
      <c r="D1911" t="s">
        <v>142</v>
      </c>
      <c r="E1911" t="b">
        <v>0</v>
      </c>
      <c r="F1911" s="1">
        <v>0.6069444444444444</v>
      </c>
      <c r="G1911" s="1">
        <v>0.64861111111111114</v>
      </c>
      <c r="H1911">
        <v>60</v>
      </c>
      <c r="I1911" t="b">
        <v>1</v>
      </c>
      <c r="J1911" t="b">
        <v>0</v>
      </c>
      <c r="K1911" t="b">
        <v>1</v>
      </c>
      <c r="L1911" t="s">
        <v>58</v>
      </c>
      <c r="M1911">
        <v>50</v>
      </c>
      <c r="N1911" t="s">
        <v>29</v>
      </c>
      <c r="O1911">
        <v>50</v>
      </c>
      <c r="P1911" t="s">
        <v>74</v>
      </c>
      <c r="Q1911">
        <v>0.15</v>
      </c>
      <c r="R1911">
        <v>42.5</v>
      </c>
      <c r="S1911" t="s">
        <v>31</v>
      </c>
      <c r="T1911" t="s">
        <v>59</v>
      </c>
      <c r="U1911">
        <v>37.774900000000002</v>
      </c>
      <c r="V1911">
        <v>-122.4194</v>
      </c>
      <c r="W1911" s="2">
        <v>45505</v>
      </c>
      <c r="X1911">
        <v>0</v>
      </c>
      <c r="Y1911" t="b">
        <v>1</v>
      </c>
      <c r="Z1911" s="2">
        <v>45842</v>
      </c>
      <c r="AA1911" t="str">
        <f t="shared" si="291"/>
        <v>10–19</v>
      </c>
      <c r="AB1911" t="str">
        <f t="shared" si="292"/>
        <v>16–19</v>
      </c>
      <c r="AC1911" t="str">
        <f t="shared" si="293"/>
        <v>Monday</v>
      </c>
      <c r="AD1911" t="str">
        <f t="shared" si="294"/>
        <v/>
      </c>
      <c r="AE1911" t="str">
        <f t="shared" si="295"/>
        <v>Wednesday</v>
      </c>
      <c r="AF1911" t="str">
        <f t="shared" si="296"/>
        <v/>
      </c>
      <c r="AG1911" t="str">
        <f t="shared" si="297"/>
        <v/>
      </c>
      <c r="AH1911" t="str">
        <f t="shared" si="298"/>
        <v/>
      </c>
      <c r="AI1911" t="str">
        <f t="shared" si="299"/>
        <v>Sunday</v>
      </c>
      <c r="AJ1911" t="str">
        <f>LEFT(Table1[[#This Row],[membership_type]],2)&amp;TEXT(Table1[[#This Row],[age]],"00")&amp;"-"&amp;TEXT(ROW(),"000")</f>
        <v>Pr19-1911</v>
      </c>
      <c r="AK1911" t="str">
        <f>LEFT(Table1[[#This Row],[membership_type]],1)&amp;TEXT(MATCH(Table1[[#This Row],[membership_type]],Table1[membership_type],0),"00")</f>
        <v>P01</v>
      </c>
      <c r="AL1911" t="str">
        <f>LEFT(Table1[[#This Row],[discount_type]],1)&amp;TEXT(ROUND(Table1[[#This Row],[discount_rate]]*100,0),"00")</f>
        <v>S15</v>
      </c>
      <c r="AM1911" t="str" cm="1">
        <f t="array" ref="AM1911">TEXT(SUMPRODUCT(CODE(MID(Table1[[#This Row],[home_gym_location]],_xlfn.SEQUENCE(LEN(Table1[[#This Row],[home_gym_location]])),1))),"00000")</f>
        <v>01450</v>
      </c>
      <c r="AN191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11" t="str">
        <f>LEFT(_xlfn.TEXTBEFORE(Table1[[#This Row],[Location Identifier]],"-"),3) &amp; "-" &amp; _xlfn.TEXTAFTER(Table1[[#This Row],[Location Identifier]],"-")</f>
        <v>SAN-009</v>
      </c>
      <c r="AP1911" s="9">
        <f t="shared" ca="1" si="290"/>
        <v>45869</v>
      </c>
    </row>
    <row r="1912" spans="1:42" x14ac:dyDescent="0.25">
      <c r="A1912">
        <v>27</v>
      </c>
      <c r="B1912" t="s">
        <v>42</v>
      </c>
      <c r="C1912">
        <v>2</v>
      </c>
      <c r="D1912" t="s">
        <v>73</v>
      </c>
      <c r="E1912" t="b">
        <v>1</v>
      </c>
      <c r="F1912" s="1">
        <v>0.4826388888888889</v>
      </c>
      <c r="G1912" s="1">
        <v>0.56527777777777777</v>
      </c>
      <c r="H1912">
        <v>119</v>
      </c>
      <c r="I1912" t="b">
        <v>1</v>
      </c>
      <c r="J1912" t="b">
        <v>0</v>
      </c>
      <c r="K1912" t="b">
        <v>1</v>
      </c>
      <c r="L1912" t="s">
        <v>28</v>
      </c>
      <c r="M1912">
        <v>20</v>
      </c>
      <c r="N1912" t="s">
        <v>29</v>
      </c>
      <c r="O1912">
        <v>20</v>
      </c>
      <c r="P1912" t="s">
        <v>30</v>
      </c>
      <c r="Q1912">
        <v>0.05</v>
      </c>
      <c r="R1912">
        <v>19</v>
      </c>
      <c r="S1912" t="s">
        <v>44</v>
      </c>
      <c r="T1912" t="s">
        <v>41</v>
      </c>
      <c r="U1912">
        <v>37.804400000000001</v>
      </c>
      <c r="V1912">
        <v>-122.27119999999999</v>
      </c>
      <c r="W1912" s="2">
        <v>44897</v>
      </c>
      <c r="X1912">
        <v>0</v>
      </c>
      <c r="Y1912" t="b">
        <v>1</v>
      </c>
      <c r="Z1912" s="2">
        <v>45808</v>
      </c>
      <c r="AA1912" t="str">
        <f t="shared" si="291"/>
        <v>20–29</v>
      </c>
      <c r="AB1912" t="str">
        <f t="shared" si="292"/>
        <v>20–29</v>
      </c>
      <c r="AC1912" t="str">
        <f t="shared" si="293"/>
        <v/>
      </c>
      <c r="AD1912" t="str">
        <f t="shared" si="294"/>
        <v>Tuesday</v>
      </c>
      <c r="AE1912" t="str">
        <f t="shared" si="295"/>
        <v/>
      </c>
      <c r="AF1912" t="str">
        <f t="shared" si="296"/>
        <v/>
      </c>
      <c r="AG1912" t="str">
        <f t="shared" si="297"/>
        <v>Friday</v>
      </c>
      <c r="AH1912" t="str">
        <f t="shared" si="298"/>
        <v/>
      </c>
      <c r="AI1912" t="str">
        <f t="shared" si="299"/>
        <v/>
      </c>
      <c r="AJ1912" t="str">
        <f>LEFT(Table1[[#This Row],[membership_type]],2)&amp;TEXT(Table1[[#This Row],[age]],"00")&amp;"-"&amp;TEXT(ROW(),"000")</f>
        <v>Ba27-1912</v>
      </c>
      <c r="AK1912" t="str">
        <f>LEFT(Table1[[#This Row],[membership_type]],1)&amp;TEXT(MATCH(Table1[[#This Row],[membership_type]],Table1[membership_type],0),"00")</f>
        <v>B04</v>
      </c>
      <c r="AL1912" t="str">
        <f>LEFT(Table1[[#This Row],[discount_type]],1)&amp;TEXT(ROUND(Table1[[#This Row],[discount_rate]]*100,0),"00")</f>
        <v>P05</v>
      </c>
      <c r="AM1912" t="str" cm="1">
        <f t="array" ref="AM1912">TEXT(SUMPRODUCT(CODE(MID(Table1[[#This Row],[home_gym_location]],_xlfn.SEQUENCE(LEN(Table1[[#This Row],[home_gym_location]])),1))),"00000")</f>
        <v>00906</v>
      </c>
      <c r="AN191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12" t="str">
        <f>LEFT(_xlfn.TEXTBEFORE(Table1[[#This Row],[Location Identifier]],"-"),3) &amp; "-" &amp; _xlfn.TEXTAFTER(Table1[[#This Row],[Location Identifier]],"-")</f>
        <v>OAK-006</v>
      </c>
      <c r="AP1912" s="9">
        <f t="shared" ca="1" si="290"/>
        <v>45869</v>
      </c>
    </row>
    <row r="1913" spans="1:42" x14ac:dyDescent="0.25">
      <c r="A1913">
        <v>37</v>
      </c>
      <c r="B1913" t="s">
        <v>42</v>
      </c>
      <c r="C1913">
        <v>3</v>
      </c>
      <c r="D1913" t="s">
        <v>82</v>
      </c>
      <c r="E1913" t="b">
        <v>0</v>
      </c>
      <c r="F1913" s="1">
        <v>0.3923611111111111</v>
      </c>
      <c r="G1913" s="1">
        <v>0.50416666666666665</v>
      </c>
      <c r="H1913">
        <v>161</v>
      </c>
      <c r="I1913" t="b">
        <v>0</v>
      </c>
      <c r="J1913" t="b">
        <v>1</v>
      </c>
      <c r="K1913" t="b">
        <v>1</v>
      </c>
      <c r="L1913" t="s">
        <v>28</v>
      </c>
      <c r="M1913">
        <v>20</v>
      </c>
      <c r="N1913" t="s">
        <v>29</v>
      </c>
      <c r="O1913">
        <v>20</v>
      </c>
      <c r="P1913" t="s">
        <v>74</v>
      </c>
      <c r="Q1913">
        <v>0.15</v>
      </c>
      <c r="R1913">
        <v>17</v>
      </c>
      <c r="S1913" t="s">
        <v>44</v>
      </c>
      <c r="T1913" t="s">
        <v>65</v>
      </c>
      <c r="U1913">
        <v>33.770099999999999</v>
      </c>
      <c r="V1913">
        <v>-118.19370000000001</v>
      </c>
      <c r="W1913" s="2">
        <v>44769</v>
      </c>
      <c r="X1913">
        <v>1</v>
      </c>
      <c r="Y1913" t="b">
        <v>0</v>
      </c>
      <c r="Z1913" s="2">
        <v>45801</v>
      </c>
      <c r="AA1913" t="str">
        <f t="shared" si="291"/>
        <v>30–39</v>
      </c>
      <c r="AB1913" t="str">
        <f t="shared" si="292"/>
        <v>30–39</v>
      </c>
      <c r="AC1913" t="str">
        <f t="shared" si="293"/>
        <v/>
      </c>
      <c r="AD1913" t="str">
        <f t="shared" si="294"/>
        <v/>
      </c>
      <c r="AE1913" t="str">
        <f t="shared" si="295"/>
        <v/>
      </c>
      <c r="AF1913" t="str">
        <f t="shared" si="296"/>
        <v/>
      </c>
      <c r="AG1913" t="str">
        <f t="shared" si="297"/>
        <v>Friday</v>
      </c>
      <c r="AH1913" t="str">
        <f t="shared" si="298"/>
        <v>Saturday</v>
      </c>
      <c r="AI1913" t="str">
        <f t="shared" si="299"/>
        <v>Sunday</v>
      </c>
      <c r="AJ1913" t="str">
        <f>LEFT(Table1[[#This Row],[membership_type]],2)&amp;TEXT(Table1[[#This Row],[age]],"00")&amp;"-"&amp;TEXT(ROW(),"000")</f>
        <v>Ba37-1913</v>
      </c>
      <c r="AK1913" t="str">
        <f>LEFT(Table1[[#This Row],[membership_type]],1)&amp;TEXT(MATCH(Table1[[#This Row],[membership_type]],Table1[membership_type],0),"00")</f>
        <v>B04</v>
      </c>
      <c r="AL1913" t="str">
        <f>LEFT(Table1[[#This Row],[discount_type]],1)&amp;TEXT(ROUND(Table1[[#This Row],[discount_rate]]*100,0),"00")</f>
        <v>S15</v>
      </c>
      <c r="AM1913" t="str" cm="1">
        <f t="array" ref="AM1913">TEXT(SUMPRODUCT(CODE(MID(Table1[[#This Row],[home_gym_location]],_xlfn.SEQUENCE(LEN(Table1[[#This Row],[home_gym_location]])),1))),"00000")</f>
        <v>01107</v>
      </c>
      <c r="AN1913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13" t="str">
        <f>LEFT(_xlfn.TEXTBEFORE(Table1[[#This Row],[Location Identifier]],"-"),3) &amp; "-" &amp; _xlfn.TEXTAFTER(Table1[[#This Row],[Location Identifier]],"-")</f>
        <v>LON-004</v>
      </c>
      <c r="AP1913" s="9">
        <f t="shared" ca="1" si="290"/>
        <v>45869</v>
      </c>
    </row>
    <row r="1914" spans="1:42" x14ac:dyDescent="0.25">
      <c r="A1914">
        <v>25</v>
      </c>
      <c r="B1914" t="s">
        <v>26</v>
      </c>
      <c r="C1914">
        <v>2</v>
      </c>
      <c r="D1914" t="s">
        <v>108</v>
      </c>
      <c r="E1914" t="b">
        <v>0</v>
      </c>
      <c r="F1914" s="1">
        <v>0.4548611111111111</v>
      </c>
      <c r="G1914" s="1">
        <v>0.57708333333333328</v>
      </c>
      <c r="H1914">
        <v>176</v>
      </c>
      <c r="I1914" t="b">
        <v>1</v>
      </c>
      <c r="J1914" t="b">
        <v>0</v>
      </c>
      <c r="K1914" t="b">
        <v>1</v>
      </c>
      <c r="L1914" t="s">
        <v>62</v>
      </c>
      <c r="M1914">
        <v>50</v>
      </c>
      <c r="N1914" t="s">
        <v>64</v>
      </c>
      <c r="O1914">
        <v>37.5</v>
      </c>
      <c r="P1914" t="s">
        <v>36</v>
      </c>
      <c r="Q1914">
        <v>0</v>
      </c>
      <c r="R1914">
        <v>37.5</v>
      </c>
      <c r="S1914" t="s">
        <v>31</v>
      </c>
      <c r="T1914" t="s">
        <v>48</v>
      </c>
      <c r="U1914">
        <v>38.581600000000002</v>
      </c>
      <c r="V1914">
        <v>-121.4944</v>
      </c>
      <c r="W1914" s="2">
        <v>45438</v>
      </c>
      <c r="X1914">
        <v>0</v>
      </c>
      <c r="Y1914" t="b">
        <v>1</v>
      </c>
      <c r="Z1914" s="2">
        <v>45838</v>
      </c>
      <c r="AA1914" t="str">
        <f t="shared" si="291"/>
        <v>20–29</v>
      </c>
      <c r="AB1914" t="str">
        <f t="shared" si="292"/>
        <v>20–29</v>
      </c>
      <c r="AC1914" t="str">
        <f t="shared" si="293"/>
        <v/>
      </c>
      <c r="AD1914" t="str">
        <f t="shared" si="294"/>
        <v>Tuesday</v>
      </c>
      <c r="AE1914" t="str">
        <f t="shared" si="295"/>
        <v/>
      </c>
      <c r="AF1914" t="str">
        <f t="shared" si="296"/>
        <v>Thursday</v>
      </c>
      <c r="AG1914" t="str">
        <f t="shared" si="297"/>
        <v/>
      </c>
      <c r="AH1914" t="str">
        <f t="shared" si="298"/>
        <v/>
      </c>
      <c r="AI1914" t="str">
        <f t="shared" si="299"/>
        <v/>
      </c>
      <c r="AJ1914" t="str">
        <f>LEFT(Table1[[#This Row],[membership_type]],2)&amp;TEXT(Table1[[#This Row],[age]],"00")&amp;"-"&amp;TEXT(ROW(),"000")</f>
        <v>Pr25-1914</v>
      </c>
      <c r="AK1914" t="str">
        <f>LEFT(Table1[[#This Row],[membership_type]],1)&amp;TEXT(MATCH(Table1[[#This Row],[membership_type]],Table1[membership_type],0),"00")</f>
        <v>P01</v>
      </c>
      <c r="AL1914" t="str">
        <f>LEFT(Table1[[#This Row],[discount_type]],1)&amp;TEXT(ROUND(Table1[[#This Row],[discount_rate]]*100,0),"00")</f>
        <v>N00</v>
      </c>
      <c r="AM1914" t="str" cm="1">
        <f t="array" ref="AM1914">TEXT(SUMPRODUCT(CODE(MID(Table1[[#This Row],[home_gym_location]],_xlfn.SEQUENCE(LEN(Table1[[#This Row],[home_gym_location]])),1))),"00000")</f>
        <v>01245</v>
      </c>
      <c r="AN191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14" t="str">
        <f>LEFT(_xlfn.TEXTBEFORE(Table1[[#This Row],[Location Identifier]],"-"),3) &amp; "-" &amp; _xlfn.TEXTAFTER(Table1[[#This Row],[Location Identifier]],"-")</f>
        <v>SAC-007</v>
      </c>
      <c r="AP1914" s="9">
        <f t="shared" ca="1" si="290"/>
        <v>45869</v>
      </c>
    </row>
    <row r="1915" spans="1:42" x14ac:dyDescent="0.25">
      <c r="A1915">
        <v>49</v>
      </c>
      <c r="B1915" t="s">
        <v>33</v>
      </c>
      <c r="C1915">
        <v>3</v>
      </c>
      <c r="D1915" t="s">
        <v>80</v>
      </c>
      <c r="E1915" t="b">
        <v>0</v>
      </c>
      <c r="F1915" s="1">
        <v>0.64236111111111116</v>
      </c>
      <c r="G1915" s="1">
        <v>0.75347222222222221</v>
      </c>
      <c r="H1915">
        <v>160</v>
      </c>
      <c r="I1915" t="b">
        <v>1</v>
      </c>
      <c r="J1915" t="b">
        <v>0</v>
      </c>
      <c r="K1915" t="b">
        <v>1</v>
      </c>
      <c r="L1915" t="s">
        <v>62</v>
      </c>
      <c r="M1915">
        <v>30</v>
      </c>
      <c r="N1915" t="s">
        <v>29</v>
      </c>
      <c r="O1915">
        <v>30</v>
      </c>
      <c r="P1915" t="s">
        <v>40</v>
      </c>
      <c r="Q1915">
        <v>0.1</v>
      </c>
      <c r="R1915">
        <v>27</v>
      </c>
      <c r="S1915" t="s">
        <v>37</v>
      </c>
      <c r="T1915" t="s">
        <v>50</v>
      </c>
      <c r="U1915">
        <v>34.052199999999999</v>
      </c>
      <c r="V1915">
        <v>-118.2437</v>
      </c>
      <c r="W1915" s="2">
        <v>45353</v>
      </c>
      <c r="X1915">
        <v>0</v>
      </c>
      <c r="Y1915" t="b">
        <v>0</v>
      </c>
      <c r="Z1915" s="2">
        <v>45834</v>
      </c>
      <c r="AA1915" t="str">
        <f t="shared" si="291"/>
        <v>40–49</v>
      </c>
      <c r="AB1915" t="str">
        <f t="shared" si="292"/>
        <v>40–49</v>
      </c>
      <c r="AC1915" t="str">
        <f t="shared" si="293"/>
        <v>Monday</v>
      </c>
      <c r="AD1915" t="str">
        <f t="shared" si="294"/>
        <v/>
      </c>
      <c r="AE1915" t="str">
        <f t="shared" si="295"/>
        <v/>
      </c>
      <c r="AF1915" t="str">
        <f t="shared" si="296"/>
        <v/>
      </c>
      <c r="AG1915" t="str">
        <f t="shared" si="297"/>
        <v/>
      </c>
      <c r="AH1915" t="str">
        <f t="shared" si="298"/>
        <v>Saturday</v>
      </c>
      <c r="AI1915" t="str">
        <f t="shared" si="299"/>
        <v>Sunday</v>
      </c>
      <c r="AJ1915" t="str">
        <f>LEFT(Table1[[#This Row],[membership_type]],2)&amp;TEXT(Table1[[#This Row],[age]],"00")&amp;"-"&amp;TEXT(ROW(),"000")</f>
        <v>St49-1915</v>
      </c>
      <c r="AK1915" t="str">
        <f>LEFT(Table1[[#This Row],[membership_type]],1)&amp;TEXT(MATCH(Table1[[#This Row],[membership_type]],Table1[membership_type],0),"00")</f>
        <v>S02</v>
      </c>
      <c r="AL1915" t="str">
        <f>LEFT(Table1[[#This Row],[discount_type]],1)&amp;TEXT(ROUND(Table1[[#This Row],[discount_rate]]*100,0),"00")</f>
        <v>L10</v>
      </c>
      <c r="AM1915" t="str" cm="1">
        <f t="array" ref="AM1915">TEXT(SUMPRODUCT(CODE(MID(Table1[[#This Row],[home_gym_location]],_xlfn.SEQUENCE(LEN(Table1[[#This Row],[home_gym_location]])),1))),"00000")</f>
        <v>01245</v>
      </c>
      <c r="AN1915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15" t="str">
        <f>LEFT(_xlfn.TEXTBEFORE(Table1[[#This Row],[Location Identifier]],"-"),3) &amp; "-" &amp; _xlfn.TEXTAFTER(Table1[[#This Row],[Location Identifier]],"-")</f>
        <v>LOS-005</v>
      </c>
      <c r="AP1915" s="9">
        <f t="shared" ca="1" si="290"/>
        <v>45869</v>
      </c>
    </row>
    <row r="1916" spans="1:42" x14ac:dyDescent="0.25">
      <c r="A1916">
        <v>37</v>
      </c>
      <c r="B1916" t="s">
        <v>42</v>
      </c>
      <c r="C1916">
        <v>2</v>
      </c>
      <c r="D1916" t="s">
        <v>96</v>
      </c>
      <c r="E1916" t="b">
        <v>1</v>
      </c>
      <c r="F1916" s="1">
        <v>0.81874999999999998</v>
      </c>
      <c r="G1916" s="1">
        <v>0.86041666666666672</v>
      </c>
      <c r="H1916">
        <v>60</v>
      </c>
      <c r="I1916" t="b">
        <v>0</v>
      </c>
      <c r="J1916" t="b">
        <v>0</v>
      </c>
      <c r="K1916" t="b">
        <v>1</v>
      </c>
      <c r="L1916" t="s">
        <v>62</v>
      </c>
      <c r="M1916">
        <v>20</v>
      </c>
      <c r="N1916" t="s">
        <v>78</v>
      </c>
      <c r="O1916">
        <v>18</v>
      </c>
      <c r="P1916" t="s">
        <v>36</v>
      </c>
      <c r="Q1916">
        <v>0</v>
      </c>
      <c r="R1916">
        <v>18</v>
      </c>
      <c r="S1916" t="s">
        <v>44</v>
      </c>
      <c r="T1916" t="s">
        <v>56</v>
      </c>
      <c r="U1916">
        <v>35.3733</v>
      </c>
      <c r="V1916">
        <v>-119.0187</v>
      </c>
      <c r="W1916" s="2">
        <v>45061</v>
      </c>
      <c r="X1916">
        <v>0</v>
      </c>
      <c r="Y1916" t="b">
        <v>0</v>
      </c>
      <c r="Z1916" s="2">
        <v>45817</v>
      </c>
      <c r="AA1916" t="str">
        <f t="shared" si="291"/>
        <v>30–39</v>
      </c>
      <c r="AB1916" t="str">
        <f t="shared" si="292"/>
        <v>30–39</v>
      </c>
      <c r="AC1916" t="str">
        <f t="shared" si="293"/>
        <v/>
      </c>
      <c r="AD1916" t="str">
        <f t="shared" si="294"/>
        <v/>
      </c>
      <c r="AE1916" t="str">
        <f t="shared" si="295"/>
        <v/>
      </c>
      <c r="AF1916" t="str">
        <f t="shared" si="296"/>
        <v>Thursday</v>
      </c>
      <c r="AG1916" t="str">
        <f t="shared" si="297"/>
        <v>Friday</v>
      </c>
      <c r="AH1916" t="str">
        <f t="shared" si="298"/>
        <v/>
      </c>
      <c r="AI1916" t="str">
        <f t="shared" si="299"/>
        <v/>
      </c>
      <c r="AJ1916" t="str">
        <f>LEFT(Table1[[#This Row],[membership_type]],2)&amp;TEXT(Table1[[#This Row],[age]],"00")&amp;"-"&amp;TEXT(ROW(),"000")</f>
        <v>Ba37-1916</v>
      </c>
      <c r="AK1916" t="str">
        <f>LEFT(Table1[[#This Row],[membership_type]],1)&amp;TEXT(MATCH(Table1[[#This Row],[membership_type]],Table1[membership_type],0),"00")</f>
        <v>B04</v>
      </c>
      <c r="AL1916" t="str">
        <f>LEFT(Table1[[#This Row],[discount_type]],1)&amp;TEXT(ROUND(Table1[[#This Row],[discount_rate]]*100,0),"00")</f>
        <v>N00</v>
      </c>
      <c r="AM1916" t="str" cm="1">
        <f t="array" ref="AM1916">TEXT(SUMPRODUCT(CODE(MID(Table1[[#This Row],[home_gym_location]],_xlfn.SEQUENCE(LEN(Table1[[#This Row],[home_gym_location]])),1))),"00000")</f>
        <v>01324</v>
      </c>
      <c r="AN191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16" t="str">
        <f>LEFT(_xlfn.TEXTBEFORE(Table1[[#This Row],[Location Identifier]],"-"),3) &amp; "-" &amp; _xlfn.TEXTAFTER(Table1[[#This Row],[Location Identifier]],"-")</f>
        <v>BAK-002</v>
      </c>
      <c r="AP1916" s="9">
        <f t="shared" ca="1" si="290"/>
        <v>45869</v>
      </c>
    </row>
    <row r="1917" spans="1:42" x14ac:dyDescent="0.25">
      <c r="A1917">
        <v>20</v>
      </c>
      <c r="B1917" t="s">
        <v>51</v>
      </c>
      <c r="C1917">
        <v>2</v>
      </c>
      <c r="D1917" t="s">
        <v>116</v>
      </c>
      <c r="E1917" t="b">
        <v>1</v>
      </c>
      <c r="F1917" s="1">
        <v>0.39305555555555555</v>
      </c>
      <c r="G1917" s="1">
        <v>0.44097222222222221</v>
      </c>
      <c r="H1917">
        <v>69</v>
      </c>
      <c r="I1917" t="b">
        <v>0</v>
      </c>
      <c r="J1917" t="b">
        <v>0</v>
      </c>
      <c r="K1917" t="b">
        <v>0</v>
      </c>
      <c r="L1917" t="s">
        <v>47</v>
      </c>
      <c r="M1917">
        <v>70</v>
      </c>
      <c r="N1917" t="s">
        <v>29</v>
      </c>
      <c r="O1917">
        <v>70</v>
      </c>
      <c r="P1917" t="s">
        <v>36</v>
      </c>
      <c r="Q1917">
        <v>0</v>
      </c>
      <c r="R1917">
        <v>70</v>
      </c>
      <c r="S1917" t="s">
        <v>53</v>
      </c>
      <c r="T1917" t="s">
        <v>54</v>
      </c>
      <c r="U1917">
        <v>32.715699999999998</v>
      </c>
      <c r="V1917">
        <v>-117.1611</v>
      </c>
      <c r="W1917" s="2">
        <v>44887</v>
      </c>
      <c r="X1917">
        <v>0</v>
      </c>
      <c r="Y1917" t="b">
        <v>0</v>
      </c>
      <c r="Z1917" s="2">
        <v>45807</v>
      </c>
      <c r="AA1917" t="str">
        <f t="shared" si="291"/>
        <v>20–29</v>
      </c>
      <c r="AB1917" t="str">
        <f t="shared" si="292"/>
        <v>20–29</v>
      </c>
      <c r="AC1917" t="str">
        <f t="shared" si="293"/>
        <v/>
      </c>
      <c r="AD1917" t="str">
        <f t="shared" si="294"/>
        <v/>
      </c>
      <c r="AE1917" t="str">
        <f t="shared" si="295"/>
        <v/>
      </c>
      <c r="AF1917" t="str">
        <f t="shared" si="296"/>
        <v>Thursday</v>
      </c>
      <c r="AG1917" t="str">
        <f t="shared" si="297"/>
        <v/>
      </c>
      <c r="AH1917" t="str">
        <f t="shared" si="298"/>
        <v/>
      </c>
      <c r="AI1917" t="str">
        <f t="shared" si="299"/>
        <v>Sunday</v>
      </c>
      <c r="AJ1917" t="str">
        <f>LEFT(Table1[[#This Row],[membership_type]],2)&amp;TEXT(Table1[[#This Row],[age]],"00")&amp;"-"&amp;TEXT(ROW(),"000")</f>
        <v>El20-1917</v>
      </c>
      <c r="AK1917" t="str">
        <f>LEFT(Table1[[#This Row],[membership_type]],1)&amp;TEXT(MATCH(Table1[[#This Row],[membership_type]],Table1[membership_type],0),"00")</f>
        <v>E07</v>
      </c>
      <c r="AL1917" t="str">
        <f>LEFT(Table1[[#This Row],[discount_type]],1)&amp;TEXT(ROUND(Table1[[#This Row],[discount_rate]]*100,0),"00")</f>
        <v>N00</v>
      </c>
      <c r="AM1917" t="str" cm="1">
        <f t="array" ref="AM1917">TEXT(SUMPRODUCT(CODE(MID(Table1[[#This Row],[home_gym_location]],_xlfn.SEQUENCE(LEN(Table1[[#This Row],[home_gym_location]])),1))),"00000")</f>
        <v>01018</v>
      </c>
      <c r="AN191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17" t="str">
        <f>LEFT(_xlfn.TEXTBEFORE(Table1[[#This Row],[Location Identifier]],"-"),3) &amp; "-" &amp; _xlfn.TEXTAFTER(Table1[[#This Row],[Location Identifier]],"-")</f>
        <v>SAN-008</v>
      </c>
      <c r="AP1917" s="9">
        <f t="shared" ca="1" si="290"/>
        <v>45869</v>
      </c>
    </row>
    <row r="1918" spans="1:42" x14ac:dyDescent="0.25">
      <c r="A1918">
        <v>32</v>
      </c>
      <c r="B1918" t="s">
        <v>42</v>
      </c>
      <c r="C1918">
        <v>3</v>
      </c>
      <c r="D1918" t="s">
        <v>100</v>
      </c>
      <c r="E1918" t="b">
        <v>1</v>
      </c>
      <c r="F1918" s="1">
        <v>0.61944444444444446</v>
      </c>
      <c r="G1918" s="1">
        <v>0.73055555555555551</v>
      </c>
      <c r="H1918">
        <v>160</v>
      </c>
      <c r="I1918" t="b">
        <v>0</v>
      </c>
      <c r="J1918" t="b">
        <v>0</v>
      </c>
      <c r="K1918" t="b">
        <v>0</v>
      </c>
      <c r="L1918" t="s">
        <v>28</v>
      </c>
      <c r="M1918">
        <v>20</v>
      </c>
      <c r="N1918" t="s">
        <v>29</v>
      </c>
      <c r="O1918">
        <v>20</v>
      </c>
      <c r="P1918" t="s">
        <v>30</v>
      </c>
      <c r="Q1918">
        <v>0.05</v>
      </c>
      <c r="R1918">
        <v>19</v>
      </c>
      <c r="S1918" t="s">
        <v>44</v>
      </c>
      <c r="T1918" t="s">
        <v>48</v>
      </c>
      <c r="U1918">
        <v>38.581600000000002</v>
      </c>
      <c r="V1918">
        <v>-121.4944</v>
      </c>
      <c r="W1918" s="2">
        <v>45199</v>
      </c>
      <c r="X1918">
        <v>0</v>
      </c>
      <c r="Y1918" t="b">
        <v>1</v>
      </c>
      <c r="Z1918" s="2">
        <v>45825</v>
      </c>
      <c r="AA1918" t="str">
        <f t="shared" si="291"/>
        <v>30–39</v>
      </c>
      <c r="AB1918" t="str">
        <f t="shared" si="292"/>
        <v>30–39</v>
      </c>
      <c r="AC1918" t="str">
        <f t="shared" si="293"/>
        <v/>
      </c>
      <c r="AD1918" t="str">
        <f t="shared" si="294"/>
        <v/>
      </c>
      <c r="AE1918" t="str">
        <f t="shared" si="295"/>
        <v>Wednesday</v>
      </c>
      <c r="AF1918" t="str">
        <f t="shared" si="296"/>
        <v/>
      </c>
      <c r="AG1918" t="str">
        <f t="shared" si="297"/>
        <v>Friday</v>
      </c>
      <c r="AH1918" t="str">
        <f t="shared" si="298"/>
        <v/>
      </c>
      <c r="AI1918" t="str">
        <f t="shared" si="299"/>
        <v>Sunday</v>
      </c>
      <c r="AJ1918" t="str">
        <f>LEFT(Table1[[#This Row],[membership_type]],2)&amp;TEXT(Table1[[#This Row],[age]],"00")&amp;"-"&amp;TEXT(ROW(),"000")</f>
        <v>Ba32-1918</v>
      </c>
      <c r="AK1918" t="str">
        <f>LEFT(Table1[[#This Row],[membership_type]],1)&amp;TEXT(MATCH(Table1[[#This Row],[membership_type]],Table1[membership_type],0),"00")</f>
        <v>B04</v>
      </c>
      <c r="AL1918" t="str">
        <f>LEFT(Table1[[#This Row],[discount_type]],1)&amp;TEXT(ROUND(Table1[[#This Row],[discount_rate]]*100,0),"00")</f>
        <v>P05</v>
      </c>
      <c r="AM1918" t="str" cm="1">
        <f t="array" ref="AM1918">TEXT(SUMPRODUCT(CODE(MID(Table1[[#This Row],[home_gym_location]],_xlfn.SEQUENCE(LEN(Table1[[#This Row],[home_gym_location]])),1))),"00000")</f>
        <v>01245</v>
      </c>
      <c r="AN191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18" t="str">
        <f>LEFT(_xlfn.TEXTBEFORE(Table1[[#This Row],[Location Identifier]],"-"),3) &amp; "-" &amp; _xlfn.TEXTAFTER(Table1[[#This Row],[Location Identifier]],"-")</f>
        <v>SAC-007</v>
      </c>
      <c r="AP1918" s="9">
        <f t="shared" ca="1" si="290"/>
        <v>45869</v>
      </c>
    </row>
    <row r="1919" spans="1:42" x14ac:dyDescent="0.25">
      <c r="A1919">
        <v>26</v>
      </c>
      <c r="B1919" t="s">
        <v>33</v>
      </c>
      <c r="C1919">
        <v>3</v>
      </c>
      <c r="D1919" t="s">
        <v>135</v>
      </c>
      <c r="E1919" t="b">
        <v>0</v>
      </c>
      <c r="F1919" s="1">
        <v>0.62083333333333335</v>
      </c>
      <c r="G1919" s="1">
        <v>0.69861111111111107</v>
      </c>
      <c r="H1919">
        <v>112</v>
      </c>
      <c r="I1919" t="b">
        <v>1</v>
      </c>
      <c r="J1919" t="b">
        <v>1</v>
      </c>
      <c r="K1919" t="b">
        <v>1</v>
      </c>
      <c r="L1919" t="s">
        <v>35</v>
      </c>
      <c r="M1919">
        <v>30</v>
      </c>
      <c r="N1919" t="s">
        <v>29</v>
      </c>
      <c r="O1919">
        <v>30</v>
      </c>
      <c r="P1919" t="s">
        <v>74</v>
      </c>
      <c r="Q1919">
        <v>0.15</v>
      </c>
      <c r="R1919">
        <v>25.5</v>
      </c>
      <c r="S1919" t="s">
        <v>37</v>
      </c>
      <c r="T1919" t="s">
        <v>48</v>
      </c>
      <c r="U1919">
        <v>38.581600000000002</v>
      </c>
      <c r="V1919">
        <v>-121.4944</v>
      </c>
      <c r="W1919" s="2">
        <v>45414</v>
      </c>
      <c r="X1919">
        <v>3</v>
      </c>
      <c r="Y1919" t="b">
        <v>1</v>
      </c>
      <c r="Z1919" s="2">
        <v>45837</v>
      </c>
      <c r="AA1919" t="str">
        <f t="shared" si="291"/>
        <v>20–29</v>
      </c>
      <c r="AB1919" t="str">
        <f t="shared" si="292"/>
        <v>20–29</v>
      </c>
      <c r="AC1919" t="str">
        <f t="shared" si="293"/>
        <v/>
      </c>
      <c r="AD1919" t="str">
        <f t="shared" si="294"/>
        <v>Tuesday</v>
      </c>
      <c r="AE1919" t="str">
        <f t="shared" si="295"/>
        <v>Wednesday</v>
      </c>
      <c r="AF1919" t="str">
        <f t="shared" si="296"/>
        <v>Thursday</v>
      </c>
      <c r="AG1919" t="str">
        <f t="shared" si="297"/>
        <v/>
      </c>
      <c r="AH1919" t="str">
        <f t="shared" si="298"/>
        <v/>
      </c>
      <c r="AI1919" t="str">
        <f t="shared" si="299"/>
        <v/>
      </c>
      <c r="AJ1919" t="str">
        <f>LEFT(Table1[[#This Row],[membership_type]],2)&amp;TEXT(Table1[[#This Row],[age]],"00")&amp;"-"&amp;TEXT(ROW(),"000")</f>
        <v>St26-1919</v>
      </c>
      <c r="AK1919" t="str">
        <f>LEFT(Table1[[#This Row],[membership_type]],1)&amp;TEXT(MATCH(Table1[[#This Row],[membership_type]],Table1[membership_type],0),"00")</f>
        <v>S02</v>
      </c>
      <c r="AL1919" t="str">
        <f>LEFT(Table1[[#This Row],[discount_type]],1)&amp;TEXT(ROUND(Table1[[#This Row],[discount_rate]]*100,0),"00")</f>
        <v>S15</v>
      </c>
      <c r="AM1919" t="str" cm="1">
        <f t="array" ref="AM1919">TEXT(SUMPRODUCT(CODE(MID(Table1[[#This Row],[home_gym_location]],_xlfn.SEQUENCE(LEN(Table1[[#This Row],[home_gym_location]])),1))),"00000")</f>
        <v>01245</v>
      </c>
      <c r="AN191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19" t="str">
        <f>LEFT(_xlfn.TEXTBEFORE(Table1[[#This Row],[Location Identifier]],"-"),3) &amp; "-" &amp; _xlfn.TEXTAFTER(Table1[[#This Row],[Location Identifier]],"-")</f>
        <v>SAC-007</v>
      </c>
      <c r="AP1919" s="9">
        <f t="shared" ca="1" si="290"/>
        <v>45869</v>
      </c>
    </row>
    <row r="1920" spans="1:42" x14ac:dyDescent="0.25">
      <c r="A1920">
        <v>37</v>
      </c>
      <c r="B1920" t="s">
        <v>33</v>
      </c>
      <c r="C1920">
        <v>1</v>
      </c>
      <c r="D1920" t="s">
        <v>97</v>
      </c>
      <c r="E1920" t="b">
        <v>1</v>
      </c>
      <c r="F1920" s="1">
        <v>0.69791666666666663</v>
      </c>
      <c r="G1920" s="1">
        <v>0.79027777777777775</v>
      </c>
      <c r="H1920">
        <v>133</v>
      </c>
      <c r="I1920" t="b">
        <v>0</v>
      </c>
      <c r="J1920" t="b">
        <v>0</v>
      </c>
      <c r="K1920" t="b">
        <v>0</v>
      </c>
      <c r="L1920" t="s">
        <v>28</v>
      </c>
      <c r="M1920">
        <v>30</v>
      </c>
      <c r="N1920" t="s">
        <v>64</v>
      </c>
      <c r="O1920">
        <v>22.5</v>
      </c>
      <c r="P1920" t="s">
        <v>36</v>
      </c>
      <c r="Q1920">
        <v>0</v>
      </c>
      <c r="R1920">
        <v>22.5</v>
      </c>
      <c r="S1920" t="s">
        <v>37</v>
      </c>
      <c r="T1920" t="s">
        <v>41</v>
      </c>
      <c r="U1920">
        <v>37.804400000000001</v>
      </c>
      <c r="V1920">
        <v>-122.27119999999999</v>
      </c>
      <c r="W1920" s="2">
        <v>45391</v>
      </c>
      <c r="X1920">
        <v>0</v>
      </c>
      <c r="Y1920" t="b">
        <v>0</v>
      </c>
      <c r="Z1920" s="2">
        <v>45836</v>
      </c>
      <c r="AA1920" t="str">
        <f t="shared" si="291"/>
        <v>30–39</v>
      </c>
      <c r="AB1920" t="str">
        <f t="shared" si="292"/>
        <v>30–39</v>
      </c>
      <c r="AC1920" t="str">
        <f t="shared" si="293"/>
        <v>Monday</v>
      </c>
      <c r="AD1920" t="str">
        <f t="shared" si="294"/>
        <v/>
      </c>
      <c r="AE1920" t="str">
        <f t="shared" si="295"/>
        <v/>
      </c>
      <c r="AF1920" t="str">
        <f t="shared" si="296"/>
        <v/>
      </c>
      <c r="AG1920" t="str">
        <f t="shared" si="297"/>
        <v/>
      </c>
      <c r="AH1920" t="str">
        <f t="shared" si="298"/>
        <v/>
      </c>
      <c r="AI1920" t="str">
        <f t="shared" si="299"/>
        <v/>
      </c>
      <c r="AJ1920" t="str">
        <f>LEFT(Table1[[#This Row],[membership_type]],2)&amp;TEXT(Table1[[#This Row],[age]],"00")&amp;"-"&amp;TEXT(ROW(),"000")</f>
        <v>St37-1920</v>
      </c>
      <c r="AK1920" t="str">
        <f>LEFT(Table1[[#This Row],[membership_type]],1)&amp;TEXT(MATCH(Table1[[#This Row],[membership_type]],Table1[membership_type],0),"00")</f>
        <v>S02</v>
      </c>
      <c r="AL1920" t="str">
        <f>LEFT(Table1[[#This Row],[discount_type]],1)&amp;TEXT(ROUND(Table1[[#This Row],[discount_rate]]*100,0),"00")</f>
        <v>N00</v>
      </c>
      <c r="AM1920" t="str" cm="1">
        <f t="array" ref="AM1920">TEXT(SUMPRODUCT(CODE(MID(Table1[[#This Row],[home_gym_location]],_xlfn.SEQUENCE(LEN(Table1[[#This Row],[home_gym_location]])),1))),"00000")</f>
        <v>00906</v>
      </c>
      <c r="AN1920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20" t="str">
        <f>LEFT(_xlfn.TEXTBEFORE(Table1[[#This Row],[Location Identifier]],"-"),3) &amp; "-" &amp; _xlfn.TEXTAFTER(Table1[[#This Row],[Location Identifier]],"-")</f>
        <v>OAK-006</v>
      </c>
      <c r="AP1920" s="9">
        <f t="shared" ca="1" si="290"/>
        <v>45869</v>
      </c>
    </row>
    <row r="1921" spans="1:42" x14ac:dyDescent="0.25">
      <c r="A1921">
        <v>16</v>
      </c>
      <c r="B1921" t="s">
        <v>51</v>
      </c>
      <c r="C1921">
        <v>3</v>
      </c>
      <c r="D1921" t="s">
        <v>83</v>
      </c>
      <c r="E1921" t="b">
        <v>0</v>
      </c>
      <c r="F1921" s="1">
        <v>0.77708333333333335</v>
      </c>
      <c r="G1921" s="1">
        <v>0.87083333333333335</v>
      </c>
      <c r="H1921">
        <v>135</v>
      </c>
      <c r="I1921" t="b">
        <v>0</v>
      </c>
      <c r="J1921" t="b">
        <v>0</v>
      </c>
      <c r="K1921" t="b">
        <v>0</v>
      </c>
      <c r="L1921" t="s">
        <v>28</v>
      </c>
      <c r="M1921">
        <v>70</v>
      </c>
      <c r="N1921" t="s">
        <v>78</v>
      </c>
      <c r="O1921">
        <v>63</v>
      </c>
      <c r="P1921" t="s">
        <v>36</v>
      </c>
      <c r="Q1921">
        <v>0</v>
      </c>
      <c r="R1921">
        <v>63</v>
      </c>
      <c r="S1921" t="s">
        <v>53</v>
      </c>
      <c r="T1921" t="s">
        <v>56</v>
      </c>
      <c r="U1921">
        <v>35.3733</v>
      </c>
      <c r="V1921">
        <v>-119.0187</v>
      </c>
      <c r="W1921" s="2">
        <v>45827</v>
      </c>
      <c r="X1921">
        <v>0</v>
      </c>
      <c r="Y1921" t="b">
        <v>0</v>
      </c>
      <c r="Z1921" s="2">
        <v>45860</v>
      </c>
      <c r="AA1921" t="str">
        <f t="shared" si="291"/>
        <v>10–19</v>
      </c>
      <c r="AB1921" t="str">
        <f t="shared" si="292"/>
        <v>16–19</v>
      </c>
      <c r="AC1921" t="str">
        <f t="shared" si="293"/>
        <v/>
      </c>
      <c r="AD1921" t="str">
        <f t="shared" si="294"/>
        <v>Tuesday</v>
      </c>
      <c r="AE1921" t="str">
        <f t="shared" si="295"/>
        <v>Wednesday</v>
      </c>
      <c r="AF1921" t="str">
        <f t="shared" si="296"/>
        <v/>
      </c>
      <c r="AG1921" t="str">
        <f t="shared" si="297"/>
        <v/>
      </c>
      <c r="AH1921" t="str">
        <f t="shared" si="298"/>
        <v>Saturday</v>
      </c>
      <c r="AI1921" t="str">
        <f t="shared" si="299"/>
        <v/>
      </c>
      <c r="AJ1921" t="str">
        <f>LEFT(Table1[[#This Row],[membership_type]],2)&amp;TEXT(Table1[[#This Row],[age]],"00")&amp;"-"&amp;TEXT(ROW(),"000")</f>
        <v>El16-1921</v>
      </c>
      <c r="AK1921" t="str">
        <f>LEFT(Table1[[#This Row],[membership_type]],1)&amp;TEXT(MATCH(Table1[[#This Row],[membership_type]],Table1[membership_type],0),"00")</f>
        <v>E07</v>
      </c>
      <c r="AL1921" t="str">
        <f>LEFT(Table1[[#This Row],[discount_type]],1)&amp;TEXT(ROUND(Table1[[#This Row],[discount_rate]]*100,0),"00")</f>
        <v>N00</v>
      </c>
      <c r="AM1921" t="str" cm="1">
        <f t="array" ref="AM1921">TEXT(SUMPRODUCT(CODE(MID(Table1[[#This Row],[home_gym_location]],_xlfn.SEQUENCE(LEN(Table1[[#This Row],[home_gym_location]])),1))),"00000")</f>
        <v>01324</v>
      </c>
      <c r="AN1921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21" t="str">
        <f>LEFT(_xlfn.TEXTBEFORE(Table1[[#This Row],[Location Identifier]],"-"),3) &amp; "-" &amp; _xlfn.TEXTAFTER(Table1[[#This Row],[Location Identifier]],"-")</f>
        <v>BAK-002</v>
      </c>
      <c r="AP1921" s="9">
        <f t="shared" ca="1" si="290"/>
        <v>45869</v>
      </c>
    </row>
    <row r="1922" spans="1:42" x14ac:dyDescent="0.25">
      <c r="A1922">
        <v>15</v>
      </c>
      <c r="B1922" t="s">
        <v>26</v>
      </c>
      <c r="C1922">
        <v>2</v>
      </c>
      <c r="D1922" t="s">
        <v>103</v>
      </c>
      <c r="E1922" t="b">
        <v>1</v>
      </c>
      <c r="F1922" s="1">
        <v>0.83819444444444446</v>
      </c>
      <c r="G1922" s="1">
        <v>0.90208333333333335</v>
      </c>
      <c r="H1922">
        <v>92</v>
      </c>
      <c r="I1922" t="b">
        <v>1</v>
      </c>
      <c r="J1922" t="b">
        <v>0</v>
      </c>
      <c r="K1922" t="b">
        <v>0</v>
      </c>
      <c r="L1922" t="s">
        <v>62</v>
      </c>
      <c r="M1922">
        <v>50</v>
      </c>
      <c r="N1922" t="s">
        <v>29</v>
      </c>
      <c r="O1922">
        <v>50</v>
      </c>
      <c r="P1922" t="s">
        <v>30</v>
      </c>
      <c r="Q1922">
        <v>0.05</v>
      </c>
      <c r="R1922">
        <v>47.5</v>
      </c>
      <c r="S1922" t="s">
        <v>31</v>
      </c>
      <c r="T1922" t="s">
        <v>41</v>
      </c>
      <c r="U1922">
        <v>37.804400000000001</v>
      </c>
      <c r="V1922">
        <v>-122.27119999999999</v>
      </c>
      <c r="W1922" s="2">
        <v>45171</v>
      </c>
      <c r="X1922">
        <v>0</v>
      </c>
      <c r="Y1922" t="b">
        <v>1</v>
      </c>
      <c r="Z1922" s="2">
        <v>45823</v>
      </c>
      <c r="AA1922" t="str">
        <f t="shared" si="291"/>
        <v>10–19</v>
      </c>
      <c r="AB1922" t="str">
        <f t="shared" si="292"/>
        <v>Under 16</v>
      </c>
      <c r="AC1922" t="str">
        <f t="shared" si="293"/>
        <v>Monday</v>
      </c>
      <c r="AD1922" t="str">
        <f t="shared" si="294"/>
        <v/>
      </c>
      <c r="AE1922" t="str">
        <f t="shared" si="295"/>
        <v/>
      </c>
      <c r="AF1922" t="str">
        <f t="shared" si="296"/>
        <v/>
      </c>
      <c r="AG1922" t="str">
        <f t="shared" si="297"/>
        <v/>
      </c>
      <c r="AH1922" t="str">
        <f t="shared" si="298"/>
        <v/>
      </c>
      <c r="AI1922" t="str">
        <f t="shared" si="299"/>
        <v>Sunday</v>
      </c>
      <c r="AJ1922" t="str">
        <f>LEFT(Table1[[#This Row],[membership_type]],2)&amp;TEXT(Table1[[#This Row],[age]],"00")&amp;"-"&amp;TEXT(ROW(),"000")</f>
        <v>Pr15-1922</v>
      </c>
      <c r="AK1922" t="str">
        <f>LEFT(Table1[[#This Row],[membership_type]],1)&amp;TEXT(MATCH(Table1[[#This Row],[membership_type]],Table1[membership_type],0),"00")</f>
        <v>P01</v>
      </c>
      <c r="AL1922" t="str">
        <f>LEFT(Table1[[#This Row],[discount_type]],1)&amp;TEXT(ROUND(Table1[[#This Row],[discount_rate]]*100,0),"00")</f>
        <v>P05</v>
      </c>
      <c r="AM1922" t="str" cm="1">
        <f t="array" ref="AM1922">TEXT(SUMPRODUCT(CODE(MID(Table1[[#This Row],[home_gym_location]],_xlfn.SEQUENCE(LEN(Table1[[#This Row],[home_gym_location]])),1))),"00000")</f>
        <v>00906</v>
      </c>
      <c r="AN192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22" t="str">
        <f>LEFT(_xlfn.TEXTBEFORE(Table1[[#This Row],[Location Identifier]],"-"),3) &amp; "-" &amp; _xlfn.TEXTAFTER(Table1[[#This Row],[Location Identifier]],"-")</f>
        <v>OAK-006</v>
      </c>
      <c r="AP1922" s="9">
        <f t="shared" ref="AP1922:AP1985" ca="1" si="300">EOMONTH(DATE(YEAR(TODAY()),7,1),0)</f>
        <v>45869</v>
      </c>
    </row>
    <row r="1923" spans="1:42" x14ac:dyDescent="0.25">
      <c r="A1923">
        <v>12</v>
      </c>
      <c r="B1923" t="s">
        <v>33</v>
      </c>
      <c r="C1923">
        <v>2</v>
      </c>
      <c r="D1923" t="s">
        <v>43</v>
      </c>
      <c r="E1923" t="b">
        <v>1</v>
      </c>
      <c r="F1923" s="1">
        <v>0.40902777777777777</v>
      </c>
      <c r="G1923" s="1">
        <v>0.47916666666666669</v>
      </c>
      <c r="H1923">
        <v>101</v>
      </c>
      <c r="I1923" t="b">
        <v>0</v>
      </c>
      <c r="J1923" t="b">
        <v>1</v>
      </c>
      <c r="K1923" t="b">
        <v>0</v>
      </c>
      <c r="L1923" t="s">
        <v>62</v>
      </c>
      <c r="M1923">
        <v>30</v>
      </c>
      <c r="N1923" t="s">
        <v>64</v>
      </c>
      <c r="O1923">
        <v>22.5</v>
      </c>
      <c r="P1923" t="s">
        <v>36</v>
      </c>
      <c r="Q1923">
        <v>0</v>
      </c>
      <c r="R1923">
        <v>22.5</v>
      </c>
      <c r="S1923" t="s">
        <v>37</v>
      </c>
      <c r="T1923" t="s">
        <v>38</v>
      </c>
      <c r="U1923">
        <v>36.7378</v>
      </c>
      <c r="V1923">
        <v>-119.7871</v>
      </c>
      <c r="W1923" s="2">
        <v>45452</v>
      </c>
      <c r="X1923">
        <v>5</v>
      </c>
      <c r="Y1923" t="b">
        <v>0</v>
      </c>
      <c r="Z1923" s="2">
        <v>45839</v>
      </c>
      <c r="AA1923" t="str">
        <f t="shared" ref="AA1923:AA1986" si="301">TEXT(10*INT($A1923/10),"0")&amp;"–"&amp;TEXT(10*INT($A1923/10)+9,"0")</f>
        <v>10–19</v>
      </c>
      <c r="AB1923" t="str">
        <f t="shared" ref="AB1923:AB1986" si="302">IF(AND($AA1923 = "10–19", $A1923 &lt; 16), "Under 16", IF(AND($AA1923 = "10–19", $A1923 &gt;= 16), "16–19", $AA1923))</f>
        <v>Under 16</v>
      </c>
      <c r="AC1923" t="str">
        <f t="shared" ref="AC1923:AC1986" si="303">IF(ISNUMBER(SEARCH("Mon", $D1923)), "Monday", "")</f>
        <v>Monday</v>
      </c>
      <c r="AD1923" t="str">
        <f t="shared" ref="AD1923:AD1986" si="304">IF(ISNUMBER(SEARCH("Tue", $D1923)), "Tuesday", "")</f>
        <v>Tuesday</v>
      </c>
      <c r="AE1923" t="str">
        <f t="shared" ref="AE1923:AE1986" si="305">IF(ISNUMBER(SEARCH("Wed", $D1923)), "Wednesday", "")</f>
        <v/>
      </c>
      <c r="AF1923" t="str">
        <f t="shared" ref="AF1923:AF1986" si="306">IF(ISNUMBER(SEARCH("Thu", $D1923)), "Thursday", "")</f>
        <v/>
      </c>
      <c r="AG1923" t="str">
        <f t="shared" ref="AG1923:AG1986" si="307">IF(ISNUMBER(SEARCH("Fri", $D1923)), "Friday", "")</f>
        <v/>
      </c>
      <c r="AH1923" t="str">
        <f t="shared" ref="AH1923:AH1986" si="308">IF(ISNUMBER(SEARCH("Sat", $D1923)), "Saturday", "")</f>
        <v/>
      </c>
      <c r="AI1923" t="str">
        <f t="shared" ref="AI1923:AI1986" si="309">IF(ISNUMBER(SEARCH("Sun", $D1923)), "Sunday", "")</f>
        <v/>
      </c>
      <c r="AJ1923" t="str">
        <f>LEFT(Table1[[#This Row],[membership_type]],2)&amp;TEXT(Table1[[#This Row],[age]],"00")&amp;"-"&amp;TEXT(ROW(),"000")</f>
        <v>St12-1923</v>
      </c>
      <c r="AK1923" t="str">
        <f>LEFT(Table1[[#This Row],[membership_type]],1)&amp;TEXT(MATCH(Table1[[#This Row],[membership_type]],Table1[membership_type],0),"00")</f>
        <v>S02</v>
      </c>
      <c r="AL1923" t="str">
        <f>LEFT(Table1[[#This Row],[discount_type]],1)&amp;TEXT(ROUND(Table1[[#This Row],[discount_rate]]*100,0),"00")</f>
        <v>N00</v>
      </c>
      <c r="AM1923" t="str" cm="1">
        <f t="array" ref="AM1923">TEXT(SUMPRODUCT(CODE(MID(Table1[[#This Row],[home_gym_location]],_xlfn.SEQUENCE(LEN(Table1[[#This Row],[home_gym_location]])),1))),"00000")</f>
        <v>00829</v>
      </c>
      <c r="AN1923" t="str">
        <f>UPPER(_xlfn.TEXTBEFORE(Table1[[#This Row],[home_gym_location]],","))&amp;"-"&amp;TEXT(MATCH(Table1[[#This Row],[home_gym_location]],_xlfn._xlws.SORT(_xlfn.UNIQUE(Table1[home_gym_location])),0),"000")</f>
        <v>FRESNO-003</v>
      </c>
      <c r="AO1923" t="str">
        <f>LEFT(_xlfn.TEXTBEFORE(Table1[[#This Row],[Location Identifier]],"-"),3) &amp; "-" &amp; _xlfn.TEXTAFTER(Table1[[#This Row],[Location Identifier]],"-")</f>
        <v>FRE-003</v>
      </c>
      <c r="AP1923" s="9">
        <f t="shared" ca="1" si="300"/>
        <v>45869</v>
      </c>
    </row>
    <row r="1924" spans="1:42" x14ac:dyDescent="0.25">
      <c r="A1924">
        <v>21</v>
      </c>
      <c r="B1924" t="s">
        <v>26</v>
      </c>
      <c r="C1924">
        <v>2</v>
      </c>
      <c r="D1924" t="s">
        <v>88</v>
      </c>
      <c r="E1924" t="b">
        <v>1</v>
      </c>
      <c r="F1924" s="1">
        <v>0.77777777777777779</v>
      </c>
      <c r="G1924" s="1">
        <v>0.88958333333333328</v>
      </c>
      <c r="H1924">
        <v>161</v>
      </c>
      <c r="I1924" t="b">
        <v>1</v>
      </c>
      <c r="J1924" t="b">
        <v>1</v>
      </c>
      <c r="K1924" t="b">
        <v>1</v>
      </c>
      <c r="L1924" t="s">
        <v>47</v>
      </c>
      <c r="M1924">
        <v>50</v>
      </c>
      <c r="N1924" t="s">
        <v>29</v>
      </c>
      <c r="O1924">
        <v>50</v>
      </c>
      <c r="P1924" t="s">
        <v>30</v>
      </c>
      <c r="Q1924">
        <v>0.05</v>
      </c>
      <c r="R1924">
        <v>47.5</v>
      </c>
      <c r="S1924" t="s">
        <v>31</v>
      </c>
      <c r="T1924" t="s">
        <v>50</v>
      </c>
      <c r="U1924">
        <v>34.052199999999999</v>
      </c>
      <c r="V1924">
        <v>-118.2437</v>
      </c>
      <c r="W1924" s="2">
        <v>44985</v>
      </c>
      <c r="X1924">
        <v>6</v>
      </c>
      <c r="Y1924" t="b">
        <v>0</v>
      </c>
      <c r="Z1924" s="2">
        <v>45813</v>
      </c>
      <c r="AA1924" t="str">
        <f t="shared" si="301"/>
        <v>20–29</v>
      </c>
      <c r="AB1924" t="str">
        <f t="shared" si="302"/>
        <v>20–29</v>
      </c>
      <c r="AC1924" t="str">
        <f t="shared" si="303"/>
        <v>Monday</v>
      </c>
      <c r="AD1924" t="str">
        <f t="shared" si="304"/>
        <v/>
      </c>
      <c r="AE1924" t="str">
        <f t="shared" si="305"/>
        <v>Wednesday</v>
      </c>
      <c r="AF1924" t="str">
        <f t="shared" si="306"/>
        <v/>
      </c>
      <c r="AG1924" t="str">
        <f t="shared" si="307"/>
        <v/>
      </c>
      <c r="AH1924" t="str">
        <f t="shared" si="308"/>
        <v/>
      </c>
      <c r="AI1924" t="str">
        <f t="shared" si="309"/>
        <v/>
      </c>
      <c r="AJ1924" t="str">
        <f>LEFT(Table1[[#This Row],[membership_type]],2)&amp;TEXT(Table1[[#This Row],[age]],"00")&amp;"-"&amp;TEXT(ROW(),"000")</f>
        <v>Pr21-1924</v>
      </c>
      <c r="AK1924" t="str">
        <f>LEFT(Table1[[#This Row],[membership_type]],1)&amp;TEXT(MATCH(Table1[[#This Row],[membership_type]],Table1[membership_type],0),"00")</f>
        <v>P01</v>
      </c>
      <c r="AL1924" t="str">
        <f>LEFT(Table1[[#This Row],[discount_type]],1)&amp;TEXT(ROUND(Table1[[#This Row],[discount_rate]]*100,0),"00")</f>
        <v>P05</v>
      </c>
      <c r="AM1924" t="str" cm="1">
        <f t="array" ref="AM1924">TEXT(SUMPRODUCT(CODE(MID(Table1[[#This Row],[home_gym_location]],_xlfn.SEQUENCE(LEN(Table1[[#This Row],[home_gym_location]])),1))),"00000")</f>
        <v>01245</v>
      </c>
      <c r="AN192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24" t="str">
        <f>LEFT(_xlfn.TEXTBEFORE(Table1[[#This Row],[Location Identifier]],"-"),3) &amp; "-" &amp; _xlfn.TEXTAFTER(Table1[[#This Row],[Location Identifier]],"-")</f>
        <v>LOS-005</v>
      </c>
      <c r="AP1924" s="9">
        <f t="shared" ca="1" si="300"/>
        <v>45869</v>
      </c>
    </row>
    <row r="1925" spans="1:42" x14ac:dyDescent="0.25">
      <c r="A1925">
        <v>27</v>
      </c>
      <c r="B1925" t="s">
        <v>26</v>
      </c>
      <c r="C1925">
        <v>3</v>
      </c>
      <c r="D1925" t="s">
        <v>102</v>
      </c>
      <c r="E1925" t="b">
        <v>1</v>
      </c>
      <c r="F1925" s="1">
        <v>0.45</v>
      </c>
      <c r="G1925" s="1">
        <v>0.55208333333333337</v>
      </c>
      <c r="H1925">
        <v>147</v>
      </c>
      <c r="I1925" t="b">
        <v>1</v>
      </c>
      <c r="J1925" t="b">
        <v>0</v>
      </c>
      <c r="K1925" t="b">
        <v>0</v>
      </c>
      <c r="L1925" t="s">
        <v>35</v>
      </c>
      <c r="M1925">
        <v>50</v>
      </c>
      <c r="N1925" t="s">
        <v>64</v>
      </c>
      <c r="O1925">
        <v>37.5</v>
      </c>
      <c r="P1925" t="s">
        <v>36</v>
      </c>
      <c r="Q1925">
        <v>0</v>
      </c>
      <c r="R1925">
        <v>37.5</v>
      </c>
      <c r="S1925" t="s">
        <v>31</v>
      </c>
      <c r="T1925" t="s">
        <v>45</v>
      </c>
      <c r="U1925">
        <v>33.836599999999997</v>
      </c>
      <c r="V1925">
        <v>-117.9143</v>
      </c>
      <c r="W1925" s="2">
        <v>45731</v>
      </c>
      <c r="X1925">
        <v>0</v>
      </c>
      <c r="Y1925" t="b">
        <v>1</v>
      </c>
      <c r="Z1925" s="2">
        <v>45855</v>
      </c>
      <c r="AA1925" t="str">
        <f t="shared" si="301"/>
        <v>20–29</v>
      </c>
      <c r="AB1925" t="str">
        <f t="shared" si="302"/>
        <v>20–29</v>
      </c>
      <c r="AC1925" t="str">
        <f t="shared" si="303"/>
        <v/>
      </c>
      <c r="AD1925" t="str">
        <f t="shared" si="304"/>
        <v/>
      </c>
      <c r="AE1925" t="str">
        <f t="shared" si="305"/>
        <v/>
      </c>
      <c r="AF1925" t="str">
        <f t="shared" si="306"/>
        <v>Thursday</v>
      </c>
      <c r="AG1925" t="str">
        <f t="shared" si="307"/>
        <v>Friday</v>
      </c>
      <c r="AH1925" t="str">
        <f t="shared" si="308"/>
        <v>Saturday</v>
      </c>
      <c r="AI1925" t="str">
        <f t="shared" si="309"/>
        <v/>
      </c>
      <c r="AJ1925" t="str">
        <f>LEFT(Table1[[#This Row],[membership_type]],2)&amp;TEXT(Table1[[#This Row],[age]],"00")&amp;"-"&amp;TEXT(ROW(),"000")</f>
        <v>Pr27-1925</v>
      </c>
      <c r="AK1925" t="str">
        <f>LEFT(Table1[[#This Row],[membership_type]],1)&amp;TEXT(MATCH(Table1[[#This Row],[membership_type]],Table1[membership_type],0),"00")</f>
        <v>P01</v>
      </c>
      <c r="AL1925" t="str">
        <f>LEFT(Table1[[#This Row],[discount_type]],1)&amp;TEXT(ROUND(Table1[[#This Row],[discount_rate]]*100,0),"00")</f>
        <v>N00</v>
      </c>
      <c r="AM1925" t="str" cm="1">
        <f t="array" ref="AM1925">TEXT(SUMPRODUCT(CODE(MID(Table1[[#This Row],[home_gym_location]],_xlfn.SEQUENCE(LEN(Table1[[#This Row],[home_gym_location]])),1))),"00000")</f>
        <v>00899</v>
      </c>
      <c r="AN1925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25" t="str">
        <f>LEFT(_xlfn.TEXTBEFORE(Table1[[#This Row],[Location Identifier]],"-"),3) &amp; "-" &amp; _xlfn.TEXTAFTER(Table1[[#This Row],[Location Identifier]],"-")</f>
        <v>ANA-001</v>
      </c>
      <c r="AP1925" s="9">
        <f t="shared" ca="1" si="300"/>
        <v>45869</v>
      </c>
    </row>
    <row r="1926" spans="1:42" x14ac:dyDescent="0.25">
      <c r="A1926">
        <v>17</v>
      </c>
      <c r="B1926" t="s">
        <v>26</v>
      </c>
      <c r="C1926">
        <v>3</v>
      </c>
      <c r="D1926" t="s">
        <v>134</v>
      </c>
      <c r="E1926" t="b">
        <v>1</v>
      </c>
      <c r="F1926" s="1">
        <v>0.65347222222222223</v>
      </c>
      <c r="G1926" s="1">
        <v>0.70694444444444449</v>
      </c>
      <c r="H1926">
        <v>77</v>
      </c>
      <c r="I1926" t="b">
        <v>1</v>
      </c>
      <c r="J1926" t="b">
        <v>1</v>
      </c>
      <c r="K1926" t="b">
        <v>0</v>
      </c>
      <c r="L1926" t="s">
        <v>62</v>
      </c>
      <c r="M1926">
        <v>50</v>
      </c>
      <c r="N1926" t="s">
        <v>64</v>
      </c>
      <c r="O1926">
        <v>37.5</v>
      </c>
      <c r="P1926" t="s">
        <v>40</v>
      </c>
      <c r="Q1926">
        <v>0.1</v>
      </c>
      <c r="R1926">
        <v>33.75</v>
      </c>
      <c r="S1926" t="s">
        <v>31</v>
      </c>
      <c r="T1926" t="s">
        <v>59</v>
      </c>
      <c r="U1926">
        <v>37.774900000000002</v>
      </c>
      <c r="V1926">
        <v>-122.4194</v>
      </c>
      <c r="W1926" s="2">
        <v>45204</v>
      </c>
      <c r="X1926">
        <v>3</v>
      </c>
      <c r="Y1926" t="b">
        <v>1</v>
      </c>
      <c r="Z1926" s="2">
        <v>45825</v>
      </c>
      <c r="AA1926" t="str">
        <f t="shared" si="301"/>
        <v>10–19</v>
      </c>
      <c r="AB1926" t="str">
        <f t="shared" si="302"/>
        <v>16–19</v>
      </c>
      <c r="AC1926" t="str">
        <f t="shared" si="303"/>
        <v/>
      </c>
      <c r="AD1926" t="str">
        <f t="shared" si="304"/>
        <v>Tuesday</v>
      </c>
      <c r="AE1926" t="str">
        <f t="shared" si="305"/>
        <v/>
      </c>
      <c r="AF1926" t="str">
        <f t="shared" si="306"/>
        <v>Thursday</v>
      </c>
      <c r="AG1926" t="str">
        <f t="shared" si="307"/>
        <v/>
      </c>
      <c r="AH1926" t="str">
        <f t="shared" si="308"/>
        <v>Saturday</v>
      </c>
      <c r="AI1926" t="str">
        <f t="shared" si="309"/>
        <v/>
      </c>
      <c r="AJ1926" t="str">
        <f>LEFT(Table1[[#This Row],[membership_type]],2)&amp;TEXT(Table1[[#This Row],[age]],"00")&amp;"-"&amp;TEXT(ROW(),"000")</f>
        <v>Pr17-1926</v>
      </c>
      <c r="AK1926" t="str">
        <f>LEFT(Table1[[#This Row],[membership_type]],1)&amp;TEXT(MATCH(Table1[[#This Row],[membership_type]],Table1[membership_type],0),"00")</f>
        <v>P01</v>
      </c>
      <c r="AL1926" t="str">
        <f>LEFT(Table1[[#This Row],[discount_type]],1)&amp;TEXT(ROUND(Table1[[#This Row],[discount_rate]]*100,0),"00")</f>
        <v>L10</v>
      </c>
      <c r="AM1926" t="str" cm="1">
        <f t="array" ref="AM1926">TEXT(SUMPRODUCT(CODE(MID(Table1[[#This Row],[home_gym_location]],_xlfn.SEQUENCE(LEN(Table1[[#This Row],[home_gym_location]])),1))),"00000")</f>
        <v>01450</v>
      </c>
      <c r="AN192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26" t="str">
        <f>LEFT(_xlfn.TEXTBEFORE(Table1[[#This Row],[Location Identifier]],"-"),3) &amp; "-" &amp; _xlfn.TEXTAFTER(Table1[[#This Row],[Location Identifier]],"-")</f>
        <v>SAN-009</v>
      </c>
      <c r="AP1926" s="9">
        <f t="shared" ca="1" si="300"/>
        <v>45869</v>
      </c>
    </row>
    <row r="1927" spans="1:42" x14ac:dyDescent="0.25">
      <c r="A1927">
        <v>20</v>
      </c>
      <c r="B1927" t="s">
        <v>26</v>
      </c>
      <c r="C1927">
        <v>3</v>
      </c>
      <c r="D1927" t="s">
        <v>109</v>
      </c>
      <c r="E1927" t="b">
        <v>0</v>
      </c>
      <c r="F1927" s="1">
        <v>0.34930555555555554</v>
      </c>
      <c r="G1927" s="1">
        <v>0.47361111111111109</v>
      </c>
      <c r="H1927">
        <v>179</v>
      </c>
      <c r="I1927" t="b">
        <v>0</v>
      </c>
      <c r="J1927" t="b">
        <v>0</v>
      </c>
      <c r="K1927" t="b">
        <v>0</v>
      </c>
      <c r="L1927" t="s">
        <v>28</v>
      </c>
      <c r="M1927">
        <v>50</v>
      </c>
      <c r="N1927" t="s">
        <v>29</v>
      </c>
      <c r="O1927">
        <v>50</v>
      </c>
      <c r="P1927" t="s">
        <v>30</v>
      </c>
      <c r="Q1927">
        <v>0.05</v>
      </c>
      <c r="R1927">
        <v>47.5</v>
      </c>
      <c r="S1927" t="s">
        <v>31</v>
      </c>
      <c r="T1927" t="s">
        <v>54</v>
      </c>
      <c r="U1927">
        <v>32.715699999999998</v>
      </c>
      <c r="V1927">
        <v>-117.1611</v>
      </c>
      <c r="W1927" s="2">
        <v>45318</v>
      </c>
      <c r="X1927">
        <v>0</v>
      </c>
      <c r="Y1927" t="b">
        <v>1</v>
      </c>
      <c r="Z1927" s="2">
        <v>45832</v>
      </c>
      <c r="AA1927" t="str">
        <f t="shared" si="301"/>
        <v>20–29</v>
      </c>
      <c r="AB1927" t="str">
        <f t="shared" si="302"/>
        <v>20–29</v>
      </c>
      <c r="AC1927" t="str">
        <f t="shared" si="303"/>
        <v/>
      </c>
      <c r="AD1927" t="str">
        <f t="shared" si="304"/>
        <v>Tuesday</v>
      </c>
      <c r="AE1927" t="str">
        <f t="shared" si="305"/>
        <v/>
      </c>
      <c r="AF1927" t="str">
        <f t="shared" si="306"/>
        <v>Thursday</v>
      </c>
      <c r="AG1927" t="str">
        <f t="shared" si="307"/>
        <v>Friday</v>
      </c>
      <c r="AH1927" t="str">
        <f t="shared" si="308"/>
        <v/>
      </c>
      <c r="AI1927" t="str">
        <f t="shared" si="309"/>
        <v/>
      </c>
      <c r="AJ1927" t="str">
        <f>LEFT(Table1[[#This Row],[membership_type]],2)&amp;TEXT(Table1[[#This Row],[age]],"00")&amp;"-"&amp;TEXT(ROW(),"000")</f>
        <v>Pr20-1927</v>
      </c>
      <c r="AK1927" t="str">
        <f>LEFT(Table1[[#This Row],[membership_type]],1)&amp;TEXT(MATCH(Table1[[#This Row],[membership_type]],Table1[membership_type],0),"00")</f>
        <v>P01</v>
      </c>
      <c r="AL1927" t="str">
        <f>LEFT(Table1[[#This Row],[discount_type]],1)&amp;TEXT(ROUND(Table1[[#This Row],[discount_rate]]*100,0),"00")</f>
        <v>P05</v>
      </c>
      <c r="AM1927" t="str" cm="1">
        <f t="array" ref="AM1927">TEXT(SUMPRODUCT(CODE(MID(Table1[[#This Row],[home_gym_location]],_xlfn.SEQUENCE(LEN(Table1[[#This Row],[home_gym_location]])),1))),"00000")</f>
        <v>01018</v>
      </c>
      <c r="AN1927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27" t="str">
        <f>LEFT(_xlfn.TEXTBEFORE(Table1[[#This Row],[Location Identifier]],"-"),3) &amp; "-" &amp; _xlfn.TEXTAFTER(Table1[[#This Row],[Location Identifier]],"-")</f>
        <v>SAN-008</v>
      </c>
      <c r="AP1927" s="9">
        <f t="shared" ca="1" si="300"/>
        <v>45869</v>
      </c>
    </row>
    <row r="1928" spans="1:42" x14ac:dyDescent="0.25">
      <c r="A1928">
        <v>31</v>
      </c>
      <c r="B1928" t="s">
        <v>26</v>
      </c>
      <c r="C1928">
        <v>4</v>
      </c>
      <c r="D1928" t="s">
        <v>147</v>
      </c>
      <c r="E1928" t="b">
        <v>0</v>
      </c>
      <c r="F1928" s="1">
        <v>0.49583333333333335</v>
      </c>
      <c r="G1928" s="1">
        <v>0.55625000000000002</v>
      </c>
      <c r="H1928">
        <v>87</v>
      </c>
      <c r="I1928" t="b">
        <v>0</v>
      </c>
      <c r="J1928" t="b">
        <v>0</v>
      </c>
      <c r="K1928" t="b">
        <v>1</v>
      </c>
      <c r="L1928" t="s">
        <v>28</v>
      </c>
      <c r="M1928">
        <v>50</v>
      </c>
      <c r="N1928" t="s">
        <v>64</v>
      </c>
      <c r="O1928">
        <v>37.5</v>
      </c>
      <c r="P1928" t="s">
        <v>36</v>
      </c>
      <c r="Q1928">
        <v>0</v>
      </c>
      <c r="R1928">
        <v>37.5</v>
      </c>
      <c r="S1928" t="s">
        <v>31</v>
      </c>
      <c r="T1928" t="s">
        <v>48</v>
      </c>
      <c r="U1928">
        <v>38.581600000000002</v>
      </c>
      <c r="V1928">
        <v>-121.4944</v>
      </c>
      <c r="W1928" s="2">
        <v>45146</v>
      </c>
      <c r="X1928">
        <v>0</v>
      </c>
      <c r="Y1928" t="b">
        <v>0</v>
      </c>
      <c r="Z1928" s="2">
        <v>45822</v>
      </c>
      <c r="AA1928" t="str">
        <f t="shared" si="301"/>
        <v>30–39</v>
      </c>
      <c r="AB1928" t="str">
        <f t="shared" si="302"/>
        <v>30–39</v>
      </c>
      <c r="AC1928" t="str">
        <f t="shared" si="303"/>
        <v>Monday</v>
      </c>
      <c r="AD1928" t="str">
        <f t="shared" si="304"/>
        <v/>
      </c>
      <c r="AE1928" t="str">
        <f t="shared" si="305"/>
        <v/>
      </c>
      <c r="AF1928" t="str">
        <f t="shared" si="306"/>
        <v>Thursday</v>
      </c>
      <c r="AG1928" t="str">
        <f t="shared" si="307"/>
        <v>Friday</v>
      </c>
      <c r="AH1928" t="str">
        <f t="shared" si="308"/>
        <v>Saturday</v>
      </c>
      <c r="AI1928" t="str">
        <f t="shared" si="309"/>
        <v/>
      </c>
      <c r="AJ1928" t="str">
        <f>LEFT(Table1[[#This Row],[membership_type]],2)&amp;TEXT(Table1[[#This Row],[age]],"00")&amp;"-"&amp;TEXT(ROW(),"000")</f>
        <v>Pr31-1928</v>
      </c>
      <c r="AK1928" t="str">
        <f>LEFT(Table1[[#This Row],[membership_type]],1)&amp;TEXT(MATCH(Table1[[#This Row],[membership_type]],Table1[membership_type],0),"00")</f>
        <v>P01</v>
      </c>
      <c r="AL1928" t="str">
        <f>LEFT(Table1[[#This Row],[discount_type]],1)&amp;TEXT(ROUND(Table1[[#This Row],[discount_rate]]*100,0),"00")</f>
        <v>N00</v>
      </c>
      <c r="AM1928" t="str" cm="1">
        <f t="array" ref="AM1928">TEXT(SUMPRODUCT(CODE(MID(Table1[[#This Row],[home_gym_location]],_xlfn.SEQUENCE(LEN(Table1[[#This Row],[home_gym_location]])),1))),"00000")</f>
        <v>01245</v>
      </c>
      <c r="AN1928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28" t="str">
        <f>LEFT(_xlfn.TEXTBEFORE(Table1[[#This Row],[Location Identifier]],"-"),3) &amp; "-" &amp; _xlfn.TEXTAFTER(Table1[[#This Row],[Location Identifier]],"-")</f>
        <v>SAC-007</v>
      </c>
      <c r="AP1928" s="9">
        <f t="shared" ca="1" si="300"/>
        <v>45869</v>
      </c>
    </row>
    <row r="1929" spans="1:42" x14ac:dyDescent="0.25">
      <c r="A1929">
        <v>15</v>
      </c>
      <c r="B1929" t="s">
        <v>26</v>
      </c>
      <c r="C1929">
        <v>1</v>
      </c>
      <c r="D1929" t="s">
        <v>97</v>
      </c>
      <c r="E1929" t="b">
        <v>0</v>
      </c>
      <c r="F1929" s="1">
        <v>0.72152777777777777</v>
      </c>
      <c r="G1929" s="1">
        <v>0.84652777777777777</v>
      </c>
      <c r="H1929">
        <v>180</v>
      </c>
      <c r="I1929" t="b">
        <v>0</v>
      </c>
      <c r="J1929" t="b">
        <v>0</v>
      </c>
      <c r="K1929" t="b">
        <v>1</v>
      </c>
      <c r="L1929" t="s">
        <v>28</v>
      </c>
      <c r="M1929">
        <v>50</v>
      </c>
      <c r="N1929" t="s">
        <v>64</v>
      </c>
      <c r="O1929">
        <v>37.5</v>
      </c>
      <c r="P1929" t="s">
        <v>30</v>
      </c>
      <c r="Q1929">
        <v>0.05</v>
      </c>
      <c r="R1929">
        <v>35.625</v>
      </c>
      <c r="S1929" t="s">
        <v>31</v>
      </c>
      <c r="T1929" t="s">
        <v>48</v>
      </c>
      <c r="U1929">
        <v>38.581600000000002</v>
      </c>
      <c r="V1929">
        <v>-121.4944</v>
      </c>
      <c r="W1929" s="2">
        <v>45761</v>
      </c>
      <c r="X1929">
        <v>0</v>
      </c>
      <c r="Y1929" t="b">
        <v>1</v>
      </c>
      <c r="Z1929" s="2">
        <v>45857</v>
      </c>
      <c r="AA1929" t="str">
        <f t="shared" si="301"/>
        <v>10–19</v>
      </c>
      <c r="AB1929" t="str">
        <f t="shared" si="302"/>
        <v>Under 16</v>
      </c>
      <c r="AC1929" t="str">
        <f t="shared" si="303"/>
        <v>Monday</v>
      </c>
      <c r="AD1929" t="str">
        <f t="shared" si="304"/>
        <v/>
      </c>
      <c r="AE1929" t="str">
        <f t="shared" si="305"/>
        <v/>
      </c>
      <c r="AF1929" t="str">
        <f t="shared" si="306"/>
        <v/>
      </c>
      <c r="AG1929" t="str">
        <f t="shared" si="307"/>
        <v/>
      </c>
      <c r="AH1929" t="str">
        <f t="shared" si="308"/>
        <v/>
      </c>
      <c r="AI1929" t="str">
        <f t="shared" si="309"/>
        <v/>
      </c>
      <c r="AJ1929" t="str">
        <f>LEFT(Table1[[#This Row],[membership_type]],2)&amp;TEXT(Table1[[#This Row],[age]],"00")&amp;"-"&amp;TEXT(ROW(),"000")</f>
        <v>Pr15-1929</v>
      </c>
      <c r="AK1929" t="str">
        <f>LEFT(Table1[[#This Row],[membership_type]],1)&amp;TEXT(MATCH(Table1[[#This Row],[membership_type]],Table1[membership_type],0),"00")</f>
        <v>P01</v>
      </c>
      <c r="AL1929" t="str">
        <f>LEFT(Table1[[#This Row],[discount_type]],1)&amp;TEXT(ROUND(Table1[[#This Row],[discount_rate]]*100,0),"00")</f>
        <v>P05</v>
      </c>
      <c r="AM1929" t="str" cm="1">
        <f t="array" ref="AM1929">TEXT(SUMPRODUCT(CODE(MID(Table1[[#This Row],[home_gym_location]],_xlfn.SEQUENCE(LEN(Table1[[#This Row],[home_gym_location]])),1))),"00000")</f>
        <v>01245</v>
      </c>
      <c r="AN1929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29" t="str">
        <f>LEFT(_xlfn.TEXTBEFORE(Table1[[#This Row],[Location Identifier]],"-"),3) &amp; "-" &amp; _xlfn.TEXTAFTER(Table1[[#This Row],[Location Identifier]],"-")</f>
        <v>SAC-007</v>
      </c>
      <c r="AP1929" s="9">
        <f t="shared" ca="1" si="300"/>
        <v>45869</v>
      </c>
    </row>
    <row r="1930" spans="1:42" x14ac:dyDescent="0.25">
      <c r="A1930">
        <v>26</v>
      </c>
      <c r="B1930" t="s">
        <v>42</v>
      </c>
      <c r="C1930">
        <v>2</v>
      </c>
      <c r="D1930" t="s">
        <v>84</v>
      </c>
      <c r="E1930" t="b">
        <v>1</v>
      </c>
      <c r="F1930" s="1">
        <v>0.66111111111111109</v>
      </c>
      <c r="G1930" s="1">
        <v>0.75347222222222221</v>
      </c>
      <c r="H1930">
        <v>133</v>
      </c>
      <c r="I1930" t="b">
        <v>0</v>
      </c>
      <c r="J1930" t="b">
        <v>0</v>
      </c>
      <c r="K1930" t="b">
        <v>0</v>
      </c>
      <c r="L1930" t="s">
        <v>62</v>
      </c>
      <c r="M1930">
        <v>20</v>
      </c>
      <c r="N1930" t="s">
        <v>29</v>
      </c>
      <c r="O1930">
        <v>20</v>
      </c>
      <c r="P1930" t="s">
        <v>36</v>
      </c>
      <c r="Q1930">
        <v>0</v>
      </c>
      <c r="R1930">
        <v>20</v>
      </c>
      <c r="S1930" t="s">
        <v>44</v>
      </c>
      <c r="T1930" t="s">
        <v>56</v>
      </c>
      <c r="U1930">
        <v>35.3733</v>
      </c>
      <c r="V1930">
        <v>-119.0187</v>
      </c>
      <c r="W1930" s="2">
        <v>45213</v>
      </c>
      <c r="X1930">
        <v>0</v>
      </c>
      <c r="Y1930" t="b">
        <v>0</v>
      </c>
      <c r="Z1930" s="2">
        <v>45826</v>
      </c>
      <c r="AA1930" t="str">
        <f t="shared" si="301"/>
        <v>20–29</v>
      </c>
      <c r="AB1930" t="str">
        <f t="shared" si="302"/>
        <v>20–29</v>
      </c>
      <c r="AC1930" t="str">
        <f t="shared" si="303"/>
        <v/>
      </c>
      <c r="AD1930" t="str">
        <f t="shared" si="304"/>
        <v>Tuesday</v>
      </c>
      <c r="AE1930" t="str">
        <f t="shared" si="305"/>
        <v/>
      </c>
      <c r="AF1930" t="str">
        <f t="shared" si="306"/>
        <v/>
      </c>
      <c r="AG1930" t="str">
        <f t="shared" si="307"/>
        <v/>
      </c>
      <c r="AH1930" t="str">
        <f t="shared" si="308"/>
        <v/>
      </c>
      <c r="AI1930" t="str">
        <f t="shared" si="309"/>
        <v>Sunday</v>
      </c>
      <c r="AJ1930" t="str">
        <f>LEFT(Table1[[#This Row],[membership_type]],2)&amp;TEXT(Table1[[#This Row],[age]],"00")&amp;"-"&amp;TEXT(ROW(),"000")</f>
        <v>Ba26-1930</v>
      </c>
      <c r="AK1930" t="str">
        <f>LEFT(Table1[[#This Row],[membership_type]],1)&amp;TEXT(MATCH(Table1[[#This Row],[membership_type]],Table1[membership_type],0),"00")</f>
        <v>B04</v>
      </c>
      <c r="AL1930" t="str">
        <f>LEFT(Table1[[#This Row],[discount_type]],1)&amp;TEXT(ROUND(Table1[[#This Row],[discount_rate]]*100,0),"00")</f>
        <v>N00</v>
      </c>
      <c r="AM1930" t="str" cm="1">
        <f t="array" ref="AM1930">TEXT(SUMPRODUCT(CODE(MID(Table1[[#This Row],[home_gym_location]],_xlfn.SEQUENCE(LEN(Table1[[#This Row],[home_gym_location]])),1))),"00000")</f>
        <v>01324</v>
      </c>
      <c r="AN1930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30" t="str">
        <f>LEFT(_xlfn.TEXTBEFORE(Table1[[#This Row],[Location Identifier]],"-"),3) &amp; "-" &amp; _xlfn.TEXTAFTER(Table1[[#This Row],[Location Identifier]],"-")</f>
        <v>BAK-002</v>
      </c>
      <c r="AP1930" s="9">
        <f t="shared" ca="1" si="300"/>
        <v>45869</v>
      </c>
    </row>
    <row r="1931" spans="1:42" x14ac:dyDescent="0.25">
      <c r="A1931">
        <v>47</v>
      </c>
      <c r="B1931" t="s">
        <v>33</v>
      </c>
      <c r="C1931">
        <v>1</v>
      </c>
      <c r="D1931" t="s">
        <v>49</v>
      </c>
      <c r="E1931" t="b">
        <v>1</v>
      </c>
      <c r="F1931" s="1">
        <v>0.51666666666666672</v>
      </c>
      <c r="G1931" s="1">
        <v>0.55138888888888893</v>
      </c>
      <c r="H1931">
        <v>50</v>
      </c>
      <c r="I1931" t="b">
        <v>0</v>
      </c>
      <c r="J1931" t="b">
        <v>1</v>
      </c>
      <c r="K1931" t="b">
        <v>1</v>
      </c>
      <c r="L1931" t="s">
        <v>28</v>
      </c>
      <c r="M1931">
        <v>30</v>
      </c>
      <c r="N1931" t="s">
        <v>64</v>
      </c>
      <c r="O1931">
        <v>22.5</v>
      </c>
      <c r="P1931" t="s">
        <v>30</v>
      </c>
      <c r="Q1931">
        <v>0.05</v>
      </c>
      <c r="R1931">
        <v>21.375</v>
      </c>
      <c r="S1931" t="s">
        <v>37</v>
      </c>
      <c r="T1931" t="s">
        <v>59</v>
      </c>
      <c r="U1931">
        <v>37.774900000000002</v>
      </c>
      <c r="V1931">
        <v>-122.4194</v>
      </c>
      <c r="W1931" s="2">
        <v>45233</v>
      </c>
      <c r="X1931">
        <v>2</v>
      </c>
      <c r="Y1931" t="b">
        <v>0</v>
      </c>
      <c r="Z1931" s="2">
        <v>45827</v>
      </c>
      <c r="AA1931" t="str">
        <f t="shared" si="301"/>
        <v>40–49</v>
      </c>
      <c r="AB1931" t="str">
        <f t="shared" si="302"/>
        <v>40–49</v>
      </c>
      <c r="AC1931" t="str">
        <f t="shared" si="303"/>
        <v/>
      </c>
      <c r="AD1931" t="str">
        <f t="shared" si="304"/>
        <v/>
      </c>
      <c r="AE1931" t="str">
        <f t="shared" si="305"/>
        <v/>
      </c>
      <c r="AF1931" t="str">
        <f t="shared" si="306"/>
        <v/>
      </c>
      <c r="AG1931" t="str">
        <f t="shared" si="307"/>
        <v/>
      </c>
      <c r="AH1931" t="str">
        <f t="shared" si="308"/>
        <v/>
      </c>
      <c r="AI1931" t="str">
        <f t="shared" si="309"/>
        <v>Sunday</v>
      </c>
      <c r="AJ1931" t="str">
        <f>LEFT(Table1[[#This Row],[membership_type]],2)&amp;TEXT(Table1[[#This Row],[age]],"00")&amp;"-"&amp;TEXT(ROW(),"000")</f>
        <v>St47-1931</v>
      </c>
      <c r="AK1931" t="str">
        <f>LEFT(Table1[[#This Row],[membership_type]],1)&amp;TEXT(MATCH(Table1[[#This Row],[membership_type]],Table1[membership_type],0),"00")</f>
        <v>S02</v>
      </c>
      <c r="AL1931" t="str">
        <f>LEFT(Table1[[#This Row],[discount_type]],1)&amp;TEXT(ROUND(Table1[[#This Row],[discount_rate]]*100,0),"00")</f>
        <v>P05</v>
      </c>
      <c r="AM1931" t="str" cm="1">
        <f t="array" ref="AM1931">TEXT(SUMPRODUCT(CODE(MID(Table1[[#This Row],[home_gym_location]],_xlfn.SEQUENCE(LEN(Table1[[#This Row],[home_gym_location]])),1))),"00000")</f>
        <v>01450</v>
      </c>
      <c r="AN1931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31" t="str">
        <f>LEFT(_xlfn.TEXTBEFORE(Table1[[#This Row],[Location Identifier]],"-"),3) &amp; "-" &amp; _xlfn.TEXTAFTER(Table1[[#This Row],[Location Identifier]],"-")</f>
        <v>SAN-009</v>
      </c>
      <c r="AP1931" s="9">
        <f t="shared" ca="1" si="300"/>
        <v>45869</v>
      </c>
    </row>
    <row r="1932" spans="1:42" x14ac:dyDescent="0.25">
      <c r="A1932">
        <v>37</v>
      </c>
      <c r="B1932" t="s">
        <v>42</v>
      </c>
      <c r="C1932">
        <v>3</v>
      </c>
      <c r="D1932" t="s">
        <v>114</v>
      </c>
      <c r="E1932" t="b">
        <v>1</v>
      </c>
      <c r="F1932" s="1">
        <v>0.75486111111111109</v>
      </c>
      <c r="G1932" s="1">
        <v>0.83402777777777781</v>
      </c>
      <c r="H1932">
        <v>114</v>
      </c>
      <c r="I1932" t="b">
        <v>0</v>
      </c>
      <c r="J1932" t="b">
        <v>0</v>
      </c>
      <c r="K1932" t="b">
        <v>1</v>
      </c>
      <c r="L1932" t="s">
        <v>35</v>
      </c>
      <c r="M1932">
        <v>20</v>
      </c>
      <c r="N1932" t="s">
        <v>64</v>
      </c>
      <c r="O1932">
        <v>15</v>
      </c>
      <c r="P1932" t="s">
        <v>36</v>
      </c>
      <c r="Q1932">
        <v>0</v>
      </c>
      <c r="R1932">
        <v>15</v>
      </c>
      <c r="S1932" t="s">
        <v>44</v>
      </c>
      <c r="T1932" t="s">
        <v>50</v>
      </c>
      <c r="U1932">
        <v>34.052199999999999</v>
      </c>
      <c r="V1932">
        <v>-118.2437</v>
      </c>
      <c r="W1932" s="2">
        <v>45233</v>
      </c>
      <c r="X1932">
        <v>0</v>
      </c>
      <c r="Y1932" t="b">
        <v>0</v>
      </c>
      <c r="Z1932" s="2">
        <v>45827</v>
      </c>
      <c r="AA1932" t="str">
        <f t="shared" si="301"/>
        <v>30–39</v>
      </c>
      <c r="AB1932" t="str">
        <f t="shared" si="302"/>
        <v>30–39</v>
      </c>
      <c r="AC1932" t="str">
        <f t="shared" si="303"/>
        <v>Monday</v>
      </c>
      <c r="AD1932" t="str">
        <f t="shared" si="304"/>
        <v>Tuesday</v>
      </c>
      <c r="AE1932" t="str">
        <f t="shared" si="305"/>
        <v>Wednesday</v>
      </c>
      <c r="AF1932" t="str">
        <f t="shared" si="306"/>
        <v/>
      </c>
      <c r="AG1932" t="str">
        <f t="shared" si="307"/>
        <v/>
      </c>
      <c r="AH1932" t="str">
        <f t="shared" si="308"/>
        <v/>
      </c>
      <c r="AI1932" t="str">
        <f t="shared" si="309"/>
        <v/>
      </c>
      <c r="AJ1932" t="str">
        <f>LEFT(Table1[[#This Row],[membership_type]],2)&amp;TEXT(Table1[[#This Row],[age]],"00")&amp;"-"&amp;TEXT(ROW(),"000")</f>
        <v>Ba37-1932</v>
      </c>
      <c r="AK1932" t="str">
        <f>LEFT(Table1[[#This Row],[membership_type]],1)&amp;TEXT(MATCH(Table1[[#This Row],[membership_type]],Table1[membership_type],0),"00")</f>
        <v>B04</v>
      </c>
      <c r="AL1932" t="str">
        <f>LEFT(Table1[[#This Row],[discount_type]],1)&amp;TEXT(ROUND(Table1[[#This Row],[discount_rate]]*100,0),"00")</f>
        <v>N00</v>
      </c>
      <c r="AM1932" t="str" cm="1">
        <f t="array" ref="AM1932">TEXT(SUMPRODUCT(CODE(MID(Table1[[#This Row],[home_gym_location]],_xlfn.SEQUENCE(LEN(Table1[[#This Row],[home_gym_location]])),1))),"00000")</f>
        <v>01245</v>
      </c>
      <c r="AN1932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32" t="str">
        <f>LEFT(_xlfn.TEXTBEFORE(Table1[[#This Row],[Location Identifier]],"-"),3) &amp; "-" &amp; _xlfn.TEXTAFTER(Table1[[#This Row],[Location Identifier]],"-")</f>
        <v>LOS-005</v>
      </c>
      <c r="AP1932" s="9">
        <f t="shared" ca="1" si="300"/>
        <v>45869</v>
      </c>
    </row>
    <row r="1933" spans="1:42" x14ac:dyDescent="0.25">
      <c r="A1933">
        <v>12</v>
      </c>
      <c r="B1933" t="s">
        <v>33</v>
      </c>
      <c r="C1933">
        <v>2</v>
      </c>
      <c r="D1933" t="s">
        <v>43</v>
      </c>
      <c r="E1933" t="b">
        <v>1</v>
      </c>
      <c r="F1933" s="1">
        <v>0.40902777777777777</v>
      </c>
      <c r="G1933" s="1">
        <v>0.47916666666666669</v>
      </c>
      <c r="H1933">
        <v>101</v>
      </c>
      <c r="I1933" t="b">
        <v>0</v>
      </c>
      <c r="J1933" t="b">
        <v>1</v>
      </c>
      <c r="K1933" t="b">
        <v>0</v>
      </c>
      <c r="L1933" t="s">
        <v>62</v>
      </c>
      <c r="M1933">
        <v>30</v>
      </c>
      <c r="N1933" t="s">
        <v>64</v>
      </c>
      <c r="O1933">
        <v>22.5</v>
      </c>
      <c r="P1933" t="s">
        <v>36</v>
      </c>
      <c r="Q1933">
        <v>0</v>
      </c>
      <c r="R1933">
        <v>22.5</v>
      </c>
      <c r="S1933" t="s">
        <v>37</v>
      </c>
      <c r="T1933" t="s">
        <v>38</v>
      </c>
      <c r="U1933">
        <v>36.7378</v>
      </c>
      <c r="V1933">
        <v>-119.7871</v>
      </c>
      <c r="W1933" s="2">
        <v>45188</v>
      </c>
      <c r="X1933">
        <v>4</v>
      </c>
      <c r="Y1933" t="b">
        <v>0</v>
      </c>
      <c r="Z1933" s="2">
        <v>45824</v>
      </c>
      <c r="AA1933" t="str">
        <f t="shared" si="301"/>
        <v>10–19</v>
      </c>
      <c r="AB1933" t="str">
        <f t="shared" si="302"/>
        <v>Under 16</v>
      </c>
      <c r="AC1933" t="str">
        <f t="shared" si="303"/>
        <v>Monday</v>
      </c>
      <c r="AD1933" t="str">
        <f t="shared" si="304"/>
        <v>Tuesday</v>
      </c>
      <c r="AE1933" t="str">
        <f t="shared" si="305"/>
        <v/>
      </c>
      <c r="AF1933" t="str">
        <f t="shared" si="306"/>
        <v/>
      </c>
      <c r="AG1933" t="str">
        <f t="shared" si="307"/>
        <v/>
      </c>
      <c r="AH1933" t="str">
        <f t="shared" si="308"/>
        <v/>
      </c>
      <c r="AI1933" t="str">
        <f t="shared" si="309"/>
        <v/>
      </c>
      <c r="AJ1933" t="str">
        <f>LEFT(Table1[[#This Row],[membership_type]],2)&amp;TEXT(Table1[[#This Row],[age]],"00")&amp;"-"&amp;TEXT(ROW(),"000")</f>
        <v>St12-1933</v>
      </c>
      <c r="AK1933" t="str">
        <f>LEFT(Table1[[#This Row],[membership_type]],1)&amp;TEXT(MATCH(Table1[[#This Row],[membership_type]],Table1[membership_type],0),"00")</f>
        <v>S02</v>
      </c>
      <c r="AL1933" t="str">
        <f>LEFT(Table1[[#This Row],[discount_type]],1)&amp;TEXT(ROUND(Table1[[#This Row],[discount_rate]]*100,0),"00")</f>
        <v>N00</v>
      </c>
      <c r="AM1933" t="str" cm="1">
        <f t="array" ref="AM1933">TEXT(SUMPRODUCT(CODE(MID(Table1[[#This Row],[home_gym_location]],_xlfn.SEQUENCE(LEN(Table1[[#This Row],[home_gym_location]])),1))),"00000")</f>
        <v>00829</v>
      </c>
      <c r="AN1933" t="str">
        <f>UPPER(_xlfn.TEXTBEFORE(Table1[[#This Row],[home_gym_location]],","))&amp;"-"&amp;TEXT(MATCH(Table1[[#This Row],[home_gym_location]],_xlfn._xlws.SORT(_xlfn.UNIQUE(Table1[home_gym_location])),0),"000")</f>
        <v>FRESNO-003</v>
      </c>
      <c r="AO1933" t="str">
        <f>LEFT(_xlfn.TEXTBEFORE(Table1[[#This Row],[Location Identifier]],"-"),3) &amp; "-" &amp; _xlfn.TEXTAFTER(Table1[[#This Row],[Location Identifier]],"-")</f>
        <v>FRE-003</v>
      </c>
      <c r="AP1933" s="9">
        <f t="shared" ca="1" si="300"/>
        <v>45869</v>
      </c>
    </row>
    <row r="1934" spans="1:42" x14ac:dyDescent="0.25">
      <c r="A1934">
        <v>27</v>
      </c>
      <c r="B1934" t="s">
        <v>26</v>
      </c>
      <c r="C1934">
        <v>3</v>
      </c>
      <c r="D1934" t="s">
        <v>102</v>
      </c>
      <c r="E1934" t="b">
        <v>1</v>
      </c>
      <c r="F1934" s="1">
        <v>0.45</v>
      </c>
      <c r="G1934" s="1">
        <v>0.55208333333333337</v>
      </c>
      <c r="H1934">
        <v>147</v>
      </c>
      <c r="I1934" t="b">
        <v>1</v>
      </c>
      <c r="J1934" t="b">
        <v>0</v>
      </c>
      <c r="K1934" t="b">
        <v>0</v>
      </c>
      <c r="L1934" t="s">
        <v>35</v>
      </c>
      <c r="M1934">
        <v>50</v>
      </c>
      <c r="N1934" t="s">
        <v>64</v>
      </c>
      <c r="O1934">
        <v>37.5</v>
      </c>
      <c r="P1934" t="s">
        <v>36</v>
      </c>
      <c r="Q1934">
        <v>0</v>
      </c>
      <c r="R1934">
        <v>37.5</v>
      </c>
      <c r="S1934" t="s">
        <v>31</v>
      </c>
      <c r="T1934" t="s">
        <v>45</v>
      </c>
      <c r="U1934">
        <v>33.836599999999997</v>
      </c>
      <c r="V1934">
        <v>-117.9143</v>
      </c>
      <c r="W1934" s="2">
        <v>45110</v>
      </c>
      <c r="X1934">
        <v>0</v>
      </c>
      <c r="Y1934" t="b">
        <v>1</v>
      </c>
      <c r="Z1934" s="2">
        <v>45820</v>
      </c>
      <c r="AA1934" t="str">
        <f t="shared" si="301"/>
        <v>20–29</v>
      </c>
      <c r="AB1934" t="str">
        <f t="shared" si="302"/>
        <v>20–29</v>
      </c>
      <c r="AC1934" t="str">
        <f t="shared" si="303"/>
        <v/>
      </c>
      <c r="AD1934" t="str">
        <f t="shared" si="304"/>
        <v/>
      </c>
      <c r="AE1934" t="str">
        <f t="shared" si="305"/>
        <v/>
      </c>
      <c r="AF1934" t="str">
        <f t="shared" si="306"/>
        <v>Thursday</v>
      </c>
      <c r="AG1934" t="str">
        <f t="shared" si="307"/>
        <v>Friday</v>
      </c>
      <c r="AH1934" t="str">
        <f t="shared" si="308"/>
        <v>Saturday</v>
      </c>
      <c r="AI1934" t="str">
        <f t="shared" si="309"/>
        <v/>
      </c>
      <c r="AJ1934" t="str">
        <f>LEFT(Table1[[#This Row],[membership_type]],2)&amp;TEXT(Table1[[#This Row],[age]],"00")&amp;"-"&amp;TEXT(ROW(),"000")</f>
        <v>Pr27-1934</v>
      </c>
      <c r="AK1934" t="str">
        <f>LEFT(Table1[[#This Row],[membership_type]],1)&amp;TEXT(MATCH(Table1[[#This Row],[membership_type]],Table1[membership_type],0),"00")</f>
        <v>P01</v>
      </c>
      <c r="AL1934" t="str">
        <f>LEFT(Table1[[#This Row],[discount_type]],1)&amp;TEXT(ROUND(Table1[[#This Row],[discount_rate]]*100,0),"00")</f>
        <v>N00</v>
      </c>
      <c r="AM1934" t="str" cm="1">
        <f t="array" ref="AM1934">TEXT(SUMPRODUCT(CODE(MID(Table1[[#This Row],[home_gym_location]],_xlfn.SEQUENCE(LEN(Table1[[#This Row],[home_gym_location]])),1))),"00000")</f>
        <v>00899</v>
      </c>
      <c r="AN1934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34" t="str">
        <f>LEFT(_xlfn.TEXTBEFORE(Table1[[#This Row],[Location Identifier]],"-"),3) &amp; "-" &amp; _xlfn.TEXTAFTER(Table1[[#This Row],[Location Identifier]],"-")</f>
        <v>ANA-001</v>
      </c>
      <c r="AP1934" s="9">
        <f t="shared" ca="1" si="300"/>
        <v>45869</v>
      </c>
    </row>
    <row r="1935" spans="1:42" x14ac:dyDescent="0.25">
      <c r="A1935">
        <v>25</v>
      </c>
      <c r="B1935" t="s">
        <v>26</v>
      </c>
      <c r="C1935">
        <v>1</v>
      </c>
      <c r="D1935" t="s">
        <v>95</v>
      </c>
      <c r="E1935" t="b">
        <v>0</v>
      </c>
      <c r="F1935" s="1">
        <v>0.66319444444444442</v>
      </c>
      <c r="G1935" s="1">
        <v>0.70138888888888884</v>
      </c>
      <c r="H1935">
        <v>55</v>
      </c>
      <c r="I1935" t="b">
        <v>1</v>
      </c>
      <c r="J1935" t="b">
        <v>0</v>
      </c>
      <c r="K1935" t="b">
        <v>1</v>
      </c>
      <c r="L1935" t="s">
        <v>28</v>
      </c>
      <c r="M1935">
        <v>50</v>
      </c>
      <c r="N1935" t="s">
        <v>29</v>
      </c>
      <c r="O1935">
        <v>50</v>
      </c>
      <c r="P1935" t="s">
        <v>36</v>
      </c>
      <c r="Q1935">
        <v>0</v>
      </c>
      <c r="R1935">
        <v>50</v>
      </c>
      <c r="S1935" t="s">
        <v>31</v>
      </c>
      <c r="T1935" t="s">
        <v>59</v>
      </c>
      <c r="U1935">
        <v>37.774900000000002</v>
      </c>
      <c r="V1935">
        <v>-122.4194</v>
      </c>
      <c r="W1935" s="2">
        <v>44973</v>
      </c>
      <c r="X1935">
        <v>0</v>
      </c>
      <c r="Y1935" t="b">
        <v>0</v>
      </c>
      <c r="Z1935" s="2">
        <v>45812</v>
      </c>
      <c r="AA1935" t="str">
        <f t="shared" si="301"/>
        <v>20–29</v>
      </c>
      <c r="AB1935" t="str">
        <f t="shared" si="302"/>
        <v>20–29</v>
      </c>
      <c r="AC1935" t="str">
        <f t="shared" si="303"/>
        <v/>
      </c>
      <c r="AD1935" t="str">
        <f t="shared" si="304"/>
        <v/>
      </c>
      <c r="AE1935" t="str">
        <f t="shared" si="305"/>
        <v/>
      </c>
      <c r="AF1935" t="str">
        <f t="shared" si="306"/>
        <v/>
      </c>
      <c r="AG1935" t="str">
        <f t="shared" si="307"/>
        <v/>
      </c>
      <c r="AH1935" t="str">
        <f t="shared" si="308"/>
        <v>Saturday</v>
      </c>
      <c r="AI1935" t="str">
        <f t="shared" si="309"/>
        <v/>
      </c>
      <c r="AJ1935" t="str">
        <f>LEFT(Table1[[#This Row],[membership_type]],2)&amp;TEXT(Table1[[#This Row],[age]],"00")&amp;"-"&amp;TEXT(ROW(),"000")</f>
        <v>Pr25-1935</v>
      </c>
      <c r="AK1935" t="str">
        <f>LEFT(Table1[[#This Row],[membership_type]],1)&amp;TEXT(MATCH(Table1[[#This Row],[membership_type]],Table1[membership_type],0),"00")</f>
        <v>P01</v>
      </c>
      <c r="AL1935" t="str">
        <f>LEFT(Table1[[#This Row],[discount_type]],1)&amp;TEXT(ROUND(Table1[[#This Row],[discount_rate]]*100,0),"00")</f>
        <v>N00</v>
      </c>
      <c r="AM1935" t="str" cm="1">
        <f t="array" ref="AM1935">TEXT(SUMPRODUCT(CODE(MID(Table1[[#This Row],[home_gym_location]],_xlfn.SEQUENCE(LEN(Table1[[#This Row],[home_gym_location]])),1))),"00000")</f>
        <v>01450</v>
      </c>
      <c r="AN1935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35" t="str">
        <f>LEFT(_xlfn.TEXTBEFORE(Table1[[#This Row],[Location Identifier]],"-"),3) &amp; "-" &amp; _xlfn.TEXTAFTER(Table1[[#This Row],[Location Identifier]],"-")</f>
        <v>SAN-009</v>
      </c>
      <c r="AP1935" s="9">
        <f t="shared" ca="1" si="300"/>
        <v>45869</v>
      </c>
    </row>
    <row r="1936" spans="1:42" x14ac:dyDescent="0.25">
      <c r="A1936">
        <v>19</v>
      </c>
      <c r="B1936" t="s">
        <v>26</v>
      </c>
      <c r="C1936">
        <v>3</v>
      </c>
      <c r="D1936" t="s">
        <v>125</v>
      </c>
      <c r="E1936" t="b">
        <v>0</v>
      </c>
      <c r="F1936" s="1">
        <v>0.73819444444444449</v>
      </c>
      <c r="G1936" s="1">
        <v>0.77361111111111114</v>
      </c>
      <c r="H1936">
        <v>51</v>
      </c>
      <c r="I1936" t="b">
        <v>0</v>
      </c>
      <c r="J1936" t="b">
        <v>1</v>
      </c>
      <c r="K1936" t="b">
        <v>1</v>
      </c>
      <c r="L1936" t="s">
        <v>62</v>
      </c>
      <c r="M1936">
        <v>50</v>
      </c>
      <c r="N1936" t="s">
        <v>64</v>
      </c>
      <c r="O1936">
        <v>37.5</v>
      </c>
      <c r="P1936" t="s">
        <v>30</v>
      </c>
      <c r="Q1936">
        <v>0.05</v>
      </c>
      <c r="R1936">
        <v>35.625</v>
      </c>
      <c r="S1936" t="s">
        <v>31</v>
      </c>
      <c r="T1936" t="s">
        <v>32</v>
      </c>
      <c r="U1936">
        <v>37.338200000000001</v>
      </c>
      <c r="V1936">
        <v>-121.88630000000001</v>
      </c>
      <c r="W1936" s="2">
        <v>45543</v>
      </c>
      <c r="X1936">
        <v>3</v>
      </c>
      <c r="Y1936" t="b">
        <v>0</v>
      </c>
      <c r="Z1936" s="2">
        <v>45844</v>
      </c>
      <c r="AA1936" t="str">
        <f t="shared" si="301"/>
        <v>10–19</v>
      </c>
      <c r="AB1936" t="str">
        <f t="shared" si="302"/>
        <v>16–19</v>
      </c>
      <c r="AC1936" t="str">
        <f t="shared" si="303"/>
        <v/>
      </c>
      <c r="AD1936" t="str">
        <f t="shared" si="304"/>
        <v/>
      </c>
      <c r="AE1936" t="str">
        <f t="shared" si="305"/>
        <v/>
      </c>
      <c r="AF1936" t="str">
        <f t="shared" si="306"/>
        <v>Thursday</v>
      </c>
      <c r="AG1936" t="str">
        <f t="shared" si="307"/>
        <v/>
      </c>
      <c r="AH1936" t="str">
        <f t="shared" si="308"/>
        <v>Saturday</v>
      </c>
      <c r="AI1936" t="str">
        <f t="shared" si="309"/>
        <v>Sunday</v>
      </c>
      <c r="AJ1936" t="str">
        <f>LEFT(Table1[[#This Row],[membership_type]],2)&amp;TEXT(Table1[[#This Row],[age]],"00")&amp;"-"&amp;TEXT(ROW(),"000")</f>
        <v>Pr19-1936</v>
      </c>
      <c r="AK1936" t="str">
        <f>LEFT(Table1[[#This Row],[membership_type]],1)&amp;TEXT(MATCH(Table1[[#This Row],[membership_type]],Table1[membership_type],0),"00")</f>
        <v>P01</v>
      </c>
      <c r="AL1936" t="str">
        <f>LEFT(Table1[[#This Row],[discount_type]],1)&amp;TEXT(ROUND(Table1[[#This Row],[discount_rate]]*100,0),"00")</f>
        <v>P05</v>
      </c>
      <c r="AM1936" t="str" cm="1">
        <f t="array" ref="AM1936">TEXT(SUMPRODUCT(CODE(MID(Table1[[#This Row],[home_gym_location]],_xlfn.SEQUENCE(LEN(Table1[[#This Row],[home_gym_location]])),1))),"00000")</f>
        <v>00931</v>
      </c>
      <c r="AN1936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36" t="str">
        <f>LEFT(_xlfn.TEXTBEFORE(Table1[[#This Row],[Location Identifier]],"-"),3) &amp; "-" &amp; _xlfn.TEXTAFTER(Table1[[#This Row],[Location Identifier]],"-")</f>
        <v>SAN-010</v>
      </c>
      <c r="AP1936" s="9">
        <f t="shared" ca="1" si="300"/>
        <v>45869</v>
      </c>
    </row>
    <row r="1937" spans="1:42" x14ac:dyDescent="0.25">
      <c r="A1937">
        <v>36</v>
      </c>
      <c r="B1937" t="s">
        <v>51</v>
      </c>
      <c r="C1937">
        <v>2</v>
      </c>
      <c r="D1937" t="s">
        <v>103</v>
      </c>
      <c r="E1937" t="b">
        <v>0</v>
      </c>
      <c r="F1937" s="1">
        <v>0.65138888888888891</v>
      </c>
      <c r="G1937" s="1">
        <v>0.73333333333333328</v>
      </c>
      <c r="H1937">
        <v>118</v>
      </c>
      <c r="I1937" t="b">
        <v>0</v>
      </c>
      <c r="J1937" t="b">
        <v>1</v>
      </c>
      <c r="K1937" t="b">
        <v>0</v>
      </c>
      <c r="L1937" t="s">
        <v>62</v>
      </c>
      <c r="M1937">
        <v>70</v>
      </c>
      <c r="N1937" t="s">
        <v>29</v>
      </c>
      <c r="O1937">
        <v>70</v>
      </c>
      <c r="P1937" t="s">
        <v>30</v>
      </c>
      <c r="Q1937">
        <v>0.05</v>
      </c>
      <c r="R1937">
        <v>66.5</v>
      </c>
      <c r="S1937" t="s">
        <v>53</v>
      </c>
      <c r="T1937" t="s">
        <v>50</v>
      </c>
      <c r="U1937">
        <v>34.052199999999999</v>
      </c>
      <c r="V1937">
        <v>-118.2437</v>
      </c>
      <c r="W1937" s="2">
        <v>44952</v>
      </c>
      <c r="X1937">
        <v>7</v>
      </c>
      <c r="Y1937" t="b">
        <v>0</v>
      </c>
      <c r="Z1937" s="2">
        <v>45811</v>
      </c>
      <c r="AA1937" t="str">
        <f t="shared" si="301"/>
        <v>30–39</v>
      </c>
      <c r="AB1937" t="str">
        <f t="shared" si="302"/>
        <v>30–39</v>
      </c>
      <c r="AC1937" t="str">
        <f t="shared" si="303"/>
        <v>Monday</v>
      </c>
      <c r="AD1937" t="str">
        <f t="shared" si="304"/>
        <v/>
      </c>
      <c r="AE1937" t="str">
        <f t="shared" si="305"/>
        <v/>
      </c>
      <c r="AF1937" t="str">
        <f t="shared" si="306"/>
        <v/>
      </c>
      <c r="AG1937" t="str">
        <f t="shared" si="307"/>
        <v/>
      </c>
      <c r="AH1937" t="str">
        <f t="shared" si="308"/>
        <v/>
      </c>
      <c r="AI1937" t="str">
        <f t="shared" si="309"/>
        <v>Sunday</v>
      </c>
      <c r="AJ1937" t="str">
        <f>LEFT(Table1[[#This Row],[membership_type]],2)&amp;TEXT(Table1[[#This Row],[age]],"00")&amp;"-"&amp;TEXT(ROW(),"000")</f>
        <v>El36-1937</v>
      </c>
      <c r="AK1937" t="str">
        <f>LEFT(Table1[[#This Row],[membership_type]],1)&amp;TEXT(MATCH(Table1[[#This Row],[membership_type]],Table1[membership_type],0),"00")</f>
        <v>E07</v>
      </c>
      <c r="AL1937" t="str">
        <f>LEFT(Table1[[#This Row],[discount_type]],1)&amp;TEXT(ROUND(Table1[[#This Row],[discount_rate]]*100,0),"00")</f>
        <v>P05</v>
      </c>
      <c r="AM1937" t="str" cm="1">
        <f t="array" ref="AM1937">TEXT(SUMPRODUCT(CODE(MID(Table1[[#This Row],[home_gym_location]],_xlfn.SEQUENCE(LEN(Table1[[#This Row],[home_gym_location]])),1))),"00000")</f>
        <v>01245</v>
      </c>
      <c r="AN193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37" t="str">
        <f>LEFT(_xlfn.TEXTBEFORE(Table1[[#This Row],[Location Identifier]],"-"),3) &amp; "-" &amp; _xlfn.TEXTAFTER(Table1[[#This Row],[Location Identifier]],"-")</f>
        <v>LOS-005</v>
      </c>
      <c r="AP1937" s="9">
        <f t="shared" ca="1" si="300"/>
        <v>45869</v>
      </c>
    </row>
    <row r="1938" spans="1:42" x14ac:dyDescent="0.25">
      <c r="A1938">
        <v>18</v>
      </c>
      <c r="B1938" t="s">
        <v>33</v>
      </c>
      <c r="C1938">
        <v>3</v>
      </c>
      <c r="D1938" t="s">
        <v>80</v>
      </c>
      <c r="E1938" t="b">
        <v>0</v>
      </c>
      <c r="F1938" s="1">
        <v>0.46250000000000002</v>
      </c>
      <c r="G1938" s="1">
        <v>0.55902777777777779</v>
      </c>
      <c r="H1938">
        <v>139</v>
      </c>
      <c r="I1938" t="b">
        <v>0</v>
      </c>
      <c r="J1938" t="b">
        <v>0</v>
      </c>
      <c r="K1938" t="b">
        <v>0</v>
      </c>
      <c r="L1938" t="s">
        <v>62</v>
      </c>
      <c r="M1938">
        <v>30</v>
      </c>
      <c r="N1938" t="s">
        <v>29</v>
      </c>
      <c r="O1938">
        <v>30</v>
      </c>
      <c r="P1938" t="s">
        <v>36</v>
      </c>
      <c r="Q1938">
        <v>0</v>
      </c>
      <c r="R1938">
        <v>30</v>
      </c>
      <c r="S1938" t="s">
        <v>37</v>
      </c>
      <c r="T1938" t="s">
        <v>41</v>
      </c>
      <c r="U1938">
        <v>37.804400000000001</v>
      </c>
      <c r="V1938">
        <v>-122.27119999999999</v>
      </c>
      <c r="W1938" s="2">
        <v>45300</v>
      </c>
      <c r="X1938">
        <v>0</v>
      </c>
      <c r="Y1938" t="b">
        <v>1</v>
      </c>
      <c r="Z1938" s="2">
        <v>45831</v>
      </c>
      <c r="AA1938" t="str">
        <f t="shared" si="301"/>
        <v>10–19</v>
      </c>
      <c r="AB1938" t="str">
        <f t="shared" si="302"/>
        <v>16–19</v>
      </c>
      <c r="AC1938" t="str">
        <f t="shared" si="303"/>
        <v>Monday</v>
      </c>
      <c r="AD1938" t="str">
        <f t="shared" si="304"/>
        <v/>
      </c>
      <c r="AE1938" t="str">
        <f t="shared" si="305"/>
        <v/>
      </c>
      <c r="AF1938" t="str">
        <f t="shared" si="306"/>
        <v/>
      </c>
      <c r="AG1938" t="str">
        <f t="shared" si="307"/>
        <v/>
      </c>
      <c r="AH1938" t="str">
        <f t="shared" si="308"/>
        <v>Saturday</v>
      </c>
      <c r="AI1938" t="str">
        <f t="shared" si="309"/>
        <v>Sunday</v>
      </c>
      <c r="AJ1938" t="str">
        <f>LEFT(Table1[[#This Row],[membership_type]],2)&amp;TEXT(Table1[[#This Row],[age]],"00")&amp;"-"&amp;TEXT(ROW(),"000")</f>
        <v>St18-1938</v>
      </c>
      <c r="AK1938" t="str">
        <f>LEFT(Table1[[#This Row],[membership_type]],1)&amp;TEXT(MATCH(Table1[[#This Row],[membership_type]],Table1[membership_type],0),"00")</f>
        <v>S02</v>
      </c>
      <c r="AL1938" t="str">
        <f>LEFT(Table1[[#This Row],[discount_type]],1)&amp;TEXT(ROUND(Table1[[#This Row],[discount_rate]]*100,0),"00")</f>
        <v>N00</v>
      </c>
      <c r="AM1938" t="str" cm="1">
        <f t="array" ref="AM1938">TEXT(SUMPRODUCT(CODE(MID(Table1[[#This Row],[home_gym_location]],_xlfn.SEQUENCE(LEN(Table1[[#This Row],[home_gym_location]])),1))),"00000")</f>
        <v>00906</v>
      </c>
      <c r="AN1938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38" t="str">
        <f>LEFT(_xlfn.TEXTBEFORE(Table1[[#This Row],[Location Identifier]],"-"),3) &amp; "-" &amp; _xlfn.TEXTAFTER(Table1[[#This Row],[Location Identifier]],"-")</f>
        <v>OAK-006</v>
      </c>
      <c r="AP1938" s="9">
        <f t="shared" ca="1" si="300"/>
        <v>45869</v>
      </c>
    </row>
    <row r="1939" spans="1:42" x14ac:dyDescent="0.25">
      <c r="A1939">
        <v>23</v>
      </c>
      <c r="B1939" t="s">
        <v>42</v>
      </c>
      <c r="C1939">
        <v>3</v>
      </c>
      <c r="D1939" t="s">
        <v>102</v>
      </c>
      <c r="E1939" t="b">
        <v>1</v>
      </c>
      <c r="F1939" s="1">
        <v>0.54583333333333328</v>
      </c>
      <c r="G1939" s="1">
        <v>0.60763888888888884</v>
      </c>
      <c r="H1939">
        <v>89</v>
      </c>
      <c r="I1939" t="b">
        <v>1</v>
      </c>
      <c r="J1939" t="b">
        <v>1</v>
      </c>
      <c r="K1939" t="b">
        <v>0</v>
      </c>
      <c r="L1939" t="s">
        <v>28</v>
      </c>
      <c r="M1939">
        <v>20</v>
      </c>
      <c r="N1939" t="s">
        <v>64</v>
      </c>
      <c r="O1939">
        <v>15</v>
      </c>
      <c r="P1939" t="s">
        <v>40</v>
      </c>
      <c r="Q1939">
        <v>0.1</v>
      </c>
      <c r="R1939">
        <v>13.5</v>
      </c>
      <c r="S1939" t="s">
        <v>44</v>
      </c>
      <c r="T1939" t="s">
        <v>59</v>
      </c>
      <c r="U1939">
        <v>37.774900000000002</v>
      </c>
      <c r="V1939">
        <v>-122.4194</v>
      </c>
      <c r="W1939" s="2">
        <v>45748</v>
      </c>
      <c r="X1939">
        <v>7</v>
      </c>
      <c r="Y1939" t="b">
        <v>0</v>
      </c>
      <c r="Z1939" s="2">
        <v>45856</v>
      </c>
      <c r="AA1939" t="str">
        <f t="shared" si="301"/>
        <v>20–29</v>
      </c>
      <c r="AB1939" t="str">
        <f t="shared" si="302"/>
        <v>20–29</v>
      </c>
      <c r="AC1939" t="str">
        <f t="shared" si="303"/>
        <v/>
      </c>
      <c r="AD1939" t="str">
        <f t="shared" si="304"/>
        <v/>
      </c>
      <c r="AE1939" t="str">
        <f t="shared" si="305"/>
        <v/>
      </c>
      <c r="AF1939" t="str">
        <f t="shared" si="306"/>
        <v>Thursday</v>
      </c>
      <c r="AG1939" t="str">
        <f t="shared" si="307"/>
        <v>Friday</v>
      </c>
      <c r="AH1939" t="str">
        <f t="shared" si="308"/>
        <v>Saturday</v>
      </c>
      <c r="AI1939" t="str">
        <f t="shared" si="309"/>
        <v/>
      </c>
      <c r="AJ1939" t="str">
        <f>LEFT(Table1[[#This Row],[membership_type]],2)&amp;TEXT(Table1[[#This Row],[age]],"00")&amp;"-"&amp;TEXT(ROW(),"000")</f>
        <v>Ba23-1939</v>
      </c>
      <c r="AK1939" t="str">
        <f>LEFT(Table1[[#This Row],[membership_type]],1)&amp;TEXT(MATCH(Table1[[#This Row],[membership_type]],Table1[membership_type],0),"00")</f>
        <v>B04</v>
      </c>
      <c r="AL1939" t="str">
        <f>LEFT(Table1[[#This Row],[discount_type]],1)&amp;TEXT(ROUND(Table1[[#This Row],[discount_rate]]*100,0),"00")</f>
        <v>L10</v>
      </c>
      <c r="AM1939" t="str" cm="1">
        <f t="array" ref="AM1939">TEXT(SUMPRODUCT(CODE(MID(Table1[[#This Row],[home_gym_location]],_xlfn.SEQUENCE(LEN(Table1[[#This Row],[home_gym_location]])),1))),"00000")</f>
        <v>01450</v>
      </c>
      <c r="AN193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39" t="str">
        <f>LEFT(_xlfn.TEXTBEFORE(Table1[[#This Row],[Location Identifier]],"-"),3) &amp; "-" &amp; _xlfn.TEXTAFTER(Table1[[#This Row],[Location Identifier]],"-")</f>
        <v>SAN-009</v>
      </c>
      <c r="AP1939" s="9">
        <f t="shared" ca="1" si="300"/>
        <v>45869</v>
      </c>
    </row>
    <row r="1940" spans="1:42" x14ac:dyDescent="0.25">
      <c r="A1940">
        <v>49</v>
      </c>
      <c r="B1940" t="s">
        <v>51</v>
      </c>
      <c r="C1940">
        <v>5</v>
      </c>
      <c r="D1940" t="s">
        <v>104</v>
      </c>
      <c r="E1940" t="b">
        <v>1</v>
      </c>
      <c r="F1940" s="1">
        <v>0.34375</v>
      </c>
      <c r="G1940" s="1">
        <v>0.36805555555555558</v>
      </c>
      <c r="H1940">
        <v>35</v>
      </c>
      <c r="I1940" t="b">
        <v>0</v>
      </c>
      <c r="J1940" t="b">
        <v>0</v>
      </c>
      <c r="K1940" t="b">
        <v>0</v>
      </c>
      <c r="L1940" t="s">
        <v>28</v>
      </c>
      <c r="M1940">
        <v>70</v>
      </c>
      <c r="N1940" t="s">
        <v>29</v>
      </c>
      <c r="O1940">
        <v>70</v>
      </c>
      <c r="P1940" t="s">
        <v>36</v>
      </c>
      <c r="Q1940">
        <v>0</v>
      </c>
      <c r="R1940">
        <v>70</v>
      </c>
      <c r="S1940" t="s">
        <v>53</v>
      </c>
      <c r="T1940" t="s">
        <v>50</v>
      </c>
      <c r="U1940">
        <v>34.052199999999999</v>
      </c>
      <c r="V1940">
        <v>-118.2437</v>
      </c>
      <c r="W1940" s="2">
        <v>45768</v>
      </c>
      <c r="X1940">
        <v>0</v>
      </c>
      <c r="Y1940" t="b">
        <v>1</v>
      </c>
      <c r="Z1940" s="2">
        <v>45857</v>
      </c>
      <c r="AA1940" t="str">
        <f t="shared" si="301"/>
        <v>40–49</v>
      </c>
      <c r="AB1940" t="str">
        <f t="shared" si="302"/>
        <v>40–49</v>
      </c>
      <c r="AC1940" t="str">
        <f t="shared" si="303"/>
        <v/>
      </c>
      <c r="AD1940" t="str">
        <f t="shared" si="304"/>
        <v>Tuesday</v>
      </c>
      <c r="AE1940" t="str">
        <f t="shared" si="305"/>
        <v>Wednesday</v>
      </c>
      <c r="AF1940" t="str">
        <f t="shared" si="306"/>
        <v>Thursday</v>
      </c>
      <c r="AG1940" t="str">
        <f t="shared" si="307"/>
        <v/>
      </c>
      <c r="AH1940" t="str">
        <f t="shared" si="308"/>
        <v>Saturday</v>
      </c>
      <c r="AI1940" t="str">
        <f t="shared" si="309"/>
        <v>Sunday</v>
      </c>
      <c r="AJ1940" t="str">
        <f>LEFT(Table1[[#This Row],[membership_type]],2)&amp;TEXT(Table1[[#This Row],[age]],"00")&amp;"-"&amp;TEXT(ROW(),"000")</f>
        <v>El49-1940</v>
      </c>
      <c r="AK1940" t="str">
        <f>LEFT(Table1[[#This Row],[membership_type]],1)&amp;TEXT(MATCH(Table1[[#This Row],[membership_type]],Table1[membership_type],0),"00")</f>
        <v>E07</v>
      </c>
      <c r="AL1940" t="str">
        <f>LEFT(Table1[[#This Row],[discount_type]],1)&amp;TEXT(ROUND(Table1[[#This Row],[discount_rate]]*100,0),"00")</f>
        <v>N00</v>
      </c>
      <c r="AM1940" t="str" cm="1">
        <f t="array" ref="AM1940">TEXT(SUMPRODUCT(CODE(MID(Table1[[#This Row],[home_gym_location]],_xlfn.SEQUENCE(LEN(Table1[[#This Row],[home_gym_location]])),1))),"00000")</f>
        <v>01245</v>
      </c>
      <c r="AN1940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40" t="str">
        <f>LEFT(_xlfn.TEXTBEFORE(Table1[[#This Row],[Location Identifier]],"-"),3) &amp; "-" &amp; _xlfn.TEXTAFTER(Table1[[#This Row],[Location Identifier]],"-")</f>
        <v>LOS-005</v>
      </c>
      <c r="AP1940" s="9">
        <f t="shared" ca="1" si="300"/>
        <v>45869</v>
      </c>
    </row>
    <row r="1941" spans="1:42" x14ac:dyDescent="0.25">
      <c r="A1941">
        <v>34</v>
      </c>
      <c r="B1941" t="s">
        <v>33</v>
      </c>
      <c r="C1941">
        <v>2</v>
      </c>
      <c r="D1941" t="s">
        <v>123</v>
      </c>
      <c r="E1941" t="b">
        <v>0</v>
      </c>
      <c r="F1941" s="1">
        <v>0.78055555555555556</v>
      </c>
      <c r="G1941" s="1">
        <v>0.82430555555555551</v>
      </c>
      <c r="H1941">
        <v>63</v>
      </c>
      <c r="I1941" t="b">
        <v>1</v>
      </c>
      <c r="J1941" t="b">
        <v>0</v>
      </c>
      <c r="K1941" t="b">
        <v>1</v>
      </c>
      <c r="L1941" t="s">
        <v>28</v>
      </c>
      <c r="M1941">
        <v>30</v>
      </c>
      <c r="N1941" t="s">
        <v>29</v>
      </c>
      <c r="O1941">
        <v>30</v>
      </c>
      <c r="P1941" t="s">
        <v>30</v>
      </c>
      <c r="Q1941">
        <v>0.05</v>
      </c>
      <c r="R1941">
        <v>28.5</v>
      </c>
      <c r="S1941" t="s">
        <v>37</v>
      </c>
      <c r="T1941" t="s">
        <v>65</v>
      </c>
      <c r="U1941">
        <v>33.770099999999999</v>
      </c>
      <c r="V1941">
        <v>-118.19370000000001</v>
      </c>
      <c r="W1941" s="2">
        <v>45475</v>
      </c>
      <c r="X1941">
        <v>0</v>
      </c>
      <c r="Y1941" t="b">
        <v>0</v>
      </c>
      <c r="Z1941" s="2">
        <v>45840</v>
      </c>
      <c r="AA1941" t="str">
        <f t="shared" si="301"/>
        <v>30–39</v>
      </c>
      <c r="AB1941" t="str">
        <f t="shared" si="302"/>
        <v>30–39</v>
      </c>
      <c r="AC1941" t="str">
        <f t="shared" si="303"/>
        <v>Monday</v>
      </c>
      <c r="AD1941" t="str">
        <f t="shared" si="304"/>
        <v/>
      </c>
      <c r="AE1941" t="str">
        <f t="shared" si="305"/>
        <v/>
      </c>
      <c r="AF1941" t="str">
        <f t="shared" si="306"/>
        <v/>
      </c>
      <c r="AG1941" t="str">
        <f t="shared" si="307"/>
        <v/>
      </c>
      <c r="AH1941" t="str">
        <f t="shared" si="308"/>
        <v>Saturday</v>
      </c>
      <c r="AI1941" t="str">
        <f t="shared" si="309"/>
        <v/>
      </c>
      <c r="AJ1941" t="str">
        <f>LEFT(Table1[[#This Row],[membership_type]],2)&amp;TEXT(Table1[[#This Row],[age]],"00")&amp;"-"&amp;TEXT(ROW(),"000")</f>
        <v>St34-1941</v>
      </c>
      <c r="AK1941" t="str">
        <f>LEFT(Table1[[#This Row],[membership_type]],1)&amp;TEXT(MATCH(Table1[[#This Row],[membership_type]],Table1[membership_type],0),"00")</f>
        <v>S02</v>
      </c>
      <c r="AL1941" t="str">
        <f>LEFT(Table1[[#This Row],[discount_type]],1)&amp;TEXT(ROUND(Table1[[#This Row],[discount_rate]]*100,0),"00")</f>
        <v>P05</v>
      </c>
      <c r="AM1941" t="str" cm="1">
        <f t="array" ref="AM1941">TEXT(SUMPRODUCT(CODE(MID(Table1[[#This Row],[home_gym_location]],_xlfn.SEQUENCE(LEN(Table1[[#This Row],[home_gym_location]])),1))),"00000")</f>
        <v>01107</v>
      </c>
      <c r="AN1941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41" t="str">
        <f>LEFT(_xlfn.TEXTBEFORE(Table1[[#This Row],[Location Identifier]],"-"),3) &amp; "-" &amp; _xlfn.TEXTAFTER(Table1[[#This Row],[Location Identifier]],"-")</f>
        <v>LON-004</v>
      </c>
      <c r="AP1941" s="9">
        <f t="shared" ca="1" si="300"/>
        <v>45869</v>
      </c>
    </row>
    <row r="1942" spans="1:42" x14ac:dyDescent="0.25">
      <c r="A1942">
        <v>21</v>
      </c>
      <c r="B1942" t="s">
        <v>26</v>
      </c>
      <c r="C1942">
        <v>3</v>
      </c>
      <c r="D1942" t="s">
        <v>86</v>
      </c>
      <c r="E1942" t="b">
        <v>0</v>
      </c>
      <c r="F1942" s="1">
        <v>0.39027777777777778</v>
      </c>
      <c r="G1942" s="1">
        <v>0.45277777777777778</v>
      </c>
      <c r="H1942">
        <v>90</v>
      </c>
      <c r="I1942" t="b">
        <v>1</v>
      </c>
      <c r="J1942" t="b">
        <v>1</v>
      </c>
      <c r="K1942" t="b">
        <v>0</v>
      </c>
      <c r="L1942" t="s">
        <v>28</v>
      </c>
      <c r="M1942">
        <v>50</v>
      </c>
      <c r="N1942" t="s">
        <v>29</v>
      </c>
      <c r="O1942">
        <v>50</v>
      </c>
      <c r="P1942" t="s">
        <v>36</v>
      </c>
      <c r="Q1942">
        <v>0</v>
      </c>
      <c r="R1942">
        <v>50</v>
      </c>
      <c r="S1942" t="s">
        <v>31</v>
      </c>
      <c r="T1942" t="s">
        <v>56</v>
      </c>
      <c r="U1942">
        <v>35.3733</v>
      </c>
      <c r="V1942">
        <v>-119.0187</v>
      </c>
      <c r="W1942" s="2">
        <v>44995</v>
      </c>
      <c r="X1942">
        <v>7</v>
      </c>
      <c r="Y1942" t="b">
        <v>1</v>
      </c>
      <c r="Z1942" s="2">
        <v>45813</v>
      </c>
      <c r="AA1942" t="str">
        <f t="shared" si="301"/>
        <v>20–29</v>
      </c>
      <c r="AB1942" t="str">
        <f t="shared" si="302"/>
        <v>20–29</v>
      </c>
      <c r="AC1942" t="str">
        <f t="shared" si="303"/>
        <v/>
      </c>
      <c r="AD1942" t="str">
        <f t="shared" si="304"/>
        <v>Tuesday</v>
      </c>
      <c r="AE1942" t="str">
        <f t="shared" si="305"/>
        <v/>
      </c>
      <c r="AF1942" t="str">
        <f t="shared" si="306"/>
        <v/>
      </c>
      <c r="AG1942" t="str">
        <f t="shared" si="307"/>
        <v>Friday</v>
      </c>
      <c r="AH1942" t="str">
        <f t="shared" si="308"/>
        <v>Saturday</v>
      </c>
      <c r="AI1942" t="str">
        <f t="shared" si="309"/>
        <v/>
      </c>
      <c r="AJ1942" t="str">
        <f>LEFT(Table1[[#This Row],[membership_type]],2)&amp;TEXT(Table1[[#This Row],[age]],"00")&amp;"-"&amp;TEXT(ROW(),"000")</f>
        <v>Pr21-1942</v>
      </c>
      <c r="AK1942" t="str">
        <f>LEFT(Table1[[#This Row],[membership_type]],1)&amp;TEXT(MATCH(Table1[[#This Row],[membership_type]],Table1[membership_type],0),"00")</f>
        <v>P01</v>
      </c>
      <c r="AL1942" t="str">
        <f>LEFT(Table1[[#This Row],[discount_type]],1)&amp;TEXT(ROUND(Table1[[#This Row],[discount_rate]]*100,0),"00")</f>
        <v>N00</v>
      </c>
      <c r="AM1942" t="str" cm="1">
        <f t="array" ref="AM1942">TEXT(SUMPRODUCT(CODE(MID(Table1[[#This Row],[home_gym_location]],_xlfn.SEQUENCE(LEN(Table1[[#This Row],[home_gym_location]])),1))),"00000")</f>
        <v>01324</v>
      </c>
      <c r="AN1942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42" t="str">
        <f>LEFT(_xlfn.TEXTBEFORE(Table1[[#This Row],[Location Identifier]],"-"),3) &amp; "-" &amp; _xlfn.TEXTAFTER(Table1[[#This Row],[Location Identifier]],"-")</f>
        <v>BAK-002</v>
      </c>
      <c r="AP1942" s="9">
        <f t="shared" ca="1" si="300"/>
        <v>45869</v>
      </c>
    </row>
    <row r="1943" spans="1:42" x14ac:dyDescent="0.25">
      <c r="A1943">
        <v>47</v>
      </c>
      <c r="B1943" t="s">
        <v>33</v>
      </c>
      <c r="C1943">
        <v>1</v>
      </c>
      <c r="D1943" t="s">
        <v>49</v>
      </c>
      <c r="E1943" t="b">
        <v>0</v>
      </c>
      <c r="F1943" s="1">
        <v>0.68263888888888891</v>
      </c>
      <c r="G1943" s="1">
        <v>0.75486111111111109</v>
      </c>
      <c r="H1943">
        <v>104</v>
      </c>
      <c r="I1943" t="b">
        <v>0</v>
      </c>
      <c r="J1943" t="b">
        <v>1</v>
      </c>
      <c r="K1943" t="b">
        <v>0</v>
      </c>
      <c r="L1943" t="s">
        <v>47</v>
      </c>
      <c r="M1943">
        <v>30</v>
      </c>
      <c r="N1943" t="s">
        <v>29</v>
      </c>
      <c r="O1943">
        <v>30</v>
      </c>
      <c r="P1943" t="s">
        <v>74</v>
      </c>
      <c r="Q1943">
        <v>0.15</v>
      </c>
      <c r="R1943">
        <v>25.5</v>
      </c>
      <c r="S1943" t="s">
        <v>37</v>
      </c>
      <c r="T1943" t="s">
        <v>48</v>
      </c>
      <c r="U1943">
        <v>38.581600000000002</v>
      </c>
      <c r="V1943">
        <v>-121.4944</v>
      </c>
      <c r="W1943" s="2">
        <v>45077</v>
      </c>
      <c r="X1943">
        <v>4</v>
      </c>
      <c r="Y1943" t="b">
        <v>0</v>
      </c>
      <c r="Z1943" s="2">
        <v>45818</v>
      </c>
      <c r="AA1943" t="str">
        <f t="shared" si="301"/>
        <v>40–49</v>
      </c>
      <c r="AB1943" t="str">
        <f t="shared" si="302"/>
        <v>40–49</v>
      </c>
      <c r="AC1943" t="str">
        <f t="shared" si="303"/>
        <v/>
      </c>
      <c r="AD1943" t="str">
        <f t="shared" si="304"/>
        <v/>
      </c>
      <c r="AE1943" t="str">
        <f t="shared" si="305"/>
        <v/>
      </c>
      <c r="AF1943" t="str">
        <f t="shared" si="306"/>
        <v/>
      </c>
      <c r="AG1943" t="str">
        <f t="shared" si="307"/>
        <v/>
      </c>
      <c r="AH1943" t="str">
        <f t="shared" si="308"/>
        <v/>
      </c>
      <c r="AI1943" t="str">
        <f t="shared" si="309"/>
        <v>Sunday</v>
      </c>
      <c r="AJ1943" t="str">
        <f>LEFT(Table1[[#This Row],[membership_type]],2)&amp;TEXT(Table1[[#This Row],[age]],"00")&amp;"-"&amp;TEXT(ROW(),"000")</f>
        <v>St47-1943</v>
      </c>
      <c r="AK1943" t="str">
        <f>LEFT(Table1[[#This Row],[membership_type]],1)&amp;TEXT(MATCH(Table1[[#This Row],[membership_type]],Table1[membership_type],0),"00")</f>
        <v>S02</v>
      </c>
      <c r="AL1943" t="str">
        <f>LEFT(Table1[[#This Row],[discount_type]],1)&amp;TEXT(ROUND(Table1[[#This Row],[discount_rate]]*100,0),"00")</f>
        <v>S15</v>
      </c>
      <c r="AM1943" t="str" cm="1">
        <f t="array" ref="AM1943">TEXT(SUMPRODUCT(CODE(MID(Table1[[#This Row],[home_gym_location]],_xlfn.SEQUENCE(LEN(Table1[[#This Row],[home_gym_location]])),1))),"00000")</f>
        <v>01245</v>
      </c>
      <c r="AN194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43" t="str">
        <f>LEFT(_xlfn.TEXTBEFORE(Table1[[#This Row],[Location Identifier]],"-"),3) &amp; "-" &amp; _xlfn.TEXTAFTER(Table1[[#This Row],[Location Identifier]],"-")</f>
        <v>SAC-007</v>
      </c>
      <c r="AP1943" s="9">
        <f t="shared" ca="1" si="300"/>
        <v>45869</v>
      </c>
    </row>
    <row r="1944" spans="1:42" x14ac:dyDescent="0.25">
      <c r="A1944">
        <v>47</v>
      </c>
      <c r="B1944" t="s">
        <v>26</v>
      </c>
      <c r="C1944">
        <v>2</v>
      </c>
      <c r="D1944" t="s">
        <v>88</v>
      </c>
      <c r="E1944" t="b">
        <v>1</v>
      </c>
      <c r="F1944" s="1">
        <v>0.78263888888888888</v>
      </c>
      <c r="G1944" s="1">
        <v>0.89930555555555558</v>
      </c>
      <c r="H1944">
        <v>168</v>
      </c>
      <c r="I1944" t="b">
        <v>1</v>
      </c>
      <c r="J1944" t="b">
        <v>0</v>
      </c>
      <c r="K1944" t="b">
        <v>0</v>
      </c>
      <c r="L1944" t="s">
        <v>28</v>
      </c>
      <c r="M1944">
        <v>50</v>
      </c>
      <c r="N1944" t="s">
        <v>64</v>
      </c>
      <c r="O1944">
        <v>37.5</v>
      </c>
      <c r="P1944" t="s">
        <v>30</v>
      </c>
      <c r="Q1944">
        <v>0.05</v>
      </c>
      <c r="R1944">
        <v>35.625</v>
      </c>
      <c r="S1944" t="s">
        <v>31</v>
      </c>
      <c r="T1944" t="s">
        <v>48</v>
      </c>
      <c r="U1944">
        <v>38.581600000000002</v>
      </c>
      <c r="V1944">
        <v>-121.4944</v>
      </c>
      <c r="W1944" s="2">
        <v>44991</v>
      </c>
      <c r="X1944">
        <v>0</v>
      </c>
      <c r="Y1944" t="b">
        <v>1</v>
      </c>
      <c r="Z1944" s="2">
        <v>45813</v>
      </c>
      <c r="AA1944" t="str">
        <f t="shared" si="301"/>
        <v>40–49</v>
      </c>
      <c r="AB1944" t="str">
        <f t="shared" si="302"/>
        <v>40–49</v>
      </c>
      <c r="AC1944" t="str">
        <f t="shared" si="303"/>
        <v>Monday</v>
      </c>
      <c r="AD1944" t="str">
        <f t="shared" si="304"/>
        <v/>
      </c>
      <c r="AE1944" t="str">
        <f t="shared" si="305"/>
        <v>Wednesday</v>
      </c>
      <c r="AF1944" t="str">
        <f t="shared" si="306"/>
        <v/>
      </c>
      <c r="AG1944" t="str">
        <f t="shared" si="307"/>
        <v/>
      </c>
      <c r="AH1944" t="str">
        <f t="shared" si="308"/>
        <v/>
      </c>
      <c r="AI1944" t="str">
        <f t="shared" si="309"/>
        <v/>
      </c>
      <c r="AJ1944" t="str">
        <f>LEFT(Table1[[#This Row],[membership_type]],2)&amp;TEXT(Table1[[#This Row],[age]],"00")&amp;"-"&amp;TEXT(ROW(),"000")</f>
        <v>Pr47-1944</v>
      </c>
      <c r="AK1944" t="str">
        <f>LEFT(Table1[[#This Row],[membership_type]],1)&amp;TEXT(MATCH(Table1[[#This Row],[membership_type]],Table1[membership_type],0),"00")</f>
        <v>P01</v>
      </c>
      <c r="AL1944" t="str">
        <f>LEFT(Table1[[#This Row],[discount_type]],1)&amp;TEXT(ROUND(Table1[[#This Row],[discount_rate]]*100,0),"00")</f>
        <v>P05</v>
      </c>
      <c r="AM1944" t="str" cm="1">
        <f t="array" ref="AM1944">TEXT(SUMPRODUCT(CODE(MID(Table1[[#This Row],[home_gym_location]],_xlfn.SEQUENCE(LEN(Table1[[#This Row],[home_gym_location]])),1))),"00000")</f>
        <v>01245</v>
      </c>
      <c r="AN1944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44" t="str">
        <f>LEFT(_xlfn.TEXTBEFORE(Table1[[#This Row],[Location Identifier]],"-"),3) &amp; "-" &amp; _xlfn.TEXTAFTER(Table1[[#This Row],[Location Identifier]],"-")</f>
        <v>SAC-007</v>
      </c>
      <c r="AP1944" s="9">
        <f t="shared" ca="1" si="300"/>
        <v>45869</v>
      </c>
    </row>
    <row r="1945" spans="1:42" x14ac:dyDescent="0.25">
      <c r="A1945">
        <v>36</v>
      </c>
      <c r="B1945" t="s">
        <v>33</v>
      </c>
      <c r="C1945">
        <v>3</v>
      </c>
      <c r="D1945" t="s">
        <v>109</v>
      </c>
      <c r="E1945" t="b">
        <v>1</v>
      </c>
      <c r="F1945" s="1">
        <v>0.73124999999999996</v>
      </c>
      <c r="G1945" s="1">
        <v>0.80277777777777781</v>
      </c>
      <c r="H1945">
        <v>103</v>
      </c>
      <c r="I1945" t="b">
        <v>0</v>
      </c>
      <c r="J1945" t="b">
        <v>0</v>
      </c>
      <c r="K1945" t="b">
        <v>1</v>
      </c>
      <c r="L1945" t="s">
        <v>62</v>
      </c>
      <c r="M1945">
        <v>30</v>
      </c>
      <c r="N1945" t="s">
        <v>64</v>
      </c>
      <c r="O1945">
        <v>22.5</v>
      </c>
      <c r="P1945" t="s">
        <v>30</v>
      </c>
      <c r="Q1945">
        <v>0.05</v>
      </c>
      <c r="R1945">
        <v>21.375</v>
      </c>
      <c r="S1945" t="s">
        <v>37</v>
      </c>
      <c r="T1945" t="s">
        <v>56</v>
      </c>
      <c r="U1945">
        <v>35.3733</v>
      </c>
      <c r="V1945">
        <v>-119.0187</v>
      </c>
      <c r="W1945" s="2">
        <v>45280</v>
      </c>
      <c r="X1945">
        <v>0</v>
      </c>
      <c r="Y1945" t="b">
        <v>0</v>
      </c>
      <c r="Z1945" s="2">
        <v>45829</v>
      </c>
      <c r="AA1945" t="str">
        <f t="shared" si="301"/>
        <v>30–39</v>
      </c>
      <c r="AB1945" t="str">
        <f t="shared" si="302"/>
        <v>30–39</v>
      </c>
      <c r="AC1945" t="str">
        <f t="shared" si="303"/>
        <v/>
      </c>
      <c r="AD1945" t="str">
        <f t="shared" si="304"/>
        <v>Tuesday</v>
      </c>
      <c r="AE1945" t="str">
        <f t="shared" si="305"/>
        <v/>
      </c>
      <c r="AF1945" t="str">
        <f t="shared" si="306"/>
        <v>Thursday</v>
      </c>
      <c r="AG1945" t="str">
        <f t="shared" si="307"/>
        <v>Friday</v>
      </c>
      <c r="AH1945" t="str">
        <f t="shared" si="308"/>
        <v/>
      </c>
      <c r="AI1945" t="str">
        <f t="shared" si="309"/>
        <v/>
      </c>
      <c r="AJ1945" t="str">
        <f>LEFT(Table1[[#This Row],[membership_type]],2)&amp;TEXT(Table1[[#This Row],[age]],"00")&amp;"-"&amp;TEXT(ROW(),"000")</f>
        <v>St36-1945</v>
      </c>
      <c r="AK1945" t="str">
        <f>LEFT(Table1[[#This Row],[membership_type]],1)&amp;TEXT(MATCH(Table1[[#This Row],[membership_type]],Table1[membership_type],0),"00")</f>
        <v>S02</v>
      </c>
      <c r="AL1945" t="str">
        <f>LEFT(Table1[[#This Row],[discount_type]],1)&amp;TEXT(ROUND(Table1[[#This Row],[discount_rate]]*100,0),"00")</f>
        <v>P05</v>
      </c>
      <c r="AM1945" t="str" cm="1">
        <f t="array" ref="AM1945">TEXT(SUMPRODUCT(CODE(MID(Table1[[#This Row],[home_gym_location]],_xlfn.SEQUENCE(LEN(Table1[[#This Row],[home_gym_location]])),1))),"00000")</f>
        <v>01324</v>
      </c>
      <c r="AN1945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45" t="str">
        <f>LEFT(_xlfn.TEXTBEFORE(Table1[[#This Row],[Location Identifier]],"-"),3) &amp; "-" &amp; _xlfn.TEXTAFTER(Table1[[#This Row],[Location Identifier]],"-")</f>
        <v>BAK-002</v>
      </c>
      <c r="AP1945" s="9">
        <f t="shared" ca="1" si="300"/>
        <v>45869</v>
      </c>
    </row>
    <row r="1946" spans="1:42" x14ac:dyDescent="0.25">
      <c r="A1946">
        <v>35</v>
      </c>
      <c r="B1946" t="s">
        <v>42</v>
      </c>
      <c r="C1946">
        <v>2</v>
      </c>
      <c r="D1946" t="s">
        <v>101</v>
      </c>
      <c r="E1946" t="b">
        <v>1</v>
      </c>
      <c r="F1946" s="1">
        <v>0.68055555555555558</v>
      </c>
      <c r="G1946" s="1">
        <v>0.72291666666666665</v>
      </c>
      <c r="H1946">
        <v>61</v>
      </c>
      <c r="I1946" t="b">
        <v>1</v>
      </c>
      <c r="J1946" t="b">
        <v>1</v>
      </c>
      <c r="K1946" t="b">
        <v>0</v>
      </c>
      <c r="L1946" t="s">
        <v>62</v>
      </c>
      <c r="M1946">
        <v>20</v>
      </c>
      <c r="N1946" t="s">
        <v>29</v>
      </c>
      <c r="O1946">
        <v>20</v>
      </c>
      <c r="P1946" t="s">
        <v>36</v>
      </c>
      <c r="Q1946">
        <v>0</v>
      </c>
      <c r="R1946">
        <v>20</v>
      </c>
      <c r="S1946" t="s">
        <v>44</v>
      </c>
      <c r="T1946" t="s">
        <v>65</v>
      </c>
      <c r="U1946">
        <v>33.770099999999999</v>
      </c>
      <c r="V1946">
        <v>-118.19370000000001</v>
      </c>
      <c r="W1946" s="2">
        <v>45362</v>
      </c>
      <c r="X1946">
        <v>7</v>
      </c>
      <c r="Y1946" t="b">
        <v>1</v>
      </c>
      <c r="Z1946" s="2">
        <v>45834</v>
      </c>
      <c r="AA1946" t="str">
        <f t="shared" si="301"/>
        <v>30–39</v>
      </c>
      <c r="AB1946" t="str">
        <f t="shared" si="302"/>
        <v>30–39</v>
      </c>
      <c r="AC1946" t="str">
        <f t="shared" si="303"/>
        <v>Monday</v>
      </c>
      <c r="AD1946" t="str">
        <f t="shared" si="304"/>
        <v/>
      </c>
      <c r="AE1946" t="str">
        <f t="shared" si="305"/>
        <v/>
      </c>
      <c r="AF1946" t="str">
        <f t="shared" si="306"/>
        <v/>
      </c>
      <c r="AG1946" t="str">
        <f t="shared" si="307"/>
        <v>Friday</v>
      </c>
      <c r="AH1946" t="str">
        <f t="shared" si="308"/>
        <v/>
      </c>
      <c r="AI1946" t="str">
        <f t="shared" si="309"/>
        <v/>
      </c>
      <c r="AJ1946" t="str">
        <f>LEFT(Table1[[#This Row],[membership_type]],2)&amp;TEXT(Table1[[#This Row],[age]],"00")&amp;"-"&amp;TEXT(ROW(),"000")</f>
        <v>Ba35-1946</v>
      </c>
      <c r="AK1946" t="str">
        <f>LEFT(Table1[[#This Row],[membership_type]],1)&amp;TEXT(MATCH(Table1[[#This Row],[membership_type]],Table1[membership_type],0),"00")</f>
        <v>B04</v>
      </c>
      <c r="AL1946" t="str">
        <f>LEFT(Table1[[#This Row],[discount_type]],1)&amp;TEXT(ROUND(Table1[[#This Row],[discount_rate]]*100,0),"00")</f>
        <v>N00</v>
      </c>
      <c r="AM1946" t="str" cm="1">
        <f t="array" ref="AM1946">TEXT(SUMPRODUCT(CODE(MID(Table1[[#This Row],[home_gym_location]],_xlfn.SEQUENCE(LEN(Table1[[#This Row],[home_gym_location]])),1))),"00000")</f>
        <v>01107</v>
      </c>
      <c r="AN194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46" t="str">
        <f>LEFT(_xlfn.TEXTBEFORE(Table1[[#This Row],[Location Identifier]],"-"),3) &amp; "-" &amp; _xlfn.TEXTAFTER(Table1[[#This Row],[Location Identifier]],"-")</f>
        <v>LON-004</v>
      </c>
      <c r="AP1946" s="9">
        <f t="shared" ca="1" si="300"/>
        <v>45869</v>
      </c>
    </row>
    <row r="1947" spans="1:42" x14ac:dyDescent="0.25">
      <c r="A1947">
        <v>27</v>
      </c>
      <c r="B1947" t="s">
        <v>33</v>
      </c>
      <c r="C1947">
        <v>2</v>
      </c>
      <c r="D1947" t="s">
        <v>96</v>
      </c>
      <c r="E1947" t="b">
        <v>1</v>
      </c>
      <c r="F1947" s="1">
        <v>0.68680555555555556</v>
      </c>
      <c r="G1947" s="1">
        <v>0.79722222222222228</v>
      </c>
      <c r="H1947">
        <v>159</v>
      </c>
      <c r="I1947" t="b">
        <v>1</v>
      </c>
      <c r="J1947" t="b">
        <v>0</v>
      </c>
      <c r="K1947" t="b">
        <v>1</v>
      </c>
      <c r="L1947" t="s">
        <v>28</v>
      </c>
      <c r="M1947">
        <v>30</v>
      </c>
      <c r="N1947" t="s">
        <v>29</v>
      </c>
      <c r="O1947">
        <v>30</v>
      </c>
      <c r="P1947" t="s">
        <v>36</v>
      </c>
      <c r="Q1947">
        <v>0</v>
      </c>
      <c r="R1947">
        <v>30</v>
      </c>
      <c r="S1947" t="s">
        <v>37</v>
      </c>
      <c r="T1947" t="s">
        <v>50</v>
      </c>
      <c r="U1947">
        <v>34.052199999999999</v>
      </c>
      <c r="V1947">
        <v>-118.2437</v>
      </c>
      <c r="W1947" s="2">
        <v>45673</v>
      </c>
      <c r="X1947">
        <v>0</v>
      </c>
      <c r="Y1947" t="b">
        <v>0</v>
      </c>
      <c r="Z1947" s="2">
        <v>45852</v>
      </c>
      <c r="AA1947" t="str">
        <f t="shared" si="301"/>
        <v>20–29</v>
      </c>
      <c r="AB1947" t="str">
        <f t="shared" si="302"/>
        <v>20–29</v>
      </c>
      <c r="AC1947" t="str">
        <f t="shared" si="303"/>
        <v/>
      </c>
      <c r="AD1947" t="str">
        <f t="shared" si="304"/>
        <v/>
      </c>
      <c r="AE1947" t="str">
        <f t="shared" si="305"/>
        <v/>
      </c>
      <c r="AF1947" t="str">
        <f t="shared" si="306"/>
        <v>Thursday</v>
      </c>
      <c r="AG1947" t="str">
        <f t="shared" si="307"/>
        <v>Friday</v>
      </c>
      <c r="AH1947" t="str">
        <f t="shared" si="308"/>
        <v/>
      </c>
      <c r="AI1947" t="str">
        <f t="shared" si="309"/>
        <v/>
      </c>
      <c r="AJ1947" t="str">
        <f>LEFT(Table1[[#This Row],[membership_type]],2)&amp;TEXT(Table1[[#This Row],[age]],"00")&amp;"-"&amp;TEXT(ROW(),"000")</f>
        <v>St27-1947</v>
      </c>
      <c r="AK1947" t="str">
        <f>LEFT(Table1[[#This Row],[membership_type]],1)&amp;TEXT(MATCH(Table1[[#This Row],[membership_type]],Table1[membership_type],0),"00")</f>
        <v>S02</v>
      </c>
      <c r="AL1947" t="str">
        <f>LEFT(Table1[[#This Row],[discount_type]],1)&amp;TEXT(ROUND(Table1[[#This Row],[discount_rate]]*100,0),"00")</f>
        <v>N00</v>
      </c>
      <c r="AM1947" t="str" cm="1">
        <f t="array" ref="AM1947">TEXT(SUMPRODUCT(CODE(MID(Table1[[#This Row],[home_gym_location]],_xlfn.SEQUENCE(LEN(Table1[[#This Row],[home_gym_location]])),1))),"00000")</f>
        <v>01245</v>
      </c>
      <c r="AN1947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47" t="str">
        <f>LEFT(_xlfn.TEXTBEFORE(Table1[[#This Row],[Location Identifier]],"-"),3) &amp; "-" &amp; _xlfn.TEXTAFTER(Table1[[#This Row],[Location Identifier]],"-")</f>
        <v>LOS-005</v>
      </c>
      <c r="AP1947" s="9">
        <f t="shared" ca="1" si="300"/>
        <v>45869</v>
      </c>
    </row>
    <row r="1948" spans="1:42" x14ac:dyDescent="0.25">
      <c r="A1948">
        <v>44</v>
      </c>
      <c r="B1948" t="s">
        <v>51</v>
      </c>
      <c r="C1948">
        <v>5</v>
      </c>
      <c r="D1948" t="s">
        <v>77</v>
      </c>
      <c r="E1948" t="b">
        <v>1</v>
      </c>
      <c r="F1948" s="1">
        <v>0.83611111111111114</v>
      </c>
      <c r="G1948" s="1">
        <v>0.93680555555555556</v>
      </c>
      <c r="H1948">
        <v>145</v>
      </c>
      <c r="I1948" t="b">
        <v>0</v>
      </c>
      <c r="J1948" t="b">
        <v>1</v>
      </c>
      <c r="K1948" t="b">
        <v>1</v>
      </c>
      <c r="L1948" t="s">
        <v>62</v>
      </c>
      <c r="M1948">
        <v>70</v>
      </c>
      <c r="N1948" t="s">
        <v>29</v>
      </c>
      <c r="O1948">
        <v>70</v>
      </c>
      <c r="P1948" t="s">
        <v>74</v>
      </c>
      <c r="Q1948">
        <v>0.15</v>
      </c>
      <c r="R1948">
        <v>59.5</v>
      </c>
      <c r="S1948" t="s">
        <v>53</v>
      </c>
      <c r="T1948" t="s">
        <v>59</v>
      </c>
      <c r="U1948">
        <v>37.774900000000002</v>
      </c>
      <c r="V1948">
        <v>-122.4194</v>
      </c>
      <c r="W1948" s="2">
        <v>45481</v>
      </c>
      <c r="X1948">
        <v>5</v>
      </c>
      <c r="Y1948" t="b">
        <v>1</v>
      </c>
      <c r="Z1948" s="2">
        <v>45841</v>
      </c>
      <c r="AA1948" t="str">
        <f t="shared" si="301"/>
        <v>40–49</v>
      </c>
      <c r="AB1948" t="str">
        <f t="shared" si="302"/>
        <v>40–49</v>
      </c>
      <c r="AC1948" t="str">
        <f t="shared" si="303"/>
        <v/>
      </c>
      <c r="AD1948" t="str">
        <f t="shared" si="304"/>
        <v>Tuesday</v>
      </c>
      <c r="AE1948" t="str">
        <f t="shared" si="305"/>
        <v>Wednesday</v>
      </c>
      <c r="AF1948" t="str">
        <f t="shared" si="306"/>
        <v>Thursday</v>
      </c>
      <c r="AG1948" t="str">
        <f t="shared" si="307"/>
        <v>Friday</v>
      </c>
      <c r="AH1948" t="str">
        <f t="shared" si="308"/>
        <v/>
      </c>
      <c r="AI1948" t="str">
        <f t="shared" si="309"/>
        <v>Sunday</v>
      </c>
      <c r="AJ1948" t="str">
        <f>LEFT(Table1[[#This Row],[membership_type]],2)&amp;TEXT(Table1[[#This Row],[age]],"00")&amp;"-"&amp;TEXT(ROW(),"000")</f>
        <v>El44-1948</v>
      </c>
      <c r="AK1948" t="str">
        <f>LEFT(Table1[[#This Row],[membership_type]],1)&amp;TEXT(MATCH(Table1[[#This Row],[membership_type]],Table1[membership_type],0),"00")</f>
        <v>E07</v>
      </c>
      <c r="AL1948" t="str">
        <f>LEFT(Table1[[#This Row],[discount_type]],1)&amp;TEXT(ROUND(Table1[[#This Row],[discount_rate]]*100,0),"00")</f>
        <v>S15</v>
      </c>
      <c r="AM1948" t="str" cm="1">
        <f t="array" ref="AM1948">TEXT(SUMPRODUCT(CODE(MID(Table1[[#This Row],[home_gym_location]],_xlfn.SEQUENCE(LEN(Table1[[#This Row],[home_gym_location]])),1))),"00000")</f>
        <v>01450</v>
      </c>
      <c r="AN194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48" t="str">
        <f>LEFT(_xlfn.TEXTBEFORE(Table1[[#This Row],[Location Identifier]],"-"),3) &amp; "-" &amp; _xlfn.TEXTAFTER(Table1[[#This Row],[Location Identifier]],"-")</f>
        <v>SAN-009</v>
      </c>
      <c r="AP1948" s="9">
        <f t="shared" ca="1" si="300"/>
        <v>45869</v>
      </c>
    </row>
    <row r="1949" spans="1:42" x14ac:dyDescent="0.25">
      <c r="A1949">
        <v>41</v>
      </c>
      <c r="B1949" t="s">
        <v>51</v>
      </c>
      <c r="C1949">
        <v>1</v>
      </c>
      <c r="D1949" t="s">
        <v>75</v>
      </c>
      <c r="E1949" t="b">
        <v>1</v>
      </c>
      <c r="F1949" s="1">
        <v>0.48958333333333331</v>
      </c>
      <c r="G1949" s="1">
        <v>0.52638888888888891</v>
      </c>
      <c r="H1949">
        <v>53</v>
      </c>
      <c r="I1949" t="b">
        <v>1</v>
      </c>
      <c r="J1949" t="b">
        <v>1</v>
      </c>
      <c r="K1949" t="b">
        <v>0</v>
      </c>
      <c r="L1949" t="s">
        <v>28</v>
      </c>
      <c r="M1949">
        <v>70</v>
      </c>
      <c r="N1949" t="s">
        <v>64</v>
      </c>
      <c r="O1949">
        <v>52.5</v>
      </c>
      <c r="P1949" t="s">
        <v>40</v>
      </c>
      <c r="Q1949">
        <v>0.1</v>
      </c>
      <c r="R1949">
        <v>47.25</v>
      </c>
      <c r="S1949" t="s">
        <v>53</v>
      </c>
      <c r="T1949" t="s">
        <v>56</v>
      </c>
      <c r="U1949">
        <v>35.3733</v>
      </c>
      <c r="V1949">
        <v>-119.0187</v>
      </c>
      <c r="W1949" s="2">
        <v>45368</v>
      </c>
      <c r="X1949">
        <v>3</v>
      </c>
      <c r="Y1949" t="b">
        <v>1</v>
      </c>
      <c r="Z1949" s="2">
        <v>45834</v>
      </c>
      <c r="AA1949" t="str">
        <f t="shared" si="301"/>
        <v>40–49</v>
      </c>
      <c r="AB1949" t="str">
        <f t="shared" si="302"/>
        <v>40–49</v>
      </c>
      <c r="AC1949" t="str">
        <f t="shared" si="303"/>
        <v/>
      </c>
      <c r="AD1949" t="str">
        <f t="shared" si="304"/>
        <v/>
      </c>
      <c r="AE1949" t="str">
        <f t="shared" si="305"/>
        <v/>
      </c>
      <c r="AF1949" t="str">
        <f t="shared" si="306"/>
        <v/>
      </c>
      <c r="AG1949" t="str">
        <f t="shared" si="307"/>
        <v>Friday</v>
      </c>
      <c r="AH1949" t="str">
        <f t="shared" si="308"/>
        <v/>
      </c>
      <c r="AI1949" t="str">
        <f t="shared" si="309"/>
        <v/>
      </c>
      <c r="AJ1949" t="str">
        <f>LEFT(Table1[[#This Row],[membership_type]],2)&amp;TEXT(Table1[[#This Row],[age]],"00")&amp;"-"&amp;TEXT(ROW(),"000")</f>
        <v>El41-1949</v>
      </c>
      <c r="AK1949" t="str">
        <f>LEFT(Table1[[#This Row],[membership_type]],1)&amp;TEXT(MATCH(Table1[[#This Row],[membership_type]],Table1[membership_type],0),"00")</f>
        <v>E07</v>
      </c>
      <c r="AL1949" t="str">
        <f>LEFT(Table1[[#This Row],[discount_type]],1)&amp;TEXT(ROUND(Table1[[#This Row],[discount_rate]]*100,0),"00")</f>
        <v>L10</v>
      </c>
      <c r="AM1949" t="str" cm="1">
        <f t="array" ref="AM1949">TEXT(SUMPRODUCT(CODE(MID(Table1[[#This Row],[home_gym_location]],_xlfn.SEQUENCE(LEN(Table1[[#This Row],[home_gym_location]])),1))),"00000")</f>
        <v>01324</v>
      </c>
      <c r="AN1949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49" t="str">
        <f>LEFT(_xlfn.TEXTBEFORE(Table1[[#This Row],[Location Identifier]],"-"),3) &amp; "-" &amp; _xlfn.TEXTAFTER(Table1[[#This Row],[Location Identifier]],"-")</f>
        <v>BAK-002</v>
      </c>
      <c r="AP1949" s="9">
        <f t="shared" ca="1" si="300"/>
        <v>45869</v>
      </c>
    </row>
    <row r="1950" spans="1:42" x14ac:dyDescent="0.25">
      <c r="A1950">
        <v>19</v>
      </c>
      <c r="B1950" t="s">
        <v>26</v>
      </c>
      <c r="C1950">
        <v>1</v>
      </c>
      <c r="D1950" t="s">
        <v>63</v>
      </c>
      <c r="E1950" t="b">
        <v>1</v>
      </c>
      <c r="F1950" s="1">
        <v>0.60416666666666663</v>
      </c>
      <c r="G1950" s="1">
        <v>0.72847222222222219</v>
      </c>
      <c r="H1950">
        <v>179</v>
      </c>
      <c r="I1950" t="b">
        <v>0</v>
      </c>
      <c r="J1950" t="b">
        <v>1</v>
      </c>
      <c r="K1950" t="b">
        <v>1</v>
      </c>
      <c r="L1950" t="s">
        <v>35</v>
      </c>
      <c r="M1950">
        <v>50</v>
      </c>
      <c r="N1950" t="s">
        <v>64</v>
      </c>
      <c r="O1950">
        <v>37.5</v>
      </c>
      <c r="P1950" t="s">
        <v>40</v>
      </c>
      <c r="Q1950">
        <v>0.1</v>
      </c>
      <c r="R1950">
        <v>33.75</v>
      </c>
      <c r="S1950" t="s">
        <v>31</v>
      </c>
      <c r="T1950" t="s">
        <v>32</v>
      </c>
      <c r="U1950">
        <v>37.338200000000001</v>
      </c>
      <c r="V1950">
        <v>-121.88630000000001</v>
      </c>
      <c r="W1950" s="2">
        <v>45736</v>
      </c>
      <c r="X1950">
        <v>8</v>
      </c>
      <c r="Y1950" t="b">
        <v>1</v>
      </c>
      <c r="Z1950" s="2">
        <v>45855</v>
      </c>
      <c r="AA1950" t="str">
        <f t="shared" si="301"/>
        <v>10–19</v>
      </c>
      <c r="AB1950" t="str">
        <f t="shared" si="302"/>
        <v>16–19</v>
      </c>
      <c r="AC1950" t="str">
        <f t="shared" si="303"/>
        <v/>
      </c>
      <c r="AD1950" t="str">
        <f t="shared" si="304"/>
        <v/>
      </c>
      <c r="AE1950" t="str">
        <f t="shared" si="305"/>
        <v>Wednesday</v>
      </c>
      <c r="AF1950" t="str">
        <f t="shared" si="306"/>
        <v/>
      </c>
      <c r="AG1950" t="str">
        <f t="shared" si="307"/>
        <v/>
      </c>
      <c r="AH1950" t="str">
        <f t="shared" si="308"/>
        <v/>
      </c>
      <c r="AI1950" t="str">
        <f t="shared" si="309"/>
        <v/>
      </c>
      <c r="AJ1950" t="str">
        <f>LEFT(Table1[[#This Row],[membership_type]],2)&amp;TEXT(Table1[[#This Row],[age]],"00")&amp;"-"&amp;TEXT(ROW(),"000")</f>
        <v>Pr19-1950</v>
      </c>
      <c r="AK1950" t="str">
        <f>LEFT(Table1[[#This Row],[membership_type]],1)&amp;TEXT(MATCH(Table1[[#This Row],[membership_type]],Table1[membership_type],0),"00")</f>
        <v>P01</v>
      </c>
      <c r="AL1950" t="str">
        <f>LEFT(Table1[[#This Row],[discount_type]],1)&amp;TEXT(ROUND(Table1[[#This Row],[discount_rate]]*100,0),"00")</f>
        <v>L10</v>
      </c>
      <c r="AM1950" t="str" cm="1">
        <f t="array" ref="AM1950">TEXT(SUMPRODUCT(CODE(MID(Table1[[#This Row],[home_gym_location]],_xlfn.SEQUENCE(LEN(Table1[[#This Row],[home_gym_location]])),1))),"00000")</f>
        <v>00931</v>
      </c>
      <c r="AN195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50" t="str">
        <f>LEFT(_xlfn.TEXTBEFORE(Table1[[#This Row],[Location Identifier]],"-"),3) &amp; "-" &amp; _xlfn.TEXTAFTER(Table1[[#This Row],[Location Identifier]],"-")</f>
        <v>SAN-010</v>
      </c>
      <c r="AP1950" s="9">
        <f t="shared" ca="1" si="300"/>
        <v>45869</v>
      </c>
    </row>
    <row r="1951" spans="1:42" x14ac:dyDescent="0.25">
      <c r="A1951">
        <v>16</v>
      </c>
      <c r="B1951" t="s">
        <v>26</v>
      </c>
      <c r="C1951">
        <v>4</v>
      </c>
      <c r="D1951" t="s">
        <v>159</v>
      </c>
      <c r="E1951" t="b">
        <v>1</v>
      </c>
      <c r="F1951" s="1">
        <v>0.68125000000000002</v>
      </c>
      <c r="G1951" s="1">
        <v>0.73472222222222228</v>
      </c>
      <c r="H1951">
        <v>77</v>
      </c>
      <c r="I1951" t="b">
        <v>0</v>
      </c>
      <c r="J1951" t="b">
        <v>1</v>
      </c>
      <c r="K1951" t="b">
        <v>0</v>
      </c>
      <c r="L1951" t="s">
        <v>62</v>
      </c>
      <c r="M1951">
        <v>50</v>
      </c>
      <c r="N1951" t="s">
        <v>29</v>
      </c>
      <c r="O1951">
        <v>50</v>
      </c>
      <c r="P1951" t="s">
        <v>40</v>
      </c>
      <c r="Q1951">
        <v>0.1</v>
      </c>
      <c r="R1951">
        <v>45</v>
      </c>
      <c r="S1951" t="s">
        <v>31</v>
      </c>
      <c r="T1951" t="s">
        <v>54</v>
      </c>
      <c r="U1951">
        <v>32.715699999999998</v>
      </c>
      <c r="V1951">
        <v>-117.1611</v>
      </c>
      <c r="W1951" s="2">
        <v>45596</v>
      </c>
      <c r="X1951">
        <v>7</v>
      </c>
      <c r="Y1951" t="b">
        <v>0</v>
      </c>
      <c r="Z1951" s="2">
        <v>45847</v>
      </c>
      <c r="AA1951" t="str">
        <f t="shared" si="301"/>
        <v>10–19</v>
      </c>
      <c r="AB1951" t="str">
        <f t="shared" si="302"/>
        <v>16–19</v>
      </c>
      <c r="AC1951" t="str">
        <f t="shared" si="303"/>
        <v>Monday</v>
      </c>
      <c r="AD1951" t="str">
        <f t="shared" si="304"/>
        <v>Tuesday</v>
      </c>
      <c r="AE1951" t="str">
        <f t="shared" si="305"/>
        <v/>
      </c>
      <c r="AF1951" t="str">
        <f t="shared" si="306"/>
        <v>Thursday</v>
      </c>
      <c r="AG1951" t="str">
        <f t="shared" si="307"/>
        <v/>
      </c>
      <c r="AH1951" t="str">
        <f t="shared" si="308"/>
        <v/>
      </c>
      <c r="AI1951" t="str">
        <f t="shared" si="309"/>
        <v>Sunday</v>
      </c>
      <c r="AJ1951" t="str">
        <f>LEFT(Table1[[#This Row],[membership_type]],2)&amp;TEXT(Table1[[#This Row],[age]],"00")&amp;"-"&amp;TEXT(ROW(),"000")</f>
        <v>Pr16-1951</v>
      </c>
      <c r="AK1951" t="str">
        <f>LEFT(Table1[[#This Row],[membership_type]],1)&amp;TEXT(MATCH(Table1[[#This Row],[membership_type]],Table1[membership_type],0),"00")</f>
        <v>P01</v>
      </c>
      <c r="AL1951" t="str">
        <f>LEFT(Table1[[#This Row],[discount_type]],1)&amp;TEXT(ROUND(Table1[[#This Row],[discount_rate]]*100,0),"00")</f>
        <v>L10</v>
      </c>
      <c r="AM1951" t="str" cm="1">
        <f t="array" ref="AM1951">TEXT(SUMPRODUCT(CODE(MID(Table1[[#This Row],[home_gym_location]],_xlfn.SEQUENCE(LEN(Table1[[#This Row],[home_gym_location]])),1))),"00000")</f>
        <v>01018</v>
      </c>
      <c r="AN1951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51" t="str">
        <f>LEFT(_xlfn.TEXTBEFORE(Table1[[#This Row],[Location Identifier]],"-"),3) &amp; "-" &amp; _xlfn.TEXTAFTER(Table1[[#This Row],[Location Identifier]],"-")</f>
        <v>SAN-008</v>
      </c>
      <c r="AP1951" s="9">
        <f t="shared" ca="1" si="300"/>
        <v>45869</v>
      </c>
    </row>
    <row r="1952" spans="1:42" x14ac:dyDescent="0.25">
      <c r="A1952">
        <v>36</v>
      </c>
      <c r="B1952" t="s">
        <v>33</v>
      </c>
      <c r="C1952">
        <v>5</v>
      </c>
      <c r="D1952" t="s">
        <v>127</v>
      </c>
      <c r="E1952" t="b">
        <v>0</v>
      </c>
      <c r="F1952" s="1">
        <v>0.48125000000000001</v>
      </c>
      <c r="G1952" s="1">
        <v>0.52777777777777779</v>
      </c>
      <c r="H1952">
        <v>67</v>
      </c>
      <c r="I1952" t="b">
        <v>1</v>
      </c>
      <c r="J1952" t="b">
        <v>0</v>
      </c>
      <c r="K1952" t="b">
        <v>1</v>
      </c>
      <c r="L1952" t="s">
        <v>62</v>
      </c>
      <c r="M1952">
        <v>30</v>
      </c>
      <c r="N1952" t="s">
        <v>29</v>
      </c>
      <c r="O1952">
        <v>30</v>
      </c>
      <c r="P1952" t="s">
        <v>40</v>
      </c>
      <c r="Q1952">
        <v>0.1</v>
      </c>
      <c r="R1952">
        <v>27</v>
      </c>
      <c r="S1952" t="s">
        <v>37</v>
      </c>
      <c r="T1952" t="s">
        <v>45</v>
      </c>
      <c r="U1952">
        <v>33.836599999999997</v>
      </c>
      <c r="V1952">
        <v>-117.9143</v>
      </c>
      <c r="W1952" s="2">
        <v>45193</v>
      </c>
      <c r="X1952">
        <v>0</v>
      </c>
      <c r="Y1952" t="b">
        <v>0</v>
      </c>
      <c r="Z1952" s="2">
        <v>45825</v>
      </c>
      <c r="AA1952" t="str">
        <f t="shared" si="301"/>
        <v>30–39</v>
      </c>
      <c r="AB1952" t="str">
        <f t="shared" si="302"/>
        <v>30–39</v>
      </c>
      <c r="AC1952" t="str">
        <f t="shared" si="303"/>
        <v>Monday</v>
      </c>
      <c r="AD1952" t="str">
        <f t="shared" si="304"/>
        <v>Tuesday</v>
      </c>
      <c r="AE1952" t="str">
        <f t="shared" si="305"/>
        <v/>
      </c>
      <c r="AF1952" t="str">
        <f t="shared" si="306"/>
        <v/>
      </c>
      <c r="AG1952" t="str">
        <f t="shared" si="307"/>
        <v>Friday</v>
      </c>
      <c r="AH1952" t="str">
        <f t="shared" si="308"/>
        <v>Saturday</v>
      </c>
      <c r="AI1952" t="str">
        <f t="shared" si="309"/>
        <v>Sunday</v>
      </c>
      <c r="AJ1952" t="str">
        <f>LEFT(Table1[[#This Row],[membership_type]],2)&amp;TEXT(Table1[[#This Row],[age]],"00")&amp;"-"&amp;TEXT(ROW(),"000")</f>
        <v>St36-1952</v>
      </c>
      <c r="AK1952" t="str">
        <f>LEFT(Table1[[#This Row],[membership_type]],1)&amp;TEXT(MATCH(Table1[[#This Row],[membership_type]],Table1[membership_type],0),"00")</f>
        <v>S02</v>
      </c>
      <c r="AL1952" t="str">
        <f>LEFT(Table1[[#This Row],[discount_type]],1)&amp;TEXT(ROUND(Table1[[#This Row],[discount_rate]]*100,0),"00")</f>
        <v>L10</v>
      </c>
      <c r="AM1952" t="str" cm="1">
        <f t="array" ref="AM1952">TEXT(SUMPRODUCT(CODE(MID(Table1[[#This Row],[home_gym_location]],_xlfn.SEQUENCE(LEN(Table1[[#This Row],[home_gym_location]])),1))),"00000")</f>
        <v>00899</v>
      </c>
      <c r="AN195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52" t="str">
        <f>LEFT(_xlfn.TEXTBEFORE(Table1[[#This Row],[Location Identifier]],"-"),3) &amp; "-" &amp; _xlfn.TEXTAFTER(Table1[[#This Row],[Location Identifier]],"-")</f>
        <v>ANA-001</v>
      </c>
      <c r="AP1952" s="9">
        <f t="shared" ca="1" si="300"/>
        <v>45869</v>
      </c>
    </row>
    <row r="1953" spans="1:42" x14ac:dyDescent="0.25">
      <c r="A1953">
        <v>12</v>
      </c>
      <c r="B1953" t="s">
        <v>33</v>
      </c>
      <c r="C1953">
        <v>3</v>
      </c>
      <c r="D1953" t="s">
        <v>106</v>
      </c>
      <c r="E1953" t="b">
        <v>1</v>
      </c>
      <c r="F1953" s="1">
        <v>0.4236111111111111</v>
      </c>
      <c r="G1953" s="1">
        <v>0.53472222222222221</v>
      </c>
      <c r="H1953">
        <v>160</v>
      </c>
      <c r="I1953" t="b">
        <v>1</v>
      </c>
      <c r="J1953" t="b">
        <v>0</v>
      </c>
      <c r="K1953" t="b">
        <v>1</v>
      </c>
      <c r="L1953" t="s">
        <v>35</v>
      </c>
      <c r="M1953">
        <v>30</v>
      </c>
      <c r="N1953" t="s">
        <v>29</v>
      </c>
      <c r="O1953">
        <v>30</v>
      </c>
      <c r="P1953" t="s">
        <v>36</v>
      </c>
      <c r="Q1953">
        <v>0</v>
      </c>
      <c r="R1953">
        <v>30</v>
      </c>
      <c r="S1953" t="s">
        <v>37</v>
      </c>
      <c r="T1953" t="s">
        <v>50</v>
      </c>
      <c r="U1953">
        <v>34.052199999999999</v>
      </c>
      <c r="V1953">
        <v>-118.2437</v>
      </c>
      <c r="W1953" s="2">
        <v>45047</v>
      </c>
      <c r="X1953">
        <v>0</v>
      </c>
      <c r="Y1953" t="b">
        <v>0</v>
      </c>
      <c r="Z1953" s="2">
        <v>45816</v>
      </c>
      <c r="AA1953" t="str">
        <f t="shared" si="301"/>
        <v>10–19</v>
      </c>
      <c r="AB1953" t="str">
        <f t="shared" si="302"/>
        <v>Under 16</v>
      </c>
      <c r="AC1953" t="str">
        <f t="shared" si="303"/>
        <v/>
      </c>
      <c r="AD1953" t="str">
        <f t="shared" si="304"/>
        <v/>
      </c>
      <c r="AE1953" t="str">
        <f t="shared" si="305"/>
        <v>Wednesday</v>
      </c>
      <c r="AF1953" t="str">
        <f t="shared" si="306"/>
        <v>Thursday</v>
      </c>
      <c r="AG1953" t="str">
        <f t="shared" si="307"/>
        <v>Friday</v>
      </c>
      <c r="AH1953" t="str">
        <f t="shared" si="308"/>
        <v/>
      </c>
      <c r="AI1953" t="str">
        <f t="shared" si="309"/>
        <v/>
      </c>
      <c r="AJ1953" t="str">
        <f>LEFT(Table1[[#This Row],[membership_type]],2)&amp;TEXT(Table1[[#This Row],[age]],"00")&amp;"-"&amp;TEXT(ROW(),"000")</f>
        <v>St12-1953</v>
      </c>
      <c r="AK1953" t="str">
        <f>LEFT(Table1[[#This Row],[membership_type]],1)&amp;TEXT(MATCH(Table1[[#This Row],[membership_type]],Table1[membership_type],0),"00")</f>
        <v>S02</v>
      </c>
      <c r="AL1953" t="str">
        <f>LEFT(Table1[[#This Row],[discount_type]],1)&amp;TEXT(ROUND(Table1[[#This Row],[discount_rate]]*100,0),"00")</f>
        <v>N00</v>
      </c>
      <c r="AM1953" t="str" cm="1">
        <f t="array" ref="AM1953">TEXT(SUMPRODUCT(CODE(MID(Table1[[#This Row],[home_gym_location]],_xlfn.SEQUENCE(LEN(Table1[[#This Row],[home_gym_location]])),1))),"00000")</f>
        <v>01245</v>
      </c>
      <c r="AN1953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53" t="str">
        <f>LEFT(_xlfn.TEXTBEFORE(Table1[[#This Row],[Location Identifier]],"-"),3) &amp; "-" &amp; _xlfn.TEXTAFTER(Table1[[#This Row],[Location Identifier]],"-")</f>
        <v>LOS-005</v>
      </c>
      <c r="AP1953" s="9">
        <f t="shared" ca="1" si="300"/>
        <v>45869</v>
      </c>
    </row>
    <row r="1954" spans="1:42" x14ac:dyDescent="0.25">
      <c r="A1954">
        <v>38</v>
      </c>
      <c r="B1954" t="s">
        <v>33</v>
      </c>
      <c r="C1954">
        <v>1</v>
      </c>
      <c r="D1954" t="s">
        <v>71</v>
      </c>
      <c r="E1954" t="b">
        <v>1</v>
      </c>
      <c r="F1954" s="1">
        <v>0.53611111111111109</v>
      </c>
      <c r="G1954" s="1">
        <v>0.64097222222222228</v>
      </c>
      <c r="H1954">
        <v>151</v>
      </c>
      <c r="I1954" t="b">
        <v>1</v>
      </c>
      <c r="J1954" t="b">
        <v>0</v>
      </c>
      <c r="K1954" t="b">
        <v>0</v>
      </c>
      <c r="L1954" t="s">
        <v>28</v>
      </c>
      <c r="M1954">
        <v>30</v>
      </c>
      <c r="N1954" t="s">
        <v>64</v>
      </c>
      <c r="O1954">
        <v>22.5</v>
      </c>
      <c r="P1954" t="s">
        <v>30</v>
      </c>
      <c r="Q1954">
        <v>0.05</v>
      </c>
      <c r="R1954">
        <v>21.375</v>
      </c>
      <c r="S1954" t="s">
        <v>37</v>
      </c>
      <c r="T1954" t="s">
        <v>54</v>
      </c>
      <c r="U1954">
        <v>32.715699999999998</v>
      </c>
      <c r="V1954">
        <v>-117.1611</v>
      </c>
      <c r="W1954" s="2">
        <v>44767</v>
      </c>
      <c r="X1954">
        <v>0</v>
      </c>
      <c r="Y1954" t="b">
        <v>0</v>
      </c>
      <c r="Z1954" s="2">
        <v>45801</v>
      </c>
      <c r="AA1954" t="str">
        <f t="shared" si="301"/>
        <v>30–39</v>
      </c>
      <c r="AB1954" t="str">
        <f t="shared" si="302"/>
        <v>30–39</v>
      </c>
      <c r="AC1954" t="str">
        <f t="shared" si="303"/>
        <v/>
      </c>
      <c r="AD1954" t="str">
        <f t="shared" si="304"/>
        <v>Tuesday</v>
      </c>
      <c r="AE1954" t="str">
        <f t="shared" si="305"/>
        <v/>
      </c>
      <c r="AF1954" t="str">
        <f t="shared" si="306"/>
        <v/>
      </c>
      <c r="AG1954" t="str">
        <f t="shared" si="307"/>
        <v/>
      </c>
      <c r="AH1954" t="str">
        <f t="shared" si="308"/>
        <v/>
      </c>
      <c r="AI1954" t="str">
        <f t="shared" si="309"/>
        <v/>
      </c>
      <c r="AJ1954" t="str">
        <f>LEFT(Table1[[#This Row],[membership_type]],2)&amp;TEXT(Table1[[#This Row],[age]],"00")&amp;"-"&amp;TEXT(ROW(),"000")</f>
        <v>St38-1954</v>
      </c>
      <c r="AK1954" t="str">
        <f>LEFT(Table1[[#This Row],[membership_type]],1)&amp;TEXT(MATCH(Table1[[#This Row],[membership_type]],Table1[membership_type],0),"00")</f>
        <v>S02</v>
      </c>
      <c r="AL1954" t="str">
        <f>LEFT(Table1[[#This Row],[discount_type]],1)&amp;TEXT(ROUND(Table1[[#This Row],[discount_rate]]*100,0),"00")</f>
        <v>P05</v>
      </c>
      <c r="AM1954" t="str" cm="1">
        <f t="array" ref="AM1954">TEXT(SUMPRODUCT(CODE(MID(Table1[[#This Row],[home_gym_location]],_xlfn.SEQUENCE(LEN(Table1[[#This Row],[home_gym_location]])),1))),"00000")</f>
        <v>01018</v>
      </c>
      <c r="AN1954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54" t="str">
        <f>LEFT(_xlfn.TEXTBEFORE(Table1[[#This Row],[Location Identifier]],"-"),3) &amp; "-" &amp; _xlfn.TEXTAFTER(Table1[[#This Row],[Location Identifier]],"-")</f>
        <v>SAN-008</v>
      </c>
      <c r="AP1954" s="9">
        <f t="shared" ca="1" si="300"/>
        <v>45869</v>
      </c>
    </row>
    <row r="1955" spans="1:42" x14ac:dyDescent="0.25">
      <c r="A1955">
        <v>20</v>
      </c>
      <c r="B1955" t="s">
        <v>26</v>
      </c>
      <c r="C1955">
        <v>1</v>
      </c>
      <c r="D1955" t="s">
        <v>75</v>
      </c>
      <c r="E1955" t="b">
        <v>0</v>
      </c>
      <c r="F1955" s="1">
        <v>0.4826388888888889</v>
      </c>
      <c r="G1955" s="1">
        <v>0.5625</v>
      </c>
      <c r="H1955">
        <v>115</v>
      </c>
      <c r="I1955" t="b">
        <v>0</v>
      </c>
      <c r="J1955" t="b">
        <v>0</v>
      </c>
      <c r="K1955" t="b">
        <v>1</v>
      </c>
      <c r="L1955" t="s">
        <v>62</v>
      </c>
      <c r="M1955">
        <v>50</v>
      </c>
      <c r="N1955" t="s">
        <v>78</v>
      </c>
      <c r="O1955">
        <v>45</v>
      </c>
      <c r="P1955" t="s">
        <v>40</v>
      </c>
      <c r="Q1955">
        <v>0.1</v>
      </c>
      <c r="R1955">
        <v>40.5</v>
      </c>
      <c r="S1955" t="s">
        <v>31</v>
      </c>
      <c r="T1955" t="s">
        <v>38</v>
      </c>
      <c r="U1955">
        <v>36.7378</v>
      </c>
      <c r="V1955">
        <v>-119.7871</v>
      </c>
      <c r="W1955" s="2">
        <v>44837</v>
      </c>
      <c r="X1955">
        <v>0</v>
      </c>
      <c r="Y1955" t="b">
        <v>1</v>
      </c>
      <c r="Z1955" s="2">
        <v>45805</v>
      </c>
      <c r="AA1955" t="str">
        <f t="shared" si="301"/>
        <v>20–29</v>
      </c>
      <c r="AB1955" t="str">
        <f t="shared" si="302"/>
        <v>20–29</v>
      </c>
      <c r="AC1955" t="str">
        <f t="shared" si="303"/>
        <v/>
      </c>
      <c r="AD1955" t="str">
        <f t="shared" si="304"/>
        <v/>
      </c>
      <c r="AE1955" t="str">
        <f t="shared" si="305"/>
        <v/>
      </c>
      <c r="AF1955" t="str">
        <f t="shared" si="306"/>
        <v/>
      </c>
      <c r="AG1955" t="str">
        <f t="shared" si="307"/>
        <v>Friday</v>
      </c>
      <c r="AH1955" t="str">
        <f t="shared" si="308"/>
        <v/>
      </c>
      <c r="AI1955" t="str">
        <f t="shared" si="309"/>
        <v/>
      </c>
      <c r="AJ1955" t="str">
        <f>LEFT(Table1[[#This Row],[membership_type]],2)&amp;TEXT(Table1[[#This Row],[age]],"00")&amp;"-"&amp;TEXT(ROW(),"000")</f>
        <v>Pr20-1955</v>
      </c>
      <c r="AK1955" t="str">
        <f>LEFT(Table1[[#This Row],[membership_type]],1)&amp;TEXT(MATCH(Table1[[#This Row],[membership_type]],Table1[membership_type],0),"00")</f>
        <v>P01</v>
      </c>
      <c r="AL1955" t="str">
        <f>LEFT(Table1[[#This Row],[discount_type]],1)&amp;TEXT(ROUND(Table1[[#This Row],[discount_rate]]*100,0),"00")</f>
        <v>L10</v>
      </c>
      <c r="AM1955" t="str" cm="1">
        <f t="array" ref="AM1955">TEXT(SUMPRODUCT(CODE(MID(Table1[[#This Row],[home_gym_location]],_xlfn.SEQUENCE(LEN(Table1[[#This Row],[home_gym_location]])),1))),"00000")</f>
        <v>00829</v>
      </c>
      <c r="AN1955" t="str">
        <f>UPPER(_xlfn.TEXTBEFORE(Table1[[#This Row],[home_gym_location]],","))&amp;"-"&amp;TEXT(MATCH(Table1[[#This Row],[home_gym_location]],_xlfn._xlws.SORT(_xlfn.UNIQUE(Table1[home_gym_location])),0),"000")</f>
        <v>FRESNO-003</v>
      </c>
      <c r="AO1955" t="str">
        <f>LEFT(_xlfn.TEXTBEFORE(Table1[[#This Row],[Location Identifier]],"-"),3) &amp; "-" &amp; _xlfn.TEXTAFTER(Table1[[#This Row],[Location Identifier]],"-")</f>
        <v>FRE-003</v>
      </c>
      <c r="AP1955" s="9">
        <f t="shared" ca="1" si="300"/>
        <v>45869</v>
      </c>
    </row>
    <row r="1956" spans="1:42" x14ac:dyDescent="0.25">
      <c r="A1956">
        <v>14</v>
      </c>
      <c r="B1956" t="s">
        <v>26</v>
      </c>
      <c r="C1956">
        <v>3</v>
      </c>
      <c r="D1956" t="s">
        <v>90</v>
      </c>
      <c r="E1956" t="b">
        <v>0</v>
      </c>
      <c r="F1956" s="1">
        <v>0.58958333333333335</v>
      </c>
      <c r="G1956" s="1">
        <v>0.69027777777777777</v>
      </c>
      <c r="H1956">
        <v>145</v>
      </c>
      <c r="I1956" t="b">
        <v>0</v>
      </c>
      <c r="J1956" t="b">
        <v>1</v>
      </c>
      <c r="K1956" t="b">
        <v>0</v>
      </c>
      <c r="L1956" t="s">
        <v>28</v>
      </c>
      <c r="M1956">
        <v>50</v>
      </c>
      <c r="N1956" t="s">
        <v>78</v>
      </c>
      <c r="O1956">
        <v>45</v>
      </c>
      <c r="P1956" t="s">
        <v>74</v>
      </c>
      <c r="Q1956">
        <v>0.15</v>
      </c>
      <c r="R1956">
        <v>38.25</v>
      </c>
      <c r="S1956" t="s">
        <v>31</v>
      </c>
      <c r="T1956" t="s">
        <v>56</v>
      </c>
      <c r="U1956">
        <v>35.3733</v>
      </c>
      <c r="V1956">
        <v>-119.0187</v>
      </c>
      <c r="W1956" s="2">
        <v>45146</v>
      </c>
      <c r="X1956">
        <v>1</v>
      </c>
      <c r="Y1956" t="b">
        <v>1</v>
      </c>
      <c r="Z1956" s="2">
        <v>45822</v>
      </c>
      <c r="AA1956" t="str">
        <f t="shared" si="301"/>
        <v>10–19</v>
      </c>
      <c r="AB1956" t="str">
        <f t="shared" si="302"/>
        <v>Under 16</v>
      </c>
      <c r="AC1956" t="str">
        <f t="shared" si="303"/>
        <v/>
      </c>
      <c r="AD1956" t="str">
        <f t="shared" si="304"/>
        <v>Tuesday</v>
      </c>
      <c r="AE1956" t="str">
        <f t="shared" si="305"/>
        <v/>
      </c>
      <c r="AF1956" t="str">
        <f t="shared" si="306"/>
        <v/>
      </c>
      <c r="AG1956" t="str">
        <f t="shared" si="307"/>
        <v/>
      </c>
      <c r="AH1956" t="str">
        <f t="shared" si="308"/>
        <v>Saturday</v>
      </c>
      <c r="AI1956" t="str">
        <f t="shared" si="309"/>
        <v>Sunday</v>
      </c>
      <c r="AJ1956" t="str">
        <f>LEFT(Table1[[#This Row],[membership_type]],2)&amp;TEXT(Table1[[#This Row],[age]],"00")&amp;"-"&amp;TEXT(ROW(),"000")</f>
        <v>Pr14-1956</v>
      </c>
      <c r="AK1956" t="str">
        <f>LEFT(Table1[[#This Row],[membership_type]],1)&amp;TEXT(MATCH(Table1[[#This Row],[membership_type]],Table1[membership_type],0),"00")</f>
        <v>P01</v>
      </c>
      <c r="AL1956" t="str">
        <f>LEFT(Table1[[#This Row],[discount_type]],1)&amp;TEXT(ROUND(Table1[[#This Row],[discount_rate]]*100,0),"00")</f>
        <v>S15</v>
      </c>
      <c r="AM1956" t="str" cm="1">
        <f t="array" ref="AM1956">TEXT(SUMPRODUCT(CODE(MID(Table1[[#This Row],[home_gym_location]],_xlfn.SEQUENCE(LEN(Table1[[#This Row],[home_gym_location]])),1))),"00000")</f>
        <v>01324</v>
      </c>
      <c r="AN195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56" t="str">
        <f>LEFT(_xlfn.TEXTBEFORE(Table1[[#This Row],[Location Identifier]],"-"),3) &amp; "-" &amp; _xlfn.TEXTAFTER(Table1[[#This Row],[Location Identifier]],"-")</f>
        <v>BAK-002</v>
      </c>
      <c r="AP1956" s="9">
        <f t="shared" ca="1" si="300"/>
        <v>45869</v>
      </c>
    </row>
    <row r="1957" spans="1:42" x14ac:dyDescent="0.25">
      <c r="A1957">
        <v>31</v>
      </c>
      <c r="B1957" t="s">
        <v>33</v>
      </c>
      <c r="C1957">
        <v>5</v>
      </c>
      <c r="D1957" t="s">
        <v>77</v>
      </c>
      <c r="E1957" t="b">
        <v>0</v>
      </c>
      <c r="F1957" s="1">
        <v>0.81111111111111112</v>
      </c>
      <c r="G1957" s="1">
        <v>0.84027777777777779</v>
      </c>
      <c r="H1957">
        <v>42</v>
      </c>
      <c r="I1957" t="b">
        <v>0</v>
      </c>
      <c r="J1957" t="b">
        <v>0</v>
      </c>
      <c r="K1957" t="b">
        <v>0</v>
      </c>
      <c r="L1957" t="s">
        <v>62</v>
      </c>
      <c r="M1957">
        <v>30</v>
      </c>
      <c r="N1957" t="s">
        <v>29</v>
      </c>
      <c r="O1957">
        <v>30</v>
      </c>
      <c r="P1957" t="s">
        <v>40</v>
      </c>
      <c r="Q1957">
        <v>0.1</v>
      </c>
      <c r="R1957">
        <v>27</v>
      </c>
      <c r="S1957" t="s">
        <v>37</v>
      </c>
      <c r="T1957" t="s">
        <v>48</v>
      </c>
      <c r="U1957">
        <v>38.581600000000002</v>
      </c>
      <c r="V1957">
        <v>-121.4944</v>
      </c>
      <c r="W1957" s="2">
        <v>45382</v>
      </c>
      <c r="X1957">
        <v>0</v>
      </c>
      <c r="Y1957" t="b">
        <v>0</v>
      </c>
      <c r="Z1957" s="2">
        <v>45835</v>
      </c>
      <c r="AA1957" t="str">
        <f t="shared" si="301"/>
        <v>30–39</v>
      </c>
      <c r="AB1957" t="str">
        <f t="shared" si="302"/>
        <v>30–39</v>
      </c>
      <c r="AC1957" t="str">
        <f t="shared" si="303"/>
        <v/>
      </c>
      <c r="AD1957" t="str">
        <f t="shared" si="304"/>
        <v>Tuesday</v>
      </c>
      <c r="AE1957" t="str">
        <f t="shared" si="305"/>
        <v>Wednesday</v>
      </c>
      <c r="AF1957" t="str">
        <f t="shared" si="306"/>
        <v>Thursday</v>
      </c>
      <c r="AG1957" t="str">
        <f t="shared" si="307"/>
        <v>Friday</v>
      </c>
      <c r="AH1957" t="str">
        <f t="shared" si="308"/>
        <v/>
      </c>
      <c r="AI1957" t="str">
        <f t="shared" si="309"/>
        <v>Sunday</v>
      </c>
      <c r="AJ1957" t="str">
        <f>LEFT(Table1[[#This Row],[membership_type]],2)&amp;TEXT(Table1[[#This Row],[age]],"00")&amp;"-"&amp;TEXT(ROW(),"000")</f>
        <v>St31-1957</v>
      </c>
      <c r="AK1957" t="str">
        <f>LEFT(Table1[[#This Row],[membership_type]],1)&amp;TEXT(MATCH(Table1[[#This Row],[membership_type]],Table1[membership_type],0),"00")</f>
        <v>S02</v>
      </c>
      <c r="AL1957" t="str">
        <f>LEFT(Table1[[#This Row],[discount_type]],1)&amp;TEXT(ROUND(Table1[[#This Row],[discount_rate]]*100,0),"00")</f>
        <v>L10</v>
      </c>
      <c r="AM1957" t="str" cm="1">
        <f t="array" ref="AM1957">TEXT(SUMPRODUCT(CODE(MID(Table1[[#This Row],[home_gym_location]],_xlfn.SEQUENCE(LEN(Table1[[#This Row],[home_gym_location]])),1))),"00000")</f>
        <v>01245</v>
      </c>
      <c r="AN1957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57" t="str">
        <f>LEFT(_xlfn.TEXTBEFORE(Table1[[#This Row],[Location Identifier]],"-"),3) &amp; "-" &amp; _xlfn.TEXTAFTER(Table1[[#This Row],[Location Identifier]],"-")</f>
        <v>SAC-007</v>
      </c>
      <c r="AP1957" s="9">
        <f t="shared" ca="1" si="300"/>
        <v>45869</v>
      </c>
    </row>
    <row r="1958" spans="1:42" x14ac:dyDescent="0.25">
      <c r="A1958">
        <v>29</v>
      </c>
      <c r="B1958" t="s">
        <v>51</v>
      </c>
      <c r="C1958">
        <v>3</v>
      </c>
      <c r="D1958" t="s">
        <v>83</v>
      </c>
      <c r="E1958" t="b">
        <v>0</v>
      </c>
      <c r="F1958" s="1">
        <v>0.43611111111111112</v>
      </c>
      <c r="G1958" s="1">
        <v>0.48333333333333334</v>
      </c>
      <c r="H1958">
        <v>68</v>
      </c>
      <c r="I1958" t="b">
        <v>0</v>
      </c>
      <c r="J1958" t="b">
        <v>1</v>
      </c>
      <c r="K1958" t="b">
        <v>1</v>
      </c>
      <c r="L1958" t="s">
        <v>28</v>
      </c>
      <c r="M1958">
        <v>70</v>
      </c>
      <c r="N1958" t="s">
        <v>29</v>
      </c>
      <c r="O1958">
        <v>70</v>
      </c>
      <c r="P1958" t="s">
        <v>36</v>
      </c>
      <c r="Q1958">
        <v>0</v>
      </c>
      <c r="R1958">
        <v>70</v>
      </c>
      <c r="S1958" t="s">
        <v>53</v>
      </c>
      <c r="T1958" t="s">
        <v>59</v>
      </c>
      <c r="U1958">
        <v>37.774900000000002</v>
      </c>
      <c r="V1958">
        <v>-122.4194</v>
      </c>
      <c r="W1958" s="2">
        <v>45153</v>
      </c>
      <c r="X1958">
        <v>8</v>
      </c>
      <c r="Y1958" t="b">
        <v>1</v>
      </c>
      <c r="Z1958" s="2">
        <v>45822</v>
      </c>
      <c r="AA1958" t="str">
        <f t="shared" si="301"/>
        <v>20–29</v>
      </c>
      <c r="AB1958" t="str">
        <f t="shared" si="302"/>
        <v>20–29</v>
      </c>
      <c r="AC1958" t="str">
        <f t="shared" si="303"/>
        <v/>
      </c>
      <c r="AD1958" t="str">
        <f t="shared" si="304"/>
        <v>Tuesday</v>
      </c>
      <c r="AE1958" t="str">
        <f t="shared" si="305"/>
        <v>Wednesday</v>
      </c>
      <c r="AF1958" t="str">
        <f t="shared" si="306"/>
        <v/>
      </c>
      <c r="AG1958" t="str">
        <f t="shared" si="307"/>
        <v/>
      </c>
      <c r="AH1958" t="str">
        <f t="shared" si="308"/>
        <v>Saturday</v>
      </c>
      <c r="AI1958" t="str">
        <f t="shared" si="309"/>
        <v/>
      </c>
      <c r="AJ1958" t="str">
        <f>LEFT(Table1[[#This Row],[membership_type]],2)&amp;TEXT(Table1[[#This Row],[age]],"00")&amp;"-"&amp;TEXT(ROW(),"000")</f>
        <v>El29-1958</v>
      </c>
      <c r="AK1958" t="str">
        <f>LEFT(Table1[[#This Row],[membership_type]],1)&amp;TEXT(MATCH(Table1[[#This Row],[membership_type]],Table1[membership_type],0),"00")</f>
        <v>E07</v>
      </c>
      <c r="AL1958" t="str">
        <f>LEFT(Table1[[#This Row],[discount_type]],1)&amp;TEXT(ROUND(Table1[[#This Row],[discount_rate]]*100,0),"00")</f>
        <v>N00</v>
      </c>
      <c r="AM1958" t="str" cm="1">
        <f t="array" ref="AM1958">TEXT(SUMPRODUCT(CODE(MID(Table1[[#This Row],[home_gym_location]],_xlfn.SEQUENCE(LEN(Table1[[#This Row],[home_gym_location]])),1))),"00000")</f>
        <v>01450</v>
      </c>
      <c r="AN1958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58" t="str">
        <f>LEFT(_xlfn.TEXTBEFORE(Table1[[#This Row],[Location Identifier]],"-"),3) &amp; "-" &amp; _xlfn.TEXTAFTER(Table1[[#This Row],[Location Identifier]],"-")</f>
        <v>SAN-009</v>
      </c>
      <c r="AP1958" s="9">
        <f t="shared" ca="1" si="300"/>
        <v>45869</v>
      </c>
    </row>
    <row r="1959" spans="1:42" x14ac:dyDescent="0.25">
      <c r="A1959">
        <v>13</v>
      </c>
      <c r="B1959" t="s">
        <v>26</v>
      </c>
      <c r="C1959">
        <v>3</v>
      </c>
      <c r="D1959" t="s">
        <v>155</v>
      </c>
      <c r="E1959" t="b">
        <v>1</v>
      </c>
      <c r="F1959" s="1">
        <v>0.64652777777777781</v>
      </c>
      <c r="G1959" s="1">
        <v>0.67152777777777772</v>
      </c>
      <c r="H1959">
        <v>36</v>
      </c>
      <c r="I1959" t="b">
        <v>1</v>
      </c>
      <c r="J1959" t="b">
        <v>0</v>
      </c>
      <c r="K1959" t="b">
        <v>1</v>
      </c>
      <c r="L1959" t="s">
        <v>28</v>
      </c>
      <c r="M1959">
        <v>50</v>
      </c>
      <c r="N1959" t="s">
        <v>29</v>
      </c>
      <c r="O1959">
        <v>50</v>
      </c>
      <c r="P1959" t="s">
        <v>40</v>
      </c>
      <c r="Q1959">
        <v>0.1</v>
      </c>
      <c r="R1959">
        <v>45</v>
      </c>
      <c r="S1959" t="s">
        <v>31</v>
      </c>
      <c r="T1959" t="s">
        <v>38</v>
      </c>
      <c r="U1959">
        <v>36.7378</v>
      </c>
      <c r="V1959">
        <v>-119.7871</v>
      </c>
      <c r="W1959" s="2">
        <v>44994</v>
      </c>
      <c r="X1959">
        <v>0</v>
      </c>
      <c r="Y1959" t="b">
        <v>1</v>
      </c>
      <c r="Z1959" s="2">
        <v>45813</v>
      </c>
      <c r="AA1959" t="str">
        <f t="shared" si="301"/>
        <v>10–19</v>
      </c>
      <c r="AB1959" t="str">
        <f t="shared" si="302"/>
        <v>Under 16</v>
      </c>
      <c r="AC1959" t="str">
        <f t="shared" si="303"/>
        <v>Monday</v>
      </c>
      <c r="AD1959" t="str">
        <f t="shared" si="304"/>
        <v/>
      </c>
      <c r="AE1959" t="str">
        <f t="shared" si="305"/>
        <v>Wednesday</v>
      </c>
      <c r="AF1959" t="str">
        <f t="shared" si="306"/>
        <v>Thursday</v>
      </c>
      <c r="AG1959" t="str">
        <f t="shared" si="307"/>
        <v/>
      </c>
      <c r="AH1959" t="str">
        <f t="shared" si="308"/>
        <v/>
      </c>
      <c r="AI1959" t="str">
        <f t="shared" si="309"/>
        <v/>
      </c>
      <c r="AJ1959" t="str">
        <f>LEFT(Table1[[#This Row],[membership_type]],2)&amp;TEXT(Table1[[#This Row],[age]],"00")&amp;"-"&amp;TEXT(ROW(),"000")</f>
        <v>Pr13-1959</v>
      </c>
      <c r="AK1959" t="str">
        <f>LEFT(Table1[[#This Row],[membership_type]],1)&amp;TEXT(MATCH(Table1[[#This Row],[membership_type]],Table1[membership_type],0),"00")</f>
        <v>P01</v>
      </c>
      <c r="AL1959" t="str">
        <f>LEFT(Table1[[#This Row],[discount_type]],1)&amp;TEXT(ROUND(Table1[[#This Row],[discount_rate]]*100,0),"00")</f>
        <v>L10</v>
      </c>
      <c r="AM1959" t="str" cm="1">
        <f t="array" ref="AM1959">TEXT(SUMPRODUCT(CODE(MID(Table1[[#This Row],[home_gym_location]],_xlfn.SEQUENCE(LEN(Table1[[#This Row],[home_gym_location]])),1))),"00000")</f>
        <v>00829</v>
      </c>
      <c r="AN1959" t="str">
        <f>UPPER(_xlfn.TEXTBEFORE(Table1[[#This Row],[home_gym_location]],","))&amp;"-"&amp;TEXT(MATCH(Table1[[#This Row],[home_gym_location]],_xlfn._xlws.SORT(_xlfn.UNIQUE(Table1[home_gym_location])),0),"000")</f>
        <v>FRESNO-003</v>
      </c>
      <c r="AO1959" t="str">
        <f>LEFT(_xlfn.TEXTBEFORE(Table1[[#This Row],[Location Identifier]],"-"),3) &amp; "-" &amp; _xlfn.TEXTAFTER(Table1[[#This Row],[Location Identifier]],"-")</f>
        <v>FRE-003</v>
      </c>
      <c r="AP1959" s="9">
        <f t="shared" ca="1" si="300"/>
        <v>45869</v>
      </c>
    </row>
    <row r="1960" spans="1:42" x14ac:dyDescent="0.25">
      <c r="A1960">
        <v>26</v>
      </c>
      <c r="B1960" t="s">
        <v>33</v>
      </c>
      <c r="C1960">
        <v>5</v>
      </c>
      <c r="D1960" t="s">
        <v>68</v>
      </c>
      <c r="E1960" t="b">
        <v>0</v>
      </c>
      <c r="F1960" s="1">
        <v>0.56527777777777777</v>
      </c>
      <c r="G1960" s="1">
        <v>0.6381944444444444</v>
      </c>
      <c r="H1960">
        <v>105</v>
      </c>
      <c r="I1960" t="b">
        <v>1</v>
      </c>
      <c r="J1960" t="b">
        <v>0</v>
      </c>
      <c r="K1960" t="b">
        <v>1</v>
      </c>
      <c r="L1960" t="s">
        <v>58</v>
      </c>
      <c r="M1960">
        <v>30</v>
      </c>
      <c r="N1960" t="s">
        <v>29</v>
      </c>
      <c r="O1960">
        <v>30</v>
      </c>
      <c r="P1960" t="s">
        <v>36</v>
      </c>
      <c r="Q1960">
        <v>0</v>
      </c>
      <c r="R1960">
        <v>30</v>
      </c>
      <c r="S1960" t="s">
        <v>37</v>
      </c>
      <c r="T1960" t="s">
        <v>32</v>
      </c>
      <c r="U1960">
        <v>37.338200000000001</v>
      </c>
      <c r="V1960">
        <v>-121.88630000000001</v>
      </c>
      <c r="W1960" s="2">
        <v>45704</v>
      </c>
      <c r="X1960">
        <v>0</v>
      </c>
      <c r="Y1960" t="b">
        <v>0</v>
      </c>
      <c r="Z1960" s="2">
        <v>45853</v>
      </c>
      <c r="AA1960" t="str">
        <f t="shared" si="301"/>
        <v>20–29</v>
      </c>
      <c r="AB1960" t="str">
        <f t="shared" si="302"/>
        <v>20–29</v>
      </c>
      <c r="AC1960" t="str">
        <f t="shared" si="303"/>
        <v>Monday</v>
      </c>
      <c r="AD1960" t="str">
        <f t="shared" si="304"/>
        <v>Tuesday</v>
      </c>
      <c r="AE1960" t="str">
        <f t="shared" si="305"/>
        <v/>
      </c>
      <c r="AF1960" t="str">
        <f t="shared" si="306"/>
        <v>Thursday</v>
      </c>
      <c r="AG1960" t="str">
        <f t="shared" si="307"/>
        <v>Friday</v>
      </c>
      <c r="AH1960" t="str">
        <f t="shared" si="308"/>
        <v>Saturday</v>
      </c>
      <c r="AI1960" t="str">
        <f t="shared" si="309"/>
        <v/>
      </c>
      <c r="AJ1960" t="str">
        <f>LEFT(Table1[[#This Row],[membership_type]],2)&amp;TEXT(Table1[[#This Row],[age]],"00")&amp;"-"&amp;TEXT(ROW(),"000")</f>
        <v>St26-1960</v>
      </c>
      <c r="AK1960" t="str">
        <f>LEFT(Table1[[#This Row],[membership_type]],1)&amp;TEXT(MATCH(Table1[[#This Row],[membership_type]],Table1[membership_type],0),"00")</f>
        <v>S02</v>
      </c>
      <c r="AL1960" t="str">
        <f>LEFT(Table1[[#This Row],[discount_type]],1)&amp;TEXT(ROUND(Table1[[#This Row],[discount_rate]]*100,0),"00")</f>
        <v>N00</v>
      </c>
      <c r="AM1960" t="str" cm="1">
        <f t="array" ref="AM1960">TEXT(SUMPRODUCT(CODE(MID(Table1[[#This Row],[home_gym_location]],_xlfn.SEQUENCE(LEN(Table1[[#This Row],[home_gym_location]])),1))),"00000")</f>
        <v>00931</v>
      </c>
      <c r="AN1960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60" t="str">
        <f>LEFT(_xlfn.TEXTBEFORE(Table1[[#This Row],[Location Identifier]],"-"),3) &amp; "-" &amp; _xlfn.TEXTAFTER(Table1[[#This Row],[Location Identifier]],"-")</f>
        <v>SAN-010</v>
      </c>
      <c r="AP1960" s="9">
        <f t="shared" ca="1" si="300"/>
        <v>45869</v>
      </c>
    </row>
    <row r="1961" spans="1:42" x14ac:dyDescent="0.25">
      <c r="A1961">
        <v>26</v>
      </c>
      <c r="B1961" t="s">
        <v>26</v>
      </c>
      <c r="C1961">
        <v>1</v>
      </c>
      <c r="D1961" t="s">
        <v>95</v>
      </c>
      <c r="E1961" t="b">
        <v>1</v>
      </c>
      <c r="F1961" s="1">
        <v>0.53055555555555556</v>
      </c>
      <c r="G1961" s="1">
        <v>0.56944444444444442</v>
      </c>
      <c r="H1961">
        <v>56</v>
      </c>
      <c r="I1961" t="b">
        <v>0</v>
      </c>
      <c r="J1961" t="b">
        <v>0</v>
      </c>
      <c r="K1961" t="b">
        <v>0</v>
      </c>
      <c r="L1961" t="s">
        <v>62</v>
      </c>
      <c r="M1961">
        <v>50</v>
      </c>
      <c r="N1961" t="s">
        <v>29</v>
      </c>
      <c r="O1961">
        <v>50</v>
      </c>
      <c r="P1961" t="s">
        <v>40</v>
      </c>
      <c r="Q1961">
        <v>0.1</v>
      </c>
      <c r="R1961">
        <v>45</v>
      </c>
      <c r="S1961" t="s">
        <v>31</v>
      </c>
      <c r="T1961" t="s">
        <v>45</v>
      </c>
      <c r="U1961">
        <v>33.836599999999997</v>
      </c>
      <c r="V1961">
        <v>-117.9143</v>
      </c>
      <c r="W1961" s="2">
        <v>45394</v>
      </c>
      <c r="X1961">
        <v>0</v>
      </c>
      <c r="Y1961" t="b">
        <v>1</v>
      </c>
      <c r="Z1961" s="2">
        <v>45836</v>
      </c>
      <c r="AA1961" t="str">
        <f t="shared" si="301"/>
        <v>20–29</v>
      </c>
      <c r="AB1961" t="str">
        <f t="shared" si="302"/>
        <v>20–29</v>
      </c>
      <c r="AC1961" t="str">
        <f t="shared" si="303"/>
        <v/>
      </c>
      <c r="AD1961" t="str">
        <f t="shared" si="304"/>
        <v/>
      </c>
      <c r="AE1961" t="str">
        <f t="shared" si="305"/>
        <v/>
      </c>
      <c r="AF1961" t="str">
        <f t="shared" si="306"/>
        <v/>
      </c>
      <c r="AG1961" t="str">
        <f t="shared" si="307"/>
        <v/>
      </c>
      <c r="AH1961" t="str">
        <f t="shared" si="308"/>
        <v>Saturday</v>
      </c>
      <c r="AI1961" t="str">
        <f t="shared" si="309"/>
        <v/>
      </c>
      <c r="AJ1961" t="str">
        <f>LEFT(Table1[[#This Row],[membership_type]],2)&amp;TEXT(Table1[[#This Row],[age]],"00")&amp;"-"&amp;TEXT(ROW(),"000")</f>
        <v>Pr26-1961</v>
      </c>
      <c r="AK1961" t="str">
        <f>LEFT(Table1[[#This Row],[membership_type]],1)&amp;TEXT(MATCH(Table1[[#This Row],[membership_type]],Table1[membership_type],0),"00")</f>
        <v>P01</v>
      </c>
      <c r="AL1961" t="str">
        <f>LEFT(Table1[[#This Row],[discount_type]],1)&amp;TEXT(ROUND(Table1[[#This Row],[discount_rate]]*100,0),"00")</f>
        <v>L10</v>
      </c>
      <c r="AM1961" t="str" cm="1">
        <f t="array" ref="AM1961">TEXT(SUMPRODUCT(CODE(MID(Table1[[#This Row],[home_gym_location]],_xlfn.SEQUENCE(LEN(Table1[[#This Row],[home_gym_location]])),1))),"00000")</f>
        <v>00899</v>
      </c>
      <c r="AN1961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61" t="str">
        <f>LEFT(_xlfn.TEXTBEFORE(Table1[[#This Row],[Location Identifier]],"-"),3) &amp; "-" &amp; _xlfn.TEXTAFTER(Table1[[#This Row],[Location Identifier]],"-")</f>
        <v>ANA-001</v>
      </c>
      <c r="AP1961" s="9">
        <f t="shared" ca="1" si="300"/>
        <v>45869</v>
      </c>
    </row>
    <row r="1962" spans="1:42" x14ac:dyDescent="0.25">
      <c r="A1962">
        <v>18</v>
      </c>
      <c r="B1962" t="s">
        <v>33</v>
      </c>
      <c r="C1962">
        <v>4</v>
      </c>
      <c r="D1962" t="s">
        <v>159</v>
      </c>
      <c r="E1962" t="b">
        <v>1</v>
      </c>
      <c r="F1962" s="1">
        <v>0.8208333333333333</v>
      </c>
      <c r="G1962" s="1">
        <v>0.87291666666666667</v>
      </c>
      <c r="H1962">
        <v>75</v>
      </c>
      <c r="I1962" t="b">
        <v>0</v>
      </c>
      <c r="J1962" t="b">
        <v>0</v>
      </c>
      <c r="K1962" t="b">
        <v>0</v>
      </c>
      <c r="L1962" t="s">
        <v>35</v>
      </c>
      <c r="M1962">
        <v>30</v>
      </c>
      <c r="N1962" t="s">
        <v>29</v>
      </c>
      <c r="O1962">
        <v>30</v>
      </c>
      <c r="P1962" t="s">
        <v>36</v>
      </c>
      <c r="Q1962">
        <v>0</v>
      </c>
      <c r="R1962">
        <v>30</v>
      </c>
      <c r="S1962" t="s">
        <v>37</v>
      </c>
      <c r="T1962" t="s">
        <v>59</v>
      </c>
      <c r="U1962">
        <v>37.774900000000002</v>
      </c>
      <c r="V1962">
        <v>-122.4194</v>
      </c>
      <c r="W1962" s="2">
        <v>44936</v>
      </c>
      <c r="X1962">
        <v>0</v>
      </c>
      <c r="Y1962" t="b">
        <v>0</v>
      </c>
      <c r="Z1962" s="2">
        <v>45810</v>
      </c>
      <c r="AA1962" t="str">
        <f t="shared" si="301"/>
        <v>10–19</v>
      </c>
      <c r="AB1962" t="str">
        <f t="shared" si="302"/>
        <v>16–19</v>
      </c>
      <c r="AC1962" t="str">
        <f t="shared" si="303"/>
        <v>Monday</v>
      </c>
      <c r="AD1962" t="str">
        <f t="shared" si="304"/>
        <v>Tuesday</v>
      </c>
      <c r="AE1962" t="str">
        <f t="shared" si="305"/>
        <v/>
      </c>
      <c r="AF1962" t="str">
        <f t="shared" si="306"/>
        <v>Thursday</v>
      </c>
      <c r="AG1962" t="str">
        <f t="shared" si="307"/>
        <v/>
      </c>
      <c r="AH1962" t="str">
        <f t="shared" si="308"/>
        <v/>
      </c>
      <c r="AI1962" t="str">
        <f t="shared" si="309"/>
        <v>Sunday</v>
      </c>
      <c r="AJ1962" t="str">
        <f>LEFT(Table1[[#This Row],[membership_type]],2)&amp;TEXT(Table1[[#This Row],[age]],"00")&amp;"-"&amp;TEXT(ROW(),"000")</f>
        <v>St18-1962</v>
      </c>
      <c r="AK1962" t="str">
        <f>LEFT(Table1[[#This Row],[membership_type]],1)&amp;TEXT(MATCH(Table1[[#This Row],[membership_type]],Table1[membership_type],0),"00")</f>
        <v>S02</v>
      </c>
      <c r="AL1962" t="str">
        <f>LEFT(Table1[[#This Row],[discount_type]],1)&amp;TEXT(ROUND(Table1[[#This Row],[discount_rate]]*100,0),"00")</f>
        <v>N00</v>
      </c>
      <c r="AM1962" t="str" cm="1">
        <f t="array" ref="AM1962">TEXT(SUMPRODUCT(CODE(MID(Table1[[#This Row],[home_gym_location]],_xlfn.SEQUENCE(LEN(Table1[[#This Row],[home_gym_location]])),1))),"00000")</f>
        <v>01450</v>
      </c>
      <c r="AN1962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62" t="str">
        <f>LEFT(_xlfn.TEXTBEFORE(Table1[[#This Row],[Location Identifier]],"-"),3) &amp; "-" &amp; _xlfn.TEXTAFTER(Table1[[#This Row],[Location Identifier]],"-")</f>
        <v>SAN-009</v>
      </c>
      <c r="AP1962" s="9">
        <f t="shared" ca="1" si="300"/>
        <v>45869</v>
      </c>
    </row>
    <row r="1963" spans="1:42" x14ac:dyDescent="0.25">
      <c r="A1963">
        <v>39</v>
      </c>
      <c r="B1963" t="s">
        <v>33</v>
      </c>
      <c r="C1963">
        <v>4</v>
      </c>
      <c r="D1963" t="s">
        <v>39</v>
      </c>
      <c r="E1963" t="b">
        <v>1</v>
      </c>
      <c r="F1963" s="1">
        <v>0.56597222222222221</v>
      </c>
      <c r="G1963" s="1">
        <v>0.60902777777777772</v>
      </c>
      <c r="H1963">
        <v>62</v>
      </c>
      <c r="I1963" t="b">
        <v>1</v>
      </c>
      <c r="J1963" t="b">
        <v>1</v>
      </c>
      <c r="K1963" t="b">
        <v>1</v>
      </c>
      <c r="L1963" t="s">
        <v>28</v>
      </c>
      <c r="M1963">
        <v>30</v>
      </c>
      <c r="N1963" t="s">
        <v>29</v>
      </c>
      <c r="O1963">
        <v>30</v>
      </c>
      <c r="P1963" t="s">
        <v>40</v>
      </c>
      <c r="Q1963">
        <v>0.1</v>
      </c>
      <c r="R1963">
        <v>27</v>
      </c>
      <c r="S1963" t="s">
        <v>37</v>
      </c>
      <c r="T1963" t="s">
        <v>41</v>
      </c>
      <c r="U1963">
        <v>37.804400000000001</v>
      </c>
      <c r="V1963">
        <v>-122.27119999999999</v>
      </c>
      <c r="W1963" s="2">
        <v>45422</v>
      </c>
      <c r="X1963">
        <v>4</v>
      </c>
      <c r="Y1963" t="b">
        <v>1</v>
      </c>
      <c r="Z1963" s="2">
        <v>45837</v>
      </c>
      <c r="AA1963" t="str">
        <f t="shared" si="301"/>
        <v>30–39</v>
      </c>
      <c r="AB1963" t="str">
        <f t="shared" si="302"/>
        <v>30–39</v>
      </c>
      <c r="AC1963" t="str">
        <f t="shared" si="303"/>
        <v/>
      </c>
      <c r="AD1963" t="str">
        <f t="shared" si="304"/>
        <v>Tuesday</v>
      </c>
      <c r="AE1963" t="str">
        <f t="shared" si="305"/>
        <v>Wednesday</v>
      </c>
      <c r="AF1963" t="str">
        <f t="shared" si="306"/>
        <v>Thursday</v>
      </c>
      <c r="AG1963" t="str">
        <f t="shared" si="307"/>
        <v/>
      </c>
      <c r="AH1963" t="str">
        <f t="shared" si="308"/>
        <v/>
      </c>
      <c r="AI1963" t="str">
        <f t="shared" si="309"/>
        <v>Sunday</v>
      </c>
      <c r="AJ1963" t="str">
        <f>LEFT(Table1[[#This Row],[membership_type]],2)&amp;TEXT(Table1[[#This Row],[age]],"00")&amp;"-"&amp;TEXT(ROW(),"000")</f>
        <v>St39-1963</v>
      </c>
      <c r="AK1963" t="str">
        <f>LEFT(Table1[[#This Row],[membership_type]],1)&amp;TEXT(MATCH(Table1[[#This Row],[membership_type]],Table1[membership_type],0),"00")</f>
        <v>S02</v>
      </c>
      <c r="AL1963" t="str">
        <f>LEFT(Table1[[#This Row],[discount_type]],1)&amp;TEXT(ROUND(Table1[[#This Row],[discount_rate]]*100,0),"00")</f>
        <v>L10</v>
      </c>
      <c r="AM1963" t="str" cm="1">
        <f t="array" ref="AM1963">TEXT(SUMPRODUCT(CODE(MID(Table1[[#This Row],[home_gym_location]],_xlfn.SEQUENCE(LEN(Table1[[#This Row],[home_gym_location]])),1))),"00000")</f>
        <v>00906</v>
      </c>
      <c r="AN1963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63" t="str">
        <f>LEFT(_xlfn.TEXTBEFORE(Table1[[#This Row],[Location Identifier]],"-"),3) &amp; "-" &amp; _xlfn.TEXTAFTER(Table1[[#This Row],[Location Identifier]],"-")</f>
        <v>OAK-006</v>
      </c>
      <c r="AP1963" s="9">
        <f t="shared" ca="1" si="300"/>
        <v>45869</v>
      </c>
    </row>
    <row r="1964" spans="1:42" x14ac:dyDescent="0.25">
      <c r="A1964">
        <v>49</v>
      </c>
      <c r="B1964" t="s">
        <v>26</v>
      </c>
      <c r="C1964">
        <v>1</v>
      </c>
      <c r="D1964" t="s">
        <v>71</v>
      </c>
      <c r="E1964" t="b">
        <v>1</v>
      </c>
      <c r="F1964" s="1">
        <v>0.6791666666666667</v>
      </c>
      <c r="G1964" s="1">
        <v>0.73263888888888884</v>
      </c>
      <c r="H1964">
        <v>77</v>
      </c>
      <c r="I1964" t="b">
        <v>1</v>
      </c>
      <c r="J1964" t="b">
        <v>0</v>
      </c>
      <c r="K1964" t="b">
        <v>0</v>
      </c>
      <c r="L1964" t="s">
        <v>28</v>
      </c>
      <c r="M1964">
        <v>50</v>
      </c>
      <c r="N1964" t="s">
        <v>29</v>
      </c>
      <c r="O1964">
        <v>50</v>
      </c>
      <c r="P1964" t="s">
        <v>36</v>
      </c>
      <c r="Q1964">
        <v>0</v>
      </c>
      <c r="R1964">
        <v>50</v>
      </c>
      <c r="S1964" t="s">
        <v>31</v>
      </c>
      <c r="T1964" t="s">
        <v>32</v>
      </c>
      <c r="U1964">
        <v>37.338200000000001</v>
      </c>
      <c r="V1964">
        <v>-121.88630000000001</v>
      </c>
      <c r="W1964" s="2">
        <v>45221</v>
      </c>
      <c r="X1964">
        <v>0</v>
      </c>
      <c r="Y1964" t="b">
        <v>1</v>
      </c>
      <c r="Z1964" s="2">
        <v>45826</v>
      </c>
      <c r="AA1964" t="str">
        <f t="shared" si="301"/>
        <v>40–49</v>
      </c>
      <c r="AB1964" t="str">
        <f t="shared" si="302"/>
        <v>40–49</v>
      </c>
      <c r="AC1964" t="str">
        <f t="shared" si="303"/>
        <v/>
      </c>
      <c r="AD1964" t="str">
        <f t="shared" si="304"/>
        <v>Tuesday</v>
      </c>
      <c r="AE1964" t="str">
        <f t="shared" si="305"/>
        <v/>
      </c>
      <c r="AF1964" t="str">
        <f t="shared" si="306"/>
        <v/>
      </c>
      <c r="AG1964" t="str">
        <f t="shared" si="307"/>
        <v/>
      </c>
      <c r="AH1964" t="str">
        <f t="shared" si="308"/>
        <v/>
      </c>
      <c r="AI1964" t="str">
        <f t="shared" si="309"/>
        <v/>
      </c>
      <c r="AJ1964" t="str">
        <f>LEFT(Table1[[#This Row],[membership_type]],2)&amp;TEXT(Table1[[#This Row],[age]],"00")&amp;"-"&amp;TEXT(ROW(),"000")</f>
        <v>Pr49-1964</v>
      </c>
      <c r="AK1964" t="str">
        <f>LEFT(Table1[[#This Row],[membership_type]],1)&amp;TEXT(MATCH(Table1[[#This Row],[membership_type]],Table1[membership_type],0),"00")</f>
        <v>P01</v>
      </c>
      <c r="AL1964" t="str">
        <f>LEFT(Table1[[#This Row],[discount_type]],1)&amp;TEXT(ROUND(Table1[[#This Row],[discount_rate]]*100,0),"00")</f>
        <v>N00</v>
      </c>
      <c r="AM1964" t="str" cm="1">
        <f t="array" ref="AM1964">TEXT(SUMPRODUCT(CODE(MID(Table1[[#This Row],[home_gym_location]],_xlfn.SEQUENCE(LEN(Table1[[#This Row],[home_gym_location]])),1))),"00000")</f>
        <v>00931</v>
      </c>
      <c r="AN196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64" t="str">
        <f>LEFT(_xlfn.TEXTBEFORE(Table1[[#This Row],[Location Identifier]],"-"),3) &amp; "-" &amp; _xlfn.TEXTAFTER(Table1[[#This Row],[Location Identifier]],"-")</f>
        <v>SAN-010</v>
      </c>
      <c r="AP1964" s="9">
        <f t="shared" ca="1" si="300"/>
        <v>45869</v>
      </c>
    </row>
    <row r="1965" spans="1:42" x14ac:dyDescent="0.25">
      <c r="A1965">
        <v>25</v>
      </c>
      <c r="B1965" t="s">
        <v>26</v>
      </c>
      <c r="C1965">
        <v>1</v>
      </c>
      <c r="D1965" t="s">
        <v>71</v>
      </c>
      <c r="E1965" t="b">
        <v>0</v>
      </c>
      <c r="F1965" s="1">
        <v>0.35902777777777778</v>
      </c>
      <c r="G1965" s="1">
        <v>0.45277777777777778</v>
      </c>
      <c r="H1965">
        <v>135</v>
      </c>
      <c r="I1965" t="b">
        <v>1</v>
      </c>
      <c r="J1965" t="b">
        <v>1</v>
      </c>
      <c r="K1965" t="b">
        <v>0</v>
      </c>
      <c r="L1965" t="s">
        <v>28</v>
      </c>
      <c r="M1965">
        <v>50</v>
      </c>
      <c r="N1965" t="s">
        <v>29</v>
      </c>
      <c r="O1965">
        <v>50</v>
      </c>
      <c r="P1965" t="s">
        <v>36</v>
      </c>
      <c r="Q1965">
        <v>0</v>
      </c>
      <c r="R1965">
        <v>50</v>
      </c>
      <c r="S1965" t="s">
        <v>31</v>
      </c>
      <c r="T1965" t="s">
        <v>65</v>
      </c>
      <c r="U1965">
        <v>33.770099999999999</v>
      </c>
      <c r="V1965">
        <v>-118.19370000000001</v>
      </c>
      <c r="W1965" s="2">
        <v>45205</v>
      </c>
      <c r="X1965">
        <v>5</v>
      </c>
      <c r="Y1965" t="b">
        <v>1</v>
      </c>
      <c r="Z1965" s="2">
        <v>45825</v>
      </c>
      <c r="AA1965" t="str">
        <f t="shared" si="301"/>
        <v>20–29</v>
      </c>
      <c r="AB1965" t="str">
        <f t="shared" si="302"/>
        <v>20–29</v>
      </c>
      <c r="AC1965" t="str">
        <f t="shared" si="303"/>
        <v/>
      </c>
      <c r="AD1965" t="str">
        <f t="shared" si="304"/>
        <v>Tuesday</v>
      </c>
      <c r="AE1965" t="str">
        <f t="shared" si="305"/>
        <v/>
      </c>
      <c r="AF1965" t="str">
        <f t="shared" si="306"/>
        <v/>
      </c>
      <c r="AG1965" t="str">
        <f t="shared" si="307"/>
        <v/>
      </c>
      <c r="AH1965" t="str">
        <f t="shared" si="308"/>
        <v/>
      </c>
      <c r="AI1965" t="str">
        <f t="shared" si="309"/>
        <v/>
      </c>
      <c r="AJ1965" t="str">
        <f>LEFT(Table1[[#This Row],[membership_type]],2)&amp;TEXT(Table1[[#This Row],[age]],"00")&amp;"-"&amp;TEXT(ROW(),"000")</f>
        <v>Pr25-1965</v>
      </c>
      <c r="AK1965" t="str">
        <f>LEFT(Table1[[#This Row],[membership_type]],1)&amp;TEXT(MATCH(Table1[[#This Row],[membership_type]],Table1[membership_type],0),"00")</f>
        <v>P01</v>
      </c>
      <c r="AL1965" t="str">
        <f>LEFT(Table1[[#This Row],[discount_type]],1)&amp;TEXT(ROUND(Table1[[#This Row],[discount_rate]]*100,0),"00")</f>
        <v>N00</v>
      </c>
      <c r="AM1965" t="str" cm="1">
        <f t="array" ref="AM1965">TEXT(SUMPRODUCT(CODE(MID(Table1[[#This Row],[home_gym_location]],_xlfn.SEQUENCE(LEN(Table1[[#This Row],[home_gym_location]])),1))),"00000")</f>
        <v>01107</v>
      </c>
      <c r="AN1965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65" t="str">
        <f>LEFT(_xlfn.TEXTBEFORE(Table1[[#This Row],[Location Identifier]],"-"),3) &amp; "-" &amp; _xlfn.TEXTAFTER(Table1[[#This Row],[Location Identifier]],"-")</f>
        <v>LON-004</v>
      </c>
      <c r="AP1965" s="9">
        <f t="shared" ca="1" si="300"/>
        <v>45869</v>
      </c>
    </row>
    <row r="1966" spans="1:42" x14ac:dyDescent="0.25">
      <c r="A1966">
        <v>29</v>
      </c>
      <c r="B1966" t="s">
        <v>26</v>
      </c>
      <c r="C1966">
        <v>2</v>
      </c>
      <c r="D1966" t="s">
        <v>73</v>
      </c>
      <c r="E1966" t="b">
        <v>0</v>
      </c>
      <c r="F1966" s="1">
        <v>0.86944444444444446</v>
      </c>
      <c r="G1966" s="1">
        <v>0.94444444444444442</v>
      </c>
      <c r="H1966">
        <v>108</v>
      </c>
      <c r="I1966" t="b">
        <v>0</v>
      </c>
      <c r="J1966" t="b">
        <v>1</v>
      </c>
      <c r="K1966" t="b">
        <v>0</v>
      </c>
      <c r="L1966" t="s">
        <v>35</v>
      </c>
      <c r="M1966">
        <v>50</v>
      </c>
      <c r="N1966" t="s">
        <v>29</v>
      </c>
      <c r="O1966">
        <v>50</v>
      </c>
      <c r="P1966" t="s">
        <v>30</v>
      </c>
      <c r="Q1966">
        <v>0.05</v>
      </c>
      <c r="R1966">
        <v>47.5</v>
      </c>
      <c r="S1966" t="s">
        <v>31</v>
      </c>
      <c r="T1966" t="s">
        <v>59</v>
      </c>
      <c r="U1966">
        <v>37.774900000000002</v>
      </c>
      <c r="V1966">
        <v>-122.4194</v>
      </c>
      <c r="W1966" s="2">
        <v>45634</v>
      </c>
      <c r="X1966">
        <v>1</v>
      </c>
      <c r="Y1966" t="b">
        <v>1</v>
      </c>
      <c r="Z1966" s="2">
        <v>45849</v>
      </c>
      <c r="AA1966" t="str">
        <f t="shared" si="301"/>
        <v>20–29</v>
      </c>
      <c r="AB1966" t="str">
        <f t="shared" si="302"/>
        <v>20–29</v>
      </c>
      <c r="AC1966" t="str">
        <f t="shared" si="303"/>
        <v/>
      </c>
      <c r="AD1966" t="str">
        <f t="shared" si="304"/>
        <v>Tuesday</v>
      </c>
      <c r="AE1966" t="str">
        <f t="shared" si="305"/>
        <v/>
      </c>
      <c r="AF1966" t="str">
        <f t="shared" si="306"/>
        <v/>
      </c>
      <c r="AG1966" t="str">
        <f t="shared" si="307"/>
        <v>Friday</v>
      </c>
      <c r="AH1966" t="str">
        <f t="shared" si="308"/>
        <v/>
      </c>
      <c r="AI1966" t="str">
        <f t="shared" si="309"/>
        <v/>
      </c>
      <c r="AJ1966" t="str">
        <f>LEFT(Table1[[#This Row],[membership_type]],2)&amp;TEXT(Table1[[#This Row],[age]],"00")&amp;"-"&amp;TEXT(ROW(),"000")</f>
        <v>Pr29-1966</v>
      </c>
      <c r="AK1966" t="str">
        <f>LEFT(Table1[[#This Row],[membership_type]],1)&amp;TEXT(MATCH(Table1[[#This Row],[membership_type]],Table1[membership_type],0),"00")</f>
        <v>P01</v>
      </c>
      <c r="AL1966" t="str">
        <f>LEFT(Table1[[#This Row],[discount_type]],1)&amp;TEXT(ROUND(Table1[[#This Row],[discount_rate]]*100,0),"00")</f>
        <v>P05</v>
      </c>
      <c r="AM1966" t="str" cm="1">
        <f t="array" ref="AM1966">TEXT(SUMPRODUCT(CODE(MID(Table1[[#This Row],[home_gym_location]],_xlfn.SEQUENCE(LEN(Table1[[#This Row],[home_gym_location]])),1))),"00000")</f>
        <v>01450</v>
      </c>
      <c r="AN1966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66" t="str">
        <f>LEFT(_xlfn.TEXTBEFORE(Table1[[#This Row],[Location Identifier]],"-"),3) &amp; "-" &amp; _xlfn.TEXTAFTER(Table1[[#This Row],[Location Identifier]],"-")</f>
        <v>SAN-009</v>
      </c>
      <c r="AP1966" s="9">
        <f t="shared" ca="1" si="300"/>
        <v>45869</v>
      </c>
    </row>
    <row r="1967" spans="1:42" x14ac:dyDescent="0.25">
      <c r="A1967">
        <v>28</v>
      </c>
      <c r="B1967" t="s">
        <v>26</v>
      </c>
      <c r="C1967">
        <v>2</v>
      </c>
      <c r="D1967" t="s">
        <v>139</v>
      </c>
      <c r="E1967" t="b">
        <v>1</v>
      </c>
      <c r="F1967" s="1">
        <v>0.87361111111111112</v>
      </c>
      <c r="G1967" s="1">
        <v>0.93055555555555558</v>
      </c>
      <c r="H1967">
        <v>82</v>
      </c>
      <c r="I1967" t="b">
        <v>0</v>
      </c>
      <c r="J1967" t="b">
        <v>0</v>
      </c>
      <c r="K1967" t="b">
        <v>1</v>
      </c>
      <c r="L1967" t="s">
        <v>35</v>
      </c>
      <c r="M1967">
        <v>50</v>
      </c>
      <c r="N1967" t="s">
        <v>29</v>
      </c>
      <c r="O1967">
        <v>50</v>
      </c>
      <c r="P1967" t="s">
        <v>40</v>
      </c>
      <c r="Q1967">
        <v>0.1</v>
      </c>
      <c r="R1967">
        <v>45</v>
      </c>
      <c r="S1967" t="s">
        <v>31</v>
      </c>
      <c r="T1967" t="s">
        <v>45</v>
      </c>
      <c r="U1967">
        <v>33.836599999999997</v>
      </c>
      <c r="V1967">
        <v>-117.9143</v>
      </c>
      <c r="W1967" s="2">
        <v>45445</v>
      </c>
      <c r="X1967">
        <v>0</v>
      </c>
      <c r="Y1967" t="b">
        <v>1</v>
      </c>
      <c r="Z1967" s="2">
        <v>45839</v>
      </c>
      <c r="AA1967" t="str">
        <f t="shared" si="301"/>
        <v>20–29</v>
      </c>
      <c r="AB1967" t="str">
        <f t="shared" si="302"/>
        <v>20–29</v>
      </c>
      <c r="AC1967" t="str">
        <f t="shared" si="303"/>
        <v/>
      </c>
      <c r="AD1967" t="str">
        <f t="shared" si="304"/>
        <v/>
      </c>
      <c r="AE1967" t="str">
        <f t="shared" si="305"/>
        <v>Wednesday</v>
      </c>
      <c r="AF1967" t="str">
        <f t="shared" si="306"/>
        <v/>
      </c>
      <c r="AG1967" t="str">
        <f t="shared" si="307"/>
        <v/>
      </c>
      <c r="AH1967" t="str">
        <f t="shared" si="308"/>
        <v>Saturday</v>
      </c>
      <c r="AI1967" t="str">
        <f t="shared" si="309"/>
        <v/>
      </c>
      <c r="AJ1967" t="str">
        <f>LEFT(Table1[[#This Row],[membership_type]],2)&amp;TEXT(Table1[[#This Row],[age]],"00")&amp;"-"&amp;TEXT(ROW(),"000")</f>
        <v>Pr28-1967</v>
      </c>
      <c r="AK1967" t="str">
        <f>LEFT(Table1[[#This Row],[membership_type]],1)&amp;TEXT(MATCH(Table1[[#This Row],[membership_type]],Table1[membership_type],0),"00")</f>
        <v>P01</v>
      </c>
      <c r="AL1967" t="str">
        <f>LEFT(Table1[[#This Row],[discount_type]],1)&amp;TEXT(ROUND(Table1[[#This Row],[discount_rate]]*100,0),"00")</f>
        <v>L10</v>
      </c>
      <c r="AM1967" t="str" cm="1">
        <f t="array" ref="AM1967">TEXT(SUMPRODUCT(CODE(MID(Table1[[#This Row],[home_gym_location]],_xlfn.SEQUENCE(LEN(Table1[[#This Row],[home_gym_location]])),1))),"00000")</f>
        <v>00899</v>
      </c>
      <c r="AN1967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67" t="str">
        <f>LEFT(_xlfn.TEXTBEFORE(Table1[[#This Row],[Location Identifier]],"-"),3) &amp; "-" &amp; _xlfn.TEXTAFTER(Table1[[#This Row],[Location Identifier]],"-")</f>
        <v>ANA-001</v>
      </c>
      <c r="AP1967" s="9">
        <f t="shared" ca="1" si="300"/>
        <v>45869</v>
      </c>
    </row>
    <row r="1968" spans="1:42" x14ac:dyDescent="0.25">
      <c r="A1968">
        <v>29</v>
      </c>
      <c r="B1968" t="s">
        <v>26</v>
      </c>
      <c r="C1968">
        <v>3</v>
      </c>
      <c r="D1968" t="s">
        <v>102</v>
      </c>
      <c r="E1968" t="b">
        <v>1</v>
      </c>
      <c r="F1968" s="1">
        <v>0.54305555555555551</v>
      </c>
      <c r="G1968" s="1">
        <v>0.58888888888888891</v>
      </c>
      <c r="H1968">
        <v>66</v>
      </c>
      <c r="I1968" t="b">
        <v>0</v>
      </c>
      <c r="J1968" t="b">
        <v>0</v>
      </c>
      <c r="K1968" t="b">
        <v>1</v>
      </c>
      <c r="L1968" t="s">
        <v>35</v>
      </c>
      <c r="M1968">
        <v>50</v>
      </c>
      <c r="N1968" t="s">
        <v>64</v>
      </c>
      <c r="O1968">
        <v>37.5</v>
      </c>
      <c r="P1968" t="s">
        <v>40</v>
      </c>
      <c r="Q1968">
        <v>0.1</v>
      </c>
      <c r="R1968">
        <v>33.75</v>
      </c>
      <c r="S1968" t="s">
        <v>31</v>
      </c>
      <c r="T1968" t="s">
        <v>38</v>
      </c>
      <c r="U1968">
        <v>36.7378</v>
      </c>
      <c r="V1968">
        <v>-119.7871</v>
      </c>
      <c r="W1968" s="2">
        <v>45474</v>
      </c>
      <c r="X1968">
        <v>0</v>
      </c>
      <c r="Y1968" t="b">
        <v>1</v>
      </c>
      <c r="Z1968" s="2">
        <v>45840</v>
      </c>
      <c r="AA1968" t="str">
        <f t="shared" si="301"/>
        <v>20–29</v>
      </c>
      <c r="AB1968" t="str">
        <f t="shared" si="302"/>
        <v>20–29</v>
      </c>
      <c r="AC1968" t="str">
        <f t="shared" si="303"/>
        <v/>
      </c>
      <c r="AD1968" t="str">
        <f t="shared" si="304"/>
        <v/>
      </c>
      <c r="AE1968" t="str">
        <f t="shared" si="305"/>
        <v/>
      </c>
      <c r="AF1968" t="str">
        <f t="shared" si="306"/>
        <v>Thursday</v>
      </c>
      <c r="AG1968" t="str">
        <f t="shared" si="307"/>
        <v>Friday</v>
      </c>
      <c r="AH1968" t="str">
        <f t="shared" si="308"/>
        <v>Saturday</v>
      </c>
      <c r="AI1968" t="str">
        <f t="shared" si="309"/>
        <v/>
      </c>
      <c r="AJ1968" t="str">
        <f>LEFT(Table1[[#This Row],[membership_type]],2)&amp;TEXT(Table1[[#This Row],[age]],"00")&amp;"-"&amp;TEXT(ROW(),"000")</f>
        <v>Pr29-1968</v>
      </c>
      <c r="AK1968" t="str">
        <f>LEFT(Table1[[#This Row],[membership_type]],1)&amp;TEXT(MATCH(Table1[[#This Row],[membership_type]],Table1[membership_type],0),"00")</f>
        <v>P01</v>
      </c>
      <c r="AL1968" t="str">
        <f>LEFT(Table1[[#This Row],[discount_type]],1)&amp;TEXT(ROUND(Table1[[#This Row],[discount_rate]]*100,0),"00")</f>
        <v>L10</v>
      </c>
      <c r="AM1968" t="str" cm="1">
        <f t="array" ref="AM1968">TEXT(SUMPRODUCT(CODE(MID(Table1[[#This Row],[home_gym_location]],_xlfn.SEQUENCE(LEN(Table1[[#This Row],[home_gym_location]])),1))),"00000")</f>
        <v>00829</v>
      </c>
      <c r="AN1968" t="str">
        <f>UPPER(_xlfn.TEXTBEFORE(Table1[[#This Row],[home_gym_location]],","))&amp;"-"&amp;TEXT(MATCH(Table1[[#This Row],[home_gym_location]],_xlfn._xlws.SORT(_xlfn.UNIQUE(Table1[home_gym_location])),0),"000")</f>
        <v>FRESNO-003</v>
      </c>
      <c r="AO1968" t="str">
        <f>LEFT(_xlfn.TEXTBEFORE(Table1[[#This Row],[Location Identifier]],"-"),3) &amp; "-" &amp; _xlfn.TEXTAFTER(Table1[[#This Row],[Location Identifier]],"-")</f>
        <v>FRE-003</v>
      </c>
      <c r="AP1968" s="9">
        <f t="shared" ca="1" si="300"/>
        <v>45869</v>
      </c>
    </row>
    <row r="1969" spans="1:42" x14ac:dyDescent="0.25">
      <c r="A1969">
        <v>23</v>
      </c>
      <c r="B1969" t="s">
        <v>33</v>
      </c>
      <c r="C1969">
        <v>2</v>
      </c>
      <c r="D1969" t="s">
        <v>88</v>
      </c>
      <c r="E1969" t="b">
        <v>1</v>
      </c>
      <c r="F1969" s="1">
        <v>0.75069444444444444</v>
      </c>
      <c r="G1969" s="1">
        <v>0.8125</v>
      </c>
      <c r="H1969">
        <v>89</v>
      </c>
      <c r="I1969" t="b">
        <v>0</v>
      </c>
      <c r="J1969" t="b">
        <v>1</v>
      </c>
      <c r="K1969" t="b">
        <v>1</v>
      </c>
      <c r="L1969" t="s">
        <v>35</v>
      </c>
      <c r="M1969">
        <v>30</v>
      </c>
      <c r="N1969" t="s">
        <v>29</v>
      </c>
      <c r="O1969">
        <v>30</v>
      </c>
      <c r="P1969" t="s">
        <v>36</v>
      </c>
      <c r="Q1969">
        <v>0</v>
      </c>
      <c r="R1969">
        <v>30</v>
      </c>
      <c r="S1969" t="s">
        <v>37</v>
      </c>
      <c r="T1969" t="s">
        <v>41</v>
      </c>
      <c r="U1969">
        <v>37.804400000000001</v>
      </c>
      <c r="V1969">
        <v>-122.27119999999999</v>
      </c>
      <c r="W1969" s="2">
        <v>45803</v>
      </c>
      <c r="X1969">
        <v>1</v>
      </c>
      <c r="Y1969" t="b">
        <v>1</v>
      </c>
      <c r="Z1969" s="2">
        <v>45859</v>
      </c>
      <c r="AA1969" t="str">
        <f t="shared" si="301"/>
        <v>20–29</v>
      </c>
      <c r="AB1969" t="str">
        <f t="shared" si="302"/>
        <v>20–29</v>
      </c>
      <c r="AC1969" t="str">
        <f t="shared" si="303"/>
        <v>Monday</v>
      </c>
      <c r="AD1969" t="str">
        <f t="shared" si="304"/>
        <v/>
      </c>
      <c r="AE1969" t="str">
        <f t="shared" si="305"/>
        <v>Wednesday</v>
      </c>
      <c r="AF1969" t="str">
        <f t="shared" si="306"/>
        <v/>
      </c>
      <c r="AG1969" t="str">
        <f t="shared" si="307"/>
        <v/>
      </c>
      <c r="AH1969" t="str">
        <f t="shared" si="308"/>
        <v/>
      </c>
      <c r="AI1969" t="str">
        <f t="shared" si="309"/>
        <v/>
      </c>
      <c r="AJ1969" t="str">
        <f>LEFT(Table1[[#This Row],[membership_type]],2)&amp;TEXT(Table1[[#This Row],[age]],"00")&amp;"-"&amp;TEXT(ROW(),"000")</f>
        <v>St23-1969</v>
      </c>
      <c r="AK1969" t="str">
        <f>LEFT(Table1[[#This Row],[membership_type]],1)&amp;TEXT(MATCH(Table1[[#This Row],[membership_type]],Table1[membership_type],0),"00")</f>
        <v>S02</v>
      </c>
      <c r="AL1969" t="str">
        <f>LEFT(Table1[[#This Row],[discount_type]],1)&amp;TEXT(ROUND(Table1[[#This Row],[discount_rate]]*100,0),"00")</f>
        <v>N00</v>
      </c>
      <c r="AM1969" t="str" cm="1">
        <f t="array" ref="AM1969">TEXT(SUMPRODUCT(CODE(MID(Table1[[#This Row],[home_gym_location]],_xlfn.SEQUENCE(LEN(Table1[[#This Row],[home_gym_location]])),1))),"00000")</f>
        <v>00906</v>
      </c>
      <c r="AN1969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69" t="str">
        <f>LEFT(_xlfn.TEXTBEFORE(Table1[[#This Row],[Location Identifier]],"-"),3) &amp; "-" &amp; _xlfn.TEXTAFTER(Table1[[#This Row],[Location Identifier]],"-")</f>
        <v>OAK-006</v>
      </c>
      <c r="AP1969" s="9">
        <f t="shared" ca="1" si="300"/>
        <v>45869</v>
      </c>
    </row>
    <row r="1970" spans="1:42" x14ac:dyDescent="0.25">
      <c r="A1970">
        <v>42</v>
      </c>
      <c r="B1970" t="s">
        <v>42</v>
      </c>
      <c r="C1970">
        <v>3</v>
      </c>
      <c r="D1970" t="s">
        <v>117</v>
      </c>
      <c r="E1970" t="b">
        <v>1</v>
      </c>
      <c r="F1970" s="1">
        <v>0.78819444444444442</v>
      </c>
      <c r="G1970" s="1">
        <v>0.875</v>
      </c>
      <c r="H1970">
        <v>125</v>
      </c>
      <c r="I1970" t="b">
        <v>0</v>
      </c>
      <c r="J1970" t="b">
        <v>0</v>
      </c>
      <c r="K1970" t="b">
        <v>0</v>
      </c>
      <c r="L1970" t="s">
        <v>62</v>
      </c>
      <c r="M1970">
        <v>20</v>
      </c>
      <c r="N1970" t="s">
        <v>29</v>
      </c>
      <c r="O1970">
        <v>20</v>
      </c>
      <c r="P1970" t="s">
        <v>30</v>
      </c>
      <c r="Q1970">
        <v>0.05</v>
      </c>
      <c r="R1970">
        <v>19</v>
      </c>
      <c r="S1970" t="s">
        <v>44</v>
      </c>
      <c r="T1970" t="s">
        <v>45</v>
      </c>
      <c r="U1970">
        <v>33.836599999999997</v>
      </c>
      <c r="V1970">
        <v>-117.9143</v>
      </c>
      <c r="W1970" s="2">
        <v>45805</v>
      </c>
      <c r="X1970">
        <v>0</v>
      </c>
      <c r="Y1970" t="b">
        <v>0</v>
      </c>
      <c r="Z1970" s="2">
        <v>45859</v>
      </c>
      <c r="AA1970" t="str">
        <f t="shared" si="301"/>
        <v>40–49</v>
      </c>
      <c r="AB1970" t="str">
        <f t="shared" si="302"/>
        <v>40–49</v>
      </c>
      <c r="AC1970" t="str">
        <f t="shared" si="303"/>
        <v/>
      </c>
      <c r="AD1970" t="str">
        <f t="shared" si="304"/>
        <v/>
      </c>
      <c r="AE1970" t="str">
        <f t="shared" si="305"/>
        <v>Wednesday</v>
      </c>
      <c r="AF1970" t="str">
        <f t="shared" si="306"/>
        <v>Thursday</v>
      </c>
      <c r="AG1970" t="str">
        <f t="shared" si="307"/>
        <v/>
      </c>
      <c r="AH1970" t="str">
        <f t="shared" si="308"/>
        <v/>
      </c>
      <c r="AI1970" t="str">
        <f t="shared" si="309"/>
        <v>Sunday</v>
      </c>
      <c r="AJ1970" t="str">
        <f>LEFT(Table1[[#This Row],[membership_type]],2)&amp;TEXT(Table1[[#This Row],[age]],"00")&amp;"-"&amp;TEXT(ROW(),"000")</f>
        <v>Ba42-1970</v>
      </c>
      <c r="AK1970" t="str">
        <f>LEFT(Table1[[#This Row],[membership_type]],1)&amp;TEXT(MATCH(Table1[[#This Row],[membership_type]],Table1[membership_type],0),"00")</f>
        <v>B04</v>
      </c>
      <c r="AL1970" t="str">
        <f>LEFT(Table1[[#This Row],[discount_type]],1)&amp;TEXT(ROUND(Table1[[#This Row],[discount_rate]]*100,0),"00")</f>
        <v>P05</v>
      </c>
      <c r="AM1970" t="str" cm="1">
        <f t="array" ref="AM1970">TEXT(SUMPRODUCT(CODE(MID(Table1[[#This Row],[home_gym_location]],_xlfn.SEQUENCE(LEN(Table1[[#This Row],[home_gym_location]])),1))),"00000")</f>
        <v>00899</v>
      </c>
      <c r="AN197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70" t="str">
        <f>LEFT(_xlfn.TEXTBEFORE(Table1[[#This Row],[Location Identifier]],"-"),3) &amp; "-" &amp; _xlfn.TEXTAFTER(Table1[[#This Row],[Location Identifier]],"-")</f>
        <v>ANA-001</v>
      </c>
      <c r="AP1970" s="9">
        <f t="shared" ca="1" si="300"/>
        <v>45869</v>
      </c>
    </row>
    <row r="1971" spans="1:42" x14ac:dyDescent="0.25">
      <c r="A1971">
        <v>14</v>
      </c>
      <c r="B1971" t="s">
        <v>26</v>
      </c>
      <c r="C1971">
        <v>3</v>
      </c>
      <c r="D1971" t="s">
        <v>133</v>
      </c>
      <c r="E1971" t="b">
        <v>0</v>
      </c>
      <c r="F1971" s="1">
        <v>0.86944444444444446</v>
      </c>
      <c r="G1971" s="1">
        <v>0.91805555555555551</v>
      </c>
      <c r="H1971">
        <v>70</v>
      </c>
      <c r="I1971" t="b">
        <v>1</v>
      </c>
      <c r="J1971" t="b">
        <v>1</v>
      </c>
      <c r="K1971" t="b">
        <v>1</v>
      </c>
      <c r="L1971" t="s">
        <v>62</v>
      </c>
      <c r="M1971">
        <v>50</v>
      </c>
      <c r="N1971" t="s">
        <v>29</v>
      </c>
      <c r="O1971">
        <v>50</v>
      </c>
      <c r="P1971" t="s">
        <v>74</v>
      </c>
      <c r="Q1971">
        <v>0.15</v>
      </c>
      <c r="R1971">
        <v>42.5</v>
      </c>
      <c r="S1971" t="s">
        <v>31</v>
      </c>
      <c r="T1971" t="s">
        <v>38</v>
      </c>
      <c r="U1971">
        <v>36.7378</v>
      </c>
      <c r="V1971">
        <v>-119.7871</v>
      </c>
      <c r="W1971" s="2">
        <v>44945</v>
      </c>
      <c r="X1971">
        <v>1</v>
      </c>
      <c r="Y1971" t="b">
        <v>1</v>
      </c>
      <c r="Z1971" s="2">
        <v>45811</v>
      </c>
      <c r="AA1971" t="str">
        <f t="shared" si="301"/>
        <v>10–19</v>
      </c>
      <c r="AB1971" t="str">
        <f t="shared" si="302"/>
        <v>Under 16</v>
      </c>
      <c r="AC1971" t="str">
        <f t="shared" si="303"/>
        <v/>
      </c>
      <c r="AD1971" t="str">
        <f t="shared" si="304"/>
        <v>Tuesday</v>
      </c>
      <c r="AE1971" t="str">
        <f t="shared" si="305"/>
        <v>Wednesday</v>
      </c>
      <c r="AF1971" t="str">
        <f t="shared" si="306"/>
        <v/>
      </c>
      <c r="AG1971" t="str">
        <f t="shared" si="307"/>
        <v>Friday</v>
      </c>
      <c r="AH1971" t="str">
        <f t="shared" si="308"/>
        <v/>
      </c>
      <c r="AI1971" t="str">
        <f t="shared" si="309"/>
        <v/>
      </c>
      <c r="AJ1971" t="str">
        <f>LEFT(Table1[[#This Row],[membership_type]],2)&amp;TEXT(Table1[[#This Row],[age]],"00")&amp;"-"&amp;TEXT(ROW(),"000")</f>
        <v>Pr14-1971</v>
      </c>
      <c r="AK1971" t="str">
        <f>LEFT(Table1[[#This Row],[membership_type]],1)&amp;TEXT(MATCH(Table1[[#This Row],[membership_type]],Table1[membership_type],0),"00")</f>
        <v>P01</v>
      </c>
      <c r="AL1971" t="str">
        <f>LEFT(Table1[[#This Row],[discount_type]],1)&amp;TEXT(ROUND(Table1[[#This Row],[discount_rate]]*100,0),"00")</f>
        <v>S15</v>
      </c>
      <c r="AM1971" t="str" cm="1">
        <f t="array" ref="AM1971">TEXT(SUMPRODUCT(CODE(MID(Table1[[#This Row],[home_gym_location]],_xlfn.SEQUENCE(LEN(Table1[[#This Row],[home_gym_location]])),1))),"00000")</f>
        <v>00829</v>
      </c>
      <c r="AN1971" t="str">
        <f>UPPER(_xlfn.TEXTBEFORE(Table1[[#This Row],[home_gym_location]],","))&amp;"-"&amp;TEXT(MATCH(Table1[[#This Row],[home_gym_location]],_xlfn._xlws.SORT(_xlfn.UNIQUE(Table1[home_gym_location])),0),"000")</f>
        <v>FRESNO-003</v>
      </c>
      <c r="AO1971" t="str">
        <f>LEFT(_xlfn.TEXTBEFORE(Table1[[#This Row],[Location Identifier]],"-"),3) &amp; "-" &amp; _xlfn.TEXTAFTER(Table1[[#This Row],[Location Identifier]],"-")</f>
        <v>FRE-003</v>
      </c>
      <c r="AP1971" s="9">
        <f t="shared" ca="1" si="300"/>
        <v>45869</v>
      </c>
    </row>
    <row r="1972" spans="1:42" x14ac:dyDescent="0.25">
      <c r="A1972">
        <v>20</v>
      </c>
      <c r="B1972" t="s">
        <v>26</v>
      </c>
      <c r="C1972">
        <v>3</v>
      </c>
      <c r="D1972" t="s">
        <v>109</v>
      </c>
      <c r="E1972" t="b">
        <v>0</v>
      </c>
      <c r="F1972" s="1">
        <v>0.65069444444444446</v>
      </c>
      <c r="G1972" s="1">
        <v>0.75486111111111109</v>
      </c>
      <c r="H1972">
        <v>150</v>
      </c>
      <c r="I1972" t="b">
        <v>0</v>
      </c>
      <c r="J1972" t="b">
        <v>1</v>
      </c>
      <c r="K1972" t="b">
        <v>0</v>
      </c>
      <c r="L1972" t="s">
        <v>62</v>
      </c>
      <c r="M1972">
        <v>50</v>
      </c>
      <c r="N1972" t="s">
        <v>29</v>
      </c>
      <c r="O1972">
        <v>50</v>
      </c>
      <c r="P1972" t="s">
        <v>40</v>
      </c>
      <c r="Q1972">
        <v>0.1</v>
      </c>
      <c r="R1972">
        <v>45</v>
      </c>
      <c r="S1972" t="s">
        <v>31</v>
      </c>
      <c r="T1972" t="s">
        <v>48</v>
      </c>
      <c r="U1972">
        <v>38.581600000000002</v>
      </c>
      <c r="V1972">
        <v>-121.4944</v>
      </c>
      <c r="W1972" s="2">
        <v>45540</v>
      </c>
      <c r="X1972">
        <v>1</v>
      </c>
      <c r="Y1972" t="b">
        <v>1</v>
      </c>
      <c r="Z1972" s="2">
        <v>45844</v>
      </c>
      <c r="AA1972" t="str">
        <f t="shared" si="301"/>
        <v>20–29</v>
      </c>
      <c r="AB1972" t="str">
        <f t="shared" si="302"/>
        <v>20–29</v>
      </c>
      <c r="AC1972" t="str">
        <f t="shared" si="303"/>
        <v/>
      </c>
      <c r="AD1972" t="str">
        <f t="shared" si="304"/>
        <v>Tuesday</v>
      </c>
      <c r="AE1972" t="str">
        <f t="shared" si="305"/>
        <v/>
      </c>
      <c r="AF1972" t="str">
        <f t="shared" si="306"/>
        <v>Thursday</v>
      </c>
      <c r="AG1972" t="str">
        <f t="shared" si="307"/>
        <v>Friday</v>
      </c>
      <c r="AH1972" t="str">
        <f t="shared" si="308"/>
        <v/>
      </c>
      <c r="AI1972" t="str">
        <f t="shared" si="309"/>
        <v/>
      </c>
      <c r="AJ1972" t="str">
        <f>LEFT(Table1[[#This Row],[membership_type]],2)&amp;TEXT(Table1[[#This Row],[age]],"00")&amp;"-"&amp;TEXT(ROW(),"000")</f>
        <v>Pr20-1972</v>
      </c>
      <c r="AK1972" t="str">
        <f>LEFT(Table1[[#This Row],[membership_type]],1)&amp;TEXT(MATCH(Table1[[#This Row],[membership_type]],Table1[membership_type],0),"00")</f>
        <v>P01</v>
      </c>
      <c r="AL1972" t="str">
        <f>LEFT(Table1[[#This Row],[discount_type]],1)&amp;TEXT(ROUND(Table1[[#This Row],[discount_rate]]*100,0),"00")</f>
        <v>L10</v>
      </c>
      <c r="AM1972" t="str" cm="1">
        <f t="array" ref="AM1972">TEXT(SUMPRODUCT(CODE(MID(Table1[[#This Row],[home_gym_location]],_xlfn.SEQUENCE(LEN(Table1[[#This Row],[home_gym_location]])),1))),"00000")</f>
        <v>01245</v>
      </c>
      <c r="AN1972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72" t="str">
        <f>LEFT(_xlfn.TEXTBEFORE(Table1[[#This Row],[Location Identifier]],"-"),3) &amp; "-" &amp; _xlfn.TEXTAFTER(Table1[[#This Row],[Location Identifier]],"-")</f>
        <v>SAC-007</v>
      </c>
      <c r="AP1972" s="9">
        <f t="shared" ca="1" si="300"/>
        <v>45869</v>
      </c>
    </row>
    <row r="1973" spans="1:42" x14ac:dyDescent="0.25">
      <c r="A1973">
        <v>47</v>
      </c>
      <c r="B1973" t="s">
        <v>26</v>
      </c>
      <c r="C1973">
        <v>1</v>
      </c>
      <c r="D1973" t="s">
        <v>97</v>
      </c>
      <c r="E1973" t="b">
        <v>0</v>
      </c>
      <c r="F1973" s="1">
        <v>0.81388888888888888</v>
      </c>
      <c r="G1973" s="1">
        <v>0.84861111111111109</v>
      </c>
      <c r="H1973">
        <v>50</v>
      </c>
      <c r="I1973" t="b">
        <v>1</v>
      </c>
      <c r="J1973" t="b">
        <v>0</v>
      </c>
      <c r="K1973" t="b">
        <v>0</v>
      </c>
      <c r="L1973" t="s">
        <v>28</v>
      </c>
      <c r="M1973">
        <v>50</v>
      </c>
      <c r="N1973" t="s">
        <v>29</v>
      </c>
      <c r="O1973">
        <v>50</v>
      </c>
      <c r="P1973" t="s">
        <v>36</v>
      </c>
      <c r="Q1973">
        <v>0</v>
      </c>
      <c r="R1973">
        <v>50</v>
      </c>
      <c r="S1973" t="s">
        <v>31</v>
      </c>
      <c r="T1973" t="s">
        <v>59</v>
      </c>
      <c r="U1973">
        <v>37.774900000000002</v>
      </c>
      <c r="V1973">
        <v>-122.4194</v>
      </c>
      <c r="W1973" s="2">
        <v>45279</v>
      </c>
      <c r="X1973">
        <v>0</v>
      </c>
      <c r="Y1973" t="b">
        <v>1</v>
      </c>
      <c r="Z1973" s="2">
        <v>45829</v>
      </c>
      <c r="AA1973" t="str">
        <f t="shared" si="301"/>
        <v>40–49</v>
      </c>
      <c r="AB1973" t="str">
        <f t="shared" si="302"/>
        <v>40–49</v>
      </c>
      <c r="AC1973" t="str">
        <f t="shared" si="303"/>
        <v>Monday</v>
      </c>
      <c r="AD1973" t="str">
        <f t="shared" si="304"/>
        <v/>
      </c>
      <c r="AE1973" t="str">
        <f t="shared" si="305"/>
        <v/>
      </c>
      <c r="AF1973" t="str">
        <f t="shared" si="306"/>
        <v/>
      </c>
      <c r="AG1973" t="str">
        <f t="shared" si="307"/>
        <v/>
      </c>
      <c r="AH1973" t="str">
        <f t="shared" si="308"/>
        <v/>
      </c>
      <c r="AI1973" t="str">
        <f t="shared" si="309"/>
        <v/>
      </c>
      <c r="AJ1973" t="str">
        <f>LEFT(Table1[[#This Row],[membership_type]],2)&amp;TEXT(Table1[[#This Row],[age]],"00")&amp;"-"&amp;TEXT(ROW(),"000")</f>
        <v>Pr47-1973</v>
      </c>
      <c r="AK1973" t="str">
        <f>LEFT(Table1[[#This Row],[membership_type]],1)&amp;TEXT(MATCH(Table1[[#This Row],[membership_type]],Table1[membership_type],0),"00")</f>
        <v>P01</v>
      </c>
      <c r="AL1973" t="str">
        <f>LEFT(Table1[[#This Row],[discount_type]],1)&amp;TEXT(ROUND(Table1[[#This Row],[discount_rate]]*100,0),"00")</f>
        <v>N00</v>
      </c>
      <c r="AM1973" t="str" cm="1">
        <f t="array" ref="AM1973">TEXT(SUMPRODUCT(CODE(MID(Table1[[#This Row],[home_gym_location]],_xlfn.SEQUENCE(LEN(Table1[[#This Row],[home_gym_location]])),1))),"00000")</f>
        <v>01450</v>
      </c>
      <c r="AN1973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73" t="str">
        <f>LEFT(_xlfn.TEXTBEFORE(Table1[[#This Row],[Location Identifier]],"-"),3) &amp; "-" &amp; _xlfn.TEXTAFTER(Table1[[#This Row],[Location Identifier]],"-")</f>
        <v>SAN-009</v>
      </c>
      <c r="AP1973" s="9">
        <f t="shared" ca="1" si="300"/>
        <v>45869</v>
      </c>
    </row>
    <row r="1974" spans="1:42" x14ac:dyDescent="0.25">
      <c r="A1974">
        <v>42</v>
      </c>
      <c r="B1974" t="s">
        <v>33</v>
      </c>
      <c r="C1974">
        <v>5</v>
      </c>
      <c r="D1974" t="s">
        <v>69</v>
      </c>
      <c r="E1974" t="b">
        <v>1</v>
      </c>
      <c r="F1974" s="1">
        <v>0.50347222222222221</v>
      </c>
      <c r="G1974" s="1">
        <v>0.59305555555555556</v>
      </c>
      <c r="H1974">
        <v>129</v>
      </c>
      <c r="I1974" t="b">
        <v>1</v>
      </c>
      <c r="J1974" t="b">
        <v>1</v>
      </c>
      <c r="K1974" t="b">
        <v>0</v>
      </c>
      <c r="L1974" t="s">
        <v>62</v>
      </c>
      <c r="M1974">
        <v>30</v>
      </c>
      <c r="N1974" t="s">
        <v>29</v>
      </c>
      <c r="O1974">
        <v>30</v>
      </c>
      <c r="P1974" t="s">
        <v>36</v>
      </c>
      <c r="Q1974">
        <v>0</v>
      </c>
      <c r="R1974">
        <v>30</v>
      </c>
      <c r="S1974" t="s">
        <v>37</v>
      </c>
      <c r="T1974" t="s">
        <v>59</v>
      </c>
      <c r="U1974">
        <v>37.774900000000002</v>
      </c>
      <c r="V1974">
        <v>-122.4194</v>
      </c>
      <c r="W1974" s="2">
        <v>45512</v>
      </c>
      <c r="X1974">
        <v>8</v>
      </c>
      <c r="Y1974" t="b">
        <v>0</v>
      </c>
      <c r="Z1974" s="2">
        <v>45843</v>
      </c>
      <c r="AA1974" t="str">
        <f t="shared" si="301"/>
        <v>40–49</v>
      </c>
      <c r="AB1974" t="str">
        <f t="shared" si="302"/>
        <v>40–49</v>
      </c>
      <c r="AC1974" t="str">
        <f t="shared" si="303"/>
        <v>Monday</v>
      </c>
      <c r="AD1974" t="str">
        <f t="shared" si="304"/>
        <v/>
      </c>
      <c r="AE1974" t="str">
        <f t="shared" si="305"/>
        <v>Wednesday</v>
      </c>
      <c r="AF1974" t="str">
        <f t="shared" si="306"/>
        <v>Thursday</v>
      </c>
      <c r="AG1974" t="str">
        <f t="shared" si="307"/>
        <v/>
      </c>
      <c r="AH1974" t="str">
        <f t="shared" si="308"/>
        <v>Saturday</v>
      </c>
      <c r="AI1974" t="str">
        <f t="shared" si="309"/>
        <v>Sunday</v>
      </c>
      <c r="AJ1974" t="str">
        <f>LEFT(Table1[[#This Row],[membership_type]],2)&amp;TEXT(Table1[[#This Row],[age]],"00")&amp;"-"&amp;TEXT(ROW(),"000")</f>
        <v>St42-1974</v>
      </c>
      <c r="AK1974" t="str">
        <f>LEFT(Table1[[#This Row],[membership_type]],1)&amp;TEXT(MATCH(Table1[[#This Row],[membership_type]],Table1[membership_type],0),"00")</f>
        <v>S02</v>
      </c>
      <c r="AL1974" t="str">
        <f>LEFT(Table1[[#This Row],[discount_type]],1)&amp;TEXT(ROUND(Table1[[#This Row],[discount_rate]]*100,0),"00")</f>
        <v>N00</v>
      </c>
      <c r="AM1974" t="str" cm="1">
        <f t="array" ref="AM1974">TEXT(SUMPRODUCT(CODE(MID(Table1[[#This Row],[home_gym_location]],_xlfn.SEQUENCE(LEN(Table1[[#This Row],[home_gym_location]])),1))),"00000")</f>
        <v>01450</v>
      </c>
      <c r="AN1974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74" t="str">
        <f>LEFT(_xlfn.TEXTBEFORE(Table1[[#This Row],[Location Identifier]],"-"),3) &amp; "-" &amp; _xlfn.TEXTAFTER(Table1[[#This Row],[Location Identifier]],"-")</f>
        <v>SAN-009</v>
      </c>
      <c r="AP1974" s="9">
        <f t="shared" ca="1" si="300"/>
        <v>45869</v>
      </c>
    </row>
    <row r="1975" spans="1:42" x14ac:dyDescent="0.25">
      <c r="A1975">
        <v>33</v>
      </c>
      <c r="B1975" t="s">
        <v>42</v>
      </c>
      <c r="C1975">
        <v>4</v>
      </c>
      <c r="D1975" t="s">
        <v>52</v>
      </c>
      <c r="E1975" t="b">
        <v>0</v>
      </c>
      <c r="F1975" s="1">
        <v>0.43333333333333335</v>
      </c>
      <c r="G1975" s="1">
        <v>0.49166666666666664</v>
      </c>
      <c r="H1975">
        <v>84</v>
      </c>
      <c r="I1975" t="b">
        <v>1</v>
      </c>
      <c r="J1975" t="b">
        <v>0</v>
      </c>
      <c r="K1975" t="b">
        <v>0</v>
      </c>
      <c r="L1975" t="s">
        <v>28</v>
      </c>
      <c r="M1975">
        <v>20</v>
      </c>
      <c r="N1975" t="s">
        <v>29</v>
      </c>
      <c r="O1975">
        <v>20</v>
      </c>
      <c r="P1975" t="s">
        <v>40</v>
      </c>
      <c r="Q1975">
        <v>0.1</v>
      </c>
      <c r="R1975">
        <v>18</v>
      </c>
      <c r="S1975" t="s">
        <v>44</v>
      </c>
      <c r="T1975" t="s">
        <v>54</v>
      </c>
      <c r="U1975">
        <v>32.715699999999998</v>
      </c>
      <c r="V1975">
        <v>-117.1611</v>
      </c>
      <c r="W1975" s="2">
        <v>44829</v>
      </c>
      <c r="X1975">
        <v>0</v>
      </c>
      <c r="Y1975" t="b">
        <v>0</v>
      </c>
      <c r="Z1975" s="2">
        <v>45804</v>
      </c>
      <c r="AA1975" t="str">
        <f t="shared" si="301"/>
        <v>30–39</v>
      </c>
      <c r="AB1975" t="str">
        <f t="shared" si="302"/>
        <v>30–39</v>
      </c>
      <c r="AC1975" t="str">
        <f t="shared" si="303"/>
        <v>Monday</v>
      </c>
      <c r="AD1975" t="str">
        <f t="shared" si="304"/>
        <v/>
      </c>
      <c r="AE1975" t="str">
        <f t="shared" si="305"/>
        <v/>
      </c>
      <c r="AF1975" t="str">
        <f t="shared" si="306"/>
        <v>Thursday</v>
      </c>
      <c r="AG1975" t="str">
        <f t="shared" si="307"/>
        <v>Friday</v>
      </c>
      <c r="AH1975" t="str">
        <f t="shared" si="308"/>
        <v/>
      </c>
      <c r="AI1975" t="str">
        <f t="shared" si="309"/>
        <v>Sunday</v>
      </c>
      <c r="AJ1975" t="str">
        <f>LEFT(Table1[[#This Row],[membership_type]],2)&amp;TEXT(Table1[[#This Row],[age]],"00")&amp;"-"&amp;TEXT(ROW(),"000")</f>
        <v>Ba33-1975</v>
      </c>
      <c r="AK1975" t="str">
        <f>LEFT(Table1[[#This Row],[membership_type]],1)&amp;TEXT(MATCH(Table1[[#This Row],[membership_type]],Table1[membership_type],0),"00")</f>
        <v>B04</v>
      </c>
      <c r="AL1975" t="str">
        <f>LEFT(Table1[[#This Row],[discount_type]],1)&amp;TEXT(ROUND(Table1[[#This Row],[discount_rate]]*100,0),"00")</f>
        <v>L10</v>
      </c>
      <c r="AM1975" t="str" cm="1">
        <f t="array" ref="AM1975">TEXT(SUMPRODUCT(CODE(MID(Table1[[#This Row],[home_gym_location]],_xlfn.SEQUENCE(LEN(Table1[[#This Row],[home_gym_location]])),1))),"00000")</f>
        <v>01018</v>
      </c>
      <c r="AN197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75" t="str">
        <f>LEFT(_xlfn.TEXTBEFORE(Table1[[#This Row],[Location Identifier]],"-"),3) &amp; "-" &amp; _xlfn.TEXTAFTER(Table1[[#This Row],[Location Identifier]],"-")</f>
        <v>SAN-008</v>
      </c>
      <c r="AP1975" s="9">
        <f t="shared" ca="1" si="300"/>
        <v>45869</v>
      </c>
    </row>
    <row r="1976" spans="1:42" x14ac:dyDescent="0.25">
      <c r="A1976">
        <v>48</v>
      </c>
      <c r="B1976" t="s">
        <v>26</v>
      </c>
      <c r="C1976">
        <v>4</v>
      </c>
      <c r="D1976" t="s">
        <v>159</v>
      </c>
      <c r="E1976" t="b">
        <v>1</v>
      </c>
      <c r="F1976" s="1">
        <v>0.6694444444444444</v>
      </c>
      <c r="G1976" s="1">
        <v>0.7729166666666667</v>
      </c>
      <c r="H1976">
        <v>149</v>
      </c>
      <c r="I1976" t="b">
        <v>0</v>
      </c>
      <c r="J1976" t="b">
        <v>1</v>
      </c>
      <c r="K1976" t="b">
        <v>0</v>
      </c>
      <c r="L1976" t="s">
        <v>58</v>
      </c>
      <c r="M1976">
        <v>50</v>
      </c>
      <c r="N1976" t="s">
        <v>64</v>
      </c>
      <c r="O1976">
        <v>37.5</v>
      </c>
      <c r="P1976" t="s">
        <v>74</v>
      </c>
      <c r="Q1976">
        <v>0.15</v>
      </c>
      <c r="R1976">
        <v>31.875</v>
      </c>
      <c r="S1976" t="s">
        <v>31</v>
      </c>
      <c r="T1976" t="s">
        <v>65</v>
      </c>
      <c r="U1976">
        <v>33.770099999999999</v>
      </c>
      <c r="V1976">
        <v>-118.19370000000001</v>
      </c>
      <c r="W1976" s="2">
        <v>45554</v>
      </c>
      <c r="X1976">
        <v>8</v>
      </c>
      <c r="Y1976" t="b">
        <v>1</v>
      </c>
      <c r="Z1976" s="2">
        <v>45845</v>
      </c>
      <c r="AA1976" t="str">
        <f t="shared" si="301"/>
        <v>40–49</v>
      </c>
      <c r="AB1976" t="str">
        <f t="shared" si="302"/>
        <v>40–49</v>
      </c>
      <c r="AC1976" t="str">
        <f t="shared" si="303"/>
        <v>Monday</v>
      </c>
      <c r="AD1976" t="str">
        <f t="shared" si="304"/>
        <v>Tuesday</v>
      </c>
      <c r="AE1976" t="str">
        <f t="shared" si="305"/>
        <v/>
      </c>
      <c r="AF1976" t="str">
        <f t="shared" si="306"/>
        <v>Thursday</v>
      </c>
      <c r="AG1976" t="str">
        <f t="shared" si="307"/>
        <v/>
      </c>
      <c r="AH1976" t="str">
        <f t="shared" si="308"/>
        <v/>
      </c>
      <c r="AI1976" t="str">
        <f t="shared" si="309"/>
        <v>Sunday</v>
      </c>
      <c r="AJ1976" t="str">
        <f>LEFT(Table1[[#This Row],[membership_type]],2)&amp;TEXT(Table1[[#This Row],[age]],"00")&amp;"-"&amp;TEXT(ROW(),"000")</f>
        <v>Pr48-1976</v>
      </c>
      <c r="AK1976" t="str">
        <f>LEFT(Table1[[#This Row],[membership_type]],1)&amp;TEXT(MATCH(Table1[[#This Row],[membership_type]],Table1[membership_type],0),"00")</f>
        <v>P01</v>
      </c>
      <c r="AL1976" t="str">
        <f>LEFT(Table1[[#This Row],[discount_type]],1)&amp;TEXT(ROUND(Table1[[#This Row],[discount_rate]]*100,0),"00")</f>
        <v>S15</v>
      </c>
      <c r="AM1976" t="str" cm="1">
        <f t="array" ref="AM1976">TEXT(SUMPRODUCT(CODE(MID(Table1[[#This Row],[home_gym_location]],_xlfn.SEQUENCE(LEN(Table1[[#This Row],[home_gym_location]])),1))),"00000")</f>
        <v>01107</v>
      </c>
      <c r="AN1976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76" t="str">
        <f>LEFT(_xlfn.TEXTBEFORE(Table1[[#This Row],[Location Identifier]],"-"),3) &amp; "-" &amp; _xlfn.TEXTAFTER(Table1[[#This Row],[Location Identifier]],"-")</f>
        <v>LON-004</v>
      </c>
      <c r="AP1976" s="9">
        <f t="shared" ca="1" si="300"/>
        <v>45869</v>
      </c>
    </row>
    <row r="1977" spans="1:42" x14ac:dyDescent="0.25">
      <c r="A1977">
        <v>47</v>
      </c>
      <c r="B1977" t="s">
        <v>26</v>
      </c>
      <c r="C1977">
        <v>2</v>
      </c>
      <c r="D1977" t="s">
        <v>116</v>
      </c>
      <c r="E1977" t="b">
        <v>0</v>
      </c>
      <c r="F1977" s="1">
        <v>0.70486111111111116</v>
      </c>
      <c r="G1977" s="1">
        <v>0.80069444444444449</v>
      </c>
      <c r="H1977">
        <v>138</v>
      </c>
      <c r="I1977" t="b">
        <v>1</v>
      </c>
      <c r="J1977" t="b">
        <v>0</v>
      </c>
      <c r="K1977" t="b">
        <v>1</v>
      </c>
      <c r="L1977" t="s">
        <v>62</v>
      </c>
      <c r="M1977">
        <v>50</v>
      </c>
      <c r="N1977" t="s">
        <v>29</v>
      </c>
      <c r="O1977">
        <v>50</v>
      </c>
      <c r="P1977" t="s">
        <v>36</v>
      </c>
      <c r="Q1977">
        <v>0</v>
      </c>
      <c r="R1977">
        <v>50</v>
      </c>
      <c r="S1977" t="s">
        <v>31</v>
      </c>
      <c r="T1977" t="s">
        <v>65</v>
      </c>
      <c r="U1977">
        <v>33.770099999999999</v>
      </c>
      <c r="V1977">
        <v>-118.19370000000001</v>
      </c>
      <c r="W1977" s="2">
        <v>45373</v>
      </c>
      <c r="X1977">
        <v>0</v>
      </c>
      <c r="Y1977" t="b">
        <v>1</v>
      </c>
      <c r="Z1977" s="2">
        <v>45835</v>
      </c>
      <c r="AA1977" t="str">
        <f t="shared" si="301"/>
        <v>40–49</v>
      </c>
      <c r="AB1977" t="str">
        <f t="shared" si="302"/>
        <v>40–49</v>
      </c>
      <c r="AC1977" t="str">
        <f t="shared" si="303"/>
        <v/>
      </c>
      <c r="AD1977" t="str">
        <f t="shared" si="304"/>
        <v/>
      </c>
      <c r="AE1977" t="str">
        <f t="shared" si="305"/>
        <v/>
      </c>
      <c r="AF1977" t="str">
        <f t="shared" si="306"/>
        <v>Thursday</v>
      </c>
      <c r="AG1977" t="str">
        <f t="shared" si="307"/>
        <v/>
      </c>
      <c r="AH1977" t="str">
        <f t="shared" si="308"/>
        <v/>
      </c>
      <c r="AI1977" t="str">
        <f t="shared" si="309"/>
        <v>Sunday</v>
      </c>
      <c r="AJ1977" t="str">
        <f>LEFT(Table1[[#This Row],[membership_type]],2)&amp;TEXT(Table1[[#This Row],[age]],"00")&amp;"-"&amp;TEXT(ROW(),"000")</f>
        <v>Pr47-1977</v>
      </c>
      <c r="AK1977" t="str">
        <f>LEFT(Table1[[#This Row],[membership_type]],1)&amp;TEXT(MATCH(Table1[[#This Row],[membership_type]],Table1[membership_type],0),"00")</f>
        <v>P01</v>
      </c>
      <c r="AL1977" t="str">
        <f>LEFT(Table1[[#This Row],[discount_type]],1)&amp;TEXT(ROUND(Table1[[#This Row],[discount_rate]]*100,0),"00")</f>
        <v>N00</v>
      </c>
      <c r="AM1977" t="str" cm="1">
        <f t="array" ref="AM1977">TEXT(SUMPRODUCT(CODE(MID(Table1[[#This Row],[home_gym_location]],_xlfn.SEQUENCE(LEN(Table1[[#This Row],[home_gym_location]])),1))),"00000")</f>
        <v>01107</v>
      </c>
      <c r="AN1977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77" t="str">
        <f>LEFT(_xlfn.TEXTBEFORE(Table1[[#This Row],[Location Identifier]],"-"),3) &amp; "-" &amp; _xlfn.TEXTAFTER(Table1[[#This Row],[Location Identifier]],"-")</f>
        <v>LON-004</v>
      </c>
      <c r="AP1977" s="9">
        <f t="shared" ca="1" si="300"/>
        <v>45869</v>
      </c>
    </row>
    <row r="1978" spans="1:42" x14ac:dyDescent="0.25">
      <c r="A1978">
        <v>40</v>
      </c>
      <c r="B1978" t="s">
        <v>33</v>
      </c>
      <c r="C1978">
        <v>3</v>
      </c>
      <c r="D1978" t="s">
        <v>55</v>
      </c>
      <c r="E1978" t="b">
        <v>1</v>
      </c>
      <c r="F1978" s="1">
        <v>0.71180555555555558</v>
      </c>
      <c r="G1978" s="1">
        <v>0.81874999999999998</v>
      </c>
      <c r="H1978">
        <v>154</v>
      </c>
      <c r="I1978" t="b">
        <v>0</v>
      </c>
      <c r="J1978" t="b">
        <v>1</v>
      </c>
      <c r="K1978" t="b">
        <v>0</v>
      </c>
      <c r="L1978" t="s">
        <v>28</v>
      </c>
      <c r="M1978">
        <v>30</v>
      </c>
      <c r="N1978" t="s">
        <v>29</v>
      </c>
      <c r="O1978">
        <v>30</v>
      </c>
      <c r="P1978" t="s">
        <v>36</v>
      </c>
      <c r="Q1978">
        <v>0</v>
      </c>
      <c r="R1978">
        <v>30</v>
      </c>
      <c r="S1978" t="s">
        <v>37</v>
      </c>
      <c r="T1978" t="s">
        <v>38</v>
      </c>
      <c r="U1978">
        <v>36.7378</v>
      </c>
      <c r="V1978">
        <v>-119.7871</v>
      </c>
      <c r="W1978" s="2">
        <v>44901</v>
      </c>
      <c r="X1978">
        <v>3</v>
      </c>
      <c r="Y1978" t="b">
        <v>0</v>
      </c>
      <c r="Z1978" s="2">
        <v>45808</v>
      </c>
      <c r="AA1978" t="str">
        <f t="shared" si="301"/>
        <v>40–49</v>
      </c>
      <c r="AB1978" t="str">
        <f t="shared" si="302"/>
        <v>40–49</v>
      </c>
      <c r="AC1978" t="str">
        <f t="shared" si="303"/>
        <v/>
      </c>
      <c r="AD1978" t="str">
        <f t="shared" si="304"/>
        <v/>
      </c>
      <c r="AE1978" t="str">
        <f t="shared" si="305"/>
        <v/>
      </c>
      <c r="AF1978" t="str">
        <f t="shared" si="306"/>
        <v>Thursday</v>
      </c>
      <c r="AG1978" t="str">
        <f t="shared" si="307"/>
        <v>Friday</v>
      </c>
      <c r="AH1978" t="str">
        <f t="shared" si="308"/>
        <v/>
      </c>
      <c r="AI1978" t="str">
        <f t="shared" si="309"/>
        <v>Sunday</v>
      </c>
      <c r="AJ1978" t="str">
        <f>LEFT(Table1[[#This Row],[membership_type]],2)&amp;TEXT(Table1[[#This Row],[age]],"00")&amp;"-"&amp;TEXT(ROW(),"000")</f>
        <v>St40-1978</v>
      </c>
      <c r="AK1978" t="str">
        <f>LEFT(Table1[[#This Row],[membership_type]],1)&amp;TEXT(MATCH(Table1[[#This Row],[membership_type]],Table1[membership_type],0),"00")</f>
        <v>S02</v>
      </c>
      <c r="AL1978" t="str">
        <f>LEFT(Table1[[#This Row],[discount_type]],1)&amp;TEXT(ROUND(Table1[[#This Row],[discount_rate]]*100,0),"00")</f>
        <v>N00</v>
      </c>
      <c r="AM1978" t="str" cm="1">
        <f t="array" ref="AM1978">TEXT(SUMPRODUCT(CODE(MID(Table1[[#This Row],[home_gym_location]],_xlfn.SEQUENCE(LEN(Table1[[#This Row],[home_gym_location]])),1))),"00000")</f>
        <v>00829</v>
      </c>
      <c r="AN1978" t="str">
        <f>UPPER(_xlfn.TEXTBEFORE(Table1[[#This Row],[home_gym_location]],","))&amp;"-"&amp;TEXT(MATCH(Table1[[#This Row],[home_gym_location]],_xlfn._xlws.SORT(_xlfn.UNIQUE(Table1[home_gym_location])),0),"000")</f>
        <v>FRESNO-003</v>
      </c>
      <c r="AO1978" t="str">
        <f>LEFT(_xlfn.TEXTBEFORE(Table1[[#This Row],[Location Identifier]],"-"),3) &amp; "-" &amp; _xlfn.TEXTAFTER(Table1[[#This Row],[Location Identifier]],"-")</f>
        <v>FRE-003</v>
      </c>
      <c r="AP1978" s="9">
        <f t="shared" ca="1" si="300"/>
        <v>45869</v>
      </c>
    </row>
    <row r="1979" spans="1:42" x14ac:dyDescent="0.25">
      <c r="A1979">
        <v>29</v>
      </c>
      <c r="B1979" t="s">
        <v>51</v>
      </c>
      <c r="C1979">
        <v>3</v>
      </c>
      <c r="D1979" t="s">
        <v>83</v>
      </c>
      <c r="E1979" t="b">
        <v>0</v>
      </c>
      <c r="F1979" s="1">
        <v>0.43611111111111112</v>
      </c>
      <c r="G1979" s="1">
        <v>0.48333333333333334</v>
      </c>
      <c r="H1979">
        <v>68</v>
      </c>
      <c r="I1979" t="b">
        <v>0</v>
      </c>
      <c r="J1979" t="b">
        <v>1</v>
      </c>
      <c r="K1979" t="b">
        <v>1</v>
      </c>
      <c r="L1979" t="s">
        <v>28</v>
      </c>
      <c r="M1979">
        <v>70</v>
      </c>
      <c r="N1979" t="s">
        <v>29</v>
      </c>
      <c r="O1979">
        <v>70</v>
      </c>
      <c r="P1979" t="s">
        <v>36</v>
      </c>
      <c r="Q1979">
        <v>0</v>
      </c>
      <c r="R1979">
        <v>70</v>
      </c>
      <c r="S1979" t="s">
        <v>53</v>
      </c>
      <c r="T1979" t="s">
        <v>59</v>
      </c>
      <c r="U1979">
        <v>37.774900000000002</v>
      </c>
      <c r="V1979">
        <v>-122.4194</v>
      </c>
      <c r="W1979" s="2">
        <v>44934</v>
      </c>
      <c r="X1979">
        <v>7</v>
      </c>
      <c r="Y1979" t="b">
        <v>1</v>
      </c>
      <c r="Z1979" s="2">
        <v>45810</v>
      </c>
      <c r="AA1979" t="str">
        <f t="shared" si="301"/>
        <v>20–29</v>
      </c>
      <c r="AB1979" t="str">
        <f t="shared" si="302"/>
        <v>20–29</v>
      </c>
      <c r="AC1979" t="str">
        <f t="shared" si="303"/>
        <v/>
      </c>
      <c r="AD1979" t="str">
        <f t="shared" si="304"/>
        <v>Tuesday</v>
      </c>
      <c r="AE1979" t="str">
        <f t="shared" si="305"/>
        <v>Wednesday</v>
      </c>
      <c r="AF1979" t="str">
        <f t="shared" si="306"/>
        <v/>
      </c>
      <c r="AG1979" t="str">
        <f t="shared" si="307"/>
        <v/>
      </c>
      <c r="AH1979" t="str">
        <f t="shared" si="308"/>
        <v>Saturday</v>
      </c>
      <c r="AI1979" t="str">
        <f t="shared" si="309"/>
        <v/>
      </c>
      <c r="AJ1979" t="str">
        <f>LEFT(Table1[[#This Row],[membership_type]],2)&amp;TEXT(Table1[[#This Row],[age]],"00")&amp;"-"&amp;TEXT(ROW(),"000")</f>
        <v>El29-1979</v>
      </c>
      <c r="AK1979" t="str">
        <f>LEFT(Table1[[#This Row],[membership_type]],1)&amp;TEXT(MATCH(Table1[[#This Row],[membership_type]],Table1[membership_type],0),"00")</f>
        <v>E07</v>
      </c>
      <c r="AL1979" t="str">
        <f>LEFT(Table1[[#This Row],[discount_type]],1)&amp;TEXT(ROUND(Table1[[#This Row],[discount_rate]]*100,0),"00")</f>
        <v>N00</v>
      </c>
      <c r="AM1979" t="str" cm="1">
        <f t="array" ref="AM1979">TEXT(SUMPRODUCT(CODE(MID(Table1[[#This Row],[home_gym_location]],_xlfn.SEQUENCE(LEN(Table1[[#This Row],[home_gym_location]])),1))),"00000")</f>
        <v>01450</v>
      </c>
      <c r="AN1979" t="str">
        <f>UPPER(_xlfn.TEXTBEFORE(Table1[[#This Row],[home_gym_location]],","))&amp;"-"&amp;TEXT(MATCH(Table1[[#This Row],[home_gym_location]],_xlfn._xlws.SORT(_xlfn.UNIQUE(Table1[home_gym_location])),0),"000")</f>
        <v>SAN FRANCISCO-009</v>
      </c>
      <c r="AO1979" t="str">
        <f>LEFT(_xlfn.TEXTBEFORE(Table1[[#This Row],[Location Identifier]],"-"),3) &amp; "-" &amp; _xlfn.TEXTAFTER(Table1[[#This Row],[Location Identifier]],"-")</f>
        <v>SAN-009</v>
      </c>
      <c r="AP1979" s="9">
        <f t="shared" ca="1" si="300"/>
        <v>45869</v>
      </c>
    </row>
    <row r="1980" spans="1:42" x14ac:dyDescent="0.25">
      <c r="A1980">
        <v>28</v>
      </c>
      <c r="B1980" t="s">
        <v>33</v>
      </c>
      <c r="C1980">
        <v>5</v>
      </c>
      <c r="D1980" t="s">
        <v>152</v>
      </c>
      <c r="E1980" t="b">
        <v>0</v>
      </c>
      <c r="F1980" s="1">
        <v>0.62013888888888891</v>
      </c>
      <c r="G1980" s="1">
        <v>0.70347222222222228</v>
      </c>
      <c r="H1980">
        <v>120</v>
      </c>
      <c r="I1980" t="b">
        <v>1</v>
      </c>
      <c r="J1980" t="b">
        <v>0</v>
      </c>
      <c r="K1980" t="b">
        <v>0</v>
      </c>
      <c r="L1980" t="s">
        <v>62</v>
      </c>
      <c r="M1980">
        <v>30</v>
      </c>
      <c r="N1980" t="s">
        <v>29</v>
      </c>
      <c r="O1980">
        <v>30</v>
      </c>
      <c r="P1980" t="s">
        <v>36</v>
      </c>
      <c r="Q1980">
        <v>0</v>
      </c>
      <c r="R1980">
        <v>30</v>
      </c>
      <c r="S1980" t="s">
        <v>37</v>
      </c>
      <c r="T1980" t="s">
        <v>45</v>
      </c>
      <c r="U1980">
        <v>33.836599999999997</v>
      </c>
      <c r="V1980">
        <v>-117.9143</v>
      </c>
      <c r="W1980" s="2">
        <v>45632</v>
      </c>
      <c r="X1980">
        <v>0</v>
      </c>
      <c r="Y1980" t="b">
        <v>1</v>
      </c>
      <c r="Z1980" s="2">
        <v>45849</v>
      </c>
      <c r="AA1980" t="str">
        <f t="shared" si="301"/>
        <v>20–29</v>
      </c>
      <c r="AB1980" t="str">
        <f t="shared" si="302"/>
        <v>20–29</v>
      </c>
      <c r="AC1980" t="str">
        <f t="shared" si="303"/>
        <v>Monday</v>
      </c>
      <c r="AD1980" t="str">
        <f t="shared" si="304"/>
        <v>Tuesday</v>
      </c>
      <c r="AE1980" t="str">
        <f t="shared" si="305"/>
        <v>Wednesday</v>
      </c>
      <c r="AF1980" t="str">
        <f t="shared" si="306"/>
        <v/>
      </c>
      <c r="AG1980" t="str">
        <f t="shared" si="307"/>
        <v>Friday</v>
      </c>
      <c r="AH1980" t="str">
        <f t="shared" si="308"/>
        <v>Saturday</v>
      </c>
      <c r="AI1980" t="str">
        <f t="shared" si="309"/>
        <v/>
      </c>
      <c r="AJ1980" t="str">
        <f>LEFT(Table1[[#This Row],[membership_type]],2)&amp;TEXT(Table1[[#This Row],[age]],"00")&amp;"-"&amp;TEXT(ROW(),"000")</f>
        <v>St28-1980</v>
      </c>
      <c r="AK1980" t="str">
        <f>LEFT(Table1[[#This Row],[membership_type]],1)&amp;TEXT(MATCH(Table1[[#This Row],[membership_type]],Table1[membership_type],0),"00")</f>
        <v>S02</v>
      </c>
      <c r="AL1980" t="str">
        <f>LEFT(Table1[[#This Row],[discount_type]],1)&amp;TEXT(ROUND(Table1[[#This Row],[discount_rate]]*100,0),"00")</f>
        <v>N00</v>
      </c>
      <c r="AM1980" t="str" cm="1">
        <f t="array" ref="AM1980">TEXT(SUMPRODUCT(CODE(MID(Table1[[#This Row],[home_gym_location]],_xlfn.SEQUENCE(LEN(Table1[[#This Row],[home_gym_location]])),1))),"00000")</f>
        <v>00899</v>
      </c>
      <c r="AN1980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80" t="str">
        <f>LEFT(_xlfn.TEXTBEFORE(Table1[[#This Row],[Location Identifier]],"-"),3) &amp; "-" &amp; _xlfn.TEXTAFTER(Table1[[#This Row],[Location Identifier]],"-")</f>
        <v>ANA-001</v>
      </c>
      <c r="AP1980" s="9">
        <f t="shared" ca="1" si="300"/>
        <v>45869</v>
      </c>
    </row>
    <row r="1981" spans="1:42" x14ac:dyDescent="0.25">
      <c r="A1981">
        <v>18</v>
      </c>
      <c r="B1981" t="s">
        <v>26</v>
      </c>
      <c r="C1981">
        <v>3</v>
      </c>
      <c r="D1981" t="s">
        <v>124</v>
      </c>
      <c r="E1981" t="b">
        <v>1</v>
      </c>
      <c r="F1981" s="1">
        <v>0.48680555555555555</v>
      </c>
      <c r="G1981" s="1">
        <v>0.54722222222222228</v>
      </c>
      <c r="H1981">
        <v>87</v>
      </c>
      <c r="I1981" t="b">
        <v>0</v>
      </c>
      <c r="J1981" t="b">
        <v>0</v>
      </c>
      <c r="K1981" t="b">
        <v>0</v>
      </c>
      <c r="L1981" t="s">
        <v>28</v>
      </c>
      <c r="M1981">
        <v>50</v>
      </c>
      <c r="N1981" t="s">
        <v>64</v>
      </c>
      <c r="O1981">
        <v>37.5</v>
      </c>
      <c r="P1981" t="s">
        <v>74</v>
      </c>
      <c r="Q1981">
        <v>0.15</v>
      </c>
      <c r="R1981">
        <v>31.875</v>
      </c>
      <c r="S1981" t="s">
        <v>31</v>
      </c>
      <c r="T1981" t="s">
        <v>41</v>
      </c>
      <c r="U1981">
        <v>37.804400000000001</v>
      </c>
      <c r="V1981">
        <v>-122.27119999999999</v>
      </c>
      <c r="W1981" s="2">
        <v>44976</v>
      </c>
      <c r="X1981">
        <v>0</v>
      </c>
      <c r="Y1981" t="b">
        <v>1</v>
      </c>
      <c r="Z1981" s="2">
        <v>45812</v>
      </c>
      <c r="AA1981" t="str">
        <f t="shared" si="301"/>
        <v>10–19</v>
      </c>
      <c r="AB1981" t="str">
        <f t="shared" si="302"/>
        <v>16–19</v>
      </c>
      <c r="AC1981" t="str">
        <f t="shared" si="303"/>
        <v>Monday</v>
      </c>
      <c r="AD1981" t="str">
        <f t="shared" si="304"/>
        <v/>
      </c>
      <c r="AE1981" t="str">
        <f t="shared" si="305"/>
        <v/>
      </c>
      <c r="AF1981" t="str">
        <f t="shared" si="306"/>
        <v>Thursday</v>
      </c>
      <c r="AG1981" t="str">
        <f t="shared" si="307"/>
        <v>Friday</v>
      </c>
      <c r="AH1981" t="str">
        <f t="shared" si="308"/>
        <v/>
      </c>
      <c r="AI1981" t="str">
        <f t="shared" si="309"/>
        <v/>
      </c>
      <c r="AJ1981" t="str">
        <f>LEFT(Table1[[#This Row],[membership_type]],2)&amp;TEXT(Table1[[#This Row],[age]],"00")&amp;"-"&amp;TEXT(ROW(),"000")</f>
        <v>Pr18-1981</v>
      </c>
      <c r="AK1981" t="str">
        <f>LEFT(Table1[[#This Row],[membership_type]],1)&amp;TEXT(MATCH(Table1[[#This Row],[membership_type]],Table1[membership_type],0),"00")</f>
        <v>P01</v>
      </c>
      <c r="AL1981" t="str">
        <f>LEFT(Table1[[#This Row],[discount_type]],1)&amp;TEXT(ROUND(Table1[[#This Row],[discount_rate]]*100,0),"00")</f>
        <v>S15</v>
      </c>
      <c r="AM1981" t="str" cm="1">
        <f t="array" ref="AM1981">TEXT(SUMPRODUCT(CODE(MID(Table1[[#This Row],[home_gym_location]],_xlfn.SEQUENCE(LEN(Table1[[#This Row],[home_gym_location]])),1))),"00000")</f>
        <v>00906</v>
      </c>
      <c r="AN1981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81" t="str">
        <f>LEFT(_xlfn.TEXTBEFORE(Table1[[#This Row],[Location Identifier]],"-"),3) &amp; "-" &amp; _xlfn.TEXTAFTER(Table1[[#This Row],[Location Identifier]],"-")</f>
        <v>OAK-006</v>
      </c>
      <c r="AP1981" s="9">
        <f t="shared" ca="1" si="300"/>
        <v>45869</v>
      </c>
    </row>
    <row r="1982" spans="1:42" x14ac:dyDescent="0.25">
      <c r="A1982">
        <v>16</v>
      </c>
      <c r="B1982" t="s">
        <v>26</v>
      </c>
      <c r="C1982">
        <v>3</v>
      </c>
      <c r="D1982" t="s">
        <v>117</v>
      </c>
      <c r="E1982" t="b">
        <v>1</v>
      </c>
      <c r="F1982" s="1">
        <v>0.53125</v>
      </c>
      <c r="G1982" s="1">
        <v>0.61250000000000004</v>
      </c>
      <c r="H1982">
        <v>117</v>
      </c>
      <c r="I1982" t="b">
        <v>1</v>
      </c>
      <c r="J1982" t="b">
        <v>1</v>
      </c>
      <c r="K1982" t="b">
        <v>0</v>
      </c>
      <c r="L1982" t="s">
        <v>35</v>
      </c>
      <c r="M1982">
        <v>50</v>
      </c>
      <c r="N1982" t="s">
        <v>29</v>
      </c>
      <c r="O1982">
        <v>50</v>
      </c>
      <c r="P1982" t="s">
        <v>36</v>
      </c>
      <c r="Q1982">
        <v>0</v>
      </c>
      <c r="R1982">
        <v>50</v>
      </c>
      <c r="S1982" t="s">
        <v>31</v>
      </c>
      <c r="T1982" t="s">
        <v>41</v>
      </c>
      <c r="U1982">
        <v>37.804400000000001</v>
      </c>
      <c r="V1982">
        <v>-122.27119999999999</v>
      </c>
      <c r="W1982" s="2">
        <v>45343</v>
      </c>
      <c r="X1982">
        <v>6</v>
      </c>
      <c r="Y1982" t="b">
        <v>1</v>
      </c>
      <c r="Z1982" s="2">
        <v>45833</v>
      </c>
      <c r="AA1982" t="str">
        <f t="shared" si="301"/>
        <v>10–19</v>
      </c>
      <c r="AB1982" t="str">
        <f t="shared" si="302"/>
        <v>16–19</v>
      </c>
      <c r="AC1982" t="str">
        <f t="shared" si="303"/>
        <v/>
      </c>
      <c r="AD1982" t="str">
        <f t="shared" si="304"/>
        <v/>
      </c>
      <c r="AE1982" t="str">
        <f t="shared" si="305"/>
        <v>Wednesday</v>
      </c>
      <c r="AF1982" t="str">
        <f t="shared" si="306"/>
        <v>Thursday</v>
      </c>
      <c r="AG1982" t="str">
        <f t="shared" si="307"/>
        <v/>
      </c>
      <c r="AH1982" t="str">
        <f t="shared" si="308"/>
        <v/>
      </c>
      <c r="AI1982" t="str">
        <f t="shared" si="309"/>
        <v>Sunday</v>
      </c>
      <c r="AJ1982" t="str">
        <f>LEFT(Table1[[#This Row],[membership_type]],2)&amp;TEXT(Table1[[#This Row],[age]],"00")&amp;"-"&amp;TEXT(ROW(),"000")</f>
        <v>Pr16-1982</v>
      </c>
      <c r="AK1982" t="str">
        <f>LEFT(Table1[[#This Row],[membership_type]],1)&amp;TEXT(MATCH(Table1[[#This Row],[membership_type]],Table1[membership_type],0),"00")</f>
        <v>P01</v>
      </c>
      <c r="AL1982" t="str">
        <f>LEFT(Table1[[#This Row],[discount_type]],1)&amp;TEXT(ROUND(Table1[[#This Row],[discount_rate]]*100,0),"00")</f>
        <v>N00</v>
      </c>
      <c r="AM1982" t="str" cm="1">
        <f t="array" ref="AM1982">TEXT(SUMPRODUCT(CODE(MID(Table1[[#This Row],[home_gym_location]],_xlfn.SEQUENCE(LEN(Table1[[#This Row],[home_gym_location]])),1))),"00000")</f>
        <v>00906</v>
      </c>
      <c r="AN1982" t="str">
        <f>UPPER(_xlfn.TEXTBEFORE(Table1[[#This Row],[home_gym_location]],","))&amp;"-"&amp;TEXT(MATCH(Table1[[#This Row],[home_gym_location]],_xlfn._xlws.SORT(_xlfn.UNIQUE(Table1[home_gym_location])),0),"000")</f>
        <v>OAKLAND-006</v>
      </c>
      <c r="AO1982" t="str">
        <f>LEFT(_xlfn.TEXTBEFORE(Table1[[#This Row],[Location Identifier]],"-"),3) &amp; "-" &amp; _xlfn.TEXTAFTER(Table1[[#This Row],[Location Identifier]],"-")</f>
        <v>OAK-006</v>
      </c>
      <c r="AP1982" s="9">
        <f t="shared" ca="1" si="300"/>
        <v>45869</v>
      </c>
    </row>
    <row r="1983" spans="1:42" x14ac:dyDescent="0.25">
      <c r="A1983">
        <v>12</v>
      </c>
      <c r="B1983" t="s">
        <v>42</v>
      </c>
      <c r="C1983">
        <v>5</v>
      </c>
      <c r="D1983" t="s">
        <v>69</v>
      </c>
      <c r="E1983" t="b">
        <v>1</v>
      </c>
      <c r="F1983" s="1">
        <v>0.4</v>
      </c>
      <c r="G1983" s="1">
        <v>0.50624999999999998</v>
      </c>
      <c r="H1983">
        <v>153</v>
      </c>
      <c r="I1983" t="b">
        <v>1</v>
      </c>
      <c r="J1983" t="b">
        <v>1</v>
      </c>
      <c r="K1983" t="b">
        <v>1</v>
      </c>
      <c r="L1983" t="s">
        <v>28</v>
      </c>
      <c r="M1983">
        <v>20</v>
      </c>
      <c r="N1983" t="s">
        <v>29</v>
      </c>
      <c r="O1983">
        <v>20</v>
      </c>
      <c r="P1983" t="s">
        <v>74</v>
      </c>
      <c r="Q1983">
        <v>0.15</v>
      </c>
      <c r="R1983">
        <v>17</v>
      </c>
      <c r="S1983" t="s">
        <v>44</v>
      </c>
      <c r="T1983" t="s">
        <v>48</v>
      </c>
      <c r="U1983">
        <v>38.581600000000002</v>
      </c>
      <c r="V1983">
        <v>-121.4944</v>
      </c>
      <c r="W1983" s="2">
        <v>45316</v>
      </c>
      <c r="X1983">
        <v>3</v>
      </c>
      <c r="Y1983" t="b">
        <v>0</v>
      </c>
      <c r="Z1983" s="2">
        <v>45832</v>
      </c>
      <c r="AA1983" t="str">
        <f t="shared" si="301"/>
        <v>10–19</v>
      </c>
      <c r="AB1983" t="str">
        <f t="shared" si="302"/>
        <v>Under 16</v>
      </c>
      <c r="AC1983" t="str">
        <f t="shared" si="303"/>
        <v>Monday</v>
      </c>
      <c r="AD1983" t="str">
        <f t="shared" si="304"/>
        <v/>
      </c>
      <c r="AE1983" t="str">
        <f t="shared" si="305"/>
        <v>Wednesday</v>
      </c>
      <c r="AF1983" t="str">
        <f t="shared" si="306"/>
        <v>Thursday</v>
      </c>
      <c r="AG1983" t="str">
        <f t="shared" si="307"/>
        <v/>
      </c>
      <c r="AH1983" t="str">
        <f t="shared" si="308"/>
        <v>Saturday</v>
      </c>
      <c r="AI1983" t="str">
        <f t="shared" si="309"/>
        <v>Sunday</v>
      </c>
      <c r="AJ1983" t="str">
        <f>LEFT(Table1[[#This Row],[membership_type]],2)&amp;TEXT(Table1[[#This Row],[age]],"00")&amp;"-"&amp;TEXT(ROW(),"000")</f>
        <v>Ba12-1983</v>
      </c>
      <c r="AK1983" t="str">
        <f>LEFT(Table1[[#This Row],[membership_type]],1)&amp;TEXT(MATCH(Table1[[#This Row],[membership_type]],Table1[membership_type],0),"00")</f>
        <v>B04</v>
      </c>
      <c r="AL1983" t="str">
        <f>LEFT(Table1[[#This Row],[discount_type]],1)&amp;TEXT(ROUND(Table1[[#This Row],[discount_rate]]*100,0),"00")</f>
        <v>S15</v>
      </c>
      <c r="AM1983" t="str" cm="1">
        <f t="array" ref="AM1983">TEXT(SUMPRODUCT(CODE(MID(Table1[[#This Row],[home_gym_location]],_xlfn.SEQUENCE(LEN(Table1[[#This Row],[home_gym_location]])),1))),"00000")</f>
        <v>01245</v>
      </c>
      <c r="AN1983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83" t="str">
        <f>LEFT(_xlfn.TEXTBEFORE(Table1[[#This Row],[Location Identifier]],"-"),3) &amp; "-" &amp; _xlfn.TEXTAFTER(Table1[[#This Row],[Location Identifier]],"-")</f>
        <v>SAC-007</v>
      </c>
      <c r="AP1983" s="9">
        <f t="shared" ca="1" si="300"/>
        <v>45869</v>
      </c>
    </row>
    <row r="1984" spans="1:42" x14ac:dyDescent="0.25">
      <c r="A1984">
        <v>42</v>
      </c>
      <c r="B1984" t="s">
        <v>42</v>
      </c>
      <c r="C1984">
        <v>3</v>
      </c>
      <c r="D1984" t="s">
        <v>91</v>
      </c>
      <c r="E1984" t="b">
        <v>0</v>
      </c>
      <c r="F1984" s="1">
        <v>0.68055555555555558</v>
      </c>
      <c r="G1984" s="1">
        <v>0.72222222222222221</v>
      </c>
      <c r="H1984">
        <v>60</v>
      </c>
      <c r="I1984" t="b">
        <v>1</v>
      </c>
      <c r="J1984" t="b">
        <v>1</v>
      </c>
      <c r="K1984" t="b">
        <v>0</v>
      </c>
      <c r="L1984" t="s">
        <v>28</v>
      </c>
      <c r="M1984">
        <v>20</v>
      </c>
      <c r="N1984" t="s">
        <v>29</v>
      </c>
      <c r="O1984">
        <v>20</v>
      </c>
      <c r="P1984" t="s">
        <v>30</v>
      </c>
      <c r="Q1984">
        <v>0.05</v>
      </c>
      <c r="R1984">
        <v>19</v>
      </c>
      <c r="S1984" t="s">
        <v>44</v>
      </c>
      <c r="T1984" t="s">
        <v>32</v>
      </c>
      <c r="U1984">
        <v>37.338200000000001</v>
      </c>
      <c r="V1984">
        <v>-121.88630000000001</v>
      </c>
      <c r="W1984" s="2">
        <v>45688</v>
      </c>
      <c r="X1984">
        <v>3</v>
      </c>
      <c r="Y1984" t="b">
        <v>0</v>
      </c>
      <c r="Z1984" s="2">
        <v>45852</v>
      </c>
      <c r="AA1984" t="str">
        <f t="shared" si="301"/>
        <v>40–49</v>
      </c>
      <c r="AB1984" t="str">
        <f t="shared" si="302"/>
        <v>40–49</v>
      </c>
      <c r="AC1984" t="str">
        <f t="shared" si="303"/>
        <v>Monday</v>
      </c>
      <c r="AD1984" t="str">
        <f t="shared" si="304"/>
        <v/>
      </c>
      <c r="AE1984" t="str">
        <f t="shared" si="305"/>
        <v/>
      </c>
      <c r="AF1984" t="str">
        <f t="shared" si="306"/>
        <v>Thursday</v>
      </c>
      <c r="AG1984" t="str">
        <f t="shared" si="307"/>
        <v/>
      </c>
      <c r="AH1984" t="str">
        <f t="shared" si="308"/>
        <v>Saturday</v>
      </c>
      <c r="AI1984" t="str">
        <f t="shared" si="309"/>
        <v/>
      </c>
      <c r="AJ1984" t="str">
        <f>LEFT(Table1[[#This Row],[membership_type]],2)&amp;TEXT(Table1[[#This Row],[age]],"00")&amp;"-"&amp;TEXT(ROW(),"000")</f>
        <v>Ba42-1984</v>
      </c>
      <c r="AK1984" t="str">
        <f>LEFT(Table1[[#This Row],[membership_type]],1)&amp;TEXT(MATCH(Table1[[#This Row],[membership_type]],Table1[membership_type],0),"00")</f>
        <v>B04</v>
      </c>
      <c r="AL1984" t="str">
        <f>LEFT(Table1[[#This Row],[discount_type]],1)&amp;TEXT(ROUND(Table1[[#This Row],[discount_rate]]*100,0),"00")</f>
        <v>P05</v>
      </c>
      <c r="AM1984" t="str" cm="1">
        <f t="array" ref="AM1984">TEXT(SUMPRODUCT(CODE(MID(Table1[[#This Row],[home_gym_location]],_xlfn.SEQUENCE(LEN(Table1[[#This Row],[home_gym_location]])),1))),"00000")</f>
        <v>00931</v>
      </c>
      <c r="AN1984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84" t="str">
        <f>LEFT(_xlfn.TEXTBEFORE(Table1[[#This Row],[Location Identifier]],"-"),3) &amp; "-" &amp; _xlfn.TEXTAFTER(Table1[[#This Row],[Location Identifier]],"-")</f>
        <v>SAN-010</v>
      </c>
      <c r="AP1984" s="9">
        <f t="shared" ca="1" si="300"/>
        <v>45869</v>
      </c>
    </row>
    <row r="1985" spans="1:42" x14ac:dyDescent="0.25">
      <c r="A1985">
        <v>32</v>
      </c>
      <c r="B1985" t="s">
        <v>42</v>
      </c>
      <c r="C1985">
        <v>3</v>
      </c>
      <c r="D1985" t="s">
        <v>100</v>
      </c>
      <c r="E1985" t="b">
        <v>1</v>
      </c>
      <c r="F1985" s="1">
        <v>0.61944444444444446</v>
      </c>
      <c r="G1985" s="1">
        <v>0.73055555555555551</v>
      </c>
      <c r="H1985">
        <v>160</v>
      </c>
      <c r="I1985" t="b">
        <v>0</v>
      </c>
      <c r="J1985" t="b">
        <v>0</v>
      </c>
      <c r="K1985" t="b">
        <v>0</v>
      </c>
      <c r="L1985" t="s">
        <v>28</v>
      </c>
      <c r="M1985">
        <v>20</v>
      </c>
      <c r="N1985" t="s">
        <v>29</v>
      </c>
      <c r="O1985">
        <v>20</v>
      </c>
      <c r="P1985" t="s">
        <v>30</v>
      </c>
      <c r="Q1985">
        <v>0.05</v>
      </c>
      <c r="R1985">
        <v>19</v>
      </c>
      <c r="S1985" t="s">
        <v>44</v>
      </c>
      <c r="T1985" t="s">
        <v>48</v>
      </c>
      <c r="U1985">
        <v>38.581600000000002</v>
      </c>
      <c r="V1985">
        <v>-121.4944</v>
      </c>
      <c r="W1985" s="2">
        <v>45745</v>
      </c>
      <c r="X1985">
        <v>0</v>
      </c>
      <c r="Y1985" t="b">
        <v>1</v>
      </c>
      <c r="Z1985" s="2">
        <v>45856</v>
      </c>
      <c r="AA1985" t="str">
        <f t="shared" si="301"/>
        <v>30–39</v>
      </c>
      <c r="AB1985" t="str">
        <f t="shared" si="302"/>
        <v>30–39</v>
      </c>
      <c r="AC1985" t="str">
        <f t="shared" si="303"/>
        <v/>
      </c>
      <c r="AD1985" t="str">
        <f t="shared" si="304"/>
        <v/>
      </c>
      <c r="AE1985" t="str">
        <f t="shared" si="305"/>
        <v>Wednesday</v>
      </c>
      <c r="AF1985" t="str">
        <f t="shared" si="306"/>
        <v/>
      </c>
      <c r="AG1985" t="str">
        <f t="shared" si="307"/>
        <v>Friday</v>
      </c>
      <c r="AH1985" t="str">
        <f t="shared" si="308"/>
        <v/>
      </c>
      <c r="AI1985" t="str">
        <f t="shared" si="309"/>
        <v>Sunday</v>
      </c>
      <c r="AJ1985" t="str">
        <f>LEFT(Table1[[#This Row],[membership_type]],2)&amp;TEXT(Table1[[#This Row],[age]],"00")&amp;"-"&amp;TEXT(ROW(),"000")</f>
        <v>Ba32-1985</v>
      </c>
      <c r="AK1985" t="str">
        <f>LEFT(Table1[[#This Row],[membership_type]],1)&amp;TEXT(MATCH(Table1[[#This Row],[membership_type]],Table1[membership_type],0),"00")</f>
        <v>B04</v>
      </c>
      <c r="AL1985" t="str">
        <f>LEFT(Table1[[#This Row],[discount_type]],1)&amp;TEXT(ROUND(Table1[[#This Row],[discount_rate]]*100,0),"00")</f>
        <v>P05</v>
      </c>
      <c r="AM1985" t="str" cm="1">
        <f t="array" ref="AM1985">TEXT(SUMPRODUCT(CODE(MID(Table1[[#This Row],[home_gym_location]],_xlfn.SEQUENCE(LEN(Table1[[#This Row],[home_gym_location]])),1))),"00000")</f>
        <v>01245</v>
      </c>
      <c r="AN1985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85" t="str">
        <f>LEFT(_xlfn.TEXTBEFORE(Table1[[#This Row],[Location Identifier]],"-"),3) &amp; "-" &amp; _xlfn.TEXTAFTER(Table1[[#This Row],[Location Identifier]],"-")</f>
        <v>SAC-007</v>
      </c>
      <c r="AP1985" s="9">
        <f t="shared" ca="1" si="300"/>
        <v>45869</v>
      </c>
    </row>
    <row r="1986" spans="1:42" x14ac:dyDescent="0.25">
      <c r="A1986">
        <v>47</v>
      </c>
      <c r="B1986" t="s">
        <v>26</v>
      </c>
      <c r="C1986">
        <v>2</v>
      </c>
      <c r="D1986" t="s">
        <v>101</v>
      </c>
      <c r="E1986" t="b">
        <v>1</v>
      </c>
      <c r="F1986" s="1">
        <v>0.52916666666666667</v>
      </c>
      <c r="G1986" s="1">
        <v>0.56736111111111109</v>
      </c>
      <c r="H1986">
        <v>55</v>
      </c>
      <c r="I1986" t="b">
        <v>1</v>
      </c>
      <c r="J1986" t="b">
        <v>1</v>
      </c>
      <c r="K1986" t="b">
        <v>1</v>
      </c>
      <c r="L1986" t="s">
        <v>28</v>
      </c>
      <c r="M1986">
        <v>50</v>
      </c>
      <c r="N1986" t="s">
        <v>29</v>
      </c>
      <c r="O1986">
        <v>50</v>
      </c>
      <c r="P1986" t="s">
        <v>30</v>
      </c>
      <c r="Q1986">
        <v>0.05</v>
      </c>
      <c r="R1986">
        <v>47.5</v>
      </c>
      <c r="S1986" t="s">
        <v>31</v>
      </c>
      <c r="T1986" t="s">
        <v>54</v>
      </c>
      <c r="U1986">
        <v>32.715699999999998</v>
      </c>
      <c r="V1986">
        <v>-117.1611</v>
      </c>
      <c r="W1986" s="2">
        <v>45055</v>
      </c>
      <c r="X1986">
        <v>5</v>
      </c>
      <c r="Y1986" t="b">
        <v>1</v>
      </c>
      <c r="Z1986" s="2">
        <v>45817</v>
      </c>
      <c r="AA1986" t="str">
        <f t="shared" si="301"/>
        <v>40–49</v>
      </c>
      <c r="AB1986" t="str">
        <f t="shared" si="302"/>
        <v>40–49</v>
      </c>
      <c r="AC1986" t="str">
        <f t="shared" si="303"/>
        <v>Monday</v>
      </c>
      <c r="AD1986" t="str">
        <f t="shared" si="304"/>
        <v/>
      </c>
      <c r="AE1986" t="str">
        <f t="shared" si="305"/>
        <v/>
      </c>
      <c r="AF1986" t="str">
        <f t="shared" si="306"/>
        <v/>
      </c>
      <c r="AG1986" t="str">
        <f t="shared" si="307"/>
        <v>Friday</v>
      </c>
      <c r="AH1986" t="str">
        <f t="shared" si="308"/>
        <v/>
      </c>
      <c r="AI1986" t="str">
        <f t="shared" si="309"/>
        <v/>
      </c>
      <c r="AJ1986" t="str">
        <f>LEFT(Table1[[#This Row],[membership_type]],2)&amp;TEXT(Table1[[#This Row],[age]],"00")&amp;"-"&amp;TEXT(ROW(),"000")</f>
        <v>Pr47-1986</v>
      </c>
      <c r="AK1986" t="str">
        <f>LEFT(Table1[[#This Row],[membership_type]],1)&amp;TEXT(MATCH(Table1[[#This Row],[membership_type]],Table1[membership_type],0),"00")</f>
        <v>P01</v>
      </c>
      <c r="AL1986" t="str">
        <f>LEFT(Table1[[#This Row],[discount_type]],1)&amp;TEXT(ROUND(Table1[[#This Row],[discount_rate]]*100,0),"00")</f>
        <v>P05</v>
      </c>
      <c r="AM1986" t="str" cm="1">
        <f t="array" ref="AM1986">TEXT(SUMPRODUCT(CODE(MID(Table1[[#This Row],[home_gym_location]],_xlfn.SEQUENCE(LEN(Table1[[#This Row],[home_gym_location]])),1))),"00000")</f>
        <v>01018</v>
      </c>
      <c r="AN1986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86" t="str">
        <f>LEFT(_xlfn.TEXTBEFORE(Table1[[#This Row],[Location Identifier]],"-"),3) &amp; "-" &amp; _xlfn.TEXTAFTER(Table1[[#This Row],[Location Identifier]],"-")</f>
        <v>SAN-008</v>
      </c>
      <c r="AP1986" s="9">
        <f t="shared" ref="AP1986:AP1999" ca="1" si="310">EOMONTH(DATE(YEAR(TODAY()),7,1),0)</f>
        <v>45869</v>
      </c>
    </row>
    <row r="1987" spans="1:42" x14ac:dyDescent="0.25">
      <c r="A1987">
        <v>36</v>
      </c>
      <c r="B1987" t="s">
        <v>33</v>
      </c>
      <c r="C1987">
        <v>4</v>
      </c>
      <c r="D1987" t="s">
        <v>144</v>
      </c>
      <c r="E1987" t="b">
        <v>0</v>
      </c>
      <c r="F1987" s="1">
        <v>0.58472222222222225</v>
      </c>
      <c r="G1987" s="1">
        <v>0.68611111111111112</v>
      </c>
      <c r="H1987">
        <v>146</v>
      </c>
      <c r="I1987" t="b">
        <v>0</v>
      </c>
      <c r="J1987" t="b">
        <v>0</v>
      </c>
      <c r="K1987" t="b">
        <v>1</v>
      </c>
      <c r="L1987" t="s">
        <v>62</v>
      </c>
      <c r="M1987">
        <v>30</v>
      </c>
      <c r="N1987" t="s">
        <v>64</v>
      </c>
      <c r="O1987">
        <v>22.5</v>
      </c>
      <c r="P1987" t="s">
        <v>30</v>
      </c>
      <c r="Q1987">
        <v>0.05</v>
      </c>
      <c r="R1987">
        <v>21.375</v>
      </c>
      <c r="S1987" t="s">
        <v>37</v>
      </c>
      <c r="T1987" t="s">
        <v>32</v>
      </c>
      <c r="U1987">
        <v>37.338200000000001</v>
      </c>
      <c r="V1987">
        <v>-121.88630000000001</v>
      </c>
      <c r="W1987" s="2">
        <v>45302</v>
      </c>
      <c r="X1987">
        <v>0</v>
      </c>
      <c r="Y1987" t="b">
        <v>0</v>
      </c>
      <c r="Z1987" s="2">
        <v>45831</v>
      </c>
      <c r="AA1987" t="str">
        <f t="shared" ref="AA1987:AA1999" si="311">TEXT(10*INT($A1987/10),"0")&amp;"–"&amp;TEXT(10*INT($A1987/10)+9,"0")</f>
        <v>30–39</v>
      </c>
      <c r="AB1987" t="str">
        <f t="shared" ref="AB1987:AB1999" si="312">IF(AND($AA1987 = "10–19", $A1987 &lt; 16), "Under 16", IF(AND($AA1987 = "10–19", $A1987 &gt;= 16), "16–19", $AA1987))</f>
        <v>30–39</v>
      </c>
      <c r="AC1987" t="str">
        <f t="shared" ref="AC1987:AC1999" si="313">IF(ISNUMBER(SEARCH("Mon", $D1987)), "Monday", "")</f>
        <v>Monday</v>
      </c>
      <c r="AD1987" t="str">
        <f t="shared" ref="AD1987:AD1999" si="314">IF(ISNUMBER(SEARCH("Tue", $D1987)), "Tuesday", "")</f>
        <v/>
      </c>
      <c r="AE1987" t="str">
        <f t="shared" ref="AE1987:AE1999" si="315">IF(ISNUMBER(SEARCH("Wed", $D1987)), "Wednesday", "")</f>
        <v>Wednesday</v>
      </c>
      <c r="AF1987" t="str">
        <f t="shared" ref="AF1987:AF1999" si="316">IF(ISNUMBER(SEARCH("Thu", $D1987)), "Thursday", "")</f>
        <v>Thursday</v>
      </c>
      <c r="AG1987" t="str">
        <f t="shared" ref="AG1987:AG1999" si="317">IF(ISNUMBER(SEARCH("Fri", $D1987)), "Friday", "")</f>
        <v>Friday</v>
      </c>
      <c r="AH1987" t="str">
        <f t="shared" ref="AH1987:AH1999" si="318">IF(ISNUMBER(SEARCH("Sat", $D1987)), "Saturday", "")</f>
        <v/>
      </c>
      <c r="AI1987" t="str">
        <f t="shared" ref="AI1987:AI1999" si="319">IF(ISNUMBER(SEARCH("Sun", $D1987)), "Sunday", "")</f>
        <v/>
      </c>
      <c r="AJ1987" t="str">
        <f>LEFT(Table1[[#This Row],[membership_type]],2)&amp;TEXT(Table1[[#This Row],[age]],"00")&amp;"-"&amp;TEXT(ROW(),"000")</f>
        <v>St36-1987</v>
      </c>
      <c r="AK1987" t="str">
        <f>LEFT(Table1[[#This Row],[membership_type]],1)&amp;TEXT(MATCH(Table1[[#This Row],[membership_type]],Table1[membership_type],0),"00")</f>
        <v>S02</v>
      </c>
      <c r="AL1987" t="str">
        <f>LEFT(Table1[[#This Row],[discount_type]],1)&amp;TEXT(ROUND(Table1[[#This Row],[discount_rate]]*100,0),"00")</f>
        <v>P05</v>
      </c>
      <c r="AM1987" t="str" cm="1">
        <f t="array" ref="AM1987">TEXT(SUMPRODUCT(CODE(MID(Table1[[#This Row],[home_gym_location]],_xlfn.SEQUENCE(LEN(Table1[[#This Row],[home_gym_location]])),1))),"00000")</f>
        <v>00931</v>
      </c>
      <c r="AN1987" t="str">
        <f>UPPER(_xlfn.TEXTBEFORE(Table1[[#This Row],[home_gym_location]],","))&amp;"-"&amp;TEXT(MATCH(Table1[[#This Row],[home_gym_location]],_xlfn._xlws.SORT(_xlfn.UNIQUE(Table1[home_gym_location])),0),"000")</f>
        <v>SAN JOSE-010</v>
      </c>
      <c r="AO1987" t="str">
        <f>LEFT(_xlfn.TEXTBEFORE(Table1[[#This Row],[Location Identifier]],"-"),3) &amp; "-" &amp; _xlfn.TEXTAFTER(Table1[[#This Row],[Location Identifier]],"-")</f>
        <v>SAN-010</v>
      </c>
      <c r="AP1987" s="9">
        <f t="shared" ca="1" si="310"/>
        <v>45869</v>
      </c>
    </row>
    <row r="1988" spans="1:42" x14ac:dyDescent="0.25">
      <c r="A1988">
        <v>43</v>
      </c>
      <c r="B1988" t="s">
        <v>42</v>
      </c>
      <c r="C1988">
        <v>2</v>
      </c>
      <c r="D1988" t="s">
        <v>141</v>
      </c>
      <c r="E1988" t="b">
        <v>0</v>
      </c>
      <c r="F1988" s="1">
        <v>0.54861111111111116</v>
      </c>
      <c r="G1988" s="1">
        <v>0.60069444444444442</v>
      </c>
      <c r="H1988">
        <v>75</v>
      </c>
      <c r="I1988" t="b">
        <v>0</v>
      </c>
      <c r="J1988" t="b">
        <v>1</v>
      </c>
      <c r="K1988" t="b">
        <v>1</v>
      </c>
      <c r="L1988" t="s">
        <v>62</v>
      </c>
      <c r="M1988">
        <v>20</v>
      </c>
      <c r="N1988" t="s">
        <v>29</v>
      </c>
      <c r="O1988">
        <v>20</v>
      </c>
      <c r="P1988" t="s">
        <v>74</v>
      </c>
      <c r="Q1988">
        <v>0.15</v>
      </c>
      <c r="R1988">
        <v>17</v>
      </c>
      <c r="S1988" t="s">
        <v>44</v>
      </c>
      <c r="T1988" t="s">
        <v>65</v>
      </c>
      <c r="U1988">
        <v>33.770099999999999</v>
      </c>
      <c r="V1988">
        <v>-118.19370000000001</v>
      </c>
      <c r="W1988" s="2">
        <v>45365</v>
      </c>
      <c r="X1988">
        <v>5</v>
      </c>
      <c r="Y1988" t="b">
        <v>1</v>
      </c>
      <c r="Z1988" s="2">
        <v>45834</v>
      </c>
      <c r="AA1988" t="str">
        <f t="shared" si="311"/>
        <v>40–49</v>
      </c>
      <c r="AB1988" t="str">
        <f t="shared" si="312"/>
        <v>40–49</v>
      </c>
      <c r="AC1988" t="str">
        <f t="shared" si="313"/>
        <v/>
      </c>
      <c r="AD1988" t="str">
        <f t="shared" si="314"/>
        <v/>
      </c>
      <c r="AE1988" t="str">
        <f t="shared" si="315"/>
        <v>Wednesday</v>
      </c>
      <c r="AF1988" t="str">
        <f t="shared" si="316"/>
        <v/>
      </c>
      <c r="AG1988" t="str">
        <f t="shared" si="317"/>
        <v>Friday</v>
      </c>
      <c r="AH1988" t="str">
        <f t="shared" si="318"/>
        <v/>
      </c>
      <c r="AI1988" t="str">
        <f t="shared" si="319"/>
        <v/>
      </c>
      <c r="AJ1988" t="str">
        <f>LEFT(Table1[[#This Row],[membership_type]],2)&amp;TEXT(Table1[[#This Row],[age]],"00")&amp;"-"&amp;TEXT(ROW(),"000")</f>
        <v>Ba43-1988</v>
      </c>
      <c r="AK1988" t="str">
        <f>LEFT(Table1[[#This Row],[membership_type]],1)&amp;TEXT(MATCH(Table1[[#This Row],[membership_type]],Table1[membership_type],0),"00")</f>
        <v>B04</v>
      </c>
      <c r="AL1988" t="str">
        <f>LEFT(Table1[[#This Row],[discount_type]],1)&amp;TEXT(ROUND(Table1[[#This Row],[discount_rate]]*100,0),"00")</f>
        <v>S15</v>
      </c>
      <c r="AM1988" t="str" cm="1">
        <f t="array" ref="AM1988">TEXT(SUMPRODUCT(CODE(MID(Table1[[#This Row],[home_gym_location]],_xlfn.SEQUENCE(LEN(Table1[[#This Row],[home_gym_location]])),1))),"00000")</f>
        <v>01107</v>
      </c>
      <c r="AN1988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88" t="str">
        <f>LEFT(_xlfn.TEXTBEFORE(Table1[[#This Row],[Location Identifier]],"-"),3) &amp; "-" &amp; _xlfn.TEXTAFTER(Table1[[#This Row],[Location Identifier]],"-")</f>
        <v>LON-004</v>
      </c>
      <c r="AP1988" s="9">
        <f t="shared" ca="1" si="310"/>
        <v>45869</v>
      </c>
    </row>
    <row r="1989" spans="1:42" x14ac:dyDescent="0.25">
      <c r="A1989">
        <v>36</v>
      </c>
      <c r="B1989" t="s">
        <v>33</v>
      </c>
      <c r="C1989">
        <v>2</v>
      </c>
      <c r="D1989" t="s">
        <v>73</v>
      </c>
      <c r="E1989" t="b">
        <v>1</v>
      </c>
      <c r="F1989" s="1">
        <v>0.4777777777777778</v>
      </c>
      <c r="G1989" s="1">
        <v>0.59305555555555556</v>
      </c>
      <c r="H1989">
        <v>166</v>
      </c>
      <c r="I1989" t="b">
        <v>0</v>
      </c>
      <c r="J1989" t="b">
        <v>0</v>
      </c>
      <c r="K1989" t="b">
        <v>1</v>
      </c>
      <c r="L1989" t="s">
        <v>62</v>
      </c>
      <c r="M1989">
        <v>30</v>
      </c>
      <c r="N1989" t="s">
        <v>64</v>
      </c>
      <c r="O1989">
        <v>22.5</v>
      </c>
      <c r="P1989" t="s">
        <v>30</v>
      </c>
      <c r="Q1989">
        <v>0.05</v>
      </c>
      <c r="R1989">
        <v>21.375</v>
      </c>
      <c r="S1989" t="s">
        <v>37</v>
      </c>
      <c r="T1989" t="s">
        <v>65</v>
      </c>
      <c r="U1989">
        <v>33.770099999999999</v>
      </c>
      <c r="V1989">
        <v>-118.19370000000001</v>
      </c>
      <c r="W1989" s="2">
        <v>45054</v>
      </c>
      <c r="X1989">
        <v>0</v>
      </c>
      <c r="Y1989" t="b">
        <v>0</v>
      </c>
      <c r="Z1989" s="2">
        <v>45817</v>
      </c>
      <c r="AA1989" t="str">
        <f t="shared" si="311"/>
        <v>30–39</v>
      </c>
      <c r="AB1989" t="str">
        <f t="shared" si="312"/>
        <v>30–39</v>
      </c>
      <c r="AC1989" t="str">
        <f t="shared" si="313"/>
        <v/>
      </c>
      <c r="AD1989" t="str">
        <f t="shared" si="314"/>
        <v>Tuesday</v>
      </c>
      <c r="AE1989" t="str">
        <f t="shared" si="315"/>
        <v/>
      </c>
      <c r="AF1989" t="str">
        <f t="shared" si="316"/>
        <v/>
      </c>
      <c r="AG1989" t="str">
        <f t="shared" si="317"/>
        <v>Friday</v>
      </c>
      <c r="AH1989" t="str">
        <f t="shared" si="318"/>
        <v/>
      </c>
      <c r="AI1989" t="str">
        <f t="shared" si="319"/>
        <v/>
      </c>
      <c r="AJ1989" t="str">
        <f>LEFT(Table1[[#This Row],[membership_type]],2)&amp;TEXT(Table1[[#This Row],[age]],"00")&amp;"-"&amp;TEXT(ROW(),"000")</f>
        <v>St36-1989</v>
      </c>
      <c r="AK1989" t="str">
        <f>LEFT(Table1[[#This Row],[membership_type]],1)&amp;TEXT(MATCH(Table1[[#This Row],[membership_type]],Table1[membership_type],0),"00")</f>
        <v>S02</v>
      </c>
      <c r="AL1989" t="str">
        <f>LEFT(Table1[[#This Row],[discount_type]],1)&amp;TEXT(ROUND(Table1[[#This Row],[discount_rate]]*100,0),"00")</f>
        <v>P05</v>
      </c>
      <c r="AM1989" t="str" cm="1">
        <f t="array" ref="AM1989">TEXT(SUMPRODUCT(CODE(MID(Table1[[#This Row],[home_gym_location]],_xlfn.SEQUENCE(LEN(Table1[[#This Row],[home_gym_location]])),1))),"00000")</f>
        <v>01107</v>
      </c>
      <c r="AN1989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89" t="str">
        <f>LEFT(_xlfn.TEXTBEFORE(Table1[[#This Row],[Location Identifier]],"-"),3) &amp; "-" &amp; _xlfn.TEXTAFTER(Table1[[#This Row],[Location Identifier]],"-")</f>
        <v>LON-004</v>
      </c>
      <c r="AP1989" s="9">
        <f t="shared" ca="1" si="310"/>
        <v>45869</v>
      </c>
    </row>
    <row r="1990" spans="1:42" x14ac:dyDescent="0.25">
      <c r="A1990">
        <v>42</v>
      </c>
      <c r="B1990" t="s">
        <v>33</v>
      </c>
      <c r="C1990">
        <v>3</v>
      </c>
      <c r="D1990" t="s">
        <v>102</v>
      </c>
      <c r="E1990" t="b">
        <v>0</v>
      </c>
      <c r="F1990" s="1">
        <v>0.41458333333333336</v>
      </c>
      <c r="G1990" s="1">
        <v>0.53472222222222221</v>
      </c>
      <c r="H1990">
        <v>173</v>
      </c>
      <c r="I1990" t="b">
        <v>1</v>
      </c>
      <c r="J1990" t="b">
        <v>1</v>
      </c>
      <c r="K1990" t="b">
        <v>0</v>
      </c>
      <c r="L1990" t="s">
        <v>62</v>
      </c>
      <c r="M1990">
        <v>30</v>
      </c>
      <c r="N1990" t="s">
        <v>64</v>
      </c>
      <c r="O1990">
        <v>22.5</v>
      </c>
      <c r="P1990" t="s">
        <v>74</v>
      </c>
      <c r="Q1990">
        <v>0.15</v>
      </c>
      <c r="R1990">
        <v>19.125</v>
      </c>
      <c r="S1990" t="s">
        <v>37</v>
      </c>
      <c r="T1990" t="s">
        <v>65</v>
      </c>
      <c r="U1990">
        <v>33.770099999999999</v>
      </c>
      <c r="V1990">
        <v>-118.19370000000001</v>
      </c>
      <c r="W1990" s="2">
        <v>45015</v>
      </c>
      <c r="X1990">
        <v>7</v>
      </c>
      <c r="Y1990" t="b">
        <v>1</v>
      </c>
      <c r="Z1990" s="2">
        <v>45815</v>
      </c>
      <c r="AA1990" t="str">
        <f t="shared" si="311"/>
        <v>40–49</v>
      </c>
      <c r="AB1990" t="str">
        <f t="shared" si="312"/>
        <v>40–49</v>
      </c>
      <c r="AC1990" t="str">
        <f t="shared" si="313"/>
        <v/>
      </c>
      <c r="AD1990" t="str">
        <f t="shared" si="314"/>
        <v/>
      </c>
      <c r="AE1990" t="str">
        <f t="shared" si="315"/>
        <v/>
      </c>
      <c r="AF1990" t="str">
        <f t="shared" si="316"/>
        <v>Thursday</v>
      </c>
      <c r="AG1990" t="str">
        <f t="shared" si="317"/>
        <v>Friday</v>
      </c>
      <c r="AH1990" t="str">
        <f t="shared" si="318"/>
        <v>Saturday</v>
      </c>
      <c r="AI1990" t="str">
        <f t="shared" si="319"/>
        <v/>
      </c>
      <c r="AJ1990" t="str">
        <f>LEFT(Table1[[#This Row],[membership_type]],2)&amp;TEXT(Table1[[#This Row],[age]],"00")&amp;"-"&amp;TEXT(ROW(),"000")</f>
        <v>St42-1990</v>
      </c>
      <c r="AK1990" t="str">
        <f>LEFT(Table1[[#This Row],[membership_type]],1)&amp;TEXT(MATCH(Table1[[#This Row],[membership_type]],Table1[membership_type],0),"00")</f>
        <v>S02</v>
      </c>
      <c r="AL1990" t="str">
        <f>LEFT(Table1[[#This Row],[discount_type]],1)&amp;TEXT(ROUND(Table1[[#This Row],[discount_rate]]*100,0),"00")</f>
        <v>S15</v>
      </c>
      <c r="AM1990" t="str" cm="1">
        <f t="array" ref="AM1990">TEXT(SUMPRODUCT(CODE(MID(Table1[[#This Row],[home_gym_location]],_xlfn.SEQUENCE(LEN(Table1[[#This Row],[home_gym_location]])),1))),"00000")</f>
        <v>01107</v>
      </c>
      <c r="AN1990" t="str">
        <f>UPPER(_xlfn.TEXTBEFORE(Table1[[#This Row],[home_gym_location]],","))&amp;"-"&amp;TEXT(MATCH(Table1[[#This Row],[home_gym_location]],_xlfn._xlws.SORT(_xlfn.UNIQUE(Table1[home_gym_location])),0),"000")</f>
        <v>LONG BEACH-004</v>
      </c>
      <c r="AO1990" t="str">
        <f>LEFT(_xlfn.TEXTBEFORE(Table1[[#This Row],[Location Identifier]],"-"),3) &amp; "-" &amp; _xlfn.TEXTAFTER(Table1[[#This Row],[Location Identifier]],"-")</f>
        <v>LON-004</v>
      </c>
      <c r="AP1990" s="9">
        <f t="shared" ca="1" si="310"/>
        <v>45869</v>
      </c>
    </row>
    <row r="1991" spans="1:42" x14ac:dyDescent="0.25">
      <c r="A1991">
        <v>13</v>
      </c>
      <c r="B1991" t="s">
        <v>51</v>
      </c>
      <c r="C1991">
        <v>2</v>
      </c>
      <c r="D1991" t="s">
        <v>43</v>
      </c>
      <c r="E1991" t="b">
        <v>1</v>
      </c>
      <c r="F1991" s="1">
        <v>0.87222222222222223</v>
      </c>
      <c r="G1991" s="1">
        <v>0.98333333333333328</v>
      </c>
      <c r="H1991">
        <v>160</v>
      </c>
      <c r="I1991" t="b">
        <v>1</v>
      </c>
      <c r="J1991" t="b">
        <v>1</v>
      </c>
      <c r="K1991" t="b">
        <v>0</v>
      </c>
      <c r="L1991" t="s">
        <v>28</v>
      </c>
      <c r="M1991">
        <v>70</v>
      </c>
      <c r="N1991" t="s">
        <v>78</v>
      </c>
      <c r="O1991">
        <v>63</v>
      </c>
      <c r="P1991" t="s">
        <v>74</v>
      </c>
      <c r="Q1991">
        <v>0.15</v>
      </c>
      <c r="R1991">
        <v>53.55</v>
      </c>
      <c r="S1991" t="s">
        <v>53</v>
      </c>
      <c r="T1991" t="s">
        <v>48</v>
      </c>
      <c r="U1991">
        <v>38.581600000000002</v>
      </c>
      <c r="V1991">
        <v>-121.4944</v>
      </c>
      <c r="W1991" s="2">
        <v>45661</v>
      </c>
      <c r="X1991">
        <v>6</v>
      </c>
      <c r="Y1991" t="b">
        <v>1</v>
      </c>
      <c r="Z1991" s="2">
        <v>45851</v>
      </c>
      <c r="AA1991" t="str">
        <f t="shared" si="311"/>
        <v>10–19</v>
      </c>
      <c r="AB1991" t="str">
        <f t="shared" si="312"/>
        <v>Under 16</v>
      </c>
      <c r="AC1991" t="str">
        <f t="shared" si="313"/>
        <v>Monday</v>
      </c>
      <c r="AD1991" t="str">
        <f t="shared" si="314"/>
        <v>Tuesday</v>
      </c>
      <c r="AE1991" t="str">
        <f t="shared" si="315"/>
        <v/>
      </c>
      <c r="AF1991" t="str">
        <f t="shared" si="316"/>
        <v/>
      </c>
      <c r="AG1991" t="str">
        <f t="shared" si="317"/>
        <v/>
      </c>
      <c r="AH1991" t="str">
        <f t="shared" si="318"/>
        <v/>
      </c>
      <c r="AI1991" t="str">
        <f t="shared" si="319"/>
        <v/>
      </c>
      <c r="AJ1991" t="str">
        <f>LEFT(Table1[[#This Row],[membership_type]],2)&amp;TEXT(Table1[[#This Row],[age]],"00")&amp;"-"&amp;TEXT(ROW(),"000")</f>
        <v>El13-1991</v>
      </c>
      <c r="AK1991" t="str">
        <f>LEFT(Table1[[#This Row],[membership_type]],1)&amp;TEXT(MATCH(Table1[[#This Row],[membership_type]],Table1[membership_type],0),"00")</f>
        <v>E07</v>
      </c>
      <c r="AL1991" t="str">
        <f>LEFT(Table1[[#This Row],[discount_type]],1)&amp;TEXT(ROUND(Table1[[#This Row],[discount_rate]]*100,0),"00")</f>
        <v>S15</v>
      </c>
      <c r="AM1991" t="str" cm="1">
        <f t="array" ref="AM1991">TEXT(SUMPRODUCT(CODE(MID(Table1[[#This Row],[home_gym_location]],_xlfn.SEQUENCE(LEN(Table1[[#This Row],[home_gym_location]])),1))),"00000")</f>
        <v>01245</v>
      </c>
      <c r="AN1991" t="str">
        <f>UPPER(_xlfn.TEXTBEFORE(Table1[[#This Row],[home_gym_location]],","))&amp;"-"&amp;TEXT(MATCH(Table1[[#This Row],[home_gym_location]],_xlfn._xlws.SORT(_xlfn.UNIQUE(Table1[home_gym_location])),0),"000")</f>
        <v>SACRAMENTO-007</v>
      </c>
      <c r="AO1991" t="str">
        <f>LEFT(_xlfn.TEXTBEFORE(Table1[[#This Row],[Location Identifier]],"-"),3) &amp; "-" &amp; _xlfn.TEXTAFTER(Table1[[#This Row],[Location Identifier]],"-")</f>
        <v>SAC-007</v>
      </c>
      <c r="AP1991" s="9">
        <f t="shared" ca="1" si="310"/>
        <v>45869</v>
      </c>
    </row>
    <row r="1992" spans="1:42" x14ac:dyDescent="0.25">
      <c r="A1992">
        <v>16</v>
      </c>
      <c r="B1992" t="s">
        <v>26</v>
      </c>
      <c r="C1992">
        <v>3</v>
      </c>
      <c r="D1992" t="s">
        <v>100</v>
      </c>
      <c r="E1992" t="b">
        <v>0</v>
      </c>
      <c r="F1992" s="1">
        <v>0.72291666666666665</v>
      </c>
      <c r="G1992" s="1">
        <v>0.78194444444444444</v>
      </c>
      <c r="H1992">
        <v>85</v>
      </c>
      <c r="I1992" t="b">
        <v>0</v>
      </c>
      <c r="J1992" t="b">
        <v>1</v>
      </c>
      <c r="K1992" t="b">
        <v>0</v>
      </c>
      <c r="L1992" t="s">
        <v>62</v>
      </c>
      <c r="M1992">
        <v>50</v>
      </c>
      <c r="N1992" t="s">
        <v>64</v>
      </c>
      <c r="O1992">
        <v>37.5</v>
      </c>
      <c r="P1992" t="s">
        <v>40</v>
      </c>
      <c r="Q1992">
        <v>0.1</v>
      </c>
      <c r="R1992">
        <v>33.75</v>
      </c>
      <c r="S1992" t="s">
        <v>31</v>
      </c>
      <c r="T1992" t="s">
        <v>45</v>
      </c>
      <c r="U1992">
        <v>33.836599999999997</v>
      </c>
      <c r="V1992">
        <v>-117.9143</v>
      </c>
      <c r="W1992" s="2">
        <v>45181</v>
      </c>
      <c r="X1992">
        <v>5</v>
      </c>
      <c r="Y1992" t="b">
        <v>0</v>
      </c>
      <c r="Z1992" s="2">
        <v>45824</v>
      </c>
      <c r="AA1992" t="str">
        <f t="shared" si="311"/>
        <v>10–19</v>
      </c>
      <c r="AB1992" t="str">
        <f t="shared" si="312"/>
        <v>16–19</v>
      </c>
      <c r="AC1992" t="str">
        <f t="shared" si="313"/>
        <v/>
      </c>
      <c r="AD1992" t="str">
        <f t="shared" si="314"/>
        <v/>
      </c>
      <c r="AE1992" t="str">
        <f t="shared" si="315"/>
        <v>Wednesday</v>
      </c>
      <c r="AF1992" t="str">
        <f t="shared" si="316"/>
        <v/>
      </c>
      <c r="AG1992" t="str">
        <f t="shared" si="317"/>
        <v>Friday</v>
      </c>
      <c r="AH1992" t="str">
        <f t="shared" si="318"/>
        <v/>
      </c>
      <c r="AI1992" t="str">
        <f t="shared" si="319"/>
        <v>Sunday</v>
      </c>
      <c r="AJ1992" t="str">
        <f>LEFT(Table1[[#This Row],[membership_type]],2)&amp;TEXT(Table1[[#This Row],[age]],"00")&amp;"-"&amp;TEXT(ROW(),"000")</f>
        <v>Pr16-1992</v>
      </c>
      <c r="AK1992" t="str">
        <f>LEFT(Table1[[#This Row],[membership_type]],1)&amp;TEXT(MATCH(Table1[[#This Row],[membership_type]],Table1[membership_type],0),"00")</f>
        <v>P01</v>
      </c>
      <c r="AL1992" t="str">
        <f>LEFT(Table1[[#This Row],[discount_type]],1)&amp;TEXT(ROUND(Table1[[#This Row],[discount_rate]]*100,0),"00")</f>
        <v>L10</v>
      </c>
      <c r="AM1992" t="str" cm="1">
        <f t="array" ref="AM1992">TEXT(SUMPRODUCT(CODE(MID(Table1[[#This Row],[home_gym_location]],_xlfn.SEQUENCE(LEN(Table1[[#This Row],[home_gym_location]])),1))),"00000")</f>
        <v>00899</v>
      </c>
      <c r="AN1992" t="str">
        <f>UPPER(_xlfn.TEXTBEFORE(Table1[[#This Row],[home_gym_location]],","))&amp;"-"&amp;TEXT(MATCH(Table1[[#This Row],[home_gym_location]],_xlfn._xlws.SORT(_xlfn.UNIQUE(Table1[home_gym_location])),0),"000")</f>
        <v>ANAHEIM-001</v>
      </c>
      <c r="AO1992" t="str">
        <f>LEFT(_xlfn.TEXTBEFORE(Table1[[#This Row],[Location Identifier]],"-"),3) &amp; "-" &amp; _xlfn.TEXTAFTER(Table1[[#This Row],[Location Identifier]],"-")</f>
        <v>ANA-001</v>
      </c>
      <c r="AP1992" s="9">
        <f t="shared" ca="1" si="310"/>
        <v>45869</v>
      </c>
    </row>
    <row r="1993" spans="1:42" x14ac:dyDescent="0.25">
      <c r="A1993">
        <v>19</v>
      </c>
      <c r="B1993" t="s">
        <v>26</v>
      </c>
      <c r="C1993">
        <v>3</v>
      </c>
      <c r="D1993" t="s">
        <v>117</v>
      </c>
      <c r="E1993" t="b">
        <v>0</v>
      </c>
      <c r="F1993" s="1">
        <v>0.75486111111111109</v>
      </c>
      <c r="G1993" s="1">
        <v>0.86875000000000002</v>
      </c>
      <c r="H1993">
        <v>164</v>
      </c>
      <c r="I1993" t="b">
        <v>0</v>
      </c>
      <c r="J1993" t="b">
        <v>1</v>
      </c>
      <c r="K1993" t="b">
        <v>1</v>
      </c>
      <c r="L1993" t="s">
        <v>47</v>
      </c>
      <c r="M1993">
        <v>50</v>
      </c>
      <c r="N1993" t="s">
        <v>78</v>
      </c>
      <c r="O1993">
        <v>45</v>
      </c>
      <c r="P1993" t="s">
        <v>36</v>
      </c>
      <c r="Q1993">
        <v>0</v>
      </c>
      <c r="R1993">
        <v>45</v>
      </c>
      <c r="S1993" t="s">
        <v>31</v>
      </c>
      <c r="T1993" t="s">
        <v>38</v>
      </c>
      <c r="U1993">
        <v>36.7378</v>
      </c>
      <c r="V1993">
        <v>-119.7871</v>
      </c>
      <c r="W1993" s="2">
        <v>45686</v>
      </c>
      <c r="X1993">
        <v>7</v>
      </c>
      <c r="Y1993" t="b">
        <v>1</v>
      </c>
      <c r="Z1993" s="2">
        <v>45852</v>
      </c>
      <c r="AA1993" t="str">
        <f t="shared" si="311"/>
        <v>10–19</v>
      </c>
      <c r="AB1993" t="str">
        <f t="shared" si="312"/>
        <v>16–19</v>
      </c>
      <c r="AC1993" t="str">
        <f t="shared" si="313"/>
        <v/>
      </c>
      <c r="AD1993" t="str">
        <f t="shared" si="314"/>
        <v/>
      </c>
      <c r="AE1993" t="str">
        <f t="shared" si="315"/>
        <v>Wednesday</v>
      </c>
      <c r="AF1993" t="str">
        <f t="shared" si="316"/>
        <v>Thursday</v>
      </c>
      <c r="AG1993" t="str">
        <f t="shared" si="317"/>
        <v/>
      </c>
      <c r="AH1993" t="str">
        <f t="shared" si="318"/>
        <v/>
      </c>
      <c r="AI1993" t="str">
        <f t="shared" si="319"/>
        <v>Sunday</v>
      </c>
      <c r="AJ1993" t="str">
        <f>LEFT(Table1[[#This Row],[membership_type]],2)&amp;TEXT(Table1[[#This Row],[age]],"00")&amp;"-"&amp;TEXT(ROW(),"000")</f>
        <v>Pr19-1993</v>
      </c>
      <c r="AK1993" t="str">
        <f>LEFT(Table1[[#This Row],[membership_type]],1)&amp;TEXT(MATCH(Table1[[#This Row],[membership_type]],Table1[membership_type],0),"00")</f>
        <v>P01</v>
      </c>
      <c r="AL1993" t="str">
        <f>LEFT(Table1[[#This Row],[discount_type]],1)&amp;TEXT(ROUND(Table1[[#This Row],[discount_rate]]*100,0),"00")</f>
        <v>N00</v>
      </c>
      <c r="AM1993" t="str" cm="1">
        <f t="array" ref="AM1993">TEXT(SUMPRODUCT(CODE(MID(Table1[[#This Row],[home_gym_location]],_xlfn.SEQUENCE(LEN(Table1[[#This Row],[home_gym_location]])),1))),"00000")</f>
        <v>00829</v>
      </c>
      <c r="AN1993" t="str">
        <f>UPPER(_xlfn.TEXTBEFORE(Table1[[#This Row],[home_gym_location]],","))&amp;"-"&amp;TEXT(MATCH(Table1[[#This Row],[home_gym_location]],_xlfn._xlws.SORT(_xlfn.UNIQUE(Table1[home_gym_location])),0),"000")</f>
        <v>FRESNO-003</v>
      </c>
      <c r="AO1993" t="str">
        <f>LEFT(_xlfn.TEXTBEFORE(Table1[[#This Row],[Location Identifier]],"-"),3) &amp; "-" &amp; _xlfn.TEXTAFTER(Table1[[#This Row],[Location Identifier]],"-")</f>
        <v>FRE-003</v>
      </c>
      <c r="AP1993" s="9">
        <f t="shared" ca="1" si="310"/>
        <v>45869</v>
      </c>
    </row>
    <row r="1994" spans="1:42" x14ac:dyDescent="0.25">
      <c r="A1994">
        <v>19</v>
      </c>
      <c r="B1994" t="s">
        <v>26</v>
      </c>
      <c r="C1994">
        <v>2</v>
      </c>
      <c r="D1994" t="s">
        <v>43</v>
      </c>
      <c r="E1994" t="b">
        <v>1</v>
      </c>
      <c r="F1994" s="1">
        <v>0.58402777777777781</v>
      </c>
      <c r="G1994" s="1">
        <v>0.66388888888888886</v>
      </c>
      <c r="H1994">
        <v>115</v>
      </c>
      <c r="I1994" t="b">
        <v>0</v>
      </c>
      <c r="J1994" t="b">
        <v>0</v>
      </c>
      <c r="K1994" t="b">
        <v>0</v>
      </c>
      <c r="L1994" t="s">
        <v>62</v>
      </c>
      <c r="M1994">
        <v>50</v>
      </c>
      <c r="N1994" t="s">
        <v>29</v>
      </c>
      <c r="O1994">
        <v>50</v>
      </c>
      <c r="P1994" t="s">
        <v>36</v>
      </c>
      <c r="Q1994">
        <v>0</v>
      </c>
      <c r="R1994">
        <v>50</v>
      </c>
      <c r="S1994" t="s">
        <v>31</v>
      </c>
      <c r="T1994" t="s">
        <v>50</v>
      </c>
      <c r="U1994">
        <v>34.052199999999999</v>
      </c>
      <c r="V1994">
        <v>-118.2437</v>
      </c>
      <c r="W1994" s="2">
        <v>45030</v>
      </c>
      <c r="X1994">
        <v>0</v>
      </c>
      <c r="Y1994" t="b">
        <v>1</v>
      </c>
      <c r="Z1994" s="2">
        <v>45815</v>
      </c>
      <c r="AA1994" t="str">
        <f t="shared" si="311"/>
        <v>10–19</v>
      </c>
      <c r="AB1994" t="str">
        <f t="shared" si="312"/>
        <v>16–19</v>
      </c>
      <c r="AC1994" t="str">
        <f t="shared" si="313"/>
        <v>Monday</v>
      </c>
      <c r="AD1994" t="str">
        <f t="shared" si="314"/>
        <v>Tuesday</v>
      </c>
      <c r="AE1994" t="str">
        <f t="shared" si="315"/>
        <v/>
      </c>
      <c r="AF1994" t="str">
        <f t="shared" si="316"/>
        <v/>
      </c>
      <c r="AG1994" t="str">
        <f t="shared" si="317"/>
        <v/>
      </c>
      <c r="AH1994" t="str">
        <f t="shared" si="318"/>
        <v/>
      </c>
      <c r="AI1994" t="str">
        <f t="shared" si="319"/>
        <v/>
      </c>
      <c r="AJ1994" t="str">
        <f>LEFT(Table1[[#This Row],[membership_type]],2)&amp;TEXT(Table1[[#This Row],[age]],"00")&amp;"-"&amp;TEXT(ROW(),"000")</f>
        <v>Pr19-1994</v>
      </c>
      <c r="AK1994" t="str">
        <f>LEFT(Table1[[#This Row],[membership_type]],1)&amp;TEXT(MATCH(Table1[[#This Row],[membership_type]],Table1[membership_type],0),"00")</f>
        <v>P01</v>
      </c>
      <c r="AL1994" t="str">
        <f>LEFT(Table1[[#This Row],[discount_type]],1)&amp;TEXT(ROUND(Table1[[#This Row],[discount_rate]]*100,0),"00")</f>
        <v>N00</v>
      </c>
      <c r="AM1994" t="str" cm="1">
        <f t="array" ref="AM1994">TEXT(SUMPRODUCT(CODE(MID(Table1[[#This Row],[home_gym_location]],_xlfn.SEQUENCE(LEN(Table1[[#This Row],[home_gym_location]])),1))),"00000")</f>
        <v>01245</v>
      </c>
      <c r="AN1994" t="str">
        <f>UPPER(_xlfn.TEXTBEFORE(Table1[[#This Row],[home_gym_location]],","))&amp;"-"&amp;TEXT(MATCH(Table1[[#This Row],[home_gym_location]],_xlfn._xlws.SORT(_xlfn.UNIQUE(Table1[home_gym_location])),0),"000")</f>
        <v>LOS ANGELES-005</v>
      </c>
      <c r="AO1994" t="str">
        <f>LEFT(_xlfn.TEXTBEFORE(Table1[[#This Row],[Location Identifier]],"-"),3) &amp; "-" &amp; _xlfn.TEXTAFTER(Table1[[#This Row],[Location Identifier]],"-")</f>
        <v>LOS-005</v>
      </c>
      <c r="AP1994" s="9">
        <f t="shared" ca="1" si="310"/>
        <v>45869</v>
      </c>
    </row>
    <row r="1995" spans="1:42" x14ac:dyDescent="0.25">
      <c r="A1995">
        <v>12</v>
      </c>
      <c r="B1995" t="s">
        <v>26</v>
      </c>
      <c r="C1995">
        <v>2</v>
      </c>
      <c r="D1995" t="s">
        <v>116</v>
      </c>
      <c r="E1995" t="b">
        <v>1</v>
      </c>
      <c r="F1995" s="1">
        <v>0.44583333333333336</v>
      </c>
      <c r="G1995" s="1">
        <v>0.5083333333333333</v>
      </c>
      <c r="H1995">
        <v>90</v>
      </c>
      <c r="I1995" t="b">
        <v>0</v>
      </c>
      <c r="J1995" t="b">
        <v>0</v>
      </c>
      <c r="K1995" t="b">
        <v>0</v>
      </c>
      <c r="L1995" t="s">
        <v>47</v>
      </c>
      <c r="M1995">
        <v>50</v>
      </c>
      <c r="N1995" t="s">
        <v>64</v>
      </c>
      <c r="O1995">
        <v>37.5</v>
      </c>
      <c r="P1995" t="s">
        <v>40</v>
      </c>
      <c r="Q1995">
        <v>0.1</v>
      </c>
      <c r="R1995">
        <v>33.75</v>
      </c>
      <c r="S1995" t="s">
        <v>31</v>
      </c>
      <c r="T1995" t="s">
        <v>54</v>
      </c>
      <c r="U1995">
        <v>32.715699999999998</v>
      </c>
      <c r="V1995">
        <v>-117.1611</v>
      </c>
      <c r="W1995" s="2">
        <v>45131</v>
      </c>
      <c r="X1995">
        <v>0</v>
      </c>
      <c r="Y1995" t="b">
        <v>1</v>
      </c>
      <c r="Z1995" s="2">
        <v>45821</v>
      </c>
      <c r="AA1995" t="str">
        <f t="shared" si="311"/>
        <v>10–19</v>
      </c>
      <c r="AB1995" t="str">
        <f t="shared" si="312"/>
        <v>Under 16</v>
      </c>
      <c r="AC1995" t="str">
        <f t="shared" si="313"/>
        <v/>
      </c>
      <c r="AD1995" t="str">
        <f t="shared" si="314"/>
        <v/>
      </c>
      <c r="AE1995" t="str">
        <f t="shared" si="315"/>
        <v/>
      </c>
      <c r="AF1995" t="str">
        <f t="shared" si="316"/>
        <v>Thursday</v>
      </c>
      <c r="AG1995" t="str">
        <f t="shared" si="317"/>
        <v/>
      </c>
      <c r="AH1995" t="str">
        <f t="shared" si="318"/>
        <v/>
      </c>
      <c r="AI1995" t="str">
        <f t="shared" si="319"/>
        <v>Sunday</v>
      </c>
      <c r="AJ1995" t="str">
        <f>LEFT(Table1[[#This Row],[membership_type]],2)&amp;TEXT(Table1[[#This Row],[age]],"00")&amp;"-"&amp;TEXT(ROW(),"000")</f>
        <v>Pr12-1995</v>
      </c>
      <c r="AK1995" t="str">
        <f>LEFT(Table1[[#This Row],[membership_type]],1)&amp;TEXT(MATCH(Table1[[#This Row],[membership_type]],Table1[membership_type],0),"00")</f>
        <v>P01</v>
      </c>
      <c r="AL1995" t="str">
        <f>LEFT(Table1[[#This Row],[discount_type]],1)&amp;TEXT(ROUND(Table1[[#This Row],[discount_rate]]*100,0),"00")</f>
        <v>L10</v>
      </c>
      <c r="AM1995" t="str" cm="1">
        <f t="array" ref="AM1995">TEXT(SUMPRODUCT(CODE(MID(Table1[[#This Row],[home_gym_location]],_xlfn.SEQUENCE(LEN(Table1[[#This Row],[home_gym_location]])),1))),"00000")</f>
        <v>01018</v>
      </c>
      <c r="AN1995" t="str">
        <f>UPPER(_xlfn.TEXTBEFORE(Table1[[#This Row],[home_gym_location]],","))&amp;"-"&amp;TEXT(MATCH(Table1[[#This Row],[home_gym_location]],_xlfn._xlws.SORT(_xlfn.UNIQUE(Table1[home_gym_location])),0),"000")</f>
        <v>SAN DIEGO-008</v>
      </c>
      <c r="AO1995" t="str">
        <f>LEFT(_xlfn.TEXTBEFORE(Table1[[#This Row],[Location Identifier]],"-"),3) &amp; "-" &amp; _xlfn.TEXTAFTER(Table1[[#This Row],[Location Identifier]],"-")</f>
        <v>SAN-008</v>
      </c>
      <c r="AP1995" s="9">
        <f t="shared" ca="1" si="310"/>
        <v>45869</v>
      </c>
    </row>
    <row r="1996" spans="1:42" x14ac:dyDescent="0.25">
      <c r="A1996">
        <v>16</v>
      </c>
      <c r="B1996" t="s">
        <v>33</v>
      </c>
      <c r="C1996">
        <v>2</v>
      </c>
      <c r="D1996" t="s">
        <v>96</v>
      </c>
      <c r="E1996" t="b">
        <v>0</v>
      </c>
      <c r="F1996" s="1">
        <v>0.48819444444444443</v>
      </c>
      <c r="G1996" s="1">
        <v>0.53611111111111109</v>
      </c>
      <c r="H1996">
        <v>69</v>
      </c>
      <c r="I1996" t="b">
        <v>0</v>
      </c>
      <c r="J1996" t="b">
        <v>0</v>
      </c>
      <c r="K1996" t="b">
        <v>1</v>
      </c>
      <c r="L1996" t="s">
        <v>62</v>
      </c>
      <c r="M1996">
        <v>30</v>
      </c>
      <c r="N1996" t="s">
        <v>29</v>
      </c>
      <c r="O1996">
        <v>30</v>
      </c>
      <c r="P1996" t="s">
        <v>74</v>
      </c>
      <c r="Q1996">
        <v>0.15</v>
      </c>
      <c r="R1996">
        <v>25.5</v>
      </c>
      <c r="S1996" t="s">
        <v>37</v>
      </c>
      <c r="T1996" t="s">
        <v>56</v>
      </c>
      <c r="U1996">
        <v>35.3733</v>
      </c>
      <c r="V1996">
        <v>-119.0187</v>
      </c>
      <c r="W1996" s="2">
        <v>44812</v>
      </c>
      <c r="X1996">
        <v>0</v>
      </c>
      <c r="Y1996" t="b">
        <v>0</v>
      </c>
      <c r="Z1996" s="2">
        <v>45803</v>
      </c>
      <c r="AA1996" t="str">
        <f t="shared" si="311"/>
        <v>10–19</v>
      </c>
      <c r="AB1996" t="str">
        <f t="shared" si="312"/>
        <v>16–19</v>
      </c>
      <c r="AC1996" t="str">
        <f t="shared" si="313"/>
        <v/>
      </c>
      <c r="AD1996" t="str">
        <f t="shared" si="314"/>
        <v/>
      </c>
      <c r="AE1996" t="str">
        <f t="shared" si="315"/>
        <v/>
      </c>
      <c r="AF1996" t="str">
        <f t="shared" si="316"/>
        <v>Thursday</v>
      </c>
      <c r="AG1996" t="str">
        <f t="shared" si="317"/>
        <v>Friday</v>
      </c>
      <c r="AH1996" t="str">
        <f t="shared" si="318"/>
        <v/>
      </c>
      <c r="AI1996" t="str">
        <f t="shared" si="319"/>
        <v/>
      </c>
      <c r="AJ1996" t="str">
        <f>LEFT(Table1[[#This Row],[membership_type]],2)&amp;TEXT(Table1[[#This Row],[age]],"00")&amp;"-"&amp;TEXT(ROW(),"000")</f>
        <v>St16-1996</v>
      </c>
      <c r="AK1996" t="str">
        <f>LEFT(Table1[[#This Row],[membership_type]],1)&amp;TEXT(MATCH(Table1[[#This Row],[membership_type]],Table1[membership_type],0),"00")</f>
        <v>S02</v>
      </c>
      <c r="AL1996" t="str">
        <f>LEFT(Table1[[#This Row],[discount_type]],1)&amp;TEXT(ROUND(Table1[[#This Row],[discount_rate]]*100,0),"00")</f>
        <v>S15</v>
      </c>
      <c r="AM1996" t="str" cm="1">
        <f t="array" ref="AM1996">TEXT(SUMPRODUCT(CODE(MID(Table1[[#This Row],[home_gym_location]],_xlfn.SEQUENCE(LEN(Table1[[#This Row],[home_gym_location]])),1))),"00000")</f>
        <v>01324</v>
      </c>
      <c r="AN1996" t="str">
        <f>UPPER(_xlfn.TEXTBEFORE(Table1[[#This Row],[home_gym_location]],","))&amp;"-"&amp;TEXT(MATCH(Table1[[#This Row],[home_gym_location]],_xlfn._xlws.SORT(_xlfn.UNIQUE(Table1[home_gym_location])),0),"000")</f>
        <v>BAKERSFIELD-002</v>
      </c>
      <c r="AO1996" t="str">
        <f>LEFT(_xlfn.TEXTBEFORE(Table1[[#This Row],[Location Identifier]],"-"),3) &amp; "-" &amp; _xlfn.TEXTAFTER(Table1[[#This Row],[Location Identifier]],"-")</f>
        <v>BAK-002</v>
      </c>
      <c r="AP1996" s="9">
        <f t="shared" ca="1" si="310"/>
        <v>45869</v>
      </c>
    </row>
    <row r="1997" spans="1:42" x14ac:dyDescent="0.25">
      <c r="A1997">
        <v>24</v>
      </c>
      <c r="B1997" t="s">
        <v>51</v>
      </c>
      <c r="C1997">
        <v>4</v>
      </c>
      <c r="D1997" t="s">
        <v>107</v>
      </c>
      <c r="E1997" t="b">
        <v>0</v>
      </c>
      <c r="F1997" s="1">
        <v>0.64444444444444449</v>
      </c>
      <c r="G1997" s="1">
        <v>0.69027777777777777</v>
      </c>
      <c r="H1997">
        <v>66</v>
      </c>
      <c r="I1997" t="b">
        <v>0</v>
      </c>
      <c r="J1997" t="b">
        <v>1</v>
      </c>
      <c r="K1997" t="b">
        <v>0</v>
      </c>
      <c r="L1997" t="s">
        <v>28</v>
      </c>
      <c r="M1997">
        <v>70</v>
      </c>
      <c r="N1997" t="s">
        <v>29</v>
      </c>
      <c r="O1997">
        <v>70</v>
      </c>
      <c r="P1997" t="s">
        <v>40</v>
      </c>
      <c r="Q1997">
        <v>0.1</v>
      </c>
      <c r="R1997">
        <v>63</v>
      </c>
      <c r="S1997" t="s">
        <v>53</v>
      </c>
      <c r="T1997" t="s">
        <v>38</v>
      </c>
      <c r="U1997">
        <v>36.7378</v>
      </c>
      <c r="V1997">
        <v>-119.7871</v>
      </c>
      <c r="W1997" s="2">
        <v>45757</v>
      </c>
      <c r="X1997">
        <v>7</v>
      </c>
      <c r="Y1997" t="b">
        <v>1</v>
      </c>
      <c r="Z1997" s="2">
        <v>45856</v>
      </c>
      <c r="AA1997" t="str">
        <f t="shared" si="311"/>
        <v>20–29</v>
      </c>
      <c r="AB1997" t="str">
        <f t="shared" si="312"/>
        <v>20–29</v>
      </c>
      <c r="AC1997" t="str">
        <f t="shared" si="313"/>
        <v/>
      </c>
      <c r="AD1997" t="str">
        <f t="shared" si="314"/>
        <v>Tuesday</v>
      </c>
      <c r="AE1997" t="str">
        <f t="shared" si="315"/>
        <v/>
      </c>
      <c r="AF1997" t="str">
        <f t="shared" si="316"/>
        <v/>
      </c>
      <c r="AG1997" t="str">
        <f t="shared" si="317"/>
        <v>Friday</v>
      </c>
      <c r="AH1997" t="str">
        <f t="shared" si="318"/>
        <v>Saturday</v>
      </c>
      <c r="AI1997" t="str">
        <f t="shared" si="319"/>
        <v>Sunday</v>
      </c>
      <c r="AJ1997" t="str">
        <f>LEFT(Table1[[#This Row],[membership_type]],2)&amp;TEXT(Table1[[#This Row],[age]],"00")&amp;"-"&amp;TEXT(ROW(),"000")</f>
        <v>El24-1997</v>
      </c>
      <c r="AK1997" t="str">
        <f>LEFT(Table1[[#This Row],[membership_type]],1)&amp;TEXT(MATCH(Table1[[#This Row],[membership_type]],Table1[membership_type],0),"00")</f>
        <v>E07</v>
      </c>
      <c r="AL1997" t="str">
        <f>LEFT(Table1[[#This Row],[discount_type]],1)&amp;TEXT(ROUND(Table1[[#This Row],[discount_rate]]*100,0),"00")</f>
        <v>L10</v>
      </c>
      <c r="AM1997" t="str" cm="1">
        <f t="array" ref="AM1997">TEXT(SUMPRODUCT(CODE(MID(Table1[[#This Row],[home_gym_location]],_xlfn.SEQUENCE(LEN(Table1[[#This Row],[home_gym_location]])),1))),"00000")</f>
        <v>00829</v>
      </c>
      <c r="AN1997" t="str">
        <f>UPPER(_xlfn.TEXTBEFORE(Table1[[#This Row],[home_gym_location]],","))&amp;"-"&amp;TEXT(MATCH(Table1[[#This Row],[home_gym_location]],_xlfn._xlws.SORT(_xlfn.UNIQUE(Table1[home_gym_location])),0),"000")</f>
        <v>FRESNO-003</v>
      </c>
      <c r="AO1997" t="str">
        <f>LEFT(_xlfn.TEXTBEFORE(Table1[[#This Row],[Location Identifier]],"-"),3) &amp; "-" &amp; _xlfn.TEXTAFTER(Table1[[#This Row],[Location Identifier]],"-")</f>
        <v>FRE-003</v>
      </c>
      <c r="AP1997" s="9">
        <f t="shared" ca="1" si="310"/>
        <v>45869</v>
      </c>
    </row>
    <row r="1998" spans="1:42" x14ac:dyDescent="0.25">
      <c r="A1998">
        <v>20</v>
      </c>
      <c r="B1998" t="s">
        <v>42</v>
      </c>
      <c r="C1998">
        <v>3</v>
      </c>
      <c r="D1998" t="s">
        <v>89</v>
      </c>
      <c r="E1998" t="b">
        <v>1</v>
      </c>
      <c r="F1998" s="1">
        <v>0.37013888888888891</v>
      </c>
      <c r="G1998" s="1">
        <v>0.46597222222222223</v>
      </c>
      <c r="H1998">
        <v>138</v>
      </c>
      <c r="I1998" t="b">
        <v>0</v>
      </c>
      <c r="J1998" t="b">
        <v>1</v>
      </c>
      <c r="K1998" t="b">
        <v>1</v>
      </c>
      <c r="L1998" t="s">
        <v>28</v>
      </c>
      <c r="M1998">
        <v>20</v>
      </c>
      <c r="N1998" t="s">
        <v>29</v>
      </c>
      <c r="O1998">
        <v>20</v>
      </c>
      <c r="P1998" t="s">
        <v>30</v>
      </c>
      <c r="Q1998">
        <v>0.05</v>
      </c>
      <c r="R1998">
        <v>19</v>
      </c>
      <c r="S1998" t="s">
        <v>44</v>
      </c>
      <c r="T1998" t="s">
        <v>38</v>
      </c>
      <c r="U1998">
        <v>36.7378</v>
      </c>
      <c r="V1998">
        <v>-119.7871</v>
      </c>
      <c r="W1998" s="2">
        <v>45770</v>
      </c>
      <c r="X1998">
        <v>8</v>
      </c>
      <c r="Y1998" t="b">
        <v>0</v>
      </c>
      <c r="Z1998" s="2">
        <v>45857</v>
      </c>
      <c r="AA1998" t="str">
        <f t="shared" si="311"/>
        <v>20–29</v>
      </c>
      <c r="AB1998" t="str">
        <f t="shared" si="312"/>
        <v>20–29</v>
      </c>
      <c r="AC1998" t="str">
        <f t="shared" si="313"/>
        <v>Monday</v>
      </c>
      <c r="AD1998" t="str">
        <f t="shared" si="314"/>
        <v>Tuesday</v>
      </c>
      <c r="AE1998" t="str">
        <f t="shared" si="315"/>
        <v/>
      </c>
      <c r="AF1998" t="str">
        <f t="shared" si="316"/>
        <v/>
      </c>
      <c r="AG1998" t="str">
        <f t="shared" si="317"/>
        <v/>
      </c>
      <c r="AH1998" t="str">
        <f t="shared" si="318"/>
        <v>Saturday</v>
      </c>
      <c r="AI1998" t="str">
        <f t="shared" si="319"/>
        <v/>
      </c>
      <c r="AJ1998" t="str">
        <f>LEFT(Table1[[#This Row],[membership_type]],2)&amp;TEXT(Table1[[#This Row],[age]],"00")&amp;"-"&amp;TEXT(ROW(),"000")</f>
        <v>Ba20-1998</v>
      </c>
      <c r="AK1998" t="str">
        <f>LEFT(Table1[[#This Row],[membership_type]],1)&amp;TEXT(MATCH(Table1[[#This Row],[membership_type]],Table1[membership_type],0),"00")</f>
        <v>B04</v>
      </c>
      <c r="AL1998" t="str">
        <f>LEFT(Table1[[#This Row],[discount_type]],1)&amp;TEXT(ROUND(Table1[[#This Row],[discount_rate]]*100,0),"00")</f>
        <v>P05</v>
      </c>
      <c r="AM1998" t="str" cm="1">
        <f t="array" ref="AM1998">TEXT(SUMPRODUCT(CODE(MID(Table1[[#This Row],[home_gym_location]],_xlfn.SEQUENCE(LEN(Table1[[#This Row],[home_gym_location]])),1))),"00000")</f>
        <v>00829</v>
      </c>
      <c r="AN1998" t="str">
        <f>UPPER(_xlfn.TEXTBEFORE(Table1[[#This Row],[home_gym_location]],","))&amp;"-"&amp;TEXT(MATCH(Table1[[#This Row],[home_gym_location]],_xlfn._xlws.SORT(_xlfn.UNIQUE(Table1[home_gym_location])),0),"000")</f>
        <v>FRESNO-003</v>
      </c>
      <c r="AO1998" t="str">
        <f>LEFT(_xlfn.TEXTBEFORE(Table1[[#This Row],[Location Identifier]],"-"),3) &amp; "-" &amp; _xlfn.TEXTAFTER(Table1[[#This Row],[Location Identifier]],"-")</f>
        <v>FRE-003</v>
      </c>
      <c r="AP1998" s="9">
        <f t="shared" ca="1" si="310"/>
        <v>45869</v>
      </c>
    </row>
    <row r="1999" spans="1:42" x14ac:dyDescent="0.25">
      <c r="A1999">
        <v>19</v>
      </c>
      <c r="B1999" t="s">
        <v>33</v>
      </c>
      <c r="C1999">
        <v>4</v>
      </c>
      <c r="D1999" t="s">
        <v>143</v>
      </c>
      <c r="E1999" t="b">
        <v>0</v>
      </c>
      <c r="F1999" s="1">
        <v>0.79652777777777772</v>
      </c>
      <c r="G1999" s="1">
        <v>0.83750000000000002</v>
      </c>
      <c r="H1999">
        <v>59</v>
      </c>
      <c r="I1999" t="b">
        <v>1</v>
      </c>
      <c r="J1999" t="b">
        <v>1</v>
      </c>
      <c r="K1999" t="b">
        <v>0</v>
      </c>
      <c r="L1999" t="s">
        <v>28</v>
      </c>
      <c r="M1999">
        <v>30</v>
      </c>
      <c r="N1999" t="s">
        <v>29</v>
      </c>
      <c r="O1999">
        <v>30</v>
      </c>
      <c r="P1999" t="s">
        <v>40</v>
      </c>
      <c r="Q1999">
        <v>0.1</v>
      </c>
      <c r="R1999">
        <v>27</v>
      </c>
      <c r="S1999" t="s">
        <v>37</v>
      </c>
      <c r="T1999" t="s">
        <v>38</v>
      </c>
      <c r="U1999">
        <v>36.7378</v>
      </c>
      <c r="V1999">
        <v>-119.7871</v>
      </c>
      <c r="W1999" s="2">
        <v>45530</v>
      </c>
      <c r="X1999">
        <v>2</v>
      </c>
      <c r="Y1999" t="b">
        <v>0</v>
      </c>
      <c r="Z1999" s="2">
        <v>45844</v>
      </c>
      <c r="AA1999" t="str">
        <f t="shared" si="311"/>
        <v>10–19</v>
      </c>
      <c r="AB1999" t="str">
        <f t="shared" si="312"/>
        <v>16–19</v>
      </c>
      <c r="AC1999" t="str">
        <f t="shared" si="313"/>
        <v>Monday</v>
      </c>
      <c r="AD1999" t="str">
        <f t="shared" si="314"/>
        <v>Tuesday</v>
      </c>
      <c r="AE1999" t="str">
        <f t="shared" si="315"/>
        <v>Wednesday</v>
      </c>
      <c r="AF1999" t="str">
        <f t="shared" si="316"/>
        <v/>
      </c>
      <c r="AG1999" t="str">
        <f t="shared" si="317"/>
        <v>Friday</v>
      </c>
      <c r="AH1999" t="str">
        <f t="shared" si="318"/>
        <v/>
      </c>
      <c r="AI1999" t="str">
        <f t="shared" si="319"/>
        <v/>
      </c>
      <c r="AJ1999" t="str">
        <f>LEFT(Table1[[#This Row],[membership_type]],2)&amp;TEXT(Table1[[#This Row],[age]],"00")&amp;"-"&amp;TEXT(ROW(),"000")</f>
        <v>St19-1999</v>
      </c>
      <c r="AK1999" t="str">
        <f>LEFT(Table1[[#This Row],[membership_type]],1)&amp;TEXT(MATCH(Table1[[#This Row],[membership_type]],Table1[membership_type],0),"00")</f>
        <v>S02</v>
      </c>
      <c r="AL1999" t="str">
        <f>LEFT(Table1[[#This Row],[discount_type]],1)&amp;TEXT(ROUND(Table1[[#This Row],[discount_rate]]*100,0),"00")</f>
        <v>L10</v>
      </c>
      <c r="AM1999" t="str" cm="1">
        <f t="array" ref="AM1999">TEXT(SUMPRODUCT(CODE(MID(Table1[[#This Row],[home_gym_location]],_xlfn.SEQUENCE(LEN(Table1[[#This Row],[home_gym_location]])),1))),"00000")</f>
        <v>00829</v>
      </c>
      <c r="AN1999" t="str">
        <f>UPPER(_xlfn.TEXTBEFORE(Table1[[#This Row],[home_gym_location]],","))&amp;"-"&amp;TEXT(MATCH(Table1[[#This Row],[home_gym_location]],_xlfn._xlws.SORT(_xlfn.UNIQUE(Table1[home_gym_location])),0),"000")</f>
        <v>FRESNO-003</v>
      </c>
      <c r="AO1999" t="str">
        <f>LEFT(_xlfn.TEXTBEFORE(Table1[[#This Row],[Location Identifier]],"-"),3) &amp; "-" &amp; _xlfn.TEXTAFTER(Table1[[#This Row],[Location Identifier]],"-")</f>
        <v>FRE-003</v>
      </c>
      <c r="AP1999" s="9">
        <f t="shared" ca="1" si="310"/>
        <v>45869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FE8C-1C8A-418B-8522-B851495E22C3}">
  <dimension ref="B1:V114"/>
  <sheetViews>
    <sheetView showGridLines="0" topLeftCell="A31" workbookViewId="0"/>
  </sheetViews>
  <sheetFormatPr defaultRowHeight="15" x14ac:dyDescent="0.25"/>
  <cols>
    <col min="1" max="1" width="1.85546875" customWidth="1"/>
    <col min="2" max="14" width="11.42578125" customWidth="1"/>
    <col min="15" max="15" width="21.42578125" bestFit="1" customWidth="1"/>
    <col min="17" max="17" width="24" bestFit="1" customWidth="1"/>
    <col min="18" max="18" width="21.42578125" bestFit="1" customWidth="1"/>
    <col min="20" max="20" width="21.42578125" bestFit="1" customWidth="1"/>
    <col min="21" max="21" width="30" bestFit="1" customWidth="1"/>
  </cols>
  <sheetData>
    <row r="1" spans="2:14" ht="9.9499999999999993" customHeight="1" x14ac:dyDescent="0.25"/>
    <row r="2" spans="2:14" x14ac:dyDescent="0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2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2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2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2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2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2:14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2:14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2:14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2:14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2:14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2:14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2:14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2:14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2:14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2:14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2:14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2:14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2:14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2:14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2:14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2:14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2:14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2:14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2:14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2:14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2:14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2:14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2:14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2:14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2:14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51" spans="2:22" ht="24.95" customHeight="1" x14ac:dyDescent="0.25">
      <c r="B51" s="4"/>
      <c r="C51" s="4" t="s">
        <v>168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3" spans="2:22" ht="15" customHeight="1" x14ac:dyDescent="0.25">
      <c r="C53" s="5" t="s">
        <v>25</v>
      </c>
      <c r="D53" s="6" t="s">
        <v>169</v>
      </c>
      <c r="E53" s="6"/>
      <c r="F53" s="5" t="s">
        <v>1</v>
      </c>
      <c r="G53" s="6" t="s">
        <v>171</v>
      </c>
      <c r="H53" s="6"/>
      <c r="I53" s="5" t="s">
        <v>172</v>
      </c>
      <c r="J53" s="5" t="s">
        <v>24</v>
      </c>
      <c r="K53" s="6"/>
      <c r="L53" s="6"/>
      <c r="M53" s="6"/>
      <c r="N53" s="5" t="s">
        <v>15</v>
      </c>
      <c r="O53" s="6" t="s">
        <v>169</v>
      </c>
      <c r="P53" s="6"/>
      <c r="Q53" s="5" t="s">
        <v>11</v>
      </c>
      <c r="R53" s="6" t="s">
        <v>169</v>
      </c>
      <c r="S53" s="6"/>
      <c r="T53" s="5" t="s">
        <v>13</v>
      </c>
      <c r="U53" s="6" t="s">
        <v>175</v>
      </c>
      <c r="V53" s="6"/>
    </row>
    <row r="54" spans="2:22" ht="15" customHeight="1" x14ac:dyDescent="0.25">
      <c r="C54" s="7">
        <v>45801</v>
      </c>
      <c r="D54" s="6">
        <v>120</v>
      </c>
      <c r="E54" s="6"/>
      <c r="F54" s="6" t="s">
        <v>26</v>
      </c>
      <c r="G54" s="6">
        <v>40600</v>
      </c>
      <c r="H54" s="6"/>
      <c r="I54" s="5" t="s">
        <v>10</v>
      </c>
      <c r="J54" s="6" t="s">
        <v>173</v>
      </c>
      <c r="K54" s="6" t="s">
        <v>174</v>
      </c>
      <c r="L54" s="6" t="s">
        <v>170</v>
      </c>
      <c r="M54" s="6"/>
      <c r="N54" s="6" t="s">
        <v>36</v>
      </c>
      <c r="O54" s="6">
        <v>2214</v>
      </c>
      <c r="P54" s="6"/>
      <c r="Q54" s="6" t="s">
        <v>28</v>
      </c>
      <c r="R54" s="6">
        <v>2053</v>
      </c>
      <c r="S54" s="6"/>
      <c r="T54" s="6" t="s">
        <v>29</v>
      </c>
      <c r="U54" s="6">
        <v>2849</v>
      </c>
      <c r="V54" s="6"/>
    </row>
    <row r="55" spans="2:22" ht="15" customHeight="1" x14ac:dyDescent="0.25">
      <c r="C55" s="7">
        <v>45802</v>
      </c>
      <c r="D55" s="6">
        <v>72</v>
      </c>
      <c r="E55" s="6"/>
      <c r="F55" s="6" t="s">
        <v>33</v>
      </c>
      <c r="G55" s="6">
        <v>17790</v>
      </c>
      <c r="H55" s="6"/>
      <c r="I55" s="6" t="s">
        <v>173</v>
      </c>
      <c r="J55" s="6">
        <v>30.287330316742082</v>
      </c>
      <c r="K55" s="6">
        <v>29.942379182156134</v>
      </c>
      <c r="L55" s="6">
        <v>30.097959183673471</v>
      </c>
      <c r="M55" s="6"/>
      <c r="N55" s="6" t="s">
        <v>40</v>
      </c>
      <c r="O55" s="6">
        <v>1080</v>
      </c>
      <c r="P55" s="6"/>
      <c r="Q55" s="6" t="s">
        <v>62</v>
      </c>
      <c r="R55" s="6">
        <v>1857</v>
      </c>
      <c r="S55" s="6"/>
      <c r="T55" s="6" t="s">
        <v>64</v>
      </c>
      <c r="U55" s="6">
        <v>1340</v>
      </c>
      <c r="V55" s="6"/>
    </row>
    <row r="56" spans="2:22" ht="15" customHeight="1" x14ac:dyDescent="0.25">
      <c r="C56" s="7">
        <v>45803</v>
      </c>
      <c r="D56" s="6">
        <v>102</v>
      </c>
      <c r="E56" s="6"/>
      <c r="F56" s="6" t="s">
        <v>51</v>
      </c>
      <c r="G56" s="6">
        <v>13930</v>
      </c>
      <c r="H56" s="6"/>
      <c r="I56" s="6" t="s">
        <v>174</v>
      </c>
      <c r="J56" s="6">
        <v>31.103603603603602</v>
      </c>
      <c r="K56" s="6">
        <v>31.036585365853657</v>
      </c>
      <c r="L56" s="6">
        <v>31.06581532416503</v>
      </c>
      <c r="M56" s="6"/>
      <c r="N56" s="6" t="s">
        <v>74</v>
      </c>
      <c r="O56" s="6">
        <v>1074</v>
      </c>
      <c r="P56" s="6"/>
      <c r="Q56" s="6" t="s">
        <v>35</v>
      </c>
      <c r="R56" s="6">
        <v>712</v>
      </c>
      <c r="S56" s="6"/>
      <c r="T56" s="6" t="s">
        <v>78</v>
      </c>
      <c r="U56" s="6">
        <v>418</v>
      </c>
      <c r="V56" s="6"/>
    </row>
    <row r="57" spans="2:22" ht="15" customHeight="1" x14ac:dyDescent="0.25">
      <c r="C57" s="7">
        <v>45804</v>
      </c>
      <c r="D57" s="6">
        <v>90</v>
      </c>
      <c r="E57" s="6"/>
      <c r="F57" s="6" t="s">
        <v>42</v>
      </c>
      <c r="G57" s="6">
        <v>7880</v>
      </c>
      <c r="H57" s="6"/>
      <c r="I57" s="6" t="s">
        <v>170</v>
      </c>
      <c r="J57" s="6">
        <v>30.696388261851016</v>
      </c>
      <c r="K57" s="6">
        <v>30.507194244604317</v>
      </c>
      <c r="L57" s="6">
        <v>30.591091091091091</v>
      </c>
      <c r="M57" s="6"/>
      <c r="N57" s="6" t="s">
        <v>30</v>
      </c>
      <c r="O57" s="6">
        <v>979</v>
      </c>
      <c r="P57" s="6"/>
      <c r="Q57" s="6" t="s">
        <v>47</v>
      </c>
      <c r="R57" s="6">
        <v>527</v>
      </c>
      <c r="S57" s="6"/>
      <c r="T57" s="6" t="s">
        <v>170</v>
      </c>
      <c r="U57" s="6">
        <v>4607</v>
      </c>
      <c r="V57" s="6"/>
    </row>
    <row r="58" spans="2:22" ht="15" customHeight="1" x14ac:dyDescent="0.25">
      <c r="C58" s="7">
        <v>45805</v>
      </c>
      <c r="D58" s="6">
        <v>73</v>
      </c>
      <c r="E58" s="6"/>
      <c r="F58" s="6" t="s">
        <v>170</v>
      </c>
      <c r="G58" s="6">
        <v>80200</v>
      </c>
      <c r="H58" s="6"/>
      <c r="I58" s="6"/>
      <c r="J58" s="6"/>
      <c r="K58" s="6"/>
      <c r="L58" s="6"/>
      <c r="M58" s="6"/>
      <c r="N58" s="6" t="s">
        <v>170</v>
      </c>
      <c r="O58" s="6">
        <v>5347</v>
      </c>
      <c r="P58" s="6"/>
      <c r="Q58" s="6" t="s">
        <v>58</v>
      </c>
      <c r="R58" s="6">
        <v>198</v>
      </c>
      <c r="S58" s="6"/>
      <c r="T58" s="6"/>
      <c r="U58" s="6"/>
      <c r="V58" s="6"/>
    </row>
    <row r="59" spans="2:22" ht="15" customHeight="1" x14ac:dyDescent="0.25">
      <c r="C59" s="7">
        <v>45806</v>
      </c>
      <c r="D59" s="6">
        <v>82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 t="s">
        <v>170</v>
      </c>
      <c r="R59" s="6">
        <v>5347</v>
      </c>
      <c r="S59" s="6"/>
      <c r="T59" s="6"/>
      <c r="U59" s="6"/>
      <c r="V59" s="6"/>
    </row>
    <row r="60" spans="2:22" ht="15" customHeight="1" x14ac:dyDescent="0.25">
      <c r="C60" s="7">
        <v>45807</v>
      </c>
      <c r="D60" s="6">
        <v>107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ht="15" customHeight="1" x14ac:dyDescent="0.25">
      <c r="C61" s="7">
        <v>45808</v>
      </c>
      <c r="D61" s="6">
        <v>115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ht="15" customHeight="1" x14ac:dyDescent="0.25">
      <c r="C62" s="7">
        <v>45809</v>
      </c>
      <c r="D62" s="6">
        <v>72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2:22" ht="15" customHeight="1" x14ac:dyDescent="0.25">
      <c r="C63" s="7">
        <v>45810</v>
      </c>
      <c r="D63" s="6">
        <v>69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2:22" ht="15" customHeight="1" x14ac:dyDescent="0.25">
      <c r="C64" s="7">
        <v>45811</v>
      </c>
      <c r="D64" s="6">
        <v>80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3:22" ht="15" customHeight="1" x14ac:dyDescent="0.25">
      <c r="C65" s="7">
        <v>45812</v>
      </c>
      <c r="D65" s="6">
        <v>111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3:22" ht="15" customHeight="1" x14ac:dyDescent="0.25">
      <c r="C66" s="7">
        <v>45813</v>
      </c>
      <c r="D66" s="6">
        <v>93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3:22" ht="15" customHeight="1" x14ac:dyDescent="0.25">
      <c r="C67" s="7">
        <v>45814</v>
      </c>
      <c r="D67" s="6">
        <v>86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3:22" ht="15" customHeight="1" x14ac:dyDescent="0.25">
      <c r="C68" s="7">
        <v>45815</v>
      </c>
      <c r="D68" s="6">
        <v>84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3:22" ht="15" customHeight="1" x14ac:dyDescent="0.25">
      <c r="C69" s="7">
        <v>45816</v>
      </c>
      <c r="D69" s="6">
        <v>74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3:22" ht="15" customHeight="1" x14ac:dyDescent="0.25">
      <c r="C70" s="7">
        <v>45817</v>
      </c>
      <c r="D70" s="6">
        <v>101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3:22" ht="15" customHeight="1" x14ac:dyDescent="0.25">
      <c r="C71" s="7">
        <v>45818</v>
      </c>
      <c r="D71" s="6">
        <v>72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3:22" ht="15" customHeight="1" x14ac:dyDescent="0.25">
      <c r="C72" s="7">
        <v>45819</v>
      </c>
      <c r="D72" s="6">
        <v>88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3:22" ht="15" customHeight="1" x14ac:dyDescent="0.25">
      <c r="C73" s="7">
        <v>45820</v>
      </c>
      <c r="D73" s="6">
        <v>96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3:22" ht="15" customHeight="1" x14ac:dyDescent="0.25">
      <c r="C74" s="7">
        <v>45821</v>
      </c>
      <c r="D74" s="6">
        <v>96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3:22" ht="15" customHeight="1" x14ac:dyDescent="0.25">
      <c r="C75" s="7">
        <v>45822</v>
      </c>
      <c r="D75" s="6">
        <v>116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3:22" ht="15" customHeight="1" x14ac:dyDescent="0.25">
      <c r="C76" s="7">
        <v>45823</v>
      </c>
      <c r="D76" s="6">
        <v>113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3:22" ht="15" customHeight="1" x14ac:dyDescent="0.25">
      <c r="C77" s="7">
        <v>45824</v>
      </c>
      <c r="D77" s="6">
        <v>95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3:22" ht="15" customHeight="1" x14ac:dyDescent="0.25">
      <c r="C78" s="7">
        <v>45825</v>
      </c>
      <c r="D78" s="6">
        <v>99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3:22" ht="15" customHeight="1" x14ac:dyDescent="0.25">
      <c r="C79" s="7">
        <v>45826</v>
      </c>
      <c r="D79" s="6">
        <v>83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3:22" ht="15" customHeight="1" x14ac:dyDescent="0.25">
      <c r="C80" s="7">
        <v>45827</v>
      </c>
      <c r="D80" s="6">
        <v>86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3:22" ht="15" customHeight="1" x14ac:dyDescent="0.25">
      <c r="C81" s="7">
        <v>45828</v>
      </c>
      <c r="D81" s="6">
        <v>86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3:22" ht="15" customHeight="1" x14ac:dyDescent="0.25">
      <c r="C82" s="7">
        <v>45829</v>
      </c>
      <c r="D82" s="6">
        <v>97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3:22" ht="15" customHeight="1" x14ac:dyDescent="0.25">
      <c r="C83" s="7">
        <v>45830</v>
      </c>
      <c r="D83" s="6">
        <v>86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3:22" ht="15" customHeight="1" x14ac:dyDescent="0.25">
      <c r="C84" s="7">
        <v>45831</v>
      </c>
      <c r="D84" s="6">
        <v>93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3:22" x14ac:dyDescent="0.25">
      <c r="C85" s="2">
        <v>45832</v>
      </c>
      <c r="D85">
        <v>67</v>
      </c>
    </row>
    <row r="86" spans="3:22" x14ac:dyDescent="0.25">
      <c r="C86" s="2">
        <v>45833</v>
      </c>
      <c r="D86">
        <v>94</v>
      </c>
    </row>
    <row r="87" spans="3:22" x14ac:dyDescent="0.25">
      <c r="C87" s="2">
        <v>45834</v>
      </c>
      <c r="D87">
        <v>76</v>
      </c>
    </row>
    <row r="88" spans="3:22" x14ac:dyDescent="0.25">
      <c r="C88" s="2">
        <v>45835</v>
      </c>
      <c r="D88">
        <v>102</v>
      </c>
    </row>
    <row r="89" spans="3:22" x14ac:dyDescent="0.25">
      <c r="C89" s="2">
        <v>45836</v>
      </c>
      <c r="D89">
        <v>71</v>
      </c>
    </row>
    <row r="90" spans="3:22" x14ac:dyDescent="0.25">
      <c r="C90" s="2">
        <v>45837</v>
      </c>
      <c r="D90">
        <v>82</v>
      </c>
    </row>
    <row r="91" spans="3:22" x14ac:dyDescent="0.25">
      <c r="C91" s="2">
        <v>45838</v>
      </c>
      <c r="D91">
        <v>86</v>
      </c>
    </row>
    <row r="92" spans="3:22" x14ac:dyDescent="0.25">
      <c r="C92" s="2">
        <v>45839</v>
      </c>
      <c r="D92">
        <v>91</v>
      </c>
    </row>
    <row r="93" spans="3:22" x14ac:dyDescent="0.25">
      <c r="C93" s="2">
        <v>45840</v>
      </c>
      <c r="D93">
        <v>104</v>
      </c>
    </row>
    <row r="94" spans="3:22" x14ac:dyDescent="0.25">
      <c r="C94" s="2">
        <v>45841</v>
      </c>
      <c r="D94">
        <v>84</v>
      </c>
    </row>
    <row r="95" spans="3:22" x14ac:dyDescent="0.25">
      <c r="C95" s="2">
        <v>45842</v>
      </c>
      <c r="D95">
        <v>60</v>
      </c>
    </row>
    <row r="96" spans="3:22" x14ac:dyDescent="0.25">
      <c r="C96" s="2">
        <v>45843</v>
      </c>
      <c r="D96">
        <v>76</v>
      </c>
    </row>
    <row r="97" spans="3:4" x14ac:dyDescent="0.25">
      <c r="C97" s="2">
        <v>45844</v>
      </c>
      <c r="D97">
        <v>94</v>
      </c>
    </row>
    <row r="98" spans="3:4" x14ac:dyDescent="0.25">
      <c r="C98" s="2">
        <v>45845</v>
      </c>
      <c r="D98">
        <v>66</v>
      </c>
    </row>
    <row r="99" spans="3:4" x14ac:dyDescent="0.25">
      <c r="C99" s="2">
        <v>45846</v>
      </c>
      <c r="D99">
        <v>85</v>
      </c>
    </row>
    <row r="100" spans="3:4" x14ac:dyDescent="0.25">
      <c r="C100" s="2">
        <v>45847</v>
      </c>
      <c r="D100">
        <v>89</v>
      </c>
    </row>
    <row r="101" spans="3:4" x14ac:dyDescent="0.25">
      <c r="C101" s="2">
        <v>45848</v>
      </c>
      <c r="D101">
        <v>74</v>
      </c>
    </row>
    <row r="102" spans="3:4" x14ac:dyDescent="0.25">
      <c r="C102" s="2">
        <v>45849</v>
      </c>
      <c r="D102">
        <v>67</v>
      </c>
    </row>
    <row r="103" spans="3:4" x14ac:dyDescent="0.25">
      <c r="C103" s="2">
        <v>45850</v>
      </c>
      <c r="D103">
        <v>117</v>
      </c>
    </row>
    <row r="104" spans="3:4" x14ac:dyDescent="0.25">
      <c r="C104" s="2">
        <v>45851</v>
      </c>
      <c r="D104">
        <v>86</v>
      </c>
    </row>
    <row r="105" spans="3:4" x14ac:dyDescent="0.25">
      <c r="C105" s="2">
        <v>45852</v>
      </c>
      <c r="D105">
        <v>83</v>
      </c>
    </row>
    <row r="106" spans="3:4" x14ac:dyDescent="0.25">
      <c r="C106" s="2">
        <v>45853</v>
      </c>
      <c r="D106">
        <v>108</v>
      </c>
    </row>
    <row r="107" spans="3:4" x14ac:dyDescent="0.25">
      <c r="C107" s="2">
        <v>45854</v>
      </c>
      <c r="D107">
        <v>100</v>
      </c>
    </row>
    <row r="108" spans="3:4" x14ac:dyDescent="0.25">
      <c r="C108" s="2">
        <v>45855</v>
      </c>
      <c r="D108">
        <v>108</v>
      </c>
    </row>
    <row r="109" spans="3:4" x14ac:dyDescent="0.25">
      <c r="C109" s="2">
        <v>45856</v>
      </c>
      <c r="D109">
        <v>107</v>
      </c>
    </row>
    <row r="110" spans="3:4" x14ac:dyDescent="0.25">
      <c r="C110" s="2">
        <v>45857</v>
      </c>
      <c r="D110">
        <v>72</v>
      </c>
    </row>
    <row r="111" spans="3:4" x14ac:dyDescent="0.25">
      <c r="C111" s="2">
        <v>45858</v>
      </c>
      <c r="D111">
        <v>92</v>
      </c>
    </row>
    <row r="112" spans="3:4" x14ac:dyDescent="0.25">
      <c r="C112" s="2">
        <v>45859</v>
      </c>
      <c r="D112">
        <v>105</v>
      </c>
    </row>
    <row r="113" spans="3:4" x14ac:dyDescent="0.25">
      <c r="C113" s="2">
        <v>45860</v>
      </c>
      <c r="D113">
        <v>64</v>
      </c>
    </row>
    <row r="114" spans="3:4" x14ac:dyDescent="0.25">
      <c r="C114" s="2" t="s">
        <v>170</v>
      </c>
      <c r="D114">
        <v>5347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Fitness_Membership_Analytics_Da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Drummond</dc:creator>
  <cp:lastModifiedBy>Victoria Drummond</cp:lastModifiedBy>
  <dcterms:created xsi:type="dcterms:W3CDTF">2025-08-12T11:41:47Z</dcterms:created>
  <dcterms:modified xsi:type="dcterms:W3CDTF">2025-08-14T16:38:11Z</dcterms:modified>
</cp:coreProperties>
</file>